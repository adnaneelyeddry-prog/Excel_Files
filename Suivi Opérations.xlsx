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W001" sheetId="1" r:id="rId5"/>
    <sheet state="visible" name="PW002" sheetId="2" r:id="rId6"/>
    <sheet state="visible" name="PW003" sheetId="3" r:id="rId7"/>
    <sheet state="visible" name="PW004" sheetId="4" r:id="rId8"/>
    <sheet state="visible" name="PW005" sheetId="5" r:id="rId9"/>
    <sheet state="visible" name="PW006" sheetId="6" r:id="rId10"/>
    <sheet state="hidden" name="Code" sheetId="7" r:id="rId11"/>
    <sheet state="hidden" name="recap" sheetId="8" r:id="rId12"/>
    <sheet state="visible" name="PW007" sheetId="9" r:id="rId13"/>
    <sheet state="visible" name="PW008" sheetId="10" r:id="rId14"/>
    <sheet state="visible" name="PW009" sheetId="11" r:id="rId15"/>
    <sheet state="visible" name="PW010" sheetId="12" r:id="rId16"/>
    <sheet state="visible" name="PW0011" sheetId="13" r:id="rId17"/>
    <sheet state="visible" name="PW012" sheetId="14" r:id="rId18"/>
    <sheet state="visible" name="PW013" sheetId="15" r:id="rId19"/>
    <sheet state="visible" name="Feuille 25" sheetId="16" r:id="rId20"/>
    <sheet state="visible" name="PW115" sheetId="17" r:id="rId21"/>
  </sheets>
  <definedNames>
    <definedName hidden="1" localSheetId="10" name="_xlnm._FilterDatabase">'PW009'!$A$5:$AB$70</definedName>
    <definedName hidden="1" localSheetId="15" name="_xlnm._FilterDatabase">'Feuille 25'!$A$1:$D$65</definedName>
    <definedName hidden="1" localSheetId="16" name="_xlnm._FilterDatabase">'PW115'!$A$5:$N$152</definedName>
    <definedName hidden="1" localSheetId="8" name="Z_4CE8AB37_0520_42BA_8B62_6D68A99C8242_.wvu.FilterData">'PW007'!$I$54:$I$107</definedName>
  </definedNames>
  <calcPr/>
  <customWorkbookViews>
    <customWorkbookView activeSheetId="0" maximized="1" windowHeight="0" windowWidth="0" guid="{4CE8AB37-0520-42BA-8B62-6D68A99C8242}" name="Filtre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tc={05ebba23-bb35-45dd-ad3a-66f7f4631293}</author>
    <author>tc={b9336c43-2d3d-440b-a577-ae9b4ea6c426}</author>
    <author>tc={fc52540c-7623-4019-8a1d-34a2b57553f8}</author>
  </authors>
  <commentList>
    <comment authorId="0" xr:uid="{05ebba23-bb35-45dd-ad3a-66f7f4631293}" ref="I320">
      <text>
        <t xml:space="preserve">[Threaded comment]
 Your version of Excel allows you to read this threaded comment; however, any edits to it will get removed if the file is opened in a newer version of Excel. Learn more: https://go.microsoft.com/fwlink/?linkid=870924
Comment:
	milouda  -1.5h
</t>
      </text>
    </comment>
    <comment authorId="1" xr:uid="{b9336c43-2d3d-440b-a577-ae9b4ea6c426}" ref="I128">
      <text>
        <t xml:space="preserve">[Threaded comment]
 Your version of Excel allows you to read this threaded comment; however, any edits to it will get removed if the file is opened in a newer version of Excel. Learn more: https://go.microsoft.com/fwlink/?linkid=870924
Comment:
	3 personnes  -2h pour chacun
</t>
      </text>
    </comment>
    <comment authorId="2" xr:uid="{fc52540c-7623-4019-8a1d-34a2b57553f8}" ref="I51">
      <text>
        <t xml:space="preserve">[Threaded comment]
 Your version of Excel allows you to read this threaded comment; however, any edits to it will get removed if the file is opened in a newer version of Excel. Learn more: https://go.microsoft.com/fwlink/?linkid=870924
Comment:
	4 personnes -1 pour chacun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tc={29463904-e739-4fae-a5b0-c705d367948d}</author>
    <author>tc={432e54f8-3064-4eff-8952-d436495ceaf9}</author>
  </authors>
  <commentList>
    <comment authorId="0" xr:uid="{29463904-e739-4fae-a5b0-c705d367948d}" ref="B57">
      <text>
        <t xml:space="preserve">[Threaded comment]
 Your version of Excel allows you to read this threaded comment; however, any edits to it will get removed if the file is opened in a newer version of Excel. Learn more: https://go.microsoft.com/fwlink/?linkid=870924
Comment:
	BESOIN DE OUPERATION EFFOYAGE
</t>
      </text>
    </comment>
    <comment authorId="1" xr:uid="{432e54f8-3064-4eff-8952-d436495ceaf9}" ref="B55">
      <text>
        <t xml:space="preserve">[Threaded comment]
 Your version of Excel allows you to read this threaded comment; however, any edits to it will get removed if the file is opened in a newer version of Excel. Learn more: https://go.microsoft.com/fwlink/?linkid=870924
Comment:
	BESOIN DE OUPERATION EFFOYAGE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tc={df8e3e43-673b-49e8-b5d7-e64d8cbc6e5e}</author>
  </authors>
  <commentList>
    <comment authorId="0" xr:uid="{df8e3e43-673b-49e8-b5d7-e64d8cbc6e5e}" ref="L148">
      <text>
        <t xml:space="preserve">[Threaded comment]
 Your version of Excel allows you to read this threaded comment; however, any edits to it will get removed if the file is opened in a newer version of Excel. Learn more: https://go.microsoft.com/fwlink/?linkid=870924
Comment:
	25 DH POUR 1 PIECE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tc={705464b0-148c-44bf-92ae-b1224ff874fb}</author>
  </authors>
  <commentList>
    <comment authorId="0" xr:uid="{705464b0-148c-44bf-92ae-b1224ff874fb}" ref="L68">
      <text>
        <t xml:space="preserve">[Threaded comment]
 Your version of Excel allows you to read this threaded comment; however, any edits to it will get removed if the file is opened in a newer version of Excel. Learn more: https://go.microsoft.com/fwlink/?linkid=870924
Comment:
	DEUX PERSONNES ONT -2H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tc={0e3eacdc-8f3f-42bc-8fd0-908400979736}</author>
    <author>tc={3d938991-c8a9-490f-bab5-660526711efb}</author>
  </authors>
  <commentList>
    <comment authorId="0" xr:uid="{0e3eacdc-8f3f-42bc-8fd0-908400979736}" ref="K157">
      <text>
        <t xml:space="preserve">[Threaded comment]
 Your version of Excel allows you to read this threaded comment; however, any edits to it will get removed if the file is opened in a newer version of Excel. Learn more: https://go.microsoft.com/fwlink/?linkid=870924
Comment:
	@jawad.moqairita@pepperworld.ma 
01 Personne travail : 04 Heurs
</t>
      </text>
    </comment>
    <comment authorId="1" xr:uid="{3d938991-c8a9-490f-bab5-660526711efb}" ref="L293">
      <text>
        <t xml:space="preserve">[Threaded comment]
 Your version of Excel allows you to read this threaded comment; however, any edits to it will get removed if the file is opened in a newer version of Excel. Learn more: https://go.microsoft.com/fwlink/?linkid=870924
Comment:
	02 personne Sortie 11:00 [04 heur/personne]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tc={4d9476ef-9bb9-4628-a4a2-3bd2ab671d98}</author>
  </authors>
  <commentList>
    <comment authorId="0" xr:uid="{4d9476ef-9bb9-4628-a4a2-3bd2ab671d98}" ref="D16">
      <text>
        <t xml:space="preserve">[Threaded comment]
 Your version of Excel allows you to read this threaded comment; however, any edits to it will get removed if the file is opened in a newer version of Excel. Learn more: https://go.microsoft.com/fwlink/?linkid=870924
Comment:
	PRIX
</t>
      </text>
    </comment>
  </commentList>
</comments>
</file>

<file path=xl/sharedStrings.xml><?xml version="1.0" encoding="utf-8"?>
<sst xmlns="http://schemas.openxmlformats.org/spreadsheetml/2006/main" count="14086" uniqueCount="922">
  <si>
    <t>Suivi Opération  Pw002</t>
  </si>
  <si>
    <t>Operation Date</t>
  </si>
  <si>
    <t>Operation</t>
  </si>
  <si>
    <t>Serre</t>
  </si>
  <si>
    <t>Sup</t>
  </si>
  <si>
    <t>Trage Transport</t>
  </si>
  <si>
    <t xml:space="preserve">Transporteur </t>
  </si>
  <si>
    <t>type operation</t>
  </si>
  <si>
    <t xml:space="preserve">Type Ouvrier </t>
  </si>
  <si>
    <t xml:space="preserve">Nb Ouvrier </t>
  </si>
  <si>
    <t>Prix/Ouvrier</t>
  </si>
  <si>
    <t>Total</t>
  </si>
  <si>
    <t xml:space="preserve">Prix Transport </t>
  </si>
  <si>
    <t xml:space="preserve"> Transport</t>
  </si>
  <si>
    <t>INSTALATION PALLAIGE</t>
  </si>
  <si>
    <t>tin farage</t>
  </si>
  <si>
    <t>Suivi Opération par Ha Pw003</t>
  </si>
  <si>
    <t xml:space="preserve">JRS </t>
  </si>
  <si>
    <t>ouvrier</t>
  </si>
  <si>
    <t>EQUIPE</t>
  </si>
  <si>
    <t>prix/trage</t>
  </si>
  <si>
    <t>RECOLTE</t>
  </si>
  <si>
    <t xml:space="preserve">NETTOYAGE </t>
  </si>
  <si>
    <t>AIN QLIAA</t>
  </si>
  <si>
    <t>DRISS (HABIBA)</t>
  </si>
  <si>
    <t>Caporale</t>
  </si>
  <si>
    <t>EFFULLAGE</t>
  </si>
  <si>
    <t>driss (rachida)</t>
  </si>
  <si>
    <t>DRISS (SOUMAYA)</t>
  </si>
  <si>
    <t>Suivi Opération Pw001</t>
  </si>
  <si>
    <t xml:space="preserve">PALISSAGE </t>
  </si>
  <si>
    <t>DRISS (KARIM)</t>
  </si>
  <si>
    <t>EQUPE</t>
  </si>
  <si>
    <t>TOTAL</t>
  </si>
  <si>
    <t>NOUREDDINE</t>
  </si>
  <si>
    <t>Suivi Opération  Pw004</t>
  </si>
  <si>
    <t>EL YOUSSFI</t>
  </si>
  <si>
    <t>DRISS (AZIZA)</t>
  </si>
  <si>
    <t>Totale Général</t>
  </si>
  <si>
    <t>EQUIPE HAYAT (DRISS)</t>
  </si>
  <si>
    <t>SELECTION</t>
  </si>
  <si>
    <t>AIT AMIRA</t>
  </si>
  <si>
    <t>BELAID (HAFIDA)</t>
  </si>
  <si>
    <t xml:space="preserve">  </t>
  </si>
  <si>
    <t>EQUIPE FATIHA (DRISS)</t>
  </si>
  <si>
    <t xml:space="preserve">PINCEMENT </t>
  </si>
  <si>
    <t>EQUIPE HALIMA (DRISS)</t>
  </si>
  <si>
    <t>BELAID(NEZHA)</t>
  </si>
  <si>
    <t>BELAID (BOUCHRA)</t>
  </si>
  <si>
    <r>
      <rPr>
        <rFont val="Arial"/>
        <b/>
        <color theme="1"/>
        <sz val="11.0"/>
      </rPr>
      <t>EQUIPE BILAL (</t>
    </r>
    <r>
      <rPr>
        <rFont val="Arial"/>
        <b/>
        <color rgb="FFFF0000"/>
        <sz val="11.0"/>
      </rPr>
      <t>BELAID</t>
    </r>
    <r>
      <rPr>
        <rFont val="Arial"/>
        <b/>
        <color theme="1"/>
        <sz val="11.0"/>
      </rPr>
      <t>)</t>
    </r>
  </si>
  <si>
    <t>EQUIPE MAJID(DRISS)</t>
  </si>
  <si>
    <t>CHARGE/DECHARGE</t>
  </si>
  <si>
    <t>BELAID (kamal)</t>
  </si>
  <si>
    <t>HADIYA</t>
  </si>
  <si>
    <t>KHMISS</t>
  </si>
  <si>
    <t>EQUIPE HANANE (DRISS)</t>
  </si>
  <si>
    <t>DRISS(SABAH)</t>
  </si>
  <si>
    <t>NEZHA</t>
  </si>
  <si>
    <t>EQUIPE YASSINE (DRISS)</t>
  </si>
  <si>
    <t>DRISS(milouda)</t>
  </si>
  <si>
    <t>BELAID(ABDELGHANI)</t>
  </si>
  <si>
    <t>24/42026</t>
  </si>
  <si>
    <r>
      <rPr>
        <rFont val="Arial"/>
        <b/>
        <color theme="1"/>
        <sz val="11.0"/>
      </rPr>
      <t>EQUIPE BILAL (</t>
    </r>
    <r>
      <rPr>
        <rFont val="Arial"/>
        <b/>
        <color rgb="FFFF0000"/>
        <sz val="11.0"/>
      </rPr>
      <t>BELAID</t>
    </r>
    <r>
      <rPr>
        <rFont val="Arial"/>
        <b/>
        <color theme="1"/>
        <sz val="11.0"/>
      </rPr>
      <t>)</t>
    </r>
  </si>
  <si>
    <t>PALISSAGE</t>
  </si>
  <si>
    <r>
      <rPr>
        <rFont val="Arial"/>
        <b/>
        <color theme="1"/>
        <sz val="11.0"/>
      </rPr>
      <t>EQUIPE BILAL (</t>
    </r>
    <r>
      <rPr>
        <rFont val="Arial"/>
        <b/>
        <color rgb="FFFF0000"/>
        <sz val="11.0"/>
      </rPr>
      <t>BELAID</t>
    </r>
    <r>
      <rPr>
        <rFont val="Arial"/>
        <b/>
        <color theme="1"/>
        <sz val="11.0"/>
      </rPr>
      <t>)</t>
    </r>
  </si>
  <si>
    <t>DRISS(sabah)</t>
  </si>
  <si>
    <t>BELAID (KAMAL)</t>
  </si>
  <si>
    <r>
      <rPr>
        <rFont val="Arial"/>
        <b/>
        <color theme="1"/>
        <sz val="11.0"/>
      </rPr>
      <t>EQUIPE KAMAL (</t>
    </r>
    <r>
      <rPr>
        <rFont val="Arial"/>
        <b/>
        <color rgb="FFFF0000"/>
        <sz val="11.0"/>
      </rPr>
      <t>BELAID</t>
    </r>
    <r>
      <rPr>
        <rFont val="Arial"/>
        <b/>
        <color theme="1"/>
        <sz val="11.0"/>
      </rPr>
      <t>)</t>
    </r>
  </si>
  <si>
    <t xml:space="preserve">AIT AMIRA </t>
  </si>
  <si>
    <r>
      <rPr>
        <rFont val="Arial"/>
        <b/>
        <color theme="1"/>
        <sz val="11.0"/>
      </rPr>
      <t>EQUIPE SAID(</t>
    </r>
    <r>
      <rPr>
        <rFont val="Arial"/>
        <b/>
        <color rgb="FFFF0000"/>
        <sz val="11.0"/>
      </rPr>
      <t>BELAID</t>
    </r>
    <r>
      <rPr>
        <rFont val="Arial"/>
        <b/>
        <color theme="1"/>
        <sz val="11.0"/>
      </rPr>
      <t>)</t>
    </r>
  </si>
  <si>
    <t>DRISS (hayat)</t>
  </si>
  <si>
    <t>BELAID ( KAMAL)</t>
  </si>
  <si>
    <r>
      <rPr>
        <rFont val="Arial"/>
        <b/>
        <color theme="1"/>
        <sz val="11.0"/>
      </rPr>
      <t>EQUIPE BILAL (</t>
    </r>
    <r>
      <rPr>
        <rFont val="Arial"/>
        <b/>
        <color rgb="FFFF0000"/>
        <sz val="11.0"/>
      </rPr>
      <t>BELAID</t>
    </r>
    <r>
      <rPr>
        <rFont val="Arial"/>
        <b/>
        <color theme="1"/>
        <sz val="11.0"/>
      </rPr>
      <t>)</t>
    </r>
  </si>
  <si>
    <t>DRISS(fatima)</t>
  </si>
  <si>
    <r>
      <rPr>
        <rFont val="Arial"/>
        <b/>
        <color theme="1"/>
        <sz val="11.0"/>
      </rPr>
      <t>EQUIPE KAMAL (</t>
    </r>
    <r>
      <rPr>
        <rFont val="Arial"/>
        <b/>
        <color rgb="FFFF0000"/>
        <sz val="11.0"/>
      </rPr>
      <t>BELAID</t>
    </r>
    <r>
      <rPr>
        <rFont val="Arial"/>
        <b/>
        <color theme="1"/>
        <sz val="11.0"/>
      </rPr>
      <t>)</t>
    </r>
  </si>
  <si>
    <r>
      <rPr>
        <rFont val="Arial"/>
        <b/>
        <color theme="1"/>
        <sz val="11.0"/>
      </rPr>
      <t>EQUIPE SAID(</t>
    </r>
    <r>
      <rPr>
        <rFont val="Arial"/>
        <b/>
        <color rgb="FFFF0000"/>
        <sz val="11.0"/>
      </rPr>
      <t>BELAID</t>
    </r>
    <r>
      <rPr>
        <rFont val="Arial"/>
        <b/>
        <color theme="1"/>
        <sz val="11.0"/>
      </rPr>
      <t>)</t>
    </r>
  </si>
  <si>
    <t>BELAID (HADIA)</t>
  </si>
  <si>
    <r>
      <rPr>
        <rFont val="Arial"/>
        <b/>
        <color theme="1"/>
        <sz val="11.0"/>
      </rPr>
      <t>EQUIPE BILAL (</t>
    </r>
    <r>
      <rPr>
        <rFont val="Arial"/>
        <b/>
        <color rgb="FFFF0000"/>
        <sz val="11.0"/>
      </rPr>
      <t>BELAID</t>
    </r>
    <r>
      <rPr>
        <rFont val="Arial"/>
        <b/>
        <color theme="1"/>
        <sz val="11.0"/>
      </rPr>
      <t>)</t>
    </r>
  </si>
  <si>
    <t>DRISS (hanane)</t>
  </si>
  <si>
    <r>
      <rPr>
        <rFont val="Arial"/>
        <b/>
        <color theme="1"/>
        <sz val="11.0"/>
      </rPr>
      <t>EQUIPE KAMAL (</t>
    </r>
    <r>
      <rPr>
        <rFont val="Arial"/>
        <b/>
        <color rgb="FFFF0000"/>
        <sz val="11.0"/>
      </rPr>
      <t>BELAID</t>
    </r>
    <r>
      <rPr>
        <rFont val="Arial"/>
        <b/>
        <color theme="1"/>
        <sz val="11.0"/>
      </rPr>
      <t>)</t>
    </r>
  </si>
  <si>
    <r>
      <rPr>
        <rFont val="Arial"/>
        <b/>
        <color theme="1"/>
        <sz val="11.0"/>
      </rPr>
      <t>EQUIPE SAID(</t>
    </r>
    <r>
      <rPr>
        <rFont val="Arial"/>
        <b/>
        <color rgb="FFFF0000"/>
        <sz val="11.0"/>
      </rPr>
      <t>BELAID</t>
    </r>
    <r>
      <rPr>
        <rFont val="Arial"/>
        <b/>
        <color theme="1"/>
        <sz val="11.0"/>
      </rPr>
      <t>)</t>
    </r>
  </si>
  <si>
    <t>BELAID(kamal)</t>
  </si>
  <si>
    <t>BELAID(KAMAL)</t>
  </si>
  <si>
    <r>
      <rPr>
        <rFont val="Arial"/>
        <b/>
        <color theme="1"/>
        <sz val="11.0"/>
      </rPr>
      <t>EQUIPE BILAL (</t>
    </r>
    <r>
      <rPr>
        <rFont val="Arial"/>
        <b/>
        <color rgb="FFFF0000"/>
        <sz val="11.0"/>
      </rPr>
      <t>BELAID</t>
    </r>
    <r>
      <rPr>
        <rFont val="Arial"/>
        <b/>
        <color theme="1"/>
        <sz val="11.0"/>
      </rPr>
      <t>)</t>
    </r>
  </si>
  <si>
    <t>DRISS (rachida)</t>
  </si>
  <si>
    <t>BELAID(MANSSOURI)</t>
  </si>
  <si>
    <r>
      <rPr>
        <rFont val="Arial"/>
        <b/>
        <color theme="1"/>
        <sz val="11.0"/>
      </rPr>
      <t>EQUIPE KAMAL (</t>
    </r>
    <r>
      <rPr>
        <rFont val="Arial"/>
        <b/>
        <color rgb="FFFF0000"/>
        <sz val="11.0"/>
      </rPr>
      <t>BELAID</t>
    </r>
    <r>
      <rPr>
        <rFont val="Arial"/>
        <b/>
        <color theme="1"/>
        <sz val="11.0"/>
      </rPr>
      <t>)</t>
    </r>
  </si>
  <si>
    <r>
      <rPr>
        <rFont val="Arial"/>
        <b/>
        <color theme="1"/>
        <sz val="11.0"/>
      </rPr>
      <t>EQUIPE SAID(</t>
    </r>
    <r>
      <rPr>
        <rFont val="Arial"/>
        <b/>
        <color rgb="FFFF0000"/>
        <sz val="11.0"/>
      </rPr>
      <t>BELAID</t>
    </r>
    <r>
      <rPr>
        <rFont val="Arial"/>
        <b/>
        <color theme="1"/>
        <sz val="11.0"/>
      </rPr>
      <t>)</t>
    </r>
  </si>
  <si>
    <t>DRISS (latifa)</t>
  </si>
  <si>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</si>
  <si>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</si>
  <si>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t>
    </r>
    <r>
      <rPr>
        <rFont val="Arial"/>
        <b/>
        <color rgb="FFFF0000"/>
        <sz val="11.0"/>
      </rPr>
      <t>BELAID</t>
    </r>
    <r>
      <rPr>
        <rFont val="Arial"/>
        <b/>
        <color theme="1"/>
        <sz val="11.0"/>
      </rPr>
      <t>)</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</si>
  <si>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</si>
  <si>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</si>
  <si>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BELAID (SAID)</t>
  </si>
  <si>
    <r>
      <rPr>
        <rFont val="Arial"/>
        <b/>
        <color theme="1"/>
        <sz val="11.0"/>
      </rPr>
      <t>EQUIPE SAID(</t>
    </r>
    <r>
      <rPr>
        <rFont val="Arial"/>
        <b/>
        <color rgb="FFFF0000"/>
        <sz val="11.0"/>
      </rPr>
      <t>BELAID</t>
    </r>
    <r>
      <rPr>
        <rFont val="Arial"/>
        <b/>
        <color theme="1"/>
        <sz val="11.0"/>
      </rPr>
      <t>)</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</si>
  <si>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</si>
  <si>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</si>
  <si>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t>
    </r>
    <r>
      <rPr>
        <rFont val="Arial"/>
        <b/>
        <color rgb="FFFF0000"/>
        <sz val="11.0"/>
      </rPr>
      <t>BELAID</t>
    </r>
    <r>
      <rPr>
        <rFont val="Arial"/>
        <b/>
        <color theme="1"/>
        <sz val="11.0"/>
      </rPr>
      <t>)</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</si>
  <si>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</si>
  <si>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</si>
  <si>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</si>
  <si>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t>ARRACHAGE/FAUCHAGE</t>
  </si>
  <si>
    <r>
      <rPr>
        <rFont val="Arial"/>
        <b/>
        <color theme="1"/>
        <sz val="11.0"/>
      </rPr>
      <t xml:space="preserve">EQUIPE MANSOURI </t>
    </r>
    <r>
      <rPr>
        <rFont val="Arial"/>
        <b/>
        <color rgb="FFFF0000"/>
        <sz val="11.0"/>
      </rPr>
      <t>(BELAID)</t>
    </r>
    <r>
      <rPr>
        <rFont val="Arial"/>
        <b/>
        <color theme="1"/>
        <sz val="11.0"/>
      </rPr>
      <t xml:space="preserve"> </t>
    </r>
  </si>
  <si>
    <t xml:space="preserve">TRANSPORT PW01
</t>
  </si>
  <si>
    <t>DRISS (RACHIDA)</t>
  </si>
  <si>
    <r>
      <rPr>
        <rFont val="Arial"/>
        <b/>
        <color theme="1"/>
        <sz val="11.0"/>
      </rPr>
      <t>EQUIPE BILAL (</t>
    </r>
    <r>
      <rPr>
        <rFont val="Arial"/>
        <b/>
        <color rgb="FFFF0000"/>
        <sz val="11.0"/>
      </rPr>
      <t>BELAID</t>
    </r>
    <r>
      <rPr>
        <rFont val="Arial"/>
        <b/>
        <color theme="1"/>
        <sz val="11.0"/>
      </rPr>
      <t>)</t>
    </r>
  </si>
  <si>
    <t>PW01</t>
  </si>
  <si>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</si>
  <si>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</si>
  <si>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t>NETTOYAGE FIN COMPAGNE</t>
  </si>
  <si>
    <r>
      <rPr>
        <rFont val="Arial"/>
        <b/>
        <color theme="1"/>
        <sz val="11.0"/>
      </rPr>
      <t xml:space="preserve">EQUIPE MANSOURI </t>
    </r>
    <r>
      <rPr>
        <rFont val="Arial"/>
        <b/>
        <color rgb="FFFF0000"/>
        <sz val="11.0"/>
      </rPr>
      <t>(BELAID)</t>
    </r>
    <r>
      <rPr>
        <rFont val="Arial"/>
        <b/>
        <color theme="1"/>
        <sz val="11.0"/>
      </rPr>
      <t xml:space="preserve"> </t>
    </r>
  </si>
  <si>
    <t>PW001</t>
  </si>
  <si>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</si>
  <si>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</si>
  <si>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</si>
  <si>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</si>
  <si>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</si>
  <si>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t>SAID</t>
  </si>
  <si>
    <t>SOUMIYA</t>
  </si>
  <si>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</si>
  <si>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</si>
  <si>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t>AUTRES TRAVAUX</t>
  </si>
  <si>
    <t>PARC BETAIL</t>
  </si>
  <si>
    <t xml:space="preserve">TRAITEMENT </t>
  </si>
  <si>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</si>
  <si>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</si>
  <si>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</si>
  <si>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</si>
  <si>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</si>
  <si>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</si>
  <si>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</si>
  <si>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SAID (</t>
    </r>
    <r>
      <rPr>
        <rFont val="Arial"/>
        <b/>
        <color rgb="FFFF0000"/>
        <sz val="11.0"/>
      </rPr>
      <t>BELAID</t>
    </r>
    <r>
      <rPr>
        <rFont val="Arial"/>
        <b/>
        <color theme="1"/>
        <sz val="11.0"/>
      </rPr>
      <t>)</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</si>
  <si>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</si>
  <si>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</si>
  <si>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HAFIDA BOUNASAR</t>
  </si>
  <si>
    <r>
      <rPr>
        <rFont val="Arial"/>
        <b/>
        <color theme="1"/>
        <sz val="11.0"/>
      </rPr>
      <t>EQUIPE SAID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</si>
  <si>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</si>
  <si>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</si>
  <si>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</si>
  <si>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BELAID (HALIMA)</t>
  </si>
  <si>
    <r>
      <rPr>
        <rFont val="Arial"/>
        <b/>
        <color theme="1"/>
        <sz val="11.0"/>
      </rPr>
      <t>EQUIPE SAID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</si>
  <si>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</si>
  <si>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t>LOUDINI</t>
  </si>
  <si>
    <r>
      <rPr>
        <rFont val="Arial"/>
        <b/>
        <color theme="1"/>
        <sz val="11.0"/>
      </rPr>
      <t>EQUIPE BILAL (</t>
    </r>
    <r>
      <rPr>
        <rFont val="Arial"/>
        <b/>
        <color rgb="FFFF0000"/>
        <sz val="11.0"/>
      </rPr>
      <t>BELAID</t>
    </r>
    <r>
      <rPr>
        <rFont val="Arial"/>
        <b/>
        <color theme="1"/>
        <sz val="11.0"/>
      </rPr>
      <t>)</t>
    </r>
  </si>
  <si>
    <t>BELAID ( camara )01</t>
  </si>
  <si>
    <r>
      <rPr>
        <rFont val="Arial"/>
        <b/>
        <color theme="1"/>
        <sz val="11.0"/>
      </rPr>
      <t>EQUIPE SAID (</t>
    </r>
    <r>
      <rPr>
        <rFont val="Arial"/>
        <b/>
        <color rgb="FFFF0000"/>
        <sz val="11.0"/>
      </rPr>
      <t>BELAID</t>
    </r>
    <r>
      <rPr>
        <rFont val="Arial"/>
        <b/>
        <color theme="1"/>
        <sz val="11.0"/>
      </rPr>
      <t>)</t>
    </r>
  </si>
  <si>
    <t>BELAID ( camara 02 )</t>
  </si>
  <si>
    <r>
      <rPr>
        <rFont val="Arial"/>
        <b/>
        <color theme="1"/>
        <sz val="11.0"/>
      </rPr>
      <t xml:space="preserve">EQUIPE MANSOURI </t>
    </r>
    <r>
      <rPr>
        <rFont val="Arial"/>
        <b/>
        <color rgb="FFFF0000"/>
        <sz val="11.0"/>
      </rPr>
      <t>(BELAID)</t>
    </r>
    <r>
      <rPr>
        <rFont val="Arial"/>
        <b/>
        <color theme="1"/>
        <sz val="11.0"/>
      </rPr>
      <t xml:space="preserve"> </t>
    </r>
  </si>
  <si>
    <t>SUPLEMNTAIRE</t>
  </si>
  <si>
    <r>
      <rPr>
        <rFont val="Arial"/>
        <b/>
        <color theme="1"/>
        <sz val="11.0"/>
      </rPr>
      <t>EQUIPE BILAL (</t>
    </r>
    <r>
      <rPr>
        <rFont val="Arial"/>
        <b/>
        <color rgb="FFFF0000"/>
        <sz val="11.0"/>
      </rPr>
      <t>BELAID</t>
    </r>
    <r>
      <rPr>
        <rFont val="Arial"/>
        <b/>
        <color theme="1"/>
        <sz val="11.0"/>
      </rPr>
      <t>)</t>
    </r>
  </si>
  <si>
    <t>IRRIGATION</t>
  </si>
  <si>
    <r>
      <rPr>
        <rFont val="Arial"/>
        <b/>
        <color theme="1"/>
        <sz val="11.0"/>
      </rPr>
      <t>EQUIPE SAID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</si>
  <si>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</si>
  <si>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</si>
  <si>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t>DRISS (YASSIN)</t>
  </si>
  <si>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</si>
  <si>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</si>
  <si>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t>EQUIPE SOUAD (DRISS)</t>
  </si>
  <si>
    <r>
      <rPr>
        <rFont val="Arial"/>
        <b/>
        <color theme="1"/>
        <sz val="11.0"/>
      </rPr>
      <t>EQUIPE HAFIDA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</si>
  <si>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</si>
  <si>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</si>
  <si>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</si>
  <si>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</si>
  <si>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</si>
  <si>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</si>
  <si>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</si>
  <si>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MANSOURI </t>
    </r>
    <r>
      <rPr>
        <rFont val="Arial"/>
        <b/>
        <color rgb="FFFF0000"/>
        <sz val="11.0"/>
      </rPr>
      <t>(BELAID)</t>
    </r>
    <r>
      <rPr>
        <rFont val="Arial"/>
        <b/>
        <color theme="1"/>
        <sz val="11.0"/>
      </rPr>
      <t xml:space="preserve"> </t>
    </r>
  </si>
  <si>
    <t>BELAID (NEZHA)</t>
  </si>
  <si>
    <r>
      <rPr>
        <rFont val="Arial"/>
        <b/>
        <color theme="1"/>
        <sz val="11.0"/>
      </rPr>
      <t xml:space="preserve">EQUIPE MANSOURI </t>
    </r>
    <r>
      <rPr>
        <rFont val="Arial"/>
        <b/>
        <color rgb="FFFF0000"/>
        <sz val="11.0"/>
      </rPr>
      <t>(BELAID)</t>
    </r>
    <r>
      <rPr>
        <rFont val="Arial"/>
        <b/>
        <color theme="1"/>
        <sz val="11.0"/>
      </rPr>
      <t xml:space="preserve"> </t>
    </r>
  </si>
  <si>
    <t>DRISS (yassine)</t>
  </si>
  <si>
    <r>
      <rPr>
        <rFont val="Arial"/>
        <b/>
        <color theme="1"/>
        <sz val="11.0"/>
      </rPr>
      <t xml:space="preserve">EQUIPE MANSOURI </t>
    </r>
    <r>
      <rPr>
        <rFont val="Arial"/>
        <b/>
        <color rgb="FFFF0000"/>
        <sz val="11.0"/>
      </rPr>
      <t>(BELAID)</t>
    </r>
    <r>
      <rPr>
        <rFont val="Arial"/>
        <b/>
        <color theme="1"/>
        <sz val="11.0"/>
      </rPr>
      <t xml:space="preserve"> </t>
    </r>
  </si>
  <si>
    <t>DRISS (milouda)</t>
  </si>
  <si>
    <r>
      <rPr>
        <rFont val="Arial"/>
        <b/>
        <color theme="1"/>
        <sz val="11.0"/>
      </rPr>
      <t xml:space="preserve">EQUIPE MANSOURI </t>
    </r>
    <r>
      <rPr>
        <rFont val="Arial"/>
        <b/>
        <color rgb="FFFF0000"/>
        <sz val="11.0"/>
      </rPr>
      <t>(BELAID)</t>
    </r>
    <r>
      <rPr>
        <rFont val="Arial"/>
        <b/>
        <color theme="1"/>
        <sz val="11.0"/>
      </rPr>
      <t xml:space="preserve"> </t>
    </r>
  </si>
  <si>
    <t>DRISS (mounir)</t>
  </si>
  <si>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</si>
  <si>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</si>
  <si>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t>TIN IRAQI</t>
  </si>
  <si>
    <t>EQUIPE BELAID</t>
  </si>
  <si>
    <t>HE</t>
  </si>
  <si>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</si>
  <si>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</si>
  <si>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HAFID(</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</si>
  <si>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</si>
  <si>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EQUIPE BILAL (</t>
    </r>
    <r>
      <rPr>
        <rFont val="Arial"/>
        <b/>
        <color rgb="FFFF0000"/>
        <sz val="11.0"/>
      </rPr>
      <t>BELAID</t>
    </r>
    <r>
      <rPr>
        <rFont val="Arial"/>
        <b/>
        <color theme="1"/>
        <sz val="11.0"/>
      </rPr>
      <t>)</t>
    </r>
  </si>
  <si>
    <r>
      <rPr>
        <rFont val="Arial"/>
        <b/>
        <color theme="1"/>
        <sz val="11.0"/>
      </rPr>
      <t>EQUIPE HAFID(</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</si>
  <si>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</si>
  <si>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</si>
  <si>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HAFID(</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</si>
  <si>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</si>
  <si>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</si>
  <si>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HAFID(</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</si>
  <si>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</si>
  <si>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</si>
  <si>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HAFID(</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</si>
  <si>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</si>
  <si>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</si>
  <si>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</si>
  <si>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</si>
  <si>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</si>
  <si>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</si>
  <si>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</si>
  <si>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</si>
  <si>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</si>
  <si>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</si>
  <si>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</si>
  <si>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</si>
  <si>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</si>
  <si>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</si>
  <si>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</si>
  <si>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</si>
  <si>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</si>
  <si>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</si>
  <si>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</si>
  <si>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</si>
  <si>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</si>
  <si>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</si>
  <si>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</si>
  <si>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</si>
  <si>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</si>
  <si>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</si>
  <si>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</si>
  <si>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</si>
  <si>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t>PLANTATION</t>
  </si>
  <si>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</si>
  <si>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</si>
  <si>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</si>
  <si>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t>R/D</t>
  </si>
  <si>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</si>
  <si>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</si>
  <si>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</si>
  <si>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</si>
  <si>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</si>
  <si>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t>NETTOYAGE</t>
  </si>
  <si>
    <r>
      <rPr>
        <rFont val="Arial"/>
        <b/>
        <color theme="1"/>
        <sz val="11.0"/>
      </rPr>
      <t xml:space="preserve">EQUIPE ZAHIRA </t>
    </r>
    <r>
      <rPr>
        <rFont val="Arial"/>
        <b/>
        <color rgb="FFFF0000"/>
        <sz val="11.0"/>
      </rPr>
      <t>(BELAID)</t>
    </r>
  </si>
  <si>
    <t>BELAID ( camara )</t>
  </si>
  <si>
    <t>DÉSHERBAGES</t>
  </si>
  <si>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</si>
  <si>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</si>
  <si>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</si>
  <si>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t>BELAID ( kamal )</t>
  </si>
  <si>
    <t>BELAID ( zahIra )</t>
  </si>
  <si>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</si>
  <si>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</si>
  <si>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t>BELAID ( milouda )</t>
  </si>
  <si>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</si>
  <si>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</si>
  <si>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</si>
  <si>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</si>
  <si>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</si>
  <si>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</si>
  <si>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</si>
  <si>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</si>
  <si>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</si>
  <si>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</si>
  <si>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MANSOURI </t>
    </r>
    <r>
      <rPr>
        <rFont val="Arial"/>
        <b/>
        <color rgb="FFFF0000"/>
        <sz val="11.0"/>
      </rPr>
      <t>(BELAID)</t>
    </r>
    <r>
      <rPr>
        <rFont val="Arial"/>
        <b/>
        <color theme="1"/>
        <sz val="11.0"/>
      </rPr>
      <t xml:space="preserve"> </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</si>
  <si>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</si>
  <si>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</si>
  <si>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</si>
  <si>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</si>
  <si>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t>Suivi Opération Pw005</t>
  </si>
  <si>
    <t>Prix/Total</t>
  </si>
  <si>
    <r>
      <rPr>
        <rFont val="Arial"/>
        <b/>
        <color theme="1"/>
        <sz val="11.0"/>
      </rPr>
      <t xml:space="preserve">EQUIPE ZAHIRA </t>
    </r>
    <r>
      <rPr>
        <rFont val="Arial"/>
        <b/>
        <color rgb="FFFF0000"/>
        <sz val="11.0"/>
      </rPr>
      <t>(BELAID)</t>
    </r>
  </si>
  <si>
    <t xml:space="preserve"> DRISS (hassna)</t>
  </si>
  <si>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</si>
  <si>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</si>
  <si>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</si>
  <si>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</si>
  <si>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</si>
  <si>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</si>
  <si>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r>
      <rPr>
        <rFont val="Arial"/>
        <b/>
        <color theme="1"/>
        <sz val="11.0"/>
      </rPr>
      <t>EQUIPE KAMAL (</t>
    </r>
    <r>
      <rPr>
        <rFont val="Arial"/>
        <b/>
        <color rgb="FFFF0000"/>
        <sz val="11.0"/>
      </rPr>
      <t>BELAID</t>
    </r>
    <r>
      <rPr>
        <rFont val="Arial"/>
        <b/>
        <color theme="1"/>
        <sz val="11.0"/>
      </rPr>
      <t>)</t>
    </r>
  </si>
  <si>
    <r>
      <rPr>
        <rFont val="Arial"/>
        <b/>
        <color theme="1"/>
        <sz val="11.0"/>
      </rPr>
      <t xml:space="preserve">EQUIPE ZAHIRA </t>
    </r>
    <r>
      <rPr>
        <rFont val="Arial"/>
        <b/>
        <color rgb="FFFF0000"/>
        <sz val="11.0"/>
      </rPr>
      <t>(BELAID)</t>
    </r>
  </si>
  <si>
    <t>BELAID ( hadia )</t>
  </si>
  <si>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</si>
  <si>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</si>
  <si>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CAMARA (BELAID)</t>
  </si>
  <si>
    <r>
      <rPr>
        <rFont val="Arial"/>
        <b/>
        <color theme="1"/>
        <sz val="11.0"/>
      </rPr>
      <t>EQUIPE KAMAL (</t>
    </r>
    <r>
      <rPr>
        <rFont val="Arial"/>
        <b/>
        <color rgb="FFFF0000"/>
        <sz val="11.0"/>
      </rPr>
      <t>BELAID</t>
    </r>
    <r>
      <rPr>
        <rFont val="Arial"/>
        <b/>
        <color theme="1"/>
        <sz val="11.0"/>
      </rPr>
      <t>)</t>
    </r>
  </si>
  <si>
    <t>BELAID ( naima)</t>
  </si>
  <si>
    <t>BELAID ( nezha)</t>
  </si>
  <si>
    <t>BILLONNAGE</t>
  </si>
  <si>
    <r>
      <rPr>
        <rFont val="Arial"/>
        <b/>
        <color theme="1"/>
        <sz val="11.0"/>
      </rPr>
      <t>EQUIPE KAMAL (</t>
    </r>
    <r>
      <rPr>
        <rFont val="Arial"/>
        <b/>
        <color rgb="FFFF0000"/>
        <sz val="11.0"/>
      </rPr>
      <t>BELAID</t>
    </r>
    <r>
      <rPr>
        <rFont val="Arial"/>
        <b/>
        <color theme="1"/>
        <sz val="11.0"/>
      </rPr>
      <t>)</t>
    </r>
  </si>
  <si>
    <t>BELAID ( MUSTAPHA)</t>
  </si>
  <si>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</si>
  <si>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</si>
  <si>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</si>
  <si>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</si>
  <si>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2200dh * 1,19Ha = 2618 dh - 200 dh = 2418 dh</t>
  </si>
  <si>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</si>
  <si>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</si>
  <si>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</si>
  <si>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rPr>
      <t xml:space="preserve">EQUIPE </t>
    </r>
    <r>
      <rPr>
        <rFont val="Arial"/>
        <b/>
        <color rgb="FFFF0000"/>
      </rPr>
      <t xml:space="preserve">AZIZ </t>
    </r>
    <r>
      <rPr>
        <rFont val="Arial"/>
        <b/>
        <color theme="1"/>
      </rPr>
      <t>(BELAID)</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</si>
  <si>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</si>
  <si>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</si>
  <si>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</si>
  <si>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</si>
  <si>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</si>
  <si>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</si>
  <si>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rPr>
      <t xml:space="preserve">EQUIPE </t>
    </r>
    <r>
      <rPr>
        <rFont val="Arial"/>
        <b/>
        <color rgb="FFFF0000"/>
      </rPr>
      <t xml:space="preserve">AZIZ </t>
    </r>
    <r>
      <rPr>
        <rFont val="Arial"/>
        <b/>
        <color theme="1"/>
      </rPr>
      <t>(BELAID)</t>
    </r>
  </si>
  <si>
    <r>
      <rPr>
        <rFont val="Arial"/>
        <b/>
        <color theme="1"/>
        <sz val="11.0"/>
      </rPr>
      <t>EQUIPE KAMAL (</t>
    </r>
    <r>
      <rPr>
        <rFont val="Arial"/>
        <b/>
        <color rgb="FFFF0000"/>
        <sz val="11.0"/>
      </rPr>
      <t>BELAID</t>
    </r>
    <r>
      <rPr>
        <rFont val="Arial"/>
        <b/>
        <color theme="1"/>
        <sz val="11.0"/>
      </rPr>
      <t>)</t>
    </r>
  </si>
  <si>
    <t>BELAID ( SERGHINI )</t>
  </si>
  <si>
    <t>2000 dh * 0,88 Ha = 1760 DH</t>
  </si>
  <si>
    <r>
      <rPr>
        <rFont val="Arial"/>
        <b/>
        <color theme="1"/>
      </rPr>
      <t xml:space="preserve">EQUIPE </t>
    </r>
    <r>
      <rPr>
        <rFont val="Arial"/>
        <b/>
        <color rgb="FFFF0000"/>
      </rPr>
      <t xml:space="preserve">LAARBI </t>
    </r>
    <r>
      <rPr>
        <rFont val="Arial"/>
        <b/>
        <color theme="1"/>
      </rPr>
      <t>(BELAID)</t>
    </r>
  </si>
  <si>
    <r>
      <rPr>
        <rFont val="Arial"/>
        <b/>
        <color theme="1"/>
        <sz val="11.0"/>
      </rPr>
      <t>EQUIPE KAMAL (</t>
    </r>
    <r>
      <rPr>
        <rFont val="Arial"/>
        <b/>
        <color rgb="FFFF0000"/>
        <sz val="11.0"/>
      </rPr>
      <t>BELAID</t>
    </r>
    <r>
      <rPr>
        <rFont val="Arial"/>
        <b/>
        <color theme="1"/>
        <sz val="11.0"/>
      </rPr>
      <t>)</t>
    </r>
  </si>
  <si>
    <r>
      <rPr>
        <rFont val="Arial"/>
        <b/>
        <color theme="1"/>
      </rPr>
      <t xml:space="preserve">EQUIPE </t>
    </r>
    <r>
      <rPr>
        <rFont val="Arial"/>
        <b/>
        <color rgb="FFFF0000"/>
      </rPr>
      <t xml:space="preserve">AZIZ </t>
    </r>
    <r>
      <rPr>
        <rFont val="Arial"/>
        <b/>
        <color theme="1"/>
      </rPr>
      <t>(BELAID)</t>
    </r>
  </si>
  <si>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</si>
  <si>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</si>
  <si>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t>Suivi Opération Pw006</t>
  </si>
  <si>
    <r>
      <rPr>
        <rFont val="Arial"/>
        <b/>
        <color theme="1"/>
      </rPr>
      <t xml:space="preserve">EQUIPE </t>
    </r>
    <r>
      <rPr>
        <rFont val="Arial"/>
        <b/>
        <color rgb="FFFF0000"/>
      </rPr>
      <t xml:space="preserve">AZIZ </t>
    </r>
    <r>
      <rPr>
        <rFont val="Arial"/>
        <b/>
        <color theme="1"/>
      </rPr>
      <t>(BELAID)</t>
    </r>
  </si>
  <si>
    <r>
      <rPr>
        <rFont val="Arial"/>
        <b/>
        <color theme="1"/>
        <sz val="11.0"/>
      </rPr>
      <t>EQUIPE KAMAL (</t>
    </r>
    <r>
      <rPr>
        <rFont val="Arial"/>
        <b/>
        <color rgb="FFFF0000"/>
        <sz val="11.0"/>
      </rPr>
      <t>BELAID</t>
    </r>
    <r>
      <rPr>
        <rFont val="Arial"/>
        <b/>
        <color theme="1"/>
        <sz val="11.0"/>
      </rPr>
      <t>)</t>
    </r>
  </si>
  <si>
    <t>AIT AAMIRA 25 dh</t>
  </si>
  <si>
    <t>prix/jour</t>
  </si>
  <si>
    <t>total ouvrier</t>
  </si>
  <si>
    <t>% Avensment</t>
  </si>
  <si>
    <t>Montant Paye</t>
  </si>
  <si>
    <t>Prix/TRANSPORT</t>
  </si>
  <si>
    <t xml:space="preserve">TOTAL GENERAL </t>
  </si>
  <si>
    <r>
      <rPr>
        <rFont val="Arial"/>
        <b/>
        <color theme="1"/>
        <sz val="11.0"/>
      </rPr>
      <t>EQUIPE KAMAL (</t>
    </r>
    <r>
      <rPr>
        <rFont val="Arial"/>
        <b/>
        <color rgb="FFFF0000"/>
        <sz val="11.0"/>
      </rPr>
      <t>BELAID</t>
    </r>
    <r>
      <rPr>
        <rFont val="Arial"/>
        <b/>
        <color theme="1"/>
        <sz val="11.0"/>
      </rPr>
      <t>)</t>
    </r>
  </si>
  <si>
    <t>JRS</t>
  </si>
  <si>
    <t>Ouvrier</t>
  </si>
  <si>
    <r>
      <rPr>
        <rFont val="Arial"/>
        <b/>
        <color theme="1"/>
        <sz val="10.0"/>
      </rPr>
      <t xml:space="preserve">EQUIPE </t>
    </r>
    <r>
      <rPr>
        <rFont val="Arial"/>
        <b/>
        <color rgb="FFFF0000"/>
        <sz val="10.0"/>
      </rPr>
      <t xml:space="preserve">SARGHINI </t>
    </r>
    <r>
      <rPr>
        <rFont val="Arial"/>
        <b/>
        <color theme="1"/>
        <sz val="10.0"/>
      </rPr>
      <t>(BELAID)</t>
    </r>
  </si>
  <si>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</si>
  <si>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</si>
  <si>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r>
      <rPr>
        <rFont val="Arial"/>
        <b/>
        <color theme="1"/>
        <sz val="11.0"/>
      </rPr>
      <t>EQUIPE KAMAL (</t>
    </r>
    <r>
      <rPr>
        <rFont val="Arial"/>
        <b/>
        <color rgb="FFFF0000"/>
        <sz val="11.0"/>
      </rPr>
      <t>BELAID</t>
    </r>
    <r>
      <rPr>
        <rFont val="Arial"/>
        <b/>
        <color theme="1"/>
        <sz val="11.0"/>
      </rPr>
      <t>)</t>
    </r>
  </si>
  <si>
    <r>
      <rPr>
        <rFont val="Arial"/>
        <b/>
        <color theme="1"/>
      </rPr>
      <t xml:space="preserve">EQUIPE </t>
    </r>
    <r>
      <rPr>
        <rFont val="Arial"/>
        <b/>
        <color rgb="FFFF0000"/>
      </rPr>
      <t xml:space="preserve">AZIZ </t>
    </r>
    <r>
      <rPr>
        <rFont val="Arial"/>
        <b/>
        <color theme="1"/>
      </rPr>
      <t>(BELAID)</t>
    </r>
  </si>
  <si>
    <r>
      <rPr>
        <rFont val="Arial"/>
        <b/>
        <color theme="1"/>
        <sz val="11.0"/>
      </rPr>
      <t>EQUIPE KAMAL (</t>
    </r>
    <r>
      <rPr>
        <rFont val="Arial"/>
        <b/>
        <color rgb="FFFF0000"/>
        <sz val="11.0"/>
      </rPr>
      <t>BELAID</t>
    </r>
    <r>
      <rPr>
        <rFont val="Arial"/>
        <b/>
        <color theme="1"/>
        <sz val="11.0"/>
      </rPr>
      <t>)</t>
    </r>
  </si>
  <si>
    <t>2000 dh * 0,95 Ha = 1900 DH</t>
  </si>
  <si>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</si>
  <si>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</si>
  <si>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</si>
  <si>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t>HOWARA</t>
  </si>
  <si>
    <r>
      <rPr>
        <rFont val="Arial"/>
        <b/>
        <color theme="1"/>
        <sz val="11.0"/>
      </rPr>
      <t>EQUIPE KAMAL (</t>
    </r>
    <r>
      <rPr>
        <rFont val="Arial"/>
        <b/>
        <color rgb="FFFF0000"/>
        <sz val="11.0"/>
      </rPr>
      <t>BELAID</t>
    </r>
    <r>
      <rPr>
        <rFont val="Arial"/>
        <b/>
        <color theme="1"/>
        <sz val="11.0"/>
      </rPr>
      <t>)</t>
    </r>
  </si>
  <si>
    <t>BENHACHEM MANSOURI</t>
  </si>
  <si>
    <r>
      <rPr>
        <rFont val="Arial"/>
        <b/>
        <color theme="1"/>
        <sz val="11.0"/>
      </rPr>
      <t>EQUIPE KAMAL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</si>
  <si>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</si>
  <si>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</si>
  <si>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r>
      <rPr>
        <rFont val="Arial"/>
        <b/>
        <color theme="1"/>
        <sz val="11.0"/>
      </rPr>
      <t>EQUIPE MILOUDA (</t>
    </r>
    <r>
      <rPr>
        <rFont val="Arial"/>
        <b/>
        <color rgb="FFFF0000"/>
        <sz val="11.0"/>
      </rPr>
      <t>BELAID</t>
    </r>
    <r>
      <rPr>
        <rFont val="Arial"/>
        <b/>
        <color theme="1"/>
        <sz val="11.0"/>
      </rPr>
      <t>)</t>
    </r>
  </si>
  <si>
    <t>2000 dh * 1,24 Ha = 2480 DH</t>
  </si>
  <si>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</si>
  <si>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</si>
  <si>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</si>
  <si>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</si>
  <si>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t>2000 dh * 0,73 Ha = 1460 DH</t>
  </si>
  <si>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</si>
  <si>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</si>
  <si>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t>2000 dh * 0,9 Ha = 1800 DH</t>
  </si>
  <si>
    <r>
      <rPr>
        <rFont val="Arial"/>
        <b/>
        <color theme="1"/>
        <sz val="11.0"/>
      </rPr>
      <t>EQUIPE KAMAL (</t>
    </r>
    <r>
      <rPr>
        <rFont val="Arial"/>
        <b/>
        <color rgb="FFFF0000"/>
        <sz val="11.0"/>
      </rPr>
      <t>BELAID</t>
    </r>
    <r>
      <rPr>
        <rFont val="Arial"/>
        <b/>
        <color theme="1"/>
        <sz val="11.0"/>
      </rPr>
      <t>)</t>
    </r>
  </si>
  <si>
    <t>2000 dh * 1,08 Ha = 2160 DH</t>
  </si>
  <si>
    <r>
      <rPr>
        <rFont val="Arial"/>
        <b/>
        <color theme="1"/>
        <sz val="11.0"/>
      </rPr>
      <t>EQUIPE MILOUDA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</si>
  <si>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</si>
  <si>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</si>
  <si>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t>2000 dh * 0,96 Ha = 1920 DH</t>
  </si>
  <si>
    <r>
      <rPr>
        <rFont val="Arial"/>
        <b/>
        <color theme="1"/>
        <sz val="11.0"/>
      </rPr>
      <t>EQUIPE MILOUDA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</si>
  <si>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</si>
  <si>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</si>
  <si>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0.0"/>
      </rPr>
      <t xml:space="preserve">EQUIPE </t>
    </r>
    <r>
      <rPr>
        <rFont val="Arial"/>
        <b/>
        <color rgb="FFFF0000"/>
        <sz val="10.0"/>
      </rPr>
      <t xml:space="preserve">SARGHINI </t>
    </r>
    <r>
      <rPr>
        <rFont val="Arial"/>
        <b/>
        <color theme="1"/>
        <sz val="10.0"/>
      </rPr>
      <t>(BELAID)</t>
    </r>
  </si>
  <si>
    <r>
      <rPr>
        <rFont val="Arial"/>
        <b/>
        <color theme="1"/>
        <sz val="11.0"/>
      </rPr>
      <t>EQUIPE KAMAL (</t>
    </r>
    <r>
      <rPr>
        <rFont val="Arial"/>
        <b/>
        <color rgb="FFFF0000"/>
        <sz val="11.0"/>
      </rPr>
      <t>BELAID</t>
    </r>
    <r>
      <rPr>
        <rFont val="Arial"/>
        <b/>
        <color theme="1"/>
        <sz val="11.0"/>
      </rPr>
      <t>)</t>
    </r>
  </si>
  <si>
    <t>AIN LAQLIAA</t>
  </si>
  <si>
    <r>
      <rPr>
        <rFont val="Arial"/>
        <b/>
        <color rgb="FF000000"/>
        <sz val="9.0"/>
      </rPr>
      <t>EQUIPE BILAL (</t>
    </r>
    <r>
      <rPr>
        <rFont val="Arial"/>
        <b/>
        <color rgb="FF000000"/>
        <sz val="9.0"/>
      </rPr>
      <t>BELAID</t>
    </r>
    <r>
      <rPr>
        <rFont val="Arial"/>
        <b/>
        <color rgb="FF000000"/>
        <sz val="9.0"/>
      </rPr>
      <t>)</t>
    </r>
  </si>
  <si>
    <r>
      <rPr>
        <rFont val="Arial"/>
        <b/>
        <color theme="1"/>
        <sz val="11.0"/>
      </rPr>
      <t>EQUIPE MILOUDA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</si>
  <si>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</si>
  <si>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2000 dh * 1,23 Ha = 2460 DH</t>
  </si>
  <si>
    <t>EQUIPE BILAL (BELAID)</t>
  </si>
  <si>
    <r>
      <rPr>
        <rFont val="Arial"/>
        <b/>
        <color theme="1"/>
        <sz val="11.0"/>
      </rPr>
      <t>EQUIPE MILOUDA (</t>
    </r>
    <r>
      <rPr>
        <rFont val="Arial"/>
        <b/>
        <color rgb="FFFF0000"/>
        <sz val="11.0"/>
      </rPr>
      <t>BELAID</t>
    </r>
    <r>
      <rPr>
        <rFont val="Arial"/>
        <b/>
        <color theme="1"/>
        <sz val="11.0"/>
      </rPr>
      <t>)</t>
    </r>
  </si>
  <si>
    <t>DRISS ( mjid )</t>
  </si>
  <si>
    <t>2000 dh * 1,14 Ha = 2280 DH</t>
  </si>
  <si>
    <r>
      <rPr>
        <rFont val="Arial"/>
        <b/>
        <color theme="1"/>
        <sz val="10.0"/>
      </rPr>
      <t xml:space="preserve">EQUIPE </t>
    </r>
    <r>
      <rPr>
        <rFont val="Arial"/>
        <b/>
        <color rgb="FFFF0000"/>
        <sz val="10.0"/>
      </rPr>
      <t xml:space="preserve">SARGHINI </t>
    </r>
    <r>
      <rPr>
        <rFont val="Arial"/>
        <b/>
        <color theme="1"/>
        <sz val="10.0"/>
      </rPr>
      <t>(BELAID)</t>
    </r>
  </si>
  <si>
    <t>EQUIPE BILAL(BELAID)</t>
  </si>
  <si>
    <r>
      <rPr>
        <rFont val="Arial"/>
        <b/>
        <color theme="1"/>
        <sz val="11.0"/>
      </rPr>
      <t>EQUIPE KAMAL (</t>
    </r>
    <r>
      <rPr>
        <rFont val="Arial"/>
        <b/>
        <color rgb="FFFF0000"/>
        <sz val="11.0"/>
      </rPr>
      <t>BELAID</t>
    </r>
    <r>
      <rPr>
        <rFont val="Arial"/>
        <b/>
        <color theme="1"/>
        <sz val="11.0"/>
      </rPr>
      <t>)</t>
    </r>
  </si>
  <si>
    <t>LAKHMIS AIT AMIRA</t>
  </si>
  <si>
    <t>BELAID ( hafida )</t>
  </si>
  <si>
    <t>EQUIPE DRISS MJID</t>
  </si>
  <si>
    <r>
      <rPr>
        <rFont val="Arial"/>
        <b/>
        <color theme="1"/>
      </rPr>
      <t xml:space="preserve">EQUIPE </t>
    </r>
    <r>
      <rPr>
        <rFont val="Arial"/>
        <b/>
        <color rgb="FFFF0000"/>
      </rPr>
      <t>SARGHINI</t>
    </r>
    <r>
      <rPr>
        <rFont val="Arial"/>
        <b/>
        <color theme="1"/>
      </rPr>
      <t xml:space="preserve"> (BELAID)</t>
    </r>
  </si>
  <si>
    <r>
      <rPr>
        <rFont val="Arial"/>
        <b/>
        <color theme="1"/>
        <sz val="11.0"/>
      </rPr>
      <t>EQUIPE MILOUDA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</si>
  <si>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</si>
  <si>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</si>
  <si>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t>EQUIPE BILAL (belaid)</t>
  </si>
  <si>
    <r>
      <rPr>
        <rFont val="Arial"/>
        <b/>
        <color theme="1"/>
        <sz val="11.0"/>
      </rPr>
      <t>EQUIPE NEZHA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</si>
  <si>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</si>
  <si>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rPr>
      <t xml:space="preserve">EQUIPE </t>
    </r>
    <r>
      <rPr>
        <rFont val="Arial"/>
        <b/>
        <color rgb="FFFF0000"/>
      </rPr>
      <t>SARGHINI</t>
    </r>
    <r>
      <rPr>
        <rFont val="Arial"/>
        <b/>
        <color theme="1"/>
      </rPr>
      <t xml:space="preserve"> (BELAID)</t>
    </r>
  </si>
  <si>
    <r>
      <rPr>
        <rFont val="Arial"/>
        <b/>
        <color theme="1"/>
      </rPr>
      <t xml:space="preserve">EQUIPE </t>
    </r>
    <r>
      <rPr>
        <rFont val="Arial"/>
        <b/>
        <color rgb="FFFF0000"/>
      </rPr>
      <t>SARGHINI</t>
    </r>
    <r>
      <rPr>
        <rFont val="Arial"/>
        <b/>
        <color theme="1"/>
      </rPr>
      <t xml:space="preserve"> (BELAID)</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</si>
  <si>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</si>
  <si>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</si>
  <si>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</si>
  <si>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</si>
  <si>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</si>
  <si>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</si>
  <si>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</si>
  <si>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</si>
  <si>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</si>
  <si>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t xml:space="preserve"> </t>
  </si>
  <si>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</si>
  <si>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</si>
  <si>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t>2000 dh * 1,05 Ha = 2100 DH</t>
  </si>
  <si>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</si>
  <si>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</si>
  <si>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</si>
  <si>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t>2000 dh * 0,23 Ha = 460 DH</t>
  </si>
  <si>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</si>
  <si>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</si>
  <si>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</si>
  <si>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</si>
  <si>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</si>
  <si>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</si>
  <si>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</si>
  <si>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</si>
  <si>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</si>
  <si>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</si>
  <si>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</si>
  <si>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</si>
  <si>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</si>
  <si>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</si>
  <si>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</si>
  <si>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</si>
  <si>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</si>
  <si>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</si>
  <si>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</si>
  <si>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</si>
  <si>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</si>
  <si>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</si>
  <si>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</si>
  <si>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</si>
  <si>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</si>
  <si>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</si>
  <si>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</si>
  <si>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r>
      <rPr>
        <rFont val="Arial"/>
        <b/>
        <color theme="1"/>
        <sz val="11.0"/>
      </rPr>
      <t>EQUIPE KAMAL (</t>
    </r>
    <r>
      <rPr>
        <rFont val="Arial"/>
        <b/>
        <color rgb="FFFF0000"/>
        <sz val="11.0"/>
      </rPr>
      <t>BELAID</t>
    </r>
    <r>
      <rPr>
        <rFont val="Arial"/>
        <b/>
        <color theme="1"/>
        <sz val="11.0"/>
      </rPr>
      <t>)</t>
    </r>
  </si>
  <si>
    <r>
      <rPr>
        <rFont val="Arial"/>
        <b/>
        <color theme="1"/>
        <sz val="11.0"/>
      </rPr>
      <t>EQUIPE MILOUDA (</t>
    </r>
    <r>
      <rPr>
        <rFont val="Arial"/>
        <b/>
        <color rgb="FFFF0000"/>
        <sz val="11.0"/>
      </rPr>
      <t>BELAID</t>
    </r>
    <r>
      <rPr>
        <rFont val="Arial"/>
        <b/>
        <color theme="1"/>
        <sz val="11.0"/>
      </rPr>
      <t>)</t>
    </r>
  </si>
  <si>
    <r>
      <rPr>
        <rFont val="Arial"/>
        <b/>
        <color theme="1"/>
        <sz val="11.0"/>
      </rPr>
      <t>EQUIPE NEZHA (</t>
    </r>
    <r>
      <rPr>
        <rFont val="Arial"/>
        <b/>
        <color rgb="FFFF0000"/>
        <sz val="11.0"/>
      </rPr>
      <t>BELAID</t>
    </r>
    <r>
      <rPr>
        <rFont val="Arial"/>
        <b/>
        <color theme="1"/>
        <sz val="11.0"/>
      </rPr>
      <t>)</t>
    </r>
  </si>
  <si>
    <r>
      <rPr>
        <rFont val="Arial"/>
        <b/>
        <color theme="1"/>
        <sz val="11.0"/>
      </rPr>
      <t>EQUIPE HAFIDA (</t>
    </r>
    <r>
      <rPr>
        <rFont val="Arial"/>
        <b/>
        <color rgb="FFFF0000"/>
        <sz val="11.0"/>
      </rPr>
      <t>BELAID</t>
    </r>
    <r>
      <rPr>
        <rFont val="Arial"/>
        <b/>
        <color theme="1"/>
        <sz val="11.0"/>
      </rPr>
      <t>)</t>
    </r>
  </si>
  <si>
    <t>LES LACHE</t>
  </si>
  <si>
    <t>EQUIPE RACHIDA (DRISS)</t>
  </si>
  <si>
    <t>HOUARA</t>
  </si>
  <si>
    <t>MJID (BOUBKER)</t>
  </si>
  <si>
    <t>EQUIPE ABDELLAH (LOUIDINI)</t>
  </si>
  <si>
    <t>Supp</t>
  </si>
  <si>
    <t xml:space="preserve">Detail </t>
  </si>
  <si>
    <t>F002-4-2026</t>
  </si>
  <si>
    <t>Domaine</t>
  </si>
  <si>
    <t>Total JRS</t>
  </si>
  <si>
    <t>Montant</t>
  </si>
  <si>
    <t>Pw001</t>
  </si>
  <si>
    <t>Pw004</t>
  </si>
  <si>
    <t>Ecart F</t>
  </si>
  <si>
    <t>F004-4-2026</t>
  </si>
  <si>
    <t>PW007</t>
  </si>
  <si>
    <t>PW004</t>
  </si>
  <si>
    <t>PW003</t>
  </si>
  <si>
    <t>PW115</t>
  </si>
  <si>
    <t>ECART</t>
  </si>
  <si>
    <t>Suivi Opération par Ha Pw007</t>
  </si>
  <si>
    <t>Bouchra</t>
  </si>
  <si>
    <t>Odoo mod</t>
  </si>
  <si>
    <t>Odoo conso</t>
  </si>
  <si>
    <t>tonnage</t>
  </si>
  <si>
    <t>budget code</t>
  </si>
  <si>
    <t>PW001_PLT_2024-08-29_S3 PW001</t>
  </si>
  <si>
    <t>PW003_PLT_2024-08-26_S9 PW003</t>
  </si>
  <si>
    <t>PW003_PLT_2024-09-01_S8 PW003</t>
  </si>
  <si>
    <t>PW003_TOPKAPIA_2024-09-01_S8 PW003</t>
  </si>
  <si>
    <t>PW003_PLT_2024-09-08_S10 PW003</t>
  </si>
  <si>
    <t>PW004_PLT_2025-05-15_S12 PW004</t>
  </si>
  <si>
    <t>-</t>
  </si>
  <si>
    <t>PW004_PLT_2025-05-23_S13 PW004</t>
  </si>
  <si>
    <t>PW006_PLPROST_2024-12-24_S2 PW06</t>
  </si>
  <si>
    <t>PW006_PLT_2024-12-25_S1 PW06</t>
  </si>
  <si>
    <t>PW006_PLPROST_2024-12-24_S3 PW06</t>
  </si>
  <si>
    <t>PW006_PLT_2024-12-24_S3 PW06</t>
  </si>
  <si>
    <t>PW007_PLT_2024-09-24_S1 PW007</t>
  </si>
  <si>
    <t>PW007_PLT_2024-09-28_S2 PW007</t>
  </si>
  <si>
    <t>PW008_PLT_2025-02-18_S1 PW008</t>
  </si>
  <si>
    <t>PW008_PLPROST_2025-02-18_S1 PW008</t>
  </si>
  <si>
    <t>PW008_PLT_2025-02-26_S2 PW008</t>
  </si>
  <si>
    <t>PW008_PLPROST_2025-02-26_S2 PW008</t>
  </si>
  <si>
    <t>PW010_PLPROST_2024-09-15_S1 PW010</t>
  </si>
  <si>
    <t>PW010_PLT_2024-09-15_S1 PW010</t>
  </si>
  <si>
    <t>LAKHMIS AIIT AMIRA</t>
  </si>
  <si>
    <t>BELLAID</t>
  </si>
  <si>
    <t>PW011_PLT_2025-03-03_S1 PW011</t>
  </si>
  <si>
    <t>PW001_PYR/DRE_2024-08-29_S3  PW001</t>
  </si>
  <si>
    <t>PW001_PLP_2024-08-29_S3 PW001</t>
  </si>
  <si>
    <t>PW004_PLP_2025-05-23_S13 PW004</t>
  </si>
  <si>
    <t>PW005_PLP_2024-10-21_S2 PW005</t>
  </si>
  <si>
    <t>PW001_PLRM_2024-07-27_S2 PW001</t>
  </si>
  <si>
    <t>PW001_ROLER_2024-07-27_S2 PW001</t>
  </si>
  <si>
    <t>PW003_PLRM_2024-09-01_S8 PW003</t>
  </si>
  <si>
    <t>PW003_ROLER_2024-09-01_S8 PW003</t>
  </si>
  <si>
    <t>PW001_CAND_2024-08-15_S4 PW001</t>
  </si>
  <si>
    <t>PW001_CAND_2024-08-29_S3 PW001</t>
  </si>
  <si>
    <t>PW004_SPS5_2025-05-08_S11 PW004</t>
  </si>
  <si>
    <t>PW005_CAND_2024-10-09_S1 PW005</t>
  </si>
  <si>
    <t>PW009_SPS5_2024-07-23_S1 PW009</t>
  </si>
  <si>
    <t>PW009_SPS5_2024-07-04_S2 PW009</t>
  </si>
  <si>
    <t>PW001_PME_2024-08-03_S1  PW001</t>
  </si>
  <si>
    <t>PW002_PME_2025-04-07_S5 PW002</t>
  </si>
  <si>
    <t>PW003_PME_2024-08-25_S7 PW003</t>
  </si>
  <si>
    <t>PW005_PME_2024-10-09_S1 PW005</t>
  </si>
  <si>
    <t>PW006_PME_2024-12-24_S3 PW06</t>
  </si>
  <si>
    <t>PW006_PME_2024-12-25_S1 PW06</t>
  </si>
  <si>
    <t>PW009_PME_2024-08-01_S3 PW009</t>
  </si>
  <si>
    <t>PW001_PSA_2024-08-03_S1  PW001</t>
  </si>
  <si>
    <t>PW002_PSA_2025-04-27_S6 PW002</t>
  </si>
  <si>
    <t>PW003_PKA_2024-08-25_S7 PW003</t>
  </si>
  <si>
    <t>PW005_PSA_2024-10-09_S1 PW005</t>
  </si>
  <si>
    <t>PW006_PSA_2024-12-25_S1 PW06</t>
  </si>
  <si>
    <t>PW006_PSA_2024-12-24_S2 PW06</t>
  </si>
  <si>
    <t>PW009_PSA_2024-08-01_S3 PW009</t>
  </si>
  <si>
    <t>PW001_CRNBR_2024-07-28_S2 PW001</t>
  </si>
  <si>
    <t>PW001_CRNOR_2024-07-28_S2 PW001</t>
  </si>
  <si>
    <t>PW001_CRNOL_2024-07-28_S2 PW001</t>
  </si>
  <si>
    <t>PW001_CRNBR_2024-08-29_S3 PW001</t>
  </si>
  <si>
    <t>PW004_CRNBR_2025-05-23_S13 PW004</t>
  </si>
  <si>
    <t>PW004_CRNOL_2025-05-23_S13 PW004</t>
  </si>
  <si>
    <t>PW004_CRNOR_2025-05-23_S13 PW004</t>
  </si>
  <si>
    <t>PW001_CHIAVIT_2024-08-15_S4 PW001</t>
  </si>
  <si>
    <t>PW003_CHIAVIT_2024-08-25_S7 PW003</t>
  </si>
  <si>
    <t>PW004_CHIAVIT_2025-05-08_S11 PW004</t>
  </si>
  <si>
    <t>PW004_SHAMA_2025-05-08_S11 PW004</t>
  </si>
  <si>
    <t>PW005_FARES_2024-10-21_S2 PW005</t>
  </si>
  <si>
    <t>PW005_CHIAVIT_2024-10-21_S2 PW005</t>
  </si>
  <si>
    <t>BELLAID(kamal)</t>
  </si>
  <si>
    <t>PW009_CHIAVIT_2024-07-04_S2 PW009</t>
  </si>
  <si>
    <t>PW009_KATAN/TNT_2024-07-04_S2 PW009</t>
  </si>
  <si>
    <t>PW009_PLP_2025-07-01_S3 PW009</t>
  </si>
  <si>
    <t>PW009_PLPROST_2025-06-12_S2 PW009</t>
  </si>
  <si>
    <t>PW009_PLS_2025-06-12_S2 PW009</t>
  </si>
  <si>
    <t>PW009_PLS_2025-05-29_S1 PW009</t>
  </si>
  <si>
    <t>PW001_PME_2025-07-19_S2 PW001</t>
  </si>
  <si>
    <t>PW005_PLRMJ_2025-08-04_S1 PW005</t>
  </si>
  <si>
    <t>PW005_PLRMRZ_2025-08-04_S1 PW005</t>
  </si>
  <si>
    <t>PW005_ROLER_2025-08-04_S1 PW005</t>
  </si>
  <si>
    <t>PW001_PSA_2025-07-19_S2 PW001</t>
  </si>
  <si>
    <t>PW001_PSA_2025-09-01_S1 PW001</t>
  </si>
  <si>
    <t>PW001_PME_2025-08-23_S3 PW001</t>
  </si>
  <si>
    <t>PW005_PLT_2025-09-19_S2 PW005</t>
  </si>
  <si>
    <t>PW007_PME_2025-07-17_S2 PW007</t>
  </si>
  <si>
    <t>PW007_PSA_2025-07-17_S2 PW007</t>
  </si>
  <si>
    <t>PW007_PSA_2025-07-10_S1 PW007</t>
  </si>
  <si>
    <t>PW007_CAND_2025-07-10_S1 PW007</t>
  </si>
  <si>
    <t>PW001_PME_2025-09-24_S4 PW001</t>
  </si>
  <si>
    <t>PW001_PME_2025-09-01_S1 PW001</t>
  </si>
  <si>
    <t>PW003_CHIAVIT_2025-10-17_S7 PW003</t>
  </si>
  <si>
    <t>PW003_PLPROST_2025-10-17_S7 PW003</t>
  </si>
  <si>
    <t>PW003_PLRMJ_2025-10-17_S7 PW003</t>
  </si>
  <si>
    <t>PW003_PLRMRZ_2025-10-17_S7 PW003</t>
  </si>
  <si>
    <t>PW003_PLS_2025-10-17_S7 PW003</t>
  </si>
  <si>
    <t>PW003_ROLER_2025-10-17_S7 PW003</t>
  </si>
  <si>
    <t>PW003_SHAMA_2025-10-17_S7 PW003</t>
  </si>
  <si>
    <t>PW003_PLT_2025-10-22_S10 PW003</t>
  </si>
  <si>
    <t>PW003_POL_2025-10-22_S10 PW003</t>
  </si>
  <si>
    <t>PW003_SPS10_2025-10-28_S9 PW003</t>
  </si>
  <si>
    <t>PW003_SPS3_2025-10-28_S9 PW003</t>
  </si>
  <si>
    <t>PW003_SPS5_2025-10-28_S9 PW003</t>
  </si>
  <si>
    <t>PW003_PLPROST_2025-10-22_S10 PW003</t>
  </si>
  <si>
    <t>PW003_PLT_2025-11-14_S8 PW003</t>
  </si>
  <si>
    <t>PW010_PLRMRZ_2025-12-02_S1 PW010</t>
  </si>
  <si>
    <t>PW010_PLT_2025-12-02_S1 PW010</t>
  </si>
  <si>
    <t>PW002_PLT_2026-02-10_S5 PW002</t>
  </si>
  <si>
    <t>PW002_PLT_2026-02-05_S6 PW002</t>
  </si>
  <si>
    <t>BELLAID(said)</t>
  </si>
  <si>
    <t>AIN LQLIAA</t>
  </si>
  <si>
    <t>DRISS(raja)</t>
  </si>
  <si>
    <t>BELLAID(hafyda))</t>
  </si>
  <si>
    <t>DRISS(mjid)</t>
  </si>
  <si>
    <t>Suivi Opération par Ha Pw008</t>
  </si>
  <si>
    <t>Type Operation</t>
  </si>
  <si>
    <t>OUVRIES</t>
  </si>
  <si>
    <t xml:space="preserve"> TYPE DE TRANSPORT</t>
  </si>
  <si>
    <t>TOTAL PAYE</t>
  </si>
  <si>
    <t>RECEVOIR UN BON</t>
  </si>
  <si>
    <t>OUVRIER</t>
  </si>
  <si>
    <t>VOYAGE</t>
  </si>
  <si>
    <t>OK</t>
  </si>
  <si>
    <t>CAPORALE</t>
  </si>
  <si>
    <t>FIBRE COCO DESTRIBUTION</t>
  </si>
  <si>
    <t>KAMAL QLIAA</t>
  </si>
  <si>
    <t>12*25</t>
  </si>
  <si>
    <t>BURMISATION</t>
  </si>
  <si>
    <t>PROPRE MOYEN</t>
  </si>
  <si>
    <t>--</t>
  </si>
  <si>
    <t>BELLAID (KAMAL)</t>
  </si>
  <si>
    <t>25*17</t>
  </si>
  <si>
    <t xml:space="preserve">KAMAL LKALIAA </t>
  </si>
  <si>
    <t>25*25</t>
  </si>
  <si>
    <t>GENERALISIE</t>
  </si>
  <si>
    <t>805+806</t>
  </si>
  <si>
    <t>26*25</t>
  </si>
  <si>
    <t>BILLONAGE</t>
  </si>
  <si>
    <t>WOYAGE</t>
  </si>
  <si>
    <t>BILLOANAGE</t>
  </si>
  <si>
    <t>DRISS RACHIDA</t>
  </si>
  <si>
    <t>selection</t>
  </si>
  <si>
    <t>BELLAID(BOUCHRA)</t>
  </si>
  <si>
    <t>labrihi</t>
  </si>
  <si>
    <t>HOIARA</t>
  </si>
  <si>
    <t>DRIS (mjid)</t>
  </si>
  <si>
    <t>BELAID (said</t>
  </si>
  <si>
    <t xml:space="preserve">LAKHMIS AIT AMIRA </t>
  </si>
  <si>
    <t>BELAID (said)</t>
  </si>
  <si>
    <t>BELLAID(KAMALL)</t>
  </si>
  <si>
    <t xml:space="preserve">LKHMISS AIT AMIRA </t>
  </si>
  <si>
    <t>BELLAID (CAMARA3)</t>
  </si>
  <si>
    <t>BELAID BOUCHRA</t>
  </si>
  <si>
    <t>BELLAID (BOUCHRA )</t>
  </si>
  <si>
    <t>BELLAID (BOUCHRA)</t>
  </si>
  <si>
    <t xml:space="preserve">AIN QLIAA </t>
  </si>
  <si>
    <t xml:space="preserve">BELLAID ( BOUCHRA ) </t>
  </si>
  <si>
    <t xml:space="preserve">BELLAID (BOUCHRA) </t>
  </si>
  <si>
    <t>BELLAID ( BOUCHRA)</t>
  </si>
  <si>
    <t>22/082026</t>
  </si>
  <si>
    <t xml:space="preserve">BELLAID ( CAMARA ) </t>
  </si>
  <si>
    <t>BELLAID ( CAMARA )  1</t>
  </si>
  <si>
    <t>BELLAID ( CAMARA )  2</t>
  </si>
  <si>
    <t>BELLAID ( CAMARA) 1</t>
  </si>
  <si>
    <t>BELLAID ( CAMARA ) 2</t>
  </si>
  <si>
    <t>BELLAID ( CAMARA) 2</t>
  </si>
  <si>
    <t>BELLAID ( CAMARA ) 1</t>
  </si>
  <si>
    <t>BALLAID (BOUCHRA )</t>
  </si>
  <si>
    <t>Suivi Opération par Ha Pw 009</t>
  </si>
  <si>
    <t>SITUATION  DES OUVRIERS</t>
  </si>
  <si>
    <t>SITUATION  DES TRANSPORTE</t>
  </si>
  <si>
    <t>Opération Date</t>
  </si>
  <si>
    <t>TRAGE</t>
  </si>
  <si>
    <t>TYPE OUVRIERS</t>
  </si>
  <si>
    <t>NB OUVRIERS</t>
  </si>
  <si>
    <t>CAPORAL</t>
  </si>
  <si>
    <t>PRIX CAPORAL (DH)</t>
  </si>
  <si>
    <t>prix / OUVRIERS   (DH)</t>
  </si>
  <si>
    <t>Total (DH)</t>
  </si>
  <si>
    <t xml:space="preserve"> TRANSPORT</t>
  </si>
  <si>
    <t>PRIX TRANSPORT (DH)</t>
  </si>
  <si>
    <t>TOTAL TRANSPORT (DH)</t>
  </si>
  <si>
    <t>TOTAL PAYÉ (DH)</t>
  </si>
  <si>
    <t>BELAID (HADDIA)</t>
  </si>
  <si>
    <t>AIT OUAGMAR</t>
  </si>
  <si>
    <t>PERSONNE</t>
  </si>
  <si>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</si>
  <si>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</si>
  <si>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 xml:space="preserve">DRISS </t>
    </r>
    <r>
      <rPr>
        <rFont val="Roboto Serif"/>
        <b/>
        <color rgb="FF000000"/>
      </rPr>
      <t xml:space="preserve"> (SMIRA FAHIMI)</t>
    </r>
  </si>
  <si>
    <r>
      <rPr>
        <rFont val="Roboto Serif"/>
        <b/>
        <color rgb="FFFF0000"/>
      </rPr>
      <t>DRISS</t>
    </r>
    <r>
      <rPr>
        <rFont val="Roboto Serif"/>
        <b/>
        <color rgb="FF000000"/>
      </rPr>
      <t xml:space="preserve">  (HABIBA ABBAKHA)</t>
    </r>
  </si>
  <si>
    <r>
      <rPr>
        <rFont val="Roboto Serif"/>
        <b/>
        <color rgb="FFFF0000"/>
      </rPr>
      <t xml:space="preserve">DRISS </t>
    </r>
    <r>
      <rPr>
        <rFont val="Roboto Serif"/>
        <b/>
        <color rgb="FF000000"/>
      </rPr>
      <t xml:space="preserve"> (SMIRA FAHIMI)</t>
    </r>
  </si>
  <si>
    <r>
      <rPr>
        <rFont val="Roboto Serif"/>
        <b/>
        <color rgb="FFFF0000"/>
      </rPr>
      <t>DRISS</t>
    </r>
    <r>
      <rPr>
        <rFont val="Roboto Serif"/>
        <b/>
        <color rgb="FF000000"/>
      </rPr>
      <t xml:space="preserve">  (HABIBA ABBAKHA)</t>
    </r>
  </si>
  <si>
    <r>
      <rPr>
        <rFont val="Roboto Serif"/>
        <b/>
        <color rgb="FFFF0000"/>
      </rPr>
      <t xml:space="preserve">DRISS </t>
    </r>
    <r>
      <rPr>
        <rFont val="Roboto Serif"/>
        <b/>
        <color rgb="FF000000"/>
      </rPr>
      <t xml:space="preserve"> (SMIRA FAHIMI)</t>
    </r>
  </si>
  <si>
    <r>
      <rPr>
        <rFont val="Roboto Serif"/>
        <b/>
        <color rgb="FFFF0000"/>
      </rPr>
      <t xml:space="preserve">DRISS </t>
    </r>
    <r>
      <rPr>
        <rFont val="Roboto Serif"/>
        <b/>
        <color rgb="FF000000"/>
      </rPr>
      <t xml:space="preserve"> (SMIRA FAHIMI)</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</si>
  <si>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</si>
  <si>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</si>
  <si>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</si>
  <si>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</si>
  <si>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</si>
  <si>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</si>
  <si>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</si>
  <si>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</si>
  <si>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</si>
  <si>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</si>
  <si>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</si>
  <si>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</si>
  <si>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</si>
  <si>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</si>
  <si>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</si>
  <si>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</si>
  <si>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</si>
  <si>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</si>
  <si>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</si>
  <si>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FF0000"/>
      </rPr>
      <t>DRISS</t>
    </r>
    <r>
      <rPr>
        <rFont val="Roboto Serif"/>
        <b/>
        <color rgb="FF000000"/>
      </rPr>
      <t xml:space="preserve">  (HABIBA ABBAKHA)</t>
    </r>
  </si>
  <si>
    <r>
      <rPr>
        <rFont val="Roboto Serif"/>
        <b/>
        <color rgb="FF000000"/>
      </rPr>
      <t xml:space="preserve">EQUIPE </t>
    </r>
    <r>
      <rPr>
        <rFont val="Roboto Serif"/>
        <b/>
        <color rgb="FFFF0000"/>
      </rPr>
      <t>SAID</t>
    </r>
    <r>
      <rPr>
        <rFont val="Roboto Serif"/>
        <b/>
        <color rgb="FF000000"/>
      </rPr>
      <t xml:space="preserve"> (BELAID)</t>
    </r>
  </si>
  <si>
    <t>PAR   "HE"</t>
  </si>
  <si>
    <r>
      <rPr>
        <rFont val="Roboto Serif"/>
        <b/>
        <color rgb="FF000000"/>
      </rPr>
      <t>EQUIPE KAMARA (</t>
    </r>
    <r>
      <rPr>
        <rFont val="Roboto Serif"/>
        <b/>
        <color rgb="FFFF0000"/>
      </rPr>
      <t>BELAID</t>
    </r>
    <r>
      <rPr>
        <rFont val="Roboto Serif"/>
        <b/>
        <color rgb="FF000000"/>
      </rPr>
      <t xml:space="preserve">) </t>
    </r>
  </si>
  <si>
    <t xml:space="preserve">VOYAGE </t>
  </si>
  <si>
    <r>
      <rPr>
        <rFont val="Roboto Serif"/>
        <b/>
        <color rgb="FF000000"/>
      </rPr>
      <t>EQUIPE KAMARA (</t>
    </r>
    <r>
      <rPr>
        <rFont val="Roboto Serif"/>
        <b/>
        <color rgb="FFFF0000"/>
      </rPr>
      <t>BELAID</t>
    </r>
    <r>
      <rPr>
        <rFont val="Roboto Serif"/>
        <b/>
        <color rgb="FF000000"/>
      </rPr>
      <t xml:space="preserve">) </t>
    </r>
  </si>
  <si>
    <r>
      <rPr>
        <rFont val="Roboto Serif"/>
        <b/>
        <color rgb="FF000000"/>
      </rPr>
      <t>EQUIPE</t>
    </r>
    <r>
      <rPr>
        <rFont val="Roboto Serif"/>
        <b/>
        <color rgb="FFFF0000"/>
      </rPr>
      <t xml:space="preserve"> SAID</t>
    </r>
    <r>
      <rPr>
        <rFont val="Roboto Serif"/>
        <b/>
        <color rgb="FF000000"/>
      </rPr>
      <t xml:space="preserve"> (BELAID)</t>
    </r>
  </si>
  <si>
    <r>
      <rPr>
        <rFont val="Roboto Serif"/>
        <b/>
        <color rgb="FF000000"/>
      </rPr>
      <t xml:space="preserve">EQUIPE </t>
    </r>
    <r>
      <rPr>
        <rFont val="Roboto Serif"/>
        <b/>
        <color rgb="FFFF0000"/>
      </rPr>
      <t>SAID</t>
    </r>
    <r>
      <rPr>
        <rFont val="Roboto Serif"/>
        <b/>
        <color rgb="FF000000"/>
      </rPr>
      <t xml:space="preserve"> (BELAID)</t>
    </r>
  </si>
  <si>
    <r>
      <rPr>
        <rFont val="Roboto Serif"/>
        <b/>
        <color rgb="FF000000"/>
      </rPr>
      <t>EQUIPE KAMARA (</t>
    </r>
    <r>
      <rPr>
        <rFont val="Roboto Serif"/>
        <b/>
        <color rgb="FFFF0000"/>
      </rPr>
      <t>BELAID</t>
    </r>
    <r>
      <rPr>
        <rFont val="Roboto Serif"/>
        <b/>
        <color rgb="FF000000"/>
      </rPr>
      <t xml:space="preserve">) </t>
    </r>
  </si>
  <si>
    <r>
      <rPr>
        <rFont val="Roboto Serif"/>
        <b/>
        <color rgb="FF000000"/>
      </rPr>
      <t xml:space="preserve">EQUIPE </t>
    </r>
    <r>
      <rPr>
        <rFont val="Roboto Serif"/>
        <b/>
        <color rgb="FFFF0000"/>
      </rPr>
      <t>SAID</t>
    </r>
    <r>
      <rPr>
        <rFont val="Roboto Serif"/>
        <b/>
        <color rgb="FF000000"/>
      </rPr>
      <t xml:space="preserve"> (BELAID)</t>
    </r>
  </si>
  <si>
    <t xml:space="preserve">EQUIPE KAMARA (BELAID) </t>
  </si>
  <si>
    <r>
      <rPr>
        <rFont val="Roboto Serif"/>
        <b/>
        <color rgb="FF000000"/>
      </rPr>
      <t>EQUIPE</t>
    </r>
    <r>
      <rPr>
        <rFont val="Roboto Serif"/>
        <b/>
        <color rgb="FFFF0000"/>
      </rPr>
      <t xml:space="preserve"> SAID</t>
    </r>
    <r>
      <rPr>
        <rFont val="Roboto Serif"/>
        <b/>
        <color rgb="FF000000"/>
      </rPr>
      <t xml:space="preserve"> (BELAID)</t>
    </r>
  </si>
  <si>
    <r>
      <rPr>
        <rFont val="Roboto Serif"/>
        <b/>
        <color rgb="FF000000"/>
      </rPr>
      <t>EQUIPE</t>
    </r>
    <r>
      <rPr>
        <rFont val="Roboto Serif"/>
        <b/>
        <color rgb="FFFF0000"/>
      </rPr>
      <t xml:space="preserve"> SAID</t>
    </r>
    <r>
      <rPr>
        <rFont val="Roboto Serif"/>
        <b/>
        <color rgb="FF000000"/>
      </rPr>
      <t xml:space="preserve"> (BELAID)</t>
    </r>
  </si>
  <si>
    <r>
      <rPr>
        <rFont val="Roboto Serif"/>
        <b/>
        <color rgb="FF000000"/>
      </rPr>
      <t>EQUIPE</t>
    </r>
    <r>
      <rPr>
        <rFont val="Roboto Serif"/>
        <b/>
        <color rgb="FFFF0000"/>
      </rPr>
      <t xml:space="preserve"> SAID</t>
    </r>
    <r>
      <rPr>
        <rFont val="Roboto Serif"/>
        <b/>
        <color rgb="FF000000"/>
      </rPr>
      <t xml:space="preserve"> (BELAID)</t>
    </r>
  </si>
  <si>
    <r>
      <rPr>
        <rFont val="Roboto Serif"/>
        <b/>
        <color rgb="FF000000"/>
      </rPr>
      <t>EQUIPE</t>
    </r>
    <r>
      <rPr>
        <rFont val="Roboto Serif"/>
        <b/>
        <color rgb="FFFF0000"/>
      </rPr>
      <t xml:space="preserve"> SAID</t>
    </r>
    <r>
      <rPr>
        <rFont val="Roboto Serif"/>
        <b/>
        <color rgb="FF000000"/>
      </rPr>
      <t xml:space="preserve"> (BELAID)</t>
    </r>
  </si>
  <si>
    <r>
      <rPr>
        <rFont val="Roboto Serif"/>
        <b/>
        <color rgb="FF000000"/>
      </rPr>
      <t>EQUIPE</t>
    </r>
    <r>
      <rPr>
        <rFont val="Roboto Serif"/>
        <b/>
        <color rgb="FFFF0000"/>
      </rPr>
      <t xml:space="preserve"> SAID</t>
    </r>
    <r>
      <rPr>
        <rFont val="Roboto Serif"/>
        <b/>
        <color rgb="FF000000"/>
      </rPr>
      <t xml:space="preserve"> (BELAID)</t>
    </r>
  </si>
  <si>
    <t>EFFEUILLAGE</t>
  </si>
  <si>
    <t>EQUIPE ADIL (BELAID)</t>
  </si>
  <si>
    <t>EQUIPE YOUSSEF (BELAID)</t>
  </si>
  <si>
    <t>Suivi Opération Pw010</t>
  </si>
  <si>
    <t>BELAID(HADIA)</t>
  </si>
  <si>
    <t>caporale</t>
  </si>
  <si>
    <t>OUvrier</t>
  </si>
  <si>
    <t xml:space="preserve">BELAIDI (HAFIDA) </t>
  </si>
  <si>
    <t>RECOLT+ SELECTION</t>
  </si>
  <si>
    <t xml:space="preserve">BELAIDI (BRAHIM) </t>
  </si>
  <si>
    <t>RECOLT+SELECTION</t>
  </si>
  <si>
    <t>1007/1006</t>
  </si>
  <si>
    <t>jrs</t>
  </si>
  <si>
    <t xml:space="preserve">BELAIDI (SAID) </t>
  </si>
  <si>
    <t>1006+1004</t>
  </si>
  <si>
    <t xml:space="preserve">BELAIDI (OMAR) </t>
  </si>
  <si>
    <t>RECOLT+SELECTION+NETOYAGE</t>
  </si>
  <si>
    <t>NETOYAGE</t>
  </si>
  <si>
    <t xml:space="preserve">RECOLT +SELECTION </t>
  </si>
  <si>
    <t>1007+1003</t>
  </si>
  <si>
    <t>Suivi Opération Pw011</t>
  </si>
  <si>
    <t>EQUIPE HADIA (BELAID)</t>
  </si>
  <si>
    <t>SECTEUR 01</t>
  </si>
  <si>
    <t>Suivi Opération Pw12</t>
  </si>
  <si>
    <t>TOTAL Paye</t>
  </si>
  <si>
    <t xml:space="preserve">Total  Transport </t>
  </si>
  <si>
    <t>SERR 31 (1,40095) HT</t>
  </si>
  <si>
    <t>BALEID MOHAMED AIN (MANSOURI)</t>
  </si>
  <si>
    <t>PW012</t>
  </si>
  <si>
    <t>SERR 30 (1,4094) HT</t>
  </si>
  <si>
    <t>SERR 29 (1,3595) HT</t>
  </si>
  <si>
    <t>SERR 8 (  1,15 HT  )</t>
  </si>
  <si>
    <t>BALEID MOHAMED KHMISE (MANSOURI)</t>
  </si>
  <si>
    <t>SERR 7  ( 1,2 HT )</t>
  </si>
  <si>
    <t>SERR 5 (1,2018) HT</t>
  </si>
  <si>
    <t>SERR 9(1,1983)HT</t>
  </si>
  <si>
    <t>SERR 20 (1,6122) HT</t>
  </si>
  <si>
    <t>BELAID HAFID (MANSOURI)</t>
  </si>
  <si>
    <t>( SERR 31 1,40095 ht) + ( SERR 30 1,4094) HT</t>
  </si>
  <si>
    <t xml:space="preserve">SERR 19 ( 1,373) HT </t>
  </si>
  <si>
    <t>BALEID HAFID (MANSOURI)</t>
  </si>
  <si>
    <t xml:space="preserve"> ( SERR 28   0,5793 H)+ (  SERR 27  1,4617 H)</t>
  </si>
  <si>
    <t>SERR 15 ( 1,0506 H )</t>
  </si>
  <si>
    <t xml:space="preserve"> EL MAHDI (MANSOURI )</t>
  </si>
  <si>
    <t>(SERR 21  1,4516 H)+(SERR 18  1,4506 H)</t>
  </si>
  <si>
    <t>FINITION  SERR 6 ( 1,2032 H)</t>
  </si>
  <si>
    <t>SERR 27 ( 1,4617 H)</t>
  </si>
  <si>
    <t>( BALAID MANSOURI )</t>
  </si>
  <si>
    <t>SERR 28 ( 0,5793 ) + SERR 27 ( 1,46617 )  1/2</t>
  </si>
  <si>
    <t>BALAID + MANSOURI  ( MOHAMED AIT TMAA )</t>
  </si>
  <si>
    <t>SERR 27 ( 1,46617 ) + SERR 8  ( 1,1502    ) 1/2</t>
  </si>
  <si>
    <t>BELAID MANSOURI ( KARIM)</t>
  </si>
  <si>
    <t>SERR 1 ( 0,4788 ) + SERR 18 ( 1,4506 ) + SERR 19 ( 1,373 )</t>
  </si>
  <si>
    <t xml:space="preserve">HAFID </t>
  </si>
  <si>
    <t>(SERR  20 ( 1,6122 )  + SERR 2 ( 1,1994 ) generalise  )+ SERR 3 ( 1,1981 )</t>
  </si>
  <si>
    <t>SERR 8 ( 1,1502 )  + SERR 5 ( 1,2018 )</t>
  </si>
  <si>
    <t>BALEID  / MANSOURI MOHAMED TAMAA</t>
  </si>
  <si>
    <t xml:space="preserve">SERR 6  ( 1,2032 ) SEMI FINI </t>
  </si>
  <si>
    <t>SERR 6 ( 1,2032 ) +SERR 18 ( 1,4506 )</t>
  </si>
  <si>
    <t>SEER 9 ( 1,1983 ) + SERR 19 ( 1,373 ) + SERR 18 ( 1,4506 ) + SERR 7 ( 1,2 )</t>
  </si>
  <si>
    <t>SEER 21 ( 1,4516 ) GENERALISATION + NETOYAGE SERR 9 ( 1,1983 )  +SERR 10 ( 1,1441 )  +SERR 11 ( 1,1988 ) + SERR 12 ( 1,1979 )</t>
  </si>
  <si>
    <t>HAFID</t>
  </si>
  <si>
    <t>SERR 11 (  1,1988        )  + SERR 18  (    1,4506    )</t>
  </si>
  <si>
    <t>BALEID ( HAFIDA )</t>
  </si>
  <si>
    <t xml:space="preserve">SERR 12 ( 1,1979      ) + SERR  21 (  1,4516     ) </t>
  </si>
  <si>
    <t>BELAID ( MOHAMED TMAA ZAHIRA )</t>
  </si>
  <si>
    <t>SEER 1   + SERR 2 + SERR 12   SERR 13    SERR 14</t>
  </si>
  <si>
    <t>SERR 18 ( 1,4506 ) + SERR 19 (1,373 )</t>
  </si>
  <si>
    <t>BALEID (KARIM )</t>
  </si>
  <si>
    <t>SERR 15 +SEER 16 + SERR 17 + SERR 13 +SERR 12 +SERR 4 + SERR  5 + SERR 10 + SERR 9</t>
  </si>
  <si>
    <t>!!!!!!!!!</t>
  </si>
  <si>
    <t>BALEID ( KARIM )</t>
  </si>
  <si>
    <t xml:space="preserve">SERR  19 (    ) + SEER  22 (    ) </t>
  </si>
  <si>
    <t xml:space="preserve">BALEID ( MOHAMED TMAAA ) </t>
  </si>
  <si>
    <t>??????</t>
  </si>
  <si>
    <t>RAMASSAGE GOUTEUR ( SERR 3 + SERR 4 ) ---- CHARGE GOUTUER SERR 18 + SERR 20 +DESHERBACHE SERR 1+ SERR 2+ SERR 3</t>
  </si>
  <si>
    <t>EQUIPE KARIM (BALEID )</t>
  </si>
  <si>
    <t>SERR 15 +SERR 16 +SERR 17</t>
  </si>
  <si>
    <t>EQUIPE HAFID</t>
  </si>
  <si>
    <t xml:space="preserve">SERR 4 +SERR 10 +SERR 12 +SERR 11 </t>
  </si>
  <si>
    <t xml:space="preserve">EQUIPE KARIM </t>
  </si>
  <si>
    <t>TRACTERISTE (EN NOIR )</t>
  </si>
  <si>
    <t>SERR 3 SERR 2</t>
  </si>
  <si>
    <t>EQUIPE MOHAMED TMAA</t>
  </si>
  <si>
    <t>SERR 16 +SERR 15 +SERR 17 +SERR 39</t>
  </si>
  <si>
    <t xml:space="preserve">EQUIPE HAFID </t>
  </si>
  <si>
    <t>SERR 10 + SERR 12  FINITION</t>
  </si>
  <si>
    <t>EQUIPE MOHAMED TAMAA ( BALEID )</t>
  </si>
  <si>
    <t>SERR 12+ SERR 13 SERR 14  FINITION</t>
  </si>
  <si>
    <t>EQUIPE KARIM ( BALEID )</t>
  </si>
  <si>
    <t>SERR 39</t>
  </si>
  <si>
    <t>NETTOYAGE SERR 38 + SERR 39</t>
  </si>
  <si>
    <t>FINITION SERR 12 +SERR 13</t>
  </si>
  <si>
    <t>SERR 14 +SERR 15+ SERR 16</t>
  </si>
  <si>
    <t>AIT AMERA</t>
  </si>
  <si>
    <t>EQUIPE  KHALID (BELAID )</t>
  </si>
  <si>
    <t>FINITION SERR 13 SERR 14</t>
  </si>
  <si>
    <t>SERR 13 +SERR  14</t>
  </si>
  <si>
    <t>NETTOYAGE FENITION SERR 36 +SERR 37</t>
  </si>
  <si>
    <t>SERR  18 + SERR 19 + SERR 20 + SERR 2</t>
  </si>
  <si>
    <t>EQUIPE KHALID (BALEID</t>
  </si>
  <si>
    <t xml:space="preserve">SERR15 +SERR 16 +SERR 17 +SERR 14 +SERR 12 </t>
  </si>
  <si>
    <t>NETTOYAGE SERR 15 +SERR 16</t>
  </si>
  <si>
    <t>EQUIPE MOHAMED TAMAA</t>
  </si>
  <si>
    <t>SERR 1 + SERR 2 + SERR 3 + SERR4</t>
  </si>
  <si>
    <t>SERR 1+SER 2 +SER 3</t>
  </si>
  <si>
    <t>SERR  38 + SERR 39</t>
  </si>
  <si>
    <t>EQUIPE MOHAMED  (ZAHIRA ) TAMAA</t>
  </si>
  <si>
    <t>serr 9 +serr 18  + serr  2</t>
  </si>
  <si>
    <t>SERR 39 +SERR 36</t>
  </si>
  <si>
    <t>SERR 34 +SEER 35 +SERR 37</t>
  </si>
  <si>
    <t>SERR 12 + SERR 13 +SERR 10</t>
  </si>
  <si>
    <t>SERR 17 +SERR 16 + SERR 14</t>
  </si>
  <si>
    <t>,,,,,,,</t>
  </si>
  <si>
    <t>SERR 38 +SERR 39 +SERR 34+ SERR 13 +SERR 14</t>
  </si>
  <si>
    <t>SERR 38 + SERR 17 + SEER 15 +SEER 16</t>
  </si>
  <si>
    <t xml:space="preserve">Nettoyage de bassin </t>
  </si>
  <si>
    <t xml:space="preserve">EQUIPE AMINE BOUNGUI </t>
  </si>
  <si>
    <t>Serre [39+10+15+16+17]</t>
  </si>
  <si>
    <t>Serre [27+28]</t>
  </si>
  <si>
    <t>Serre [39+15+16]</t>
  </si>
  <si>
    <t>Suivi Opération par Ha Pw013</t>
  </si>
  <si>
    <t>PRIX</t>
  </si>
  <si>
    <t>supr</t>
  </si>
  <si>
    <t>NOTE</t>
  </si>
  <si>
    <t>Totale PAR DH</t>
  </si>
  <si>
    <t>ECHASSIER DESINSTALLATION FICELLE</t>
  </si>
  <si>
    <t>Serre [39+02+04+13+14]</t>
  </si>
  <si>
    <t xml:space="preserve">BELAID </t>
  </si>
  <si>
    <t>ils ont été payés</t>
  </si>
  <si>
    <t>INSTALLATION t-tap +paig</t>
  </si>
  <si>
    <t>BELAID (hafid)</t>
  </si>
  <si>
    <t>-800 DH</t>
  </si>
  <si>
    <t>2362,2</t>
  </si>
  <si>
    <t>Serre [11+12]</t>
  </si>
  <si>
    <t>BELAID (mohamed)</t>
  </si>
  <si>
    <t>BELAID ( SAID HOUARA  )</t>
  </si>
  <si>
    <t>Serre [13+14]</t>
  </si>
  <si>
    <t>BELAID (SAGHRINI)</t>
  </si>
  <si>
    <t>BELAID ( SAID BIOUGRA  )</t>
  </si>
  <si>
    <t>Serre [15+16]</t>
  </si>
  <si>
    <t>Serre [14+13+16+17+34+37+38]</t>
  </si>
  <si>
    <t>-200 DH</t>
  </si>
  <si>
    <t>1014</t>
  </si>
  <si>
    <t>Serre [13+14+10+11+03+17+16+34+35+38+39]</t>
  </si>
  <si>
    <t>Serre [17+18+38+39]</t>
  </si>
  <si>
    <t>avonce 10,000 dh</t>
  </si>
  <si>
    <t>Serre [16+18+38+39]</t>
  </si>
  <si>
    <t>Serre [16+19+38+39]</t>
  </si>
  <si>
    <t>Serre [30+31+38+39]</t>
  </si>
  <si>
    <t>belaid (SOUFIYANE)</t>
  </si>
  <si>
    <t xml:space="preserve">Perçage </t>
  </si>
  <si>
    <t>Serre 31</t>
  </si>
  <si>
    <r>
      <rPr>
        <rFont val="Lexend"/>
        <b/>
        <color theme="1"/>
        <sz val="11.0"/>
      </rPr>
      <t>EQUIPE KAMAL (</t>
    </r>
    <r>
      <rPr>
        <rFont val="Lexend"/>
        <b/>
        <color rgb="FFFF0000"/>
        <sz val="11.0"/>
      </rPr>
      <t>BELAID</t>
    </r>
    <r>
      <rPr>
        <rFont val="Lexend"/>
        <b/>
        <color theme="1"/>
        <sz val="11.0"/>
      </rPr>
      <t>)</t>
    </r>
  </si>
  <si>
    <t>3200</t>
  </si>
  <si>
    <r>
      <rPr>
        <rFont val="Lexend"/>
        <b/>
        <color theme="1"/>
        <sz val="11.0"/>
      </rPr>
      <t>EQUIPE KAMAL (</t>
    </r>
    <r>
      <rPr>
        <rFont val="Lexend"/>
        <b/>
        <color rgb="FFFF0000"/>
        <sz val="11.0"/>
      </rPr>
      <t>BELAID</t>
    </r>
    <r>
      <rPr>
        <rFont val="Lexend"/>
        <b/>
        <color theme="1"/>
        <sz val="11.0"/>
      </rPr>
      <t>)</t>
    </r>
  </si>
  <si>
    <r>
      <rPr>
        <rFont val="Lexend"/>
        <b/>
        <color theme="1"/>
        <sz val="11.0"/>
      </rPr>
      <t>Serre 20(</t>
    </r>
    <r>
      <rPr>
        <rFont val="Lexend"/>
        <b/>
        <color rgb="FFFF00FF"/>
        <sz val="11.0"/>
      </rPr>
      <t>1/2</t>
    </r>
    <r>
      <rPr>
        <rFont val="Lexend"/>
        <b/>
        <color theme="1"/>
        <sz val="11.0"/>
      </rPr>
      <t xml:space="preserve">) </t>
    </r>
  </si>
  <si>
    <r>
      <rPr>
        <rFont val="Lexend"/>
        <b/>
        <color theme="1"/>
        <sz val="11.0"/>
      </rPr>
      <t>EQUIPE SAID (</t>
    </r>
    <r>
      <rPr>
        <rFont val="Lexend"/>
        <b/>
        <color rgb="FFFF0000"/>
        <sz val="11.0"/>
      </rPr>
      <t>BELAID</t>
    </r>
    <r>
      <rPr>
        <rFont val="Lexend"/>
        <b/>
        <color theme="1"/>
        <sz val="11.0"/>
      </rPr>
      <t>)</t>
    </r>
  </si>
  <si>
    <t>Serre [27+35+17+28+29+30]</t>
  </si>
  <si>
    <t>Serre  21</t>
  </si>
  <si>
    <r>
      <rPr>
        <rFont val="Lexend"/>
        <b/>
        <color theme="1"/>
        <sz val="11.0"/>
      </rPr>
      <t>EQUIPE SAID (</t>
    </r>
    <r>
      <rPr>
        <rFont val="Lexend"/>
        <b/>
        <color rgb="FFFF0000"/>
        <sz val="11.0"/>
      </rPr>
      <t>BELAID</t>
    </r>
    <r>
      <rPr>
        <rFont val="Lexend"/>
        <b/>
        <color theme="1"/>
        <sz val="11.0"/>
      </rPr>
      <t>)</t>
    </r>
  </si>
  <si>
    <t>Nettoyage les alles ferme</t>
  </si>
  <si>
    <t>Serre 35</t>
  </si>
  <si>
    <r>
      <rPr>
        <rFont val="Lexend"/>
        <b/>
        <color theme="1"/>
        <sz val="11.0"/>
      </rPr>
      <t>EQUIPE SAID (</t>
    </r>
    <r>
      <rPr>
        <rFont val="Lexend"/>
        <b/>
        <color rgb="FFFF0000"/>
        <sz val="11.0"/>
      </rPr>
      <t>BELAID</t>
    </r>
    <r>
      <rPr>
        <rFont val="Lexend"/>
        <b/>
        <color theme="1"/>
        <sz val="11.0"/>
      </rPr>
      <t>)</t>
    </r>
  </si>
  <si>
    <t>Serre 34</t>
  </si>
  <si>
    <r>
      <rPr>
        <rFont val="Lexend"/>
        <b/>
        <color theme="1"/>
        <sz val="11.0"/>
      </rPr>
      <t>EQUIPE SAID (</t>
    </r>
    <r>
      <rPr>
        <rFont val="Lexend"/>
        <b/>
        <color rgb="FFFF0000"/>
        <sz val="11.0"/>
      </rPr>
      <t>BELAID</t>
    </r>
    <r>
      <rPr>
        <rFont val="Lexend"/>
        <b/>
        <color theme="1"/>
        <sz val="11.0"/>
      </rPr>
      <t>)</t>
    </r>
  </si>
  <si>
    <t>Serre 37</t>
  </si>
  <si>
    <r>
      <rPr>
        <rFont val="Lexend"/>
        <b/>
        <color theme="1"/>
        <sz val="11.0"/>
      </rPr>
      <t>EQUIPE SAID (</t>
    </r>
    <r>
      <rPr>
        <rFont val="Lexend"/>
        <b/>
        <color rgb="FFFF0000"/>
        <sz val="11.0"/>
      </rPr>
      <t>BELAID</t>
    </r>
    <r>
      <rPr>
        <rFont val="Lexend"/>
        <b/>
        <color theme="1"/>
        <sz val="11.0"/>
      </rPr>
      <t>)</t>
    </r>
  </si>
  <si>
    <t xml:space="preserve">Nettoyage les alles ferme + charge/decharge  </t>
  </si>
  <si>
    <t>CHEF DOMAINE</t>
  </si>
  <si>
    <t>AGENT RH</t>
  </si>
  <si>
    <t>Serre 38</t>
  </si>
  <si>
    <r>
      <rPr>
        <rFont val="Lexend"/>
        <b/>
        <color theme="1"/>
        <sz val="11.0"/>
      </rPr>
      <t>EQUIPE SAID (</t>
    </r>
    <r>
      <rPr>
        <rFont val="Lexend"/>
        <b/>
        <color rgb="FFFF0000"/>
        <sz val="11.0"/>
      </rPr>
      <t>BELAID</t>
    </r>
    <r>
      <rPr>
        <rFont val="Lexend"/>
        <b/>
        <color theme="1"/>
        <sz val="11.0"/>
      </rPr>
      <t>)</t>
    </r>
  </si>
  <si>
    <t>Serre 39</t>
  </si>
  <si>
    <r>
      <rPr>
        <rFont val="Lexend"/>
        <b/>
        <color theme="1"/>
        <sz val="11.0"/>
      </rPr>
      <t>EQUIPE SAID (</t>
    </r>
    <r>
      <rPr>
        <rFont val="Lexend"/>
        <b/>
        <color rgb="FFFF0000"/>
        <sz val="11.0"/>
      </rPr>
      <t>BELAID</t>
    </r>
    <r>
      <rPr>
        <rFont val="Lexend"/>
        <b/>
        <color theme="1"/>
        <sz val="11.0"/>
      </rPr>
      <t>)</t>
    </r>
  </si>
  <si>
    <t>Serre 01+02</t>
  </si>
  <si>
    <r>
      <rPr>
        <rFont val="Lexend"/>
        <b/>
        <color theme="1"/>
        <sz val="11.0"/>
      </rPr>
      <t>EQUIPE SAID (</t>
    </r>
    <r>
      <rPr>
        <rFont val="Lexend"/>
        <b/>
        <color rgb="FFFF0000"/>
        <sz val="11.0"/>
      </rPr>
      <t>BELAID</t>
    </r>
    <r>
      <rPr>
        <rFont val="Lexend"/>
        <b/>
        <color theme="1"/>
        <sz val="11.0"/>
      </rPr>
      <t>)</t>
    </r>
  </si>
  <si>
    <t>Serre 06</t>
  </si>
  <si>
    <r>
      <rPr>
        <rFont val="Lexend"/>
        <b/>
        <color theme="1"/>
        <sz val="11.0"/>
      </rPr>
      <t>EQUIPE SAID (</t>
    </r>
    <r>
      <rPr>
        <rFont val="Lexend"/>
        <b/>
        <color rgb="FFFF0000"/>
        <sz val="11.0"/>
      </rPr>
      <t>BELAID</t>
    </r>
    <r>
      <rPr>
        <rFont val="Lexend"/>
        <b/>
        <color theme="1"/>
        <sz val="11.0"/>
      </rPr>
      <t>)</t>
    </r>
  </si>
  <si>
    <t>Serre 05</t>
  </si>
  <si>
    <r>
      <rPr>
        <rFont val="Lexend"/>
        <b/>
        <color theme="1"/>
        <sz val="11.0"/>
      </rPr>
      <t>EQUIPE SAID (</t>
    </r>
    <r>
      <rPr>
        <rFont val="Lexend"/>
        <b/>
        <color rgb="FFFF0000"/>
        <sz val="11.0"/>
      </rPr>
      <t>BELAID</t>
    </r>
    <r>
      <rPr>
        <rFont val="Lexend"/>
        <b/>
        <color theme="1"/>
        <sz val="11.0"/>
      </rPr>
      <t>)</t>
    </r>
  </si>
  <si>
    <t>Serre 07+08</t>
  </si>
  <si>
    <r>
      <rPr>
        <rFont val="Lexend"/>
        <b/>
        <color theme="1"/>
        <sz val="11.0"/>
      </rPr>
      <t>EQUIPE SAID (</t>
    </r>
    <r>
      <rPr>
        <rFont val="Lexend"/>
        <b/>
        <color rgb="FFFF0000"/>
        <sz val="11.0"/>
      </rPr>
      <t>BELAID</t>
    </r>
    <r>
      <rPr>
        <rFont val="Lexend"/>
        <b/>
        <color theme="1"/>
        <sz val="11.0"/>
      </rPr>
      <t>)</t>
    </r>
  </si>
  <si>
    <t>Serre 09</t>
  </si>
  <si>
    <r>
      <rPr>
        <rFont val="Lexend"/>
        <b/>
        <color theme="1"/>
        <sz val="11.0"/>
      </rPr>
      <t>EQUIPE SAID (</t>
    </r>
    <r>
      <rPr>
        <rFont val="Lexend"/>
        <b/>
        <color rgb="FFFF0000"/>
        <sz val="11.0"/>
      </rPr>
      <t>BELAID</t>
    </r>
    <r>
      <rPr>
        <rFont val="Lexend"/>
        <b/>
        <color theme="1"/>
        <sz val="11.0"/>
      </rPr>
      <t>)</t>
    </r>
  </si>
  <si>
    <t>Serre 03</t>
  </si>
  <si>
    <r>
      <rPr>
        <rFont val="Lexend"/>
        <b/>
        <color theme="1"/>
        <sz val="11.0"/>
      </rPr>
      <t>EQUIPE SAID (</t>
    </r>
    <r>
      <rPr>
        <rFont val="Lexend"/>
        <b/>
        <color rgb="FFFF0000"/>
        <sz val="11.0"/>
      </rPr>
      <t>BELAID</t>
    </r>
    <r>
      <rPr>
        <rFont val="Lexend"/>
        <b/>
        <color theme="1"/>
        <sz val="11.0"/>
      </rPr>
      <t>)</t>
    </r>
  </si>
  <si>
    <t>Serre 04</t>
  </si>
  <si>
    <r>
      <rPr>
        <rFont val="Lexend"/>
        <b/>
        <color theme="1"/>
        <sz val="11.0"/>
      </rPr>
      <t>EQUIPE SAID (</t>
    </r>
    <r>
      <rPr>
        <rFont val="Lexend"/>
        <b/>
        <color rgb="FFFF0000"/>
        <sz val="11.0"/>
      </rPr>
      <t>BELAID</t>
    </r>
    <r>
      <rPr>
        <rFont val="Lexend"/>
        <b/>
        <color theme="1"/>
        <sz val="11.0"/>
      </rPr>
      <t>)</t>
    </r>
  </si>
  <si>
    <t>Serre 10+12</t>
  </si>
  <si>
    <r>
      <rPr>
        <rFont val="Lexend"/>
        <b/>
        <color theme="1"/>
        <sz val="11.0"/>
      </rPr>
      <t>EQUIPE SAID (</t>
    </r>
    <r>
      <rPr>
        <rFont val="Lexend"/>
        <b/>
        <color rgb="FFFF0000"/>
        <sz val="11.0"/>
      </rPr>
      <t>BELAID</t>
    </r>
    <r>
      <rPr>
        <rFont val="Lexend"/>
        <b/>
        <color theme="1"/>
        <sz val="11.0"/>
      </rPr>
      <t>)</t>
    </r>
  </si>
  <si>
    <r>
      <rPr>
        <rFont val="Lexend"/>
        <b/>
        <color theme="1"/>
        <sz val="11.0"/>
      </rPr>
      <t>EQUIPE RACHIDA (</t>
    </r>
    <r>
      <rPr>
        <rFont val="Lexend"/>
        <b/>
        <color rgb="FFFF0000"/>
        <sz val="11.0"/>
      </rPr>
      <t>DRISS</t>
    </r>
    <r>
      <rPr>
        <rFont val="Lexend"/>
        <b/>
        <color theme="1"/>
        <sz val="11.0"/>
      </rPr>
      <t>)</t>
    </r>
  </si>
  <si>
    <t>Serre 11</t>
  </si>
  <si>
    <r>
      <rPr>
        <rFont val="Lexend"/>
        <b/>
        <color theme="1"/>
        <sz val="11.0"/>
      </rPr>
      <t>EQUIPE SAID (</t>
    </r>
    <r>
      <rPr>
        <rFont val="Lexend"/>
        <b/>
        <color rgb="FFFF0000"/>
        <sz val="11.0"/>
      </rPr>
      <t>BELAID</t>
    </r>
    <r>
      <rPr>
        <rFont val="Lexend"/>
        <b/>
        <color theme="1"/>
        <sz val="11.0"/>
      </rPr>
      <t>)</t>
    </r>
  </si>
  <si>
    <t xml:space="preserve">Serre </t>
  </si>
  <si>
    <r>
      <rPr>
        <rFont val="Lexend"/>
        <b/>
        <color theme="1"/>
        <sz val="11.0"/>
      </rPr>
      <t>EQUIPE RACHIDA (</t>
    </r>
    <r>
      <rPr>
        <rFont val="Lexend"/>
        <b/>
        <color rgb="FFFF0000"/>
        <sz val="11.0"/>
      </rPr>
      <t>DRISS</t>
    </r>
    <r>
      <rPr>
        <rFont val="Lexend"/>
        <b/>
        <color theme="1"/>
        <sz val="11.0"/>
      </rPr>
      <t>)</t>
    </r>
  </si>
  <si>
    <t>Serre 13</t>
  </si>
  <si>
    <r>
      <rPr>
        <rFont val="Lexend"/>
        <b/>
        <color theme="1"/>
        <sz val="11.0"/>
      </rPr>
      <t>EQUIPE SAID (</t>
    </r>
    <r>
      <rPr>
        <rFont val="Lexend"/>
        <b/>
        <color rgb="FFFF0000"/>
        <sz val="11.0"/>
      </rPr>
      <t>BELAID</t>
    </r>
    <r>
      <rPr>
        <rFont val="Lexend"/>
        <b/>
        <color theme="1"/>
        <sz val="11.0"/>
      </rPr>
      <t>)</t>
    </r>
  </si>
  <si>
    <t>Serre 14+15</t>
  </si>
  <si>
    <r>
      <rPr>
        <rFont val="Lexend"/>
        <b/>
        <color theme="1"/>
        <sz val="11.0"/>
      </rPr>
      <t>EQUIPE SAID (</t>
    </r>
    <r>
      <rPr>
        <rFont val="Lexend"/>
        <b/>
        <color rgb="FFFF0000"/>
        <sz val="11.0"/>
      </rPr>
      <t>BELAID</t>
    </r>
    <r>
      <rPr>
        <rFont val="Lexend"/>
        <b/>
        <color theme="1"/>
        <sz val="11.0"/>
      </rPr>
      <t>)</t>
    </r>
  </si>
  <si>
    <t>Serre 16</t>
  </si>
  <si>
    <r>
      <rPr>
        <rFont val="Lexend"/>
        <b/>
        <color theme="1"/>
        <sz val="11.0"/>
      </rPr>
      <t>EQUIPE SAID (</t>
    </r>
    <r>
      <rPr>
        <rFont val="Lexend"/>
        <b/>
        <color rgb="FFFF0000"/>
        <sz val="11.0"/>
      </rPr>
      <t>BELAID</t>
    </r>
    <r>
      <rPr>
        <rFont val="Lexend"/>
        <b/>
        <color theme="1"/>
        <sz val="11.0"/>
      </rPr>
      <t>)</t>
    </r>
  </si>
  <si>
    <r>
      <rPr>
        <rFont val="Lexend"/>
        <b/>
        <color theme="1"/>
        <sz val="11.0"/>
      </rPr>
      <t>EQUIPE RACHIDA (</t>
    </r>
    <r>
      <rPr>
        <rFont val="Lexend"/>
        <b/>
        <color rgb="FFFF0000"/>
        <sz val="11.0"/>
      </rPr>
      <t>DRISS</t>
    </r>
    <r>
      <rPr>
        <rFont val="Lexend"/>
        <b/>
        <color theme="1"/>
        <sz val="11.0"/>
      </rPr>
      <t>)</t>
    </r>
  </si>
  <si>
    <t>Serre 17</t>
  </si>
  <si>
    <r>
      <rPr>
        <rFont val="Lexend"/>
        <b/>
        <color theme="1"/>
        <sz val="11.0"/>
      </rPr>
      <t>EQUIPE SAID (</t>
    </r>
    <r>
      <rPr>
        <rFont val="Lexend"/>
        <b/>
        <color rgb="FFFF0000"/>
        <sz val="11.0"/>
      </rPr>
      <t>BELAID</t>
    </r>
    <r>
      <rPr>
        <rFont val="Lexend"/>
        <b/>
        <color theme="1"/>
        <sz val="11.0"/>
      </rPr>
      <t>)</t>
    </r>
  </si>
  <si>
    <r>
      <rPr>
        <rFont val="Lexend"/>
        <b/>
        <color theme="1"/>
        <sz val="11.0"/>
      </rPr>
      <t>EQUIPE RACHIDA (</t>
    </r>
    <r>
      <rPr>
        <rFont val="Lexend"/>
        <b/>
        <color rgb="FFFF0000"/>
        <sz val="11.0"/>
      </rPr>
      <t>DRISS</t>
    </r>
    <r>
      <rPr>
        <rFont val="Lexend"/>
        <b/>
        <color theme="1"/>
        <sz val="11.0"/>
      </rPr>
      <t>)</t>
    </r>
  </si>
  <si>
    <t>PALISSAGE &amp; PINCEMENT</t>
  </si>
  <si>
    <t>Serre 08</t>
  </si>
  <si>
    <r>
      <rPr>
        <rFont val="Lexend"/>
        <b/>
        <color theme="1"/>
        <sz val="11.0"/>
      </rPr>
      <t>EQUIPE RACHIDA (</t>
    </r>
    <r>
      <rPr>
        <rFont val="Lexend"/>
        <b/>
        <color rgb="FFFF0000"/>
        <sz val="11.0"/>
      </rPr>
      <t>DRISS</t>
    </r>
    <r>
      <rPr>
        <rFont val="Lexend"/>
        <b/>
        <color theme="1"/>
        <sz val="11.0"/>
      </rPr>
      <t>)</t>
    </r>
  </si>
  <si>
    <t>PALISSAGE &amp; EBOURGEONNAGE</t>
  </si>
  <si>
    <r>
      <rPr>
        <rFont val="Lexend"/>
        <b/>
        <color theme="1"/>
        <sz val="11.0"/>
      </rPr>
      <t>EQUIPE RACHIDA (</t>
    </r>
    <r>
      <rPr>
        <rFont val="Lexend"/>
        <b/>
        <color rgb="FFFF0000"/>
        <sz val="11.0"/>
      </rPr>
      <t>DRISS</t>
    </r>
    <r>
      <rPr>
        <rFont val="Lexend"/>
        <b/>
        <color theme="1"/>
        <sz val="11.0"/>
      </rPr>
      <t>)</t>
    </r>
  </si>
  <si>
    <r>
      <rPr>
        <rFont val="Lexend"/>
        <b/>
        <color theme="1"/>
        <sz val="11.0"/>
      </rPr>
      <t>EQUIPE RACHIDA (</t>
    </r>
    <r>
      <rPr>
        <rFont val="Lexend"/>
        <b/>
        <color rgb="FFFF0000"/>
        <sz val="11.0"/>
      </rPr>
      <t>DRISS</t>
    </r>
    <r>
      <rPr>
        <rFont val="Lexend"/>
        <b/>
        <color theme="1"/>
        <sz val="11.0"/>
      </rPr>
      <t>)</t>
    </r>
  </si>
  <si>
    <t>Serre 36</t>
  </si>
  <si>
    <r>
      <rPr>
        <rFont val="Lexend"/>
        <b/>
        <color theme="1"/>
        <sz val="11.0"/>
      </rPr>
      <t>EQUIPE RACHIDA (</t>
    </r>
    <r>
      <rPr>
        <rFont val="Lexend"/>
        <b/>
        <color rgb="FFFF0000"/>
        <sz val="11.0"/>
      </rPr>
      <t>DRISS</t>
    </r>
    <r>
      <rPr>
        <rFont val="Lexend"/>
        <b/>
        <color theme="1"/>
        <sz val="11.0"/>
      </rPr>
      <t>)</t>
    </r>
  </si>
  <si>
    <t>EFFEILLAGE  &amp; EBOURGEONNAGE</t>
  </si>
  <si>
    <r>
      <rPr>
        <rFont val="Lexend"/>
        <b/>
        <color theme="1"/>
        <sz val="11.0"/>
      </rPr>
      <t>EQUIPE RACHIDA (</t>
    </r>
    <r>
      <rPr>
        <rFont val="Lexend"/>
        <b/>
        <color rgb="FFFF0000"/>
        <sz val="11.0"/>
      </rPr>
      <t>DRISS</t>
    </r>
    <r>
      <rPr>
        <rFont val="Lexend"/>
        <b/>
        <color theme="1"/>
        <sz val="11.0"/>
      </rPr>
      <t>)</t>
    </r>
  </si>
  <si>
    <t>Serre 28+29</t>
  </si>
  <si>
    <r>
      <rPr>
        <rFont val="Lexend"/>
        <b/>
        <color theme="1"/>
        <sz val="11.0"/>
      </rPr>
      <t>EQUIPE RACHIDA (</t>
    </r>
    <r>
      <rPr>
        <rFont val="Lexend"/>
        <b/>
        <color rgb="FFFF0000"/>
        <sz val="11.0"/>
      </rPr>
      <t>DRISS</t>
    </r>
    <r>
      <rPr>
        <rFont val="Lexend"/>
        <b/>
        <color theme="1"/>
        <sz val="11.0"/>
      </rPr>
      <t>)</t>
    </r>
  </si>
  <si>
    <r>
      <rPr>
        <rFont val="Lexend"/>
        <b/>
        <color theme="1"/>
        <sz val="11.0"/>
      </rPr>
      <t>EQUIPE BOUCHRA  (</t>
    </r>
    <r>
      <rPr>
        <rFont val="Lexend"/>
        <b/>
        <color rgb="FFFF00FF"/>
        <sz val="11.0"/>
      </rPr>
      <t>BELAID</t>
    </r>
    <r>
      <rPr>
        <rFont val="Lexend"/>
        <b/>
        <color theme="1"/>
        <sz val="11.0"/>
      </rPr>
      <t>)</t>
    </r>
  </si>
  <si>
    <t>Serre 27</t>
  </si>
  <si>
    <r>
      <rPr>
        <rFont val="Lexend"/>
        <b/>
        <color theme="1"/>
        <sz val="11.0"/>
      </rPr>
      <t>EQUIPE RACHIDA (</t>
    </r>
    <r>
      <rPr>
        <rFont val="Lexend"/>
        <b/>
        <color rgb="FFFF0000"/>
        <sz val="11.0"/>
      </rPr>
      <t>DRISS</t>
    </r>
    <r>
      <rPr>
        <rFont val="Lexend"/>
        <b/>
        <color theme="1"/>
        <sz val="11.0"/>
      </rPr>
      <t>)</t>
    </r>
  </si>
  <si>
    <r>
      <rPr>
        <rFont val="Lexend"/>
        <b/>
        <color theme="1"/>
        <sz val="11.0"/>
      </rPr>
      <t>EQUIPE LOUDINI  (</t>
    </r>
    <r>
      <rPr>
        <rFont val="Lexend"/>
        <b/>
        <color rgb="FFFF00FF"/>
        <sz val="11.0"/>
      </rPr>
      <t>BELAID</t>
    </r>
    <r>
      <rPr>
        <rFont val="Lexend"/>
        <b/>
        <color theme="1"/>
        <sz val="11.0"/>
      </rPr>
      <t>)</t>
    </r>
  </si>
  <si>
    <r>
      <rPr>
        <rFont val="Lexend"/>
        <b/>
        <color theme="1"/>
        <sz val="11.0"/>
      </rPr>
      <t>EQUIPE RACHIDA (</t>
    </r>
    <r>
      <rPr>
        <rFont val="Lexend"/>
        <b/>
        <color rgb="FFFF0000"/>
        <sz val="11.0"/>
      </rPr>
      <t>DRISS</t>
    </r>
    <r>
      <rPr>
        <rFont val="Lexend"/>
        <b/>
        <color theme="1"/>
        <sz val="11.0"/>
      </rPr>
      <t>)</t>
    </r>
  </si>
  <si>
    <t>Serre 30</t>
  </si>
  <si>
    <r>
      <rPr>
        <rFont val="Lexend"/>
        <b/>
        <color theme="1"/>
        <sz val="11.0"/>
      </rPr>
      <t>EQUIPE RACHIDA (</t>
    </r>
    <r>
      <rPr>
        <rFont val="Lexend"/>
        <b/>
        <color rgb="FFFF0000"/>
        <sz val="11.0"/>
      </rPr>
      <t>DRISS</t>
    </r>
    <r>
      <rPr>
        <rFont val="Lexend"/>
        <b/>
        <color theme="1"/>
        <sz val="11.0"/>
      </rPr>
      <t>)</t>
    </r>
  </si>
  <si>
    <r>
      <rPr>
        <rFont val="Lexend"/>
        <b/>
        <color theme="1"/>
        <sz val="11.0"/>
      </rPr>
      <t>EQUIPE LOUDINI  (</t>
    </r>
    <r>
      <rPr>
        <rFont val="Lexend"/>
        <b/>
        <color rgb="FFFF00FF"/>
        <sz val="11.0"/>
      </rPr>
      <t>BELAID</t>
    </r>
    <r>
      <rPr>
        <rFont val="Lexend"/>
        <b/>
        <color theme="1"/>
        <sz val="11.0"/>
      </rPr>
      <t>)</t>
    </r>
  </si>
  <si>
    <t>Ferme</t>
  </si>
  <si>
    <t>Nom</t>
  </si>
  <si>
    <t>Parent</t>
  </si>
  <si>
    <t>Superficie (h)</t>
  </si>
  <si>
    <t>PW013</t>
  </si>
  <si>
    <t>S1A PW013</t>
  </si>
  <si>
    <t>S1B PW013</t>
  </si>
  <si>
    <t>S2 PW013</t>
  </si>
  <si>
    <t>S3 PW013</t>
  </si>
  <si>
    <t>S4 PW013</t>
  </si>
  <si>
    <t>S5 PW013</t>
  </si>
  <si>
    <t>Suivi Opération Pw115</t>
  </si>
  <si>
    <t>TOTAL GENERAL</t>
  </si>
  <si>
    <t>biougra</t>
  </si>
  <si>
    <t>belaid (omar)</t>
  </si>
  <si>
    <t>YASSINE+driss</t>
  </si>
  <si>
    <t>lmansouri</t>
  </si>
  <si>
    <t>BIOUGRA</t>
  </si>
  <si>
    <t>MANSSOURI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</si>
</sst>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0.0000"/>
  </numFmts>
  <fonts count="146">
    <font>
      <sz val="10.0"/>
      <color rgb="FF000000"/>
      <name val="Arial"/>
      <scheme val="minor"/>
    </font>
    <font>
      <color theme="1"/>
      <name val="Arial"/>
      <scheme val="minor"/>
    </font>
    <font>
      <b/>
      <sz val="20.0"/>
      <color theme="1"/>
      <name val="Times New Roman"/>
    </font>
    <font>
      <b/>
      <color theme="1"/>
      <name val="Arial"/>
      <scheme val="minor"/>
    </font>
    <font>
      <b/>
      <color rgb="FFFFFFFF"/>
      <name val="Arial"/>
      <scheme val="minor"/>
    </font>
    <font>
      <b/>
      <i/>
      <color theme="1"/>
      <name val="Arial"/>
      <scheme val="minor"/>
    </font>
    <font>
      <b/>
      <i/>
      <sz val="11.0"/>
      <color theme="1"/>
      <name val="Arial"/>
      <scheme val="minor"/>
    </font>
    <font/>
    <font>
      <color theme="1"/>
      <name val="Arial"/>
    </font>
    <font>
      <b/>
      <sz val="12.0"/>
      <color theme="1"/>
      <name val="Arial"/>
    </font>
    <font>
      <b/>
      <sz val="11.0"/>
      <color theme="1"/>
      <name val="Arial"/>
    </font>
    <font>
      <b/>
      <color theme="1"/>
      <name val="Arial"/>
    </font>
    <font>
      <b/>
      <i/>
      <color theme="1"/>
      <name val="Arial"/>
    </font>
    <font>
      <sz val="11.0"/>
      <color theme="1"/>
      <name val="Arial"/>
      <scheme val="minor"/>
    </font>
    <font>
      <b/>
      <sz val="11.0"/>
      <color theme="1"/>
      <name val="Arial"/>
      <scheme val="minor"/>
    </font>
    <font>
      <b/>
      <sz val="11.0"/>
      <color rgb="FFFFFFFF"/>
      <name val="Arial"/>
      <scheme val="minor"/>
    </font>
    <font>
      <b/>
      <sz val="24.0"/>
      <color theme="1"/>
      <name val="Nunito"/>
    </font>
    <font>
      <sz val="11.0"/>
      <color theme="1"/>
      <name val="Lexend"/>
    </font>
    <font>
      <b/>
      <sz val="9.0"/>
      <color rgb="FFFFFFFF"/>
      <name val="Arial"/>
      <scheme val="minor"/>
    </font>
    <font>
      <b/>
      <sz val="10.0"/>
      <color theme="1"/>
      <name val="Lexend"/>
    </font>
    <font>
      <b/>
      <sz val="11.0"/>
      <color theme="1"/>
      <name val="Lexend"/>
    </font>
    <font>
      <b/>
      <sz val="13.0"/>
      <color rgb="FF000000"/>
      <name val="Nunito"/>
    </font>
    <font>
      <b/>
      <sz val="11.0"/>
      <color rgb="FF000000"/>
      <name val="Arial"/>
      <scheme val="minor"/>
    </font>
    <font>
      <b/>
      <sz val="14.0"/>
      <color rgb="FF000000"/>
      <name val="Nunito"/>
    </font>
    <font>
      <b/>
      <i/>
      <sz val="11.0"/>
      <color theme="1"/>
      <name val="Arial"/>
    </font>
    <font>
      <b/>
      <sz val="12.0"/>
      <color theme="1"/>
      <name val="Arial"/>
      <scheme val="minor"/>
    </font>
    <font>
      <b/>
      <color theme="1"/>
      <name val="Lexend"/>
    </font>
    <font>
      <b/>
      <sz val="13.0"/>
      <color theme="1"/>
      <name val="Nunito"/>
    </font>
    <font>
      <b/>
      <sz val="11.0"/>
      <color rgb="FF373F6B"/>
      <name val="Arial"/>
      <scheme val="minor"/>
    </font>
    <font>
      <b/>
      <sz val="14.0"/>
      <color theme="1"/>
      <name val="Calibri"/>
    </font>
    <font>
      <b/>
      <sz val="10.0"/>
      <color theme="1"/>
      <name val="Arial"/>
      <scheme val="minor"/>
    </font>
    <font>
      <sz val="13.0"/>
      <color theme="1"/>
      <name val="Arial"/>
      <scheme val="minor"/>
    </font>
    <font>
      <sz val="17.0"/>
      <color theme="1"/>
      <name val="Times New Roman"/>
    </font>
    <font>
      <sz val="10.0"/>
      <color theme="1"/>
      <name val="Times New Roman"/>
    </font>
    <font>
      <sz val="9.0"/>
      <color theme="1"/>
      <name val="Times New Roman"/>
    </font>
    <font>
      <sz val="16.0"/>
      <color theme="1"/>
      <name val="Times New Roman"/>
    </font>
    <font>
      <color rgb="FFFFFFFF"/>
      <name val="Arial"/>
      <scheme val="minor"/>
    </font>
    <font>
      <sz val="9.0"/>
      <color rgb="FFFFFFFF"/>
      <name val="Arial"/>
      <scheme val="minor"/>
    </font>
    <font>
      <b/>
      <sz val="10.0"/>
      <color rgb="FFFFFFFF"/>
      <name val="Arial"/>
      <scheme val="minor"/>
    </font>
    <font>
      <sz val="8.0"/>
      <color rgb="FFFFFFFF"/>
      <name val="Arial"/>
      <scheme val="minor"/>
    </font>
    <font>
      <i/>
      <sz val="11.0"/>
      <color theme="1"/>
      <name val="Arial"/>
      <scheme val="minor"/>
    </font>
    <font>
      <color rgb="FF000000"/>
      <name val="Arial"/>
      <scheme val="minor"/>
    </font>
    <font>
      <i/>
      <sz val="10.0"/>
      <color theme="1"/>
      <name val="Arial"/>
      <scheme val="minor"/>
    </font>
    <font>
      <b/>
      <i/>
      <sz val="10.0"/>
      <color theme="1"/>
      <name val="Arial"/>
      <scheme val="minor"/>
    </font>
    <font>
      <b/>
      <i/>
      <sz val="9.0"/>
      <color theme="1"/>
      <name val="Arial"/>
      <scheme val="minor"/>
    </font>
    <font>
      <i/>
      <sz val="13.0"/>
      <color theme="1"/>
      <name val="Arial"/>
      <scheme val="minor"/>
    </font>
    <font>
      <color rgb="FF000000"/>
      <name val="Arial"/>
    </font>
    <font>
      <i/>
      <sz val="11.0"/>
      <color rgb="FF000000"/>
      <name val="Arial"/>
      <scheme val="minor"/>
    </font>
    <font>
      <i/>
      <sz val="10.0"/>
      <color rgb="FF000000"/>
      <name val="Arial"/>
      <scheme val="minor"/>
    </font>
    <font>
      <b/>
      <i/>
      <sz val="10.0"/>
      <color rgb="FF000000"/>
      <name val="Arial"/>
      <scheme val="minor"/>
    </font>
    <font>
      <b/>
      <i/>
      <sz val="9.0"/>
      <color rgb="FF000000"/>
      <name val="Arial"/>
      <scheme val="minor"/>
    </font>
    <font>
      <i/>
      <sz val="13.0"/>
      <color rgb="FF000000"/>
      <name val="Arial"/>
      <scheme val="minor"/>
    </font>
    <font>
      <i/>
      <color theme="1"/>
      <name val="Arial"/>
      <scheme val="minor"/>
    </font>
    <font>
      <sz val="10.0"/>
      <color theme="1"/>
      <name val="Arial"/>
      <scheme val="minor"/>
    </font>
    <font>
      <sz val="10.0"/>
      <color theme="1"/>
      <name val="Arial"/>
    </font>
    <font>
      <b/>
      <sz val="9.0"/>
      <color theme="1"/>
      <name val="Arial"/>
      <scheme val="minor"/>
    </font>
    <font>
      <sz val="6.0"/>
      <color theme="1"/>
      <name val="Arial"/>
      <scheme val="minor"/>
    </font>
    <font>
      <b/>
      <sz val="13.0"/>
      <color theme="1"/>
      <name val="Arial"/>
      <scheme val="minor"/>
    </font>
    <font>
      <b/>
      <color rgb="FF000000"/>
      <name val="Arial"/>
    </font>
    <font>
      <b/>
      <sz val="15.0"/>
      <color theme="1"/>
      <name val="Arial"/>
      <scheme val="minor"/>
    </font>
    <font>
      <b/>
      <i/>
      <sz val="15.0"/>
      <color theme="1"/>
      <name val="Arial"/>
      <scheme val="minor"/>
    </font>
    <font>
      <sz val="9.0"/>
      <color theme="1"/>
      <name val="Arial"/>
    </font>
    <font>
      <b/>
      <sz val="9.0"/>
      <color rgb="FF000000"/>
      <name val="Arial"/>
      <scheme val="minor"/>
    </font>
    <font>
      <i/>
      <color rgb="FF0000FF"/>
      <name val="Arial"/>
      <scheme val="minor"/>
    </font>
    <font>
      <color rgb="FF0000FF"/>
      <name val="Arial"/>
      <scheme val="minor"/>
    </font>
    <font>
      <i/>
      <color rgb="FF4A86E8"/>
      <name val="Arial"/>
      <scheme val="minor"/>
    </font>
    <font>
      <color rgb="FF4A86E8"/>
      <name val="Arial"/>
      <scheme val="minor"/>
    </font>
    <font>
      <sz val="10.0"/>
      <color rgb="FF000000"/>
      <name val="Arial"/>
    </font>
    <font>
      <i/>
      <sz val="10.0"/>
      <color theme="4"/>
      <name val="Arial"/>
      <scheme val="minor"/>
    </font>
    <font>
      <sz val="10.0"/>
      <color theme="4"/>
      <name val="Arial"/>
      <scheme val="minor"/>
    </font>
    <font>
      <sz val="7.0"/>
      <color theme="1"/>
      <name val="Arial"/>
      <scheme val="minor"/>
    </font>
    <font>
      <i/>
      <sz val="11.0"/>
      <color theme="1"/>
      <name val="Arial"/>
    </font>
    <font>
      <i/>
      <color theme="1"/>
      <name val="Arial"/>
    </font>
    <font>
      <i/>
      <sz val="13.0"/>
      <color theme="1"/>
      <name val="Arial"/>
    </font>
    <font>
      <b/>
      <sz val="9.0"/>
      <color theme="1"/>
      <name val="Arial"/>
    </font>
    <font>
      <sz val="9.0"/>
      <color theme="1"/>
      <name val="Arial"/>
      <scheme val="minor"/>
    </font>
    <font>
      <sz val="9.0"/>
      <color rgb="FF000000"/>
      <name val="Arial"/>
    </font>
    <font>
      <i/>
      <sz val="9.0"/>
      <color theme="1"/>
      <name val="Arial"/>
      <scheme val="minor"/>
    </font>
    <font>
      <b/>
      <i/>
      <sz val="10.0"/>
      <color theme="1"/>
      <name val="Arial"/>
    </font>
    <font>
      <i/>
      <sz val="9.0"/>
      <color theme="1"/>
      <name val="Arial"/>
    </font>
    <font>
      <b/>
      <i/>
      <sz val="9.0"/>
      <color theme="1"/>
      <name val="Arial"/>
    </font>
    <font>
      <sz val="11.0"/>
      <color rgb="FF000000"/>
      <name val="Calibri"/>
    </font>
    <font>
      <b/>
      <sz val="11.0"/>
      <color rgb="FF000000"/>
      <name val="Calibri"/>
    </font>
    <font>
      <b/>
      <sz val="8.0"/>
      <color rgb="FFFFFFFF"/>
      <name val="Arial"/>
      <scheme val="minor"/>
    </font>
    <font>
      <b/>
      <i/>
      <sz val="13.0"/>
      <color theme="1"/>
      <name val="Arial"/>
      <scheme val="minor"/>
    </font>
    <font>
      <b/>
      <color rgb="FF000000"/>
      <name val="Arial"/>
      <scheme val="minor"/>
    </font>
    <font>
      <b/>
      <i/>
      <sz val="11.0"/>
      <color rgb="FF000000"/>
      <name val="Arial"/>
      <scheme val="minor"/>
    </font>
    <font>
      <b/>
      <i/>
      <sz val="13.0"/>
      <color rgb="FF000000"/>
      <name val="Arial"/>
      <scheme val="minor"/>
    </font>
    <font>
      <b/>
      <sz val="10.0"/>
      <color theme="1"/>
      <name val="Arial"/>
    </font>
    <font>
      <b/>
      <i/>
      <sz val="19.0"/>
      <color theme="1"/>
      <name val="Arial"/>
      <scheme val="minor"/>
    </font>
    <font>
      <b/>
      <i/>
      <sz val="18.0"/>
      <color theme="1"/>
      <name val="Arial"/>
      <scheme val="minor"/>
    </font>
    <font>
      <i/>
      <sz val="14.0"/>
      <color theme="1"/>
      <name val="Arial"/>
      <scheme val="minor"/>
    </font>
    <font>
      <b/>
      <sz val="8.0"/>
      <color theme="1"/>
      <name val="Arial"/>
      <scheme val="minor"/>
    </font>
    <font>
      <b/>
      <i/>
      <color rgb="FF000000"/>
      <name val="Arial"/>
      <scheme val="minor"/>
    </font>
    <font>
      <b/>
      <sz val="9.0"/>
      <color theme="1"/>
      <name val="Roboto Serif"/>
    </font>
    <font>
      <b/>
      <sz val="20.0"/>
      <color theme="1"/>
      <name val="Roboto Serif"/>
    </font>
    <font>
      <b/>
      <color theme="1"/>
      <name val="Roboto Serif"/>
    </font>
    <font>
      <b/>
      <color rgb="FF000000"/>
      <name val="Roboto Serif"/>
    </font>
    <font>
      <b/>
      <color rgb="FFFFFFFF"/>
      <name val="Roboto Serif"/>
    </font>
    <font>
      <b/>
      <color rgb="FFFFFF00"/>
      <name val="Roboto Serif"/>
    </font>
    <font>
      <b/>
      <sz val="11.0"/>
      <color rgb="FF000000"/>
      <name val="Roboto Serif"/>
    </font>
    <font>
      <b/>
      <sz val="17.0"/>
      <color theme="1"/>
      <name val="Times New Roman"/>
    </font>
    <font>
      <b/>
      <sz val="8.0"/>
      <color theme="1"/>
      <name val="Arial"/>
    </font>
    <font>
      <b/>
      <i/>
      <sz val="12.0"/>
      <color theme="1"/>
      <name val="Arial"/>
      <scheme val="minor"/>
    </font>
    <font>
      <b/>
      <i/>
      <sz val="14.0"/>
      <color theme="1"/>
      <name val="Arial"/>
      <scheme val="minor"/>
    </font>
    <font>
      <b/>
      <i/>
      <sz val="16.0"/>
      <color theme="1"/>
      <name val="Arial"/>
      <scheme val="minor"/>
    </font>
    <font>
      <sz val="8.0"/>
      <color theme="1"/>
      <name val="Arial"/>
    </font>
    <font>
      <b/>
      <i/>
      <sz val="17.0"/>
      <color theme="1"/>
      <name val="Arial"/>
      <scheme val="minor"/>
    </font>
    <font>
      <b/>
      <sz val="6.0"/>
      <color theme="1"/>
      <name val="Arial"/>
    </font>
    <font>
      <sz val="14.0"/>
      <color theme="1"/>
      <name val="Arial"/>
      <scheme val="minor"/>
    </font>
    <font>
      <sz val="14.0"/>
      <color theme="1"/>
      <name val="Times New Roman"/>
    </font>
    <font>
      <sz val="14.0"/>
      <color rgb="FFFFFFFF"/>
      <name val="Arial"/>
      <scheme val="minor"/>
    </font>
    <font>
      <b/>
      <sz val="14.0"/>
      <color rgb="FFFFFFFF"/>
      <name val="Arial"/>
      <scheme val="minor"/>
    </font>
    <font>
      <sz val="14.0"/>
      <color theme="1"/>
      <name val="Arial"/>
    </font>
    <font>
      <sz val="14.0"/>
      <color rgb="FF000000"/>
      <name val="Arial"/>
    </font>
    <font>
      <b/>
      <sz val="31.0"/>
      <color theme="1"/>
      <name val="Nunito"/>
    </font>
    <font>
      <b/>
      <i/>
      <sz val="13.0"/>
      <color theme="1"/>
      <name val="Arial"/>
    </font>
    <font>
      <b/>
      <i/>
      <sz val="11.0"/>
      <color theme="1"/>
      <name val="Lexend"/>
    </font>
    <font>
      <b/>
      <sz val="12.0"/>
      <color theme="1"/>
      <name val="Lexend"/>
    </font>
    <font>
      <b/>
      <i/>
      <sz val="20.0"/>
      <color theme="1"/>
      <name val="Nunito"/>
    </font>
    <font>
      <sz val="18.0"/>
      <color theme="1"/>
      <name val="Arial"/>
      <scheme val="minor"/>
    </font>
    <font>
      <b/>
      <sz val="15.0"/>
      <color rgb="FFFFFFFF"/>
      <name val="Arial"/>
      <scheme val="minor"/>
    </font>
    <font>
      <b/>
      <sz val="18.0"/>
      <color rgb="FFFFFFFF"/>
      <name val="Arial"/>
      <scheme val="minor"/>
    </font>
    <font>
      <b/>
      <i/>
      <sz val="12.0"/>
      <color theme="1"/>
      <name val="Arial"/>
    </font>
    <font>
      <b/>
      <i/>
      <sz val="12.0"/>
      <color rgb="FFFF0000"/>
      <name val="Arial"/>
      <scheme val="minor"/>
    </font>
    <font>
      <b/>
      <sz val="12.0"/>
      <color rgb="FFFF0000"/>
      <name val="Arial"/>
      <scheme val="minor"/>
    </font>
    <font>
      <b/>
      <sz val="18.0"/>
      <color theme="1"/>
      <name val="Arial"/>
      <scheme val="minor"/>
    </font>
    <font>
      <b/>
      <sz val="14.0"/>
      <color theme="1"/>
      <name val="Arial"/>
      <scheme val="minor"/>
    </font>
    <font>
      <sz val="15.0"/>
      <color theme="1"/>
      <name val="Arial"/>
      <scheme val="minor"/>
    </font>
    <font>
      <b/>
      <sz val="20.0"/>
      <color theme="1"/>
      <name val="Arial"/>
      <scheme val="minor"/>
    </font>
    <font>
      <b/>
      <sz val="14.0"/>
      <color theme="1"/>
      <name val="Lexend"/>
    </font>
    <font>
      <b/>
      <sz val="13.0"/>
      <color theme="1"/>
      <name val="Lexend"/>
    </font>
    <font>
      <b/>
      <sz val="15.0"/>
      <color theme="1"/>
      <name val="Arial"/>
    </font>
    <font>
      <b/>
      <sz val="12.0"/>
      <color rgb="FFFF0000"/>
      <name val="Arial"/>
    </font>
    <font>
      <b/>
      <sz val="16.0"/>
      <color theme="1"/>
      <name val="Arial"/>
      <scheme val="minor"/>
    </font>
    <font>
      <b/>
      <i/>
      <sz val="12.0"/>
      <color rgb="FF0000FF"/>
      <name val="Arial"/>
      <scheme val="minor"/>
    </font>
    <font>
      <b/>
      <sz val="12.0"/>
      <color rgb="FF0000FF"/>
      <name val="Arial"/>
    </font>
    <font>
      <b/>
      <sz val="12.0"/>
      <color rgb="FF0000FF"/>
      <name val="Arial"/>
      <scheme val="minor"/>
    </font>
    <font>
      <i/>
      <sz val="11.0"/>
      <color rgb="FF0000FF"/>
      <name val="Arial"/>
      <scheme val="minor"/>
    </font>
    <font>
      <sz val="11.0"/>
      <color rgb="FF0000FF"/>
      <name val="Arial"/>
      <scheme val="minor"/>
    </font>
    <font>
      <b/>
      <i/>
      <color rgb="FF0000FF"/>
      <name val="Arial"/>
      <scheme val="minor"/>
    </font>
    <font>
      <b/>
      <color rgb="FF0000FF"/>
      <name val="Arial"/>
      <scheme val="minor"/>
    </font>
    <font>
      <i/>
      <sz val="11.0"/>
      <color rgb="FF0000FF"/>
      <name val="Arial"/>
    </font>
    <font>
      <sz val="11.0"/>
      <color rgb="FF0000FF"/>
      <name val="Arial"/>
    </font>
    <font>
      <sz val="11.0"/>
      <color theme="1"/>
      <name val="Arial"/>
    </font>
    <font>
      <color rgb="FF0000FF"/>
      <name val="Arial"/>
    </font>
  </fonts>
  <fills count="30">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F6F8F9"/>
        <bgColor rgb="FFF6F8F9"/>
      </patternFill>
    </fill>
    <fill>
      <patternFill patternType="solid">
        <fgColor rgb="FF00FF00"/>
        <bgColor rgb="FF00FF00"/>
      </patternFill>
    </fill>
    <fill>
      <patternFill patternType="solid">
        <fgColor rgb="FFCCCCCC"/>
        <bgColor rgb="FFCCCCCC"/>
      </patternFill>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rgb="FFFFF2CC"/>
        <bgColor rgb="FFFFF2CC"/>
      </patternFill>
    </fill>
    <fill>
      <patternFill patternType="solid">
        <fgColor rgb="FFFF9900"/>
        <bgColor rgb="FFFF9900"/>
      </patternFill>
    </fill>
    <fill>
      <patternFill patternType="solid">
        <fgColor rgb="FFB6D7A8"/>
        <bgColor rgb="FFB6D7A8"/>
      </patternFill>
    </fill>
    <fill>
      <patternFill patternType="solid">
        <fgColor theme="0"/>
        <bgColor theme="0"/>
      </patternFill>
    </fill>
    <fill>
      <patternFill patternType="solid">
        <fgColor rgb="FFD9EAD3"/>
        <bgColor rgb="FFD9EAD3"/>
      </patternFill>
    </fill>
    <fill>
      <patternFill patternType="solid">
        <fgColor rgb="FF0000FF"/>
        <bgColor rgb="FF0000FF"/>
      </patternFill>
    </fill>
    <fill>
      <patternFill patternType="solid">
        <fgColor rgb="FF980000"/>
        <bgColor rgb="FF980000"/>
      </patternFill>
    </fill>
    <fill>
      <patternFill patternType="solid">
        <fgColor rgb="FF000000"/>
        <bgColor rgb="FF000000"/>
      </patternFill>
    </fill>
    <fill>
      <patternFill patternType="solid">
        <fgColor rgb="FFD9D9D9"/>
        <bgColor rgb="FFD9D9D9"/>
      </patternFill>
    </fill>
    <fill>
      <patternFill patternType="solid">
        <fgColor rgb="FFF3F3F3"/>
        <bgColor rgb="FFF3F3F3"/>
      </patternFill>
    </fill>
    <fill>
      <patternFill patternType="solid">
        <fgColor rgb="FFB7B7B7"/>
        <bgColor rgb="FFB7B7B7"/>
      </patternFill>
    </fill>
    <fill>
      <patternFill patternType="solid">
        <fgColor rgb="FF373F6B"/>
        <bgColor rgb="FF373F6B"/>
      </patternFill>
    </fill>
    <fill>
      <patternFill patternType="solid">
        <fgColor rgb="FFFF00FF"/>
        <bgColor rgb="FFFF00FF"/>
      </patternFill>
    </fill>
    <fill>
      <patternFill patternType="solid">
        <fgColor rgb="FFD0E0E3"/>
        <bgColor rgb="FFD0E0E3"/>
      </patternFill>
    </fill>
    <fill>
      <patternFill patternType="solid">
        <fgColor rgb="FFFFE599"/>
        <bgColor rgb="FFFFE599"/>
      </patternFill>
    </fill>
    <fill>
      <patternFill patternType="solid">
        <fgColor rgb="FFC9DAF8"/>
        <bgColor rgb="FFC9DAF8"/>
      </patternFill>
    </fill>
    <fill>
      <patternFill patternType="solid">
        <fgColor rgb="FFFCE5CD"/>
        <bgColor rgb="FFFCE5CD"/>
      </patternFill>
    </fill>
    <fill>
      <patternFill patternType="solid">
        <fgColor rgb="FFF4CCCC"/>
        <bgColor rgb="FFF4CCCC"/>
      </patternFill>
    </fill>
    <fill>
      <patternFill patternType="solid">
        <fgColor rgb="FFA4C2F4"/>
        <bgColor rgb="FFA4C2F4"/>
      </patternFill>
    </fill>
    <fill>
      <patternFill patternType="solid">
        <fgColor rgb="FF9FC5E8"/>
        <bgColor rgb="FF9FC5E8"/>
      </patternFill>
    </fill>
  </fills>
  <borders count="12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right style="thin">
        <color rgb="FF000000"/>
      </right>
      <top style="medium">
        <color rgb="FF000000"/>
      </top>
    </border>
    <border>
      <right style="medium">
        <color rgb="FF000000"/>
      </right>
    </border>
    <border>
      <left style="medium">
        <color rgb="FF000000"/>
      </left>
      <right style="thin">
        <color rgb="FF000000"/>
      </right>
    </border>
    <border>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medium">
        <color rgb="FF000000"/>
      </right>
      <top style="medium">
        <color rgb="FF000000"/>
      </top>
    </border>
    <border>
      <left style="medium">
        <color rgb="FF000000"/>
      </left>
      <right style="medium">
        <color rgb="FF000000"/>
      </right>
      <top style="medium">
        <color rgb="FF000000"/>
      </top>
    </border>
    <border>
      <left style="thin">
        <color rgb="FF000000"/>
      </left>
      <right style="medium">
        <color rgb="FF000000"/>
      </right>
    </border>
    <border>
      <left style="medium">
        <color rgb="FF000000"/>
      </left>
      <right style="medium">
        <color rgb="FF000000"/>
      </right>
    </border>
    <border>
      <left style="thin">
        <color rgb="FF000000"/>
      </left>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top style="medium">
        <color rgb="FF000000"/>
      </top>
    </border>
    <border>
      <left style="thin">
        <color rgb="FF000000"/>
      </left>
      <bottom style="medium">
        <color rgb="FF000000"/>
      </bottom>
    </border>
    <border>
      <right style="thin">
        <color rgb="FF000000"/>
      </right>
      <top style="medium">
        <color rgb="FF000000"/>
      </top>
    </border>
    <border>
      <right style="thin">
        <color rgb="FF000000"/>
      </right>
      <bottom style="medium">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double">
        <color rgb="FF000000"/>
      </left>
      <right style="double">
        <color rgb="FF000000"/>
      </right>
      <top style="double">
        <color rgb="FF000000"/>
      </top>
    </border>
    <border>
      <left style="double">
        <color rgb="FF000000"/>
      </left>
      <right style="double">
        <color rgb="FF000000"/>
      </right>
    </border>
    <border>
      <left style="double">
        <color rgb="FF000000"/>
      </left>
      <right style="double">
        <color rgb="FF000000"/>
      </right>
      <bottom style="double">
        <color rgb="FF000000"/>
      </bottom>
    </border>
    <border>
      <left style="double">
        <color rgb="FF000000"/>
      </left>
      <right style="thin">
        <color rgb="FF000000"/>
      </right>
      <top style="double">
        <color rgb="FF000000"/>
      </top>
    </border>
    <border>
      <left style="double">
        <color rgb="FF000000"/>
      </left>
      <right style="thin">
        <color rgb="FF000000"/>
      </right>
    </border>
    <border>
      <left style="double">
        <color rgb="FF000000"/>
      </left>
      <right style="thin">
        <color rgb="FF000000"/>
      </right>
      <bottom style="thin">
        <color rgb="FF000000"/>
      </bottom>
    </border>
    <border>
      <left style="medium">
        <color rgb="FF000000"/>
      </left>
      <right style="thin">
        <color rgb="FF000000"/>
      </right>
      <bottom style="thin">
        <color rgb="FF000000"/>
      </bottom>
    </border>
    <border>
      <right style="thin">
        <color rgb="FF000000"/>
      </right>
      <top style="double">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rder>
    <border>
      <left style="thin">
        <color rgb="FF3D85C6"/>
      </left>
      <right style="thin">
        <color rgb="FF000000"/>
      </right>
      <top style="thin">
        <color rgb="FF3D85C6"/>
      </top>
    </border>
    <border>
      <left style="thin">
        <color rgb="FF3D85C6"/>
      </left>
      <right style="thin">
        <color rgb="FF000000"/>
      </right>
      <bottom style="thin">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border>
    <border>
      <left style="medium">
        <color rgb="FFFFFFFF"/>
      </left>
      <top style="medium">
        <color rgb="FFFFFFFF"/>
      </top>
      <bottom style="thin">
        <color rgb="FFFFFFFF"/>
      </bottom>
    </border>
    <border>
      <top style="medium">
        <color rgb="FFFFFFFF"/>
      </top>
      <bottom style="thin">
        <color rgb="FFFFFFFF"/>
      </bottom>
    </border>
    <border>
      <right style="medium">
        <color rgb="FFFFFFFF"/>
      </right>
      <top style="medium">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FFFFFF"/>
      </left>
      <bottom style="thin">
        <color rgb="FFFFFFFF"/>
      </bottom>
    </border>
    <border>
      <bottom style="thin">
        <color rgb="FFFFFFFF"/>
      </bottom>
    </border>
    <border>
      <right style="medium">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medium">
        <color rgb="FFFFFFFF"/>
      </left>
      <right style="thin">
        <color rgb="FFFFFFFF"/>
      </right>
      <top style="thin">
        <color rgb="FFFFFFFF"/>
      </top>
      <bottom style="thin">
        <color rgb="FFFFFFFF"/>
      </bottom>
    </border>
    <border>
      <left style="thin">
        <color rgb="FFFFFFFF"/>
      </left>
      <right style="medium">
        <color rgb="FFFFFFFF"/>
      </right>
      <top style="thin">
        <color rgb="FFFFFFFF"/>
      </top>
      <bottom style="thin">
        <color rgb="FFFFFFFF"/>
      </bottom>
    </border>
    <border>
      <left style="thick">
        <color rgb="FF000000"/>
      </left>
      <right style="thick">
        <color rgb="FF000000"/>
      </right>
      <top style="thick">
        <color rgb="FF000000"/>
      </top>
      <bottom style="thick">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000000"/>
      </top>
    </border>
    <border>
      <left style="thin">
        <color rgb="FFFFFFFF"/>
      </left>
      <right style="thin">
        <color rgb="FFFFFFFF"/>
      </right>
      <top style="thin">
        <color rgb="FF000000"/>
      </top>
      <bottom style="thin">
        <color rgb="FFFFFFFF"/>
      </bottom>
    </border>
    <border>
      <left style="thin">
        <color rgb="FFFFFFFF"/>
      </left>
      <right style="thin">
        <color rgb="FFFFFFFF"/>
      </right>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000000"/>
      </top>
    </border>
    <border>
      <left style="thin">
        <color rgb="FFFFFFFF"/>
      </left>
      <right style="thin">
        <color rgb="FFFFFFFF"/>
      </right>
    </border>
    <border>
      <left style="thin">
        <color rgb="FFFFFFFF"/>
      </left>
    </border>
    <border>
      <left style="thin">
        <color rgb="FFFFFFFF"/>
      </left>
      <bottom style="thin">
        <color rgb="FF000000"/>
      </bottom>
    </border>
    <border>
      <right style="thin">
        <color rgb="FFFFFFFF"/>
      </right>
      <top style="thin">
        <color rgb="FFFFFFFF"/>
      </top>
    </border>
    <border>
      <left style="thin">
        <color rgb="FFFFFFFF"/>
      </left>
      <top style="thin">
        <color rgb="FF000000"/>
      </top>
      <bottom style="thin">
        <color rgb="FFFFFFFF"/>
      </bottom>
    </border>
    <border>
      <left style="thin">
        <color rgb="FFFFFFFF"/>
      </left>
      <top style="thin">
        <color rgb="FFFFFFFF"/>
      </top>
      <bottom style="thin">
        <color rgb="FF000000"/>
      </bottom>
    </border>
    <border>
      <right style="thin">
        <color rgb="FFFFFFFF"/>
      </right>
      <bottom style="thin">
        <color rgb="FF000000"/>
      </bottom>
    </border>
    <border>
      <left style="thin">
        <color rgb="FFFFFFFF"/>
      </left>
      <bottom style="thin">
        <color rgb="FFFFFFFF"/>
      </bottom>
    </border>
    <border>
      <left style="thick">
        <color rgb="FF000000"/>
      </left>
      <top style="thick">
        <color rgb="FF000000"/>
      </top>
      <bottom style="thick">
        <color rgb="FF000000"/>
      </bottom>
    </border>
    <border>
      <left style="thick">
        <color rgb="FF000000"/>
      </left>
      <right style="thin">
        <color rgb="FF000000"/>
      </right>
      <top style="thick">
        <color rgb="FF000000"/>
      </top>
    </border>
    <border>
      <left style="thick">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bottom style="thick">
        <color rgb="FF000000"/>
      </bottom>
    </border>
    <border>
      <left style="thin">
        <color rgb="FF000000"/>
      </left>
      <bottom style="thick">
        <color rgb="FF000000"/>
      </bottom>
    </border>
    <border>
      <left style="thin">
        <color rgb="FF000000"/>
      </left>
      <right style="thin">
        <color rgb="FF000000"/>
      </right>
      <top style="thick">
        <color rgb="FF000000"/>
      </top>
    </border>
    <border>
      <left style="thin">
        <color rgb="FF000000"/>
      </left>
      <top style="thick">
        <color rgb="FF000000"/>
      </top>
      <bottom style="thin">
        <color rgb="FF000000"/>
      </bottom>
    </border>
    <border>
      <left style="thin">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top style="thin">
        <color rgb="FF000000"/>
      </top>
      <bottom style="thick">
        <color rgb="FF000000"/>
      </bottom>
    </border>
    <border>
      <right style="thin">
        <color rgb="FF000000"/>
      </right>
      <top style="thin">
        <color rgb="FF000000"/>
      </top>
      <bottom style="thick">
        <color rgb="FF000000"/>
      </bottom>
    </border>
    <border>
      <left style="thin">
        <color rgb="FF000000"/>
      </left>
      <top style="thick">
        <color rgb="FF000000"/>
      </top>
    </border>
    <border>
      <right style="thin">
        <color rgb="FF000000"/>
      </right>
      <top style="thick">
        <color rgb="FF000000"/>
      </top>
    </border>
    <border>
      <left style="thin">
        <color rgb="FF000000"/>
      </left>
      <right style="thin">
        <color rgb="FF000000"/>
      </right>
      <top style="thick">
        <color rgb="FF000000"/>
      </top>
      <bottom style="thick">
        <color rgb="FF000000"/>
      </bottom>
    </border>
    <border>
      <top style="thick">
        <color rgb="FF000000"/>
      </top>
      <bottom style="thin">
        <color rgb="FF000000"/>
      </bottom>
    </border>
    <border>
      <top style="thin">
        <color rgb="FF000000"/>
      </top>
      <bottom style="thick">
        <color rgb="FF000000"/>
      </bottom>
    </border>
    <border>
      <left style="double">
        <color rgb="FF000000"/>
      </left>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right style="double">
        <color rgb="FF000000"/>
      </right>
      <bottom style="double">
        <color rgb="FF000000"/>
      </bottom>
    </border>
    <border>
      <left style="double">
        <color rgb="FF000000"/>
      </left>
      <right style="double">
        <color rgb="FF000000"/>
      </right>
      <top style="double">
        <color rgb="FF000000"/>
      </top>
      <bottom style="double">
        <color rgb="FF000000"/>
      </bottom>
    </border>
    <border>
      <right style="double">
        <color rgb="FF000000"/>
      </right>
      <top style="double">
        <color rgb="FF000000"/>
      </top>
      <bottom style="double">
        <color rgb="FF000000"/>
      </bottom>
    </border>
    <border>
      <left style="thick">
        <color rgb="FF000000"/>
      </left>
      <right style="thin">
        <color rgb="FF000000"/>
      </right>
      <bottom style="thick">
        <color rgb="FF000000"/>
      </bottom>
    </border>
    <border>
      <right style="double">
        <color rgb="FF000000"/>
      </right>
      <top style="thick">
        <color rgb="FF000000"/>
      </top>
    </border>
  </borders>
  <cellStyleXfs count="1">
    <xf borderId="0" fillId="0" fontId="0" numFmtId="0" applyAlignment="1" applyFont="1"/>
  </cellStyleXfs>
  <cellXfs count="166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readingOrder="0" vertical="center"/>
    </xf>
    <xf borderId="0" fillId="0" fontId="3" numFmtId="0" xfId="0" applyAlignment="1" applyFont="1">
      <alignment horizontal="center" vertical="center"/>
    </xf>
    <xf borderId="0" fillId="0" fontId="1" numFmtId="0" xfId="0" applyAlignment="1" applyFont="1">
      <alignment horizontal="center"/>
    </xf>
    <xf borderId="0" fillId="0" fontId="4" numFmtId="0" xfId="0" applyAlignment="1" applyFont="1">
      <alignment horizontal="center" readingOrder="0" vertical="center"/>
    </xf>
    <xf borderId="1" fillId="2" fontId="4" numFmtId="0" xfId="0" applyAlignment="1" applyBorder="1" applyFill="1" applyFont="1">
      <alignment horizontal="center" readingOrder="0" vertical="center"/>
    </xf>
    <xf borderId="1" fillId="2" fontId="4" numFmtId="0" xfId="0" applyAlignment="1" applyBorder="1" applyFill="1" applyFont="1">
      <alignment horizontal="center" readingOrder="0" shrinkToFit="0" vertical="center" wrapText="1"/>
    </xf>
    <xf borderId="2" fillId="3" fontId="3" numFmtId="164" xfId="0" applyAlignment="1" applyBorder="1" applyFill="1" applyFont="1" applyNumberFormat="1">
      <alignment horizontal="center" readingOrder="0" vertical="center"/>
    </xf>
    <xf borderId="1" fillId="3" fontId="5" numFmtId="0" xfId="0" applyAlignment="1" applyBorder="1" applyFill="1" applyFont="1">
      <alignment horizontal="center" readingOrder="0"/>
    </xf>
    <xf borderId="1" fillId="3" fontId="3" numFmtId="0" xfId="0" applyAlignment="1" applyBorder="1" applyFill="1" applyFont="1">
      <alignment readingOrder="0"/>
    </xf>
    <xf borderId="1" fillId="3" fontId="6" numFmtId="0" xfId="0" applyAlignment="1" applyBorder="1" applyFill="1" applyFont="1">
      <alignment horizontal="center" readingOrder="0" vertical="center"/>
    </xf>
    <xf borderId="0" fillId="0" fontId="1" numFmtId="0" xfId="0" applyAlignment="1" applyFont="1">
      <alignment horizontal="center" vertical="center"/>
    </xf>
    <xf borderId="2" fillId="3" fontId="3" numFmtId="0" xfId="0" applyAlignment="1" applyBorder="1" applyFill="1" applyFont="1">
      <alignment horizontal="center" readingOrder="0" vertical="center"/>
    </xf>
    <xf borderId="1" fillId="3" fontId="3" numFmtId="0" xfId="0" applyAlignment="1" applyBorder="1" applyFill="1" applyFont="1">
      <alignment horizontal="center" readingOrder="0" vertical="center"/>
    </xf>
    <xf borderId="2" fillId="4" fontId="3" numFmtId="164" xfId="0" applyAlignment="1" applyBorder="1" applyFill="1" applyFont="1" applyNumberFormat="1">
      <alignment horizontal="center" readingOrder="0" vertical="center"/>
    </xf>
    <xf borderId="1" fillId="4" fontId="5" numFmtId="0" xfId="0" applyAlignment="1" applyBorder="1" applyFill="1" applyFont="1">
      <alignment horizontal="center" readingOrder="0"/>
    </xf>
    <xf borderId="1" fillId="4" fontId="3" numFmtId="0" xfId="0" applyAlignment="1" applyBorder="1" applyFill="1" applyFont="1">
      <alignment readingOrder="0"/>
    </xf>
    <xf borderId="0" fillId="2" fontId="4" numFmtId="0" xfId="0" applyAlignment="1" applyFill="1" applyFont="1">
      <alignment horizontal="center" readingOrder="0" vertical="center"/>
    </xf>
    <xf borderId="1" fillId="4" fontId="6" numFmtId="0" xfId="0" applyAlignment="1" applyBorder="1" applyFill="1" applyFont="1">
      <alignment horizontal="center" readingOrder="0" vertical="center"/>
    </xf>
    <xf borderId="3" fillId="4" fontId="7" numFmtId="0" xfId="0" applyBorder="1" applyFill="1" applyFont="1"/>
    <xf borderId="2" fillId="3" fontId="8" numFmtId="0" xfId="0" applyAlignment="1" applyBorder="1" applyFill="1" applyFont="1">
      <alignment horizontal="center" readingOrder="0" vertical="center"/>
    </xf>
    <xf borderId="1" fillId="4" fontId="3" numFmtId="0" xfId="0" applyAlignment="1" applyBorder="1" applyFill="1" applyFont="1">
      <alignment horizontal="center" readingOrder="0" vertical="center"/>
    </xf>
    <xf borderId="2" fillId="3" fontId="1" numFmtId="0" xfId="0" applyAlignment="1" applyBorder="1" applyFill="1" applyFont="1">
      <alignment readingOrder="0" vertical="center"/>
    </xf>
    <xf borderId="2" fillId="3" fontId="9" numFmtId="0" xfId="0" applyAlignment="1" applyBorder="1" applyFill="1" applyFont="1">
      <alignment horizontal="center" readingOrder="0" vertical="center"/>
    </xf>
    <xf borderId="2" fillId="3" fontId="5" numFmtId="0" xfId="0" applyAlignment="1" applyBorder="1" applyFill="1" applyFont="1">
      <alignment horizontal="center" readingOrder="0" vertical="center"/>
    </xf>
    <xf borderId="2" fillId="3" fontId="10" numFmtId="0" xfId="0" applyAlignment="1" applyBorder="1" applyFill="1" applyFont="1">
      <alignment horizontal="center" readingOrder="0" vertical="center"/>
    </xf>
    <xf borderId="1" fillId="3" fontId="5" numFmtId="0" xfId="0" applyAlignment="1" applyBorder="1" applyFill="1" applyFont="1">
      <alignment horizontal="center" readingOrder="0" vertical="center"/>
    </xf>
    <xf borderId="0" fillId="3" fontId="3" numFmtId="0" xfId="0" applyAlignment="1" applyFill="1" applyFont="1">
      <alignment horizontal="center" readingOrder="0" vertical="center"/>
    </xf>
    <xf borderId="4" fillId="4" fontId="7" numFmtId="0" xfId="0" applyBorder="1" applyFill="1" applyFont="1"/>
    <xf borderId="0" fillId="4" fontId="3" numFmtId="0" xfId="0" applyAlignment="1" applyFill="1" applyFont="1">
      <alignment horizontal="center" readingOrder="0" vertical="center"/>
    </xf>
    <xf borderId="1" fillId="4" fontId="5" numFmtId="0" xfId="0" applyAlignment="1" applyBorder="1" applyFill="1" applyFont="1">
      <alignment horizontal="center" readingOrder="0" vertical="center"/>
    </xf>
    <xf borderId="2" fillId="3" fontId="11" numFmtId="164" xfId="0" applyAlignment="1" applyBorder="1" applyFill="1" applyFont="1" applyNumberFormat="1">
      <alignment horizontal="center" vertical="center"/>
    </xf>
    <xf borderId="2" fillId="3" fontId="8" numFmtId="0" xfId="0" applyAlignment="1" applyBorder="1" applyFill="1" applyFont="1">
      <alignment horizontal="center" vertical="center"/>
    </xf>
    <xf borderId="2" fillId="3" fontId="9" numFmtId="0" xfId="0" applyAlignment="1" applyBorder="1" applyFill="1" applyFont="1">
      <alignment horizontal="center" vertical="center"/>
    </xf>
    <xf borderId="1" fillId="3" fontId="1" numFmtId="0" xfId="0" applyAlignment="1" applyBorder="1" applyFill="1" applyFont="1">
      <alignment readingOrder="0"/>
    </xf>
    <xf borderId="5" fillId="3" fontId="12" numFmtId="0" xfId="0" applyAlignment="1" applyBorder="1" applyFill="1" applyFont="1">
      <alignment horizontal="center" vertical="center"/>
    </xf>
    <xf borderId="1" fillId="4" fontId="1" numFmtId="0" xfId="0" applyAlignment="1" applyBorder="1" applyFill="1" applyFont="1">
      <alignment readingOrder="0"/>
    </xf>
    <xf borderId="6" fillId="4" fontId="7" numFmtId="0" xfId="0" applyBorder="1" applyFill="1" applyFont="1"/>
    <xf borderId="2" fillId="4" fontId="3" numFmtId="0" xfId="0" applyAlignment="1" applyBorder="1" applyFill="1" applyFont="1">
      <alignment horizontal="center" readingOrder="0" vertical="center"/>
    </xf>
    <xf borderId="2" fillId="3" fontId="1" numFmtId="0" xfId="0" applyAlignment="1" applyBorder="1" applyFill="1" applyFont="1">
      <alignment horizontal="center" readingOrder="0" vertical="center"/>
    </xf>
    <xf borderId="3" fillId="4" fontId="1" numFmtId="0" xfId="0" applyAlignment="1" applyBorder="1" applyFill="1" applyFont="1">
      <alignment horizontal="center" readingOrder="0" vertical="center"/>
    </xf>
    <xf borderId="0" fillId="0" fontId="13" numFmtId="0" xfId="0" applyAlignment="1" applyFont="1">
      <alignment horizontal="center"/>
    </xf>
    <xf borderId="7" fillId="0" fontId="2" numFmtId="0" xfId="0" applyAlignment="1" applyBorder="1" applyFont="1">
      <alignment horizontal="center" readingOrder="0" vertical="center"/>
    </xf>
    <xf borderId="8" fillId="0" fontId="7" numFmtId="0" xfId="0" applyBorder="1" applyFont="1"/>
    <xf borderId="9" fillId="0" fontId="7" numFmtId="0" xfId="0" applyBorder="1" applyFont="1"/>
    <xf borderId="0" fillId="0" fontId="13" numFmtId="0" xfId="0" applyFont="1"/>
    <xf borderId="10" fillId="0" fontId="7" numFmtId="0" xfId="0" applyBorder="1" applyFont="1"/>
    <xf borderId="5" fillId="0" fontId="7" numFmtId="0" xfId="0" applyBorder="1" applyFont="1"/>
    <xf borderId="11" fillId="0" fontId="7" numFmtId="0" xfId="0" applyBorder="1" applyFont="1"/>
    <xf borderId="12" fillId="0" fontId="7" numFmtId="0" xfId="0" applyBorder="1" applyFont="1"/>
    <xf borderId="6" fillId="0" fontId="7" numFmtId="0" xfId="0" applyBorder="1" applyFont="1"/>
    <xf borderId="0" fillId="0" fontId="14" numFmtId="0" xfId="0" applyAlignment="1" applyFont="1">
      <alignment horizontal="center" vertical="center"/>
    </xf>
    <xf borderId="0" fillId="0" fontId="13" numFmtId="0" xfId="0" applyAlignment="1" applyFont="1">
      <alignment vertical="center"/>
    </xf>
    <xf borderId="0" fillId="0" fontId="13" numFmtId="0" xfId="0" applyAlignment="1" applyFont="1">
      <alignment horizontal="center" vertical="center"/>
    </xf>
    <xf borderId="0" fillId="0" fontId="15" numFmtId="0" xfId="0" applyAlignment="1" applyFont="1">
      <alignment horizontal="center" readingOrder="0" vertical="center"/>
    </xf>
    <xf borderId="5" fillId="4" fontId="7" numFmtId="0" xfId="0" applyBorder="1" applyFill="1" applyFont="1"/>
    <xf borderId="4" fillId="3" fontId="7" numFmtId="0" xfId="0" applyBorder="1" applyFill="1" applyFont="1"/>
    <xf borderId="3" fillId="3" fontId="7" numFmtId="0" xfId="0" applyBorder="1" applyFill="1" applyFont="1"/>
    <xf borderId="6" fillId="3" fontId="7" numFmtId="0" xfId="0" applyBorder="1" applyFill="1" applyFont="1"/>
    <xf borderId="1" fillId="2" fontId="15" numFmtId="0" xfId="0" applyAlignment="1" applyBorder="1" applyFill="1" applyFont="1">
      <alignment horizontal="center" readingOrder="0" vertical="center"/>
    </xf>
    <xf borderId="2" fillId="4" fontId="11" numFmtId="164" xfId="0" applyAlignment="1" applyBorder="1" applyFill="1" applyFont="1" applyNumberFormat="1">
      <alignment horizontal="center" readingOrder="0" vertical="center"/>
    </xf>
    <xf borderId="1" fillId="2" fontId="15" numFmtId="0" xfId="0" applyAlignment="1" applyBorder="1" applyFill="1" applyFont="1">
      <alignment horizontal="center" readingOrder="0" shrinkToFit="0" vertical="center" wrapText="1"/>
    </xf>
    <xf borderId="2" fillId="4" fontId="8" numFmtId="0" xfId="0" applyAlignment="1" applyBorder="1" applyFill="1" applyFont="1">
      <alignment horizontal="center" vertical="center"/>
    </xf>
    <xf borderId="2" fillId="4" fontId="5" numFmtId="0" xfId="0" applyAlignment="1" applyBorder="1" applyFill="1" applyFont="1">
      <alignment horizontal="center" readingOrder="0" vertical="center"/>
    </xf>
    <xf borderId="5" fillId="4" fontId="12" numFmtId="0" xfId="0" applyAlignment="1" applyBorder="1" applyFill="1" applyFont="1">
      <alignment horizontal="center" vertical="center"/>
    </xf>
    <xf borderId="0" fillId="2" fontId="15" numFmtId="0" xfId="0" applyAlignment="1" applyFill="1" applyFont="1">
      <alignment horizontal="center" readingOrder="0" vertical="center"/>
    </xf>
    <xf borderId="0" fillId="3" fontId="15" numFmtId="0" xfId="0" applyAlignment="1" applyFill="1" applyFont="1">
      <alignment horizontal="center" readingOrder="0" vertical="center"/>
    </xf>
    <xf borderId="1" fillId="3" fontId="9" numFmtId="0" xfId="0" applyAlignment="1" applyBorder="1" applyFill="1" applyFont="1">
      <alignment horizontal="center" vertical="bottom"/>
    </xf>
    <xf borderId="2" fillId="3" fontId="14" numFmtId="164" xfId="0" applyAlignment="1" applyBorder="1" applyFill="1" applyFont="1" applyNumberFormat="1">
      <alignment horizontal="center" readingOrder="0" vertical="center"/>
    </xf>
    <xf borderId="5" fillId="3" fontId="7" numFmtId="0" xfId="0" applyBorder="1" applyFill="1" applyFont="1"/>
    <xf borderId="2" fillId="3" fontId="11" numFmtId="164" xfId="0" applyAlignment="1" applyBorder="1" applyFill="1" applyFont="1" applyNumberFormat="1">
      <alignment horizontal="center" readingOrder="0" vertical="center"/>
    </xf>
    <xf borderId="2" fillId="3" fontId="6" numFmtId="0" xfId="0" applyAlignment="1" applyBorder="1" applyFill="1" applyFont="1">
      <alignment horizontal="center" readingOrder="0" vertical="center"/>
    </xf>
    <xf borderId="1" fillId="3" fontId="14" numFmtId="0" xfId="0" applyAlignment="1" applyBorder="1" applyFill="1" applyFont="1">
      <alignment horizontal="center" readingOrder="0" vertical="center"/>
    </xf>
    <xf borderId="1" fillId="0" fontId="14" numFmtId="0" xfId="0" applyAlignment="1" applyBorder="1" applyFont="1">
      <alignment horizontal="center" readingOrder="0" vertical="center"/>
    </xf>
    <xf borderId="2" fillId="3" fontId="14" numFmtId="0" xfId="0" applyAlignment="1" applyBorder="1" applyFill="1" applyFont="1">
      <alignment horizontal="center" readingOrder="0" vertical="center"/>
    </xf>
    <xf borderId="0" fillId="0" fontId="14" numFmtId="0" xfId="0" applyAlignment="1" applyFont="1">
      <alignment horizontal="center" readingOrder="0" vertical="center"/>
    </xf>
    <xf borderId="1" fillId="4" fontId="14" numFmtId="0" xfId="0" applyAlignment="1" applyBorder="1" applyFill="1" applyFont="1">
      <alignment horizontal="center" readingOrder="0" vertical="center"/>
    </xf>
    <xf borderId="2" fillId="4" fontId="8" numFmtId="0" xfId="0" applyAlignment="1" applyBorder="1" applyFill="1" applyFont="1">
      <alignment horizontal="center" readingOrder="0" vertical="center"/>
    </xf>
    <xf borderId="2" fillId="4" fontId="1" numFmtId="0" xfId="0" applyAlignment="1" applyBorder="1" applyFill="1" applyFont="1">
      <alignment readingOrder="0" vertical="center"/>
    </xf>
    <xf borderId="13" fillId="0" fontId="16" numFmtId="0" xfId="0" applyAlignment="1" applyBorder="1" applyFont="1">
      <alignment horizontal="center" readingOrder="0" vertical="center"/>
    </xf>
    <xf borderId="14" fillId="0" fontId="7" numFmtId="0" xfId="0" applyBorder="1" applyFont="1"/>
    <xf borderId="15" fillId="0" fontId="7" numFmtId="0" xfId="0" applyBorder="1" applyFont="1"/>
    <xf borderId="16" fillId="0" fontId="7" numFmtId="0" xfId="0" applyBorder="1" applyFont="1"/>
    <xf borderId="17" fillId="0" fontId="7" numFmtId="0" xfId="0" applyBorder="1" applyFont="1"/>
    <xf borderId="3" fillId="3" fontId="14" numFmtId="0" xfId="0" applyAlignment="1" applyBorder="1" applyFill="1" applyFont="1">
      <alignment horizontal="center" readingOrder="0" vertical="center"/>
    </xf>
    <xf borderId="18" fillId="0" fontId="7" numFmtId="0" xfId="0" applyBorder="1" applyFont="1"/>
    <xf borderId="19" fillId="0" fontId="7" numFmtId="0" xfId="0" applyBorder="1" applyFont="1"/>
    <xf borderId="20" fillId="0" fontId="7" numFmtId="0" xfId="0" applyBorder="1" applyFont="1"/>
    <xf borderId="0" fillId="0" fontId="17" numFmtId="0" xfId="0" applyFont="1"/>
    <xf borderId="3" fillId="4" fontId="14" numFmtId="0" xfId="0" applyAlignment="1" applyBorder="1" applyFill="1" applyFont="1">
      <alignment horizontal="center" readingOrder="0" vertical="center"/>
    </xf>
    <xf borderId="4" fillId="4" fontId="1" numFmtId="0" xfId="0" applyAlignment="1" applyBorder="1" applyFill="1" applyFont="1">
      <alignment readingOrder="0" vertical="center"/>
    </xf>
    <xf borderId="1" fillId="2" fontId="18" numFmtId="0" xfId="0" applyAlignment="1" applyBorder="1" applyFill="1" applyFont="1">
      <alignment horizontal="center" readingOrder="0" vertical="center"/>
    </xf>
    <xf borderId="5" fillId="4" fontId="5" numFmtId="0" xfId="0" applyAlignment="1" applyBorder="1" applyFill="1" applyFont="1">
      <alignment horizontal="center" readingOrder="0" vertical="center"/>
    </xf>
    <xf borderId="1" fillId="2" fontId="18" numFmtId="0" xfId="0" applyAlignment="1" applyBorder="1" applyFill="1" applyFont="1">
      <alignment horizontal="center" readingOrder="0" shrinkToFit="0" vertical="center" wrapText="1"/>
    </xf>
    <xf borderId="0" fillId="2" fontId="18" numFmtId="0" xfId="0" applyAlignment="1" applyFill="1" applyFont="1">
      <alignment horizontal="center" readingOrder="0" vertical="center"/>
    </xf>
    <xf borderId="2" fillId="4" fontId="1" numFmtId="0" xfId="0" applyAlignment="1" applyBorder="1" applyFill="1" applyFont="1">
      <alignment horizontal="center" readingOrder="0" vertical="center"/>
    </xf>
    <xf borderId="2" fillId="3" fontId="19" numFmtId="0" xfId="0" applyAlignment="1" applyBorder="1" applyFill="1" applyFont="1">
      <alignment horizontal="center" readingOrder="0" vertical="center"/>
    </xf>
    <xf borderId="2" fillId="3" fontId="3" numFmtId="0" xfId="0" applyAlignment="1" applyBorder="1" applyFill="1" applyFont="1">
      <alignment readingOrder="0" vertical="center"/>
    </xf>
    <xf borderId="21" fillId="3" fontId="3" numFmtId="0" xfId="0" applyAlignment="1" applyBorder="1" applyFill="1" applyFont="1">
      <alignment horizontal="center" readingOrder="0" vertical="center"/>
    </xf>
    <xf borderId="22" fillId="4" fontId="7" numFmtId="0" xfId="0" applyBorder="1" applyFill="1" applyFont="1"/>
    <xf borderId="23" fillId="4" fontId="3" numFmtId="0" xfId="0" applyAlignment="1" applyBorder="1" applyFill="1" applyFont="1">
      <alignment horizontal="center" readingOrder="0" vertical="center"/>
    </xf>
    <xf borderId="2" fillId="3" fontId="10" numFmtId="0" xfId="0" applyAlignment="1" applyBorder="1" applyFill="1" applyFont="1">
      <alignment horizontal="center" vertical="center"/>
    </xf>
    <xf borderId="24" fillId="3" fontId="3" numFmtId="164" xfId="0" applyAlignment="1" applyBorder="1" applyFill="1" applyFont="1" applyNumberFormat="1">
      <alignment horizontal="center" readingOrder="0" vertical="center"/>
    </xf>
    <xf borderId="2" fillId="5" fontId="3" numFmtId="164" xfId="0" applyAlignment="1" applyBorder="1" applyFill="1" applyFont="1" applyNumberFormat="1">
      <alignment horizontal="center" readingOrder="0" vertical="center"/>
    </xf>
    <xf borderId="2" fillId="0" fontId="14" numFmtId="0" xfId="0" applyAlignment="1" applyBorder="1" applyFont="1">
      <alignment horizontal="center" readingOrder="0" vertical="center"/>
    </xf>
    <xf borderId="24" fillId="3" fontId="19" numFmtId="0" xfId="0" applyAlignment="1" applyBorder="1" applyFill="1" applyFont="1">
      <alignment horizontal="center" readingOrder="0" vertical="center"/>
    </xf>
    <xf borderId="24" fillId="3" fontId="3" numFmtId="0" xfId="0" applyAlignment="1" applyBorder="1" applyFill="1" applyFont="1">
      <alignment readingOrder="0" vertical="center"/>
    </xf>
    <xf borderId="3" fillId="0" fontId="7" numFmtId="0" xfId="0" applyBorder="1" applyFont="1"/>
    <xf borderId="24" fillId="3" fontId="3" numFmtId="0" xfId="0" applyAlignment="1" applyBorder="1" applyFill="1" applyFont="1">
      <alignment horizontal="center" readingOrder="0" vertical="center"/>
    </xf>
    <xf borderId="24" fillId="3" fontId="14" numFmtId="0" xfId="0" applyAlignment="1" applyBorder="1" applyFill="1" applyFont="1">
      <alignment horizontal="center" readingOrder="0" vertical="center"/>
    </xf>
    <xf borderId="3" fillId="3" fontId="1" numFmtId="0" xfId="0" applyAlignment="1" applyBorder="1" applyFill="1" applyFont="1">
      <alignment horizontal="center" readingOrder="0" vertical="center"/>
    </xf>
    <xf borderId="1" fillId="4" fontId="11" numFmtId="0" xfId="0" applyAlignment="1" applyBorder="1" applyFill="1" applyFont="1">
      <alignment horizontal="center"/>
    </xf>
    <xf borderId="1" fillId="4" fontId="11" numFmtId="0" xfId="0" applyAlignment="1" applyBorder="1" applyFill="1" applyFont="1">
      <alignment horizontal="center" readingOrder="0"/>
    </xf>
    <xf borderId="23" fillId="3" fontId="3" numFmtId="0" xfId="0" applyAlignment="1" applyBorder="1" applyFill="1" applyFont="1">
      <alignment horizontal="center" readingOrder="0" vertical="center"/>
    </xf>
    <xf borderId="1" fillId="4" fontId="8" numFmtId="0" xfId="0" applyBorder="1" applyFill="1" applyFont="1"/>
    <xf borderId="2" fillId="4" fontId="8" numFmtId="0" xfId="0" applyBorder="1" applyFill="1" applyFont="1"/>
    <xf borderId="0" fillId="4" fontId="8" numFmtId="0" xfId="0" applyFill="1" applyFont="1"/>
    <xf borderId="2" fillId="3" fontId="8" numFmtId="0" xfId="0" applyAlignment="1" applyBorder="1" applyFill="1" applyFont="1">
      <alignment horizontal="right" readingOrder="0"/>
    </xf>
    <xf borderId="23" fillId="3" fontId="3" numFmtId="0" xfId="0" applyAlignment="1" applyBorder="1" applyFill="1" applyFont="1">
      <alignment readingOrder="0" vertical="center"/>
    </xf>
    <xf borderId="2" fillId="3" fontId="9" numFmtId="0" xfId="0" applyAlignment="1" applyBorder="1" applyFill="1" applyFont="1">
      <alignment horizontal="center"/>
    </xf>
    <xf borderId="2" fillId="4" fontId="14" numFmtId="164" xfId="0" applyAlignment="1" applyBorder="1" applyFill="1" applyFont="1" applyNumberFormat="1">
      <alignment horizontal="center" readingOrder="0" vertical="center"/>
    </xf>
    <xf borderId="1" fillId="3" fontId="11" numFmtId="0" xfId="0" applyAlignment="1" applyBorder="1" applyFill="1" applyFont="1">
      <alignment horizontal="center"/>
    </xf>
    <xf borderId="2" fillId="4" fontId="6" numFmtId="0" xfId="0" applyAlignment="1" applyBorder="1" applyFill="1" applyFont="1">
      <alignment horizontal="center" readingOrder="0" vertical="center"/>
    </xf>
    <xf borderId="1" fillId="3" fontId="8" numFmtId="0" xfId="0" applyBorder="1" applyFill="1" applyFont="1"/>
    <xf borderId="3" fillId="3" fontId="5" numFmtId="0" xfId="0" applyAlignment="1" applyBorder="1" applyFill="1" applyFont="1">
      <alignment horizontal="center" readingOrder="0" vertical="center"/>
    </xf>
    <xf borderId="2" fillId="3" fontId="8" numFmtId="0" xfId="0" applyBorder="1" applyFill="1" applyFont="1"/>
    <xf borderId="0" fillId="3" fontId="8" numFmtId="0" xfId="0" applyFill="1" applyFont="1"/>
    <xf borderId="2" fillId="4" fontId="8" numFmtId="0" xfId="0" applyAlignment="1" applyBorder="1" applyFill="1" applyFont="1">
      <alignment horizontal="right" readingOrder="0"/>
    </xf>
    <xf borderId="23" fillId="4" fontId="3" numFmtId="0" xfId="0" applyAlignment="1" applyBorder="1" applyFill="1" applyFont="1">
      <alignment readingOrder="0" vertical="center"/>
    </xf>
    <xf borderId="2" fillId="4" fontId="9" numFmtId="0" xfId="0" applyAlignment="1" applyBorder="1" applyFill="1" applyFont="1">
      <alignment horizontal="center"/>
    </xf>
    <xf borderId="2" fillId="3" fontId="8" numFmtId="0" xfId="0" applyAlignment="1" applyBorder="1" applyFill="1" applyFont="1">
      <alignment horizontal="right" readingOrder="0" vertical="center"/>
    </xf>
    <xf borderId="4" fillId="3" fontId="5" numFmtId="0" xfId="0" applyAlignment="1" applyBorder="1" applyFill="1" applyFont="1">
      <alignment horizontal="center" readingOrder="0" vertical="center"/>
    </xf>
    <xf borderId="4" fillId="3" fontId="1" numFmtId="0" xfId="0" applyAlignment="1" applyBorder="1" applyFill="1" applyFont="1">
      <alignment horizontal="center" readingOrder="0" vertical="center"/>
    </xf>
    <xf borderId="24" fillId="3" fontId="14" numFmtId="0" xfId="0" applyAlignment="1" applyBorder="1" applyFill="1" applyFont="1">
      <alignment readingOrder="0" vertical="center"/>
    </xf>
    <xf borderId="5" fillId="3" fontId="5" numFmtId="0" xfId="0" applyAlignment="1" applyBorder="1" applyFill="1" applyFont="1">
      <alignment horizontal="center" readingOrder="0" vertical="center"/>
    </xf>
    <xf borderId="23" fillId="3" fontId="14" numFmtId="0" xfId="0" applyAlignment="1" applyBorder="1" applyFill="1" applyFont="1">
      <alignment horizontal="center" readingOrder="0" vertical="center"/>
    </xf>
    <xf borderId="4" fillId="4" fontId="5" numFmtId="0" xfId="0" applyAlignment="1" applyBorder="1" applyFill="1" applyFont="1">
      <alignment horizontal="center" readingOrder="0" vertical="center"/>
    </xf>
    <xf borderId="4" fillId="4" fontId="1" numFmtId="0" xfId="0" applyAlignment="1" applyBorder="1" applyFill="1" applyFont="1">
      <alignment horizontal="center" readingOrder="0" vertical="center"/>
    </xf>
    <xf borderId="23" fillId="4" fontId="14" numFmtId="0" xfId="0" applyAlignment="1" applyBorder="1" applyFill="1" applyFont="1">
      <alignment horizontal="center" readingOrder="0" vertical="center"/>
    </xf>
    <xf borderId="1" fillId="6" fontId="14" numFmtId="0" xfId="0" applyAlignment="1" applyBorder="1" applyFill="1" applyFont="1">
      <alignment horizontal="center" readingOrder="0" vertical="center"/>
    </xf>
    <xf borderId="22" fillId="3" fontId="7" numFmtId="0" xfId="0" applyBorder="1" applyFill="1" applyFont="1"/>
    <xf borderId="23" fillId="3" fontId="19" numFmtId="0" xfId="0" applyAlignment="1" applyBorder="1" applyFill="1" applyFont="1">
      <alignment horizontal="center" readingOrder="0" vertical="center"/>
    </xf>
    <xf borderId="24" fillId="4" fontId="19" numFmtId="0" xfId="0" applyAlignment="1" applyBorder="1" applyFill="1" applyFont="1">
      <alignment horizontal="center" readingOrder="0" vertical="center"/>
    </xf>
    <xf borderId="24" fillId="4" fontId="3" numFmtId="0" xfId="0" applyAlignment="1" applyBorder="1" applyFill="1" applyFont="1">
      <alignment readingOrder="0" vertical="center"/>
    </xf>
    <xf borderId="4" fillId="7" fontId="5" numFmtId="0" xfId="0" applyAlignment="1" applyBorder="1" applyFill="1" applyFont="1">
      <alignment horizontal="center" readingOrder="0"/>
    </xf>
    <xf borderId="4" fillId="3" fontId="1" numFmtId="0" xfId="0" applyAlignment="1" applyBorder="1" applyFill="1" applyFont="1">
      <alignment readingOrder="0"/>
    </xf>
    <xf borderId="2" fillId="3" fontId="5" numFmtId="0" xfId="0" applyAlignment="1" applyBorder="1" applyFill="1" applyFont="1">
      <alignment horizontal="center" readingOrder="0"/>
    </xf>
    <xf borderId="24" fillId="4" fontId="3" numFmtId="0" xfId="0" applyAlignment="1" applyBorder="1" applyFill="1" applyFont="1">
      <alignment horizontal="center" readingOrder="0" vertical="center"/>
    </xf>
    <xf borderId="24" fillId="4" fontId="14" numFmtId="0" xfId="0" applyAlignment="1" applyBorder="1" applyFill="1" applyFont="1">
      <alignment horizontal="center" readingOrder="0" vertical="center"/>
    </xf>
    <xf borderId="3" fillId="3" fontId="5" numFmtId="0" xfId="0" applyAlignment="1" applyBorder="1" applyFill="1" applyFont="1">
      <alignment horizontal="center" readingOrder="0"/>
    </xf>
    <xf borderId="3" fillId="3" fontId="1" numFmtId="0" xfId="0" applyAlignment="1" applyBorder="1" applyFill="1" applyFont="1">
      <alignment readingOrder="0"/>
    </xf>
    <xf borderId="1" fillId="3" fontId="8" numFmtId="0" xfId="0" applyAlignment="1" applyBorder="1" applyFill="1" applyFont="1">
      <alignment horizontal="right" readingOrder="0" vertical="center"/>
    </xf>
    <xf borderId="3" fillId="4" fontId="5" numFmtId="0" xfId="0" applyAlignment="1" applyBorder="1" applyFill="1" applyFont="1">
      <alignment horizontal="center" readingOrder="0"/>
    </xf>
    <xf borderId="3" fillId="4" fontId="1" numFmtId="0" xfId="0" applyAlignment="1" applyBorder="1" applyFill="1" applyFont="1">
      <alignment readingOrder="0"/>
    </xf>
    <xf borderId="23" fillId="4" fontId="19" numFmtId="0" xfId="0" applyAlignment="1" applyBorder="1" applyFill="1" applyFont="1">
      <alignment horizontal="center" readingOrder="0" vertical="center"/>
    </xf>
    <xf borderId="24" fillId="3" fontId="14" numFmtId="164" xfId="0" applyAlignment="1" applyBorder="1" applyFill="1" applyFont="1" applyNumberFormat="1">
      <alignment horizontal="center" readingOrder="0" vertical="center"/>
    </xf>
    <xf borderId="2" fillId="4" fontId="8" numFmtId="164" xfId="0" applyBorder="1" applyFill="1" applyFont="1" applyNumberFormat="1"/>
    <xf borderId="3" fillId="4" fontId="8" numFmtId="0" xfId="0" applyAlignment="1" applyBorder="1" applyFill="1" applyFont="1">
      <alignment vertical="bottom"/>
    </xf>
    <xf borderId="1" fillId="4" fontId="8" numFmtId="0" xfId="0" applyAlignment="1" applyBorder="1" applyFill="1" applyFont="1">
      <alignment vertical="bottom"/>
    </xf>
    <xf borderId="2" fillId="4" fontId="14" numFmtId="0" xfId="0" applyAlignment="1" applyBorder="1" applyFill="1" applyFont="1">
      <alignment horizontal="center" readingOrder="0" vertical="center"/>
    </xf>
    <xf borderId="2" fillId="3" fontId="8" numFmtId="164" xfId="0" applyBorder="1" applyFill="1" applyFont="1" applyNumberFormat="1"/>
    <xf borderId="3" fillId="3" fontId="8" numFmtId="0" xfId="0" applyAlignment="1" applyBorder="1" applyFill="1" applyFont="1">
      <alignment vertical="bottom"/>
    </xf>
    <xf borderId="1" fillId="3" fontId="8" numFmtId="0" xfId="0" applyAlignment="1" applyBorder="1" applyFill="1" applyFont="1">
      <alignment vertical="bottom"/>
    </xf>
    <xf borderId="24" fillId="4" fontId="14" numFmtId="0" xfId="0" applyAlignment="1" applyBorder="1" applyFill="1" applyFont="1">
      <alignment readingOrder="0" vertical="center"/>
    </xf>
    <xf borderId="1" fillId="3" fontId="11" numFmtId="0" xfId="0" applyAlignment="1" applyBorder="1" applyFill="1" applyFont="1">
      <alignment horizontal="center" vertical="center"/>
    </xf>
    <xf borderId="1" fillId="3" fontId="8" numFmtId="164" xfId="0" applyBorder="1" applyFill="1" applyFont="1" applyNumberFormat="1"/>
    <xf borderId="1" fillId="3" fontId="8" numFmtId="0" xfId="0" applyAlignment="1" applyBorder="1" applyFill="1" applyFont="1">
      <alignment vertical="center"/>
    </xf>
    <xf borderId="2" fillId="3" fontId="8" numFmtId="0" xfId="0" applyAlignment="1" applyBorder="1" applyFill="1" applyFont="1">
      <alignment vertical="center"/>
    </xf>
    <xf borderId="0" fillId="3" fontId="8" numFmtId="0" xfId="0" applyAlignment="1" applyFill="1" applyFont="1">
      <alignment vertical="center"/>
    </xf>
    <xf borderId="1" fillId="4" fontId="11" numFmtId="0" xfId="0" applyAlignment="1" applyBorder="1" applyFill="1" applyFont="1">
      <alignment horizontal="center" vertical="center"/>
    </xf>
    <xf borderId="1" fillId="4" fontId="11" numFmtId="0" xfId="0" applyAlignment="1" applyBorder="1" applyFill="1" applyFont="1">
      <alignment horizontal="center" readingOrder="0" vertical="center"/>
    </xf>
    <xf borderId="1" fillId="4" fontId="8" numFmtId="0" xfId="0" applyAlignment="1" applyBorder="1" applyFill="1" applyFont="1">
      <alignment vertical="center"/>
    </xf>
    <xf borderId="2" fillId="4" fontId="8" numFmtId="0" xfId="0" applyAlignment="1" applyBorder="1" applyFill="1" applyFont="1">
      <alignment vertical="center"/>
    </xf>
    <xf borderId="0" fillId="4" fontId="8" numFmtId="0" xfId="0" applyAlignment="1" applyFill="1" applyFont="1">
      <alignment vertical="center"/>
    </xf>
    <xf borderId="1" fillId="4" fontId="8" numFmtId="164" xfId="0" applyBorder="1" applyFill="1" applyFont="1" applyNumberFormat="1"/>
    <xf borderId="2" fillId="3" fontId="8" numFmtId="0" xfId="0" applyAlignment="1" applyBorder="1" applyFill="1" applyFont="1">
      <alignment horizontal="right" vertical="center"/>
    </xf>
    <xf borderId="1" fillId="3" fontId="11" numFmtId="0" xfId="0" applyAlignment="1" applyBorder="1" applyFill="1" applyFont="1">
      <alignment horizontal="center" readingOrder="0" vertical="center"/>
    </xf>
    <xf borderId="2" fillId="4" fontId="9" numFmtId="0" xfId="0" applyAlignment="1" applyBorder="1" applyFill="1" applyFont="1">
      <alignment horizontal="center" vertical="center"/>
    </xf>
    <xf borderId="2" fillId="4" fontId="14" numFmtId="165" xfId="0" applyAlignment="1" applyBorder="1" applyFill="1" applyFont="1" applyNumberFormat="1">
      <alignment horizontal="center" readingOrder="0" vertical="center"/>
    </xf>
    <xf borderId="25" fillId="3" fontId="1" numFmtId="0" xfId="0" applyBorder="1" applyFill="1" applyFont="1"/>
    <xf borderId="1" fillId="3" fontId="11" numFmtId="0" xfId="0" applyAlignment="1" applyBorder="1" applyFill="1" applyFont="1">
      <alignment horizontal="center" readingOrder="0"/>
    </xf>
    <xf borderId="3" fillId="0" fontId="14" numFmtId="0" xfId="0" applyAlignment="1" applyBorder="1" applyFont="1">
      <alignment horizontal="center" readingOrder="0" vertical="center"/>
    </xf>
    <xf borderId="2" fillId="4" fontId="8" numFmtId="0" xfId="0" applyAlignment="1" applyBorder="1" applyFill="1" applyFont="1">
      <alignment horizontal="right" readingOrder="0" vertical="center"/>
    </xf>
    <xf borderId="1" fillId="4" fontId="8" numFmtId="0" xfId="0" applyAlignment="1" applyBorder="1" applyFill="1" applyFont="1">
      <alignment horizontal="right" readingOrder="0" vertical="center"/>
    </xf>
    <xf borderId="1" fillId="3" fontId="10" numFmtId="0" xfId="0" applyAlignment="1" applyBorder="1" applyFill="1" applyFont="1">
      <alignment horizontal="center" vertical="center"/>
    </xf>
    <xf borderId="23" fillId="3" fontId="14" numFmtId="0" xfId="0" applyAlignment="1" applyBorder="1" applyFill="1" applyFont="1">
      <alignment readingOrder="0" vertical="center"/>
    </xf>
    <xf borderId="4" fillId="0" fontId="7" numFmtId="0" xfId="0" applyBorder="1" applyFont="1"/>
    <xf borderId="23" fillId="4" fontId="14" numFmtId="0" xfId="0" applyAlignment="1" applyBorder="1" applyFill="1" applyFont="1">
      <alignment readingOrder="0" vertical="center"/>
    </xf>
    <xf borderId="0" fillId="4" fontId="6" numFmtId="0" xfId="0" applyAlignment="1" applyFill="1" applyFont="1">
      <alignment horizontal="center" readingOrder="0" vertical="center"/>
    </xf>
    <xf borderId="0" fillId="3" fontId="6" numFmtId="0" xfId="0" applyAlignment="1" applyFill="1" applyFont="1">
      <alignment horizontal="center" readingOrder="0" vertical="center"/>
    </xf>
    <xf borderId="1" fillId="3" fontId="8" numFmtId="0" xfId="0" applyAlignment="1" applyBorder="1" applyFill="1" applyFont="1">
      <alignment readingOrder="0"/>
    </xf>
    <xf borderId="1" fillId="4" fontId="8" numFmtId="0" xfId="0" applyAlignment="1" applyBorder="1" applyFill="1" applyFont="1">
      <alignment readingOrder="0"/>
    </xf>
    <xf borderId="4" fillId="4" fontId="8" numFmtId="0" xfId="0" applyAlignment="1" applyBorder="1" applyFill="1" applyFont="1">
      <alignment horizontal="right" readingOrder="0" vertical="center"/>
    </xf>
    <xf borderId="24" fillId="4" fontId="20" numFmtId="164" xfId="0" applyAlignment="1" applyBorder="1" applyFill="1" applyFont="1" applyNumberFormat="1">
      <alignment horizontal="center" readingOrder="0" vertical="center"/>
    </xf>
    <xf borderId="24" fillId="8" fontId="14" numFmtId="0" xfId="0" applyAlignment="1" applyBorder="1" applyFill="1" applyFont="1">
      <alignment horizontal="center" readingOrder="0" vertical="center"/>
    </xf>
    <xf borderId="26" fillId="9" fontId="21" numFmtId="0" xfId="0" applyAlignment="1" applyBorder="1" applyFill="1" applyFont="1">
      <alignment horizontal="center" readingOrder="0" vertical="center"/>
    </xf>
    <xf borderId="27" fillId="4" fontId="7" numFmtId="0" xfId="0" applyBorder="1" applyFill="1" applyFont="1"/>
    <xf borderId="28" fillId="3" fontId="21" numFmtId="0" xfId="0" applyAlignment="1" applyBorder="1" applyFill="1" applyFont="1">
      <alignment horizontal="center" readingOrder="0" vertical="center"/>
    </xf>
    <xf borderId="29" fillId="3" fontId="7" numFmtId="0" xfId="0" applyBorder="1" applyFill="1" applyFont="1"/>
    <xf borderId="30" fillId="3" fontId="7" numFmtId="0" xfId="0" applyBorder="1" applyFill="1" applyFont="1"/>
    <xf borderId="29" fillId="4" fontId="7" numFmtId="0" xfId="0" applyBorder="1" applyFill="1" applyFont="1"/>
    <xf borderId="30" fillId="4" fontId="7" numFmtId="0" xfId="0" applyBorder="1" applyFill="1" applyFont="1"/>
    <xf borderId="31" fillId="3" fontId="7" numFmtId="0" xfId="0" applyBorder="1" applyFill="1" applyFont="1"/>
    <xf borderId="32" fillId="3" fontId="7" numFmtId="0" xfId="0" applyBorder="1" applyFill="1" applyFont="1"/>
    <xf borderId="33" fillId="3" fontId="7" numFmtId="0" xfId="0" applyBorder="1" applyFill="1" applyFont="1"/>
    <xf borderId="34" fillId="4" fontId="3" numFmtId="0" xfId="0" applyAlignment="1" applyBorder="1" applyFill="1" applyFont="1">
      <alignment horizontal="center" readingOrder="0" vertical="center"/>
    </xf>
    <xf borderId="35" fillId="4" fontId="14" numFmtId="0" xfId="0" applyAlignment="1" applyBorder="1" applyFill="1" applyFont="1">
      <alignment horizontal="center" readingOrder="0" vertical="center"/>
    </xf>
    <xf borderId="28" fillId="4" fontId="14" numFmtId="0" xfId="0" applyAlignment="1" applyBorder="1" applyFill="1" applyFont="1">
      <alignment horizontal="center" readingOrder="0" vertical="center"/>
    </xf>
    <xf borderId="36" fillId="3" fontId="7" numFmtId="0" xfId="0" applyBorder="1" applyFill="1" applyFont="1"/>
    <xf borderId="37" fillId="3" fontId="7" numFmtId="0" xfId="0" applyBorder="1" applyFill="1" applyFont="1"/>
    <xf borderId="38" fillId="4" fontId="7" numFmtId="0" xfId="0" applyBorder="1" applyFill="1" applyFont="1"/>
    <xf borderId="39" fillId="4" fontId="7" numFmtId="0" xfId="0" applyBorder="1" applyFill="1" applyFont="1"/>
    <xf borderId="33" fillId="4" fontId="7" numFmtId="0" xfId="0" applyBorder="1" applyFill="1" applyFont="1"/>
    <xf borderId="34" fillId="3" fontId="14" numFmtId="0" xfId="0" applyAlignment="1" applyBorder="1" applyFill="1" applyFont="1">
      <alignment horizontal="center" readingOrder="0" vertical="center"/>
    </xf>
    <xf borderId="40" fillId="3" fontId="14" numFmtId="0" xfId="0" applyAlignment="1" applyBorder="1" applyFill="1" applyFont="1">
      <alignment horizontal="center" readingOrder="0" vertical="center"/>
    </xf>
    <xf borderId="36" fillId="4" fontId="7" numFmtId="0" xfId="0" applyBorder="1" applyFill="1" applyFont="1"/>
    <xf borderId="41" fillId="4" fontId="7" numFmtId="0" xfId="0" applyBorder="1" applyFill="1" applyFont="1"/>
    <xf borderId="38" fillId="3" fontId="7" numFmtId="0" xfId="0" applyBorder="1" applyFill="1" applyFont="1"/>
    <xf borderId="42" fillId="3" fontId="7" numFmtId="0" xfId="0" applyBorder="1" applyFill="1" applyFont="1"/>
    <xf borderId="34" fillId="4" fontId="14" numFmtId="0" xfId="0" applyAlignment="1" applyBorder="1" applyFill="1" applyFont="1">
      <alignment horizontal="center" readingOrder="0" vertical="center"/>
    </xf>
    <xf borderId="40" fillId="4" fontId="14" numFmtId="0" xfId="0" applyAlignment="1" applyBorder="1" applyFill="1" applyFont="1">
      <alignment horizontal="center" readingOrder="0" vertical="center"/>
    </xf>
    <xf borderId="41" fillId="3" fontId="7" numFmtId="0" xfId="0" applyBorder="1" applyFill="1" applyFont="1"/>
    <xf borderId="42" fillId="4" fontId="7" numFmtId="0" xfId="0" applyBorder="1" applyFill="1" applyFont="1"/>
    <xf borderId="26" fillId="3" fontId="14" numFmtId="164" xfId="0" applyAlignment="1" applyBorder="1" applyFill="1" applyFont="1" applyNumberFormat="1">
      <alignment horizontal="center" readingOrder="0" vertical="center"/>
    </xf>
    <xf borderId="24" fillId="3" fontId="20" numFmtId="0" xfId="0" applyAlignment="1" applyBorder="1" applyFill="1" applyFont="1">
      <alignment horizontal="center" readingOrder="0" vertical="center"/>
    </xf>
    <xf borderId="24" fillId="8" fontId="22" numFmtId="0" xfId="0" applyAlignment="1" applyBorder="1" applyFill="1" applyFont="1">
      <alignment horizontal="center" readingOrder="0" vertical="center"/>
    </xf>
    <xf borderId="26" fillId="3" fontId="21" numFmtId="0" xfId="0" applyAlignment="1" applyBorder="1" applyFill="1" applyFont="1">
      <alignment horizontal="center" readingOrder="0" vertical="center"/>
    </xf>
    <xf borderId="27" fillId="3" fontId="7" numFmtId="0" xfId="0" applyBorder="1" applyFill="1" applyFont="1"/>
    <xf borderId="28" fillId="3" fontId="23" numFmtId="0" xfId="0" applyAlignment="1" applyBorder="1" applyFill="1" applyFont="1">
      <alignment horizontal="center" readingOrder="0" vertical="center"/>
    </xf>
    <xf borderId="31" fillId="4" fontId="7" numFmtId="0" xfId="0" applyBorder="1" applyFill="1" applyFont="1"/>
    <xf borderId="32" fillId="4" fontId="7" numFmtId="0" xfId="0" applyBorder="1" applyFill="1" applyFont="1"/>
    <xf borderId="34" fillId="3" fontId="3" numFmtId="0" xfId="0" applyAlignment="1" applyBorder="1" applyFill="1" applyFont="1">
      <alignment horizontal="center" readingOrder="0" vertical="center"/>
    </xf>
    <xf borderId="35" fillId="3" fontId="14" numFmtId="0" xfId="0" applyAlignment="1" applyBorder="1" applyFill="1" applyFont="1">
      <alignment horizontal="center" readingOrder="0" vertical="center"/>
    </xf>
    <xf borderId="28" fillId="3" fontId="14" numFmtId="0" xfId="0" applyAlignment="1" applyBorder="1" applyFill="1" applyFont="1">
      <alignment horizontal="center" readingOrder="0" vertical="center"/>
    </xf>
    <xf borderId="37" fillId="4" fontId="7" numFmtId="0" xfId="0" applyBorder="1" applyFill="1" applyFont="1"/>
    <xf borderId="39" fillId="3" fontId="7" numFmtId="0" xfId="0" applyBorder="1" applyFill="1" applyFont="1"/>
    <xf borderId="2" fillId="10" fontId="3" numFmtId="164" xfId="0" applyAlignment="1" applyBorder="1" applyFill="1" applyFont="1" applyNumberFormat="1">
      <alignment horizontal="center" readingOrder="0" vertical="center"/>
    </xf>
    <xf borderId="2" fillId="10" fontId="8" numFmtId="0" xfId="0" applyAlignment="1" applyBorder="1" applyFill="1" applyFont="1">
      <alignment horizontal="center" readingOrder="0" vertical="center"/>
    </xf>
    <xf borderId="2" fillId="10" fontId="8" numFmtId="0" xfId="0" applyAlignment="1" applyBorder="1" applyFill="1" applyFont="1">
      <alignment horizontal="right" readingOrder="0" vertical="center"/>
    </xf>
    <xf borderId="2" fillId="10" fontId="9" numFmtId="0" xfId="0" applyAlignment="1" applyBorder="1" applyFill="1" applyFont="1">
      <alignment horizontal="center" vertical="center"/>
    </xf>
    <xf borderId="2" fillId="10" fontId="5" numFmtId="0" xfId="0" applyAlignment="1" applyBorder="1" applyFill="1" applyFont="1">
      <alignment horizontal="center" readingOrder="0" vertical="center"/>
    </xf>
    <xf borderId="2" fillId="10" fontId="10" numFmtId="0" xfId="0" applyAlignment="1" applyBorder="1" applyFill="1" applyFont="1">
      <alignment horizontal="center" readingOrder="0" vertical="center"/>
    </xf>
    <xf borderId="1" fillId="10" fontId="11" numFmtId="0" xfId="0" applyAlignment="1" applyBorder="1" applyFill="1" applyFont="1">
      <alignment horizontal="center" vertical="center"/>
    </xf>
    <xf borderId="1" fillId="10" fontId="3" numFmtId="0" xfId="0" applyAlignment="1" applyBorder="1" applyFill="1" applyFont="1">
      <alignment horizontal="center" readingOrder="0" vertical="center"/>
    </xf>
    <xf borderId="1" fillId="10" fontId="11" numFmtId="0" xfId="0" applyAlignment="1" applyBorder="1" applyFill="1" applyFont="1">
      <alignment horizontal="center" readingOrder="0" vertical="center"/>
    </xf>
    <xf borderId="24" fillId="4" fontId="20" numFmtId="0" xfId="0" applyAlignment="1" applyBorder="1" applyFill="1" applyFont="1">
      <alignment horizontal="center" readingOrder="0" vertical="center"/>
    </xf>
    <xf borderId="1" fillId="10" fontId="8" numFmtId="0" xfId="0" applyAlignment="1" applyBorder="1" applyFill="1" applyFont="1">
      <alignment vertical="center"/>
    </xf>
    <xf borderId="2" fillId="10" fontId="8" numFmtId="0" xfId="0" applyAlignment="1" applyBorder="1" applyFill="1" applyFont="1">
      <alignment vertical="center"/>
    </xf>
    <xf borderId="0" fillId="10" fontId="8" numFmtId="0" xfId="0" applyAlignment="1" applyFill="1" applyFont="1">
      <alignment vertical="center"/>
    </xf>
    <xf borderId="2" fillId="3" fontId="11" numFmtId="165" xfId="0" applyAlignment="1" applyBorder="1" applyFill="1" applyFont="1" applyNumberFormat="1">
      <alignment horizontal="center"/>
    </xf>
    <xf borderId="2" fillId="3" fontId="8" numFmtId="0" xfId="0" applyAlignment="1" applyBorder="1" applyFill="1" applyFont="1">
      <alignment horizontal="center"/>
    </xf>
    <xf borderId="2" fillId="3" fontId="8" numFmtId="0" xfId="0" applyAlignment="1" applyBorder="1" applyFill="1" applyFont="1">
      <alignment horizontal="right"/>
    </xf>
    <xf borderId="2" fillId="3" fontId="9" numFmtId="0" xfId="0" applyAlignment="1" applyBorder="1" applyFill="1" applyFont="1">
      <alignment horizontal="center" vertical="bottom"/>
    </xf>
    <xf borderId="2" fillId="3" fontId="12" numFmtId="0" xfId="0" applyAlignment="1" applyBorder="1" applyFill="1" applyFont="1">
      <alignment horizontal="center"/>
    </xf>
    <xf borderId="2" fillId="3" fontId="10" numFmtId="0" xfId="0" applyAlignment="1" applyBorder="1" applyFill="1" applyFont="1">
      <alignment horizontal="center"/>
    </xf>
    <xf borderId="2" fillId="3" fontId="11" numFmtId="165" xfId="0" applyAlignment="1" applyBorder="1" applyFill="1" applyFont="1" applyNumberFormat="1">
      <alignment horizontal="center" readingOrder="0"/>
    </xf>
    <xf borderId="2" fillId="3" fontId="24" numFmtId="0" xfId="0" applyAlignment="1" applyBorder="1" applyFill="1" applyFont="1">
      <alignment horizontal="center" readingOrder="0" vertical="center"/>
    </xf>
    <xf borderId="2" fillId="3" fontId="11" numFmtId="165" xfId="0" applyAlignment="1" applyBorder="1" applyFill="1" applyFont="1" applyNumberFormat="1">
      <alignment horizontal="center" readingOrder="0" vertical="center"/>
    </xf>
    <xf borderId="2" fillId="4" fontId="24" numFmtId="0" xfId="0" applyAlignment="1" applyBorder="1" applyFill="1" applyFont="1">
      <alignment horizontal="center" readingOrder="0" vertical="center"/>
    </xf>
    <xf borderId="23" fillId="11" fontId="3" numFmtId="0" xfId="0" applyAlignment="1" applyBorder="1" applyFill="1" applyFont="1">
      <alignment horizontal="center" readingOrder="0" vertical="center"/>
    </xf>
    <xf borderId="2" fillId="12" fontId="14" numFmtId="164" xfId="0" applyAlignment="1" applyBorder="1" applyFill="1" applyFont="1" applyNumberFormat="1">
      <alignment horizontal="center" readingOrder="0" vertical="center"/>
    </xf>
    <xf borderId="2" fillId="12" fontId="6" numFmtId="0" xfId="0" applyAlignment="1" applyBorder="1" applyFill="1" applyFont="1">
      <alignment horizontal="center" readingOrder="0" vertical="center"/>
    </xf>
    <xf borderId="1" fillId="12" fontId="6" numFmtId="0" xfId="0" applyAlignment="1" applyBorder="1" applyFill="1" applyFont="1">
      <alignment horizontal="center" readingOrder="0" vertical="center"/>
    </xf>
    <xf borderId="2" fillId="12" fontId="14" numFmtId="0" xfId="0" applyAlignment="1" applyBorder="1" applyFill="1" applyFont="1">
      <alignment horizontal="center" readingOrder="0" vertical="center"/>
    </xf>
    <xf borderId="1" fillId="12" fontId="14" numFmtId="0" xfId="0" applyAlignment="1" applyBorder="1" applyFill="1" applyFont="1">
      <alignment horizontal="center" readingOrder="0" vertical="center"/>
    </xf>
    <xf borderId="0" fillId="12" fontId="14" numFmtId="0" xfId="0" applyAlignment="1" applyFill="1" applyFont="1">
      <alignment horizontal="center" readingOrder="0" vertical="center"/>
    </xf>
    <xf borderId="0" fillId="3" fontId="25" numFmtId="165" xfId="0" applyAlignment="1" applyFill="1" applyFont="1" applyNumberFormat="1">
      <alignment horizontal="center" readingOrder="0" vertical="center"/>
    </xf>
    <xf borderId="2" fillId="3" fontId="8" numFmtId="0" xfId="0" applyAlignment="1" applyBorder="1" applyFill="1" applyFont="1">
      <alignment horizontal="center" readingOrder="0"/>
    </xf>
    <xf borderId="0" fillId="3" fontId="14" numFmtId="0" xfId="0" applyAlignment="1" applyFill="1" applyFont="1">
      <alignment horizontal="center" readingOrder="0" vertical="center"/>
    </xf>
    <xf borderId="0" fillId="4" fontId="14" numFmtId="0" xfId="0" applyAlignment="1" applyFill="1" applyFont="1">
      <alignment horizontal="center" readingOrder="0" vertical="center"/>
    </xf>
    <xf borderId="1" fillId="13" fontId="14" numFmtId="0" xfId="0" applyAlignment="1" applyBorder="1" applyFill="1" applyFont="1">
      <alignment horizontal="center" readingOrder="0" vertical="center"/>
    </xf>
    <xf borderId="43" fillId="4" fontId="14" numFmtId="0" xfId="0" applyAlignment="1" applyBorder="1" applyFill="1" applyFont="1">
      <alignment horizontal="center" readingOrder="0" vertical="center"/>
    </xf>
    <xf borderId="0" fillId="3" fontId="8" numFmtId="164" xfId="0" applyFill="1" applyFont="1" applyNumberFormat="1"/>
    <xf borderId="0" fillId="3" fontId="8" numFmtId="0" xfId="0" applyAlignment="1" applyFill="1" applyFont="1">
      <alignment vertical="bottom"/>
    </xf>
    <xf borderId="0" fillId="4" fontId="8" numFmtId="164" xfId="0" applyFill="1" applyFont="1" applyNumberFormat="1"/>
    <xf borderId="2" fillId="3" fontId="5" numFmtId="165" xfId="0" applyAlignment="1" applyBorder="1" applyFill="1" applyFont="1" applyNumberFormat="1">
      <alignment horizontal="center" readingOrder="0" vertical="center"/>
    </xf>
    <xf borderId="0" fillId="4" fontId="8" numFmtId="0" xfId="0" applyAlignment="1" applyFill="1" applyFont="1">
      <alignment vertical="bottom"/>
    </xf>
    <xf borderId="0" fillId="3" fontId="5" numFmtId="165" xfId="0" applyAlignment="1" applyFill="1" applyFont="1" applyNumberFormat="1">
      <alignment horizontal="center" readingOrder="0" vertical="center"/>
    </xf>
    <xf borderId="2" fillId="3" fontId="11" numFmtId="164" xfId="0" applyAlignment="1" applyBorder="1" applyFill="1" applyFont="1" applyNumberFormat="1">
      <alignment horizontal="center" readingOrder="0"/>
    </xf>
    <xf borderId="2" fillId="3" fontId="12" numFmtId="0" xfId="0" applyAlignment="1" applyBorder="1" applyFill="1" applyFont="1">
      <alignment horizontal="center" readingOrder="0"/>
    </xf>
    <xf borderId="2" fillId="3" fontId="10" numFmtId="0" xfId="0" applyAlignment="1" applyBorder="1" applyFill="1" applyFont="1">
      <alignment horizontal="center" readingOrder="0"/>
    </xf>
    <xf borderId="2" fillId="4" fontId="11" numFmtId="164" xfId="0" applyAlignment="1" applyBorder="1" applyFill="1" applyFont="1" applyNumberFormat="1">
      <alignment horizontal="center" readingOrder="0"/>
    </xf>
    <xf borderId="2" fillId="4" fontId="8" numFmtId="0" xfId="0" applyAlignment="1" applyBorder="1" applyFill="1" applyFont="1">
      <alignment horizontal="center"/>
    </xf>
    <xf borderId="23" fillId="8" fontId="14" numFmtId="0" xfId="0" applyAlignment="1" applyBorder="1" applyFill="1" applyFont="1">
      <alignment horizontal="center" readingOrder="0" vertical="center"/>
    </xf>
    <xf borderId="35" fillId="3" fontId="23" numFmtId="0" xfId="0" applyAlignment="1" applyBorder="1" applyFill="1" applyFont="1">
      <alignment horizontal="center" readingOrder="0" vertical="center"/>
    </xf>
    <xf borderId="1" fillId="11" fontId="14" numFmtId="0" xfId="0" applyAlignment="1" applyBorder="1" applyFill="1" applyFont="1">
      <alignment horizontal="center" readingOrder="0" vertical="center"/>
    </xf>
    <xf borderId="4" fillId="3" fontId="8" numFmtId="0" xfId="0" applyAlignment="1" applyBorder="1" applyFill="1" applyFont="1">
      <alignment horizontal="right" readingOrder="0"/>
    </xf>
    <xf borderId="44" fillId="4" fontId="14" numFmtId="0" xfId="0" applyAlignment="1" applyBorder="1" applyFill="1" applyFont="1">
      <alignment horizontal="center" readingOrder="0" vertical="center"/>
    </xf>
    <xf borderId="45" fillId="3" fontId="14" numFmtId="0" xfId="0" applyAlignment="1" applyBorder="1" applyFill="1" applyFont="1">
      <alignment horizontal="center" readingOrder="0" vertical="center"/>
    </xf>
    <xf borderId="46" fillId="4" fontId="7" numFmtId="0" xfId="0" applyBorder="1" applyFill="1" applyFont="1"/>
    <xf borderId="45" fillId="4" fontId="14" numFmtId="0" xfId="0" applyAlignment="1" applyBorder="1" applyFill="1" applyFont="1">
      <alignment horizontal="center" readingOrder="0" vertical="center"/>
    </xf>
    <xf borderId="47" fillId="8" fontId="14" numFmtId="0" xfId="0" applyAlignment="1" applyBorder="1" applyFill="1" applyFont="1">
      <alignment horizontal="center" readingOrder="0" vertical="center"/>
    </xf>
    <xf borderId="2" fillId="4" fontId="11" numFmtId="0" xfId="0" applyAlignment="1" applyBorder="1" applyFill="1" applyFont="1">
      <alignment horizontal="center" readingOrder="0" vertical="center"/>
    </xf>
    <xf borderId="10" fillId="3" fontId="7" numFmtId="0" xfId="0" applyBorder="1" applyFill="1" applyFont="1"/>
    <xf borderId="43" fillId="3" fontId="14" numFmtId="0" xfId="0" applyAlignment="1" applyBorder="1" applyFill="1" applyFont="1">
      <alignment horizontal="center" readingOrder="0" vertical="center"/>
    </xf>
    <xf borderId="48" fillId="4" fontId="7" numFmtId="0" xfId="0" applyBorder="1" applyFill="1" applyFont="1"/>
    <xf borderId="7" fillId="0" fontId="14" numFmtId="0" xfId="0" applyAlignment="1" applyBorder="1" applyFont="1">
      <alignment horizontal="center" readingOrder="0" vertical="center"/>
    </xf>
    <xf borderId="49" fillId="4" fontId="14" numFmtId="0" xfId="0" applyAlignment="1" applyBorder="1" applyFill="1" applyFont="1">
      <alignment horizontal="center" readingOrder="0" vertical="center"/>
    </xf>
    <xf borderId="49" fillId="3" fontId="14" numFmtId="0" xfId="0" applyAlignment="1" applyBorder="1" applyFill="1" applyFont="1">
      <alignment horizontal="center" readingOrder="0" vertical="center"/>
    </xf>
    <xf borderId="2" fillId="11" fontId="3" numFmtId="164" xfId="0" applyAlignment="1" applyBorder="1" applyFill="1" applyFont="1" applyNumberFormat="1">
      <alignment horizontal="center" readingOrder="0" vertical="center"/>
    </xf>
    <xf borderId="2" fillId="11" fontId="6" numFmtId="0" xfId="0" applyAlignment="1" applyBorder="1" applyFill="1" applyFont="1">
      <alignment horizontal="center" readingOrder="0" vertical="center"/>
    </xf>
    <xf borderId="2" fillId="11" fontId="8" numFmtId="0" xfId="0" applyAlignment="1" applyBorder="1" applyFill="1" applyFont="1">
      <alignment horizontal="right" readingOrder="0"/>
    </xf>
    <xf borderId="2" fillId="11" fontId="9" numFmtId="0" xfId="0" applyAlignment="1" applyBorder="1" applyFill="1" applyFont="1">
      <alignment horizontal="center" vertical="center"/>
    </xf>
    <xf borderId="1" fillId="11" fontId="6" numFmtId="0" xfId="0" applyAlignment="1" applyBorder="1" applyFill="1" applyFont="1">
      <alignment horizontal="center" readingOrder="0" vertical="center"/>
    </xf>
    <xf borderId="2" fillId="11" fontId="10" numFmtId="0" xfId="0" applyAlignment="1" applyBorder="1" applyFill="1" applyFont="1">
      <alignment horizontal="center" readingOrder="0" vertical="center"/>
    </xf>
    <xf borderId="7" fillId="11" fontId="14" numFmtId="0" xfId="0" applyAlignment="1" applyBorder="1" applyFill="1" applyFont="1">
      <alignment horizontal="center" readingOrder="0" vertical="center"/>
    </xf>
    <xf borderId="9" fillId="4" fontId="7" numFmtId="0" xfId="0" applyBorder="1" applyFill="1" applyFont="1"/>
    <xf borderId="2" fillId="11" fontId="14" numFmtId="0" xfId="0" applyAlignment="1" applyBorder="1" applyFill="1" applyFont="1">
      <alignment horizontal="center" readingOrder="0" vertical="center"/>
    </xf>
    <xf borderId="4" fillId="11" fontId="6" numFmtId="0" xfId="0" applyAlignment="1" applyBorder="1" applyFill="1" applyFont="1">
      <alignment horizontal="center" readingOrder="0" vertical="center"/>
    </xf>
    <xf borderId="3" fillId="11" fontId="6" numFmtId="0" xfId="0" applyAlignment="1" applyBorder="1" applyFill="1" applyFont="1">
      <alignment horizontal="center" readingOrder="0" vertical="center"/>
    </xf>
    <xf borderId="11" fillId="4" fontId="7" numFmtId="0" xfId="0" applyBorder="1" applyFill="1" applyFont="1"/>
    <xf borderId="9" fillId="3" fontId="7" numFmtId="0" xfId="0" applyBorder="1" applyFill="1" applyFont="1"/>
    <xf borderId="4" fillId="3" fontId="14" numFmtId="0" xfId="0" applyAlignment="1" applyBorder="1" applyFill="1" applyFont="1">
      <alignment readingOrder="0" vertical="center"/>
    </xf>
    <xf borderId="10" fillId="4" fontId="7" numFmtId="0" xfId="0" applyBorder="1" applyFill="1" applyFont="1"/>
    <xf borderId="50" fillId="11" fontId="11" numFmtId="0" xfId="0" applyAlignment="1" applyBorder="1" applyFill="1" applyFont="1">
      <alignment horizontal="center" readingOrder="0"/>
    </xf>
    <xf borderId="51" fillId="4" fontId="7" numFmtId="0" xfId="0" applyBorder="1" applyFill="1" applyFont="1"/>
    <xf borderId="49" fillId="4" fontId="7" numFmtId="0" xfId="0" applyBorder="1" applyFill="1" applyFont="1"/>
    <xf borderId="4" fillId="11" fontId="3" numFmtId="164" xfId="0" applyAlignment="1" applyBorder="1" applyFill="1" applyFont="1" applyNumberFormat="1">
      <alignment horizontal="center" readingOrder="0" vertical="center"/>
    </xf>
    <xf borderId="46" fillId="3" fontId="7" numFmtId="0" xfId="0" applyBorder="1" applyFill="1" applyFont="1"/>
    <xf borderId="48" fillId="3" fontId="7" numFmtId="0" xfId="0" applyBorder="1" applyFill="1" applyFont="1"/>
    <xf borderId="11" fillId="3" fontId="7" numFmtId="0" xfId="0" applyBorder="1" applyFill="1" applyFont="1"/>
    <xf borderId="2" fillId="11" fontId="8" numFmtId="0" xfId="0" applyAlignment="1" applyBorder="1" applyFill="1" applyFont="1">
      <alignment horizontal="center" readingOrder="0" vertical="center"/>
    </xf>
    <xf borderId="2" fillId="11" fontId="12" numFmtId="0" xfId="0" applyAlignment="1" applyBorder="1" applyFill="1" applyFont="1">
      <alignment horizontal="center"/>
    </xf>
    <xf borderId="51" fillId="3" fontId="7" numFmtId="0" xfId="0" applyBorder="1" applyFill="1" applyFont="1"/>
    <xf borderId="49" fillId="3" fontId="7" numFmtId="0" xfId="0" applyBorder="1" applyFill="1" applyFont="1"/>
    <xf borderId="2" fillId="11" fontId="9" numFmtId="0" xfId="0" applyAlignment="1" applyBorder="1" applyFill="1" applyFont="1">
      <alignment horizontal="center" readingOrder="0"/>
    </xf>
    <xf borderId="2" fillId="13" fontId="14" numFmtId="164" xfId="0" applyAlignment="1" applyBorder="1" applyFill="1" applyFont="1" applyNumberFormat="1">
      <alignment horizontal="center" readingOrder="0" vertical="center"/>
    </xf>
    <xf borderId="2" fillId="13" fontId="6" numFmtId="0" xfId="0" applyAlignment="1" applyBorder="1" applyFill="1" applyFont="1">
      <alignment horizontal="center" readingOrder="0" vertical="center"/>
    </xf>
    <xf borderId="1" fillId="13" fontId="6" numFmtId="0" xfId="0" applyAlignment="1" applyBorder="1" applyFill="1" applyFont="1">
      <alignment horizontal="center" readingOrder="0" vertical="center"/>
    </xf>
    <xf borderId="2" fillId="13" fontId="10" numFmtId="0" xfId="0" applyAlignment="1" applyBorder="1" applyFill="1" applyFont="1">
      <alignment horizontal="center" vertical="center"/>
    </xf>
    <xf borderId="0" fillId="13" fontId="14" numFmtId="0" xfId="0" applyAlignment="1" applyFill="1" applyFont="1">
      <alignment horizontal="center" readingOrder="0" vertical="center"/>
    </xf>
    <xf borderId="2" fillId="13" fontId="10" numFmtId="0" xfId="0" applyAlignment="1" applyBorder="1" applyFill="1" applyFont="1">
      <alignment horizontal="center" readingOrder="0" vertical="center"/>
    </xf>
    <xf borderId="2" fillId="4" fontId="11" numFmtId="164" xfId="0" applyAlignment="1" applyBorder="1" applyFill="1" applyFont="1" applyNumberFormat="1">
      <alignment horizontal="center"/>
    </xf>
    <xf borderId="2" fillId="4" fontId="8" numFmtId="0" xfId="0" applyAlignment="1" applyBorder="1" applyFill="1" applyFont="1">
      <alignment horizontal="right"/>
    </xf>
    <xf borderId="2" fillId="4" fontId="12" numFmtId="0" xfId="0" applyAlignment="1" applyBorder="1" applyFill="1" applyFont="1">
      <alignment horizontal="center"/>
    </xf>
    <xf borderId="2" fillId="4" fontId="10" numFmtId="0" xfId="0" applyAlignment="1" applyBorder="1" applyFill="1" applyFont="1">
      <alignment horizontal="center"/>
    </xf>
    <xf borderId="2" fillId="3" fontId="11" numFmtId="164" xfId="0" applyAlignment="1" applyBorder="1" applyFill="1" applyFont="1" applyNumberFormat="1">
      <alignment horizontal="center"/>
    </xf>
    <xf borderId="2" fillId="13" fontId="14" numFmtId="0" xfId="0" applyAlignment="1" applyBorder="1" applyFill="1" applyFont="1">
      <alignment horizontal="center" readingOrder="0" vertical="center"/>
    </xf>
    <xf borderId="2" fillId="12" fontId="10" numFmtId="0" xfId="0" applyAlignment="1" applyBorder="1" applyFill="1" applyFont="1">
      <alignment horizontal="center" vertical="center"/>
    </xf>
    <xf borderId="2" fillId="12" fontId="10" numFmtId="0" xfId="0" applyAlignment="1" applyBorder="1" applyFill="1" applyFont="1">
      <alignment horizontal="center" readingOrder="0" vertical="center"/>
    </xf>
    <xf borderId="0" fillId="3" fontId="14" numFmtId="0" xfId="0" applyAlignment="1" applyFill="1" applyFont="1">
      <alignment readingOrder="0" vertical="center"/>
    </xf>
    <xf borderId="0" fillId="4" fontId="14" numFmtId="0" xfId="0" applyAlignment="1" applyFill="1" applyFont="1">
      <alignment readingOrder="0" vertical="center"/>
    </xf>
    <xf borderId="2" fillId="4" fontId="19" numFmtId="0" xfId="0" applyAlignment="1" applyBorder="1" applyFill="1" applyFont="1">
      <alignment horizontal="center" readingOrder="0" vertical="center"/>
    </xf>
    <xf borderId="1" fillId="4" fontId="14" numFmtId="0" xfId="0" applyAlignment="1" applyBorder="1" applyFill="1" applyFont="1">
      <alignment readingOrder="0" vertical="center"/>
    </xf>
    <xf borderId="2" fillId="3" fontId="14" numFmtId="0" xfId="0" applyAlignment="1" applyBorder="1" applyFill="1" applyFont="1">
      <alignment readingOrder="0" vertical="center"/>
    </xf>
    <xf borderId="45" fillId="3" fontId="20" numFmtId="0" xfId="0" applyAlignment="1" applyBorder="1" applyFill="1" applyFont="1">
      <alignment horizontal="center" readingOrder="0" vertical="center"/>
    </xf>
    <xf borderId="52" fillId="3" fontId="14" numFmtId="0" xfId="0" applyAlignment="1" applyBorder="1" applyFill="1" applyFont="1">
      <alignment readingOrder="0" vertical="center"/>
    </xf>
    <xf borderId="52" fillId="3" fontId="14" numFmtId="0" xfId="0" applyAlignment="1" applyBorder="1" applyFill="1" applyFont="1">
      <alignment horizontal="center" readingOrder="0" vertical="center"/>
    </xf>
    <xf borderId="47" fillId="3" fontId="14" numFmtId="0" xfId="0" applyAlignment="1" applyBorder="1" applyFill="1" applyFont="1">
      <alignment horizontal="center" readingOrder="0" vertical="center"/>
    </xf>
    <xf borderId="53" fillId="4" fontId="7" numFmtId="0" xfId="0" applyBorder="1" applyFill="1" applyFont="1"/>
    <xf borderId="54" fillId="3" fontId="7" numFmtId="0" xfId="0" applyBorder="1" applyFill="1" applyFont="1"/>
    <xf borderId="52" fillId="4" fontId="14" numFmtId="0" xfId="0" applyAlignment="1" applyBorder="1" applyFill="1" applyFont="1">
      <alignment readingOrder="0" vertical="center"/>
    </xf>
    <xf borderId="52" fillId="4" fontId="14" numFmtId="0" xfId="0" applyAlignment="1" applyBorder="1" applyFill="1" applyFont="1">
      <alignment horizontal="center" readingOrder="0" vertical="center"/>
    </xf>
    <xf borderId="53" fillId="3" fontId="7" numFmtId="0" xfId="0" applyBorder="1" applyFill="1" applyFont="1"/>
    <xf borderId="54" fillId="4" fontId="7" numFmtId="0" xfId="0" applyBorder="1" applyFill="1" applyFont="1"/>
    <xf borderId="55" fillId="4" fontId="14" numFmtId="0" xfId="0" applyAlignment="1" applyBorder="1" applyFill="1" applyFont="1">
      <alignment readingOrder="0" vertical="center"/>
    </xf>
    <xf borderId="55" fillId="4" fontId="14" numFmtId="0" xfId="0" applyAlignment="1" applyBorder="1" applyFill="1" applyFont="1">
      <alignment horizontal="center" readingOrder="0" vertical="center"/>
    </xf>
    <xf borderId="47" fillId="4" fontId="7" numFmtId="0" xfId="0" applyBorder="1" applyFill="1" applyFont="1"/>
    <xf borderId="56" fillId="3" fontId="7" numFmtId="0" xfId="0" applyBorder="1" applyFill="1" applyFont="1"/>
    <xf borderId="56" fillId="4" fontId="7" numFmtId="0" xfId="0" applyBorder="1" applyFill="1" applyFont="1"/>
    <xf borderId="57" fillId="3" fontId="7" numFmtId="0" xfId="0" applyBorder="1" applyFill="1" applyFont="1"/>
    <xf borderId="58" fillId="3" fontId="7" numFmtId="0" xfId="0" applyBorder="1" applyFill="1" applyFont="1"/>
    <xf borderId="12" fillId="3" fontId="7" numFmtId="0" xfId="0" applyBorder="1" applyFill="1" applyFont="1"/>
    <xf borderId="3" fillId="3" fontId="6" numFmtId="0" xfId="0" applyAlignment="1" applyBorder="1" applyFill="1" applyFont="1">
      <alignment horizontal="center" readingOrder="0" vertical="center"/>
    </xf>
    <xf borderId="59" fillId="4" fontId="14" numFmtId="0" xfId="0" applyAlignment="1" applyBorder="1" applyFill="1" applyFont="1">
      <alignment readingOrder="0" vertical="center"/>
    </xf>
    <xf borderId="57" fillId="4" fontId="7" numFmtId="0" xfId="0" applyBorder="1" applyFill="1" applyFont="1"/>
    <xf borderId="58" fillId="4" fontId="7" numFmtId="0" xfId="0" applyBorder="1" applyFill="1" applyFont="1"/>
    <xf borderId="12" fillId="4" fontId="7" numFmtId="0" xfId="0" applyBorder="1" applyFill="1" applyFont="1"/>
    <xf borderId="2" fillId="3" fontId="20" numFmtId="0" xfId="0" applyAlignment="1" applyBorder="1" applyFill="1" applyFont="1">
      <alignment horizontal="center" readingOrder="0" vertical="center"/>
    </xf>
    <xf borderId="2" fillId="8" fontId="14" numFmtId="0" xfId="0" applyAlignment="1" applyBorder="1" applyFill="1" applyFont="1">
      <alignment horizontal="center" readingOrder="0" vertical="center"/>
    </xf>
    <xf borderId="7" fillId="3" fontId="21" numFmtId="0" xfId="0" applyAlignment="1" applyBorder="1" applyFill="1" applyFont="1">
      <alignment horizontal="center" readingOrder="0" vertical="center"/>
    </xf>
    <xf borderId="1" fillId="3" fontId="14" numFmtId="0" xfId="0" applyAlignment="1" applyBorder="1" applyFill="1" applyFont="1">
      <alignment readingOrder="0" vertical="center"/>
    </xf>
    <xf borderId="1" fillId="3" fontId="20" numFmtId="0" xfId="0" applyAlignment="1" applyBorder="1" applyFill="1" applyFont="1">
      <alignment horizontal="center" readingOrder="0" vertical="center"/>
    </xf>
    <xf borderId="50" fillId="3" fontId="14" numFmtId="0" xfId="0" applyAlignment="1" applyBorder="1" applyFill="1" applyFont="1">
      <alignment horizontal="center" readingOrder="0" vertical="center"/>
    </xf>
    <xf borderId="2" fillId="4" fontId="20" numFmtId="0" xfId="0" applyAlignment="1" applyBorder="1" applyFill="1" applyFont="1">
      <alignment horizontal="center" readingOrder="0" vertical="center"/>
    </xf>
    <xf borderId="1" fillId="3" fontId="11" numFmtId="164" xfId="0" applyAlignment="1" applyBorder="1" applyFill="1" applyFont="1" applyNumberFormat="1">
      <alignment horizontal="center"/>
    </xf>
    <xf borderId="1" fillId="3" fontId="8" numFmtId="0" xfId="0" applyAlignment="1" applyBorder="1" applyFill="1" applyFont="1">
      <alignment horizontal="center" vertical="center"/>
    </xf>
    <xf borderId="1" fillId="3" fontId="8" numFmtId="0" xfId="0" applyAlignment="1" applyBorder="1" applyFill="1" applyFont="1">
      <alignment horizontal="right"/>
    </xf>
    <xf borderId="1" fillId="3" fontId="9" numFmtId="0" xfId="0" applyAlignment="1" applyBorder="1" applyFill="1" applyFont="1">
      <alignment horizontal="center"/>
    </xf>
    <xf borderId="5" fillId="4" fontId="14" numFmtId="0" xfId="0" applyAlignment="1" applyBorder="1" applyFill="1" applyFont="1">
      <alignment readingOrder="0" vertical="center"/>
    </xf>
    <xf borderId="1" fillId="3" fontId="12" numFmtId="0" xfId="0" applyAlignment="1" applyBorder="1" applyFill="1" applyFont="1">
      <alignment horizontal="center"/>
    </xf>
    <xf borderId="1" fillId="3" fontId="10" numFmtId="0" xfId="0" applyAlignment="1" applyBorder="1" applyFill="1" applyFont="1">
      <alignment horizontal="center"/>
    </xf>
    <xf borderId="1" fillId="3" fontId="8" numFmtId="0" xfId="0" applyAlignment="1" applyBorder="1" applyFill="1" applyFont="1">
      <alignment horizontal="center" readingOrder="0" vertical="center"/>
    </xf>
    <xf borderId="1" fillId="4" fontId="1" numFmtId="0" xfId="0" applyAlignment="1" applyBorder="1" applyFill="1" applyFont="1">
      <alignment readingOrder="0" vertical="center"/>
    </xf>
    <xf borderId="1" fillId="4" fontId="9" numFmtId="0" xfId="0" applyAlignment="1" applyBorder="1" applyFill="1" applyFont="1">
      <alignment horizontal="center"/>
    </xf>
    <xf borderId="1" fillId="3" fontId="10" numFmtId="0" xfId="0" applyAlignment="1" applyBorder="1" applyFill="1" applyFont="1">
      <alignment horizontal="center" readingOrder="0" vertical="center"/>
    </xf>
    <xf borderId="1" fillId="3" fontId="1" numFmtId="0" xfId="0" applyAlignment="1" applyBorder="1" applyFill="1" applyFont="1">
      <alignment readingOrder="0" vertical="center"/>
    </xf>
    <xf borderId="2" fillId="4" fontId="14" numFmtId="0" xfId="0" applyAlignment="1" applyBorder="1" applyFill="1" applyFont="1">
      <alignment readingOrder="0" vertical="center"/>
    </xf>
    <xf borderId="7" fillId="4" fontId="14" numFmtId="0" xfId="0" applyAlignment="1" applyBorder="1" applyFill="1" applyFont="1">
      <alignment horizontal="center" readingOrder="0" vertical="center"/>
    </xf>
    <xf borderId="8" fillId="4" fontId="7" numFmtId="0" xfId="0" applyBorder="1" applyFill="1" applyFont="1"/>
    <xf borderId="2" fillId="4" fontId="3" numFmtId="165" xfId="0" applyAlignment="1" applyBorder="1" applyFill="1" applyFont="1" applyNumberFormat="1">
      <alignment horizontal="center" readingOrder="0" vertical="center"/>
    </xf>
    <xf borderId="2" fillId="4" fontId="9" numFmtId="0" xfId="0" applyAlignment="1" applyBorder="1" applyFill="1" applyFont="1">
      <alignment horizontal="center" readingOrder="0"/>
    </xf>
    <xf borderId="1" fillId="4" fontId="3" numFmtId="164" xfId="0" applyAlignment="1" applyBorder="1" applyFill="1" applyFont="1" applyNumberFormat="1">
      <alignment horizontal="center" readingOrder="0" vertical="center"/>
    </xf>
    <xf borderId="1" fillId="3" fontId="3" numFmtId="164" xfId="0" applyAlignment="1" applyBorder="1" applyFill="1" applyFont="1" applyNumberFormat="1">
      <alignment horizontal="center" readingOrder="0" vertical="center"/>
    </xf>
    <xf borderId="3" fillId="3" fontId="14" numFmtId="0" xfId="0" applyAlignment="1" applyBorder="1" applyFill="1" applyFont="1">
      <alignment readingOrder="0" vertical="center"/>
    </xf>
    <xf borderId="1" fillId="4" fontId="20" numFmtId="0" xfId="0" applyAlignment="1" applyBorder="1" applyFill="1" applyFont="1">
      <alignment horizontal="center" readingOrder="0" vertical="center"/>
    </xf>
    <xf borderId="1" fillId="7" fontId="22" numFmtId="0" xfId="0" applyAlignment="1" applyBorder="1" applyFill="1" applyFont="1">
      <alignment horizontal="center" readingOrder="0" vertical="center"/>
    </xf>
    <xf borderId="50" fillId="4" fontId="14" numFmtId="0" xfId="0" applyAlignment="1" applyBorder="1" applyFill="1" applyFont="1">
      <alignment horizontal="center" readingOrder="0" vertical="center"/>
    </xf>
    <xf borderId="7" fillId="3" fontId="14" numFmtId="0" xfId="0" applyAlignment="1" applyBorder="1" applyFill="1" applyFont="1">
      <alignment horizontal="center" readingOrder="0" vertical="center"/>
    </xf>
    <xf borderId="8" fillId="3" fontId="7" numFmtId="0" xfId="0" applyBorder="1" applyFill="1" applyFont="1"/>
    <xf borderId="4" fillId="4" fontId="14" numFmtId="0" xfId="0" applyAlignment="1" applyBorder="1" applyFill="1" applyFont="1">
      <alignment readingOrder="0" vertical="center"/>
    </xf>
    <xf borderId="1" fillId="3" fontId="9" numFmtId="0" xfId="0" applyAlignment="1" applyBorder="1" applyFill="1" applyFont="1">
      <alignment horizontal="center" vertical="center"/>
    </xf>
    <xf borderId="4" fillId="4" fontId="14" numFmtId="0" xfId="0" applyAlignment="1" applyBorder="1" applyFill="1" applyFont="1">
      <alignment horizontal="center" readingOrder="0" vertical="center"/>
    </xf>
    <xf borderId="8" fillId="3" fontId="14" numFmtId="0" xfId="0" applyAlignment="1" applyBorder="1" applyFill="1" applyFont="1">
      <alignment readingOrder="0" vertical="center"/>
    </xf>
    <xf borderId="12" fillId="4" fontId="14" numFmtId="0" xfId="0" applyAlignment="1" applyBorder="1" applyFill="1" applyFont="1">
      <alignment readingOrder="0" vertical="center"/>
    </xf>
    <xf borderId="12" fillId="3" fontId="14" numFmtId="0" xfId="0" applyAlignment="1" applyBorder="1" applyFill="1" applyFont="1">
      <alignment readingOrder="0" vertical="center"/>
    </xf>
    <xf borderId="2" fillId="4" fontId="10" numFmtId="0" xfId="0" applyAlignment="1" applyBorder="1" applyFill="1" applyFont="1">
      <alignment horizontal="center" readingOrder="0" vertical="center"/>
    </xf>
    <xf borderId="2" fillId="0" fontId="10" numFmtId="0" xfId="0" applyAlignment="1" applyBorder="1" applyFont="1">
      <alignment horizontal="center" readingOrder="0" vertical="center"/>
    </xf>
    <xf borderId="8" fillId="4" fontId="14" numFmtId="0" xfId="0" applyAlignment="1" applyBorder="1" applyFill="1" applyFont="1">
      <alignment readingOrder="0" vertical="center"/>
    </xf>
    <xf borderId="2" fillId="3" fontId="14" numFmtId="165" xfId="0" applyAlignment="1" applyBorder="1" applyFill="1" applyFont="1" applyNumberFormat="1">
      <alignment horizontal="center" readingOrder="0" vertical="center"/>
    </xf>
    <xf borderId="7" fillId="4" fontId="19" numFmtId="0" xfId="0" applyAlignment="1" applyBorder="1" applyFill="1" applyFont="1">
      <alignment horizontal="center" readingOrder="0" vertical="center"/>
    </xf>
    <xf borderId="28" fillId="4" fontId="14" numFmtId="0" xfId="0" applyAlignment="1" applyBorder="1" applyFill="1" applyFont="1">
      <alignment readingOrder="0" vertical="center"/>
    </xf>
    <xf borderId="9" fillId="4" fontId="14" numFmtId="0" xfId="0" applyAlignment="1" applyBorder="1" applyFill="1" applyFont="1">
      <alignment horizontal="center" readingOrder="0" vertical="center"/>
    </xf>
    <xf borderId="30" fillId="3" fontId="14" numFmtId="0" xfId="0" applyAlignment="1" applyBorder="1" applyFill="1" applyFont="1">
      <alignment readingOrder="0" vertical="center"/>
    </xf>
    <xf borderId="30" fillId="4" fontId="14" numFmtId="0" xfId="0" applyAlignment="1" applyBorder="1" applyFill="1" applyFont="1">
      <alignment readingOrder="0" vertical="center"/>
    </xf>
    <xf borderId="33" fillId="3" fontId="14" numFmtId="0" xfId="0" applyAlignment="1" applyBorder="1" applyFill="1" applyFont="1">
      <alignment readingOrder="0" vertical="center"/>
    </xf>
    <xf borderId="31" fillId="3" fontId="14" numFmtId="0" xfId="0" applyAlignment="1" applyBorder="1" applyFill="1" applyFont="1">
      <alignment readingOrder="0" vertical="center"/>
    </xf>
    <xf borderId="10" fillId="4" fontId="19" numFmtId="0" xfId="0" applyAlignment="1" applyBorder="1" applyFill="1" applyFont="1">
      <alignment horizontal="center" readingOrder="0" vertical="center"/>
    </xf>
    <xf borderId="58" fillId="3" fontId="14" numFmtId="0" xfId="0" applyAlignment="1" applyBorder="1" applyFill="1" applyFont="1">
      <alignment readingOrder="0" vertical="center"/>
    </xf>
    <xf borderId="4" fillId="4" fontId="19" numFmtId="0" xfId="0" applyAlignment="1" applyBorder="1" applyFill="1" applyFont="1">
      <alignment horizontal="center" readingOrder="0" vertical="center"/>
    </xf>
    <xf borderId="35" fillId="4" fontId="14" numFmtId="0" xfId="0" applyAlignment="1" applyBorder="1" applyFill="1" applyFont="1">
      <alignment readingOrder="0" vertical="center"/>
    </xf>
    <xf borderId="37" fillId="3" fontId="14" numFmtId="0" xfId="0" applyAlignment="1" applyBorder="1" applyFill="1" applyFont="1">
      <alignment readingOrder="0" vertical="center"/>
    </xf>
    <xf borderId="37" fillId="4" fontId="14" numFmtId="0" xfId="0" applyAlignment="1" applyBorder="1" applyFill="1" applyFont="1">
      <alignment readingOrder="0" vertical="center"/>
    </xf>
    <xf borderId="0" fillId="3" fontId="20" numFmtId="0" xfId="0" applyAlignment="1" applyFill="1" applyFont="1">
      <alignment horizontal="center" readingOrder="0" vertical="center"/>
    </xf>
    <xf borderId="60" fillId="3" fontId="14" numFmtId="0" xfId="0" applyAlignment="1" applyBorder="1" applyFill="1" applyFont="1">
      <alignment readingOrder="0" vertical="center"/>
    </xf>
    <xf borderId="26" fillId="4" fontId="14" numFmtId="0" xfId="0" applyAlignment="1" applyBorder="1" applyFill="1" applyFont="1">
      <alignment readingOrder="0" vertical="center"/>
    </xf>
    <xf borderId="10" fillId="3" fontId="14" numFmtId="0" xfId="0" applyAlignment="1" applyBorder="1" applyFill="1" applyFont="1">
      <alignment readingOrder="0" vertical="center"/>
    </xf>
    <xf borderId="35" fillId="4" fontId="19" numFmtId="0" xfId="0" applyAlignment="1" applyBorder="1" applyFill="1" applyFont="1">
      <alignment horizontal="center" readingOrder="0" vertical="center"/>
    </xf>
    <xf borderId="27" fillId="4" fontId="14" numFmtId="0" xfId="0" applyAlignment="1" applyBorder="1" applyFill="1" applyFont="1">
      <alignment readingOrder="0" vertical="center"/>
    </xf>
    <xf borderId="0" fillId="7" fontId="14" numFmtId="164" xfId="0" applyAlignment="1" applyFill="1" applyFont="1" applyNumberFormat="1">
      <alignment horizontal="center" readingOrder="0" vertical="center"/>
    </xf>
    <xf borderId="29" fillId="3" fontId="14" numFmtId="0" xfId="0" applyAlignment="1" applyBorder="1" applyFill="1" applyFont="1">
      <alignment readingOrder="0" vertical="center"/>
    </xf>
    <xf borderId="0" fillId="4" fontId="20" numFmtId="0" xfId="0" applyAlignment="1" applyFill="1" applyFont="1">
      <alignment horizontal="center" readingOrder="0" vertical="center"/>
    </xf>
    <xf borderId="10" fillId="4" fontId="14" numFmtId="0" xfId="0" applyAlignment="1" applyBorder="1" applyFill="1" applyFont="1">
      <alignment horizontal="center" readingOrder="0" vertical="center"/>
    </xf>
    <xf borderId="4" fillId="0" fontId="14" numFmtId="0" xfId="0" applyAlignment="1" applyBorder="1" applyFont="1">
      <alignment horizontal="center" readingOrder="0" vertical="center"/>
    </xf>
    <xf borderId="61" fillId="3" fontId="14" numFmtId="0" xfId="0" applyAlignment="1" applyBorder="1" applyFill="1" applyFont="1">
      <alignment readingOrder="0" vertical="center"/>
    </xf>
    <xf borderId="62" fillId="4" fontId="14" numFmtId="0" xfId="0" applyAlignment="1" applyBorder="1" applyFill="1" applyFont="1">
      <alignment readingOrder="0" vertical="center"/>
    </xf>
    <xf borderId="10" fillId="3" fontId="19" numFmtId="0" xfId="0" applyAlignment="1" applyBorder="1" applyFill="1" applyFont="1">
      <alignment horizontal="center" readingOrder="0" vertical="center"/>
    </xf>
    <xf borderId="9" fillId="3" fontId="14" numFmtId="0" xfId="0" applyAlignment="1" applyBorder="1" applyFill="1" applyFont="1">
      <alignment horizontal="center" readingOrder="0" vertical="center"/>
    </xf>
    <xf borderId="3" fillId="4" fontId="14" numFmtId="0" xfId="0" applyAlignment="1" applyBorder="1" applyFill="1" applyFont="1">
      <alignment readingOrder="0" vertical="center"/>
    </xf>
    <xf borderId="10" fillId="4" fontId="26" numFmtId="0" xfId="0" applyAlignment="1" applyBorder="1" applyFill="1" applyFont="1">
      <alignment horizontal="center" vertical="center"/>
    </xf>
    <xf borderId="2" fillId="4" fontId="10" numFmtId="0" xfId="0" applyAlignment="1" applyBorder="1" applyFill="1" applyFont="1">
      <alignment horizontal="center" vertical="center"/>
    </xf>
    <xf borderId="1" fillId="4" fontId="10" numFmtId="0" xfId="0" applyAlignment="1" applyBorder="1" applyFill="1" applyFont="1">
      <alignment horizontal="center" vertical="center"/>
    </xf>
    <xf borderId="4" fillId="4" fontId="10" numFmtId="0" xfId="0" applyAlignment="1" applyBorder="1" applyFill="1" applyFont="1">
      <alignment horizontal="center" readingOrder="0" vertical="center"/>
    </xf>
    <xf borderId="24" fillId="4" fontId="26" numFmtId="0" xfId="0" applyAlignment="1" applyBorder="1" applyFill="1" applyFont="1">
      <alignment horizontal="center" readingOrder="0" vertical="center"/>
    </xf>
    <xf borderId="24" fillId="4" fontId="10" numFmtId="0" xfId="0" applyAlignment="1" applyBorder="1" applyFill="1" applyFont="1">
      <alignment horizontal="center" vertical="center"/>
    </xf>
    <xf borderId="23" fillId="4" fontId="10" numFmtId="0" xfId="0" applyAlignment="1" applyBorder="1" applyFill="1" applyFont="1">
      <alignment horizontal="center" vertical="center"/>
    </xf>
    <xf borderId="34" fillId="4" fontId="10" numFmtId="0" xfId="0" applyAlignment="1" applyBorder="1" applyFill="1" applyFont="1">
      <alignment horizontal="center" vertical="center"/>
    </xf>
    <xf borderId="35" fillId="4" fontId="10" numFmtId="0" xfId="0" applyAlignment="1" applyBorder="1" applyFill="1" applyFont="1">
      <alignment horizontal="center" vertical="center"/>
    </xf>
    <xf borderId="28" fillId="4" fontId="10" numFmtId="0" xfId="0" applyAlignment="1" applyBorder="1" applyFill="1" applyFont="1">
      <alignment horizontal="center" vertical="center"/>
    </xf>
    <xf borderId="24" fillId="3" fontId="10" numFmtId="0" xfId="0" applyAlignment="1" applyBorder="1" applyFill="1" applyFont="1">
      <alignment horizontal="center" vertical="center"/>
    </xf>
    <xf borderId="45" fillId="3" fontId="10" numFmtId="0" xfId="0" applyAlignment="1" applyBorder="1" applyFill="1" applyFont="1">
      <alignment horizontal="center" readingOrder="0" vertical="center"/>
    </xf>
    <xf borderId="31" fillId="4" fontId="10" numFmtId="0" xfId="0" applyAlignment="1" applyBorder="1" applyFill="1" applyFont="1">
      <alignment horizontal="right" readingOrder="0" vertical="center"/>
    </xf>
    <xf borderId="2" fillId="3" fontId="10" numFmtId="164" xfId="0" applyAlignment="1" applyBorder="1" applyFill="1" applyFont="1" applyNumberFormat="1">
      <alignment horizontal="center" readingOrder="0" vertical="center"/>
    </xf>
    <xf borderId="2" fillId="3" fontId="20" numFmtId="0" xfId="0" applyAlignment="1" applyBorder="1" applyFill="1" applyFont="1">
      <alignment horizontal="center" vertical="center"/>
    </xf>
    <xf borderId="0" fillId="3" fontId="10" numFmtId="0" xfId="0" applyAlignment="1" applyFill="1" applyFont="1">
      <alignment horizontal="center" vertical="center"/>
    </xf>
    <xf borderId="49" fillId="0" fontId="7" numFmtId="0" xfId="0" applyBorder="1" applyFont="1"/>
    <xf borderId="7" fillId="3" fontId="27" numFmtId="0" xfId="0" applyAlignment="1" applyBorder="1" applyFill="1" applyFont="1">
      <alignment horizontal="center" vertical="center"/>
    </xf>
    <xf borderId="1" fillId="4" fontId="10" numFmtId="0" xfId="0" applyAlignment="1" applyBorder="1" applyFill="1" applyFont="1">
      <alignment horizontal="center" readingOrder="0" vertical="center"/>
    </xf>
    <xf borderId="10" fillId="3" fontId="26" numFmtId="0" xfId="0" applyAlignment="1" applyBorder="1" applyFill="1" applyFont="1">
      <alignment horizontal="center" vertical="center"/>
    </xf>
    <xf borderId="9" fillId="3" fontId="10" numFmtId="0" xfId="0" applyAlignment="1" applyBorder="1" applyFill="1" applyFont="1">
      <alignment horizontal="center" readingOrder="0" vertical="center"/>
    </xf>
    <xf borderId="4" fillId="3" fontId="10" numFmtId="0" xfId="0" applyAlignment="1" applyBorder="1" applyFill="1" applyFont="1">
      <alignment horizontal="center" readingOrder="0" vertical="center"/>
    </xf>
    <xf borderId="24" fillId="3" fontId="26" numFmtId="0" xfId="0" applyAlignment="1" applyBorder="1" applyFill="1" applyFont="1">
      <alignment horizontal="center" readingOrder="0" vertical="center"/>
    </xf>
    <xf borderId="0" fillId="3" fontId="10" numFmtId="0" xfId="0" applyAlignment="1" applyFill="1" applyFont="1">
      <alignment horizontal="center" readingOrder="0" vertical="center"/>
    </xf>
    <xf borderId="24" fillId="3" fontId="10" numFmtId="0" xfId="0" applyAlignment="1" applyBorder="1" applyFill="1" applyFont="1">
      <alignment horizontal="center" readingOrder="0" vertical="center"/>
    </xf>
    <xf borderId="23" fillId="3" fontId="10" numFmtId="0" xfId="0" applyAlignment="1" applyBorder="1" applyFill="1" applyFont="1">
      <alignment horizontal="center" vertical="center"/>
    </xf>
    <xf borderId="34" fillId="3" fontId="10" numFmtId="0" xfId="0" applyAlignment="1" applyBorder="1" applyFill="1" applyFont="1">
      <alignment horizontal="center" vertical="center"/>
    </xf>
    <xf borderId="35" fillId="3" fontId="10" numFmtId="0" xfId="0" applyAlignment="1" applyBorder="1" applyFill="1" applyFont="1">
      <alignment horizontal="center" vertical="center"/>
    </xf>
    <xf borderId="28" fillId="3" fontId="10" numFmtId="0" xfId="0" applyAlignment="1" applyBorder="1" applyFill="1" applyFont="1">
      <alignment horizontal="center" vertical="center"/>
    </xf>
    <xf borderId="45" fillId="4" fontId="10" numFmtId="0" xfId="0" applyAlignment="1" applyBorder="1" applyFill="1" applyFont="1">
      <alignment horizontal="center" vertical="center"/>
    </xf>
    <xf borderId="1" fillId="3" fontId="9" numFmtId="0" xfId="0" applyAlignment="1" applyBorder="1" applyFill="1" applyFont="1">
      <alignment horizontal="center" readingOrder="0" vertical="center"/>
    </xf>
    <xf borderId="10" fillId="3" fontId="26" numFmtId="0" xfId="0" applyAlignment="1" applyBorder="1" applyFill="1" applyFont="1">
      <alignment horizontal="center" readingOrder="0" vertical="center"/>
    </xf>
    <xf borderId="2" fillId="4" fontId="10" numFmtId="165" xfId="0" applyAlignment="1" applyBorder="1" applyFill="1" applyFont="1" applyNumberFormat="1">
      <alignment horizontal="center" readingOrder="0" vertical="center"/>
    </xf>
    <xf borderId="10" fillId="4" fontId="26" numFmtId="0" xfId="0" applyAlignment="1" applyBorder="1" applyFill="1" applyFont="1">
      <alignment horizontal="center" readingOrder="0" vertical="center"/>
    </xf>
    <xf borderId="9" fillId="4" fontId="10" numFmtId="0" xfId="0" applyAlignment="1" applyBorder="1" applyFill="1" applyFont="1">
      <alignment horizontal="center" readingOrder="0" vertical="center"/>
    </xf>
    <xf borderId="0" fillId="4" fontId="10" numFmtId="0" xfId="0" applyAlignment="1" applyFill="1" applyFont="1">
      <alignment horizontal="center" readingOrder="0" vertical="center"/>
    </xf>
    <xf borderId="2" fillId="13" fontId="28" numFmtId="164" xfId="0" applyAlignment="1" applyBorder="1" applyFill="1" applyFont="1" applyNumberFormat="1">
      <alignment horizontal="center" readingOrder="0" vertical="center"/>
    </xf>
    <xf borderId="24" fillId="4" fontId="10" numFmtId="0" xfId="0" applyAlignment="1" applyBorder="1" applyFill="1" applyFont="1">
      <alignment horizontal="center" readingOrder="0" vertical="center"/>
    </xf>
    <xf borderId="23" fillId="4" fontId="10" numFmtId="0" xfId="0" applyAlignment="1" applyBorder="1" applyFill="1" applyFont="1">
      <alignment horizontal="center" readingOrder="0" vertical="center"/>
    </xf>
    <xf borderId="3" fillId="2" fontId="4" numFmtId="0" xfId="0" applyAlignment="1" applyBorder="1" applyFill="1" applyFont="1">
      <alignment horizontal="center" readingOrder="0" vertical="center"/>
    </xf>
    <xf borderId="3" fillId="2" fontId="4" numFmtId="0" xfId="0" applyAlignment="1" applyBorder="1" applyFill="1" applyFont="1">
      <alignment horizontal="center" readingOrder="0" shrinkToFit="0" vertical="center" wrapText="1"/>
    </xf>
    <xf borderId="2" fillId="3" fontId="10" numFmtId="165" xfId="0" applyAlignment="1" applyBorder="1" applyFill="1" applyFont="1" applyNumberFormat="1">
      <alignment horizontal="center" readingOrder="0" vertical="center"/>
    </xf>
    <xf borderId="2" fillId="3" fontId="26" numFmtId="164" xfId="0" applyAlignment="1" applyBorder="1" applyFill="1" applyFont="1" applyNumberFormat="1">
      <alignment horizontal="center" readingOrder="0" vertical="center"/>
    </xf>
    <xf borderId="2" fillId="3" fontId="26" numFmtId="0" xfId="0" applyAlignment="1" applyBorder="1" applyFill="1" applyFont="1">
      <alignment horizontal="center" readingOrder="0" vertical="center"/>
    </xf>
    <xf borderId="2" fillId="3" fontId="11" numFmtId="0" xfId="0" applyAlignment="1" applyBorder="1" applyFill="1" applyFont="1">
      <alignment horizontal="center" vertical="center"/>
    </xf>
    <xf borderId="7" fillId="3" fontId="26" numFmtId="0" xfId="0" applyAlignment="1" applyBorder="1" applyFill="1" applyFont="1">
      <alignment horizontal="center" readingOrder="0" vertical="center"/>
    </xf>
    <xf borderId="23" fillId="3" fontId="10" numFmtId="0" xfId="0" applyAlignment="1" applyBorder="1" applyFill="1" applyFont="1">
      <alignment horizontal="center" readingOrder="0" vertical="center"/>
    </xf>
    <xf borderId="45" fillId="4" fontId="10" numFmtId="0" xfId="0" applyAlignment="1" applyBorder="1" applyFill="1" applyFont="1">
      <alignment horizontal="center" readingOrder="0" vertical="center"/>
    </xf>
    <xf borderId="63" fillId="3" fontId="20" numFmtId="0" xfId="0" applyAlignment="1" applyBorder="1" applyFill="1" applyFont="1">
      <alignment horizontal="center" readingOrder="0" vertical="center"/>
    </xf>
    <xf borderId="47" fillId="3" fontId="10" numFmtId="0" xfId="0" applyAlignment="1" applyBorder="1" applyFill="1" applyFont="1">
      <alignment horizontal="center" readingOrder="0" vertical="center"/>
    </xf>
    <xf borderId="34" fillId="3" fontId="10" numFmtId="0" xfId="0" applyAlignment="1" applyBorder="1" applyFill="1" applyFont="1">
      <alignment horizontal="center" readingOrder="0" vertical="center"/>
    </xf>
    <xf borderId="5" fillId="4" fontId="20" numFmtId="0" xfId="0" applyAlignment="1" applyBorder="1" applyFill="1" applyFont="1">
      <alignment horizontal="center" readingOrder="0" vertical="center"/>
    </xf>
    <xf borderId="29" fillId="4" fontId="14" numFmtId="0" xfId="0" applyAlignment="1" applyBorder="1" applyFill="1" applyFont="1">
      <alignment readingOrder="0" vertical="center"/>
    </xf>
    <xf borderId="35" fillId="4" fontId="10" numFmtId="165" xfId="0" applyAlignment="1" applyBorder="1" applyFill="1" applyFont="1" applyNumberFormat="1">
      <alignment horizontal="center" readingOrder="0" vertical="center"/>
    </xf>
    <xf borderId="26" fillId="4" fontId="26" numFmtId="0" xfId="0" applyAlignment="1" applyBorder="1" applyFill="1" applyFont="1">
      <alignment horizontal="center" readingOrder="0" vertical="center"/>
    </xf>
    <xf borderId="60" fillId="4" fontId="14" numFmtId="0" xfId="0" applyAlignment="1" applyBorder="1" applyFill="1" applyFont="1">
      <alignment readingOrder="0" vertical="center"/>
    </xf>
    <xf borderId="47" fillId="4" fontId="10" numFmtId="0" xfId="0" applyAlignment="1" applyBorder="1" applyFill="1" applyFont="1">
      <alignment horizontal="center" readingOrder="0" vertical="center"/>
    </xf>
    <xf borderId="49" fillId="4" fontId="6" numFmtId="0" xfId="0" applyAlignment="1" applyBorder="1" applyFill="1" applyFont="1">
      <alignment horizontal="center" readingOrder="0" vertical="center"/>
    </xf>
    <xf borderId="34" fillId="4" fontId="10" numFmtId="0" xfId="0" applyAlignment="1" applyBorder="1" applyFill="1" applyFont="1">
      <alignment horizontal="center" readingOrder="0" vertical="center"/>
    </xf>
    <xf borderId="49" fillId="3" fontId="6" numFmtId="0" xfId="0" applyAlignment="1" applyBorder="1" applyFill="1" applyFont="1">
      <alignment horizontal="center" readingOrder="0" vertical="center"/>
    </xf>
    <xf borderId="2" fillId="3" fontId="3" numFmtId="0" xfId="0" applyAlignment="1" applyBorder="1" applyFill="1" applyFont="1">
      <alignment horizontal="center" vertical="center"/>
    </xf>
    <xf borderId="35" fillId="3" fontId="10" numFmtId="165" xfId="0" applyAlignment="1" applyBorder="1" applyFill="1" applyFont="1" applyNumberFormat="1">
      <alignment horizontal="center" readingOrder="0" vertical="center"/>
    </xf>
    <xf borderId="26" fillId="3" fontId="26" numFmtId="0" xfId="0" applyAlignment="1" applyBorder="1" applyFill="1" applyFont="1">
      <alignment horizontal="center" readingOrder="0" vertical="center"/>
    </xf>
    <xf borderId="26" fillId="4" fontId="26" numFmtId="0" xfId="0" applyAlignment="1" applyBorder="1" applyFill="1" applyFont="1">
      <alignment horizontal="center" vertical="center"/>
    </xf>
    <xf borderId="60" fillId="4" fontId="10" numFmtId="0" xfId="0" applyAlignment="1" applyBorder="1" applyFill="1" applyFont="1">
      <alignment horizontal="right" readingOrder="0"/>
    </xf>
    <xf borderId="2" fillId="13" fontId="29" numFmtId="0" xfId="0" applyAlignment="1" applyBorder="1" applyFill="1" applyFont="1">
      <alignment horizontal="center" vertical="center"/>
    </xf>
    <xf borderId="60" fillId="3" fontId="10" numFmtId="0" xfId="0" applyAlignment="1" applyBorder="1" applyFill="1" applyFont="1">
      <alignment horizontal="right" readingOrder="0"/>
    </xf>
    <xf borderId="26" fillId="3" fontId="26" numFmtId="0" xfId="0" applyAlignment="1" applyBorder="1" applyFill="1" applyFont="1">
      <alignment horizontal="center" vertical="center"/>
    </xf>
    <xf borderId="2" fillId="3" fontId="11" numFmtId="0" xfId="0" applyAlignment="1" applyBorder="1" applyFill="1" applyFont="1">
      <alignment horizontal="center" readingOrder="0" vertical="center"/>
    </xf>
    <xf borderId="4" fillId="3" fontId="14" numFmtId="0" xfId="0" applyAlignment="1" applyBorder="1" applyFill="1" applyFont="1">
      <alignment horizontal="center" readingOrder="0" vertical="center"/>
    </xf>
    <xf borderId="44" fillId="4" fontId="10" numFmtId="0" xfId="0" applyAlignment="1" applyBorder="1" applyFill="1" applyFont="1">
      <alignment horizontal="center" readingOrder="0" vertical="center"/>
    </xf>
    <xf borderId="35" fillId="3" fontId="10" numFmtId="0" xfId="0" applyAlignment="1" applyBorder="1" applyFill="1" applyFont="1">
      <alignment horizontal="center" readingOrder="0" vertical="center"/>
    </xf>
    <xf borderId="2" fillId="3" fontId="3" numFmtId="0" xfId="0" applyAlignment="1" applyBorder="1" applyFill="1" applyFont="1">
      <alignment horizontal="center" readingOrder="0" vertical="center"/>
    </xf>
    <xf borderId="5" fillId="3" fontId="10" numFmtId="0" xfId="0" applyAlignment="1" applyBorder="1" applyFill="1" applyFont="1">
      <alignment horizontal="center" vertical="center"/>
    </xf>
    <xf borderId="5" fillId="3" fontId="10" numFmtId="0" xfId="0" applyAlignment="1" applyBorder="1" applyFill="1" applyFont="1">
      <alignment horizontal="center" readingOrder="0" vertical="center"/>
    </xf>
    <xf borderId="4" fillId="4" fontId="6" numFmtId="0" xfId="0" applyAlignment="1" applyBorder="1" applyFill="1" applyFont="1">
      <alignment horizontal="center" readingOrder="0" vertical="center"/>
    </xf>
    <xf borderId="35" fillId="3" fontId="14" numFmtId="0" xfId="0" applyAlignment="1" applyBorder="1" applyFill="1" applyFont="1">
      <alignment readingOrder="0" vertical="center"/>
    </xf>
    <xf borderId="39" fillId="4" fontId="14" numFmtId="0" xfId="0" applyAlignment="1" applyBorder="1" applyFill="1" applyFont="1">
      <alignment readingOrder="0" vertical="center"/>
    </xf>
    <xf borderId="64" fillId="3" fontId="14" numFmtId="0" xfId="0" applyAlignment="1" applyBorder="1" applyFill="1" applyFont="1">
      <alignment readingOrder="0" vertical="center"/>
    </xf>
    <xf borderId="65" fillId="4" fontId="14" numFmtId="0" xfId="0" applyAlignment="1" applyBorder="1" applyFill="1" applyFont="1">
      <alignment readingOrder="0" vertical="center"/>
    </xf>
    <xf borderId="2" fillId="13" fontId="29" numFmtId="2" xfId="0" applyAlignment="1" applyBorder="1" applyFill="1" applyFont="1" applyNumberFormat="1">
      <alignment horizontal="center" vertical="center"/>
    </xf>
    <xf borderId="66" fillId="3" fontId="14" numFmtId="0" xfId="0" applyAlignment="1" applyBorder="1" applyFill="1" applyFont="1">
      <alignment readingOrder="0" vertical="center"/>
    </xf>
    <xf borderId="2" fillId="3" fontId="30" numFmtId="0" xfId="0" applyAlignment="1" applyBorder="1" applyFill="1" applyFont="1">
      <alignment horizontal="center" readingOrder="0" vertical="center"/>
    </xf>
    <xf borderId="7" fillId="0" fontId="31" numFmtId="0" xfId="0" applyBorder="1" applyFont="1"/>
    <xf borderId="7" fillId="13" fontId="14" numFmtId="0" xfId="0" applyAlignment="1" applyBorder="1" applyFill="1" applyFont="1">
      <alignment horizontal="center" readingOrder="0" vertical="center"/>
    </xf>
    <xf borderId="8" fillId="0" fontId="32" numFmtId="0" xfId="0" applyAlignment="1" applyBorder="1" applyFont="1">
      <alignment horizontal="center" readingOrder="0" vertical="center"/>
    </xf>
    <xf borderId="8" fillId="0" fontId="33" numFmtId="0" xfId="0" applyAlignment="1" applyBorder="1" applyFont="1">
      <alignment horizontal="center" readingOrder="0" vertical="center"/>
    </xf>
    <xf borderId="8" fillId="0" fontId="34" numFmtId="0" xfId="0" applyAlignment="1" applyBorder="1" applyFont="1">
      <alignment horizontal="center" readingOrder="0" vertical="center"/>
    </xf>
    <xf borderId="9" fillId="0" fontId="32" numFmtId="0" xfId="0" applyAlignment="1" applyBorder="1" applyFont="1">
      <alignment horizontal="center" readingOrder="0" vertical="center"/>
    </xf>
    <xf borderId="0" fillId="0" fontId="32" numFmtId="0" xfId="0" applyAlignment="1" applyFont="1">
      <alignment horizontal="center" readingOrder="0" vertical="center"/>
    </xf>
    <xf borderId="0" fillId="0" fontId="33" numFmtId="0" xfId="0" applyAlignment="1" applyFont="1">
      <alignment horizontal="center" readingOrder="0" vertical="center"/>
    </xf>
    <xf borderId="0" fillId="0" fontId="34" numFmtId="0" xfId="0" applyAlignment="1" applyFont="1">
      <alignment horizontal="center" readingOrder="0" vertical="center"/>
    </xf>
    <xf borderId="5" fillId="0" fontId="32" numFmtId="0" xfId="0" applyAlignment="1" applyBorder="1" applyFont="1">
      <alignment horizontal="center" readingOrder="0" vertical="center"/>
    </xf>
    <xf borderId="10" fillId="0" fontId="32" numFmtId="0" xfId="0" applyAlignment="1" applyBorder="1" applyFont="1">
      <alignment horizontal="center" readingOrder="0" vertical="center"/>
    </xf>
    <xf borderId="7" fillId="0" fontId="35" numFmtId="0" xfId="0" applyAlignment="1" applyBorder="1" applyFont="1">
      <alignment horizontal="center" readingOrder="0" vertical="center"/>
    </xf>
    <xf borderId="3" fillId="0" fontId="1" numFmtId="0" xfId="0" applyAlignment="1" applyBorder="1" applyFont="1">
      <alignment horizontal="center" vertical="center"/>
    </xf>
    <xf borderId="3" fillId="0" fontId="1" numFmtId="0" xfId="0" applyBorder="1" applyFont="1"/>
    <xf borderId="11" fillId="0" fontId="32" numFmtId="0" xfId="0" applyAlignment="1" applyBorder="1" applyFont="1">
      <alignment horizontal="center" readingOrder="0" vertical="center"/>
    </xf>
    <xf borderId="12" fillId="0" fontId="32" numFmtId="0" xfId="0" applyAlignment="1" applyBorder="1" applyFont="1">
      <alignment horizontal="center" readingOrder="0" vertical="center"/>
    </xf>
    <xf borderId="12" fillId="0" fontId="33" numFmtId="0" xfId="0" applyAlignment="1" applyBorder="1" applyFont="1">
      <alignment horizontal="center" readingOrder="0" vertical="center"/>
    </xf>
    <xf borderId="12" fillId="0" fontId="34" numFmtId="0" xfId="0" applyAlignment="1" applyBorder="1" applyFont="1">
      <alignment horizontal="center" readingOrder="0" vertical="center"/>
    </xf>
    <xf borderId="6" fillId="0" fontId="32" numFmtId="0" xfId="0" applyAlignment="1" applyBorder="1" applyFont="1">
      <alignment horizontal="center" readingOrder="0" vertical="center"/>
    </xf>
    <xf borderId="1" fillId="2" fontId="36" numFmtId="0" xfId="0" applyAlignment="1" applyBorder="1" applyFill="1" applyFont="1">
      <alignment horizontal="center" readingOrder="0" vertical="center"/>
    </xf>
    <xf borderId="21" fillId="3" fontId="14" numFmtId="0" xfId="0" applyAlignment="1" applyBorder="1" applyFill="1" applyFont="1">
      <alignment readingOrder="0" vertical="center"/>
    </xf>
    <xf borderId="1" fillId="2" fontId="37" numFmtId="0" xfId="0" applyAlignment="1" applyBorder="1" applyFill="1" applyFont="1">
      <alignment horizontal="center" readingOrder="0" vertical="center"/>
    </xf>
    <xf borderId="1" fillId="2" fontId="38" numFmtId="0" xfId="0" applyAlignment="1" applyBorder="1" applyFill="1" applyFont="1">
      <alignment horizontal="center" readingOrder="0" vertical="center"/>
    </xf>
    <xf borderId="35" fillId="4" fontId="10" numFmtId="0" xfId="0" applyAlignment="1" applyBorder="1" applyFill="1" applyFont="1">
      <alignment horizontal="center" readingOrder="0" vertical="center"/>
    </xf>
    <xf borderId="5" fillId="4" fontId="10" numFmtId="0" xfId="0" applyAlignment="1" applyBorder="1" applyFill="1" applyFont="1">
      <alignment horizontal="center" readingOrder="0" vertical="center"/>
    </xf>
    <xf borderId="1" fillId="2" fontId="39" numFmtId="0" xfId="0" applyAlignment="1" applyBorder="1" applyFill="1" applyFont="1">
      <alignment horizontal="center" readingOrder="0" vertical="center"/>
    </xf>
    <xf borderId="1" fillId="3" fontId="1" numFmtId="164" xfId="0" applyAlignment="1" applyBorder="1" applyFill="1" applyFont="1" applyNumberFormat="1">
      <alignment horizontal="center" readingOrder="0" vertical="center"/>
    </xf>
    <xf borderId="1" fillId="3" fontId="8" numFmtId="0" xfId="0" applyAlignment="1" applyBorder="1" applyFill="1" applyFont="1">
      <alignment readingOrder="0" vertical="center"/>
    </xf>
    <xf borderId="1" fillId="3" fontId="40" numFmtId="0" xfId="0" applyAlignment="1" applyBorder="1" applyFill="1" applyFont="1">
      <alignment horizontal="center" readingOrder="0" vertical="center"/>
    </xf>
    <xf borderId="44" fillId="3" fontId="10" numFmtId="0" xfId="0" applyAlignment="1" applyBorder="1" applyFill="1" applyFont="1">
      <alignment horizontal="center" readingOrder="0" vertical="center"/>
    </xf>
    <xf borderId="1" fillId="3" fontId="1" numFmtId="0" xfId="0" applyAlignment="1" applyBorder="1" applyFill="1" applyFont="1">
      <alignment horizontal="center" readingOrder="0" vertical="center"/>
    </xf>
    <xf borderId="1" fillId="3" fontId="41" numFmtId="9" xfId="0" applyAlignment="1" applyBorder="1" applyFill="1" applyFont="1" applyNumberFormat="1">
      <alignment horizontal="center" readingOrder="0" vertical="center"/>
    </xf>
    <xf borderId="1" fillId="3" fontId="42" numFmtId="0" xfId="0" applyAlignment="1" applyBorder="1" applyFill="1" applyFont="1">
      <alignment horizontal="center" readingOrder="0" vertical="center"/>
    </xf>
    <xf borderId="1" fillId="3" fontId="43" numFmtId="0" xfId="0" applyAlignment="1" applyBorder="1" applyFill="1" applyFont="1">
      <alignment horizontal="center" readingOrder="0" vertical="center"/>
    </xf>
    <xf borderId="1" fillId="3" fontId="44" numFmtId="0" xfId="0" applyAlignment="1" applyBorder="1" applyFill="1" applyFont="1">
      <alignment horizontal="center" readingOrder="0" vertical="center"/>
    </xf>
    <xf borderId="1" fillId="3" fontId="45" numFmtId="0" xfId="0" applyAlignment="1" applyBorder="1" applyFill="1" applyFont="1">
      <alignment horizontal="center" readingOrder="0" vertical="center"/>
    </xf>
    <xf borderId="1" fillId="4" fontId="1" numFmtId="164" xfId="0" applyAlignment="1" applyBorder="1" applyFill="1" applyFont="1" applyNumberFormat="1">
      <alignment horizontal="center" readingOrder="0" vertical="center"/>
    </xf>
    <xf borderId="1" fillId="4" fontId="40" numFmtId="0" xfId="0" applyAlignment="1" applyBorder="1" applyFill="1" applyFont="1">
      <alignment horizontal="center" readingOrder="0" vertical="center"/>
    </xf>
    <xf borderId="1" fillId="4" fontId="1" numFmtId="0" xfId="0" applyAlignment="1" applyBorder="1" applyFill="1" applyFont="1">
      <alignment horizontal="center" readingOrder="0" vertical="center"/>
    </xf>
    <xf borderId="1" fillId="4" fontId="41" numFmtId="9" xfId="0" applyAlignment="1" applyBorder="1" applyFill="1" applyFont="1" applyNumberFormat="1">
      <alignment horizontal="center" readingOrder="0" vertical="center"/>
    </xf>
    <xf borderId="1" fillId="4" fontId="43" numFmtId="0" xfId="0" applyAlignment="1" applyBorder="1" applyFill="1" applyFont="1">
      <alignment horizontal="center" readingOrder="0" vertical="center"/>
    </xf>
    <xf borderId="1" fillId="4" fontId="44" numFmtId="0" xfId="0" applyAlignment="1" applyBorder="1" applyFill="1" applyFont="1">
      <alignment horizontal="center" readingOrder="0" vertical="center"/>
    </xf>
    <xf borderId="1" fillId="4" fontId="45" numFmtId="0" xfId="0" applyAlignment="1" applyBorder="1" applyFill="1" applyFont="1">
      <alignment horizontal="center" readingOrder="0" vertical="center"/>
    </xf>
    <xf borderId="2" fillId="3" fontId="1" numFmtId="164" xfId="0" applyAlignment="1" applyBorder="1" applyFill="1" applyFont="1" applyNumberFormat="1">
      <alignment horizontal="center" readingOrder="0" vertical="center"/>
    </xf>
    <xf borderId="2" fillId="3" fontId="8" numFmtId="0" xfId="0" applyAlignment="1" applyBorder="1" applyFill="1" applyFont="1">
      <alignment readingOrder="0" vertical="center"/>
    </xf>
    <xf borderId="2" fillId="3" fontId="1" numFmtId="9" xfId="0" applyAlignment="1" applyBorder="1" applyFill="1" applyFont="1" applyNumberFormat="1">
      <alignment horizontal="center" readingOrder="0" vertical="center"/>
    </xf>
    <xf borderId="2" fillId="3" fontId="43" numFmtId="0" xfId="0" applyAlignment="1" applyBorder="1" applyFill="1" applyFont="1">
      <alignment horizontal="center" readingOrder="0" vertical="center"/>
    </xf>
    <xf borderId="2" fillId="3" fontId="45" numFmtId="0" xfId="0" applyAlignment="1" applyBorder="1" applyFill="1" applyFont="1">
      <alignment horizontal="center" readingOrder="0" vertical="center"/>
    </xf>
    <xf borderId="1" fillId="4" fontId="41" numFmtId="164" xfId="0" applyAlignment="1" applyBorder="1" applyFill="1" applyFont="1" applyNumberFormat="1">
      <alignment horizontal="center" readingOrder="0" vertical="center"/>
    </xf>
    <xf borderId="1" fillId="3" fontId="46" numFmtId="0" xfId="0" applyAlignment="1" applyBorder="1" applyFill="1" applyFont="1">
      <alignment readingOrder="0" vertical="center"/>
    </xf>
    <xf borderId="1" fillId="4" fontId="41" numFmtId="0" xfId="0" applyAlignment="1" applyBorder="1" applyFill="1" applyFont="1">
      <alignment readingOrder="0"/>
    </xf>
    <xf borderId="1" fillId="3" fontId="46" numFmtId="0" xfId="0" applyAlignment="1" applyBorder="1" applyFill="1" applyFont="1">
      <alignment horizontal="center" vertical="bottom"/>
    </xf>
    <xf borderId="1" fillId="4" fontId="47" numFmtId="0" xfId="0" applyAlignment="1" applyBorder="1" applyFill="1" applyFont="1">
      <alignment horizontal="center" readingOrder="0" vertical="center"/>
    </xf>
    <xf borderId="1" fillId="4" fontId="41" numFmtId="0" xfId="0" applyAlignment="1" applyBorder="1" applyFill="1" applyFont="1">
      <alignment horizontal="center" readingOrder="0" vertical="center"/>
    </xf>
    <xf borderId="1" fillId="3" fontId="48" numFmtId="0" xfId="0" applyAlignment="1" applyBorder="1" applyFill="1" applyFont="1">
      <alignment horizontal="center" readingOrder="0" vertical="center"/>
    </xf>
    <xf borderId="2" fillId="4" fontId="49" numFmtId="0" xfId="0" applyAlignment="1" applyBorder="1" applyFill="1" applyFont="1">
      <alignment horizontal="center" readingOrder="0" vertical="center"/>
    </xf>
    <xf borderId="1" fillId="4" fontId="50" numFmtId="0" xfId="0" applyAlignment="1" applyBorder="1" applyFill="1" applyFont="1">
      <alignment horizontal="center" readingOrder="0" vertical="center"/>
    </xf>
    <xf borderId="1" fillId="4" fontId="51" numFmtId="0" xfId="0" applyAlignment="1" applyBorder="1" applyFill="1" applyFont="1">
      <alignment horizontal="center" readingOrder="0" vertical="center"/>
    </xf>
    <xf borderId="2" fillId="4" fontId="51" numFmtId="0" xfId="0" applyAlignment="1" applyBorder="1" applyFill="1" applyFont="1">
      <alignment horizontal="center" readingOrder="0" vertical="center"/>
    </xf>
    <xf borderId="1" fillId="3" fontId="52" numFmtId="0" xfId="0" applyAlignment="1" applyBorder="1" applyFill="1" applyFont="1">
      <alignment horizontal="center" readingOrder="0" vertical="center"/>
    </xf>
    <xf borderId="1" fillId="3" fontId="50" numFmtId="0" xfId="0" applyAlignment="1" applyBorder="1" applyFill="1" applyFont="1">
      <alignment horizontal="center" readingOrder="0" vertical="center"/>
    </xf>
    <xf borderId="1" fillId="4" fontId="52" numFmtId="0" xfId="0" applyAlignment="1" applyBorder="1" applyFill="1" applyFont="1">
      <alignment horizontal="center" readingOrder="0" vertical="center"/>
    </xf>
    <xf borderId="2" fillId="4" fontId="1" numFmtId="164" xfId="0" applyAlignment="1" applyBorder="1" applyFill="1" applyFont="1" applyNumberFormat="1">
      <alignment horizontal="center" readingOrder="0" vertical="center"/>
    </xf>
    <xf borderId="2" fillId="4" fontId="1" numFmtId="9" xfId="0" applyAlignment="1" applyBorder="1" applyFill="1" applyFont="1" applyNumberFormat="1">
      <alignment horizontal="center" readingOrder="0" vertical="center"/>
    </xf>
    <xf borderId="2" fillId="4" fontId="43" numFmtId="0" xfId="0" applyAlignment="1" applyBorder="1" applyFill="1" applyFont="1">
      <alignment horizontal="center" readingOrder="0" vertical="center"/>
    </xf>
    <xf borderId="2" fillId="4" fontId="45" numFmtId="0" xfId="0" applyAlignment="1" applyBorder="1" applyFill="1" applyFont="1">
      <alignment horizontal="center" readingOrder="0" vertical="center"/>
    </xf>
    <xf borderId="2" fillId="3" fontId="53" numFmtId="164" xfId="0" applyAlignment="1" applyBorder="1" applyFill="1" applyFont="1" applyNumberFormat="1">
      <alignment horizontal="center" readingOrder="0" vertical="center"/>
    </xf>
    <xf borderId="2" fillId="3" fontId="54" numFmtId="0" xfId="0" applyAlignment="1" applyBorder="1" applyFill="1" applyFont="1">
      <alignment readingOrder="0" vertical="center"/>
    </xf>
    <xf borderId="1" fillId="3" fontId="53" numFmtId="0" xfId="0" applyAlignment="1" applyBorder="1" applyFill="1" applyFont="1">
      <alignment readingOrder="0"/>
    </xf>
    <xf borderId="1" fillId="3" fontId="54" numFmtId="0" xfId="0" applyAlignment="1" applyBorder="1" applyFill="1" applyFont="1">
      <alignment horizontal="center" vertical="bottom"/>
    </xf>
    <xf borderId="1" fillId="3" fontId="53" numFmtId="0" xfId="0" applyAlignment="1" applyBorder="1" applyFill="1" applyFont="1">
      <alignment horizontal="center" readingOrder="0" vertical="center"/>
    </xf>
    <xf borderId="1" fillId="3" fontId="1" numFmtId="9" xfId="0" applyAlignment="1" applyBorder="1" applyFill="1" applyFont="1" applyNumberFormat="1">
      <alignment horizontal="center" readingOrder="0" vertical="center"/>
    </xf>
    <xf borderId="1" fillId="3" fontId="55" numFmtId="0" xfId="0" applyAlignment="1" applyBorder="1" applyFill="1" applyFont="1">
      <alignment horizontal="center" readingOrder="0" vertical="center"/>
    </xf>
    <xf borderId="2" fillId="3" fontId="48" numFmtId="0" xfId="0" applyAlignment="1" applyBorder="1" applyFill="1" applyFont="1">
      <alignment horizontal="center" readingOrder="0" vertical="center"/>
    </xf>
    <xf borderId="2" fillId="3" fontId="56" numFmtId="0" xfId="0" applyAlignment="1" applyBorder="1" applyFill="1" applyFont="1">
      <alignment horizontal="center" readingOrder="0" vertical="center"/>
    </xf>
    <xf borderId="2" fillId="3" fontId="42" numFmtId="0" xfId="0" applyAlignment="1" applyBorder="1" applyFill="1" applyFont="1">
      <alignment horizontal="center" readingOrder="0" vertical="center"/>
    </xf>
    <xf borderId="1" fillId="4" fontId="53" numFmtId="0" xfId="0" applyAlignment="1" applyBorder="1" applyFill="1" applyFont="1">
      <alignment readingOrder="0"/>
    </xf>
    <xf borderId="1" fillId="4" fontId="42" numFmtId="0" xfId="0" applyAlignment="1" applyBorder="1" applyFill="1" applyFont="1">
      <alignment horizontal="center" readingOrder="0" vertical="center"/>
    </xf>
    <xf borderId="1" fillId="4" fontId="53" numFmtId="0" xfId="0" applyAlignment="1" applyBorder="1" applyFill="1" applyFont="1">
      <alignment horizontal="center" readingOrder="0" vertical="center"/>
    </xf>
    <xf borderId="1" fillId="4" fontId="1" numFmtId="9" xfId="0" applyAlignment="1" applyBorder="1" applyFill="1" applyFont="1" applyNumberFormat="1">
      <alignment horizontal="center" readingOrder="0" vertical="center"/>
    </xf>
    <xf borderId="1" fillId="4" fontId="55" numFmtId="0" xfId="0" applyAlignment="1" applyBorder="1" applyFill="1" applyFont="1">
      <alignment horizontal="center" readingOrder="0" vertical="center"/>
    </xf>
    <xf borderId="2" fillId="3" fontId="53" numFmtId="0" xfId="0" applyAlignment="1" applyBorder="1" applyFill="1" applyFont="1">
      <alignment readingOrder="0" vertical="center"/>
    </xf>
    <xf borderId="2" fillId="3" fontId="54" numFmtId="0" xfId="0" applyAlignment="1" applyBorder="1" applyFill="1" applyFont="1">
      <alignment horizontal="center" vertical="center"/>
    </xf>
    <xf borderId="2" fillId="3" fontId="53" numFmtId="9" xfId="0" applyAlignment="1" applyBorder="1" applyFill="1" applyFont="1" applyNumberFormat="1">
      <alignment horizontal="center" readingOrder="0" vertical="center"/>
    </xf>
    <xf borderId="2" fillId="3" fontId="40" numFmtId="0" xfId="0" applyAlignment="1" applyBorder="1" applyFill="1" applyFont="1">
      <alignment horizontal="center" readingOrder="0" vertical="center"/>
    </xf>
    <xf borderId="1" fillId="3" fontId="8" numFmtId="0" xfId="0" applyAlignment="1" applyBorder="1" applyFill="1" applyFont="1">
      <alignment horizontal="center" vertical="bottom"/>
    </xf>
    <xf borderId="2" fillId="4" fontId="52" numFmtId="0" xfId="0" applyAlignment="1" applyBorder="1" applyFill="1" applyFont="1">
      <alignment horizontal="center" readingOrder="0" vertical="center"/>
    </xf>
    <xf borderId="2" fillId="3" fontId="52" numFmtId="0" xfId="0" applyAlignment="1" applyBorder="1" applyFill="1" applyFont="1">
      <alignment horizontal="center" readingOrder="0" vertical="center"/>
    </xf>
    <xf borderId="2" fillId="4" fontId="57" numFmtId="164" xfId="0" applyAlignment="1" applyBorder="1" applyFill="1" applyFont="1" applyNumberFormat="1">
      <alignment horizontal="center" readingOrder="0" vertical="center"/>
    </xf>
    <xf borderId="2" fillId="3" fontId="46" numFmtId="0" xfId="0" applyAlignment="1" applyBorder="1" applyFill="1" applyFont="1">
      <alignment horizontal="center" vertical="center"/>
    </xf>
    <xf borderId="2" fillId="3" fontId="58" numFmtId="0" xfId="0" applyAlignment="1" applyBorder="1" applyFill="1" applyFont="1">
      <alignment horizontal="center" readingOrder="0" vertical="center"/>
    </xf>
    <xf borderId="2" fillId="3" fontId="57" numFmtId="164" xfId="0" applyAlignment="1" applyBorder="1" applyFill="1" applyFont="1" applyNumberFormat="1">
      <alignment horizontal="center" readingOrder="0" vertical="center"/>
    </xf>
    <xf borderId="2" fillId="13" fontId="29" numFmtId="0" xfId="0" applyAlignment="1" applyBorder="1" applyFill="1" applyFont="1">
      <alignment horizontal="center" readingOrder="0" vertical="center"/>
    </xf>
    <xf borderId="1" fillId="9" fontId="14" numFmtId="0" xfId="0" applyAlignment="1" applyBorder="1" applyFill="1" applyFont="1">
      <alignment horizontal="center" readingOrder="0" vertical="center"/>
    </xf>
    <xf borderId="7" fillId="9" fontId="14" numFmtId="0" xfId="0" applyAlignment="1" applyBorder="1" applyFill="1" applyFont="1">
      <alignment horizontal="center" readingOrder="0" vertical="center"/>
    </xf>
    <xf borderId="2" fillId="9" fontId="14" numFmtId="0" xfId="0" applyAlignment="1" applyBorder="1" applyFill="1" applyFont="1">
      <alignment horizontal="center" readingOrder="0" vertical="center"/>
    </xf>
    <xf borderId="2" fillId="3" fontId="44" numFmtId="0" xfId="0" applyAlignment="1" applyBorder="1" applyFill="1" applyFont="1">
      <alignment horizontal="center" readingOrder="0" vertical="center"/>
    </xf>
    <xf borderId="2" fillId="3" fontId="11" numFmtId="0" xfId="0" applyAlignment="1" applyBorder="1" applyFill="1" applyFont="1">
      <alignment horizontal="center" vertical="center"/>
    </xf>
    <xf borderId="2" fillId="4" fontId="44" numFmtId="0" xfId="0" applyAlignment="1" applyBorder="1" applyFill="1" applyFont="1">
      <alignment horizontal="center" readingOrder="0" vertical="center"/>
    </xf>
    <xf borderId="2" fillId="3" fontId="46" numFmtId="0" xfId="0" applyAlignment="1" applyBorder="1" applyFill="1" applyFont="1">
      <alignment horizontal="center" readingOrder="0" vertical="center"/>
    </xf>
    <xf borderId="1" fillId="3" fontId="58" numFmtId="0" xfId="0" applyAlignment="1" applyBorder="1" applyFill="1" applyFont="1">
      <alignment horizontal="center" readingOrder="0" vertical="center"/>
    </xf>
    <xf borderId="3" fillId="4" fontId="6" numFmtId="0" xfId="0" applyAlignment="1" applyBorder="1" applyFill="1" applyFont="1">
      <alignment horizontal="center" readingOrder="0" vertical="center"/>
    </xf>
    <xf borderId="0" fillId="8" fontId="59" numFmtId="164" xfId="0" applyAlignment="1" applyFill="1" applyFont="1" applyNumberFormat="1">
      <alignment horizontal="center" readingOrder="0" vertical="center"/>
    </xf>
    <xf borderId="1" fillId="8" fontId="60" numFmtId="0" xfId="0" applyAlignment="1" applyBorder="1" applyFill="1" applyFont="1">
      <alignment horizontal="center" readingOrder="0" vertical="center"/>
    </xf>
    <xf borderId="1" fillId="8" fontId="43" numFmtId="0" xfId="0" applyAlignment="1" applyBorder="1" applyFill="1" applyFont="1">
      <alignment horizontal="center" readingOrder="0" vertical="center"/>
    </xf>
    <xf borderId="1" fillId="8" fontId="44" numFmtId="0" xfId="0" applyAlignment="1" applyBorder="1" applyFill="1" applyFont="1">
      <alignment horizontal="center" readingOrder="0" vertical="center"/>
    </xf>
    <xf borderId="2" fillId="3" fontId="13" numFmtId="164" xfId="0" applyAlignment="1" applyBorder="1" applyFill="1" applyFont="1" applyNumberFormat="1">
      <alignment horizontal="center" readingOrder="0" vertical="center"/>
    </xf>
    <xf borderId="2" fillId="3" fontId="61" numFmtId="0" xfId="0" applyAlignment="1" applyBorder="1" applyFill="1" applyFont="1">
      <alignment readingOrder="0" vertical="center"/>
    </xf>
    <xf borderId="2" fillId="3" fontId="62" numFmtId="0" xfId="0" applyAlignment="1" applyBorder="1" applyFill="1" applyFont="1">
      <alignment horizontal="center" readingOrder="0" vertical="center"/>
    </xf>
    <xf borderId="1" fillId="3" fontId="63" numFmtId="0" xfId="0" applyAlignment="1" applyBorder="1" applyFill="1" applyFont="1">
      <alignment horizontal="center" readingOrder="0" vertical="center"/>
    </xf>
    <xf borderId="1" fillId="3" fontId="64" numFmtId="0" xfId="0" applyAlignment="1" applyBorder="1" applyFill="1" applyFont="1">
      <alignment horizontal="center" readingOrder="0" vertical="center"/>
    </xf>
    <xf borderId="1" fillId="3" fontId="65" numFmtId="0" xfId="0" applyAlignment="1" applyBorder="1" applyFill="1" applyFont="1">
      <alignment horizontal="center" readingOrder="0" vertical="center"/>
    </xf>
    <xf borderId="1" fillId="3" fontId="66" numFmtId="0" xfId="0" applyAlignment="1" applyBorder="1" applyFill="1" applyFont="1">
      <alignment horizontal="center" readingOrder="0" vertical="center"/>
    </xf>
    <xf borderId="2" fillId="4" fontId="10" numFmtId="0" xfId="0" applyAlignment="1" applyBorder="1" applyFill="1" applyFont="1">
      <alignment horizontal="right" readingOrder="0" vertical="center"/>
    </xf>
    <xf borderId="5" fillId="4" fontId="10" numFmtId="0" xfId="0" applyAlignment="1" applyBorder="1" applyFill="1" applyFont="1">
      <alignment horizontal="center" vertical="center"/>
    </xf>
    <xf borderId="1" fillId="3" fontId="3" numFmtId="0" xfId="0" applyAlignment="1" applyBorder="1" applyFill="1" applyFont="1">
      <alignment horizontal="center" vertical="center"/>
    </xf>
    <xf borderId="2" fillId="3" fontId="55" numFmtId="0" xfId="0" applyAlignment="1" applyBorder="1" applyFill="1" applyFont="1">
      <alignment horizontal="center" readingOrder="0" vertical="center"/>
    </xf>
    <xf borderId="1" fillId="3" fontId="3" numFmtId="0" xfId="0" applyAlignment="1" applyBorder="1" applyFill="1" applyFont="1">
      <alignment horizontal="center" readingOrder="0" vertical="center"/>
    </xf>
    <xf borderId="1" fillId="3" fontId="46" numFmtId="0" xfId="0" applyAlignment="1" applyBorder="1" applyFill="1" applyFont="1">
      <alignment horizontal="center" readingOrder="0" vertical="center"/>
    </xf>
    <xf borderId="1" fillId="3" fontId="14" numFmtId="164" xfId="0" applyAlignment="1" applyBorder="1" applyFill="1" applyFont="1" applyNumberFormat="1">
      <alignment horizontal="center" readingOrder="0" vertical="center"/>
    </xf>
    <xf borderId="1" fillId="4" fontId="3" numFmtId="0" xfId="0" applyAlignment="1" applyBorder="1" applyFill="1" applyFont="1">
      <alignment horizontal="center" vertical="center"/>
    </xf>
    <xf borderId="1" fillId="4" fontId="3" numFmtId="0" xfId="0" applyAlignment="1" applyBorder="1" applyFill="1" applyFont="1">
      <alignment horizontal="center" readingOrder="0" vertical="center"/>
    </xf>
    <xf borderId="1" fillId="3" fontId="46" numFmtId="0" xfId="0" applyAlignment="1" applyBorder="1" applyFill="1" applyFont="1">
      <alignment horizontal="center" vertical="center"/>
    </xf>
    <xf borderId="1" fillId="3" fontId="67" numFmtId="0" xfId="0" applyAlignment="1" applyBorder="1" applyFill="1" applyFont="1">
      <alignment horizontal="center" readingOrder="0" vertical="center"/>
    </xf>
    <xf borderId="1" fillId="3" fontId="53" numFmtId="9" xfId="0" applyAlignment="1" applyBorder="1" applyFill="1" applyFont="1" applyNumberFormat="1">
      <alignment horizontal="center" readingOrder="0" vertical="center"/>
    </xf>
    <xf borderId="1" fillId="4" fontId="68" numFmtId="0" xfId="0" applyAlignment="1" applyBorder="1" applyFill="1" applyFont="1">
      <alignment horizontal="center" readingOrder="0" vertical="center"/>
    </xf>
    <xf borderId="1" fillId="4" fontId="69" numFmtId="0" xfId="0" applyAlignment="1" applyBorder="1" applyFill="1" applyFont="1">
      <alignment horizontal="center" readingOrder="0" vertical="center"/>
    </xf>
    <xf borderId="1" fillId="4" fontId="53" numFmtId="9" xfId="0" applyAlignment="1" applyBorder="1" applyFill="1" applyFont="1" applyNumberFormat="1">
      <alignment horizontal="center" readingOrder="0" vertical="center"/>
    </xf>
    <xf borderId="4" fillId="4" fontId="53" numFmtId="164" xfId="0" applyAlignment="1" applyBorder="1" applyFill="1" applyFont="1" applyNumberFormat="1">
      <alignment horizontal="center" readingOrder="0" vertical="center"/>
    </xf>
    <xf borderId="2" fillId="4" fontId="53" numFmtId="0" xfId="0" applyAlignment="1" applyBorder="1" applyFill="1" applyFont="1">
      <alignment readingOrder="0" vertical="center"/>
    </xf>
    <xf borderId="2" fillId="4" fontId="42" numFmtId="0" xfId="0" applyAlignment="1" applyBorder="1" applyFill="1" applyFont="1">
      <alignment horizontal="center" readingOrder="0" vertical="center"/>
    </xf>
    <xf borderId="1" fillId="3" fontId="67" numFmtId="0" xfId="0" applyAlignment="1" applyBorder="1" applyFill="1" applyFont="1">
      <alignment horizontal="center" vertical="center"/>
    </xf>
    <xf borderId="2" fillId="4" fontId="53" numFmtId="164" xfId="0" applyAlignment="1" applyBorder="1" applyFill="1" applyFont="1" applyNumberFormat="1">
      <alignment horizontal="center" readingOrder="0" vertical="center"/>
    </xf>
    <xf borderId="2" fillId="4" fontId="40" numFmtId="0" xfId="0" applyAlignment="1" applyBorder="1" applyFill="1" applyFont="1">
      <alignment horizontal="center" readingOrder="0" vertical="center"/>
    </xf>
    <xf borderId="3" fillId="3" fontId="1" numFmtId="0" xfId="0" applyAlignment="1" applyBorder="1" applyFill="1" applyFont="1">
      <alignment readingOrder="0" vertical="center"/>
    </xf>
    <xf borderId="1" fillId="3" fontId="70" numFmtId="0" xfId="0" applyAlignment="1" applyBorder="1" applyFill="1" applyFont="1">
      <alignment horizontal="center" readingOrder="0" vertical="center"/>
    </xf>
    <xf borderId="67" fillId="3" fontId="24" numFmtId="2" xfId="0" applyAlignment="1" applyBorder="1" applyFill="1" applyFont="1" applyNumberFormat="1">
      <alignment horizontal="center" vertical="center"/>
    </xf>
    <xf borderId="68" fillId="4" fontId="7" numFmtId="0" xfId="0" applyBorder="1" applyFill="1" applyFont="1"/>
    <xf borderId="1" fillId="3" fontId="1" numFmtId="0" xfId="0" applyAlignment="1" applyBorder="1" applyFill="1" applyFont="1">
      <alignment vertical="center"/>
    </xf>
    <xf borderId="1" fillId="3" fontId="1" numFmtId="0" xfId="0" applyAlignment="1" applyBorder="1" applyFill="1" applyFont="1">
      <alignment horizontal="center" vertical="center"/>
    </xf>
    <xf borderId="1" fillId="4" fontId="14" numFmtId="164" xfId="0" applyAlignment="1" applyBorder="1" applyFill="1" applyFont="1" applyNumberFormat="1">
      <alignment horizontal="center" readingOrder="0" vertical="center"/>
    </xf>
    <xf borderId="0" fillId="3" fontId="14" numFmtId="164" xfId="0" applyAlignment="1" applyFill="1" applyFont="1" applyNumberFormat="1">
      <alignment horizontal="center" readingOrder="0" vertical="center"/>
    </xf>
    <xf borderId="0" fillId="4" fontId="14" numFmtId="164" xfId="0" applyAlignment="1" applyFill="1" applyFont="1" applyNumberFormat="1">
      <alignment horizontal="center" readingOrder="0" vertical="center"/>
    </xf>
    <xf borderId="2" fillId="4" fontId="8" numFmtId="164" xfId="0" applyAlignment="1" applyBorder="1" applyFill="1" applyFont="1" applyNumberFormat="1">
      <alignment horizontal="center" readingOrder="0" vertical="center"/>
    </xf>
    <xf borderId="1" fillId="4" fontId="71" numFmtId="0" xfId="0" applyAlignment="1" applyBorder="1" applyFill="1" applyFont="1">
      <alignment horizontal="center"/>
    </xf>
    <xf borderId="1" fillId="4" fontId="72" numFmtId="0" xfId="0" applyAlignment="1" applyBorder="1" applyFill="1" applyFont="1">
      <alignment horizontal="center"/>
    </xf>
    <xf borderId="1" fillId="4" fontId="8" numFmtId="0" xfId="0" applyAlignment="1" applyBorder="1" applyFill="1" applyFont="1">
      <alignment horizontal="center" readingOrder="0"/>
    </xf>
    <xf borderId="1" fillId="4" fontId="8" numFmtId="9" xfId="0" applyBorder="1" applyFill="1" applyFont="1" applyNumberFormat="1"/>
    <xf borderId="2" fillId="4" fontId="72" numFmtId="0" xfId="0" applyAlignment="1" applyBorder="1" applyFill="1" applyFont="1">
      <alignment horizontal="center" readingOrder="0"/>
    </xf>
    <xf borderId="2" fillId="4" fontId="72" numFmtId="0" xfId="0" applyAlignment="1" applyBorder="1" applyFill="1" applyFont="1">
      <alignment horizontal="center"/>
    </xf>
    <xf borderId="2" fillId="4" fontId="73" numFmtId="0" xfId="0" applyAlignment="1" applyBorder="1" applyFill="1" applyFont="1">
      <alignment horizontal="center"/>
    </xf>
    <xf borderId="3" fillId="3" fontId="8" numFmtId="0" xfId="0" applyAlignment="1" applyBorder="1" applyFill="1" applyFont="1">
      <alignment horizontal="right" readingOrder="0"/>
    </xf>
    <xf borderId="1" fillId="3" fontId="71" numFmtId="0" xfId="0" applyAlignment="1" applyBorder="1" applyFill="1" applyFont="1">
      <alignment horizontal="center"/>
    </xf>
    <xf borderId="1" fillId="3" fontId="72" numFmtId="0" xfId="0" applyAlignment="1" applyBorder="1" applyFill="1" applyFont="1">
      <alignment horizontal="center"/>
    </xf>
    <xf borderId="1" fillId="3" fontId="8" numFmtId="0" xfId="0" applyAlignment="1" applyBorder="1" applyFill="1" applyFont="1">
      <alignment horizontal="center"/>
    </xf>
    <xf borderId="1" fillId="3" fontId="8" numFmtId="9" xfId="0" applyBorder="1" applyFill="1" applyFont="1" applyNumberFormat="1"/>
    <xf borderId="1" fillId="3" fontId="46" numFmtId="0" xfId="0" applyAlignment="1" applyBorder="1" applyFill="1" applyFont="1">
      <alignment horizontal="center" vertical="center"/>
    </xf>
    <xf borderId="1" fillId="4" fontId="40" numFmtId="0" xfId="0" applyAlignment="1" applyBorder="1" applyFill="1" applyFont="1">
      <alignment horizontal="center" vertical="center"/>
    </xf>
    <xf borderId="1" fillId="4" fontId="52" numFmtId="0" xfId="0" applyAlignment="1" applyBorder="1" applyFill="1" applyFont="1">
      <alignment horizontal="center" vertical="center"/>
    </xf>
    <xf borderId="1" fillId="4" fontId="1" numFmtId="9" xfId="0" applyAlignment="1" applyBorder="1" applyFill="1" applyFont="1" applyNumberFormat="1">
      <alignment horizontal="center" vertical="center"/>
    </xf>
    <xf borderId="2" fillId="4" fontId="52" numFmtId="0" xfId="0" applyAlignment="1" applyBorder="1" applyFill="1" applyFont="1">
      <alignment horizontal="center" vertical="center"/>
    </xf>
    <xf borderId="2" fillId="4" fontId="45" numFmtId="0" xfId="0" applyAlignment="1" applyBorder="1" applyFill="1" applyFont="1">
      <alignment horizontal="center" vertical="center"/>
    </xf>
    <xf borderId="1" fillId="3" fontId="40" numFmtId="0" xfId="0" applyAlignment="1" applyBorder="1" applyFill="1" applyFont="1">
      <alignment horizontal="center" vertical="center"/>
    </xf>
    <xf borderId="1" fillId="3" fontId="52" numFmtId="0" xfId="0" applyAlignment="1" applyBorder="1" applyFill="1" applyFont="1">
      <alignment horizontal="center" vertical="center"/>
    </xf>
    <xf borderId="1" fillId="3" fontId="1" numFmtId="0" xfId="0" applyAlignment="1" applyBorder="1" applyFill="1" applyFont="1">
      <alignment horizontal="center" vertical="center"/>
    </xf>
    <xf borderId="1" fillId="3" fontId="1" numFmtId="9" xfId="0" applyAlignment="1" applyBorder="1" applyFill="1" applyFont="1" applyNumberFormat="1">
      <alignment horizontal="center" vertical="center"/>
    </xf>
    <xf borderId="1" fillId="4" fontId="46" numFmtId="0" xfId="0" applyAlignment="1" applyBorder="1" applyFill="1" applyFont="1">
      <alignment horizontal="center" vertical="center"/>
    </xf>
    <xf borderId="2" fillId="4" fontId="43" numFmtId="0" xfId="0" applyAlignment="1" applyBorder="1" applyFill="1" applyFont="1">
      <alignment horizontal="center" vertical="center"/>
    </xf>
    <xf borderId="2" fillId="4" fontId="44" numFmtId="0" xfId="0" applyAlignment="1" applyBorder="1" applyFill="1" applyFont="1">
      <alignment horizontal="center" vertical="center"/>
    </xf>
    <xf borderId="1" fillId="4" fontId="1" numFmtId="0" xfId="0" applyAlignment="1" applyBorder="1" applyFill="1" applyFont="1">
      <alignment horizontal="center" vertical="center"/>
    </xf>
    <xf borderId="2" fillId="4" fontId="1" numFmtId="0" xfId="0" applyAlignment="1" applyBorder="1" applyFill="1" applyFont="1">
      <alignment vertical="center"/>
    </xf>
    <xf borderId="2" fillId="4" fontId="8" numFmtId="0" xfId="0" applyAlignment="1" applyBorder="1" applyFill="1" applyFont="1">
      <alignment readingOrder="0" vertical="center"/>
    </xf>
    <xf borderId="3" fillId="4" fontId="8" numFmtId="0" xfId="0" applyAlignment="1" applyBorder="1" applyFill="1" applyFont="1">
      <alignment readingOrder="0" vertical="center"/>
    </xf>
    <xf borderId="0" fillId="4" fontId="10" numFmtId="165" xfId="0" applyAlignment="1" applyFill="1" applyFont="1" applyNumberFormat="1">
      <alignment horizontal="center" readingOrder="0" vertical="center"/>
    </xf>
    <xf borderId="0" fillId="4" fontId="26" numFmtId="0" xfId="0" applyAlignment="1" applyFill="1" applyFont="1">
      <alignment horizontal="center" readingOrder="0" vertical="center"/>
    </xf>
    <xf borderId="2" fillId="3" fontId="43" numFmtId="0" xfId="0" applyAlignment="1" applyBorder="1" applyFill="1" applyFont="1">
      <alignment horizontal="center" vertical="center"/>
    </xf>
    <xf borderId="0" fillId="4" fontId="10" numFmtId="0" xfId="0" applyAlignment="1" applyFill="1" applyFont="1">
      <alignment horizontal="center" vertical="center"/>
    </xf>
    <xf borderId="2" fillId="3" fontId="44" numFmtId="0" xfId="0" applyAlignment="1" applyBorder="1" applyFill="1" applyFont="1">
      <alignment horizontal="center" vertical="center"/>
    </xf>
    <xf borderId="0" fillId="3" fontId="10" numFmtId="165" xfId="0" applyAlignment="1" applyFill="1" applyFont="1" applyNumberFormat="1">
      <alignment horizontal="center" readingOrder="0" vertical="center"/>
    </xf>
    <xf borderId="0" fillId="3" fontId="26" numFmtId="0" xfId="0" applyAlignment="1" applyFill="1" applyFont="1">
      <alignment horizontal="center" readingOrder="0" vertical="center"/>
    </xf>
    <xf borderId="2" fillId="3" fontId="52" numFmtId="0" xfId="0" applyAlignment="1" applyBorder="1" applyFill="1" applyFont="1">
      <alignment horizontal="center" vertical="center"/>
    </xf>
    <xf borderId="2" fillId="3" fontId="45" numFmtId="0" xfId="0" applyAlignment="1" applyBorder="1" applyFill="1" applyFont="1">
      <alignment horizontal="center" vertical="center"/>
    </xf>
    <xf borderId="3" fillId="3" fontId="8" numFmtId="0" xfId="0" applyAlignment="1" applyBorder="1" applyFill="1" applyFont="1">
      <alignment readingOrder="0" vertical="center"/>
    </xf>
    <xf borderId="3" fillId="3" fontId="1" numFmtId="0" xfId="0" applyAlignment="1" applyBorder="1" applyFill="1" applyFont="1">
      <alignment vertical="center"/>
    </xf>
    <xf borderId="2" fillId="3" fontId="74" numFmtId="0" xfId="0" applyAlignment="1" applyBorder="1" applyFill="1" applyFont="1">
      <alignment horizontal="center" readingOrder="0" vertical="center"/>
    </xf>
    <xf borderId="2" fillId="4" fontId="8" numFmtId="0" xfId="0" applyAlignment="1" applyBorder="1" applyFill="1" applyFont="1">
      <alignment horizontal="right" vertical="center"/>
    </xf>
    <xf borderId="2" fillId="4" fontId="74" numFmtId="0" xfId="0" applyAlignment="1" applyBorder="1" applyFill="1" applyFont="1">
      <alignment horizontal="center" vertical="center"/>
    </xf>
    <xf borderId="1" fillId="3" fontId="3" numFmtId="0" xfId="0" applyAlignment="1" applyBorder="1" applyFill="1" applyFont="1">
      <alignment horizontal="center" vertical="center"/>
    </xf>
    <xf borderId="1" fillId="4" fontId="3" numFmtId="0" xfId="0" applyAlignment="1" applyBorder="1" applyFill="1" applyFont="1">
      <alignment horizontal="center" vertical="center"/>
    </xf>
    <xf borderId="2" fillId="3" fontId="75" numFmtId="164" xfId="0" applyAlignment="1" applyBorder="1" applyFill="1" applyFont="1" applyNumberFormat="1">
      <alignment horizontal="center" readingOrder="0" vertical="center"/>
    </xf>
    <xf borderId="2" fillId="3" fontId="61" numFmtId="0" xfId="0" applyAlignment="1" applyBorder="1" applyFill="1" applyFont="1">
      <alignment horizontal="center" readingOrder="0" vertical="center"/>
    </xf>
    <xf borderId="2" fillId="4" fontId="75" numFmtId="0" xfId="0" applyAlignment="1" applyBorder="1" applyFill="1" applyFont="1">
      <alignment horizontal="center" readingOrder="0" vertical="center"/>
    </xf>
    <xf borderId="1" fillId="3" fontId="76" numFmtId="0" xfId="0" applyAlignment="1" applyBorder="1" applyFill="1" applyFont="1">
      <alignment horizontal="center" readingOrder="0" vertical="center"/>
    </xf>
    <xf borderId="1" fillId="3" fontId="77" numFmtId="0" xfId="0" applyAlignment="1" applyBorder="1" applyFill="1" applyFont="1">
      <alignment horizontal="center" readingOrder="0" vertical="center"/>
    </xf>
    <xf borderId="1" fillId="4" fontId="77" numFmtId="0" xfId="0" applyAlignment="1" applyBorder="1" applyFill="1" applyFont="1">
      <alignment horizontal="center" readingOrder="0" vertical="center"/>
    </xf>
    <xf borderId="1" fillId="4" fontId="75" numFmtId="0" xfId="0" applyAlignment="1" applyBorder="1" applyFill="1" applyFont="1">
      <alignment horizontal="center" readingOrder="0" vertical="center"/>
    </xf>
    <xf borderId="1" fillId="4" fontId="75" numFmtId="9" xfId="0" applyAlignment="1" applyBorder="1" applyFill="1" applyFont="1" applyNumberFormat="1">
      <alignment horizontal="center" readingOrder="0" vertical="center"/>
    </xf>
    <xf borderId="69" fillId="4" fontId="43" numFmtId="0" xfId="0" applyAlignment="1" applyBorder="1" applyFill="1" applyFont="1">
      <alignment horizontal="center" vertical="center"/>
    </xf>
    <xf borderId="2" fillId="4" fontId="77" numFmtId="0" xfId="0" applyAlignment="1" applyBorder="1" applyFill="1" applyFont="1">
      <alignment horizontal="center" readingOrder="0" vertical="center"/>
    </xf>
    <xf borderId="1" fillId="3" fontId="76" numFmtId="0" xfId="0" applyAlignment="1" applyBorder="1" applyFill="1" applyFont="1">
      <alignment horizontal="center" vertical="center"/>
    </xf>
    <xf borderId="1" fillId="3" fontId="75" numFmtId="0" xfId="0" applyAlignment="1" applyBorder="1" applyFill="1" applyFont="1">
      <alignment horizontal="center" readingOrder="0" vertical="center"/>
    </xf>
    <xf borderId="1" fillId="3" fontId="75" numFmtId="9" xfId="0" applyAlignment="1" applyBorder="1" applyFill="1" applyFont="1" applyNumberFormat="1">
      <alignment horizontal="center" readingOrder="0" vertical="center"/>
    </xf>
    <xf borderId="70" fillId="3" fontId="7" numFmtId="0" xfId="0" applyBorder="1" applyFill="1" applyFont="1"/>
    <xf borderId="1" fillId="3" fontId="77" numFmtId="0" xfId="0" applyAlignment="1" applyBorder="1" applyFill="1" applyFont="1">
      <alignment horizontal="center" vertical="center"/>
    </xf>
    <xf borderId="1" fillId="4" fontId="71" numFmtId="0" xfId="0" applyAlignment="1" applyBorder="1" applyFill="1" applyFont="1">
      <alignment horizontal="center" vertical="center"/>
    </xf>
    <xf borderId="1" fillId="4" fontId="72" numFmtId="0" xfId="0" applyAlignment="1" applyBorder="1" applyFill="1" applyFont="1">
      <alignment horizontal="center" vertical="center"/>
    </xf>
    <xf borderId="1" fillId="4" fontId="8" numFmtId="9" xfId="0" applyAlignment="1" applyBorder="1" applyFill="1" applyFont="1" applyNumberFormat="1">
      <alignment horizontal="center" vertical="center"/>
    </xf>
    <xf borderId="1" fillId="4" fontId="8" numFmtId="0" xfId="0" applyAlignment="1" applyBorder="1" applyFill="1" applyFont="1">
      <alignment horizontal="center" vertical="center"/>
    </xf>
    <xf borderId="2" fillId="4" fontId="78" numFmtId="0" xfId="0" applyAlignment="1" applyBorder="1" applyFill="1" applyFont="1">
      <alignment horizontal="center" readingOrder="0" vertical="center"/>
    </xf>
    <xf borderId="2" fillId="4" fontId="74" numFmtId="0" xfId="0" applyAlignment="1" applyBorder="1" applyFill="1" applyFont="1">
      <alignment horizontal="center" readingOrder="0" vertical="center"/>
    </xf>
    <xf borderId="1" fillId="3" fontId="71" numFmtId="0" xfId="0" applyAlignment="1" applyBorder="1" applyFill="1" applyFont="1">
      <alignment horizontal="center" vertical="center"/>
    </xf>
    <xf borderId="1" fillId="3" fontId="72" numFmtId="0" xfId="0" applyAlignment="1" applyBorder="1" applyFill="1" applyFont="1">
      <alignment horizontal="center" vertical="center"/>
    </xf>
    <xf borderId="1" fillId="3" fontId="8" numFmtId="9" xfId="0" applyAlignment="1" applyBorder="1" applyFill="1" applyFont="1" applyNumberFormat="1">
      <alignment horizontal="center" vertical="center"/>
    </xf>
    <xf borderId="2" fillId="4" fontId="61" numFmtId="164" xfId="0" applyAlignment="1" applyBorder="1" applyFill="1" applyFont="1" applyNumberFormat="1">
      <alignment horizontal="center" readingOrder="0" vertical="center"/>
    </xf>
    <xf borderId="2" fillId="4" fontId="61" numFmtId="0" xfId="0" applyAlignment="1" applyBorder="1" applyFill="1" applyFont="1">
      <alignment horizontal="center" readingOrder="0" vertical="center"/>
    </xf>
    <xf borderId="1" fillId="4" fontId="79" numFmtId="0" xfId="0" applyAlignment="1" applyBorder="1" applyFill="1" applyFont="1">
      <alignment horizontal="center" vertical="center"/>
    </xf>
    <xf borderId="1" fillId="4" fontId="61" numFmtId="0" xfId="0" applyAlignment="1" applyBorder="1" applyFill="1" applyFont="1">
      <alignment horizontal="center" readingOrder="0" vertical="center"/>
    </xf>
    <xf borderId="1" fillId="4" fontId="8" numFmtId="9" xfId="0" applyAlignment="1" applyBorder="1" applyFill="1" applyFont="1" applyNumberFormat="1">
      <alignment vertical="center"/>
    </xf>
    <xf borderId="69" fillId="4" fontId="78" numFmtId="0" xfId="0" applyAlignment="1" applyBorder="1" applyFill="1" applyFont="1">
      <alignment horizontal="center" vertical="center"/>
    </xf>
    <xf borderId="2" fillId="4" fontId="80" numFmtId="0" xfId="0" applyAlignment="1" applyBorder="1" applyFill="1" applyFont="1">
      <alignment horizontal="center" vertical="center"/>
    </xf>
    <xf borderId="2" fillId="4" fontId="79" numFmtId="0" xfId="0" applyAlignment="1" applyBorder="1" applyFill="1" applyFont="1">
      <alignment horizontal="center" readingOrder="0" vertical="center"/>
    </xf>
    <xf borderId="1" fillId="3" fontId="8" numFmtId="0" xfId="0" applyAlignment="1" applyBorder="1" applyFill="1" applyFont="1">
      <alignment vertical="center"/>
    </xf>
    <xf borderId="1" fillId="3" fontId="79" numFmtId="0" xfId="0" applyAlignment="1" applyBorder="1" applyFill="1" applyFont="1">
      <alignment horizontal="center" vertical="center"/>
    </xf>
    <xf borderId="1" fillId="3" fontId="61" numFmtId="0" xfId="0" applyAlignment="1" applyBorder="1" applyFill="1" applyFont="1">
      <alignment horizontal="center" vertical="center"/>
    </xf>
    <xf borderId="1" fillId="3" fontId="8" numFmtId="9" xfId="0" applyAlignment="1" applyBorder="1" applyFill="1" applyFont="1" applyNumberFormat="1">
      <alignment vertical="center"/>
    </xf>
    <xf borderId="1" fillId="3" fontId="61" numFmtId="0" xfId="0" applyAlignment="1" applyBorder="1" applyFill="1" applyFont="1">
      <alignment horizontal="center" readingOrder="0" vertical="center"/>
    </xf>
    <xf borderId="1" fillId="4" fontId="79" numFmtId="0" xfId="0" applyAlignment="1" applyBorder="1" applyFill="1" applyFont="1">
      <alignment horizontal="center" readingOrder="0" vertical="center"/>
    </xf>
    <xf borderId="69" fillId="4" fontId="78" numFmtId="0" xfId="0" applyAlignment="1" applyBorder="1" applyFill="1" applyFont="1">
      <alignment horizontal="center" readingOrder="0" vertical="center"/>
    </xf>
    <xf borderId="2" fillId="4" fontId="80" numFmtId="0" xfId="0" applyAlignment="1" applyBorder="1" applyFill="1" applyFont="1">
      <alignment horizontal="center" readingOrder="0" vertical="center"/>
    </xf>
    <xf borderId="2" fillId="14" fontId="1" numFmtId="164" xfId="0" applyAlignment="1" applyBorder="1" applyFill="1" applyFont="1" applyNumberFormat="1">
      <alignment horizontal="center" readingOrder="0" vertical="center"/>
    </xf>
    <xf borderId="2" fillId="14" fontId="8" numFmtId="0" xfId="0" applyAlignment="1" applyBorder="1" applyFill="1" applyFont="1">
      <alignment readingOrder="0" vertical="center"/>
    </xf>
    <xf borderId="2" fillId="14" fontId="1" numFmtId="0" xfId="0" applyAlignment="1" applyBorder="1" applyFill="1" applyFont="1">
      <alignment readingOrder="0" vertical="center"/>
    </xf>
    <xf borderId="1" fillId="14" fontId="46" numFmtId="0" xfId="0" applyAlignment="1" applyBorder="1" applyFill="1" applyFont="1">
      <alignment horizontal="center" vertical="center"/>
    </xf>
    <xf borderId="1" fillId="14" fontId="40" numFmtId="0" xfId="0" applyAlignment="1" applyBorder="1" applyFill="1" applyFont="1">
      <alignment horizontal="center" vertical="center"/>
    </xf>
    <xf borderId="1" fillId="14" fontId="52" numFmtId="0" xfId="0" applyAlignment="1" applyBorder="1" applyFill="1" applyFont="1">
      <alignment horizontal="center" vertical="center"/>
    </xf>
    <xf borderId="1" fillId="14" fontId="1" numFmtId="0" xfId="0" applyAlignment="1" applyBorder="1" applyFill="1" applyFont="1">
      <alignment horizontal="center" readingOrder="0" vertical="center"/>
    </xf>
    <xf borderId="1" fillId="14" fontId="1" numFmtId="9" xfId="0" applyAlignment="1" applyBorder="1" applyFill="1" applyFont="1" applyNumberFormat="1">
      <alignment horizontal="center" vertical="center"/>
    </xf>
    <xf borderId="2" fillId="14" fontId="43" numFmtId="0" xfId="0" applyAlignment="1" applyBorder="1" applyFill="1" applyFont="1">
      <alignment horizontal="center" vertical="center"/>
    </xf>
    <xf borderId="2" fillId="14" fontId="44" numFmtId="0" xfId="0" applyAlignment="1" applyBorder="1" applyFill="1" applyFont="1">
      <alignment horizontal="center" vertical="center"/>
    </xf>
    <xf borderId="2" fillId="14" fontId="52" numFmtId="0" xfId="0" applyAlignment="1" applyBorder="1" applyFill="1" applyFont="1">
      <alignment horizontal="center" readingOrder="0" vertical="center"/>
    </xf>
    <xf borderId="2" fillId="14" fontId="52" numFmtId="0" xfId="0" applyAlignment="1" applyBorder="1" applyFill="1" applyFont="1">
      <alignment horizontal="center" vertical="center"/>
    </xf>
    <xf borderId="2" fillId="14" fontId="45" numFmtId="0" xfId="0" applyAlignment="1" applyBorder="1" applyFill="1" applyFont="1">
      <alignment horizontal="center" vertical="center"/>
    </xf>
    <xf borderId="1" fillId="14" fontId="1" numFmtId="0" xfId="0" applyAlignment="1" applyBorder="1" applyFill="1" applyFont="1">
      <alignment horizontal="center" vertical="center"/>
    </xf>
    <xf borderId="2" fillId="14" fontId="8" numFmtId="0" xfId="0" applyAlignment="1" applyBorder="1" applyFill="1" applyFont="1">
      <alignment horizontal="right" readingOrder="0" vertical="center"/>
    </xf>
    <xf borderId="2" fillId="14" fontId="9" numFmtId="0" xfId="0" applyAlignment="1" applyBorder="1" applyFill="1" applyFont="1">
      <alignment horizontal="center"/>
    </xf>
    <xf borderId="1" fillId="14" fontId="3" numFmtId="0" xfId="0" applyAlignment="1" applyBorder="1" applyFill="1" applyFont="1">
      <alignment horizontal="center" readingOrder="0" vertical="center"/>
    </xf>
    <xf borderId="1" fillId="14" fontId="11" numFmtId="0" xfId="0" applyAlignment="1" applyBorder="1" applyFill="1" applyFont="1">
      <alignment horizontal="center"/>
    </xf>
    <xf borderId="2" fillId="14" fontId="74" numFmtId="0" xfId="0" applyAlignment="1" applyBorder="1" applyFill="1" applyFont="1">
      <alignment horizontal="center" vertical="center"/>
    </xf>
    <xf borderId="2" fillId="14" fontId="8" numFmtId="0" xfId="0" applyAlignment="1" applyBorder="1" applyFill="1" applyFont="1">
      <alignment horizontal="center" readingOrder="0" vertical="center"/>
    </xf>
    <xf borderId="1" fillId="14" fontId="3" numFmtId="0" xfId="0" applyAlignment="1" applyBorder="1" applyFill="1" applyFont="1">
      <alignment horizontal="center" vertical="center"/>
    </xf>
    <xf borderId="2" fillId="14" fontId="8" numFmtId="164" xfId="0" applyAlignment="1" applyBorder="1" applyFill="1" applyFont="1" applyNumberFormat="1">
      <alignment horizontal="center" readingOrder="0" vertical="center"/>
    </xf>
    <xf borderId="1" fillId="14" fontId="8" numFmtId="0" xfId="0" applyAlignment="1" applyBorder="1" applyFill="1" applyFont="1">
      <alignment horizontal="center" vertical="center"/>
    </xf>
    <xf borderId="1" fillId="14" fontId="71" numFmtId="0" xfId="0" applyAlignment="1" applyBorder="1" applyFill="1" applyFont="1">
      <alignment horizontal="center" vertical="center"/>
    </xf>
    <xf borderId="1" fillId="14" fontId="72" numFmtId="0" xfId="0" applyAlignment="1" applyBorder="1" applyFill="1" applyFont="1">
      <alignment horizontal="center" vertical="center"/>
    </xf>
    <xf borderId="1" fillId="14" fontId="11" numFmtId="0" xfId="0" applyAlignment="1" applyBorder="1" applyFill="1" applyFont="1">
      <alignment horizontal="center" readingOrder="0" vertical="center"/>
    </xf>
    <xf borderId="1" fillId="14" fontId="8" numFmtId="9" xfId="0" applyAlignment="1" applyBorder="1" applyFill="1" applyFont="1" applyNumberFormat="1">
      <alignment horizontal="center" vertical="center"/>
    </xf>
    <xf borderId="2" fillId="14" fontId="78" numFmtId="0" xfId="0" applyAlignment="1" applyBorder="1" applyFill="1" applyFont="1">
      <alignment horizontal="center" readingOrder="0" vertical="center"/>
    </xf>
    <xf borderId="2" fillId="14" fontId="74" numFmtId="0" xfId="0" applyAlignment="1" applyBorder="1" applyFill="1" applyFont="1">
      <alignment horizontal="center" readingOrder="0" vertical="center"/>
    </xf>
    <xf borderId="2" fillId="14" fontId="8" numFmtId="0" xfId="0" applyAlignment="1" applyBorder="1" applyFill="1" applyFont="1">
      <alignment horizontal="center" vertical="center"/>
    </xf>
    <xf borderId="2" fillId="14" fontId="61" numFmtId="164" xfId="0" applyAlignment="1" applyBorder="1" applyFill="1" applyFont="1" applyNumberFormat="1">
      <alignment horizontal="center" readingOrder="0" vertical="center"/>
    </xf>
    <xf borderId="2" fillId="14" fontId="61" numFmtId="0" xfId="0" applyAlignment="1" applyBorder="1" applyFill="1" applyFont="1">
      <alignment horizontal="center" readingOrder="0" vertical="center"/>
    </xf>
    <xf borderId="1" fillId="14" fontId="8" numFmtId="0" xfId="0" applyAlignment="1" applyBorder="1" applyFill="1" applyFont="1">
      <alignment vertical="center"/>
    </xf>
    <xf borderId="1" fillId="14" fontId="79" numFmtId="0" xfId="0" applyAlignment="1" applyBorder="1" applyFill="1" applyFont="1">
      <alignment horizontal="center" vertical="center"/>
    </xf>
    <xf borderId="1" fillId="14" fontId="61" numFmtId="0" xfId="0" applyAlignment="1" applyBorder="1" applyFill="1" applyFont="1">
      <alignment horizontal="center" readingOrder="0" vertical="center"/>
    </xf>
    <xf borderId="1" fillId="14" fontId="8" numFmtId="9" xfId="0" applyAlignment="1" applyBorder="1" applyFill="1" applyFont="1" applyNumberFormat="1">
      <alignment vertical="center"/>
    </xf>
    <xf borderId="1" fillId="14" fontId="79" numFmtId="0" xfId="0" applyAlignment="1" applyBorder="1" applyFill="1" applyFont="1">
      <alignment horizontal="center" readingOrder="0" vertical="center"/>
    </xf>
    <xf borderId="69" fillId="14" fontId="78" numFmtId="0" xfId="0" applyAlignment="1" applyBorder="1" applyFill="1" applyFont="1">
      <alignment horizontal="center" readingOrder="0" vertical="center"/>
    </xf>
    <xf borderId="2" fillId="14" fontId="79" numFmtId="0" xfId="0" applyAlignment="1" applyBorder="1" applyFill="1" applyFont="1">
      <alignment horizontal="center" readingOrder="0" vertical="center"/>
    </xf>
    <xf borderId="1" fillId="14" fontId="8" numFmtId="0" xfId="0" applyAlignment="1" applyBorder="1" applyFill="1" applyFont="1">
      <alignment vertical="center"/>
    </xf>
    <xf borderId="71" fillId="3" fontId="7" numFmtId="0" xfId="0" applyBorder="1" applyFill="1" applyFont="1"/>
    <xf borderId="71" fillId="4" fontId="7" numFmtId="0" xfId="0" applyBorder="1" applyFill="1" applyFont="1"/>
    <xf borderId="0" fillId="0" fontId="1" numFmtId="0" xfId="0" applyAlignment="1" applyFont="1">
      <alignment readingOrder="0"/>
    </xf>
    <xf borderId="2" fillId="14" fontId="43" numFmtId="0" xfId="0" applyAlignment="1" applyBorder="1" applyFill="1" applyFont="1">
      <alignment horizontal="center" readingOrder="0" vertical="center"/>
    </xf>
    <xf borderId="1" fillId="0" fontId="1" numFmtId="0" xfId="0" applyAlignment="1" applyBorder="1" applyFont="1">
      <alignment readingOrder="0"/>
    </xf>
    <xf borderId="2" fillId="14" fontId="8" numFmtId="0" xfId="0" applyAlignment="1" applyBorder="1" applyFill="1" applyFont="1">
      <alignment vertical="center"/>
    </xf>
    <xf borderId="1" fillId="0" fontId="1" numFmtId="0" xfId="0" applyBorder="1" applyFont="1"/>
    <xf borderId="2" fillId="0" fontId="1" numFmtId="0" xfId="0" applyAlignment="1" applyBorder="1" applyFont="1">
      <alignment readingOrder="0"/>
    </xf>
    <xf borderId="8" fillId="0" fontId="1" numFmtId="0" xfId="0" applyAlignment="1" applyBorder="1" applyFont="1">
      <alignment readingOrder="0"/>
    </xf>
    <xf borderId="2" fillId="14" fontId="1" numFmtId="0" xfId="0" applyAlignment="1" applyBorder="1" applyFill="1" applyFont="1">
      <alignment vertical="center"/>
    </xf>
    <xf borderId="0" fillId="8" fontId="81" numFmtId="0" xfId="0" applyAlignment="1" applyFill="1" applyFont="1">
      <alignment readingOrder="0" shrinkToFit="0" vertical="bottom" wrapText="0"/>
    </xf>
    <xf borderId="0" fillId="0" fontId="81" numFmtId="0" xfId="0" applyAlignment="1" applyFont="1">
      <alignment horizontal="right" readingOrder="0" shrinkToFit="0" vertical="bottom" wrapText="0"/>
    </xf>
    <xf borderId="0" fillId="0" fontId="81" numFmtId="0" xfId="0" applyAlignment="1" applyFont="1">
      <alignment readingOrder="0" shrinkToFit="0" vertical="bottom" wrapText="0"/>
    </xf>
    <xf borderId="0" fillId="0" fontId="1" numFmtId="165" xfId="0" applyAlignment="1" applyFont="1" applyNumberFormat="1">
      <alignment readingOrder="0"/>
    </xf>
    <xf borderId="1" fillId="3" fontId="8" numFmtId="0" xfId="0" applyAlignment="1" applyBorder="1" applyFill="1" applyFont="1">
      <alignment readingOrder="0" vertical="bottom"/>
    </xf>
    <xf borderId="0" fillId="8" fontId="82" numFmtId="0" xfId="0" applyAlignment="1" applyFill="1" applyFont="1">
      <alignment readingOrder="0" shrinkToFit="0" vertical="bottom" wrapText="0"/>
    </xf>
    <xf borderId="0" fillId="0" fontId="81" numFmtId="164" xfId="0" applyAlignment="1" applyFont="1" applyNumberFormat="1">
      <alignment horizontal="right" readingOrder="0" vertical="bottom"/>
    </xf>
    <xf borderId="0" fillId="0" fontId="81" numFmtId="0" xfId="0" applyAlignment="1" applyFont="1">
      <alignment readingOrder="0" vertical="bottom"/>
    </xf>
    <xf borderId="0" fillId="0" fontId="81" numFmtId="0" xfId="0" applyAlignment="1" applyFont="1">
      <alignment horizontal="right" vertical="bottom"/>
    </xf>
    <xf borderId="0" fillId="4" fontId="1" numFmtId="164" xfId="0" applyAlignment="1" applyFill="1" applyFont="1" applyNumberFormat="1">
      <alignment horizontal="center" readingOrder="0" vertical="center"/>
    </xf>
    <xf borderId="0" fillId="3" fontId="8" numFmtId="0" xfId="0" applyAlignment="1" applyFill="1" applyFont="1">
      <alignment readingOrder="0" vertical="center"/>
    </xf>
    <xf borderId="0" fillId="4" fontId="1" numFmtId="0" xfId="0" applyAlignment="1" applyFill="1" applyFont="1">
      <alignment readingOrder="0" vertical="center"/>
    </xf>
    <xf borderId="0" fillId="3" fontId="46" numFmtId="0" xfId="0" applyAlignment="1" applyFill="1" applyFont="1">
      <alignment horizontal="center" readingOrder="0" vertical="center"/>
    </xf>
    <xf borderId="0" fillId="4" fontId="40" numFmtId="0" xfId="0" applyAlignment="1" applyFill="1" applyFont="1">
      <alignment horizontal="center" readingOrder="0" vertical="center"/>
    </xf>
    <xf borderId="0" fillId="4" fontId="52" numFmtId="0" xfId="0" applyAlignment="1" applyFill="1" applyFont="1">
      <alignment horizontal="center" readingOrder="0" vertical="center"/>
    </xf>
    <xf borderId="0" fillId="4" fontId="1" numFmtId="0" xfId="0" applyAlignment="1" applyFill="1" applyFont="1">
      <alignment horizontal="center" readingOrder="0" vertical="center"/>
    </xf>
    <xf borderId="0" fillId="4" fontId="1" numFmtId="9" xfId="0" applyAlignment="1" applyFill="1" applyFont="1" applyNumberFormat="1">
      <alignment horizontal="center" readingOrder="0" vertical="center"/>
    </xf>
    <xf borderId="0" fillId="4" fontId="43" numFmtId="0" xfId="0" applyAlignment="1" applyFill="1" applyFont="1">
      <alignment horizontal="center" readingOrder="0" vertical="center"/>
    </xf>
    <xf borderId="0" fillId="4" fontId="44" numFmtId="0" xfId="0" applyAlignment="1" applyFill="1" applyFont="1">
      <alignment horizontal="center" readingOrder="0" vertical="center"/>
    </xf>
    <xf borderId="0" fillId="4" fontId="45" numFmtId="0" xfId="0" applyAlignment="1" applyFill="1" applyFont="1">
      <alignment horizontal="center" readingOrder="0" vertical="center"/>
    </xf>
    <xf borderId="0" fillId="3" fontId="1" numFmtId="164" xfId="0" applyAlignment="1" applyFill="1" applyFont="1" applyNumberFormat="1">
      <alignment horizontal="center" readingOrder="0" vertical="center"/>
    </xf>
    <xf borderId="0" fillId="3" fontId="1" numFmtId="0" xfId="0" applyAlignment="1" applyFill="1" applyFont="1">
      <alignment readingOrder="0" vertical="center"/>
    </xf>
    <xf borderId="0" fillId="3" fontId="40" numFmtId="0" xfId="0" applyAlignment="1" applyFill="1" applyFont="1">
      <alignment horizontal="center" readingOrder="0" vertical="center"/>
    </xf>
    <xf borderId="0" fillId="3" fontId="52" numFmtId="0" xfId="0" applyAlignment="1" applyFill="1" applyFont="1">
      <alignment horizontal="center" readingOrder="0" vertical="center"/>
    </xf>
    <xf borderId="0" fillId="3" fontId="1" numFmtId="0" xfId="0" applyAlignment="1" applyFill="1" applyFont="1">
      <alignment horizontal="center" readingOrder="0" vertical="center"/>
    </xf>
    <xf borderId="0" fillId="3" fontId="1" numFmtId="9" xfId="0" applyAlignment="1" applyFill="1" applyFont="1" applyNumberFormat="1">
      <alignment horizontal="center" readingOrder="0" vertical="center"/>
    </xf>
    <xf borderId="0" fillId="3" fontId="43" numFmtId="0" xfId="0" applyAlignment="1" applyFill="1" applyFont="1">
      <alignment horizontal="center" readingOrder="0" vertical="center"/>
    </xf>
    <xf borderId="0" fillId="3" fontId="44" numFmtId="0" xfId="0" applyAlignment="1" applyFill="1" applyFont="1">
      <alignment horizontal="center" readingOrder="0" vertical="center"/>
    </xf>
    <xf borderId="0" fillId="3" fontId="45" numFmtId="0" xfId="0" applyAlignment="1" applyFill="1" applyFont="1">
      <alignment horizontal="center" readingOrder="0" vertical="center"/>
    </xf>
    <xf borderId="1" fillId="4" fontId="1" numFmtId="0" xfId="0" applyBorder="1" applyFill="1" applyFont="1"/>
    <xf borderId="0" fillId="4" fontId="1" numFmtId="0" xfId="0" applyAlignment="1" applyFill="1" applyFont="1">
      <alignment readingOrder="0"/>
    </xf>
    <xf borderId="0" fillId="4" fontId="5" numFmtId="0" xfId="0" applyAlignment="1" applyFill="1" applyFont="1">
      <alignment horizontal="center" readingOrder="0" vertical="center"/>
    </xf>
    <xf borderId="2" fillId="8" fontId="3" numFmtId="0" xfId="0" applyAlignment="1" applyBorder="1" applyFill="1" applyFont="1">
      <alignment horizontal="center" readingOrder="0" vertical="center"/>
    </xf>
    <xf borderId="1" fillId="8" fontId="5" numFmtId="0" xfId="0" applyAlignment="1" applyBorder="1" applyFill="1" applyFont="1">
      <alignment horizontal="center" readingOrder="0" vertical="center"/>
    </xf>
    <xf borderId="40" fillId="0" fontId="3" numFmtId="0" xfId="0" applyAlignment="1" applyBorder="1" applyFont="1">
      <alignment horizontal="center" vertical="center"/>
    </xf>
    <xf borderId="27" fillId="0" fontId="7" numFmtId="0" xfId="0" applyBorder="1" applyFont="1"/>
    <xf borderId="40" fillId="0" fontId="2" numFmtId="0" xfId="0" applyAlignment="1" applyBorder="1" applyFont="1">
      <alignment horizontal="center" readingOrder="0" vertical="center"/>
    </xf>
    <xf borderId="26" fillId="0" fontId="7" numFmtId="0" xfId="0" applyBorder="1" applyFont="1"/>
    <xf borderId="42" fillId="0" fontId="7" numFmtId="0" xfId="0" applyBorder="1" applyFont="1"/>
    <xf borderId="32" fillId="0" fontId="7" numFmtId="0" xfId="0" applyBorder="1" applyFont="1"/>
    <xf borderId="31" fillId="0" fontId="7" numFmtId="0" xfId="0" applyBorder="1" applyFont="1"/>
    <xf borderId="60" fillId="2" fontId="4" numFmtId="0" xfId="0" applyAlignment="1" applyBorder="1" applyFill="1" applyFont="1">
      <alignment horizontal="center" readingOrder="0" vertical="center"/>
    </xf>
    <xf borderId="60" fillId="2" fontId="18" numFmtId="0" xfId="0" applyAlignment="1" applyBorder="1" applyFill="1" applyFont="1">
      <alignment horizontal="center" readingOrder="0" vertical="center"/>
    </xf>
    <xf borderId="60" fillId="2" fontId="83" numFmtId="0" xfId="0" applyAlignment="1" applyBorder="1" applyFill="1" applyFont="1">
      <alignment horizontal="center" readingOrder="0" vertical="center"/>
    </xf>
    <xf borderId="35" fillId="2" fontId="4" numFmtId="0" xfId="0" applyAlignment="1" applyBorder="1" applyFill="1" applyFont="1">
      <alignment horizontal="center" readingOrder="0" vertical="center"/>
    </xf>
    <xf borderId="0" fillId="2" fontId="83" numFmtId="0" xfId="0" applyAlignment="1" applyFill="1" applyFont="1">
      <alignment horizontal="center" readingOrder="0" vertical="center"/>
    </xf>
    <xf borderId="35" fillId="3" fontId="3" numFmtId="164" xfId="0" applyAlignment="1" applyBorder="1" applyFill="1" applyFont="1" applyNumberFormat="1">
      <alignment horizontal="center" readingOrder="0" vertical="center"/>
    </xf>
    <xf borderId="35" fillId="3" fontId="11" numFmtId="0" xfId="0" applyAlignment="1" applyBorder="1" applyFill="1" applyFont="1">
      <alignment horizontal="center" readingOrder="0" vertical="center"/>
    </xf>
    <xf borderId="35" fillId="3" fontId="3" numFmtId="0" xfId="0" applyAlignment="1" applyBorder="1" applyFill="1" applyFont="1">
      <alignment horizontal="center" readingOrder="0" vertical="center"/>
    </xf>
    <xf borderId="60" fillId="3" fontId="6" numFmtId="0" xfId="0" applyAlignment="1" applyBorder="1" applyFill="1" applyFont="1">
      <alignment horizontal="center" readingOrder="0" vertical="center"/>
    </xf>
    <xf borderId="60" fillId="3" fontId="3" numFmtId="0" xfId="0" applyAlignment="1" applyBorder="1" applyFill="1" applyFont="1">
      <alignment horizontal="center" readingOrder="0" vertical="center"/>
    </xf>
    <xf borderId="35" fillId="3" fontId="3" numFmtId="9" xfId="0" applyAlignment="1" applyBorder="1" applyFill="1" applyFont="1" applyNumberFormat="1">
      <alignment horizontal="center" readingOrder="0" vertical="center"/>
    </xf>
    <xf borderId="60" fillId="3" fontId="43" numFmtId="0" xfId="0" applyAlignment="1" applyBorder="1" applyFill="1" applyFont="1">
      <alignment horizontal="center" readingOrder="0" vertical="center"/>
    </xf>
    <xf borderId="35" fillId="3" fontId="6" numFmtId="0" xfId="0" applyAlignment="1" applyBorder="1" applyFill="1" applyFont="1">
      <alignment horizontal="center" readingOrder="0" vertical="center"/>
    </xf>
    <xf borderId="35" fillId="3" fontId="84" numFmtId="0" xfId="0" applyAlignment="1" applyBorder="1" applyFill="1" applyFont="1">
      <alignment horizontal="center" readingOrder="0" vertical="center"/>
    </xf>
    <xf borderId="40" fillId="3" fontId="84" numFmtId="0" xfId="0" applyAlignment="1" applyBorder="1" applyFill="1" applyFont="1">
      <alignment horizontal="center" readingOrder="0" vertical="center"/>
    </xf>
    <xf borderId="1" fillId="3" fontId="8" numFmtId="0" xfId="0" applyAlignment="1" applyBorder="1" applyFill="1" applyFont="1">
      <alignment horizontal="right" vertical="center"/>
    </xf>
    <xf borderId="35" fillId="3" fontId="85" numFmtId="164" xfId="0" applyAlignment="1" applyBorder="1" applyFill="1" applyFont="1" applyNumberFormat="1">
      <alignment horizontal="center" readingOrder="0" vertical="center"/>
    </xf>
    <xf borderId="35" fillId="3" fontId="58" numFmtId="0" xfId="0" applyAlignment="1" applyBorder="1" applyFill="1" applyFont="1">
      <alignment horizontal="center" readingOrder="0" vertical="center"/>
    </xf>
    <xf borderId="35" fillId="3" fontId="85" numFmtId="0" xfId="0" applyAlignment="1" applyBorder="1" applyFill="1" applyFont="1">
      <alignment horizontal="center" readingOrder="0" vertical="center"/>
    </xf>
    <xf borderId="35" fillId="3" fontId="58" numFmtId="0" xfId="0" applyAlignment="1" applyBorder="1" applyFill="1" applyFont="1">
      <alignment horizontal="center" vertical="center"/>
    </xf>
    <xf borderId="60" fillId="3" fontId="86" numFmtId="0" xfId="0" applyAlignment="1" applyBorder="1" applyFill="1" applyFont="1">
      <alignment horizontal="center" readingOrder="0" vertical="center"/>
    </xf>
    <xf borderId="60" fillId="3" fontId="85" numFmtId="0" xfId="0" applyAlignment="1" applyBorder="1" applyFill="1" applyFont="1">
      <alignment horizontal="center" readingOrder="0" vertical="center"/>
    </xf>
    <xf borderId="35" fillId="3" fontId="85" numFmtId="9" xfId="0" applyAlignment="1" applyBorder="1" applyFill="1" applyFont="1" applyNumberFormat="1">
      <alignment horizontal="center" readingOrder="0" vertical="center"/>
    </xf>
    <xf borderId="60" fillId="3" fontId="49" numFmtId="0" xfId="0" applyAlignment="1" applyBorder="1" applyFill="1" applyFont="1">
      <alignment horizontal="center" readingOrder="0" vertical="center"/>
    </xf>
    <xf borderId="35" fillId="3" fontId="86" numFmtId="0" xfId="0" applyAlignment="1" applyBorder="1" applyFill="1" applyFont="1">
      <alignment horizontal="center" readingOrder="0" vertical="center"/>
    </xf>
    <xf borderId="35" fillId="3" fontId="87" numFmtId="0" xfId="0" applyAlignment="1" applyBorder="1" applyFill="1" applyFont="1">
      <alignment horizontal="center" readingOrder="0" vertical="center"/>
    </xf>
    <xf borderId="40" fillId="3" fontId="87" numFmtId="0" xfId="0" applyAlignment="1" applyBorder="1" applyFill="1" applyFont="1">
      <alignment horizontal="center" readingOrder="0" vertical="center"/>
    </xf>
    <xf borderId="60" fillId="3" fontId="11" numFmtId="0" xfId="0" applyAlignment="1" applyBorder="1" applyFill="1" applyFont="1">
      <alignment horizontal="center" vertical="center"/>
    </xf>
    <xf borderId="60" fillId="3" fontId="5" numFmtId="0" xfId="0" applyAlignment="1" applyBorder="1" applyFill="1" applyFont="1">
      <alignment horizontal="center" readingOrder="0" vertical="center"/>
    </xf>
    <xf borderId="60" fillId="3" fontId="3" numFmtId="9" xfId="0" applyAlignment="1" applyBorder="1" applyFill="1" applyFont="1" applyNumberFormat="1">
      <alignment horizontal="center" readingOrder="0" vertical="center"/>
    </xf>
    <xf borderId="35" fillId="3" fontId="30" numFmtId="0" xfId="0" applyAlignment="1" applyBorder="1" applyFill="1" applyFont="1">
      <alignment horizontal="center" readingOrder="0" vertical="center"/>
    </xf>
    <xf borderId="35" fillId="3" fontId="11" numFmtId="0" xfId="0" applyAlignment="1" applyBorder="1" applyFill="1" applyFont="1">
      <alignment horizontal="center" vertical="center"/>
    </xf>
    <xf borderId="35" fillId="3" fontId="30" numFmtId="164" xfId="0" applyAlignment="1" applyBorder="1" applyFill="1" applyFont="1" applyNumberFormat="1">
      <alignment horizontal="center" readingOrder="0" vertical="center"/>
    </xf>
    <xf borderId="35" fillId="3" fontId="88" numFmtId="0" xfId="0" applyAlignment="1" applyBorder="1" applyFill="1" applyFont="1">
      <alignment horizontal="center" readingOrder="0" vertical="center"/>
    </xf>
    <xf borderId="35" fillId="3" fontId="88" numFmtId="0" xfId="0" applyAlignment="1" applyBorder="1" applyFill="1" applyFont="1">
      <alignment horizontal="center" vertical="center"/>
    </xf>
    <xf borderId="60" fillId="3" fontId="30" numFmtId="0" xfId="0" applyAlignment="1" applyBorder="1" applyFill="1" applyFont="1">
      <alignment horizontal="center" readingOrder="0" vertical="center"/>
    </xf>
    <xf borderId="35" fillId="3" fontId="25" numFmtId="0" xfId="0" applyAlignment="1" applyBorder="1" applyFill="1" applyFont="1">
      <alignment horizontal="center" readingOrder="0" vertical="center"/>
    </xf>
    <xf borderId="35" fillId="3" fontId="49" numFmtId="0" xfId="0" applyAlignment="1" applyBorder="1" applyFill="1" applyFont="1">
      <alignment horizontal="center" readingOrder="0" vertical="center"/>
    </xf>
    <xf borderId="40" fillId="3" fontId="57" numFmtId="0" xfId="0" applyAlignment="1" applyBorder="1" applyFill="1" applyFont="1">
      <alignment horizontal="center" readingOrder="0" vertical="center"/>
    </xf>
    <xf borderId="35" fillId="3" fontId="43" numFmtId="0" xfId="0" applyAlignment="1" applyBorder="1" applyFill="1" applyFont="1">
      <alignment horizontal="center" readingOrder="0" vertical="center"/>
    </xf>
    <xf borderId="35" fillId="3" fontId="30" numFmtId="9" xfId="0" applyAlignment="1" applyBorder="1" applyFill="1" applyFont="1" applyNumberFormat="1">
      <alignment horizontal="center" readingOrder="0" vertical="center"/>
    </xf>
    <xf borderId="40" fillId="3" fontId="43" numFmtId="0" xfId="0" applyAlignment="1" applyBorder="1" applyFill="1" applyFont="1">
      <alignment horizontal="center" readingOrder="0" vertical="center"/>
    </xf>
    <xf borderId="35" fillId="3" fontId="11" numFmtId="0" xfId="0" applyAlignment="1" applyBorder="1" applyFill="1" applyFont="1">
      <alignment horizontal="center" vertical="bottom"/>
    </xf>
    <xf borderId="35" fillId="4" fontId="11" numFmtId="9" xfId="0" applyAlignment="1" applyBorder="1" applyFill="1" applyFont="1" applyNumberFormat="1">
      <alignment horizontal="center" vertical="center"/>
    </xf>
    <xf borderId="35" fillId="3" fontId="5" numFmtId="0" xfId="0" applyAlignment="1" applyBorder="1" applyFill="1" applyFont="1">
      <alignment horizontal="center" readingOrder="0" vertical="center"/>
    </xf>
    <xf borderId="40" fillId="3" fontId="5" numFmtId="0" xfId="0" applyAlignment="1" applyBorder="1" applyFill="1" applyFont="1">
      <alignment horizontal="center" readingOrder="0" vertical="center"/>
    </xf>
    <xf borderId="60" fillId="4" fontId="3" numFmtId="164" xfId="0" applyAlignment="1" applyBorder="1" applyFill="1" applyFont="1" applyNumberFormat="1">
      <alignment horizontal="center" readingOrder="0" vertical="center"/>
    </xf>
    <xf borderId="60" fillId="3" fontId="11" numFmtId="0" xfId="0" applyAlignment="1" applyBorder="1" applyFill="1" applyFont="1">
      <alignment horizontal="center" readingOrder="0" vertical="center"/>
    </xf>
    <xf borderId="35" fillId="4" fontId="3" numFmtId="0" xfId="0" applyAlignment="1" applyBorder="1" applyFill="1" applyFont="1">
      <alignment horizontal="center" readingOrder="0" vertical="center"/>
    </xf>
    <xf borderId="60" fillId="4" fontId="5" numFmtId="0" xfId="0" applyAlignment="1" applyBorder="1" applyFill="1" applyFont="1">
      <alignment horizontal="center" readingOrder="0" vertical="center"/>
    </xf>
    <xf borderId="60" fillId="4" fontId="3" numFmtId="0" xfId="0" applyAlignment="1" applyBorder="1" applyFill="1" applyFont="1">
      <alignment horizontal="center" readingOrder="0" vertical="center"/>
    </xf>
    <xf borderId="60" fillId="4" fontId="3" numFmtId="9" xfId="0" applyAlignment="1" applyBorder="1" applyFill="1" applyFont="1" applyNumberFormat="1">
      <alignment horizontal="center" readingOrder="0" vertical="center"/>
    </xf>
    <xf borderId="35" fillId="4" fontId="6" numFmtId="0" xfId="0" applyAlignment="1" applyBorder="1" applyFill="1" applyFont="1">
      <alignment horizontal="center" readingOrder="0" vertical="center"/>
    </xf>
    <xf borderId="35" fillId="4" fontId="5" numFmtId="0" xfId="0" applyAlignment="1" applyBorder="1" applyFill="1" applyFont="1">
      <alignment horizontal="center" readingOrder="0" vertical="center"/>
    </xf>
    <xf borderId="40" fillId="4" fontId="5" numFmtId="0" xfId="0" applyAlignment="1" applyBorder="1" applyFill="1" applyFont="1">
      <alignment horizontal="center" readingOrder="0" vertical="center"/>
    </xf>
    <xf borderId="35" fillId="4" fontId="84" numFmtId="0" xfId="0" applyAlignment="1" applyBorder="1" applyFill="1" applyFont="1">
      <alignment horizontal="center" readingOrder="0" vertical="center"/>
    </xf>
    <xf borderId="60" fillId="3" fontId="3" numFmtId="164" xfId="0" applyAlignment="1" applyBorder="1" applyFill="1" applyFont="1" applyNumberFormat="1">
      <alignment horizontal="center" readingOrder="0" vertical="center"/>
    </xf>
    <xf borderId="60" fillId="3" fontId="44" numFmtId="0" xfId="0" applyAlignment="1" applyBorder="1" applyFill="1" applyFont="1">
      <alignment horizontal="center" readingOrder="0" vertical="center"/>
    </xf>
    <xf borderId="63" fillId="3" fontId="5" numFmtId="0" xfId="0" applyAlignment="1" applyBorder="1" applyFill="1" applyFont="1">
      <alignment horizontal="center" readingOrder="0" vertical="center"/>
    </xf>
    <xf borderId="60" fillId="3" fontId="84" numFmtId="0" xfId="0" applyAlignment="1" applyBorder="1" applyFill="1" applyFont="1">
      <alignment horizontal="center" readingOrder="0" vertical="center"/>
    </xf>
    <xf borderId="60" fillId="3" fontId="3" numFmtId="165" xfId="0" applyAlignment="1" applyBorder="1" applyFill="1" applyFont="1" applyNumberFormat="1">
      <alignment horizontal="center" readingOrder="0" vertical="center"/>
    </xf>
    <xf borderId="35" fillId="3" fontId="1" numFmtId="164" xfId="0" applyAlignment="1" applyBorder="1" applyFill="1" applyFont="1" applyNumberFormat="1">
      <alignment horizontal="center" readingOrder="0" vertical="center"/>
    </xf>
    <xf borderId="35" fillId="3" fontId="8" numFmtId="0" xfId="0" applyAlignment="1" applyBorder="1" applyFill="1" applyFont="1">
      <alignment horizontal="center" readingOrder="0" vertical="center"/>
    </xf>
    <xf borderId="35" fillId="3" fontId="1" numFmtId="0" xfId="0" applyAlignment="1" applyBorder="1" applyFill="1" applyFont="1">
      <alignment horizontal="center" readingOrder="0" vertical="center"/>
    </xf>
    <xf borderId="60" fillId="3" fontId="8" numFmtId="0" xfId="0" applyAlignment="1" applyBorder="1" applyFill="1" applyFont="1">
      <alignment horizontal="center" vertical="center"/>
    </xf>
    <xf borderId="60" fillId="3" fontId="52" numFmtId="0" xfId="0" applyAlignment="1" applyBorder="1" applyFill="1" applyFont="1">
      <alignment horizontal="center" readingOrder="0" vertical="center"/>
    </xf>
    <xf borderId="60" fillId="3" fontId="1" numFmtId="0" xfId="0" applyAlignment="1" applyBorder="1" applyFill="1" applyFont="1">
      <alignment horizontal="center" readingOrder="0" vertical="center"/>
    </xf>
    <xf borderId="35" fillId="3" fontId="40" numFmtId="0" xfId="0" applyAlignment="1" applyBorder="1" applyFill="1" applyFont="1">
      <alignment horizontal="center" readingOrder="0" vertical="center"/>
    </xf>
    <xf borderId="35" fillId="3" fontId="89" numFmtId="0" xfId="0" applyAlignment="1" applyBorder="1" applyFill="1" applyFont="1">
      <alignment horizontal="center" readingOrder="0" vertical="center"/>
    </xf>
    <xf borderId="35" fillId="3" fontId="90" numFmtId="0" xfId="0" applyAlignment="1" applyBorder="1" applyFill="1" applyFont="1">
      <alignment horizontal="center" readingOrder="0" vertical="center"/>
    </xf>
    <xf borderId="35" fillId="3" fontId="45" numFmtId="0" xfId="0" applyAlignment="1" applyBorder="1" applyFill="1" applyFont="1">
      <alignment horizontal="center" readingOrder="0" vertical="center"/>
    </xf>
    <xf borderId="35" fillId="3" fontId="8" numFmtId="0" xfId="0" applyAlignment="1" applyBorder="1" applyFill="1" applyFont="1">
      <alignment horizontal="center" vertical="center"/>
    </xf>
    <xf borderId="35" fillId="3" fontId="52" numFmtId="0" xfId="0" applyAlignment="1" applyBorder="1" applyFill="1" applyFont="1">
      <alignment horizontal="center" readingOrder="0" vertical="center"/>
    </xf>
    <xf borderId="0" fillId="7" fontId="1" numFmtId="164" xfId="0" applyAlignment="1" applyFill="1" applyFont="1" applyNumberFormat="1">
      <alignment horizontal="center" readingOrder="0" vertical="center"/>
    </xf>
    <xf borderId="0" fillId="7" fontId="8" numFmtId="0" xfId="0" applyAlignment="1" applyFill="1" applyFont="1">
      <alignment horizontal="center" readingOrder="0" vertical="center"/>
    </xf>
    <xf borderId="0" fillId="7" fontId="1" numFmtId="0" xfId="0" applyAlignment="1" applyFill="1" applyFont="1">
      <alignment horizontal="center" readingOrder="0" vertical="center"/>
    </xf>
    <xf borderId="0" fillId="7" fontId="8" numFmtId="0" xfId="0" applyAlignment="1" applyFill="1" applyFont="1">
      <alignment horizontal="center" vertical="center"/>
    </xf>
    <xf borderId="0" fillId="7" fontId="52" numFmtId="0" xfId="0" applyAlignment="1" applyFill="1" applyFont="1">
      <alignment horizontal="center" readingOrder="0" vertical="center"/>
    </xf>
    <xf borderId="0" fillId="7" fontId="1" numFmtId="9" xfId="0" applyAlignment="1" applyFill="1" applyFont="1" applyNumberFormat="1">
      <alignment horizontal="center" readingOrder="0" vertical="center"/>
    </xf>
    <xf borderId="0" fillId="7" fontId="40" numFmtId="0" xfId="0" applyAlignment="1" applyFill="1" applyFont="1">
      <alignment horizontal="center" readingOrder="0" vertical="center"/>
    </xf>
    <xf borderId="0" fillId="7" fontId="45" numFmtId="0" xfId="0" applyAlignment="1" applyFill="1" applyFont="1">
      <alignment horizontal="center" readingOrder="0" vertical="center"/>
    </xf>
    <xf borderId="1" fillId="3" fontId="3" numFmtId="9" xfId="0" applyAlignment="1" applyBorder="1" applyFill="1" applyFont="1" applyNumberFormat="1">
      <alignment horizontal="center" readingOrder="0" vertical="center"/>
    </xf>
    <xf borderId="1" fillId="3" fontId="91" numFmtId="0" xfId="0" applyAlignment="1" applyBorder="1" applyFill="1" applyFont="1">
      <alignment horizontal="center" readingOrder="0" vertical="center"/>
    </xf>
    <xf borderId="1" fillId="7" fontId="45" numFmtId="0" xfId="0" applyAlignment="1" applyBorder="1" applyFill="1" applyFont="1">
      <alignment horizontal="center" readingOrder="0" vertical="center"/>
    </xf>
    <xf borderId="0" fillId="3" fontId="8" numFmtId="0" xfId="0" applyAlignment="1" applyFill="1" applyFont="1">
      <alignment horizontal="center" readingOrder="0" vertical="center"/>
    </xf>
    <xf borderId="0" fillId="3" fontId="8" numFmtId="0" xfId="0" applyAlignment="1" applyFill="1" applyFont="1">
      <alignment horizontal="center" vertical="center"/>
    </xf>
    <xf borderId="2" fillId="4" fontId="55" numFmtId="0" xfId="0" applyAlignment="1" applyBorder="1" applyFill="1" applyFont="1">
      <alignment horizontal="center" readingOrder="0" vertical="center"/>
    </xf>
    <xf borderId="2" fillId="3" fontId="8" numFmtId="0" xfId="0" applyAlignment="1" applyBorder="1" applyFill="1" applyFont="1">
      <alignment horizontal="left" readingOrder="0" vertical="center"/>
    </xf>
    <xf borderId="2" fillId="4" fontId="92" numFmtId="0" xfId="0" applyAlignment="1" applyBorder="1" applyFill="1" applyFont="1">
      <alignment horizontal="center" readingOrder="0" vertical="center"/>
    </xf>
    <xf borderId="2" fillId="10" fontId="3" numFmtId="0" xfId="0" applyAlignment="1" applyBorder="1" applyFill="1" applyFont="1">
      <alignment horizontal="center" readingOrder="0" vertical="center"/>
    </xf>
    <xf borderId="2" fillId="3" fontId="8" numFmtId="0" xfId="0" applyAlignment="1" applyBorder="1" applyFill="1" applyFont="1">
      <alignment readingOrder="0" vertical="bottom"/>
    </xf>
    <xf borderId="2" fillId="10" fontId="55" numFmtId="0" xfId="0" applyAlignment="1" applyBorder="1" applyFill="1" applyFont="1">
      <alignment horizontal="center" readingOrder="0" vertical="center"/>
    </xf>
    <xf borderId="2" fillId="3" fontId="93" numFmtId="0" xfId="0" applyAlignment="1" applyBorder="1" applyFill="1" applyFont="1">
      <alignment horizontal="center" readingOrder="0" vertical="center"/>
    </xf>
    <xf borderId="0" fillId="3" fontId="8" numFmtId="0" xfId="0" applyAlignment="1" applyFill="1" applyFont="1">
      <alignment readingOrder="0" vertical="bottom"/>
    </xf>
    <xf borderId="0" fillId="3" fontId="1" numFmtId="0" xfId="0" applyAlignment="1" applyFill="1" applyFont="1">
      <alignment readingOrder="0"/>
    </xf>
    <xf borderId="5" fillId="4" fontId="3" numFmtId="0" xfId="0" applyAlignment="1" applyBorder="1" applyFill="1" applyFont="1">
      <alignment horizontal="center" readingOrder="0" vertical="center"/>
    </xf>
    <xf borderId="0" fillId="4" fontId="3" numFmtId="164" xfId="0" applyAlignment="1" applyFill="1" applyFont="1" applyNumberFormat="1">
      <alignment horizontal="center" readingOrder="0" vertical="center"/>
    </xf>
    <xf borderId="0" fillId="3" fontId="3" numFmtId="164" xfId="0" applyAlignment="1" applyFill="1" applyFont="1" applyNumberFormat="1">
      <alignment horizontal="center" readingOrder="0" vertical="center"/>
    </xf>
    <xf borderId="0" fillId="3" fontId="5" numFmtId="0" xfId="0" applyAlignment="1" applyFill="1" applyFont="1">
      <alignment horizontal="center" readingOrder="0" vertical="center"/>
    </xf>
    <xf borderId="0" fillId="0" fontId="94" numFmtId="164" xfId="0" applyAlignment="1" applyFont="1" applyNumberFormat="1">
      <alignment horizontal="center" vertical="center"/>
    </xf>
    <xf borderId="0" fillId="0" fontId="95" numFmtId="0" xfId="0" applyAlignment="1" applyFont="1">
      <alignment horizontal="left" readingOrder="0" vertical="center"/>
    </xf>
    <xf borderId="0" fillId="0" fontId="96" numFmtId="0" xfId="0" applyAlignment="1" applyFont="1">
      <alignment horizontal="center" vertical="center"/>
    </xf>
    <xf borderId="0" fillId="0" fontId="97" numFmtId="0" xfId="0" applyAlignment="1" applyFont="1">
      <alignment horizontal="center" vertical="center"/>
    </xf>
    <xf borderId="72" fillId="15" fontId="98" numFmtId="0" xfId="0" applyAlignment="1" applyBorder="1" applyFill="1" applyFont="1">
      <alignment horizontal="center" readingOrder="0" vertical="center"/>
    </xf>
    <xf borderId="73" fillId="0" fontId="7" numFmtId="0" xfId="0" applyBorder="1" applyFont="1"/>
    <xf borderId="74" fillId="0" fontId="7" numFmtId="0" xfId="0" applyBorder="1" applyFont="1"/>
    <xf borderId="75" fillId="16" fontId="98" numFmtId="0" xfId="0" applyAlignment="1" applyBorder="1" applyFill="1" applyFont="1">
      <alignment horizontal="center" readingOrder="0" vertical="center"/>
    </xf>
    <xf borderId="75" fillId="0" fontId="7" numFmtId="0" xfId="0" applyBorder="1" applyFont="1"/>
    <xf borderId="76" fillId="0" fontId="7" numFmtId="0" xfId="0" applyBorder="1" applyFont="1"/>
    <xf borderId="77" fillId="15" fontId="98" numFmtId="0" xfId="0" applyAlignment="1" applyBorder="1" applyFill="1" applyFont="1">
      <alignment horizontal="center" readingOrder="0" vertical="center"/>
    </xf>
    <xf borderId="78" fillId="15" fontId="98" numFmtId="0" xfId="0" applyAlignment="1" applyBorder="1" applyFill="1" applyFont="1">
      <alignment horizontal="center" readingOrder="0" vertical="center"/>
    </xf>
    <xf borderId="79" fillId="15" fontId="98" numFmtId="0" xfId="0" applyAlignment="1" applyBorder="1" applyFill="1" applyFont="1">
      <alignment horizontal="center" readingOrder="0" vertical="center"/>
    </xf>
    <xf borderId="76" fillId="16" fontId="98" numFmtId="0" xfId="0" applyAlignment="1" applyBorder="1" applyFill="1" applyFont="1">
      <alignment horizontal="center" readingOrder="0" vertical="center"/>
    </xf>
    <xf borderId="80" fillId="2" fontId="98" numFmtId="0" xfId="0" applyAlignment="1" applyBorder="1" applyFill="1" applyFont="1">
      <alignment horizontal="center" readingOrder="0" vertical="center"/>
    </xf>
    <xf borderId="81" fillId="2" fontId="98" numFmtId="0" xfId="0" applyAlignment="1" applyBorder="1" applyFill="1" applyFont="1">
      <alignment horizontal="center" readingOrder="0" vertical="center"/>
    </xf>
    <xf borderId="82" fillId="2" fontId="99" numFmtId="0" xfId="0" applyAlignment="1" applyBorder="1" applyFill="1" applyFont="1">
      <alignment horizontal="center" readingOrder="0" vertical="center"/>
    </xf>
    <xf borderId="80" fillId="2" fontId="99" numFmtId="0" xfId="0" applyAlignment="1" applyBorder="1" applyFill="1" applyFont="1">
      <alignment horizontal="center" readingOrder="0" vertical="center"/>
    </xf>
    <xf borderId="83" fillId="17" fontId="99" numFmtId="0" xfId="0" applyAlignment="1" applyBorder="1" applyFill="1" applyFont="1">
      <alignment horizontal="center" readingOrder="0" vertical="center"/>
    </xf>
    <xf borderId="76" fillId="2" fontId="98" numFmtId="0" xfId="0" applyAlignment="1" applyBorder="1" applyFill="1" applyFont="1">
      <alignment horizontal="center" readingOrder="0" vertical="center"/>
    </xf>
    <xf borderId="81" fillId="17" fontId="99" numFmtId="0" xfId="0" applyAlignment="1" applyBorder="1" applyFill="1" applyFont="1">
      <alignment horizontal="center" readingOrder="0" vertical="center"/>
    </xf>
    <xf borderId="84" fillId="7" fontId="98" numFmtId="0" xfId="0" applyAlignment="1" applyBorder="1" applyFill="1" applyFont="1">
      <alignment horizontal="center" readingOrder="0" vertical="center"/>
    </xf>
    <xf borderId="80" fillId="18" fontId="100" numFmtId="164" xfId="0" applyAlignment="1" applyBorder="1" applyFill="1" applyFont="1" applyNumberFormat="1">
      <alignment horizontal="center" readingOrder="0" vertical="center"/>
    </xf>
    <xf borderId="80" fillId="18" fontId="97" numFmtId="0" xfId="0" applyAlignment="1" applyBorder="1" applyFill="1" applyFont="1">
      <alignment horizontal="center" readingOrder="0" vertical="center"/>
    </xf>
    <xf borderId="80" fillId="18" fontId="97" numFmtId="0" xfId="0" applyAlignment="1" applyBorder="1" applyFill="1" applyFont="1">
      <alignment horizontal="center" vertical="center"/>
    </xf>
    <xf borderId="80" fillId="18" fontId="97" numFmtId="0" xfId="0" applyAlignment="1" applyBorder="1" applyFill="1" applyFont="1">
      <alignment horizontal="left" readingOrder="0" vertical="center"/>
    </xf>
    <xf borderId="80" fillId="18" fontId="97" numFmtId="0" xfId="0" applyAlignment="1" applyBorder="1" applyFill="1" applyFont="1">
      <alignment horizontal="center" readingOrder="0" vertical="center"/>
    </xf>
    <xf borderId="85" fillId="18" fontId="97" numFmtId="0" xfId="0" applyAlignment="1" applyBorder="1" applyFill="1" applyFont="1">
      <alignment horizontal="center" readingOrder="0" vertical="center"/>
    </xf>
    <xf borderId="86" fillId="18" fontId="100" numFmtId="164" xfId="0" applyAlignment="1" applyBorder="1" applyFill="1" applyFont="1" applyNumberFormat="1">
      <alignment horizontal="center" readingOrder="0" vertical="center"/>
    </xf>
    <xf borderId="86" fillId="18" fontId="97" numFmtId="0" xfId="0" applyAlignment="1" applyBorder="1" applyFill="1" applyFont="1">
      <alignment horizontal="center" readingOrder="0" vertical="center"/>
    </xf>
    <xf borderId="86" fillId="18" fontId="97" numFmtId="0" xfId="0" applyAlignment="1" applyBorder="1" applyFill="1" applyFont="1">
      <alignment horizontal="center" vertical="center"/>
    </xf>
    <xf borderId="86" fillId="18" fontId="97" numFmtId="0" xfId="0" applyAlignment="1" applyBorder="1" applyFill="1" applyFont="1">
      <alignment horizontal="left" readingOrder="0" vertical="center"/>
    </xf>
    <xf borderId="87" fillId="18" fontId="100" numFmtId="164" xfId="0" applyAlignment="1" applyBorder="1" applyFill="1" applyFont="1" applyNumberFormat="1">
      <alignment horizontal="center" readingOrder="0" vertical="center"/>
    </xf>
    <xf borderId="87" fillId="18" fontId="97" numFmtId="0" xfId="0" applyAlignment="1" applyBorder="1" applyFill="1" applyFont="1">
      <alignment horizontal="center" readingOrder="0" vertical="center"/>
    </xf>
    <xf borderId="88" fillId="18" fontId="97" numFmtId="0" xfId="0" applyAlignment="1" applyBorder="1" applyFill="1" applyFont="1">
      <alignment horizontal="center" readingOrder="0" vertical="center"/>
    </xf>
    <xf borderId="88" fillId="18" fontId="97" numFmtId="0" xfId="0" applyAlignment="1" applyBorder="1" applyFill="1" applyFont="1">
      <alignment horizontal="center" vertical="center"/>
    </xf>
    <xf borderId="87" fillId="18" fontId="97" numFmtId="0" xfId="0" applyAlignment="1" applyBorder="1" applyFill="1" applyFont="1">
      <alignment horizontal="left" readingOrder="0" vertical="center"/>
    </xf>
    <xf borderId="89" fillId="19" fontId="7" numFmtId="0" xfId="0" applyBorder="1" applyFill="1" applyFont="1"/>
    <xf borderId="90" fillId="18" fontId="97" numFmtId="0" xfId="0" applyAlignment="1" applyBorder="1" applyFill="1" applyFont="1">
      <alignment horizontal="center" readingOrder="0" vertical="center"/>
    </xf>
    <xf borderId="90" fillId="18" fontId="97" numFmtId="0" xfId="0" applyAlignment="1" applyBorder="1" applyFill="1" applyFont="1">
      <alignment horizontal="center" vertical="center"/>
    </xf>
    <xf borderId="87" fillId="18" fontId="97" numFmtId="0" xfId="0" applyAlignment="1" applyBorder="1" applyFill="1" applyFont="1">
      <alignment horizontal="center" vertical="center"/>
    </xf>
    <xf borderId="91" fillId="18" fontId="97" numFmtId="0" xfId="0" applyAlignment="1" applyBorder="1" applyFill="1" applyFont="1">
      <alignment horizontal="center" readingOrder="0" vertical="center"/>
    </xf>
    <xf borderId="92" fillId="19" fontId="7" numFmtId="0" xfId="0" applyBorder="1" applyFill="1" applyFont="1"/>
    <xf borderId="93" fillId="19" fontId="7" numFmtId="0" xfId="0" applyBorder="1" applyFill="1" applyFont="1"/>
    <xf borderId="89" fillId="3" fontId="7" numFmtId="0" xfId="0" applyBorder="1" applyFill="1" applyFont="1"/>
    <xf borderId="94" fillId="3" fontId="7" numFmtId="0" xfId="0" applyBorder="1" applyFill="1" applyFont="1"/>
    <xf borderId="92" fillId="18" fontId="100" numFmtId="164" xfId="0" applyAlignment="1" applyBorder="1" applyFill="1" applyFont="1" applyNumberFormat="1">
      <alignment horizontal="center" readingOrder="0" vertical="center"/>
    </xf>
    <xf borderId="92" fillId="18" fontId="97" numFmtId="0" xfId="0" applyAlignment="1" applyBorder="1" applyFill="1" applyFont="1">
      <alignment horizontal="left" readingOrder="0" vertical="center"/>
    </xf>
    <xf borderId="85" fillId="18" fontId="97" numFmtId="0" xfId="0" applyAlignment="1" applyBorder="1" applyFill="1" applyFont="1">
      <alignment horizontal="center" readingOrder="0" vertical="center"/>
    </xf>
    <xf borderId="92" fillId="3" fontId="7" numFmtId="0" xfId="0" applyBorder="1" applyFill="1" applyFont="1"/>
    <xf borderId="93" fillId="3" fontId="7" numFmtId="0" xfId="0" applyBorder="1" applyFill="1" applyFont="1"/>
    <xf borderId="94" fillId="19" fontId="7" numFmtId="0" xfId="0" applyBorder="1" applyFill="1" applyFont="1"/>
    <xf borderId="76" fillId="18" fontId="97" numFmtId="0" xfId="0" applyAlignment="1" applyBorder="1" applyFill="1" applyFont="1">
      <alignment horizontal="center" readingOrder="0" vertical="center"/>
    </xf>
    <xf borderId="85" fillId="19" fontId="7" numFmtId="0" xfId="0" applyBorder="1" applyFill="1" applyFont="1"/>
    <xf borderId="95" fillId="18" fontId="97" numFmtId="0" xfId="0" applyAlignment="1" applyBorder="1" applyFill="1" applyFont="1">
      <alignment horizontal="center" readingOrder="0" vertical="center"/>
    </xf>
    <xf borderId="92" fillId="18" fontId="97" numFmtId="0" xfId="0" applyAlignment="1" applyBorder="1" applyFill="1" applyFont="1">
      <alignment horizontal="center" readingOrder="0" vertical="center"/>
    </xf>
    <xf borderId="96" fillId="18" fontId="97" numFmtId="0" xfId="0" applyAlignment="1" applyBorder="1" applyFill="1" applyFont="1">
      <alignment horizontal="center" readingOrder="0" vertical="center"/>
    </xf>
    <xf borderId="8" fillId="18" fontId="97" numFmtId="0" xfId="0" applyAlignment="1" applyBorder="1" applyFill="1" applyFont="1">
      <alignment horizontal="center" readingOrder="0" vertical="center"/>
    </xf>
    <xf borderId="81" fillId="18" fontId="97" numFmtId="0" xfId="0" applyAlignment="1" applyBorder="1" applyFill="1" applyFont="1">
      <alignment horizontal="center" readingOrder="0" vertical="center"/>
    </xf>
    <xf borderId="12" fillId="19" fontId="7" numFmtId="0" xfId="0" applyBorder="1" applyFill="1" applyFont="1"/>
    <xf borderId="85" fillId="18" fontId="97" numFmtId="0" xfId="0" applyAlignment="1" applyBorder="1" applyFill="1" applyFont="1">
      <alignment horizontal="center" vertical="center"/>
    </xf>
    <xf borderId="86" fillId="3" fontId="96" numFmtId="0" xfId="0" applyAlignment="1" applyBorder="1" applyFill="1" applyFont="1">
      <alignment horizontal="center"/>
    </xf>
    <xf borderId="86" fillId="3" fontId="96" numFmtId="0" xfId="0" applyAlignment="1" applyBorder="1" applyFill="1" applyFont="1">
      <alignment horizontal="center" vertical="bottom"/>
    </xf>
    <xf borderId="95" fillId="18" fontId="97" numFmtId="0" xfId="0" applyAlignment="1" applyBorder="1" applyFill="1" applyFont="1">
      <alignment horizontal="left" readingOrder="0" vertical="center"/>
    </xf>
    <xf borderId="97" fillId="18" fontId="97" numFmtId="0" xfId="0" applyAlignment="1" applyBorder="1" applyFill="1" applyFont="1">
      <alignment horizontal="center" readingOrder="0" vertical="center"/>
    </xf>
    <xf borderId="98" fillId="19" fontId="7" numFmtId="0" xfId="0" applyBorder="1" applyFill="1" applyFont="1"/>
    <xf borderId="89" fillId="18" fontId="100" numFmtId="164" xfId="0" applyAlignment="1" applyBorder="1" applyFill="1" applyFont="1" applyNumberFormat="1">
      <alignment horizontal="center" readingOrder="0" vertical="center"/>
    </xf>
    <xf borderId="89" fillId="18" fontId="97" numFmtId="0" xfId="0" applyAlignment="1" applyBorder="1" applyFill="1" applyFont="1">
      <alignment horizontal="center" readingOrder="0" vertical="center"/>
    </xf>
    <xf borderId="94" fillId="18" fontId="97" numFmtId="0" xfId="0" applyAlignment="1" applyBorder="1" applyFill="1" applyFont="1">
      <alignment horizontal="center" readingOrder="0" vertical="center"/>
    </xf>
    <xf borderId="89" fillId="18" fontId="97" numFmtId="0" xfId="0" applyAlignment="1" applyBorder="1" applyFill="1" applyFont="1">
      <alignment horizontal="center" vertical="center"/>
    </xf>
    <xf borderId="98" fillId="18" fontId="97" numFmtId="0" xfId="0" applyAlignment="1" applyBorder="1" applyFill="1" applyFont="1">
      <alignment horizontal="left" readingOrder="0" vertical="center"/>
    </xf>
    <xf borderId="75" fillId="0" fontId="1" numFmtId="0" xfId="0" applyBorder="1" applyFont="1"/>
    <xf borderId="75" fillId="0" fontId="97" numFmtId="0" xfId="0" applyAlignment="1" applyBorder="1" applyFont="1">
      <alignment horizontal="center" vertical="center"/>
    </xf>
    <xf borderId="99" fillId="18" fontId="97" numFmtId="0" xfId="0" applyAlignment="1" applyBorder="1" applyFill="1" applyFont="1">
      <alignment horizontal="center" readingOrder="0" vertical="center"/>
    </xf>
    <xf borderId="85" fillId="3" fontId="7" numFmtId="0" xfId="0" applyBorder="1" applyFill="1" applyFont="1"/>
    <xf borderId="76" fillId="18" fontId="97" numFmtId="0" xfId="0" applyAlignment="1" applyBorder="1" applyFill="1" applyFont="1">
      <alignment horizontal="left" readingOrder="0" vertical="center"/>
    </xf>
    <xf borderId="7" fillId="0" fontId="101" numFmtId="0" xfId="0" applyAlignment="1" applyBorder="1" applyFont="1">
      <alignment horizontal="center" readingOrder="0" vertical="center"/>
    </xf>
    <xf borderId="1" fillId="3" fontId="11" numFmtId="0" xfId="0" applyAlignment="1" applyBorder="1" applyFill="1" applyFont="1">
      <alignment readingOrder="0" vertical="center"/>
    </xf>
    <xf borderId="2" fillId="3" fontId="85" numFmtId="0" xfId="0" applyAlignment="1" applyBorder="1" applyFill="1" applyFont="1">
      <alignment horizontal="center" readingOrder="0" vertical="center"/>
    </xf>
    <xf borderId="2" fillId="3" fontId="84" numFmtId="0" xfId="0" applyAlignment="1" applyBorder="1" applyFill="1" applyFont="1">
      <alignment horizontal="center" readingOrder="0" vertical="center"/>
    </xf>
    <xf borderId="2" fillId="3" fontId="11" numFmtId="0" xfId="0" applyAlignment="1" applyBorder="1" applyFill="1" applyFont="1">
      <alignment readingOrder="0" vertical="center"/>
    </xf>
    <xf borderId="4" fillId="3" fontId="1" numFmtId="0" xfId="0" applyAlignment="1" applyBorder="1" applyFill="1" applyFont="1">
      <alignment readingOrder="0" vertical="center"/>
    </xf>
    <xf borderId="4" fillId="3" fontId="8" numFmtId="0" xfId="0" applyAlignment="1" applyBorder="1" applyFill="1" applyFont="1">
      <alignment horizontal="center" readingOrder="0" vertical="center"/>
    </xf>
    <xf borderId="1" fillId="3" fontId="47" numFmtId="0" xfId="0" applyAlignment="1" applyBorder="1" applyFill="1" applyFont="1">
      <alignment horizontal="center" readingOrder="0" vertical="center"/>
    </xf>
    <xf borderId="1" fillId="3" fontId="41" numFmtId="0" xfId="0" applyAlignment="1" applyBorder="1" applyFill="1" applyFont="1">
      <alignment horizontal="center" readingOrder="0" vertical="center"/>
    </xf>
    <xf borderId="4" fillId="3" fontId="45" numFmtId="0" xfId="0" applyAlignment="1" applyBorder="1" applyFill="1" applyFont="1">
      <alignment horizontal="center" readingOrder="0" vertical="center"/>
    </xf>
    <xf borderId="1" fillId="20" fontId="3" numFmtId="164" xfId="0" applyAlignment="1" applyBorder="1" applyFill="1" applyFont="1" applyNumberFormat="1">
      <alignment horizontal="center" readingOrder="0" vertical="center"/>
    </xf>
    <xf borderId="1" fillId="20" fontId="11" numFmtId="0" xfId="0" applyAlignment="1" applyBorder="1" applyFill="1" applyFont="1">
      <alignment readingOrder="0" vertical="center"/>
    </xf>
    <xf borderId="1" fillId="20" fontId="53" numFmtId="0" xfId="0" applyAlignment="1" applyBorder="1" applyFill="1" applyFont="1">
      <alignment readingOrder="0"/>
    </xf>
    <xf borderId="1" fillId="20" fontId="54" numFmtId="0" xfId="0" applyAlignment="1" applyBorder="1" applyFill="1" applyFont="1">
      <alignment horizontal="center" vertical="bottom"/>
    </xf>
    <xf borderId="1" fillId="20" fontId="40" numFmtId="0" xfId="0" applyAlignment="1" applyBorder="1" applyFill="1" applyFont="1">
      <alignment horizontal="center" readingOrder="0" vertical="center"/>
    </xf>
    <xf borderId="1" fillId="20" fontId="42" numFmtId="0" xfId="0" applyAlignment="1" applyBorder="1" applyFill="1" applyFont="1">
      <alignment horizontal="center" readingOrder="0" vertical="center"/>
    </xf>
    <xf borderId="1" fillId="20" fontId="53" numFmtId="0" xfId="0" applyAlignment="1" applyBorder="1" applyFill="1" applyFont="1">
      <alignment horizontal="center" readingOrder="0" vertical="center"/>
    </xf>
    <xf borderId="1" fillId="20" fontId="85" numFmtId="0" xfId="0" applyAlignment="1" applyBorder="1" applyFill="1" applyFont="1">
      <alignment horizontal="center" readingOrder="0" vertical="center"/>
    </xf>
    <xf borderId="3" fillId="20" fontId="48" numFmtId="0" xfId="0" applyAlignment="1" applyBorder="1" applyFill="1" applyFont="1">
      <alignment horizontal="center" readingOrder="0" vertical="center"/>
    </xf>
    <xf borderId="1" fillId="20" fontId="84" numFmtId="0" xfId="0" applyAlignment="1" applyBorder="1" applyFill="1" applyFont="1">
      <alignment horizontal="center" readingOrder="0" vertical="center"/>
    </xf>
    <xf borderId="1" fillId="4" fontId="85" numFmtId="0" xfId="0" applyAlignment="1" applyBorder="1" applyFill="1" applyFont="1">
      <alignment horizontal="center" readingOrder="0" vertical="center"/>
    </xf>
    <xf borderId="3" fillId="4" fontId="48" numFmtId="0" xfId="0" applyAlignment="1" applyBorder="1" applyFill="1" applyFont="1">
      <alignment horizontal="center" readingOrder="0" vertical="center"/>
    </xf>
    <xf borderId="1" fillId="4" fontId="84" numFmtId="0" xfId="0" applyAlignment="1" applyBorder="1" applyFill="1" applyFont="1">
      <alignment horizontal="center" readingOrder="0" vertical="center"/>
    </xf>
    <xf borderId="2" fillId="3" fontId="102" numFmtId="0" xfId="0" applyAlignment="1" applyBorder="1" applyFill="1" applyFont="1">
      <alignment readingOrder="0" vertical="center"/>
    </xf>
    <xf borderId="4" fillId="3" fontId="42" numFmtId="0" xfId="0" applyAlignment="1" applyBorder="1" applyFill="1" applyFont="1">
      <alignment horizontal="center" readingOrder="0" vertical="center"/>
    </xf>
    <xf borderId="2" fillId="3" fontId="103" numFmtId="0" xfId="0" applyAlignment="1" applyBorder="1" applyFill="1" applyFont="1">
      <alignment horizontal="center" readingOrder="0" vertical="center"/>
    </xf>
    <xf borderId="2" fillId="3" fontId="104" numFmtId="0" xfId="0" applyAlignment="1" applyBorder="1" applyFill="1" applyFont="1">
      <alignment horizontal="center" readingOrder="0" vertical="center"/>
    </xf>
    <xf borderId="4" fillId="3" fontId="8" numFmtId="0" xfId="0" applyAlignment="1" applyBorder="1" applyFill="1" applyFont="1">
      <alignment horizontal="center" vertical="center"/>
    </xf>
    <xf borderId="2" fillId="3" fontId="105" numFmtId="0" xfId="0" applyAlignment="1" applyBorder="1" applyFill="1" applyFont="1">
      <alignment horizontal="center" readingOrder="0" vertical="center"/>
    </xf>
    <xf borderId="4" fillId="3" fontId="105" numFmtId="0" xfId="0" applyAlignment="1" applyBorder="1" applyFill="1" applyFont="1">
      <alignment horizontal="center" readingOrder="0" vertical="center"/>
    </xf>
    <xf borderId="3" fillId="3" fontId="8" numFmtId="0" xfId="0" applyAlignment="1" applyBorder="1" applyFill="1" applyFont="1">
      <alignment horizontal="center" vertical="center"/>
    </xf>
    <xf borderId="4" fillId="3" fontId="106" numFmtId="0" xfId="0" applyAlignment="1" applyBorder="1" applyFill="1" applyFont="1">
      <alignment readingOrder="0" vertical="center"/>
    </xf>
    <xf borderId="3" fillId="3" fontId="46" numFmtId="0" xfId="0" applyAlignment="1" applyBorder="1" applyFill="1" applyFont="1">
      <alignment horizontal="center" vertical="center"/>
    </xf>
    <xf borderId="4" fillId="3" fontId="46" numFmtId="0" xfId="0" applyAlignment="1" applyBorder="1" applyFill="1" applyFont="1">
      <alignment horizontal="center" vertical="center"/>
    </xf>
    <xf borderId="4" fillId="3" fontId="60" numFmtId="0" xfId="0" applyAlignment="1" applyBorder="1" applyFill="1" applyFont="1">
      <alignment horizontal="center" readingOrder="0" vertical="center"/>
    </xf>
    <xf borderId="4" fillId="3" fontId="1" numFmtId="164" xfId="0" applyAlignment="1" applyBorder="1" applyFill="1" applyFont="1" applyNumberFormat="1">
      <alignment horizontal="center" readingOrder="0" vertical="center"/>
    </xf>
    <xf borderId="2" fillId="3" fontId="107" numFmtId="0" xfId="0" applyAlignment="1" applyBorder="1" applyFill="1" applyFont="1">
      <alignment horizontal="center" readingOrder="0" vertical="center"/>
    </xf>
    <xf borderId="2" fillId="3" fontId="90" numFmtId="0" xfId="0" applyAlignment="1" applyBorder="1" applyFill="1" applyFont="1">
      <alignment horizontal="center" readingOrder="0" vertical="center"/>
    </xf>
    <xf borderId="4" fillId="3" fontId="108" numFmtId="0" xfId="0" applyAlignment="1" applyBorder="1" applyFill="1" applyFont="1">
      <alignment readingOrder="0" vertical="center"/>
    </xf>
    <xf borderId="4" fillId="3" fontId="74" numFmtId="0" xfId="0" applyAlignment="1" applyBorder="1" applyFill="1" applyFont="1">
      <alignment readingOrder="0" vertical="center"/>
    </xf>
    <xf borderId="4" fillId="3" fontId="54" numFmtId="0" xfId="0" applyAlignment="1" applyBorder="1" applyFill="1" applyFont="1">
      <alignment readingOrder="0" vertical="center"/>
    </xf>
    <xf borderId="4" fillId="3" fontId="46" numFmtId="0" xfId="0" applyAlignment="1" applyBorder="1" applyFill="1" applyFont="1">
      <alignment horizontal="center" readingOrder="0" vertical="center"/>
    </xf>
    <xf borderId="1" fillId="3" fontId="85" numFmtId="0" xfId="0" applyAlignment="1" applyBorder="1" applyFill="1" applyFont="1">
      <alignment horizontal="center" readingOrder="0" vertical="center"/>
    </xf>
    <xf borderId="4" fillId="3" fontId="52" numFmtId="0" xfId="0" applyAlignment="1" applyBorder="1" applyFill="1" applyFont="1">
      <alignment horizontal="center" readingOrder="0" vertical="center"/>
    </xf>
    <xf borderId="4" fillId="4" fontId="1" numFmtId="164" xfId="0" applyAlignment="1" applyBorder="1" applyFill="1" applyFont="1" applyNumberFormat="1">
      <alignment horizontal="center" readingOrder="0" vertical="center"/>
    </xf>
    <xf borderId="4" fillId="4" fontId="52" numFmtId="0" xfId="0" applyAlignment="1" applyBorder="1" applyFill="1" applyFont="1">
      <alignment horizontal="center" readingOrder="0" vertical="center"/>
    </xf>
    <xf borderId="3" fillId="4" fontId="1" numFmtId="164" xfId="0" applyAlignment="1" applyBorder="1" applyFill="1" applyFont="1" applyNumberFormat="1">
      <alignment horizontal="center" readingOrder="0" vertical="center"/>
    </xf>
    <xf borderId="3" fillId="3" fontId="54" numFmtId="0" xfId="0" applyAlignment="1" applyBorder="1" applyFill="1" applyFont="1">
      <alignment readingOrder="0" vertical="center"/>
    </xf>
    <xf borderId="3" fillId="4" fontId="1" numFmtId="0" xfId="0" applyAlignment="1" applyBorder="1" applyFill="1" applyFont="1">
      <alignment readingOrder="0" vertical="center"/>
    </xf>
    <xf borderId="3" fillId="3" fontId="46" numFmtId="0" xfId="0" applyAlignment="1" applyBorder="1" applyFill="1" applyFont="1">
      <alignment horizontal="center" readingOrder="0" vertical="center"/>
    </xf>
    <xf borderId="3" fillId="4" fontId="52" numFmtId="0" xfId="0" applyAlignment="1" applyBorder="1" applyFill="1" applyFont="1">
      <alignment horizontal="center" readingOrder="0" vertical="center"/>
    </xf>
    <xf borderId="7" fillId="0" fontId="109" numFmtId="0" xfId="0" applyBorder="1" applyFont="1"/>
    <xf borderId="0" fillId="0" fontId="109" numFmtId="0" xfId="0" applyFont="1"/>
    <xf borderId="8" fillId="0" fontId="110" numFmtId="0" xfId="0" applyAlignment="1" applyBorder="1" applyFont="1">
      <alignment horizontal="center" readingOrder="0" vertical="center"/>
    </xf>
    <xf borderId="9" fillId="0" fontId="110" numFmtId="0" xfId="0" applyAlignment="1" applyBorder="1" applyFont="1">
      <alignment horizontal="center" readingOrder="0" vertical="center"/>
    </xf>
    <xf borderId="0" fillId="0" fontId="110" numFmtId="0" xfId="0" applyAlignment="1" applyFont="1">
      <alignment horizontal="center" readingOrder="0" vertical="center"/>
    </xf>
    <xf borderId="5" fillId="0" fontId="110" numFmtId="0" xfId="0" applyAlignment="1" applyBorder="1" applyFont="1">
      <alignment horizontal="center" readingOrder="0" vertical="center"/>
    </xf>
    <xf borderId="0" fillId="0" fontId="109" numFmtId="0" xfId="0" applyAlignment="1" applyFont="1">
      <alignment horizontal="center" vertical="center"/>
    </xf>
    <xf borderId="10" fillId="0" fontId="110" numFmtId="0" xfId="0" applyAlignment="1" applyBorder="1" applyFont="1">
      <alignment horizontal="center" readingOrder="0" vertical="center"/>
    </xf>
    <xf borderId="7" fillId="0" fontId="110" numFmtId="0" xfId="0" applyAlignment="1" applyBorder="1" applyFont="1">
      <alignment horizontal="center" readingOrder="0" vertical="center"/>
    </xf>
    <xf borderId="3" fillId="21" fontId="109" numFmtId="0" xfId="0" applyAlignment="1" applyBorder="1" applyFill="1" applyFont="1">
      <alignment horizontal="center" vertical="center"/>
    </xf>
    <xf borderId="3" fillId="21" fontId="109" numFmtId="0" xfId="0" applyBorder="1" applyFill="1" applyFont="1"/>
    <xf borderId="11" fillId="21" fontId="110" numFmtId="0" xfId="0" applyAlignment="1" applyBorder="1" applyFill="1" applyFont="1">
      <alignment horizontal="center" readingOrder="0" vertical="center"/>
    </xf>
    <xf borderId="12" fillId="21" fontId="110" numFmtId="0" xfId="0" applyAlignment="1" applyBorder="1" applyFill="1" applyFont="1">
      <alignment horizontal="center" readingOrder="0" vertical="center"/>
    </xf>
    <xf borderId="6" fillId="21" fontId="110" numFmtId="0" xfId="0" applyAlignment="1" applyBorder="1" applyFill="1" applyFont="1">
      <alignment horizontal="center" readingOrder="0" vertical="center"/>
    </xf>
    <xf borderId="2" fillId="2" fontId="111" numFmtId="0" xfId="0" applyAlignment="1" applyBorder="1" applyFill="1" applyFont="1">
      <alignment horizontal="left" readingOrder="0" vertical="center"/>
    </xf>
    <xf borderId="2" fillId="2" fontId="112" numFmtId="0" xfId="0" applyAlignment="1" applyBorder="1" applyFill="1" applyFont="1">
      <alignment horizontal="left" readingOrder="0" shrinkToFit="0" vertical="center" wrapText="1"/>
    </xf>
    <xf borderId="2" fillId="2" fontId="112" numFmtId="0" xfId="0" applyAlignment="1" applyBorder="1" applyFill="1" applyFont="1">
      <alignment horizontal="left" readingOrder="0" vertical="center"/>
    </xf>
    <xf borderId="13" fillId="3" fontId="109" numFmtId="164" xfId="0" applyAlignment="1" applyBorder="1" applyFill="1" applyFont="1" applyNumberFormat="1">
      <alignment horizontal="center" readingOrder="0" vertical="center"/>
    </xf>
    <xf borderId="69" fillId="3" fontId="113" numFmtId="0" xfId="0" applyAlignment="1" applyBorder="1" applyFill="1" applyFont="1">
      <alignment horizontal="center" readingOrder="0" vertical="center"/>
    </xf>
    <xf borderId="15" fillId="3" fontId="109" numFmtId="0" xfId="0" applyAlignment="1" applyBorder="1" applyFill="1" applyFont="1">
      <alignment horizontal="center" readingOrder="0" vertical="center"/>
    </xf>
    <xf borderId="69" fillId="3" fontId="114" numFmtId="0" xfId="0" applyAlignment="1" applyBorder="1" applyFill="1" applyFont="1">
      <alignment horizontal="center" readingOrder="0" vertical="center"/>
    </xf>
    <xf borderId="84" fillId="3" fontId="91" numFmtId="0" xfId="0" applyAlignment="1" applyBorder="1" applyFill="1" applyFont="1">
      <alignment horizontal="center" readingOrder="0" vertical="center"/>
    </xf>
    <xf borderId="84" fillId="3" fontId="109" numFmtId="0" xfId="0" applyAlignment="1" applyBorder="1" applyFill="1" applyFont="1">
      <alignment horizontal="center" readingOrder="0" vertical="center"/>
    </xf>
    <xf borderId="84" fillId="3" fontId="109" numFmtId="9" xfId="0" applyAlignment="1" applyBorder="1" applyFill="1" applyFont="1" applyNumberFormat="1">
      <alignment horizontal="center" readingOrder="0" vertical="center"/>
    </xf>
    <xf borderId="100" fillId="3" fontId="91" numFmtId="0" xfId="0" applyAlignment="1" applyBorder="1" applyFill="1" applyFont="1">
      <alignment horizontal="center" readingOrder="0" vertical="center"/>
    </xf>
    <xf borderId="69" fillId="4" fontId="104" numFmtId="0" xfId="0" applyAlignment="1" applyBorder="1" applyFill="1" applyFont="1">
      <alignment horizontal="center" vertical="center"/>
    </xf>
    <xf borderId="69" fillId="4" fontId="104" numFmtId="0" xfId="0" applyAlignment="1" applyBorder="1" applyFill="1" applyFont="1">
      <alignment horizontal="left" vertical="center"/>
    </xf>
    <xf borderId="15" fillId="3" fontId="91" numFmtId="0" xfId="0" applyAlignment="1" applyBorder="1" applyFill="1" applyFont="1">
      <alignment horizontal="center" readingOrder="0" vertical="center"/>
    </xf>
    <xf borderId="69" fillId="3" fontId="91" numFmtId="0" xfId="0" applyAlignment="1" applyBorder="1" applyFill="1" applyFont="1">
      <alignment horizontal="center" readingOrder="0" vertical="center"/>
    </xf>
    <xf borderId="18" fillId="3" fontId="7" numFmtId="0" xfId="0" applyBorder="1" applyFill="1" applyFont="1"/>
    <xf borderId="20" fillId="3" fontId="7" numFmtId="0" xfId="0" applyBorder="1" applyFill="1" applyFont="1"/>
    <xf borderId="69" fillId="4" fontId="104" numFmtId="0" xfId="0" applyAlignment="1" applyBorder="1" applyFill="1" applyFont="1">
      <alignment horizontal="left" readingOrder="0" shrinkToFit="0" vertical="center" wrapText="1"/>
    </xf>
    <xf borderId="16" fillId="3" fontId="7" numFmtId="0" xfId="0" applyBorder="1" applyFill="1" applyFont="1"/>
    <xf borderId="71" fillId="3" fontId="113" numFmtId="0" xfId="0" applyAlignment="1" applyBorder="1" applyFill="1" applyFont="1">
      <alignment horizontal="center" readingOrder="0" vertical="center"/>
    </xf>
    <xf borderId="17" fillId="3" fontId="7" numFmtId="0" xfId="0" applyBorder="1" applyFill="1" applyFont="1"/>
    <xf borderId="69" fillId="3" fontId="109" numFmtId="0" xfId="0" applyAlignment="1" applyBorder="1" applyFill="1" applyFont="1">
      <alignment horizontal="center" readingOrder="0" vertical="center"/>
    </xf>
    <xf borderId="69" fillId="3" fontId="109" numFmtId="9" xfId="0" applyAlignment="1" applyBorder="1" applyFill="1" applyFont="1" applyNumberFormat="1">
      <alignment horizontal="center" readingOrder="0" vertical="center"/>
    </xf>
    <xf borderId="13" fillId="3" fontId="91" numFmtId="0" xfId="0" applyAlignment="1" applyBorder="1" applyFill="1" applyFont="1">
      <alignment horizontal="center" readingOrder="0" vertical="center"/>
    </xf>
    <xf borderId="16" fillId="4" fontId="7" numFmtId="0" xfId="0" applyBorder="1" applyFill="1" applyFont="1"/>
    <xf borderId="17" fillId="4" fontId="7" numFmtId="0" xfId="0" applyBorder="1" applyFill="1" applyFont="1"/>
    <xf borderId="70" fillId="3" fontId="113" numFmtId="0" xfId="0" applyAlignment="1" applyBorder="1" applyFill="1" applyFont="1">
      <alignment horizontal="center" readingOrder="0" vertical="center"/>
    </xf>
    <xf borderId="2" fillId="3" fontId="109" numFmtId="164" xfId="0" applyAlignment="1" applyBorder="1" applyFill="1" applyFont="1" applyNumberFormat="1">
      <alignment horizontal="center" readingOrder="0" vertical="center"/>
    </xf>
    <xf borderId="4" fillId="3" fontId="113" numFmtId="0" xfId="0" applyAlignment="1" applyBorder="1" applyFill="1" applyFont="1">
      <alignment horizontal="center" readingOrder="0" vertical="center"/>
    </xf>
    <xf borderId="2" fillId="4" fontId="109" numFmtId="0" xfId="0" applyAlignment="1" applyBorder="1" applyFill="1" applyFont="1">
      <alignment horizontal="center" readingOrder="0" vertical="center"/>
    </xf>
    <xf borderId="1" fillId="3" fontId="114" numFmtId="0" xfId="0" applyAlignment="1" applyBorder="1" applyFill="1" applyFont="1">
      <alignment horizontal="center" readingOrder="0" vertical="center"/>
    </xf>
    <xf borderId="1" fillId="4" fontId="91" numFmtId="0" xfId="0" applyAlignment="1" applyBorder="1" applyFill="1" applyFont="1">
      <alignment horizontal="center" readingOrder="0" vertical="center"/>
    </xf>
    <xf borderId="1" fillId="4" fontId="109" numFmtId="0" xfId="0" applyAlignment="1" applyBorder="1" applyFill="1" applyFont="1">
      <alignment horizontal="center" readingOrder="0" vertical="center"/>
    </xf>
    <xf borderId="1" fillId="4" fontId="109" numFmtId="9" xfId="0" applyAlignment="1" applyBorder="1" applyFill="1" applyFont="1" applyNumberFormat="1">
      <alignment horizontal="center" readingOrder="0" vertical="center"/>
    </xf>
    <xf borderId="2" fillId="4" fontId="104" numFmtId="0" xfId="0" applyAlignment="1" applyBorder="1" applyFill="1" applyFont="1">
      <alignment horizontal="center" readingOrder="0" vertical="center"/>
    </xf>
    <xf borderId="1" fillId="3" fontId="114" numFmtId="0" xfId="0" applyAlignment="1" applyBorder="1" applyFill="1" applyFont="1">
      <alignment horizontal="center" vertical="center"/>
    </xf>
    <xf borderId="1" fillId="3" fontId="109" numFmtId="0" xfId="0" applyAlignment="1" applyBorder="1" applyFill="1" applyFont="1">
      <alignment horizontal="center" readingOrder="0" vertical="center"/>
    </xf>
    <xf borderId="1" fillId="3" fontId="109" numFmtId="9" xfId="0" applyAlignment="1" applyBorder="1" applyFill="1" applyFont="1" applyNumberFormat="1">
      <alignment horizontal="center" readingOrder="0" vertical="center"/>
    </xf>
    <xf borderId="1" fillId="3" fontId="91" numFmtId="0" xfId="0" applyAlignment="1" applyBorder="1" applyFill="1" applyFont="1">
      <alignment horizontal="center" vertical="center"/>
    </xf>
    <xf borderId="2" fillId="3" fontId="113" numFmtId="0" xfId="0" applyAlignment="1" applyBorder="1" applyFill="1" applyFont="1">
      <alignment horizontal="center" readingOrder="0" vertical="center"/>
    </xf>
    <xf borderId="2" fillId="4" fontId="91" numFmtId="0" xfId="0" applyAlignment="1" applyBorder="1" applyFill="1" applyFont="1">
      <alignment horizontal="center" readingOrder="0" vertical="center"/>
    </xf>
    <xf borderId="1" fillId="4" fontId="91" numFmtId="0" xfId="0" applyAlignment="1" applyBorder="1" applyFill="1" applyFont="1">
      <alignment horizontal="center" vertical="center"/>
    </xf>
    <xf borderId="101" fillId="4" fontId="104" numFmtId="0" xfId="0" applyAlignment="1" applyBorder="1" applyFill="1" applyFont="1">
      <alignment horizontal="center" vertical="center"/>
    </xf>
    <xf borderId="101" fillId="3" fontId="91" numFmtId="0" xfId="0" applyAlignment="1" applyBorder="1" applyFill="1" applyFont="1">
      <alignment horizontal="center" readingOrder="0" vertical="center"/>
    </xf>
    <xf borderId="102" fillId="3" fontId="7" numFmtId="0" xfId="0" applyBorder="1" applyFill="1" applyFont="1"/>
    <xf borderId="84" fillId="3" fontId="113" numFmtId="0" xfId="0" applyAlignment="1" applyBorder="1" applyFill="1" applyFont="1">
      <alignment horizontal="center" readingOrder="0" vertical="center"/>
    </xf>
    <xf borderId="49" fillId="4" fontId="109" numFmtId="0" xfId="0" applyAlignment="1" applyBorder="1" applyFill="1" applyFont="1">
      <alignment readingOrder="0" vertical="center"/>
    </xf>
    <xf borderId="103" fillId="4" fontId="7" numFmtId="0" xfId="0" applyBorder="1" applyFill="1" applyFont="1"/>
    <xf borderId="49" fillId="3" fontId="109" numFmtId="0" xfId="0" applyAlignment="1" applyBorder="1" applyFill="1" applyFont="1">
      <alignment readingOrder="0" vertical="center"/>
    </xf>
    <xf borderId="101" fillId="3" fontId="104" numFmtId="0" xfId="0" applyAlignment="1" applyBorder="1" applyFill="1" applyFont="1">
      <alignment horizontal="center" vertical="center"/>
    </xf>
    <xf borderId="2" fillId="3" fontId="91" numFmtId="0" xfId="0" applyAlignment="1" applyBorder="1" applyFill="1" applyFont="1">
      <alignment horizontal="center" readingOrder="0" vertical="center"/>
    </xf>
    <xf borderId="102" fillId="4" fontId="7" numFmtId="0" xfId="0" applyBorder="1" applyFill="1" applyFont="1"/>
    <xf borderId="1" fillId="3" fontId="109" numFmtId="0" xfId="0" applyAlignment="1" applyBorder="1" applyFill="1" applyFont="1">
      <alignment readingOrder="0" vertical="center"/>
    </xf>
    <xf borderId="1" fillId="4" fontId="109" numFmtId="0" xfId="0" applyAlignment="1" applyBorder="1" applyFill="1" applyFont="1">
      <alignment readingOrder="0" shrinkToFit="0" vertical="center" wrapText="1"/>
    </xf>
    <xf borderId="70" fillId="4" fontId="7" numFmtId="0" xfId="0" applyBorder="1" applyFill="1" applyFont="1"/>
    <xf borderId="2" fillId="3" fontId="109" numFmtId="0" xfId="0" applyAlignment="1" applyBorder="1" applyFill="1" applyFont="1">
      <alignment horizontal="center" readingOrder="0" vertical="center"/>
    </xf>
    <xf borderId="0" fillId="3" fontId="109" numFmtId="164" xfId="0" applyAlignment="1" applyFill="1" applyFont="1" applyNumberFormat="1">
      <alignment horizontal="center" readingOrder="0" vertical="center"/>
    </xf>
    <xf borderId="0" fillId="3" fontId="113" numFmtId="0" xfId="0" applyAlignment="1" applyFill="1" applyFont="1">
      <alignment readingOrder="0" vertical="center"/>
    </xf>
    <xf borderId="0" fillId="3" fontId="109" numFmtId="0" xfId="0" applyAlignment="1" applyFill="1" applyFont="1">
      <alignment readingOrder="0" vertical="center"/>
    </xf>
    <xf borderId="0" fillId="3" fontId="114" numFmtId="0" xfId="0" applyAlignment="1" applyFill="1" applyFont="1">
      <alignment horizontal="center" readingOrder="0" vertical="center"/>
    </xf>
    <xf borderId="0" fillId="3" fontId="91" numFmtId="0" xfId="0" applyAlignment="1" applyFill="1" applyFont="1">
      <alignment horizontal="center" readingOrder="0" vertical="center"/>
    </xf>
    <xf borderId="0" fillId="3" fontId="109" numFmtId="0" xfId="0" applyAlignment="1" applyFill="1" applyFont="1">
      <alignment horizontal="center" readingOrder="0" vertical="center"/>
    </xf>
    <xf borderId="0" fillId="3" fontId="109" numFmtId="9" xfId="0" applyAlignment="1" applyFill="1" applyFont="1" applyNumberFormat="1">
      <alignment horizontal="center" readingOrder="0" vertical="center"/>
    </xf>
    <xf borderId="0" fillId="3" fontId="104" numFmtId="0" xfId="0" applyAlignment="1" applyFill="1" applyFont="1">
      <alignment horizontal="center" readingOrder="0" vertical="center"/>
    </xf>
    <xf borderId="0" fillId="4" fontId="109" numFmtId="164" xfId="0" applyAlignment="1" applyFill="1" applyFont="1" applyNumberFormat="1">
      <alignment horizontal="center" readingOrder="0" vertical="center"/>
    </xf>
    <xf borderId="0" fillId="4" fontId="109" numFmtId="0" xfId="0" applyAlignment="1" applyFill="1" applyFont="1">
      <alignment readingOrder="0" vertical="center"/>
    </xf>
    <xf borderId="0" fillId="4" fontId="91" numFmtId="0" xfId="0" applyAlignment="1" applyFill="1" applyFont="1">
      <alignment horizontal="center" readingOrder="0" vertical="center"/>
    </xf>
    <xf borderId="0" fillId="4" fontId="109" numFmtId="0" xfId="0" applyAlignment="1" applyFill="1" applyFont="1">
      <alignment horizontal="center" readingOrder="0" vertical="center"/>
    </xf>
    <xf borderId="0" fillId="4" fontId="109" numFmtId="9" xfId="0" applyAlignment="1" applyFill="1" applyFont="1" applyNumberFormat="1">
      <alignment horizontal="center" readingOrder="0" vertical="center"/>
    </xf>
    <xf borderId="0" fillId="4" fontId="104" numFmtId="0" xfId="0" applyAlignment="1" applyFill="1" applyFont="1">
      <alignment horizontal="center" readingOrder="0" vertical="center"/>
    </xf>
    <xf borderId="7" fillId="0" fontId="115" numFmtId="0" xfId="0" applyAlignment="1" applyBorder="1" applyFont="1">
      <alignment horizontal="center" readingOrder="0" vertical="center"/>
    </xf>
    <xf borderId="0" fillId="0" fontId="1" numFmtId="0" xfId="0" applyAlignment="1" applyFont="1">
      <alignment vertical="center"/>
    </xf>
    <xf borderId="1" fillId="2" fontId="83" numFmtId="0" xfId="0" applyAlignment="1" applyBorder="1" applyFill="1" applyFont="1">
      <alignment horizontal="center" readingOrder="0" vertical="center"/>
    </xf>
    <xf borderId="5" fillId="2" fontId="4" numFmtId="0" xfId="0" applyAlignment="1" applyBorder="1" applyFill="1" applyFont="1">
      <alignment horizontal="center" readingOrder="0" vertical="center"/>
    </xf>
    <xf borderId="2" fillId="0" fontId="3" numFmtId="0" xfId="0" applyAlignment="1" applyBorder="1" applyFont="1">
      <alignment horizontal="center" readingOrder="0" vertical="center"/>
    </xf>
    <xf borderId="1" fillId="0" fontId="3" numFmtId="0" xfId="0" applyAlignment="1" applyBorder="1" applyFont="1">
      <alignment horizontal="center" readingOrder="0" vertical="center"/>
    </xf>
    <xf borderId="1" fillId="11" fontId="3" numFmtId="0" xfId="0" applyAlignment="1" applyBorder="1" applyFill="1" applyFont="1">
      <alignment horizontal="center" readingOrder="0" vertical="center"/>
    </xf>
    <xf borderId="3" fillId="3" fontId="3" numFmtId="0" xfId="0" applyAlignment="1" applyBorder="1" applyFill="1" applyFont="1">
      <alignment horizontal="center" readingOrder="0" vertical="center"/>
    </xf>
    <xf borderId="4" fillId="8" fontId="3" numFmtId="0" xfId="0" applyAlignment="1" applyBorder="1" applyFill="1" applyFont="1">
      <alignment horizontal="center" readingOrder="0" vertical="center"/>
    </xf>
    <xf borderId="3" fillId="4" fontId="3" numFmtId="0" xfId="0" applyAlignment="1" applyBorder="1" applyFill="1" applyFont="1">
      <alignment horizontal="center" readingOrder="0" vertical="center"/>
    </xf>
    <xf borderId="3" fillId="11" fontId="3" numFmtId="0" xfId="0" applyAlignment="1" applyBorder="1" applyFill="1" applyFont="1">
      <alignment horizontal="center" readingOrder="0" vertical="center"/>
    </xf>
    <xf borderId="2" fillId="4" fontId="12" numFmtId="0" xfId="0" applyAlignment="1" applyBorder="1" applyFill="1" applyFont="1">
      <alignment horizontal="center" readingOrder="0" vertical="center"/>
    </xf>
    <xf borderId="2" fillId="4" fontId="12" numFmtId="0" xfId="0" applyAlignment="1" applyBorder="1" applyFill="1" applyFont="1">
      <alignment horizontal="center" vertical="center"/>
    </xf>
    <xf borderId="1" fillId="4" fontId="12" numFmtId="0" xfId="0" applyAlignment="1" applyBorder="1" applyFill="1" applyFont="1">
      <alignment horizontal="center" readingOrder="0" vertical="center"/>
    </xf>
    <xf borderId="2" fillId="4" fontId="11" numFmtId="0" xfId="0" applyAlignment="1" applyBorder="1" applyFill="1" applyFont="1">
      <alignment horizontal="center" vertical="center"/>
    </xf>
    <xf borderId="2" fillId="0" fontId="11" numFmtId="0" xfId="0" applyAlignment="1" applyBorder="1" applyFont="1">
      <alignment horizontal="center" vertical="center"/>
    </xf>
    <xf borderId="1" fillId="0" fontId="11" numFmtId="0" xfId="0" applyAlignment="1" applyBorder="1" applyFont="1">
      <alignment horizontal="center" readingOrder="0"/>
    </xf>
    <xf borderId="2" fillId="11" fontId="11" numFmtId="0" xfId="0" applyAlignment="1" applyBorder="1" applyFill="1" applyFont="1">
      <alignment horizontal="center"/>
    </xf>
    <xf borderId="3" fillId="4" fontId="11" numFmtId="0" xfId="0" applyAlignment="1" applyBorder="1" applyFill="1" applyFont="1">
      <alignment horizontal="center"/>
    </xf>
    <xf borderId="4" fillId="8" fontId="11" numFmtId="0" xfId="0" applyAlignment="1" applyBorder="1" applyFill="1" applyFont="1">
      <alignment horizontal="center" readingOrder="0" vertical="center"/>
    </xf>
    <xf borderId="2" fillId="11" fontId="8" numFmtId="0" xfId="0" applyBorder="1" applyFill="1" applyFont="1"/>
    <xf borderId="2" fillId="8" fontId="8" numFmtId="0" xfId="0" applyAlignment="1" applyBorder="1" applyFill="1" applyFont="1">
      <alignment horizontal="center" readingOrder="0" vertical="center"/>
    </xf>
    <xf borderId="2" fillId="8" fontId="11" numFmtId="0" xfId="0" applyAlignment="1" applyBorder="1" applyFill="1" applyFont="1">
      <alignment horizontal="center" readingOrder="0" vertical="center"/>
    </xf>
    <xf borderId="4" fillId="3" fontId="12" numFmtId="0" xfId="0" applyAlignment="1" applyBorder="1" applyFill="1" applyFont="1">
      <alignment horizontal="center" readingOrder="0" vertical="center"/>
    </xf>
    <xf borderId="2" fillId="0" fontId="11" numFmtId="0" xfId="0" applyAlignment="1" applyBorder="1" applyFont="1">
      <alignment horizontal="center"/>
    </xf>
    <xf borderId="4" fillId="11" fontId="11" numFmtId="0" xfId="0" applyAlignment="1" applyBorder="1" applyFill="1" applyFont="1">
      <alignment horizontal="center"/>
    </xf>
    <xf borderId="2" fillId="3" fontId="11" numFmtId="0" xfId="0" applyAlignment="1" applyBorder="1" applyFill="1" applyFont="1">
      <alignment horizontal="center"/>
    </xf>
    <xf borderId="4" fillId="3" fontId="11" numFmtId="0" xfId="0" applyAlignment="1" applyBorder="1" applyFill="1" applyFont="1">
      <alignment horizontal="center"/>
    </xf>
    <xf borderId="3" fillId="11" fontId="11" numFmtId="0" xfId="0" applyAlignment="1" applyBorder="1" applyFill="1" applyFont="1">
      <alignment horizontal="center"/>
    </xf>
    <xf borderId="1" fillId="7" fontId="5" numFmtId="0" xfId="0" applyAlignment="1" applyBorder="1" applyFill="1" applyFont="1">
      <alignment horizontal="center" readingOrder="0" vertical="center"/>
    </xf>
    <xf borderId="1" fillId="7" fontId="3" numFmtId="0" xfId="0" applyAlignment="1" applyBorder="1" applyFill="1" applyFont="1">
      <alignment horizontal="center" readingOrder="0" vertical="center"/>
    </xf>
    <xf borderId="3" fillId="7" fontId="3" numFmtId="0" xfId="0" applyAlignment="1" applyBorder="1" applyFill="1" applyFont="1">
      <alignment horizontal="center" readingOrder="0" vertical="center"/>
    </xf>
    <xf borderId="5" fillId="7" fontId="3" numFmtId="0" xfId="0" applyAlignment="1" applyBorder="1" applyFill="1" applyFont="1">
      <alignment horizontal="center" readingOrder="0" vertical="center"/>
    </xf>
    <xf borderId="2" fillId="7" fontId="5" numFmtId="0" xfId="0" applyAlignment="1" applyBorder="1" applyFill="1" applyFont="1">
      <alignment horizontal="center" readingOrder="0" vertical="center"/>
    </xf>
    <xf borderId="2" fillId="7" fontId="10" numFmtId="0" xfId="0" applyAlignment="1" applyBorder="1" applyFill="1" applyFont="1">
      <alignment horizontal="center" readingOrder="0" vertical="center"/>
    </xf>
    <xf borderId="2" fillId="7" fontId="3" numFmtId="0" xfId="0" applyAlignment="1" applyBorder="1" applyFill="1" applyFont="1">
      <alignment horizontal="center" readingOrder="0" vertical="center"/>
    </xf>
    <xf borderId="4" fillId="7" fontId="3" numFmtId="0" xfId="0" applyAlignment="1" applyBorder="1" applyFill="1" applyFont="1">
      <alignment horizontal="center" readingOrder="0" vertical="center"/>
    </xf>
    <xf borderId="3" fillId="5" fontId="5" numFmtId="0" xfId="0" applyAlignment="1" applyBorder="1" applyFill="1" applyFont="1">
      <alignment horizontal="center" readingOrder="0" vertical="center"/>
    </xf>
    <xf borderId="1" fillId="5" fontId="5" numFmtId="0" xfId="0" applyAlignment="1" applyBorder="1" applyFill="1" applyFont="1">
      <alignment horizontal="center" readingOrder="0" vertical="center"/>
    </xf>
    <xf borderId="1" fillId="5" fontId="14" numFmtId="0" xfId="0" applyAlignment="1" applyBorder="1" applyFill="1" applyFont="1">
      <alignment horizontal="center" readingOrder="0" vertical="center"/>
    </xf>
    <xf borderId="1" fillId="5" fontId="3" numFmtId="0" xfId="0" applyAlignment="1" applyBorder="1" applyFill="1" applyFont="1">
      <alignment horizontal="center" readingOrder="0" vertical="center"/>
    </xf>
    <xf borderId="5" fillId="5" fontId="3" numFmtId="0" xfId="0" applyAlignment="1" applyBorder="1" applyFill="1" applyFont="1">
      <alignment horizontal="center" readingOrder="0" vertical="center"/>
    </xf>
    <xf borderId="2" fillId="11" fontId="3" numFmtId="0" xfId="0" applyAlignment="1" applyBorder="1" applyFill="1" applyFont="1">
      <alignment horizontal="center" readingOrder="0" vertical="center"/>
    </xf>
    <xf borderId="5" fillId="8" fontId="3" numFmtId="0" xfId="0" applyAlignment="1" applyBorder="1" applyFill="1" applyFont="1">
      <alignment horizontal="center" readingOrder="0" vertical="center"/>
    </xf>
    <xf borderId="9" fillId="8" fontId="3" numFmtId="0" xfId="0" applyAlignment="1" applyBorder="1" applyFill="1" applyFont="1">
      <alignment horizontal="center" readingOrder="0" vertical="center"/>
    </xf>
    <xf borderId="1" fillId="0" fontId="11" numFmtId="0" xfId="0" applyAlignment="1" applyBorder="1" applyFont="1">
      <alignment horizontal="center" readingOrder="0" vertical="center"/>
    </xf>
    <xf borderId="3" fillId="0" fontId="11" numFmtId="0" xfId="0" applyAlignment="1" applyBorder="1" applyFont="1">
      <alignment horizontal="center" vertical="center"/>
    </xf>
    <xf borderId="2" fillId="13" fontId="5" numFmtId="0" xfId="0" applyAlignment="1" applyBorder="1" applyFill="1" applyFont="1">
      <alignment horizontal="center" readingOrder="0" vertical="center"/>
    </xf>
    <xf borderId="7" fillId="13" fontId="5" numFmtId="0" xfId="0" applyAlignment="1" applyBorder="1" applyFill="1" applyFont="1">
      <alignment horizontal="center" readingOrder="0" vertical="center"/>
    </xf>
    <xf borderId="4" fillId="7" fontId="5" numFmtId="0" xfId="0" applyAlignment="1" applyBorder="1" applyFill="1" applyFont="1">
      <alignment horizontal="center" readingOrder="0" vertical="center"/>
    </xf>
    <xf borderId="4" fillId="7" fontId="10" numFmtId="0" xfId="0" applyAlignment="1" applyBorder="1" applyFill="1" applyFont="1">
      <alignment horizontal="center" readingOrder="0" vertical="center"/>
    </xf>
    <xf borderId="10" fillId="4" fontId="5" numFmtId="0" xfId="0" applyAlignment="1" applyBorder="1" applyFill="1" applyFont="1">
      <alignment horizontal="center" readingOrder="0" vertical="center"/>
    </xf>
    <xf borderId="4" fillId="0" fontId="3" numFmtId="0" xfId="0" applyAlignment="1" applyBorder="1" applyFont="1">
      <alignment horizontal="center" readingOrder="0" vertical="center"/>
    </xf>
    <xf borderId="1" fillId="3" fontId="84" numFmtId="0" xfId="0" applyAlignment="1" applyBorder="1" applyFill="1" applyFont="1">
      <alignment horizontal="center" readingOrder="0" vertical="center"/>
    </xf>
    <xf borderId="3" fillId="3" fontId="10" numFmtId="0" xfId="0" applyAlignment="1" applyBorder="1" applyFill="1" applyFont="1">
      <alignment horizontal="center" readingOrder="0" vertical="center"/>
    </xf>
    <xf borderId="3" fillId="8" fontId="3" numFmtId="0" xfId="0" applyAlignment="1" applyBorder="1" applyFill="1" applyFont="1">
      <alignment horizontal="center" readingOrder="0" vertical="center"/>
    </xf>
    <xf borderId="1" fillId="3" fontId="116" numFmtId="0" xfId="0" applyAlignment="1" applyBorder="1" applyFill="1" applyFont="1">
      <alignment horizontal="center"/>
    </xf>
    <xf borderId="3" fillId="3" fontId="10" numFmtId="0" xfId="0" applyAlignment="1" applyBorder="1" applyFill="1" applyFont="1">
      <alignment horizontal="center"/>
    </xf>
    <xf borderId="1" fillId="0" fontId="11" numFmtId="0" xfId="0" applyAlignment="1" applyBorder="1" applyFont="1">
      <alignment horizontal="center"/>
    </xf>
    <xf borderId="1" fillId="11" fontId="11" numFmtId="0" xfId="0" applyAlignment="1" applyBorder="1" applyFill="1" applyFont="1">
      <alignment horizontal="center" readingOrder="0"/>
    </xf>
    <xf borderId="3" fillId="8" fontId="11" numFmtId="0" xfId="0" applyAlignment="1" applyBorder="1" applyFill="1" applyFont="1">
      <alignment horizontal="center" readingOrder="0"/>
    </xf>
    <xf borderId="5" fillId="8" fontId="11" numFmtId="0" xfId="0" applyAlignment="1" applyBorder="1" applyFill="1" applyFont="1">
      <alignment horizontal="center" readingOrder="0"/>
    </xf>
    <xf borderId="1" fillId="4" fontId="116" numFmtId="0" xfId="0" applyAlignment="1" applyBorder="1" applyFill="1" applyFont="1">
      <alignment horizontal="center"/>
    </xf>
    <xf borderId="1" fillId="4" fontId="12" numFmtId="0" xfId="0" applyAlignment="1" applyBorder="1" applyFill="1" applyFont="1">
      <alignment horizontal="center"/>
    </xf>
    <xf borderId="3" fillId="4" fontId="10" numFmtId="0" xfId="0" applyAlignment="1" applyBorder="1" applyFill="1" applyFont="1">
      <alignment horizontal="center"/>
    </xf>
    <xf borderId="1" fillId="11" fontId="11" numFmtId="0" xfId="0" applyAlignment="1" applyBorder="1" applyFill="1" applyFont="1">
      <alignment horizontal="center"/>
    </xf>
    <xf borderId="3" fillId="8" fontId="11" numFmtId="0" xfId="0" applyAlignment="1" applyBorder="1" applyFill="1" applyFont="1">
      <alignment horizontal="center"/>
    </xf>
    <xf borderId="5" fillId="8" fontId="11" numFmtId="0" xfId="0" applyAlignment="1" applyBorder="1" applyFill="1" applyFont="1">
      <alignment horizontal="center"/>
    </xf>
    <xf borderId="2" fillId="3" fontId="20" numFmtId="164" xfId="0" applyAlignment="1" applyBorder="1" applyFill="1" applyFont="1" applyNumberFormat="1">
      <alignment horizontal="center" readingOrder="0" vertical="center"/>
    </xf>
    <xf borderId="2" fillId="3" fontId="117" numFmtId="0" xfId="0" applyAlignment="1" applyBorder="1" applyFill="1" applyFont="1">
      <alignment horizontal="center" readingOrder="0" vertical="center"/>
    </xf>
    <xf borderId="2" fillId="0" fontId="20" numFmtId="0" xfId="0" applyAlignment="1" applyBorder="1" applyFont="1">
      <alignment horizontal="center" readingOrder="0" vertical="center"/>
    </xf>
    <xf borderId="1" fillId="0" fontId="20" numFmtId="0" xfId="0" applyAlignment="1" applyBorder="1" applyFont="1">
      <alignment horizontal="center" readingOrder="0" vertical="center"/>
    </xf>
    <xf borderId="2" fillId="11" fontId="20" numFmtId="0" xfId="0" applyAlignment="1" applyBorder="1" applyFill="1" applyFont="1">
      <alignment horizontal="center" readingOrder="0" vertical="center"/>
    </xf>
    <xf borderId="1" fillId="11" fontId="20" numFmtId="0" xfId="0" applyAlignment="1" applyBorder="1" applyFill="1" applyFont="1">
      <alignment horizontal="center" readingOrder="0" vertical="center"/>
    </xf>
    <xf borderId="5" fillId="3" fontId="20" numFmtId="0" xfId="0" applyAlignment="1" applyBorder="1" applyFill="1" applyFont="1">
      <alignment horizontal="center" readingOrder="0" vertical="center"/>
    </xf>
    <xf borderId="1" fillId="7" fontId="20" numFmtId="0" xfId="0" applyAlignment="1" applyBorder="1" applyFill="1" applyFont="1">
      <alignment horizontal="center" readingOrder="0" vertical="center"/>
    </xf>
    <xf borderId="2" fillId="7" fontId="20" numFmtId="0" xfId="0" applyAlignment="1" applyBorder="1" applyFill="1" applyFont="1">
      <alignment horizontal="center" readingOrder="0" vertical="center"/>
    </xf>
    <xf borderId="3" fillId="7" fontId="117" numFmtId="0" xfId="0" applyAlignment="1" applyBorder="1" applyFill="1" applyFont="1">
      <alignment horizontal="center" readingOrder="0" vertical="center"/>
    </xf>
    <xf borderId="1" fillId="7" fontId="117" numFmtId="0" xfId="0" applyAlignment="1" applyBorder="1" applyFill="1" applyFont="1">
      <alignment horizontal="center" readingOrder="0" vertical="center"/>
    </xf>
    <xf borderId="104" fillId="3" fontId="7" numFmtId="0" xfId="0" applyBorder="1" applyFill="1" applyFont="1"/>
    <xf borderId="105" fillId="3" fontId="117" numFmtId="0" xfId="0" applyAlignment="1" applyBorder="1" applyFill="1" applyFont="1">
      <alignment horizontal="center"/>
    </xf>
    <xf borderId="105" fillId="3" fontId="20" numFmtId="0" xfId="0" applyAlignment="1" applyBorder="1" applyFill="1" applyFont="1">
      <alignment horizontal="center"/>
    </xf>
    <xf borderId="105" fillId="0" fontId="20" numFmtId="0" xfId="0" applyAlignment="1" applyBorder="1" applyFont="1">
      <alignment horizontal="center"/>
    </xf>
    <xf borderId="105" fillId="3" fontId="20" numFmtId="0" xfId="0" applyAlignment="1" applyBorder="1" applyFill="1" applyFont="1">
      <alignment horizontal="center" readingOrder="0"/>
    </xf>
    <xf borderId="105" fillId="11" fontId="20" numFmtId="0" xfId="0" applyAlignment="1" applyBorder="1" applyFill="1" applyFont="1">
      <alignment horizontal="center" readingOrder="0"/>
    </xf>
    <xf borderId="104" fillId="3" fontId="20" numFmtId="0" xfId="0" applyAlignment="1" applyBorder="1" applyFill="1" applyFont="1">
      <alignment horizontal="center" readingOrder="0"/>
    </xf>
    <xf borderId="106" fillId="0" fontId="7" numFmtId="0" xfId="0" applyBorder="1" applyFont="1"/>
    <xf borderId="4" fillId="4" fontId="20" numFmtId="164" xfId="0" applyAlignment="1" applyBorder="1" applyFill="1" applyFont="1" applyNumberFormat="1">
      <alignment horizontal="center" readingOrder="0" vertical="center"/>
    </xf>
    <xf borderId="3" fillId="4" fontId="20" numFmtId="0" xfId="0" applyAlignment="1" applyBorder="1" applyFill="1" applyFont="1">
      <alignment horizontal="center" readingOrder="0" vertical="center"/>
    </xf>
    <xf borderId="4" fillId="4" fontId="20" numFmtId="0" xfId="0" applyAlignment="1" applyBorder="1" applyFill="1" applyFont="1">
      <alignment horizontal="center" readingOrder="0" vertical="center"/>
    </xf>
    <xf borderId="4" fillId="3" fontId="20" numFmtId="0" xfId="0" applyAlignment="1" applyBorder="1" applyFill="1" applyFont="1">
      <alignment horizontal="center" readingOrder="0" vertical="center"/>
    </xf>
    <xf borderId="3" fillId="0" fontId="20" numFmtId="0" xfId="0" applyAlignment="1" applyBorder="1" applyFont="1">
      <alignment horizontal="center" readingOrder="0" vertical="center"/>
    </xf>
    <xf borderId="4" fillId="11" fontId="20" numFmtId="0" xfId="0" applyAlignment="1" applyBorder="1" applyFill="1" applyFont="1">
      <alignment horizontal="center" readingOrder="0" vertical="center"/>
    </xf>
    <xf borderId="3" fillId="3" fontId="20" numFmtId="0" xfId="0" applyAlignment="1" applyBorder="1" applyFill="1" applyFont="1">
      <alignment horizontal="center" readingOrder="0" vertical="center"/>
    </xf>
    <xf borderId="105" fillId="0" fontId="20" numFmtId="0" xfId="0" applyAlignment="1" applyBorder="1" applyFont="1">
      <alignment horizontal="center" readingOrder="0" vertical="center"/>
    </xf>
    <xf borderId="105" fillId="3" fontId="20" numFmtId="0" xfId="0" applyAlignment="1" applyBorder="1" applyFill="1" applyFont="1">
      <alignment horizontal="center" readingOrder="0" vertical="center"/>
    </xf>
    <xf borderId="105" fillId="11" fontId="20" numFmtId="0" xfId="0" applyAlignment="1" applyBorder="1" applyFill="1" applyFont="1">
      <alignment horizontal="center" readingOrder="0" vertical="center"/>
    </xf>
    <xf borderId="104" fillId="0" fontId="7" numFmtId="0" xfId="0" applyBorder="1" applyFont="1"/>
    <xf borderId="4" fillId="4" fontId="117" numFmtId="0" xfId="0" applyAlignment="1" applyBorder="1" applyFill="1" applyFont="1">
      <alignment horizontal="center" readingOrder="0" vertical="center"/>
    </xf>
    <xf borderId="2" fillId="4" fontId="117" numFmtId="0" xfId="0" applyAlignment="1" applyBorder="1" applyFill="1" applyFont="1">
      <alignment horizontal="center" readingOrder="0" vertical="center"/>
    </xf>
    <xf borderId="5" fillId="4" fontId="117" numFmtId="0" xfId="0" applyAlignment="1" applyBorder="1" applyFill="1" applyFont="1">
      <alignment horizontal="center" readingOrder="0" vertical="center"/>
    </xf>
    <xf borderId="4" fillId="0" fontId="20" numFmtId="0" xfId="0" applyAlignment="1" applyBorder="1" applyFont="1">
      <alignment horizontal="center" readingOrder="0" vertical="center"/>
    </xf>
    <xf borderId="4" fillId="7" fontId="20" numFmtId="0" xfId="0" applyAlignment="1" applyBorder="1" applyFill="1" applyFont="1">
      <alignment horizontal="center" readingOrder="0" vertical="center"/>
    </xf>
    <xf borderId="5" fillId="0" fontId="20" numFmtId="0" xfId="0" applyAlignment="1" applyBorder="1" applyFont="1">
      <alignment horizontal="center" readingOrder="0" vertical="center"/>
    </xf>
    <xf borderId="106" fillId="3" fontId="7" numFmtId="0" xfId="0" applyBorder="1" applyFill="1" applyFont="1"/>
    <xf borderId="3" fillId="4" fontId="117" numFmtId="0" xfId="0" applyAlignment="1" applyBorder="1" applyFill="1" applyFont="1">
      <alignment horizontal="center" readingOrder="0" vertical="center"/>
    </xf>
    <xf borderId="104" fillId="4" fontId="7" numFmtId="0" xfId="0" applyBorder="1" applyFill="1" applyFont="1"/>
    <xf borderId="105" fillId="4" fontId="117" numFmtId="0" xfId="0" applyAlignment="1" applyBorder="1" applyFill="1" applyFont="1">
      <alignment horizontal="center" readingOrder="0" vertical="center"/>
    </xf>
    <xf borderId="105" fillId="4" fontId="20" numFmtId="0" xfId="0" applyAlignment="1" applyBorder="1" applyFill="1" applyFont="1">
      <alignment horizontal="center" readingOrder="0" vertical="center"/>
    </xf>
    <xf borderId="4" fillId="3" fontId="20" numFmtId="164" xfId="0" applyAlignment="1" applyBorder="1" applyFill="1" applyFont="1" applyNumberFormat="1">
      <alignment horizontal="center" readingOrder="0" vertical="center"/>
    </xf>
    <xf borderId="4" fillId="3" fontId="117" numFmtId="0" xfId="0" applyAlignment="1" applyBorder="1" applyFill="1" applyFont="1">
      <alignment horizontal="center" readingOrder="0" vertical="center"/>
    </xf>
    <xf borderId="2" fillId="8" fontId="20" numFmtId="0" xfId="0" applyAlignment="1" applyBorder="1" applyFill="1" applyFont="1">
      <alignment horizontal="center" readingOrder="0" vertical="center"/>
    </xf>
    <xf borderId="4" fillId="3" fontId="19" numFmtId="0" xfId="0" applyAlignment="1" applyBorder="1" applyFill="1" applyFont="1">
      <alignment horizontal="center" readingOrder="0" vertical="center"/>
    </xf>
    <xf borderId="4" fillId="0" fontId="14" numFmtId="0" xfId="0" applyAlignment="1" applyBorder="1" applyFont="1">
      <alignment horizontal="center" readingOrder="0" textRotation="0" vertical="center"/>
    </xf>
    <xf borderId="7" fillId="3" fontId="118" numFmtId="0" xfId="0" applyAlignment="1" applyBorder="1" applyFill="1" applyFont="1">
      <alignment horizontal="center" readingOrder="0" vertical="center"/>
    </xf>
    <xf borderId="2" fillId="3" fontId="118" numFmtId="0" xfId="0" applyAlignment="1" applyBorder="1" applyFill="1" applyFont="1">
      <alignment horizontal="center" readingOrder="0" vertical="center"/>
    </xf>
    <xf borderId="2" fillId="0" fontId="118" numFmtId="0" xfId="0" applyAlignment="1" applyBorder="1" applyFont="1">
      <alignment horizontal="center" readingOrder="0" vertical="center"/>
    </xf>
    <xf borderId="13" fillId="8" fontId="119" numFmtId="0" xfId="0" applyAlignment="1" applyBorder="1" applyFill="1" applyFont="1">
      <alignment horizontal="center" readingOrder="0" vertical="center"/>
    </xf>
    <xf borderId="105" fillId="3" fontId="19" numFmtId="0" xfId="0" applyAlignment="1" applyBorder="1" applyFill="1" applyFont="1">
      <alignment horizontal="center" readingOrder="0" vertical="center"/>
    </xf>
    <xf borderId="0" fillId="0" fontId="120" numFmtId="49" xfId="0" applyFont="1" applyNumberFormat="1"/>
    <xf borderId="105" fillId="0" fontId="14" numFmtId="0" xfId="0" applyAlignment="1" applyBorder="1" applyFont="1">
      <alignment horizontal="center" readingOrder="0" vertical="center"/>
    </xf>
    <xf borderId="105" fillId="7" fontId="20" numFmtId="0" xfId="0" applyAlignment="1" applyBorder="1" applyFill="1" applyFont="1">
      <alignment horizontal="center" readingOrder="0" vertical="center"/>
    </xf>
    <xf borderId="0" fillId="0" fontId="59" numFmtId="0" xfId="0" applyAlignment="1" applyFont="1">
      <alignment horizontal="center" vertical="center"/>
    </xf>
    <xf borderId="105" fillId="7" fontId="118" numFmtId="0" xfId="0" applyAlignment="1" applyBorder="1" applyFill="1" applyFont="1">
      <alignment horizontal="center" readingOrder="0" vertical="center"/>
    </xf>
    <xf borderId="0" fillId="0" fontId="75" numFmtId="0" xfId="0" applyAlignment="1" applyFont="1">
      <alignment horizontal="center" vertical="center"/>
    </xf>
    <xf borderId="1" fillId="0" fontId="13" numFmtId="166" xfId="0" applyBorder="1" applyFont="1" applyNumberFormat="1"/>
    <xf borderId="106" fillId="0" fontId="20" numFmtId="0" xfId="0" applyAlignment="1" applyBorder="1" applyFont="1">
      <alignment horizontal="center" readingOrder="0" vertical="center"/>
    </xf>
    <xf borderId="2" fillId="4" fontId="20" numFmtId="164" xfId="0" applyAlignment="1" applyBorder="1" applyFill="1" applyFont="1" applyNumberFormat="1">
      <alignment horizontal="center" readingOrder="0" vertical="center"/>
    </xf>
    <xf borderId="1" fillId="2" fontId="121" numFmtId="0" xfId="0" applyAlignment="1" applyBorder="1" applyFill="1" applyFont="1">
      <alignment horizontal="center" readingOrder="0" vertical="center"/>
    </xf>
    <xf borderId="1" fillId="22" fontId="18" numFmtId="166" xfId="0" applyAlignment="1" applyBorder="1" applyFill="1" applyFont="1" applyNumberFormat="1">
      <alignment horizontal="center" readingOrder="0" vertical="center"/>
    </xf>
    <xf borderId="2" fillId="2" fontId="18" numFmtId="0" xfId="0" applyAlignment="1" applyBorder="1" applyFill="1" applyFont="1">
      <alignment horizontal="center" readingOrder="0" vertical="center"/>
    </xf>
    <xf borderId="2" fillId="2" fontId="4" numFmtId="0" xfId="0" applyAlignment="1" applyBorder="1" applyFill="1" applyFont="1">
      <alignment horizontal="center" readingOrder="0" vertical="center"/>
    </xf>
    <xf borderId="7" fillId="7" fontId="18" numFmtId="0" xfId="0" applyAlignment="1" applyBorder="1" applyFill="1" applyFont="1">
      <alignment horizontal="center" readingOrder="0" vertical="center"/>
    </xf>
    <xf borderId="9" fillId="21" fontId="7" numFmtId="0" xfId="0" applyBorder="1" applyFill="1" applyFont="1"/>
    <xf borderId="0" fillId="2" fontId="122" numFmtId="49" xfId="0" applyAlignment="1" applyFill="1" applyFont="1" applyNumberFormat="1">
      <alignment horizontal="center" readingOrder="0" vertical="center"/>
    </xf>
    <xf borderId="1" fillId="5" fontId="103" numFmtId="164" xfId="0" applyAlignment="1" applyBorder="1" applyFill="1" applyFont="1" applyNumberFormat="1">
      <alignment horizontal="center" readingOrder="0" vertical="center"/>
    </xf>
    <xf borderId="1" fillId="5" fontId="123" numFmtId="0" xfId="0" applyAlignment="1" applyBorder="1" applyFill="1" applyFont="1">
      <alignment readingOrder="0" vertical="center"/>
    </xf>
    <xf borderId="1" fillId="5" fontId="60" numFmtId="0" xfId="0" applyAlignment="1" applyBorder="1" applyFill="1" applyFont="1">
      <alignment horizontal="center" readingOrder="0" vertical="center"/>
    </xf>
    <xf borderId="1" fillId="5" fontId="124" numFmtId="0" xfId="0" applyAlignment="1" applyBorder="1" applyFill="1" applyFont="1">
      <alignment horizontal="center" readingOrder="0" vertical="center"/>
    </xf>
    <xf borderId="1" fillId="22" fontId="14" numFmtId="166" xfId="0" applyAlignment="1" applyBorder="1" applyFill="1" applyFont="1" applyNumberFormat="1">
      <alignment horizontal="center" readingOrder="0" vertical="center"/>
    </xf>
    <xf borderId="50" fillId="5" fontId="14" numFmtId="0" xfId="0" applyAlignment="1" applyBorder="1" applyFill="1" applyFont="1">
      <alignment horizontal="center" readingOrder="0" vertical="center"/>
    </xf>
    <xf borderId="7" fillId="4" fontId="118" numFmtId="0" xfId="0" applyAlignment="1" applyBorder="1" applyFill="1" applyFont="1">
      <alignment horizontal="center" readingOrder="0" vertical="center"/>
    </xf>
    <xf borderId="45" fillId="5" fontId="25" numFmtId="0" xfId="0" applyAlignment="1" applyBorder="1" applyFill="1" applyFont="1">
      <alignment horizontal="center" readingOrder="0" vertical="center"/>
    </xf>
    <xf borderId="47" fillId="3" fontId="7" numFmtId="0" xfId="0" applyBorder="1" applyFill="1" applyFont="1"/>
    <xf borderId="1" fillId="3" fontId="90" numFmtId="49" xfId="0" applyAlignment="1" applyBorder="1" applyFill="1" applyFont="1" applyNumberFormat="1">
      <alignment horizontal="center" readingOrder="0" vertical="center"/>
    </xf>
    <xf borderId="1" fillId="4" fontId="90" numFmtId="49" xfId="0" applyAlignment="1" applyBorder="1" applyFill="1" applyFont="1" applyNumberFormat="1">
      <alignment horizontal="center" readingOrder="0" vertical="center"/>
    </xf>
    <xf borderId="1" fillId="5" fontId="59" numFmtId="0" xfId="0" applyAlignment="1" applyBorder="1" applyFill="1" applyFont="1">
      <alignment horizontal="center" readingOrder="0" vertical="center"/>
    </xf>
    <xf borderId="1" fillId="5" fontId="125" numFmtId="0" xfId="0" applyAlignment="1" applyBorder="1" applyFill="1" applyFont="1">
      <alignment horizontal="center" readingOrder="0" vertical="center"/>
    </xf>
    <xf borderId="50" fillId="7" fontId="3" numFmtId="0" xfId="0" applyAlignment="1" applyBorder="1" applyFill="1" applyFont="1">
      <alignment horizontal="center" readingOrder="0" vertical="center"/>
    </xf>
    <xf borderId="1" fillId="3" fontId="126" numFmtId="49" xfId="0" applyAlignment="1" applyBorder="1" applyFill="1" applyFont="1" applyNumberFormat="1">
      <alignment horizontal="center" readingOrder="0" vertical="center"/>
    </xf>
    <xf borderId="105" fillId="4" fontId="19" numFmtId="0" xfId="0" applyAlignment="1" applyBorder="1" applyFill="1" applyFont="1">
      <alignment horizontal="center" readingOrder="0" vertical="center"/>
    </xf>
    <xf borderId="50" fillId="5" fontId="3" numFmtId="0" xfId="0" applyAlignment="1" applyBorder="1" applyFill="1" applyFont="1">
      <alignment horizontal="center" readingOrder="0" vertical="center"/>
    </xf>
    <xf borderId="1" fillId="23" fontId="103" numFmtId="164" xfId="0" applyAlignment="1" applyBorder="1" applyFill="1" applyFont="1" applyNumberFormat="1">
      <alignment horizontal="center" readingOrder="0" vertical="center"/>
    </xf>
    <xf borderId="1" fillId="23" fontId="123" numFmtId="0" xfId="0" applyAlignment="1" applyBorder="1" applyFill="1" applyFont="1">
      <alignment readingOrder="0" vertical="center"/>
    </xf>
    <xf borderId="1" fillId="23" fontId="59" numFmtId="0" xfId="0" applyAlignment="1" applyBorder="1" applyFill="1" applyFont="1">
      <alignment horizontal="center" readingOrder="0" vertical="center"/>
    </xf>
    <xf borderId="1" fillId="23" fontId="125" numFmtId="0" xfId="0" applyAlignment="1" applyBorder="1" applyFill="1" applyFont="1">
      <alignment horizontal="center" readingOrder="0" vertical="center"/>
    </xf>
    <xf borderId="50" fillId="23" fontId="14" numFmtId="0" xfId="0" applyAlignment="1" applyBorder="1" applyFill="1" applyFont="1">
      <alignment horizontal="center" readingOrder="0" vertical="center"/>
    </xf>
    <xf borderId="1" fillId="24" fontId="103" numFmtId="164" xfId="0" applyAlignment="1" applyBorder="1" applyFill="1" applyFont="1" applyNumberFormat="1">
      <alignment horizontal="center" readingOrder="0" vertical="center"/>
    </xf>
    <xf borderId="1" fillId="24" fontId="123" numFmtId="0" xfId="0" applyAlignment="1" applyBorder="1" applyFill="1" applyFont="1">
      <alignment readingOrder="0" vertical="center"/>
    </xf>
    <xf borderId="1" fillId="24" fontId="59" numFmtId="0" xfId="0" applyAlignment="1" applyBorder="1" applyFill="1" applyFont="1">
      <alignment horizontal="center" readingOrder="0" vertical="center"/>
    </xf>
    <xf borderId="1" fillId="24" fontId="125" numFmtId="0" xfId="0" applyAlignment="1" applyBorder="1" applyFill="1" applyFont="1">
      <alignment horizontal="center" readingOrder="0" vertical="center"/>
    </xf>
    <xf borderId="50" fillId="24" fontId="14" numFmtId="0" xfId="0" applyAlignment="1" applyBorder="1" applyFill="1" applyFont="1">
      <alignment horizontal="center" readingOrder="0" vertical="center"/>
    </xf>
    <xf borderId="1" fillId="25" fontId="103" numFmtId="164" xfId="0" applyAlignment="1" applyBorder="1" applyFill="1" applyFont="1" applyNumberFormat="1">
      <alignment horizontal="center" readingOrder="0" vertical="center"/>
    </xf>
    <xf borderId="1" fillId="25" fontId="123" numFmtId="0" xfId="0" applyAlignment="1" applyBorder="1" applyFill="1" applyFont="1">
      <alignment readingOrder="0" vertical="center"/>
    </xf>
    <xf borderId="1" fillId="25" fontId="59" numFmtId="0" xfId="0" applyAlignment="1" applyBorder="1" applyFill="1" applyFont="1">
      <alignment horizontal="center" readingOrder="0" vertical="center"/>
    </xf>
    <xf borderId="1" fillId="25" fontId="125" numFmtId="0" xfId="0" applyAlignment="1" applyBorder="1" applyFill="1" applyFont="1">
      <alignment horizontal="center" readingOrder="0" vertical="center"/>
    </xf>
    <xf borderId="50" fillId="25" fontId="14" numFmtId="0" xfId="0" applyAlignment="1" applyBorder="1" applyFill="1" applyFont="1">
      <alignment horizontal="center" readingOrder="0" vertical="center"/>
    </xf>
    <xf borderId="1" fillId="12" fontId="103" numFmtId="164" xfId="0" applyAlignment="1" applyBorder="1" applyFill="1" applyFont="1" applyNumberFormat="1">
      <alignment horizontal="center" readingOrder="0" vertical="center"/>
    </xf>
    <xf borderId="1" fillId="12" fontId="123" numFmtId="0" xfId="0" applyAlignment="1" applyBorder="1" applyFill="1" applyFont="1">
      <alignment readingOrder="0" vertical="center"/>
    </xf>
    <xf borderId="1" fillId="12" fontId="127" numFmtId="0" xfId="0" applyAlignment="1" applyBorder="1" applyFill="1" applyFont="1">
      <alignment horizontal="center" readingOrder="0" vertical="center"/>
    </xf>
    <xf borderId="1" fillId="12" fontId="125" numFmtId="0" xfId="0" applyAlignment="1" applyBorder="1" applyFill="1" applyFont="1">
      <alignment horizontal="center" readingOrder="0" vertical="center"/>
    </xf>
    <xf borderId="50" fillId="12" fontId="14" numFmtId="0" xfId="0" applyAlignment="1" applyBorder="1" applyFill="1" applyFont="1">
      <alignment horizontal="center" readingOrder="0" vertical="center"/>
    </xf>
    <xf borderId="1" fillId="26" fontId="103" numFmtId="164" xfId="0" applyAlignment="1" applyBorder="1" applyFill="1" applyFont="1" applyNumberFormat="1">
      <alignment horizontal="center" readingOrder="0" vertical="center"/>
    </xf>
    <xf borderId="4" fillId="8" fontId="20" numFmtId="0" xfId="0" applyAlignment="1" applyBorder="1" applyFill="1" applyFont="1">
      <alignment horizontal="center" readingOrder="0" vertical="center"/>
    </xf>
    <xf borderId="1" fillId="26" fontId="123" numFmtId="0" xfId="0" applyAlignment="1" applyBorder="1" applyFill="1" applyFont="1">
      <alignment readingOrder="0" vertical="center"/>
    </xf>
    <xf borderId="1" fillId="26" fontId="59" numFmtId="0" xfId="0" applyAlignment="1" applyBorder="1" applyFill="1" applyFont="1">
      <alignment horizontal="center" readingOrder="0" vertical="center"/>
    </xf>
    <xf borderId="10" fillId="4" fontId="118" numFmtId="0" xfId="0" applyAlignment="1" applyBorder="1" applyFill="1" applyFont="1">
      <alignment horizontal="center" readingOrder="0" vertical="center"/>
    </xf>
    <xf borderId="1" fillId="26" fontId="128" numFmtId="0" xfId="0" applyAlignment="1" applyBorder="1" applyFill="1" applyFont="1">
      <alignment horizontal="center" readingOrder="0" vertical="center"/>
    </xf>
    <xf borderId="50" fillId="26" fontId="14" numFmtId="0" xfId="0" applyAlignment="1" applyBorder="1" applyFill="1" applyFont="1">
      <alignment horizontal="center" readingOrder="0" vertical="center"/>
    </xf>
    <xf borderId="104" fillId="0" fontId="14" numFmtId="0" xfId="0" applyAlignment="1" applyBorder="1" applyFont="1">
      <alignment horizontal="center" readingOrder="0" vertical="center"/>
    </xf>
    <xf borderId="104" fillId="3" fontId="20" numFmtId="0" xfId="0" applyAlignment="1" applyBorder="1" applyFill="1" applyFont="1">
      <alignment horizontal="center" readingOrder="0" vertical="center"/>
    </xf>
    <xf borderId="107" fillId="3" fontId="7" numFmtId="0" xfId="0" applyBorder="1" applyFill="1" applyFont="1"/>
    <xf borderId="2" fillId="12" fontId="103" numFmtId="164" xfId="0" applyAlignment="1" applyBorder="1" applyFill="1" applyFont="1" applyNumberFormat="1">
      <alignment horizontal="center" readingOrder="0" vertical="center"/>
    </xf>
    <xf borderId="2" fillId="12" fontId="123" numFmtId="0" xfId="0" applyAlignment="1" applyBorder="1" applyFill="1" applyFont="1">
      <alignment readingOrder="0" vertical="center"/>
    </xf>
    <xf borderId="2" fillId="12" fontId="25" numFmtId="0" xfId="0" applyAlignment="1" applyBorder="1" applyFill="1" applyFont="1">
      <alignment horizontal="center" readingOrder="0" vertical="center"/>
    </xf>
    <xf borderId="2" fillId="12" fontId="125" numFmtId="0" xfId="0" applyAlignment="1" applyBorder="1" applyFill="1" applyFont="1">
      <alignment horizontal="center" readingOrder="0" vertical="center"/>
    </xf>
    <xf borderId="2" fillId="22" fontId="14" numFmtId="166" xfId="0" applyAlignment="1" applyBorder="1" applyFill="1" applyFont="1" applyNumberFormat="1">
      <alignment horizontal="center" readingOrder="0" vertical="center"/>
    </xf>
    <xf borderId="7" fillId="12" fontId="14" numFmtId="0" xfId="0" applyAlignment="1" applyBorder="1" applyFill="1" applyFont="1">
      <alignment horizontal="center" readingOrder="0" vertical="center"/>
    </xf>
    <xf borderId="2" fillId="3" fontId="126" numFmtId="49" xfId="0" applyAlignment="1" applyBorder="1" applyFill="1" applyFont="1" applyNumberFormat="1">
      <alignment horizontal="center" readingOrder="0" vertical="center"/>
    </xf>
    <xf borderId="108" fillId="3" fontId="103" numFmtId="164" xfId="0" applyAlignment="1" applyBorder="1" applyFill="1" applyFont="1" applyNumberFormat="1">
      <alignment horizontal="center" readingOrder="0" vertical="center"/>
    </xf>
    <xf borderId="108" fillId="12" fontId="123" numFmtId="0" xfId="0" applyAlignment="1" applyBorder="1" applyFill="1" applyFont="1">
      <alignment readingOrder="0" vertical="center"/>
    </xf>
    <xf borderId="109" fillId="12" fontId="59" numFmtId="0" xfId="0" applyAlignment="1" applyBorder="1" applyFill="1" applyFont="1">
      <alignment horizontal="center" readingOrder="0" vertical="center"/>
    </xf>
    <xf borderId="110" fillId="12" fontId="125" numFmtId="0" xfId="0" applyAlignment="1" applyBorder="1" applyFill="1" applyFont="1">
      <alignment horizontal="center" readingOrder="0" vertical="center"/>
    </xf>
    <xf borderId="107" fillId="4" fontId="7" numFmtId="0" xfId="0" applyBorder="1" applyFill="1" applyFont="1"/>
    <xf borderId="110" fillId="22" fontId="14" numFmtId="166" xfId="0" applyAlignment="1" applyBorder="1" applyFill="1" applyFont="1" applyNumberFormat="1">
      <alignment horizontal="center" readingOrder="0" vertical="center"/>
    </xf>
    <xf borderId="109" fillId="12" fontId="14" numFmtId="0" xfId="0" applyAlignment="1" applyBorder="1" applyFill="1" applyFont="1">
      <alignment horizontal="center" readingOrder="0" vertical="center"/>
    </xf>
    <xf borderId="111" fillId="3" fontId="7" numFmtId="0" xfId="0" applyBorder="1" applyFill="1" applyFont="1"/>
    <xf borderId="110" fillId="3" fontId="3" numFmtId="0" xfId="0" applyAlignment="1" applyBorder="1" applyFill="1" applyFont="1">
      <alignment horizontal="center" readingOrder="0" vertical="center"/>
    </xf>
    <xf borderId="110" fillId="3" fontId="126" numFmtId="49" xfId="0" applyAlignment="1" applyBorder="1" applyFill="1" applyFont="1" applyNumberFormat="1">
      <alignment horizontal="center" readingOrder="0" vertical="center"/>
    </xf>
    <xf borderId="1" fillId="4" fontId="103" numFmtId="164" xfId="0" applyAlignment="1" applyBorder="1" applyFill="1" applyFont="1" applyNumberFormat="1">
      <alignment horizontal="center" readingOrder="0" vertical="center"/>
    </xf>
    <xf borderId="50" fillId="12" fontId="59" numFmtId="0" xfId="0" applyAlignment="1" applyBorder="1" applyFill="1" applyFont="1">
      <alignment horizontal="center" readingOrder="0" vertical="center"/>
    </xf>
    <xf borderId="10" fillId="3" fontId="118" numFmtId="0" xfId="0" applyAlignment="1" applyBorder="1" applyFill="1" applyFont="1">
      <alignment horizontal="center" readingOrder="0" vertical="center"/>
    </xf>
    <xf borderId="3" fillId="3" fontId="103" numFmtId="164" xfId="0" applyAlignment="1" applyBorder="1" applyFill="1" applyFont="1" applyNumberFormat="1">
      <alignment horizontal="center" readingOrder="0" vertical="center"/>
    </xf>
    <xf borderId="2" fillId="25" fontId="123" numFmtId="0" xfId="0" applyAlignment="1" applyBorder="1" applyFill="1" applyFont="1">
      <alignment readingOrder="0" vertical="center"/>
    </xf>
    <xf borderId="104" fillId="4" fontId="20" numFmtId="0" xfId="0" applyAlignment="1" applyBorder="1" applyFill="1" applyFont="1">
      <alignment horizontal="center" readingOrder="0" vertical="center"/>
    </xf>
    <xf borderId="1" fillId="3" fontId="103" numFmtId="164" xfId="0" applyAlignment="1" applyBorder="1" applyFill="1" applyFont="1" applyNumberFormat="1">
      <alignment horizontal="center" readingOrder="0" vertical="center"/>
    </xf>
    <xf borderId="2" fillId="27" fontId="123" numFmtId="0" xfId="0" applyAlignment="1" applyBorder="1" applyFill="1" applyFont="1">
      <alignment readingOrder="0" vertical="center"/>
    </xf>
    <xf borderId="1" fillId="27" fontId="59" numFmtId="0" xfId="0" applyAlignment="1" applyBorder="1" applyFill="1" applyFont="1">
      <alignment horizontal="center" readingOrder="0" vertical="center"/>
    </xf>
    <xf borderId="1" fillId="27" fontId="125" numFmtId="0" xfId="0" applyAlignment="1" applyBorder="1" applyFill="1" applyFont="1">
      <alignment horizontal="center" readingOrder="0" vertical="center"/>
    </xf>
    <xf borderId="50" fillId="27" fontId="14" numFmtId="0" xfId="0" applyAlignment="1" applyBorder="1" applyFill="1" applyFont="1">
      <alignment horizontal="center" readingOrder="0" vertical="center"/>
    </xf>
    <xf borderId="7" fillId="3" fontId="129" numFmtId="0" xfId="0" applyAlignment="1" applyBorder="1" applyFill="1" applyFont="1">
      <alignment horizontal="center" readingOrder="0" textRotation="90" vertical="center"/>
    </xf>
    <xf borderId="2" fillId="28" fontId="123" numFmtId="0" xfId="0" applyAlignment="1" applyBorder="1" applyFill="1" applyFont="1">
      <alignment readingOrder="0" vertical="center"/>
    </xf>
    <xf borderId="1" fillId="29" fontId="59" numFmtId="0" xfId="0" applyAlignment="1" applyBorder="1" applyFill="1" applyFont="1">
      <alignment horizontal="center" readingOrder="0" vertical="center"/>
    </xf>
    <xf borderId="1" fillId="28" fontId="125" numFmtId="0" xfId="0" applyAlignment="1" applyBorder="1" applyFill="1" applyFont="1">
      <alignment horizontal="center" readingOrder="0" vertical="center"/>
    </xf>
    <xf borderId="50" fillId="28" fontId="14" numFmtId="0" xfId="0" applyAlignment="1" applyBorder="1" applyFill="1" applyFont="1">
      <alignment horizontal="center" readingOrder="0" vertical="center"/>
    </xf>
    <xf borderId="105" fillId="4" fontId="103" numFmtId="164" xfId="0" applyAlignment="1" applyBorder="1" applyFill="1" applyFont="1" applyNumberFormat="1">
      <alignment horizontal="center" readingOrder="0" vertical="center"/>
    </xf>
    <xf borderId="105" fillId="28" fontId="123" numFmtId="0" xfId="0" applyAlignment="1" applyBorder="1" applyFill="1" applyFont="1">
      <alignment readingOrder="0" vertical="center"/>
    </xf>
    <xf borderId="105" fillId="29" fontId="59" numFmtId="0" xfId="0" applyAlignment="1" applyBorder="1" applyFill="1" applyFont="1">
      <alignment horizontal="center" readingOrder="0" vertical="center"/>
    </xf>
    <xf borderId="2" fillId="28" fontId="125" numFmtId="0" xfId="0" applyAlignment="1" applyBorder="1" applyFill="1" applyFont="1">
      <alignment horizontal="center" readingOrder="0" vertical="center"/>
    </xf>
    <xf borderId="112" fillId="28" fontId="14" numFmtId="0" xfId="0" applyAlignment="1" applyBorder="1" applyFill="1" applyFont="1">
      <alignment horizontal="center" readingOrder="0" vertical="center"/>
    </xf>
    <xf borderId="113" fillId="4" fontId="7" numFmtId="0" xfId="0" applyBorder="1" applyFill="1" applyFont="1"/>
    <xf borderId="105" fillId="4" fontId="3" numFmtId="0" xfId="0" applyAlignment="1" applyBorder="1" applyFill="1" applyFont="1">
      <alignment horizontal="center" readingOrder="0" vertical="center"/>
    </xf>
    <xf borderId="7" fillId="5" fontId="3" numFmtId="0" xfId="0" applyAlignment="1" applyBorder="1" applyFill="1" applyFont="1">
      <alignment horizontal="center" readingOrder="0" vertical="center"/>
    </xf>
    <xf borderId="4" fillId="17" fontId="103" numFmtId="164" xfId="0" applyAlignment="1" applyBorder="1" applyFill="1" applyFont="1" applyNumberFormat="1">
      <alignment horizontal="center" readingOrder="0" vertical="center"/>
    </xf>
    <xf borderId="2" fillId="17" fontId="123" numFmtId="0" xfId="0" applyAlignment="1" applyBorder="1" applyFill="1" applyFont="1">
      <alignment readingOrder="0" vertical="center"/>
    </xf>
    <xf borderId="2" fillId="17" fontId="59" numFmtId="0" xfId="0" applyAlignment="1" applyBorder="1" applyFill="1" applyFont="1">
      <alignment horizontal="center" readingOrder="0" vertical="center"/>
    </xf>
    <xf borderId="4" fillId="17" fontId="125" numFmtId="0" xfId="0" applyAlignment="1" applyBorder="1" applyFill="1" applyFont="1">
      <alignment horizontal="center" readingOrder="0" vertical="center"/>
    </xf>
    <xf borderId="1" fillId="17" fontId="14" numFmtId="166" xfId="0" applyAlignment="1" applyBorder="1" applyFill="1" applyFont="1" applyNumberFormat="1">
      <alignment horizontal="center" readingOrder="0" vertical="center"/>
    </xf>
    <xf borderId="2" fillId="17" fontId="14" numFmtId="0" xfId="0" applyAlignment="1" applyBorder="1" applyFill="1" applyFont="1">
      <alignment horizontal="center" readingOrder="0" vertical="center"/>
    </xf>
    <xf borderId="4" fillId="3" fontId="130" numFmtId="0" xfId="0" applyAlignment="1" applyBorder="1" applyFill="1" applyFont="1">
      <alignment horizontal="center" readingOrder="0" vertical="center"/>
    </xf>
    <xf borderId="2" fillId="17" fontId="3" numFmtId="0" xfId="0" applyAlignment="1" applyBorder="1" applyFill="1" applyFont="1">
      <alignment horizontal="center" readingOrder="0" vertical="center"/>
    </xf>
    <xf borderId="3" fillId="4" fontId="103" numFmtId="164" xfId="0" applyAlignment="1" applyBorder="1" applyFill="1" applyFont="1" applyNumberFormat="1">
      <alignment horizontal="center" readingOrder="0" vertical="center"/>
    </xf>
    <xf borderId="110" fillId="27" fontId="125" numFmtId="0" xfId="0" applyAlignment="1" applyBorder="1" applyFill="1" applyFont="1">
      <alignment horizontal="center" readingOrder="0" vertical="center"/>
    </xf>
    <xf borderId="4" fillId="3" fontId="118" numFmtId="0" xfId="0" applyAlignment="1" applyBorder="1" applyFill="1" applyFont="1">
      <alignment horizontal="center" readingOrder="0" vertical="center"/>
    </xf>
    <xf borderId="4" fillId="0" fontId="118" numFmtId="0" xfId="0" applyAlignment="1" applyBorder="1" applyFont="1">
      <alignment horizontal="center" readingOrder="0" vertical="center"/>
    </xf>
    <xf borderId="1" fillId="29" fontId="128" numFmtId="49" xfId="0" applyAlignment="1" applyBorder="1" applyFill="1" applyFont="1" applyNumberFormat="1">
      <alignment horizontal="center" readingOrder="0" vertical="center"/>
    </xf>
    <xf borderId="2" fillId="23" fontId="123" numFmtId="0" xfId="0" applyAlignment="1" applyBorder="1" applyFill="1" applyFont="1">
      <alignment readingOrder="0" vertical="center"/>
    </xf>
    <xf borderId="4" fillId="3" fontId="131" numFmtId="0" xfId="0" applyAlignment="1" applyBorder="1" applyFill="1" applyFont="1">
      <alignment horizontal="center" readingOrder="0" vertical="center"/>
    </xf>
    <xf borderId="1" fillId="28" fontId="59" numFmtId="0" xfId="0" applyAlignment="1" applyBorder="1" applyFill="1" applyFont="1">
      <alignment horizontal="center" readingOrder="0" vertical="center"/>
    </xf>
    <xf borderId="5" fillId="0" fontId="118" numFmtId="0" xfId="0" applyAlignment="1" applyBorder="1" applyFont="1">
      <alignment horizontal="center" readingOrder="0" vertical="center"/>
    </xf>
    <xf borderId="105" fillId="23" fontId="123" numFmtId="0" xfId="0" applyAlignment="1" applyBorder="1" applyFill="1" applyFont="1">
      <alignment readingOrder="0" vertical="center"/>
    </xf>
    <xf borderId="2" fillId="23" fontId="59" numFmtId="0" xfId="0" applyAlignment="1" applyBorder="1" applyFill="1" applyFont="1">
      <alignment horizontal="center" readingOrder="0" vertical="center"/>
    </xf>
    <xf borderId="105" fillId="23" fontId="125" numFmtId="0" xfId="0" applyAlignment="1" applyBorder="1" applyFill="1" applyFont="1">
      <alignment horizontal="center" readingOrder="0" vertical="center"/>
    </xf>
    <xf borderId="7" fillId="23" fontId="14" numFmtId="0" xfId="0" applyAlignment="1" applyBorder="1" applyFill="1" applyFont="1">
      <alignment horizontal="center" readingOrder="0" vertical="center"/>
    </xf>
    <xf borderId="4" fillId="23" fontId="123" numFmtId="0" xfId="0" applyAlignment="1" applyBorder="1" applyFill="1" applyFont="1">
      <alignment readingOrder="0" vertical="center"/>
    </xf>
    <xf borderId="110" fillId="23" fontId="59" numFmtId="0" xfId="0" applyAlignment="1" applyBorder="1" applyFill="1" applyFont="1">
      <alignment horizontal="center" readingOrder="0" vertical="center"/>
    </xf>
    <xf borderId="3" fillId="23" fontId="125" numFmtId="0" xfId="0" applyAlignment="1" applyBorder="1" applyFill="1" applyFont="1">
      <alignment horizontal="center" readingOrder="0" vertical="center"/>
    </xf>
    <xf borderId="114" fillId="23" fontId="14" numFmtId="0" xfId="0" applyAlignment="1" applyBorder="1" applyFill="1" applyFont="1">
      <alignment horizontal="center" readingOrder="0" vertical="center"/>
    </xf>
    <xf borderId="115" fillId="3" fontId="7" numFmtId="0" xfId="0" applyBorder="1" applyFill="1" applyFont="1"/>
    <xf borderId="2" fillId="29" fontId="123" numFmtId="0" xfId="0" applyAlignment="1" applyBorder="1" applyFill="1" applyFont="1">
      <alignment readingOrder="0" vertical="center"/>
    </xf>
    <xf borderId="1" fillId="29" fontId="125" numFmtId="0" xfId="0" applyAlignment="1" applyBorder="1" applyFill="1" applyFont="1">
      <alignment horizontal="center" readingOrder="0" vertical="center"/>
    </xf>
    <xf borderId="2" fillId="4" fontId="103" numFmtId="164" xfId="0" applyAlignment="1" applyBorder="1" applyFill="1" applyFont="1" applyNumberFormat="1">
      <alignment horizontal="center" readingOrder="0" vertical="center"/>
    </xf>
    <xf borderId="2" fillId="27" fontId="59" numFmtId="0" xfId="0" applyAlignment="1" applyBorder="1" applyFill="1" applyFont="1">
      <alignment horizontal="center" readingOrder="0" vertical="center"/>
    </xf>
    <xf borderId="2" fillId="27" fontId="125" numFmtId="0" xfId="0" applyAlignment="1" applyBorder="1" applyFill="1" applyFont="1">
      <alignment horizontal="center" readingOrder="0" vertical="center"/>
    </xf>
    <xf borderId="7" fillId="27" fontId="14" numFmtId="0" xfId="0" applyAlignment="1" applyBorder="1" applyFill="1" applyFont="1">
      <alignment horizontal="center" readingOrder="0" vertical="center"/>
    </xf>
    <xf borderId="110" fillId="3" fontId="103" numFmtId="164" xfId="0" applyAlignment="1" applyBorder="1" applyFill="1" applyFont="1" applyNumberFormat="1">
      <alignment horizontal="center" readingOrder="0" vertical="center"/>
    </xf>
    <xf borderId="108" fillId="14" fontId="123" numFmtId="0" xfId="0" applyAlignment="1" applyBorder="1" applyFill="1" applyFont="1">
      <alignment readingOrder="0" vertical="center"/>
    </xf>
    <xf borderId="110" fillId="14" fontId="59" numFmtId="0" xfId="0" applyAlignment="1" applyBorder="1" applyFill="1" applyFont="1">
      <alignment horizontal="center" readingOrder="0" vertical="center"/>
    </xf>
    <xf borderId="110" fillId="14" fontId="125" numFmtId="0" xfId="0" applyAlignment="1" applyBorder="1" applyFill="1" applyFont="1">
      <alignment horizontal="center" readingOrder="0" vertical="center"/>
    </xf>
    <xf borderId="114" fillId="14" fontId="14" numFmtId="0" xfId="0" applyAlignment="1" applyBorder="1" applyFill="1" applyFont="1">
      <alignment horizontal="center" readingOrder="0" vertical="center"/>
    </xf>
    <xf borderId="1" fillId="14" fontId="123" numFmtId="0" xfId="0" applyAlignment="1" applyBorder="1" applyFill="1" applyFont="1">
      <alignment readingOrder="0" vertical="center"/>
    </xf>
    <xf borderId="1" fillId="14" fontId="59" numFmtId="0" xfId="0" applyAlignment="1" applyBorder="1" applyFill="1" applyFont="1">
      <alignment horizontal="center" readingOrder="0" vertical="center"/>
    </xf>
    <xf borderId="1" fillId="14" fontId="125" numFmtId="0" xfId="0" applyAlignment="1" applyBorder="1" applyFill="1" applyFont="1">
      <alignment horizontal="center" readingOrder="0" vertical="center"/>
    </xf>
    <xf borderId="50" fillId="14" fontId="14" numFmtId="0" xfId="0" applyAlignment="1" applyBorder="1" applyFill="1" applyFont="1">
      <alignment horizontal="center" readingOrder="0" vertical="center"/>
    </xf>
    <xf borderId="1" fillId="14" fontId="132" numFmtId="0" xfId="0" applyAlignment="1" applyBorder="1" applyFill="1" applyFont="1">
      <alignment horizontal="center" readingOrder="0" vertical="center"/>
    </xf>
    <xf borderId="1" fillId="14" fontId="133" numFmtId="0" xfId="0" applyAlignment="1" applyBorder="1" applyFill="1" applyFont="1">
      <alignment horizontal="center"/>
    </xf>
    <xf borderId="50" fillId="14" fontId="10" numFmtId="0" xfId="0" applyAlignment="1" applyBorder="1" applyFill="1" applyFont="1">
      <alignment horizontal="center"/>
    </xf>
    <xf borderId="7" fillId="28" fontId="14" numFmtId="0" xfId="0" applyAlignment="1" applyBorder="1" applyFill="1" applyFont="1">
      <alignment horizontal="center" readingOrder="0" vertical="center"/>
    </xf>
    <xf borderId="1" fillId="4" fontId="59" numFmtId="0" xfId="0" applyAlignment="1" applyBorder="1" applyFill="1" applyFont="1">
      <alignment horizontal="center" readingOrder="0" vertical="center"/>
    </xf>
    <xf borderId="1" fillId="3" fontId="134" numFmtId="0" xfId="0" applyAlignment="1" applyBorder="1" applyFill="1" applyFont="1">
      <alignment horizontal="center" readingOrder="0" vertical="center"/>
    </xf>
    <xf borderId="1" fillId="3" fontId="59" numFmtId="0" xfId="0" applyAlignment="1" applyBorder="1" applyFill="1" applyFont="1">
      <alignment horizontal="center" readingOrder="0" vertical="center"/>
    </xf>
    <xf borderId="1" fillId="4" fontId="123" numFmtId="0" xfId="0" applyAlignment="1" applyBorder="1" applyFill="1" applyFont="1">
      <alignment horizontal="center" readingOrder="0" vertical="center"/>
    </xf>
    <xf borderId="1" fillId="4" fontId="126" numFmtId="49" xfId="0" applyAlignment="1" applyBorder="1" applyFill="1" applyFont="1" applyNumberFormat="1">
      <alignment horizontal="center" readingOrder="0" vertical="center"/>
    </xf>
    <xf borderId="1" fillId="3" fontId="123" numFmtId="0" xfId="0" applyAlignment="1" applyBorder="1" applyFill="1" applyFont="1">
      <alignment horizontal="center" readingOrder="0" vertical="center"/>
    </xf>
    <xf borderId="0" fillId="4" fontId="103" numFmtId="164" xfId="0" applyAlignment="1" applyFill="1" applyFont="1" applyNumberFormat="1">
      <alignment horizontal="center" readingOrder="0" vertical="center"/>
    </xf>
    <xf borderId="0" fillId="4" fontId="123" numFmtId="0" xfId="0" applyAlignment="1" applyFill="1" applyFont="1">
      <alignment readingOrder="0" vertical="center"/>
    </xf>
    <xf borderId="0" fillId="4" fontId="59" numFmtId="0" xfId="0" applyAlignment="1" applyFill="1" applyFont="1">
      <alignment horizontal="center" readingOrder="0" vertical="center"/>
    </xf>
    <xf borderId="0" fillId="4" fontId="75" numFmtId="0" xfId="0" applyAlignment="1" applyFill="1" applyFont="1">
      <alignment horizontal="center" readingOrder="0" vertical="center"/>
    </xf>
    <xf borderId="0" fillId="4" fontId="14" numFmtId="166" xfId="0" applyAlignment="1" applyFill="1" applyFont="1" applyNumberFormat="1">
      <alignment horizontal="center" readingOrder="0" vertical="center"/>
    </xf>
    <xf borderId="0" fillId="4" fontId="126" numFmtId="49" xfId="0" applyAlignment="1" applyFill="1" applyFont="1" applyNumberFormat="1">
      <alignment horizontal="center" readingOrder="0" vertical="center"/>
    </xf>
    <xf borderId="0" fillId="3" fontId="103" numFmtId="164" xfId="0" applyAlignment="1" applyFill="1" applyFont="1" applyNumberFormat="1">
      <alignment horizontal="center" readingOrder="0" vertical="center"/>
    </xf>
    <xf borderId="0" fillId="3" fontId="123" numFmtId="0" xfId="0" applyAlignment="1" applyFill="1" applyFont="1">
      <alignment readingOrder="0" vertical="center"/>
    </xf>
    <xf borderId="0" fillId="3" fontId="59" numFmtId="0" xfId="0" applyAlignment="1" applyFill="1" applyFont="1">
      <alignment horizontal="center" readingOrder="0" vertical="center"/>
    </xf>
    <xf borderId="0" fillId="3" fontId="75" numFmtId="0" xfId="0" applyAlignment="1" applyFill="1" applyFont="1">
      <alignment horizontal="center" readingOrder="0" vertical="center"/>
    </xf>
    <xf borderId="0" fillId="3" fontId="14" numFmtId="166" xfId="0" applyAlignment="1" applyFill="1" applyFont="1" applyNumberFormat="1">
      <alignment horizontal="center" readingOrder="0" vertical="center"/>
    </xf>
    <xf borderId="0" fillId="3" fontId="126" numFmtId="49" xfId="0" applyAlignment="1" applyFill="1" applyFont="1" applyNumberFormat="1">
      <alignment horizontal="center" readingOrder="0" vertical="center"/>
    </xf>
    <xf borderId="3" fillId="4" fontId="14" numFmtId="166" xfId="0" applyAlignment="1" applyBorder="1" applyFill="1" applyFont="1" applyNumberFormat="1">
      <alignment horizontal="center" readingOrder="0" vertical="center"/>
    </xf>
    <xf borderId="1" fillId="3" fontId="14" numFmtId="166" xfId="0" applyAlignment="1" applyBorder="1" applyFill="1" applyFont="1" applyNumberFormat="1">
      <alignment horizontal="center" readingOrder="0" vertical="center"/>
    </xf>
    <xf borderId="1" fillId="4" fontId="14" numFmtId="166" xfId="0" applyAlignment="1" applyBorder="1" applyFill="1" applyFont="1" applyNumberFormat="1">
      <alignment horizontal="center" readingOrder="0" vertical="center"/>
    </xf>
    <xf borderId="106" fillId="3" fontId="20" numFmtId="0" xfId="0" applyAlignment="1" applyBorder="1" applyFill="1" applyFont="1">
      <alignment horizontal="center" readingOrder="0" vertical="center"/>
    </xf>
    <xf borderId="104" fillId="3" fontId="19" numFmtId="0" xfId="0" applyAlignment="1" applyBorder="1" applyFill="1" applyFont="1">
      <alignment horizontal="center" readingOrder="0" vertical="center"/>
    </xf>
    <xf borderId="104" fillId="8" fontId="20" numFmtId="0" xfId="0" applyAlignment="1" applyBorder="1" applyFill="1" applyFont="1">
      <alignment horizontal="center" readingOrder="0" vertical="center"/>
    </xf>
    <xf borderId="19" fillId="3" fontId="118" numFmtId="0" xfId="0" applyAlignment="1" applyBorder="1" applyFill="1" applyFont="1">
      <alignment horizontal="center" readingOrder="0" vertical="center"/>
    </xf>
    <xf borderId="19" fillId="0" fontId="118" numFmtId="0" xfId="0" applyAlignment="1" applyBorder="1" applyFont="1">
      <alignment horizontal="center" readingOrder="0" vertical="center"/>
    </xf>
    <xf borderId="106" fillId="4" fontId="20" numFmtId="0" xfId="0" applyAlignment="1" applyBorder="1" applyFill="1" applyFont="1">
      <alignment horizontal="center" readingOrder="0" vertical="center"/>
    </xf>
    <xf borderId="104" fillId="4" fontId="19" numFmtId="0" xfId="0" applyAlignment="1" applyBorder="1" applyFill="1" applyFont="1">
      <alignment horizontal="center" readingOrder="0" vertical="center"/>
    </xf>
    <xf borderId="19" fillId="4" fontId="118" numFmtId="0" xfId="0" applyAlignment="1" applyBorder="1" applyFill="1" applyFont="1">
      <alignment horizontal="center" readingOrder="0" vertical="center"/>
    </xf>
    <xf borderId="10" fillId="8" fontId="20" numFmtId="0" xfId="0" applyAlignment="1" applyBorder="1" applyFill="1" applyFont="1">
      <alignment horizontal="center" readingOrder="0" vertical="center"/>
    </xf>
    <xf borderId="69" fillId="4" fontId="118" numFmtId="0" xfId="0" applyAlignment="1" applyBorder="1" applyFill="1" applyFont="1">
      <alignment horizontal="center" readingOrder="0" vertical="center"/>
    </xf>
    <xf borderId="69" fillId="0" fontId="118" numFmtId="0" xfId="0" applyAlignment="1" applyBorder="1" applyFont="1">
      <alignment horizontal="center" readingOrder="0" vertical="center"/>
    </xf>
    <xf borderId="70" fillId="0" fontId="7" numFmtId="0" xfId="0" applyBorder="1" applyFont="1"/>
    <xf borderId="4" fillId="4" fontId="20" numFmtId="0" xfId="0" applyAlignment="1" applyBorder="1" applyFill="1" applyFont="1">
      <alignment horizontal="center" vertical="center"/>
    </xf>
    <xf borderId="4" fillId="4" fontId="8" numFmtId="0" xfId="0" applyAlignment="1" applyBorder="1" applyFill="1" applyFont="1">
      <alignment vertical="center"/>
    </xf>
    <xf borderId="4" fillId="0" fontId="10" numFmtId="0" xfId="0" applyAlignment="1" applyBorder="1" applyFont="1">
      <alignment horizontal="center" vertical="center"/>
    </xf>
    <xf borderId="1" fillId="0" fontId="10" numFmtId="0" xfId="0" applyAlignment="1" applyBorder="1" applyFont="1">
      <alignment horizontal="center" vertical="center"/>
    </xf>
    <xf borderId="1" fillId="4" fontId="8" numFmtId="0" xfId="0" applyAlignment="1" applyBorder="1" applyFill="1" applyFont="1">
      <alignment readingOrder="0" vertical="center"/>
    </xf>
    <xf borderId="10" fillId="4" fontId="8" numFmtId="0" xfId="0" applyAlignment="1" applyBorder="1" applyFill="1" applyFont="1">
      <alignment vertical="center"/>
    </xf>
    <xf borderId="5" fillId="0" fontId="8" numFmtId="0" xfId="0" applyAlignment="1" applyBorder="1" applyFont="1">
      <alignment vertical="center"/>
    </xf>
    <xf borderId="105" fillId="0" fontId="10" numFmtId="0" xfId="0" applyAlignment="1" applyBorder="1" applyFont="1">
      <alignment horizontal="center" vertical="center"/>
    </xf>
    <xf borderId="105" fillId="3" fontId="8" numFmtId="0" xfId="0" applyAlignment="1" applyBorder="1" applyFill="1" applyFont="1">
      <alignment vertical="center"/>
    </xf>
    <xf borderId="110" fillId="4" fontId="20" numFmtId="0" xfId="0" applyAlignment="1" applyBorder="1" applyFill="1" applyFont="1">
      <alignment horizontal="center" readingOrder="0" vertical="center"/>
    </xf>
    <xf borderId="71" fillId="0" fontId="7" numFmtId="0" xfId="0" applyBorder="1" applyFont="1"/>
    <xf borderId="0" fillId="0" fontId="3" numFmtId="0" xfId="0" applyAlignment="1" applyFont="1">
      <alignment horizontal="center" readingOrder="0" vertical="center"/>
    </xf>
    <xf borderId="5" fillId="0" fontId="3" numFmtId="0" xfId="0" applyAlignment="1" applyBorder="1" applyFont="1">
      <alignment horizontal="center" readingOrder="0" vertical="center"/>
    </xf>
    <xf borderId="0" fillId="0" fontId="82" numFmtId="0" xfId="0" applyAlignment="1" applyFont="1">
      <alignment readingOrder="0" shrinkToFit="0" vertical="bottom" wrapText="0"/>
    </xf>
    <xf borderId="0" fillId="0" fontId="81" numFmtId="0" xfId="0" applyAlignment="1" applyFont="1">
      <alignment horizontal="right" readingOrder="0" vertical="bottom"/>
    </xf>
    <xf borderId="110" fillId="3" fontId="5" numFmtId="0" xfId="0" applyAlignment="1" applyBorder="1" applyFill="1" applyFont="1">
      <alignment horizontal="center" readingOrder="0" vertical="center"/>
    </xf>
    <xf borderId="108" fillId="3" fontId="5" numFmtId="0" xfId="0" applyAlignment="1" applyBorder="1" applyFill="1" applyFont="1">
      <alignment horizontal="center" readingOrder="0" vertical="center"/>
    </xf>
    <xf borderId="108" fillId="3" fontId="3" numFmtId="0" xfId="0" applyAlignment="1" applyBorder="1" applyFill="1" applyFont="1">
      <alignment horizontal="center" readingOrder="0" vertical="center"/>
    </xf>
    <xf borderId="110" fillId="0" fontId="3" numFmtId="0" xfId="0" applyAlignment="1" applyBorder="1" applyFont="1">
      <alignment horizontal="center" readingOrder="0" vertical="center"/>
    </xf>
    <xf borderId="4" fillId="4" fontId="3" numFmtId="0" xfId="0" applyAlignment="1" applyBorder="1" applyFill="1" applyFont="1">
      <alignment horizontal="center" readingOrder="0" vertical="center"/>
    </xf>
    <xf borderId="105" fillId="4" fontId="5" numFmtId="0" xfId="0" applyAlignment="1" applyBorder="1" applyFill="1" applyFont="1">
      <alignment horizontal="center" readingOrder="0" vertical="center"/>
    </xf>
    <xf borderId="105" fillId="0" fontId="3" numFmtId="0" xfId="0" applyAlignment="1" applyBorder="1" applyFont="1">
      <alignment horizontal="center" readingOrder="0" vertical="center"/>
    </xf>
    <xf borderId="104" fillId="4" fontId="3" numFmtId="0" xfId="0" applyAlignment="1" applyBorder="1" applyFill="1" applyFont="1">
      <alignment horizontal="center" readingOrder="0" vertical="center"/>
    </xf>
    <xf borderId="69" fillId="3" fontId="3" numFmtId="164" xfId="0" applyAlignment="1" applyBorder="1" applyFill="1" applyFont="1" applyNumberFormat="1">
      <alignment horizontal="center" readingOrder="0" vertical="center"/>
    </xf>
    <xf borderId="3" fillId="0" fontId="3" numFmtId="0" xfId="0" applyAlignment="1" applyBorder="1" applyFont="1">
      <alignment horizontal="center" readingOrder="0" vertical="center"/>
    </xf>
    <xf borderId="105" fillId="3" fontId="3" numFmtId="0" xfId="0" applyAlignment="1" applyBorder="1" applyFill="1" applyFont="1">
      <alignment horizontal="center" readingOrder="0" vertical="center"/>
    </xf>
    <xf borderId="6" fillId="4" fontId="5" numFmtId="0" xfId="0" applyAlignment="1" applyBorder="1" applyFill="1" applyFont="1">
      <alignment horizontal="center" readingOrder="0" vertical="center"/>
    </xf>
    <xf borderId="9" fillId="3" fontId="5" numFmtId="0" xfId="0" applyAlignment="1" applyBorder="1" applyFill="1" applyFont="1">
      <alignment horizontal="center" readingOrder="0" vertical="center"/>
    </xf>
    <xf borderId="4" fillId="3" fontId="3" numFmtId="0" xfId="0" applyAlignment="1" applyBorder="1" applyFill="1" applyFont="1">
      <alignment horizontal="center" readingOrder="0" vertical="center"/>
    </xf>
    <xf borderId="69" fillId="4" fontId="3" numFmtId="164" xfId="0" applyAlignment="1" applyBorder="1" applyFill="1" applyFont="1" applyNumberFormat="1">
      <alignment horizontal="center" readingOrder="0" vertical="center"/>
    </xf>
    <xf borderId="111" fillId="4" fontId="5" numFmtId="0" xfId="0" applyAlignment="1" applyBorder="1" applyFill="1" applyFont="1">
      <alignment horizontal="center" readingOrder="0" vertical="center"/>
    </xf>
    <xf borderId="110" fillId="4" fontId="5" numFmtId="0" xfId="0" applyAlignment="1" applyBorder="1" applyFill="1" applyFont="1">
      <alignment horizontal="center" readingOrder="0" vertical="center"/>
    </xf>
    <xf borderId="108" fillId="4" fontId="5" numFmtId="0" xfId="0" applyAlignment="1" applyBorder="1" applyFill="1" applyFont="1">
      <alignment horizontal="center" readingOrder="0" vertical="center"/>
    </xf>
    <xf borderId="108" fillId="4" fontId="3" numFmtId="0" xfId="0" applyAlignment="1" applyBorder="1" applyFill="1" applyFont="1">
      <alignment horizontal="center" readingOrder="0" vertical="center"/>
    </xf>
    <xf borderId="110" fillId="4" fontId="3" numFmtId="0" xfId="0" applyAlignment="1" applyBorder="1" applyFill="1" applyFont="1">
      <alignment horizontal="center" readingOrder="0" vertical="center"/>
    </xf>
    <xf borderId="116" fillId="4" fontId="3" numFmtId="0" xfId="0" applyAlignment="1" applyBorder="1" applyFill="1" applyFont="1">
      <alignment horizontal="center" readingOrder="0" vertical="center"/>
    </xf>
    <xf borderId="49" fillId="3" fontId="5" numFmtId="0" xfId="0" applyAlignment="1" applyBorder="1" applyFill="1" applyFont="1">
      <alignment horizontal="center" readingOrder="0" vertical="center"/>
    </xf>
    <xf borderId="113" fillId="4" fontId="5" numFmtId="0" xfId="0" applyAlignment="1" applyBorder="1" applyFill="1" applyFont="1">
      <alignment horizontal="center" readingOrder="0" vertical="center"/>
    </xf>
    <xf borderId="117" fillId="3" fontId="5" numFmtId="0" xfId="0" applyAlignment="1" applyBorder="1" applyFill="1" applyFont="1">
      <alignment horizontal="center" readingOrder="0" vertical="center"/>
    </xf>
    <xf borderId="13" fillId="3" fontId="5" numFmtId="0" xfId="0" applyAlignment="1" applyBorder="1" applyFill="1" applyFont="1">
      <alignment horizontal="center" readingOrder="0" vertical="center"/>
    </xf>
    <xf borderId="69" fillId="3" fontId="5" numFmtId="0" xfId="0" applyAlignment="1" applyBorder="1" applyFill="1" applyFont="1">
      <alignment horizontal="center" readingOrder="0" vertical="center"/>
    </xf>
    <xf borderId="14" fillId="3" fontId="5" numFmtId="0" xfId="0" applyAlignment="1" applyBorder="1" applyFill="1" applyFont="1">
      <alignment horizontal="center" readingOrder="0" vertical="center"/>
    </xf>
    <xf borderId="69" fillId="3" fontId="3" numFmtId="0" xfId="0" applyAlignment="1" applyBorder="1" applyFill="1" applyFont="1">
      <alignment horizontal="center" readingOrder="0" vertical="center"/>
    </xf>
    <xf borderId="111" fillId="0" fontId="3" numFmtId="0" xfId="0" applyAlignment="1" applyBorder="1" applyFont="1">
      <alignment horizontal="center" readingOrder="0" vertical="center"/>
    </xf>
    <xf borderId="12" fillId="4" fontId="5" numFmtId="0" xfId="0" applyAlignment="1" applyBorder="1" applyFill="1" applyFont="1">
      <alignment horizontal="center" readingOrder="0" vertical="center"/>
    </xf>
    <xf borderId="16" fillId="4" fontId="5" numFmtId="0" xfId="0" applyAlignment="1" applyBorder="1" applyFill="1" applyFont="1">
      <alignment horizontal="center" readingOrder="0" vertical="center"/>
    </xf>
    <xf borderId="49" fillId="0" fontId="3" numFmtId="0" xfId="0" applyAlignment="1" applyBorder="1" applyFont="1">
      <alignment horizontal="center" readingOrder="0" vertical="center"/>
    </xf>
    <xf borderId="19" fillId="3" fontId="5" numFmtId="0" xfId="0" applyAlignment="1" applyBorder="1" applyFill="1" applyFont="1">
      <alignment horizontal="center" readingOrder="0" vertical="center"/>
    </xf>
    <xf borderId="18" fillId="3" fontId="5" numFmtId="0" xfId="0" applyAlignment="1" applyBorder="1" applyFill="1" applyFont="1">
      <alignment horizontal="center" readingOrder="0" vertical="center"/>
    </xf>
    <xf borderId="19" fillId="3" fontId="7" numFmtId="0" xfId="0" applyBorder="1" applyFill="1" applyFont="1"/>
    <xf borderId="113" fillId="0" fontId="3" numFmtId="0" xfId="0" applyAlignment="1" applyBorder="1" applyFont="1">
      <alignment horizontal="center" readingOrder="0" vertical="center"/>
    </xf>
    <xf borderId="15" fillId="4" fontId="5" numFmtId="0" xfId="0" applyAlignment="1" applyBorder="1" applyFill="1" applyFont="1">
      <alignment horizontal="center" readingOrder="0" vertical="center"/>
    </xf>
    <xf borderId="69" fillId="4" fontId="5" numFmtId="0" xfId="0" applyAlignment="1" applyBorder="1" applyFill="1" applyFont="1">
      <alignment horizontal="center" readingOrder="0" vertical="center"/>
    </xf>
    <xf borderId="115" fillId="4" fontId="3" numFmtId="0" xfId="0" applyAlignment="1" applyBorder="1" applyFill="1" applyFont="1">
      <alignment horizontal="center" readingOrder="0" vertical="center"/>
    </xf>
    <xf borderId="50" fillId="0" fontId="3" numFmtId="0" xfId="0" applyAlignment="1" applyBorder="1" applyFont="1">
      <alignment horizontal="center" readingOrder="0" vertical="center"/>
    </xf>
    <xf borderId="69" fillId="0" fontId="3" numFmtId="0" xfId="0" applyAlignment="1" applyBorder="1" applyFont="1">
      <alignment horizontal="center" readingOrder="0" vertical="center"/>
    </xf>
    <xf borderId="6" fillId="4" fontId="3" numFmtId="0" xfId="0" applyAlignment="1" applyBorder="1" applyFill="1" applyFont="1">
      <alignment horizontal="center" readingOrder="0" vertical="center"/>
    </xf>
    <xf borderId="17" fillId="3" fontId="5" numFmtId="0" xfId="0" applyAlignment="1" applyBorder="1" applyFill="1" applyFont="1">
      <alignment horizontal="center" readingOrder="0" vertical="center"/>
    </xf>
    <xf borderId="12" fillId="3" fontId="5" numFmtId="0" xfId="0" applyAlignment="1" applyBorder="1" applyFill="1" applyFont="1">
      <alignment horizontal="center" readingOrder="0" vertical="center"/>
    </xf>
    <xf borderId="71" fillId="0" fontId="3" numFmtId="0" xfId="0" applyAlignment="1" applyBorder="1" applyFont="1">
      <alignment horizontal="center" readingOrder="0" vertical="center"/>
    </xf>
    <xf borderId="49" fillId="3" fontId="3" numFmtId="0" xfId="0" applyAlignment="1" applyBorder="1" applyFill="1" applyFont="1">
      <alignment horizontal="center" readingOrder="0" vertical="center"/>
    </xf>
    <xf borderId="20" fillId="4" fontId="5" numFmtId="0" xfId="0" applyAlignment="1" applyBorder="1" applyFill="1" applyFont="1">
      <alignment horizontal="center" readingOrder="0" vertical="center"/>
    </xf>
    <xf borderId="18" fillId="4" fontId="7" numFmtId="0" xfId="0" applyBorder="1" applyFill="1" applyFont="1"/>
    <xf borderId="106" fillId="4" fontId="7" numFmtId="0" xfId="0" applyBorder="1" applyFill="1" applyFont="1"/>
    <xf borderId="7" fillId="0" fontId="3" numFmtId="0" xfId="0" applyAlignment="1" applyBorder="1" applyFont="1">
      <alignment horizontal="center" readingOrder="0" vertical="center"/>
    </xf>
    <xf borderId="9" fillId="4" fontId="3" numFmtId="0" xfId="0" applyAlignment="1" applyBorder="1" applyFill="1" applyFont="1">
      <alignment horizontal="center" readingOrder="0" vertical="center"/>
    </xf>
    <xf borderId="71" fillId="3" fontId="3" numFmtId="164" xfId="0" applyAlignment="1" applyBorder="1" applyFill="1" applyFont="1" applyNumberFormat="1">
      <alignment horizontal="center" readingOrder="0" vertical="center"/>
    </xf>
    <xf borderId="14" fillId="3" fontId="3" numFmtId="0" xfId="0" applyAlignment="1" applyBorder="1" applyFill="1" applyFont="1">
      <alignment horizontal="center" readingOrder="0" vertical="center"/>
    </xf>
    <xf borderId="13" fillId="0" fontId="3" numFmtId="0" xfId="0" applyAlignment="1" applyBorder="1" applyFont="1">
      <alignment horizontal="center" readingOrder="0" vertical="center"/>
    </xf>
    <xf borderId="117" fillId="3" fontId="3" numFmtId="0" xfId="0" applyAlignment="1" applyBorder="1" applyFill="1" applyFont="1">
      <alignment horizontal="center" readingOrder="0" vertical="center"/>
    </xf>
    <xf borderId="13" fillId="3" fontId="3" numFmtId="0" xfId="0" applyAlignment="1" applyBorder="1" applyFill="1" applyFont="1">
      <alignment horizontal="center" readingOrder="0" vertical="center"/>
    </xf>
    <xf borderId="71" fillId="4" fontId="5" numFmtId="0" xfId="0" applyAlignment="1" applyBorder="1" applyFill="1" applyFont="1">
      <alignment horizontal="center" readingOrder="0" vertical="center"/>
    </xf>
    <xf borderId="16" fillId="0" fontId="3" numFmtId="0" xfId="0" applyAlignment="1" applyBorder="1" applyFont="1">
      <alignment horizontal="center" readingOrder="0" vertical="center"/>
    </xf>
    <xf borderId="71" fillId="4" fontId="3" numFmtId="0" xfId="0" applyAlignment="1" applyBorder="1" applyFill="1" applyFont="1">
      <alignment horizontal="center" readingOrder="0" vertical="center"/>
    </xf>
    <xf borderId="51" fillId="4" fontId="3" numFmtId="0" xfId="0" applyAlignment="1" applyBorder="1" applyFill="1" applyFont="1">
      <alignment horizontal="center" readingOrder="0" vertical="center"/>
    </xf>
    <xf borderId="16" fillId="4" fontId="3" numFmtId="0" xfId="0" applyAlignment="1" applyBorder="1" applyFill="1" applyFont="1">
      <alignment horizontal="center" readingOrder="0" vertical="center"/>
    </xf>
    <xf borderId="51" fillId="3" fontId="5" numFmtId="0" xfId="0" applyAlignment="1" applyBorder="1" applyFill="1" applyFont="1">
      <alignment horizontal="center" readingOrder="0" vertical="center"/>
    </xf>
    <xf borderId="70" fillId="3" fontId="5" numFmtId="0" xfId="0" applyAlignment="1" applyBorder="1" applyFill="1" applyFont="1">
      <alignment horizontal="center" readingOrder="0" vertical="center"/>
    </xf>
    <xf borderId="71" fillId="3" fontId="3" numFmtId="0" xfId="0" applyAlignment="1" applyBorder="1" applyFill="1" applyFont="1">
      <alignment horizontal="center" readingOrder="0" vertical="center"/>
    </xf>
    <xf borderId="118" fillId="3" fontId="3" numFmtId="0" xfId="0" applyAlignment="1" applyBorder="1" applyFill="1" applyFont="1">
      <alignment horizontal="center" readingOrder="0" vertical="center"/>
    </xf>
    <xf borderId="18" fillId="3" fontId="3" numFmtId="0" xfId="0" applyAlignment="1" applyBorder="1" applyFill="1" applyFont="1">
      <alignment horizontal="center" readingOrder="0" vertical="center"/>
    </xf>
    <xf borderId="70" fillId="3" fontId="3" numFmtId="0" xfId="0" applyAlignment="1" applyBorder="1" applyFill="1" applyFont="1">
      <alignment horizontal="center" readingOrder="0" vertical="center"/>
    </xf>
    <xf borderId="71" fillId="4" fontId="3" numFmtId="164" xfId="0" applyAlignment="1" applyBorder="1" applyFill="1" applyFont="1" applyNumberFormat="1">
      <alignment horizontal="center" readingOrder="0" vertical="center"/>
    </xf>
    <xf borderId="117" fillId="4" fontId="5" numFmtId="0" xfId="0" applyAlignment="1" applyBorder="1" applyFill="1" applyFont="1">
      <alignment horizontal="center" readingOrder="0" vertical="center"/>
    </xf>
    <xf borderId="13" fillId="4" fontId="3" numFmtId="0" xfId="0" applyAlignment="1" applyBorder="1" applyFill="1" applyFont="1">
      <alignment horizontal="center" readingOrder="0" vertical="center"/>
    </xf>
    <xf borderId="15" fillId="0" fontId="3" numFmtId="0" xfId="0" applyAlignment="1" applyBorder="1" applyFont="1">
      <alignment horizontal="center" readingOrder="0" vertical="center"/>
    </xf>
    <xf borderId="15" fillId="4" fontId="3" numFmtId="0" xfId="0" applyAlignment="1" applyBorder="1" applyFill="1" applyFont="1">
      <alignment horizontal="center" readingOrder="0" vertical="center"/>
    </xf>
    <xf borderId="16" fillId="3" fontId="5" numFmtId="0" xfId="0" applyAlignment="1" applyBorder="1" applyFill="1" applyFont="1">
      <alignment horizontal="center" readingOrder="0" vertical="center"/>
    </xf>
    <xf borderId="17" fillId="0" fontId="3" numFmtId="0" xfId="0" applyAlignment="1" applyBorder="1" applyFont="1">
      <alignment horizontal="center" readingOrder="0" vertical="center"/>
    </xf>
    <xf borderId="17" fillId="3" fontId="3" numFmtId="0" xfId="0" applyAlignment="1" applyBorder="1" applyFill="1" applyFont="1">
      <alignment horizontal="center" readingOrder="0" vertical="center"/>
    </xf>
    <xf borderId="51" fillId="3" fontId="3" numFmtId="0" xfId="0" applyAlignment="1" applyBorder="1" applyFill="1" applyFont="1">
      <alignment horizontal="center" readingOrder="0" vertical="center"/>
    </xf>
    <xf borderId="16" fillId="3" fontId="3" numFmtId="0" xfId="0" applyAlignment="1" applyBorder="1" applyFill="1" applyFont="1">
      <alignment horizontal="center" readingOrder="0" vertical="center"/>
    </xf>
    <xf borderId="8" fillId="4" fontId="5" numFmtId="0" xfId="0" applyAlignment="1" applyBorder="1" applyFill="1" applyFont="1">
      <alignment horizontal="center" readingOrder="0" vertical="center"/>
    </xf>
    <xf borderId="19" fillId="4" fontId="7" numFmtId="0" xfId="0" applyBorder="1" applyFill="1" applyFont="1"/>
    <xf borderId="20" fillId="0" fontId="3" numFmtId="0" xfId="0" applyAlignment="1" applyBorder="1" applyFont="1">
      <alignment horizontal="center" readingOrder="0" vertical="center"/>
    </xf>
    <xf borderId="17" fillId="4" fontId="3" numFmtId="0" xfId="0" applyAlignment="1" applyBorder="1" applyFill="1" applyFont="1">
      <alignment horizontal="center" readingOrder="0" vertical="center"/>
    </xf>
    <xf borderId="8" fillId="4" fontId="3" numFmtId="0" xfId="0" applyAlignment="1" applyBorder="1" applyFill="1" applyFont="1">
      <alignment horizontal="center" readingOrder="0" vertical="center"/>
    </xf>
    <xf borderId="18" fillId="4" fontId="3" numFmtId="0" xfId="0" applyAlignment="1" applyBorder="1" applyFill="1" applyFont="1">
      <alignment horizontal="center" readingOrder="0" vertical="center"/>
    </xf>
    <xf borderId="70" fillId="4" fontId="3" numFmtId="0" xfId="0" applyAlignment="1" applyBorder="1" applyFill="1" applyFont="1">
      <alignment horizontal="center" readingOrder="0" vertical="center"/>
    </xf>
    <xf borderId="15" fillId="3" fontId="5" numFmtId="0" xfId="0" applyAlignment="1" applyBorder="1" applyFill="1" applyFont="1">
      <alignment horizontal="center" readingOrder="0" vertical="center"/>
    </xf>
    <xf borderId="16" fillId="3" fontId="10" numFmtId="0" xfId="0" applyAlignment="1" applyBorder="1" applyFill="1" applyFont="1">
      <alignment horizontal="center" readingOrder="0" vertical="center"/>
    </xf>
    <xf borderId="12" fillId="0" fontId="3" numFmtId="0" xfId="0" applyAlignment="1" applyBorder="1" applyFont="1">
      <alignment horizontal="center" readingOrder="0" vertical="center"/>
    </xf>
    <xf borderId="17" fillId="4" fontId="5" numFmtId="0" xfId="0" applyAlignment="1" applyBorder="1" applyFill="1" applyFont="1">
      <alignment horizontal="center" readingOrder="0" vertical="center"/>
    </xf>
    <xf borderId="51" fillId="0" fontId="3" numFmtId="0" xfId="0" applyAlignment="1" applyBorder="1" applyFont="1">
      <alignment horizontal="center" readingOrder="0" vertical="center"/>
    </xf>
    <xf borderId="20" fillId="3" fontId="5" numFmtId="0" xfId="0" applyAlignment="1" applyBorder="1" applyFill="1" applyFont="1">
      <alignment horizontal="center" readingOrder="0" vertical="center"/>
    </xf>
    <xf borderId="70" fillId="0" fontId="3" numFmtId="0" xfId="0" applyAlignment="1" applyBorder="1" applyFont="1">
      <alignment horizontal="center" readingOrder="0" vertical="center"/>
    </xf>
    <xf borderId="118" fillId="0" fontId="3" numFmtId="0" xfId="0" applyAlignment="1" applyBorder="1" applyFont="1">
      <alignment horizontal="center" readingOrder="0" vertical="center"/>
    </xf>
    <xf borderId="69" fillId="4" fontId="3" numFmtId="165" xfId="0" applyAlignment="1" applyBorder="1" applyFill="1" applyFont="1" applyNumberFormat="1">
      <alignment horizontal="center" readingOrder="0" vertical="center"/>
    </xf>
    <xf borderId="14" fillId="4" fontId="5" numFmtId="0" xfId="0" applyAlignment="1" applyBorder="1" applyFill="1" applyFont="1">
      <alignment horizontal="center" readingOrder="0" vertical="center"/>
    </xf>
    <xf borderId="13" fillId="4" fontId="5" numFmtId="0" xfId="0" applyAlignment="1" applyBorder="1" applyFill="1" applyFont="1">
      <alignment horizontal="center" readingOrder="0" vertical="center"/>
    </xf>
    <xf borderId="52" fillId="4" fontId="5" numFmtId="0" xfId="0" applyAlignment="1" applyBorder="1" applyFill="1" applyFont="1">
      <alignment horizontal="center" readingOrder="0" vertical="center"/>
    </xf>
    <xf borderId="14" fillId="4" fontId="3" numFmtId="0" xfId="0" applyAlignment="1" applyBorder="1" applyFill="1" applyFont="1">
      <alignment horizontal="center" readingOrder="0" vertical="center"/>
    </xf>
    <xf borderId="11" fillId="4" fontId="3" numFmtId="0" xfId="0" applyAlignment="1" applyBorder="1" applyFill="1" applyFont="1">
      <alignment horizontal="center" readingOrder="0" vertical="center"/>
    </xf>
    <xf borderId="119" fillId="4" fontId="3" numFmtId="0" xfId="0" applyAlignment="1" applyBorder="1" applyFill="1" applyFont="1">
      <alignment horizontal="center" readingOrder="0" vertical="center"/>
    </xf>
    <xf borderId="52" fillId="4" fontId="3" numFmtId="0" xfId="0" applyAlignment="1" applyBorder="1" applyFill="1" applyFont="1">
      <alignment horizontal="center" readingOrder="0" vertical="center"/>
    </xf>
    <xf borderId="120" fillId="4" fontId="3" numFmtId="0" xfId="0" applyAlignment="1" applyBorder="1" applyFill="1" applyFont="1">
      <alignment horizontal="center" readingOrder="0" vertical="center"/>
    </xf>
    <xf borderId="50" fillId="3" fontId="3" numFmtId="0" xfId="0" applyAlignment="1" applyBorder="1" applyFill="1" applyFont="1">
      <alignment horizontal="center" readingOrder="0" vertical="center"/>
    </xf>
    <xf borderId="121" fillId="3" fontId="3" numFmtId="0" xfId="0" applyAlignment="1" applyBorder="1" applyFill="1" applyFont="1">
      <alignment horizontal="center" readingOrder="0" vertical="center"/>
    </xf>
    <xf borderId="53" fillId="3" fontId="3" numFmtId="0" xfId="0" applyAlignment="1" applyBorder="1" applyFill="1" applyFont="1">
      <alignment horizontal="center" readingOrder="0" vertical="center"/>
    </xf>
    <xf borderId="122" fillId="3" fontId="3" numFmtId="0" xfId="0" applyAlignment="1" applyBorder="1" applyFill="1" applyFont="1">
      <alignment horizontal="center" readingOrder="0" vertical="center"/>
    </xf>
    <xf borderId="50" fillId="4" fontId="3" numFmtId="0" xfId="0" applyAlignment="1" applyBorder="1" applyFill="1" applyFont="1">
      <alignment horizontal="center" readingOrder="0" vertical="center"/>
    </xf>
    <xf borderId="123" fillId="4" fontId="3" numFmtId="0" xfId="0" applyAlignment="1" applyBorder="1" applyFill="1" applyFont="1">
      <alignment horizontal="center" readingOrder="0" vertical="center"/>
    </xf>
    <xf borderId="54" fillId="4" fontId="3" numFmtId="0" xfId="0" applyAlignment="1" applyBorder="1" applyFill="1" applyFont="1">
      <alignment horizontal="center" readingOrder="0" vertical="center"/>
    </xf>
    <xf borderId="124" fillId="4" fontId="3" numFmtId="0" xfId="0" applyAlignment="1" applyBorder="1" applyFill="1" applyFont="1">
      <alignment horizontal="center" readingOrder="0" vertical="center"/>
    </xf>
    <xf borderId="40" fillId="3" fontId="3" numFmtId="164" xfId="0" applyAlignment="1" applyBorder="1" applyFill="1" applyFont="1" applyNumberFormat="1">
      <alignment horizontal="center" readingOrder="0" vertical="center"/>
    </xf>
    <xf borderId="5" fillId="3" fontId="3" numFmtId="0" xfId="0" applyAlignment="1" applyBorder="1" applyFill="1" applyFont="1">
      <alignment horizontal="center" readingOrder="0" vertical="center"/>
    </xf>
    <xf borderId="41" fillId="4" fontId="5" numFmtId="0" xfId="0" applyAlignment="1" applyBorder="1" applyFill="1" applyFont="1">
      <alignment horizontal="center" readingOrder="0" vertical="center"/>
    </xf>
    <xf borderId="41" fillId="3" fontId="5" numFmtId="0" xfId="0" applyAlignment="1" applyBorder="1" applyFill="1" applyFont="1">
      <alignment horizontal="center" readingOrder="0" vertical="center"/>
    </xf>
    <xf borderId="6" fillId="3" fontId="3" numFmtId="0" xfId="0" applyAlignment="1" applyBorder="1" applyFill="1" applyFont="1">
      <alignment horizontal="center" readingOrder="0" vertical="center"/>
    </xf>
    <xf borderId="41" fillId="4" fontId="135" numFmtId="0" xfId="0" applyAlignment="1" applyBorder="1" applyFill="1" applyFont="1">
      <alignment horizontal="center" readingOrder="0" vertical="center"/>
    </xf>
    <xf borderId="3" fillId="4" fontId="135" numFmtId="0" xfId="0" applyAlignment="1" applyBorder="1" applyFill="1" applyFont="1">
      <alignment horizontal="center" readingOrder="0" vertical="center"/>
    </xf>
    <xf borderId="0" fillId="3" fontId="136" numFmtId="0" xfId="0" applyAlignment="1" applyFill="1" applyFont="1">
      <alignment horizontal="center" readingOrder="0" vertical="center"/>
    </xf>
    <xf borderId="1" fillId="0" fontId="137" numFmtId="0" xfId="0" applyAlignment="1" applyBorder="1" applyFont="1">
      <alignment horizontal="center" readingOrder="0" vertical="center"/>
    </xf>
    <xf borderId="8" fillId="0" fontId="137" numFmtId="0" xfId="0" applyAlignment="1" applyBorder="1" applyFont="1">
      <alignment horizontal="center" readingOrder="0" vertical="center"/>
    </xf>
    <xf borderId="1" fillId="4" fontId="137" numFmtId="0" xfId="0" applyAlignment="1" applyBorder="1" applyFill="1" applyFont="1">
      <alignment horizontal="center" readingOrder="0" vertical="center"/>
    </xf>
    <xf borderId="3" fillId="4" fontId="137" numFmtId="0" xfId="0" applyAlignment="1" applyBorder="1" applyFill="1" applyFont="1">
      <alignment horizontal="center" readingOrder="0" vertical="center"/>
    </xf>
    <xf borderId="6" fillId="4" fontId="137" numFmtId="0" xfId="0" applyAlignment="1" applyBorder="1" applyFill="1" applyFont="1">
      <alignment horizontal="center" readingOrder="0" vertical="center"/>
    </xf>
    <xf borderId="13" fillId="3" fontId="14" numFmtId="0" xfId="0" applyAlignment="1" applyBorder="1" applyFill="1" applyFont="1">
      <alignment horizontal="center" readingOrder="0" vertical="center"/>
    </xf>
    <xf borderId="31" fillId="4" fontId="5" numFmtId="0" xfId="0" applyAlignment="1" applyBorder="1" applyFill="1" applyFont="1">
      <alignment horizontal="center" readingOrder="0" vertical="center"/>
    </xf>
    <xf borderId="39" fillId="4" fontId="5" numFmtId="0" xfId="0" applyAlignment="1" applyBorder="1" applyFill="1" applyFont="1">
      <alignment horizontal="center" readingOrder="0" vertical="center"/>
    </xf>
    <xf borderId="4" fillId="3" fontId="3" numFmtId="164" xfId="0" applyAlignment="1" applyBorder="1" applyFill="1" applyFont="1" applyNumberFormat="1">
      <alignment horizontal="center" readingOrder="0" vertical="center"/>
    </xf>
    <xf borderId="41" fillId="4" fontId="6" numFmtId="0" xfId="0" applyAlignment="1" applyBorder="1" applyFill="1" applyFont="1">
      <alignment horizontal="center" readingOrder="0" vertical="center"/>
    </xf>
    <xf borderId="10" fillId="3" fontId="3" numFmtId="164" xfId="0" applyAlignment="1" applyBorder="1" applyFill="1" applyFont="1" applyNumberFormat="1">
      <alignment horizontal="center" readingOrder="0" vertical="center"/>
    </xf>
    <xf borderId="115" fillId="3" fontId="14" numFmtId="0" xfId="0" applyAlignment="1" applyBorder="1" applyFill="1" applyFont="1">
      <alignment horizontal="center" readingOrder="0" vertical="center"/>
    </xf>
    <xf borderId="16" fillId="4" fontId="138" numFmtId="0" xfId="0" applyAlignment="1" applyBorder="1" applyFill="1" applyFont="1">
      <alignment horizontal="center" readingOrder="0" vertical="center"/>
    </xf>
    <xf borderId="125" fillId="4" fontId="138" numFmtId="0" xfId="0" applyAlignment="1" applyBorder="1" applyFill="1" applyFont="1">
      <alignment horizontal="center" readingOrder="0" vertical="center"/>
    </xf>
    <xf borderId="51" fillId="4" fontId="138" numFmtId="0" xfId="0" applyAlignment="1" applyBorder="1" applyFill="1" applyFont="1">
      <alignment horizontal="center" readingOrder="0" vertical="center"/>
    </xf>
    <xf borderId="6" fillId="4" fontId="139" numFmtId="0" xfId="0" applyAlignment="1" applyBorder="1" applyFill="1" applyFont="1">
      <alignment horizontal="center" readingOrder="0" vertical="center"/>
    </xf>
    <xf borderId="49" fillId="0" fontId="139" numFmtId="0" xfId="0" applyAlignment="1" applyBorder="1" applyFont="1">
      <alignment horizontal="center" readingOrder="0" vertical="center"/>
    </xf>
    <xf borderId="1" fillId="0" fontId="139" numFmtId="0" xfId="0" applyAlignment="1" applyBorder="1" applyFont="1">
      <alignment horizontal="center" readingOrder="0" vertical="center"/>
    </xf>
    <xf borderId="1" fillId="4" fontId="139" numFmtId="0" xfId="0" applyAlignment="1" applyBorder="1" applyFill="1" applyFont="1">
      <alignment horizontal="center" readingOrder="0" vertical="center"/>
    </xf>
    <xf borderId="1" fillId="4" fontId="64" numFmtId="0" xfId="0" applyAlignment="1" applyBorder="1" applyFill="1" applyFont="1">
      <alignment horizontal="center" readingOrder="0" vertical="center"/>
    </xf>
    <xf borderId="125" fillId="4" fontId="5" numFmtId="0" xfId="0" applyAlignment="1" applyBorder="1" applyFill="1" applyFont="1">
      <alignment horizontal="center" readingOrder="0" vertical="center"/>
    </xf>
    <xf borderId="9" fillId="4" fontId="5" numFmtId="0" xfId="0" applyAlignment="1" applyBorder="1" applyFill="1" applyFont="1">
      <alignment horizontal="center" readingOrder="0" vertical="center"/>
    </xf>
    <xf borderId="2" fillId="3" fontId="74" numFmtId="0" xfId="0" applyAlignment="1" applyBorder="1" applyFill="1" applyFont="1">
      <alignment horizontal="center" readingOrder="0" shrinkToFit="0" vertical="center" wrapText="1"/>
    </xf>
    <xf borderId="125" fillId="3" fontId="5" numFmtId="0" xfId="0" applyAlignment="1" applyBorder="1" applyFill="1" applyFont="1">
      <alignment horizontal="center" readingOrder="0" vertical="center"/>
    </xf>
    <xf borderId="52" fillId="3" fontId="140" numFmtId="0" xfId="0" applyAlignment="1" applyBorder="1" applyFill="1" applyFont="1">
      <alignment horizontal="center" readingOrder="0" vertical="center"/>
    </xf>
    <xf borderId="1" fillId="3" fontId="140" numFmtId="0" xfId="0" applyAlignment="1" applyBorder="1" applyFill="1" applyFont="1">
      <alignment horizontal="center" readingOrder="0" vertical="center"/>
    </xf>
    <xf borderId="1" fillId="3" fontId="136" numFmtId="0" xfId="0" applyAlignment="1" applyBorder="1" applyFill="1" applyFont="1">
      <alignment horizontal="center" readingOrder="0" vertical="center"/>
    </xf>
    <xf borderId="1" fillId="0" fontId="141" numFmtId="0" xfId="0" applyAlignment="1" applyBorder="1" applyFont="1">
      <alignment horizontal="center" readingOrder="0" vertical="center"/>
    </xf>
    <xf borderId="1" fillId="3" fontId="141" numFmtId="0" xfId="0" applyAlignment="1" applyBorder="1" applyFill="1" applyFont="1">
      <alignment horizontal="center" readingOrder="0" vertical="center"/>
    </xf>
    <xf borderId="7" fillId="4" fontId="3" numFmtId="164" xfId="0" applyAlignment="1" applyBorder="1" applyFill="1" applyFont="1" applyNumberFormat="1">
      <alignment horizontal="center" readingOrder="0" vertical="center"/>
    </xf>
    <xf borderId="1" fillId="3" fontId="1" numFmtId="0" xfId="0" applyBorder="1" applyFill="1" applyFont="1"/>
    <xf borderId="3" fillId="4" fontId="5" numFmtId="0" xfId="0" applyAlignment="1" applyBorder="1" applyFill="1" applyFont="1">
      <alignment horizontal="center" readingOrder="0" vertical="center"/>
    </xf>
    <xf borderId="126" fillId="3" fontId="142" numFmtId="0" xfId="0" applyAlignment="1" applyBorder="1" applyFill="1" applyFont="1">
      <alignment horizontal="center"/>
    </xf>
    <xf borderId="51" fillId="3" fontId="8" numFmtId="0" xfId="0" applyBorder="1" applyFill="1" applyFont="1"/>
    <xf borderId="125" fillId="3" fontId="8" numFmtId="0" xfId="0" applyBorder="1" applyFill="1" applyFont="1"/>
    <xf borderId="6" fillId="3" fontId="143" numFmtId="0" xfId="0" applyAlignment="1" applyBorder="1" applyFill="1" applyFont="1">
      <alignment horizontal="center"/>
    </xf>
    <xf borderId="49" fillId="0" fontId="144" numFmtId="0" xfId="0" applyAlignment="1" applyBorder="1" applyFont="1">
      <alignment horizontal="center"/>
    </xf>
    <xf borderId="1" fillId="0" fontId="144" numFmtId="0" xfId="0" applyAlignment="1" applyBorder="1" applyFont="1">
      <alignment horizontal="center"/>
    </xf>
    <xf borderId="1" fillId="3" fontId="143" numFmtId="0" xfId="0" applyAlignment="1" applyBorder="1" applyFill="1" applyFont="1">
      <alignment horizontal="center" readingOrder="0"/>
    </xf>
    <xf borderId="1" fillId="3" fontId="143" numFmtId="0" xfId="0" applyAlignment="1" applyBorder="1" applyFill="1" applyFont="1">
      <alignment horizontal="center"/>
    </xf>
    <xf borderId="1" fillId="3" fontId="145" numFmtId="0" xfId="0" applyAlignment="1" applyBorder="1" applyFill="1" applyFont="1">
      <alignment horizontal="center" readingOrder="0"/>
    </xf>
    <xf borderId="101" fillId="4" fontId="5" numFmtId="0" xfId="0" applyAlignment="1" applyBorder="1" applyFill="1" applyFont="1">
      <alignment horizontal="center" readingOrder="0" vertical="center"/>
    </xf>
    <xf borderId="127" fillId="4" fontId="7" numFmtId="0" xfId="0" applyBorder="1" applyFill="1" applyFont="1"/>
    <xf borderId="101" fillId="3" fontId="5" numFmtId="0" xfId="0" applyAlignment="1" applyBorder="1" applyFill="1" applyFont="1">
      <alignment horizontal="center" readingOrder="0" vertical="center"/>
    </xf>
    <xf borderId="127" fillId="3" fontId="7" numFmtId="0" xfId="0" applyBorder="1" applyFill="1" applyFont="1"/>
    <xf borderId="126" fillId="4" fontId="142" numFmtId="0" xfId="0" applyAlignment="1" applyBorder="1" applyFill="1" applyFont="1">
      <alignment horizontal="center"/>
    </xf>
    <xf borderId="51" fillId="4" fontId="8" numFmtId="0" xfId="0" applyBorder="1" applyFill="1" applyFont="1"/>
    <xf borderId="125" fillId="4" fontId="8" numFmtId="0" xfId="0" applyBorder="1" applyFill="1" applyFont="1"/>
    <xf borderId="6" fillId="4" fontId="143" numFmtId="0" xfId="0" applyAlignment="1" applyBorder="1" applyFill="1" applyFont="1">
      <alignment horizontal="center"/>
    </xf>
    <xf borderId="1" fillId="4" fontId="143" numFmtId="0" xfId="0" applyAlignment="1" applyBorder="1" applyFill="1" applyFont="1">
      <alignment horizontal="center" readingOrder="0"/>
    </xf>
    <xf borderId="1" fillId="4" fontId="143" numFmtId="0" xfId="0" applyAlignment="1" applyBorder="1" applyFill="1" applyFont="1">
      <alignment horizontal="center"/>
    </xf>
    <xf borderId="1" fillId="4" fontId="145" numFmtId="0" xfId="0" applyAlignment="1" applyBorder="1" applyFill="1" applyFont="1">
      <alignment horizontal="center" readingOrder="0"/>
    </xf>
    <xf borderId="120" fillId="3" fontId="142" numFmtId="0" xfId="0" applyAlignment="1" applyBorder="1" applyFill="1" applyFont="1">
      <alignment horizontal="center" readingOrder="0" vertical="center"/>
    </xf>
    <xf borderId="122" fillId="4" fontId="7" numFmtId="0" xfId="0" applyBorder="1" applyFill="1" applyFont="1"/>
    <xf borderId="122" fillId="3" fontId="7" numFmtId="0" xfId="0" applyBorder="1" applyFill="1" applyFont="1"/>
    <xf borderId="52" fillId="4" fontId="8" numFmtId="0" xfId="0" applyBorder="1" applyFill="1" applyFont="1"/>
    <xf borderId="7" fillId="4" fontId="5" numFmtId="0" xfId="0" applyAlignment="1" applyBorder="1" applyFill="1" applyFont="1">
      <alignment horizontal="center" readingOrder="0" vertical="center"/>
    </xf>
    <xf borderId="50" fillId="3" fontId="5" numFmtId="0" xfId="0" applyAlignment="1" applyBorder="1" applyFill="1" applyFont="1">
      <alignment horizontal="center" readingOrder="0" vertical="center"/>
    </xf>
    <xf borderId="9" fillId="0" fontId="144" numFmtId="0" xfId="0" applyAlignment="1" applyBorder="1" applyFont="1">
      <alignment horizontal="center" vertical="center"/>
    </xf>
    <xf borderId="50" fillId="4" fontId="5" numFmtId="0" xfId="0" applyAlignment="1" applyBorder="1" applyFill="1" applyFont="1">
      <alignment horizontal="center" readingOrder="0" vertical="center"/>
    </xf>
    <xf borderId="120" fillId="4" fontId="142" numFmtId="0" xfId="0" applyAlignment="1" applyBorder="1" applyFill="1" applyFont="1">
      <alignment horizontal="center" readingOrder="0" vertical="center"/>
    </xf>
    <xf borderId="49" fillId="4" fontId="5" numFmtId="0" xfId="0" applyAlignment="1" applyBorder="1" applyFill="1" applyFont="1">
      <alignment horizontal="center" readingOrder="0" vertical="center"/>
    </xf>
    <xf borderId="5" fillId="4" fontId="143" numFmtId="0" xfId="0" applyAlignment="1" applyBorder="1" applyFill="1" applyFont="1">
      <alignment horizontal="center"/>
    </xf>
    <xf borderId="108" fillId="3" fontId="3" numFmtId="164" xfId="0" applyAlignment="1" applyBorder="1" applyFill="1" applyFont="1" applyNumberFormat="1">
      <alignment horizontal="center" readingOrder="0" vertical="center"/>
    </xf>
    <xf borderId="128" fillId="3" fontId="142" numFmtId="0" xfId="0" applyAlignment="1" applyBorder="1" applyFill="1" applyFont="1">
      <alignment horizontal="center" readingOrder="0" vertical="center"/>
    </xf>
    <xf borderId="108" fillId="3" fontId="14" numFmtId="0" xfId="0" applyAlignment="1" applyBorder="1" applyFill="1" applyFont="1">
      <alignment horizontal="center" readingOrder="0" vertical="center"/>
    </xf>
    <xf borderId="115" fillId="0" fontId="144" numFmtId="0" xfId="0" applyAlignment="1" applyBorder="1" applyFont="1">
      <alignment horizontal="center" vertical="center"/>
    </xf>
    <xf borderId="108" fillId="0" fontId="3" numFmtId="0" xfId="0" applyAlignment="1" applyBorder="1" applyFont="1">
      <alignment horizontal="center" readingOrder="0" vertical="center"/>
    </xf>
    <xf borderId="128" fillId="4" fontId="142" numFmtId="0" xfId="0" applyAlignment="1" applyBorder="1" applyFill="1" applyFont="1">
      <alignment horizontal="center" readingOrder="0" vertical="center"/>
    </xf>
    <xf borderId="5" fillId="4" fontId="143" numFmtId="0" xfId="0" applyAlignment="1" applyBorder="1" applyFill="1" applyFont="1">
      <alignment horizontal="center" vertical="center"/>
    </xf>
    <xf borderId="109" fillId="0" fontId="3" numFmtId="0" xfId="0" applyAlignment="1" applyBorder="1" applyFont="1">
      <alignment horizontal="center" readingOrder="0" vertical="center"/>
    </xf>
    <xf borderId="84" fillId="4" fontId="3" numFmtId="0" xfId="0" applyAlignment="1" applyBorder="1" applyFill="1" applyFont="1">
      <alignment horizontal="center" readingOrder="0" vertical="center"/>
    </xf>
    <xf borderId="84" fillId="3" fontId="3" numFmtId="0" xfId="0" applyAlignment="1" applyBorder="1" applyFill="1" applyFont="1">
      <alignment horizontal="center" readingOrder="0" vertical="center"/>
    </xf>
    <xf borderId="69" fillId="0" fontId="144" numFmtId="0" xfId="0" applyAlignment="1" applyBorder="1" applyFont="1">
      <alignment horizontal="center" vertical="center"/>
    </xf>
    <xf borderId="117" fillId="0" fontId="3" numFmtId="0" xfId="0" applyAlignment="1" applyBorder="1" applyFont="1">
      <alignment horizontal="center" readingOrder="0" vertical="center"/>
    </xf>
    <xf borderId="4" fillId="4" fontId="3" numFmtId="164" xfId="0" applyAlignment="1" applyBorder="1" applyFill="1" applyFont="1" applyNumberFormat="1">
      <alignment horizontal="center" readingOrder="0" vertical="center"/>
    </xf>
    <xf borderId="108" fillId="4" fontId="14" numFmtId="0" xfId="0" applyAlignment="1" applyBorder="1" applyFill="1" applyFont="1">
      <alignment horizontal="center"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6200"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3340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19075"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57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715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66725" cy="4953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DOMAINE | PW05" id="{554ddddf-fb45-4b5c-bb7d-7df7db446532}" providerId="google-sheets"/>
  <x18tc:person displayName="AGENT RH DOUMINE &quot;PW09&quot;" id="{1d1d7772-c040-48ae-87a0-d5eec1395328}" providerId="google-sheets"/>
  <x18tc:person displayName="Agent RH PW02" id="{58362980-0e9b-4492-8daf-a6c73ed104eb}" providerId="google-sheets"/>
  <x18tc:person displayName="Agent RH" id="{e9ed9843-a933-414b-be7a-d0a2984c5252}" providerId="google-sheets"/>
  <x18tc:person displayName="Agent RH" id="{6dff3f79-be7f-44c8-9d5f-899d75f671f8}" providerId="google-sheets"/>
  <x18tc:person displayName="Agent RH" id="{bb9207a2-bbc8-4d10-ab45-555625c48e7b}" providerId="google-sheets"/>
  <x18tc:person displayName="jawad.moqairita@pepperworld.ma" id="{2537390a-2d73-4bb3-9079-bf5eb0612876}" userId="jawad.moqairita@pepperworld.m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51" dT="2026-05-12T12:08:57.00" personId="{bb9207a2-bbc8-4d10-ab45-555625c48e7b}" id="{fc52540c-7623-4019-8a1d-34a2b57553f8}" done="0">
    <x18tc:text xml:space="preserve">4 personnes -1 pour chacun</x18tc:text>
  </x18tc:threadedComment>
  <x18tc:threadedComment ref="I320" dT="2026-05-12T12:03:01.00" personId="{bb9207a2-bbc8-4d10-ab45-555625c48e7b}" id="{05ebba23-bb35-45dd-ad3a-66f7f4631293}" done="0">
    <x18tc:text xml:space="preserve">milouda  -1.5h</x18tc:text>
  </x18tc:threadedComment>
  <x18tc:threadedComment ref="I128" dT="2026-05-12T12:06:36.00" personId="{bb9207a2-bbc8-4d10-ab45-555625c48e7b}" id="{b9336c43-2d3d-440b-a577-ae9b4ea6c426}" done="0">
    <x18tc:text xml:space="preserve">3 personnes  -2h pour chacun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7" dT="2026-08-22T12:08:48.00" personId="{58362980-0e9b-4492-8daf-a6c73ed104eb}" id="{29463904-e739-4fae-a5b0-c705d367948d}" done="0">
    <x18tc:text xml:space="preserve">BESOIN DE OUPERATION EFFOYAGE</x18tc:text>
  </x18tc:threadedComment>
  <x18tc:threadedComment ref="B55" dT="2026-08-22T12:04:10.00" personId="{58362980-0e9b-4492-8daf-a6c73ed104eb}" id="{432e54f8-3064-4eff-8952-d436495ceaf9}" done="0">
    <x18tc:text xml:space="preserve">BESOIN DE OUPERATION EFFOYAGE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148" dT="2026-08-05T07:46:32.00" personId="{554ddddf-fb45-4b5c-bb7d-7df7db446532}" id="{df8e3e43-673b-49e8-b5d7-e64d8cbc6e5e}" done="0">
    <x18tc:text xml:space="preserve">25 DH POUR 1 PIECE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68" dT="2026-09-07T12:20:17.00" personId="{1d1d7772-c040-48ae-87a0-d5eec1395328}" id="{705464b0-148c-44bf-92ae-b1224ff874fb}" done="0">
    <x18tc:text xml:space="preserve">DEUX PERSONNES ONT -2H</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57" dT="2026-06-06T11:43:24.00" personId="{e9ed9843-a933-414b-be7a-d0a2984c5252}" id="{0e3eacdc-8f3f-42bc-8fd0-908400979736}" done="0">
    <x18tc:text xml:space="preserve">@jawad.moqairita@pepperworld.ma 
01 Personne travail : 04 Heurs</x18tc:text>
    <x18tc:mentions>
      <x18tc:mention mentionpersonId="{2537390a-2d73-4bb3-9079-bf5eb0612876}" mentionId="{a8c9af67-71e2-4b9e-bfee-d93c566378b1}" startIndex="0" length="31"/>
    </x18tc:mentions>
  </x18tc:threadedComment>
  <x18tc:threadedComment ref="L293" dT="2026-09-07T10:11:08.00" personId="{e9ed9843-a933-414b-be7a-d0a2984c5252}" id="{3d938991-c8a9-490f-bab5-660526711efb}" done="0">
    <x18tc:text xml:space="preserve">02 personne Sortie 11:00 [04 heur/personne]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6" dT="2026-07-29T08:14:46.00" personId="{6dff3f79-be7f-44c8-9d5f-899d75f671f8}" id="{4d9476ef-9bb9-4628-a4a2-3bd2ab671d98}" done="1">
    <x18tc:text xml:space="preserve">PRIX</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1.xml"/><Relationship Id="rId5"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4.xml"/><Relationship Id="rId5"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75" outlineLevelRow="1"/>
  <cols>
    <col customWidth="1" min="1" max="1" width="16.63"/>
    <col customWidth="1" min="2" max="2" width="21.38"/>
    <col customWidth="1" min="3" max="3" width="12.63"/>
    <col customWidth="1" min="4" max="4" width="15.13"/>
    <col customWidth="1" min="5" max="5" width="11.38"/>
    <col customWidth="1" min="6" max="6" width="24.13"/>
    <col customWidth="1" min="9" max="10" width="12.75"/>
    <col customWidth="1" min="11" max="11" width="13.38"/>
    <col customWidth="1" min="12" max="12" width="9.25"/>
    <col customWidth="1" min="13" max="16" width="12.75"/>
  </cols>
  <sheetData>
    <row r="1">
      <c r="A1" s="42"/>
      <c r="C1" s="43" t="s">
        <v>29</v>
      </c>
      <c r="D1" s="44"/>
      <c r="E1" s="44"/>
      <c r="F1" s="45"/>
      <c r="G1" s="46"/>
      <c r="H1" s="46"/>
      <c r="I1" s="46"/>
      <c r="J1" s="46"/>
      <c r="K1" s="46"/>
      <c r="L1" s="46"/>
      <c r="M1" s="46"/>
      <c r="N1" s="46"/>
      <c r="O1" s="46"/>
      <c r="P1" s="46"/>
    </row>
    <row r="2">
      <c r="C2" s="47"/>
      <c r="F2" s="48"/>
      <c r="G2" s="46"/>
      <c r="H2" s="46"/>
      <c r="I2" s="46"/>
      <c r="J2" s="46"/>
      <c r="K2" s="46"/>
      <c r="L2" s="46"/>
      <c r="M2" s="46"/>
      <c r="N2" s="46"/>
      <c r="O2" s="46"/>
      <c r="P2" s="46"/>
    </row>
    <row r="3">
      <c r="C3" s="49"/>
      <c r="D3" s="50"/>
      <c r="E3" s="50"/>
      <c r="F3" s="51"/>
      <c r="G3" s="46"/>
      <c r="H3" s="46"/>
      <c r="I3" s="46"/>
      <c r="J3" s="46"/>
      <c r="K3" s="46"/>
      <c r="L3" s="46"/>
      <c r="M3" s="46"/>
      <c r="N3" s="46"/>
      <c r="O3" s="46"/>
      <c r="P3" s="46"/>
    </row>
    <row r="4">
      <c r="A4" s="52"/>
      <c r="B4" s="53"/>
      <c r="C4" s="53"/>
      <c r="D4" s="54"/>
      <c r="E4" s="46"/>
      <c r="F4" s="55"/>
      <c r="G4" s="46"/>
      <c r="H4" s="46"/>
      <c r="I4" s="55"/>
      <c r="J4" s="55"/>
      <c r="K4" s="55"/>
      <c r="L4" s="55"/>
      <c r="M4" s="55"/>
      <c r="N4" s="55"/>
      <c r="O4" s="55"/>
      <c r="P4" s="55"/>
    </row>
    <row r="5" ht="20.25" customHeight="1" collapsed="1">
      <c r="A5" s="60" t="s">
        <v>1</v>
      </c>
      <c r="B5" s="60" t="s">
        <v>2</v>
      </c>
      <c r="C5" s="60" t="s">
        <v>3</v>
      </c>
      <c r="D5" s="60" t="s">
        <v>4</v>
      </c>
      <c r="E5" s="60" t="s">
        <v>5</v>
      </c>
      <c r="F5" s="60" t="s">
        <v>32</v>
      </c>
      <c r="G5" s="62" t="s">
        <v>7</v>
      </c>
      <c r="H5" s="60" t="s">
        <v>8</v>
      </c>
      <c r="I5" s="60" t="s">
        <v>9</v>
      </c>
      <c r="J5" s="60" t="s">
        <v>10</v>
      </c>
      <c r="K5" s="60" t="s">
        <v>11</v>
      </c>
      <c r="L5" s="60" t="s">
        <v>20</v>
      </c>
      <c r="M5" s="60" t="s">
        <v>12</v>
      </c>
      <c r="N5" s="66" t="s">
        <v>33</v>
      </c>
      <c r="O5" s="66"/>
      <c r="P5" s="67"/>
    </row>
    <row r="6" ht="20.25" hidden="1" customHeight="1" outlineLevel="1">
      <c r="A6" s="69">
        <v>45761.0</v>
      </c>
      <c r="B6" s="11" t="s">
        <v>21</v>
      </c>
      <c r="C6" s="11">
        <v>123.0</v>
      </c>
      <c r="D6" s="11">
        <f t="array" ref="D6">IFERROR(_xlfn.XLOOKUP(C6,Code!A:A,Code!B:B),"")</f>
        <v>0.88</v>
      </c>
      <c r="E6" s="72" t="s">
        <v>34</v>
      </c>
      <c r="F6" s="73"/>
      <c r="G6" s="74" t="s">
        <v>17</v>
      </c>
      <c r="H6" s="74" t="s">
        <v>18</v>
      </c>
      <c r="I6" s="73">
        <v>8.0</v>
      </c>
      <c r="J6" s="73">
        <v>180.0</v>
      </c>
      <c r="K6" s="75">
        <f t="shared" ref="K6:K17" si="1">I6*J6</f>
        <v>1440</v>
      </c>
      <c r="L6" s="75"/>
      <c r="M6" s="74"/>
      <c r="N6" s="76"/>
      <c r="O6" s="76"/>
      <c r="P6" s="76"/>
    </row>
    <row r="7" ht="20.25" hidden="1" customHeight="1" outlineLevel="1">
      <c r="A7" s="29"/>
      <c r="B7" s="19" t="s">
        <v>21</v>
      </c>
      <c r="C7" s="19">
        <v>123.0</v>
      </c>
      <c r="D7" s="19"/>
      <c r="E7" s="20"/>
      <c r="F7" s="77"/>
      <c r="G7" s="74" t="s">
        <v>17</v>
      </c>
      <c r="H7" s="74" t="s">
        <v>25</v>
      </c>
      <c r="I7" s="77">
        <v>1.0</v>
      </c>
      <c r="J7" s="77">
        <v>180.0</v>
      </c>
      <c r="K7" s="77">
        <f t="shared" si="1"/>
        <v>180</v>
      </c>
      <c r="L7" s="77"/>
      <c r="M7" s="74"/>
      <c r="N7" s="76"/>
      <c r="O7" s="76"/>
      <c r="P7" s="76"/>
    </row>
    <row r="8" ht="20.25" hidden="1" customHeight="1" outlineLevel="1">
      <c r="A8" s="57"/>
      <c r="B8" s="11" t="s">
        <v>21</v>
      </c>
      <c r="C8" s="11">
        <v>124.0</v>
      </c>
      <c r="D8" s="11">
        <f t="array" ref="D8">IFERROR(_xlfn.XLOOKUP(C8,Code!A:A,Code!B:B),"")</f>
        <v>0.95</v>
      </c>
      <c r="E8" s="72" t="s">
        <v>36</v>
      </c>
      <c r="F8" s="73"/>
      <c r="G8" s="74" t="s">
        <v>17</v>
      </c>
      <c r="H8" s="74" t="s">
        <v>18</v>
      </c>
      <c r="I8" s="73">
        <v>29.0</v>
      </c>
      <c r="J8" s="73">
        <v>180.0</v>
      </c>
      <c r="K8" s="85">
        <f t="shared" si="1"/>
        <v>5220</v>
      </c>
      <c r="L8" s="85"/>
      <c r="M8" s="74"/>
      <c r="N8" s="76"/>
      <c r="O8" s="76"/>
      <c r="P8" s="76"/>
    </row>
    <row r="9" ht="20.25" hidden="1" customHeight="1" outlineLevel="1">
      <c r="A9" s="29"/>
      <c r="B9" s="19" t="s">
        <v>21</v>
      </c>
      <c r="C9" s="19"/>
      <c r="D9" s="19"/>
      <c r="E9" s="29"/>
      <c r="F9" s="77"/>
      <c r="G9" s="74" t="s">
        <v>17</v>
      </c>
      <c r="H9" s="74" t="s">
        <v>25</v>
      </c>
      <c r="I9" s="77">
        <v>1.0</v>
      </c>
      <c r="J9" s="77">
        <v>180.0</v>
      </c>
      <c r="K9" s="90">
        <f t="shared" si="1"/>
        <v>180</v>
      </c>
      <c r="L9" s="90"/>
      <c r="M9" s="74"/>
      <c r="N9" s="76"/>
      <c r="O9" s="76"/>
      <c r="P9" s="76"/>
    </row>
    <row r="10" ht="20.25" hidden="1" customHeight="1" outlineLevel="1">
      <c r="A10" s="57"/>
      <c r="B10" s="11" t="s">
        <v>21</v>
      </c>
      <c r="C10" s="11">
        <v>127.0</v>
      </c>
      <c r="D10" s="11">
        <f t="array" ref="D10">IFERROR(_xlfn.XLOOKUP(C10,Code!A:A,Code!B:B),"")</f>
        <v>0.95</v>
      </c>
      <c r="E10" s="57"/>
      <c r="F10" s="73"/>
      <c r="G10" s="74" t="s">
        <v>17</v>
      </c>
      <c r="H10" s="74" t="s">
        <v>18</v>
      </c>
      <c r="I10" s="73">
        <v>24.0</v>
      </c>
      <c r="J10" s="73">
        <v>180.0</v>
      </c>
      <c r="K10" s="85">
        <f t="shared" si="1"/>
        <v>4320</v>
      </c>
      <c r="L10" s="85"/>
      <c r="M10" s="74"/>
      <c r="N10" s="76"/>
      <c r="O10" s="76"/>
      <c r="P10" s="76"/>
    </row>
    <row r="11" ht="20.25" hidden="1" customHeight="1" outlineLevel="1">
      <c r="A11" s="29"/>
      <c r="B11" s="19" t="s">
        <v>21</v>
      </c>
      <c r="C11" s="19"/>
      <c r="D11" s="19"/>
      <c r="E11" s="20"/>
      <c r="F11" s="77"/>
      <c r="G11" s="74" t="s">
        <v>17</v>
      </c>
      <c r="H11" s="74" t="s">
        <v>25</v>
      </c>
      <c r="I11" s="77">
        <v>1.0</v>
      </c>
      <c r="J11" s="77">
        <v>180.0</v>
      </c>
      <c r="K11" s="90">
        <f t="shared" si="1"/>
        <v>180</v>
      </c>
      <c r="L11" s="90"/>
      <c r="M11" s="74"/>
      <c r="N11" s="76"/>
      <c r="O11" s="76"/>
      <c r="P11" s="76"/>
    </row>
    <row r="12" ht="20.25" hidden="1" customHeight="1" outlineLevel="1">
      <c r="A12" s="69">
        <v>45762.0</v>
      </c>
      <c r="B12" s="11" t="s">
        <v>21</v>
      </c>
      <c r="C12" s="11">
        <v>123.0</v>
      </c>
      <c r="D12" s="11">
        <f t="array" ref="D12">IFERROR(_xlfn.XLOOKUP(C12,Code!A:A,Code!B:B),"")</f>
        <v>0.88</v>
      </c>
      <c r="E12" s="72" t="s">
        <v>34</v>
      </c>
      <c r="F12" s="73"/>
      <c r="G12" s="74" t="s">
        <v>17</v>
      </c>
      <c r="H12" s="74" t="s">
        <v>18</v>
      </c>
      <c r="I12" s="73">
        <v>13.0</v>
      </c>
      <c r="J12" s="73">
        <v>180.0</v>
      </c>
      <c r="K12" s="85">
        <f t="shared" si="1"/>
        <v>2340</v>
      </c>
      <c r="L12" s="85"/>
      <c r="M12" s="74"/>
      <c r="N12" s="76"/>
      <c r="O12" s="76"/>
      <c r="P12" s="76"/>
    </row>
    <row r="13" ht="20.25" hidden="1" customHeight="1" outlineLevel="1">
      <c r="A13" s="29"/>
      <c r="B13" s="19" t="s">
        <v>21</v>
      </c>
      <c r="C13" s="19">
        <v>116.0</v>
      </c>
      <c r="D13" s="19"/>
      <c r="E13" s="20"/>
      <c r="F13" s="77"/>
      <c r="G13" s="74" t="s">
        <v>17</v>
      </c>
      <c r="H13" s="74" t="s">
        <v>25</v>
      </c>
      <c r="I13" s="77">
        <v>1.0</v>
      </c>
      <c r="J13" s="77">
        <v>180.0</v>
      </c>
      <c r="K13" s="90">
        <f t="shared" si="1"/>
        <v>180</v>
      </c>
      <c r="L13" s="90"/>
      <c r="M13" s="74"/>
      <c r="N13" s="76"/>
      <c r="O13" s="76"/>
      <c r="P13" s="76"/>
    </row>
    <row r="14" ht="20.25" hidden="1" customHeight="1" outlineLevel="1">
      <c r="A14" s="57"/>
      <c r="B14" s="11" t="s">
        <v>21</v>
      </c>
      <c r="C14" s="11">
        <v>124.0</v>
      </c>
      <c r="D14" s="11">
        <f t="array" ref="D14">IFERROR(_xlfn.XLOOKUP(C14,Code!A:A,Code!B:B),"")</f>
        <v>0.95</v>
      </c>
      <c r="E14" s="72" t="s">
        <v>36</v>
      </c>
      <c r="F14" s="73"/>
      <c r="G14" s="74" t="s">
        <v>17</v>
      </c>
      <c r="H14" s="74" t="s">
        <v>18</v>
      </c>
      <c r="I14" s="73">
        <v>39.0</v>
      </c>
      <c r="J14" s="73">
        <v>180.0</v>
      </c>
      <c r="K14" s="85">
        <f t="shared" si="1"/>
        <v>7020</v>
      </c>
      <c r="L14" s="85"/>
      <c r="M14" s="74"/>
      <c r="N14" s="76"/>
      <c r="O14" s="76"/>
      <c r="P14" s="76"/>
    </row>
    <row r="15" ht="20.25" hidden="1" customHeight="1" outlineLevel="1">
      <c r="A15" s="29"/>
      <c r="B15" s="19" t="s">
        <v>21</v>
      </c>
      <c r="C15" s="19">
        <v>124.0</v>
      </c>
      <c r="D15" s="19"/>
      <c r="E15" s="29"/>
      <c r="F15" s="77"/>
      <c r="G15" s="74" t="s">
        <v>17</v>
      </c>
      <c r="H15" s="74" t="s">
        <v>25</v>
      </c>
      <c r="I15" s="77">
        <v>1.0</v>
      </c>
      <c r="J15" s="77">
        <v>180.0</v>
      </c>
      <c r="K15" s="90">
        <f t="shared" si="1"/>
        <v>180</v>
      </c>
      <c r="L15" s="90"/>
      <c r="M15" s="74"/>
      <c r="N15" s="76"/>
      <c r="O15" s="76"/>
      <c r="P15" s="76"/>
    </row>
    <row r="16" ht="20.25" hidden="1" customHeight="1" outlineLevel="1">
      <c r="A16" s="57"/>
      <c r="B16" s="11" t="s">
        <v>21</v>
      </c>
      <c r="C16" s="11">
        <v>127.0</v>
      </c>
      <c r="D16" s="11">
        <f t="array" ref="D16">IFERROR(_xlfn.XLOOKUP(C16,Code!A:A,Code!B:B),"")</f>
        <v>0.95</v>
      </c>
      <c r="E16" s="57"/>
      <c r="F16" s="73"/>
      <c r="G16" s="74" t="s">
        <v>17</v>
      </c>
      <c r="H16" s="74" t="s">
        <v>18</v>
      </c>
      <c r="I16" s="73">
        <v>40.0</v>
      </c>
      <c r="J16" s="73">
        <v>180.0</v>
      </c>
      <c r="K16" s="85">
        <f t="shared" si="1"/>
        <v>7200</v>
      </c>
      <c r="L16" s="85"/>
      <c r="M16" s="74"/>
      <c r="N16" s="76"/>
      <c r="O16" s="76"/>
      <c r="P16" s="76"/>
    </row>
    <row r="17" ht="20.25" hidden="1" customHeight="1" outlineLevel="1">
      <c r="A17" s="29"/>
      <c r="B17" s="19" t="s">
        <v>21</v>
      </c>
      <c r="C17" s="19">
        <v>127.0</v>
      </c>
      <c r="D17" s="19"/>
      <c r="E17" s="20"/>
      <c r="F17" s="77"/>
      <c r="G17" s="74" t="s">
        <v>17</v>
      </c>
      <c r="H17" s="74" t="s">
        <v>25</v>
      </c>
      <c r="I17" s="77">
        <v>1.0</v>
      </c>
      <c r="J17" s="77">
        <v>180.0</v>
      </c>
      <c r="K17" s="90">
        <f t="shared" si="1"/>
        <v>180</v>
      </c>
      <c r="L17" s="90"/>
      <c r="M17" s="74"/>
      <c r="N17" s="76"/>
      <c r="O17" s="76"/>
      <c r="P17" s="76"/>
    </row>
    <row r="18" ht="20.25" hidden="1" customHeight="1" outlineLevel="1">
      <c r="A18" s="69">
        <v>46131.0</v>
      </c>
      <c r="B18" s="72" t="s">
        <v>40</v>
      </c>
      <c r="C18" s="72">
        <v>126.0</v>
      </c>
      <c r="D18" s="72">
        <f t="array" ref="D18">IFERROR(_xlfn.XLOOKUP(C18,Code!A:A,Code!B:B),"")</f>
        <v>0.95</v>
      </c>
      <c r="E18" s="72" t="s">
        <v>41</v>
      </c>
      <c r="F18" s="102" t="s">
        <v>42</v>
      </c>
      <c r="G18" s="74" t="s">
        <v>17</v>
      </c>
      <c r="H18" s="74" t="s">
        <v>18</v>
      </c>
      <c r="I18" s="73">
        <v>20.0</v>
      </c>
      <c r="J18" s="73">
        <v>100.0</v>
      </c>
      <c r="K18" s="85">
        <v>2000.0</v>
      </c>
      <c r="L18" s="73">
        <v>25.0</v>
      </c>
      <c r="M18" s="105">
        <v>525.0</v>
      </c>
      <c r="N18" s="76"/>
      <c r="O18" s="76"/>
      <c r="P18" s="76"/>
    </row>
    <row r="19" ht="20.25" hidden="1" customHeight="1" outlineLevel="1">
      <c r="A19" s="29"/>
      <c r="B19" s="20"/>
      <c r="C19" s="20"/>
      <c r="D19" s="20"/>
      <c r="E19" s="20"/>
      <c r="F19" s="20"/>
      <c r="G19" s="74" t="s">
        <v>17</v>
      </c>
      <c r="H19" s="74" t="s">
        <v>25</v>
      </c>
      <c r="I19" s="77">
        <v>1.0</v>
      </c>
      <c r="J19" s="77">
        <v>120.0</v>
      </c>
      <c r="K19" s="77">
        <v>120.0</v>
      </c>
      <c r="L19" s="77">
        <v>25.0</v>
      </c>
      <c r="M19" s="108"/>
      <c r="N19" s="76"/>
      <c r="O19" s="76"/>
      <c r="P19" s="76"/>
    </row>
    <row r="20" ht="20.25" hidden="1" customHeight="1" outlineLevel="1">
      <c r="A20" s="69">
        <v>46132.0</v>
      </c>
      <c r="B20" s="72" t="s">
        <v>40</v>
      </c>
      <c r="C20" s="72">
        <v>126.0</v>
      </c>
      <c r="D20" s="72">
        <f t="array" ref="D20">IFERROR(_xlfn.XLOOKUP(C20,Code!A:A,Code!B:B),"")</f>
        <v>0.95</v>
      </c>
      <c r="E20" s="72" t="s">
        <v>41</v>
      </c>
      <c r="F20" s="102" t="s">
        <v>42</v>
      </c>
      <c r="G20" s="74" t="s">
        <v>17</v>
      </c>
      <c r="H20" s="74" t="s">
        <v>25</v>
      </c>
      <c r="I20" s="73">
        <v>1.0</v>
      </c>
      <c r="J20" s="73">
        <v>120.0</v>
      </c>
      <c r="K20" s="73">
        <v>120.0</v>
      </c>
      <c r="L20" s="73">
        <v>25.0</v>
      </c>
      <c r="M20" s="105">
        <v>525.0</v>
      </c>
      <c r="N20" s="76"/>
      <c r="O20" s="76"/>
      <c r="P20" s="76"/>
    </row>
    <row r="21" ht="20.25" hidden="1" customHeight="1" outlineLevel="1">
      <c r="A21" s="29"/>
      <c r="B21" s="20"/>
      <c r="C21" s="20"/>
      <c r="D21" s="20"/>
      <c r="E21" s="20"/>
      <c r="F21" s="20"/>
      <c r="G21" s="74" t="s">
        <v>17</v>
      </c>
      <c r="H21" s="74" t="s">
        <v>18</v>
      </c>
      <c r="I21" s="77">
        <v>20.0</v>
      </c>
      <c r="J21" s="77">
        <v>100.0</v>
      </c>
      <c r="K21" s="77">
        <v>2000.0</v>
      </c>
      <c r="L21" s="77">
        <v>25.0</v>
      </c>
      <c r="M21" s="108"/>
      <c r="N21" s="76"/>
      <c r="O21" s="76"/>
      <c r="P21" s="76"/>
    </row>
    <row r="22" ht="20.25" hidden="1" customHeight="1" outlineLevel="1">
      <c r="A22" s="69">
        <v>46133.0</v>
      </c>
      <c r="B22" s="11" t="s">
        <v>40</v>
      </c>
      <c r="C22" s="11">
        <v>132.0</v>
      </c>
      <c r="D22" s="11">
        <f t="array" ref="D22">IFERROR(_xlfn.XLOOKUP(C22,Code!A:A,Code!B:B),"")</f>
        <v>0.95</v>
      </c>
      <c r="E22" s="11" t="s">
        <v>41</v>
      </c>
      <c r="F22" s="73" t="s">
        <v>42</v>
      </c>
      <c r="G22" s="74" t="s">
        <v>17</v>
      </c>
      <c r="H22" s="74" t="s">
        <v>18</v>
      </c>
      <c r="I22" s="73">
        <v>15.0</v>
      </c>
      <c r="J22" s="73">
        <v>100.0</v>
      </c>
      <c r="K22" s="73">
        <v>1500.0</v>
      </c>
      <c r="L22" s="73">
        <v>25.0</v>
      </c>
      <c r="M22" s="74">
        <v>375.0</v>
      </c>
      <c r="N22" s="76"/>
      <c r="O22" s="76"/>
      <c r="P22" s="76"/>
    </row>
    <row r="23" ht="20.25" hidden="1" customHeight="1" outlineLevel="1">
      <c r="A23" s="121">
        <v>46134.0</v>
      </c>
      <c r="B23" s="123" t="s">
        <v>21</v>
      </c>
      <c r="C23" s="123">
        <v>129.0</v>
      </c>
      <c r="D23" s="123">
        <f t="array" ref="D23">IFERROR(_xlfn.XLOOKUP(C23,Code!A:A,Code!B:B),"")</f>
        <v>0.96</v>
      </c>
      <c r="E23" s="123" t="s">
        <v>41</v>
      </c>
      <c r="F23" s="102" t="s">
        <v>42</v>
      </c>
      <c r="G23" s="74" t="s">
        <v>17</v>
      </c>
      <c r="H23" s="74" t="s">
        <v>18</v>
      </c>
      <c r="I23" s="77">
        <v>18.0</v>
      </c>
      <c r="J23" s="77">
        <v>100.0</v>
      </c>
      <c r="K23" s="77">
        <v>1800.0</v>
      </c>
      <c r="L23" s="77">
        <v>25.0</v>
      </c>
      <c r="M23" s="105">
        <v>475.0</v>
      </c>
      <c r="N23" s="76"/>
      <c r="O23" s="76"/>
      <c r="P23" s="76"/>
    </row>
    <row r="24" ht="20.25" hidden="1" customHeight="1" outlineLevel="1">
      <c r="A24" s="57"/>
      <c r="B24" s="58"/>
      <c r="C24" s="58"/>
      <c r="D24" s="58"/>
      <c r="E24" s="58"/>
      <c r="F24" s="58"/>
      <c r="G24" s="74" t="s">
        <v>17</v>
      </c>
      <c r="H24" s="74" t="s">
        <v>25</v>
      </c>
      <c r="I24" s="73">
        <v>1.0</v>
      </c>
      <c r="J24" s="73">
        <v>120.0</v>
      </c>
      <c r="K24" s="73">
        <v>120.0</v>
      </c>
      <c r="L24" s="73">
        <v>25.0</v>
      </c>
      <c r="M24" s="108"/>
      <c r="N24" s="76"/>
      <c r="O24" s="76"/>
      <c r="P24" s="76"/>
    </row>
    <row r="25" ht="20.25" hidden="1" customHeight="1" outlineLevel="1">
      <c r="A25" s="29"/>
      <c r="B25" s="123" t="s">
        <v>40</v>
      </c>
      <c r="C25" s="123">
        <v>131.0</v>
      </c>
      <c r="D25" s="123">
        <f t="array" ref="D25">IFERROR(_xlfn.XLOOKUP(C25,Code!A:A,Code!B:B),"")</f>
        <v>0.96</v>
      </c>
      <c r="E25" s="123"/>
      <c r="F25" s="102" t="s">
        <v>47</v>
      </c>
      <c r="G25" s="74" t="s">
        <v>17</v>
      </c>
      <c r="H25" s="74" t="s">
        <v>18</v>
      </c>
      <c r="I25" s="77">
        <v>13.0</v>
      </c>
      <c r="J25" s="77">
        <v>100.0</v>
      </c>
      <c r="K25" s="77">
        <v>1300.0</v>
      </c>
      <c r="L25" s="77">
        <v>25.0</v>
      </c>
      <c r="M25" s="105">
        <v>350.0</v>
      </c>
      <c r="N25" s="76"/>
      <c r="O25" s="76"/>
      <c r="P25" s="76"/>
    </row>
    <row r="26" ht="20.25" hidden="1" customHeight="1" outlineLevel="1">
      <c r="A26" s="57"/>
      <c r="B26" s="58"/>
      <c r="C26" s="58"/>
      <c r="D26" s="58"/>
      <c r="E26" s="58"/>
      <c r="F26" s="58"/>
      <c r="G26" s="74" t="s">
        <v>17</v>
      </c>
      <c r="H26" s="74" t="s">
        <v>25</v>
      </c>
      <c r="I26" s="73">
        <v>1.0</v>
      </c>
      <c r="J26" s="73">
        <v>120.0</v>
      </c>
      <c r="K26" s="73">
        <v>120.0</v>
      </c>
      <c r="L26" s="73">
        <v>25.0</v>
      </c>
      <c r="M26" s="108"/>
      <c r="N26" s="76"/>
      <c r="O26" s="76"/>
      <c r="P26" s="76"/>
    </row>
    <row r="27" ht="20.25" hidden="1" customHeight="1" outlineLevel="1">
      <c r="A27" s="121">
        <v>46135.0</v>
      </c>
      <c r="B27" s="123" t="s">
        <v>21</v>
      </c>
      <c r="C27" s="123">
        <v>131.0</v>
      </c>
      <c r="D27" s="123">
        <f t="array" ref="D27">IFERROR(_xlfn.XLOOKUP(C27,Code!A:A,Code!B:B),"")</f>
        <v>0.96</v>
      </c>
      <c r="E27" s="123"/>
      <c r="F27" s="102" t="s">
        <v>47</v>
      </c>
      <c r="G27" s="74" t="s">
        <v>17</v>
      </c>
      <c r="H27" s="74" t="s">
        <v>18</v>
      </c>
      <c r="I27" s="77">
        <v>12.0</v>
      </c>
      <c r="J27" s="77">
        <v>100.0</v>
      </c>
      <c r="K27" s="77">
        <v>1200.0</v>
      </c>
      <c r="L27" s="77">
        <v>25.0</v>
      </c>
      <c r="M27" s="105">
        <v>325.0</v>
      </c>
      <c r="N27" s="76"/>
      <c r="O27" s="76"/>
      <c r="P27" s="76"/>
    </row>
    <row r="28" ht="20.25" hidden="1" customHeight="1" outlineLevel="1">
      <c r="A28" s="57"/>
      <c r="B28" s="58"/>
      <c r="C28" s="58"/>
      <c r="D28" s="58"/>
      <c r="E28" s="58"/>
      <c r="F28" s="58"/>
      <c r="G28" s="74" t="s">
        <v>17</v>
      </c>
      <c r="H28" s="74" t="s">
        <v>25</v>
      </c>
      <c r="I28" s="73">
        <v>1.0</v>
      </c>
      <c r="J28" s="73">
        <v>120.0</v>
      </c>
      <c r="K28" s="73">
        <v>120.0</v>
      </c>
      <c r="L28" s="73">
        <v>25.0</v>
      </c>
      <c r="M28" s="108"/>
      <c r="N28" s="76"/>
      <c r="O28" s="76"/>
      <c r="P28" s="76"/>
    </row>
    <row r="29" ht="20.25" hidden="1" customHeight="1" outlineLevel="1">
      <c r="A29" s="29"/>
      <c r="B29" s="123" t="s">
        <v>21</v>
      </c>
      <c r="C29" s="123">
        <v>129.0</v>
      </c>
      <c r="D29" s="123">
        <f t="array" ref="D29">IFERROR(_xlfn.XLOOKUP(C29,Code!A:A,Code!B:B),"")</f>
        <v>0.96</v>
      </c>
      <c r="E29" s="123" t="s">
        <v>41</v>
      </c>
      <c r="F29" s="102" t="s">
        <v>42</v>
      </c>
      <c r="G29" s="74" t="s">
        <v>17</v>
      </c>
      <c r="H29" s="74" t="s">
        <v>18</v>
      </c>
      <c r="I29" s="140">
        <v>22.0</v>
      </c>
      <c r="J29" s="77">
        <v>100.0</v>
      </c>
      <c r="K29" s="77">
        <v>2200.0</v>
      </c>
      <c r="L29" s="77">
        <v>25.0</v>
      </c>
      <c r="M29" s="105">
        <v>550.0</v>
      </c>
      <c r="N29" s="76"/>
      <c r="O29" s="76"/>
      <c r="P29" s="76"/>
    </row>
    <row r="30" ht="20.25" hidden="1" customHeight="1" outlineLevel="1">
      <c r="A30" s="57"/>
      <c r="B30" s="58"/>
      <c r="C30" s="58"/>
      <c r="D30" s="58"/>
      <c r="E30" s="58"/>
      <c r="F30" s="58"/>
      <c r="G30" s="74" t="s">
        <v>17</v>
      </c>
      <c r="H30" s="74" t="s">
        <v>25</v>
      </c>
      <c r="I30" s="140">
        <v>1.0</v>
      </c>
      <c r="J30" s="73">
        <v>120.0</v>
      </c>
      <c r="K30" s="73">
        <v>120.0</v>
      </c>
      <c r="L30" s="73">
        <v>25.0</v>
      </c>
      <c r="M30" s="108"/>
      <c r="N30" s="76"/>
      <c r="O30" s="76"/>
      <c r="P30" s="76"/>
    </row>
    <row r="31" ht="20.25" hidden="1" customHeight="1" outlineLevel="1">
      <c r="A31" s="29"/>
      <c r="B31" s="123" t="s">
        <v>21</v>
      </c>
      <c r="C31" s="123">
        <v>112.0</v>
      </c>
      <c r="D31" s="123">
        <f t="array" ref="D31">IFERROR(_xlfn.XLOOKUP(C31,Code!A:A,Code!B:B),"")</f>
        <v>0.96</v>
      </c>
      <c r="E31" s="123"/>
      <c r="F31" s="102" t="s">
        <v>52</v>
      </c>
      <c r="G31" s="74" t="s">
        <v>17</v>
      </c>
      <c r="H31" s="74" t="s">
        <v>18</v>
      </c>
      <c r="I31" s="77">
        <v>16.0</v>
      </c>
      <c r="J31" s="77">
        <v>100.0</v>
      </c>
      <c r="K31" s="77">
        <v>1600.0</v>
      </c>
      <c r="L31" s="77">
        <v>25.0</v>
      </c>
      <c r="M31" s="105">
        <v>425.0</v>
      </c>
      <c r="N31" s="76"/>
      <c r="O31" s="76"/>
      <c r="P31" s="76"/>
    </row>
    <row r="32" ht="20.25" hidden="1" customHeight="1" outlineLevel="1">
      <c r="A32" s="57"/>
      <c r="B32" s="57"/>
      <c r="C32" s="58"/>
      <c r="D32" s="58"/>
      <c r="E32" s="58"/>
      <c r="F32" s="58"/>
      <c r="G32" s="74" t="s">
        <v>17</v>
      </c>
      <c r="H32" s="74" t="s">
        <v>25</v>
      </c>
      <c r="I32" s="73">
        <v>1.0</v>
      </c>
      <c r="J32" s="73">
        <v>120.0</v>
      </c>
      <c r="K32" s="73">
        <v>120.0</v>
      </c>
      <c r="L32" s="73">
        <v>25.0</v>
      </c>
      <c r="M32" s="108"/>
      <c r="N32" s="76"/>
      <c r="O32" s="76"/>
      <c r="P32" s="76"/>
    </row>
    <row r="33" ht="20.25" hidden="1" customHeight="1" outlineLevel="1">
      <c r="A33" s="29"/>
      <c r="B33" s="29"/>
      <c r="C33" s="123">
        <v>113.0</v>
      </c>
      <c r="D33" s="123">
        <f t="array" ref="D33">IFERROR(_xlfn.XLOOKUP(C33,Code!A:A,Code!B:B),"")</f>
        <v>1.32</v>
      </c>
      <c r="E33" s="123"/>
      <c r="F33" s="102" t="s">
        <v>56</v>
      </c>
      <c r="G33" s="74" t="s">
        <v>17</v>
      </c>
      <c r="H33" s="74" t="s">
        <v>18</v>
      </c>
      <c r="I33" s="77">
        <v>15.0</v>
      </c>
      <c r="J33" s="77"/>
      <c r="K33" s="77"/>
      <c r="L33" s="77"/>
      <c r="M33" s="105"/>
      <c r="N33" s="76"/>
      <c r="O33" s="76"/>
      <c r="P33" s="76"/>
    </row>
    <row r="34" ht="20.25" hidden="1" customHeight="1" outlineLevel="1">
      <c r="A34" s="57"/>
      <c r="B34" s="58"/>
      <c r="C34" s="58"/>
      <c r="D34" s="58"/>
      <c r="E34" s="58"/>
      <c r="F34" s="58"/>
      <c r="G34" s="74" t="s">
        <v>17</v>
      </c>
      <c r="H34" s="74" t="s">
        <v>25</v>
      </c>
      <c r="I34" s="73">
        <v>1.0</v>
      </c>
      <c r="J34" s="73"/>
      <c r="K34" s="73"/>
      <c r="L34" s="73"/>
      <c r="M34" s="108"/>
      <c r="N34" s="76"/>
      <c r="O34" s="76"/>
      <c r="P34" s="76"/>
    </row>
    <row r="35" ht="20.25" hidden="1" customHeight="1" outlineLevel="1">
      <c r="A35" s="29"/>
      <c r="B35" s="123" t="s">
        <v>40</v>
      </c>
      <c r="C35" s="123">
        <v>124.0</v>
      </c>
      <c r="D35" s="123">
        <f t="array" ref="D35">IFERROR(_xlfn.XLOOKUP(C35,Code!A:A,Code!B:B),"")</f>
        <v>0.95</v>
      </c>
      <c r="E35" s="123"/>
      <c r="F35" s="102" t="s">
        <v>59</v>
      </c>
      <c r="G35" s="74" t="s">
        <v>17</v>
      </c>
      <c r="H35" s="74" t="s">
        <v>18</v>
      </c>
      <c r="I35" s="77">
        <v>17.0</v>
      </c>
      <c r="J35" s="77"/>
      <c r="K35" s="77"/>
      <c r="L35" s="77"/>
      <c r="M35" s="105"/>
      <c r="N35" s="76"/>
      <c r="O35" s="76"/>
      <c r="P35" s="76"/>
    </row>
    <row r="36" ht="20.25" hidden="1" customHeight="1" outlineLevel="1">
      <c r="A36" s="57"/>
      <c r="B36" s="58"/>
      <c r="C36" s="58"/>
      <c r="D36" s="58"/>
      <c r="E36" s="58"/>
      <c r="F36" s="58"/>
      <c r="G36" s="74" t="s">
        <v>17</v>
      </c>
      <c r="H36" s="74" t="s">
        <v>25</v>
      </c>
      <c r="I36" s="73">
        <v>1.0</v>
      </c>
      <c r="J36" s="73"/>
      <c r="K36" s="73"/>
      <c r="L36" s="73"/>
      <c r="M36" s="108"/>
      <c r="N36" s="76"/>
      <c r="O36" s="76"/>
      <c r="P36" s="76"/>
    </row>
    <row r="37" ht="20.25" hidden="1" customHeight="1" outlineLevel="1">
      <c r="A37" s="29"/>
      <c r="B37" s="123" t="s">
        <v>40</v>
      </c>
      <c r="C37" s="123">
        <v>105.0</v>
      </c>
      <c r="D37" s="123">
        <f t="array" ref="D37">IFERROR(_xlfn.XLOOKUP(C37,Code!A:A,Code!B:B),"")</f>
        <v>0.95</v>
      </c>
      <c r="E37" s="123"/>
      <c r="F37" s="102" t="s">
        <v>60</v>
      </c>
      <c r="G37" s="74" t="s">
        <v>17</v>
      </c>
      <c r="H37" s="74" t="s">
        <v>18</v>
      </c>
      <c r="I37" s="77">
        <v>10.0</v>
      </c>
      <c r="J37" s="77">
        <v>100.0</v>
      </c>
      <c r="K37" s="77">
        <v>1000.0</v>
      </c>
      <c r="L37" s="77">
        <v>25.0</v>
      </c>
      <c r="M37" s="105">
        <v>275.0</v>
      </c>
      <c r="N37" s="76"/>
      <c r="O37" s="76"/>
      <c r="P37" s="76"/>
    </row>
    <row r="38" ht="20.25" hidden="1" customHeight="1" outlineLevel="1">
      <c r="A38" s="57"/>
      <c r="B38" s="58"/>
      <c r="C38" s="58"/>
      <c r="D38" s="58"/>
      <c r="E38" s="58"/>
      <c r="F38" s="58"/>
      <c r="G38" s="74" t="s">
        <v>17</v>
      </c>
      <c r="H38" s="74" t="s">
        <v>25</v>
      </c>
      <c r="I38" s="73">
        <v>1.0</v>
      </c>
      <c r="J38" s="73">
        <v>120.0</v>
      </c>
      <c r="K38" s="73">
        <v>120.0</v>
      </c>
      <c r="L38" s="73">
        <v>25.0</v>
      </c>
      <c r="M38" s="108"/>
      <c r="N38" s="76"/>
      <c r="O38" s="76"/>
      <c r="P38" s="76"/>
    </row>
    <row r="39" ht="20.25" hidden="1" customHeight="1" outlineLevel="1">
      <c r="A39" s="160" t="s">
        <v>61</v>
      </c>
      <c r="B39" s="123" t="s">
        <v>21</v>
      </c>
      <c r="C39" s="123">
        <v>126.0</v>
      </c>
      <c r="D39" s="123">
        <f t="array" ref="D39">IFERROR(_xlfn.XLOOKUP(C39,Code!A:A,Code!B:B),"")</f>
        <v>0.95</v>
      </c>
      <c r="E39" s="123"/>
      <c r="F39" s="102" t="s">
        <v>42</v>
      </c>
      <c r="G39" s="74" t="s">
        <v>17</v>
      </c>
      <c r="H39" s="74" t="s">
        <v>18</v>
      </c>
      <c r="I39" s="77">
        <v>22.0</v>
      </c>
      <c r="J39" s="77">
        <v>100.0</v>
      </c>
      <c r="K39" s="77">
        <v>2200.0</v>
      </c>
      <c r="L39" s="77">
        <v>25.0</v>
      </c>
      <c r="M39" s="105">
        <v>575.0</v>
      </c>
      <c r="N39" s="76"/>
      <c r="O39" s="76"/>
      <c r="P39" s="76"/>
    </row>
    <row r="40" ht="20.25" hidden="1" customHeight="1" outlineLevel="1">
      <c r="A40" s="57"/>
      <c r="B40" s="58"/>
      <c r="C40" s="58"/>
      <c r="D40" s="58"/>
      <c r="E40" s="58"/>
      <c r="F40" s="58"/>
      <c r="G40" s="74" t="s">
        <v>17</v>
      </c>
      <c r="H40" s="74" t="s">
        <v>25</v>
      </c>
      <c r="I40" s="73">
        <v>1.0</v>
      </c>
      <c r="J40" s="73">
        <v>120.0</v>
      </c>
      <c r="K40" s="73">
        <v>120.0</v>
      </c>
      <c r="L40" s="73">
        <v>25.0</v>
      </c>
      <c r="M40" s="108"/>
      <c r="N40" s="76"/>
      <c r="O40" s="76"/>
      <c r="P40" s="76"/>
    </row>
    <row r="41" ht="20.25" hidden="1" customHeight="1" outlineLevel="1">
      <c r="A41" s="29"/>
      <c r="B41" s="123" t="s">
        <v>21</v>
      </c>
      <c r="C41" s="123">
        <v>131.0</v>
      </c>
      <c r="D41" s="123">
        <f t="array" ref="D41">IFERROR(_xlfn.XLOOKUP(C41,Code!A:A,Code!B:B),"")</f>
        <v>0.96</v>
      </c>
      <c r="E41" s="123"/>
      <c r="F41" s="102" t="s">
        <v>47</v>
      </c>
      <c r="G41" s="74" t="s">
        <v>17</v>
      </c>
      <c r="H41" s="74" t="s">
        <v>18</v>
      </c>
      <c r="I41" s="77">
        <v>11.0</v>
      </c>
      <c r="J41" s="77">
        <v>100.0</v>
      </c>
      <c r="K41" s="77">
        <v>1100.0</v>
      </c>
      <c r="L41" s="77">
        <v>25.0</v>
      </c>
      <c r="M41" s="105">
        <v>300.0</v>
      </c>
      <c r="N41" s="76"/>
      <c r="O41" s="76"/>
      <c r="P41" s="76"/>
    </row>
    <row r="42" ht="20.25" hidden="1" customHeight="1" outlineLevel="1">
      <c r="A42" s="57"/>
      <c r="B42" s="58"/>
      <c r="C42" s="58"/>
      <c r="D42" s="58"/>
      <c r="E42" s="58"/>
      <c r="F42" s="58"/>
      <c r="G42" s="74" t="s">
        <v>17</v>
      </c>
      <c r="H42" s="74" t="s">
        <v>25</v>
      </c>
      <c r="I42" s="73">
        <v>1.0</v>
      </c>
      <c r="J42" s="73">
        <v>120.0</v>
      </c>
      <c r="K42" s="73">
        <v>120.0</v>
      </c>
      <c r="L42" s="73">
        <v>25.0</v>
      </c>
      <c r="M42" s="108"/>
      <c r="N42" s="76"/>
      <c r="O42" s="76"/>
      <c r="P42" s="76"/>
    </row>
    <row r="43" ht="20.25" hidden="1" customHeight="1" outlineLevel="1">
      <c r="A43" s="29"/>
      <c r="B43" s="123" t="s">
        <v>21</v>
      </c>
      <c r="C43" s="123">
        <v>127.0</v>
      </c>
      <c r="D43" s="123">
        <f t="array" ref="D43">IFERROR(_xlfn.XLOOKUP(C43,Code!A:A,Code!B:B),"")</f>
        <v>0.95</v>
      </c>
      <c r="E43" s="123"/>
      <c r="F43" s="102" t="s">
        <v>59</v>
      </c>
      <c r="G43" s="74" t="s">
        <v>17</v>
      </c>
      <c r="H43" s="74" t="s">
        <v>18</v>
      </c>
      <c r="I43" s="77">
        <v>16.0</v>
      </c>
      <c r="J43" s="77"/>
      <c r="K43" s="77"/>
      <c r="L43" s="77"/>
      <c r="M43" s="105"/>
      <c r="N43" s="76"/>
      <c r="O43" s="76"/>
      <c r="P43" s="76"/>
    </row>
    <row r="44" ht="20.25" hidden="1" customHeight="1" outlineLevel="1">
      <c r="A44" s="57"/>
      <c r="B44" s="58"/>
      <c r="C44" s="58"/>
      <c r="D44" s="58"/>
      <c r="E44" s="58"/>
      <c r="F44" s="58"/>
      <c r="G44" s="74" t="s">
        <v>17</v>
      </c>
      <c r="H44" s="74" t="s">
        <v>25</v>
      </c>
      <c r="I44" s="73">
        <v>1.0</v>
      </c>
      <c r="J44" s="73"/>
      <c r="K44" s="73"/>
      <c r="L44" s="73"/>
      <c r="M44" s="108"/>
      <c r="N44" s="76"/>
      <c r="O44" s="76"/>
      <c r="P44" s="76"/>
    </row>
    <row r="45" ht="20.25" hidden="1" customHeight="1" outlineLevel="1">
      <c r="A45" s="29"/>
      <c r="B45" s="123" t="s">
        <v>21</v>
      </c>
      <c r="C45" s="123">
        <v>113.0</v>
      </c>
      <c r="D45" s="123">
        <f t="array" ref="D45">IFERROR(_xlfn.XLOOKUP(C45,Code!A:A,Code!B:B),"")</f>
        <v>1.32</v>
      </c>
      <c r="E45" s="123"/>
      <c r="F45" s="102" t="s">
        <v>56</v>
      </c>
      <c r="G45" s="74" t="s">
        <v>17</v>
      </c>
      <c r="H45" s="74" t="s">
        <v>18</v>
      </c>
      <c r="I45" s="77">
        <v>15.0</v>
      </c>
      <c r="J45" s="77"/>
      <c r="K45" s="77"/>
      <c r="L45" s="77"/>
      <c r="M45" s="105"/>
      <c r="N45" s="76"/>
      <c r="O45" s="76"/>
      <c r="P45" s="76"/>
    </row>
    <row r="46" ht="20.25" hidden="1" customHeight="1" outlineLevel="1">
      <c r="A46" s="57"/>
      <c r="B46" s="58"/>
      <c r="C46" s="58"/>
      <c r="D46" s="58"/>
      <c r="E46" s="58"/>
      <c r="F46" s="58"/>
      <c r="G46" s="74" t="s">
        <v>17</v>
      </c>
      <c r="H46" s="74" t="s">
        <v>25</v>
      </c>
      <c r="I46" s="73">
        <v>1.0</v>
      </c>
      <c r="J46" s="73"/>
      <c r="K46" s="73"/>
      <c r="L46" s="73"/>
      <c r="M46" s="108"/>
      <c r="N46" s="76"/>
      <c r="O46" s="76"/>
      <c r="P46" s="76"/>
    </row>
    <row r="47" ht="20.25" hidden="1" customHeight="1" outlineLevel="1">
      <c r="A47" s="29"/>
      <c r="B47" s="123" t="s">
        <v>21</v>
      </c>
      <c r="C47" s="123">
        <v>112.0</v>
      </c>
      <c r="D47" s="123">
        <f t="array" ref="D47">IFERROR(_xlfn.XLOOKUP(C47,Code!A:A,Code!B:B),"")</f>
        <v>0.96</v>
      </c>
      <c r="E47" s="123"/>
      <c r="F47" s="102" t="s">
        <v>52</v>
      </c>
      <c r="G47" s="74" t="s">
        <v>17</v>
      </c>
      <c r="H47" s="74" t="s">
        <v>18</v>
      </c>
      <c r="I47" s="77">
        <v>12.0</v>
      </c>
      <c r="J47" s="77">
        <v>100.0</v>
      </c>
      <c r="K47" s="77">
        <v>1200.0</v>
      </c>
      <c r="L47" s="77">
        <v>25.0</v>
      </c>
      <c r="M47" s="105">
        <v>325.0</v>
      </c>
      <c r="N47" s="76"/>
      <c r="O47" s="76"/>
      <c r="P47" s="76"/>
    </row>
    <row r="48" ht="20.25" hidden="1" customHeight="1" outlineLevel="1">
      <c r="A48" s="57"/>
      <c r="B48" s="58"/>
      <c r="C48" s="58"/>
      <c r="D48" s="58"/>
      <c r="E48" s="58"/>
      <c r="F48" s="58"/>
      <c r="G48" s="74" t="s">
        <v>17</v>
      </c>
      <c r="H48" s="74" t="s">
        <v>25</v>
      </c>
      <c r="I48" s="73">
        <v>1.0</v>
      </c>
      <c r="J48" s="73">
        <v>120.0</v>
      </c>
      <c r="K48" s="73">
        <v>120.0</v>
      </c>
      <c r="L48" s="73">
        <v>25.0</v>
      </c>
      <c r="M48" s="108"/>
      <c r="N48" s="76"/>
      <c r="O48" s="76"/>
      <c r="P48" s="76"/>
    </row>
    <row r="49" ht="20.25" hidden="1" customHeight="1" outlineLevel="1">
      <c r="A49" s="121">
        <v>46137.0</v>
      </c>
      <c r="B49" s="123" t="s">
        <v>21</v>
      </c>
      <c r="C49" s="123">
        <v>131.0</v>
      </c>
      <c r="D49" s="123">
        <f t="array" ref="D49">IFERROR(_xlfn.XLOOKUP(C49,Code!A:A,Code!B:B),"")</f>
        <v>0.96</v>
      </c>
      <c r="E49" s="123"/>
      <c r="F49" s="102" t="s">
        <v>47</v>
      </c>
      <c r="G49" s="74" t="s">
        <v>17</v>
      </c>
      <c r="H49" s="74" t="s">
        <v>18</v>
      </c>
      <c r="I49" s="77">
        <v>14.0</v>
      </c>
      <c r="J49" s="77">
        <v>100.0</v>
      </c>
      <c r="K49" s="77">
        <v>1400.0</v>
      </c>
      <c r="L49" s="77">
        <v>25.0</v>
      </c>
      <c r="M49" s="105">
        <v>375.0</v>
      </c>
      <c r="N49" s="76"/>
      <c r="O49" s="76"/>
      <c r="P49" s="76"/>
    </row>
    <row r="50" ht="20.25" hidden="1" customHeight="1" outlineLevel="1">
      <c r="A50" s="57"/>
      <c r="B50" s="58"/>
      <c r="C50" s="58"/>
      <c r="D50" s="58"/>
      <c r="E50" s="58"/>
      <c r="F50" s="58"/>
      <c r="G50" s="74" t="s">
        <v>17</v>
      </c>
      <c r="H50" s="74" t="s">
        <v>25</v>
      </c>
      <c r="I50" s="73">
        <v>1.0</v>
      </c>
      <c r="J50" s="73">
        <v>120.0</v>
      </c>
      <c r="K50" s="73">
        <v>120.0</v>
      </c>
      <c r="L50" s="73">
        <v>25.0</v>
      </c>
      <c r="M50" s="108"/>
      <c r="N50" s="76"/>
      <c r="O50" s="76"/>
      <c r="P50" s="76"/>
    </row>
    <row r="51" ht="20.25" hidden="1" customHeight="1" outlineLevel="1">
      <c r="A51" s="29"/>
      <c r="B51" s="123" t="s">
        <v>21</v>
      </c>
      <c r="C51" s="123">
        <v>112.0</v>
      </c>
      <c r="D51" s="123">
        <f t="array" ref="D51">IFERROR(_xlfn.XLOOKUP(C51,Code!A:A,Code!B:B),"")</f>
        <v>0.96</v>
      </c>
      <c r="E51" s="123"/>
      <c r="F51" s="26" t="s">
        <v>65</v>
      </c>
      <c r="G51" s="74" t="s">
        <v>17</v>
      </c>
      <c r="H51" s="74" t="s">
        <v>18</v>
      </c>
      <c r="I51" s="77">
        <v>15.0</v>
      </c>
      <c r="J51" s="77"/>
      <c r="K51" s="77"/>
      <c r="L51" s="77"/>
      <c r="M51" s="105"/>
      <c r="N51" s="76"/>
      <c r="O51" s="76"/>
      <c r="P51" s="76"/>
    </row>
    <row r="52" ht="20.25" hidden="1" customHeight="1" outlineLevel="1">
      <c r="A52" s="57"/>
      <c r="B52" s="58"/>
      <c r="C52" s="58"/>
      <c r="D52" s="58"/>
      <c r="E52" s="58"/>
      <c r="F52" s="58"/>
      <c r="G52" s="74" t="s">
        <v>17</v>
      </c>
      <c r="H52" s="74" t="s">
        <v>25</v>
      </c>
      <c r="I52" s="73">
        <v>1.0</v>
      </c>
      <c r="J52" s="73"/>
      <c r="K52" s="73"/>
      <c r="L52" s="73"/>
      <c r="M52" s="108"/>
      <c r="N52" s="76"/>
      <c r="O52" s="76"/>
      <c r="P52" s="76"/>
    </row>
    <row r="53" ht="20.25" hidden="1" customHeight="1" outlineLevel="1">
      <c r="A53" s="29"/>
      <c r="B53" s="123" t="s">
        <v>21</v>
      </c>
      <c r="C53" s="123">
        <v>117.0</v>
      </c>
      <c r="D53" s="123">
        <f t="array" ref="D53">IFERROR(_xlfn.XLOOKUP(C53,Code!A:A,Code!B:B),"")</f>
        <v>1.17</v>
      </c>
      <c r="E53" s="123"/>
      <c r="F53" s="102" t="s">
        <v>52</v>
      </c>
      <c r="G53" s="74" t="s">
        <v>17</v>
      </c>
      <c r="H53" s="74" t="s">
        <v>18</v>
      </c>
      <c r="I53" s="77">
        <v>16.0</v>
      </c>
      <c r="J53" s="77">
        <v>100.0</v>
      </c>
      <c r="K53" s="77">
        <v>1600.0</v>
      </c>
      <c r="L53" s="77">
        <v>25.0</v>
      </c>
      <c r="M53" s="105">
        <v>425.0</v>
      </c>
      <c r="N53" s="76"/>
      <c r="O53" s="76"/>
      <c r="P53" s="76"/>
    </row>
    <row r="54" ht="20.25" hidden="1" customHeight="1" outlineLevel="1">
      <c r="A54" s="57"/>
      <c r="B54" s="58"/>
      <c r="C54" s="58"/>
      <c r="D54" s="58"/>
      <c r="E54" s="58"/>
      <c r="F54" s="58"/>
      <c r="G54" s="74" t="s">
        <v>17</v>
      </c>
      <c r="H54" s="74" t="s">
        <v>25</v>
      </c>
      <c r="I54" s="73">
        <v>1.0</v>
      </c>
      <c r="J54" s="73">
        <v>120.0</v>
      </c>
      <c r="K54" s="73">
        <v>120.0</v>
      </c>
      <c r="L54" s="73">
        <v>25.0</v>
      </c>
      <c r="M54" s="108"/>
      <c r="N54" s="76"/>
      <c r="O54" s="76"/>
      <c r="P54" s="76"/>
    </row>
    <row r="55" ht="20.25" hidden="1" customHeight="1" outlineLevel="1">
      <c r="A55" s="29"/>
      <c r="B55" s="123" t="s">
        <v>21</v>
      </c>
      <c r="C55" s="123">
        <v>119.0</v>
      </c>
      <c r="D55" s="123">
        <f t="array" ref="D55">IFERROR(_xlfn.XLOOKUP(C55,Code!A:A,Code!B:B),"")</f>
        <v>1.19</v>
      </c>
      <c r="E55" s="123"/>
      <c r="F55" s="102" t="s">
        <v>59</v>
      </c>
      <c r="G55" s="74" t="s">
        <v>17</v>
      </c>
      <c r="H55" s="74" t="s">
        <v>18</v>
      </c>
      <c r="I55" s="77">
        <v>16.0</v>
      </c>
      <c r="J55" s="77"/>
      <c r="K55" s="77"/>
      <c r="L55" s="77"/>
      <c r="M55" s="105"/>
      <c r="N55" s="76"/>
      <c r="O55" s="76"/>
      <c r="P55" s="76"/>
    </row>
    <row r="56" ht="20.25" hidden="1" customHeight="1" outlineLevel="1">
      <c r="A56" s="57"/>
      <c r="B56" s="58"/>
      <c r="C56" s="58"/>
      <c r="D56" s="58"/>
      <c r="E56" s="58"/>
      <c r="F56" s="58"/>
      <c r="G56" s="74" t="s">
        <v>17</v>
      </c>
      <c r="H56" s="74" t="s">
        <v>25</v>
      </c>
      <c r="I56" s="73">
        <v>1.0</v>
      </c>
      <c r="J56" s="73"/>
      <c r="K56" s="73"/>
      <c r="L56" s="73"/>
      <c r="M56" s="108"/>
      <c r="N56" s="76"/>
      <c r="O56" s="76"/>
      <c r="P56" s="76"/>
    </row>
    <row r="57" ht="20.25" hidden="1" customHeight="1" outlineLevel="1">
      <c r="A57" s="29"/>
      <c r="B57" s="123" t="s">
        <v>21</v>
      </c>
      <c r="C57" s="123">
        <v>125.0</v>
      </c>
      <c r="D57" s="123">
        <f t="array" ref="D57">IFERROR(_xlfn.XLOOKUP(C57,Code!A:A,Code!B:B),"")</f>
        <v>0.96</v>
      </c>
      <c r="E57" s="123" t="s">
        <v>41</v>
      </c>
      <c r="F57" s="102" t="s">
        <v>42</v>
      </c>
      <c r="G57" s="74" t="s">
        <v>17</v>
      </c>
      <c r="H57" s="74" t="s">
        <v>18</v>
      </c>
      <c r="I57" s="77">
        <v>17.0</v>
      </c>
      <c r="J57" s="77">
        <v>100.0</v>
      </c>
      <c r="K57" s="77">
        <v>1700.0</v>
      </c>
      <c r="L57" s="77">
        <v>25.0</v>
      </c>
      <c r="M57" s="105">
        <v>450.0</v>
      </c>
      <c r="N57" s="76"/>
      <c r="O57" s="76"/>
      <c r="P57" s="76"/>
    </row>
    <row r="58" ht="20.25" hidden="1" customHeight="1" outlineLevel="1">
      <c r="A58" s="58"/>
      <c r="B58" s="58"/>
      <c r="C58" s="58"/>
      <c r="D58" s="58"/>
      <c r="E58" s="58"/>
      <c r="F58" s="58"/>
      <c r="G58" s="74" t="s">
        <v>17</v>
      </c>
      <c r="H58" s="74" t="s">
        <v>25</v>
      </c>
      <c r="I58" s="73">
        <v>1.0</v>
      </c>
      <c r="J58" s="73">
        <v>120.0</v>
      </c>
      <c r="K58" s="73">
        <v>120.0</v>
      </c>
      <c r="L58" s="73">
        <v>25.0</v>
      </c>
      <c r="M58" s="108"/>
      <c r="N58" s="76"/>
      <c r="O58" s="76"/>
      <c r="P58" s="76"/>
    </row>
    <row r="59" ht="20.25" hidden="1" customHeight="1" outlineLevel="1">
      <c r="A59" s="179">
        <v>46138.0</v>
      </c>
      <c r="B59" s="123" t="s">
        <v>40</v>
      </c>
      <c r="C59" s="123">
        <v>101.0</v>
      </c>
      <c r="D59" s="123">
        <f t="array" ref="D59">IFERROR(_xlfn.XLOOKUP(C59,Code!A:A,Code!B:B),"")</f>
        <v>1.14</v>
      </c>
      <c r="E59" s="123"/>
      <c r="F59" s="26" t="s">
        <v>70</v>
      </c>
      <c r="G59" s="74" t="s">
        <v>17</v>
      </c>
      <c r="H59" s="74" t="s">
        <v>18</v>
      </c>
      <c r="I59" s="77">
        <v>20.0</v>
      </c>
      <c r="J59" s="77"/>
      <c r="K59" s="77"/>
      <c r="L59" s="77"/>
      <c r="M59" s="74"/>
      <c r="N59" s="74"/>
      <c r="O59" s="76"/>
      <c r="P59" s="76"/>
    </row>
    <row r="60" ht="20.25" hidden="1" customHeight="1" outlineLevel="1">
      <c r="A60" s="57"/>
      <c r="B60" s="58"/>
      <c r="C60" s="58"/>
      <c r="D60" s="58"/>
      <c r="E60" s="58"/>
      <c r="F60" s="58"/>
      <c r="G60" s="74" t="s">
        <v>17</v>
      </c>
      <c r="H60" s="74" t="s">
        <v>25</v>
      </c>
      <c r="I60" s="73">
        <v>1.0</v>
      </c>
      <c r="J60" s="73"/>
      <c r="K60" s="73"/>
      <c r="L60" s="73"/>
      <c r="M60" s="74"/>
      <c r="N60" s="74"/>
      <c r="O60" s="76"/>
      <c r="P60" s="76"/>
    </row>
    <row r="61" ht="20.25" hidden="1" customHeight="1" outlineLevel="1">
      <c r="A61" s="29"/>
      <c r="B61" s="123" t="s">
        <v>21</v>
      </c>
      <c r="C61" s="123">
        <v>117.0</v>
      </c>
      <c r="D61" s="123">
        <f t="array" ref="D61">IFERROR(_xlfn.XLOOKUP(C61,Code!A:A,Code!B:B),"")</f>
        <v>1.17</v>
      </c>
      <c r="E61" s="123"/>
      <c r="F61" s="26" t="s">
        <v>71</v>
      </c>
      <c r="G61" s="74" t="s">
        <v>17</v>
      </c>
      <c r="H61" s="74" t="s">
        <v>18</v>
      </c>
      <c r="I61" s="77">
        <v>23.0</v>
      </c>
      <c r="J61" s="77">
        <v>100.0</v>
      </c>
      <c r="K61" s="77">
        <v>2300.0</v>
      </c>
      <c r="L61" s="160">
        <v>25.0</v>
      </c>
      <c r="M61" s="105">
        <v>600.0</v>
      </c>
      <c r="N61" s="105">
        <v>3020.0</v>
      </c>
      <c r="O61" s="76"/>
      <c r="P61" s="76"/>
    </row>
    <row r="62" ht="20.25" hidden="1" customHeight="1" outlineLevel="1">
      <c r="A62" s="57"/>
      <c r="B62" s="58"/>
      <c r="C62" s="58"/>
      <c r="D62" s="58"/>
      <c r="E62" s="58"/>
      <c r="F62" s="58"/>
      <c r="G62" s="74" t="s">
        <v>17</v>
      </c>
      <c r="H62" s="74" t="s">
        <v>25</v>
      </c>
      <c r="I62" s="73">
        <v>1.0</v>
      </c>
      <c r="J62" s="73">
        <v>120.0</v>
      </c>
      <c r="K62" s="73">
        <v>120.0</v>
      </c>
      <c r="L62" s="58"/>
      <c r="M62" s="108"/>
      <c r="N62" s="108"/>
      <c r="O62" s="76"/>
      <c r="P62" s="76"/>
    </row>
    <row r="63" ht="20.25" hidden="1" customHeight="1" outlineLevel="1">
      <c r="A63" s="29"/>
      <c r="B63" s="123" t="s">
        <v>21</v>
      </c>
      <c r="C63" s="123">
        <v>121.0</v>
      </c>
      <c r="D63" s="123">
        <f t="array" ref="D63">IFERROR(_xlfn.XLOOKUP(C63,Code!A:A,Code!B:B),"")</f>
        <v>1.26</v>
      </c>
      <c r="E63" s="123"/>
      <c r="F63" s="26" t="s">
        <v>73</v>
      </c>
      <c r="G63" s="74" t="s">
        <v>17</v>
      </c>
      <c r="H63" s="74" t="s">
        <v>18</v>
      </c>
      <c r="I63" s="77">
        <v>19.0</v>
      </c>
      <c r="J63" s="77"/>
      <c r="K63" s="77"/>
      <c r="L63" s="77"/>
      <c r="M63" s="74"/>
      <c r="N63" s="74"/>
      <c r="O63" s="76"/>
      <c r="P63" s="76"/>
    </row>
    <row r="64" ht="20.25" hidden="1" customHeight="1" outlineLevel="1">
      <c r="A64" s="57"/>
      <c r="B64" s="58"/>
      <c r="C64" s="58"/>
      <c r="D64" s="58"/>
      <c r="E64" s="58"/>
      <c r="F64" s="58"/>
      <c r="G64" s="74" t="s">
        <v>17</v>
      </c>
      <c r="H64" s="74" t="s">
        <v>25</v>
      </c>
      <c r="I64" s="73">
        <v>1.0</v>
      </c>
      <c r="J64" s="73"/>
      <c r="K64" s="73"/>
      <c r="L64" s="73"/>
      <c r="M64" s="74"/>
      <c r="N64" s="74"/>
      <c r="O64" s="76"/>
      <c r="P64" s="76"/>
    </row>
    <row r="65" ht="20.25" hidden="1" customHeight="1" outlineLevel="1">
      <c r="A65" s="29"/>
      <c r="B65" s="123" t="s">
        <v>21</v>
      </c>
      <c r="C65" s="123">
        <v>119.0</v>
      </c>
      <c r="D65" s="123">
        <f t="array" ref="D65">IFERROR(_xlfn.XLOOKUP(C65,Code!A:A,Code!B:B),"")</f>
        <v>1.19</v>
      </c>
      <c r="E65" s="123"/>
      <c r="F65" s="102" t="s">
        <v>59</v>
      </c>
      <c r="G65" s="74" t="s">
        <v>17</v>
      </c>
      <c r="H65" s="74" t="s">
        <v>18</v>
      </c>
      <c r="I65" s="77">
        <v>16.0</v>
      </c>
      <c r="J65" s="77"/>
      <c r="K65" s="77"/>
      <c r="L65" s="77"/>
      <c r="M65" s="74"/>
      <c r="N65" s="74"/>
      <c r="O65" s="76"/>
      <c r="P65" s="76"/>
    </row>
    <row r="66" ht="20.25" hidden="1" customHeight="1" outlineLevel="1">
      <c r="A66" s="57"/>
      <c r="B66" s="58"/>
      <c r="C66" s="58"/>
      <c r="D66" s="58"/>
      <c r="E66" s="58"/>
      <c r="F66" s="58"/>
      <c r="G66" s="74" t="s">
        <v>17</v>
      </c>
      <c r="H66" s="74" t="s">
        <v>25</v>
      </c>
      <c r="I66" s="73">
        <v>1.0</v>
      </c>
      <c r="J66" s="73"/>
      <c r="K66" s="73"/>
      <c r="L66" s="73"/>
      <c r="M66" s="74"/>
      <c r="N66" s="74"/>
      <c r="O66" s="76"/>
      <c r="P66" s="76"/>
    </row>
    <row r="67" ht="20.25" hidden="1" customHeight="1" outlineLevel="1">
      <c r="A67" s="29"/>
      <c r="B67" s="123" t="s">
        <v>21</v>
      </c>
      <c r="C67" s="123">
        <v>118.0</v>
      </c>
      <c r="D67" s="123">
        <f t="array" ref="D67">IFERROR(_xlfn.XLOOKUP(C67,Code!A:A,Code!B:B),"")</f>
        <v>0.95</v>
      </c>
      <c r="E67" s="123"/>
      <c r="F67" s="26" t="s">
        <v>65</v>
      </c>
      <c r="G67" s="74" t="s">
        <v>17</v>
      </c>
      <c r="H67" s="74" t="s">
        <v>18</v>
      </c>
      <c r="I67" s="77">
        <v>18.0</v>
      </c>
      <c r="J67" s="77"/>
      <c r="K67" s="77"/>
      <c r="L67" s="77"/>
      <c r="M67" s="105"/>
      <c r="N67" s="74"/>
      <c r="O67" s="76"/>
      <c r="P67" s="76"/>
    </row>
    <row r="68" ht="20.25" hidden="1" customHeight="1" outlineLevel="1">
      <c r="A68" s="57"/>
      <c r="B68" s="58"/>
      <c r="C68" s="58"/>
      <c r="D68" s="58"/>
      <c r="E68" s="58"/>
      <c r="F68" s="58"/>
      <c r="G68" s="74" t="s">
        <v>17</v>
      </c>
      <c r="H68" s="74" t="s">
        <v>25</v>
      </c>
      <c r="I68" s="73">
        <v>1.0</v>
      </c>
      <c r="J68" s="73"/>
      <c r="K68" s="73"/>
      <c r="L68" s="73"/>
      <c r="M68" s="182"/>
      <c r="N68" s="74"/>
      <c r="O68" s="76"/>
      <c r="P68" s="76"/>
    </row>
    <row r="69" ht="20.25" hidden="1" customHeight="1" outlineLevel="1">
      <c r="A69" s="29"/>
      <c r="B69" s="123" t="s">
        <v>21</v>
      </c>
      <c r="C69" s="123">
        <v>131.0</v>
      </c>
      <c r="D69" s="123">
        <f t="array" ref="D69">IFERROR(_xlfn.XLOOKUP(C69,Code!A:A,Code!B:B),"")</f>
        <v>0.96</v>
      </c>
      <c r="E69" s="123"/>
      <c r="F69" s="102" t="s">
        <v>47</v>
      </c>
      <c r="G69" s="74" t="s">
        <v>17</v>
      </c>
      <c r="H69" s="74" t="s">
        <v>18</v>
      </c>
      <c r="I69" s="77">
        <v>11.0</v>
      </c>
      <c r="J69" s="77">
        <v>100.0</v>
      </c>
      <c r="K69" s="77">
        <v>1100.0</v>
      </c>
      <c r="L69" s="160">
        <v>25.0</v>
      </c>
      <c r="M69" s="105">
        <v>300.0</v>
      </c>
      <c r="N69" s="105">
        <v>1520.0</v>
      </c>
      <c r="O69" s="76"/>
      <c r="P69" s="76"/>
    </row>
    <row r="70" ht="20.25" hidden="1" customHeight="1" outlineLevel="1">
      <c r="A70" s="58"/>
      <c r="B70" s="58"/>
      <c r="C70" s="58"/>
      <c r="D70" s="58"/>
      <c r="E70" s="58"/>
      <c r="F70" s="58"/>
      <c r="G70" s="74" t="s">
        <v>17</v>
      </c>
      <c r="H70" s="74" t="s">
        <v>25</v>
      </c>
      <c r="I70" s="73">
        <v>1.0</v>
      </c>
      <c r="J70" s="73">
        <v>120.0</v>
      </c>
      <c r="K70" s="73">
        <v>120.0</v>
      </c>
      <c r="L70" s="58"/>
      <c r="M70" s="108"/>
      <c r="N70" s="108"/>
      <c r="O70" s="76"/>
      <c r="P70" s="76"/>
    </row>
    <row r="71" ht="20.25" hidden="1" customHeight="1" outlineLevel="1">
      <c r="A71" s="179">
        <v>46139.0</v>
      </c>
      <c r="B71" s="123" t="s">
        <v>21</v>
      </c>
      <c r="C71" s="123">
        <v>126.0</v>
      </c>
      <c r="D71" s="123">
        <f t="array" ref="D71">IFERROR(_xlfn.XLOOKUP(C71,Code!A:A,Code!B:B),"")</f>
        <v>0.95</v>
      </c>
      <c r="E71" s="123" t="s">
        <v>41</v>
      </c>
      <c r="F71" s="102" t="s">
        <v>42</v>
      </c>
      <c r="G71" s="74" t="s">
        <v>17</v>
      </c>
      <c r="H71" s="74" t="s">
        <v>18</v>
      </c>
      <c r="I71" s="77">
        <v>26.0</v>
      </c>
      <c r="J71" s="77">
        <v>100.0</v>
      </c>
      <c r="K71" s="77">
        <v>2600.0</v>
      </c>
      <c r="L71" s="77">
        <v>25.0</v>
      </c>
      <c r="M71" s="105">
        <v>675.0</v>
      </c>
      <c r="N71" s="105">
        <v>3395.0</v>
      </c>
      <c r="O71" s="76"/>
      <c r="P71" s="76"/>
    </row>
    <row r="72" ht="20.25" hidden="1" customHeight="1" outlineLevel="1">
      <c r="A72" s="57"/>
      <c r="B72" s="58"/>
      <c r="C72" s="58"/>
      <c r="D72" s="58"/>
      <c r="E72" s="58"/>
      <c r="F72" s="58"/>
      <c r="G72" s="74" t="s">
        <v>17</v>
      </c>
      <c r="H72" s="74" t="s">
        <v>25</v>
      </c>
      <c r="I72" s="73">
        <v>1.0</v>
      </c>
      <c r="J72" s="73">
        <v>120.0</v>
      </c>
      <c r="K72" s="73">
        <v>120.0</v>
      </c>
      <c r="L72" s="73">
        <v>25.0</v>
      </c>
      <c r="M72" s="108"/>
      <c r="N72" s="108"/>
      <c r="O72" s="76"/>
      <c r="P72" s="76"/>
    </row>
    <row r="73" ht="20.25" hidden="1" customHeight="1" outlineLevel="1">
      <c r="A73" s="29"/>
      <c r="B73" s="123" t="s">
        <v>40</v>
      </c>
      <c r="C73" s="123">
        <v>133.0</v>
      </c>
      <c r="D73" s="123">
        <f t="array" ref="D73">IFERROR(_xlfn.XLOOKUP(C73,Code!A:A,Code!B:B),"")</f>
        <v>0.96</v>
      </c>
      <c r="E73" s="123"/>
      <c r="F73" s="102" t="s">
        <v>47</v>
      </c>
      <c r="G73" s="74" t="s">
        <v>17</v>
      </c>
      <c r="H73" s="74" t="s">
        <v>18</v>
      </c>
      <c r="I73" s="77">
        <v>12.0</v>
      </c>
      <c r="J73" s="77">
        <v>100.0</v>
      </c>
      <c r="K73" s="77">
        <v>1200.0</v>
      </c>
      <c r="L73" s="77">
        <v>25.0</v>
      </c>
      <c r="M73" s="105">
        <v>325.0</v>
      </c>
      <c r="N73" s="105"/>
      <c r="O73" s="76"/>
      <c r="P73" s="76"/>
    </row>
    <row r="74" ht="20.25" hidden="1" customHeight="1" outlineLevel="1">
      <c r="A74" s="57"/>
      <c r="B74" s="58"/>
      <c r="C74" s="58"/>
      <c r="D74" s="58"/>
      <c r="E74" s="58"/>
      <c r="F74" s="58"/>
      <c r="G74" s="74" t="s">
        <v>17</v>
      </c>
      <c r="H74" s="74" t="s">
        <v>25</v>
      </c>
      <c r="I74" s="73">
        <v>1.0</v>
      </c>
      <c r="J74" s="73">
        <v>120.0</v>
      </c>
      <c r="K74" s="73">
        <v>120.0</v>
      </c>
      <c r="L74" s="73">
        <v>25.0</v>
      </c>
      <c r="M74" s="108"/>
      <c r="N74" s="108"/>
      <c r="O74" s="76"/>
      <c r="P74" s="76"/>
    </row>
    <row r="75" ht="20.25" hidden="1" customHeight="1" outlineLevel="1">
      <c r="A75" s="29"/>
      <c r="B75" s="123" t="s">
        <v>40</v>
      </c>
      <c r="C75" s="123">
        <v>102.0</v>
      </c>
      <c r="D75" s="123">
        <f t="array" ref="D75">IFERROR(_xlfn.XLOOKUP(C75,Code!A:A,Code!B:B),"")</f>
        <v>1.23</v>
      </c>
      <c r="E75" s="123"/>
      <c r="F75" s="26" t="s">
        <v>70</v>
      </c>
      <c r="G75" s="74" t="s">
        <v>17</v>
      </c>
      <c r="H75" s="74" t="s">
        <v>18</v>
      </c>
      <c r="I75" s="77">
        <v>23.0</v>
      </c>
      <c r="J75" s="77"/>
      <c r="K75" s="77"/>
      <c r="L75" s="77"/>
      <c r="M75" s="105"/>
      <c r="N75" s="74"/>
      <c r="O75" s="76"/>
      <c r="P75" s="76"/>
    </row>
    <row r="76" ht="20.25" hidden="1" customHeight="1" outlineLevel="1">
      <c r="A76" s="57"/>
      <c r="B76" s="58"/>
      <c r="C76" s="58"/>
      <c r="D76" s="58"/>
      <c r="E76" s="58"/>
      <c r="F76" s="58"/>
      <c r="G76" s="74" t="s">
        <v>17</v>
      </c>
      <c r="H76" s="74" t="s">
        <v>25</v>
      </c>
      <c r="I76" s="73">
        <v>1.0</v>
      </c>
      <c r="J76" s="73"/>
      <c r="K76" s="73"/>
      <c r="L76" s="73"/>
      <c r="M76" s="108"/>
      <c r="N76" s="74"/>
      <c r="O76" s="76"/>
      <c r="P76" s="76"/>
    </row>
    <row r="77" ht="20.25" hidden="1" customHeight="1" outlineLevel="1">
      <c r="A77" s="29"/>
      <c r="B77" s="123" t="s">
        <v>40</v>
      </c>
      <c r="C77" s="123">
        <v>137.0</v>
      </c>
      <c r="D77" s="123">
        <f t="array" ref="D77">IFERROR(_xlfn.XLOOKUP(C77,Code!A:A,Code!B:B),"")</f>
        <v>0.96</v>
      </c>
      <c r="E77" s="123"/>
      <c r="F77" s="26" t="s">
        <v>78</v>
      </c>
      <c r="G77" s="74" t="s">
        <v>17</v>
      </c>
      <c r="H77" s="74" t="s">
        <v>18</v>
      </c>
      <c r="I77" s="77">
        <v>10.0</v>
      </c>
      <c r="J77" s="77"/>
      <c r="K77" s="77"/>
      <c r="L77" s="77"/>
      <c r="M77" s="105"/>
      <c r="N77" s="74"/>
      <c r="O77" s="76"/>
      <c r="P77" s="76"/>
    </row>
    <row r="78" ht="20.25" hidden="1" customHeight="1" outlineLevel="1">
      <c r="A78" s="57"/>
      <c r="B78" s="58"/>
      <c r="C78" s="58"/>
      <c r="D78" s="58"/>
      <c r="E78" s="58"/>
      <c r="F78" s="58"/>
      <c r="G78" s="74" t="s">
        <v>17</v>
      </c>
      <c r="H78" s="74" t="s">
        <v>25</v>
      </c>
      <c r="I78" s="73">
        <v>1.0</v>
      </c>
      <c r="J78" s="73"/>
      <c r="K78" s="73"/>
      <c r="L78" s="73"/>
      <c r="M78" s="108"/>
      <c r="N78" s="74"/>
      <c r="O78" s="76"/>
      <c r="P78" s="76"/>
    </row>
    <row r="79" ht="20.25" hidden="1" customHeight="1" outlineLevel="1">
      <c r="A79" s="29"/>
      <c r="B79" s="123" t="s">
        <v>21</v>
      </c>
      <c r="C79" s="123">
        <v>118.0</v>
      </c>
      <c r="D79" s="123">
        <f t="array" ref="D79">IFERROR(_xlfn.XLOOKUP(C79,Code!A:A,Code!B:B),"")</f>
        <v>0.95</v>
      </c>
      <c r="E79" s="123"/>
      <c r="F79" s="26" t="s">
        <v>65</v>
      </c>
      <c r="G79" s="74" t="s">
        <v>17</v>
      </c>
      <c r="H79" s="105" t="s">
        <v>18</v>
      </c>
      <c r="I79" s="160">
        <v>21.0</v>
      </c>
      <c r="J79" s="160"/>
      <c r="K79" s="160"/>
      <c r="L79" s="160"/>
      <c r="M79" s="105"/>
      <c r="N79" s="74"/>
      <c r="O79" s="76"/>
      <c r="P79" s="76"/>
    </row>
    <row r="80" ht="20.25" hidden="1" customHeight="1" outlineLevel="1">
      <c r="A80" s="57"/>
      <c r="B80" s="58"/>
      <c r="C80" s="58"/>
      <c r="D80" s="58"/>
      <c r="E80" s="58"/>
      <c r="F80" s="58"/>
      <c r="G80" s="74" t="s">
        <v>17</v>
      </c>
      <c r="H80" s="108"/>
      <c r="I80" s="58"/>
      <c r="J80" s="58"/>
      <c r="K80" s="58"/>
      <c r="L80" s="58"/>
      <c r="M80" s="108"/>
      <c r="N80" s="74"/>
      <c r="O80" s="76"/>
      <c r="P80" s="76"/>
    </row>
    <row r="81" ht="20.25" hidden="1" customHeight="1" outlineLevel="1">
      <c r="A81" s="29"/>
      <c r="B81" s="123" t="s">
        <v>40</v>
      </c>
      <c r="C81" s="123">
        <v>121.0</v>
      </c>
      <c r="D81" s="123">
        <f t="array" ref="D81">IFERROR(_xlfn.XLOOKUP(C81,Code!A:A,Code!B:B),"")</f>
        <v>1.26</v>
      </c>
      <c r="E81" s="123"/>
      <c r="F81" s="26" t="s">
        <v>73</v>
      </c>
      <c r="G81" s="74" t="s">
        <v>17</v>
      </c>
      <c r="H81" s="74" t="s">
        <v>18</v>
      </c>
      <c r="I81" s="77">
        <v>20.0</v>
      </c>
      <c r="J81" s="77"/>
      <c r="K81" s="77"/>
      <c r="L81" s="77"/>
      <c r="M81" s="105"/>
      <c r="N81" s="74"/>
      <c r="O81" s="76"/>
      <c r="P81" s="76"/>
    </row>
    <row r="82" ht="20.25" hidden="1" customHeight="1" outlineLevel="1">
      <c r="A82" s="57"/>
      <c r="B82" s="58"/>
      <c r="C82" s="58"/>
      <c r="D82" s="58"/>
      <c r="E82" s="58"/>
      <c r="F82" s="58"/>
      <c r="G82" s="74" t="s">
        <v>17</v>
      </c>
      <c r="H82" s="74" t="s">
        <v>25</v>
      </c>
      <c r="I82" s="73">
        <v>1.0</v>
      </c>
      <c r="J82" s="73"/>
      <c r="K82" s="73"/>
      <c r="L82" s="73"/>
      <c r="M82" s="108"/>
      <c r="N82" s="74"/>
      <c r="O82" s="76"/>
      <c r="P82" s="76"/>
    </row>
    <row r="83" ht="20.25" hidden="1" customHeight="1" outlineLevel="1">
      <c r="A83" s="29"/>
      <c r="B83" s="123" t="s">
        <v>21</v>
      </c>
      <c r="C83" s="123">
        <v>120.0</v>
      </c>
      <c r="D83" s="123">
        <f t="array" ref="D83">IFERROR(_xlfn.XLOOKUP(C81,Code!A:A,Code!B:B),"")</f>
        <v>1.26</v>
      </c>
      <c r="E83" s="123"/>
      <c r="F83" s="26" t="s">
        <v>59</v>
      </c>
      <c r="G83" s="74" t="s">
        <v>17</v>
      </c>
      <c r="H83" s="74" t="s">
        <v>18</v>
      </c>
      <c r="I83" s="77">
        <v>16.0</v>
      </c>
      <c r="J83" s="77"/>
      <c r="K83" s="77"/>
      <c r="L83" s="77"/>
      <c r="M83" s="105"/>
      <c r="N83" s="74"/>
      <c r="O83" s="76"/>
      <c r="P83" s="76"/>
    </row>
    <row r="84" ht="20.25" hidden="1" customHeight="1" outlineLevel="1">
      <c r="A84" s="57"/>
      <c r="B84" s="58"/>
      <c r="C84" s="58"/>
      <c r="D84" s="58"/>
      <c r="E84" s="58"/>
      <c r="F84" s="58"/>
      <c r="G84" s="74" t="s">
        <v>17</v>
      </c>
      <c r="H84" s="74" t="s">
        <v>25</v>
      </c>
      <c r="I84" s="73">
        <v>1.0</v>
      </c>
      <c r="J84" s="73"/>
      <c r="K84" s="73"/>
      <c r="L84" s="73"/>
      <c r="M84" s="108"/>
      <c r="N84" s="74"/>
      <c r="O84" s="76"/>
      <c r="P84" s="76"/>
    </row>
    <row r="85" ht="20.25" hidden="1" customHeight="1" outlineLevel="1">
      <c r="A85" s="29"/>
      <c r="B85" s="123" t="s">
        <v>21</v>
      </c>
      <c r="C85" s="123">
        <v>120.0</v>
      </c>
      <c r="D85" s="123">
        <f t="array" ref="D85">IFERROR(_xlfn.XLOOKUP(C83,Code!A:A,Code!B:B),"")</f>
        <v>0.55</v>
      </c>
      <c r="E85" s="123"/>
      <c r="F85" s="26" t="s">
        <v>81</v>
      </c>
      <c r="G85" s="74" t="s">
        <v>17</v>
      </c>
      <c r="H85" s="74" t="s">
        <v>18</v>
      </c>
      <c r="I85" s="77">
        <v>16.0</v>
      </c>
      <c r="J85" s="77">
        <v>100.0</v>
      </c>
      <c r="K85" s="77">
        <v>1600.0</v>
      </c>
      <c r="L85" s="160">
        <v>25.0</v>
      </c>
      <c r="M85" s="105">
        <v>510.0</v>
      </c>
      <c r="N85" s="74"/>
      <c r="O85" s="76"/>
      <c r="P85" s="76"/>
    </row>
    <row r="86" ht="20.25" hidden="1" customHeight="1" outlineLevel="1">
      <c r="A86" s="58"/>
      <c r="B86" s="58"/>
      <c r="C86" s="58"/>
      <c r="D86" s="58"/>
      <c r="E86" s="58"/>
      <c r="F86" s="58"/>
      <c r="G86" s="74" t="s">
        <v>17</v>
      </c>
      <c r="H86" s="74" t="s">
        <v>25</v>
      </c>
      <c r="I86" s="73">
        <v>1.0</v>
      </c>
      <c r="J86" s="73">
        <v>120.0</v>
      </c>
      <c r="K86" s="73">
        <v>120.0</v>
      </c>
      <c r="L86" s="58"/>
      <c r="M86" s="108"/>
      <c r="N86" s="74"/>
      <c r="O86" s="76"/>
      <c r="P86" s="76"/>
    </row>
    <row r="87" ht="20.25" hidden="1" customHeight="1" outlineLevel="1">
      <c r="A87" s="121">
        <v>46140.0</v>
      </c>
      <c r="B87" s="19" t="s">
        <v>21</v>
      </c>
      <c r="C87" s="19">
        <v>129.0</v>
      </c>
      <c r="D87" s="19"/>
      <c r="E87" s="19"/>
      <c r="F87" s="185" t="s">
        <v>42</v>
      </c>
      <c r="G87" s="74" t="s">
        <v>17</v>
      </c>
      <c r="H87" s="74" t="s">
        <v>18</v>
      </c>
      <c r="I87" s="77">
        <v>25.0</v>
      </c>
      <c r="J87" s="77">
        <v>100.0</v>
      </c>
      <c r="K87" s="77">
        <v>2500.0</v>
      </c>
      <c r="L87" s="77">
        <v>25.0</v>
      </c>
      <c r="M87" s="74">
        <v>625.0</v>
      </c>
      <c r="N87" s="74"/>
      <c r="O87" s="76"/>
      <c r="P87" s="76"/>
    </row>
    <row r="88" ht="20.25" hidden="1" customHeight="1" outlineLevel="1">
      <c r="A88" s="57"/>
      <c r="B88" s="72" t="s">
        <v>40</v>
      </c>
      <c r="C88" s="72">
        <v>135.0</v>
      </c>
      <c r="D88" s="11"/>
      <c r="E88" s="11"/>
      <c r="F88" s="102" t="s">
        <v>47</v>
      </c>
      <c r="G88" s="74" t="s">
        <v>17</v>
      </c>
      <c r="H88" s="74" t="s">
        <v>25</v>
      </c>
      <c r="I88" s="73">
        <v>1.0</v>
      </c>
      <c r="J88" s="73">
        <v>120.0</v>
      </c>
      <c r="K88" s="73">
        <v>120.0</v>
      </c>
      <c r="L88" s="73">
        <v>25.0</v>
      </c>
      <c r="M88" s="105">
        <v>300.0</v>
      </c>
      <c r="N88" s="74"/>
      <c r="O88" s="76"/>
      <c r="P88" s="76"/>
    </row>
    <row r="89" ht="20.25" hidden="1" customHeight="1" outlineLevel="1">
      <c r="A89" s="29"/>
      <c r="B89" s="20"/>
      <c r="C89" s="20"/>
      <c r="D89" s="19"/>
      <c r="E89" s="19"/>
      <c r="F89" s="20"/>
      <c r="G89" s="74" t="s">
        <v>17</v>
      </c>
      <c r="H89" s="74" t="s">
        <v>18</v>
      </c>
      <c r="I89" s="77">
        <v>11.0</v>
      </c>
      <c r="J89" s="77">
        <v>100.0</v>
      </c>
      <c r="K89" s="77">
        <v>1100.0</v>
      </c>
      <c r="L89" s="77">
        <v>25.0</v>
      </c>
      <c r="M89" s="108"/>
      <c r="N89" s="74"/>
      <c r="O89" s="76"/>
      <c r="P89" s="76"/>
    </row>
    <row r="90" ht="20.25" hidden="1" customHeight="1" outlineLevel="1">
      <c r="A90" s="57"/>
      <c r="B90" s="72" t="s">
        <v>21</v>
      </c>
      <c r="C90" s="72">
        <v>124.0</v>
      </c>
      <c r="D90" s="11"/>
      <c r="E90" s="11"/>
      <c r="F90" s="26" t="s">
        <v>82</v>
      </c>
      <c r="G90" s="74" t="s">
        <v>17</v>
      </c>
      <c r="H90" s="74" t="s">
        <v>25</v>
      </c>
      <c r="I90" s="73">
        <v>1.0</v>
      </c>
      <c r="J90" s="73">
        <v>120.0</v>
      </c>
      <c r="K90" s="73">
        <v>120.0</v>
      </c>
      <c r="L90" s="73">
        <v>30.0</v>
      </c>
      <c r="M90" s="105">
        <v>600.0</v>
      </c>
      <c r="N90" s="74"/>
      <c r="O90" s="76"/>
      <c r="P90" s="76"/>
    </row>
    <row r="91" ht="20.25" hidden="1" customHeight="1" outlineLevel="1">
      <c r="A91" s="29"/>
      <c r="B91" s="20"/>
      <c r="C91" s="20"/>
      <c r="D91" s="19"/>
      <c r="E91" s="19"/>
      <c r="F91" s="20"/>
      <c r="G91" s="74" t="s">
        <v>17</v>
      </c>
      <c r="H91" s="74" t="s">
        <v>18</v>
      </c>
      <c r="I91" s="77">
        <v>19.0</v>
      </c>
      <c r="J91" s="77">
        <v>100.0</v>
      </c>
      <c r="K91" s="77">
        <v>1900.0</v>
      </c>
      <c r="L91" s="77">
        <v>30.0</v>
      </c>
      <c r="M91" s="108"/>
      <c r="N91" s="74"/>
      <c r="O91" s="76"/>
      <c r="P91" s="76"/>
    </row>
    <row r="92" ht="20.25" hidden="1" customHeight="1" outlineLevel="1">
      <c r="A92" s="57"/>
      <c r="B92" s="72" t="s">
        <v>21</v>
      </c>
      <c r="C92" s="72">
        <v>121.0</v>
      </c>
      <c r="D92" s="11"/>
      <c r="E92" s="11"/>
      <c r="F92" s="26" t="s">
        <v>59</v>
      </c>
      <c r="G92" s="74" t="s">
        <v>17</v>
      </c>
      <c r="H92" s="74" t="s">
        <v>25</v>
      </c>
      <c r="I92" s="73">
        <v>1.0</v>
      </c>
      <c r="J92" s="73"/>
      <c r="K92" s="73"/>
      <c r="L92" s="73"/>
      <c r="M92" s="74"/>
      <c r="N92" s="74"/>
      <c r="O92" s="76"/>
      <c r="P92" s="76"/>
    </row>
    <row r="93" ht="20.25" hidden="1" customHeight="1" outlineLevel="1">
      <c r="A93" s="29"/>
      <c r="B93" s="20"/>
      <c r="C93" s="20"/>
      <c r="D93" s="19"/>
      <c r="E93" s="19"/>
      <c r="F93" s="20"/>
      <c r="G93" s="74" t="s">
        <v>17</v>
      </c>
      <c r="H93" s="74" t="s">
        <v>18</v>
      </c>
      <c r="I93" s="77">
        <v>16.0</v>
      </c>
      <c r="J93" s="77"/>
      <c r="K93" s="77"/>
      <c r="L93" s="77"/>
      <c r="M93" s="74"/>
      <c r="N93" s="74"/>
      <c r="O93" s="76"/>
      <c r="P93" s="76"/>
    </row>
    <row r="94" ht="20.25" hidden="1" customHeight="1" outlineLevel="1">
      <c r="A94" s="57"/>
      <c r="B94" s="72" t="s">
        <v>40</v>
      </c>
      <c r="C94" s="72">
        <v>137.0</v>
      </c>
      <c r="D94" s="11"/>
      <c r="E94" s="11"/>
      <c r="F94" s="26" t="s">
        <v>78</v>
      </c>
      <c r="G94" s="74" t="s">
        <v>17</v>
      </c>
      <c r="H94" s="74" t="s">
        <v>25</v>
      </c>
      <c r="I94" s="73">
        <v>1.0</v>
      </c>
      <c r="J94" s="73"/>
      <c r="K94" s="73"/>
      <c r="L94" s="73"/>
      <c r="M94" s="74"/>
      <c r="N94" s="74"/>
      <c r="O94" s="76"/>
      <c r="P94" s="76"/>
    </row>
    <row r="95" ht="20.25" hidden="1" customHeight="1" outlineLevel="1">
      <c r="A95" s="29"/>
      <c r="B95" s="20"/>
      <c r="C95" s="20"/>
      <c r="D95" s="19"/>
      <c r="E95" s="19"/>
      <c r="F95" s="20"/>
      <c r="G95" s="74" t="s">
        <v>17</v>
      </c>
      <c r="H95" s="74" t="s">
        <v>18</v>
      </c>
      <c r="I95" s="77">
        <v>8.0</v>
      </c>
      <c r="J95" s="77"/>
      <c r="K95" s="77"/>
      <c r="L95" s="77"/>
      <c r="M95" s="74"/>
      <c r="N95" s="74"/>
      <c r="O95" s="76"/>
      <c r="P95" s="76"/>
    </row>
    <row r="96" ht="20.25" hidden="1" customHeight="1" outlineLevel="1">
      <c r="A96" s="57"/>
      <c r="B96" s="72" t="s">
        <v>21</v>
      </c>
      <c r="C96" s="72">
        <v>115.0</v>
      </c>
      <c r="D96" s="11"/>
      <c r="E96" s="11"/>
      <c r="F96" s="26" t="s">
        <v>84</v>
      </c>
      <c r="G96" s="74" t="s">
        <v>17</v>
      </c>
      <c r="H96" s="74" t="s">
        <v>25</v>
      </c>
      <c r="I96" s="73">
        <v>1.0</v>
      </c>
      <c r="J96" s="73"/>
      <c r="K96" s="73"/>
      <c r="L96" s="73"/>
      <c r="M96" s="74"/>
      <c r="N96" s="74"/>
      <c r="O96" s="76"/>
      <c r="P96" s="76"/>
    </row>
    <row r="97" ht="20.25" hidden="1" customHeight="1" outlineLevel="1">
      <c r="A97" s="20"/>
      <c r="B97" s="20"/>
      <c r="C97" s="20"/>
      <c r="D97" s="19"/>
      <c r="E97" s="19"/>
      <c r="F97" s="20"/>
      <c r="G97" s="74" t="s">
        <v>17</v>
      </c>
      <c r="H97" s="74" t="s">
        <v>18</v>
      </c>
      <c r="I97" s="77">
        <v>22.0</v>
      </c>
      <c r="J97" s="77"/>
      <c r="K97" s="77"/>
      <c r="L97" s="77"/>
      <c r="M97" s="74"/>
      <c r="N97" s="74"/>
      <c r="O97" s="76"/>
      <c r="P97" s="76"/>
    </row>
    <row r="98" ht="20.25" hidden="1" customHeight="1" outlineLevel="1">
      <c r="A98" s="69">
        <v>46140.0</v>
      </c>
      <c r="B98" s="72" t="s">
        <v>22</v>
      </c>
      <c r="C98" s="11">
        <v>125.0</v>
      </c>
      <c r="D98" s="11"/>
      <c r="E98" s="11"/>
      <c r="F98" s="75" t="s">
        <v>85</v>
      </c>
      <c r="G98" s="74" t="s">
        <v>17</v>
      </c>
      <c r="H98" s="74" t="s">
        <v>25</v>
      </c>
      <c r="I98" s="73">
        <v>1.0</v>
      </c>
      <c r="J98" s="73">
        <v>120.0</v>
      </c>
      <c r="K98" s="73">
        <v>120.0</v>
      </c>
      <c r="L98" s="73"/>
      <c r="M98" s="105">
        <v>400.0</v>
      </c>
      <c r="N98" s="74"/>
      <c r="O98" s="76"/>
      <c r="P98" s="76"/>
    </row>
    <row r="99" ht="20.25" hidden="1" customHeight="1" outlineLevel="1">
      <c r="A99" s="29"/>
      <c r="B99" s="29"/>
      <c r="C99" s="19">
        <v>126.0</v>
      </c>
      <c r="D99" s="19"/>
      <c r="E99" s="19"/>
      <c r="F99" s="29"/>
      <c r="G99" s="74" t="s">
        <v>17</v>
      </c>
      <c r="H99" s="74" t="s">
        <v>18</v>
      </c>
      <c r="I99" s="160">
        <v>15.0</v>
      </c>
      <c r="J99" s="160">
        <v>110.0</v>
      </c>
      <c r="K99" s="160">
        <v>1650.0</v>
      </c>
      <c r="L99" s="160"/>
      <c r="M99" s="187"/>
      <c r="N99" s="74"/>
      <c r="O99" s="76"/>
      <c r="P99" s="76"/>
    </row>
    <row r="100" ht="20.25" hidden="1" customHeight="1" outlineLevel="1">
      <c r="A100" s="58"/>
      <c r="B100" s="58"/>
      <c r="C100" s="11">
        <v>129.0</v>
      </c>
      <c r="D100" s="11"/>
      <c r="E100" s="11"/>
      <c r="F100" s="58"/>
      <c r="G100" s="74" t="s">
        <v>17</v>
      </c>
      <c r="H100" s="74" t="s">
        <v>18</v>
      </c>
      <c r="I100" s="58"/>
      <c r="J100" s="58"/>
      <c r="K100" s="58"/>
      <c r="L100" s="58"/>
      <c r="M100" s="108"/>
      <c r="N100" s="74"/>
      <c r="O100" s="76"/>
      <c r="P100" s="76"/>
    </row>
    <row r="101" ht="20.25" hidden="1" customHeight="1" outlineLevel="1">
      <c r="A101" s="121">
        <v>46141.0</v>
      </c>
      <c r="B101" s="123" t="s">
        <v>45</v>
      </c>
      <c r="C101" s="19">
        <v>131.0</v>
      </c>
      <c r="D101" s="19"/>
      <c r="E101" s="19"/>
      <c r="F101" s="160" t="s">
        <v>85</v>
      </c>
      <c r="G101" s="74" t="s">
        <v>17</v>
      </c>
      <c r="H101" s="74" t="s">
        <v>18</v>
      </c>
      <c r="I101" s="77">
        <v>8.0</v>
      </c>
      <c r="J101" s="77">
        <v>150.0</v>
      </c>
      <c r="K101" s="77">
        <v>1200.0</v>
      </c>
      <c r="L101" s="77"/>
      <c r="M101" s="105">
        <v>400.0</v>
      </c>
      <c r="N101" s="74"/>
      <c r="O101" s="76"/>
      <c r="P101" s="76"/>
    </row>
    <row r="102" ht="20.25" hidden="1" customHeight="1" outlineLevel="1">
      <c r="A102" s="57"/>
      <c r="B102" s="57"/>
      <c r="C102" s="11">
        <v>132.0</v>
      </c>
      <c r="D102" s="11"/>
      <c r="E102" s="11"/>
      <c r="F102" s="57"/>
      <c r="G102" s="74" t="s">
        <v>17</v>
      </c>
      <c r="H102" s="74" t="s">
        <v>18</v>
      </c>
      <c r="I102" s="73">
        <v>4.0</v>
      </c>
      <c r="J102" s="73">
        <v>195.0</v>
      </c>
      <c r="K102" s="73">
        <v>780.0</v>
      </c>
      <c r="L102" s="73"/>
      <c r="M102" s="187"/>
      <c r="N102" s="74"/>
      <c r="O102" s="76"/>
      <c r="P102" s="76"/>
    </row>
    <row r="103" ht="20.25" hidden="1" customHeight="1" outlineLevel="1">
      <c r="A103" s="29"/>
      <c r="B103" s="29"/>
      <c r="C103" s="19">
        <v>133.0</v>
      </c>
      <c r="D103" s="19"/>
      <c r="E103" s="19"/>
      <c r="F103" s="29"/>
      <c r="G103" s="74" t="s">
        <v>17</v>
      </c>
      <c r="H103" s="74" t="s">
        <v>18</v>
      </c>
      <c r="I103" s="77">
        <v>2.0</v>
      </c>
      <c r="J103" s="77">
        <v>120.0</v>
      </c>
      <c r="K103" s="77">
        <v>240.0</v>
      </c>
      <c r="L103" s="77"/>
      <c r="M103" s="187"/>
      <c r="N103" s="74"/>
      <c r="O103" s="76"/>
      <c r="P103" s="76"/>
    </row>
    <row r="104" ht="20.25" hidden="1" customHeight="1" outlineLevel="1">
      <c r="A104" s="58"/>
      <c r="B104" s="58"/>
      <c r="C104" s="11">
        <v>134.0</v>
      </c>
      <c r="D104" s="11"/>
      <c r="E104" s="11"/>
      <c r="F104" s="58"/>
      <c r="G104" s="74" t="s">
        <v>17</v>
      </c>
      <c r="H104" s="74" t="s">
        <v>18</v>
      </c>
      <c r="I104" s="73">
        <v>1.0</v>
      </c>
      <c r="J104" s="73">
        <v>180.0</v>
      </c>
      <c r="K104" s="73">
        <v>180.0</v>
      </c>
      <c r="L104" s="73"/>
      <c r="M104" s="108"/>
      <c r="N104" s="74"/>
      <c r="O104" s="76"/>
      <c r="P104" s="76"/>
    </row>
    <row r="105" ht="20.25" hidden="1" customHeight="1" outlineLevel="1">
      <c r="A105" s="121">
        <v>46141.0</v>
      </c>
      <c r="B105" s="123" t="s">
        <v>21</v>
      </c>
      <c r="C105" s="123">
        <v>124.0</v>
      </c>
      <c r="D105" s="19"/>
      <c r="E105" s="19"/>
      <c r="F105" s="26" t="s">
        <v>82</v>
      </c>
      <c r="G105" s="74" t="s">
        <v>17</v>
      </c>
      <c r="H105" s="74" t="s">
        <v>25</v>
      </c>
      <c r="I105" s="77">
        <v>1.0</v>
      </c>
      <c r="J105" s="77">
        <v>120.0</v>
      </c>
      <c r="K105" s="77">
        <v>120.0</v>
      </c>
      <c r="L105" s="77">
        <v>30.0</v>
      </c>
      <c r="M105" s="105">
        <v>660.0</v>
      </c>
      <c r="N105" s="74"/>
      <c r="O105" s="76"/>
      <c r="P105" s="76"/>
    </row>
    <row r="106" ht="20.25" hidden="1" customHeight="1" outlineLevel="1">
      <c r="A106" s="57"/>
      <c r="B106" s="58"/>
      <c r="C106" s="58"/>
      <c r="D106" s="11"/>
      <c r="E106" s="11"/>
      <c r="F106" s="58"/>
      <c r="G106" s="74" t="s">
        <v>17</v>
      </c>
      <c r="H106" s="74" t="s">
        <v>18</v>
      </c>
      <c r="I106" s="73">
        <v>21.0</v>
      </c>
      <c r="J106" s="73">
        <v>100.0</v>
      </c>
      <c r="K106" s="73">
        <v>2100.0</v>
      </c>
      <c r="L106" s="73">
        <v>30.0</v>
      </c>
      <c r="M106" s="108"/>
      <c r="N106" s="74"/>
      <c r="O106" s="76"/>
      <c r="P106" s="76"/>
    </row>
    <row r="107" ht="20.25" hidden="1" customHeight="1" outlineLevel="1">
      <c r="A107" s="29"/>
      <c r="B107" s="123" t="s">
        <v>21</v>
      </c>
      <c r="C107" s="19">
        <v>129.0</v>
      </c>
      <c r="D107" s="19"/>
      <c r="E107" s="19"/>
      <c r="F107" s="102" t="s">
        <v>42</v>
      </c>
      <c r="G107" s="74" t="s">
        <v>17</v>
      </c>
      <c r="H107" s="74" t="s">
        <v>25</v>
      </c>
      <c r="I107" s="77">
        <v>1.0</v>
      </c>
      <c r="J107" s="77">
        <v>120.0</v>
      </c>
      <c r="K107" s="77">
        <v>120.0</v>
      </c>
      <c r="L107" s="77">
        <v>25.0</v>
      </c>
      <c r="M107" s="105">
        <v>1000.0</v>
      </c>
      <c r="N107" s="74"/>
      <c r="O107" s="76"/>
      <c r="P107" s="76"/>
    </row>
    <row r="108" ht="20.25" hidden="1" customHeight="1" outlineLevel="1">
      <c r="A108" s="57"/>
      <c r="B108" s="58"/>
      <c r="C108" s="11">
        <v>127.0</v>
      </c>
      <c r="D108" s="11"/>
      <c r="E108" s="11"/>
      <c r="F108" s="58"/>
      <c r="G108" s="74" t="s">
        <v>17</v>
      </c>
      <c r="H108" s="74" t="s">
        <v>18</v>
      </c>
      <c r="I108" s="73">
        <v>25.0</v>
      </c>
      <c r="J108" s="73">
        <v>100.0</v>
      </c>
      <c r="K108" s="73">
        <v>2500.0</v>
      </c>
      <c r="L108" s="73">
        <v>25.0</v>
      </c>
      <c r="M108" s="187"/>
      <c r="N108" s="74"/>
      <c r="O108" s="76"/>
      <c r="P108" s="76"/>
    </row>
    <row r="109" ht="20.25" hidden="1" customHeight="1" outlineLevel="1">
      <c r="A109" s="29"/>
      <c r="B109" s="123" t="s">
        <v>40</v>
      </c>
      <c r="C109" s="123">
        <v>135.0</v>
      </c>
      <c r="D109" s="19"/>
      <c r="E109" s="19"/>
      <c r="F109" s="102" t="s">
        <v>47</v>
      </c>
      <c r="G109" s="74" t="s">
        <v>17</v>
      </c>
      <c r="H109" s="74" t="s">
        <v>25</v>
      </c>
      <c r="I109" s="77">
        <v>1.0</v>
      </c>
      <c r="J109" s="77">
        <v>120.0</v>
      </c>
      <c r="K109" s="77">
        <v>120.0</v>
      </c>
      <c r="L109" s="77">
        <v>25.0</v>
      </c>
      <c r="M109" s="187"/>
      <c r="N109" s="74"/>
      <c r="O109" s="76"/>
      <c r="P109" s="76"/>
    </row>
    <row r="110" ht="20.25" hidden="1" customHeight="1" outlineLevel="1">
      <c r="A110" s="57"/>
      <c r="B110" s="58"/>
      <c r="C110" s="58"/>
      <c r="D110" s="11"/>
      <c r="E110" s="11"/>
      <c r="F110" s="58"/>
      <c r="G110" s="74" t="s">
        <v>17</v>
      </c>
      <c r="H110" s="74" t="s">
        <v>18</v>
      </c>
      <c r="I110" s="73">
        <v>13.0</v>
      </c>
      <c r="J110" s="73">
        <v>100.0</v>
      </c>
      <c r="K110" s="73">
        <v>1300.0</v>
      </c>
      <c r="L110" s="73">
        <v>25.0</v>
      </c>
      <c r="M110" s="108"/>
      <c r="N110" s="74"/>
      <c r="O110" s="76"/>
      <c r="P110" s="76"/>
    </row>
    <row r="111" ht="20.25" hidden="1" customHeight="1" outlineLevel="1">
      <c r="A111" s="29"/>
      <c r="B111" s="123" t="s">
        <v>21</v>
      </c>
      <c r="C111" s="123">
        <v>121.0</v>
      </c>
      <c r="D111" s="19"/>
      <c r="E111" s="19"/>
      <c r="F111" s="26" t="s">
        <v>59</v>
      </c>
      <c r="G111" s="74" t="s">
        <v>17</v>
      </c>
      <c r="H111" s="74" t="s">
        <v>25</v>
      </c>
      <c r="I111" s="77">
        <v>1.0</v>
      </c>
      <c r="J111" s="77"/>
      <c r="K111" s="77"/>
      <c r="L111" s="77"/>
      <c r="M111" s="74"/>
      <c r="N111" s="74"/>
      <c r="O111" s="76"/>
      <c r="P111" s="76"/>
    </row>
    <row r="112" ht="20.25" hidden="1" customHeight="1" outlineLevel="1">
      <c r="A112" s="57"/>
      <c r="B112" s="58"/>
      <c r="C112" s="58"/>
      <c r="D112" s="11"/>
      <c r="E112" s="11"/>
      <c r="F112" s="58"/>
      <c r="G112" s="74" t="s">
        <v>17</v>
      </c>
      <c r="H112" s="74" t="s">
        <v>18</v>
      </c>
      <c r="I112" s="73">
        <v>16.0</v>
      </c>
      <c r="J112" s="73"/>
      <c r="K112" s="73"/>
      <c r="L112" s="73"/>
      <c r="M112" s="74"/>
      <c r="N112" s="74"/>
      <c r="O112" s="76"/>
      <c r="P112" s="76"/>
    </row>
    <row r="113" ht="20.25" hidden="1" customHeight="1" outlineLevel="1">
      <c r="A113" s="29"/>
      <c r="B113" s="123" t="s">
        <v>21</v>
      </c>
      <c r="C113" s="123">
        <v>114.0</v>
      </c>
      <c r="D113" s="19"/>
      <c r="E113" s="19"/>
      <c r="F113" s="26" t="s">
        <v>84</v>
      </c>
      <c r="G113" s="74" t="s">
        <v>17</v>
      </c>
      <c r="H113" s="74" t="s">
        <v>25</v>
      </c>
      <c r="I113" s="77">
        <v>1.0</v>
      </c>
      <c r="J113" s="77"/>
      <c r="K113" s="77"/>
      <c r="L113" s="77"/>
      <c r="M113" s="74"/>
      <c r="N113" s="74"/>
      <c r="O113" s="76"/>
      <c r="P113" s="76"/>
    </row>
    <row r="114" ht="20.25" hidden="1" customHeight="1" outlineLevel="1">
      <c r="A114" s="57"/>
      <c r="B114" s="58"/>
      <c r="C114" s="58"/>
      <c r="D114" s="11"/>
      <c r="E114" s="11"/>
      <c r="F114" s="58"/>
      <c r="G114" s="74" t="s">
        <v>17</v>
      </c>
      <c r="H114" s="74" t="s">
        <v>18</v>
      </c>
      <c r="I114" s="73">
        <v>21.0</v>
      </c>
      <c r="J114" s="73"/>
      <c r="K114" s="73"/>
      <c r="L114" s="73"/>
      <c r="M114" s="74"/>
      <c r="N114" s="74"/>
      <c r="O114" s="76"/>
      <c r="P114" s="76"/>
    </row>
    <row r="115" ht="20.25" hidden="1" customHeight="1" outlineLevel="1">
      <c r="A115" s="29"/>
      <c r="B115" s="123" t="s">
        <v>40</v>
      </c>
      <c r="C115" s="123">
        <v>120.0</v>
      </c>
      <c r="D115" s="19"/>
      <c r="E115" s="19"/>
      <c r="F115" s="26" t="s">
        <v>78</v>
      </c>
      <c r="G115" s="74" t="s">
        <v>17</v>
      </c>
      <c r="H115" s="74" t="s">
        <v>25</v>
      </c>
      <c r="I115" s="77">
        <v>1.0</v>
      </c>
      <c r="J115" s="77"/>
      <c r="K115" s="77"/>
      <c r="L115" s="77"/>
      <c r="M115" s="74"/>
      <c r="N115" s="74"/>
      <c r="O115" s="76"/>
      <c r="P115" s="76"/>
    </row>
    <row r="116" ht="20.25" hidden="1" customHeight="1" outlineLevel="1">
      <c r="A116" s="57"/>
      <c r="B116" s="58"/>
      <c r="C116" s="58"/>
      <c r="D116" s="11"/>
      <c r="E116" s="11"/>
      <c r="F116" s="58"/>
      <c r="G116" s="74" t="s">
        <v>17</v>
      </c>
      <c r="H116" s="74" t="s">
        <v>18</v>
      </c>
      <c r="I116" s="73">
        <v>12.0</v>
      </c>
      <c r="J116" s="73"/>
      <c r="K116" s="73"/>
      <c r="L116" s="73"/>
      <c r="M116" s="74"/>
      <c r="N116" s="74"/>
      <c r="O116" s="76"/>
      <c r="P116" s="76"/>
    </row>
    <row r="117" ht="20.25" hidden="1" customHeight="1" outlineLevel="1">
      <c r="A117" s="29"/>
      <c r="B117" s="123" t="s">
        <v>21</v>
      </c>
      <c r="C117" s="123">
        <v>119.0</v>
      </c>
      <c r="D117" s="19"/>
      <c r="E117" s="19"/>
      <c r="F117" s="26" t="s">
        <v>88</v>
      </c>
      <c r="G117" s="74" t="s">
        <v>17</v>
      </c>
      <c r="H117" s="74" t="s">
        <v>25</v>
      </c>
      <c r="I117" s="77">
        <v>1.0</v>
      </c>
      <c r="J117" s="77"/>
      <c r="K117" s="77"/>
      <c r="L117" s="77"/>
      <c r="M117" s="74"/>
      <c r="N117" s="74"/>
      <c r="O117" s="76"/>
      <c r="P117" s="76"/>
    </row>
    <row r="118" ht="20.25" hidden="1" customHeight="1" outlineLevel="1">
      <c r="A118" s="58"/>
      <c r="B118" s="58"/>
      <c r="C118" s="58"/>
      <c r="D118" s="11"/>
      <c r="E118" s="11"/>
      <c r="F118" s="58"/>
      <c r="G118" s="74" t="s">
        <v>17</v>
      </c>
      <c r="H118" s="74" t="s">
        <v>18</v>
      </c>
      <c r="I118" s="73">
        <v>20.0</v>
      </c>
      <c r="J118" s="73"/>
      <c r="K118" s="73"/>
      <c r="L118" s="73"/>
      <c r="M118" s="74"/>
      <c r="N118" s="74"/>
      <c r="O118" s="76"/>
      <c r="P118" s="76"/>
    </row>
    <row r="119" ht="16.5" hidden="1" customHeight="1" outlineLevel="1">
      <c r="A119" s="121">
        <v>46142.0</v>
      </c>
      <c r="B119" s="123" t="s">
        <v>21</v>
      </c>
      <c r="C119" s="189">
        <v>124.0</v>
      </c>
      <c r="D119" s="19"/>
      <c r="E119" s="19"/>
      <c r="F119" s="26" t="s">
        <v>82</v>
      </c>
      <c r="G119" s="74" t="s">
        <v>17</v>
      </c>
      <c r="H119" s="74" t="s">
        <v>25</v>
      </c>
      <c r="I119" s="77">
        <v>1.0</v>
      </c>
      <c r="J119" s="77">
        <v>120.0</v>
      </c>
      <c r="K119" s="77">
        <v>120.0</v>
      </c>
      <c r="L119" s="77">
        <v>30.0</v>
      </c>
      <c r="M119" s="105"/>
      <c r="N119" s="74"/>
      <c r="O119" s="76"/>
      <c r="P119" s="76"/>
    </row>
    <row r="120" ht="16.5" hidden="1" customHeight="1" outlineLevel="1">
      <c r="A120" s="57"/>
      <c r="B120" s="58"/>
      <c r="C120" s="190">
        <v>123.0</v>
      </c>
      <c r="D120" s="11"/>
      <c r="E120" s="11"/>
      <c r="F120" s="58"/>
      <c r="G120" s="74" t="s">
        <v>17</v>
      </c>
      <c r="H120" s="74" t="s">
        <v>18</v>
      </c>
      <c r="I120" s="73">
        <v>19.0</v>
      </c>
      <c r="J120" s="73">
        <v>100.0</v>
      </c>
      <c r="K120" s="73">
        <v>1900.0</v>
      </c>
      <c r="L120" s="73">
        <v>30.0</v>
      </c>
      <c r="M120" s="108"/>
      <c r="N120" s="74"/>
      <c r="O120" s="76"/>
      <c r="P120" s="76"/>
    </row>
    <row r="121" ht="16.5" hidden="1" customHeight="1" outlineLevel="1">
      <c r="A121" s="29"/>
      <c r="B121" s="123" t="s">
        <v>21</v>
      </c>
      <c r="C121" s="189">
        <v>125.0</v>
      </c>
      <c r="D121" s="19"/>
      <c r="E121" s="19"/>
      <c r="F121" s="102" t="s">
        <v>42</v>
      </c>
      <c r="G121" s="74" t="s">
        <v>17</v>
      </c>
      <c r="H121" s="74" t="s">
        <v>25</v>
      </c>
      <c r="I121" s="77">
        <v>1.0</v>
      </c>
      <c r="J121" s="77">
        <v>120.0</v>
      </c>
      <c r="K121" s="77">
        <v>120.0</v>
      </c>
      <c r="L121" s="77">
        <v>25.0</v>
      </c>
      <c r="M121" s="105"/>
      <c r="N121" s="74"/>
      <c r="O121" s="76"/>
      <c r="P121" s="76"/>
    </row>
    <row r="122" ht="16.5" hidden="1" customHeight="1" outlineLevel="1">
      <c r="A122" s="57"/>
      <c r="B122" s="58"/>
      <c r="C122" s="190">
        <v>130.0</v>
      </c>
      <c r="D122" s="11"/>
      <c r="E122" s="11"/>
      <c r="F122" s="58"/>
      <c r="G122" s="74" t="s">
        <v>17</v>
      </c>
      <c r="H122" s="74" t="s">
        <v>18</v>
      </c>
      <c r="I122" s="73">
        <v>24.0</v>
      </c>
      <c r="J122" s="73">
        <v>100.0</v>
      </c>
      <c r="K122" s="73">
        <v>2400.0</v>
      </c>
      <c r="L122" s="73">
        <v>25.0</v>
      </c>
      <c r="M122" s="108"/>
      <c r="N122" s="74"/>
      <c r="O122" s="76"/>
      <c r="P122" s="76"/>
    </row>
    <row r="123" ht="16.5" hidden="1" customHeight="1" outlineLevel="1">
      <c r="A123" s="29"/>
      <c r="B123" s="123" t="s">
        <v>40</v>
      </c>
      <c r="C123" s="123">
        <v>136.0</v>
      </c>
      <c r="D123" s="19"/>
      <c r="E123" s="19"/>
      <c r="F123" s="102" t="s">
        <v>47</v>
      </c>
      <c r="G123" s="74" t="s">
        <v>17</v>
      </c>
      <c r="H123" s="74" t="s">
        <v>25</v>
      </c>
      <c r="I123" s="77">
        <v>1.0</v>
      </c>
      <c r="J123" s="77">
        <v>120.0</v>
      </c>
      <c r="K123" s="77">
        <v>120.0</v>
      </c>
      <c r="L123" s="77">
        <v>25.0</v>
      </c>
      <c r="M123" s="105"/>
      <c r="N123" s="74"/>
      <c r="O123" s="76"/>
      <c r="P123" s="76"/>
    </row>
    <row r="124" ht="16.5" hidden="1" customHeight="1" outlineLevel="1">
      <c r="A124" s="57"/>
      <c r="B124" s="58"/>
      <c r="C124" s="58"/>
      <c r="D124" s="11"/>
      <c r="E124" s="11"/>
      <c r="F124" s="58"/>
      <c r="G124" s="74" t="s">
        <v>17</v>
      </c>
      <c r="H124" s="74" t="s">
        <v>18</v>
      </c>
      <c r="I124" s="73">
        <v>13.0</v>
      </c>
      <c r="J124" s="73">
        <v>100.0</v>
      </c>
      <c r="K124" s="73">
        <v>1300.0</v>
      </c>
      <c r="L124" s="73">
        <v>25.0</v>
      </c>
      <c r="M124" s="108"/>
      <c r="N124" s="74"/>
      <c r="O124" s="76"/>
      <c r="P124" s="76"/>
    </row>
    <row r="125" ht="16.5" hidden="1" customHeight="1" outlineLevel="1">
      <c r="A125" s="29"/>
      <c r="B125" s="19" t="s">
        <v>21</v>
      </c>
      <c r="C125" s="123">
        <v>121.0</v>
      </c>
      <c r="D125" s="19"/>
      <c r="E125" s="19"/>
      <c r="F125" s="26" t="s">
        <v>59</v>
      </c>
      <c r="G125" s="74" t="s">
        <v>17</v>
      </c>
      <c r="H125" s="74" t="s">
        <v>25</v>
      </c>
      <c r="I125" s="77">
        <v>1.0</v>
      </c>
      <c r="J125" s="77"/>
      <c r="K125" s="77"/>
      <c r="L125" s="77"/>
      <c r="M125" s="74"/>
      <c r="N125" s="74"/>
      <c r="O125" s="76"/>
      <c r="P125" s="76"/>
    </row>
    <row r="126" ht="16.5" hidden="1" customHeight="1" outlineLevel="1">
      <c r="A126" s="57"/>
      <c r="B126" s="11" t="s">
        <v>40</v>
      </c>
      <c r="C126" s="58"/>
      <c r="D126" s="11"/>
      <c r="E126" s="11"/>
      <c r="F126" s="58"/>
      <c r="G126" s="74" t="s">
        <v>17</v>
      </c>
      <c r="H126" s="74" t="s">
        <v>18</v>
      </c>
      <c r="I126" s="73">
        <v>17.0</v>
      </c>
      <c r="J126" s="73"/>
      <c r="K126" s="73"/>
      <c r="L126" s="73"/>
      <c r="M126" s="74"/>
      <c r="N126" s="74"/>
      <c r="O126" s="76"/>
      <c r="P126" s="76"/>
    </row>
    <row r="127" ht="16.5" hidden="1" customHeight="1" outlineLevel="1">
      <c r="A127" s="29"/>
      <c r="B127" s="123" t="s">
        <v>21</v>
      </c>
      <c r="C127" s="123">
        <v>103.0</v>
      </c>
      <c r="D127" s="19"/>
      <c r="E127" s="19"/>
      <c r="F127" s="26" t="s">
        <v>84</v>
      </c>
      <c r="G127" s="74" t="s">
        <v>17</v>
      </c>
      <c r="H127" s="74" t="s">
        <v>25</v>
      </c>
      <c r="I127" s="77">
        <v>1.0</v>
      </c>
      <c r="J127" s="77"/>
      <c r="K127" s="77"/>
      <c r="L127" s="77"/>
      <c r="M127" s="74"/>
      <c r="N127" s="74"/>
      <c r="O127" s="76"/>
      <c r="P127" s="76"/>
    </row>
    <row r="128" ht="16.5" hidden="1" customHeight="1" outlineLevel="1">
      <c r="A128" s="57"/>
      <c r="B128" s="58"/>
      <c r="C128" s="58"/>
      <c r="D128" s="11"/>
      <c r="E128" s="11"/>
      <c r="F128" s="58"/>
      <c r="G128" s="74" t="s">
        <v>17</v>
      </c>
      <c r="H128" s="74" t="s">
        <v>18</v>
      </c>
      <c r="I128" s="73">
        <v>23.0</v>
      </c>
      <c r="J128" s="73"/>
      <c r="K128" s="73"/>
      <c r="L128" s="73"/>
      <c r="M128" s="74"/>
      <c r="N128" s="74"/>
      <c r="O128" s="76"/>
      <c r="P128" s="76"/>
    </row>
    <row r="129" ht="16.5" hidden="1" customHeight="1" outlineLevel="1">
      <c r="A129" s="29"/>
      <c r="B129" s="123" t="s">
        <v>40</v>
      </c>
      <c r="C129" s="123">
        <v>120.0</v>
      </c>
      <c r="D129" s="19"/>
      <c r="E129" s="19"/>
      <c r="F129" s="26" t="s">
        <v>78</v>
      </c>
      <c r="G129" s="74" t="s">
        <v>17</v>
      </c>
      <c r="H129" s="74" t="s">
        <v>25</v>
      </c>
      <c r="I129" s="77">
        <v>1.0</v>
      </c>
      <c r="J129" s="77"/>
      <c r="K129" s="77"/>
      <c r="L129" s="77"/>
      <c r="M129" s="74"/>
      <c r="N129" s="74"/>
      <c r="O129" s="76"/>
      <c r="P129" s="76"/>
    </row>
    <row r="130" ht="16.5" hidden="1" customHeight="1" outlineLevel="1">
      <c r="A130" s="57"/>
      <c r="B130" s="58"/>
      <c r="C130" s="58"/>
      <c r="D130" s="11"/>
      <c r="E130" s="11"/>
      <c r="F130" s="58"/>
      <c r="G130" s="74" t="s">
        <v>17</v>
      </c>
      <c r="H130" s="74" t="s">
        <v>18</v>
      </c>
      <c r="I130" s="73">
        <v>7.0</v>
      </c>
      <c r="J130" s="73"/>
      <c r="K130" s="73"/>
      <c r="L130" s="73"/>
      <c r="M130" s="74"/>
      <c r="N130" s="74"/>
      <c r="O130" s="76"/>
      <c r="P130" s="76"/>
    </row>
    <row r="131" ht="16.5" hidden="1" customHeight="1" outlineLevel="1">
      <c r="A131" s="29"/>
      <c r="B131" s="123" t="s">
        <v>40</v>
      </c>
      <c r="C131" s="123">
        <v>119.0</v>
      </c>
      <c r="D131" s="19"/>
      <c r="E131" s="19"/>
      <c r="F131" s="26" t="s">
        <v>88</v>
      </c>
      <c r="G131" s="74" t="s">
        <v>17</v>
      </c>
      <c r="H131" s="74" t="s">
        <v>25</v>
      </c>
      <c r="I131" s="77">
        <v>1.0</v>
      </c>
      <c r="J131" s="77"/>
      <c r="K131" s="77"/>
      <c r="L131" s="77"/>
      <c r="M131" s="74"/>
      <c r="N131" s="74"/>
      <c r="O131" s="76"/>
      <c r="P131" s="76"/>
    </row>
    <row r="132" ht="16.5" hidden="1" customHeight="1" outlineLevel="1">
      <c r="A132" s="57"/>
      <c r="B132" s="58"/>
      <c r="C132" s="58"/>
      <c r="D132" s="11"/>
      <c r="E132" s="11"/>
      <c r="F132" s="58"/>
      <c r="G132" s="74" t="s">
        <v>17</v>
      </c>
      <c r="H132" s="74" t="s">
        <v>18</v>
      </c>
      <c r="I132" s="73">
        <v>17.0</v>
      </c>
      <c r="J132" s="73"/>
      <c r="K132" s="73"/>
      <c r="L132" s="73"/>
      <c r="M132" s="74"/>
      <c r="N132" s="74"/>
      <c r="O132" s="76"/>
      <c r="P132" s="76"/>
    </row>
    <row r="133" ht="16.5" hidden="1" customHeight="1" outlineLevel="1">
      <c r="A133" s="29"/>
      <c r="B133" s="123" t="s">
        <v>40</v>
      </c>
      <c r="C133" s="123">
        <v>104.0</v>
      </c>
      <c r="D133" s="19"/>
      <c r="E133" s="19"/>
      <c r="F133" s="26" t="s">
        <v>70</v>
      </c>
      <c r="G133" s="74" t="s">
        <v>17</v>
      </c>
      <c r="H133" s="74" t="s">
        <v>25</v>
      </c>
      <c r="I133" s="77">
        <v>1.0</v>
      </c>
      <c r="J133" s="77"/>
      <c r="K133" s="77"/>
      <c r="L133" s="77"/>
      <c r="M133" s="74"/>
      <c r="N133" s="74"/>
      <c r="O133" s="76"/>
      <c r="P133" s="76"/>
    </row>
    <row r="134" ht="16.5" hidden="1" customHeight="1" outlineLevel="1">
      <c r="A134" s="58"/>
      <c r="B134" s="58"/>
      <c r="C134" s="58"/>
      <c r="D134" s="11"/>
      <c r="E134" s="11"/>
      <c r="F134" s="58"/>
      <c r="G134" s="74" t="s">
        <v>17</v>
      </c>
      <c r="H134" s="74" t="s">
        <v>18</v>
      </c>
      <c r="I134" s="73">
        <v>19.0</v>
      </c>
      <c r="J134" s="73"/>
      <c r="K134" s="73"/>
      <c r="L134" s="73"/>
      <c r="M134" s="74"/>
      <c r="N134" s="74"/>
      <c r="O134" s="76"/>
      <c r="P134" s="76"/>
    </row>
    <row r="135" ht="16.5" hidden="1" customHeight="1" outlineLevel="1">
      <c r="A135" s="121">
        <v>46142.0</v>
      </c>
      <c r="B135" s="123" t="s">
        <v>45</v>
      </c>
      <c r="C135" s="19">
        <v>133.0</v>
      </c>
      <c r="D135" s="19"/>
      <c r="E135" s="19"/>
      <c r="F135" s="160" t="s">
        <v>85</v>
      </c>
      <c r="G135" s="74" t="s">
        <v>17</v>
      </c>
      <c r="H135" s="74" t="s">
        <v>18</v>
      </c>
      <c r="I135" s="77">
        <v>7.0</v>
      </c>
      <c r="J135" s="77">
        <v>150.0</v>
      </c>
      <c r="K135" s="77">
        <v>1050.0</v>
      </c>
      <c r="L135" s="77"/>
      <c r="M135" s="105">
        <v>400.0</v>
      </c>
      <c r="N135" s="74"/>
      <c r="O135" s="76"/>
      <c r="P135" s="76"/>
    </row>
    <row r="136" ht="16.5" hidden="1" customHeight="1" outlineLevel="1">
      <c r="A136" s="57"/>
      <c r="B136" s="57"/>
      <c r="C136" s="11">
        <v>135.0</v>
      </c>
      <c r="D136" s="11"/>
      <c r="E136" s="11"/>
      <c r="F136" s="57"/>
      <c r="G136" s="74" t="s">
        <v>17</v>
      </c>
      <c r="H136" s="74" t="s">
        <v>18</v>
      </c>
      <c r="I136" s="73">
        <v>4.0</v>
      </c>
      <c r="J136" s="73">
        <v>195.0</v>
      </c>
      <c r="K136" s="73">
        <v>780.0</v>
      </c>
      <c r="L136" s="73"/>
      <c r="M136" s="187"/>
      <c r="N136" s="74"/>
      <c r="O136" s="76"/>
      <c r="P136" s="76"/>
    </row>
    <row r="137" ht="16.5" hidden="1" customHeight="1" outlineLevel="1">
      <c r="A137" s="20"/>
      <c r="B137" s="20"/>
      <c r="C137" s="19">
        <v>136.0</v>
      </c>
      <c r="D137" s="19"/>
      <c r="E137" s="19"/>
      <c r="F137" s="20"/>
      <c r="G137" s="74" t="s">
        <v>17</v>
      </c>
      <c r="H137" s="74" t="s">
        <v>18</v>
      </c>
      <c r="I137" s="77">
        <v>1.0</v>
      </c>
      <c r="J137" s="77">
        <v>180.0</v>
      </c>
      <c r="K137" s="77">
        <v>180.0</v>
      </c>
      <c r="L137" s="77"/>
      <c r="M137" s="108"/>
      <c r="N137" s="74"/>
      <c r="O137" s="76"/>
      <c r="P137" s="76"/>
    </row>
    <row r="138" ht="20.25" hidden="1" customHeight="1" outlineLevel="1">
      <c r="A138" s="69">
        <v>46143.0</v>
      </c>
      <c r="B138" s="72" t="s">
        <v>21</v>
      </c>
      <c r="C138" s="72">
        <v>130.0</v>
      </c>
      <c r="D138" s="11"/>
      <c r="E138" s="11"/>
      <c r="F138" s="102" t="s">
        <v>42</v>
      </c>
      <c r="G138" s="74" t="s">
        <v>17</v>
      </c>
      <c r="H138" s="74" t="s">
        <v>25</v>
      </c>
      <c r="I138" s="73">
        <v>1.0</v>
      </c>
      <c r="J138" s="73">
        <v>120.0</v>
      </c>
      <c r="K138" s="73">
        <v>120.0</v>
      </c>
      <c r="L138" s="73">
        <v>25.0</v>
      </c>
      <c r="M138" s="105">
        <v>675.0</v>
      </c>
      <c r="N138" s="74"/>
      <c r="O138" s="76"/>
      <c r="P138" s="76"/>
    </row>
    <row r="139" ht="20.25" hidden="1" customHeight="1" outlineLevel="1">
      <c r="A139" s="29"/>
      <c r="B139" s="20"/>
      <c r="C139" s="20"/>
      <c r="D139" s="19"/>
      <c r="E139" s="19"/>
      <c r="F139" s="20"/>
      <c r="G139" s="74" t="s">
        <v>17</v>
      </c>
      <c r="H139" s="74" t="s">
        <v>18</v>
      </c>
      <c r="I139" s="77">
        <v>26.0</v>
      </c>
      <c r="J139" s="77">
        <v>100.0</v>
      </c>
      <c r="K139" s="77">
        <v>2600.0</v>
      </c>
      <c r="L139" s="77">
        <v>25.0</v>
      </c>
      <c r="M139" s="108"/>
      <c r="N139" s="74"/>
      <c r="O139" s="76"/>
      <c r="P139" s="76"/>
    </row>
    <row r="140" ht="20.25" hidden="1" customHeight="1" outlineLevel="1">
      <c r="A140" s="57"/>
      <c r="B140" s="72" t="s">
        <v>21</v>
      </c>
      <c r="C140" s="72">
        <v>138.0</v>
      </c>
      <c r="D140" s="11"/>
      <c r="E140" s="11"/>
      <c r="F140" s="102" t="s">
        <v>47</v>
      </c>
      <c r="G140" s="74" t="s">
        <v>17</v>
      </c>
      <c r="H140" s="74" t="s">
        <v>25</v>
      </c>
      <c r="I140" s="73">
        <v>1.0</v>
      </c>
      <c r="J140" s="73">
        <v>120.0</v>
      </c>
      <c r="K140" s="73">
        <v>120.0</v>
      </c>
      <c r="L140" s="73">
        <v>25.0</v>
      </c>
      <c r="M140" s="105">
        <v>450.0</v>
      </c>
      <c r="N140" s="74"/>
      <c r="O140" s="76"/>
      <c r="P140" s="76"/>
    </row>
    <row r="141" ht="20.25" hidden="1" customHeight="1" outlineLevel="1">
      <c r="A141" s="29"/>
      <c r="B141" s="20"/>
      <c r="C141" s="20"/>
      <c r="D141" s="19"/>
      <c r="E141" s="19"/>
      <c r="F141" s="20"/>
      <c r="G141" s="74" t="s">
        <v>17</v>
      </c>
      <c r="H141" s="74" t="s">
        <v>18</v>
      </c>
      <c r="I141" s="77">
        <v>17.0</v>
      </c>
      <c r="J141" s="77">
        <v>100.0</v>
      </c>
      <c r="K141" s="77">
        <v>1700.0</v>
      </c>
      <c r="L141" s="77">
        <v>25.0</v>
      </c>
      <c r="M141" s="108"/>
      <c r="N141" s="74"/>
      <c r="O141" s="76"/>
      <c r="P141" s="76"/>
    </row>
    <row r="142" ht="20.25" hidden="1" customHeight="1" outlineLevel="1">
      <c r="A142" s="57"/>
      <c r="B142" s="72" t="s">
        <v>21</v>
      </c>
      <c r="C142" s="11">
        <v>123.0</v>
      </c>
      <c r="D142" s="11"/>
      <c r="E142" s="11"/>
      <c r="F142" s="26" t="s">
        <v>82</v>
      </c>
      <c r="G142" s="74" t="s">
        <v>17</v>
      </c>
      <c r="H142" s="74" t="s">
        <v>25</v>
      </c>
      <c r="I142" s="73">
        <v>1.0</v>
      </c>
      <c r="J142" s="73">
        <v>120.0</v>
      </c>
      <c r="K142" s="73">
        <v>120.0</v>
      </c>
      <c r="L142" s="73">
        <v>30.0</v>
      </c>
      <c r="M142" s="105">
        <v>750.0</v>
      </c>
      <c r="N142" s="74"/>
      <c r="O142" s="76"/>
      <c r="P142" s="76"/>
    </row>
    <row r="143" ht="20.25" hidden="1" customHeight="1" outlineLevel="1">
      <c r="A143" s="29"/>
      <c r="B143" s="20"/>
      <c r="C143" s="19">
        <v>120.0</v>
      </c>
      <c r="D143" s="19"/>
      <c r="E143" s="19"/>
      <c r="F143" s="20"/>
      <c r="G143" s="74" t="s">
        <v>17</v>
      </c>
      <c r="H143" s="74" t="s">
        <v>18</v>
      </c>
      <c r="I143" s="77">
        <v>24.0</v>
      </c>
      <c r="J143" s="77">
        <v>100.0</v>
      </c>
      <c r="K143" s="77">
        <v>2400.0</v>
      </c>
      <c r="L143" s="77">
        <v>30.0</v>
      </c>
      <c r="M143" s="108"/>
      <c r="N143" s="74"/>
      <c r="O143" s="76"/>
      <c r="P143" s="76"/>
    </row>
    <row r="144" ht="20.25" hidden="1" customHeight="1" outlineLevel="1">
      <c r="A144" s="57"/>
      <c r="B144" s="72" t="s">
        <v>21</v>
      </c>
      <c r="C144" s="72">
        <v>101.0</v>
      </c>
      <c r="D144" s="11"/>
      <c r="E144" s="11"/>
      <c r="F144" s="26" t="s">
        <v>59</v>
      </c>
      <c r="G144" s="74" t="s">
        <v>17</v>
      </c>
      <c r="H144" s="74" t="s">
        <v>25</v>
      </c>
      <c r="I144" s="73">
        <v>1.0</v>
      </c>
      <c r="J144" s="73"/>
      <c r="K144" s="73"/>
      <c r="L144" s="73"/>
      <c r="M144" s="74"/>
      <c r="N144" s="74"/>
      <c r="O144" s="76"/>
      <c r="P144" s="76"/>
    </row>
    <row r="145" ht="20.25" hidden="1" customHeight="1" outlineLevel="1">
      <c r="A145" s="29"/>
      <c r="B145" s="20"/>
      <c r="C145" s="20"/>
      <c r="D145" s="19"/>
      <c r="E145" s="19"/>
      <c r="F145" s="20"/>
      <c r="G145" s="74" t="s">
        <v>17</v>
      </c>
      <c r="H145" s="74" t="s">
        <v>18</v>
      </c>
      <c r="I145" s="77">
        <v>16.0</v>
      </c>
      <c r="J145" s="77"/>
      <c r="K145" s="77"/>
      <c r="L145" s="77"/>
      <c r="M145" s="74"/>
      <c r="N145" s="74"/>
      <c r="O145" s="76"/>
      <c r="P145" s="76"/>
    </row>
    <row r="146" ht="20.25" hidden="1" customHeight="1" outlineLevel="1">
      <c r="A146" s="57"/>
      <c r="B146" s="72" t="s">
        <v>40</v>
      </c>
      <c r="C146" s="11">
        <v>120.0</v>
      </c>
      <c r="D146" s="11"/>
      <c r="E146" s="11"/>
      <c r="F146" s="26" t="s">
        <v>78</v>
      </c>
      <c r="G146" s="74" t="s">
        <v>17</v>
      </c>
      <c r="H146" s="74" t="s">
        <v>25</v>
      </c>
      <c r="I146" s="73">
        <v>1.0</v>
      </c>
      <c r="J146" s="73"/>
      <c r="K146" s="73"/>
      <c r="L146" s="73"/>
      <c r="M146" s="74"/>
      <c r="N146" s="74"/>
      <c r="O146" s="76"/>
      <c r="P146" s="76"/>
    </row>
    <row r="147" ht="20.25" hidden="1" customHeight="1" outlineLevel="1">
      <c r="A147" s="29"/>
      <c r="B147" s="20"/>
      <c r="C147" s="19">
        <v>121.0</v>
      </c>
      <c r="D147" s="19"/>
      <c r="E147" s="19"/>
      <c r="F147" s="20"/>
      <c r="G147" s="74" t="s">
        <v>17</v>
      </c>
      <c r="H147" s="74" t="s">
        <v>18</v>
      </c>
      <c r="I147" s="77">
        <v>13.0</v>
      </c>
      <c r="J147" s="77"/>
      <c r="K147" s="77"/>
      <c r="L147" s="77"/>
      <c r="M147" s="74"/>
      <c r="N147" s="74"/>
      <c r="O147" s="76"/>
      <c r="P147" s="76"/>
    </row>
    <row r="148" ht="20.25" hidden="1" customHeight="1" outlineLevel="1">
      <c r="A148" s="57"/>
      <c r="B148" s="72" t="s">
        <v>21</v>
      </c>
      <c r="C148" s="11">
        <v>112.0</v>
      </c>
      <c r="D148" s="11"/>
      <c r="E148" s="11"/>
      <c r="F148" s="26" t="s">
        <v>84</v>
      </c>
      <c r="G148" s="74" t="s">
        <v>17</v>
      </c>
      <c r="H148" s="74" t="s">
        <v>25</v>
      </c>
      <c r="I148" s="73">
        <v>1.0</v>
      </c>
      <c r="J148" s="73"/>
      <c r="K148" s="73"/>
      <c r="L148" s="73"/>
      <c r="M148" s="74"/>
      <c r="N148" s="74"/>
      <c r="O148" s="76"/>
      <c r="P148" s="76"/>
    </row>
    <row r="149" ht="20.25" hidden="1" customHeight="1" outlineLevel="1">
      <c r="A149" s="29"/>
      <c r="B149" s="20"/>
      <c r="C149" s="19">
        <v>115.0</v>
      </c>
      <c r="D149" s="19"/>
      <c r="E149" s="19"/>
      <c r="F149" s="20"/>
      <c r="G149" s="74" t="s">
        <v>17</v>
      </c>
      <c r="H149" s="74" t="s">
        <v>18</v>
      </c>
      <c r="I149" s="77">
        <v>21.0</v>
      </c>
      <c r="J149" s="77"/>
      <c r="K149" s="77"/>
      <c r="L149" s="77"/>
      <c r="M149" s="74"/>
      <c r="N149" s="74"/>
      <c r="O149" s="76"/>
      <c r="P149" s="76"/>
    </row>
    <row r="150" ht="20.25" hidden="1" customHeight="1" outlineLevel="1">
      <c r="A150" s="57"/>
      <c r="B150" s="72" t="s">
        <v>40</v>
      </c>
      <c r="C150" s="72">
        <v>119.0</v>
      </c>
      <c r="D150" s="11"/>
      <c r="E150" s="11"/>
      <c r="F150" s="26" t="s">
        <v>88</v>
      </c>
      <c r="G150" s="74" t="s">
        <v>17</v>
      </c>
      <c r="H150" s="74" t="s">
        <v>25</v>
      </c>
      <c r="I150" s="73">
        <v>1.0</v>
      </c>
      <c r="J150" s="73"/>
      <c r="K150" s="73"/>
      <c r="L150" s="73"/>
      <c r="M150" s="74"/>
      <c r="N150" s="74"/>
      <c r="O150" s="76"/>
      <c r="P150" s="76"/>
    </row>
    <row r="151" ht="20.25" hidden="1" customHeight="1" outlineLevel="1">
      <c r="A151" s="29"/>
      <c r="B151" s="20"/>
      <c r="C151" s="20"/>
      <c r="D151" s="19"/>
      <c r="E151" s="19"/>
      <c r="F151" s="20"/>
      <c r="G151" s="74" t="s">
        <v>17</v>
      </c>
      <c r="H151" s="74" t="s">
        <v>18</v>
      </c>
      <c r="I151" s="77">
        <v>22.0</v>
      </c>
      <c r="J151" s="77"/>
      <c r="K151" s="77"/>
      <c r="L151" s="77"/>
      <c r="M151" s="74"/>
      <c r="N151" s="74"/>
      <c r="O151" s="76"/>
      <c r="P151" s="76"/>
    </row>
    <row r="152" ht="20.25" hidden="1" customHeight="1" outlineLevel="1">
      <c r="A152" s="57"/>
      <c r="B152" s="72" t="s">
        <v>40</v>
      </c>
      <c r="C152" s="11">
        <v>104.0</v>
      </c>
      <c r="D152" s="11"/>
      <c r="E152" s="11"/>
      <c r="F152" s="26" t="s">
        <v>70</v>
      </c>
      <c r="G152" s="74" t="s">
        <v>17</v>
      </c>
      <c r="H152" s="74" t="s">
        <v>25</v>
      </c>
      <c r="I152" s="73">
        <v>1.0</v>
      </c>
      <c r="J152" s="73"/>
      <c r="K152" s="73"/>
      <c r="L152" s="73"/>
      <c r="M152" s="74"/>
      <c r="N152" s="74"/>
      <c r="O152" s="76"/>
      <c r="P152" s="76"/>
    </row>
    <row r="153" ht="20.25" hidden="1" customHeight="1" outlineLevel="1">
      <c r="A153" s="20"/>
      <c r="B153" s="20"/>
      <c r="C153" s="19">
        <v>105.0</v>
      </c>
      <c r="D153" s="19"/>
      <c r="E153" s="19"/>
      <c r="F153" s="20"/>
      <c r="G153" s="74" t="s">
        <v>17</v>
      </c>
      <c r="H153" s="74" t="s">
        <v>18</v>
      </c>
      <c r="I153" s="77">
        <v>19.0</v>
      </c>
      <c r="J153" s="77"/>
      <c r="K153" s="77"/>
      <c r="L153" s="77"/>
      <c r="M153" s="74"/>
      <c r="N153" s="74"/>
      <c r="O153" s="76"/>
      <c r="P153" s="76"/>
    </row>
    <row r="154" ht="20.25" hidden="1" customHeight="1" outlineLevel="1">
      <c r="A154" s="69">
        <v>46143.0</v>
      </c>
      <c r="B154" s="72" t="s">
        <v>45</v>
      </c>
      <c r="C154" s="11">
        <v>102.0</v>
      </c>
      <c r="D154" s="11"/>
      <c r="E154" s="11"/>
      <c r="F154" s="75" t="s">
        <v>85</v>
      </c>
      <c r="G154" s="74" t="s">
        <v>17</v>
      </c>
      <c r="H154" s="74" t="s">
        <v>18</v>
      </c>
      <c r="I154" s="75">
        <v>18.0</v>
      </c>
      <c r="J154" s="73"/>
      <c r="K154" s="75">
        <v>3160.0</v>
      </c>
      <c r="L154" s="73"/>
      <c r="M154" s="105">
        <v>400.0</v>
      </c>
      <c r="N154" s="74"/>
      <c r="O154" s="76"/>
      <c r="P154" s="76"/>
    </row>
    <row r="155" ht="20.25" hidden="1" customHeight="1" outlineLevel="1">
      <c r="A155" s="29"/>
      <c r="B155" s="29"/>
      <c r="C155" s="19">
        <v>129.0</v>
      </c>
      <c r="D155" s="19"/>
      <c r="E155" s="19"/>
      <c r="F155" s="29"/>
      <c r="G155" s="74" t="s">
        <v>17</v>
      </c>
      <c r="H155" s="74" t="s">
        <v>18</v>
      </c>
      <c r="I155" s="29"/>
      <c r="J155" s="77"/>
      <c r="K155" s="29"/>
      <c r="L155" s="77"/>
      <c r="M155" s="187"/>
      <c r="N155" s="74"/>
      <c r="O155" s="76"/>
      <c r="P155" s="76"/>
    </row>
    <row r="156" ht="20.25" hidden="1" customHeight="1" outlineLevel="1">
      <c r="A156" s="57"/>
      <c r="B156" s="57"/>
      <c r="C156" s="11">
        <v>130.0</v>
      </c>
      <c r="D156" s="11"/>
      <c r="E156" s="11"/>
      <c r="F156" s="57"/>
      <c r="G156" s="74" t="s">
        <v>17</v>
      </c>
      <c r="H156" s="74" t="s">
        <v>18</v>
      </c>
      <c r="I156" s="57"/>
      <c r="J156" s="73"/>
      <c r="K156" s="57"/>
      <c r="L156" s="73"/>
      <c r="M156" s="187"/>
      <c r="N156" s="74"/>
      <c r="O156" s="76"/>
      <c r="P156" s="76"/>
    </row>
    <row r="157" ht="20.25" hidden="1" customHeight="1" outlineLevel="1">
      <c r="A157" s="29"/>
      <c r="B157" s="29"/>
      <c r="C157" s="19">
        <v>137.0</v>
      </c>
      <c r="D157" s="19"/>
      <c r="E157" s="19"/>
      <c r="F157" s="29"/>
      <c r="G157" s="74" t="s">
        <v>17</v>
      </c>
      <c r="H157" s="74" t="s">
        <v>18</v>
      </c>
      <c r="I157" s="29"/>
      <c r="J157" s="77"/>
      <c r="K157" s="29"/>
      <c r="L157" s="77"/>
      <c r="M157" s="187"/>
      <c r="N157" s="74"/>
      <c r="O157" s="76"/>
      <c r="P157" s="76"/>
    </row>
    <row r="158" ht="20.25" hidden="1" customHeight="1" outlineLevel="1">
      <c r="A158" s="58"/>
      <c r="B158" s="58"/>
      <c r="C158" s="11">
        <v>138.0</v>
      </c>
      <c r="D158" s="11"/>
      <c r="E158" s="11"/>
      <c r="F158" s="58"/>
      <c r="G158" s="74" t="s">
        <v>17</v>
      </c>
      <c r="H158" s="74" t="s">
        <v>18</v>
      </c>
      <c r="I158" s="58"/>
      <c r="J158" s="73"/>
      <c r="K158" s="58"/>
      <c r="L158" s="73"/>
      <c r="M158" s="108"/>
      <c r="N158" s="74"/>
      <c r="O158" s="76"/>
      <c r="P158" s="76"/>
    </row>
    <row r="159" ht="20.25" hidden="1" customHeight="1" outlineLevel="1">
      <c r="A159" s="121">
        <v>46144.0</v>
      </c>
      <c r="B159" s="123" t="s">
        <v>21</v>
      </c>
      <c r="C159" s="123">
        <v>129.0</v>
      </c>
      <c r="D159" s="19"/>
      <c r="E159" s="19"/>
      <c r="F159" s="102" t="s">
        <v>42</v>
      </c>
      <c r="G159" s="74" t="s">
        <v>17</v>
      </c>
      <c r="H159" s="74" t="s">
        <v>25</v>
      </c>
      <c r="I159" s="77">
        <v>1.0</v>
      </c>
      <c r="J159" s="77"/>
      <c r="K159" s="77"/>
      <c r="L159" s="77"/>
      <c r="M159" s="105"/>
      <c r="N159" s="74"/>
      <c r="O159" s="76"/>
      <c r="P159" s="76"/>
    </row>
    <row r="160" ht="20.25" hidden="1" customHeight="1" outlineLevel="1">
      <c r="A160" s="57"/>
      <c r="B160" s="58"/>
      <c r="C160" s="58"/>
      <c r="D160" s="11"/>
      <c r="E160" s="11"/>
      <c r="F160" s="58"/>
      <c r="G160" s="74" t="s">
        <v>17</v>
      </c>
      <c r="H160" s="74" t="s">
        <v>18</v>
      </c>
      <c r="I160" s="73">
        <v>25.0</v>
      </c>
      <c r="J160" s="73"/>
      <c r="K160" s="73"/>
      <c r="L160" s="73"/>
      <c r="M160" s="108"/>
      <c r="N160" s="74"/>
      <c r="O160" s="76"/>
      <c r="P160" s="76"/>
    </row>
    <row r="161" ht="20.25" hidden="1" customHeight="1" outlineLevel="1">
      <c r="A161" s="29"/>
      <c r="B161" s="123" t="s">
        <v>21</v>
      </c>
      <c r="C161" s="123">
        <v>138.0</v>
      </c>
      <c r="D161" s="19"/>
      <c r="E161" s="19"/>
      <c r="F161" s="102" t="s">
        <v>47</v>
      </c>
      <c r="G161" s="74" t="s">
        <v>17</v>
      </c>
      <c r="H161" s="74" t="s">
        <v>25</v>
      </c>
      <c r="I161" s="77">
        <v>1.0</v>
      </c>
      <c r="J161" s="77"/>
      <c r="K161" s="77"/>
      <c r="L161" s="77"/>
      <c r="M161" s="105"/>
      <c r="N161" s="74"/>
      <c r="O161" s="76"/>
      <c r="P161" s="76"/>
    </row>
    <row r="162" ht="20.25" hidden="1" customHeight="1" outlineLevel="1">
      <c r="A162" s="57"/>
      <c r="B162" s="58"/>
      <c r="C162" s="58"/>
      <c r="D162" s="11"/>
      <c r="E162" s="11"/>
      <c r="F162" s="58"/>
      <c r="G162" s="74" t="s">
        <v>17</v>
      </c>
      <c r="H162" s="74" t="s">
        <v>18</v>
      </c>
      <c r="I162" s="73">
        <v>14.0</v>
      </c>
      <c r="J162" s="73"/>
      <c r="K162" s="73"/>
      <c r="L162" s="73"/>
      <c r="M162" s="108"/>
      <c r="N162" s="74"/>
      <c r="O162" s="76"/>
      <c r="P162" s="76"/>
    </row>
    <row r="163" ht="20.25" hidden="1" customHeight="1" outlineLevel="1">
      <c r="A163" s="29"/>
      <c r="B163" s="123" t="s">
        <v>21</v>
      </c>
      <c r="C163" s="123">
        <v>119.0</v>
      </c>
      <c r="D163" s="19"/>
      <c r="E163" s="19"/>
      <c r="F163" s="26" t="s">
        <v>82</v>
      </c>
      <c r="G163" s="74" t="s">
        <v>17</v>
      </c>
      <c r="H163" s="74" t="s">
        <v>25</v>
      </c>
      <c r="I163" s="77">
        <v>1.0</v>
      </c>
      <c r="J163" s="77"/>
      <c r="K163" s="77"/>
      <c r="L163" s="77"/>
      <c r="M163" s="105"/>
      <c r="N163" s="74"/>
      <c r="O163" s="76"/>
      <c r="P163" s="76"/>
    </row>
    <row r="164" ht="20.25" hidden="1" customHeight="1" outlineLevel="1">
      <c r="A164" s="57"/>
      <c r="B164" s="58"/>
      <c r="C164" s="58"/>
      <c r="D164" s="11"/>
      <c r="E164" s="11"/>
      <c r="F164" s="58"/>
      <c r="G164" s="74" t="s">
        <v>17</v>
      </c>
      <c r="H164" s="74" t="s">
        <v>18</v>
      </c>
      <c r="I164" s="73">
        <v>23.0</v>
      </c>
      <c r="J164" s="73"/>
      <c r="K164" s="73"/>
      <c r="L164" s="73"/>
      <c r="M164" s="108"/>
      <c r="N164" s="74"/>
      <c r="O164" s="76"/>
      <c r="P164" s="76"/>
    </row>
    <row r="165" ht="20.25" hidden="1" customHeight="1" outlineLevel="1">
      <c r="A165" s="29"/>
      <c r="B165" s="123" t="s">
        <v>21</v>
      </c>
      <c r="C165" s="123">
        <v>132.0</v>
      </c>
      <c r="D165" s="19"/>
      <c r="E165" s="19"/>
      <c r="F165" s="26" t="s">
        <v>59</v>
      </c>
      <c r="G165" s="74" t="s">
        <v>17</v>
      </c>
      <c r="H165" s="74" t="s">
        <v>25</v>
      </c>
      <c r="I165" s="77">
        <v>1.0</v>
      </c>
      <c r="J165" s="77"/>
      <c r="K165" s="77"/>
      <c r="L165" s="77"/>
      <c r="M165" s="74"/>
      <c r="N165" s="74"/>
      <c r="O165" s="76"/>
      <c r="P165" s="76"/>
    </row>
    <row r="166" ht="20.25" hidden="1" customHeight="1" outlineLevel="1">
      <c r="A166" s="57"/>
      <c r="B166" s="58"/>
      <c r="C166" s="11">
        <v>101.0</v>
      </c>
      <c r="D166" s="11"/>
      <c r="E166" s="11"/>
      <c r="F166" s="58"/>
      <c r="G166" s="74" t="s">
        <v>17</v>
      </c>
      <c r="H166" s="74" t="s">
        <v>18</v>
      </c>
      <c r="I166" s="73">
        <v>16.0</v>
      </c>
      <c r="J166" s="73"/>
      <c r="K166" s="73"/>
      <c r="L166" s="73"/>
      <c r="M166" s="74"/>
      <c r="N166" s="74"/>
      <c r="O166" s="76"/>
      <c r="P166" s="76"/>
    </row>
    <row r="167" ht="20.25" hidden="1" customHeight="1" outlineLevel="1">
      <c r="A167" s="29"/>
      <c r="B167" s="123" t="s">
        <v>40</v>
      </c>
      <c r="C167" s="123">
        <v>121.0</v>
      </c>
      <c r="D167" s="19"/>
      <c r="E167" s="19"/>
      <c r="F167" s="26" t="s">
        <v>78</v>
      </c>
      <c r="G167" s="74" t="s">
        <v>17</v>
      </c>
      <c r="H167" s="74" t="s">
        <v>25</v>
      </c>
      <c r="I167" s="77">
        <v>1.0</v>
      </c>
      <c r="J167" s="77"/>
      <c r="K167" s="77"/>
      <c r="L167" s="77"/>
      <c r="M167" s="74"/>
      <c r="N167" s="74"/>
      <c r="O167" s="76"/>
      <c r="P167" s="76"/>
    </row>
    <row r="168" ht="20.25" hidden="1" customHeight="1" outlineLevel="1">
      <c r="A168" s="57"/>
      <c r="B168" s="58"/>
      <c r="C168" s="58"/>
      <c r="D168" s="11"/>
      <c r="E168" s="11"/>
      <c r="F168" s="58"/>
      <c r="G168" s="74" t="s">
        <v>17</v>
      </c>
      <c r="H168" s="74" t="s">
        <v>18</v>
      </c>
      <c r="I168" s="73">
        <v>11.0</v>
      </c>
      <c r="J168" s="73"/>
      <c r="K168" s="73"/>
      <c r="L168" s="73"/>
      <c r="M168" s="74"/>
      <c r="N168" s="74"/>
      <c r="O168" s="76"/>
      <c r="P168" s="76"/>
    </row>
    <row r="169" ht="20.25" hidden="1" customHeight="1" outlineLevel="1">
      <c r="A169" s="29"/>
      <c r="B169" s="123" t="s">
        <v>21</v>
      </c>
      <c r="C169" s="123">
        <v>115.0</v>
      </c>
      <c r="D169" s="19"/>
      <c r="E169" s="19"/>
      <c r="F169" s="26" t="s">
        <v>84</v>
      </c>
      <c r="G169" s="74" t="s">
        <v>17</v>
      </c>
      <c r="H169" s="74" t="s">
        <v>25</v>
      </c>
      <c r="I169" s="77">
        <v>1.0</v>
      </c>
      <c r="J169" s="77"/>
      <c r="K169" s="77"/>
      <c r="L169" s="77"/>
      <c r="M169" s="74"/>
      <c r="N169" s="74"/>
      <c r="O169" s="76"/>
      <c r="P169" s="76"/>
    </row>
    <row r="170" ht="20.25" hidden="1" customHeight="1" outlineLevel="1">
      <c r="A170" s="57"/>
      <c r="B170" s="58"/>
      <c r="C170" s="58"/>
      <c r="D170" s="11"/>
      <c r="E170" s="11"/>
      <c r="F170" s="58"/>
      <c r="G170" s="74" t="s">
        <v>17</v>
      </c>
      <c r="H170" s="74" t="s">
        <v>18</v>
      </c>
      <c r="I170" s="73">
        <v>24.0</v>
      </c>
      <c r="J170" s="73"/>
      <c r="K170" s="73"/>
      <c r="L170" s="73"/>
      <c r="M170" s="74"/>
      <c r="N170" s="74"/>
      <c r="O170" s="76"/>
      <c r="P170" s="76"/>
    </row>
    <row r="171" ht="20.25" hidden="1" customHeight="1" outlineLevel="1">
      <c r="A171" s="29"/>
      <c r="B171" s="123" t="s">
        <v>40</v>
      </c>
      <c r="C171" s="123">
        <v>107.0</v>
      </c>
      <c r="D171" s="19"/>
      <c r="E171" s="19"/>
      <c r="F171" s="26" t="s">
        <v>70</v>
      </c>
      <c r="G171" s="74" t="s">
        <v>17</v>
      </c>
      <c r="H171" s="105" t="s">
        <v>18</v>
      </c>
      <c r="I171" s="160">
        <v>20.0</v>
      </c>
      <c r="J171" s="160"/>
      <c r="K171" s="160"/>
      <c r="L171" s="160"/>
      <c r="M171" s="105"/>
      <c r="N171" s="74"/>
      <c r="O171" s="76"/>
      <c r="P171" s="76"/>
    </row>
    <row r="172" ht="20.25" hidden="1" customHeight="1" outlineLevel="1">
      <c r="A172" s="58"/>
      <c r="B172" s="58"/>
      <c r="C172" s="58"/>
      <c r="D172" s="11"/>
      <c r="E172" s="11"/>
      <c r="F172" s="58"/>
      <c r="G172" s="74" t="s">
        <v>17</v>
      </c>
      <c r="H172" s="108"/>
      <c r="I172" s="58"/>
      <c r="J172" s="58"/>
      <c r="K172" s="58"/>
      <c r="L172" s="58"/>
      <c r="M172" s="108"/>
      <c r="N172" s="74"/>
      <c r="O172" s="76"/>
      <c r="P172" s="76"/>
    </row>
    <row r="173" ht="20.25" hidden="1" customHeight="1" outlineLevel="1">
      <c r="A173" s="121">
        <v>46144.0</v>
      </c>
      <c r="B173" s="123" t="s">
        <v>45</v>
      </c>
      <c r="C173" s="19">
        <v>101.0</v>
      </c>
      <c r="D173" s="19"/>
      <c r="E173" s="19"/>
      <c r="F173" s="160" t="s">
        <v>85</v>
      </c>
      <c r="G173" s="74" t="s">
        <v>17</v>
      </c>
      <c r="H173" s="74" t="s">
        <v>18</v>
      </c>
      <c r="I173" s="160">
        <v>20.0</v>
      </c>
      <c r="J173" s="77"/>
      <c r="K173" s="160">
        <v>3492.0</v>
      </c>
      <c r="L173" s="77"/>
      <c r="M173" s="105">
        <v>400.0</v>
      </c>
      <c r="N173" s="74"/>
      <c r="O173" s="76"/>
      <c r="P173" s="76"/>
    </row>
    <row r="174" ht="20.25" hidden="1" customHeight="1" outlineLevel="1">
      <c r="A174" s="57"/>
      <c r="B174" s="57"/>
      <c r="C174" s="11">
        <v>104.0</v>
      </c>
      <c r="D174" s="11"/>
      <c r="E174" s="11"/>
      <c r="F174" s="57"/>
      <c r="G174" s="74" t="s">
        <v>17</v>
      </c>
      <c r="H174" s="74" t="s">
        <v>18</v>
      </c>
      <c r="I174" s="57"/>
      <c r="J174" s="73"/>
      <c r="K174" s="57"/>
      <c r="L174" s="73"/>
      <c r="M174" s="187"/>
      <c r="N174" s="74"/>
      <c r="O174" s="76"/>
      <c r="P174" s="76"/>
    </row>
    <row r="175" ht="20.25" hidden="1" customHeight="1" outlineLevel="1">
      <c r="A175" s="29"/>
      <c r="B175" s="29"/>
      <c r="C175" s="19">
        <v>105.0</v>
      </c>
      <c r="D175" s="19"/>
      <c r="E175" s="19"/>
      <c r="F175" s="29"/>
      <c r="G175" s="74" t="s">
        <v>17</v>
      </c>
      <c r="H175" s="74" t="s">
        <v>18</v>
      </c>
      <c r="I175" s="29"/>
      <c r="J175" s="77"/>
      <c r="K175" s="29"/>
      <c r="L175" s="77"/>
      <c r="M175" s="187"/>
      <c r="N175" s="74"/>
      <c r="O175" s="76"/>
      <c r="P175" s="76"/>
    </row>
    <row r="176" ht="20.25" hidden="1" customHeight="1" outlineLevel="1">
      <c r="A176" s="57"/>
      <c r="B176" s="57"/>
      <c r="C176" s="11">
        <v>136.0</v>
      </c>
      <c r="D176" s="11"/>
      <c r="E176" s="11"/>
      <c r="F176" s="57"/>
      <c r="G176" s="74" t="s">
        <v>17</v>
      </c>
      <c r="H176" s="74" t="s">
        <v>18</v>
      </c>
      <c r="I176" s="57"/>
      <c r="J176" s="73"/>
      <c r="K176" s="57"/>
      <c r="L176" s="73"/>
      <c r="M176" s="187"/>
      <c r="N176" s="74"/>
      <c r="O176" s="76"/>
      <c r="P176" s="76"/>
    </row>
    <row r="177" ht="20.25" hidden="1" customHeight="1" outlineLevel="1">
      <c r="A177" s="20"/>
      <c r="B177" s="20"/>
      <c r="C177" s="19">
        <v>107.0</v>
      </c>
      <c r="D177" s="19"/>
      <c r="E177" s="19"/>
      <c r="F177" s="20"/>
      <c r="G177" s="74" t="s">
        <v>17</v>
      </c>
      <c r="H177" s="74" t="s">
        <v>18</v>
      </c>
      <c r="I177" s="20"/>
      <c r="J177" s="77"/>
      <c r="K177" s="20"/>
      <c r="L177" s="77"/>
      <c r="M177" s="108"/>
      <c r="N177" s="74"/>
      <c r="O177" s="76"/>
      <c r="P177" s="76"/>
    </row>
    <row r="178" ht="20.25" hidden="1" customHeight="1" outlineLevel="1">
      <c r="A178" s="69">
        <v>46145.0</v>
      </c>
      <c r="B178" s="72" t="s">
        <v>21</v>
      </c>
      <c r="C178" s="72">
        <v>134.0</v>
      </c>
      <c r="D178" s="11"/>
      <c r="E178" s="11"/>
      <c r="F178" s="102" t="s">
        <v>42</v>
      </c>
      <c r="G178" s="74" t="s">
        <v>17</v>
      </c>
      <c r="H178" s="74" t="s">
        <v>25</v>
      </c>
      <c r="I178" s="73">
        <v>1.0</v>
      </c>
      <c r="J178" s="73"/>
      <c r="K178" s="73"/>
      <c r="L178" s="73"/>
      <c r="M178" s="105"/>
      <c r="N178" s="74"/>
      <c r="O178" s="76"/>
      <c r="P178" s="76"/>
    </row>
    <row r="179" ht="20.25" hidden="1" customHeight="1" outlineLevel="1">
      <c r="A179" s="29"/>
      <c r="B179" s="20"/>
      <c r="C179" s="20"/>
      <c r="D179" s="19"/>
      <c r="E179" s="19"/>
      <c r="F179" s="20"/>
      <c r="G179" s="74" t="s">
        <v>17</v>
      </c>
      <c r="H179" s="74" t="s">
        <v>18</v>
      </c>
      <c r="I179" s="77">
        <v>28.0</v>
      </c>
      <c r="J179" s="77"/>
      <c r="K179" s="77"/>
      <c r="L179" s="77"/>
      <c r="M179" s="108"/>
      <c r="N179" s="74"/>
      <c r="O179" s="76"/>
      <c r="P179" s="76"/>
    </row>
    <row r="180" ht="20.25" hidden="1" customHeight="1" outlineLevel="1">
      <c r="A180" s="57"/>
      <c r="B180" s="72" t="s">
        <v>21</v>
      </c>
      <c r="C180" s="72">
        <v>131.0</v>
      </c>
      <c r="D180" s="11"/>
      <c r="E180" s="11"/>
      <c r="F180" s="102" t="s">
        <v>47</v>
      </c>
      <c r="G180" s="74" t="s">
        <v>17</v>
      </c>
      <c r="H180" s="74" t="s">
        <v>25</v>
      </c>
      <c r="I180" s="73">
        <v>1.0</v>
      </c>
      <c r="J180" s="73"/>
      <c r="K180" s="73"/>
      <c r="L180" s="73"/>
      <c r="M180" s="105"/>
      <c r="N180" s="74"/>
      <c r="O180" s="76"/>
      <c r="P180" s="76"/>
    </row>
    <row r="181" ht="20.25" hidden="1" customHeight="1" outlineLevel="1">
      <c r="A181" s="29"/>
      <c r="B181" s="20"/>
      <c r="C181" s="20"/>
      <c r="D181" s="19"/>
      <c r="E181" s="19"/>
      <c r="F181" s="20"/>
      <c r="G181" s="74" t="s">
        <v>17</v>
      </c>
      <c r="H181" s="74" t="s">
        <v>18</v>
      </c>
      <c r="I181" s="77">
        <v>17.0</v>
      </c>
      <c r="J181" s="77"/>
      <c r="K181" s="77"/>
      <c r="L181" s="77"/>
      <c r="M181" s="108"/>
      <c r="N181" s="74"/>
      <c r="O181" s="76"/>
      <c r="P181" s="76"/>
    </row>
    <row r="182" ht="20.25" hidden="1" customHeight="1" outlineLevel="1">
      <c r="A182" s="57"/>
      <c r="B182" s="72" t="s">
        <v>21</v>
      </c>
      <c r="C182" s="72">
        <v>119.0</v>
      </c>
      <c r="D182" s="11"/>
      <c r="E182" s="11"/>
      <c r="F182" s="26" t="s">
        <v>82</v>
      </c>
      <c r="G182" s="74" t="s">
        <v>17</v>
      </c>
      <c r="H182" s="74" t="s">
        <v>25</v>
      </c>
      <c r="I182" s="73">
        <v>1.0</v>
      </c>
      <c r="J182" s="73"/>
      <c r="K182" s="73"/>
      <c r="L182" s="73"/>
      <c r="M182" s="105"/>
      <c r="N182" s="74"/>
      <c r="O182" s="76"/>
      <c r="P182" s="76"/>
    </row>
    <row r="183" ht="20.25" hidden="1" customHeight="1" outlineLevel="1">
      <c r="A183" s="29"/>
      <c r="B183" s="20"/>
      <c r="C183" s="19">
        <v>121.0</v>
      </c>
      <c r="D183" s="19"/>
      <c r="E183" s="19"/>
      <c r="F183" s="20"/>
      <c r="G183" s="74" t="s">
        <v>17</v>
      </c>
      <c r="H183" s="74" t="s">
        <v>18</v>
      </c>
      <c r="I183" s="77">
        <v>28.0</v>
      </c>
      <c r="J183" s="77"/>
      <c r="K183" s="77"/>
      <c r="L183" s="77"/>
      <c r="M183" s="108"/>
      <c r="N183" s="74"/>
      <c r="O183" s="76"/>
      <c r="P183" s="76"/>
    </row>
    <row r="184" ht="20.25" hidden="1" customHeight="1" outlineLevel="1">
      <c r="A184" s="57"/>
      <c r="B184" s="72" t="s">
        <v>21</v>
      </c>
      <c r="C184" s="72">
        <v>132.0</v>
      </c>
      <c r="D184" s="11"/>
      <c r="E184" s="11"/>
      <c r="F184" s="26" t="s">
        <v>59</v>
      </c>
      <c r="G184" s="74" t="s">
        <v>17</v>
      </c>
      <c r="H184" s="74" t="s">
        <v>25</v>
      </c>
      <c r="I184" s="73">
        <v>1.0</v>
      </c>
      <c r="J184" s="73"/>
      <c r="K184" s="73"/>
      <c r="L184" s="73"/>
      <c r="M184" s="74"/>
      <c r="N184" s="74"/>
      <c r="O184" s="76"/>
      <c r="P184" s="76"/>
    </row>
    <row r="185" ht="20.25" hidden="1" customHeight="1" outlineLevel="1">
      <c r="A185" s="29"/>
      <c r="B185" s="20"/>
      <c r="C185" s="20"/>
      <c r="D185" s="19"/>
      <c r="E185" s="19"/>
      <c r="F185" s="20"/>
      <c r="G185" s="74" t="s">
        <v>17</v>
      </c>
      <c r="H185" s="74" t="s">
        <v>18</v>
      </c>
      <c r="I185" s="77">
        <v>17.0</v>
      </c>
      <c r="J185" s="77"/>
      <c r="K185" s="77"/>
      <c r="L185" s="77"/>
      <c r="M185" s="74"/>
      <c r="N185" s="74"/>
      <c r="O185" s="76"/>
      <c r="P185" s="76"/>
    </row>
    <row r="186" ht="20.25" hidden="1" customHeight="1" outlineLevel="1">
      <c r="A186" s="57"/>
      <c r="B186" s="72" t="s">
        <v>40</v>
      </c>
      <c r="C186" s="72">
        <v>121.0</v>
      </c>
      <c r="D186" s="11"/>
      <c r="E186" s="11"/>
      <c r="F186" s="26" t="s">
        <v>78</v>
      </c>
      <c r="G186" s="74" t="s">
        <v>17</v>
      </c>
      <c r="H186" s="105" t="s">
        <v>18</v>
      </c>
      <c r="I186" s="75">
        <v>10.0</v>
      </c>
      <c r="J186" s="75"/>
      <c r="K186" s="75"/>
      <c r="L186" s="75"/>
      <c r="M186" s="105"/>
      <c r="N186" s="74"/>
      <c r="O186" s="76"/>
      <c r="P186" s="76"/>
    </row>
    <row r="187" ht="20.25" hidden="1" customHeight="1" outlineLevel="1">
      <c r="A187" s="29"/>
      <c r="B187" s="20"/>
      <c r="C187" s="20"/>
      <c r="D187" s="19"/>
      <c r="E187" s="19"/>
      <c r="F187" s="20"/>
      <c r="G187" s="74" t="s">
        <v>17</v>
      </c>
      <c r="H187" s="108"/>
      <c r="I187" s="20"/>
      <c r="J187" s="20"/>
      <c r="K187" s="20"/>
      <c r="L187" s="20"/>
      <c r="M187" s="108"/>
      <c r="N187" s="74"/>
      <c r="O187" s="76"/>
      <c r="P187" s="76"/>
    </row>
    <row r="188" ht="20.25" hidden="1" customHeight="1" outlineLevel="1">
      <c r="A188" s="57"/>
      <c r="B188" s="72" t="s">
        <v>21</v>
      </c>
      <c r="C188" s="72">
        <v>115.0</v>
      </c>
      <c r="D188" s="11"/>
      <c r="E188" s="11"/>
      <c r="F188" s="26" t="s">
        <v>84</v>
      </c>
      <c r="G188" s="74" t="s">
        <v>17</v>
      </c>
      <c r="H188" s="74" t="s">
        <v>25</v>
      </c>
      <c r="I188" s="73">
        <v>1.0</v>
      </c>
      <c r="J188" s="73"/>
      <c r="K188" s="73"/>
      <c r="L188" s="73"/>
      <c r="M188" s="74"/>
      <c r="N188" s="74"/>
      <c r="O188" s="76"/>
      <c r="P188" s="76"/>
    </row>
    <row r="189" ht="20.25" hidden="1" customHeight="1" outlineLevel="1">
      <c r="A189" s="20"/>
      <c r="B189" s="20"/>
      <c r="C189" s="19">
        <v>117.0</v>
      </c>
      <c r="D189" s="19"/>
      <c r="E189" s="19"/>
      <c r="F189" s="20"/>
      <c r="G189" s="74" t="s">
        <v>17</v>
      </c>
      <c r="H189" s="74" t="s">
        <v>18</v>
      </c>
      <c r="I189" s="77">
        <v>26.0</v>
      </c>
      <c r="J189" s="77"/>
      <c r="K189" s="77"/>
      <c r="L189" s="77"/>
      <c r="M189" s="74"/>
      <c r="N189" s="74"/>
      <c r="O189" s="76"/>
      <c r="P189" s="76"/>
    </row>
    <row r="190" ht="20.25" hidden="1" customHeight="1" outlineLevel="1">
      <c r="A190" s="69">
        <v>46146.0</v>
      </c>
      <c r="B190" s="72" t="s">
        <v>21</v>
      </c>
      <c r="C190" s="72">
        <v>128.0</v>
      </c>
      <c r="D190" s="11"/>
      <c r="E190" s="11"/>
      <c r="F190" s="102" t="s">
        <v>42</v>
      </c>
      <c r="G190" s="74" t="s">
        <v>17</v>
      </c>
      <c r="H190" s="74" t="s">
        <v>25</v>
      </c>
      <c r="I190" s="73">
        <v>1.0</v>
      </c>
      <c r="J190" s="73">
        <v>120.0</v>
      </c>
      <c r="K190" s="73">
        <v>120.0</v>
      </c>
      <c r="L190" s="73">
        <v>25.0</v>
      </c>
      <c r="M190" s="105"/>
      <c r="N190" s="74"/>
      <c r="O190" s="76"/>
      <c r="P190" s="76"/>
    </row>
    <row r="191" ht="20.25" hidden="1" customHeight="1" outlineLevel="1">
      <c r="A191" s="29"/>
      <c r="B191" s="20"/>
      <c r="C191" s="19">
        <v>107.0</v>
      </c>
      <c r="D191" s="19"/>
      <c r="E191" s="19"/>
      <c r="F191" s="20"/>
      <c r="G191" s="74" t="s">
        <v>17</v>
      </c>
      <c r="H191" s="74" t="s">
        <v>18</v>
      </c>
      <c r="I191" s="77">
        <v>33.0</v>
      </c>
      <c r="J191" s="77">
        <v>100.0</v>
      </c>
      <c r="K191" s="77">
        <v>3300.0</v>
      </c>
      <c r="L191" s="77">
        <v>25.0</v>
      </c>
      <c r="M191" s="108"/>
      <c r="N191" s="74"/>
      <c r="O191" s="76"/>
      <c r="P191" s="76"/>
    </row>
    <row r="192" ht="20.25" hidden="1" customHeight="1" outlineLevel="1">
      <c r="A192" s="57"/>
      <c r="B192" s="72" t="s">
        <v>40</v>
      </c>
      <c r="C192" s="72">
        <v>136.0</v>
      </c>
      <c r="D192" s="11"/>
      <c r="E192" s="11"/>
      <c r="F192" s="102" t="s">
        <v>47</v>
      </c>
      <c r="G192" s="74" t="s">
        <v>17</v>
      </c>
      <c r="H192" s="74" t="s">
        <v>25</v>
      </c>
      <c r="I192" s="73">
        <v>1.0</v>
      </c>
      <c r="J192" s="73">
        <v>120.0</v>
      </c>
      <c r="K192" s="73">
        <v>120.0</v>
      </c>
      <c r="L192" s="73">
        <v>25.0</v>
      </c>
      <c r="M192" s="105"/>
      <c r="N192" s="74"/>
      <c r="O192" s="76"/>
      <c r="P192" s="76"/>
    </row>
    <row r="193" ht="20.25" hidden="1" customHeight="1" outlineLevel="1">
      <c r="A193" s="29"/>
      <c r="B193" s="20"/>
      <c r="C193" s="20"/>
      <c r="D193" s="19"/>
      <c r="E193" s="19"/>
      <c r="F193" s="20"/>
      <c r="G193" s="74" t="s">
        <v>17</v>
      </c>
      <c r="H193" s="74" t="s">
        <v>18</v>
      </c>
      <c r="I193" s="77">
        <v>16.0</v>
      </c>
      <c r="J193" s="77">
        <v>100.0</v>
      </c>
      <c r="K193" s="77">
        <v>1600.0</v>
      </c>
      <c r="L193" s="77">
        <v>25.0</v>
      </c>
      <c r="M193" s="108"/>
      <c r="N193" s="74"/>
      <c r="O193" s="76"/>
      <c r="P193" s="76"/>
    </row>
    <row r="194" ht="20.25" hidden="1" customHeight="1" outlineLevel="1">
      <c r="A194" s="57"/>
      <c r="B194" s="72" t="s">
        <v>21</v>
      </c>
      <c r="C194" s="72">
        <v>121.0</v>
      </c>
      <c r="D194" s="11"/>
      <c r="E194" s="11"/>
      <c r="F194" s="26" t="s">
        <v>82</v>
      </c>
      <c r="G194" s="74" t="s">
        <v>17</v>
      </c>
      <c r="H194" s="74" t="s">
        <v>25</v>
      </c>
      <c r="I194" s="73">
        <v>1.0</v>
      </c>
      <c r="J194" s="73">
        <v>120.0</v>
      </c>
      <c r="K194" s="73">
        <v>120.0</v>
      </c>
      <c r="L194" s="73">
        <v>30.0</v>
      </c>
      <c r="M194" s="105"/>
      <c r="N194" s="74"/>
      <c r="O194" s="76"/>
      <c r="P194" s="76"/>
    </row>
    <row r="195" ht="20.25" hidden="1" customHeight="1" outlineLevel="1">
      <c r="A195" s="29"/>
      <c r="B195" s="20"/>
      <c r="C195" s="20"/>
      <c r="D195" s="19"/>
      <c r="E195" s="19"/>
      <c r="F195" s="20"/>
      <c r="G195" s="74" t="s">
        <v>17</v>
      </c>
      <c r="H195" s="74" t="s">
        <v>18</v>
      </c>
      <c r="I195" s="77">
        <v>22.0</v>
      </c>
      <c r="J195" s="77">
        <v>100.0</v>
      </c>
      <c r="K195" s="77">
        <v>2200.0</v>
      </c>
      <c r="L195" s="77">
        <v>30.0</v>
      </c>
      <c r="M195" s="108"/>
      <c r="N195" s="74"/>
      <c r="O195" s="76"/>
      <c r="P195" s="76"/>
    </row>
    <row r="196" ht="20.25" hidden="1" customHeight="1" outlineLevel="1">
      <c r="A196" s="57"/>
      <c r="B196" s="72" t="s">
        <v>40</v>
      </c>
      <c r="C196" s="72">
        <v>103.0</v>
      </c>
      <c r="D196" s="11"/>
      <c r="E196" s="11"/>
      <c r="F196" s="26" t="s">
        <v>59</v>
      </c>
      <c r="G196" s="74" t="s">
        <v>17</v>
      </c>
      <c r="H196" s="74" t="s">
        <v>25</v>
      </c>
      <c r="I196" s="73">
        <v>1.0</v>
      </c>
      <c r="J196" s="73"/>
      <c r="K196" s="73"/>
      <c r="L196" s="73"/>
      <c r="M196" s="74"/>
      <c r="N196" s="74"/>
      <c r="O196" s="76"/>
      <c r="P196" s="76"/>
    </row>
    <row r="197" ht="20.25" hidden="1" customHeight="1" outlineLevel="1">
      <c r="A197" s="29"/>
      <c r="B197" s="20"/>
      <c r="C197" s="20"/>
      <c r="D197" s="19"/>
      <c r="E197" s="19"/>
      <c r="F197" s="20"/>
      <c r="G197" s="74" t="s">
        <v>17</v>
      </c>
      <c r="H197" s="74" t="s">
        <v>18</v>
      </c>
      <c r="I197" s="77">
        <v>15.0</v>
      </c>
      <c r="J197" s="77"/>
      <c r="K197" s="77"/>
      <c r="L197" s="77"/>
      <c r="M197" s="74"/>
      <c r="N197" s="74"/>
      <c r="O197" s="76"/>
      <c r="P197" s="76"/>
    </row>
    <row r="198" ht="20.25" hidden="1" customHeight="1" outlineLevel="1">
      <c r="A198" s="57"/>
      <c r="B198" s="72" t="s">
        <v>40</v>
      </c>
      <c r="C198" s="72">
        <v>118.0</v>
      </c>
      <c r="D198" s="11"/>
      <c r="E198" s="11"/>
      <c r="F198" s="26" t="s">
        <v>78</v>
      </c>
      <c r="G198" s="74" t="s">
        <v>17</v>
      </c>
      <c r="H198" s="74" t="s">
        <v>25</v>
      </c>
      <c r="I198" s="73">
        <v>1.0</v>
      </c>
      <c r="J198" s="73"/>
      <c r="K198" s="73"/>
      <c r="L198" s="73"/>
      <c r="M198" s="74"/>
      <c r="N198" s="74"/>
      <c r="O198" s="76"/>
      <c r="P198" s="76"/>
    </row>
    <row r="199" ht="20.25" hidden="1" customHeight="1" outlineLevel="1">
      <c r="A199" s="29"/>
      <c r="B199" s="20"/>
      <c r="C199" s="20"/>
      <c r="D199" s="19"/>
      <c r="E199" s="19"/>
      <c r="F199" s="20"/>
      <c r="G199" s="74" t="s">
        <v>17</v>
      </c>
      <c r="H199" s="74" t="s">
        <v>18</v>
      </c>
      <c r="I199" s="77">
        <v>19.0</v>
      </c>
      <c r="J199" s="77"/>
      <c r="K199" s="77"/>
      <c r="L199" s="77"/>
      <c r="M199" s="74"/>
      <c r="N199" s="74"/>
      <c r="O199" s="76"/>
      <c r="P199" s="76"/>
    </row>
    <row r="200" ht="20.25" hidden="1" customHeight="1" outlineLevel="1">
      <c r="A200" s="57"/>
      <c r="B200" s="72" t="s">
        <v>21</v>
      </c>
      <c r="C200" s="72">
        <v>117.0</v>
      </c>
      <c r="D200" s="11"/>
      <c r="E200" s="11"/>
      <c r="F200" s="26" t="s">
        <v>84</v>
      </c>
      <c r="G200" s="74" t="s">
        <v>17</v>
      </c>
      <c r="H200" s="74" t="s">
        <v>25</v>
      </c>
      <c r="I200" s="73">
        <v>1.0</v>
      </c>
      <c r="J200" s="73"/>
      <c r="K200" s="73"/>
      <c r="L200" s="73"/>
      <c r="M200" s="74"/>
      <c r="N200" s="74"/>
      <c r="O200" s="76"/>
      <c r="P200" s="76"/>
    </row>
    <row r="201" ht="20.25" hidden="1" customHeight="1" outlineLevel="1">
      <c r="A201" s="20"/>
      <c r="B201" s="20"/>
      <c r="C201" s="20"/>
      <c r="D201" s="19"/>
      <c r="E201" s="19"/>
      <c r="F201" s="20"/>
      <c r="G201" s="74" t="s">
        <v>17</v>
      </c>
      <c r="H201" s="74" t="s">
        <v>18</v>
      </c>
      <c r="I201" s="77">
        <v>20.0</v>
      </c>
      <c r="J201" s="77"/>
      <c r="K201" s="77"/>
      <c r="L201" s="77"/>
      <c r="M201" s="74"/>
      <c r="N201" s="74"/>
      <c r="O201" s="76"/>
      <c r="P201" s="76"/>
    </row>
    <row r="202" ht="20.25" hidden="1" customHeight="1" outlineLevel="1">
      <c r="A202" s="69">
        <v>46146.0</v>
      </c>
      <c r="B202" s="72" t="s">
        <v>45</v>
      </c>
      <c r="C202" s="11">
        <v>103.0</v>
      </c>
      <c r="D202" s="11"/>
      <c r="E202" s="11"/>
      <c r="F202" s="75" t="s">
        <v>85</v>
      </c>
      <c r="G202" s="74" t="s">
        <v>17</v>
      </c>
      <c r="H202" s="74" t="s">
        <v>18</v>
      </c>
      <c r="I202" s="75">
        <v>19.0</v>
      </c>
      <c r="J202" s="73"/>
      <c r="K202" s="75">
        <v>3572.0</v>
      </c>
      <c r="L202" s="73"/>
      <c r="M202" s="105">
        <v>400.0</v>
      </c>
      <c r="N202" s="74"/>
      <c r="O202" s="76"/>
      <c r="P202" s="76"/>
    </row>
    <row r="203" ht="20.25" hidden="1" customHeight="1" outlineLevel="1">
      <c r="A203" s="29"/>
      <c r="B203" s="29"/>
      <c r="C203" s="19">
        <v>106.0</v>
      </c>
      <c r="D203" s="19"/>
      <c r="E203" s="19"/>
      <c r="F203" s="29"/>
      <c r="G203" s="74" t="s">
        <v>17</v>
      </c>
      <c r="H203" s="74" t="s">
        <v>18</v>
      </c>
      <c r="I203" s="29"/>
      <c r="J203" s="77"/>
      <c r="K203" s="29"/>
      <c r="L203" s="77"/>
      <c r="M203" s="187"/>
      <c r="N203" s="74"/>
      <c r="O203" s="76"/>
      <c r="P203" s="76"/>
    </row>
    <row r="204" ht="20.25" hidden="1" customHeight="1" outlineLevel="1">
      <c r="A204" s="57"/>
      <c r="B204" s="57"/>
      <c r="C204" s="11">
        <v>108.0</v>
      </c>
      <c r="D204" s="11"/>
      <c r="E204" s="11"/>
      <c r="F204" s="57"/>
      <c r="G204" s="74" t="s">
        <v>17</v>
      </c>
      <c r="H204" s="74" t="s">
        <v>18</v>
      </c>
      <c r="I204" s="57"/>
      <c r="J204" s="73"/>
      <c r="K204" s="57"/>
      <c r="L204" s="73"/>
      <c r="M204" s="187"/>
      <c r="N204" s="74"/>
      <c r="O204" s="76"/>
      <c r="P204" s="76"/>
    </row>
    <row r="205" ht="20.25" hidden="1" customHeight="1" outlineLevel="1">
      <c r="A205" s="29"/>
      <c r="B205" s="29"/>
      <c r="C205" s="19">
        <v>109.0</v>
      </c>
      <c r="D205" s="19"/>
      <c r="E205" s="19"/>
      <c r="F205" s="29"/>
      <c r="G205" s="74" t="s">
        <v>17</v>
      </c>
      <c r="H205" s="74" t="s">
        <v>18</v>
      </c>
      <c r="I205" s="29"/>
      <c r="J205" s="77"/>
      <c r="K205" s="29"/>
      <c r="L205" s="77"/>
      <c r="M205" s="187"/>
      <c r="N205" s="74"/>
      <c r="O205" s="76"/>
      <c r="P205" s="76"/>
    </row>
    <row r="206" ht="20.25" hidden="1" customHeight="1" outlineLevel="1">
      <c r="A206" s="58"/>
      <c r="B206" s="58"/>
      <c r="C206" s="11">
        <v>110.0</v>
      </c>
      <c r="D206" s="11"/>
      <c r="E206" s="11"/>
      <c r="F206" s="58"/>
      <c r="G206" s="74" t="s">
        <v>17</v>
      </c>
      <c r="H206" s="74" t="s">
        <v>18</v>
      </c>
      <c r="I206" s="58"/>
      <c r="J206" s="73"/>
      <c r="K206" s="58"/>
      <c r="L206" s="73"/>
      <c r="M206" s="108"/>
      <c r="N206" s="74"/>
      <c r="O206" s="76"/>
      <c r="P206" s="76"/>
    </row>
    <row r="207" ht="20.25" hidden="1" customHeight="1" outlineLevel="1">
      <c r="A207" s="121">
        <v>46147.0</v>
      </c>
      <c r="B207" s="123" t="s">
        <v>21</v>
      </c>
      <c r="C207" s="123">
        <v>124.0</v>
      </c>
      <c r="D207" s="19"/>
      <c r="E207" s="19"/>
      <c r="F207" s="102" t="s">
        <v>42</v>
      </c>
      <c r="G207" s="74" t="s">
        <v>17</v>
      </c>
      <c r="H207" s="74" t="s">
        <v>25</v>
      </c>
      <c r="I207" s="77">
        <v>1.0</v>
      </c>
      <c r="J207" s="77">
        <v>120.0</v>
      </c>
      <c r="K207" s="77">
        <v>120.0</v>
      </c>
      <c r="L207" s="77">
        <v>25.0</v>
      </c>
      <c r="M207" s="74"/>
      <c r="N207" s="74"/>
      <c r="O207" s="76"/>
      <c r="P207" s="76"/>
    </row>
    <row r="208" ht="20.25" hidden="1" customHeight="1" outlineLevel="1">
      <c r="A208" s="57"/>
      <c r="B208" s="58"/>
      <c r="C208" s="57"/>
      <c r="D208" s="11"/>
      <c r="E208" s="11"/>
      <c r="F208" s="57"/>
      <c r="G208" s="74" t="s">
        <v>17</v>
      </c>
      <c r="H208" s="74" t="s">
        <v>18</v>
      </c>
      <c r="I208" s="73">
        <v>18.0</v>
      </c>
      <c r="J208" s="75">
        <v>100.0</v>
      </c>
      <c r="K208" s="75">
        <v>2800.0</v>
      </c>
      <c r="L208" s="75">
        <v>25.0</v>
      </c>
      <c r="M208" s="105"/>
      <c r="N208" s="74"/>
      <c r="O208" s="76"/>
      <c r="P208" s="76"/>
    </row>
    <row r="209" ht="20.25" hidden="1" customHeight="1" outlineLevel="1">
      <c r="A209" s="29"/>
      <c r="B209" s="19" t="s">
        <v>40</v>
      </c>
      <c r="C209" s="19">
        <v>107.0</v>
      </c>
      <c r="D209" s="19"/>
      <c r="E209" s="19"/>
      <c r="F209" s="29"/>
      <c r="G209" s="74" t="s">
        <v>17</v>
      </c>
      <c r="H209" s="74" t="s">
        <v>18</v>
      </c>
      <c r="I209" s="77">
        <v>9.0</v>
      </c>
      <c r="J209" s="29"/>
      <c r="K209" s="29"/>
      <c r="L209" s="29"/>
      <c r="M209" s="187"/>
      <c r="N209" s="74"/>
      <c r="O209" s="76"/>
      <c r="P209" s="76"/>
    </row>
    <row r="210" ht="20.25" hidden="1" customHeight="1" outlineLevel="1">
      <c r="A210" s="57"/>
      <c r="B210" s="11" t="s">
        <v>51</v>
      </c>
      <c r="C210" s="11" t="s">
        <v>107</v>
      </c>
      <c r="D210" s="11"/>
      <c r="E210" s="11"/>
      <c r="F210" s="58"/>
      <c r="G210" s="74" t="s">
        <v>17</v>
      </c>
      <c r="H210" s="74" t="s">
        <v>18</v>
      </c>
      <c r="I210" s="73">
        <v>1.0</v>
      </c>
      <c r="J210" s="58"/>
      <c r="K210" s="58"/>
      <c r="L210" s="58"/>
      <c r="M210" s="108"/>
      <c r="N210" s="74"/>
      <c r="O210" s="76"/>
      <c r="P210" s="76"/>
    </row>
    <row r="211" ht="20.25" hidden="1" customHeight="1" outlineLevel="1">
      <c r="A211" s="29"/>
      <c r="B211" s="123" t="s">
        <v>40</v>
      </c>
      <c r="C211" s="123">
        <v>138.0</v>
      </c>
      <c r="D211" s="19"/>
      <c r="E211" s="19"/>
      <c r="F211" s="102" t="s">
        <v>47</v>
      </c>
      <c r="G211" s="74" t="s">
        <v>17</v>
      </c>
      <c r="H211" s="74" t="s">
        <v>25</v>
      </c>
      <c r="I211" s="77">
        <v>1.0</v>
      </c>
      <c r="J211" s="77">
        <v>120.0</v>
      </c>
      <c r="K211" s="77">
        <v>120.0</v>
      </c>
      <c r="L211" s="77">
        <v>25.0</v>
      </c>
      <c r="M211" s="105"/>
      <c r="N211" s="74"/>
      <c r="O211" s="76"/>
      <c r="P211" s="76"/>
    </row>
    <row r="212" ht="20.25" hidden="1" customHeight="1" outlineLevel="1">
      <c r="A212" s="57"/>
      <c r="B212" s="58"/>
      <c r="C212" s="58"/>
      <c r="D212" s="11"/>
      <c r="E212" s="11"/>
      <c r="F212" s="58"/>
      <c r="G212" s="74" t="s">
        <v>17</v>
      </c>
      <c r="H212" s="74" t="s">
        <v>18</v>
      </c>
      <c r="I212" s="73">
        <v>14.0</v>
      </c>
      <c r="J212" s="73">
        <v>100.0</v>
      </c>
      <c r="K212" s="73">
        <v>1400.0</v>
      </c>
      <c r="L212" s="73">
        <v>25.0</v>
      </c>
      <c r="M212" s="108"/>
      <c r="N212" s="74"/>
      <c r="O212" s="76"/>
      <c r="P212" s="76"/>
    </row>
    <row r="213" ht="20.25" hidden="1" customHeight="1" outlineLevel="1">
      <c r="A213" s="29"/>
      <c r="B213" s="123" t="s">
        <v>21</v>
      </c>
      <c r="C213" s="123">
        <v>116.0</v>
      </c>
      <c r="D213" s="19"/>
      <c r="E213" s="19"/>
      <c r="F213" s="26" t="s">
        <v>59</v>
      </c>
      <c r="G213" s="74" t="s">
        <v>17</v>
      </c>
      <c r="H213" s="74" t="s">
        <v>25</v>
      </c>
      <c r="I213" s="77">
        <v>1.0</v>
      </c>
      <c r="J213" s="77"/>
      <c r="K213" s="77"/>
      <c r="L213" s="77"/>
      <c r="M213" s="74"/>
      <c r="N213" s="74"/>
      <c r="O213" s="76"/>
      <c r="P213" s="76"/>
    </row>
    <row r="214" ht="20.25" hidden="1" customHeight="1" outlineLevel="1">
      <c r="A214" s="57"/>
      <c r="B214" s="58"/>
      <c r="C214" s="58"/>
      <c r="D214" s="11"/>
      <c r="E214" s="11"/>
      <c r="F214" s="58"/>
      <c r="G214" s="74" t="s">
        <v>17</v>
      </c>
      <c r="H214" s="74" t="s">
        <v>18</v>
      </c>
      <c r="I214" s="73">
        <v>18.0</v>
      </c>
      <c r="J214" s="73"/>
      <c r="K214" s="73"/>
      <c r="L214" s="73"/>
      <c r="M214" s="74"/>
      <c r="N214" s="74"/>
      <c r="O214" s="76"/>
      <c r="P214" s="76"/>
    </row>
    <row r="215" ht="20.25" hidden="1" customHeight="1" outlineLevel="1">
      <c r="A215" s="29"/>
      <c r="B215" s="123" t="s">
        <v>40</v>
      </c>
      <c r="C215" s="123">
        <v>117.0</v>
      </c>
      <c r="D215" s="19"/>
      <c r="E215" s="19"/>
      <c r="F215" s="26" t="s">
        <v>78</v>
      </c>
      <c r="G215" s="74" t="s">
        <v>17</v>
      </c>
      <c r="H215" s="74" t="s">
        <v>25</v>
      </c>
      <c r="I215" s="77">
        <v>1.0</v>
      </c>
      <c r="J215" s="77"/>
      <c r="K215" s="77"/>
      <c r="L215" s="77"/>
      <c r="M215" s="74"/>
      <c r="N215" s="74"/>
      <c r="O215" s="76"/>
      <c r="P215" s="76"/>
    </row>
    <row r="216" ht="20.25" hidden="1" customHeight="1" outlineLevel="1">
      <c r="A216" s="57"/>
      <c r="B216" s="58"/>
      <c r="C216" s="11">
        <v>121.0</v>
      </c>
      <c r="D216" s="11"/>
      <c r="E216" s="11"/>
      <c r="F216" s="58"/>
      <c r="G216" s="74" t="s">
        <v>17</v>
      </c>
      <c r="H216" s="74" t="s">
        <v>18</v>
      </c>
      <c r="I216" s="73">
        <v>15.0</v>
      </c>
      <c r="J216" s="73"/>
      <c r="K216" s="73"/>
      <c r="L216" s="73"/>
      <c r="M216" s="74"/>
      <c r="N216" s="74"/>
      <c r="O216" s="76"/>
      <c r="P216" s="76"/>
    </row>
    <row r="217" ht="20.25" hidden="1" customHeight="1" outlineLevel="1">
      <c r="A217" s="29"/>
      <c r="B217" s="123" t="s">
        <v>21</v>
      </c>
      <c r="C217" s="123">
        <v>117.0</v>
      </c>
      <c r="D217" s="19"/>
      <c r="E217" s="19"/>
      <c r="F217" s="26" t="s">
        <v>84</v>
      </c>
      <c r="G217" s="74" t="s">
        <v>17</v>
      </c>
      <c r="H217" s="74" t="s">
        <v>25</v>
      </c>
      <c r="I217" s="77">
        <v>1.0</v>
      </c>
      <c r="J217" s="77"/>
      <c r="K217" s="77"/>
      <c r="L217" s="77"/>
      <c r="M217" s="74"/>
      <c r="N217" s="74"/>
      <c r="O217" s="76"/>
      <c r="P217" s="76"/>
    </row>
    <row r="218" ht="20.25" hidden="1" customHeight="1" outlineLevel="1">
      <c r="A218" s="58"/>
      <c r="B218" s="58"/>
      <c r="C218" s="11">
        <v>118.0</v>
      </c>
      <c r="D218" s="11"/>
      <c r="E218" s="11"/>
      <c r="F218" s="58"/>
      <c r="G218" s="74" t="s">
        <v>17</v>
      </c>
      <c r="H218" s="74" t="s">
        <v>18</v>
      </c>
      <c r="I218" s="73">
        <v>19.0</v>
      </c>
      <c r="J218" s="73"/>
      <c r="K218" s="73"/>
      <c r="L218" s="73"/>
      <c r="M218" s="74"/>
      <c r="N218" s="74"/>
      <c r="O218" s="76"/>
      <c r="P218" s="76"/>
    </row>
    <row r="219" ht="20.25" hidden="1" customHeight="1" outlineLevel="1">
      <c r="A219" s="121">
        <v>46147.0</v>
      </c>
      <c r="B219" s="123" t="s">
        <v>45</v>
      </c>
      <c r="C219" s="19">
        <v>110.0</v>
      </c>
      <c r="D219" s="19"/>
      <c r="E219" s="19"/>
      <c r="F219" s="160" t="s">
        <v>85</v>
      </c>
      <c r="G219" s="74" t="s">
        <v>17</v>
      </c>
      <c r="H219" s="74" t="s">
        <v>18</v>
      </c>
      <c r="I219" s="160">
        <v>20.0</v>
      </c>
      <c r="J219" s="77"/>
      <c r="K219" s="160">
        <v>3625.0</v>
      </c>
      <c r="L219" s="77"/>
      <c r="M219" s="105">
        <v>400.0</v>
      </c>
      <c r="N219" s="74"/>
      <c r="O219" s="76"/>
      <c r="P219" s="76"/>
    </row>
    <row r="220" ht="20.25" hidden="1" customHeight="1" outlineLevel="1">
      <c r="A220" s="57"/>
      <c r="B220" s="57"/>
      <c r="C220" s="11">
        <v>111.0</v>
      </c>
      <c r="D220" s="11"/>
      <c r="E220" s="11"/>
      <c r="F220" s="57"/>
      <c r="G220" s="74" t="s">
        <v>17</v>
      </c>
      <c r="H220" s="74" t="s">
        <v>18</v>
      </c>
      <c r="I220" s="57"/>
      <c r="J220" s="73"/>
      <c r="K220" s="57"/>
      <c r="L220" s="73"/>
      <c r="M220" s="187"/>
      <c r="N220" s="74"/>
      <c r="O220" s="76"/>
      <c r="P220" s="76"/>
    </row>
    <row r="221" ht="20.25" hidden="1" customHeight="1" outlineLevel="1">
      <c r="A221" s="29"/>
      <c r="B221" s="29"/>
      <c r="C221" s="19">
        <v>112.0</v>
      </c>
      <c r="D221" s="19"/>
      <c r="E221" s="19"/>
      <c r="F221" s="29"/>
      <c r="G221" s="74" t="s">
        <v>17</v>
      </c>
      <c r="H221" s="74" t="s">
        <v>18</v>
      </c>
      <c r="I221" s="29"/>
      <c r="J221" s="77"/>
      <c r="K221" s="29"/>
      <c r="L221" s="77"/>
      <c r="M221" s="187"/>
      <c r="N221" s="74"/>
      <c r="O221" s="76"/>
      <c r="P221" s="76"/>
    </row>
    <row r="222" ht="20.25" hidden="1" customHeight="1" outlineLevel="1">
      <c r="A222" s="57"/>
      <c r="B222" s="57"/>
      <c r="C222" s="11">
        <v>113.0</v>
      </c>
      <c r="D222" s="11"/>
      <c r="E222" s="11"/>
      <c r="F222" s="57"/>
      <c r="G222" s="74" t="s">
        <v>17</v>
      </c>
      <c r="H222" s="74" t="s">
        <v>18</v>
      </c>
      <c r="I222" s="57"/>
      <c r="J222" s="73"/>
      <c r="K222" s="57"/>
      <c r="L222" s="73"/>
      <c r="M222" s="187"/>
      <c r="N222" s="74"/>
      <c r="O222" s="76"/>
      <c r="P222" s="76"/>
    </row>
    <row r="223" ht="20.25" hidden="1" customHeight="1" outlineLevel="1">
      <c r="A223" s="20"/>
      <c r="B223" s="20"/>
      <c r="C223" s="19">
        <v>114.0</v>
      </c>
      <c r="D223" s="19"/>
      <c r="E223" s="19"/>
      <c r="F223" s="20"/>
      <c r="G223" s="74" t="s">
        <v>17</v>
      </c>
      <c r="H223" s="74" t="s">
        <v>18</v>
      </c>
      <c r="I223" s="20"/>
      <c r="J223" s="77"/>
      <c r="K223" s="20"/>
      <c r="L223" s="77"/>
      <c r="M223" s="108"/>
      <c r="N223" s="74"/>
      <c r="O223" s="76"/>
      <c r="P223" s="76"/>
    </row>
    <row r="224" ht="20.25" hidden="1" customHeight="1" outlineLevel="1">
      <c r="A224" s="69">
        <v>46148.0</v>
      </c>
      <c r="B224" s="72" t="s">
        <v>40</v>
      </c>
      <c r="C224" s="72">
        <v>123.0</v>
      </c>
      <c r="D224" s="11"/>
      <c r="E224" s="11"/>
      <c r="F224" s="102" t="s">
        <v>42</v>
      </c>
      <c r="G224" s="74" t="s">
        <v>17</v>
      </c>
      <c r="H224" s="74" t="s">
        <v>25</v>
      </c>
      <c r="I224" s="73">
        <v>1.0</v>
      </c>
      <c r="J224" s="73">
        <v>120.0</v>
      </c>
      <c r="K224" s="73">
        <v>120.0</v>
      </c>
      <c r="L224" s="73">
        <v>25.0</v>
      </c>
      <c r="M224" s="74"/>
      <c r="N224" s="74"/>
      <c r="O224" s="76"/>
      <c r="P224" s="76"/>
    </row>
    <row r="225" ht="20.25" hidden="1" customHeight="1" outlineLevel="1">
      <c r="A225" s="29"/>
      <c r="B225" s="20"/>
      <c r="C225" s="19">
        <v>108.0</v>
      </c>
      <c r="D225" s="19"/>
      <c r="E225" s="19"/>
      <c r="F225" s="29"/>
      <c r="G225" s="74" t="s">
        <v>17</v>
      </c>
      <c r="H225" s="74" t="s">
        <v>18</v>
      </c>
      <c r="I225" s="77">
        <v>23.0</v>
      </c>
      <c r="J225" s="160">
        <v>100.0</v>
      </c>
      <c r="K225" s="160">
        <v>2400.0</v>
      </c>
      <c r="L225" s="160">
        <v>25.0</v>
      </c>
      <c r="M225" s="105"/>
      <c r="N225" s="74"/>
      <c r="O225" s="76"/>
      <c r="P225" s="76"/>
    </row>
    <row r="226" ht="20.25" hidden="1" customHeight="1" outlineLevel="1">
      <c r="A226" s="57"/>
      <c r="B226" s="11" t="s">
        <v>51</v>
      </c>
      <c r="C226" s="11" t="s">
        <v>112</v>
      </c>
      <c r="D226" s="11"/>
      <c r="E226" s="11"/>
      <c r="F226" s="58"/>
      <c r="G226" s="74" t="s">
        <v>17</v>
      </c>
      <c r="H226" s="74" t="s">
        <v>18</v>
      </c>
      <c r="I226" s="73">
        <v>1.0</v>
      </c>
      <c r="J226" s="58"/>
      <c r="K226" s="58"/>
      <c r="L226" s="58"/>
      <c r="M226" s="108"/>
      <c r="N226" s="74"/>
      <c r="O226" s="76"/>
      <c r="P226" s="76"/>
    </row>
    <row r="227" ht="20.25" hidden="1" customHeight="1" outlineLevel="1">
      <c r="A227" s="29"/>
      <c r="B227" s="123" t="s">
        <v>40</v>
      </c>
      <c r="C227" s="123">
        <v>126.0</v>
      </c>
      <c r="D227" s="19"/>
      <c r="E227" s="19"/>
      <c r="F227" s="102" t="s">
        <v>47</v>
      </c>
      <c r="G227" s="74" t="s">
        <v>17</v>
      </c>
      <c r="H227" s="74" t="s">
        <v>25</v>
      </c>
      <c r="I227" s="77">
        <v>1.0</v>
      </c>
      <c r="J227" s="77">
        <v>120.0</v>
      </c>
      <c r="K227" s="77">
        <v>120.0</v>
      </c>
      <c r="L227" s="77">
        <v>25.0</v>
      </c>
      <c r="M227" s="105"/>
      <c r="N227" s="74"/>
      <c r="O227" s="76"/>
      <c r="P227" s="76"/>
    </row>
    <row r="228" ht="20.25" hidden="1" customHeight="1" outlineLevel="1">
      <c r="A228" s="57"/>
      <c r="B228" s="58"/>
      <c r="C228" s="58"/>
      <c r="D228" s="11"/>
      <c r="E228" s="11"/>
      <c r="F228" s="58"/>
      <c r="G228" s="74" t="s">
        <v>17</v>
      </c>
      <c r="H228" s="74" t="s">
        <v>18</v>
      </c>
      <c r="I228" s="73">
        <v>16.0</v>
      </c>
      <c r="J228" s="73">
        <v>100.0</v>
      </c>
      <c r="K228" s="73">
        <v>1600.0</v>
      </c>
      <c r="L228" s="73">
        <v>25.0</v>
      </c>
      <c r="M228" s="108"/>
      <c r="N228" s="74"/>
      <c r="O228" s="76"/>
      <c r="P228" s="76"/>
    </row>
    <row r="229" ht="20.25" hidden="1" customHeight="1" outlineLevel="1">
      <c r="A229" s="29"/>
      <c r="B229" s="123" t="s">
        <v>40</v>
      </c>
      <c r="C229" s="123">
        <v>103.0</v>
      </c>
      <c r="D229" s="19"/>
      <c r="E229" s="19"/>
      <c r="F229" s="26" t="s">
        <v>59</v>
      </c>
      <c r="G229" s="74" t="s">
        <v>17</v>
      </c>
      <c r="H229" s="74" t="s">
        <v>25</v>
      </c>
      <c r="I229" s="77">
        <v>1.0</v>
      </c>
      <c r="J229" s="77"/>
      <c r="K229" s="77"/>
      <c r="L229" s="77"/>
      <c r="M229" s="74"/>
      <c r="N229" s="74"/>
      <c r="O229" s="76"/>
      <c r="P229" s="76"/>
    </row>
    <row r="230" ht="20.25" hidden="1" customHeight="1" outlineLevel="1">
      <c r="A230" s="57"/>
      <c r="B230" s="58"/>
      <c r="C230" s="58"/>
      <c r="D230" s="11"/>
      <c r="E230" s="11"/>
      <c r="F230" s="58"/>
      <c r="G230" s="74" t="s">
        <v>17</v>
      </c>
      <c r="H230" s="74" t="s">
        <v>18</v>
      </c>
      <c r="I230" s="73">
        <v>16.0</v>
      </c>
      <c r="J230" s="73"/>
      <c r="K230" s="73"/>
      <c r="L230" s="73"/>
      <c r="M230" s="74"/>
      <c r="N230" s="74"/>
      <c r="O230" s="76"/>
      <c r="P230" s="76"/>
    </row>
    <row r="231" ht="20.25" hidden="1" customHeight="1" outlineLevel="1">
      <c r="A231" s="29"/>
      <c r="B231" s="123" t="s">
        <v>40</v>
      </c>
      <c r="C231" s="123">
        <v>119.0</v>
      </c>
      <c r="D231" s="19"/>
      <c r="E231" s="19"/>
      <c r="F231" s="26" t="s">
        <v>78</v>
      </c>
      <c r="G231" s="74" t="s">
        <v>17</v>
      </c>
      <c r="H231" s="74" t="s">
        <v>25</v>
      </c>
      <c r="I231" s="77">
        <v>1.0</v>
      </c>
      <c r="J231" s="77"/>
      <c r="K231" s="77"/>
      <c r="L231" s="77"/>
      <c r="M231" s="74"/>
      <c r="N231" s="74"/>
      <c r="O231" s="76"/>
      <c r="P231" s="76"/>
    </row>
    <row r="232" ht="20.25" hidden="1" customHeight="1" outlineLevel="1">
      <c r="A232" s="57"/>
      <c r="B232" s="58"/>
      <c r="C232" s="58"/>
      <c r="D232" s="11"/>
      <c r="E232" s="11"/>
      <c r="F232" s="58"/>
      <c r="G232" s="74" t="s">
        <v>17</v>
      </c>
      <c r="H232" s="74" t="s">
        <v>18</v>
      </c>
      <c r="I232" s="73">
        <v>17.0</v>
      </c>
      <c r="J232" s="73"/>
      <c r="K232" s="73"/>
      <c r="L232" s="73"/>
      <c r="M232" s="74"/>
      <c r="N232" s="74"/>
      <c r="O232" s="76"/>
      <c r="P232" s="76"/>
    </row>
    <row r="233" ht="20.25" hidden="1" customHeight="1" outlineLevel="1">
      <c r="A233" s="29"/>
      <c r="B233" s="123" t="s">
        <v>40</v>
      </c>
      <c r="C233" s="123">
        <v>117.0</v>
      </c>
      <c r="D233" s="19"/>
      <c r="E233" s="19"/>
      <c r="F233" s="26" t="s">
        <v>84</v>
      </c>
      <c r="G233" s="74" t="s">
        <v>17</v>
      </c>
      <c r="H233" s="74" t="s">
        <v>25</v>
      </c>
      <c r="I233" s="77">
        <v>1.0</v>
      </c>
      <c r="J233" s="77"/>
      <c r="K233" s="77"/>
      <c r="L233" s="77"/>
      <c r="M233" s="74"/>
      <c r="N233" s="74"/>
      <c r="O233" s="76"/>
      <c r="P233" s="76"/>
    </row>
    <row r="234" ht="20.25" hidden="1" customHeight="1" outlineLevel="1">
      <c r="A234" s="57"/>
      <c r="B234" s="58"/>
      <c r="C234" s="58"/>
      <c r="D234" s="11"/>
      <c r="E234" s="11"/>
      <c r="F234" s="58"/>
      <c r="G234" s="74" t="s">
        <v>17</v>
      </c>
      <c r="H234" s="74" t="s">
        <v>18</v>
      </c>
      <c r="I234" s="73">
        <v>21.0</v>
      </c>
      <c r="J234" s="73"/>
      <c r="K234" s="73"/>
      <c r="L234" s="73"/>
      <c r="M234" s="74"/>
      <c r="N234" s="74"/>
      <c r="O234" s="76"/>
      <c r="P234" s="76"/>
    </row>
    <row r="235" ht="20.25" hidden="1" customHeight="1" outlineLevel="1">
      <c r="A235" s="29"/>
      <c r="B235" s="123" t="s">
        <v>40</v>
      </c>
      <c r="C235" s="123">
        <v>121.0</v>
      </c>
      <c r="D235" s="19"/>
      <c r="E235" s="19"/>
      <c r="F235" s="26" t="s">
        <v>70</v>
      </c>
      <c r="G235" s="74" t="s">
        <v>17</v>
      </c>
      <c r="H235" s="74" t="s">
        <v>25</v>
      </c>
      <c r="I235" s="77">
        <v>1.0</v>
      </c>
      <c r="J235" s="77"/>
      <c r="K235" s="77"/>
      <c r="L235" s="77"/>
      <c r="M235" s="74"/>
      <c r="N235" s="74"/>
      <c r="O235" s="76"/>
      <c r="P235" s="76"/>
    </row>
    <row r="236" ht="20.25" hidden="1" customHeight="1" outlineLevel="1">
      <c r="A236" s="58"/>
      <c r="B236" s="58"/>
      <c r="C236" s="11">
        <v>101.0</v>
      </c>
      <c r="D236" s="11"/>
      <c r="E236" s="11"/>
      <c r="F236" s="58"/>
      <c r="G236" s="74" t="s">
        <v>17</v>
      </c>
      <c r="H236" s="74" t="s">
        <v>18</v>
      </c>
      <c r="I236" s="73">
        <v>21.0</v>
      </c>
      <c r="J236" s="73"/>
      <c r="K236" s="73"/>
      <c r="L236" s="73"/>
      <c r="M236" s="74"/>
      <c r="N236" s="74"/>
      <c r="O236" s="76"/>
      <c r="P236" s="76"/>
    </row>
    <row r="237" ht="20.25" hidden="1" customHeight="1" outlineLevel="1">
      <c r="A237" s="121">
        <v>46148.0</v>
      </c>
      <c r="B237" s="123" t="s">
        <v>45</v>
      </c>
      <c r="C237" s="19">
        <v>115.0</v>
      </c>
      <c r="D237" s="19"/>
      <c r="E237" s="19"/>
      <c r="F237" s="160" t="s">
        <v>85</v>
      </c>
      <c r="G237" s="74" t="s">
        <v>17</v>
      </c>
      <c r="H237" s="74" t="s">
        <v>18</v>
      </c>
      <c r="I237" s="160">
        <v>19.0</v>
      </c>
      <c r="J237" s="77"/>
      <c r="K237" s="160">
        <v>3510.0</v>
      </c>
      <c r="L237" s="77"/>
      <c r="M237" s="105">
        <v>400.0</v>
      </c>
      <c r="N237" s="74"/>
      <c r="O237" s="76"/>
      <c r="P237" s="76"/>
    </row>
    <row r="238" ht="20.25" hidden="1" customHeight="1" outlineLevel="1">
      <c r="A238" s="57"/>
      <c r="B238" s="57"/>
      <c r="C238" s="11">
        <v>116.0</v>
      </c>
      <c r="D238" s="11"/>
      <c r="E238" s="11"/>
      <c r="F238" s="57"/>
      <c r="G238" s="74" t="s">
        <v>17</v>
      </c>
      <c r="H238" s="74" t="s">
        <v>18</v>
      </c>
      <c r="I238" s="57"/>
      <c r="J238" s="73"/>
      <c r="K238" s="57"/>
      <c r="L238" s="73"/>
      <c r="M238" s="187"/>
      <c r="N238" s="74"/>
      <c r="O238" s="76"/>
      <c r="P238" s="76"/>
    </row>
    <row r="239" ht="20.25" hidden="1" customHeight="1" outlineLevel="1">
      <c r="A239" s="29"/>
      <c r="B239" s="29"/>
      <c r="C239" s="19">
        <v>117.0</v>
      </c>
      <c r="D239" s="19"/>
      <c r="E239" s="19"/>
      <c r="F239" s="29"/>
      <c r="G239" s="74" t="s">
        <v>17</v>
      </c>
      <c r="H239" s="74" t="s">
        <v>18</v>
      </c>
      <c r="I239" s="29"/>
      <c r="J239" s="77"/>
      <c r="K239" s="29"/>
      <c r="L239" s="77"/>
      <c r="M239" s="187"/>
      <c r="N239" s="74"/>
      <c r="O239" s="76"/>
      <c r="P239" s="76"/>
    </row>
    <row r="240" ht="20.25" hidden="1" customHeight="1" outlineLevel="1">
      <c r="A240" s="57"/>
      <c r="B240" s="57"/>
      <c r="C240" s="11">
        <v>118.0</v>
      </c>
      <c r="D240" s="11"/>
      <c r="E240" s="11"/>
      <c r="F240" s="57"/>
      <c r="G240" s="74" t="s">
        <v>17</v>
      </c>
      <c r="H240" s="74" t="s">
        <v>18</v>
      </c>
      <c r="I240" s="57"/>
      <c r="J240" s="73"/>
      <c r="K240" s="57"/>
      <c r="L240" s="73"/>
      <c r="M240" s="187"/>
      <c r="N240" s="74"/>
      <c r="O240" s="76"/>
      <c r="P240" s="76"/>
    </row>
    <row r="241" ht="20.25" hidden="1" customHeight="1" outlineLevel="1">
      <c r="A241" s="20"/>
      <c r="B241" s="20"/>
      <c r="C241" s="19">
        <v>119.0</v>
      </c>
      <c r="D241" s="19"/>
      <c r="E241" s="19"/>
      <c r="F241" s="20"/>
      <c r="G241" s="74" t="s">
        <v>17</v>
      </c>
      <c r="H241" s="74" t="s">
        <v>18</v>
      </c>
      <c r="I241" s="20"/>
      <c r="J241" s="77"/>
      <c r="K241" s="20"/>
      <c r="L241" s="77"/>
      <c r="M241" s="108"/>
      <c r="N241" s="74"/>
      <c r="O241" s="76"/>
      <c r="P241" s="76"/>
    </row>
    <row r="242" ht="20.25" hidden="1" customHeight="1" outlineLevel="1">
      <c r="A242" s="69">
        <v>46149.0</v>
      </c>
      <c r="B242" s="72" t="s">
        <v>40</v>
      </c>
      <c r="C242" s="72">
        <v>124.0</v>
      </c>
      <c r="D242" s="11"/>
      <c r="E242" s="11"/>
      <c r="F242" s="102" t="s">
        <v>42</v>
      </c>
      <c r="G242" s="74" t="s">
        <v>17</v>
      </c>
      <c r="H242" s="74" t="s">
        <v>25</v>
      </c>
      <c r="I242" s="73">
        <v>1.0</v>
      </c>
      <c r="J242" s="73"/>
      <c r="K242" s="73"/>
      <c r="L242" s="73"/>
      <c r="M242" s="74"/>
      <c r="N242" s="74"/>
      <c r="O242" s="76"/>
      <c r="P242" s="76"/>
    </row>
    <row r="243" ht="20.25" hidden="1" customHeight="1" outlineLevel="1">
      <c r="A243" s="29"/>
      <c r="B243" s="20"/>
      <c r="C243" s="20"/>
      <c r="D243" s="19"/>
      <c r="E243" s="19"/>
      <c r="F243" s="29"/>
      <c r="G243" s="74" t="s">
        <v>17</v>
      </c>
      <c r="H243" s="74" t="s">
        <v>18</v>
      </c>
      <c r="I243" s="77">
        <v>13.0</v>
      </c>
      <c r="J243" s="160"/>
      <c r="K243" s="160"/>
      <c r="L243" s="160"/>
      <c r="M243" s="105"/>
      <c r="N243" s="74"/>
      <c r="O243" s="76"/>
      <c r="P243" s="76"/>
    </row>
    <row r="244" ht="20.25" hidden="1" customHeight="1" outlineLevel="1">
      <c r="A244" s="57"/>
      <c r="B244" s="11" t="s">
        <v>21</v>
      </c>
      <c r="C244" s="11">
        <v>123.0</v>
      </c>
      <c r="D244" s="11"/>
      <c r="E244" s="11"/>
      <c r="F244" s="57"/>
      <c r="G244" s="74" t="s">
        <v>17</v>
      </c>
      <c r="H244" s="74" t="s">
        <v>18</v>
      </c>
      <c r="I244" s="73">
        <v>10.0</v>
      </c>
      <c r="J244" s="58"/>
      <c r="K244" s="58"/>
      <c r="L244" s="58"/>
      <c r="M244" s="108"/>
      <c r="N244" s="74"/>
      <c r="O244" s="76"/>
      <c r="P244" s="76"/>
    </row>
    <row r="245" ht="20.25" hidden="1" customHeight="1" outlineLevel="1">
      <c r="A245" s="29"/>
      <c r="B245" s="19" t="s">
        <v>51</v>
      </c>
      <c r="C245" s="19" t="s">
        <v>112</v>
      </c>
      <c r="D245" s="19"/>
      <c r="E245" s="19"/>
      <c r="F245" s="20"/>
      <c r="G245" s="74" t="s">
        <v>17</v>
      </c>
      <c r="H245" s="74" t="s">
        <v>18</v>
      </c>
      <c r="I245" s="77">
        <v>1.0</v>
      </c>
      <c r="J245" s="77"/>
      <c r="K245" s="77"/>
      <c r="L245" s="77"/>
      <c r="M245" s="74"/>
      <c r="N245" s="74"/>
      <c r="O245" s="76"/>
      <c r="P245" s="76"/>
    </row>
    <row r="246" ht="20.25" hidden="1" customHeight="1" outlineLevel="1">
      <c r="A246" s="57"/>
      <c r="B246" s="72" t="s">
        <v>40</v>
      </c>
      <c r="C246" s="72">
        <v>125.0</v>
      </c>
      <c r="D246" s="11"/>
      <c r="E246" s="11"/>
      <c r="F246" s="102" t="s">
        <v>47</v>
      </c>
      <c r="G246" s="74" t="s">
        <v>17</v>
      </c>
      <c r="H246" s="74" t="s">
        <v>25</v>
      </c>
      <c r="I246" s="73">
        <v>1.0</v>
      </c>
      <c r="J246" s="73"/>
      <c r="K246" s="73"/>
      <c r="L246" s="73"/>
      <c r="M246" s="105"/>
      <c r="N246" s="74"/>
      <c r="O246" s="76"/>
      <c r="P246" s="76"/>
    </row>
    <row r="247" ht="20.25" hidden="1" customHeight="1" outlineLevel="1">
      <c r="A247" s="29"/>
      <c r="B247" s="20"/>
      <c r="C247" s="20"/>
      <c r="D247" s="19"/>
      <c r="E247" s="19"/>
      <c r="F247" s="20"/>
      <c r="G247" s="74" t="s">
        <v>17</v>
      </c>
      <c r="H247" s="74" t="s">
        <v>18</v>
      </c>
      <c r="I247" s="77">
        <v>16.0</v>
      </c>
      <c r="J247" s="77"/>
      <c r="K247" s="77"/>
      <c r="L247" s="77"/>
      <c r="M247" s="108"/>
      <c r="N247" s="74"/>
      <c r="O247" s="76"/>
      <c r="P247" s="76"/>
    </row>
    <row r="248" ht="20.25" hidden="1" customHeight="1" outlineLevel="1">
      <c r="A248" s="57"/>
      <c r="B248" s="72" t="s">
        <v>40</v>
      </c>
      <c r="C248" s="72">
        <v>106.0</v>
      </c>
      <c r="D248" s="11"/>
      <c r="E248" s="11"/>
      <c r="F248" s="26" t="s">
        <v>59</v>
      </c>
      <c r="G248" s="74" t="s">
        <v>17</v>
      </c>
      <c r="H248" s="74" t="s">
        <v>25</v>
      </c>
      <c r="I248" s="73">
        <v>1.0</v>
      </c>
      <c r="J248" s="73"/>
      <c r="K248" s="73"/>
      <c r="L248" s="73"/>
      <c r="M248" s="74"/>
      <c r="N248" s="74"/>
      <c r="O248" s="76"/>
      <c r="P248" s="76"/>
    </row>
    <row r="249" ht="20.25" hidden="1" customHeight="1" outlineLevel="1">
      <c r="A249" s="29"/>
      <c r="B249" s="20"/>
      <c r="C249" s="20"/>
      <c r="D249" s="19"/>
      <c r="E249" s="19"/>
      <c r="F249" s="20"/>
      <c r="G249" s="74" t="s">
        <v>17</v>
      </c>
      <c r="H249" s="74" t="s">
        <v>18</v>
      </c>
      <c r="I249" s="77">
        <v>15.0</v>
      </c>
      <c r="J249" s="77"/>
      <c r="K249" s="77"/>
      <c r="L249" s="77"/>
      <c r="M249" s="74"/>
      <c r="N249" s="74"/>
      <c r="O249" s="76"/>
      <c r="P249" s="76"/>
    </row>
    <row r="250" ht="20.25" hidden="1" customHeight="1" outlineLevel="1">
      <c r="A250" s="57"/>
      <c r="B250" s="72" t="s">
        <v>40</v>
      </c>
      <c r="C250" s="72">
        <v>119.0</v>
      </c>
      <c r="D250" s="11"/>
      <c r="E250" s="11"/>
      <c r="F250" s="26" t="s">
        <v>78</v>
      </c>
      <c r="G250" s="74" t="s">
        <v>17</v>
      </c>
      <c r="H250" s="74" t="s">
        <v>25</v>
      </c>
      <c r="I250" s="73">
        <v>1.0</v>
      </c>
      <c r="J250" s="73"/>
      <c r="K250" s="73"/>
      <c r="L250" s="73"/>
      <c r="M250" s="74"/>
      <c r="N250" s="74"/>
      <c r="O250" s="76"/>
      <c r="P250" s="76"/>
    </row>
    <row r="251" ht="20.25" hidden="1" customHeight="1" outlineLevel="1">
      <c r="A251" s="29"/>
      <c r="B251" s="20"/>
      <c r="C251" s="20"/>
      <c r="D251" s="19"/>
      <c r="E251" s="19"/>
      <c r="F251" s="20"/>
      <c r="G251" s="74" t="s">
        <v>17</v>
      </c>
      <c r="H251" s="74" t="s">
        <v>18</v>
      </c>
      <c r="I251" s="77">
        <v>16.0</v>
      </c>
      <c r="J251" s="77"/>
      <c r="K251" s="77"/>
      <c r="L251" s="77"/>
      <c r="M251" s="74"/>
      <c r="N251" s="74"/>
      <c r="O251" s="76"/>
      <c r="P251" s="76"/>
    </row>
    <row r="252" ht="20.25" hidden="1" customHeight="1" outlineLevel="1">
      <c r="A252" s="57"/>
      <c r="B252" s="72" t="s">
        <v>40</v>
      </c>
      <c r="C252" s="72">
        <v>116.0</v>
      </c>
      <c r="D252" s="11"/>
      <c r="E252" s="11"/>
      <c r="F252" s="26" t="s">
        <v>84</v>
      </c>
      <c r="G252" s="74" t="s">
        <v>17</v>
      </c>
      <c r="H252" s="74" t="s">
        <v>25</v>
      </c>
      <c r="I252" s="73">
        <v>1.0</v>
      </c>
      <c r="J252" s="73"/>
      <c r="K252" s="73"/>
      <c r="L252" s="73"/>
      <c r="M252" s="74"/>
      <c r="N252" s="74"/>
      <c r="O252" s="76"/>
      <c r="P252" s="76"/>
    </row>
    <row r="253" ht="20.25" hidden="1" customHeight="1" outlineLevel="1">
      <c r="A253" s="29"/>
      <c r="B253" s="20"/>
      <c r="C253" s="20"/>
      <c r="D253" s="19"/>
      <c r="E253" s="19"/>
      <c r="F253" s="20"/>
      <c r="G253" s="74" t="s">
        <v>17</v>
      </c>
      <c r="H253" s="74" t="s">
        <v>18</v>
      </c>
      <c r="I253" s="77">
        <v>19.0</v>
      </c>
      <c r="J253" s="77"/>
      <c r="K253" s="77"/>
      <c r="L253" s="77"/>
      <c r="M253" s="74"/>
      <c r="N253" s="74"/>
      <c r="O253" s="76"/>
      <c r="P253" s="76"/>
    </row>
    <row r="254" ht="20.25" hidden="1" customHeight="1" outlineLevel="1">
      <c r="A254" s="57"/>
      <c r="B254" s="72" t="s">
        <v>40</v>
      </c>
      <c r="C254" s="72">
        <v>109.0</v>
      </c>
      <c r="D254" s="11"/>
      <c r="E254" s="11"/>
      <c r="F254" s="26" t="s">
        <v>70</v>
      </c>
      <c r="G254" s="74" t="s">
        <v>17</v>
      </c>
      <c r="H254" s="74" t="s">
        <v>25</v>
      </c>
      <c r="I254" s="73">
        <v>1.0</v>
      </c>
      <c r="J254" s="73"/>
      <c r="K254" s="73"/>
      <c r="L254" s="73"/>
      <c r="M254" s="74"/>
      <c r="N254" s="74"/>
      <c r="O254" s="76"/>
      <c r="P254" s="76"/>
    </row>
    <row r="255" ht="20.25" hidden="1" customHeight="1" outlineLevel="1">
      <c r="A255" s="20"/>
      <c r="B255" s="20"/>
      <c r="C255" s="20"/>
      <c r="D255" s="19"/>
      <c r="E255" s="19"/>
      <c r="F255" s="20"/>
      <c r="G255" s="74" t="s">
        <v>17</v>
      </c>
      <c r="H255" s="74" t="s">
        <v>18</v>
      </c>
      <c r="I255" s="77">
        <v>18.0</v>
      </c>
      <c r="J255" s="77"/>
      <c r="K255" s="77"/>
      <c r="L255" s="77"/>
      <c r="M255" s="74"/>
      <c r="N255" s="74"/>
      <c r="O255" s="76"/>
      <c r="P255" s="76"/>
    </row>
    <row r="256" ht="20.25" hidden="1" customHeight="1" outlineLevel="1">
      <c r="A256" s="69">
        <v>46149.0</v>
      </c>
      <c r="B256" s="72" t="s">
        <v>45</v>
      </c>
      <c r="C256" s="11">
        <v>119.0</v>
      </c>
      <c r="D256" s="11"/>
      <c r="E256" s="11"/>
      <c r="F256" s="75" t="s">
        <v>85</v>
      </c>
      <c r="G256" s="74" t="s">
        <v>17</v>
      </c>
      <c r="H256" s="74" t="s">
        <v>18</v>
      </c>
      <c r="I256" s="75">
        <v>18.0</v>
      </c>
      <c r="J256" s="73"/>
      <c r="K256" s="75">
        <v>3312.0</v>
      </c>
      <c r="L256" s="73"/>
      <c r="M256" s="105">
        <v>400.0</v>
      </c>
      <c r="N256" s="74"/>
      <c r="O256" s="76"/>
      <c r="P256" s="76"/>
    </row>
    <row r="257" ht="20.25" hidden="1" customHeight="1" outlineLevel="1">
      <c r="A257" s="29"/>
      <c r="B257" s="29"/>
      <c r="C257" s="19">
        <v>120.0</v>
      </c>
      <c r="D257" s="19"/>
      <c r="E257" s="19"/>
      <c r="F257" s="29"/>
      <c r="G257" s="74" t="s">
        <v>17</v>
      </c>
      <c r="H257" s="74" t="s">
        <v>18</v>
      </c>
      <c r="I257" s="29"/>
      <c r="J257" s="77"/>
      <c r="K257" s="29"/>
      <c r="L257" s="77"/>
      <c r="M257" s="187"/>
      <c r="N257" s="74"/>
      <c r="O257" s="76"/>
      <c r="P257" s="76"/>
    </row>
    <row r="258" ht="20.25" hidden="1" customHeight="1" outlineLevel="1">
      <c r="A258" s="57"/>
      <c r="B258" s="57"/>
      <c r="C258" s="11">
        <v>121.0</v>
      </c>
      <c r="D258" s="11"/>
      <c r="E258" s="11"/>
      <c r="F258" s="57"/>
      <c r="G258" s="74" t="s">
        <v>17</v>
      </c>
      <c r="H258" s="74" t="s">
        <v>18</v>
      </c>
      <c r="I258" s="57"/>
      <c r="J258" s="73"/>
      <c r="K258" s="57"/>
      <c r="L258" s="73"/>
      <c r="M258" s="187"/>
      <c r="N258" s="74"/>
      <c r="O258" s="76"/>
      <c r="P258" s="76"/>
    </row>
    <row r="259" ht="20.25" hidden="1" customHeight="1" outlineLevel="1">
      <c r="A259" s="29"/>
      <c r="B259" s="29"/>
      <c r="C259" s="19">
        <v>123.0</v>
      </c>
      <c r="D259" s="19"/>
      <c r="E259" s="19"/>
      <c r="F259" s="29"/>
      <c r="G259" s="74" t="s">
        <v>17</v>
      </c>
      <c r="H259" s="74" t="s">
        <v>18</v>
      </c>
      <c r="I259" s="29"/>
      <c r="J259" s="77"/>
      <c r="K259" s="29"/>
      <c r="L259" s="77"/>
      <c r="M259" s="187"/>
      <c r="N259" s="74"/>
      <c r="O259" s="76"/>
      <c r="P259" s="76"/>
    </row>
    <row r="260" ht="20.25" hidden="1" customHeight="1" outlineLevel="1">
      <c r="A260" s="58"/>
      <c r="B260" s="58"/>
      <c r="C260" s="11">
        <v>124.0</v>
      </c>
      <c r="D260" s="11"/>
      <c r="E260" s="11"/>
      <c r="F260" s="58"/>
      <c r="G260" s="74" t="s">
        <v>17</v>
      </c>
      <c r="H260" s="74" t="s">
        <v>18</v>
      </c>
      <c r="I260" s="58"/>
      <c r="J260" s="73"/>
      <c r="K260" s="58"/>
      <c r="L260" s="73"/>
      <c r="M260" s="108"/>
      <c r="N260" s="74"/>
      <c r="O260" s="76"/>
      <c r="P260" s="76"/>
    </row>
    <row r="261" ht="20.25" hidden="1" customHeight="1" outlineLevel="1">
      <c r="A261" s="121">
        <v>46150.0</v>
      </c>
      <c r="B261" s="123" t="s">
        <v>40</v>
      </c>
      <c r="C261" s="123">
        <v>123.0</v>
      </c>
      <c r="D261" s="19"/>
      <c r="E261" s="19"/>
      <c r="F261" s="102" t="s">
        <v>42</v>
      </c>
      <c r="G261" s="74" t="s">
        <v>17</v>
      </c>
      <c r="H261" s="74" t="s">
        <v>25</v>
      </c>
      <c r="I261" s="77">
        <v>1.0</v>
      </c>
      <c r="J261" s="77"/>
      <c r="K261" s="77"/>
      <c r="L261" s="77"/>
      <c r="M261" s="74"/>
      <c r="N261" s="74"/>
      <c r="O261" s="76"/>
      <c r="P261" s="76"/>
    </row>
    <row r="262" ht="20.25" hidden="1" customHeight="1" outlineLevel="1">
      <c r="A262" s="57"/>
      <c r="B262" s="58"/>
      <c r="C262" s="58"/>
      <c r="D262" s="11"/>
      <c r="E262" s="11"/>
      <c r="F262" s="58"/>
      <c r="G262" s="74" t="s">
        <v>17</v>
      </c>
      <c r="H262" s="74" t="s">
        <v>18</v>
      </c>
      <c r="I262" s="73">
        <v>27.0</v>
      </c>
      <c r="J262" s="73"/>
      <c r="K262" s="73"/>
      <c r="L262" s="73"/>
      <c r="M262" s="74"/>
      <c r="N262" s="74"/>
      <c r="O262" s="76"/>
      <c r="P262" s="76"/>
    </row>
    <row r="263" ht="20.25" hidden="1" customHeight="1" outlineLevel="1">
      <c r="A263" s="29"/>
      <c r="B263" s="123" t="s">
        <v>21</v>
      </c>
      <c r="C263" s="123">
        <v>130.0</v>
      </c>
      <c r="D263" s="19"/>
      <c r="E263" s="19"/>
      <c r="F263" s="102" t="s">
        <v>47</v>
      </c>
      <c r="G263" s="74" t="s">
        <v>17</v>
      </c>
      <c r="H263" s="74" t="s">
        <v>25</v>
      </c>
      <c r="I263" s="77">
        <v>1.0</v>
      </c>
      <c r="J263" s="77"/>
      <c r="K263" s="77"/>
      <c r="L263" s="77"/>
      <c r="M263" s="105"/>
      <c r="N263" s="74"/>
      <c r="O263" s="76"/>
      <c r="P263" s="76"/>
    </row>
    <row r="264" ht="20.25" hidden="1" customHeight="1" outlineLevel="1">
      <c r="A264" s="57"/>
      <c r="B264" s="58"/>
      <c r="C264" s="58"/>
      <c r="D264" s="11"/>
      <c r="E264" s="11"/>
      <c r="F264" s="58"/>
      <c r="G264" s="74" t="s">
        <v>17</v>
      </c>
      <c r="H264" s="74" t="s">
        <v>18</v>
      </c>
      <c r="I264" s="73">
        <v>17.0</v>
      </c>
      <c r="J264" s="73"/>
      <c r="K264" s="73"/>
      <c r="L264" s="73"/>
      <c r="M264" s="108"/>
      <c r="N264" s="74"/>
      <c r="O264" s="76"/>
      <c r="P264" s="76"/>
    </row>
    <row r="265" ht="20.25" hidden="1" customHeight="1" outlineLevel="1">
      <c r="A265" s="29"/>
      <c r="B265" s="123" t="s">
        <v>21</v>
      </c>
      <c r="C265" s="123">
        <v>102.0</v>
      </c>
      <c r="D265" s="19"/>
      <c r="E265" s="19"/>
      <c r="F265" s="26" t="s">
        <v>59</v>
      </c>
      <c r="G265" s="74" t="s">
        <v>17</v>
      </c>
      <c r="H265" s="74" t="s">
        <v>25</v>
      </c>
      <c r="I265" s="77">
        <v>1.0</v>
      </c>
      <c r="J265" s="77"/>
      <c r="K265" s="77"/>
      <c r="L265" s="77"/>
      <c r="M265" s="74"/>
      <c r="N265" s="74"/>
      <c r="O265" s="76"/>
      <c r="P265" s="76"/>
    </row>
    <row r="266" ht="20.25" hidden="1" customHeight="1" outlineLevel="1">
      <c r="A266" s="57"/>
      <c r="B266" s="58"/>
      <c r="C266" s="58"/>
      <c r="D266" s="11"/>
      <c r="E266" s="11"/>
      <c r="F266" s="58"/>
      <c r="G266" s="74" t="s">
        <v>17</v>
      </c>
      <c r="H266" s="74" t="s">
        <v>18</v>
      </c>
      <c r="I266" s="73">
        <v>15.0</v>
      </c>
      <c r="J266" s="73"/>
      <c r="K266" s="73"/>
      <c r="L266" s="73"/>
      <c r="M266" s="74"/>
      <c r="N266" s="74"/>
      <c r="O266" s="76"/>
      <c r="P266" s="76"/>
    </row>
    <row r="267" ht="20.25" hidden="1" customHeight="1" outlineLevel="1">
      <c r="A267" s="29"/>
      <c r="B267" s="123" t="s">
        <v>40</v>
      </c>
      <c r="C267" s="19">
        <v>116.0</v>
      </c>
      <c r="D267" s="19"/>
      <c r="E267" s="19"/>
      <c r="F267" s="26" t="s">
        <v>78</v>
      </c>
      <c r="G267" s="74" t="s">
        <v>17</v>
      </c>
      <c r="H267" s="74" t="s">
        <v>25</v>
      </c>
      <c r="I267" s="77">
        <v>1.0</v>
      </c>
      <c r="J267" s="77"/>
      <c r="K267" s="77"/>
      <c r="L267" s="77"/>
      <c r="M267" s="74"/>
      <c r="N267" s="74"/>
      <c r="O267" s="76"/>
      <c r="P267" s="76"/>
    </row>
    <row r="268" ht="20.25" hidden="1" customHeight="1" outlineLevel="1">
      <c r="A268" s="57"/>
      <c r="B268" s="58"/>
      <c r="C268" s="11">
        <v>121.0</v>
      </c>
      <c r="D268" s="11"/>
      <c r="E268" s="11"/>
      <c r="F268" s="58"/>
      <c r="G268" s="74" t="s">
        <v>17</v>
      </c>
      <c r="H268" s="74" t="s">
        <v>18</v>
      </c>
      <c r="I268" s="73">
        <v>19.0</v>
      </c>
      <c r="J268" s="73"/>
      <c r="K268" s="73"/>
      <c r="L268" s="73"/>
      <c r="M268" s="74"/>
      <c r="N268" s="74"/>
      <c r="O268" s="76"/>
      <c r="P268" s="76"/>
    </row>
    <row r="269" ht="20.25" hidden="1" customHeight="1" outlineLevel="1">
      <c r="A269" s="29"/>
      <c r="B269" s="123" t="s">
        <v>21</v>
      </c>
      <c r="C269" s="123">
        <v>118.0</v>
      </c>
      <c r="D269" s="19"/>
      <c r="E269" s="19"/>
      <c r="F269" s="26" t="s">
        <v>84</v>
      </c>
      <c r="G269" s="74" t="s">
        <v>17</v>
      </c>
      <c r="H269" s="74" t="s">
        <v>25</v>
      </c>
      <c r="I269" s="77">
        <v>1.0</v>
      </c>
      <c r="J269" s="77"/>
      <c r="K269" s="77"/>
      <c r="L269" s="77"/>
      <c r="M269" s="74"/>
      <c r="N269" s="74"/>
      <c r="O269" s="76"/>
      <c r="P269" s="76"/>
    </row>
    <row r="270" ht="20.25" hidden="1" customHeight="1" outlineLevel="1">
      <c r="A270" s="58"/>
      <c r="B270" s="58"/>
      <c r="C270" s="58"/>
      <c r="D270" s="11"/>
      <c r="E270" s="11"/>
      <c r="F270" s="58"/>
      <c r="G270" s="74" t="s">
        <v>17</v>
      </c>
      <c r="H270" s="74" t="s">
        <v>18</v>
      </c>
      <c r="I270" s="73">
        <v>16.0</v>
      </c>
      <c r="J270" s="73"/>
      <c r="K270" s="73"/>
      <c r="L270" s="73"/>
      <c r="M270" s="74"/>
      <c r="N270" s="74"/>
      <c r="O270" s="76"/>
      <c r="P270" s="76"/>
    </row>
    <row r="271" ht="20.25" hidden="1" customHeight="1" outlineLevel="1">
      <c r="A271" s="121">
        <v>46150.0</v>
      </c>
      <c r="B271" s="123" t="s">
        <v>45</v>
      </c>
      <c r="C271" s="19">
        <v>126.0</v>
      </c>
      <c r="D271" s="19"/>
      <c r="E271" s="19"/>
      <c r="F271" s="160" t="s">
        <v>85</v>
      </c>
      <c r="G271" s="74" t="s">
        <v>17</v>
      </c>
      <c r="H271" s="74" t="s">
        <v>18</v>
      </c>
      <c r="I271" s="160">
        <v>18.0</v>
      </c>
      <c r="J271" s="77"/>
      <c r="K271" s="160">
        <v>3080.0</v>
      </c>
      <c r="L271" s="77"/>
      <c r="M271" s="105">
        <v>400.0</v>
      </c>
      <c r="N271" s="74"/>
      <c r="O271" s="76"/>
      <c r="P271" s="76"/>
    </row>
    <row r="272" ht="20.25" hidden="1" customHeight="1" outlineLevel="1">
      <c r="A272" s="57"/>
      <c r="B272" s="57"/>
      <c r="C272" s="11">
        <v>125.0</v>
      </c>
      <c r="D272" s="11"/>
      <c r="E272" s="11"/>
      <c r="F272" s="57"/>
      <c r="G272" s="74" t="s">
        <v>17</v>
      </c>
      <c r="H272" s="74" t="s">
        <v>18</v>
      </c>
      <c r="I272" s="57"/>
      <c r="J272" s="73"/>
      <c r="K272" s="57"/>
      <c r="L272" s="73"/>
      <c r="M272" s="187"/>
      <c r="N272" s="74"/>
      <c r="O272" s="76"/>
      <c r="P272" s="76"/>
    </row>
    <row r="273" ht="20.25" hidden="1" customHeight="1" outlineLevel="1">
      <c r="A273" s="29"/>
      <c r="B273" s="29"/>
      <c r="C273" s="19">
        <v>127.0</v>
      </c>
      <c r="D273" s="19"/>
      <c r="E273" s="19"/>
      <c r="F273" s="29"/>
      <c r="G273" s="74" t="s">
        <v>17</v>
      </c>
      <c r="H273" s="74" t="s">
        <v>18</v>
      </c>
      <c r="I273" s="29"/>
      <c r="J273" s="77"/>
      <c r="K273" s="29"/>
      <c r="L273" s="77"/>
      <c r="M273" s="187"/>
      <c r="N273" s="74"/>
      <c r="O273" s="76"/>
      <c r="P273" s="76"/>
    </row>
    <row r="274" ht="20.25" hidden="1" customHeight="1" outlineLevel="1">
      <c r="A274" s="58"/>
      <c r="B274" s="58"/>
      <c r="C274" s="11">
        <v>128.0</v>
      </c>
      <c r="D274" s="11"/>
      <c r="E274" s="11"/>
      <c r="F274" s="58"/>
      <c r="G274" s="74" t="s">
        <v>17</v>
      </c>
      <c r="H274" s="74" t="s">
        <v>18</v>
      </c>
      <c r="I274" s="58"/>
      <c r="J274" s="73"/>
      <c r="K274" s="58"/>
      <c r="L274" s="73"/>
      <c r="M274" s="108"/>
      <c r="N274" s="74"/>
      <c r="O274" s="76"/>
      <c r="P274" s="76"/>
    </row>
    <row r="275" ht="20.25" hidden="1" customHeight="1" outlineLevel="1">
      <c r="A275" s="121">
        <v>46151.0</v>
      </c>
      <c r="B275" s="123" t="s">
        <v>22</v>
      </c>
      <c r="C275" s="19">
        <v>116.0</v>
      </c>
      <c r="D275" s="19"/>
      <c r="E275" s="19"/>
      <c r="F275" s="160" t="s">
        <v>85</v>
      </c>
      <c r="G275" s="74" t="s">
        <v>17</v>
      </c>
      <c r="H275" s="74" t="s">
        <v>18</v>
      </c>
      <c r="I275" s="160">
        <v>24.0</v>
      </c>
      <c r="J275" s="77"/>
      <c r="K275" s="160">
        <v>3140.0</v>
      </c>
      <c r="L275" s="77"/>
      <c r="M275" s="105">
        <v>400.0</v>
      </c>
      <c r="N275" s="74"/>
      <c r="O275" s="76"/>
      <c r="P275" s="76"/>
    </row>
    <row r="276" ht="20.25" hidden="1" customHeight="1" outlineLevel="1">
      <c r="A276" s="57"/>
      <c r="B276" s="57"/>
      <c r="C276" s="11">
        <v>117.0</v>
      </c>
      <c r="D276" s="11"/>
      <c r="E276" s="11"/>
      <c r="F276" s="57"/>
      <c r="G276" s="74" t="s">
        <v>17</v>
      </c>
      <c r="H276" s="74" t="s">
        <v>18</v>
      </c>
      <c r="I276" s="57"/>
      <c r="J276" s="73"/>
      <c r="K276" s="57"/>
      <c r="L276" s="73"/>
      <c r="M276" s="187"/>
      <c r="N276" s="74"/>
      <c r="O276" s="76"/>
      <c r="P276" s="76"/>
    </row>
    <row r="277" ht="20.25" hidden="1" customHeight="1" outlineLevel="1">
      <c r="A277" s="29"/>
      <c r="B277" s="29"/>
      <c r="C277" s="19">
        <v>118.0</v>
      </c>
      <c r="D277" s="19"/>
      <c r="E277" s="19"/>
      <c r="F277" s="29"/>
      <c r="G277" s="74" t="s">
        <v>17</v>
      </c>
      <c r="H277" s="74" t="s">
        <v>18</v>
      </c>
      <c r="I277" s="29"/>
      <c r="J277" s="77"/>
      <c r="K277" s="29"/>
      <c r="L277" s="77"/>
      <c r="M277" s="187"/>
      <c r="N277" s="74"/>
      <c r="O277" s="76"/>
      <c r="P277" s="76"/>
    </row>
    <row r="278" ht="20.25" hidden="1" customHeight="1" outlineLevel="1">
      <c r="A278" s="57"/>
      <c r="B278" s="57"/>
      <c r="C278" s="11">
        <v>119.0</v>
      </c>
      <c r="D278" s="11"/>
      <c r="E278" s="11"/>
      <c r="F278" s="57"/>
      <c r="G278" s="74" t="s">
        <v>17</v>
      </c>
      <c r="H278" s="74" t="s">
        <v>18</v>
      </c>
      <c r="I278" s="57"/>
      <c r="J278" s="73"/>
      <c r="K278" s="57"/>
      <c r="L278" s="73"/>
      <c r="M278" s="187"/>
      <c r="N278" s="74"/>
      <c r="O278" s="76"/>
      <c r="P278" s="76"/>
    </row>
    <row r="279" ht="20.25" hidden="1" customHeight="1" outlineLevel="1">
      <c r="A279" s="20"/>
      <c r="B279" s="20"/>
      <c r="C279" s="19">
        <v>121.0</v>
      </c>
      <c r="D279" s="19"/>
      <c r="E279" s="19"/>
      <c r="F279" s="20"/>
      <c r="G279" s="74" t="s">
        <v>17</v>
      </c>
      <c r="H279" s="74" t="s">
        <v>18</v>
      </c>
      <c r="I279" s="20"/>
      <c r="J279" s="77"/>
      <c r="K279" s="20"/>
      <c r="L279" s="77"/>
      <c r="M279" s="108"/>
      <c r="N279" s="74"/>
      <c r="O279" s="76"/>
      <c r="P279" s="76"/>
    </row>
    <row r="280" ht="20.25" hidden="1" customHeight="1" outlineLevel="1">
      <c r="A280" s="69">
        <v>46151.0</v>
      </c>
      <c r="B280" s="257" t="s">
        <v>21</v>
      </c>
      <c r="C280" s="11">
        <v>104.0</v>
      </c>
      <c r="D280" s="11"/>
      <c r="E280" s="11"/>
      <c r="F280" s="102" t="s">
        <v>42</v>
      </c>
      <c r="G280" s="74" t="s">
        <v>17</v>
      </c>
      <c r="H280" s="74" t="s">
        <v>25</v>
      </c>
      <c r="I280" s="73">
        <v>1.0</v>
      </c>
      <c r="J280" s="73"/>
      <c r="K280" s="73"/>
      <c r="L280" s="73"/>
      <c r="M280" s="74"/>
      <c r="N280" s="74"/>
      <c r="O280" s="76"/>
      <c r="P280" s="76"/>
    </row>
    <row r="281" ht="20.25" hidden="1" customHeight="1" outlineLevel="1">
      <c r="A281" s="29"/>
      <c r="B281" s="20"/>
      <c r="C281" s="19">
        <v>109.0</v>
      </c>
      <c r="D281" s="19"/>
      <c r="E281" s="19"/>
      <c r="F281" s="29"/>
      <c r="G281" s="74" t="s">
        <v>17</v>
      </c>
      <c r="H281" s="105" t="s">
        <v>18</v>
      </c>
      <c r="I281" s="160">
        <v>27.0</v>
      </c>
      <c r="J281" s="160"/>
      <c r="K281" s="160"/>
      <c r="L281" s="160"/>
      <c r="M281" s="105"/>
      <c r="N281" s="74"/>
      <c r="O281" s="76"/>
      <c r="P281" s="76"/>
    </row>
    <row r="282" ht="20.25" hidden="1" customHeight="1" outlineLevel="1">
      <c r="A282" s="57"/>
      <c r="B282" s="11" t="s">
        <v>40</v>
      </c>
      <c r="C282" s="11">
        <v>124.0</v>
      </c>
      <c r="D282" s="11"/>
      <c r="E282" s="11"/>
      <c r="F282" s="57"/>
      <c r="G282" s="74" t="s">
        <v>17</v>
      </c>
      <c r="H282" s="108"/>
      <c r="I282" s="58"/>
      <c r="J282" s="58"/>
      <c r="K282" s="58"/>
      <c r="L282" s="58"/>
      <c r="M282" s="108"/>
      <c r="N282" s="74"/>
      <c r="O282" s="76"/>
      <c r="P282" s="76"/>
    </row>
    <row r="283" ht="20.25" hidden="1" customHeight="1" outlineLevel="1">
      <c r="A283" s="29"/>
      <c r="B283" s="19" t="s">
        <v>122</v>
      </c>
      <c r="C283" s="19" t="s">
        <v>123</v>
      </c>
      <c r="D283" s="19"/>
      <c r="E283" s="19"/>
      <c r="F283" s="20"/>
      <c r="G283" s="74" t="s">
        <v>17</v>
      </c>
      <c r="H283" s="74" t="s">
        <v>18</v>
      </c>
      <c r="I283" s="77">
        <v>2.0</v>
      </c>
      <c r="J283" s="77"/>
      <c r="K283" s="77"/>
      <c r="L283" s="77"/>
      <c r="M283" s="74"/>
      <c r="N283" s="74"/>
      <c r="O283" s="76"/>
      <c r="P283" s="76"/>
    </row>
    <row r="284" ht="20.25" hidden="1" customHeight="1" outlineLevel="1">
      <c r="A284" s="57"/>
      <c r="B284" s="72" t="s">
        <v>21</v>
      </c>
      <c r="C284" s="11">
        <v>119.0</v>
      </c>
      <c r="D284" s="11"/>
      <c r="E284" s="11"/>
      <c r="F284" s="102" t="s">
        <v>47</v>
      </c>
      <c r="G284" s="74" t="s">
        <v>17</v>
      </c>
      <c r="H284" s="74" t="s">
        <v>25</v>
      </c>
      <c r="I284" s="73">
        <v>1.0</v>
      </c>
      <c r="J284" s="73"/>
      <c r="K284" s="73"/>
      <c r="L284" s="73"/>
      <c r="M284" s="74"/>
      <c r="N284" s="74"/>
      <c r="O284" s="76"/>
      <c r="P284" s="76"/>
    </row>
    <row r="285" ht="20.25" hidden="1" customHeight="1" outlineLevel="1">
      <c r="A285" s="29"/>
      <c r="B285" s="20"/>
      <c r="C285" s="19">
        <v>121.0</v>
      </c>
      <c r="D285" s="19"/>
      <c r="E285" s="19"/>
      <c r="F285" s="29"/>
      <c r="G285" s="74" t="s">
        <v>17</v>
      </c>
      <c r="H285" s="74" t="s">
        <v>18</v>
      </c>
      <c r="I285" s="77">
        <v>15.0</v>
      </c>
      <c r="J285" s="77"/>
      <c r="K285" s="77"/>
      <c r="L285" s="77"/>
      <c r="M285" s="74"/>
      <c r="N285" s="74"/>
      <c r="O285" s="76"/>
      <c r="P285" s="76"/>
    </row>
    <row r="286" ht="20.25" hidden="1" customHeight="1" outlineLevel="1">
      <c r="A286" s="57"/>
      <c r="B286" s="11" t="s">
        <v>124</v>
      </c>
      <c r="C286" s="11" t="s">
        <v>112</v>
      </c>
      <c r="D286" s="11"/>
      <c r="E286" s="11"/>
      <c r="F286" s="58"/>
      <c r="G286" s="74" t="s">
        <v>17</v>
      </c>
      <c r="H286" s="74" t="s">
        <v>18</v>
      </c>
      <c r="I286" s="73">
        <v>1.0</v>
      </c>
      <c r="J286" s="73"/>
      <c r="K286" s="73"/>
      <c r="L286" s="73"/>
      <c r="M286" s="74"/>
      <c r="N286" s="74"/>
      <c r="O286" s="76"/>
      <c r="P286" s="76"/>
    </row>
    <row r="287" ht="20.25" hidden="1" customHeight="1" outlineLevel="1">
      <c r="A287" s="29"/>
      <c r="B287" s="123" t="s">
        <v>21</v>
      </c>
      <c r="C287" s="123">
        <v>102.0</v>
      </c>
      <c r="D287" s="19"/>
      <c r="E287" s="19"/>
      <c r="F287" s="26" t="s">
        <v>59</v>
      </c>
      <c r="G287" s="74" t="s">
        <v>17</v>
      </c>
      <c r="H287" s="74" t="s">
        <v>25</v>
      </c>
      <c r="I287" s="77">
        <v>1.0</v>
      </c>
      <c r="J287" s="77"/>
      <c r="K287" s="77"/>
      <c r="L287" s="77"/>
      <c r="M287" s="74"/>
      <c r="N287" s="74"/>
      <c r="O287" s="76"/>
      <c r="P287" s="76"/>
    </row>
    <row r="288" ht="20.25" hidden="1" customHeight="1" outlineLevel="1">
      <c r="A288" s="57"/>
      <c r="B288" s="58"/>
      <c r="C288" s="58"/>
      <c r="D288" s="11"/>
      <c r="E288" s="11"/>
      <c r="F288" s="58"/>
      <c r="G288" s="74" t="s">
        <v>17</v>
      </c>
      <c r="H288" s="74" t="s">
        <v>18</v>
      </c>
      <c r="I288" s="73">
        <v>15.0</v>
      </c>
      <c r="J288" s="73"/>
      <c r="K288" s="73"/>
      <c r="L288" s="73"/>
      <c r="M288" s="74"/>
      <c r="N288" s="74"/>
      <c r="O288" s="76"/>
      <c r="P288" s="76"/>
    </row>
    <row r="289" ht="20.25" hidden="1" customHeight="1" outlineLevel="1">
      <c r="A289" s="29"/>
      <c r="B289" s="123" t="s">
        <v>40</v>
      </c>
      <c r="C289" s="123">
        <v>115.0</v>
      </c>
      <c r="D289" s="19"/>
      <c r="E289" s="19"/>
      <c r="F289" s="26" t="s">
        <v>78</v>
      </c>
      <c r="G289" s="74" t="s">
        <v>17</v>
      </c>
      <c r="H289" s="74" t="s">
        <v>25</v>
      </c>
      <c r="I289" s="77">
        <v>1.0</v>
      </c>
      <c r="J289" s="77"/>
      <c r="K289" s="77"/>
      <c r="L289" s="77"/>
      <c r="M289" s="74"/>
      <c r="N289" s="74"/>
      <c r="O289" s="76"/>
      <c r="P289" s="76"/>
    </row>
    <row r="290" ht="20.25" hidden="1" customHeight="1" outlineLevel="1">
      <c r="A290" s="57"/>
      <c r="B290" s="58"/>
      <c r="C290" s="58"/>
      <c r="D290" s="11"/>
      <c r="E290" s="11"/>
      <c r="F290" s="58"/>
      <c r="G290" s="74" t="s">
        <v>17</v>
      </c>
      <c r="H290" s="74" t="s">
        <v>18</v>
      </c>
      <c r="I290" s="73">
        <v>17.0</v>
      </c>
      <c r="J290" s="73"/>
      <c r="K290" s="73"/>
      <c r="L290" s="73"/>
      <c r="M290" s="74"/>
      <c r="N290" s="74"/>
      <c r="O290" s="76"/>
      <c r="P290" s="76"/>
    </row>
    <row r="291" ht="20.25" hidden="1" customHeight="1" outlineLevel="1">
      <c r="A291" s="29"/>
      <c r="B291" s="123" t="s">
        <v>21</v>
      </c>
      <c r="C291" s="123">
        <v>113.0</v>
      </c>
      <c r="D291" s="19"/>
      <c r="E291" s="19"/>
      <c r="F291" s="26" t="s">
        <v>84</v>
      </c>
      <c r="G291" s="74" t="s">
        <v>17</v>
      </c>
      <c r="H291" s="74" t="s">
        <v>25</v>
      </c>
      <c r="I291" s="77">
        <v>1.0</v>
      </c>
      <c r="J291" s="77"/>
      <c r="K291" s="77"/>
      <c r="L291" s="77"/>
      <c r="M291" s="74"/>
      <c r="N291" s="74"/>
      <c r="O291" s="76"/>
      <c r="P291" s="76"/>
    </row>
    <row r="292" ht="20.25" hidden="1" customHeight="1" outlineLevel="1">
      <c r="A292" s="58"/>
      <c r="B292" s="58"/>
      <c r="C292" s="58"/>
      <c r="D292" s="11"/>
      <c r="E292" s="11"/>
      <c r="F292" s="58"/>
      <c r="G292" s="74" t="s">
        <v>17</v>
      </c>
      <c r="H292" s="74" t="s">
        <v>18</v>
      </c>
      <c r="I292" s="73">
        <v>18.0</v>
      </c>
      <c r="J292" s="73"/>
      <c r="K292" s="73"/>
      <c r="L292" s="73"/>
      <c r="M292" s="74"/>
      <c r="N292" s="74"/>
      <c r="O292" s="76"/>
      <c r="P292" s="76"/>
    </row>
    <row r="293" ht="20.25" hidden="1" customHeight="1" outlineLevel="1">
      <c r="A293" s="121">
        <v>46152.0</v>
      </c>
      <c r="B293" s="259" t="s">
        <v>40</v>
      </c>
      <c r="C293" s="123">
        <v>112.0</v>
      </c>
      <c r="D293" s="19"/>
      <c r="E293" s="19"/>
      <c r="F293" s="102" t="s">
        <v>42</v>
      </c>
      <c r="G293" s="74" t="s">
        <v>17</v>
      </c>
      <c r="H293" s="74" t="s">
        <v>25</v>
      </c>
      <c r="I293" s="77">
        <v>1.0</v>
      </c>
      <c r="J293" s="77"/>
      <c r="K293" s="77"/>
      <c r="L293" s="77"/>
      <c r="M293" s="74"/>
      <c r="N293" s="74"/>
      <c r="O293" s="76"/>
      <c r="P293" s="76"/>
    </row>
    <row r="294" ht="20.25" hidden="1" customHeight="1" outlineLevel="1">
      <c r="A294" s="57"/>
      <c r="B294" s="58"/>
      <c r="C294" s="58"/>
      <c r="D294" s="11"/>
      <c r="E294" s="11"/>
      <c r="F294" s="58"/>
      <c r="G294" s="74" t="s">
        <v>17</v>
      </c>
      <c r="H294" s="74" t="s">
        <v>18</v>
      </c>
      <c r="I294" s="73">
        <v>18.0</v>
      </c>
      <c r="J294" s="73"/>
      <c r="K294" s="73"/>
      <c r="L294" s="73"/>
      <c r="M294" s="74"/>
      <c r="N294" s="74"/>
      <c r="O294" s="76"/>
      <c r="P294" s="76"/>
    </row>
    <row r="295" ht="20.25" hidden="1" customHeight="1" outlineLevel="1">
      <c r="A295" s="29"/>
      <c r="B295" s="259" t="s">
        <v>40</v>
      </c>
      <c r="C295" s="123">
        <v>114.0</v>
      </c>
      <c r="D295" s="19"/>
      <c r="E295" s="19"/>
      <c r="F295" s="26" t="s">
        <v>59</v>
      </c>
      <c r="G295" s="74" t="s">
        <v>17</v>
      </c>
      <c r="H295" s="74" t="s">
        <v>25</v>
      </c>
      <c r="I295" s="77">
        <v>1.0</v>
      </c>
      <c r="J295" s="77"/>
      <c r="K295" s="77"/>
      <c r="L295" s="77"/>
      <c r="M295" s="74"/>
      <c r="N295" s="74"/>
      <c r="O295" s="76"/>
      <c r="P295" s="76"/>
    </row>
    <row r="296" ht="20.25" hidden="1" customHeight="1" outlineLevel="1">
      <c r="A296" s="57"/>
      <c r="B296" s="58"/>
      <c r="C296" s="58"/>
      <c r="D296" s="11"/>
      <c r="E296" s="11"/>
      <c r="F296" s="58"/>
      <c r="G296" s="74" t="s">
        <v>17</v>
      </c>
      <c r="H296" s="74" t="s">
        <v>18</v>
      </c>
      <c r="I296" s="73">
        <v>16.0</v>
      </c>
      <c r="J296" s="73"/>
      <c r="K296" s="73"/>
      <c r="L296" s="73"/>
      <c r="M296" s="74"/>
      <c r="N296" s="74"/>
      <c r="O296" s="76"/>
      <c r="P296" s="76"/>
    </row>
    <row r="297" ht="20.25" hidden="1" customHeight="1" outlineLevel="1">
      <c r="A297" s="29"/>
      <c r="B297" s="259" t="s">
        <v>40</v>
      </c>
      <c r="C297" s="123">
        <v>110.0</v>
      </c>
      <c r="D297" s="19"/>
      <c r="E297" s="19"/>
      <c r="F297" s="26" t="s">
        <v>78</v>
      </c>
      <c r="G297" s="74" t="s">
        <v>17</v>
      </c>
      <c r="H297" s="74" t="s">
        <v>25</v>
      </c>
      <c r="I297" s="77">
        <v>1.0</v>
      </c>
      <c r="J297" s="77"/>
      <c r="K297" s="77"/>
      <c r="L297" s="77"/>
      <c r="M297" s="74"/>
      <c r="N297" s="74"/>
      <c r="O297" s="76"/>
      <c r="P297" s="76"/>
    </row>
    <row r="298" ht="20.25" hidden="1" customHeight="1" outlineLevel="1">
      <c r="A298" s="57"/>
      <c r="B298" s="58"/>
      <c r="C298" s="58"/>
      <c r="D298" s="11"/>
      <c r="E298" s="11"/>
      <c r="F298" s="58"/>
      <c r="G298" s="74" t="s">
        <v>17</v>
      </c>
      <c r="H298" s="74" t="s">
        <v>18</v>
      </c>
      <c r="I298" s="73">
        <v>15.0</v>
      </c>
      <c r="J298" s="73"/>
      <c r="K298" s="73"/>
      <c r="L298" s="73"/>
      <c r="M298" s="74"/>
      <c r="N298" s="74"/>
      <c r="O298" s="76"/>
      <c r="P298" s="76"/>
    </row>
    <row r="299" ht="20.25" hidden="1" customHeight="1" outlineLevel="1">
      <c r="A299" s="29"/>
      <c r="B299" s="259" t="s">
        <v>40</v>
      </c>
      <c r="C299" s="123">
        <v>113.0</v>
      </c>
      <c r="D299" s="19"/>
      <c r="E299" s="19"/>
      <c r="F299" s="26" t="s">
        <v>84</v>
      </c>
      <c r="G299" s="74" t="s">
        <v>17</v>
      </c>
      <c r="H299" s="74" t="s">
        <v>25</v>
      </c>
      <c r="I299" s="77">
        <v>1.0</v>
      </c>
      <c r="J299" s="77"/>
      <c r="K299" s="77"/>
      <c r="L299" s="77"/>
      <c r="M299" s="74"/>
      <c r="N299" s="74"/>
      <c r="O299" s="76"/>
      <c r="P299" s="76"/>
    </row>
    <row r="300" ht="20.25" hidden="1" customHeight="1" outlineLevel="1">
      <c r="A300" s="57"/>
      <c r="B300" s="58"/>
      <c r="C300" s="58"/>
      <c r="D300" s="11"/>
      <c r="E300" s="11"/>
      <c r="F300" s="58"/>
      <c r="G300" s="74" t="s">
        <v>17</v>
      </c>
      <c r="H300" s="74" t="s">
        <v>18</v>
      </c>
      <c r="I300" s="73">
        <v>19.0</v>
      </c>
      <c r="J300" s="73"/>
      <c r="K300" s="73"/>
      <c r="L300" s="73"/>
      <c r="M300" s="74"/>
      <c r="N300" s="74"/>
      <c r="O300" s="76"/>
      <c r="P300" s="76"/>
    </row>
    <row r="301" ht="20.25" hidden="1" customHeight="1" outlineLevel="1">
      <c r="A301" s="29"/>
      <c r="B301" s="259" t="s">
        <v>40</v>
      </c>
      <c r="C301" s="123">
        <v>129.0</v>
      </c>
      <c r="D301" s="19"/>
      <c r="E301" s="19"/>
      <c r="F301" s="102" t="s">
        <v>47</v>
      </c>
      <c r="G301" s="74" t="s">
        <v>17</v>
      </c>
      <c r="H301" s="74" t="s">
        <v>18</v>
      </c>
      <c r="I301" s="77">
        <v>14.0</v>
      </c>
      <c r="J301" s="77"/>
      <c r="K301" s="77"/>
      <c r="L301" s="77"/>
      <c r="M301" s="74"/>
      <c r="N301" s="74"/>
      <c r="O301" s="76"/>
      <c r="P301" s="76"/>
    </row>
    <row r="302" ht="20.25" hidden="1" customHeight="1" outlineLevel="1">
      <c r="A302" s="58"/>
      <c r="B302" s="58"/>
      <c r="C302" s="58"/>
      <c r="D302" s="11"/>
      <c r="E302" s="11"/>
      <c r="F302" s="58"/>
      <c r="G302" s="74" t="s">
        <v>17</v>
      </c>
      <c r="H302" s="74" t="s">
        <v>25</v>
      </c>
      <c r="I302" s="73">
        <v>1.0</v>
      </c>
      <c r="J302" s="73"/>
      <c r="K302" s="73"/>
      <c r="L302" s="73"/>
      <c r="M302" s="74"/>
      <c r="N302" s="74"/>
      <c r="O302" s="76"/>
      <c r="P302" s="76"/>
    </row>
    <row r="303" ht="20.25" hidden="1" customHeight="1" outlineLevel="1">
      <c r="A303" s="261">
        <v>46152.0</v>
      </c>
      <c r="B303" s="262" t="s">
        <v>22</v>
      </c>
      <c r="C303" s="263">
        <v>118.0</v>
      </c>
      <c r="D303" s="263"/>
      <c r="E303" s="263"/>
      <c r="F303" s="264" t="s">
        <v>85</v>
      </c>
      <c r="G303" s="265" t="s">
        <v>17</v>
      </c>
      <c r="H303" s="265" t="s">
        <v>18</v>
      </c>
      <c r="I303" s="264">
        <v>16.0</v>
      </c>
      <c r="J303" s="265"/>
      <c r="K303" s="264">
        <v>2400.0</v>
      </c>
      <c r="L303" s="265"/>
      <c r="M303" s="264">
        <v>400.0</v>
      </c>
      <c r="N303" s="265"/>
      <c r="O303" s="266"/>
      <c r="P303" s="266"/>
    </row>
    <row r="304" ht="20.25" hidden="1" customHeight="1" outlineLevel="1">
      <c r="A304" s="57"/>
      <c r="B304" s="57"/>
      <c r="C304" s="263">
        <v>119.0</v>
      </c>
      <c r="D304" s="263"/>
      <c r="E304" s="263"/>
      <c r="F304" s="57"/>
      <c r="G304" s="265" t="s">
        <v>17</v>
      </c>
      <c r="H304" s="265" t="s">
        <v>18</v>
      </c>
      <c r="I304" s="57"/>
      <c r="J304" s="265"/>
      <c r="K304" s="57"/>
      <c r="L304" s="265"/>
      <c r="M304" s="29"/>
      <c r="N304" s="265"/>
      <c r="O304" s="266"/>
      <c r="P304" s="266"/>
    </row>
    <row r="305" ht="20.25" hidden="1" customHeight="1" outlineLevel="1">
      <c r="A305" s="29"/>
      <c r="B305" s="29"/>
      <c r="C305" s="263">
        <v>120.0</v>
      </c>
      <c r="D305" s="263"/>
      <c r="E305" s="263"/>
      <c r="F305" s="29"/>
      <c r="G305" s="265" t="s">
        <v>17</v>
      </c>
      <c r="H305" s="265" t="s">
        <v>18</v>
      </c>
      <c r="I305" s="29"/>
      <c r="J305" s="265"/>
      <c r="K305" s="29"/>
      <c r="L305" s="265"/>
      <c r="M305" s="57"/>
      <c r="N305" s="265"/>
      <c r="O305" s="266"/>
      <c r="P305" s="266"/>
    </row>
    <row r="306" ht="20.25" hidden="1" customHeight="1" outlineLevel="1">
      <c r="A306" s="58"/>
      <c r="B306" s="58"/>
      <c r="C306" s="263">
        <v>121.0</v>
      </c>
      <c r="D306" s="263"/>
      <c r="E306" s="263"/>
      <c r="F306" s="58"/>
      <c r="G306" s="265" t="s">
        <v>17</v>
      </c>
      <c r="H306" s="265" t="s">
        <v>18</v>
      </c>
      <c r="I306" s="58"/>
      <c r="J306" s="265"/>
      <c r="K306" s="58"/>
      <c r="L306" s="265"/>
      <c r="M306" s="20"/>
      <c r="N306" s="265"/>
      <c r="O306" s="266"/>
      <c r="P306" s="266"/>
    </row>
    <row r="307" ht="20.25" hidden="1" customHeight="1" outlineLevel="1">
      <c r="A307" s="121">
        <v>46153.0</v>
      </c>
      <c r="B307" s="19" t="s">
        <v>40</v>
      </c>
      <c r="C307" s="19">
        <v>114.0</v>
      </c>
      <c r="D307" s="19"/>
      <c r="E307" s="19"/>
      <c r="F307" s="185" t="s">
        <v>42</v>
      </c>
      <c r="G307" s="74" t="s">
        <v>17</v>
      </c>
      <c r="H307" s="74" t="s">
        <v>18</v>
      </c>
      <c r="I307" s="77">
        <v>22.0</v>
      </c>
      <c r="J307" s="77"/>
      <c r="K307" s="77"/>
      <c r="L307" s="77"/>
      <c r="M307" s="74"/>
      <c r="N307" s="74"/>
      <c r="O307" s="76"/>
      <c r="P307" s="76"/>
    </row>
    <row r="308" ht="20.25" hidden="1" customHeight="1" outlineLevel="1">
      <c r="A308" s="57"/>
      <c r="B308" s="72" t="s">
        <v>21</v>
      </c>
      <c r="C308" s="11">
        <v>116.0</v>
      </c>
      <c r="D308" s="11"/>
      <c r="E308" s="11"/>
      <c r="F308" s="26" t="s">
        <v>59</v>
      </c>
      <c r="G308" s="74" t="s">
        <v>17</v>
      </c>
      <c r="H308" s="74" t="s">
        <v>25</v>
      </c>
      <c r="I308" s="73">
        <v>1.0</v>
      </c>
      <c r="J308" s="73"/>
      <c r="K308" s="73"/>
      <c r="L308" s="73"/>
      <c r="M308" s="74"/>
      <c r="N308" s="74"/>
      <c r="O308" s="76"/>
      <c r="P308" s="76"/>
    </row>
    <row r="309" ht="20.25" hidden="1" customHeight="1" outlineLevel="1">
      <c r="A309" s="29"/>
      <c r="B309" s="20"/>
      <c r="C309" s="19">
        <v>102.0</v>
      </c>
      <c r="D309" s="19"/>
      <c r="E309" s="19"/>
      <c r="F309" s="20"/>
      <c r="G309" s="74" t="s">
        <v>17</v>
      </c>
      <c r="H309" s="74" t="s">
        <v>18</v>
      </c>
      <c r="I309" s="77">
        <v>15.0</v>
      </c>
      <c r="J309" s="77"/>
      <c r="K309" s="77"/>
      <c r="L309" s="77"/>
      <c r="M309" s="74"/>
      <c r="N309" s="74"/>
      <c r="O309" s="76"/>
      <c r="P309" s="76"/>
    </row>
    <row r="310" ht="20.25" hidden="1" customHeight="1" outlineLevel="1">
      <c r="A310" s="57"/>
      <c r="B310" s="72" t="s">
        <v>40</v>
      </c>
      <c r="C310" s="72">
        <v>115.0</v>
      </c>
      <c r="D310" s="11"/>
      <c r="E310" s="11"/>
      <c r="F310" s="26" t="s">
        <v>78</v>
      </c>
      <c r="G310" s="74" t="s">
        <v>17</v>
      </c>
      <c r="H310" s="74" t="s">
        <v>25</v>
      </c>
      <c r="I310" s="73">
        <v>1.0</v>
      </c>
      <c r="J310" s="73"/>
      <c r="K310" s="73"/>
      <c r="L310" s="73"/>
      <c r="M310" s="74"/>
      <c r="N310" s="74"/>
      <c r="O310" s="76"/>
      <c r="P310" s="76"/>
    </row>
    <row r="311" ht="20.25" hidden="1" customHeight="1" outlineLevel="1">
      <c r="A311" s="29"/>
      <c r="B311" s="20"/>
      <c r="C311" s="20"/>
      <c r="D311" s="19"/>
      <c r="E311" s="19"/>
      <c r="F311" s="20"/>
      <c r="G311" s="74" t="s">
        <v>17</v>
      </c>
      <c r="H311" s="74" t="s">
        <v>18</v>
      </c>
      <c r="I311" s="77">
        <v>19.0</v>
      </c>
      <c r="J311" s="77"/>
      <c r="K311" s="77"/>
      <c r="L311" s="77"/>
      <c r="M311" s="74"/>
      <c r="N311" s="74"/>
      <c r="O311" s="76"/>
      <c r="P311" s="76"/>
    </row>
    <row r="312" ht="20.25" hidden="1" customHeight="1" outlineLevel="1">
      <c r="A312" s="57"/>
      <c r="B312" s="72" t="s">
        <v>21</v>
      </c>
      <c r="C312" s="72">
        <v>113.0</v>
      </c>
      <c r="D312" s="11"/>
      <c r="E312" s="11"/>
      <c r="F312" s="26" t="s">
        <v>84</v>
      </c>
      <c r="G312" s="74" t="s">
        <v>17</v>
      </c>
      <c r="H312" s="74" t="s">
        <v>25</v>
      </c>
      <c r="I312" s="73">
        <v>1.0</v>
      </c>
      <c r="J312" s="73"/>
      <c r="K312" s="73"/>
      <c r="L312" s="73"/>
      <c r="M312" s="74"/>
      <c r="N312" s="74"/>
      <c r="O312" s="76"/>
      <c r="P312" s="76"/>
    </row>
    <row r="313" ht="20.25" hidden="1" customHeight="1" outlineLevel="1">
      <c r="A313" s="29"/>
      <c r="B313" s="20"/>
      <c r="C313" s="20"/>
      <c r="D313" s="19"/>
      <c r="E313" s="19"/>
      <c r="F313" s="20"/>
      <c r="G313" s="74" t="s">
        <v>17</v>
      </c>
      <c r="H313" s="74" t="s">
        <v>18</v>
      </c>
      <c r="I313" s="77">
        <v>19.0</v>
      </c>
      <c r="J313" s="77"/>
      <c r="K313" s="77"/>
      <c r="L313" s="77"/>
      <c r="M313" s="74"/>
      <c r="N313" s="74"/>
      <c r="O313" s="76"/>
      <c r="P313" s="76"/>
    </row>
    <row r="314" ht="20.25" hidden="1" customHeight="1" outlineLevel="1">
      <c r="A314" s="57"/>
      <c r="B314" s="72" t="s">
        <v>21</v>
      </c>
      <c r="C314" s="72">
        <v>129.0</v>
      </c>
      <c r="D314" s="11"/>
      <c r="E314" s="11"/>
      <c r="F314" s="102" t="s">
        <v>47</v>
      </c>
      <c r="G314" s="74" t="s">
        <v>17</v>
      </c>
      <c r="H314" s="74" t="s">
        <v>25</v>
      </c>
      <c r="I314" s="73">
        <v>1.0</v>
      </c>
      <c r="J314" s="73"/>
      <c r="K314" s="73"/>
      <c r="L314" s="73"/>
      <c r="M314" s="74"/>
      <c r="N314" s="74"/>
      <c r="O314" s="76"/>
      <c r="P314" s="76"/>
    </row>
    <row r="315" ht="20.25" hidden="1" customHeight="1" outlineLevel="1">
      <c r="A315" s="20"/>
      <c r="B315" s="20"/>
      <c r="C315" s="20"/>
      <c r="D315" s="19"/>
      <c r="E315" s="19"/>
      <c r="F315" s="20"/>
      <c r="G315" s="74" t="s">
        <v>17</v>
      </c>
      <c r="H315" s="74" t="s">
        <v>18</v>
      </c>
      <c r="I315" s="77">
        <v>15.0</v>
      </c>
      <c r="J315" s="77"/>
      <c r="K315" s="77"/>
      <c r="L315" s="77"/>
      <c r="M315" s="74"/>
      <c r="N315" s="74"/>
      <c r="O315" s="76"/>
      <c r="P315" s="76"/>
    </row>
    <row r="316" ht="20.25" hidden="1" customHeight="1" outlineLevel="1">
      <c r="A316" s="69">
        <v>46153.0</v>
      </c>
      <c r="B316" s="72" t="s">
        <v>22</v>
      </c>
      <c r="C316" s="11">
        <v>110.0</v>
      </c>
      <c r="D316" s="11"/>
      <c r="E316" s="11"/>
      <c r="F316" s="75" t="s">
        <v>85</v>
      </c>
      <c r="G316" s="74" t="s">
        <v>17</v>
      </c>
      <c r="H316" s="74" t="s">
        <v>18</v>
      </c>
      <c r="I316" s="75">
        <v>19.0</v>
      </c>
      <c r="J316" s="73"/>
      <c r="K316" s="75">
        <v>2425.0</v>
      </c>
      <c r="L316" s="73"/>
      <c r="M316" s="75">
        <v>400.0</v>
      </c>
      <c r="N316" s="73"/>
      <c r="O316" s="269"/>
      <c r="P316" s="269"/>
    </row>
    <row r="317" ht="20.25" hidden="1" customHeight="1" outlineLevel="1">
      <c r="A317" s="20"/>
      <c r="B317" s="20"/>
      <c r="C317" s="19">
        <v>111.0</v>
      </c>
      <c r="D317" s="19"/>
      <c r="E317" s="19"/>
      <c r="F317" s="20"/>
      <c r="G317" s="74" t="s">
        <v>17</v>
      </c>
      <c r="H317" s="74" t="s">
        <v>18</v>
      </c>
      <c r="I317" s="20"/>
      <c r="J317" s="77"/>
      <c r="K317" s="20"/>
      <c r="L317" s="77"/>
      <c r="M317" s="20"/>
      <c r="N317" s="77"/>
      <c r="O317" s="270"/>
      <c r="P317" s="270"/>
    </row>
    <row r="318" ht="20.25" hidden="1" customHeight="1" outlineLevel="1">
      <c r="A318" s="69">
        <v>46154.0</v>
      </c>
      <c r="B318" s="72" t="s">
        <v>40</v>
      </c>
      <c r="C318" s="72">
        <v>127.0</v>
      </c>
      <c r="D318" s="11"/>
      <c r="E318" s="11"/>
      <c r="F318" s="102" t="s">
        <v>42</v>
      </c>
      <c r="G318" s="74" t="s">
        <v>17</v>
      </c>
      <c r="H318" s="74" t="s">
        <v>25</v>
      </c>
      <c r="I318" s="73">
        <v>1.0</v>
      </c>
      <c r="J318" s="73"/>
      <c r="K318" s="73"/>
      <c r="L318" s="73"/>
      <c r="M318" s="74"/>
      <c r="N318" s="74"/>
      <c r="O318" s="76"/>
      <c r="P318" s="76"/>
    </row>
    <row r="319" ht="20.25" hidden="1" customHeight="1" outlineLevel="1">
      <c r="A319" s="29"/>
      <c r="B319" s="20"/>
      <c r="C319" s="20"/>
      <c r="D319" s="19"/>
      <c r="E319" s="19"/>
      <c r="F319" s="20"/>
      <c r="G319" s="74" t="s">
        <v>17</v>
      </c>
      <c r="H319" s="74" t="s">
        <v>18</v>
      </c>
      <c r="I319" s="77">
        <v>18.0</v>
      </c>
      <c r="J319" s="77"/>
      <c r="K319" s="77"/>
      <c r="L319" s="77"/>
      <c r="M319" s="74"/>
      <c r="N319" s="74"/>
      <c r="O319" s="76"/>
      <c r="P319" s="76"/>
    </row>
    <row r="320" ht="20.25" hidden="1" customHeight="1" outlineLevel="1">
      <c r="A320" s="57"/>
      <c r="B320" s="72" t="s">
        <v>21</v>
      </c>
      <c r="C320" s="11">
        <v>115.0</v>
      </c>
      <c r="D320" s="11"/>
      <c r="E320" s="11"/>
      <c r="F320" s="26" t="s">
        <v>59</v>
      </c>
      <c r="G320" s="74" t="s">
        <v>17</v>
      </c>
      <c r="H320" s="74" t="s">
        <v>25</v>
      </c>
      <c r="I320" s="271">
        <v>1.0</v>
      </c>
      <c r="J320" s="73"/>
      <c r="K320" s="73"/>
      <c r="L320" s="73"/>
      <c r="M320" s="74"/>
      <c r="N320" s="74"/>
      <c r="O320" s="76"/>
      <c r="P320" s="76"/>
    </row>
    <row r="321" ht="20.25" hidden="1" customHeight="1" outlineLevel="1">
      <c r="A321" s="29"/>
      <c r="B321" s="20"/>
      <c r="C321" s="19">
        <v>116.0</v>
      </c>
      <c r="D321" s="19"/>
      <c r="E321" s="19"/>
      <c r="F321" s="20"/>
      <c r="G321" s="74" t="s">
        <v>17</v>
      </c>
      <c r="H321" s="74" t="s">
        <v>18</v>
      </c>
      <c r="I321" s="77">
        <v>16.0</v>
      </c>
      <c r="J321" s="77"/>
      <c r="K321" s="77"/>
      <c r="L321" s="77"/>
      <c r="M321" s="74"/>
      <c r="N321" s="74"/>
      <c r="O321" s="76"/>
      <c r="P321" s="76"/>
    </row>
    <row r="322" ht="20.25" hidden="1" customHeight="1" outlineLevel="1">
      <c r="A322" s="57"/>
      <c r="B322" s="72" t="s">
        <v>40</v>
      </c>
      <c r="C322" s="11">
        <v>120.0</v>
      </c>
      <c r="D322" s="11"/>
      <c r="E322" s="11"/>
      <c r="F322" s="26" t="s">
        <v>78</v>
      </c>
      <c r="G322" s="74" t="s">
        <v>17</v>
      </c>
      <c r="H322" s="74" t="s">
        <v>25</v>
      </c>
      <c r="I322" s="73">
        <v>1.0</v>
      </c>
      <c r="J322" s="73"/>
      <c r="K322" s="73"/>
      <c r="L322" s="73"/>
      <c r="M322" s="74"/>
      <c r="N322" s="74"/>
      <c r="O322" s="76"/>
      <c r="P322" s="76"/>
    </row>
    <row r="323" ht="20.25" hidden="1" customHeight="1" outlineLevel="1">
      <c r="A323" s="29"/>
      <c r="B323" s="20"/>
      <c r="C323" s="19">
        <v>114.0</v>
      </c>
      <c r="D323" s="19"/>
      <c r="E323" s="19"/>
      <c r="F323" s="20"/>
      <c r="G323" s="74" t="s">
        <v>17</v>
      </c>
      <c r="H323" s="74" t="s">
        <v>18</v>
      </c>
      <c r="I323" s="77">
        <v>17.0</v>
      </c>
      <c r="J323" s="77"/>
      <c r="K323" s="77"/>
      <c r="L323" s="77"/>
      <c r="M323" s="74"/>
      <c r="N323" s="74"/>
      <c r="O323" s="76"/>
      <c r="P323" s="76"/>
    </row>
    <row r="324" ht="20.25" hidden="1" customHeight="1" outlineLevel="1">
      <c r="A324" s="57"/>
      <c r="B324" s="72" t="s">
        <v>21</v>
      </c>
      <c r="C324" s="11">
        <v>113.0</v>
      </c>
      <c r="D324" s="11"/>
      <c r="E324" s="11"/>
      <c r="F324" s="26" t="s">
        <v>84</v>
      </c>
      <c r="G324" s="74" t="s">
        <v>17</v>
      </c>
      <c r="H324" s="74" t="s">
        <v>25</v>
      </c>
      <c r="I324" s="73">
        <v>1.0</v>
      </c>
      <c r="J324" s="73"/>
      <c r="K324" s="73"/>
      <c r="L324" s="73"/>
      <c r="M324" s="74"/>
      <c r="N324" s="74"/>
      <c r="O324" s="76"/>
      <c r="P324" s="76"/>
    </row>
    <row r="325" ht="20.25" hidden="1" customHeight="1" outlineLevel="1">
      <c r="A325" s="29"/>
      <c r="B325" s="20"/>
      <c r="C325" s="19">
        <v>119.0</v>
      </c>
      <c r="D325" s="19"/>
      <c r="E325" s="19"/>
      <c r="F325" s="20"/>
      <c r="G325" s="74" t="s">
        <v>17</v>
      </c>
      <c r="H325" s="74" t="s">
        <v>18</v>
      </c>
      <c r="I325" s="77">
        <v>18.0</v>
      </c>
      <c r="J325" s="77"/>
      <c r="K325" s="77"/>
      <c r="L325" s="77"/>
      <c r="M325" s="74"/>
      <c r="N325" s="74"/>
      <c r="O325" s="76"/>
      <c r="P325" s="76"/>
    </row>
    <row r="326" ht="20.25" hidden="1" customHeight="1" outlineLevel="1">
      <c r="A326" s="57"/>
      <c r="B326" s="72" t="s">
        <v>21</v>
      </c>
      <c r="C326" s="11">
        <v>129.0</v>
      </c>
      <c r="D326" s="11"/>
      <c r="E326" s="11"/>
      <c r="F326" s="102" t="s">
        <v>47</v>
      </c>
      <c r="G326" s="74" t="s">
        <v>17</v>
      </c>
      <c r="H326" s="74" t="s">
        <v>25</v>
      </c>
      <c r="I326" s="73">
        <v>1.0</v>
      </c>
      <c r="J326" s="73"/>
      <c r="K326" s="73"/>
      <c r="L326" s="73"/>
      <c r="M326" s="74"/>
      <c r="N326" s="74"/>
      <c r="O326" s="76"/>
      <c r="P326" s="76"/>
    </row>
    <row r="327" ht="20.25" hidden="1" customHeight="1" outlineLevel="1">
      <c r="A327" s="20"/>
      <c r="B327" s="20"/>
      <c r="C327" s="19">
        <v>125.0</v>
      </c>
      <c r="D327" s="19"/>
      <c r="E327" s="19"/>
      <c r="F327" s="20"/>
      <c r="G327" s="74" t="s">
        <v>17</v>
      </c>
      <c r="H327" s="74" t="s">
        <v>18</v>
      </c>
      <c r="I327" s="77">
        <v>17.0</v>
      </c>
      <c r="J327" s="77"/>
      <c r="K327" s="77"/>
      <c r="L327" s="77"/>
      <c r="M327" s="74"/>
      <c r="N327" s="74"/>
      <c r="O327" s="76"/>
      <c r="P327" s="76"/>
    </row>
    <row r="328" ht="20.25" hidden="1" customHeight="1" outlineLevel="1">
      <c r="A328" s="69">
        <v>46154.0</v>
      </c>
      <c r="B328" s="72" t="s">
        <v>22</v>
      </c>
      <c r="C328" s="11"/>
      <c r="D328" s="11"/>
      <c r="E328" s="11"/>
      <c r="F328" s="75" t="s">
        <v>85</v>
      </c>
      <c r="G328" s="74" t="s">
        <v>17</v>
      </c>
      <c r="H328" s="74" t="s">
        <v>18</v>
      </c>
      <c r="I328" s="75">
        <v>16.0</v>
      </c>
      <c r="J328" s="73"/>
      <c r="K328" s="75">
        <v>2060.0</v>
      </c>
      <c r="L328" s="73"/>
      <c r="M328" s="75">
        <v>400.0</v>
      </c>
      <c r="N328" s="73"/>
      <c r="O328" s="269"/>
      <c r="P328" s="269"/>
    </row>
    <row r="329" ht="20.25" hidden="1" customHeight="1" outlineLevel="1">
      <c r="A329" s="29"/>
      <c r="B329" s="29"/>
      <c r="C329" s="19"/>
      <c r="D329" s="19"/>
      <c r="E329" s="19"/>
      <c r="F329" s="29"/>
      <c r="G329" s="74" t="s">
        <v>17</v>
      </c>
      <c r="H329" s="74" t="s">
        <v>18</v>
      </c>
      <c r="I329" s="29"/>
      <c r="J329" s="77"/>
      <c r="K329" s="29"/>
      <c r="L329" s="77"/>
      <c r="M329" s="29"/>
      <c r="N329" s="77"/>
      <c r="O329" s="270"/>
      <c r="P329" s="270"/>
    </row>
    <row r="330" ht="20.25" hidden="1" customHeight="1" outlineLevel="1">
      <c r="A330" s="57"/>
      <c r="B330" s="57"/>
      <c r="C330" s="11"/>
      <c r="D330" s="11"/>
      <c r="E330" s="11"/>
      <c r="F330" s="57"/>
      <c r="G330" s="74" t="s">
        <v>17</v>
      </c>
      <c r="H330" s="74" t="s">
        <v>18</v>
      </c>
      <c r="I330" s="57"/>
      <c r="J330" s="73"/>
      <c r="K330" s="57"/>
      <c r="L330" s="73"/>
      <c r="M330" s="57"/>
      <c r="N330" s="73"/>
      <c r="O330" s="269"/>
      <c r="P330" s="269"/>
    </row>
    <row r="331" ht="20.25" hidden="1" customHeight="1" outlineLevel="1">
      <c r="A331" s="20"/>
      <c r="B331" s="20"/>
      <c r="C331" s="19"/>
      <c r="D331" s="19"/>
      <c r="E331" s="19"/>
      <c r="F331" s="20"/>
      <c r="G331" s="74" t="s">
        <v>17</v>
      </c>
      <c r="H331" s="74" t="s">
        <v>18</v>
      </c>
      <c r="I331" s="20"/>
      <c r="J331" s="77"/>
      <c r="K331" s="20"/>
      <c r="L331" s="77"/>
      <c r="M331" s="20"/>
      <c r="N331" s="77"/>
      <c r="O331" s="270"/>
      <c r="P331" s="270"/>
    </row>
    <row r="332" ht="20.25" hidden="1" customHeight="1" outlineLevel="1">
      <c r="A332" s="69">
        <v>46155.0</v>
      </c>
      <c r="B332" s="72" t="s">
        <v>40</v>
      </c>
      <c r="C332" s="72">
        <v>128.0</v>
      </c>
      <c r="D332" s="11"/>
      <c r="E332" s="11"/>
      <c r="F332" s="102" t="s">
        <v>42</v>
      </c>
      <c r="G332" s="74" t="s">
        <v>17</v>
      </c>
      <c r="H332" s="74" t="s">
        <v>25</v>
      </c>
      <c r="I332" s="73">
        <v>1.0</v>
      </c>
      <c r="J332" s="73"/>
      <c r="K332" s="73"/>
      <c r="L332" s="73"/>
      <c r="M332" s="73"/>
      <c r="N332" s="73"/>
      <c r="O332" s="269"/>
      <c r="P332" s="269"/>
    </row>
    <row r="333" ht="20.25" hidden="1" customHeight="1" outlineLevel="1">
      <c r="A333" s="29"/>
      <c r="B333" s="20"/>
      <c r="C333" s="20"/>
      <c r="D333" s="19"/>
      <c r="E333" s="19"/>
      <c r="F333" s="29"/>
      <c r="G333" s="74" t="s">
        <v>17</v>
      </c>
      <c r="H333" s="74" t="s">
        <v>18</v>
      </c>
      <c r="I333" s="77">
        <v>22.0</v>
      </c>
      <c r="J333" s="77"/>
      <c r="K333" s="77"/>
      <c r="L333" s="77"/>
      <c r="M333" s="77"/>
      <c r="N333" s="77"/>
      <c r="O333" s="270"/>
      <c r="P333" s="270"/>
    </row>
    <row r="334" ht="20.25" hidden="1" customHeight="1" outlineLevel="1">
      <c r="A334" s="57"/>
      <c r="B334" s="11" t="s">
        <v>51</v>
      </c>
      <c r="C334" s="11" t="s">
        <v>107</v>
      </c>
      <c r="D334" s="11"/>
      <c r="E334" s="11"/>
      <c r="F334" s="58"/>
      <c r="G334" s="74" t="s">
        <v>17</v>
      </c>
      <c r="H334" s="74" t="s">
        <v>18</v>
      </c>
      <c r="I334" s="73">
        <v>2.0</v>
      </c>
      <c r="J334" s="73"/>
      <c r="K334" s="73"/>
      <c r="L334" s="73"/>
      <c r="M334" s="73"/>
      <c r="N334" s="73"/>
      <c r="O334" s="269"/>
      <c r="P334" s="269"/>
    </row>
    <row r="335" ht="20.25" hidden="1" customHeight="1" outlineLevel="1">
      <c r="A335" s="29"/>
      <c r="B335" s="123" t="s">
        <v>21</v>
      </c>
      <c r="C335" s="123">
        <v>115.0</v>
      </c>
      <c r="D335" s="19"/>
      <c r="E335" s="19"/>
      <c r="F335" s="26" t="s">
        <v>59</v>
      </c>
      <c r="G335" s="74" t="s">
        <v>17</v>
      </c>
      <c r="H335" s="74" t="s">
        <v>25</v>
      </c>
      <c r="I335" s="271">
        <v>1.0</v>
      </c>
      <c r="J335" s="77"/>
      <c r="K335" s="77"/>
      <c r="L335" s="77"/>
      <c r="M335" s="77"/>
      <c r="N335" s="77"/>
      <c r="O335" s="270"/>
      <c r="P335" s="270"/>
    </row>
    <row r="336" ht="20.25" hidden="1" customHeight="1" outlineLevel="1">
      <c r="A336" s="57"/>
      <c r="B336" s="58"/>
      <c r="C336" s="58"/>
      <c r="D336" s="11"/>
      <c r="E336" s="11"/>
      <c r="F336" s="58"/>
      <c r="G336" s="74" t="s">
        <v>17</v>
      </c>
      <c r="H336" s="74" t="s">
        <v>18</v>
      </c>
      <c r="I336" s="73">
        <v>16.0</v>
      </c>
      <c r="J336" s="73"/>
      <c r="K336" s="73"/>
      <c r="L336" s="73"/>
      <c r="M336" s="73"/>
      <c r="N336" s="73"/>
      <c r="O336" s="269"/>
      <c r="P336" s="269"/>
    </row>
    <row r="337" ht="20.25" hidden="1" customHeight="1" outlineLevel="1">
      <c r="A337" s="29"/>
      <c r="B337" s="123" t="s">
        <v>40</v>
      </c>
      <c r="C337" s="19">
        <v>113.0</v>
      </c>
      <c r="D337" s="19"/>
      <c r="E337" s="19"/>
      <c r="F337" s="26" t="s">
        <v>78</v>
      </c>
      <c r="G337" s="74" t="s">
        <v>17</v>
      </c>
      <c r="H337" s="74" t="s">
        <v>25</v>
      </c>
      <c r="I337" s="77">
        <v>1.0</v>
      </c>
      <c r="J337" s="77"/>
      <c r="K337" s="77"/>
      <c r="L337" s="77"/>
      <c r="M337" s="77"/>
      <c r="N337" s="77"/>
      <c r="O337" s="270"/>
      <c r="P337" s="270"/>
    </row>
    <row r="338" ht="20.25" hidden="1" customHeight="1" outlineLevel="1">
      <c r="A338" s="57"/>
      <c r="B338" s="58"/>
      <c r="C338" s="11">
        <v>111.0</v>
      </c>
      <c r="D338" s="11"/>
      <c r="E338" s="11"/>
      <c r="F338" s="58"/>
      <c r="G338" s="74" t="s">
        <v>17</v>
      </c>
      <c r="H338" s="74" t="s">
        <v>18</v>
      </c>
      <c r="I338" s="73">
        <v>16.0</v>
      </c>
      <c r="J338" s="73"/>
      <c r="K338" s="73"/>
      <c r="L338" s="73"/>
      <c r="M338" s="73"/>
      <c r="N338" s="73"/>
      <c r="O338" s="269"/>
      <c r="P338" s="269"/>
    </row>
    <row r="339" ht="20.25" hidden="1" customHeight="1" outlineLevel="1">
      <c r="A339" s="29"/>
      <c r="B339" s="123" t="s">
        <v>21</v>
      </c>
      <c r="C339" s="19">
        <v>119.0</v>
      </c>
      <c r="D339" s="19"/>
      <c r="E339" s="19"/>
      <c r="F339" s="26" t="s">
        <v>84</v>
      </c>
      <c r="G339" s="74" t="s">
        <v>17</v>
      </c>
      <c r="H339" s="74" t="s">
        <v>25</v>
      </c>
      <c r="I339" s="77">
        <v>1.0</v>
      </c>
      <c r="J339" s="77"/>
      <c r="K339" s="77"/>
      <c r="L339" s="77"/>
      <c r="M339" s="77"/>
      <c r="N339" s="77"/>
      <c r="O339" s="270"/>
      <c r="P339" s="270"/>
    </row>
    <row r="340" ht="20.25" hidden="1" customHeight="1" outlineLevel="1">
      <c r="A340" s="57"/>
      <c r="B340" s="58"/>
      <c r="C340" s="11">
        <v>120.0</v>
      </c>
      <c r="D340" s="11"/>
      <c r="E340" s="11"/>
      <c r="F340" s="58"/>
      <c r="G340" s="74" t="s">
        <v>17</v>
      </c>
      <c r="H340" s="74" t="s">
        <v>18</v>
      </c>
      <c r="I340" s="73">
        <v>19.0</v>
      </c>
      <c r="J340" s="73"/>
      <c r="K340" s="73"/>
      <c r="L340" s="73"/>
      <c r="M340" s="73"/>
      <c r="N340" s="73"/>
      <c r="O340" s="269"/>
      <c r="P340" s="269"/>
    </row>
    <row r="341" ht="20.25" hidden="1" customHeight="1" outlineLevel="1">
      <c r="A341" s="29"/>
      <c r="B341" s="123" t="s">
        <v>21</v>
      </c>
      <c r="C341" s="123">
        <v>125.0</v>
      </c>
      <c r="D341" s="19"/>
      <c r="E341" s="19"/>
      <c r="F341" s="102" t="s">
        <v>47</v>
      </c>
      <c r="G341" s="74" t="s">
        <v>17</v>
      </c>
      <c r="H341" s="74" t="s">
        <v>25</v>
      </c>
      <c r="I341" s="77">
        <v>1.0</v>
      </c>
      <c r="J341" s="77"/>
      <c r="K341" s="77"/>
      <c r="L341" s="77"/>
      <c r="M341" s="77"/>
      <c r="N341" s="77"/>
      <c r="O341" s="270"/>
      <c r="P341" s="270"/>
    </row>
    <row r="342" ht="20.25" hidden="1" customHeight="1" outlineLevel="1">
      <c r="A342" s="58"/>
      <c r="B342" s="58"/>
      <c r="C342" s="58"/>
      <c r="D342" s="11"/>
      <c r="E342" s="11"/>
      <c r="F342" s="58"/>
      <c r="G342" s="74" t="s">
        <v>17</v>
      </c>
      <c r="H342" s="74" t="s">
        <v>18</v>
      </c>
      <c r="I342" s="73">
        <v>14.0</v>
      </c>
      <c r="J342" s="73"/>
      <c r="K342" s="73"/>
      <c r="L342" s="73"/>
      <c r="M342" s="73"/>
      <c r="N342" s="73"/>
      <c r="O342" s="269"/>
      <c r="P342" s="269"/>
    </row>
    <row r="343" ht="20.25" hidden="1" customHeight="1" outlineLevel="1">
      <c r="A343" s="121">
        <v>46156.0</v>
      </c>
      <c r="B343" s="19" t="s">
        <v>40</v>
      </c>
      <c r="C343" s="19">
        <v>128.0</v>
      </c>
      <c r="D343" s="19"/>
      <c r="E343" s="19"/>
      <c r="F343" s="102" t="s">
        <v>42</v>
      </c>
      <c r="G343" s="74" t="s">
        <v>17</v>
      </c>
      <c r="H343" s="74" t="s">
        <v>18</v>
      </c>
      <c r="I343" s="77">
        <v>19.0</v>
      </c>
      <c r="J343" s="77"/>
      <c r="K343" s="77"/>
      <c r="L343" s="77"/>
      <c r="M343" s="77"/>
      <c r="N343" s="77"/>
      <c r="O343" s="270"/>
      <c r="P343" s="270"/>
    </row>
    <row r="344" ht="20.25" hidden="1" customHeight="1" outlineLevel="1">
      <c r="A344" s="57"/>
      <c r="B344" s="11" t="s">
        <v>22</v>
      </c>
      <c r="C344" s="11">
        <v>109.0</v>
      </c>
      <c r="D344" s="11"/>
      <c r="E344" s="11"/>
      <c r="F344" s="57"/>
      <c r="G344" s="74" t="s">
        <v>17</v>
      </c>
      <c r="H344" s="74" t="s">
        <v>18</v>
      </c>
      <c r="I344" s="73">
        <v>3.0</v>
      </c>
      <c r="J344" s="73"/>
      <c r="K344" s="73"/>
      <c r="L344" s="73"/>
      <c r="M344" s="73"/>
      <c r="N344" s="73"/>
      <c r="O344" s="269"/>
      <c r="P344" s="269"/>
    </row>
    <row r="345" ht="20.25" hidden="1" customHeight="1" outlineLevel="1">
      <c r="A345" s="29"/>
      <c r="B345" s="19" t="s">
        <v>51</v>
      </c>
      <c r="C345" s="19" t="s">
        <v>107</v>
      </c>
      <c r="D345" s="19"/>
      <c r="E345" s="19"/>
      <c r="F345" s="20"/>
      <c r="G345" s="74" t="s">
        <v>17</v>
      </c>
      <c r="H345" s="74" t="s">
        <v>18</v>
      </c>
      <c r="I345" s="77">
        <v>1.0</v>
      </c>
      <c r="J345" s="77"/>
      <c r="K345" s="77"/>
      <c r="L345" s="77"/>
      <c r="M345" s="77"/>
      <c r="N345" s="77"/>
      <c r="O345" s="270"/>
      <c r="P345" s="270"/>
    </row>
    <row r="346" ht="20.25" hidden="1" customHeight="1" outlineLevel="1">
      <c r="A346" s="57"/>
      <c r="B346" s="72" t="s">
        <v>21</v>
      </c>
      <c r="C346" s="72">
        <v>115.0</v>
      </c>
      <c r="D346" s="11"/>
      <c r="E346" s="11"/>
      <c r="F346" s="26" t="s">
        <v>59</v>
      </c>
      <c r="G346" s="74" t="s">
        <v>17</v>
      </c>
      <c r="H346" s="74" t="s">
        <v>25</v>
      </c>
      <c r="I346" s="271">
        <v>1.0</v>
      </c>
      <c r="J346" s="73"/>
      <c r="K346" s="73"/>
      <c r="L346" s="73"/>
      <c r="M346" s="73"/>
      <c r="N346" s="73"/>
      <c r="O346" s="269"/>
      <c r="P346" s="269"/>
    </row>
    <row r="347" ht="20.25" hidden="1" customHeight="1" outlineLevel="1">
      <c r="A347" s="29"/>
      <c r="B347" s="20"/>
      <c r="C347" s="20"/>
      <c r="D347" s="19"/>
      <c r="E347" s="19"/>
      <c r="F347" s="20"/>
      <c r="G347" s="74" t="s">
        <v>17</v>
      </c>
      <c r="H347" s="74" t="s">
        <v>18</v>
      </c>
      <c r="I347" s="77">
        <v>17.0</v>
      </c>
      <c r="J347" s="77"/>
      <c r="K347" s="77"/>
      <c r="L347" s="77"/>
      <c r="M347" s="77"/>
      <c r="N347" s="77"/>
      <c r="O347" s="270"/>
      <c r="P347" s="270"/>
    </row>
    <row r="348" ht="20.25" hidden="1" customHeight="1" outlineLevel="1">
      <c r="A348" s="57"/>
      <c r="B348" s="72" t="s">
        <v>40</v>
      </c>
      <c r="C348" s="72">
        <v>111.0</v>
      </c>
      <c r="D348" s="11"/>
      <c r="E348" s="11"/>
      <c r="F348" s="26" t="s">
        <v>78</v>
      </c>
      <c r="G348" s="74" t="s">
        <v>17</v>
      </c>
      <c r="H348" s="74" t="s">
        <v>25</v>
      </c>
      <c r="I348" s="73">
        <v>1.0</v>
      </c>
      <c r="J348" s="73"/>
      <c r="K348" s="73"/>
      <c r="L348" s="73"/>
      <c r="M348" s="73"/>
      <c r="N348" s="73"/>
      <c r="O348" s="269"/>
      <c r="P348" s="269"/>
    </row>
    <row r="349" ht="20.25" hidden="1" customHeight="1" outlineLevel="1">
      <c r="A349" s="29"/>
      <c r="B349" s="20"/>
      <c r="C349" s="20"/>
      <c r="D349" s="19"/>
      <c r="E349" s="19"/>
      <c r="F349" s="29"/>
      <c r="G349" s="74" t="s">
        <v>17</v>
      </c>
      <c r="H349" s="74" t="s">
        <v>18</v>
      </c>
      <c r="I349" s="77">
        <v>16.0</v>
      </c>
      <c r="J349" s="77"/>
      <c r="K349" s="77"/>
      <c r="L349" s="77"/>
      <c r="M349" s="77"/>
      <c r="N349" s="77"/>
      <c r="O349" s="270"/>
      <c r="P349" s="270"/>
    </row>
    <row r="350" ht="20.25" hidden="1" customHeight="1" outlineLevel="1">
      <c r="A350" s="57"/>
      <c r="B350" s="11" t="s">
        <v>22</v>
      </c>
      <c r="C350" s="11">
        <v>109.0</v>
      </c>
      <c r="D350" s="11"/>
      <c r="E350" s="11"/>
      <c r="F350" s="58"/>
      <c r="G350" s="74" t="s">
        <v>17</v>
      </c>
      <c r="H350" s="74" t="s">
        <v>18</v>
      </c>
      <c r="I350" s="73">
        <v>4.0</v>
      </c>
      <c r="J350" s="73"/>
      <c r="K350" s="73"/>
      <c r="L350" s="73"/>
      <c r="M350" s="73"/>
      <c r="N350" s="73"/>
      <c r="O350" s="269"/>
      <c r="P350" s="269"/>
    </row>
    <row r="351" ht="20.25" hidden="1" customHeight="1" outlineLevel="1">
      <c r="A351" s="29"/>
      <c r="B351" s="123" t="s">
        <v>21</v>
      </c>
      <c r="C351" s="123">
        <v>121.0</v>
      </c>
      <c r="D351" s="19"/>
      <c r="E351" s="19"/>
      <c r="F351" s="26" t="s">
        <v>84</v>
      </c>
      <c r="G351" s="74" t="s">
        <v>17</v>
      </c>
      <c r="H351" s="74" t="s">
        <v>25</v>
      </c>
      <c r="I351" s="77">
        <v>1.0</v>
      </c>
      <c r="J351" s="77"/>
      <c r="K351" s="77"/>
      <c r="L351" s="77"/>
      <c r="M351" s="77"/>
      <c r="N351" s="77"/>
      <c r="O351" s="270"/>
      <c r="P351" s="270"/>
    </row>
    <row r="352" ht="20.25" hidden="1" customHeight="1" outlineLevel="1">
      <c r="A352" s="57"/>
      <c r="B352" s="58"/>
      <c r="C352" s="58"/>
      <c r="D352" s="11"/>
      <c r="E352" s="11"/>
      <c r="F352" s="58"/>
      <c r="G352" s="74" t="s">
        <v>17</v>
      </c>
      <c r="H352" s="74" t="s">
        <v>18</v>
      </c>
      <c r="I352" s="73">
        <v>19.0</v>
      </c>
      <c r="J352" s="73"/>
      <c r="K352" s="73"/>
      <c r="L352" s="73"/>
      <c r="M352" s="73"/>
      <c r="N352" s="73"/>
      <c r="O352" s="269"/>
      <c r="P352" s="269"/>
    </row>
    <row r="353" ht="20.25" hidden="1" customHeight="1" outlineLevel="1">
      <c r="A353" s="29"/>
      <c r="B353" s="123" t="s">
        <v>21</v>
      </c>
      <c r="C353" s="123">
        <v>125.0</v>
      </c>
      <c r="D353" s="19"/>
      <c r="E353" s="19"/>
      <c r="F353" s="102" t="s">
        <v>47</v>
      </c>
      <c r="G353" s="74" t="s">
        <v>17</v>
      </c>
      <c r="H353" s="74" t="s">
        <v>25</v>
      </c>
      <c r="I353" s="77">
        <v>1.0</v>
      </c>
      <c r="J353" s="77"/>
      <c r="K353" s="77"/>
      <c r="L353" s="77"/>
      <c r="M353" s="77"/>
      <c r="N353" s="77"/>
      <c r="O353" s="270"/>
      <c r="P353" s="270"/>
    </row>
    <row r="354" ht="20.25" hidden="1" customHeight="1" outlineLevel="1">
      <c r="A354" s="58"/>
      <c r="B354" s="58"/>
      <c r="C354" s="58"/>
      <c r="D354" s="11"/>
      <c r="E354" s="11"/>
      <c r="F354" s="58"/>
      <c r="G354" s="74" t="s">
        <v>17</v>
      </c>
      <c r="H354" s="74" t="s">
        <v>18</v>
      </c>
      <c r="I354" s="73">
        <v>13.0</v>
      </c>
      <c r="J354" s="73"/>
      <c r="K354" s="73"/>
      <c r="L354" s="73"/>
      <c r="M354" s="73"/>
      <c r="N354" s="73"/>
      <c r="O354" s="269"/>
      <c r="P354" s="269"/>
    </row>
    <row r="355" ht="20.25" hidden="1" customHeight="1" outlineLevel="1">
      <c r="A355" s="121">
        <v>46157.0</v>
      </c>
      <c r="B355" s="123" t="s">
        <v>21</v>
      </c>
      <c r="C355" s="123">
        <v>125.0</v>
      </c>
      <c r="D355" s="19"/>
      <c r="E355" s="19"/>
      <c r="F355" s="26" t="s">
        <v>59</v>
      </c>
      <c r="G355" s="74" t="s">
        <v>17</v>
      </c>
      <c r="H355" s="74" t="s">
        <v>25</v>
      </c>
      <c r="I355" s="77">
        <v>1.0</v>
      </c>
      <c r="J355" s="77"/>
      <c r="K355" s="77"/>
      <c r="L355" s="77"/>
      <c r="M355" s="74"/>
      <c r="N355" s="74"/>
      <c r="O355" s="76"/>
      <c r="P355" s="76"/>
    </row>
    <row r="356" ht="20.25" hidden="1" customHeight="1" outlineLevel="1">
      <c r="A356" s="57"/>
      <c r="B356" s="58"/>
      <c r="C356" s="58"/>
      <c r="D356" s="11"/>
      <c r="E356" s="11"/>
      <c r="F356" s="58"/>
      <c r="G356" s="74" t="s">
        <v>17</v>
      </c>
      <c r="H356" s="74" t="s">
        <v>18</v>
      </c>
      <c r="I356" s="73">
        <v>17.0</v>
      </c>
      <c r="J356" s="73"/>
      <c r="K356" s="73"/>
      <c r="L356" s="73"/>
      <c r="M356" s="74"/>
      <c r="N356" s="74"/>
      <c r="O356" s="76"/>
      <c r="P356" s="76"/>
    </row>
    <row r="357" ht="20.25" hidden="1" customHeight="1" outlineLevel="1">
      <c r="A357" s="29"/>
      <c r="B357" s="123" t="s">
        <v>21</v>
      </c>
      <c r="C357" s="123">
        <v>121.0</v>
      </c>
      <c r="D357" s="19"/>
      <c r="E357" s="19"/>
      <c r="F357" s="26" t="s">
        <v>84</v>
      </c>
      <c r="G357" s="74" t="s">
        <v>17</v>
      </c>
      <c r="H357" s="74" t="s">
        <v>25</v>
      </c>
      <c r="I357" s="77">
        <v>1.0</v>
      </c>
      <c r="J357" s="77"/>
      <c r="K357" s="77"/>
      <c r="L357" s="77"/>
      <c r="M357" s="74"/>
      <c r="N357" s="74"/>
      <c r="O357" s="76"/>
      <c r="P357" s="76"/>
    </row>
    <row r="358" ht="20.25" hidden="1" customHeight="1" outlineLevel="1">
      <c r="A358" s="57"/>
      <c r="B358" s="58"/>
      <c r="C358" s="58"/>
      <c r="D358" s="11"/>
      <c r="E358" s="11"/>
      <c r="F358" s="58"/>
      <c r="G358" s="74" t="s">
        <v>17</v>
      </c>
      <c r="H358" s="74" t="s">
        <v>18</v>
      </c>
      <c r="I358" s="73">
        <v>18.0</v>
      </c>
      <c r="J358" s="73"/>
      <c r="K358" s="73"/>
      <c r="L358" s="73"/>
      <c r="M358" s="74"/>
      <c r="N358" s="74"/>
      <c r="O358" s="76"/>
      <c r="P358" s="76"/>
    </row>
    <row r="359" ht="20.25" hidden="1" customHeight="1" outlineLevel="1">
      <c r="A359" s="29"/>
      <c r="B359" s="123" t="s">
        <v>21</v>
      </c>
      <c r="C359" s="123">
        <v>125.0</v>
      </c>
      <c r="D359" s="19"/>
      <c r="E359" s="19"/>
      <c r="F359" s="102" t="s">
        <v>47</v>
      </c>
      <c r="G359" s="74" t="s">
        <v>17</v>
      </c>
      <c r="H359" s="74" t="s">
        <v>25</v>
      </c>
      <c r="I359" s="77">
        <v>1.0</v>
      </c>
      <c r="J359" s="77"/>
      <c r="K359" s="77"/>
      <c r="L359" s="77"/>
      <c r="M359" s="74"/>
      <c r="N359" s="74"/>
      <c r="O359" s="76"/>
      <c r="P359" s="76"/>
    </row>
    <row r="360" ht="20.25" hidden="1" customHeight="1" outlineLevel="1">
      <c r="A360" s="57"/>
      <c r="B360" s="58"/>
      <c r="C360" s="58"/>
      <c r="D360" s="11"/>
      <c r="E360" s="11"/>
      <c r="F360" s="58"/>
      <c r="G360" s="74" t="s">
        <v>17</v>
      </c>
      <c r="H360" s="74" t="s">
        <v>18</v>
      </c>
      <c r="I360" s="73">
        <v>15.0</v>
      </c>
      <c r="J360" s="73"/>
      <c r="K360" s="73"/>
      <c r="L360" s="73"/>
      <c r="M360" s="74"/>
      <c r="N360" s="74"/>
      <c r="O360" s="76"/>
      <c r="P360" s="76"/>
    </row>
    <row r="361" ht="20.25" hidden="1" customHeight="1" outlineLevel="1">
      <c r="A361" s="29"/>
      <c r="B361" s="123" t="s">
        <v>40</v>
      </c>
      <c r="C361" s="123">
        <v>103.0</v>
      </c>
      <c r="D361" s="19"/>
      <c r="E361" s="19"/>
      <c r="F361" s="26" t="s">
        <v>78</v>
      </c>
      <c r="G361" s="74" t="s">
        <v>17</v>
      </c>
      <c r="H361" s="74" t="s">
        <v>25</v>
      </c>
      <c r="I361" s="77">
        <v>0.0</v>
      </c>
      <c r="J361" s="77"/>
      <c r="K361" s="77"/>
      <c r="L361" s="77"/>
      <c r="M361" s="74"/>
      <c r="N361" s="74"/>
      <c r="O361" s="76"/>
      <c r="P361" s="76"/>
    </row>
    <row r="362" ht="20.25" hidden="1" customHeight="1" outlineLevel="1">
      <c r="A362" s="57"/>
      <c r="B362" s="58"/>
      <c r="C362" s="58"/>
      <c r="D362" s="11"/>
      <c r="E362" s="11"/>
      <c r="F362" s="57"/>
      <c r="G362" s="74" t="s">
        <v>17</v>
      </c>
      <c r="H362" s="74" t="s">
        <v>18</v>
      </c>
      <c r="I362" s="73">
        <v>13.0</v>
      </c>
      <c r="J362" s="73"/>
      <c r="K362" s="73"/>
      <c r="L362" s="73"/>
      <c r="M362" s="74"/>
      <c r="N362" s="74"/>
      <c r="O362" s="76"/>
      <c r="P362" s="76"/>
    </row>
    <row r="363" ht="20.25" hidden="1" customHeight="1" outlineLevel="1">
      <c r="A363" s="29"/>
      <c r="B363" s="123" t="s">
        <v>40</v>
      </c>
      <c r="C363" s="123">
        <v>125.0</v>
      </c>
      <c r="D363" s="19"/>
      <c r="E363" s="19"/>
      <c r="F363" s="102" t="s">
        <v>42</v>
      </c>
      <c r="G363" s="74" t="s">
        <v>17</v>
      </c>
      <c r="H363" s="74" t="s">
        <v>25</v>
      </c>
      <c r="I363" s="77">
        <v>1.0</v>
      </c>
      <c r="J363" s="77"/>
      <c r="K363" s="77"/>
      <c r="L363" s="77"/>
      <c r="M363" s="74"/>
      <c r="N363" s="74"/>
      <c r="O363" s="76"/>
      <c r="P363" s="76"/>
    </row>
    <row r="364" ht="20.25" hidden="1" customHeight="1" outlineLevel="1">
      <c r="A364" s="58"/>
      <c r="B364" s="58"/>
      <c r="C364" s="58"/>
      <c r="D364" s="11"/>
      <c r="E364" s="11"/>
      <c r="F364" s="58"/>
      <c r="G364" s="74" t="s">
        <v>17</v>
      </c>
      <c r="H364" s="74" t="s">
        <v>18</v>
      </c>
      <c r="I364" s="73">
        <v>25.0</v>
      </c>
      <c r="J364" s="73"/>
      <c r="K364" s="73"/>
      <c r="L364" s="73"/>
      <c r="M364" s="74"/>
      <c r="N364" s="74"/>
      <c r="O364" s="76"/>
      <c r="P364" s="76"/>
    </row>
    <row r="365" ht="20.25" hidden="1" customHeight="1" outlineLevel="1">
      <c r="A365" s="121">
        <v>45793.0</v>
      </c>
      <c r="B365" s="123" t="s">
        <v>21</v>
      </c>
      <c r="C365" s="123">
        <v>125.0</v>
      </c>
      <c r="D365" s="19"/>
      <c r="E365" s="19"/>
      <c r="F365" s="102" t="s">
        <v>42</v>
      </c>
      <c r="G365" s="74" t="s">
        <v>17</v>
      </c>
      <c r="H365" s="74" t="s">
        <v>25</v>
      </c>
      <c r="I365" s="77">
        <v>1.0</v>
      </c>
      <c r="J365" s="77"/>
      <c r="K365" s="77"/>
      <c r="L365" s="77"/>
      <c r="M365" s="74"/>
      <c r="N365" s="74"/>
      <c r="O365" s="76"/>
      <c r="P365" s="76"/>
    </row>
    <row r="366" ht="20.25" hidden="1" customHeight="1" outlineLevel="1">
      <c r="A366" s="57"/>
      <c r="B366" s="58"/>
      <c r="C366" s="58"/>
      <c r="D366" s="11"/>
      <c r="E366" s="11"/>
      <c r="F366" s="58"/>
      <c r="G366" s="74" t="s">
        <v>17</v>
      </c>
      <c r="H366" s="74" t="s">
        <v>18</v>
      </c>
      <c r="I366" s="73">
        <v>25.0</v>
      </c>
      <c r="J366" s="73"/>
      <c r="K366" s="73"/>
      <c r="L366" s="73"/>
      <c r="M366" s="74"/>
      <c r="N366" s="74"/>
      <c r="O366" s="76"/>
      <c r="P366" s="76"/>
    </row>
    <row r="367" ht="20.25" hidden="1" customHeight="1" outlineLevel="1">
      <c r="A367" s="29"/>
      <c r="B367" s="123" t="s">
        <v>21</v>
      </c>
      <c r="C367" s="123">
        <v>125.0</v>
      </c>
      <c r="D367" s="19"/>
      <c r="E367" s="19"/>
      <c r="F367" s="26" t="s">
        <v>78</v>
      </c>
      <c r="G367" s="74" t="s">
        <v>17</v>
      </c>
      <c r="H367" s="74" t="s">
        <v>25</v>
      </c>
      <c r="I367" s="286">
        <v>1.0</v>
      </c>
      <c r="J367" s="77"/>
      <c r="K367" s="77"/>
      <c r="L367" s="77"/>
      <c r="M367" s="74"/>
      <c r="N367" s="74"/>
      <c r="O367" s="76"/>
      <c r="P367" s="76"/>
    </row>
    <row r="368" ht="20.25" hidden="1" customHeight="1" outlineLevel="1">
      <c r="A368" s="57"/>
      <c r="B368" s="58"/>
      <c r="C368" s="58"/>
      <c r="D368" s="11"/>
      <c r="E368" s="11"/>
      <c r="F368" s="57"/>
      <c r="G368" s="74" t="s">
        <v>17</v>
      </c>
      <c r="H368" s="74" t="s">
        <v>18</v>
      </c>
      <c r="I368" s="286">
        <v>16.0</v>
      </c>
      <c r="J368" s="73"/>
      <c r="K368" s="73"/>
      <c r="L368" s="73"/>
      <c r="M368" s="74"/>
      <c r="N368" s="74"/>
      <c r="O368" s="76"/>
      <c r="P368" s="76"/>
    </row>
    <row r="369" ht="20.25" hidden="1" customHeight="1" outlineLevel="1">
      <c r="A369" s="29"/>
      <c r="B369" s="123" t="s">
        <v>21</v>
      </c>
      <c r="C369" s="123">
        <v>125.0</v>
      </c>
      <c r="D369" s="19"/>
      <c r="E369" s="19"/>
      <c r="F369" s="102" t="s">
        <v>47</v>
      </c>
      <c r="G369" s="74" t="s">
        <v>17</v>
      </c>
      <c r="H369" s="74" t="s">
        <v>25</v>
      </c>
      <c r="I369" s="77">
        <v>1.0</v>
      </c>
      <c r="J369" s="77"/>
      <c r="K369" s="77"/>
      <c r="L369" s="77"/>
      <c r="M369" s="74"/>
      <c r="N369" s="74"/>
      <c r="O369" s="76"/>
      <c r="P369" s="76"/>
    </row>
    <row r="370" ht="20.25" hidden="1" customHeight="1" outlineLevel="1">
      <c r="A370" s="57"/>
      <c r="B370" s="58"/>
      <c r="C370" s="58"/>
      <c r="D370" s="11"/>
      <c r="E370" s="11"/>
      <c r="F370" s="58"/>
      <c r="G370" s="74" t="s">
        <v>17</v>
      </c>
      <c r="H370" s="74" t="s">
        <v>18</v>
      </c>
      <c r="I370" s="73">
        <v>15.0</v>
      </c>
      <c r="J370" s="73"/>
      <c r="K370" s="73"/>
      <c r="L370" s="73"/>
      <c r="M370" s="74"/>
      <c r="N370" s="74"/>
      <c r="O370" s="76"/>
      <c r="P370" s="76"/>
    </row>
    <row r="371" ht="20.25" hidden="1" customHeight="1" outlineLevel="1">
      <c r="A371" s="29"/>
      <c r="B371" s="123" t="s">
        <v>21</v>
      </c>
      <c r="C371" s="123">
        <v>125.0</v>
      </c>
      <c r="D371" s="19"/>
      <c r="E371" s="19"/>
      <c r="F371" s="26" t="s">
        <v>84</v>
      </c>
      <c r="G371" s="74" t="s">
        <v>17</v>
      </c>
      <c r="H371" s="74" t="s">
        <v>25</v>
      </c>
      <c r="I371" s="286">
        <v>1.0</v>
      </c>
      <c r="J371" s="77"/>
      <c r="K371" s="77"/>
      <c r="L371" s="77"/>
      <c r="M371" s="74"/>
      <c r="N371" s="74"/>
      <c r="O371" s="76"/>
      <c r="P371" s="76"/>
    </row>
    <row r="372" ht="20.25" hidden="1" customHeight="1" outlineLevel="1">
      <c r="A372" s="57"/>
      <c r="B372" s="58"/>
      <c r="C372" s="58"/>
      <c r="D372" s="11"/>
      <c r="E372" s="11"/>
      <c r="F372" s="58"/>
      <c r="G372" s="74" t="s">
        <v>17</v>
      </c>
      <c r="H372" s="74" t="s">
        <v>18</v>
      </c>
      <c r="I372" s="286">
        <v>18.0</v>
      </c>
      <c r="J372" s="73"/>
      <c r="K372" s="73"/>
      <c r="L372" s="73"/>
      <c r="M372" s="74"/>
      <c r="N372" s="74"/>
      <c r="O372" s="76"/>
      <c r="P372" s="76"/>
    </row>
    <row r="373" ht="20.25" hidden="1" customHeight="1" outlineLevel="1">
      <c r="A373" s="29"/>
      <c r="B373" s="123" t="s">
        <v>21</v>
      </c>
      <c r="C373" s="123">
        <v>125.0</v>
      </c>
      <c r="D373" s="19"/>
      <c r="E373" s="19"/>
      <c r="F373" s="26" t="s">
        <v>59</v>
      </c>
      <c r="G373" s="74" t="s">
        <v>17</v>
      </c>
      <c r="H373" s="74" t="s">
        <v>25</v>
      </c>
      <c r="I373" s="286">
        <v>1.0</v>
      </c>
      <c r="J373" s="77"/>
      <c r="K373" s="77"/>
      <c r="L373" s="77"/>
      <c r="M373" s="74"/>
      <c r="N373" s="74"/>
      <c r="O373" s="76"/>
      <c r="P373" s="76"/>
    </row>
    <row r="374" ht="20.25" hidden="1" customHeight="1" outlineLevel="1">
      <c r="A374" s="58"/>
      <c r="B374" s="58"/>
      <c r="C374" s="58"/>
      <c r="D374" s="11"/>
      <c r="E374" s="11"/>
      <c r="F374" s="58"/>
      <c r="G374" s="74" t="s">
        <v>17</v>
      </c>
      <c r="H374" s="74" t="s">
        <v>18</v>
      </c>
      <c r="I374" s="286">
        <v>14.0</v>
      </c>
      <c r="J374" s="73"/>
      <c r="K374" s="73"/>
      <c r="L374" s="73"/>
      <c r="M374" s="74"/>
      <c r="N374" s="74"/>
      <c r="O374" s="76"/>
      <c r="P374" s="76"/>
    </row>
    <row r="375" ht="20.25" hidden="1" customHeight="1" outlineLevel="1">
      <c r="A375" s="121">
        <v>45794.0</v>
      </c>
      <c r="B375" s="123" t="s">
        <v>40</v>
      </c>
      <c r="C375" s="123">
        <v>133.0</v>
      </c>
      <c r="D375" s="19"/>
      <c r="E375" s="19"/>
      <c r="F375" s="102" t="s">
        <v>42</v>
      </c>
      <c r="G375" s="74" t="s">
        <v>17</v>
      </c>
      <c r="H375" s="74" t="s">
        <v>25</v>
      </c>
      <c r="I375" s="77">
        <v>1.0</v>
      </c>
      <c r="J375" s="77"/>
      <c r="K375" s="77"/>
      <c r="L375" s="77"/>
      <c r="M375" s="74"/>
      <c r="N375" s="74"/>
      <c r="O375" s="76"/>
      <c r="P375" s="76"/>
    </row>
    <row r="376" ht="20.25" hidden="1" customHeight="1" outlineLevel="1">
      <c r="A376" s="57"/>
      <c r="B376" s="58"/>
      <c r="C376" s="58"/>
      <c r="D376" s="11"/>
      <c r="E376" s="11"/>
      <c r="F376" s="58"/>
      <c r="G376" s="74" t="s">
        <v>17</v>
      </c>
      <c r="H376" s="74" t="s">
        <v>18</v>
      </c>
      <c r="I376" s="73">
        <v>29.0</v>
      </c>
      <c r="J376" s="73"/>
      <c r="K376" s="73"/>
      <c r="L376" s="73"/>
      <c r="M376" s="74"/>
      <c r="N376" s="74"/>
      <c r="O376" s="76"/>
      <c r="P376" s="76"/>
    </row>
    <row r="377" ht="20.25" hidden="1" customHeight="1" outlineLevel="1">
      <c r="A377" s="29"/>
      <c r="B377" s="123" t="s">
        <v>40</v>
      </c>
      <c r="C377" s="123">
        <v>125.0</v>
      </c>
      <c r="D377" s="19"/>
      <c r="E377" s="19"/>
      <c r="F377" s="26" t="s">
        <v>78</v>
      </c>
      <c r="G377" s="74" t="s">
        <v>17</v>
      </c>
      <c r="H377" s="74" t="s">
        <v>25</v>
      </c>
      <c r="I377" s="286">
        <v>1.0</v>
      </c>
      <c r="J377" s="77"/>
      <c r="K377" s="77"/>
      <c r="L377" s="77"/>
      <c r="M377" s="74"/>
      <c r="N377" s="74"/>
      <c r="O377" s="76"/>
      <c r="P377" s="76"/>
    </row>
    <row r="378" ht="20.25" hidden="1" customHeight="1" outlineLevel="1">
      <c r="A378" s="57"/>
      <c r="B378" s="58"/>
      <c r="C378" s="58"/>
      <c r="D378" s="11"/>
      <c r="E378" s="11"/>
      <c r="F378" s="57"/>
      <c r="G378" s="74" t="s">
        <v>17</v>
      </c>
      <c r="H378" s="74" t="s">
        <v>18</v>
      </c>
      <c r="I378" s="286">
        <v>17.0</v>
      </c>
      <c r="J378" s="73"/>
      <c r="K378" s="73"/>
      <c r="L378" s="73"/>
      <c r="M378" s="74"/>
      <c r="N378" s="74"/>
      <c r="O378" s="76"/>
      <c r="P378" s="76"/>
    </row>
    <row r="379" ht="20.25" hidden="1" customHeight="1" outlineLevel="1">
      <c r="A379" s="29"/>
      <c r="B379" s="123" t="s">
        <v>40</v>
      </c>
      <c r="C379" s="123">
        <v>125.0</v>
      </c>
      <c r="D379" s="19"/>
      <c r="E379" s="19"/>
      <c r="F379" s="102" t="s">
        <v>47</v>
      </c>
      <c r="G379" s="74" t="s">
        <v>17</v>
      </c>
      <c r="H379" s="74" t="s">
        <v>25</v>
      </c>
      <c r="I379" s="77">
        <v>1.0</v>
      </c>
      <c r="J379" s="77"/>
      <c r="K379" s="77"/>
      <c r="L379" s="77"/>
      <c r="M379" s="74"/>
      <c r="N379" s="74"/>
      <c r="O379" s="76"/>
      <c r="P379" s="76"/>
    </row>
    <row r="380" ht="20.25" hidden="1" customHeight="1" outlineLevel="1">
      <c r="A380" s="57"/>
      <c r="B380" s="58"/>
      <c r="C380" s="58"/>
      <c r="D380" s="11"/>
      <c r="E380" s="11"/>
      <c r="F380" s="58"/>
      <c r="G380" s="74" t="s">
        <v>17</v>
      </c>
      <c r="H380" s="74" t="s">
        <v>18</v>
      </c>
      <c r="I380" s="73">
        <v>17.0</v>
      </c>
      <c r="J380" s="73"/>
      <c r="K380" s="73"/>
      <c r="L380" s="73"/>
      <c r="M380" s="74"/>
      <c r="N380" s="74"/>
      <c r="O380" s="76"/>
      <c r="P380" s="76"/>
    </row>
    <row r="381" ht="20.25" hidden="1" customHeight="1" outlineLevel="1">
      <c r="A381" s="29"/>
      <c r="B381" s="123" t="s">
        <v>40</v>
      </c>
      <c r="C381" s="123">
        <v>125.0</v>
      </c>
      <c r="D381" s="19"/>
      <c r="E381" s="19"/>
      <c r="F381" s="26" t="s">
        <v>84</v>
      </c>
      <c r="G381" s="74" t="s">
        <v>17</v>
      </c>
      <c r="H381" s="74" t="s">
        <v>25</v>
      </c>
      <c r="I381" s="286">
        <v>1.0</v>
      </c>
      <c r="J381" s="77"/>
      <c r="K381" s="77"/>
      <c r="L381" s="77"/>
      <c r="M381" s="74"/>
      <c r="N381" s="74"/>
      <c r="O381" s="76"/>
      <c r="P381" s="76"/>
    </row>
    <row r="382" ht="20.25" hidden="1" customHeight="1" outlineLevel="1">
      <c r="A382" s="57"/>
      <c r="B382" s="58"/>
      <c r="C382" s="58"/>
      <c r="D382" s="11"/>
      <c r="E382" s="11"/>
      <c r="F382" s="58"/>
      <c r="G382" s="74" t="s">
        <v>17</v>
      </c>
      <c r="H382" s="74" t="s">
        <v>18</v>
      </c>
      <c r="I382" s="286">
        <v>20.0</v>
      </c>
      <c r="J382" s="73"/>
      <c r="K382" s="73"/>
      <c r="L382" s="73"/>
      <c r="M382" s="74"/>
      <c r="N382" s="74"/>
      <c r="O382" s="76"/>
      <c r="P382" s="76"/>
    </row>
    <row r="383" ht="20.25" hidden="1" customHeight="1" outlineLevel="1">
      <c r="A383" s="29"/>
      <c r="B383" s="123" t="s">
        <v>40</v>
      </c>
      <c r="C383" s="123">
        <v>125.0</v>
      </c>
      <c r="D383" s="19"/>
      <c r="E383" s="19"/>
      <c r="F383" s="26" t="s">
        <v>59</v>
      </c>
      <c r="G383" s="74" t="s">
        <v>17</v>
      </c>
      <c r="H383" s="74" t="s">
        <v>25</v>
      </c>
      <c r="I383" s="286">
        <v>1.0</v>
      </c>
      <c r="J383" s="77"/>
      <c r="K383" s="77"/>
      <c r="L383" s="77"/>
      <c r="M383" s="74"/>
      <c r="N383" s="74"/>
      <c r="O383" s="76"/>
      <c r="P383" s="76"/>
    </row>
    <row r="384" ht="20.25" hidden="1" customHeight="1" outlineLevel="1">
      <c r="A384" s="58"/>
      <c r="B384" s="58"/>
      <c r="C384" s="58"/>
      <c r="D384" s="11"/>
      <c r="E384" s="11"/>
      <c r="F384" s="58"/>
      <c r="G384" s="74" t="s">
        <v>17</v>
      </c>
      <c r="H384" s="74" t="s">
        <v>18</v>
      </c>
      <c r="I384" s="286">
        <v>16.0</v>
      </c>
      <c r="J384" s="73"/>
      <c r="K384" s="73"/>
      <c r="L384" s="73"/>
      <c r="M384" s="74"/>
      <c r="N384" s="74"/>
      <c r="O384" s="76"/>
      <c r="P384" s="76"/>
    </row>
    <row r="385" ht="20.25" hidden="1" customHeight="1" outlineLevel="1">
      <c r="A385" s="121">
        <v>45795.0</v>
      </c>
      <c r="B385" s="123" t="s">
        <v>21</v>
      </c>
      <c r="C385" s="123">
        <v>114.0</v>
      </c>
      <c r="D385" s="19"/>
      <c r="E385" s="19"/>
      <c r="F385" s="26" t="s">
        <v>59</v>
      </c>
      <c r="G385" s="74" t="s">
        <v>17</v>
      </c>
      <c r="H385" s="74" t="s">
        <v>25</v>
      </c>
      <c r="I385" s="77">
        <v>1.0</v>
      </c>
      <c r="J385" s="77"/>
      <c r="K385" s="77"/>
      <c r="L385" s="77"/>
      <c r="M385" s="74"/>
      <c r="N385" s="74"/>
      <c r="O385" s="76"/>
      <c r="P385" s="76"/>
    </row>
    <row r="386" ht="20.25" hidden="1" customHeight="1" outlineLevel="1">
      <c r="A386" s="57"/>
      <c r="B386" s="58"/>
      <c r="C386" s="58"/>
      <c r="D386" s="11"/>
      <c r="E386" s="11"/>
      <c r="F386" s="58"/>
      <c r="G386" s="74" t="s">
        <v>17</v>
      </c>
      <c r="H386" s="74" t="s">
        <v>18</v>
      </c>
      <c r="I386" s="73">
        <v>14.0</v>
      </c>
      <c r="J386" s="73"/>
      <c r="K386" s="73"/>
      <c r="L386" s="73"/>
      <c r="M386" s="74"/>
      <c r="N386" s="74"/>
      <c r="O386" s="76"/>
      <c r="P386" s="76"/>
    </row>
    <row r="387" ht="20.25" hidden="1" customHeight="1" outlineLevel="1">
      <c r="A387" s="29"/>
      <c r="B387" s="123" t="s">
        <v>21</v>
      </c>
      <c r="C387" s="123">
        <v>113.0</v>
      </c>
      <c r="D387" s="19"/>
      <c r="E387" s="19"/>
      <c r="F387" s="26" t="s">
        <v>84</v>
      </c>
      <c r="G387" s="74" t="s">
        <v>17</v>
      </c>
      <c r="H387" s="74" t="s">
        <v>25</v>
      </c>
      <c r="I387" s="77">
        <v>1.0</v>
      </c>
      <c r="J387" s="77"/>
      <c r="K387" s="77"/>
      <c r="L387" s="77"/>
      <c r="M387" s="74"/>
      <c r="N387" s="74"/>
      <c r="O387" s="76"/>
      <c r="P387" s="76"/>
    </row>
    <row r="388" ht="20.25" hidden="1" customHeight="1" outlineLevel="1">
      <c r="A388" s="57"/>
      <c r="B388" s="58"/>
      <c r="C388" s="58"/>
      <c r="D388" s="11"/>
      <c r="E388" s="11"/>
      <c r="F388" s="58"/>
      <c r="G388" s="74" t="s">
        <v>17</v>
      </c>
      <c r="H388" s="74" t="s">
        <v>18</v>
      </c>
      <c r="I388" s="73">
        <v>19.0</v>
      </c>
      <c r="J388" s="73"/>
      <c r="K388" s="73"/>
      <c r="L388" s="73"/>
      <c r="M388" s="74"/>
      <c r="N388" s="74"/>
      <c r="O388" s="76"/>
      <c r="P388" s="76"/>
    </row>
    <row r="389" ht="20.25" hidden="1" customHeight="1" outlineLevel="1">
      <c r="A389" s="29"/>
      <c r="B389" s="123" t="s">
        <v>21</v>
      </c>
      <c r="C389" s="123">
        <v>130.0</v>
      </c>
      <c r="D389" s="19"/>
      <c r="E389" s="19"/>
      <c r="F389" s="102" t="s">
        <v>47</v>
      </c>
      <c r="G389" s="74" t="s">
        <v>17</v>
      </c>
      <c r="H389" s="74" t="s">
        <v>25</v>
      </c>
      <c r="I389" s="77">
        <v>1.0</v>
      </c>
      <c r="J389" s="77"/>
      <c r="K389" s="77"/>
      <c r="L389" s="77"/>
      <c r="M389" s="74"/>
      <c r="N389" s="74"/>
      <c r="O389" s="76"/>
      <c r="P389" s="76"/>
    </row>
    <row r="390" ht="20.25" hidden="1" customHeight="1" outlineLevel="1">
      <c r="A390" s="57"/>
      <c r="B390" s="58"/>
      <c r="C390" s="58"/>
      <c r="D390" s="11"/>
      <c r="E390" s="11"/>
      <c r="F390" s="58"/>
      <c r="G390" s="74" t="s">
        <v>17</v>
      </c>
      <c r="H390" s="74" t="s">
        <v>18</v>
      </c>
      <c r="I390" s="73">
        <v>18.0</v>
      </c>
      <c r="J390" s="73"/>
      <c r="K390" s="73"/>
      <c r="L390" s="73"/>
      <c r="M390" s="74"/>
      <c r="N390" s="74"/>
      <c r="O390" s="76"/>
      <c r="P390" s="76"/>
    </row>
    <row r="391" ht="20.25" hidden="1" customHeight="1" outlineLevel="1">
      <c r="A391" s="29"/>
      <c r="B391" s="123" t="s">
        <v>21</v>
      </c>
      <c r="C391" s="123">
        <v>112.0</v>
      </c>
      <c r="D391" s="19"/>
      <c r="E391" s="19"/>
      <c r="F391" s="26" t="s">
        <v>78</v>
      </c>
      <c r="G391" s="74" t="s">
        <v>17</v>
      </c>
      <c r="H391" s="74" t="s">
        <v>25</v>
      </c>
      <c r="I391" s="77">
        <v>1.0</v>
      </c>
      <c r="J391" s="77"/>
      <c r="K391" s="77"/>
      <c r="L391" s="77"/>
      <c r="M391" s="74"/>
      <c r="N391" s="74"/>
      <c r="O391" s="76"/>
      <c r="P391" s="76"/>
    </row>
    <row r="392" ht="20.25" hidden="1" customHeight="1" outlineLevel="1">
      <c r="A392" s="57"/>
      <c r="B392" s="58"/>
      <c r="C392" s="58"/>
      <c r="D392" s="11"/>
      <c r="E392" s="11"/>
      <c r="F392" s="57"/>
      <c r="G392" s="74" t="s">
        <v>17</v>
      </c>
      <c r="H392" s="74" t="s">
        <v>18</v>
      </c>
      <c r="I392" s="73">
        <v>14.0</v>
      </c>
      <c r="J392" s="73"/>
      <c r="K392" s="73"/>
      <c r="L392" s="73"/>
      <c r="M392" s="74"/>
      <c r="N392" s="74"/>
      <c r="O392" s="76"/>
      <c r="P392" s="76"/>
    </row>
    <row r="393" ht="20.25" hidden="1" customHeight="1" outlineLevel="1">
      <c r="A393" s="29"/>
      <c r="B393" s="123" t="s">
        <v>21</v>
      </c>
      <c r="C393" s="123">
        <v>128.0</v>
      </c>
      <c r="D393" s="19"/>
      <c r="E393" s="19"/>
      <c r="F393" s="102" t="s">
        <v>42</v>
      </c>
      <c r="G393" s="74" t="s">
        <v>17</v>
      </c>
      <c r="H393" s="105" t="s">
        <v>18</v>
      </c>
      <c r="I393" s="160">
        <v>20.0</v>
      </c>
      <c r="J393" s="77"/>
      <c r="K393" s="77"/>
      <c r="L393" s="77"/>
      <c r="M393" s="74"/>
      <c r="N393" s="74"/>
      <c r="O393" s="76"/>
      <c r="P393" s="76"/>
    </row>
    <row r="394" ht="20.25" hidden="1" customHeight="1" outlineLevel="1">
      <c r="A394" s="58"/>
      <c r="B394" s="58"/>
      <c r="C394" s="58"/>
      <c r="D394" s="11"/>
      <c r="E394" s="11"/>
      <c r="F394" s="58"/>
      <c r="G394" s="74" t="s">
        <v>17</v>
      </c>
      <c r="H394" s="108"/>
      <c r="I394" s="58"/>
      <c r="J394" s="73"/>
      <c r="K394" s="73"/>
      <c r="L394" s="73"/>
      <c r="M394" s="74"/>
      <c r="N394" s="74"/>
      <c r="O394" s="76"/>
      <c r="P394" s="76"/>
    </row>
    <row r="395" ht="20.25" hidden="1" customHeight="1" outlineLevel="1">
      <c r="A395" s="121">
        <v>45796.0</v>
      </c>
      <c r="B395" s="123" t="s">
        <v>21</v>
      </c>
      <c r="C395" s="123">
        <v>128.0</v>
      </c>
      <c r="D395" s="19"/>
      <c r="E395" s="19"/>
      <c r="F395" s="102" t="s">
        <v>42</v>
      </c>
      <c r="G395" s="74" t="s">
        <v>17</v>
      </c>
      <c r="H395" s="74" t="s">
        <v>25</v>
      </c>
      <c r="I395" s="77">
        <v>1.0</v>
      </c>
      <c r="J395" s="77"/>
      <c r="K395" s="77"/>
      <c r="L395" s="77"/>
      <c r="M395" s="74"/>
      <c r="N395" s="74"/>
      <c r="O395" s="76"/>
      <c r="P395" s="76"/>
    </row>
    <row r="396" ht="20.25" hidden="1" customHeight="1" outlineLevel="1">
      <c r="A396" s="57"/>
      <c r="B396" s="58"/>
      <c r="C396" s="58"/>
      <c r="D396" s="11"/>
      <c r="E396" s="11"/>
      <c r="F396" s="58"/>
      <c r="G396" s="74" t="s">
        <v>17</v>
      </c>
      <c r="H396" s="74" t="s">
        <v>18</v>
      </c>
      <c r="I396" s="73">
        <v>19.0</v>
      </c>
      <c r="J396" s="73"/>
      <c r="K396" s="73"/>
      <c r="L396" s="73"/>
      <c r="M396" s="74"/>
      <c r="N396" s="74"/>
      <c r="O396" s="76"/>
      <c r="P396" s="76"/>
    </row>
    <row r="397" ht="20.25" hidden="1" customHeight="1" outlineLevel="1">
      <c r="A397" s="29"/>
      <c r="B397" s="123" t="s">
        <v>21</v>
      </c>
      <c r="C397" s="123">
        <v>110.0</v>
      </c>
      <c r="D397" s="19"/>
      <c r="E397" s="19"/>
      <c r="F397" s="26" t="s">
        <v>78</v>
      </c>
      <c r="G397" s="74" t="s">
        <v>17</v>
      </c>
      <c r="H397" s="74" t="s">
        <v>25</v>
      </c>
      <c r="I397" s="77">
        <v>1.0</v>
      </c>
      <c r="J397" s="77"/>
      <c r="K397" s="77"/>
      <c r="L397" s="77"/>
      <c r="M397" s="74"/>
      <c r="N397" s="74"/>
      <c r="O397" s="76"/>
      <c r="P397" s="76"/>
    </row>
    <row r="398" ht="20.25" hidden="1" customHeight="1" outlineLevel="1">
      <c r="A398" s="57"/>
      <c r="B398" s="58"/>
      <c r="C398" s="58"/>
      <c r="D398" s="11"/>
      <c r="E398" s="11"/>
      <c r="F398" s="57"/>
      <c r="G398" s="74" t="s">
        <v>17</v>
      </c>
      <c r="H398" s="74" t="s">
        <v>18</v>
      </c>
      <c r="I398" s="73">
        <v>18.0</v>
      </c>
      <c r="J398" s="73"/>
      <c r="K398" s="73"/>
      <c r="L398" s="73"/>
      <c r="M398" s="74"/>
      <c r="N398" s="74"/>
      <c r="O398" s="76"/>
      <c r="P398" s="76"/>
    </row>
    <row r="399" ht="20.25" hidden="1" customHeight="1" outlineLevel="1">
      <c r="A399" s="29"/>
      <c r="B399" s="123" t="s">
        <v>21</v>
      </c>
      <c r="C399" s="123">
        <v>130.0</v>
      </c>
      <c r="D399" s="19"/>
      <c r="E399" s="19"/>
      <c r="F399" s="102" t="s">
        <v>47</v>
      </c>
      <c r="G399" s="74" t="s">
        <v>17</v>
      </c>
      <c r="H399" s="74" t="s">
        <v>25</v>
      </c>
      <c r="I399" s="77">
        <v>1.0</v>
      </c>
      <c r="J399" s="77"/>
      <c r="K399" s="77"/>
      <c r="L399" s="77"/>
      <c r="M399" s="74"/>
      <c r="N399" s="74"/>
      <c r="O399" s="76"/>
      <c r="P399" s="76"/>
    </row>
    <row r="400" ht="20.25" hidden="1" customHeight="1" outlineLevel="1">
      <c r="A400" s="57"/>
      <c r="B400" s="58"/>
      <c r="C400" s="58"/>
      <c r="D400" s="11"/>
      <c r="E400" s="11"/>
      <c r="F400" s="58"/>
      <c r="G400" s="74" t="s">
        <v>17</v>
      </c>
      <c r="H400" s="74" t="s">
        <v>18</v>
      </c>
      <c r="I400" s="73">
        <v>17.0</v>
      </c>
      <c r="J400" s="73"/>
      <c r="K400" s="73"/>
      <c r="L400" s="73"/>
      <c r="M400" s="74"/>
      <c r="N400" s="74"/>
      <c r="O400" s="76"/>
      <c r="P400" s="76"/>
    </row>
    <row r="401" ht="20.25" hidden="1" customHeight="1" outlineLevel="1">
      <c r="A401" s="29"/>
      <c r="B401" s="123" t="s">
        <v>21</v>
      </c>
      <c r="C401" s="123">
        <v>113.0</v>
      </c>
      <c r="D401" s="19"/>
      <c r="E401" s="19"/>
      <c r="F401" s="26" t="s">
        <v>84</v>
      </c>
      <c r="G401" s="74" t="s">
        <v>17</v>
      </c>
      <c r="H401" s="74" t="s">
        <v>25</v>
      </c>
      <c r="I401" s="77">
        <v>1.0</v>
      </c>
      <c r="J401" s="77"/>
      <c r="K401" s="77"/>
      <c r="L401" s="77"/>
      <c r="M401" s="74"/>
      <c r="N401" s="74"/>
      <c r="O401" s="76"/>
      <c r="P401" s="76"/>
    </row>
    <row r="402" ht="20.25" hidden="1" customHeight="1" outlineLevel="1">
      <c r="A402" s="57"/>
      <c r="B402" s="58"/>
      <c r="C402" s="58"/>
      <c r="D402" s="11"/>
      <c r="E402" s="11"/>
      <c r="F402" s="58"/>
      <c r="G402" s="74" t="s">
        <v>17</v>
      </c>
      <c r="H402" s="74" t="s">
        <v>18</v>
      </c>
      <c r="I402" s="73">
        <v>19.0</v>
      </c>
      <c r="J402" s="73"/>
      <c r="K402" s="73"/>
      <c r="L402" s="73"/>
      <c r="M402" s="74"/>
      <c r="N402" s="74"/>
      <c r="O402" s="76"/>
      <c r="P402" s="76"/>
    </row>
    <row r="403" ht="20.25" hidden="1" customHeight="1" outlineLevel="1">
      <c r="A403" s="29"/>
      <c r="B403" s="123" t="s">
        <v>21</v>
      </c>
      <c r="C403" s="123">
        <v>114.0</v>
      </c>
      <c r="D403" s="19"/>
      <c r="E403" s="19"/>
      <c r="F403" s="26" t="s">
        <v>59</v>
      </c>
      <c r="G403" s="74" t="s">
        <v>17</v>
      </c>
      <c r="H403" s="74" t="s">
        <v>25</v>
      </c>
      <c r="I403" s="77">
        <v>1.0</v>
      </c>
      <c r="J403" s="77"/>
      <c r="K403" s="77"/>
      <c r="L403" s="77"/>
      <c r="M403" s="74"/>
      <c r="N403" s="74"/>
      <c r="O403" s="76"/>
      <c r="P403" s="76"/>
    </row>
    <row r="404" ht="20.25" hidden="1" customHeight="1" outlineLevel="1">
      <c r="A404" s="57"/>
      <c r="B404" s="58"/>
      <c r="C404" s="58"/>
      <c r="D404" s="11"/>
      <c r="E404" s="11"/>
      <c r="F404" s="58"/>
      <c r="G404" s="74" t="s">
        <v>17</v>
      </c>
      <c r="H404" s="74" t="s">
        <v>18</v>
      </c>
      <c r="I404" s="75">
        <v>18.0</v>
      </c>
      <c r="J404" s="73"/>
      <c r="K404" s="73"/>
      <c r="L404" s="73"/>
      <c r="M404" s="74"/>
      <c r="N404" s="74"/>
      <c r="O404" s="76"/>
      <c r="P404" s="76"/>
    </row>
    <row r="405" ht="20.25" hidden="1" customHeight="1" outlineLevel="1">
      <c r="A405" s="29"/>
      <c r="B405" s="123" t="s">
        <v>21</v>
      </c>
      <c r="C405" s="123">
        <v>101.0</v>
      </c>
      <c r="D405" s="19"/>
      <c r="E405" s="19"/>
      <c r="F405" s="26" t="s">
        <v>82</v>
      </c>
      <c r="G405" s="74" t="s">
        <v>17</v>
      </c>
      <c r="H405" s="297" t="s">
        <v>18</v>
      </c>
      <c r="I405" s="160">
        <v>17.0</v>
      </c>
      <c r="J405" s="298"/>
      <c r="K405" s="77"/>
      <c r="L405" s="77"/>
      <c r="M405" s="74"/>
      <c r="N405" s="74"/>
      <c r="O405" s="76"/>
      <c r="P405" s="76"/>
    </row>
    <row r="406" ht="20.25" hidden="1" customHeight="1" outlineLevel="1">
      <c r="A406" s="57"/>
      <c r="B406" s="58"/>
      <c r="C406" s="58"/>
      <c r="D406" s="11"/>
      <c r="E406" s="11"/>
      <c r="F406" s="58"/>
      <c r="G406" s="74" t="s">
        <v>17</v>
      </c>
      <c r="H406" s="49"/>
      <c r="I406" s="58"/>
      <c r="J406" s="299"/>
      <c r="K406" s="73"/>
      <c r="L406" s="73"/>
      <c r="M406" s="74"/>
      <c r="N406" s="74"/>
      <c r="O406" s="76"/>
      <c r="P406" s="76"/>
    </row>
    <row r="407" ht="20.25" hidden="1" customHeight="1" outlineLevel="1">
      <c r="A407" s="121">
        <v>45797.0</v>
      </c>
      <c r="B407" s="123" t="s">
        <v>21</v>
      </c>
      <c r="C407" s="123">
        <v>127.0</v>
      </c>
      <c r="D407" s="19"/>
      <c r="E407" s="19"/>
      <c r="F407" s="102" t="s">
        <v>42</v>
      </c>
      <c r="G407" s="74" t="s">
        <v>17</v>
      </c>
      <c r="H407" s="74" t="s">
        <v>25</v>
      </c>
      <c r="I407" s="77">
        <v>1.0</v>
      </c>
      <c r="J407" s="77"/>
      <c r="K407" s="77"/>
      <c r="L407" s="77"/>
      <c r="M407" s="74"/>
      <c r="N407" s="74"/>
      <c r="O407" s="76"/>
      <c r="P407" s="76"/>
    </row>
    <row r="408" ht="20.25" hidden="1" customHeight="1" outlineLevel="1">
      <c r="A408" s="57"/>
      <c r="B408" s="58"/>
      <c r="C408" s="58"/>
      <c r="D408" s="11"/>
      <c r="E408" s="11"/>
      <c r="F408" s="58"/>
      <c r="G408" s="74" t="s">
        <v>17</v>
      </c>
      <c r="H408" s="74" t="s">
        <v>18</v>
      </c>
      <c r="I408" s="73">
        <v>20.0</v>
      </c>
      <c r="J408" s="73"/>
      <c r="K408" s="73"/>
      <c r="L408" s="73"/>
      <c r="M408" s="74"/>
      <c r="N408" s="74"/>
      <c r="O408" s="76"/>
      <c r="P408" s="76"/>
    </row>
    <row r="409" ht="20.25" hidden="1" customHeight="1" outlineLevel="1">
      <c r="A409" s="29"/>
      <c r="B409" s="123" t="s">
        <v>21</v>
      </c>
      <c r="C409" s="123">
        <v>110.0</v>
      </c>
      <c r="D409" s="19"/>
      <c r="E409" s="19"/>
      <c r="F409" s="26" t="s">
        <v>78</v>
      </c>
      <c r="G409" s="74" t="s">
        <v>17</v>
      </c>
      <c r="H409" s="74" t="s">
        <v>25</v>
      </c>
      <c r="I409" s="77">
        <v>1.0</v>
      </c>
      <c r="J409" s="77"/>
      <c r="K409" s="77"/>
      <c r="L409" s="77"/>
      <c r="M409" s="74"/>
      <c r="N409" s="74"/>
      <c r="O409" s="76"/>
      <c r="P409" s="76"/>
    </row>
    <row r="410" ht="20.25" hidden="1" customHeight="1" outlineLevel="1">
      <c r="A410" s="57"/>
      <c r="B410" s="58"/>
      <c r="C410" s="58"/>
      <c r="D410" s="11"/>
      <c r="E410" s="11"/>
      <c r="F410" s="57"/>
      <c r="G410" s="74" t="s">
        <v>17</v>
      </c>
      <c r="H410" s="74" t="s">
        <v>18</v>
      </c>
      <c r="I410" s="73">
        <v>13.0</v>
      </c>
      <c r="J410" s="73"/>
      <c r="K410" s="73"/>
      <c r="L410" s="73"/>
      <c r="M410" s="74"/>
      <c r="N410" s="74"/>
      <c r="O410" s="76"/>
      <c r="P410" s="76"/>
    </row>
    <row r="411" ht="20.25" hidden="1" customHeight="1" outlineLevel="1">
      <c r="A411" s="29"/>
      <c r="B411" s="123" t="s">
        <v>21</v>
      </c>
      <c r="C411" s="123">
        <v>129.0</v>
      </c>
      <c r="D411" s="19"/>
      <c r="E411" s="19"/>
      <c r="F411" s="102" t="s">
        <v>47</v>
      </c>
      <c r="G411" s="74" t="s">
        <v>17</v>
      </c>
      <c r="H411" s="74" t="s">
        <v>25</v>
      </c>
      <c r="I411" s="77">
        <v>1.0</v>
      </c>
      <c r="J411" s="77"/>
      <c r="K411" s="77"/>
      <c r="L411" s="77"/>
      <c r="M411" s="74"/>
      <c r="N411" s="74"/>
      <c r="O411" s="76"/>
      <c r="P411" s="76"/>
    </row>
    <row r="412" ht="20.25" hidden="1" customHeight="1" outlineLevel="1">
      <c r="A412" s="57"/>
      <c r="B412" s="58"/>
      <c r="C412" s="58"/>
      <c r="D412" s="11"/>
      <c r="E412" s="11"/>
      <c r="F412" s="58"/>
      <c r="G412" s="74" t="s">
        <v>17</v>
      </c>
      <c r="H412" s="74" t="s">
        <v>18</v>
      </c>
      <c r="I412" s="73">
        <v>16.0</v>
      </c>
      <c r="J412" s="73"/>
      <c r="K412" s="73"/>
      <c r="L412" s="73"/>
      <c r="M412" s="74"/>
      <c r="N412" s="74"/>
      <c r="O412" s="76"/>
      <c r="P412" s="76"/>
    </row>
    <row r="413" ht="20.25" hidden="1" customHeight="1" outlineLevel="1">
      <c r="A413" s="29"/>
      <c r="B413" s="123" t="s">
        <v>21</v>
      </c>
      <c r="C413" s="123">
        <v>118.0</v>
      </c>
      <c r="D413" s="19"/>
      <c r="E413" s="19"/>
      <c r="F413" s="26" t="s">
        <v>84</v>
      </c>
      <c r="G413" s="74" t="s">
        <v>17</v>
      </c>
      <c r="H413" s="105" t="s">
        <v>18</v>
      </c>
      <c r="I413" s="160">
        <v>18.0</v>
      </c>
      <c r="J413" s="77"/>
      <c r="K413" s="77"/>
      <c r="L413" s="77"/>
      <c r="M413" s="74"/>
      <c r="N413" s="74"/>
      <c r="O413" s="76"/>
      <c r="P413" s="76"/>
    </row>
    <row r="414" ht="20.25" hidden="1" customHeight="1" outlineLevel="1">
      <c r="A414" s="57"/>
      <c r="B414" s="58"/>
      <c r="C414" s="58"/>
      <c r="D414" s="11"/>
      <c r="E414" s="11"/>
      <c r="F414" s="58"/>
      <c r="G414" s="74" t="s">
        <v>17</v>
      </c>
      <c r="H414" s="108"/>
      <c r="I414" s="58"/>
      <c r="J414" s="73"/>
      <c r="K414" s="73"/>
      <c r="L414" s="73"/>
      <c r="M414" s="74"/>
      <c r="N414" s="74"/>
      <c r="O414" s="76"/>
      <c r="P414" s="76"/>
    </row>
    <row r="415" ht="20.25" hidden="1" customHeight="1" outlineLevel="1">
      <c r="A415" s="29"/>
      <c r="B415" s="123" t="s">
        <v>21</v>
      </c>
      <c r="C415" s="123">
        <v>119.0</v>
      </c>
      <c r="D415" s="19"/>
      <c r="E415" s="19"/>
      <c r="F415" s="26" t="s">
        <v>59</v>
      </c>
      <c r="G415" s="74" t="s">
        <v>17</v>
      </c>
      <c r="H415" s="74" t="s">
        <v>25</v>
      </c>
      <c r="I415" s="77">
        <v>1.0</v>
      </c>
      <c r="J415" s="77"/>
      <c r="K415" s="77"/>
      <c r="L415" s="77"/>
      <c r="M415" s="74"/>
      <c r="N415" s="74"/>
      <c r="O415" s="76"/>
      <c r="P415" s="76"/>
    </row>
    <row r="416" ht="20.25" hidden="1" customHeight="1" outlineLevel="1">
      <c r="A416" s="58"/>
      <c r="B416" s="58"/>
      <c r="C416" s="58"/>
      <c r="D416" s="11"/>
      <c r="E416" s="11"/>
      <c r="F416" s="58"/>
      <c r="G416" s="74" t="s">
        <v>17</v>
      </c>
      <c r="H416" s="74" t="s">
        <v>18</v>
      </c>
      <c r="I416" s="73">
        <v>17.0</v>
      </c>
      <c r="J416" s="73"/>
      <c r="K416" s="73"/>
      <c r="L416" s="73"/>
      <c r="M416" s="74"/>
      <c r="N416" s="74"/>
      <c r="O416" s="76"/>
      <c r="P416" s="76"/>
    </row>
    <row r="417" ht="20.25" hidden="1" customHeight="1" outlineLevel="1">
      <c r="A417" s="121">
        <v>45798.0</v>
      </c>
      <c r="B417" s="123" t="s">
        <v>21</v>
      </c>
      <c r="C417" s="123">
        <v>124.0</v>
      </c>
      <c r="D417" s="19"/>
      <c r="E417" s="19"/>
      <c r="F417" s="102" t="s">
        <v>42</v>
      </c>
      <c r="G417" s="74" t="s">
        <v>17</v>
      </c>
      <c r="H417" s="74" t="s">
        <v>25</v>
      </c>
      <c r="I417" s="77">
        <v>1.0</v>
      </c>
      <c r="J417" s="77"/>
      <c r="K417" s="77"/>
      <c r="L417" s="77"/>
      <c r="M417" s="74"/>
      <c r="N417" s="74"/>
      <c r="O417" s="76"/>
      <c r="P417" s="76"/>
    </row>
    <row r="418" ht="20.25" hidden="1" customHeight="1" outlineLevel="1">
      <c r="A418" s="57"/>
      <c r="B418" s="58"/>
      <c r="C418" s="58"/>
      <c r="D418" s="11"/>
      <c r="E418" s="11"/>
      <c r="F418" s="58"/>
      <c r="G418" s="74" t="s">
        <v>17</v>
      </c>
      <c r="H418" s="74" t="s">
        <v>18</v>
      </c>
      <c r="I418" s="73">
        <v>26.0</v>
      </c>
      <c r="J418" s="73"/>
      <c r="K418" s="73"/>
      <c r="L418" s="73"/>
      <c r="M418" s="74"/>
      <c r="N418" s="74"/>
      <c r="O418" s="76"/>
      <c r="P418" s="76"/>
    </row>
    <row r="419" ht="20.25" hidden="1" customHeight="1" outlineLevel="1">
      <c r="A419" s="29"/>
      <c r="B419" s="123" t="s">
        <v>21</v>
      </c>
      <c r="C419" s="123">
        <v>110.0</v>
      </c>
      <c r="D419" s="19"/>
      <c r="E419" s="19"/>
      <c r="F419" s="26" t="s">
        <v>78</v>
      </c>
      <c r="G419" s="74" t="s">
        <v>17</v>
      </c>
      <c r="H419" s="74" t="s">
        <v>25</v>
      </c>
      <c r="I419" s="77">
        <v>1.0</v>
      </c>
      <c r="J419" s="77"/>
      <c r="K419" s="77"/>
      <c r="L419" s="77"/>
      <c r="M419" s="74"/>
      <c r="N419" s="74"/>
      <c r="O419" s="76"/>
      <c r="P419" s="76"/>
    </row>
    <row r="420" ht="20.25" hidden="1" customHeight="1" outlineLevel="1">
      <c r="A420" s="57"/>
      <c r="B420" s="58"/>
      <c r="C420" s="58"/>
      <c r="D420" s="11"/>
      <c r="E420" s="11"/>
      <c r="F420" s="57"/>
      <c r="G420" s="74" t="s">
        <v>17</v>
      </c>
      <c r="H420" s="74" t="s">
        <v>18</v>
      </c>
      <c r="I420" s="73">
        <v>14.0</v>
      </c>
      <c r="J420" s="73"/>
      <c r="K420" s="73"/>
      <c r="L420" s="73"/>
      <c r="M420" s="74"/>
      <c r="N420" s="74"/>
      <c r="O420" s="76"/>
      <c r="P420" s="76"/>
    </row>
    <row r="421" ht="20.25" hidden="1" customHeight="1" outlineLevel="1">
      <c r="A421" s="29"/>
      <c r="B421" s="123" t="s">
        <v>21</v>
      </c>
      <c r="C421" s="123">
        <v>129.0</v>
      </c>
      <c r="D421" s="19"/>
      <c r="E421" s="19"/>
      <c r="F421" s="102" t="s">
        <v>47</v>
      </c>
      <c r="G421" s="74" t="s">
        <v>17</v>
      </c>
      <c r="H421" s="74" t="s">
        <v>25</v>
      </c>
      <c r="I421" s="77">
        <v>1.0</v>
      </c>
      <c r="J421" s="77"/>
      <c r="K421" s="77"/>
      <c r="L421" s="77"/>
      <c r="M421" s="74"/>
      <c r="N421" s="74"/>
      <c r="O421" s="76"/>
      <c r="P421" s="76"/>
    </row>
    <row r="422" ht="20.25" hidden="1" customHeight="1" outlineLevel="1">
      <c r="A422" s="57"/>
      <c r="B422" s="58"/>
      <c r="C422" s="58"/>
      <c r="D422" s="11"/>
      <c r="E422" s="11"/>
      <c r="F422" s="58"/>
      <c r="G422" s="74" t="s">
        <v>17</v>
      </c>
      <c r="H422" s="74" t="s">
        <v>18</v>
      </c>
      <c r="I422" s="73">
        <v>14.0</v>
      </c>
      <c r="J422" s="73"/>
      <c r="K422" s="73"/>
      <c r="L422" s="73"/>
      <c r="M422" s="74"/>
      <c r="N422" s="74"/>
      <c r="O422" s="76"/>
      <c r="P422" s="76"/>
    </row>
    <row r="423" ht="20.25" hidden="1" customHeight="1" outlineLevel="1">
      <c r="A423" s="29"/>
      <c r="B423" s="123" t="s">
        <v>21</v>
      </c>
      <c r="C423" s="123">
        <v>117.0</v>
      </c>
      <c r="D423" s="19"/>
      <c r="E423" s="19"/>
      <c r="F423" s="26" t="s">
        <v>84</v>
      </c>
      <c r="G423" s="74" t="s">
        <v>17</v>
      </c>
      <c r="H423" s="74" t="s">
        <v>25</v>
      </c>
      <c r="I423" s="77">
        <v>1.0</v>
      </c>
      <c r="J423" s="77"/>
      <c r="K423" s="77"/>
      <c r="L423" s="77"/>
      <c r="M423" s="74"/>
      <c r="N423" s="74"/>
      <c r="O423" s="76"/>
      <c r="P423" s="76"/>
    </row>
    <row r="424" ht="20.25" hidden="1" customHeight="1" outlineLevel="1">
      <c r="A424" s="57"/>
      <c r="B424" s="58"/>
      <c r="C424" s="58"/>
      <c r="D424" s="11"/>
      <c r="E424" s="11"/>
      <c r="F424" s="58"/>
      <c r="G424" s="74" t="s">
        <v>17</v>
      </c>
      <c r="H424" s="74" t="s">
        <v>18</v>
      </c>
      <c r="I424" s="73">
        <v>20.0</v>
      </c>
      <c r="J424" s="73"/>
      <c r="K424" s="73"/>
      <c r="L424" s="73"/>
      <c r="M424" s="74"/>
      <c r="N424" s="74"/>
      <c r="O424" s="76"/>
      <c r="P424" s="76"/>
    </row>
    <row r="425" ht="20.25" hidden="1" customHeight="1" outlineLevel="1">
      <c r="A425" s="29"/>
      <c r="B425" s="123" t="s">
        <v>21</v>
      </c>
      <c r="C425" s="123">
        <v>119.0</v>
      </c>
      <c r="D425" s="19"/>
      <c r="E425" s="19"/>
      <c r="F425" s="26" t="s">
        <v>59</v>
      </c>
      <c r="G425" s="74" t="s">
        <v>17</v>
      </c>
      <c r="H425" s="74" t="s">
        <v>25</v>
      </c>
      <c r="I425" s="77">
        <v>1.0</v>
      </c>
      <c r="J425" s="77"/>
      <c r="K425" s="77"/>
      <c r="L425" s="77"/>
      <c r="M425" s="74"/>
      <c r="N425" s="74"/>
      <c r="O425" s="76"/>
      <c r="P425" s="76"/>
    </row>
    <row r="426" ht="20.25" hidden="1" customHeight="1" outlineLevel="1">
      <c r="A426" s="58"/>
      <c r="B426" s="58"/>
      <c r="C426" s="58"/>
      <c r="D426" s="11"/>
      <c r="E426" s="11"/>
      <c r="F426" s="58"/>
      <c r="G426" s="74" t="s">
        <v>17</v>
      </c>
      <c r="H426" s="74" t="s">
        <v>18</v>
      </c>
      <c r="I426" s="73">
        <v>15.0</v>
      </c>
      <c r="J426" s="73"/>
      <c r="K426" s="73"/>
      <c r="L426" s="73"/>
      <c r="M426" s="74"/>
      <c r="N426" s="74"/>
      <c r="O426" s="76"/>
      <c r="P426" s="76"/>
    </row>
    <row r="427" ht="20.25" hidden="1" customHeight="1" outlineLevel="1">
      <c r="A427" s="121">
        <v>45799.0</v>
      </c>
      <c r="B427" s="123" t="s">
        <v>21</v>
      </c>
      <c r="C427" s="123">
        <v>123.0</v>
      </c>
      <c r="D427" s="19"/>
      <c r="E427" s="19"/>
      <c r="F427" s="102" t="s">
        <v>42</v>
      </c>
      <c r="G427" s="74" t="s">
        <v>17</v>
      </c>
      <c r="H427" s="74" t="s">
        <v>25</v>
      </c>
      <c r="I427" s="77">
        <v>1.0</v>
      </c>
      <c r="J427" s="77"/>
      <c r="K427" s="77"/>
      <c r="L427" s="77"/>
      <c r="M427" s="74"/>
      <c r="N427" s="74"/>
      <c r="O427" s="76"/>
      <c r="P427" s="76"/>
    </row>
    <row r="428" ht="20.25" hidden="1" customHeight="1" outlineLevel="1">
      <c r="A428" s="57"/>
      <c r="B428" s="58"/>
      <c r="C428" s="58"/>
      <c r="D428" s="11"/>
      <c r="E428" s="11"/>
      <c r="F428" s="58"/>
      <c r="G428" s="74" t="s">
        <v>17</v>
      </c>
      <c r="H428" s="74" t="s">
        <v>18</v>
      </c>
      <c r="I428" s="73">
        <v>19.0</v>
      </c>
      <c r="J428" s="73"/>
      <c r="K428" s="73"/>
      <c r="L428" s="73"/>
      <c r="M428" s="74"/>
      <c r="N428" s="74"/>
      <c r="O428" s="76"/>
      <c r="P428" s="76"/>
    </row>
    <row r="429" ht="20.25" hidden="1" customHeight="1" outlineLevel="1">
      <c r="A429" s="29"/>
      <c r="B429" s="123" t="s">
        <v>21</v>
      </c>
      <c r="C429" s="123">
        <v>111.0</v>
      </c>
      <c r="D429" s="19"/>
      <c r="E429" s="19"/>
      <c r="F429" s="26" t="s">
        <v>78</v>
      </c>
      <c r="G429" s="74" t="s">
        <v>17</v>
      </c>
      <c r="H429" s="74" t="s">
        <v>25</v>
      </c>
      <c r="I429" s="77">
        <v>1.0</v>
      </c>
      <c r="J429" s="77"/>
      <c r="K429" s="77"/>
      <c r="L429" s="77"/>
      <c r="M429" s="74"/>
      <c r="N429" s="74"/>
      <c r="O429" s="76"/>
      <c r="P429" s="76"/>
    </row>
    <row r="430" ht="20.25" hidden="1" customHeight="1" outlineLevel="1">
      <c r="A430" s="57"/>
      <c r="B430" s="58"/>
      <c r="C430" s="58"/>
      <c r="D430" s="11"/>
      <c r="E430" s="11"/>
      <c r="F430" s="57"/>
      <c r="G430" s="74" t="s">
        <v>17</v>
      </c>
      <c r="H430" s="74" t="s">
        <v>18</v>
      </c>
      <c r="I430" s="73">
        <v>5.0</v>
      </c>
      <c r="J430" s="73"/>
      <c r="K430" s="73"/>
      <c r="L430" s="73"/>
      <c r="M430" s="74"/>
      <c r="N430" s="74"/>
      <c r="O430" s="76"/>
      <c r="P430" s="76"/>
    </row>
    <row r="431" ht="20.25" hidden="1" customHeight="1" outlineLevel="1">
      <c r="A431" s="29"/>
      <c r="B431" s="123" t="s">
        <v>21</v>
      </c>
      <c r="C431" s="123">
        <v>126.0</v>
      </c>
      <c r="D431" s="19"/>
      <c r="E431" s="19"/>
      <c r="F431" s="102" t="s">
        <v>47</v>
      </c>
      <c r="G431" s="74" t="s">
        <v>17</v>
      </c>
      <c r="H431" s="105" t="s">
        <v>18</v>
      </c>
      <c r="I431" s="160">
        <v>14.0</v>
      </c>
      <c r="J431" s="77"/>
      <c r="K431" s="77"/>
      <c r="L431" s="77"/>
      <c r="M431" s="74"/>
      <c r="N431" s="74"/>
      <c r="O431" s="76"/>
      <c r="P431" s="76"/>
    </row>
    <row r="432" ht="20.25" hidden="1" customHeight="1" outlineLevel="1">
      <c r="A432" s="57"/>
      <c r="B432" s="58"/>
      <c r="C432" s="58"/>
      <c r="D432" s="11"/>
      <c r="E432" s="11"/>
      <c r="F432" s="58"/>
      <c r="G432" s="74" t="s">
        <v>17</v>
      </c>
      <c r="H432" s="108"/>
      <c r="I432" s="58"/>
      <c r="J432" s="73"/>
      <c r="K432" s="73"/>
      <c r="L432" s="73"/>
      <c r="M432" s="74"/>
      <c r="N432" s="74"/>
      <c r="O432" s="76"/>
      <c r="P432" s="76"/>
    </row>
    <row r="433" ht="20.25" hidden="1" customHeight="1" outlineLevel="1">
      <c r="A433" s="29"/>
      <c r="B433" s="123" t="s">
        <v>21</v>
      </c>
      <c r="C433" s="123">
        <v>104.0</v>
      </c>
      <c r="D433" s="19"/>
      <c r="E433" s="19"/>
      <c r="F433" s="26" t="s">
        <v>84</v>
      </c>
      <c r="G433" s="74" t="s">
        <v>17</v>
      </c>
      <c r="H433" s="74" t="s">
        <v>25</v>
      </c>
      <c r="I433" s="77">
        <v>1.0</v>
      </c>
      <c r="J433" s="77"/>
      <c r="K433" s="77"/>
      <c r="L433" s="77"/>
      <c r="M433" s="74"/>
      <c r="N433" s="74"/>
      <c r="O433" s="76"/>
      <c r="P433" s="76"/>
    </row>
    <row r="434" ht="20.25" hidden="1" customHeight="1" outlineLevel="1">
      <c r="A434" s="57"/>
      <c r="B434" s="58"/>
      <c r="C434" s="58"/>
      <c r="D434" s="11"/>
      <c r="E434" s="11"/>
      <c r="F434" s="58"/>
      <c r="G434" s="74" t="s">
        <v>17</v>
      </c>
      <c r="H434" s="74" t="s">
        <v>18</v>
      </c>
      <c r="I434" s="73">
        <v>21.0</v>
      </c>
      <c r="J434" s="73"/>
      <c r="K434" s="73"/>
      <c r="L434" s="73"/>
      <c r="M434" s="74"/>
      <c r="N434" s="74"/>
      <c r="O434" s="76"/>
      <c r="P434" s="76"/>
    </row>
    <row r="435" ht="20.25" hidden="1" customHeight="1" outlineLevel="1">
      <c r="A435" s="29"/>
      <c r="B435" s="123" t="s">
        <v>21</v>
      </c>
      <c r="C435" s="123">
        <v>115.0</v>
      </c>
      <c r="D435" s="19"/>
      <c r="E435" s="19"/>
      <c r="F435" s="26" t="s">
        <v>59</v>
      </c>
      <c r="G435" s="74" t="s">
        <v>17</v>
      </c>
      <c r="H435" s="105" t="s">
        <v>18</v>
      </c>
      <c r="I435" s="160">
        <v>15.0</v>
      </c>
      <c r="J435" s="77"/>
      <c r="K435" s="77"/>
      <c r="L435" s="77"/>
      <c r="M435" s="74"/>
      <c r="N435" s="74"/>
      <c r="O435" s="76"/>
      <c r="P435" s="76"/>
    </row>
    <row r="436" ht="20.25" hidden="1" customHeight="1" outlineLevel="1">
      <c r="A436" s="58"/>
      <c r="B436" s="58"/>
      <c r="C436" s="58"/>
      <c r="D436" s="11"/>
      <c r="E436" s="11"/>
      <c r="F436" s="58"/>
      <c r="G436" s="74" t="s">
        <v>17</v>
      </c>
      <c r="H436" s="108"/>
      <c r="I436" s="58"/>
      <c r="J436" s="73"/>
      <c r="K436" s="73"/>
      <c r="L436" s="73"/>
      <c r="M436" s="74"/>
      <c r="N436" s="74"/>
      <c r="O436" s="76"/>
      <c r="P436" s="76"/>
    </row>
    <row r="437" ht="20.25" hidden="1" customHeight="1" outlineLevel="1">
      <c r="A437" s="327">
        <v>45800.0</v>
      </c>
      <c r="B437" s="328" t="s">
        <v>21</v>
      </c>
      <c r="C437" s="328">
        <v>101.0</v>
      </c>
      <c r="D437" s="329"/>
      <c r="E437" s="329"/>
      <c r="F437" s="330" t="s">
        <v>42</v>
      </c>
      <c r="G437" s="271" t="s">
        <v>17</v>
      </c>
      <c r="H437" s="271" t="s">
        <v>25</v>
      </c>
      <c r="I437" s="271">
        <v>1.0</v>
      </c>
      <c r="J437" s="271"/>
      <c r="K437" s="271"/>
      <c r="L437" s="271"/>
      <c r="M437" s="271"/>
      <c r="N437" s="271"/>
      <c r="O437" s="331"/>
      <c r="P437" s="331"/>
    </row>
    <row r="438" ht="20.25" hidden="1" customHeight="1" outlineLevel="1">
      <c r="A438" s="57"/>
      <c r="B438" s="58"/>
      <c r="C438" s="58"/>
      <c r="D438" s="329"/>
      <c r="E438" s="329"/>
      <c r="F438" s="58"/>
      <c r="G438" s="271" t="s">
        <v>17</v>
      </c>
      <c r="H438" s="271" t="s">
        <v>18</v>
      </c>
      <c r="I438" s="271">
        <v>18.0</v>
      </c>
      <c r="J438" s="271"/>
      <c r="K438" s="271"/>
      <c r="L438" s="271"/>
      <c r="M438" s="271"/>
      <c r="N438" s="271"/>
      <c r="O438" s="331"/>
      <c r="P438" s="331"/>
    </row>
    <row r="439" ht="20.25" hidden="1" customHeight="1" outlineLevel="1">
      <c r="A439" s="29"/>
      <c r="B439" s="328" t="s">
        <v>21</v>
      </c>
      <c r="C439" s="328">
        <v>111.0</v>
      </c>
      <c r="D439" s="329"/>
      <c r="E439" s="329"/>
      <c r="F439" s="332" t="s">
        <v>78</v>
      </c>
      <c r="G439" s="271" t="s">
        <v>17</v>
      </c>
      <c r="H439" s="271" t="s">
        <v>25</v>
      </c>
      <c r="I439" s="271">
        <v>1.0</v>
      </c>
      <c r="J439" s="271"/>
      <c r="K439" s="271"/>
      <c r="L439" s="271"/>
      <c r="M439" s="271"/>
      <c r="N439" s="271"/>
      <c r="O439" s="331"/>
      <c r="P439" s="331"/>
    </row>
    <row r="440" ht="20.25" hidden="1" customHeight="1" outlineLevel="1">
      <c r="A440" s="57"/>
      <c r="B440" s="58"/>
      <c r="C440" s="58"/>
      <c r="D440" s="329"/>
      <c r="E440" s="329"/>
      <c r="F440" s="57"/>
      <c r="G440" s="271" t="s">
        <v>17</v>
      </c>
      <c r="H440" s="271" t="s">
        <v>18</v>
      </c>
      <c r="I440" s="271">
        <v>11.0</v>
      </c>
      <c r="J440" s="271"/>
      <c r="K440" s="271"/>
      <c r="L440" s="271"/>
      <c r="M440" s="271"/>
      <c r="N440" s="271"/>
      <c r="O440" s="331"/>
      <c r="P440" s="331"/>
    </row>
    <row r="441" ht="20.25" hidden="1" customHeight="1" outlineLevel="1">
      <c r="A441" s="29"/>
      <c r="B441" s="328" t="s">
        <v>21</v>
      </c>
      <c r="C441" s="328">
        <v>126.0</v>
      </c>
      <c r="D441" s="329"/>
      <c r="E441" s="329"/>
      <c r="F441" s="330" t="s">
        <v>47</v>
      </c>
      <c r="G441" s="271" t="s">
        <v>17</v>
      </c>
      <c r="H441" s="271" t="s">
        <v>25</v>
      </c>
      <c r="I441" s="271">
        <v>1.0</v>
      </c>
      <c r="J441" s="271"/>
      <c r="K441" s="271"/>
      <c r="L441" s="271"/>
      <c r="M441" s="271"/>
      <c r="N441" s="271"/>
      <c r="O441" s="331"/>
      <c r="P441" s="331"/>
    </row>
    <row r="442" ht="20.25" hidden="1" customHeight="1" outlineLevel="1">
      <c r="A442" s="57"/>
      <c r="B442" s="58"/>
      <c r="C442" s="58"/>
      <c r="D442" s="329"/>
      <c r="E442" s="329"/>
      <c r="F442" s="58"/>
      <c r="G442" s="271" t="s">
        <v>17</v>
      </c>
      <c r="H442" s="271" t="s">
        <v>18</v>
      </c>
      <c r="I442" s="271">
        <v>15.0</v>
      </c>
      <c r="J442" s="271"/>
      <c r="K442" s="271"/>
      <c r="L442" s="271"/>
      <c r="M442" s="271"/>
      <c r="N442" s="271"/>
      <c r="O442" s="331"/>
      <c r="P442" s="331"/>
    </row>
    <row r="443" ht="20.25" hidden="1" customHeight="1" outlineLevel="1">
      <c r="A443" s="29"/>
      <c r="B443" s="328" t="s">
        <v>21</v>
      </c>
      <c r="C443" s="328">
        <v>105.0</v>
      </c>
      <c r="D443" s="329"/>
      <c r="E443" s="329"/>
      <c r="F443" s="332" t="s">
        <v>84</v>
      </c>
      <c r="G443" s="271" t="s">
        <v>17</v>
      </c>
      <c r="H443" s="271" t="s">
        <v>25</v>
      </c>
      <c r="I443" s="271">
        <v>1.0</v>
      </c>
      <c r="J443" s="271"/>
      <c r="K443" s="271"/>
      <c r="L443" s="271"/>
      <c r="M443" s="271"/>
      <c r="N443" s="271"/>
      <c r="O443" s="331"/>
      <c r="P443" s="331"/>
    </row>
    <row r="444" ht="20.25" hidden="1" customHeight="1" outlineLevel="1">
      <c r="A444" s="57"/>
      <c r="B444" s="58"/>
      <c r="C444" s="58"/>
      <c r="D444" s="329"/>
      <c r="E444" s="329"/>
      <c r="F444" s="58"/>
      <c r="G444" s="271" t="s">
        <v>17</v>
      </c>
      <c r="H444" s="271" t="s">
        <v>18</v>
      </c>
      <c r="I444" s="271">
        <v>18.0</v>
      </c>
      <c r="J444" s="271"/>
      <c r="K444" s="271"/>
      <c r="L444" s="271"/>
      <c r="M444" s="271"/>
      <c r="N444" s="271"/>
      <c r="O444" s="331"/>
      <c r="P444" s="331"/>
    </row>
    <row r="445" ht="20.25" hidden="1" customHeight="1" outlineLevel="1">
      <c r="A445" s="29"/>
      <c r="B445" s="328" t="s">
        <v>21</v>
      </c>
      <c r="C445" s="328">
        <v>115.0</v>
      </c>
      <c r="D445" s="329"/>
      <c r="E445" s="329"/>
      <c r="F445" s="332" t="s">
        <v>59</v>
      </c>
      <c r="G445" s="271" t="s">
        <v>17</v>
      </c>
      <c r="H445" s="271" t="s">
        <v>25</v>
      </c>
      <c r="I445" s="338">
        <v>17.0</v>
      </c>
      <c r="J445" s="271"/>
      <c r="K445" s="271"/>
      <c r="L445" s="271"/>
      <c r="M445" s="271"/>
      <c r="N445" s="271"/>
      <c r="O445" s="331"/>
      <c r="P445" s="331"/>
    </row>
    <row r="446" ht="20.25" hidden="1" customHeight="1" outlineLevel="1">
      <c r="A446" s="58"/>
      <c r="B446" s="58"/>
      <c r="C446" s="58"/>
      <c r="D446" s="329"/>
      <c r="E446" s="329"/>
      <c r="F446" s="58"/>
      <c r="G446" s="271" t="s">
        <v>17</v>
      </c>
      <c r="H446" s="271" t="s">
        <v>18</v>
      </c>
      <c r="I446" s="58"/>
      <c r="J446" s="271"/>
      <c r="K446" s="271"/>
      <c r="L446" s="271"/>
      <c r="M446" s="271"/>
      <c r="N446" s="271"/>
      <c r="O446" s="331"/>
      <c r="P446" s="331"/>
    </row>
    <row r="447" ht="20.25" hidden="1" customHeight="1" outlineLevel="1">
      <c r="A447" s="121">
        <v>45801.0</v>
      </c>
      <c r="B447" s="123" t="s">
        <v>21</v>
      </c>
      <c r="C447" s="123">
        <v>101.0</v>
      </c>
      <c r="D447" s="19"/>
      <c r="E447" s="19"/>
      <c r="F447" s="102" t="s">
        <v>42</v>
      </c>
      <c r="G447" s="74" t="s">
        <v>17</v>
      </c>
      <c r="H447" s="74" t="s">
        <v>25</v>
      </c>
      <c r="I447" s="77">
        <v>1.0</v>
      </c>
      <c r="J447" s="77"/>
      <c r="K447" s="77"/>
      <c r="L447" s="77"/>
      <c r="M447" s="74"/>
      <c r="N447" s="74"/>
      <c r="O447" s="76"/>
      <c r="P447" s="76"/>
    </row>
    <row r="448" ht="20.25" hidden="1" customHeight="1" outlineLevel="1">
      <c r="A448" s="57"/>
      <c r="B448" s="58"/>
      <c r="C448" s="58"/>
      <c r="D448" s="11"/>
      <c r="E448" s="11"/>
      <c r="F448" s="58"/>
      <c r="G448" s="74" t="s">
        <v>17</v>
      </c>
      <c r="H448" s="74" t="s">
        <v>18</v>
      </c>
      <c r="I448" s="73">
        <v>26.0</v>
      </c>
      <c r="J448" s="73"/>
      <c r="K448" s="73"/>
      <c r="L448" s="73"/>
      <c r="M448" s="74"/>
      <c r="N448" s="74"/>
      <c r="O448" s="76"/>
      <c r="P448" s="76"/>
    </row>
    <row r="449" ht="20.25" hidden="1" customHeight="1" outlineLevel="1">
      <c r="A449" s="29"/>
      <c r="B449" s="123" t="s">
        <v>21</v>
      </c>
      <c r="C449" s="123">
        <v>118.0</v>
      </c>
      <c r="D449" s="19"/>
      <c r="E449" s="19"/>
      <c r="F449" s="26" t="s">
        <v>78</v>
      </c>
      <c r="G449" s="74" t="s">
        <v>17</v>
      </c>
      <c r="H449" s="74" t="s">
        <v>25</v>
      </c>
      <c r="I449" s="77">
        <v>1.0</v>
      </c>
      <c r="J449" s="77"/>
      <c r="K449" s="77"/>
      <c r="L449" s="77"/>
      <c r="M449" s="74"/>
      <c r="N449" s="74"/>
      <c r="O449" s="76"/>
      <c r="P449" s="76"/>
    </row>
    <row r="450" ht="20.25" hidden="1" customHeight="1" outlineLevel="1">
      <c r="A450" s="57"/>
      <c r="B450" s="58"/>
      <c r="C450" s="58"/>
      <c r="D450" s="11"/>
      <c r="E450" s="11"/>
      <c r="F450" s="57"/>
      <c r="G450" s="74" t="s">
        <v>17</v>
      </c>
      <c r="H450" s="74" t="s">
        <v>18</v>
      </c>
      <c r="I450" s="73">
        <v>14.0</v>
      </c>
      <c r="J450" s="73"/>
      <c r="K450" s="73"/>
      <c r="L450" s="73"/>
      <c r="M450" s="74"/>
      <c r="N450" s="74"/>
      <c r="O450" s="76"/>
      <c r="P450" s="76"/>
    </row>
    <row r="451" ht="20.25" hidden="1" customHeight="1" outlineLevel="1">
      <c r="A451" s="29"/>
      <c r="B451" s="123" t="s">
        <v>21</v>
      </c>
      <c r="C451" s="123">
        <v>125.0</v>
      </c>
      <c r="D451" s="19"/>
      <c r="E451" s="19"/>
      <c r="F451" s="102" t="s">
        <v>47</v>
      </c>
      <c r="G451" s="74" t="s">
        <v>17</v>
      </c>
      <c r="H451" s="74" t="s">
        <v>25</v>
      </c>
      <c r="I451" s="77">
        <v>1.0</v>
      </c>
      <c r="J451" s="77"/>
      <c r="K451" s="77"/>
      <c r="L451" s="77"/>
      <c r="M451" s="74"/>
      <c r="N451" s="74"/>
      <c r="O451" s="76"/>
      <c r="P451" s="76"/>
    </row>
    <row r="452" ht="20.25" hidden="1" customHeight="1" outlineLevel="1">
      <c r="A452" s="57"/>
      <c r="B452" s="58"/>
      <c r="C452" s="58"/>
      <c r="D452" s="11"/>
      <c r="E452" s="11"/>
      <c r="F452" s="58"/>
      <c r="G452" s="74" t="s">
        <v>17</v>
      </c>
      <c r="H452" s="74" t="s">
        <v>18</v>
      </c>
      <c r="I452" s="73">
        <v>13.0</v>
      </c>
      <c r="J452" s="73"/>
      <c r="K452" s="73"/>
      <c r="L452" s="73"/>
      <c r="M452" s="74"/>
      <c r="N452" s="74"/>
      <c r="O452" s="76"/>
      <c r="P452" s="76"/>
    </row>
    <row r="453" ht="20.25" hidden="1" customHeight="1" outlineLevel="1">
      <c r="A453" s="29"/>
      <c r="B453" s="123" t="s">
        <v>21</v>
      </c>
      <c r="C453" s="123">
        <v>105.0</v>
      </c>
      <c r="D453" s="19"/>
      <c r="E453" s="19"/>
      <c r="F453" s="26" t="s">
        <v>84</v>
      </c>
      <c r="G453" s="74" t="s">
        <v>17</v>
      </c>
      <c r="H453" s="74" t="s">
        <v>25</v>
      </c>
      <c r="I453" s="77">
        <v>1.0</v>
      </c>
      <c r="J453" s="77"/>
      <c r="K453" s="77"/>
      <c r="L453" s="77"/>
      <c r="M453" s="74"/>
      <c r="N453" s="74"/>
      <c r="O453" s="76"/>
      <c r="P453" s="76"/>
    </row>
    <row r="454" ht="20.25" hidden="1" customHeight="1" outlineLevel="1">
      <c r="A454" s="57"/>
      <c r="B454" s="58"/>
      <c r="C454" s="58"/>
      <c r="D454" s="11"/>
      <c r="E454" s="11"/>
      <c r="F454" s="58"/>
      <c r="G454" s="74" t="s">
        <v>17</v>
      </c>
      <c r="H454" s="74" t="s">
        <v>18</v>
      </c>
      <c r="I454" s="73">
        <v>21.0</v>
      </c>
      <c r="J454" s="73"/>
      <c r="K454" s="73"/>
      <c r="L454" s="73"/>
      <c r="M454" s="74"/>
      <c r="N454" s="74"/>
      <c r="O454" s="76"/>
      <c r="P454" s="76"/>
    </row>
    <row r="455" ht="20.25" hidden="1" customHeight="1" outlineLevel="1">
      <c r="A455" s="29"/>
      <c r="B455" s="123" t="s">
        <v>21</v>
      </c>
      <c r="C455" s="123">
        <v>120.0</v>
      </c>
      <c r="D455" s="19"/>
      <c r="E455" s="19"/>
      <c r="F455" s="26" t="s">
        <v>59</v>
      </c>
      <c r="G455" s="74" t="s">
        <v>17</v>
      </c>
      <c r="H455" s="74" t="s">
        <v>25</v>
      </c>
      <c r="I455" s="77">
        <v>1.0</v>
      </c>
      <c r="J455" s="77"/>
      <c r="K455" s="77"/>
      <c r="L455" s="77"/>
      <c r="M455" s="74"/>
      <c r="N455" s="74"/>
      <c r="O455" s="76"/>
      <c r="P455" s="76"/>
    </row>
    <row r="456" ht="20.25" hidden="1" customHeight="1" outlineLevel="1">
      <c r="A456" s="58"/>
      <c r="B456" s="58"/>
      <c r="C456" s="58"/>
      <c r="D456" s="11"/>
      <c r="E456" s="11"/>
      <c r="F456" s="58"/>
      <c r="G456" s="76" t="s">
        <v>17</v>
      </c>
      <c r="H456" s="74" t="s">
        <v>18</v>
      </c>
      <c r="I456" s="73">
        <v>18.0</v>
      </c>
      <c r="J456" s="73"/>
      <c r="K456" s="73"/>
      <c r="L456" s="73"/>
      <c r="M456" s="74"/>
      <c r="N456" s="74"/>
      <c r="O456" s="76"/>
      <c r="P456" s="76"/>
    </row>
    <row r="457" ht="20.25" hidden="1" customHeight="1" outlineLevel="1">
      <c r="A457" s="261">
        <v>45802.0</v>
      </c>
      <c r="B457" s="262" t="s">
        <v>21</v>
      </c>
      <c r="C457" s="262">
        <v>128.0</v>
      </c>
      <c r="D457" s="263"/>
      <c r="E457" s="263"/>
      <c r="F457" s="339" t="s">
        <v>42</v>
      </c>
      <c r="G457" s="266" t="s">
        <v>17</v>
      </c>
      <c r="H457" s="265" t="s">
        <v>25</v>
      </c>
      <c r="I457" s="265">
        <v>1.0</v>
      </c>
      <c r="J457" s="265"/>
      <c r="K457" s="265"/>
      <c r="L457" s="265"/>
      <c r="M457" s="265"/>
      <c r="N457" s="265"/>
      <c r="O457" s="76"/>
      <c r="P457" s="76"/>
    </row>
    <row r="458" ht="20.25" hidden="1" customHeight="1" outlineLevel="1">
      <c r="A458" s="57"/>
      <c r="B458" s="58"/>
      <c r="C458" s="58"/>
      <c r="D458" s="263"/>
      <c r="E458" s="263"/>
      <c r="F458" s="58"/>
      <c r="G458" s="266" t="s">
        <v>17</v>
      </c>
      <c r="H458" s="265" t="s">
        <v>18</v>
      </c>
      <c r="I458" s="265">
        <v>19.0</v>
      </c>
      <c r="J458" s="265"/>
      <c r="K458" s="265"/>
      <c r="L458" s="265"/>
      <c r="M458" s="265"/>
      <c r="N458" s="265"/>
      <c r="O458" s="76"/>
      <c r="P458" s="76"/>
    </row>
    <row r="459" ht="20.25" hidden="1" customHeight="1" outlineLevel="1">
      <c r="A459" s="29"/>
      <c r="B459" s="262" t="s">
        <v>21</v>
      </c>
      <c r="C459" s="262">
        <v>131.0</v>
      </c>
      <c r="D459" s="263"/>
      <c r="E459" s="263"/>
      <c r="F459" s="340" t="s">
        <v>155</v>
      </c>
      <c r="G459" s="266" t="s">
        <v>17</v>
      </c>
      <c r="H459" s="265" t="s">
        <v>25</v>
      </c>
      <c r="I459" s="265">
        <v>1.0</v>
      </c>
      <c r="J459" s="265"/>
      <c r="K459" s="265"/>
      <c r="L459" s="265"/>
      <c r="M459" s="265"/>
      <c r="N459" s="265"/>
      <c r="O459" s="76"/>
      <c r="P459" s="76"/>
    </row>
    <row r="460" ht="20.25" hidden="1" customHeight="1" outlineLevel="1">
      <c r="A460" s="57"/>
      <c r="B460" s="58"/>
      <c r="C460" s="58"/>
      <c r="D460" s="263"/>
      <c r="E460" s="263"/>
      <c r="F460" s="58"/>
      <c r="G460" s="266" t="s">
        <v>17</v>
      </c>
      <c r="H460" s="265" t="s">
        <v>18</v>
      </c>
      <c r="I460" s="265">
        <v>10.0</v>
      </c>
      <c r="J460" s="265"/>
      <c r="K460" s="265"/>
      <c r="L460" s="265"/>
      <c r="M460" s="265"/>
      <c r="N460" s="265"/>
      <c r="O460" s="76"/>
      <c r="P460" s="76"/>
    </row>
    <row r="461" ht="20.25" hidden="1" customHeight="1" outlineLevel="1">
      <c r="A461" s="29"/>
      <c r="B461" s="262" t="s">
        <v>21</v>
      </c>
      <c r="C461" s="262">
        <v>132.0</v>
      </c>
      <c r="D461" s="263"/>
      <c r="E461" s="263"/>
      <c r="F461" s="339" t="s">
        <v>47</v>
      </c>
      <c r="G461" s="266" t="s">
        <v>17</v>
      </c>
      <c r="H461" s="265" t="s">
        <v>25</v>
      </c>
      <c r="I461" s="265">
        <v>1.0</v>
      </c>
      <c r="J461" s="265"/>
      <c r="K461" s="265"/>
      <c r="L461" s="265"/>
      <c r="M461" s="265"/>
      <c r="N461" s="265"/>
      <c r="O461" s="76"/>
      <c r="P461" s="76"/>
    </row>
    <row r="462" ht="20.25" hidden="1" customHeight="1" outlineLevel="1">
      <c r="A462" s="57"/>
      <c r="B462" s="58"/>
      <c r="C462" s="58"/>
      <c r="D462" s="263"/>
      <c r="E462" s="263"/>
      <c r="F462" s="58"/>
      <c r="G462" s="266" t="s">
        <v>17</v>
      </c>
      <c r="H462" s="265" t="s">
        <v>18</v>
      </c>
      <c r="I462" s="265">
        <v>15.0</v>
      </c>
      <c r="J462" s="265"/>
      <c r="K462" s="265"/>
      <c r="L462" s="265"/>
      <c r="M462" s="265"/>
      <c r="N462" s="265"/>
      <c r="O462" s="76"/>
      <c r="P462" s="76"/>
    </row>
    <row r="463" ht="20.25" hidden="1" customHeight="1" outlineLevel="1">
      <c r="A463" s="29"/>
      <c r="B463" s="262" t="s">
        <v>21</v>
      </c>
      <c r="C463" s="262">
        <v>113.0</v>
      </c>
      <c r="D463" s="263"/>
      <c r="E463" s="263"/>
      <c r="F463" s="340" t="s">
        <v>84</v>
      </c>
      <c r="G463" s="266" t="s">
        <v>17</v>
      </c>
      <c r="H463" s="265" t="s">
        <v>25</v>
      </c>
      <c r="I463" s="265">
        <v>1.0</v>
      </c>
      <c r="J463" s="265"/>
      <c r="K463" s="265"/>
      <c r="L463" s="265"/>
      <c r="M463" s="265"/>
      <c r="N463" s="265"/>
      <c r="O463" s="76"/>
      <c r="P463" s="76"/>
    </row>
    <row r="464" ht="20.25" hidden="1" customHeight="1" outlineLevel="1">
      <c r="A464" s="57"/>
      <c r="B464" s="58"/>
      <c r="C464" s="58"/>
      <c r="D464" s="263"/>
      <c r="E464" s="263"/>
      <c r="F464" s="58"/>
      <c r="G464" s="266" t="s">
        <v>17</v>
      </c>
      <c r="H464" s="265" t="s">
        <v>18</v>
      </c>
      <c r="I464" s="265">
        <v>15.0</v>
      </c>
      <c r="J464" s="265"/>
      <c r="K464" s="265"/>
      <c r="L464" s="265"/>
      <c r="M464" s="265"/>
      <c r="N464" s="265"/>
      <c r="O464" s="76"/>
      <c r="P464" s="76"/>
    </row>
    <row r="465" ht="20.25" hidden="1" customHeight="1" outlineLevel="1">
      <c r="A465" s="29"/>
      <c r="B465" s="262" t="s">
        <v>21</v>
      </c>
      <c r="C465" s="262">
        <v>121.0</v>
      </c>
      <c r="D465" s="263"/>
      <c r="E465" s="263"/>
      <c r="F465" s="340" t="s">
        <v>59</v>
      </c>
      <c r="G465" s="266" t="s">
        <v>17</v>
      </c>
      <c r="H465" s="265" t="s">
        <v>25</v>
      </c>
      <c r="I465" s="265">
        <v>1.0</v>
      </c>
      <c r="J465" s="265"/>
      <c r="K465" s="265"/>
      <c r="L465" s="265"/>
      <c r="M465" s="265"/>
      <c r="N465" s="265"/>
      <c r="O465" s="76"/>
      <c r="P465" s="76"/>
    </row>
    <row r="466" ht="20.25" hidden="1" customHeight="1" outlineLevel="1">
      <c r="A466" s="58"/>
      <c r="B466" s="58"/>
      <c r="C466" s="58"/>
      <c r="D466" s="263"/>
      <c r="E466" s="263"/>
      <c r="F466" s="58"/>
      <c r="G466" s="266" t="s">
        <v>17</v>
      </c>
      <c r="H466" s="265" t="s">
        <v>18</v>
      </c>
      <c r="I466" s="265">
        <v>17.0</v>
      </c>
      <c r="J466" s="265"/>
      <c r="K466" s="265"/>
      <c r="L466" s="265"/>
      <c r="M466" s="265"/>
      <c r="N466" s="265"/>
      <c r="O466" s="76"/>
      <c r="P466" s="76"/>
    </row>
    <row r="467" ht="23.25" hidden="1" customHeight="1" outlineLevel="1">
      <c r="A467" s="327">
        <v>46170.0</v>
      </c>
      <c r="B467" s="328" t="s">
        <v>21</v>
      </c>
      <c r="C467" s="328">
        <v>129.0</v>
      </c>
      <c r="D467" s="329"/>
      <c r="E467" s="329"/>
      <c r="F467" s="332" t="s">
        <v>42</v>
      </c>
      <c r="G467" s="331" t="s">
        <v>17</v>
      </c>
      <c r="H467" s="271" t="s">
        <v>25</v>
      </c>
      <c r="I467" s="271">
        <v>1.0</v>
      </c>
      <c r="J467" s="271">
        <v>120.0</v>
      </c>
      <c r="K467" s="338">
        <v>120.0</v>
      </c>
      <c r="L467" s="338">
        <v>25.0</v>
      </c>
      <c r="M467" s="338">
        <v>525.0</v>
      </c>
      <c r="N467" s="338">
        <v>2645.0</v>
      </c>
      <c r="O467" s="76"/>
      <c r="P467" s="76"/>
    </row>
    <row r="468" ht="19.5" hidden="1" customHeight="1" outlineLevel="1">
      <c r="A468" s="58"/>
      <c r="B468" s="58"/>
      <c r="C468" s="58"/>
      <c r="D468" s="329"/>
      <c r="E468" s="329"/>
      <c r="F468" s="58"/>
      <c r="G468" s="331" t="s">
        <v>17</v>
      </c>
      <c r="H468" s="271" t="s">
        <v>18</v>
      </c>
      <c r="I468" s="271">
        <v>20.0</v>
      </c>
      <c r="J468" s="271">
        <v>100.0</v>
      </c>
      <c r="K468" s="271">
        <v>2000.0</v>
      </c>
      <c r="L468" s="58"/>
      <c r="M468" s="108"/>
      <c r="N468" s="108"/>
      <c r="O468" s="76"/>
      <c r="P468" s="76"/>
    </row>
    <row r="469" ht="20.25" hidden="1" customHeight="1" outlineLevel="1">
      <c r="A469" s="121">
        <v>46171.0</v>
      </c>
      <c r="B469" s="123" t="s">
        <v>21</v>
      </c>
      <c r="C469" s="123">
        <v>128.0</v>
      </c>
      <c r="D469" s="19"/>
      <c r="E469" s="19"/>
      <c r="F469" s="102" t="s">
        <v>42</v>
      </c>
      <c r="G469" s="76" t="s">
        <v>17</v>
      </c>
      <c r="H469" s="74" t="s">
        <v>25</v>
      </c>
      <c r="I469" s="77">
        <v>1.0</v>
      </c>
      <c r="J469" s="77">
        <v>120.0</v>
      </c>
      <c r="K469" s="77">
        <v>120.0</v>
      </c>
      <c r="L469" s="160">
        <v>25.0</v>
      </c>
      <c r="M469" s="105">
        <v>825.0</v>
      </c>
      <c r="N469" s="105">
        <v>4145.0</v>
      </c>
      <c r="O469" s="76"/>
      <c r="P469" s="76"/>
    </row>
    <row r="470" ht="20.25" hidden="1" customHeight="1" outlineLevel="1">
      <c r="A470" s="57"/>
      <c r="B470" s="58"/>
      <c r="C470" s="58"/>
      <c r="D470" s="11"/>
      <c r="E470" s="11"/>
      <c r="F470" s="58"/>
      <c r="G470" s="76" t="s">
        <v>17</v>
      </c>
      <c r="H470" s="74" t="s">
        <v>18</v>
      </c>
      <c r="I470" s="73">
        <v>18.0</v>
      </c>
      <c r="J470" s="73">
        <v>100.0</v>
      </c>
      <c r="K470" s="73">
        <v>1800.0</v>
      </c>
      <c r="L470" s="57"/>
      <c r="M470" s="187"/>
      <c r="N470" s="187"/>
      <c r="O470" s="76"/>
      <c r="P470" s="76"/>
    </row>
    <row r="471" ht="20.25" hidden="1" customHeight="1" outlineLevel="1">
      <c r="A471" s="29"/>
      <c r="B471" s="123" t="s">
        <v>21</v>
      </c>
      <c r="C471" s="123">
        <v>132.0</v>
      </c>
      <c r="D471" s="19"/>
      <c r="E471" s="19"/>
      <c r="F471" s="102" t="s">
        <v>47</v>
      </c>
      <c r="G471" s="76" t="s">
        <v>17</v>
      </c>
      <c r="H471" s="105" t="s">
        <v>18</v>
      </c>
      <c r="I471" s="160">
        <v>14.0</v>
      </c>
      <c r="J471" s="77">
        <v>0.0</v>
      </c>
      <c r="K471" s="77">
        <v>0.0</v>
      </c>
      <c r="L471" s="29"/>
      <c r="M471" s="187"/>
      <c r="N471" s="187"/>
      <c r="O471" s="76"/>
      <c r="P471" s="76"/>
    </row>
    <row r="472" ht="20.25" hidden="1" customHeight="1" outlineLevel="1">
      <c r="A472" s="57"/>
      <c r="B472" s="58"/>
      <c r="C472" s="58"/>
      <c r="D472" s="11"/>
      <c r="E472" s="11"/>
      <c r="F472" s="58"/>
      <c r="G472" s="76" t="s">
        <v>17</v>
      </c>
      <c r="H472" s="108"/>
      <c r="I472" s="58"/>
      <c r="J472" s="73">
        <v>100.0</v>
      </c>
      <c r="K472" s="73">
        <v>1400.0</v>
      </c>
      <c r="L472" s="58"/>
      <c r="M472" s="108"/>
      <c r="N472" s="108"/>
      <c r="O472" s="76"/>
      <c r="P472" s="76"/>
    </row>
    <row r="473" ht="20.25" hidden="1" customHeight="1" outlineLevel="1">
      <c r="A473" s="29"/>
      <c r="B473" s="123" t="s">
        <v>21</v>
      </c>
      <c r="C473" s="123">
        <v>121.0</v>
      </c>
      <c r="D473" s="19"/>
      <c r="E473" s="19"/>
      <c r="F473" s="26" t="s">
        <v>59</v>
      </c>
      <c r="G473" s="76" t="s">
        <v>17</v>
      </c>
      <c r="H473" s="74" t="s">
        <v>25</v>
      </c>
      <c r="I473" s="77">
        <v>1.0</v>
      </c>
      <c r="J473" s="77"/>
      <c r="K473" s="77"/>
      <c r="L473" s="77"/>
      <c r="M473" s="74"/>
      <c r="N473" s="74"/>
      <c r="O473" s="76"/>
      <c r="P473" s="76"/>
    </row>
    <row r="474" ht="20.25" hidden="1" customHeight="1" outlineLevel="1">
      <c r="A474" s="58"/>
      <c r="B474" s="58"/>
      <c r="C474" s="58"/>
      <c r="D474" s="11"/>
      <c r="E474" s="11"/>
      <c r="F474" s="58"/>
      <c r="G474" s="76" t="s">
        <v>17</v>
      </c>
      <c r="H474" s="74" t="s">
        <v>18</v>
      </c>
      <c r="I474" s="73">
        <v>7.0</v>
      </c>
      <c r="J474" s="73"/>
      <c r="K474" s="73"/>
      <c r="L474" s="73"/>
      <c r="M474" s="74"/>
      <c r="N474" s="74"/>
      <c r="O474" s="76"/>
      <c r="P474" s="76"/>
    </row>
    <row r="475" ht="20.25" hidden="1" customHeight="1" outlineLevel="1">
      <c r="A475" s="121">
        <v>46172.0</v>
      </c>
      <c r="B475" s="123" t="s">
        <v>21</v>
      </c>
      <c r="C475" s="123">
        <v>127.0</v>
      </c>
      <c r="D475" s="19"/>
      <c r="E475" s="19"/>
      <c r="F475" s="102" t="s">
        <v>42</v>
      </c>
      <c r="G475" s="76" t="s">
        <v>17</v>
      </c>
      <c r="H475" s="74" t="s">
        <v>25</v>
      </c>
      <c r="I475" s="77">
        <v>1.0</v>
      </c>
      <c r="J475" s="77"/>
      <c r="K475" s="77"/>
      <c r="L475" s="77"/>
      <c r="M475" s="74"/>
      <c r="N475" s="74"/>
      <c r="O475" s="76"/>
      <c r="P475" s="76"/>
    </row>
    <row r="476" ht="20.25" hidden="1" customHeight="1" outlineLevel="1">
      <c r="A476" s="57"/>
      <c r="B476" s="58"/>
      <c r="C476" s="58"/>
      <c r="D476" s="11"/>
      <c r="E476" s="11"/>
      <c r="F476" s="58"/>
      <c r="G476" s="76" t="s">
        <v>17</v>
      </c>
      <c r="H476" s="74" t="s">
        <v>18</v>
      </c>
      <c r="I476" s="73">
        <v>18.0</v>
      </c>
      <c r="J476" s="73"/>
      <c r="K476" s="73"/>
      <c r="L476" s="73"/>
      <c r="M476" s="74"/>
      <c r="N476" s="74"/>
      <c r="O476" s="76"/>
      <c r="P476" s="76"/>
    </row>
    <row r="477" ht="20.25" hidden="1" customHeight="1" outlineLevel="1">
      <c r="A477" s="29"/>
      <c r="B477" s="123" t="s">
        <v>21</v>
      </c>
      <c r="C477" s="123">
        <v>132.0</v>
      </c>
      <c r="D477" s="19"/>
      <c r="E477" s="19"/>
      <c r="F477" s="102" t="s">
        <v>47</v>
      </c>
      <c r="G477" s="76" t="s">
        <v>17</v>
      </c>
      <c r="H477" s="105" t="s">
        <v>18</v>
      </c>
      <c r="I477" s="160">
        <v>9.0</v>
      </c>
      <c r="J477" s="77"/>
      <c r="K477" s="77"/>
      <c r="L477" s="77"/>
      <c r="M477" s="74"/>
      <c r="N477" s="74"/>
      <c r="O477" s="76"/>
      <c r="P477" s="76"/>
    </row>
    <row r="478" ht="20.25" hidden="1" customHeight="1" outlineLevel="1">
      <c r="A478" s="57"/>
      <c r="B478" s="58"/>
      <c r="C478" s="58"/>
      <c r="D478" s="11"/>
      <c r="E478" s="11"/>
      <c r="F478" s="58"/>
      <c r="G478" s="76" t="s">
        <v>17</v>
      </c>
      <c r="H478" s="108"/>
      <c r="I478" s="58"/>
      <c r="J478" s="73"/>
      <c r="K478" s="73"/>
      <c r="L478" s="73"/>
      <c r="M478" s="74"/>
      <c r="N478" s="74"/>
      <c r="O478" s="76"/>
      <c r="P478" s="76"/>
    </row>
    <row r="479" ht="20.25" hidden="1" customHeight="1" outlineLevel="1">
      <c r="A479" s="29"/>
      <c r="B479" s="123" t="s">
        <v>21</v>
      </c>
      <c r="C479" s="123">
        <v>121.0</v>
      </c>
      <c r="D479" s="19"/>
      <c r="E479" s="19"/>
      <c r="F479" s="26" t="s">
        <v>59</v>
      </c>
      <c r="G479" s="76" t="s">
        <v>17</v>
      </c>
      <c r="H479" s="74" t="s">
        <v>25</v>
      </c>
      <c r="I479" s="77">
        <v>1.0</v>
      </c>
      <c r="J479" s="77"/>
      <c r="K479" s="77"/>
      <c r="L479" s="77"/>
      <c r="M479" s="74"/>
      <c r="N479" s="74"/>
      <c r="O479" s="76"/>
      <c r="P479" s="76"/>
    </row>
    <row r="480" ht="20.25" hidden="1" customHeight="1" outlineLevel="1">
      <c r="A480" s="57"/>
      <c r="B480" s="58"/>
      <c r="C480" s="58"/>
      <c r="D480" s="11"/>
      <c r="E480" s="11"/>
      <c r="F480" s="58"/>
      <c r="G480" s="76" t="s">
        <v>17</v>
      </c>
      <c r="H480" s="74" t="s">
        <v>18</v>
      </c>
      <c r="I480" s="73">
        <v>11.0</v>
      </c>
      <c r="J480" s="73"/>
      <c r="K480" s="73"/>
      <c r="L480" s="73"/>
      <c r="M480" s="74"/>
      <c r="N480" s="74"/>
      <c r="O480" s="76"/>
      <c r="P480" s="76"/>
    </row>
    <row r="481" ht="20.25" hidden="1" customHeight="1" outlineLevel="1">
      <c r="A481" s="29"/>
      <c r="B481" s="123" t="s">
        <v>21</v>
      </c>
      <c r="C481" s="123">
        <v>113.0</v>
      </c>
      <c r="D481" s="19"/>
      <c r="E481" s="19"/>
      <c r="F481" s="26" t="s">
        <v>84</v>
      </c>
      <c r="G481" s="76" t="s">
        <v>17</v>
      </c>
      <c r="H481" s="74" t="s">
        <v>25</v>
      </c>
      <c r="I481" s="77">
        <v>1.0</v>
      </c>
      <c r="J481" s="77"/>
      <c r="K481" s="77"/>
      <c r="L481" s="77"/>
      <c r="M481" s="74"/>
      <c r="N481" s="74"/>
      <c r="O481" s="76"/>
      <c r="P481" s="76"/>
    </row>
    <row r="482" ht="20.25" hidden="1" customHeight="1" outlineLevel="1">
      <c r="A482" s="58"/>
      <c r="B482" s="58"/>
      <c r="C482" s="58"/>
      <c r="D482" s="11"/>
      <c r="E482" s="11"/>
      <c r="F482" s="58"/>
      <c r="G482" s="76" t="s">
        <v>17</v>
      </c>
      <c r="H482" s="74" t="s">
        <v>18</v>
      </c>
      <c r="I482" s="73">
        <v>7.0</v>
      </c>
      <c r="J482" s="73"/>
      <c r="K482" s="73"/>
      <c r="L482" s="73"/>
      <c r="M482" s="74"/>
      <c r="N482" s="74"/>
      <c r="O482" s="76"/>
      <c r="P482" s="76"/>
    </row>
    <row r="483" ht="20.25" hidden="1" customHeight="1" outlineLevel="1">
      <c r="A483" s="121">
        <v>46173.0</v>
      </c>
      <c r="B483" s="123" t="s">
        <v>21</v>
      </c>
      <c r="C483" s="123">
        <v>131.0</v>
      </c>
      <c r="D483" s="19"/>
      <c r="E483" s="19"/>
      <c r="F483" s="102" t="s">
        <v>42</v>
      </c>
      <c r="G483" s="76" t="s">
        <v>17</v>
      </c>
      <c r="H483" s="74" t="s">
        <v>25</v>
      </c>
      <c r="I483" s="77">
        <v>1.0</v>
      </c>
      <c r="J483" s="77"/>
      <c r="K483" s="77"/>
      <c r="L483" s="77"/>
      <c r="M483" s="74"/>
      <c r="N483" s="74"/>
      <c r="O483" s="76"/>
      <c r="P483" s="76"/>
    </row>
    <row r="484" ht="20.25" hidden="1" customHeight="1" outlineLevel="1">
      <c r="A484" s="57"/>
      <c r="B484" s="58"/>
      <c r="C484" s="58"/>
      <c r="D484" s="11"/>
      <c r="E484" s="11"/>
      <c r="F484" s="58"/>
      <c r="G484" s="76" t="s">
        <v>17</v>
      </c>
      <c r="H484" s="74" t="s">
        <v>18</v>
      </c>
      <c r="I484" s="73">
        <v>24.0</v>
      </c>
      <c r="J484" s="73"/>
      <c r="K484" s="73"/>
      <c r="L484" s="73"/>
      <c r="M484" s="74"/>
      <c r="N484" s="74"/>
      <c r="O484" s="76"/>
      <c r="P484" s="76"/>
    </row>
    <row r="485" ht="20.25" hidden="1" customHeight="1" outlineLevel="1">
      <c r="A485" s="29"/>
      <c r="B485" s="123" t="s">
        <v>21</v>
      </c>
      <c r="C485" s="123">
        <v>132.0</v>
      </c>
      <c r="D485" s="19"/>
      <c r="E485" s="19"/>
      <c r="F485" s="102" t="s">
        <v>47</v>
      </c>
      <c r="G485" s="76" t="s">
        <v>17</v>
      </c>
      <c r="H485" s="74" t="s">
        <v>25</v>
      </c>
      <c r="I485" s="77">
        <v>1.0</v>
      </c>
      <c r="J485" s="77"/>
      <c r="K485" s="77"/>
      <c r="L485" s="77"/>
      <c r="M485" s="74"/>
      <c r="N485" s="74"/>
      <c r="O485" s="76"/>
      <c r="P485" s="76"/>
    </row>
    <row r="486" ht="20.25" hidden="1" customHeight="1" outlineLevel="1">
      <c r="A486" s="57"/>
      <c r="B486" s="58"/>
      <c r="C486" s="58"/>
      <c r="D486" s="11"/>
      <c r="E486" s="11"/>
      <c r="F486" s="58"/>
      <c r="G486" s="76" t="s">
        <v>17</v>
      </c>
      <c r="H486" s="74" t="s">
        <v>18</v>
      </c>
      <c r="I486" s="73">
        <v>14.0</v>
      </c>
      <c r="J486" s="73"/>
      <c r="K486" s="73"/>
      <c r="L486" s="73"/>
      <c r="M486" s="74"/>
      <c r="N486" s="74"/>
      <c r="O486" s="76"/>
      <c r="P486" s="76"/>
    </row>
    <row r="487" ht="20.25" hidden="1" customHeight="1" outlineLevel="1">
      <c r="A487" s="29"/>
      <c r="B487" s="123" t="s">
        <v>21</v>
      </c>
      <c r="C487" s="123">
        <v>107.0</v>
      </c>
      <c r="D487" s="19"/>
      <c r="E487" s="19"/>
      <c r="F487" s="26" t="s">
        <v>59</v>
      </c>
      <c r="G487" s="76" t="s">
        <v>17</v>
      </c>
      <c r="H487" s="74" t="s">
        <v>25</v>
      </c>
      <c r="I487" s="77">
        <v>1.0</v>
      </c>
      <c r="J487" s="77"/>
      <c r="K487" s="77"/>
      <c r="L487" s="77"/>
      <c r="M487" s="74"/>
      <c r="N487" s="74"/>
      <c r="O487" s="76"/>
      <c r="P487" s="76"/>
    </row>
    <row r="488" ht="20.25" hidden="1" customHeight="1" outlineLevel="1">
      <c r="A488" s="57"/>
      <c r="B488" s="58"/>
      <c r="C488" s="58"/>
      <c r="D488" s="11"/>
      <c r="E488" s="11"/>
      <c r="F488" s="58"/>
      <c r="G488" s="76" t="s">
        <v>17</v>
      </c>
      <c r="H488" s="74" t="s">
        <v>18</v>
      </c>
      <c r="I488" s="73">
        <v>11.0</v>
      </c>
      <c r="J488" s="73"/>
      <c r="K488" s="73"/>
      <c r="L488" s="73"/>
      <c r="M488" s="74"/>
      <c r="N488" s="74"/>
      <c r="O488" s="76"/>
      <c r="P488" s="76"/>
    </row>
    <row r="489" ht="20.25" hidden="1" customHeight="1" outlineLevel="1">
      <c r="A489" s="29"/>
      <c r="B489" s="123" t="s">
        <v>21</v>
      </c>
      <c r="C489" s="123">
        <v>117.0</v>
      </c>
      <c r="D489" s="19"/>
      <c r="E489" s="19"/>
      <c r="F489" s="26" t="s">
        <v>84</v>
      </c>
      <c r="G489" s="76" t="s">
        <v>17</v>
      </c>
      <c r="H489" s="74" t="s">
        <v>25</v>
      </c>
      <c r="I489" s="77">
        <v>1.0</v>
      </c>
      <c r="J489" s="77"/>
      <c r="K489" s="77"/>
      <c r="L489" s="77"/>
      <c r="M489" s="74"/>
      <c r="N489" s="74"/>
      <c r="O489" s="76"/>
      <c r="P489" s="76"/>
    </row>
    <row r="490" ht="20.25" hidden="1" customHeight="1" outlineLevel="1">
      <c r="A490" s="58"/>
      <c r="B490" s="58"/>
      <c r="C490" s="58"/>
      <c r="D490" s="11"/>
      <c r="E490" s="11"/>
      <c r="F490" s="58"/>
      <c r="G490" s="76" t="s">
        <v>17</v>
      </c>
      <c r="H490" s="74" t="s">
        <v>18</v>
      </c>
      <c r="I490" s="73">
        <v>9.0</v>
      </c>
      <c r="J490" s="73"/>
      <c r="K490" s="73"/>
      <c r="L490" s="73"/>
      <c r="M490" s="74"/>
      <c r="N490" s="74"/>
      <c r="O490" s="76"/>
      <c r="P490" s="76"/>
    </row>
    <row r="491" ht="20.25" hidden="1" customHeight="1" outlineLevel="1">
      <c r="A491" s="121">
        <v>46174.0</v>
      </c>
      <c r="B491" s="123" t="s">
        <v>21</v>
      </c>
      <c r="C491" s="123">
        <v>127.0</v>
      </c>
      <c r="D491" s="19"/>
      <c r="E491" s="19"/>
      <c r="F491" s="102" t="s">
        <v>42</v>
      </c>
      <c r="G491" s="76" t="s">
        <v>17</v>
      </c>
      <c r="H491" s="74" t="s">
        <v>25</v>
      </c>
      <c r="I491" s="77">
        <v>1.0</v>
      </c>
      <c r="J491" s="77">
        <v>120.0</v>
      </c>
      <c r="K491" s="77">
        <v>120.0</v>
      </c>
      <c r="L491" s="160">
        <v>25.0</v>
      </c>
      <c r="M491" s="105">
        <v>850.0</v>
      </c>
      <c r="N491" s="105">
        <v>4270.0</v>
      </c>
      <c r="O491" s="76"/>
      <c r="P491" s="76"/>
    </row>
    <row r="492" ht="20.25" hidden="1" customHeight="1" outlineLevel="1">
      <c r="A492" s="57"/>
      <c r="B492" s="58"/>
      <c r="C492" s="58"/>
      <c r="D492" s="11"/>
      <c r="E492" s="11"/>
      <c r="F492" s="58"/>
      <c r="G492" s="76" t="s">
        <v>17</v>
      </c>
      <c r="H492" s="74" t="s">
        <v>18</v>
      </c>
      <c r="I492" s="73">
        <v>23.0</v>
      </c>
      <c r="J492" s="73">
        <v>100.0</v>
      </c>
      <c r="K492" s="73">
        <v>2300.0</v>
      </c>
      <c r="L492" s="57"/>
      <c r="M492" s="187"/>
      <c r="N492" s="187"/>
      <c r="O492" s="76"/>
      <c r="P492" s="76"/>
    </row>
    <row r="493" ht="20.25" hidden="1" customHeight="1" outlineLevel="1">
      <c r="A493" s="29"/>
      <c r="B493" s="123" t="s">
        <v>21</v>
      </c>
      <c r="C493" s="123">
        <v>131.0</v>
      </c>
      <c r="D493" s="19"/>
      <c r="E493" s="19"/>
      <c r="F493" s="102" t="s">
        <v>47</v>
      </c>
      <c r="G493" s="76" t="s">
        <v>17</v>
      </c>
      <c r="H493" s="105" t="s">
        <v>18</v>
      </c>
      <c r="I493" s="160">
        <v>10.0</v>
      </c>
      <c r="J493" s="77">
        <v>0.0</v>
      </c>
      <c r="K493" s="77">
        <v>0.0</v>
      </c>
      <c r="L493" s="29"/>
      <c r="M493" s="187"/>
      <c r="N493" s="187"/>
      <c r="O493" s="76"/>
      <c r="P493" s="76"/>
    </row>
    <row r="494" ht="20.25" hidden="1" customHeight="1" outlineLevel="1">
      <c r="A494" s="57"/>
      <c r="B494" s="58"/>
      <c r="C494" s="58"/>
      <c r="D494" s="11"/>
      <c r="E494" s="11"/>
      <c r="F494" s="58"/>
      <c r="G494" s="76" t="s">
        <v>17</v>
      </c>
      <c r="H494" s="108"/>
      <c r="I494" s="58"/>
      <c r="J494" s="73">
        <v>100.0</v>
      </c>
      <c r="K494" s="73">
        <v>1000.0</v>
      </c>
      <c r="L494" s="58"/>
      <c r="M494" s="108"/>
      <c r="N494" s="108"/>
      <c r="O494" s="76"/>
      <c r="P494" s="76"/>
    </row>
    <row r="495" ht="20.25" hidden="1" customHeight="1" outlineLevel="1">
      <c r="A495" s="29"/>
      <c r="B495" s="123" t="s">
        <v>21</v>
      </c>
      <c r="C495" s="123">
        <v>108.0</v>
      </c>
      <c r="D495" s="19"/>
      <c r="E495" s="19"/>
      <c r="F495" s="26" t="s">
        <v>59</v>
      </c>
      <c r="G495" s="76" t="s">
        <v>17</v>
      </c>
      <c r="H495" s="74" t="s">
        <v>25</v>
      </c>
      <c r="I495" s="77">
        <v>1.0</v>
      </c>
      <c r="J495" s="77"/>
      <c r="K495" s="77"/>
      <c r="L495" s="77"/>
      <c r="M495" s="74"/>
      <c r="N495" s="74"/>
      <c r="O495" s="76"/>
      <c r="P495" s="76"/>
    </row>
    <row r="496" ht="20.25" hidden="1" customHeight="1" outlineLevel="1">
      <c r="A496" s="57"/>
      <c r="B496" s="58"/>
      <c r="C496" s="58"/>
      <c r="D496" s="11"/>
      <c r="E496" s="11"/>
      <c r="F496" s="58"/>
      <c r="G496" s="76" t="s">
        <v>17</v>
      </c>
      <c r="H496" s="74" t="s">
        <v>18</v>
      </c>
      <c r="I496" s="73">
        <v>10.0</v>
      </c>
      <c r="J496" s="73"/>
      <c r="K496" s="73"/>
      <c r="L496" s="73"/>
      <c r="M496" s="74"/>
      <c r="N496" s="74"/>
      <c r="O496" s="76"/>
      <c r="P496" s="76"/>
    </row>
    <row r="497" ht="20.25" hidden="1" customHeight="1" outlineLevel="1">
      <c r="A497" s="29"/>
      <c r="B497" s="123" t="s">
        <v>21</v>
      </c>
      <c r="C497" s="123">
        <v>112.0</v>
      </c>
      <c r="D497" s="19"/>
      <c r="E497" s="19"/>
      <c r="F497" s="26" t="s">
        <v>84</v>
      </c>
      <c r="G497" s="76" t="s">
        <v>17</v>
      </c>
      <c r="H497" s="74" t="s">
        <v>25</v>
      </c>
      <c r="I497" s="77">
        <v>1.0</v>
      </c>
      <c r="J497" s="77"/>
      <c r="K497" s="77"/>
      <c r="L497" s="77"/>
      <c r="M497" s="74"/>
      <c r="N497" s="74"/>
      <c r="O497" s="76"/>
      <c r="P497" s="76"/>
    </row>
    <row r="498" ht="20.25" hidden="1" customHeight="1" outlineLevel="1">
      <c r="A498" s="57"/>
      <c r="B498" s="58"/>
      <c r="C498" s="58"/>
      <c r="D498" s="11"/>
      <c r="E498" s="11"/>
      <c r="F498" s="58"/>
      <c r="G498" s="76" t="s">
        <v>17</v>
      </c>
      <c r="H498" s="74" t="s">
        <v>18</v>
      </c>
      <c r="I498" s="73">
        <v>10.0</v>
      </c>
      <c r="J498" s="73"/>
      <c r="K498" s="73"/>
      <c r="L498" s="73"/>
      <c r="M498" s="74"/>
      <c r="N498" s="74"/>
      <c r="O498" s="76"/>
      <c r="P498" s="76"/>
    </row>
    <row r="499" ht="20.25" hidden="1" customHeight="1" outlineLevel="1">
      <c r="A499" s="29"/>
      <c r="B499" s="123" t="s">
        <v>21</v>
      </c>
      <c r="C499" s="123">
        <v>121.0</v>
      </c>
      <c r="D499" s="19"/>
      <c r="E499" s="19"/>
      <c r="F499" s="26" t="s">
        <v>78</v>
      </c>
      <c r="G499" s="76" t="s">
        <v>17</v>
      </c>
      <c r="H499" s="74" t="s">
        <v>25</v>
      </c>
      <c r="I499" s="77">
        <v>1.0</v>
      </c>
      <c r="J499" s="77"/>
      <c r="K499" s="77"/>
      <c r="L499" s="77"/>
      <c r="M499" s="74"/>
      <c r="N499" s="74"/>
      <c r="O499" s="76"/>
      <c r="P499" s="76"/>
    </row>
    <row r="500" ht="20.25" hidden="1" customHeight="1" outlineLevel="1">
      <c r="A500" s="58"/>
      <c r="B500" s="58"/>
      <c r="C500" s="58"/>
      <c r="D500" s="11"/>
      <c r="E500" s="11"/>
      <c r="F500" s="58"/>
      <c r="G500" s="76" t="s">
        <v>17</v>
      </c>
      <c r="H500" s="74" t="s">
        <v>18</v>
      </c>
      <c r="I500" s="73">
        <v>6.0</v>
      </c>
      <c r="J500" s="73"/>
      <c r="K500" s="73"/>
      <c r="L500" s="73"/>
      <c r="M500" s="74"/>
      <c r="N500" s="74"/>
      <c r="O500" s="76"/>
      <c r="P500" s="76"/>
    </row>
    <row r="501" ht="20.25" hidden="1" customHeight="1" outlineLevel="1">
      <c r="A501" s="121">
        <v>46175.0</v>
      </c>
      <c r="B501" s="123" t="s">
        <v>21</v>
      </c>
      <c r="C501" s="123">
        <v>124.0</v>
      </c>
      <c r="D501" s="19"/>
      <c r="E501" s="19"/>
      <c r="F501" s="102" t="s">
        <v>42</v>
      </c>
      <c r="G501" s="76" t="s">
        <v>17</v>
      </c>
      <c r="H501" s="105" t="s">
        <v>18</v>
      </c>
      <c r="I501" s="160">
        <v>20.0</v>
      </c>
      <c r="J501" s="77">
        <v>0.0</v>
      </c>
      <c r="K501" s="77">
        <v>0.0</v>
      </c>
      <c r="L501" s="160">
        <v>25.0</v>
      </c>
      <c r="M501" s="105">
        <v>875.0</v>
      </c>
      <c r="N501" s="105">
        <v>4375.0</v>
      </c>
      <c r="O501" s="76"/>
      <c r="P501" s="76"/>
    </row>
    <row r="502" ht="20.25" hidden="1" customHeight="1" outlineLevel="1">
      <c r="A502" s="57"/>
      <c r="B502" s="58"/>
      <c r="C502" s="58"/>
      <c r="D502" s="11"/>
      <c r="E502" s="11"/>
      <c r="F502" s="58"/>
      <c r="G502" s="76" t="s">
        <v>17</v>
      </c>
      <c r="H502" s="108"/>
      <c r="I502" s="58"/>
      <c r="J502" s="73">
        <v>100.0</v>
      </c>
      <c r="K502" s="73">
        <v>2000.0</v>
      </c>
      <c r="L502" s="57"/>
      <c r="M502" s="187"/>
      <c r="N502" s="187"/>
      <c r="O502" s="76"/>
      <c r="P502" s="76"/>
    </row>
    <row r="503" ht="20.25" hidden="1" customHeight="1" outlineLevel="1">
      <c r="A503" s="29"/>
      <c r="B503" s="123" t="s">
        <v>21</v>
      </c>
      <c r="C503" s="123">
        <v>131.0</v>
      </c>
      <c r="D503" s="19"/>
      <c r="E503" s="19"/>
      <c r="F503" s="102" t="s">
        <v>47</v>
      </c>
      <c r="G503" s="76" t="s">
        <v>17</v>
      </c>
      <c r="H503" s="105" t="s">
        <v>18</v>
      </c>
      <c r="I503" s="160">
        <v>15.0</v>
      </c>
      <c r="J503" s="77">
        <v>0.0</v>
      </c>
      <c r="K503" s="77">
        <v>0.0</v>
      </c>
      <c r="L503" s="29"/>
      <c r="M503" s="187"/>
      <c r="N503" s="187"/>
      <c r="O503" s="76"/>
      <c r="P503" s="76"/>
    </row>
    <row r="504" ht="20.25" hidden="1" customHeight="1" outlineLevel="1">
      <c r="A504" s="57"/>
      <c r="B504" s="58"/>
      <c r="C504" s="58"/>
      <c r="D504" s="11"/>
      <c r="E504" s="11"/>
      <c r="F504" s="58"/>
      <c r="G504" s="76" t="s">
        <v>17</v>
      </c>
      <c r="H504" s="108"/>
      <c r="I504" s="58"/>
      <c r="J504" s="73">
        <v>100.0</v>
      </c>
      <c r="K504" s="73">
        <v>1500.0</v>
      </c>
      <c r="L504" s="58"/>
      <c r="M504" s="108"/>
      <c r="N504" s="108"/>
      <c r="O504" s="76"/>
      <c r="P504" s="76"/>
    </row>
    <row r="505" ht="20.25" hidden="1" customHeight="1" outlineLevel="1">
      <c r="A505" s="29"/>
      <c r="B505" s="123" t="s">
        <v>21</v>
      </c>
      <c r="C505" s="123">
        <v>108.0</v>
      </c>
      <c r="D505" s="19"/>
      <c r="E505" s="19"/>
      <c r="F505" s="26" t="s">
        <v>59</v>
      </c>
      <c r="G505" s="76" t="s">
        <v>17</v>
      </c>
      <c r="H505" s="74" t="s">
        <v>25</v>
      </c>
      <c r="I505" s="77">
        <v>1.0</v>
      </c>
      <c r="J505" s="77"/>
      <c r="K505" s="77"/>
      <c r="L505" s="77"/>
      <c r="M505" s="74"/>
      <c r="N505" s="74"/>
      <c r="O505" s="76"/>
      <c r="P505" s="76"/>
    </row>
    <row r="506" ht="20.25" hidden="1" customHeight="1" outlineLevel="1">
      <c r="A506" s="57"/>
      <c r="B506" s="58"/>
      <c r="C506" s="58"/>
      <c r="D506" s="11"/>
      <c r="E506" s="11"/>
      <c r="F506" s="58"/>
      <c r="G506" s="76" t="s">
        <v>17</v>
      </c>
      <c r="H506" s="74" t="s">
        <v>18</v>
      </c>
      <c r="I506" s="73">
        <v>12.0</v>
      </c>
      <c r="J506" s="73"/>
      <c r="K506" s="73"/>
      <c r="L506" s="73"/>
      <c r="M506" s="74"/>
      <c r="N506" s="74"/>
      <c r="O506" s="76"/>
      <c r="P506" s="76"/>
    </row>
    <row r="507" ht="20.25" hidden="1" customHeight="1" outlineLevel="1">
      <c r="A507" s="29"/>
      <c r="B507" s="123" t="s">
        <v>21</v>
      </c>
      <c r="C507" s="123">
        <v>112.0</v>
      </c>
      <c r="D507" s="19"/>
      <c r="E507" s="19"/>
      <c r="F507" s="26" t="s">
        <v>84</v>
      </c>
      <c r="G507" s="76" t="s">
        <v>17</v>
      </c>
      <c r="H507" s="74" t="s">
        <v>25</v>
      </c>
      <c r="I507" s="77">
        <v>1.0</v>
      </c>
      <c r="J507" s="77"/>
      <c r="K507" s="77"/>
      <c r="L507" s="77"/>
      <c r="M507" s="74"/>
      <c r="N507" s="74"/>
      <c r="O507" s="76"/>
      <c r="P507" s="76"/>
    </row>
    <row r="508" ht="20.25" hidden="1" customHeight="1" outlineLevel="1">
      <c r="A508" s="57"/>
      <c r="B508" s="58"/>
      <c r="C508" s="58"/>
      <c r="D508" s="11"/>
      <c r="E508" s="11"/>
      <c r="F508" s="58"/>
      <c r="G508" s="76" t="s">
        <v>17</v>
      </c>
      <c r="H508" s="74" t="s">
        <v>18</v>
      </c>
      <c r="I508" s="73">
        <v>8.0</v>
      </c>
      <c r="J508" s="73"/>
      <c r="K508" s="73"/>
      <c r="L508" s="73"/>
      <c r="M508" s="74"/>
      <c r="N508" s="74"/>
      <c r="O508" s="76"/>
      <c r="P508" s="76"/>
    </row>
    <row r="509" ht="20.25" hidden="1" customHeight="1" outlineLevel="1">
      <c r="A509" s="29"/>
      <c r="B509" s="123" t="s">
        <v>21</v>
      </c>
      <c r="C509" s="123">
        <v>121.0</v>
      </c>
      <c r="D509" s="19"/>
      <c r="E509" s="19"/>
      <c r="F509" s="26" t="s">
        <v>78</v>
      </c>
      <c r="G509" s="76" t="s">
        <v>17</v>
      </c>
      <c r="H509" s="74" t="s">
        <v>25</v>
      </c>
      <c r="I509" s="77">
        <v>1.0</v>
      </c>
      <c r="J509" s="77"/>
      <c r="K509" s="77"/>
      <c r="L509" s="77"/>
      <c r="M509" s="74"/>
      <c r="N509" s="74"/>
      <c r="O509" s="76"/>
      <c r="P509" s="76"/>
    </row>
    <row r="510" ht="20.25" hidden="1" customHeight="1" outlineLevel="1">
      <c r="A510" s="58"/>
      <c r="B510" s="58"/>
      <c r="C510" s="58"/>
      <c r="D510" s="11"/>
      <c r="E510" s="11"/>
      <c r="F510" s="58"/>
      <c r="G510" s="76" t="s">
        <v>17</v>
      </c>
      <c r="H510" s="74" t="s">
        <v>18</v>
      </c>
      <c r="I510" s="73">
        <v>8.0</v>
      </c>
      <c r="J510" s="73"/>
      <c r="K510" s="73"/>
      <c r="L510" s="73"/>
      <c r="M510" s="74"/>
      <c r="N510" s="74"/>
      <c r="O510" s="76"/>
      <c r="P510" s="76"/>
    </row>
    <row r="511" ht="20.25" hidden="1" customHeight="1" outlineLevel="1">
      <c r="A511" s="121">
        <v>46176.0</v>
      </c>
      <c r="B511" s="123" t="s">
        <v>21</v>
      </c>
      <c r="C511" s="123">
        <v>124.0</v>
      </c>
      <c r="D511" s="19"/>
      <c r="E511" s="19"/>
      <c r="F511" s="102" t="s">
        <v>42</v>
      </c>
      <c r="G511" s="76" t="s">
        <v>17</v>
      </c>
      <c r="H511" s="74" t="s">
        <v>25</v>
      </c>
      <c r="I511" s="77">
        <v>1.0</v>
      </c>
      <c r="J511" s="77">
        <v>120.0</v>
      </c>
      <c r="K511" s="77">
        <v>120.0</v>
      </c>
      <c r="L511" s="160">
        <v>25.0</v>
      </c>
      <c r="M511" s="105">
        <v>1025.0</v>
      </c>
      <c r="N511" s="105">
        <v>5165.0</v>
      </c>
      <c r="O511" s="76"/>
      <c r="P511" s="76"/>
    </row>
    <row r="512" ht="20.25" hidden="1" customHeight="1" outlineLevel="1">
      <c r="A512" s="57"/>
      <c r="B512" s="58"/>
      <c r="C512" s="58"/>
      <c r="D512" s="11"/>
      <c r="E512" s="11"/>
      <c r="F512" s="58"/>
      <c r="G512" s="76" t="s">
        <v>17</v>
      </c>
      <c r="H512" s="74" t="s">
        <v>18</v>
      </c>
      <c r="I512" s="73">
        <v>23.0</v>
      </c>
      <c r="J512" s="73">
        <v>100.0</v>
      </c>
      <c r="K512" s="73">
        <v>2300.0</v>
      </c>
      <c r="L512" s="57"/>
      <c r="M512" s="187"/>
      <c r="N512" s="187"/>
      <c r="O512" s="76"/>
      <c r="P512" s="76"/>
    </row>
    <row r="513" ht="20.25" hidden="1" customHeight="1" outlineLevel="1">
      <c r="A513" s="29"/>
      <c r="B513" s="123" t="s">
        <v>21</v>
      </c>
      <c r="C513" s="123">
        <v>131.0</v>
      </c>
      <c r="D513" s="19"/>
      <c r="E513" s="19"/>
      <c r="F513" s="102" t="s">
        <v>47</v>
      </c>
      <c r="G513" s="76" t="s">
        <v>17</v>
      </c>
      <c r="H513" s="74" t="s">
        <v>25</v>
      </c>
      <c r="I513" s="77">
        <v>1.0</v>
      </c>
      <c r="J513" s="77">
        <v>120.0</v>
      </c>
      <c r="K513" s="77">
        <v>120.0</v>
      </c>
      <c r="L513" s="29"/>
      <c r="M513" s="187"/>
      <c r="N513" s="187"/>
      <c r="O513" s="76"/>
      <c r="P513" s="76"/>
    </row>
    <row r="514" ht="20.25" hidden="1" customHeight="1" outlineLevel="1">
      <c r="A514" s="57"/>
      <c r="B514" s="58"/>
      <c r="C514" s="58"/>
      <c r="D514" s="11"/>
      <c r="E514" s="11"/>
      <c r="F514" s="58"/>
      <c r="G514" s="76" t="s">
        <v>17</v>
      </c>
      <c r="H514" s="74" t="s">
        <v>18</v>
      </c>
      <c r="I514" s="73">
        <v>16.0</v>
      </c>
      <c r="J514" s="73">
        <v>100.0</v>
      </c>
      <c r="K514" s="73">
        <v>1600.0</v>
      </c>
      <c r="L514" s="58"/>
      <c r="M514" s="108"/>
      <c r="N514" s="108"/>
      <c r="O514" s="76"/>
      <c r="P514" s="76"/>
    </row>
    <row r="515" ht="20.25" hidden="1" customHeight="1" outlineLevel="1">
      <c r="A515" s="29"/>
      <c r="B515" s="123" t="s">
        <v>21</v>
      </c>
      <c r="C515" s="123">
        <v>102.0</v>
      </c>
      <c r="D515" s="19"/>
      <c r="E515" s="19"/>
      <c r="F515" s="26" t="s">
        <v>59</v>
      </c>
      <c r="G515" s="76" t="s">
        <v>17</v>
      </c>
      <c r="H515" s="74" t="s">
        <v>25</v>
      </c>
      <c r="I515" s="77">
        <v>1.0</v>
      </c>
      <c r="J515" s="77"/>
      <c r="K515" s="77"/>
      <c r="L515" s="77"/>
      <c r="M515" s="74"/>
      <c r="N515" s="74"/>
      <c r="O515" s="76"/>
      <c r="P515" s="76"/>
    </row>
    <row r="516" ht="20.25" hidden="1" customHeight="1" outlineLevel="1">
      <c r="A516" s="57"/>
      <c r="B516" s="58"/>
      <c r="C516" s="58"/>
      <c r="D516" s="11"/>
      <c r="E516" s="11"/>
      <c r="F516" s="58"/>
      <c r="G516" s="76" t="s">
        <v>17</v>
      </c>
      <c r="H516" s="74" t="s">
        <v>18</v>
      </c>
      <c r="I516" s="73">
        <v>12.0</v>
      </c>
      <c r="J516" s="73"/>
      <c r="K516" s="73"/>
      <c r="L516" s="73"/>
      <c r="M516" s="74"/>
      <c r="N516" s="74"/>
      <c r="O516" s="76"/>
      <c r="P516" s="76"/>
    </row>
    <row r="517" ht="20.25" hidden="1" customHeight="1" outlineLevel="1">
      <c r="A517" s="29"/>
      <c r="B517" s="123" t="s">
        <v>21</v>
      </c>
      <c r="C517" s="123">
        <v>117.0</v>
      </c>
      <c r="D517" s="19"/>
      <c r="E517" s="19"/>
      <c r="F517" s="26" t="s">
        <v>78</v>
      </c>
      <c r="G517" s="76" t="s">
        <v>17</v>
      </c>
      <c r="H517" s="74" t="s">
        <v>25</v>
      </c>
      <c r="I517" s="77">
        <v>0.0</v>
      </c>
      <c r="J517" s="77"/>
      <c r="K517" s="77"/>
      <c r="L517" s="77"/>
      <c r="M517" s="74"/>
      <c r="N517" s="74"/>
      <c r="O517" s="76"/>
      <c r="P517" s="76"/>
    </row>
    <row r="518" ht="20.25" hidden="1" customHeight="1" outlineLevel="1">
      <c r="A518" s="58"/>
      <c r="B518" s="58"/>
      <c r="C518" s="58"/>
      <c r="D518" s="11"/>
      <c r="E518" s="11"/>
      <c r="F518" s="58"/>
      <c r="G518" s="76" t="s">
        <v>17</v>
      </c>
      <c r="H518" s="74" t="s">
        <v>18</v>
      </c>
      <c r="I518" s="73">
        <v>9.0</v>
      </c>
      <c r="J518" s="73"/>
      <c r="K518" s="73"/>
      <c r="L518" s="73"/>
      <c r="M518" s="74"/>
      <c r="N518" s="74"/>
      <c r="O518" s="76"/>
      <c r="P518" s="76"/>
    </row>
    <row r="519" ht="20.25" hidden="1" customHeight="1" outlineLevel="1">
      <c r="A519" s="121">
        <v>46177.0</v>
      </c>
      <c r="B519" s="123" t="s">
        <v>21</v>
      </c>
      <c r="C519" s="19">
        <v>123.0</v>
      </c>
      <c r="D519" s="19"/>
      <c r="E519" s="19"/>
      <c r="F519" s="102" t="s">
        <v>42</v>
      </c>
      <c r="G519" s="76" t="s">
        <v>17</v>
      </c>
      <c r="H519" s="74" t="s">
        <v>25</v>
      </c>
      <c r="I519" s="77">
        <v>1.0</v>
      </c>
      <c r="J519" s="77">
        <v>120.0</v>
      </c>
      <c r="K519" s="77">
        <v>120.0</v>
      </c>
      <c r="L519" s="160">
        <v>25.0</v>
      </c>
      <c r="M519" s="105">
        <v>1025.0</v>
      </c>
      <c r="N519" s="105">
        <v>5165.0</v>
      </c>
      <c r="O519" s="76"/>
      <c r="P519" s="76"/>
    </row>
    <row r="520" ht="20.25" hidden="1" customHeight="1" outlineLevel="1">
      <c r="A520" s="57"/>
      <c r="B520" s="58"/>
      <c r="C520" s="11">
        <v>124.0</v>
      </c>
      <c r="D520" s="11"/>
      <c r="E520" s="11"/>
      <c r="F520" s="58"/>
      <c r="G520" s="76" t="s">
        <v>17</v>
      </c>
      <c r="H520" s="74" t="s">
        <v>18</v>
      </c>
      <c r="I520" s="73">
        <v>23.0</v>
      </c>
      <c r="J520" s="73">
        <v>100.0</v>
      </c>
      <c r="K520" s="73">
        <v>2300.0</v>
      </c>
      <c r="L520" s="57"/>
      <c r="M520" s="187"/>
      <c r="N520" s="187"/>
      <c r="O520" s="76"/>
      <c r="P520" s="76"/>
    </row>
    <row r="521" ht="20.25" hidden="1" customHeight="1" outlineLevel="1">
      <c r="A521" s="29"/>
      <c r="B521" s="123" t="s">
        <v>21</v>
      </c>
      <c r="C521" s="19">
        <v>133.0</v>
      </c>
      <c r="D521" s="19"/>
      <c r="E521" s="19"/>
      <c r="F521" s="26" t="s">
        <v>168</v>
      </c>
      <c r="G521" s="76" t="s">
        <v>17</v>
      </c>
      <c r="H521" s="74" t="s">
        <v>25</v>
      </c>
      <c r="I521" s="77">
        <v>1.0</v>
      </c>
      <c r="J521" s="77">
        <v>120.0</v>
      </c>
      <c r="K521" s="77">
        <v>120.0</v>
      </c>
      <c r="L521" s="29"/>
      <c r="M521" s="187"/>
      <c r="N521" s="187"/>
      <c r="O521" s="76"/>
      <c r="P521" s="76"/>
    </row>
    <row r="522" ht="20.25" hidden="1" customHeight="1" outlineLevel="1">
      <c r="A522" s="57"/>
      <c r="B522" s="58"/>
      <c r="C522" s="11">
        <v>131.0</v>
      </c>
      <c r="D522" s="11"/>
      <c r="E522" s="11"/>
      <c r="F522" s="58"/>
      <c r="G522" s="76" t="s">
        <v>17</v>
      </c>
      <c r="H522" s="74" t="s">
        <v>18</v>
      </c>
      <c r="I522" s="73">
        <v>16.0</v>
      </c>
      <c r="J522" s="73">
        <v>100.0</v>
      </c>
      <c r="K522" s="73">
        <v>1600.0</v>
      </c>
      <c r="L522" s="58"/>
      <c r="M522" s="108"/>
      <c r="N522" s="108"/>
      <c r="O522" s="76"/>
      <c r="P522" s="76"/>
    </row>
    <row r="523" ht="20.25" hidden="1" customHeight="1" outlineLevel="1">
      <c r="A523" s="29"/>
      <c r="B523" s="123" t="s">
        <v>21</v>
      </c>
      <c r="C523" s="123">
        <v>102.0</v>
      </c>
      <c r="D523" s="19"/>
      <c r="E523" s="19"/>
      <c r="F523" s="26" t="s">
        <v>59</v>
      </c>
      <c r="G523" s="76" t="s">
        <v>17</v>
      </c>
      <c r="H523" s="74" t="s">
        <v>25</v>
      </c>
      <c r="I523" s="77">
        <v>1.0</v>
      </c>
      <c r="J523" s="77"/>
      <c r="K523" s="77"/>
      <c r="L523" s="77"/>
      <c r="M523" s="74"/>
      <c r="N523" s="74"/>
      <c r="O523" s="76"/>
      <c r="P523" s="76"/>
    </row>
    <row r="524" ht="20.25" hidden="1" customHeight="1" outlineLevel="1">
      <c r="A524" s="57"/>
      <c r="B524" s="58"/>
      <c r="C524" s="58"/>
      <c r="D524" s="11"/>
      <c r="E524" s="11"/>
      <c r="F524" s="58"/>
      <c r="G524" s="76" t="s">
        <v>17</v>
      </c>
      <c r="H524" s="74" t="s">
        <v>18</v>
      </c>
      <c r="I524" s="73">
        <v>10.0</v>
      </c>
      <c r="J524" s="73"/>
      <c r="K524" s="73"/>
      <c r="L524" s="73"/>
      <c r="M524" s="74"/>
      <c r="N524" s="74"/>
      <c r="O524" s="76"/>
      <c r="P524" s="76"/>
    </row>
    <row r="525" ht="20.25" hidden="1" customHeight="1" outlineLevel="1">
      <c r="A525" s="29"/>
      <c r="B525" s="123" t="s">
        <v>21</v>
      </c>
      <c r="C525" s="123">
        <v>117.0</v>
      </c>
      <c r="D525" s="19"/>
      <c r="E525" s="19"/>
      <c r="F525" s="26" t="s">
        <v>78</v>
      </c>
      <c r="G525" s="76" t="s">
        <v>17</v>
      </c>
      <c r="H525" s="74" t="s">
        <v>25</v>
      </c>
      <c r="I525" s="77">
        <v>1.0</v>
      </c>
      <c r="J525" s="77"/>
      <c r="K525" s="77"/>
      <c r="L525" s="77"/>
      <c r="M525" s="74"/>
      <c r="N525" s="74"/>
      <c r="O525" s="76"/>
      <c r="P525" s="76"/>
    </row>
    <row r="526" ht="20.25" hidden="1" customHeight="1" outlineLevel="1">
      <c r="A526" s="57"/>
      <c r="B526" s="58"/>
      <c r="C526" s="58"/>
      <c r="D526" s="11"/>
      <c r="E526" s="11"/>
      <c r="F526" s="58"/>
      <c r="G526" s="76" t="s">
        <v>17</v>
      </c>
      <c r="H526" s="74" t="s">
        <v>18</v>
      </c>
      <c r="I526" s="73">
        <v>13.0</v>
      </c>
      <c r="J526" s="73"/>
      <c r="K526" s="73"/>
      <c r="L526" s="73"/>
      <c r="M526" s="74"/>
      <c r="N526" s="74"/>
      <c r="O526" s="76"/>
      <c r="P526" s="76"/>
    </row>
    <row r="527" ht="20.25" hidden="1" customHeight="1" outlineLevel="1">
      <c r="A527" s="29"/>
      <c r="B527" s="123" t="s">
        <v>40</v>
      </c>
      <c r="C527" s="123">
        <v>101.0</v>
      </c>
      <c r="D527" s="19"/>
      <c r="E527" s="19"/>
      <c r="F527" s="26" t="s">
        <v>170</v>
      </c>
      <c r="G527" s="76" t="s">
        <v>17</v>
      </c>
      <c r="H527" s="74" t="s">
        <v>25</v>
      </c>
      <c r="I527" s="77">
        <v>1.0</v>
      </c>
      <c r="J527" s="77"/>
      <c r="K527" s="77"/>
      <c r="L527" s="77"/>
      <c r="M527" s="74"/>
      <c r="N527" s="74"/>
      <c r="O527" s="76"/>
      <c r="P527" s="76"/>
    </row>
    <row r="528" ht="20.25" hidden="1" customHeight="1" outlineLevel="1">
      <c r="A528" s="58"/>
      <c r="B528" s="58"/>
      <c r="C528" s="58"/>
      <c r="D528" s="11"/>
      <c r="E528" s="11"/>
      <c r="F528" s="58"/>
      <c r="G528" s="76" t="s">
        <v>17</v>
      </c>
      <c r="H528" s="74" t="s">
        <v>18</v>
      </c>
      <c r="I528" s="73">
        <v>14.0</v>
      </c>
      <c r="J528" s="73"/>
      <c r="K528" s="73"/>
      <c r="L528" s="73"/>
      <c r="M528" s="74"/>
      <c r="N528" s="74"/>
      <c r="O528" s="76"/>
      <c r="P528" s="76"/>
    </row>
    <row r="529" ht="20.25" hidden="1" customHeight="1" outlineLevel="1">
      <c r="A529" s="121">
        <v>46178.0</v>
      </c>
      <c r="B529" s="123" t="s">
        <v>21</v>
      </c>
      <c r="C529" s="123">
        <v>123.0</v>
      </c>
      <c r="D529" s="19"/>
      <c r="E529" s="19"/>
      <c r="F529" s="102" t="s">
        <v>42</v>
      </c>
      <c r="G529" s="76" t="s">
        <v>17</v>
      </c>
      <c r="H529" s="74" t="s">
        <v>25</v>
      </c>
      <c r="I529" s="77">
        <v>0.0</v>
      </c>
      <c r="J529" s="77">
        <v>0.0</v>
      </c>
      <c r="K529" s="77">
        <v>0.0</v>
      </c>
      <c r="L529" s="160">
        <v>25.0</v>
      </c>
      <c r="M529" s="105">
        <v>1000.0</v>
      </c>
      <c r="N529" s="105">
        <v>5020.0</v>
      </c>
      <c r="O529" s="76"/>
      <c r="P529" s="76"/>
    </row>
    <row r="530" ht="20.25" hidden="1" customHeight="1" outlineLevel="1">
      <c r="A530" s="57"/>
      <c r="B530" s="58"/>
      <c r="C530" s="58"/>
      <c r="D530" s="11"/>
      <c r="E530" s="11"/>
      <c r="F530" s="58"/>
      <c r="G530" s="76" t="s">
        <v>17</v>
      </c>
      <c r="H530" s="74" t="s">
        <v>18</v>
      </c>
      <c r="I530" s="73">
        <v>24.0</v>
      </c>
      <c r="J530" s="73">
        <v>100.0</v>
      </c>
      <c r="K530" s="73">
        <v>2400.0</v>
      </c>
      <c r="L530" s="57"/>
      <c r="M530" s="187"/>
      <c r="N530" s="187"/>
      <c r="O530" s="76"/>
      <c r="P530" s="76"/>
    </row>
    <row r="531" ht="20.25" hidden="1" customHeight="1" outlineLevel="1">
      <c r="A531" s="29"/>
      <c r="B531" s="123" t="s">
        <v>21</v>
      </c>
      <c r="C531" s="123">
        <v>133.0</v>
      </c>
      <c r="D531" s="19"/>
      <c r="E531" s="19"/>
      <c r="F531" s="26" t="s">
        <v>168</v>
      </c>
      <c r="G531" s="76" t="s">
        <v>17</v>
      </c>
      <c r="H531" s="74" t="s">
        <v>25</v>
      </c>
      <c r="I531" s="77">
        <v>1.0</v>
      </c>
      <c r="J531" s="77">
        <v>120.0</v>
      </c>
      <c r="K531" s="77">
        <v>120.0</v>
      </c>
      <c r="L531" s="29"/>
      <c r="M531" s="187"/>
      <c r="N531" s="187"/>
      <c r="O531" s="76"/>
      <c r="P531" s="76"/>
    </row>
    <row r="532" ht="20.25" hidden="1" customHeight="1" outlineLevel="1">
      <c r="A532" s="57"/>
      <c r="B532" s="58"/>
      <c r="C532" s="58"/>
      <c r="D532" s="11"/>
      <c r="E532" s="11"/>
      <c r="F532" s="58"/>
      <c r="G532" s="76" t="s">
        <v>17</v>
      </c>
      <c r="H532" s="74" t="s">
        <v>18</v>
      </c>
      <c r="I532" s="73">
        <v>15.0</v>
      </c>
      <c r="J532" s="73">
        <v>100.0</v>
      </c>
      <c r="K532" s="73">
        <v>1500.0</v>
      </c>
      <c r="L532" s="58"/>
      <c r="M532" s="108"/>
      <c r="N532" s="108"/>
      <c r="O532" s="76"/>
      <c r="P532" s="76"/>
    </row>
    <row r="533" ht="20.25" hidden="1" customHeight="1" outlineLevel="1">
      <c r="A533" s="29"/>
      <c r="B533" s="123" t="s">
        <v>21</v>
      </c>
      <c r="C533" s="123">
        <v>111.0</v>
      </c>
      <c r="D533" s="19"/>
      <c r="E533" s="19"/>
      <c r="F533" s="26" t="s">
        <v>172</v>
      </c>
      <c r="G533" s="76" t="s">
        <v>17</v>
      </c>
      <c r="H533" s="74" t="s">
        <v>25</v>
      </c>
      <c r="I533" s="77">
        <v>1.0</v>
      </c>
      <c r="J533" s="77"/>
      <c r="K533" s="77"/>
      <c r="L533" s="77"/>
      <c r="M533" s="74"/>
      <c r="N533" s="74"/>
      <c r="O533" s="76"/>
      <c r="P533" s="76"/>
    </row>
    <row r="534" ht="20.25" hidden="1" customHeight="1" outlineLevel="1">
      <c r="A534" s="57"/>
      <c r="B534" s="58"/>
      <c r="C534" s="58"/>
      <c r="D534" s="11"/>
      <c r="E534" s="11"/>
      <c r="F534" s="58"/>
      <c r="G534" s="76" t="s">
        <v>17</v>
      </c>
      <c r="H534" s="74" t="s">
        <v>18</v>
      </c>
      <c r="I534" s="73">
        <v>11.0</v>
      </c>
      <c r="J534" s="73"/>
      <c r="K534" s="73"/>
      <c r="L534" s="73"/>
      <c r="M534" s="74"/>
      <c r="N534" s="74"/>
      <c r="O534" s="76"/>
      <c r="P534" s="76"/>
    </row>
    <row r="535" ht="20.25" hidden="1" customHeight="1" outlineLevel="1">
      <c r="A535" s="29"/>
      <c r="B535" s="123" t="s">
        <v>21</v>
      </c>
      <c r="C535" s="123">
        <v>116.0</v>
      </c>
      <c r="D535" s="19"/>
      <c r="E535" s="19"/>
      <c r="F535" s="26" t="s">
        <v>78</v>
      </c>
      <c r="G535" s="76" t="s">
        <v>17</v>
      </c>
      <c r="H535" s="74" t="s">
        <v>25</v>
      </c>
      <c r="I535" s="77">
        <v>1.0</v>
      </c>
      <c r="J535" s="77"/>
      <c r="K535" s="77"/>
      <c r="L535" s="77"/>
      <c r="M535" s="74"/>
      <c r="N535" s="74"/>
      <c r="O535" s="76"/>
      <c r="P535" s="76"/>
    </row>
    <row r="536" ht="20.25" hidden="1" customHeight="1" outlineLevel="1">
      <c r="A536" s="57"/>
      <c r="B536" s="58"/>
      <c r="C536" s="364">
        <v>105.0</v>
      </c>
      <c r="D536" s="11"/>
      <c r="E536" s="11"/>
      <c r="F536" s="58"/>
      <c r="G536" s="76" t="s">
        <v>17</v>
      </c>
      <c r="H536" s="74" t="s">
        <v>18</v>
      </c>
      <c r="I536" s="73">
        <v>12.0</v>
      </c>
      <c r="J536" s="73"/>
      <c r="K536" s="73"/>
      <c r="L536" s="73"/>
      <c r="M536" s="74"/>
      <c r="N536" s="74"/>
      <c r="O536" s="76"/>
      <c r="P536" s="76"/>
    </row>
    <row r="537" ht="20.25" hidden="1" customHeight="1" outlineLevel="1">
      <c r="A537" s="29"/>
      <c r="B537" s="123" t="s">
        <v>40</v>
      </c>
      <c r="C537" s="123">
        <v>101.0</v>
      </c>
      <c r="D537" s="19"/>
      <c r="E537" s="19"/>
      <c r="F537" s="26" t="s">
        <v>170</v>
      </c>
      <c r="G537" s="76" t="s">
        <v>17</v>
      </c>
      <c r="H537" s="74" t="s">
        <v>25</v>
      </c>
      <c r="I537" s="77">
        <v>1.0</v>
      </c>
      <c r="J537" s="77"/>
      <c r="K537" s="77"/>
      <c r="L537" s="77"/>
      <c r="M537" s="74"/>
      <c r="N537" s="74"/>
      <c r="O537" s="76"/>
      <c r="P537" s="76"/>
    </row>
    <row r="538" ht="20.25" hidden="1" customHeight="1" outlineLevel="1">
      <c r="A538" s="57"/>
      <c r="B538" s="58"/>
      <c r="C538" s="58"/>
      <c r="D538" s="11"/>
      <c r="E538" s="11"/>
      <c r="F538" s="58"/>
      <c r="G538" s="76" t="s">
        <v>17</v>
      </c>
      <c r="H538" s="74" t="s">
        <v>18</v>
      </c>
      <c r="I538" s="73">
        <v>16.0</v>
      </c>
      <c r="J538" s="73"/>
      <c r="K538" s="73"/>
      <c r="L538" s="73"/>
      <c r="M538" s="74"/>
      <c r="N538" s="74"/>
      <c r="O538" s="76"/>
      <c r="P538" s="76"/>
    </row>
    <row r="539" ht="20.25" hidden="1" customHeight="1" outlineLevel="1">
      <c r="A539" s="29"/>
      <c r="B539" s="123" t="s">
        <v>40</v>
      </c>
      <c r="C539" s="123">
        <v>102.0</v>
      </c>
      <c r="D539" s="19"/>
      <c r="E539" s="19"/>
      <c r="F539" s="26" t="s">
        <v>174</v>
      </c>
      <c r="G539" s="76" t="s">
        <v>17</v>
      </c>
      <c r="H539" s="74" t="s">
        <v>25</v>
      </c>
      <c r="I539" s="77">
        <v>1.0</v>
      </c>
      <c r="J539" s="77"/>
      <c r="K539" s="77"/>
      <c r="L539" s="77"/>
      <c r="M539" s="74"/>
      <c r="N539" s="74"/>
      <c r="O539" s="76"/>
      <c r="P539" s="76"/>
    </row>
    <row r="540" ht="20.25" hidden="1" customHeight="1" outlineLevel="1">
      <c r="A540" s="58"/>
      <c r="B540" s="58"/>
      <c r="C540" s="58"/>
      <c r="D540" s="11"/>
      <c r="E540" s="11"/>
      <c r="F540" s="58"/>
      <c r="G540" s="76" t="s">
        <v>17</v>
      </c>
      <c r="H540" s="74" t="s">
        <v>18</v>
      </c>
      <c r="I540" s="73">
        <v>17.0</v>
      </c>
      <c r="J540" s="73"/>
      <c r="K540" s="73"/>
      <c r="L540" s="73"/>
      <c r="M540" s="74"/>
      <c r="N540" s="74"/>
      <c r="O540" s="76"/>
      <c r="P540" s="76"/>
    </row>
    <row r="541" ht="20.25" hidden="1" customHeight="1" outlineLevel="1">
      <c r="A541" s="121">
        <v>46179.0</v>
      </c>
      <c r="B541" s="123" t="s">
        <v>21</v>
      </c>
      <c r="C541" s="123">
        <v>101.0</v>
      </c>
      <c r="D541" s="19"/>
      <c r="E541" s="19"/>
      <c r="F541" s="102" t="s">
        <v>42</v>
      </c>
      <c r="G541" s="76" t="s">
        <v>17</v>
      </c>
      <c r="H541" s="74" t="s">
        <v>25</v>
      </c>
      <c r="I541" s="77">
        <v>1.0</v>
      </c>
      <c r="J541" s="77">
        <v>120.0</v>
      </c>
      <c r="K541" s="77">
        <v>120.0</v>
      </c>
      <c r="L541" s="160">
        <v>25.0</v>
      </c>
      <c r="M541" s="105">
        <v>1150.0</v>
      </c>
      <c r="N541" s="105">
        <v>5790.0</v>
      </c>
      <c r="O541" s="76"/>
      <c r="P541" s="76"/>
    </row>
    <row r="542" ht="20.25" hidden="1" customHeight="1" outlineLevel="1">
      <c r="A542" s="57"/>
      <c r="B542" s="58"/>
      <c r="C542" s="58"/>
      <c r="D542" s="11"/>
      <c r="E542" s="11"/>
      <c r="F542" s="58"/>
      <c r="G542" s="76" t="s">
        <v>17</v>
      </c>
      <c r="H542" s="74" t="s">
        <v>18</v>
      </c>
      <c r="I542" s="73">
        <v>24.0</v>
      </c>
      <c r="J542" s="73">
        <v>100.0</v>
      </c>
      <c r="K542" s="73">
        <v>2400.0</v>
      </c>
      <c r="L542" s="57"/>
      <c r="M542" s="187"/>
      <c r="N542" s="187"/>
      <c r="O542" s="76"/>
      <c r="P542" s="76"/>
    </row>
    <row r="543" ht="20.25" hidden="1" customHeight="1" outlineLevel="1">
      <c r="A543" s="29"/>
      <c r="B543" s="123" t="s">
        <v>21</v>
      </c>
      <c r="C543" s="123">
        <v>133.0</v>
      </c>
      <c r="D543" s="19"/>
      <c r="E543" s="19"/>
      <c r="F543" s="26" t="s">
        <v>168</v>
      </c>
      <c r="G543" s="76" t="s">
        <v>17</v>
      </c>
      <c r="H543" s="74" t="s">
        <v>25</v>
      </c>
      <c r="I543" s="77">
        <v>1.0</v>
      </c>
      <c r="J543" s="77">
        <v>120.0</v>
      </c>
      <c r="K543" s="77">
        <v>120.0</v>
      </c>
      <c r="L543" s="29"/>
      <c r="M543" s="187"/>
      <c r="N543" s="187"/>
      <c r="O543" s="76"/>
      <c r="P543" s="76"/>
    </row>
    <row r="544" ht="20.25" hidden="1" customHeight="1" outlineLevel="1">
      <c r="A544" s="57"/>
      <c r="B544" s="58"/>
      <c r="C544" s="364">
        <v>134.0</v>
      </c>
      <c r="D544" s="11"/>
      <c r="E544" s="11"/>
      <c r="F544" s="58"/>
      <c r="G544" s="76" t="s">
        <v>17</v>
      </c>
      <c r="H544" s="74" t="s">
        <v>18</v>
      </c>
      <c r="I544" s="73">
        <v>20.0</v>
      </c>
      <c r="J544" s="73">
        <v>100.0</v>
      </c>
      <c r="K544" s="73">
        <v>2000.0</v>
      </c>
      <c r="L544" s="58"/>
      <c r="M544" s="108"/>
      <c r="N544" s="108"/>
      <c r="O544" s="76"/>
      <c r="P544" s="76"/>
    </row>
    <row r="545" ht="20.25" hidden="1" customHeight="1" outlineLevel="1">
      <c r="A545" s="29"/>
      <c r="B545" s="123" t="s">
        <v>21</v>
      </c>
      <c r="C545" s="123">
        <v>111.0</v>
      </c>
      <c r="D545" s="19"/>
      <c r="E545" s="19"/>
      <c r="F545" s="26" t="s">
        <v>172</v>
      </c>
      <c r="G545" s="76" t="s">
        <v>17</v>
      </c>
      <c r="H545" s="74" t="s">
        <v>25</v>
      </c>
      <c r="I545" s="77">
        <v>1.0</v>
      </c>
      <c r="J545" s="77"/>
      <c r="K545" s="77"/>
      <c r="L545" s="77"/>
      <c r="M545" s="74"/>
      <c r="N545" s="74"/>
      <c r="O545" s="76"/>
      <c r="P545" s="76"/>
    </row>
    <row r="546" ht="20.25" hidden="1" customHeight="1" outlineLevel="1">
      <c r="A546" s="57"/>
      <c r="B546" s="58"/>
      <c r="C546" s="58"/>
      <c r="D546" s="11"/>
      <c r="E546" s="11"/>
      <c r="F546" s="58"/>
      <c r="G546" s="76" t="s">
        <v>17</v>
      </c>
      <c r="H546" s="74" t="s">
        <v>18</v>
      </c>
      <c r="I546" s="73">
        <v>10.0</v>
      </c>
      <c r="J546" s="73"/>
      <c r="K546" s="73"/>
      <c r="L546" s="73"/>
      <c r="M546" s="74"/>
      <c r="N546" s="74"/>
      <c r="O546" s="76"/>
      <c r="P546" s="76"/>
    </row>
    <row r="547" ht="20.25" hidden="1" customHeight="1" outlineLevel="1">
      <c r="A547" s="29"/>
      <c r="B547" s="123" t="s">
        <v>21</v>
      </c>
      <c r="C547" s="123">
        <v>114.0</v>
      </c>
      <c r="D547" s="19"/>
      <c r="E547" s="19"/>
      <c r="F547" s="26" t="s">
        <v>78</v>
      </c>
      <c r="G547" s="76" t="s">
        <v>17</v>
      </c>
      <c r="H547" s="74" t="s">
        <v>25</v>
      </c>
      <c r="I547" s="77">
        <v>1.0</v>
      </c>
      <c r="J547" s="77"/>
      <c r="K547" s="77"/>
      <c r="L547" s="77"/>
      <c r="M547" s="74"/>
      <c r="N547" s="74"/>
      <c r="O547" s="76"/>
      <c r="P547" s="76"/>
    </row>
    <row r="548" ht="20.25" hidden="1" customHeight="1" outlineLevel="1">
      <c r="A548" s="57"/>
      <c r="B548" s="58"/>
      <c r="C548" s="58"/>
      <c r="D548" s="11"/>
      <c r="E548" s="11"/>
      <c r="F548" s="58"/>
      <c r="G548" s="76" t="s">
        <v>17</v>
      </c>
      <c r="H548" s="74" t="s">
        <v>18</v>
      </c>
      <c r="I548" s="73">
        <v>9.0</v>
      </c>
      <c r="J548" s="73"/>
      <c r="K548" s="73"/>
      <c r="L548" s="73"/>
      <c r="M548" s="74"/>
      <c r="N548" s="74"/>
      <c r="O548" s="76"/>
      <c r="P548" s="76"/>
    </row>
    <row r="549" ht="20.25" hidden="1" customHeight="1" outlineLevel="1">
      <c r="A549" s="29"/>
      <c r="B549" s="123" t="s">
        <v>40</v>
      </c>
      <c r="C549" s="123">
        <v>103.0</v>
      </c>
      <c r="D549" s="19"/>
      <c r="E549" s="19"/>
      <c r="F549" s="26" t="s">
        <v>170</v>
      </c>
      <c r="G549" s="76" t="s">
        <v>17</v>
      </c>
      <c r="H549" s="74" t="s">
        <v>25</v>
      </c>
      <c r="I549" s="77">
        <v>0.0</v>
      </c>
      <c r="J549" s="77"/>
      <c r="K549" s="77"/>
      <c r="L549" s="77"/>
      <c r="M549" s="74"/>
      <c r="N549" s="74"/>
      <c r="O549" s="76"/>
      <c r="P549" s="76"/>
    </row>
    <row r="550" ht="20.25" hidden="1" customHeight="1" outlineLevel="1">
      <c r="A550" s="57"/>
      <c r="B550" s="58"/>
      <c r="C550" s="58"/>
      <c r="D550" s="11"/>
      <c r="E550" s="11"/>
      <c r="F550" s="58"/>
      <c r="G550" s="76" t="s">
        <v>17</v>
      </c>
      <c r="H550" s="74" t="s">
        <v>18</v>
      </c>
      <c r="I550" s="73">
        <v>14.0</v>
      </c>
      <c r="J550" s="73"/>
      <c r="K550" s="73"/>
      <c r="L550" s="73"/>
      <c r="M550" s="74"/>
      <c r="N550" s="74"/>
      <c r="O550" s="76"/>
      <c r="P550" s="76"/>
    </row>
    <row r="551" ht="20.25" hidden="1" customHeight="1" outlineLevel="1">
      <c r="A551" s="29"/>
      <c r="B551" s="123" t="s">
        <v>40</v>
      </c>
      <c r="C551" s="123">
        <v>102.0</v>
      </c>
      <c r="D551" s="19"/>
      <c r="E551" s="19"/>
      <c r="F551" s="26" t="s">
        <v>174</v>
      </c>
      <c r="G551" s="76" t="s">
        <v>17</v>
      </c>
      <c r="H551" s="74" t="s">
        <v>25</v>
      </c>
      <c r="I551" s="77">
        <v>1.0</v>
      </c>
      <c r="J551" s="77"/>
      <c r="K551" s="77"/>
      <c r="L551" s="77"/>
      <c r="M551" s="74"/>
      <c r="N551" s="74"/>
      <c r="O551" s="76"/>
      <c r="P551" s="76"/>
    </row>
    <row r="552" ht="20.25" hidden="1" customHeight="1" outlineLevel="1">
      <c r="A552" s="58"/>
      <c r="B552" s="58"/>
      <c r="C552" s="58"/>
      <c r="D552" s="11"/>
      <c r="E552" s="11"/>
      <c r="F552" s="58"/>
      <c r="G552" s="76" t="s">
        <v>17</v>
      </c>
      <c r="H552" s="74" t="s">
        <v>18</v>
      </c>
      <c r="I552" s="73">
        <v>14.0</v>
      </c>
      <c r="J552" s="73"/>
      <c r="K552" s="73"/>
      <c r="L552" s="73"/>
      <c r="M552" s="74"/>
      <c r="N552" s="74"/>
      <c r="O552" s="76"/>
      <c r="P552" s="76"/>
    </row>
    <row r="553" ht="20.25" hidden="1" customHeight="1" outlineLevel="1">
      <c r="A553" s="121">
        <v>46180.0</v>
      </c>
      <c r="B553" s="123" t="s">
        <v>40</v>
      </c>
      <c r="C553" s="123">
        <v>101.0</v>
      </c>
      <c r="D553" s="19"/>
      <c r="E553" s="19"/>
      <c r="F553" s="102" t="s">
        <v>42</v>
      </c>
      <c r="G553" s="76" t="s">
        <v>17</v>
      </c>
      <c r="H553" s="74" t="s">
        <v>25</v>
      </c>
      <c r="I553" s="77">
        <v>1.0</v>
      </c>
      <c r="J553" s="77">
        <v>120.0</v>
      </c>
      <c r="K553" s="77">
        <v>120.0</v>
      </c>
      <c r="L553" s="160">
        <v>25.0</v>
      </c>
      <c r="M553" s="105">
        <v>1250.0</v>
      </c>
      <c r="N553" s="105">
        <v>6290.0</v>
      </c>
      <c r="O553" s="76"/>
      <c r="P553" s="76"/>
    </row>
    <row r="554" ht="20.25" hidden="1" customHeight="1" outlineLevel="1">
      <c r="A554" s="57"/>
      <c r="B554" s="58"/>
      <c r="C554" s="58"/>
      <c r="D554" s="11"/>
      <c r="E554" s="11"/>
      <c r="F554" s="58"/>
      <c r="G554" s="76" t="s">
        <v>17</v>
      </c>
      <c r="H554" s="74" t="s">
        <v>18</v>
      </c>
      <c r="I554" s="73">
        <v>26.0</v>
      </c>
      <c r="J554" s="73">
        <v>100.0</v>
      </c>
      <c r="K554" s="73">
        <v>2600.0</v>
      </c>
      <c r="L554" s="57"/>
      <c r="M554" s="187"/>
      <c r="N554" s="187"/>
      <c r="O554" s="76"/>
      <c r="P554" s="76"/>
    </row>
    <row r="555" ht="20.25" hidden="1" customHeight="1" outlineLevel="1">
      <c r="A555" s="29"/>
      <c r="B555" s="123" t="s">
        <v>40</v>
      </c>
      <c r="C555" s="123">
        <v>125.0</v>
      </c>
      <c r="D555" s="19"/>
      <c r="E555" s="19"/>
      <c r="F555" s="26" t="s">
        <v>168</v>
      </c>
      <c r="G555" s="76" t="s">
        <v>17</v>
      </c>
      <c r="H555" s="74" t="s">
        <v>25</v>
      </c>
      <c r="I555" s="77">
        <v>1.0</v>
      </c>
      <c r="J555" s="77">
        <v>120.0</v>
      </c>
      <c r="K555" s="77">
        <v>120.0</v>
      </c>
      <c r="L555" s="29"/>
      <c r="M555" s="187"/>
      <c r="N555" s="187"/>
      <c r="O555" s="76"/>
      <c r="P555" s="76"/>
    </row>
    <row r="556" ht="20.25" hidden="1" customHeight="1" outlineLevel="1">
      <c r="A556" s="57"/>
      <c r="B556" s="58"/>
      <c r="C556" s="58"/>
      <c r="D556" s="11"/>
      <c r="E556" s="11"/>
      <c r="F556" s="58"/>
      <c r="G556" s="76" t="s">
        <v>17</v>
      </c>
      <c r="H556" s="74" t="s">
        <v>18</v>
      </c>
      <c r="I556" s="73">
        <v>22.0</v>
      </c>
      <c r="J556" s="73">
        <v>100.0</v>
      </c>
      <c r="K556" s="73">
        <v>2200.0</v>
      </c>
      <c r="L556" s="58"/>
      <c r="M556" s="108"/>
      <c r="N556" s="108"/>
      <c r="O556" s="76"/>
      <c r="P556" s="76"/>
    </row>
    <row r="557" ht="20.25" hidden="1" customHeight="1" outlineLevel="1">
      <c r="A557" s="29"/>
      <c r="B557" s="123" t="s">
        <v>40</v>
      </c>
      <c r="C557" s="123">
        <v>111.0</v>
      </c>
      <c r="D557" s="19"/>
      <c r="E557" s="19"/>
      <c r="F557" s="26" t="s">
        <v>172</v>
      </c>
      <c r="G557" s="76" t="s">
        <v>17</v>
      </c>
      <c r="H557" s="74" t="s">
        <v>25</v>
      </c>
      <c r="I557" s="77">
        <v>0.0</v>
      </c>
      <c r="J557" s="77"/>
      <c r="K557" s="77"/>
      <c r="L557" s="77"/>
      <c r="M557" s="74"/>
      <c r="N557" s="74"/>
      <c r="O557" s="76"/>
      <c r="P557" s="76"/>
    </row>
    <row r="558" ht="20.25" hidden="1" customHeight="1" outlineLevel="1">
      <c r="A558" s="57"/>
      <c r="B558" s="58"/>
      <c r="C558" s="58"/>
      <c r="D558" s="11"/>
      <c r="E558" s="11"/>
      <c r="F558" s="58"/>
      <c r="G558" s="76" t="s">
        <v>17</v>
      </c>
      <c r="H558" s="74" t="s">
        <v>18</v>
      </c>
      <c r="I558" s="73">
        <v>19.0</v>
      </c>
      <c r="J558" s="73"/>
      <c r="K558" s="73"/>
      <c r="L558" s="73"/>
      <c r="M558" s="74"/>
      <c r="N558" s="74"/>
      <c r="O558" s="76"/>
      <c r="P558" s="76"/>
    </row>
    <row r="559" ht="20.25" hidden="1" customHeight="1" outlineLevel="1">
      <c r="A559" s="29"/>
      <c r="B559" s="123" t="s">
        <v>40</v>
      </c>
      <c r="C559" s="123">
        <v>104.0</v>
      </c>
      <c r="D559" s="19"/>
      <c r="E559" s="19"/>
      <c r="F559" s="26" t="s">
        <v>78</v>
      </c>
      <c r="G559" s="76" t="s">
        <v>17</v>
      </c>
      <c r="H559" s="74" t="s">
        <v>25</v>
      </c>
      <c r="I559" s="77">
        <v>1.0</v>
      </c>
      <c r="J559" s="77"/>
      <c r="K559" s="77"/>
      <c r="L559" s="77"/>
      <c r="M559" s="74"/>
      <c r="N559" s="74"/>
      <c r="O559" s="76"/>
      <c r="P559" s="76"/>
    </row>
    <row r="560" ht="20.25" hidden="1" customHeight="1" outlineLevel="1">
      <c r="A560" s="57"/>
      <c r="B560" s="58"/>
      <c r="C560" s="58"/>
      <c r="D560" s="11"/>
      <c r="E560" s="11"/>
      <c r="F560" s="58"/>
      <c r="G560" s="76" t="s">
        <v>17</v>
      </c>
      <c r="H560" s="74" t="s">
        <v>18</v>
      </c>
      <c r="I560" s="73">
        <v>14.0</v>
      </c>
      <c r="J560" s="73"/>
      <c r="K560" s="73"/>
      <c r="L560" s="73"/>
      <c r="M560" s="74"/>
      <c r="N560" s="74"/>
      <c r="O560" s="76"/>
      <c r="P560" s="76"/>
    </row>
    <row r="561" ht="20.25" hidden="1" customHeight="1" outlineLevel="1">
      <c r="A561" s="29"/>
      <c r="B561" s="123" t="s">
        <v>40</v>
      </c>
      <c r="C561" s="123">
        <v>105.0</v>
      </c>
      <c r="D561" s="19"/>
      <c r="E561" s="19"/>
      <c r="F561" s="26" t="s">
        <v>170</v>
      </c>
      <c r="G561" s="76" t="s">
        <v>17</v>
      </c>
      <c r="H561" s="74" t="s">
        <v>25</v>
      </c>
      <c r="I561" s="77">
        <v>1.0</v>
      </c>
      <c r="J561" s="77"/>
      <c r="K561" s="77"/>
      <c r="L561" s="77"/>
      <c r="M561" s="74"/>
      <c r="N561" s="74"/>
      <c r="O561" s="76"/>
      <c r="P561" s="76"/>
    </row>
    <row r="562" ht="20.25" hidden="1" customHeight="1" outlineLevel="1">
      <c r="A562" s="57"/>
      <c r="B562" s="58"/>
      <c r="C562" s="58"/>
      <c r="D562" s="11"/>
      <c r="E562" s="11"/>
      <c r="F562" s="58"/>
      <c r="G562" s="76" t="s">
        <v>17</v>
      </c>
      <c r="H562" s="74" t="s">
        <v>18</v>
      </c>
      <c r="I562" s="73">
        <v>15.0</v>
      </c>
      <c r="J562" s="73"/>
      <c r="K562" s="73"/>
      <c r="L562" s="73"/>
      <c r="M562" s="74"/>
      <c r="N562" s="74"/>
      <c r="O562" s="76"/>
      <c r="P562" s="76"/>
    </row>
    <row r="563" ht="20.25" hidden="1" customHeight="1" outlineLevel="1">
      <c r="A563" s="29"/>
      <c r="B563" s="123" t="s">
        <v>40</v>
      </c>
      <c r="C563" s="123">
        <v>102.0</v>
      </c>
      <c r="D563" s="19"/>
      <c r="E563" s="19"/>
      <c r="F563" s="26" t="s">
        <v>174</v>
      </c>
      <c r="G563" s="76" t="s">
        <v>17</v>
      </c>
      <c r="H563" s="74" t="s">
        <v>25</v>
      </c>
      <c r="I563" s="77">
        <v>1.0</v>
      </c>
      <c r="J563" s="77"/>
      <c r="K563" s="77"/>
      <c r="L563" s="77"/>
      <c r="M563" s="74"/>
      <c r="N563" s="74"/>
      <c r="O563" s="76"/>
      <c r="P563" s="76"/>
    </row>
    <row r="564" ht="20.25" hidden="1" customHeight="1" outlineLevel="1">
      <c r="A564" s="58"/>
      <c r="B564" s="58"/>
      <c r="C564" s="58"/>
      <c r="D564" s="11"/>
      <c r="E564" s="11"/>
      <c r="F564" s="58"/>
      <c r="G564" s="76" t="s">
        <v>17</v>
      </c>
      <c r="H564" s="74" t="s">
        <v>18</v>
      </c>
      <c r="I564" s="73">
        <v>21.0</v>
      </c>
      <c r="J564" s="73"/>
      <c r="K564" s="73"/>
      <c r="L564" s="73"/>
      <c r="M564" s="74"/>
      <c r="N564" s="74"/>
      <c r="O564" s="76"/>
      <c r="P564" s="76"/>
    </row>
    <row r="565" ht="20.25" hidden="1" customHeight="1" outlineLevel="1">
      <c r="A565" s="121">
        <v>46181.0</v>
      </c>
      <c r="B565" s="123" t="s">
        <v>21</v>
      </c>
      <c r="C565" s="123">
        <v>128.0</v>
      </c>
      <c r="D565" s="19"/>
      <c r="E565" s="19"/>
      <c r="F565" s="102" t="s">
        <v>42</v>
      </c>
      <c r="G565" s="76" t="s">
        <v>17</v>
      </c>
      <c r="H565" s="74" t="s">
        <v>25</v>
      </c>
      <c r="I565" s="77">
        <v>1.0</v>
      </c>
      <c r="J565" s="77"/>
      <c r="K565" s="77"/>
      <c r="L565" s="160"/>
      <c r="M565" s="105"/>
      <c r="N565" s="105"/>
      <c r="O565" s="76"/>
      <c r="P565" s="76"/>
    </row>
    <row r="566" ht="20.25" hidden="1" customHeight="1" outlineLevel="1">
      <c r="A566" s="57"/>
      <c r="B566" s="58"/>
      <c r="C566" s="58"/>
      <c r="D566" s="11"/>
      <c r="E566" s="11"/>
      <c r="F566" s="58"/>
      <c r="G566" s="76" t="s">
        <v>17</v>
      </c>
      <c r="H566" s="74" t="s">
        <v>18</v>
      </c>
      <c r="I566" s="73">
        <v>26.0</v>
      </c>
      <c r="J566" s="73"/>
      <c r="K566" s="73"/>
      <c r="L566" s="57"/>
      <c r="M566" s="187"/>
      <c r="N566" s="187"/>
      <c r="O566" s="76"/>
      <c r="P566" s="76"/>
    </row>
    <row r="567" ht="20.25" hidden="1" customHeight="1" outlineLevel="1">
      <c r="A567" s="29"/>
      <c r="B567" s="123" t="s">
        <v>21</v>
      </c>
      <c r="C567" s="123">
        <v>134.0</v>
      </c>
      <c r="D567" s="19"/>
      <c r="E567" s="19"/>
      <c r="F567" s="26" t="s">
        <v>168</v>
      </c>
      <c r="G567" s="76" t="s">
        <v>17</v>
      </c>
      <c r="H567" s="74" t="s">
        <v>25</v>
      </c>
      <c r="I567" s="77">
        <v>1.0</v>
      </c>
      <c r="J567" s="77"/>
      <c r="K567" s="77"/>
      <c r="L567" s="29"/>
      <c r="M567" s="187"/>
      <c r="N567" s="187"/>
      <c r="O567" s="76"/>
      <c r="P567" s="76"/>
    </row>
    <row r="568" ht="20.25" hidden="1" customHeight="1" outlineLevel="1">
      <c r="A568" s="57"/>
      <c r="B568" s="58"/>
      <c r="C568" s="58"/>
      <c r="D568" s="11"/>
      <c r="E568" s="11"/>
      <c r="F568" s="58"/>
      <c r="G568" s="76" t="s">
        <v>17</v>
      </c>
      <c r="H568" s="74" t="s">
        <v>18</v>
      </c>
      <c r="I568" s="73">
        <v>24.0</v>
      </c>
      <c r="J568" s="73"/>
      <c r="K568" s="73"/>
      <c r="L568" s="58"/>
      <c r="M568" s="108"/>
      <c r="N568" s="108"/>
      <c r="O568" s="76"/>
      <c r="P568" s="76"/>
    </row>
    <row r="569" ht="20.25" hidden="1" customHeight="1" outlineLevel="1">
      <c r="A569" s="29"/>
      <c r="B569" s="123" t="s">
        <v>21</v>
      </c>
      <c r="C569" s="123">
        <v>108.0</v>
      </c>
      <c r="D569" s="19"/>
      <c r="E569" s="19"/>
      <c r="F569" s="26" t="s">
        <v>172</v>
      </c>
      <c r="G569" s="76" t="s">
        <v>17</v>
      </c>
      <c r="H569" s="74" t="s">
        <v>25</v>
      </c>
      <c r="I569" s="77">
        <v>0.0</v>
      </c>
      <c r="J569" s="77"/>
      <c r="K569" s="77"/>
      <c r="L569" s="77"/>
      <c r="M569" s="74"/>
      <c r="N569" s="74"/>
      <c r="O569" s="76"/>
      <c r="P569" s="76"/>
    </row>
    <row r="570" ht="20.25" hidden="1" customHeight="1" outlineLevel="1">
      <c r="A570" s="57"/>
      <c r="B570" s="58"/>
      <c r="C570" s="58"/>
      <c r="D570" s="11"/>
      <c r="E570" s="11"/>
      <c r="F570" s="58"/>
      <c r="G570" s="76" t="s">
        <v>17</v>
      </c>
      <c r="H570" s="74" t="s">
        <v>18</v>
      </c>
      <c r="I570" s="73">
        <v>18.0</v>
      </c>
      <c r="J570" s="73"/>
      <c r="K570" s="73"/>
      <c r="L570" s="73"/>
      <c r="M570" s="74"/>
      <c r="N570" s="74"/>
      <c r="O570" s="76"/>
      <c r="P570" s="76"/>
    </row>
    <row r="571" ht="20.25" hidden="1" customHeight="1" outlineLevel="1">
      <c r="A571" s="29"/>
      <c r="B571" s="123" t="s">
        <v>21</v>
      </c>
      <c r="C571" s="123">
        <v>114.0</v>
      </c>
      <c r="D571" s="19"/>
      <c r="E571" s="19"/>
      <c r="F571" s="26" t="s">
        <v>78</v>
      </c>
      <c r="G571" s="76" t="s">
        <v>17</v>
      </c>
      <c r="H571" s="74" t="s">
        <v>25</v>
      </c>
      <c r="I571" s="77">
        <v>0.0</v>
      </c>
      <c r="J571" s="77"/>
      <c r="K571" s="77"/>
      <c r="L571" s="77"/>
      <c r="M571" s="74"/>
      <c r="N571" s="74"/>
      <c r="O571" s="76"/>
      <c r="P571" s="76"/>
    </row>
    <row r="572" ht="20.25" hidden="1" customHeight="1" outlineLevel="1">
      <c r="A572" s="57"/>
      <c r="B572" s="58"/>
      <c r="C572" s="58"/>
      <c r="D572" s="11"/>
      <c r="E572" s="11"/>
      <c r="F572" s="58"/>
      <c r="G572" s="76" t="s">
        <v>17</v>
      </c>
      <c r="H572" s="74" t="s">
        <v>18</v>
      </c>
      <c r="I572" s="73">
        <v>21.0</v>
      </c>
      <c r="J572" s="73"/>
      <c r="K572" s="73"/>
      <c r="L572" s="73"/>
      <c r="M572" s="74"/>
      <c r="N572" s="74"/>
      <c r="O572" s="76"/>
      <c r="P572" s="76"/>
    </row>
    <row r="573" ht="20.25" hidden="1" customHeight="1" outlineLevel="1">
      <c r="A573" s="29"/>
      <c r="B573" s="123" t="s">
        <v>40</v>
      </c>
      <c r="C573" s="123">
        <v>105.0</v>
      </c>
      <c r="D573" s="19"/>
      <c r="E573" s="19"/>
      <c r="F573" s="26" t="s">
        <v>170</v>
      </c>
      <c r="G573" s="76" t="s">
        <v>17</v>
      </c>
      <c r="H573" s="74" t="s">
        <v>25</v>
      </c>
      <c r="I573" s="77">
        <v>1.0</v>
      </c>
      <c r="J573" s="77"/>
      <c r="K573" s="77"/>
      <c r="L573" s="77"/>
      <c r="M573" s="74"/>
      <c r="N573" s="74"/>
      <c r="O573" s="76"/>
      <c r="P573" s="76"/>
    </row>
    <row r="574" ht="20.25" hidden="1" customHeight="1" outlineLevel="1">
      <c r="A574" s="57"/>
      <c r="B574" s="58"/>
      <c r="C574" s="58"/>
      <c r="D574" s="11"/>
      <c r="E574" s="11"/>
      <c r="F574" s="58"/>
      <c r="G574" s="76" t="s">
        <v>17</v>
      </c>
      <c r="H574" s="74" t="s">
        <v>18</v>
      </c>
      <c r="I574" s="73">
        <v>20.0</v>
      </c>
      <c r="J574" s="73"/>
      <c r="K574" s="73"/>
      <c r="L574" s="73"/>
      <c r="M574" s="74"/>
      <c r="N574" s="74"/>
      <c r="O574" s="76"/>
      <c r="P574" s="76"/>
    </row>
    <row r="575" ht="20.25" hidden="1" customHeight="1" outlineLevel="1">
      <c r="A575" s="29"/>
      <c r="B575" s="123" t="s">
        <v>40</v>
      </c>
      <c r="C575" s="123">
        <v>102.0</v>
      </c>
      <c r="D575" s="19"/>
      <c r="E575" s="19"/>
      <c r="F575" s="26" t="s">
        <v>174</v>
      </c>
      <c r="G575" s="76" t="s">
        <v>17</v>
      </c>
      <c r="H575" s="74" t="s">
        <v>25</v>
      </c>
      <c r="I575" s="77">
        <v>1.0</v>
      </c>
      <c r="J575" s="77"/>
      <c r="K575" s="77"/>
      <c r="L575" s="77"/>
      <c r="M575" s="74"/>
      <c r="N575" s="74"/>
      <c r="O575" s="76"/>
      <c r="P575" s="76"/>
    </row>
    <row r="576" ht="20.25" hidden="1" customHeight="1" outlineLevel="1">
      <c r="A576" s="58"/>
      <c r="B576" s="58"/>
      <c r="C576" s="58"/>
      <c r="D576" s="11"/>
      <c r="E576" s="11"/>
      <c r="F576" s="58"/>
      <c r="G576" s="76" t="s">
        <v>17</v>
      </c>
      <c r="H576" s="74" t="s">
        <v>18</v>
      </c>
      <c r="I576" s="73">
        <v>19.0</v>
      </c>
      <c r="J576" s="73"/>
      <c r="K576" s="73"/>
      <c r="L576" s="73"/>
      <c r="M576" s="74"/>
      <c r="N576" s="74"/>
      <c r="O576" s="76"/>
      <c r="P576" s="76"/>
    </row>
    <row r="577" ht="20.25" hidden="1" customHeight="1" outlineLevel="1">
      <c r="A577" s="121">
        <v>46182.0</v>
      </c>
      <c r="B577" s="123" t="s">
        <v>21</v>
      </c>
      <c r="C577" s="123">
        <v>127.0</v>
      </c>
      <c r="D577" s="19"/>
      <c r="E577" s="19"/>
      <c r="F577" s="102" t="s">
        <v>42</v>
      </c>
      <c r="G577" s="76" t="s">
        <v>17</v>
      </c>
      <c r="H577" s="74" t="s">
        <v>25</v>
      </c>
      <c r="I577" s="77">
        <v>1.0</v>
      </c>
      <c r="J577" s="77"/>
      <c r="K577" s="77"/>
      <c r="L577" s="160"/>
      <c r="M577" s="105"/>
      <c r="N577" s="105"/>
      <c r="O577" s="76"/>
      <c r="P577" s="76"/>
    </row>
    <row r="578" ht="20.25" hidden="1" customHeight="1" outlineLevel="1">
      <c r="A578" s="57"/>
      <c r="B578" s="58"/>
      <c r="C578" s="58"/>
      <c r="D578" s="11"/>
      <c r="E578" s="11"/>
      <c r="F578" s="58"/>
      <c r="G578" s="76" t="s">
        <v>17</v>
      </c>
      <c r="H578" s="74" t="s">
        <v>18</v>
      </c>
      <c r="I578" s="73">
        <v>32.0</v>
      </c>
      <c r="J578" s="73"/>
      <c r="K578" s="73"/>
      <c r="L578" s="57"/>
      <c r="M578" s="187"/>
      <c r="N578" s="187"/>
      <c r="O578" s="76"/>
      <c r="P578" s="76"/>
    </row>
    <row r="579" ht="20.25" hidden="1" customHeight="1" outlineLevel="1">
      <c r="A579" s="29"/>
      <c r="B579" s="123" t="s">
        <v>21</v>
      </c>
      <c r="C579" s="123">
        <v>136.0</v>
      </c>
      <c r="D579" s="19"/>
      <c r="E579" s="19"/>
      <c r="F579" s="26" t="s">
        <v>168</v>
      </c>
      <c r="G579" s="76" t="s">
        <v>17</v>
      </c>
      <c r="H579" s="74" t="s">
        <v>25</v>
      </c>
      <c r="I579" s="77">
        <v>1.0</v>
      </c>
      <c r="J579" s="77"/>
      <c r="K579" s="77"/>
      <c r="L579" s="29"/>
      <c r="M579" s="187"/>
      <c r="N579" s="187"/>
      <c r="O579" s="76"/>
      <c r="P579" s="76"/>
    </row>
    <row r="580" ht="20.25" hidden="1" customHeight="1" outlineLevel="1">
      <c r="A580" s="57"/>
      <c r="B580" s="58"/>
      <c r="C580" s="58"/>
      <c r="D580" s="11"/>
      <c r="E580" s="11"/>
      <c r="F580" s="58"/>
      <c r="G580" s="76" t="s">
        <v>17</v>
      </c>
      <c r="H580" s="74" t="s">
        <v>18</v>
      </c>
      <c r="I580" s="73">
        <v>22.0</v>
      </c>
      <c r="J580" s="73"/>
      <c r="K580" s="73"/>
      <c r="L580" s="58"/>
      <c r="M580" s="108"/>
      <c r="N580" s="108"/>
      <c r="O580" s="76"/>
      <c r="P580" s="76"/>
    </row>
    <row r="581" ht="20.25" hidden="1" customHeight="1" outlineLevel="1">
      <c r="A581" s="29"/>
      <c r="B581" s="123" t="s">
        <v>21</v>
      </c>
      <c r="C581" s="123">
        <v>108.0</v>
      </c>
      <c r="D581" s="19"/>
      <c r="E581" s="19"/>
      <c r="F581" s="26" t="s">
        <v>172</v>
      </c>
      <c r="G581" s="76" t="s">
        <v>17</v>
      </c>
      <c r="H581" s="74" t="s">
        <v>25</v>
      </c>
      <c r="I581" s="77">
        <v>0.0</v>
      </c>
      <c r="J581" s="77"/>
      <c r="K581" s="77"/>
      <c r="L581" s="77"/>
      <c r="M581" s="74"/>
      <c r="N581" s="74"/>
      <c r="O581" s="76"/>
      <c r="P581" s="76"/>
    </row>
    <row r="582" ht="20.25" hidden="1" customHeight="1" outlineLevel="1">
      <c r="A582" s="57"/>
      <c r="B582" s="58"/>
      <c r="C582" s="364">
        <v>102.0</v>
      </c>
      <c r="D582" s="11"/>
      <c r="E582" s="11"/>
      <c r="F582" s="58"/>
      <c r="G582" s="76" t="s">
        <v>17</v>
      </c>
      <c r="H582" s="74" t="s">
        <v>18</v>
      </c>
      <c r="I582" s="73">
        <v>17.0</v>
      </c>
      <c r="J582" s="73"/>
      <c r="K582" s="73"/>
      <c r="L582" s="73"/>
      <c r="M582" s="74"/>
      <c r="N582" s="74"/>
      <c r="O582" s="76"/>
      <c r="P582" s="76"/>
    </row>
    <row r="583" ht="20.25" hidden="1" customHeight="1" outlineLevel="1">
      <c r="A583" s="29"/>
      <c r="B583" s="123" t="s">
        <v>21</v>
      </c>
      <c r="C583" s="123">
        <v>118.0</v>
      </c>
      <c r="D583" s="19"/>
      <c r="E583" s="19"/>
      <c r="F583" s="26" t="s">
        <v>78</v>
      </c>
      <c r="G583" s="76" t="s">
        <v>17</v>
      </c>
      <c r="H583" s="74" t="s">
        <v>25</v>
      </c>
      <c r="I583" s="77">
        <v>1.0</v>
      </c>
      <c r="J583" s="77"/>
      <c r="K583" s="77"/>
      <c r="L583" s="77"/>
      <c r="M583" s="74"/>
      <c r="N583" s="74"/>
      <c r="O583" s="76"/>
      <c r="P583" s="76"/>
    </row>
    <row r="584" ht="20.25" hidden="1" customHeight="1" outlineLevel="1">
      <c r="A584" s="57"/>
      <c r="B584" s="58"/>
      <c r="C584" s="58"/>
      <c r="D584" s="11"/>
      <c r="E584" s="11"/>
      <c r="F584" s="58"/>
      <c r="G584" s="76" t="s">
        <v>17</v>
      </c>
      <c r="H584" s="74" t="s">
        <v>18</v>
      </c>
      <c r="I584" s="73">
        <v>21.0</v>
      </c>
      <c r="J584" s="73"/>
      <c r="K584" s="73"/>
      <c r="L584" s="73"/>
      <c r="M584" s="74"/>
      <c r="N584" s="74"/>
      <c r="O584" s="76"/>
      <c r="P584" s="76"/>
    </row>
    <row r="585" ht="20.25" hidden="1" customHeight="1" outlineLevel="1">
      <c r="A585" s="29"/>
      <c r="B585" s="123" t="s">
        <v>40</v>
      </c>
      <c r="C585" s="123">
        <v>107.0</v>
      </c>
      <c r="D585" s="19"/>
      <c r="E585" s="19"/>
      <c r="F585" s="26" t="s">
        <v>170</v>
      </c>
      <c r="G585" s="76" t="s">
        <v>17</v>
      </c>
      <c r="H585" s="74" t="s">
        <v>25</v>
      </c>
      <c r="I585" s="77">
        <v>1.0</v>
      </c>
      <c r="J585" s="77"/>
      <c r="K585" s="77"/>
      <c r="L585" s="77"/>
      <c r="M585" s="74"/>
      <c r="N585" s="74"/>
      <c r="O585" s="76"/>
      <c r="P585" s="76"/>
    </row>
    <row r="586" ht="20.25" hidden="1" customHeight="1" outlineLevel="1">
      <c r="A586" s="57"/>
      <c r="B586" s="58"/>
      <c r="C586" s="58"/>
      <c r="D586" s="11"/>
      <c r="E586" s="11"/>
      <c r="F586" s="58"/>
      <c r="G586" s="76" t="s">
        <v>17</v>
      </c>
      <c r="H586" s="74" t="s">
        <v>18</v>
      </c>
      <c r="I586" s="73">
        <v>15.0</v>
      </c>
      <c r="J586" s="73"/>
      <c r="K586" s="73"/>
      <c r="L586" s="73"/>
      <c r="M586" s="74"/>
      <c r="N586" s="74"/>
      <c r="O586" s="76"/>
      <c r="P586" s="76"/>
    </row>
    <row r="587" ht="20.25" hidden="1" customHeight="1" outlineLevel="1">
      <c r="A587" s="29"/>
      <c r="B587" s="123" t="s">
        <v>40</v>
      </c>
      <c r="C587" s="123">
        <v>108.0</v>
      </c>
      <c r="D587" s="19"/>
      <c r="E587" s="19"/>
      <c r="F587" s="26" t="s">
        <v>174</v>
      </c>
      <c r="G587" s="76" t="s">
        <v>17</v>
      </c>
      <c r="H587" s="74" t="s">
        <v>25</v>
      </c>
      <c r="I587" s="77">
        <v>1.0</v>
      </c>
      <c r="J587" s="77"/>
      <c r="K587" s="77"/>
      <c r="L587" s="77"/>
      <c r="M587" s="74"/>
      <c r="N587" s="74"/>
      <c r="O587" s="76"/>
      <c r="P587" s="76"/>
    </row>
    <row r="588" ht="20.25" hidden="1" customHeight="1" outlineLevel="1">
      <c r="A588" s="58"/>
      <c r="B588" s="58"/>
      <c r="C588" s="58"/>
      <c r="D588" s="11"/>
      <c r="E588" s="11"/>
      <c r="F588" s="58"/>
      <c r="G588" s="76" t="s">
        <v>17</v>
      </c>
      <c r="H588" s="74" t="s">
        <v>18</v>
      </c>
      <c r="I588" s="73">
        <v>14.0</v>
      </c>
      <c r="J588" s="73"/>
      <c r="K588" s="73"/>
      <c r="L588" s="73"/>
      <c r="M588" s="74"/>
      <c r="N588" s="74"/>
      <c r="O588" s="76"/>
      <c r="P588" s="76"/>
    </row>
    <row r="589" ht="20.25" hidden="1" customHeight="1" outlineLevel="1">
      <c r="A589" s="121">
        <v>46183.0</v>
      </c>
      <c r="B589" s="123" t="s">
        <v>21</v>
      </c>
      <c r="C589" s="123">
        <v>123.0</v>
      </c>
      <c r="D589" s="19"/>
      <c r="E589" s="19"/>
      <c r="F589" s="102" t="s">
        <v>42</v>
      </c>
      <c r="G589" s="76" t="s">
        <v>17</v>
      </c>
      <c r="H589" s="74" t="s">
        <v>25</v>
      </c>
      <c r="I589" s="77">
        <v>1.0</v>
      </c>
      <c r="J589" s="77"/>
      <c r="K589" s="77"/>
      <c r="L589" s="160"/>
      <c r="M589" s="105"/>
      <c r="N589" s="105"/>
      <c r="O589" s="76"/>
      <c r="P589" s="76"/>
    </row>
    <row r="590" ht="20.25" hidden="1" customHeight="1" outlineLevel="1">
      <c r="A590" s="57"/>
      <c r="B590" s="58"/>
      <c r="C590" s="58"/>
      <c r="D590" s="11"/>
      <c r="E590" s="11"/>
      <c r="F590" s="58"/>
      <c r="G590" s="76" t="s">
        <v>17</v>
      </c>
      <c r="H590" s="74" t="s">
        <v>18</v>
      </c>
      <c r="I590" s="73">
        <v>23.0</v>
      </c>
      <c r="J590" s="73"/>
      <c r="K590" s="73"/>
      <c r="L590" s="57"/>
      <c r="M590" s="187"/>
      <c r="N590" s="187"/>
      <c r="O590" s="76"/>
      <c r="P590" s="76"/>
    </row>
    <row r="591" ht="20.25" hidden="1" customHeight="1" outlineLevel="1">
      <c r="A591" s="29"/>
      <c r="B591" s="123" t="s">
        <v>21</v>
      </c>
      <c r="C591" s="123">
        <v>136.0</v>
      </c>
      <c r="D591" s="19"/>
      <c r="E591" s="19"/>
      <c r="F591" s="26" t="s">
        <v>168</v>
      </c>
      <c r="G591" s="76" t="s">
        <v>17</v>
      </c>
      <c r="H591" s="74" t="s">
        <v>25</v>
      </c>
      <c r="I591" s="77">
        <v>1.0</v>
      </c>
      <c r="J591" s="77"/>
      <c r="K591" s="77"/>
      <c r="L591" s="29"/>
      <c r="M591" s="187"/>
      <c r="N591" s="187"/>
      <c r="O591" s="76"/>
      <c r="P591" s="76"/>
    </row>
    <row r="592" ht="20.25" hidden="1" customHeight="1" outlineLevel="1">
      <c r="A592" s="57"/>
      <c r="B592" s="58"/>
      <c r="C592" s="58"/>
      <c r="D592" s="11"/>
      <c r="E592" s="11"/>
      <c r="F592" s="58"/>
      <c r="G592" s="76" t="s">
        <v>17</v>
      </c>
      <c r="H592" s="74" t="s">
        <v>18</v>
      </c>
      <c r="I592" s="73">
        <v>21.0</v>
      </c>
      <c r="J592" s="73"/>
      <c r="K592" s="73"/>
      <c r="L592" s="58"/>
      <c r="M592" s="108"/>
      <c r="N592" s="108"/>
      <c r="O592" s="76"/>
      <c r="P592" s="76"/>
    </row>
    <row r="593" ht="20.25" hidden="1" customHeight="1" outlineLevel="1">
      <c r="A593" s="29"/>
      <c r="B593" s="123" t="s">
        <v>21</v>
      </c>
      <c r="C593" s="123">
        <v>108.0</v>
      </c>
      <c r="D593" s="19"/>
      <c r="E593" s="19"/>
      <c r="F593" s="26" t="s">
        <v>172</v>
      </c>
      <c r="G593" s="76" t="s">
        <v>17</v>
      </c>
      <c r="H593" s="74" t="s">
        <v>25</v>
      </c>
      <c r="I593" s="77">
        <v>0.0</v>
      </c>
      <c r="J593" s="77"/>
      <c r="K593" s="77"/>
      <c r="L593" s="77"/>
      <c r="M593" s="74"/>
      <c r="N593" s="74"/>
      <c r="O593" s="76"/>
      <c r="P593" s="76"/>
    </row>
    <row r="594" ht="20.25" hidden="1" customHeight="1" outlineLevel="1">
      <c r="A594" s="57"/>
      <c r="B594" s="58"/>
      <c r="C594" s="364">
        <v>102.0</v>
      </c>
      <c r="D594" s="11"/>
      <c r="E594" s="11"/>
      <c r="F594" s="58"/>
      <c r="G594" s="76" t="s">
        <v>17</v>
      </c>
      <c r="H594" s="74" t="s">
        <v>18</v>
      </c>
      <c r="I594" s="73">
        <v>18.0</v>
      </c>
      <c r="J594" s="73"/>
      <c r="K594" s="73"/>
      <c r="L594" s="73"/>
      <c r="M594" s="74"/>
      <c r="N594" s="74"/>
      <c r="O594" s="76"/>
      <c r="P594" s="76"/>
    </row>
    <row r="595" ht="20.25" hidden="1" customHeight="1" outlineLevel="1">
      <c r="A595" s="29"/>
      <c r="B595" s="123" t="s">
        <v>21</v>
      </c>
      <c r="C595" s="123">
        <v>118.0</v>
      </c>
      <c r="D595" s="19"/>
      <c r="E595" s="19"/>
      <c r="F595" s="26" t="s">
        <v>78</v>
      </c>
      <c r="G595" s="76" t="s">
        <v>17</v>
      </c>
      <c r="H595" s="74" t="s">
        <v>25</v>
      </c>
      <c r="I595" s="77">
        <v>1.0</v>
      </c>
      <c r="J595" s="77"/>
      <c r="K595" s="77"/>
      <c r="L595" s="77"/>
      <c r="M595" s="74"/>
      <c r="N595" s="74"/>
      <c r="O595" s="76"/>
      <c r="P595" s="76"/>
    </row>
    <row r="596" ht="20.25" hidden="1" customHeight="1" outlineLevel="1">
      <c r="A596" s="57"/>
      <c r="B596" s="58"/>
      <c r="C596" s="58"/>
      <c r="D596" s="11"/>
      <c r="E596" s="11"/>
      <c r="F596" s="58"/>
      <c r="G596" s="76" t="s">
        <v>17</v>
      </c>
      <c r="H596" s="74" t="s">
        <v>18</v>
      </c>
      <c r="I596" s="73">
        <v>19.0</v>
      </c>
      <c r="J596" s="73"/>
      <c r="K596" s="73"/>
      <c r="L596" s="73"/>
      <c r="M596" s="74"/>
      <c r="N596" s="74"/>
      <c r="O596" s="76"/>
      <c r="P596" s="76"/>
    </row>
    <row r="597" ht="20.25" hidden="1" customHeight="1" outlineLevel="1">
      <c r="A597" s="29"/>
      <c r="B597" s="123" t="s">
        <v>40</v>
      </c>
      <c r="C597" s="123">
        <v>104.0</v>
      </c>
      <c r="D597" s="19"/>
      <c r="E597" s="19"/>
      <c r="F597" s="26" t="s">
        <v>170</v>
      </c>
      <c r="G597" s="76" t="s">
        <v>17</v>
      </c>
      <c r="H597" s="74" t="s">
        <v>25</v>
      </c>
      <c r="I597" s="77">
        <v>0.0</v>
      </c>
      <c r="J597" s="77"/>
      <c r="K597" s="77"/>
      <c r="L597" s="77"/>
      <c r="M597" s="74"/>
      <c r="N597" s="74"/>
      <c r="O597" s="76"/>
      <c r="P597" s="76"/>
    </row>
    <row r="598" ht="20.25" hidden="1" customHeight="1" outlineLevel="1">
      <c r="A598" s="57"/>
      <c r="B598" s="58"/>
      <c r="C598" s="58"/>
      <c r="D598" s="11"/>
      <c r="E598" s="11"/>
      <c r="F598" s="58"/>
      <c r="G598" s="76" t="s">
        <v>17</v>
      </c>
      <c r="H598" s="74" t="s">
        <v>18</v>
      </c>
      <c r="I598" s="73">
        <v>19.0</v>
      </c>
      <c r="J598" s="73"/>
      <c r="K598" s="73"/>
      <c r="L598" s="73"/>
      <c r="M598" s="74"/>
      <c r="N598" s="74"/>
      <c r="O598" s="76"/>
      <c r="P598" s="76"/>
    </row>
    <row r="599" ht="20.25" hidden="1" customHeight="1" outlineLevel="1">
      <c r="A599" s="29"/>
      <c r="B599" s="123" t="s">
        <v>40</v>
      </c>
      <c r="C599" s="123">
        <v>108.0</v>
      </c>
      <c r="D599" s="19"/>
      <c r="E599" s="19"/>
      <c r="F599" s="26" t="s">
        <v>174</v>
      </c>
      <c r="G599" s="76" t="s">
        <v>17</v>
      </c>
      <c r="H599" s="74" t="s">
        <v>25</v>
      </c>
      <c r="I599" s="77">
        <v>1.0</v>
      </c>
      <c r="J599" s="77"/>
      <c r="K599" s="77"/>
      <c r="L599" s="77"/>
      <c r="M599" s="74"/>
      <c r="N599" s="74"/>
      <c r="O599" s="76"/>
      <c r="P599" s="76"/>
    </row>
    <row r="600" ht="20.25" hidden="1" customHeight="1" outlineLevel="1">
      <c r="A600" s="58"/>
      <c r="B600" s="58"/>
      <c r="C600" s="58"/>
      <c r="D600" s="11"/>
      <c r="E600" s="11"/>
      <c r="F600" s="58"/>
      <c r="G600" s="76" t="s">
        <v>17</v>
      </c>
      <c r="H600" s="74" t="s">
        <v>18</v>
      </c>
      <c r="I600" s="73">
        <v>27.0</v>
      </c>
      <c r="J600" s="73"/>
      <c r="K600" s="73"/>
      <c r="L600" s="73"/>
      <c r="M600" s="74"/>
      <c r="N600" s="74"/>
      <c r="O600" s="76"/>
      <c r="P600" s="76"/>
    </row>
    <row r="601" ht="20.25" hidden="1" customHeight="1" outlineLevel="1">
      <c r="A601" s="121">
        <v>46184.0</v>
      </c>
      <c r="B601" s="123" t="s">
        <v>21</v>
      </c>
      <c r="C601" s="123">
        <v>119.0</v>
      </c>
      <c r="D601" s="19"/>
      <c r="E601" s="19"/>
      <c r="F601" s="102" t="s">
        <v>42</v>
      </c>
      <c r="G601" s="76" t="s">
        <v>17</v>
      </c>
      <c r="H601" s="74" t="s">
        <v>25</v>
      </c>
      <c r="I601" s="77">
        <v>0.0</v>
      </c>
      <c r="J601" s="77"/>
      <c r="K601" s="77"/>
      <c r="L601" s="160"/>
      <c r="M601" s="105"/>
      <c r="N601" s="105"/>
      <c r="O601" s="76"/>
      <c r="P601" s="76"/>
    </row>
    <row r="602" ht="20.25" hidden="1" customHeight="1" outlineLevel="1">
      <c r="A602" s="57"/>
      <c r="B602" s="58"/>
      <c r="C602" s="58"/>
      <c r="D602" s="11"/>
      <c r="E602" s="11"/>
      <c r="F602" s="58"/>
      <c r="G602" s="76" t="s">
        <v>17</v>
      </c>
      <c r="H602" s="74" t="s">
        <v>18</v>
      </c>
      <c r="I602" s="73">
        <v>23.0</v>
      </c>
      <c r="J602" s="73"/>
      <c r="K602" s="73"/>
      <c r="L602" s="57"/>
      <c r="M602" s="187"/>
      <c r="N602" s="187"/>
      <c r="O602" s="76"/>
      <c r="P602" s="76"/>
    </row>
    <row r="603" ht="20.25" hidden="1" customHeight="1" outlineLevel="1">
      <c r="A603" s="29"/>
      <c r="B603" s="123" t="s">
        <v>21</v>
      </c>
      <c r="C603" s="123">
        <v>131.0</v>
      </c>
      <c r="D603" s="19"/>
      <c r="E603" s="19"/>
      <c r="F603" s="26" t="s">
        <v>168</v>
      </c>
      <c r="G603" s="76" t="s">
        <v>17</v>
      </c>
      <c r="H603" s="74" t="s">
        <v>25</v>
      </c>
      <c r="I603" s="77">
        <v>1.0</v>
      </c>
      <c r="J603" s="77"/>
      <c r="K603" s="77"/>
      <c r="L603" s="29"/>
      <c r="M603" s="187"/>
      <c r="N603" s="187"/>
      <c r="O603" s="76"/>
      <c r="P603" s="76"/>
    </row>
    <row r="604" ht="20.25" hidden="1" customHeight="1" outlineLevel="1">
      <c r="A604" s="57"/>
      <c r="B604" s="58"/>
      <c r="C604" s="58"/>
      <c r="D604" s="11"/>
      <c r="E604" s="11"/>
      <c r="F604" s="58"/>
      <c r="G604" s="76" t="s">
        <v>17</v>
      </c>
      <c r="H604" s="74" t="s">
        <v>18</v>
      </c>
      <c r="I604" s="73">
        <v>17.0</v>
      </c>
      <c r="J604" s="73"/>
      <c r="K604" s="73"/>
      <c r="L604" s="58"/>
      <c r="M604" s="108"/>
      <c r="N604" s="108"/>
      <c r="O604" s="76"/>
      <c r="P604" s="76"/>
    </row>
    <row r="605" ht="20.25" hidden="1" customHeight="1" outlineLevel="1">
      <c r="A605" s="29"/>
      <c r="B605" s="123" t="s">
        <v>21</v>
      </c>
      <c r="C605" s="123">
        <v>115.0</v>
      </c>
      <c r="D605" s="19"/>
      <c r="E605" s="19"/>
      <c r="F605" s="26" t="s">
        <v>172</v>
      </c>
      <c r="G605" s="76" t="s">
        <v>17</v>
      </c>
      <c r="H605" s="74" t="s">
        <v>25</v>
      </c>
      <c r="I605" s="77">
        <v>0.0</v>
      </c>
      <c r="J605" s="77"/>
      <c r="K605" s="77"/>
      <c r="L605" s="77"/>
      <c r="M605" s="74"/>
      <c r="N605" s="74"/>
      <c r="O605" s="76"/>
      <c r="P605" s="76"/>
    </row>
    <row r="606" ht="20.25" hidden="1" customHeight="1" outlineLevel="1">
      <c r="A606" s="57"/>
      <c r="B606" s="58"/>
      <c r="C606" s="58"/>
      <c r="D606" s="11"/>
      <c r="E606" s="11"/>
      <c r="F606" s="58"/>
      <c r="G606" s="76" t="s">
        <v>17</v>
      </c>
      <c r="H606" s="74" t="s">
        <v>18</v>
      </c>
      <c r="I606" s="73">
        <v>19.0</v>
      </c>
      <c r="J606" s="73"/>
      <c r="K606" s="73"/>
      <c r="L606" s="73"/>
      <c r="M606" s="74"/>
      <c r="N606" s="74"/>
      <c r="O606" s="76"/>
      <c r="P606" s="76"/>
    </row>
    <row r="607" ht="20.25" hidden="1" customHeight="1" outlineLevel="1">
      <c r="A607" s="29"/>
      <c r="B607" s="123" t="s">
        <v>21</v>
      </c>
      <c r="C607" s="123">
        <v>116.0</v>
      </c>
      <c r="D607" s="19"/>
      <c r="E607" s="19"/>
      <c r="F607" s="26" t="s">
        <v>78</v>
      </c>
      <c r="G607" s="76" t="s">
        <v>17</v>
      </c>
      <c r="H607" s="74" t="s">
        <v>25</v>
      </c>
      <c r="I607" s="77">
        <v>1.0</v>
      </c>
      <c r="J607" s="77"/>
      <c r="K607" s="77"/>
      <c r="L607" s="77"/>
      <c r="M607" s="74"/>
      <c r="N607" s="74"/>
      <c r="O607" s="76"/>
      <c r="P607" s="76"/>
    </row>
    <row r="608" ht="20.25" hidden="1" customHeight="1" outlineLevel="1">
      <c r="A608" s="57"/>
      <c r="B608" s="58"/>
      <c r="C608" s="58"/>
      <c r="D608" s="11"/>
      <c r="E608" s="11"/>
      <c r="F608" s="58"/>
      <c r="G608" s="76" t="s">
        <v>17</v>
      </c>
      <c r="H608" s="74" t="s">
        <v>18</v>
      </c>
      <c r="I608" s="73">
        <v>26.0</v>
      </c>
      <c r="J608" s="73"/>
      <c r="K608" s="73"/>
      <c r="L608" s="73"/>
      <c r="M608" s="74"/>
      <c r="N608" s="74"/>
      <c r="O608" s="76"/>
      <c r="P608" s="76"/>
    </row>
    <row r="609" ht="20.25" hidden="1" customHeight="1" outlineLevel="1">
      <c r="A609" s="29"/>
      <c r="B609" s="123" t="s">
        <v>40</v>
      </c>
      <c r="C609" s="123">
        <v>104.0</v>
      </c>
      <c r="D609" s="19"/>
      <c r="E609" s="19"/>
      <c r="F609" s="26" t="s">
        <v>170</v>
      </c>
      <c r="G609" s="76" t="s">
        <v>17</v>
      </c>
      <c r="H609" s="74" t="s">
        <v>25</v>
      </c>
      <c r="I609" s="77">
        <v>0.0</v>
      </c>
      <c r="J609" s="77"/>
      <c r="K609" s="77"/>
      <c r="L609" s="77"/>
      <c r="M609" s="74"/>
      <c r="N609" s="74"/>
      <c r="O609" s="76"/>
      <c r="P609" s="76"/>
    </row>
    <row r="610" ht="20.25" hidden="1" customHeight="1" outlineLevel="1">
      <c r="A610" s="57"/>
      <c r="B610" s="58"/>
      <c r="C610" s="58"/>
      <c r="D610" s="11"/>
      <c r="E610" s="11"/>
      <c r="F610" s="58"/>
      <c r="G610" s="76" t="s">
        <v>17</v>
      </c>
      <c r="H610" s="74" t="s">
        <v>18</v>
      </c>
      <c r="I610" s="73">
        <v>16.0</v>
      </c>
      <c r="J610" s="73"/>
      <c r="K610" s="73"/>
      <c r="L610" s="73"/>
      <c r="M610" s="74"/>
      <c r="N610" s="74"/>
      <c r="O610" s="76"/>
      <c r="P610" s="76"/>
    </row>
    <row r="611" ht="20.25" hidden="1" customHeight="1" outlineLevel="1">
      <c r="A611" s="29"/>
      <c r="B611" s="123" t="s">
        <v>40</v>
      </c>
      <c r="C611" s="123">
        <v>108.0</v>
      </c>
      <c r="D611" s="19"/>
      <c r="E611" s="19"/>
      <c r="F611" s="26" t="s">
        <v>174</v>
      </c>
      <c r="G611" s="76" t="s">
        <v>17</v>
      </c>
      <c r="H611" s="74" t="s">
        <v>25</v>
      </c>
      <c r="I611" s="77">
        <v>1.0</v>
      </c>
      <c r="J611" s="77"/>
      <c r="K611" s="77"/>
      <c r="L611" s="77"/>
      <c r="M611" s="74"/>
      <c r="N611" s="74"/>
      <c r="O611" s="76"/>
      <c r="P611" s="76"/>
    </row>
    <row r="612" ht="20.25" hidden="1" customHeight="1" outlineLevel="1">
      <c r="A612" s="58"/>
      <c r="B612" s="58"/>
      <c r="C612" s="58"/>
      <c r="D612" s="11"/>
      <c r="E612" s="11"/>
      <c r="F612" s="58"/>
      <c r="G612" s="76" t="s">
        <v>17</v>
      </c>
      <c r="H612" s="74" t="s">
        <v>18</v>
      </c>
      <c r="I612" s="73">
        <v>23.0</v>
      </c>
      <c r="J612" s="73"/>
      <c r="K612" s="73"/>
      <c r="L612" s="73"/>
      <c r="M612" s="74"/>
      <c r="N612" s="74"/>
      <c r="O612" s="76"/>
      <c r="P612" s="76"/>
    </row>
    <row r="613" ht="20.25" hidden="1" customHeight="1" outlineLevel="1">
      <c r="A613" s="121">
        <v>46185.0</v>
      </c>
      <c r="B613" s="123" t="s">
        <v>21</v>
      </c>
      <c r="C613" s="123">
        <v>118.0</v>
      </c>
      <c r="D613" s="19"/>
      <c r="E613" s="19"/>
      <c r="F613" s="102" t="s">
        <v>42</v>
      </c>
      <c r="G613" s="76" t="s">
        <v>17</v>
      </c>
      <c r="H613" s="74" t="s">
        <v>25</v>
      </c>
      <c r="I613" s="77">
        <v>0.0</v>
      </c>
      <c r="J613" s="77">
        <v>0.0</v>
      </c>
      <c r="K613" s="77">
        <v>0.0</v>
      </c>
      <c r="L613" s="160">
        <v>25.0</v>
      </c>
      <c r="M613" s="105">
        <v>975.0</v>
      </c>
      <c r="N613" s="105">
        <v>4895.0</v>
      </c>
      <c r="O613" s="76"/>
      <c r="P613" s="76"/>
    </row>
    <row r="614" ht="20.25" hidden="1" customHeight="1" outlineLevel="1">
      <c r="A614" s="57"/>
      <c r="B614" s="58"/>
      <c r="C614" s="58"/>
      <c r="D614" s="11"/>
      <c r="E614" s="11"/>
      <c r="F614" s="58"/>
      <c r="G614" s="76" t="s">
        <v>17</v>
      </c>
      <c r="H614" s="74" t="s">
        <v>18</v>
      </c>
      <c r="I614" s="73">
        <v>21.0</v>
      </c>
      <c r="J614" s="73">
        <v>100.0</v>
      </c>
      <c r="K614" s="73">
        <v>2100.0</v>
      </c>
      <c r="L614" s="57"/>
      <c r="M614" s="187"/>
      <c r="N614" s="187"/>
      <c r="O614" s="76"/>
      <c r="P614" s="76"/>
    </row>
    <row r="615" ht="20.25" hidden="1" customHeight="1" outlineLevel="1">
      <c r="A615" s="29"/>
      <c r="B615" s="123" t="s">
        <v>21</v>
      </c>
      <c r="C615" s="123">
        <v>120.0</v>
      </c>
      <c r="D615" s="19"/>
      <c r="E615" s="19"/>
      <c r="F615" s="26" t="s">
        <v>168</v>
      </c>
      <c r="G615" s="76" t="s">
        <v>17</v>
      </c>
      <c r="H615" s="74" t="s">
        <v>25</v>
      </c>
      <c r="I615" s="77">
        <v>1.0</v>
      </c>
      <c r="J615" s="77">
        <v>120.0</v>
      </c>
      <c r="K615" s="77">
        <v>120.0</v>
      </c>
      <c r="L615" s="29"/>
      <c r="M615" s="187"/>
      <c r="N615" s="187"/>
      <c r="O615" s="76"/>
      <c r="P615" s="76"/>
    </row>
    <row r="616" ht="20.25" hidden="1" customHeight="1" outlineLevel="1">
      <c r="A616" s="57"/>
      <c r="B616" s="58"/>
      <c r="C616" s="58"/>
      <c r="D616" s="11"/>
      <c r="E616" s="11"/>
      <c r="F616" s="58"/>
      <c r="G616" s="76" t="s">
        <v>17</v>
      </c>
      <c r="H616" s="74" t="s">
        <v>18</v>
      </c>
      <c r="I616" s="73">
        <v>17.0</v>
      </c>
      <c r="J616" s="73">
        <v>100.0</v>
      </c>
      <c r="K616" s="73">
        <v>1700.0</v>
      </c>
      <c r="L616" s="58"/>
      <c r="M616" s="108"/>
      <c r="N616" s="108"/>
      <c r="O616" s="76"/>
      <c r="P616" s="76"/>
    </row>
    <row r="617" ht="20.25" hidden="1" customHeight="1" outlineLevel="1">
      <c r="A617" s="29"/>
      <c r="B617" s="123" t="s">
        <v>21</v>
      </c>
      <c r="C617" s="123">
        <v>108.0</v>
      </c>
      <c r="D617" s="19"/>
      <c r="E617" s="19"/>
      <c r="F617" s="26" t="s">
        <v>172</v>
      </c>
      <c r="G617" s="76" t="s">
        <v>17</v>
      </c>
      <c r="H617" s="74" t="s">
        <v>25</v>
      </c>
      <c r="I617" s="77">
        <v>0.0</v>
      </c>
      <c r="J617" s="77"/>
      <c r="K617" s="77"/>
      <c r="L617" s="77"/>
      <c r="M617" s="74"/>
      <c r="N617" s="74"/>
      <c r="O617" s="76"/>
      <c r="P617" s="76"/>
    </row>
    <row r="618" ht="20.25" hidden="1" customHeight="1" outlineLevel="1">
      <c r="A618" s="57"/>
      <c r="B618" s="58"/>
      <c r="C618" s="58"/>
      <c r="D618" s="11"/>
      <c r="E618" s="11"/>
      <c r="F618" s="58"/>
      <c r="G618" s="76" t="s">
        <v>17</v>
      </c>
      <c r="H618" s="74" t="s">
        <v>18</v>
      </c>
      <c r="I618" s="73">
        <v>16.0</v>
      </c>
      <c r="J618" s="73"/>
      <c r="K618" s="73"/>
      <c r="L618" s="73"/>
      <c r="M618" s="74"/>
      <c r="N618" s="74"/>
      <c r="O618" s="76"/>
      <c r="P618" s="76"/>
    </row>
    <row r="619" ht="20.25" hidden="1" customHeight="1" outlineLevel="1">
      <c r="A619" s="29"/>
      <c r="B619" s="123" t="s">
        <v>21</v>
      </c>
      <c r="C619" s="123">
        <v>115.0</v>
      </c>
      <c r="D619" s="19"/>
      <c r="E619" s="19"/>
      <c r="F619" s="26" t="s">
        <v>78</v>
      </c>
      <c r="G619" s="76" t="s">
        <v>17</v>
      </c>
      <c r="H619" s="74" t="s">
        <v>25</v>
      </c>
      <c r="I619" s="77">
        <v>1.0</v>
      </c>
      <c r="J619" s="77"/>
      <c r="K619" s="77"/>
      <c r="L619" s="77"/>
      <c r="M619" s="74"/>
      <c r="N619" s="74"/>
      <c r="O619" s="76"/>
      <c r="P619" s="76"/>
    </row>
    <row r="620" ht="20.25" hidden="1" customHeight="1" outlineLevel="1">
      <c r="A620" s="57"/>
      <c r="B620" s="58"/>
      <c r="C620" s="58"/>
      <c r="D620" s="11"/>
      <c r="E620" s="11"/>
      <c r="F620" s="58"/>
      <c r="G620" s="76" t="s">
        <v>17</v>
      </c>
      <c r="H620" s="74" t="s">
        <v>18</v>
      </c>
      <c r="I620" s="73">
        <v>16.0</v>
      </c>
      <c r="J620" s="73"/>
      <c r="K620" s="73"/>
      <c r="L620" s="73"/>
      <c r="M620" s="74"/>
      <c r="N620" s="74"/>
      <c r="O620" s="76"/>
      <c r="P620" s="76"/>
    </row>
    <row r="621" ht="20.25" hidden="1" customHeight="1" outlineLevel="1">
      <c r="A621" s="29"/>
      <c r="B621" s="123" t="s">
        <v>40</v>
      </c>
      <c r="C621" s="123">
        <v>104.0</v>
      </c>
      <c r="D621" s="19"/>
      <c r="E621" s="19"/>
      <c r="F621" s="26" t="s">
        <v>170</v>
      </c>
      <c r="G621" s="76" t="s">
        <v>17</v>
      </c>
      <c r="H621" s="74" t="s">
        <v>25</v>
      </c>
      <c r="I621" s="77">
        <v>1.0</v>
      </c>
      <c r="J621" s="77"/>
      <c r="K621" s="77"/>
      <c r="L621" s="77"/>
      <c r="M621" s="74"/>
      <c r="N621" s="74"/>
      <c r="O621" s="76"/>
      <c r="P621" s="76"/>
    </row>
    <row r="622" ht="20.25" hidden="1" customHeight="1" outlineLevel="1">
      <c r="A622" s="57"/>
      <c r="B622" s="58"/>
      <c r="C622" s="58"/>
      <c r="D622" s="11"/>
      <c r="E622" s="11"/>
      <c r="F622" s="58"/>
      <c r="G622" s="76" t="s">
        <v>17</v>
      </c>
      <c r="H622" s="74" t="s">
        <v>18</v>
      </c>
      <c r="I622" s="73">
        <v>15.0</v>
      </c>
      <c r="J622" s="73"/>
      <c r="K622" s="73"/>
      <c r="L622" s="73"/>
      <c r="M622" s="74"/>
      <c r="N622" s="74"/>
      <c r="O622" s="76"/>
      <c r="P622" s="76"/>
    </row>
    <row r="623" ht="20.25" hidden="1" customHeight="1" outlineLevel="1">
      <c r="A623" s="29"/>
      <c r="B623" s="123" t="s">
        <v>40</v>
      </c>
      <c r="C623" s="123">
        <v>108.0</v>
      </c>
      <c r="D623" s="19"/>
      <c r="E623" s="19"/>
      <c r="F623" s="26" t="s">
        <v>174</v>
      </c>
      <c r="G623" s="76" t="s">
        <v>17</v>
      </c>
      <c r="H623" s="74" t="s">
        <v>25</v>
      </c>
      <c r="I623" s="77">
        <v>1.0</v>
      </c>
      <c r="J623" s="77"/>
      <c r="K623" s="77"/>
      <c r="L623" s="77"/>
      <c r="M623" s="74"/>
      <c r="N623" s="74"/>
      <c r="O623" s="76"/>
      <c r="P623" s="76"/>
    </row>
    <row r="624" ht="20.25" hidden="1" customHeight="1" outlineLevel="1">
      <c r="A624" s="58"/>
      <c r="B624" s="58"/>
      <c r="C624" s="58"/>
      <c r="D624" s="11"/>
      <c r="E624" s="11"/>
      <c r="F624" s="58"/>
      <c r="G624" s="76" t="s">
        <v>17</v>
      </c>
      <c r="H624" s="74" t="s">
        <v>18</v>
      </c>
      <c r="I624" s="73">
        <v>15.0</v>
      </c>
      <c r="J624" s="73"/>
      <c r="K624" s="73"/>
      <c r="L624" s="73"/>
      <c r="M624" s="74"/>
      <c r="N624" s="74"/>
      <c r="O624" s="76"/>
      <c r="P624" s="76"/>
    </row>
    <row r="625" ht="20.25" hidden="1" customHeight="1" outlineLevel="1">
      <c r="A625" s="121">
        <v>46186.0</v>
      </c>
      <c r="B625" s="123" t="s">
        <v>21</v>
      </c>
      <c r="C625" s="123">
        <v>119.0</v>
      </c>
      <c r="D625" s="19"/>
      <c r="E625" s="19"/>
      <c r="F625" s="102" t="s">
        <v>42</v>
      </c>
      <c r="G625" s="76" t="s">
        <v>17</v>
      </c>
      <c r="H625" s="74" t="s">
        <v>25</v>
      </c>
      <c r="I625" s="77">
        <v>1.0</v>
      </c>
      <c r="J625" s="77">
        <v>120.0</v>
      </c>
      <c r="K625" s="77">
        <v>120.0</v>
      </c>
      <c r="L625" s="160">
        <v>25.0</v>
      </c>
      <c r="M625" s="105">
        <v>1125.0</v>
      </c>
      <c r="N625" s="105">
        <v>6565.0</v>
      </c>
      <c r="O625" s="76"/>
      <c r="P625" s="76"/>
    </row>
    <row r="626" ht="20.25" hidden="1" customHeight="1" outlineLevel="1">
      <c r="A626" s="57"/>
      <c r="B626" s="58"/>
      <c r="C626" s="58"/>
      <c r="D626" s="11"/>
      <c r="E626" s="11"/>
      <c r="F626" s="58"/>
      <c r="G626" s="76" t="s">
        <v>17</v>
      </c>
      <c r="H626" s="74" t="s">
        <v>18</v>
      </c>
      <c r="I626" s="73">
        <v>27.0</v>
      </c>
      <c r="J626" s="73">
        <v>100.0</v>
      </c>
      <c r="K626" s="73">
        <v>2700.0</v>
      </c>
      <c r="L626" s="57"/>
      <c r="M626" s="187"/>
      <c r="N626" s="187"/>
      <c r="O626" s="76"/>
      <c r="P626" s="76"/>
    </row>
    <row r="627" ht="20.25" hidden="1" customHeight="1" outlineLevel="1">
      <c r="A627" s="29"/>
      <c r="B627" s="123" t="s">
        <v>21</v>
      </c>
      <c r="C627" s="123">
        <v>101.0</v>
      </c>
      <c r="D627" s="19"/>
      <c r="E627" s="19"/>
      <c r="F627" s="26" t="s">
        <v>168</v>
      </c>
      <c r="G627" s="76" t="s">
        <v>17</v>
      </c>
      <c r="H627" s="74" t="s">
        <v>25</v>
      </c>
      <c r="I627" s="77">
        <v>1.0</v>
      </c>
      <c r="J627" s="77">
        <v>120.0</v>
      </c>
      <c r="K627" s="77">
        <v>120.0</v>
      </c>
      <c r="L627" s="29"/>
      <c r="M627" s="187"/>
      <c r="N627" s="187"/>
      <c r="O627" s="76"/>
      <c r="P627" s="76"/>
    </row>
    <row r="628" ht="20.25" hidden="1" customHeight="1" outlineLevel="1">
      <c r="A628" s="57"/>
      <c r="B628" s="58"/>
      <c r="C628" s="58"/>
      <c r="D628" s="11"/>
      <c r="E628" s="11"/>
      <c r="F628" s="58"/>
      <c r="G628" s="76" t="s">
        <v>17</v>
      </c>
      <c r="H628" s="74" t="s">
        <v>18</v>
      </c>
      <c r="I628" s="73">
        <v>16.0</v>
      </c>
      <c r="J628" s="73">
        <v>100.0</v>
      </c>
      <c r="K628" s="73">
        <v>1600.0</v>
      </c>
      <c r="L628" s="58"/>
      <c r="M628" s="108"/>
      <c r="N628" s="187"/>
      <c r="O628" s="76"/>
      <c r="P628" s="76"/>
    </row>
    <row r="629" ht="20.25" hidden="1" customHeight="1" outlineLevel="1">
      <c r="A629" s="29"/>
      <c r="B629" s="123" t="s">
        <v>21</v>
      </c>
      <c r="C629" s="123">
        <v>121.0</v>
      </c>
      <c r="D629" s="19"/>
      <c r="E629" s="19"/>
      <c r="F629" s="26" t="s">
        <v>76</v>
      </c>
      <c r="G629" s="76" t="s">
        <v>17</v>
      </c>
      <c r="H629" s="74" t="s">
        <v>25</v>
      </c>
      <c r="I629" s="77">
        <v>1.0</v>
      </c>
      <c r="J629" s="77">
        <v>120.0</v>
      </c>
      <c r="K629" s="77">
        <v>120.0</v>
      </c>
      <c r="L629" s="403">
        <v>30.0</v>
      </c>
      <c r="M629" s="105">
        <v>360.0</v>
      </c>
      <c r="N629" s="187"/>
      <c r="O629" s="76"/>
      <c r="P629" s="76"/>
    </row>
    <row r="630" ht="20.25" hidden="1" customHeight="1" outlineLevel="1">
      <c r="A630" s="57"/>
      <c r="B630" s="58"/>
      <c r="C630" s="58"/>
      <c r="D630" s="11"/>
      <c r="E630" s="11"/>
      <c r="F630" s="58"/>
      <c r="G630" s="76" t="s">
        <v>17</v>
      </c>
      <c r="H630" s="74" t="s">
        <v>18</v>
      </c>
      <c r="I630" s="73">
        <v>11.0</v>
      </c>
      <c r="J630" s="73">
        <v>100.0</v>
      </c>
      <c r="K630" s="73">
        <v>1100.0</v>
      </c>
      <c r="L630" s="58"/>
      <c r="M630" s="108"/>
      <c r="N630" s="108"/>
      <c r="O630" s="76"/>
      <c r="P630" s="76"/>
    </row>
    <row r="631" ht="20.25" hidden="1" customHeight="1" outlineLevel="1">
      <c r="A631" s="29"/>
      <c r="B631" s="123" t="s">
        <v>21</v>
      </c>
      <c r="C631" s="123">
        <v>102.0</v>
      </c>
      <c r="D631" s="19"/>
      <c r="E631" s="19"/>
      <c r="F631" s="26" t="s">
        <v>172</v>
      </c>
      <c r="G631" s="76" t="s">
        <v>17</v>
      </c>
      <c r="H631" s="74" t="s">
        <v>25</v>
      </c>
      <c r="I631" s="77">
        <v>1.0</v>
      </c>
      <c r="J631" s="77"/>
      <c r="K631" s="77"/>
      <c r="L631" s="77"/>
      <c r="M631" s="74"/>
      <c r="N631" s="74"/>
      <c r="O631" s="76"/>
      <c r="P631" s="76"/>
    </row>
    <row r="632" ht="20.25" hidden="1" customHeight="1" outlineLevel="1">
      <c r="A632" s="57"/>
      <c r="B632" s="58"/>
      <c r="C632" s="58"/>
      <c r="D632" s="11"/>
      <c r="E632" s="11"/>
      <c r="F632" s="58"/>
      <c r="G632" s="76" t="s">
        <v>17</v>
      </c>
      <c r="H632" s="74" t="s">
        <v>18</v>
      </c>
      <c r="I632" s="73">
        <v>16.0</v>
      </c>
      <c r="J632" s="73"/>
      <c r="K632" s="73"/>
      <c r="L632" s="73"/>
      <c r="M632" s="74"/>
      <c r="N632" s="74"/>
      <c r="O632" s="76"/>
      <c r="P632" s="76"/>
    </row>
    <row r="633" ht="20.25" hidden="1" customHeight="1" outlineLevel="1">
      <c r="A633" s="29"/>
      <c r="B633" s="123" t="s">
        <v>21</v>
      </c>
      <c r="C633" s="123">
        <v>114.0</v>
      </c>
      <c r="D633" s="19"/>
      <c r="E633" s="19"/>
      <c r="F633" s="26" t="s">
        <v>78</v>
      </c>
      <c r="G633" s="76" t="s">
        <v>17</v>
      </c>
      <c r="H633" s="74" t="s">
        <v>25</v>
      </c>
      <c r="I633" s="77">
        <v>1.0</v>
      </c>
      <c r="J633" s="77"/>
      <c r="K633" s="77"/>
      <c r="L633" s="77"/>
      <c r="M633" s="74"/>
      <c r="N633" s="74"/>
      <c r="O633" s="76"/>
      <c r="P633" s="76"/>
    </row>
    <row r="634" ht="20.25" hidden="1" customHeight="1" outlineLevel="1">
      <c r="A634" s="57"/>
      <c r="B634" s="58"/>
      <c r="C634" s="364">
        <v>116.0</v>
      </c>
      <c r="D634" s="11"/>
      <c r="E634" s="11"/>
      <c r="F634" s="58"/>
      <c r="G634" s="76" t="s">
        <v>17</v>
      </c>
      <c r="H634" s="74" t="s">
        <v>18</v>
      </c>
      <c r="I634" s="73">
        <v>17.0</v>
      </c>
      <c r="J634" s="73"/>
      <c r="K634" s="73"/>
      <c r="L634" s="73"/>
      <c r="M634" s="74"/>
      <c r="N634" s="74"/>
      <c r="O634" s="76"/>
      <c r="P634" s="76"/>
    </row>
    <row r="635" ht="20.25" hidden="1" customHeight="1" outlineLevel="1">
      <c r="A635" s="29"/>
      <c r="B635" s="123" t="s">
        <v>40</v>
      </c>
      <c r="C635" s="123">
        <v>106.0</v>
      </c>
      <c r="D635" s="19"/>
      <c r="E635" s="19"/>
      <c r="F635" s="26" t="s">
        <v>170</v>
      </c>
      <c r="G635" s="76" t="s">
        <v>17</v>
      </c>
      <c r="H635" s="74" t="s">
        <v>25</v>
      </c>
      <c r="I635" s="77">
        <v>1.0</v>
      </c>
      <c r="J635" s="77"/>
      <c r="K635" s="77"/>
      <c r="L635" s="77"/>
      <c r="M635" s="74"/>
      <c r="N635" s="74"/>
      <c r="O635" s="76"/>
      <c r="P635" s="76"/>
    </row>
    <row r="636" ht="20.25" hidden="1" customHeight="1" outlineLevel="1">
      <c r="A636" s="57"/>
      <c r="B636" s="58"/>
      <c r="C636" s="58"/>
      <c r="D636" s="11"/>
      <c r="E636" s="11"/>
      <c r="F636" s="58"/>
      <c r="G636" s="76" t="s">
        <v>17</v>
      </c>
      <c r="H636" s="74" t="s">
        <v>18</v>
      </c>
      <c r="I636" s="73">
        <v>20.0</v>
      </c>
      <c r="J636" s="73"/>
      <c r="K636" s="73"/>
      <c r="L636" s="73"/>
      <c r="M636" s="74"/>
      <c r="N636" s="74"/>
      <c r="O636" s="76"/>
      <c r="P636" s="76"/>
    </row>
    <row r="637" ht="20.25" hidden="1" customHeight="1" outlineLevel="1">
      <c r="A637" s="29"/>
      <c r="B637" s="123" t="s">
        <v>40</v>
      </c>
      <c r="C637" s="123">
        <v>103.0</v>
      </c>
      <c r="D637" s="19"/>
      <c r="E637" s="19"/>
      <c r="F637" s="26" t="s">
        <v>174</v>
      </c>
      <c r="G637" s="76" t="s">
        <v>17</v>
      </c>
      <c r="H637" s="74" t="s">
        <v>25</v>
      </c>
      <c r="I637" s="77">
        <v>1.0</v>
      </c>
      <c r="J637" s="77"/>
      <c r="K637" s="77"/>
      <c r="L637" s="77"/>
      <c r="M637" s="74"/>
      <c r="N637" s="74"/>
      <c r="O637" s="76"/>
      <c r="P637" s="76"/>
    </row>
    <row r="638" ht="20.25" hidden="1" customHeight="1" outlineLevel="1">
      <c r="A638" s="58"/>
      <c r="B638" s="58"/>
      <c r="C638" s="58"/>
      <c r="D638" s="11"/>
      <c r="E638" s="11"/>
      <c r="F638" s="58"/>
      <c r="G638" s="76" t="s">
        <v>17</v>
      </c>
      <c r="H638" s="74" t="s">
        <v>18</v>
      </c>
      <c r="I638" s="73">
        <v>20.0</v>
      </c>
      <c r="J638" s="73"/>
      <c r="K638" s="73"/>
      <c r="L638" s="73"/>
      <c r="M638" s="74"/>
      <c r="N638" s="74"/>
      <c r="O638" s="76"/>
      <c r="P638" s="76"/>
    </row>
    <row r="639" ht="20.25" hidden="1" customHeight="1" outlineLevel="1">
      <c r="A639" s="121">
        <v>46187.0</v>
      </c>
      <c r="B639" s="123" t="s">
        <v>40</v>
      </c>
      <c r="C639" s="123">
        <v>135.0</v>
      </c>
      <c r="D639" s="19"/>
      <c r="E639" s="19"/>
      <c r="F639" s="102" t="s">
        <v>42</v>
      </c>
      <c r="G639" s="76" t="s">
        <v>17</v>
      </c>
      <c r="H639" s="74" t="s">
        <v>25</v>
      </c>
      <c r="I639" s="77">
        <v>1.0</v>
      </c>
      <c r="J639" s="77">
        <v>120.0</v>
      </c>
      <c r="K639" s="77">
        <v>120.0</v>
      </c>
      <c r="L639" s="160">
        <v>25.0</v>
      </c>
      <c r="M639" s="105">
        <v>1075.0</v>
      </c>
      <c r="N639" s="105">
        <v>7760.0</v>
      </c>
      <c r="O639" s="76"/>
      <c r="P639" s="76"/>
    </row>
    <row r="640" ht="20.25" hidden="1" customHeight="1" outlineLevel="1">
      <c r="A640" s="57"/>
      <c r="B640" s="58"/>
      <c r="C640" s="58"/>
      <c r="D640" s="11"/>
      <c r="E640" s="11"/>
      <c r="F640" s="58"/>
      <c r="G640" s="76" t="s">
        <v>17</v>
      </c>
      <c r="H640" s="74" t="s">
        <v>18</v>
      </c>
      <c r="I640" s="73">
        <v>22.0</v>
      </c>
      <c r="J640" s="73">
        <v>100.0</v>
      </c>
      <c r="K640" s="73">
        <v>2200.0</v>
      </c>
      <c r="L640" s="57"/>
      <c r="M640" s="187"/>
      <c r="N640" s="187"/>
      <c r="O640" s="76"/>
      <c r="P640" s="76"/>
    </row>
    <row r="641" ht="20.25" hidden="1" customHeight="1" outlineLevel="1">
      <c r="A641" s="29"/>
      <c r="B641" s="123" t="s">
        <v>40</v>
      </c>
      <c r="C641" s="123">
        <v>137.0</v>
      </c>
      <c r="D641" s="19"/>
      <c r="E641" s="19"/>
      <c r="F641" s="26" t="s">
        <v>168</v>
      </c>
      <c r="G641" s="76" t="s">
        <v>17</v>
      </c>
      <c r="H641" s="74" t="s">
        <v>25</v>
      </c>
      <c r="I641" s="77">
        <v>1.0</v>
      </c>
      <c r="J641" s="77">
        <v>120.0</v>
      </c>
      <c r="K641" s="77">
        <v>120.0</v>
      </c>
      <c r="L641" s="29"/>
      <c r="M641" s="187"/>
      <c r="N641" s="187"/>
      <c r="O641" s="76"/>
      <c r="P641" s="76"/>
    </row>
    <row r="642" ht="20.25" hidden="1" customHeight="1" outlineLevel="1">
      <c r="A642" s="57"/>
      <c r="B642" s="58"/>
      <c r="C642" s="58"/>
      <c r="D642" s="11"/>
      <c r="E642" s="11"/>
      <c r="F642" s="58"/>
      <c r="G642" s="76" t="s">
        <v>17</v>
      </c>
      <c r="H642" s="74" t="s">
        <v>18</v>
      </c>
      <c r="I642" s="73">
        <v>19.0</v>
      </c>
      <c r="J642" s="73">
        <v>100.0</v>
      </c>
      <c r="K642" s="73">
        <v>1900.0</v>
      </c>
      <c r="L642" s="58"/>
      <c r="M642" s="187"/>
      <c r="N642" s="187"/>
      <c r="O642" s="76"/>
      <c r="P642" s="76"/>
    </row>
    <row r="643" ht="20.25" hidden="1" customHeight="1" outlineLevel="1">
      <c r="A643" s="29"/>
      <c r="B643" s="123" t="s">
        <v>40</v>
      </c>
      <c r="C643" s="123">
        <v>106.0</v>
      </c>
      <c r="D643" s="19"/>
      <c r="E643" s="19"/>
      <c r="F643" s="26" t="s">
        <v>76</v>
      </c>
      <c r="G643" s="76" t="s">
        <v>17</v>
      </c>
      <c r="H643" s="74" t="s">
        <v>25</v>
      </c>
      <c r="I643" s="77">
        <v>1.0</v>
      </c>
      <c r="J643" s="77">
        <v>120.0</v>
      </c>
      <c r="K643" s="77">
        <v>120.0</v>
      </c>
      <c r="L643" s="403">
        <v>30.0</v>
      </c>
      <c r="M643" s="105">
        <v>450.0</v>
      </c>
      <c r="N643" s="187"/>
      <c r="O643" s="76"/>
      <c r="P643" s="76"/>
    </row>
    <row r="644" ht="20.25" hidden="1" customHeight="1" outlineLevel="1">
      <c r="A644" s="57"/>
      <c r="B644" s="58"/>
      <c r="C644" s="58"/>
      <c r="D644" s="11"/>
      <c r="E644" s="11"/>
      <c r="F644" s="58"/>
      <c r="G644" s="76" t="s">
        <v>17</v>
      </c>
      <c r="H644" s="74" t="s">
        <v>18</v>
      </c>
      <c r="I644" s="73">
        <v>14.0</v>
      </c>
      <c r="J644" s="73">
        <v>100.0</v>
      </c>
      <c r="K644" s="73">
        <v>1400.0</v>
      </c>
      <c r="L644" s="58"/>
      <c r="M644" s="108"/>
      <c r="N644" s="187"/>
      <c r="O644" s="76"/>
      <c r="P644" s="76"/>
    </row>
    <row r="645" ht="20.25" hidden="1" customHeight="1" outlineLevel="1">
      <c r="A645" s="29"/>
      <c r="B645" s="123" t="s">
        <v>40</v>
      </c>
      <c r="C645" s="123">
        <v>109.0</v>
      </c>
      <c r="D645" s="19"/>
      <c r="E645" s="19"/>
      <c r="F645" s="26" t="s">
        <v>172</v>
      </c>
      <c r="G645" s="76" t="s">
        <v>17</v>
      </c>
      <c r="H645" s="74" t="s">
        <v>25</v>
      </c>
      <c r="I645" s="77">
        <v>1.0</v>
      </c>
      <c r="J645" s="77"/>
      <c r="K645" s="77"/>
      <c r="L645" s="77"/>
      <c r="M645" s="74"/>
      <c r="N645" s="74"/>
      <c r="O645" s="76"/>
      <c r="P645" s="76"/>
    </row>
    <row r="646" ht="20.25" hidden="1" customHeight="1" outlineLevel="1">
      <c r="A646" s="57"/>
      <c r="B646" s="58"/>
      <c r="C646" s="58"/>
      <c r="D646" s="11"/>
      <c r="E646" s="11"/>
      <c r="F646" s="58"/>
      <c r="G646" s="76" t="s">
        <v>17</v>
      </c>
      <c r="H646" s="74" t="s">
        <v>18</v>
      </c>
      <c r="I646" s="73">
        <v>16.0</v>
      </c>
      <c r="J646" s="73"/>
      <c r="K646" s="73"/>
      <c r="L646" s="73"/>
      <c r="M646" s="74"/>
      <c r="N646" s="74"/>
      <c r="O646" s="76"/>
      <c r="P646" s="76"/>
    </row>
    <row r="647" ht="20.25" hidden="1" customHeight="1" outlineLevel="1">
      <c r="A647" s="29"/>
      <c r="B647" s="123" t="s">
        <v>40</v>
      </c>
      <c r="C647" s="123">
        <v>109.0</v>
      </c>
      <c r="D647" s="19"/>
      <c r="E647" s="19"/>
      <c r="F647" s="26" t="s">
        <v>78</v>
      </c>
      <c r="G647" s="76" t="s">
        <v>17</v>
      </c>
      <c r="H647" s="74" t="s">
        <v>25</v>
      </c>
      <c r="I647" s="77">
        <v>1.0</v>
      </c>
      <c r="J647" s="77"/>
      <c r="K647" s="77"/>
      <c r="L647" s="77"/>
      <c r="M647" s="74"/>
      <c r="N647" s="74"/>
      <c r="O647" s="76"/>
      <c r="P647" s="76"/>
    </row>
    <row r="648" ht="20.25" hidden="1" customHeight="1" outlineLevel="1">
      <c r="A648" s="57"/>
      <c r="B648" s="58"/>
      <c r="C648" s="58"/>
      <c r="D648" s="11"/>
      <c r="E648" s="11"/>
      <c r="F648" s="58"/>
      <c r="G648" s="76" t="s">
        <v>17</v>
      </c>
      <c r="H648" s="74" t="s">
        <v>18</v>
      </c>
      <c r="I648" s="73">
        <v>18.0</v>
      </c>
      <c r="J648" s="73"/>
      <c r="K648" s="73"/>
      <c r="L648" s="73"/>
      <c r="M648" s="74"/>
      <c r="N648" s="74"/>
      <c r="O648" s="76"/>
      <c r="P648" s="76"/>
    </row>
    <row r="649" ht="20.25" hidden="1" customHeight="1" outlineLevel="1">
      <c r="A649" s="29"/>
      <c r="B649" s="123" t="s">
        <v>40</v>
      </c>
      <c r="C649" s="123">
        <v>106.0</v>
      </c>
      <c r="D649" s="19"/>
      <c r="E649" s="19"/>
      <c r="F649" s="26" t="s">
        <v>170</v>
      </c>
      <c r="G649" s="76" t="s">
        <v>17</v>
      </c>
      <c r="H649" s="74" t="s">
        <v>25</v>
      </c>
      <c r="I649" s="77">
        <v>1.0</v>
      </c>
      <c r="J649" s="77"/>
      <c r="K649" s="77"/>
      <c r="L649" s="77"/>
      <c r="M649" s="74"/>
      <c r="N649" s="74"/>
      <c r="O649" s="76"/>
      <c r="P649" s="76"/>
    </row>
    <row r="650" ht="20.25" hidden="1" customHeight="1" outlineLevel="1">
      <c r="A650" s="57"/>
      <c r="B650" s="58"/>
      <c r="C650" s="58"/>
      <c r="D650" s="11"/>
      <c r="E650" s="11"/>
      <c r="F650" s="58"/>
      <c r="G650" s="76" t="s">
        <v>17</v>
      </c>
      <c r="H650" s="74" t="s">
        <v>18</v>
      </c>
      <c r="I650" s="73">
        <v>18.0</v>
      </c>
      <c r="J650" s="73"/>
      <c r="K650" s="73"/>
      <c r="L650" s="73"/>
      <c r="M650" s="74"/>
      <c r="N650" s="74"/>
      <c r="O650" s="76"/>
      <c r="P650" s="76"/>
    </row>
    <row r="651" ht="20.25" hidden="1" customHeight="1" outlineLevel="1">
      <c r="A651" s="29"/>
      <c r="B651" s="123" t="s">
        <v>40</v>
      </c>
      <c r="C651" s="123">
        <v>103.0</v>
      </c>
      <c r="D651" s="19"/>
      <c r="E651" s="19"/>
      <c r="F651" s="26" t="s">
        <v>174</v>
      </c>
      <c r="G651" s="76" t="s">
        <v>17</v>
      </c>
      <c r="H651" s="74" t="s">
        <v>25</v>
      </c>
      <c r="I651" s="77">
        <v>1.0</v>
      </c>
      <c r="J651" s="77"/>
      <c r="K651" s="77"/>
      <c r="L651" s="77"/>
      <c r="M651" s="74"/>
      <c r="N651" s="74"/>
      <c r="O651" s="76"/>
      <c r="P651" s="76"/>
    </row>
    <row r="652" ht="20.25" hidden="1" customHeight="1" outlineLevel="1">
      <c r="A652" s="58"/>
      <c r="B652" s="58"/>
      <c r="C652" s="58"/>
      <c r="D652" s="11"/>
      <c r="E652" s="11"/>
      <c r="F652" s="58"/>
      <c r="G652" s="76" t="s">
        <v>17</v>
      </c>
      <c r="H652" s="74" t="s">
        <v>18</v>
      </c>
      <c r="I652" s="73">
        <v>19.0</v>
      </c>
      <c r="J652" s="73"/>
      <c r="K652" s="73"/>
      <c r="L652" s="73"/>
      <c r="M652" s="74"/>
      <c r="N652" s="74"/>
      <c r="O652" s="76"/>
      <c r="P652" s="76"/>
    </row>
    <row r="653" ht="20.25" hidden="1" customHeight="1" outlineLevel="1">
      <c r="A653" s="121">
        <v>46188.0</v>
      </c>
      <c r="B653" s="123" t="s">
        <v>21</v>
      </c>
      <c r="C653" s="123">
        <v>121.0</v>
      </c>
      <c r="D653" s="19"/>
      <c r="E653" s="19"/>
      <c r="F653" s="102" t="s">
        <v>42</v>
      </c>
      <c r="G653" s="76" t="s">
        <v>17</v>
      </c>
      <c r="H653" s="74" t="s">
        <v>25</v>
      </c>
      <c r="I653" s="77">
        <v>1.0</v>
      </c>
      <c r="J653" s="77">
        <v>120.0</v>
      </c>
      <c r="K653" s="77">
        <v>120.0</v>
      </c>
      <c r="L653" s="407">
        <v>25.0</v>
      </c>
      <c r="M653" s="408">
        <v>975.0</v>
      </c>
      <c r="N653" s="408">
        <v>4915.0</v>
      </c>
      <c r="O653" s="76"/>
      <c r="P653" s="76"/>
    </row>
    <row r="654" ht="20.25" hidden="1" customHeight="1" outlineLevel="1">
      <c r="A654" s="57"/>
      <c r="B654" s="58"/>
      <c r="C654" s="58"/>
      <c r="D654" s="11"/>
      <c r="E654" s="11"/>
      <c r="F654" s="58"/>
      <c r="G654" s="76" t="s">
        <v>17</v>
      </c>
      <c r="H654" s="74" t="s">
        <v>18</v>
      </c>
      <c r="I654" s="73">
        <v>19.0</v>
      </c>
      <c r="J654" s="73">
        <v>100.0</v>
      </c>
      <c r="K654" s="73">
        <v>1900.0</v>
      </c>
      <c r="L654" s="57"/>
      <c r="M654" s="187"/>
      <c r="N654" s="187"/>
      <c r="O654" s="76"/>
      <c r="P654" s="76"/>
    </row>
    <row r="655" ht="20.25" hidden="1" customHeight="1" outlineLevel="1">
      <c r="A655" s="29"/>
      <c r="B655" s="123" t="s">
        <v>21</v>
      </c>
      <c r="C655" s="123">
        <v>135.0</v>
      </c>
      <c r="D655" s="19"/>
      <c r="E655" s="19"/>
      <c r="F655" s="26" t="s">
        <v>168</v>
      </c>
      <c r="G655" s="76" t="s">
        <v>17</v>
      </c>
      <c r="H655" s="74" t="s">
        <v>25</v>
      </c>
      <c r="I655" s="77">
        <v>1.0</v>
      </c>
      <c r="J655" s="77">
        <v>120.0</v>
      </c>
      <c r="K655" s="77">
        <v>120.0</v>
      </c>
      <c r="L655" s="29"/>
      <c r="M655" s="187"/>
      <c r="N655" s="187"/>
      <c r="O655" s="76"/>
      <c r="P655" s="76"/>
    </row>
    <row r="656" ht="20.25" hidden="1" customHeight="1" outlineLevel="1">
      <c r="A656" s="57"/>
      <c r="B656" s="58"/>
      <c r="C656" s="58"/>
      <c r="D656" s="11"/>
      <c r="E656" s="11"/>
      <c r="F656" s="58"/>
      <c r="G656" s="76" t="s">
        <v>17</v>
      </c>
      <c r="H656" s="74" t="s">
        <v>18</v>
      </c>
      <c r="I656" s="73">
        <v>18.0</v>
      </c>
      <c r="J656" s="73">
        <v>100.0</v>
      </c>
      <c r="K656" s="73">
        <v>1800.0</v>
      </c>
      <c r="L656" s="58"/>
      <c r="M656" s="108"/>
      <c r="N656" s="108"/>
      <c r="O656" s="76"/>
      <c r="P656" s="76"/>
    </row>
    <row r="657" ht="20.25" hidden="1" customHeight="1" outlineLevel="1">
      <c r="A657" s="29"/>
      <c r="B657" s="123"/>
      <c r="C657" s="123"/>
      <c r="D657" s="19"/>
      <c r="E657" s="19"/>
      <c r="F657" s="26" t="s">
        <v>76</v>
      </c>
      <c r="G657" s="76" t="s">
        <v>17</v>
      </c>
      <c r="H657" s="74" t="s">
        <v>25</v>
      </c>
      <c r="I657" s="77">
        <v>0.0</v>
      </c>
      <c r="J657" s="77"/>
      <c r="K657" s="77"/>
      <c r="L657" s="77"/>
      <c r="M657" s="74"/>
      <c r="N657" s="74"/>
      <c r="O657" s="76"/>
      <c r="P657" s="76"/>
    </row>
    <row r="658" ht="20.25" hidden="1" customHeight="1" outlineLevel="1">
      <c r="A658" s="57"/>
      <c r="B658" s="58"/>
      <c r="C658" s="58"/>
      <c r="D658" s="11"/>
      <c r="E658" s="11"/>
      <c r="F658" s="58"/>
      <c r="G658" s="76" t="s">
        <v>17</v>
      </c>
      <c r="H658" s="74" t="s">
        <v>18</v>
      </c>
      <c r="I658" s="73">
        <v>0.0</v>
      </c>
      <c r="J658" s="73"/>
      <c r="K658" s="73"/>
      <c r="L658" s="73"/>
      <c r="M658" s="74"/>
      <c r="N658" s="74"/>
      <c r="O658" s="76"/>
      <c r="P658" s="76"/>
    </row>
    <row r="659" ht="20.25" hidden="1" customHeight="1" outlineLevel="1">
      <c r="A659" s="29"/>
      <c r="B659" s="123" t="s">
        <v>21</v>
      </c>
      <c r="C659" s="123">
        <v>102.0</v>
      </c>
      <c r="D659" s="19"/>
      <c r="E659" s="19"/>
      <c r="F659" s="26" t="s">
        <v>172</v>
      </c>
      <c r="G659" s="76" t="s">
        <v>17</v>
      </c>
      <c r="H659" s="74" t="s">
        <v>25</v>
      </c>
      <c r="I659" s="77">
        <v>1.0</v>
      </c>
      <c r="J659" s="77"/>
      <c r="K659" s="77"/>
      <c r="L659" s="77"/>
      <c r="M659" s="74"/>
      <c r="N659" s="74"/>
      <c r="O659" s="76"/>
      <c r="P659" s="76"/>
    </row>
    <row r="660" ht="20.25" hidden="1" customHeight="1" outlineLevel="1">
      <c r="A660" s="57"/>
      <c r="B660" s="58"/>
      <c r="C660" s="58"/>
      <c r="D660" s="11"/>
      <c r="E660" s="11"/>
      <c r="F660" s="58"/>
      <c r="G660" s="76" t="s">
        <v>17</v>
      </c>
      <c r="H660" s="74" t="s">
        <v>18</v>
      </c>
      <c r="I660" s="73">
        <v>17.0</v>
      </c>
      <c r="J660" s="73"/>
      <c r="K660" s="73"/>
      <c r="L660" s="73"/>
      <c r="M660" s="74"/>
      <c r="N660" s="74"/>
      <c r="O660" s="76"/>
      <c r="P660" s="76"/>
    </row>
    <row r="661" ht="20.25" hidden="1" customHeight="1" outlineLevel="1">
      <c r="A661" s="29"/>
      <c r="B661" s="123" t="s">
        <v>21</v>
      </c>
      <c r="C661" s="123">
        <v>116.0</v>
      </c>
      <c r="D661" s="19"/>
      <c r="E661" s="19"/>
      <c r="F661" s="26" t="s">
        <v>78</v>
      </c>
      <c r="G661" s="76" t="s">
        <v>17</v>
      </c>
      <c r="H661" s="74" t="s">
        <v>25</v>
      </c>
      <c r="I661" s="77">
        <v>1.0</v>
      </c>
      <c r="J661" s="77"/>
      <c r="K661" s="77"/>
      <c r="L661" s="77"/>
      <c r="M661" s="74"/>
      <c r="N661" s="74"/>
      <c r="O661" s="76"/>
      <c r="P661" s="76"/>
    </row>
    <row r="662" ht="20.25" hidden="1" customHeight="1" outlineLevel="1">
      <c r="A662" s="57"/>
      <c r="B662" s="58"/>
      <c r="C662" s="58"/>
      <c r="D662" s="11"/>
      <c r="E662" s="11"/>
      <c r="F662" s="58"/>
      <c r="G662" s="76" t="s">
        <v>17</v>
      </c>
      <c r="H662" s="74" t="s">
        <v>18</v>
      </c>
      <c r="I662" s="73">
        <v>16.0</v>
      </c>
      <c r="J662" s="73"/>
      <c r="K662" s="73"/>
      <c r="L662" s="73"/>
      <c r="M662" s="74"/>
      <c r="N662" s="74"/>
      <c r="O662" s="76"/>
      <c r="P662" s="76"/>
    </row>
    <row r="663" ht="20.25" hidden="1" customHeight="1" outlineLevel="1">
      <c r="A663" s="29"/>
      <c r="B663" s="123"/>
      <c r="C663" s="123"/>
      <c r="D663" s="19"/>
      <c r="E663" s="19"/>
      <c r="F663" s="26" t="s">
        <v>170</v>
      </c>
      <c r="G663" s="76" t="s">
        <v>17</v>
      </c>
      <c r="H663" s="74" t="s">
        <v>25</v>
      </c>
      <c r="I663" s="77">
        <v>0.0</v>
      </c>
      <c r="J663" s="77"/>
      <c r="K663" s="77"/>
      <c r="L663" s="77"/>
      <c r="M663" s="74"/>
      <c r="N663" s="74"/>
      <c r="O663" s="76"/>
      <c r="P663" s="76"/>
    </row>
    <row r="664" ht="20.25" hidden="1" customHeight="1" outlineLevel="1">
      <c r="A664" s="57"/>
      <c r="B664" s="58"/>
      <c r="C664" s="58"/>
      <c r="D664" s="11"/>
      <c r="E664" s="11"/>
      <c r="F664" s="58"/>
      <c r="G664" s="76" t="s">
        <v>17</v>
      </c>
      <c r="H664" s="74" t="s">
        <v>18</v>
      </c>
      <c r="I664" s="73">
        <v>0.0</v>
      </c>
      <c r="J664" s="73"/>
      <c r="K664" s="73"/>
      <c r="L664" s="73"/>
      <c r="M664" s="74"/>
      <c r="N664" s="74"/>
      <c r="O664" s="76"/>
      <c r="P664" s="76"/>
    </row>
    <row r="665" ht="20.25" hidden="1" customHeight="1" outlineLevel="1">
      <c r="A665" s="29"/>
      <c r="B665" s="123" t="s">
        <v>40</v>
      </c>
      <c r="C665" s="123">
        <v>109.0</v>
      </c>
      <c r="D665" s="19"/>
      <c r="E665" s="19"/>
      <c r="F665" s="26" t="s">
        <v>174</v>
      </c>
      <c r="G665" s="76" t="s">
        <v>17</v>
      </c>
      <c r="H665" s="74" t="s">
        <v>25</v>
      </c>
      <c r="I665" s="77">
        <v>1.0</v>
      </c>
      <c r="J665" s="77"/>
      <c r="K665" s="77"/>
      <c r="L665" s="77"/>
      <c r="M665" s="74"/>
      <c r="N665" s="74"/>
      <c r="O665" s="76"/>
      <c r="P665" s="76"/>
    </row>
    <row r="666" ht="20.25" hidden="1" customHeight="1" outlineLevel="1">
      <c r="A666" s="58"/>
      <c r="B666" s="58"/>
      <c r="C666" s="58"/>
      <c r="D666" s="11"/>
      <c r="E666" s="11"/>
      <c r="F666" s="58"/>
      <c r="G666" s="76" t="s">
        <v>17</v>
      </c>
      <c r="H666" s="74" t="s">
        <v>18</v>
      </c>
      <c r="I666" s="73">
        <v>14.0</v>
      </c>
      <c r="J666" s="73"/>
      <c r="K666" s="73"/>
      <c r="L666" s="73"/>
      <c r="M666" s="74"/>
      <c r="N666" s="74"/>
      <c r="O666" s="76"/>
      <c r="P666" s="76"/>
    </row>
    <row r="667" ht="20.25" hidden="1" customHeight="1" outlineLevel="1">
      <c r="A667" s="261">
        <v>46189.0</v>
      </c>
      <c r="B667" s="262" t="s">
        <v>21</v>
      </c>
      <c r="C667" s="262">
        <v>121.0</v>
      </c>
      <c r="D667" s="263"/>
      <c r="E667" s="263"/>
      <c r="F667" s="339" t="s">
        <v>42</v>
      </c>
      <c r="G667" s="266" t="s">
        <v>17</v>
      </c>
      <c r="H667" s="265" t="s">
        <v>25</v>
      </c>
      <c r="I667" s="265">
        <v>1.0</v>
      </c>
      <c r="J667" s="265">
        <v>120.0</v>
      </c>
      <c r="K667" s="265">
        <v>120.0</v>
      </c>
      <c r="L667" s="340">
        <v>25.0</v>
      </c>
      <c r="M667" s="340">
        <v>1025.0</v>
      </c>
      <c r="N667" s="340">
        <v>5165.0</v>
      </c>
      <c r="O667" s="76"/>
      <c r="P667" s="76"/>
    </row>
    <row r="668" ht="20.25" hidden="1" customHeight="1" outlineLevel="1">
      <c r="A668" s="57"/>
      <c r="B668" s="58"/>
      <c r="C668" s="58"/>
      <c r="D668" s="263"/>
      <c r="E668" s="263"/>
      <c r="F668" s="58"/>
      <c r="G668" s="266" t="s">
        <v>17</v>
      </c>
      <c r="H668" s="265" t="s">
        <v>18</v>
      </c>
      <c r="I668" s="265">
        <v>21.0</v>
      </c>
      <c r="J668" s="265">
        <v>100.0</v>
      </c>
      <c r="K668" s="265">
        <v>2100.0</v>
      </c>
      <c r="L668" s="57"/>
      <c r="M668" s="187"/>
      <c r="N668" s="187"/>
      <c r="O668" s="76"/>
      <c r="P668" s="76"/>
    </row>
    <row r="669" ht="20.25" hidden="1" customHeight="1" outlineLevel="1">
      <c r="A669" s="29"/>
      <c r="B669" s="262" t="s">
        <v>21</v>
      </c>
      <c r="C669" s="262">
        <v>135.0</v>
      </c>
      <c r="D669" s="263"/>
      <c r="E669" s="263"/>
      <c r="F669" s="340" t="s">
        <v>168</v>
      </c>
      <c r="G669" s="266" t="s">
        <v>17</v>
      </c>
      <c r="H669" s="265" t="s">
        <v>25</v>
      </c>
      <c r="I669" s="265">
        <v>1.0</v>
      </c>
      <c r="J669" s="265">
        <v>120.0</v>
      </c>
      <c r="K669" s="265">
        <v>120.0</v>
      </c>
      <c r="L669" s="29"/>
      <c r="M669" s="187"/>
      <c r="N669" s="187"/>
      <c r="O669" s="76"/>
      <c r="P669" s="76"/>
    </row>
    <row r="670" ht="20.25" hidden="1" customHeight="1" outlineLevel="1">
      <c r="A670" s="57"/>
      <c r="B670" s="58"/>
      <c r="C670" s="58"/>
      <c r="D670" s="263"/>
      <c r="E670" s="263"/>
      <c r="F670" s="58"/>
      <c r="G670" s="266" t="s">
        <v>17</v>
      </c>
      <c r="H670" s="265" t="s">
        <v>18</v>
      </c>
      <c r="I670" s="265">
        <v>18.0</v>
      </c>
      <c r="J670" s="265">
        <v>100.0</v>
      </c>
      <c r="K670" s="265">
        <v>1800.0</v>
      </c>
      <c r="L670" s="58"/>
      <c r="M670" s="108"/>
      <c r="N670" s="108"/>
      <c r="O670" s="76"/>
      <c r="P670" s="76"/>
    </row>
    <row r="671" ht="20.25" hidden="1" customHeight="1" outlineLevel="1">
      <c r="A671" s="29"/>
      <c r="B671" s="262" t="s">
        <v>21</v>
      </c>
      <c r="C671" s="262">
        <v>102.0</v>
      </c>
      <c r="D671" s="263"/>
      <c r="E671" s="263"/>
      <c r="F671" s="340" t="s">
        <v>172</v>
      </c>
      <c r="G671" s="266" t="s">
        <v>17</v>
      </c>
      <c r="H671" s="265" t="s">
        <v>25</v>
      </c>
      <c r="I671" s="265">
        <v>0.0</v>
      </c>
      <c r="J671" s="265"/>
      <c r="K671" s="265"/>
      <c r="L671" s="265"/>
      <c r="M671" s="265"/>
      <c r="N671" s="265"/>
      <c r="O671" s="76"/>
      <c r="P671" s="76"/>
    </row>
    <row r="672" ht="20.25" hidden="1" customHeight="1" outlineLevel="1">
      <c r="A672" s="57"/>
      <c r="B672" s="58"/>
      <c r="C672" s="58"/>
      <c r="D672" s="263"/>
      <c r="E672" s="263"/>
      <c r="F672" s="58"/>
      <c r="G672" s="266" t="s">
        <v>17</v>
      </c>
      <c r="H672" s="265" t="s">
        <v>18</v>
      </c>
      <c r="I672" s="265">
        <v>17.0</v>
      </c>
      <c r="J672" s="265"/>
      <c r="K672" s="265"/>
      <c r="L672" s="265"/>
      <c r="M672" s="265"/>
      <c r="N672" s="265"/>
      <c r="O672" s="76"/>
      <c r="P672" s="76"/>
    </row>
    <row r="673" ht="20.25" hidden="1" customHeight="1" outlineLevel="1">
      <c r="A673" s="29"/>
      <c r="B673" s="262" t="s">
        <v>21</v>
      </c>
      <c r="C673" s="262">
        <v>115.0</v>
      </c>
      <c r="D673" s="263"/>
      <c r="E673" s="263"/>
      <c r="F673" s="340" t="s">
        <v>78</v>
      </c>
      <c r="G673" s="266" t="s">
        <v>17</v>
      </c>
      <c r="H673" s="265" t="s">
        <v>25</v>
      </c>
      <c r="I673" s="265">
        <v>1.0</v>
      </c>
      <c r="J673" s="265"/>
      <c r="K673" s="265"/>
      <c r="L673" s="265"/>
      <c r="M673" s="265"/>
      <c r="N673" s="265"/>
      <c r="O673" s="76"/>
      <c r="P673" s="76"/>
    </row>
    <row r="674" ht="20.25" hidden="1" customHeight="1" outlineLevel="1">
      <c r="A674" s="57"/>
      <c r="B674" s="58"/>
      <c r="C674" s="58"/>
      <c r="D674" s="263"/>
      <c r="E674" s="263"/>
      <c r="F674" s="58"/>
      <c r="G674" s="266" t="s">
        <v>17</v>
      </c>
      <c r="H674" s="265" t="s">
        <v>18</v>
      </c>
      <c r="I674" s="265">
        <v>15.0</v>
      </c>
      <c r="J674" s="265"/>
      <c r="K674" s="265"/>
      <c r="L674" s="265"/>
      <c r="M674" s="265"/>
      <c r="N674" s="265"/>
      <c r="O674" s="76"/>
      <c r="P674" s="76"/>
    </row>
    <row r="675" ht="20.25" hidden="1" customHeight="1" outlineLevel="1">
      <c r="A675" s="29"/>
      <c r="B675" s="262" t="s">
        <v>40</v>
      </c>
      <c r="C675" s="262">
        <v>106.0</v>
      </c>
      <c r="D675" s="263"/>
      <c r="E675" s="263"/>
      <c r="F675" s="340" t="s">
        <v>170</v>
      </c>
      <c r="G675" s="266" t="s">
        <v>17</v>
      </c>
      <c r="H675" s="265" t="s">
        <v>25</v>
      </c>
      <c r="I675" s="265">
        <v>0.0</v>
      </c>
      <c r="J675" s="265"/>
      <c r="K675" s="265"/>
      <c r="L675" s="265"/>
      <c r="M675" s="265"/>
      <c r="N675" s="265"/>
      <c r="O675" s="76"/>
      <c r="P675" s="76"/>
    </row>
    <row r="676" ht="20.25" hidden="1" customHeight="1" outlineLevel="1">
      <c r="A676" s="57"/>
      <c r="B676" s="58"/>
      <c r="C676" s="58"/>
      <c r="D676" s="263"/>
      <c r="E676" s="263"/>
      <c r="F676" s="58"/>
      <c r="G676" s="266" t="s">
        <v>17</v>
      </c>
      <c r="H676" s="265" t="s">
        <v>18</v>
      </c>
      <c r="I676" s="265">
        <v>22.0</v>
      </c>
      <c r="J676" s="265"/>
      <c r="K676" s="265"/>
      <c r="L676" s="265"/>
      <c r="M676" s="265"/>
      <c r="N676" s="265"/>
      <c r="O676" s="76"/>
      <c r="P676" s="76"/>
    </row>
    <row r="677" ht="20.25" hidden="1" customHeight="1" outlineLevel="1">
      <c r="A677" s="29"/>
      <c r="B677" s="262" t="s">
        <v>40</v>
      </c>
      <c r="C677" s="262">
        <v>109.0</v>
      </c>
      <c r="D677" s="263"/>
      <c r="E677" s="263"/>
      <c r="F677" s="340" t="s">
        <v>174</v>
      </c>
      <c r="G677" s="266" t="s">
        <v>17</v>
      </c>
      <c r="H677" s="265" t="s">
        <v>25</v>
      </c>
      <c r="I677" s="265">
        <v>1.0</v>
      </c>
      <c r="J677" s="265"/>
      <c r="K677" s="265"/>
      <c r="L677" s="265"/>
      <c r="M677" s="265"/>
      <c r="N677" s="265"/>
      <c r="O677" s="76"/>
      <c r="P677" s="76"/>
    </row>
    <row r="678" ht="20.25" hidden="1" customHeight="1" outlineLevel="1">
      <c r="A678" s="58"/>
      <c r="B678" s="58"/>
      <c r="C678" s="58"/>
      <c r="D678" s="263"/>
      <c r="E678" s="263"/>
      <c r="F678" s="58"/>
      <c r="G678" s="266" t="s">
        <v>17</v>
      </c>
      <c r="H678" s="265" t="s">
        <v>18</v>
      </c>
      <c r="I678" s="265">
        <v>19.0</v>
      </c>
      <c r="J678" s="265"/>
      <c r="K678" s="265"/>
      <c r="L678" s="265"/>
      <c r="M678" s="265"/>
      <c r="N678" s="265"/>
      <c r="O678" s="76"/>
      <c r="P678" s="76"/>
    </row>
    <row r="679" ht="20.25" hidden="1" customHeight="1" outlineLevel="1">
      <c r="A679" s="121">
        <v>46190.0</v>
      </c>
      <c r="B679" s="123" t="s">
        <v>21</v>
      </c>
      <c r="C679" s="123">
        <v>127.0</v>
      </c>
      <c r="D679" s="19"/>
      <c r="E679" s="19"/>
      <c r="F679" s="102" t="s">
        <v>42</v>
      </c>
      <c r="G679" s="76" t="s">
        <v>17</v>
      </c>
      <c r="H679" s="74" t="s">
        <v>25</v>
      </c>
      <c r="I679" s="77">
        <v>1.0</v>
      </c>
      <c r="J679" s="77">
        <v>120.0</v>
      </c>
      <c r="K679" s="77">
        <v>120.0</v>
      </c>
      <c r="L679" s="407">
        <v>25.0</v>
      </c>
      <c r="M679" s="408">
        <v>950.0</v>
      </c>
      <c r="N679" s="408">
        <v>4790.0</v>
      </c>
      <c r="O679" s="76"/>
      <c r="P679" s="76"/>
    </row>
    <row r="680" ht="20.25" hidden="1" customHeight="1" outlineLevel="1">
      <c r="A680" s="57"/>
      <c r="B680" s="58"/>
      <c r="C680" s="58"/>
      <c r="D680" s="11"/>
      <c r="E680" s="11"/>
      <c r="F680" s="58"/>
      <c r="G680" s="76" t="s">
        <v>17</v>
      </c>
      <c r="H680" s="74" t="s">
        <v>18</v>
      </c>
      <c r="I680" s="73">
        <v>19.0</v>
      </c>
      <c r="J680" s="73">
        <v>100.0</v>
      </c>
      <c r="K680" s="73">
        <v>1900.0</v>
      </c>
      <c r="L680" s="57"/>
      <c r="M680" s="187"/>
      <c r="N680" s="187"/>
      <c r="O680" s="76"/>
      <c r="P680" s="76"/>
    </row>
    <row r="681" ht="20.25" hidden="1" customHeight="1" outlineLevel="1">
      <c r="A681" s="29"/>
      <c r="B681" s="123" t="s">
        <v>21</v>
      </c>
      <c r="C681" s="123">
        <v>137.0</v>
      </c>
      <c r="D681" s="19"/>
      <c r="E681" s="19"/>
      <c r="F681" s="26" t="s">
        <v>168</v>
      </c>
      <c r="G681" s="76" t="s">
        <v>17</v>
      </c>
      <c r="H681" s="74" t="s">
        <v>25</v>
      </c>
      <c r="I681" s="77">
        <v>1.0</v>
      </c>
      <c r="J681" s="77">
        <v>120.0</v>
      </c>
      <c r="K681" s="77">
        <v>120.0</v>
      </c>
      <c r="L681" s="29"/>
      <c r="M681" s="187"/>
      <c r="N681" s="187"/>
      <c r="O681" s="76"/>
      <c r="P681" s="76"/>
    </row>
    <row r="682" ht="20.25" hidden="1" customHeight="1" outlineLevel="1">
      <c r="A682" s="57"/>
      <c r="B682" s="58"/>
      <c r="C682" s="58"/>
      <c r="D682" s="11"/>
      <c r="E682" s="11"/>
      <c r="F682" s="58"/>
      <c r="G682" s="76" t="s">
        <v>17</v>
      </c>
      <c r="H682" s="74" t="s">
        <v>18</v>
      </c>
      <c r="I682" s="73">
        <v>17.0</v>
      </c>
      <c r="J682" s="73">
        <v>100.0</v>
      </c>
      <c r="K682" s="73">
        <v>1700.0</v>
      </c>
      <c r="L682" s="58"/>
      <c r="M682" s="108"/>
      <c r="N682" s="108"/>
      <c r="O682" s="76"/>
      <c r="P682" s="76"/>
    </row>
    <row r="683" ht="20.25" hidden="1" customHeight="1" outlineLevel="1">
      <c r="A683" s="29"/>
      <c r="B683" s="123" t="s">
        <v>21</v>
      </c>
      <c r="C683" s="123">
        <v>102.0</v>
      </c>
      <c r="D683" s="19"/>
      <c r="E683" s="19"/>
      <c r="F683" s="26" t="s">
        <v>172</v>
      </c>
      <c r="G683" s="76" t="s">
        <v>17</v>
      </c>
      <c r="H683" s="74" t="s">
        <v>25</v>
      </c>
      <c r="I683" s="77">
        <v>1.0</v>
      </c>
      <c r="J683" s="77"/>
      <c r="K683" s="77"/>
      <c r="L683" s="77"/>
      <c r="M683" s="74"/>
      <c r="N683" s="74"/>
      <c r="O683" s="76"/>
      <c r="P683" s="76"/>
    </row>
    <row r="684" ht="20.25" hidden="1" customHeight="1" outlineLevel="1">
      <c r="A684" s="57"/>
      <c r="B684" s="58"/>
      <c r="C684" s="58"/>
      <c r="D684" s="11"/>
      <c r="E684" s="11"/>
      <c r="F684" s="58"/>
      <c r="G684" s="76" t="s">
        <v>17</v>
      </c>
      <c r="H684" s="74" t="s">
        <v>18</v>
      </c>
      <c r="I684" s="73">
        <v>17.0</v>
      </c>
      <c r="J684" s="73"/>
      <c r="K684" s="73"/>
      <c r="L684" s="73"/>
      <c r="M684" s="74"/>
      <c r="N684" s="74"/>
      <c r="O684" s="76"/>
      <c r="P684" s="76"/>
    </row>
    <row r="685" ht="20.25" hidden="1" customHeight="1" outlineLevel="1">
      <c r="A685" s="29"/>
      <c r="B685" s="123" t="s">
        <v>21</v>
      </c>
      <c r="C685" s="123">
        <v>114.0</v>
      </c>
      <c r="D685" s="19"/>
      <c r="E685" s="19"/>
      <c r="F685" s="26" t="s">
        <v>78</v>
      </c>
      <c r="G685" s="76" t="s">
        <v>17</v>
      </c>
      <c r="H685" s="74" t="s">
        <v>25</v>
      </c>
      <c r="I685" s="77">
        <v>1.0</v>
      </c>
      <c r="J685" s="77"/>
      <c r="K685" s="77"/>
      <c r="L685" s="77"/>
      <c r="M685" s="74"/>
      <c r="N685" s="74"/>
      <c r="O685" s="76"/>
      <c r="P685" s="76"/>
    </row>
    <row r="686" ht="20.25" hidden="1" customHeight="1" outlineLevel="1">
      <c r="A686" s="57"/>
      <c r="B686" s="58"/>
      <c r="C686" s="364">
        <v>117.0</v>
      </c>
      <c r="D686" s="11"/>
      <c r="E686" s="11"/>
      <c r="F686" s="58"/>
      <c r="G686" s="76" t="s">
        <v>17</v>
      </c>
      <c r="H686" s="74" t="s">
        <v>18</v>
      </c>
      <c r="I686" s="73">
        <v>20.0</v>
      </c>
      <c r="J686" s="73"/>
      <c r="K686" s="73"/>
      <c r="L686" s="73"/>
      <c r="M686" s="74"/>
      <c r="N686" s="74"/>
      <c r="O686" s="76"/>
      <c r="P686" s="76"/>
    </row>
    <row r="687" ht="20.25" hidden="1" customHeight="1" outlineLevel="1">
      <c r="A687" s="29"/>
      <c r="B687" s="123" t="s">
        <v>40</v>
      </c>
      <c r="C687" s="123">
        <v>111.0</v>
      </c>
      <c r="D687" s="19"/>
      <c r="E687" s="19"/>
      <c r="F687" s="26" t="s">
        <v>170</v>
      </c>
      <c r="G687" s="76" t="s">
        <v>17</v>
      </c>
      <c r="H687" s="74" t="s">
        <v>25</v>
      </c>
      <c r="I687" s="77">
        <v>0.0</v>
      </c>
      <c r="J687" s="77"/>
      <c r="K687" s="77"/>
      <c r="L687" s="77"/>
      <c r="M687" s="74"/>
      <c r="N687" s="74"/>
      <c r="O687" s="76"/>
      <c r="P687" s="76"/>
    </row>
    <row r="688" ht="20.25" hidden="1" customHeight="1" outlineLevel="1">
      <c r="A688" s="57"/>
      <c r="B688" s="58"/>
      <c r="C688" s="364">
        <v>113.0</v>
      </c>
      <c r="D688" s="11"/>
      <c r="E688" s="11"/>
      <c r="F688" s="58"/>
      <c r="G688" s="76" t="s">
        <v>17</v>
      </c>
      <c r="H688" s="74" t="s">
        <v>18</v>
      </c>
      <c r="I688" s="73">
        <v>22.0</v>
      </c>
      <c r="J688" s="73"/>
      <c r="K688" s="73"/>
      <c r="L688" s="73"/>
      <c r="M688" s="74"/>
      <c r="N688" s="74"/>
      <c r="O688" s="76"/>
      <c r="P688" s="76"/>
    </row>
    <row r="689" ht="20.25" hidden="1" customHeight="1" outlineLevel="1">
      <c r="A689" s="29"/>
      <c r="B689" s="123" t="s">
        <v>40</v>
      </c>
      <c r="C689" s="123">
        <v>112.0</v>
      </c>
      <c r="D689" s="19"/>
      <c r="E689" s="19"/>
      <c r="F689" s="26" t="s">
        <v>174</v>
      </c>
      <c r="G689" s="76" t="s">
        <v>17</v>
      </c>
      <c r="H689" s="74" t="s">
        <v>25</v>
      </c>
      <c r="I689" s="77">
        <v>1.0</v>
      </c>
      <c r="J689" s="77"/>
      <c r="K689" s="77"/>
      <c r="L689" s="77"/>
      <c r="M689" s="74"/>
      <c r="N689" s="74"/>
      <c r="O689" s="76"/>
      <c r="P689" s="76"/>
    </row>
    <row r="690" ht="20.25" hidden="1" customHeight="1" outlineLevel="1">
      <c r="A690" s="58"/>
      <c r="B690" s="58"/>
      <c r="C690" s="58"/>
      <c r="D690" s="11"/>
      <c r="E690" s="11"/>
      <c r="F690" s="58"/>
      <c r="G690" s="76" t="s">
        <v>17</v>
      </c>
      <c r="H690" s="74" t="s">
        <v>18</v>
      </c>
      <c r="I690" s="73">
        <v>18.0</v>
      </c>
      <c r="J690" s="73"/>
      <c r="K690" s="73"/>
      <c r="L690" s="73"/>
      <c r="M690" s="74"/>
      <c r="N690" s="74"/>
      <c r="O690" s="76"/>
      <c r="P690" s="76"/>
    </row>
    <row r="691" ht="20.25" hidden="1" customHeight="1" outlineLevel="1">
      <c r="A691" s="121">
        <v>46191.0</v>
      </c>
      <c r="B691" s="123" t="s">
        <v>21</v>
      </c>
      <c r="C691" s="123">
        <v>127.0</v>
      </c>
      <c r="D691" s="19"/>
      <c r="E691" s="19"/>
      <c r="F691" s="102" t="s">
        <v>42</v>
      </c>
      <c r="G691" s="76" t="s">
        <v>17</v>
      </c>
      <c r="H691" s="74" t="s">
        <v>25</v>
      </c>
      <c r="I691" s="77">
        <v>1.0</v>
      </c>
      <c r="J691" s="77">
        <v>120.0</v>
      </c>
      <c r="K691" s="77">
        <v>120.0</v>
      </c>
      <c r="L691" s="407">
        <v>25.0</v>
      </c>
      <c r="M691" s="408">
        <v>1025.0</v>
      </c>
      <c r="N691" s="408">
        <v>5165.0</v>
      </c>
      <c r="O691" s="76"/>
      <c r="P691" s="76"/>
    </row>
    <row r="692" ht="20.25" hidden="1" customHeight="1" outlineLevel="1">
      <c r="A692" s="57"/>
      <c r="B692" s="58"/>
      <c r="C692" s="58"/>
      <c r="D692" s="11"/>
      <c r="E692" s="11"/>
      <c r="F692" s="58"/>
      <c r="G692" s="76" t="s">
        <v>17</v>
      </c>
      <c r="H692" s="74" t="s">
        <v>18</v>
      </c>
      <c r="I692" s="73">
        <v>20.0</v>
      </c>
      <c r="J692" s="73">
        <v>100.0</v>
      </c>
      <c r="K692" s="73">
        <v>2000.0</v>
      </c>
      <c r="L692" s="57"/>
      <c r="M692" s="187"/>
      <c r="N692" s="187"/>
      <c r="O692" s="76"/>
      <c r="P692" s="76"/>
    </row>
    <row r="693" ht="20.25" hidden="1" customHeight="1" outlineLevel="1">
      <c r="A693" s="29"/>
      <c r="B693" s="123" t="s">
        <v>21</v>
      </c>
      <c r="C693" s="123">
        <v>137.0</v>
      </c>
      <c r="D693" s="19"/>
      <c r="E693" s="19"/>
      <c r="F693" s="26" t="s">
        <v>168</v>
      </c>
      <c r="G693" s="76" t="s">
        <v>17</v>
      </c>
      <c r="H693" s="74" t="s">
        <v>25</v>
      </c>
      <c r="I693" s="77">
        <v>1.0</v>
      </c>
      <c r="J693" s="77">
        <v>120.0</v>
      </c>
      <c r="K693" s="77">
        <v>120.0</v>
      </c>
      <c r="L693" s="29"/>
      <c r="M693" s="187"/>
      <c r="N693" s="187"/>
      <c r="O693" s="76"/>
      <c r="P693" s="76"/>
    </row>
    <row r="694" ht="20.25" hidden="1" customHeight="1" outlineLevel="1">
      <c r="A694" s="57"/>
      <c r="B694" s="58"/>
      <c r="C694" s="58"/>
      <c r="D694" s="11"/>
      <c r="E694" s="11"/>
      <c r="F694" s="58"/>
      <c r="G694" s="76" t="s">
        <v>17</v>
      </c>
      <c r="H694" s="74" t="s">
        <v>18</v>
      </c>
      <c r="I694" s="73">
        <v>19.0</v>
      </c>
      <c r="J694" s="73">
        <v>100.0</v>
      </c>
      <c r="K694" s="73">
        <v>1900.0</v>
      </c>
      <c r="L694" s="58"/>
      <c r="M694" s="108"/>
      <c r="N694" s="108"/>
      <c r="O694" s="76"/>
      <c r="P694" s="76"/>
    </row>
    <row r="695" ht="20.25" hidden="1" customHeight="1" outlineLevel="1">
      <c r="A695" s="29"/>
      <c r="B695" s="123" t="s">
        <v>21</v>
      </c>
      <c r="C695" s="123">
        <v>102.0</v>
      </c>
      <c r="D695" s="19"/>
      <c r="E695" s="19"/>
      <c r="F695" s="26" t="s">
        <v>172</v>
      </c>
      <c r="G695" s="76" t="s">
        <v>17</v>
      </c>
      <c r="H695" s="74" t="s">
        <v>25</v>
      </c>
      <c r="I695" s="77">
        <v>1.0</v>
      </c>
      <c r="J695" s="77"/>
      <c r="K695" s="77"/>
      <c r="L695" s="77"/>
      <c r="M695" s="74"/>
      <c r="N695" s="74"/>
      <c r="O695" s="76"/>
      <c r="P695" s="76"/>
    </row>
    <row r="696" ht="20.25" hidden="1" customHeight="1" outlineLevel="1">
      <c r="A696" s="57"/>
      <c r="B696" s="58"/>
      <c r="C696" s="58"/>
      <c r="D696" s="11"/>
      <c r="E696" s="11"/>
      <c r="F696" s="58"/>
      <c r="G696" s="76" t="s">
        <v>17</v>
      </c>
      <c r="H696" s="74" t="s">
        <v>18</v>
      </c>
      <c r="I696" s="73">
        <v>20.0</v>
      </c>
      <c r="J696" s="73"/>
      <c r="K696" s="73"/>
      <c r="L696" s="73"/>
      <c r="M696" s="74"/>
      <c r="N696" s="74"/>
      <c r="O696" s="76"/>
      <c r="P696" s="76"/>
    </row>
    <row r="697" ht="20.25" hidden="1" customHeight="1" outlineLevel="1">
      <c r="A697" s="29"/>
      <c r="B697" s="123" t="s">
        <v>21</v>
      </c>
      <c r="C697" s="123">
        <v>114.0</v>
      </c>
      <c r="D697" s="19"/>
      <c r="E697" s="19"/>
      <c r="F697" s="26" t="s">
        <v>78</v>
      </c>
      <c r="G697" s="76" t="s">
        <v>17</v>
      </c>
      <c r="H697" s="74" t="s">
        <v>25</v>
      </c>
      <c r="I697" s="77">
        <v>1.0</v>
      </c>
      <c r="J697" s="77"/>
      <c r="K697" s="77"/>
      <c r="L697" s="77"/>
      <c r="M697" s="74"/>
      <c r="N697" s="74"/>
      <c r="O697" s="76"/>
      <c r="P697" s="76"/>
    </row>
    <row r="698" ht="20.25" hidden="1" customHeight="1" outlineLevel="1">
      <c r="A698" s="57"/>
      <c r="B698" s="58"/>
      <c r="C698" s="364">
        <v>117.0</v>
      </c>
      <c r="D698" s="11"/>
      <c r="E698" s="11"/>
      <c r="F698" s="58"/>
      <c r="G698" s="76" t="s">
        <v>17</v>
      </c>
      <c r="H698" s="74" t="s">
        <v>18</v>
      </c>
      <c r="I698" s="73">
        <v>16.0</v>
      </c>
      <c r="J698" s="73"/>
      <c r="K698" s="73"/>
      <c r="L698" s="73"/>
      <c r="M698" s="74"/>
      <c r="N698" s="74"/>
      <c r="O698" s="76"/>
      <c r="P698" s="76"/>
    </row>
    <row r="699" ht="20.25" hidden="1" customHeight="1" outlineLevel="1">
      <c r="A699" s="29"/>
      <c r="B699" s="123" t="s">
        <v>40</v>
      </c>
      <c r="C699" s="123">
        <v>111.0</v>
      </c>
      <c r="D699" s="19"/>
      <c r="E699" s="19"/>
      <c r="F699" s="26" t="s">
        <v>170</v>
      </c>
      <c r="G699" s="76" t="s">
        <v>17</v>
      </c>
      <c r="H699" s="74" t="s">
        <v>25</v>
      </c>
      <c r="I699" s="77">
        <v>0.0</v>
      </c>
      <c r="J699" s="77"/>
      <c r="K699" s="77"/>
      <c r="L699" s="77"/>
      <c r="M699" s="74"/>
      <c r="N699" s="74"/>
      <c r="O699" s="76"/>
      <c r="P699" s="76"/>
    </row>
    <row r="700" ht="20.25" hidden="1" customHeight="1" outlineLevel="1">
      <c r="A700" s="57"/>
      <c r="B700" s="58"/>
      <c r="C700" s="364">
        <v>113.0</v>
      </c>
      <c r="D700" s="11"/>
      <c r="E700" s="11"/>
      <c r="F700" s="58"/>
      <c r="G700" s="76" t="s">
        <v>17</v>
      </c>
      <c r="H700" s="74" t="s">
        <v>18</v>
      </c>
      <c r="I700" s="73">
        <v>22.0</v>
      </c>
      <c r="J700" s="73"/>
      <c r="K700" s="73"/>
      <c r="L700" s="73"/>
      <c r="M700" s="74"/>
      <c r="N700" s="74"/>
      <c r="O700" s="76"/>
      <c r="P700" s="76"/>
    </row>
    <row r="701" ht="20.25" hidden="1" customHeight="1" outlineLevel="1">
      <c r="A701" s="29"/>
      <c r="B701" s="123" t="s">
        <v>40</v>
      </c>
      <c r="C701" s="123">
        <v>112.0</v>
      </c>
      <c r="D701" s="19"/>
      <c r="E701" s="19"/>
      <c r="F701" s="26" t="s">
        <v>174</v>
      </c>
      <c r="G701" s="76" t="s">
        <v>17</v>
      </c>
      <c r="H701" s="74" t="s">
        <v>25</v>
      </c>
      <c r="I701" s="77">
        <v>1.0</v>
      </c>
      <c r="J701" s="77"/>
      <c r="K701" s="77"/>
      <c r="L701" s="77"/>
      <c r="M701" s="74"/>
      <c r="N701" s="74"/>
      <c r="O701" s="76"/>
      <c r="P701" s="76"/>
    </row>
    <row r="702" ht="20.25" hidden="1" customHeight="1" outlineLevel="1">
      <c r="A702" s="58"/>
      <c r="B702" s="58"/>
      <c r="C702" s="58"/>
      <c r="D702" s="11"/>
      <c r="E702" s="11"/>
      <c r="F702" s="58"/>
      <c r="G702" s="76" t="s">
        <v>17</v>
      </c>
      <c r="H702" s="74" t="s">
        <v>18</v>
      </c>
      <c r="I702" s="73">
        <v>16.0</v>
      </c>
      <c r="J702" s="73"/>
      <c r="K702" s="73"/>
      <c r="L702" s="73"/>
      <c r="M702" s="74"/>
      <c r="N702" s="74"/>
      <c r="O702" s="76"/>
      <c r="P702" s="76"/>
    </row>
    <row r="703" ht="20.25" hidden="1" customHeight="1" outlineLevel="1">
      <c r="A703" s="121">
        <v>46192.0</v>
      </c>
      <c r="B703" s="123" t="s">
        <v>21</v>
      </c>
      <c r="C703" s="123">
        <v>131.0</v>
      </c>
      <c r="D703" s="19"/>
      <c r="E703" s="19"/>
      <c r="F703" s="102" t="s">
        <v>42</v>
      </c>
      <c r="G703" s="76" t="s">
        <v>17</v>
      </c>
      <c r="H703" s="74" t="s">
        <v>25</v>
      </c>
      <c r="I703" s="77">
        <v>1.0</v>
      </c>
      <c r="J703" s="77">
        <v>120.0</v>
      </c>
      <c r="K703" s="77">
        <v>120.0</v>
      </c>
      <c r="L703" s="407">
        <v>25.0</v>
      </c>
      <c r="M703" s="408">
        <v>950.0</v>
      </c>
      <c r="N703" s="408">
        <v>4790.0</v>
      </c>
      <c r="O703" s="76"/>
      <c r="P703" s="76"/>
    </row>
    <row r="704" ht="20.25" hidden="1" customHeight="1" outlineLevel="1">
      <c r="A704" s="57"/>
      <c r="B704" s="58"/>
      <c r="C704" s="58"/>
      <c r="D704" s="11"/>
      <c r="E704" s="11"/>
      <c r="F704" s="58"/>
      <c r="G704" s="76" t="s">
        <v>17</v>
      </c>
      <c r="H704" s="74" t="s">
        <v>18</v>
      </c>
      <c r="I704" s="73">
        <v>20.0</v>
      </c>
      <c r="J704" s="73">
        <v>100.0</v>
      </c>
      <c r="K704" s="73">
        <v>2000.0</v>
      </c>
      <c r="L704" s="57"/>
      <c r="M704" s="187"/>
      <c r="N704" s="187"/>
      <c r="O704" s="76"/>
      <c r="P704" s="76"/>
    </row>
    <row r="705" ht="20.25" hidden="1" customHeight="1" outlineLevel="1">
      <c r="A705" s="29"/>
      <c r="B705" s="123" t="s">
        <v>21</v>
      </c>
      <c r="C705" s="123">
        <v>138.0</v>
      </c>
      <c r="D705" s="19"/>
      <c r="E705" s="19"/>
      <c r="F705" s="26" t="s">
        <v>168</v>
      </c>
      <c r="G705" s="76" t="s">
        <v>17</v>
      </c>
      <c r="H705" s="74" t="s">
        <v>25</v>
      </c>
      <c r="I705" s="77">
        <v>1.0</v>
      </c>
      <c r="J705" s="77">
        <v>120.0</v>
      </c>
      <c r="K705" s="77">
        <v>120.0</v>
      </c>
      <c r="L705" s="29"/>
      <c r="M705" s="187"/>
      <c r="N705" s="187"/>
      <c r="O705" s="76"/>
      <c r="P705" s="76"/>
    </row>
    <row r="706" ht="20.25" hidden="1" customHeight="1" outlineLevel="1">
      <c r="A706" s="57"/>
      <c r="B706" s="58"/>
      <c r="C706" s="58"/>
      <c r="D706" s="11"/>
      <c r="E706" s="11"/>
      <c r="F706" s="58"/>
      <c r="G706" s="76" t="s">
        <v>17</v>
      </c>
      <c r="H706" s="74" t="s">
        <v>18</v>
      </c>
      <c r="I706" s="73">
        <v>16.0</v>
      </c>
      <c r="J706" s="73">
        <v>100.0</v>
      </c>
      <c r="K706" s="73">
        <v>1600.0</v>
      </c>
      <c r="L706" s="58"/>
      <c r="M706" s="108"/>
      <c r="N706" s="108"/>
      <c r="O706" s="76"/>
      <c r="P706" s="76"/>
    </row>
    <row r="707" ht="20.25" hidden="1" customHeight="1" outlineLevel="1">
      <c r="A707" s="29"/>
      <c r="B707" s="123" t="s">
        <v>21</v>
      </c>
      <c r="C707" s="123">
        <v>102.0</v>
      </c>
      <c r="D707" s="19"/>
      <c r="E707" s="19"/>
      <c r="F707" s="26" t="s">
        <v>172</v>
      </c>
      <c r="G707" s="76" t="s">
        <v>17</v>
      </c>
      <c r="H707" s="74" t="s">
        <v>25</v>
      </c>
      <c r="I707" s="77">
        <v>1.0</v>
      </c>
      <c r="J707" s="77"/>
      <c r="K707" s="77"/>
      <c r="L707" s="77"/>
      <c r="M707" s="74"/>
      <c r="N707" s="74"/>
      <c r="O707" s="76"/>
      <c r="P707" s="76"/>
    </row>
    <row r="708" ht="20.25" hidden="1" customHeight="1" outlineLevel="1">
      <c r="A708" s="57"/>
      <c r="B708" s="58"/>
      <c r="C708" s="58"/>
      <c r="D708" s="11"/>
      <c r="E708" s="11"/>
      <c r="F708" s="58"/>
      <c r="G708" s="76" t="s">
        <v>17</v>
      </c>
      <c r="H708" s="74" t="s">
        <v>18</v>
      </c>
      <c r="I708" s="73">
        <v>19.0</v>
      </c>
      <c r="J708" s="73"/>
      <c r="K708" s="73"/>
      <c r="L708" s="73"/>
      <c r="M708" s="74"/>
      <c r="N708" s="74"/>
      <c r="O708" s="76"/>
      <c r="P708" s="76"/>
    </row>
    <row r="709" ht="20.25" hidden="1" customHeight="1" outlineLevel="1">
      <c r="A709" s="29"/>
      <c r="B709" s="123" t="s">
        <v>21</v>
      </c>
      <c r="C709" s="123">
        <v>115.0</v>
      </c>
      <c r="D709" s="19"/>
      <c r="E709" s="19"/>
      <c r="F709" s="26" t="s">
        <v>78</v>
      </c>
      <c r="G709" s="76" t="s">
        <v>17</v>
      </c>
      <c r="H709" s="74" t="s">
        <v>25</v>
      </c>
      <c r="I709" s="77">
        <v>1.0</v>
      </c>
      <c r="J709" s="77"/>
      <c r="K709" s="77"/>
      <c r="L709" s="77"/>
      <c r="M709" s="74"/>
      <c r="N709" s="74"/>
      <c r="O709" s="76"/>
      <c r="P709" s="76"/>
    </row>
    <row r="710" ht="20.25" hidden="1" customHeight="1" outlineLevel="1">
      <c r="A710" s="57"/>
      <c r="B710" s="58"/>
      <c r="C710" s="364">
        <v>117.0</v>
      </c>
      <c r="D710" s="11"/>
      <c r="E710" s="11"/>
      <c r="F710" s="58"/>
      <c r="G710" s="76" t="s">
        <v>17</v>
      </c>
      <c r="H710" s="74" t="s">
        <v>18</v>
      </c>
      <c r="I710" s="73">
        <v>14.0</v>
      </c>
      <c r="J710" s="73"/>
      <c r="K710" s="73"/>
      <c r="L710" s="73"/>
      <c r="M710" s="74"/>
      <c r="N710" s="74"/>
      <c r="O710" s="76"/>
      <c r="P710" s="76"/>
    </row>
    <row r="711" ht="20.25" hidden="1" customHeight="1" outlineLevel="1">
      <c r="A711" s="29"/>
      <c r="B711" s="123" t="s">
        <v>40</v>
      </c>
      <c r="C711" s="123">
        <v>111.0</v>
      </c>
      <c r="D711" s="19"/>
      <c r="E711" s="19"/>
      <c r="F711" s="26" t="s">
        <v>170</v>
      </c>
      <c r="G711" s="76" t="s">
        <v>17</v>
      </c>
      <c r="H711" s="74" t="s">
        <v>25</v>
      </c>
      <c r="I711" s="77">
        <v>1.0</v>
      </c>
      <c r="J711" s="77"/>
      <c r="K711" s="77"/>
      <c r="L711" s="77"/>
      <c r="M711" s="74"/>
      <c r="N711" s="74"/>
      <c r="O711" s="76"/>
      <c r="P711" s="76"/>
    </row>
    <row r="712" ht="20.25" hidden="1" customHeight="1" outlineLevel="1">
      <c r="A712" s="57"/>
      <c r="B712" s="58"/>
      <c r="C712" s="58"/>
      <c r="D712" s="11"/>
      <c r="E712" s="11"/>
      <c r="F712" s="58"/>
      <c r="G712" s="76" t="s">
        <v>17</v>
      </c>
      <c r="H712" s="74" t="s">
        <v>18</v>
      </c>
      <c r="I712" s="73">
        <v>17.0</v>
      </c>
      <c r="J712" s="73"/>
      <c r="K712" s="73"/>
      <c r="L712" s="73"/>
      <c r="M712" s="74"/>
      <c r="N712" s="74"/>
      <c r="O712" s="76"/>
      <c r="P712" s="76"/>
    </row>
    <row r="713" ht="20.25" hidden="1" customHeight="1" outlineLevel="1">
      <c r="A713" s="29"/>
      <c r="B713" s="123" t="s">
        <v>40</v>
      </c>
      <c r="C713" s="123">
        <v>113.0</v>
      </c>
      <c r="D713" s="19"/>
      <c r="E713" s="19"/>
      <c r="F713" s="26" t="s">
        <v>174</v>
      </c>
      <c r="G713" s="76" t="s">
        <v>17</v>
      </c>
      <c r="H713" s="74" t="s">
        <v>25</v>
      </c>
      <c r="I713" s="77">
        <v>1.0</v>
      </c>
      <c r="J713" s="77"/>
      <c r="K713" s="77"/>
      <c r="L713" s="77"/>
      <c r="M713" s="74"/>
      <c r="N713" s="74"/>
      <c r="O713" s="76"/>
      <c r="P713" s="76"/>
    </row>
    <row r="714" ht="20.25" hidden="1" customHeight="1" outlineLevel="1">
      <c r="A714" s="58"/>
      <c r="B714" s="58"/>
      <c r="C714" s="58"/>
      <c r="D714" s="11"/>
      <c r="E714" s="11"/>
      <c r="F714" s="58"/>
      <c r="G714" s="76" t="s">
        <v>17</v>
      </c>
      <c r="H714" s="74" t="s">
        <v>18</v>
      </c>
      <c r="I714" s="73">
        <v>19.0</v>
      </c>
      <c r="J714" s="73"/>
      <c r="K714" s="73"/>
      <c r="L714" s="73"/>
      <c r="M714" s="74"/>
      <c r="N714" s="74"/>
      <c r="O714" s="76"/>
      <c r="P714" s="76"/>
    </row>
    <row r="715" ht="20.25" hidden="1" customHeight="1" outlineLevel="1">
      <c r="A715" s="121">
        <v>46193.0</v>
      </c>
      <c r="B715" s="123" t="s">
        <v>21</v>
      </c>
      <c r="C715" s="123">
        <v>131.0</v>
      </c>
      <c r="D715" s="19"/>
      <c r="E715" s="19"/>
      <c r="F715" s="102" t="s">
        <v>42</v>
      </c>
      <c r="G715" s="76" t="s">
        <v>17</v>
      </c>
      <c r="H715" s="74" t="s">
        <v>25</v>
      </c>
      <c r="I715" s="77">
        <v>1.0</v>
      </c>
      <c r="J715" s="77">
        <v>120.0</v>
      </c>
      <c r="K715" s="77">
        <v>120.0</v>
      </c>
      <c r="L715" s="407">
        <v>25.0</v>
      </c>
      <c r="M715" s="408">
        <v>1000.0</v>
      </c>
      <c r="N715" s="408">
        <v>5040.0</v>
      </c>
      <c r="O715" s="76"/>
      <c r="P715" s="76"/>
    </row>
    <row r="716" ht="20.25" hidden="1" customHeight="1" outlineLevel="1">
      <c r="A716" s="57"/>
      <c r="B716" s="58"/>
      <c r="C716" s="58"/>
      <c r="D716" s="11"/>
      <c r="E716" s="11"/>
      <c r="F716" s="58"/>
      <c r="G716" s="76" t="s">
        <v>17</v>
      </c>
      <c r="H716" s="74" t="s">
        <v>18</v>
      </c>
      <c r="I716" s="73">
        <v>20.0</v>
      </c>
      <c r="J716" s="73">
        <v>200.0</v>
      </c>
      <c r="K716" s="73">
        <v>2000.0</v>
      </c>
      <c r="L716" s="57"/>
      <c r="M716" s="187"/>
      <c r="N716" s="187"/>
      <c r="O716" s="76"/>
      <c r="P716" s="76"/>
    </row>
    <row r="717" ht="20.25" hidden="1" customHeight="1" outlineLevel="1">
      <c r="A717" s="29"/>
      <c r="B717" s="123" t="s">
        <v>21</v>
      </c>
      <c r="C717" s="123">
        <v>138.0</v>
      </c>
      <c r="D717" s="19"/>
      <c r="E717" s="19"/>
      <c r="F717" s="26" t="s">
        <v>168</v>
      </c>
      <c r="G717" s="76" t="s">
        <v>17</v>
      </c>
      <c r="H717" s="74" t="s">
        <v>25</v>
      </c>
      <c r="I717" s="77">
        <v>1.0</v>
      </c>
      <c r="J717" s="77">
        <v>120.0</v>
      </c>
      <c r="K717" s="77">
        <v>120.0</v>
      </c>
      <c r="L717" s="29"/>
      <c r="M717" s="187"/>
      <c r="N717" s="187"/>
      <c r="O717" s="76"/>
      <c r="P717" s="76"/>
    </row>
    <row r="718" ht="20.25" hidden="1" customHeight="1" outlineLevel="1">
      <c r="A718" s="57"/>
      <c r="B718" s="58"/>
      <c r="C718" s="58"/>
      <c r="D718" s="11"/>
      <c r="E718" s="11"/>
      <c r="F718" s="58"/>
      <c r="G718" s="76" t="s">
        <v>17</v>
      </c>
      <c r="H718" s="74" t="s">
        <v>18</v>
      </c>
      <c r="I718" s="73">
        <v>18.0</v>
      </c>
      <c r="J718" s="73">
        <v>100.0</v>
      </c>
      <c r="K718" s="73">
        <v>1800.0</v>
      </c>
      <c r="L718" s="58"/>
      <c r="M718" s="108"/>
      <c r="N718" s="108"/>
      <c r="O718" s="76"/>
      <c r="P718" s="76"/>
    </row>
    <row r="719" ht="20.25" hidden="1" customHeight="1" outlineLevel="1">
      <c r="A719" s="29"/>
      <c r="B719" s="123" t="s">
        <v>21</v>
      </c>
      <c r="C719" s="123">
        <v>133.0</v>
      </c>
      <c r="D719" s="19"/>
      <c r="E719" s="19"/>
      <c r="F719" s="26" t="s">
        <v>172</v>
      </c>
      <c r="G719" s="76" t="s">
        <v>17</v>
      </c>
      <c r="H719" s="74" t="s">
        <v>25</v>
      </c>
      <c r="I719" s="77">
        <v>1.0</v>
      </c>
      <c r="J719" s="77"/>
      <c r="K719" s="77"/>
      <c r="L719" s="77"/>
      <c r="M719" s="74"/>
      <c r="N719" s="74"/>
      <c r="O719" s="76"/>
      <c r="P719" s="76"/>
    </row>
    <row r="720" ht="20.25" hidden="1" customHeight="1" outlineLevel="1">
      <c r="A720" s="57"/>
      <c r="B720" s="58"/>
      <c r="C720" s="58"/>
      <c r="D720" s="11"/>
      <c r="E720" s="11"/>
      <c r="F720" s="58"/>
      <c r="G720" s="76" t="s">
        <v>17</v>
      </c>
      <c r="H720" s="74" t="s">
        <v>18</v>
      </c>
      <c r="I720" s="73">
        <v>20.0</v>
      </c>
      <c r="J720" s="73"/>
      <c r="K720" s="73"/>
      <c r="L720" s="73"/>
      <c r="M720" s="74"/>
      <c r="N720" s="74"/>
      <c r="O720" s="76"/>
      <c r="P720" s="76"/>
    </row>
    <row r="721" ht="20.25" hidden="1" customHeight="1" outlineLevel="1">
      <c r="A721" s="29"/>
      <c r="B721" s="123" t="s">
        <v>21</v>
      </c>
      <c r="C721" s="123">
        <v>123.0</v>
      </c>
      <c r="D721" s="19"/>
      <c r="E721" s="19"/>
      <c r="F721" s="26" t="s">
        <v>78</v>
      </c>
      <c r="G721" s="76" t="s">
        <v>17</v>
      </c>
      <c r="H721" s="74" t="s">
        <v>25</v>
      </c>
      <c r="I721" s="77">
        <v>1.0</v>
      </c>
      <c r="J721" s="77"/>
      <c r="K721" s="77"/>
      <c r="L721" s="77"/>
      <c r="M721" s="74"/>
      <c r="N721" s="74"/>
      <c r="O721" s="76"/>
      <c r="P721" s="76"/>
    </row>
    <row r="722" ht="20.25" hidden="1" customHeight="1" outlineLevel="1">
      <c r="A722" s="57"/>
      <c r="B722" s="58"/>
      <c r="C722" s="58"/>
      <c r="D722" s="11"/>
      <c r="E722" s="11"/>
      <c r="F722" s="58"/>
      <c r="G722" s="76" t="s">
        <v>17</v>
      </c>
      <c r="H722" s="74" t="s">
        <v>18</v>
      </c>
      <c r="I722" s="73">
        <v>15.0</v>
      </c>
      <c r="J722" s="73"/>
      <c r="K722" s="73"/>
      <c r="L722" s="73"/>
      <c r="M722" s="74"/>
      <c r="N722" s="74"/>
      <c r="O722" s="76"/>
      <c r="P722" s="76"/>
    </row>
    <row r="723" ht="20.25" hidden="1" customHeight="1" outlineLevel="1">
      <c r="A723" s="29"/>
      <c r="B723" s="123" t="s">
        <v>40</v>
      </c>
      <c r="C723" s="123">
        <v>111.0</v>
      </c>
      <c r="D723" s="19"/>
      <c r="E723" s="19"/>
      <c r="F723" s="26" t="s">
        <v>170</v>
      </c>
      <c r="G723" s="76" t="s">
        <v>17</v>
      </c>
      <c r="H723" s="74" t="s">
        <v>25</v>
      </c>
      <c r="I723" s="77">
        <v>0.0</v>
      </c>
      <c r="J723" s="77"/>
      <c r="K723" s="77"/>
      <c r="L723" s="77"/>
      <c r="M723" s="74"/>
      <c r="N723" s="74"/>
      <c r="O723" s="76"/>
      <c r="P723" s="76"/>
    </row>
    <row r="724" ht="20.25" hidden="1" customHeight="1" outlineLevel="1">
      <c r="A724" s="57"/>
      <c r="B724" s="58"/>
      <c r="C724" s="58"/>
      <c r="D724" s="11"/>
      <c r="E724" s="11"/>
      <c r="F724" s="58"/>
      <c r="G724" s="76" t="s">
        <v>17</v>
      </c>
      <c r="H724" s="74" t="s">
        <v>18</v>
      </c>
      <c r="I724" s="73">
        <v>14.0</v>
      </c>
      <c r="J724" s="73"/>
      <c r="K724" s="73"/>
      <c r="L724" s="73"/>
      <c r="M724" s="74"/>
      <c r="N724" s="74"/>
      <c r="O724" s="76"/>
      <c r="P724" s="76"/>
    </row>
    <row r="725" ht="20.25" hidden="1" customHeight="1" outlineLevel="1">
      <c r="A725" s="29"/>
      <c r="B725" s="123" t="s">
        <v>40</v>
      </c>
      <c r="C725" s="123">
        <v>113.0</v>
      </c>
      <c r="D725" s="19"/>
      <c r="E725" s="19"/>
      <c r="F725" s="26" t="s">
        <v>174</v>
      </c>
      <c r="G725" s="76" t="s">
        <v>17</v>
      </c>
      <c r="H725" s="74" t="s">
        <v>25</v>
      </c>
      <c r="I725" s="77">
        <v>1.0</v>
      </c>
      <c r="J725" s="77"/>
      <c r="K725" s="77"/>
      <c r="L725" s="77"/>
      <c r="M725" s="74"/>
      <c r="N725" s="74"/>
      <c r="O725" s="76"/>
      <c r="P725" s="76"/>
    </row>
    <row r="726" ht="20.25" hidden="1" customHeight="1" outlineLevel="1">
      <c r="A726" s="58"/>
      <c r="B726" s="58"/>
      <c r="C726" s="58"/>
      <c r="D726" s="11"/>
      <c r="E726" s="11"/>
      <c r="F726" s="58"/>
      <c r="G726" s="76" t="s">
        <v>17</v>
      </c>
      <c r="H726" s="74" t="s">
        <v>18</v>
      </c>
      <c r="I726" s="73">
        <v>15.0</v>
      </c>
      <c r="J726" s="73"/>
      <c r="K726" s="73"/>
      <c r="L726" s="73"/>
      <c r="M726" s="74"/>
      <c r="N726" s="74"/>
      <c r="O726" s="76"/>
      <c r="P726" s="76"/>
    </row>
    <row r="727" ht="20.25" hidden="1" customHeight="1" outlineLevel="1">
      <c r="A727" s="121">
        <v>46194.0</v>
      </c>
      <c r="B727" s="123" t="s">
        <v>40</v>
      </c>
      <c r="C727" s="123">
        <v>131.0</v>
      </c>
      <c r="D727" s="19"/>
      <c r="E727" s="19"/>
      <c r="F727" s="102" t="s">
        <v>42</v>
      </c>
      <c r="G727" s="76" t="s">
        <v>17</v>
      </c>
      <c r="H727" s="74" t="s">
        <v>25</v>
      </c>
      <c r="I727" s="77">
        <v>1.0</v>
      </c>
      <c r="J727" s="77">
        <v>120.0</v>
      </c>
      <c r="K727" s="77">
        <v>120.0</v>
      </c>
      <c r="L727" s="407">
        <v>25.0</v>
      </c>
      <c r="M727" s="408">
        <v>925.0</v>
      </c>
      <c r="N727" s="408">
        <v>4665.0</v>
      </c>
      <c r="O727" s="76"/>
      <c r="P727" s="76"/>
    </row>
    <row r="728" ht="20.25" hidden="1" customHeight="1" outlineLevel="1">
      <c r="A728" s="57"/>
      <c r="B728" s="58"/>
      <c r="C728" s="58"/>
      <c r="D728" s="11"/>
      <c r="E728" s="11"/>
      <c r="F728" s="58"/>
      <c r="G728" s="76" t="s">
        <v>17</v>
      </c>
      <c r="H728" s="74" t="s">
        <v>18</v>
      </c>
      <c r="I728" s="73">
        <v>20.0</v>
      </c>
      <c r="J728" s="73">
        <v>100.0</v>
      </c>
      <c r="K728" s="73">
        <v>2000.0</v>
      </c>
      <c r="L728" s="57"/>
      <c r="M728" s="187"/>
      <c r="N728" s="187"/>
      <c r="O728" s="76"/>
      <c r="P728" s="76"/>
    </row>
    <row r="729" ht="20.25" hidden="1" customHeight="1" outlineLevel="1">
      <c r="A729" s="29"/>
      <c r="B729" s="123" t="s">
        <v>40</v>
      </c>
      <c r="C729" s="123">
        <v>138.0</v>
      </c>
      <c r="D729" s="19"/>
      <c r="E729" s="19"/>
      <c r="F729" s="26" t="s">
        <v>168</v>
      </c>
      <c r="G729" s="76" t="s">
        <v>17</v>
      </c>
      <c r="H729" s="74" t="s">
        <v>25</v>
      </c>
      <c r="I729" s="77">
        <v>1.0</v>
      </c>
      <c r="J729" s="77">
        <v>120.0</v>
      </c>
      <c r="K729" s="77">
        <v>120.0</v>
      </c>
      <c r="L729" s="29"/>
      <c r="M729" s="187"/>
      <c r="N729" s="187"/>
      <c r="O729" s="76"/>
      <c r="P729" s="76"/>
    </row>
    <row r="730" ht="20.25" hidden="1" customHeight="1" outlineLevel="1">
      <c r="A730" s="57"/>
      <c r="B730" s="58"/>
      <c r="C730" s="58"/>
      <c r="D730" s="11"/>
      <c r="E730" s="11"/>
      <c r="F730" s="58"/>
      <c r="G730" s="76" t="s">
        <v>17</v>
      </c>
      <c r="H730" s="74" t="s">
        <v>18</v>
      </c>
      <c r="I730" s="73">
        <v>15.0</v>
      </c>
      <c r="J730" s="73">
        <v>100.0</v>
      </c>
      <c r="K730" s="73">
        <v>1500.0</v>
      </c>
      <c r="L730" s="58"/>
      <c r="M730" s="108"/>
      <c r="N730" s="108"/>
      <c r="O730" s="76"/>
      <c r="P730" s="76"/>
    </row>
    <row r="731" ht="20.25" hidden="1" customHeight="1" outlineLevel="1">
      <c r="A731" s="29"/>
      <c r="B731" s="123" t="s">
        <v>40</v>
      </c>
      <c r="C731" s="123">
        <v>138.0</v>
      </c>
      <c r="D731" s="19"/>
      <c r="E731" s="19"/>
      <c r="F731" s="26" t="s">
        <v>172</v>
      </c>
      <c r="G731" s="76" t="s">
        <v>17</v>
      </c>
      <c r="H731" s="74" t="s">
        <v>25</v>
      </c>
      <c r="I731" s="77">
        <v>1.0</v>
      </c>
      <c r="J731" s="77"/>
      <c r="K731" s="77"/>
      <c r="L731" s="77"/>
      <c r="M731" s="74"/>
      <c r="N731" s="74"/>
      <c r="O731" s="76"/>
      <c r="P731" s="76"/>
    </row>
    <row r="732" ht="20.25" hidden="1" customHeight="1" outlineLevel="1">
      <c r="A732" s="57"/>
      <c r="B732" s="58"/>
      <c r="C732" s="58"/>
      <c r="D732" s="11"/>
      <c r="E732" s="11"/>
      <c r="F732" s="58"/>
      <c r="G732" s="76" t="s">
        <v>17</v>
      </c>
      <c r="H732" s="74" t="s">
        <v>18</v>
      </c>
      <c r="I732" s="73">
        <v>19.0</v>
      </c>
      <c r="J732" s="73"/>
      <c r="K732" s="73"/>
      <c r="L732" s="73"/>
      <c r="M732" s="74"/>
      <c r="N732" s="74"/>
      <c r="O732" s="76"/>
      <c r="P732" s="76"/>
    </row>
    <row r="733" ht="20.25" hidden="1" customHeight="1" outlineLevel="1">
      <c r="A733" s="29"/>
      <c r="B733" s="123" t="s">
        <v>40</v>
      </c>
      <c r="C733" s="123">
        <v>123.0</v>
      </c>
      <c r="D733" s="19"/>
      <c r="E733" s="19"/>
      <c r="F733" s="26" t="s">
        <v>78</v>
      </c>
      <c r="G733" s="76" t="s">
        <v>17</v>
      </c>
      <c r="H733" s="74" t="s">
        <v>25</v>
      </c>
      <c r="I733" s="77">
        <v>0.0</v>
      </c>
      <c r="J733" s="77"/>
      <c r="K733" s="77"/>
      <c r="L733" s="77"/>
      <c r="M733" s="74"/>
      <c r="N733" s="74"/>
      <c r="O733" s="76"/>
      <c r="P733" s="76"/>
    </row>
    <row r="734" ht="20.25" hidden="1" customHeight="1" outlineLevel="1">
      <c r="A734" s="57"/>
      <c r="B734" s="58"/>
      <c r="C734" s="58"/>
      <c r="D734" s="11"/>
      <c r="E734" s="11"/>
      <c r="F734" s="58"/>
      <c r="G734" s="76" t="s">
        <v>17</v>
      </c>
      <c r="H734" s="74" t="s">
        <v>18</v>
      </c>
      <c r="I734" s="73">
        <v>18.0</v>
      </c>
      <c r="J734" s="73"/>
      <c r="K734" s="73"/>
      <c r="L734" s="73"/>
      <c r="M734" s="74"/>
      <c r="N734" s="74"/>
      <c r="O734" s="76"/>
      <c r="P734" s="76"/>
    </row>
    <row r="735" ht="20.25" hidden="1" customHeight="1" outlineLevel="1">
      <c r="A735" s="29"/>
      <c r="B735" s="123" t="s">
        <v>40</v>
      </c>
      <c r="C735" s="123">
        <v>111.0</v>
      </c>
      <c r="D735" s="19"/>
      <c r="E735" s="19"/>
      <c r="F735" s="26" t="s">
        <v>170</v>
      </c>
      <c r="G735" s="76" t="s">
        <v>17</v>
      </c>
      <c r="H735" s="74" t="s">
        <v>25</v>
      </c>
      <c r="I735" s="77">
        <v>0.0</v>
      </c>
      <c r="J735" s="77"/>
      <c r="K735" s="77"/>
      <c r="L735" s="77"/>
      <c r="M735" s="74"/>
      <c r="N735" s="74"/>
      <c r="O735" s="76"/>
      <c r="P735" s="76"/>
    </row>
    <row r="736" ht="20.25" hidden="1" customHeight="1" outlineLevel="1">
      <c r="A736" s="57"/>
      <c r="B736" s="58"/>
      <c r="C736" s="58"/>
      <c r="D736" s="11"/>
      <c r="E736" s="11"/>
      <c r="F736" s="58"/>
      <c r="G736" s="76" t="s">
        <v>17</v>
      </c>
      <c r="H736" s="74" t="s">
        <v>18</v>
      </c>
      <c r="I736" s="73">
        <v>20.0</v>
      </c>
      <c r="J736" s="73"/>
      <c r="K736" s="73"/>
      <c r="L736" s="73"/>
      <c r="M736" s="74"/>
      <c r="N736" s="74"/>
      <c r="O736" s="76"/>
      <c r="P736" s="76"/>
    </row>
    <row r="737" ht="20.25" hidden="1" customHeight="1" outlineLevel="1">
      <c r="A737" s="29"/>
      <c r="B737" s="123" t="s">
        <v>40</v>
      </c>
      <c r="C737" s="123">
        <v>113.0</v>
      </c>
      <c r="D737" s="19"/>
      <c r="E737" s="19"/>
      <c r="F737" s="26" t="s">
        <v>174</v>
      </c>
      <c r="G737" s="76" t="s">
        <v>17</v>
      </c>
      <c r="H737" s="74" t="s">
        <v>25</v>
      </c>
      <c r="I737" s="77">
        <v>1.0</v>
      </c>
      <c r="J737" s="77"/>
      <c r="K737" s="77"/>
      <c r="L737" s="77"/>
      <c r="M737" s="74"/>
      <c r="N737" s="74"/>
      <c r="O737" s="76"/>
      <c r="P737" s="76"/>
    </row>
    <row r="738" ht="20.25" hidden="1" customHeight="1" outlineLevel="1">
      <c r="A738" s="58"/>
      <c r="B738" s="58"/>
      <c r="C738" s="58"/>
      <c r="D738" s="11"/>
      <c r="E738" s="11"/>
      <c r="F738" s="58"/>
      <c r="G738" s="76" t="s">
        <v>17</v>
      </c>
      <c r="H738" s="74" t="s">
        <v>18</v>
      </c>
      <c r="I738" s="73">
        <v>18.0</v>
      </c>
      <c r="J738" s="73"/>
      <c r="K738" s="73"/>
      <c r="L738" s="73"/>
      <c r="M738" s="74"/>
      <c r="N738" s="74"/>
      <c r="O738" s="76"/>
      <c r="P738" s="76"/>
    </row>
    <row r="739" ht="20.25" hidden="1" customHeight="1" outlineLevel="1">
      <c r="A739" s="121">
        <v>46195.0</v>
      </c>
      <c r="B739" s="123" t="s">
        <v>21</v>
      </c>
      <c r="C739" s="123">
        <v>135.0</v>
      </c>
      <c r="D739" s="19"/>
      <c r="E739" s="19"/>
      <c r="F739" s="102" t="s">
        <v>42</v>
      </c>
      <c r="G739" s="76" t="s">
        <v>17</v>
      </c>
      <c r="H739" s="74" t="s">
        <v>25</v>
      </c>
      <c r="I739" s="77">
        <v>0.0</v>
      </c>
      <c r="J739" s="77">
        <v>0.0</v>
      </c>
      <c r="K739" s="77">
        <v>0.0</v>
      </c>
      <c r="L739" s="407">
        <v>25.0</v>
      </c>
      <c r="M739" s="408">
        <v>850.0</v>
      </c>
      <c r="N739" s="408">
        <v>4270.0</v>
      </c>
      <c r="O739" s="76"/>
      <c r="P739" s="76"/>
    </row>
    <row r="740" ht="20.25" hidden="1" customHeight="1" outlineLevel="1">
      <c r="A740" s="57"/>
      <c r="B740" s="58"/>
      <c r="C740" s="58"/>
      <c r="D740" s="11"/>
      <c r="E740" s="11"/>
      <c r="F740" s="58"/>
      <c r="G740" s="76" t="s">
        <v>17</v>
      </c>
      <c r="H740" s="74" t="s">
        <v>18</v>
      </c>
      <c r="I740" s="73">
        <v>20.0</v>
      </c>
      <c r="J740" s="73">
        <v>100.0</v>
      </c>
      <c r="K740" s="73">
        <v>2000.0</v>
      </c>
      <c r="L740" s="57"/>
      <c r="M740" s="187"/>
      <c r="N740" s="187"/>
      <c r="O740" s="76"/>
      <c r="P740" s="76"/>
    </row>
    <row r="741" ht="20.25" hidden="1" customHeight="1" outlineLevel="1">
      <c r="A741" s="29"/>
      <c r="B741" s="123" t="s">
        <v>21</v>
      </c>
      <c r="C741" s="123">
        <v>137.0</v>
      </c>
      <c r="D741" s="19"/>
      <c r="E741" s="19"/>
      <c r="F741" s="26" t="s">
        <v>168</v>
      </c>
      <c r="G741" s="76" t="s">
        <v>17</v>
      </c>
      <c r="H741" s="74" t="s">
        <v>25</v>
      </c>
      <c r="I741" s="77">
        <v>1.0</v>
      </c>
      <c r="J741" s="77">
        <v>120.0</v>
      </c>
      <c r="K741" s="77">
        <v>120.0</v>
      </c>
      <c r="L741" s="29"/>
      <c r="M741" s="187"/>
      <c r="N741" s="187"/>
      <c r="O741" s="76"/>
      <c r="P741" s="76"/>
    </row>
    <row r="742" ht="20.25" hidden="1" customHeight="1" outlineLevel="1">
      <c r="A742" s="57"/>
      <c r="B742" s="58"/>
      <c r="C742" s="58"/>
      <c r="D742" s="11"/>
      <c r="E742" s="11"/>
      <c r="F742" s="58"/>
      <c r="G742" s="76" t="s">
        <v>17</v>
      </c>
      <c r="H742" s="74" t="s">
        <v>18</v>
      </c>
      <c r="I742" s="73">
        <v>13.0</v>
      </c>
      <c r="J742" s="73">
        <v>100.0</v>
      </c>
      <c r="K742" s="73">
        <v>1300.0</v>
      </c>
      <c r="L742" s="58"/>
      <c r="M742" s="108"/>
      <c r="N742" s="108"/>
      <c r="O742" s="76"/>
      <c r="P742" s="76"/>
    </row>
    <row r="743" ht="20.25" hidden="1" customHeight="1" outlineLevel="1">
      <c r="A743" s="29"/>
      <c r="B743" s="123" t="s">
        <v>21</v>
      </c>
      <c r="C743" s="123">
        <v>108.0</v>
      </c>
      <c r="D743" s="19"/>
      <c r="E743" s="19"/>
      <c r="F743" s="26" t="s">
        <v>172</v>
      </c>
      <c r="G743" s="76" t="s">
        <v>17</v>
      </c>
      <c r="H743" s="74" t="s">
        <v>25</v>
      </c>
      <c r="I743" s="77">
        <v>1.0</v>
      </c>
      <c r="J743" s="77"/>
      <c r="K743" s="77"/>
      <c r="L743" s="77"/>
      <c r="M743" s="74"/>
      <c r="N743" s="74"/>
      <c r="O743" s="76"/>
      <c r="P743" s="76"/>
    </row>
    <row r="744" ht="20.25" hidden="1" customHeight="1" outlineLevel="1">
      <c r="A744" s="57"/>
      <c r="B744" s="58"/>
      <c r="C744" s="58"/>
      <c r="D744" s="11"/>
      <c r="E744" s="11"/>
      <c r="F744" s="58"/>
      <c r="G744" s="76" t="s">
        <v>17</v>
      </c>
      <c r="H744" s="74" t="s">
        <v>18</v>
      </c>
      <c r="I744" s="73">
        <v>21.0</v>
      </c>
      <c r="J744" s="73"/>
      <c r="K744" s="73"/>
      <c r="L744" s="73"/>
      <c r="M744" s="74"/>
      <c r="N744" s="74"/>
      <c r="O744" s="76"/>
      <c r="P744" s="76"/>
    </row>
    <row r="745" ht="20.25" hidden="1" customHeight="1" outlineLevel="1">
      <c r="A745" s="29"/>
      <c r="B745" s="123" t="s">
        <v>40</v>
      </c>
      <c r="C745" s="123">
        <v>123.0</v>
      </c>
      <c r="D745" s="19"/>
      <c r="E745" s="19"/>
      <c r="F745" s="26" t="s">
        <v>78</v>
      </c>
      <c r="G745" s="76" t="s">
        <v>17</v>
      </c>
      <c r="H745" s="74" t="s">
        <v>25</v>
      </c>
      <c r="I745" s="77">
        <v>1.0</v>
      </c>
      <c r="J745" s="77"/>
      <c r="K745" s="77"/>
      <c r="L745" s="77"/>
      <c r="M745" s="74"/>
      <c r="N745" s="74"/>
      <c r="O745" s="76"/>
      <c r="P745" s="76"/>
    </row>
    <row r="746" ht="20.25" hidden="1" customHeight="1" outlineLevel="1">
      <c r="A746" s="57"/>
      <c r="B746" s="58"/>
      <c r="C746" s="58"/>
      <c r="D746" s="11"/>
      <c r="E746" s="11"/>
      <c r="F746" s="58"/>
      <c r="G746" s="76" t="s">
        <v>17</v>
      </c>
      <c r="H746" s="74" t="s">
        <v>18</v>
      </c>
      <c r="I746" s="73">
        <v>19.0</v>
      </c>
      <c r="J746" s="73"/>
      <c r="K746" s="73"/>
      <c r="L746" s="73"/>
      <c r="M746" s="74"/>
      <c r="N746" s="74"/>
      <c r="O746" s="76"/>
      <c r="P746" s="76"/>
    </row>
    <row r="747" ht="20.25" hidden="1" customHeight="1" outlineLevel="1">
      <c r="A747" s="29"/>
      <c r="B747" s="123" t="s">
        <v>40</v>
      </c>
      <c r="C747" s="123">
        <v>111.0</v>
      </c>
      <c r="D747" s="19"/>
      <c r="E747" s="19"/>
      <c r="F747" s="26" t="s">
        <v>170</v>
      </c>
      <c r="G747" s="76" t="s">
        <v>17</v>
      </c>
      <c r="H747" s="74" t="s">
        <v>25</v>
      </c>
      <c r="I747" s="77">
        <v>0.0</v>
      </c>
      <c r="J747" s="77"/>
      <c r="K747" s="77"/>
      <c r="L747" s="77"/>
      <c r="M747" s="74"/>
      <c r="N747" s="74"/>
      <c r="O747" s="76"/>
      <c r="P747" s="76"/>
    </row>
    <row r="748" ht="20.25" hidden="1" customHeight="1" outlineLevel="1">
      <c r="A748" s="57"/>
      <c r="B748" s="58"/>
      <c r="C748" s="58"/>
      <c r="D748" s="11"/>
      <c r="E748" s="11"/>
      <c r="F748" s="58"/>
      <c r="G748" s="76" t="s">
        <v>17</v>
      </c>
      <c r="H748" s="74" t="s">
        <v>18</v>
      </c>
      <c r="I748" s="73">
        <v>18.0</v>
      </c>
      <c r="J748" s="73"/>
      <c r="K748" s="73"/>
      <c r="L748" s="73"/>
      <c r="M748" s="74"/>
      <c r="N748" s="74"/>
      <c r="O748" s="76"/>
      <c r="P748" s="76"/>
    </row>
    <row r="749" ht="20.25" hidden="1" customHeight="1" outlineLevel="1">
      <c r="A749" s="29"/>
      <c r="B749" s="123" t="s">
        <v>40</v>
      </c>
      <c r="C749" s="123">
        <v>113.0</v>
      </c>
      <c r="D749" s="19"/>
      <c r="E749" s="19"/>
      <c r="F749" s="26" t="s">
        <v>174</v>
      </c>
      <c r="G749" s="76" t="s">
        <v>17</v>
      </c>
      <c r="H749" s="74" t="s">
        <v>25</v>
      </c>
      <c r="I749" s="77">
        <v>1.0</v>
      </c>
      <c r="J749" s="77"/>
      <c r="K749" s="77"/>
      <c r="L749" s="77"/>
      <c r="M749" s="74"/>
      <c r="N749" s="74"/>
      <c r="O749" s="76"/>
      <c r="P749" s="76"/>
    </row>
    <row r="750" ht="20.25" hidden="1" customHeight="1" outlineLevel="1">
      <c r="A750" s="58"/>
      <c r="B750" s="58"/>
      <c r="C750" s="58"/>
      <c r="D750" s="11"/>
      <c r="E750" s="11"/>
      <c r="F750" s="58"/>
      <c r="G750" s="76" t="s">
        <v>17</v>
      </c>
      <c r="H750" s="74" t="s">
        <v>18</v>
      </c>
      <c r="I750" s="73">
        <v>14.0</v>
      </c>
      <c r="J750" s="73"/>
      <c r="K750" s="73"/>
      <c r="L750" s="73"/>
      <c r="M750" s="74"/>
      <c r="N750" s="74"/>
      <c r="O750" s="76"/>
      <c r="P750" s="76"/>
    </row>
    <row r="751" ht="20.25" hidden="1" customHeight="1" outlineLevel="1">
      <c r="A751" s="121">
        <v>46196.0</v>
      </c>
      <c r="B751" s="123" t="s">
        <v>21</v>
      </c>
      <c r="C751" s="123">
        <v>132.0</v>
      </c>
      <c r="D751" s="19"/>
      <c r="E751" s="19"/>
      <c r="F751" s="102" t="s">
        <v>42</v>
      </c>
      <c r="G751" s="76" t="s">
        <v>17</v>
      </c>
      <c r="H751" s="74" t="s">
        <v>25</v>
      </c>
      <c r="I751" s="77">
        <v>1.0</v>
      </c>
      <c r="J751" s="77">
        <v>120.0</v>
      </c>
      <c r="K751" s="77">
        <v>120.0</v>
      </c>
      <c r="L751" s="407">
        <v>25.0</v>
      </c>
      <c r="M751" s="408">
        <v>925.0</v>
      </c>
      <c r="N751" s="408">
        <v>4665.0</v>
      </c>
      <c r="O751" s="76"/>
      <c r="P751" s="76"/>
    </row>
    <row r="752" ht="20.25" hidden="1" customHeight="1" outlineLevel="1">
      <c r="A752" s="57"/>
      <c r="B752" s="58"/>
      <c r="C752" s="364">
        <v>135.0</v>
      </c>
      <c r="D752" s="11"/>
      <c r="E752" s="11"/>
      <c r="F752" s="58"/>
      <c r="G752" s="76" t="s">
        <v>17</v>
      </c>
      <c r="H752" s="74" t="s">
        <v>18</v>
      </c>
      <c r="I752" s="73">
        <v>19.0</v>
      </c>
      <c r="J752" s="73">
        <v>100.0</v>
      </c>
      <c r="K752" s="73">
        <v>1900.0</v>
      </c>
      <c r="L752" s="57"/>
      <c r="M752" s="187"/>
      <c r="N752" s="187"/>
      <c r="O752" s="76"/>
      <c r="P752" s="76"/>
    </row>
    <row r="753" ht="20.25" hidden="1" customHeight="1" outlineLevel="1">
      <c r="A753" s="29"/>
      <c r="B753" s="123" t="s">
        <v>21</v>
      </c>
      <c r="C753" s="123">
        <v>137.0</v>
      </c>
      <c r="D753" s="19"/>
      <c r="E753" s="19"/>
      <c r="F753" s="26" t="s">
        <v>168</v>
      </c>
      <c r="G753" s="76" t="s">
        <v>17</v>
      </c>
      <c r="H753" s="74" t="s">
        <v>25</v>
      </c>
      <c r="I753" s="77">
        <v>1.0</v>
      </c>
      <c r="J753" s="77">
        <v>120.0</v>
      </c>
      <c r="K753" s="77">
        <v>120.0</v>
      </c>
      <c r="L753" s="29"/>
      <c r="M753" s="187"/>
      <c r="N753" s="187"/>
      <c r="O753" s="76"/>
      <c r="P753" s="76"/>
    </row>
    <row r="754" ht="20.25" hidden="1" customHeight="1" outlineLevel="1">
      <c r="A754" s="57"/>
      <c r="B754" s="58"/>
      <c r="C754" s="58"/>
      <c r="D754" s="11"/>
      <c r="E754" s="11"/>
      <c r="F754" s="58"/>
      <c r="G754" s="76" t="s">
        <v>17</v>
      </c>
      <c r="H754" s="74" t="s">
        <v>18</v>
      </c>
      <c r="I754" s="73">
        <v>16.0</v>
      </c>
      <c r="J754" s="73">
        <v>100.0</v>
      </c>
      <c r="K754" s="73">
        <v>1600.0</v>
      </c>
      <c r="L754" s="58"/>
      <c r="M754" s="108"/>
      <c r="N754" s="108"/>
      <c r="O754" s="76"/>
      <c r="P754" s="76"/>
    </row>
    <row r="755" ht="20.25" hidden="1" customHeight="1" outlineLevel="1">
      <c r="A755" s="29"/>
      <c r="B755" s="123" t="s">
        <v>21</v>
      </c>
      <c r="C755" s="123">
        <v>106.0</v>
      </c>
      <c r="D755" s="19"/>
      <c r="E755" s="19"/>
      <c r="F755" s="26" t="s">
        <v>172</v>
      </c>
      <c r="G755" s="76" t="s">
        <v>17</v>
      </c>
      <c r="H755" s="74" t="s">
        <v>25</v>
      </c>
      <c r="I755" s="77">
        <v>1.0</v>
      </c>
      <c r="J755" s="77"/>
      <c r="K755" s="77"/>
      <c r="L755" s="77"/>
      <c r="M755" s="74"/>
      <c r="N755" s="74"/>
      <c r="O755" s="76"/>
      <c r="P755" s="76"/>
    </row>
    <row r="756" ht="20.25" hidden="1" customHeight="1" outlineLevel="1">
      <c r="A756" s="57"/>
      <c r="B756" s="58"/>
      <c r="C756" s="58"/>
      <c r="D756" s="11"/>
      <c r="E756" s="11"/>
      <c r="F756" s="58"/>
      <c r="G756" s="76" t="s">
        <v>17</v>
      </c>
      <c r="H756" s="74" t="s">
        <v>18</v>
      </c>
      <c r="I756" s="73">
        <v>18.0</v>
      </c>
      <c r="J756" s="73"/>
      <c r="K756" s="73"/>
      <c r="L756" s="73"/>
      <c r="M756" s="74"/>
      <c r="N756" s="74"/>
      <c r="O756" s="76"/>
      <c r="P756" s="76"/>
    </row>
    <row r="757" ht="20.25" hidden="1" customHeight="1" outlineLevel="1">
      <c r="A757" s="29"/>
      <c r="B757" s="123" t="s">
        <v>40</v>
      </c>
      <c r="C757" s="123">
        <v>124.0</v>
      </c>
      <c r="D757" s="19"/>
      <c r="E757" s="19"/>
      <c r="F757" s="26" t="s">
        <v>78</v>
      </c>
      <c r="G757" s="76" t="s">
        <v>17</v>
      </c>
      <c r="H757" s="74" t="s">
        <v>25</v>
      </c>
      <c r="I757" s="77">
        <v>1.0</v>
      </c>
      <c r="J757" s="77"/>
      <c r="K757" s="77"/>
      <c r="L757" s="77"/>
      <c r="M757" s="74"/>
      <c r="N757" s="74"/>
      <c r="O757" s="76"/>
      <c r="P757" s="76"/>
    </row>
    <row r="758" ht="20.25" hidden="1" customHeight="1" outlineLevel="1">
      <c r="A758" s="57"/>
      <c r="B758" s="58"/>
      <c r="C758" s="58"/>
      <c r="D758" s="11"/>
      <c r="E758" s="11"/>
      <c r="F758" s="58"/>
      <c r="G758" s="76" t="s">
        <v>17</v>
      </c>
      <c r="H758" s="74" t="s">
        <v>18</v>
      </c>
      <c r="I758" s="73">
        <v>15.0</v>
      </c>
      <c r="J758" s="73"/>
      <c r="K758" s="73"/>
      <c r="L758" s="73"/>
      <c r="M758" s="74"/>
      <c r="N758" s="74"/>
      <c r="O758" s="76"/>
      <c r="P758" s="76"/>
    </row>
    <row r="759" ht="20.25" hidden="1" customHeight="1" outlineLevel="1">
      <c r="A759" s="29"/>
      <c r="B759" s="123" t="s">
        <v>40</v>
      </c>
      <c r="C759" s="123">
        <v>110.0</v>
      </c>
      <c r="D759" s="19"/>
      <c r="E759" s="19"/>
      <c r="F759" s="26" t="s">
        <v>170</v>
      </c>
      <c r="G759" s="76" t="s">
        <v>17</v>
      </c>
      <c r="H759" s="74" t="s">
        <v>25</v>
      </c>
      <c r="I759" s="77">
        <v>0.0</v>
      </c>
      <c r="J759" s="77"/>
      <c r="K759" s="77"/>
      <c r="L759" s="77"/>
      <c r="M759" s="74"/>
      <c r="N759" s="74"/>
      <c r="O759" s="76"/>
      <c r="P759" s="76"/>
    </row>
    <row r="760" ht="20.25" hidden="1" customHeight="1" outlineLevel="1">
      <c r="A760" s="57"/>
      <c r="B760" s="58"/>
      <c r="C760" s="58"/>
      <c r="D760" s="11"/>
      <c r="E760" s="11"/>
      <c r="F760" s="58"/>
      <c r="G760" s="76" t="s">
        <v>17</v>
      </c>
      <c r="H760" s="74" t="s">
        <v>18</v>
      </c>
      <c r="I760" s="73">
        <v>22.0</v>
      </c>
      <c r="J760" s="73"/>
      <c r="K760" s="73"/>
      <c r="L760" s="73"/>
      <c r="M760" s="74"/>
      <c r="N760" s="74"/>
      <c r="O760" s="76"/>
      <c r="P760" s="76"/>
    </row>
    <row r="761" ht="20.25" hidden="1" customHeight="1" outlineLevel="1">
      <c r="A761" s="29"/>
      <c r="B761" s="123" t="s">
        <v>40</v>
      </c>
      <c r="C761" s="123">
        <v>113.0</v>
      </c>
      <c r="D761" s="19"/>
      <c r="E761" s="19"/>
      <c r="F761" s="26" t="s">
        <v>174</v>
      </c>
      <c r="G761" s="76" t="s">
        <v>17</v>
      </c>
      <c r="H761" s="74" t="s">
        <v>25</v>
      </c>
      <c r="I761" s="77">
        <v>1.0</v>
      </c>
      <c r="J761" s="77"/>
      <c r="K761" s="77"/>
      <c r="L761" s="77"/>
      <c r="M761" s="74"/>
      <c r="N761" s="74"/>
      <c r="O761" s="76"/>
      <c r="P761" s="76"/>
    </row>
    <row r="762" ht="20.25" hidden="1" customHeight="1" outlineLevel="1">
      <c r="A762" s="58"/>
      <c r="B762" s="58"/>
      <c r="C762" s="58"/>
      <c r="D762" s="11"/>
      <c r="E762" s="11"/>
      <c r="F762" s="58"/>
      <c r="G762" s="76" t="s">
        <v>17</v>
      </c>
      <c r="H762" s="74" t="s">
        <v>18</v>
      </c>
      <c r="I762" s="73">
        <v>14.0</v>
      </c>
      <c r="J762" s="73"/>
      <c r="K762" s="73"/>
      <c r="L762" s="73"/>
      <c r="M762" s="74"/>
      <c r="N762" s="74"/>
      <c r="O762" s="76"/>
      <c r="P762" s="76"/>
    </row>
    <row r="763" ht="20.25" hidden="1" customHeight="1" outlineLevel="1">
      <c r="A763" s="121">
        <v>46197.0</v>
      </c>
      <c r="B763" s="123" t="s">
        <v>21</v>
      </c>
      <c r="C763" s="123">
        <v>132.0</v>
      </c>
      <c r="D763" s="19"/>
      <c r="E763" s="19"/>
      <c r="F763" s="102" t="s">
        <v>42</v>
      </c>
      <c r="G763" s="76" t="s">
        <v>17</v>
      </c>
      <c r="H763" s="74" t="s">
        <v>25</v>
      </c>
      <c r="I763" s="77">
        <v>1.0</v>
      </c>
      <c r="J763" s="77">
        <v>120.0</v>
      </c>
      <c r="K763" s="77">
        <v>120.0</v>
      </c>
      <c r="L763" s="407">
        <v>25.0</v>
      </c>
      <c r="M763" s="408">
        <v>900.0</v>
      </c>
      <c r="N763" s="408">
        <v>4540.0</v>
      </c>
      <c r="O763" s="76"/>
      <c r="P763" s="76"/>
    </row>
    <row r="764" ht="20.25" hidden="1" customHeight="1" outlineLevel="1">
      <c r="A764" s="57"/>
      <c r="B764" s="58"/>
      <c r="C764" s="58"/>
      <c r="D764" s="11"/>
      <c r="E764" s="11"/>
      <c r="F764" s="58"/>
      <c r="G764" s="76" t="s">
        <v>17</v>
      </c>
      <c r="H764" s="74" t="s">
        <v>18</v>
      </c>
      <c r="I764" s="73">
        <v>18.0</v>
      </c>
      <c r="J764" s="73">
        <v>100.0</v>
      </c>
      <c r="K764" s="73">
        <v>1800.0</v>
      </c>
      <c r="L764" s="57"/>
      <c r="M764" s="187"/>
      <c r="N764" s="187"/>
      <c r="O764" s="76"/>
      <c r="P764" s="76"/>
    </row>
    <row r="765" ht="20.25" hidden="1" customHeight="1" outlineLevel="1">
      <c r="A765" s="29"/>
      <c r="B765" s="123" t="s">
        <v>21</v>
      </c>
      <c r="C765" s="123">
        <v>138.0</v>
      </c>
      <c r="D765" s="19"/>
      <c r="E765" s="19"/>
      <c r="F765" s="26" t="s">
        <v>168</v>
      </c>
      <c r="G765" s="76" t="s">
        <v>17</v>
      </c>
      <c r="H765" s="74" t="s">
        <v>25</v>
      </c>
      <c r="I765" s="77">
        <v>1.0</v>
      </c>
      <c r="J765" s="77">
        <v>120.0</v>
      </c>
      <c r="K765" s="77">
        <v>120.0</v>
      </c>
      <c r="L765" s="29"/>
      <c r="M765" s="187"/>
      <c r="N765" s="187"/>
      <c r="O765" s="76"/>
      <c r="P765" s="76"/>
    </row>
    <row r="766" ht="20.25" hidden="1" customHeight="1" outlineLevel="1">
      <c r="A766" s="57"/>
      <c r="B766" s="58"/>
      <c r="C766" s="58"/>
      <c r="D766" s="11"/>
      <c r="E766" s="11"/>
      <c r="F766" s="58"/>
      <c r="G766" s="76" t="s">
        <v>17</v>
      </c>
      <c r="H766" s="74" t="s">
        <v>18</v>
      </c>
      <c r="I766" s="73">
        <v>16.0</v>
      </c>
      <c r="J766" s="73">
        <v>100.0</v>
      </c>
      <c r="K766" s="73">
        <v>1600.0</v>
      </c>
      <c r="L766" s="58"/>
      <c r="M766" s="108"/>
      <c r="N766" s="108"/>
      <c r="O766" s="76"/>
      <c r="P766" s="76"/>
    </row>
    <row r="767" ht="20.25" hidden="1" customHeight="1" outlineLevel="1">
      <c r="A767" s="29"/>
      <c r="B767" s="123" t="s">
        <v>21</v>
      </c>
      <c r="C767" s="123">
        <v>113.0</v>
      </c>
      <c r="D767" s="19"/>
      <c r="E767" s="19"/>
      <c r="F767" s="26" t="s">
        <v>172</v>
      </c>
      <c r="G767" s="76" t="s">
        <v>17</v>
      </c>
      <c r="H767" s="74" t="s">
        <v>25</v>
      </c>
      <c r="I767" s="77">
        <v>1.0</v>
      </c>
      <c r="J767" s="77"/>
      <c r="K767" s="77"/>
      <c r="L767" s="77"/>
      <c r="M767" s="74"/>
      <c r="N767" s="74"/>
      <c r="O767" s="76"/>
      <c r="P767" s="76"/>
    </row>
    <row r="768" ht="20.25" hidden="1" customHeight="1" outlineLevel="1">
      <c r="A768" s="57"/>
      <c r="B768" s="58"/>
      <c r="C768" s="58"/>
      <c r="D768" s="11"/>
      <c r="E768" s="11"/>
      <c r="F768" s="58"/>
      <c r="G768" s="76" t="s">
        <v>17</v>
      </c>
      <c r="H768" s="74" t="s">
        <v>18</v>
      </c>
      <c r="I768" s="73">
        <v>20.0</v>
      </c>
      <c r="J768" s="73"/>
      <c r="K768" s="73"/>
      <c r="L768" s="73"/>
      <c r="M768" s="74"/>
      <c r="N768" s="74"/>
      <c r="O768" s="76"/>
      <c r="P768" s="76"/>
    </row>
    <row r="769" ht="20.25" hidden="1" customHeight="1" outlineLevel="1">
      <c r="A769" s="29"/>
      <c r="B769" s="123" t="s">
        <v>40</v>
      </c>
      <c r="C769" s="123">
        <v>127.0</v>
      </c>
      <c r="D769" s="19"/>
      <c r="E769" s="19"/>
      <c r="F769" s="26" t="s">
        <v>78</v>
      </c>
      <c r="G769" s="76" t="s">
        <v>17</v>
      </c>
      <c r="H769" s="74" t="s">
        <v>25</v>
      </c>
      <c r="I769" s="77">
        <v>1.0</v>
      </c>
      <c r="J769" s="77"/>
      <c r="K769" s="77"/>
      <c r="L769" s="77"/>
      <c r="M769" s="74"/>
      <c r="N769" s="74"/>
      <c r="O769" s="76"/>
      <c r="P769" s="76"/>
    </row>
    <row r="770" ht="20.25" hidden="1" customHeight="1" outlineLevel="1">
      <c r="A770" s="57"/>
      <c r="B770" s="58"/>
      <c r="C770" s="58"/>
      <c r="D770" s="11"/>
      <c r="E770" s="11"/>
      <c r="F770" s="58"/>
      <c r="G770" s="76" t="s">
        <v>17</v>
      </c>
      <c r="H770" s="74" t="s">
        <v>18</v>
      </c>
      <c r="I770" s="73">
        <v>12.0</v>
      </c>
      <c r="J770" s="73"/>
      <c r="K770" s="73"/>
      <c r="L770" s="73"/>
      <c r="M770" s="74"/>
      <c r="N770" s="74"/>
      <c r="O770" s="76"/>
      <c r="P770" s="76"/>
    </row>
    <row r="771" ht="20.25" hidden="1" customHeight="1" outlineLevel="1">
      <c r="A771" s="29"/>
      <c r="B771" s="123" t="s">
        <v>40</v>
      </c>
      <c r="C771" s="123">
        <v>136.0</v>
      </c>
      <c r="D771" s="19"/>
      <c r="E771" s="19"/>
      <c r="F771" s="26" t="s">
        <v>170</v>
      </c>
      <c r="G771" s="76" t="s">
        <v>17</v>
      </c>
      <c r="H771" s="74" t="s">
        <v>25</v>
      </c>
      <c r="I771" s="77">
        <v>0.0</v>
      </c>
      <c r="J771" s="77"/>
      <c r="K771" s="77"/>
      <c r="L771" s="77"/>
      <c r="M771" s="74"/>
      <c r="N771" s="74"/>
      <c r="O771" s="76"/>
      <c r="P771" s="76"/>
    </row>
    <row r="772" ht="20.25" hidden="1" customHeight="1" outlineLevel="1">
      <c r="A772" s="57"/>
      <c r="B772" s="58"/>
      <c r="C772" s="58"/>
      <c r="D772" s="11"/>
      <c r="E772" s="11"/>
      <c r="F772" s="58"/>
      <c r="G772" s="76" t="s">
        <v>17</v>
      </c>
      <c r="H772" s="74" t="s">
        <v>18</v>
      </c>
      <c r="I772" s="73">
        <v>22.0</v>
      </c>
      <c r="J772" s="73"/>
      <c r="K772" s="73"/>
      <c r="L772" s="73"/>
      <c r="M772" s="74"/>
      <c r="N772" s="74"/>
      <c r="O772" s="76"/>
      <c r="P772" s="76"/>
    </row>
    <row r="773" ht="20.25" hidden="1" customHeight="1" outlineLevel="1">
      <c r="A773" s="29"/>
      <c r="B773" s="123" t="s">
        <v>40</v>
      </c>
      <c r="C773" s="123">
        <v>112.0</v>
      </c>
      <c r="D773" s="19"/>
      <c r="E773" s="19"/>
      <c r="F773" s="26" t="s">
        <v>174</v>
      </c>
      <c r="G773" s="76" t="s">
        <v>17</v>
      </c>
      <c r="H773" s="74" t="s">
        <v>25</v>
      </c>
      <c r="I773" s="77">
        <v>1.0</v>
      </c>
      <c r="J773" s="77"/>
      <c r="K773" s="77"/>
      <c r="L773" s="77"/>
      <c r="M773" s="74"/>
      <c r="N773" s="74"/>
      <c r="O773" s="76"/>
      <c r="P773" s="76"/>
    </row>
    <row r="774" ht="20.25" hidden="1" customHeight="1" outlineLevel="1">
      <c r="A774" s="58"/>
      <c r="B774" s="58"/>
      <c r="C774" s="58"/>
      <c r="D774" s="11"/>
      <c r="E774" s="11"/>
      <c r="F774" s="58"/>
      <c r="G774" s="76" t="s">
        <v>17</v>
      </c>
      <c r="H774" s="74" t="s">
        <v>18</v>
      </c>
      <c r="I774" s="73">
        <v>20.0</v>
      </c>
      <c r="J774" s="73"/>
      <c r="K774" s="73"/>
      <c r="L774" s="73"/>
      <c r="M774" s="74"/>
      <c r="N774" s="74"/>
      <c r="O774" s="76"/>
      <c r="P774" s="76"/>
    </row>
    <row r="775" ht="20.25" hidden="1" customHeight="1" outlineLevel="1">
      <c r="A775" s="121">
        <v>46198.0</v>
      </c>
      <c r="B775" s="123" t="s">
        <v>21</v>
      </c>
      <c r="C775" s="123">
        <v>132.0</v>
      </c>
      <c r="D775" s="19"/>
      <c r="E775" s="19"/>
      <c r="F775" s="102" t="s">
        <v>42</v>
      </c>
      <c r="G775" s="76" t="s">
        <v>17</v>
      </c>
      <c r="H775" s="74" t="s">
        <v>25</v>
      </c>
      <c r="I775" s="77">
        <v>1.0</v>
      </c>
      <c r="J775" s="77">
        <v>120.0</v>
      </c>
      <c r="K775" s="77">
        <v>120.0</v>
      </c>
      <c r="L775" s="407">
        <v>25.0</v>
      </c>
      <c r="M775" s="408">
        <v>950.0</v>
      </c>
      <c r="N775" s="408">
        <v>4770.0</v>
      </c>
      <c r="O775" s="76"/>
      <c r="P775" s="76"/>
    </row>
    <row r="776" ht="20.25" hidden="1" customHeight="1" outlineLevel="1">
      <c r="A776" s="57"/>
      <c r="B776" s="58"/>
      <c r="C776" s="58"/>
      <c r="D776" s="11"/>
      <c r="E776" s="11"/>
      <c r="F776" s="58"/>
      <c r="G776" s="76" t="s">
        <v>17</v>
      </c>
      <c r="H776" s="74" t="s">
        <v>18</v>
      </c>
      <c r="I776" s="73">
        <v>20.0</v>
      </c>
      <c r="J776" s="73">
        <v>100.0</v>
      </c>
      <c r="K776" s="73">
        <v>2000.0</v>
      </c>
      <c r="L776" s="57"/>
      <c r="M776" s="187"/>
      <c r="N776" s="187"/>
      <c r="O776" s="76"/>
      <c r="P776" s="76"/>
    </row>
    <row r="777" ht="20.25" hidden="1" customHeight="1" outlineLevel="1">
      <c r="A777" s="29"/>
      <c r="B777" s="123" t="s">
        <v>21</v>
      </c>
      <c r="C777" s="123">
        <v>125.0</v>
      </c>
      <c r="D777" s="19"/>
      <c r="E777" s="19"/>
      <c r="F777" s="26" t="s">
        <v>168</v>
      </c>
      <c r="G777" s="76" t="s">
        <v>17</v>
      </c>
      <c r="H777" s="74" t="s">
        <v>25</v>
      </c>
      <c r="I777" s="77">
        <v>0.0</v>
      </c>
      <c r="J777" s="77">
        <v>0.0</v>
      </c>
      <c r="K777" s="77">
        <v>0.0</v>
      </c>
      <c r="L777" s="29"/>
      <c r="M777" s="187"/>
      <c r="N777" s="187"/>
      <c r="O777" s="76"/>
      <c r="P777" s="76"/>
    </row>
    <row r="778" ht="20.25" hidden="1" customHeight="1" outlineLevel="1">
      <c r="A778" s="57"/>
      <c r="B778" s="58"/>
      <c r="C778" s="58"/>
      <c r="D778" s="11"/>
      <c r="E778" s="11"/>
      <c r="F778" s="58"/>
      <c r="G778" s="76" t="s">
        <v>17</v>
      </c>
      <c r="H778" s="74" t="s">
        <v>18</v>
      </c>
      <c r="I778" s="73">
        <v>17.0</v>
      </c>
      <c r="J778" s="73">
        <v>100.0</v>
      </c>
      <c r="K778" s="73">
        <v>1700.0</v>
      </c>
      <c r="L778" s="58"/>
      <c r="M778" s="108"/>
      <c r="N778" s="108"/>
      <c r="O778" s="76"/>
      <c r="P778" s="76"/>
    </row>
    <row r="779" ht="20.25" hidden="1" customHeight="1" outlineLevel="1">
      <c r="A779" s="29"/>
      <c r="B779" s="123" t="s">
        <v>21</v>
      </c>
      <c r="C779" s="123">
        <v>112.0</v>
      </c>
      <c r="D779" s="19"/>
      <c r="E779" s="19"/>
      <c r="F779" s="26" t="s">
        <v>172</v>
      </c>
      <c r="G779" s="76" t="s">
        <v>17</v>
      </c>
      <c r="H779" s="74" t="s">
        <v>25</v>
      </c>
      <c r="I779" s="77">
        <v>1.0</v>
      </c>
      <c r="J779" s="77"/>
      <c r="K779" s="77"/>
      <c r="L779" s="77"/>
      <c r="M779" s="74"/>
      <c r="N779" s="74"/>
      <c r="O779" s="76"/>
      <c r="P779" s="76"/>
    </row>
    <row r="780" ht="20.25" hidden="1" customHeight="1" outlineLevel="1">
      <c r="A780" s="57"/>
      <c r="B780" s="58"/>
      <c r="C780" s="364">
        <v>102.0</v>
      </c>
      <c r="D780" s="11"/>
      <c r="E780" s="11"/>
      <c r="F780" s="58"/>
      <c r="G780" s="76" t="s">
        <v>17</v>
      </c>
      <c r="H780" s="74" t="s">
        <v>18</v>
      </c>
      <c r="I780" s="73">
        <v>18.0</v>
      </c>
      <c r="J780" s="73"/>
      <c r="K780" s="73"/>
      <c r="L780" s="73"/>
      <c r="M780" s="74"/>
      <c r="N780" s="74"/>
      <c r="O780" s="76"/>
      <c r="P780" s="76"/>
    </row>
    <row r="781" ht="20.25" hidden="1" customHeight="1" outlineLevel="1">
      <c r="A781" s="29"/>
      <c r="B781" s="123" t="s">
        <v>40</v>
      </c>
      <c r="C781" s="123">
        <v>128.0</v>
      </c>
      <c r="D781" s="19"/>
      <c r="E781" s="19"/>
      <c r="F781" s="26" t="s">
        <v>78</v>
      </c>
      <c r="G781" s="76" t="s">
        <v>17</v>
      </c>
      <c r="H781" s="74" t="s">
        <v>25</v>
      </c>
      <c r="I781" s="77">
        <v>1.0</v>
      </c>
      <c r="J781" s="77"/>
      <c r="K781" s="77"/>
      <c r="L781" s="77"/>
      <c r="M781" s="74"/>
      <c r="N781" s="74"/>
      <c r="O781" s="76"/>
      <c r="P781" s="76"/>
    </row>
    <row r="782" ht="20.25" hidden="1" customHeight="1" outlineLevel="1">
      <c r="A782" s="57"/>
      <c r="B782" s="58"/>
      <c r="C782" s="58"/>
      <c r="D782" s="11"/>
      <c r="E782" s="11"/>
      <c r="F782" s="58"/>
      <c r="G782" s="76" t="s">
        <v>17</v>
      </c>
      <c r="H782" s="74" t="s">
        <v>18</v>
      </c>
      <c r="I782" s="73">
        <v>16.0</v>
      </c>
      <c r="J782" s="73"/>
      <c r="K782" s="73"/>
      <c r="L782" s="73"/>
      <c r="M782" s="74"/>
      <c r="N782" s="74"/>
      <c r="O782" s="76"/>
      <c r="P782" s="76"/>
    </row>
    <row r="783" ht="20.25" hidden="1" customHeight="1" outlineLevel="1">
      <c r="A783" s="29"/>
      <c r="B783" s="123" t="s">
        <v>40</v>
      </c>
      <c r="C783" s="123">
        <v>136.0</v>
      </c>
      <c r="D783" s="19"/>
      <c r="E783" s="19"/>
      <c r="F783" s="26" t="s">
        <v>170</v>
      </c>
      <c r="G783" s="76" t="s">
        <v>17</v>
      </c>
      <c r="H783" s="74" t="s">
        <v>25</v>
      </c>
      <c r="I783" s="77">
        <v>0.0</v>
      </c>
      <c r="J783" s="77"/>
      <c r="K783" s="77"/>
      <c r="L783" s="77"/>
      <c r="M783" s="74"/>
      <c r="N783" s="74"/>
      <c r="O783" s="76"/>
      <c r="P783" s="76"/>
    </row>
    <row r="784" ht="20.25" hidden="1" customHeight="1" outlineLevel="1">
      <c r="A784" s="57"/>
      <c r="B784" s="58"/>
      <c r="C784" s="58"/>
      <c r="D784" s="11"/>
      <c r="E784" s="11"/>
      <c r="F784" s="58"/>
      <c r="G784" s="76" t="s">
        <v>17</v>
      </c>
      <c r="H784" s="74" t="s">
        <v>18</v>
      </c>
      <c r="I784" s="73">
        <v>18.0</v>
      </c>
      <c r="J784" s="73"/>
      <c r="K784" s="73"/>
      <c r="L784" s="73"/>
      <c r="M784" s="74"/>
      <c r="N784" s="74"/>
      <c r="O784" s="76"/>
      <c r="P784" s="76"/>
    </row>
    <row r="785" ht="20.25" hidden="1" customHeight="1" outlineLevel="1">
      <c r="A785" s="29"/>
      <c r="B785" s="123" t="s">
        <v>40</v>
      </c>
      <c r="C785" s="123">
        <v>113.0</v>
      </c>
      <c r="D785" s="19"/>
      <c r="E785" s="19"/>
      <c r="F785" s="26" t="s">
        <v>174</v>
      </c>
      <c r="G785" s="76" t="s">
        <v>17</v>
      </c>
      <c r="H785" s="74" t="s">
        <v>25</v>
      </c>
      <c r="I785" s="77">
        <v>1.0</v>
      </c>
      <c r="J785" s="77"/>
      <c r="K785" s="77"/>
      <c r="L785" s="77"/>
      <c r="M785" s="74"/>
      <c r="N785" s="74"/>
      <c r="O785" s="76"/>
      <c r="P785" s="76"/>
    </row>
    <row r="786" ht="20.25" hidden="1" customHeight="1" outlineLevel="1">
      <c r="A786" s="58"/>
      <c r="B786" s="58"/>
      <c r="C786" s="58"/>
      <c r="D786" s="11"/>
      <c r="E786" s="11"/>
      <c r="F786" s="58"/>
      <c r="G786" s="76" t="s">
        <v>17</v>
      </c>
      <c r="H786" s="74" t="s">
        <v>18</v>
      </c>
      <c r="I786" s="73">
        <v>19.0</v>
      </c>
      <c r="J786" s="73"/>
      <c r="K786" s="73"/>
      <c r="L786" s="73"/>
      <c r="M786" s="74"/>
      <c r="N786" s="74"/>
      <c r="O786" s="76"/>
      <c r="P786" s="76"/>
    </row>
    <row r="787" ht="20.25" hidden="1" customHeight="1" outlineLevel="1">
      <c r="A787" s="121">
        <v>46199.0</v>
      </c>
      <c r="B787" s="123" t="s">
        <v>21</v>
      </c>
      <c r="C787" s="123">
        <v>101.0</v>
      </c>
      <c r="D787" s="19"/>
      <c r="E787" s="19"/>
      <c r="F787" s="102" t="s">
        <v>42</v>
      </c>
      <c r="G787" s="76" t="s">
        <v>17</v>
      </c>
      <c r="H787" s="74" t="s">
        <v>25</v>
      </c>
      <c r="I787" s="77">
        <v>1.0</v>
      </c>
      <c r="J787" s="77">
        <v>120.0</v>
      </c>
      <c r="K787" s="77">
        <v>120.0</v>
      </c>
      <c r="L787" s="407">
        <v>25.0</v>
      </c>
      <c r="M787" s="408">
        <v>850.0</v>
      </c>
      <c r="N787" s="408">
        <v>4270.0</v>
      </c>
      <c r="O787" s="76"/>
      <c r="P787" s="76"/>
    </row>
    <row r="788" ht="20.25" hidden="1" customHeight="1" outlineLevel="1">
      <c r="A788" s="57"/>
      <c r="B788" s="58"/>
      <c r="C788" s="58"/>
      <c r="D788" s="11"/>
      <c r="E788" s="11"/>
      <c r="F788" s="58"/>
      <c r="G788" s="76" t="s">
        <v>17</v>
      </c>
      <c r="H788" s="74" t="s">
        <v>18</v>
      </c>
      <c r="I788" s="73">
        <v>19.0</v>
      </c>
      <c r="J788" s="73">
        <v>100.0</v>
      </c>
      <c r="K788" s="73">
        <v>1900.0</v>
      </c>
      <c r="L788" s="57"/>
      <c r="M788" s="187"/>
      <c r="N788" s="187"/>
      <c r="O788" s="76"/>
      <c r="P788" s="76"/>
    </row>
    <row r="789" ht="20.25" hidden="1" customHeight="1" outlineLevel="1">
      <c r="A789" s="29"/>
      <c r="B789" s="123" t="s">
        <v>21</v>
      </c>
      <c r="C789" s="123">
        <v>125.0</v>
      </c>
      <c r="D789" s="19"/>
      <c r="E789" s="19"/>
      <c r="F789" s="26" t="s">
        <v>168</v>
      </c>
      <c r="G789" s="76" t="s">
        <v>17</v>
      </c>
      <c r="H789" s="74" t="s">
        <v>25</v>
      </c>
      <c r="I789" s="77">
        <v>0.0</v>
      </c>
      <c r="J789" s="77">
        <v>0.0</v>
      </c>
      <c r="K789" s="77">
        <v>0.0</v>
      </c>
      <c r="L789" s="29"/>
      <c r="M789" s="187"/>
      <c r="N789" s="187"/>
      <c r="O789" s="76"/>
      <c r="P789" s="76"/>
    </row>
    <row r="790" ht="20.25" hidden="1" customHeight="1" outlineLevel="1">
      <c r="A790" s="57"/>
      <c r="B790" s="58"/>
      <c r="C790" s="58"/>
      <c r="D790" s="11"/>
      <c r="E790" s="11"/>
      <c r="F790" s="58"/>
      <c r="G790" s="76" t="s">
        <v>17</v>
      </c>
      <c r="H790" s="74" t="s">
        <v>18</v>
      </c>
      <c r="I790" s="73">
        <v>14.0</v>
      </c>
      <c r="J790" s="73">
        <v>100.0</v>
      </c>
      <c r="K790" s="73">
        <v>1400.0</v>
      </c>
      <c r="L790" s="58"/>
      <c r="M790" s="108"/>
      <c r="N790" s="108"/>
      <c r="O790" s="76"/>
      <c r="P790" s="76"/>
    </row>
    <row r="791" ht="20.25" hidden="1" customHeight="1" outlineLevel="1">
      <c r="A791" s="29"/>
      <c r="B791" s="123" t="s">
        <v>21</v>
      </c>
      <c r="C791" s="123">
        <v>102.0</v>
      </c>
      <c r="D791" s="19"/>
      <c r="E791" s="19"/>
      <c r="F791" s="26" t="s">
        <v>172</v>
      </c>
      <c r="G791" s="76" t="s">
        <v>17</v>
      </c>
      <c r="H791" s="74" t="s">
        <v>25</v>
      </c>
      <c r="I791" s="77">
        <v>1.0</v>
      </c>
      <c r="J791" s="77"/>
      <c r="K791" s="77"/>
      <c r="L791" s="77"/>
      <c r="M791" s="74"/>
      <c r="N791" s="74"/>
      <c r="O791" s="76"/>
      <c r="P791" s="76"/>
    </row>
    <row r="792" ht="20.25" hidden="1" customHeight="1" outlineLevel="1">
      <c r="A792" s="57"/>
      <c r="B792" s="58"/>
      <c r="C792" s="58"/>
      <c r="D792" s="11"/>
      <c r="E792" s="11"/>
      <c r="F792" s="58"/>
      <c r="G792" s="76" t="s">
        <v>17</v>
      </c>
      <c r="H792" s="74" t="s">
        <v>18</v>
      </c>
      <c r="I792" s="73">
        <v>16.0</v>
      </c>
      <c r="J792" s="73"/>
      <c r="K792" s="73"/>
      <c r="L792" s="73"/>
      <c r="M792" s="74"/>
      <c r="N792" s="74"/>
      <c r="O792" s="76"/>
      <c r="P792" s="76"/>
    </row>
    <row r="793" ht="20.25" hidden="1" customHeight="1" outlineLevel="1">
      <c r="A793" s="29"/>
      <c r="B793" s="123" t="s">
        <v>40</v>
      </c>
      <c r="C793" s="123">
        <v>119.0</v>
      </c>
      <c r="D793" s="19"/>
      <c r="E793" s="19"/>
      <c r="F793" s="26" t="s">
        <v>78</v>
      </c>
      <c r="G793" s="76" t="s">
        <v>17</v>
      </c>
      <c r="H793" s="74" t="s">
        <v>25</v>
      </c>
      <c r="I793" s="77">
        <v>1.0</v>
      </c>
      <c r="J793" s="77"/>
      <c r="K793" s="77"/>
      <c r="L793" s="77"/>
      <c r="M793" s="74"/>
      <c r="N793" s="74"/>
      <c r="O793" s="76"/>
      <c r="P793" s="76"/>
    </row>
    <row r="794" ht="20.25" hidden="1" customHeight="1" outlineLevel="1">
      <c r="A794" s="57"/>
      <c r="B794" s="58"/>
      <c r="C794" s="58"/>
      <c r="D794" s="11"/>
      <c r="E794" s="11"/>
      <c r="F794" s="58"/>
      <c r="G794" s="76" t="s">
        <v>17</v>
      </c>
      <c r="H794" s="74" t="s">
        <v>18</v>
      </c>
      <c r="I794" s="73">
        <v>14.0</v>
      </c>
      <c r="J794" s="73"/>
      <c r="K794" s="73"/>
      <c r="L794" s="73"/>
      <c r="M794" s="74"/>
      <c r="N794" s="74"/>
      <c r="O794" s="76"/>
      <c r="P794" s="76"/>
    </row>
    <row r="795" ht="20.25" hidden="1" customHeight="1" outlineLevel="1">
      <c r="A795" s="29"/>
      <c r="B795" s="123" t="s">
        <v>40</v>
      </c>
      <c r="C795" s="123">
        <v>135.0</v>
      </c>
      <c r="D795" s="19"/>
      <c r="E795" s="19"/>
      <c r="F795" s="26" t="s">
        <v>170</v>
      </c>
      <c r="G795" s="76" t="s">
        <v>17</v>
      </c>
      <c r="H795" s="74" t="s">
        <v>25</v>
      </c>
      <c r="I795" s="77">
        <v>0.0</v>
      </c>
      <c r="J795" s="77"/>
      <c r="K795" s="77"/>
      <c r="L795" s="77"/>
      <c r="M795" s="74"/>
      <c r="N795" s="74"/>
      <c r="O795" s="76"/>
      <c r="P795" s="76"/>
    </row>
    <row r="796" ht="20.25" hidden="1" customHeight="1" outlineLevel="1">
      <c r="A796" s="57"/>
      <c r="B796" s="58"/>
      <c r="C796" s="58"/>
      <c r="D796" s="11"/>
      <c r="E796" s="11"/>
      <c r="F796" s="58"/>
      <c r="G796" s="76" t="s">
        <v>17</v>
      </c>
      <c r="H796" s="74" t="s">
        <v>18</v>
      </c>
      <c r="I796" s="73">
        <v>18.0</v>
      </c>
      <c r="J796" s="73"/>
      <c r="K796" s="73"/>
      <c r="L796" s="73"/>
      <c r="M796" s="74"/>
      <c r="N796" s="74"/>
      <c r="O796" s="76"/>
      <c r="P796" s="76"/>
    </row>
    <row r="797" ht="20.25" hidden="1" customHeight="1" outlineLevel="1">
      <c r="A797" s="29"/>
      <c r="B797" s="123" t="s">
        <v>40</v>
      </c>
      <c r="C797" s="123">
        <v>113.0</v>
      </c>
      <c r="D797" s="19"/>
      <c r="E797" s="19"/>
      <c r="F797" s="26" t="s">
        <v>174</v>
      </c>
      <c r="G797" s="76" t="s">
        <v>17</v>
      </c>
      <c r="H797" s="74" t="s">
        <v>25</v>
      </c>
      <c r="I797" s="77">
        <v>1.0</v>
      </c>
      <c r="J797" s="77"/>
      <c r="K797" s="77"/>
      <c r="L797" s="77"/>
      <c r="M797" s="74"/>
      <c r="N797" s="74"/>
      <c r="O797" s="76"/>
      <c r="P797" s="76"/>
    </row>
    <row r="798" ht="20.25" hidden="1" customHeight="1" outlineLevel="1">
      <c r="A798" s="58"/>
      <c r="B798" s="58"/>
      <c r="C798" s="58"/>
      <c r="D798" s="11"/>
      <c r="E798" s="11"/>
      <c r="F798" s="58"/>
      <c r="G798" s="76" t="s">
        <v>17</v>
      </c>
      <c r="H798" s="74" t="s">
        <v>18</v>
      </c>
      <c r="I798" s="73">
        <v>20.0</v>
      </c>
      <c r="J798" s="73"/>
      <c r="K798" s="73"/>
      <c r="L798" s="73"/>
      <c r="M798" s="74"/>
      <c r="N798" s="74"/>
      <c r="O798" s="76"/>
      <c r="P798" s="76"/>
    </row>
    <row r="799" ht="20.25" hidden="1" customHeight="1" outlineLevel="1">
      <c r="A799" s="121">
        <v>46200.0</v>
      </c>
      <c r="B799" s="123" t="s">
        <v>21</v>
      </c>
      <c r="C799" s="123">
        <v>124.0</v>
      </c>
      <c r="D799" s="19"/>
      <c r="E799" s="19"/>
      <c r="F799" s="102" t="s">
        <v>42</v>
      </c>
      <c r="G799" s="76" t="s">
        <v>17</v>
      </c>
      <c r="H799" s="74" t="s">
        <v>25</v>
      </c>
      <c r="I799" s="77">
        <v>1.0</v>
      </c>
      <c r="J799" s="77">
        <v>120.0</v>
      </c>
      <c r="K799" s="77">
        <v>120.0</v>
      </c>
      <c r="L799" s="407">
        <v>25.0</v>
      </c>
      <c r="M799" s="408">
        <v>950.0</v>
      </c>
      <c r="N799" s="408">
        <v>4770.0</v>
      </c>
      <c r="O799" s="76"/>
      <c r="P799" s="76"/>
    </row>
    <row r="800" ht="20.25" hidden="1" customHeight="1" outlineLevel="1">
      <c r="A800" s="57"/>
      <c r="B800" s="58"/>
      <c r="C800" s="58"/>
      <c r="D800" s="11"/>
      <c r="E800" s="11"/>
      <c r="F800" s="58"/>
      <c r="G800" s="76" t="s">
        <v>17</v>
      </c>
      <c r="H800" s="74" t="s">
        <v>18</v>
      </c>
      <c r="I800" s="73">
        <v>20.0</v>
      </c>
      <c r="J800" s="73">
        <v>100.0</v>
      </c>
      <c r="K800" s="73">
        <v>2000.0</v>
      </c>
      <c r="L800" s="57"/>
      <c r="M800" s="187"/>
      <c r="N800" s="187"/>
      <c r="O800" s="76"/>
      <c r="P800" s="76"/>
    </row>
    <row r="801" ht="20.25" hidden="1" customHeight="1" outlineLevel="1">
      <c r="A801" s="29"/>
      <c r="B801" s="123" t="s">
        <v>21</v>
      </c>
      <c r="C801" s="123">
        <v>132.0</v>
      </c>
      <c r="D801" s="19"/>
      <c r="E801" s="19"/>
      <c r="F801" s="26" t="s">
        <v>168</v>
      </c>
      <c r="G801" s="76" t="s">
        <v>17</v>
      </c>
      <c r="H801" s="74" t="s">
        <v>25</v>
      </c>
      <c r="I801" s="77">
        <v>0.0</v>
      </c>
      <c r="J801" s="77">
        <v>0.0</v>
      </c>
      <c r="K801" s="77">
        <v>0.0</v>
      </c>
      <c r="L801" s="29"/>
      <c r="M801" s="187"/>
      <c r="N801" s="187"/>
      <c r="O801" s="76"/>
      <c r="P801" s="76"/>
    </row>
    <row r="802" ht="20.25" hidden="1" customHeight="1" outlineLevel="1">
      <c r="A802" s="57"/>
      <c r="B802" s="58"/>
      <c r="C802" s="58"/>
      <c r="D802" s="11"/>
      <c r="E802" s="11"/>
      <c r="F802" s="58"/>
      <c r="G802" s="76" t="s">
        <v>17</v>
      </c>
      <c r="H802" s="74" t="s">
        <v>18</v>
      </c>
      <c r="I802" s="73">
        <v>17.0</v>
      </c>
      <c r="J802" s="73">
        <v>100.0</v>
      </c>
      <c r="K802" s="73">
        <v>1700.0</v>
      </c>
      <c r="L802" s="58"/>
      <c r="M802" s="108"/>
      <c r="N802" s="108"/>
      <c r="O802" s="76"/>
      <c r="P802" s="76"/>
    </row>
    <row r="803" ht="20.25" hidden="1" customHeight="1" outlineLevel="1">
      <c r="A803" s="29"/>
      <c r="B803" s="123" t="s">
        <v>21</v>
      </c>
      <c r="C803" s="123">
        <v>118.0</v>
      </c>
      <c r="D803" s="19"/>
      <c r="E803" s="19"/>
      <c r="F803" s="26" t="s">
        <v>172</v>
      </c>
      <c r="G803" s="76" t="s">
        <v>17</v>
      </c>
      <c r="H803" s="74" t="s">
        <v>25</v>
      </c>
      <c r="I803" s="77">
        <v>1.0</v>
      </c>
      <c r="J803" s="77"/>
      <c r="K803" s="77"/>
      <c r="L803" s="77"/>
      <c r="M803" s="74"/>
      <c r="N803" s="74"/>
      <c r="O803" s="76"/>
      <c r="P803" s="76"/>
    </row>
    <row r="804" ht="20.25" hidden="1" customHeight="1" outlineLevel="1">
      <c r="A804" s="57"/>
      <c r="B804" s="58"/>
      <c r="C804" s="58"/>
      <c r="D804" s="11"/>
      <c r="E804" s="11"/>
      <c r="F804" s="58"/>
      <c r="G804" s="76" t="s">
        <v>17</v>
      </c>
      <c r="H804" s="74" t="s">
        <v>18</v>
      </c>
      <c r="I804" s="73">
        <v>19.0</v>
      </c>
      <c r="J804" s="73"/>
      <c r="K804" s="73"/>
      <c r="L804" s="73"/>
      <c r="M804" s="74"/>
      <c r="N804" s="74"/>
      <c r="O804" s="76"/>
      <c r="P804" s="76"/>
    </row>
    <row r="805" ht="20.25" hidden="1" customHeight="1" outlineLevel="1">
      <c r="A805" s="29"/>
      <c r="B805" s="123" t="s">
        <v>40</v>
      </c>
      <c r="C805" s="123">
        <v>119.0</v>
      </c>
      <c r="D805" s="19"/>
      <c r="E805" s="19"/>
      <c r="F805" s="26" t="s">
        <v>78</v>
      </c>
      <c r="G805" s="76" t="s">
        <v>17</v>
      </c>
      <c r="H805" s="74" t="s">
        <v>25</v>
      </c>
      <c r="I805" s="77">
        <v>1.0</v>
      </c>
      <c r="J805" s="77"/>
      <c r="K805" s="77"/>
      <c r="L805" s="77"/>
      <c r="M805" s="74"/>
      <c r="N805" s="74"/>
      <c r="O805" s="76"/>
      <c r="P805" s="76"/>
    </row>
    <row r="806" ht="20.25" hidden="1" customHeight="1" outlineLevel="1">
      <c r="A806" s="57"/>
      <c r="B806" s="58"/>
      <c r="C806" s="58"/>
      <c r="D806" s="11"/>
      <c r="E806" s="11"/>
      <c r="F806" s="58"/>
      <c r="G806" s="76" t="s">
        <v>17</v>
      </c>
      <c r="H806" s="74" t="s">
        <v>18</v>
      </c>
      <c r="I806" s="73">
        <v>20.0</v>
      </c>
      <c r="J806" s="73"/>
      <c r="K806" s="73"/>
      <c r="L806" s="73"/>
      <c r="M806" s="74"/>
      <c r="N806" s="74"/>
      <c r="O806" s="76"/>
      <c r="P806" s="76"/>
    </row>
    <row r="807" ht="20.25" hidden="1" customHeight="1" outlineLevel="1">
      <c r="A807" s="29"/>
      <c r="B807" s="123" t="s">
        <v>40</v>
      </c>
      <c r="C807" s="123">
        <v>135.0</v>
      </c>
      <c r="D807" s="19"/>
      <c r="E807" s="19"/>
      <c r="F807" s="26" t="s">
        <v>170</v>
      </c>
      <c r="G807" s="76" t="s">
        <v>17</v>
      </c>
      <c r="H807" s="74" t="s">
        <v>25</v>
      </c>
      <c r="I807" s="77">
        <v>0.0</v>
      </c>
      <c r="J807" s="77"/>
      <c r="K807" s="77"/>
      <c r="L807" s="77"/>
      <c r="M807" s="74"/>
      <c r="N807" s="74"/>
      <c r="O807" s="76"/>
      <c r="P807" s="76"/>
    </row>
    <row r="808" ht="20.25" hidden="1" customHeight="1" outlineLevel="1">
      <c r="A808" s="57"/>
      <c r="B808" s="58"/>
      <c r="C808" s="58"/>
      <c r="D808" s="11"/>
      <c r="E808" s="11"/>
      <c r="F808" s="58"/>
      <c r="G808" s="76" t="s">
        <v>17</v>
      </c>
      <c r="H808" s="74" t="s">
        <v>18</v>
      </c>
      <c r="I808" s="73">
        <v>19.0</v>
      </c>
      <c r="J808" s="73"/>
      <c r="K808" s="73"/>
      <c r="L808" s="73"/>
      <c r="M808" s="74"/>
      <c r="N808" s="74"/>
      <c r="O808" s="76"/>
      <c r="P808" s="76"/>
    </row>
    <row r="809" ht="20.25" hidden="1" customHeight="1" outlineLevel="1">
      <c r="A809" s="29"/>
      <c r="B809" s="123" t="s">
        <v>40</v>
      </c>
      <c r="C809" s="123">
        <v>114.0</v>
      </c>
      <c r="D809" s="19"/>
      <c r="E809" s="19"/>
      <c r="F809" s="26" t="s">
        <v>174</v>
      </c>
      <c r="G809" s="76" t="s">
        <v>17</v>
      </c>
      <c r="H809" s="74" t="s">
        <v>25</v>
      </c>
      <c r="I809" s="77">
        <v>1.0</v>
      </c>
      <c r="J809" s="77"/>
      <c r="K809" s="77"/>
      <c r="L809" s="77"/>
      <c r="M809" s="74"/>
      <c r="N809" s="74"/>
      <c r="O809" s="76"/>
      <c r="P809" s="76"/>
    </row>
    <row r="810" ht="20.25" hidden="1" customHeight="1" outlineLevel="1">
      <c r="A810" s="58"/>
      <c r="B810" s="58"/>
      <c r="C810" s="58"/>
      <c r="D810" s="11"/>
      <c r="E810" s="11"/>
      <c r="F810" s="58"/>
      <c r="G810" s="76" t="s">
        <v>17</v>
      </c>
      <c r="H810" s="74" t="s">
        <v>18</v>
      </c>
      <c r="I810" s="73">
        <v>18.0</v>
      </c>
      <c r="J810" s="73"/>
      <c r="K810" s="73"/>
      <c r="L810" s="73"/>
      <c r="M810" s="74"/>
      <c r="N810" s="74"/>
      <c r="O810" s="76"/>
      <c r="P810" s="76"/>
    </row>
    <row r="811" ht="20.25" hidden="1" customHeight="1" outlineLevel="1">
      <c r="A811" s="121">
        <v>46202.0</v>
      </c>
      <c r="B811" s="123" t="s">
        <v>21</v>
      </c>
      <c r="C811" s="123">
        <v>132.0</v>
      </c>
      <c r="D811" s="19"/>
      <c r="E811" s="19"/>
      <c r="F811" s="26" t="s">
        <v>168</v>
      </c>
      <c r="G811" s="76" t="s">
        <v>17</v>
      </c>
      <c r="H811" s="74" t="s">
        <v>25</v>
      </c>
      <c r="I811" s="77">
        <v>1.0</v>
      </c>
      <c r="J811" s="77">
        <v>120.0</v>
      </c>
      <c r="K811" s="77">
        <v>120.0</v>
      </c>
      <c r="L811" s="160">
        <v>25.0</v>
      </c>
      <c r="M811" s="105">
        <v>525.0</v>
      </c>
      <c r="N811" s="105">
        <v>2645.0</v>
      </c>
      <c r="O811" s="76"/>
      <c r="P811" s="76"/>
    </row>
    <row r="812" ht="20.25" hidden="1" customHeight="1" outlineLevel="1">
      <c r="A812" s="57"/>
      <c r="B812" s="58"/>
      <c r="C812" s="58"/>
      <c r="D812" s="11"/>
      <c r="E812" s="11"/>
      <c r="F812" s="57"/>
      <c r="G812" s="76" t="s">
        <v>17</v>
      </c>
      <c r="H812" s="74" t="s">
        <v>18</v>
      </c>
      <c r="I812" s="73">
        <v>16.0</v>
      </c>
      <c r="J812" s="73">
        <v>100.0</v>
      </c>
      <c r="K812" s="73">
        <v>2000.0</v>
      </c>
      <c r="L812" s="58"/>
      <c r="M812" s="108"/>
      <c r="N812" s="108"/>
      <c r="O812" s="76"/>
      <c r="P812" s="76"/>
    </row>
    <row r="813" ht="20.25" hidden="1" customHeight="1" outlineLevel="1">
      <c r="A813" s="29"/>
      <c r="B813" s="304" t="s">
        <v>102</v>
      </c>
      <c r="C813" s="19"/>
      <c r="D813" s="19"/>
      <c r="E813" s="304" t="s">
        <v>227</v>
      </c>
      <c r="F813" s="20"/>
      <c r="G813" s="76" t="s">
        <v>17</v>
      </c>
      <c r="H813" s="74" t="s">
        <v>18</v>
      </c>
      <c r="I813" s="286">
        <v>4.0</v>
      </c>
      <c r="J813" s="77">
        <v>100.0</v>
      </c>
      <c r="K813" s="77"/>
      <c r="L813" s="77"/>
      <c r="M813" s="74"/>
      <c r="N813" s="74"/>
      <c r="O813" s="76"/>
      <c r="P813" s="76"/>
    </row>
    <row r="814" ht="20.25" hidden="1" customHeight="1" outlineLevel="1">
      <c r="A814" s="57"/>
      <c r="B814" s="72" t="s">
        <v>21</v>
      </c>
      <c r="C814" s="72">
        <v>131.0</v>
      </c>
      <c r="D814" s="11"/>
      <c r="E814" s="11"/>
      <c r="F814" s="26" t="s">
        <v>172</v>
      </c>
      <c r="G814" s="76" t="s">
        <v>17</v>
      </c>
      <c r="H814" s="74" t="s">
        <v>25</v>
      </c>
      <c r="I814" s="73">
        <v>1.0</v>
      </c>
      <c r="J814" s="73"/>
      <c r="K814" s="73"/>
      <c r="L814" s="73"/>
      <c r="M814" s="74"/>
      <c r="N814" s="74"/>
      <c r="O814" s="76"/>
      <c r="P814" s="76"/>
    </row>
    <row r="815" ht="20.25" hidden="1" customHeight="1" outlineLevel="1">
      <c r="A815" s="29"/>
      <c r="B815" s="20"/>
      <c r="C815" s="20"/>
      <c r="D815" s="19"/>
      <c r="E815" s="19"/>
      <c r="F815" s="29"/>
      <c r="G815" s="76" t="s">
        <v>17</v>
      </c>
      <c r="H815" s="74" t="s">
        <v>18</v>
      </c>
      <c r="I815" s="77">
        <v>14.0</v>
      </c>
      <c r="J815" s="77"/>
      <c r="K815" s="77"/>
      <c r="L815" s="77"/>
      <c r="M815" s="74"/>
      <c r="N815" s="74"/>
      <c r="O815" s="76"/>
      <c r="P815" s="76"/>
    </row>
    <row r="816" ht="20.25" hidden="1" customHeight="1" outlineLevel="1">
      <c r="A816" s="57"/>
      <c r="B816" s="304" t="s">
        <v>102</v>
      </c>
      <c r="C816" s="11"/>
      <c r="D816" s="11"/>
      <c r="E816" s="304" t="s">
        <v>227</v>
      </c>
      <c r="F816" s="58"/>
      <c r="G816" s="76" t="s">
        <v>17</v>
      </c>
      <c r="H816" s="74" t="s">
        <v>18</v>
      </c>
      <c r="I816" s="286">
        <v>2.0</v>
      </c>
      <c r="J816" s="73"/>
      <c r="K816" s="73"/>
      <c r="L816" s="73"/>
      <c r="M816" s="74"/>
      <c r="N816" s="74"/>
      <c r="O816" s="76"/>
      <c r="P816" s="76"/>
    </row>
    <row r="817" ht="20.25" hidden="1" customHeight="1" outlineLevel="1">
      <c r="A817" s="29"/>
      <c r="B817" s="123" t="s">
        <v>21</v>
      </c>
      <c r="C817" s="123">
        <v>128.0</v>
      </c>
      <c r="D817" s="19"/>
      <c r="E817" s="19"/>
      <c r="F817" s="26" t="s">
        <v>78</v>
      </c>
      <c r="G817" s="76" t="s">
        <v>17</v>
      </c>
      <c r="H817" s="74" t="s">
        <v>25</v>
      </c>
      <c r="I817" s="77">
        <v>1.0</v>
      </c>
      <c r="J817" s="77"/>
      <c r="K817" s="77"/>
      <c r="L817" s="77"/>
      <c r="M817" s="74"/>
      <c r="N817" s="74"/>
      <c r="O817" s="76"/>
      <c r="P817" s="76"/>
    </row>
    <row r="818" ht="20.25" hidden="1" customHeight="1" outlineLevel="1">
      <c r="A818" s="57"/>
      <c r="B818" s="58"/>
      <c r="C818" s="58"/>
      <c r="D818" s="11"/>
      <c r="E818" s="11"/>
      <c r="F818" s="58"/>
      <c r="G818" s="76" t="s">
        <v>17</v>
      </c>
      <c r="H818" s="74" t="s">
        <v>18</v>
      </c>
      <c r="I818" s="73">
        <v>16.0</v>
      </c>
      <c r="J818" s="73"/>
      <c r="K818" s="73"/>
      <c r="L818" s="73"/>
      <c r="M818" s="74"/>
      <c r="N818" s="74"/>
      <c r="O818" s="76"/>
      <c r="P818" s="76"/>
    </row>
    <row r="819" ht="20.25" hidden="1" customHeight="1" outlineLevel="1">
      <c r="A819" s="29"/>
      <c r="B819" s="123" t="s">
        <v>40</v>
      </c>
      <c r="C819" s="123">
        <v>129.0</v>
      </c>
      <c r="D819" s="19"/>
      <c r="E819" s="19"/>
      <c r="F819" s="26" t="s">
        <v>170</v>
      </c>
      <c r="G819" s="76" t="s">
        <v>17</v>
      </c>
      <c r="H819" s="74" t="s">
        <v>25</v>
      </c>
      <c r="I819" s="77">
        <v>0.0</v>
      </c>
      <c r="J819" s="77"/>
      <c r="K819" s="77"/>
      <c r="L819" s="77"/>
      <c r="M819" s="74"/>
      <c r="N819" s="74"/>
      <c r="O819" s="76"/>
      <c r="P819" s="76"/>
    </row>
    <row r="820" ht="20.25" hidden="1" customHeight="1" outlineLevel="1">
      <c r="A820" s="57"/>
      <c r="B820" s="58"/>
      <c r="C820" s="58"/>
      <c r="D820" s="11"/>
      <c r="E820" s="11"/>
      <c r="F820" s="58"/>
      <c r="G820" s="76" t="s">
        <v>17</v>
      </c>
      <c r="H820" s="74" t="s">
        <v>18</v>
      </c>
      <c r="I820" s="73">
        <v>17.0</v>
      </c>
      <c r="J820" s="73"/>
      <c r="K820" s="73"/>
      <c r="L820" s="73"/>
      <c r="M820" s="74"/>
      <c r="N820" s="74"/>
      <c r="O820" s="76"/>
      <c r="P820" s="76"/>
    </row>
    <row r="821" ht="20.25" hidden="1" customHeight="1" outlineLevel="1">
      <c r="A821" s="29"/>
      <c r="B821" s="123" t="s">
        <v>40</v>
      </c>
      <c r="C821" s="123">
        <v>130.0</v>
      </c>
      <c r="D821" s="19"/>
      <c r="E821" s="19"/>
      <c r="F821" s="26" t="s">
        <v>174</v>
      </c>
      <c r="G821" s="76" t="s">
        <v>17</v>
      </c>
      <c r="H821" s="74" t="s">
        <v>25</v>
      </c>
      <c r="I821" s="77">
        <v>1.0</v>
      </c>
      <c r="J821" s="77"/>
      <c r="K821" s="77"/>
      <c r="L821" s="77"/>
      <c r="M821" s="74"/>
      <c r="N821" s="74"/>
      <c r="O821" s="76"/>
      <c r="P821" s="76"/>
    </row>
    <row r="822" ht="20.25" hidden="1" customHeight="1" outlineLevel="1">
      <c r="A822" s="58"/>
      <c r="B822" s="58"/>
      <c r="C822" s="58"/>
      <c r="D822" s="11"/>
      <c r="E822" s="11"/>
      <c r="F822" s="58"/>
      <c r="G822" s="76" t="s">
        <v>17</v>
      </c>
      <c r="H822" s="74" t="s">
        <v>18</v>
      </c>
      <c r="I822" s="73">
        <v>19.0</v>
      </c>
      <c r="J822" s="73"/>
      <c r="K822" s="73"/>
      <c r="L822" s="73"/>
      <c r="M822" s="74"/>
      <c r="N822" s="74"/>
      <c r="O822" s="76"/>
      <c r="P822" s="76"/>
    </row>
    <row r="823" ht="20.25" hidden="1" customHeight="1" outlineLevel="1">
      <c r="A823" s="121">
        <v>46203.0</v>
      </c>
      <c r="B823" s="123" t="s">
        <v>21</v>
      </c>
      <c r="C823" s="123">
        <v>131.0</v>
      </c>
      <c r="D823" s="19"/>
      <c r="E823" s="19"/>
      <c r="F823" s="26" t="s">
        <v>168</v>
      </c>
      <c r="G823" s="76" t="s">
        <v>17</v>
      </c>
      <c r="H823" s="74" t="s">
        <v>25</v>
      </c>
      <c r="I823" s="77">
        <v>1.0</v>
      </c>
      <c r="J823" s="77">
        <v>120.0</v>
      </c>
      <c r="K823" s="77">
        <v>120.0</v>
      </c>
      <c r="L823" s="160">
        <v>25.0</v>
      </c>
      <c r="M823" s="105">
        <v>450.0</v>
      </c>
      <c r="N823" s="105">
        <v>2270.0</v>
      </c>
      <c r="O823" s="76"/>
      <c r="P823" s="76"/>
    </row>
    <row r="824" ht="20.25" hidden="1" customHeight="1" outlineLevel="1">
      <c r="A824" s="57"/>
      <c r="B824" s="58"/>
      <c r="C824" s="58"/>
      <c r="D824" s="11"/>
      <c r="E824" s="11"/>
      <c r="F824" s="57"/>
      <c r="G824" s="76" t="s">
        <v>17</v>
      </c>
      <c r="H824" s="74" t="s">
        <v>18</v>
      </c>
      <c r="I824" s="73">
        <v>13.0</v>
      </c>
      <c r="J824" s="73">
        <v>100.0</v>
      </c>
      <c r="K824" s="73">
        <v>1300.0</v>
      </c>
      <c r="L824" s="57"/>
      <c r="M824" s="187"/>
      <c r="N824" s="187"/>
      <c r="O824" s="76"/>
      <c r="P824" s="76"/>
    </row>
    <row r="825" ht="20.25" hidden="1" customHeight="1" outlineLevel="1">
      <c r="A825" s="29"/>
      <c r="B825" s="304" t="s">
        <v>102</v>
      </c>
      <c r="C825" s="19"/>
      <c r="D825" s="19"/>
      <c r="E825" s="304" t="s">
        <v>227</v>
      </c>
      <c r="F825" s="20"/>
      <c r="G825" s="76" t="s">
        <v>17</v>
      </c>
      <c r="H825" s="74" t="s">
        <v>18</v>
      </c>
      <c r="I825" s="286">
        <v>4.0</v>
      </c>
      <c r="J825" s="77">
        <v>100.0</v>
      </c>
      <c r="K825" s="77">
        <v>400.0</v>
      </c>
      <c r="L825" s="20"/>
      <c r="M825" s="108"/>
      <c r="N825" s="108"/>
      <c r="O825" s="76"/>
      <c r="P825" s="76"/>
    </row>
    <row r="826" ht="20.25" hidden="1" customHeight="1" outlineLevel="1">
      <c r="A826" s="57"/>
      <c r="B826" s="72" t="s">
        <v>40</v>
      </c>
      <c r="C826" s="72">
        <v>132.0</v>
      </c>
      <c r="D826" s="11"/>
      <c r="E826" s="11"/>
      <c r="F826" s="26" t="s">
        <v>172</v>
      </c>
      <c r="G826" s="76" t="s">
        <v>17</v>
      </c>
      <c r="H826" s="74" t="s">
        <v>25</v>
      </c>
      <c r="I826" s="73">
        <v>1.0</v>
      </c>
      <c r="J826" s="73"/>
      <c r="K826" s="73"/>
      <c r="L826" s="73"/>
      <c r="M826" s="74"/>
      <c r="N826" s="74"/>
      <c r="O826" s="76"/>
      <c r="P826" s="76"/>
    </row>
    <row r="827" ht="20.25" hidden="1" customHeight="1" outlineLevel="1">
      <c r="A827" s="29"/>
      <c r="B827" s="20"/>
      <c r="C827" s="20"/>
      <c r="D827" s="19"/>
      <c r="E827" s="19"/>
      <c r="F827" s="29"/>
      <c r="G827" s="76" t="s">
        <v>17</v>
      </c>
      <c r="H827" s="74" t="s">
        <v>18</v>
      </c>
      <c r="I827" s="77">
        <v>15.0</v>
      </c>
      <c r="J827" s="77"/>
      <c r="K827" s="77"/>
      <c r="L827" s="77"/>
      <c r="M827" s="74"/>
      <c r="N827" s="74"/>
      <c r="O827" s="76"/>
      <c r="P827" s="76"/>
    </row>
    <row r="828" ht="20.25" hidden="1" customHeight="1" outlineLevel="1">
      <c r="A828" s="57"/>
      <c r="B828" s="304" t="s">
        <v>102</v>
      </c>
      <c r="C828" s="11"/>
      <c r="D828" s="11"/>
      <c r="E828" s="304" t="s">
        <v>227</v>
      </c>
      <c r="F828" s="58"/>
      <c r="G828" s="76" t="s">
        <v>17</v>
      </c>
      <c r="H828" s="74" t="s">
        <v>18</v>
      </c>
      <c r="I828" s="286">
        <v>2.0</v>
      </c>
      <c r="J828" s="73"/>
      <c r="K828" s="73"/>
      <c r="L828" s="73"/>
      <c r="M828" s="74"/>
      <c r="N828" s="74"/>
      <c r="O828" s="76"/>
      <c r="P828" s="76"/>
    </row>
    <row r="829" ht="20.25" hidden="1" customHeight="1" outlineLevel="1">
      <c r="A829" s="29"/>
      <c r="B829" s="123" t="s">
        <v>40</v>
      </c>
      <c r="C829" s="123">
        <v>134.0</v>
      </c>
      <c r="D829" s="19"/>
      <c r="E829" s="19"/>
      <c r="F829" s="26" t="s">
        <v>170</v>
      </c>
      <c r="G829" s="76" t="s">
        <v>17</v>
      </c>
      <c r="H829" s="74" t="s">
        <v>25</v>
      </c>
      <c r="I829" s="77">
        <v>0.0</v>
      </c>
      <c r="J829" s="77"/>
      <c r="K829" s="77"/>
      <c r="L829" s="77"/>
      <c r="M829" s="74"/>
      <c r="N829" s="74"/>
      <c r="O829" s="76"/>
      <c r="P829" s="76"/>
    </row>
    <row r="830" ht="20.25" hidden="1" customHeight="1" outlineLevel="1">
      <c r="A830" s="57"/>
      <c r="B830" s="58"/>
      <c r="C830" s="58"/>
      <c r="D830" s="11"/>
      <c r="E830" s="11"/>
      <c r="F830" s="58"/>
      <c r="G830" s="76" t="s">
        <v>17</v>
      </c>
      <c r="H830" s="74" t="s">
        <v>18</v>
      </c>
      <c r="I830" s="73">
        <v>21.0</v>
      </c>
      <c r="J830" s="73"/>
      <c r="K830" s="73"/>
      <c r="L830" s="73"/>
      <c r="M830" s="74"/>
      <c r="N830" s="74"/>
      <c r="O830" s="76"/>
      <c r="P830" s="76"/>
    </row>
    <row r="831" ht="20.25" hidden="1" customHeight="1" outlineLevel="1">
      <c r="A831" s="29"/>
      <c r="B831" s="123" t="s">
        <v>40</v>
      </c>
      <c r="C831" s="123">
        <v>135.0</v>
      </c>
      <c r="D831" s="19"/>
      <c r="E831" s="19"/>
      <c r="F831" s="26" t="s">
        <v>174</v>
      </c>
      <c r="G831" s="76" t="s">
        <v>17</v>
      </c>
      <c r="H831" s="74" t="s">
        <v>25</v>
      </c>
      <c r="I831" s="77">
        <v>1.0</v>
      </c>
      <c r="J831" s="77"/>
      <c r="K831" s="77"/>
      <c r="L831" s="77"/>
      <c r="M831" s="74"/>
      <c r="N831" s="74"/>
      <c r="O831" s="76"/>
      <c r="P831" s="76"/>
    </row>
    <row r="832" ht="20.25" hidden="1" customHeight="1" outlineLevel="1">
      <c r="A832" s="58"/>
      <c r="B832" s="58"/>
      <c r="C832" s="58"/>
      <c r="D832" s="11"/>
      <c r="E832" s="11"/>
      <c r="F832" s="58"/>
      <c r="G832" s="76" t="s">
        <v>17</v>
      </c>
      <c r="H832" s="74" t="s">
        <v>18</v>
      </c>
      <c r="I832" s="73">
        <v>15.0</v>
      </c>
      <c r="J832" s="73"/>
      <c r="K832" s="73"/>
      <c r="L832" s="73"/>
      <c r="M832" s="74"/>
      <c r="N832" s="74"/>
      <c r="O832" s="76"/>
      <c r="P832" s="76"/>
    </row>
    <row r="833" ht="20.25" hidden="1" customHeight="1" outlineLevel="1">
      <c r="A833" s="121">
        <v>46204.0</v>
      </c>
      <c r="B833" s="123" t="s">
        <v>40</v>
      </c>
      <c r="C833" s="123">
        <v>136.0</v>
      </c>
      <c r="D833" s="19"/>
      <c r="E833" s="19"/>
      <c r="F833" s="26" t="s">
        <v>168</v>
      </c>
      <c r="G833" s="76" t="s">
        <v>17</v>
      </c>
      <c r="H833" s="74" t="s">
        <v>25</v>
      </c>
      <c r="I833" s="77">
        <v>1.0</v>
      </c>
      <c r="J833" s="77">
        <v>120.0</v>
      </c>
      <c r="K833" s="77">
        <v>120.0</v>
      </c>
      <c r="L833" s="160">
        <v>25.0</v>
      </c>
      <c r="M833" s="105">
        <v>425.0</v>
      </c>
      <c r="N833" s="105">
        <v>2145.0</v>
      </c>
      <c r="O833" s="76"/>
      <c r="P833" s="76"/>
    </row>
    <row r="834" ht="20.25" hidden="1" customHeight="1" outlineLevel="1">
      <c r="A834" s="57"/>
      <c r="B834" s="58"/>
      <c r="C834" s="58"/>
      <c r="D834" s="11"/>
      <c r="E834" s="11"/>
      <c r="F834" s="57"/>
      <c r="G834" s="76" t="s">
        <v>17</v>
      </c>
      <c r="H834" s="74" t="s">
        <v>18</v>
      </c>
      <c r="I834" s="73">
        <v>12.0</v>
      </c>
      <c r="J834" s="73">
        <v>100.0</v>
      </c>
      <c r="K834" s="73">
        <v>1200.0</v>
      </c>
      <c r="L834" s="57"/>
      <c r="M834" s="187"/>
      <c r="N834" s="187"/>
      <c r="O834" s="76"/>
      <c r="P834" s="76"/>
    </row>
    <row r="835" ht="20.25" hidden="1" customHeight="1" outlineLevel="1">
      <c r="A835" s="29"/>
      <c r="B835" s="304" t="s">
        <v>102</v>
      </c>
      <c r="C835" s="19"/>
      <c r="D835" s="19"/>
      <c r="E835" s="304" t="s">
        <v>227</v>
      </c>
      <c r="F835" s="20"/>
      <c r="G835" s="76" t="s">
        <v>17</v>
      </c>
      <c r="H835" s="74" t="s">
        <v>18</v>
      </c>
      <c r="I835" s="286">
        <v>4.0</v>
      </c>
      <c r="J835" s="77">
        <v>100.0</v>
      </c>
      <c r="K835" s="77">
        <v>400.0</v>
      </c>
      <c r="L835" s="20"/>
      <c r="M835" s="108"/>
      <c r="N835" s="108"/>
      <c r="O835" s="76"/>
      <c r="P835" s="76"/>
    </row>
    <row r="836" ht="20.25" hidden="1" customHeight="1" outlineLevel="1">
      <c r="A836" s="57"/>
      <c r="B836" s="72" t="s">
        <v>40</v>
      </c>
      <c r="C836" s="72">
        <v>131.0</v>
      </c>
      <c r="D836" s="11"/>
      <c r="E836" s="11"/>
      <c r="F836" s="26" t="s">
        <v>172</v>
      </c>
      <c r="G836" s="76" t="s">
        <v>17</v>
      </c>
      <c r="H836" s="74" t="s">
        <v>25</v>
      </c>
      <c r="I836" s="73">
        <v>1.0</v>
      </c>
      <c r="J836" s="73"/>
      <c r="K836" s="73"/>
      <c r="L836" s="73"/>
      <c r="M836" s="74"/>
      <c r="N836" s="74"/>
      <c r="O836" s="76"/>
      <c r="P836" s="76"/>
    </row>
    <row r="837" ht="20.25" hidden="1" customHeight="1" outlineLevel="1">
      <c r="A837" s="29"/>
      <c r="B837" s="20"/>
      <c r="C837" s="20"/>
      <c r="D837" s="19"/>
      <c r="E837" s="19"/>
      <c r="F837" s="29"/>
      <c r="G837" s="76" t="s">
        <v>17</v>
      </c>
      <c r="H837" s="74" t="s">
        <v>18</v>
      </c>
      <c r="I837" s="77">
        <v>18.0</v>
      </c>
      <c r="J837" s="77"/>
      <c r="K837" s="77"/>
      <c r="L837" s="77"/>
      <c r="M837" s="74"/>
      <c r="N837" s="74"/>
      <c r="O837" s="76"/>
      <c r="P837" s="76"/>
    </row>
    <row r="838" ht="20.25" hidden="1" customHeight="1" outlineLevel="1">
      <c r="A838" s="57"/>
      <c r="B838" s="304" t="s">
        <v>102</v>
      </c>
      <c r="C838" s="11"/>
      <c r="D838" s="11"/>
      <c r="E838" s="304" t="s">
        <v>227</v>
      </c>
      <c r="F838" s="58"/>
      <c r="G838" s="76" t="s">
        <v>17</v>
      </c>
      <c r="H838" s="74" t="s">
        <v>18</v>
      </c>
      <c r="I838" s="286">
        <v>2.0</v>
      </c>
      <c r="J838" s="73"/>
      <c r="K838" s="73"/>
      <c r="L838" s="73"/>
      <c r="M838" s="74"/>
      <c r="N838" s="74"/>
      <c r="O838" s="76"/>
      <c r="P838" s="76"/>
    </row>
    <row r="839" ht="20.25" hidden="1" customHeight="1" outlineLevel="1">
      <c r="A839" s="29"/>
      <c r="B839" s="123" t="s">
        <v>40</v>
      </c>
      <c r="C839" s="123">
        <v>132.0</v>
      </c>
      <c r="D839" s="19"/>
      <c r="E839" s="19"/>
      <c r="F839" s="26" t="s">
        <v>174</v>
      </c>
      <c r="G839" s="76" t="s">
        <v>17</v>
      </c>
      <c r="H839" s="74" t="s">
        <v>25</v>
      </c>
      <c r="I839" s="77">
        <v>1.0</v>
      </c>
      <c r="J839" s="77"/>
      <c r="K839" s="77"/>
      <c r="L839" s="77"/>
      <c r="M839" s="74"/>
      <c r="N839" s="74"/>
      <c r="O839" s="76"/>
      <c r="P839" s="76"/>
    </row>
    <row r="840" ht="20.25" hidden="1" customHeight="1" outlineLevel="1">
      <c r="A840" s="58"/>
      <c r="B840" s="58"/>
      <c r="C840" s="58"/>
      <c r="D840" s="11"/>
      <c r="E840" s="11"/>
      <c r="F840" s="58"/>
      <c r="G840" s="76" t="s">
        <v>17</v>
      </c>
      <c r="H840" s="74" t="s">
        <v>18</v>
      </c>
      <c r="I840" s="73">
        <v>18.0</v>
      </c>
      <c r="J840" s="73"/>
      <c r="K840" s="73"/>
      <c r="L840" s="73"/>
      <c r="M840" s="74"/>
      <c r="N840" s="74"/>
      <c r="O840" s="76"/>
      <c r="P840" s="76"/>
    </row>
    <row r="841" ht="20.25" hidden="1" customHeight="1" outlineLevel="1">
      <c r="A841" s="121">
        <v>46205.0</v>
      </c>
      <c r="B841" s="123" t="s">
        <v>21</v>
      </c>
      <c r="C841" s="123">
        <v>136.0</v>
      </c>
      <c r="D841" s="19"/>
      <c r="E841" s="19"/>
      <c r="F841" s="26" t="s">
        <v>168</v>
      </c>
      <c r="G841" s="76" t="s">
        <v>17</v>
      </c>
      <c r="H841" s="74" t="s">
        <v>25</v>
      </c>
      <c r="I841" s="77">
        <v>1.0</v>
      </c>
      <c r="J841" s="77">
        <v>120.0</v>
      </c>
      <c r="K841" s="77">
        <v>120.0</v>
      </c>
      <c r="L841" s="160">
        <v>25.0</v>
      </c>
      <c r="M841" s="105">
        <v>475.0</v>
      </c>
      <c r="N841" s="105">
        <v>2395.0</v>
      </c>
      <c r="O841" s="76"/>
      <c r="P841" s="76"/>
    </row>
    <row r="842" ht="20.25" hidden="1" customHeight="1" outlineLevel="1">
      <c r="A842" s="57"/>
      <c r="B842" s="58"/>
      <c r="C842" s="58"/>
      <c r="D842" s="11"/>
      <c r="E842" s="11"/>
      <c r="F842" s="58"/>
      <c r="G842" s="76" t="s">
        <v>17</v>
      </c>
      <c r="H842" s="74" t="s">
        <v>18</v>
      </c>
      <c r="I842" s="73">
        <v>18.0</v>
      </c>
      <c r="J842" s="73">
        <v>100.0</v>
      </c>
      <c r="K842" s="73">
        <v>1800.0</v>
      </c>
      <c r="L842" s="58"/>
      <c r="M842" s="108"/>
      <c r="N842" s="108"/>
      <c r="O842" s="76"/>
      <c r="P842" s="76"/>
    </row>
    <row r="843" ht="20.25" hidden="1" customHeight="1" outlineLevel="1">
      <c r="A843" s="29"/>
      <c r="B843" s="123" t="s">
        <v>40</v>
      </c>
      <c r="C843" s="123">
        <v>131.0</v>
      </c>
      <c r="D843" s="19"/>
      <c r="E843" s="19"/>
      <c r="F843" s="26" t="s">
        <v>172</v>
      </c>
      <c r="G843" s="76" t="s">
        <v>17</v>
      </c>
      <c r="H843" s="74" t="s">
        <v>25</v>
      </c>
      <c r="I843" s="77">
        <v>1.0</v>
      </c>
      <c r="J843" s="77"/>
      <c r="K843" s="77"/>
      <c r="L843" s="77"/>
      <c r="M843" s="74"/>
      <c r="N843" s="74"/>
      <c r="O843" s="76"/>
      <c r="P843" s="76"/>
    </row>
    <row r="844" ht="20.25" hidden="1" customHeight="1" outlineLevel="1">
      <c r="A844" s="57"/>
      <c r="B844" s="58"/>
      <c r="C844" s="58"/>
      <c r="D844" s="11"/>
      <c r="E844" s="11"/>
      <c r="F844" s="58"/>
      <c r="G844" s="76" t="s">
        <v>17</v>
      </c>
      <c r="H844" s="74" t="s">
        <v>18</v>
      </c>
      <c r="I844" s="73">
        <v>20.0</v>
      </c>
      <c r="J844" s="73"/>
      <c r="K844" s="73"/>
      <c r="L844" s="73"/>
      <c r="M844" s="74"/>
      <c r="N844" s="74"/>
      <c r="O844" s="76"/>
      <c r="P844" s="76"/>
    </row>
    <row r="845" ht="20.25" hidden="1" customHeight="1" outlineLevel="1">
      <c r="A845" s="29"/>
      <c r="B845" s="123" t="s">
        <v>40</v>
      </c>
      <c r="C845" s="123">
        <v>132.0</v>
      </c>
      <c r="D845" s="19"/>
      <c r="E845" s="19"/>
      <c r="F845" s="26" t="s">
        <v>174</v>
      </c>
      <c r="G845" s="76" t="s">
        <v>17</v>
      </c>
      <c r="H845" s="74" t="s">
        <v>25</v>
      </c>
      <c r="I845" s="77">
        <v>1.0</v>
      </c>
      <c r="J845" s="77"/>
      <c r="K845" s="77"/>
      <c r="L845" s="77"/>
      <c r="M845" s="74"/>
      <c r="N845" s="74"/>
      <c r="O845" s="76"/>
      <c r="P845" s="76"/>
    </row>
    <row r="846" ht="20.25" hidden="1" customHeight="1" outlineLevel="1">
      <c r="A846" s="58"/>
      <c r="B846" s="58"/>
      <c r="C846" s="58"/>
      <c r="D846" s="11"/>
      <c r="E846" s="11"/>
      <c r="F846" s="58"/>
      <c r="G846" s="76" t="s">
        <v>17</v>
      </c>
      <c r="H846" s="74" t="s">
        <v>18</v>
      </c>
      <c r="I846" s="73">
        <v>19.0</v>
      </c>
      <c r="J846" s="73"/>
      <c r="K846" s="73"/>
      <c r="L846" s="73"/>
      <c r="M846" s="74"/>
      <c r="N846" s="74"/>
      <c r="O846" s="76"/>
      <c r="P846" s="76"/>
    </row>
    <row r="847" ht="20.25" hidden="1" customHeight="1" outlineLevel="1">
      <c r="A847" s="121">
        <v>46206.0</v>
      </c>
      <c r="B847" s="123" t="s">
        <v>21</v>
      </c>
      <c r="C847" s="123">
        <v>137.0</v>
      </c>
      <c r="D847" s="19"/>
      <c r="E847" s="19"/>
      <c r="F847" s="26" t="s">
        <v>168</v>
      </c>
      <c r="G847" s="76" t="s">
        <v>17</v>
      </c>
      <c r="H847" s="74" t="s">
        <v>25</v>
      </c>
      <c r="I847" s="77">
        <v>1.0</v>
      </c>
      <c r="J847" s="77">
        <v>120.0</v>
      </c>
      <c r="K847" s="77">
        <v>120.0</v>
      </c>
      <c r="L847" s="160">
        <v>25.0</v>
      </c>
      <c r="M847" s="105">
        <v>400.0</v>
      </c>
      <c r="N847" s="105">
        <v>2020.0</v>
      </c>
      <c r="O847" s="76"/>
      <c r="P847" s="76"/>
    </row>
    <row r="848" ht="20.25" hidden="1" customHeight="1" outlineLevel="1">
      <c r="A848" s="57"/>
      <c r="B848" s="58"/>
      <c r="C848" s="58"/>
      <c r="D848" s="11"/>
      <c r="E848" s="11"/>
      <c r="F848" s="58"/>
      <c r="G848" s="76" t="s">
        <v>17</v>
      </c>
      <c r="H848" s="74" t="s">
        <v>18</v>
      </c>
      <c r="I848" s="73">
        <v>15.0</v>
      </c>
      <c r="J848" s="73">
        <v>100.0</v>
      </c>
      <c r="K848" s="73">
        <v>1500.0</v>
      </c>
      <c r="L848" s="58"/>
      <c r="M848" s="108"/>
      <c r="N848" s="108"/>
      <c r="O848" s="76"/>
      <c r="P848" s="76"/>
    </row>
    <row r="849" ht="20.25" hidden="1" customHeight="1" outlineLevel="1">
      <c r="A849" s="29"/>
      <c r="B849" s="123" t="s">
        <v>40</v>
      </c>
      <c r="C849" s="123">
        <v>135.0</v>
      </c>
      <c r="D849" s="19"/>
      <c r="E849" s="19"/>
      <c r="F849" s="26" t="s">
        <v>172</v>
      </c>
      <c r="G849" s="76" t="s">
        <v>17</v>
      </c>
      <c r="H849" s="74" t="s">
        <v>25</v>
      </c>
      <c r="I849" s="77">
        <v>1.0</v>
      </c>
      <c r="J849" s="77"/>
      <c r="K849" s="77"/>
      <c r="L849" s="77"/>
      <c r="M849" s="74"/>
      <c r="N849" s="74"/>
      <c r="O849" s="76"/>
      <c r="P849" s="76"/>
    </row>
    <row r="850" ht="20.25" hidden="1" customHeight="1" outlineLevel="1">
      <c r="A850" s="57"/>
      <c r="B850" s="58"/>
      <c r="C850" s="58"/>
      <c r="D850" s="11"/>
      <c r="E850" s="11"/>
      <c r="F850" s="58"/>
      <c r="G850" s="76" t="s">
        <v>17</v>
      </c>
      <c r="H850" s="74" t="s">
        <v>18</v>
      </c>
      <c r="I850" s="73">
        <v>18.0</v>
      </c>
      <c r="J850" s="73"/>
      <c r="K850" s="73"/>
      <c r="L850" s="73"/>
      <c r="M850" s="74"/>
      <c r="N850" s="74"/>
      <c r="O850" s="76"/>
      <c r="P850" s="76"/>
    </row>
    <row r="851" ht="20.25" hidden="1" customHeight="1" outlineLevel="1">
      <c r="A851" s="29"/>
      <c r="B851" s="123" t="s">
        <v>40</v>
      </c>
      <c r="C851" s="123">
        <v>132.0</v>
      </c>
      <c r="D851" s="19"/>
      <c r="E851" s="19"/>
      <c r="F851" s="26" t="s">
        <v>174</v>
      </c>
      <c r="G851" s="76" t="s">
        <v>17</v>
      </c>
      <c r="H851" s="74" t="s">
        <v>25</v>
      </c>
      <c r="I851" s="77">
        <v>1.0</v>
      </c>
      <c r="J851" s="77"/>
      <c r="K851" s="77"/>
      <c r="L851" s="77"/>
      <c r="M851" s="74"/>
      <c r="N851" s="74"/>
      <c r="O851" s="76"/>
      <c r="P851" s="76"/>
    </row>
    <row r="852" ht="20.25" hidden="1" customHeight="1" outlineLevel="1">
      <c r="A852" s="58"/>
      <c r="B852" s="58"/>
      <c r="C852" s="58"/>
      <c r="D852" s="11"/>
      <c r="E852" s="11"/>
      <c r="F852" s="58"/>
      <c r="G852" s="76" t="s">
        <v>17</v>
      </c>
      <c r="H852" s="74" t="s">
        <v>18</v>
      </c>
      <c r="I852" s="73">
        <v>19.0</v>
      </c>
      <c r="J852" s="73"/>
      <c r="K852" s="73"/>
      <c r="L852" s="73"/>
      <c r="M852" s="74"/>
      <c r="N852" s="74"/>
      <c r="O852" s="76"/>
      <c r="P852" s="76"/>
    </row>
    <row r="853" ht="20.25" hidden="1" customHeight="1" outlineLevel="1">
      <c r="A853" s="121">
        <v>46207.0</v>
      </c>
      <c r="B853" s="123" t="s">
        <v>21</v>
      </c>
      <c r="C853" s="123">
        <v>131.0</v>
      </c>
      <c r="D853" s="19"/>
      <c r="E853" s="19"/>
      <c r="F853" s="26" t="s">
        <v>168</v>
      </c>
      <c r="G853" s="76" t="s">
        <v>17</v>
      </c>
      <c r="H853" s="74" t="s">
        <v>25</v>
      </c>
      <c r="I853" s="77">
        <v>1.0</v>
      </c>
      <c r="J853" s="77">
        <v>120.0</v>
      </c>
      <c r="K853" s="77">
        <v>120.0</v>
      </c>
      <c r="L853" s="160">
        <v>25.0</v>
      </c>
      <c r="M853" s="105">
        <v>450.0</v>
      </c>
      <c r="N853" s="105">
        <v>2270.0</v>
      </c>
      <c r="O853" s="76"/>
      <c r="P853" s="76"/>
    </row>
    <row r="854" ht="20.25" hidden="1" customHeight="1" outlineLevel="1">
      <c r="A854" s="57"/>
      <c r="B854" s="58"/>
      <c r="C854" s="58"/>
      <c r="D854" s="11"/>
      <c r="E854" s="11"/>
      <c r="F854" s="58"/>
      <c r="G854" s="76" t="s">
        <v>17</v>
      </c>
      <c r="H854" s="74" t="s">
        <v>18</v>
      </c>
      <c r="I854" s="73">
        <v>17.0</v>
      </c>
      <c r="J854" s="73">
        <v>100.0</v>
      </c>
      <c r="K854" s="73">
        <v>1700.0</v>
      </c>
      <c r="L854" s="58"/>
      <c r="M854" s="108"/>
      <c r="N854" s="108"/>
      <c r="O854" s="76"/>
      <c r="P854" s="76"/>
    </row>
    <row r="855" ht="20.25" hidden="1" customHeight="1" outlineLevel="1">
      <c r="A855" s="29"/>
      <c r="B855" s="123" t="s">
        <v>40</v>
      </c>
      <c r="C855" s="123">
        <v>134.0</v>
      </c>
      <c r="D855" s="19"/>
      <c r="E855" s="19"/>
      <c r="F855" s="26" t="s">
        <v>172</v>
      </c>
      <c r="G855" s="76" t="s">
        <v>17</v>
      </c>
      <c r="H855" s="74" t="s">
        <v>25</v>
      </c>
      <c r="I855" s="77">
        <v>1.0</v>
      </c>
      <c r="J855" s="77"/>
      <c r="K855" s="77"/>
      <c r="L855" s="77"/>
      <c r="M855" s="74"/>
      <c r="N855" s="74"/>
      <c r="O855" s="76"/>
      <c r="P855" s="76"/>
    </row>
    <row r="856" ht="20.25" hidden="1" customHeight="1" outlineLevel="1">
      <c r="A856" s="57"/>
      <c r="B856" s="364" t="s">
        <v>21</v>
      </c>
      <c r="C856" s="364">
        <v>109.0</v>
      </c>
      <c r="D856" s="11"/>
      <c r="E856" s="11"/>
      <c r="F856" s="58"/>
      <c r="G856" s="76" t="s">
        <v>17</v>
      </c>
      <c r="H856" s="74" t="s">
        <v>18</v>
      </c>
      <c r="I856" s="73">
        <v>18.0</v>
      </c>
      <c r="J856" s="73"/>
      <c r="K856" s="73"/>
      <c r="L856" s="73"/>
      <c r="M856" s="74"/>
      <c r="N856" s="74"/>
      <c r="O856" s="76"/>
      <c r="P856" s="76"/>
    </row>
    <row r="857" ht="20.25" hidden="1" customHeight="1" outlineLevel="1">
      <c r="A857" s="29"/>
      <c r="B857" s="123" t="s">
        <v>40</v>
      </c>
      <c r="C857" s="123">
        <v>132.0</v>
      </c>
      <c r="D857" s="19"/>
      <c r="E857" s="19"/>
      <c r="F857" s="26" t="s">
        <v>174</v>
      </c>
      <c r="G857" s="76" t="s">
        <v>17</v>
      </c>
      <c r="H857" s="74" t="s">
        <v>25</v>
      </c>
      <c r="I857" s="77">
        <v>1.0</v>
      </c>
      <c r="J857" s="77"/>
      <c r="K857" s="77"/>
      <c r="L857" s="77"/>
      <c r="M857" s="74"/>
      <c r="N857" s="74"/>
      <c r="O857" s="76"/>
      <c r="P857" s="76"/>
    </row>
    <row r="858" ht="20.25" hidden="1" customHeight="1" outlineLevel="1">
      <c r="A858" s="58"/>
      <c r="B858" s="58"/>
      <c r="C858" s="58"/>
      <c r="D858" s="11"/>
      <c r="E858" s="11"/>
      <c r="F858" s="58"/>
      <c r="G858" s="76" t="s">
        <v>17</v>
      </c>
      <c r="H858" s="74" t="s">
        <v>18</v>
      </c>
      <c r="I858" s="73">
        <v>14.0</v>
      </c>
      <c r="J858" s="73"/>
      <c r="K858" s="73"/>
      <c r="L858" s="73"/>
      <c r="M858" s="74"/>
      <c r="N858" s="74"/>
      <c r="O858" s="76"/>
      <c r="P858" s="76"/>
    </row>
    <row r="859" ht="20.25" customHeight="1">
      <c r="A859" s="430"/>
    </row>
    <row r="860" ht="20.25" customHeight="1">
      <c r="A860" s="69">
        <v>46225.0</v>
      </c>
      <c r="B860" s="72" t="s">
        <v>110</v>
      </c>
      <c r="C860" s="72">
        <v>112.0</v>
      </c>
      <c r="D860" s="11"/>
      <c r="E860" s="11"/>
      <c r="F860" s="26" t="s">
        <v>235</v>
      </c>
      <c r="G860" s="74" t="s">
        <v>17</v>
      </c>
      <c r="H860" s="74" t="s">
        <v>25</v>
      </c>
      <c r="I860" s="73">
        <v>1.0</v>
      </c>
      <c r="J860" s="73">
        <v>220.0</v>
      </c>
      <c r="K860" s="73">
        <v>220.0</v>
      </c>
      <c r="L860" s="399">
        <v>400.0</v>
      </c>
      <c r="M860" s="45"/>
      <c r="N860" s="75">
        <v>4085.0</v>
      </c>
      <c r="O860" s="76"/>
      <c r="P860" s="76"/>
    </row>
    <row r="861" ht="20.25" customHeight="1">
      <c r="A861" s="29"/>
      <c r="B861" s="29"/>
      <c r="C861" s="29"/>
      <c r="D861" s="19"/>
      <c r="E861" s="19"/>
      <c r="F861" s="29"/>
      <c r="G861" s="74" t="s">
        <v>17</v>
      </c>
      <c r="H861" s="74" t="s">
        <v>18</v>
      </c>
      <c r="I861" s="77">
        <v>6.0</v>
      </c>
      <c r="J861" s="77">
        <v>200.0</v>
      </c>
      <c r="K861" s="73">
        <v>1200.0</v>
      </c>
      <c r="L861" s="314"/>
      <c r="M861" s="48"/>
      <c r="N861" s="187"/>
      <c r="O861" s="76"/>
      <c r="P861" s="76"/>
    </row>
    <row r="862" ht="20.25" customHeight="1">
      <c r="A862" s="57"/>
      <c r="B862" s="57"/>
      <c r="C862" s="57"/>
      <c r="D862" s="11"/>
      <c r="E862" s="11"/>
      <c r="F862" s="57"/>
      <c r="G862" s="74" t="s">
        <v>17</v>
      </c>
      <c r="H862" s="74" t="s">
        <v>18</v>
      </c>
      <c r="I862" s="73">
        <v>7.0</v>
      </c>
      <c r="J862" s="73">
        <v>145.0</v>
      </c>
      <c r="K862" s="73">
        <v>1015.0</v>
      </c>
      <c r="L862" s="294"/>
      <c r="M862" s="48"/>
      <c r="N862" s="187"/>
      <c r="O862" s="76"/>
      <c r="P862" s="76"/>
    </row>
    <row r="863" ht="20.25" customHeight="1">
      <c r="A863" s="29"/>
      <c r="B863" s="29"/>
      <c r="C863" s="29"/>
      <c r="D863" s="19"/>
      <c r="E863" s="19"/>
      <c r="F863" s="29"/>
      <c r="G863" s="74" t="s">
        <v>17</v>
      </c>
      <c r="H863" s="74" t="s">
        <v>18</v>
      </c>
      <c r="I863" s="77">
        <v>9.0</v>
      </c>
      <c r="J863" s="77">
        <v>120.0</v>
      </c>
      <c r="K863" s="77">
        <v>1080.0</v>
      </c>
      <c r="L863" s="314"/>
      <c r="M863" s="48"/>
      <c r="N863" s="187"/>
      <c r="O863" s="76"/>
      <c r="P863" s="76"/>
    </row>
    <row r="864" ht="20.25" customHeight="1">
      <c r="A864" s="58"/>
      <c r="B864" s="58"/>
      <c r="C864" s="58"/>
      <c r="D864" s="11"/>
      <c r="E864" s="11"/>
      <c r="F864" s="58"/>
      <c r="G864" s="74" t="s">
        <v>17</v>
      </c>
      <c r="H864" s="74" t="s">
        <v>18</v>
      </c>
      <c r="I864" s="73">
        <v>1.0</v>
      </c>
      <c r="J864" s="73">
        <v>170.0</v>
      </c>
      <c r="K864" s="73">
        <v>170.0</v>
      </c>
      <c r="L864" s="321"/>
      <c r="M864" s="51"/>
      <c r="N864" s="108"/>
      <c r="O864" s="76"/>
      <c r="P864" s="76"/>
    </row>
    <row r="865" ht="20.25" customHeight="1">
      <c r="A865" s="121">
        <v>46226.0</v>
      </c>
      <c r="B865" s="123" t="s">
        <v>110</v>
      </c>
      <c r="C865" s="123">
        <v>113.0</v>
      </c>
      <c r="D865" s="19"/>
      <c r="E865" s="19"/>
      <c r="F865" s="26" t="s">
        <v>235</v>
      </c>
      <c r="G865" s="74" t="s">
        <v>17</v>
      </c>
      <c r="H865" s="74" t="s">
        <v>25</v>
      </c>
      <c r="I865" s="77">
        <v>1.0</v>
      </c>
      <c r="J865" s="77">
        <v>220.0</v>
      </c>
      <c r="K865" s="77">
        <v>220.0</v>
      </c>
      <c r="L865" s="389">
        <v>400.0</v>
      </c>
      <c r="M865" s="45"/>
      <c r="N865" s="105">
        <v>3175.0</v>
      </c>
      <c r="O865" s="76"/>
      <c r="P865" s="76"/>
    </row>
    <row r="866" ht="20.25" customHeight="1">
      <c r="A866" s="57"/>
      <c r="B866" s="57"/>
      <c r="C866" s="57"/>
      <c r="D866" s="11"/>
      <c r="E866" s="11"/>
      <c r="F866" s="57"/>
      <c r="G866" s="74" t="s">
        <v>17</v>
      </c>
      <c r="H866" s="74" t="s">
        <v>18</v>
      </c>
      <c r="I866" s="73">
        <v>4.0</v>
      </c>
      <c r="J866" s="73">
        <v>200.0</v>
      </c>
      <c r="K866" s="73">
        <v>800.0</v>
      </c>
      <c r="L866" s="294"/>
      <c r="M866" s="48"/>
      <c r="N866" s="187"/>
      <c r="O866" s="76"/>
      <c r="P866" s="76"/>
    </row>
    <row r="867" ht="20.25" customHeight="1">
      <c r="A867" s="29"/>
      <c r="B867" s="29"/>
      <c r="C867" s="29"/>
      <c r="D867" s="19"/>
      <c r="E867" s="19"/>
      <c r="F867" s="29"/>
      <c r="G867" s="74" t="s">
        <v>17</v>
      </c>
      <c r="H867" s="74" t="s">
        <v>18</v>
      </c>
      <c r="I867" s="77">
        <v>3.0</v>
      </c>
      <c r="J867" s="77">
        <v>145.0</v>
      </c>
      <c r="K867" s="77">
        <v>435.0</v>
      </c>
      <c r="L867" s="314"/>
      <c r="M867" s="48"/>
      <c r="N867" s="187"/>
      <c r="O867" s="76"/>
      <c r="P867" s="76"/>
    </row>
    <row r="868" ht="20.25" customHeight="1">
      <c r="A868" s="57"/>
      <c r="B868" s="58"/>
      <c r="C868" s="58"/>
      <c r="D868" s="11"/>
      <c r="E868" s="11"/>
      <c r="F868" s="58"/>
      <c r="G868" s="74" t="s">
        <v>17</v>
      </c>
      <c r="H868" s="74" t="s">
        <v>18</v>
      </c>
      <c r="I868" s="73">
        <v>11.0</v>
      </c>
      <c r="J868" s="73">
        <v>120.0</v>
      </c>
      <c r="K868" s="73">
        <v>1320.0</v>
      </c>
      <c r="L868" s="321"/>
      <c r="M868" s="51"/>
      <c r="N868" s="108"/>
      <c r="O868" s="76"/>
      <c r="P868" s="76"/>
    </row>
    <row r="869" ht="20.25" customHeight="1">
      <c r="A869" s="29"/>
      <c r="B869" s="123" t="s">
        <v>110</v>
      </c>
      <c r="C869" s="123">
        <v>115.0</v>
      </c>
      <c r="D869" s="19"/>
      <c r="E869" s="19"/>
      <c r="F869" s="26" t="s">
        <v>147</v>
      </c>
      <c r="G869" s="74" t="s">
        <v>17</v>
      </c>
      <c r="H869" s="74" t="s">
        <v>18</v>
      </c>
      <c r="I869" s="77">
        <v>7.0</v>
      </c>
      <c r="J869" s="77">
        <v>200.0</v>
      </c>
      <c r="K869" s="77">
        <v>1400.0</v>
      </c>
      <c r="L869" s="433">
        <v>400.0</v>
      </c>
      <c r="M869" s="48"/>
      <c r="N869" s="434">
        <v>5080.0</v>
      </c>
      <c r="O869" s="76"/>
      <c r="P869" s="76"/>
    </row>
    <row r="870" ht="20.25" customHeight="1">
      <c r="A870" s="57"/>
      <c r="B870" s="57"/>
      <c r="C870" s="57"/>
      <c r="D870" s="11"/>
      <c r="E870" s="11"/>
      <c r="F870" s="57"/>
      <c r="G870" s="74" t="s">
        <v>17</v>
      </c>
      <c r="H870" s="74" t="s">
        <v>18</v>
      </c>
      <c r="I870" s="73">
        <v>1.0</v>
      </c>
      <c r="J870" s="73">
        <v>290.0</v>
      </c>
      <c r="K870" s="73">
        <v>290.0</v>
      </c>
      <c r="L870" s="294"/>
      <c r="M870" s="48"/>
      <c r="N870" s="187"/>
      <c r="O870" s="76"/>
      <c r="P870" s="76"/>
    </row>
    <row r="871" ht="20.25" customHeight="1">
      <c r="A871" s="29"/>
      <c r="B871" s="29"/>
      <c r="C871" s="29"/>
      <c r="D871" s="19"/>
      <c r="E871" s="19"/>
      <c r="F871" s="29"/>
      <c r="G871" s="74" t="s">
        <v>17</v>
      </c>
      <c r="H871" s="74" t="s">
        <v>18</v>
      </c>
      <c r="I871" s="77">
        <v>3.0</v>
      </c>
      <c r="J871" s="77">
        <v>215.0</v>
      </c>
      <c r="K871" s="77">
        <v>645.0</v>
      </c>
      <c r="L871" s="314"/>
      <c r="M871" s="48"/>
      <c r="N871" s="187"/>
      <c r="O871" s="76"/>
      <c r="P871" s="76"/>
    </row>
    <row r="872" ht="20.25" customHeight="1">
      <c r="A872" s="57"/>
      <c r="B872" s="57"/>
      <c r="C872" s="57"/>
      <c r="D872" s="11"/>
      <c r="E872" s="11"/>
      <c r="F872" s="57"/>
      <c r="G872" s="74" t="s">
        <v>17</v>
      </c>
      <c r="H872" s="74" t="s">
        <v>18</v>
      </c>
      <c r="I872" s="73">
        <v>4.0</v>
      </c>
      <c r="J872" s="73">
        <v>145.0</v>
      </c>
      <c r="K872" s="73">
        <v>580.0</v>
      </c>
      <c r="L872" s="294"/>
      <c r="M872" s="48"/>
      <c r="N872" s="187"/>
      <c r="O872" s="76"/>
      <c r="P872" s="76"/>
    </row>
    <row r="873" ht="20.25" customHeight="1">
      <c r="A873" s="29"/>
      <c r="B873" s="29"/>
      <c r="C873" s="29"/>
      <c r="D873" s="19"/>
      <c r="E873" s="19"/>
      <c r="F873" s="29"/>
      <c r="G873" s="74" t="s">
        <v>17</v>
      </c>
      <c r="H873" s="74" t="s">
        <v>18</v>
      </c>
      <c r="I873" s="77">
        <v>1.0</v>
      </c>
      <c r="J873" s="77">
        <v>265.0</v>
      </c>
      <c r="K873" s="77">
        <v>265.0</v>
      </c>
      <c r="L873" s="314"/>
      <c r="M873" s="48"/>
      <c r="N873" s="187"/>
      <c r="O873" s="76"/>
      <c r="P873" s="76"/>
    </row>
    <row r="874" ht="20.25" customHeight="1">
      <c r="A874" s="57"/>
      <c r="B874" s="57"/>
      <c r="C874" s="57"/>
      <c r="D874" s="11"/>
      <c r="E874" s="11"/>
      <c r="F874" s="57"/>
      <c r="G874" s="74" t="s">
        <v>17</v>
      </c>
      <c r="H874" s="74" t="s">
        <v>18</v>
      </c>
      <c r="I874" s="73">
        <v>1.0</v>
      </c>
      <c r="J874" s="73">
        <v>195.0</v>
      </c>
      <c r="K874" s="73">
        <v>195.0</v>
      </c>
      <c r="L874" s="294"/>
      <c r="M874" s="48"/>
      <c r="N874" s="187"/>
      <c r="O874" s="76"/>
      <c r="P874" s="76"/>
    </row>
    <row r="875" ht="20.25" customHeight="1">
      <c r="A875" s="29"/>
      <c r="B875" s="29"/>
      <c r="C875" s="29"/>
      <c r="D875" s="19"/>
      <c r="E875" s="19"/>
      <c r="F875" s="29"/>
      <c r="G875" s="74" t="s">
        <v>17</v>
      </c>
      <c r="H875" s="74" t="s">
        <v>18</v>
      </c>
      <c r="I875" s="77">
        <v>2.0</v>
      </c>
      <c r="J875" s="77">
        <v>120.0</v>
      </c>
      <c r="K875" s="77">
        <v>240.0</v>
      </c>
      <c r="L875" s="314"/>
      <c r="M875" s="48"/>
      <c r="N875" s="187"/>
      <c r="O875" s="76"/>
      <c r="P875" s="76"/>
    </row>
    <row r="876" ht="20.25" customHeight="1">
      <c r="A876" s="57"/>
      <c r="B876" s="57"/>
      <c r="C876" s="57"/>
      <c r="D876" s="11"/>
      <c r="E876" s="11"/>
      <c r="F876" s="57"/>
      <c r="G876" s="74" t="s">
        <v>17</v>
      </c>
      <c r="H876" s="74" t="s">
        <v>18</v>
      </c>
      <c r="I876" s="73">
        <v>1.0</v>
      </c>
      <c r="J876" s="73">
        <v>315.0</v>
      </c>
      <c r="K876" s="73">
        <v>315.0</v>
      </c>
      <c r="L876" s="294"/>
      <c r="M876" s="48"/>
      <c r="N876" s="187"/>
      <c r="O876" s="76"/>
      <c r="P876" s="76"/>
    </row>
    <row r="877" ht="20.25" customHeight="1">
      <c r="A877" s="29"/>
      <c r="B877" s="29"/>
      <c r="C877" s="29"/>
      <c r="D877" s="19"/>
      <c r="E877" s="19"/>
      <c r="F877" s="29"/>
      <c r="G877" s="74" t="s">
        <v>17</v>
      </c>
      <c r="H877" s="74" t="s">
        <v>18</v>
      </c>
      <c r="I877" s="77">
        <v>3.0</v>
      </c>
      <c r="J877" s="77">
        <v>170.0</v>
      </c>
      <c r="K877" s="77">
        <v>510.0</v>
      </c>
      <c r="L877" s="314"/>
      <c r="M877" s="48"/>
      <c r="N877" s="187"/>
      <c r="O877" s="76"/>
      <c r="P877" s="76"/>
    </row>
    <row r="878" ht="20.25" customHeight="1">
      <c r="A878" s="58"/>
      <c r="B878" s="58"/>
      <c r="C878" s="58"/>
      <c r="D878" s="11"/>
      <c r="E878" s="11"/>
      <c r="F878" s="58"/>
      <c r="G878" s="74" t="s">
        <v>17</v>
      </c>
      <c r="H878" s="74" t="s">
        <v>18</v>
      </c>
      <c r="I878" s="73">
        <v>1.0</v>
      </c>
      <c r="J878" s="73">
        <v>240.0</v>
      </c>
      <c r="K878" s="73">
        <v>240.0</v>
      </c>
      <c r="L878" s="321"/>
      <c r="M878" s="51"/>
      <c r="N878" s="108"/>
      <c r="O878" s="76"/>
      <c r="P878" s="76"/>
    </row>
    <row r="879" ht="20.25" customHeight="1">
      <c r="A879" s="121">
        <v>46227.0</v>
      </c>
      <c r="B879" s="123" t="s">
        <v>21</v>
      </c>
      <c r="C879" s="123">
        <v>128.0</v>
      </c>
      <c r="D879" s="19"/>
      <c r="E879" s="19"/>
      <c r="F879" s="407" t="s">
        <v>240</v>
      </c>
      <c r="G879" s="74" t="s">
        <v>17</v>
      </c>
      <c r="H879" s="74" t="s">
        <v>25</v>
      </c>
      <c r="I879" s="77">
        <v>1.0</v>
      </c>
      <c r="J879" s="77">
        <v>120.0</v>
      </c>
      <c r="K879" s="77">
        <v>120.0</v>
      </c>
      <c r="L879" s="160">
        <v>30.0</v>
      </c>
      <c r="M879" s="105">
        <v>570.0</v>
      </c>
      <c r="N879" s="105">
        <v>2490.0</v>
      </c>
      <c r="O879" s="76"/>
      <c r="P879" s="76"/>
    </row>
    <row r="880" ht="20.25" customHeight="1">
      <c r="A880" s="57"/>
      <c r="B880" s="58"/>
      <c r="C880" s="58"/>
      <c r="D880" s="11"/>
      <c r="E880" s="11"/>
      <c r="F880" s="58"/>
      <c r="G880" s="74" t="s">
        <v>17</v>
      </c>
      <c r="H880" s="74" t="s">
        <v>18</v>
      </c>
      <c r="I880" s="73">
        <v>18.0</v>
      </c>
      <c r="J880" s="73">
        <v>100.0</v>
      </c>
      <c r="K880" s="73">
        <v>1800.0</v>
      </c>
      <c r="L880" s="58"/>
      <c r="M880" s="108"/>
      <c r="N880" s="108"/>
      <c r="O880" s="76"/>
      <c r="P880" s="76"/>
    </row>
    <row r="881" ht="20.25" customHeight="1">
      <c r="A881" s="29"/>
      <c r="B881" s="123" t="s">
        <v>110</v>
      </c>
      <c r="C881" s="19">
        <v>113.0</v>
      </c>
      <c r="D881" s="19"/>
      <c r="E881" s="19"/>
      <c r="F881" s="407" t="s">
        <v>241</v>
      </c>
      <c r="G881" s="74" t="s">
        <v>17</v>
      </c>
      <c r="H881" s="74" t="s">
        <v>25</v>
      </c>
      <c r="I881" s="77">
        <v>0.0</v>
      </c>
      <c r="J881" s="77">
        <v>0.0</v>
      </c>
      <c r="K881" s="77">
        <v>0.0</v>
      </c>
      <c r="L881" s="160">
        <v>25.0</v>
      </c>
      <c r="M881" s="105">
        <v>275.0</v>
      </c>
      <c r="N881" s="105">
        <v>1375.0</v>
      </c>
      <c r="O881" s="76"/>
      <c r="P881" s="76"/>
    </row>
    <row r="882" ht="20.25" customHeight="1">
      <c r="A882" s="57"/>
      <c r="B882" s="58"/>
      <c r="C882" s="11">
        <v>115.0</v>
      </c>
      <c r="D882" s="11"/>
      <c r="E882" s="11"/>
      <c r="F882" s="58"/>
      <c r="G882" s="74" t="s">
        <v>17</v>
      </c>
      <c r="H882" s="74" t="s">
        <v>18</v>
      </c>
      <c r="I882" s="73">
        <v>11.0</v>
      </c>
      <c r="J882" s="73">
        <v>100.0</v>
      </c>
      <c r="K882" s="73">
        <v>1100.0</v>
      </c>
      <c r="L882" s="58"/>
      <c r="M882" s="108"/>
      <c r="N882" s="108"/>
      <c r="O882" s="76"/>
      <c r="P882" s="76"/>
    </row>
    <row r="883" ht="20.25" customHeight="1">
      <c r="A883" s="29"/>
      <c r="B883" s="123" t="s">
        <v>110</v>
      </c>
      <c r="C883" s="123">
        <v>114.0</v>
      </c>
      <c r="D883" s="19"/>
      <c r="E883" s="19"/>
      <c r="F883" s="26" t="s">
        <v>235</v>
      </c>
      <c r="G883" s="74" t="s">
        <v>17</v>
      </c>
      <c r="H883" s="74" t="s">
        <v>25</v>
      </c>
      <c r="I883" s="77">
        <v>1.0</v>
      </c>
      <c r="J883" s="77">
        <v>220.0</v>
      </c>
      <c r="K883" s="77">
        <v>220.0</v>
      </c>
      <c r="L883" s="389">
        <v>400.0</v>
      </c>
      <c r="M883" s="45"/>
      <c r="N883" s="105">
        <v>3285.0</v>
      </c>
      <c r="O883" s="76"/>
      <c r="P883" s="76"/>
    </row>
    <row r="884" ht="20.25" customHeight="1">
      <c r="A884" s="57"/>
      <c r="B884" s="57"/>
      <c r="C884" s="57"/>
      <c r="D884" s="11"/>
      <c r="E884" s="11"/>
      <c r="F884" s="57"/>
      <c r="G884" s="74" t="s">
        <v>17</v>
      </c>
      <c r="H884" s="74" t="s">
        <v>18</v>
      </c>
      <c r="I884" s="73">
        <v>4.0</v>
      </c>
      <c r="J884" s="73">
        <v>150.0</v>
      </c>
      <c r="K884" s="73">
        <v>600.0</v>
      </c>
      <c r="L884" s="294"/>
      <c r="M884" s="48"/>
      <c r="N884" s="187"/>
      <c r="O884" s="76"/>
      <c r="P884" s="76"/>
    </row>
    <row r="885" ht="20.25" customHeight="1">
      <c r="A885" s="29"/>
      <c r="B885" s="29"/>
      <c r="C885" s="29"/>
      <c r="D885" s="19"/>
      <c r="E885" s="19"/>
      <c r="F885" s="29"/>
      <c r="G885" s="74" t="s">
        <v>17</v>
      </c>
      <c r="H885" s="74" t="s">
        <v>18</v>
      </c>
      <c r="I885" s="77">
        <v>16.0</v>
      </c>
      <c r="J885" s="77">
        <v>120.0</v>
      </c>
      <c r="K885" s="77">
        <v>1920.0</v>
      </c>
      <c r="L885" s="314"/>
      <c r="M885" s="48"/>
      <c r="N885" s="187"/>
      <c r="O885" s="76"/>
      <c r="P885" s="76"/>
    </row>
    <row r="886" ht="20.25" customHeight="1">
      <c r="A886" s="57"/>
      <c r="B886" s="58"/>
      <c r="C886" s="58"/>
      <c r="D886" s="11"/>
      <c r="E886" s="11"/>
      <c r="F886" s="58"/>
      <c r="G886" s="74" t="s">
        <v>17</v>
      </c>
      <c r="H886" s="74" t="s">
        <v>18</v>
      </c>
      <c r="I886" s="73">
        <v>1.0</v>
      </c>
      <c r="J886" s="73">
        <v>145.0</v>
      </c>
      <c r="K886" s="73">
        <v>145.0</v>
      </c>
      <c r="L886" s="321"/>
      <c r="M886" s="51"/>
      <c r="N886" s="108"/>
      <c r="O886" s="76"/>
      <c r="P886" s="76"/>
    </row>
    <row r="887" ht="20.25" customHeight="1">
      <c r="A887" s="29"/>
      <c r="B887" s="123" t="s">
        <v>110</v>
      </c>
      <c r="C887" s="123">
        <v>116.0</v>
      </c>
      <c r="D887" s="19"/>
      <c r="E887" s="19"/>
      <c r="F887" s="26" t="s">
        <v>147</v>
      </c>
      <c r="G887" s="74" t="s">
        <v>17</v>
      </c>
      <c r="H887" s="74" t="s">
        <v>18</v>
      </c>
      <c r="I887" s="77">
        <v>6.0</v>
      </c>
      <c r="J887" s="77">
        <v>150.0</v>
      </c>
      <c r="K887" s="77">
        <v>900.0</v>
      </c>
      <c r="L887" s="389">
        <v>400.0</v>
      </c>
      <c r="M887" s="45"/>
      <c r="N887" s="105">
        <v>3560.0</v>
      </c>
      <c r="O887" s="76"/>
      <c r="P887" s="76"/>
    </row>
    <row r="888" ht="20.25" customHeight="1">
      <c r="A888" s="57"/>
      <c r="B888" s="57"/>
      <c r="C888" s="57"/>
      <c r="D888" s="11"/>
      <c r="E888" s="11"/>
      <c r="F888" s="57"/>
      <c r="G888" s="74" t="s">
        <v>17</v>
      </c>
      <c r="H888" s="74" t="s">
        <v>18</v>
      </c>
      <c r="I888" s="73">
        <v>5.0</v>
      </c>
      <c r="J888" s="73">
        <v>170.0</v>
      </c>
      <c r="K888" s="73">
        <v>850.0</v>
      </c>
      <c r="L888" s="294"/>
      <c r="M888" s="48"/>
      <c r="N888" s="187"/>
      <c r="O888" s="76"/>
      <c r="P888" s="76"/>
    </row>
    <row r="889" ht="20.25" customHeight="1">
      <c r="A889" s="29"/>
      <c r="B889" s="29"/>
      <c r="C889" s="29"/>
      <c r="D889" s="19"/>
      <c r="E889" s="19"/>
      <c r="F889" s="29"/>
      <c r="G889" s="74" t="s">
        <v>17</v>
      </c>
      <c r="H889" s="74" t="s">
        <v>18</v>
      </c>
      <c r="I889" s="77">
        <v>2.0</v>
      </c>
      <c r="J889" s="77">
        <v>145.0</v>
      </c>
      <c r="K889" s="77">
        <v>290.0</v>
      </c>
      <c r="L889" s="314"/>
      <c r="M889" s="48"/>
      <c r="N889" s="187"/>
      <c r="O889" s="76"/>
      <c r="P889" s="76"/>
    </row>
    <row r="890" ht="20.25" customHeight="1">
      <c r="A890" s="57"/>
      <c r="B890" s="57"/>
      <c r="C890" s="57"/>
      <c r="D890" s="11"/>
      <c r="E890" s="11"/>
      <c r="F890" s="57"/>
      <c r="G890" s="74" t="s">
        <v>17</v>
      </c>
      <c r="H890" s="74" t="s">
        <v>18</v>
      </c>
      <c r="I890" s="73">
        <v>4.0</v>
      </c>
      <c r="J890" s="73">
        <v>190.0</v>
      </c>
      <c r="K890" s="73">
        <v>760.0</v>
      </c>
      <c r="L890" s="294"/>
      <c r="M890" s="48"/>
      <c r="N890" s="187"/>
      <c r="O890" s="76"/>
      <c r="P890" s="76"/>
    </row>
    <row r="891" ht="20.25" customHeight="1">
      <c r="A891" s="29"/>
      <c r="B891" s="29"/>
      <c r="C891" s="20"/>
      <c r="D891" s="19"/>
      <c r="E891" s="19"/>
      <c r="F891" s="20"/>
      <c r="G891" s="74" t="s">
        <v>17</v>
      </c>
      <c r="H891" s="74" t="s">
        <v>18</v>
      </c>
      <c r="I891" s="77">
        <v>3.0</v>
      </c>
      <c r="J891" s="77">
        <v>120.0</v>
      </c>
      <c r="K891" s="77">
        <v>360.0</v>
      </c>
      <c r="L891" s="311"/>
      <c r="M891" s="51"/>
      <c r="N891" s="108"/>
      <c r="O891" s="76"/>
      <c r="P891" s="76"/>
    </row>
    <row r="892" ht="20.25" customHeight="1">
      <c r="A892" s="69">
        <v>46228.0</v>
      </c>
      <c r="B892" s="72" t="s">
        <v>21</v>
      </c>
      <c r="C892" s="72">
        <v>128.0</v>
      </c>
      <c r="D892" s="11"/>
      <c r="E892" s="11"/>
      <c r="F892" s="26" t="s">
        <v>240</v>
      </c>
      <c r="G892" s="74" t="s">
        <v>17</v>
      </c>
      <c r="H892" s="74" t="s">
        <v>25</v>
      </c>
      <c r="I892" s="73">
        <v>1.0</v>
      </c>
      <c r="J892" s="73">
        <v>120.0</v>
      </c>
      <c r="K892" s="73">
        <v>120.0</v>
      </c>
      <c r="L892" s="75">
        <v>30.0</v>
      </c>
      <c r="M892" s="105">
        <v>450.0</v>
      </c>
      <c r="N892" s="105">
        <v>1970.0</v>
      </c>
      <c r="O892" s="76"/>
      <c r="P892" s="76"/>
    </row>
    <row r="893" ht="20.25" customHeight="1">
      <c r="A893" s="29"/>
      <c r="B893" s="20"/>
      <c r="C893" s="20"/>
      <c r="D893" s="19"/>
      <c r="E893" s="19"/>
      <c r="F893" s="20"/>
      <c r="G893" s="74" t="s">
        <v>17</v>
      </c>
      <c r="H893" s="74" t="s">
        <v>18</v>
      </c>
      <c r="I893" s="77">
        <v>14.0</v>
      </c>
      <c r="J893" s="77">
        <v>100.0</v>
      </c>
      <c r="K893" s="77">
        <v>1400.0</v>
      </c>
      <c r="L893" s="20"/>
      <c r="M893" s="108"/>
      <c r="N893" s="108"/>
      <c r="O893" s="76"/>
      <c r="P893" s="76"/>
    </row>
    <row r="894" ht="20.25" customHeight="1">
      <c r="A894" s="57"/>
      <c r="B894" s="72" t="s">
        <v>110</v>
      </c>
      <c r="C894" s="11">
        <v>113.0</v>
      </c>
      <c r="D894" s="11"/>
      <c r="E894" s="11"/>
      <c r="F894" s="26" t="s">
        <v>244</v>
      </c>
      <c r="G894" s="74" t="s">
        <v>17</v>
      </c>
      <c r="H894" s="74" t="s">
        <v>25</v>
      </c>
      <c r="I894" s="73">
        <v>1.0</v>
      </c>
      <c r="J894" s="73">
        <v>120.0</v>
      </c>
      <c r="K894" s="73">
        <v>120.0</v>
      </c>
      <c r="L894" s="75">
        <v>25.0</v>
      </c>
      <c r="M894" s="105">
        <v>450.0</v>
      </c>
      <c r="N894" s="105">
        <v>2270.0</v>
      </c>
      <c r="O894" s="76"/>
      <c r="P894" s="76"/>
    </row>
    <row r="895" ht="20.25" customHeight="1">
      <c r="A895" s="29"/>
      <c r="B895" s="20"/>
      <c r="C895" s="19">
        <v>114.0</v>
      </c>
      <c r="D895" s="19"/>
      <c r="E895" s="19"/>
      <c r="F895" s="20"/>
      <c r="G895" s="74" t="s">
        <v>17</v>
      </c>
      <c r="H895" s="74" t="s">
        <v>18</v>
      </c>
      <c r="I895" s="77">
        <v>17.0</v>
      </c>
      <c r="J895" s="77">
        <v>100.0</v>
      </c>
      <c r="K895" s="77">
        <v>1700.0</v>
      </c>
      <c r="L895" s="20"/>
      <c r="M895" s="108"/>
      <c r="N895" s="108"/>
      <c r="O895" s="76"/>
      <c r="P895" s="76"/>
    </row>
    <row r="896" ht="20.25" customHeight="1">
      <c r="A896" s="57"/>
      <c r="B896" s="72" t="s">
        <v>110</v>
      </c>
      <c r="C896" s="72">
        <v>117.0</v>
      </c>
      <c r="D896" s="11"/>
      <c r="E896" s="11"/>
      <c r="F896" s="26" t="s">
        <v>235</v>
      </c>
      <c r="G896" s="74" t="s">
        <v>17</v>
      </c>
      <c r="H896" s="74" t="s">
        <v>25</v>
      </c>
      <c r="I896" s="73">
        <v>1.0</v>
      </c>
      <c r="J896" s="73">
        <v>220.0</v>
      </c>
      <c r="K896" s="73">
        <v>220.0</v>
      </c>
      <c r="L896" s="399">
        <v>400.0</v>
      </c>
      <c r="M896" s="45"/>
      <c r="N896" s="105">
        <v>4450.0</v>
      </c>
      <c r="O896" s="76"/>
      <c r="P896" s="76"/>
    </row>
    <row r="897" ht="20.25" customHeight="1">
      <c r="A897" s="29"/>
      <c r="B897" s="29"/>
      <c r="C897" s="29"/>
      <c r="D897" s="19"/>
      <c r="E897" s="19"/>
      <c r="F897" s="29"/>
      <c r="G897" s="74" t="s">
        <v>17</v>
      </c>
      <c r="H897" s="74" t="s">
        <v>18</v>
      </c>
      <c r="I897" s="77">
        <v>6.0</v>
      </c>
      <c r="J897" s="77">
        <v>150.0</v>
      </c>
      <c r="K897" s="77">
        <v>900.0</v>
      </c>
      <c r="L897" s="314"/>
      <c r="M897" s="48"/>
      <c r="N897" s="187"/>
      <c r="O897" s="76"/>
      <c r="P897" s="76"/>
    </row>
    <row r="898" ht="20.25" customHeight="1">
      <c r="A898" s="57"/>
      <c r="B898" s="57"/>
      <c r="C898" s="57"/>
      <c r="D898" s="11"/>
      <c r="E898" s="11"/>
      <c r="F898" s="57"/>
      <c r="G898" s="74" t="s">
        <v>17</v>
      </c>
      <c r="H898" s="74" t="s">
        <v>18</v>
      </c>
      <c r="I898" s="73">
        <v>2.0</v>
      </c>
      <c r="J898" s="73">
        <v>120.0</v>
      </c>
      <c r="K898" s="73">
        <v>240.0</v>
      </c>
      <c r="L898" s="294"/>
      <c r="M898" s="48"/>
      <c r="N898" s="187"/>
      <c r="O898" s="76"/>
      <c r="P898" s="76"/>
    </row>
    <row r="899" ht="20.25" customHeight="1">
      <c r="A899" s="29"/>
      <c r="B899" s="29"/>
      <c r="C899" s="29"/>
      <c r="D899" s="19"/>
      <c r="E899" s="19"/>
      <c r="F899" s="29"/>
      <c r="G899" s="74" t="s">
        <v>17</v>
      </c>
      <c r="H899" s="74" t="s">
        <v>18</v>
      </c>
      <c r="I899" s="77">
        <v>6.0</v>
      </c>
      <c r="J899" s="77">
        <v>190.0</v>
      </c>
      <c r="K899" s="77">
        <v>1140.0</v>
      </c>
      <c r="L899" s="314"/>
      <c r="M899" s="48"/>
      <c r="N899" s="187"/>
      <c r="O899" s="76"/>
      <c r="P899" s="76"/>
    </row>
    <row r="900" ht="20.25" customHeight="1">
      <c r="A900" s="57"/>
      <c r="B900" s="57"/>
      <c r="C900" s="57"/>
      <c r="D900" s="11"/>
      <c r="E900" s="11"/>
      <c r="F900" s="57"/>
      <c r="G900" s="74" t="s">
        <v>17</v>
      </c>
      <c r="H900" s="74" t="s">
        <v>18</v>
      </c>
      <c r="I900" s="73">
        <v>7.0</v>
      </c>
      <c r="J900" s="73">
        <v>170.0</v>
      </c>
      <c r="K900" s="73">
        <v>1190.0</v>
      </c>
      <c r="L900" s="294"/>
      <c r="M900" s="48"/>
      <c r="N900" s="187"/>
      <c r="O900" s="76"/>
      <c r="P900" s="76"/>
    </row>
    <row r="901" ht="20.25" customHeight="1">
      <c r="A901" s="29"/>
      <c r="B901" s="29"/>
      <c r="C901" s="29"/>
      <c r="D901" s="19"/>
      <c r="E901" s="19"/>
      <c r="F901" s="29"/>
      <c r="G901" s="74" t="s">
        <v>17</v>
      </c>
      <c r="H901" s="74" t="s">
        <v>18</v>
      </c>
      <c r="I901" s="77">
        <v>1.0</v>
      </c>
      <c r="J901" s="77">
        <v>145.0</v>
      </c>
      <c r="K901" s="77">
        <v>145.0</v>
      </c>
      <c r="L901" s="314"/>
      <c r="M901" s="48"/>
      <c r="N901" s="187"/>
      <c r="O901" s="76"/>
      <c r="P901" s="76"/>
    </row>
    <row r="902" ht="20.25" customHeight="1">
      <c r="A902" s="57"/>
      <c r="B902" s="58"/>
      <c r="C902" s="58"/>
      <c r="D902" s="11"/>
      <c r="E902" s="11"/>
      <c r="F902" s="58"/>
      <c r="G902" s="74" t="s">
        <v>17</v>
      </c>
      <c r="H902" s="74" t="s">
        <v>18</v>
      </c>
      <c r="I902" s="73">
        <v>1.0</v>
      </c>
      <c r="J902" s="73">
        <v>215.0</v>
      </c>
      <c r="K902" s="73">
        <v>215.0</v>
      </c>
      <c r="L902" s="321"/>
      <c r="M902" s="51"/>
      <c r="N902" s="108"/>
      <c r="O902" s="76"/>
      <c r="P902" s="76"/>
    </row>
    <row r="903" ht="20.25" customHeight="1">
      <c r="A903" s="29"/>
      <c r="B903" s="123" t="s">
        <v>110</v>
      </c>
      <c r="C903" s="19">
        <v>116.0</v>
      </c>
      <c r="D903" s="19"/>
      <c r="E903" s="19"/>
      <c r="F903" s="26" t="s">
        <v>147</v>
      </c>
      <c r="G903" s="74" t="s">
        <v>17</v>
      </c>
      <c r="H903" s="74" t="s">
        <v>18</v>
      </c>
      <c r="I903" s="77">
        <v>5.0</v>
      </c>
      <c r="J903" s="77">
        <v>150.0</v>
      </c>
      <c r="K903" s="77">
        <v>750.0</v>
      </c>
      <c r="L903" s="389">
        <v>400.0</v>
      </c>
      <c r="M903" s="45"/>
      <c r="N903" s="105">
        <v>3455.0</v>
      </c>
      <c r="O903" s="76"/>
      <c r="P903" s="76"/>
    </row>
    <row r="904" ht="20.25" customHeight="1">
      <c r="A904" s="57"/>
      <c r="B904" s="57"/>
      <c r="C904" s="72">
        <v>118.0</v>
      </c>
      <c r="D904" s="11"/>
      <c r="E904" s="11"/>
      <c r="F904" s="57"/>
      <c r="G904" s="74" t="s">
        <v>17</v>
      </c>
      <c r="H904" s="74" t="s">
        <v>18</v>
      </c>
      <c r="I904" s="73">
        <v>10.0</v>
      </c>
      <c r="J904" s="73">
        <v>120.0</v>
      </c>
      <c r="K904" s="73">
        <v>1200.0</v>
      </c>
      <c r="L904" s="294"/>
      <c r="M904" s="48"/>
      <c r="N904" s="187"/>
      <c r="O904" s="76"/>
      <c r="P904" s="76"/>
    </row>
    <row r="905" ht="20.25" customHeight="1">
      <c r="A905" s="29"/>
      <c r="B905" s="29"/>
      <c r="C905" s="29"/>
      <c r="D905" s="19"/>
      <c r="E905" s="19"/>
      <c r="F905" s="29"/>
      <c r="G905" s="74" t="s">
        <v>17</v>
      </c>
      <c r="H905" s="74" t="s">
        <v>18</v>
      </c>
      <c r="I905" s="77">
        <v>4.0</v>
      </c>
      <c r="J905" s="77">
        <v>170.0</v>
      </c>
      <c r="K905" s="77">
        <v>680.0</v>
      </c>
      <c r="L905" s="314"/>
      <c r="M905" s="48"/>
      <c r="N905" s="187"/>
      <c r="O905" s="76"/>
      <c r="P905" s="76"/>
    </row>
    <row r="906" ht="20.25" customHeight="1">
      <c r="A906" s="57"/>
      <c r="B906" s="57"/>
      <c r="C906" s="57"/>
      <c r="D906" s="11"/>
      <c r="E906" s="11"/>
      <c r="F906" s="57"/>
      <c r="G906" s="74" t="s">
        <v>17</v>
      </c>
      <c r="H906" s="74" t="s">
        <v>18</v>
      </c>
      <c r="I906" s="73">
        <v>2.0</v>
      </c>
      <c r="J906" s="73">
        <v>145.0</v>
      </c>
      <c r="K906" s="73">
        <v>290.0</v>
      </c>
      <c r="L906" s="294"/>
      <c r="M906" s="48"/>
      <c r="N906" s="187"/>
      <c r="O906" s="76"/>
      <c r="P906" s="76"/>
    </row>
    <row r="907" ht="20.25" customHeight="1">
      <c r="A907" s="20"/>
      <c r="B907" s="20"/>
      <c r="C907" s="20"/>
      <c r="D907" s="19"/>
      <c r="E907" s="19"/>
      <c r="F907" s="20"/>
      <c r="G907" s="74" t="s">
        <v>17</v>
      </c>
      <c r="H907" s="74" t="s">
        <v>18</v>
      </c>
      <c r="I907" s="77">
        <v>1.0</v>
      </c>
      <c r="J907" s="77">
        <v>135.0</v>
      </c>
      <c r="K907" s="77">
        <v>135.0</v>
      </c>
      <c r="L907" s="311"/>
      <c r="M907" s="51"/>
      <c r="N907" s="108"/>
      <c r="O907" s="76"/>
      <c r="P907" s="76"/>
    </row>
    <row r="908" ht="20.25" customHeight="1">
      <c r="A908" s="69">
        <v>46229.0</v>
      </c>
      <c r="B908" s="72" t="s">
        <v>21</v>
      </c>
      <c r="C908" s="72">
        <v>132.0</v>
      </c>
      <c r="D908" s="11"/>
      <c r="E908" s="11"/>
      <c r="F908" s="26" t="s">
        <v>240</v>
      </c>
      <c r="G908" s="74" t="s">
        <v>17</v>
      </c>
      <c r="H908" s="74" t="s">
        <v>25</v>
      </c>
      <c r="I908" s="73">
        <v>1.0</v>
      </c>
      <c r="J908" s="73">
        <v>120.0</v>
      </c>
      <c r="K908" s="73">
        <v>120.0</v>
      </c>
      <c r="L908" s="75">
        <v>30.0</v>
      </c>
      <c r="M908" s="105">
        <v>630.0</v>
      </c>
      <c r="N908" s="105">
        <v>2750.0</v>
      </c>
      <c r="O908" s="76"/>
      <c r="P908" s="76"/>
    </row>
    <row r="909" ht="20.25" customHeight="1">
      <c r="A909" s="29"/>
      <c r="B909" s="20"/>
      <c r="C909" s="20"/>
      <c r="D909" s="19"/>
      <c r="E909" s="19"/>
      <c r="F909" s="20"/>
      <c r="G909" s="74" t="s">
        <v>17</v>
      </c>
      <c r="H909" s="74" t="s">
        <v>18</v>
      </c>
      <c r="I909" s="77">
        <v>20.0</v>
      </c>
      <c r="J909" s="77">
        <v>100.0</v>
      </c>
      <c r="K909" s="77">
        <v>2000.0</v>
      </c>
      <c r="L909" s="20"/>
      <c r="M909" s="108"/>
      <c r="N909" s="108"/>
      <c r="O909" s="76"/>
      <c r="P909" s="76"/>
    </row>
    <row r="910" ht="20.25" customHeight="1">
      <c r="A910" s="57"/>
      <c r="B910" s="72" t="s">
        <v>110</v>
      </c>
      <c r="C910" s="72">
        <v>115.0</v>
      </c>
      <c r="D910" s="11"/>
      <c r="E910" s="11"/>
      <c r="F910" s="26" t="s">
        <v>244</v>
      </c>
      <c r="G910" s="74" t="s">
        <v>17</v>
      </c>
      <c r="H910" s="74" t="s">
        <v>25</v>
      </c>
      <c r="I910" s="73">
        <v>1.0</v>
      </c>
      <c r="J910" s="73">
        <v>120.0</v>
      </c>
      <c r="K910" s="73">
        <v>120.0</v>
      </c>
      <c r="L910" s="75">
        <v>25.0</v>
      </c>
      <c r="M910" s="105">
        <v>350.0</v>
      </c>
      <c r="N910" s="105">
        <v>1770.0</v>
      </c>
      <c r="O910" s="76"/>
      <c r="P910" s="76"/>
    </row>
    <row r="911" ht="20.25" customHeight="1">
      <c r="A911" s="29"/>
      <c r="B911" s="20"/>
      <c r="C911" s="20"/>
      <c r="D911" s="19"/>
      <c r="E911" s="19"/>
      <c r="F911" s="20"/>
      <c r="G911" s="74" t="s">
        <v>17</v>
      </c>
      <c r="H911" s="74" t="s">
        <v>18</v>
      </c>
      <c r="I911" s="77">
        <v>13.0</v>
      </c>
      <c r="J911" s="77">
        <v>100.0</v>
      </c>
      <c r="K911" s="77">
        <v>1300.0</v>
      </c>
      <c r="L911" s="20"/>
      <c r="M911" s="108"/>
      <c r="N911" s="108"/>
      <c r="O911" s="76"/>
      <c r="P911" s="76"/>
    </row>
    <row r="912" ht="20.25" customHeight="1">
      <c r="A912" s="57"/>
      <c r="B912" s="72" t="s">
        <v>110</v>
      </c>
      <c r="C912" s="72">
        <v>118.0</v>
      </c>
      <c r="D912" s="11"/>
      <c r="E912" s="11"/>
      <c r="F912" s="26" t="s">
        <v>235</v>
      </c>
      <c r="G912" s="74" t="s">
        <v>17</v>
      </c>
      <c r="H912" s="74" t="s">
        <v>25</v>
      </c>
      <c r="I912" s="73">
        <v>1.0</v>
      </c>
      <c r="J912" s="73">
        <v>220.0</v>
      </c>
      <c r="K912" s="73">
        <v>220.0</v>
      </c>
      <c r="L912" s="399">
        <v>400.0</v>
      </c>
      <c r="M912" s="45"/>
      <c r="N912" s="105">
        <v>4400.0</v>
      </c>
      <c r="O912" s="76"/>
      <c r="P912" s="76"/>
    </row>
    <row r="913" ht="20.25" customHeight="1">
      <c r="A913" s="29"/>
      <c r="B913" s="29"/>
      <c r="C913" s="29"/>
      <c r="D913" s="19"/>
      <c r="E913" s="19"/>
      <c r="F913" s="29"/>
      <c r="G913" s="74" t="s">
        <v>17</v>
      </c>
      <c r="H913" s="74" t="s">
        <v>18</v>
      </c>
      <c r="I913" s="77">
        <v>6.0</v>
      </c>
      <c r="J913" s="77">
        <v>150.0</v>
      </c>
      <c r="K913" s="77">
        <v>900.0</v>
      </c>
      <c r="L913" s="314"/>
      <c r="M913" s="48"/>
      <c r="N913" s="187"/>
      <c r="O913" s="76"/>
      <c r="P913" s="76"/>
    </row>
    <row r="914" ht="20.25" customHeight="1">
      <c r="A914" s="57"/>
      <c r="B914" s="57"/>
      <c r="C914" s="57"/>
      <c r="D914" s="11"/>
      <c r="E914" s="11"/>
      <c r="F914" s="57"/>
      <c r="G914" s="74" t="s">
        <v>17</v>
      </c>
      <c r="H914" s="74" t="s">
        <v>18</v>
      </c>
      <c r="I914" s="73">
        <v>1.0</v>
      </c>
      <c r="J914" s="73">
        <v>290.0</v>
      </c>
      <c r="K914" s="73">
        <v>290.0</v>
      </c>
      <c r="L914" s="294"/>
      <c r="M914" s="48"/>
      <c r="N914" s="187"/>
      <c r="O914" s="76"/>
      <c r="P914" s="76"/>
    </row>
    <row r="915" ht="20.25" customHeight="1">
      <c r="A915" s="29"/>
      <c r="B915" s="29"/>
      <c r="C915" s="29"/>
      <c r="D915" s="19"/>
      <c r="E915" s="19"/>
      <c r="F915" s="29"/>
      <c r="G915" s="74" t="s">
        <v>17</v>
      </c>
      <c r="H915" s="74" t="s">
        <v>18</v>
      </c>
      <c r="I915" s="77">
        <v>10.0</v>
      </c>
      <c r="J915" s="77">
        <v>170.0</v>
      </c>
      <c r="K915" s="77">
        <v>1700.0</v>
      </c>
      <c r="L915" s="314"/>
      <c r="M915" s="48"/>
      <c r="N915" s="187"/>
      <c r="O915" s="76"/>
      <c r="P915" s="76"/>
    </row>
    <row r="916" ht="20.25" customHeight="1">
      <c r="A916" s="57"/>
      <c r="B916" s="57"/>
      <c r="C916" s="57"/>
      <c r="D916" s="11"/>
      <c r="E916" s="11"/>
      <c r="F916" s="57"/>
      <c r="G916" s="74" t="s">
        <v>17</v>
      </c>
      <c r="H916" s="74" t="s">
        <v>18</v>
      </c>
      <c r="I916" s="73">
        <v>5.0</v>
      </c>
      <c r="J916" s="73">
        <v>120.0</v>
      </c>
      <c r="K916" s="73">
        <v>600.0</v>
      </c>
      <c r="L916" s="294"/>
      <c r="M916" s="48"/>
      <c r="N916" s="187"/>
      <c r="O916" s="76"/>
      <c r="P916" s="76"/>
    </row>
    <row r="917" ht="20.25" customHeight="1">
      <c r="A917" s="29"/>
      <c r="B917" s="20"/>
      <c r="C917" s="20"/>
      <c r="D917" s="19"/>
      <c r="E917" s="19"/>
      <c r="F917" s="20"/>
      <c r="G917" s="74" t="s">
        <v>17</v>
      </c>
      <c r="H917" s="74" t="s">
        <v>18</v>
      </c>
      <c r="I917" s="77">
        <v>2.0</v>
      </c>
      <c r="J917" s="77">
        <v>145.0</v>
      </c>
      <c r="K917" s="77">
        <v>290.0</v>
      </c>
      <c r="L917" s="311"/>
      <c r="M917" s="51"/>
      <c r="N917" s="108"/>
      <c r="O917" s="76"/>
      <c r="P917" s="76"/>
    </row>
    <row r="918" ht="20.25" customHeight="1">
      <c r="A918" s="57"/>
      <c r="B918" s="72" t="s">
        <v>110</v>
      </c>
      <c r="C918" s="72">
        <v>119.0</v>
      </c>
      <c r="D918" s="11"/>
      <c r="E918" s="11"/>
      <c r="F918" s="26" t="s">
        <v>147</v>
      </c>
      <c r="G918" s="74" t="s">
        <v>17</v>
      </c>
      <c r="H918" s="74" t="s">
        <v>18</v>
      </c>
      <c r="I918" s="73">
        <v>6.0</v>
      </c>
      <c r="J918" s="73">
        <v>150.0</v>
      </c>
      <c r="K918" s="73">
        <v>900.0</v>
      </c>
      <c r="L918" s="399">
        <v>400.0</v>
      </c>
      <c r="M918" s="45"/>
      <c r="N918" s="105">
        <v>3455.0</v>
      </c>
      <c r="O918" s="76"/>
      <c r="P918" s="76"/>
    </row>
    <row r="919" ht="20.25" customHeight="1">
      <c r="A919" s="29"/>
      <c r="B919" s="29"/>
      <c r="C919" s="29"/>
      <c r="D919" s="19"/>
      <c r="E919" s="19"/>
      <c r="F919" s="29"/>
      <c r="G919" s="74" t="s">
        <v>17</v>
      </c>
      <c r="H919" s="74" t="s">
        <v>18</v>
      </c>
      <c r="I919" s="77">
        <v>5.0</v>
      </c>
      <c r="J919" s="77">
        <v>120.0</v>
      </c>
      <c r="K919" s="77">
        <v>600.0</v>
      </c>
      <c r="L919" s="314"/>
      <c r="M919" s="48"/>
      <c r="N919" s="187"/>
      <c r="O919" s="76"/>
      <c r="P919" s="76"/>
    </row>
    <row r="920" ht="20.25" customHeight="1">
      <c r="A920" s="57"/>
      <c r="B920" s="57"/>
      <c r="C920" s="57"/>
      <c r="D920" s="11"/>
      <c r="E920" s="11"/>
      <c r="F920" s="57"/>
      <c r="G920" s="74" t="s">
        <v>17</v>
      </c>
      <c r="H920" s="74" t="s">
        <v>18</v>
      </c>
      <c r="I920" s="73">
        <v>7.0</v>
      </c>
      <c r="J920" s="73">
        <v>145.0</v>
      </c>
      <c r="K920" s="73">
        <v>1015.0</v>
      </c>
      <c r="L920" s="294"/>
      <c r="M920" s="48"/>
      <c r="N920" s="187"/>
      <c r="O920" s="76"/>
      <c r="P920" s="76"/>
    </row>
    <row r="921" ht="20.25" customHeight="1">
      <c r="A921" s="20"/>
      <c r="B921" s="20"/>
      <c r="C921" s="20"/>
      <c r="D921" s="19"/>
      <c r="E921" s="19"/>
      <c r="F921" s="20"/>
      <c r="G921" s="74" t="s">
        <v>17</v>
      </c>
      <c r="H921" s="74" t="s">
        <v>18</v>
      </c>
      <c r="I921" s="77">
        <v>1.0</v>
      </c>
      <c r="J921" s="77">
        <v>170.0</v>
      </c>
      <c r="K921" s="77">
        <v>170.0</v>
      </c>
      <c r="L921" s="311"/>
      <c r="M921" s="51"/>
      <c r="N921" s="108"/>
      <c r="O921" s="76"/>
      <c r="P921" s="76"/>
    </row>
    <row r="922" ht="20.25" customHeight="1">
      <c r="A922" s="69">
        <v>46230.0</v>
      </c>
      <c r="B922" s="72" t="s">
        <v>21</v>
      </c>
      <c r="C922" s="72">
        <v>132.0</v>
      </c>
      <c r="D922" s="11"/>
      <c r="E922" s="11"/>
      <c r="F922" s="26" t="s">
        <v>240</v>
      </c>
      <c r="G922" s="74" t="s">
        <v>17</v>
      </c>
      <c r="H922" s="74" t="s">
        <v>25</v>
      </c>
      <c r="I922" s="73">
        <v>1.0</v>
      </c>
      <c r="J922" s="73">
        <v>120.0</v>
      </c>
      <c r="K922" s="73">
        <v>120.0</v>
      </c>
      <c r="L922" s="399">
        <v>30.0</v>
      </c>
      <c r="M922" s="105">
        <v>570.0</v>
      </c>
      <c r="N922" s="105">
        <v>2490.0</v>
      </c>
      <c r="O922" s="76"/>
      <c r="P922" s="76"/>
    </row>
    <row r="923" ht="20.25" customHeight="1">
      <c r="A923" s="29"/>
      <c r="B923" s="20"/>
      <c r="C923" s="20"/>
      <c r="D923" s="19"/>
      <c r="E923" s="19"/>
      <c r="F923" s="20"/>
      <c r="G923" s="74" t="s">
        <v>17</v>
      </c>
      <c r="H923" s="74" t="s">
        <v>18</v>
      </c>
      <c r="I923" s="77">
        <v>18.0</v>
      </c>
      <c r="J923" s="77">
        <v>100.0</v>
      </c>
      <c r="K923" s="77">
        <v>1800.0</v>
      </c>
      <c r="L923" s="314"/>
      <c r="M923" s="108"/>
      <c r="N923" s="108"/>
      <c r="O923" s="76"/>
      <c r="P923" s="76"/>
    </row>
    <row r="924" ht="20.25" customHeight="1">
      <c r="A924" s="57"/>
      <c r="B924" s="72" t="s">
        <v>110</v>
      </c>
      <c r="C924" s="11">
        <v>114.0</v>
      </c>
      <c r="D924" s="11"/>
      <c r="E924" s="11"/>
      <c r="F924" s="26" t="s">
        <v>244</v>
      </c>
      <c r="G924" s="74" t="s">
        <v>17</v>
      </c>
      <c r="H924" s="74" t="s">
        <v>25</v>
      </c>
      <c r="I924" s="73">
        <v>1.0</v>
      </c>
      <c r="J924" s="73">
        <v>120.0</v>
      </c>
      <c r="K924" s="73">
        <v>120.0</v>
      </c>
      <c r="L924" s="75">
        <v>25.0</v>
      </c>
      <c r="M924" s="105">
        <v>425.0</v>
      </c>
      <c r="N924" s="105">
        <v>2145.0</v>
      </c>
      <c r="O924" s="76"/>
      <c r="P924" s="76"/>
    </row>
    <row r="925" ht="20.25" customHeight="1">
      <c r="A925" s="29"/>
      <c r="B925" s="20"/>
      <c r="C925" s="19">
        <v>116.0</v>
      </c>
      <c r="D925" s="19"/>
      <c r="E925" s="19"/>
      <c r="F925" s="20"/>
      <c r="G925" s="74" t="s">
        <v>17</v>
      </c>
      <c r="H925" s="74" t="s">
        <v>18</v>
      </c>
      <c r="I925" s="77">
        <v>16.0</v>
      </c>
      <c r="J925" s="77">
        <v>100.0</v>
      </c>
      <c r="K925" s="77">
        <v>1600.0</v>
      </c>
      <c r="L925" s="20"/>
      <c r="M925" s="108"/>
      <c r="N925" s="108"/>
      <c r="O925" s="76"/>
      <c r="P925" s="76"/>
    </row>
    <row r="926" ht="20.25" customHeight="1">
      <c r="A926" s="57"/>
      <c r="B926" s="72" t="s">
        <v>110</v>
      </c>
      <c r="C926" s="72">
        <v>121.0</v>
      </c>
      <c r="D926" s="11"/>
      <c r="E926" s="11"/>
      <c r="F926" s="26" t="s">
        <v>235</v>
      </c>
      <c r="G926" s="74" t="s">
        <v>17</v>
      </c>
      <c r="H926" s="74" t="s">
        <v>25</v>
      </c>
      <c r="I926" s="73">
        <v>1.0</v>
      </c>
      <c r="J926" s="73">
        <v>220.0</v>
      </c>
      <c r="K926" s="73">
        <v>220.0</v>
      </c>
      <c r="L926" s="399">
        <v>400.0</v>
      </c>
      <c r="M926" s="45"/>
      <c r="N926" s="105">
        <v>4785.0</v>
      </c>
      <c r="O926" s="76"/>
      <c r="P926" s="76"/>
    </row>
    <row r="927" ht="20.25" customHeight="1">
      <c r="A927" s="29"/>
      <c r="B927" s="29"/>
      <c r="C927" s="29"/>
      <c r="D927" s="19"/>
      <c r="E927" s="19"/>
      <c r="F927" s="29"/>
      <c r="G927" s="74" t="s">
        <v>17</v>
      </c>
      <c r="H927" s="74" t="s">
        <v>18</v>
      </c>
      <c r="I927" s="77">
        <v>6.0</v>
      </c>
      <c r="J927" s="77">
        <v>150.0</v>
      </c>
      <c r="K927" s="77">
        <v>900.0</v>
      </c>
      <c r="L927" s="314"/>
      <c r="M927" s="48"/>
      <c r="N927" s="187"/>
      <c r="O927" s="76"/>
      <c r="P927" s="76"/>
    </row>
    <row r="928" ht="20.25" customHeight="1">
      <c r="A928" s="57"/>
      <c r="B928" s="57"/>
      <c r="C928" s="57"/>
      <c r="D928" s="11"/>
      <c r="E928" s="11"/>
      <c r="F928" s="57"/>
      <c r="G928" s="74" t="s">
        <v>17</v>
      </c>
      <c r="H928" s="74" t="s">
        <v>18</v>
      </c>
      <c r="I928" s="73">
        <v>3.0</v>
      </c>
      <c r="J928" s="73">
        <v>120.0</v>
      </c>
      <c r="K928" s="73">
        <v>360.0</v>
      </c>
      <c r="L928" s="294"/>
      <c r="M928" s="48"/>
      <c r="N928" s="187"/>
      <c r="O928" s="76"/>
      <c r="P928" s="76"/>
    </row>
    <row r="929" ht="20.25" customHeight="1">
      <c r="A929" s="29"/>
      <c r="B929" s="29"/>
      <c r="C929" s="29"/>
      <c r="D929" s="19"/>
      <c r="E929" s="19"/>
      <c r="F929" s="29"/>
      <c r="G929" s="74" t="s">
        <v>17</v>
      </c>
      <c r="H929" s="74" t="s">
        <v>18</v>
      </c>
      <c r="I929" s="77">
        <v>14.0</v>
      </c>
      <c r="J929" s="77">
        <v>170.0</v>
      </c>
      <c r="K929" s="77">
        <v>2380.0</v>
      </c>
      <c r="L929" s="314"/>
      <c r="M929" s="48"/>
      <c r="N929" s="187"/>
      <c r="O929" s="76"/>
      <c r="P929" s="76"/>
    </row>
    <row r="930" ht="20.25" customHeight="1">
      <c r="A930" s="57"/>
      <c r="B930" s="57"/>
      <c r="C930" s="57"/>
      <c r="D930" s="11"/>
      <c r="E930" s="11"/>
      <c r="F930" s="57"/>
      <c r="G930" s="74" t="s">
        <v>17</v>
      </c>
      <c r="H930" s="74" t="s">
        <v>18</v>
      </c>
      <c r="I930" s="73">
        <v>2.0</v>
      </c>
      <c r="J930" s="73">
        <v>190.0</v>
      </c>
      <c r="K930" s="73">
        <v>380.0</v>
      </c>
      <c r="L930" s="294"/>
      <c r="M930" s="48"/>
      <c r="N930" s="187"/>
      <c r="O930" s="76"/>
      <c r="P930" s="76"/>
    </row>
    <row r="931" ht="20.25" customHeight="1">
      <c r="A931" s="29"/>
      <c r="B931" s="20"/>
      <c r="C931" s="20"/>
      <c r="D931" s="19"/>
      <c r="E931" s="19"/>
      <c r="F931" s="20"/>
      <c r="G931" s="74" t="s">
        <v>17</v>
      </c>
      <c r="H931" s="74" t="s">
        <v>18</v>
      </c>
      <c r="I931" s="77">
        <v>1.0</v>
      </c>
      <c r="J931" s="77">
        <v>145.0</v>
      </c>
      <c r="K931" s="77">
        <v>145.0</v>
      </c>
      <c r="L931" s="311"/>
      <c r="M931" s="51"/>
      <c r="N931" s="108"/>
      <c r="O931" s="76"/>
      <c r="P931" s="76"/>
    </row>
    <row r="932" ht="20.25" customHeight="1">
      <c r="A932" s="57"/>
      <c r="B932" s="72" t="s">
        <v>110</v>
      </c>
      <c r="C932" s="72">
        <v>120.0</v>
      </c>
      <c r="D932" s="11"/>
      <c r="E932" s="11"/>
      <c r="F932" s="26" t="s">
        <v>147</v>
      </c>
      <c r="G932" s="74" t="s">
        <v>17</v>
      </c>
      <c r="H932" s="74" t="s">
        <v>18</v>
      </c>
      <c r="I932" s="73">
        <v>6.0</v>
      </c>
      <c r="J932" s="73">
        <v>150.0</v>
      </c>
      <c r="K932" s="73">
        <v>900.0</v>
      </c>
      <c r="L932" s="399">
        <v>400.0</v>
      </c>
      <c r="M932" s="45"/>
      <c r="N932" s="105">
        <v>2940.0</v>
      </c>
      <c r="O932" s="76"/>
      <c r="P932" s="76"/>
    </row>
    <row r="933" ht="20.25" customHeight="1">
      <c r="A933" s="29"/>
      <c r="B933" s="29"/>
      <c r="C933" s="29"/>
      <c r="D933" s="19"/>
      <c r="E933" s="19"/>
      <c r="F933" s="29"/>
      <c r="G933" s="74" t="s">
        <v>17</v>
      </c>
      <c r="H933" s="74" t="s">
        <v>18</v>
      </c>
      <c r="I933" s="77">
        <v>5.0</v>
      </c>
      <c r="J933" s="77">
        <v>140.0</v>
      </c>
      <c r="K933" s="77">
        <v>700.0</v>
      </c>
      <c r="L933" s="314"/>
      <c r="M933" s="48"/>
      <c r="N933" s="187"/>
      <c r="O933" s="76"/>
      <c r="P933" s="76"/>
    </row>
    <row r="934" ht="20.25" customHeight="1">
      <c r="A934" s="57"/>
      <c r="B934" s="57"/>
      <c r="C934" s="57"/>
      <c r="D934" s="11"/>
      <c r="E934" s="11"/>
      <c r="F934" s="57"/>
      <c r="G934" s="74" t="s">
        <v>17</v>
      </c>
      <c r="H934" s="74" t="s">
        <v>18</v>
      </c>
      <c r="I934" s="73">
        <v>7.0</v>
      </c>
      <c r="J934" s="73">
        <v>120.0</v>
      </c>
      <c r="K934" s="73">
        <v>840.0</v>
      </c>
      <c r="L934" s="294"/>
      <c r="M934" s="48"/>
      <c r="N934" s="187"/>
      <c r="O934" s="76"/>
      <c r="P934" s="76"/>
    </row>
    <row r="935" ht="20.25" customHeight="1">
      <c r="A935" s="20"/>
      <c r="B935" s="20"/>
      <c r="C935" s="20"/>
      <c r="D935" s="19"/>
      <c r="E935" s="19"/>
      <c r="F935" s="20"/>
      <c r="G935" s="74" t="s">
        <v>17</v>
      </c>
      <c r="H935" s="74" t="s">
        <v>18</v>
      </c>
      <c r="I935" s="77">
        <v>1.0</v>
      </c>
      <c r="J935" s="77">
        <v>100.0</v>
      </c>
      <c r="K935" s="77">
        <v>100.0</v>
      </c>
      <c r="L935" s="311"/>
      <c r="M935" s="51"/>
      <c r="N935" s="108"/>
      <c r="O935" s="76"/>
      <c r="P935" s="76"/>
    </row>
    <row r="936" ht="20.25" customHeight="1">
      <c r="A936" s="261">
        <v>46231.0</v>
      </c>
      <c r="B936" s="72" t="s">
        <v>21</v>
      </c>
      <c r="C936" s="72">
        <v>135.0</v>
      </c>
      <c r="D936" s="11"/>
      <c r="E936" s="11"/>
      <c r="F936" s="26" t="s">
        <v>240</v>
      </c>
      <c r="G936" s="74" t="s">
        <v>17</v>
      </c>
      <c r="H936" s="74" t="s">
        <v>25</v>
      </c>
      <c r="I936" s="73">
        <v>1.0</v>
      </c>
      <c r="J936" s="73">
        <v>120.0</v>
      </c>
      <c r="K936" s="73">
        <v>120.0</v>
      </c>
      <c r="L936" s="399">
        <v>30.0</v>
      </c>
      <c r="M936" s="105">
        <v>510.0</v>
      </c>
      <c r="N936" s="105">
        <v>2230.0</v>
      </c>
      <c r="O936" s="76"/>
      <c r="P936" s="76"/>
    </row>
    <row r="937" ht="20.25" customHeight="1">
      <c r="A937" s="29"/>
      <c r="B937" s="20"/>
      <c r="C937" s="20"/>
      <c r="D937" s="19"/>
      <c r="E937" s="19"/>
      <c r="F937" s="20"/>
      <c r="G937" s="74" t="s">
        <v>17</v>
      </c>
      <c r="H937" s="74" t="s">
        <v>18</v>
      </c>
      <c r="I937" s="77">
        <v>16.0</v>
      </c>
      <c r="J937" s="77">
        <v>100.0</v>
      </c>
      <c r="K937" s="77">
        <v>1600.0</v>
      </c>
      <c r="L937" s="314"/>
      <c r="M937" s="108"/>
      <c r="N937" s="108"/>
      <c r="O937" s="76"/>
      <c r="P937" s="76"/>
    </row>
    <row r="938" ht="20.25" customHeight="1">
      <c r="A938" s="57"/>
      <c r="B938" s="72" t="s">
        <v>110</v>
      </c>
      <c r="C938" s="11">
        <v>117.0</v>
      </c>
      <c r="D938" s="11"/>
      <c r="E938" s="11"/>
      <c r="F938" s="26" t="s">
        <v>244</v>
      </c>
      <c r="G938" s="74" t="s">
        <v>17</v>
      </c>
      <c r="H938" s="74" t="s">
        <v>25</v>
      </c>
      <c r="I938" s="73">
        <v>1.0</v>
      </c>
      <c r="J938" s="73">
        <v>120.0</v>
      </c>
      <c r="K938" s="73">
        <v>120.0</v>
      </c>
      <c r="L938" s="75">
        <v>25.0</v>
      </c>
      <c r="M938" s="105">
        <v>425.0</v>
      </c>
      <c r="N938" s="105">
        <v>2145.0</v>
      </c>
      <c r="O938" s="76"/>
      <c r="P938" s="76"/>
    </row>
    <row r="939" ht="20.25" customHeight="1">
      <c r="A939" s="29"/>
      <c r="B939" s="20"/>
      <c r="C939" s="19">
        <v>116.0</v>
      </c>
      <c r="D939" s="19"/>
      <c r="E939" s="19"/>
      <c r="F939" s="20"/>
      <c r="G939" s="74" t="s">
        <v>17</v>
      </c>
      <c r="H939" s="74" t="s">
        <v>18</v>
      </c>
      <c r="I939" s="77">
        <v>16.0</v>
      </c>
      <c r="J939" s="77">
        <v>100.0</v>
      </c>
      <c r="K939" s="77">
        <v>1600.0</v>
      </c>
      <c r="L939" s="20"/>
      <c r="M939" s="108"/>
      <c r="N939" s="108"/>
      <c r="O939" s="76"/>
      <c r="P939" s="76"/>
    </row>
    <row r="940" ht="20.25" customHeight="1">
      <c r="A940" s="58"/>
      <c r="B940" s="11" t="s">
        <v>110</v>
      </c>
      <c r="C940" s="11">
        <v>119.0</v>
      </c>
      <c r="D940" s="11"/>
      <c r="E940" s="11"/>
      <c r="F940" s="265" t="s">
        <v>147</v>
      </c>
      <c r="G940" s="74" t="s">
        <v>17</v>
      </c>
      <c r="H940" s="74" t="s">
        <v>18</v>
      </c>
      <c r="I940" s="73">
        <v>10.0</v>
      </c>
      <c r="J940" s="73">
        <v>100.0</v>
      </c>
      <c r="K940" s="73">
        <v>1000.0</v>
      </c>
      <c r="L940" s="374">
        <v>400.0</v>
      </c>
      <c r="M940" s="456"/>
      <c r="N940" s="74">
        <v>1400.0</v>
      </c>
      <c r="O940" s="76"/>
      <c r="P940" s="76"/>
    </row>
    <row r="941" ht="20.25" customHeight="1">
      <c r="A941" s="327">
        <v>46232.0</v>
      </c>
      <c r="B941" s="123" t="s">
        <v>21</v>
      </c>
      <c r="C941" s="123">
        <v>135.0</v>
      </c>
      <c r="D941" s="19"/>
      <c r="E941" s="19"/>
      <c r="F941" s="160" t="s">
        <v>240</v>
      </c>
      <c r="G941" s="74" t="s">
        <v>17</v>
      </c>
      <c r="H941" s="74" t="s">
        <v>25</v>
      </c>
      <c r="I941" s="77">
        <v>1.0</v>
      </c>
      <c r="J941" s="77">
        <v>120.0</v>
      </c>
      <c r="K941" s="77">
        <v>120.0</v>
      </c>
      <c r="L941" s="160">
        <v>30.0</v>
      </c>
      <c r="M941" s="105">
        <v>510.0</v>
      </c>
      <c r="N941" s="105">
        <v>2230.0</v>
      </c>
      <c r="O941" s="76"/>
      <c r="P941" s="76"/>
    </row>
    <row r="942" ht="20.25" customHeight="1">
      <c r="A942" s="57"/>
      <c r="B942" s="58"/>
      <c r="C942" s="58"/>
      <c r="D942" s="11"/>
      <c r="E942" s="11"/>
      <c r="F942" s="58"/>
      <c r="G942" s="74" t="s">
        <v>17</v>
      </c>
      <c r="H942" s="74" t="s">
        <v>18</v>
      </c>
      <c r="I942" s="73">
        <v>16.0</v>
      </c>
      <c r="J942" s="73">
        <v>100.0</v>
      </c>
      <c r="K942" s="73">
        <v>1600.0</v>
      </c>
      <c r="L942" s="58"/>
      <c r="M942" s="108"/>
      <c r="N942" s="108"/>
      <c r="O942" s="76"/>
      <c r="P942" s="76"/>
    </row>
    <row r="943" ht="20.25" customHeight="1">
      <c r="A943" s="29"/>
      <c r="B943" s="123" t="s">
        <v>110</v>
      </c>
      <c r="C943" s="19">
        <v>120.0</v>
      </c>
      <c r="D943" s="19"/>
      <c r="E943" s="19"/>
      <c r="F943" s="160" t="s">
        <v>244</v>
      </c>
      <c r="G943" s="74" t="s">
        <v>17</v>
      </c>
      <c r="H943" s="74" t="s">
        <v>25</v>
      </c>
      <c r="I943" s="77">
        <v>1.0</v>
      </c>
      <c r="J943" s="77">
        <v>120.0</v>
      </c>
      <c r="K943" s="77">
        <v>120.0</v>
      </c>
      <c r="L943" s="160">
        <v>25.0</v>
      </c>
      <c r="M943" s="105">
        <v>450.0</v>
      </c>
      <c r="N943" s="105">
        <v>2270.0</v>
      </c>
      <c r="O943" s="76"/>
      <c r="P943" s="76"/>
    </row>
    <row r="944" ht="20.25" customHeight="1">
      <c r="A944" s="57"/>
      <c r="B944" s="58"/>
      <c r="C944" s="11">
        <v>121.0</v>
      </c>
      <c r="D944" s="11"/>
      <c r="E944" s="11"/>
      <c r="F944" s="58"/>
      <c r="G944" s="74" t="s">
        <v>17</v>
      </c>
      <c r="H944" s="74" t="s">
        <v>18</v>
      </c>
      <c r="I944" s="73">
        <v>17.0</v>
      </c>
      <c r="J944" s="73">
        <v>100.0</v>
      </c>
      <c r="K944" s="73">
        <v>1700.0</v>
      </c>
      <c r="L944" s="58"/>
      <c r="M944" s="108"/>
      <c r="N944" s="108"/>
      <c r="O944" s="76"/>
      <c r="P944" s="76"/>
    </row>
    <row r="945" ht="20.25" customHeight="1">
      <c r="A945" s="29"/>
      <c r="B945" s="123" t="s">
        <v>110</v>
      </c>
      <c r="C945" s="123">
        <v>124.0</v>
      </c>
      <c r="D945" s="19"/>
      <c r="E945" s="19"/>
      <c r="F945" s="26" t="s">
        <v>235</v>
      </c>
      <c r="G945" s="74" t="s">
        <v>17</v>
      </c>
      <c r="H945" s="74" t="s">
        <v>25</v>
      </c>
      <c r="I945" s="77">
        <v>1.0</v>
      </c>
      <c r="J945" s="77">
        <v>220.0</v>
      </c>
      <c r="K945" s="77">
        <v>220.0</v>
      </c>
      <c r="L945" s="389">
        <v>400.0</v>
      </c>
      <c r="M945" s="45"/>
      <c r="N945" s="105">
        <v>4055.0</v>
      </c>
      <c r="O945" s="76"/>
      <c r="P945" s="76"/>
    </row>
    <row r="946" ht="20.25" customHeight="1">
      <c r="A946" s="57"/>
      <c r="B946" s="57"/>
      <c r="C946" s="57"/>
      <c r="D946" s="11"/>
      <c r="E946" s="11"/>
      <c r="F946" s="57"/>
      <c r="G946" s="74" t="s">
        <v>17</v>
      </c>
      <c r="H946" s="74" t="s">
        <v>18</v>
      </c>
      <c r="I946" s="73">
        <v>7.0</v>
      </c>
      <c r="J946" s="73">
        <v>150.0</v>
      </c>
      <c r="K946" s="73">
        <v>1050.0</v>
      </c>
      <c r="L946" s="294"/>
      <c r="M946" s="48"/>
      <c r="N946" s="187"/>
      <c r="O946" s="76"/>
      <c r="P946" s="76"/>
    </row>
    <row r="947" ht="20.25" customHeight="1">
      <c r="A947" s="29"/>
      <c r="B947" s="29"/>
      <c r="C947" s="29"/>
      <c r="D947" s="19"/>
      <c r="E947" s="19"/>
      <c r="F947" s="29"/>
      <c r="G947" s="74" t="s">
        <v>17</v>
      </c>
      <c r="H947" s="74" t="s">
        <v>18</v>
      </c>
      <c r="I947" s="77">
        <v>5.0</v>
      </c>
      <c r="J947" s="77">
        <v>120.0</v>
      </c>
      <c r="K947" s="77">
        <v>600.0</v>
      </c>
      <c r="L947" s="314"/>
      <c r="M947" s="48"/>
      <c r="N947" s="187"/>
      <c r="O947" s="76"/>
      <c r="P947" s="76"/>
    </row>
    <row r="948" ht="20.25" customHeight="1">
      <c r="A948" s="57"/>
      <c r="B948" s="57"/>
      <c r="C948" s="57"/>
      <c r="D948" s="11"/>
      <c r="E948" s="11"/>
      <c r="F948" s="57"/>
      <c r="G948" s="74" t="s">
        <v>17</v>
      </c>
      <c r="H948" s="74" t="s">
        <v>18</v>
      </c>
      <c r="I948" s="73">
        <v>6.0</v>
      </c>
      <c r="J948" s="73">
        <v>170.0</v>
      </c>
      <c r="K948" s="73">
        <v>1020.0</v>
      </c>
      <c r="L948" s="294"/>
      <c r="M948" s="48"/>
      <c r="N948" s="187"/>
      <c r="O948" s="76"/>
      <c r="P948" s="76"/>
    </row>
    <row r="949" ht="20.25" customHeight="1">
      <c r="A949" s="29"/>
      <c r="B949" s="29"/>
      <c r="C949" s="29"/>
      <c r="D949" s="19"/>
      <c r="E949" s="19"/>
      <c r="F949" s="29"/>
      <c r="G949" s="74" t="s">
        <v>17</v>
      </c>
      <c r="H949" s="74" t="s">
        <v>18</v>
      </c>
      <c r="I949" s="77">
        <v>4.0</v>
      </c>
      <c r="J949" s="77">
        <v>145.0</v>
      </c>
      <c r="K949" s="77">
        <v>580.0</v>
      </c>
      <c r="L949" s="314"/>
      <c r="M949" s="48"/>
      <c r="N949" s="187"/>
      <c r="O949" s="76"/>
      <c r="P949" s="76"/>
    </row>
    <row r="950" ht="20.25" customHeight="1">
      <c r="A950" s="57"/>
      <c r="B950" s="58"/>
      <c r="C950" s="58"/>
      <c r="D950" s="11"/>
      <c r="E950" s="11"/>
      <c r="F950" s="58"/>
      <c r="G950" s="74" t="s">
        <v>17</v>
      </c>
      <c r="H950" s="74" t="s">
        <v>18</v>
      </c>
      <c r="I950" s="73">
        <v>1.0</v>
      </c>
      <c r="J950" s="73">
        <v>185.0</v>
      </c>
      <c r="K950" s="73">
        <v>185.0</v>
      </c>
      <c r="L950" s="321"/>
      <c r="M950" s="51"/>
      <c r="N950" s="108"/>
      <c r="O950" s="76"/>
      <c r="P950" s="76"/>
    </row>
    <row r="951" ht="20.25" customHeight="1">
      <c r="A951" s="29"/>
      <c r="B951" s="123" t="s">
        <v>110</v>
      </c>
      <c r="C951" s="123">
        <v>123.0</v>
      </c>
      <c r="D951" s="19"/>
      <c r="E951" s="19"/>
      <c r="F951" s="26" t="s">
        <v>147</v>
      </c>
      <c r="G951" s="74" t="s">
        <v>17</v>
      </c>
      <c r="H951" s="74" t="s">
        <v>18</v>
      </c>
      <c r="I951" s="77">
        <v>7.0</v>
      </c>
      <c r="J951" s="77">
        <v>150.0</v>
      </c>
      <c r="K951" s="77">
        <v>1050.0</v>
      </c>
      <c r="L951" s="389">
        <v>400.0</v>
      </c>
      <c r="M951" s="45"/>
      <c r="N951" s="105">
        <v>3990.0</v>
      </c>
      <c r="O951" s="76"/>
      <c r="P951" s="76"/>
    </row>
    <row r="952" ht="20.25" customHeight="1">
      <c r="A952" s="57"/>
      <c r="B952" s="57"/>
      <c r="C952" s="57"/>
      <c r="D952" s="11"/>
      <c r="E952" s="11"/>
      <c r="F952" s="57"/>
      <c r="G952" s="74" t="s">
        <v>17</v>
      </c>
      <c r="H952" s="74" t="s">
        <v>18</v>
      </c>
      <c r="I952" s="73">
        <v>3.0</v>
      </c>
      <c r="J952" s="73">
        <v>145.0</v>
      </c>
      <c r="K952" s="73">
        <v>435.0</v>
      </c>
      <c r="L952" s="294"/>
      <c r="M952" s="48"/>
      <c r="N952" s="187"/>
      <c r="O952" s="76"/>
      <c r="P952" s="76"/>
    </row>
    <row r="953" ht="20.25" customHeight="1">
      <c r="A953" s="29"/>
      <c r="B953" s="29"/>
      <c r="C953" s="29"/>
      <c r="D953" s="19"/>
      <c r="E953" s="19"/>
      <c r="F953" s="29"/>
      <c r="G953" s="74" t="s">
        <v>17</v>
      </c>
      <c r="H953" s="74" t="s">
        <v>18</v>
      </c>
      <c r="I953" s="77">
        <v>13.0</v>
      </c>
      <c r="J953" s="77">
        <v>120.0</v>
      </c>
      <c r="K953" s="77">
        <v>1560.0</v>
      </c>
      <c r="L953" s="314"/>
      <c r="M953" s="48"/>
      <c r="N953" s="187"/>
      <c r="O953" s="76"/>
      <c r="P953" s="76"/>
    </row>
    <row r="954" ht="20.25" customHeight="1">
      <c r="A954" s="57"/>
      <c r="B954" s="57"/>
      <c r="C954" s="57"/>
      <c r="D954" s="11"/>
      <c r="E954" s="11"/>
      <c r="F954" s="57"/>
      <c r="G954" s="74" t="s">
        <v>17</v>
      </c>
      <c r="H954" s="74" t="s">
        <v>18</v>
      </c>
      <c r="I954" s="73">
        <v>1.0</v>
      </c>
      <c r="J954" s="73">
        <v>240.0</v>
      </c>
      <c r="K954" s="73">
        <v>240.0</v>
      </c>
      <c r="L954" s="294"/>
      <c r="M954" s="48"/>
      <c r="N954" s="187"/>
      <c r="O954" s="76"/>
      <c r="P954" s="76"/>
    </row>
    <row r="955" ht="20.25" customHeight="1">
      <c r="A955" s="29"/>
      <c r="B955" s="29"/>
      <c r="C955" s="29"/>
      <c r="D955" s="19"/>
      <c r="E955" s="19"/>
      <c r="F955" s="29"/>
      <c r="G955" s="74" t="s">
        <v>17</v>
      </c>
      <c r="H955" s="74" t="s">
        <v>18</v>
      </c>
      <c r="I955" s="77">
        <v>1.0</v>
      </c>
      <c r="J955" s="77">
        <v>170.0</v>
      </c>
      <c r="K955" s="77">
        <v>170.0</v>
      </c>
      <c r="L955" s="314"/>
      <c r="M955" s="48"/>
      <c r="N955" s="187"/>
      <c r="O955" s="76"/>
      <c r="P955" s="76"/>
    </row>
    <row r="956" ht="20.25" customHeight="1">
      <c r="A956" s="58"/>
      <c r="B956" s="58"/>
      <c r="C956" s="58"/>
      <c r="D956" s="11"/>
      <c r="E956" s="11"/>
      <c r="F956" s="58"/>
      <c r="G956" s="74" t="s">
        <v>17</v>
      </c>
      <c r="H956" s="74" t="s">
        <v>18</v>
      </c>
      <c r="I956" s="73">
        <v>1.0</v>
      </c>
      <c r="J956" s="73">
        <v>135.0</v>
      </c>
      <c r="K956" s="73">
        <v>135.0</v>
      </c>
      <c r="L956" s="321"/>
      <c r="M956" s="51"/>
      <c r="N956" s="108"/>
      <c r="O956" s="76"/>
      <c r="P956" s="76"/>
    </row>
    <row r="957" ht="20.25" customHeight="1">
      <c r="A957" s="121">
        <v>46233.0</v>
      </c>
      <c r="B957" s="123" t="s">
        <v>21</v>
      </c>
      <c r="C957" s="19">
        <v>135.0</v>
      </c>
      <c r="D957" s="19"/>
      <c r="E957" s="19"/>
      <c r="F957" s="160" t="s">
        <v>240</v>
      </c>
      <c r="G957" s="74" t="s">
        <v>17</v>
      </c>
      <c r="H957" s="74" t="s">
        <v>25</v>
      </c>
      <c r="I957" s="77">
        <v>1.0</v>
      </c>
      <c r="J957" s="77">
        <v>120.0</v>
      </c>
      <c r="K957" s="77">
        <v>120.0</v>
      </c>
      <c r="L957" s="389">
        <v>30.0</v>
      </c>
      <c r="M957" s="105">
        <v>450.0</v>
      </c>
      <c r="N957" s="105">
        <v>1970.0</v>
      </c>
      <c r="O957" s="76"/>
      <c r="P957" s="76"/>
    </row>
    <row r="958" ht="20.25" customHeight="1">
      <c r="A958" s="57"/>
      <c r="B958" s="58"/>
      <c r="C958" s="364">
        <v>136.0</v>
      </c>
      <c r="D958" s="11"/>
      <c r="E958" s="11"/>
      <c r="F958" s="58"/>
      <c r="G958" s="74" t="s">
        <v>17</v>
      </c>
      <c r="H958" s="74" t="s">
        <v>18</v>
      </c>
      <c r="I958" s="73">
        <v>14.0</v>
      </c>
      <c r="J958" s="73">
        <v>100.0</v>
      </c>
      <c r="K958" s="73">
        <v>1400.0</v>
      </c>
      <c r="L958" s="294"/>
      <c r="M958" s="108"/>
      <c r="N958" s="108"/>
      <c r="O958" s="76"/>
      <c r="P958" s="76"/>
    </row>
    <row r="959" ht="20.25" customHeight="1">
      <c r="A959" s="29"/>
      <c r="B959" s="19" t="s">
        <v>110</v>
      </c>
      <c r="C959" s="19">
        <v>123.0</v>
      </c>
      <c r="D959" s="19"/>
      <c r="E959" s="19"/>
      <c r="F959" s="160" t="s">
        <v>244</v>
      </c>
      <c r="G959" s="74" t="s">
        <v>17</v>
      </c>
      <c r="H959" s="74" t="s">
        <v>25</v>
      </c>
      <c r="I959" s="77">
        <v>1.0</v>
      </c>
      <c r="J959" s="77">
        <v>120.0</v>
      </c>
      <c r="K959" s="77">
        <v>120.0</v>
      </c>
      <c r="L959" s="160">
        <v>25.0</v>
      </c>
      <c r="M959" s="105">
        <v>475.0</v>
      </c>
      <c r="N959" s="105">
        <v>2395.0</v>
      </c>
      <c r="O959" s="76"/>
      <c r="P959" s="76"/>
    </row>
    <row r="960" ht="20.25" customHeight="1">
      <c r="A960" s="57"/>
      <c r="B960" s="364" t="s">
        <v>21</v>
      </c>
      <c r="C960" s="11">
        <v>137.0</v>
      </c>
      <c r="D960" s="11"/>
      <c r="E960" s="11"/>
      <c r="F960" s="58"/>
      <c r="G960" s="74" t="s">
        <v>17</v>
      </c>
      <c r="H960" s="74" t="s">
        <v>18</v>
      </c>
      <c r="I960" s="73">
        <v>18.0</v>
      </c>
      <c r="J960" s="73">
        <v>100.0</v>
      </c>
      <c r="K960" s="73">
        <v>1800.0</v>
      </c>
      <c r="L960" s="58"/>
      <c r="M960" s="108"/>
      <c r="N960" s="108"/>
      <c r="O960" s="76"/>
      <c r="P960" s="76"/>
    </row>
    <row r="961" ht="20.25" customHeight="1">
      <c r="A961" s="29"/>
      <c r="B961" s="123" t="s">
        <v>110</v>
      </c>
      <c r="C961" s="123">
        <v>128.0</v>
      </c>
      <c r="D961" s="19"/>
      <c r="E961" s="19"/>
      <c r="F961" s="26" t="s">
        <v>235</v>
      </c>
      <c r="G961" s="74" t="s">
        <v>17</v>
      </c>
      <c r="H961" s="74" t="s">
        <v>25</v>
      </c>
      <c r="I961" s="77">
        <v>1.0</v>
      </c>
      <c r="J961" s="77">
        <v>220.0</v>
      </c>
      <c r="K961" s="77">
        <v>220.0</v>
      </c>
      <c r="L961" s="389">
        <v>400.0</v>
      </c>
      <c r="M961" s="45"/>
      <c r="N961" s="105">
        <v>3910.0</v>
      </c>
      <c r="O961" s="76"/>
      <c r="P961" s="76"/>
    </row>
    <row r="962" ht="20.25" customHeight="1">
      <c r="A962" s="57"/>
      <c r="B962" s="57"/>
      <c r="C962" s="57"/>
      <c r="D962" s="11"/>
      <c r="E962" s="11"/>
      <c r="F962" s="57"/>
      <c r="G962" s="74" t="s">
        <v>17</v>
      </c>
      <c r="H962" s="74" t="s">
        <v>18</v>
      </c>
      <c r="I962" s="73">
        <v>6.0</v>
      </c>
      <c r="J962" s="73">
        <v>150.0</v>
      </c>
      <c r="K962" s="73">
        <v>900.0</v>
      </c>
      <c r="L962" s="294"/>
      <c r="M962" s="48"/>
      <c r="N962" s="187"/>
      <c r="O962" s="76"/>
      <c r="P962" s="76"/>
    </row>
    <row r="963" ht="20.25" customHeight="1">
      <c r="A963" s="29"/>
      <c r="B963" s="29"/>
      <c r="C963" s="29"/>
      <c r="D963" s="19"/>
      <c r="E963" s="19"/>
      <c r="F963" s="29"/>
      <c r="G963" s="74" t="s">
        <v>17</v>
      </c>
      <c r="H963" s="74" t="s">
        <v>18</v>
      </c>
      <c r="I963" s="77">
        <v>3.0</v>
      </c>
      <c r="J963" s="77">
        <v>190.0</v>
      </c>
      <c r="K963" s="77">
        <v>570.0</v>
      </c>
      <c r="L963" s="314"/>
      <c r="M963" s="48"/>
      <c r="N963" s="187"/>
      <c r="O963" s="76"/>
      <c r="P963" s="76"/>
    </row>
    <row r="964" ht="20.25" customHeight="1">
      <c r="A964" s="57"/>
      <c r="B964" s="57"/>
      <c r="C964" s="57"/>
      <c r="D964" s="11"/>
      <c r="E964" s="11"/>
      <c r="F964" s="57"/>
      <c r="G964" s="74" t="s">
        <v>17</v>
      </c>
      <c r="H964" s="74" t="s">
        <v>18</v>
      </c>
      <c r="I964" s="73">
        <v>5.0</v>
      </c>
      <c r="J964" s="73">
        <v>170.0</v>
      </c>
      <c r="K964" s="73">
        <v>850.0</v>
      </c>
      <c r="L964" s="294"/>
      <c r="M964" s="48"/>
      <c r="N964" s="187"/>
      <c r="O964" s="76"/>
      <c r="P964" s="76"/>
    </row>
    <row r="965" ht="20.25" customHeight="1">
      <c r="A965" s="29"/>
      <c r="B965" s="29"/>
      <c r="C965" s="29"/>
      <c r="D965" s="19"/>
      <c r="E965" s="19"/>
      <c r="F965" s="29"/>
      <c r="G965" s="74" t="s">
        <v>17</v>
      </c>
      <c r="H965" s="74" t="s">
        <v>18</v>
      </c>
      <c r="I965" s="77">
        <v>3.0</v>
      </c>
      <c r="J965" s="77">
        <v>145.0</v>
      </c>
      <c r="K965" s="77">
        <v>435.0</v>
      </c>
      <c r="L965" s="314"/>
      <c r="M965" s="48"/>
      <c r="N965" s="187"/>
      <c r="O965" s="76"/>
      <c r="P965" s="76"/>
    </row>
    <row r="966" ht="20.25" customHeight="1">
      <c r="A966" s="57"/>
      <c r="B966" s="57"/>
      <c r="C966" s="57"/>
      <c r="D966" s="11"/>
      <c r="E966" s="11"/>
      <c r="F966" s="57"/>
      <c r="G966" s="74" t="s">
        <v>17</v>
      </c>
      <c r="H966" s="74" t="s">
        <v>18</v>
      </c>
      <c r="I966" s="73">
        <v>1.0</v>
      </c>
      <c r="J966" s="73">
        <v>135.0</v>
      </c>
      <c r="K966" s="73">
        <v>135.0</v>
      </c>
      <c r="L966" s="294"/>
      <c r="M966" s="48"/>
      <c r="N966" s="187"/>
      <c r="O966" s="76"/>
      <c r="P966" s="76"/>
    </row>
    <row r="967" ht="20.25" customHeight="1">
      <c r="A967" s="29"/>
      <c r="B967" s="29"/>
      <c r="C967" s="29"/>
      <c r="D967" s="19"/>
      <c r="E967" s="19"/>
      <c r="F967" s="29"/>
      <c r="G967" s="74" t="s">
        <v>17</v>
      </c>
      <c r="H967" s="74" t="s">
        <v>18</v>
      </c>
      <c r="I967" s="77">
        <v>1.0</v>
      </c>
      <c r="J967" s="77">
        <v>160.0</v>
      </c>
      <c r="K967" s="77">
        <v>160.0</v>
      </c>
      <c r="L967" s="314"/>
      <c r="M967" s="48"/>
      <c r="N967" s="187"/>
      <c r="O967" s="76"/>
      <c r="P967" s="76"/>
    </row>
    <row r="968" ht="20.25" customHeight="1">
      <c r="A968" s="57"/>
      <c r="B968" s="58"/>
      <c r="C968" s="58"/>
      <c r="D968" s="11"/>
      <c r="E968" s="11"/>
      <c r="F968" s="58"/>
      <c r="G968" s="74" t="s">
        <v>17</v>
      </c>
      <c r="H968" s="74" t="s">
        <v>18</v>
      </c>
      <c r="I968" s="73">
        <v>2.0</v>
      </c>
      <c r="J968" s="73">
        <v>120.0</v>
      </c>
      <c r="K968" s="73">
        <v>240.0</v>
      </c>
      <c r="L968" s="321"/>
      <c r="M968" s="51"/>
      <c r="N968" s="108"/>
      <c r="O968" s="76"/>
      <c r="P968" s="76"/>
    </row>
    <row r="969" ht="20.25" customHeight="1">
      <c r="A969" s="29"/>
      <c r="B969" s="123" t="s">
        <v>110</v>
      </c>
      <c r="C969" s="123">
        <v>127.0</v>
      </c>
      <c r="D969" s="19"/>
      <c r="E969" s="19"/>
      <c r="F969" s="26" t="s">
        <v>147</v>
      </c>
      <c r="G969" s="74" t="s">
        <v>17</v>
      </c>
      <c r="H969" s="74" t="s">
        <v>18</v>
      </c>
      <c r="I969" s="77">
        <v>7.0</v>
      </c>
      <c r="J969" s="77">
        <v>150.0</v>
      </c>
      <c r="K969" s="77">
        <v>1050.0</v>
      </c>
      <c r="L969" s="389">
        <v>400.0</v>
      </c>
      <c r="M969" s="45"/>
      <c r="N969" s="105">
        <v>4010.0</v>
      </c>
      <c r="O969" s="76"/>
      <c r="P969" s="76"/>
    </row>
    <row r="970" ht="20.25" customHeight="1">
      <c r="A970" s="57"/>
      <c r="B970" s="57"/>
      <c r="C970" s="57"/>
      <c r="D970" s="11"/>
      <c r="E970" s="11"/>
      <c r="F970" s="57"/>
      <c r="G970" s="74" t="s">
        <v>17</v>
      </c>
      <c r="H970" s="74" t="s">
        <v>18</v>
      </c>
      <c r="I970" s="73">
        <v>8.0</v>
      </c>
      <c r="J970" s="73">
        <v>145.0</v>
      </c>
      <c r="K970" s="73">
        <v>1160.0</v>
      </c>
      <c r="L970" s="294"/>
      <c r="M970" s="48"/>
      <c r="N970" s="187"/>
      <c r="O970" s="76"/>
      <c r="P970" s="76"/>
    </row>
    <row r="971" ht="20.25" customHeight="1">
      <c r="A971" s="29"/>
      <c r="B971" s="29"/>
      <c r="C971" s="29"/>
      <c r="D971" s="19"/>
      <c r="E971" s="19"/>
      <c r="F971" s="29"/>
      <c r="G971" s="74" t="s">
        <v>17</v>
      </c>
      <c r="H971" s="74" t="s">
        <v>18</v>
      </c>
      <c r="I971" s="77">
        <v>4.0</v>
      </c>
      <c r="J971" s="77">
        <v>170.0</v>
      </c>
      <c r="K971" s="77">
        <v>680.0</v>
      </c>
      <c r="L971" s="314"/>
      <c r="M971" s="48"/>
      <c r="N971" s="187"/>
      <c r="O971" s="76"/>
      <c r="P971" s="76"/>
    </row>
    <row r="972" ht="20.25" customHeight="1">
      <c r="A972" s="58"/>
      <c r="B972" s="58"/>
      <c r="C972" s="58"/>
      <c r="D972" s="11"/>
      <c r="E972" s="11"/>
      <c r="F972" s="58"/>
      <c r="G972" s="74" t="s">
        <v>17</v>
      </c>
      <c r="H972" s="74" t="s">
        <v>18</v>
      </c>
      <c r="I972" s="73">
        <v>6.0</v>
      </c>
      <c r="J972" s="73">
        <v>120.0</v>
      </c>
      <c r="K972" s="73">
        <v>720.0</v>
      </c>
      <c r="L972" s="321"/>
      <c r="M972" s="51"/>
      <c r="N972" s="108"/>
      <c r="O972" s="76"/>
      <c r="P972" s="76"/>
    </row>
    <row r="973" ht="20.25" customHeight="1">
      <c r="A973" s="121">
        <v>46234.0</v>
      </c>
      <c r="B973" s="123" t="s">
        <v>21</v>
      </c>
      <c r="C973" s="123">
        <v>136.0</v>
      </c>
      <c r="D973" s="19"/>
      <c r="E973" s="19"/>
      <c r="F973" s="160" t="s">
        <v>240</v>
      </c>
      <c r="G973" s="74" t="s">
        <v>17</v>
      </c>
      <c r="H973" s="74" t="s">
        <v>25</v>
      </c>
      <c r="I973" s="77">
        <v>1.0</v>
      </c>
      <c r="J973" s="77">
        <v>120.0</v>
      </c>
      <c r="K973" s="77">
        <v>120.0</v>
      </c>
      <c r="L973" s="389">
        <v>30.0</v>
      </c>
      <c r="M973" s="105">
        <v>570.0</v>
      </c>
      <c r="N973" s="105">
        <v>2490.0</v>
      </c>
      <c r="O973" s="76"/>
      <c r="P973" s="76"/>
    </row>
    <row r="974" ht="20.25" customHeight="1">
      <c r="A974" s="57"/>
      <c r="B974" s="58"/>
      <c r="C974" s="58"/>
      <c r="D974" s="11"/>
      <c r="E974" s="11"/>
      <c r="F974" s="58"/>
      <c r="G974" s="74" t="s">
        <v>17</v>
      </c>
      <c r="H974" s="74" t="s">
        <v>18</v>
      </c>
      <c r="I974" s="73">
        <v>18.0</v>
      </c>
      <c r="J974" s="73">
        <v>100.0</v>
      </c>
      <c r="K974" s="73">
        <v>1800.0</v>
      </c>
      <c r="L974" s="294"/>
      <c r="M974" s="108"/>
      <c r="N974" s="108"/>
      <c r="O974" s="76"/>
      <c r="P974" s="76"/>
    </row>
    <row r="975" ht="20.25" customHeight="1">
      <c r="A975" s="29"/>
      <c r="B975" s="19" t="s">
        <v>110</v>
      </c>
      <c r="C975" s="19"/>
      <c r="D975" s="19"/>
      <c r="E975" s="19"/>
      <c r="F975" s="160" t="s">
        <v>244</v>
      </c>
      <c r="G975" s="74" t="s">
        <v>17</v>
      </c>
      <c r="H975" s="74" t="s">
        <v>25</v>
      </c>
      <c r="I975" s="77">
        <v>1.0</v>
      </c>
      <c r="J975" s="77">
        <v>120.0</v>
      </c>
      <c r="K975" s="77">
        <v>120.0</v>
      </c>
      <c r="L975" s="389">
        <v>25.0</v>
      </c>
      <c r="M975" s="105">
        <v>425.0</v>
      </c>
      <c r="N975" s="105">
        <v>2145.0</v>
      </c>
      <c r="O975" s="76"/>
      <c r="P975" s="76"/>
    </row>
    <row r="976" ht="20.25" customHeight="1">
      <c r="A976" s="57"/>
      <c r="B976" s="11" t="s">
        <v>21</v>
      </c>
      <c r="C976" s="11"/>
      <c r="D976" s="11"/>
      <c r="E976" s="11"/>
      <c r="F976" s="58"/>
      <c r="G976" s="74" t="s">
        <v>17</v>
      </c>
      <c r="H976" s="74" t="s">
        <v>18</v>
      </c>
      <c r="I976" s="73">
        <v>16.0</v>
      </c>
      <c r="J976" s="73">
        <v>100.0</v>
      </c>
      <c r="K976" s="73">
        <v>1600.0</v>
      </c>
      <c r="L976" s="294"/>
      <c r="M976" s="108"/>
      <c r="N976" s="108"/>
      <c r="O976" s="76"/>
      <c r="P976" s="76"/>
    </row>
    <row r="977" ht="20.25" customHeight="1">
      <c r="A977" s="29"/>
      <c r="B977" s="123" t="s">
        <v>110</v>
      </c>
      <c r="C977" s="123">
        <v>126.0</v>
      </c>
      <c r="D977" s="19"/>
      <c r="E977" s="19"/>
      <c r="F977" s="26" t="s">
        <v>235</v>
      </c>
      <c r="G977" s="74" t="s">
        <v>17</v>
      </c>
      <c r="H977" s="74" t="s">
        <v>25</v>
      </c>
      <c r="I977" s="77">
        <v>1.0</v>
      </c>
      <c r="J977" s="77">
        <v>220.0</v>
      </c>
      <c r="K977" s="77">
        <v>220.0</v>
      </c>
      <c r="L977" s="389">
        <v>400.0</v>
      </c>
      <c r="M977" s="45"/>
      <c r="N977" s="105">
        <v>3945.0</v>
      </c>
      <c r="O977" s="76"/>
      <c r="P977" s="76"/>
    </row>
    <row r="978" ht="20.25" customHeight="1">
      <c r="A978" s="57"/>
      <c r="B978" s="57"/>
      <c r="C978" s="57"/>
      <c r="D978" s="11"/>
      <c r="E978" s="11"/>
      <c r="F978" s="57"/>
      <c r="G978" s="74" t="s">
        <v>17</v>
      </c>
      <c r="H978" s="74" t="s">
        <v>18</v>
      </c>
      <c r="I978" s="73">
        <v>6.0</v>
      </c>
      <c r="J978" s="73">
        <v>150.0</v>
      </c>
      <c r="K978" s="73">
        <v>900.0</v>
      </c>
      <c r="L978" s="294"/>
      <c r="M978" s="48"/>
      <c r="N978" s="187"/>
      <c r="O978" s="76"/>
      <c r="P978" s="76"/>
    </row>
    <row r="979" ht="20.25" customHeight="1">
      <c r="A979" s="29"/>
      <c r="B979" s="29"/>
      <c r="C979" s="29"/>
      <c r="D979" s="19"/>
      <c r="E979" s="19"/>
      <c r="F979" s="29"/>
      <c r="G979" s="74" t="s">
        <v>17</v>
      </c>
      <c r="H979" s="74" t="s">
        <v>18</v>
      </c>
      <c r="I979" s="77">
        <v>5.0</v>
      </c>
      <c r="J979" s="77">
        <v>145.0</v>
      </c>
      <c r="K979" s="77">
        <v>725.0</v>
      </c>
      <c r="L979" s="314"/>
      <c r="M979" s="48"/>
      <c r="N979" s="187"/>
      <c r="O979" s="76"/>
      <c r="P979" s="76"/>
    </row>
    <row r="980" ht="20.25" customHeight="1">
      <c r="A980" s="57"/>
      <c r="B980" s="57"/>
      <c r="C980" s="57"/>
      <c r="D980" s="11"/>
      <c r="E980" s="11"/>
      <c r="F980" s="57"/>
      <c r="G980" s="74" t="s">
        <v>17</v>
      </c>
      <c r="H980" s="74" t="s">
        <v>18</v>
      </c>
      <c r="I980" s="73">
        <v>4.0</v>
      </c>
      <c r="J980" s="73">
        <v>190.0</v>
      </c>
      <c r="K980" s="73">
        <v>760.0</v>
      </c>
      <c r="L980" s="294"/>
      <c r="M980" s="48"/>
      <c r="N980" s="187"/>
      <c r="O980" s="76"/>
      <c r="P980" s="76"/>
    </row>
    <row r="981" ht="20.25" customHeight="1">
      <c r="A981" s="29"/>
      <c r="B981" s="29"/>
      <c r="C981" s="29"/>
      <c r="D981" s="19"/>
      <c r="E981" s="19"/>
      <c r="F981" s="29"/>
      <c r="G981" s="74" t="s">
        <v>17</v>
      </c>
      <c r="H981" s="74" t="s">
        <v>18</v>
      </c>
      <c r="I981" s="77">
        <v>5.0</v>
      </c>
      <c r="J981" s="77">
        <v>120.0</v>
      </c>
      <c r="K981" s="77">
        <v>600.0</v>
      </c>
      <c r="L981" s="314"/>
      <c r="M981" s="48"/>
      <c r="N981" s="187"/>
      <c r="O981" s="76"/>
      <c r="P981" s="76"/>
    </row>
    <row r="982" ht="20.25" customHeight="1">
      <c r="A982" s="57"/>
      <c r="B982" s="58"/>
      <c r="C982" s="58"/>
      <c r="D982" s="11"/>
      <c r="E982" s="11"/>
      <c r="F982" s="58"/>
      <c r="G982" s="74" t="s">
        <v>17</v>
      </c>
      <c r="H982" s="74" t="s">
        <v>18</v>
      </c>
      <c r="I982" s="73">
        <v>2.0</v>
      </c>
      <c r="J982" s="73">
        <v>170.0</v>
      </c>
      <c r="K982" s="73">
        <v>340.0</v>
      </c>
      <c r="L982" s="321"/>
      <c r="M982" s="51"/>
      <c r="N982" s="108"/>
      <c r="O982" s="76"/>
      <c r="P982" s="76"/>
    </row>
    <row r="983" ht="20.25" customHeight="1">
      <c r="A983" s="29"/>
      <c r="B983" s="123" t="s">
        <v>110</v>
      </c>
      <c r="C983" s="123">
        <v>125.0</v>
      </c>
      <c r="D983" s="19"/>
      <c r="E983" s="19"/>
      <c r="F983" s="26" t="s">
        <v>147</v>
      </c>
      <c r="G983" s="74" t="s">
        <v>17</v>
      </c>
      <c r="H983" s="74" t="s">
        <v>18</v>
      </c>
      <c r="I983" s="77">
        <v>7.0</v>
      </c>
      <c r="J983" s="77">
        <v>150.0</v>
      </c>
      <c r="K983" s="77">
        <v>1050.0</v>
      </c>
      <c r="L983" s="389">
        <v>400.0</v>
      </c>
      <c r="M983" s="45"/>
      <c r="N983" s="105">
        <v>3845.0</v>
      </c>
      <c r="O983" s="76"/>
      <c r="P983" s="76"/>
    </row>
    <row r="984" ht="20.25" customHeight="1">
      <c r="A984" s="57"/>
      <c r="B984" s="57"/>
      <c r="C984" s="57"/>
      <c r="D984" s="11"/>
      <c r="E984" s="11"/>
      <c r="F984" s="57"/>
      <c r="G984" s="74" t="s">
        <v>17</v>
      </c>
      <c r="H984" s="74" t="s">
        <v>18</v>
      </c>
      <c r="I984" s="73">
        <v>7.0</v>
      </c>
      <c r="J984" s="73">
        <v>145.0</v>
      </c>
      <c r="K984" s="73">
        <v>1015.0</v>
      </c>
      <c r="L984" s="294"/>
      <c r="M984" s="48"/>
      <c r="N984" s="187"/>
      <c r="O984" s="76"/>
      <c r="P984" s="76"/>
    </row>
    <row r="985" ht="20.25" customHeight="1">
      <c r="A985" s="29"/>
      <c r="B985" s="29"/>
      <c r="C985" s="29"/>
      <c r="D985" s="19"/>
      <c r="E985" s="19"/>
      <c r="F985" s="29"/>
      <c r="G985" s="74" t="s">
        <v>17</v>
      </c>
      <c r="H985" s="74" t="s">
        <v>18</v>
      </c>
      <c r="I985" s="77">
        <v>6.0</v>
      </c>
      <c r="J985" s="77">
        <v>120.0</v>
      </c>
      <c r="K985" s="77">
        <v>720.0</v>
      </c>
      <c r="L985" s="314"/>
      <c r="M985" s="48"/>
      <c r="N985" s="187"/>
      <c r="O985" s="76"/>
      <c r="P985" s="76"/>
    </row>
    <row r="986" ht="20.25" customHeight="1">
      <c r="A986" s="57"/>
      <c r="B986" s="57"/>
      <c r="C986" s="57"/>
      <c r="D986" s="11"/>
      <c r="E986" s="11"/>
      <c r="F986" s="57"/>
      <c r="G986" s="74" t="s">
        <v>17</v>
      </c>
      <c r="H986" s="74" t="s">
        <v>18</v>
      </c>
      <c r="I986" s="73">
        <v>2.0</v>
      </c>
      <c r="J986" s="73">
        <v>160.0</v>
      </c>
      <c r="K986" s="73">
        <v>320.0</v>
      </c>
      <c r="L986" s="294"/>
      <c r="M986" s="48"/>
      <c r="N986" s="187"/>
      <c r="O986" s="76"/>
      <c r="P986" s="76"/>
    </row>
    <row r="987" ht="20.25" customHeight="1">
      <c r="A987" s="20"/>
      <c r="B987" s="20"/>
      <c r="C987" s="20"/>
      <c r="D987" s="19"/>
      <c r="E987" s="19"/>
      <c r="F987" s="20"/>
      <c r="G987" s="74" t="s">
        <v>17</v>
      </c>
      <c r="H987" s="74" t="s">
        <v>18</v>
      </c>
      <c r="I987" s="77">
        <v>2.0</v>
      </c>
      <c r="J987" s="77">
        <v>170.0</v>
      </c>
      <c r="K987" s="77">
        <v>340.0</v>
      </c>
      <c r="L987" s="311"/>
      <c r="M987" s="51"/>
      <c r="N987" s="108"/>
      <c r="O987" s="76"/>
      <c r="P987" s="76"/>
    </row>
    <row r="988" ht="20.25" customHeight="1">
      <c r="A988" s="69">
        <v>46235.0</v>
      </c>
      <c r="B988" s="72" t="s">
        <v>21</v>
      </c>
      <c r="C988" s="72">
        <v>136.0</v>
      </c>
      <c r="D988" s="11"/>
      <c r="E988" s="11"/>
      <c r="F988" s="75" t="s">
        <v>240</v>
      </c>
      <c r="G988" s="74" t="s">
        <v>17</v>
      </c>
      <c r="H988" s="74" t="s">
        <v>25</v>
      </c>
      <c r="I988" s="73">
        <v>1.0</v>
      </c>
      <c r="J988" s="73">
        <v>120.0</v>
      </c>
      <c r="K988" s="73">
        <v>120.0</v>
      </c>
      <c r="L988" s="75">
        <v>30.0</v>
      </c>
      <c r="M988" s="105">
        <v>570.0</v>
      </c>
      <c r="N988" s="105">
        <v>2490.0</v>
      </c>
      <c r="O988" s="76"/>
      <c r="P988" s="76"/>
    </row>
    <row r="989" ht="20.25" customHeight="1">
      <c r="A989" s="29"/>
      <c r="B989" s="20"/>
      <c r="C989" s="20"/>
      <c r="D989" s="19"/>
      <c r="E989" s="19"/>
      <c r="F989" s="20"/>
      <c r="G989" s="74" t="s">
        <v>17</v>
      </c>
      <c r="H989" s="74" t="s">
        <v>18</v>
      </c>
      <c r="I989" s="77">
        <v>18.0</v>
      </c>
      <c r="J989" s="77">
        <v>100.0</v>
      </c>
      <c r="K989" s="77">
        <v>1800.0</v>
      </c>
      <c r="L989" s="20"/>
      <c r="M989" s="108"/>
      <c r="N989" s="108"/>
      <c r="O989" s="76"/>
      <c r="P989" s="76"/>
    </row>
    <row r="990" ht="20.25" customHeight="1">
      <c r="A990" s="57"/>
      <c r="B990" s="72" t="s">
        <v>21</v>
      </c>
      <c r="C990" s="72">
        <v>137.0</v>
      </c>
      <c r="D990" s="11"/>
      <c r="E990" s="11"/>
      <c r="F990" s="75" t="s">
        <v>244</v>
      </c>
      <c r="G990" s="74" t="s">
        <v>17</v>
      </c>
      <c r="H990" s="74" t="s">
        <v>25</v>
      </c>
      <c r="I990" s="73">
        <v>1.0</v>
      </c>
      <c r="J990" s="73">
        <v>120.0</v>
      </c>
      <c r="K990" s="73">
        <v>120.0</v>
      </c>
      <c r="L990" s="75">
        <v>25.0</v>
      </c>
      <c r="M990" s="105">
        <v>375.0</v>
      </c>
      <c r="N990" s="105">
        <v>1895.0</v>
      </c>
      <c r="O990" s="76"/>
      <c r="P990" s="76"/>
    </row>
    <row r="991" ht="20.25" customHeight="1">
      <c r="A991" s="20"/>
      <c r="B991" s="20"/>
      <c r="C991" s="20"/>
      <c r="D991" s="19"/>
      <c r="E991" s="19"/>
      <c r="F991" s="20"/>
      <c r="G991" s="74" t="s">
        <v>17</v>
      </c>
      <c r="H991" s="74" t="s">
        <v>18</v>
      </c>
      <c r="I991" s="77">
        <v>14.0</v>
      </c>
      <c r="J991" s="77">
        <v>100.0</v>
      </c>
      <c r="K991" s="77">
        <v>1400.0</v>
      </c>
      <c r="L991" s="20"/>
      <c r="M991" s="108"/>
      <c r="N991" s="108"/>
      <c r="O991" s="76"/>
      <c r="P991" s="76"/>
    </row>
    <row r="992" ht="20.25" customHeight="1">
      <c r="A992" s="476">
        <v>46236.0</v>
      </c>
      <c r="B992" s="72" t="s">
        <v>21</v>
      </c>
      <c r="C992" s="72">
        <v>130.0</v>
      </c>
      <c r="D992" s="11"/>
      <c r="E992" s="11"/>
      <c r="F992" s="75" t="s">
        <v>240</v>
      </c>
      <c r="G992" s="74" t="s">
        <v>17</v>
      </c>
      <c r="H992" s="74" t="s">
        <v>25</v>
      </c>
      <c r="I992" s="73">
        <v>1.0</v>
      </c>
      <c r="J992" s="73">
        <v>120.0</v>
      </c>
      <c r="K992" s="73">
        <v>120.0</v>
      </c>
      <c r="L992" s="75">
        <v>30.0</v>
      </c>
      <c r="M992" s="105">
        <v>600.0</v>
      </c>
      <c r="N992" s="105">
        <v>2620.0</v>
      </c>
      <c r="O992" s="76"/>
      <c r="P992" s="76"/>
    </row>
    <row r="993" ht="20.25" customHeight="1">
      <c r="A993" s="29"/>
      <c r="B993" s="20"/>
      <c r="C993" s="20"/>
      <c r="D993" s="19"/>
      <c r="E993" s="19"/>
      <c r="F993" s="20"/>
      <c r="G993" s="74" t="s">
        <v>17</v>
      </c>
      <c r="H993" s="74" t="s">
        <v>18</v>
      </c>
      <c r="I993" s="77">
        <v>19.0</v>
      </c>
      <c r="J993" s="77">
        <v>100.0</v>
      </c>
      <c r="K993" s="77">
        <v>1900.0</v>
      </c>
      <c r="L993" s="20"/>
      <c r="M993" s="108"/>
      <c r="N993" s="108"/>
      <c r="O993" s="76"/>
      <c r="P993" s="76"/>
    </row>
    <row r="994" ht="20.25" customHeight="1">
      <c r="A994" s="57"/>
      <c r="B994" s="329" t="s">
        <v>21</v>
      </c>
      <c r="C994" s="329">
        <v>106.0</v>
      </c>
      <c r="D994" s="329"/>
      <c r="E994" s="329"/>
      <c r="F994" s="338" t="s">
        <v>244</v>
      </c>
      <c r="G994" s="74" t="s">
        <v>17</v>
      </c>
      <c r="H994" s="74" t="s">
        <v>25</v>
      </c>
      <c r="I994" s="286">
        <v>1.0</v>
      </c>
      <c r="J994" s="271">
        <v>120.0</v>
      </c>
      <c r="K994" s="271">
        <v>120.0</v>
      </c>
      <c r="L994" s="338">
        <v>25.0</v>
      </c>
      <c r="M994" s="338">
        <v>450.0</v>
      </c>
      <c r="N994" s="338">
        <v>2270.0</v>
      </c>
      <c r="O994" s="76"/>
      <c r="P994" s="76"/>
    </row>
    <row r="995" ht="20.25" customHeight="1">
      <c r="A995" s="20"/>
      <c r="B995" s="329" t="s">
        <v>102</v>
      </c>
      <c r="C995" s="329">
        <v>129.0</v>
      </c>
      <c r="D995" s="329"/>
      <c r="E995" s="329"/>
      <c r="F995" s="20"/>
      <c r="G995" s="74" t="s">
        <v>17</v>
      </c>
      <c r="H995" s="74" t="s">
        <v>18</v>
      </c>
      <c r="I995" s="286">
        <v>17.0</v>
      </c>
      <c r="J995" s="271">
        <v>100.0</v>
      </c>
      <c r="K995" s="271">
        <v>1700.0</v>
      </c>
      <c r="L995" s="20"/>
      <c r="M995" s="108"/>
      <c r="N995" s="108"/>
      <c r="O995" s="76"/>
      <c r="P995" s="76"/>
    </row>
    <row r="996" ht="20.25" customHeight="1">
      <c r="A996" s="69">
        <v>46237.0</v>
      </c>
      <c r="B996" s="72" t="s">
        <v>21</v>
      </c>
      <c r="C996" s="72">
        <v>130.0</v>
      </c>
      <c r="D996" s="11"/>
      <c r="E996" s="11"/>
      <c r="F996" s="75" t="s">
        <v>240</v>
      </c>
      <c r="G996" s="74" t="s">
        <v>17</v>
      </c>
      <c r="H996" s="74" t="s">
        <v>25</v>
      </c>
      <c r="I996" s="73">
        <v>1.0</v>
      </c>
      <c r="J996" s="73">
        <v>120.0</v>
      </c>
      <c r="K996" s="73">
        <v>120.0</v>
      </c>
      <c r="L996" s="75">
        <v>30.0</v>
      </c>
      <c r="M996" s="105">
        <v>480.0</v>
      </c>
      <c r="N996" s="105">
        <v>2100.0</v>
      </c>
      <c r="O996" s="76"/>
      <c r="P996" s="76"/>
    </row>
    <row r="997" ht="20.25" customHeight="1">
      <c r="A997" s="29"/>
      <c r="B997" s="20"/>
      <c r="C997" s="20"/>
      <c r="D997" s="19"/>
      <c r="E997" s="19"/>
      <c r="F997" s="20"/>
      <c r="G997" s="74" t="s">
        <v>17</v>
      </c>
      <c r="H997" s="74" t="s">
        <v>18</v>
      </c>
      <c r="I997" s="77">
        <v>15.0</v>
      </c>
      <c r="J997" s="77">
        <v>100.0</v>
      </c>
      <c r="K997" s="77">
        <v>1500.0</v>
      </c>
      <c r="L997" s="20"/>
      <c r="M997" s="108"/>
      <c r="N997" s="108"/>
      <c r="O997" s="76"/>
      <c r="P997" s="76"/>
    </row>
    <row r="998" ht="20.25" customHeight="1">
      <c r="A998" s="57"/>
      <c r="B998" s="72" t="s">
        <v>21</v>
      </c>
      <c r="C998" s="72">
        <v>129.0</v>
      </c>
      <c r="D998" s="11"/>
      <c r="E998" s="11"/>
      <c r="F998" s="75" t="s">
        <v>244</v>
      </c>
      <c r="G998" s="74" t="s">
        <v>17</v>
      </c>
      <c r="H998" s="74" t="s">
        <v>25</v>
      </c>
      <c r="I998" s="73">
        <v>1.0</v>
      </c>
      <c r="J998" s="73">
        <v>120.0</v>
      </c>
      <c r="K998" s="73">
        <v>120.0</v>
      </c>
      <c r="L998" s="75">
        <v>25.0</v>
      </c>
      <c r="M998" s="105">
        <v>400.0</v>
      </c>
      <c r="N998" s="105">
        <v>2020.0</v>
      </c>
      <c r="O998" s="76"/>
      <c r="P998" s="76"/>
    </row>
    <row r="999" ht="20.25" customHeight="1">
      <c r="A999" s="29"/>
      <c r="B999" s="20"/>
      <c r="C999" s="20"/>
      <c r="D999" s="19"/>
      <c r="E999" s="19"/>
      <c r="F999" s="20"/>
      <c r="G999" s="74" t="s">
        <v>17</v>
      </c>
      <c r="H999" s="74" t="s">
        <v>18</v>
      </c>
      <c r="I999" s="77">
        <v>15.0</v>
      </c>
      <c r="J999" s="77">
        <v>100.0</v>
      </c>
      <c r="K999" s="77">
        <v>1500.0</v>
      </c>
      <c r="L999" s="20"/>
      <c r="M999" s="108"/>
      <c r="N999" s="108"/>
      <c r="O999" s="76"/>
      <c r="P999" s="76"/>
    </row>
    <row r="1000" ht="20.25" customHeight="1">
      <c r="A1000" s="57"/>
      <c r="B1000" s="72" t="s">
        <v>110</v>
      </c>
      <c r="C1000" s="11">
        <v>125.0</v>
      </c>
      <c r="D1000" s="11"/>
      <c r="E1000" s="11"/>
      <c r="F1000" s="75" t="s">
        <v>235</v>
      </c>
      <c r="G1000" s="74" t="s">
        <v>17</v>
      </c>
      <c r="H1000" s="74" t="s">
        <v>25</v>
      </c>
      <c r="I1000" s="73">
        <v>1.0</v>
      </c>
      <c r="J1000" s="73">
        <v>170.0</v>
      </c>
      <c r="K1000" s="73">
        <v>170.0</v>
      </c>
      <c r="L1000" s="399">
        <v>400.0</v>
      </c>
      <c r="M1000" s="45"/>
      <c r="N1000" s="105">
        <v>3450.0</v>
      </c>
      <c r="O1000" s="76"/>
      <c r="P1000" s="76"/>
    </row>
    <row r="1001" ht="20.25" customHeight="1">
      <c r="A1001" s="29"/>
      <c r="B1001" s="29"/>
      <c r="C1001" s="19">
        <v>126.0</v>
      </c>
      <c r="D1001" s="19"/>
      <c r="E1001" s="19"/>
      <c r="F1001" s="29"/>
      <c r="G1001" s="74" t="s">
        <v>17</v>
      </c>
      <c r="H1001" s="105" t="s">
        <v>18</v>
      </c>
      <c r="I1001" s="160">
        <v>24.0</v>
      </c>
      <c r="J1001" s="160">
        <v>120.0</v>
      </c>
      <c r="K1001" s="160">
        <v>2880.0</v>
      </c>
      <c r="L1001" s="314"/>
      <c r="M1001" s="48"/>
      <c r="N1001" s="187"/>
      <c r="O1001" s="76"/>
      <c r="P1001" s="76"/>
    </row>
    <row r="1002" ht="20.25" customHeight="1">
      <c r="A1002" s="57"/>
      <c r="B1002" s="57"/>
      <c r="C1002" s="11">
        <v>127.0</v>
      </c>
      <c r="D1002" s="11"/>
      <c r="E1002" s="11"/>
      <c r="F1002" s="57"/>
      <c r="G1002" s="74" t="s">
        <v>17</v>
      </c>
      <c r="H1002" s="187"/>
      <c r="I1002" s="57"/>
      <c r="J1002" s="57"/>
      <c r="K1002" s="57"/>
      <c r="L1002" s="294"/>
      <c r="M1002" s="48"/>
      <c r="N1002" s="187"/>
      <c r="O1002" s="76"/>
      <c r="P1002" s="76"/>
    </row>
    <row r="1003" ht="20.25" customHeight="1">
      <c r="A1003" s="20"/>
      <c r="B1003" s="20"/>
      <c r="C1003" s="19">
        <v>128.0</v>
      </c>
      <c r="D1003" s="19"/>
      <c r="E1003" s="19"/>
      <c r="F1003" s="20"/>
      <c r="G1003" s="74" t="s">
        <v>17</v>
      </c>
      <c r="H1003" s="108"/>
      <c r="I1003" s="20"/>
      <c r="J1003" s="20"/>
      <c r="K1003" s="20"/>
      <c r="L1003" s="311"/>
      <c r="M1003" s="51"/>
      <c r="N1003" s="108"/>
      <c r="O1003" s="76"/>
      <c r="P1003" s="76"/>
    </row>
    <row r="1004" ht="20.25" customHeight="1">
      <c r="A1004" s="69">
        <v>46238.0</v>
      </c>
      <c r="B1004" s="72" t="s">
        <v>21</v>
      </c>
      <c r="C1004" s="11">
        <v>130.0</v>
      </c>
      <c r="D1004" s="11"/>
      <c r="E1004" s="11"/>
      <c r="F1004" s="75" t="s">
        <v>240</v>
      </c>
      <c r="G1004" s="74" t="s">
        <v>17</v>
      </c>
      <c r="H1004" s="74" t="s">
        <v>25</v>
      </c>
      <c r="I1004" s="73">
        <v>1.0</v>
      </c>
      <c r="J1004" s="73">
        <v>120.0</v>
      </c>
      <c r="K1004" s="73">
        <v>120.0</v>
      </c>
      <c r="L1004" s="75">
        <v>30.0</v>
      </c>
      <c r="M1004" s="105">
        <v>600.0</v>
      </c>
      <c r="N1004" s="105">
        <v>2620.0</v>
      </c>
      <c r="O1004" s="76"/>
      <c r="P1004" s="76"/>
    </row>
    <row r="1005" ht="20.25" customHeight="1">
      <c r="A1005" s="29"/>
      <c r="B1005" s="20"/>
      <c r="C1005" s="19">
        <v>131.0</v>
      </c>
      <c r="D1005" s="19"/>
      <c r="E1005" s="19"/>
      <c r="F1005" s="20"/>
      <c r="G1005" s="74" t="s">
        <v>17</v>
      </c>
      <c r="H1005" s="74" t="s">
        <v>18</v>
      </c>
      <c r="I1005" s="77">
        <v>19.0</v>
      </c>
      <c r="J1005" s="77">
        <v>100.0</v>
      </c>
      <c r="K1005" s="77">
        <v>1900.0</v>
      </c>
      <c r="L1005" s="20"/>
      <c r="M1005" s="108"/>
      <c r="N1005" s="108"/>
      <c r="O1005" s="76"/>
      <c r="P1005" s="76"/>
    </row>
    <row r="1006" ht="20.25" customHeight="1">
      <c r="A1006" s="57"/>
      <c r="B1006" s="11" t="s">
        <v>21</v>
      </c>
      <c r="C1006" s="11">
        <v>113.0</v>
      </c>
      <c r="D1006" s="11"/>
      <c r="E1006" s="11"/>
      <c r="F1006" s="75" t="s">
        <v>244</v>
      </c>
      <c r="G1006" s="74" t="s">
        <v>17</v>
      </c>
      <c r="H1006" s="74" t="s">
        <v>25</v>
      </c>
      <c r="I1006" s="73">
        <v>1.0</v>
      </c>
      <c r="J1006" s="73">
        <v>120.0</v>
      </c>
      <c r="K1006" s="73">
        <v>120.0</v>
      </c>
      <c r="L1006" s="75">
        <v>25.0</v>
      </c>
      <c r="M1006" s="105">
        <v>450.0</v>
      </c>
      <c r="N1006" s="105">
        <v>2270.0</v>
      </c>
      <c r="O1006" s="76"/>
      <c r="P1006" s="76"/>
    </row>
    <row r="1007" ht="20.25" customHeight="1">
      <c r="A1007" s="29"/>
      <c r="B1007" s="19" t="s">
        <v>110</v>
      </c>
      <c r="C1007" s="19">
        <v>129.0</v>
      </c>
      <c r="D1007" s="19"/>
      <c r="E1007" s="19"/>
      <c r="F1007" s="20"/>
      <c r="G1007" s="74" t="s">
        <v>17</v>
      </c>
      <c r="H1007" s="74" t="s">
        <v>18</v>
      </c>
      <c r="I1007" s="77">
        <v>17.0</v>
      </c>
      <c r="J1007" s="77">
        <v>100.0</v>
      </c>
      <c r="K1007" s="77">
        <v>1700.0</v>
      </c>
      <c r="L1007" s="20"/>
      <c r="M1007" s="108"/>
      <c r="N1007" s="108"/>
      <c r="O1007" s="76"/>
      <c r="P1007" s="76"/>
    </row>
    <row r="1008" ht="20.25" customHeight="1">
      <c r="A1008" s="57"/>
      <c r="B1008" s="72" t="s">
        <v>110</v>
      </c>
      <c r="C1008" s="72">
        <v>103.0</v>
      </c>
      <c r="D1008" s="11"/>
      <c r="E1008" s="11"/>
      <c r="F1008" s="75" t="s">
        <v>235</v>
      </c>
      <c r="G1008" s="74" t="s">
        <v>17</v>
      </c>
      <c r="H1008" s="74" t="s">
        <v>25</v>
      </c>
      <c r="I1008" s="73">
        <v>1.0</v>
      </c>
      <c r="J1008" s="73">
        <v>220.0</v>
      </c>
      <c r="K1008" s="73">
        <v>220.0</v>
      </c>
      <c r="L1008" s="399">
        <v>400.0</v>
      </c>
      <c r="M1008" s="45"/>
      <c r="N1008" s="105">
        <v>4660.0</v>
      </c>
      <c r="O1008" s="76"/>
      <c r="P1008" s="76"/>
    </row>
    <row r="1009" ht="20.25" customHeight="1">
      <c r="A1009" s="29"/>
      <c r="B1009" s="29"/>
      <c r="C1009" s="29"/>
      <c r="D1009" s="19"/>
      <c r="E1009" s="19"/>
      <c r="F1009" s="29"/>
      <c r="G1009" s="74" t="s">
        <v>17</v>
      </c>
      <c r="H1009" s="74" t="s">
        <v>18</v>
      </c>
      <c r="I1009" s="77">
        <v>9.0</v>
      </c>
      <c r="J1009" s="77">
        <v>150.0</v>
      </c>
      <c r="K1009" s="77">
        <v>1350.0</v>
      </c>
      <c r="L1009" s="314"/>
      <c r="M1009" s="48"/>
      <c r="N1009" s="187"/>
      <c r="O1009" s="76"/>
      <c r="P1009" s="76"/>
    </row>
    <row r="1010" ht="20.25" customHeight="1">
      <c r="A1010" s="57"/>
      <c r="B1010" s="57"/>
      <c r="C1010" s="57"/>
      <c r="D1010" s="11"/>
      <c r="E1010" s="11"/>
      <c r="F1010" s="57"/>
      <c r="G1010" s="74" t="s">
        <v>17</v>
      </c>
      <c r="H1010" s="74" t="s">
        <v>18</v>
      </c>
      <c r="I1010" s="73">
        <v>1.0</v>
      </c>
      <c r="J1010" s="73">
        <v>170.0</v>
      </c>
      <c r="K1010" s="73">
        <v>170.0</v>
      </c>
      <c r="L1010" s="294"/>
      <c r="M1010" s="48"/>
      <c r="N1010" s="187"/>
      <c r="O1010" s="76"/>
      <c r="P1010" s="76"/>
    </row>
    <row r="1011" ht="20.25" customHeight="1">
      <c r="A1011" s="29"/>
      <c r="B1011" s="29"/>
      <c r="C1011" s="29"/>
      <c r="D1011" s="19"/>
      <c r="E1011" s="19"/>
      <c r="F1011" s="29"/>
      <c r="G1011" s="74" t="s">
        <v>17</v>
      </c>
      <c r="H1011" s="74" t="s">
        <v>18</v>
      </c>
      <c r="I1011" s="77">
        <v>1.0</v>
      </c>
      <c r="J1011" s="77">
        <v>140.0</v>
      </c>
      <c r="K1011" s="77">
        <v>140.0</v>
      </c>
      <c r="L1011" s="314"/>
      <c r="M1011" s="48"/>
      <c r="N1011" s="187"/>
      <c r="O1011" s="76"/>
      <c r="P1011" s="76"/>
    </row>
    <row r="1012" ht="20.25" customHeight="1">
      <c r="A1012" s="57"/>
      <c r="B1012" s="57"/>
      <c r="C1012" s="57"/>
      <c r="D1012" s="11"/>
      <c r="E1012" s="11"/>
      <c r="F1012" s="57"/>
      <c r="G1012" s="74" t="s">
        <v>17</v>
      </c>
      <c r="H1012" s="74" t="s">
        <v>18</v>
      </c>
      <c r="I1012" s="73">
        <v>7.0</v>
      </c>
      <c r="J1012" s="73">
        <v>120.0</v>
      </c>
      <c r="K1012" s="73">
        <v>840.0</v>
      </c>
      <c r="L1012" s="294"/>
      <c r="M1012" s="48"/>
      <c r="N1012" s="187"/>
      <c r="O1012" s="76"/>
      <c r="P1012" s="76"/>
    </row>
    <row r="1013" ht="20.25" customHeight="1">
      <c r="A1013" s="29"/>
      <c r="B1013" s="29"/>
      <c r="C1013" s="29"/>
      <c r="D1013" s="19"/>
      <c r="E1013" s="19"/>
      <c r="F1013" s="29"/>
      <c r="G1013" s="74" t="s">
        <v>17</v>
      </c>
      <c r="H1013" s="74" t="s">
        <v>18</v>
      </c>
      <c r="I1013" s="77">
        <v>3.0</v>
      </c>
      <c r="J1013" s="77">
        <v>180.0</v>
      </c>
      <c r="K1013" s="77">
        <v>540.0</v>
      </c>
      <c r="L1013" s="314"/>
      <c r="M1013" s="48"/>
      <c r="N1013" s="187"/>
      <c r="O1013" s="76"/>
      <c r="P1013" s="76"/>
    </row>
    <row r="1014" ht="20.25" customHeight="1">
      <c r="A1014" s="57"/>
      <c r="B1014" s="57"/>
      <c r="C1014" s="57"/>
      <c r="D1014" s="11"/>
      <c r="E1014" s="11"/>
      <c r="F1014" s="57"/>
      <c r="G1014" s="74" t="s">
        <v>17</v>
      </c>
      <c r="H1014" s="74" t="s">
        <v>18</v>
      </c>
      <c r="I1014" s="73">
        <v>1.0</v>
      </c>
      <c r="J1014" s="73">
        <v>210.0</v>
      </c>
      <c r="K1014" s="73">
        <v>210.0</v>
      </c>
      <c r="L1014" s="294"/>
      <c r="M1014" s="48"/>
      <c r="N1014" s="187"/>
      <c r="O1014" s="76"/>
      <c r="P1014" s="76"/>
    </row>
    <row r="1015" ht="20.25" customHeight="1">
      <c r="A1015" s="29"/>
      <c r="B1015" s="29"/>
      <c r="C1015" s="29"/>
      <c r="D1015" s="19"/>
      <c r="E1015" s="19"/>
      <c r="F1015" s="29"/>
      <c r="G1015" s="74" t="s">
        <v>17</v>
      </c>
      <c r="H1015" s="74" t="s">
        <v>18</v>
      </c>
      <c r="I1015" s="77">
        <v>3.0</v>
      </c>
      <c r="J1015" s="77">
        <v>160.0</v>
      </c>
      <c r="K1015" s="77">
        <v>480.0</v>
      </c>
      <c r="L1015" s="314"/>
      <c r="M1015" s="48"/>
      <c r="N1015" s="187"/>
      <c r="O1015" s="76"/>
      <c r="P1015" s="76"/>
    </row>
    <row r="1016" ht="20.25" customHeight="1">
      <c r="A1016" s="57"/>
      <c r="B1016" s="57"/>
      <c r="C1016" s="57"/>
      <c r="D1016" s="11"/>
      <c r="E1016" s="11"/>
      <c r="F1016" s="57"/>
      <c r="G1016" s="74" t="s">
        <v>17</v>
      </c>
      <c r="H1016" s="74" t="s">
        <v>18</v>
      </c>
      <c r="I1016" s="73">
        <v>1.0</v>
      </c>
      <c r="J1016" s="73">
        <v>145.0</v>
      </c>
      <c r="K1016" s="73">
        <v>145.0</v>
      </c>
      <c r="L1016" s="294"/>
      <c r="M1016" s="48"/>
      <c r="N1016" s="187"/>
      <c r="O1016" s="76"/>
      <c r="P1016" s="76"/>
    </row>
    <row r="1017" ht="20.25" customHeight="1">
      <c r="A1017" s="20"/>
      <c r="B1017" s="20"/>
      <c r="C1017" s="20"/>
      <c r="D1017" s="19"/>
      <c r="E1017" s="19"/>
      <c r="F1017" s="20"/>
      <c r="G1017" s="74" t="s">
        <v>17</v>
      </c>
      <c r="H1017" s="74" t="s">
        <v>18</v>
      </c>
      <c r="I1017" s="77">
        <v>1.0</v>
      </c>
      <c r="J1017" s="77">
        <v>165.0</v>
      </c>
      <c r="K1017" s="77">
        <v>165.0</v>
      </c>
      <c r="L1017" s="311"/>
      <c r="M1017" s="51"/>
      <c r="N1017" s="108"/>
      <c r="O1017" s="76"/>
      <c r="P1017" s="76"/>
    </row>
    <row r="1018" ht="20.25" customHeight="1">
      <c r="A1018" s="69">
        <v>46239.0</v>
      </c>
      <c r="B1018" s="11" t="s">
        <v>21</v>
      </c>
      <c r="C1018" s="72">
        <v>132.0</v>
      </c>
      <c r="D1018" s="11"/>
      <c r="E1018" s="11"/>
      <c r="F1018" s="75" t="s">
        <v>244</v>
      </c>
      <c r="G1018" s="74" t="s">
        <v>17</v>
      </c>
      <c r="H1018" s="74" t="s">
        <v>25</v>
      </c>
      <c r="I1018" s="73">
        <v>1.0</v>
      </c>
      <c r="J1018" s="73">
        <v>120.0</v>
      </c>
      <c r="K1018" s="73">
        <v>120.0</v>
      </c>
      <c r="L1018" s="75">
        <v>25.0</v>
      </c>
      <c r="M1018" s="105">
        <v>500.0</v>
      </c>
      <c r="N1018" s="105">
        <v>2520.0</v>
      </c>
      <c r="O1018" s="76"/>
      <c r="P1018" s="76"/>
    </row>
    <row r="1019" ht="20.25" customHeight="1">
      <c r="A1019" s="29"/>
      <c r="B1019" s="19" t="s">
        <v>51</v>
      </c>
      <c r="C1019" s="20"/>
      <c r="D1019" s="19"/>
      <c r="E1019" s="19"/>
      <c r="F1019" s="20"/>
      <c r="G1019" s="74" t="s">
        <v>17</v>
      </c>
      <c r="H1019" s="74" t="s">
        <v>18</v>
      </c>
      <c r="I1019" s="77">
        <v>19.0</v>
      </c>
      <c r="J1019" s="77">
        <v>100.0</v>
      </c>
      <c r="K1019" s="77">
        <v>1900.0</v>
      </c>
      <c r="L1019" s="20"/>
      <c r="M1019" s="108"/>
      <c r="N1019" s="108"/>
      <c r="O1019" s="76"/>
      <c r="P1019" s="76"/>
    </row>
    <row r="1020" ht="20.25" customHeight="1">
      <c r="A1020" s="57"/>
      <c r="B1020" s="72" t="s">
        <v>110</v>
      </c>
      <c r="C1020" s="72">
        <v>103.0</v>
      </c>
      <c r="D1020" s="11"/>
      <c r="E1020" s="11"/>
      <c r="F1020" s="75" t="s">
        <v>235</v>
      </c>
      <c r="G1020" s="74" t="s">
        <v>17</v>
      </c>
      <c r="H1020" s="74" t="s">
        <v>25</v>
      </c>
      <c r="I1020" s="73">
        <v>1.0</v>
      </c>
      <c r="J1020" s="73">
        <v>220.0</v>
      </c>
      <c r="K1020" s="73">
        <v>220.0</v>
      </c>
      <c r="L1020" s="399">
        <v>400.0</v>
      </c>
      <c r="M1020" s="45"/>
      <c r="N1020" s="105">
        <v>3920.0</v>
      </c>
      <c r="O1020" s="76"/>
      <c r="P1020" s="76"/>
    </row>
    <row r="1021" ht="20.25" customHeight="1">
      <c r="A1021" s="29"/>
      <c r="B1021" s="29"/>
      <c r="C1021" s="20"/>
      <c r="D1021" s="19"/>
      <c r="E1021" s="19"/>
      <c r="F1021" s="29"/>
      <c r="G1021" s="74" t="s">
        <v>17</v>
      </c>
      <c r="H1021" s="74" t="s">
        <v>18</v>
      </c>
      <c r="I1021" s="77">
        <v>2.0</v>
      </c>
      <c r="J1021" s="77">
        <v>150.0</v>
      </c>
      <c r="K1021" s="77">
        <v>300.0</v>
      </c>
      <c r="L1021" s="314"/>
      <c r="M1021" s="48"/>
      <c r="N1021" s="187"/>
      <c r="O1021" s="76"/>
      <c r="P1021" s="76"/>
    </row>
    <row r="1022" ht="20.25" customHeight="1">
      <c r="A1022" s="58"/>
      <c r="B1022" s="58"/>
      <c r="C1022" s="11">
        <v>106.0</v>
      </c>
      <c r="D1022" s="11"/>
      <c r="E1022" s="11"/>
      <c r="F1022" s="58"/>
      <c r="G1022" s="74" t="s">
        <v>17</v>
      </c>
      <c r="H1022" s="74" t="s">
        <v>18</v>
      </c>
      <c r="I1022" s="73">
        <v>25.0</v>
      </c>
      <c r="J1022" s="73">
        <v>120.0</v>
      </c>
      <c r="K1022" s="73">
        <v>3000.0</v>
      </c>
      <c r="L1022" s="321"/>
      <c r="M1022" s="51"/>
      <c r="N1022" s="108"/>
      <c r="O1022" s="76"/>
      <c r="P1022" s="76"/>
    </row>
    <row r="1023" ht="20.25" customHeight="1">
      <c r="A1023" s="261">
        <v>46240.0</v>
      </c>
      <c r="B1023" s="19" t="s">
        <v>21</v>
      </c>
      <c r="C1023" s="123">
        <v>132.0</v>
      </c>
      <c r="D1023" s="19"/>
      <c r="E1023" s="19"/>
      <c r="F1023" s="160" t="s">
        <v>244</v>
      </c>
      <c r="G1023" s="74" t="s">
        <v>17</v>
      </c>
      <c r="H1023" s="74" t="s">
        <v>25</v>
      </c>
      <c r="I1023" s="77">
        <v>1.0</v>
      </c>
      <c r="J1023" s="77">
        <v>120.0</v>
      </c>
      <c r="K1023" s="77">
        <v>120.0</v>
      </c>
      <c r="L1023" s="160">
        <v>25.0</v>
      </c>
      <c r="M1023" s="105">
        <v>350.0</v>
      </c>
      <c r="N1023" s="105">
        <v>1770.0</v>
      </c>
      <c r="O1023" s="76"/>
      <c r="P1023" s="76"/>
    </row>
    <row r="1024" ht="20.25" customHeight="1">
      <c r="A1024" s="57"/>
      <c r="B1024" s="11" t="s">
        <v>51</v>
      </c>
      <c r="C1024" s="58"/>
      <c r="D1024" s="11"/>
      <c r="E1024" s="11"/>
      <c r="F1024" s="58"/>
      <c r="G1024" s="74" t="s">
        <v>17</v>
      </c>
      <c r="H1024" s="74" t="s">
        <v>25</v>
      </c>
      <c r="I1024" s="73">
        <v>13.0</v>
      </c>
      <c r="J1024" s="73">
        <v>100.0</v>
      </c>
      <c r="K1024" s="73">
        <v>1300.0</v>
      </c>
      <c r="L1024" s="58"/>
      <c r="M1024" s="108"/>
      <c r="N1024" s="108"/>
      <c r="O1024" s="76"/>
      <c r="P1024" s="76"/>
    </row>
    <row r="1025" ht="20.25" customHeight="1">
      <c r="A1025" s="29"/>
      <c r="B1025" s="123" t="s">
        <v>110</v>
      </c>
      <c r="C1025" s="123">
        <v>109.0</v>
      </c>
      <c r="D1025" s="19"/>
      <c r="E1025" s="19"/>
      <c r="F1025" s="264" t="s">
        <v>235</v>
      </c>
      <c r="G1025" s="74" t="s">
        <v>17</v>
      </c>
      <c r="H1025" s="74" t="s">
        <v>25</v>
      </c>
      <c r="I1025" s="77">
        <v>1.0</v>
      </c>
      <c r="J1025" s="77">
        <v>220.0</v>
      </c>
      <c r="K1025" s="77">
        <v>220.0</v>
      </c>
      <c r="L1025" s="389">
        <v>400.0</v>
      </c>
      <c r="M1025" s="45"/>
      <c r="N1025" s="105">
        <v>4040.0</v>
      </c>
      <c r="O1025" s="76"/>
      <c r="P1025" s="76"/>
    </row>
    <row r="1026" ht="20.25" customHeight="1">
      <c r="A1026" s="57"/>
      <c r="B1026" s="57"/>
      <c r="C1026" s="57"/>
      <c r="D1026" s="11"/>
      <c r="E1026" s="11"/>
      <c r="F1026" s="57"/>
      <c r="G1026" s="74" t="s">
        <v>17</v>
      </c>
      <c r="H1026" s="74" t="s">
        <v>18</v>
      </c>
      <c r="I1026" s="73">
        <v>6.0</v>
      </c>
      <c r="J1026" s="73">
        <v>150.0</v>
      </c>
      <c r="K1026" s="73">
        <v>900.0</v>
      </c>
      <c r="L1026" s="294"/>
      <c r="M1026" s="48"/>
      <c r="N1026" s="187"/>
      <c r="O1026" s="76"/>
      <c r="P1026" s="76"/>
    </row>
    <row r="1027" ht="20.25" customHeight="1">
      <c r="A1027" s="29"/>
      <c r="B1027" s="29"/>
      <c r="C1027" s="29"/>
      <c r="D1027" s="19"/>
      <c r="E1027" s="19"/>
      <c r="F1027" s="29"/>
      <c r="G1027" s="74" t="s">
        <v>17</v>
      </c>
      <c r="H1027" s="74" t="s">
        <v>18</v>
      </c>
      <c r="I1027" s="77">
        <v>11.0</v>
      </c>
      <c r="J1027" s="77">
        <v>160.0</v>
      </c>
      <c r="K1027" s="77">
        <v>1760.0</v>
      </c>
      <c r="L1027" s="314"/>
      <c r="M1027" s="48"/>
      <c r="N1027" s="187"/>
      <c r="O1027" s="76"/>
      <c r="P1027" s="76"/>
    </row>
    <row r="1028" ht="20.25" customHeight="1">
      <c r="A1028" s="57"/>
      <c r="B1028" s="57"/>
      <c r="C1028" s="57"/>
      <c r="D1028" s="11"/>
      <c r="E1028" s="11"/>
      <c r="F1028" s="57"/>
      <c r="G1028" s="74" t="s">
        <v>17</v>
      </c>
      <c r="H1028" s="74" t="s">
        <v>18</v>
      </c>
      <c r="I1028" s="73">
        <v>2.0</v>
      </c>
      <c r="J1028" s="73">
        <v>200.0</v>
      </c>
      <c r="K1028" s="73">
        <v>400.0</v>
      </c>
      <c r="L1028" s="294"/>
      <c r="M1028" s="48"/>
      <c r="N1028" s="187"/>
      <c r="O1028" s="76"/>
      <c r="P1028" s="76"/>
    </row>
    <row r="1029" ht="20.25" customHeight="1">
      <c r="A1029" s="29"/>
      <c r="B1029" s="29"/>
      <c r="C1029" s="29"/>
      <c r="D1029" s="19"/>
      <c r="E1029" s="19"/>
      <c r="F1029" s="29"/>
      <c r="G1029" s="74" t="s">
        <v>17</v>
      </c>
      <c r="H1029" s="74" t="s">
        <v>18</v>
      </c>
      <c r="I1029" s="77">
        <v>1.0</v>
      </c>
      <c r="J1029" s="77">
        <v>240.0</v>
      </c>
      <c r="K1029" s="77">
        <v>240.0</v>
      </c>
      <c r="L1029" s="314"/>
      <c r="M1029" s="48"/>
      <c r="N1029" s="187"/>
      <c r="O1029" s="76"/>
      <c r="P1029" s="76"/>
    </row>
    <row r="1030" ht="20.25" customHeight="1">
      <c r="A1030" s="58"/>
      <c r="B1030" s="58"/>
      <c r="C1030" s="58"/>
      <c r="D1030" s="11"/>
      <c r="E1030" s="11"/>
      <c r="F1030" s="58"/>
      <c r="G1030" s="74" t="s">
        <v>17</v>
      </c>
      <c r="H1030" s="74" t="s">
        <v>18</v>
      </c>
      <c r="I1030" s="73">
        <v>1.0</v>
      </c>
      <c r="J1030" s="73">
        <v>120.0</v>
      </c>
      <c r="K1030" s="73">
        <v>120.0</v>
      </c>
      <c r="L1030" s="321"/>
      <c r="M1030" s="51"/>
      <c r="N1030" s="108"/>
      <c r="O1030" s="76"/>
      <c r="P1030" s="76"/>
    </row>
    <row r="1031" ht="20.25" customHeight="1">
      <c r="A1031" s="121">
        <v>46241.0</v>
      </c>
      <c r="B1031" s="19" t="s">
        <v>21</v>
      </c>
      <c r="C1031" s="123">
        <v>134.0</v>
      </c>
      <c r="D1031" s="19"/>
      <c r="E1031" s="19"/>
      <c r="F1031" s="160" t="s">
        <v>244</v>
      </c>
      <c r="G1031" s="74" t="s">
        <v>17</v>
      </c>
      <c r="H1031" s="74" t="s">
        <v>25</v>
      </c>
      <c r="I1031" s="77">
        <v>1.0</v>
      </c>
      <c r="J1031" s="77">
        <v>120.0</v>
      </c>
      <c r="K1031" s="77">
        <v>120.0</v>
      </c>
      <c r="L1031" s="160">
        <v>25.0</v>
      </c>
      <c r="M1031" s="105">
        <v>450.0</v>
      </c>
      <c r="N1031" s="105">
        <v>2270.0</v>
      </c>
      <c r="O1031" s="76"/>
      <c r="P1031" s="76"/>
    </row>
    <row r="1032" ht="20.25" customHeight="1">
      <c r="A1032" s="57"/>
      <c r="B1032" s="11" t="s">
        <v>51</v>
      </c>
      <c r="C1032" s="58"/>
      <c r="D1032" s="11"/>
      <c r="E1032" s="11"/>
      <c r="F1032" s="58"/>
      <c r="G1032" s="74" t="s">
        <v>17</v>
      </c>
      <c r="H1032" s="74" t="s">
        <v>18</v>
      </c>
      <c r="I1032" s="73">
        <v>17.0</v>
      </c>
      <c r="J1032" s="73">
        <v>100.0</v>
      </c>
      <c r="K1032" s="73">
        <v>1700.0</v>
      </c>
      <c r="L1032" s="58"/>
      <c r="M1032" s="108"/>
      <c r="N1032" s="108"/>
      <c r="O1032" s="76"/>
      <c r="P1032" s="76"/>
    </row>
    <row r="1033" ht="20.25" customHeight="1">
      <c r="A1033" s="29"/>
      <c r="B1033" s="123" t="s">
        <v>21</v>
      </c>
      <c r="C1033" s="123">
        <v>133.0</v>
      </c>
      <c r="D1033" s="19"/>
      <c r="E1033" s="19"/>
      <c r="F1033" s="160" t="s">
        <v>272</v>
      </c>
      <c r="G1033" s="74" t="s">
        <v>17</v>
      </c>
      <c r="H1033" s="74" t="s">
        <v>25</v>
      </c>
      <c r="I1033" s="77">
        <v>1.0</v>
      </c>
      <c r="J1033" s="77">
        <v>120.0</v>
      </c>
      <c r="K1033" s="77">
        <v>120.0</v>
      </c>
      <c r="L1033" s="160">
        <v>30.0</v>
      </c>
      <c r="M1033" s="105">
        <v>300.0</v>
      </c>
      <c r="N1033" s="105">
        <v>1320.0</v>
      </c>
      <c r="O1033" s="76"/>
      <c r="P1033" s="76"/>
    </row>
    <row r="1034" ht="20.25" customHeight="1">
      <c r="A1034" s="57"/>
      <c r="B1034" s="58"/>
      <c r="C1034" s="58"/>
      <c r="D1034" s="11"/>
      <c r="E1034" s="11"/>
      <c r="F1034" s="58"/>
      <c r="G1034" s="74" t="s">
        <v>17</v>
      </c>
      <c r="H1034" s="74" t="s">
        <v>18</v>
      </c>
      <c r="I1034" s="73">
        <v>9.0</v>
      </c>
      <c r="J1034" s="73">
        <v>100.0</v>
      </c>
      <c r="K1034" s="73">
        <v>900.0</v>
      </c>
      <c r="L1034" s="58"/>
      <c r="M1034" s="108"/>
      <c r="N1034" s="108"/>
      <c r="O1034" s="76"/>
      <c r="P1034" s="76"/>
    </row>
    <row r="1035" ht="20.25" customHeight="1">
      <c r="A1035" s="29"/>
      <c r="B1035" s="123" t="s">
        <v>110</v>
      </c>
      <c r="C1035" s="19">
        <v>106.0</v>
      </c>
      <c r="D1035" s="19"/>
      <c r="E1035" s="19"/>
      <c r="F1035" s="160" t="s">
        <v>235</v>
      </c>
      <c r="G1035" s="74" t="s">
        <v>17</v>
      </c>
      <c r="H1035" s="74" t="s">
        <v>25</v>
      </c>
      <c r="I1035" s="77">
        <v>1.0</v>
      </c>
      <c r="J1035" s="77">
        <v>220.0</v>
      </c>
      <c r="K1035" s="77">
        <v>220.0</v>
      </c>
      <c r="L1035" s="389">
        <v>400.0</v>
      </c>
      <c r="M1035" s="45"/>
      <c r="N1035" s="105">
        <v>3690.0</v>
      </c>
      <c r="O1035" s="76"/>
      <c r="P1035" s="76"/>
    </row>
    <row r="1036" ht="20.25" customHeight="1">
      <c r="A1036" s="57"/>
      <c r="B1036" s="57"/>
      <c r="C1036" s="11">
        <v>109.0</v>
      </c>
      <c r="D1036" s="11"/>
      <c r="E1036" s="11"/>
      <c r="F1036" s="57"/>
      <c r="G1036" s="74" t="s">
        <v>17</v>
      </c>
      <c r="H1036" s="74" t="s">
        <v>18</v>
      </c>
      <c r="I1036" s="73">
        <v>6.0</v>
      </c>
      <c r="J1036" s="73">
        <v>150.0</v>
      </c>
      <c r="K1036" s="73">
        <v>900.0</v>
      </c>
      <c r="L1036" s="294"/>
      <c r="M1036" s="48"/>
      <c r="N1036" s="187"/>
      <c r="O1036" s="76"/>
      <c r="P1036" s="76"/>
    </row>
    <row r="1037" ht="20.25" customHeight="1">
      <c r="A1037" s="29"/>
      <c r="B1037" s="29"/>
      <c r="C1037" s="19"/>
      <c r="D1037" s="19"/>
      <c r="E1037" s="19"/>
      <c r="F1037" s="29"/>
      <c r="G1037" s="74" t="s">
        <v>17</v>
      </c>
      <c r="H1037" s="74" t="s">
        <v>18</v>
      </c>
      <c r="I1037" s="77">
        <v>13.0</v>
      </c>
      <c r="J1037" s="77">
        <v>120.0</v>
      </c>
      <c r="K1037" s="77">
        <v>1560.0</v>
      </c>
      <c r="L1037" s="314"/>
      <c r="M1037" s="48"/>
      <c r="N1037" s="187"/>
      <c r="O1037" s="76"/>
      <c r="P1037" s="76"/>
    </row>
    <row r="1038" ht="20.25" customHeight="1">
      <c r="A1038" s="57"/>
      <c r="B1038" s="57"/>
      <c r="C1038" s="11"/>
      <c r="D1038" s="11"/>
      <c r="E1038" s="11"/>
      <c r="F1038" s="57"/>
      <c r="G1038" s="74" t="s">
        <v>17</v>
      </c>
      <c r="H1038" s="74" t="s">
        <v>18</v>
      </c>
      <c r="I1038" s="73">
        <v>3.0</v>
      </c>
      <c r="J1038" s="73">
        <v>160.0</v>
      </c>
      <c r="K1038" s="73">
        <v>480.0</v>
      </c>
      <c r="L1038" s="294"/>
      <c r="M1038" s="48"/>
      <c r="N1038" s="187"/>
      <c r="O1038" s="76"/>
      <c r="P1038" s="76"/>
    </row>
    <row r="1039" ht="20.25" customHeight="1">
      <c r="A1039" s="20"/>
      <c r="B1039" s="20"/>
      <c r="C1039" s="19"/>
      <c r="D1039" s="19"/>
      <c r="E1039" s="19"/>
      <c r="F1039" s="20"/>
      <c r="G1039" s="74" t="s">
        <v>17</v>
      </c>
      <c r="H1039" s="74" t="s">
        <v>18</v>
      </c>
      <c r="I1039" s="77">
        <v>1.0</v>
      </c>
      <c r="J1039" s="77">
        <v>130.0</v>
      </c>
      <c r="K1039" s="77">
        <v>130.0</v>
      </c>
      <c r="L1039" s="311"/>
      <c r="M1039" s="51"/>
      <c r="N1039" s="108"/>
      <c r="O1039" s="76"/>
      <c r="P1039" s="76"/>
    </row>
    <row r="1040" ht="20.25" customHeight="1">
      <c r="A1040" s="69">
        <v>46242.0</v>
      </c>
      <c r="B1040" s="72" t="s">
        <v>21</v>
      </c>
      <c r="C1040" s="11">
        <v>133.0</v>
      </c>
      <c r="D1040" s="11"/>
      <c r="E1040" s="11"/>
      <c r="F1040" s="75" t="s">
        <v>244</v>
      </c>
      <c r="G1040" s="74" t="s">
        <v>17</v>
      </c>
      <c r="H1040" s="74" t="s">
        <v>25</v>
      </c>
      <c r="I1040" s="73">
        <v>1.0</v>
      </c>
      <c r="J1040" s="73">
        <v>120.0</v>
      </c>
      <c r="K1040" s="73">
        <v>120.0</v>
      </c>
      <c r="L1040" s="75">
        <v>25.0</v>
      </c>
      <c r="M1040" s="105">
        <v>550.0</v>
      </c>
      <c r="N1040" s="105">
        <v>2770.0</v>
      </c>
      <c r="O1040" s="76"/>
      <c r="P1040" s="76"/>
    </row>
    <row r="1041" ht="20.25" customHeight="1">
      <c r="A1041" s="29"/>
      <c r="B1041" s="189" t="s">
        <v>102</v>
      </c>
      <c r="C1041" s="497">
        <v>104.0</v>
      </c>
      <c r="D1041" s="19"/>
      <c r="E1041" s="19"/>
      <c r="F1041" s="29"/>
      <c r="G1041" s="105" t="s">
        <v>17</v>
      </c>
      <c r="H1041" s="105" t="s">
        <v>18</v>
      </c>
      <c r="I1041" s="160">
        <v>21.0</v>
      </c>
      <c r="J1041" s="160">
        <v>100.0</v>
      </c>
      <c r="K1041" s="160">
        <v>2100.0</v>
      </c>
      <c r="L1041" s="29"/>
      <c r="M1041" s="187"/>
      <c r="N1041" s="187"/>
      <c r="O1041" s="76"/>
      <c r="P1041" s="76"/>
    </row>
    <row r="1042" ht="20.25" customHeight="1">
      <c r="A1042" s="57"/>
      <c r="B1042" s="190" t="s">
        <v>51</v>
      </c>
      <c r="C1042" s="499"/>
      <c r="D1042" s="11"/>
      <c r="E1042" s="11"/>
      <c r="F1042" s="58"/>
      <c r="G1042" s="108"/>
      <c r="H1042" s="108"/>
      <c r="I1042" s="58"/>
      <c r="J1042" s="58"/>
      <c r="K1042" s="58"/>
      <c r="L1042" s="58"/>
      <c r="M1042" s="108"/>
      <c r="N1042" s="108"/>
      <c r="O1042" s="76"/>
      <c r="P1042" s="76"/>
    </row>
    <row r="1043" ht="20.25" customHeight="1">
      <c r="A1043" s="29"/>
      <c r="B1043" s="123" t="s">
        <v>21</v>
      </c>
      <c r="C1043" s="19">
        <v>133.0</v>
      </c>
      <c r="D1043" s="19"/>
      <c r="E1043" s="19"/>
      <c r="F1043" s="160" t="s">
        <v>272</v>
      </c>
      <c r="G1043" s="74" t="s">
        <v>17</v>
      </c>
      <c r="H1043" s="74" t="s">
        <v>25</v>
      </c>
      <c r="I1043" s="77">
        <v>1.0</v>
      </c>
      <c r="J1043" s="77">
        <v>120.0</v>
      </c>
      <c r="K1043" s="77">
        <v>120.0</v>
      </c>
      <c r="L1043" s="160">
        <v>30.0</v>
      </c>
      <c r="M1043" s="105">
        <v>150.0</v>
      </c>
      <c r="N1043" s="105">
        <v>670.0</v>
      </c>
      <c r="O1043" s="76"/>
      <c r="P1043" s="76"/>
    </row>
    <row r="1044" ht="20.25" customHeight="1">
      <c r="A1044" s="57"/>
      <c r="B1044" s="58"/>
      <c r="C1044" s="11"/>
      <c r="D1044" s="11"/>
      <c r="E1044" s="11"/>
      <c r="F1044" s="58"/>
      <c r="G1044" s="74" t="s">
        <v>17</v>
      </c>
      <c r="H1044" s="74" t="s">
        <v>18</v>
      </c>
      <c r="I1044" s="73">
        <v>4.0</v>
      </c>
      <c r="J1044" s="73">
        <v>100.0</v>
      </c>
      <c r="K1044" s="73">
        <v>400.0</v>
      </c>
      <c r="L1044" s="58"/>
      <c r="M1044" s="108"/>
      <c r="N1044" s="108"/>
      <c r="O1044" s="76"/>
      <c r="P1044" s="76"/>
    </row>
    <row r="1045" ht="20.25" customHeight="1">
      <c r="A1045" s="29"/>
      <c r="B1045" s="123" t="s">
        <v>21</v>
      </c>
      <c r="C1045" s="19">
        <v>133.0</v>
      </c>
      <c r="D1045" s="19"/>
      <c r="E1045" s="19"/>
      <c r="F1045" s="160" t="s">
        <v>277</v>
      </c>
      <c r="G1045" s="74" t="s">
        <v>17</v>
      </c>
      <c r="H1045" s="74" t="s">
        <v>25</v>
      </c>
      <c r="I1045" s="77">
        <v>1.0</v>
      </c>
      <c r="J1045" s="77">
        <v>120.0</v>
      </c>
      <c r="K1045" s="77">
        <v>120.0</v>
      </c>
      <c r="L1045" s="160">
        <v>30.0</v>
      </c>
      <c r="M1045" s="105">
        <v>510.0</v>
      </c>
      <c r="N1045" s="105">
        <v>2230.0</v>
      </c>
      <c r="O1045" s="76"/>
      <c r="P1045" s="76"/>
    </row>
    <row r="1046" ht="20.25" customHeight="1">
      <c r="A1046" s="57"/>
      <c r="B1046" s="364" t="s">
        <v>102</v>
      </c>
      <c r="C1046" s="11">
        <v>105.0</v>
      </c>
      <c r="D1046" s="11"/>
      <c r="E1046" s="11"/>
      <c r="F1046" s="58"/>
      <c r="G1046" s="74" t="s">
        <v>17</v>
      </c>
      <c r="H1046" s="74" t="s">
        <v>18</v>
      </c>
      <c r="I1046" s="73">
        <v>16.0</v>
      </c>
      <c r="J1046" s="73">
        <v>100.0</v>
      </c>
      <c r="K1046" s="73">
        <v>1600.0</v>
      </c>
      <c r="L1046" s="58"/>
      <c r="M1046" s="108"/>
      <c r="N1046" s="108"/>
      <c r="O1046" s="76"/>
      <c r="P1046" s="76"/>
    </row>
    <row r="1047" ht="20.25" customHeight="1">
      <c r="A1047" s="29"/>
      <c r="B1047" s="123" t="s">
        <v>21</v>
      </c>
      <c r="C1047" s="123">
        <v>137.0</v>
      </c>
      <c r="D1047" s="19"/>
      <c r="E1047" s="19"/>
      <c r="F1047" s="160" t="s">
        <v>278</v>
      </c>
      <c r="G1047" s="74" t="s">
        <v>17</v>
      </c>
      <c r="H1047" s="74" t="s">
        <v>25</v>
      </c>
      <c r="I1047" s="77">
        <v>1.0</v>
      </c>
      <c r="J1047" s="77">
        <v>120.0</v>
      </c>
      <c r="K1047" s="77">
        <v>120.0</v>
      </c>
      <c r="L1047" s="160">
        <v>25.0</v>
      </c>
      <c r="M1047" s="105">
        <v>300.0</v>
      </c>
      <c r="N1047" s="105">
        <v>1520.0</v>
      </c>
      <c r="O1047" s="76"/>
      <c r="P1047" s="76"/>
    </row>
    <row r="1048" ht="20.25" customHeight="1">
      <c r="A1048" s="57"/>
      <c r="B1048" s="58"/>
      <c r="C1048" s="58"/>
      <c r="D1048" s="11"/>
      <c r="E1048" s="11"/>
      <c r="F1048" s="58"/>
      <c r="G1048" s="74" t="s">
        <v>17</v>
      </c>
      <c r="H1048" s="74" t="s">
        <v>18</v>
      </c>
      <c r="I1048" s="73">
        <v>11.0</v>
      </c>
      <c r="J1048" s="73">
        <v>100.0</v>
      </c>
      <c r="K1048" s="73">
        <v>1100.0</v>
      </c>
      <c r="L1048" s="58"/>
      <c r="M1048" s="108"/>
      <c r="N1048" s="108"/>
      <c r="O1048" s="76"/>
      <c r="P1048" s="76"/>
    </row>
    <row r="1049" ht="20.25" customHeight="1">
      <c r="A1049" s="29"/>
      <c r="B1049" s="123" t="s">
        <v>279</v>
      </c>
      <c r="C1049" s="123">
        <v>119.0</v>
      </c>
      <c r="D1049" s="505">
        <v>1.19</v>
      </c>
      <c r="E1049" s="19"/>
      <c r="F1049" s="160" t="s">
        <v>281</v>
      </c>
      <c r="G1049" s="74" t="s">
        <v>179</v>
      </c>
      <c r="H1049" s="74" t="s">
        <v>25</v>
      </c>
      <c r="I1049" s="77">
        <v>1.0</v>
      </c>
      <c r="J1049" s="389">
        <v>0.0</v>
      </c>
      <c r="K1049" s="390"/>
      <c r="L1049" s="390"/>
      <c r="M1049" s="45"/>
      <c r="N1049" s="105">
        <v>0.0</v>
      </c>
      <c r="O1049" s="76"/>
      <c r="P1049" s="76"/>
    </row>
    <row r="1050" ht="20.25" customHeight="1">
      <c r="A1050" s="57"/>
      <c r="B1050" s="58"/>
      <c r="C1050" s="58"/>
      <c r="D1050" s="58"/>
      <c r="E1050" s="11"/>
      <c r="F1050" s="57"/>
      <c r="G1050" s="74" t="s">
        <v>179</v>
      </c>
      <c r="H1050" s="74" t="s">
        <v>18</v>
      </c>
      <c r="I1050" s="73">
        <v>9.0</v>
      </c>
      <c r="J1050" s="321"/>
      <c r="K1050" s="363"/>
      <c r="L1050" s="363"/>
      <c r="M1050" s="51"/>
      <c r="N1050" s="108"/>
      <c r="O1050" s="76"/>
      <c r="P1050" s="76"/>
    </row>
    <row r="1051" ht="20.25" customHeight="1">
      <c r="A1051" s="29"/>
      <c r="B1051" s="123" t="s">
        <v>110</v>
      </c>
      <c r="C1051" s="19">
        <v>106.0</v>
      </c>
      <c r="D1051" s="19"/>
      <c r="E1051" s="19"/>
      <c r="F1051" s="160" t="s">
        <v>235</v>
      </c>
      <c r="G1051" s="74" t="s">
        <v>17</v>
      </c>
      <c r="H1051" s="74" t="s">
        <v>25</v>
      </c>
      <c r="I1051" s="77">
        <v>1.0</v>
      </c>
      <c r="J1051" s="77">
        <v>220.0</v>
      </c>
      <c r="K1051" s="77">
        <v>220.0</v>
      </c>
      <c r="L1051" s="389">
        <v>400.0</v>
      </c>
      <c r="M1051" s="45"/>
      <c r="N1051" s="105">
        <v>3580.0</v>
      </c>
      <c r="O1051" s="76"/>
      <c r="P1051" s="76"/>
    </row>
    <row r="1052" ht="20.25" customHeight="1">
      <c r="A1052" s="57"/>
      <c r="B1052" s="57"/>
      <c r="C1052" s="11">
        <v>109.0</v>
      </c>
      <c r="D1052" s="11"/>
      <c r="E1052" s="11"/>
      <c r="F1052" s="57"/>
      <c r="G1052" s="74" t="s">
        <v>17</v>
      </c>
      <c r="H1052" s="74" t="s">
        <v>18</v>
      </c>
      <c r="I1052" s="73">
        <v>21.0</v>
      </c>
      <c r="J1052" s="73">
        <v>120.0</v>
      </c>
      <c r="K1052" s="73">
        <v>2520.0</v>
      </c>
      <c r="L1052" s="294"/>
      <c r="M1052" s="48"/>
      <c r="N1052" s="187"/>
      <c r="O1052" s="76"/>
      <c r="P1052" s="76"/>
    </row>
    <row r="1053" ht="20.25" customHeight="1">
      <c r="A1053" s="29"/>
      <c r="B1053" s="29"/>
      <c r="C1053" s="123">
        <v>111.0</v>
      </c>
      <c r="D1053" s="19"/>
      <c r="E1053" s="19"/>
      <c r="F1053" s="29"/>
      <c r="G1053" s="74" t="s">
        <v>17</v>
      </c>
      <c r="H1053" s="74" t="s">
        <v>18</v>
      </c>
      <c r="I1053" s="77">
        <v>2.0</v>
      </c>
      <c r="J1053" s="77">
        <v>145.0</v>
      </c>
      <c r="K1053" s="77">
        <v>290.0</v>
      </c>
      <c r="L1053" s="314"/>
      <c r="M1053" s="48"/>
      <c r="N1053" s="187"/>
      <c r="O1053" s="76"/>
      <c r="P1053" s="76"/>
    </row>
    <row r="1054" ht="20.25" customHeight="1">
      <c r="A1054" s="57"/>
      <c r="B1054" s="58"/>
      <c r="C1054" s="58"/>
      <c r="D1054" s="11"/>
      <c r="E1054" s="11"/>
      <c r="F1054" s="58"/>
      <c r="G1054" s="74" t="s">
        <v>17</v>
      </c>
      <c r="H1054" s="74" t="s">
        <v>18</v>
      </c>
      <c r="I1054" s="73">
        <v>1.0</v>
      </c>
      <c r="J1054" s="73">
        <v>150.0</v>
      </c>
      <c r="K1054" s="73">
        <v>150.0</v>
      </c>
      <c r="L1054" s="321"/>
      <c r="M1054" s="51"/>
      <c r="N1054" s="108"/>
      <c r="O1054" s="76"/>
      <c r="P1054" s="76"/>
    </row>
    <row r="1055" ht="20.25" customHeight="1">
      <c r="A1055" s="121">
        <v>46243.0</v>
      </c>
      <c r="B1055" s="19" t="s">
        <v>21</v>
      </c>
      <c r="C1055" s="19">
        <v>135.0</v>
      </c>
      <c r="D1055" s="19"/>
      <c r="E1055" s="19"/>
      <c r="F1055" s="160" t="s">
        <v>244</v>
      </c>
      <c r="G1055" s="74" t="s">
        <v>17</v>
      </c>
      <c r="H1055" s="74" t="s">
        <v>25</v>
      </c>
      <c r="I1055" s="77">
        <v>1.0</v>
      </c>
      <c r="J1055" s="77">
        <v>120.0</v>
      </c>
      <c r="K1055" s="77">
        <v>120.0</v>
      </c>
      <c r="L1055" s="160">
        <v>25.0</v>
      </c>
      <c r="M1055" s="105">
        <v>525.0</v>
      </c>
      <c r="N1055" s="105">
        <v>2645.0</v>
      </c>
      <c r="O1055" s="76"/>
      <c r="P1055" s="76"/>
    </row>
    <row r="1056" ht="20.25" customHeight="1">
      <c r="A1056" s="57"/>
      <c r="B1056" s="11" t="s">
        <v>22</v>
      </c>
      <c r="C1056" s="11"/>
      <c r="D1056" s="11"/>
      <c r="E1056" s="11"/>
      <c r="F1056" s="57"/>
      <c r="G1056" s="74" t="s">
        <v>17</v>
      </c>
      <c r="H1056" s="105" t="s">
        <v>18</v>
      </c>
      <c r="I1056" s="75">
        <v>20.0</v>
      </c>
      <c r="J1056" s="75">
        <v>100.0</v>
      </c>
      <c r="K1056" s="75">
        <v>2000.0</v>
      </c>
      <c r="L1056" s="57"/>
      <c r="M1056" s="187"/>
      <c r="N1056" s="187"/>
      <c r="O1056" s="76"/>
      <c r="P1056" s="76"/>
    </row>
    <row r="1057" ht="20.25" customHeight="1">
      <c r="A1057" s="29"/>
      <c r="B1057" s="19" t="s">
        <v>51</v>
      </c>
      <c r="C1057" s="19"/>
      <c r="D1057" s="19"/>
      <c r="E1057" s="19"/>
      <c r="F1057" s="20"/>
      <c r="G1057" s="74" t="s">
        <v>17</v>
      </c>
      <c r="H1057" s="108"/>
      <c r="I1057" s="20"/>
      <c r="J1057" s="20"/>
      <c r="K1057" s="20"/>
      <c r="L1057" s="20"/>
      <c r="M1057" s="108"/>
      <c r="N1057" s="108"/>
      <c r="O1057" s="76"/>
      <c r="P1057" s="76"/>
    </row>
    <row r="1058" ht="20.25" customHeight="1">
      <c r="A1058" s="57"/>
      <c r="B1058" s="11" t="s">
        <v>21</v>
      </c>
      <c r="C1058" s="11">
        <v>136.0</v>
      </c>
      <c r="D1058" s="11"/>
      <c r="E1058" s="11"/>
      <c r="F1058" s="75" t="s">
        <v>272</v>
      </c>
      <c r="G1058" s="74" t="s">
        <v>17</v>
      </c>
      <c r="H1058" s="74" t="s">
        <v>25</v>
      </c>
      <c r="I1058" s="73">
        <v>1.0</v>
      </c>
      <c r="J1058" s="73">
        <v>120.0</v>
      </c>
      <c r="K1058" s="73">
        <v>120.0</v>
      </c>
      <c r="L1058" s="75">
        <v>30.0</v>
      </c>
      <c r="M1058" s="105">
        <v>540.0</v>
      </c>
      <c r="N1058" s="105">
        <v>2360.0</v>
      </c>
      <c r="O1058" s="76"/>
      <c r="P1058" s="76"/>
    </row>
    <row r="1059" ht="20.25" customHeight="1">
      <c r="A1059" s="29"/>
      <c r="B1059" s="19" t="s">
        <v>22</v>
      </c>
      <c r="C1059" s="19"/>
      <c r="D1059" s="19"/>
      <c r="E1059" s="19"/>
      <c r="F1059" s="20"/>
      <c r="G1059" s="74" t="s">
        <v>17</v>
      </c>
      <c r="H1059" s="74" t="s">
        <v>18</v>
      </c>
      <c r="I1059" s="77">
        <v>17.0</v>
      </c>
      <c r="J1059" s="77">
        <v>100.0</v>
      </c>
      <c r="K1059" s="77">
        <v>1700.0</v>
      </c>
      <c r="L1059" s="20"/>
      <c r="M1059" s="108"/>
      <c r="N1059" s="108"/>
      <c r="O1059" s="76"/>
      <c r="P1059" s="76"/>
    </row>
    <row r="1060" ht="20.25" customHeight="1">
      <c r="A1060" s="57"/>
      <c r="B1060" s="72" t="s">
        <v>21</v>
      </c>
      <c r="C1060" s="11">
        <v>137.0</v>
      </c>
      <c r="D1060" s="11"/>
      <c r="E1060" s="11"/>
      <c r="F1060" s="509" t="s">
        <v>278</v>
      </c>
      <c r="G1060" s="74" t="s">
        <v>17</v>
      </c>
      <c r="H1060" s="74" t="s">
        <v>25</v>
      </c>
      <c r="I1060" s="73">
        <v>1.0</v>
      </c>
      <c r="J1060" s="73">
        <v>120.0</v>
      </c>
      <c r="K1060" s="73">
        <v>120.0</v>
      </c>
      <c r="L1060" s="338">
        <v>25.0</v>
      </c>
      <c r="M1060" s="105">
        <v>450.0</v>
      </c>
      <c r="N1060" s="338">
        <v>2270.0</v>
      </c>
      <c r="O1060" s="76"/>
      <c r="P1060" s="76"/>
    </row>
    <row r="1061" ht="20.25" customHeight="1">
      <c r="A1061" s="29"/>
      <c r="B1061" s="20"/>
      <c r="C1061" s="19">
        <v>138.0</v>
      </c>
      <c r="D1061" s="19"/>
      <c r="E1061" s="19"/>
      <c r="F1061" s="20"/>
      <c r="G1061" s="74" t="s">
        <v>17</v>
      </c>
      <c r="H1061" s="74" t="s">
        <v>18</v>
      </c>
      <c r="I1061" s="77">
        <v>17.0</v>
      </c>
      <c r="J1061" s="77">
        <v>100.0</v>
      </c>
      <c r="K1061" s="77">
        <v>1700.0</v>
      </c>
      <c r="L1061" s="20"/>
      <c r="M1061" s="108"/>
      <c r="N1061" s="108"/>
      <c r="O1061" s="76"/>
      <c r="P1061" s="76"/>
    </row>
    <row r="1062" ht="20.25" customHeight="1">
      <c r="A1062" s="57"/>
      <c r="B1062" s="72" t="s">
        <v>279</v>
      </c>
      <c r="C1062" s="72">
        <v>119.0</v>
      </c>
      <c r="D1062" s="505">
        <v>1.19</v>
      </c>
      <c r="E1062" s="11"/>
      <c r="F1062" s="75" t="s">
        <v>281</v>
      </c>
      <c r="G1062" s="74" t="s">
        <v>179</v>
      </c>
      <c r="H1062" s="74" t="s">
        <v>25</v>
      </c>
      <c r="I1062" s="73">
        <v>1.0</v>
      </c>
      <c r="J1062" s="399" t="s">
        <v>286</v>
      </c>
      <c r="K1062" s="400"/>
      <c r="L1062" s="400"/>
      <c r="M1062" s="45"/>
      <c r="N1062" s="105">
        <v>2418.0</v>
      </c>
      <c r="O1062" s="76"/>
      <c r="P1062" s="76"/>
    </row>
    <row r="1063" ht="20.25" customHeight="1">
      <c r="A1063" s="20"/>
      <c r="B1063" s="20"/>
      <c r="C1063" s="20"/>
      <c r="D1063" s="20"/>
      <c r="E1063" s="19"/>
      <c r="F1063" s="29"/>
      <c r="G1063" s="74" t="s">
        <v>179</v>
      </c>
      <c r="H1063" s="74" t="s">
        <v>18</v>
      </c>
      <c r="I1063" s="77">
        <v>7.0</v>
      </c>
      <c r="J1063" s="311"/>
      <c r="K1063" s="368"/>
      <c r="L1063" s="368"/>
      <c r="M1063" s="51"/>
      <c r="N1063" s="108"/>
      <c r="O1063" s="76"/>
      <c r="P1063" s="76"/>
    </row>
    <row r="1064" ht="20.25" customHeight="1">
      <c r="A1064" s="69">
        <v>46244.0</v>
      </c>
      <c r="B1064" s="11" t="s">
        <v>21</v>
      </c>
      <c r="C1064" s="11">
        <v>135.0</v>
      </c>
      <c r="D1064" s="11"/>
      <c r="E1064" s="11"/>
      <c r="F1064" s="75" t="s">
        <v>244</v>
      </c>
      <c r="G1064" s="74" t="s">
        <v>17</v>
      </c>
      <c r="H1064" s="74" t="s">
        <v>25</v>
      </c>
      <c r="I1064" s="73">
        <v>1.0</v>
      </c>
      <c r="J1064" s="73">
        <v>120.0</v>
      </c>
      <c r="K1064" s="73">
        <v>120.0</v>
      </c>
      <c r="L1064" s="75">
        <v>25.0</v>
      </c>
      <c r="M1064" s="105">
        <v>550.0</v>
      </c>
      <c r="N1064" s="105">
        <v>2770.0</v>
      </c>
      <c r="O1064" s="76"/>
      <c r="P1064" s="76"/>
    </row>
    <row r="1065" ht="20.25" customHeight="1">
      <c r="A1065" s="29"/>
      <c r="B1065" s="19" t="s">
        <v>51</v>
      </c>
      <c r="D1065" s="19"/>
      <c r="E1065" s="19"/>
      <c r="F1065" s="29"/>
      <c r="G1065" s="74" t="s">
        <v>17</v>
      </c>
      <c r="H1065" s="105" t="s">
        <v>18</v>
      </c>
      <c r="I1065" s="160">
        <v>21.0</v>
      </c>
      <c r="J1065" s="160">
        <v>100.0</v>
      </c>
      <c r="K1065" s="160">
        <v>2100.0</v>
      </c>
      <c r="L1065" s="29"/>
      <c r="M1065" s="187"/>
      <c r="N1065" s="187"/>
      <c r="O1065" s="76"/>
      <c r="P1065" s="76"/>
    </row>
    <row r="1066" ht="20.25" customHeight="1">
      <c r="A1066" s="57"/>
      <c r="B1066" s="11" t="s">
        <v>279</v>
      </c>
      <c r="C1066" s="11">
        <v>118.0</v>
      </c>
      <c r="D1066" s="11"/>
      <c r="E1066" s="11"/>
      <c r="F1066" s="58"/>
      <c r="G1066" s="74" t="s">
        <v>17</v>
      </c>
      <c r="H1066" s="108"/>
      <c r="I1066" s="58"/>
      <c r="J1066" s="58"/>
      <c r="K1066" s="58"/>
      <c r="L1066" s="58"/>
      <c r="M1066" s="108"/>
      <c r="N1066" s="108"/>
      <c r="O1066" s="76"/>
      <c r="P1066" s="76"/>
    </row>
    <row r="1067" ht="20.25" customHeight="1">
      <c r="A1067" s="29"/>
      <c r="B1067" s="123" t="s">
        <v>21</v>
      </c>
      <c r="C1067" s="123">
        <v>136.0</v>
      </c>
      <c r="D1067" s="19"/>
      <c r="E1067" s="19"/>
      <c r="F1067" s="160" t="s">
        <v>272</v>
      </c>
      <c r="G1067" s="74" t="s">
        <v>17</v>
      </c>
      <c r="H1067" s="74" t="s">
        <v>25</v>
      </c>
      <c r="I1067" s="77">
        <v>1.0</v>
      </c>
      <c r="J1067" s="77">
        <v>120.0</v>
      </c>
      <c r="K1067" s="77">
        <v>120.0</v>
      </c>
      <c r="L1067" s="160">
        <v>30.0</v>
      </c>
      <c r="M1067" s="105">
        <v>390.0</v>
      </c>
      <c r="N1067" s="105">
        <v>1710.0</v>
      </c>
      <c r="O1067" s="76"/>
      <c r="P1067" s="76"/>
    </row>
    <row r="1068" ht="20.25" customHeight="1">
      <c r="A1068" s="57"/>
      <c r="B1068" s="58"/>
      <c r="C1068" s="58"/>
      <c r="D1068" s="11"/>
      <c r="E1068" s="11"/>
      <c r="F1068" s="58"/>
      <c r="G1068" s="74" t="s">
        <v>17</v>
      </c>
      <c r="H1068" s="74" t="s">
        <v>18</v>
      </c>
      <c r="I1068" s="73">
        <v>12.0</v>
      </c>
      <c r="J1068" s="73">
        <v>100.0</v>
      </c>
      <c r="K1068" s="73">
        <v>1200.0</v>
      </c>
      <c r="L1068" s="58"/>
      <c r="M1068" s="108"/>
      <c r="N1068" s="108"/>
      <c r="O1068" s="76"/>
      <c r="P1068" s="76"/>
    </row>
    <row r="1069" ht="20.25" customHeight="1">
      <c r="A1069" s="29"/>
      <c r="B1069" s="123" t="s">
        <v>21</v>
      </c>
      <c r="C1069" s="123">
        <v>138.0</v>
      </c>
      <c r="D1069" s="19"/>
      <c r="E1069" s="19"/>
      <c r="F1069" s="403" t="s">
        <v>278</v>
      </c>
      <c r="G1069" s="74" t="s">
        <v>17</v>
      </c>
      <c r="H1069" s="74" t="s">
        <v>25</v>
      </c>
      <c r="I1069" s="77">
        <v>1.0</v>
      </c>
      <c r="J1069" s="77">
        <v>120.0</v>
      </c>
      <c r="K1069" s="77">
        <v>120.0</v>
      </c>
      <c r="L1069" s="338">
        <v>25.0</v>
      </c>
      <c r="M1069" s="105">
        <v>450.0</v>
      </c>
      <c r="N1069" s="338">
        <v>2270.0</v>
      </c>
      <c r="O1069" s="76"/>
      <c r="P1069" s="76"/>
    </row>
    <row r="1070" ht="20.25" customHeight="1">
      <c r="A1070" s="57"/>
      <c r="B1070" s="58"/>
      <c r="C1070" s="58"/>
      <c r="D1070" s="11"/>
      <c r="E1070" s="11"/>
      <c r="F1070" s="58"/>
      <c r="G1070" s="74" t="s">
        <v>17</v>
      </c>
      <c r="H1070" s="74" t="s">
        <v>18</v>
      </c>
      <c r="I1070" s="73">
        <v>17.0</v>
      </c>
      <c r="J1070" s="73">
        <v>100.0</v>
      </c>
      <c r="K1070" s="73">
        <v>1700.0</v>
      </c>
      <c r="L1070" s="58"/>
      <c r="M1070" s="108"/>
      <c r="N1070" s="108"/>
      <c r="O1070" s="76"/>
      <c r="P1070" s="76"/>
    </row>
    <row r="1071" ht="20.25" customHeight="1">
      <c r="A1071" s="29"/>
      <c r="B1071" s="123" t="s">
        <v>110</v>
      </c>
      <c r="C1071" s="123">
        <v>111.0</v>
      </c>
      <c r="D1071" s="19"/>
      <c r="E1071" s="19"/>
      <c r="F1071" s="160" t="s">
        <v>235</v>
      </c>
      <c r="G1071" s="74" t="s">
        <v>17</v>
      </c>
      <c r="H1071" s="74" t="s">
        <v>25</v>
      </c>
      <c r="I1071" s="77">
        <v>1.0</v>
      </c>
      <c r="J1071" s="77">
        <v>220.0</v>
      </c>
      <c r="K1071" s="77">
        <v>220.0</v>
      </c>
      <c r="L1071" s="389">
        <v>400.0</v>
      </c>
      <c r="M1071" s="45"/>
      <c r="N1071" s="105">
        <v>3615.0</v>
      </c>
      <c r="O1071" s="76"/>
      <c r="P1071" s="76"/>
    </row>
    <row r="1072" ht="20.25" customHeight="1">
      <c r="A1072" s="57"/>
      <c r="B1072" s="57"/>
      <c r="C1072" s="57"/>
      <c r="D1072" s="11"/>
      <c r="E1072" s="11"/>
      <c r="F1072" s="57"/>
      <c r="G1072" s="74" t="s">
        <v>17</v>
      </c>
      <c r="H1072" s="74" t="s">
        <v>18</v>
      </c>
      <c r="I1072" s="73">
        <v>6.0</v>
      </c>
      <c r="J1072" s="73">
        <v>150.0</v>
      </c>
      <c r="K1072" s="73">
        <v>900.0</v>
      </c>
      <c r="L1072" s="294"/>
      <c r="M1072" s="48"/>
      <c r="N1072" s="187"/>
      <c r="O1072" s="76"/>
      <c r="P1072" s="76"/>
    </row>
    <row r="1073" ht="20.25" customHeight="1">
      <c r="A1073" s="29"/>
      <c r="B1073" s="29"/>
      <c r="C1073" s="29"/>
      <c r="D1073" s="19"/>
      <c r="E1073" s="19"/>
      <c r="F1073" s="29"/>
      <c r="G1073" s="74" t="s">
        <v>17</v>
      </c>
      <c r="H1073" s="74" t="s">
        <v>18</v>
      </c>
      <c r="I1073" s="77">
        <v>5.0</v>
      </c>
      <c r="J1073" s="77">
        <v>145.0</v>
      </c>
      <c r="K1073" s="77">
        <v>725.0</v>
      </c>
      <c r="L1073" s="314"/>
      <c r="M1073" s="48"/>
      <c r="N1073" s="187"/>
      <c r="O1073" s="76"/>
      <c r="P1073" s="76"/>
    </row>
    <row r="1074" ht="20.25" customHeight="1">
      <c r="A1074" s="57"/>
      <c r="B1074" s="57"/>
      <c r="C1074" s="57"/>
      <c r="D1074" s="11"/>
      <c r="E1074" s="11"/>
      <c r="F1074" s="57"/>
      <c r="G1074" s="74" t="s">
        <v>17</v>
      </c>
      <c r="H1074" s="74" t="s">
        <v>18</v>
      </c>
      <c r="I1074" s="73">
        <v>2.0</v>
      </c>
      <c r="J1074" s="73">
        <v>170.0</v>
      </c>
      <c r="K1074" s="73">
        <v>340.0</v>
      </c>
      <c r="L1074" s="294"/>
      <c r="M1074" s="48"/>
      <c r="N1074" s="187"/>
      <c r="O1074" s="76"/>
      <c r="P1074" s="76"/>
    </row>
    <row r="1075" ht="20.25" customHeight="1">
      <c r="A1075" s="29"/>
      <c r="B1075" s="29"/>
      <c r="C1075" s="29"/>
      <c r="D1075" s="19"/>
      <c r="E1075" s="19"/>
      <c r="F1075" s="29"/>
      <c r="G1075" s="74" t="s">
        <v>17</v>
      </c>
      <c r="H1075" s="74" t="s">
        <v>18</v>
      </c>
      <c r="I1075" s="77">
        <v>7.0</v>
      </c>
      <c r="J1075" s="77">
        <v>120.0</v>
      </c>
      <c r="K1075" s="77">
        <v>840.0</v>
      </c>
      <c r="L1075" s="314"/>
      <c r="M1075" s="48"/>
      <c r="N1075" s="187"/>
      <c r="O1075" s="76"/>
      <c r="P1075" s="76"/>
    </row>
    <row r="1076" ht="20.25" customHeight="1">
      <c r="A1076" s="58"/>
      <c r="B1076" s="58"/>
      <c r="C1076" s="58"/>
      <c r="D1076" s="11"/>
      <c r="E1076" s="11"/>
      <c r="F1076" s="58"/>
      <c r="G1076" s="74" t="s">
        <v>17</v>
      </c>
      <c r="H1076" s="74" t="s">
        <v>18</v>
      </c>
      <c r="I1076" s="73">
        <v>1.0</v>
      </c>
      <c r="J1076" s="73">
        <v>190.0</v>
      </c>
      <c r="K1076" s="73">
        <v>190.0</v>
      </c>
      <c r="L1076" s="321"/>
      <c r="M1076" s="51"/>
      <c r="N1076" s="108"/>
      <c r="O1076" s="76"/>
      <c r="P1076" s="76"/>
    </row>
    <row r="1077" ht="20.25" customHeight="1">
      <c r="A1077" s="121">
        <v>46245.0</v>
      </c>
      <c r="B1077" s="123" t="s">
        <v>21</v>
      </c>
      <c r="C1077" s="19">
        <v>130.0</v>
      </c>
      <c r="D1077" s="19"/>
      <c r="E1077" s="19"/>
      <c r="F1077" s="160" t="s">
        <v>244</v>
      </c>
      <c r="G1077" s="74" t="s">
        <v>17</v>
      </c>
      <c r="H1077" s="74" t="s">
        <v>25</v>
      </c>
      <c r="I1077" s="77">
        <v>1.0</v>
      </c>
      <c r="J1077" s="77">
        <v>120.0</v>
      </c>
      <c r="K1077" s="77">
        <v>120.0</v>
      </c>
      <c r="L1077" s="160">
        <v>25.0</v>
      </c>
      <c r="M1077" s="105">
        <v>575.0</v>
      </c>
      <c r="N1077" s="105">
        <v>2895.0</v>
      </c>
      <c r="O1077" s="76"/>
      <c r="P1077" s="76"/>
    </row>
    <row r="1078" ht="20.25" customHeight="1">
      <c r="A1078" s="57"/>
      <c r="B1078" s="58"/>
      <c r="C1078" s="11">
        <v>135.0</v>
      </c>
      <c r="D1078" s="11"/>
      <c r="E1078" s="11"/>
      <c r="F1078" s="57"/>
      <c r="G1078" s="74" t="s">
        <v>17</v>
      </c>
      <c r="H1078" s="105" t="s">
        <v>18</v>
      </c>
      <c r="I1078" s="75">
        <v>22.0</v>
      </c>
      <c r="J1078" s="75">
        <v>100.0</v>
      </c>
      <c r="K1078" s="75">
        <v>2200.0</v>
      </c>
      <c r="L1078" s="57"/>
      <c r="M1078" s="187"/>
      <c r="N1078" s="187"/>
      <c r="O1078" s="76"/>
      <c r="P1078" s="76"/>
    </row>
    <row r="1079" ht="20.25" customHeight="1">
      <c r="A1079" s="29"/>
      <c r="B1079" s="19" t="s">
        <v>51</v>
      </c>
      <c r="C1079" s="19"/>
      <c r="D1079" s="19"/>
      <c r="E1079" s="19"/>
      <c r="F1079" s="29"/>
      <c r="G1079" s="74" t="s">
        <v>17</v>
      </c>
      <c r="H1079" s="187"/>
      <c r="I1079" s="29"/>
      <c r="J1079" s="29"/>
      <c r="K1079" s="29"/>
      <c r="L1079" s="29"/>
      <c r="M1079" s="187"/>
      <c r="N1079" s="187"/>
      <c r="O1079" s="76"/>
      <c r="P1079" s="76"/>
    </row>
    <row r="1080" ht="20.25" customHeight="1">
      <c r="A1080" s="57"/>
      <c r="B1080" s="11" t="s">
        <v>122</v>
      </c>
      <c r="C1080" s="11"/>
      <c r="D1080" s="11"/>
      <c r="E1080" s="11"/>
      <c r="F1080" s="58"/>
      <c r="G1080" s="74" t="s">
        <v>17</v>
      </c>
      <c r="H1080" s="108"/>
      <c r="I1080" s="58"/>
      <c r="J1080" s="58"/>
      <c r="K1080" s="58"/>
      <c r="L1080" s="58"/>
      <c r="M1080" s="108"/>
      <c r="N1080" s="108"/>
      <c r="O1080" s="76"/>
      <c r="P1080" s="76"/>
    </row>
    <row r="1081" ht="20.25" customHeight="1">
      <c r="A1081" s="29"/>
      <c r="B1081" s="123" t="s">
        <v>21</v>
      </c>
      <c r="C1081" s="123">
        <v>129.0</v>
      </c>
      <c r="D1081" s="19"/>
      <c r="E1081" s="19"/>
      <c r="F1081" s="160" t="s">
        <v>272</v>
      </c>
      <c r="G1081" s="74" t="s">
        <v>17</v>
      </c>
      <c r="H1081" s="74" t="s">
        <v>25</v>
      </c>
      <c r="I1081" s="77">
        <v>1.0</v>
      </c>
      <c r="J1081" s="77">
        <v>120.0</v>
      </c>
      <c r="K1081" s="77">
        <v>120.0</v>
      </c>
      <c r="L1081" s="160">
        <v>30.0</v>
      </c>
      <c r="M1081" s="105">
        <v>540.0</v>
      </c>
      <c r="N1081" s="105">
        <v>2360.0</v>
      </c>
      <c r="O1081" s="76"/>
      <c r="P1081" s="76"/>
    </row>
    <row r="1082" ht="20.25" customHeight="1">
      <c r="A1082" s="57"/>
      <c r="B1082" s="58"/>
      <c r="C1082" s="58"/>
      <c r="D1082" s="11"/>
      <c r="E1082" s="11"/>
      <c r="F1082" s="58"/>
      <c r="G1082" s="74" t="s">
        <v>17</v>
      </c>
      <c r="H1082" s="74" t="s">
        <v>18</v>
      </c>
      <c r="I1082" s="73">
        <v>17.0</v>
      </c>
      <c r="J1082" s="73">
        <v>100.0</v>
      </c>
      <c r="K1082" s="73">
        <v>1700.0</v>
      </c>
      <c r="L1082" s="58"/>
      <c r="M1082" s="108"/>
      <c r="N1082" s="108"/>
      <c r="O1082" s="76"/>
      <c r="P1082" s="76"/>
    </row>
    <row r="1083" ht="20.25" customHeight="1">
      <c r="A1083" s="29"/>
      <c r="B1083" s="123" t="s">
        <v>21</v>
      </c>
      <c r="C1083" s="19">
        <v>138.0</v>
      </c>
      <c r="D1083" s="19"/>
      <c r="E1083" s="19"/>
      <c r="F1083" s="403" t="s">
        <v>278</v>
      </c>
      <c r="G1083" s="74" t="s">
        <v>17</v>
      </c>
      <c r="H1083" s="74" t="s">
        <v>25</v>
      </c>
      <c r="I1083" s="77">
        <v>1.0</v>
      </c>
      <c r="J1083" s="77">
        <v>120.0</v>
      </c>
      <c r="K1083" s="77">
        <v>120.0</v>
      </c>
      <c r="L1083" s="338">
        <v>25.0</v>
      </c>
      <c r="M1083" s="105">
        <v>450.0</v>
      </c>
      <c r="N1083" s="338">
        <v>2270.0</v>
      </c>
      <c r="O1083" s="76"/>
      <c r="P1083" s="76"/>
    </row>
    <row r="1084" ht="20.25" customHeight="1">
      <c r="A1084" s="57"/>
      <c r="B1084" s="58"/>
      <c r="C1084" s="11">
        <v>132.0</v>
      </c>
      <c r="D1084" s="11"/>
      <c r="E1084" s="11"/>
      <c r="F1084" s="58"/>
      <c r="G1084" s="74" t="s">
        <v>17</v>
      </c>
      <c r="H1084" s="74" t="s">
        <v>18</v>
      </c>
      <c r="I1084" s="73">
        <v>17.0</v>
      </c>
      <c r="J1084" s="73">
        <v>100.0</v>
      </c>
      <c r="K1084" s="73">
        <v>1700.0</v>
      </c>
      <c r="L1084" s="58"/>
      <c r="M1084" s="108"/>
      <c r="N1084" s="108"/>
      <c r="O1084" s="76"/>
      <c r="P1084" s="76"/>
    </row>
    <row r="1085" ht="20.25" customHeight="1">
      <c r="A1085" s="29"/>
      <c r="B1085" s="123" t="s">
        <v>110</v>
      </c>
      <c r="C1085" s="123">
        <v>110.0</v>
      </c>
      <c r="D1085" s="19"/>
      <c r="E1085" s="19"/>
      <c r="F1085" s="160" t="s">
        <v>235</v>
      </c>
      <c r="G1085" s="74" t="s">
        <v>17</v>
      </c>
      <c r="H1085" s="74" t="s">
        <v>25</v>
      </c>
      <c r="I1085" s="77">
        <v>1.0</v>
      </c>
      <c r="J1085" s="77">
        <v>220.0</v>
      </c>
      <c r="K1085" s="77">
        <v>220.0</v>
      </c>
      <c r="L1085" s="389">
        <v>400.0</v>
      </c>
      <c r="M1085" s="45"/>
      <c r="N1085" s="105">
        <v>3885.0</v>
      </c>
      <c r="O1085" s="76"/>
      <c r="P1085" s="76"/>
    </row>
    <row r="1086" ht="20.25" customHeight="1">
      <c r="A1086" s="57"/>
      <c r="B1086" s="57"/>
      <c r="C1086" s="57"/>
      <c r="D1086" s="11"/>
      <c r="E1086" s="11"/>
      <c r="F1086" s="57"/>
      <c r="G1086" s="74" t="s">
        <v>17</v>
      </c>
      <c r="H1086" s="74" t="s">
        <v>18</v>
      </c>
      <c r="I1086" s="73">
        <v>6.0</v>
      </c>
      <c r="J1086" s="73">
        <v>150.0</v>
      </c>
      <c r="K1086" s="73">
        <v>900.0</v>
      </c>
      <c r="L1086" s="294"/>
      <c r="M1086" s="48"/>
      <c r="N1086" s="187"/>
      <c r="O1086" s="76"/>
      <c r="P1086" s="76"/>
    </row>
    <row r="1087" ht="20.25" customHeight="1">
      <c r="A1087" s="29"/>
      <c r="B1087" s="29"/>
      <c r="C1087" s="29"/>
      <c r="D1087" s="19"/>
      <c r="E1087" s="19"/>
      <c r="F1087" s="29"/>
      <c r="G1087" s="74" t="s">
        <v>17</v>
      </c>
      <c r="H1087" s="74" t="s">
        <v>18</v>
      </c>
      <c r="I1087" s="77">
        <v>9.0</v>
      </c>
      <c r="J1087" s="77">
        <v>145.0</v>
      </c>
      <c r="K1087" s="77">
        <v>1305.0</v>
      </c>
      <c r="L1087" s="314"/>
      <c r="M1087" s="48"/>
      <c r="N1087" s="187"/>
      <c r="O1087" s="76"/>
      <c r="P1087" s="76"/>
    </row>
    <row r="1088" ht="20.25" customHeight="1">
      <c r="A1088" s="57"/>
      <c r="B1088" s="57"/>
      <c r="C1088" s="57"/>
      <c r="D1088" s="11"/>
      <c r="E1088" s="11"/>
      <c r="F1088" s="57"/>
      <c r="G1088" s="74" t="s">
        <v>17</v>
      </c>
      <c r="H1088" s="74" t="s">
        <v>18</v>
      </c>
      <c r="I1088" s="73">
        <v>3.0</v>
      </c>
      <c r="J1088" s="73">
        <v>170.0</v>
      </c>
      <c r="K1088" s="73">
        <v>510.0</v>
      </c>
      <c r="L1088" s="294"/>
      <c r="M1088" s="48"/>
      <c r="N1088" s="187"/>
      <c r="O1088" s="76"/>
      <c r="P1088" s="76"/>
    </row>
    <row r="1089" ht="20.25" customHeight="1">
      <c r="A1089" s="29"/>
      <c r="B1089" s="29"/>
      <c r="C1089" s="29"/>
      <c r="D1089" s="19"/>
      <c r="E1089" s="19"/>
      <c r="F1089" s="29"/>
      <c r="G1089" s="74" t="s">
        <v>17</v>
      </c>
      <c r="H1089" s="74" t="s">
        <v>18</v>
      </c>
      <c r="I1089" s="77">
        <v>3.0</v>
      </c>
      <c r="J1089" s="77">
        <v>120.0</v>
      </c>
      <c r="K1089" s="77">
        <v>360.0</v>
      </c>
      <c r="L1089" s="314"/>
      <c r="M1089" s="48"/>
      <c r="N1089" s="187"/>
      <c r="O1089" s="76"/>
      <c r="P1089" s="76"/>
    </row>
    <row r="1090" ht="20.25" customHeight="1">
      <c r="A1090" s="57"/>
      <c r="B1090" s="57"/>
      <c r="C1090" s="58"/>
      <c r="D1090" s="11"/>
      <c r="E1090" s="11"/>
      <c r="F1090" s="57"/>
      <c r="G1090" s="74" t="s">
        <v>17</v>
      </c>
      <c r="H1090" s="74" t="s">
        <v>18</v>
      </c>
      <c r="I1090" s="73">
        <v>1.0</v>
      </c>
      <c r="J1090" s="73">
        <v>190.0</v>
      </c>
      <c r="K1090" s="73">
        <v>190.0</v>
      </c>
      <c r="L1090" s="321"/>
      <c r="M1090" s="51"/>
      <c r="N1090" s="108"/>
      <c r="O1090" s="76"/>
      <c r="P1090" s="76"/>
    </row>
    <row r="1091" ht="20.25" customHeight="1">
      <c r="A1091" s="29"/>
      <c r="B1091" s="29"/>
      <c r="C1091" s="515">
        <v>111.0</v>
      </c>
      <c r="D1091" s="19"/>
      <c r="E1091" s="19"/>
      <c r="F1091" s="29"/>
      <c r="G1091" s="74" t="s">
        <v>17</v>
      </c>
      <c r="H1091" s="105" t="s">
        <v>18</v>
      </c>
      <c r="I1091" s="160">
        <v>14.0</v>
      </c>
      <c r="J1091" s="160">
        <v>120.0</v>
      </c>
      <c r="K1091" s="160">
        <v>1560.0</v>
      </c>
      <c r="L1091" s="389">
        <v>400.0</v>
      </c>
      <c r="M1091" s="45"/>
      <c r="N1091" s="105">
        <v>2080.0</v>
      </c>
      <c r="O1091" s="76"/>
      <c r="P1091" s="76"/>
    </row>
    <row r="1092" ht="20.25" customHeight="1">
      <c r="A1092" s="58"/>
      <c r="B1092" s="58"/>
      <c r="C1092" s="58"/>
      <c r="D1092" s="11"/>
      <c r="E1092" s="11"/>
      <c r="F1092" s="58"/>
      <c r="G1092" s="74" t="s">
        <v>17</v>
      </c>
      <c r="H1092" s="108"/>
      <c r="I1092" s="58"/>
      <c r="J1092" s="58"/>
      <c r="K1092" s="58"/>
      <c r="L1092" s="294"/>
      <c r="M1092" s="48"/>
      <c r="N1092" s="187"/>
      <c r="O1092" s="76"/>
      <c r="P1092" s="76"/>
    </row>
    <row r="1093" ht="20.25" customHeight="1">
      <c r="A1093" s="121">
        <v>46246.0</v>
      </c>
      <c r="B1093" s="19" t="s">
        <v>21</v>
      </c>
      <c r="C1093" s="19">
        <v>130.0</v>
      </c>
      <c r="D1093" s="19"/>
      <c r="E1093" s="19"/>
      <c r="F1093" s="160" t="s">
        <v>244</v>
      </c>
      <c r="G1093" s="74" t="s">
        <v>17</v>
      </c>
      <c r="H1093" s="74" t="s">
        <v>25</v>
      </c>
      <c r="I1093" s="77">
        <v>1.0</v>
      </c>
      <c r="J1093" s="77">
        <v>120.0</v>
      </c>
      <c r="K1093" s="77">
        <v>120.0</v>
      </c>
      <c r="L1093" s="160">
        <v>25.0</v>
      </c>
      <c r="M1093" s="105">
        <v>625.0</v>
      </c>
      <c r="N1093" s="105">
        <v>3145.0</v>
      </c>
      <c r="O1093" s="76"/>
      <c r="P1093" s="76"/>
    </row>
    <row r="1094" ht="20.25" customHeight="1">
      <c r="A1094" s="57"/>
      <c r="B1094" s="11" t="s">
        <v>51</v>
      </c>
      <c r="C1094" s="11">
        <v>131.0</v>
      </c>
      <c r="D1094" s="11"/>
      <c r="E1094" s="11"/>
      <c r="F1094" s="57"/>
      <c r="G1094" s="74" t="s">
        <v>17</v>
      </c>
      <c r="H1094" s="105" t="s">
        <v>18</v>
      </c>
      <c r="I1094" s="75">
        <v>24.0</v>
      </c>
      <c r="J1094" s="75">
        <v>100.0</v>
      </c>
      <c r="K1094" s="75">
        <v>2400.0</v>
      </c>
      <c r="L1094" s="57"/>
      <c r="M1094" s="187"/>
      <c r="N1094" s="187"/>
      <c r="O1094" s="76"/>
      <c r="P1094" s="76"/>
    </row>
    <row r="1095" ht="20.25" customHeight="1">
      <c r="A1095" s="29"/>
      <c r="B1095" s="19" t="s">
        <v>22</v>
      </c>
      <c r="C1095" s="19"/>
      <c r="D1095" s="19"/>
      <c r="E1095" s="19"/>
      <c r="F1095" s="20"/>
      <c r="G1095" s="74" t="s">
        <v>17</v>
      </c>
      <c r="H1095" s="108"/>
      <c r="I1095" s="20"/>
      <c r="J1095" s="20"/>
      <c r="K1095" s="20"/>
      <c r="L1095" s="20"/>
      <c r="M1095" s="108"/>
      <c r="N1095" s="108"/>
      <c r="O1095" s="76"/>
      <c r="P1095" s="76"/>
    </row>
    <row r="1096" ht="20.25" customHeight="1">
      <c r="A1096" s="57"/>
      <c r="B1096" s="11" t="s">
        <v>21</v>
      </c>
      <c r="C1096" s="11">
        <v>129.0</v>
      </c>
      <c r="D1096" s="11"/>
      <c r="E1096" s="11"/>
      <c r="F1096" s="75" t="s">
        <v>272</v>
      </c>
      <c r="G1096" s="74" t="s">
        <v>17</v>
      </c>
      <c r="H1096" s="74" t="s">
        <v>25</v>
      </c>
      <c r="I1096" s="73">
        <v>1.0</v>
      </c>
      <c r="J1096" s="73">
        <v>120.0</v>
      </c>
      <c r="K1096" s="73">
        <v>120.0</v>
      </c>
      <c r="L1096" s="75">
        <v>30.0</v>
      </c>
      <c r="M1096" s="105">
        <v>450.0</v>
      </c>
      <c r="N1096" s="105">
        <v>1970.0</v>
      </c>
      <c r="O1096" s="76"/>
      <c r="P1096" s="76"/>
    </row>
    <row r="1097" ht="20.25" customHeight="1">
      <c r="A1097" s="29"/>
      <c r="B1097" s="19"/>
      <c r="C1097" s="19">
        <v>133.0</v>
      </c>
      <c r="D1097" s="19"/>
      <c r="E1097" s="19"/>
      <c r="F1097" s="20"/>
      <c r="G1097" s="74" t="s">
        <v>17</v>
      </c>
      <c r="H1097" s="74" t="s">
        <v>18</v>
      </c>
      <c r="I1097" s="77">
        <v>14.0</v>
      </c>
      <c r="J1097" s="77">
        <v>100.0</v>
      </c>
      <c r="K1097" s="77">
        <v>1400.0</v>
      </c>
      <c r="L1097" s="20"/>
      <c r="M1097" s="108"/>
      <c r="N1097" s="108"/>
      <c r="O1097" s="76"/>
      <c r="P1097" s="76"/>
    </row>
    <row r="1098" ht="20.25" customHeight="1">
      <c r="A1098" s="57"/>
      <c r="B1098" s="72" t="s">
        <v>21</v>
      </c>
      <c r="C1098" s="72">
        <v>132.0</v>
      </c>
      <c r="D1098" s="11"/>
      <c r="E1098" s="11"/>
      <c r="F1098" s="509" t="s">
        <v>278</v>
      </c>
      <c r="G1098" s="74" t="s">
        <v>17</v>
      </c>
      <c r="H1098" s="74" t="s">
        <v>25</v>
      </c>
      <c r="I1098" s="73">
        <v>1.0</v>
      </c>
      <c r="J1098" s="73">
        <v>120.0</v>
      </c>
      <c r="K1098" s="73">
        <v>120.0</v>
      </c>
      <c r="L1098" s="338">
        <v>25.0</v>
      </c>
      <c r="M1098" s="105">
        <v>425.0</v>
      </c>
      <c r="N1098" s="338">
        <v>2145.0</v>
      </c>
      <c r="O1098" s="76"/>
      <c r="P1098" s="76"/>
    </row>
    <row r="1099" ht="20.25" customHeight="1">
      <c r="A1099" s="29"/>
      <c r="B1099" s="20"/>
      <c r="C1099" s="20"/>
      <c r="D1099" s="19"/>
      <c r="E1099" s="19"/>
      <c r="F1099" s="20"/>
      <c r="G1099" s="74" t="s">
        <v>17</v>
      </c>
      <c r="H1099" s="74" t="s">
        <v>18</v>
      </c>
      <c r="I1099" s="77">
        <v>16.0</v>
      </c>
      <c r="J1099" s="77">
        <v>100.0</v>
      </c>
      <c r="K1099" s="77">
        <v>1600.0</v>
      </c>
      <c r="L1099" s="20"/>
      <c r="M1099" s="108"/>
      <c r="N1099" s="108"/>
      <c r="O1099" s="76"/>
      <c r="P1099" s="76"/>
    </row>
    <row r="1100" ht="20.25" customHeight="1">
      <c r="A1100" s="57"/>
      <c r="B1100" s="72" t="s">
        <v>279</v>
      </c>
      <c r="C1100" s="72">
        <v>123.0</v>
      </c>
      <c r="D1100" s="520">
        <v>0.88</v>
      </c>
      <c r="E1100" s="11"/>
      <c r="F1100" s="75" t="s">
        <v>299</v>
      </c>
      <c r="G1100" s="74" t="s">
        <v>179</v>
      </c>
      <c r="H1100" s="74" t="s">
        <v>25</v>
      </c>
      <c r="I1100" s="73">
        <v>1.0</v>
      </c>
      <c r="J1100" s="399" t="s">
        <v>300</v>
      </c>
      <c r="K1100" s="400"/>
      <c r="L1100" s="400"/>
      <c r="M1100" s="45"/>
      <c r="N1100" s="105">
        <v>1760.0</v>
      </c>
      <c r="O1100" s="76"/>
      <c r="P1100" s="76"/>
    </row>
    <row r="1101" ht="20.25" customHeight="1">
      <c r="A1101" s="29"/>
      <c r="B1101" s="20"/>
      <c r="C1101" s="20"/>
      <c r="D1101" s="20"/>
      <c r="E1101" s="19"/>
      <c r="F1101" s="20"/>
      <c r="G1101" s="74" t="s">
        <v>179</v>
      </c>
      <c r="H1101" s="74" t="s">
        <v>18</v>
      </c>
      <c r="I1101" s="77">
        <v>14.0</v>
      </c>
      <c r="J1101" s="311"/>
      <c r="K1101" s="368"/>
      <c r="L1101" s="368"/>
      <c r="M1101" s="51"/>
      <c r="N1101" s="108"/>
      <c r="O1101" s="76"/>
      <c r="P1101" s="76"/>
    </row>
    <row r="1102" ht="20.25" customHeight="1">
      <c r="A1102" s="57"/>
      <c r="B1102" s="72" t="s">
        <v>110</v>
      </c>
      <c r="C1102" s="72">
        <v>107.0</v>
      </c>
      <c r="D1102" s="11"/>
      <c r="E1102" s="11"/>
      <c r="F1102" s="75" t="s">
        <v>235</v>
      </c>
      <c r="G1102" s="74" t="s">
        <v>17</v>
      </c>
      <c r="H1102" s="74" t="s">
        <v>25</v>
      </c>
      <c r="I1102" s="73">
        <v>1.0</v>
      </c>
      <c r="J1102" s="73">
        <v>220.0</v>
      </c>
      <c r="K1102" s="73">
        <v>220.0</v>
      </c>
      <c r="L1102" s="399">
        <v>400.0</v>
      </c>
      <c r="M1102" s="45"/>
      <c r="N1102" s="105">
        <v>3965.0</v>
      </c>
      <c r="O1102" s="76"/>
      <c r="P1102" s="76"/>
    </row>
    <row r="1103" ht="20.25" customHeight="1">
      <c r="A1103" s="29"/>
      <c r="B1103" s="29"/>
      <c r="C1103" s="29"/>
      <c r="D1103" s="19"/>
      <c r="E1103" s="19"/>
      <c r="F1103" s="29"/>
      <c r="G1103" s="74" t="s">
        <v>17</v>
      </c>
      <c r="H1103" s="74" t="s">
        <v>18</v>
      </c>
      <c r="I1103" s="77">
        <v>6.0</v>
      </c>
      <c r="J1103" s="77">
        <v>150.0</v>
      </c>
      <c r="K1103" s="77">
        <v>900.0</v>
      </c>
      <c r="L1103" s="314"/>
      <c r="M1103" s="48"/>
      <c r="N1103" s="187"/>
      <c r="O1103" s="76"/>
      <c r="P1103" s="76"/>
    </row>
    <row r="1104" ht="20.25" customHeight="1">
      <c r="A1104" s="57"/>
      <c r="B1104" s="57"/>
      <c r="C1104" s="57"/>
      <c r="D1104" s="11"/>
      <c r="E1104" s="11"/>
      <c r="F1104" s="57"/>
      <c r="G1104" s="74" t="s">
        <v>17</v>
      </c>
      <c r="H1104" s="74" t="s">
        <v>18</v>
      </c>
      <c r="I1104" s="73">
        <v>7.0</v>
      </c>
      <c r="J1104" s="73">
        <v>145.0</v>
      </c>
      <c r="K1104" s="73">
        <v>1015.0</v>
      </c>
      <c r="L1104" s="294"/>
      <c r="M1104" s="48"/>
      <c r="N1104" s="187"/>
      <c r="O1104" s="76"/>
      <c r="P1104" s="76"/>
    </row>
    <row r="1105" ht="20.25" customHeight="1">
      <c r="A1105" s="29"/>
      <c r="B1105" s="29"/>
      <c r="C1105" s="20"/>
      <c r="D1105" s="19"/>
      <c r="E1105" s="19"/>
      <c r="F1105" s="29"/>
      <c r="G1105" s="74" t="s">
        <v>17</v>
      </c>
      <c r="H1105" s="74" t="s">
        <v>18</v>
      </c>
      <c r="I1105" s="77">
        <v>2.0</v>
      </c>
      <c r="J1105" s="77">
        <v>190.0</v>
      </c>
      <c r="K1105" s="77">
        <v>380.0</v>
      </c>
      <c r="L1105" s="314"/>
      <c r="M1105" s="48"/>
      <c r="N1105" s="187"/>
      <c r="O1105" s="76"/>
      <c r="P1105" s="76"/>
    </row>
    <row r="1106" ht="20.25" customHeight="1">
      <c r="A1106" s="57"/>
      <c r="B1106" s="57"/>
      <c r="C1106" s="72">
        <v>108.0</v>
      </c>
      <c r="D1106" s="11"/>
      <c r="E1106" s="11"/>
      <c r="F1106" s="57"/>
      <c r="G1106" s="74" t="s">
        <v>17</v>
      </c>
      <c r="H1106" s="74" t="s">
        <v>18</v>
      </c>
      <c r="I1106" s="73">
        <v>3.0</v>
      </c>
      <c r="J1106" s="73">
        <v>170.0</v>
      </c>
      <c r="K1106" s="73">
        <v>510.0</v>
      </c>
      <c r="L1106" s="294"/>
      <c r="M1106" s="48"/>
      <c r="N1106" s="187"/>
      <c r="O1106" s="76"/>
      <c r="P1106" s="76"/>
    </row>
    <row r="1107" ht="20.25" customHeight="1">
      <c r="A1107" s="29"/>
      <c r="B1107" s="29"/>
      <c r="C1107" s="29"/>
      <c r="D1107" s="19"/>
      <c r="E1107" s="19"/>
      <c r="F1107" s="29"/>
      <c r="G1107" s="74" t="s">
        <v>17</v>
      </c>
      <c r="H1107" s="74" t="s">
        <v>18</v>
      </c>
      <c r="I1107" s="77">
        <v>2.0</v>
      </c>
      <c r="J1107" s="77">
        <v>120.0</v>
      </c>
      <c r="K1107" s="77">
        <v>240.0</v>
      </c>
      <c r="L1107" s="314"/>
      <c r="M1107" s="48"/>
      <c r="N1107" s="187"/>
      <c r="O1107" s="76"/>
      <c r="P1107" s="76"/>
    </row>
    <row r="1108" ht="20.25" customHeight="1">
      <c r="A1108" s="57"/>
      <c r="B1108" s="57"/>
      <c r="C1108" s="57"/>
      <c r="D1108" s="11"/>
      <c r="E1108" s="11"/>
      <c r="F1108" s="57"/>
      <c r="G1108" s="74" t="s">
        <v>17</v>
      </c>
      <c r="H1108" s="74" t="s">
        <v>18</v>
      </c>
      <c r="I1108" s="73">
        <v>1.0</v>
      </c>
      <c r="J1108" s="73">
        <v>140.0</v>
      </c>
      <c r="K1108" s="73">
        <v>140.0</v>
      </c>
      <c r="L1108" s="294"/>
      <c r="M1108" s="48"/>
      <c r="N1108" s="187"/>
      <c r="O1108" s="76"/>
      <c r="P1108" s="76"/>
    </row>
    <row r="1109" ht="20.25" customHeight="1">
      <c r="A1109" s="29"/>
      <c r="B1109" s="20"/>
      <c r="C1109" s="20"/>
      <c r="D1109" s="19"/>
      <c r="E1109" s="19"/>
      <c r="F1109" s="29"/>
      <c r="G1109" s="74" t="s">
        <v>17</v>
      </c>
      <c r="H1109" s="74" t="s">
        <v>18</v>
      </c>
      <c r="I1109" s="77">
        <v>1.0</v>
      </c>
      <c r="J1109" s="77">
        <v>160.0</v>
      </c>
      <c r="K1109" s="77">
        <v>160.0</v>
      </c>
      <c r="L1109" s="311"/>
      <c r="M1109" s="51"/>
      <c r="N1109" s="108"/>
      <c r="O1109" s="76"/>
      <c r="P1109" s="76"/>
    </row>
    <row r="1110" ht="20.25" customHeight="1">
      <c r="A1110" s="57"/>
      <c r="B1110" s="328" t="s">
        <v>110</v>
      </c>
      <c r="C1110" s="328">
        <v>110.0</v>
      </c>
      <c r="D1110" s="329"/>
      <c r="E1110" s="329"/>
      <c r="F1110" s="57"/>
      <c r="G1110" s="338" t="s">
        <v>17</v>
      </c>
      <c r="H1110" s="338" t="s">
        <v>18</v>
      </c>
      <c r="I1110" s="338">
        <v>18.0</v>
      </c>
      <c r="J1110" s="308">
        <v>100.0</v>
      </c>
      <c r="K1110" s="338">
        <v>1800.0</v>
      </c>
      <c r="L1110" s="524">
        <v>400.0</v>
      </c>
      <c r="M1110" s="45"/>
      <c r="N1110" s="338">
        <v>2200.0</v>
      </c>
      <c r="O1110" s="76"/>
      <c r="P1110" s="76"/>
    </row>
    <row r="1111" ht="20.25" customHeight="1">
      <c r="A1111" s="20"/>
      <c r="B1111" s="20"/>
      <c r="C1111" s="20"/>
      <c r="D1111" s="329"/>
      <c r="E1111" s="329"/>
      <c r="F1111" s="20"/>
      <c r="G1111" s="108"/>
      <c r="H1111" s="108"/>
      <c r="I1111" s="20"/>
      <c r="J1111" s="20"/>
      <c r="K1111" s="20"/>
      <c r="L1111" s="314"/>
      <c r="M1111" s="48"/>
      <c r="N1111" s="187"/>
      <c r="O1111" s="76"/>
      <c r="P1111" s="76"/>
    </row>
    <row r="1112" ht="20.25" customHeight="1">
      <c r="A1112" s="69">
        <v>46247.0</v>
      </c>
      <c r="B1112" s="11" t="s">
        <v>21</v>
      </c>
      <c r="C1112" s="11">
        <v>133.0</v>
      </c>
      <c r="D1112" s="11"/>
      <c r="E1112" s="11"/>
      <c r="F1112" s="75" t="s">
        <v>272</v>
      </c>
      <c r="G1112" s="74" t="s">
        <v>17</v>
      </c>
      <c r="H1112" s="74" t="s">
        <v>25</v>
      </c>
      <c r="I1112" s="73">
        <v>1.0</v>
      </c>
      <c r="J1112" s="73">
        <v>120.0</v>
      </c>
      <c r="K1112" s="73">
        <v>120.0</v>
      </c>
      <c r="L1112" s="75">
        <v>30.0</v>
      </c>
      <c r="M1112" s="105">
        <v>600.0</v>
      </c>
      <c r="N1112" s="105">
        <v>2620.0</v>
      </c>
      <c r="O1112" s="76"/>
      <c r="P1112" s="76"/>
    </row>
    <row r="1113" ht="20.25" customHeight="1">
      <c r="A1113" s="29"/>
      <c r="B1113" s="19"/>
      <c r="C1113" s="19"/>
      <c r="D1113" s="19"/>
      <c r="E1113" s="19"/>
      <c r="F1113" s="20"/>
      <c r="G1113" s="74" t="s">
        <v>17</v>
      </c>
      <c r="H1113" s="74" t="s">
        <v>18</v>
      </c>
      <c r="I1113" s="77">
        <v>19.0</v>
      </c>
      <c r="J1113" s="77">
        <v>100.0</v>
      </c>
      <c r="K1113" s="77">
        <v>1900.0</v>
      </c>
      <c r="L1113" s="20"/>
      <c r="M1113" s="108"/>
      <c r="N1113" s="108"/>
      <c r="O1113" s="76"/>
      <c r="P1113" s="76"/>
    </row>
    <row r="1114" ht="20.25" customHeight="1">
      <c r="A1114" s="57"/>
      <c r="B1114" s="11" t="s">
        <v>21</v>
      </c>
      <c r="C1114" s="11">
        <v>131.0</v>
      </c>
      <c r="D1114" s="11"/>
      <c r="E1114" s="11"/>
      <c r="F1114" s="509" t="s">
        <v>278</v>
      </c>
      <c r="G1114" s="74" t="s">
        <v>17</v>
      </c>
      <c r="H1114" s="74" t="s">
        <v>25</v>
      </c>
      <c r="I1114" s="73">
        <v>1.0</v>
      </c>
      <c r="J1114" s="73">
        <v>120.0</v>
      </c>
      <c r="K1114" s="73">
        <v>120.0</v>
      </c>
      <c r="L1114" s="338">
        <v>25.0</v>
      </c>
      <c r="M1114" s="105">
        <v>500.0</v>
      </c>
      <c r="N1114" s="338">
        <v>2520.0</v>
      </c>
      <c r="O1114" s="76"/>
      <c r="P1114" s="76"/>
    </row>
    <row r="1115" ht="20.25" customHeight="1">
      <c r="A1115" s="29"/>
      <c r="B1115" s="19" t="s">
        <v>22</v>
      </c>
      <c r="C1115" s="19">
        <v>107.0</v>
      </c>
      <c r="D1115" s="19"/>
      <c r="E1115" s="19"/>
      <c r="F1115" s="20"/>
      <c r="G1115" s="74" t="s">
        <v>17</v>
      </c>
      <c r="H1115" s="74" t="s">
        <v>18</v>
      </c>
      <c r="I1115" s="77">
        <v>19.0</v>
      </c>
      <c r="J1115" s="77">
        <v>100.0</v>
      </c>
      <c r="K1115" s="77">
        <v>1900.0</v>
      </c>
      <c r="L1115" s="20"/>
      <c r="M1115" s="108"/>
      <c r="N1115" s="108"/>
      <c r="O1115" s="76"/>
      <c r="P1115" s="76"/>
    </row>
    <row r="1116" ht="20.25" customHeight="1">
      <c r="A1116" s="57"/>
      <c r="B1116" s="72" t="s">
        <v>110</v>
      </c>
      <c r="C1116" s="72">
        <v>108.0</v>
      </c>
      <c r="D1116" s="11"/>
      <c r="E1116" s="11"/>
      <c r="F1116" s="75" t="s">
        <v>235</v>
      </c>
      <c r="G1116" s="74" t="s">
        <v>17</v>
      </c>
      <c r="H1116" s="74" t="s">
        <v>25</v>
      </c>
      <c r="I1116" s="73">
        <v>1.0</v>
      </c>
      <c r="J1116" s="73">
        <v>220.0</v>
      </c>
      <c r="K1116" s="73">
        <v>220.0</v>
      </c>
      <c r="L1116" s="399">
        <v>400.0</v>
      </c>
      <c r="M1116" s="45"/>
      <c r="N1116" s="105">
        <v>3910.0</v>
      </c>
      <c r="O1116" s="76"/>
      <c r="P1116" s="76"/>
    </row>
    <row r="1117" ht="20.25" customHeight="1">
      <c r="A1117" s="29"/>
      <c r="B1117" s="29"/>
      <c r="C1117" s="29"/>
      <c r="D1117" s="19"/>
      <c r="E1117" s="19"/>
      <c r="F1117" s="29"/>
      <c r="G1117" s="74" t="s">
        <v>17</v>
      </c>
      <c r="H1117" s="74" t="s">
        <v>18</v>
      </c>
      <c r="I1117" s="77">
        <v>6.0</v>
      </c>
      <c r="J1117" s="77">
        <v>150.0</v>
      </c>
      <c r="K1117" s="77">
        <v>900.0</v>
      </c>
      <c r="L1117" s="314"/>
      <c r="M1117" s="48"/>
      <c r="N1117" s="187"/>
      <c r="O1117" s="76"/>
      <c r="P1117" s="76"/>
    </row>
    <row r="1118" ht="20.25" customHeight="1">
      <c r="A1118" s="57"/>
      <c r="B1118" s="57"/>
      <c r="C1118" s="57"/>
      <c r="D1118" s="11"/>
      <c r="E1118" s="11"/>
      <c r="F1118" s="57"/>
      <c r="G1118" s="74" t="s">
        <v>17</v>
      </c>
      <c r="H1118" s="74" t="s">
        <v>18</v>
      </c>
      <c r="I1118" s="73">
        <v>3.0</v>
      </c>
      <c r="J1118" s="73">
        <v>120.0</v>
      </c>
      <c r="K1118" s="73">
        <v>360.0</v>
      </c>
      <c r="L1118" s="294"/>
      <c r="M1118" s="48"/>
      <c r="N1118" s="187"/>
      <c r="O1118" s="76"/>
      <c r="P1118" s="76"/>
    </row>
    <row r="1119" ht="20.25" customHeight="1">
      <c r="A1119" s="29"/>
      <c r="B1119" s="29"/>
      <c r="C1119" s="29"/>
      <c r="D1119" s="19"/>
      <c r="E1119" s="19"/>
      <c r="F1119" s="29"/>
      <c r="G1119" s="74" t="s">
        <v>17</v>
      </c>
      <c r="H1119" s="74" t="s">
        <v>18</v>
      </c>
      <c r="I1119" s="77">
        <v>6.0</v>
      </c>
      <c r="J1119" s="77">
        <v>145.0</v>
      </c>
      <c r="K1119" s="77">
        <v>870.0</v>
      </c>
      <c r="L1119" s="314"/>
      <c r="M1119" s="48"/>
      <c r="N1119" s="187"/>
      <c r="O1119" s="76"/>
      <c r="P1119" s="76"/>
    </row>
    <row r="1120" ht="20.25" customHeight="1">
      <c r="A1120" s="57"/>
      <c r="B1120" s="57"/>
      <c r="C1120" s="57"/>
      <c r="D1120" s="11"/>
      <c r="E1120" s="11"/>
      <c r="F1120" s="57"/>
      <c r="G1120" s="74" t="s">
        <v>17</v>
      </c>
      <c r="H1120" s="74" t="s">
        <v>18</v>
      </c>
      <c r="I1120" s="73">
        <v>5.0</v>
      </c>
      <c r="J1120" s="73">
        <v>170.0</v>
      </c>
      <c r="K1120" s="73">
        <v>850.0</v>
      </c>
      <c r="L1120" s="294"/>
      <c r="M1120" s="48"/>
      <c r="N1120" s="187"/>
      <c r="O1120" s="76"/>
      <c r="P1120" s="76"/>
    </row>
    <row r="1121" ht="20.25" customHeight="1">
      <c r="A1121" s="29"/>
      <c r="B1121" s="29"/>
      <c r="C1121" s="29"/>
      <c r="D1121" s="19"/>
      <c r="E1121" s="19"/>
      <c r="F1121" s="29"/>
      <c r="G1121" s="74" t="s">
        <v>17</v>
      </c>
      <c r="H1121" s="74" t="s">
        <v>18</v>
      </c>
      <c r="I1121" s="77">
        <v>1.0</v>
      </c>
      <c r="J1121" s="77">
        <v>180.0</v>
      </c>
      <c r="K1121" s="77">
        <v>180.0</v>
      </c>
      <c r="L1121" s="314"/>
      <c r="M1121" s="48"/>
      <c r="N1121" s="187"/>
      <c r="O1121" s="76"/>
      <c r="P1121" s="76"/>
    </row>
    <row r="1122" ht="20.25" customHeight="1">
      <c r="A1122" s="57"/>
      <c r="B1122" s="58"/>
      <c r="C1122" s="58"/>
      <c r="D1122" s="11"/>
      <c r="E1122" s="11"/>
      <c r="F1122" s="57"/>
      <c r="G1122" s="74" t="s">
        <v>17</v>
      </c>
      <c r="H1122" s="74" t="s">
        <v>18</v>
      </c>
      <c r="I1122" s="73">
        <v>1.0</v>
      </c>
      <c r="J1122" s="73">
        <v>130.0</v>
      </c>
      <c r="K1122" s="73">
        <v>130.0</v>
      </c>
      <c r="L1122" s="321"/>
      <c r="M1122" s="51"/>
      <c r="N1122" s="108"/>
      <c r="O1122" s="76"/>
      <c r="P1122" s="76"/>
    </row>
    <row r="1123" ht="20.25" customHeight="1">
      <c r="A1123" s="29"/>
      <c r="B1123" s="328" t="s">
        <v>110</v>
      </c>
      <c r="C1123" s="328">
        <v>105.0</v>
      </c>
      <c r="D1123" s="329"/>
      <c r="E1123" s="329"/>
      <c r="F1123" s="29"/>
      <c r="G1123" s="271" t="s">
        <v>17</v>
      </c>
      <c r="H1123" s="271" t="s">
        <v>18</v>
      </c>
      <c r="I1123" s="271">
        <v>1.0</v>
      </c>
      <c r="J1123" s="271">
        <v>220.0</v>
      </c>
      <c r="K1123" s="286">
        <v>220.0</v>
      </c>
      <c r="L1123" s="524">
        <v>400.0</v>
      </c>
      <c r="M1123" s="45"/>
      <c r="N1123" s="338">
        <v>3428.0</v>
      </c>
      <c r="O1123" s="76"/>
      <c r="P1123" s="76"/>
    </row>
    <row r="1124" ht="20.25" customHeight="1">
      <c r="A1124" s="57"/>
      <c r="B1124" s="57"/>
      <c r="C1124" s="57"/>
      <c r="D1124" s="329"/>
      <c r="E1124" s="329"/>
      <c r="F1124" s="57"/>
      <c r="G1124" s="271" t="s">
        <v>17</v>
      </c>
      <c r="H1124" s="271" t="s">
        <v>18</v>
      </c>
      <c r="I1124" s="271">
        <v>4.0</v>
      </c>
      <c r="J1124" s="271">
        <v>150.0</v>
      </c>
      <c r="K1124" s="286">
        <v>600.0</v>
      </c>
      <c r="L1124" s="294"/>
      <c r="M1124" s="48"/>
      <c r="N1124" s="187"/>
      <c r="O1124" s="76"/>
      <c r="P1124" s="76"/>
    </row>
    <row r="1125" ht="20.25" customHeight="1">
      <c r="A1125" s="29"/>
      <c r="B1125" s="29"/>
      <c r="C1125" s="29"/>
      <c r="D1125" s="329"/>
      <c r="E1125" s="329"/>
      <c r="F1125" s="29"/>
      <c r="G1125" s="271" t="s">
        <v>17</v>
      </c>
      <c r="H1125" s="271" t="s">
        <v>18</v>
      </c>
      <c r="I1125" s="271">
        <v>3.0</v>
      </c>
      <c r="J1125" s="271">
        <v>240.0</v>
      </c>
      <c r="K1125" s="286">
        <v>720.0</v>
      </c>
      <c r="L1125" s="314"/>
      <c r="M1125" s="48"/>
      <c r="N1125" s="187"/>
      <c r="O1125" s="76"/>
      <c r="P1125" s="76"/>
    </row>
    <row r="1126" ht="20.25" customHeight="1">
      <c r="A1126" s="57"/>
      <c r="B1126" s="57"/>
      <c r="C1126" s="57"/>
      <c r="D1126" s="329"/>
      <c r="E1126" s="329"/>
      <c r="F1126" s="57"/>
      <c r="G1126" s="271" t="s">
        <v>17</v>
      </c>
      <c r="H1126" s="271" t="s">
        <v>18</v>
      </c>
      <c r="I1126" s="271">
        <v>3.0</v>
      </c>
      <c r="J1126" s="271">
        <v>216.0</v>
      </c>
      <c r="K1126" s="286">
        <v>948.0</v>
      </c>
      <c r="L1126" s="294"/>
      <c r="M1126" s="48"/>
      <c r="N1126" s="187"/>
      <c r="O1126" s="76"/>
      <c r="P1126" s="76"/>
    </row>
    <row r="1127" ht="20.25" customHeight="1">
      <c r="A1127" s="29"/>
      <c r="B1127" s="29"/>
      <c r="C1127" s="29"/>
      <c r="D1127" s="329"/>
      <c r="E1127" s="329"/>
      <c r="F1127" s="29"/>
      <c r="G1127" s="271" t="s">
        <v>17</v>
      </c>
      <c r="H1127" s="271" t="s">
        <v>18</v>
      </c>
      <c r="I1127" s="271">
        <v>1.0</v>
      </c>
      <c r="J1127" s="271">
        <v>192.0</v>
      </c>
      <c r="K1127" s="286">
        <v>192.0</v>
      </c>
      <c r="L1127" s="314"/>
      <c r="M1127" s="48"/>
      <c r="N1127" s="187"/>
      <c r="O1127" s="76"/>
      <c r="P1127" s="76"/>
    </row>
    <row r="1128" ht="20.25" customHeight="1">
      <c r="A1128" s="57"/>
      <c r="B1128" s="57"/>
      <c r="C1128" s="57"/>
      <c r="D1128" s="329"/>
      <c r="E1128" s="329"/>
      <c r="F1128" s="57"/>
      <c r="G1128" s="271" t="s">
        <v>17</v>
      </c>
      <c r="H1128" s="271" t="s">
        <v>18</v>
      </c>
      <c r="I1128" s="271">
        <v>1.0</v>
      </c>
      <c r="J1128" s="271">
        <v>312.0</v>
      </c>
      <c r="K1128" s="286">
        <v>180.0</v>
      </c>
      <c r="L1128" s="294"/>
      <c r="M1128" s="48"/>
      <c r="N1128" s="187"/>
      <c r="O1128" s="76"/>
      <c r="P1128" s="76"/>
    </row>
    <row r="1129" ht="20.25" customHeight="1">
      <c r="A1129" s="20"/>
      <c r="B1129" s="20"/>
      <c r="C1129" s="20"/>
      <c r="D1129" s="329"/>
      <c r="E1129" s="329"/>
      <c r="F1129" s="20"/>
      <c r="G1129" s="271" t="s">
        <v>17</v>
      </c>
      <c r="H1129" s="271" t="s">
        <v>18</v>
      </c>
      <c r="I1129" s="271">
        <v>1.0</v>
      </c>
      <c r="J1129" s="271">
        <v>168.0</v>
      </c>
      <c r="K1129" s="286">
        <v>168.0</v>
      </c>
      <c r="L1129" s="311"/>
      <c r="M1129" s="51"/>
      <c r="N1129" s="108"/>
      <c r="O1129" s="76"/>
      <c r="P1129" s="76"/>
    </row>
    <row r="1130" ht="20.25" customHeight="1">
      <c r="A1130" s="69">
        <v>46248.0</v>
      </c>
      <c r="B1130" s="11" t="s">
        <v>21</v>
      </c>
      <c r="C1130" s="11">
        <v>133.0</v>
      </c>
      <c r="D1130" s="11"/>
      <c r="E1130" s="11"/>
      <c r="F1130" s="75" t="s">
        <v>272</v>
      </c>
      <c r="G1130" s="74" t="s">
        <v>17</v>
      </c>
      <c r="H1130" s="74" t="s">
        <v>25</v>
      </c>
      <c r="I1130" s="73">
        <v>1.0</v>
      </c>
      <c r="J1130" s="73">
        <v>120.0</v>
      </c>
      <c r="K1130" s="73">
        <v>120.0</v>
      </c>
      <c r="L1130" s="75">
        <v>30.0</v>
      </c>
      <c r="M1130" s="105">
        <v>600.0</v>
      </c>
      <c r="N1130" s="105">
        <v>2620.0</v>
      </c>
      <c r="O1130" s="76"/>
      <c r="P1130" s="76"/>
    </row>
    <row r="1131" ht="20.25" customHeight="1">
      <c r="A1131" s="29"/>
      <c r="B1131" s="19" t="s">
        <v>51</v>
      </c>
      <c r="C1131" s="19">
        <v>135.0</v>
      </c>
      <c r="D1131" s="19"/>
      <c r="E1131" s="19"/>
      <c r="F1131" s="20"/>
      <c r="G1131" s="74" t="s">
        <v>17</v>
      </c>
      <c r="H1131" s="74" t="s">
        <v>18</v>
      </c>
      <c r="I1131" s="77">
        <v>19.0</v>
      </c>
      <c r="J1131" s="77">
        <v>100.0</v>
      </c>
      <c r="K1131" s="77">
        <v>1900.0</v>
      </c>
      <c r="L1131" s="20"/>
      <c r="M1131" s="108"/>
      <c r="N1131" s="108"/>
      <c r="O1131" s="76"/>
      <c r="P1131" s="76"/>
    </row>
    <row r="1132" ht="20.25" customHeight="1">
      <c r="A1132" s="57"/>
      <c r="B1132" s="72" t="s">
        <v>21</v>
      </c>
      <c r="C1132" s="11">
        <v>131.0</v>
      </c>
      <c r="D1132" s="11"/>
      <c r="E1132" s="11"/>
      <c r="F1132" s="509" t="s">
        <v>278</v>
      </c>
      <c r="G1132" s="74" t="s">
        <v>17</v>
      </c>
      <c r="H1132" s="74" t="s">
        <v>25</v>
      </c>
      <c r="I1132" s="73">
        <v>1.0</v>
      </c>
      <c r="J1132" s="73">
        <v>120.0</v>
      </c>
      <c r="K1132" s="73">
        <v>120.0</v>
      </c>
      <c r="L1132" s="338">
        <v>25.0</v>
      </c>
      <c r="M1132" s="105">
        <v>375.0</v>
      </c>
      <c r="N1132" s="338">
        <v>1895.0</v>
      </c>
      <c r="O1132" s="76"/>
      <c r="P1132" s="76"/>
    </row>
    <row r="1133" ht="20.25" customHeight="1">
      <c r="A1133" s="29"/>
      <c r="B1133" s="20"/>
      <c r="C1133" s="19">
        <v>134.0</v>
      </c>
      <c r="D1133" s="19"/>
      <c r="E1133" s="19"/>
      <c r="F1133" s="20"/>
      <c r="G1133" s="74" t="s">
        <v>17</v>
      </c>
      <c r="H1133" s="74" t="s">
        <v>18</v>
      </c>
      <c r="I1133" s="77">
        <v>14.0</v>
      </c>
      <c r="J1133" s="77">
        <v>100.0</v>
      </c>
      <c r="K1133" s="77">
        <v>1400.0</v>
      </c>
      <c r="L1133" s="20"/>
      <c r="M1133" s="108"/>
      <c r="N1133" s="108"/>
      <c r="O1133" s="76"/>
      <c r="P1133" s="76"/>
    </row>
    <row r="1134" ht="20.25" customHeight="1">
      <c r="A1134" s="57"/>
      <c r="B1134" s="72" t="s">
        <v>279</v>
      </c>
      <c r="C1134" s="72">
        <v>127.0</v>
      </c>
      <c r="D1134" s="505">
        <v>0.95</v>
      </c>
      <c r="E1134" s="11"/>
      <c r="F1134" s="75" t="s">
        <v>299</v>
      </c>
      <c r="G1134" s="74" t="s">
        <v>179</v>
      </c>
      <c r="H1134" s="74" t="s">
        <v>25</v>
      </c>
      <c r="I1134" s="73">
        <v>1.0</v>
      </c>
      <c r="J1134" s="399" t="s">
        <v>325</v>
      </c>
      <c r="K1134" s="400"/>
      <c r="L1134" s="400"/>
      <c r="M1134" s="44"/>
      <c r="N1134" s="105">
        <v>1900.0</v>
      </c>
      <c r="O1134" s="76"/>
      <c r="P1134" s="76"/>
    </row>
    <row r="1135" ht="20.25" customHeight="1">
      <c r="A1135" s="20"/>
      <c r="B1135" s="20"/>
      <c r="C1135" s="20"/>
      <c r="D1135" s="20"/>
      <c r="E1135" s="19"/>
      <c r="F1135" s="20"/>
      <c r="G1135" s="74" t="s">
        <v>179</v>
      </c>
      <c r="H1135" s="74" t="s">
        <v>18</v>
      </c>
      <c r="I1135" s="77">
        <v>13.0</v>
      </c>
      <c r="J1135" s="311"/>
      <c r="K1135" s="368"/>
      <c r="L1135" s="368"/>
      <c r="M1135" s="50"/>
      <c r="N1135" s="108"/>
      <c r="O1135" s="76"/>
      <c r="P1135" s="76"/>
    </row>
    <row r="1136" ht="20.25" customHeight="1">
      <c r="A1136" s="69">
        <v>46249.0</v>
      </c>
      <c r="B1136" s="72" t="s">
        <v>21</v>
      </c>
      <c r="C1136" s="11">
        <v>135.0</v>
      </c>
      <c r="D1136" s="11"/>
      <c r="E1136" s="11"/>
      <c r="F1136" s="75" t="s">
        <v>272</v>
      </c>
      <c r="G1136" s="74" t="s">
        <v>17</v>
      </c>
      <c r="H1136" s="74" t="s">
        <v>25</v>
      </c>
      <c r="I1136" s="73">
        <v>1.0</v>
      </c>
      <c r="J1136" s="73">
        <v>120.0</v>
      </c>
      <c r="K1136" s="73">
        <v>120.0</v>
      </c>
      <c r="L1136" s="75">
        <v>30.0</v>
      </c>
      <c r="M1136" s="105">
        <v>690.0</v>
      </c>
      <c r="N1136" s="105">
        <v>3010.0</v>
      </c>
      <c r="O1136" s="76"/>
      <c r="P1136" s="76"/>
    </row>
    <row r="1137" ht="20.25" customHeight="1">
      <c r="A1137" s="29"/>
      <c r="B1137" s="20"/>
      <c r="C1137" s="19">
        <v>137.0</v>
      </c>
      <c r="D1137" s="19"/>
      <c r="E1137" s="19"/>
      <c r="F1137" s="29"/>
      <c r="G1137" s="74" t="s">
        <v>17</v>
      </c>
      <c r="H1137" s="105" t="s">
        <v>18</v>
      </c>
      <c r="I1137" s="160">
        <v>22.0</v>
      </c>
      <c r="J1137" s="160">
        <v>100.0</v>
      </c>
      <c r="K1137" s="160">
        <v>2200.0</v>
      </c>
      <c r="L1137" s="29"/>
      <c r="M1137" s="187"/>
      <c r="N1137" s="187"/>
      <c r="O1137" s="76"/>
      <c r="P1137" s="76"/>
    </row>
    <row r="1138" ht="20.25" customHeight="1">
      <c r="A1138" s="57"/>
      <c r="B1138" s="11" t="s">
        <v>51</v>
      </c>
      <c r="C1138" s="11"/>
      <c r="D1138" s="11"/>
      <c r="E1138" s="11"/>
      <c r="F1138" s="58"/>
      <c r="G1138" s="74" t="s">
        <v>17</v>
      </c>
      <c r="H1138" s="108"/>
      <c r="I1138" s="58"/>
      <c r="J1138" s="58"/>
      <c r="K1138" s="58"/>
      <c r="L1138" s="58"/>
      <c r="M1138" s="108"/>
      <c r="N1138" s="108"/>
      <c r="O1138" s="76"/>
      <c r="P1138" s="76"/>
    </row>
    <row r="1139" ht="20.25" customHeight="1">
      <c r="A1139" s="29"/>
      <c r="B1139" s="123" t="s">
        <v>21</v>
      </c>
      <c r="C1139" s="123">
        <v>137.0</v>
      </c>
      <c r="D1139" s="19"/>
      <c r="E1139" s="19"/>
      <c r="F1139" s="403" t="s">
        <v>278</v>
      </c>
      <c r="G1139" s="74" t="s">
        <v>17</v>
      </c>
      <c r="H1139" s="74" t="s">
        <v>25</v>
      </c>
      <c r="I1139" s="77">
        <v>1.0</v>
      </c>
      <c r="J1139" s="77">
        <v>120.0</v>
      </c>
      <c r="K1139" s="77">
        <v>120.0</v>
      </c>
      <c r="L1139" s="338">
        <v>25.0</v>
      </c>
      <c r="M1139" s="105">
        <v>475.0</v>
      </c>
      <c r="N1139" s="338">
        <v>2395.0</v>
      </c>
      <c r="O1139" s="76"/>
      <c r="P1139" s="76"/>
    </row>
    <row r="1140" ht="20.25" customHeight="1">
      <c r="A1140" s="57"/>
      <c r="B1140" s="58"/>
      <c r="C1140" s="58"/>
      <c r="D1140" s="11"/>
      <c r="E1140" s="11"/>
      <c r="F1140" s="58"/>
      <c r="G1140" s="74" t="s">
        <v>17</v>
      </c>
      <c r="H1140" s="74" t="s">
        <v>18</v>
      </c>
      <c r="I1140" s="73">
        <v>18.0</v>
      </c>
      <c r="J1140" s="73">
        <v>100.0</v>
      </c>
      <c r="K1140" s="73">
        <v>1800.0</v>
      </c>
      <c r="L1140" s="58"/>
      <c r="M1140" s="108"/>
      <c r="N1140" s="108"/>
      <c r="O1140" s="76"/>
      <c r="P1140" s="76"/>
    </row>
    <row r="1141" ht="20.25" customHeight="1">
      <c r="A1141" s="29"/>
      <c r="B1141" s="123" t="s">
        <v>110</v>
      </c>
      <c r="C1141" s="123">
        <v>102.0</v>
      </c>
      <c r="D1141" s="19"/>
      <c r="E1141" s="19"/>
      <c r="F1141" s="160" t="s">
        <v>235</v>
      </c>
      <c r="G1141" s="74" t="s">
        <v>17</v>
      </c>
      <c r="H1141" s="74" t="s">
        <v>25</v>
      </c>
      <c r="I1141" s="77">
        <v>1.0</v>
      </c>
      <c r="J1141" s="77">
        <v>220.0</v>
      </c>
      <c r="K1141" s="77">
        <v>220.0</v>
      </c>
      <c r="L1141" s="389">
        <v>400.0</v>
      </c>
      <c r="M1141" s="45"/>
      <c r="N1141" s="105">
        <v>4296.0</v>
      </c>
      <c r="O1141" s="76"/>
      <c r="P1141" s="76"/>
    </row>
    <row r="1142" ht="20.25" customHeight="1">
      <c r="A1142" s="57"/>
      <c r="B1142" s="57"/>
      <c r="C1142" s="57"/>
      <c r="D1142" s="11"/>
      <c r="E1142" s="11"/>
      <c r="F1142" s="57"/>
      <c r="G1142" s="74" t="s">
        <v>17</v>
      </c>
      <c r="H1142" s="74" t="s">
        <v>18</v>
      </c>
      <c r="I1142" s="73">
        <v>6.0</v>
      </c>
      <c r="J1142" s="73">
        <v>150.0</v>
      </c>
      <c r="K1142" s="73">
        <v>900.0</v>
      </c>
      <c r="L1142" s="294"/>
      <c r="M1142" s="48"/>
      <c r="N1142" s="187"/>
      <c r="O1142" s="76"/>
      <c r="P1142" s="76"/>
    </row>
    <row r="1143" ht="20.25" customHeight="1">
      <c r="A1143" s="29"/>
      <c r="B1143" s="29"/>
      <c r="C1143" s="29"/>
      <c r="D1143" s="19"/>
      <c r="E1143" s="19"/>
      <c r="F1143" s="29"/>
      <c r="G1143" s="74" t="s">
        <v>17</v>
      </c>
      <c r="H1143" s="74" t="s">
        <v>18</v>
      </c>
      <c r="I1143" s="77">
        <v>2.0</v>
      </c>
      <c r="J1143" s="77">
        <v>160.0</v>
      </c>
      <c r="K1143" s="77">
        <v>320.0</v>
      </c>
      <c r="L1143" s="314"/>
      <c r="M1143" s="48"/>
      <c r="N1143" s="187"/>
      <c r="O1143" s="76"/>
      <c r="P1143" s="76"/>
    </row>
    <row r="1144" ht="20.25" customHeight="1">
      <c r="A1144" s="57"/>
      <c r="B1144" s="57"/>
      <c r="C1144" s="57"/>
      <c r="D1144" s="11"/>
      <c r="E1144" s="11"/>
      <c r="F1144" s="57"/>
      <c r="G1144" s="74" t="s">
        <v>17</v>
      </c>
      <c r="H1144" s="74" t="s">
        <v>18</v>
      </c>
      <c r="I1144" s="73">
        <v>7.0</v>
      </c>
      <c r="J1144" s="73">
        <v>140.0</v>
      </c>
      <c r="K1144" s="73">
        <v>980.0</v>
      </c>
      <c r="L1144" s="294"/>
      <c r="M1144" s="48"/>
      <c r="N1144" s="187"/>
      <c r="O1144" s="76"/>
      <c r="P1144" s="76"/>
    </row>
    <row r="1145" ht="20.25" customHeight="1">
      <c r="A1145" s="29"/>
      <c r="B1145" s="29"/>
      <c r="C1145" s="29"/>
      <c r="D1145" s="19"/>
      <c r="E1145" s="19"/>
      <c r="F1145" s="29"/>
      <c r="G1145" s="74" t="s">
        <v>17</v>
      </c>
      <c r="H1145" s="74" t="s">
        <v>18</v>
      </c>
      <c r="I1145" s="77">
        <v>2.0</v>
      </c>
      <c r="J1145" s="77">
        <v>180.0</v>
      </c>
      <c r="K1145" s="77">
        <v>360.0</v>
      </c>
      <c r="L1145" s="314"/>
      <c r="M1145" s="48"/>
      <c r="N1145" s="187"/>
      <c r="O1145" s="76"/>
      <c r="P1145" s="76"/>
    </row>
    <row r="1146" ht="20.25" customHeight="1">
      <c r="A1146" s="57"/>
      <c r="B1146" s="57"/>
      <c r="C1146" s="57"/>
      <c r="D1146" s="11"/>
      <c r="E1146" s="11"/>
      <c r="F1146" s="57"/>
      <c r="G1146" s="74" t="s">
        <v>17</v>
      </c>
      <c r="H1146" s="74" t="s">
        <v>18</v>
      </c>
      <c r="I1146" s="73">
        <v>2.0</v>
      </c>
      <c r="J1146" s="73">
        <v>144.0</v>
      </c>
      <c r="K1146" s="73">
        <v>288.0</v>
      </c>
      <c r="L1146" s="294"/>
      <c r="M1146" s="48"/>
      <c r="N1146" s="187"/>
      <c r="O1146" s="76"/>
      <c r="P1146" s="76"/>
    </row>
    <row r="1147" ht="20.25" customHeight="1">
      <c r="A1147" s="29"/>
      <c r="B1147" s="29"/>
      <c r="C1147" s="29"/>
      <c r="D1147" s="19"/>
      <c r="E1147" s="19"/>
      <c r="F1147" s="29"/>
      <c r="G1147" s="74" t="s">
        <v>17</v>
      </c>
      <c r="H1147" s="74" t="s">
        <v>18</v>
      </c>
      <c r="I1147" s="77">
        <v>2.0</v>
      </c>
      <c r="J1147" s="77">
        <v>168.0</v>
      </c>
      <c r="K1147" s="77">
        <v>336.0</v>
      </c>
      <c r="L1147" s="314"/>
      <c r="M1147" s="48"/>
      <c r="N1147" s="187"/>
      <c r="O1147" s="76"/>
      <c r="P1147" s="76"/>
    </row>
    <row r="1148" ht="20.25" customHeight="1">
      <c r="A1148" s="57"/>
      <c r="B1148" s="57"/>
      <c r="C1148" s="57"/>
      <c r="D1148" s="11"/>
      <c r="E1148" s="11"/>
      <c r="F1148" s="57"/>
      <c r="G1148" s="74" t="s">
        <v>17</v>
      </c>
      <c r="H1148" s="74" t="s">
        <v>18</v>
      </c>
      <c r="I1148" s="73">
        <v>1.0</v>
      </c>
      <c r="J1148" s="73">
        <v>240.0</v>
      </c>
      <c r="K1148" s="73">
        <v>240.0</v>
      </c>
      <c r="L1148" s="294"/>
      <c r="M1148" s="48"/>
      <c r="N1148" s="187"/>
      <c r="O1148" s="76"/>
      <c r="P1148" s="76"/>
    </row>
    <row r="1149" ht="20.25" customHeight="1">
      <c r="A1149" s="29"/>
      <c r="B1149" s="20"/>
      <c r="C1149" s="20"/>
      <c r="D1149" s="19"/>
      <c r="E1149" s="19"/>
      <c r="F1149" s="20"/>
      <c r="G1149" s="74" t="s">
        <v>17</v>
      </c>
      <c r="H1149" s="74" t="s">
        <v>18</v>
      </c>
      <c r="I1149" s="77">
        <v>1.0</v>
      </c>
      <c r="J1149" s="77">
        <v>252.0</v>
      </c>
      <c r="K1149" s="77">
        <v>252.0</v>
      </c>
      <c r="L1149" s="311"/>
      <c r="M1149" s="51"/>
      <c r="N1149" s="108"/>
      <c r="O1149" s="76"/>
      <c r="P1149" s="76"/>
    </row>
    <row r="1150" ht="20.25" customHeight="1">
      <c r="A1150" s="57"/>
      <c r="B1150" s="72" t="s">
        <v>110</v>
      </c>
      <c r="C1150" s="72">
        <v>104.0</v>
      </c>
      <c r="D1150" s="11"/>
      <c r="E1150" s="11"/>
      <c r="F1150" s="26" t="s">
        <v>147</v>
      </c>
      <c r="G1150" s="74" t="s">
        <v>17</v>
      </c>
      <c r="H1150" s="74" t="s">
        <v>18</v>
      </c>
      <c r="I1150" s="73">
        <v>7.0</v>
      </c>
      <c r="J1150" s="73">
        <v>150.0</v>
      </c>
      <c r="K1150" s="73">
        <v>1050.0</v>
      </c>
      <c r="L1150" s="399">
        <v>400.0</v>
      </c>
      <c r="M1150" s="45"/>
      <c r="N1150" s="105">
        <v>3706.0</v>
      </c>
      <c r="O1150" s="76"/>
      <c r="P1150" s="76"/>
    </row>
    <row r="1151" ht="20.25" customHeight="1">
      <c r="A1151" s="29"/>
      <c r="B1151" s="29"/>
      <c r="C1151" s="29"/>
      <c r="D1151" s="19"/>
      <c r="E1151" s="19"/>
      <c r="F1151" s="29"/>
      <c r="G1151" s="74" t="s">
        <v>17</v>
      </c>
      <c r="H1151" s="74" t="s">
        <v>18</v>
      </c>
      <c r="I1151" s="77">
        <v>5.0</v>
      </c>
      <c r="J1151" s="77">
        <v>192.0</v>
      </c>
      <c r="K1151" s="77">
        <v>960.0</v>
      </c>
      <c r="L1151" s="314"/>
      <c r="M1151" s="48"/>
      <c r="N1151" s="187"/>
      <c r="O1151" s="76"/>
      <c r="P1151" s="76"/>
    </row>
    <row r="1152" ht="20.25" customHeight="1">
      <c r="A1152" s="57"/>
      <c r="B1152" s="57"/>
      <c r="C1152" s="57"/>
      <c r="D1152" s="11"/>
      <c r="E1152" s="11"/>
      <c r="F1152" s="57"/>
      <c r="G1152" s="74" t="s">
        <v>17</v>
      </c>
      <c r="H1152" s="74" t="s">
        <v>18</v>
      </c>
      <c r="I1152" s="73">
        <v>4.0</v>
      </c>
      <c r="J1152" s="73">
        <v>168.0</v>
      </c>
      <c r="K1152" s="73">
        <v>672.0</v>
      </c>
      <c r="L1152" s="294"/>
      <c r="M1152" s="48"/>
      <c r="N1152" s="187"/>
      <c r="O1152" s="76"/>
      <c r="P1152" s="76"/>
    </row>
    <row r="1153" ht="20.25" customHeight="1">
      <c r="A1153" s="29"/>
      <c r="B1153" s="29"/>
      <c r="C1153" s="29"/>
      <c r="D1153" s="19"/>
      <c r="E1153" s="19"/>
      <c r="F1153" s="29"/>
      <c r="G1153" s="74" t="s">
        <v>17</v>
      </c>
      <c r="H1153" s="74" t="s">
        <v>18</v>
      </c>
      <c r="I1153" s="77">
        <v>4.0</v>
      </c>
      <c r="J1153" s="77">
        <v>120.0</v>
      </c>
      <c r="K1153" s="77">
        <v>480.0</v>
      </c>
      <c r="L1153" s="314"/>
      <c r="M1153" s="48"/>
      <c r="N1153" s="187"/>
      <c r="O1153" s="76"/>
      <c r="P1153" s="76"/>
    </row>
    <row r="1154" ht="20.25" customHeight="1">
      <c r="A1154" s="58"/>
      <c r="B1154" s="58"/>
      <c r="C1154" s="58"/>
      <c r="D1154" s="11"/>
      <c r="E1154" s="11"/>
      <c r="F1154" s="58"/>
      <c r="G1154" s="74" t="s">
        <v>17</v>
      </c>
      <c r="H1154" s="74" t="s">
        <v>18</v>
      </c>
      <c r="I1154" s="73">
        <v>1.0</v>
      </c>
      <c r="J1154" s="73">
        <v>144.0</v>
      </c>
      <c r="K1154" s="73">
        <v>144.0</v>
      </c>
      <c r="L1154" s="321"/>
      <c r="M1154" s="51"/>
      <c r="N1154" s="108"/>
      <c r="O1154" s="76"/>
      <c r="P1154" s="76"/>
    </row>
    <row r="1155" ht="20.25" customHeight="1">
      <c r="A1155" s="121">
        <v>46251.0</v>
      </c>
      <c r="B1155" s="19" t="s">
        <v>21</v>
      </c>
      <c r="C1155" s="19">
        <v>129.0</v>
      </c>
      <c r="D1155" s="19"/>
      <c r="E1155" s="19"/>
      <c r="F1155" s="160" t="s">
        <v>272</v>
      </c>
      <c r="G1155" s="74" t="s">
        <v>17</v>
      </c>
      <c r="H1155" s="74" t="s">
        <v>25</v>
      </c>
      <c r="I1155" s="77">
        <v>1.0</v>
      </c>
      <c r="J1155" s="77">
        <v>120.0</v>
      </c>
      <c r="K1155" s="77">
        <v>120.0</v>
      </c>
      <c r="L1155" s="160">
        <v>30.0</v>
      </c>
      <c r="M1155" s="105">
        <v>600.0</v>
      </c>
      <c r="N1155" s="105">
        <v>2620.0</v>
      </c>
      <c r="O1155" s="76"/>
      <c r="P1155" s="76"/>
    </row>
    <row r="1156" ht="20.25" customHeight="1">
      <c r="A1156" s="57"/>
      <c r="B1156" s="11" t="s">
        <v>51</v>
      </c>
      <c r="C1156" s="11"/>
      <c r="D1156" s="11"/>
      <c r="E1156" s="11"/>
      <c r="F1156" s="58"/>
      <c r="G1156" s="74" t="s">
        <v>17</v>
      </c>
      <c r="H1156" s="74" t="s">
        <v>18</v>
      </c>
      <c r="I1156" s="73">
        <v>19.0</v>
      </c>
      <c r="J1156" s="73">
        <v>100.0</v>
      </c>
      <c r="K1156" s="73">
        <v>1900.0</v>
      </c>
      <c r="L1156" s="58"/>
      <c r="M1156" s="108"/>
      <c r="N1156" s="108"/>
      <c r="O1156" s="76"/>
      <c r="P1156" s="76"/>
    </row>
    <row r="1157" ht="20.25" customHeight="1">
      <c r="A1157" s="29"/>
      <c r="B1157" s="19" t="s">
        <v>21</v>
      </c>
      <c r="C1157" s="19">
        <v>129.0</v>
      </c>
      <c r="D1157" s="19"/>
      <c r="E1157" s="19"/>
      <c r="F1157" s="403" t="s">
        <v>278</v>
      </c>
      <c r="G1157" s="74" t="s">
        <v>17</v>
      </c>
      <c r="H1157" s="105" t="s">
        <v>18</v>
      </c>
      <c r="I1157" s="160">
        <v>12.0</v>
      </c>
      <c r="J1157" s="160">
        <v>100.0</v>
      </c>
      <c r="K1157" s="160">
        <v>1200.0</v>
      </c>
      <c r="L1157" s="160">
        <v>25.0</v>
      </c>
      <c r="M1157" s="105">
        <v>300.0</v>
      </c>
      <c r="N1157" s="105">
        <v>1500.0</v>
      </c>
      <c r="O1157" s="76"/>
      <c r="P1157" s="76"/>
    </row>
    <row r="1158" ht="20.25" customHeight="1">
      <c r="A1158" s="57"/>
      <c r="B1158" s="11" t="s">
        <v>51</v>
      </c>
      <c r="C1158" s="11"/>
      <c r="D1158" s="11"/>
      <c r="E1158" s="11"/>
      <c r="F1158" s="58"/>
      <c r="G1158" s="74" t="s">
        <v>17</v>
      </c>
      <c r="H1158" s="108"/>
      <c r="I1158" s="58"/>
      <c r="J1158" s="58"/>
      <c r="K1158" s="58"/>
      <c r="L1158" s="58"/>
      <c r="M1158" s="108"/>
      <c r="N1158" s="108"/>
      <c r="O1158" s="76"/>
      <c r="P1158" s="76"/>
    </row>
    <row r="1159" ht="20.25" customHeight="1">
      <c r="A1159" s="29"/>
      <c r="B1159" s="123" t="s">
        <v>279</v>
      </c>
      <c r="C1159" s="123">
        <v>103.0</v>
      </c>
      <c r="D1159" s="505">
        <v>1.24</v>
      </c>
      <c r="E1159" s="19"/>
      <c r="F1159" s="160" t="s">
        <v>299</v>
      </c>
      <c r="G1159" s="74" t="s">
        <v>179</v>
      </c>
      <c r="H1159" s="74" t="s">
        <v>25</v>
      </c>
      <c r="I1159" s="77">
        <v>1.0</v>
      </c>
      <c r="J1159" s="389" t="s">
        <v>336</v>
      </c>
      <c r="K1159" s="390"/>
      <c r="L1159" s="390"/>
      <c r="M1159" s="45"/>
      <c r="N1159" s="105">
        <v>2480.0</v>
      </c>
      <c r="O1159" s="76"/>
      <c r="P1159" s="76"/>
    </row>
    <row r="1160" ht="20.25" customHeight="1">
      <c r="A1160" s="58"/>
      <c r="B1160" s="58"/>
      <c r="C1160" s="58"/>
      <c r="D1160" s="58"/>
      <c r="E1160" s="11"/>
      <c r="F1160" s="58"/>
      <c r="G1160" s="74" t="s">
        <v>179</v>
      </c>
      <c r="H1160" s="105" t="s">
        <v>18</v>
      </c>
      <c r="I1160" s="73">
        <v>13.0</v>
      </c>
      <c r="J1160" s="321"/>
      <c r="K1160" s="363"/>
      <c r="L1160" s="363"/>
      <c r="M1160" s="51"/>
      <c r="N1160" s="108"/>
      <c r="O1160" s="76"/>
      <c r="P1160" s="76"/>
    </row>
    <row r="1161" ht="20.25" customHeight="1">
      <c r="A1161" s="611">
        <v>46252.0</v>
      </c>
      <c r="B1161" s="19" t="s">
        <v>21</v>
      </c>
      <c r="C1161" s="123">
        <v>130.0</v>
      </c>
      <c r="D1161" s="19"/>
      <c r="E1161" s="19"/>
      <c r="F1161" s="160" t="s">
        <v>272</v>
      </c>
      <c r="G1161" s="74" t="s">
        <v>17</v>
      </c>
      <c r="H1161" s="105" t="s">
        <v>18</v>
      </c>
      <c r="I1161" s="160">
        <v>17.0</v>
      </c>
      <c r="J1161" s="160">
        <v>100.0</v>
      </c>
      <c r="K1161" s="160">
        <v>1700.0</v>
      </c>
      <c r="L1161" s="160">
        <v>30.0</v>
      </c>
      <c r="M1161" s="105">
        <v>510.0</v>
      </c>
      <c r="N1161" s="105">
        <v>2210.0</v>
      </c>
      <c r="O1161" s="76"/>
      <c r="P1161" s="76"/>
    </row>
    <row r="1162" ht="20.25" customHeight="1">
      <c r="A1162" s="57"/>
      <c r="B1162" s="11" t="s">
        <v>51</v>
      </c>
      <c r="C1162" s="364"/>
      <c r="D1162" s="11"/>
      <c r="E1162" s="11"/>
      <c r="F1162" s="57"/>
      <c r="G1162" s="74" t="s">
        <v>17</v>
      </c>
      <c r="H1162" s="187"/>
      <c r="I1162" s="57"/>
      <c r="J1162" s="57"/>
      <c r="K1162" s="57"/>
      <c r="L1162" s="57"/>
      <c r="M1162" s="187"/>
      <c r="N1162" s="187"/>
      <c r="O1162" s="76"/>
      <c r="P1162" s="76"/>
    </row>
    <row r="1163" ht="20.25" customHeight="1">
      <c r="A1163" s="29"/>
      <c r="B1163" s="19" t="s">
        <v>102</v>
      </c>
      <c r="C1163" s="19">
        <v>129.0</v>
      </c>
      <c r="D1163" s="19"/>
      <c r="E1163" s="19"/>
      <c r="F1163" s="20"/>
      <c r="G1163" s="74" t="s">
        <v>17</v>
      </c>
      <c r="H1163" s="108"/>
      <c r="I1163" s="20"/>
      <c r="J1163" s="20"/>
      <c r="K1163" s="20"/>
      <c r="L1163" s="20"/>
      <c r="M1163" s="108"/>
      <c r="N1163" s="108"/>
      <c r="O1163" s="76"/>
      <c r="P1163" s="76"/>
    </row>
    <row r="1164" ht="20.25" customHeight="1">
      <c r="A1164" s="57"/>
      <c r="B1164" s="72" t="s">
        <v>21</v>
      </c>
      <c r="C1164" s="72">
        <v>131.0</v>
      </c>
      <c r="D1164" s="11"/>
      <c r="E1164" s="11"/>
      <c r="F1164" s="509" t="s">
        <v>278</v>
      </c>
      <c r="G1164" s="74" t="s">
        <v>17</v>
      </c>
      <c r="H1164" s="74" t="s">
        <v>25</v>
      </c>
      <c r="I1164" s="73">
        <v>1.0</v>
      </c>
      <c r="J1164" s="73">
        <v>120.0</v>
      </c>
      <c r="K1164" s="73">
        <v>120.0</v>
      </c>
      <c r="L1164" s="75">
        <v>25.0</v>
      </c>
      <c r="M1164" s="105">
        <v>425.0</v>
      </c>
      <c r="N1164" s="105">
        <v>2145.0</v>
      </c>
      <c r="O1164" s="76"/>
      <c r="P1164" s="76"/>
    </row>
    <row r="1165" ht="20.25" customHeight="1">
      <c r="A1165" s="29"/>
      <c r="B1165" s="20"/>
      <c r="C1165" s="20"/>
      <c r="D1165" s="19"/>
      <c r="E1165" s="19"/>
      <c r="F1165" s="20"/>
      <c r="G1165" s="74" t="s">
        <v>17</v>
      </c>
      <c r="H1165" s="74" t="s">
        <v>18</v>
      </c>
      <c r="I1165" s="77">
        <v>16.0</v>
      </c>
      <c r="J1165" s="77">
        <v>100.0</v>
      </c>
      <c r="K1165" s="77">
        <v>1600.0</v>
      </c>
      <c r="L1165" s="20"/>
      <c r="M1165" s="108"/>
      <c r="N1165" s="108"/>
      <c r="O1165" s="76"/>
      <c r="P1165" s="76"/>
    </row>
    <row r="1166" ht="20.25" customHeight="1">
      <c r="A1166" s="57"/>
      <c r="B1166" s="72" t="s">
        <v>110</v>
      </c>
      <c r="C1166" s="72">
        <v>101.0</v>
      </c>
      <c r="D1166" s="11"/>
      <c r="E1166" s="11"/>
      <c r="F1166" s="75" t="s">
        <v>235</v>
      </c>
      <c r="G1166" s="74" t="s">
        <v>17</v>
      </c>
      <c r="H1166" s="74" t="s">
        <v>25</v>
      </c>
      <c r="I1166" s="73">
        <v>1.0</v>
      </c>
      <c r="J1166" s="73">
        <v>220.0</v>
      </c>
      <c r="K1166" s="73">
        <v>220.0</v>
      </c>
      <c r="L1166" s="399">
        <v>400.0</v>
      </c>
      <c r="M1166" s="45"/>
      <c r="N1166" s="105">
        <v>4288.0</v>
      </c>
      <c r="O1166" s="76"/>
      <c r="P1166" s="76"/>
    </row>
    <row r="1167" ht="20.25" customHeight="1">
      <c r="A1167" s="29"/>
      <c r="B1167" s="29"/>
      <c r="C1167" s="29"/>
      <c r="D1167" s="19"/>
      <c r="E1167" s="19"/>
      <c r="F1167" s="29"/>
      <c r="G1167" s="74" t="s">
        <v>17</v>
      </c>
      <c r="H1167" s="74" t="s">
        <v>18</v>
      </c>
      <c r="I1167" s="77">
        <v>6.0</v>
      </c>
      <c r="J1167" s="77">
        <v>150.0</v>
      </c>
      <c r="K1167" s="77">
        <v>900.0</v>
      </c>
      <c r="L1167" s="314"/>
      <c r="M1167" s="48"/>
      <c r="N1167" s="187"/>
      <c r="O1167" s="76"/>
      <c r="P1167" s="76"/>
    </row>
    <row r="1168" ht="20.25" customHeight="1">
      <c r="A1168" s="57"/>
      <c r="B1168" s="57"/>
      <c r="C1168" s="57"/>
      <c r="D1168" s="11"/>
      <c r="E1168" s="11"/>
      <c r="F1168" s="57"/>
      <c r="G1168" s="74" t="s">
        <v>17</v>
      </c>
      <c r="H1168" s="74" t="s">
        <v>18</v>
      </c>
      <c r="I1168" s="73">
        <v>4.0</v>
      </c>
      <c r="J1168" s="73">
        <v>180.0</v>
      </c>
      <c r="K1168" s="73">
        <v>720.0</v>
      </c>
      <c r="L1168" s="294"/>
      <c r="M1168" s="48"/>
      <c r="N1168" s="187"/>
      <c r="O1168" s="76"/>
      <c r="P1168" s="76"/>
    </row>
    <row r="1169" ht="20.25" customHeight="1">
      <c r="A1169" s="29"/>
      <c r="B1169" s="29"/>
      <c r="C1169" s="29"/>
      <c r="D1169" s="19"/>
      <c r="E1169" s="19"/>
      <c r="F1169" s="29"/>
      <c r="G1169" s="74" t="s">
        <v>17</v>
      </c>
      <c r="H1169" s="74" t="s">
        <v>18</v>
      </c>
      <c r="I1169" s="77">
        <v>5.0</v>
      </c>
      <c r="J1169" s="77">
        <v>140.0</v>
      </c>
      <c r="K1169" s="77">
        <v>700.0</v>
      </c>
      <c r="L1169" s="314"/>
      <c r="M1169" s="48"/>
      <c r="N1169" s="187"/>
      <c r="O1169" s="76"/>
      <c r="P1169" s="76"/>
    </row>
    <row r="1170" ht="20.25" customHeight="1">
      <c r="A1170" s="57"/>
      <c r="B1170" s="57"/>
      <c r="C1170" s="57"/>
      <c r="D1170" s="11"/>
      <c r="E1170" s="11"/>
      <c r="F1170" s="57"/>
      <c r="G1170" s="74" t="s">
        <v>17</v>
      </c>
      <c r="H1170" s="74" t="s">
        <v>18</v>
      </c>
      <c r="I1170" s="73">
        <v>5.0</v>
      </c>
      <c r="J1170" s="73">
        <v>144.0</v>
      </c>
      <c r="K1170" s="73">
        <v>720.0</v>
      </c>
      <c r="L1170" s="294"/>
      <c r="M1170" s="48"/>
      <c r="N1170" s="187"/>
      <c r="O1170" s="76"/>
      <c r="P1170" s="76"/>
    </row>
    <row r="1171" ht="20.25" customHeight="1">
      <c r="A1171" s="29"/>
      <c r="B1171" s="29"/>
      <c r="C1171" s="29"/>
      <c r="D1171" s="19"/>
      <c r="E1171" s="19"/>
      <c r="F1171" s="29"/>
      <c r="G1171" s="74" t="s">
        <v>17</v>
      </c>
      <c r="H1171" s="74" t="s">
        <v>18</v>
      </c>
      <c r="I1171" s="77">
        <v>2.0</v>
      </c>
      <c r="J1171" s="77">
        <v>120.0</v>
      </c>
      <c r="K1171" s="77">
        <v>240.0</v>
      </c>
      <c r="L1171" s="314"/>
      <c r="M1171" s="48"/>
      <c r="N1171" s="187"/>
      <c r="O1171" s="76"/>
      <c r="P1171" s="76"/>
    </row>
    <row r="1172" ht="20.25" customHeight="1">
      <c r="A1172" s="57"/>
      <c r="B1172" s="57"/>
      <c r="C1172" s="57"/>
      <c r="D1172" s="11"/>
      <c r="E1172" s="11"/>
      <c r="F1172" s="57"/>
      <c r="G1172" s="74" t="s">
        <v>17</v>
      </c>
      <c r="H1172" s="74" t="s">
        <v>18</v>
      </c>
      <c r="I1172" s="73">
        <v>1.0</v>
      </c>
      <c r="J1172" s="73">
        <v>220.0</v>
      </c>
      <c r="K1172" s="73">
        <v>220.0</v>
      </c>
      <c r="L1172" s="294"/>
      <c r="M1172" s="48"/>
      <c r="N1172" s="187"/>
      <c r="O1172" s="76"/>
      <c r="P1172" s="76"/>
    </row>
    <row r="1173" ht="20.25" customHeight="1">
      <c r="A1173" s="29"/>
      <c r="B1173" s="20"/>
      <c r="C1173" s="20"/>
      <c r="D1173" s="19"/>
      <c r="E1173" s="19"/>
      <c r="F1173" s="20"/>
      <c r="G1173" s="74" t="s">
        <v>17</v>
      </c>
      <c r="H1173" s="74" t="s">
        <v>18</v>
      </c>
      <c r="I1173" s="77">
        <v>1.0</v>
      </c>
      <c r="J1173" s="77">
        <v>168.0</v>
      </c>
      <c r="K1173" s="77">
        <v>168.0</v>
      </c>
      <c r="L1173" s="311"/>
      <c r="M1173" s="51"/>
      <c r="N1173" s="108"/>
      <c r="O1173" s="76"/>
      <c r="P1173" s="76"/>
    </row>
    <row r="1174" ht="20.25" customHeight="1">
      <c r="A1174" s="57"/>
      <c r="B1174" s="72" t="s">
        <v>279</v>
      </c>
      <c r="C1174" s="72">
        <v>106.0</v>
      </c>
      <c r="D1174" s="505">
        <v>0.73</v>
      </c>
      <c r="E1174" s="11"/>
      <c r="F1174" s="75" t="s">
        <v>299</v>
      </c>
      <c r="G1174" s="74" t="s">
        <v>179</v>
      </c>
      <c r="H1174" s="74" t="s">
        <v>25</v>
      </c>
      <c r="I1174" s="73">
        <v>1.0</v>
      </c>
      <c r="J1174" s="399" t="s">
        <v>341</v>
      </c>
      <c r="K1174" s="400"/>
      <c r="L1174" s="400"/>
      <c r="M1174" s="45"/>
      <c r="N1174" s="105">
        <v>1460.0</v>
      </c>
      <c r="O1174" s="76"/>
      <c r="P1174" s="76"/>
    </row>
    <row r="1175" ht="20.25" customHeight="1">
      <c r="A1175" s="20"/>
      <c r="B1175" s="20"/>
      <c r="C1175" s="20"/>
      <c r="D1175" s="20"/>
      <c r="E1175" s="19"/>
      <c r="F1175" s="20"/>
      <c r="G1175" s="74" t="s">
        <v>179</v>
      </c>
      <c r="H1175" s="74" t="s">
        <v>18</v>
      </c>
      <c r="I1175" s="77">
        <v>12.0</v>
      </c>
      <c r="J1175" s="311"/>
      <c r="K1175" s="368"/>
      <c r="L1175" s="368"/>
      <c r="M1175" s="51"/>
      <c r="N1175" s="108"/>
      <c r="O1175" s="76"/>
      <c r="P1175" s="76"/>
    </row>
    <row r="1176" ht="20.25" customHeight="1">
      <c r="A1176" s="614">
        <v>46253.0</v>
      </c>
      <c r="B1176" s="11" t="s">
        <v>21</v>
      </c>
      <c r="C1176" s="11">
        <v>132.0</v>
      </c>
      <c r="D1176" s="11"/>
      <c r="E1176" s="11"/>
      <c r="F1176" s="75" t="s">
        <v>272</v>
      </c>
      <c r="G1176" s="74" t="s">
        <v>17</v>
      </c>
      <c r="H1176" s="74" t="s">
        <v>25</v>
      </c>
      <c r="I1176" s="73">
        <v>1.0</v>
      </c>
      <c r="J1176" s="73">
        <v>120.0</v>
      </c>
      <c r="K1176" s="73">
        <v>120.0</v>
      </c>
      <c r="L1176" s="75">
        <v>30.0</v>
      </c>
      <c r="M1176" s="105">
        <v>540.0</v>
      </c>
      <c r="N1176" s="105">
        <v>2360.0</v>
      </c>
      <c r="O1176" s="76"/>
      <c r="P1176" s="76"/>
    </row>
    <row r="1177" ht="20.25" customHeight="1">
      <c r="A1177" s="29"/>
      <c r="B1177" s="19" t="s">
        <v>51</v>
      </c>
      <c r="C1177" s="19"/>
      <c r="D1177" s="19"/>
      <c r="E1177" s="19"/>
      <c r="F1177" s="20"/>
      <c r="G1177" s="74" t="s">
        <v>17</v>
      </c>
      <c r="H1177" s="74" t="s">
        <v>18</v>
      </c>
      <c r="I1177" s="77">
        <v>17.0</v>
      </c>
      <c r="J1177" s="77">
        <v>100.0</v>
      </c>
      <c r="K1177" s="77">
        <v>1700.0</v>
      </c>
      <c r="L1177" s="20"/>
      <c r="M1177" s="108"/>
      <c r="N1177" s="108"/>
      <c r="O1177" s="76"/>
      <c r="P1177" s="76"/>
    </row>
    <row r="1178" ht="20.25" customHeight="1">
      <c r="A1178" s="57"/>
      <c r="B1178" s="11" t="s">
        <v>21</v>
      </c>
      <c r="C1178" s="11">
        <v>131.0</v>
      </c>
      <c r="D1178" s="11"/>
      <c r="E1178" s="11"/>
      <c r="F1178" s="509" t="s">
        <v>278</v>
      </c>
      <c r="G1178" s="74" t="s">
        <v>17</v>
      </c>
      <c r="H1178" s="74" t="s">
        <v>25</v>
      </c>
      <c r="I1178" s="73">
        <v>1.0</v>
      </c>
      <c r="J1178" s="73">
        <v>120.0</v>
      </c>
      <c r="K1178" s="73">
        <v>120.0</v>
      </c>
      <c r="L1178" s="75">
        <v>25.0</v>
      </c>
      <c r="M1178" s="105">
        <v>575.0</v>
      </c>
      <c r="N1178" s="105">
        <v>2895.0</v>
      </c>
      <c r="O1178" s="76"/>
      <c r="P1178" s="76"/>
    </row>
    <row r="1179" ht="20.25" customHeight="1">
      <c r="A1179" s="29"/>
      <c r="B1179" s="19"/>
      <c r="C1179" s="19">
        <v>132.0</v>
      </c>
      <c r="D1179" s="19"/>
      <c r="E1179" s="19"/>
      <c r="F1179" s="20"/>
      <c r="G1179" s="74" t="s">
        <v>17</v>
      </c>
      <c r="H1179" s="74" t="s">
        <v>18</v>
      </c>
      <c r="I1179" s="77">
        <v>22.0</v>
      </c>
      <c r="J1179" s="77">
        <v>100.0</v>
      </c>
      <c r="K1179" s="77">
        <v>2200.0</v>
      </c>
      <c r="L1179" s="20"/>
      <c r="M1179" s="108"/>
      <c r="N1179" s="108"/>
      <c r="O1179" s="76"/>
      <c r="P1179" s="76"/>
    </row>
    <row r="1180" ht="20.25" customHeight="1">
      <c r="A1180" s="57"/>
      <c r="B1180" s="72" t="s">
        <v>279</v>
      </c>
      <c r="C1180" s="72">
        <v>109.0</v>
      </c>
      <c r="D1180" s="615">
        <v>0.9</v>
      </c>
      <c r="E1180" s="11"/>
      <c r="F1180" s="75" t="s">
        <v>299</v>
      </c>
      <c r="G1180" s="74" t="s">
        <v>179</v>
      </c>
      <c r="H1180" s="74" t="s">
        <v>25</v>
      </c>
      <c r="I1180" s="73">
        <v>1.0</v>
      </c>
      <c r="J1180" s="399" t="s">
        <v>344</v>
      </c>
      <c r="K1180" s="400"/>
      <c r="L1180" s="400"/>
      <c r="M1180" s="45"/>
      <c r="N1180" s="105">
        <v>1800.0</v>
      </c>
      <c r="O1180" s="76"/>
      <c r="P1180" s="76"/>
    </row>
    <row r="1181" ht="20.25" customHeight="1">
      <c r="A1181" s="20"/>
      <c r="B1181" s="20"/>
      <c r="C1181" s="20"/>
      <c r="D1181" s="20"/>
      <c r="E1181" s="19"/>
      <c r="F1181" s="20"/>
      <c r="G1181" s="74" t="s">
        <v>179</v>
      </c>
      <c r="H1181" s="74" t="s">
        <v>18</v>
      </c>
      <c r="I1181" s="77">
        <v>12.0</v>
      </c>
      <c r="J1181" s="311"/>
      <c r="K1181" s="368"/>
      <c r="L1181" s="368"/>
      <c r="M1181" s="51"/>
      <c r="N1181" s="108"/>
      <c r="O1181" s="76"/>
      <c r="P1181" s="76"/>
    </row>
    <row r="1182" ht="20.25" customHeight="1">
      <c r="A1182" s="614">
        <v>46254.0</v>
      </c>
      <c r="B1182" s="11" t="s">
        <v>21</v>
      </c>
      <c r="C1182" s="11">
        <v>134.0</v>
      </c>
      <c r="D1182" s="11"/>
      <c r="E1182" s="11"/>
      <c r="F1182" s="75" t="s">
        <v>272</v>
      </c>
      <c r="G1182" s="74" t="s">
        <v>17</v>
      </c>
      <c r="H1182" s="74" t="s">
        <v>25</v>
      </c>
      <c r="I1182" s="73">
        <v>1.0</v>
      </c>
      <c r="J1182" s="73">
        <v>120.0</v>
      </c>
      <c r="K1182" s="73">
        <v>120.0</v>
      </c>
      <c r="L1182" s="75">
        <v>30.0</v>
      </c>
      <c r="M1182" s="105">
        <v>600.0</v>
      </c>
      <c r="N1182" s="105">
        <v>2620.0</v>
      </c>
      <c r="O1182" s="76"/>
      <c r="P1182" s="76"/>
    </row>
    <row r="1183" ht="20.25" customHeight="1">
      <c r="A1183" s="29"/>
      <c r="B1183" s="19" t="s">
        <v>22</v>
      </c>
      <c r="C1183" s="19">
        <v>104.0</v>
      </c>
      <c r="D1183" s="19"/>
      <c r="E1183" s="19"/>
      <c r="F1183" s="29"/>
      <c r="G1183" s="105" t="s">
        <v>17</v>
      </c>
      <c r="H1183" s="105" t="s">
        <v>18</v>
      </c>
      <c r="I1183" s="160">
        <v>19.0</v>
      </c>
      <c r="J1183" s="160">
        <v>100.0</v>
      </c>
      <c r="K1183" s="160">
        <v>1900.0</v>
      </c>
      <c r="L1183" s="29"/>
      <c r="M1183" s="187"/>
      <c r="N1183" s="187"/>
      <c r="O1183" s="76"/>
      <c r="P1183" s="76"/>
    </row>
    <row r="1184" ht="20.25" customHeight="1">
      <c r="A1184" s="57"/>
      <c r="B1184" s="11" t="s">
        <v>51</v>
      </c>
      <c r="C1184" s="11"/>
      <c r="D1184" s="11"/>
      <c r="E1184" s="11"/>
      <c r="F1184" s="58"/>
      <c r="G1184" s="108"/>
      <c r="H1184" s="108"/>
      <c r="I1184" s="58"/>
      <c r="J1184" s="58"/>
      <c r="K1184" s="58"/>
      <c r="L1184" s="58"/>
      <c r="M1184" s="108"/>
      <c r="N1184" s="108"/>
      <c r="O1184" s="76"/>
      <c r="P1184" s="76"/>
    </row>
    <row r="1185" ht="20.25" customHeight="1">
      <c r="A1185" s="29"/>
      <c r="B1185" s="123" t="s">
        <v>21</v>
      </c>
      <c r="C1185" s="123">
        <v>133.0</v>
      </c>
      <c r="D1185" s="19"/>
      <c r="E1185" s="19"/>
      <c r="F1185" s="403" t="s">
        <v>278</v>
      </c>
      <c r="G1185" s="74" t="s">
        <v>17</v>
      </c>
      <c r="H1185" s="74" t="s">
        <v>25</v>
      </c>
      <c r="I1185" s="77">
        <v>1.0</v>
      </c>
      <c r="J1185" s="77">
        <v>120.0</v>
      </c>
      <c r="K1185" s="77">
        <v>120.0</v>
      </c>
      <c r="L1185" s="160">
        <v>25.0</v>
      </c>
      <c r="M1185" s="105">
        <v>500.0</v>
      </c>
      <c r="N1185" s="105">
        <v>2520.0</v>
      </c>
      <c r="O1185" s="76"/>
      <c r="P1185" s="76"/>
    </row>
    <row r="1186" ht="20.25" customHeight="1">
      <c r="A1186" s="57"/>
      <c r="B1186" s="58"/>
      <c r="C1186" s="58"/>
      <c r="D1186" s="11"/>
      <c r="E1186" s="11"/>
      <c r="F1186" s="58"/>
      <c r="G1186" s="74" t="s">
        <v>17</v>
      </c>
      <c r="H1186" s="74" t="s">
        <v>18</v>
      </c>
      <c r="I1186" s="73">
        <v>19.0</v>
      </c>
      <c r="J1186" s="73">
        <v>100.0</v>
      </c>
      <c r="K1186" s="73">
        <v>1900.0</v>
      </c>
      <c r="L1186" s="58"/>
      <c r="M1186" s="108"/>
      <c r="N1186" s="108"/>
      <c r="O1186" s="76"/>
      <c r="P1186" s="76"/>
    </row>
    <row r="1187" ht="20.25" customHeight="1">
      <c r="A1187" s="29"/>
      <c r="B1187" s="123" t="s">
        <v>279</v>
      </c>
      <c r="C1187" s="123">
        <v>111.0</v>
      </c>
      <c r="D1187" s="505">
        <v>1.08</v>
      </c>
      <c r="E1187" s="19"/>
      <c r="F1187" s="160" t="s">
        <v>299</v>
      </c>
      <c r="G1187" s="74" t="s">
        <v>179</v>
      </c>
      <c r="H1187" s="74" t="s">
        <v>25</v>
      </c>
      <c r="I1187" s="77">
        <v>1.0</v>
      </c>
      <c r="J1187" s="389" t="s">
        <v>346</v>
      </c>
      <c r="K1187" s="390"/>
      <c r="L1187" s="390"/>
      <c r="M1187" s="45"/>
      <c r="N1187" s="105">
        <v>2160.0</v>
      </c>
      <c r="O1187" s="76"/>
      <c r="P1187" s="76"/>
    </row>
    <row r="1188" ht="20.25" customHeight="1">
      <c r="A1188" s="57"/>
      <c r="B1188" s="58"/>
      <c r="C1188" s="58"/>
      <c r="D1188" s="58"/>
      <c r="E1188" s="11"/>
      <c r="F1188" s="58"/>
      <c r="G1188" s="74" t="s">
        <v>179</v>
      </c>
      <c r="H1188" s="74" t="s">
        <v>18</v>
      </c>
      <c r="I1188" s="73">
        <v>10.0</v>
      </c>
      <c r="J1188" s="321"/>
      <c r="K1188" s="363"/>
      <c r="L1188" s="363"/>
      <c r="M1188" s="51"/>
      <c r="N1188" s="108"/>
      <c r="O1188" s="76"/>
      <c r="P1188" s="76"/>
    </row>
    <row r="1189" ht="20.25" customHeight="1">
      <c r="A1189" s="29"/>
      <c r="B1189" s="123" t="s">
        <v>110</v>
      </c>
      <c r="C1189" s="123">
        <v>129.0</v>
      </c>
      <c r="D1189" s="19"/>
      <c r="E1189" s="19"/>
      <c r="F1189" s="160" t="s">
        <v>235</v>
      </c>
      <c r="G1189" s="74" t="s">
        <v>17</v>
      </c>
      <c r="H1189" s="74" t="s">
        <v>25</v>
      </c>
      <c r="I1189" s="616">
        <v>1.0</v>
      </c>
      <c r="J1189" s="616">
        <v>220.0</v>
      </c>
      <c r="K1189" s="616">
        <v>220.0</v>
      </c>
      <c r="L1189" s="617">
        <v>400.0</v>
      </c>
      <c r="M1189" s="45"/>
      <c r="N1189" s="618">
        <v>3920.0</v>
      </c>
      <c r="O1189" s="76"/>
      <c r="P1189" s="76"/>
    </row>
    <row r="1190" ht="20.25" customHeight="1">
      <c r="A1190" s="57"/>
      <c r="B1190" s="57"/>
      <c r="C1190" s="57"/>
      <c r="D1190" s="11"/>
      <c r="E1190" s="11"/>
      <c r="F1190" s="57"/>
      <c r="G1190" s="74" t="s">
        <v>17</v>
      </c>
      <c r="H1190" s="74" t="s">
        <v>18</v>
      </c>
      <c r="I1190" s="616">
        <v>6.0</v>
      </c>
      <c r="J1190" s="616">
        <v>150.0</v>
      </c>
      <c r="K1190" s="616">
        <v>900.0</v>
      </c>
      <c r="L1190" s="294"/>
      <c r="M1190" s="48"/>
      <c r="N1190" s="187"/>
      <c r="O1190" s="76"/>
      <c r="P1190" s="76"/>
    </row>
    <row r="1191" ht="20.25" customHeight="1">
      <c r="A1191" s="29"/>
      <c r="B1191" s="29"/>
      <c r="C1191" s="29"/>
      <c r="D1191" s="19"/>
      <c r="E1191" s="19"/>
      <c r="F1191" s="29"/>
      <c r="G1191" s="74" t="s">
        <v>17</v>
      </c>
      <c r="H1191" s="74" t="s">
        <v>18</v>
      </c>
      <c r="I1191" s="616">
        <v>10.0</v>
      </c>
      <c r="J1191" s="616">
        <v>120.0</v>
      </c>
      <c r="K1191" s="616">
        <v>1200.0</v>
      </c>
      <c r="L1191" s="314"/>
      <c r="M1191" s="48"/>
      <c r="N1191" s="187"/>
      <c r="O1191" s="76"/>
      <c r="P1191" s="76"/>
    </row>
    <row r="1192" ht="20.25" customHeight="1">
      <c r="A1192" s="58"/>
      <c r="B1192" s="57"/>
      <c r="C1192" s="58"/>
      <c r="D1192" s="11"/>
      <c r="E1192" s="11"/>
      <c r="F1192" s="58"/>
      <c r="G1192" s="74" t="s">
        <v>17</v>
      </c>
      <c r="H1192" s="74" t="s">
        <v>18</v>
      </c>
      <c r="I1192" s="616">
        <v>8.0</v>
      </c>
      <c r="J1192" s="616">
        <v>150.0</v>
      </c>
      <c r="K1192" s="616">
        <v>1220.0</v>
      </c>
      <c r="L1192" s="321"/>
      <c r="M1192" s="51"/>
      <c r="N1192" s="108"/>
      <c r="O1192" s="76"/>
      <c r="P1192" s="76"/>
    </row>
    <row r="1193" ht="20.25" customHeight="1">
      <c r="A1193" s="611">
        <v>46255.0</v>
      </c>
      <c r="B1193" s="19" t="s">
        <v>21</v>
      </c>
      <c r="C1193" s="19">
        <v>134.0</v>
      </c>
      <c r="D1193" s="19"/>
      <c r="E1193" s="19"/>
      <c r="F1193" s="160" t="s">
        <v>272</v>
      </c>
      <c r="G1193" s="74" t="s">
        <v>17</v>
      </c>
      <c r="H1193" s="74" t="s">
        <v>25</v>
      </c>
      <c r="I1193" s="77">
        <v>1.0</v>
      </c>
      <c r="J1193" s="77">
        <v>120.0</v>
      </c>
      <c r="K1193" s="77">
        <v>120.0</v>
      </c>
      <c r="L1193" s="160">
        <v>30.0</v>
      </c>
      <c r="M1193" s="105">
        <v>630.0</v>
      </c>
      <c r="N1193" s="105">
        <v>2750.0</v>
      </c>
      <c r="O1193" s="76"/>
      <c r="P1193" s="76"/>
    </row>
    <row r="1194" ht="20.25" customHeight="1">
      <c r="A1194" s="57"/>
      <c r="B1194" s="11" t="s">
        <v>122</v>
      </c>
      <c r="C1194" s="11"/>
      <c r="D1194" s="11"/>
      <c r="E1194" s="11"/>
      <c r="F1194" s="57"/>
      <c r="G1194" s="74" t="s">
        <v>17</v>
      </c>
      <c r="H1194" s="105" t="s">
        <v>18</v>
      </c>
      <c r="I1194" s="75">
        <v>20.0</v>
      </c>
      <c r="J1194" s="75">
        <v>100.0</v>
      </c>
      <c r="K1194" s="75">
        <v>2000.0</v>
      </c>
      <c r="L1194" s="57"/>
      <c r="M1194" s="187"/>
      <c r="N1194" s="187"/>
      <c r="O1194" s="76"/>
      <c r="P1194" s="76"/>
    </row>
    <row r="1195" ht="20.25" customHeight="1">
      <c r="A1195" s="29"/>
      <c r="B1195" s="19" t="s">
        <v>51</v>
      </c>
      <c r="C1195" s="19"/>
      <c r="D1195" s="19"/>
      <c r="E1195" s="19"/>
      <c r="F1195" s="20"/>
      <c r="G1195" s="74" t="s">
        <v>17</v>
      </c>
      <c r="H1195" s="108"/>
      <c r="I1195" s="20"/>
      <c r="J1195" s="20"/>
      <c r="K1195" s="20"/>
      <c r="L1195" s="20"/>
      <c r="M1195" s="108"/>
      <c r="N1195" s="108"/>
      <c r="O1195" s="76"/>
      <c r="P1195" s="76"/>
    </row>
    <row r="1196" ht="20.25" customHeight="1">
      <c r="A1196" s="57"/>
      <c r="B1196" s="72" t="s">
        <v>21</v>
      </c>
      <c r="C1196" s="72">
        <v>133.0</v>
      </c>
      <c r="D1196" s="11"/>
      <c r="E1196" s="11"/>
      <c r="F1196" s="509" t="s">
        <v>278</v>
      </c>
      <c r="G1196" s="74" t="s">
        <v>17</v>
      </c>
      <c r="H1196" s="74" t="s">
        <v>25</v>
      </c>
      <c r="I1196" s="73">
        <v>1.0</v>
      </c>
      <c r="J1196" s="73">
        <v>120.0</v>
      </c>
      <c r="K1196" s="73">
        <v>120.0</v>
      </c>
      <c r="L1196" s="75">
        <v>25.0</v>
      </c>
      <c r="M1196" s="105">
        <v>400.0</v>
      </c>
      <c r="N1196" s="105">
        <v>2020.0</v>
      </c>
      <c r="O1196" s="76"/>
      <c r="P1196" s="76"/>
    </row>
    <row r="1197" ht="20.25" customHeight="1">
      <c r="A1197" s="29"/>
      <c r="B1197" s="20"/>
      <c r="C1197" s="20"/>
      <c r="D1197" s="19"/>
      <c r="E1197" s="19"/>
      <c r="F1197" s="20"/>
      <c r="G1197" s="74" t="s">
        <v>17</v>
      </c>
      <c r="H1197" s="74" t="s">
        <v>18</v>
      </c>
      <c r="I1197" s="77">
        <v>15.0</v>
      </c>
      <c r="J1197" s="77">
        <v>100.0</v>
      </c>
      <c r="K1197" s="77">
        <v>1500.0</v>
      </c>
      <c r="L1197" s="20"/>
      <c r="M1197" s="108"/>
      <c r="N1197" s="108"/>
      <c r="O1197" s="76"/>
      <c r="P1197" s="76"/>
    </row>
    <row r="1198" ht="20.25" customHeight="1">
      <c r="A1198" s="57"/>
      <c r="B1198" s="72" t="s">
        <v>279</v>
      </c>
      <c r="C1198" s="72">
        <v>110.0</v>
      </c>
      <c r="D1198" s="505">
        <v>0.96</v>
      </c>
      <c r="E1198" s="11"/>
      <c r="F1198" s="75" t="s">
        <v>299</v>
      </c>
      <c r="G1198" s="74" t="s">
        <v>179</v>
      </c>
      <c r="H1198" s="74" t="s">
        <v>25</v>
      </c>
      <c r="I1198" s="73">
        <v>1.0</v>
      </c>
      <c r="J1198" s="399" t="s">
        <v>350</v>
      </c>
      <c r="K1198" s="400"/>
      <c r="L1198" s="400"/>
      <c r="M1198" s="45"/>
      <c r="N1198" s="105">
        <v>1920.0</v>
      </c>
      <c r="O1198" s="76"/>
      <c r="P1198" s="76"/>
    </row>
    <row r="1199" ht="20.25" customHeight="1">
      <c r="A1199" s="20"/>
      <c r="B1199" s="20"/>
      <c r="C1199" s="20"/>
      <c r="D1199" s="20"/>
      <c r="E1199" s="19"/>
      <c r="F1199" s="20"/>
      <c r="G1199" s="74" t="s">
        <v>179</v>
      </c>
      <c r="H1199" s="74" t="s">
        <v>18</v>
      </c>
      <c r="I1199" s="77">
        <v>12.0</v>
      </c>
      <c r="J1199" s="311"/>
      <c r="K1199" s="368"/>
      <c r="L1199" s="368"/>
      <c r="M1199" s="51"/>
      <c r="N1199" s="108"/>
      <c r="O1199" s="76"/>
      <c r="P1199" s="76"/>
    </row>
    <row r="1200" ht="20.25" customHeight="1">
      <c r="A1200" s="614">
        <v>46256.0</v>
      </c>
      <c r="B1200" s="72" t="s">
        <v>22</v>
      </c>
      <c r="C1200" s="72"/>
      <c r="D1200" s="11"/>
      <c r="E1200" s="11"/>
      <c r="F1200" s="75" t="s">
        <v>272</v>
      </c>
      <c r="G1200" s="74" t="s">
        <v>17</v>
      </c>
      <c r="H1200" s="105" t="s">
        <v>18</v>
      </c>
      <c r="I1200" s="75">
        <v>8.0</v>
      </c>
      <c r="J1200" s="75">
        <v>100.0</v>
      </c>
      <c r="K1200" s="75">
        <v>800.0</v>
      </c>
      <c r="L1200" s="75">
        <v>30.0</v>
      </c>
      <c r="M1200" s="105">
        <v>240.0</v>
      </c>
      <c r="N1200" s="105">
        <v>1040.0</v>
      </c>
      <c r="O1200" s="76"/>
      <c r="P1200" s="76"/>
    </row>
    <row r="1201" ht="20.25" customHeight="1">
      <c r="A1201" s="29"/>
      <c r="B1201" s="20"/>
      <c r="C1201" s="20"/>
      <c r="D1201" s="19"/>
      <c r="E1201" s="19"/>
      <c r="F1201" s="20"/>
      <c r="G1201" s="74" t="s">
        <v>17</v>
      </c>
      <c r="H1201" s="108"/>
      <c r="I1201" s="20"/>
      <c r="J1201" s="20"/>
      <c r="K1201" s="20"/>
      <c r="L1201" s="20"/>
      <c r="M1201" s="108"/>
      <c r="N1201" s="108"/>
      <c r="O1201" s="76"/>
      <c r="P1201" s="76"/>
    </row>
    <row r="1202" ht="20.25" customHeight="1">
      <c r="A1202" s="57"/>
      <c r="B1202" s="72" t="s">
        <v>279</v>
      </c>
      <c r="C1202" s="72">
        <v>108.0</v>
      </c>
      <c r="D1202" s="72">
        <v>0.95</v>
      </c>
      <c r="E1202" s="11"/>
      <c r="F1202" s="75" t="s">
        <v>299</v>
      </c>
      <c r="G1202" s="74" t="s">
        <v>179</v>
      </c>
      <c r="H1202" s="74" t="s">
        <v>25</v>
      </c>
      <c r="I1202" s="73">
        <v>1.0</v>
      </c>
      <c r="J1202" s="399" t="s">
        <v>325</v>
      </c>
      <c r="K1202" s="400"/>
      <c r="L1202" s="400"/>
      <c r="M1202" s="45"/>
      <c r="N1202" s="105">
        <v>1900.0</v>
      </c>
      <c r="O1202" s="76"/>
      <c r="P1202" s="76"/>
    </row>
    <row r="1203" ht="20.25" customHeight="1">
      <c r="A1203" s="20"/>
      <c r="B1203" s="20"/>
      <c r="C1203" s="20"/>
      <c r="D1203" s="20"/>
      <c r="E1203" s="19"/>
      <c r="F1203" s="20"/>
      <c r="G1203" s="74" t="s">
        <v>179</v>
      </c>
      <c r="H1203" s="74" t="s">
        <v>18</v>
      </c>
      <c r="I1203" s="77">
        <v>11.0</v>
      </c>
      <c r="J1203" s="311"/>
      <c r="K1203" s="368"/>
      <c r="L1203" s="368"/>
      <c r="M1203" s="51"/>
      <c r="N1203" s="108"/>
      <c r="O1203" s="76"/>
      <c r="P1203" s="76"/>
    </row>
    <row r="1204" ht="20.25" customHeight="1">
      <c r="A1204" s="614">
        <v>46257.0</v>
      </c>
      <c r="B1204" s="72" t="s">
        <v>279</v>
      </c>
      <c r="C1204" s="72">
        <v>107.0</v>
      </c>
      <c r="D1204" s="72">
        <v>0.95</v>
      </c>
      <c r="E1204" s="11"/>
      <c r="F1204" s="75" t="s">
        <v>299</v>
      </c>
      <c r="G1204" s="74" t="s">
        <v>179</v>
      </c>
      <c r="H1204" s="74" t="s">
        <v>25</v>
      </c>
      <c r="I1204" s="73">
        <v>1.0</v>
      </c>
      <c r="J1204" s="399" t="s">
        <v>325</v>
      </c>
      <c r="K1204" s="400"/>
      <c r="L1204" s="400"/>
      <c r="M1204" s="45"/>
      <c r="N1204" s="105">
        <v>1900.0</v>
      </c>
      <c r="O1204" s="76"/>
      <c r="P1204" s="76"/>
    </row>
    <row r="1205" ht="20.25" customHeight="1">
      <c r="A1205" s="20"/>
      <c r="B1205" s="20"/>
      <c r="C1205" s="20"/>
      <c r="D1205" s="20"/>
      <c r="E1205" s="19"/>
      <c r="F1205" s="20"/>
      <c r="G1205" s="74" t="s">
        <v>179</v>
      </c>
      <c r="H1205" s="74" t="s">
        <v>18</v>
      </c>
      <c r="I1205" s="77">
        <v>10.0</v>
      </c>
      <c r="J1205" s="311"/>
      <c r="K1205" s="368"/>
      <c r="L1205" s="368"/>
      <c r="M1205" s="51"/>
      <c r="N1205" s="108"/>
      <c r="O1205" s="76"/>
      <c r="P1205" s="76"/>
    </row>
    <row r="1206" ht="20.25" customHeight="1">
      <c r="A1206" s="614">
        <v>46258.0</v>
      </c>
      <c r="B1206" s="11" t="s">
        <v>21</v>
      </c>
      <c r="C1206" s="72">
        <v>133.0</v>
      </c>
      <c r="D1206" s="11"/>
      <c r="E1206" s="11"/>
      <c r="F1206" s="75" t="s">
        <v>272</v>
      </c>
      <c r="G1206" s="74" t="s">
        <v>17</v>
      </c>
      <c r="H1206" s="74" t="s">
        <v>25</v>
      </c>
      <c r="I1206" s="73">
        <v>1.0</v>
      </c>
      <c r="J1206" s="73">
        <v>120.0</v>
      </c>
      <c r="K1206" s="73">
        <v>120.0</v>
      </c>
      <c r="L1206" s="75">
        <v>30.0</v>
      </c>
      <c r="M1206" s="105">
        <v>630.0</v>
      </c>
      <c r="N1206" s="105">
        <v>2750.0</v>
      </c>
      <c r="O1206" s="76"/>
      <c r="P1206" s="76"/>
    </row>
    <row r="1207" ht="20.25" customHeight="1">
      <c r="A1207" s="29"/>
      <c r="B1207" s="19" t="s">
        <v>51</v>
      </c>
      <c r="C1207" s="20"/>
      <c r="D1207" s="19"/>
      <c r="E1207" s="19"/>
      <c r="F1207" s="20"/>
      <c r="G1207" s="74" t="s">
        <v>17</v>
      </c>
      <c r="H1207" s="74" t="s">
        <v>18</v>
      </c>
      <c r="I1207" s="77">
        <v>20.0</v>
      </c>
      <c r="J1207" s="77">
        <v>100.0</v>
      </c>
      <c r="K1207" s="77">
        <v>2000.0</v>
      </c>
      <c r="L1207" s="20"/>
      <c r="M1207" s="108"/>
      <c r="N1207" s="108"/>
      <c r="O1207" s="76"/>
      <c r="P1207" s="76"/>
    </row>
    <row r="1208" ht="20.25" customHeight="1">
      <c r="A1208" s="57"/>
      <c r="B1208" s="72" t="s">
        <v>279</v>
      </c>
      <c r="C1208" s="72">
        <v>105.0</v>
      </c>
      <c r="D1208" s="72">
        <v>0.95</v>
      </c>
      <c r="E1208" s="11"/>
      <c r="F1208" s="75" t="s">
        <v>299</v>
      </c>
      <c r="G1208" s="74" t="s">
        <v>179</v>
      </c>
      <c r="H1208" s="74" t="s">
        <v>25</v>
      </c>
      <c r="I1208" s="73">
        <v>1.0</v>
      </c>
      <c r="J1208" s="399" t="s">
        <v>325</v>
      </c>
      <c r="K1208" s="400"/>
      <c r="L1208" s="400"/>
      <c r="M1208" s="45"/>
      <c r="N1208" s="105">
        <v>1900.0</v>
      </c>
      <c r="O1208" s="76"/>
      <c r="P1208" s="76"/>
    </row>
    <row r="1209" ht="20.25" customHeight="1">
      <c r="A1209" s="29"/>
      <c r="B1209" s="20"/>
      <c r="C1209" s="20"/>
      <c r="D1209" s="20"/>
      <c r="E1209" s="19"/>
      <c r="F1209" s="20"/>
      <c r="G1209" s="74" t="s">
        <v>179</v>
      </c>
      <c r="H1209" s="74" t="s">
        <v>18</v>
      </c>
      <c r="I1209" s="77">
        <v>11.0</v>
      </c>
      <c r="J1209" s="311"/>
      <c r="K1209" s="368"/>
      <c r="L1209" s="368"/>
      <c r="M1209" s="51"/>
      <c r="N1209" s="108"/>
      <c r="O1209" s="76"/>
      <c r="P1209" s="76"/>
    </row>
    <row r="1210" ht="20.25" customHeight="1">
      <c r="A1210" s="57"/>
      <c r="B1210" s="72" t="s">
        <v>110</v>
      </c>
      <c r="C1210" s="72">
        <v>130.0</v>
      </c>
      <c r="D1210" s="11"/>
      <c r="E1210" s="11"/>
      <c r="F1210" s="75" t="s">
        <v>235</v>
      </c>
      <c r="G1210" s="74" t="s">
        <v>17</v>
      </c>
      <c r="H1210" s="74" t="s">
        <v>25</v>
      </c>
      <c r="I1210" s="271">
        <v>1.0</v>
      </c>
      <c r="J1210" s="271">
        <v>220.0</v>
      </c>
      <c r="K1210" s="271">
        <v>220.0</v>
      </c>
      <c r="L1210" s="524">
        <v>400.0</v>
      </c>
      <c r="M1210" s="45"/>
      <c r="N1210" s="338">
        <v>3850.0</v>
      </c>
      <c r="O1210" s="76"/>
      <c r="P1210" s="76"/>
    </row>
    <row r="1211" ht="20.25" customHeight="1">
      <c r="A1211" s="29"/>
      <c r="B1211" s="29"/>
      <c r="C1211" s="29"/>
      <c r="D1211" s="19"/>
      <c r="E1211" s="19"/>
      <c r="F1211" s="29"/>
      <c r="G1211" s="74" t="s">
        <v>17</v>
      </c>
      <c r="H1211" s="74" t="s">
        <v>18</v>
      </c>
      <c r="I1211" s="271">
        <v>6.0</v>
      </c>
      <c r="J1211" s="271">
        <v>150.0</v>
      </c>
      <c r="K1211" s="271">
        <v>900.0</v>
      </c>
      <c r="L1211" s="314"/>
      <c r="M1211" s="48"/>
      <c r="N1211" s="187"/>
      <c r="O1211" s="76"/>
      <c r="P1211" s="76"/>
    </row>
    <row r="1212" ht="20.25" customHeight="1">
      <c r="A1212" s="57"/>
      <c r="B1212" s="57"/>
      <c r="C1212" s="58"/>
      <c r="D1212" s="11"/>
      <c r="E1212" s="11"/>
      <c r="F1212" s="57"/>
      <c r="G1212" s="74" t="s">
        <v>17</v>
      </c>
      <c r="H1212" s="74" t="s">
        <v>18</v>
      </c>
      <c r="I1212" s="271">
        <v>16.0</v>
      </c>
      <c r="J1212" s="271">
        <v>120.0</v>
      </c>
      <c r="K1212" s="271">
        <v>1920.0</v>
      </c>
      <c r="L1212" s="294"/>
      <c r="M1212" s="48"/>
      <c r="N1212" s="187"/>
      <c r="O1212" s="76"/>
      <c r="P1212" s="76"/>
    </row>
    <row r="1213" ht="20.25" customHeight="1">
      <c r="A1213" s="20"/>
      <c r="B1213" s="20"/>
      <c r="C1213" s="624">
        <v>131.0</v>
      </c>
      <c r="D1213" s="19"/>
      <c r="E1213" s="19"/>
      <c r="F1213" s="20"/>
      <c r="G1213" s="74" t="s">
        <v>17</v>
      </c>
      <c r="H1213" s="74" t="s">
        <v>18</v>
      </c>
      <c r="I1213" s="271">
        <v>3.0</v>
      </c>
      <c r="J1213" s="271">
        <v>145.0</v>
      </c>
      <c r="K1213" s="271">
        <v>435.0</v>
      </c>
      <c r="L1213" s="311"/>
      <c r="M1213" s="51"/>
      <c r="N1213" s="108"/>
      <c r="O1213" s="76"/>
      <c r="P1213" s="76"/>
    </row>
    <row r="1214" ht="20.25" customHeight="1">
      <c r="A1214" s="614">
        <v>46259.0</v>
      </c>
      <c r="B1214" s="11" t="s">
        <v>21</v>
      </c>
      <c r="C1214" s="11">
        <v>134.0</v>
      </c>
      <c r="D1214" s="11"/>
      <c r="E1214" s="11"/>
      <c r="F1214" s="75" t="s">
        <v>272</v>
      </c>
      <c r="G1214" s="74" t="s">
        <v>17</v>
      </c>
      <c r="H1214" s="74" t="s">
        <v>25</v>
      </c>
      <c r="I1214" s="73">
        <v>1.0</v>
      </c>
      <c r="J1214" s="73">
        <v>120.0</v>
      </c>
      <c r="K1214" s="73">
        <v>120.0</v>
      </c>
      <c r="L1214" s="75">
        <v>30.0</v>
      </c>
      <c r="M1214" s="105">
        <v>510.0</v>
      </c>
      <c r="N1214" s="105">
        <v>2230.0</v>
      </c>
      <c r="O1214" s="76"/>
      <c r="P1214" s="76"/>
    </row>
    <row r="1215" ht="20.25" customHeight="1">
      <c r="A1215" s="29"/>
      <c r="B1215" s="19" t="s">
        <v>51</v>
      </c>
      <c r="C1215" s="19"/>
      <c r="D1215" s="19"/>
      <c r="E1215" s="19"/>
      <c r="F1215" s="20"/>
      <c r="G1215" s="74" t="s">
        <v>17</v>
      </c>
      <c r="H1215" s="74" t="s">
        <v>18</v>
      </c>
      <c r="I1215" s="77">
        <v>16.0</v>
      </c>
      <c r="J1215" s="77">
        <v>100.0</v>
      </c>
      <c r="K1215" s="77">
        <v>1600.0</v>
      </c>
      <c r="L1215" s="20"/>
      <c r="M1215" s="108"/>
      <c r="N1215" s="108"/>
      <c r="O1215" s="76"/>
      <c r="P1215" s="76"/>
    </row>
    <row r="1216" ht="20.25" customHeight="1">
      <c r="A1216" s="57"/>
      <c r="B1216" s="72" t="s">
        <v>279</v>
      </c>
      <c r="C1216" s="72">
        <v>104.0</v>
      </c>
      <c r="D1216" s="72">
        <v>0.96</v>
      </c>
      <c r="E1216" s="11"/>
      <c r="F1216" s="75" t="s">
        <v>299</v>
      </c>
      <c r="G1216" s="74" t="s">
        <v>179</v>
      </c>
      <c r="H1216" s="74" t="s">
        <v>25</v>
      </c>
      <c r="I1216" s="73">
        <v>1.0</v>
      </c>
      <c r="J1216" s="399" t="s">
        <v>350</v>
      </c>
      <c r="K1216" s="400"/>
      <c r="L1216" s="400"/>
      <c r="M1216" s="45"/>
      <c r="N1216" s="105">
        <v>1920.0</v>
      </c>
      <c r="O1216" s="76"/>
      <c r="P1216" s="76"/>
    </row>
    <row r="1217" ht="20.25" customHeight="1">
      <c r="A1217" s="29"/>
      <c r="B1217" s="20"/>
      <c r="C1217" s="20"/>
      <c r="D1217" s="20"/>
      <c r="E1217" s="19"/>
      <c r="F1217" s="20"/>
      <c r="G1217" s="74" t="s">
        <v>179</v>
      </c>
      <c r="H1217" s="74" t="s">
        <v>18</v>
      </c>
      <c r="I1217" s="77">
        <v>9.0</v>
      </c>
      <c r="J1217" s="311"/>
      <c r="K1217" s="368"/>
      <c r="L1217" s="368"/>
      <c r="M1217" s="51"/>
      <c r="N1217" s="108"/>
      <c r="O1217" s="76"/>
      <c r="P1217" s="76"/>
    </row>
    <row r="1218" ht="20.25" customHeight="1">
      <c r="A1218" s="57"/>
      <c r="B1218" s="72" t="s">
        <v>110</v>
      </c>
      <c r="C1218" s="72">
        <v>131.0</v>
      </c>
      <c r="D1218" s="11"/>
      <c r="E1218" s="11"/>
      <c r="F1218" s="75" t="s">
        <v>235</v>
      </c>
      <c r="G1218" s="74" t="s">
        <v>17</v>
      </c>
      <c r="H1218" s="74" t="s">
        <v>25</v>
      </c>
      <c r="I1218" s="73">
        <v>1.0</v>
      </c>
      <c r="J1218" s="73">
        <v>220.0</v>
      </c>
      <c r="K1218" s="73">
        <v>220.0</v>
      </c>
      <c r="L1218" s="399">
        <v>400.0</v>
      </c>
      <c r="M1218" s="45"/>
      <c r="N1218" s="105">
        <v>3852.0</v>
      </c>
      <c r="O1218" s="76"/>
      <c r="P1218" s="76"/>
    </row>
    <row r="1219" ht="20.25" customHeight="1">
      <c r="A1219" s="29"/>
      <c r="B1219" s="29"/>
      <c r="C1219" s="29"/>
      <c r="D1219" s="19"/>
      <c r="E1219" s="19"/>
      <c r="F1219" s="29"/>
      <c r="G1219" s="74" t="s">
        <v>17</v>
      </c>
      <c r="H1219" s="74" t="s">
        <v>18</v>
      </c>
      <c r="I1219" s="77">
        <v>6.0</v>
      </c>
      <c r="J1219" s="77">
        <v>150.0</v>
      </c>
      <c r="K1219" s="77">
        <v>900.0</v>
      </c>
      <c r="L1219" s="314"/>
      <c r="M1219" s="48"/>
      <c r="N1219" s="187"/>
      <c r="O1219" s="76"/>
      <c r="P1219" s="76"/>
    </row>
    <row r="1220" ht="20.25" customHeight="1">
      <c r="A1220" s="57"/>
      <c r="B1220" s="57"/>
      <c r="C1220" s="58"/>
      <c r="D1220" s="11"/>
      <c r="E1220" s="11"/>
      <c r="F1220" s="57"/>
      <c r="G1220" s="74" t="s">
        <v>17</v>
      </c>
      <c r="H1220" s="74" t="s">
        <v>18</v>
      </c>
      <c r="I1220" s="73">
        <v>13.0</v>
      </c>
      <c r="J1220" s="73">
        <v>120.0</v>
      </c>
      <c r="K1220" s="73">
        <v>1560.0</v>
      </c>
      <c r="L1220" s="294"/>
      <c r="M1220" s="48"/>
      <c r="N1220" s="187"/>
      <c r="O1220" s="76"/>
      <c r="P1220" s="76"/>
    </row>
    <row r="1221" ht="20.25" customHeight="1">
      <c r="A1221" s="29"/>
      <c r="B1221" s="29"/>
      <c r="C1221" s="123">
        <v>130.0</v>
      </c>
      <c r="D1221" s="19"/>
      <c r="E1221" s="19"/>
      <c r="F1221" s="29"/>
      <c r="G1221" s="74" t="s">
        <v>17</v>
      </c>
      <c r="H1221" s="74" t="s">
        <v>18</v>
      </c>
      <c r="I1221" s="77">
        <v>4.0</v>
      </c>
      <c r="J1221" s="77">
        <v>145.0</v>
      </c>
      <c r="K1221" s="77">
        <v>580.0</v>
      </c>
      <c r="L1221" s="314"/>
      <c r="M1221" s="48"/>
      <c r="N1221" s="187"/>
      <c r="O1221" s="76"/>
      <c r="P1221" s="76"/>
    </row>
    <row r="1222" ht="20.25" customHeight="1">
      <c r="A1222" s="58"/>
      <c r="B1222" s="58"/>
      <c r="C1222" s="58"/>
      <c r="D1222" s="11"/>
      <c r="E1222" s="11"/>
      <c r="F1222" s="58"/>
      <c r="G1222" s="74" t="s">
        <v>17</v>
      </c>
      <c r="H1222" s="74" t="s">
        <v>18</v>
      </c>
      <c r="I1222" s="73">
        <v>1.0</v>
      </c>
      <c r="J1222" s="73">
        <v>192.0</v>
      </c>
      <c r="K1222" s="73">
        <v>192.0</v>
      </c>
      <c r="L1222" s="321"/>
      <c r="M1222" s="51"/>
      <c r="N1222" s="108"/>
      <c r="O1222" s="76"/>
      <c r="P1222" s="76"/>
    </row>
    <row r="1223" ht="20.25" customHeight="1">
      <c r="A1223" s="611">
        <v>46260.0</v>
      </c>
      <c r="B1223" s="19" t="s">
        <v>21</v>
      </c>
      <c r="C1223" s="19">
        <v>135.0</v>
      </c>
      <c r="D1223" s="19"/>
      <c r="E1223" s="19"/>
      <c r="F1223" s="160" t="s">
        <v>272</v>
      </c>
      <c r="G1223" s="74" t="s">
        <v>17</v>
      </c>
      <c r="H1223" s="74" t="s">
        <v>25</v>
      </c>
      <c r="I1223" s="77">
        <v>1.0</v>
      </c>
      <c r="J1223" s="77">
        <v>120.0</v>
      </c>
      <c r="K1223" s="77">
        <v>120.0</v>
      </c>
      <c r="L1223" s="160">
        <v>30.0</v>
      </c>
      <c r="M1223" s="105">
        <v>630.0</v>
      </c>
      <c r="N1223" s="105">
        <v>2750.0</v>
      </c>
      <c r="O1223" s="76"/>
      <c r="P1223" s="76"/>
    </row>
    <row r="1224" ht="20.25" customHeight="1">
      <c r="A1224" s="57"/>
      <c r="B1224" s="11" t="s">
        <v>102</v>
      </c>
      <c r="C1224" s="11">
        <v>134.0</v>
      </c>
      <c r="D1224" s="11"/>
      <c r="E1224" s="11"/>
      <c r="F1224" s="57"/>
      <c r="G1224" s="74" t="s">
        <v>17</v>
      </c>
      <c r="H1224" s="105" t="s">
        <v>18</v>
      </c>
      <c r="I1224" s="75">
        <v>20.0</v>
      </c>
      <c r="J1224" s="75">
        <v>100.0</v>
      </c>
      <c r="K1224" s="75">
        <v>2000.0</v>
      </c>
      <c r="L1224" s="57"/>
      <c r="M1224" s="187"/>
      <c r="N1224" s="187"/>
      <c r="O1224" s="76"/>
      <c r="P1224" s="76"/>
    </row>
    <row r="1225" ht="20.25" customHeight="1">
      <c r="A1225" s="29"/>
      <c r="B1225" s="19" t="s">
        <v>51</v>
      </c>
      <c r="C1225" s="19"/>
      <c r="D1225" s="19"/>
      <c r="E1225" s="19"/>
      <c r="F1225" s="20"/>
      <c r="G1225" s="74" t="s">
        <v>17</v>
      </c>
      <c r="H1225" s="108"/>
      <c r="I1225" s="20"/>
      <c r="J1225" s="20"/>
      <c r="K1225" s="20"/>
      <c r="L1225" s="20"/>
      <c r="M1225" s="108"/>
      <c r="N1225" s="108"/>
      <c r="O1225" s="76"/>
      <c r="P1225" s="76"/>
    </row>
    <row r="1226" ht="20.25" customHeight="1">
      <c r="A1226" s="57"/>
      <c r="B1226" s="72" t="s">
        <v>279</v>
      </c>
      <c r="C1226" s="72">
        <v>102.0</v>
      </c>
      <c r="D1226" s="72">
        <v>1.23</v>
      </c>
      <c r="E1226" s="11"/>
      <c r="F1226" s="75" t="s">
        <v>299</v>
      </c>
      <c r="G1226" s="74" t="s">
        <v>179</v>
      </c>
      <c r="H1226" s="74" t="s">
        <v>25</v>
      </c>
      <c r="I1226" s="73">
        <v>1.0</v>
      </c>
      <c r="J1226" s="399" t="s">
        <v>360</v>
      </c>
      <c r="K1226" s="400"/>
      <c r="L1226" s="400"/>
      <c r="M1226" s="45"/>
      <c r="N1226" s="105">
        <v>2460.0</v>
      </c>
      <c r="O1226" s="76"/>
      <c r="P1226" s="76"/>
    </row>
    <row r="1227" ht="20.25" customHeight="1">
      <c r="A1227" s="29"/>
      <c r="B1227" s="20"/>
      <c r="C1227" s="20"/>
      <c r="D1227" s="20"/>
      <c r="E1227" s="19"/>
      <c r="F1227" s="20"/>
      <c r="G1227" s="74" t="s">
        <v>179</v>
      </c>
      <c r="H1227" s="74" t="s">
        <v>18</v>
      </c>
      <c r="I1227" s="77">
        <v>11.0</v>
      </c>
      <c r="J1227" s="311"/>
      <c r="K1227" s="368"/>
      <c r="L1227" s="368"/>
      <c r="M1227" s="51"/>
      <c r="N1227" s="108"/>
      <c r="O1227" s="76"/>
      <c r="P1227" s="76"/>
    </row>
    <row r="1228" ht="20.25" customHeight="1">
      <c r="A1228" s="57"/>
      <c r="B1228" s="72" t="s">
        <v>110</v>
      </c>
      <c r="C1228" s="72">
        <v>132.0</v>
      </c>
      <c r="D1228" s="11"/>
      <c r="E1228" s="11"/>
      <c r="F1228" s="75" t="s">
        <v>235</v>
      </c>
      <c r="G1228" s="74" t="s">
        <v>17</v>
      </c>
      <c r="H1228" s="74" t="s">
        <v>25</v>
      </c>
      <c r="I1228" s="73">
        <v>1.0</v>
      </c>
      <c r="J1228" s="73">
        <v>220.0</v>
      </c>
      <c r="K1228" s="73">
        <v>220.0</v>
      </c>
      <c r="L1228" s="399">
        <v>400.0</v>
      </c>
      <c r="M1228" s="45"/>
      <c r="N1228" s="105">
        <v>3875.0</v>
      </c>
      <c r="O1228" s="76"/>
      <c r="P1228" s="76"/>
    </row>
    <row r="1229" ht="20.25" customHeight="1">
      <c r="A1229" s="29"/>
      <c r="B1229" s="29"/>
      <c r="C1229" s="29"/>
      <c r="D1229" s="19"/>
      <c r="E1229" s="19"/>
      <c r="F1229" s="29"/>
      <c r="G1229" s="74" t="s">
        <v>17</v>
      </c>
      <c r="H1229" s="74" t="s">
        <v>18</v>
      </c>
      <c r="I1229" s="77">
        <v>6.0</v>
      </c>
      <c r="J1229" s="77">
        <v>150.0</v>
      </c>
      <c r="K1229" s="77">
        <v>900.0</v>
      </c>
      <c r="L1229" s="314"/>
      <c r="M1229" s="48"/>
      <c r="N1229" s="187"/>
      <c r="O1229" s="76"/>
      <c r="P1229" s="76"/>
    </row>
    <row r="1230" ht="20.25" customHeight="1">
      <c r="A1230" s="57"/>
      <c r="B1230" s="57"/>
      <c r="C1230" s="58"/>
      <c r="D1230" s="11"/>
      <c r="E1230" s="11"/>
      <c r="F1230" s="57"/>
      <c r="G1230" s="74" t="s">
        <v>17</v>
      </c>
      <c r="H1230" s="74" t="s">
        <v>18</v>
      </c>
      <c r="I1230" s="73">
        <v>16.0</v>
      </c>
      <c r="J1230" s="73">
        <v>120.0</v>
      </c>
      <c r="K1230" s="73">
        <v>1920.0</v>
      </c>
      <c r="L1230" s="294"/>
      <c r="M1230" s="48"/>
      <c r="N1230" s="187"/>
      <c r="O1230" s="76"/>
      <c r="P1230" s="76"/>
    </row>
    <row r="1231" ht="20.25" customHeight="1">
      <c r="A1231" s="20"/>
      <c r="B1231" s="20"/>
      <c r="C1231" s="19">
        <v>131.0</v>
      </c>
      <c r="D1231" s="19"/>
      <c r="E1231" s="19"/>
      <c r="F1231" s="29"/>
      <c r="G1231" s="74" t="s">
        <v>17</v>
      </c>
      <c r="H1231" s="74" t="s">
        <v>18</v>
      </c>
      <c r="I1231" s="77">
        <v>3.0</v>
      </c>
      <c r="J1231" s="77">
        <v>145.0</v>
      </c>
      <c r="K1231" s="77">
        <v>435.0</v>
      </c>
      <c r="L1231" s="311"/>
      <c r="M1231" s="51"/>
      <c r="N1231" s="108"/>
      <c r="O1231" s="76"/>
      <c r="P1231" s="76"/>
    </row>
    <row r="1232" ht="20.25" customHeight="1">
      <c r="A1232" s="614">
        <v>46261.0</v>
      </c>
      <c r="B1232" s="11" t="s">
        <v>21</v>
      </c>
      <c r="C1232" s="11">
        <v>136.0</v>
      </c>
      <c r="D1232" s="11"/>
      <c r="E1232" s="11"/>
      <c r="F1232" s="75" t="s">
        <v>363</v>
      </c>
      <c r="G1232" s="74" t="s">
        <v>17</v>
      </c>
      <c r="H1232" s="74" t="s">
        <v>25</v>
      </c>
      <c r="I1232" s="73">
        <v>1.0</v>
      </c>
      <c r="J1232" s="617"/>
      <c r="K1232" s="400"/>
      <c r="L1232" s="400"/>
      <c r="M1232" s="44"/>
      <c r="N1232" s="45"/>
      <c r="O1232" s="76"/>
      <c r="P1232" s="76"/>
    </row>
    <row r="1233" ht="20.25" customHeight="1">
      <c r="A1233" s="29"/>
      <c r="B1233" s="19" t="s">
        <v>22</v>
      </c>
      <c r="C1233" s="19"/>
      <c r="D1233" s="19"/>
      <c r="E1233" s="19"/>
      <c r="F1233" s="20"/>
      <c r="G1233" s="74" t="s">
        <v>17</v>
      </c>
      <c r="H1233" s="74" t="s">
        <v>18</v>
      </c>
      <c r="I1233" s="77">
        <v>19.0</v>
      </c>
      <c r="J1233" s="311"/>
      <c r="K1233" s="368"/>
      <c r="L1233" s="368"/>
      <c r="M1233" s="50"/>
      <c r="N1233" s="51"/>
      <c r="O1233" s="76"/>
      <c r="P1233" s="76"/>
    </row>
    <row r="1234" ht="20.25" customHeight="1">
      <c r="A1234" s="57"/>
      <c r="B1234" s="72" t="s">
        <v>279</v>
      </c>
      <c r="C1234" s="72">
        <v>101.0</v>
      </c>
      <c r="D1234" s="72">
        <v>1.14</v>
      </c>
      <c r="E1234" s="11"/>
      <c r="F1234" s="75" t="s">
        <v>299</v>
      </c>
      <c r="G1234" s="74" t="s">
        <v>179</v>
      </c>
      <c r="H1234" s="74" t="s">
        <v>25</v>
      </c>
      <c r="I1234" s="73">
        <v>1.0</v>
      </c>
      <c r="J1234" s="399" t="s">
        <v>364</v>
      </c>
      <c r="K1234" s="400"/>
      <c r="L1234" s="400"/>
      <c r="M1234" s="45"/>
      <c r="N1234" s="105">
        <v>2280.0</v>
      </c>
      <c r="O1234" s="76"/>
      <c r="P1234" s="76"/>
    </row>
    <row r="1235" ht="20.25" customHeight="1">
      <c r="A1235" s="29"/>
      <c r="B1235" s="20"/>
      <c r="C1235" s="20"/>
      <c r="D1235" s="20"/>
      <c r="E1235" s="19"/>
      <c r="F1235" s="20"/>
      <c r="G1235" s="74" t="s">
        <v>179</v>
      </c>
      <c r="H1235" s="74" t="s">
        <v>18</v>
      </c>
      <c r="I1235" s="77">
        <v>11.0</v>
      </c>
      <c r="J1235" s="311"/>
      <c r="K1235" s="368"/>
      <c r="L1235" s="368"/>
      <c r="M1235" s="51"/>
      <c r="N1235" s="108"/>
      <c r="O1235" s="76"/>
      <c r="P1235" s="76"/>
    </row>
    <row r="1236" ht="20.25" customHeight="1">
      <c r="A1236" s="57"/>
      <c r="B1236" s="72" t="s">
        <v>110</v>
      </c>
      <c r="C1236" s="11">
        <v>131.0</v>
      </c>
      <c r="D1236" s="11"/>
      <c r="E1236" s="11"/>
      <c r="F1236" s="75" t="s">
        <v>235</v>
      </c>
      <c r="G1236" s="74" t="s">
        <v>17</v>
      </c>
      <c r="H1236" s="74" t="s">
        <v>25</v>
      </c>
      <c r="I1236" s="73">
        <v>1.0</v>
      </c>
      <c r="J1236" s="73">
        <v>220.0</v>
      </c>
      <c r="K1236" s="73">
        <v>220.0</v>
      </c>
      <c r="L1236" s="399">
        <v>400.0</v>
      </c>
      <c r="M1236" s="45"/>
      <c r="N1236" s="105">
        <v>2920.0</v>
      </c>
      <c r="O1236" s="76"/>
      <c r="P1236" s="76"/>
    </row>
    <row r="1237" ht="20.25" customHeight="1">
      <c r="A1237" s="29"/>
      <c r="B1237" s="20"/>
      <c r="C1237" s="19">
        <v>132.0</v>
      </c>
      <c r="D1237" s="19"/>
      <c r="E1237" s="19"/>
      <c r="F1237" s="20"/>
      <c r="G1237" s="74" t="s">
        <v>17</v>
      </c>
      <c r="H1237" s="74" t="s">
        <v>18</v>
      </c>
      <c r="I1237" s="77">
        <v>23.0</v>
      </c>
      <c r="J1237" s="77">
        <v>100.0</v>
      </c>
      <c r="K1237" s="77">
        <v>2300.0</v>
      </c>
      <c r="L1237" s="311"/>
      <c r="M1237" s="51"/>
      <c r="N1237" s="108"/>
      <c r="O1237" s="76"/>
      <c r="P1237" s="76"/>
    </row>
    <row r="1238" ht="20.25" customHeight="1">
      <c r="A1238" s="614">
        <v>46262.0</v>
      </c>
      <c r="B1238" s="11" t="s">
        <v>21</v>
      </c>
      <c r="C1238" s="11">
        <v>138.0</v>
      </c>
      <c r="D1238" s="11"/>
      <c r="E1238" s="11"/>
      <c r="F1238" s="75" t="s">
        <v>363</v>
      </c>
      <c r="G1238" s="74" t="s">
        <v>17</v>
      </c>
      <c r="H1238" s="74" t="s">
        <v>25</v>
      </c>
      <c r="I1238" s="73">
        <v>1.0</v>
      </c>
      <c r="J1238" s="617"/>
      <c r="K1238" s="400"/>
      <c r="L1238" s="400"/>
      <c r="M1238" s="44"/>
      <c r="N1238" s="45"/>
      <c r="O1238" s="76"/>
      <c r="P1238" s="76"/>
    </row>
    <row r="1239" ht="20.25" customHeight="1">
      <c r="A1239" s="29"/>
      <c r="B1239" s="19" t="s">
        <v>22</v>
      </c>
      <c r="C1239" s="19"/>
      <c r="D1239" s="19"/>
      <c r="E1239" s="19"/>
      <c r="F1239" s="20"/>
      <c r="G1239" s="74" t="s">
        <v>17</v>
      </c>
      <c r="H1239" s="74" t="s">
        <v>18</v>
      </c>
      <c r="I1239" s="77">
        <v>18.0</v>
      </c>
      <c r="J1239" s="311"/>
      <c r="K1239" s="368"/>
      <c r="L1239" s="368"/>
      <c r="M1239" s="50"/>
      <c r="N1239" s="51"/>
      <c r="O1239" s="76"/>
      <c r="P1239" s="76"/>
    </row>
    <row r="1240" ht="20.25" customHeight="1">
      <c r="A1240" s="57"/>
      <c r="B1240" s="72" t="s">
        <v>21</v>
      </c>
      <c r="C1240" s="72">
        <v>137.0</v>
      </c>
      <c r="D1240" s="11"/>
      <c r="E1240" s="11"/>
      <c r="F1240" s="75" t="s">
        <v>369</v>
      </c>
      <c r="G1240" s="74" t="s">
        <v>17</v>
      </c>
      <c r="H1240" s="74" t="s">
        <v>25</v>
      </c>
      <c r="I1240" s="73">
        <v>1.0</v>
      </c>
      <c r="J1240" s="73">
        <v>120.0</v>
      </c>
      <c r="K1240" s="73">
        <v>120.0</v>
      </c>
      <c r="L1240" s="75">
        <v>25.0</v>
      </c>
      <c r="M1240" s="105">
        <v>350.0</v>
      </c>
      <c r="N1240" s="105">
        <v>1770.0</v>
      </c>
      <c r="O1240" s="76"/>
      <c r="P1240" s="76"/>
    </row>
    <row r="1241" ht="20.25" customHeight="1">
      <c r="A1241" s="29"/>
      <c r="B1241" s="20"/>
      <c r="C1241" s="20"/>
      <c r="D1241" s="19"/>
      <c r="E1241" s="19"/>
      <c r="F1241" s="20"/>
      <c r="G1241" s="74" t="s">
        <v>17</v>
      </c>
      <c r="H1241" s="74" t="s">
        <v>18</v>
      </c>
      <c r="I1241" s="77">
        <v>13.0</v>
      </c>
      <c r="J1241" s="77">
        <v>100.0</v>
      </c>
      <c r="K1241" s="77">
        <v>1300.0</v>
      </c>
      <c r="L1241" s="20"/>
      <c r="M1241" s="108"/>
      <c r="N1241" s="108"/>
      <c r="O1241" s="76"/>
      <c r="P1241" s="76"/>
    </row>
    <row r="1242" ht="20.25" customHeight="1">
      <c r="A1242" s="57"/>
      <c r="B1242" s="72" t="s">
        <v>279</v>
      </c>
      <c r="C1242" s="72">
        <v>129.0</v>
      </c>
      <c r="D1242" s="72">
        <v>0.96</v>
      </c>
      <c r="E1242" s="11"/>
      <c r="F1242" s="75" t="s">
        <v>299</v>
      </c>
      <c r="G1242" s="74" t="s">
        <v>179</v>
      </c>
      <c r="H1242" s="74" t="s">
        <v>25</v>
      </c>
      <c r="I1242" s="73">
        <v>1.0</v>
      </c>
      <c r="J1242" s="399" t="s">
        <v>350</v>
      </c>
      <c r="K1242" s="400"/>
      <c r="L1242" s="400"/>
      <c r="M1242" s="45"/>
      <c r="N1242" s="105">
        <v>1920.0</v>
      </c>
      <c r="O1242" s="76"/>
      <c r="P1242" s="76"/>
    </row>
    <row r="1243" ht="20.25" customHeight="1">
      <c r="A1243" s="29"/>
      <c r="B1243" s="20"/>
      <c r="C1243" s="20"/>
      <c r="D1243" s="20"/>
      <c r="E1243" s="19"/>
      <c r="F1243" s="20"/>
      <c r="G1243" s="74" t="s">
        <v>179</v>
      </c>
      <c r="H1243" s="74" t="s">
        <v>18</v>
      </c>
      <c r="I1243" s="77">
        <v>11.0</v>
      </c>
      <c r="J1243" s="311"/>
      <c r="K1243" s="368"/>
      <c r="L1243" s="368"/>
      <c r="M1243" s="51"/>
      <c r="N1243" s="108"/>
      <c r="O1243" s="76"/>
      <c r="P1243" s="76"/>
    </row>
    <row r="1244" ht="20.25" customHeight="1">
      <c r="A1244" s="57"/>
      <c r="B1244" s="72" t="s">
        <v>110</v>
      </c>
      <c r="C1244" s="72">
        <v>134.0</v>
      </c>
      <c r="D1244" s="11"/>
      <c r="E1244" s="11"/>
      <c r="F1244" s="75" t="s">
        <v>235</v>
      </c>
      <c r="G1244" s="74" t="s">
        <v>17</v>
      </c>
      <c r="H1244" s="74" t="s">
        <v>25</v>
      </c>
      <c r="I1244" s="73">
        <v>1.0</v>
      </c>
      <c r="J1244" s="73">
        <v>220.0</v>
      </c>
      <c r="K1244" s="73">
        <v>220.0</v>
      </c>
      <c r="L1244" s="399">
        <v>400.0</v>
      </c>
      <c r="M1244" s="45"/>
      <c r="N1244" s="105">
        <v>3930.0</v>
      </c>
      <c r="O1244" s="76"/>
      <c r="P1244" s="76"/>
    </row>
    <row r="1245" ht="20.25" customHeight="1">
      <c r="A1245" s="29"/>
      <c r="B1245" s="29"/>
      <c r="C1245" s="29"/>
      <c r="D1245" s="19"/>
      <c r="E1245" s="19"/>
      <c r="F1245" s="29"/>
      <c r="G1245" s="74" t="s">
        <v>17</v>
      </c>
      <c r="H1245" s="74" t="s">
        <v>18</v>
      </c>
      <c r="I1245" s="77">
        <v>6.0</v>
      </c>
      <c r="J1245" s="77">
        <v>150.0</v>
      </c>
      <c r="K1245" s="77">
        <v>900.0</v>
      </c>
      <c r="L1245" s="314"/>
      <c r="M1245" s="48"/>
      <c r="N1245" s="187"/>
      <c r="O1245" s="76"/>
      <c r="P1245" s="76"/>
    </row>
    <row r="1246" ht="20.25" customHeight="1">
      <c r="A1246" s="57"/>
      <c r="B1246" s="57"/>
      <c r="C1246" s="57"/>
      <c r="D1246" s="11"/>
      <c r="E1246" s="11"/>
      <c r="F1246" s="57"/>
      <c r="G1246" s="74" t="s">
        <v>17</v>
      </c>
      <c r="H1246" s="74" t="s">
        <v>18</v>
      </c>
      <c r="I1246" s="73">
        <v>8.0</v>
      </c>
      <c r="J1246" s="73">
        <v>155.0</v>
      </c>
      <c r="K1246" s="73">
        <v>1240.0</v>
      </c>
      <c r="L1246" s="294"/>
      <c r="M1246" s="48"/>
      <c r="N1246" s="187"/>
      <c r="O1246" s="76"/>
      <c r="P1246" s="76"/>
    </row>
    <row r="1247" ht="20.25" customHeight="1">
      <c r="A1247" s="20"/>
      <c r="B1247" s="20"/>
      <c r="C1247" s="20"/>
      <c r="D1247" s="19"/>
      <c r="E1247" s="19"/>
      <c r="F1247" s="20"/>
      <c r="G1247" s="74" t="s">
        <v>17</v>
      </c>
      <c r="H1247" s="74" t="s">
        <v>18</v>
      </c>
      <c r="I1247" s="77">
        <v>9.0</v>
      </c>
      <c r="J1247" s="77">
        <v>130.0</v>
      </c>
      <c r="K1247" s="77">
        <v>1170.0</v>
      </c>
      <c r="L1247" s="311"/>
      <c r="M1247" s="51"/>
      <c r="N1247" s="108"/>
      <c r="O1247" s="76"/>
      <c r="P1247" s="76"/>
    </row>
    <row r="1248" ht="20.25" customHeight="1">
      <c r="A1248" s="614">
        <v>46263.0</v>
      </c>
      <c r="B1248" s="72" t="s">
        <v>110</v>
      </c>
      <c r="C1248" s="72">
        <v>137.0</v>
      </c>
      <c r="D1248" s="11"/>
      <c r="E1248" s="11"/>
      <c r="F1248" s="75" t="s">
        <v>369</v>
      </c>
      <c r="G1248" s="74" t="s">
        <v>17</v>
      </c>
      <c r="H1248" s="74" t="s">
        <v>25</v>
      </c>
      <c r="I1248" s="73">
        <v>1.0</v>
      </c>
      <c r="J1248" s="73">
        <v>120.0</v>
      </c>
      <c r="K1248" s="73">
        <v>120.0</v>
      </c>
      <c r="L1248" s="75">
        <v>25.0</v>
      </c>
      <c r="M1248" s="105">
        <v>475.0</v>
      </c>
      <c r="N1248" s="105">
        <v>2395.0</v>
      </c>
      <c r="O1248" s="76"/>
      <c r="P1248" s="76"/>
    </row>
    <row r="1249" ht="20.25" customHeight="1">
      <c r="A1249" s="29"/>
      <c r="B1249" s="20"/>
      <c r="C1249" s="20"/>
      <c r="D1249" s="19"/>
      <c r="E1249" s="19"/>
      <c r="F1249" s="20"/>
      <c r="G1249" s="74" t="s">
        <v>17</v>
      </c>
      <c r="H1249" s="74" t="s">
        <v>18</v>
      </c>
      <c r="I1249" s="77">
        <v>18.0</v>
      </c>
      <c r="J1249" s="77">
        <v>100.0</v>
      </c>
      <c r="K1249" s="77">
        <v>1800.0</v>
      </c>
      <c r="L1249" s="20"/>
      <c r="M1249" s="108"/>
      <c r="N1249" s="108"/>
      <c r="O1249" s="76"/>
      <c r="P1249" s="76"/>
    </row>
    <row r="1250" ht="20.25" customHeight="1">
      <c r="A1250" s="57"/>
      <c r="B1250" s="72" t="s">
        <v>279</v>
      </c>
      <c r="C1250" s="72">
        <v>131.0</v>
      </c>
      <c r="D1250" s="72">
        <v>0.96</v>
      </c>
      <c r="E1250" s="11"/>
      <c r="F1250" s="75" t="s">
        <v>299</v>
      </c>
      <c r="G1250" s="74" t="s">
        <v>179</v>
      </c>
      <c r="H1250" s="74" t="s">
        <v>25</v>
      </c>
      <c r="I1250" s="73">
        <v>1.0</v>
      </c>
      <c r="J1250" s="399" t="s">
        <v>350</v>
      </c>
      <c r="K1250" s="400"/>
      <c r="L1250" s="400"/>
      <c r="M1250" s="45"/>
      <c r="N1250" s="105">
        <v>1920.0</v>
      </c>
      <c r="O1250" s="76"/>
      <c r="P1250" s="76"/>
    </row>
    <row r="1251" ht="20.25" customHeight="1">
      <c r="A1251" s="29"/>
      <c r="B1251" s="20"/>
      <c r="C1251" s="20"/>
      <c r="D1251" s="20"/>
      <c r="E1251" s="19"/>
      <c r="F1251" s="20"/>
      <c r="G1251" s="74" t="s">
        <v>179</v>
      </c>
      <c r="H1251" s="74" t="s">
        <v>18</v>
      </c>
      <c r="I1251" s="77">
        <v>10.0</v>
      </c>
      <c r="J1251" s="311"/>
      <c r="K1251" s="368"/>
      <c r="L1251" s="368"/>
      <c r="M1251" s="51"/>
      <c r="N1251" s="108"/>
      <c r="O1251" s="76"/>
      <c r="P1251" s="76"/>
    </row>
    <row r="1252" ht="20.25" customHeight="1">
      <c r="A1252" s="57"/>
      <c r="B1252" s="72" t="s">
        <v>110</v>
      </c>
      <c r="C1252" s="72">
        <v>133.0</v>
      </c>
      <c r="D1252" s="11"/>
      <c r="E1252" s="11"/>
      <c r="F1252" s="75" t="s">
        <v>235</v>
      </c>
      <c r="G1252" s="74" t="s">
        <v>17</v>
      </c>
      <c r="H1252" s="74" t="s">
        <v>25</v>
      </c>
      <c r="I1252" s="73">
        <v>1.0</v>
      </c>
      <c r="J1252" s="73">
        <v>220.0</v>
      </c>
      <c r="K1252" s="73">
        <v>220.0</v>
      </c>
      <c r="L1252" s="399">
        <v>400.0</v>
      </c>
      <c r="M1252" s="45"/>
      <c r="N1252" s="105">
        <v>3905.0</v>
      </c>
      <c r="O1252" s="76"/>
      <c r="P1252" s="76"/>
    </row>
    <row r="1253" ht="20.25" customHeight="1">
      <c r="A1253" s="29"/>
      <c r="B1253" s="29"/>
      <c r="C1253" s="29"/>
      <c r="D1253" s="19"/>
      <c r="E1253" s="19"/>
      <c r="F1253" s="29"/>
      <c r="G1253" s="74" t="s">
        <v>17</v>
      </c>
      <c r="H1253" s="74" t="s">
        <v>18</v>
      </c>
      <c r="I1253" s="77">
        <v>6.0</v>
      </c>
      <c r="J1253" s="77">
        <v>150.0</v>
      </c>
      <c r="K1253" s="77">
        <v>900.0</v>
      </c>
      <c r="L1253" s="314"/>
      <c r="M1253" s="48"/>
      <c r="N1253" s="187"/>
      <c r="O1253" s="76"/>
      <c r="P1253" s="76"/>
    </row>
    <row r="1254" ht="20.25" customHeight="1">
      <c r="A1254" s="57"/>
      <c r="B1254" s="57"/>
      <c r="C1254" s="57"/>
      <c r="D1254" s="11"/>
      <c r="E1254" s="11"/>
      <c r="F1254" s="57"/>
      <c r="G1254" s="74" t="s">
        <v>17</v>
      </c>
      <c r="H1254" s="74" t="s">
        <v>18</v>
      </c>
      <c r="I1254" s="73">
        <v>5.0</v>
      </c>
      <c r="J1254" s="73">
        <v>155.0</v>
      </c>
      <c r="K1254" s="73">
        <v>775.0</v>
      </c>
      <c r="L1254" s="294"/>
      <c r="M1254" s="48"/>
      <c r="N1254" s="187"/>
      <c r="O1254" s="76"/>
      <c r="P1254" s="76"/>
    </row>
    <row r="1255" ht="20.25" customHeight="1">
      <c r="A1255" s="29"/>
      <c r="B1255" s="29"/>
      <c r="C1255" s="29"/>
      <c r="D1255" s="19"/>
      <c r="E1255" s="19"/>
      <c r="F1255" s="29"/>
      <c r="G1255" s="74" t="s">
        <v>17</v>
      </c>
      <c r="H1255" s="74" t="s">
        <v>18</v>
      </c>
      <c r="I1255" s="77">
        <v>6.0</v>
      </c>
      <c r="J1255" s="77">
        <v>180.0</v>
      </c>
      <c r="K1255" s="77">
        <v>1080.0</v>
      </c>
      <c r="L1255" s="314"/>
      <c r="M1255" s="48"/>
      <c r="N1255" s="187"/>
      <c r="O1255" s="76"/>
      <c r="P1255" s="76"/>
    </row>
    <row r="1256" ht="20.25" customHeight="1">
      <c r="A1256" s="57"/>
      <c r="B1256" s="57"/>
      <c r="C1256" s="57"/>
      <c r="D1256" s="11"/>
      <c r="E1256" s="11"/>
      <c r="F1256" s="57"/>
      <c r="G1256" s="74" t="s">
        <v>17</v>
      </c>
      <c r="H1256" s="74" t="s">
        <v>18</v>
      </c>
      <c r="I1256" s="73">
        <v>2.0</v>
      </c>
      <c r="J1256" s="73">
        <v>200.0</v>
      </c>
      <c r="K1256" s="73">
        <v>400.0</v>
      </c>
      <c r="L1256" s="294"/>
      <c r="M1256" s="48"/>
      <c r="N1256" s="187"/>
      <c r="O1256" s="76"/>
      <c r="P1256" s="76"/>
    </row>
    <row r="1257" ht="20.25" customHeight="1">
      <c r="A1257" s="20"/>
      <c r="B1257" s="20"/>
      <c r="C1257" s="20"/>
      <c r="D1257" s="19"/>
      <c r="E1257" s="19"/>
      <c r="F1257" s="20"/>
      <c r="G1257" s="74" t="s">
        <v>17</v>
      </c>
      <c r="H1257" s="74" t="s">
        <v>18</v>
      </c>
      <c r="I1257" s="77">
        <v>1.0</v>
      </c>
      <c r="J1257" s="77">
        <v>130.0</v>
      </c>
      <c r="K1257" s="77">
        <v>130.0</v>
      </c>
      <c r="L1257" s="311"/>
      <c r="M1257" s="51"/>
      <c r="N1257" s="108"/>
      <c r="O1257" s="76"/>
      <c r="P1257" s="76"/>
    </row>
    <row r="1258" ht="20.25" customHeight="1">
      <c r="A1258" s="614">
        <v>46264.0</v>
      </c>
      <c r="B1258" s="72" t="s">
        <v>279</v>
      </c>
      <c r="C1258" s="72">
        <v>130.0</v>
      </c>
      <c r="D1258" s="72">
        <v>0.96</v>
      </c>
      <c r="E1258" s="11"/>
      <c r="F1258" s="75" t="s">
        <v>299</v>
      </c>
      <c r="G1258" s="74" t="s">
        <v>179</v>
      </c>
      <c r="H1258" s="74" t="s">
        <v>25</v>
      </c>
      <c r="I1258" s="73">
        <v>1.0</v>
      </c>
      <c r="J1258" s="399" t="s">
        <v>350</v>
      </c>
      <c r="K1258" s="400"/>
      <c r="L1258" s="400"/>
      <c r="M1258" s="45"/>
      <c r="N1258" s="105">
        <v>1920.0</v>
      </c>
      <c r="O1258" s="76"/>
      <c r="P1258" s="76"/>
    </row>
    <row r="1259" ht="20.25" customHeight="1">
      <c r="A1259" s="20"/>
      <c r="B1259" s="20"/>
      <c r="C1259" s="20"/>
      <c r="D1259" s="20"/>
      <c r="E1259" s="19"/>
      <c r="F1259" s="20"/>
      <c r="G1259" s="74" t="s">
        <v>179</v>
      </c>
      <c r="H1259" s="74" t="s">
        <v>18</v>
      </c>
      <c r="I1259" s="77">
        <v>10.0</v>
      </c>
      <c r="J1259" s="311"/>
      <c r="K1259" s="368"/>
      <c r="L1259" s="368"/>
      <c r="M1259" s="51"/>
      <c r="N1259" s="108"/>
      <c r="O1259" s="76"/>
      <c r="P1259" s="76"/>
    </row>
    <row r="1260" ht="20.25" customHeight="1">
      <c r="A1260" s="614">
        <v>46265.0</v>
      </c>
      <c r="B1260" s="72" t="s">
        <v>110</v>
      </c>
      <c r="C1260" s="72">
        <v>137.0</v>
      </c>
      <c r="D1260" s="11"/>
      <c r="E1260" s="11"/>
      <c r="F1260" s="75" t="s">
        <v>369</v>
      </c>
      <c r="G1260" s="74" t="s">
        <v>17</v>
      </c>
      <c r="H1260" s="74" t="s">
        <v>25</v>
      </c>
      <c r="I1260" s="73">
        <v>1.0</v>
      </c>
      <c r="J1260" s="73">
        <v>120.0</v>
      </c>
      <c r="K1260" s="73">
        <v>120.0</v>
      </c>
      <c r="L1260" s="75">
        <v>25.0</v>
      </c>
      <c r="M1260" s="105">
        <v>500.0</v>
      </c>
      <c r="N1260" s="105">
        <v>2520.0</v>
      </c>
      <c r="O1260" s="76"/>
      <c r="P1260" s="76"/>
    </row>
    <row r="1261" ht="20.25" customHeight="1">
      <c r="A1261" s="29"/>
      <c r="B1261" s="20"/>
      <c r="C1261" s="20"/>
      <c r="D1261" s="19"/>
      <c r="E1261" s="19"/>
      <c r="F1261" s="20"/>
      <c r="G1261" s="74" t="s">
        <v>17</v>
      </c>
      <c r="H1261" s="74" t="s">
        <v>18</v>
      </c>
      <c r="I1261" s="77">
        <v>19.0</v>
      </c>
      <c r="J1261" s="77">
        <v>100.0</v>
      </c>
      <c r="K1261" s="77">
        <v>1900.0</v>
      </c>
      <c r="L1261" s="20"/>
      <c r="M1261" s="108"/>
      <c r="N1261" s="108"/>
      <c r="O1261" s="76"/>
      <c r="P1261" s="76"/>
    </row>
    <row r="1262" ht="20.25" customHeight="1">
      <c r="A1262" s="57"/>
      <c r="B1262" s="72" t="s">
        <v>279</v>
      </c>
      <c r="C1262" s="72">
        <v>132.0</v>
      </c>
      <c r="D1262" s="72">
        <v>0.95</v>
      </c>
      <c r="E1262" s="11"/>
      <c r="F1262" s="75" t="s">
        <v>299</v>
      </c>
      <c r="G1262" s="74" t="s">
        <v>179</v>
      </c>
      <c r="H1262" s="74" t="s">
        <v>25</v>
      </c>
      <c r="I1262" s="73">
        <v>1.0</v>
      </c>
      <c r="J1262" s="399" t="s">
        <v>325</v>
      </c>
      <c r="K1262" s="400"/>
      <c r="L1262" s="400"/>
      <c r="M1262" s="45"/>
      <c r="N1262" s="105">
        <v>1900.0</v>
      </c>
      <c r="O1262" s="76"/>
      <c r="P1262" s="76"/>
    </row>
    <row r="1263" ht="20.25" customHeight="1">
      <c r="A1263" s="29"/>
      <c r="B1263" s="20"/>
      <c r="C1263" s="20"/>
      <c r="D1263" s="20"/>
      <c r="E1263" s="19"/>
      <c r="F1263" s="20"/>
      <c r="G1263" s="74" t="s">
        <v>179</v>
      </c>
      <c r="H1263" s="74" t="s">
        <v>18</v>
      </c>
      <c r="I1263" s="77">
        <v>10.0</v>
      </c>
      <c r="J1263" s="311"/>
      <c r="K1263" s="368"/>
      <c r="L1263" s="368"/>
      <c r="M1263" s="51"/>
      <c r="N1263" s="108"/>
      <c r="O1263" s="76"/>
      <c r="P1263" s="76"/>
    </row>
    <row r="1264" ht="20.25" customHeight="1">
      <c r="A1264" s="57"/>
      <c r="B1264" s="72" t="s">
        <v>110</v>
      </c>
      <c r="C1264" s="72">
        <v>135.0</v>
      </c>
      <c r="D1264" s="11"/>
      <c r="E1264" s="11"/>
      <c r="F1264" s="75" t="s">
        <v>235</v>
      </c>
      <c r="G1264" s="74" t="s">
        <v>17</v>
      </c>
      <c r="H1264" s="74" t="s">
        <v>25</v>
      </c>
      <c r="I1264" s="73">
        <v>1.0</v>
      </c>
      <c r="J1264" s="73">
        <v>220.0</v>
      </c>
      <c r="K1264" s="73">
        <v>220.0</v>
      </c>
      <c r="L1264" s="399">
        <v>400.0</v>
      </c>
      <c r="M1264" s="45"/>
      <c r="N1264" s="105">
        <v>3760.0</v>
      </c>
      <c r="O1264" s="76"/>
      <c r="P1264" s="76"/>
    </row>
    <row r="1265" ht="20.25" customHeight="1">
      <c r="A1265" s="29"/>
      <c r="B1265" s="29"/>
      <c r="C1265" s="29"/>
      <c r="D1265" s="19"/>
      <c r="E1265" s="19"/>
      <c r="F1265" s="29"/>
      <c r="G1265" s="74" t="s">
        <v>17</v>
      </c>
      <c r="H1265" s="74" t="s">
        <v>18</v>
      </c>
      <c r="I1265" s="77">
        <v>6.0</v>
      </c>
      <c r="J1265" s="77">
        <v>150.0</v>
      </c>
      <c r="K1265" s="77">
        <v>900.0</v>
      </c>
      <c r="L1265" s="314"/>
      <c r="M1265" s="48"/>
      <c r="N1265" s="187"/>
      <c r="O1265" s="76"/>
      <c r="P1265" s="76"/>
    </row>
    <row r="1266" ht="20.25" customHeight="1">
      <c r="A1266" s="57"/>
      <c r="B1266" s="57"/>
      <c r="C1266" s="57"/>
      <c r="D1266" s="11"/>
      <c r="E1266" s="11"/>
      <c r="F1266" s="57"/>
      <c r="G1266" s="74" t="s">
        <v>17</v>
      </c>
      <c r="H1266" s="74" t="s">
        <v>18</v>
      </c>
      <c r="I1266" s="73">
        <v>8.0</v>
      </c>
      <c r="J1266" s="73">
        <v>145.0</v>
      </c>
      <c r="K1266" s="73">
        <v>1160.0</v>
      </c>
      <c r="L1266" s="294"/>
      <c r="M1266" s="48"/>
      <c r="N1266" s="187"/>
      <c r="O1266" s="76"/>
      <c r="P1266" s="76"/>
    </row>
    <row r="1267" ht="20.25" customHeight="1">
      <c r="A1267" s="20"/>
      <c r="B1267" s="20"/>
      <c r="C1267" s="20"/>
      <c r="D1267" s="19"/>
      <c r="E1267" s="19"/>
      <c r="F1267" s="20"/>
      <c r="G1267" s="74" t="s">
        <v>17</v>
      </c>
      <c r="H1267" s="74" t="s">
        <v>18</v>
      </c>
      <c r="I1267" s="77">
        <v>9.0</v>
      </c>
      <c r="J1267" s="77">
        <v>120.0</v>
      </c>
      <c r="K1267" s="77">
        <v>1080.0</v>
      </c>
      <c r="L1267" s="311"/>
      <c r="M1267" s="51"/>
      <c r="N1267" s="108"/>
      <c r="O1267" s="76"/>
      <c r="P1267" s="76"/>
    </row>
    <row r="1268" ht="20.25" customHeight="1">
      <c r="A1268" s="614">
        <v>46266.0</v>
      </c>
      <c r="B1268" s="11" t="s">
        <v>110</v>
      </c>
      <c r="C1268" s="72">
        <v>135.0</v>
      </c>
      <c r="D1268" s="11"/>
      <c r="E1268" s="11"/>
      <c r="F1268" s="75" t="s">
        <v>369</v>
      </c>
      <c r="G1268" s="74" t="s">
        <v>17</v>
      </c>
      <c r="H1268" s="74" t="s">
        <v>25</v>
      </c>
      <c r="I1268" s="73">
        <v>1.0</v>
      </c>
      <c r="J1268" s="73">
        <v>120.0</v>
      </c>
      <c r="K1268" s="73">
        <v>120.0</v>
      </c>
      <c r="L1268" s="75">
        <v>25.0</v>
      </c>
      <c r="M1268" s="105">
        <v>475.0</v>
      </c>
      <c r="N1268" s="105">
        <v>2395.0</v>
      </c>
      <c r="O1268" s="76"/>
      <c r="P1268" s="76"/>
    </row>
    <row r="1269" ht="20.25" customHeight="1">
      <c r="A1269" s="29"/>
      <c r="B1269" s="19"/>
      <c r="C1269" s="624"/>
      <c r="D1269" s="19"/>
      <c r="E1269" s="19"/>
      <c r="F1269" s="20"/>
      <c r="G1269" s="74" t="s">
        <v>17</v>
      </c>
      <c r="H1269" s="74" t="s">
        <v>18</v>
      </c>
      <c r="I1269" s="77">
        <v>18.0</v>
      </c>
      <c r="J1269" s="77">
        <v>100.0</v>
      </c>
      <c r="K1269" s="77">
        <v>1800.0</v>
      </c>
      <c r="L1269" s="20"/>
      <c r="M1269" s="108"/>
      <c r="N1269" s="108"/>
      <c r="O1269" s="76"/>
      <c r="P1269" s="76"/>
    </row>
    <row r="1270" ht="20.25" customHeight="1">
      <c r="A1270" s="57"/>
      <c r="B1270" s="72" t="s">
        <v>279</v>
      </c>
      <c r="C1270" s="72">
        <v>134.0</v>
      </c>
      <c r="D1270" s="72">
        <v>0.96</v>
      </c>
      <c r="E1270" s="11"/>
      <c r="F1270" s="75" t="s">
        <v>299</v>
      </c>
      <c r="G1270" s="74" t="s">
        <v>179</v>
      </c>
      <c r="H1270" s="74" t="s">
        <v>25</v>
      </c>
      <c r="I1270" s="73">
        <v>1.0</v>
      </c>
      <c r="J1270" s="399" t="s">
        <v>350</v>
      </c>
      <c r="K1270" s="400"/>
      <c r="L1270" s="400"/>
      <c r="M1270" s="45"/>
      <c r="N1270" s="105">
        <v>1920.0</v>
      </c>
      <c r="O1270" s="76"/>
      <c r="P1270" s="76"/>
    </row>
    <row r="1271" ht="20.25" customHeight="1">
      <c r="A1271" s="29"/>
      <c r="B1271" s="20"/>
      <c r="C1271" s="20"/>
      <c r="D1271" s="20"/>
      <c r="E1271" s="19"/>
      <c r="F1271" s="20"/>
      <c r="G1271" s="74" t="s">
        <v>179</v>
      </c>
      <c r="H1271" s="74" t="s">
        <v>18</v>
      </c>
      <c r="I1271" s="77">
        <v>10.0</v>
      </c>
      <c r="J1271" s="311"/>
      <c r="K1271" s="368"/>
      <c r="L1271" s="368"/>
      <c r="M1271" s="51"/>
      <c r="N1271" s="108"/>
      <c r="O1271" s="76"/>
      <c r="P1271" s="76"/>
    </row>
    <row r="1272" ht="20.25" customHeight="1">
      <c r="A1272" s="57"/>
      <c r="B1272" s="72" t="s">
        <v>110</v>
      </c>
      <c r="C1272" s="72">
        <v>136.0</v>
      </c>
      <c r="D1272" s="11"/>
      <c r="E1272" s="11"/>
      <c r="F1272" s="75" t="s">
        <v>235</v>
      </c>
      <c r="G1272" s="74" t="s">
        <v>17</v>
      </c>
      <c r="H1272" s="74" t="s">
        <v>25</v>
      </c>
      <c r="I1272" s="73">
        <v>1.0</v>
      </c>
      <c r="J1272" s="73">
        <v>220.0</v>
      </c>
      <c r="K1272" s="73">
        <v>220.0</v>
      </c>
      <c r="L1272" s="399">
        <v>400.0</v>
      </c>
      <c r="M1272" s="45"/>
      <c r="N1272" s="105">
        <v>3760.0</v>
      </c>
      <c r="O1272" s="76"/>
      <c r="P1272" s="76"/>
    </row>
    <row r="1273" ht="20.25" customHeight="1">
      <c r="A1273" s="29"/>
      <c r="B1273" s="29"/>
      <c r="C1273" s="29"/>
      <c r="D1273" s="19"/>
      <c r="E1273" s="19"/>
      <c r="F1273" s="29"/>
      <c r="G1273" s="74" t="s">
        <v>17</v>
      </c>
      <c r="H1273" s="74" t="s">
        <v>18</v>
      </c>
      <c r="I1273" s="77">
        <v>6.0</v>
      </c>
      <c r="J1273" s="77">
        <v>150.0</v>
      </c>
      <c r="K1273" s="77">
        <v>900.0</v>
      </c>
      <c r="L1273" s="314"/>
      <c r="M1273" s="48"/>
      <c r="N1273" s="187"/>
      <c r="O1273" s="76"/>
      <c r="P1273" s="76"/>
    </row>
    <row r="1274" ht="20.25" customHeight="1">
      <c r="A1274" s="57"/>
      <c r="B1274" s="57"/>
      <c r="C1274" s="57"/>
      <c r="D1274" s="11"/>
      <c r="E1274" s="11"/>
      <c r="F1274" s="57"/>
      <c r="G1274" s="74" t="s">
        <v>17</v>
      </c>
      <c r="H1274" s="74" t="s">
        <v>18</v>
      </c>
      <c r="I1274" s="73">
        <v>8.0</v>
      </c>
      <c r="J1274" s="73">
        <v>145.0</v>
      </c>
      <c r="K1274" s="73">
        <v>1160.0</v>
      </c>
      <c r="L1274" s="294"/>
      <c r="M1274" s="48"/>
      <c r="N1274" s="187"/>
      <c r="O1274" s="76"/>
      <c r="P1274" s="76"/>
    </row>
    <row r="1275" ht="20.25" customHeight="1">
      <c r="A1275" s="20"/>
      <c r="B1275" s="20"/>
      <c r="C1275" s="20"/>
      <c r="D1275" s="19"/>
      <c r="E1275" s="19"/>
      <c r="F1275" s="20"/>
      <c r="G1275" s="74" t="s">
        <v>17</v>
      </c>
      <c r="H1275" s="74" t="s">
        <v>18</v>
      </c>
      <c r="I1275" s="77">
        <v>9.0</v>
      </c>
      <c r="J1275" s="77">
        <v>120.0</v>
      </c>
      <c r="K1275" s="77">
        <v>1080.0</v>
      </c>
      <c r="L1275" s="311"/>
      <c r="M1275" s="51"/>
      <c r="N1275" s="108"/>
      <c r="O1275" s="76"/>
      <c r="P1275" s="76"/>
    </row>
    <row r="1276" ht="20.25" customHeight="1">
      <c r="A1276" s="614">
        <v>46267.0</v>
      </c>
      <c r="B1276" s="72" t="s">
        <v>110</v>
      </c>
      <c r="C1276" s="11">
        <v>136.0</v>
      </c>
      <c r="D1276" s="11"/>
      <c r="E1276" s="11"/>
      <c r="F1276" s="75" t="s">
        <v>369</v>
      </c>
      <c r="G1276" s="74" t="s">
        <v>17</v>
      </c>
      <c r="H1276" s="74" t="s">
        <v>25</v>
      </c>
      <c r="I1276" s="73">
        <v>1.0</v>
      </c>
      <c r="J1276" s="73">
        <v>120.0</v>
      </c>
      <c r="K1276" s="73">
        <v>120.0</v>
      </c>
      <c r="L1276" s="75">
        <v>25.0</v>
      </c>
      <c r="M1276" s="105">
        <v>500.0</v>
      </c>
      <c r="N1276" s="105">
        <v>2520.0</v>
      </c>
      <c r="O1276" s="76"/>
      <c r="P1276" s="76"/>
    </row>
    <row r="1277" ht="20.25" customHeight="1">
      <c r="A1277" s="29"/>
      <c r="B1277" s="624" t="s">
        <v>22</v>
      </c>
      <c r="C1277" s="19"/>
      <c r="D1277" s="19"/>
      <c r="E1277" s="19"/>
      <c r="F1277" s="20"/>
      <c r="G1277" s="74" t="s">
        <v>17</v>
      </c>
      <c r="H1277" s="74" t="s">
        <v>18</v>
      </c>
      <c r="I1277" s="77">
        <v>19.0</v>
      </c>
      <c r="J1277" s="77">
        <v>100.0</v>
      </c>
      <c r="K1277" s="77">
        <v>1900.0</v>
      </c>
      <c r="L1277" s="20"/>
      <c r="M1277" s="108"/>
      <c r="N1277" s="108"/>
      <c r="O1277" s="76"/>
      <c r="P1277" s="76"/>
    </row>
    <row r="1278" ht="20.25" customHeight="1">
      <c r="A1278" s="57"/>
      <c r="B1278" s="72" t="s">
        <v>110</v>
      </c>
      <c r="C1278" s="72">
        <v>138.0</v>
      </c>
      <c r="D1278" s="11"/>
      <c r="E1278" s="11"/>
      <c r="F1278" s="75" t="s">
        <v>235</v>
      </c>
      <c r="G1278" s="74" t="s">
        <v>17</v>
      </c>
      <c r="H1278" s="74" t="s">
        <v>25</v>
      </c>
      <c r="I1278" s="73">
        <v>1.0</v>
      </c>
      <c r="J1278" s="73">
        <v>220.0</v>
      </c>
      <c r="K1278" s="73">
        <v>220.0</v>
      </c>
      <c r="L1278" s="399">
        <v>400.0</v>
      </c>
      <c r="M1278" s="45"/>
      <c r="N1278" s="105">
        <v>4055.0</v>
      </c>
      <c r="O1278" s="76"/>
      <c r="P1278" s="76"/>
    </row>
    <row r="1279" ht="20.25" customHeight="1">
      <c r="A1279" s="29"/>
      <c r="B1279" s="29"/>
      <c r="C1279" s="29"/>
      <c r="D1279" s="19"/>
      <c r="E1279" s="19"/>
      <c r="F1279" s="29"/>
      <c r="G1279" s="74" t="s">
        <v>17</v>
      </c>
      <c r="H1279" s="74" t="s">
        <v>18</v>
      </c>
      <c r="I1279" s="77">
        <v>6.0</v>
      </c>
      <c r="J1279" s="77">
        <v>150.0</v>
      </c>
      <c r="K1279" s="77">
        <v>900.0</v>
      </c>
      <c r="L1279" s="314"/>
      <c r="M1279" s="48"/>
      <c r="N1279" s="187"/>
      <c r="O1279" s="76"/>
      <c r="P1279" s="76"/>
    </row>
    <row r="1280" ht="20.25" customHeight="1">
      <c r="A1280" s="57"/>
      <c r="B1280" s="57"/>
      <c r="C1280" s="57"/>
      <c r="D1280" s="11"/>
      <c r="E1280" s="11"/>
      <c r="F1280" s="57"/>
      <c r="G1280" s="74" t="s">
        <v>17</v>
      </c>
      <c r="H1280" s="74" t="s">
        <v>18</v>
      </c>
      <c r="I1280" s="73">
        <v>8.0</v>
      </c>
      <c r="J1280" s="73">
        <v>165.0</v>
      </c>
      <c r="K1280" s="73">
        <v>1320.0</v>
      </c>
      <c r="L1280" s="294"/>
      <c r="M1280" s="48"/>
      <c r="N1280" s="187"/>
      <c r="O1280" s="76"/>
      <c r="P1280" s="76"/>
    </row>
    <row r="1281" ht="20.25" customHeight="1">
      <c r="A1281" s="29"/>
      <c r="B1281" s="20"/>
      <c r="C1281" s="20"/>
      <c r="D1281" s="19"/>
      <c r="E1281" s="19"/>
      <c r="F1281" s="20"/>
      <c r="G1281" s="74" t="s">
        <v>17</v>
      </c>
      <c r="H1281" s="74" t="s">
        <v>18</v>
      </c>
      <c r="I1281" s="77">
        <v>9.0</v>
      </c>
      <c r="J1281" s="77">
        <v>135.0</v>
      </c>
      <c r="K1281" s="77">
        <v>1215.0</v>
      </c>
      <c r="L1281" s="311"/>
      <c r="M1281" s="51"/>
      <c r="N1281" s="108"/>
      <c r="O1281" s="76"/>
      <c r="P1281" s="76"/>
    </row>
    <row r="1282" ht="20.25" customHeight="1">
      <c r="A1282" s="614">
        <v>46268.0</v>
      </c>
      <c r="B1282" s="11" t="s">
        <v>110</v>
      </c>
      <c r="C1282" s="72">
        <v>138.0</v>
      </c>
      <c r="D1282" s="11"/>
      <c r="E1282" s="11"/>
      <c r="F1282" s="75" t="s">
        <v>369</v>
      </c>
      <c r="G1282" s="74" t="s">
        <v>17</v>
      </c>
      <c r="H1282" s="74" t="s">
        <v>25</v>
      </c>
      <c r="I1282" s="73">
        <v>1.0</v>
      </c>
      <c r="J1282" s="73">
        <v>120.0</v>
      </c>
      <c r="K1282" s="73">
        <v>120.0</v>
      </c>
      <c r="L1282" s="75">
        <v>25.0</v>
      </c>
      <c r="M1282" s="105">
        <v>500.0</v>
      </c>
      <c r="N1282" s="105">
        <v>2520.0</v>
      </c>
      <c r="O1282" s="76"/>
      <c r="P1282" s="76"/>
    </row>
    <row r="1283" ht="20.25" customHeight="1">
      <c r="A1283" s="29"/>
      <c r="B1283" s="19" t="s">
        <v>122</v>
      </c>
      <c r="C1283" s="624"/>
      <c r="D1283" s="19"/>
      <c r="E1283" s="19"/>
      <c r="F1283" s="20"/>
      <c r="G1283" s="74" t="s">
        <v>17</v>
      </c>
      <c r="H1283" s="74" t="s">
        <v>18</v>
      </c>
      <c r="I1283" s="77">
        <v>19.0</v>
      </c>
      <c r="J1283" s="77">
        <v>100.0</v>
      </c>
      <c r="K1283" s="77">
        <v>1900.0</v>
      </c>
      <c r="L1283" s="20"/>
      <c r="M1283" s="108"/>
      <c r="N1283" s="108"/>
      <c r="O1283" s="76"/>
      <c r="P1283" s="76"/>
    </row>
    <row r="1284" ht="20.25" customHeight="1">
      <c r="A1284" s="57"/>
      <c r="B1284" s="72" t="s">
        <v>279</v>
      </c>
      <c r="C1284" s="72">
        <v>133.0</v>
      </c>
      <c r="D1284" s="72">
        <v>0.96</v>
      </c>
      <c r="E1284" s="11"/>
      <c r="F1284" s="75" t="s">
        <v>299</v>
      </c>
      <c r="G1284" s="74" t="s">
        <v>179</v>
      </c>
      <c r="H1284" s="74" t="s">
        <v>25</v>
      </c>
      <c r="I1284" s="73">
        <v>1.0</v>
      </c>
      <c r="J1284" s="399" t="s">
        <v>350</v>
      </c>
      <c r="K1284" s="400"/>
      <c r="L1284" s="400"/>
      <c r="M1284" s="45"/>
      <c r="N1284" s="105">
        <v>1920.0</v>
      </c>
      <c r="O1284" s="76"/>
      <c r="P1284" s="76"/>
    </row>
    <row r="1285" ht="20.25" customHeight="1">
      <c r="A1285" s="29"/>
      <c r="B1285" s="20"/>
      <c r="C1285" s="20"/>
      <c r="D1285" s="20"/>
      <c r="E1285" s="19"/>
      <c r="F1285" s="20"/>
      <c r="G1285" s="74" t="s">
        <v>179</v>
      </c>
      <c r="H1285" s="74" t="s">
        <v>18</v>
      </c>
      <c r="I1285" s="77">
        <v>10.0</v>
      </c>
      <c r="J1285" s="311"/>
      <c r="K1285" s="368"/>
      <c r="L1285" s="368"/>
      <c r="M1285" s="51"/>
      <c r="N1285" s="108"/>
      <c r="O1285" s="76"/>
      <c r="P1285" s="76"/>
    </row>
    <row r="1286" ht="20.25" customHeight="1">
      <c r="A1286" s="57"/>
      <c r="B1286" s="72" t="s">
        <v>110</v>
      </c>
      <c r="C1286" s="72">
        <v>137.0</v>
      </c>
      <c r="D1286" s="11"/>
      <c r="E1286" s="11"/>
      <c r="F1286" s="75" t="s">
        <v>235</v>
      </c>
      <c r="G1286" s="74" t="s">
        <v>17</v>
      </c>
      <c r="H1286" s="74" t="s">
        <v>25</v>
      </c>
      <c r="I1286" s="73">
        <v>1.0</v>
      </c>
      <c r="J1286" s="73">
        <v>220.0</v>
      </c>
      <c r="K1286" s="73">
        <v>220.0</v>
      </c>
      <c r="L1286" s="399">
        <v>400.0</v>
      </c>
      <c r="M1286" s="45"/>
      <c r="N1286" s="105">
        <v>4070.0</v>
      </c>
      <c r="O1286" s="76"/>
      <c r="P1286" s="76"/>
    </row>
    <row r="1287" ht="20.25" customHeight="1">
      <c r="A1287" s="29"/>
      <c r="B1287" s="29"/>
      <c r="C1287" s="29"/>
      <c r="D1287" s="19"/>
      <c r="E1287" s="19"/>
      <c r="F1287" s="29"/>
      <c r="G1287" s="74" t="s">
        <v>17</v>
      </c>
      <c r="H1287" s="74" t="s">
        <v>18</v>
      </c>
      <c r="I1287" s="77">
        <v>6.0</v>
      </c>
      <c r="J1287" s="77">
        <v>150.0</v>
      </c>
      <c r="K1287" s="77">
        <v>900.0</v>
      </c>
      <c r="L1287" s="314"/>
      <c r="M1287" s="48"/>
      <c r="N1287" s="187"/>
      <c r="O1287" s="76"/>
      <c r="P1287" s="76"/>
    </row>
    <row r="1288" ht="20.25" customHeight="1">
      <c r="A1288" s="57"/>
      <c r="B1288" s="57"/>
      <c r="C1288" s="57"/>
      <c r="D1288" s="11"/>
      <c r="E1288" s="11"/>
      <c r="F1288" s="57"/>
      <c r="G1288" s="74" t="s">
        <v>17</v>
      </c>
      <c r="H1288" s="74" t="s">
        <v>18</v>
      </c>
      <c r="I1288" s="73">
        <v>13.0</v>
      </c>
      <c r="J1288" s="73">
        <v>165.0</v>
      </c>
      <c r="K1288" s="73">
        <v>2145.0</v>
      </c>
      <c r="L1288" s="294"/>
      <c r="M1288" s="48"/>
      <c r="N1288" s="187"/>
      <c r="O1288" s="76"/>
      <c r="P1288" s="76"/>
    </row>
    <row r="1289" ht="20.25" customHeight="1">
      <c r="A1289" s="20"/>
      <c r="B1289" s="20"/>
      <c r="C1289" s="20"/>
      <c r="D1289" s="19"/>
      <c r="E1289" s="19"/>
      <c r="F1289" s="20"/>
      <c r="G1289" s="74" t="s">
        <v>17</v>
      </c>
      <c r="H1289" s="74" t="s">
        <v>18</v>
      </c>
      <c r="I1289" s="77">
        <v>3.0</v>
      </c>
      <c r="J1289" s="77">
        <v>135.0</v>
      </c>
      <c r="K1289" s="77">
        <v>405.0</v>
      </c>
      <c r="L1289" s="311"/>
      <c r="M1289" s="51"/>
      <c r="N1289" s="108"/>
      <c r="O1289" s="76"/>
      <c r="P1289" s="76"/>
    </row>
    <row r="1290" ht="20.25" customHeight="1">
      <c r="A1290" s="614">
        <v>46269.0</v>
      </c>
      <c r="B1290" s="11" t="s">
        <v>110</v>
      </c>
      <c r="C1290" s="11">
        <v>137.0</v>
      </c>
      <c r="D1290" s="11"/>
      <c r="E1290" s="11"/>
      <c r="F1290" s="75" t="s">
        <v>369</v>
      </c>
      <c r="G1290" s="74" t="s">
        <v>17</v>
      </c>
      <c r="H1290" s="74" t="s">
        <v>25</v>
      </c>
      <c r="I1290" s="73">
        <v>1.0</v>
      </c>
      <c r="J1290" s="73">
        <v>120.0</v>
      </c>
      <c r="K1290" s="73">
        <v>120.0</v>
      </c>
      <c r="L1290" s="75">
        <v>25.0</v>
      </c>
      <c r="M1290" s="105">
        <v>475.0</v>
      </c>
      <c r="N1290" s="105">
        <v>2395.0</v>
      </c>
      <c r="O1290" s="76"/>
      <c r="P1290" s="76"/>
    </row>
    <row r="1291" ht="20.25" customHeight="1">
      <c r="A1291" s="29"/>
      <c r="B1291" s="19" t="s">
        <v>122</v>
      </c>
      <c r="C1291" s="19"/>
      <c r="D1291" s="19"/>
      <c r="E1291" s="19"/>
      <c r="F1291" s="20"/>
      <c r="G1291" s="74" t="s">
        <v>17</v>
      </c>
      <c r="H1291" s="74" t="s">
        <v>18</v>
      </c>
      <c r="I1291" s="77">
        <v>18.0</v>
      </c>
      <c r="J1291" s="77">
        <v>100.0</v>
      </c>
      <c r="K1291" s="77">
        <v>1800.0</v>
      </c>
      <c r="L1291" s="20"/>
      <c r="M1291" s="108"/>
      <c r="N1291" s="108"/>
      <c r="O1291" s="76"/>
      <c r="P1291" s="76"/>
    </row>
    <row r="1292" ht="20.25" customHeight="1">
      <c r="A1292" s="57"/>
      <c r="B1292" s="72" t="s">
        <v>279</v>
      </c>
      <c r="C1292" s="72">
        <v>135.0</v>
      </c>
      <c r="D1292" s="72">
        <v>0.96</v>
      </c>
      <c r="E1292" s="11"/>
      <c r="F1292" s="75" t="s">
        <v>299</v>
      </c>
      <c r="G1292" s="74" t="s">
        <v>179</v>
      </c>
      <c r="H1292" s="74" t="s">
        <v>25</v>
      </c>
      <c r="I1292" s="73">
        <v>1.0</v>
      </c>
      <c r="J1292" s="399" t="s">
        <v>350</v>
      </c>
      <c r="K1292" s="400"/>
      <c r="L1292" s="400"/>
      <c r="M1292" s="45"/>
      <c r="N1292" s="105">
        <v>1920.0</v>
      </c>
      <c r="O1292" s="76"/>
      <c r="P1292" s="76"/>
    </row>
    <row r="1293" ht="20.25" customHeight="1">
      <c r="A1293" s="29"/>
      <c r="B1293" s="20"/>
      <c r="C1293" s="20"/>
      <c r="D1293" s="20"/>
      <c r="E1293" s="19"/>
      <c r="F1293" s="20"/>
      <c r="G1293" s="74" t="s">
        <v>179</v>
      </c>
      <c r="H1293" s="74" t="s">
        <v>18</v>
      </c>
      <c r="I1293" s="77">
        <v>10.0</v>
      </c>
      <c r="J1293" s="311"/>
      <c r="K1293" s="368"/>
      <c r="L1293" s="368"/>
      <c r="M1293" s="51"/>
      <c r="N1293" s="108"/>
      <c r="O1293" s="76"/>
      <c r="P1293" s="76"/>
    </row>
    <row r="1294" ht="20.25" customHeight="1">
      <c r="A1294" s="614">
        <v>46270.0</v>
      </c>
      <c r="B1294" s="11" t="s">
        <v>22</v>
      </c>
      <c r="C1294" s="11">
        <v>137.0</v>
      </c>
      <c r="D1294" s="11"/>
      <c r="E1294" s="11"/>
      <c r="F1294" s="75" t="s">
        <v>369</v>
      </c>
      <c r="G1294" s="74" t="s">
        <v>17</v>
      </c>
      <c r="H1294" s="74" t="s">
        <v>25</v>
      </c>
      <c r="I1294" s="73">
        <v>1.0</v>
      </c>
      <c r="J1294" s="73">
        <v>120.0</v>
      </c>
      <c r="K1294" s="73">
        <v>120.0</v>
      </c>
      <c r="L1294" s="75">
        <v>25.0</v>
      </c>
      <c r="M1294" s="105">
        <v>525.0</v>
      </c>
      <c r="N1294" s="105">
        <v>2645.0</v>
      </c>
      <c r="O1294" s="76"/>
      <c r="P1294" s="76"/>
    </row>
    <row r="1295" ht="20.25" customHeight="1">
      <c r="A1295" s="29"/>
      <c r="B1295" s="19" t="s">
        <v>223</v>
      </c>
      <c r="C1295" s="19">
        <v>113.0</v>
      </c>
      <c r="D1295" s="19"/>
      <c r="E1295" s="19"/>
      <c r="F1295" s="29"/>
      <c r="G1295" s="105" t="s">
        <v>17</v>
      </c>
      <c r="H1295" s="105" t="s">
        <v>18</v>
      </c>
      <c r="I1295" s="160">
        <v>20.0</v>
      </c>
      <c r="J1295" s="160">
        <v>100.0</v>
      </c>
      <c r="K1295" s="160">
        <v>2000.0</v>
      </c>
      <c r="L1295" s="29"/>
      <c r="M1295" s="187"/>
      <c r="N1295" s="187"/>
      <c r="O1295" s="76"/>
      <c r="P1295" s="76"/>
    </row>
    <row r="1296" ht="20.25" customHeight="1">
      <c r="A1296" s="57"/>
      <c r="B1296" s="11" t="s">
        <v>122</v>
      </c>
      <c r="C1296" s="11"/>
      <c r="D1296" s="11"/>
      <c r="E1296" s="11"/>
      <c r="F1296" s="58"/>
      <c r="G1296" s="108"/>
      <c r="H1296" s="108"/>
      <c r="I1296" s="58"/>
      <c r="J1296" s="58"/>
      <c r="K1296" s="58"/>
      <c r="L1296" s="58"/>
      <c r="M1296" s="108"/>
      <c r="N1296" s="108"/>
      <c r="O1296" s="76"/>
      <c r="P1296" s="76"/>
    </row>
    <row r="1297" ht="20.25" customHeight="1">
      <c r="A1297" s="29"/>
      <c r="B1297" s="123" t="s">
        <v>279</v>
      </c>
      <c r="C1297" s="123">
        <v>136.0</v>
      </c>
      <c r="D1297" s="123">
        <v>0.96</v>
      </c>
      <c r="E1297" s="19"/>
      <c r="F1297" s="160" t="s">
        <v>299</v>
      </c>
      <c r="G1297" s="74" t="s">
        <v>179</v>
      </c>
      <c r="H1297" s="74" t="s">
        <v>25</v>
      </c>
      <c r="I1297" s="77">
        <v>1.0</v>
      </c>
      <c r="J1297" s="389" t="s">
        <v>350</v>
      </c>
      <c r="K1297" s="390"/>
      <c r="L1297" s="390"/>
      <c r="M1297" s="45"/>
      <c r="N1297" s="105">
        <v>1920.0</v>
      </c>
      <c r="O1297" s="76"/>
      <c r="P1297" s="76"/>
    </row>
    <row r="1298" ht="20.25" customHeight="1">
      <c r="A1298" s="57"/>
      <c r="B1298" s="58"/>
      <c r="C1298" s="58"/>
      <c r="D1298" s="58"/>
      <c r="E1298" s="11"/>
      <c r="F1298" s="58"/>
      <c r="G1298" s="74" t="s">
        <v>179</v>
      </c>
      <c r="H1298" s="74" t="s">
        <v>18</v>
      </c>
      <c r="I1298" s="73">
        <v>10.0</v>
      </c>
      <c r="J1298" s="321"/>
      <c r="K1298" s="363"/>
      <c r="L1298" s="363"/>
      <c r="M1298" s="51"/>
      <c r="N1298" s="108"/>
      <c r="O1298" s="76"/>
      <c r="P1298" s="76"/>
    </row>
    <row r="1299" ht="20.25" customHeight="1">
      <c r="A1299" s="611">
        <v>46271.0</v>
      </c>
      <c r="B1299" s="123" t="s">
        <v>279</v>
      </c>
      <c r="C1299" s="123">
        <v>138.0</v>
      </c>
      <c r="D1299" s="123">
        <v>1.05</v>
      </c>
      <c r="E1299" s="19"/>
      <c r="F1299" s="160" t="s">
        <v>299</v>
      </c>
      <c r="G1299" s="74" t="s">
        <v>179</v>
      </c>
      <c r="H1299" s="74" t="s">
        <v>25</v>
      </c>
      <c r="I1299" s="77">
        <v>1.0</v>
      </c>
      <c r="J1299" s="389" t="s">
        <v>392</v>
      </c>
      <c r="K1299" s="390"/>
      <c r="L1299" s="390"/>
      <c r="M1299" s="45"/>
      <c r="N1299" s="105">
        <v>2100.0</v>
      </c>
      <c r="O1299" s="76"/>
      <c r="P1299" s="76"/>
    </row>
    <row r="1300" ht="20.25" customHeight="1">
      <c r="A1300" s="58"/>
      <c r="B1300" s="58"/>
      <c r="C1300" s="58"/>
      <c r="D1300" s="58"/>
      <c r="E1300" s="11"/>
      <c r="F1300" s="58"/>
      <c r="G1300" s="74" t="s">
        <v>179</v>
      </c>
      <c r="H1300" s="74" t="s">
        <v>18</v>
      </c>
      <c r="I1300" s="73">
        <v>10.0</v>
      </c>
      <c r="J1300" s="321"/>
      <c r="K1300" s="363"/>
      <c r="L1300" s="363"/>
      <c r="M1300" s="51"/>
      <c r="N1300" s="108"/>
      <c r="O1300" s="76"/>
      <c r="P1300" s="76"/>
    </row>
    <row r="1301" ht="20.25" customHeight="1">
      <c r="A1301" s="611">
        <v>46272.0</v>
      </c>
      <c r="B1301" s="19" t="s">
        <v>22</v>
      </c>
      <c r="C1301" s="19">
        <v>125.0</v>
      </c>
      <c r="D1301" s="19"/>
      <c r="E1301" s="19"/>
      <c r="F1301" s="160" t="s">
        <v>369</v>
      </c>
      <c r="G1301" s="74" t="s">
        <v>17</v>
      </c>
      <c r="H1301" s="74" t="s">
        <v>25</v>
      </c>
      <c r="I1301" s="77">
        <v>1.0</v>
      </c>
      <c r="J1301" s="77">
        <v>120.0</v>
      </c>
      <c r="K1301" s="77">
        <v>120.0</v>
      </c>
      <c r="L1301" s="160">
        <v>25.0</v>
      </c>
      <c r="M1301" s="105">
        <v>525.0</v>
      </c>
      <c r="N1301" s="105">
        <v>2645.0</v>
      </c>
      <c r="O1301" s="76"/>
      <c r="P1301" s="76"/>
    </row>
    <row r="1302" ht="20.25" customHeight="1">
      <c r="A1302" s="57"/>
      <c r="B1302" s="11" t="s">
        <v>122</v>
      </c>
      <c r="C1302" s="11">
        <v>121.0</v>
      </c>
      <c r="D1302" s="11"/>
      <c r="E1302" s="11"/>
      <c r="F1302" s="57"/>
      <c r="G1302" s="105" t="s">
        <v>17</v>
      </c>
      <c r="H1302" s="105" t="s">
        <v>18</v>
      </c>
      <c r="I1302" s="75">
        <v>20.0</v>
      </c>
      <c r="J1302" s="75">
        <v>100.0</v>
      </c>
      <c r="K1302" s="75">
        <v>2000.0</v>
      </c>
      <c r="L1302" s="57"/>
      <c r="M1302" s="187"/>
      <c r="N1302" s="187"/>
      <c r="O1302" s="76"/>
      <c r="P1302" s="76"/>
    </row>
    <row r="1303" ht="20.25" customHeight="1">
      <c r="A1303" s="29"/>
      <c r="B1303" s="19" t="s">
        <v>122</v>
      </c>
      <c r="C1303" s="19">
        <v>124.0</v>
      </c>
      <c r="D1303" s="19"/>
      <c r="E1303" s="19"/>
      <c r="F1303" s="20"/>
      <c r="G1303" s="108"/>
      <c r="H1303" s="108"/>
      <c r="I1303" s="20"/>
      <c r="J1303" s="20"/>
      <c r="K1303" s="20"/>
      <c r="L1303" s="20"/>
      <c r="M1303" s="108"/>
      <c r="N1303" s="108"/>
      <c r="O1303" s="76"/>
      <c r="P1303" s="76"/>
    </row>
    <row r="1304" ht="20.25" customHeight="1">
      <c r="A1304" s="57"/>
      <c r="B1304" s="72" t="s">
        <v>279</v>
      </c>
      <c r="C1304" s="72">
        <v>137.0</v>
      </c>
      <c r="D1304" s="72">
        <v>0.96</v>
      </c>
      <c r="E1304" s="11"/>
      <c r="F1304" s="75" t="s">
        <v>299</v>
      </c>
      <c r="G1304" s="74" t="s">
        <v>179</v>
      </c>
      <c r="H1304" s="74" t="s">
        <v>25</v>
      </c>
      <c r="I1304" s="73">
        <v>1.0</v>
      </c>
      <c r="J1304" s="399" t="s">
        <v>350</v>
      </c>
      <c r="K1304" s="400"/>
      <c r="L1304" s="400"/>
      <c r="M1304" s="45"/>
      <c r="N1304" s="105">
        <v>1920.0</v>
      </c>
      <c r="O1304" s="76"/>
      <c r="P1304" s="76"/>
    </row>
    <row r="1305" ht="20.25" customHeight="1">
      <c r="A1305" s="29"/>
      <c r="B1305" s="20"/>
      <c r="C1305" s="20"/>
      <c r="D1305" s="20"/>
      <c r="E1305" s="19"/>
      <c r="F1305" s="20"/>
      <c r="G1305" s="74" t="s">
        <v>179</v>
      </c>
      <c r="H1305" s="74" t="s">
        <v>18</v>
      </c>
      <c r="I1305" s="77">
        <v>10.0</v>
      </c>
      <c r="J1305" s="311"/>
      <c r="K1305" s="368"/>
      <c r="L1305" s="368"/>
      <c r="M1305" s="51"/>
      <c r="N1305" s="108"/>
      <c r="O1305" s="76"/>
      <c r="P1305" s="76"/>
    </row>
    <row r="1306" ht="20.25" customHeight="1">
      <c r="A1306" s="614">
        <v>46273.0</v>
      </c>
      <c r="B1306" s="72" t="s">
        <v>279</v>
      </c>
      <c r="C1306" s="72">
        <v>122.0</v>
      </c>
      <c r="D1306" s="659">
        <v>0.23</v>
      </c>
      <c r="E1306" s="11"/>
      <c r="F1306" s="75" t="s">
        <v>299</v>
      </c>
      <c r="G1306" s="74" t="s">
        <v>179</v>
      </c>
      <c r="H1306" s="74" t="s">
        <v>18</v>
      </c>
      <c r="I1306" s="75">
        <v>4.0</v>
      </c>
      <c r="J1306" s="399" t="s">
        <v>396</v>
      </c>
      <c r="K1306" s="400"/>
      <c r="L1306" s="400"/>
      <c r="M1306" s="45"/>
      <c r="N1306" s="105">
        <v>460.0</v>
      </c>
      <c r="O1306" s="76"/>
      <c r="P1306" s="76"/>
    </row>
    <row r="1307" ht="20.25" customHeight="1">
      <c r="A1307" s="20"/>
      <c r="B1307" s="20"/>
      <c r="C1307" s="20"/>
      <c r="D1307" s="660"/>
      <c r="E1307" s="19"/>
      <c r="F1307" s="20"/>
      <c r="G1307" s="74" t="s">
        <v>179</v>
      </c>
      <c r="H1307" s="74" t="s">
        <v>18</v>
      </c>
      <c r="I1307" s="20"/>
      <c r="J1307" s="311"/>
      <c r="K1307" s="368"/>
      <c r="L1307" s="368"/>
      <c r="M1307" s="51"/>
      <c r="N1307" s="108"/>
      <c r="O1307" s="76"/>
      <c r="P1307" s="76"/>
    </row>
    <row r="1308" ht="20.25" customHeight="1">
      <c r="A1308" s="642"/>
      <c r="B1308" s="11"/>
      <c r="C1308" s="11"/>
      <c r="D1308" s="11"/>
      <c r="E1308" s="11"/>
      <c r="F1308" s="73"/>
      <c r="G1308" s="74"/>
      <c r="H1308" s="74"/>
      <c r="I1308" s="73"/>
      <c r="J1308" s="73"/>
      <c r="K1308" s="73"/>
      <c r="L1308" s="73"/>
      <c r="M1308" s="74"/>
      <c r="N1308" s="74"/>
      <c r="O1308" s="76"/>
      <c r="P1308" s="76"/>
    </row>
    <row r="1309" ht="20.25" customHeight="1">
      <c r="A1309" s="663"/>
      <c r="B1309" s="19"/>
      <c r="C1309" s="19"/>
      <c r="D1309" s="19"/>
      <c r="E1309" s="19"/>
      <c r="F1309" s="77"/>
      <c r="G1309" s="74"/>
      <c r="H1309" s="74"/>
      <c r="I1309" s="77"/>
      <c r="J1309" s="77"/>
      <c r="K1309" s="77"/>
      <c r="L1309" s="77"/>
      <c r="M1309" s="74"/>
      <c r="N1309" s="74"/>
      <c r="O1309" s="76"/>
      <c r="P1309" s="76"/>
    </row>
    <row r="1310" ht="20.25" customHeight="1">
      <c r="A1310" s="642"/>
      <c r="B1310" s="11"/>
      <c r="C1310" s="11"/>
      <c r="D1310" s="11"/>
      <c r="E1310" s="11"/>
      <c r="F1310" s="73"/>
      <c r="G1310" s="74"/>
      <c r="H1310" s="74"/>
      <c r="I1310" s="73"/>
      <c r="J1310" s="73"/>
      <c r="K1310" s="73"/>
      <c r="L1310" s="73"/>
      <c r="M1310" s="74"/>
      <c r="N1310" s="74"/>
      <c r="O1310" s="76"/>
      <c r="P1310" s="76"/>
    </row>
    <row r="1311" ht="20.25" customHeight="1">
      <c r="A1311" s="663"/>
      <c r="B1311" s="19"/>
      <c r="C1311" s="19"/>
      <c r="D1311" s="19"/>
      <c r="E1311" s="19"/>
      <c r="F1311" s="77"/>
      <c r="G1311" s="74"/>
      <c r="H1311" s="74"/>
      <c r="I1311" s="77"/>
      <c r="J1311" s="77"/>
      <c r="K1311" s="77"/>
      <c r="L1311" s="77"/>
      <c r="M1311" s="74"/>
      <c r="N1311" s="74"/>
      <c r="O1311" s="76"/>
      <c r="P1311" s="76"/>
    </row>
    <row r="1312" ht="20.25" customHeight="1">
      <c r="A1312" s="642"/>
      <c r="B1312" s="11"/>
      <c r="C1312" s="11"/>
      <c r="D1312" s="11"/>
      <c r="E1312" s="11"/>
      <c r="F1312" s="73"/>
      <c r="G1312" s="74"/>
      <c r="H1312" s="74"/>
      <c r="I1312" s="73"/>
      <c r="J1312" s="73"/>
      <c r="K1312" s="73"/>
      <c r="L1312" s="73"/>
      <c r="M1312" s="74"/>
      <c r="N1312" s="74"/>
      <c r="O1312" s="76"/>
      <c r="P1312" s="76"/>
    </row>
    <row r="1313" ht="20.25" customHeight="1">
      <c r="A1313" s="663"/>
      <c r="B1313" s="19"/>
      <c r="C1313" s="19"/>
      <c r="D1313" s="19"/>
      <c r="E1313" s="19"/>
      <c r="F1313" s="77"/>
      <c r="G1313" s="74"/>
      <c r="H1313" s="74"/>
      <c r="I1313" s="77"/>
      <c r="J1313" s="77"/>
      <c r="K1313" s="77"/>
      <c r="L1313" s="77"/>
      <c r="M1313" s="74"/>
      <c r="N1313" s="74"/>
      <c r="O1313" s="76"/>
      <c r="P1313" s="76"/>
    </row>
    <row r="1314" ht="20.25" customHeight="1">
      <c r="A1314" s="642"/>
      <c r="B1314" s="11"/>
      <c r="C1314" s="11"/>
      <c r="D1314" s="11"/>
      <c r="E1314" s="11"/>
      <c r="F1314" s="73"/>
      <c r="G1314" s="74"/>
      <c r="H1314" s="74"/>
      <c r="I1314" s="73"/>
      <c r="J1314" s="73"/>
      <c r="K1314" s="73"/>
      <c r="L1314" s="73"/>
      <c r="M1314" s="74"/>
      <c r="N1314" s="74"/>
      <c r="O1314" s="76"/>
      <c r="P1314" s="76"/>
    </row>
    <row r="1315" ht="20.25" customHeight="1">
      <c r="A1315" s="663"/>
      <c r="B1315" s="19"/>
      <c r="C1315" s="19"/>
      <c r="D1315" s="19"/>
      <c r="E1315" s="19"/>
      <c r="F1315" s="77"/>
      <c r="G1315" s="74"/>
      <c r="H1315" s="74"/>
      <c r="I1315" s="77"/>
      <c r="J1315" s="77"/>
      <c r="K1315" s="77"/>
      <c r="L1315" s="77"/>
      <c r="M1315" s="74"/>
      <c r="N1315" s="74"/>
      <c r="O1315" s="76"/>
      <c r="P1315" s="76"/>
    </row>
    <row r="1316" ht="20.25" customHeight="1">
      <c r="A1316" s="642"/>
      <c r="B1316" s="11"/>
      <c r="C1316" s="11"/>
      <c r="D1316" s="11"/>
      <c r="E1316" s="11"/>
      <c r="F1316" s="73"/>
      <c r="G1316" s="74"/>
      <c r="H1316" s="74"/>
      <c r="I1316" s="73"/>
      <c r="J1316" s="73"/>
      <c r="K1316" s="73"/>
      <c r="L1316" s="73"/>
      <c r="M1316" s="74"/>
      <c r="N1316" s="74"/>
      <c r="O1316" s="76"/>
      <c r="P1316" s="76"/>
    </row>
    <row r="1317" ht="20.25" customHeight="1">
      <c r="A1317" s="663"/>
      <c r="B1317" s="19"/>
      <c r="C1317" s="19"/>
      <c r="D1317" s="19"/>
      <c r="E1317" s="19"/>
      <c r="F1317" s="77"/>
      <c r="G1317" s="74"/>
      <c r="H1317" s="74"/>
      <c r="I1317" s="77"/>
      <c r="J1317" s="77"/>
      <c r="K1317" s="77"/>
      <c r="L1317" s="77"/>
      <c r="M1317" s="74"/>
      <c r="N1317" s="74"/>
      <c r="O1317" s="76"/>
      <c r="P1317" s="76"/>
    </row>
    <row r="1318" ht="20.25" customHeight="1">
      <c r="A1318" s="642"/>
      <c r="B1318" s="11"/>
      <c r="C1318" s="11"/>
      <c r="D1318" s="11"/>
      <c r="E1318" s="11"/>
      <c r="F1318" s="73"/>
      <c r="G1318" s="74"/>
      <c r="H1318" s="74"/>
      <c r="I1318" s="73"/>
      <c r="J1318" s="73"/>
      <c r="K1318" s="73"/>
      <c r="L1318" s="73"/>
      <c r="M1318" s="74"/>
      <c r="N1318" s="74"/>
      <c r="O1318" s="76"/>
      <c r="P1318" s="76"/>
    </row>
    <row r="1319" ht="20.25" customHeight="1">
      <c r="A1319" s="663"/>
      <c r="B1319" s="19"/>
      <c r="C1319" s="19"/>
      <c r="D1319" s="19"/>
      <c r="E1319" s="19"/>
      <c r="F1319" s="77"/>
      <c r="G1319" s="74"/>
      <c r="H1319" s="74"/>
      <c r="I1319" s="77"/>
      <c r="J1319" s="77"/>
      <c r="K1319" s="77"/>
      <c r="L1319" s="77"/>
      <c r="M1319" s="74"/>
      <c r="N1319" s="74"/>
      <c r="O1319" s="76"/>
      <c r="P1319" s="76"/>
    </row>
    <row r="1320" ht="20.25" customHeight="1">
      <c r="A1320" s="642"/>
      <c r="B1320" s="11"/>
      <c r="C1320" s="11"/>
      <c r="D1320" s="11"/>
      <c r="E1320" s="11"/>
      <c r="F1320" s="73"/>
      <c r="G1320" s="74"/>
      <c r="H1320" s="74"/>
      <c r="I1320" s="73"/>
      <c r="J1320" s="73"/>
      <c r="K1320" s="73"/>
      <c r="L1320" s="73"/>
      <c r="M1320" s="74"/>
      <c r="N1320" s="74"/>
      <c r="O1320" s="76"/>
      <c r="P1320" s="76"/>
    </row>
    <row r="1321" ht="20.25" customHeight="1">
      <c r="A1321" s="663"/>
      <c r="B1321" s="19"/>
      <c r="C1321" s="19"/>
      <c r="D1321" s="19"/>
      <c r="E1321" s="19"/>
      <c r="F1321" s="77"/>
      <c r="G1321" s="74"/>
      <c r="H1321" s="74"/>
      <c r="I1321" s="77"/>
      <c r="J1321" s="77"/>
      <c r="K1321" s="77"/>
      <c r="L1321" s="77"/>
      <c r="M1321" s="74"/>
      <c r="N1321" s="74"/>
      <c r="O1321" s="76"/>
      <c r="P1321" s="76"/>
    </row>
    <row r="1322" ht="20.25" customHeight="1">
      <c r="A1322" s="642"/>
      <c r="B1322" s="11"/>
      <c r="C1322" s="11"/>
      <c r="D1322" s="11"/>
      <c r="E1322" s="11"/>
      <c r="F1322" s="73"/>
      <c r="G1322" s="74"/>
      <c r="H1322" s="74"/>
      <c r="I1322" s="73"/>
      <c r="J1322" s="73"/>
      <c r="K1322" s="73"/>
      <c r="L1322" s="73"/>
      <c r="M1322" s="74"/>
      <c r="N1322" s="74"/>
      <c r="O1322" s="76"/>
      <c r="P1322" s="76"/>
    </row>
    <row r="1323" ht="20.25" customHeight="1">
      <c r="A1323" s="663"/>
      <c r="B1323" s="19"/>
      <c r="C1323" s="19"/>
      <c r="D1323" s="19"/>
      <c r="E1323" s="19"/>
      <c r="F1323" s="77"/>
      <c r="G1323" s="74"/>
      <c r="H1323" s="74"/>
      <c r="I1323" s="77"/>
      <c r="J1323" s="77"/>
      <c r="K1323" s="77"/>
      <c r="L1323" s="77"/>
      <c r="M1323" s="74"/>
      <c r="N1323" s="74"/>
      <c r="O1323" s="76"/>
      <c r="P1323" s="76"/>
    </row>
    <row r="1324" ht="20.25" customHeight="1">
      <c r="A1324" s="664"/>
      <c r="B1324" s="190"/>
      <c r="C1324" s="190"/>
      <c r="D1324" s="190"/>
      <c r="E1324" s="190"/>
      <c r="F1324" s="269"/>
      <c r="G1324" s="76"/>
      <c r="H1324" s="76"/>
      <c r="I1324" s="269"/>
      <c r="J1324" s="269"/>
      <c r="K1324" s="269"/>
      <c r="L1324" s="269"/>
      <c r="M1324" s="76"/>
      <c r="N1324" s="76"/>
      <c r="O1324" s="76"/>
      <c r="P1324" s="76"/>
    </row>
    <row r="1325" ht="20.25" customHeight="1">
      <c r="A1325" s="665"/>
      <c r="B1325" s="189"/>
      <c r="C1325" s="189"/>
      <c r="D1325" s="189"/>
      <c r="E1325" s="189"/>
      <c r="F1325" s="270"/>
      <c r="G1325" s="76"/>
      <c r="H1325" s="76"/>
      <c r="I1325" s="270"/>
      <c r="J1325" s="270"/>
      <c r="K1325" s="270"/>
      <c r="L1325" s="270"/>
      <c r="M1325" s="76"/>
      <c r="N1325" s="76"/>
      <c r="O1325" s="76"/>
      <c r="P1325" s="76"/>
    </row>
    <row r="1326" ht="20.25" customHeight="1">
      <c r="A1326" s="664"/>
      <c r="B1326" s="190"/>
      <c r="C1326" s="190"/>
      <c r="D1326" s="190"/>
      <c r="E1326" s="190"/>
      <c r="F1326" s="269"/>
      <c r="G1326" s="76"/>
      <c r="H1326" s="76"/>
      <c r="I1326" s="269"/>
      <c r="J1326" s="269"/>
      <c r="K1326" s="269"/>
      <c r="L1326" s="269"/>
      <c r="M1326" s="76"/>
      <c r="N1326" s="76"/>
      <c r="O1326" s="76"/>
      <c r="P1326" s="76"/>
    </row>
    <row r="1327" ht="20.25" customHeight="1">
      <c r="A1327" s="665"/>
      <c r="B1327" s="189"/>
      <c r="C1327" s="189"/>
      <c r="D1327" s="189"/>
      <c r="E1327" s="189"/>
      <c r="F1327" s="270"/>
      <c r="G1327" s="76"/>
      <c r="H1327" s="76"/>
      <c r="I1327" s="270"/>
      <c r="J1327" s="270"/>
      <c r="K1327" s="270"/>
      <c r="L1327" s="270"/>
      <c r="M1327" s="76"/>
      <c r="N1327" s="76"/>
      <c r="O1327" s="76"/>
      <c r="P1327" s="76"/>
    </row>
    <row r="1328" ht="20.25" customHeight="1">
      <c r="A1328" s="664"/>
      <c r="B1328" s="190"/>
      <c r="C1328" s="190"/>
      <c r="D1328" s="190"/>
      <c r="E1328" s="190"/>
      <c r="F1328" s="269"/>
      <c r="G1328" s="76"/>
      <c r="H1328" s="76"/>
      <c r="I1328" s="269"/>
      <c r="J1328" s="269"/>
      <c r="K1328" s="269"/>
      <c r="L1328" s="269"/>
      <c r="M1328" s="76"/>
      <c r="N1328" s="76"/>
      <c r="O1328" s="76"/>
      <c r="P1328" s="76"/>
    </row>
    <row r="1329" ht="20.25" customHeight="1">
      <c r="A1329" s="665"/>
      <c r="B1329" s="189"/>
      <c r="C1329" s="189"/>
      <c r="D1329" s="189"/>
      <c r="E1329" s="189"/>
      <c r="F1329" s="270"/>
      <c r="G1329" s="76"/>
      <c r="H1329" s="76"/>
      <c r="I1329" s="270"/>
      <c r="J1329" s="270"/>
      <c r="K1329" s="270"/>
      <c r="L1329" s="270"/>
      <c r="M1329" s="76"/>
      <c r="N1329" s="76"/>
      <c r="O1329" s="76"/>
      <c r="P1329" s="76"/>
    </row>
    <row r="1330" ht="20.25" customHeight="1">
      <c r="A1330" s="664"/>
      <c r="B1330" s="190"/>
      <c r="C1330" s="190"/>
      <c r="D1330" s="190"/>
      <c r="E1330" s="190"/>
      <c r="F1330" s="269"/>
      <c r="G1330" s="76"/>
      <c r="H1330" s="76"/>
      <c r="I1330" s="269"/>
      <c r="J1330" s="269"/>
      <c r="K1330" s="269"/>
      <c r="L1330" s="269"/>
      <c r="M1330" s="76"/>
      <c r="N1330" s="76"/>
      <c r="O1330" s="76"/>
      <c r="P1330" s="76"/>
    </row>
    <row r="1331" ht="20.25" customHeight="1">
      <c r="A1331" s="665"/>
      <c r="B1331" s="189"/>
      <c r="C1331" s="189"/>
      <c r="D1331" s="189"/>
      <c r="E1331" s="189"/>
      <c r="F1331" s="270"/>
      <c r="G1331" s="76"/>
      <c r="H1331" s="76"/>
      <c r="I1331" s="270"/>
      <c r="J1331" s="270"/>
      <c r="K1331" s="270"/>
      <c r="L1331" s="270"/>
      <c r="M1331" s="76"/>
      <c r="N1331" s="76"/>
      <c r="O1331" s="76"/>
      <c r="P1331" s="76"/>
    </row>
    <row r="1332" ht="20.25" customHeight="1">
      <c r="A1332" s="664"/>
      <c r="B1332" s="190"/>
      <c r="C1332" s="190"/>
      <c r="D1332" s="190"/>
      <c r="E1332" s="190"/>
      <c r="F1332" s="269"/>
      <c r="G1332" s="76"/>
      <c r="H1332" s="76"/>
      <c r="I1332" s="269"/>
      <c r="J1332" s="269"/>
      <c r="K1332" s="269"/>
      <c r="L1332" s="269"/>
      <c r="M1332" s="76"/>
      <c r="N1332" s="76"/>
      <c r="O1332" s="76"/>
      <c r="P1332" s="76"/>
    </row>
    <row r="1333" ht="20.25" customHeight="1">
      <c r="A1333" s="665"/>
      <c r="B1333" s="189"/>
      <c r="C1333" s="189"/>
      <c r="D1333" s="189"/>
      <c r="E1333" s="189"/>
      <c r="F1333" s="270"/>
      <c r="G1333" s="76"/>
      <c r="H1333" s="76"/>
      <c r="I1333" s="270"/>
      <c r="J1333" s="270"/>
      <c r="K1333" s="270"/>
      <c r="L1333" s="270"/>
      <c r="M1333" s="76"/>
      <c r="N1333" s="76"/>
      <c r="O1333" s="76"/>
      <c r="P1333" s="76"/>
    </row>
    <row r="1334" ht="20.25" customHeight="1">
      <c r="A1334" s="664"/>
      <c r="B1334" s="190"/>
      <c r="C1334" s="190"/>
      <c r="D1334" s="190"/>
      <c r="E1334" s="190"/>
      <c r="F1334" s="269"/>
      <c r="G1334" s="76"/>
      <c r="H1334" s="76"/>
      <c r="I1334" s="269"/>
      <c r="J1334" s="269"/>
      <c r="K1334" s="269"/>
      <c r="L1334" s="269"/>
      <c r="M1334" s="76"/>
      <c r="N1334" s="76"/>
      <c r="O1334" s="76"/>
      <c r="P1334" s="76"/>
    </row>
    <row r="1335" ht="20.25" customHeight="1">
      <c r="A1335" s="665"/>
      <c r="B1335" s="189"/>
      <c r="C1335" s="189"/>
      <c r="D1335" s="189"/>
      <c r="E1335" s="189"/>
      <c r="F1335" s="270"/>
      <c r="G1335" s="76"/>
      <c r="H1335" s="76"/>
      <c r="I1335" s="270"/>
      <c r="J1335" s="270"/>
      <c r="K1335" s="270"/>
      <c r="L1335" s="270"/>
      <c r="M1335" s="76"/>
      <c r="N1335" s="76"/>
      <c r="O1335" s="76"/>
      <c r="P1335" s="76"/>
    </row>
    <row r="1336" ht="20.25" customHeight="1">
      <c r="A1336" s="664"/>
      <c r="B1336" s="190"/>
      <c r="C1336" s="190"/>
      <c r="D1336" s="190"/>
      <c r="E1336" s="190"/>
      <c r="F1336" s="269"/>
      <c r="G1336" s="76"/>
      <c r="H1336" s="76"/>
      <c r="I1336" s="269"/>
      <c r="J1336" s="269"/>
      <c r="K1336" s="269"/>
      <c r="L1336" s="269"/>
      <c r="M1336" s="76"/>
      <c r="N1336" s="76"/>
      <c r="O1336" s="76"/>
      <c r="P1336" s="76"/>
    </row>
    <row r="1337" ht="20.25" customHeight="1">
      <c r="A1337" s="665"/>
      <c r="B1337" s="189"/>
      <c r="C1337" s="189"/>
      <c r="D1337" s="189"/>
      <c r="E1337" s="189"/>
      <c r="F1337" s="270"/>
      <c r="G1337" s="76"/>
      <c r="H1337" s="76"/>
      <c r="I1337" s="270"/>
      <c r="J1337" s="270"/>
      <c r="K1337" s="270"/>
      <c r="L1337" s="270"/>
      <c r="M1337" s="76"/>
      <c r="N1337" s="76"/>
      <c r="O1337" s="76"/>
      <c r="P1337" s="76"/>
    </row>
    <row r="1338" ht="20.25" customHeight="1">
      <c r="A1338" s="664"/>
      <c r="B1338" s="190"/>
      <c r="C1338" s="190"/>
      <c r="D1338" s="190"/>
      <c r="E1338" s="190"/>
      <c r="F1338" s="269"/>
      <c r="G1338" s="76"/>
      <c r="H1338" s="76"/>
      <c r="I1338" s="269"/>
      <c r="J1338" s="269"/>
      <c r="K1338" s="269"/>
      <c r="L1338" s="269"/>
      <c r="M1338" s="76"/>
      <c r="N1338" s="76"/>
      <c r="O1338" s="76"/>
      <c r="P1338" s="76"/>
    </row>
    <row r="1339" ht="20.25" customHeight="1">
      <c r="A1339" s="665"/>
      <c r="B1339" s="189"/>
      <c r="C1339" s="189"/>
      <c r="D1339" s="189"/>
      <c r="E1339" s="189"/>
      <c r="F1339" s="270"/>
      <c r="G1339" s="76"/>
      <c r="H1339" s="76"/>
      <c r="I1339" s="270"/>
      <c r="J1339" s="270"/>
      <c r="K1339" s="270"/>
      <c r="L1339" s="270"/>
      <c r="M1339" s="76"/>
      <c r="N1339" s="76"/>
      <c r="O1339" s="76"/>
      <c r="P1339" s="76"/>
    </row>
    <row r="1340" ht="20.25" customHeight="1">
      <c r="A1340" s="664"/>
      <c r="B1340" s="190"/>
      <c r="C1340" s="190"/>
      <c r="D1340" s="190"/>
      <c r="E1340" s="190"/>
      <c r="F1340" s="269"/>
      <c r="G1340" s="76"/>
      <c r="H1340" s="76"/>
      <c r="I1340" s="269"/>
      <c r="J1340" s="269"/>
      <c r="K1340" s="269"/>
      <c r="L1340" s="269"/>
      <c r="M1340" s="76"/>
      <c r="N1340" s="76"/>
      <c r="O1340" s="76"/>
      <c r="P1340" s="76"/>
    </row>
    <row r="1341" ht="20.25" customHeight="1">
      <c r="A1341" s="665"/>
      <c r="B1341" s="189"/>
      <c r="C1341" s="189"/>
      <c r="D1341" s="189"/>
      <c r="E1341" s="189"/>
      <c r="F1341" s="270"/>
      <c r="G1341" s="76"/>
      <c r="H1341" s="76"/>
      <c r="I1341" s="270"/>
      <c r="J1341" s="270"/>
      <c r="K1341" s="270"/>
      <c r="L1341" s="270"/>
      <c r="M1341" s="76"/>
      <c r="N1341" s="76"/>
      <c r="O1341" s="76"/>
      <c r="P1341" s="76"/>
    </row>
    <row r="1342" ht="20.25" customHeight="1">
      <c r="A1342" s="664"/>
      <c r="B1342" s="190"/>
      <c r="C1342" s="190"/>
      <c r="D1342" s="190"/>
      <c r="E1342" s="190"/>
      <c r="F1342" s="269"/>
      <c r="G1342" s="76"/>
      <c r="H1342" s="76"/>
      <c r="I1342" s="269"/>
      <c r="J1342" s="269"/>
      <c r="K1342" s="269"/>
      <c r="L1342" s="269"/>
      <c r="M1342" s="76"/>
      <c r="N1342" s="76"/>
      <c r="O1342" s="76"/>
      <c r="P1342" s="76"/>
    </row>
    <row r="1343" ht="20.25" customHeight="1">
      <c r="A1343" s="665"/>
      <c r="B1343" s="189"/>
      <c r="C1343" s="189"/>
      <c r="D1343" s="189"/>
      <c r="E1343" s="189"/>
      <c r="F1343" s="270"/>
      <c r="G1343" s="76"/>
      <c r="H1343" s="76"/>
      <c r="I1343" s="270"/>
      <c r="J1343" s="270"/>
      <c r="K1343" s="270"/>
      <c r="L1343" s="270"/>
      <c r="M1343" s="76"/>
      <c r="N1343" s="76"/>
      <c r="O1343" s="76"/>
      <c r="P1343" s="76"/>
    </row>
    <row r="1344" ht="20.25" customHeight="1">
      <c r="A1344" s="664"/>
      <c r="B1344" s="190"/>
      <c r="C1344" s="190"/>
      <c r="D1344" s="190"/>
      <c r="E1344" s="190"/>
      <c r="F1344" s="269"/>
      <c r="G1344" s="76"/>
      <c r="H1344" s="76"/>
      <c r="I1344" s="269"/>
      <c r="J1344" s="269"/>
      <c r="K1344" s="269"/>
      <c r="L1344" s="269"/>
      <c r="M1344" s="76"/>
      <c r="N1344" s="76"/>
      <c r="O1344" s="76"/>
      <c r="P1344" s="76"/>
    </row>
    <row r="1345" ht="20.25" customHeight="1">
      <c r="A1345" s="665"/>
      <c r="B1345" s="189"/>
      <c r="C1345" s="189"/>
      <c r="D1345" s="189"/>
      <c r="E1345" s="189"/>
      <c r="F1345" s="270"/>
      <c r="G1345" s="76"/>
      <c r="H1345" s="76"/>
      <c r="I1345" s="270"/>
      <c r="J1345" s="270"/>
      <c r="K1345" s="270"/>
      <c r="L1345" s="270"/>
      <c r="M1345" s="76"/>
      <c r="N1345" s="76"/>
      <c r="O1345" s="76"/>
      <c r="P1345" s="76"/>
    </row>
    <row r="1346" ht="20.25" customHeight="1">
      <c r="A1346" s="664"/>
      <c r="B1346" s="190"/>
      <c r="C1346" s="190"/>
      <c r="D1346" s="190"/>
      <c r="E1346" s="190"/>
      <c r="F1346" s="269"/>
      <c r="G1346" s="76"/>
      <c r="H1346" s="76"/>
      <c r="I1346" s="269"/>
      <c r="J1346" s="269"/>
      <c r="K1346" s="269"/>
      <c r="L1346" s="269"/>
      <c r="M1346" s="76"/>
      <c r="N1346" s="76"/>
      <c r="O1346" s="76"/>
      <c r="P1346" s="76"/>
    </row>
    <row r="1347" ht="20.25" customHeight="1">
      <c r="A1347" s="665"/>
      <c r="B1347" s="189"/>
      <c r="C1347" s="189"/>
      <c r="D1347" s="189"/>
      <c r="E1347" s="189"/>
      <c r="F1347" s="270"/>
      <c r="G1347" s="76"/>
      <c r="H1347" s="76"/>
      <c r="I1347" s="270"/>
      <c r="J1347" s="270"/>
      <c r="K1347" s="270"/>
      <c r="L1347" s="270"/>
      <c r="M1347" s="76"/>
      <c r="N1347" s="76"/>
      <c r="O1347" s="76"/>
      <c r="P1347" s="76"/>
    </row>
    <row r="1348" ht="20.25" customHeight="1">
      <c r="A1348" s="664"/>
      <c r="B1348" s="190"/>
      <c r="C1348" s="190"/>
      <c r="D1348" s="190"/>
      <c r="E1348" s="190"/>
      <c r="F1348" s="269"/>
      <c r="G1348" s="76"/>
      <c r="H1348" s="76"/>
      <c r="I1348" s="269"/>
      <c r="J1348" s="269"/>
      <c r="K1348" s="269"/>
      <c r="L1348" s="269"/>
      <c r="M1348" s="76"/>
      <c r="N1348" s="76"/>
      <c r="O1348" s="76"/>
      <c r="P1348" s="76"/>
    </row>
    <row r="1349" ht="20.25" customHeight="1">
      <c r="A1349" s="665"/>
      <c r="B1349" s="189"/>
      <c r="C1349" s="189"/>
      <c r="D1349" s="189"/>
      <c r="E1349" s="189"/>
      <c r="F1349" s="270"/>
      <c r="G1349" s="76"/>
      <c r="H1349" s="76"/>
      <c r="I1349" s="270"/>
      <c r="J1349" s="270"/>
      <c r="K1349" s="270"/>
      <c r="L1349" s="270"/>
      <c r="M1349" s="76"/>
      <c r="N1349" s="76"/>
      <c r="O1349" s="76"/>
      <c r="P1349" s="76"/>
    </row>
    <row r="1350" ht="20.25" customHeight="1">
      <c r="A1350" s="664"/>
      <c r="B1350" s="190"/>
      <c r="C1350" s="190"/>
      <c r="D1350" s="190"/>
      <c r="E1350" s="190"/>
      <c r="F1350" s="269"/>
      <c r="G1350" s="76"/>
      <c r="H1350" s="76"/>
      <c r="I1350" s="269"/>
      <c r="J1350" s="269"/>
      <c r="K1350" s="269"/>
      <c r="L1350" s="269"/>
      <c r="M1350" s="76"/>
      <c r="N1350" s="76"/>
      <c r="O1350" s="76"/>
      <c r="P1350" s="76"/>
    </row>
    <row r="1351" ht="20.25" customHeight="1">
      <c r="A1351" s="665"/>
      <c r="B1351" s="189"/>
      <c r="C1351" s="189"/>
      <c r="D1351" s="189"/>
      <c r="E1351" s="189"/>
      <c r="F1351" s="270"/>
      <c r="G1351" s="76"/>
      <c r="H1351" s="76"/>
      <c r="I1351" s="270"/>
      <c r="J1351" s="270"/>
      <c r="K1351" s="270"/>
      <c r="L1351" s="270"/>
      <c r="M1351" s="76"/>
      <c r="N1351" s="76"/>
      <c r="O1351" s="76"/>
      <c r="P1351" s="76"/>
    </row>
    <row r="1352" ht="20.25" customHeight="1">
      <c r="A1352" s="664"/>
      <c r="B1352" s="190"/>
      <c r="C1352" s="190"/>
      <c r="D1352" s="190"/>
      <c r="E1352" s="190"/>
      <c r="F1352" s="269"/>
      <c r="G1352" s="76"/>
      <c r="H1352" s="76"/>
      <c r="I1352" s="269"/>
      <c r="J1352" s="269"/>
      <c r="K1352" s="269"/>
      <c r="L1352" s="269"/>
      <c r="M1352" s="76"/>
      <c r="N1352" s="76"/>
      <c r="O1352" s="76"/>
      <c r="P1352" s="76"/>
    </row>
    <row r="1353" ht="20.25" customHeight="1">
      <c r="A1353" s="665"/>
      <c r="B1353" s="189"/>
      <c r="C1353" s="189"/>
      <c r="D1353" s="189"/>
      <c r="E1353" s="189"/>
      <c r="F1353" s="270"/>
      <c r="G1353" s="76"/>
      <c r="H1353" s="76"/>
      <c r="I1353" s="270"/>
      <c r="J1353" s="270"/>
      <c r="K1353" s="270"/>
      <c r="L1353" s="270"/>
      <c r="M1353" s="76"/>
      <c r="N1353" s="76"/>
      <c r="O1353" s="76"/>
      <c r="P1353" s="76"/>
    </row>
    <row r="1354" ht="20.25" customHeight="1">
      <c r="A1354" s="664"/>
      <c r="B1354" s="190"/>
      <c r="C1354" s="190"/>
      <c r="D1354" s="190"/>
      <c r="E1354" s="190"/>
      <c r="F1354" s="269"/>
      <c r="G1354" s="76"/>
      <c r="H1354" s="76"/>
      <c r="I1354" s="269"/>
      <c r="J1354" s="269"/>
      <c r="K1354" s="269"/>
      <c r="L1354" s="269"/>
      <c r="M1354" s="76"/>
      <c r="N1354" s="76"/>
      <c r="O1354" s="76"/>
      <c r="P1354" s="76"/>
    </row>
    <row r="1355" ht="20.25" customHeight="1">
      <c r="A1355" s="665"/>
      <c r="B1355" s="189"/>
      <c r="C1355" s="189"/>
      <c r="D1355" s="189"/>
      <c r="E1355" s="189"/>
      <c r="F1355" s="270"/>
      <c r="G1355" s="76"/>
      <c r="H1355" s="76"/>
      <c r="I1355" s="270"/>
      <c r="J1355" s="270"/>
      <c r="K1355" s="270"/>
      <c r="L1355" s="270"/>
      <c r="M1355" s="76"/>
      <c r="N1355" s="76"/>
      <c r="O1355" s="76"/>
      <c r="P1355" s="76"/>
    </row>
    <row r="1356" ht="20.25" customHeight="1">
      <c r="A1356" s="664"/>
      <c r="B1356" s="190"/>
      <c r="C1356" s="190"/>
      <c r="D1356" s="190"/>
      <c r="E1356" s="190"/>
      <c r="F1356" s="269"/>
      <c r="G1356" s="76"/>
      <c r="H1356" s="76"/>
      <c r="I1356" s="269"/>
      <c r="J1356" s="269"/>
      <c r="K1356" s="269"/>
      <c r="L1356" s="269"/>
      <c r="M1356" s="76"/>
      <c r="N1356" s="76"/>
      <c r="O1356" s="76"/>
      <c r="P1356" s="76"/>
    </row>
    <row r="1357" ht="20.25" customHeight="1">
      <c r="A1357" s="665"/>
      <c r="B1357" s="189"/>
      <c r="C1357" s="189"/>
      <c r="D1357" s="189"/>
      <c r="E1357" s="189"/>
      <c r="F1357" s="270"/>
      <c r="G1357" s="76"/>
      <c r="H1357" s="76"/>
      <c r="I1357" s="270"/>
      <c r="J1357" s="270"/>
      <c r="K1357" s="270"/>
      <c r="L1357" s="270"/>
      <c r="M1357" s="76"/>
      <c r="N1357" s="76"/>
      <c r="O1357" s="76"/>
      <c r="P1357" s="76"/>
    </row>
    <row r="1358" ht="20.25" customHeight="1">
      <c r="A1358" s="664"/>
      <c r="B1358" s="190"/>
      <c r="C1358" s="190"/>
      <c r="D1358" s="190"/>
      <c r="E1358" s="190"/>
      <c r="F1358" s="269"/>
      <c r="G1358" s="76"/>
      <c r="H1358" s="76"/>
      <c r="I1358" s="269"/>
      <c r="J1358" s="269"/>
      <c r="K1358" s="269"/>
      <c r="L1358" s="269"/>
      <c r="M1358" s="76"/>
      <c r="N1358" s="76"/>
      <c r="O1358" s="76"/>
      <c r="P1358" s="76"/>
    </row>
    <row r="1359" ht="20.25" customHeight="1">
      <c r="A1359" s="665"/>
      <c r="B1359" s="189"/>
      <c r="C1359" s="189"/>
      <c r="D1359" s="189"/>
      <c r="E1359" s="189"/>
      <c r="F1359" s="270"/>
      <c r="G1359" s="76"/>
      <c r="H1359" s="76"/>
      <c r="I1359" s="270"/>
      <c r="J1359" s="270"/>
      <c r="K1359" s="270"/>
      <c r="L1359" s="270"/>
      <c r="M1359" s="76"/>
      <c r="N1359" s="76"/>
      <c r="O1359" s="76"/>
      <c r="P1359" s="76"/>
    </row>
    <row r="1360" ht="20.25" customHeight="1">
      <c r="A1360" s="664"/>
      <c r="B1360" s="190"/>
      <c r="C1360" s="190"/>
      <c r="D1360" s="190"/>
      <c r="E1360" s="190"/>
      <c r="F1360" s="269"/>
      <c r="G1360" s="76"/>
      <c r="H1360" s="76"/>
      <c r="I1360" s="269"/>
      <c r="J1360" s="269"/>
      <c r="K1360" s="269"/>
      <c r="L1360" s="269"/>
      <c r="M1360" s="76"/>
      <c r="N1360" s="76"/>
      <c r="O1360" s="76"/>
      <c r="P1360" s="76"/>
    </row>
    <row r="1361" ht="20.25" customHeight="1">
      <c r="A1361" s="665"/>
      <c r="B1361" s="189"/>
      <c r="C1361" s="189"/>
      <c r="D1361" s="189"/>
      <c r="E1361" s="189"/>
      <c r="F1361" s="270"/>
      <c r="G1361" s="76"/>
      <c r="H1361" s="76"/>
      <c r="I1361" s="270"/>
      <c r="J1361" s="270"/>
      <c r="K1361" s="270"/>
      <c r="L1361" s="270"/>
      <c r="M1361" s="76"/>
      <c r="N1361" s="76"/>
      <c r="O1361" s="76"/>
      <c r="P1361" s="76"/>
    </row>
    <row r="1362" ht="20.25" customHeight="1">
      <c r="A1362" s="664"/>
      <c r="B1362" s="190"/>
      <c r="C1362" s="190"/>
      <c r="D1362" s="190"/>
      <c r="E1362" s="190"/>
      <c r="F1362" s="269"/>
      <c r="G1362" s="76"/>
      <c r="H1362" s="76"/>
      <c r="I1362" s="269"/>
      <c r="J1362" s="269"/>
      <c r="K1362" s="269"/>
      <c r="L1362" s="269"/>
      <c r="M1362" s="76"/>
      <c r="N1362" s="76"/>
      <c r="O1362" s="76"/>
      <c r="P1362" s="76"/>
    </row>
    <row r="1363" ht="20.25" customHeight="1">
      <c r="A1363" s="665"/>
      <c r="B1363" s="189"/>
      <c r="C1363" s="189"/>
      <c r="D1363" s="189"/>
      <c r="E1363" s="189"/>
      <c r="F1363" s="270"/>
      <c r="G1363" s="76"/>
      <c r="H1363" s="76"/>
      <c r="I1363" s="270"/>
      <c r="J1363" s="270"/>
      <c r="K1363" s="270"/>
      <c r="L1363" s="270"/>
      <c r="M1363" s="76"/>
      <c r="N1363" s="76"/>
      <c r="O1363" s="76"/>
      <c r="P1363" s="76"/>
    </row>
    <row r="1364" ht="20.25" customHeight="1">
      <c r="A1364" s="664"/>
      <c r="B1364" s="190"/>
      <c r="C1364" s="190"/>
      <c r="D1364" s="190"/>
      <c r="E1364" s="190"/>
      <c r="F1364" s="269"/>
      <c r="G1364" s="76"/>
      <c r="H1364" s="76"/>
      <c r="I1364" s="269"/>
      <c r="J1364" s="269"/>
      <c r="K1364" s="269"/>
      <c r="L1364" s="269"/>
      <c r="M1364" s="76"/>
      <c r="N1364" s="76"/>
      <c r="O1364" s="76"/>
      <c r="P1364" s="76"/>
    </row>
    <row r="1365" ht="20.25" customHeight="1">
      <c r="A1365" s="665"/>
      <c r="B1365" s="189"/>
      <c r="C1365" s="189"/>
      <c r="D1365" s="189"/>
      <c r="E1365" s="189"/>
      <c r="F1365" s="270"/>
      <c r="G1365" s="76"/>
      <c r="H1365" s="76"/>
      <c r="I1365" s="270"/>
      <c r="J1365" s="270"/>
      <c r="K1365" s="270"/>
      <c r="L1365" s="270"/>
      <c r="M1365" s="76"/>
      <c r="N1365" s="76"/>
      <c r="O1365" s="76"/>
      <c r="P1365" s="76"/>
    </row>
    <row r="1366" ht="20.25" customHeight="1">
      <c r="A1366" s="664"/>
      <c r="B1366" s="190"/>
      <c r="C1366" s="190"/>
      <c r="D1366" s="190"/>
      <c r="E1366" s="190"/>
      <c r="F1366" s="269"/>
      <c r="G1366" s="76"/>
      <c r="H1366" s="76"/>
      <c r="I1366" s="269"/>
      <c r="J1366" s="269"/>
      <c r="K1366" s="269"/>
      <c r="L1366" s="269"/>
      <c r="M1366" s="76"/>
      <c r="N1366" s="76"/>
      <c r="O1366" s="76"/>
      <c r="P1366" s="76"/>
    </row>
    <row r="1367" ht="20.25" customHeight="1">
      <c r="A1367" s="665"/>
      <c r="B1367" s="189"/>
      <c r="C1367" s="189"/>
      <c r="D1367" s="189"/>
      <c r="E1367" s="189"/>
      <c r="F1367" s="270"/>
      <c r="G1367" s="76"/>
      <c r="H1367" s="76"/>
      <c r="I1367" s="270"/>
      <c r="J1367" s="270"/>
      <c r="K1367" s="270"/>
      <c r="L1367" s="270"/>
      <c r="M1367" s="76"/>
      <c r="N1367" s="76"/>
      <c r="O1367" s="76"/>
      <c r="P1367" s="76"/>
    </row>
    <row r="1368" ht="20.25" customHeight="1">
      <c r="A1368" s="664"/>
      <c r="B1368" s="190"/>
      <c r="C1368" s="190"/>
      <c r="D1368" s="190"/>
      <c r="E1368" s="190"/>
      <c r="F1368" s="269"/>
      <c r="G1368" s="76"/>
      <c r="H1368" s="76"/>
      <c r="I1368" s="269"/>
      <c r="J1368" s="269"/>
      <c r="K1368" s="269"/>
      <c r="L1368" s="269"/>
      <c r="M1368" s="76"/>
      <c r="N1368" s="76"/>
      <c r="O1368" s="76"/>
      <c r="P1368" s="76"/>
    </row>
    <row r="1369" ht="20.25" customHeight="1">
      <c r="A1369" s="665"/>
      <c r="B1369" s="189"/>
      <c r="C1369" s="189"/>
      <c r="D1369" s="189"/>
      <c r="E1369" s="189"/>
      <c r="F1369" s="270"/>
      <c r="G1369" s="76"/>
      <c r="H1369" s="76"/>
      <c r="I1369" s="270"/>
      <c r="J1369" s="270"/>
      <c r="K1369" s="270"/>
      <c r="L1369" s="270"/>
      <c r="M1369" s="76"/>
      <c r="N1369" s="76"/>
      <c r="O1369" s="76"/>
      <c r="P1369" s="76"/>
    </row>
    <row r="1370" ht="20.25" customHeight="1">
      <c r="A1370" s="664"/>
      <c r="B1370" s="190"/>
      <c r="C1370" s="190"/>
      <c r="D1370" s="190"/>
      <c r="E1370" s="190"/>
      <c r="F1370" s="269"/>
      <c r="G1370" s="76"/>
      <c r="H1370" s="76"/>
      <c r="I1370" s="269"/>
      <c r="J1370" s="269"/>
      <c r="K1370" s="269"/>
      <c r="L1370" s="269"/>
      <c r="M1370" s="76"/>
      <c r="N1370" s="76"/>
      <c r="O1370" s="76"/>
      <c r="P1370" s="76"/>
    </row>
    <row r="1371" ht="20.25" customHeight="1">
      <c r="A1371" s="665"/>
      <c r="B1371" s="189"/>
      <c r="C1371" s="189"/>
      <c r="D1371" s="189"/>
      <c r="E1371" s="189"/>
      <c r="F1371" s="270"/>
      <c r="G1371" s="76"/>
      <c r="H1371" s="76"/>
      <c r="I1371" s="270"/>
      <c r="J1371" s="270"/>
      <c r="K1371" s="270"/>
      <c r="L1371" s="270"/>
      <c r="M1371" s="76"/>
      <c r="N1371" s="76"/>
      <c r="O1371" s="76"/>
      <c r="P1371" s="76"/>
    </row>
    <row r="1372" ht="20.25" customHeight="1">
      <c r="A1372" s="664"/>
      <c r="B1372" s="190"/>
      <c r="C1372" s="190"/>
      <c r="D1372" s="190"/>
      <c r="E1372" s="190"/>
      <c r="F1372" s="269"/>
      <c r="G1372" s="76"/>
      <c r="H1372" s="76"/>
      <c r="I1372" s="269"/>
      <c r="J1372" s="269"/>
      <c r="K1372" s="269"/>
      <c r="L1372" s="269"/>
      <c r="M1372" s="76"/>
      <c r="N1372" s="76"/>
      <c r="O1372" s="76"/>
      <c r="P1372" s="76"/>
    </row>
    <row r="1373" ht="20.25" customHeight="1">
      <c r="A1373" s="665"/>
      <c r="B1373" s="189"/>
      <c r="C1373" s="189"/>
      <c r="D1373" s="189"/>
      <c r="E1373" s="189"/>
      <c r="F1373" s="270"/>
      <c r="G1373" s="76"/>
      <c r="H1373" s="76"/>
      <c r="I1373" s="270"/>
      <c r="J1373" s="270"/>
      <c r="K1373" s="270"/>
      <c r="L1373" s="270"/>
      <c r="M1373" s="76"/>
      <c r="N1373" s="76"/>
      <c r="O1373" s="76"/>
      <c r="P1373" s="76"/>
    </row>
    <row r="1374" ht="20.25" customHeight="1">
      <c r="A1374" s="664"/>
      <c r="B1374" s="190"/>
      <c r="C1374" s="190"/>
      <c r="D1374" s="190"/>
      <c r="E1374" s="190"/>
      <c r="F1374" s="269"/>
      <c r="G1374" s="76"/>
      <c r="H1374" s="76"/>
      <c r="I1374" s="269"/>
      <c r="J1374" s="269"/>
      <c r="K1374" s="269"/>
      <c r="L1374" s="269"/>
      <c r="M1374" s="76"/>
      <c r="N1374" s="76"/>
      <c r="O1374" s="76"/>
      <c r="P1374" s="76"/>
    </row>
    <row r="1375" ht="20.25" customHeight="1">
      <c r="A1375" s="665"/>
      <c r="B1375" s="189"/>
      <c r="C1375" s="189"/>
      <c r="D1375" s="189"/>
      <c r="E1375" s="189"/>
      <c r="F1375" s="270"/>
      <c r="G1375" s="76"/>
      <c r="H1375" s="76"/>
      <c r="I1375" s="270"/>
      <c r="J1375" s="270"/>
      <c r="K1375" s="270"/>
      <c r="L1375" s="270"/>
      <c r="M1375" s="76"/>
      <c r="N1375" s="76"/>
      <c r="O1375" s="76"/>
      <c r="P1375" s="76"/>
    </row>
    <row r="1376" ht="20.25" customHeight="1">
      <c r="A1376" s="664"/>
      <c r="B1376" s="190"/>
      <c r="C1376" s="190"/>
      <c r="D1376" s="190"/>
      <c r="E1376" s="190"/>
      <c r="F1376" s="269"/>
      <c r="G1376" s="76"/>
      <c r="H1376" s="76"/>
      <c r="I1376" s="269"/>
      <c r="J1376" s="269"/>
      <c r="K1376" s="269"/>
      <c r="L1376" s="269"/>
      <c r="M1376" s="76"/>
      <c r="N1376" s="76"/>
      <c r="O1376" s="76"/>
      <c r="P1376" s="76"/>
    </row>
    <row r="1377" ht="20.25" customHeight="1">
      <c r="A1377" s="665"/>
      <c r="B1377" s="189"/>
      <c r="C1377" s="189"/>
      <c r="D1377" s="189"/>
      <c r="E1377" s="189"/>
      <c r="F1377" s="270"/>
      <c r="G1377" s="76"/>
      <c r="H1377" s="76"/>
      <c r="I1377" s="270"/>
      <c r="J1377" s="270"/>
      <c r="K1377" s="270"/>
      <c r="L1377" s="270"/>
      <c r="M1377" s="76"/>
      <c r="N1377" s="76"/>
      <c r="O1377" s="76"/>
      <c r="P1377" s="76"/>
    </row>
    <row r="1378" ht="20.25" customHeight="1">
      <c r="A1378" s="664"/>
      <c r="B1378" s="190"/>
      <c r="C1378" s="190"/>
      <c r="D1378" s="190"/>
      <c r="E1378" s="190"/>
      <c r="F1378" s="269"/>
      <c r="G1378" s="76"/>
      <c r="H1378" s="76"/>
      <c r="I1378" s="269"/>
      <c r="J1378" s="269"/>
      <c r="K1378" s="269"/>
      <c r="L1378" s="269"/>
      <c r="M1378" s="76"/>
      <c r="N1378" s="76"/>
      <c r="O1378" s="76"/>
      <c r="P1378" s="76"/>
    </row>
    <row r="1379" ht="20.25" customHeight="1">
      <c r="A1379" s="665"/>
      <c r="B1379" s="189"/>
      <c r="C1379" s="189"/>
      <c r="D1379" s="189"/>
      <c r="E1379" s="189"/>
      <c r="F1379" s="270"/>
      <c r="G1379" s="76"/>
      <c r="H1379" s="76"/>
      <c r="I1379" s="270"/>
      <c r="J1379" s="270"/>
      <c r="K1379" s="270"/>
      <c r="L1379" s="270"/>
      <c r="M1379" s="76"/>
      <c r="N1379" s="76"/>
      <c r="O1379" s="76"/>
      <c r="P1379" s="76"/>
    </row>
    <row r="1380" ht="20.25" customHeight="1">
      <c r="A1380" s="664"/>
      <c r="B1380" s="190"/>
      <c r="C1380" s="190"/>
      <c r="D1380" s="190"/>
      <c r="E1380" s="190"/>
      <c r="F1380" s="269"/>
      <c r="G1380" s="76"/>
      <c r="H1380" s="76"/>
      <c r="I1380" s="269"/>
      <c r="J1380" s="269"/>
      <c r="K1380" s="269"/>
      <c r="L1380" s="269"/>
      <c r="M1380" s="76"/>
      <c r="N1380" s="76"/>
      <c r="O1380" s="76"/>
      <c r="P1380" s="76"/>
    </row>
    <row r="1381" ht="20.25" customHeight="1">
      <c r="A1381" s="665"/>
      <c r="B1381" s="189"/>
      <c r="C1381" s="189"/>
      <c r="D1381" s="189"/>
      <c r="E1381" s="189"/>
      <c r="F1381" s="270"/>
      <c r="G1381" s="76"/>
      <c r="H1381" s="76"/>
      <c r="I1381" s="270"/>
      <c r="J1381" s="270"/>
      <c r="K1381" s="270"/>
      <c r="L1381" s="270"/>
      <c r="M1381" s="76"/>
      <c r="N1381" s="76"/>
      <c r="O1381" s="76"/>
      <c r="P1381" s="76"/>
    </row>
    <row r="1382" ht="20.25" customHeight="1">
      <c r="A1382" s="664"/>
      <c r="B1382" s="190"/>
      <c r="C1382" s="190"/>
      <c r="D1382" s="190"/>
      <c r="E1382" s="190"/>
      <c r="F1382" s="269"/>
      <c r="G1382" s="76"/>
      <c r="H1382" s="76"/>
      <c r="I1382" s="269"/>
      <c r="J1382" s="269"/>
      <c r="K1382" s="269"/>
      <c r="L1382" s="269"/>
      <c r="M1382" s="76"/>
      <c r="N1382" s="76"/>
      <c r="O1382" s="76"/>
      <c r="P1382" s="76"/>
    </row>
    <row r="1383" ht="20.25" customHeight="1">
      <c r="A1383" s="665"/>
      <c r="B1383" s="189"/>
      <c r="C1383" s="189"/>
      <c r="D1383" s="189"/>
      <c r="E1383" s="189"/>
      <c r="F1383" s="270"/>
      <c r="G1383" s="76"/>
      <c r="H1383" s="76"/>
      <c r="I1383" s="270"/>
      <c r="J1383" s="270"/>
      <c r="K1383" s="270"/>
      <c r="L1383" s="270"/>
      <c r="M1383" s="76"/>
      <c r="N1383" s="76"/>
      <c r="O1383" s="76"/>
      <c r="P1383" s="76"/>
    </row>
    <row r="1384" ht="20.25" customHeight="1">
      <c r="A1384" s="664"/>
      <c r="B1384" s="190"/>
      <c r="C1384" s="190"/>
      <c r="D1384" s="190"/>
      <c r="E1384" s="190"/>
      <c r="F1384" s="269"/>
      <c r="G1384" s="76"/>
      <c r="H1384" s="76"/>
      <c r="I1384" s="269"/>
      <c r="J1384" s="269"/>
      <c r="K1384" s="269"/>
      <c r="L1384" s="269"/>
      <c r="M1384" s="76"/>
      <c r="N1384" s="76"/>
      <c r="O1384" s="76"/>
      <c r="P1384" s="76"/>
    </row>
    <row r="1385" ht="20.25" customHeight="1">
      <c r="A1385" s="665"/>
      <c r="B1385" s="189"/>
      <c r="C1385" s="189"/>
      <c r="D1385" s="189"/>
      <c r="E1385" s="189"/>
      <c r="F1385" s="270"/>
      <c r="G1385" s="76"/>
      <c r="H1385" s="76"/>
      <c r="I1385" s="270"/>
      <c r="J1385" s="270"/>
      <c r="K1385" s="270"/>
      <c r="L1385" s="270"/>
      <c r="M1385" s="76"/>
      <c r="N1385" s="76"/>
      <c r="O1385" s="76"/>
      <c r="P1385" s="76"/>
    </row>
    <row r="1386" ht="20.25" customHeight="1">
      <c r="A1386" s="664"/>
      <c r="B1386" s="190"/>
      <c r="C1386" s="190"/>
      <c r="D1386" s="190"/>
      <c r="E1386" s="190"/>
      <c r="F1386" s="269"/>
      <c r="G1386" s="76"/>
      <c r="H1386" s="76"/>
      <c r="I1386" s="269"/>
      <c r="J1386" s="269"/>
      <c r="K1386" s="269"/>
      <c r="L1386" s="269"/>
      <c r="M1386" s="76"/>
      <c r="N1386" s="76"/>
      <c r="O1386" s="76"/>
      <c r="P1386" s="76"/>
    </row>
    <row r="1387" ht="20.25" customHeight="1">
      <c r="A1387" s="665"/>
      <c r="B1387" s="189"/>
      <c r="C1387" s="189"/>
      <c r="D1387" s="189"/>
      <c r="E1387" s="189"/>
      <c r="F1387" s="270"/>
      <c r="G1387" s="76"/>
      <c r="H1387" s="76"/>
      <c r="I1387" s="270"/>
      <c r="J1387" s="270"/>
      <c r="K1387" s="270"/>
      <c r="L1387" s="270"/>
      <c r="M1387" s="76"/>
      <c r="N1387" s="76"/>
      <c r="O1387" s="76"/>
      <c r="P1387" s="76"/>
    </row>
    <row r="1388" ht="20.25" customHeight="1">
      <c r="A1388" s="664"/>
      <c r="B1388" s="190"/>
      <c r="C1388" s="190"/>
      <c r="D1388" s="190"/>
      <c r="E1388" s="190"/>
      <c r="F1388" s="269"/>
      <c r="G1388" s="76"/>
      <c r="H1388" s="76"/>
      <c r="I1388" s="269"/>
      <c r="J1388" s="269"/>
      <c r="K1388" s="269"/>
      <c r="L1388" s="269"/>
      <c r="M1388" s="76"/>
      <c r="N1388" s="76"/>
      <c r="O1388" s="76"/>
      <c r="P1388" s="76"/>
    </row>
    <row r="1389" ht="20.25" customHeight="1">
      <c r="A1389" s="665"/>
      <c r="B1389" s="189"/>
      <c r="C1389" s="189"/>
      <c r="D1389" s="189"/>
      <c r="E1389" s="189"/>
      <c r="F1389" s="270"/>
      <c r="G1389" s="76"/>
      <c r="H1389" s="76"/>
      <c r="I1389" s="270"/>
      <c r="J1389" s="270"/>
      <c r="K1389" s="270"/>
      <c r="L1389" s="270"/>
      <c r="M1389" s="76"/>
      <c r="N1389" s="76"/>
      <c r="O1389" s="76"/>
      <c r="P1389" s="76"/>
    </row>
    <row r="1390" ht="20.25" customHeight="1">
      <c r="A1390" s="664"/>
      <c r="B1390" s="190"/>
      <c r="C1390" s="190"/>
      <c r="D1390" s="190"/>
      <c r="E1390" s="190"/>
      <c r="F1390" s="269"/>
      <c r="G1390" s="76"/>
      <c r="H1390" s="76"/>
      <c r="I1390" s="269"/>
      <c r="J1390" s="269"/>
      <c r="K1390" s="269"/>
      <c r="L1390" s="269"/>
      <c r="M1390" s="76"/>
      <c r="N1390" s="76"/>
      <c r="O1390" s="76"/>
      <c r="P1390" s="76"/>
    </row>
    <row r="1391" ht="20.25" customHeight="1">
      <c r="A1391" s="665"/>
      <c r="B1391" s="189"/>
      <c r="C1391" s="189"/>
      <c r="D1391" s="189"/>
      <c r="E1391" s="189"/>
      <c r="F1391" s="270"/>
      <c r="G1391" s="76"/>
      <c r="H1391" s="76"/>
      <c r="I1391" s="270"/>
      <c r="J1391" s="270"/>
      <c r="K1391" s="270"/>
      <c r="L1391" s="270"/>
      <c r="M1391" s="76"/>
      <c r="N1391" s="76"/>
      <c r="O1391" s="76"/>
      <c r="P1391" s="76"/>
    </row>
    <row r="1392" ht="20.25" customHeight="1">
      <c r="A1392" s="664"/>
      <c r="B1392" s="190"/>
      <c r="C1392" s="190"/>
      <c r="D1392" s="190"/>
      <c r="E1392" s="190"/>
      <c r="F1392" s="269"/>
      <c r="G1392" s="76"/>
      <c r="H1392" s="76"/>
      <c r="I1392" s="269"/>
      <c r="J1392" s="269"/>
      <c r="K1392" s="269"/>
      <c r="L1392" s="269"/>
      <c r="M1392" s="76"/>
      <c r="N1392" s="76"/>
      <c r="O1392" s="76"/>
      <c r="P1392" s="76"/>
    </row>
    <row r="1393" ht="20.25" customHeight="1">
      <c r="A1393" s="665"/>
      <c r="B1393" s="189"/>
      <c r="C1393" s="189"/>
      <c r="D1393" s="189"/>
      <c r="E1393" s="189"/>
      <c r="F1393" s="270"/>
      <c r="G1393" s="76"/>
      <c r="H1393" s="76"/>
      <c r="I1393" s="270"/>
      <c r="J1393" s="270"/>
      <c r="K1393" s="270"/>
      <c r="L1393" s="270"/>
      <c r="M1393" s="76"/>
      <c r="N1393" s="76"/>
      <c r="O1393" s="76"/>
      <c r="P1393" s="76"/>
    </row>
    <row r="1394" ht="20.25" customHeight="1">
      <c r="A1394" s="664"/>
      <c r="B1394" s="190"/>
      <c r="C1394" s="190"/>
      <c r="D1394" s="190"/>
      <c r="E1394" s="190"/>
      <c r="F1394" s="269"/>
      <c r="G1394" s="76"/>
      <c r="H1394" s="76"/>
      <c r="I1394" s="269"/>
      <c r="J1394" s="269"/>
      <c r="K1394" s="269"/>
      <c r="L1394" s="269"/>
      <c r="M1394" s="76"/>
      <c r="N1394" s="76"/>
      <c r="O1394" s="76"/>
      <c r="P1394" s="76"/>
    </row>
    <row r="1395" ht="20.25" customHeight="1">
      <c r="A1395" s="665"/>
      <c r="B1395" s="189"/>
      <c r="C1395" s="189"/>
      <c r="D1395" s="189"/>
      <c r="E1395" s="189"/>
      <c r="F1395" s="270"/>
      <c r="G1395" s="76"/>
      <c r="H1395" s="76"/>
      <c r="I1395" s="270"/>
      <c r="J1395" s="270"/>
      <c r="K1395" s="270"/>
      <c r="L1395" s="270"/>
      <c r="M1395" s="76"/>
      <c r="N1395" s="76"/>
      <c r="O1395" s="76"/>
      <c r="P1395" s="76"/>
    </row>
    <row r="1396" ht="20.25" customHeight="1">
      <c r="A1396" s="664"/>
      <c r="B1396" s="190"/>
      <c r="C1396" s="190"/>
      <c r="D1396" s="190"/>
      <c r="E1396" s="190"/>
      <c r="F1396" s="269"/>
      <c r="G1396" s="76"/>
      <c r="H1396" s="76"/>
      <c r="I1396" s="269"/>
      <c r="J1396" s="269"/>
      <c r="K1396" s="269"/>
      <c r="L1396" s="269"/>
      <c r="M1396" s="76"/>
      <c r="N1396" s="76"/>
      <c r="O1396" s="76"/>
      <c r="P1396" s="76"/>
    </row>
    <row r="1397" ht="20.25" customHeight="1">
      <c r="A1397" s="665"/>
      <c r="B1397" s="189"/>
      <c r="C1397" s="189"/>
      <c r="D1397" s="189"/>
      <c r="E1397" s="189"/>
      <c r="F1397" s="270"/>
      <c r="G1397" s="76"/>
      <c r="H1397" s="76"/>
      <c r="I1397" s="270"/>
      <c r="J1397" s="270"/>
      <c r="K1397" s="270"/>
      <c r="L1397" s="270"/>
      <c r="M1397" s="76"/>
      <c r="N1397" s="76"/>
      <c r="O1397" s="76"/>
      <c r="P1397" s="76"/>
    </row>
    <row r="1398" ht="20.25" customHeight="1">
      <c r="A1398" s="664"/>
      <c r="B1398" s="190"/>
      <c r="C1398" s="190"/>
      <c r="D1398" s="190"/>
      <c r="E1398" s="190"/>
      <c r="F1398" s="269"/>
      <c r="G1398" s="76"/>
      <c r="H1398" s="76"/>
      <c r="I1398" s="269"/>
      <c r="J1398" s="269"/>
      <c r="K1398" s="269"/>
      <c r="L1398" s="269"/>
      <c r="M1398" s="76"/>
      <c r="N1398" s="76"/>
      <c r="O1398" s="76"/>
      <c r="P1398" s="76"/>
    </row>
    <row r="1399" ht="20.25" customHeight="1">
      <c r="A1399" s="665"/>
      <c r="B1399" s="189"/>
      <c r="C1399" s="189"/>
      <c r="D1399" s="189"/>
      <c r="E1399" s="189"/>
      <c r="F1399" s="270"/>
      <c r="G1399" s="76"/>
      <c r="H1399" s="76"/>
      <c r="I1399" s="270"/>
      <c r="J1399" s="270"/>
      <c r="K1399" s="270"/>
      <c r="L1399" s="270"/>
      <c r="M1399" s="76"/>
      <c r="N1399" s="76"/>
      <c r="O1399" s="76"/>
      <c r="P1399" s="76"/>
    </row>
    <row r="1400" ht="20.25" customHeight="1">
      <c r="A1400" s="664"/>
      <c r="B1400" s="190"/>
      <c r="C1400" s="190"/>
      <c r="D1400" s="190"/>
      <c r="E1400" s="190"/>
      <c r="F1400" s="269"/>
      <c r="G1400" s="76"/>
      <c r="H1400" s="76"/>
      <c r="I1400" s="269"/>
      <c r="J1400" s="269"/>
      <c r="K1400" s="269"/>
      <c r="L1400" s="269"/>
      <c r="M1400" s="76"/>
      <c r="N1400" s="76"/>
      <c r="O1400" s="76"/>
      <c r="P1400" s="76"/>
    </row>
    <row r="1401" ht="20.25" customHeight="1">
      <c r="A1401" s="665"/>
      <c r="B1401" s="189"/>
      <c r="C1401" s="189"/>
      <c r="D1401" s="189"/>
      <c r="E1401" s="189"/>
      <c r="F1401" s="270"/>
      <c r="G1401" s="76"/>
      <c r="H1401" s="76"/>
      <c r="I1401" s="270"/>
      <c r="J1401" s="270"/>
      <c r="K1401" s="270"/>
      <c r="L1401" s="270"/>
      <c r="M1401" s="76"/>
      <c r="N1401" s="76"/>
      <c r="O1401" s="76"/>
      <c r="P1401" s="76"/>
    </row>
    <row r="1402" ht="20.25" customHeight="1">
      <c r="A1402" s="664"/>
      <c r="B1402" s="190"/>
      <c r="C1402" s="190"/>
      <c r="D1402" s="190"/>
      <c r="E1402" s="190"/>
      <c r="F1402" s="269"/>
      <c r="G1402" s="76"/>
      <c r="H1402" s="76"/>
      <c r="I1402" s="269"/>
      <c r="J1402" s="269"/>
      <c r="K1402" s="269"/>
      <c r="L1402" s="269"/>
      <c r="M1402" s="76"/>
      <c r="N1402" s="76"/>
      <c r="O1402" s="76"/>
      <c r="P1402" s="76"/>
    </row>
    <row r="1403" ht="20.25" customHeight="1">
      <c r="A1403" s="665"/>
      <c r="B1403" s="189"/>
      <c r="C1403" s="189"/>
      <c r="D1403" s="189"/>
      <c r="E1403" s="189"/>
      <c r="F1403" s="270"/>
      <c r="G1403" s="76"/>
      <c r="H1403" s="76"/>
      <c r="I1403" s="270"/>
      <c r="J1403" s="270"/>
      <c r="K1403" s="270"/>
      <c r="L1403" s="270"/>
      <c r="M1403" s="76"/>
      <c r="N1403" s="76"/>
      <c r="O1403" s="76"/>
      <c r="P1403" s="76"/>
    </row>
    <row r="1404" ht="20.25" customHeight="1">
      <c r="A1404" s="664"/>
      <c r="B1404" s="190"/>
      <c r="C1404" s="190"/>
      <c r="D1404" s="190"/>
      <c r="E1404" s="190"/>
      <c r="F1404" s="269"/>
      <c r="G1404" s="76"/>
      <c r="H1404" s="76"/>
      <c r="I1404" s="269"/>
      <c r="J1404" s="269"/>
      <c r="K1404" s="269"/>
      <c r="L1404" s="269"/>
      <c r="M1404" s="76"/>
      <c r="N1404" s="76"/>
      <c r="O1404" s="76"/>
      <c r="P1404" s="76"/>
    </row>
    <row r="1405" ht="20.25" customHeight="1">
      <c r="A1405" s="665"/>
      <c r="B1405" s="189"/>
      <c r="C1405" s="189"/>
      <c r="D1405" s="189"/>
      <c r="E1405" s="189"/>
      <c r="F1405" s="270"/>
      <c r="G1405" s="76"/>
      <c r="H1405" s="76"/>
      <c r="I1405" s="270"/>
      <c r="J1405" s="270"/>
      <c r="K1405" s="270"/>
      <c r="L1405" s="270"/>
      <c r="M1405" s="76"/>
      <c r="N1405" s="76"/>
      <c r="O1405" s="76"/>
      <c r="P1405" s="76"/>
    </row>
    <row r="1406" ht="20.25" customHeight="1">
      <c r="A1406" s="664"/>
      <c r="B1406" s="190"/>
      <c r="C1406" s="190"/>
      <c r="D1406" s="190"/>
      <c r="E1406" s="190"/>
      <c r="F1406" s="269"/>
      <c r="G1406" s="76"/>
      <c r="H1406" s="76"/>
      <c r="I1406" s="269"/>
      <c r="J1406" s="269"/>
      <c r="K1406" s="269"/>
      <c r="L1406" s="269"/>
      <c r="M1406" s="76"/>
      <c r="N1406" s="76"/>
      <c r="O1406" s="76"/>
      <c r="P1406" s="76"/>
    </row>
    <row r="1407" ht="20.25" customHeight="1">
      <c r="A1407" s="665"/>
      <c r="B1407" s="189"/>
      <c r="C1407" s="189"/>
      <c r="D1407" s="189"/>
      <c r="E1407" s="189"/>
      <c r="F1407" s="270"/>
      <c r="G1407" s="76"/>
      <c r="H1407" s="76"/>
      <c r="I1407" s="270"/>
      <c r="J1407" s="270"/>
      <c r="K1407" s="270"/>
      <c r="L1407" s="270"/>
      <c r="M1407" s="76"/>
      <c r="N1407" s="76"/>
      <c r="O1407" s="76"/>
      <c r="P1407" s="76"/>
    </row>
    <row r="1408" ht="20.25" customHeight="1">
      <c r="A1408" s="664"/>
      <c r="B1408" s="190"/>
      <c r="C1408" s="190"/>
      <c r="D1408" s="190"/>
      <c r="E1408" s="190"/>
      <c r="F1408" s="269"/>
      <c r="G1408" s="76"/>
      <c r="H1408" s="76"/>
      <c r="I1408" s="269"/>
      <c r="J1408" s="269"/>
      <c r="K1408" s="269"/>
      <c r="L1408" s="269"/>
      <c r="M1408" s="76"/>
      <c r="N1408" s="76"/>
      <c r="O1408" s="76"/>
      <c r="P1408" s="76"/>
    </row>
    <row r="1409" ht="20.25" customHeight="1">
      <c r="A1409" s="665"/>
      <c r="B1409" s="189"/>
      <c r="C1409" s="189"/>
      <c r="D1409" s="189"/>
      <c r="E1409" s="189"/>
      <c r="F1409" s="270"/>
      <c r="G1409" s="76"/>
      <c r="H1409" s="76"/>
      <c r="I1409" s="270"/>
      <c r="J1409" s="270"/>
      <c r="K1409" s="270"/>
      <c r="L1409" s="270"/>
      <c r="M1409" s="76"/>
      <c r="N1409" s="76"/>
      <c r="O1409" s="76"/>
      <c r="P1409" s="76"/>
    </row>
    <row r="1410" ht="20.25" customHeight="1">
      <c r="A1410" s="664"/>
      <c r="B1410" s="190"/>
      <c r="C1410" s="190"/>
      <c r="D1410" s="190"/>
      <c r="E1410" s="190"/>
      <c r="F1410" s="269"/>
      <c r="G1410" s="76"/>
      <c r="H1410" s="76"/>
      <c r="I1410" s="269"/>
      <c r="J1410" s="269"/>
      <c r="K1410" s="269"/>
      <c r="L1410" s="269"/>
      <c r="M1410" s="76"/>
      <c r="N1410" s="76"/>
      <c r="O1410" s="76"/>
      <c r="P1410" s="76"/>
    </row>
    <row r="1411" ht="20.25" customHeight="1">
      <c r="A1411" s="665"/>
      <c r="B1411" s="189"/>
      <c r="C1411" s="189"/>
      <c r="D1411" s="189"/>
      <c r="E1411" s="189"/>
      <c r="F1411" s="270"/>
      <c r="G1411" s="76"/>
      <c r="H1411" s="76"/>
      <c r="I1411" s="270"/>
      <c r="J1411" s="270"/>
      <c r="K1411" s="270"/>
      <c r="L1411" s="270"/>
      <c r="M1411" s="76"/>
      <c r="N1411" s="76"/>
      <c r="O1411" s="76"/>
      <c r="P1411" s="76"/>
    </row>
    <row r="1412" ht="20.25" customHeight="1">
      <c r="A1412" s="664"/>
      <c r="B1412" s="190"/>
      <c r="C1412" s="190"/>
      <c r="D1412" s="190"/>
      <c r="E1412" s="190"/>
      <c r="F1412" s="269"/>
      <c r="G1412" s="76"/>
      <c r="H1412" s="76"/>
      <c r="I1412" s="269"/>
      <c r="J1412" s="269"/>
      <c r="K1412" s="269"/>
      <c r="L1412" s="269"/>
      <c r="M1412" s="76"/>
      <c r="N1412" s="76"/>
      <c r="O1412" s="76"/>
      <c r="P1412" s="76"/>
    </row>
    <row r="1413" ht="20.25" customHeight="1">
      <c r="A1413" s="665"/>
      <c r="B1413" s="189"/>
      <c r="C1413" s="189"/>
      <c r="D1413" s="189"/>
      <c r="E1413" s="189"/>
      <c r="F1413" s="270"/>
      <c r="G1413" s="76"/>
      <c r="H1413" s="76"/>
      <c r="I1413" s="270"/>
      <c r="J1413" s="270"/>
      <c r="K1413" s="270"/>
      <c r="L1413" s="270"/>
      <c r="M1413" s="76"/>
      <c r="N1413" s="76"/>
      <c r="O1413" s="76"/>
      <c r="P1413" s="76"/>
    </row>
    <row r="1414" ht="20.25" customHeight="1">
      <c r="A1414" s="664"/>
      <c r="B1414" s="190"/>
      <c r="C1414" s="190"/>
      <c r="D1414" s="190"/>
      <c r="E1414" s="190"/>
      <c r="F1414" s="269"/>
      <c r="G1414" s="76"/>
      <c r="H1414" s="76"/>
      <c r="I1414" s="269"/>
      <c r="J1414" s="269"/>
      <c r="K1414" s="269"/>
      <c r="L1414" s="269"/>
      <c r="M1414" s="76"/>
      <c r="N1414" s="76"/>
      <c r="O1414" s="76"/>
      <c r="P1414" s="76"/>
    </row>
    <row r="1415" ht="20.25" customHeight="1">
      <c r="A1415" s="665"/>
      <c r="B1415" s="189"/>
      <c r="C1415" s="189"/>
      <c r="D1415" s="189"/>
      <c r="E1415" s="189"/>
      <c r="F1415" s="270"/>
      <c r="G1415" s="76"/>
      <c r="H1415" s="76"/>
      <c r="I1415" s="270"/>
      <c r="J1415" s="270"/>
      <c r="K1415" s="270"/>
      <c r="L1415" s="270"/>
      <c r="M1415" s="76"/>
      <c r="N1415" s="76"/>
      <c r="O1415" s="76"/>
      <c r="P1415" s="76"/>
    </row>
    <row r="1416" ht="20.25" customHeight="1">
      <c r="A1416" s="664"/>
      <c r="B1416" s="190"/>
      <c r="C1416" s="190"/>
      <c r="D1416" s="190"/>
      <c r="E1416" s="190"/>
      <c r="F1416" s="269"/>
      <c r="G1416" s="76"/>
      <c r="H1416" s="76"/>
      <c r="I1416" s="269"/>
      <c r="J1416" s="269"/>
      <c r="K1416" s="269"/>
      <c r="L1416" s="269"/>
      <c r="M1416" s="76"/>
      <c r="N1416" s="76"/>
      <c r="O1416" s="76"/>
      <c r="P1416" s="76"/>
    </row>
    <row r="1417" ht="20.25" customHeight="1">
      <c r="A1417" s="665"/>
      <c r="B1417" s="189"/>
      <c r="C1417" s="189"/>
      <c r="D1417" s="189"/>
      <c r="E1417" s="189"/>
      <c r="F1417" s="270"/>
      <c r="G1417" s="76"/>
      <c r="H1417" s="76"/>
      <c r="I1417" s="270"/>
      <c r="J1417" s="270"/>
      <c r="K1417" s="270"/>
      <c r="L1417" s="270"/>
      <c r="M1417" s="76"/>
      <c r="N1417" s="76"/>
      <c r="O1417" s="76"/>
      <c r="P1417" s="76"/>
    </row>
    <row r="1418" ht="20.25" customHeight="1">
      <c r="A1418" s="664"/>
      <c r="B1418" s="190"/>
      <c r="C1418" s="190"/>
      <c r="D1418" s="190"/>
      <c r="E1418" s="190"/>
      <c r="F1418" s="269"/>
      <c r="G1418" s="76"/>
      <c r="H1418" s="76"/>
      <c r="I1418" s="269"/>
      <c r="J1418" s="269"/>
      <c r="K1418" s="269"/>
      <c r="L1418" s="269"/>
      <c r="M1418" s="76"/>
      <c r="N1418" s="76"/>
      <c r="O1418" s="76"/>
      <c r="P1418" s="76"/>
    </row>
    <row r="1419" ht="20.25" customHeight="1">
      <c r="A1419" s="665"/>
      <c r="B1419" s="189"/>
      <c r="C1419" s="189"/>
      <c r="D1419" s="189"/>
      <c r="E1419" s="189"/>
      <c r="F1419" s="270"/>
      <c r="G1419" s="76"/>
      <c r="H1419" s="76"/>
      <c r="I1419" s="270"/>
      <c r="J1419" s="270"/>
      <c r="K1419" s="270"/>
      <c r="L1419" s="270"/>
      <c r="M1419" s="76"/>
      <c r="N1419" s="76"/>
      <c r="O1419" s="76"/>
      <c r="P1419" s="76"/>
    </row>
    <row r="1420" ht="20.25" customHeight="1">
      <c r="A1420" s="664"/>
      <c r="B1420" s="190"/>
      <c r="C1420" s="190"/>
      <c r="D1420" s="190"/>
      <c r="E1420" s="190"/>
      <c r="F1420" s="269"/>
      <c r="G1420" s="76"/>
      <c r="H1420" s="76"/>
      <c r="I1420" s="269"/>
      <c r="J1420" s="269"/>
      <c r="K1420" s="269"/>
      <c r="L1420" s="269"/>
      <c r="M1420" s="76"/>
      <c r="N1420" s="76"/>
      <c r="O1420" s="76"/>
      <c r="P1420" s="76"/>
    </row>
    <row r="1421" ht="20.25" customHeight="1">
      <c r="A1421" s="665"/>
      <c r="B1421" s="189"/>
      <c r="C1421" s="189"/>
      <c r="D1421" s="189"/>
      <c r="E1421" s="189"/>
      <c r="F1421" s="270"/>
      <c r="G1421" s="76"/>
      <c r="H1421" s="76"/>
      <c r="I1421" s="270"/>
      <c r="J1421" s="270"/>
      <c r="K1421" s="270"/>
      <c r="L1421" s="270"/>
      <c r="M1421" s="76"/>
      <c r="N1421" s="76"/>
      <c r="O1421" s="76"/>
      <c r="P1421" s="76"/>
    </row>
    <row r="1422" ht="20.25" customHeight="1">
      <c r="A1422" s="664"/>
      <c r="B1422" s="190"/>
      <c r="C1422" s="190"/>
      <c r="D1422" s="190"/>
      <c r="E1422" s="190"/>
      <c r="F1422" s="269"/>
      <c r="G1422" s="76"/>
      <c r="H1422" s="76"/>
      <c r="I1422" s="269"/>
      <c r="J1422" s="269"/>
      <c r="K1422" s="269"/>
      <c r="L1422" s="269"/>
      <c r="M1422" s="76"/>
      <c r="N1422" s="76"/>
      <c r="O1422" s="76"/>
      <c r="P1422" s="76"/>
    </row>
    <row r="1423" ht="20.25" customHeight="1">
      <c r="A1423" s="665"/>
      <c r="B1423" s="189"/>
      <c r="C1423" s="189"/>
      <c r="D1423" s="189"/>
      <c r="E1423" s="189"/>
      <c r="F1423" s="270"/>
      <c r="G1423" s="76"/>
      <c r="H1423" s="76"/>
      <c r="I1423" s="270"/>
      <c r="J1423" s="270"/>
      <c r="K1423" s="270"/>
      <c r="L1423" s="270"/>
      <c r="M1423" s="76"/>
      <c r="N1423" s="76"/>
      <c r="O1423" s="76"/>
      <c r="P1423" s="76"/>
    </row>
    <row r="1424" ht="20.25" customHeight="1">
      <c r="A1424" s="664"/>
      <c r="B1424" s="190"/>
      <c r="C1424" s="190"/>
      <c r="D1424" s="190"/>
      <c r="E1424" s="190"/>
      <c r="F1424" s="269"/>
      <c r="G1424" s="76"/>
      <c r="H1424" s="76"/>
      <c r="I1424" s="269"/>
      <c r="J1424" s="269"/>
      <c r="K1424" s="269"/>
      <c r="L1424" s="269"/>
      <c r="M1424" s="76"/>
      <c r="N1424" s="76"/>
      <c r="O1424" s="76"/>
      <c r="P1424" s="76"/>
    </row>
    <row r="1425" ht="20.25" customHeight="1">
      <c r="A1425" s="665"/>
      <c r="B1425" s="189"/>
      <c r="C1425" s="189"/>
      <c r="D1425" s="189"/>
      <c r="E1425" s="189"/>
      <c r="F1425" s="270"/>
      <c r="G1425" s="76"/>
      <c r="H1425" s="76"/>
      <c r="I1425" s="270"/>
      <c r="J1425" s="270"/>
      <c r="K1425" s="270"/>
      <c r="L1425" s="270"/>
      <c r="M1425" s="76"/>
      <c r="N1425" s="76"/>
      <c r="O1425" s="76"/>
      <c r="P1425" s="76"/>
    </row>
    <row r="1426" ht="20.25" customHeight="1">
      <c r="A1426" s="664"/>
      <c r="B1426" s="190"/>
      <c r="C1426" s="190"/>
      <c r="D1426" s="190"/>
      <c r="E1426" s="190"/>
      <c r="F1426" s="269"/>
      <c r="G1426" s="76"/>
      <c r="H1426" s="76"/>
      <c r="I1426" s="269"/>
      <c r="J1426" s="269"/>
      <c r="K1426" s="269"/>
      <c r="L1426" s="269"/>
      <c r="M1426" s="76"/>
      <c r="N1426" s="76"/>
      <c r="O1426" s="76"/>
      <c r="P1426" s="76"/>
    </row>
    <row r="1427" ht="20.25" customHeight="1">
      <c r="A1427" s="665"/>
      <c r="B1427" s="189"/>
      <c r="C1427" s="189"/>
      <c r="D1427" s="189"/>
      <c r="E1427" s="189"/>
      <c r="F1427" s="270"/>
      <c r="G1427" s="76"/>
      <c r="H1427" s="76"/>
      <c r="I1427" s="270"/>
      <c r="J1427" s="270"/>
      <c r="K1427" s="270"/>
      <c r="L1427" s="270"/>
      <c r="M1427" s="76"/>
      <c r="N1427" s="76"/>
      <c r="O1427" s="76"/>
      <c r="P1427" s="76"/>
    </row>
    <row r="1428" ht="20.25" customHeight="1">
      <c r="A1428" s="664"/>
      <c r="B1428" s="190"/>
      <c r="C1428" s="190"/>
      <c r="D1428" s="190"/>
      <c r="E1428" s="190"/>
      <c r="F1428" s="269"/>
      <c r="G1428" s="76"/>
      <c r="H1428" s="76"/>
      <c r="I1428" s="269"/>
      <c r="J1428" s="269"/>
      <c r="K1428" s="269"/>
      <c r="L1428" s="269"/>
      <c r="M1428" s="76"/>
      <c r="N1428" s="76"/>
      <c r="O1428" s="76"/>
      <c r="P1428" s="76"/>
    </row>
    <row r="1429" ht="20.25" customHeight="1">
      <c r="A1429" s="665"/>
      <c r="B1429" s="189"/>
      <c r="C1429" s="189"/>
      <c r="D1429" s="189"/>
      <c r="E1429" s="189"/>
      <c r="F1429" s="270"/>
      <c r="G1429" s="76"/>
      <c r="H1429" s="76"/>
      <c r="I1429" s="270"/>
      <c r="J1429" s="270"/>
      <c r="K1429" s="270"/>
      <c r="L1429" s="270"/>
      <c r="M1429" s="76"/>
      <c r="N1429" s="76"/>
      <c r="O1429" s="76"/>
      <c r="P1429" s="76"/>
    </row>
    <row r="1430" ht="20.25" customHeight="1">
      <c r="A1430" s="664"/>
      <c r="B1430" s="190"/>
      <c r="C1430" s="190"/>
      <c r="D1430" s="190"/>
      <c r="E1430" s="190"/>
      <c r="F1430" s="269"/>
      <c r="G1430" s="76"/>
      <c r="H1430" s="76"/>
      <c r="I1430" s="269"/>
      <c r="J1430" s="269"/>
      <c r="K1430" s="269"/>
      <c r="L1430" s="269"/>
      <c r="M1430" s="76"/>
      <c r="N1430" s="76"/>
      <c r="O1430" s="76"/>
      <c r="P1430" s="76"/>
    </row>
    <row r="1431" ht="20.25" customHeight="1">
      <c r="A1431" s="665"/>
      <c r="B1431" s="189"/>
      <c r="C1431" s="189"/>
      <c r="D1431" s="189"/>
      <c r="E1431" s="189"/>
      <c r="F1431" s="270"/>
      <c r="G1431" s="76"/>
      <c r="H1431" s="76"/>
      <c r="I1431" s="270"/>
      <c r="J1431" s="270"/>
      <c r="K1431" s="270"/>
      <c r="L1431" s="270"/>
      <c r="M1431" s="76"/>
      <c r="N1431" s="76"/>
      <c r="O1431" s="76"/>
      <c r="P1431" s="76"/>
    </row>
    <row r="1432" ht="20.25" customHeight="1">
      <c r="A1432" s="664"/>
      <c r="B1432" s="190"/>
      <c r="C1432" s="190"/>
      <c r="D1432" s="190"/>
      <c r="E1432" s="190"/>
      <c r="F1432" s="269"/>
      <c r="G1432" s="76"/>
      <c r="H1432" s="76"/>
      <c r="I1432" s="269"/>
      <c r="J1432" s="269"/>
      <c r="K1432" s="269"/>
      <c r="L1432" s="269"/>
      <c r="M1432" s="76"/>
      <c r="N1432" s="76"/>
      <c r="O1432" s="76"/>
      <c r="P1432" s="76"/>
    </row>
    <row r="1433" ht="20.25" customHeight="1">
      <c r="A1433" s="665"/>
      <c r="B1433" s="189"/>
      <c r="C1433" s="189"/>
      <c r="D1433" s="189"/>
      <c r="E1433" s="189"/>
      <c r="F1433" s="270"/>
      <c r="G1433" s="76"/>
      <c r="H1433" s="76"/>
      <c r="I1433" s="270"/>
      <c r="J1433" s="270"/>
      <c r="K1433" s="270"/>
      <c r="L1433" s="270"/>
      <c r="M1433" s="76"/>
      <c r="N1433" s="76"/>
      <c r="O1433" s="76"/>
      <c r="P1433" s="76"/>
    </row>
    <row r="1434" ht="20.25" customHeight="1">
      <c r="A1434" s="664"/>
      <c r="B1434" s="190"/>
      <c r="C1434" s="190"/>
      <c r="D1434" s="190"/>
      <c r="E1434" s="190"/>
      <c r="F1434" s="269"/>
      <c r="G1434" s="76"/>
      <c r="H1434" s="76"/>
      <c r="I1434" s="269"/>
      <c r="J1434" s="269"/>
      <c r="K1434" s="269"/>
      <c r="L1434" s="269"/>
      <c r="M1434" s="76"/>
      <c r="N1434" s="76"/>
      <c r="O1434" s="76"/>
      <c r="P1434" s="76"/>
    </row>
    <row r="1435" ht="20.25" customHeight="1">
      <c r="A1435" s="665"/>
      <c r="B1435" s="189"/>
      <c r="C1435" s="189"/>
      <c r="D1435" s="189"/>
      <c r="E1435" s="189"/>
      <c r="F1435" s="270"/>
      <c r="G1435" s="76"/>
      <c r="H1435" s="76"/>
      <c r="I1435" s="270"/>
      <c r="J1435" s="270"/>
      <c r="K1435" s="270"/>
      <c r="L1435" s="270"/>
      <c r="M1435" s="76"/>
      <c r="N1435" s="76"/>
      <c r="O1435" s="76"/>
      <c r="P1435" s="76"/>
    </row>
    <row r="1436" ht="20.25" customHeight="1">
      <c r="A1436" s="664"/>
      <c r="B1436" s="190"/>
      <c r="C1436" s="190"/>
      <c r="D1436" s="190"/>
      <c r="E1436" s="190"/>
      <c r="F1436" s="269"/>
      <c r="G1436" s="76"/>
      <c r="H1436" s="76"/>
      <c r="I1436" s="269"/>
      <c r="J1436" s="269"/>
      <c r="K1436" s="269"/>
      <c r="L1436" s="269"/>
      <c r="M1436" s="76"/>
      <c r="N1436" s="76"/>
      <c r="O1436" s="76"/>
      <c r="P1436" s="76"/>
    </row>
    <row r="1437" ht="20.25" customHeight="1">
      <c r="A1437" s="665"/>
      <c r="B1437" s="189"/>
      <c r="C1437" s="189"/>
      <c r="D1437" s="189"/>
      <c r="E1437" s="189"/>
      <c r="F1437" s="270"/>
      <c r="G1437" s="76"/>
      <c r="H1437" s="76"/>
      <c r="I1437" s="270"/>
      <c r="J1437" s="270"/>
      <c r="K1437" s="270"/>
      <c r="L1437" s="270"/>
      <c r="M1437" s="76"/>
      <c r="N1437" s="76"/>
      <c r="O1437" s="76"/>
      <c r="P1437" s="76"/>
    </row>
    <row r="1438" ht="20.25" customHeight="1">
      <c r="A1438" s="664"/>
      <c r="B1438" s="190"/>
      <c r="C1438" s="190"/>
      <c r="D1438" s="190"/>
      <c r="E1438" s="190"/>
      <c r="F1438" s="269"/>
      <c r="G1438" s="76"/>
      <c r="H1438" s="76"/>
      <c r="I1438" s="269"/>
      <c r="J1438" s="269"/>
      <c r="K1438" s="269"/>
      <c r="L1438" s="269"/>
      <c r="M1438" s="76"/>
      <c r="N1438" s="76"/>
      <c r="O1438" s="76"/>
      <c r="P1438" s="76"/>
    </row>
    <row r="1439" ht="20.25" customHeight="1">
      <c r="A1439" s="665"/>
      <c r="B1439" s="189"/>
      <c r="C1439" s="189"/>
      <c r="D1439" s="189"/>
      <c r="E1439" s="189"/>
      <c r="F1439" s="270"/>
      <c r="G1439" s="76"/>
      <c r="H1439" s="76"/>
      <c r="I1439" s="270"/>
      <c r="J1439" s="270"/>
      <c r="K1439" s="270"/>
      <c r="L1439" s="270"/>
      <c r="M1439" s="76"/>
      <c r="N1439" s="76"/>
      <c r="O1439" s="76"/>
      <c r="P1439" s="76"/>
    </row>
    <row r="1440" ht="20.25" customHeight="1">
      <c r="A1440" s="664"/>
      <c r="B1440" s="190"/>
      <c r="C1440" s="190"/>
      <c r="D1440" s="190"/>
      <c r="E1440" s="190"/>
      <c r="F1440" s="269"/>
      <c r="G1440" s="76"/>
      <c r="H1440" s="76"/>
      <c r="I1440" s="269"/>
      <c r="J1440" s="269"/>
      <c r="K1440" s="269"/>
      <c r="L1440" s="269"/>
      <c r="M1440" s="76"/>
      <c r="N1440" s="76"/>
      <c r="O1440" s="76"/>
      <c r="P1440" s="76"/>
    </row>
    <row r="1441" ht="20.25" customHeight="1">
      <c r="A1441" s="665"/>
      <c r="B1441" s="189"/>
      <c r="C1441" s="189"/>
      <c r="D1441" s="189"/>
      <c r="E1441" s="189"/>
      <c r="F1441" s="270"/>
      <c r="G1441" s="76"/>
      <c r="H1441" s="76"/>
      <c r="I1441" s="270"/>
      <c r="J1441" s="270"/>
      <c r="K1441" s="270"/>
      <c r="L1441" s="270"/>
      <c r="M1441" s="76"/>
      <c r="N1441" s="76"/>
      <c r="O1441" s="76"/>
      <c r="P1441" s="76"/>
    </row>
    <row r="1442" ht="20.25" customHeight="1">
      <c r="A1442" s="664"/>
      <c r="B1442" s="190"/>
      <c r="C1442" s="190"/>
      <c r="D1442" s="190"/>
      <c r="E1442" s="190"/>
      <c r="F1442" s="269"/>
      <c r="G1442" s="76"/>
      <c r="H1442" s="76"/>
      <c r="I1442" s="269"/>
      <c r="J1442" s="269"/>
      <c r="K1442" s="269"/>
      <c r="L1442" s="269"/>
      <c r="M1442" s="76"/>
      <c r="N1442" s="76"/>
      <c r="O1442" s="76"/>
      <c r="P1442" s="76"/>
    </row>
    <row r="1443" ht="20.25" customHeight="1">
      <c r="A1443" s="665"/>
      <c r="B1443" s="189"/>
      <c r="C1443" s="189"/>
      <c r="D1443" s="189"/>
      <c r="E1443" s="189"/>
      <c r="F1443" s="270"/>
      <c r="G1443" s="76"/>
      <c r="H1443" s="76"/>
      <c r="I1443" s="270"/>
      <c r="J1443" s="270"/>
      <c r="K1443" s="270"/>
      <c r="L1443" s="270"/>
      <c r="M1443" s="76"/>
      <c r="N1443" s="76"/>
      <c r="O1443" s="76"/>
      <c r="P1443" s="76"/>
    </row>
    <row r="1444" ht="20.25" customHeight="1">
      <c r="A1444" s="664"/>
      <c r="B1444" s="190"/>
      <c r="C1444" s="190"/>
      <c r="D1444" s="190"/>
      <c r="E1444" s="190"/>
      <c r="F1444" s="269"/>
      <c r="G1444" s="76"/>
      <c r="H1444" s="76"/>
      <c r="I1444" s="269"/>
      <c r="J1444" s="269"/>
      <c r="K1444" s="269"/>
      <c r="L1444" s="269"/>
      <c r="M1444" s="76"/>
      <c r="N1444" s="76"/>
      <c r="O1444" s="76"/>
      <c r="P1444" s="76"/>
    </row>
    <row r="1445" ht="20.25" customHeight="1">
      <c r="A1445" s="665"/>
      <c r="B1445" s="189"/>
      <c r="C1445" s="189"/>
      <c r="D1445" s="189"/>
      <c r="E1445" s="189"/>
      <c r="F1445" s="270"/>
      <c r="G1445" s="76"/>
      <c r="H1445" s="76"/>
      <c r="I1445" s="270"/>
      <c r="J1445" s="270"/>
      <c r="K1445" s="270"/>
      <c r="L1445" s="270"/>
      <c r="M1445" s="76"/>
      <c r="N1445" s="76"/>
      <c r="O1445" s="76"/>
      <c r="P1445" s="76"/>
    </row>
    <row r="1446" ht="20.25" customHeight="1">
      <c r="A1446" s="664"/>
      <c r="B1446" s="190"/>
      <c r="C1446" s="190"/>
      <c r="D1446" s="190"/>
      <c r="E1446" s="190"/>
      <c r="F1446" s="269"/>
      <c r="G1446" s="76"/>
      <c r="H1446" s="76"/>
      <c r="I1446" s="269"/>
      <c r="J1446" s="269"/>
      <c r="K1446" s="269"/>
      <c r="L1446" s="269"/>
      <c r="M1446" s="76"/>
      <c r="N1446" s="76"/>
      <c r="O1446" s="76"/>
      <c r="P1446" s="76"/>
    </row>
    <row r="1447" ht="20.25" customHeight="1">
      <c r="A1447" s="665"/>
      <c r="B1447" s="189"/>
      <c r="C1447" s="189"/>
      <c r="D1447" s="189"/>
      <c r="E1447" s="189"/>
      <c r="F1447" s="270"/>
      <c r="G1447" s="76"/>
      <c r="H1447" s="76"/>
      <c r="I1447" s="270"/>
      <c r="J1447" s="270"/>
      <c r="K1447" s="270"/>
      <c r="L1447" s="270"/>
      <c r="M1447" s="76"/>
      <c r="N1447" s="76"/>
      <c r="O1447" s="76"/>
      <c r="P1447" s="76"/>
    </row>
    <row r="1448" ht="20.25" customHeight="1">
      <c r="A1448" s="664"/>
      <c r="B1448" s="190"/>
      <c r="C1448" s="190"/>
      <c r="D1448" s="190"/>
      <c r="E1448" s="190"/>
      <c r="F1448" s="269"/>
      <c r="G1448" s="76"/>
      <c r="H1448" s="76"/>
      <c r="I1448" s="269"/>
      <c r="J1448" s="269"/>
      <c r="K1448" s="269"/>
      <c r="L1448" s="269"/>
      <c r="M1448" s="76"/>
      <c r="N1448" s="76"/>
      <c r="O1448" s="76"/>
      <c r="P1448" s="76"/>
    </row>
    <row r="1449" ht="20.25" customHeight="1">
      <c r="A1449" s="665"/>
      <c r="B1449" s="189"/>
      <c r="C1449" s="189"/>
      <c r="D1449" s="189"/>
      <c r="E1449" s="189"/>
      <c r="F1449" s="270"/>
      <c r="G1449" s="76"/>
      <c r="H1449" s="76"/>
      <c r="I1449" s="270"/>
      <c r="J1449" s="270"/>
      <c r="K1449" s="270"/>
      <c r="L1449" s="270"/>
      <c r="M1449" s="76"/>
      <c r="N1449" s="76"/>
      <c r="O1449" s="76"/>
      <c r="P1449" s="76"/>
    </row>
    <row r="1450" ht="20.25" customHeight="1">
      <c r="A1450" s="664"/>
      <c r="B1450" s="190"/>
      <c r="C1450" s="190"/>
      <c r="D1450" s="190"/>
      <c r="E1450" s="190"/>
      <c r="F1450" s="269"/>
      <c r="G1450" s="76"/>
      <c r="H1450" s="76"/>
      <c r="I1450" s="269"/>
      <c r="J1450" s="269"/>
      <c r="K1450" s="269"/>
      <c r="L1450" s="269"/>
      <c r="M1450" s="76"/>
      <c r="N1450" s="76"/>
      <c r="O1450" s="76"/>
      <c r="P1450" s="76"/>
    </row>
    <row r="1451" ht="20.25" customHeight="1">
      <c r="A1451" s="665"/>
      <c r="B1451" s="189"/>
      <c r="C1451" s="189"/>
      <c r="D1451" s="189"/>
      <c r="E1451" s="189"/>
      <c r="F1451" s="270"/>
      <c r="G1451" s="76"/>
      <c r="H1451" s="76"/>
      <c r="I1451" s="270"/>
      <c r="J1451" s="270"/>
      <c r="K1451" s="270"/>
      <c r="L1451" s="270"/>
      <c r="M1451" s="76"/>
      <c r="N1451" s="76"/>
      <c r="O1451" s="76"/>
      <c r="P1451" s="76"/>
    </row>
    <row r="1452" ht="20.25" customHeight="1">
      <c r="A1452" s="664"/>
      <c r="B1452" s="190"/>
      <c r="C1452" s="190"/>
      <c r="D1452" s="190"/>
      <c r="E1452" s="190"/>
      <c r="F1452" s="269"/>
      <c r="G1452" s="76"/>
      <c r="H1452" s="76"/>
      <c r="I1452" s="269"/>
      <c r="J1452" s="269"/>
      <c r="K1452" s="269"/>
      <c r="L1452" s="269"/>
      <c r="M1452" s="76"/>
      <c r="N1452" s="76"/>
      <c r="O1452" s="76"/>
      <c r="P1452" s="76"/>
    </row>
    <row r="1453" ht="20.25" customHeight="1">
      <c r="A1453" s="665"/>
      <c r="B1453" s="189"/>
      <c r="C1453" s="189"/>
      <c r="D1453" s="189"/>
      <c r="E1453" s="189"/>
      <c r="F1453" s="270"/>
      <c r="G1453" s="76"/>
      <c r="H1453" s="76"/>
      <c r="I1453" s="270"/>
      <c r="J1453" s="270"/>
      <c r="K1453" s="270"/>
      <c r="L1453" s="270"/>
      <c r="M1453" s="76"/>
      <c r="N1453" s="76"/>
      <c r="O1453" s="76"/>
      <c r="P1453" s="76"/>
    </row>
    <row r="1454" ht="20.25" customHeight="1">
      <c r="A1454" s="664"/>
      <c r="B1454" s="190"/>
      <c r="C1454" s="190"/>
      <c r="D1454" s="190"/>
      <c r="E1454" s="190"/>
      <c r="F1454" s="269"/>
      <c r="G1454" s="76"/>
      <c r="H1454" s="76"/>
      <c r="I1454" s="269"/>
      <c r="J1454" s="269"/>
      <c r="K1454" s="269"/>
      <c r="L1454" s="269"/>
      <c r="M1454" s="76"/>
      <c r="N1454" s="76"/>
      <c r="O1454" s="76"/>
      <c r="P1454" s="76"/>
    </row>
    <row r="1455" ht="20.25" customHeight="1">
      <c r="A1455" s="665"/>
      <c r="B1455" s="189"/>
      <c r="C1455" s="189"/>
      <c r="D1455" s="189"/>
      <c r="E1455" s="189"/>
      <c r="F1455" s="270"/>
      <c r="G1455" s="76"/>
      <c r="H1455" s="76"/>
      <c r="I1455" s="270"/>
      <c r="J1455" s="270"/>
      <c r="K1455" s="270"/>
      <c r="L1455" s="270"/>
      <c r="M1455" s="76"/>
      <c r="N1455" s="76"/>
      <c r="O1455" s="76"/>
      <c r="P1455" s="76"/>
    </row>
    <row r="1456" ht="20.25" customHeight="1">
      <c r="A1456" s="664"/>
      <c r="B1456" s="190"/>
      <c r="C1456" s="190"/>
      <c r="D1456" s="190"/>
      <c r="E1456" s="190"/>
      <c r="F1456" s="269"/>
      <c r="G1456" s="76"/>
      <c r="H1456" s="76"/>
      <c r="I1456" s="269"/>
      <c r="J1456" s="269"/>
      <c r="K1456" s="269"/>
      <c r="L1456" s="269"/>
      <c r="M1456" s="76"/>
      <c r="N1456" s="76"/>
      <c r="O1456" s="76"/>
      <c r="P1456" s="76"/>
    </row>
    <row r="1457" ht="20.25" customHeight="1">
      <c r="A1457" s="665"/>
      <c r="B1457" s="189"/>
      <c r="C1457" s="189"/>
      <c r="D1457" s="189"/>
      <c r="E1457" s="189"/>
      <c r="F1457" s="270"/>
      <c r="G1457" s="76"/>
      <c r="H1457" s="76"/>
      <c r="I1457" s="270"/>
      <c r="J1457" s="270"/>
      <c r="K1457" s="270"/>
      <c r="L1457" s="270"/>
      <c r="M1457" s="76"/>
      <c r="N1457" s="76"/>
      <c r="O1457" s="76"/>
      <c r="P1457" s="76"/>
    </row>
    <row r="1458" ht="20.25" customHeight="1">
      <c r="A1458" s="664"/>
      <c r="B1458" s="190"/>
      <c r="C1458" s="190"/>
      <c r="D1458" s="190"/>
      <c r="E1458" s="190"/>
      <c r="F1458" s="269"/>
      <c r="G1458" s="76"/>
      <c r="H1458" s="76"/>
      <c r="I1458" s="269"/>
      <c r="J1458" s="269"/>
      <c r="K1458" s="269"/>
      <c r="L1458" s="269"/>
      <c r="M1458" s="76"/>
      <c r="N1458" s="76"/>
      <c r="O1458" s="76"/>
      <c r="P1458" s="76"/>
    </row>
    <row r="1459" ht="20.25" customHeight="1">
      <c r="A1459" s="665"/>
      <c r="B1459" s="189"/>
      <c r="C1459" s="189"/>
      <c r="D1459" s="189"/>
      <c r="E1459" s="189"/>
      <c r="F1459" s="270"/>
      <c r="G1459" s="76"/>
      <c r="H1459" s="76"/>
      <c r="I1459" s="270"/>
      <c r="J1459" s="270"/>
      <c r="K1459" s="270"/>
      <c r="L1459" s="270"/>
      <c r="M1459" s="76"/>
      <c r="N1459" s="76"/>
      <c r="O1459" s="76"/>
      <c r="P1459" s="76"/>
    </row>
    <row r="1460" ht="20.25" customHeight="1">
      <c r="A1460" s="664"/>
      <c r="B1460" s="190"/>
      <c r="C1460" s="190"/>
      <c r="D1460" s="190"/>
      <c r="E1460" s="190"/>
      <c r="F1460" s="269"/>
      <c r="G1460" s="76"/>
      <c r="H1460" s="76"/>
      <c r="I1460" s="269"/>
      <c r="J1460" s="269"/>
      <c r="K1460" s="269"/>
      <c r="L1460" s="269"/>
      <c r="M1460" s="76"/>
      <c r="N1460" s="76"/>
      <c r="O1460" s="76"/>
      <c r="P1460" s="76"/>
    </row>
    <row r="1461" ht="20.25" customHeight="1">
      <c r="A1461" s="665"/>
      <c r="B1461" s="189"/>
      <c r="C1461" s="189"/>
      <c r="D1461" s="189"/>
      <c r="E1461" s="189"/>
      <c r="F1461" s="270"/>
      <c r="G1461" s="76"/>
      <c r="H1461" s="76"/>
      <c r="I1461" s="270"/>
      <c r="J1461" s="270"/>
      <c r="K1461" s="270"/>
      <c r="L1461" s="270"/>
      <c r="M1461" s="76"/>
      <c r="N1461" s="76"/>
      <c r="O1461" s="76"/>
      <c r="P1461" s="76"/>
    </row>
    <row r="1462" ht="20.25" customHeight="1">
      <c r="A1462" s="664"/>
      <c r="B1462" s="190"/>
      <c r="C1462" s="190"/>
      <c r="D1462" s="190"/>
      <c r="E1462" s="190"/>
      <c r="F1462" s="269"/>
      <c r="G1462" s="76"/>
      <c r="H1462" s="76"/>
      <c r="I1462" s="269"/>
      <c r="J1462" s="269"/>
      <c r="K1462" s="269"/>
      <c r="L1462" s="269"/>
      <c r="M1462" s="76"/>
      <c r="N1462" s="76"/>
      <c r="O1462" s="76"/>
      <c r="P1462" s="76"/>
    </row>
    <row r="1463" ht="20.25" customHeight="1">
      <c r="A1463" s="665"/>
      <c r="B1463" s="189"/>
      <c r="C1463" s="189"/>
      <c r="D1463" s="189"/>
      <c r="E1463" s="189"/>
      <c r="F1463" s="270"/>
      <c r="G1463" s="76"/>
      <c r="H1463" s="76"/>
      <c r="I1463" s="270"/>
      <c r="J1463" s="270"/>
      <c r="K1463" s="270"/>
      <c r="L1463" s="270"/>
      <c r="M1463" s="76"/>
      <c r="N1463" s="76"/>
      <c r="O1463" s="76"/>
      <c r="P1463" s="76"/>
    </row>
    <row r="1464" ht="20.25" customHeight="1">
      <c r="A1464" s="664"/>
      <c r="B1464" s="190"/>
      <c r="C1464" s="190"/>
      <c r="D1464" s="190"/>
      <c r="E1464" s="190"/>
      <c r="F1464" s="269"/>
      <c r="G1464" s="76"/>
      <c r="H1464" s="76"/>
      <c r="I1464" s="269"/>
      <c r="J1464" s="269"/>
      <c r="K1464" s="269"/>
      <c r="L1464" s="269"/>
      <c r="M1464" s="76"/>
      <c r="N1464" s="76"/>
      <c r="O1464" s="76"/>
      <c r="P1464" s="76"/>
    </row>
    <row r="1465" ht="20.25" customHeight="1">
      <c r="A1465" s="665"/>
      <c r="B1465" s="189"/>
      <c r="C1465" s="189"/>
      <c r="D1465" s="189"/>
      <c r="E1465" s="189"/>
      <c r="F1465" s="270"/>
      <c r="G1465" s="76"/>
      <c r="H1465" s="76"/>
      <c r="I1465" s="270"/>
      <c r="J1465" s="270"/>
      <c r="K1465" s="270"/>
      <c r="L1465" s="270"/>
      <c r="M1465" s="76"/>
      <c r="N1465" s="76"/>
      <c r="O1465" s="76"/>
      <c r="P1465" s="76"/>
    </row>
    <row r="1466" ht="20.25" customHeight="1">
      <c r="A1466" s="664"/>
      <c r="B1466" s="190"/>
      <c r="C1466" s="190"/>
      <c r="D1466" s="190"/>
      <c r="E1466" s="190"/>
      <c r="F1466" s="269"/>
      <c r="G1466" s="76"/>
      <c r="H1466" s="76"/>
      <c r="I1466" s="269"/>
      <c r="J1466" s="269"/>
      <c r="K1466" s="269"/>
      <c r="L1466" s="269"/>
      <c r="M1466" s="76"/>
      <c r="N1466" s="76"/>
      <c r="O1466" s="76"/>
      <c r="P1466" s="76"/>
    </row>
    <row r="1467" ht="20.25" customHeight="1">
      <c r="A1467" s="665"/>
      <c r="B1467" s="189"/>
      <c r="C1467" s="189"/>
      <c r="D1467" s="189"/>
      <c r="E1467" s="189"/>
      <c r="F1467" s="270"/>
      <c r="G1467" s="76"/>
      <c r="H1467" s="76"/>
      <c r="I1467" s="270"/>
      <c r="J1467" s="270"/>
      <c r="K1467" s="270"/>
      <c r="L1467" s="270"/>
      <c r="M1467" s="76"/>
      <c r="N1467" s="76"/>
      <c r="O1467" s="76"/>
      <c r="P1467" s="76"/>
    </row>
    <row r="1468" ht="20.25" customHeight="1">
      <c r="A1468" s="664"/>
      <c r="B1468" s="190"/>
      <c r="C1468" s="190"/>
      <c r="D1468" s="190"/>
      <c r="E1468" s="190"/>
      <c r="F1468" s="269"/>
      <c r="G1468" s="76"/>
      <c r="H1468" s="76"/>
      <c r="I1468" s="269"/>
      <c r="J1468" s="269"/>
      <c r="K1468" s="269"/>
      <c r="L1468" s="269"/>
      <c r="M1468" s="76"/>
      <c r="N1468" s="76"/>
      <c r="O1468" s="76"/>
      <c r="P1468" s="76"/>
    </row>
    <row r="1469" ht="20.25" customHeight="1">
      <c r="A1469" s="665"/>
      <c r="B1469" s="189"/>
      <c r="C1469" s="189"/>
      <c r="D1469" s="189"/>
      <c r="E1469" s="189"/>
      <c r="F1469" s="270"/>
      <c r="G1469" s="76"/>
      <c r="H1469" s="76"/>
      <c r="I1469" s="270"/>
      <c r="J1469" s="270"/>
      <c r="K1469" s="270"/>
      <c r="L1469" s="270"/>
      <c r="M1469" s="76"/>
      <c r="N1469" s="76"/>
      <c r="O1469" s="76"/>
      <c r="P1469" s="76"/>
    </row>
    <row r="1470" ht="20.25" customHeight="1">
      <c r="A1470" s="664"/>
      <c r="B1470" s="190"/>
      <c r="C1470" s="190"/>
      <c r="D1470" s="190"/>
      <c r="E1470" s="190"/>
      <c r="F1470" s="269"/>
      <c r="G1470" s="76"/>
      <c r="H1470" s="76"/>
      <c r="I1470" s="269"/>
      <c r="J1470" s="269"/>
      <c r="K1470" s="269"/>
      <c r="L1470" s="269"/>
      <c r="M1470" s="76"/>
      <c r="N1470" s="76"/>
      <c r="O1470" s="76"/>
      <c r="P1470" s="76"/>
    </row>
    <row r="1471" ht="20.25" customHeight="1">
      <c r="A1471" s="665"/>
      <c r="B1471" s="189"/>
      <c r="C1471" s="189"/>
      <c r="D1471" s="189"/>
      <c r="E1471" s="189"/>
      <c r="F1471" s="270"/>
      <c r="G1471" s="76"/>
      <c r="H1471" s="76"/>
      <c r="I1471" s="270"/>
      <c r="J1471" s="270"/>
      <c r="K1471" s="270"/>
      <c r="L1471" s="270"/>
      <c r="M1471" s="76"/>
      <c r="N1471" s="76"/>
      <c r="O1471" s="76"/>
      <c r="P1471" s="76"/>
    </row>
    <row r="1472" ht="20.25" customHeight="1">
      <c r="A1472" s="664"/>
      <c r="B1472" s="190"/>
      <c r="C1472" s="190"/>
      <c r="D1472" s="190"/>
      <c r="E1472" s="190"/>
      <c r="F1472" s="269"/>
      <c r="G1472" s="76"/>
      <c r="H1472" s="76"/>
      <c r="I1472" s="269"/>
      <c r="J1472" s="269"/>
      <c r="K1472" s="269"/>
      <c r="L1472" s="269"/>
      <c r="M1472" s="76"/>
      <c r="N1472" s="76"/>
      <c r="O1472" s="76"/>
      <c r="P1472" s="76"/>
    </row>
    <row r="1473" ht="20.25" customHeight="1">
      <c r="A1473" s="665"/>
      <c r="B1473" s="189"/>
      <c r="C1473" s="189"/>
      <c r="D1473" s="189"/>
      <c r="E1473" s="189"/>
      <c r="F1473" s="270"/>
      <c r="G1473" s="76"/>
      <c r="H1473" s="76"/>
      <c r="I1473" s="270"/>
      <c r="J1473" s="270"/>
      <c r="K1473" s="270"/>
      <c r="L1473" s="270"/>
      <c r="M1473" s="76"/>
      <c r="N1473" s="76"/>
      <c r="O1473" s="76"/>
      <c r="P1473" s="76"/>
    </row>
    <row r="1474" ht="20.25" customHeight="1">
      <c r="A1474" s="664"/>
      <c r="B1474" s="190"/>
      <c r="C1474" s="190"/>
      <c r="D1474" s="190"/>
      <c r="E1474" s="190"/>
      <c r="F1474" s="269"/>
      <c r="G1474" s="76"/>
      <c r="H1474" s="76"/>
      <c r="I1474" s="269"/>
      <c r="J1474" s="269"/>
      <c r="K1474" s="269"/>
      <c r="L1474" s="269"/>
      <c r="M1474" s="76"/>
      <c r="N1474" s="76"/>
      <c r="O1474" s="76"/>
      <c r="P1474" s="76"/>
    </row>
    <row r="1475" ht="20.25" customHeight="1">
      <c r="A1475" s="665"/>
      <c r="B1475" s="189"/>
      <c r="C1475" s="189"/>
      <c r="D1475" s="189"/>
      <c r="E1475" s="189"/>
      <c r="F1475" s="270"/>
      <c r="G1475" s="76"/>
      <c r="H1475" s="76"/>
      <c r="I1475" s="270"/>
      <c r="J1475" s="270"/>
      <c r="K1475" s="270"/>
      <c r="L1475" s="270"/>
      <c r="M1475" s="76"/>
      <c r="N1475" s="76"/>
      <c r="O1475" s="76"/>
      <c r="P1475" s="76"/>
    </row>
    <row r="1476" ht="20.25" customHeight="1">
      <c r="A1476" s="664"/>
      <c r="B1476" s="190"/>
      <c r="C1476" s="190"/>
      <c r="D1476" s="190"/>
      <c r="E1476" s="190"/>
      <c r="F1476" s="269"/>
      <c r="G1476" s="76"/>
      <c r="H1476" s="76"/>
      <c r="I1476" s="269"/>
      <c r="J1476" s="269"/>
      <c r="K1476" s="269"/>
      <c r="L1476" s="269"/>
      <c r="M1476" s="76"/>
      <c r="N1476" s="76"/>
      <c r="O1476" s="76"/>
      <c r="P1476" s="76"/>
    </row>
    <row r="1477" ht="20.25" customHeight="1">
      <c r="A1477" s="665"/>
      <c r="B1477" s="189"/>
      <c r="C1477" s="189"/>
      <c r="D1477" s="189"/>
      <c r="E1477" s="189"/>
      <c r="F1477" s="270"/>
      <c r="G1477" s="76"/>
      <c r="H1477" s="76"/>
      <c r="I1477" s="270"/>
      <c r="J1477" s="270"/>
      <c r="K1477" s="270"/>
      <c r="L1477" s="270"/>
      <c r="M1477" s="76"/>
      <c r="N1477" s="76"/>
      <c r="O1477" s="76"/>
      <c r="P1477" s="76"/>
    </row>
    <row r="1478" ht="20.25" customHeight="1">
      <c r="A1478" s="664"/>
      <c r="B1478" s="190"/>
      <c r="C1478" s="190"/>
      <c r="D1478" s="190"/>
      <c r="E1478" s="190"/>
      <c r="F1478" s="269"/>
      <c r="G1478" s="76"/>
      <c r="H1478" s="76"/>
      <c r="I1478" s="269"/>
      <c r="J1478" s="269"/>
      <c r="K1478" s="269"/>
      <c r="L1478" s="269"/>
      <c r="M1478" s="76"/>
      <c r="N1478" s="76"/>
      <c r="O1478" s="76"/>
      <c r="P1478" s="76"/>
    </row>
    <row r="1479" ht="20.25" customHeight="1">
      <c r="A1479" s="665"/>
      <c r="B1479" s="189"/>
      <c r="C1479" s="189"/>
      <c r="D1479" s="189"/>
      <c r="E1479" s="189"/>
      <c r="F1479" s="270"/>
      <c r="G1479" s="76"/>
      <c r="H1479" s="76"/>
      <c r="I1479" s="270"/>
      <c r="J1479" s="270"/>
      <c r="K1479" s="270"/>
      <c r="L1479" s="270"/>
      <c r="M1479" s="76"/>
      <c r="N1479" s="76"/>
      <c r="O1479" s="76"/>
      <c r="P1479" s="76"/>
    </row>
    <row r="1480" ht="20.25" customHeight="1">
      <c r="A1480" s="664"/>
      <c r="B1480" s="190"/>
      <c r="C1480" s="190"/>
      <c r="D1480" s="190"/>
      <c r="E1480" s="190"/>
      <c r="F1480" s="269"/>
      <c r="G1480" s="76"/>
      <c r="H1480" s="76"/>
      <c r="I1480" s="269"/>
      <c r="J1480" s="269"/>
      <c r="K1480" s="269"/>
      <c r="L1480" s="269"/>
      <c r="M1480" s="76"/>
      <c r="N1480" s="76"/>
      <c r="O1480" s="76"/>
      <c r="P1480" s="76"/>
    </row>
    <row r="1481" ht="20.25" customHeight="1">
      <c r="A1481" s="665"/>
      <c r="B1481" s="189"/>
      <c r="C1481" s="189"/>
      <c r="D1481" s="189"/>
      <c r="E1481" s="189"/>
      <c r="F1481" s="270"/>
      <c r="G1481" s="76"/>
      <c r="H1481" s="76"/>
      <c r="I1481" s="270"/>
      <c r="J1481" s="270"/>
      <c r="K1481" s="270"/>
      <c r="L1481" s="270"/>
      <c r="M1481" s="76"/>
      <c r="N1481" s="76"/>
      <c r="O1481" s="76"/>
      <c r="P1481" s="76"/>
    </row>
    <row r="1482" ht="20.25" customHeight="1">
      <c r="A1482" s="664"/>
      <c r="B1482" s="190"/>
      <c r="C1482" s="190"/>
      <c r="D1482" s="190"/>
      <c r="E1482" s="190"/>
      <c r="F1482" s="269"/>
      <c r="G1482" s="76"/>
      <c r="H1482" s="76"/>
      <c r="I1482" s="269"/>
      <c r="J1482" s="269"/>
      <c r="K1482" s="269"/>
      <c r="L1482" s="269"/>
      <c r="M1482" s="76"/>
      <c r="N1482" s="76"/>
      <c r="O1482" s="76"/>
      <c r="P1482" s="76"/>
    </row>
    <row r="1483" ht="20.25" customHeight="1">
      <c r="A1483" s="665"/>
      <c r="B1483" s="189"/>
      <c r="C1483" s="189"/>
      <c r="D1483" s="189"/>
      <c r="E1483" s="189"/>
      <c r="F1483" s="270"/>
      <c r="G1483" s="76"/>
      <c r="H1483" s="76"/>
      <c r="I1483" s="270"/>
      <c r="J1483" s="270"/>
      <c r="K1483" s="270"/>
      <c r="L1483" s="270"/>
      <c r="M1483" s="76"/>
      <c r="N1483" s="76"/>
      <c r="O1483" s="76"/>
      <c r="P1483" s="76"/>
    </row>
    <row r="1484" ht="20.25" customHeight="1">
      <c r="A1484" s="664"/>
      <c r="B1484" s="190"/>
      <c r="C1484" s="190"/>
      <c r="D1484" s="190"/>
      <c r="E1484" s="190"/>
      <c r="F1484" s="269"/>
      <c r="G1484" s="76"/>
      <c r="H1484" s="76"/>
      <c r="I1484" s="269"/>
      <c r="J1484" s="269"/>
      <c r="K1484" s="269"/>
      <c r="L1484" s="269"/>
      <c r="M1484" s="76"/>
      <c r="N1484" s="76"/>
      <c r="O1484" s="76"/>
      <c r="P1484" s="76"/>
    </row>
    <row r="1485" ht="20.25" customHeight="1">
      <c r="A1485" s="665"/>
      <c r="B1485" s="189"/>
      <c r="C1485" s="189"/>
      <c r="D1485" s="189"/>
      <c r="E1485" s="189"/>
      <c r="F1485" s="270"/>
      <c r="G1485" s="76"/>
      <c r="H1485" s="76"/>
      <c r="I1485" s="270"/>
      <c r="J1485" s="270"/>
      <c r="K1485" s="270"/>
      <c r="L1485" s="270"/>
      <c r="M1485" s="76"/>
      <c r="N1485" s="76"/>
      <c r="O1485" s="76"/>
      <c r="P1485" s="76"/>
    </row>
    <row r="1486" ht="20.25" customHeight="1">
      <c r="A1486" s="664"/>
      <c r="B1486" s="190"/>
      <c r="C1486" s="190"/>
      <c r="D1486" s="190"/>
      <c r="E1486" s="190"/>
      <c r="F1486" s="269"/>
      <c r="G1486" s="76"/>
      <c r="H1486" s="76"/>
      <c r="I1486" s="269"/>
      <c r="J1486" s="269"/>
      <c r="K1486" s="269"/>
      <c r="L1486" s="269"/>
      <c r="M1486" s="76"/>
      <c r="N1486" s="76"/>
      <c r="O1486" s="76"/>
      <c r="P1486" s="76"/>
    </row>
    <row r="1487" ht="20.25" customHeight="1">
      <c r="A1487" s="665"/>
      <c r="B1487" s="189"/>
      <c r="C1487" s="189"/>
      <c r="D1487" s="189"/>
      <c r="E1487" s="189"/>
      <c r="F1487" s="270"/>
      <c r="G1487" s="76"/>
      <c r="H1487" s="76"/>
      <c r="I1487" s="270"/>
      <c r="J1487" s="270"/>
      <c r="K1487" s="270"/>
      <c r="L1487" s="270"/>
      <c r="M1487" s="76"/>
      <c r="N1487" s="76"/>
      <c r="O1487" s="76"/>
      <c r="P1487" s="76"/>
    </row>
    <row r="1488" ht="20.25" customHeight="1">
      <c r="A1488" s="664"/>
      <c r="B1488" s="190"/>
      <c r="C1488" s="190"/>
      <c r="D1488" s="190"/>
      <c r="E1488" s="190"/>
      <c r="F1488" s="269"/>
      <c r="G1488" s="76"/>
      <c r="H1488" s="76"/>
      <c r="I1488" s="269"/>
      <c r="J1488" s="269"/>
      <c r="K1488" s="269"/>
      <c r="L1488" s="269"/>
      <c r="M1488" s="76"/>
      <c r="N1488" s="76"/>
      <c r="O1488" s="76"/>
      <c r="P1488" s="76"/>
    </row>
    <row r="1489" ht="20.25" customHeight="1">
      <c r="A1489" s="665"/>
      <c r="B1489" s="189"/>
      <c r="C1489" s="189"/>
      <c r="D1489" s="189"/>
      <c r="E1489" s="189"/>
      <c r="F1489" s="270"/>
      <c r="G1489" s="76"/>
      <c r="H1489" s="76"/>
      <c r="I1489" s="270"/>
      <c r="J1489" s="270"/>
      <c r="K1489" s="270"/>
      <c r="L1489" s="270"/>
      <c r="M1489" s="76"/>
      <c r="N1489" s="76"/>
      <c r="O1489" s="76"/>
      <c r="P1489" s="76"/>
    </row>
    <row r="1490" ht="20.25" customHeight="1">
      <c r="A1490" s="664"/>
      <c r="B1490" s="190"/>
      <c r="C1490" s="190"/>
      <c r="D1490" s="190"/>
      <c r="E1490" s="190"/>
      <c r="F1490" s="269"/>
      <c r="G1490" s="76"/>
      <c r="H1490" s="76"/>
      <c r="I1490" s="269"/>
      <c r="J1490" s="269"/>
      <c r="K1490" s="269"/>
      <c r="L1490" s="269"/>
      <c r="M1490" s="76"/>
      <c r="N1490" s="76"/>
      <c r="O1490" s="76"/>
      <c r="P1490" s="76"/>
    </row>
    <row r="1491" ht="20.25" customHeight="1">
      <c r="A1491" s="665"/>
      <c r="B1491" s="189"/>
      <c r="C1491" s="189"/>
      <c r="D1491" s="189"/>
      <c r="E1491" s="189"/>
      <c r="F1491" s="270"/>
      <c r="G1491" s="76"/>
      <c r="H1491" s="76"/>
      <c r="I1491" s="270"/>
      <c r="J1491" s="270"/>
      <c r="K1491" s="270"/>
      <c r="L1491" s="270"/>
      <c r="M1491" s="76"/>
      <c r="N1491" s="76"/>
      <c r="O1491" s="76"/>
      <c r="P1491" s="76"/>
    </row>
    <row r="1492" ht="20.25" customHeight="1">
      <c r="A1492" s="664"/>
      <c r="B1492" s="190"/>
      <c r="C1492" s="190"/>
      <c r="D1492" s="190"/>
      <c r="E1492" s="190"/>
      <c r="F1492" s="269"/>
      <c r="G1492" s="76"/>
      <c r="H1492" s="76"/>
      <c r="I1492" s="269"/>
      <c r="J1492" s="269"/>
      <c r="K1492" s="269"/>
      <c r="L1492" s="269"/>
      <c r="M1492" s="76"/>
      <c r="N1492" s="76"/>
      <c r="O1492" s="76"/>
      <c r="P1492" s="76"/>
    </row>
    <row r="1493" ht="20.25" customHeight="1">
      <c r="A1493" s="665"/>
      <c r="B1493" s="189"/>
      <c r="C1493" s="189"/>
      <c r="D1493" s="189"/>
      <c r="E1493" s="189"/>
      <c r="F1493" s="270"/>
      <c r="G1493" s="76"/>
      <c r="H1493" s="76"/>
      <c r="I1493" s="270"/>
      <c r="J1493" s="270"/>
      <c r="K1493" s="270"/>
      <c r="L1493" s="270"/>
      <c r="M1493" s="76"/>
      <c r="N1493" s="76"/>
      <c r="O1493" s="76"/>
      <c r="P1493" s="76"/>
    </row>
    <row r="1494" ht="20.25" customHeight="1">
      <c r="A1494" s="664"/>
      <c r="B1494" s="190"/>
      <c r="C1494" s="190"/>
      <c r="D1494" s="190"/>
      <c r="E1494" s="190"/>
      <c r="F1494" s="269"/>
      <c r="G1494" s="76"/>
      <c r="H1494" s="76"/>
      <c r="I1494" s="269"/>
      <c r="J1494" s="269"/>
      <c r="K1494" s="269"/>
      <c r="L1494" s="269"/>
      <c r="M1494" s="76"/>
      <c r="N1494" s="76"/>
      <c r="O1494" s="76"/>
      <c r="P1494" s="76"/>
    </row>
    <row r="1495" ht="20.25" customHeight="1">
      <c r="A1495" s="665"/>
      <c r="B1495" s="189"/>
      <c r="C1495" s="189"/>
      <c r="D1495" s="189"/>
      <c r="E1495" s="189"/>
      <c r="F1495" s="270"/>
      <c r="G1495" s="76"/>
      <c r="H1495" s="76"/>
      <c r="I1495" s="270"/>
      <c r="J1495" s="270"/>
      <c r="K1495" s="270"/>
      <c r="L1495" s="270"/>
      <c r="M1495" s="76"/>
      <c r="N1495" s="76"/>
      <c r="O1495" s="76"/>
      <c r="P1495" s="76"/>
    </row>
    <row r="1496" ht="20.25" customHeight="1">
      <c r="A1496" s="664"/>
      <c r="B1496" s="190"/>
      <c r="C1496" s="190"/>
      <c r="D1496" s="190"/>
      <c r="E1496" s="190"/>
      <c r="F1496" s="269"/>
      <c r="G1496" s="76"/>
      <c r="H1496" s="76"/>
      <c r="I1496" s="269"/>
      <c r="J1496" s="269"/>
      <c r="K1496" s="269"/>
      <c r="L1496" s="269"/>
      <c r="M1496" s="76"/>
      <c r="N1496" s="76"/>
      <c r="O1496" s="76"/>
      <c r="P1496" s="76"/>
    </row>
    <row r="1497" ht="20.25" customHeight="1">
      <c r="A1497" s="665"/>
      <c r="B1497" s="189"/>
      <c r="C1497" s="189"/>
      <c r="D1497" s="189"/>
      <c r="E1497" s="189"/>
      <c r="F1497" s="270"/>
      <c r="G1497" s="76"/>
      <c r="H1497" s="76"/>
      <c r="I1497" s="270"/>
      <c r="J1497" s="270"/>
      <c r="K1497" s="270"/>
      <c r="L1497" s="270"/>
      <c r="M1497" s="76"/>
      <c r="N1497" s="76"/>
      <c r="O1497" s="76"/>
      <c r="P1497" s="76"/>
    </row>
    <row r="1498" ht="20.25" customHeight="1">
      <c r="A1498" s="664"/>
      <c r="B1498" s="190"/>
      <c r="C1498" s="190"/>
      <c r="D1498" s="190"/>
      <c r="E1498" s="190"/>
      <c r="F1498" s="269"/>
      <c r="G1498" s="76"/>
      <c r="H1498" s="76"/>
      <c r="I1498" s="269"/>
      <c r="J1498" s="269"/>
      <c r="K1498" s="269"/>
      <c r="L1498" s="269"/>
      <c r="M1498" s="76"/>
      <c r="N1498" s="76"/>
      <c r="O1498" s="76"/>
      <c r="P1498" s="76"/>
    </row>
    <row r="1499" ht="20.25" customHeight="1">
      <c r="A1499" s="665"/>
      <c r="B1499" s="189"/>
      <c r="C1499" s="189"/>
      <c r="D1499" s="189"/>
      <c r="E1499" s="189"/>
      <c r="F1499" s="270"/>
      <c r="G1499" s="76"/>
      <c r="H1499" s="76"/>
      <c r="I1499" s="270"/>
      <c r="J1499" s="270"/>
      <c r="K1499" s="270"/>
      <c r="L1499" s="270"/>
      <c r="M1499" s="76"/>
      <c r="N1499" s="76"/>
      <c r="O1499" s="76"/>
      <c r="P1499" s="76"/>
    </row>
    <row r="1500" ht="20.25" customHeight="1">
      <c r="A1500" s="664"/>
      <c r="B1500" s="190"/>
      <c r="C1500" s="190"/>
      <c r="D1500" s="190"/>
      <c r="E1500" s="190"/>
      <c r="F1500" s="269"/>
      <c r="G1500" s="76"/>
      <c r="H1500" s="76"/>
      <c r="I1500" s="269"/>
      <c r="J1500" s="269"/>
      <c r="K1500" s="269"/>
      <c r="L1500" s="269"/>
      <c r="M1500" s="76"/>
      <c r="N1500" s="76"/>
      <c r="O1500" s="76"/>
      <c r="P1500" s="76"/>
    </row>
    <row r="1501" ht="20.25" customHeight="1">
      <c r="A1501" s="665"/>
      <c r="B1501" s="189"/>
      <c r="C1501" s="189"/>
      <c r="D1501" s="189"/>
      <c r="E1501" s="189"/>
      <c r="F1501" s="270"/>
      <c r="G1501" s="76"/>
      <c r="H1501" s="76"/>
      <c r="I1501" s="270"/>
      <c r="J1501" s="270"/>
      <c r="K1501" s="270"/>
      <c r="L1501" s="270"/>
      <c r="M1501" s="76"/>
      <c r="N1501" s="76"/>
      <c r="O1501" s="76"/>
      <c r="P1501" s="76"/>
    </row>
    <row r="1502" ht="20.25" customHeight="1">
      <c r="A1502" s="664"/>
      <c r="B1502" s="190"/>
      <c r="C1502" s="190"/>
      <c r="D1502" s="190"/>
      <c r="E1502" s="190"/>
      <c r="F1502" s="269"/>
      <c r="G1502" s="76"/>
      <c r="H1502" s="76"/>
      <c r="I1502" s="269"/>
      <c r="J1502" s="269"/>
      <c r="K1502" s="269"/>
      <c r="L1502" s="269"/>
      <c r="M1502" s="76"/>
      <c r="N1502" s="76"/>
      <c r="O1502" s="76"/>
      <c r="P1502" s="76"/>
    </row>
    <row r="1503" ht="20.25" customHeight="1">
      <c r="A1503" s="665"/>
      <c r="B1503" s="189"/>
      <c r="C1503" s="189"/>
      <c r="D1503" s="189"/>
      <c r="E1503" s="189"/>
      <c r="F1503" s="270"/>
      <c r="G1503" s="76"/>
      <c r="H1503" s="76"/>
      <c r="I1503" s="270"/>
      <c r="J1503" s="270"/>
      <c r="K1503" s="270"/>
      <c r="L1503" s="270"/>
      <c r="M1503" s="76"/>
      <c r="N1503" s="76"/>
      <c r="O1503" s="76"/>
      <c r="P1503" s="76"/>
    </row>
    <row r="1504" ht="20.25" customHeight="1">
      <c r="A1504" s="664"/>
      <c r="B1504" s="190"/>
      <c r="C1504" s="190"/>
      <c r="D1504" s="190"/>
      <c r="E1504" s="190"/>
      <c r="F1504" s="269"/>
      <c r="G1504" s="76"/>
      <c r="H1504" s="76"/>
      <c r="I1504" s="269"/>
      <c r="J1504" s="269"/>
      <c r="K1504" s="269"/>
      <c r="L1504" s="269"/>
      <c r="M1504" s="76"/>
      <c r="N1504" s="76"/>
      <c r="O1504" s="76"/>
      <c r="P1504" s="76"/>
    </row>
    <row r="1505" ht="20.25" customHeight="1">
      <c r="A1505" s="665"/>
      <c r="B1505" s="189"/>
      <c r="C1505" s="189"/>
      <c r="D1505" s="189"/>
      <c r="E1505" s="189"/>
      <c r="F1505" s="270"/>
      <c r="G1505" s="76"/>
      <c r="H1505" s="76"/>
      <c r="I1505" s="270"/>
      <c r="J1505" s="270"/>
      <c r="K1505" s="270"/>
      <c r="L1505" s="270"/>
      <c r="M1505" s="76"/>
      <c r="N1505" s="76"/>
      <c r="O1505" s="76"/>
      <c r="P1505" s="76"/>
    </row>
    <row r="1506" ht="20.25" customHeight="1">
      <c r="A1506" s="664"/>
      <c r="B1506" s="190"/>
      <c r="C1506" s="190"/>
      <c r="D1506" s="190"/>
      <c r="E1506" s="190"/>
      <c r="F1506" s="269"/>
      <c r="G1506" s="76"/>
      <c r="H1506" s="76"/>
      <c r="I1506" s="269"/>
      <c r="J1506" s="269"/>
      <c r="K1506" s="269"/>
      <c r="L1506" s="269"/>
      <c r="M1506" s="76"/>
      <c r="N1506" s="76"/>
      <c r="O1506" s="76"/>
      <c r="P1506" s="76"/>
    </row>
    <row r="1507" ht="20.25" customHeight="1">
      <c r="A1507" s="665"/>
      <c r="B1507" s="189"/>
      <c r="C1507" s="189"/>
      <c r="D1507" s="189"/>
      <c r="E1507" s="189"/>
      <c r="F1507" s="270"/>
      <c r="G1507" s="76"/>
      <c r="H1507" s="76"/>
      <c r="I1507" s="270"/>
      <c r="J1507" s="270"/>
      <c r="K1507" s="270"/>
      <c r="L1507" s="270"/>
      <c r="M1507" s="76"/>
      <c r="N1507" s="76"/>
      <c r="O1507" s="76"/>
      <c r="P1507" s="76"/>
    </row>
    <row r="1508" ht="20.25" customHeight="1">
      <c r="A1508" s="664"/>
      <c r="B1508" s="190"/>
      <c r="C1508" s="190"/>
      <c r="D1508" s="190"/>
      <c r="E1508" s="190"/>
      <c r="F1508" s="269"/>
      <c r="G1508" s="76"/>
      <c r="H1508" s="76"/>
      <c r="I1508" s="269"/>
      <c r="J1508" s="269"/>
      <c r="K1508" s="269"/>
      <c r="L1508" s="269"/>
      <c r="M1508" s="76"/>
      <c r="N1508" s="76"/>
      <c r="O1508" s="76"/>
      <c r="P1508" s="76"/>
    </row>
    <row r="1509" ht="20.25" customHeight="1">
      <c r="A1509" s="665"/>
      <c r="B1509" s="189"/>
      <c r="C1509" s="189"/>
      <c r="D1509" s="189"/>
      <c r="E1509" s="189"/>
      <c r="F1509" s="270"/>
      <c r="G1509" s="76"/>
      <c r="H1509" s="76"/>
      <c r="I1509" s="270"/>
      <c r="J1509" s="270"/>
      <c r="K1509" s="270"/>
      <c r="L1509" s="270"/>
      <c r="M1509" s="76"/>
      <c r="N1509" s="76"/>
      <c r="O1509" s="76"/>
      <c r="P1509" s="76"/>
    </row>
    <row r="1510" ht="20.25" customHeight="1">
      <c r="A1510" s="664"/>
      <c r="B1510" s="190"/>
      <c r="C1510" s="190"/>
      <c r="D1510" s="190"/>
      <c r="E1510" s="190"/>
      <c r="F1510" s="269"/>
      <c r="G1510" s="76"/>
      <c r="H1510" s="76"/>
      <c r="I1510" s="269"/>
      <c r="J1510" s="269"/>
      <c r="K1510" s="269"/>
      <c r="L1510" s="269"/>
      <c r="M1510" s="76"/>
      <c r="N1510" s="76"/>
      <c r="O1510" s="76"/>
      <c r="P1510" s="76"/>
    </row>
    <row r="1511" ht="20.25" customHeight="1">
      <c r="A1511" s="665"/>
      <c r="B1511" s="189"/>
      <c r="C1511" s="189"/>
      <c r="D1511" s="189"/>
      <c r="E1511" s="189"/>
      <c r="F1511" s="270"/>
      <c r="G1511" s="76"/>
      <c r="H1511" s="76"/>
      <c r="I1511" s="270"/>
      <c r="J1511" s="270"/>
      <c r="K1511" s="270"/>
      <c r="L1511" s="270"/>
      <c r="M1511" s="76"/>
      <c r="N1511" s="76"/>
      <c r="O1511" s="76"/>
      <c r="P1511" s="76"/>
    </row>
    <row r="1512" ht="20.25" customHeight="1">
      <c r="A1512" s="664"/>
      <c r="B1512" s="190"/>
      <c r="C1512" s="190"/>
      <c r="D1512" s="190"/>
      <c r="E1512" s="190"/>
      <c r="F1512" s="269"/>
      <c r="G1512" s="76"/>
      <c r="H1512" s="76"/>
      <c r="I1512" s="269"/>
      <c r="J1512" s="269"/>
      <c r="K1512" s="269"/>
      <c r="L1512" s="269"/>
      <c r="M1512" s="76"/>
      <c r="N1512" s="76"/>
      <c r="O1512" s="76"/>
      <c r="P1512" s="76"/>
    </row>
    <row r="1513" ht="20.25" customHeight="1">
      <c r="A1513" s="665"/>
      <c r="B1513" s="189"/>
      <c r="C1513" s="189"/>
      <c r="D1513" s="189"/>
      <c r="E1513" s="189"/>
      <c r="F1513" s="270"/>
      <c r="G1513" s="76"/>
      <c r="H1513" s="76"/>
      <c r="I1513" s="270"/>
      <c r="J1513" s="270"/>
      <c r="K1513" s="270"/>
      <c r="L1513" s="270"/>
      <c r="M1513" s="76"/>
      <c r="N1513" s="76"/>
      <c r="O1513" s="76"/>
      <c r="P1513" s="76"/>
    </row>
    <row r="1514" ht="20.25" customHeight="1">
      <c r="A1514" s="664"/>
      <c r="B1514" s="190"/>
      <c r="C1514" s="190"/>
      <c r="D1514" s="190"/>
      <c r="E1514" s="190"/>
      <c r="F1514" s="269"/>
      <c r="G1514" s="76"/>
      <c r="H1514" s="76"/>
      <c r="I1514" s="269"/>
      <c r="J1514" s="269"/>
      <c r="K1514" s="269"/>
      <c r="L1514" s="269"/>
      <c r="M1514" s="76"/>
      <c r="N1514" s="76"/>
      <c r="O1514" s="76"/>
      <c r="P1514" s="76"/>
    </row>
    <row r="1515" ht="20.25" customHeight="1">
      <c r="A1515" s="665"/>
      <c r="B1515" s="189"/>
      <c r="C1515" s="189"/>
      <c r="D1515" s="189"/>
      <c r="E1515" s="189"/>
      <c r="F1515" s="270"/>
      <c r="G1515" s="76"/>
      <c r="H1515" s="76"/>
      <c r="I1515" s="270"/>
      <c r="J1515" s="270"/>
      <c r="K1515" s="270"/>
      <c r="L1515" s="270"/>
      <c r="M1515" s="76"/>
      <c r="N1515" s="76"/>
      <c r="O1515" s="76"/>
      <c r="P1515" s="76"/>
    </row>
    <row r="1516" ht="20.25" customHeight="1">
      <c r="A1516" s="664"/>
      <c r="B1516" s="190"/>
      <c r="C1516" s="190"/>
      <c r="D1516" s="190"/>
      <c r="E1516" s="190"/>
      <c r="F1516" s="269"/>
      <c r="G1516" s="76"/>
      <c r="H1516" s="76"/>
      <c r="I1516" s="269"/>
      <c r="J1516" s="269"/>
      <c r="K1516" s="269"/>
      <c r="L1516" s="269"/>
      <c r="M1516" s="76"/>
      <c r="N1516" s="76"/>
      <c r="O1516" s="76"/>
      <c r="P1516" s="76"/>
    </row>
    <row r="1517" ht="20.25" customHeight="1">
      <c r="A1517" s="665"/>
      <c r="B1517" s="189"/>
      <c r="C1517" s="189"/>
      <c r="D1517" s="189"/>
      <c r="E1517" s="189"/>
      <c r="F1517" s="270"/>
      <c r="G1517" s="76"/>
      <c r="H1517" s="76"/>
      <c r="I1517" s="270"/>
      <c r="J1517" s="270"/>
      <c r="K1517" s="270"/>
      <c r="L1517" s="270"/>
      <c r="M1517" s="76"/>
      <c r="N1517" s="76"/>
      <c r="O1517" s="76"/>
      <c r="P1517" s="76"/>
    </row>
    <row r="1518" ht="20.25" customHeight="1">
      <c r="A1518" s="664"/>
      <c r="B1518" s="190"/>
      <c r="C1518" s="190"/>
      <c r="D1518" s="190"/>
      <c r="E1518" s="190"/>
      <c r="F1518" s="269"/>
      <c r="G1518" s="76"/>
      <c r="H1518" s="76"/>
      <c r="I1518" s="269"/>
      <c r="J1518" s="269"/>
      <c r="K1518" s="269"/>
      <c r="L1518" s="269"/>
      <c r="M1518" s="76"/>
      <c r="N1518" s="76"/>
      <c r="O1518" s="76"/>
      <c r="P1518" s="76"/>
    </row>
    <row r="1519" ht="20.25" customHeight="1">
      <c r="A1519" s="665"/>
      <c r="B1519" s="189"/>
      <c r="C1519" s="189"/>
      <c r="D1519" s="189"/>
      <c r="E1519" s="189"/>
      <c r="F1519" s="270"/>
      <c r="G1519" s="76"/>
      <c r="H1519" s="76"/>
      <c r="I1519" s="270"/>
      <c r="J1519" s="270"/>
      <c r="K1519" s="270"/>
      <c r="L1519" s="270"/>
      <c r="M1519" s="76"/>
      <c r="N1519" s="76"/>
      <c r="O1519" s="76"/>
      <c r="P1519" s="76"/>
    </row>
    <row r="1520" ht="20.25" customHeight="1">
      <c r="A1520" s="664"/>
      <c r="B1520" s="190"/>
      <c r="C1520" s="190"/>
      <c r="D1520" s="190"/>
      <c r="E1520" s="190"/>
      <c r="F1520" s="269"/>
      <c r="G1520" s="76"/>
      <c r="H1520" s="76"/>
      <c r="I1520" s="269"/>
      <c r="J1520" s="269"/>
      <c r="K1520" s="269"/>
      <c r="L1520" s="269"/>
      <c r="M1520" s="76"/>
      <c r="N1520" s="76"/>
      <c r="O1520" s="76"/>
      <c r="P1520" s="76"/>
    </row>
    <row r="1521" ht="20.25" customHeight="1">
      <c r="A1521" s="665"/>
      <c r="B1521" s="189"/>
      <c r="C1521" s="189"/>
      <c r="D1521" s="189"/>
      <c r="E1521" s="189"/>
      <c r="F1521" s="270"/>
      <c r="G1521" s="76"/>
      <c r="H1521" s="76"/>
      <c r="I1521" s="270"/>
      <c r="J1521" s="270"/>
      <c r="K1521" s="270"/>
      <c r="L1521" s="270"/>
      <c r="M1521" s="76"/>
      <c r="N1521" s="76"/>
      <c r="O1521" s="76"/>
      <c r="P1521" s="76"/>
    </row>
    <row r="1522" ht="20.25" customHeight="1">
      <c r="A1522" s="664"/>
      <c r="B1522" s="190"/>
      <c r="C1522" s="190"/>
      <c r="D1522" s="190"/>
      <c r="E1522" s="190"/>
      <c r="F1522" s="269"/>
      <c r="G1522" s="76"/>
      <c r="H1522" s="76"/>
      <c r="I1522" s="269"/>
      <c r="J1522" s="269"/>
      <c r="K1522" s="269"/>
      <c r="L1522" s="269"/>
      <c r="M1522" s="76"/>
      <c r="N1522" s="76"/>
      <c r="O1522" s="76"/>
      <c r="P1522" s="76"/>
    </row>
    <row r="1523" ht="20.25" customHeight="1">
      <c r="A1523" s="665"/>
      <c r="B1523" s="189"/>
      <c r="C1523" s="189"/>
      <c r="D1523" s="189"/>
      <c r="E1523" s="189"/>
      <c r="F1523" s="270"/>
      <c r="G1523" s="76"/>
      <c r="H1523" s="76"/>
      <c r="I1523" s="270"/>
      <c r="J1523" s="270"/>
      <c r="K1523" s="270"/>
      <c r="L1523" s="270"/>
      <c r="M1523" s="76"/>
      <c r="N1523" s="76"/>
      <c r="O1523" s="76"/>
      <c r="P1523" s="76"/>
    </row>
    <row r="1524" ht="20.25" customHeight="1">
      <c r="A1524" s="664"/>
      <c r="B1524" s="190"/>
      <c r="C1524" s="190"/>
      <c r="D1524" s="190"/>
      <c r="E1524" s="190"/>
      <c r="F1524" s="269"/>
      <c r="G1524" s="76"/>
      <c r="H1524" s="76"/>
      <c r="I1524" s="269"/>
      <c r="J1524" s="269"/>
      <c r="K1524" s="269"/>
      <c r="L1524" s="269"/>
      <c r="M1524" s="76"/>
      <c r="N1524" s="76"/>
      <c r="O1524" s="76"/>
      <c r="P1524" s="76"/>
    </row>
    <row r="1525" ht="20.25" customHeight="1">
      <c r="A1525" s="665"/>
      <c r="B1525" s="189"/>
      <c r="C1525" s="189"/>
      <c r="D1525" s="189"/>
      <c r="E1525" s="189"/>
      <c r="F1525" s="270"/>
      <c r="G1525" s="76"/>
      <c r="H1525" s="76"/>
      <c r="I1525" s="270"/>
      <c r="J1525" s="270"/>
      <c r="K1525" s="270"/>
      <c r="L1525" s="270"/>
      <c r="M1525" s="76"/>
      <c r="N1525" s="76"/>
      <c r="O1525" s="76"/>
      <c r="P1525" s="76"/>
    </row>
    <row r="1526" ht="20.25" customHeight="1">
      <c r="A1526" s="664"/>
      <c r="B1526" s="190"/>
      <c r="C1526" s="190"/>
      <c r="D1526" s="190"/>
      <c r="E1526" s="190"/>
      <c r="F1526" s="269"/>
      <c r="G1526" s="76"/>
      <c r="H1526" s="76"/>
      <c r="I1526" s="269"/>
      <c r="J1526" s="269"/>
      <c r="K1526" s="269"/>
      <c r="L1526" s="269"/>
      <c r="M1526" s="76"/>
      <c r="N1526" s="76"/>
      <c r="O1526" s="76"/>
      <c r="P1526" s="76"/>
    </row>
    <row r="1527" ht="20.25" customHeight="1">
      <c r="A1527" s="665"/>
      <c r="B1527" s="189"/>
      <c r="C1527" s="189"/>
      <c r="D1527" s="189"/>
      <c r="E1527" s="189"/>
      <c r="F1527" s="270"/>
      <c r="G1527" s="76"/>
      <c r="H1527" s="76"/>
      <c r="I1527" s="270"/>
      <c r="J1527" s="270"/>
      <c r="K1527" s="270"/>
      <c r="L1527" s="270"/>
      <c r="M1527" s="76"/>
      <c r="N1527" s="76"/>
      <c r="O1527" s="76"/>
      <c r="P1527" s="76"/>
    </row>
    <row r="1528" ht="20.25" customHeight="1">
      <c r="A1528" s="664"/>
      <c r="B1528" s="190"/>
      <c r="C1528" s="190"/>
      <c r="D1528" s="190"/>
      <c r="E1528" s="190"/>
      <c r="F1528" s="269"/>
      <c r="G1528" s="76"/>
      <c r="H1528" s="76"/>
      <c r="I1528" s="269"/>
      <c r="J1528" s="269"/>
      <c r="K1528" s="269"/>
      <c r="L1528" s="269"/>
      <c r="M1528" s="76"/>
      <c r="N1528" s="76"/>
      <c r="O1528" s="76"/>
      <c r="P1528" s="76"/>
    </row>
    <row r="1529" ht="20.25" customHeight="1">
      <c r="A1529" s="665"/>
      <c r="B1529" s="189"/>
      <c r="C1529" s="189"/>
      <c r="D1529" s="189"/>
      <c r="E1529" s="189"/>
      <c r="F1529" s="270"/>
      <c r="G1529" s="76"/>
      <c r="H1529" s="76"/>
      <c r="I1529" s="270"/>
      <c r="J1529" s="270"/>
      <c r="K1529" s="270"/>
      <c r="L1529" s="270"/>
      <c r="M1529" s="76"/>
      <c r="N1529" s="76"/>
      <c r="O1529" s="76"/>
      <c r="P1529" s="76"/>
    </row>
    <row r="1530" ht="20.25" customHeight="1">
      <c r="A1530" s="664"/>
      <c r="B1530" s="190"/>
      <c r="C1530" s="190"/>
      <c r="D1530" s="190"/>
      <c r="E1530" s="190"/>
      <c r="F1530" s="269"/>
      <c r="G1530" s="76"/>
      <c r="H1530" s="76"/>
      <c r="I1530" s="269"/>
      <c r="J1530" s="269"/>
      <c r="K1530" s="269"/>
      <c r="L1530" s="269"/>
      <c r="M1530" s="76"/>
      <c r="N1530" s="76"/>
      <c r="O1530" s="76"/>
      <c r="P1530" s="76"/>
    </row>
    <row r="1531" ht="20.25" customHeight="1">
      <c r="A1531" s="665"/>
      <c r="B1531" s="189"/>
      <c r="C1531" s="189"/>
      <c r="D1531" s="189"/>
      <c r="E1531" s="189"/>
      <c r="F1531" s="270"/>
      <c r="G1531" s="76"/>
      <c r="H1531" s="76"/>
      <c r="I1531" s="270"/>
      <c r="J1531" s="270"/>
      <c r="K1531" s="270"/>
      <c r="L1531" s="270"/>
      <c r="M1531" s="76"/>
      <c r="N1531" s="76"/>
      <c r="O1531" s="76"/>
      <c r="P1531" s="76"/>
    </row>
    <row r="1532" ht="20.25" customHeight="1">
      <c r="A1532" s="664"/>
      <c r="B1532" s="190"/>
      <c r="C1532" s="190"/>
      <c r="D1532" s="190"/>
      <c r="E1532" s="190"/>
      <c r="F1532" s="269"/>
      <c r="G1532" s="76"/>
      <c r="H1532" s="76"/>
      <c r="I1532" s="269"/>
      <c r="J1532" s="269"/>
      <c r="K1532" s="269"/>
      <c r="L1532" s="269"/>
      <c r="M1532" s="76"/>
      <c r="N1532" s="76"/>
      <c r="O1532" s="76"/>
      <c r="P1532" s="76"/>
    </row>
    <row r="1533" ht="20.25" customHeight="1">
      <c r="A1533" s="665"/>
      <c r="B1533" s="189"/>
      <c r="C1533" s="189"/>
      <c r="D1533" s="189"/>
      <c r="E1533" s="189"/>
      <c r="F1533" s="270"/>
      <c r="G1533" s="76"/>
      <c r="H1533" s="76"/>
      <c r="I1533" s="270"/>
      <c r="J1533" s="270"/>
      <c r="K1533" s="270"/>
      <c r="L1533" s="270"/>
      <c r="M1533" s="76"/>
      <c r="N1533" s="76"/>
      <c r="O1533" s="76"/>
      <c r="P1533" s="76"/>
    </row>
    <row r="1534" ht="20.25" customHeight="1">
      <c r="A1534" s="664"/>
      <c r="B1534" s="190"/>
      <c r="C1534" s="190"/>
      <c r="D1534" s="190"/>
      <c r="E1534" s="190"/>
      <c r="F1534" s="269"/>
      <c r="G1534" s="76"/>
      <c r="H1534" s="76"/>
      <c r="I1534" s="269"/>
      <c r="J1534" s="269"/>
      <c r="K1534" s="269"/>
      <c r="L1534" s="269"/>
      <c r="M1534" s="76"/>
      <c r="N1534" s="76"/>
      <c r="O1534" s="76"/>
      <c r="P1534" s="76"/>
    </row>
    <row r="1535" ht="20.25" customHeight="1">
      <c r="A1535" s="665"/>
      <c r="B1535" s="189"/>
      <c r="C1535" s="189"/>
      <c r="D1535" s="189"/>
      <c r="E1535" s="189"/>
      <c r="F1535" s="270"/>
      <c r="G1535" s="76"/>
      <c r="H1535" s="76"/>
      <c r="I1535" s="270"/>
      <c r="J1535" s="270"/>
      <c r="K1535" s="270"/>
      <c r="L1535" s="270"/>
      <c r="M1535" s="76"/>
      <c r="N1535" s="76"/>
      <c r="O1535" s="76"/>
      <c r="P1535" s="76"/>
    </row>
    <row r="1536" ht="20.25" customHeight="1">
      <c r="A1536" s="664"/>
      <c r="B1536" s="190"/>
      <c r="C1536" s="190"/>
      <c r="D1536" s="190"/>
      <c r="E1536" s="190"/>
      <c r="F1536" s="269"/>
      <c r="G1536" s="76"/>
      <c r="H1536" s="76"/>
      <c r="I1536" s="269"/>
      <c r="J1536" s="269"/>
      <c r="K1536" s="269"/>
      <c r="L1536" s="269"/>
      <c r="M1536" s="76"/>
      <c r="N1536" s="76"/>
      <c r="O1536" s="76"/>
      <c r="P1536" s="76"/>
    </row>
    <row r="1537" ht="20.25" customHeight="1">
      <c r="A1537" s="665"/>
      <c r="B1537" s="189"/>
      <c r="C1537" s="189"/>
      <c r="D1537" s="189"/>
      <c r="E1537" s="189"/>
      <c r="F1537" s="270"/>
      <c r="G1537" s="76"/>
      <c r="H1537" s="76"/>
      <c r="I1537" s="270"/>
      <c r="J1537" s="270"/>
      <c r="K1537" s="270"/>
      <c r="L1537" s="270"/>
      <c r="M1537" s="76"/>
      <c r="N1537" s="76"/>
      <c r="O1537" s="76"/>
      <c r="P1537" s="76"/>
    </row>
    <row r="1538" ht="20.25" customHeight="1">
      <c r="A1538" s="664"/>
      <c r="B1538" s="190"/>
      <c r="C1538" s="190"/>
      <c r="D1538" s="190"/>
      <c r="E1538" s="190"/>
      <c r="F1538" s="269"/>
      <c r="G1538" s="76"/>
      <c r="H1538" s="76"/>
      <c r="I1538" s="269"/>
      <c r="J1538" s="269"/>
      <c r="K1538" s="269"/>
      <c r="L1538" s="269"/>
      <c r="M1538" s="76"/>
      <c r="N1538" s="76"/>
      <c r="O1538" s="76"/>
      <c r="P1538" s="76"/>
    </row>
    <row r="1539" ht="20.25" customHeight="1">
      <c r="A1539" s="665"/>
      <c r="B1539" s="189"/>
      <c r="C1539" s="189"/>
      <c r="D1539" s="189"/>
      <c r="E1539" s="189"/>
      <c r="F1539" s="270"/>
      <c r="G1539" s="76"/>
      <c r="H1539" s="76"/>
      <c r="I1539" s="270"/>
      <c r="J1539" s="270"/>
      <c r="K1539" s="270"/>
      <c r="L1539" s="270"/>
      <c r="M1539" s="76"/>
      <c r="N1539" s="76"/>
      <c r="O1539" s="76"/>
      <c r="P1539" s="76"/>
    </row>
    <row r="1540" ht="20.25" customHeight="1">
      <c r="A1540" s="664"/>
      <c r="B1540" s="190"/>
      <c r="C1540" s="190"/>
      <c r="D1540" s="190"/>
      <c r="E1540" s="190"/>
      <c r="F1540" s="269"/>
      <c r="G1540" s="76"/>
      <c r="H1540" s="76"/>
      <c r="I1540" s="269"/>
      <c r="J1540" s="269"/>
      <c r="K1540" s="269"/>
      <c r="L1540" s="269"/>
      <c r="M1540" s="76"/>
      <c r="N1540" s="76"/>
      <c r="O1540" s="76"/>
      <c r="P1540" s="76"/>
    </row>
    <row r="1541" ht="20.25" customHeight="1">
      <c r="A1541" s="665"/>
      <c r="B1541" s="189"/>
      <c r="C1541" s="189"/>
      <c r="D1541" s="189"/>
      <c r="E1541" s="189"/>
      <c r="F1541" s="270"/>
      <c r="G1541" s="76"/>
      <c r="H1541" s="76"/>
      <c r="I1541" s="270"/>
      <c r="J1541" s="270"/>
      <c r="K1541" s="270"/>
      <c r="L1541" s="270"/>
      <c r="M1541" s="76"/>
      <c r="N1541" s="76"/>
      <c r="O1541" s="76"/>
      <c r="P1541" s="76"/>
    </row>
    <row r="1542" ht="20.25" customHeight="1">
      <c r="A1542" s="664"/>
      <c r="B1542" s="190"/>
      <c r="C1542" s="190"/>
      <c r="D1542" s="190"/>
      <c r="E1542" s="190"/>
      <c r="F1542" s="269"/>
      <c r="G1542" s="76"/>
      <c r="H1542" s="76"/>
      <c r="I1542" s="269"/>
      <c r="J1542" s="269"/>
      <c r="K1542" s="269"/>
      <c r="L1542" s="269"/>
      <c r="M1542" s="76"/>
      <c r="N1542" s="76"/>
      <c r="O1542" s="76"/>
      <c r="P1542" s="76"/>
    </row>
    <row r="1543" ht="20.25" customHeight="1">
      <c r="A1543" s="665"/>
      <c r="B1543" s="189"/>
      <c r="C1543" s="189"/>
      <c r="D1543" s="189"/>
      <c r="E1543" s="189"/>
      <c r="F1543" s="270"/>
      <c r="G1543" s="76"/>
      <c r="H1543" s="76"/>
      <c r="I1543" s="270"/>
      <c r="J1543" s="270"/>
      <c r="K1543" s="270"/>
      <c r="L1543" s="270"/>
      <c r="M1543" s="76"/>
      <c r="N1543" s="76"/>
      <c r="O1543" s="76"/>
      <c r="P1543" s="76"/>
    </row>
    <row r="1544" ht="20.25" customHeight="1">
      <c r="A1544" s="664"/>
      <c r="B1544" s="190"/>
      <c r="C1544" s="190"/>
      <c r="D1544" s="190"/>
      <c r="E1544" s="190"/>
      <c r="F1544" s="269"/>
      <c r="G1544" s="76"/>
      <c r="H1544" s="76"/>
      <c r="I1544" s="269"/>
      <c r="J1544" s="269"/>
      <c r="K1544" s="269"/>
      <c r="L1544" s="269"/>
      <c r="M1544" s="76"/>
      <c r="N1544" s="76"/>
      <c r="O1544" s="76"/>
      <c r="P1544" s="76"/>
    </row>
    <row r="1545" ht="20.25" customHeight="1">
      <c r="A1545" s="665"/>
      <c r="B1545" s="189"/>
      <c r="C1545" s="189"/>
      <c r="D1545" s="189"/>
      <c r="E1545" s="189"/>
      <c r="F1545" s="270"/>
      <c r="G1545" s="76"/>
      <c r="H1545" s="76"/>
      <c r="I1545" s="270"/>
      <c r="J1545" s="270"/>
      <c r="K1545" s="270"/>
      <c r="L1545" s="270"/>
      <c r="M1545" s="76"/>
      <c r="N1545" s="76"/>
      <c r="O1545" s="76"/>
      <c r="P1545" s="76"/>
    </row>
    <row r="1546" ht="20.25" customHeight="1">
      <c r="A1546" s="664"/>
      <c r="B1546" s="190"/>
      <c r="C1546" s="190"/>
      <c r="D1546" s="190"/>
      <c r="E1546" s="190"/>
      <c r="F1546" s="269"/>
      <c r="G1546" s="76"/>
      <c r="H1546" s="76"/>
      <c r="I1546" s="269"/>
      <c r="J1546" s="269"/>
      <c r="K1546" s="269"/>
      <c r="L1546" s="269"/>
      <c r="M1546" s="76"/>
      <c r="N1546" s="76"/>
      <c r="O1546" s="76"/>
      <c r="P1546" s="76"/>
    </row>
    <row r="1547" ht="20.25" customHeight="1">
      <c r="A1547" s="665"/>
      <c r="B1547" s="189"/>
      <c r="C1547" s="189"/>
      <c r="D1547" s="189"/>
      <c r="E1547" s="189"/>
      <c r="F1547" s="270"/>
      <c r="G1547" s="76"/>
      <c r="H1547" s="76"/>
      <c r="I1547" s="270"/>
      <c r="J1547" s="270"/>
      <c r="K1547" s="270"/>
      <c r="L1547" s="270"/>
      <c r="M1547" s="76"/>
      <c r="N1547" s="76"/>
      <c r="O1547" s="76"/>
      <c r="P1547" s="76"/>
    </row>
    <row r="1548" ht="20.25" customHeight="1">
      <c r="A1548" s="664"/>
      <c r="B1548" s="190"/>
      <c r="C1548" s="190"/>
      <c r="D1548" s="190"/>
      <c r="E1548" s="190"/>
      <c r="F1548" s="269"/>
      <c r="G1548" s="76"/>
      <c r="H1548" s="76"/>
      <c r="I1548" s="269"/>
      <c r="J1548" s="269"/>
      <c r="K1548" s="269"/>
      <c r="L1548" s="269"/>
      <c r="M1548" s="76"/>
      <c r="N1548" s="76"/>
      <c r="O1548" s="76"/>
      <c r="P1548" s="76"/>
    </row>
    <row r="1549" ht="20.25" customHeight="1">
      <c r="A1549" s="665"/>
      <c r="B1549" s="189"/>
      <c r="C1549" s="189"/>
      <c r="D1549" s="189"/>
      <c r="E1549" s="189"/>
      <c r="F1549" s="270"/>
      <c r="G1549" s="76"/>
      <c r="H1549" s="76"/>
      <c r="I1549" s="270"/>
      <c r="J1549" s="270"/>
      <c r="K1549" s="270"/>
      <c r="L1549" s="270"/>
      <c r="M1549" s="76"/>
      <c r="N1549" s="76"/>
      <c r="O1549" s="76"/>
      <c r="P1549" s="76"/>
    </row>
    <row r="1550" ht="20.25" customHeight="1">
      <c r="A1550" s="664"/>
      <c r="B1550" s="190"/>
      <c r="C1550" s="190"/>
      <c r="D1550" s="190"/>
      <c r="E1550" s="190"/>
      <c r="F1550" s="269"/>
      <c r="G1550" s="76"/>
      <c r="H1550" s="76"/>
      <c r="I1550" s="269"/>
      <c r="J1550" s="269"/>
      <c r="K1550" s="269"/>
      <c r="L1550" s="269"/>
      <c r="M1550" s="76"/>
      <c r="N1550" s="76"/>
      <c r="O1550" s="76"/>
      <c r="P1550" s="76"/>
    </row>
    <row r="1551" ht="20.25" customHeight="1">
      <c r="A1551" s="665"/>
      <c r="B1551" s="189"/>
      <c r="C1551" s="189"/>
      <c r="D1551" s="189"/>
      <c r="E1551" s="189"/>
      <c r="F1551" s="270"/>
      <c r="G1551" s="76"/>
      <c r="H1551" s="76"/>
      <c r="I1551" s="270"/>
      <c r="J1551" s="270"/>
      <c r="K1551" s="270"/>
      <c r="L1551" s="270"/>
      <c r="M1551" s="76"/>
      <c r="N1551" s="76"/>
      <c r="O1551" s="76"/>
      <c r="P1551" s="76"/>
    </row>
    <row r="1552" ht="20.25" customHeight="1">
      <c r="A1552" s="664"/>
      <c r="B1552" s="190"/>
      <c r="C1552" s="190"/>
      <c r="D1552" s="190"/>
      <c r="E1552" s="190"/>
      <c r="F1552" s="269"/>
      <c r="G1552" s="76"/>
      <c r="H1552" s="76"/>
      <c r="I1552" s="269"/>
      <c r="J1552" s="269"/>
      <c r="K1552" s="269"/>
      <c r="L1552" s="269"/>
      <c r="M1552" s="76"/>
      <c r="N1552" s="76"/>
      <c r="O1552" s="76"/>
      <c r="P1552" s="76"/>
    </row>
    <row r="1553" ht="20.25" customHeight="1">
      <c r="A1553" s="665"/>
      <c r="B1553" s="189"/>
      <c r="C1553" s="189"/>
      <c r="D1553" s="189"/>
      <c r="E1553" s="189"/>
      <c r="F1553" s="270"/>
      <c r="G1553" s="76"/>
      <c r="H1553" s="76"/>
      <c r="I1553" s="270"/>
      <c r="J1553" s="270"/>
      <c r="K1553" s="270"/>
      <c r="L1553" s="270"/>
      <c r="M1553" s="76"/>
      <c r="N1553" s="76"/>
      <c r="O1553" s="76"/>
      <c r="P1553" s="76"/>
    </row>
    <row r="1554" ht="20.25" customHeight="1">
      <c r="A1554" s="664"/>
      <c r="B1554" s="190"/>
      <c r="C1554" s="190"/>
      <c r="D1554" s="190"/>
      <c r="E1554" s="190"/>
      <c r="F1554" s="269"/>
      <c r="G1554" s="76"/>
      <c r="H1554" s="76"/>
      <c r="I1554" s="269"/>
      <c r="J1554" s="269"/>
      <c r="K1554" s="269"/>
      <c r="L1554" s="269"/>
      <c r="M1554" s="76"/>
      <c r="N1554" s="76"/>
      <c r="O1554" s="76"/>
      <c r="P1554" s="76"/>
    </row>
    <row r="1555" ht="20.25" customHeight="1">
      <c r="A1555" s="665"/>
      <c r="B1555" s="189"/>
      <c r="C1555" s="189"/>
      <c r="D1555" s="189"/>
      <c r="E1555" s="189"/>
      <c r="F1555" s="270"/>
      <c r="G1555" s="76"/>
      <c r="H1555" s="76"/>
      <c r="I1555" s="270"/>
      <c r="J1555" s="270"/>
      <c r="K1555" s="270"/>
      <c r="L1555" s="270"/>
      <c r="M1555" s="76"/>
      <c r="N1555" s="76"/>
      <c r="O1555" s="76"/>
      <c r="P1555" s="76"/>
    </row>
    <row r="1556" ht="20.25" customHeight="1">
      <c r="A1556" s="664"/>
      <c r="B1556" s="190"/>
      <c r="C1556" s="190"/>
      <c r="D1556" s="190"/>
      <c r="E1556" s="190"/>
      <c r="F1556" s="269"/>
      <c r="G1556" s="76"/>
      <c r="H1556" s="76"/>
      <c r="I1556" s="269"/>
      <c r="J1556" s="269"/>
      <c r="K1556" s="269"/>
      <c r="L1556" s="269"/>
      <c r="M1556" s="76"/>
      <c r="N1556" s="76"/>
      <c r="O1556" s="76"/>
      <c r="P1556" s="76"/>
    </row>
    <row r="1557" ht="20.25" customHeight="1">
      <c r="A1557" s="665"/>
      <c r="B1557" s="189"/>
      <c r="C1557" s="189"/>
      <c r="D1557" s="189"/>
      <c r="E1557" s="189"/>
      <c r="F1557" s="270"/>
      <c r="G1557" s="76"/>
      <c r="H1557" s="76"/>
      <c r="I1557" s="270"/>
      <c r="J1557" s="270"/>
      <c r="K1557" s="270"/>
      <c r="L1557" s="270"/>
      <c r="M1557" s="76"/>
      <c r="N1557" s="76"/>
      <c r="O1557" s="76"/>
      <c r="P1557" s="76"/>
    </row>
    <row r="1558" ht="20.25" customHeight="1">
      <c r="A1558" s="664"/>
      <c r="B1558" s="190"/>
      <c r="C1558" s="190"/>
      <c r="D1558" s="190"/>
      <c r="E1558" s="190"/>
      <c r="F1558" s="269"/>
      <c r="G1558" s="76"/>
      <c r="H1558" s="76"/>
      <c r="I1558" s="269"/>
      <c r="J1558" s="269"/>
      <c r="K1558" s="269"/>
      <c r="L1558" s="269"/>
      <c r="M1558" s="76"/>
      <c r="N1558" s="76"/>
      <c r="O1558" s="76"/>
      <c r="P1558" s="76"/>
    </row>
    <row r="1559" ht="20.25" customHeight="1">
      <c r="A1559" s="665"/>
      <c r="B1559" s="189"/>
      <c r="C1559" s="189"/>
      <c r="D1559" s="189"/>
      <c r="E1559" s="189"/>
      <c r="F1559" s="270"/>
      <c r="G1559" s="76"/>
      <c r="H1559" s="76"/>
      <c r="I1559" s="270"/>
      <c r="J1559" s="270"/>
      <c r="K1559" s="270"/>
      <c r="L1559" s="270"/>
      <c r="M1559" s="76"/>
      <c r="N1559" s="76"/>
      <c r="O1559" s="76"/>
      <c r="P1559" s="76"/>
    </row>
    <row r="1560" ht="20.25" customHeight="1">
      <c r="A1560" s="664"/>
      <c r="B1560" s="190"/>
      <c r="C1560" s="190"/>
      <c r="D1560" s="190"/>
      <c r="E1560" s="190"/>
      <c r="F1560" s="269"/>
      <c r="G1560" s="76"/>
      <c r="H1560" s="76"/>
      <c r="I1560" s="269"/>
      <c r="J1560" s="269"/>
      <c r="K1560" s="269"/>
      <c r="L1560" s="269"/>
      <c r="M1560" s="76"/>
      <c r="N1560" s="76"/>
      <c r="O1560" s="76"/>
      <c r="P1560" s="76"/>
    </row>
    <row r="1561" ht="20.25" customHeight="1">
      <c r="A1561" s="665"/>
      <c r="B1561" s="189"/>
      <c r="C1561" s="189"/>
      <c r="D1561" s="189"/>
      <c r="E1561" s="189"/>
      <c r="F1561" s="270"/>
      <c r="G1561" s="76"/>
      <c r="H1561" s="76"/>
      <c r="I1561" s="270"/>
      <c r="J1561" s="270"/>
      <c r="K1561" s="270"/>
      <c r="L1561" s="270"/>
      <c r="M1561" s="76"/>
      <c r="N1561" s="76"/>
      <c r="O1561" s="76"/>
      <c r="P1561" s="76"/>
    </row>
    <row r="1562" ht="20.25" customHeight="1">
      <c r="A1562" s="664"/>
      <c r="B1562" s="190"/>
      <c r="C1562" s="190"/>
      <c r="D1562" s="190"/>
      <c r="E1562" s="190"/>
      <c r="F1562" s="269"/>
      <c r="G1562" s="76"/>
      <c r="H1562" s="76"/>
      <c r="I1562" s="269"/>
      <c r="J1562" s="269"/>
      <c r="K1562" s="269"/>
      <c r="L1562" s="269"/>
      <c r="M1562" s="76"/>
      <c r="N1562" s="76"/>
      <c r="O1562" s="76"/>
      <c r="P1562" s="76"/>
    </row>
    <row r="1563" ht="20.25" customHeight="1">
      <c r="A1563" s="665"/>
      <c r="B1563" s="189"/>
      <c r="C1563" s="189"/>
      <c r="D1563" s="189"/>
      <c r="E1563" s="189"/>
      <c r="F1563" s="270"/>
      <c r="G1563" s="76"/>
      <c r="H1563" s="76"/>
      <c r="I1563" s="270"/>
      <c r="J1563" s="270"/>
      <c r="K1563" s="270"/>
      <c r="L1563" s="270"/>
      <c r="M1563" s="76"/>
      <c r="N1563" s="76"/>
      <c r="O1563" s="76"/>
      <c r="P1563" s="76"/>
    </row>
    <row r="1564" ht="20.25" customHeight="1">
      <c r="A1564" s="664"/>
      <c r="B1564" s="190"/>
      <c r="C1564" s="190"/>
      <c r="D1564" s="190"/>
      <c r="E1564" s="190"/>
      <c r="F1564" s="269"/>
      <c r="G1564" s="76"/>
      <c r="H1564" s="76"/>
      <c r="I1564" s="269"/>
      <c r="J1564" s="269"/>
      <c r="K1564" s="269"/>
      <c r="L1564" s="269"/>
      <c r="M1564" s="76"/>
      <c r="N1564" s="76"/>
      <c r="O1564" s="76"/>
      <c r="P1564" s="76"/>
    </row>
    <row r="1565" ht="20.25" customHeight="1">
      <c r="A1565" s="665"/>
      <c r="B1565" s="189"/>
      <c r="C1565" s="189"/>
      <c r="D1565" s="189"/>
      <c r="E1565" s="189"/>
      <c r="F1565" s="270"/>
      <c r="G1565" s="76"/>
      <c r="H1565" s="76"/>
      <c r="I1565" s="270"/>
      <c r="J1565" s="270"/>
      <c r="K1565" s="270"/>
      <c r="L1565" s="270"/>
      <c r="M1565" s="76"/>
      <c r="N1565" s="76"/>
      <c r="O1565" s="76"/>
      <c r="P1565" s="76"/>
    </row>
    <row r="1566" ht="20.25" customHeight="1">
      <c r="A1566" s="664"/>
      <c r="B1566" s="190"/>
      <c r="C1566" s="190"/>
      <c r="D1566" s="190"/>
      <c r="E1566" s="190"/>
      <c r="F1566" s="269"/>
      <c r="G1566" s="76"/>
      <c r="H1566" s="76"/>
      <c r="I1566" s="269"/>
      <c r="J1566" s="269"/>
      <c r="K1566" s="269"/>
      <c r="L1566" s="269"/>
      <c r="M1566" s="76"/>
      <c r="N1566" s="76"/>
      <c r="O1566" s="76"/>
      <c r="P1566" s="76"/>
    </row>
    <row r="1567" ht="20.25" customHeight="1">
      <c r="A1567" s="665"/>
      <c r="B1567" s="189"/>
      <c r="C1567" s="189"/>
      <c r="D1567" s="189"/>
      <c r="E1567" s="189"/>
      <c r="F1567" s="270"/>
      <c r="G1567" s="76"/>
      <c r="H1567" s="76"/>
      <c r="I1567" s="270"/>
      <c r="J1567" s="270"/>
      <c r="K1567" s="270"/>
      <c r="L1567" s="270"/>
      <c r="M1567" s="76"/>
      <c r="N1567" s="76"/>
      <c r="O1567" s="76"/>
      <c r="P1567" s="76"/>
    </row>
    <row r="1568" ht="20.25" customHeight="1">
      <c r="A1568" s="664"/>
      <c r="B1568" s="190"/>
      <c r="C1568" s="190"/>
      <c r="D1568" s="190"/>
      <c r="E1568" s="190"/>
      <c r="F1568" s="269"/>
      <c r="G1568" s="76"/>
      <c r="H1568" s="76"/>
      <c r="I1568" s="269"/>
      <c r="J1568" s="269"/>
      <c r="K1568" s="269"/>
      <c r="L1568" s="269"/>
      <c r="M1568" s="76"/>
      <c r="N1568" s="76"/>
      <c r="O1568" s="76"/>
      <c r="P1568" s="76"/>
    </row>
    <row r="1569" ht="20.25" customHeight="1">
      <c r="A1569" s="665"/>
      <c r="B1569" s="189"/>
      <c r="C1569" s="189"/>
      <c r="D1569" s="189"/>
      <c r="E1569" s="189"/>
      <c r="F1569" s="270"/>
      <c r="G1569" s="76"/>
      <c r="H1569" s="76"/>
      <c r="I1569" s="270"/>
      <c r="J1569" s="270"/>
      <c r="K1569" s="270"/>
      <c r="L1569" s="270"/>
      <c r="M1569" s="76"/>
      <c r="N1569" s="76"/>
      <c r="O1569" s="76"/>
      <c r="P1569" s="76"/>
    </row>
    <row r="1570" ht="20.25" customHeight="1">
      <c r="A1570" s="664"/>
      <c r="B1570" s="190"/>
      <c r="C1570" s="190"/>
      <c r="D1570" s="190"/>
      <c r="E1570" s="190"/>
      <c r="F1570" s="269"/>
      <c r="G1570" s="76"/>
      <c r="H1570" s="76"/>
      <c r="I1570" s="269"/>
      <c r="J1570" s="269"/>
      <c r="K1570" s="269"/>
      <c r="L1570" s="269"/>
      <c r="M1570" s="76"/>
      <c r="N1570" s="76"/>
      <c r="O1570" s="76"/>
      <c r="P1570" s="76"/>
    </row>
    <row r="1571" ht="20.25" customHeight="1">
      <c r="A1571" s="665"/>
      <c r="B1571" s="189"/>
      <c r="C1571" s="189"/>
      <c r="D1571" s="189"/>
      <c r="E1571" s="189"/>
      <c r="F1571" s="270"/>
      <c r="G1571" s="76"/>
      <c r="H1571" s="76"/>
      <c r="I1571" s="270"/>
      <c r="J1571" s="270"/>
      <c r="K1571" s="270"/>
      <c r="L1571" s="270"/>
      <c r="M1571" s="76"/>
      <c r="N1571" s="76"/>
      <c r="O1571" s="76"/>
      <c r="P1571" s="76"/>
    </row>
    <row r="1572" ht="20.25" customHeight="1">
      <c r="A1572" s="664"/>
      <c r="B1572" s="190"/>
      <c r="C1572" s="190"/>
      <c r="D1572" s="190"/>
      <c r="E1572" s="190"/>
      <c r="F1572" s="269"/>
      <c r="G1572" s="76"/>
      <c r="H1572" s="76"/>
      <c r="I1572" s="269"/>
      <c r="J1572" s="269"/>
      <c r="K1572" s="269"/>
      <c r="L1572" s="269"/>
      <c r="M1572" s="76"/>
      <c r="N1572" s="76"/>
      <c r="O1572" s="76"/>
      <c r="P1572" s="76"/>
    </row>
    <row r="1573" ht="20.25" customHeight="1">
      <c r="A1573" s="665"/>
      <c r="B1573" s="189"/>
      <c r="C1573" s="189"/>
      <c r="D1573" s="189"/>
      <c r="E1573" s="189"/>
      <c r="F1573" s="270"/>
      <c r="G1573" s="76"/>
      <c r="H1573" s="76"/>
      <c r="I1573" s="270"/>
      <c r="J1573" s="270"/>
      <c r="K1573" s="270"/>
      <c r="L1573" s="270"/>
      <c r="M1573" s="76"/>
      <c r="N1573" s="76"/>
      <c r="O1573" s="76"/>
      <c r="P1573" s="76"/>
    </row>
    <row r="1574" ht="20.25" customHeight="1">
      <c r="A1574" s="664"/>
      <c r="B1574" s="190"/>
      <c r="C1574" s="190"/>
      <c r="D1574" s="190"/>
      <c r="E1574" s="190"/>
      <c r="F1574" s="269"/>
      <c r="G1574" s="76"/>
      <c r="H1574" s="76"/>
      <c r="I1574" s="269"/>
      <c r="J1574" s="269"/>
      <c r="K1574" s="269"/>
      <c r="L1574" s="269"/>
      <c r="M1574" s="76"/>
      <c r="N1574" s="76"/>
      <c r="O1574" s="76"/>
      <c r="P1574" s="76"/>
    </row>
    <row r="1575" ht="20.25" customHeight="1">
      <c r="A1575" s="665"/>
      <c r="B1575" s="189"/>
      <c r="C1575" s="189"/>
      <c r="D1575" s="189"/>
      <c r="E1575" s="189"/>
      <c r="F1575" s="270"/>
      <c r="G1575" s="76"/>
      <c r="H1575" s="76"/>
      <c r="I1575" s="270"/>
      <c r="J1575" s="270"/>
      <c r="K1575" s="270"/>
      <c r="L1575" s="270"/>
      <c r="M1575" s="76"/>
      <c r="N1575" s="76"/>
      <c r="O1575" s="76"/>
      <c r="P1575" s="76"/>
    </row>
    <row r="1576" ht="20.25" customHeight="1">
      <c r="A1576" s="664"/>
      <c r="B1576" s="190"/>
      <c r="C1576" s="190"/>
      <c r="D1576" s="190"/>
      <c r="E1576" s="190"/>
      <c r="F1576" s="269"/>
      <c r="G1576" s="76"/>
      <c r="H1576" s="76"/>
      <c r="I1576" s="269"/>
      <c r="J1576" s="269"/>
      <c r="K1576" s="269"/>
      <c r="L1576" s="269"/>
      <c r="M1576" s="76"/>
      <c r="N1576" s="76"/>
      <c r="O1576" s="76"/>
      <c r="P1576" s="76"/>
    </row>
    <row r="1577" ht="20.25" customHeight="1">
      <c r="A1577" s="665"/>
      <c r="B1577" s="189"/>
      <c r="C1577" s="189"/>
      <c r="D1577" s="189"/>
      <c r="E1577" s="189"/>
      <c r="F1577" s="270"/>
      <c r="G1577" s="76"/>
      <c r="H1577" s="76"/>
      <c r="I1577" s="270"/>
      <c r="J1577" s="270"/>
      <c r="K1577" s="270"/>
      <c r="L1577" s="270"/>
      <c r="M1577" s="76"/>
      <c r="N1577" s="76"/>
      <c r="O1577" s="76"/>
      <c r="P1577" s="76"/>
    </row>
    <row r="1578" ht="20.25" customHeight="1">
      <c r="A1578" s="664"/>
      <c r="B1578" s="190"/>
      <c r="C1578" s="190"/>
      <c r="D1578" s="190"/>
      <c r="E1578" s="190"/>
      <c r="F1578" s="269"/>
      <c r="G1578" s="76"/>
      <c r="H1578" s="76"/>
      <c r="I1578" s="269"/>
      <c r="J1578" s="269"/>
      <c r="K1578" s="269"/>
      <c r="L1578" s="269"/>
      <c r="M1578" s="76"/>
      <c r="N1578" s="76"/>
      <c r="O1578" s="76"/>
      <c r="P1578" s="76"/>
    </row>
    <row r="1579" ht="20.25" customHeight="1">
      <c r="A1579" s="665"/>
      <c r="B1579" s="189"/>
      <c r="C1579" s="189"/>
      <c r="D1579" s="189"/>
      <c r="E1579" s="189"/>
      <c r="F1579" s="270"/>
      <c r="G1579" s="76"/>
      <c r="H1579" s="76"/>
      <c r="I1579" s="270"/>
      <c r="J1579" s="270"/>
      <c r="K1579" s="270"/>
      <c r="L1579" s="270"/>
      <c r="M1579" s="76"/>
      <c r="N1579" s="76"/>
      <c r="O1579" s="76"/>
      <c r="P1579" s="76"/>
    </row>
    <row r="1580" ht="20.25" customHeight="1">
      <c r="A1580" s="664"/>
      <c r="B1580" s="190"/>
      <c r="C1580" s="190"/>
      <c r="D1580" s="190"/>
      <c r="E1580" s="190"/>
      <c r="F1580" s="269"/>
      <c r="G1580" s="76"/>
      <c r="H1580" s="76"/>
      <c r="I1580" s="269"/>
      <c r="J1580" s="269"/>
      <c r="K1580" s="269"/>
      <c r="L1580" s="269"/>
      <c r="M1580" s="76"/>
      <c r="N1580" s="76"/>
      <c r="O1580" s="76"/>
      <c r="P1580" s="76"/>
    </row>
    <row r="1581" ht="20.25" customHeight="1">
      <c r="A1581" s="665"/>
      <c r="B1581" s="189"/>
      <c r="C1581" s="189"/>
      <c r="D1581" s="189"/>
      <c r="E1581" s="189"/>
      <c r="F1581" s="270"/>
      <c r="G1581" s="76"/>
      <c r="H1581" s="76"/>
      <c r="I1581" s="270"/>
      <c r="J1581" s="270"/>
      <c r="K1581" s="270"/>
      <c r="L1581" s="270"/>
      <c r="M1581" s="76"/>
      <c r="N1581" s="76"/>
      <c r="O1581" s="76"/>
      <c r="P1581" s="76"/>
    </row>
    <row r="1582" ht="20.25" customHeight="1">
      <c r="A1582" s="664"/>
      <c r="B1582" s="190"/>
      <c r="C1582" s="190"/>
      <c r="D1582" s="190"/>
      <c r="E1582" s="190"/>
      <c r="F1582" s="269"/>
      <c r="G1582" s="76"/>
      <c r="H1582" s="76"/>
      <c r="I1582" s="269"/>
      <c r="J1582" s="269"/>
      <c r="K1582" s="269"/>
      <c r="L1582" s="269"/>
      <c r="M1582" s="76"/>
      <c r="N1582" s="76"/>
      <c r="O1582" s="76"/>
      <c r="P1582" s="76"/>
    </row>
    <row r="1583" ht="20.25" customHeight="1">
      <c r="A1583" s="665"/>
      <c r="B1583" s="189"/>
      <c r="C1583" s="189"/>
      <c r="D1583" s="189"/>
      <c r="E1583" s="189"/>
      <c r="F1583" s="270"/>
      <c r="G1583" s="76"/>
      <c r="H1583" s="76"/>
      <c r="I1583" s="270"/>
      <c r="J1583" s="270"/>
      <c r="K1583" s="270"/>
      <c r="L1583" s="270"/>
      <c r="M1583" s="76"/>
      <c r="N1583" s="76"/>
      <c r="O1583" s="76"/>
      <c r="P1583" s="76"/>
    </row>
    <row r="1584" ht="20.25" customHeight="1">
      <c r="A1584" s="664"/>
      <c r="B1584" s="190"/>
      <c r="C1584" s="190"/>
      <c r="D1584" s="190"/>
      <c r="E1584" s="190"/>
      <c r="F1584" s="269"/>
      <c r="G1584" s="76"/>
      <c r="H1584" s="76"/>
      <c r="I1584" s="269"/>
      <c r="J1584" s="269"/>
      <c r="K1584" s="269"/>
      <c r="L1584" s="269"/>
      <c r="M1584" s="76"/>
      <c r="N1584" s="76"/>
      <c r="O1584" s="76"/>
      <c r="P1584" s="76"/>
    </row>
    <row r="1585" ht="20.25" customHeight="1">
      <c r="A1585" s="665"/>
      <c r="B1585" s="189"/>
      <c r="C1585" s="189"/>
      <c r="D1585" s="189"/>
      <c r="E1585" s="189"/>
      <c r="F1585" s="270"/>
      <c r="G1585" s="76"/>
      <c r="H1585" s="76"/>
      <c r="I1585" s="270"/>
      <c r="J1585" s="270"/>
      <c r="K1585" s="270"/>
      <c r="L1585" s="270"/>
      <c r="M1585" s="76"/>
      <c r="N1585" s="76"/>
      <c r="O1585" s="76"/>
      <c r="P1585" s="76"/>
    </row>
    <row r="1586" ht="20.25" customHeight="1">
      <c r="A1586" s="664"/>
      <c r="B1586" s="190"/>
      <c r="C1586" s="190"/>
      <c r="D1586" s="190"/>
      <c r="E1586" s="190"/>
      <c r="F1586" s="269"/>
      <c r="G1586" s="76"/>
      <c r="H1586" s="76"/>
      <c r="I1586" s="269"/>
      <c r="J1586" s="269"/>
      <c r="K1586" s="269"/>
      <c r="L1586" s="269"/>
      <c r="M1586" s="76"/>
      <c r="N1586" s="76"/>
      <c r="O1586" s="76"/>
      <c r="P1586" s="76"/>
    </row>
    <row r="1587" ht="20.25" customHeight="1">
      <c r="A1587" s="665"/>
      <c r="B1587" s="189"/>
      <c r="C1587" s="189"/>
      <c r="D1587" s="189"/>
      <c r="E1587" s="189"/>
      <c r="F1587" s="270"/>
      <c r="G1587" s="76"/>
      <c r="H1587" s="76"/>
      <c r="I1587" s="270"/>
      <c r="J1587" s="270"/>
      <c r="K1587" s="270"/>
      <c r="L1587" s="270"/>
      <c r="M1587" s="76"/>
      <c r="N1587" s="76"/>
      <c r="O1587" s="76"/>
      <c r="P1587" s="76"/>
    </row>
    <row r="1588" ht="20.25" customHeight="1">
      <c r="A1588" s="664"/>
      <c r="B1588" s="190"/>
      <c r="C1588" s="190"/>
      <c r="D1588" s="190"/>
      <c r="E1588" s="190"/>
      <c r="F1588" s="269"/>
      <c r="G1588" s="76"/>
      <c r="H1588" s="76"/>
      <c r="I1588" s="269"/>
      <c r="J1588" s="269"/>
      <c r="K1588" s="269"/>
      <c r="L1588" s="269"/>
      <c r="M1588" s="76"/>
      <c r="N1588" s="76"/>
      <c r="O1588" s="76"/>
      <c r="P1588" s="76"/>
    </row>
    <row r="1589" ht="20.25" customHeight="1">
      <c r="A1589" s="665"/>
      <c r="B1589" s="189"/>
      <c r="C1589" s="189"/>
      <c r="D1589" s="189"/>
      <c r="E1589" s="189"/>
      <c r="F1589" s="270"/>
      <c r="G1589" s="76"/>
      <c r="H1589" s="76"/>
      <c r="I1589" s="270"/>
      <c r="J1589" s="270"/>
      <c r="K1589" s="270"/>
      <c r="L1589" s="270"/>
      <c r="M1589" s="76"/>
      <c r="N1589" s="76"/>
      <c r="O1589" s="76"/>
      <c r="P1589" s="76"/>
    </row>
    <row r="1590" ht="20.25" customHeight="1">
      <c r="A1590" s="664"/>
      <c r="B1590" s="190"/>
      <c r="C1590" s="190"/>
      <c r="D1590" s="190"/>
      <c r="E1590" s="190"/>
      <c r="F1590" s="269"/>
      <c r="G1590" s="76"/>
      <c r="H1590" s="76"/>
      <c r="I1590" s="269"/>
      <c r="J1590" s="269"/>
      <c r="K1590" s="269"/>
      <c r="L1590" s="269"/>
      <c r="M1590" s="76"/>
      <c r="N1590" s="76"/>
      <c r="O1590" s="76"/>
      <c r="P1590" s="76"/>
    </row>
    <row r="1591" ht="20.25" customHeight="1">
      <c r="A1591" s="665"/>
      <c r="B1591" s="189"/>
      <c r="C1591" s="189"/>
      <c r="D1591" s="189"/>
      <c r="E1591" s="189"/>
      <c r="F1591" s="270"/>
      <c r="G1591" s="76"/>
      <c r="H1591" s="76"/>
      <c r="I1591" s="270"/>
      <c r="J1591" s="270"/>
      <c r="K1591" s="270"/>
      <c r="L1591" s="270"/>
      <c r="M1591" s="76"/>
      <c r="N1591" s="76"/>
      <c r="O1591" s="76"/>
      <c r="P1591" s="76"/>
    </row>
    <row r="1592" ht="20.25" customHeight="1">
      <c r="A1592" s="664"/>
      <c r="B1592" s="190"/>
      <c r="C1592" s="190"/>
      <c r="D1592" s="190"/>
      <c r="E1592" s="190"/>
      <c r="F1592" s="269"/>
      <c r="G1592" s="76"/>
      <c r="H1592" s="76"/>
      <c r="I1592" s="269"/>
      <c r="J1592" s="269"/>
      <c r="K1592" s="269"/>
      <c r="L1592" s="269"/>
      <c r="M1592" s="76"/>
      <c r="N1592" s="76"/>
      <c r="O1592" s="76"/>
      <c r="P1592" s="76"/>
    </row>
    <row r="1593" ht="20.25" customHeight="1">
      <c r="A1593" s="665"/>
      <c r="B1593" s="189"/>
      <c r="C1593" s="189"/>
      <c r="D1593" s="189"/>
      <c r="E1593" s="189"/>
      <c r="F1593" s="270"/>
      <c r="G1593" s="76"/>
      <c r="H1593" s="76"/>
      <c r="I1593" s="270"/>
      <c r="J1593" s="270"/>
      <c r="K1593" s="270"/>
      <c r="L1593" s="270"/>
      <c r="M1593" s="76"/>
      <c r="N1593" s="76"/>
      <c r="O1593" s="76"/>
      <c r="P1593" s="76"/>
    </row>
    <row r="1594" ht="20.25" customHeight="1">
      <c r="A1594" s="664"/>
      <c r="B1594" s="190"/>
      <c r="C1594" s="190"/>
      <c r="D1594" s="190"/>
      <c r="E1594" s="190"/>
      <c r="F1594" s="269"/>
      <c r="G1594" s="76"/>
      <c r="H1594" s="76"/>
      <c r="I1594" s="269"/>
      <c r="J1594" s="269"/>
      <c r="K1594" s="269"/>
      <c r="L1594" s="269"/>
      <c r="M1594" s="76"/>
      <c r="N1594" s="76"/>
      <c r="O1594" s="76"/>
      <c r="P1594" s="76"/>
    </row>
    <row r="1595" ht="20.25" customHeight="1">
      <c r="A1595" s="665"/>
      <c r="B1595" s="189"/>
      <c r="C1595" s="189"/>
      <c r="D1595" s="189"/>
      <c r="E1595" s="189"/>
      <c r="F1595" s="270"/>
      <c r="G1595" s="76"/>
      <c r="H1595" s="76"/>
      <c r="I1595" s="270"/>
      <c r="J1595" s="270"/>
      <c r="K1595" s="270"/>
      <c r="L1595" s="270"/>
      <c r="M1595" s="76"/>
      <c r="N1595" s="76"/>
      <c r="O1595" s="76"/>
      <c r="P1595" s="76"/>
    </row>
    <row r="1596" ht="20.25" customHeight="1">
      <c r="A1596" s="664"/>
      <c r="B1596" s="190"/>
      <c r="C1596" s="190"/>
      <c r="D1596" s="190"/>
      <c r="E1596" s="190"/>
      <c r="F1596" s="269"/>
      <c r="G1596" s="76"/>
      <c r="H1596" s="76"/>
      <c r="I1596" s="269"/>
      <c r="J1596" s="269"/>
      <c r="K1596" s="269"/>
      <c r="L1596" s="269"/>
      <c r="M1596" s="76"/>
      <c r="N1596" s="76"/>
      <c r="O1596" s="76"/>
      <c r="P1596" s="76"/>
    </row>
    <row r="1597" ht="20.25" customHeight="1">
      <c r="A1597" s="665"/>
      <c r="B1597" s="189"/>
      <c r="C1597" s="189"/>
      <c r="D1597" s="189"/>
      <c r="E1597" s="189"/>
      <c r="F1597" s="270"/>
      <c r="G1597" s="76"/>
      <c r="H1597" s="76"/>
      <c r="I1597" s="270"/>
      <c r="J1597" s="270"/>
      <c r="K1597" s="270"/>
      <c r="L1597" s="270"/>
      <c r="M1597" s="76"/>
      <c r="N1597" s="76"/>
      <c r="O1597" s="76"/>
      <c r="P1597" s="76"/>
    </row>
    <row r="1598" ht="20.25" customHeight="1">
      <c r="A1598" s="664"/>
      <c r="B1598" s="190"/>
      <c r="C1598" s="190"/>
      <c r="D1598" s="190"/>
      <c r="E1598" s="190"/>
      <c r="F1598" s="269"/>
      <c r="G1598" s="76"/>
      <c r="H1598" s="76"/>
      <c r="I1598" s="269"/>
      <c r="J1598" s="269"/>
      <c r="K1598" s="269"/>
      <c r="L1598" s="269"/>
      <c r="M1598" s="76"/>
      <c r="N1598" s="76"/>
      <c r="O1598" s="76"/>
      <c r="P1598" s="76"/>
    </row>
    <row r="1599" ht="20.25" customHeight="1">
      <c r="A1599" s="665"/>
      <c r="B1599" s="189"/>
      <c r="C1599" s="189"/>
      <c r="D1599" s="189"/>
      <c r="E1599" s="189"/>
      <c r="F1599" s="270"/>
      <c r="G1599" s="76"/>
      <c r="H1599" s="76"/>
      <c r="I1599" s="270"/>
      <c r="J1599" s="270"/>
      <c r="K1599" s="270"/>
      <c r="L1599" s="270"/>
      <c r="M1599" s="76"/>
      <c r="N1599" s="76"/>
      <c r="O1599" s="76"/>
      <c r="P1599" s="76"/>
    </row>
    <row r="1600" ht="20.25" customHeight="1">
      <c r="A1600" s="664"/>
      <c r="B1600" s="190"/>
      <c r="C1600" s="190"/>
      <c r="D1600" s="190"/>
      <c r="E1600" s="190"/>
      <c r="F1600" s="269"/>
      <c r="G1600" s="76"/>
      <c r="H1600" s="76"/>
      <c r="I1600" s="269"/>
      <c r="J1600" s="269"/>
      <c r="K1600" s="269"/>
      <c r="L1600" s="269"/>
      <c r="M1600" s="76"/>
      <c r="N1600" s="76"/>
      <c r="O1600" s="76"/>
      <c r="P1600" s="76"/>
    </row>
    <row r="1601" ht="20.25" customHeight="1">
      <c r="A1601" s="665"/>
      <c r="B1601" s="189"/>
      <c r="C1601" s="189"/>
      <c r="D1601" s="189"/>
      <c r="E1601" s="189"/>
      <c r="F1601" s="270"/>
      <c r="G1601" s="76"/>
      <c r="H1601" s="76"/>
      <c r="I1601" s="270"/>
      <c r="J1601" s="270"/>
      <c r="K1601" s="270"/>
      <c r="L1601" s="270"/>
      <c r="M1601" s="76"/>
      <c r="N1601" s="76"/>
      <c r="O1601" s="76"/>
      <c r="P1601" s="76"/>
    </row>
    <row r="1602" ht="20.25" customHeight="1">
      <c r="A1602" s="664"/>
      <c r="B1602" s="190"/>
      <c r="C1602" s="190"/>
      <c r="D1602" s="190"/>
      <c r="E1602" s="190"/>
      <c r="F1602" s="269"/>
      <c r="G1602" s="76"/>
      <c r="H1602" s="76"/>
      <c r="I1602" s="269"/>
      <c r="J1602" s="269"/>
      <c r="K1602" s="269"/>
      <c r="L1602" s="269"/>
      <c r="M1602" s="76"/>
      <c r="N1602" s="76"/>
      <c r="O1602" s="76"/>
      <c r="P1602" s="76"/>
    </row>
    <row r="1603" ht="20.25" customHeight="1">
      <c r="A1603" s="665"/>
      <c r="B1603" s="189"/>
      <c r="C1603" s="189"/>
      <c r="D1603" s="189"/>
      <c r="E1603" s="189"/>
      <c r="F1603" s="270"/>
      <c r="G1603" s="76"/>
      <c r="H1603" s="76"/>
      <c r="I1603" s="270"/>
      <c r="J1603" s="270"/>
      <c r="K1603" s="270"/>
      <c r="L1603" s="270"/>
      <c r="M1603" s="76"/>
      <c r="N1603" s="76"/>
      <c r="O1603" s="76"/>
      <c r="P1603" s="76"/>
    </row>
    <row r="1604" ht="20.25" customHeight="1">
      <c r="A1604" s="664"/>
      <c r="B1604" s="190"/>
      <c r="C1604" s="190"/>
      <c r="D1604" s="190"/>
      <c r="E1604" s="190"/>
      <c r="F1604" s="269"/>
      <c r="G1604" s="76"/>
      <c r="H1604" s="76"/>
      <c r="I1604" s="269"/>
      <c r="J1604" s="269"/>
      <c r="K1604" s="269"/>
      <c r="L1604" s="269"/>
      <c r="M1604" s="76"/>
      <c r="N1604" s="76"/>
      <c r="O1604" s="76"/>
      <c r="P1604" s="76"/>
    </row>
    <row r="1605" ht="20.25" customHeight="1">
      <c r="A1605" s="665"/>
      <c r="B1605" s="189"/>
      <c r="C1605" s="189"/>
      <c r="D1605" s="189"/>
      <c r="E1605" s="189"/>
      <c r="F1605" s="270"/>
      <c r="G1605" s="76"/>
      <c r="H1605" s="76"/>
      <c r="I1605" s="270"/>
      <c r="J1605" s="270"/>
      <c r="K1605" s="270"/>
      <c r="L1605" s="270"/>
      <c r="M1605" s="76"/>
      <c r="N1605" s="76"/>
      <c r="O1605" s="76"/>
      <c r="P1605" s="76"/>
    </row>
    <row r="1606" ht="20.25" customHeight="1">
      <c r="A1606" s="664"/>
      <c r="B1606" s="190"/>
      <c r="C1606" s="190"/>
      <c r="D1606" s="190"/>
      <c r="E1606" s="190"/>
      <c r="F1606" s="269"/>
      <c r="G1606" s="76"/>
      <c r="H1606" s="76"/>
      <c r="I1606" s="269"/>
      <c r="J1606" s="269"/>
      <c r="K1606" s="269"/>
      <c r="L1606" s="269"/>
      <c r="M1606" s="76"/>
      <c r="N1606" s="76"/>
      <c r="O1606" s="76"/>
      <c r="P1606" s="76"/>
    </row>
    <row r="1607" ht="20.25" customHeight="1">
      <c r="A1607" s="665"/>
      <c r="B1607" s="189"/>
      <c r="C1607" s="189"/>
      <c r="D1607" s="189"/>
      <c r="E1607" s="189"/>
      <c r="F1607" s="270"/>
      <c r="G1607" s="76"/>
      <c r="H1607" s="76"/>
      <c r="I1607" s="270"/>
      <c r="J1607" s="270"/>
      <c r="K1607" s="270"/>
      <c r="L1607" s="270"/>
      <c r="M1607" s="76"/>
      <c r="N1607" s="76"/>
      <c r="O1607" s="76"/>
      <c r="P1607" s="76"/>
    </row>
    <row r="1608" ht="20.25" customHeight="1">
      <c r="A1608" s="664"/>
      <c r="B1608" s="190"/>
      <c r="C1608" s="190"/>
      <c r="D1608" s="190"/>
      <c r="E1608" s="190"/>
      <c r="F1608" s="269"/>
      <c r="G1608" s="76"/>
      <c r="H1608" s="76"/>
      <c r="I1608" s="269"/>
      <c r="J1608" s="269"/>
      <c r="K1608" s="269"/>
      <c r="L1608" s="269"/>
      <c r="M1608" s="76"/>
      <c r="N1608" s="76"/>
      <c r="O1608" s="76"/>
      <c r="P1608" s="76"/>
    </row>
    <row r="1609" ht="20.25" customHeight="1">
      <c r="A1609" s="665"/>
      <c r="B1609" s="189"/>
      <c r="C1609" s="189"/>
      <c r="D1609" s="189"/>
      <c r="E1609" s="189"/>
      <c r="F1609" s="270"/>
      <c r="G1609" s="76"/>
      <c r="H1609" s="76"/>
      <c r="I1609" s="270"/>
      <c r="J1609" s="270"/>
      <c r="K1609" s="270"/>
      <c r="L1609" s="270"/>
      <c r="M1609" s="76"/>
      <c r="N1609" s="76"/>
      <c r="O1609" s="76"/>
      <c r="P1609" s="76"/>
    </row>
    <row r="1610" ht="20.25" customHeight="1">
      <c r="A1610" s="664"/>
      <c r="B1610" s="190"/>
      <c r="C1610" s="190"/>
      <c r="D1610" s="190"/>
      <c r="E1610" s="190"/>
      <c r="F1610" s="269"/>
      <c r="G1610" s="76"/>
      <c r="H1610" s="76"/>
      <c r="I1610" s="269"/>
      <c r="J1610" s="269"/>
      <c r="K1610" s="269"/>
      <c r="L1610" s="269"/>
      <c r="M1610" s="76"/>
      <c r="N1610" s="76"/>
      <c r="O1610" s="76"/>
      <c r="P1610" s="76"/>
    </row>
    <row r="1611" ht="20.25" customHeight="1">
      <c r="A1611" s="665"/>
      <c r="B1611" s="189"/>
      <c r="C1611" s="189"/>
      <c r="D1611" s="189"/>
      <c r="E1611" s="189"/>
      <c r="F1611" s="270"/>
      <c r="G1611" s="76"/>
      <c r="H1611" s="76"/>
      <c r="I1611" s="270"/>
      <c r="J1611" s="270"/>
      <c r="K1611" s="270"/>
      <c r="L1611" s="270"/>
      <c r="M1611" s="76"/>
      <c r="N1611" s="76"/>
      <c r="O1611" s="76"/>
      <c r="P1611" s="76"/>
    </row>
    <row r="1612" ht="20.25" customHeight="1">
      <c r="A1612" s="664"/>
      <c r="B1612" s="190"/>
      <c r="C1612" s="190"/>
      <c r="D1612" s="190"/>
      <c r="E1612" s="190"/>
      <c r="F1612" s="269"/>
      <c r="G1612" s="76"/>
      <c r="H1612" s="76"/>
      <c r="I1612" s="269"/>
      <c r="J1612" s="269"/>
      <c r="K1612" s="269"/>
      <c r="L1612" s="269"/>
      <c r="M1612" s="76"/>
      <c r="N1612" s="76"/>
      <c r="O1612" s="76"/>
      <c r="P1612" s="76"/>
    </row>
    <row r="1613" ht="20.25" customHeight="1">
      <c r="A1613" s="665"/>
      <c r="B1613" s="189"/>
      <c r="C1613" s="189"/>
      <c r="D1613" s="189"/>
      <c r="E1613" s="189"/>
      <c r="F1613" s="270"/>
      <c r="G1613" s="76"/>
      <c r="H1613" s="76"/>
      <c r="I1613" s="270"/>
      <c r="J1613" s="270"/>
      <c r="K1613" s="270"/>
      <c r="L1613" s="270"/>
      <c r="M1613" s="76"/>
      <c r="N1613" s="76"/>
      <c r="O1613" s="76"/>
      <c r="P1613" s="76"/>
    </row>
    <row r="1614" ht="20.25" customHeight="1">
      <c r="A1614" s="664"/>
      <c r="B1614" s="190"/>
      <c r="C1614" s="190"/>
      <c r="D1614" s="190"/>
      <c r="E1614" s="190"/>
      <c r="F1614" s="269"/>
      <c r="G1614" s="76"/>
      <c r="H1614" s="76"/>
      <c r="I1614" s="269"/>
      <c r="J1614" s="269"/>
      <c r="K1614" s="269"/>
      <c r="L1614" s="269"/>
      <c r="M1614" s="76"/>
      <c r="N1614" s="76"/>
      <c r="O1614" s="76"/>
      <c r="P1614" s="76"/>
    </row>
    <row r="1615" ht="20.25" customHeight="1">
      <c r="A1615" s="665"/>
      <c r="B1615" s="189"/>
      <c r="C1615" s="189"/>
      <c r="D1615" s="189"/>
      <c r="E1615" s="189"/>
      <c r="F1615" s="270"/>
      <c r="G1615" s="76"/>
      <c r="H1615" s="76"/>
      <c r="I1615" s="270"/>
      <c r="J1615" s="270"/>
      <c r="K1615" s="270"/>
      <c r="L1615" s="270"/>
      <c r="M1615" s="76"/>
      <c r="N1615" s="76"/>
      <c r="O1615" s="76"/>
      <c r="P1615" s="76"/>
    </row>
    <row r="1616" ht="20.25" customHeight="1">
      <c r="A1616" s="664"/>
      <c r="B1616" s="190"/>
      <c r="C1616" s="190"/>
      <c r="D1616" s="190"/>
      <c r="E1616" s="190"/>
      <c r="F1616" s="269"/>
      <c r="G1616" s="76"/>
      <c r="H1616" s="76"/>
      <c r="I1616" s="269"/>
      <c r="J1616" s="269"/>
      <c r="K1616" s="269"/>
      <c r="L1616" s="269"/>
      <c r="M1616" s="76"/>
      <c r="N1616" s="76"/>
      <c r="O1616" s="76"/>
      <c r="P1616" s="76"/>
    </row>
    <row r="1617" ht="20.25" customHeight="1">
      <c r="A1617" s="665"/>
      <c r="B1617" s="189"/>
      <c r="C1617" s="189"/>
      <c r="D1617" s="189"/>
      <c r="E1617" s="189"/>
      <c r="F1617" s="270"/>
      <c r="G1617" s="76"/>
      <c r="H1617" s="76"/>
      <c r="I1617" s="270"/>
      <c r="J1617" s="270"/>
      <c r="K1617" s="270"/>
      <c r="L1617" s="270"/>
      <c r="M1617" s="76"/>
      <c r="N1617" s="76"/>
      <c r="O1617" s="76"/>
      <c r="P1617" s="76"/>
    </row>
    <row r="1618" ht="20.25" customHeight="1">
      <c r="A1618" s="664"/>
      <c r="B1618" s="190"/>
      <c r="C1618" s="190"/>
      <c r="D1618" s="190"/>
      <c r="E1618" s="190"/>
      <c r="F1618" s="269"/>
      <c r="G1618" s="76"/>
      <c r="H1618" s="76"/>
      <c r="I1618" s="269"/>
      <c r="J1618" s="269"/>
      <c r="K1618" s="269"/>
      <c r="L1618" s="269"/>
      <c r="M1618" s="76"/>
      <c r="N1618" s="76"/>
      <c r="O1618" s="76"/>
      <c r="P1618" s="76"/>
    </row>
    <row r="1619" ht="20.25" customHeight="1">
      <c r="A1619" s="665"/>
      <c r="B1619" s="189"/>
      <c r="C1619" s="189"/>
      <c r="D1619" s="189"/>
      <c r="E1619" s="189"/>
      <c r="F1619" s="270"/>
      <c r="G1619" s="76"/>
      <c r="H1619" s="76"/>
      <c r="I1619" s="270"/>
      <c r="J1619" s="270"/>
      <c r="K1619" s="270"/>
      <c r="L1619" s="270"/>
      <c r="M1619" s="76"/>
      <c r="N1619" s="76"/>
      <c r="O1619" s="76"/>
      <c r="P1619" s="76"/>
    </row>
    <row r="1620" ht="20.25" customHeight="1">
      <c r="A1620" s="664"/>
      <c r="B1620" s="190"/>
      <c r="C1620" s="190"/>
      <c r="D1620" s="190"/>
      <c r="E1620" s="190"/>
      <c r="F1620" s="269"/>
      <c r="G1620" s="76"/>
      <c r="H1620" s="76"/>
      <c r="I1620" s="269"/>
      <c r="J1620" s="269"/>
      <c r="K1620" s="269"/>
      <c r="L1620" s="269"/>
      <c r="M1620" s="76"/>
      <c r="N1620" s="76"/>
      <c r="O1620" s="76"/>
      <c r="P1620" s="76"/>
    </row>
    <row r="1621" ht="20.25" customHeight="1">
      <c r="A1621" s="665"/>
      <c r="B1621" s="189"/>
      <c r="C1621" s="189"/>
      <c r="D1621" s="189"/>
      <c r="E1621" s="189"/>
      <c r="F1621" s="270"/>
      <c r="G1621" s="76"/>
      <c r="H1621" s="76"/>
      <c r="I1621" s="270"/>
      <c r="J1621" s="270"/>
      <c r="K1621" s="270"/>
      <c r="L1621" s="270"/>
      <c r="M1621" s="76"/>
      <c r="N1621" s="76"/>
      <c r="O1621" s="76"/>
      <c r="P1621" s="76"/>
    </row>
    <row r="1622" ht="20.25" customHeight="1">
      <c r="A1622" s="664"/>
      <c r="B1622" s="190"/>
      <c r="C1622" s="190"/>
      <c r="D1622" s="190"/>
      <c r="E1622" s="190"/>
      <c r="F1622" s="269"/>
      <c r="G1622" s="76"/>
      <c r="H1622" s="76"/>
      <c r="I1622" s="269"/>
      <c r="J1622" s="269"/>
      <c r="K1622" s="269"/>
      <c r="L1622" s="269"/>
      <c r="M1622" s="76"/>
      <c r="N1622" s="76"/>
      <c r="O1622" s="76"/>
      <c r="P1622" s="76"/>
    </row>
    <row r="1623" ht="20.25" customHeight="1">
      <c r="A1623" s="665"/>
      <c r="B1623" s="189"/>
      <c r="C1623" s="189"/>
      <c r="D1623" s="189"/>
      <c r="E1623" s="189"/>
      <c r="F1623" s="270"/>
      <c r="G1623" s="76"/>
      <c r="H1623" s="76"/>
      <c r="I1623" s="270"/>
      <c r="J1623" s="270"/>
      <c r="K1623" s="270"/>
      <c r="L1623" s="270"/>
      <c r="M1623" s="76"/>
      <c r="N1623" s="76"/>
      <c r="O1623" s="76"/>
      <c r="P1623" s="76"/>
    </row>
    <row r="1624" ht="20.25" customHeight="1">
      <c r="A1624" s="664"/>
      <c r="B1624" s="190"/>
      <c r="C1624" s="190"/>
      <c r="D1624" s="190"/>
      <c r="E1624" s="190"/>
      <c r="F1624" s="269"/>
      <c r="G1624" s="76"/>
      <c r="H1624" s="76"/>
      <c r="I1624" s="269"/>
      <c r="J1624" s="269"/>
      <c r="K1624" s="269"/>
      <c r="L1624" s="269"/>
      <c r="M1624" s="76"/>
      <c r="N1624" s="76"/>
      <c r="O1624" s="76"/>
      <c r="P1624" s="76"/>
    </row>
    <row r="1625" ht="20.25" customHeight="1">
      <c r="A1625" s="665"/>
      <c r="B1625" s="189"/>
      <c r="C1625" s="189"/>
      <c r="D1625" s="189"/>
      <c r="E1625" s="189"/>
      <c r="F1625" s="270"/>
      <c r="G1625" s="76"/>
      <c r="H1625" s="76"/>
      <c r="I1625" s="270"/>
      <c r="J1625" s="270"/>
      <c r="K1625" s="270"/>
      <c r="L1625" s="270"/>
      <c r="M1625" s="76"/>
      <c r="N1625" s="76"/>
      <c r="O1625" s="76"/>
      <c r="P1625" s="76"/>
    </row>
    <row r="1626" ht="20.25" customHeight="1">
      <c r="A1626" s="664"/>
      <c r="B1626" s="190"/>
      <c r="C1626" s="190"/>
      <c r="D1626" s="190"/>
      <c r="E1626" s="190"/>
      <c r="F1626" s="269"/>
      <c r="G1626" s="76"/>
      <c r="H1626" s="76"/>
      <c r="I1626" s="269"/>
      <c r="J1626" s="269"/>
      <c r="K1626" s="269"/>
      <c r="L1626" s="269"/>
      <c r="M1626" s="76"/>
      <c r="N1626" s="76"/>
      <c r="O1626" s="76"/>
      <c r="P1626" s="76"/>
    </row>
    <row r="1627" ht="20.25" customHeight="1">
      <c r="A1627" s="665"/>
      <c r="B1627" s="189"/>
      <c r="C1627" s="189"/>
      <c r="D1627" s="189"/>
      <c r="E1627" s="189"/>
      <c r="F1627" s="270"/>
      <c r="G1627" s="76"/>
      <c r="H1627" s="76"/>
      <c r="I1627" s="270"/>
      <c r="J1627" s="270"/>
      <c r="K1627" s="270"/>
      <c r="L1627" s="270"/>
      <c r="M1627" s="76"/>
      <c r="N1627" s="76"/>
      <c r="O1627" s="76"/>
      <c r="P1627" s="76"/>
    </row>
    <row r="1628" ht="20.25" customHeight="1">
      <c r="A1628" s="664"/>
      <c r="B1628" s="190"/>
      <c r="C1628" s="190"/>
      <c r="D1628" s="190"/>
      <c r="E1628" s="190"/>
      <c r="F1628" s="269"/>
      <c r="G1628" s="76"/>
      <c r="H1628" s="76"/>
      <c r="I1628" s="269"/>
      <c r="J1628" s="269"/>
      <c r="K1628" s="269"/>
      <c r="L1628" s="269"/>
      <c r="M1628" s="76"/>
      <c r="N1628" s="76"/>
      <c r="O1628" s="76"/>
      <c r="P1628" s="76"/>
    </row>
    <row r="1629" ht="20.25" customHeight="1">
      <c r="A1629" s="665"/>
      <c r="B1629" s="189"/>
      <c r="C1629" s="189"/>
      <c r="D1629" s="189"/>
      <c r="E1629" s="189"/>
      <c r="F1629" s="270"/>
      <c r="G1629" s="76"/>
      <c r="H1629" s="76"/>
      <c r="I1629" s="270"/>
      <c r="J1629" s="270"/>
      <c r="K1629" s="270"/>
      <c r="L1629" s="270"/>
      <c r="M1629" s="76"/>
      <c r="N1629" s="76"/>
      <c r="O1629" s="76"/>
      <c r="P1629" s="76"/>
    </row>
    <row r="1630" ht="20.25" customHeight="1">
      <c r="A1630" s="664"/>
      <c r="B1630" s="190"/>
      <c r="C1630" s="190"/>
      <c r="D1630" s="190"/>
      <c r="E1630" s="190"/>
      <c r="F1630" s="269"/>
      <c r="G1630" s="76"/>
      <c r="H1630" s="76"/>
      <c r="I1630" s="269"/>
      <c r="J1630" s="269"/>
      <c r="K1630" s="269"/>
      <c r="L1630" s="269"/>
      <c r="M1630" s="76"/>
      <c r="N1630" s="76"/>
      <c r="O1630" s="76"/>
      <c r="P1630" s="76"/>
    </row>
    <row r="1631" ht="20.25" customHeight="1">
      <c r="A1631" s="665"/>
      <c r="B1631" s="189"/>
      <c r="C1631" s="189"/>
      <c r="D1631" s="189"/>
      <c r="E1631" s="189"/>
      <c r="F1631" s="270"/>
      <c r="G1631" s="76"/>
      <c r="H1631" s="76"/>
      <c r="I1631" s="270"/>
      <c r="J1631" s="270"/>
      <c r="K1631" s="270"/>
      <c r="L1631" s="270"/>
      <c r="M1631" s="76"/>
      <c r="N1631" s="76"/>
      <c r="O1631" s="76"/>
      <c r="P1631" s="76"/>
    </row>
    <row r="1632" ht="20.25" customHeight="1">
      <c r="A1632" s="664"/>
      <c r="B1632" s="190"/>
      <c r="C1632" s="190"/>
      <c r="D1632" s="190"/>
      <c r="E1632" s="190"/>
      <c r="F1632" s="269"/>
      <c r="G1632" s="76"/>
      <c r="H1632" s="76"/>
      <c r="I1632" s="269"/>
      <c r="J1632" s="269"/>
      <c r="K1632" s="269"/>
      <c r="L1632" s="269"/>
      <c r="M1632" s="76"/>
      <c r="N1632" s="76"/>
      <c r="O1632" s="76"/>
      <c r="P1632" s="76"/>
    </row>
    <row r="1633" ht="20.25" customHeight="1">
      <c r="A1633" s="665"/>
      <c r="B1633" s="189"/>
      <c r="C1633" s="189"/>
      <c r="D1633" s="189"/>
      <c r="E1633" s="189"/>
      <c r="F1633" s="270"/>
      <c r="G1633" s="76"/>
      <c r="H1633" s="76"/>
      <c r="I1633" s="270"/>
      <c r="J1633" s="270"/>
      <c r="K1633" s="270"/>
      <c r="L1633" s="270"/>
      <c r="M1633" s="76"/>
      <c r="N1633" s="76"/>
      <c r="O1633" s="76"/>
      <c r="P1633" s="76"/>
    </row>
    <row r="1634" ht="20.25" customHeight="1">
      <c r="A1634" s="664"/>
      <c r="B1634" s="190"/>
      <c r="C1634" s="190"/>
      <c r="D1634" s="190"/>
      <c r="E1634" s="190"/>
      <c r="F1634" s="269"/>
      <c r="G1634" s="76"/>
      <c r="H1634" s="76"/>
      <c r="I1634" s="269"/>
      <c r="J1634" s="269"/>
      <c r="K1634" s="269"/>
      <c r="L1634" s="269"/>
      <c r="M1634" s="76"/>
      <c r="N1634" s="76"/>
      <c r="O1634" s="76"/>
      <c r="P1634" s="76"/>
    </row>
    <row r="1635" ht="20.25" customHeight="1">
      <c r="A1635" s="665"/>
      <c r="B1635" s="189"/>
      <c r="C1635" s="189"/>
      <c r="D1635" s="189"/>
      <c r="E1635" s="189"/>
      <c r="F1635" s="270"/>
      <c r="G1635" s="76"/>
      <c r="H1635" s="76"/>
      <c r="I1635" s="270"/>
      <c r="J1635" s="270"/>
      <c r="K1635" s="270"/>
      <c r="L1635" s="270"/>
      <c r="M1635" s="76"/>
      <c r="N1635" s="76"/>
      <c r="O1635" s="76"/>
      <c r="P1635" s="76"/>
    </row>
    <row r="1636" ht="20.25" customHeight="1">
      <c r="A1636" s="664"/>
      <c r="B1636" s="190"/>
      <c r="C1636" s="190"/>
      <c r="D1636" s="190"/>
      <c r="E1636" s="190"/>
      <c r="F1636" s="269"/>
      <c r="G1636" s="76"/>
      <c r="H1636" s="76"/>
      <c r="I1636" s="269"/>
      <c r="J1636" s="269"/>
      <c r="K1636" s="269"/>
      <c r="L1636" s="269"/>
      <c r="M1636" s="76"/>
      <c r="N1636" s="76"/>
      <c r="O1636" s="76"/>
      <c r="P1636" s="76"/>
    </row>
    <row r="1637" ht="20.25" customHeight="1">
      <c r="A1637" s="665"/>
      <c r="B1637" s="189"/>
      <c r="C1637" s="189"/>
      <c r="D1637" s="189"/>
      <c r="E1637" s="189"/>
      <c r="F1637" s="270"/>
      <c r="G1637" s="76"/>
      <c r="H1637" s="76"/>
      <c r="I1637" s="270"/>
      <c r="J1637" s="270"/>
      <c r="K1637" s="270"/>
      <c r="L1637" s="270"/>
      <c r="M1637" s="76"/>
      <c r="N1637" s="76"/>
      <c r="O1637" s="76"/>
      <c r="P1637" s="76"/>
    </row>
    <row r="1638" ht="20.25" customHeight="1">
      <c r="A1638" s="664"/>
      <c r="B1638" s="190"/>
      <c r="C1638" s="190"/>
      <c r="D1638" s="190"/>
      <c r="E1638" s="190"/>
      <c r="F1638" s="269"/>
      <c r="G1638" s="76"/>
      <c r="H1638" s="76"/>
      <c r="I1638" s="269"/>
      <c r="J1638" s="269"/>
      <c r="K1638" s="269"/>
      <c r="L1638" s="269"/>
      <c r="M1638" s="76"/>
      <c r="N1638" s="76"/>
      <c r="O1638" s="76"/>
      <c r="P1638" s="76"/>
    </row>
    <row r="1639" ht="20.25" customHeight="1">
      <c r="A1639" s="665"/>
      <c r="B1639" s="189"/>
      <c r="C1639" s="189"/>
      <c r="D1639" s="189"/>
      <c r="E1639" s="189"/>
      <c r="F1639" s="270"/>
      <c r="G1639" s="76"/>
      <c r="H1639" s="76"/>
      <c r="I1639" s="270"/>
      <c r="J1639" s="270"/>
      <c r="K1639" s="270"/>
      <c r="L1639" s="270"/>
      <c r="M1639" s="76"/>
      <c r="N1639" s="76"/>
      <c r="O1639" s="76"/>
      <c r="P1639" s="76"/>
    </row>
    <row r="1640" ht="20.25" customHeight="1">
      <c r="A1640" s="664"/>
      <c r="B1640" s="190"/>
      <c r="C1640" s="190"/>
      <c r="D1640" s="190"/>
      <c r="E1640" s="190"/>
      <c r="F1640" s="269"/>
      <c r="G1640" s="76"/>
      <c r="H1640" s="76"/>
      <c r="I1640" s="269"/>
      <c r="J1640" s="269"/>
      <c r="K1640" s="269"/>
      <c r="L1640" s="269"/>
      <c r="M1640" s="76"/>
      <c r="N1640" s="76"/>
      <c r="O1640" s="76"/>
      <c r="P1640" s="76"/>
    </row>
    <row r="1641" ht="20.25" customHeight="1">
      <c r="A1641" s="665"/>
      <c r="B1641" s="189"/>
      <c r="C1641" s="189"/>
      <c r="D1641" s="189"/>
      <c r="E1641" s="189"/>
      <c r="F1641" s="270"/>
      <c r="G1641" s="76"/>
      <c r="H1641" s="76"/>
      <c r="I1641" s="270"/>
      <c r="J1641" s="270"/>
      <c r="K1641" s="270"/>
      <c r="L1641" s="270"/>
      <c r="M1641" s="76"/>
      <c r="N1641" s="76"/>
      <c r="O1641" s="76"/>
      <c r="P1641" s="76"/>
    </row>
    <row r="1642" ht="20.25" customHeight="1">
      <c r="A1642" s="664"/>
      <c r="B1642" s="190"/>
      <c r="C1642" s="190"/>
      <c r="D1642" s="190"/>
      <c r="E1642" s="190"/>
      <c r="F1642" s="269"/>
      <c r="G1642" s="76"/>
      <c r="H1642" s="76"/>
      <c r="I1642" s="269"/>
      <c r="J1642" s="269"/>
      <c r="K1642" s="269"/>
      <c r="L1642" s="269"/>
      <c r="M1642" s="76"/>
      <c r="N1642" s="76"/>
      <c r="O1642" s="76"/>
      <c r="P1642" s="76"/>
    </row>
    <row r="1643" ht="20.25" customHeight="1">
      <c r="A1643" s="665"/>
      <c r="B1643" s="189"/>
      <c r="C1643" s="189"/>
      <c r="D1643" s="189"/>
      <c r="E1643" s="189"/>
      <c r="F1643" s="270"/>
      <c r="G1643" s="76"/>
      <c r="H1643" s="76"/>
      <c r="I1643" s="270"/>
      <c r="J1643" s="270"/>
      <c r="K1643" s="270"/>
      <c r="L1643" s="270"/>
      <c r="M1643" s="76"/>
      <c r="N1643" s="76"/>
      <c r="O1643" s="76"/>
      <c r="P1643" s="76"/>
    </row>
    <row r="1644" ht="20.25" customHeight="1">
      <c r="A1644" s="664"/>
      <c r="B1644" s="190"/>
      <c r="C1644" s="190"/>
      <c r="D1644" s="190"/>
      <c r="E1644" s="190"/>
      <c r="F1644" s="269"/>
      <c r="G1644" s="76"/>
      <c r="H1644" s="76"/>
      <c r="I1644" s="269"/>
      <c r="J1644" s="269"/>
      <c r="K1644" s="269"/>
      <c r="L1644" s="269"/>
      <c r="M1644" s="76"/>
      <c r="N1644" s="76"/>
      <c r="O1644" s="76"/>
      <c r="P1644" s="76"/>
    </row>
    <row r="1645" ht="20.25" customHeight="1">
      <c r="A1645" s="665"/>
      <c r="B1645" s="189"/>
      <c r="C1645" s="189"/>
      <c r="D1645" s="189"/>
      <c r="E1645" s="189"/>
      <c r="F1645" s="270"/>
      <c r="G1645" s="76"/>
      <c r="H1645" s="76"/>
      <c r="I1645" s="270"/>
      <c r="J1645" s="270"/>
      <c r="K1645" s="270"/>
      <c r="L1645" s="270"/>
      <c r="M1645" s="76"/>
      <c r="N1645" s="76"/>
      <c r="O1645" s="76"/>
      <c r="P1645" s="76"/>
    </row>
    <row r="1646" ht="20.25" customHeight="1">
      <c r="A1646" s="664"/>
      <c r="B1646" s="190"/>
      <c r="C1646" s="190"/>
      <c r="D1646" s="190"/>
      <c r="E1646" s="190"/>
      <c r="F1646" s="269"/>
      <c r="G1646" s="76"/>
      <c r="H1646" s="76"/>
      <c r="I1646" s="269"/>
      <c r="J1646" s="269"/>
      <c r="K1646" s="269"/>
      <c r="L1646" s="269"/>
      <c r="M1646" s="76"/>
      <c r="N1646" s="76"/>
      <c r="O1646" s="76"/>
      <c r="P1646" s="76"/>
    </row>
    <row r="1647" ht="20.25" customHeight="1">
      <c r="A1647" s="665"/>
      <c r="B1647" s="189"/>
      <c r="C1647" s="189"/>
      <c r="D1647" s="189"/>
      <c r="E1647" s="189"/>
      <c r="F1647" s="270"/>
      <c r="G1647" s="76"/>
      <c r="H1647" s="76"/>
      <c r="I1647" s="270"/>
      <c r="J1647" s="270"/>
      <c r="K1647" s="270"/>
      <c r="L1647" s="270"/>
      <c r="M1647" s="76"/>
      <c r="N1647" s="76"/>
      <c r="O1647" s="76"/>
      <c r="P1647" s="76"/>
    </row>
    <row r="1648" ht="20.25" customHeight="1">
      <c r="A1648" s="664"/>
      <c r="B1648" s="190"/>
      <c r="C1648" s="190"/>
      <c r="D1648" s="190"/>
      <c r="E1648" s="190"/>
      <c r="F1648" s="269"/>
      <c r="G1648" s="76"/>
      <c r="H1648" s="76"/>
      <c r="I1648" s="269"/>
      <c r="J1648" s="269"/>
      <c r="K1648" s="269"/>
      <c r="L1648" s="269"/>
      <c r="M1648" s="76"/>
      <c r="N1648" s="76"/>
      <c r="O1648" s="76"/>
      <c r="P1648" s="76"/>
    </row>
    <row r="1649" ht="20.25" customHeight="1">
      <c r="A1649" s="665"/>
      <c r="B1649" s="189"/>
      <c r="C1649" s="189"/>
      <c r="D1649" s="189"/>
      <c r="E1649" s="189"/>
      <c r="F1649" s="270"/>
      <c r="G1649" s="76"/>
      <c r="H1649" s="76"/>
      <c r="I1649" s="270"/>
      <c r="J1649" s="270"/>
      <c r="K1649" s="270"/>
      <c r="L1649" s="270"/>
      <c r="M1649" s="76"/>
      <c r="N1649" s="76"/>
      <c r="O1649" s="76"/>
      <c r="P1649" s="76"/>
    </row>
    <row r="1650" ht="20.25" customHeight="1">
      <c r="A1650" s="664"/>
      <c r="B1650" s="190"/>
      <c r="C1650" s="190"/>
      <c r="D1650" s="190"/>
      <c r="E1650" s="190"/>
      <c r="F1650" s="269"/>
      <c r="G1650" s="76"/>
      <c r="H1650" s="76"/>
      <c r="I1650" s="269"/>
      <c r="J1650" s="269"/>
      <c r="K1650" s="269"/>
      <c r="L1650" s="269"/>
      <c r="M1650" s="76"/>
      <c r="N1650" s="76"/>
      <c r="O1650" s="76"/>
      <c r="P1650" s="76"/>
    </row>
    <row r="1651" ht="20.25" customHeight="1">
      <c r="A1651" s="665"/>
      <c r="B1651" s="189"/>
      <c r="C1651" s="189"/>
      <c r="D1651" s="189"/>
      <c r="E1651" s="189"/>
      <c r="F1651" s="270"/>
      <c r="G1651" s="76"/>
      <c r="H1651" s="76"/>
      <c r="I1651" s="270"/>
      <c r="J1651" s="270"/>
      <c r="K1651" s="270"/>
      <c r="L1651" s="270"/>
      <c r="M1651" s="76"/>
      <c r="N1651" s="76"/>
      <c r="O1651" s="76"/>
      <c r="P1651" s="76"/>
    </row>
    <row r="1652" ht="20.25" customHeight="1">
      <c r="A1652" s="664"/>
      <c r="B1652" s="190"/>
      <c r="C1652" s="190"/>
      <c r="D1652" s="190"/>
      <c r="E1652" s="190"/>
      <c r="F1652" s="269"/>
      <c r="G1652" s="76"/>
      <c r="H1652" s="76"/>
      <c r="I1652" s="269"/>
      <c r="J1652" s="269"/>
      <c r="K1652" s="269"/>
      <c r="L1652" s="269"/>
      <c r="M1652" s="76"/>
      <c r="N1652" s="76"/>
      <c r="O1652" s="76"/>
      <c r="P1652" s="76"/>
    </row>
    <row r="1653" ht="20.25" customHeight="1">
      <c r="A1653" s="665"/>
      <c r="B1653" s="189"/>
      <c r="C1653" s="189"/>
      <c r="D1653" s="189"/>
      <c r="E1653" s="189"/>
      <c r="F1653" s="270"/>
      <c r="G1653" s="76"/>
      <c r="H1653" s="76"/>
      <c r="I1653" s="270"/>
      <c r="J1653" s="270"/>
      <c r="K1653" s="270"/>
      <c r="L1653" s="270"/>
      <c r="M1653" s="76"/>
      <c r="N1653" s="76"/>
      <c r="O1653" s="76"/>
      <c r="P1653" s="76"/>
    </row>
    <row r="1654" ht="20.25" customHeight="1">
      <c r="A1654" s="664"/>
      <c r="B1654" s="190"/>
      <c r="C1654" s="190"/>
      <c r="D1654" s="190"/>
      <c r="E1654" s="190"/>
      <c r="F1654" s="269"/>
      <c r="G1654" s="76"/>
      <c r="H1654" s="76"/>
      <c r="I1654" s="269"/>
      <c r="J1654" s="269"/>
      <c r="K1654" s="269"/>
      <c r="L1654" s="269"/>
      <c r="M1654" s="76"/>
      <c r="N1654" s="76"/>
      <c r="O1654" s="76"/>
      <c r="P1654" s="76"/>
    </row>
    <row r="1655" ht="20.25" customHeight="1">
      <c r="A1655" s="665"/>
      <c r="B1655" s="189"/>
      <c r="C1655" s="189"/>
      <c r="D1655" s="189"/>
      <c r="E1655" s="189"/>
      <c r="F1655" s="270"/>
      <c r="G1655" s="76"/>
      <c r="H1655" s="76"/>
      <c r="I1655" s="270"/>
      <c r="J1655" s="270"/>
      <c r="K1655" s="270"/>
      <c r="L1655" s="270"/>
      <c r="M1655" s="76"/>
      <c r="N1655" s="76"/>
      <c r="O1655" s="76"/>
      <c r="P1655" s="76"/>
    </row>
    <row r="1656" ht="20.25" customHeight="1">
      <c r="A1656" s="664"/>
      <c r="B1656" s="190"/>
      <c r="C1656" s="190"/>
      <c r="D1656" s="190"/>
      <c r="E1656" s="190"/>
      <c r="F1656" s="269"/>
      <c r="G1656" s="76"/>
      <c r="H1656" s="76"/>
      <c r="I1656" s="269"/>
      <c r="J1656" s="269"/>
      <c r="K1656" s="269"/>
      <c r="L1656" s="269"/>
      <c r="M1656" s="76"/>
      <c r="N1656" s="76"/>
      <c r="O1656" s="76"/>
      <c r="P1656" s="76"/>
    </row>
    <row r="1657" ht="20.25" customHeight="1">
      <c r="A1657" s="665"/>
      <c r="B1657" s="189"/>
      <c r="C1657" s="189"/>
      <c r="D1657" s="189"/>
      <c r="E1657" s="189"/>
      <c r="F1657" s="270"/>
      <c r="G1657" s="76"/>
      <c r="H1657" s="76"/>
      <c r="I1657" s="270"/>
      <c r="J1657" s="270"/>
      <c r="K1657" s="270"/>
      <c r="L1657" s="270"/>
      <c r="M1657" s="76"/>
      <c r="N1657" s="76"/>
      <c r="O1657" s="76"/>
      <c r="P1657" s="76"/>
    </row>
    <row r="1658" ht="20.25" customHeight="1">
      <c r="A1658" s="664"/>
      <c r="B1658" s="190"/>
      <c r="C1658" s="190"/>
      <c r="D1658" s="190"/>
      <c r="E1658" s="190"/>
      <c r="F1658" s="269"/>
      <c r="G1658" s="76"/>
      <c r="H1658" s="76"/>
      <c r="I1658" s="269"/>
      <c r="J1658" s="269"/>
      <c r="K1658" s="269"/>
      <c r="L1658" s="269"/>
      <c r="M1658" s="76"/>
      <c r="N1658" s="76"/>
      <c r="O1658" s="76"/>
      <c r="P1658" s="76"/>
    </row>
    <row r="1659" ht="20.25" customHeight="1">
      <c r="A1659" s="665"/>
      <c r="B1659" s="189"/>
      <c r="C1659" s="189"/>
      <c r="D1659" s="189"/>
      <c r="E1659" s="189"/>
      <c r="F1659" s="270"/>
      <c r="G1659" s="76"/>
      <c r="H1659" s="76"/>
      <c r="I1659" s="270"/>
      <c r="J1659" s="270"/>
      <c r="K1659" s="270"/>
      <c r="L1659" s="270"/>
      <c r="M1659" s="76"/>
      <c r="N1659" s="76"/>
      <c r="O1659" s="76"/>
      <c r="P1659" s="76"/>
    </row>
    <row r="1660" ht="20.25" customHeight="1">
      <c r="A1660" s="664"/>
      <c r="B1660" s="190"/>
      <c r="C1660" s="190"/>
      <c r="D1660" s="190"/>
      <c r="E1660" s="190"/>
      <c r="F1660" s="269"/>
      <c r="G1660" s="76"/>
      <c r="H1660" s="76"/>
      <c r="I1660" s="269"/>
      <c r="J1660" s="269"/>
      <c r="K1660" s="269"/>
      <c r="L1660" s="269"/>
      <c r="M1660" s="76"/>
      <c r="N1660" s="76"/>
      <c r="O1660" s="76"/>
      <c r="P1660" s="76"/>
    </row>
    <row r="1661" ht="20.25" customHeight="1">
      <c r="A1661" s="665"/>
      <c r="B1661" s="189"/>
      <c r="C1661" s="189"/>
      <c r="D1661" s="189"/>
      <c r="E1661" s="189"/>
      <c r="F1661" s="270"/>
      <c r="G1661" s="76"/>
      <c r="H1661" s="76"/>
      <c r="I1661" s="270"/>
      <c r="J1661" s="270"/>
      <c r="K1661" s="270"/>
      <c r="L1661" s="270"/>
      <c r="M1661" s="76"/>
      <c r="N1661" s="76"/>
      <c r="O1661" s="76"/>
      <c r="P1661" s="76"/>
    </row>
    <row r="1662" ht="20.25" customHeight="1">
      <c r="A1662" s="664"/>
      <c r="B1662" s="190"/>
      <c r="C1662" s="190"/>
      <c r="D1662" s="190"/>
      <c r="E1662" s="190"/>
      <c r="F1662" s="269"/>
      <c r="G1662" s="76"/>
      <c r="H1662" s="76"/>
      <c r="I1662" s="269"/>
      <c r="J1662" s="269"/>
      <c r="K1662" s="269"/>
      <c r="L1662" s="269"/>
      <c r="M1662" s="76"/>
      <c r="N1662" s="76"/>
      <c r="O1662" s="76"/>
      <c r="P1662" s="76"/>
    </row>
    <row r="1663" ht="20.25" customHeight="1">
      <c r="A1663" s="665"/>
      <c r="B1663" s="189"/>
      <c r="C1663" s="189"/>
      <c r="D1663" s="189"/>
      <c r="E1663" s="189"/>
      <c r="F1663" s="270"/>
      <c r="G1663" s="76"/>
      <c r="H1663" s="76"/>
      <c r="I1663" s="270"/>
      <c r="J1663" s="270"/>
      <c r="K1663" s="270"/>
      <c r="L1663" s="270"/>
      <c r="M1663" s="76"/>
      <c r="N1663" s="76"/>
      <c r="O1663" s="76"/>
      <c r="P1663" s="76"/>
    </row>
    <row r="1664" ht="20.25" customHeight="1">
      <c r="A1664" s="664"/>
      <c r="B1664" s="190"/>
      <c r="C1664" s="190"/>
      <c r="D1664" s="190"/>
      <c r="E1664" s="190"/>
      <c r="F1664" s="269"/>
      <c r="G1664" s="76"/>
      <c r="H1664" s="76"/>
      <c r="I1664" s="269"/>
      <c r="J1664" s="269"/>
      <c r="K1664" s="269"/>
      <c r="L1664" s="269"/>
      <c r="M1664" s="76"/>
      <c r="N1664" s="76"/>
      <c r="O1664" s="76"/>
      <c r="P1664" s="76"/>
    </row>
    <row r="1665" ht="20.25" customHeight="1">
      <c r="A1665" s="665"/>
      <c r="B1665" s="189"/>
      <c r="C1665" s="189"/>
      <c r="D1665" s="189"/>
      <c r="E1665" s="189"/>
      <c r="F1665" s="270"/>
      <c r="G1665" s="76"/>
      <c r="H1665" s="76"/>
      <c r="I1665" s="270"/>
      <c r="J1665" s="270"/>
      <c r="K1665" s="270"/>
      <c r="L1665" s="270"/>
      <c r="M1665" s="76"/>
      <c r="N1665" s="76"/>
      <c r="O1665" s="76"/>
      <c r="P1665" s="76"/>
    </row>
    <row r="1666" ht="20.25" customHeight="1">
      <c r="A1666" s="664"/>
      <c r="B1666" s="190"/>
      <c r="C1666" s="190"/>
      <c r="D1666" s="190"/>
      <c r="E1666" s="190"/>
      <c r="F1666" s="269"/>
      <c r="G1666" s="76"/>
      <c r="H1666" s="76"/>
      <c r="I1666" s="269"/>
      <c r="J1666" s="269"/>
      <c r="K1666" s="269"/>
      <c r="L1666" s="269"/>
      <c r="M1666" s="76"/>
      <c r="N1666" s="76"/>
      <c r="O1666" s="76"/>
      <c r="P1666" s="76"/>
    </row>
    <row r="1667" ht="20.25" customHeight="1">
      <c r="A1667" s="665"/>
      <c r="B1667" s="189"/>
      <c r="C1667" s="189"/>
      <c r="D1667" s="189"/>
      <c r="E1667" s="189"/>
      <c r="F1667" s="270"/>
      <c r="G1667" s="76"/>
      <c r="H1667" s="76"/>
      <c r="I1667" s="270"/>
      <c r="J1667" s="270"/>
      <c r="K1667" s="270"/>
      <c r="L1667" s="270"/>
      <c r="M1667" s="76"/>
      <c r="N1667" s="76"/>
      <c r="O1667" s="76"/>
      <c r="P1667" s="76"/>
    </row>
    <row r="1668" ht="20.25" customHeight="1">
      <c r="A1668" s="664"/>
      <c r="B1668" s="190"/>
      <c r="C1668" s="190"/>
      <c r="D1668" s="190"/>
      <c r="E1668" s="190"/>
      <c r="F1668" s="269"/>
      <c r="G1668" s="76"/>
      <c r="H1668" s="76"/>
      <c r="I1668" s="269"/>
      <c r="J1668" s="269"/>
      <c r="K1668" s="269"/>
      <c r="L1668" s="269"/>
      <c r="M1668" s="76"/>
      <c r="N1668" s="76"/>
      <c r="O1668" s="76"/>
      <c r="P1668" s="76"/>
    </row>
    <row r="1669" ht="20.25" customHeight="1">
      <c r="A1669" s="665"/>
      <c r="B1669" s="189"/>
      <c r="C1669" s="189"/>
      <c r="D1669" s="189"/>
      <c r="E1669" s="189"/>
      <c r="F1669" s="270"/>
      <c r="G1669" s="76"/>
      <c r="H1669" s="76"/>
      <c r="I1669" s="270"/>
      <c r="J1669" s="270"/>
      <c r="K1669" s="270"/>
      <c r="L1669" s="270"/>
      <c r="M1669" s="76"/>
      <c r="N1669" s="76"/>
      <c r="O1669" s="76"/>
      <c r="P1669" s="76"/>
    </row>
    <row r="1670" ht="20.25" customHeight="1">
      <c r="A1670" s="664"/>
      <c r="B1670" s="190"/>
      <c r="C1670" s="190"/>
      <c r="D1670" s="190"/>
      <c r="E1670" s="190"/>
      <c r="F1670" s="269"/>
      <c r="G1670" s="76"/>
      <c r="H1670" s="76"/>
      <c r="I1670" s="269"/>
      <c r="J1670" s="269"/>
      <c r="K1670" s="269"/>
      <c r="L1670" s="269"/>
      <c r="M1670" s="76"/>
      <c r="N1670" s="76"/>
      <c r="O1670" s="76"/>
      <c r="P1670" s="76"/>
    </row>
    <row r="1671" ht="20.25" customHeight="1">
      <c r="A1671" s="665"/>
      <c r="B1671" s="189"/>
      <c r="C1671" s="189"/>
      <c r="D1671" s="189"/>
      <c r="E1671" s="189"/>
      <c r="F1671" s="270"/>
      <c r="G1671" s="76"/>
      <c r="H1671" s="76"/>
      <c r="I1671" s="270"/>
      <c r="J1671" s="270"/>
      <c r="K1671" s="270"/>
      <c r="L1671" s="270"/>
      <c r="M1671" s="76"/>
      <c r="N1671" s="76"/>
      <c r="O1671" s="76"/>
      <c r="P1671" s="76"/>
    </row>
    <row r="1672" ht="20.25" customHeight="1">
      <c r="A1672" s="664"/>
      <c r="B1672" s="190"/>
      <c r="C1672" s="190"/>
      <c r="D1672" s="190"/>
      <c r="E1672" s="190"/>
      <c r="F1672" s="269"/>
      <c r="G1672" s="76"/>
      <c r="H1672" s="76"/>
      <c r="I1672" s="269"/>
      <c r="J1672" s="269"/>
      <c r="K1672" s="269"/>
      <c r="L1672" s="269"/>
      <c r="M1672" s="76"/>
      <c r="N1672" s="76"/>
      <c r="O1672" s="76"/>
      <c r="P1672" s="76"/>
    </row>
    <row r="1673" ht="20.25" customHeight="1">
      <c r="A1673" s="665"/>
      <c r="B1673" s="189"/>
      <c r="C1673" s="189"/>
      <c r="D1673" s="189"/>
      <c r="E1673" s="189"/>
      <c r="F1673" s="270"/>
      <c r="G1673" s="76"/>
      <c r="H1673" s="76"/>
      <c r="I1673" s="270"/>
      <c r="J1673" s="270"/>
      <c r="K1673" s="270"/>
      <c r="L1673" s="270"/>
      <c r="M1673" s="76"/>
      <c r="N1673" s="76"/>
      <c r="O1673" s="76"/>
      <c r="P1673" s="76"/>
    </row>
    <row r="1674" ht="20.25" customHeight="1">
      <c r="A1674" s="664"/>
      <c r="B1674" s="190"/>
      <c r="C1674" s="190"/>
      <c r="D1674" s="190"/>
      <c r="E1674" s="190"/>
      <c r="F1674" s="269"/>
      <c r="G1674" s="76"/>
      <c r="H1674" s="76"/>
      <c r="I1674" s="269"/>
      <c r="J1674" s="269"/>
      <c r="K1674" s="269"/>
      <c r="L1674" s="269"/>
      <c r="M1674" s="76"/>
      <c r="N1674" s="76"/>
      <c r="O1674" s="76"/>
      <c r="P1674" s="76"/>
    </row>
    <row r="1675" ht="20.25" customHeight="1">
      <c r="A1675" s="665"/>
      <c r="B1675" s="189"/>
      <c r="C1675" s="189"/>
      <c r="D1675" s="189"/>
      <c r="E1675" s="189"/>
      <c r="F1675" s="270"/>
      <c r="G1675" s="76"/>
      <c r="H1675" s="76"/>
      <c r="I1675" s="270"/>
      <c r="J1675" s="270"/>
      <c r="K1675" s="270"/>
      <c r="L1675" s="270"/>
      <c r="M1675" s="76"/>
      <c r="N1675" s="76"/>
      <c r="O1675" s="76"/>
      <c r="P1675" s="76"/>
    </row>
    <row r="1676" ht="20.25" customHeight="1">
      <c r="A1676" s="664"/>
      <c r="B1676" s="190"/>
      <c r="C1676" s="190"/>
      <c r="D1676" s="190"/>
      <c r="E1676" s="190"/>
      <c r="F1676" s="269"/>
      <c r="G1676" s="76"/>
      <c r="H1676" s="76"/>
      <c r="I1676" s="269"/>
      <c r="J1676" s="269"/>
      <c r="K1676" s="269"/>
      <c r="L1676" s="269"/>
      <c r="M1676" s="76"/>
      <c r="N1676" s="76"/>
      <c r="O1676" s="76"/>
      <c r="P1676" s="76"/>
    </row>
    <row r="1677" ht="20.25" customHeight="1">
      <c r="A1677" s="665"/>
      <c r="B1677" s="189"/>
      <c r="C1677" s="189"/>
      <c r="D1677" s="189"/>
      <c r="E1677" s="189"/>
      <c r="F1677" s="270"/>
      <c r="G1677" s="76"/>
      <c r="H1677" s="76"/>
      <c r="I1677" s="270"/>
      <c r="J1677" s="270"/>
      <c r="K1677" s="270"/>
      <c r="L1677" s="270"/>
      <c r="M1677" s="76"/>
      <c r="N1677" s="76"/>
      <c r="O1677" s="76"/>
      <c r="P1677" s="76"/>
    </row>
    <row r="1678" ht="20.25" customHeight="1">
      <c r="A1678" s="664"/>
      <c r="B1678" s="190"/>
      <c r="C1678" s="190"/>
      <c r="D1678" s="190"/>
      <c r="E1678" s="190"/>
      <c r="F1678" s="269"/>
      <c r="G1678" s="76"/>
      <c r="H1678" s="76"/>
      <c r="I1678" s="269"/>
      <c r="J1678" s="269"/>
      <c r="K1678" s="269"/>
      <c r="L1678" s="269"/>
      <c r="M1678" s="76"/>
      <c r="N1678" s="76"/>
      <c r="O1678" s="76"/>
      <c r="P1678" s="76"/>
    </row>
    <row r="1679" ht="20.25" customHeight="1">
      <c r="A1679" s="665"/>
      <c r="B1679" s="189"/>
      <c r="C1679" s="189"/>
      <c r="D1679" s="189"/>
      <c r="E1679" s="189"/>
      <c r="F1679" s="270"/>
      <c r="G1679" s="76"/>
      <c r="H1679" s="76"/>
      <c r="I1679" s="270"/>
      <c r="J1679" s="270"/>
      <c r="K1679" s="270"/>
      <c r="L1679" s="270"/>
      <c r="M1679" s="76"/>
      <c r="N1679" s="76"/>
      <c r="O1679" s="76"/>
      <c r="P1679" s="76"/>
    </row>
    <row r="1680" ht="20.25" customHeight="1">
      <c r="A1680" s="664"/>
      <c r="B1680" s="190"/>
      <c r="C1680" s="190"/>
      <c r="D1680" s="190"/>
      <c r="E1680" s="190"/>
      <c r="F1680" s="269"/>
      <c r="G1680" s="76"/>
      <c r="H1680" s="76"/>
      <c r="I1680" s="269"/>
      <c r="J1680" s="269"/>
      <c r="K1680" s="269"/>
      <c r="L1680" s="269"/>
      <c r="M1680" s="76"/>
      <c r="N1680" s="76"/>
      <c r="O1680" s="76"/>
      <c r="P1680" s="76"/>
    </row>
    <row r="1681" ht="20.25" customHeight="1">
      <c r="A1681" s="665"/>
      <c r="B1681" s="189"/>
      <c r="C1681" s="189"/>
      <c r="D1681" s="189"/>
      <c r="E1681" s="189"/>
      <c r="F1681" s="270"/>
      <c r="G1681" s="76"/>
      <c r="H1681" s="76"/>
      <c r="I1681" s="270"/>
      <c r="J1681" s="270"/>
      <c r="K1681" s="270"/>
      <c r="L1681" s="270"/>
      <c r="M1681" s="76"/>
      <c r="N1681" s="76"/>
      <c r="O1681" s="76"/>
      <c r="P1681" s="76"/>
    </row>
    <row r="1682" ht="20.25" customHeight="1">
      <c r="A1682" s="664"/>
      <c r="B1682" s="190"/>
      <c r="C1682" s="190"/>
      <c r="D1682" s="190"/>
      <c r="E1682" s="190"/>
      <c r="F1682" s="269"/>
      <c r="G1682" s="76"/>
      <c r="H1682" s="76"/>
      <c r="I1682" s="269"/>
      <c r="J1682" s="269"/>
      <c r="K1682" s="269"/>
      <c r="L1682" s="269"/>
      <c r="M1682" s="76"/>
      <c r="N1682" s="76"/>
      <c r="O1682" s="76"/>
      <c r="P1682" s="76"/>
    </row>
    <row r="1683" ht="20.25" customHeight="1">
      <c r="A1683" s="665"/>
      <c r="B1683" s="189"/>
      <c r="C1683" s="189"/>
      <c r="D1683" s="189"/>
      <c r="E1683" s="189"/>
      <c r="F1683" s="270"/>
      <c r="G1683" s="76"/>
      <c r="H1683" s="76"/>
      <c r="I1683" s="270"/>
      <c r="J1683" s="270"/>
      <c r="K1683" s="270"/>
      <c r="L1683" s="270"/>
      <c r="M1683" s="76"/>
      <c r="N1683" s="76"/>
      <c r="O1683" s="76"/>
      <c r="P1683" s="76"/>
    </row>
    <row r="1684" ht="20.25" customHeight="1">
      <c r="A1684" s="664"/>
      <c r="B1684" s="190"/>
      <c r="C1684" s="190"/>
      <c r="D1684" s="190"/>
      <c r="E1684" s="190"/>
      <c r="F1684" s="269"/>
      <c r="G1684" s="76"/>
      <c r="H1684" s="76"/>
      <c r="I1684" s="269"/>
      <c r="J1684" s="269"/>
      <c r="K1684" s="269"/>
      <c r="L1684" s="269"/>
      <c r="M1684" s="76"/>
      <c r="N1684" s="76"/>
      <c r="O1684" s="76"/>
      <c r="P1684" s="76"/>
    </row>
    <row r="1685" ht="20.25" customHeight="1">
      <c r="A1685" s="665"/>
      <c r="B1685" s="189"/>
      <c r="C1685" s="189"/>
      <c r="D1685" s="189"/>
      <c r="E1685" s="189"/>
      <c r="F1685" s="270"/>
      <c r="G1685" s="76"/>
      <c r="H1685" s="76"/>
      <c r="I1685" s="270"/>
      <c r="J1685" s="270"/>
      <c r="K1685" s="270"/>
      <c r="L1685" s="270"/>
      <c r="M1685" s="76"/>
      <c r="N1685" s="76"/>
      <c r="O1685" s="76"/>
      <c r="P1685" s="76"/>
    </row>
    <row r="1686" ht="20.25" customHeight="1">
      <c r="A1686" s="664"/>
      <c r="B1686" s="190"/>
      <c r="C1686" s="190"/>
      <c r="D1686" s="190"/>
      <c r="E1686" s="190"/>
      <c r="F1686" s="269"/>
      <c r="G1686" s="76"/>
      <c r="H1686" s="76"/>
      <c r="I1686" s="269"/>
      <c r="J1686" s="269"/>
      <c r="K1686" s="269"/>
      <c r="L1686" s="269"/>
      <c r="M1686" s="76"/>
      <c r="N1686" s="76"/>
      <c r="O1686" s="76"/>
      <c r="P1686" s="76"/>
    </row>
    <row r="1687" ht="20.25" customHeight="1">
      <c r="A1687" s="665"/>
      <c r="B1687" s="189"/>
      <c r="C1687" s="189"/>
      <c r="D1687" s="189"/>
      <c r="E1687" s="189"/>
      <c r="F1687" s="270"/>
      <c r="G1687" s="76"/>
      <c r="H1687" s="76"/>
      <c r="I1687" s="270"/>
      <c r="J1687" s="270"/>
      <c r="K1687" s="270"/>
      <c r="L1687" s="270"/>
      <c r="M1687" s="76"/>
      <c r="N1687" s="76"/>
      <c r="O1687" s="76"/>
      <c r="P1687" s="76"/>
    </row>
    <row r="1688" ht="20.25" customHeight="1">
      <c r="A1688" s="664"/>
      <c r="B1688" s="190"/>
      <c r="C1688" s="190"/>
      <c r="D1688" s="190"/>
      <c r="E1688" s="190"/>
      <c r="F1688" s="269"/>
      <c r="G1688" s="76"/>
      <c r="H1688" s="76"/>
      <c r="I1688" s="269"/>
      <c r="J1688" s="269"/>
      <c r="K1688" s="269"/>
      <c r="L1688" s="269"/>
      <c r="M1688" s="76"/>
      <c r="N1688" s="76"/>
      <c r="O1688" s="76"/>
      <c r="P1688" s="76"/>
    </row>
    <row r="1689" ht="20.25" customHeight="1">
      <c r="A1689" s="665"/>
      <c r="B1689" s="189"/>
      <c r="C1689" s="189"/>
      <c r="D1689" s="189"/>
      <c r="E1689" s="189"/>
      <c r="F1689" s="270"/>
      <c r="G1689" s="76"/>
      <c r="H1689" s="76"/>
      <c r="I1689" s="270"/>
      <c r="J1689" s="270"/>
      <c r="K1689" s="270"/>
      <c r="L1689" s="270"/>
      <c r="M1689" s="76"/>
      <c r="N1689" s="76"/>
      <c r="O1689" s="76"/>
      <c r="P1689" s="76"/>
    </row>
    <row r="1690" ht="20.25" customHeight="1">
      <c r="A1690" s="664"/>
      <c r="B1690" s="190"/>
      <c r="C1690" s="190"/>
      <c r="D1690" s="190"/>
      <c r="E1690" s="190"/>
      <c r="F1690" s="269"/>
      <c r="G1690" s="76"/>
      <c r="H1690" s="76"/>
      <c r="I1690" s="269"/>
      <c r="J1690" s="269"/>
      <c r="K1690" s="269"/>
      <c r="L1690" s="269"/>
      <c r="M1690" s="76"/>
      <c r="N1690" s="76"/>
      <c r="O1690" s="76"/>
      <c r="P1690" s="76"/>
    </row>
    <row r="1691" ht="20.25" customHeight="1">
      <c r="A1691" s="665"/>
      <c r="B1691" s="189"/>
      <c r="C1691" s="189"/>
      <c r="D1691" s="189"/>
      <c r="E1691" s="189"/>
      <c r="F1691" s="270"/>
      <c r="G1691" s="76"/>
      <c r="H1691" s="76"/>
      <c r="I1691" s="270"/>
      <c r="J1691" s="270"/>
      <c r="K1691" s="270"/>
      <c r="L1691" s="270"/>
      <c r="M1691" s="76"/>
      <c r="N1691" s="76"/>
      <c r="O1691" s="76"/>
      <c r="P1691" s="76"/>
    </row>
    <row r="1692" ht="20.25" customHeight="1">
      <c r="A1692" s="664"/>
      <c r="B1692" s="190"/>
      <c r="C1692" s="190"/>
      <c r="D1692" s="190"/>
      <c r="E1692" s="190"/>
      <c r="F1692" s="269"/>
      <c r="G1692" s="76"/>
      <c r="H1692" s="76"/>
      <c r="I1692" s="269"/>
      <c r="J1692" s="269"/>
      <c r="K1692" s="269"/>
      <c r="L1692" s="269"/>
      <c r="M1692" s="76"/>
      <c r="N1692" s="76"/>
      <c r="O1692" s="76"/>
      <c r="P1692" s="76"/>
    </row>
    <row r="1693" ht="20.25" customHeight="1">
      <c r="A1693" s="665"/>
      <c r="B1693" s="189"/>
      <c r="C1693" s="189"/>
      <c r="D1693" s="189"/>
      <c r="E1693" s="189"/>
      <c r="F1693" s="270"/>
      <c r="G1693" s="76"/>
      <c r="H1693" s="76"/>
      <c r="I1693" s="270"/>
      <c r="J1693" s="270"/>
      <c r="K1693" s="270"/>
      <c r="L1693" s="270"/>
      <c r="M1693" s="76"/>
      <c r="N1693" s="76"/>
      <c r="O1693" s="76"/>
      <c r="P1693" s="76"/>
    </row>
    <row r="1694" ht="20.25" customHeight="1">
      <c r="A1694" s="664"/>
      <c r="B1694" s="190"/>
      <c r="C1694" s="190"/>
      <c r="D1694" s="190"/>
      <c r="E1694" s="190"/>
      <c r="F1694" s="269"/>
      <c r="G1694" s="76"/>
      <c r="H1694" s="76"/>
      <c r="I1694" s="269"/>
      <c r="J1694" s="269"/>
      <c r="K1694" s="269"/>
      <c r="L1694" s="269"/>
      <c r="M1694" s="76"/>
      <c r="N1694" s="76"/>
      <c r="O1694" s="76"/>
      <c r="P1694" s="76"/>
    </row>
    <row r="1695" ht="20.25" customHeight="1">
      <c r="A1695" s="665"/>
      <c r="B1695" s="189"/>
      <c r="C1695" s="189"/>
      <c r="D1695" s="189"/>
      <c r="E1695" s="189"/>
      <c r="F1695" s="270"/>
      <c r="G1695" s="76"/>
      <c r="H1695" s="76"/>
      <c r="I1695" s="270"/>
      <c r="J1695" s="270"/>
      <c r="K1695" s="270"/>
      <c r="L1695" s="270"/>
      <c r="M1695" s="76"/>
      <c r="N1695" s="76"/>
      <c r="O1695" s="76"/>
      <c r="P1695" s="76"/>
    </row>
    <row r="1696" ht="20.25" customHeight="1">
      <c r="A1696" s="664"/>
      <c r="B1696" s="190"/>
      <c r="C1696" s="190"/>
      <c r="D1696" s="190"/>
      <c r="E1696" s="190"/>
      <c r="F1696" s="269"/>
      <c r="G1696" s="76"/>
      <c r="H1696" s="76"/>
      <c r="I1696" s="269"/>
      <c r="J1696" s="269"/>
      <c r="K1696" s="269"/>
      <c r="L1696" s="269"/>
      <c r="M1696" s="76"/>
      <c r="N1696" s="76"/>
      <c r="O1696" s="76"/>
      <c r="P1696" s="76"/>
    </row>
    <row r="1697" ht="20.25" customHeight="1">
      <c r="A1697" s="665"/>
      <c r="B1697" s="189"/>
      <c r="C1697" s="189"/>
      <c r="D1697" s="189"/>
      <c r="E1697" s="189"/>
      <c r="F1697" s="270"/>
      <c r="G1697" s="76"/>
      <c r="H1697" s="76"/>
      <c r="I1697" s="270"/>
      <c r="J1697" s="270"/>
      <c r="K1697" s="270"/>
      <c r="L1697" s="270"/>
      <c r="M1697" s="76"/>
      <c r="N1697" s="76"/>
      <c r="O1697" s="76"/>
      <c r="P1697" s="76"/>
    </row>
    <row r="1698" ht="20.25" customHeight="1">
      <c r="A1698" s="664"/>
      <c r="B1698" s="190"/>
      <c r="C1698" s="190"/>
      <c r="D1698" s="190"/>
      <c r="E1698" s="190"/>
      <c r="F1698" s="269"/>
      <c r="G1698" s="76"/>
      <c r="H1698" s="76"/>
      <c r="I1698" s="269"/>
      <c r="J1698" s="269"/>
      <c r="K1698" s="269"/>
      <c r="L1698" s="269"/>
      <c r="M1698" s="76"/>
      <c r="N1698" s="76"/>
      <c r="O1698" s="76"/>
      <c r="P1698" s="76"/>
    </row>
    <row r="1699" ht="20.25" customHeight="1">
      <c r="A1699" s="665"/>
      <c r="B1699" s="189"/>
      <c r="C1699" s="189"/>
      <c r="D1699" s="189"/>
      <c r="E1699" s="189"/>
      <c r="F1699" s="270"/>
      <c r="G1699" s="76"/>
      <c r="H1699" s="76"/>
      <c r="I1699" s="270"/>
      <c r="J1699" s="270"/>
      <c r="K1699" s="270"/>
      <c r="L1699" s="270"/>
      <c r="M1699" s="76"/>
      <c r="N1699" s="76"/>
      <c r="O1699" s="76"/>
      <c r="P1699" s="76"/>
    </row>
    <row r="1700" ht="20.25" customHeight="1">
      <c r="A1700" s="664"/>
      <c r="B1700" s="190"/>
      <c r="C1700" s="190"/>
      <c r="D1700" s="190"/>
      <c r="E1700" s="190"/>
      <c r="F1700" s="269"/>
      <c r="G1700" s="76"/>
      <c r="H1700" s="76"/>
      <c r="I1700" s="269"/>
      <c r="J1700" s="269"/>
      <c r="K1700" s="269"/>
      <c r="L1700" s="269"/>
      <c r="M1700" s="76"/>
      <c r="N1700" s="76"/>
      <c r="O1700" s="76"/>
      <c r="P1700" s="76"/>
    </row>
    <row r="1701" ht="20.25" customHeight="1">
      <c r="A1701" s="665"/>
      <c r="B1701" s="189"/>
      <c r="C1701" s="189"/>
      <c r="D1701" s="189"/>
      <c r="E1701" s="189"/>
      <c r="F1701" s="270"/>
      <c r="G1701" s="76"/>
      <c r="H1701" s="76"/>
      <c r="I1701" s="270"/>
      <c r="J1701" s="270"/>
      <c r="K1701" s="270"/>
      <c r="L1701" s="270"/>
      <c r="M1701" s="76"/>
      <c r="N1701" s="76"/>
      <c r="O1701" s="76"/>
      <c r="P1701" s="76"/>
    </row>
    <row r="1702" ht="20.25" customHeight="1">
      <c r="A1702" s="664"/>
      <c r="B1702" s="190"/>
      <c r="C1702" s="190"/>
      <c r="D1702" s="190"/>
      <c r="E1702" s="190"/>
      <c r="F1702" s="269"/>
      <c r="G1702" s="76"/>
      <c r="H1702" s="76"/>
      <c r="I1702" s="269"/>
      <c r="J1702" s="269"/>
      <c r="K1702" s="269"/>
      <c r="L1702" s="269"/>
      <c r="M1702" s="76"/>
      <c r="N1702" s="76"/>
      <c r="O1702" s="76"/>
      <c r="P1702" s="76"/>
    </row>
    <row r="1703" ht="20.25" customHeight="1">
      <c r="A1703" s="665"/>
      <c r="B1703" s="189"/>
      <c r="C1703" s="189"/>
      <c r="D1703" s="189"/>
      <c r="E1703" s="189"/>
      <c r="F1703" s="270"/>
      <c r="G1703" s="76"/>
      <c r="H1703" s="76"/>
      <c r="I1703" s="270"/>
      <c r="J1703" s="270"/>
      <c r="K1703" s="270"/>
      <c r="L1703" s="270"/>
      <c r="M1703" s="76"/>
      <c r="N1703" s="76"/>
      <c r="O1703" s="76"/>
      <c r="P1703" s="76"/>
    </row>
    <row r="1704" ht="20.25" customHeight="1">
      <c r="A1704" s="664"/>
      <c r="B1704" s="190"/>
      <c r="C1704" s="190"/>
      <c r="D1704" s="190"/>
      <c r="E1704" s="190"/>
      <c r="F1704" s="269"/>
      <c r="G1704" s="76"/>
      <c r="H1704" s="76"/>
      <c r="I1704" s="269"/>
      <c r="J1704" s="269"/>
      <c r="K1704" s="269"/>
      <c r="L1704" s="269"/>
      <c r="M1704" s="76"/>
      <c r="N1704" s="76"/>
      <c r="O1704" s="76"/>
      <c r="P1704" s="76"/>
    </row>
    <row r="1705" ht="20.25" customHeight="1">
      <c r="A1705" s="665"/>
      <c r="B1705" s="189"/>
      <c r="C1705" s="189"/>
      <c r="D1705" s="189"/>
      <c r="E1705" s="189"/>
      <c r="F1705" s="270"/>
      <c r="G1705" s="76"/>
      <c r="H1705" s="76"/>
      <c r="I1705" s="270"/>
      <c r="J1705" s="270"/>
      <c r="K1705" s="270"/>
      <c r="L1705" s="270"/>
      <c r="M1705" s="76"/>
      <c r="N1705" s="76"/>
      <c r="O1705" s="76"/>
      <c r="P1705" s="76"/>
    </row>
    <row r="1706" ht="20.25" customHeight="1">
      <c r="A1706" s="664"/>
      <c r="B1706" s="190"/>
      <c r="C1706" s="190"/>
      <c r="D1706" s="190"/>
      <c r="E1706" s="190"/>
      <c r="F1706" s="269"/>
      <c r="G1706" s="76"/>
      <c r="H1706" s="76"/>
      <c r="I1706" s="269"/>
      <c r="J1706" s="269"/>
      <c r="K1706" s="269"/>
      <c r="L1706" s="269"/>
      <c r="M1706" s="76"/>
      <c r="N1706" s="76"/>
      <c r="O1706" s="76"/>
      <c r="P1706" s="76"/>
    </row>
    <row r="1707" ht="20.25" customHeight="1">
      <c r="A1707" s="665"/>
      <c r="B1707" s="189"/>
      <c r="C1707" s="189"/>
      <c r="D1707" s="189"/>
      <c r="E1707" s="189"/>
      <c r="F1707" s="270"/>
      <c r="G1707" s="76"/>
      <c r="H1707" s="76"/>
      <c r="I1707" s="270"/>
      <c r="J1707" s="270"/>
      <c r="K1707" s="270"/>
      <c r="L1707" s="270"/>
      <c r="M1707" s="76"/>
      <c r="N1707" s="76"/>
      <c r="O1707" s="76"/>
      <c r="P1707" s="76"/>
    </row>
    <row r="1708" ht="20.25" customHeight="1">
      <c r="A1708" s="664"/>
      <c r="B1708" s="190"/>
      <c r="C1708" s="190"/>
      <c r="D1708" s="190"/>
      <c r="E1708" s="190"/>
      <c r="F1708" s="269"/>
      <c r="G1708" s="76"/>
      <c r="H1708" s="76"/>
      <c r="I1708" s="269"/>
      <c r="J1708" s="269"/>
      <c r="K1708" s="269"/>
      <c r="L1708" s="269"/>
      <c r="M1708" s="76"/>
      <c r="N1708" s="76"/>
      <c r="O1708" s="76"/>
      <c r="P1708" s="76"/>
    </row>
    <row r="1709" ht="20.25" customHeight="1">
      <c r="A1709" s="665"/>
      <c r="B1709" s="189"/>
      <c r="C1709" s="189"/>
      <c r="D1709" s="189"/>
      <c r="E1709" s="189"/>
      <c r="F1709" s="270"/>
      <c r="G1709" s="76"/>
      <c r="H1709" s="76"/>
      <c r="I1709" s="270"/>
      <c r="J1709" s="270"/>
      <c r="K1709" s="270"/>
      <c r="L1709" s="270"/>
      <c r="M1709" s="76"/>
      <c r="N1709" s="76"/>
      <c r="O1709" s="76"/>
      <c r="P1709" s="76"/>
    </row>
    <row r="1710" ht="20.25" customHeight="1">
      <c r="A1710" s="664"/>
      <c r="B1710" s="190"/>
      <c r="C1710" s="190"/>
      <c r="D1710" s="190"/>
      <c r="E1710" s="190"/>
      <c r="F1710" s="269"/>
      <c r="G1710" s="76"/>
      <c r="H1710" s="76"/>
      <c r="I1710" s="269"/>
      <c r="J1710" s="269"/>
      <c r="K1710" s="269"/>
      <c r="L1710" s="269"/>
      <c r="M1710" s="76"/>
      <c r="N1710" s="76"/>
      <c r="O1710" s="76"/>
      <c r="P1710" s="76"/>
    </row>
    <row r="1711" ht="20.25" customHeight="1">
      <c r="A1711" s="665"/>
      <c r="B1711" s="189"/>
      <c r="C1711" s="189"/>
      <c r="D1711" s="189"/>
      <c r="E1711" s="189"/>
      <c r="F1711" s="270"/>
      <c r="G1711" s="76"/>
      <c r="H1711" s="76"/>
      <c r="I1711" s="270"/>
      <c r="J1711" s="270"/>
      <c r="K1711" s="270"/>
      <c r="L1711" s="270"/>
      <c r="M1711" s="76"/>
      <c r="N1711" s="76"/>
      <c r="O1711" s="76"/>
      <c r="P1711" s="76"/>
    </row>
    <row r="1712" ht="20.25" customHeight="1">
      <c r="A1712" s="664"/>
      <c r="B1712" s="190"/>
      <c r="C1712" s="190"/>
      <c r="D1712" s="190"/>
      <c r="E1712" s="190"/>
      <c r="F1712" s="269"/>
      <c r="G1712" s="76"/>
      <c r="H1712" s="76"/>
      <c r="I1712" s="269"/>
      <c r="J1712" s="269"/>
      <c r="K1712" s="269"/>
      <c r="L1712" s="269"/>
      <c r="M1712" s="76"/>
      <c r="N1712" s="76"/>
      <c r="O1712" s="76"/>
      <c r="P1712" s="76"/>
    </row>
    <row r="1713" ht="20.25" customHeight="1">
      <c r="A1713" s="665"/>
      <c r="B1713" s="189"/>
      <c r="C1713" s="189"/>
      <c r="D1713" s="189"/>
      <c r="E1713" s="189"/>
      <c r="F1713" s="270"/>
      <c r="G1713" s="76"/>
      <c r="H1713" s="76"/>
      <c r="I1713" s="270"/>
      <c r="J1713" s="270"/>
      <c r="K1713" s="270"/>
      <c r="L1713" s="270"/>
      <c r="M1713" s="76"/>
      <c r="N1713" s="76"/>
      <c r="O1713" s="76"/>
      <c r="P1713" s="76"/>
    </row>
    <row r="1714" ht="20.25" customHeight="1">
      <c r="A1714" s="664"/>
      <c r="B1714" s="190"/>
      <c r="C1714" s="190"/>
      <c r="D1714" s="190"/>
      <c r="E1714" s="190"/>
      <c r="F1714" s="269"/>
      <c r="G1714" s="76"/>
      <c r="H1714" s="76"/>
      <c r="I1714" s="269"/>
      <c r="J1714" s="269"/>
      <c r="K1714" s="269"/>
      <c r="L1714" s="269"/>
      <c r="M1714" s="76"/>
      <c r="N1714" s="76"/>
      <c r="O1714" s="76"/>
      <c r="P1714" s="76"/>
    </row>
    <row r="1715" ht="20.25" customHeight="1">
      <c r="A1715" s="665"/>
      <c r="B1715" s="189"/>
      <c r="C1715" s="189"/>
      <c r="D1715" s="189"/>
      <c r="E1715" s="189"/>
      <c r="F1715" s="270"/>
      <c r="G1715" s="76"/>
      <c r="H1715" s="76"/>
      <c r="I1715" s="270"/>
      <c r="J1715" s="270"/>
      <c r="K1715" s="270"/>
      <c r="L1715" s="270"/>
      <c r="M1715" s="76"/>
      <c r="N1715" s="76"/>
      <c r="O1715" s="76"/>
      <c r="P1715" s="76"/>
    </row>
    <row r="1716" ht="20.25" customHeight="1">
      <c r="A1716" s="664"/>
      <c r="B1716" s="190"/>
      <c r="C1716" s="190"/>
      <c r="D1716" s="190"/>
      <c r="E1716" s="190"/>
      <c r="F1716" s="269"/>
      <c r="G1716" s="76"/>
      <c r="H1716" s="76"/>
      <c r="I1716" s="269"/>
      <c r="J1716" s="269"/>
      <c r="K1716" s="269"/>
      <c r="L1716" s="269"/>
      <c r="M1716" s="76"/>
      <c r="N1716" s="76"/>
      <c r="O1716" s="76"/>
      <c r="P1716" s="76"/>
    </row>
    <row r="1717" ht="20.25" customHeight="1">
      <c r="A1717" s="665"/>
      <c r="B1717" s="189"/>
      <c r="C1717" s="189"/>
      <c r="D1717" s="189"/>
      <c r="E1717" s="189"/>
      <c r="F1717" s="270"/>
      <c r="G1717" s="76"/>
      <c r="H1717" s="76"/>
      <c r="I1717" s="270"/>
      <c r="J1717" s="270"/>
      <c r="K1717" s="270"/>
      <c r="L1717" s="270"/>
      <c r="M1717" s="76"/>
      <c r="N1717" s="76"/>
      <c r="O1717" s="76"/>
      <c r="P1717" s="76"/>
    </row>
    <row r="1718" ht="20.25" customHeight="1">
      <c r="A1718" s="664"/>
      <c r="B1718" s="190"/>
      <c r="C1718" s="190"/>
      <c r="D1718" s="190"/>
      <c r="E1718" s="190"/>
      <c r="F1718" s="269"/>
      <c r="G1718" s="76"/>
      <c r="H1718" s="76"/>
      <c r="I1718" s="269"/>
      <c r="J1718" s="269"/>
      <c r="K1718" s="269"/>
      <c r="L1718" s="269"/>
      <c r="M1718" s="76"/>
      <c r="N1718" s="76"/>
      <c r="O1718" s="76"/>
      <c r="P1718" s="76"/>
    </row>
    <row r="1719" ht="20.25" customHeight="1">
      <c r="A1719" s="665"/>
      <c r="B1719" s="189"/>
      <c r="C1719" s="189"/>
      <c r="D1719" s="189"/>
      <c r="E1719" s="189"/>
      <c r="F1719" s="270"/>
      <c r="G1719" s="76"/>
      <c r="H1719" s="76"/>
      <c r="I1719" s="270"/>
      <c r="J1719" s="270"/>
      <c r="K1719" s="270"/>
      <c r="L1719" s="270"/>
      <c r="M1719" s="76"/>
      <c r="N1719" s="76"/>
      <c r="O1719" s="76"/>
      <c r="P1719" s="76"/>
    </row>
    <row r="1720" ht="20.25" customHeight="1">
      <c r="A1720" s="664"/>
      <c r="B1720" s="190"/>
      <c r="C1720" s="190"/>
      <c r="D1720" s="190"/>
      <c r="E1720" s="190"/>
      <c r="F1720" s="269"/>
      <c r="G1720" s="76"/>
      <c r="H1720" s="76"/>
      <c r="I1720" s="269"/>
      <c r="J1720" s="269"/>
      <c r="K1720" s="269"/>
      <c r="L1720" s="269"/>
      <c r="M1720" s="76"/>
      <c r="N1720" s="76"/>
      <c r="O1720" s="76"/>
      <c r="P1720" s="76"/>
    </row>
    <row r="1721" ht="20.25" customHeight="1">
      <c r="A1721" s="665"/>
      <c r="B1721" s="189"/>
      <c r="C1721" s="189"/>
      <c r="D1721" s="189"/>
      <c r="E1721" s="189"/>
      <c r="F1721" s="270"/>
      <c r="G1721" s="76"/>
      <c r="H1721" s="76"/>
      <c r="I1721" s="270"/>
      <c r="J1721" s="270"/>
      <c r="K1721" s="270"/>
      <c r="L1721" s="270"/>
      <c r="M1721" s="76"/>
      <c r="N1721" s="76"/>
      <c r="O1721" s="76"/>
      <c r="P1721" s="76"/>
    </row>
    <row r="1722" ht="20.25" customHeight="1">
      <c r="A1722" s="664"/>
      <c r="B1722" s="190"/>
      <c r="C1722" s="190"/>
      <c r="D1722" s="190"/>
      <c r="E1722" s="190"/>
      <c r="F1722" s="269"/>
      <c r="G1722" s="76"/>
      <c r="H1722" s="76"/>
      <c r="I1722" s="269"/>
      <c r="J1722" s="269"/>
      <c r="K1722" s="269"/>
      <c r="L1722" s="269"/>
      <c r="M1722" s="76"/>
      <c r="N1722" s="76"/>
      <c r="O1722" s="76"/>
      <c r="P1722" s="76"/>
    </row>
    <row r="1723" ht="20.25" customHeight="1">
      <c r="A1723" s="665"/>
      <c r="B1723" s="189"/>
      <c r="C1723" s="189"/>
      <c r="D1723" s="189"/>
      <c r="E1723" s="189"/>
      <c r="F1723" s="270"/>
      <c r="G1723" s="76"/>
      <c r="H1723" s="76"/>
      <c r="I1723" s="270"/>
      <c r="J1723" s="270"/>
      <c r="K1723" s="270"/>
      <c r="L1723" s="270"/>
      <c r="M1723" s="76"/>
      <c r="N1723" s="76"/>
      <c r="O1723" s="76"/>
      <c r="P1723" s="76"/>
    </row>
    <row r="1724" ht="20.25" customHeight="1">
      <c r="A1724" s="664"/>
      <c r="B1724" s="190"/>
      <c r="C1724" s="190"/>
      <c r="D1724" s="190"/>
      <c r="E1724" s="190"/>
      <c r="F1724" s="269"/>
      <c r="G1724" s="76"/>
      <c r="H1724" s="76"/>
      <c r="I1724" s="269"/>
      <c r="J1724" s="269"/>
      <c r="K1724" s="269"/>
      <c r="L1724" s="269"/>
      <c r="M1724" s="76"/>
      <c r="N1724" s="76"/>
      <c r="O1724" s="76"/>
      <c r="P1724" s="76"/>
    </row>
    <row r="1725" ht="20.25" customHeight="1">
      <c r="A1725" s="665"/>
      <c r="B1725" s="189"/>
      <c r="C1725" s="189"/>
      <c r="D1725" s="189"/>
      <c r="E1725" s="189"/>
      <c r="F1725" s="270"/>
      <c r="G1725" s="76"/>
      <c r="H1725" s="76"/>
      <c r="I1725" s="270"/>
      <c r="J1725" s="270"/>
      <c r="K1725" s="270"/>
      <c r="L1725" s="270"/>
      <c r="M1725" s="76"/>
      <c r="N1725" s="76"/>
      <c r="O1725" s="76"/>
      <c r="P1725" s="76"/>
    </row>
    <row r="1726" ht="20.25" customHeight="1">
      <c r="A1726" s="664"/>
      <c r="B1726" s="190"/>
      <c r="C1726" s="190"/>
      <c r="D1726" s="190"/>
      <c r="E1726" s="190"/>
      <c r="F1726" s="269"/>
      <c r="G1726" s="76"/>
      <c r="H1726" s="76"/>
      <c r="I1726" s="269"/>
      <c r="J1726" s="269"/>
      <c r="K1726" s="269"/>
      <c r="L1726" s="269"/>
      <c r="M1726" s="76"/>
      <c r="N1726" s="76"/>
      <c r="O1726" s="76"/>
      <c r="P1726" s="76"/>
    </row>
    <row r="1727" ht="20.25" customHeight="1">
      <c r="A1727" s="665"/>
      <c r="B1727" s="189"/>
      <c r="C1727" s="189"/>
      <c r="D1727" s="189"/>
      <c r="E1727" s="189"/>
      <c r="F1727" s="270"/>
      <c r="G1727" s="76"/>
      <c r="H1727" s="76"/>
      <c r="I1727" s="270"/>
      <c r="J1727" s="270"/>
      <c r="K1727" s="270"/>
      <c r="L1727" s="270"/>
      <c r="M1727" s="76"/>
      <c r="N1727" s="76"/>
      <c r="O1727" s="76"/>
      <c r="P1727" s="76"/>
    </row>
    <row r="1728" ht="20.25" customHeight="1">
      <c r="A1728" s="664"/>
      <c r="B1728" s="190"/>
      <c r="C1728" s="190"/>
      <c r="D1728" s="190"/>
      <c r="E1728" s="190"/>
      <c r="F1728" s="269"/>
      <c r="G1728" s="76"/>
      <c r="H1728" s="76"/>
      <c r="I1728" s="269"/>
      <c r="J1728" s="269"/>
      <c r="K1728" s="269"/>
      <c r="L1728" s="269"/>
      <c r="M1728" s="76"/>
      <c r="N1728" s="76"/>
      <c r="O1728" s="76"/>
      <c r="P1728" s="76"/>
    </row>
    <row r="1729" ht="20.25" customHeight="1">
      <c r="A1729" s="665"/>
      <c r="B1729" s="189"/>
      <c r="C1729" s="189"/>
      <c r="D1729" s="189"/>
      <c r="E1729" s="189"/>
      <c r="F1729" s="270"/>
      <c r="G1729" s="76"/>
      <c r="H1729" s="76"/>
      <c r="I1729" s="270"/>
      <c r="J1729" s="270"/>
      <c r="K1729" s="270"/>
      <c r="L1729" s="270"/>
      <c r="M1729" s="76"/>
      <c r="N1729" s="76"/>
      <c r="O1729" s="76"/>
      <c r="P1729" s="76"/>
    </row>
    <row r="1730" ht="20.25" customHeight="1">
      <c r="A1730" s="664"/>
      <c r="B1730" s="190"/>
      <c r="C1730" s="190"/>
      <c r="D1730" s="190"/>
      <c r="E1730" s="190"/>
      <c r="F1730" s="269"/>
      <c r="G1730" s="76"/>
      <c r="H1730" s="76"/>
      <c r="I1730" s="269"/>
      <c r="J1730" s="269"/>
      <c r="K1730" s="269"/>
      <c r="L1730" s="269"/>
      <c r="M1730" s="76"/>
      <c r="N1730" s="76"/>
      <c r="O1730" s="76"/>
      <c r="P1730" s="76"/>
    </row>
    <row r="1731" ht="20.25" customHeight="1">
      <c r="A1731" s="665"/>
      <c r="B1731" s="189"/>
      <c r="C1731" s="189"/>
      <c r="D1731" s="189"/>
      <c r="E1731" s="189"/>
      <c r="F1731" s="270"/>
      <c r="G1731" s="76"/>
      <c r="H1731" s="76"/>
      <c r="I1731" s="270"/>
      <c r="J1731" s="270"/>
      <c r="K1731" s="270"/>
      <c r="L1731" s="270"/>
      <c r="M1731" s="76"/>
      <c r="N1731" s="76"/>
      <c r="O1731" s="76"/>
      <c r="P1731" s="76"/>
    </row>
    <row r="1732" ht="20.25" customHeight="1">
      <c r="A1732" s="664"/>
      <c r="B1732" s="190"/>
      <c r="C1732" s="190"/>
      <c r="D1732" s="190"/>
      <c r="E1732" s="190"/>
      <c r="F1732" s="269"/>
      <c r="G1732" s="76"/>
      <c r="H1732" s="76"/>
      <c r="I1732" s="269"/>
      <c r="J1732" s="269"/>
      <c r="K1732" s="269"/>
      <c r="L1732" s="269"/>
      <c r="M1732" s="76"/>
      <c r="N1732" s="76"/>
      <c r="O1732" s="76"/>
      <c r="P1732" s="76"/>
    </row>
    <row r="1733" ht="20.25" customHeight="1">
      <c r="A1733" s="665"/>
      <c r="B1733" s="189"/>
      <c r="C1733" s="189"/>
      <c r="D1733" s="189"/>
      <c r="E1733" s="189"/>
      <c r="F1733" s="270"/>
      <c r="G1733" s="76"/>
      <c r="H1733" s="76"/>
      <c r="I1733" s="270"/>
      <c r="J1733" s="270"/>
      <c r="K1733" s="270"/>
      <c r="L1733" s="270"/>
      <c r="M1733" s="76"/>
      <c r="N1733" s="76"/>
      <c r="O1733" s="76"/>
      <c r="P1733" s="76"/>
    </row>
    <row r="1734" ht="20.25" customHeight="1">
      <c r="A1734" s="664"/>
      <c r="B1734" s="190"/>
      <c r="C1734" s="190"/>
      <c r="D1734" s="190"/>
      <c r="E1734" s="190"/>
      <c r="F1734" s="269"/>
      <c r="G1734" s="76"/>
      <c r="H1734" s="76"/>
      <c r="I1734" s="269"/>
      <c r="J1734" s="269"/>
      <c r="K1734" s="269"/>
      <c r="L1734" s="269"/>
      <c r="M1734" s="76"/>
      <c r="N1734" s="76"/>
      <c r="O1734" s="76"/>
      <c r="P1734" s="76"/>
    </row>
    <row r="1735" ht="20.25" customHeight="1">
      <c r="A1735" s="665"/>
      <c r="B1735" s="189"/>
      <c r="C1735" s="189"/>
      <c r="D1735" s="189"/>
      <c r="E1735" s="189"/>
      <c r="F1735" s="270"/>
      <c r="G1735" s="76"/>
      <c r="H1735" s="76"/>
      <c r="I1735" s="270"/>
      <c r="J1735" s="270"/>
      <c r="K1735" s="270"/>
      <c r="L1735" s="270"/>
      <c r="M1735" s="76"/>
      <c r="N1735" s="76"/>
      <c r="O1735" s="76"/>
      <c r="P1735" s="76"/>
    </row>
    <row r="1736" ht="20.25" customHeight="1">
      <c r="A1736" s="664"/>
      <c r="B1736" s="190"/>
      <c r="C1736" s="190"/>
      <c r="D1736" s="190"/>
      <c r="E1736" s="190"/>
      <c r="F1736" s="269"/>
      <c r="G1736" s="76"/>
      <c r="H1736" s="76"/>
      <c r="I1736" s="269"/>
      <c r="J1736" s="269"/>
      <c r="K1736" s="269"/>
      <c r="L1736" s="269"/>
      <c r="M1736" s="76"/>
      <c r="N1736" s="76"/>
      <c r="O1736" s="76"/>
      <c r="P1736" s="76"/>
    </row>
    <row r="1737" ht="20.25" customHeight="1">
      <c r="A1737" s="665"/>
      <c r="B1737" s="189"/>
      <c r="C1737" s="189"/>
      <c r="D1737" s="189"/>
      <c r="E1737" s="189"/>
      <c r="F1737" s="270"/>
      <c r="G1737" s="76"/>
      <c r="H1737" s="76"/>
      <c r="I1737" s="270"/>
      <c r="J1737" s="270"/>
      <c r="K1737" s="270"/>
      <c r="L1737" s="270"/>
      <c r="M1737" s="76"/>
      <c r="N1737" s="76"/>
      <c r="O1737" s="76"/>
      <c r="P1737" s="76"/>
    </row>
    <row r="1738" ht="20.25" customHeight="1">
      <c r="A1738" s="664"/>
      <c r="B1738" s="190"/>
      <c r="C1738" s="190"/>
      <c r="D1738" s="190"/>
      <c r="E1738" s="190"/>
      <c r="F1738" s="269"/>
      <c r="G1738" s="76"/>
      <c r="H1738" s="76"/>
      <c r="I1738" s="269"/>
      <c r="J1738" s="269"/>
      <c r="K1738" s="269"/>
      <c r="L1738" s="269"/>
      <c r="M1738" s="76"/>
      <c r="N1738" s="76"/>
      <c r="O1738" s="76"/>
      <c r="P1738" s="76"/>
    </row>
    <row r="1739" ht="20.25" customHeight="1">
      <c r="A1739" s="665"/>
      <c r="B1739" s="189"/>
      <c r="C1739" s="189"/>
      <c r="D1739" s="189"/>
      <c r="E1739" s="189"/>
      <c r="F1739" s="270"/>
      <c r="G1739" s="76"/>
      <c r="H1739" s="76"/>
      <c r="I1739" s="270"/>
      <c r="J1739" s="270"/>
      <c r="K1739" s="270"/>
      <c r="L1739" s="270"/>
      <c r="M1739" s="76"/>
      <c r="N1739" s="76"/>
      <c r="O1739" s="76"/>
      <c r="P1739" s="76"/>
    </row>
    <row r="1740" ht="20.25" customHeight="1">
      <c r="A1740" s="664"/>
      <c r="B1740" s="190"/>
      <c r="C1740" s="190"/>
      <c r="D1740" s="190"/>
      <c r="E1740" s="190"/>
      <c r="F1740" s="269"/>
      <c r="G1740" s="76"/>
      <c r="H1740" s="76"/>
      <c r="I1740" s="269"/>
      <c r="J1740" s="269"/>
      <c r="K1740" s="269"/>
      <c r="L1740" s="269"/>
      <c r="M1740" s="76"/>
      <c r="N1740" s="76"/>
      <c r="O1740" s="76"/>
      <c r="P1740" s="76"/>
    </row>
    <row r="1741" ht="20.25" customHeight="1">
      <c r="A1741" s="665"/>
      <c r="B1741" s="189"/>
      <c r="C1741" s="189"/>
      <c r="D1741" s="189"/>
      <c r="E1741" s="189"/>
      <c r="F1741" s="270"/>
      <c r="G1741" s="76"/>
      <c r="H1741" s="76"/>
      <c r="I1741" s="270"/>
      <c r="J1741" s="270"/>
      <c r="K1741" s="270"/>
      <c r="L1741" s="270"/>
      <c r="M1741" s="76"/>
      <c r="N1741" s="76"/>
      <c r="O1741" s="76"/>
      <c r="P1741" s="76"/>
    </row>
    <row r="1742" ht="20.25" customHeight="1">
      <c r="A1742" s="664"/>
      <c r="B1742" s="190"/>
      <c r="C1742" s="190"/>
      <c r="D1742" s="190"/>
      <c r="E1742" s="190"/>
      <c r="F1742" s="269"/>
      <c r="G1742" s="76"/>
      <c r="H1742" s="76"/>
      <c r="I1742" s="269"/>
      <c r="J1742" s="269"/>
      <c r="K1742" s="269"/>
      <c r="L1742" s="269"/>
      <c r="M1742" s="76"/>
      <c r="N1742" s="76"/>
      <c r="O1742" s="76"/>
      <c r="P1742" s="76"/>
    </row>
    <row r="1743" ht="20.25" customHeight="1">
      <c r="A1743" s="665"/>
      <c r="B1743" s="189"/>
      <c r="C1743" s="189"/>
      <c r="D1743" s="189"/>
      <c r="E1743" s="189"/>
      <c r="F1743" s="270"/>
      <c r="G1743" s="76"/>
      <c r="H1743" s="76"/>
      <c r="I1743" s="270"/>
      <c r="J1743" s="270"/>
      <c r="K1743" s="270"/>
      <c r="L1743" s="270"/>
      <c r="M1743" s="76"/>
      <c r="N1743" s="76"/>
      <c r="O1743" s="76"/>
      <c r="P1743" s="76"/>
    </row>
    <row r="1744" ht="20.25" customHeight="1">
      <c r="A1744" s="664"/>
      <c r="B1744" s="190"/>
      <c r="C1744" s="190"/>
      <c r="D1744" s="190"/>
      <c r="E1744" s="190"/>
      <c r="F1744" s="269"/>
      <c r="G1744" s="76"/>
      <c r="H1744" s="76"/>
      <c r="I1744" s="269"/>
      <c r="J1744" s="269"/>
      <c r="K1744" s="269"/>
      <c r="L1744" s="269"/>
      <c r="M1744" s="76"/>
      <c r="N1744" s="76"/>
      <c r="O1744" s="76"/>
      <c r="P1744" s="76"/>
    </row>
    <row r="1745" ht="20.25" customHeight="1">
      <c r="A1745" s="665"/>
      <c r="B1745" s="189"/>
      <c r="C1745" s="189"/>
      <c r="D1745" s="189"/>
      <c r="E1745" s="189"/>
      <c r="F1745" s="270"/>
      <c r="G1745" s="76"/>
      <c r="H1745" s="76"/>
      <c r="I1745" s="270"/>
      <c r="J1745" s="270"/>
      <c r="K1745" s="270"/>
      <c r="L1745" s="270"/>
      <c r="M1745" s="76"/>
      <c r="N1745" s="76"/>
      <c r="O1745" s="76"/>
      <c r="P1745" s="76"/>
    </row>
    <row r="1746" ht="20.25" customHeight="1">
      <c r="A1746" s="664"/>
      <c r="B1746" s="190"/>
      <c r="C1746" s="190"/>
      <c r="D1746" s="190"/>
      <c r="E1746" s="190"/>
      <c r="F1746" s="269"/>
      <c r="G1746" s="76"/>
      <c r="H1746" s="76"/>
      <c r="I1746" s="269"/>
      <c r="J1746" s="269"/>
      <c r="K1746" s="269"/>
      <c r="L1746" s="269"/>
      <c r="M1746" s="76"/>
      <c r="N1746" s="76"/>
      <c r="O1746" s="76"/>
      <c r="P1746" s="76"/>
    </row>
    <row r="1747" ht="20.25" customHeight="1">
      <c r="A1747" s="665"/>
      <c r="B1747" s="189"/>
      <c r="C1747" s="189"/>
      <c r="D1747" s="189"/>
      <c r="E1747" s="189"/>
      <c r="F1747" s="270"/>
      <c r="G1747" s="76"/>
      <c r="H1747" s="76"/>
      <c r="I1747" s="270"/>
      <c r="J1747" s="270"/>
      <c r="K1747" s="270"/>
      <c r="L1747" s="270"/>
      <c r="M1747" s="76"/>
      <c r="N1747" s="76"/>
      <c r="O1747" s="76"/>
      <c r="P1747" s="76"/>
    </row>
    <row r="1748" ht="20.25" customHeight="1">
      <c r="A1748" s="664"/>
      <c r="B1748" s="190"/>
      <c r="C1748" s="190"/>
      <c r="D1748" s="190"/>
      <c r="E1748" s="190"/>
      <c r="F1748" s="269"/>
      <c r="G1748" s="76"/>
      <c r="H1748" s="76"/>
      <c r="I1748" s="269"/>
      <c r="J1748" s="269"/>
      <c r="K1748" s="269"/>
      <c r="L1748" s="269"/>
      <c r="M1748" s="76"/>
      <c r="N1748" s="76"/>
      <c r="O1748" s="76"/>
      <c r="P1748" s="76"/>
    </row>
    <row r="1749" ht="20.25" customHeight="1">
      <c r="A1749" s="665"/>
      <c r="B1749" s="189"/>
      <c r="C1749" s="189"/>
      <c r="D1749" s="189"/>
      <c r="E1749" s="189"/>
      <c r="F1749" s="270"/>
      <c r="G1749" s="76"/>
      <c r="H1749" s="76"/>
      <c r="I1749" s="270"/>
      <c r="J1749" s="270"/>
      <c r="K1749" s="270"/>
      <c r="L1749" s="270"/>
      <c r="M1749" s="76"/>
      <c r="N1749" s="76"/>
      <c r="O1749" s="76"/>
      <c r="P1749" s="76"/>
    </row>
    <row r="1750" ht="20.25" customHeight="1">
      <c r="A1750" s="664"/>
      <c r="B1750" s="190"/>
      <c r="C1750" s="190"/>
      <c r="D1750" s="190"/>
      <c r="E1750" s="190"/>
      <c r="F1750" s="269"/>
      <c r="G1750" s="76"/>
      <c r="H1750" s="76"/>
      <c r="I1750" s="269"/>
      <c r="J1750" s="269"/>
      <c r="K1750" s="269"/>
      <c r="L1750" s="269"/>
      <c r="M1750" s="76"/>
      <c r="N1750" s="76"/>
      <c r="O1750" s="76"/>
      <c r="P1750" s="76"/>
    </row>
    <row r="1751" ht="20.25" customHeight="1">
      <c r="A1751" s="665"/>
      <c r="B1751" s="189"/>
      <c r="C1751" s="189"/>
      <c r="D1751" s="189"/>
      <c r="E1751" s="189"/>
      <c r="F1751" s="270"/>
      <c r="G1751" s="76"/>
      <c r="H1751" s="76"/>
      <c r="I1751" s="270"/>
      <c r="J1751" s="270"/>
      <c r="K1751" s="270"/>
      <c r="L1751" s="270"/>
      <c r="M1751" s="76"/>
      <c r="N1751" s="76"/>
      <c r="O1751" s="76"/>
      <c r="P1751" s="76"/>
    </row>
    <row r="1752" ht="20.25" customHeight="1">
      <c r="A1752" s="664"/>
      <c r="B1752" s="190"/>
      <c r="C1752" s="190"/>
      <c r="D1752" s="190"/>
      <c r="E1752" s="190"/>
      <c r="F1752" s="269"/>
      <c r="G1752" s="76"/>
      <c r="H1752" s="76"/>
      <c r="I1752" s="269"/>
      <c r="J1752" s="269"/>
      <c r="K1752" s="269"/>
      <c r="L1752" s="269"/>
      <c r="M1752" s="76"/>
      <c r="N1752" s="76"/>
      <c r="O1752" s="76"/>
      <c r="P1752" s="76"/>
    </row>
    <row r="1753" ht="20.25" customHeight="1">
      <c r="A1753" s="665"/>
      <c r="B1753" s="189"/>
      <c r="C1753" s="189"/>
      <c r="D1753" s="189"/>
      <c r="E1753" s="189"/>
      <c r="F1753" s="270"/>
      <c r="G1753" s="76"/>
      <c r="H1753" s="76"/>
      <c r="I1753" s="270"/>
      <c r="J1753" s="270"/>
      <c r="K1753" s="270"/>
      <c r="L1753" s="270"/>
      <c r="M1753" s="76"/>
      <c r="N1753" s="76"/>
      <c r="O1753" s="76"/>
      <c r="P1753" s="76"/>
    </row>
    <row r="1754" ht="20.25" customHeight="1">
      <c r="A1754" s="664"/>
      <c r="B1754" s="190"/>
      <c r="C1754" s="190"/>
      <c r="D1754" s="190"/>
      <c r="E1754" s="190"/>
      <c r="F1754" s="269"/>
      <c r="G1754" s="76"/>
      <c r="H1754" s="76"/>
      <c r="I1754" s="269"/>
      <c r="J1754" s="269"/>
      <c r="K1754" s="269"/>
      <c r="L1754" s="269"/>
      <c r="M1754" s="76"/>
      <c r="N1754" s="76"/>
      <c r="O1754" s="76"/>
      <c r="P1754" s="76"/>
    </row>
    <row r="1755" ht="20.25" customHeight="1">
      <c r="A1755" s="665"/>
      <c r="B1755" s="189"/>
      <c r="C1755" s="189"/>
      <c r="D1755" s="189"/>
      <c r="E1755" s="189"/>
      <c r="F1755" s="270"/>
      <c r="G1755" s="76"/>
      <c r="H1755" s="76"/>
      <c r="I1755" s="270"/>
      <c r="J1755" s="270"/>
      <c r="K1755" s="270"/>
      <c r="L1755" s="270"/>
      <c r="M1755" s="76"/>
      <c r="N1755" s="76"/>
      <c r="O1755" s="76"/>
      <c r="P1755" s="76"/>
    </row>
    <row r="1756" ht="20.25" customHeight="1">
      <c r="A1756" s="664"/>
      <c r="B1756" s="190"/>
      <c r="C1756" s="190"/>
      <c r="D1756" s="190"/>
      <c r="E1756" s="190"/>
      <c r="F1756" s="269"/>
      <c r="G1756" s="76"/>
      <c r="H1756" s="76"/>
      <c r="I1756" s="269"/>
      <c r="J1756" s="269"/>
      <c r="K1756" s="269"/>
      <c r="L1756" s="269"/>
      <c r="M1756" s="76"/>
      <c r="N1756" s="76"/>
      <c r="O1756" s="76"/>
      <c r="P1756" s="76"/>
    </row>
    <row r="1757" ht="20.25" customHeight="1">
      <c r="A1757" s="665"/>
      <c r="B1757" s="189"/>
      <c r="C1757" s="189"/>
      <c r="D1757" s="189"/>
      <c r="E1757" s="189"/>
      <c r="F1757" s="270"/>
      <c r="G1757" s="76"/>
      <c r="H1757" s="76"/>
      <c r="I1757" s="270"/>
      <c r="J1757" s="270"/>
      <c r="K1757" s="270"/>
      <c r="L1757" s="270"/>
      <c r="M1757" s="76"/>
      <c r="N1757" s="76"/>
      <c r="O1757" s="76"/>
      <c r="P1757" s="76"/>
    </row>
    <row r="1758" ht="20.25" customHeight="1">
      <c r="A1758" s="664"/>
      <c r="B1758" s="190"/>
      <c r="C1758" s="190"/>
      <c r="D1758" s="190"/>
      <c r="E1758" s="190"/>
      <c r="F1758" s="269"/>
      <c r="G1758" s="76"/>
      <c r="H1758" s="76"/>
      <c r="I1758" s="269"/>
      <c r="J1758" s="269"/>
      <c r="K1758" s="269"/>
      <c r="L1758" s="269"/>
      <c r="M1758" s="76"/>
      <c r="N1758" s="76"/>
      <c r="O1758" s="76"/>
      <c r="P1758" s="76"/>
    </row>
    <row r="1759" ht="20.25" customHeight="1">
      <c r="A1759" s="665"/>
      <c r="B1759" s="189"/>
      <c r="C1759" s="189"/>
      <c r="D1759" s="189"/>
      <c r="E1759" s="189"/>
      <c r="F1759" s="270"/>
      <c r="G1759" s="76"/>
      <c r="H1759" s="76"/>
      <c r="I1759" s="270"/>
      <c r="J1759" s="270"/>
      <c r="K1759" s="270"/>
      <c r="L1759" s="270"/>
      <c r="M1759" s="76"/>
      <c r="N1759" s="76"/>
      <c r="O1759" s="76"/>
      <c r="P1759" s="76"/>
    </row>
    <row r="1760" ht="20.25" customHeight="1">
      <c r="A1760" s="664"/>
      <c r="B1760" s="190"/>
      <c r="C1760" s="190"/>
      <c r="D1760" s="190"/>
      <c r="E1760" s="190"/>
      <c r="F1760" s="269"/>
      <c r="G1760" s="76"/>
      <c r="H1760" s="76"/>
      <c r="I1760" s="269"/>
      <c r="J1760" s="269"/>
      <c r="K1760" s="269"/>
      <c r="L1760" s="269"/>
      <c r="M1760" s="76"/>
      <c r="N1760" s="76"/>
      <c r="O1760" s="76"/>
      <c r="P1760" s="76"/>
    </row>
    <row r="1761" ht="20.25" customHeight="1">
      <c r="A1761" s="665"/>
      <c r="B1761" s="189"/>
      <c r="C1761" s="189"/>
      <c r="D1761" s="189"/>
      <c r="E1761" s="189"/>
      <c r="F1761" s="270"/>
      <c r="G1761" s="76"/>
      <c r="H1761" s="76"/>
      <c r="I1761" s="270"/>
      <c r="J1761" s="270"/>
      <c r="K1761" s="270"/>
      <c r="L1761" s="270"/>
      <c r="M1761" s="76"/>
      <c r="N1761" s="76"/>
      <c r="O1761" s="76"/>
      <c r="P1761" s="76"/>
    </row>
    <row r="1762" ht="20.25" customHeight="1">
      <c r="A1762" s="664"/>
      <c r="B1762" s="190"/>
      <c r="C1762" s="190"/>
      <c r="D1762" s="190"/>
      <c r="E1762" s="190"/>
      <c r="F1762" s="269"/>
      <c r="G1762" s="76"/>
      <c r="H1762" s="76"/>
      <c r="I1762" s="269"/>
      <c r="J1762" s="269"/>
      <c r="K1762" s="269"/>
      <c r="L1762" s="269"/>
      <c r="M1762" s="76"/>
      <c r="N1762" s="76"/>
      <c r="O1762" s="76"/>
      <c r="P1762" s="76"/>
    </row>
    <row r="1763" ht="20.25" customHeight="1">
      <c r="A1763" s="665"/>
      <c r="B1763" s="189"/>
      <c r="C1763" s="189"/>
      <c r="D1763" s="189"/>
      <c r="E1763" s="189"/>
      <c r="F1763" s="270"/>
      <c r="G1763" s="76"/>
      <c r="H1763" s="76"/>
      <c r="I1763" s="270"/>
      <c r="J1763" s="270"/>
      <c r="K1763" s="270"/>
      <c r="L1763" s="270"/>
      <c r="M1763" s="76"/>
      <c r="N1763" s="76"/>
      <c r="O1763" s="76"/>
      <c r="P1763" s="76"/>
    </row>
    <row r="1764" ht="20.25" customHeight="1">
      <c r="A1764" s="664"/>
      <c r="B1764" s="190"/>
      <c r="C1764" s="190"/>
      <c r="D1764" s="190"/>
      <c r="E1764" s="190"/>
      <c r="F1764" s="269"/>
      <c r="G1764" s="76"/>
      <c r="H1764" s="76"/>
      <c r="I1764" s="269"/>
      <c r="J1764" s="269"/>
      <c r="K1764" s="269"/>
      <c r="L1764" s="269"/>
      <c r="M1764" s="76"/>
      <c r="N1764" s="76"/>
      <c r="O1764" s="76"/>
      <c r="P1764" s="76"/>
    </row>
    <row r="1765" ht="20.25" customHeight="1">
      <c r="A1765" s="665"/>
      <c r="B1765" s="189"/>
      <c r="C1765" s="189"/>
      <c r="D1765" s="189"/>
      <c r="E1765" s="189"/>
      <c r="F1765" s="270"/>
      <c r="G1765" s="76"/>
      <c r="H1765" s="76"/>
      <c r="I1765" s="270"/>
      <c r="J1765" s="270"/>
      <c r="K1765" s="270"/>
      <c r="L1765" s="270"/>
      <c r="M1765" s="76"/>
      <c r="N1765" s="76"/>
      <c r="O1765" s="76"/>
      <c r="P1765" s="76"/>
    </row>
    <row r="1766" ht="20.25" customHeight="1">
      <c r="A1766" s="664"/>
      <c r="B1766" s="190"/>
      <c r="C1766" s="190"/>
      <c r="D1766" s="190"/>
      <c r="E1766" s="190"/>
      <c r="F1766" s="269"/>
      <c r="G1766" s="76"/>
      <c r="H1766" s="76"/>
      <c r="I1766" s="269"/>
      <c r="J1766" s="269"/>
      <c r="K1766" s="269"/>
      <c r="L1766" s="269"/>
      <c r="M1766" s="76"/>
      <c r="N1766" s="76"/>
      <c r="O1766" s="76"/>
      <c r="P1766" s="76"/>
    </row>
    <row r="1767" ht="20.25" customHeight="1">
      <c r="A1767" s="665"/>
      <c r="B1767" s="189"/>
      <c r="C1767" s="189"/>
      <c r="D1767" s="189"/>
      <c r="E1767" s="189"/>
      <c r="F1767" s="270"/>
      <c r="G1767" s="76"/>
      <c r="H1767" s="76"/>
      <c r="I1767" s="270"/>
      <c r="J1767" s="270"/>
      <c r="K1767" s="270"/>
      <c r="L1767" s="270"/>
      <c r="M1767" s="76"/>
      <c r="N1767" s="76"/>
      <c r="O1767" s="76"/>
      <c r="P1767" s="76"/>
    </row>
    <row r="1768" ht="20.25" customHeight="1">
      <c r="A1768" s="664"/>
      <c r="B1768" s="190"/>
      <c r="C1768" s="190"/>
      <c r="D1768" s="190"/>
      <c r="E1768" s="190"/>
      <c r="F1768" s="269"/>
      <c r="G1768" s="76"/>
      <c r="H1768" s="76"/>
      <c r="I1768" s="269"/>
      <c r="J1768" s="269"/>
      <c r="K1768" s="269"/>
      <c r="L1768" s="269"/>
      <c r="M1768" s="76"/>
      <c r="N1768" s="76"/>
      <c r="O1768" s="76"/>
      <c r="P1768" s="76"/>
    </row>
    <row r="1769" ht="20.25" customHeight="1">
      <c r="A1769" s="665"/>
      <c r="B1769" s="189"/>
      <c r="C1769" s="189"/>
      <c r="D1769" s="189"/>
      <c r="E1769" s="189"/>
      <c r="F1769" s="270"/>
      <c r="G1769" s="76"/>
      <c r="H1769" s="76"/>
      <c r="I1769" s="270"/>
      <c r="J1769" s="270"/>
      <c r="K1769" s="270"/>
      <c r="L1769" s="270"/>
      <c r="M1769" s="76"/>
      <c r="N1769" s="76"/>
      <c r="O1769" s="76"/>
      <c r="P1769" s="76"/>
    </row>
    <row r="1770" ht="20.25" customHeight="1">
      <c r="A1770" s="664"/>
      <c r="B1770" s="190"/>
      <c r="C1770" s="190"/>
      <c r="D1770" s="190"/>
      <c r="E1770" s="190"/>
      <c r="F1770" s="269"/>
      <c r="G1770" s="76"/>
      <c r="H1770" s="76"/>
      <c r="I1770" s="269"/>
      <c r="J1770" s="269"/>
      <c r="K1770" s="269"/>
      <c r="L1770" s="269"/>
      <c r="M1770" s="76"/>
      <c r="N1770" s="76"/>
      <c r="O1770" s="76"/>
      <c r="P1770" s="76"/>
    </row>
    <row r="1771" ht="20.25" customHeight="1">
      <c r="A1771" s="665"/>
      <c r="B1771" s="189"/>
      <c r="C1771" s="189"/>
      <c r="D1771" s="189"/>
      <c r="E1771" s="189"/>
      <c r="F1771" s="270"/>
      <c r="G1771" s="76"/>
      <c r="H1771" s="76"/>
      <c r="I1771" s="270"/>
      <c r="J1771" s="270"/>
      <c r="K1771" s="270"/>
      <c r="L1771" s="270"/>
      <c r="M1771" s="76"/>
      <c r="N1771" s="76"/>
      <c r="O1771" s="76"/>
      <c r="P1771" s="76"/>
    </row>
    <row r="1772" ht="20.25" customHeight="1">
      <c r="A1772" s="664"/>
      <c r="B1772" s="190"/>
      <c r="C1772" s="190"/>
      <c r="D1772" s="190"/>
      <c r="E1772" s="190"/>
      <c r="F1772" s="269"/>
      <c r="G1772" s="76"/>
      <c r="H1772" s="76"/>
      <c r="I1772" s="269"/>
      <c r="J1772" s="269"/>
      <c r="K1772" s="269"/>
      <c r="L1772" s="269"/>
      <c r="M1772" s="76"/>
      <c r="N1772" s="76"/>
      <c r="O1772" s="76"/>
      <c r="P1772" s="76"/>
    </row>
    <row r="1773" ht="20.25" customHeight="1">
      <c r="A1773" s="665"/>
      <c r="B1773" s="189"/>
      <c r="C1773" s="189"/>
      <c r="D1773" s="189"/>
      <c r="E1773" s="189"/>
      <c r="F1773" s="270"/>
      <c r="G1773" s="76"/>
      <c r="H1773" s="76"/>
      <c r="I1773" s="270"/>
      <c r="J1773" s="270"/>
      <c r="K1773" s="270"/>
      <c r="L1773" s="270"/>
      <c r="M1773" s="76"/>
      <c r="N1773" s="76"/>
      <c r="O1773" s="76"/>
      <c r="P1773" s="76"/>
    </row>
    <row r="1774" ht="20.25" customHeight="1">
      <c r="A1774" s="664"/>
      <c r="B1774" s="190"/>
      <c r="C1774" s="190"/>
      <c r="D1774" s="190"/>
      <c r="E1774" s="190"/>
      <c r="F1774" s="269"/>
      <c r="G1774" s="76"/>
      <c r="H1774" s="76"/>
      <c r="I1774" s="269"/>
      <c r="J1774" s="269"/>
      <c r="K1774" s="269"/>
      <c r="L1774" s="269"/>
      <c r="M1774" s="76"/>
      <c r="N1774" s="76"/>
      <c r="O1774" s="76"/>
      <c r="P1774" s="76"/>
    </row>
    <row r="1775" ht="20.25" customHeight="1">
      <c r="A1775" s="665"/>
      <c r="B1775" s="189"/>
      <c r="C1775" s="189"/>
      <c r="D1775" s="189"/>
      <c r="E1775" s="189"/>
      <c r="F1775" s="270"/>
      <c r="G1775" s="76"/>
      <c r="H1775" s="76"/>
      <c r="I1775" s="270"/>
      <c r="J1775" s="270"/>
      <c r="K1775" s="270"/>
      <c r="L1775" s="270"/>
      <c r="M1775" s="76"/>
      <c r="N1775" s="76"/>
      <c r="O1775" s="76"/>
      <c r="P1775" s="76"/>
    </row>
    <row r="1776" ht="20.25" customHeight="1">
      <c r="A1776" s="664"/>
      <c r="B1776" s="190"/>
      <c r="C1776" s="190"/>
      <c r="D1776" s="190"/>
      <c r="E1776" s="190"/>
      <c r="F1776" s="269"/>
      <c r="G1776" s="76"/>
      <c r="H1776" s="76"/>
      <c r="I1776" s="269"/>
      <c r="J1776" s="269"/>
      <c r="K1776" s="269"/>
      <c r="L1776" s="269"/>
      <c r="M1776" s="76"/>
      <c r="N1776" s="76"/>
      <c r="O1776" s="76"/>
      <c r="P1776" s="76"/>
    </row>
    <row r="1777" ht="20.25" customHeight="1">
      <c r="A1777" s="665"/>
      <c r="B1777" s="189"/>
      <c r="C1777" s="189"/>
      <c r="D1777" s="189"/>
      <c r="E1777" s="189"/>
      <c r="F1777" s="270"/>
      <c r="G1777" s="76"/>
      <c r="H1777" s="76"/>
      <c r="I1777" s="270"/>
      <c r="J1777" s="270"/>
      <c r="K1777" s="270"/>
      <c r="L1777" s="270"/>
      <c r="M1777" s="76"/>
      <c r="N1777" s="76"/>
      <c r="O1777" s="76"/>
      <c r="P1777" s="76"/>
    </row>
    <row r="1778" ht="20.25" customHeight="1">
      <c r="A1778" s="664"/>
      <c r="B1778" s="190"/>
      <c r="C1778" s="190"/>
      <c r="D1778" s="190"/>
      <c r="E1778" s="190"/>
      <c r="F1778" s="269"/>
      <c r="G1778" s="76"/>
      <c r="H1778" s="76"/>
      <c r="I1778" s="269"/>
      <c r="J1778" s="269"/>
      <c r="K1778" s="269"/>
      <c r="L1778" s="269"/>
      <c r="M1778" s="76"/>
      <c r="N1778" s="76"/>
      <c r="O1778" s="76"/>
      <c r="P1778" s="76"/>
    </row>
    <row r="1779" ht="20.25" customHeight="1">
      <c r="A1779" s="665"/>
      <c r="B1779" s="189"/>
      <c r="C1779" s="189"/>
      <c r="D1779" s="189"/>
      <c r="E1779" s="189"/>
      <c r="F1779" s="270"/>
      <c r="G1779" s="76"/>
      <c r="H1779" s="76"/>
      <c r="I1779" s="270"/>
      <c r="J1779" s="270"/>
      <c r="K1779" s="270"/>
      <c r="L1779" s="270"/>
      <c r="M1779" s="76"/>
      <c r="N1779" s="76"/>
      <c r="O1779" s="76"/>
      <c r="P1779" s="76"/>
    </row>
    <row r="1780" ht="20.25" customHeight="1">
      <c r="A1780" s="664"/>
      <c r="B1780" s="190"/>
      <c r="C1780" s="190"/>
      <c r="D1780" s="190"/>
      <c r="E1780" s="190"/>
      <c r="F1780" s="269"/>
      <c r="G1780" s="76"/>
      <c r="H1780" s="76"/>
      <c r="I1780" s="269"/>
      <c r="J1780" s="269"/>
      <c r="K1780" s="269"/>
      <c r="L1780" s="269"/>
      <c r="M1780" s="76"/>
      <c r="N1780" s="76"/>
      <c r="O1780" s="76"/>
      <c r="P1780" s="76"/>
    </row>
    <row r="1781" ht="20.25" customHeight="1">
      <c r="A1781" s="665"/>
      <c r="B1781" s="189"/>
      <c r="C1781" s="189"/>
      <c r="D1781" s="189"/>
      <c r="E1781" s="189"/>
      <c r="F1781" s="270"/>
      <c r="G1781" s="76"/>
      <c r="H1781" s="76"/>
      <c r="I1781" s="270"/>
      <c r="J1781" s="270"/>
      <c r="K1781" s="270"/>
      <c r="L1781" s="270"/>
      <c r="M1781" s="76"/>
      <c r="N1781" s="76"/>
      <c r="O1781" s="76"/>
      <c r="P1781" s="76"/>
    </row>
    <row r="1782" ht="20.25" customHeight="1">
      <c r="A1782" s="664"/>
      <c r="B1782" s="190"/>
      <c r="C1782" s="190"/>
      <c r="D1782" s="190"/>
      <c r="E1782" s="190"/>
      <c r="F1782" s="269"/>
      <c r="G1782" s="76"/>
      <c r="H1782" s="76"/>
      <c r="I1782" s="269"/>
      <c r="J1782" s="269"/>
      <c r="K1782" s="269"/>
      <c r="L1782" s="269"/>
      <c r="M1782" s="76"/>
      <c r="N1782" s="76"/>
      <c r="O1782" s="76"/>
      <c r="P1782" s="76"/>
    </row>
    <row r="1783" ht="20.25" customHeight="1">
      <c r="A1783" s="665"/>
      <c r="B1783" s="189"/>
      <c r="C1783" s="189"/>
      <c r="D1783" s="189"/>
      <c r="E1783" s="189"/>
      <c r="F1783" s="270"/>
      <c r="G1783" s="76"/>
      <c r="H1783" s="76"/>
      <c r="I1783" s="270"/>
      <c r="J1783" s="270"/>
      <c r="K1783" s="270"/>
      <c r="L1783" s="270"/>
      <c r="M1783" s="76"/>
      <c r="N1783" s="76"/>
      <c r="O1783" s="76"/>
      <c r="P1783" s="76"/>
    </row>
    <row r="1784" ht="20.25" customHeight="1">
      <c r="A1784" s="664"/>
      <c r="B1784" s="190"/>
      <c r="C1784" s="190"/>
      <c r="D1784" s="190"/>
      <c r="E1784" s="190"/>
      <c r="F1784" s="269"/>
      <c r="G1784" s="76"/>
      <c r="H1784" s="76"/>
      <c r="I1784" s="269"/>
      <c r="J1784" s="269"/>
      <c r="K1784" s="269"/>
      <c r="L1784" s="269"/>
      <c r="M1784" s="76"/>
      <c r="N1784" s="76"/>
      <c r="O1784" s="76"/>
      <c r="P1784" s="76"/>
    </row>
    <row r="1785" ht="20.25" customHeight="1">
      <c r="A1785" s="665"/>
      <c r="B1785" s="189"/>
      <c r="C1785" s="189"/>
      <c r="D1785" s="189"/>
      <c r="E1785" s="189"/>
      <c r="F1785" s="270"/>
      <c r="G1785" s="76"/>
      <c r="H1785" s="76"/>
      <c r="I1785" s="270"/>
      <c r="J1785" s="270"/>
      <c r="K1785" s="270"/>
      <c r="L1785" s="270"/>
      <c r="M1785" s="76"/>
      <c r="N1785" s="76"/>
      <c r="O1785" s="76"/>
      <c r="P1785" s="76"/>
    </row>
    <row r="1786" ht="20.25" customHeight="1">
      <c r="A1786" s="664"/>
      <c r="B1786" s="190"/>
      <c r="C1786" s="190"/>
      <c r="D1786" s="190"/>
      <c r="E1786" s="190"/>
      <c r="F1786" s="269"/>
      <c r="G1786" s="76"/>
      <c r="H1786" s="76"/>
      <c r="I1786" s="269"/>
      <c r="J1786" s="269"/>
      <c r="K1786" s="269"/>
      <c r="L1786" s="269"/>
      <c r="M1786" s="76"/>
      <c r="N1786" s="76"/>
      <c r="O1786" s="76"/>
      <c r="P1786" s="76"/>
    </row>
    <row r="1787" ht="20.25" customHeight="1">
      <c r="A1787" s="665"/>
      <c r="B1787" s="189"/>
      <c r="C1787" s="189"/>
      <c r="D1787" s="189"/>
      <c r="E1787" s="189"/>
      <c r="F1787" s="270"/>
      <c r="G1787" s="76"/>
      <c r="H1787" s="76"/>
      <c r="I1787" s="270"/>
      <c r="J1787" s="270"/>
      <c r="K1787" s="270"/>
      <c r="L1787" s="270"/>
      <c r="M1787" s="76"/>
      <c r="N1787" s="76"/>
      <c r="O1787" s="76"/>
      <c r="P1787" s="76"/>
    </row>
    <row r="1788" ht="20.25" customHeight="1">
      <c r="A1788" s="664"/>
      <c r="B1788" s="190"/>
      <c r="C1788" s="190"/>
      <c r="D1788" s="190"/>
      <c r="E1788" s="190"/>
      <c r="F1788" s="269"/>
      <c r="G1788" s="76"/>
      <c r="H1788" s="76"/>
      <c r="I1788" s="269"/>
      <c r="J1788" s="269"/>
      <c r="K1788" s="269"/>
      <c r="L1788" s="269"/>
      <c r="M1788" s="76"/>
      <c r="N1788" s="76"/>
      <c r="O1788" s="76"/>
      <c r="P1788" s="76"/>
    </row>
    <row r="1789" ht="20.25" customHeight="1">
      <c r="A1789" s="665"/>
      <c r="B1789" s="189"/>
      <c r="C1789" s="189"/>
      <c r="D1789" s="189"/>
      <c r="E1789" s="189"/>
      <c r="F1789" s="270"/>
      <c r="G1789" s="76"/>
      <c r="H1789" s="76"/>
      <c r="I1789" s="270"/>
      <c r="J1789" s="270"/>
      <c r="K1789" s="270"/>
      <c r="L1789" s="270"/>
      <c r="M1789" s="76"/>
      <c r="N1789" s="76"/>
      <c r="O1789" s="76"/>
      <c r="P1789" s="76"/>
    </row>
    <row r="1790" ht="20.25" customHeight="1">
      <c r="A1790" s="664"/>
      <c r="B1790" s="190"/>
      <c r="C1790" s="190"/>
      <c r="D1790" s="190"/>
      <c r="E1790" s="190"/>
      <c r="F1790" s="269"/>
      <c r="G1790" s="76"/>
      <c r="H1790" s="76"/>
      <c r="I1790" s="269"/>
      <c r="J1790" s="269"/>
      <c r="K1790" s="269"/>
      <c r="L1790" s="269"/>
      <c r="M1790" s="76"/>
      <c r="N1790" s="76"/>
      <c r="O1790" s="76"/>
      <c r="P1790" s="76"/>
    </row>
    <row r="1791" ht="20.25" customHeight="1">
      <c r="A1791" s="665"/>
      <c r="B1791" s="189"/>
      <c r="C1791" s="189"/>
      <c r="D1791" s="189"/>
      <c r="E1791" s="189"/>
      <c r="F1791" s="270"/>
      <c r="G1791" s="76"/>
      <c r="H1791" s="76"/>
      <c r="I1791" s="270"/>
      <c r="J1791" s="270"/>
      <c r="K1791" s="270"/>
      <c r="L1791" s="270"/>
      <c r="M1791" s="76"/>
      <c r="N1791" s="76"/>
      <c r="O1791" s="76"/>
      <c r="P1791" s="76"/>
    </row>
    <row r="1792" ht="20.25" customHeight="1">
      <c r="A1792" s="664"/>
      <c r="B1792" s="190"/>
      <c r="C1792" s="190"/>
      <c r="D1792" s="190"/>
      <c r="E1792" s="190"/>
      <c r="F1792" s="269"/>
      <c r="G1792" s="76"/>
      <c r="H1792" s="76"/>
      <c r="I1792" s="269"/>
      <c r="J1792" s="269"/>
      <c r="K1792" s="269"/>
      <c r="L1792" s="269"/>
      <c r="M1792" s="76"/>
      <c r="N1792" s="76"/>
      <c r="O1792" s="76"/>
      <c r="P1792" s="76"/>
    </row>
    <row r="1793" ht="20.25" customHeight="1">
      <c r="A1793" s="665"/>
      <c r="B1793" s="189"/>
      <c r="C1793" s="189"/>
      <c r="D1793" s="189"/>
      <c r="E1793" s="189"/>
      <c r="F1793" s="270"/>
      <c r="G1793" s="76"/>
      <c r="H1793" s="76"/>
      <c r="I1793" s="270"/>
      <c r="J1793" s="270"/>
      <c r="K1793" s="270"/>
      <c r="L1793" s="270"/>
      <c r="M1793" s="76"/>
      <c r="N1793" s="76"/>
      <c r="O1793" s="76"/>
      <c r="P1793" s="76"/>
    </row>
    <row r="1794" ht="20.25" customHeight="1">
      <c r="A1794" s="664"/>
      <c r="B1794" s="190"/>
      <c r="C1794" s="190"/>
      <c r="D1794" s="190"/>
      <c r="E1794" s="190"/>
      <c r="F1794" s="269"/>
      <c r="G1794" s="76"/>
      <c r="H1794" s="76"/>
      <c r="I1794" s="269"/>
      <c r="J1794" s="269"/>
      <c r="K1794" s="269"/>
      <c r="L1794" s="269"/>
      <c r="M1794" s="76"/>
      <c r="N1794" s="76"/>
      <c r="O1794" s="76"/>
      <c r="P1794" s="76"/>
    </row>
    <row r="1795" ht="20.25" customHeight="1">
      <c r="A1795" s="665"/>
      <c r="B1795" s="189"/>
      <c r="C1795" s="189"/>
      <c r="D1795" s="189"/>
      <c r="E1795" s="189"/>
      <c r="F1795" s="270"/>
      <c r="G1795" s="76"/>
      <c r="H1795" s="76"/>
      <c r="I1795" s="270"/>
      <c r="J1795" s="270"/>
      <c r="K1795" s="270"/>
      <c r="L1795" s="270"/>
      <c r="M1795" s="76"/>
      <c r="N1795" s="76"/>
      <c r="O1795" s="76"/>
      <c r="P1795" s="76"/>
    </row>
    <row r="1796" ht="20.25" customHeight="1">
      <c r="A1796" s="664"/>
      <c r="B1796" s="190"/>
      <c r="C1796" s="190"/>
      <c r="D1796" s="190"/>
      <c r="E1796" s="190"/>
      <c r="F1796" s="269"/>
      <c r="G1796" s="76"/>
      <c r="H1796" s="76"/>
      <c r="I1796" s="269"/>
      <c r="J1796" s="269"/>
      <c r="K1796" s="269"/>
      <c r="L1796" s="269"/>
      <c r="M1796" s="76"/>
      <c r="N1796" s="76"/>
      <c r="O1796" s="76"/>
      <c r="P1796" s="76"/>
    </row>
    <row r="1797" ht="20.25" customHeight="1">
      <c r="A1797" s="665"/>
      <c r="B1797" s="189"/>
      <c r="C1797" s="189"/>
      <c r="D1797" s="189"/>
      <c r="E1797" s="189"/>
      <c r="F1797" s="270"/>
      <c r="G1797" s="76"/>
      <c r="H1797" s="76"/>
      <c r="I1797" s="270"/>
      <c r="J1797" s="270"/>
      <c r="K1797" s="270"/>
      <c r="L1797" s="270"/>
      <c r="M1797" s="76"/>
      <c r="N1797" s="76"/>
      <c r="O1797" s="76"/>
      <c r="P1797" s="76"/>
    </row>
    <row r="1798" ht="20.25" customHeight="1">
      <c r="A1798" s="664"/>
      <c r="B1798" s="190"/>
      <c r="C1798" s="190"/>
      <c r="D1798" s="190"/>
      <c r="E1798" s="190"/>
      <c r="F1798" s="269"/>
      <c r="G1798" s="76"/>
      <c r="H1798" s="76"/>
      <c r="I1798" s="269"/>
      <c r="J1798" s="269"/>
      <c r="K1798" s="269"/>
      <c r="L1798" s="269"/>
      <c r="M1798" s="76"/>
      <c r="N1798" s="76"/>
      <c r="O1798" s="76"/>
      <c r="P1798" s="76"/>
    </row>
    <row r="1799" ht="20.25" customHeight="1">
      <c r="A1799" s="665"/>
      <c r="B1799" s="189"/>
      <c r="C1799" s="189"/>
      <c r="D1799" s="189"/>
      <c r="E1799" s="189"/>
      <c r="F1799" s="270"/>
      <c r="G1799" s="76"/>
      <c r="H1799" s="76"/>
      <c r="I1799" s="270"/>
      <c r="J1799" s="270"/>
      <c r="K1799" s="270"/>
      <c r="L1799" s="270"/>
      <c r="M1799" s="76"/>
      <c r="N1799" s="76"/>
      <c r="O1799" s="76"/>
      <c r="P1799" s="76"/>
    </row>
    <row r="1800" ht="20.25" customHeight="1">
      <c r="A1800" s="664"/>
      <c r="B1800" s="190"/>
      <c r="C1800" s="190"/>
      <c r="D1800" s="190"/>
      <c r="E1800" s="190"/>
      <c r="F1800" s="269"/>
      <c r="G1800" s="76"/>
      <c r="H1800" s="76"/>
      <c r="I1800" s="269"/>
      <c r="J1800" s="269"/>
      <c r="K1800" s="269"/>
      <c r="L1800" s="269"/>
      <c r="M1800" s="76"/>
      <c r="N1800" s="76"/>
      <c r="O1800" s="76"/>
      <c r="P1800" s="76"/>
    </row>
    <row r="1801" ht="20.25" customHeight="1">
      <c r="A1801" s="665"/>
      <c r="B1801" s="189"/>
      <c r="C1801" s="189"/>
      <c r="D1801" s="189"/>
      <c r="E1801" s="189"/>
      <c r="F1801" s="270"/>
      <c r="G1801" s="76"/>
      <c r="H1801" s="76"/>
      <c r="I1801" s="270"/>
      <c r="J1801" s="270"/>
      <c r="K1801" s="270"/>
      <c r="L1801" s="270"/>
      <c r="M1801" s="76"/>
      <c r="N1801" s="76"/>
      <c r="O1801" s="76"/>
      <c r="P1801" s="76"/>
    </row>
    <row r="1802" ht="20.25" customHeight="1">
      <c r="A1802" s="664"/>
      <c r="B1802" s="190"/>
      <c r="C1802" s="190"/>
      <c r="D1802" s="190"/>
      <c r="E1802" s="190"/>
      <c r="F1802" s="269"/>
      <c r="G1802" s="76"/>
      <c r="H1802" s="76"/>
      <c r="I1802" s="269"/>
      <c r="J1802" s="269"/>
      <c r="K1802" s="269"/>
      <c r="L1802" s="269"/>
      <c r="M1802" s="76"/>
      <c r="N1802" s="76"/>
      <c r="O1802" s="76"/>
      <c r="P1802" s="76"/>
    </row>
    <row r="1803" ht="20.25" customHeight="1">
      <c r="A1803" s="665"/>
      <c r="B1803" s="189"/>
      <c r="C1803" s="189"/>
      <c r="D1803" s="189"/>
      <c r="E1803" s="189"/>
      <c r="F1803" s="270"/>
      <c r="G1803" s="76"/>
      <c r="H1803" s="76"/>
      <c r="I1803" s="270"/>
      <c r="J1803" s="270"/>
      <c r="K1803" s="270"/>
      <c r="L1803" s="270"/>
      <c r="M1803" s="76"/>
      <c r="N1803" s="76"/>
      <c r="O1803" s="76"/>
      <c r="P1803" s="76"/>
    </row>
    <row r="1804" ht="20.25" customHeight="1">
      <c r="A1804" s="664"/>
      <c r="B1804" s="190"/>
      <c r="C1804" s="190"/>
      <c r="D1804" s="190"/>
      <c r="E1804" s="190"/>
      <c r="F1804" s="269"/>
      <c r="G1804" s="76"/>
      <c r="H1804" s="76"/>
      <c r="I1804" s="269"/>
      <c r="J1804" s="269"/>
      <c r="K1804" s="269"/>
      <c r="L1804" s="269"/>
      <c r="M1804" s="76"/>
      <c r="N1804" s="76"/>
      <c r="O1804" s="76"/>
      <c r="P1804" s="76"/>
    </row>
    <row r="1805" ht="20.25" customHeight="1">
      <c r="A1805" s="665"/>
      <c r="B1805" s="189"/>
      <c r="C1805" s="189"/>
      <c r="D1805" s="189"/>
      <c r="E1805" s="189"/>
      <c r="F1805" s="270"/>
      <c r="G1805" s="76"/>
      <c r="H1805" s="76"/>
      <c r="I1805" s="270"/>
      <c r="J1805" s="270"/>
      <c r="K1805" s="270"/>
      <c r="L1805" s="270"/>
      <c r="M1805" s="76"/>
      <c r="N1805" s="76"/>
      <c r="O1805" s="76"/>
      <c r="P1805" s="76"/>
    </row>
    <row r="1806" ht="20.25" customHeight="1">
      <c r="A1806" s="664"/>
      <c r="B1806" s="190"/>
      <c r="C1806" s="190"/>
      <c r="D1806" s="190"/>
      <c r="E1806" s="190"/>
      <c r="F1806" s="269"/>
      <c r="G1806" s="76"/>
      <c r="H1806" s="76"/>
      <c r="I1806" s="269"/>
      <c r="J1806" s="269"/>
      <c r="K1806" s="269"/>
      <c r="L1806" s="269"/>
      <c r="M1806" s="76"/>
      <c r="N1806" s="76"/>
      <c r="O1806" s="76"/>
      <c r="P1806" s="76"/>
    </row>
    <row r="1807" ht="20.25" customHeight="1">
      <c r="A1807" s="665"/>
      <c r="B1807" s="189"/>
      <c r="C1807" s="189"/>
      <c r="D1807" s="189"/>
      <c r="E1807" s="189"/>
      <c r="F1807" s="270"/>
      <c r="G1807" s="76"/>
      <c r="H1807" s="76"/>
      <c r="I1807" s="270"/>
      <c r="J1807" s="270"/>
      <c r="K1807" s="270"/>
      <c r="L1807" s="270"/>
      <c r="M1807" s="76"/>
      <c r="N1807" s="76"/>
      <c r="O1807" s="76"/>
      <c r="P1807" s="76"/>
    </row>
    <row r="1808" ht="20.25" customHeight="1">
      <c r="A1808" s="664"/>
      <c r="B1808" s="190"/>
      <c r="C1808" s="190"/>
      <c r="D1808" s="190"/>
      <c r="E1808" s="190"/>
      <c r="F1808" s="269"/>
      <c r="G1808" s="76"/>
      <c r="H1808" s="76"/>
      <c r="I1808" s="269"/>
      <c r="J1808" s="269"/>
      <c r="K1808" s="269"/>
      <c r="L1808" s="269"/>
      <c r="M1808" s="76"/>
      <c r="N1808" s="76"/>
      <c r="O1808" s="76"/>
      <c r="P1808" s="76"/>
    </row>
    <row r="1809" ht="20.25" customHeight="1">
      <c r="A1809" s="665"/>
      <c r="B1809" s="189"/>
      <c r="C1809" s="189"/>
      <c r="D1809" s="189"/>
      <c r="E1809" s="189"/>
      <c r="F1809" s="270"/>
      <c r="G1809" s="76"/>
      <c r="H1809" s="76"/>
      <c r="I1809" s="270"/>
      <c r="J1809" s="270"/>
      <c r="K1809" s="270"/>
      <c r="L1809" s="270"/>
      <c r="M1809" s="76"/>
      <c r="N1809" s="76"/>
      <c r="O1809" s="76"/>
      <c r="P1809" s="76"/>
    </row>
    <row r="1810" ht="20.25" customHeight="1">
      <c r="A1810" s="664"/>
      <c r="B1810" s="190"/>
      <c r="C1810" s="190"/>
      <c r="D1810" s="190"/>
      <c r="E1810" s="190"/>
      <c r="F1810" s="269"/>
      <c r="G1810" s="76"/>
      <c r="H1810" s="76"/>
      <c r="I1810" s="269"/>
      <c r="J1810" s="269"/>
      <c r="K1810" s="269"/>
      <c r="L1810" s="269"/>
      <c r="M1810" s="76"/>
      <c r="N1810" s="76"/>
      <c r="O1810" s="76"/>
      <c r="P1810" s="76"/>
    </row>
    <row r="1811" ht="20.25" customHeight="1">
      <c r="A1811" s="665"/>
      <c r="B1811" s="189"/>
      <c r="C1811" s="189"/>
      <c r="D1811" s="189"/>
      <c r="E1811" s="189"/>
      <c r="F1811" s="270"/>
      <c r="G1811" s="76"/>
      <c r="H1811" s="76"/>
      <c r="I1811" s="270"/>
      <c r="J1811" s="270"/>
      <c r="K1811" s="270"/>
      <c r="L1811" s="270"/>
      <c r="M1811" s="76"/>
      <c r="N1811" s="76"/>
      <c r="O1811" s="76"/>
      <c r="P1811" s="76"/>
    </row>
    <row r="1812" ht="20.25" customHeight="1">
      <c r="A1812" s="664"/>
      <c r="B1812" s="190"/>
      <c r="C1812" s="190"/>
      <c r="D1812" s="190"/>
      <c r="E1812" s="190"/>
      <c r="F1812" s="269"/>
      <c r="G1812" s="76"/>
      <c r="H1812" s="76"/>
      <c r="I1812" s="269"/>
      <c r="J1812" s="269"/>
      <c r="K1812" s="269"/>
      <c r="L1812" s="269"/>
      <c r="M1812" s="76"/>
      <c r="N1812" s="76"/>
      <c r="O1812" s="76"/>
      <c r="P1812" s="76"/>
    </row>
    <row r="1813" ht="20.25" customHeight="1">
      <c r="A1813" s="665"/>
      <c r="B1813" s="189"/>
      <c r="C1813" s="189"/>
      <c r="D1813" s="189"/>
      <c r="E1813" s="189"/>
      <c r="F1813" s="270"/>
      <c r="G1813" s="76"/>
      <c r="H1813" s="76"/>
      <c r="I1813" s="270"/>
      <c r="J1813" s="270"/>
      <c r="K1813" s="270"/>
      <c r="L1813" s="270"/>
      <c r="M1813" s="76"/>
      <c r="N1813" s="76"/>
      <c r="O1813" s="76"/>
      <c r="P1813" s="76"/>
    </row>
    <row r="1814" ht="20.25" customHeight="1">
      <c r="A1814" s="664"/>
      <c r="B1814" s="190"/>
      <c r="C1814" s="190"/>
      <c r="D1814" s="190"/>
      <c r="E1814" s="190"/>
      <c r="F1814" s="269"/>
      <c r="G1814" s="76"/>
      <c r="H1814" s="76"/>
      <c r="I1814" s="269"/>
      <c r="J1814" s="269"/>
      <c r="K1814" s="269"/>
      <c r="L1814" s="269"/>
      <c r="M1814" s="76"/>
      <c r="N1814" s="76"/>
      <c r="O1814" s="76"/>
      <c r="P1814" s="76"/>
    </row>
    <row r="1815" ht="20.25" customHeight="1">
      <c r="A1815" s="665"/>
      <c r="B1815" s="189"/>
      <c r="C1815" s="189"/>
      <c r="D1815" s="189"/>
      <c r="E1815" s="189"/>
      <c r="F1815" s="270"/>
      <c r="G1815" s="76"/>
      <c r="H1815" s="76"/>
      <c r="I1815" s="270"/>
      <c r="J1815" s="270"/>
      <c r="K1815" s="270"/>
      <c r="L1815" s="270"/>
      <c r="M1815" s="76"/>
      <c r="N1815" s="76"/>
      <c r="O1815" s="76"/>
      <c r="P1815" s="76"/>
    </row>
    <row r="1816" ht="20.25" customHeight="1">
      <c r="A1816" s="664"/>
      <c r="B1816" s="190"/>
      <c r="C1816" s="190"/>
      <c r="D1816" s="190"/>
      <c r="E1816" s="190"/>
      <c r="F1816" s="269"/>
      <c r="G1816" s="76"/>
      <c r="H1816" s="76"/>
      <c r="I1816" s="269"/>
      <c r="J1816" s="269"/>
      <c r="K1816" s="269"/>
      <c r="L1816" s="269"/>
      <c r="M1816" s="76"/>
      <c r="N1816" s="76"/>
      <c r="O1816" s="76"/>
      <c r="P1816" s="76"/>
    </row>
    <row r="1817" ht="20.25" customHeight="1">
      <c r="A1817" s="665"/>
      <c r="B1817" s="189"/>
      <c r="C1817" s="189"/>
      <c r="D1817" s="189"/>
      <c r="E1817" s="189"/>
      <c r="F1817" s="270"/>
      <c r="G1817" s="76"/>
      <c r="H1817" s="76"/>
      <c r="I1817" s="270"/>
      <c r="J1817" s="270"/>
      <c r="K1817" s="270"/>
      <c r="L1817" s="270"/>
      <c r="M1817" s="76"/>
      <c r="N1817" s="76"/>
      <c r="O1817" s="76"/>
      <c r="P1817" s="76"/>
    </row>
    <row r="1818" ht="20.25" customHeight="1">
      <c r="A1818" s="664"/>
      <c r="B1818" s="190"/>
      <c r="C1818" s="190"/>
      <c r="D1818" s="190"/>
      <c r="E1818" s="190"/>
      <c r="F1818" s="269"/>
      <c r="G1818" s="76"/>
      <c r="H1818" s="76"/>
      <c r="I1818" s="269"/>
      <c r="J1818" s="269"/>
      <c r="K1818" s="269"/>
      <c r="L1818" s="269"/>
      <c r="M1818" s="76"/>
      <c r="N1818" s="76"/>
      <c r="O1818" s="76"/>
      <c r="P1818" s="76"/>
    </row>
    <row r="1819" ht="20.25" customHeight="1">
      <c r="A1819" s="665"/>
      <c r="B1819" s="189"/>
      <c r="C1819" s="189"/>
      <c r="D1819" s="189"/>
      <c r="E1819" s="189"/>
      <c r="F1819" s="270"/>
      <c r="G1819" s="76"/>
      <c r="H1819" s="76"/>
      <c r="I1819" s="270"/>
      <c r="J1819" s="270"/>
      <c r="K1819" s="270"/>
      <c r="L1819" s="270"/>
      <c r="M1819" s="76"/>
      <c r="N1819" s="76"/>
      <c r="O1819" s="76"/>
      <c r="P1819" s="76"/>
    </row>
    <row r="1820" ht="20.25" customHeight="1">
      <c r="A1820" s="664"/>
      <c r="B1820" s="190"/>
      <c r="C1820" s="190"/>
      <c r="D1820" s="190"/>
      <c r="E1820" s="190"/>
      <c r="F1820" s="269"/>
      <c r="G1820" s="76"/>
      <c r="H1820" s="76"/>
      <c r="I1820" s="269"/>
      <c r="J1820" s="269"/>
      <c r="K1820" s="269"/>
      <c r="L1820" s="269"/>
      <c r="M1820" s="76"/>
      <c r="N1820" s="76"/>
      <c r="O1820" s="76"/>
      <c r="P1820" s="76"/>
    </row>
    <row r="1821" ht="20.25" customHeight="1">
      <c r="A1821" s="665"/>
      <c r="B1821" s="189"/>
      <c r="C1821" s="189"/>
      <c r="D1821" s="189"/>
      <c r="E1821" s="189"/>
      <c r="F1821" s="270"/>
      <c r="G1821" s="76"/>
      <c r="H1821" s="76"/>
      <c r="I1821" s="270"/>
      <c r="J1821" s="270"/>
      <c r="K1821" s="270"/>
      <c r="L1821" s="270"/>
      <c r="M1821" s="76"/>
      <c r="N1821" s="76"/>
      <c r="O1821" s="76"/>
      <c r="P1821" s="76"/>
    </row>
    <row r="1822" ht="20.25" customHeight="1">
      <c r="A1822" s="664"/>
      <c r="B1822" s="190"/>
      <c r="C1822" s="190"/>
      <c r="D1822" s="190"/>
      <c r="E1822" s="190"/>
      <c r="F1822" s="269"/>
      <c r="G1822" s="76"/>
      <c r="H1822" s="76"/>
      <c r="I1822" s="269"/>
      <c r="J1822" s="269"/>
      <c r="K1822" s="269"/>
      <c r="L1822" s="269"/>
      <c r="M1822" s="76"/>
      <c r="N1822" s="76"/>
      <c r="O1822" s="76"/>
      <c r="P1822" s="76"/>
    </row>
    <row r="1823" ht="20.25" customHeight="1">
      <c r="A1823" s="665"/>
      <c r="B1823" s="189"/>
      <c r="C1823" s="189"/>
      <c r="D1823" s="189"/>
      <c r="E1823" s="189"/>
      <c r="F1823" s="270"/>
      <c r="G1823" s="76"/>
      <c r="H1823" s="76"/>
      <c r="I1823" s="270"/>
      <c r="J1823" s="270"/>
      <c r="K1823" s="270"/>
      <c r="L1823" s="270"/>
      <c r="M1823" s="76"/>
      <c r="N1823" s="76"/>
      <c r="O1823" s="76"/>
      <c r="P1823" s="76"/>
    </row>
    <row r="1824" ht="20.25" customHeight="1">
      <c r="A1824" s="664"/>
      <c r="B1824" s="190"/>
      <c r="C1824" s="190"/>
      <c r="D1824" s="190"/>
      <c r="E1824" s="190"/>
      <c r="F1824" s="269"/>
      <c r="G1824" s="76"/>
      <c r="H1824" s="76"/>
      <c r="I1824" s="269"/>
      <c r="J1824" s="269"/>
      <c r="K1824" s="269"/>
      <c r="L1824" s="269"/>
      <c r="M1824" s="76"/>
      <c r="N1824" s="76"/>
      <c r="O1824" s="76"/>
      <c r="P1824" s="76"/>
    </row>
    <row r="1825" ht="20.25" customHeight="1">
      <c r="A1825" s="665"/>
      <c r="B1825" s="189"/>
      <c r="C1825" s="189"/>
      <c r="D1825" s="189"/>
      <c r="E1825" s="189"/>
      <c r="F1825" s="270"/>
      <c r="G1825" s="76"/>
      <c r="H1825" s="76"/>
      <c r="I1825" s="270"/>
      <c r="J1825" s="270"/>
      <c r="K1825" s="270"/>
      <c r="L1825" s="270"/>
      <c r="M1825" s="76"/>
      <c r="N1825" s="76"/>
      <c r="O1825" s="76"/>
      <c r="P1825" s="76"/>
    </row>
    <row r="1826" ht="20.25" customHeight="1">
      <c r="A1826" s="664"/>
      <c r="B1826" s="190"/>
      <c r="C1826" s="190"/>
      <c r="D1826" s="190"/>
      <c r="E1826" s="190"/>
      <c r="F1826" s="269"/>
      <c r="G1826" s="76"/>
      <c r="H1826" s="76"/>
      <c r="I1826" s="269"/>
      <c r="J1826" s="269"/>
      <c r="K1826" s="269"/>
      <c r="L1826" s="269"/>
      <c r="M1826" s="76"/>
      <c r="N1826" s="76"/>
      <c r="O1826" s="76"/>
      <c r="P1826" s="76"/>
    </row>
    <row r="1827" ht="20.25" customHeight="1">
      <c r="A1827" s="665"/>
      <c r="B1827" s="189"/>
      <c r="C1827" s="189"/>
      <c r="D1827" s="189"/>
      <c r="E1827" s="189"/>
      <c r="F1827" s="270"/>
      <c r="G1827" s="76"/>
      <c r="H1827" s="76"/>
      <c r="I1827" s="270"/>
      <c r="J1827" s="270"/>
      <c r="K1827" s="270"/>
      <c r="L1827" s="270"/>
      <c r="M1827" s="76"/>
      <c r="N1827" s="76"/>
      <c r="O1827" s="76"/>
      <c r="P1827" s="76"/>
    </row>
    <row r="1828" ht="20.25" customHeight="1">
      <c r="A1828" s="664"/>
      <c r="B1828" s="190"/>
      <c r="C1828" s="190"/>
      <c r="D1828" s="190"/>
      <c r="E1828" s="190"/>
      <c r="F1828" s="269"/>
      <c r="G1828" s="76"/>
      <c r="H1828" s="76"/>
      <c r="I1828" s="269"/>
      <c r="J1828" s="269"/>
      <c r="K1828" s="269"/>
      <c r="L1828" s="269"/>
      <c r="M1828" s="76"/>
      <c r="N1828" s="76"/>
      <c r="O1828" s="76"/>
      <c r="P1828" s="76"/>
    </row>
    <row r="1829" ht="20.25" customHeight="1">
      <c r="A1829" s="665"/>
      <c r="B1829" s="189"/>
      <c r="C1829" s="189"/>
      <c r="D1829" s="189"/>
      <c r="E1829" s="189"/>
      <c r="F1829" s="270"/>
      <c r="G1829" s="76"/>
      <c r="H1829" s="76"/>
      <c r="I1829" s="270"/>
      <c r="J1829" s="270"/>
      <c r="K1829" s="270"/>
      <c r="L1829" s="270"/>
      <c r="M1829" s="76"/>
      <c r="N1829" s="76"/>
      <c r="O1829" s="76"/>
      <c r="P1829" s="76"/>
    </row>
    <row r="1830" ht="20.25" customHeight="1">
      <c r="A1830" s="664"/>
      <c r="B1830" s="190"/>
      <c r="C1830" s="190"/>
      <c r="D1830" s="190"/>
      <c r="E1830" s="190"/>
      <c r="F1830" s="269"/>
      <c r="G1830" s="76"/>
      <c r="H1830" s="76"/>
      <c r="I1830" s="269"/>
      <c r="J1830" s="269"/>
      <c r="K1830" s="269"/>
      <c r="L1830" s="269"/>
      <c r="M1830" s="76"/>
      <c r="N1830" s="76"/>
      <c r="O1830" s="76"/>
      <c r="P1830" s="76"/>
    </row>
    <row r="1831" ht="20.25" customHeight="1">
      <c r="A1831" s="665"/>
      <c r="B1831" s="189"/>
      <c r="C1831" s="189"/>
      <c r="D1831" s="189"/>
      <c r="E1831" s="189"/>
      <c r="F1831" s="270"/>
      <c r="G1831" s="76"/>
      <c r="H1831" s="76"/>
      <c r="I1831" s="270"/>
      <c r="J1831" s="270"/>
      <c r="K1831" s="270"/>
      <c r="L1831" s="270"/>
      <c r="M1831" s="76"/>
      <c r="N1831" s="76"/>
      <c r="O1831" s="76"/>
      <c r="P1831" s="76"/>
    </row>
    <row r="1832" ht="20.25" customHeight="1">
      <c r="A1832" s="664"/>
      <c r="B1832" s="190"/>
      <c r="C1832" s="190"/>
      <c r="D1832" s="190"/>
      <c r="E1832" s="190"/>
      <c r="F1832" s="269"/>
      <c r="G1832" s="76"/>
      <c r="H1832" s="76"/>
      <c r="I1832" s="269"/>
      <c r="J1832" s="269"/>
      <c r="K1832" s="269"/>
      <c r="L1832" s="269"/>
      <c r="M1832" s="76"/>
      <c r="N1832" s="76"/>
      <c r="O1832" s="76"/>
      <c r="P1832" s="76"/>
    </row>
    <row r="1833" ht="20.25" customHeight="1">
      <c r="A1833" s="665"/>
      <c r="B1833" s="189"/>
      <c r="C1833" s="189"/>
      <c r="D1833" s="189"/>
      <c r="E1833" s="189"/>
      <c r="F1833" s="270"/>
      <c r="G1833" s="76"/>
      <c r="H1833" s="76"/>
      <c r="I1833" s="270"/>
      <c r="J1833" s="270"/>
      <c r="K1833" s="270"/>
      <c r="L1833" s="270"/>
      <c r="M1833" s="76"/>
      <c r="N1833" s="76"/>
      <c r="O1833" s="76"/>
      <c r="P1833" s="76"/>
    </row>
    <row r="1834" ht="20.25" customHeight="1">
      <c r="A1834" s="664"/>
      <c r="B1834" s="190"/>
      <c r="C1834" s="190"/>
      <c r="D1834" s="190"/>
      <c r="E1834" s="190"/>
      <c r="F1834" s="269"/>
      <c r="G1834" s="76"/>
      <c r="H1834" s="76"/>
      <c r="I1834" s="269"/>
      <c r="J1834" s="269"/>
      <c r="K1834" s="269"/>
      <c r="L1834" s="269"/>
      <c r="M1834" s="76"/>
      <c r="N1834" s="76"/>
      <c r="O1834" s="76"/>
      <c r="P1834" s="76"/>
    </row>
    <row r="1835" ht="20.25" customHeight="1">
      <c r="A1835" s="665"/>
      <c r="B1835" s="189"/>
      <c r="C1835" s="189"/>
      <c r="D1835" s="189"/>
      <c r="E1835" s="189"/>
      <c r="F1835" s="270"/>
      <c r="G1835" s="76"/>
      <c r="H1835" s="76"/>
      <c r="I1835" s="270"/>
      <c r="J1835" s="270"/>
      <c r="K1835" s="270"/>
      <c r="L1835" s="270"/>
      <c r="M1835" s="76"/>
      <c r="N1835" s="76"/>
      <c r="O1835" s="76"/>
      <c r="P1835" s="76"/>
    </row>
    <row r="1836" ht="20.25" customHeight="1">
      <c r="A1836" s="664"/>
      <c r="B1836" s="190"/>
      <c r="C1836" s="190"/>
      <c r="D1836" s="190"/>
      <c r="E1836" s="190"/>
      <c r="F1836" s="269"/>
      <c r="G1836" s="76"/>
      <c r="H1836" s="76"/>
      <c r="I1836" s="269"/>
      <c r="J1836" s="269"/>
      <c r="K1836" s="269"/>
      <c r="L1836" s="269"/>
      <c r="M1836" s="76"/>
      <c r="N1836" s="76"/>
      <c r="O1836" s="76"/>
      <c r="P1836" s="76"/>
    </row>
    <row r="1837" ht="20.25" customHeight="1">
      <c r="A1837" s="665"/>
      <c r="B1837" s="189"/>
      <c r="C1837" s="189"/>
      <c r="D1837" s="189"/>
      <c r="E1837" s="189"/>
      <c r="F1837" s="270"/>
      <c r="G1837" s="76"/>
      <c r="H1837" s="76"/>
      <c r="I1837" s="270"/>
      <c r="J1837" s="270"/>
      <c r="K1837" s="270"/>
      <c r="L1837" s="270"/>
      <c r="M1837" s="76"/>
      <c r="N1837" s="76"/>
      <c r="O1837" s="76"/>
      <c r="P1837" s="76"/>
    </row>
    <row r="1838" ht="20.25" customHeight="1">
      <c r="A1838" s="664"/>
      <c r="B1838" s="190"/>
      <c r="C1838" s="190"/>
      <c r="D1838" s="190"/>
      <c r="E1838" s="190"/>
      <c r="F1838" s="269"/>
      <c r="G1838" s="76"/>
      <c r="H1838" s="76"/>
      <c r="I1838" s="269"/>
      <c r="J1838" s="269"/>
      <c r="K1838" s="269"/>
      <c r="L1838" s="269"/>
      <c r="M1838" s="76"/>
      <c r="N1838" s="76"/>
      <c r="O1838" s="76"/>
      <c r="P1838" s="76"/>
    </row>
    <row r="1839" ht="20.25" customHeight="1">
      <c r="A1839" s="665"/>
      <c r="B1839" s="189"/>
      <c r="C1839" s="189"/>
      <c r="D1839" s="189"/>
      <c r="E1839" s="189"/>
      <c r="F1839" s="270"/>
      <c r="G1839" s="76"/>
      <c r="H1839" s="76"/>
      <c r="I1839" s="270"/>
      <c r="J1839" s="270"/>
      <c r="K1839" s="270"/>
      <c r="L1839" s="270"/>
      <c r="M1839" s="76"/>
      <c r="N1839" s="76"/>
      <c r="O1839" s="76"/>
      <c r="P1839" s="76"/>
    </row>
    <row r="1840" ht="20.25" customHeight="1">
      <c r="A1840" s="664"/>
      <c r="B1840" s="190"/>
      <c r="C1840" s="190"/>
      <c r="D1840" s="190"/>
      <c r="E1840" s="190"/>
      <c r="F1840" s="269"/>
      <c r="G1840" s="76"/>
      <c r="H1840" s="76"/>
      <c r="I1840" s="269"/>
      <c r="J1840" s="269"/>
      <c r="K1840" s="269"/>
      <c r="L1840" s="269"/>
      <c r="M1840" s="76"/>
      <c r="N1840" s="76"/>
      <c r="O1840" s="76"/>
      <c r="P1840" s="76"/>
    </row>
    <row r="1841" ht="20.25" customHeight="1">
      <c r="A1841" s="665"/>
      <c r="B1841" s="189"/>
      <c r="C1841" s="189"/>
      <c r="D1841" s="189"/>
      <c r="E1841" s="189"/>
      <c r="F1841" s="270"/>
      <c r="G1841" s="76"/>
      <c r="H1841" s="76"/>
      <c r="I1841" s="270"/>
      <c r="J1841" s="270"/>
      <c r="K1841" s="270"/>
      <c r="L1841" s="270"/>
      <c r="M1841" s="76"/>
      <c r="N1841" s="76"/>
      <c r="O1841" s="76"/>
      <c r="P1841" s="76"/>
    </row>
    <row r="1842" ht="20.25" customHeight="1">
      <c r="A1842" s="664"/>
      <c r="B1842" s="190"/>
      <c r="C1842" s="190"/>
      <c r="D1842" s="190"/>
      <c r="E1842" s="190"/>
      <c r="F1842" s="269"/>
      <c r="G1842" s="76"/>
      <c r="H1842" s="76"/>
      <c r="I1842" s="269"/>
      <c r="J1842" s="269"/>
      <c r="K1842" s="269"/>
      <c r="L1842" s="269"/>
      <c r="M1842" s="76"/>
      <c r="N1842" s="76"/>
      <c r="O1842" s="76"/>
      <c r="P1842" s="76"/>
    </row>
    <row r="1843" ht="20.25" customHeight="1">
      <c r="A1843" s="665"/>
      <c r="B1843" s="189"/>
      <c r="C1843" s="189"/>
      <c r="D1843" s="189"/>
      <c r="E1843" s="189"/>
      <c r="F1843" s="270"/>
      <c r="G1843" s="76"/>
      <c r="H1843" s="76"/>
      <c r="I1843" s="270"/>
      <c r="J1843" s="270"/>
      <c r="K1843" s="270"/>
      <c r="L1843" s="270"/>
      <c r="M1843" s="76"/>
      <c r="N1843" s="76"/>
      <c r="O1843" s="76"/>
      <c r="P1843" s="76"/>
    </row>
    <row r="1844" ht="20.25" customHeight="1">
      <c r="A1844" s="664"/>
      <c r="B1844" s="190"/>
      <c r="C1844" s="190"/>
      <c r="D1844" s="190"/>
      <c r="E1844" s="190"/>
      <c r="F1844" s="269"/>
      <c r="G1844" s="76"/>
      <c r="H1844" s="76"/>
      <c r="I1844" s="269"/>
      <c r="J1844" s="269"/>
      <c r="K1844" s="269"/>
      <c r="L1844" s="269"/>
      <c r="M1844" s="76"/>
      <c r="N1844" s="76"/>
      <c r="O1844" s="76"/>
      <c r="P1844" s="76"/>
    </row>
    <row r="1845" ht="20.25" customHeight="1">
      <c r="A1845" s="665"/>
      <c r="B1845" s="189"/>
      <c r="C1845" s="189"/>
      <c r="D1845" s="189"/>
      <c r="E1845" s="189"/>
      <c r="F1845" s="270"/>
      <c r="G1845" s="76"/>
      <c r="H1845" s="76"/>
      <c r="I1845" s="270"/>
      <c r="J1845" s="270"/>
      <c r="K1845" s="270"/>
      <c r="L1845" s="270"/>
      <c r="M1845" s="76"/>
      <c r="N1845" s="76"/>
      <c r="O1845" s="76"/>
      <c r="P1845" s="76"/>
    </row>
    <row r="1846" ht="20.25" customHeight="1">
      <c r="A1846" s="664"/>
      <c r="B1846" s="190"/>
      <c r="C1846" s="190"/>
      <c r="D1846" s="190"/>
      <c r="E1846" s="190"/>
      <c r="F1846" s="269"/>
      <c r="G1846" s="76"/>
      <c r="H1846" s="76"/>
      <c r="I1846" s="269"/>
      <c r="J1846" s="269"/>
      <c r="K1846" s="269"/>
      <c r="L1846" s="269"/>
      <c r="M1846" s="76"/>
      <c r="N1846" s="76"/>
      <c r="O1846" s="76"/>
      <c r="P1846" s="76"/>
    </row>
    <row r="1847" ht="20.25" customHeight="1">
      <c r="A1847" s="665"/>
      <c r="B1847" s="189"/>
      <c r="C1847" s="189"/>
      <c r="D1847" s="189"/>
      <c r="E1847" s="189"/>
      <c r="F1847" s="270"/>
      <c r="G1847" s="76"/>
      <c r="H1847" s="76"/>
      <c r="I1847" s="270"/>
      <c r="J1847" s="270"/>
      <c r="K1847" s="270"/>
      <c r="L1847" s="270"/>
      <c r="M1847" s="76"/>
      <c r="N1847" s="76"/>
      <c r="O1847" s="76"/>
      <c r="P1847" s="76"/>
    </row>
    <row r="1848" ht="20.25" customHeight="1">
      <c r="A1848" s="664"/>
      <c r="B1848" s="190"/>
      <c r="C1848" s="190"/>
      <c r="D1848" s="190"/>
      <c r="E1848" s="190"/>
      <c r="F1848" s="269"/>
      <c r="G1848" s="76"/>
      <c r="H1848" s="76"/>
      <c r="I1848" s="269"/>
      <c r="J1848" s="269"/>
      <c r="K1848" s="269"/>
      <c r="L1848" s="269"/>
      <c r="M1848" s="76"/>
      <c r="N1848" s="76"/>
      <c r="O1848" s="76"/>
      <c r="P1848" s="76"/>
    </row>
    <row r="1849" ht="20.25" customHeight="1">
      <c r="A1849" s="665"/>
      <c r="B1849" s="189"/>
      <c r="C1849" s="189"/>
      <c r="D1849" s="189"/>
      <c r="E1849" s="189"/>
      <c r="F1849" s="270"/>
      <c r="G1849" s="76"/>
      <c r="H1849" s="76"/>
      <c r="I1849" s="270"/>
      <c r="J1849" s="270"/>
      <c r="K1849" s="270"/>
      <c r="L1849" s="270"/>
      <c r="M1849" s="76"/>
      <c r="N1849" s="76"/>
      <c r="O1849" s="76"/>
      <c r="P1849" s="76"/>
    </row>
    <row r="1850" ht="20.25" customHeight="1">
      <c r="A1850" s="664"/>
      <c r="B1850" s="190"/>
      <c r="C1850" s="190"/>
      <c r="D1850" s="190"/>
      <c r="E1850" s="190"/>
      <c r="F1850" s="269"/>
      <c r="G1850" s="76"/>
      <c r="H1850" s="76"/>
      <c r="I1850" s="269"/>
      <c r="J1850" s="269"/>
      <c r="K1850" s="269"/>
      <c r="L1850" s="269"/>
      <c r="M1850" s="76"/>
      <c r="N1850" s="76"/>
      <c r="O1850" s="76"/>
      <c r="P1850" s="76"/>
    </row>
    <row r="1851" ht="20.25" customHeight="1">
      <c r="A1851" s="665"/>
      <c r="B1851" s="189"/>
      <c r="C1851" s="189"/>
      <c r="D1851" s="189"/>
      <c r="E1851" s="189"/>
      <c r="F1851" s="270"/>
      <c r="G1851" s="76"/>
      <c r="H1851" s="76"/>
      <c r="I1851" s="270"/>
      <c r="J1851" s="270"/>
      <c r="K1851" s="270"/>
      <c r="L1851" s="270"/>
      <c r="M1851" s="76"/>
      <c r="N1851" s="76"/>
      <c r="O1851" s="76"/>
      <c r="P1851" s="76"/>
    </row>
    <row r="1852" ht="20.25" customHeight="1">
      <c r="A1852" s="664"/>
      <c r="B1852" s="190"/>
      <c r="C1852" s="190"/>
      <c r="D1852" s="190"/>
      <c r="E1852" s="190"/>
      <c r="F1852" s="269"/>
      <c r="G1852" s="76"/>
      <c r="H1852" s="76"/>
      <c r="I1852" s="269"/>
      <c r="J1852" s="269"/>
      <c r="K1852" s="269"/>
      <c r="L1852" s="269"/>
      <c r="M1852" s="76"/>
      <c r="N1852" s="76"/>
      <c r="O1852" s="76"/>
      <c r="P1852" s="76"/>
    </row>
    <row r="1853" ht="20.25" customHeight="1">
      <c r="A1853" s="665"/>
      <c r="B1853" s="189"/>
      <c r="C1853" s="189"/>
      <c r="D1853" s="189"/>
      <c r="E1853" s="189"/>
      <c r="F1853" s="270"/>
      <c r="G1853" s="76"/>
      <c r="H1853" s="76"/>
      <c r="I1853" s="270"/>
      <c r="J1853" s="270"/>
      <c r="K1853" s="270"/>
      <c r="L1853" s="270"/>
      <c r="M1853" s="76"/>
      <c r="N1853" s="76"/>
      <c r="O1853" s="76"/>
      <c r="P1853" s="76"/>
    </row>
    <row r="1854" ht="20.25" customHeight="1">
      <c r="A1854" s="664"/>
      <c r="B1854" s="190"/>
      <c r="C1854" s="190"/>
      <c r="D1854" s="190"/>
      <c r="E1854" s="190"/>
      <c r="F1854" s="269"/>
      <c r="G1854" s="76"/>
      <c r="H1854" s="76"/>
      <c r="I1854" s="269"/>
      <c r="J1854" s="269"/>
      <c r="K1854" s="269"/>
      <c r="L1854" s="269"/>
      <c r="M1854" s="76"/>
      <c r="N1854" s="76"/>
      <c r="O1854" s="76"/>
      <c r="P1854" s="76"/>
    </row>
    <row r="1855" ht="20.25" customHeight="1">
      <c r="A1855" s="665"/>
      <c r="B1855" s="189"/>
      <c r="C1855" s="189"/>
      <c r="D1855" s="189"/>
      <c r="E1855" s="189"/>
      <c r="F1855" s="270"/>
      <c r="G1855" s="76"/>
      <c r="H1855" s="76"/>
      <c r="I1855" s="270"/>
      <c r="J1855" s="270"/>
      <c r="K1855" s="270"/>
      <c r="L1855" s="270"/>
      <c r="M1855" s="76"/>
      <c r="N1855" s="76"/>
      <c r="O1855" s="76"/>
      <c r="P1855" s="76"/>
    </row>
    <row r="1856" ht="20.25" customHeight="1">
      <c r="A1856" s="664"/>
      <c r="B1856" s="190"/>
      <c r="C1856" s="190"/>
      <c r="D1856" s="190"/>
      <c r="E1856" s="190"/>
      <c r="F1856" s="269"/>
      <c r="G1856" s="76"/>
      <c r="H1856" s="76"/>
      <c r="I1856" s="269"/>
      <c r="J1856" s="269"/>
      <c r="K1856" s="269"/>
      <c r="L1856" s="269"/>
      <c r="M1856" s="76"/>
      <c r="N1856" s="76"/>
      <c r="O1856" s="76"/>
      <c r="P1856" s="76"/>
    </row>
    <row r="1857" ht="20.25" customHeight="1">
      <c r="A1857" s="665"/>
      <c r="B1857" s="189"/>
      <c r="C1857" s="189"/>
      <c r="D1857" s="189"/>
      <c r="E1857" s="189"/>
      <c r="F1857" s="270"/>
      <c r="G1857" s="76"/>
      <c r="H1857" s="76"/>
      <c r="I1857" s="270"/>
      <c r="J1857" s="270"/>
      <c r="K1857" s="270"/>
      <c r="L1857" s="270"/>
      <c r="M1857" s="76"/>
      <c r="N1857" s="76"/>
      <c r="O1857" s="76"/>
      <c r="P1857" s="76"/>
    </row>
    <row r="1858" ht="20.25" customHeight="1">
      <c r="A1858" s="664"/>
      <c r="B1858" s="190"/>
      <c r="C1858" s="190"/>
      <c r="D1858" s="190"/>
      <c r="E1858" s="190"/>
      <c r="F1858" s="269"/>
      <c r="G1858" s="76"/>
      <c r="H1858" s="76"/>
      <c r="I1858" s="269"/>
      <c r="J1858" s="269"/>
      <c r="K1858" s="269"/>
      <c r="L1858" s="269"/>
      <c r="M1858" s="76"/>
      <c r="N1858" s="76"/>
      <c r="O1858" s="76"/>
      <c r="P1858" s="76"/>
    </row>
    <row r="1859" ht="20.25" customHeight="1">
      <c r="A1859" s="665"/>
      <c r="B1859" s="189"/>
      <c r="C1859" s="189"/>
      <c r="D1859" s="189"/>
      <c r="E1859" s="189"/>
      <c r="F1859" s="270"/>
      <c r="G1859" s="76"/>
      <c r="H1859" s="76"/>
      <c r="I1859" s="270"/>
      <c r="J1859" s="270"/>
      <c r="K1859" s="270"/>
      <c r="L1859" s="270"/>
      <c r="M1859" s="76"/>
      <c r="N1859" s="76"/>
      <c r="O1859" s="76"/>
      <c r="P1859" s="76"/>
    </row>
    <row r="1860" ht="20.25" customHeight="1">
      <c r="A1860" s="664"/>
      <c r="B1860" s="190"/>
      <c r="C1860" s="190"/>
      <c r="D1860" s="190"/>
      <c r="E1860" s="190"/>
      <c r="F1860" s="269"/>
      <c r="G1860" s="76"/>
      <c r="H1860" s="76"/>
      <c r="I1860" s="269"/>
      <c r="J1860" s="269"/>
      <c r="K1860" s="269"/>
      <c r="L1860" s="269"/>
      <c r="M1860" s="76"/>
      <c r="N1860" s="76"/>
      <c r="O1860" s="76"/>
      <c r="P1860" s="76"/>
    </row>
    <row r="1861" ht="20.25" customHeight="1">
      <c r="A1861" s="665"/>
      <c r="B1861" s="189"/>
      <c r="C1861" s="189"/>
      <c r="D1861" s="189"/>
      <c r="E1861" s="189"/>
      <c r="F1861" s="270"/>
      <c r="G1861" s="76"/>
      <c r="H1861" s="76"/>
      <c r="I1861" s="270"/>
      <c r="J1861" s="270"/>
      <c r="K1861" s="270"/>
      <c r="L1861" s="270"/>
      <c r="M1861" s="76"/>
      <c r="N1861" s="76"/>
      <c r="O1861" s="76"/>
      <c r="P1861" s="76"/>
    </row>
    <row r="1862" ht="20.25" customHeight="1">
      <c r="A1862" s="664"/>
      <c r="B1862" s="190"/>
      <c r="C1862" s="190"/>
      <c r="D1862" s="190"/>
      <c r="E1862" s="190"/>
      <c r="F1862" s="269"/>
      <c r="G1862" s="76"/>
      <c r="H1862" s="76"/>
      <c r="I1862" s="269"/>
      <c r="J1862" s="269"/>
      <c r="K1862" s="269"/>
      <c r="L1862" s="269"/>
      <c r="M1862" s="76"/>
      <c r="N1862" s="76"/>
      <c r="O1862" s="76"/>
      <c r="P1862" s="76"/>
    </row>
    <row r="1863" ht="20.25" customHeight="1">
      <c r="A1863" s="665"/>
      <c r="B1863" s="189"/>
      <c r="C1863" s="189"/>
      <c r="D1863" s="189"/>
      <c r="E1863" s="189"/>
      <c r="F1863" s="270"/>
      <c r="G1863" s="76"/>
      <c r="H1863" s="76"/>
      <c r="I1863" s="270"/>
      <c r="J1863" s="270"/>
      <c r="K1863" s="270"/>
      <c r="L1863" s="270"/>
      <c r="M1863" s="76"/>
      <c r="N1863" s="76"/>
      <c r="O1863" s="76"/>
      <c r="P1863" s="76"/>
    </row>
    <row r="1864" ht="20.25" customHeight="1">
      <c r="A1864" s="664"/>
      <c r="B1864" s="190"/>
      <c r="C1864" s="190"/>
      <c r="D1864" s="190"/>
      <c r="E1864" s="190"/>
      <c r="F1864" s="269"/>
      <c r="G1864" s="76"/>
      <c r="H1864" s="76"/>
      <c r="I1864" s="269"/>
      <c r="J1864" s="269"/>
      <c r="K1864" s="269"/>
      <c r="L1864" s="269"/>
      <c r="M1864" s="76"/>
      <c r="N1864" s="76"/>
      <c r="O1864" s="76"/>
      <c r="P1864" s="76"/>
    </row>
    <row r="1865" ht="20.25" customHeight="1">
      <c r="A1865" s="665"/>
      <c r="B1865" s="189"/>
      <c r="C1865" s="189"/>
      <c r="D1865" s="189"/>
      <c r="E1865" s="189"/>
      <c r="F1865" s="270"/>
      <c r="G1865" s="76"/>
      <c r="H1865" s="76"/>
      <c r="I1865" s="270"/>
      <c r="J1865" s="270"/>
      <c r="K1865" s="270"/>
      <c r="L1865" s="270"/>
      <c r="M1865" s="76"/>
      <c r="N1865" s="76"/>
      <c r="O1865" s="76"/>
      <c r="P1865" s="76"/>
    </row>
    <row r="1866" ht="20.25" customHeight="1">
      <c r="A1866" s="664"/>
      <c r="B1866" s="190"/>
      <c r="C1866" s="190"/>
      <c r="D1866" s="190"/>
      <c r="E1866" s="190"/>
      <c r="F1866" s="269"/>
      <c r="G1866" s="76"/>
      <c r="H1866" s="76"/>
      <c r="I1866" s="269"/>
      <c r="J1866" s="269"/>
      <c r="K1866" s="269"/>
      <c r="L1866" s="269"/>
      <c r="M1866" s="76"/>
      <c r="N1866" s="76"/>
      <c r="O1866" s="76"/>
      <c r="P1866" s="76"/>
    </row>
    <row r="1867" ht="20.25" customHeight="1">
      <c r="A1867" s="665"/>
      <c r="B1867" s="189"/>
      <c r="C1867" s="189"/>
      <c r="D1867" s="189"/>
      <c r="E1867" s="189"/>
      <c r="F1867" s="270"/>
      <c r="G1867" s="76"/>
      <c r="H1867" s="76"/>
      <c r="I1867" s="270"/>
      <c r="J1867" s="270"/>
      <c r="K1867" s="270"/>
      <c r="L1867" s="270"/>
      <c r="M1867" s="76"/>
      <c r="N1867" s="76"/>
      <c r="O1867" s="76"/>
      <c r="P1867" s="76"/>
    </row>
    <row r="1868" ht="20.25" customHeight="1">
      <c r="A1868" s="664"/>
      <c r="B1868" s="190"/>
      <c r="C1868" s="190"/>
      <c r="D1868" s="190"/>
      <c r="E1868" s="190"/>
      <c r="F1868" s="269"/>
      <c r="G1868" s="76"/>
      <c r="H1868" s="76"/>
      <c r="I1868" s="269"/>
      <c r="J1868" s="269"/>
      <c r="K1868" s="269"/>
      <c r="L1868" s="269"/>
      <c r="M1868" s="76"/>
      <c r="N1868" s="76"/>
      <c r="O1868" s="76"/>
      <c r="P1868" s="76"/>
    </row>
    <row r="1869" ht="20.25" customHeight="1">
      <c r="A1869" s="665"/>
      <c r="B1869" s="189"/>
      <c r="C1869" s="189"/>
      <c r="D1869" s="189"/>
      <c r="E1869" s="189"/>
      <c r="F1869" s="270"/>
      <c r="G1869" s="76"/>
      <c r="H1869" s="76"/>
      <c r="I1869" s="270"/>
      <c r="J1869" s="270"/>
      <c r="K1869" s="270"/>
      <c r="L1869" s="270"/>
      <c r="M1869" s="76"/>
      <c r="N1869" s="76"/>
      <c r="O1869" s="76"/>
      <c r="P1869" s="76"/>
    </row>
    <row r="1870" ht="20.25" customHeight="1">
      <c r="A1870" s="664"/>
      <c r="B1870" s="190"/>
      <c r="C1870" s="190"/>
      <c r="D1870" s="190"/>
      <c r="E1870" s="190"/>
      <c r="F1870" s="269"/>
      <c r="G1870" s="76"/>
      <c r="H1870" s="76"/>
      <c r="I1870" s="269"/>
      <c r="J1870" s="269"/>
      <c r="K1870" s="269"/>
      <c r="L1870" s="269"/>
      <c r="M1870" s="76"/>
      <c r="N1870" s="76"/>
      <c r="O1870" s="76"/>
      <c r="P1870" s="76"/>
    </row>
    <row r="1871" ht="20.25" customHeight="1">
      <c r="A1871" s="665"/>
      <c r="B1871" s="189"/>
      <c r="C1871" s="189"/>
      <c r="D1871" s="189"/>
      <c r="E1871" s="189"/>
      <c r="F1871" s="270"/>
      <c r="G1871" s="76"/>
      <c r="H1871" s="76"/>
      <c r="I1871" s="270"/>
      <c r="J1871" s="270"/>
      <c r="K1871" s="270"/>
      <c r="L1871" s="270"/>
      <c r="M1871" s="76"/>
      <c r="N1871" s="76"/>
      <c r="O1871" s="76"/>
      <c r="P1871" s="76"/>
    </row>
    <row r="1872" ht="20.25" customHeight="1">
      <c r="A1872" s="664"/>
      <c r="B1872" s="190"/>
      <c r="C1872" s="190"/>
      <c r="D1872" s="190"/>
      <c r="E1872" s="190"/>
      <c r="F1872" s="269"/>
      <c r="G1872" s="76"/>
      <c r="H1872" s="76"/>
      <c r="I1872" s="269"/>
      <c r="J1872" s="269"/>
      <c r="K1872" s="269"/>
      <c r="L1872" s="269"/>
      <c r="M1872" s="76"/>
      <c r="N1872" s="76"/>
      <c r="O1872" s="76"/>
      <c r="P1872" s="76"/>
    </row>
    <row r="1873" ht="20.25" customHeight="1">
      <c r="A1873" s="665"/>
      <c r="B1873" s="189"/>
      <c r="C1873" s="189"/>
      <c r="D1873" s="189"/>
      <c r="E1873" s="189"/>
      <c r="F1873" s="270"/>
      <c r="G1873" s="76"/>
      <c r="H1873" s="76"/>
      <c r="I1873" s="270"/>
      <c r="J1873" s="270"/>
      <c r="K1873" s="270"/>
      <c r="L1873" s="270"/>
      <c r="M1873" s="76"/>
      <c r="N1873" s="76"/>
      <c r="O1873" s="76"/>
      <c r="P1873" s="76"/>
    </row>
    <row r="1874" ht="20.25" customHeight="1">
      <c r="A1874" s="664"/>
      <c r="B1874" s="190"/>
      <c r="C1874" s="190"/>
      <c r="D1874" s="190"/>
      <c r="E1874" s="190"/>
      <c r="F1874" s="269"/>
      <c r="G1874" s="76"/>
      <c r="H1874" s="76"/>
      <c r="I1874" s="269"/>
      <c r="J1874" s="269"/>
      <c r="K1874" s="269"/>
      <c r="L1874" s="269"/>
      <c r="M1874" s="76"/>
      <c r="N1874" s="76"/>
      <c r="O1874" s="76"/>
      <c r="P1874" s="76"/>
    </row>
    <row r="1875" ht="20.25" customHeight="1">
      <c r="A1875" s="665"/>
      <c r="B1875" s="189"/>
      <c r="C1875" s="189"/>
      <c r="D1875" s="189"/>
      <c r="E1875" s="189"/>
      <c r="F1875" s="270"/>
      <c r="G1875" s="76"/>
      <c r="H1875" s="76"/>
      <c r="I1875" s="270"/>
      <c r="J1875" s="270"/>
      <c r="K1875" s="270"/>
      <c r="L1875" s="270"/>
      <c r="M1875" s="76"/>
      <c r="N1875" s="76"/>
      <c r="O1875" s="76"/>
      <c r="P1875" s="76"/>
    </row>
    <row r="1876" ht="20.25" customHeight="1">
      <c r="A1876" s="664"/>
      <c r="B1876" s="190"/>
      <c r="C1876" s="190"/>
      <c r="D1876" s="190"/>
      <c r="E1876" s="190"/>
      <c r="F1876" s="269"/>
      <c r="G1876" s="76"/>
      <c r="H1876" s="76"/>
      <c r="I1876" s="269"/>
      <c r="J1876" s="269"/>
      <c r="K1876" s="269"/>
      <c r="L1876" s="269"/>
      <c r="M1876" s="76"/>
      <c r="N1876" s="76"/>
      <c r="O1876" s="76"/>
      <c r="P1876" s="76"/>
    </row>
    <row r="1877" ht="20.25" customHeight="1">
      <c r="A1877" s="665"/>
      <c r="B1877" s="189"/>
      <c r="C1877" s="189"/>
      <c r="D1877" s="189"/>
      <c r="E1877" s="189"/>
      <c r="F1877" s="270"/>
      <c r="G1877" s="76"/>
      <c r="H1877" s="76"/>
      <c r="I1877" s="270"/>
      <c r="J1877" s="270"/>
      <c r="K1877" s="270"/>
      <c r="L1877" s="270"/>
      <c r="M1877" s="76"/>
      <c r="N1877" s="76"/>
      <c r="O1877" s="76"/>
      <c r="P1877" s="76"/>
    </row>
    <row r="1878" ht="20.25" customHeight="1">
      <c r="A1878" s="664"/>
      <c r="B1878" s="190"/>
      <c r="C1878" s="190"/>
      <c r="D1878" s="190"/>
      <c r="E1878" s="190"/>
      <c r="F1878" s="269"/>
      <c r="G1878" s="76"/>
      <c r="H1878" s="76"/>
      <c r="I1878" s="269"/>
      <c r="J1878" s="269"/>
      <c r="K1878" s="269"/>
      <c r="L1878" s="269"/>
      <c r="M1878" s="76"/>
      <c r="N1878" s="76"/>
      <c r="O1878" s="76"/>
      <c r="P1878" s="76"/>
    </row>
    <row r="1879" ht="20.25" customHeight="1">
      <c r="A1879" s="665"/>
      <c r="B1879" s="189"/>
      <c r="C1879" s="189"/>
      <c r="D1879" s="189"/>
      <c r="E1879" s="189"/>
      <c r="F1879" s="270"/>
      <c r="G1879" s="76"/>
      <c r="H1879" s="76"/>
      <c r="I1879" s="270"/>
      <c r="J1879" s="270"/>
      <c r="K1879" s="270"/>
      <c r="L1879" s="270"/>
      <c r="M1879" s="76"/>
      <c r="N1879" s="76"/>
      <c r="O1879" s="76"/>
      <c r="P1879" s="76"/>
    </row>
    <row r="1880" ht="20.25" customHeight="1">
      <c r="A1880" s="664"/>
      <c r="B1880" s="190"/>
      <c r="C1880" s="190"/>
      <c r="D1880" s="190"/>
      <c r="E1880" s="190"/>
      <c r="F1880" s="269"/>
      <c r="G1880" s="76"/>
      <c r="H1880" s="76"/>
      <c r="I1880" s="269"/>
      <c r="J1880" s="269"/>
      <c r="K1880" s="269"/>
      <c r="L1880" s="269"/>
      <c r="M1880" s="76"/>
      <c r="N1880" s="76"/>
      <c r="O1880" s="76"/>
      <c r="P1880" s="76"/>
    </row>
    <row r="1881" ht="20.25" customHeight="1">
      <c r="A1881" s="665"/>
      <c r="B1881" s="189"/>
      <c r="C1881" s="189"/>
      <c r="D1881" s="189"/>
      <c r="E1881" s="189"/>
      <c r="F1881" s="270"/>
      <c r="G1881" s="76"/>
      <c r="H1881" s="76"/>
      <c r="I1881" s="270"/>
      <c r="J1881" s="270"/>
      <c r="K1881" s="270"/>
      <c r="L1881" s="270"/>
      <c r="M1881" s="76"/>
      <c r="N1881" s="76"/>
      <c r="O1881" s="76"/>
      <c r="P1881" s="76"/>
    </row>
    <row r="1882" ht="20.25" customHeight="1">
      <c r="A1882" s="664"/>
      <c r="B1882" s="190"/>
      <c r="C1882" s="190"/>
      <c r="D1882" s="190"/>
      <c r="E1882" s="190"/>
      <c r="F1882" s="269"/>
      <c r="G1882" s="76"/>
      <c r="H1882" s="76"/>
      <c r="I1882" s="269"/>
      <c r="J1882" s="269"/>
      <c r="K1882" s="269"/>
      <c r="L1882" s="269"/>
      <c r="M1882" s="76"/>
      <c r="N1882" s="76"/>
      <c r="O1882" s="76"/>
      <c r="P1882" s="76"/>
    </row>
    <row r="1883" ht="20.25" customHeight="1">
      <c r="A1883" s="665"/>
      <c r="B1883" s="189"/>
      <c r="C1883" s="189"/>
      <c r="D1883" s="189"/>
      <c r="E1883" s="189"/>
      <c r="F1883" s="270"/>
      <c r="G1883" s="76"/>
      <c r="H1883" s="76"/>
      <c r="I1883" s="270"/>
      <c r="J1883" s="270"/>
      <c r="K1883" s="270"/>
      <c r="L1883" s="270"/>
      <c r="M1883" s="76"/>
      <c r="N1883" s="76"/>
      <c r="O1883" s="76"/>
      <c r="P1883" s="76"/>
    </row>
    <row r="1884" ht="20.25" customHeight="1">
      <c r="A1884" s="664"/>
      <c r="B1884" s="190"/>
      <c r="C1884" s="190"/>
      <c r="D1884" s="190"/>
      <c r="E1884" s="190"/>
      <c r="F1884" s="269"/>
      <c r="G1884" s="76"/>
      <c r="H1884" s="76"/>
      <c r="I1884" s="269"/>
      <c r="J1884" s="269"/>
      <c r="K1884" s="269"/>
      <c r="L1884" s="269"/>
      <c r="M1884" s="76"/>
      <c r="N1884" s="76"/>
      <c r="O1884" s="76"/>
      <c r="P1884" s="76"/>
    </row>
    <row r="1885" ht="20.25" customHeight="1">
      <c r="A1885" s="665"/>
      <c r="B1885" s="189"/>
      <c r="C1885" s="189"/>
      <c r="D1885" s="189"/>
      <c r="E1885" s="189"/>
      <c r="F1885" s="270"/>
      <c r="G1885" s="76"/>
      <c r="H1885" s="76"/>
      <c r="I1885" s="270"/>
      <c r="J1885" s="270"/>
      <c r="K1885" s="270"/>
      <c r="L1885" s="270"/>
      <c r="M1885" s="76"/>
      <c r="N1885" s="76"/>
      <c r="O1885" s="76"/>
      <c r="P1885" s="76"/>
    </row>
    <row r="1886" ht="20.25" customHeight="1">
      <c r="A1886" s="664"/>
      <c r="B1886" s="190"/>
      <c r="C1886" s="190"/>
      <c r="D1886" s="190"/>
      <c r="E1886" s="190"/>
      <c r="F1886" s="269"/>
      <c r="G1886" s="76"/>
      <c r="H1886" s="76"/>
      <c r="I1886" s="269"/>
      <c r="J1886" s="269"/>
      <c r="K1886" s="269"/>
      <c r="L1886" s="269"/>
      <c r="M1886" s="76"/>
      <c r="N1886" s="76"/>
      <c r="O1886" s="76"/>
      <c r="P1886" s="76"/>
    </row>
    <row r="1887" ht="20.25" customHeight="1">
      <c r="A1887" s="665"/>
      <c r="B1887" s="189"/>
      <c r="C1887" s="189"/>
      <c r="D1887" s="189"/>
      <c r="E1887" s="189"/>
      <c r="F1887" s="270"/>
      <c r="G1887" s="76"/>
      <c r="H1887" s="76"/>
      <c r="I1887" s="270"/>
      <c r="J1887" s="270"/>
      <c r="K1887" s="270"/>
      <c r="L1887" s="270"/>
      <c r="M1887" s="76"/>
      <c r="N1887" s="76"/>
      <c r="O1887" s="76"/>
      <c r="P1887" s="76"/>
    </row>
    <row r="1888" ht="20.25" customHeight="1">
      <c r="A1888" s="664"/>
      <c r="B1888" s="190"/>
      <c r="C1888" s="190"/>
      <c r="D1888" s="190"/>
      <c r="E1888" s="190"/>
      <c r="F1888" s="269"/>
      <c r="G1888" s="76"/>
      <c r="H1888" s="76"/>
      <c r="I1888" s="269"/>
      <c r="J1888" s="269"/>
      <c r="K1888" s="269"/>
      <c r="L1888" s="269"/>
      <c r="M1888" s="76"/>
      <c r="N1888" s="76"/>
      <c r="O1888" s="76"/>
      <c r="P1888" s="76"/>
    </row>
    <row r="1889" ht="20.25" customHeight="1">
      <c r="A1889" s="665"/>
      <c r="B1889" s="189"/>
      <c r="C1889" s="189"/>
      <c r="D1889" s="189"/>
      <c r="E1889" s="189"/>
      <c r="F1889" s="270"/>
      <c r="G1889" s="76"/>
      <c r="H1889" s="76"/>
      <c r="I1889" s="270"/>
      <c r="J1889" s="270"/>
      <c r="K1889" s="270"/>
      <c r="L1889" s="270"/>
      <c r="M1889" s="76"/>
      <c r="N1889" s="76"/>
      <c r="O1889" s="76"/>
      <c r="P1889" s="76"/>
    </row>
    <row r="1890" ht="20.25" customHeight="1">
      <c r="A1890" s="664"/>
      <c r="B1890" s="190"/>
      <c r="C1890" s="190"/>
      <c r="D1890" s="190"/>
      <c r="E1890" s="190"/>
      <c r="F1890" s="269"/>
      <c r="G1890" s="76"/>
      <c r="H1890" s="76"/>
      <c r="I1890" s="269"/>
      <c r="J1890" s="269"/>
      <c r="K1890" s="269"/>
      <c r="L1890" s="269"/>
      <c r="M1890" s="76"/>
      <c r="N1890" s="76"/>
      <c r="O1890" s="76"/>
      <c r="P1890" s="76"/>
    </row>
    <row r="1891" ht="20.25" customHeight="1">
      <c r="A1891" s="665"/>
      <c r="B1891" s="189"/>
      <c r="C1891" s="189"/>
      <c r="D1891" s="189"/>
      <c r="E1891" s="189"/>
      <c r="F1891" s="270"/>
      <c r="G1891" s="76"/>
      <c r="H1891" s="76"/>
      <c r="I1891" s="270"/>
      <c r="J1891" s="270"/>
      <c r="K1891" s="270"/>
      <c r="L1891" s="270"/>
      <c r="M1891" s="76"/>
      <c r="N1891" s="76"/>
      <c r="O1891" s="76"/>
      <c r="P1891" s="76"/>
    </row>
    <row r="1892" ht="20.25" customHeight="1">
      <c r="A1892" s="664"/>
      <c r="B1892" s="190"/>
      <c r="C1892" s="190"/>
      <c r="D1892" s="190"/>
      <c r="E1892" s="190"/>
      <c r="F1892" s="269"/>
      <c r="G1892" s="76"/>
      <c r="H1892" s="76"/>
      <c r="I1892" s="269"/>
      <c r="J1892" s="269"/>
      <c r="K1892" s="269"/>
      <c r="L1892" s="269"/>
      <c r="M1892" s="76"/>
      <c r="N1892" s="76"/>
      <c r="O1892" s="76"/>
      <c r="P1892" s="76"/>
    </row>
    <row r="1893" ht="20.25" customHeight="1">
      <c r="A1893" s="665"/>
      <c r="B1893" s="189"/>
      <c r="C1893" s="189"/>
      <c r="D1893" s="189"/>
      <c r="E1893" s="189"/>
      <c r="F1893" s="270"/>
      <c r="G1893" s="76"/>
      <c r="H1893" s="76"/>
      <c r="I1893" s="270"/>
      <c r="J1893" s="270"/>
      <c r="K1893" s="270"/>
      <c r="L1893" s="270"/>
      <c r="M1893" s="76"/>
      <c r="N1893" s="76"/>
      <c r="O1893" s="76"/>
      <c r="P1893" s="76"/>
    </row>
    <row r="1894" ht="20.25" customHeight="1">
      <c r="A1894" s="664"/>
      <c r="B1894" s="190"/>
      <c r="C1894" s="190"/>
      <c r="D1894" s="190"/>
      <c r="E1894" s="190"/>
      <c r="F1894" s="269"/>
      <c r="G1894" s="76"/>
      <c r="H1894" s="76"/>
      <c r="I1894" s="269"/>
      <c r="J1894" s="269"/>
      <c r="K1894" s="269"/>
      <c r="L1894" s="269"/>
      <c r="M1894" s="76"/>
      <c r="N1894" s="76"/>
      <c r="O1894" s="76"/>
      <c r="P1894" s="76"/>
    </row>
    <row r="1895" ht="20.25" customHeight="1">
      <c r="A1895" s="665"/>
      <c r="B1895" s="189"/>
      <c r="C1895" s="189"/>
      <c r="D1895" s="189"/>
      <c r="E1895" s="189"/>
      <c r="F1895" s="270"/>
      <c r="G1895" s="76"/>
      <c r="H1895" s="76"/>
      <c r="I1895" s="270"/>
      <c r="J1895" s="270"/>
      <c r="K1895" s="270"/>
      <c r="L1895" s="270"/>
      <c r="M1895" s="76"/>
      <c r="N1895" s="76"/>
      <c r="O1895" s="76"/>
      <c r="P1895" s="76"/>
    </row>
    <row r="1896" ht="20.25" customHeight="1">
      <c r="A1896" s="664"/>
      <c r="B1896" s="190"/>
      <c r="C1896" s="190"/>
      <c r="D1896" s="190"/>
      <c r="E1896" s="190"/>
      <c r="F1896" s="269"/>
      <c r="G1896" s="76"/>
      <c r="H1896" s="76"/>
      <c r="I1896" s="269"/>
      <c r="J1896" s="269"/>
      <c r="K1896" s="269"/>
      <c r="L1896" s="269"/>
      <c r="M1896" s="76"/>
      <c r="N1896" s="76"/>
      <c r="O1896" s="76"/>
      <c r="P1896" s="76"/>
    </row>
    <row r="1897" ht="20.25" customHeight="1">
      <c r="A1897" s="665"/>
      <c r="B1897" s="189"/>
      <c r="C1897" s="189"/>
      <c r="D1897" s="189"/>
      <c r="E1897" s="189"/>
      <c r="F1897" s="270"/>
      <c r="G1897" s="76"/>
      <c r="H1897" s="76"/>
      <c r="I1897" s="270"/>
      <c r="J1897" s="270"/>
      <c r="K1897" s="270"/>
      <c r="L1897" s="270"/>
      <c r="M1897" s="76"/>
      <c r="N1897" s="76"/>
      <c r="O1897" s="76"/>
      <c r="P1897" s="76"/>
    </row>
    <row r="1898" ht="20.25" customHeight="1">
      <c r="A1898" s="664"/>
      <c r="B1898" s="190"/>
      <c r="C1898" s="190"/>
      <c r="D1898" s="190"/>
      <c r="E1898" s="190"/>
      <c r="F1898" s="269"/>
      <c r="G1898" s="76"/>
      <c r="H1898" s="76"/>
      <c r="I1898" s="269"/>
      <c r="J1898" s="269"/>
      <c r="K1898" s="269"/>
      <c r="L1898" s="269"/>
      <c r="M1898" s="76"/>
      <c r="N1898" s="76"/>
      <c r="O1898" s="76"/>
      <c r="P1898" s="76"/>
    </row>
    <row r="1899" ht="20.25" customHeight="1">
      <c r="A1899" s="665"/>
      <c r="B1899" s="189"/>
      <c r="C1899" s="189"/>
      <c r="D1899" s="189"/>
      <c r="E1899" s="189"/>
      <c r="F1899" s="270"/>
      <c r="G1899" s="76"/>
      <c r="H1899" s="76"/>
      <c r="I1899" s="270"/>
      <c r="J1899" s="270"/>
      <c r="K1899" s="270"/>
      <c r="L1899" s="270"/>
      <c r="M1899" s="76"/>
      <c r="N1899" s="76"/>
      <c r="O1899" s="76"/>
      <c r="P1899" s="76"/>
    </row>
    <row r="1900" ht="20.25" customHeight="1">
      <c r="A1900" s="664"/>
      <c r="B1900" s="190"/>
      <c r="C1900" s="190"/>
      <c r="D1900" s="190"/>
      <c r="E1900" s="190"/>
      <c r="F1900" s="269"/>
      <c r="G1900" s="76"/>
      <c r="H1900" s="76"/>
      <c r="I1900" s="269"/>
      <c r="J1900" s="269"/>
      <c r="K1900" s="269"/>
      <c r="L1900" s="269"/>
      <c r="M1900" s="76"/>
      <c r="N1900" s="76"/>
      <c r="O1900" s="76"/>
      <c r="P1900" s="76"/>
    </row>
    <row r="1901" ht="20.25" customHeight="1">
      <c r="A1901" s="665"/>
      <c r="B1901" s="189"/>
      <c r="C1901" s="189"/>
      <c r="D1901" s="189"/>
      <c r="E1901" s="189"/>
      <c r="F1901" s="270"/>
      <c r="G1901" s="76"/>
      <c r="H1901" s="76"/>
      <c r="I1901" s="270"/>
      <c r="J1901" s="270"/>
      <c r="K1901" s="270"/>
      <c r="L1901" s="270"/>
      <c r="M1901" s="76"/>
      <c r="N1901" s="76"/>
      <c r="O1901" s="76"/>
      <c r="P1901" s="76"/>
    </row>
    <row r="1902" ht="20.25" customHeight="1">
      <c r="A1902" s="664"/>
      <c r="B1902" s="190"/>
      <c r="C1902" s="190"/>
      <c r="D1902" s="190"/>
      <c r="E1902" s="190"/>
      <c r="F1902" s="269"/>
      <c r="G1902" s="76"/>
      <c r="H1902" s="76"/>
      <c r="I1902" s="269"/>
      <c r="J1902" s="269"/>
      <c r="K1902" s="269"/>
      <c r="L1902" s="269"/>
      <c r="M1902" s="76"/>
      <c r="N1902" s="76"/>
      <c r="O1902" s="76"/>
      <c r="P1902" s="76"/>
    </row>
    <row r="1903" ht="20.25" customHeight="1">
      <c r="A1903" s="665"/>
      <c r="B1903" s="189"/>
      <c r="C1903" s="189"/>
      <c r="D1903" s="189"/>
      <c r="E1903" s="189"/>
      <c r="F1903" s="270"/>
      <c r="G1903" s="76"/>
      <c r="H1903" s="76"/>
      <c r="I1903" s="270"/>
      <c r="J1903" s="270"/>
      <c r="K1903" s="270"/>
      <c r="L1903" s="270"/>
      <c r="M1903" s="76"/>
      <c r="N1903" s="76"/>
      <c r="O1903" s="76"/>
      <c r="P1903" s="76"/>
    </row>
    <row r="1904" ht="20.25" customHeight="1">
      <c r="A1904" s="664"/>
      <c r="B1904" s="190"/>
      <c r="C1904" s="190"/>
      <c r="D1904" s="190"/>
      <c r="E1904" s="190"/>
      <c r="F1904" s="269"/>
      <c r="G1904" s="76"/>
      <c r="H1904" s="76"/>
      <c r="I1904" s="269"/>
      <c r="J1904" s="269"/>
      <c r="K1904" s="269"/>
      <c r="L1904" s="269"/>
      <c r="M1904" s="76"/>
      <c r="N1904" s="76"/>
      <c r="O1904" s="76"/>
      <c r="P1904" s="76"/>
    </row>
    <row r="1905" ht="20.25" customHeight="1">
      <c r="A1905" s="665"/>
      <c r="B1905" s="189"/>
      <c r="C1905" s="189"/>
      <c r="D1905" s="189"/>
      <c r="E1905" s="189"/>
      <c r="F1905" s="270"/>
      <c r="G1905" s="76"/>
      <c r="H1905" s="76"/>
      <c r="I1905" s="270"/>
      <c r="J1905" s="270"/>
      <c r="K1905" s="270"/>
      <c r="L1905" s="270"/>
      <c r="M1905" s="76"/>
      <c r="N1905" s="76"/>
      <c r="O1905" s="76"/>
      <c r="P1905" s="76"/>
    </row>
    <row r="1906" ht="20.25" customHeight="1">
      <c r="A1906" s="664"/>
      <c r="B1906" s="190"/>
      <c r="C1906" s="190"/>
      <c r="D1906" s="190"/>
      <c r="E1906" s="190"/>
      <c r="F1906" s="269"/>
      <c r="G1906" s="76"/>
      <c r="H1906" s="76"/>
      <c r="I1906" s="269"/>
      <c r="J1906" s="269"/>
      <c r="K1906" s="269"/>
      <c r="L1906" s="269"/>
      <c r="M1906" s="76"/>
      <c r="N1906" s="76"/>
      <c r="O1906" s="76"/>
      <c r="P1906" s="76"/>
    </row>
    <row r="1907" ht="20.25" customHeight="1">
      <c r="A1907" s="665"/>
      <c r="B1907" s="189"/>
      <c r="C1907" s="189"/>
      <c r="D1907" s="189"/>
      <c r="E1907" s="189"/>
      <c r="F1907" s="270"/>
      <c r="G1907" s="76"/>
      <c r="H1907" s="76"/>
      <c r="I1907" s="270"/>
      <c r="J1907" s="270"/>
      <c r="K1907" s="270"/>
      <c r="L1907" s="270"/>
      <c r="M1907" s="76"/>
      <c r="N1907" s="76"/>
      <c r="O1907" s="76"/>
      <c r="P1907" s="76"/>
    </row>
    <row r="1908" ht="20.25" customHeight="1">
      <c r="A1908" s="664"/>
      <c r="B1908" s="190"/>
      <c r="C1908" s="190"/>
      <c r="D1908" s="190"/>
      <c r="E1908" s="190"/>
      <c r="F1908" s="269"/>
      <c r="G1908" s="76"/>
      <c r="H1908" s="76"/>
      <c r="I1908" s="269"/>
      <c r="J1908" s="269"/>
      <c r="K1908" s="269"/>
      <c r="L1908" s="269"/>
      <c r="M1908" s="76"/>
      <c r="N1908" s="76"/>
      <c r="O1908" s="76"/>
      <c r="P1908" s="76"/>
    </row>
    <row r="1909" ht="20.25" customHeight="1">
      <c r="A1909" s="665"/>
      <c r="B1909" s="189"/>
      <c r="C1909" s="189"/>
      <c r="D1909" s="189"/>
      <c r="E1909" s="189"/>
      <c r="F1909" s="270"/>
      <c r="G1909" s="76"/>
      <c r="H1909" s="76"/>
      <c r="I1909" s="270"/>
      <c r="J1909" s="270"/>
      <c r="K1909" s="270"/>
      <c r="L1909" s="270"/>
      <c r="M1909" s="76"/>
      <c r="N1909" s="76"/>
      <c r="O1909" s="76"/>
      <c r="P1909" s="76"/>
    </row>
    <row r="1910" ht="20.25" customHeight="1">
      <c r="A1910" s="664"/>
      <c r="B1910" s="190"/>
      <c r="C1910" s="190"/>
      <c r="D1910" s="190"/>
      <c r="E1910" s="190"/>
      <c r="F1910" s="269"/>
      <c r="G1910" s="76"/>
      <c r="H1910" s="76"/>
      <c r="I1910" s="269"/>
      <c r="J1910" s="269"/>
      <c r="K1910" s="269"/>
      <c r="L1910" s="269"/>
      <c r="M1910" s="76"/>
      <c r="N1910" s="76"/>
      <c r="O1910" s="76"/>
      <c r="P1910" s="76"/>
    </row>
    <row r="1911" ht="20.25" customHeight="1">
      <c r="A1911" s="665"/>
      <c r="B1911" s="189"/>
      <c r="C1911" s="189"/>
      <c r="D1911" s="189"/>
      <c r="E1911" s="189"/>
      <c r="F1911" s="270"/>
      <c r="G1911" s="76"/>
      <c r="H1911" s="76"/>
      <c r="I1911" s="270"/>
      <c r="J1911" s="270"/>
      <c r="K1911" s="270"/>
      <c r="L1911" s="270"/>
      <c r="M1911" s="76"/>
      <c r="N1911" s="76"/>
      <c r="O1911" s="76"/>
      <c r="P1911" s="76"/>
    </row>
    <row r="1912" ht="20.25" customHeight="1">
      <c r="A1912" s="664"/>
      <c r="B1912" s="190"/>
      <c r="C1912" s="190"/>
      <c r="D1912" s="190"/>
      <c r="E1912" s="190"/>
      <c r="F1912" s="269"/>
      <c r="G1912" s="76"/>
      <c r="H1912" s="76"/>
      <c r="I1912" s="269"/>
      <c r="J1912" s="269"/>
      <c r="K1912" s="269"/>
      <c r="L1912" s="269"/>
      <c r="M1912" s="76"/>
      <c r="N1912" s="76"/>
      <c r="O1912" s="76"/>
      <c r="P1912" s="76"/>
    </row>
    <row r="1913" ht="20.25" customHeight="1">
      <c r="A1913" s="665"/>
      <c r="B1913" s="189"/>
      <c r="C1913" s="189"/>
      <c r="D1913" s="189"/>
      <c r="E1913" s="189"/>
      <c r="F1913" s="270"/>
      <c r="G1913" s="76"/>
      <c r="H1913" s="76"/>
      <c r="I1913" s="270"/>
      <c r="J1913" s="270"/>
      <c r="K1913" s="270"/>
      <c r="L1913" s="270"/>
      <c r="M1913" s="76"/>
      <c r="N1913" s="76"/>
      <c r="O1913" s="76"/>
      <c r="P1913" s="76"/>
    </row>
    <row r="1914" ht="20.25" customHeight="1">
      <c r="A1914" s="664"/>
      <c r="B1914" s="190"/>
      <c r="C1914" s="190"/>
      <c r="D1914" s="190"/>
      <c r="E1914" s="190"/>
      <c r="F1914" s="269"/>
      <c r="G1914" s="76"/>
      <c r="H1914" s="76"/>
      <c r="I1914" s="269"/>
      <c r="J1914" s="269"/>
      <c r="K1914" s="269"/>
      <c r="L1914" s="269"/>
      <c r="M1914" s="76"/>
      <c r="N1914" s="76"/>
      <c r="O1914" s="76"/>
      <c r="P1914" s="76"/>
    </row>
    <row r="1915" ht="20.25" customHeight="1">
      <c r="A1915" s="665"/>
      <c r="B1915" s="189"/>
      <c r="C1915" s="189"/>
      <c r="D1915" s="189"/>
      <c r="E1915" s="189"/>
      <c r="F1915" s="270"/>
      <c r="G1915" s="76"/>
      <c r="H1915" s="76"/>
      <c r="I1915" s="270"/>
      <c r="J1915" s="270"/>
      <c r="K1915" s="270"/>
      <c r="L1915" s="270"/>
      <c r="M1915" s="76"/>
      <c r="N1915" s="76"/>
      <c r="O1915" s="76"/>
      <c r="P1915" s="76"/>
    </row>
    <row r="1916" ht="20.25" customHeight="1">
      <c r="A1916" s="664"/>
      <c r="B1916" s="190"/>
      <c r="C1916" s="190"/>
      <c r="D1916" s="190"/>
      <c r="E1916" s="190"/>
      <c r="F1916" s="269"/>
      <c r="G1916" s="76"/>
      <c r="H1916" s="76"/>
      <c r="I1916" s="269"/>
      <c r="J1916" s="269"/>
      <c r="K1916" s="269"/>
      <c r="L1916" s="269"/>
      <c r="M1916" s="76"/>
      <c r="N1916" s="76"/>
      <c r="O1916" s="76"/>
      <c r="P1916" s="76"/>
    </row>
    <row r="1917" ht="20.25" customHeight="1">
      <c r="A1917" s="665"/>
      <c r="B1917" s="189"/>
      <c r="C1917" s="189"/>
      <c r="D1917" s="189"/>
      <c r="E1917" s="189"/>
      <c r="F1917" s="270"/>
      <c r="G1917" s="76"/>
      <c r="H1917" s="76"/>
      <c r="I1917" s="270"/>
      <c r="J1917" s="270"/>
      <c r="K1917" s="270"/>
      <c r="L1917" s="270"/>
      <c r="M1917" s="76"/>
      <c r="N1917" s="76"/>
      <c r="O1917" s="76"/>
      <c r="P1917" s="76"/>
    </row>
    <row r="1918" ht="20.25" customHeight="1">
      <c r="A1918" s="664"/>
      <c r="B1918" s="190"/>
      <c r="C1918" s="190"/>
      <c r="D1918" s="190"/>
      <c r="E1918" s="190"/>
      <c r="F1918" s="269"/>
      <c r="G1918" s="76"/>
      <c r="H1918" s="76"/>
      <c r="I1918" s="269"/>
      <c r="J1918" s="269"/>
      <c r="K1918" s="269"/>
      <c r="L1918" s="269"/>
      <c r="M1918" s="76"/>
      <c r="N1918" s="76"/>
      <c r="O1918" s="76"/>
      <c r="P1918" s="76"/>
    </row>
    <row r="1919" ht="20.25" customHeight="1">
      <c r="A1919" s="665"/>
      <c r="B1919" s="189"/>
      <c r="C1919" s="189"/>
      <c r="D1919" s="189"/>
      <c r="E1919" s="189"/>
      <c r="F1919" s="270"/>
      <c r="G1919" s="76"/>
      <c r="H1919" s="76"/>
      <c r="I1919" s="270"/>
      <c r="J1919" s="270"/>
      <c r="K1919" s="270"/>
      <c r="L1919" s="270"/>
      <c r="M1919" s="76"/>
      <c r="N1919" s="76"/>
      <c r="O1919" s="76"/>
      <c r="P1919" s="76"/>
    </row>
    <row r="1920" ht="20.25" customHeight="1">
      <c r="A1920" s="664"/>
      <c r="B1920" s="190"/>
      <c r="C1920" s="190"/>
      <c r="D1920" s="190"/>
      <c r="E1920" s="190"/>
      <c r="F1920" s="269"/>
      <c r="G1920" s="76"/>
      <c r="H1920" s="76"/>
      <c r="I1920" s="269"/>
      <c r="J1920" s="269"/>
      <c r="K1920" s="269"/>
      <c r="L1920" s="269"/>
      <c r="M1920" s="76"/>
      <c r="N1920" s="76"/>
      <c r="O1920" s="76"/>
      <c r="P1920" s="76"/>
    </row>
    <row r="1921" ht="20.25" customHeight="1">
      <c r="A1921" s="665"/>
      <c r="B1921" s="189"/>
      <c r="C1921" s="189"/>
      <c r="D1921" s="189"/>
      <c r="E1921" s="189"/>
      <c r="F1921" s="270"/>
      <c r="G1921" s="76"/>
      <c r="H1921" s="76"/>
      <c r="I1921" s="270"/>
      <c r="J1921" s="270"/>
      <c r="K1921" s="270"/>
      <c r="L1921" s="270"/>
      <c r="M1921" s="76"/>
      <c r="N1921" s="76"/>
      <c r="O1921" s="76"/>
      <c r="P1921" s="76"/>
    </row>
    <row r="1922" ht="20.25" customHeight="1">
      <c r="A1922" s="664"/>
      <c r="B1922" s="190"/>
      <c r="C1922" s="190"/>
      <c r="D1922" s="190"/>
      <c r="E1922" s="190"/>
      <c r="F1922" s="269"/>
      <c r="G1922" s="76"/>
      <c r="H1922" s="76"/>
      <c r="I1922" s="269"/>
      <c r="J1922" s="269"/>
      <c r="K1922" s="269"/>
      <c r="L1922" s="269"/>
      <c r="M1922" s="76"/>
      <c r="N1922" s="76"/>
      <c r="O1922" s="76"/>
      <c r="P1922" s="76"/>
    </row>
    <row r="1923" ht="20.25" customHeight="1">
      <c r="A1923" s="665"/>
      <c r="B1923" s="189"/>
      <c r="C1923" s="189"/>
      <c r="D1923" s="189"/>
      <c r="E1923" s="189"/>
      <c r="F1923" s="270"/>
      <c r="G1923" s="76"/>
      <c r="H1923" s="76"/>
      <c r="I1923" s="270"/>
      <c r="J1923" s="270"/>
      <c r="K1923" s="270"/>
      <c r="L1923" s="270"/>
      <c r="M1923" s="76"/>
      <c r="N1923" s="76"/>
      <c r="O1923" s="76"/>
      <c r="P1923" s="76"/>
    </row>
    <row r="1924" ht="20.25" customHeight="1">
      <c r="A1924" s="664"/>
      <c r="B1924" s="190"/>
      <c r="C1924" s="190"/>
      <c r="D1924" s="190"/>
      <c r="E1924" s="190"/>
      <c r="F1924" s="269"/>
      <c r="G1924" s="76"/>
      <c r="H1924" s="76"/>
      <c r="I1924" s="269"/>
      <c r="J1924" s="269"/>
      <c r="K1924" s="269"/>
      <c r="L1924" s="269"/>
      <c r="M1924" s="76"/>
      <c r="N1924" s="76"/>
      <c r="O1924" s="76"/>
      <c r="P1924" s="76"/>
    </row>
    <row r="1925" ht="20.25" customHeight="1">
      <c r="A1925" s="665"/>
      <c r="B1925" s="189"/>
      <c r="C1925" s="189"/>
      <c r="D1925" s="189"/>
      <c r="E1925" s="189"/>
      <c r="F1925" s="270"/>
      <c r="G1925" s="76"/>
      <c r="H1925" s="76"/>
      <c r="I1925" s="270"/>
      <c r="J1925" s="270"/>
      <c r="K1925" s="270"/>
      <c r="L1925" s="270"/>
      <c r="M1925" s="76"/>
      <c r="N1925" s="76"/>
      <c r="O1925" s="76"/>
      <c r="P1925" s="76"/>
    </row>
    <row r="1926" ht="20.25" customHeight="1">
      <c r="A1926" s="664"/>
      <c r="B1926" s="190"/>
      <c r="C1926" s="190"/>
      <c r="D1926" s="190"/>
      <c r="E1926" s="190"/>
      <c r="F1926" s="269"/>
      <c r="G1926" s="76"/>
      <c r="H1926" s="76"/>
      <c r="I1926" s="269"/>
      <c r="J1926" s="269"/>
      <c r="K1926" s="269"/>
      <c r="L1926" s="269"/>
      <c r="M1926" s="76"/>
      <c r="N1926" s="76"/>
      <c r="O1926" s="76"/>
      <c r="P1926" s="76"/>
    </row>
    <row r="1927" ht="20.25" customHeight="1">
      <c r="A1927" s="665"/>
      <c r="B1927" s="189"/>
      <c r="C1927" s="189"/>
      <c r="D1927" s="189"/>
      <c r="E1927" s="189"/>
      <c r="F1927" s="270"/>
      <c r="G1927" s="76"/>
      <c r="H1927" s="76"/>
      <c r="I1927" s="270"/>
      <c r="J1927" s="270"/>
      <c r="K1927" s="270"/>
      <c r="L1927" s="270"/>
      <c r="M1927" s="76"/>
      <c r="N1927" s="76"/>
      <c r="O1927" s="76"/>
      <c r="P1927" s="76"/>
    </row>
    <row r="1928" ht="20.25" customHeight="1">
      <c r="A1928" s="664"/>
      <c r="B1928" s="190"/>
      <c r="C1928" s="190"/>
      <c r="D1928" s="190"/>
      <c r="E1928" s="190"/>
      <c r="F1928" s="269"/>
      <c r="G1928" s="76"/>
      <c r="H1928" s="76"/>
      <c r="I1928" s="269"/>
      <c r="J1928" s="269"/>
      <c r="K1928" s="269"/>
      <c r="L1928" s="269"/>
      <c r="M1928" s="76"/>
      <c r="N1928" s="76"/>
      <c r="O1928" s="76"/>
      <c r="P1928" s="76"/>
    </row>
    <row r="1929" ht="20.25" customHeight="1">
      <c r="A1929" s="665"/>
      <c r="B1929" s="189"/>
      <c r="C1929" s="189"/>
      <c r="D1929" s="189"/>
      <c r="E1929" s="189"/>
      <c r="F1929" s="270"/>
      <c r="G1929" s="76"/>
      <c r="H1929" s="76"/>
      <c r="I1929" s="270"/>
      <c r="J1929" s="270"/>
      <c r="K1929" s="270"/>
      <c r="L1929" s="270"/>
      <c r="M1929" s="76"/>
      <c r="N1929" s="76"/>
      <c r="O1929" s="76"/>
      <c r="P1929" s="76"/>
    </row>
    <row r="1930" ht="20.25" customHeight="1">
      <c r="A1930" s="664"/>
      <c r="B1930" s="190"/>
      <c r="C1930" s="190"/>
      <c r="D1930" s="190"/>
      <c r="E1930" s="190"/>
      <c r="F1930" s="269"/>
      <c r="G1930" s="76"/>
      <c r="H1930" s="76"/>
      <c r="I1930" s="269"/>
      <c r="J1930" s="269"/>
      <c r="K1930" s="269"/>
      <c r="L1930" s="269"/>
      <c r="M1930" s="76"/>
      <c r="N1930" s="76"/>
      <c r="O1930" s="76"/>
      <c r="P1930" s="76"/>
    </row>
    <row r="1931" ht="20.25" customHeight="1">
      <c r="A1931" s="665"/>
      <c r="B1931" s="189"/>
      <c r="C1931" s="189"/>
      <c r="D1931" s="189"/>
      <c r="E1931" s="189"/>
      <c r="F1931" s="270"/>
      <c r="G1931" s="76"/>
      <c r="H1931" s="76"/>
      <c r="I1931" s="270"/>
      <c r="J1931" s="270"/>
      <c r="K1931" s="270"/>
      <c r="L1931" s="270"/>
      <c r="M1931" s="76"/>
      <c r="N1931" s="76"/>
      <c r="O1931" s="76"/>
      <c r="P1931" s="76"/>
    </row>
    <row r="1932" ht="20.25" customHeight="1">
      <c r="A1932" s="664"/>
      <c r="B1932" s="190"/>
      <c r="C1932" s="190"/>
      <c r="D1932" s="190"/>
      <c r="E1932" s="190"/>
      <c r="F1932" s="269"/>
      <c r="G1932" s="76"/>
      <c r="H1932" s="76"/>
      <c r="I1932" s="269"/>
      <c r="J1932" s="269"/>
      <c r="K1932" s="269"/>
      <c r="L1932" s="269"/>
      <c r="M1932" s="76"/>
      <c r="N1932" s="76"/>
      <c r="O1932" s="76"/>
      <c r="P1932" s="76"/>
    </row>
    <row r="1933" ht="20.25" customHeight="1">
      <c r="A1933" s="665"/>
      <c r="B1933" s="189"/>
      <c r="C1933" s="189"/>
      <c r="D1933" s="189"/>
      <c r="E1933" s="189"/>
      <c r="F1933" s="270"/>
      <c r="G1933" s="76"/>
      <c r="H1933" s="76"/>
      <c r="I1933" s="270"/>
      <c r="J1933" s="270"/>
      <c r="K1933" s="270"/>
      <c r="L1933" s="270"/>
      <c r="M1933" s="76"/>
      <c r="N1933" s="76"/>
      <c r="O1933" s="76"/>
      <c r="P1933" s="76"/>
    </row>
    <row r="1934" ht="20.25" customHeight="1">
      <c r="A1934" s="664"/>
      <c r="B1934" s="190"/>
      <c r="C1934" s="190"/>
      <c r="D1934" s="190"/>
      <c r="E1934" s="190"/>
      <c r="F1934" s="269"/>
      <c r="G1934" s="76"/>
      <c r="H1934" s="76"/>
      <c r="I1934" s="269"/>
      <c r="J1934" s="269"/>
      <c r="K1934" s="269"/>
      <c r="L1934" s="269"/>
      <c r="M1934" s="76"/>
      <c r="N1934" s="76"/>
      <c r="O1934" s="76"/>
      <c r="P1934" s="76"/>
    </row>
    <row r="1935" ht="20.25" customHeight="1">
      <c r="A1935" s="665"/>
      <c r="B1935" s="189"/>
      <c r="C1935" s="189"/>
      <c r="D1935" s="189"/>
      <c r="E1935" s="189"/>
      <c r="F1935" s="270"/>
      <c r="G1935" s="76"/>
      <c r="H1935" s="76"/>
      <c r="I1935" s="270"/>
      <c r="J1935" s="270"/>
      <c r="K1935" s="270"/>
      <c r="L1935" s="270"/>
      <c r="M1935" s="76"/>
      <c r="N1935" s="76"/>
      <c r="O1935" s="76"/>
      <c r="P1935" s="76"/>
    </row>
    <row r="1936" ht="20.25" customHeight="1">
      <c r="A1936" s="664"/>
      <c r="B1936" s="190"/>
      <c r="C1936" s="190"/>
      <c r="D1936" s="190"/>
      <c r="E1936" s="190"/>
      <c r="F1936" s="269"/>
      <c r="G1936" s="76"/>
      <c r="H1936" s="76"/>
      <c r="I1936" s="269"/>
      <c r="J1936" s="269"/>
      <c r="K1936" s="269"/>
      <c r="L1936" s="269"/>
      <c r="M1936" s="76"/>
      <c r="N1936" s="76"/>
      <c r="O1936" s="76"/>
      <c r="P1936" s="76"/>
    </row>
    <row r="1937" ht="20.25" customHeight="1">
      <c r="A1937" s="665"/>
      <c r="B1937" s="189"/>
      <c r="C1937" s="189"/>
      <c r="D1937" s="189"/>
      <c r="E1937" s="189"/>
      <c r="F1937" s="270"/>
      <c r="G1937" s="76"/>
      <c r="H1937" s="76"/>
      <c r="I1937" s="270"/>
      <c r="J1937" s="270"/>
      <c r="K1937" s="270"/>
      <c r="L1937" s="270"/>
      <c r="M1937" s="76"/>
      <c r="N1937" s="76"/>
      <c r="O1937" s="76"/>
      <c r="P1937" s="76"/>
    </row>
    <row r="1938" ht="20.25" customHeight="1">
      <c r="A1938" s="664"/>
      <c r="B1938" s="190"/>
      <c r="C1938" s="190"/>
      <c r="D1938" s="190"/>
      <c r="E1938" s="190"/>
      <c r="F1938" s="269"/>
      <c r="G1938" s="76"/>
      <c r="H1938" s="76"/>
      <c r="I1938" s="269"/>
      <c r="J1938" s="269"/>
      <c r="K1938" s="269"/>
      <c r="L1938" s="269"/>
      <c r="M1938" s="76"/>
      <c r="N1938" s="76"/>
      <c r="O1938" s="76"/>
      <c r="P1938" s="76"/>
    </row>
    <row r="1939" ht="20.25" customHeight="1">
      <c r="A1939" s="665"/>
      <c r="B1939" s="189"/>
      <c r="C1939" s="189"/>
      <c r="D1939" s="189"/>
      <c r="E1939" s="189"/>
      <c r="F1939" s="270"/>
      <c r="G1939" s="76"/>
      <c r="H1939" s="76"/>
      <c r="I1939" s="270"/>
      <c r="J1939" s="270"/>
      <c r="K1939" s="270"/>
      <c r="L1939" s="270"/>
      <c r="M1939" s="76"/>
      <c r="N1939" s="76"/>
      <c r="O1939" s="76"/>
      <c r="P1939" s="76"/>
    </row>
    <row r="1940" ht="20.25" customHeight="1">
      <c r="A1940" s="664"/>
      <c r="B1940" s="190"/>
      <c r="C1940" s="190"/>
      <c r="D1940" s="190"/>
      <c r="E1940" s="190"/>
      <c r="F1940" s="269"/>
      <c r="G1940" s="76"/>
      <c r="H1940" s="76"/>
      <c r="I1940" s="269"/>
      <c r="J1940" s="269"/>
      <c r="K1940" s="269"/>
      <c r="L1940" s="269"/>
      <c r="M1940" s="76"/>
      <c r="N1940" s="76"/>
      <c r="O1940" s="76"/>
      <c r="P1940" s="76"/>
    </row>
    <row r="1941" ht="20.25" customHeight="1">
      <c r="A1941" s="665"/>
      <c r="B1941" s="189"/>
      <c r="C1941" s="189"/>
      <c r="D1941" s="189"/>
      <c r="E1941" s="189"/>
      <c r="F1941" s="270"/>
      <c r="G1941" s="76"/>
      <c r="H1941" s="76"/>
      <c r="I1941" s="270"/>
      <c r="J1941" s="270"/>
      <c r="K1941" s="270"/>
      <c r="L1941" s="270"/>
      <c r="M1941" s="76"/>
      <c r="N1941" s="76"/>
      <c r="O1941" s="76"/>
      <c r="P1941" s="76"/>
    </row>
    <row r="1942" ht="20.25" customHeight="1">
      <c r="A1942" s="664"/>
      <c r="B1942" s="190"/>
      <c r="C1942" s="190"/>
      <c r="D1942" s="190"/>
      <c r="E1942" s="190"/>
      <c r="F1942" s="269"/>
      <c r="G1942" s="76"/>
      <c r="H1942" s="76"/>
      <c r="I1942" s="269"/>
      <c r="J1942" s="269"/>
      <c r="K1942" s="269"/>
      <c r="L1942" s="269"/>
      <c r="M1942" s="76"/>
      <c r="N1942" s="76"/>
      <c r="O1942" s="76"/>
      <c r="P1942" s="76"/>
    </row>
    <row r="1943" ht="20.25" customHeight="1">
      <c r="A1943" s="665"/>
      <c r="B1943" s="189"/>
      <c r="C1943" s="189"/>
      <c r="D1943" s="189"/>
      <c r="E1943" s="189"/>
      <c r="F1943" s="270"/>
      <c r="G1943" s="76"/>
      <c r="H1943" s="76"/>
      <c r="I1943" s="270"/>
      <c r="J1943" s="270"/>
      <c r="K1943" s="270"/>
      <c r="L1943" s="270"/>
      <c r="M1943" s="76"/>
      <c r="N1943" s="76"/>
      <c r="O1943" s="76"/>
      <c r="P1943" s="76"/>
    </row>
    <row r="1944" ht="20.25" customHeight="1">
      <c r="A1944" s="664"/>
      <c r="B1944" s="190"/>
      <c r="C1944" s="190"/>
      <c r="D1944" s="190"/>
      <c r="E1944" s="190"/>
      <c r="F1944" s="269"/>
      <c r="G1944" s="76"/>
      <c r="H1944" s="76"/>
      <c r="I1944" s="269"/>
      <c r="J1944" s="269"/>
      <c r="K1944" s="269"/>
      <c r="L1944" s="269"/>
      <c r="M1944" s="76"/>
      <c r="N1944" s="76"/>
      <c r="O1944" s="76"/>
      <c r="P1944" s="76"/>
    </row>
    <row r="1945" ht="20.25" customHeight="1">
      <c r="A1945" s="665"/>
      <c r="B1945" s="189"/>
      <c r="C1945" s="189"/>
      <c r="D1945" s="189"/>
      <c r="E1945" s="189"/>
      <c r="F1945" s="270"/>
      <c r="G1945" s="76"/>
      <c r="H1945" s="76"/>
      <c r="I1945" s="270"/>
      <c r="J1945" s="270"/>
      <c r="K1945" s="270"/>
      <c r="L1945" s="270"/>
      <c r="M1945" s="76"/>
      <c r="N1945" s="76"/>
      <c r="O1945" s="76"/>
      <c r="P1945" s="76"/>
    </row>
    <row r="1946" ht="20.25" customHeight="1">
      <c r="A1946" s="664"/>
      <c r="B1946" s="190"/>
      <c r="C1946" s="190"/>
      <c r="D1946" s="190"/>
      <c r="E1946" s="190"/>
      <c r="F1946" s="269"/>
      <c r="G1946" s="76"/>
      <c r="H1946" s="76"/>
      <c r="I1946" s="269"/>
      <c r="J1946" s="269"/>
      <c r="K1946" s="269"/>
      <c r="L1946" s="269"/>
      <c r="M1946" s="76"/>
      <c r="N1946" s="76"/>
      <c r="O1946" s="76"/>
      <c r="P1946" s="76"/>
    </row>
    <row r="1947" ht="20.25" customHeight="1">
      <c r="A1947" s="665"/>
      <c r="B1947" s="189"/>
      <c r="C1947" s="189"/>
      <c r="D1947" s="189"/>
      <c r="E1947" s="189"/>
      <c r="F1947" s="270"/>
      <c r="G1947" s="76"/>
      <c r="H1947" s="76"/>
      <c r="I1947" s="270"/>
      <c r="J1947" s="270"/>
      <c r="K1947" s="270"/>
      <c r="L1947" s="270"/>
      <c r="M1947" s="76"/>
      <c r="N1947" s="76"/>
      <c r="O1947" s="76"/>
      <c r="P1947" s="76"/>
    </row>
    <row r="1948" ht="20.25" customHeight="1">
      <c r="A1948" s="664"/>
      <c r="B1948" s="190"/>
      <c r="C1948" s="190"/>
      <c r="D1948" s="190"/>
      <c r="E1948" s="190"/>
      <c r="F1948" s="269"/>
      <c r="G1948" s="76"/>
      <c r="H1948" s="76"/>
      <c r="I1948" s="269"/>
      <c r="J1948" s="269"/>
      <c r="K1948" s="269"/>
      <c r="L1948" s="269"/>
      <c r="M1948" s="76"/>
      <c r="N1948" s="76"/>
      <c r="O1948" s="76"/>
      <c r="P1948" s="76"/>
    </row>
    <row r="1949" ht="20.25" customHeight="1">
      <c r="A1949" s="665"/>
      <c r="B1949" s="189"/>
      <c r="C1949" s="189"/>
      <c r="D1949" s="189"/>
      <c r="E1949" s="189"/>
      <c r="F1949" s="270"/>
      <c r="G1949" s="76"/>
      <c r="H1949" s="76"/>
      <c r="I1949" s="270"/>
      <c r="J1949" s="270"/>
      <c r="K1949" s="270"/>
      <c r="L1949" s="270"/>
      <c r="M1949" s="76"/>
      <c r="N1949" s="76"/>
      <c r="O1949" s="76"/>
      <c r="P1949" s="76"/>
    </row>
    <row r="1950" ht="20.25" customHeight="1">
      <c r="A1950" s="664"/>
      <c r="B1950" s="190"/>
      <c r="C1950" s="190"/>
      <c r="D1950" s="190"/>
      <c r="E1950" s="190"/>
      <c r="F1950" s="269"/>
      <c r="G1950" s="76"/>
      <c r="H1950" s="76"/>
      <c r="I1950" s="269"/>
      <c r="J1950" s="269"/>
      <c r="K1950" s="269"/>
      <c r="L1950" s="269"/>
      <c r="M1950" s="76"/>
      <c r="N1950" s="76"/>
      <c r="O1950" s="76"/>
      <c r="P1950" s="76"/>
    </row>
    <row r="1951" ht="20.25" customHeight="1">
      <c r="A1951" s="665"/>
      <c r="B1951" s="189"/>
      <c r="C1951" s="189"/>
      <c r="D1951" s="189"/>
      <c r="E1951" s="189"/>
      <c r="F1951" s="270"/>
      <c r="G1951" s="76"/>
      <c r="H1951" s="76"/>
      <c r="I1951" s="270"/>
      <c r="J1951" s="270"/>
      <c r="K1951" s="270"/>
      <c r="L1951" s="270"/>
      <c r="M1951" s="76"/>
      <c r="N1951" s="76"/>
      <c r="O1951" s="76"/>
      <c r="P1951" s="76"/>
    </row>
    <row r="1952" ht="20.25" customHeight="1">
      <c r="A1952" s="664"/>
      <c r="B1952" s="190"/>
      <c r="C1952" s="190"/>
      <c r="D1952" s="190"/>
      <c r="E1952" s="190"/>
      <c r="F1952" s="269"/>
      <c r="G1952" s="76"/>
      <c r="H1952" s="76"/>
      <c r="I1952" s="269"/>
      <c r="J1952" s="269"/>
      <c r="K1952" s="269"/>
      <c r="L1952" s="269"/>
      <c r="M1952" s="76"/>
      <c r="N1952" s="76"/>
      <c r="O1952" s="76"/>
      <c r="P1952" s="76"/>
    </row>
    <row r="1953" ht="20.25" customHeight="1">
      <c r="A1953" s="665"/>
      <c r="B1953" s="189"/>
      <c r="C1953" s="189"/>
      <c r="D1953" s="189"/>
      <c r="E1953" s="189"/>
      <c r="F1953" s="270"/>
      <c r="G1953" s="76"/>
      <c r="H1953" s="76"/>
      <c r="I1953" s="270"/>
      <c r="J1953" s="270"/>
      <c r="K1953" s="270"/>
      <c r="L1953" s="270"/>
      <c r="M1953" s="76"/>
      <c r="N1953" s="76"/>
      <c r="O1953" s="76"/>
      <c r="P1953" s="76"/>
    </row>
    <row r="1954" ht="20.25" customHeight="1">
      <c r="A1954" s="664"/>
      <c r="B1954" s="190"/>
      <c r="C1954" s="190"/>
      <c r="D1954" s="190"/>
      <c r="E1954" s="190"/>
      <c r="F1954" s="269"/>
      <c r="G1954" s="76"/>
      <c r="H1954" s="76"/>
      <c r="I1954" s="269"/>
      <c r="J1954" s="269"/>
      <c r="K1954" s="269"/>
      <c r="L1954" s="269"/>
      <c r="M1954" s="76"/>
      <c r="N1954" s="76"/>
      <c r="O1954" s="76"/>
      <c r="P1954" s="76"/>
    </row>
    <row r="1955" ht="20.25" customHeight="1">
      <c r="A1955" s="665"/>
      <c r="B1955" s="189"/>
      <c r="C1955" s="189"/>
      <c r="D1955" s="189"/>
      <c r="E1955" s="189"/>
      <c r="F1955" s="270"/>
      <c r="G1955" s="76"/>
      <c r="H1955" s="76"/>
      <c r="I1955" s="270"/>
      <c r="J1955" s="270"/>
      <c r="K1955" s="270"/>
      <c r="L1955" s="270"/>
      <c r="M1955" s="76"/>
      <c r="N1955" s="76"/>
      <c r="O1955" s="76"/>
      <c r="P1955" s="76"/>
    </row>
    <row r="1956" ht="20.25" customHeight="1">
      <c r="A1956" s="664"/>
      <c r="B1956" s="190"/>
      <c r="C1956" s="190"/>
      <c r="D1956" s="190"/>
      <c r="E1956" s="190"/>
      <c r="F1956" s="269"/>
      <c r="G1956" s="76"/>
      <c r="H1956" s="76"/>
      <c r="I1956" s="269"/>
      <c r="J1956" s="269"/>
      <c r="K1956" s="269"/>
      <c r="L1956" s="269"/>
      <c r="M1956" s="76"/>
      <c r="N1956" s="76"/>
      <c r="O1956" s="76"/>
      <c r="P1956" s="76"/>
    </row>
    <row r="1957" ht="20.25" customHeight="1">
      <c r="A1957" s="665"/>
      <c r="B1957" s="189"/>
      <c r="C1957" s="189"/>
      <c r="D1957" s="189"/>
      <c r="E1957" s="189"/>
      <c r="F1957" s="270"/>
      <c r="G1957" s="76"/>
      <c r="H1957" s="76"/>
      <c r="I1957" s="270"/>
      <c r="J1957" s="270"/>
      <c r="K1957" s="270"/>
      <c r="L1957" s="270"/>
      <c r="M1957" s="76"/>
      <c r="N1957" s="76"/>
      <c r="O1957" s="76"/>
      <c r="P1957" s="76"/>
    </row>
    <row r="1958" ht="20.25" customHeight="1">
      <c r="A1958" s="664"/>
      <c r="B1958" s="190"/>
      <c r="C1958" s="190"/>
      <c r="D1958" s="190"/>
      <c r="E1958" s="190"/>
      <c r="F1958" s="269"/>
      <c r="G1958" s="76"/>
      <c r="H1958" s="76"/>
      <c r="I1958" s="269"/>
      <c r="J1958" s="269"/>
      <c r="K1958" s="269"/>
      <c r="L1958" s="269"/>
      <c r="M1958" s="76"/>
      <c r="N1958" s="76"/>
      <c r="O1958" s="76"/>
      <c r="P1958" s="76"/>
    </row>
    <row r="1959" ht="20.25" customHeight="1">
      <c r="A1959" s="665"/>
      <c r="B1959" s="189"/>
      <c r="C1959" s="189"/>
      <c r="D1959" s="189"/>
      <c r="E1959" s="189"/>
      <c r="F1959" s="270"/>
      <c r="G1959" s="76"/>
      <c r="H1959" s="76"/>
      <c r="I1959" s="270"/>
      <c r="J1959" s="270"/>
      <c r="K1959" s="270"/>
      <c r="L1959" s="270"/>
      <c r="M1959" s="76"/>
      <c r="N1959" s="76"/>
      <c r="O1959" s="76"/>
      <c r="P1959" s="76"/>
    </row>
    <row r="1960" ht="20.25" customHeight="1">
      <c r="A1960" s="664"/>
      <c r="B1960" s="190"/>
      <c r="C1960" s="190"/>
      <c r="D1960" s="190"/>
      <c r="E1960" s="190"/>
      <c r="F1960" s="269"/>
      <c r="G1960" s="76"/>
      <c r="H1960" s="76"/>
      <c r="I1960" s="269"/>
      <c r="J1960" s="269"/>
      <c r="K1960" s="269"/>
      <c r="L1960" s="269"/>
      <c r="M1960" s="76"/>
      <c r="N1960" s="76"/>
      <c r="O1960" s="76"/>
      <c r="P1960" s="76"/>
    </row>
    <row r="1961" ht="20.25" customHeight="1">
      <c r="A1961" s="665"/>
      <c r="B1961" s="189"/>
      <c r="C1961" s="189"/>
      <c r="D1961" s="189"/>
      <c r="E1961" s="189"/>
      <c r="F1961" s="270"/>
      <c r="G1961" s="76"/>
      <c r="H1961" s="76"/>
      <c r="I1961" s="270"/>
      <c r="J1961" s="270"/>
      <c r="K1961" s="270"/>
      <c r="L1961" s="270"/>
      <c r="M1961" s="76"/>
      <c r="N1961" s="76"/>
      <c r="O1961" s="76"/>
      <c r="P1961" s="76"/>
    </row>
    <row r="1962" ht="20.25" customHeight="1">
      <c r="A1962" s="664"/>
      <c r="B1962" s="190"/>
      <c r="C1962" s="190"/>
      <c r="D1962" s="190"/>
      <c r="E1962" s="190"/>
      <c r="F1962" s="269"/>
      <c r="G1962" s="76"/>
      <c r="H1962" s="76"/>
      <c r="I1962" s="269"/>
      <c r="J1962" s="269"/>
      <c r="K1962" s="269"/>
      <c r="L1962" s="269"/>
      <c r="M1962" s="76"/>
      <c r="N1962" s="76"/>
      <c r="O1962" s="76"/>
      <c r="P1962" s="76"/>
    </row>
    <row r="1963" ht="20.25" customHeight="1">
      <c r="A1963" s="665"/>
      <c r="B1963" s="189"/>
      <c r="C1963" s="189"/>
      <c r="D1963" s="189"/>
      <c r="E1963" s="189"/>
      <c r="F1963" s="270"/>
      <c r="G1963" s="76"/>
      <c r="H1963" s="76"/>
      <c r="I1963" s="270"/>
      <c r="J1963" s="270"/>
      <c r="K1963" s="270"/>
      <c r="L1963" s="270"/>
      <c r="M1963" s="76"/>
      <c r="N1963" s="76"/>
      <c r="O1963" s="76"/>
      <c r="P1963" s="76"/>
    </row>
    <row r="1964" ht="20.25" customHeight="1">
      <c r="A1964" s="664"/>
      <c r="B1964" s="190"/>
      <c r="C1964" s="190"/>
      <c r="D1964" s="190"/>
      <c r="E1964" s="190"/>
      <c r="F1964" s="269"/>
      <c r="G1964" s="76"/>
      <c r="H1964" s="76"/>
      <c r="I1964" s="269"/>
      <c r="J1964" s="269"/>
      <c r="K1964" s="269"/>
      <c r="L1964" s="269"/>
      <c r="M1964" s="76"/>
      <c r="N1964" s="76"/>
      <c r="O1964" s="76"/>
      <c r="P1964" s="76"/>
    </row>
    <row r="1965" ht="20.25" customHeight="1">
      <c r="A1965" s="665"/>
      <c r="B1965" s="189"/>
      <c r="C1965" s="189"/>
      <c r="D1965" s="189"/>
      <c r="E1965" s="189"/>
      <c r="F1965" s="270"/>
      <c r="G1965" s="76"/>
      <c r="H1965" s="76"/>
      <c r="I1965" s="270"/>
      <c r="J1965" s="270"/>
      <c r="K1965" s="270"/>
      <c r="L1965" s="270"/>
      <c r="M1965" s="76"/>
      <c r="N1965" s="76"/>
      <c r="O1965" s="76"/>
      <c r="P1965" s="76"/>
    </row>
    <row r="1966" ht="20.25" customHeight="1">
      <c r="A1966" s="664"/>
      <c r="B1966" s="190"/>
      <c r="C1966" s="190"/>
      <c r="D1966" s="190"/>
      <c r="E1966" s="190"/>
      <c r="F1966" s="269"/>
      <c r="G1966" s="76"/>
      <c r="H1966" s="76"/>
      <c r="I1966" s="269"/>
      <c r="J1966" s="269"/>
      <c r="K1966" s="269"/>
      <c r="L1966" s="269"/>
      <c r="M1966" s="76"/>
      <c r="N1966" s="76"/>
      <c r="O1966" s="76"/>
      <c r="P1966" s="76"/>
    </row>
    <row r="1967" ht="20.25" customHeight="1">
      <c r="A1967" s="665"/>
      <c r="B1967" s="189"/>
      <c r="C1967" s="189"/>
      <c r="D1967" s="189"/>
      <c r="E1967" s="189"/>
      <c r="F1967" s="270"/>
      <c r="G1967" s="76"/>
      <c r="H1967" s="76"/>
      <c r="I1967" s="270"/>
      <c r="J1967" s="270"/>
      <c r="K1967" s="270"/>
      <c r="L1967" s="270"/>
      <c r="M1967" s="76"/>
      <c r="N1967" s="76"/>
      <c r="O1967" s="76"/>
      <c r="P1967" s="76"/>
    </row>
    <row r="1968" ht="20.25" customHeight="1">
      <c r="A1968" s="664"/>
      <c r="B1968" s="190"/>
      <c r="C1968" s="190"/>
      <c r="D1968" s="190"/>
      <c r="E1968" s="190"/>
      <c r="F1968" s="269"/>
      <c r="G1968" s="76"/>
      <c r="H1968" s="76"/>
      <c r="I1968" s="269"/>
      <c r="J1968" s="269"/>
      <c r="K1968" s="269"/>
      <c r="L1968" s="269"/>
      <c r="M1968" s="76"/>
      <c r="N1968" s="76"/>
      <c r="O1968" s="76"/>
      <c r="P1968" s="76"/>
    </row>
    <row r="1969" ht="20.25" customHeight="1">
      <c r="A1969" s="665"/>
      <c r="B1969" s="189"/>
      <c r="C1969" s="189"/>
      <c r="D1969" s="189"/>
      <c r="E1969" s="189"/>
      <c r="F1969" s="270"/>
      <c r="G1969" s="76"/>
      <c r="H1969" s="76"/>
      <c r="I1969" s="270"/>
      <c r="J1969" s="270"/>
      <c r="K1969" s="270"/>
      <c r="L1969" s="270"/>
      <c r="M1969" s="76"/>
      <c r="N1969" s="76"/>
      <c r="O1969" s="76"/>
      <c r="P1969" s="76"/>
    </row>
    <row r="1970" ht="20.25" customHeight="1">
      <c r="A1970" s="664"/>
      <c r="B1970" s="190"/>
      <c r="C1970" s="190"/>
      <c r="D1970" s="190"/>
      <c r="E1970" s="190"/>
      <c r="F1970" s="269"/>
      <c r="G1970" s="76"/>
      <c r="H1970" s="76"/>
      <c r="I1970" s="269"/>
      <c r="J1970" s="269"/>
      <c r="K1970" s="269"/>
      <c r="L1970" s="269"/>
      <c r="M1970" s="76"/>
      <c r="N1970" s="76"/>
      <c r="O1970" s="76"/>
      <c r="P1970" s="76"/>
    </row>
    <row r="1971" ht="20.25" customHeight="1">
      <c r="A1971" s="665"/>
      <c r="B1971" s="189"/>
      <c r="C1971" s="189"/>
      <c r="D1971" s="189"/>
      <c r="E1971" s="189"/>
      <c r="F1971" s="270"/>
      <c r="G1971" s="76"/>
      <c r="H1971" s="76"/>
      <c r="I1971" s="270"/>
      <c r="J1971" s="270"/>
      <c r="K1971" s="270"/>
      <c r="L1971" s="270"/>
      <c r="M1971" s="76"/>
      <c r="N1971" s="76"/>
      <c r="O1971" s="76"/>
      <c r="P1971" s="76"/>
    </row>
    <row r="1972" ht="20.25" customHeight="1">
      <c r="A1972" s="664"/>
      <c r="B1972" s="190"/>
      <c r="C1972" s="190"/>
      <c r="D1972" s="190"/>
      <c r="E1972" s="190"/>
      <c r="F1972" s="269"/>
      <c r="G1972" s="76"/>
      <c r="H1972" s="76"/>
      <c r="I1972" s="269"/>
      <c r="J1972" s="269"/>
      <c r="K1972" s="269"/>
      <c r="L1972" s="269"/>
      <c r="M1972" s="76"/>
      <c r="N1972" s="76"/>
      <c r="O1972" s="76"/>
      <c r="P1972" s="76"/>
    </row>
    <row r="1973" ht="20.25" customHeight="1">
      <c r="A1973" s="665"/>
      <c r="B1973" s="189"/>
      <c r="C1973" s="189"/>
      <c r="D1973" s="189"/>
      <c r="E1973" s="189"/>
      <c r="F1973" s="270"/>
      <c r="G1973" s="76"/>
      <c r="H1973" s="76"/>
      <c r="I1973" s="270"/>
      <c r="J1973" s="270"/>
      <c r="K1973" s="270"/>
      <c r="L1973" s="270"/>
      <c r="M1973" s="76"/>
      <c r="N1973" s="76"/>
      <c r="O1973" s="76"/>
      <c r="P1973" s="76"/>
    </row>
    <row r="1974" ht="20.25" customHeight="1">
      <c r="A1974" s="664"/>
      <c r="B1974" s="190"/>
      <c r="C1974" s="190"/>
      <c r="D1974" s="190"/>
      <c r="E1974" s="190"/>
      <c r="F1974" s="269"/>
      <c r="G1974" s="76"/>
      <c r="H1974" s="76"/>
      <c r="I1974" s="269"/>
      <c r="J1974" s="269"/>
      <c r="K1974" s="269"/>
      <c r="L1974" s="269"/>
      <c r="M1974" s="76"/>
      <c r="N1974" s="76"/>
      <c r="O1974" s="76"/>
      <c r="P1974" s="76"/>
    </row>
    <row r="1975" ht="20.25" customHeight="1">
      <c r="A1975" s="665"/>
      <c r="B1975" s="189"/>
      <c r="C1975" s="189"/>
      <c r="D1975" s="189"/>
      <c r="E1975" s="189"/>
      <c r="F1975" s="270"/>
      <c r="G1975" s="76"/>
      <c r="H1975" s="76"/>
      <c r="I1975" s="270"/>
      <c r="J1975" s="270"/>
      <c r="K1975" s="270"/>
      <c r="L1975" s="270"/>
      <c r="M1975" s="76"/>
      <c r="N1975" s="76"/>
      <c r="O1975" s="76"/>
      <c r="P1975" s="76"/>
    </row>
    <row r="1976" ht="20.25" customHeight="1">
      <c r="A1976" s="664"/>
      <c r="B1976" s="190"/>
      <c r="C1976" s="190"/>
      <c r="D1976" s="190"/>
      <c r="E1976" s="190"/>
      <c r="F1976" s="269"/>
      <c r="G1976" s="76"/>
      <c r="H1976" s="76"/>
      <c r="I1976" s="269"/>
      <c r="J1976" s="269"/>
      <c r="K1976" s="269"/>
      <c r="L1976" s="269"/>
      <c r="M1976" s="76"/>
      <c r="N1976" s="76"/>
      <c r="O1976" s="76"/>
      <c r="P1976" s="76"/>
    </row>
    <row r="1977" ht="20.25" customHeight="1">
      <c r="A1977" s="665"/>
      <c r="B1977" s="189"/>
      <c r="C1977" s="189"/>
      <c r="D1977" s="189"/>
      <c r="E1977" s="189"/>
      <c r="F1977" s="270"/>
      <c r="G1977" s="76"/>
      <c r="H1977" s="76"/>
      <c r="I1977" s="270"/>
      <c r="J1977" s="270"/>
      <c r="K1977" s="270"/>
      <c r="L1977" s="270"/>
      <c r="M1977" s="76"/>
      <c r="N1977" s="76"/>
      <c r="O1977" s="76"/>
      <c r="P1977" s="76"/>
    </row>
    <row r="1978" ht="20.25" customHeight="1">
      <c r="A1978" s="664"/>
      <c r="B1978" s="190"/>
      <c r="C1978" s="190"/>
      <c r="D1978" s="190"/>
      <c r="E1978" s="190"/>
      <c r="F1978" s="269"/>
      <c r="G1978" s="76"/>
      <c r="H1978" s="76"/>
      <c r="I1978" s="269"/>
      <c r="J1978" s="269"/>
      <c r="K1978" s="269"/>
      <c r="L1978" s="269"/>
      <c r="M1978" s="76"/>
      <c r="N1978" s="76"/>
      <c r="O1978" s="76"/>
      <c r="P1978" s="76"/>
    </row>
    <row r="1979" ht="20.25" customHeight="1">
      <c r="A1979" s="665"/>
      <c r="B1979" s="189"/>
      <c r="C1979" s="189"/>
      <c r="D1979" s="189"/>
      <c r="E1979" s="189"/>
      <c r="F1979" s="270"/>
      <c r="G1979" s="76"/>
      <c r="H1979" s="76"/>
      <c r="I1979" s="270"/>
      <c r="J1979" s="270"/>
      <c r="K1979" s="270"/>
      <c r="L1979" s="270"/>
      <c r="M1979" s="76"/>
      <c r="N1979" s="76"/>
      <c r="O1979" s="76"/>
      <c r="P1979" s="76"/>
    </row>
    <row r="1980" ht="20.25" customHeight="1">
      <c r="A1980" s="664"/>
      <c r="B1980" s="190"/>
      <c r="C1980" s="190"/>
      <c r="D1980" s="190"/>
      <c r="E1980" s="190"/>
      <c r="F1980" s="269"/>
      <c r="G1980" s="76"/>
      <c r="H1980" s="76"/>
      <c r="I1980" s="269"/>
      <c r="J1980" s="269"/>
      <c r="K1980" s="269"/>
      <c r="L1980" s="269"/>
      <c r="M1980" s="76"/>
      <c r="N1980" s="76"/>
      <c r="O1980" s="76"/>
      <c r="P1980" s="76"/>
    </row>
    <row r="1981" ht="20.25" customHeight="1">
      <c r="A1981" s="665"/>
      <c r="B1981" s="189"/>
      <c r="C1981" s="189"/>
      <c r="D1981" s="189"/>
      <c r="E1981" s="189"/>
      <c r="F1981" s="270"/>
      <c r="G1981" s="76"/>
      <c r="H1981" s="76"/>
      <c r="I1981" s="270"/>
      <c r="J1981" s="270"/>
      <c r="K1981" s="270"/>
      <c r="L1981" s="270"/>
      <c r="M1981" s="76"/>
      <c r="N1981" s="76"/>
      <c r="O1981" s="76"/>
      <c r="P1981" s="76"/>
    </row>
    <row r="1982" ht="20.25" customHeight="1">
      <c r="A1982" s="664"/>
      <c r="B1982" s="190"/>
      <c r="C1982" s="190"/>
      <c r="D1982" s="190"/>
      <c r="E1982" s="190"/>
      <c r="F1982" s="269"/>
      <c r="G1982" s="76"/>
      <c r="H1982" s="76"/>
      <c r="I1982" s="269"/>
      <c r="J1982" s="269"/>
      <c r="K1982" s="269"/>
      <c r="L1982" s="269"/>
      <c r="M1982" s="76"/>
      <c r="N1982" s="76"/>
      <c r="O1982" s="76"/>
      <c r="P1982" s="76"/>
    </row>
    <row r="1983" ht="20.25" customHeight="1">
      <c r="A1983" s="665"/>
      <c r="B1983" s="189"/>
      <c r="C1983" s="189"/>
      <c r="D1983" s="189"/>
      <c r="E1983" s="189"/>
      <c r="F1983" s="270"/>
      <c r="G1983" s="76"/>
      <c r="H1983" s="76"/>
      <c r="I1983" s="270"/>
      <c r="J1983" s="270"/>
      <c r="K1983" s="270"/>
      <c r="L1983" s="270"/>
      <c r="M1983" s="76"/>
      <c r="N1983" s="76"/>
      <c r="O1983" s="76"/>
      <c r="P1983" s="76"/>
    </row>
    <row r="1984" ht="20.25" customHeight="1">
      <c r="A1984" s="664"/>
      <c r="B1984" s="190"/>
      <c r="C1984" s="190"/>
      <c r="D1984" s="190"/>
      <c r="E1984" s="190"/>
      <c r="F1984" s="269"/>
      <c r="G1984" s="76"/>
      <c r="H1984" s="76"/>
      <c r="I1984" s="269"/>
      <c r="J1984" s="269"/>
      <c r="K1984" s="269"/>
      <c r="L1984" s="269"/>
      <c r="M1984" s="76"/>
      <c r="N1984" s="76"/>
      <c r="O1984" s="76"/>
      <c r="P1984" s="76"/>
    </row>
    <row r="1985" ht="20.25" customHeight="1">
      <c r="A1985" s="665"/>
      <c r="B1985" s="189"/>
      <c r="C1985" s="189"/>
      <c r="D1985" s="189"/>
      <c r="E1985" s="189"/>
      <c r="F1985" s="270"/>
      <c r="G1985" s="76"/>
      <c r="H1985" s="76"/>
      <c r="I1985" s="270"/>
      <c r="J1985" s="270"/>
      <c r="K1985" s="270"/>
      <c r="L1985" s="270"/>
      <c r="M1985" s="76"/>
      <c r="N1985" s="76"/>
      <c r="O1985" s="76"/>
      <c r="P1985" s="76"/>
    </row>
    <row r="1986" ht="20.25" customHeight="1">
      <c r="A1986" s="664"/>
      <c r="B1986" s="190"/>
      <c r="C1986" s="190"/>
      <c r="D1986" s="190"/>
      <c r="E1986" s="190"/>
      <c r="F1986" s="269"/>
      <c r="G1986" s="76"/>
      <c r="H1986" s="76"/>
      <c r="I1986" s="269"/>
      <c r="J1986" s="269"/>
      <c r="K1986" s="269"/>
      <c r="L1986" s="269"/>
      <c r="M1986" s="76"/>
      <c r="N1986" s="76"/>
      <c r="O1986" s="76"/>
      <c r="P1986" s="76"/>
    </row>
    <row r="1987" ht="20.25" customHeight="1">
      <c r="A1987" s="665"/>
      <c r="B1987" s="189"/>
      <c r="C1987" s="189"/>
      <c r="D1987" s="189"/>
      <c r="E1987" s="189"/>
      <c r="F1987" s="270"/>
      <c r="G1987" s="76"/>
      <c r="H1987" s="76"/>
      <c r="I1987" s="270"/>
      <c r="J1987" s="270"/>
      <c r="K1987" s="270"/>
      <c r="L1987" s="270"/>
      <c r="M1987" s="76"/>
      <c r="N1987" s="76"/>
      <c r="O1987" s="76"/>
      <c r="P1987" s="76"/>
    </row>
    <row r="1988" ht="20.25" customHeight="1">
      <c r="A1988" s="664"/>
      <c r="B1988" s="190"/>
      <c r="C1988" s="190"/>
      <c r="D1988" s="190"/>
      <c r="E1988" s="190"/>
      <c r="F1988" s="269"/>
      <c r="G1988" s="76"/>
      <c r="H1988" s="76"/>
      <c r="I1988" s="269"/>
      <c r="J1988" s="269"/>
      <c r="K1988" s="269"/>
      <c r="L1988" s="269"/>
      <c r="M1988" s="76"/>
      <c r="N1988" s="76"/>
      <c r="O1988" s="76"/>
      <c r="P1988" s="76"/>
    </row>
    <row r="1989" ht="20.25" customHeight="1">
      <c r="A1989" s="665"/>
      <c r="B1989" s="189"/>
      <c r="C1989" s="189"/>
      <c r="D1989" s="189"/>
      <c r="E1989" s="189"/>
      <c r="F1989" s="270"/>
      <c r="G1989" s="76"/>
      <c r="H1989" s="76"/>
      <c r="I1989" s="270"/>
      <c r="J1989" s="270"/>
      <c r="K1989" s="270"/>
      <c r="L1989" s="270"/>
      <c r="M1989" s="76"/>
      <c r="N1989" s="76"/>
      <c r="O1989" s="76"/>
      <c r="P1989" s="76"/>
    </row>
    <row r="1990" ht="20.25" customHeight="1">
      <c r="A1990" s="664"/>
      <c r="B1990" s="190"/>
      <c r="C1990" s="190"/>
      <c r="D1990" s="190"/>
      <c r="E1990" s="190"/>
      <c r="F1990" s="269"/>
      <c r="G1990" s="76"/>
      <c r="H1990" s="76"/>
      <c r="I1990" s="269"/>
      <c r="J1990" s="269"/>
      <c r="K1990" s="269"/>
      <c r="L1990" s="269"/>
      <c r="M1990" s="76"/>
      <c r="N1990" s="76"/>
      <c r="O1990" s="76"/>
      <c r="P1990" s="76"/>
    </row>
    <row r="1991" ht="20.25" customHeight="1">
      <c r="A1991" s="665"/>
      <c r="B1991" s="189"/>
      <c r="C1991" s="189"/>
      <c r="D1991" s="189"/>
      <c r="E1991" s="189"/>
      <c r="F1991" s="270"/>
      <c r="G1991" s="76"/>
      <c r="H1991" s="76"/>
      <c r="I1991" s="270"/>
      <c r="J1991" s="270"/>
      <c r="K1991" s="270"/>
      <c r="L1991" s="270"/>
      <c r="M1991" s="76"/>
      <c r="N1991" s="76"/>
      <c r="O1991" s="76"/>
      <c r="P1991" s="76"/>
    </row>
    <row r="1992" ht="20.25" customHeight="1">
      <c r="A1992" s="664"/>
      <c r="B1992" s="190"/>
      <c r="C1992" s="190"/>
      <c r="D1992" s="190"/>
      <c r="E1992" s="190"/>
      <c r="F1992" s="269"/>
      <c r="G1992" s="76"/>
      <c r="H1992" s="76"/>
      <c r="I1992" s="269"/>
      <c r="J1992" s="269"/>
      <c r="K1992" s="269"/>
      <c r="L1992" s="269"/>
      <c r="M1992" s="76"/>
      <c r="N1992" s="76"/>
      <c r="O1992" s="76"/>
      <c r="P1992" s="76"/>
    </row>
    <row r="1993" ht="20.25" customHeight="1">
      <c r="A1993" s="665"/>
      <c r="B1993" s="189"/>
      <c r="C1993" s="189"/>
      <c r="D1993" s="189"/>
      <c r="E1993" s="189"/>
      <c r="F1993" s="270"/>
      <c r="G1993" s="76"/>
      <c r="H1993" s="76"/>
      <c r="I1993" s="270"/>
      <c r="J1993" s="270"/>
      <c r="K1993" s="270"/>
      <c r="L1993" s="270"/>
      <c r="M1993" s="76"/>
      <c r="N1993" s="76"/>
      <c r="O1993" s="76"/>
      <c r="P1993" s="76"/>
    </row>
    <row r="1994" ht="20.25" customHeight="1">
      <c r="A1994" s="664"/>
      <c r="B1994" s="190"/>
      <c r="C1994" s="190"/>
      <c r="D1994" s="190"/>
      <c r="E1994" s="190"/>
      <c r="F1994" s="269"/>
      <c r="G1994" s="76"/>
      <c r="H1994" s="76"/>
      <c r="I1994" s="269"/>
      <c r="J1994" s="269"/>
      <c r="K1994" s="269"/>
      <c r="L1994" s="269"/>
      <c r="M1994" s="76"/>
      <c r="N1994" s="76"/>
      <c r="O1994" s="76"/>
      <c r="P1994" s="76"/>
    </row>
    <row r="1995" ht="20.25" customHeight="1">
      <c r="A1995" s="665"/>
      <c r="B1995" s="189"/>
      <c r="C1995" s="189"/>
      <c r="D1995" s="189"/>
      <c r="E1995" s="189"/>
      <c r="F1995" s="270"/>
      <c r="G1995" s="76"/>
      <c r="H1995" s="76"/>
      <c r="I1995" s="270"/>
      <c r="J1995" s="270"/>
      <c r="K1995" s="270"/>
      <c r="L1995" s="270"/>
      <c r="M1995" s="76"/>
      <c r="N1995" s="76"/>
      <c r="O1995" s="76"/>
      <c r="P1995" s="76"/>
    </row>
    <row r="1996" ht="20.25" customHeight="1">
      <c r="A1996" s="664"/>
      <c r="B1996" s="190"/>
      <c r="C1996" s="190"/>
      <c r="D1996" s="190"/>
      <c r="E1996" s="190"/>
      <c r="F1996" s="269"/>
      <c r="G1996" s="76"/>
      <c r="H1996" s="76"/>
      <c r="I1996" s="269"/>
      <c r="J1996" s="269"/>
      <c r="K1996" s="269"/>
      <c r="L1996" s="269"/>
      <c r="M1996" s="76"/>
      <c r="N1996" s="76"/>
      <c r="O1996" s="76"/>
      <c r="P1996" s="76"/>
    </row>
    <row r="1997" ht="20.25" customHeight="1">
      <c r="A1997" s="665"/>
      <c r="B1997" s="189"/>
      <c r="C1997" s="189"/>
      <c r="D1997" s="189"/>
      <c r="E1997" s="189"/>
      <c r="F1997" s="270"/>
      <c r="G1997" s="76"/>
      <c r="H1997" s="76"/>
      <c r="I1997" s="270"/>
      <c r="J1997" s="270"/>
      <c r="K1997" s="270"/>
      <c r="L1997" s="270"/>
      <c r="M1997" s="76"/>
      <c r="N1997" s="76"/>
      <c r="O1997" s="76"/>
      <c r="P1997" s="76"/>
    </row>
    <row r="1998" ht="20.25" customHeight="1">
      <c r="A1998" s="664"/>
      <c r="B1998" s="190"/>
      <c r="C1998" s="190"/>
      <c r="D1998" s="190"/>
      <c r="E1998" s="190"/>
      <c r="F1998" s="269"/>
      <c r="G1998" s="76"/>
      <c r="H1998" s="76"/>
      <c r="I1998" s="269"/>
      <c r="J1998" s="269"/>
      <c r="K1998" s="269"/>
      <c r="L1998" s="269"/>
      <c r="M1998" s="76"/>
      <c r="N1998" s="76"/>
      <c r="O1998" s="76"/>
      <c r="P1998" s="76"/>
    </row>
    <row r="1999" ht="20.25" customHeight="1">
      <c r="A1999" s="665"/>
      <c r="B1999" s="189"/>
      <c r="C1999" s="189"/>
      <c r="D1999" s="189"/>
      <c r="E1999" s="189"/>
      <c r="F1999" s="270"/>
      <c r="G1999" s="76"/>
      <c r="H1999" s="76"/>
      <c r="I1999" s="270"/>
      <c r="J1999" s="270"/>
      <c r="K1999" s="270"/>
      <c r="L1999" s="270"/>
      <c r="M1999" s="76"/>
      <c r="N1999" s="76"/>
      <c r="O1999" s="76"/>
      <c r="P1999" s="76"/>
    </row>
    <row r="2000" ht="20.25" customHeight="1">
      <c r="A2000" s="664"/>
      <c r="B2000" s="190"/>
      <c r="C2000" s="190"/>
      <c r="D2000" s="190"/>
      <c r="E2000" s="190"/>
      <c r="F2000" s="269"/>
      <c r="G2000" s="76"/>
      <c r="H2000" s="76"/>
      <c r="I2000" s="269"/>
      <c r="J2000" s="269"/>
      <c r="K2000" s="269"/>
      <c r="L2000" s="269"/>
      <c r="M2000" s="76"/>
      <c r="N2000" s="76"/>
      <c r="O2000" s="76"/>
      <c r="P2000" s="76"/>
    </row>
    <row r="2001" ht="20.25" customHeight="1">
      <c r="A2001" s="665"/>
      <c r="B2001" s="189"/>
      <c r="C2001" s="189"/>
      <c r="D2001" s="189"/>
      <c r="E2001" s="189"/>
      <c r="F2001" s="270"/>
      <c r="G2001" s="76"/>
      <c r="H2001" s="76"/>
      <c r="I2001" s="270"/>
      <c r="J2001" s="270"/>
      <c r="K2001" s="270"/>
      <c r="L2001" s="270"/>
      <c r="M2001" s="76"/>
      <c r="N2001" s="76"/>
      <c r="O2001" s="76"/>
      <c r="P2001" s="76"/>
    </row>
    <row r="2002" ht="20.25" customHeight="1">
      <c r="A2002" s="664"/>
      <c r="B2002" s="190"/>
      <c r="C2002" s="190"/>
      <c r="D2002" s="190"/>
      <c r="E2002" s="190"/>
      <c r="F2002" s="269"/>
      <c r="G2002" s="76"/>
      <c r="H2002" s="76"/>
      <c r="I2002" s="269"/>
      <c r="J2002" s="269"/>
      <c r="K2002" s="269"/>
      <c r="L2002" s="269"/>
      <c r="M2002" s="76"/>
      <c r="N2002" s="76"/>
      <c r="O2002" s="76"/>
      <c r="P2002" s="76"/>
    </row>
    <row r="2003" ht="20.25" customHeight="1">
      <c r="A2003" s="665"/>
      <c r="B2003" s="189"/>
      <c r="C2003" s="189"/>
      <c r="D2003" s="189"/>
      <c r="E2003" s="189"/>
      <c r="F2003" s="270"/>
      <c r="G2003" s="76"/>
      <c r="H2003" s="76"/>
      <c r="I2003" s="270"/>
      <c r="J2003" s="270"/>
      <c r="K2003" s="270"/>
      <c r="L2003" s="270"/>
      <c r="M2003" s="76"/>
      <c r="N2003" s="76"/>
      <c r="O2003" s="76"/>
      <c r="P2003" s="76"/>
    </row>
    <row r="2004" ht="20.25" customHeight="1">
      <c r="A2004" s="664"/>
      <c r="B2004" s="190"/>
      <c r="C2004" s="190"/>
      <c r="D2004" s="190"/>
      <c r="E2004" s="190"/>
      <c r="F2004" s="269"/>
      <c r="G2004" s="76"/>
      <c r="H2004" s="76"/>
      <c r="I2004" s="269"/>
      <c r="J2004" s="269"/>
      <c r="K2004" s="269"/>
      <c r="L2004" s="269"/>
      <c r="M2004" s="76"/>
      <c r="N2004" s="76"/>
      <c r="O2004" s="76"/>
      <c r="P2004" s="76"/>
    </row>
    <row r="2005" ht="20.25" customHeight="1">
      <c r="A2005" s="665"/>
      <c r="B2005" s="189"/>
      <c r="C2005" s="189"/>
      <c r="D2005" s="189"/>
      <c r="E2005" s="189"/>
      <c r="F2005" s="270"/>
      <c r="G2005" s="76"/>
      <c r="H2005" s="76"/>
      <c r="I2005" s="270"/>
      <c r="J2005" s="270"/>
      <c r="K2005" s="270"/>
      <c r="L2005" s="270"/>
      <c r="M2005" s="76"/>
      <c r="N2005" s="76"/>
      <c r="O2005" s="76"/>
      <c r="P2005" s="76"/>
    </row>
    <row r="2006" ht="20.25" customHeight="1">
      <c r="A2006" s="664"/>
      <c r="B2006" s="190"/>
      <c r="C2006" s="190"/>
      <c r="D2006" s="190"/>
      <c r="E2006" s="190"/>
      <c r="F2006" s="269"/>
      <c r="G2006" s="76"/>
      <c r="H2006" s="76"/>
      <c r="I2006" s="269"/>
      <c r="J2006" s="269"/>
      <c r="K2006" s="269"/>
      <c r="L2006" s="269"/>
      <c r="M2006" s="76"/>
      <c r="N2006" s="76"/>
      <c r="O2006" s="76"/>
      <c r="P2006" s="76"/>
    </row>
    <row r="2007" ht="20.25" customHeight="1">
      <c r="A2007" s="665"/>
      <c r="B2007" s="189"/>
      <c r="C2007" s="189"/>
      <c r="D2007" s="189"/>
      <c r="E2007" s="189"/>
      <c r="F2007" s="270"/>
      <c r="G2007" s="76"/>
      <c r="H2007" s="76"/>
      <c r="I2007" s="270"/>
      <c r="J2007" s="270"/>
      <c r="K2007" s="270"/>
      <c r="L2007" s="270"/>
      <c r="M2007" s="76"/>
      <c r="N2007" s="76"/>
      <c r="O2007" s="76"/>
      <c r="P2007" s="76"/>
    </row>
    <row r="2008" ht="20.25" customHeight="1">
      <c r="A2008" s="664"/>
      <c r="B2008" s="190"/>
      <c r="C2008" s="190"/>
      <c r="D2008" s="190"/>
      <c r="E2008" s="190"/>
      <c r="F2008" s="269"/>
      <c r="G2008" s="76"/>
      <c r="H2008" s="76"/>
      <c r="I2008" s="269"/>
      <c r="J2008" s="269"/>
      <c r="K2008" s="269"/>
      <c r="L2008" s="269"/>
      <c r="M2008" s="76"/>
      <c r="N2008" s="76"/>
      <c r="O2008" s="76"/>
      <c r="P2008" s="76"/>
    </row>
    <row r="2009" ht="20.25" customHeight="1">
      <c r="A2009" s="665"/>
      <c r="B2009" s="189"/>
      <c r="C2009" s="189"/>
      <c r="D2009" s="189"/>
      <c r="E2009" s="189"/>
      <c r="F2009" s="270"/>
      <c r="G2009" s="76"/>
      <c r="H2009" s="76"/>
      <c r="I2009" s="270"/>
      <c r="J2009" s="270"/>
      <c r="K2009" s="270"/>
      <c r="L2009" s="270"/>
      <c r="M2009" s="76"/>
      <c r="N2009" s="76"/>
      <c r="O2009" s="76"/>
      <c r="P2009" s="76"/>
    </row>
    <row r="2010" ht="20.25" customHeight="1">
      <c r="A2010" s="664"/>
      <c r="B2010" s="190"/>
      <c r="C2010" s="190"/>
      <c r="D2010" s="190"/>
      <c r="E2010" s="190"/>
      <c r="F2010" s="269"/>
      <c r="G2010" s="76"/>
      <c r="H2010" s="76"/>
      <c r="I2010" s="269"/>
      <c r="J2010" s="269"/>
      <c r="K2010" s="269"/>
      <c r="L2010" s="269"/>
      <c r="M2010" s="76"/>
      <c r="N2010" s="76"/>
      <c r="O2010" s="76"/>
      <c r="P2010" s="76"/>
    </row>
    <row r="2011" ht="20.25" customHeight="1">
      <c r="A2011" s="665"/>
      <c r="B2011" s="189"/>
      <c r="C2011" s="189"/>
      <c r="D2011" s="189"/>
      <c r="E2011" s="189"/>
      <c r="F2011" s="270"/>
      <c r="G2011" s="76"/>
      <c r="H2011" s="76"/>
      <c r="I2011" s="270"/>
      <c r="J2011" s="270"/>
      <c r="K2011" s="270"/>
      <c r="L2011" s="270"/>
      <c r="M2011" s="76"/>
      <c r="N2011" s="76"/>
      <c r="O2011" s="76"/>
      <c r="P2011" s="76"/>
    </row>
    <row r="2012" ht="20.25" customHeight="1">
      <c r="A2012" s="664"/>
      <c r="B2012" s="190"/>
      <c r="C2012" s="190"/>
      <c r="D2012" s="190"/>
      <c r="E2012" s="190"/>
      <c r="F2012" s="269"/>
      <c r="G2012" s="76"/>
      <c r="H2012" s="76"/>
      <c r="I2012" s="269"/>
      <c r="J2012" s="269"/>
      <c r="K2012" s="269"/>
      <c r="L2012" s="269"/>
      <c r="M2012" s="76"/>
      <c r="N2012" s="76"/>
      <c r="O2012" s="76"/>
      <c r="P2012" s="76"/>
    </row>
    <row r="2013" ht="20.25" customHeight="1">
      <c r="A2013" s="665"/>
      <c r="B2013" s="189"/>
      <c r="C2013" s="189"/>
      <c r="D2013" s="189"/>
      <c r="E2013" s="189"/>
      <c r="F2013" s="270"/>
      <c r="G2013" s="76"/>
      <c r="H2013" s="76"/>
      <c r="I2013" s="270"/>
      <c r="J2013" s="270"/>
      <c r="K2013" s="270"/>
      <c r="L2013" s="270"/>
      <c r="M2013" s="76"/>
      <c r="N2013" s="76"/>
      <c r="O2013" s="76"/>
      <c r="P2013" s="76"/>
    </row>
    <row r="2014" ht="20.25" customHeight="1">
      <c r="A2014" s="664"/>
      <c r="B2014" s="190"/>
      <c r="C2014" s="190"/>
      <c r="D2014" s="190"/>
      <c r="E2014" s="190"/>
      <c r="F2014" s="269"/>
      <c r="G2014" s="76"/>
      <c r="H2014" s="76"/>
      <c r="I2014" s="269"/>
      <c r="J2014" s="269"/>
      <c r="K2014" s="269"/>
      <c r="L2014" s="269"/>
      <c r="M2014" s="76"/>
      <c r="N2014" s="76"/>
      <c r="O2014" s="76"/>
      <c r="P2014" s="76"/>
    </row>
    <row r="2015" ht="20.25" customHeight="1">
      <c r="A2015" s="665"/>
      <c r="B2015" s="189"/>
      <c r="C2015" s="189"/>
      <c r="D2015" s="189"/>
      <c r="E2015" s="189"/>
      <c r="F2015" s="270"/>
      <c r="G2015" s="76"/>
      <c r="H2015" s="76"/>
      <c r="I2015" s="270"/>
      <c r="J2015" s="270"/>
      <c r="K2015" s="270"/>
      <c r="L2015" s="270"/>
      <c r="M2015" s="76"/>
      <c r="N2015" s="76"/>
      <c r="O2015" s="76"/>
      <c r="P2015" s="76"/>
    </row>
    <row r="2016" ht="20.25" customHeight="1">
      <c r="A2016" s="664"/>
      <c r="B2016" s="190"/>
      <c r="C2016" s="190"/>
      <c r="D2016" s="190"/>
      <c r="E2016" s="190"/>
      <c r="F2016" s="269"/>
      <c r="G2016" s="76"/>
      <c r="H2016" s="76"/>
      <c r="I2016" s="269"/>
      <c r="J2016" s="269"/>
      <c r="K2016" s="269"/>
      <c r="L2016" s="269"/>
      <c r="M2016" s="76"/>
      <c r="N2016" s="76"/>
      <c r="O2016" s="76"/>
      <c r="P2016" s="76"/>
    </row>
    <row r="2017" ht="20.25" customHeight="1">
      <c r="A2017" s="665"/>
      <c r="B2017" s="189"/>
      <c r="C2017" s="189"/>
      <c r="D2017" s="189"/>
      <c r="E2017" s="189"/>
      <c r="F2017" s="270"/>
      <c r="G2017" s="76"/>
      <c r="H2017" s="76"/>
      <c r="I2017" s="270"/>
      <c r="J2017" s="270"/>
      <c r="K2017" s="270"/>
      <c r="L2017" s="270"/>
      <c r="M2017" s="76"/>
      <c r="N2017" s="76"/>
      <c r="O2017" s="76"/>
      <c r="P2017" s="76"/>
    </row>
    <row r="2018" ht="20.25" customHeight="1">
      <c r="A2018" s="664"/>
      <c r="B2018" s="190"/>
      <c r="C2018" s="190"/>
      <c r="D2018" s="190"/>
      <c r="E2018" s="190"/>
      <c r="F2018" s="269"/>
      <c r="G2018" s="76"/>
      <c r="H2018" s="76"/>
      <c r="I2018" s="269"/>
      <c r="J2018" s="269"/>
      <c r="K2018" s="269"/>
      <c r="L2018" s="269"/>
      <c r="M2018" s="76"/>
      <c r="N2018" s="76"/>
      <c r="O2018" s="76"/>
      <c r="P2018" s="76"/>
    </row>
    <row r="2019" ht="20.25" customHeight="1">
      <c r="A2019" s="665"/>
      <c r="B2019" s="189"/>
      <c r="C2019" s="189"/>
      <c r="D2019" s="189"/>
      <c r="E2019" s="189"/>
      <c r="F2019" s="270"/>
      <c r="G2019" s="76"/>
      <c r="H2019" s="76"/>
      <c r="I2019" s="270"/>
      <c r="J2019" s="270"/>
      <c r="K2019" s="270"/>
      <c r="L2019" s="270"/>
      <c r="M2019" s="76"/>
      <c r="N2019" s="76"/>
      <c r="O2019" s="76"/>
      <c r="P2019" s="76"/>
    </row>
    <row r="2020" ht="20.25" customHeight="1">
      <c r="A2020" s="664"/>
      <c r="B2020" s="190"/>
      <c r="C2020" s="190"/>
      <c r="D2020" s="190"/>
      <c r="E2020" s="190"/>
      <c r="F2020" s="269"/>
      <c r="G2020" s="76"/>
      <c r="H2020" s="76"/>
      <c r="I2020" s="269"/>
      <c r="J2020" s="269"/>
      <c r="K2020" s="269"/>
      <c r="L2020" s="269"/>
      <c r="M2020" s="76"/>
      <c r="N2020" s="76"/>
      <c r="O2020" s="76"/>
      <c r="P2020" s="76"/>
    </row>
    <row r="2021" ht="20.25" customHeight="1">
      <c r="A2021" s="665"/>
      <c r="B2021" s="189"/>
      <c r="C2021" s="189"/>
      <c r="D2021" s="189"/>
      <c r="E2021" s="189"/>
      <c r="F2021" s="270"/>
      <c r="G2021" s="76"/>
      <c r="H2021" s="76"/>
      <c r="I2021" s="270"/>
      <c r="J2021" s="270"/>
      <c r="K2021" s="270"/>
      <c r="L2021" s="270"/>
      <c r="M2021" s="76"/>
      <c r="N2021" s="76"/>
      <c r="O2021" s="76"/>
      <c r="P2021" s="76"/>
    </row>
    <row r="2022" ht="20.25" customHeight="1">
      <c r="A2022" s="664"/>
      <c r="B2022" s="190"/>
      <c r="C2022" s="190"/>
      <c r="D2022" s="190"/>
      <c r="E2022" s="190"/>
      <c r="F2022" s="269"/>
      <c r="G2022" s="76"/>
      <c r="H2022" s="76"/>
      <c r="I2022" s="269"/>
      <c r="J2022" s="269"/>
      <c r="K2022" s="269"/>
      <c r="L2022" s="269"/>
      <c r="M2022" s="76"/>
      <c r="N2022" s="76"/>
      <c r="O2022" s="76"/>
      <c r="P2022" s="76"/>
    </row>
    <row r="2023" ht="20.25" customHeight="1">
      <c r="A2023" s="665"/>
      <c r="B2023" s="189"/>
      <c r="C2023" s="189"/>
      <c r="D2023" s="189"/>
      <c r="E2023" s="189"/>
      <c r="F2023" s="270"/>
      <c r="G2023" s="76"/>
      <c r="H2023" s="76"/>
      <c r="I2023" s="270"/>
      <c r="J2023" s="270"/>
      <c r="K2023" s="270"/>
      <c r="L2023" s="270"/>
      <c r="M2023" s="76"/>
      <c r="N2023" s="76"/>
      <c r="O2023" s="76"/>
      <c r="P2023" s="76"/>
    </row>
    <row r="2024" ht="20.25" customHeight="1">
      <c r="A2024" s="664"/>
      <c r="B2024" s="190"/>
      <c r="C2024" s="190"/>
      <c r="D2024" s="190"/>
      <c r="E2024" s="190"/>
      <c r="F2024" s="269"/>
      <c r="G2024" s="76"/>
      <c r="H2024" s="76"/>
      <c r="I2024" s="269"/>
      <c r="J2024" s="269"/>
      <c r="K2024" s="269"/>
      <c r="L2024" s="269"/>
      <c r="M2024" s="76"/>
      <c r="N2024" s="76"/>
      <c r="O2024" s="76"/>
      <c r="P2024" s="76"/>
    </row>
    <row r="2025" ht="20.25" customHeight="1">
      <c r="A2025" s="665"/>
      <c r="B2025" s="189"/>
      <c r="C2025" s="189"/>
      <c r="D2025" s="189"/>
      <c r="E2025" s="189"/>
      <c r="F2025" s="270"/>
      <c r="G2025" s="76"/>
      <c r="H2025" s="76"/>
      <c r="I2025" s="270"/>
      <c r="J2025" s="270"/>
      <c r="K2025" s="270"/>
      <c r="L2025" s="270"/>
      <c r="M2025" s="76"/>
      <c r="N2025" s="76"/>
      <c r="O2025" s="76"/>
      <c r="P2025" s="76"/>
    </row>
    <row r="2026" ht="20.25" customHeight="1">
      <c r="A2026" s="664"/>
      <c r="B2026" s="190"/>
      <c r="C2026" s="190"/>
      <c r="D2026" s="190"/>
      <c r="E2026" s="190"/>
      <c r="F2026" s="269"/>
      <c r="G2026" s="76"/>
      <c r="H2026" s="76"/>
      <c r="I2026" s="269"/>
      <c r="J2026" s="269"/>
      <c r="K2026" s="269"/>
      <c r="L2026" s="269"/>
      <c r="M2026" s="76"/>
      <c r="N2026" s="76"/>
      <c r="O2026" s="76"/>
      <c r="P2026" s="76"/>
    </row>
    <row r="2027" ht="20.25" customHeight="1">
      <c r="A2027" s="665"/>
      <c r="B2027" s="189"/>
      <c r="C2027" s="189"/>
      <c r="D2027" s="189"/>
      <c r="E2027" s="189"/>
      <c r="F2027" s="270"/>
      <c r="G2027" s="76"/>
      <c r="H2027" s="76"/>
      <c r="I2027" s="270"/>
      <c r="J2027" s="270"/>
      <c r="K2027" s="270"/>
      <c r="L2027" s="270"/>
      <c r="M2027" s="76"/>
      <c r="N2027" s="76"/>
      <c r="O2027" s="76"/>
      <c r="P2027" s="76"/>
    </row>
    <row r="2028" ht="20.25" customHeight="1">
      <c r="A2028" s="664"/>
      <c r="B2028" s="190"/>
      <c r="C2028" s="190"/>
      <c r="D2028" s="190"/>
      <c r="E2028" s="190"/>
      <c r="F2028" s="269"/>
      <c r="G2028" s="76"/>
      <c r="H2028" s="76"/>
      <c r="I2028" s="269"/>
      <c r="J2028" s="269"/>
      <c r="K2028" s="269"/>
      <c r="L2028" s="269"/>
      <c r="M2028" s="76"/>
      <c r="N2028" s="76"/>
      <c r="O2028" s="76"/>
      <c r="P2028" s="76"/>
    </row>
    <row r="2029" ht="20.25" customHeight="1">
      <c r="A2029" s="665"/>
      <c r="B2029" s="189"/>
      <c r="C2029" s="189"/>
      <c r="D2029" s="189"/>
      <c r="E2029" s="189"/>
      <c r="F2029" s="270"/>
      <c r="G2029" s="76"/>
      <c r="H2029" s="76"/>
      <c r="I2029" s="270"/>
      <c r="J2029" s="270"/>
      <c r="K2029" s="270"/>
      <c r="L2029" s="270"/>
      <c r="M2029" s="76"/>
      <c r="N2029" s="76"/>
      <c r="O2029" s="76"/>
      <c r="P2029" s="76"/>
    </row>
    <row r="2030" ht="20.25" customHeight="1">
      <c r="A2030" s="664"/>
      <c r="B2030" s="190"/>
      <c r="C2030" s="190"/>
      <c r="D2030" s="190"/>
      <c r="E2030" s="190"/>
      <c r="F2030" s="269"/>
      <c r="G2030" s="76"/>
      <c r="H2030" s="76"/>
      <c r="I2030" s="269"/>
      <c r="J2030" s="269"/>
      <c r="K2030" s="269"/>
      <c r="L2030" s="269"/>
      <c r="M2030" s="76"/>
      <c r="N2030" s="76"/>
      <c r="O2030" s="76"/>
      <c r="P2030" s="76"/>
    </row>
    <row r="2031" ht="20.25" customHeight="1">
      <c r="A2031" s="665"/>
      <c r="B2031" s="189"/>
      <c r="C2031" s="189"/>
      <c r="D2031" s="189"/>
      <c r="E2031" s="189"/>
      <c r="F2031" s="270"/>
      <c r="G2031" s="76"/>
      <c r="H2031" s="76"/>
      <c r="I2031" s="270"/>
      <c r="J2031" s="270"/>
      <c r="K2031" s="270"/>
      <c r="L2031" s="270"/>
      <c r="M2031" s="76"/>
      <c r="N2031" s="76"/>
      <c r="O2031" s="76"/>
      <c r="P2031" s="76"/>
    </row>
    <row r="2032" ht="20.25" customHeight="1">
      <c r="A2032" s="664"/>
      <c r="B2032" s="190"/>
      <c r="C2032" s="190"/>
      <c r="D2032" s="190"/>
      <c r="E2032" s="190"/>
      <c r="F2032" s="269"/>
      <c r="G2032" s="76"/>
      <c r="H2032" s="76"/>
      <c r="I2032" s="269"/>
      <c r="J2032" s="269"/>
      <c r="K2032" s="269"/>
      <c r="L2032" s="269"/>
      <c r="M2032" s="76"/>
      <c r="N2032" s="76"/>
      <c r="O2032" s="76"/>
      <c r="P2032" s="76"/>
    </row>
    <row r="2033" ht="20.25" customHeight="1">
      <c r="A2033" s="665"/>
      <c r="B2033" s="189"/>
      <c r="C2033" s="189"/>
      <c r="D2033" s="189"/>
      <c r="E2033" s="189"/>
      <c r="F2033" s="270"/>
      <c r="G2033" s="76"/>
      <c r="H2033" s="76"/>
      <c r="I2033" s="270"/>
      <c r="J2033" s="270"/>
      <c r="K2033" s="270"/>
      <c r="L2033" s="270"/>
      <c r="M2033" s="76"/>
      <c r="N2033" s="76"/>
      <c r="O2033" s="76"/>
      <c r="P2033" s="76"/>
    </row>
    <row r="2034" ht="20.25" customHeight="1">
      <c r="A2034" s="664"/>
      <c r="B2034" s="190"/>
      <c r="C2034" s="190"/>
      <c r="D2034" s="190"/>
      <c r="E2034" s="190"/>
      <c r="F2034" s="269"/>
      <c r="G2034" s="76"/>
      <c r="H2034" s="76"/>
      <c r="I2034" s="269"/>
      <c r="J2034" s="269"/>
      <c r="K2034" s="269"/>
      <c r="L2034" s="269"/>
      <c r="M2034" s="76"/>
      <c r="N2034" s="76"/>
      <c r="O2034" s="76"/>
      <c r="P2034" s="76"/>
    </row>
    <row r="2035" ht="20.25" customHeight="1">
      <c r="A2035" s="665"/>
      <c r="B2035" s="189"/>
      <c r="C2035" s="189"/>
      <c r="D2035" s="189"/>
      <c r="E2035" s="189"/>
      <c r="F2035" s="270"/>
      <c r="G2035" s="76"/>
      <c r="H2035" s="76"/>
      <c r="I2035" s="270"/>
      <c r="J2035" s="270"/>
      <c r="K2035" s="270"/>
      <c r="L2035" s="270"/>
      <c r="M2035" s="76"/>
      <c r="N2035" s="76"/>
      <c r="O2035" s="76"/>
      <c r="P2035" s="76"/>
    </row>
    <row r="2036" ht="20.25" customHeight="1">
      <c r="A2036" s="664"/>
      <c r="B2036" s="190"/>
      <c r="C2036" s="190"/>
      <c r="D2036" s="190"/>
      <c r="E2036" s="190"/>
      <c r="F2036" s="269"/>
      <c r="G2036" s="76"/>
      <c r="H2036" s="76"/>
      <c r="I2036" s="269"/>
      <c r="J2036" s="269"/>
      <c r="K2036" s="269"/>
      <c r="L2036" s="269"/>
      <c r="M2036" s="76"/>
      <c r="N2036" s="76"/>
      <c r="O2036" s="76"/>
      <c r="P2036" s="76"/>
    </row>
    <row r="2037" ht="20.25" customHeight="1">
      <c r="A2037" s="665"/>
      <c r="B2037" s="189"/>
      <c r="C2037" s="189"/>
      <c r="D2037" s="189"/>
      <c r="E2037" s="189"/>
      <c r="F2037" s="270"/>
      <c r="G2037" s="76"/>
      <c r="H2037" s="76"/>
      <c r="I2037" s="270"/>
      <c r="J2037" s="270"/>
      <c r="K2037" s="270"/>
      <c r="L2037" s="270"/>
      <c r="M2037" s="76"/>
      <c r="N2037" s="76"/>
      <c r="O2037" s="76"/>
      <c r="P2037" s="76"/>
    </row>
    <row r="2038" ht="20.25" customHeight="1">
      <c r="A2038" s="664"/>
      <c r="B2038" s="190"/>
      <c r="C2038" s="190"/>
      <c r="D2038" s="190"/>
      <c r="E2038" s="190"/>
      <c r="F2038" s="269"/>
      <c r="G2038" s="76"/>
      <c r="H2038" s="76"/>
      <c r="I2038" s="269"/>
      <c r="J2038" s="269"/>
      <c r="K2038" s="269"/>
      <c r="L2038" s="269"/>
      <c r="M2038" s="76"/>
      <c r="N2038" s="76"/>
      <c r="O2038" s="76"/>
      <c r="P2038" s="76"/>
    </row>
    <row r="2039" ht="20.25" customHeight="1">
      <c r="A2039" s="665"/>
      <c r="B2039" s="189"/>
      <c r="C2039" s="189"/>
      <c r="D2039" s="189"/>
      <c r="E2039" s="189"/>
      <c r="F2039" s="270"/>
      <c r="G2039" s="76"/>
      <c r="H2039" s="76"/>
      <c r="I2039" s="270"/>
      <c r="J2039" s="270"/>
      <c r="K2039" s="270"/>
      <c r="L2039" s="270"/>
      <c r="M2039" s="76"/>
      <c r="N2039" s="76"/>
      <c r="O2039" s="76"/>
      <c r="P2039" s="76"/>
    </row>
    <row r="2040" ht="20.25" customHeight="1">
      <c r="A2040" s="664"/>
      <c r="B2040" s="190"/>
      <c r="C2040" s="190"/>
      <c r="D2040" s="190"/>
      <c r="E2040" s="190"/>
      <c r="F2040" s="269"/>
      <c r="G2040" s="76"/>
      <c r="H2040" s="76"/>
      <c r="I2040" s="269"/>
      <c r="J2040" s="269"/>
      <c r="K2040" s="269"/>
      <c r="L2040" s="269"/>
      <c r="M2040" s="76"/>
      <c r="N2040" s="76"/>
      <c r="O2040" s="76"/>
      <c r="P2040" s="76"/>
    </row>
    <row r="2041" ht="20.25" customHeight="1">
      <c r="A2041" s="665"/>
      <c r="B2041" s="189"/>
      <c r="C2041" s="189"/>
      <c r="D2041" s="189"/>
      <c r="E2041" s="189"/>
      <c r="F2041" s="270"/>
      <c r="G2041" s="76"/>
      <c r="H2041" s="76"/>
      <c r="I2041" s="270"/>
      <c r="J2041" s="270"/>
      <c r="K2041" s="270"/>
      <c r="L2041" s="270"/>
      <c r="M2041" s="76"/>
      <c r="N2041" s="76"/>
      <c r="O2041" s="76"/>
      <c r="P2041" s="76"/>
    </row>
    <row r="2042" ht="20.25" customHeight="1">
      <c r="A2042" s="664"/>
      <c r="B2042" s="190"/>
      <c r="C2042" s="190"/>
      <c r="D2042" s="190"/>
      <c r="E2042" s="190"/>
      <c r="F2042" s="269"/>
      <c r="G2042" s="76"/>
      <c r="H2042" s="76"/>
      <c r="I2042" s="269"/>
      <c r="J2042" s="269"/>
      <c r="K2042" s="269"/>
      <c r="L2042" s="269"/>
      <c r="M2042" s="76"/>
      <c r="N2042" s="76"/>
      <c r="O2042" s="76"/>
      <c r="P2042" s="76"/>
    </row>
  </sheetData>
  <mergeCells count="2416">
    <mergeCell ref="B625:B626"/>
    <mergeCell ref="B627:B628"/>
    <mergeCell ref="B611:B612"/>
    <mergeCell ref="B613:B614"/>
    <mergeCell ref="B615:B616"/>
    <mergeCell ref="B617:B618"/>
    <mergeCell ref="B619:B620"/>
    <mergeCell ref="B621:B622"/>
    <mergeCell ref="B623:B624"/>
    <mergeCell ref="B635:B636"/>
    <mergeCell ref="B637:B638"/>
    <mergeCell ref="C627:C628"/>
    <mergeCell ref="B629:B630"/>
    <mergeCell ref="C629:C630"/>
    <mergeCell ref="B631:B632"/>
    <mergeCell ref="C631:C632"/>
    <mergeCell ref="B633:B634"/>
    <mergeCell ref="C635:C636"/>
    <mergeCell ref="C637:C638"/>
    <mergeCell ref="C599:C600"/>
    <mergeCell ref="C601:C602"/>
    <mergeCell ref="C603:C604"/>
    <mergeCell ref="C605:C606"/>
    <mergeCell ref="C607:C608"/>
    <mergeCell ref="C609:C610"/>
    <mergeCell ref="C611:C612"/>
    <mergeCell ref="C613:C614"/>
    <mergeCell ref="C615:C616"/>
    <mergeCell ref="C617:C618"/>
    <mergeCell ref="C619:C620"/>
    <mergeCell ref="C621:C622"/>
    <mergeCell ref="C623:C624"/>
    <mergeCell ref="C625:C626"/>
    <mergeCell ref="C653:C654"/>
    <mergeCell ref="C655:C656"/>
    <mergeCell ref="C639:C640"/>
    <mergeCell ref="C641:C642"/>
    <mergeCell ref="C643:C644"/>
    <mergeCell ref="C645:C646"/>
    <mergeCell ref="C647:C648"/>
    <mergeCell ref="C649:C650"/>
    <mergeCell ref="C651:C652"/>
    <mergeCell ref="B661:B662"/>
    <mergeCell ref="B663:B664"/>
    <mergeCell ref="B665:B666"/>
    <mergeCell ref="B653:B654"/>
    <mergeCell ref="B655:B656"/>
    <mergeCell ref="B657:B658"/>
    <mergeCell ref="C657:C658"/>
    <mergeCell ref="B659:B660"/>
    <mergeCell ref="C659:C660"/>
    <mergeCell ref="C661:C662"/>
    <mergeCell ref="B671:B672"/>
    <mergeCell ref="B673:B674"/>
    <mergeCell ref="B675:B676"/>
    <mergeCell ref="C663:C664"/>
    <mergeCell ref="C665:C666"/>
    <mergeCell ref="B667:B668"/>
    <mergeCell ref="C667:C668"/>
    <mergeCell ref="B669:B670"/>
    <mergeCell ref="C669:C670"/>
    <mergeCell ref="C671:C672"/>
    <mergeCell ref="C673:C674"/>
    <mergeCell ref="C675:C676"/>
    <mergeCell ref="B677:B678"/>
    <mergeCell ref="C677:C678"/>
    <mergeCell ref="B679:B680"/>
    <mergeCell ref="C679:C680"/>
    <mergeCell ref="C681:C682"/>
    <mergeCell ref="C683:C684"/>
    <mergeCell ref="B681:B682"/>
    <mergeCell ref="B683:B684"/>
    <mergeCell ref="B685:B686"/>
    <mergeCell ref="B687:B688"/>
    <mergeCell ref="B689:B690"/>
    <mergeCell ref="C689:C690"/>
    <mergeCell ref="C691:C692"/>
    <mergeCell ref="C839:C840"/>
    <mergeCell ref="C841:C842"/>
    <mergeCell ref="C843:C844"/>
    <mergeCell ref="C845:C846"/>
    <mergeCell ref="C847:C848"/>
    <mergeCell ref="C849:C850"/>
    <mergeCell ref="C851:C852"/>
    <mergeCell ref="C853:C854"/>
    <mergeCell ref="C857:C858"/>
    <mergeCell ref="B860:B864"/>
    <mergeCell ref="C860:C864"/>
    <mergeCell ref="B865:B868"/>
    <mergeCell ref="C865:C868"/>
    <mergeCell ref="C869:C878"/>
    <mergeCell ref="B869:B878"/>
    <mergeCell ref="B879:B880"/>
    <mergeCell ref="B881:B882"/>
    <mergeCell ref="B883:B886"/>
    <mergeCell ref="B887:B891"/>
    <mergeCell ref="B892:B893"/>
    <mergeCell ref="B894:B895"/>
    <mergeCell ref="C912:C917"/>
    <mergeCell ref="C918:C921"/>
    <mergeCell ref="C922:C923"/>
    <mergeCell ref="C879:C880"/>
    <mergeCell ref="C883:C886"/>
    <mergeCell ref="C887:C891"/>
    <mergeCell ref="C892:C893"/>
    <mergeCell ref="C896:C902"/>
    <mergeCell ref="C908:C909"/>
    <mergeCell ref="C910:C911"/>
    <mergeCell ref="B896:B902"/>
    <mergeCell ref="B903:B907"/>
    <mergeCell ref="B908:B909"/>
    <mergeCell ref="B910:B911"/>
    <mergeCell ref="B912:B917"/>
    <mergeCell ref="B918:B921"/>
    <mergeCell ref="B922:B923"/>
    <mergeCell ref="B924:B925"/>
    <mergeCell ref="B926:B931"/>
    <mergeCell ref="C926:C931"/>
    <mergeCell ref="B932:B935"/>
    <mergeCell ref="C932:C935"/>
    <mergeCell ref="B936:B937"/>
    <mergeCell ref="C936:C937"/>
    <mergeCell ref="B938:B939"/>
    <mergeCell ref="B941:B942"/>
    <mergeCell ref="C941:C942"/>
    <mergeCell ref="B943:B944"/>
    <mergeCell ref="B945:B950"/>
    <mergeCell ref="C945:C950"/>
    <mergeCell ref="C951:C956"/>
    <mergeCell ref="B951:B956"/>
    <mergeCell ref="B957:B958"/>
    <mergeCell ref="B961:B968"/>
    <mergeCell ref="C961:C968"/>
    <mergeCell ref="B969:B972"/>
    <mergeCell ref="C969:C972"/>
    <mergeCell ref="C973:C974"/>
    <mergeCell ref="B973:B974"/>
    <mergeCell ref="B977:B982"/>
    <mergeCell ref="C977:C982"/>
    <mergeCell ref="B983:B987"/>
    <mergeCell ref="C983:C987"/>
    <mergeCell ref="B988:B989"/>
    <mergeCell ref="C988:C989"/>
    <mergeCell ref="B990:B991"/>
    <mergeCell ref="C990:C991"/>
    <mergeCell ref="B992:B993"/>
    <mergeCell ref="C992:C993"/>
    <mergeCell ref="B996:B997"/>
    <mergeCell ref="C996:C997"/>
    <mergeCell ref="C998:C999"/>
    <mergeCell ref="C1020:C1021"/>
    <mergeCell ref="C1023:C1024"/>
    <mergeCell ref="B998:B999"/>
    <mergeCell ref="B1000:B1003"/>
    <mergeCell ref="B1004:B1005"/>
    <mergeCell ref="B1008:B1017"/>
    <mergeCell ref="C1008:C1017"/>
    <mergeCell ref="C1018:C1019"/>
    <mergeCell ref="B1020:B1022"/>
    <mergeCell ref="B1025:B1030"/>
    <mergeCell ref="C1025:C1030"/>
    <mergeCell ref="C1031:C1032"/>
    <mergeCell ref="B1033:B1034"/>
    <mergeCell ref="C1033:C1034"/>
    <mergeCell ref="B1035:B1039"/>
    <mergeCell ref="B1043:B1044"/>
    <mergeCell ref="B1166:B1173"/>
    <mergeCell ref="B1174:B1175"/>
    <mergeCell ref="B1180:B1181"/>
    <mergeCell ref="B1150:B1154"/>
    <mergeCell ref="C1150:C1154"/>
    <mergeCell ref="B1159:B1160"/>
    <mergeCell ref="C1159:C1160"/>
    <mergeCell ref="B1164:B1165"/>
    <mergeCell ref="C1164:C1165"/>
    <mergeCell ref="C1166:C1173"/>
    <mergeCell ref="B1047:B1048"/>
    <mergeCell ref="C1047:C1048"/>
    <mergeCell ref="B1049:B1050"/>
    <mergeCell ref="C1049:C1050"/>
    <mergeCell ref="B1051:B1054"/>
    <mergeCell ref="B1060:B1061"/>
    <mergeCell ref="C1062:C1063"/>
    <mergeCell ref="B1062:B1063"/>
    <mergeCell ref="B1067:B1068"/>
    <mergeCell ref="C1067:C1068"/>
    <mergeCell ref="B1069:B1070"/>
    <mergeCell ref="C1069:C1070"/>
    <mergeCell ref="B1071:B1076"/>
    <mergeCell ref="C1071:C1076"/>
    <mergeCell ref="B1077:B1078"/>
    <mergeCell ref="B1081:B1082"/>
    <mergeCell ref="C1081:C1082"/>
    <mergeCell ref="B1083:B1084"/>
    <mergeCell ref="B1085:B1092"/>
    <mergeCell ref="C1085:C1090"/>
    <mergeCell ref="C1091:C1092"/>
    <mergeCell ref="B1098:B1099"/>
    <mergeCell ref="C1098:C1099"/>
    <mergeCell ref="B1100:B1101"/>
    <mergeCell ref="C1100:C1101"/>
    <mergeCell ref="B1102:B1109"/>
    <mergeCell ref="C1102:C1105"/>
    <mergeCell ref="C1106:C1109"/>
    <mergeCell ref="B1110:B1111"/>
    <mergeCell ref="C1110:C1111"/>
    <mergeCell ref="B1116:B1122"/>
    <mergeCell ref="C1116:C1122"/>
    <mergeCell ref="B1123:B1129"/>
    <mergeCell ref="C1123:C1129"/>
    <mergeCell ref="B1132:B1133"/>
    <mergeCell ref="B1134:B1135"/>
    <mergeCell ref="C1134:C1135"/>
    <mergeCell ref="B1136:B1137"/>
    <mergeCell ref="B1139:B1140"/>
    <mergeCell ref="C1139:C1140"/>
    <mergeCell ref="B1141:B1149"/>
    <mergeCell ref="C1141:C1149"/>
    <mergeCell ref="B1202:B1203"/>
    <mergeCell ref="C1202:C1203"/>
    <mergeCell ref="B1252:B1257"/>
    <mergeCell ref="B1258:B1259"/>
    <mergeCell ref="B1260:B1261"/>
    <mergeCell ref="B1244:B1247"/>
    <mergeCell ref="C1244:C1247"/>
    <mergeCell ref="B1248:B1249"/>
    <mergeCell ref="C1248:C1249"/>
    <mergeCell ref="B1250:B1251"/>
    <mergeCell ref="C1250:C1251"/>
    <mergeCell ref="C1252:C1257"/>
    <mergeCell ref="C1174:C1175"/>
    <mergeCell ref="C1180:C1181"/>
    <mergeCell ref="B1185:B1186"/>
    <mergeCell ref="C1185:C1186"/>
    <mergeCell ref="B1187:B1188"/>
    <mergeCell ref="C1187:C1188"/>
    <mergeCell ref="C1189:C1192"/>
    <mergeCell ref="B1189:B1192"/>
    <mergeCell ref="B1196:B1197"/>
    <mergeCell ref="C1196:C1197"/>
    <mergeCell ref="B1198:B1199"/>
    <mergeCell ref="C1198:C1199"/>
    <mergeCell ref="B1200:B1201"/>
    <mergeCell ref="C1200:C1201"/>
    <mergeCell ref="B1204:B1205"/>
    <mergeCell ref="C1204:C1205"/>
    <mergeCell ref="C1206:C1207"/>
    <mergeCell ref="B1208:B1209"/>
    <mergeCell ref="C1208:C1209"/>
    <mergeCell ref="B1210:B1213"/>
    <mergeCell ref="C1210:C1212"/>
    <mergeCell ref="C1226:C1227"/>
    <mergeCell ref="C1228:C1230"/>
    <mergeCell ref="B1216:B1217"/>
    <mergeCell ref="C1216:C1217"/>
    <mergeCell ref="B1218:B1222"/>
    <mergeCell ref="C1218:C1220"/>
    <mergeCell ref="C1221:C1222"/>
    <mergeCell ref="B1226:B1227"/>
    <mergeCell ref="B1228:B1231"/>
    <mergeCell ref="B1234:B1235"/>
    <mergeCell ref="C1234:C1235"/>
    <mergeCell ref="B1236:B1237"/>
    <mergeCell ref="B1240:B1241"/>
    <mergeCell ref="C1240:C1241"/>
    <mergeCell ref="B1242:B1243"/>
    <mergeCell ref="C1242:C1243"/>
    <mergeCell ref="C1258:C1259"/>
    <mergeCell ref="C1260:C1261"/>
    <mergeCell ref="C713:C714"/>
    <mergeCell ref="C715:C716"/>
    <mergeCell ref="C693:C694"/>
    <mergeCell ref="C695:C696"/>
    <mergeCell ref="C701:C702"/>
    <mergeCell ref="C703:C704"/>
    <mergeCell ref="C705:C706"/>
    <mergeCell ref="C707:C708"/>
    <mergeCell ref="C711:C712"/>
    <mergeCell ref="A565:A576"/>
    <mergeCell ref="A577:A588"/>
    <mergeCell ref="B585:B586"/>
    <mergeCell ref="C585:C586"/>
    <mergeCell ref="B587:B588"/>
    <mergeCell ref="C587:C588"/>
    <mergeCell ref="C589:C590"/>
    <mergeCell ref="A491:A500"/>
    <mergeCell ref="A501:A510"/>
    <mergeCell ref="A511:A518"/>
    <mergeCell ref="A519:A528"/>
    <mergeCell ref="A529:A540"/>
    <mergeCell ref="A541:A552"/>
    <mergeCell ref="A553:A564"/>
    <mergeCell ref="B589:B590"/>
    <mergeCell ref="B591:B592"/>
    <mergeCell ref="C591:C592"/>
    <mergeCell ref="B593:B594"/>
    <mergeCell ref="B595:B596"/>
    <mergeCell ref="C595:C596"/>
    <mergeCell ref="C597:C598"/>
    <mergeCell ref="B597:B598"/>
    <mergeCell ref="B599:B600"/>
    <mergeCell ref="B601:B602"/>
    <mergeCell ref="B603:B604"/>
    <mergeCell ref="B605:B606"/>
    <mergeCell ref="B607:B608"/>
    <mergeCell ref="B609:B610"/>
    <mergeCell ref="B639:B640"/>
    <mergeCell ref="B641:B642"/>
    <mergeCell ref="B643:B644"/>
    <mergeCell ref="B645:B646"/>
    <mergeCell ref="B647:B648"/>
    <mergeCell ref="B649:B650"/>
    <mergeCell ref="B651:B652"/>
    <mergeCell ref="B691:B692"/>
    <mergeCell ref="B693:B694"/>
    <mergeCell ref="B695:B696"/>
    <mergeCell ref="B697:B698"/>
    <mergeCell ref="B699:B700"/>
    <mergeCell ref="B701:B702"/>
    <mergeCell ref="B703:B704"/>
    <mergeCell ref="C719:C720"/>
    <mergeCell ref="C721:C722"/>
    <mergeCell ref="C765:C766"/>
    <mergeCell ref="C767:C768"/>
    <mergeCell ref="C749:C750"/>
    <mergeCell ref="C753:C754"/>
    <mergeCell ref="C755:C756"/>
    <mergeCell ref="C757:C758"/>
    <mergeCell ref="C759:C760"/>
    <mergeCell ref="C761:C762"/>
    <mergeCell ref="C763:C764"/>
    <mergeCell ref="B771:B772"/>
    <mergeCell ref="B773:B774"/>
    <mergeCell ref="B775:B776"/>
    <mergeCell ref="B761:B762"/>
    <mergeCell ref="B763:B764"/>
    <mergeCell ref="B765:B766"/>
    <mergeCell ref="B767:B768"/>
    <mergeCell ref="B769:B770"/>
    <mergeCell ref="C769:C770"/>
    <mergeCell ref="C771:C772"/>
    <mergeCell ref="B705:B706"/>
    <mergeCell ref="B707:B708"/>
    <mergeCell ref="B709:B710"/>
    <mergeCell ref="B711:B712"/>
    <mergeCell ref="B713:B714"/>
    <mergeCell ref="B715:B716"/>
    <mergeCell ref="C717:C718"/>
    <mergeCell ref="B717:B718"/>
    <mergeCell ref="B719:B720"/>
    <mergeCell ref="B721:B722"/>
    <mergeCell ref="B723:B724"/>
    <mergeCell ref="C723:C724"/>
    <mergeCell ref="B725:B726"/>
    <mergeCell ref="C725:C726"/>
    <mergeCell ref="B727:B728"/>
    <mergeCell ref="C727:C728"/>
    <mergeCell ref="B729:B730"/>
    <mergeCell ref="C729:C730"/>
    <mergeCell ref="B731:B732"/>
    <mergeCell ref="C731:C732"/>
    <mergeCell ref="C733:C734"/>
    <mergeCell ref="B733:B734"/>
    <mergeCell ref="B735:B736"/>
    <mergeCell ref="B737:B738"/>
    <mergeCell ref="B739:B740"/>
    <mergeCell ref="B741:B742"/>
    <mergeCell ref="B743:B744"/>
    <mergeCell ref="B745:B746"/>
    <mergeCell ref="C735:C736"/>
    <mergeCell ref="C737:C738"/>
    <mergeCell ref="C739:C740"/>
    <mergeCell ref="C741:C742"/>
    <mergeCell ref="C743:C744"/>
    <mergeCell ref="C745:C746"/>
    <mergeCell ref="C747:C748"/>
    <mergeCell ref="B747:B748"/>
    <mergeCell ref="B749:B750"/>
    <mergeCell ref="B751:B752"/>
    <mergeCell ref="B753:B754"/>
    <mergeCell ref="B755:B756"/>
    <mergeCell ref="B757:B758"/>
    <mergeCell ref="B759:B760"/>
    <mergeCell ref="C773:C774"/>
    <mergeCell ref="C775:C776"/>
    <mergeCell ref="B777:B778"/>
    <mergeCell ref="C777:C778"/>
    <mergeCell ref="B779:B780"/>
    <mergeCell ref="B781:B782"/>
    <mergeCell ref="C781:C782"/>
    <mergeCell ref="A1155:A1160"/>
    <mergeCell ref="A1161:A1175"/>
    <mergeCell ref="A1176:A1181"/>
    <mergeCell ref="A1182:A1192"/>
    <mergeCell ref="A1193:A1199"/>
    <mergeCell ref="A1200:A1203"/>
    <mergeCell ref="A1204:A1205"/>
    <mergeCell ref="A1260:A1267"/>
    <mergeCell ref="B1262:B1263"/>
    <mergeCell ref="C1262:C1263"/>
    <mergeCell ref="B1264:B1267"/>
    <mergeCell ref="C1264:C1267"/>
    <mergeCell ref="B1270:B1271"/>
    <mergeCell ref="C1270:C1271"/>
    <mergeCell ref="A1268:A1275"/>
    <mergeCell ref="A1276:A1281"/>
    <mergeCell ref="A1282:A1289"/>
    <mergeCell ref="A1290:A1293"/>
    <mergeCell ref="A1294:A1298"/>
    <mergeCell ref="A1299:A1300"/>
    <mergeCell ref="A1301:A1305"/>
    <mergeCell ref="A1306:A1307"/>
    <mergeCell ref="A1206:A1213"/>
    <mergeCell ref="A1214:A1222"/>
    <mergeCell ref="A1223:A1231"/>
    <mergeCell ref="A1232:A1237"/>
    <mergeCell ref="A1238:A1247"/>
    <mergeCell ref="A1248:A1257"/>
    <mergeCell ref="A1258:A1259"/>
    <mergeCell ref="B1286:B1289"/>
    <mergeCell ref="B1292:B1293"/>
    <mergeCell ref="B1297:B1298"/>
    <mergeCell ref="B1299:B1300"/>
    <mergeCell ref="B1304:B1305"/>
    <mergeCell ref="B1306:B1307"/>
    <mergeCell ref="C1292:C1293"/>
    <mergeCell ref="C1297:C1298"/>
    <mergeCell ref="C1299:C1300"/>
    <mergeCell ref="C1304:C1305"/>
    <mergeCell ref="C1306:C1307"/>
    <mergeCell ref="B1272:B1275"/>
    <mergeCell ref="C1272:C1275"/>
    <mergeCell ref="B1278:B1281"/>
    <mergeCell ref="C1278:C1281"/>
    <mergeCell ref="B1284:B1285"/>
    <mergeCell ref="C1284:C1285"/>
    <mergeCell ref="C1286:C1289"/>
    <mergeCell ref="A589:A600"/>
    <mergeCell ref="A601:A612"/>
    <mergeCell ref="A613:A624"/>
    <mergeCell ref="A625:A638"/>
    <mergeCell ref="A639:A652"/>
    <mergeCell ref="A653:A666"/>
    <mergeCell ref="A667:A678"/>
    <mergeCell ref="A679:A690"/>
    <mergeCell ref="A691:A702"/>
    <mergeCell ref="A703:A714"/>
    <mergeCell ref="A715:A726"/>
    <mergeCell ref="A727:A738"/>
    <mergeCell ref="A739:A750"/>
    <mergeCell ref="A751:A762"/>
    <mergeCell ref="A763:A774"/>
    <mergeCell ref="A775:A786"/>
    <mergeCell ref="A787:A798"/>
    <mergeCell ref="A799:A810"/>
    <mergeCell ref="A811:A822"/>
    <mergeCell ref="A823:A832"/>
    <mergeCell ref="A833:A840"/>
    <mergeCell ref="A841:A846"/>
    <mergeCell ref="A847:A852"/>
    <mergeCell ref="A853:A858"/>
    <mergeCell ref="A860:A864"/>
    <mergeCell ref="A865:A878"/>
    <mergeCell ref="A879:A891"/>
    <mergeCell ref="A892:A907"/>
    <mergeCell ref="A908:A921"/>
    <mergeCell ref="A922:A935"/>
    <mergeCell ref="A936:A940"/>
    <mergeCell ref="A941:A956"/>
    <mergeCell ref="A957:A972"/>
    <mergeCell ref="A973:A987"/>
    <mergeCell ref="A988:A991"/>
    <mergeCell ref="A992:A995"/>
    <mergeCell ref="A996:A1003"/>
    <mergeCell ref="A1004:A1017"/>
    <mergeCell ref="A1018:A1022"/>
    <mergeCell ref="A1023:A1030"/>
    <mergeCell ref="A1031:A1039"/>
    <mergeCell ref="A1040:A1054"/>
    <mergeCell ref="A1055:A1063"/>
    <mergeCell ref="A1064:A1076"/>
    <mergeCell ref="A1077:A1092"/>
    <mergeCell ref="A1093:A1111"/>
    <mergeCell ref="A1112:A1129"/>
    <mergeCell ref="A1130:A1135"/>
    <mergeCell ref="A1136:A1154"/>
    <mergeCell ref="B393:B394"/>
    <mergeCell ref="B395:B396"/>
    <mergeCell ref="B379:B380"/>
    <mergeCell ref="B381:B382"/>
    <mergeCell ref="B383:B384"/>
    <mergeCell ref="B385:B386"/>
    <mergeCell ref="B387:B388"/>
    <mergeCell ref="B389:B390"/>
    <mergeCell ref="B391:B392"/>
    <mergeCell ref="C229:C230"/>
    <mergeCell ref="C231:C232"/>
    <mergeCell ref="C233:C234"/>
    <mergeCell ref="C242:C243"/>
    <mergeCell ref="C246:C247"/>
    <mergeCell ref="C248:C249"/>
    <mergeCell ref="C250:C251"/>
    <mergeCell ref="C252:C253"/>
    <mergeCell ref="C254:C255"/>
    <mergeCell ref="B346:B347"/>
    <mergeCell ref="C346:C347"/>
    <mergeCell ref="B348:B349"/>
    <mergeCell ref="C348:C349"/>
    <mergeCell ref="C351:C352"/>
    <mergeCell ref="B351:B352"/>
    <mergeCell ref="B353:B354"/>
    <mergeCell ref="B355:B356"/>
    <mergeCell ref="B357:B358"/>
    <mergeCell ref="B359:B360"/>
    <mergeCell ref="B361:B362"/>
    <mergeCell ref="B363:B364"/>
    <mergeCell ref="C353:C354"/>
    <mergeCell ref="C355:C356"/>
    <mergeCell ref="C357:C358"/>
    <mergeCell ref="C359:C360"/>
    <mergeCell ref="C361:C362"/>
    <mergeCell ref="C363:C364"/>
    <mergeCell ref="C365:C366"/>
    <mergeCell ref="B365:B366"/>
    <mergeCell ref="B367:B368"/>
    <mergeCell ref="B369:B370"/>
    <mergeCell ref="B371:B372"/>
    <mergeCell ref="B373:B374"/>
    <mergeCell ref="B375:B376"/>
    <mergeCell ref="B377:B378"/>
    <mergeCell ref="C381:C382"/>
    <mergeCell ref="C383:C384"/>
    <mergeCell ref="C385:C386"/>
    <mergeCell ref="C387:C388"/>
    <mergeCell ref="C389:C390"/>
    <mergeCell ref="C391:C392"/>
    <mergeCell ref="C393:C394"/>
    <mergeCell ref="C395:C396"/>
    <mergeCell ref="C367:C368"/>
    <mergeCell ref="C369:C370"/>
    <mergeCell ref="C371:C372"/>
    <mergeCell ref="C373:C374"/>
    <mergeCell ref="C375:C376"/>
    <mergeCell ref="C377:C378"/>
    <mergeCell ref="C379:C380"/>
    <mergeCell ref="B495:B496"/>
    <mergeCell ref="B497:B498"/>
    <mergeCell ref="B499:B500"/>
    <mergeCell ref="B481:B482"/>
    <mergeCell ref="B483:B484"/>
    <mergeCell ref="B485:B486"/>
    <mergeCell ref="B487:B488"/>
    <mergeCell ref="B489:B490"/>
    <mergeCell ref="B491:B492"/>
    <mergeCell ref="B493:B494"/>
    <mergeCell ref="F447:F448"/>
    <mergeCell ref="F449:F450"/>
    <mergeCell ref="F451:F452"/>
    <mergeCell ref="F453:F454"/>
    <mergeCell ref="F455:F456"/>
    <mergeCell ref="F457:F458"/>
    <mergeCell ref="F459:F460"/>
    <mergeCell ref="F461:F462"/>
    <mergeCell ref="F463:F464"/>
    <mergeCell ref="B465:B466"/>
    <mergeCell ref="C465:C466"/>
    <mergeCell ref="F465:F466"/>
    <mergeCell ref="C467:C468"/>
    <mergeCell ref="F467:F468"/>
    <mergeCell ref="B467:B468"/>
    <mergeCell ref="B469:B470"/>
    <mergeCell ref="C469:C470"/>
    <mergeCell ref="B471:B472"/>
    <mergeCell ref="C471:C472"/>
    <mergeCell ref="B473:B474"/>
    <mergeCell ref="C473:C474"/>
    <mergeCell ref="B475:B476"/>
    <mergeCell ref="C475:C476"/>
    <mergeCell ref="B477:B478"/>
    <mergeCell ref="C477:C478"/>
    <mergeCell ref="B479:B480"/>
    <mergeCell ref="C479:C480"/>
    <mergeCell ref="C481:C482"/>
    <mergeCell ref="F469:F470"/>
    <mergeCell ref="F471:F472"/>
    <mergeCell ref="F473:F474"/>
    <mergeCell ref="F475:F476"/>
    <mergeCell ref="F477:F478"/>
    <mergeCell ref="F479:F480"/>
    <mergeCell ref="F481:F482"/>
    <mergeCell ref="C497:C498"/>
    <mergeCell ref="C499:C500"/>
    <mergeCell ref="C483:C484"/>
    <mergeCell ref="C485:C486"/>
    <mergeCell ref="C487:C488"/>
    <mergeCell ref="C489:C490"/>
    <mergeCell ref="C491:C492"/>
    <mergeCell ref="C493:C494"/>
    <mergeCell ref="C495:C496"/>
    <mergeCell ref="B527:B528"/>
    <mergeCell ref="C527:C528"/>
    <mergeCell ref="B529:B530"/>
    <mergeCell ref="C529:C530"/>
    <mergeCell ref="B531:B532"/>
    <mergeCell ref="C531:C532"/>
    <mergeCell ref="C533:C534"/>
    <mergeCell ref="B541:B542"/>
    <mergeCell ref="B543:B544"/>
    <mergeCell ref="B545:B546"/>
    <mergeCell ref="C545:C546"/>
    <mergeCell ref="B547:B548"/>
    <mergeCell ref="C547:C548"/>
    <mergeCell ref="B549:B550"/>
    <mergeCell ref="C549:C550"/>
    <mergeCell ref="B533:B534"/>
    <mergeCell ref="B535:B536"/>
    <mergeCell ref="B537:B538"/>
    <mergeCell ref="C537:C538"/>
    <mergeCell ref="B539:B540"/>
    <mergeCell ref="C539:C540"/>
    <mergeCell ref="C541:C542"/>
    <mergeCell ref="F483:F484"/>
    <mergeCell ref="F485:F486"/>
    <mergeCell ref="F487:F488"/>
    <mergeCell ref="F489:F490"/>
    <mergeCell ref="F491:F492"/>
    <mergeCell ref="F493:F494"/>
    <mergeCell ref="F495:F496"/>
    <mergeCell ref="F497:F498"/>
    <mergeCell ref="F499:F500"/>
    <mergeCell ref="B501:B502"/>
    <mergeCell ref="C501:C502"/>
    <mergeCell ref="F501:F502"/>
    <mergeCell ref="C503:C504"/>
    <mergeCell ref="F503:F504"/>
    <mergeCell ref="B503:B504"/>
    <mergeCell ref="B505:B506"/>
    <mergeCell ref="C505:C506"/>
    <mergeCell ref="B507:B508"/>
    <mergeCell ref="C507:C508"/>
    <mergeCell ref="B509:B510"/>
    <mergeCell ref="C509:C510"/>
    <mergeCell ref="B511:B512"/>
    <mergeCell ref="C511:C512"/>
    <mergeCell ref="B513:B514"/>
    <mergeCell ref="C513:C514"/>
    <mergeCell ref="B515:B516"/>
    <mergeCell ref="C515:C516"/>
    <mergeCell ref="C517:C518"/>
    <mergeCell ref="F505:F506"/>
    <mergeCell ref="F507:F508"/>
    <mergeCell ref="F509:F510"/>
    <mergeCell ref="F511:F512"/>
    <mergeCell ref="F513:F514"/>
    <mergeCell ref="F515:F516"/>
    <mergeCell ref="F517:F518"/>
    <mergeCell ref="B517:B518"/>
    <mergeCell ref="B519:B520"/>
    <mergeCell ref="B521:B522"/>
    <mergeCell ref="B523:B524"/>
    <mergeCell ref="C523:C524"/>
    <mergeCell ref="B525:B526"/>
    <mergeCell ref="C525:C526"/>
    <mergeCell ref="F519:F520"/>
    <mergeCell ref="F521:F522"/>
    <mergeCell ref="F523:F524"/>
    <mergeCell ref="F525:F526"/>
    <mergeCell ref="F527:F528"/>
    <mergeCell ref="F529:F530"/>
    <mergeCell ref="F531:F532"/>
    <mergeCell ref="B581:B582"/>
    <mergeCell ref="B583:B584"/>
    <mergeCell ref="B567:B568"/>
    <mergeCell ref="B569:B570"/>
    <mergeCell ref="B571:B572"/>
    <mergeCell ref="B573:B574"/>
    <mergeCell ref="B575:B576"/>
    <mergeCell ref="B577:B578"/>
    <mergeCell ref="B579:B580"/>
    <mergeCell ref="F533:F534"/>
    <mergeCell ref="F535:F536"/>
    <mergeCell ref="F537:F538"/>
    <mergeCell ref="F539:F540"/>
    <mergeCell ref="F541:F542"/>
    <mergeCell ref="F543:F544"/>
    <mergeCell ref="F545:F546"/>
    <mergeCell ref="F547:F548"/>
    <mergeCell ref="F549:F550"/>
    <mergeCell ref="B551:B552"/>
    <mergeCell ref="C551:C552"/>
    <mergeCell ref="F551:F552"/>
    <mergeCell ref="C553:C554"/>
    <mergeCell ref="F553:F554"/>
    <mergeCell ref="B553:B554"/>
    <mergeCell ref="B555:B556"/>
    <mergeCell ref="C555:C556"/>
    <mergeCell ref="B557:B558"/>
    <mergeCell ref="C557:C558"/>
    <mergeCell ref="B559:B560"/>
    <mergeCell ref="C559:C560"/>
    <mergeCell ref="C569:C570"/>
    <mergeCell ref="C571:C572"/>
    <mergeCell ref="C573:C574"/>
    <mergeCell ref="C575:C576"/>
    <mergeCell ref="C577:C578"/>
    <mergeCell ref="C579:C580"/>
    <mergeCell ref="C583:C584"/>
    <mergeCell ref="B561:B562"/>
    <mergeCell ref="C561:C562"/>
    <mergeCell ref="B563:B564"/>
    <mergeCell ref="C563:C564"/>
    <mergeCell ref="B565:B566"/>
    <mergeCell ref="C565:C566"/>
    <mergeCell ref="C567:C568"/>
    <mergeCell ref="F569:F570"/>
    <mergeCell ref="F571:F572"/>
    <mergeCell ref="F573:F574"/>
    <mergeCell ref="F575:F576"/>
    <mergeCell ref="F577:F578"/>
    <mergeCell ref="F579:F580"/>
    <mergeCell ref="F581:F582"/>
    <mergeCell ref="F583:F584"/>
    <mergeCell ref="F555:F556"/>
    <mergeCell ref="F557:F558"/>
    <mergeCell ref="F559:F560"/>
    <mergeCell ref="F561:F562"/>
    <mergeCell ref="F563:F564"/>
    <mergeCell ref="F565:F566"/>
    <mergeCell ref="F567:F568"/>
    <mergeCell ref="F683:F684"/>
    <mergeCell ref="F685:F686"/>
    <mergeCell ref="F687:F688"/>
    <mergeCell ref="F689:F690"/>
    <mergeCell ref="F691:F692"/>
    <mergeCell ref="F693:F694"/>
    <mergeCell ref="F695:F696"/>
    <mergeCell ref="F697:F698"/>
    <mergeCell ref="F699:F700"/>
    <mergeCell ref="F701:F702"/>
    <mergeCell ref="F703:F704"/>
    <mergeCell ref="F705:F706"/>
    <mergeCell ref="F707:F708"/>
    <mergeCell ref="F709:F710"/>
    <mergeCell ref="F711:F712"/>
    <mergeCell ref="F713:F714"/>
    <mergeCell ref="F715:F716"/>
    <mergeCell ref="F717:F718"/>
    <mergeCell ref="F719:F720"/>
    <mergeCell ref="F721:F722"/>
    <mergeCell ref="F723:F724"/>
    <mergeCell ref="F725:F726"/>
    <mergeCell ref="F727:F728"/>
    <mergeCell ref="F729:F730"/>
    <mergeCell ref="F731:F732"/>
    <mergeCell ref="F733:F734"/>
    <mergeCell ref="F735:F736"/>
    <mergeCell ref="F737:F738"/>
    <mergeCell ref="F739:F740"/>
    <mergeCell ref="F741:F742"/>
    <mergeCell ref="F743:F744"/>
    <mergeCell ref="F745:F746"/>
    <mergeCell ref="F747:F748"/>
    <mergeCell ref="F749:F750"/>
    <mergeCell ref="F751:F752"/>
    <mergeCell ref="F753:F754"/>
    <mergeCell ref="F755:F756"/>
    <mergeCell ref="F757:F758"/>
    <mergeCell ref="F759:F760"/>
    <mergeCell ref="F761:F762"/>
    <mergeCell ref="F763:F764"/>
    <mergeCell ref="F765:F766"/>
    <mergeCell ref="F767:F768"/>
    <mergeCell ref="F769:F770"/>
    <mergeCell ref="F771:F772"/>
    <mergeCell ref="F773:F774"/>
    <mergeCell ref="F775:F776"/>
    <mergeCell ref="F777:F778"/>
    <mergeCell ref="F779:F780"/>
    <mergeCell ref="F781:F782"/>
    <mergeCell ref="F783:F784"/>
    <mergeCell ref="F785:F786"/>
    <mergeCell ref="F787:F788"/>
    <mergeCell ref="F789:F790"/>
    <mergeCell ref="F791:F792"/>
    <mergeCell ref="F793:F794"/>
    <mergeCell ref="F795:F796"/>
    <mergeCell ref="F797:F798"/>
    <mergeCell ref="F799:F800"/>
    <mergeCell ref="F801:F802"/>
    <mergeCell ref="F803:F804"/>
    <mergeCell ref="F805:F806"/>
    <mergeCell ref="F807:F808"/>
    <mergeCell ref="F809:F810"/>
    <mergeCell ref="F811:F813"/>
    <mergeCell ref="F814:F816"/>
    <mergeCell ref="F817:F818"/>
    <mergeCell ref="F819:F820"/>
    <mergeCell ref="F821:F822"/>
    <mergeCell ref="F823:F825"/>
    <mergeCell ref="F826:F828"/>
    <mergeCell ref="F829:F830"/>
    <mergeCell ref="F831:F832"/>
    <mergeCell ref="F833:F835"/>
    <mergeCell ref="F836:F838"/>
    <mergeCell ref="F839:F840"/>
    <mergeCell ref="F841:F842"/>
    <mergeCell ref="F843:F844"/>
    <mergeCell ref="F845:F846"/>
    <mergeCell ref="F847:F848"/>
    <mergeCell ref="F849:F850"/>
    <mergeCell ref="F851:F852"/>
    <mergeCell ref="F853:F854"/>
    <mergeCell ref="F855:F856"/>
    <mergeCell ref="F857:F858"/>
    <mergeCell ref="F860:F864"/>
    <mergeCell ref="F865:F868"/>
    <mergeCell ref="F869:F878"/>
    <mergeCell ref="F879:F880"/>
    <mergeCell ref="F881:F882"/>
    <mergeCell ref="F883:F886"/>
    <mergeCell ref="F887:F891"/>
    <mergeCell ref="F892:F893"/>
    <mergeCell ref="F894:F895"/>
    <mergeCell ref="F896:F902"/>
    <mergeCell ref="F903:F907"/>
    <mergeCell ref="F908:F909"/>
    <mergeCell ref="F910:F911"/>
    <mergeCell ref="F912:F917"/>
    <mergeCell ref="F918:F921"/>
    <mergeCell ref="F922:F923"/>
    <mergeCell ref="F924:F925"/>
    <mergeCell ref="F926:F931"/>
    <mergeCell ref="F932:F935"/>
    <mergeCell ref="F936:F937"/>
    <mergeCell ref="F938:F939"/>
    <mergeCell ref="F941:F942"/>
    <mergeCell ref="F943:F944"/>
    <mergeCell ref="F945:F950"/>
    <mergeCell ref="F951:F956"/>
    <mergeCell ref="F957:F958"/>
    <mergeCell ref="F959:F960"/>
    <mergeCell ref="F961:F968"/>
    <mergeCell ref="F969:F972"/>
    <mergeCell ref="F973:F974"/>
    <mergeCell ref="F975:F976"/>
    <mergeCell ref="F977:F982"/>
    <mergeCell ref="F983:F987"/>
    <mergeCell ref="F988:F989"/>
    <mergeCell ref="F990:F991"/>
    <mergeCell ref="F992:F993"/>
    <mergeCell ref="F994:F995"/>
    <mergeCell ref="F996:F997"/>
    <mergeCell ref="F998:F999"/>
    <mergeCell ref="F1000:F1003"/>
    <mergeCell ref="F1004:F1005"/>
    <mergeCell ref="F1006:F1007"/>
    <mergeCell ref="F1008:F1017"/>
    <mergeCell ref="F1018:F1019"/>
    <mergeCell ref="F1020:F1022"/>
    <mergeCell ref="F1023:F1024"/>
    <mergeCell ref="F1025:F1030"/>
    <mergeCell ref="F1031:F1032"/>
    <mergeCell ref="F1033:F1034"/>
    <mergeCell ref="F1035:F1039"/>
    <mergeCell ref="F1040:F1042"/>
    <mergeCell ref="F1043:F1044"/>
    <mergeCell ref="F1045:F1046"/>
    <mergeCell ref="F1047:F1048"/>
    <mergeCell ref="F1049:F1050"/>
    <mergeCell ref="F1051:F1054"/>
    <mergeCell ref="F1055:F1057"/>
    <mergeCell ref="F1058:F1059"/>
    <mergeCell ref="F1060:F1061"/>
    <mergeCell ref="F1062:F1063"/>
    <mergeCell ref="F1064:F1066"/>
    <mergeCell ref="F1067:F1068"/>
    <mergeCell ref="F1228:F1231"/>
    <mergeCell ref="F1232:F1233"/>
    <mergeCell ref="F1234:F1235"/>
    <mergeCell ref="F1236:F1237"/>
    <mergeCell ref="F1238:F1239"/>
    <mergeCell ref="F1240:F1241"/>
    <mergeCell ref="F1242:F1243"/>
    <mergeCell ref="F1244:F1247"/>
    <mergeCell ref="F1248:F1249"/>
    <mergeCell ref="F1250:F1251"/>
    <mergeCell ref="F1252:F1257"/>
    <mergeCell ref="F1258:F1259"/>
    <mergeCell ref="F1260:F1261"/>
    <mergeCell ref="F1262:F1263"/>
    <mergeCell ref="F1264:F1267"/>
    <mergeCell ref="F1268:F1269"/>
    <mergeCell ref="F1270:F1271"/>
    <mergeCell ref="F1272:F1275"/>
    <mergeCell ref="F1276:F1277"/>
    <mergeCell ref="F1278:F1281"/>
    <mergeCell ref="F1282:F1283"/>
    <mergeCell ref="F1301:F1303"/>
    <mergeCell ref="F1304:F1305"/>
    <mergeCell ref="F1306:F1307"/>
    <mergeCell ref="F1284:F1285"/>
    <mergeCell ref="F1286:F1289"/>
    <mergeCell ref="F1290:F1291"/>
    <mergeCell ref="F1292:F1293"/>
    <mergeCell ref="F1294:F1296"/>
    <mergeCell ref="F1297:F1298"/>
    <mergeCell ref="F1299:F1300"/>
    <mergeCell ref="F1069:F1070"/>
    <mergeCell ref="F1071:F1076"/>
    <mergeCell ref="F1077:F1080"/>
    <mergeCell ref="F1081:F1082"/>
    <mergeCell ref="F1083:F1084"/>
    <mergeCell ref="F1085:F1092"/>
    <mergeCell ref="F1093:F1095"/>
    <mergeCell ref="F1096:F1097"/>
    <mergeCell ref="F1098:F1099"/>
    <mergeCell ref="F1100:F1101"/>
    <mergeCell ref="F1102:F1111"/>
    <mergeCell ref="F1112:F1113"/>
    <mergeCell ref="F1114:F1115"/>
    <mergeCell ref="F1116:F1129"/>
    <mergeCell ref="F1130:F1131"/>
    <mergeCell ref="F1132:F1133"/>
    <mergeCell ref="F1134:F1135"/>
    <mergeCell ref="F1136:F1138"/>
    <mergeCell ref="F1139:F1140"/>
    <mergeCell ref="F1141:F1149"/>
    <mergeCell ref="F1150:F1154"/>
    <mergeCell ref="F1155:F1156"/>
    <mergeCell ref="F1157:F1158"/>
    <mergeCell ref="F1159:F1160"/>
    <mergeCell ref="F1161:F1163"/>
    <mergeCell ref="F1164:F1165"/>
    <mergeCell ref="F1166:F1173"/>
    <mergeCell ref="F1174:F1175"/>
    <mergeCell ref="F1176:F1177"/>
    <mergeCell ref="F1178:F1179"/>
    <mergeCell ref="F1180:F1181"/>
    <mergeCell ref="F1182:F1184"/>
    <mergeCell ref="F1185:F1186"/>
    <mergeCell ref="F1187:F1188"/>
    <mergeCell ref="F1189:F1192"/>
    <mergeCell ref="F1193:F1195"/>
    <mergeCell ref="F1196:F1197"/>
    <mergeCell ref="F1198:F1199"/>
    <mergeCell ref="F1200:F1201"/>
    <mergeCell ref="F1202:F1203"/>
    <mergeCell ref="F1204:F1205"/>
    <mergeCell ref="F1206:F1207"/>
    <mergeCell ref="F1208:F1209"/>
    <mergeCell ref="F1210:F1213"/>
    <mergeCell ref="F1214:F1215"/>
    <mergeCell ref="F1216:F1217"/>
    <mergeCell ref="F1218:F1222"/>
    <mergeCell ref="F1223:F1225"/>
    <mergeCell ref="F1226:F1227"/>
    <mergeCell ref="B31:B34"/>
    <mergeCell ref="B35:B36"/>
    <mergeCell ref="D35:D36"/>
    <mergeCell ref="E35:E36"/>
    <mergeCell ref="F35:F36"/>
    <mergeCell ref="E39:E40"/>
    <mergeCell ref="F39:F40"/>
    <mergeCell ref="C35:C36"/>
    <mergeCell ref="B37:B38"/>
    <mergeCell ref="C37:C38"/>
    <mergeCell ref="D37:D38"/>
    <mergeCell ref="E37:E38"/>
    <mergeCell ref="F37:F38"/>
    <mergeCell ref="D39:D40"/>
    <mergeCell ref="B25:B26"/>
    <mergeCell ref="C25:C26"/>
    <mergeCell ref="A27:A38"/>
    <mergeCell ref="B27:B28"/>
    <mergeCell ref="C27:C28"/>
    <mergeCell ref="B29:B30"/>
    <mergeCell ref="C33:C34"/>
    <mergeCell ref="D53:D54"/>
    <mergeCell ref="E53:E54"/>
    <mergeCell ref="C59:C60"/>
    <mergeCell ref="D59:D60"/>
    <mergeCell ref="E59:E60"/>
    <mergeCell ref="F59:F60"/>
    <mergeCell ref="B59:B60"/>
    <mergeCell ref="B61:B62"/>
    <mergeCell ref="C61:C62"/>
    <mergeCell ref="D61:D62"/>
    <mergeCell ref="E61:E62"/>
    <mergeCell ref="F61:F62"/>
    <mergeCell ref="C63:C64"/>
    <mergeCell ref="F63:F64"/>
    <mergeCell ref="E43:E44"/>
    <mergeCell ref="F43:F44"/>
    <mergeCell ref="F88:F89"/>
    <mergeCell ref="F90:F91"/>
    <mergeCell ref="F92:F93"/>
    <mergeCell ref="F94:F95"/>
    <mergeCell ref="F96:F97"/>
    <mergeCell ref="B129:B130"/>
    <mergeCell ref="C129:C130"/>
    <mergeCell ref="B131:B132"/>
    <mergeCell ref="C131:C132"/>
    <mergeCell ref="B133:B134"/>
    <mergeCell ref="C133:C134"/>
    <mergeCell ref="B135:B137"/>
    <mergeCell ref="B138:B139"/>
    <mergeCell ref="C138:C139"/>
    <mergeCell ref="B140:B141"/>
    <mergeCell ref="C140:C141"/>
    <mergeCell ref="B142:B143"/>
    <mergeCell ref="B144:B145"/>
    <mergeCell ref="C144:C145"/>
    <mergeCell ref="A39:A48"/>
    <mergeCell ref="B39:B40"/>
    <mergeCell ref="B41:B42"/>
    <mergeCell ref="B43:B44"/>
    <mergeCell ref="B45:B46"/>
    <mergeCell ref="B47:B48"/>
    <mergeCell ref="B57:B58"/>
    <mergeCell ref="B63:B64"/>
    <mergeCell ref="B65:B66"/>
    <mergeCell ref="B67:B68"/>
    <mergeCell ref="B69:B70"/>
    <mergeCell ref="B71:B72"/>
    <mergeCell ref="B73:B74"/>
    <mergeCell ref="B75:B76"/>
    <mergeCell ref="B77:B78"/>
    <mergeCell ref="B79:B80"/>
    <mergeCell ref="B81:B82"/>
    <mergeCell ref="B83:B84"/>
    <mergeCell ref="B85:B86"/>
    <mergeCell ref="B88:B89"/>
    <mergeCell ref="C88:C89"/>
    <mergeCell ref="B90:B91"/>
    <mergeCell ref="C90:C91"/>
    <mergeCell ref="B92:B93"/>
    <mergeCell ref="C92:C93"/>
    <mergeCell ref="B94:B95"/>
    <mergeCell ref="C94:C95"/>
    <mergeCell ref="C96:C97"/>
    <mergeCell ref="B96:B97"/>
    <mergeCell ref="B98:B100"/>
    <mergeCell ref="B101:B104"/>
    <mergeCell ref="B105:B106"/>
    <mergeCell ref="C105:C106"/>
    <mergeCell ref="B107:B108"/>
    <mergeCell ref="C109:C110"/>
    <mergeCell ref="C111:C112"/>
    <mergeCell ref="C113:C114"/>
    <mergeCell ref="C115:C116"/>
    <mergeCell ref="C117:C118"/>
    <mergeCell ref="C123:C124"/>
    <mergeCell ref="C125:C126"/>
    <mergeCell ref="C127:C128"/>
    <mergeCell ref="C161:C162"/>
    <mergeCell ref="C163:C164"/>
    <mergeCell ref="F127:F128"/>
    <mergeCell ref="F129:F130"/>
    <mergeCell ref="F131:F132"/>
    <mergeCell ref="F133:F134"/>
    <mergeCell ref="F135:F137"/>
    <mergeCell ref="F138:F139"/>
    <mergeCell ref="F140:F141"/>
    <mergeCell ref="F142:F143"/>
    <mergeCell ref="F144:F145"/>
    <mergeCell ref="F146:F147"/>
    <mergeCell ref="F148:F149"/>
    <mergeCell ref="F150:F151"/>
    <mergeCell ref="F152:F153"/>
    <mergeCell ref="F154:F158"/>
    <mergeCell ref="F159:F160"/>
    <mergeCell ref="F161:F162"/>
    <mergeCell ref="F163:F164"/>
    <mergeCell ref="F165:F166"/>
    <mergeCell ref="F167:F168"/>
    <mergeCell ref="F169:F170"/>
    <mergeCell ref="F171:F172"/>
    <mergeCell ref="F173:F177"/>
    <mergeCell ref="F178:F179"/>
    <mergeCell ref="F180:F181"/>
    <mergeCell ref="F182:F183"/>
    <mergeCell ref="F184:F185"/>
    <mergeCell ref="F186:F187"/>
    <mergeCell ref="F188:F189"/>
    <mergeCell ref="F190:F191"/>
    <mergeCell ref="F192:F193"/>
    <mergeCell ref="F194:F195"/>
    <mergeCell ref="F196:F197"/>
    <mergeCell ref="F198:F199"/>
    <mergeCell ref="F200:F201"/>
    <mergeCell ref="F202:F206"/>
    <mergeCell ref="F207:F210"/>
    <mergeCell ref="F211:F212"/>
    <mergeCell ref="F213:F214"/>
    <mergeCell ref="F215:F216"/>
    <mergeCell ref="F217:F218"/>
    <mergeCell ref="F219:F223"/>
    <mergeCell ref="F224:F226"/>
    <mergeCell ref="F227:F228"/>
    <mergeCell ref="F229:F230"/>
    <mergeCell ref="F231:F232"/>
    <mergeCell ref="F233:F234"/>
    <mergeCell ref="F235:F236"/>
    <mergeCell ref="F237:F241"/>
    <mergeCell ref="F242:F245"/>
    <mergeCell ref="A49:A58"/>
    <mergeCell ref="A59:A70"/>
    <mergeCell ref="A71:A86"/>
    <mergeCell ref="A87:A97"/>
    <mergeCell ref="A98:A100"/>
    <mergeCell ref="A101:A104"/>
    <mergeCell ref="A105:A118"/>
    <mergeCell ref="A119:A134"/>
    <mergeCell ref="A135:A137"/>
    <mergeCell ref="A138:A153"/>
    <mergeCell ref="A154:A158"/>
    <mergeCell ref="A159:A172"/>
    <mergeCell ref="A173:A177"/>
    <mergeCell ref="A178:A189"/>
    <mergeCell ref="A190:A201"/>
    <mergeCell ref="A202:A206"/>
    <mergeCell ref="A207:A218"/>
    <mergeCell ref="A219:A223"/>
    <mergeCell ref="A224:A236"/>
    <mergeCell ref="A237:A241"/>
    <mergeCell ref="A242:A255"/>
    <mergeCell ref="A256:A260"/>
    <mergeCell ref="A261:A270"/>
    <mergeCell ref="A271:A274"/>
    <mergeCell ref="A275:A279"/>
    <mergeCell ref="A280:A292"/>
    <mergeCell ref="A293:A302"/>
    <mergeCell ref="A303:A306"/>
    <mergeCell ref="A307:A315"/>
    <mergeCell ref="A316:A317"/>
    <mergeCell ref="A318:A327"/>
    <mergeCell ref="A328:A331"/>
    <mergeCell ref="A332:A342"/>
    <mergeCell ref="A343:A354"/>
    <mergeCell ref="A355:A364"/>
    <mergeCell ref="A365:A374"/>
    <mergeCell ref="A375:A384"/>
    <mergeCell ref="A385:A394"/>
    <mergeCell ref="A395:A406"/>
    <mergeCell ref="A407:A416"/>
    <mergeCell ref="A417:A426"/>
    <mergeCell ref="A427:A436"/>
    <mergeCell ref="A437:A446"/>
    <mergeCell ref="A447:A456"/>
    <mergeCell ref="A457:A466"/>
    <mergeCell ref="A467:A468"/>
    <mergeCell ref="A469:A474"/>
    <mergeCell ref="A475:A482"/>
    <mergeCell ref="A483:A490"/>
    <mergeCell ref="F246:F247"/>
    <mergeCell ref="F248:F249"/>
    <mergeCell ref="F250:F251"/>
    <mergeCell ref="F252:F253"/>
    <mergeCell ref="F254:F255"/>
    <mergeCell ref="F256:F260"/>
    <mergeCell ref="F261:F262"/>
    <mergeCell ref="F263:F264"/>
    <mergeCell ref="F265:F266"/>
    <mergeCell ref="F267:F268"/>
    <mergeCell ref="F269:F270"/>
    <mergeCell ref="F271:F274"/>
    <mergeCell ref="F275:F279"/>
    <mergeCell ref="F280:F283"/>
    <mergeCell ref="F284:F286"/>
    <mergeCell ref="F287:F288"/>
    <mergeCell ref="F289:F290"/>
    <mergeCell ref="F291:F292"/>
    <mergeCell ref="F293:F294"/>
    <mergeCell ref="F295:F296"/>
    <mergeCell ref="F297:F298"/>
    <mergeCell ref="F299:F300"/>
    <mergeCell ref="F301:F302"/>
    <mergeCell ref="F303:F306"/>
    <mergeCell ref="F308:F309"/>
    <mergeCell ref="F310:F311"/>
    <mergeCell ref="F312:F313"/>
    <mergeCell ref="F314:F315"/>
    <mergeCell ref="F316:F317"/>
    <mergeCell ref="F318:F319"/>
    <mergeCell ref="F320:F321"/>
    <mergeCell ref="F322:F323"/>
    <mergeCell ref="F324:F325"/>
    <mergeCell ref="F326:F327"/>
    <mergeCell ref="F328:F331"/>
    <mergeCell ref="F332:F334"/>
    <mergeCell ref="F335:F336"/>
    <mergeCell ref="F337:F338"/>
    <mergeCell ref="F339:F340"/>
    <mergeCell ref="F341:F342"/>
    <mergeCell ref="F343:F345"/>
    <mergeCell ref="F346:F347"/>
    <mergeCell ref="F348:F350"/>
    <mergeCell ref="F351:F352"/>
    <mergeCell ref="F353:F354"/>
    <mergeCell ref="F355:F356"/>
    <mergeCell ref="F357:F358"/>
    <mergeCell ref="F359:F360"/>
    <mergeCell ref="F361:F362"/>
    <mergeCell ref="F585:F586"/>
    <mergeCell ref="F587:F588"/>
    <mergeCell ref="F589:F590"/>
    <mergeCell ref="F591:F592"/>
    <mergeCell ref="F593:F594"/>
    <mergeCell ref="F595:F596"/>
    <mergeCell ref="F597:F598"/>
    <mergeCell ref="F599:F600"/>
    <mergeCell ref="F601:F602"/>
    <mergeCell ref="F603:F604"/>
    <mergeCell ref="F605:F606"/>
    <mergeCell ref="F607:F608"/>
    <mergeCell ref="F609:F610"/>
    <mergeCell ref="F611:F612"/>
    <mergeCell ref="F613:F614"/>
    <mergeCell ref="F615:F616"/>
    <mergeCell ref="F617:F618"/>
    <mergeCell ref="F619:F620"/>
    <mergeCell ref="F621:F622"/>
    <mergeCell ref="F623:F624"/>
    <mergeCell ref="F625:F626"/>
    <mergeCell ref="F627:F628"/>
    <mergeCell ref="F629:F630"/>
    <mergeCell ref="F631:F632"/>
    <mergeCell ref="F633:F634"/>
    <mergeCell ref="F635:F636"/>
    <mergeCell ref="F637:F638"/>
    <mergeCell ref="F639:F640"/>
    <mergeCell ref="F641:F642"/>
    <mergeCell ref="F643:F644"/>
    <mergeCell ref="F645:F646"/>
    <mergeCell ref="F647:F648"/>
    <mergeCell ref="F649:F650"/>
    <mergeCell ref="F651:F652"/>
    <mergeCell ref="F653:F654"/>
    <mergeCell ref="F655:F656"/>
    <mergeCell ref="F657:F658"/>
    <mergeCell ref="F659:F660"/>
    <mergeCell ref="F661:F662"/>
    <mergeCell ref="F663:F664"/>
    <mergeCell ref="F665:F666"/>
    <mergeCell ref="F667:F668"/>
    <mergeCell ref="F669:F670"/>
    <mergeCell ref="F671:F672"/>
    <mergeCell ref="F673:F674"/>
    <mergeCell ref="F675:F676"/>
    <mergeCell ref="F677:F678"/>
    <mergeCell ref="F679:F680"/>
    <mergeCell ref="F681:F682"/>
    <mergeCell ref="C805:C806"/>
    <mergeCell ref="C807:C808"/>
    <mergeCell ref="C809:C810"/>
    <mergeCell ref="C811:C812"/>
    <mergeCell ref="C814:C815"/>
    <mergeCell ref="C817:C818"/>
    <mergeCell ref="C819:C820"/>
    <mergeCell ref="C821:C822"/>
    <mergeCell ref="C823:C824"/>
    <mergeCell ref="C826:C827"/>
    <mergeCell ref="C829:C830"/>
    <mergeCell ref="C831:C832"/>
    <mergeCell ref="C833:C834"/>
    <mergeCell ref="C836:C837"/>
    <mergeCell ref="D1049:D1050"/>
    <mergeCell ref="D1062:D1063"/>
    <mergeCell ref="D1100:D1101"/>
    <mergeCell ref="D1134:D1135"/>
    <mergeCell ref="D1159:D1160"/>
    <mergeCell ref="D1174:D1175"/>
    <mergeCell ref="D1180:D1181"/>
    <mergeCell ref="D1187:D1188"/>
    <mergeCell ref="D1198:D1199"/>
    <mergeCell ref="D1202:D1203"/>
    <mergeCell ref="D1204:D1205"/>
    <mergeCell ref="D1208:D1209"/>
    <mergeCell ref="D1216:D1217"/>
    <mergeCell ref="D1226:D1227"/>
    <mergeCell ref="D1292:D1293"/>
    <mergeCell ref="D1297:D1298"/>
    <mergeCell ref="D1299:D1300"/>
    <mergeCell ref="D1304:D1305"/>
    <mergeCell ref="D1306:D1307"/>
    <mergeCell ref="D1234:D1235"/>
    <mergeCell ref="D1242:D1243"/>
    <mergeCell ref="D1250:D1251"/>
    <mergeCell ref="D1258:D1259"/>
    <mergeCell ref="D1262:D1263"/>
    <mergeCell ref="D1270:D1271"/>
    <mergeCell ref="D1284:D1285"/>
    <mergeCell ref="B783:B784"/>
    <mergeCell ref="C783:C784"/>
    <mergeCell ref="B785:B786"/>
    <mergeCell ref="C785:C786"/>
    <mergeCell ref="B787:B788"/>
    <mergeCell ref="C787:C788"/>
    <mergeCell ref="C789:C790"/>
    <mergeCell ref="B789:B790"/>
    <mergeCell ref="B791:B792"/>
    <mergeCell ref="B793:B794"/>
    <mergeCell ref="B795:B796"/>
    <mergeCell ref="B797:B798"/>
    <mergeCell ref="B799:B800"/>
    <mergeCell ref="B801:B802"/>
    <mergeCell ref="C791:C792"/>
    <mergeCell ref="C793:C794"/>
    <mergeCell ref="C795:C796"/>
    <mergeCell ref="C797:C798"/>
    <mergeCell ref="C799:C800"/>
    <mergeCell ref="C801:C802"/>
    <mergeCell ref="C803:C804"/>
    <mergeCell ref="B803:B804"/>
    <mergeCell ref="B805:B806"/>
    <mergeCell ref="B807:B808"/>
    <mergeCell ref="B809:B810"/>
    <mergeCell ref="B811:B812"/>
    <mergeCell ref="B814:B815"/>
    <mergeCell ref="B817:B818"/>
    <mergeCell ref="B819:B820"/>
    <mergeCell ref="B821:B822"/>
    <mergeCell ref="B823:B824"/>
    <mergeCell ref="B826:B827"/>
    <mergeCell ref="B829:B830"/>
    <mergeCell ref="B831:B832"/>
    <mergeCell ref="B833:B834"/>
    <mergeCell ref="B851:B852"/>
    <mergeCell ref="B853:B854"/>
    <mergeCell ref="B857:B858"/>
    <mergeCell ref="B836:B837"/>
    <mergeCell ref="B839:B840"/>
    <mergeCell ref="B841:B842"/>
    <mergeCell ref="B843:B844"/>
    <mergeCell ref="B845:B846"/>
    <mergeCell ref="B847:B848"/>
    <mergeCell ref="B849:B850"/>
    <mergeCell ref="K219:K223"/>
    <mergeCell ref="M219:M223"/>
    <mergeCell ref="J225:J226"/>
    <mergeCell ref="K225:K226"/>
    <mergeCell ref="L225:L226"/>
    <mergeCell ref="M225:M226"/>
    <mergeCell ref="M227:M228"/>
    <mergeCell ref="I219:I223"/>
    <mergeCell ref="I237:I241"/>
    <mergeCell ref="K237:K241"/>
    <mergeCell ref="J243:J244"/>
    <mergeCell ref="K243:K244"/>
    <mergeCell ref="L243:L244"/>
    <mergeCell ref="K256:K260"/>
    <mergeCell ref="L171:L172"/>
    <mergeCell ref="M171:M172"/>
    <mergeCell ref="H186:H187"/>
    <mergeCell ref="I186:I187"/>
    <mergeCell ref="J186:J187"/>
    <mergeCell ref="K186:K187"/>
    <mergeCell ref="L186:L187"/>
    <mergeCell ref="M186:M187"/>
    <mergeCell ref="M159:M160"/>
    <mergeCell ref="M161:M162"/>
    <mergeCell ref="M163:M164"/>
    <mergeCell ref="H171:H172"/>
    <mergeCell ref="I171:I172"/>
    <mergeCell ref="J171:J172"/>
    <mergeCell ref="I173:I177"/>
    <mergeCell ref="M173:M177"/>
    <mergeCell ref="M178:M179"/>
    <mergeCell ref="M180:M181"/>
    <mergeCell ref="M182:M183"/>
    <mergeCell ref="M190:M191"/>
    <mergeCell ref="M192:M193"/>
    <mergeCell ref="M194:M195"/>
    <mergeCell ref="K171:K172"/>
    <mergeCell ref="K173:K177"/>
    <mergeCell ref="I202:I206"/>
    <mergeCell ref="K202:K206"/>
    <mergeCell ref="J208:J210"/>
    <mergeCell ref="K208:K210"/>
    <mergeCell ref="L208:L210"/>
    <mergeCell ref="M263:M264"/>
    <mergeCell ref="M271:M274"/>
    <mergeCell ref="M275:M279"/>
    <mergeCell ref="L281:L282"/>
    <mergeCell ref="M281:M282"/>
    <mergeCell ref="M202:M206"/>
    <mergeCell ref="M208:M210"/>
    <mergeCell ref="M211:M212"/>
    <mergeCell ref="M237:M241"/>
    <mergeCell ref="M243:M244"/>
    <mergeCell ref="M246:M247"/>
    <mergeCell ref="M256:M260"/>
    <mergeCell ref="H493:H494"/>
    <mergeCell ref="I493:I494"/>
    <mergeCell ref="H501:H502"/>
    <mergeCell ref="I501:I502"/>
    <mergeCell ref="L501:L504"/>
    <mergeCell ref="M501:M504"/>
    <mergeCell ref="N501:N504"/>
    <mergeCell ref="H503:H504"/>
    <mergeCell ref="I503:I504"/>
    <mergeCell ref="L511:L514"/>
    <mergeCell ref="M511:M514"/>
    <mergeCell ref="N511:N514"/>
    <mergeCell ref="M519:M522"/>
    <mergeCell ref="N519:N522"/>
    <mergeCell ref="I256:I260"/>
    <mergeCell ref="I271:I274"/>
    <mergeCell ref="K271:K274"/>
    <mergeCell ref="I275:I279"/>
    <mergeCell ref="K275:K279"/>
    <mergeCell ref="H281:H282"/>
    <mergeCell ref="I281:I282"/>
    <mergeCell ref="J281:J282"/>
    <mergeCell ref="K281:K282"/>
    <mergeCell ref="I303:I306"/>
    <mergeCell ref="K303:K306"/>
    <mergeCell ref="M303:M306"/>
    <mergeCell ref="K316:K317"/>
    <mergeCell ref="M316:M317"/>
    <mergeCell ref="I316:I317"/>
    <mergeCell ref="I328:I331"/>
    <mergeCell ref="K328:K331"/>
    <mergeCell ref="M328:M331"/>
    <mergeCell ref="H393:H394"/>
    <mergeCell ref="I393:I394"/>
    <mergeCell ref="I405:I406"/>
    <mergeCell ref="H405:H406"/>
    <mergeCell ref="H413:H414"/>
    <mergeCell ref="I413:I414"/>
    <mergeCell ref="H431:H432"/>
    <mergeCell ref="I431:I432"/>
    <mergeCell ref="H435:H436"/>
    <mergeCell ref="I435:I436"/>
    <mergeCell ref="I445:I446"/>
    <mergeCell ref="L467:L468"/>
    <mergeCell ref="M467:M468"/>
    <mergeCell ref="N467:N468"/>
    <mergeCell ref="L469:L472"/>
    <mergeCell ref="M469:M472"/>
    <mergeCell ref="N469:N472"/>
    <mergeCell ref="H471:H472"/>
    <mergeCell ref="I471:I472"/>
    <mergeCell ref="H477:H478"/>
    <mergeCell ref="I477:I478"/>
    <mergeCell ref="L491:L494"/>
    <mergeCell ref="M491:M494"/>
    <mergeCell ref="N491:N494"/>
    <mergeCell ref="L519:L522"/>
    <mergeCell ref="L529:L532"/>
    <mergeCell ref="M529:M532"/>
    <mergeCell ref="N529:N532"/>
    <mergeCell ref="L541:L544"/>
    <mergeCell ref="M541:M544"/>
    <mergeCell ref="N541:N544"/>
    <mergeCell ref="M577:M580"/>
    <mergeCell ref="N577:N580"/>
    <mergeCell ref="L553:L556"/>
    <mergeCell ref="M553:M556"/>
    <mergeCell ref="N553:N556"/>
    <mergeCell ref="L565:L568"/>
    <mergeCell ref="M565:M568"/>
    <mergeCell ref="N565:N568"/>
    <mergeCell ref="L577:L580"/>
    <mergeCell ref="M613:M616"/>
    <mergeCell ref="N613:N616"/>
    <mergeCell ref="L589:L592"/>
    <mergeCell ref="M589:M592"/>
    <mergeCell ref="N589:N592"/>
    <mergeCell ref="L601:L604"/>
    <mergeCell ref="M601:M604"/>
    <mergeCell ref="N601:N604"/>
    <mergeCell ref="L613:L616"/>
    <mergeCell ref="L625:L628"/>
    <mergeCell ref="M625:M628"/>
    <mergeCell ref="N625:N630"/>
    <mergeCell ref="L629:L630"/>
    <mergeCell ref="M629:M630"/>
    <mergeCell ref="M639:M642"/>
    <mergeCell ref="N639:N644"/>
    <mergeCell ref="M643:M644"/>
    <mergeCell ref="L639:L642"/>
    <mergeCell ref="L643:L644"/>
    <mergeCell ref="L653:L656"/>
    <mergeCell ref="M653:M656"/>
    <mergeCell ref="N653:N656"/>
    <mergeCell ref="M667:M670"/>
    <mergeCell ref="N667:N670"/>
    <mergeCell ref="L667:L670"/>
    <mergeCell ref="L679:L682"/>
    <mergeCell ref="M679:M682"/>
    <mergeCell ref="N679:N682"/>
    <mergeCell ref="L691:L694"/>
    <mergeCell ref="M691:M694"/>
    <mergeCell ref="N691:N694"/>
    <mergeCell ref="M833:M835"/>
    <mergeCell ref="N833:N835"/>
    <mergeCell ref="A859:P859"/>
    <mergeCell ref="L811:L812"/>
    <mergeCell ref="M811:M812"/>
    <mergeCell ref="N811:N812"/>
    <mergeCell ref="L823:L825"/>
    <mergeCell ref="M823:M825"/>
    <mergeCell ref="N823:N825"/>
    <mergeCell ref="L833:L835"/>
    <mergeCell ref="M853:M854"/>
    <mergeCell ref="N853:N854"/>
    <mergeCell ref="C904:C907"/>
    <mergeCell ref="L841:L842"/>
    <mergeCell ref="M841:M842"/>
    <mergeCell ref="N841:N842"/>
    <mergeCell ref="L847:L848"/>
    <mergeCell ref="M847:M848"/>
    <mergeCell ref="N847:N848"/>
    <mergeCell ref="L853:L854"/>
    <mergeCell ref="M879:M880"/>
    <mergeCell ref="N879:N880"/>
    <mergeCell ref="L860:M864"/>
    <mergeCell ref="N860:N864"/>
    <mergeCell ref="L865:M868"/>
    <mergeCell ref="N865:N868"/>
    <mergeCell ref="L869:M878"/>
    <mergeCell ref="N869:N878"/>
    <mergeCell ref="L879:L880"/>
    <mergeCell ref="M727:M730"/>
    <mergeCell ref="N727:N730"/>
    <mergeCell ref="L703:L706"/>
    <mergeCell ref="M703:M706"/>
    <mergeCell ref="N703:N706"/>
    <mergeCell ref="L715:L718"/>
    <mergeCell ref="M715:M718"/>
    <mergeCell ref="N715:N718"/>
    <mergeCell ref="L727:L730"/>
    <mergeCell ref="M763:M766"/>
    <mergeCell ref="N763:N766"/>
    <mergeCell ref="L739:L742"/>
    <mergeCell ref="M739:M742"/>
    <mergeCell ref="N739:N742"/>
    <mergeCell ref="L751:L754"/>
    <mergeCell ref="M751:M754"/>
    <mergeCell ref="N751:N754"/>
    <mergeCell ref="L763:L766"/>
    <mergeCell ref="M799:M802"/>
    <mergeCell ref="N799:N802"/>
    <mergeCell ref="L775:L778"/>
    <mergeCell ref="M775:M778"/>
    <mergeCell ref="N775:N778"/>
    <mergeCell ref="L787:L790"/>
    <mergeCell ref="M787:M790"/>
    <mergeCell ref="N787:N790"/>
    <mergeCell ref="L799:L802"/>
    <mergeCell ref="L881:L882"/>
    <mergeCell ref="M881:M882"/>
    <mergeCell ref="N881:N882"/>
    <mergeCell ref="L883:M886"/>
    <mergeCell ref="N883:N886"/>
    <mergeCell ref="L887:M891"/>
    <mergeCell ref="N887:N891"/>
    <mergeCell ref="L941:L942"/>
    <mergeCell ref="M941:M942"/>
    <mergeCell ref="N941:N942"/>
    <mergeCell ref="L943:L944"/>
    <mergeCell ref="M943:M944"/>
    <mergeCell ref="N943:N944"/>
    <mergeCell ref="N945:N950"/>
    <mergeCell ref="L945:M950"/>
    <mergeCell ref="L951:M956"/>
    <mergeCell ref="N951:N956"/>
    <mergeCell ref="L957:L958"/>
    <mergeCell ref="M957:M958"/>
    <mergeCell ref="N957:N958"/>
    <mergeCell ref="L959:L960"/>
    <mergeCell ref="M973:M974"/>
    <mergeCell ref="N973:N974"/>
    <mergeCell ref="M959:M960"/>
    <mergeCell ref="N959:N960"/>
    <mergeCell ref="L961:M968"/>
    <mergeCell ref="N961:N968"/>
    <mergeCell ref="L969:M972"/>
    <mergeCell ref="N969:N972"/>
    <mergeCell ref="L973:L974"/>
    <mergeCell ref="L892:L893"/>
    <mergeCell ref="M892:M893"/>
    <mergeCell ref="N892:N893"/>
    <mergeCell ref="L894:L895"/>
    <mergeCell ref="M894:M895"/>
    <mergeCell ref="N894:N895"/>
    <mergeCell ref="N896:N902"/>
    <mergeCell ref="M910:M911"/>
    <mergeCell ref="N910:N911"/>
    <mergeCell ref="L896:M902"/>
    <mergeCell ref="L903:M907"/>
    <mergeCell ref="N903:N907"/>
    <mergeCell ref="L908:L909"/>
    <mergeCell ref="M908:M909"/>
    <mergeCell ref="N908:N909"/>
    <mergeCell ref="L910:L911"/>
    <mergeCell ref="L912:M917"/>
    <mergeCell ref="N912:N917"/>
    <mergeCell ref="L918:M921"/>
    <mergeCell ref="N918:N921"/>
    <mergeCell ref="L922:L923"/>
    <mergeCell ref="M922:M923"/>
    <mergeCell ref="N922:N923"/>
    <mergeCell ref="L924:L925"/>
    <mergeCell ref="M924:M925"/>
    <mergeCell ref="N924:N925"/>
    <mergeCell ref="L926:M931"/>
    <mergeCell ref="N926:N931"/>
    <mergeCell ref="L932:M935"/>
    <mergeCell ref="N932:N935"/>
    <mergeCell ref="L936:L937"/>
    <mergeCell ref="M936:M937"/>
    <mergeCell ref="N936:N937"/>
    <mergeCell ref="L938:L939"/>
    <mergeCell ref="M938:M939"/>
    <mergeCell ref="N938:N939"/>
    <mergeCell ref="L940:M940"/>
    <mergeCell ref="L975:L976"/>
    <mergeCell ref="M975:M976"/>
    <mergeCell ref="N975:N976"/>
    <mergeCell ref="L977:M982"/>
    <mergeCell ref="N977:N982"/>
    <mergeCell ref="L983:M987"/>
    <mergeCell ref="N983:N987"/>
    <mergeCell ref="J1049:M1050"/>
    <mergeCell ref="N1049:N1050"/>
    <mergeCell ref="C1053:C1054"/>
    <mergeCell ref="H1056:H1057"/>
    <mergeCell ref="I1056:I1057"/>
    <mergeCell ref="J1056:J1057"/>
    <mergeCell ref="K1056:K1057"/>
    <mergeCell ref="I1078:I1080"/>
    <mergeCell ref="J1078:J1080"/>
    <mergeCell ref="J1062:M1063"/>
    <mergeCell ref="N1062:N1063"/>
    <mergeCell ref="H1065:H1066"/>
    <mergeCell ref="I1065:I1066"/>
    <mergeCell ref="J1065:J1066"/>
    <mergeCell ref="K1065:K1066"/>
    <mergeCell ref="H1078:H1080"/>
    <mergeCell ref="K1078:K1080"/>
    <mergeCell ref="M992:M993"/>
    <mergeCell ref="N992:N993"/>
    <mergeCell ref="L988:L989"/>
    <mergeCell ref="M988:M989"/>
    <mergeCell ref="N988:N989"/>
    <mergeCell ref="L990:L991"/>
    <mergeCell ref="M990:M991"/>
    <mergeCell ref="N990:N991"/>
    <mergeCell ref="L992:L993"/>
    <mergeCell ref="M998:M999"/>
    <mergeCell ref="N998:N999"/>
    <mergeCell ref="L994:L995"/>
    <mergeCell ref="M994:M995"/>
    <mergeCell ref="N994:N995"/>
    <mergeCell ref="L996:L997"/>
    <mergeCell ref="M996:M997"/>
    <mergeCell ref="N996:N997"/>
    <mergeCell ref="L998:L999"/>
    <mergeCell ref="L1000:M1003"/>
    <mergeCell ref="N1000:N1003"/>
    <mergeCell ref="H1001:H1003"/>
    <mergeCell ref="I1001:I1003"/>
    <mergeCell ref="J1001:J1003"/>
    <mergeCell ref="K1001:K1003"/>
    <mergeCell ref="L1004:L1005"/>
    <mergeCell ref="M1004:M1005"/>
    <mergeCell ref="N1004:N1005"/>
    <mergeCell ref="L1006:L1007"/>
    <mergeCell ref="M1006:M1007"/>
    <mergeCell ref="N1006:N1007"/>
    <mergeCell ref="L1008:M1017"/>
    <mergeCell ref="N1008:N1017"/>
    <mergeCell ref="M1033:M1034"/>
    <mergeCell ref="N1033:N1034"/>
    <mergeCell ref="G1041:G1042"/>
    <mergeCell ref="H1041:H1042"/>
    <mergeCell ref="I1041:I1042"/>
    <mergeCell ref="J1041:J1042"/>
    <mergeCell ref="K1041:K1042"/>
    <mergeCell ref="C75:C76"/>
    <mergeCell ref="C77:C78"/>
    <mergeCell ref="D77:D78"/>
    <mergeCell ref="E77:E78"/>
    <mergeCell ref="F77:F78"/>
    <mergeCell ref="C79:C80"/>
    <mergeCell ref="D79:D80"/>
    <mergeCell ref="C81:C82"/>
    <mergeCell ref="D81:D82"/>
    <mergeCell ref="E81:E82"/>
    <mergeCell ref="F81:F82"/>
    <mergeCell ref="D83:D84"/>
    <mergeCell ref="E83:E84"/>
    <mergeCell ref="F83:F84"/>
    <mergeCell ref="D67:D68"/>
    <mergeCell ref="E67:E68"/>
    <mergeCell ref="D63:D64"/>
    <mergeCell ref="E63:E64"/>
    <mergeCell ref="C65:C66"/>
    <mergeCell ref="D65:D66"/>
    <mergeCell ref="E65:E66"/>
    <mergeCell ref="F65:F66"/>
    <mergeCell ref="F67:F68"/>
    <mergeCell ref="E71:E72"/>
    <mergeCell ref="F71:F72"/>
    <mergeCell ref="C67:C68"/>
    <mergeCell ref="C69:C70"/>
    <mergeCell ref="D69:D70"/>
    <mergeCell ref="E69:E70"/>
    <mergeCell ref="F69:F70"/>
    <mergeCell ref="C71:C72"/>
    <mergeCell ref="D71:D72"/>
    <mergeCell ref="C73:C74"/>
    <mergeCell ref="D73:D74"/>
    <mergeCell ref="E73:E74"/>
    <mergeCell ref="F73:F74"/>
    <mergeCell ref="D75:D76"/>
    <mergeCell ref="E75:E76"/>
    <mergeCell ref="F75:F76"/>
    <mergeCell ref="E79:E80"/>
    <mergeCell ref="F79:F80"/>
    <mergeCell ref="H79:H80"/>
    <mergeCell ref="I79:I80"/>
    <mergeCell ref="J79:J80"/>
    <mergeCell ref="K79:K80"/>
    <mergeCell ref="C83:C84"/>
    <mergeCell ref="C85:C86"/>
    <mergeCell ref="D85:D86"/>
    <mergeCell ref="E85:E86"/>
    <mergeCell ref="F85:F86"/>
    <mergeCell ref="B198:B199"/>
    <mergeCell ref="B200:B201"/>
    <mergeCell ref="B202:B206"/>
    <mergeCell ref="B207:B208"/>
    <mergeCell ref="C207:C208"/>
    <mergeCell ref="B211:B212"/>
    <mergeCell ref="C211:C212"/>
    <mergeCell ref="B213:B214"/>
    <mergeCell ref="C213:C214"/>
    <mergeCell ref="B215:B216"/>
    <mergeCell ref="B217:B218"/>
    <mergeCell ref="B219:B223"/>
    <mergeCell ref="B224:B225"/>
    <mergeCell ref="C227:C228"/>
    <mergeCell ref="B146:B147"/>
    <mergeCell ref="B148:B149"/>
    <mergeCell ref="B150:B151"/>
    <mergeCell ref="C150:C151"/>
    <mergeCell ref="B152:B153"/>
    <mergeCell ref="B154:B158"/>
    <mergeCell ref="C159:C160"/>
    <mergeCell ref="B159:B160"/>
    <mergeCell ref="B161:B162"/>
    <mergeCell ref="B163:B164"/>
    <mergeCell ref="B165:B166"/>
    <mergeCell ref="B167:B168"/>
    <mergeCell ref="C167:C168"/>
    <mergeCell ref="C169:C170"/>
    <mergeCell ref="C171:C172"/>
    <mergeCell ref="B169:B170"/>
    <mergeCell ref="B171:B172"/>
    <mergeCell ref="B173:B177"/>
    <mergeCell ref="B178:B179"/>
    <mergeCell ref="C178:C179"/>
    <mergeCell ref="B180:B181"/>
    <mergeCell ref="C180:C181"/>
    <mergeCell ref="B182:B183"/>
    <mergeCell ref="B184:B185"/>
    <mergeCell ref="C184:C185"/>
    <mergeCell ref="B186:B187"/>
    <mergeCell ref="C186:C187"/>
    <mergeCell ref="B188:B189"/>
    <mergeCell ref="B190:B191"/>
    <mergeCell ref="B192:B193"/>
    <mergeCell ref="C192:C193"/>
    <mergeCell ref="B194:B195"/>
    <mergeCell ref="C194:C195"/>
    <mergeCell ref="B196:B197"/>
    <mergeCell ref="C196:C197"/>
    <mergeCell ref="C198:C199"/>
    <mergeCell ref="C200:C201"/>
    <mergeCell ref="B227:B228"/>
    <mergeCell ref="B229:B230"/>
    <mergeCell ref="B231:B232"/>
    <mergeCell ref="B233:B234"/>
    <mergeCell ref="B235:B236"/>
    <mergeCell ref="B237:B241"/>
    <mergeCell ref="B242:B243"/>
    <mergeCell ref="C263:C264"/>
    <mergeCell ref="C265:C266"/>
    <mergeCell ref="C39:C40"/>
    <mergeCell ref="C41:C42"/>
    <mergeCell ref="D41:D42"/>
    <mergeCell ref="E41:E42"/>
    <mergeCell ref="F41:F42"/>
    <mergeCell ref="C43:C44"/>
    <mergeCell ref="D43:D44"/>
    <mergeCell ref="C45:C46"/>
    <mergeCell ref="D45:D46"/>
    <mergeCell ref="E45:E46"/>
    <mergeCell ref="F45:F46"/>
    <mergeCell ref="D47:D48"/>
    <mergeCell ref="E47:E48"/>
    <mergeCell ref="F47:F48"/>
    <mergeCell ref="C47:C48"/>
    <mergeCell ref="C49:C50"/>
    <mergeCell ref="D49:D50"/>
    <mergeCell ref="E49:E50"/>
    <mergeCell ref="F49:F50"/>
    <mergeCell ref="B49:B50"/>
    <mergeCell ref="B51:B52"/>
    <mergeCell ref="C51:C52"/>
    <mergeCell ref="D51:D52"/>
    <mergeCell ref="E51:E52"/>
    <mergeCell ref="F51:F52"/>
    <mergeCell ref="C53:C54"/>
    <mergeCell ref="F53:F54"/>
    <mergeCell ref="A12:A17"/>
    <mergeCell ref="A18:A19"/>
    <mergeCell ref="B18:B19"/>
    <mergeCell ref="C18:C19"/>
    <mergeCell ref="D18:D19"/>
    <mergeCell ref="E18:E19"/>
    <mergeCell ref="F18:F19"/>
    <mergeCell ref="M18:M19"/>
    <mergeCell ref="A20:A21"/>
    <mergeCell ref="B20:B21"/>
    <mergeCell ref="C20:C21"/>
    <mergeCell ref="D20:D21"/>
    <mergeCell ref="E20:E21"/>
    <mergeCell ref="F20:F21"/>
    <mergeCell ref="M20:M21"/>
    <mergeCell ref="A1:B3"/>
    <mergeCell ref="C1:F3"/>
    <mergeCell ref="A6:A11"/>
    <mergeCell ref="E6:E7"/>
    <mergeCell ref="E8:E11"/>
    <mergeCell ref="E12:E13"/>
    <mergeCell ref="E14:E17"/>
    <mergeCell ref="D25:D26"/>
    <mergeCell ref="E25:E26"/>
    <mergeCell ref="D27:D28"/>
    <mergeCell ref="E27:E28"/>
    <mergeCell ref="F27:F28"/>
    <mergeCell ref="D29:D30"/>
    <mergeCell ref="E29:E30"/>
    <mergeCell ref="F29:F30"/>
    <mergeCell ref="A23:A26"/>
    <mergeCell ref="B23:B24"/>
    <mergeCell ref="C23:C24"/>
    <mergeCell ref="D23:D24"/>
    <mergeCell ref="E23:E24"/>
    <mergeCell ref="F23:F24"/>
    <mergeCell ref="F25:F26"/>
    <mergeCell ref="C29:C30"/>
    <mergeCell ref="C31:C32"/>
    <mergeCell ref="D31:D32"/>
    <mergeCell ref="E31:E32"/>
    <mergeCell ref="F31:F32"/>
    <mergeCell ref="D33:D34"/>
    <mergeCell ref="E33:E34"/>
    <mergeCell ref="F33:F34"/>
    <mergeCell ref="M23:M24"/>
    <mergeCell ref="M25:M26"/>
    <mergeCell ref="M27:M28"/>
    <mergeCell ref="M29:M30"/>
    <mergeCell ref="M31:M32"/>
    <mergeCell ref="M33:M34"/>
    <mergeCell ref="M35:M36"/>
    <mergeCell ref="D57:D58"/>
    <mergeCell ref="E57:E58"/>
    <mergeCell ref="B53:B54"/>
    <mergeCell ref="B55:B56"/>
    <mergeCell ref="C55:C56"/>
    <mergeCell ref="D55:D56"/>
    <mergeCell ref="E55:E56"/>
    <mergeCell ref="F55:F56"/>
    <mergeCell ref="C57:C58"/>
    <mergeCell ref="F57:F58"/>
    <mergeCell ref="F115:F116"/>
    <mergeCell ref="F117:F118"/>
    <mergeCell ref="F119:F120"/>
    <mergeCell ref="F121:F122"/>
    <mergeCell ref="F123:F124"/>
    <mergeCell ref="F125:F126"/>
    <mergeCell ref="F98:F100"/>
    <mergeCell ref="F101:F104"/>
    <mergeCell ref="F105:F106"/>
    <mergeCell ref="F107:F108"/>
    <mergeCell ref="F109:F110"/>
    <mergeCell ref="F111:F112"/>
    <mergeCell ref="F113:F114"/>
    <mergeCell ref="B123:B124"/>
    <mergeCell ref="B127:B128"/>
    <mergeCell ref="B109:B110"/>
    <mergeCell ref="B111:B112"/>
    <mergeCell ref="B113:B114"/>
    <mergeCell ref="B115:B116"/>
    <mergeCell ref="B117:B118"/>
    <mergeCell ref="B119:B120"/>
    <mergeCell ref="B121:B122"/>
    <mergeCell ref="M37:M38"/>
    <mergeCell ref="M39:M40"/>
    <mergeCell ref="M41:M42"/>
    <mergeCell ref="M43:M44"/>
    <mergeCell ref="M45:M46"/>
    <mergeCell ref="M47:M48"/>
    <mergeCell ref="M49:M50"/>
    <mergeCell ref="M51:M52"/>
    <mergeCell ref="M53:M54"/>
    <mergeCell ref="M55:M56"/>
    <mergeCell ref="M57:M58"/>
    <mergeCell ref="L61:L62"/>
    <mergeCell ref="M61:M62"/>
    <mergeCell ref="N61:N62"/>
    <mergeCell ref="L69:L70"/>
    <mergeCell ref="M69:M70"/>
    <mergeCell ref="N69:N70"/>
    <mergeCell ref="M71:M72"/>
    <mergeCell ref="N71:N72"/>
    <mergeCell ref="M73:M74"/>
    <mergeCell ref="N73:N74"/>
    <mergeCell ref="M75:M76"/>
    <mergeCell ref="M77:M78"/>
    <mergeCell ref="L79:L80"/>
    <mergeCell ref="M79:M80"/>
    <mergeCell ref="M81:M82"/>
    <mergeCell ref="M83:M84"/>
    <mergeCell ref="L85:L86"/>
    <mergeCell ref="M85:M86"/>
    <mergeCell ref="M88:M89"/>
    <mergeCell ref="M90:M91"/>
    <mergeCell ref="I99:I100"/>
    <mergeCell ref="J99:J100"/>
    <mergeCell ref="K99:K100"/>
    <mergeCell ref="L99:L100"/>
    <mergeCell ref="M98:M100"/>
    <mergeCell ref="M101:M104"/>
    <mergeCell ref="M105:M106"/>
    <mergeCell ref="M107:M110"/>
    <mergeCell ref="M119:M120"/>
    <mergeCell ref="M121:M122"/>
    <mergeCell ref="M123:M124"/>
    <mergeCell ref="M135:M137"/>
    <mergeCell ref="M138:M139"/>
    <mergeCell ref="M140:M141"/>
    <mergeCell ref="M142:M143"/>
    <mergeCell ref="I154:I158"/>
    <mergeCell ref="K154:K158"/>
    <mergeCell ref="M154:M158"/>
    <mergeCell ref="B341:B342"/>
    <mergeCell ref="C341:C342"/>
    <mergeCell ref="B328:B331"/>
    <mergeCell ref="B332:B333"/>
    <mergeCell ref="C332:C333"/>
    <mergeCell ref="B335:B336"/>
    <mergeCell ref="C335:C336"/>
    <mergeCell ref="B337:B338"/>
    <mergeCell ref="B339:B340"/>
    <mergeCell ref="B246:B247"/>
    <mergeCell ref="B248:B249"/>
    <mergeCell ref="B250:B251"/>
    <mergeCell ref="B252:B253"/>
    <mergeCell ref="B254:B255"/>
    <mergeCell ref="B256:B260"/>
    <mergeCell ref="C261:C262"/>
    <mergeCell ref="B261:B262"/>
    <mergeCell ref="B263:B264"/>
    <mergeCell ref="B265:B266"/>
    <mergeCell ref="B267:B268"/>
    <mergeCell ref="B269:B270"/>
    <mergeCell ref="C269:C270"/>
    <mergeCell ref="B271:B274"/>
    <mergeCell ref="B275:B279"/>
    <mergeCell ref="B280:B281"/>
    <mergeCell ref="B284:B285"/>
    <mergeCell ref="B287:B288"/>
    <mergeCell ref="C287:C288"/>
    <mergeCell ref="B289:B290"/>
    <mergeCell ref="C289:C290"/>
    <mergeCell ref="C299:C300"/>
    <mergeCell ref="C301:C302"/>
    <mergeCell ref="C310:C311"/>
    <mergeCell ref="C312:C313"/>
    <mergeCell ref="C314:C315"/>
    <mergeCell ref="C318:C319"/>
    <mergeCell ref="B291:B292"/>
    <mergeCell ref="C291:C292"/>
    <mergeCell ref="B293:B294"/>
    <mergeCell ref="C293:C294"/>
    <mergeCell ref="B295:B296"/>
    <mergeCell ref="C295:C296"/>
    <mergeCell ref="C297:C298"/>
    <mergeCell ref="B297:B298"/>
    <mergeCell ref="B299:B300"/>
    <mergeCell ref="B301:B302"/>
    <mergeCell ref="B303:B306"/>
    <mergeCell ref="B308:B309"/>
    <mergeCell ref="B310:B311"/>
    <mergeCell ref="B312:B313"/>
    <mergeCell ref="B314:B315"/>
    <mergeCell ref="B316:B317"/>
    <mergeCell ref="B318:B319"/>
    <mergeCell ref="B320:B321"/>
    <mergeCell ref="B322:B323"/>
    <mergeCell ref="B324:B325"/>
    <mergeCell ref="B326:B327"/>
    <mergeCell ref="B421:B422"/>
    <mergeCell ref="B423:B424"/>
    <mergeCell ref="B425:B426"/>
    <mergeCell ref="B427:B428"/>
    <mergeCell ref="B407:B408"/>
    <mergeCell ref="B409:B410"/>
    <mergeCell ref="B411:B412"/>
    <mergeCell ref="B413:B414"/>
    <mergeCell ref="B415:B416"/>
    <mergeCell ref="B417:B418"/>
    <mergeCell ref="B419:B420"/>
    <mergeCell ref="F363:F364"/>
    <mergeCell ref="F365:F366"/>
    <mergeCell ref="F367:F368"/>
    <mergeCell ref="F369:F370"/>
    <mergeCell ref="F371:F372"/>
    <mergeCell ref="F373:F374"/>
    <mergeCell ref="F375:F376"/>
    <mergeCell ref="F377:F378"/>
    <mergeCell ref="F379:F380"/>
    <mergeCell ref="F381:F382"/>
    <mergeCell ref="F383:F384"/>
    <mergeCell ref="F385:F386"/>
    <mergeCell ref="F387:F388"/>
    <mergeCell ref="F389:F390"/>
    <mergeCell ref="F391:F392"/>
    <mergeCell ref="F393:F394"/>
    <mergeCell ref="F395:F396"/>
    <mergeCell ref="B397:B398"/>
    <mergeCell ref="C397:C398"/>
    <mergeCell ref="B399:B400"/>
    <mergeCell ref="C399:C400"/>
    <mergeCell ref="B401:B402"/>
    <mergeCell ref="C401:C402"/>
    <mergeCell ref="B403:B404"/>
    <mergeCell ref="C403:C404"/>
    <mergeCell ref="B405:B406"/>
    <mergeCell ref="C405:C406"/>
    <mergeCell ref="C407:C408"/>
    <mergeCell ref="F397:F398"/>
    <mergeCell ref="F399:F400"/>
    <mergeCell ref="F401:F402"/>
    <mergeCell ref="F403:F404"/>
    <mergeCell ref="F405:F406"/>
    <mergeCell ref="F407:F408"/>
    <mergeCell ref="F409:F410"/>
    <mergeCell ref="C423:C424"/>
    <mergeCell ref="C425:C426"/>
    <mergeCell ref="C427:C428"/>
    <mergeCell ref="C409:C410"/>
    <mergeCell ref="C411:C412"/>
    <mergeCell ref="C413:C414"/>
    <mergeCell ref="C415:C416"/>
    <mergeCell ref="C417:C418"/>
    <mergeCell ref="C419:C420"/>
    <mergeCell ref="C421:C422"/>
    <mergeCell ref="B459:B460"/>
    <mergeCell ref="B461:B462"/>
    <mergeCell ref="B463:B464"/>
    <mergeCell ref="B445:B446"/>
    <mergeCell ref="B447:B448"/>
    <mergeCell ref="B449:B450"/>
    <mergeCell ref="B451:B452"/>
    <mergeCell ref="B453:B454"/>
    <mergeCell ref="B455:B456"/>
    <mergeCell ref="B457:B458"/>
    <mergeCell ref="F411:F412"/>
    <mergeCell ref="F413:F414"/>
    <mergeCell ref="F415:F416"/>
    <mergeCell ref="F417:F418"/>
    <mergeCell ref="F419:F420"/>
    <mergeCell ref="F421:F422"/>
    <mergeCell ref="F423:F424"/>
    <mergeCell ref="F425:F426"/>
    <mergeCell ref="F427:F428"/>
    <mergeCell ref="B429:B430"/>
    <mergeCell ref="C429:C430"/>
    <mergeCell ref="F429:F430"/>
    <mergeCell ref="C431:C432"/>
    <mergeCell ref="F431:F432"/>
    <mergeCell ref="B431:B432"/>
    <mergeCell ref="B433:B434"/>
    <mergeCell ref="C433:C434"/>
    <mergeCell ref="B435:B436"/>
    <mergeCell ref="C435:C436"/>
    <mergeCell ref="B437:B438"/>
    <mergeCell ref="C437:C438"/>
    <mergeCell ref="B439:B440"/>
    <mergeCell ref="C439:C440"/>
    <mergeCell ref="B441:B442"/>
    <mergeCell ref="C441:C442"/>
    <mergeCell ref="B443:B444"/>
    <mergeCell ref="C443:C444"/>
    <mergeCell ref="C445:C446"/>
    <mergeCell ref="F433:F434"/>
    <mergeCell ref="F435:F436"/>
    <mergeCell ref="F437:F438"/>
    <mergeCell ref="F439:F440"/>
    <mergeCell ref="F441:F442"/>
    <mergeCell ref="F443:F444"/>
    <mergeCell ref="F445:F446"/>
    <mergeCell ref="C461:C462"/>
    <mergeCell ref="C463:C464"/>
    <mergeCell ref="C447:C448"/>
    <mergeCell ref="C449:C450"/>
    <mergeCell ref="C451:C452"/>
    <mergeCell ref="C453:C454"/>
    <mergeCell ref="C455:C456"/>
    <mergeCell ref="C457:C458"/>
    <mergeCell ref="C459:C460"/>
    <mergeCell ref="M1248:M1249"/>
    <mergeCell ref="J1250:M1251"/>
    <mergeCell ref="N1250:N1251"/>
    <mergeCell ref="L1252:M1257"/>
    <mergeCell ref="N1252:N1257"/>
    <mergeCell ref="J1258:M1259"/>
    <mergeCell ref="N1258:N1259"/>
    <mergeCell ref="L1260:L1261"/>
    <mergeCell ref="M1260:M1261"/>
    <mergeCell ref="N1260:N1261"/>
    <mergeCell ref="J1262:M1263"/>
    <mergeCell ref="N1262:N1263"/>
    <mergeCell ref="L1264:M1267"/>
    <mergeCell ref="N1264:N1267"/>
    <mergeCell ref="M1282:M1283"/>
    <mergeCell ref="J1284:M1285"/>
    <mergeCell ref="N1284:N1285"/>
    <mergeCell ref="L1276:L1277"/>
    <mergeCell ref="M1276:M1277"/>
    <mergeCell ref="N1276:N1277"/>
    <mergeCell ref="L1278:M1281"/>
    <mergeCell ref="N1278:N1281"/>
    <mergeCell ref="L1282:L1283"/>
    <mergeCell ref="N1282:N1283"/>
    <mergeCell ref="L1286:M1289"/>
    <mergeCell ref="N1286:N1289"/>
    <mergeCell ref="L1290:L1291"/>
    <mergeCell ref="M1290:M1291"/>
    <mergeCell ref="N1290:N1291"/>
    <mergeCell ref="J1292:M1293"/>
    <mergeCell ref="N1292:N1293"/>
    <mergeCell ref="L1294:L1296"/>
    <mergeCell ref="M1294:M1296"/>
    <mergeCell ref="N1294:N1296"/>
    <mergeCell ref="G1295:G1296"/>
    <mergeCell ref="H1295:H1296"/>
    <mergeCell ref="I1295:I1296"/>
    <mergeCell ref="J1295:J1296"/>
    <mergeCell ref="L1301:L1303"/>
    <mergeCell ref="G1302:G1303"/>
    <mergeCell ref="H1302:H1303"/>
    <mergeCell ref="I1302:I1303"/>
    <mergeCell ref="J1302:J1303"/>
    <mergeCell ref="K1302:K1303"/>
    <mergeCell ref="J1304:M1305"/>
    <mergeCell ref="N1304:N1305"/>
    <mergeCell ref="I1306:I1307"/>
    <mergeCell ref="J1306:M1307"/>
    <mergeCell ref="N1306:N1307"/>
    <mergeCell ref="K1295:K1296"/>
    <mergeCell ref="J1297:M1298"/>
    <mergeCell ref="N1297:N1298"/>
    <mergeCell ref="J1299:M1300"/>
    <mergeCell ref="N1299:N1300"/>
    <mergeCell ref="M1301:M1303"/>
    <mergeCell ref="N1301:N1303"/>
    <mergeCell ref="M1200:M1201"/>
    <mergeCell ref="J1202:M1203"/>
    <mergeCell ref="N1202:N1203"/>
    <mergeCell ref="J1204:M1205"/>
    <mergeCell ref="N1204:N1205"/>
    <mergeCell ref="L1206:L1207"/>
    <mergeCell ref="N1206:N1207"/>
    <mergeCell ref="M1206:M1207"/>
    <mergeCell ref="J1208:M1209"/>
    <mergeCell ref="N1208:N1209"/>
    <mergeCell ref="L1210:M1213"/>
    <mergeCell ref="N1210:N1213"/>
    <mergeCell ref="L1214:L1215"/>
    <mergeCell ref="N1214:N1215"/>
    <mergeCell ref="L1218:M1222"/>
    <mergeCell ref="N1218:N1222"/>
    <mergeCell ref="L1223:L1225"/>
    <mergeCell ref="M1223:M1225"/>
    <mergeCell ref="N1223:N1225"/>
    <mergeCell ref="H1224:H1225"/>
    <mergeCell ref="I1224:I1225"/>
    <mergeCell ref="J1224:J1225"/>
    <mergeCell ref="K1224:K1225"/>
    <mergeCell ref="J1226:M1227"/>
    <mergeCell ref="N1226:N1227"/>
    <mergeCell ref="L1228:M1231"/>
    <mergeCell ref="N1228:N1231"/>
    <mergeCell ref="J1232:N1233"/>
    <mergeCell ref="J1234:M1235"/>
    <mergeCell ref="N1234:N1235"/>
    <mergeCell ref="L1236:M1237"/>
    <mergeCell ref="N1236:N1237"/>
    <mergeCell ref="J1238:N1239"/>
    <mergeCell ref="L1240:L1241"/>
    <mergeCell ref="N1240:N1241"/>
    <mergeCell ref="M1240:M1241"/>
    <mergeCell ref="J1242:M1243"/>
    <mergeCell ref="N1242:N1243"/>
    <mergeCell ref="L1244:M1247"/>
    <mergeCell ref="N1244:N1247"/>
    <mergeCell ref="L1248:L1249"/>
    <mergeCell ref="N1248:N1249"/>
    <mergeCell ref="L1268:L1269"/>
    <mergeCell ref="M1268:M1269"/>
    <mergeCell ref="N1268:N1269"/>
    <mergeCell ref="J1270:M1271"/>
    <mergeCell ref="N1270:N1271"/>
    <mergeCell ref="L1272:M1275"/>
    <mergeCell ref="N1272:N1275"/>
    <mergeCell ref="L1067:L1068"/>
    <mergeCell ref="M1067:M1068"/>
    <mergeCell ref="N1067:N1068"/>
    <mergeCell ref="L1069:L1070"/>
    <mergeCell ref="M1069:M1070"/>
    <mergeCell ref="N1069:N1070"/>
    <mergeCell ref="N1071:N1076"/>
    <mergeCell ref="L1071:M1076"/>
    <mergeCell ref="L1077:L1080"/>
    <mergeCell ref="M1077:M1080"/>
    <mergeCell ref="N1077:N1080"/>
    <mergeCell ref="L1081:L1082"/>
    <mergeCell ref="M1081:M1082"/>
    <mergeCell ref="N1081:N1082"/>
    <mergeCell ref="H1091:H1092"/>
    <mergeCell ref="I1091:I1092"/>
    <mergeCell ref="J1091:J1092"/>
    <mergeCell ref="K1091:K1092"/>
    <mergeCell ref="L1091:M1092"/>
    <mergeCell ref="N1091:N1092"/>
    <mergeCell ref="H1094:H1095"/>
    <mergeCell ref="K1094:K1095"/>
    <mergeCell ref="J1110:J1111"/>
    <mergeCell ref="K1110:K1111"/>
    <mergeCell ref="L1110:M1111"/>
    <mergeCell ref="N1110:N1111"/>
    <mergeCell ref="I1094:I1095"/>
    <mergeCell ref="J1094:J1095"/>
    <mergeCell ref="J1100:M1101"/>
    <mergeCell ref="N1100:N1101"/>
    <mergeCell ref="G1110:G1111"/>
    <mergeCell ref="H1110:H1111"/>
    <mergeCell ref="I1110:I1111"/>
    <mergeCell ref="L1083:L1084"/>
    <mergeCell ref="M1083:M1084"/>
    <mergeCell ref="N1083:N1084"/>
    <mergeCell ref="L1085:M1090"/>
    <mergeCell ref="N1085:N1090"/>
    <mergeCell ref="M1093:M1095"/>
    <mergeCell ref="N1093:N1095"/>
    <mergeCell ref="L1093:L1095"/>
    <mergeCell ref="L1096:L1097"/>
    <mergeCell ref="M1096:M1097"/>
    <mergeCell ref="N1096:N1097"/>
    <mergeCell ref="L1098:L1099"/>
    <mergeCell ref="M1098:M1099"/>
    <mergeCell ref="N1098:N1099"/>
    <mergeCell ref="L1102:M1109"/>
    <mergeCell ref="N1102:N1109"/>
    <mergeCell ref="L1112:L1113"/>
    <mergeCell ref="M1112:M1113"/>
    <mergeCell ref="N1112:N1113"/>
    <mergeCell ref="L1114:L1115"/>
    <mergeCell ref="N1114:N1115"/>
    <mergeCell ref="J1134:M1135"/>
    <mergeCell ref="N1134:N1135"/>
    <mergeCell ref="H1137:H1138"/>
    <mergeCell ref="I1137:I1138"/>
    <mergeCell ref="J1137:J1138"/>
    <mergeCell ref="K1137:K1138"/>
    <mergeCell ref="M1114:M1115"/>
    <mergeCell ref="L1116:M1122"/>
    <mergeCell ref="N1116:N1122"/>
    <mergeCell ref="L1123:M1129"/>
    <mergeCell ref="N1123:N1129"/>
    <mergeCell ref="M1130:M1131"/>
    <mergeCell ref="N1130:N1131"/>
    <mergeCell ref="L1155:L1156"/>
    <mergeCell ref="M1155:M1156"/>
    <mergeCell ref="N1155:N1156"/>
    <mergeCell ref="L1166:M1173"/>
    <mergeCell ref="N1166:N1173"/>
    <mergeCell ref="M1176:M1177"/>
    <mergeCell ref="N1176:N1177"/>
    <mergeCell ref="L1176:L1177"/>
    <mergeCell ref="L1178:L1179"/>
    <mergeCell ref="M1178:M1179"/>
    <mergeCell ref="N1178:N1179"/>
    <mergeCell ref="L1182:L1184"/>
    <mergeCell ref="M1182:M1184"/>
    <mergeCell ref="N1182:N1184"/>
    <mergeCell ref="L1018:L1019"/>
    <mergeCell ref="M1018:M1019"/>
    <mergeCell ref="N1018:N1019"/>
    <mergeCell ref="L1020:M1022"/>
    <mergeCell ref="N1020:N1022"/>
    <mergeCell ref="L1023:L1024"/>
    <mergeCell ref="N1023:N1024"/>
    <mergeCell ref="M1023:M1024"/>
    <mergeCell ref="L1025:M1030"/>
    <mergeCell ref="N1025:N1030"/>
    <mergeCell ref="L1031:L1032"/>
    <mergeCell ref="M1031:M1032"/>
    <mergeCell ref="N1031:N1032"/>
    <mergeCell ref="L1033:L1034"/>
    <mergeCell ref="L1035:M1039"/>
    <mergeCell ref="N1035:N1039"/>
    <mergeCell ref="L1040:L1042"/>
    <mergeCell ref="M1040:M1042"/>
    <mergeCell ref="N1040:N1042"/>
    <mergeCell ref="M1043:M1044"/>
    <mergeCell ref="N1043:N1044"/>
    <mergeCell ref="L1043:L1044"/>
    <mergeCell ref="L1045:L1046"/>
    <mergeCell ref="M1045:M1046"/>
    <mergeCell ref="N1045:N1046"/>
    <mergeCell ref="L1047:L1048"/>
    <mergeCell ref="M1047:M1048"/>
    <mergeCell ref="N1047:N1048"/>
    <mergeCell ref="L1051:M1054"/>
    <mergeCell ref="N1051:N1054"/>
    <mergeCell ref="L1055:L1057"/>
    <mergeCell ref="M1055:M1057"/>
    <mergeCell ref="N1055:N1057"/>
    <mergeCell ref="M1058:M1059"/>
    <mergeCell ref="N1058:N1059"/>
    <mergeCell ref="L1058:L1059"/>
    <mergeCell ref="L1060:L1061"/>
    <mergeCell ref="M1060:M1061"/>
    <mergeCell ref="N1060:N1061"/>
    <mergeCell ref="L1064:L1066"/>
    <mergeCell ref="M1064:M1066"/>
    <mergeCell ref="N1064:N1066"/>
    <mergeCell ref="L1193:L1195"/>
    <mergeCell ref="L1196:L1197"/>
    <mergeCell ref="M1196:M1197"/>
    <mergeCell ref="N1196:N1197"/>
    <mergeCell ref="L1185:L1186"/>
    <mergeCell ref="M1185:M1186"/>
    <mergeCell ref="N1185:N1186"/>
    <mergeCell ref="L1189:M1192"/>
    <mergeCell ref="N1189:N1192"/>
    <mergeCell ref="M1193:M1195"/>
    <mergeCell ref="N1193:N1195"/>
    <mergeCell ref="J1187:M1188"/>
    <mergeCell ref="N1187:N1188"/>
    <mergeCell ref="I1194:I1195"/>
    <mergeCell ref="J1194:J1195"/>
    <mergeCell ref="K1194:K1195"/>
    <mergeCell ref="J1198:M1199"/>
    <mergeCell ref="N1198:N1199"/>
    <mergeCell ref="H1194:H1195"/>
    <mergeCell ref="H1200:H1201"/>
    <mergeCell ref="I1200:I1201"/>
    <mergeCell ref="J1200:J1201"/>
    <mergeCell ref="K1200:K1201"/>
    <mergeCell ref="L1200:L1201"/>
    <mergeCell ref="N1200:N1201"/>
    <mergeCell ref="L1130:L1131"/>
    <mergeCell ref="L1132:L1133"/>
    <mergeCell ref="M1132:M1133"/>
    <mergeCell ref="N1132:N1133"/>
    <mergeCell ref="L1136:L1138"/>
    <mergeCell ref="M1136:M1138"/>
    <mergeCell ref="N1136:N1138"/>
    <mergeCell ref="L1139:L1140"/>
    <mergeCell ref="M1139:M1140"/>
    <mergeCell ref="N1139:N1140"/>
    <mergeCell ref="L1141:M1149"/>
    <mergeCell ref="N1141:N1149"/>
    <mergeCell ref="L1150:M1154"/>
    <mergeCell ref="N1150:N1154"/>
    <mergeCell ref="H1157:H1158"/>
    <mergeCell ref="I1157:I1158"/>
    <mergeCell ref="J1157:J1158"/>
    <mergeCell ref="K1157:K1158"/>
    <mergeCell ref="L1157:L1158"/>
    <mergeCell ref="M1157:M1158"/>
    <mergeCell ref="N1157:N1158"/>
    <mergeCell ref="J1159:M1160"/>
    <mergeCell ref="N1159:N1160"/>
    <mergeCell ref="H1161:H1163"/>
    <mergeCell ref="I1161:I1163"/>
    <mergeCell ref="J1161:J1163"/>
    <mergeCell ref="K1161:K1163"/>
    <mergeCell ref="L1161:L1163"/>
    <mergeCell ref="M1161:M1163"/>
    <mergeCell ref="N1161:N1163"/>
    <mergeCell ref="L1164:L1165"/>
    <mergeCell ref="M1164:M1165"/>
    <mergeCell ref="N1164:N1165"/>
    <mergeCell ref="J1174:M1175"/>
    <mergeCell ref="N1174:N1175"/>
    <mergeCell ref="J1180:M1181"/>
    <mergeCell ref="N1180:N1181"/>
    <mergeCell ref="G1183:G1184"/>
    <mergeCell ref="H1183:H1184"/>
    <mergeCell ref="I1183:I1184"/>
    <mergeCell ref="J1183:J1184"/>
    <mergeCell ref="K1183:K1184"/>
    <mergeCell ref="M1214:M1215"/>
    <mergeCell ref="J1216:M1217"/>
    <mergeCell ref="N1216:N1217"/>
  </mergeCells>
  <dataValidations>
    <dataValidation type="list" allowBlank="1" showErrorMessage="1" sqref="B6:B18 B20 B22:B23 B25 B27 B29 B31 B35 B37 B39 B41 B43 B45 B47 B49 B51 B53 B55 B57 B59 B61 B63 B65 B67 B69 B71 B73 B75 B77 B79 B81 B83 B85 B87:B88 B90 B92 B94 B96 B98 B101 B105 B107 B109 B111 B113 B115 B117 B119 B121 B123 B125:B127 B129 B131 B133 B135 B138 B140 B142 B144 B146 B148 B150 B152 B154 B159 B161 B163 B165 B167 B169 B171 B173 B178 B180 B182 B184 B186 B188 B190 B192 B194 B196 B198 B200 B202 B207 B209:B211 B213 B215 B217 B219 B224 B226:B227 B229 B231 B233 B235 B237 B242 B244:B246 B248 B250 B252 B254 B256 B261 B263 B265 B267 B269 B271 B275 B280 B282:B284 B286:B287 B289 B291 B293 B295 B297 B299 B301 B303 B307:B308 B310 B312 B314 B316 B318 B320 B322 B324 B326 B328 B332 B334:B335 B337 B339 B341 B343:B346 B348 B350:B351 B353 B355 B357 B359 B361 B363 B365 B367 B369 B371 B373 B375 B377 B379 B381 B383 B385 B387 B389 B391 B393 B395 B397 B399 B401 B403 B405 B407 B409 B411 B413 B415 B417 B419 B421 B423 B425 B427 B429 B431 B433 B435 B437 B439 B441 B443 B445 B447 B449 B451 B453 B455 B457 B459 B461 B463 B465 B467 B469 B471 B473 B475 B477 B479 B481 B483 B485 B487 B489 B491 B493 B495 B497 B499 B501 B503 B505 B507 B509 B511 B513 B515 B517 B519 B521 B523 B525 B527 B529 B531 B533 B535 B537 B539 B541 B543 B545 B547 B549 B551 B553 B555 B557 B559 B561 B563 B565 B567 B569 B571 B573 B575 B577 B579 B581 B583 B585 B587 B589 B591 B593 B595 B597 B599 B601 B603 B605 B607 B609 B611 B613 B615 B617 B619 B621 B623 B625 B627 B629 B631 B633 B635 B637 B639 B641 B643 B645 B647 B649 B651 B653 B655 B657 B659 B661 B663 B665 B667 B669 B671 B673 B675 B677 B679 B681 B683 B685 B687 B689 B691 B693 B695 B697 B699 B701 B703 B705 B707 B709 B711 B713 B715 B717 B719 B721 B723 B725 B727 B729 B731 B733 B735 B737 B739 B741 B743 B745 B747 B749 B751 B753 B755 B757 B759 B761 B763 B765 B767 B769 B771 B773 B775 B777 B779 B781 B783 B785 B787 B789 B791 B793 B795 B797 B799 B801 B803 B805 B807 B809 B811 B813:B814 B816:B817 B819 B821 B823 B825:B826 B828:B829 B831 B833 B835:B836 B838:B839 B841 B843 B845 B847 B849 B851 B853 B855:B857 B860 B865 B869 B879 B881 B883 B887 B892 B894 B896 B903 B908 B910 B912 B918 B922 B924 B926 B932 B936 B938 B940:B941 B943 B945 B951 B957 B959:B961 B969 B973 B975:B977 B983 B988 B990 B992 B994:B996 B998 B1000 B1004 B1006:B1008 B1018:B1020 B1023:B1025 B1031:B1033 B1035 B1040:B1043 B1045:B1047 B1049 B1051 B1055:B1060 B1062 B1064:B1067 B1069 B1071 B1077 B1079:B1081 B1083 B1085 B1093:B1098 B1100 B1102 B1110 B1112:B1116 B1123 B1130:B1132 B1134 B1136 B1138:B1139 B1141 B1150 B1155:B1159 B1161:B1164 B1166 B1174 B1176:B1180 B1182:B1185 B1187 B1189 B1193:B1196 B1198 B1200 B1202 B1204 B1206:B1208 B1210 B1214:B1216 B1218 B1223:B1226 B1228 B1232:B1234 B1236 B1238:B1240 B1242 B1244 B1248 B1250 B1252 B1258 B1260 B1262 B1264 B1268:B1270 B1272 B1276:B1278 B1282:B1284 B1286 B1290:B1292 B1294:B1297 B1299 B1301:B1304 B1306 B1308:B2042">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H6:H79 H81:H171 H173:H186 H188:H281 H283:H393 H395:H405 H407:H413 H415:H431 H433:H435 H437:H471 H473:H477 H479:H493 H495:H501 H503 H505:H858 H860:H1001 H1004:H1041 H1043:H1056 H1058:H1065 H1067:H1078 H1081:H1091 H1093:H1094 H1096:H1110 H1112:H1137 H1139:H1157 H1159:H1161 H1164:H1183 H1185:H1194 H1196:H1200 H1202:H1224 H1226:H1295 H1297:H1302 H1304:H2042">
      <formula1>"Caporale,ouvrier"</formula1>
    </dataValidation>
    <dataValidation type="list" allowBlank="1" showErrorMessage="1" sqref="G6:G858 G860:G1041 G1043:G1110 G1112:G1183 G1185:G1295 G1297:G1302 G1304:G2042">
      <formula1>"HE,JRS "</formula1>
    </dataValidation>
    <dataValidation type="list" allowBlank="1" showErrorMessage="1" sqref="C6:C18 C20 C22:C23 C25 C27 C29 C31 C33 C35 C37 C39 C41 C43 C45 C47 C49 C51 C53 C55 C57 C59 C61 C63 C65 C67 C69 C71 C73 C75 C77 C79 C81 C83 C85 C87:C88 C90 C92 C94 C96 C98:C105 C107:C109 C111 C113 C115 C117 C119:C123 C125 C127 C129 C131 C133 C135:C138 C140 C142:C144 C146:C150 C152:C159 C161 C163 C165:C167 C169 C171 C173:C178 C180 C182:C184 C186 C188:C192 C194 C196 C198 C200 C202:C207 C209 C211 C213 C215:C225 C227 C229 C231 C233 C235:C242 C244 C246 C248 C250 C252 C254 C256:C261 C263 C265 C267:C269 C271:C282 C284:C285 C287 C289 C291 C293 C295 C297 C299 C301 C303:C310 C312 C314 C316:C318 C320:C332 C335 C337:C341 C343:C344 C346 C348 C350:C351 C353 C355 C357 C359 C361 C363 C365 C367 C369 C371 C373 C375 C377 C379 C381 C383 C385 C387 C389 C391 C393 C395 C397 C399 C401 C403 C405 C407 C409 C411 C413 C415 C417 C419 C421 C423 C425 C427 C429 C431 C433 C435 C437 C439 C441 C443 C445 C447 C449 C451 C453 C455 C457 C459 C461 C463 C465 C467 C469 C471 C473 C475 C477 C479 C481 C483 C485 C487 C489 C491 C493 C495 C497 C499 C501 C503 C505 C507 C509 C511 C513 C515 C517 C519:C523 C525 C527 C529 C531 C533 C535:C537 C539 C541 C543:C545 C547 C549 C551 C553 C555 C557 C559 C561 C563 C565 C567 C569 C571 C573 C575 C577 C579 C581:C583 C585 C587 C589 C591 C593:C595 C597 C599 C601 C603 C605 C607 C609 C611 C613 C615 C617 C619 C621 C623 C625 C627 C629 C631 C633:C635 C637 C639 C641 C643 C645 C647 C649 C651 C653 C655 C657 C659 C661 C663 C665 C667 C669 C671 C673 C675 C677 C679 C681 C683 C685:C689 C691 C693 C695 C697:C701 C703 C705 C707 C709:C711 C713 C715 C717 C719 C721 C723 C725 C727 C729 C731 C733 C735 C737 C739 C741 C743 C745 C747 C749 C751:C753 C755 C757 C759 C761 C763 C765 C767 C769 C771 C773 C775 C777 C779:C781 C783 C785 C787 C789 C791 C793 C795 C797 C799 C801 C803 C805 C807 C809 C811 C813:C814 C816:C817 C819 C821 C823 C825:C826 C828:C829 C831 C833 C835:C836 C838:C839 C841 C843 C845 C847 C849 C851 C853 C855:C857 C860 C865 C869 C879 C881:C883 C887 C892 C894:C896 C903:C904 C908 C910 C912 C918 C922 C924:C926 C932 C936 C938:C941 C943:C945 C951 C957:C961 C969 C973 C975:C977 C983 C988 C990 C992 C994:C996 C998 C1000:C1008 C1018 C1020 C1022:C1023 C1025 C1031 C1033 C1035:C1036 C1040:C1047 C1049 C1051:C1053 C1055:C1062 C1064 C1066:C1067 C1069 C1071 C1077:C1081 C1083:C1085 C1091 C1093:C1094 C1096:C1098 C1100 C1102 C1106 C1110 C1112:C1116 C1123 C1130:C1134 C1136:C1137 C1139 C1141 C1150 C1155 C1157 C1159 C1161:C1164 C1166 C1174 C1176:C1180 C1182:C1185 C1187 C1189 C1193:C1196 C1198 C1200 C1202 C1204 C1206 C1208 C1210 C1213:C1216 C1218 C1221 C1223:C1226 C1228 C1231:C1234 C1236:C1240 C1242 C1244 C1248 C1250 C1252 C1258 C1260 C1262 C1264 C1268:C1270 C1272 C1276:C1278 C1282:C1284 C1286 C1290:C1292 C1294:C1297 C1299 C1301:C1304 C1306 C1308:C2042">
      <formula1>"101,102,103,104,105,106,107,108,109,110,111,112,113,114,115,116,117,118,119,120,121,122,123,124,125,126,127,128,129,130,131,132,133,134,135,136,137,138"</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16.63"/>
    <col customWidth="1" min="2" max="2" width="25.63"/>
    <col customWidth="1" min="3" max="3" width="10.63"/>
    <col customWidth="1" min="4" max="4" width="11.25"/>
    <col customWidth="1" min="5" max="5" width="18.5"/>
    <col customWidth="1" min="6" max="6" width="17.75"/>
    <col customWidth="1" min="7" max="7" width="9.75"/>
    <col customWidth="1" min="8" max="8" width="18.25"/>
    <col customWidth="1" min="9" max="9" width="10.75"/>
    <col customWidth="1" min="10" max="10" width="19.5"/>
    <col customWidth="1" min="11" max="13" width="13.88"/>
  </cols>
  <sheetData>
    <row r="1">
      <c r="A1" s="1"/>
      <c r="C1" s="2" t="s">
        <v>0</v>
      </c>
    </row>
    <row r="4">
      <c r="A4" s="3"/>
      <c r="D4" s="4"/>
      <c r="F4" s="5"/>
    </row>
    <row r="5">
      <c r="A5" s="3"/>
      <c r="D5" s="4"/>
      <c r="F5" s="5"/>
    </row>
    <row r="6" ht="27.75" customHeight="1">
      <c r="A6" s="6" t="s">
        <v>1</v>
      </c>
      <c r="B6" s="6" t="s">
        <v>2</v>
      </c>
      <c r="C6" s="6" t="s">
        <v>3</v>
      </c>
      <c r="D6" s="6" t="s">
        <v>4</v>
      </c>
      <c r="E6" s="6" t="s">
        <v>5</v>
      </c>
      <c r="F6" s="6" t="s">
        <v>6</v>
      </c>
      <c r="G6" s="7" t="s">
        <v>7</v>
      </c>
      <c r="H6" s="6" t="s">
        <v>8</v>
      </c>
      <c r="I6" s="6" t="s">
        <v>9</v>
      </c>
      <c r="J6" s="6" t="s">
        <v>10</v>
      </c>
      <c r="K6" s="6" t="s">
        <v>11</v>
      </c>
      <c r="L6" s="6" t="s">
        <v>12</v>
      </c>
      <c r="M6" s="6" t="s">
        <v>13</v>
      </c>
    </row>
    <row r="7" ht="20.25" customHeight="1">
      <c r="A7" s="8">
        <v>46121.0</v>
      </c>
      <c r="B7" s="9" t="s">
        <v>14</v>
      </c>
      <c r="C7" s="10">
        <v>202.0</v>
      </c>
      <c r="D7" s="9">
        <f t="array" ref="D7">IFERROR(_xlfn.XLOOKUP(C7,Code!A:A,Code!B:B),"")</f>
        <v>1.03</v>
      </c>
      <c r="E7" s="11" t="s">
        <v>15</v>
      </c>
      <c r="F7" s="11" t="s">
        <v>15</v>
      </c>
      <c r="G7" s="13" t="s">
        <v>17</v>
      </c>
      <c r="H7" s="14" t="s">
        <v>18</v>
      </c>
      <c r="I7" s="14">
        <v>9.0</v>
      </c>
      <c r="J7" s="14">
        <v>100.0</v>
      </c>
      <c r="K7" s="14">
        <f t="shared" ref="K7:K10" si="1">I7*J7</f>
        <v>900</v>
      </c>
      <c r="L7" s="14">
        <v>20.0</v>
      </c>
      <c r="M7" s="14">
        <v>180.0</v>
      </c>
    </row>
    <row r="8" ht="20.25" customHeight="1">
      <c r="A8" s="15">
        <v>46122.0</v>
      </c>
      <c r="B8" s="16" t="s">
        <v>14</v>
      </c>
      <c r="C8" s="17">
        <v>204.0</v>
      </c>
      <c r="D8" s="16">
        <f t="array" ref="D8">IFERROR(_xlfn.XLOOKUP(C8,Code!A:A,Code!B:B),"")</f>
        <v>0.97</v>
      </c>
      <c r="E8" s="19" t="s">
        <v>15</v>
      </c>
      <c r="F8" s="19" t="s">
        <v>15</v>
      </c>
      <c r="G8" s="20"/>
      <c r="H8" s="22" t="s">
        <v>18</v>
      </c>
      <c r="I8" s="22">
        <v>7.0</v>
      </c>
      <c r="J8" s="22">
        <v>50.0</v>
      </c>
      <c r="K8" s="22">
        <f t="shared" si="1"/>
        <v>350</v>
      </c>
      <c r="L8" s="22">
        <v>20.0</v>
      </c>
      <c r="M8" s="22">
        <v>140.0</v>
      </c>
    </row>
    <row r="9" ht="20.25" customHeight="1">
      <c r="A9" s="8">
        <v>46126.0</v>
      </c>
      <c r="B9" s="9" t="s">
        <v>22</v>
      </c>
      <c r="C9" s="10">
        <v>206.0</v>
      </c>
      <c r="D9" s="9">
        <f t="array" ref="D9">IFERROR(_xlfn.XLOOKUP(C9,Code!A:A,Code!B:B),"")</f>
        <v>1.02</v>
      </c>
      <c r="E9" s="27" t="s">
        <v>23</v>
      </c>
      <c r="F9" s="14" t="s">
        <v>23</v>
      </c>
      <c r="G9" s="13" t="s">
        <v>17</v>
      </c>
      <c r="H9" s="14" t="s">
        <v>18</v>
      </c>
      <c r="I9" s="14">
        <v>4.0</v>
      </c>
      <c r="J9" s="14">
        <v>110.0</v>
      </c>
      <c r="K9" s="14">
        <f t="shared" si="1"/>
        <v>440</v>
      </c>
      <c r="L9" s="14">
        <v>25.0</v>
      </c>
      <c r="M9" s="14">
        <v>100.0</v>
      </c>
    </row>
    <row r="10" ht="20.25" customHeight="1">
      <c r="A10" s="15">
        <v>46126.0</v>
      </c>
      <c r="B10" s="16" t="s">
        <v>22</v>
      </c>
      <c r="C10" s="17">
        <v>213.0</v>
      </c>
      <c r="D10" s="16">
        <f t="array" ref="D10">IFERROR(_xlfn.XLOOKUP(C10,Code!A:A,Code!B:B),"")</f>
        <v>0.71</v>
      </c>
      <c r="E10" s="31" t="s">
        <v>23</v>
      </c>
      <c r="F10" s="22" t="s">
        <v>23</v>
      </c>
      <c r="G10" s="20"/>
      <c r="H10" s="22" t="s">
        <v>18</v>
      </c>
      <c r="I10" s="22">
        <v>4.0</v>
      </c>
      <c r="J10" s="22">
        <v>105.0</v>
      </c>
      <c r="K10" s="22">
        <f t="shared" si="1"/>
        <v>420</v>
      </c>
      <c r="L10" s="22">
        <v>25.0</v>
      </c>
      <c r="M10" s="22">
        <v>100.0</v>
      </c>
    </row>
    <row r="11" ht="20.25" customHeight="1">
      <c r="A11" s="32">
        <v>46181.0</v>
      </c>
      <c r="B11" s="33" t="s">
        <v>26</v>
      </c>
      <c r="C11" s="35">
        <v>208.0</v>
      </c>
      <c r="D11" s="9">
        <f t="array" ref="D11">IFERROR(_xlfn.XLOOKUP(C11,Code!A:A,Code!B:B),"")</f>
        <v>1.02</v>
      </c>
      <c r="E11" s="36" t="s">
        <v>27</v>
      </c>
      <c r="F11" s="36"/>
      <c r="G11" s="13" t="s">
        <v>17</v>
      </c>
      <c r="H11" s="14" t="s">
        <v>25</v>
      </c>
      <c r="I11" s="14">
        <v>1.0</v>
      </c>
      <c r="J11" s="14"/>
      <c r="K11" s="14"/>
      <c r="L11" s="14"/>
      <c r="M11" s="14"/>
    </row>
    <row r="12" ht="20.25" customHeight="1">
      <c r="A12" s="29"/>
      <c r="B12" s="20"/>
      <c r="C12" s="37">
        <v>208.0</v>
      </c>
      <c r="D12" s="16">
        <f t="array" ref="D12">IFERROR(_xlfn.XLOOKUP(C12,Code!A:A,Code!B:B),"")</f>
        <v>1.02</v>
      </c>
      <c r="E12" s="38"/>
      <c r="F12" s="38"/>
      <c r="G12" s="20"/>
      <c r="H12" s="22" t="s">
        <v>18</v>
      </c>
      <c r="I12" s="22">
        <v>22.0</v>
      </c>
      <c r="J12" s="22"/>
      <c r="K12" s="22"/>
      <c r="L12" s="22"/>
      <c r="M12" s="22"/>
    </row>
    <row r="13" ht="20.25" customHeight="1">
      <c r="A13" s="32">
        <v>46182.0</v>
      </c>
      <c r="B13" s="33" t="s">
        <v>26</v>
      </c>
      <c r="C13" s="35">
        <v>209.0</v>
      </c>
      <c r="D13" s="9">
        <f t="array" ref="D13">IFERROR(_xlfn.XLOOKUP(C13,Code!A:A,Code!B:B),"")</f>
        <v>1.15</v>
      </c>
      <c r="E13" s="36" t="s">
        <v>27</v>
      </c>
      <c r="F13" s="36"/>
      <c r="G13" s="13" t="s">
        <v>17</v>
      </c>
      <c r="H13" s="14" t="s">
        <v>25</v>
      </c>
      <c r="I13" s="14">
        <v>1.0</v>
      </c>
      <c r="J13" s="14"/>
      <c r="K13" s="14"/>
      <c r="L13" s="14"/>
      <c r="M13" s="14"/>
    </row>
    <row r="14" ht="20.25" customHeight="1">
      <c r="A14" s="29"/>
      <c r="B14" s="20"/>
      <c r="C14" s="37">
        <v>209.0</v>
      </c>
      <c r="D14" s="16">
        <f t="array" ref="D14">IFERROR(_xlfn.XLOOKUP(C14,Code!A:A,Code!B:B),"")</f>
        <v>1.15</v>
      </c>
      <c r="E14" s="38"/>
      <c r="F14" s="38"/>
      <c r="G14" s="20"/>
      <c r="H14" s="22" t="s">
        <v>18</v>
      </c>
      <c r="I14" s="22">
        <v>22.0</v>
      </c>
      <c r="J14" s="22"/>
      <c r="K14" s="22"/>
      <c r="L14" s="22"/>
      <c r="M14" s="22"/>
    </row>
    <row r="15" ht="20.25" customHeight="1">
      <c r="A15" s="32">
        <v>46183.0</v>
      </c>
      <c r="B15" s="33" t="s">
        <v>26</v>
      </c>
      <c r="C15" s="35">
        <v>213.0</v>
      </c>
      <c r="D15" s="9">
        <f t="array" ref="D15">IFERROR(_xlfn.XLOOKUP(C15,Code!A:A,Code!B:B),"")</f>
        <v>0.71</v>
      </c>
      <c r="E15" s="36" t="s">
        <v>27</v>
      </c>
      <c r="F15" s="36"/>
      <c r="G15" s="13" t="s">
        <v>17</v>
      </c>
      <c r="H15" s="14" t="s">
        <v>25</v>
      </c>
      <c r="I15" s="14">
        <v>1.0</v>
      </c>
      <c r="J15" s="14"/>
      <c r="K15" s="14"/>
      <c r="L15" s="14"/>
      <c r="M15" s="14"/>
    </row>
    <row r="16" ht="20.25" customHeight="1">
      <c r="A16" s="29"/>
      <c r="B16" s="20"/>
      <c r="C16" s="37">
        <v>217.0</v>
      </c>
      <c r="D16" s="16">
        <f t="array" ref="D16">IFERROR(_xlfn.XLOOKUP(C16,Code!A:A,Code!B:B),"")</f>
        <v>0.5</v>
      </c>
      <c r="E16" s="38"/>
      <c r="F16" s="38"/>
      <c r="G16" s="20"/>
      <c r="H16" s="22" t="s">
        <v>18</v>
      </c>
      <c r="I16" s="22">
        <v>20.0</v>
      </c>
      <c r="J16" s="22"/>
      <c r="K16" s="22"/>
      <c r="L16" s="22"/>
      <c r="M16" s="22"/>
    </row>
    <row r="17" ht="20.25" customHeight="1">
      <c r="A17" s="32">
        <v>46184.0</v>
      </c>
      <c r="B17" s="33" t="s">
        <v>26</v>
      </c>
      <c r="C17" s="40">
        <v>217.0</v>
      </c>
      <c r="D17" s="25">
        <v>1.24</v>
      </c>
      <c r="E17" s="36" t="s">
        <v>27</v>
      </c>
      <c r="F17" s="13"/>
      <c r="G17" s="13" t="s">
        <v>17</v>
      </c>
      <c r="H17" s="14" t="s">
        <v>25</v>
      </c>
      <c r="I17" s="14">
        <v>1.0</v>
      </c>
      <c r="J17" s="14"/>
      <c r="K17" s="14"/>
      <c r="L17" s="14"/>
      <c r="M17" s="14"/>
    </row>
    <row r="18" ht="20.25" customHeight="1">
      <c r="A18" s="29"/>
      <c r="B18" s="20"/>
      <c r="C18" s="41">
        <v>210.0</v>
      </c>
      <c r="D18" s="20"/>
      <c r="E18" s="38"/>
      <c r="F18" s="20"/>
      <c r="G18" s="20"/>
      <c r="H18" s="22" t="s">
        <v>18</v>
      </c>
      <c r="I18" s="22">
        <v>22.0</v>
      </c>
      <c r="J18" s="22"/>
      <c r="K18" s="22"/>
      <c r="L18" s="22"/>
      <c r="M18" s="22"/>
    </row>
    <row r="19" ht="20.25" customHeight="1">
      <c r="A19" s="32">
        <v>46185.0</v>
      </c>
      <c r="B19" s="33" t="s">
        <v>26</v>
      </c>
      <c r="C19" s="35">
        <v>210.0</v>
      </c>
      <c r="D19" s="25">
        <v>1.76</v>
      </c>
      <c r="E19" s="36" t="s">
        <v>27</v>
      </c>
      <c r="F19" s="14"/>
      <c r="G19" s="13" t="s">
        <v>17</v>
      </c>
      <c r="H19" s="14" t="s">
        <v>25</v>
      </c>
      <c r="I19" s="14">
        <v>1.0</v>
      </c>
      <c r="J19" s="14"/>
      <c r="K19" s="14"/>
      <c r="L19" s="14"/>
      <c r="M19" s="14"/>
    </row>
    <row r="20" ht="20.25" customHeight="1">
      <c r="A20" s="29"/>
      <c r="B20" s="20"/>
      <c r="C20" s="37">
        <v>211.0</v>
      </c>
      <c r="D20" s="20"/>
      <c r="E20" s="38"/>
      <c r="F20" s="22"/>
      <c r="G20" s="20"/>
      <c r="H20" s="22" t="s">
        <v>18</v>
      </c>
      <c r="I20" s="22">
        <v>24.0</v>
      </c>
      <c r="J20" s="22"/>
      <c r="K20" s="22"/>
      <c r="L20" s="22"/>
      <c r="M20" s="22"/>
    </row>
    <row r="21" ht="20.25" customHeight="1">
      <c r="A21" s="32">
        <v>46186.0</v>
      </c>
      <c r="B21" s="33" t="s">
        <v>26</v>
      </c>
      <c r="C21" s="35">
        <v>212.0</v>
      </c>
      <c r="D21" s="25">
        <v>3.05</v>
      </c>
      <c r="E21" s="36" t="s">
        <v>27</v>
      </c>
      <c r="F21" s="14"/>
      <c r="G21" s="13" t="s">
        <v>17</v>
      </c>
      <c r="H21" s="14" t="s">
        <v>25</v>
      </c>
      <c r="I21" s="14">
        <v>0.0</v>
      </c>
      <c r="J21" s="14"/>
      <c r="K21" s="14"/>
      <c r="L21" s="14"/>
      <c r="M21" s="14"/>
    </row>
    <row r="22" ht="20.25" customHeight="1">
      <c r="A22" s="29"/>
      <c r="B22" s="29"/>
      <c r="C22" s="37">
        <v>211.0</v>
      </c>
      <c r="D22" s="29"/>
      <c r="E22" s="56"/>
      <c r="F22" s="22"/>
      <c r="G22" s="29"/>
      <c r="H22" s="39" t="s">
        <v>18</v>
      </c>
      <c r="I22" s="39">
        <v>19.0</v>
      </c>
      <c r="J22" s="22"/>
      <c r="K22" s="22"/>
      <c r="L22" s="22"/>
      <c r="M22" s="22"/>
    </row>
    <row r="23" ht="20.25" customHeight="1">
      <c r="A23" s="57"/>
      <c r="B23" s="58"/>
      <c r="C23" s="35">
        <v>214.0</v>
      </c>
      <c r="D23" s="58"/>
      <c r="E23" s="59"/>
      <c r="F23" s="14"/>
      <c r="G23" s="58"/>
      <c r="H23" s="58"/>
      <c r="I23" s="58"/>
      <c r="J23" s="14"/>
      <c r="K23" s="14"/>
      <c r="L23" s="14"/>
      <c r="M23" s="14"/>
    </row>
    <row r="24" ht="20.25" customHeight="1">
      <c r="A24" s="61">
        <v>46188.0</v>
      </c>
      <c r="B24" s="63" t="s">
        <v>26</v>
      </c>
      <c r="C24" s="37">
        <v>212.0</v>
      </c>
      <c r="D24" s="64">
        <v>1.72</v>
      </c>
      <c r="E24" s="65" t="s">
        <v>27</v>
      </c>
      <c r="F24" s="22"/>
      <c r="G24" s="39" t="s">
        <v>17</v>
      </c>
      <c r="H24" s="22" t="s">
        <v>25</v>
      </c>
      <c r="I24" s="22">
        <v>1.0</v>
      </c>
      <c r="J24" s="22"/>
      <c r="K24" s="22"/>
      <c r="L24" s="22"/>
      <c r="M24" s="22"/>
    </row>
    <row r="25" ht="20.25" customHeight="1">
      <c r="A25" s="57"/>
      <c r="B25" s="57"/>
      <c r="C25" s="23">
        <v>214.0</v>
      </c>
      <c r="D25" s="57"/>
      <c r="E25" s="70"/>
      <c r="F25" s="14"/>
      <c r="G25" s="57"/>
      <c r="H25" s="13" t="s">
        <v>18</v>
      </c>
      <c r="I25" s="13">
        <v>23.0</v>
      </c>
      <c r="J25" s="14"/>
      <c r="K25" s="14"/>
      <c r="L25" s="14"/>
      <c r="M25" s="14"/>
    </row>
    <row r="26" ht="20.25" customHeight="1">
      <c r="A26" s="29"/>
      <c r="B26" s="20"/>
      <c r="C26" s="20"/>
      <c r="D26" s="20"/>
      <c r="E26" s="38"/>
      <c r="F26" s="22"/>
      <c r="G26" s="20"/>
      <c r="H26" s="20"/>
      <c r="I26" s="20"/>
      <c r="J26" s="22"/>
      <c r="K26" s="22"/>
      <c r="L26" s="22"/>
      <c r="M26" s="22"/>
    </row>
    <row r="27" ht="20.25" customHeight="1">
      <c r="A27" s="71">
        <v>46189.0</v>
      </c>
      <c r="B27" s="21" t="s">
        <v>30</v>
      </c>
      <c r="C27" s="23">
        <v>214.0</v>
      </c>
      <c r="D27" s="25">
        <v>1.01</v>
      </c>
      <c r="E27" s="36" t="s">
        <v>27</v>
      </c>
      <c r="F27" s="14"/>
      <c r="G27" s="13" t="s">
        <v>17</v>
      </c>
      <c r="H27" s="14" t="s">
        <v>25</v>
      </c>
      <c r="I27" s="14">
        <v>1.0</v>
      </c>
      <c r="J27" s="14"/>
      <c r="K27" s="14"/>
      <c r="L27" s="14"/>
      <c r="M27" s="14"/>
    </row>
    <row r="28" ht="20.25" customHeight="1">
      <c r="A28" s="29"/>
      <c r="B28" s="29"/>
      <c r="C28" s="29"/>
      <c r="D28" s="29"/>
      <c r="E28" s="56"/>
      <c r="F28" s="22"/>
      <c r="G28" s="29"/>
      <c r="H28" s="39" t="s">
        <v>18</v>
      </c>
      <c r="I28" s="39">
        <v>20.0</v>
      </c>
      <c r="J28" s="22"/>
      <c r="K28" s="22"/>
      <c r="L28" s="22"/>
      <c r="M28" s="22"/>
    </row>
    <row r="29" ht="20.25" customHeight="1">
      <c r="A29" s="57"/>
      <c r="B29" s="58"/>
      <c r="C29" s="58"/>
      <c r="D29" s="58"/>
      <c r="E29" s="59"/>
      <c r="F29" s="14"/>
      <c r="G29" s="58"/>
      <c r="H29" s="58"/>
      <c r="I29" s="58"/>
      <c r="J29" s="14"/>
      <c r="K29" s="14"/>
      <c r="L29" s="14"/>
      <c r="M29" s="14"/>
    </row>
    <row r="30" ht="20.25" customHeight="1">
      <c r="A30" s="61">
        <v>46190.0</v>
      </c>
      <c r="B30" s="78" t="s">
        <v>30</v>
      </c>
      <c r="C30" s="79">
        <v>214.0</v>
      </c>
      <c r="D30" s="64">
        <v>1.01</v>
      </c>
      <c r="E30" s="65" t="s">
        <v>27</v>
      </c>
      <c r="F30" s="22"/>
      <c r="G30" s="39" t="s">
        <v>17</v>
      </c>
      <c r="H30" s="22" t="s">
        <v>25</v>
      </c>
      <c r="I30" s="22">
        <v>1.0</v>
      </c>
      <c r="J30" s="22"/>
      <c r="K30" s="22"/>
      <c r="L30" s="22"/>
      <c r="M30" s="22"/>
    </row>
    <row r="31" ht="20.25" customHeight="1">
      <c r="A31" s="57"/>
      <c r="B31" s="57"/>
      <c r="C31" s="57"/>
      <c r="D31" s="57"/>
      <c r="E31" s="70"/>
      <c r="F31" s="14"/>
      <c r="G31" s="57"/>
      <c r="H31" s="13" t="s">
        <v>18</v>
      </c>
      <c r="I31" s="13">
        <v>23.0</v>
      </c>
      <c r="J31" s="14"/>
      <c r="K31" s="14"/>
      <c r="L31" s="14"/>
      <c r="M31" s="14"/>
    </row>
    <row r="32" ht="20.25" customHeight="1">
      <c r="A32" s="29"/>
      <c r="B32" s="20"/>
      <c r="C32" s="20"/>
      <c r="D32" s="20"/>
      <c r="E32" s="38"/>
      <c r="F32" s="22"/>
      <c r="G32" s="20"/>
      <c r="H32" s="20"/>
      <c r="I32" s="20"/>
      <c r="J32" s="22"/>
      <c r="K32" s="22"/>
      <c r="L32" s="22"/>
      <c r="M32" s="22"/>
    </row>
    <row r="33" ht="20.25" customHeight="1">
      <c r="A33" s="71">
        <v>46191.0</v>
      </c>
      <c r="B33" s="21" t="s">
        <v>30</v>
      </c>
      <c r="C33" s="23">
        <v>214.0</v>
      </c>
      <c r="D33" s="25">
        <v>1.97</v>
      </c>
      <c r="E33" s="36" t="s">
        <v>27</v>
      </c>
      <c r="F33" s="14"/>
      <c r="G33" s="13" t="s">
        <v>17</v>
      </c>
      <c r="H33" s="14" t="s">
        <v>25</v>
      </c>
      <c r="I33" s="14">
        <v>1.0</v>
      </c>
      <c r="J33" s="14"/>
      <c r="K33" s="14"/>
      <c r="L33" s="14"/>
      <c r="M33" s="14"/>
    </row>
    <row r="34" ht="20.25" customHeight="1">
      <c r="A34" s="29"/>
      <c r="B34" s="29"/>
      <c r="C34" s="91">
        <v>215.0</v>
      </c>
      <c r="D34" s="29"/>
      <c r="E34" s="56"/>
      <c r="F34" s="22"/>
      <c r="G34" s="29"/>
      <c r="H34" s="39" t="s">
        <v>18</v>
      </c>
      <c r="I34" s="39">
        <v>23.0</v>
      </c>
      <c r="J34" s="22"/>
      <c r="K34" s="22"/>
      <c r="L34" s="22"/>
      <c r="M34" s="22"/>
    </row>
    <row r="35" ht="20.25" customHeight="1">
      <c r="A35" s="57"/>
      <c r="B35" s="58"/>
      <c r="C35" s="58"/>
      <c r="D35" s="58"/>
      <c r="E35" s="59"/>
      <c r="F35" s="14"/>
      <c r="G35" s="58"/>
      <c r="H35" s="58"/>
      <c r="I35" s="58"/>
      <c r="J35" s="14"/>
      <c r="K35" s="14"/>
      <c r="L35" s="14"/>
      <c r="M35" s="14"/>
    </row>
    <row r="36" ht="20.25" customHeight="1">
      <c r="A36" s="15">
        <v>46192.0</v>
      </c>
      <c r="B36" s="64" t="s">
        <v>30</v>
      </c>
      <c r="C36" s="79">
        <v>215.0</v>
      </c>
      <c r="D36" s="64">
        <v>0.96</v>
      </c>
      <c r="E36" s="93" t="s">
        <v>27</v>
      </c>
      <c r="F36" s="22"/>
      <c r="G36" s="39" t="s">
        <v>17</v>
      </c>
      <c r="H36" s="22" t="s">
        <v>25</v>
      </c>
      <c r="I36" s="22">
        <v>1.0</v>
      </c>
      <c r="J36" s="22"/>
      <c r="K36" s="22"/>
      <c r="L36" s="22"/>
      <c r="M36" s="22"/>
    </row>
    <row r="37" ht="20.25" customHeight="1">
      <c r="A37" s="57"/>
      <c r="B37" s="58"/>
      <c r="C37" s="58"/>
      <c r="D37" s="58"/>
      <c r="E37" s="59"/>
      <c r="F37" s="14"/>
      <c r="G37" s="58"/>
      <c r="H37" s="14" t="s">
        <v>18</v>
      </c>
      <c r="I37" s="14">
        <v>23.0</v>
      </c>
      <c r="J37" s="14"/>
      <c r="K37" s="14"/>
      <c r="L37" s="14"/>
      <c r="M37" s="14"/>
    </row>
    <row r="38" ht="20.25" customHeight="1">
      <c r="A38" s="15">
        <v>46193.0</v>
      </c>
      <c r="B38" s="64" t="s">
        <v>30</v>
      </c>
      <c r="C38" s="96">
        <v>201.0</v>
      </c>
      <c r="D38" s="64">
        <v>0.96</v>
      </c>
      <c r="E38" s="93" t="s">
        <v>27</v>
      </c>
      <c r="F38" s="22"/>
      <c r="G38" s="39" t="s">
        <v>17</v>
      </c>
      <c r="H38" s="22" t="s">
        <v>25</v>
      </c>
      <c r="I38" s="22">
        <v>1.0</v>
      </c>
      <c r="J38" s="22"/>
      <c r="K38" s="22"/>
      <c r="L38" s="22"/>
      <c r="M38" s="22"/>
    </row>
    <row r="39" ht="20.25" customHeight="1">
      <c r="A39" s="57"/>
      <c r="B39" s="58"/>
      <c r="C39" s="58"/>
      <c r="D39" s="58"/>
      <c r="E39" s="59"/>
      <c r="F39" s="14"/>
      <c r="G39" s="58"/>
      <c r="H39" s="14" t="s">
        <v>18</v>
      </c>
      <c r="I39" s="14">
        <v>20.0</v>
      </c>
      <c r="J39" s="14"/>
      <c r="K39" s="14"/>
      <c r="L39" s="14"/>
      <c r="M39" s="14"/>
    </row>
    <row r="40" ht="20.25" customHeight="1">
      <c r="A40" s="15">
        <v>46194.0</v>
      </c>
      <c r="B40" s="64" t="s">
        <v>30</v>
      </c>
      <c r="C40" s="96">
        <v>202.0</v>
      </c>
      <c r="D40" s="64">
        <v>1.03</v>
      </c>
      <c r="E40" s="93" t="s">
        <v>27</v>
      </c>
      <c r="F40" s="22"/>
      <c r="G40" s="39" t="s">
        <v>17</v>
      </c>
      <c r="H40" s="22" t="s">
        <v>25</v>
      </c>
      <c r="I40" s="22">
        <v>1.0</v>
      </c>
      <c r="J40" s="22"/>
      <c r="K40" s="22"/>
      <c r="L40" s="22"/>
      <c r="M40" s="22"/>
    </row>
    <row r="41" ht="20.25" customHeight="1">
      <c r="A41" s="57"/>
      <c r="B41" s="58"/>
      <c r="C41" s="58"/>
      <c r="D41" s="58"/>
      <c r="E41" s="59"/>
      <c r="F41" s="14"/>
      <c r="G41" s="58"/>
      <c r="H41" s="14" t="s">
        <v>18</v>
      </c>
      <c r="I41" s="14">
        <v>21.0</v>
      </c>
      <c r="J41" s="14" t="s">
        <v>43</v>
      </c>
      <c r="K41" s="14"/>
      <c r="L41" s="14"/>
      <c r="M41" s="14"/>
    </row>
    <row r="42" ht="20.25" customHeight="1">
      <c r="A42" s="15">
        <v>46195.0</v>
      </c>
      <c r="B42" s="64" t="s">
        <v>30</v>
      </c>
      <c r="C42" s="96">
        <v>202.0</v>
      </c>
      <c r="D42" s="64">
        <v>2.0</v>
      </c>
      <c r="E42" s="93" t="s">
        <v>27</v>
      </c>
      <c r="F42" s="22"/>
      <c r="G42" s="39" t="s">
        <v>17</v>
      </c>
      <c r="H42" s="22" t="s">
        <v>25</v>
      </c>
      <c r="I42" s="22">
        <v>1.0</v>
      </c>
      <c r="J42" s="22"/>
      <c r="K42" s="22"/>
      <c r="L42" s="22"/>
      <c r="M42" s="22"/>
    </row>
    <row r="43" ht="20.25" customHeight="1">
      <c r="A43" s="57"/>
      <c r="B43" s="58"/>
      <c r="C43" s="111">
        <v>204.0</v>
      </c>
      <c r="D43" s="58"/>
      <c r="E43" s="59"/>
      <c r="F43" s="14"/>
      <c r="G43" s="58"/>
      <c r="H43" s="14" t="s">
        <v>18</v>
      </c>
      <c r="I43" s="14">
        <v>17.0</v>
      </c>
      <c r="J43" s="14"/>
      <c r="K43" s="14"/>
      <c r="L43" s="14"/>
      <c r="M43" s="14"/>
    </row>
    <row r="44" ht="20.25" customHeight="1">
      <c r="A44" s="15">
        <v>46196.0</v>
      </c>
      <c r="B44" s="64" t="s">
        <v>30</v>
      </c>
      <c r="C44" s="96">
        <v>203.0</v>
      </c>
      <c r="D44" s="64">
        <v>1.73</v>
      </c>
      <c r="E44" s="93" t="s">
        <v>27</v>
      </c>
      <c r="F44" s="22"/>
      <c r="G44" s="39" t="s">
        <v>17</v>
      </c>
      <c r="H44" s="22" t="s">
        <v>25</v>
      </c>
      <c r="I44" s="22">
        <v>0.0</v>
      </c>
      <c r="J44" s="22"/>
      <c r="K44" s="22"/>
      <c r="L44" s="22"/>
      <c r="M44" s="22"/>
    </row>
    <row r="45" ht="20.25" customHeight="1">
      <c r="A45" s="57"/>
      <c r="B45" s="125" t="s">
        <v>45</v>
      </c>
      <c r="C45" s="111">
        <v>204.0</v>
      </c>
      <c r="D45" s="58"/>
      <c r="E45" s="59"/>
      <c r="F45" s="14"/>
      <c r="G45" s="58"/>
      <c r="H45" s="14" t="s">
        <v>18</v>
      </c>
      <c r="I45" s="14">
        <v>17.0</v>
      </c>
      <c r="J45" s="14"/>
      <c r="K45" s="14"/>
      <c r="L45" s="14"/>
      <c r="M45" s="14"/>
    </row>
    <row r="46" ht="20.25" customHeight="1">
      <c r="A46" s="15">
        <v>46197.0</v>
      </c>
      <c r="B46" s="64" t="s">
        <v>30</v>
      </c>
      <c r="C46" s="96">
        <v>205.0</v>
      </c>
      <c r="D46" s="64">
        <v>2.74</v>
      </c>
      <c r="E46" s="93" t="s">
        <v>27</v>
      </c>
      <c r="F46" s="22"/>
      <c r="G46" s="39" t="s">
        <v>17</v>
      </c>
      <c r="H46" s="22" t="s">
        <v>25</v>
      </c>
      <c r="I46" s="22">
        <v>1.0</v>
      </c>
      <c r="J46" s="22"/>
      <c r="K46" s="22"/>
      <c r="L46" s="22"/>
      <c r="M46" s="22"/>
    </row>
    <row r="47" ht="20.25" customHeight="1">
      <c r="A47" s="57"/>
      <c r="B47" s="132" t="s">
        <v>45</v>
      </c>
      <c r="C47" s="133">
        <v>203.0</v>
      </c>
      <c r="D47" s="57"/>
      <c r="E47" s="70"/>
      <c r="F47" s="14"/>
      <c r="G47" s="57"/>
      <c r="H47" s="13" t="s">
        <v>18</v>
      </c>
      <c r="I47" s="13">
        <v>21.0</v>
      </c>
      <c r="J47" s="14"/>
      <c r="K47" s="14"/>
      <c r="L47" s="14"/>
      <c r="M47" s="14"/>
    </row>
    <row r="48" ht="20.25" customHeight="1">
      <c r="A48" s="29"/>
      <c r="B48" s="20"/>
      <c r="C48" s="41">
        <v>204.0</v>
      </c>
      <c r="D48" s="20"/>
      <c r="E48" s="38"/>
      <c r="F48" s="22"/>
      <c r="G48" s="20"/>
      <c r="H48" s="20"/>
      <c r="I48" s="20"/>
      <c r="J48" s="22"/>
      <c r="K48" s="22"/>
      <c r="L48" s="22"/>
      <c r="M48" s="22"/>
    </row>
    <row r="49" ht="20.25" customHeight="1">
      <c r="A49" s="8">
        <v>46198.0</v>
      </c>
      <c r="B49" s="25" t="s">
        <v>30</v>
      </c>
      <c r="C49" s="40">
        <v>204.0</v>
      </c>
      <c r="D49" s="25">
        <v>1.98</v>
      </c>
      <c r="E49" s="135" t="s">
        <v>27</v>
      </c>
      <c r="F49" s="14"/>
      <c r="G49" s="13" t="s">
        <v>17</v>
      </c>
      <c r="H49" s="14" t="s">
        <v>25</v>
      </c>
      <c r="I49" s="14">
        <v>1.0</v>
      </c>
      <c r="J49" s="14"/>
      <c r="K49" s="14"/>
      <c r="L49" s="14"/>
      <c r="M49" s="14"/>
    </row>
    <row r="50" ht="20.25" customHeight="1">
      <c r="A50" s="29"/>
      <c r="B50" s="137" t="s">
        <v>45</v>
      </c>
      <c r="C50" s="138">
        <v>205.0</v>
      </c>
      <c r="D50" s="29"/>
      <c r="E50" s="56"/>
      <c r="F50" s="22"/>
      <c r="G50" s="29"/>
      <c r="H50" s="39" t="s">
        <v>18</v>
      </c>
      <c r="I50" s="39">
        <v>22.0</v>
      </c>
      <c r="J50" s="22"/>
      <c r="K50" s="22"/>
      <c r="L50" s="22"/>
      <c r="M50" s="22"/>
    </row>
    <row r="51" ht="20.25" customHeight="1">
      <c r="A51" s="57"/>
      <c r="B51" s="58"/>
      <c r="C51" s="58"/>
      <c r="D51" s="58"/>
      <c r="E51" s="59"/>
      <c r="F51" s="14"/>
      <c r="G51" s="58"/>
      <c r="H51" s="58"/>
      <c r="I51" s="58"/>
      <c r="J51" s="14"/>
      <c r="K51" s="14"/>
      <c r="L51" s="14"/>
      <c r="M51" s="14"/>
    </row>
    <row r="52" ht="20.25" customHeight="1">
      <c r="A52" s="15">
        <v>46199.0</v>
      </c>
      <c r="B52" s="64" t="s">
        <v>30</v>
      </c>
      <c r="C52" s="96">
        <v>204.0</v>
      </c>
      <c r="D52" s="64">
        <v>3.0</v>
      </c>
      <c r="E52" s="93" t="s">
        <v>27</v>
      </c>
      <c r="F52" s="22"/>
      <c r="G52" s="39" t="s">
        <v>17</v>
      </c>
      <c r="H52" s="22" t="s">
        <v>25</v>
      </c>
      <c r="I52" s="22">
        <v>1.0</v>
      </c>
      <c r="J52" s="22"/>
      <c r="K52" s="22"/>
      <c r="L52" s="22"/>
      <c r="M52" s="22"/>
    </row>
    <row r="53" ht="20.25" customHeight="1">
      <c r="A53" s="57"/>
      <c r="B53" s="132" t="s">
        <v>45</v>
      </c>
      <c r="C53" s="133">
        <v>205.0</v>
      </c>
      <c r="D53" s="57"/>
      <c r="E53" s="70"/>
      <c r="F53" s="14"/>
      <c r="G53" s="57"/>
      <c r="H53" s="13" t="s">
        <v>18</v>
      </c>
      <c r="I53" s="13">
        <v>22.0</v>
      </c>
      <c r="J53" s="14"/>
      <c r="K53" s="14"/>
      <c r="L53" s="14"/>
      <c r="M53" s="14"/>
    </row>
    <row r="54" ht="20.25" customHeight="1">
      <c r="A54" s="29"/>
      <c r="B54" s="20"/>
      <c r="C54" s="41">
        <v>206.0</v>
      </c>
      <c r="D54" s="20"/>
      <c r="E54" s="38"/>
      <c r="F54" s="22"/>
      <c r="G54" s="20"/>
      <c r="H54" s="20"/>
      <c r="I54" s="20"/>
      <c r="J54" s="22"/>
      <c r="K54" s="22"/>
      <c r="L54" s="22"/>
      <c r="M54" s="22"/>
    </row>
    <row r="55" ht="20.25" customHeight="1">
      <c r="A55" s="8">
        <v>46256.0</v>
      </c>
      <c r="B55" s="145"/>
      <c r="C55" s="146">
        <v>201.0</v>
      </c>
      <c r="D55" s="147">
        <v>0.96</v>
      </c>
      <c r="E55" s="25" t="s">
        <v>53</v>
      </c>
      <c r="F55" s="13" t="s">
        <v>54</v>
      </c>
      <c r="G55" s="14" t="s">
        <v>17</v>
      </c>
      <c r="H55" s="14" t="s">
        <v>25</v>
      </c>
      <c r="I55" s="14">
        <v>1.0</v>
      </c>
      <c r="J55" s="14">
        <v>120.0</v>
      </c>
      <c r="K55" s="13">
        <v>1320.0</v>
      </c>
      <c r="L55" s="13">
        <v>30.0</v>
      </c>
      <c r="M55" s="13">
        <v>390.0</v>
      </c>
    </row>
    <row r="56" ht="20.25" customHeight="1">
      <c r="A56" s="29"/>
      <c r="B56" s="20"/>
      <c r="C56" s="20"/>
      <c r="D56" s="20"/>
      <c r="E56" s="20"/>
      <c r="F56" s="20"/>
      <c r="G56" s="22" t="s">
        <v>17</v>
      </c>
      <c r="H56" s="22" t="s">
        <v>18</v>
      </c>
      <c r="I56" s="22">
        <v>12.0</v>
      </c>
      <c r="J56" s="22">
        <v>100.0</v>
      </c>
      <c r="K56" s="20"/>
      <c r="L56" s="20"/>
      <c r="M56" s="20"/>
    </row>
    <row r="57" ht="20.25" customHeight="1">
      <c r="A57" s="8">
        <v>46256.0</v>
      </c>
      <c r="B57" s="145"/>
      <c r="C57" s="146">
        <v>202.0</v>
      </c>
      <c r="D57" s="147">
        <v>1.03</v>
      </c>
      <c r="E57" s="25" t="s">
        <v>57</v>
      </c>
      <c r="F57" s="13" t="s">
        <v>23</v>
      </c>
      <c r="G57" s="14" t="s">
        <v>17</v>
      </c>
      <c r="H57" s="14" t="s">
        <v>25</v>
      </c>
      <c r="I57" s="14">
        <v>0.0</v>
      </c>
      <c r="J57" s="14">
        <v>0.0</v>
      </c>
      <c r="K57" s="13">
        <v>1600.0</v>
      </c>
      <c r="L57" s="13">
        <v>25.0</v>
      </c>
      <c r="M57" s="13">
        <v>400.0</v>
      </c>
    </row>
    <row r="58" ht="20.25" customHeight="1">
      <c r="A58" s="29"/>
      <c r="B58" s="20"/>
      <c r="C58" s="20"/>
      <c r="D58" s="20"/>
      <c r="E58" s="20"/>
      <c r="F58" s="20"/>
      <c r="G58" s="22" t="s">
        <v>17</v>
      </c>
      <c r="H58" s="22" t="s">
        <v>18</v>
      </c>
      <c r="I58" s="22">
        <v>16.0</v>
      </c>
      <c r="J58" s="22">
        <v>100.0</v>
      </c>
      <c r="K58" s="20"/>
      <c r="L58" s="20"/>
      <c r="M58" s="20"/>
    </row>
    <row r="59" ht="20.25" customHeight="1">
      <c r="A59" s="8"/>
      <c r="B59" s="150"/>
      <c r="C59" s="151"/>
      <c r="D59" s="9"/>
      <c r="E59" s="27"/>
      <c r="F59" s="14"/>
      <c r="G59" s="14"/>
      <c r="H59" s="14"/>
      <c r="I59" s="14"/>
      <c r="J59" s="14"/>
      <c r="K59" s="14"/>
      <c r="L59" s="14"/>
      <c r="M59" s="14"/>
    </row>
    <row r="60" ht="20.25" customHeight="1">
      <c r="A60" s="15"/>
      <c r="B60" s="153"/>
      <c r="C60" s="154"/>
      <c r="D60" s="16"/>
      <c r="E60" s="31"/>
      <c r="F60" s="22"/>
      <c r="G60" s="22"/>
      <c r="H60" s="22"/>
      <c r="I60" s="22"/>
      <c r="J60" s="22"/>
      <c r="K60" s="22"/>
      <c r="L60" s="22"/>
      <c r="M60" s="22"/>
    </row>
    <row r="61" ht="20.25" customHeight="1">
      <c r="A61" s="8"/>
      <c r="B61" s="150"/>
      <c r="C61" s="151"/>
      <c r="D61" s="9"/>
      <c r="E61" s="27"/>
      <c r="F61" s="14"/>
      <c r="G61" s="14"/>
      <c r="H61" s="14"/>
      <c r="I61" s="14"/>
      <c r="J61" s="14"/>
      <c r="K61" s="14"/>
      <c r="L61" s="14"/>
      <c r="M61" s="14"/>
    </row>
    <row r="62" ht="20.25" customHeight="1">
      <c r="A62" s="15"/>
      <c r="B62" s="153"/>
      <c r="C62" s="154"/>
      <c r="D62" s="16"/>
      <c r="E62" s="31"/>
      <c r="F62" s="22"/>
      <c r="G62" s="22"/>
      <c r="H62" s="22"/>
      <c r="I62" s="22"/>
      <c r="J62" s="22"/>
      <c r="K62" s="22"/>
      <c r="L62" s="22"/>
      <c r="M62" s="22"/>
    </row>
    <row r="63" ht="20.25" customHeight="1">
      <c r="A63" s="8"/>
      <c r="B63" s="9"/>
      <c r="C63" s="35"/>
      <c r="D63" s="9"/>
      <c r="E63" s="27"/>
      <c r="F63" s="14"/>
      <c r="G63" s="14"/>
      <c r="H63" s="14"/>
      <c r="I63" s="14"/>
      <c r="J63" s="14"/>
      <c r="K63" s="14"/>
      <c r="L63" s="14"/>
      <c r="M63" s="14"/>
    </row>
    <row r="64" ht="20.25" customHeight="1">
      <c r="A64" s="157"/>
      <c r="B64" s="158"/>
      <c r="C64" s="158"/>
      <c r="D64" s="159"/>
      <c r="E64" s="115"/>
      <c r="F64" s="115"/>
      <c r="G64" s="115"/>
      <c r="H64" s="115"/>
      <c r="I64" s="115"/>
      <c r="J64" s="115"/>
      <c r="K64" s="115"/>
      <c r="L64" s="115"/>
      <c r="M64" s="115"/>
    </row>
    <row r="65" ht="20.25" customHeight="1">
      <c r="A65" s="161"/>
      <c r="B65" s="162"/>
      <c r="C65" s="162"/>
      <c r="D65" s="163"/>
      <c r="E65" s="124"/>
      <c r="F65" s="124"/>
      <c r="G65" s="124"/>
      <c r="H65" s="124"/>
      <c r="I65" s="124"/>
      <c r="J65" s="124"/>
      <c r="K65" s="124"/>
      <c r="L65" s="124"/>
      <c r="M65" s="124"/>
    </row>
    <row r="66" ht="20.25" customHeight="1">
      <c r="A66" s="157"/>
      <c r="B66" s="158"/>
      <c r="C66" s="158"/>
      <c r="D66" s="159"/>
      <c r="E66" s="115"/>
      <c r="F66" s="115"/>
      <c r="G66" s="115"/>
      <c r="H66" s="115"/>
      <c r="I66" s="115"/>
      <c r="J66" s="115"/>
      <c r="K66" s="115"/>
      <c r="L66" s="115"/>
      <c r="M66" s="115"/>
    </row>
    <row r="67" ht="20.25" customHeight="1">
      <c r="A67" s="161"/>
      <c r="B67" s="162"/>
      <c r="C67" s="162"/>
      <c r="D67" s="163"/>
      <c r="E67" s="124"/>
      <c r="F67" s="124"/>
      <c r="G67" s="124"/>
      <c r="H67" s="124"/>
      <c r="I67" s="124"/>
      <c r="J67" s="124"/>
      <c r="K67" s="124"/>
      <c r="L67" s="124"/>
      <c r="M67" s="124"/>
    </row>
    <row r="68" ht="20.25" customHeight="1">
      <c r="A68" s="157"/>
      <c r="B68" s="159"/>
      <c r="C68" s="159"/>
      <c r="D68" s="159"/>
      <c r="E68" s="115"/>
      <c r="F68" s="115"/>
      <c r="G68" s="115"/>
      <c r="H68" s="115"/>
      <c r="I68" s="115"/>
      <c r="J68" s="115"/>
      <c r="K68" s="115"/>
      <c r="L68" s="115"/>
      <c r="M68" s="115"/>
    </row>
    <row r="69" ht="20.25" customHeight="1">
      <c r="A69" s="166"/>
      <c r="B69" s="163"/>
      <c r="C69" s="163"/>
      <c r="D69" s="163" t="str">
        <f t="array" ref="D69">IFERROR(_xlfn.XLOOKUP(C69,Code!A:A,Code!B:B),"")</f>
        <v/>
      </c>
      <c r="E69" s="124"/>
      <c r="F69" s="124"/>
      <c r="G69" s="124"/>
      <c r="H69" s="124"/>
      <c r="I69" s="124"/>
      <c r="J69" s="124"/>
      <c r="K69" s="124"/>
      <c r="L69" s="124"/>
      <c r="M69" s="124"/>
    </row>
    <row r="70" ht="20.25" customHeight="1">
      <c r="A70" s="175"/>
      <c r="B70" s="159"/>
      <c r="C70" s="159"/>
      <c r="D70" s="159" t="str">
        <f t="array" ref="D70">IFERROR(_xlfn.XLOOKUP(C70,Code!A:A,Code!B:B),"")</f>
        <v/>
      </c>
      <c r="E70" s="115"/>
      <c r="F70" s="115"/>
      <c r="G70" s="115"/>
      <c r="H70" s="115"/>
      <c r="I70" s="115"/>
      <c r="J70" s="115"/>
      <c r="K70" s="115"/>
      <c r="L70" s="115"/>
      <c r="M70" s="115"/>
    </row>
    <row r="71" ht="20.25" customHeight="1">
      <c r="A71" s="166"/>
      <c r="B71" s="163"/>
      <c r="C71" s="163"/>
      <c r="D71" s="163" t="str">
        <f t="array" ref="D71">IFERROR(_xlfn.XLOOKUP(C71,Code!A:A,Code!B:B),"")</f>
        <v/>
      </c>
      <c r="E71" s="124"/>
      <c r="F71" s="124"/>
      <c r="G71" s="124"/>
      <c r="H71" s="124"/>
      <c r="I71" s="124"/>
      <c r="J71" s="124"/>
      <c r="K71" s="124"/>
      <c r="L71" s="124"/>
      <c r="M71" s="124"/>
    </row>
    <row r="72" ht="20.25" customHeight="1">
      <c r="A72" s="175"/>
      <c r="B72" s="159"/>
      <c r="C72" s="159"/>
      <c r="D72" s="159" t="str">
        <f t="array" ref="D72">IFERROR(_xlfn.XLOOKUP(C72,Code!A:A,Code!B:B),"")</f>
        <v/>
      </c>
      <c r="E72" s="115"/>
      <c r="F72" s="115"/>
      <c r="G72" s="115"/>
      <c r="H72" s="115"/>
      <c r="I72" s="115"/>
      <c r="J72" s="115"/>
      <c r="K72" s="115"/>
      <c r="L72" s="115"/>
      <c r="M72" s="115"/>
    </row>
    <row r="73" ht="20.25" customHeight="1">
      <c r="A73" s="166"/>
      <c r="B73" s="163"/>
      <c r="C73" s="163"/>
      <c r="D73" s="163" t="str">
        <f t="array" ref="D73">IFERROR(_xlfn.XLOOKUP(C73,Code!A:A,Code!B:B),"")</f>
        <v/>
      </c>
      <c r="E73" s="124"/>
      <c r="F73" s="124"/>
      <c r="G73" s="124"/>
      <c r="H73" s="124"/>
      <c r="I73" s="124"/>
      <c r="J73" s="124"/>
      <c r="K73" s="124"/>
      <c r="L73" s="124"/>
      <c r="M73" s="124"/>
    </row>
    <row r="74" ht="20.25" customHeight="1">
      <c r="A74" s="175"/>
      <c r="B74" s="159"/>
      <c r="C74" s="159"/>
      <c r="D74" s="159" t="str">
        <f t="array" ref="D74">IFERROR(_xlfn.XLOOKUP(C74,Code!A:A,Code!B:B),"")</f>
        <v/>
      </c>
      <c r="E74" s="115"/>
      <c r="F74" s="115"/>
      <c r="G74" s="115"/>
      <c r="H74" s="115"/>
      <c r="I74" s="115"/>
      <c r="J74" s="115"/>
      <c r="K74" s="115"/>
      <c r="L74" s="115"/>
      <c r="M74" s="115"/>
    </row>
    <row r="75" ht="20.25" customHeight="1">
      <c r="A75" s="166"/>
      <c r="B75" s="163"/>
      <c r="C75" s="163"/>
      <c r="D75" s="163" t="str">
        <f t="array" ref="D75">IFERROR(_xlfn.XLOOKUP(C75,Code!A:A,Code!B:B),"")</f>
        <v/>
      </c>
      <c r="E75" s="124"/>
      <c r="F75" s="124"/>
      <c r="G75" s="124"/>
      <c r="H75" s="124"/>
      <c r="I75" s="124"/>
      <c r="J75" s="124"/>
      <c r="K75" s="124"/>
      <c r="L75" s="124"/>
      <c r="M75" s="124"/>
    </row>
    <row r="76" ht="20.25" customHeight="1">
      <c r="A76" s="175"/>
      <c r="B76" s="159"/>
      <c r="C76" s="159"/>
      <c r="D76" s="159" t="str">
        <f t="array" ref="D76">IFERROR(_xlfn.XLOOKUP(C76,Code!A:A,Code!B:B),"")</f>
        <v/>
      </c>
      <c r="E76" s="115"/>
      <c r="F76" s="115"/>
      <c r="G76" s="115"/>
      <c r="H76" s="115"/>
      <c r="I76" s="115"/>
      <c r="J76" s="115"/>
      <c r="K76" s="115"/>
      <c r="L76" s="115"/>
      <c r="M76" s="115"/>
    </row>
    <row r="77" ht="20.25" customHeight="1">
      <c r="A77" s="166"/>
      <c r="B77" s="163"/>
      <c r="C77" s="163"/>
      <c r="D77" s="163" t="str">
        <f t="array" ref="D77">IFERROR(_xlfn.XLOOKUP(C77,Code!A:A,Code!B:B),"")</f>
        <v/>
      </c>
      <c r="E77" s="124"/>
      <c r="F77" s="124"/>
      <c r="G77" s="124"/>
      <c r="H77" s="124"/>
      <c r="I77" s="124"/>
      <c r="J77" s="124"/>
      <c r="K77" s="124"/>
      <c r="L77" s="124"/>
      <c r="M77" s="124"/>
    </row>
    <row r="78" ht="20.25" customHeight="1">
      <c r="A78" s="175"/>
      <c r="B78" s="159"/>
      <c r="C78" s="159"/>
      <c r="D78" s="159" t="str">
        <f t="array" ref="D78">IFERROR(_xlfn.XLOOKUP(C78,Code!A:A,Code!B:B),"")</f>
        <v/>
      </c>
      <c r="E78" s="115"/>
      <c r="F78" s="115"/>
      <c r="G78" s="115"/>
      <c r="H78" s="115"/>
      <c r="I78" s="115"/>
      <c r="J78" s="115"/>
      <c r="K78" s="115"/>
      <c r="L78" s="115"/>
      <c r="M78" s="115"/>
    </row>
    <row r="79" ht="20.25" customHeight="1">
      <c r="A79" s="166"/>
      <c r="B79" s="163"/>
      <c r="C79" s="163"/>
      <c r="D79" s="163" t="str">
        <f t="array" ref="D79">IFERROR(_xlfn.XLOOKUP(C79,Code!A:A,Code!B:B),"")</f>
        <v/>
      </c>
      <c r="E79" s="124"/>
      <c r="F79" s="124"/>
      <c r="G79" s="124"/>
      <c r="H79" s="124"/>
      <c r="I79" s="124"/>
      <c r="J79" s="124"/>
      <c r="K79" s="124"/>
      <c r="L79" s="124"/>
      <c r="M79" s="124"/>
    </row>
    <row r="80" ht="20.25" customHeight="1">
      <c r="A80" s="175"/>
      <c r="B80" s="159"/>
      <c r="C80" s="159"/>
      <c r="D80" s="159" t="str">
        <f t="array" ref="D80">IFERROR(_xlfn.XLOOKUP(C80,Code!A:A,Code!B:B),"")</f>
        <v/>
      </c>
      <c r="E80" s="115"/>
      <c r="F80" s="115"/>
      <c r="G80" s="115"/>
      <c r="H80" s="115"/>
      <c r="I80" s="115"/>
      <c r="J80" s="115"/>
      <c r="K80" s="115"/>
      <c r="L80" s="115"/>
      <c r="M80" s="115"/>
    </row>
    <row r="81" ht="20.25" customHeight="1">
      <c r="A81" s="166"/>
      <c r="B81" s="163"/>
      <c r="C81" s="163"/>
      <c r="D81" s="163" t="str">
        <f t="array" ref="D81">IFERROR(_xlfn.XLOOKUP(C81,Code!A:A,Code!B:B),"")</f>
        <v/>
      </c>
      <c r="E81" s="124"/>
      <c r="F81" s="124"/>
      <c r="G81" s="124"/>
      <c r="H81" s="124"/>
      <c r="I81" s="124"/>
      <c r="J81" s="124"/>
      <c r="K81" s="124"/>
      <c r="L81" s="124"/>
      <c r="M81" s="124"/>
    </row>
    <row r="82" ht="20.25" customHeight="1">
      <c r="A82" s="175"/>
      <c r="B82" s="159"/>
      <c r="C82" s="159"/>
      <c r="D82" s="159" t="str">
        <f t="array" ref="D82">IFERROR(_xlfn.XLOOKUP(C82,Code!A:A,Code!B:B),"")</f>
        <v/>
      </c>
      <c r="E82" s="115"/>
      <c r="F82" s="115"/>
      <c r="G82" s="115"/>
      <c r="H82" s="115"/>
      <c r="I82" s="115"/>
      <c r="J82" s="115"/>
      <c r="K82" s="115"/>
      <c r="L82" s="115"/>
      <c r="M82" s="115"/>
    </row>
    <row r="83" ht="20.25" customHeight="1">
      <c r="A83" s="166"/>
      <c r="B83" s="163"/>
      <c r="C83" s="163"/>
      <c r="D83" s="163" t="str">
        <f t="array" ref="D83">IFERROR(_xlfn.XLOOKUP(C83,Code!A:A,Code!B:B),"")</f>
        <v/>
      </c>
      <c r="E83" s="124"/>
      <c r="F83" s="124"/>
      <c r="G83" s="124"/>
      <c r="H83" s="124"/>
      <c r="I83" s="124"/>
      <c r="J83" s="124"/>
      <c r="K83" s="124"/>
      <c r="L83" s="124"/>
      <c r="M83" s="124"/>
    </row>
    <row r="84" ht="20.25" customHeight="1">
      <c r="A84" s="175"/>
      <c r="B84" s="159"/>
      <c r="C84" s="159"/>
      <c r="D84" s="159" t="str">
        <f t="array" ref="D84">IFERROR(_xlfn.XLOOKUP(C84,Code!A:A,Code!B:B),"")</f>
        <v/>
      </c>
      <c r="E84" s="115"/>
      <c r="F84" s="115"/>
      <c r="G84" s="115"/>
      <c r="H84" s="115"/>
      <c r="I84" s="115"/>
      <c r="J84" s="115"/>
      <c r="K84" s="115"/>
      <c r="L84" s="115"/>
      <c r="M84" s="115"/>
    </row>
    <row r="85" ht="20.25" customHeight="1">
      <c r="A85" s="166"/>
      <c r="B85" s="163"/>
      <c r="C85" s="163"/>
      <c r="D85" s="163" t="str">
        <f t="array" ref="D85">IFERROR(_xlfn.XLOOKUP(C85,Code!A:A,Code!B:B),"")</f>
        <v/>
      </c>
      <c r="E85" s="124"/>
      <c r="F85" s="124"/>
      <c r="G85" s="124"/>
      <c r="H85" s="124"/>
      <c r="I85" s="124"/>
      <c r="J85" s="124"/>
      <c r="K85" s="124"/>
      <c r="L85" s="124"/>
      <c r="M85" s="124"/>
    </row>
    <row r="86" ht="20.25" customHeight="1">
      <c r="A86" s="175"/>
      <c r="B86" s="159"/>
      <c r="C86" s="159"/>
      <c r="D86" s="159" t="str">
        <f t="array" ref="D86">IFERROR(_xlfn.XLOOKUP(C86,Code!A:A,Code!B:B),"")</f>
        <v/>
      </c>
      <c r="E86" s="115"/>
      <c r="F86" s="115"/>
      <c r="G86" s="115"/>
      <c r="H86" s="115"/>
      <c r="I86" s="115"/>
      <c r="J86" s="115"/>
      <c r="K86" s="115"/>
      <c r="L86" s="115"/>
      <c r="M86" s="115"/>
    </row>
    <row r="87" ht="20.25" customHeight="1">
      <c r="A87" s="166"/>
      <c r="B87" s="163"/>
      <c r="C87" s="163"/>
      <c r="D87" s="163" t="str">
        <f t="array" ref="D87">IFERROR(_xlfn.XLOOKUP(C87,Code!A:A,Code!B:B),"")</f>
        <v/>
      </c>
      <c r="E87" s="124"/>
      <c r="F87" s="124"/>
      <c r="G87" s="124"/>
      <c r="H87" s="124"/>
      <c r="I87" s="124"/>
      <c r="J87" s="124"/>
      <c r="K87" s="124"/>
      <c r="L87" s="124"/>
      <c r="M87" s="124"/>
    </row>
    <row r="88" ht="20.25" customHeight="1">
      <c r="A88" s="175"/>
      <c r="B88" s="159"/>
      <c r="C88" s="159"/>
      <c r="D88" s="159" t="str">
        <f t="array" ref="D88">IFERROR(_xlfn.XLOOKUP(C88,Code!A:A,Code!B:B),"")</f>
        <v/>
      </c>
      <c r="E88" s="115"/>
      <c r="F88" s="115"/>
      <c r="G88" s="115"/>
      <c r="H88" s="115"/>
      <c r="I88" s="115"/>
      <c r="J88" s="115"/>
      <c r="K88" s="115"/>
      <c r="L88" s="115"/>
      <c r="M88" s="115"/>
    </row>
    <row r="89" ht="20.25" customHeight="1">
      <c r="A89" s="166"/>
      <c r="B89" s="163"/>
      <c r="C89" s="163"/>
      <c r="D89" s="163" t="str">
        <f t="array" ref="D89">IFERROR(_xlfn.XLOOKUP(C89,Code!A:A,Code!B:B),"")</f>
        <v/>
      </c>
      <c r="E89" s="124"/>
      <c r="F89" s="124"/>
      <c r="G89" s="124"/>
      <c r="H89" s="124"/>
      <c r="I89" s="124"/>
      <c r="J89" s="124"/>
      <c r="K89" s="124"/>
      <c r="L89" s="124"/>
      <c r="M89" s="124"/>
    </row>
    <row r="90" ht="20.25" customHeight="1">
      <c r="A90" s="175"/>
      <c r="B90" s="159"/>
      <c r="C90" s="159"/>
      <c r="D90" s="159" t="str">
        <f t="array" ref="D90">IFERROR(_xlfn.XLOOKUP(C90,Code!A:A,Code!B:B),"")</f>
        <v/>
      </c>
      <c r="E90" s="115"/>
      <c r="F90" s="115"/>
      <c r="G90" s="115"/>
      <c r="H90" s="115"/>
      <c r="I90" s="115"/>
      <c r="J90" s="115"/>
      <c r="K90" s="115"/>
      <c r="L90" s="115"/>
      <c r="M90" s="115"/>
    </row>
    <row r="91" ht="20.25" customHeight="1">
      <c r="A91" s="166"/>
      <c r="B91" s="163"/>
      <c r="C91" s="163"/>
      <c r="D91" s="163" t="str">
        <f t="array" ref="D91">IFERROR(_xlfn.XLOOKUP(C91,Code!A:A,Code!B:B),"")</f>
        <v/>
      </c>
      <c r="E91" s="124"/>
      <c r="F91" s="124"/>
      <c r="G91" s="124"/>
      <c r="H91" s="124"/>
      <c r="I91" s="124"/>
      <c r="J91" s="124"/>
      <c r="K91" s="124"/>
      <c r="L91" s="124"/>
      <c r="M91" s="124"/>
    </row>
    <row r="92" ht="20.25" customHeight="1">
      <c r="A92" s="175"/>
      <c r="B92" s="159"/>
      <c r="C92" s="159"/>
      <c r="D92" s="159" t="str">
        <f t="array" ref="D92">IFERROR(_xlfn.XLOOKUP(C92,Code!A:A,Code!B:B),"")</f>
        <v/>
      </c>
      <c r="E92" s="115"/>
      <c r="F92" s="115"/>
      <c r="G92" s="115"/>
      <c r="H92" s="115"/>
      <c r="I92" s="115"/>
      <c r="J92" s="115"/>
      <c r="K92" s="115"/>
      <c r="L92" s="115"/>
      <c r="M92" s="115"/>
    </row>
    <row r="93" ht="20.25" customHeight="1">
      <c r="A93" s="166"/>
      <c r="B93" s="163"/>
      <c r="C93" s="163"/>
      <c r="D93" s="163" t="str">
        <f t="array" ref="D93">IFERROR(_xlfn.XLOOKUP(C93,Code!A:A,Code!B:B),"")</f>
        <v/>
      </c>
      <c r="E93" s="124"/>
      <c r="F93" s="124"/>
      <c r="G93" s="124"/>
      <c r="H93" s="124"/>
      <c r="I93" s="124"/>
      <c r="J93" s="124"/>
      <c r="K93" s="124"/>
      <c r="L93" s="124"/>
      <c r="M93" s="124"/>
    </row>
    <row r="94" ht="20.25" customHeight="1">
      <c r="A94" s="175"/>
      <c r="B94" s="159"/>
      <c r="C94" s="159"/>
      <c r="D94" s="159" t="str">
        <f t="array" ref="D94">IFERROR(_xlfn.XLOOKUP(C94,Code!A:A,Code!B:B),"")</f>
        <v/>
      </c>
      <c r="E94" s="115"/>
      <c r="F94" s="115"/>
      <c r="G94" s="115"/>
      <c r="H94" s="115"/>
      <c r="I94" s="115"/>
      <c r="J94" s="115"/>
      <c r="K94" s="115"/>
      <c r="L94" s="115"/>
      <c r="M94" s="115"/>
    </row>
    <row r="95" ht="20.25" customHeight="1">
      <c r="A95" s="166"/>
      <c r="B95" s="163"/>
      <c r="C95" s="163"/>
      <c r="D95" s="163" t="str">
        <f t="array" ref="D95">IFERROR(_xlfn.XLOOKUP(C95,Code!A:A,Code!B:B),"")</f>
        <v/>
      </c>
      <c r="E95" s="124"/>
      <c r="F95" s="124"/>
      <c r="G95" s="124"/>
      <c r="H95" s="124"/>
      <c r="I95" s="124"/>
      <c r="J95" s="124"/>
      <c r="K95" s="124"/>
      <c r="L95" s="124"/>
      <c r="M95" s="124"/>
    </row>
    <row r="96" ht="20.25" customHeight="1">
      <c r="A96" s="175"/>
      <c r="B96" s="159"/>
      <c r="C96" s="159"/>
      <c r="D96" s="159" t="str">
        <f t="array" ref="D96">IFERROR(_xlfn.XLOOKUP(C96,Code!A:A,Code!B:B),"")</f>
        <v/>
      </c>
      <c r="E96" s="115"/>
      <c r="F96" s="115"/>
      <c r="G96" s="115"/>
      <c r="H96" s="115"/>
      <c r="I96" s="115"/>
      <c r="J96" s="115"/>
      <c r="K96" s="115"/>
      <c r="L96" s="115"/>
      <c r="M96" s="115"/>
    </row>
    <row r="97" ht="20.25" customHeight="1">
      <c r="A97" s="166"/>
      <c r="B97" s="163"/>
      <c r="C97" s="163"/>
      <c r="D97" s="163" t="str">
        <f t="array" ref="D97">IFERROR(_xlfn.XLOOKUP(C97,Code!A:A,Code!B:B),"")</f>
        <v/>
      </c>
      <c r="E97" s="124"/>
      <c r="F97" s="124"/>
      <c r="G97" s="124"/>
      <c r="H97" s="124"/>
      <c r="I97" s="124"/>
      <c r="J97" s="124"/>
      <c r="K97" s="124"/>
      <c r="L97" s="124"/>
      <c r="M97" s="124"/>
    </row>
    <row r="98" ht="20.25" customHeight="1">
      <c r="A98" s="175"/>
      <c r="B98" s="159"/>
      <c r="C98" s="159"/>
      <c r="D98" s="159" t="str">
        <f t="array" ref="D98">IFERROR(_xlfn.XLOOKUP(C98,Code!A:A,Code!B:B),"")</f>
        <v/>
      </c>
      <c r="E98" s="115"/>
      <c r="F98" s="115"/>
      <c r="G98" s="115"/>
      <c r="H98" s="115"/>
      <c r="I98" s="115"/>
      <c r="J98" s="115"/>
      <c r="K98" s="115"/>
      <c r="L98" s="115"/>
      <c r="M98" s="115"/>
    </row>
    <row r="99" ht="20.25" customHeight="1">
      <c r="A99" s="166"/>
      <c r="B99" s="163"/>
      <c r="C99" s="163"/>
      <c r="D99" s="163" t="str">
        <f t="array" ref="D99">IFERROR(_xlfn.XLOOKUP(C99,Code!A:A,Code!B:B),"")</f>
        <v/>
      </c>
      <c r="E99" s="124"/>
      <c r="F99" s="124"/>
      <c r="G99" s="124"/>
      <c r="H99" s="124"/>
      <c r="I99" s="124"/>
      <c r="J99" s="124"/>
      <c r="K99" s="124"/>
      <c r="L99" s="124"/>
      <c r="M99" s="124"/>
    </row>
    <row r="100" ht="20.25" customHeight="1">
      <c r="A100" s="175"/>
      <c r="B100" s="159"/>
      <c r="C100" s="159"/>
      <c r="D100" s="159" t="str">
        <f t="array" ref="D100">IFERROR(_xlfn.XLOOKUP(C100,Code!A:A,Code!B:B),"")</f>
        <v/>
      </c>
      <c r="E100" s="115"/>
      <c r="F100" s="115"/>
      <c r="G100" s="115"/>
      <c r="H100" s="115"/>
      <c r="I100" s="115"/>
      <c r="J100" s="115"/>
      <c r="K100" s="115"/>
      <c r="L100" s="115"/>
      <c r="M100" s="115"/>
    </row>
    <row r="101" ht="20.25" customHeight="1">
      <c r="A101" s="166"/>
      <c r="B101" s="163"/>
      <c r="C101" s="163"/>
      <c r="D101" s="163" t="str">
        <f t="array" ref="D101">IFERROR(_xlfn.XLOOKUP(C101,Code!A:A,Code!B:B),"")</f>
        <v/>
      </c>
      <c r="E101" s="124"/>
      <c r="F101" s="124"/>
      <c r="G101" s="124"/>
      <c r="H101" s="124"/>
      <c r="I101" s="124"/>
      <c r="J101" s="124"/>
      <c r="K101" s="124"/>
      <c r="L101" s="124"/>
      <c r="M101" s="124"/>
    </row>
    <row r="102" ht="20.25" customHeight="1">
      <c r="A102" s="175"/>
      <c r="B102" s="159"/>
      <c r="C102" s="159"/>
      <c r="D102" s="159" t="str">
        <f t="array" ref="D102">IFERROR(_xlfn.XLOOKUP(C102,Code!A:A,Code!B:B),"")</f>
        <v/>
      </c>
      <c r="E102" s="115"/>
      <c r="F102" s="115"/>
      <c r="G102" s="115"/>
      <c r="H102" s="115"/>
      <c r="I102" s="115"/>
      <c r="J102" s="115"/>
      <c r="K102" s="115"/>
      <c r="L102" s="115"/>
      <c r="M102" s="115"/>
    </row>
    <row r="103" ht="20.25" customHeight="1">
      <c r="A103" s="166"/>
      <c r="B103" s="163"/>
      <c r="C103" s="163"/>
      <c r="D103" s="163" t="str">
        <f t="array" ref="D103">IFERROR(_xlfn.XLOOKUP(C103,Code!A:A,Code!B:B),"")</f>
        <v/>
      </c>
      <c r="E103" s="124"/>
      <c r="F103" s="124"/>
      <c r="G103" s="124"/>
      <c r="H103" s="124"/>
      <c r="I103" s="124"/>
      <c r="J103" s="124"/>
      <c r="K103" s="124"/>
      <c r="L103" s="124"/>
      <c r="M103" s="124"/>
    </row>
    <row r="104" ht="20.25" customHeight="1">
      <c r="A104" s="175"/>
      <c r="B104" s="159"/>
      <c r="C104" s="159"/>
      <c r="D104" s="159" t="str">
        <f t="array" ref="D104">IFERROR(_xlfn.XLOOKUP(C104,Code!A:A,Code!B:B),"")</f>
        <v/>
      </c>
      <c r="E104" s="115"/>
      <c r="F104" s="115"/>
      <c r="G104" s="115"/>
      <c r="H104" s="115"/>
      <c r="I104" s="115"/>
      <c r="J104" s="115"/>
      <c r="K104" s="115"/>
      <c r="L104" s="115"/>
      <c r="M104" s="115"/>
    </row>
    <row r="105" ht="20.25" customHeight="1">
      <c r="A105" s="166"/>
      <c r="B105" s="163"/>
      <c r="C105" s="163"/>
      <c r="D105" s="163" t="str">
        <f t="array" ref="D105">IFERROR(_xlfn.XLOOKUP(C105,Code!A:A,Code!B:B),"")</f>
        <v/>
      </c>
      <c r="E105" s="124"/>
      <c r="F105" s="124"/>
      <c r="G105" s="124"/>
      <c r="H105" s="124"/>
      <c r="I105" s="124"/>
      <c r="J105" s="124"/>
      <c r="K105" s="124"/>
      <c r="L105" s="124"/>
      <c r="M105" s="124"/>
    </row>
    <row r="106" ht="20.25" customHeight="1">
      <c r="A106" s="175"/>
      <c r="B106" s="159"/>
      <c r="C106" s="159"/>
      <c r="D106" s="159" t="str">
        <f t="array" ref="D106">IFERROR(_xlfn.XLOOKUP(C106,Code!A:A,Code!B:B),"")</f>
        <v/>
      </c>
      <c r="E106" s="115"/>
      <c r="F106" s="115"/>
      <c r="G106" s="115"/>
      <c r="H106" s="115"/>
      <c r="I106" s="115"/>
      <c r="J106" s="115"/>
      <c r="K106" s="115"/>
      <c r="L106" s="115"/>
      <c r="M106" s="115"/>
    </row>
    <row r="107" ht="20.25" customHeight="1">
      <c r="A107" s="166"/>
      <c r="B107" s="163"/>
      <c r="C107" s="163"/>
      <c r="D107" s="163" t="str">
        <f t="array" ref="D107">IFERROR(_xlfn.XLOOKUP(C107,Code!A:A,Code!B:B),"")</f>
        <v/>
      </c>
      <c r="E107" s="124"/>
      <c r="F107" s="124"/>
      <c r="G107" s="124"/>
      <c r="H107" s="124"/>
      <c r="I107" s="124"/>
      <c r="J107" s="124"/>
      <c r="K107" s="124"/>
      <c r="L107" s="124"/>
      <c r="M107" s="124"/>
    </row>
    <row r="108" ht="20.25" customHeight="1">
      <c r="A108" s="175"/>
      <c r="B108" s="159"/>
      <c r="C108" s="159"/>
      <c r="D108" s="159" t="str">
        <f t="array" ref="D108">IFERROR(_xlfn.XLOOKUP(C108,Code!A:A,Code!B:B),"")</f>
        <v/>
      </c>
      <c r="E108" s="115"/>
      <c r="F108" s="115"/>
      <c r="G108" s="115"/>
      <c r="H108" s="115"/>
      <c r="I108" s="115"/>
      <c r="J108" s="115"/>
      <c r="K108" s="115"/>
      <c r="L108" s="115"/>
      <c r="M108" s="115"/>
    </row>
    <row r="109" ht="20.25" customHeight="1">
      <c r="A109" s="166"/>
      <c r="B109" s="163"/>
      <c r="C109" s="163"/>
      <c r="D109" s="163" t="str">
        <f t="array" ref="D109">IFERROR(_xlfn.XLOOKUP(C109,Code!A:A,Code!B:B),"")</f>
        <v/>
      </c>
      <c r="E109" s="124"/>
      <c r="F109" s="124"/>
      <c r="G109" s="124"/>
      <c r="H109" s="124"/>
      <c r="I109" s="124"/>
      <c r="J109" s="124"/>
      <c r="K109" s="124"/>
      <c r="L109" s="124"/>
      <c r="M109" s="124"/>
    </row>
    <row r="110" ht="20.25" customHeight="1">
      <c r="A110" s="175"/>
      <c r="B110" s="159"/>
      <c r="C110" s="159"/>
      <c r="D110" s="159" t="str">
        <f t="array" ref="D110">IFERROR(_xlfn.XLOOKUP(C110,Code!A:A,Code!B:B),"")</f>
        <v/>
      </c>
      <c r="E110" s="115"/>
      <c r="F110" s="115"/>
      <c r="G110" s="115"/>
      <c r="H110" s="115"/>
      <c r="I110" s="115"/>
      <c r="J110" s="115"/>
      <c r="K110" s="115"/>
      <c r="L110" s="115"/>
      <c r="M110" s="115"/>
    </row>
    <row r="111" ht="20.25" customHeight="1">
      <c r="A111" s="166"/>
      <c r="B111" s="163"/>
      <c r="C111" s="163"/>
      <c r="D111" s="163" t="str">
        <f t="array" ref="D111">IFERROR(_xlfn.XLOOKUP(C111,Code!A:A,Code!B:B),"")</f>
        <v/>
      </c>
      <c r="E111" s="124"/>
      <c r="F111" s="124"/>
      <c r="G111" s="124"/>
      <c r="H111" s="124"/>
      <c r="I111" s="124"/>
      <c r="J111" s="124"/>
      <c r="K111" s="124"/>
      <c r="L111" s="124"/>
      <c r="M111" s="124"/>
    </row>
    <row r="112" ht="20.25" customHeight="1">
      <c r="A112" s="175"/>
      <c r="B112" s="159"/>
      <c r="C112" s="159"/>
      <c r="D112" s="159" t="str">
        <f t="array" ref="D112">IFERROR(_xlfn.XLOOKUP(C112,Code!A:A,Code!B:B),"")</f>
        <v/>
      </c>
      <c r="E112" s="115"/>
      <c r="F112" s="115"/>
      <c r="G112" s="115"/>
      <c r="H112" s="115"/>
      <c r="I112" s="115"/>
      <c r="J112" s="115"/>
      <c r="K112" s="115"/>
      <c r="L112" s="115"/>
      <c r="M112" s="115"/>
    </row>
    <row r="113" ht="20.25" customHeight="1">
      <c r="A113" s="166"/>
      <c r="B113" s="163"/>
      <c r="C113" s="163"/>
      <c r="D113" s="163" t="str">
        <f t="array" ref="D113">IFERROR(_xlfn.XLOOKUP(C113,Code!A:A,Code!B:B),"")</f>
        <v/>
      </c>
      <c r="E113" s="124"/>
      <c r="F113" s="124"/>
      <c r="G113" s="124"/>
      <c r="H113" s="124"/>
      <c r="I113" s="124"/>
      <c r="J113" s="124"/>
      <c r="K113" s="124"/>
      <c r="L113" s="124"/>
      <c r="M113" s="124"/>
    </row>
    <row r="114" ht="20.25" customHeight="1">
      <c r="A114" s="175"/>
      <c r="B114" s="159"/>
      <c r="C114" s="159"/>
      <c r="D114" s="159" t="str">
        <f t="array" ref="D114">IFERROR(_xlfn.XLOOKUP(C114,Code!A:A,Code!B:B),"")</f>
        <v/>
      </c>
      <c r="E114" s="115"/>
      <c r="F114" s="115"/>
      <c r="G114" s="115"/>
      <c r="H114" s="115"/>
      <c r="I114" s="115"/>
      <c r="J114" s="115"/>
      <c r="K114" s="115"/>
      <c r="L114" s="115"/>
      <c r="M114" s="115"/>
    </row>
    <row r="115" ht="20.25" customHeight="1">
      <c r="A115" s="166"/>
      <c r="B115" s="163"/>
      <c r="C115" s="163"/>
      <c r="D115" s="163" t="str">
        <f t="array" ref="D115">IFERROR(_xlfn.XLOOKUP(C115,Code!A:A,Code!B:B),"")</f>
        <v/>
      </c>
      <c r="E115" s="124"/>
      <c r="F115" s="124"/>
      <c r="G115" s="124"/>
      <c r="H115" s="124"/>
      <c r="I115" s="124"/>
      <c r="J115" s="124"/>
      <c r="K115" s="124"/>
      <c r="L115" s="124"/>
      <c r="M115" s="124"/>
    </row>
    <row r="116" ht="20.25" customHeight="1">
      <c r="A116" s="175"/>
      <c r="B116" s="159"/>
      <c r="C116" s="159"/>
      <c r="D116" s="159" t="str">
        <f t="array" ref="D116">IFERROR(_xlfn.XLOOKUP(C116,Code!A:A,Code!B:B),"")</f>
        <v/>
      </c>
      <c r="E116" s="115"/>
      <c r="F116" s="115"/>
      <c r="G116" s="115"/>
      <c r="H116" s="115"/>
      <c r="I116" s="115"/>
      <c r="J116" s="115"/>
      <c r="K116" s="115"/>
      <c r="L116" s="115"/>
      <c r="M116" s="115"/>
    </row>
    <row r="117" ht="20.25" customHeight="1">
      <c r="A117" s="166"/>
      <c r="B117" s="163"/>
      <c r="C117" s="163"/>
      <c r="D117" s="163" t="str">
        <f t="array" ref="D117">IFERROR(_xlfn.XLOOKUP(C117,Code!A:A,Code!B:B),"")</f>
        <v/>
      </c>
      <c r="E117" s="124"/>
      <c r="F117" s="124"/>
      <c r="G117" s="124"/>
      <c r="H117" s="124"/>
      <c r="I117" s="124"/>
      <c r="J117" s="124"/>
      <c r="K117" s="124"/>
      <c r="L117" s="124"/>
      <c r="M117" s="124"/>
    </row>
    <row r="118" ht="20.25" customHeight="1">
      <c r="A118" s="175"/>
      <c r="B118" s="159"/>
      <c r="C118" s="159"/>
      <c r="D118" s="159" t="str">
        <f t="array" ref="D118">IFERROR(_xlfn.XLOOKUP(C118,Code!A:A,Code!B:B),"")</f>
        <v/>
      </c>
      <c r="E118" s="115"/>
      <c r="F118" s="115"/>
      <c r="G118" s="115"/>
      <c r="H118" s="115"/>
      <c r="I118" s="115"/>
      <c r="J118" s="115"/>
      <c r="K118" s="115"/>
      <c r="L118" s="115"/>
      <c r="M118" s="115"/>
    </row>
    <row r="119" ht="20.25" customHeight="1">
      <c r="A119" s="166"/>
      <c r="B119" s="163"/>
      <c r="C119" s="163"/>
      <c r="D119" s="163" t="str">
        <f t="array" ref="D119">IFERROR(_xlfn.XLOOKUP(C119,Code!A:A,Code!B:B),"")</f>
        <v/>
      </c>
      <c r="E119" s="124"/>
      <c r="F119" s="124"/>
      <c r="G119" s="124"/>
      <c r="H119" s="124"/>
      <c r="I119" s="124"/>
      <c r="J119" s="124"/>
      <c r="K119" s="124"/>
      <c r="L119" s="124"/>
      <c r="M119" s="124"/>
    </row>
    <row r="120" ht="20.25" customHeight="1">
      <c r="A120" s="175"/>
      <c r="B120" s="159"/>
      <c r="C120" s="159"/>
      <c r="D120" s="159" t="str">
        <f t="array" ref="D120">IFERROR(_xlfn.XLOOKUP(C120,Code!A:A,Code!B:B),"")</f>
        <v/>
      </c>
      <c r="E120" s="115"/>
      <c r="F120" s="115"/>
      <c r="G120" s="115"/>
      <c r="H120" s="115"/>
      <c r="I120" s="115"/>
      <c r="J120" s="115"/>
      <c r="K120" s="115"/>
      <c r="L120" s="115"/>
      <c r="M120" s="115"/>
    </row>
    <row r="121" ht="20.25" customHeight="1">
      <c r="A121" s="166"/>
      <c r="B121" s="163"/>
      <c r="C121" s="163"/>
      <c r="D121" s="163" t="str">
        <f t="array" ref="D121">IFERROR(_xlfn.XLOOKUP(C121,Code!A:A,Code!B:B),"")</f>
        <v/>
      </c>
      <c r="E121" s="124"/>
      <c r="F121" s="124"/>
      <c r="G121" s="124"/>
      <c r="H121" s="124"/>
      <c r="I121" s="124"/>
      <c r="J121" s="124"/>
      <c r="K121" s="124"/>
      <c r="L121" s="124"/>
      <c r="M121" s="124"/>
    </row>
    <row r="122" ht="20.25" customHeight="1">
      <c r="A122" s="175"/>
      <c r="B122" s="159"/>
      <c r="C122" s="159"/>
      <c r="D122" s="159" t="str">
        <f t="array" ref="D122">IFERROR(_xlfn.XLOOKUP(C122,Code!A:A,Code!B:B),"")</f>
        <v/>
      </c>
      <c r="E122" s="115"/>
      <c r="F122" s="115"/>
      <c r="G122" s="115"/>
      <c r="H122" s="115"/>
      <c r="I122" s="115"/>
      <c r="J122" s="115"/>
      <c r="K122" s="115"/>
      <c r="L122" s="115"/>
      <c r="M122" s="115"/>
    </row>
    <row r="123" ht="20.25" customHeight="1">
      <c r="A123" s="166"/>
      <c r="B123" s="163"/>
      <c r="C123" s="163"/>
      <c r="D123" s="163" t="str">
        <f t="array" ref="D123">IFERROR(_xlfn.XLOOKUP(C123,Code!A:A,Code!B:B),"")</f>
        <v/>
      </c>
      <c r="E123" s="124"/>
      <c r="F123" s="124"/>
      <c r="G123" s="124"/>
      <c r="H123" s="124"/>
      <c r="I123" s="124"/>
      <c r="J123" s="124"/>
      <c r="K123" s="124"/>
      <c r="L123" s="124"/>
      <c r="M123" s="124"/>
    </row>
    <row r="124" ht="20.25" customHeight="1">
      <c r="A124" s="175"/>
      <c r="B124" s="159"/>
      <c r="C124" s="159"/>
      <c r="D124" s="159" t="str">
        <f t="array" ref="D124">IFERROR(_xlfn.XLOOKUP(C124,Code!A:A,Code!B:B),"")</f>
        <v/>
      </c>
      <c r="E124" s="115"/>
      <c r="F124" s="115"/>
      <c r="G124" s="115"/>
      <c r="H124" s="115"/>
      <c r="I124" s="115"/>
      <c r="J124" s="115"/>
      <c r="K124" s="115"/>
      <c r="L124" s="115"/>
      <c r="M124" s="115"/>
    </row>
    <row r="125" ht="20.25" customHeight="1">
      <c r="A125" s="166"/>
      <c r="B125" s="163"/>
      <c r="C125" s="163"/>
      <c r="D125" s="163" t="str">
        <f t="array" ref="D125">IFERROR(_xlfn.XLOOKUP(C125,Code!A:A,Code!B:B),"")</f>
        <v/>
      </c>
      <c r="E125" s="124"/>
      <c r="F125" s="124"/>
      <c r="G125" s="124"/>
      <c r="H125" s="124"/>
      <c r="I125" s="124"/>
      <c r="J125" s="124"/>
      <c r="K125" s="124"/>
      <c r="L125" s="124"/>
      <c r="M125" s="124"/>
    </row>
    <row r="126" ht="20.25" customHeight="1">
      <c r="A126" s="175"/>
      <c r="B126" s="159"/>
      <c r="C126" s="159"/>
      <c r="D126" s="159" t="str">
        <f t="array" ref="D126">IFERROR(_xlfn.XLOOKUP(C126,Code!A:A,Code!B:B),"")</f>
        <v/>
      </c>
      <c r="E126" s="115"/>
      <c r="F126" s="115"/>
      <c r="G126" s="115"/>
      <c r="H126" s="115"/>
      <c r="I126" s="115"/>
      <c r="J126" s="115"/>
      <c r="K126" s="115"/>
      <c r="L126" s="115"/>
      <c r="M126" s="115"/>
    </row>
    <row r="127" ht="20.25" customHeight="1">
      <c r="A127" s="166"/>
      <c r="B127" s="163"/>
      <c r="C127" s="163"/>
      <c r="D127" s="163" t="str">
        <f t="array" ref="D127">IFERROR(_xlfn.XLOOKUP(C127,Code!A:A,Code!B:B),"")</f>
        <v/>
      </c>
      <c r="E127" s="124"/>
      <c r="F127" s="124"/>
      <c r="G127" s="124"/>
      <c r="H127" s="124"/>
      <c r="I127" s="124"/>
      <c r="J127" s="124"/>
      <c r="K127" s="124"/>
      <c r="L127" s="124"/>
      <c r="M127" s="124"/>
    </row>
    <row r="128" ht="20.25" customHeight="1">
      <c r="A128" s="175"/>
      <c r="B128" s="159"/>
      <c r="C128" s="159"/>
      <c r="D128" s="159" t="str">
        <f t="array" ref="D128">IFERROR(_xlfn.XLOOKUP(C128,Code!A:A,Code!B:B),"")</f>
        <v/>
      </c>
      <c r="E128" s="115"/>
      <c r="F128" s="115"/>
      <c r="G128" s="115"/>
      <c r="H128" s="115"/>
      <c r="I128" s="115"/>
      <c r="J128" s="115"/>
      <c r="K128" s="115"/>
      <c r="L128" s="115"/>
      <c r="M128" s="115"/>
    </row>
    <row r="129" ht="20.25" customHeight="1">
      <c r="A129" s="166"/>
      <c r="B129" s="163"/>
      <c r="C129" s="163"/>
      <c r="D129" s="163" t="str">
        <f t="array" ref="D129">IFERROR(_xlfn.XLOOKUP(C129,Code!A:A,Code!B:B),"")</f>
        <v/>
      </c>
      <c r="E129" s="124"/>
      <c r="F129" s="124"/>
      <c r="G129" s="124"/>
      <c r="H129" s="124"/>
      <c r="I129" s="124"/>
      <c r="J129" s="124"/>
      <c r="K129" s="124"/>
      <c r="L129" s="124"/>
      <c r="M129" s="124"/>
    </row>
    <row r="130" ht="20.25" customHeight="1">
      <c r="A130" s="175"/>
      <c r="B130" s="159"/>
      <c r="C130" s="159"/>
      <c r="D130" s="159" t="str">
        <f t="array" ref="D130">IFERROR(_xlfn.XLOOKUP(C130,Code!A:A,Code!B:B),"")</f>
        <v/>
      </c>
      <c r="E130" s="115"/>
      <c r="F130" s="115"/>
      <c r="G130" s="115"/>
      <c r="H130" s="115"/>
      <c r="I130" s="115"/>
      <c r="J130" s="115"/>
      <c r="K130" s="115"/>
      <c r="L130" s="115"/>
      <c r="M130" s="115"/>
    </row>
    <row r="131" ht="20.25" customHeight="1">
      <c r="A131" s="166"/>
      <c r="B131" s="163"/>
      <c r="C131" s="163"/>
      <c r="D131" s="163" t="str">
        <f t="array" ref="D131">IFERROR(_xlfn.XLOOKUP(C131,Code!A:A,Code!B:B),"")</f>
        <v/>
      </c>
      <c r="E131" s="124"/>
      <c r="F131" s="124"/>
      <c r="G131" s="124"/>
      <c r="H131" s="124"/>
      <c r="I131" s="124"/>
      <c r="J131" s="124"/>
      <c r="K131" s="124"/>
      <c r="L131" s="124"/>
      <c r="M131" s="124"/>
    </row>
    <row r="132" ht="20.25" customHeight="1">
      <c r="A132" s="175"/>
      <c r="B132" s="159"/>
      <c r="C132" s="159"/>
      <c r="D132" s="159" t="str">
        <f t="array" ref="D132">IFERROR(_xlfn.XLOOKUP(C132,Code!A:A,Code!B:B),"")</f>
        <v/>
      </c>
      <c r="E132" s="115"/>
      <c r="F132" s="115"/>
      <c r="G132" s="115"/>
      <c r="H132" s="115"/>
      <c r="I132" s="115"/>
      <c r="J132" s="115"/>
      <c r="K132" s="115"/>
      <c r="L132" s="115"/>
      <c r="M132" s="115"/>
    </row>
    <row r="133" ht="20.25" customHeight="1">
      <c r="A133" s="166"/>
      <c r="B133" s="163"/>
      <c r="C133" s="163"/>
      <c r="D133" s="163" t="str">
        <f t="array" ref="D133">IFERROR(_xlfn.XLOOKUP(C133,Code!A:A,Code!B:B),"")</f>
        <v/>
      </c>
      <c r="E133" s="124"/>
      <c r="F133" s="124"/>
      <c r="G133" s="124"/>
      <c r="H133" s="124"/>
      <c r="I133" s="124"/>
      <c r="J133" s="124"/>
      <c r="K133" s="124"/>
      <c r="L133" s="124"/>
      <c r="M133" s="124"/>
    </row>
    <row r="134" ht="20.25" customHeight="1">
      <c r="A134" s="175"/>
      <c r="B134" s="159"/>
      <c r="C134" s="159"/>
      <c r="D134" s="159" t="str">
        <f t="array" ref="D134">IFERROR(_xlfn.XLOOKUP(C134,Code!A:A,Code!B:B),"")</f>
        <v/>
      </c>
      <c r="E134" s="115"/>
      <c r="F134" s="115"/>
      <c r="G134" s="115"/>
      <c r="H134" s="115"/>
      <c r="I134" s="115"/>
      <c r="J134" s="115"/>
      <c r="K134" s="115"/>
      <c r="L134" s="115"/>
      <c r="M134" s="115"/>
    </row>
    <row r="135" ht="20.25" customHeight="1">
      <c r="A135" s="166"/>
      <c r="B135" s="163"/>
      <c r="C135" s="163"/>
      <c r="D135" s="163" t="str">
        <f t="array" ref="D135">IFERROR(_xlfn.XLOOKUP(C135,Code!A:A,Code!B:B),"")</f>
        <v/>
      </c>
      <c r="E135" s="124"/>
      <c r="F135" s="124"/>
      <c r="G135" s="124"/>
      <c r="H135" s="124"/>
      <c r="I135" s="124"/>
      <c r="J135" s="124"/>
      <c r="K135" s="124"/>
      <c r="L135" s="124"/>
      <c r="M135" s="124"/>
    </row>
    <row r="136" ht="20.25" customHeight="1">
      <c r="A136" s="175"/>
      <c r="B136" s="159"/>
      <c r="C136" s="159"/>
      <c r="D136" s="159" t="str">
        <f t="array" ref="D136">IFERROR(_xlfn.XLOOKUP(C136,Code!A:A,Code!B:B),"")</f>
        <v/>
      </c>
      <c r="E136" s="115"/>
      <c r="F136" s="115"/>
      <c r="G136" s="115"/>
      <c r="H136" s="115"/>
      <c r="I136" s="115"/>
      <c r="J136" s="115"/>
      <c r="K136" s="115"/>
      <c r="L136" s="115"/>
      <c r="M136" s="115"/>
    </row>
    <row r="137" ht="20.25" customHeight="1">
      <c r="A137" s="166"/>
      <c r="B137" s="163"/>
      <c r="C137" s="163"/>
      <c r="D137" s="163" t="str">
        <f t="array" ref="D137">IFERROR(_xlfn.XLOOKUP(C137,Code!A:A,Code!B:B),"")</f>
        <v/>
      </c>
      <c r="E137" s="124"/>
      <c r="F137" s="124"/>
      <c r="G137" s="124"/>
      <c r="H137" s="124"/>
      <c r="I137" s="124"/>
      <c r="J137" s="124"/>
      <c r="K137" s="124"/>
      <c r="L137" s="124"/>
      <c r="M137" s="124"/>
    </row>
    <row r="138" ht="20.25" customHeight="1">
      <c r="A138" s="175"/>
      <c r="B138" s="159"/>
      <c r="C138" s="159"/>
      <c r="D138" s="159" t="str">
        <f t="array" ref="D138">IFERROR(_xlfn.XLOOKUP(C138,Code!A:A,Code!B:B),"")</f>
        <v/>
      </c>
      <c r="E138" s="115"/>
      <c r="F138" s="115"/>
      <c r="G138" s="115"/>
      <c r="H138" s="115"/>
      <c r="I138" s="115"/>
      <c r="J138" s="115"/>
      <c r="K138" s="115"/>
      <c r="L138" s="115"/>
      <c r="M138" s="115"/>
    </row>
    <row r="139" ht="20.25" customHeight="1">
      <c r="A139" s="166"/>
      <c r="B139" s="163"/>
      <c r="C139" s="163"/>
      <c r="D139" s="163" t="str">
        <f t="array" ref="D139">IFERROR(_xlfn.XLOOKUP(C139,Code!A:A,Code!B:B),"")</f>
        <v/>
      </c>
      <c r="E139" s="124"/>
      <c r="F139" s="124"/>
      <c r="G139" s="124"/>
      <c r="H139" s="124"/>
      <c r="I139" s="124"/>
      <c r="J139" s="124"/>
      <c r="K139" s="124"/>
      <c r="L139" s="124"/>
      <c r="M139" s="124"/>
    </row>
    <row r="140" ht="20.25" customHeight="1">
      <c r="A140" s="175"/>
      <c r="B140" s="159"/>
      <c r="C140" s="159"/>
      <c r="D140" s="159" t="str">
        <f t="array" ref="D140">IFERROR(_xlfn.XLOOKUP(C140,Code!A:A,Code!B:B),"")</f>
        <v/>
      </c>
      <c r="E140" s="115"/>
      <c r="F140" s="115"/>
      <c r="G140" s="115"/>
      <c r="H140" s="115"/>
      <c r="I140" s="115"/>
      <c r="J140" s="115"/>
      <c r="K140" s="115"/>
      <c r="L140" s="115"/>
      <c r="M140" s="115"/>
    </row>
    <row r="141" ht="20.25" customHeight="1">
      <c r="A141" s="166"/>
      <c r="B141" s="163"/>
      <c r="C141" s="163"/>
      <c r="D141" s="163" t="str">
        <f t="array" ref="D141">IFERROR(_xlfn.XLOOKUP(C141,Code!A:A,Code!B:B),"")</f>
        <v/>
      </c>
      <c r="E141" s="124"/>
      <c r="F141" s="124"/>
      <c r="G141" s="124"/>
      <c r="H141" s="124"/>
      <c r="I141" s="124"/>
      <c r="J141" s="124"/>
      <c r="K141" s="124"/>
      <c r="L141" s="124"/>
      <c r="M141" s="124"/>
    </row>
    <row r="142" ht="20.25" customHeight="1">
      <c r="A142" s="175"/>
      <c r="B142" s="159"/>
      <c r="C142" s="159"/>
      <c r="D142" s="159" t="str">
        <f t="array" ref="D142">IFERROR(_xlfn.XLOOKUP(C142,Code!A:A,Code!B:B),"")</f>
        <v/>
      </c>
      <c r="E142" s="115"/>
      <c r="F142" s="115"/>
      <c r="G142" s="115"/>
      <c r="H142" s="115"/>
      <c r="I142" s="115"/>
      <c r="J142" s="115"/>
      <c r="K142" s="115"/>
      <c r="L142" s="115"/>
      <c r="M142" s="115"/>
    </row>
    <row r="143" ht="20.25" customHeight="1">
      <c r="A143" s="166"/>
      <c r="B143" s="163"/>
      <c r="C143" s="163"/>
      <c r="D143" s="163" t="str">
        <f t="array" ref="D143">IFERROR(_xlfn.XLOOKUP(C143,Code!A:A,Code!B:B),"")</f>
        <v/>
      </c>
      <c r="E143" s="124"/>
      <c r="F143" s="124"/>
      <c r="G143" s="124"/>
      <c r="H143" s="124"/>
      <c r="I143" s="124"/>
      <c r="J143" s="124"/>
      <c r="K143" s="124"/>
      <c r="L143" s="124"/>
      <c r="M143" s="124"/>
    </row>
    <row r="144" ht="20.25" customHeight="1">
      <c r="A144" s="175"/>
      <c r="B144" s="159"/>
      <c r="C144" s="159"/>
      <c r="D144" s="159" t="str">
        <f t="array" ref="D144">IFERROR(_xlfn.XLOOKUP(C144,Code!A:A,Code!B:B),"")</f>
        <v/>
      </c>
      <c r="E144" s="115"/>
      <c r="F144" s="115"/>
      <c r="G144" s="115"/>
      <c r="H144" s="115"/>
      <c r="I144" s="115"/>
      <c r="J144" s="115"/>
      <c r="K144" s="115"/>
      <c r="L144" s="115"/>
      <c r="M144" s="115"/>
    </row>
    <row r="145" ht="20.25" customHeight="1">
      <c r="A145" s="166"/>
      <c r="B145" s="163"/>
      <c r="C145" s="163"/>
      <c r="D145" s="163" t="str">
        <f t="array" ref="D145">IFERROR(_xlfn.XLOOKUP(C145,Code!A:A,Code!B:B),"")</f>
        <v/>
      </c>
      <c r="E145" s="124"/>
      <c r="F145" s="124"/>
      <c r="G145" s="124"/>
      <c r="H145" s="124"/>
      <c r="I145" s="124"/>
      <c r="J145" s="124"/>
      <c r="K145" s="124"/>
      <c r="L145" s="124"/>
      <c r="M145" s="124"/>
    </row>
    <row r="146" ht="20.25" customHeight="1">
      <c r="A146" s="175"/>
      <c r="B146" s="159"/>
      <c r="C146" s="159"/>
      <c r="D146" s="159" t="str">
        <f t="array" ref="D146">IFERROR(_xlfn.XLOOKUP(C146,Code!A:A,Code!B:B),"")</f>
        <v/>
      </c>
      <c r="E146" s="115"/>
      <c r="F146" s="115"/>
      <c r="G146" s="115"/>
      <c r="H146" s="115"/>
      <c r="I146" s="115"/>
      <c r="J146" s="115"/>
      <c r="K146" s="115"/>
      <c r="L146" s="115"/>
      <c r="M146" s="115"/>
    </row>
    <row r="147" ht="20.25" customHeight="1">
      <c r="A147" s="166"/>
      <c r="B147" s="163"/>
      <c r="C147" s="163"/>
      <c r="D147" s="163" t="str">
        <f t="array" ref="D147">IFERROR(_xlfn.XLOOKUP(C147,Code!A:A,Code!B:B),"")</f>
        <v/>
      </c>
      <c r="E147" s="124"/>
      <c r="F147" s="124"/>
      <c r="G147" s="124"/>
      <c r="H147" s="124"/>
      <c r="I147" s="124"/>
      <c r="J147" s="124"/>
      <c r="K147" s="124"/>
      <c r="L147" s="124"/>
      <c r="M147" s="124"/>
    </row>
    <row r="148" ht="20.25" customHeight="1">
      <c r="A148" s="175"/>
      <c r="B148" s="159"/>
      <c r="C148" s="159"/>
      <c r="D148" s="159" t="str">
        <f t="array" ref="D148">IFERROR(_xlfn.XLOOKUP(C148,Code!A:A,Code!B:B),"")</f>
        <v/>
      </c>
      <c r="E148" s="115"/>
      <c r="F148" s="115"/>
      <c r="G148" s="115"/>
      <c r="H148" s="115"/>
      <c r="I148" s="115"/>
      <c r="J148" s="115"/>
      <c r="K148" s="115"/>
      <c r="L148" s="115"/>
      <c r="M148" s="115"/>
    </row>
    <row r="149" ht="20.25" customHeight="1">
      <c r="A149" s="166"/>
      <c r="B149" s="163"/>
      <c r="C149" s="163"/>
      <c r="D149" s="163" t="str">
        <f t="array" ref="D149">IFERROR(_xlfn.XLOOKUP(C149,Code!A:A,Code!B:B),"")</f>
        <v/>
      </c>
      <c r="E149" s="124"/>
      <c r="F149" s="124"/>
      <c r="G149" s="124"/>
      <c r="H149" s="124"/>
      <c r="I149" s="124"/>
      <c r="J149" s="124"/>
      <c r="K149" s="124"/>
      <c r="L149" s="124"/>
      <c r="M149" s="124"/>
    </row>
    <row r="150" ht="20.25" customHeight="1">
      <c r="A150" s="175"/>
      <c r="B150" s="159"/>
      <c r="C150" s="159"/>
      <c r="D150" s="159" t="str">
        <f t="array" ref="D150">IFERROR(_xlfn.XLOOKUP(C150,Code!A:A,Code!B:B),"")</f>
        <v/>
      </c>
      <c r="E150" s="115"/>
      <c r="F150" s="115"/>
      <c r="G150" s="115"/>
      <c r="H150" s="115"/>
      <c r="I150" s="115"/>
      <c r="J150" s="115"/>
      <c r="K150" s="115"/>
      <c r="L150" s="115"/>
      <c r="M150" s="115"/>
    </row>
    <row r="151" ht="20.25" customHeight="1">
      <c r="A151" s="166"/>
      <c r="B151" s="163"/>
      <c r="C151" s="163"/>
      <c r="D151" s="163" t="str">
        <f t="array" ref="D151">IFERROR(_xlfn.XLOOKUP(C151,Code!A:A,Code!B:B),"")</f>
        <v/>
      </c>
      <c r="E151" s="124"/>
      <c r="F151" s="124"/>
      <c r="G151" s="124"/>
      <c r="H151" s="124"/>
      <c r="I151" s="124"/>
      <c r="J151" s="124"/>
      <c r="K151" s="124"/>
      <c r="L151" s="124"/>
      <c r="M151" s="124"/>
    </row>
    <row r="152" ht="20.25" customHeight="1">
      <c r="A152" s="175"/>
      <c r="B152" s="159"/>
      <c r="C152" s="159"/>
      <c r="D152" s="159" t="str">
        <f t="array" ref="D152">IFERROR(_xlfn.XLOOKUP(C152,Code!A:A,Code!B:B),"")</f>
        <v/>
      </c>
      <c r="E152" s="115"/>
      <c r="F152" s="115"/>
      <c r="G152" s="115"/>
      <c r="H152" s="115"/>
      <c r="I152" s="115"/>
      <c r="J152" s="115"/>
      <c r="K152" s="115"/>
      <c r="L152" s="115"/>
      <c r="M152" s="115"/>
    </row>
    <row r="153" ht="20.25" customHeight="1">
      <c r="A153" s="166"/>
      <c r="B153" s="163"/>
      <c r="C153" s="163"/>
      <c r="D153" s="163" t="str">
        <f t="array" ref="D153">IFERROR(_xlfn.XLOOKUP(C153,Code!A:A,Code!B:B),"")</f>
        <v/>
      </c>
      <c r="E153" s="124"/>
      <c r="F153" s="124"/>
      <c r="G153" s="124"/>
      <c r="H153" s="124"/>
      <c r="I153" s="124"/>
      <c r="J153" s="124"/>
      <c r="K153" s="124"/>
      <c r="L153" s="124"/>
      <c r="M153" s="124"/>
    </row>
    <row r="154" ht="20.25" customHeight="1">
      <c r="A154" s="175"/>
      <c r="B154" s="159"/>
      <c r="C154" s="159"/>
      <c r="D154" s="159" t="str">
        <f t="array" ref="D154">IFERROR(_xlfn.XLOOKUP(C154,Code!A:A,Code!B:B),"")</f>
        <v/>
      </c>
      <c r="E154" s="115"/>
      <c r="F154" s="115"/>
      <c r="G154" s="115"/>
      <c r="H154" s="115"/>
      <c r="I154" s="115"/>
      <c r="J154" s="115"/>
      <c r="K154" s="115"/>
      <c r="L154" s="115"/>
      <c r="M154" s="115"/>
    </row>
    <row r="155" ht="20.25" customHeight="1">
      <c r="A155" s="166"/>
      <c r="B155" s="163"/>
      <c r="C155" s="163"/>
      <c r="D155" s="163" t="str">
        <f t="array" ref="D155">IFERROR(_xlfn.XLOOKUP(C155,Code!A:A,Code!B:B),"")</f>
        <v/>
      </c>
      <c r="E155" s="124"/>
      <c r="F155" s="124"/>
      <c r="G155" s="124"/>
      <c r="H155" s="124"/>
      <c r="I155" s="124"/>
      <c r="J155" s="124"/>
      <c r="K155" s="124"/>
      <c r="L155" s="124"/>
      <c r="M155" s="124"/>
    </row>
    <row r="156" ht="20.25" customHeight="1">
      <c r="A156" s="175"/>
      <c r="B156" s="159"/>
      <c r="C156" s="159"/>
      <c r="D156" s="159" t="str">
        <f t="array" ref="D156">IFERROR(_xlfn.XLOOKUP(C156,Code!A:A,Code!B:B),"")</f>
        <v/>
      </c>
      <c r="E156" s="115"/>
      <c r="F156" s="115"/>
      <c r="G156" s="115"/>
      <c r="H156" s="115"/>
      <c r="I156" s="115"/>
      <c r="J156" s="115"/>
      <c r="K156" s="115"/>
      <c r="L156" s="115"/>
      <c r="M156" s="115"/>
    </row>
    <row r="157" ht="20.25" customHeight="1">
      <c r="A157" s="166"/>
      <c r="B157" s="163"/>
      <c r="C157" s="163"/>
      <c r="D157" s="163" t="str">
        <f t="array" ref="D157">IFERROR(_xlfn.XLOOKUP(C157,Code!A:A,Code!B:B),"")</f>
        <v/>
      </c>
      <c r="E157" s="124"/>
      <c r="F157" s="124"/>
      <c r="G157" s="124"/>
      <c r="H157" s="124"/>
      <c r="I157" s="124"/>
      <c r="J157" s="124"/>
      <c r="K157" s="124"/>
      <c r="L157" s="124"/>
      <c r="M157" s="124"/>
    </row>
    <row r="158" ht="20.25" customHeight="1">
      <c r="A158" s="175"/>
      <c r="B158" s="159"/>
      <c r="C158" s="159"/>
      <c r="D158" s="159" t="str">
        <f t="array" ref="D158">IFERROR(_xlfn.XLOOKUP(C158,Code!A:A,Code!B:B),"")</f>
        <v/>
      </c>
      <c r="E158" s="115"/>
      <c r="F158" s="115"/>
      <c r="G158" s="115"/>
      <c r="H158" s="115"/>
      <c r="I158" s="115"/>
      <c r="J158" s="115"/>
      <c r="K158" s="115"/>
      <c r="L158" s="115"/>
      <c r="M158" s="115"/>
    </row>
    <row r="159" ht="20.25" customHeight="1">
      <c r="A159" s="166"/>
      <c r="B159" s="163"/>
      <c r="C159" s="163"/>
      <c r="D159" s="163" t="str">
        <f t="array" ref="D159">IFERROR(_xlfn.XLOOKUP(C159,Code!A:A,Code!B:B),"")</f>
        <v/>
      </c>
      <c r="E159" s="124"/>
      <c r="F159" s="124"/>
      <c r="G159" s="124"/>
      <c r="H159" s="124"/>
      <c r="I159" s="124"/>
      <c r="J159" s="124"/>
      <c r="K159" s="124"/>
      <c r="L159" s="124"/>
      <c r="M159" s="124"/>
    </row>
    <row r="160" ht="20.25" customHeight="1">
      <c r="A160" s="175"/>
      <c r="B160" s="159"/>
      <c r="C160" s="159"/>
      <c r="D160" s="159" t="str">
        <f t="array" ref="D160">IFERROR(_xlfn.XLOOKUP(C160,Code!A:A,Code!B:B),"")</f>
        <v/>
      </c>
      <c r="E160" s="115"/>
      <c r="F160" s="115"/>
      <c r="G160" s="115"/>
      <c r="H160" s="115"/>
      <c r="I160" s="115"/>
      <c r="J160" s="115"/>
      <c r="K160" s="115"/>
      <c r="L160" s="115"/>
      <c r="M160" s="115"/>
    </row>
    <row r="161" ht="20.25" customHeight="1">
      <c r="A161" s="166"/>
      <c r="B161" s="163"/>
      <c r="C161" s="163"/>
      <c r="D161" s="163" t="str">
        <f t="array" ref="D161">IFERROR(_xlfn.XLOOKUP(C161,Code!A:A,Code!B:B),"")</f>
        <v/>
      </c>
      <c r="E161" s="124"/>
      <c r="F161" s="124"/>
      <c r="G161" s="124"/>
      <c r="H161" s="124"/>
      <c r="I161" s="124"/>
      <c r="J161" s="124"/>
      <c r="K161" s="124"/>
      <c r="L161" s="124"/>
      <c r="M161" s="124"/>
    </row>
    <row r="162" ht="20.25" customHeight="1">
      <c r="A162" s="175"/>
      <c r="B162" s="159"/>
      <c r="C162" s="159"/>
      <c r="D162" s="159" t="str">
        <f t="array" ref="D162">IFERROR(_xlfn.XLOOKUP(C162,Code!A:A,Code!B:B),"")</f>
        <v/>
      </c>
      <c r="E162" s="115"/>
      <c r="F162" s="115"/>
      <c r="G162" s="115"/>
      <c r="H162" s="115"/>
      <c r="I162" s="115"/>
      <c r="J162" s="115"/>
      <c r="K162" s="115"/>
      <c r="L162" s="115"/>
      <c r="M162" s="115"/>
    </row>
    <row r="163" ht="20.25" customHeight="1">
      <c r="A163" s="166"/>
      <c r="B163" s="163"/>
      <c r="C163" s="163"/>
      <c r="D163" s="163" t="str">
        <f t="array" ref="D163">IFERROR(_xlfn.XLOOKUP(C163,Code!A:A,Code!B:B),"")</f>
        <v/>
      </c>
      <c r="E163" s="124"/>
      <c r="F163" s="124"/>
      <c r="G163" s="124"/>
      <c r="H163" s="124"/>
      <c r="I163" s="124"/>
      <c r="J163" s="124"/>
      <c r="K163" s="124"/>
      <c r="L163" s="124"/>
      <c r="M163" s="124"/>
    </row>
    <row r="164" ht="20.25" customHeight="1">
      <c r="A164" s="175"/>
      <c r="B164" s="159"/>
      <c r="C164" s="159"/>
      <c r="D164" s="159" t="str">
        <f t="array" ref="D164">IFERROR(_xlfn.XLOOKUP(C164,Code!A:A,Code!B:B),"")</f>
        <v/>
      </c>
      <c r="E164" s="115"/>
      <c r="F164" s="115"/>
      <c r="G164" s="115"/>
      <c r="H164" s="115"/>
      <c r="I164" s="115"/>
      <c r="J164" s="115"/>
      <c r="K164" s="115"/>
      <c r="L164" s="115"/>
      <c r="M164" s="115"/>
    </row>
    <row r="165" ht="20.25" customHeight="1">
      <c r="A165" s="166"/>
      <c r="B165" s="163"/>
      <c r="C165" s="163"/>
      <c r="D165" s="163" t="str">
        <f t="array" ref="D165">IFERROR(_xlfn.XLOOKUP(C165,Code!A:A,Code!B:B),"")</f>
        <v/>
      </c>
      <c r="E165" s="124"/>
      <c r="F165" s="124"/>
      <c r="G165" s="124"/>
      <c r="H165" s="124"/>
      <c r="I165" s="124"/>
      <c r="J165" s="124"/>
      <c r="K165" s="124"/>
      <c r="L165" s="124"/>
      <c r="M165" s="124"/>
    </row>
    <row r="166" ht="20.25" customHeight="1">
      <c r="A166" s="175"/>
      <c r="B166" s="159"/>
      <c r="C166" s="159"/>
      <c r="D166" s="159" t="str">
        <f t="array" ref="D166">IFERROR(_xlfn.XLOOKUP(C166,Code!A:A,Code!B:B),"")</f>
        <v/>
      </c>
      <c r="E166" s="115"/>
      <c r="F166" s="115"/>
      <c r="G166" s="115"/>
      <c r="H166" s="115"/>
      <c r="I166" s="115"/>
      <c r="J166" s="115"/>
      <c r="K166" s="115"/>
      <c r="L166" s="115"/>
      <c r="M166" s="115"/>
    </row>
    <row r="167" ht="20.25" customHeight="1">
      <c r="A167" s="166"/>
      <c r="B167" s="163"/>
      <c r="C167" s="163"/>
      <c r="D167" s="163" t="str">
        <f t="array" ref="D167">IFERROR(_xlfn.XLOOKUP(C167,Code!A:A,Code!B:B),"")</f>
        <v/>
      </c>
      <c r="E167" s="124"/>
      <c r="F167" s="124"/>
      <c r="G167" s="124"/>
      <c r="H167" s="124"/>
      <c r="I167" s="124"/>
      <c r="J167" s="124"/>
      <c r="K167" s="124"/>
      <c r="L167" s="124"/>
      <c r="M167" s="124"/>
    </row>
    <row r="168" ht="20.25" customHeight="1">
      <c r="A168" s="175"/>
      <c r="B168" s="159"/>
      <c r="C168" s="159"/>
      <c r="D168" s="159" t="str">
        <f t="array" ref="D168">IFERROR(_xlfn.XLOOKUP(C168,Code!A:A,Code!B:B),"")</f>
        <v/>
      </c>
      <c r="E168" s="115"/>
      <c r="F168" s="115"/>
      <c r="G168" s="115"/>
      <c r="H168" s="115"/>
      <c r="I168" s="115"/>
      <c r="J168" s="115"/>
      <c r="K168" s="115"/>
      <c r="L168" s="115"/>
      <c r="M168" s="115"/>
    </row>
    <row r="169" ht="20.25" customHeight="1">
      <c r="A169" s="166"/>
      <c r="B169" s="163"/>
      <c r="C169" s="163"/>
      <c r="D169" s="163" t="str">
        <f t="array" ref="D169">IFERROR(_xlfn.XLOOKUP(C169,Code!A:A,Code!B:B),"")</f>
        <v/>
      </c>
      <c r="E169" s="124"/>
      <c r="F169" s="124"/>
      <c r="G169" s="124"/>
      <c r="H169" s="124"/>
      <c r="I169" s="124"/>
      <c r="J169" s="124"/>
      <c r="K169" s="124"/>
      <c r="L169" s="124"/>
      <c r="M169" s="124"/>
    </row>
    <row r="170" ht="20.25" customHeight="1">
      <c r="A170" s="175"/>
      <c r="B170" s="159"/>
      <c r="C170" s="159"/>
      <c r="D170" s="159" t="str">
        <f t="array" ref="D170">IFERROR(_xlfn.XLOOKUP(C170,Code!A:A,Code!B:B),"")</f>
        <v/>
      </c>
      <c r="E170" s="115"/>
      <c r="F170" s="115"/>
      <c r="G170" s="115"/>
      <c r="H170" s="115"/>
      <c r="I170" s="115"/>
      <c r="J170" s="115"/>
      <c r="K170" s="115"/>
      <c r="L170" s="115"/>
      <c r="M170" s="115"/>
    </row>
    <row r="171" ht="20.25" customHeight="1">
      <c r="A171" s="166"/>
      <c r="B171" s="163"/>
      <c r="C171" s="163"/>
      <c r="D171" s="163" t="str">
        <f t="array" ref="D171">IFERROR(_xlfn.XLOOKUP(C171,Code!A:A,Code!B:B),"")</f>
        <v/>
      </c>
      <c r="E171" s="124"/>
      <c r="F171" s="124"/>
      <c r="G171" s="124"/>
      <c r="H171" s="124"/>
      <c r="I171" s="124"/>
      <c r="J171" s="124"/>
      <c r="K171" s="124"/>
      <c r="L171" s="124"/>
      <c r="M171" s="124"/>
    </row>
    <row r="172" ht="20.25" customHeight="1">
      <c r="A172" s="175"/>
      <c r="B172" s="159"/>
      <c r="C172" s="159"/>
      <c r="D172" s="159" t="str">
        <f t="array" ref="D172">IFERROR(_xlfn.XLOOKUP(C172,Code!A:A,Code!B:B),"")</f>
        <v/>
      </c>
      <c r="E172" s="115"/>
      <c r="F172" s="115"/>
      <c r="G172" s="115"/>
      <c r="H172" s="115"/>
      <c r="I172" s="115"/>
      <c r="J172" s="115"/>
      <c r="K172" s="115"/>
      <c r="L172" s="115"/>
      <c r="M172" s="115"/>
    </row>
    <row r="173" ht="20.25" customHeight="1">
      <c r="A173" s="166"/>
      <c r="B173" s="163"/>
      <c r="C173" s="163"/>
      <c r="D173" s="163" t="str">
        <f t="array" ref="D173">IFERROR(_xlfn.XLOOKUP(C173,Code!A:A,Code!B:B),"")</f>
        <v/>
      </c>
      <c r="E173" s="124"/>
      <c r="F173" s="124"/>
      <c r="G173" s="124"/>
      <c r="H173" s="124"/>
      <c r="I173" s="124"/>
      <c r="J173" s="124"/>
      <c r="K173" s="124"/>
      <c r="L173" s="124"/>
      <c r="M173" s="124"/>
    </row>
    <row r="174" ht="20.25" customHeight="1">
      <c r="A174" s="175"/>
      <c r="B174" s="159"/>
      <c r="C174" s="159"/>
      <c r="D174" s="159" t="str">
        <f t="array" ref="D174">IFERROR(_xlfn.XLOOKUP(C174,Code!A:A,Code!B:B),"")</f>
        <v/>
      </c>
      <c r="E174" s="115"/>
      <c r="F174" s="115"/>
      <c r="G174" s="115"/>
      <c r="H174" s="115"/>
      <c r="I174" s="115"/>
      <c r="J174" s="115"/>
      <c r="K174" s="115"/>
      <c r="L174" s="115"/>
      <c r="M174" s="115"/>
    </row>
    <row r="175" ht="20.25" customHeight="1">
      <c r="A175" s="166"/>
      <c r="B175" s="163"/>
      <c r="C175" s="163"/>
      <c r="D175" s="163" t="str">
        <f t="array" ref="D175">IFERROR(_xlfn.XLOOKUP(C175,Code!A:A,Code!B:B),"")</f>
        <v/>
      </c>
      <c r="E175" s="124"/>
      <c r="F175" s="124"/>
      <c r="G175" s="124"/>
      <c r="H175" s="124"/>
      <c r="I175" s="124"/>
      <c r="J175" s="124"/>
      <c r="K175" s="124"/>
      <c r="L175" s="124"/>
      <c r="M175" s="124"/>
    </row>
    <row r="176" ht="20.25" customHeight="1">
      <c r="A176" s="175"/>
      <c r="B176" s="159"/>
      <c r="C176" s="159"/>
      <c r="D176" s="159" t="str">
        <f t="array" ref="D176">IFERROR(_xlfn.XLOOKUP(C176,Code!A:A,Code!B:B),"")</f>
        <v/>
      </c>
      <c r="E176" s="115"/>
      <c r="F176" s="115"/>
      <c r="G176" s="115"/>
      <c r="H176" s="115"/>
      <c r="I176" s="115"/>
      <c r="J176" s="115"/>
      <c r="K176" s="115"/>
      <c r="L176" s="115"/>
      <c r="M176" s="115"/>
    </row>
    <row r="177" ht="20.25" customHeight="1">
      <c r="A177" s="166"/>
      <c r="B177" s="163"/>
      <c r="C177" s="163"/>
      <c r="D177" s="163" t="str">
        <f t="array" ref="D177">IFERROR(_xlfn.XLOOKUP(C177,Code!A:A,Code!B:B),"")</f>
        <v/>
      </c>
      <c r="E177" s="124"/>
      <c r="F177" s="124"/>
      <c r="G177" s="124"/>
      <c r="H177" s="124"/>
      <c r="I177" s="124"/>
      <c r="J177" s="124"/>
      <c r="K177" s="124"/>
      <c r="L177" s="124"/>
      <c r="M177" s="124"/>
    </row>
    <row r="178" ht="20.25" customHeight="1">
      <c r="A178" s="175"/>
      <c r="B178" s="159"/>
      <c r="C178" s="159"/>
      <c r="D178" s="159" t="str">
        <f t="array" ref="D178">IFERROR(_xlfn.XLOOKUP(C178,Code!A:A,Code!B:B),"")</f>
        <v/>
      </c>
      <c r="E178" s="115"/>
      <c r="F178" s="115"/>
      <c r="G178" s="115"/>
      <c r="H178" s="115"/>
      <c r="I178" s="115"/>
      <c r="J178" s="115"/>
      <c r="K178" s="115"/>
      <c r="L178" s="115"/>
      <c r="M178" s="115"/>
    </row>
    <row r="179" ht="20.25" customHeight="1">
      <c r="A179" s="166"/>
      <c r="B179" s="163"/>
      <c r="C179" s="163"/>
      <c r="D179" s="163" t="str">
        <f t="array" ref="D179">IFERROR(_xlfn.XLOOKUP(C179,Code!A:A,Code!B:B),"")</f>
        <v/>
      </c>
      <c r="E179" s="124"/>
      <c r="F179" s="124"/>
      <c r="G179" s="124"/>
      <c r="H179" s="124"/>
      <c r="I179" s="124"/>
      <c r="J179" s="124"/>
      <c r="K179" s="124"/>
      <c r="L179" s="124"/>
      <c r="M179" s="124"/>
    </row>
    <row r="180" ht="20.25" customHeight="1">
      <c r="A180" s="175"/>
      <c r="B180" s="159"/>
      <c r="C180" s="159"/>
      <c r="D180" s="159" t="str">
        <f t="array" ref="D180">IFERROR(_xlfn.XLOOKUP(C180,Code!A:A,Code!B:B),"")</f>
        <v/>
      </c>
      <c r="E180" s="115"/>
      <c r="F180" s="115"/>
      <c r="G180" s="115"/>
      <c r="H180" s="115"/>
      <c r="I180" s="115"/>
      <c r="J180" s="115"/>
      <c r="K180" s="115"/>
      <c r="L180" s="115"/>
      <c r="M180" s="115"/>
    </row>
    <row r="181" ht="20.25" customHeight="1">
      <c r="A181" s="166"/>
      <c r="B181" s="163"/>
      <c r="C181" s="163"/>
      <c r="D181" s="163" t="str">
        <f t="array" ref="D181">IFERROR(_xlfn.XLOOKUP(C181,Code!A:A,Code!B:B),"")</f>
        <v/>
      </c>
      <c r="E181" s="124"/>
      <c r="F181" s="124"/>
      <c r="G181" s="124"/>
      <c r="H181" s="124"/>
      <c r="I181" s="124"/>
      <c r="J181" s="124"/>
      <c r="K181" s="124"/>
      <c r="L181" s="124"/>
      <c r="M181" s="124"/>
    </row>
    <row r="182" ht="20.25" customHeight="1">
      <c r="A182" s="175"/>
      <c r="B182" s="159"/>
      <c r="C182" s="159"/>
      <c r="D182" s="159" t="str">
        <f t="array" ref="D182">IFERROR(_xlfn.XLOOKUP(C182,Code!A:A,Code!B:B),"")</f>
        <v/>
      </c>
      <c r="E182" s="115"/>
      <c r="F182" s="115"/>
      <c r="G182" s="115"/>
      <c r="H182" s="115"/>
      <c r="I182" s="115"/>
      <c r="J182" s="115"/>
      <c r="K182" s="115"/>
      <c r="L182" s="115"/>
      <c r="M182" s="115"/>
    </row>
    <row r="183" ht="20.25" customHeight="1">
      <c r="A183" s="166"/>
      <c r="B183" s="163"/>
      <c r="C183" s="163"/>
      <c r="D183" s="163" t="str">
        <f t="array" ref="D183">IFERROR(_xlfn.XLOOKUP(C183,Code!A:A,Code!B:B),"")</f>
        <v/>
      </c>
      <c r="E183" s="124"/>
      <c r="F183" s="124"/>
      <c r="G183" s="124"/>
      <c r="H183" s="124"/>
      <c r="I183" s="124"/>
      <c r="J183" s="124"/>
      <c r="K183" s="124"/>
      <c r="L183" s="124"/>
      <c r="M183" s="124"/>
    </row>
    <row r="184" ht="20.25" customHeight="1">
      <c r="A184" s="175"/>
      <c r="B184" s="159"/>
      <c r="C184" s="159"/>
      <c r="D184" s="159" t="str">
        <f t="array" ref="D184">IFERROR(_xlfn.XLOOKUP(C184,Code!A:A,Code!B:B),"")</f>
        <v/>
      </c>
      <c r="E184" s="115"/>
      <c r="F184" s="115"/>
      <c r="G184" s="115"/>
      <c r="H184" s="115"/>
      <c r="I184" s="115"/>
      <c r="J184" s="115"/>
      <c r="K184" s="115"/>
      <c r="L184" s="115"/>
      <c r="M184" s="115"/>
    </row>
    <row r="185" ht="20.25" customHeight="1">
      <c r="A185" s="166"/>
      <c r="B185" s="163"/>
      <c r="C185" s="163"/>
      <c r="D185" s="163" t="str">
        <f t="array" ref="D185">IFERROR(_xlfn.XLOOKUP(C185,Code!A:A,Code!B:B),"")</f>
        <v/>
      </c>
      <c r="E185" s="124"/>
      <c r="F185" s="124"/>
      <c r="G185" s="124"/>
      <c r="H185" s="124"/>
      <c r="I185" s="124"/>
      <c r="J185" s="124"/>
      <c r="K185" s="124"/>
      <c r="L185" s="124"/>
      <c r="M185" s="124"/>
    </row>
    <row r="186" ht="20.25" customHeight="1">
      <c r="A186" s="175"/>
      <c r="B186" s="159"/>
      <c r="C186" s="159"/>
      <c r="D186" s="159" t="str">
        <f t="array" ref="D186">IFERROR(_xlfn.XLOOKUP(C186,Code!A:A,Code!B:B),"")</f>
        <v/>
      </c>
      <c r="E186" s="115"/>
      <c r="F186" s="115"/>
      <c r="G186" s="115"/>
      <c r="H186" s="115"/>
      <c r="I186" s="115"/>
      <c r="J186" s="115"/>
      <c r="K186" s="115"/>
      <c r="L186" s="115"/>
      <c r="M186" s="115"/>
    </row>
    <row r="187" ht="20.25" customHeight="1">
      <c r="A187" s="166"/>
      <c r="B187" s="163"/>
      <c r="C187" s="163"/>
      <c r="D187" s="163" t="str">
        <f t="array" ref="D187">IFERROR(_xlfn.XLOOKUP(C187,Code!A:A,Code!B:B),"")</f>
        <v/>
      </c>
      <c r="E187" s="124"/>
      <c r="F187" s="124"/>
      <c r="G187" s="124"/>
      <c r="H187" s="124"/>
      <c r="I187" s="124"/>
      <c r="J187" s="124"/>
      <c r="K187" s="124"/>
      <c r="L187" s="124"/>
      <c r="M187" s="124"/>
    </row>
    <row r="188" ht="20.25" customHeight="1">
      <c r="A188" s="175"/>
      <c r="B188" s="159"/>
      <c r="C188" s="159"/>
      <c r="D188" s="159" t="str">
        <f t="array" ref="D188">IFERROR(_xlfn.XLOOKUP(C188,Code!A:A,Code!B:B),"")</f>
        <v/>
      </c>
      <c r="E188" s="115"/>
      <c r="F188" s="115"/>
      <c r="G188" s="115"/>
      <c r="H188" s="115"/>
      <c r="I188" s="115"/>
      <c r="J188" s="115"/>
      <c r="K188" s="115"/>
      <c r="L188" s="115"/>
      <c r="M188" s="115"/>
    </row>
    <row r="189" ht="20.25" customHeight="1">
      <c r="A189" s="166"/>
      <c r="B189" s="163"/>
      <c r="C189" s="163"/>
      <c r="D189" s="163" t="str">
        <f t="array" ref="D189">IFERROR(_xlfn.XLOOKUP(C189,Code!A:A,Code!B:B),"")</f>
        <v/>
      </c>
      <c r="E189" s="124"/>
      <c r="F189" s="124"/>
      <c r="G189" s="124"/>
      <c r="H189" s="124"/>
      <c r="I189" s="124"/>
      <c r="J189" s="124"/>
      <c r="K189" s="124"/>
      <c r="L189" s="124"/>
      <c r="M189" s="124"/>
    </row>
    <row r="190" ht="20.25" customHeight="1">
      <c r="A190" s="175"/>
      <c r="B190" s="159"/>
      <c r="C190" s="159"/>
      <c r="D190" s="159" t="str">
        <f t="array" ref="D190">IFERROR(_xlfn.XLOOKUP(C190,Code!A:A,Code!B:B),"")</f>
        <v/>
      </c>
      <c r="E190" s="115"/>
      <c r="F190" s="115"/>
      <c r="G190" s="115"/>
      <c r="H190" s="115"/>
      <c r="I190" s="115"/>
      <c r="J190" s="115"/>
      <c r="K190" s="115"/>
      <c r="L190" s="115"/>
      <c r="M190" s="115"/>
    </row>
    <row r="191" ht="20.25" customHeight="1">
      <c r="A191" s="166"/>
      <c r="B191" s="163"/>
      <c r="C191" s="163"/>
      <c r="D191" s="163" t="str">
        <f t="array" ref="D191">IFERROR(_xlfn.XLOOKUP(C191,Code!A:A,Code!B:B),"")</f>
        <v/>
      </c>
      <c r="E191" s="124"/>
      <c r="F191" s="124"/>
      <c r="G191" s="124"/>
      <c r="H191" s="124"/>
      <c r="I191" s="124"/>
      <c r="J191" s="124"/>
      <c r="K191" s="124"/>
      <c r="L191" s="124"/>
      <c r="M191" s="124"/>
    </row>
    <row r="192" ht="20.25" customHeight="1">
      <c r="A192" s="175"/>
      <c r="B192" s="159"/>
      <c r="C192" s="159"/>
      <c r="D192" s="159" t="str">
        <f t="array" ref="D192">IFERROR(_xlfn.XLOOKUP(C192,Code!A:A,Code!B:B),"")</f>
        <v/>
      </c>
      <c r="E192" s="115"/>
      <c r="F192" s="115"/>
      <c r="G192" s="115"/>
      <c r="H192" s="115"/>
      <c r="I192" s="115"/>
      <c r="J192" s="115"/>
      <c r="K192" s="115"/>
      <c r="L192" s="115"/>
      <c r="M192" s="115"/>
    </row>
    <row r="193" ht="20.25" customHeight="1">
      <c r="A193" s="166"/>
      <c r="B193" s="163"/>
      <c r="C193" s="163"/>
      <c r="D193" s="163" t="str">
        <f t="array" ref="D193">IFERROR(_xlfn.XLOOKUP(C193,Code!A:A,Code!B:B),"")</f>
        <v/>
      </c>
      <c r="E193" s="124"/>
      <c r="F193" s="124"/>
      <c r="G193" s="124"/>
      <c r="H193" s="124"/>
      <c r="I193" s="124"/>
      <c r="J193" s="124"/>
      <c r="K193" s="124"/>
      <c r="L193" s="124"/>
      <c r="M193" s="124"/>
    </row>
    <row r="194" ht="20.25" customHeight="1">
      <c r="A194" s="175"/>
      <c r="B194" s="159"/>
      <c r="C194" s="159"/>
      <c r="D194" s="159" t="str">
        <f t="array" ref="D194">IFERROR(_xlfn.XLOOKUP(C194,Code!A:A,Code!B:B),"")</f>
        <v/>
      </c>
      <c r="E194" s="115"/>
      <c r="F194" s="115"/>
      <c r="G194" s="115"/>
      <c r="H194" s="115"/>
      <c r="I194" s="115"/>
      <c r="J194" s="115"/>
      <c r="K194" s="115"/>
      <c r="L194" s="115"/>
      <c r="M194" s="115"/>
    </row>
    <row r="195" ht="20.25" customHeight="1">
      <c r="A195" s="166"/>
      <c r="B195" s="163"/>
      <c r="C195" s="163"/>
      <c r="D195" s="163" t="str">
        <f t="array" ref="D195">IFERROR(_xlfn.XLOOKUP(C195,Code!A:A,Code!B:B),"")</f>
        <v/>
      </c>
      <c r="E195" s="124"/>
      <c r="F195" s="124"/>
      <c r="G195" s="124"/>
      <c r="H195" s="124"/>
      <c r="I195" s="124"/>
      <c r="J195" s="124"/>
      <c r="K195" s="124"/>
      <c r="L195" s="124"/>
      <c r="M195" s="124"/>
    </row>
    <row r="196" ht="20.25" customHeight="1">
      <c r="A196" s="175"/>
      <c r="B196" s="159"/>
      <c r="C196" s="159"/>
      <c r="D196" s="159" t="str">
        <f t="array" ref="D196">IFERROR(_xlfn.XLOOKUP(C196,Code!A:A,Code!B:B),"")</f>
        <v/>
      </c>
      <c r="E196" s="115"/>
      <c r="F196" s="115"/>
      <c r="G196" s="115"/>
      <c r="H196" s="115"/>
      <c r="I196" s="115"/>
      <c r="J196" s="115"/>
      <c r="K196" s="115"/>
      <c r="L196" s="115"/>
      <c r="M196" s="115"/>
    </row>
    <row r="197" ht="20.25" customHeight="1">
      <c r="A197" s="166"/>
      <c r="B197" s="163"/>
      <c r="C197" s="163"/>
      <c r="D197" s="163" t="str">
        <f t="array" ref="D197">IFERROR(_xlfn.XLOOKUP(C197,Code!A:A,Code!B:B),"")</f>
        <v/>
      </c>
      <c r="E197" s="124"/>
      <c r="F197" s="124"/>
      <c r="G197" s="124"/>
      <c r="H197" s="124"/>
      <c r="I197" s="124"/>
      <c r="J197" s="124"/>
      <c r="K197" s="124"/>
      <c r="L197" s="124"/>
      <c r="M197" s="124"/>
    </row>
    <row r="198" ht="20.25" customHeight="1">
      <c r="A198" s="175"/>
      <c r="B198" s="159"/>
      <c r="C198" s="159"/>
      <c r="D198" s="159" t="str">
        <f t="array" ref="D198">IFERROR(_xlfn.XLOOKUP(C198,Code!A:A,Code!B:B),"")</f>
        <v/>
      </c>
      <c r="E198" s="115"/>
      <c r="F198" s="115"/>
      <c r="G198" s="115"/>
      <c r="H198" s="115"/>
      <c r="I198" s="115"/>
      <c r="J198" s="115"/>
      <c r="K198" s="115"/>
      <c r="L198" s="115"/>
      <c r="M198" s="115"/>
    </row>
    <row r="199" ht="20.25" customHeight="1">
      <c r="A199" s="166"/>
      <c r="B199" s="163"/>
      <c r="C199" s="163"/>
      <c r="D199" s="163" t="str">
        <f t="array" ref="D199">IFERROR(_xlfn.XLOOKUP(C199,Code!A:A,Code!B:B),"")</f>
        <v/>
      </c>
      <c r="E199" s="124"/>
      <c r="F199" s="124"/>
      <c r="G199" s="124"/>
      <c r="H199" s="124"/>
      <c r="I199" s="124"/>
      <c r="J199" s="124"/>
      <c r="K199" s="124"/>
      <c r="L199" s="124"/>
      <c r="M199" s="124"/>
    </row>
    <row r="200" ht="20.25" customHeight="1">
      <c r="A200" s="175"/>
      <c r="B200" s="159"/>
      <c r="C200" s="159"/>
      <c r="D200" s="159" t="str">
        <f t="array" ref="D200">IFERROR(_xlfn.XLOOKUP(C200,Code!A:A,Code!B:B),"")</f>
        <v/>
      </c>
      <c r="E200" s="115"/>
      <c r="F200" s="115"/>
      <c r="G200" s="115"/>
      <c r="H200" s="115"/>
      <c r="I200" s="115"/>
      <c r="J200" s="115"/>
      <c r="K200" s="115"/>
      <c r="L200" s="115"/>
      <c r="M200" s="115"/>
    </row>
    <row r="201" ht="20.25" customHeight="1">
      <c r="A201" s="166"/>
      <c r="B201" s="163"/>
      <c r="C201" s="163"/>
      <c r="D201" s="163" t="str">
        <f t="array" ref="D201">IFERROR(_xlfn.XLOOKUP(C201,Code!A:A,Code!B:B),"")</f>
        <v/>
      </c>
      <c r="E201" s="124"/>
      <c r="F201" s="124"/>
      <c r="G201" s="124"/>
      <c r="H201" s="124"/>
      <c r="I201" s="124"/>
      <c r="J201" s="124"/>
      <c r="K201" s="124"/>
      <c r="L201" s="124"/>
      <c r="M201" s="124"/>
    </row>
    <row r="202" ht="20.25" customHeight="1">
      <c r="A202" s="175"/>
      <c r="B202" s="159"/>
      <c r="C202" s="159"/>
      <c r="D202" s="159" t="str">
        <f t="array" ref="D202">IFERROR(_xlfn.XLOOKUP(C202,Code!A:A,Code!B:B),"")</f>
        <v/>
      </c>
      <c r="E202" s="115"/>
      <c r="F202" s="115"/>
      <c r="G202" s="115"/>
      <c r="H202" s="115"/>
      <c r="I202" s="115"/>
      <c r="J202" s="115"/>
      <c r="K202" s="115"/>
      <c r="L202" s="115"/>
      <c r="M202" s="115"/>
    </row>
    <row r="203" ht="20.25" customHeight="1">
      <c r="A203" s="166"/>
      <c r="B203" s="163"/>
      <c r="C203" s="163"/>
      <c r="D203" s="163" t="str">
        <f t="array" ref="D203">IFERROR(_xlfn.XLOOKUP(C203,Code!A:A,Code!B:B),"")</f>
        <v/>
      </c>
      <c r="E203" s="124"/>
      <c r="F203" s="124"/>
      <c r="G203" s="124"/>
      <c r="H203" s="124"/>
      <c r="I203" s="124"/>
      <c r="J203" s="124"/>
      <c r="K203" s="124"/>
      <c r="L203" s="124"/>
      <c r="M203" s="124"/>
    </row>
    <row r="204" ht="20.25" customHeight="1">
      <c r="A204" s="175"/>
      <c r="B204" s="159"/>
      <c r="C204" s="159"/>
      <c r="D204" s="159" t="str">
        <f t="array" ref="D204">IFERROR(_xlfn.XLOOKUP(C204,Code!A:A,Code!B:B),"")</f>
        <v/>
      </c>
      <c r="E204" s="115"/>
      <c r="F204" s="115"/>
      <c r="G204" s="115"/>
      <c r="H204" s="115"/>
      <c r="I204" s="115"/>
      <c r="J204" s="115"/>
      <c r="K204" s="115"/>
      <c r="L204" s="115"/>
      <c r="M204" s="115"/>
    </row>
    <row r="205" ht="20.25" customHeight="1">
      <c r="A205" s="166"/>
      <c r="B205" s="163"/>
      <c r="C205" s="163"/>
      <c r="D205" s="163" t="str">
        <f t="array" ref="D205">IFERROR(_xlfn.XLOOKUP(C205,Code!A:A,Code!B:B),"")</f>
        <v/>
      </c>
      <c r="E205" s="124"/>
      <c r="F205" s="124"/>
      <c r="G205" s="124"/>
      <c r="H205" s="124"/>
      <c r="I205" s="124"/>
      <c r="J205" s="124"/>
      <c r="K205" s="124"/>
      <c r="L205" s="124"/>
      <c r="M205" s="124"/>
    </row>
    <row r="206" ht="20.25" customHeight="1">
      <c r="A206" s="175"/>
      <c r="B206" s="159"/>
      <c r="C206" s="159"/>
      <c r="D206" s="159" t="str">
        <f t="array" ref="D206">IFERROR(_xlfn.XLOOKUP(C206,Code!A:A,Code!B:B),"")</f>
        <v/>
      </c>
      <c r="E206" s="115"/>
      <c r="F206" s="115"/>
      <c r="G206" s="115"/>
      <c r="H206" s="115"/>
      <c r="I206" s="115"/>
      <c r="J206" s="115"/>
      <c r="K206" s="115"/>
      <c r="L206" s="115"/>
      <c r="M206" s="115"/>
    </row>
    <row r="207" ht="20.25" customHeight="1">
      <c r="A207" s="166"/>
      <c r="B207" s="163"/>
      <c r="C207" s="163"/>
      <c r="D207" s="163" t="str">
        <f t="array" ref="D207">IFERROR(_xlfn.XLOOKUP(C207,Code!A:A,Code!B:B),"")</f>
        <v/>
      </c>
      <c r="E207" s="124"/>
      <c r="F207" s="124"/>
      <c r="G207" s="124"/>
      <c r="H207" s="124"/>
      <c r="I207" s="124"/>
      <c r="J207" s="124"/>
      <c r="K207" s="124"/>
      <c r="L207" s="124"/>
      <c r="M207" s="124"/>
    </row>
    <row r="208" ht="20.25" customHeight="1">
      <c r="A208" s="175"/>
      <c r="B208" s="159"/>
      <c r="C208" s="159"/>
      <c r="D208" s="159" t="str">
        <f t="array" ref="D208">IFERROR(_xlfn.XLOOKUP(C208,Code!A:A,Code!B:B),"")</f>
        <v/>
      </c>
      <c r="E208" s="115"/>
      <c r="F208" s="115"/>
      <c r="G208" s="115"/>
      <c r="H208" s="115"/>
      <c r="I208" s="115"/>
      <c r="J208" s="115"/>
      <c r="K208" s="115"/>
      <c r="L208" s="115"/>
      <c r="M208" s="115"/>
    </row>
    <row r="209" ht="20.25" customHeight="1">
      <c r="A209" s="166"/>
      <c r="B209" s="163"/>
      <c r="C209" s="163"/>
      <c r="D209" s="163" t="str">
        <f t="array" ref="D209">IFERROR(_xlfn.XLOOKUP(C209,Code!A:A,Code!B:B),"")</f>
        <v/>
      </c>
      <c r="E209" s="124"/>
      <c r="F209" s="124"/>
      <c r="G209" s="124"/>
      <c r="H209" s="124"/>
      <c r="I209" s="124"/>
      <c r="J209" s="124"/>
      <c r="K209" s="124"/>
      <c r="L209" s="124"/>
      <c r="M209" s="124"/>
    </row>
    <row r="210" ht="20.25" customHeight="1">
      <c r="A210" s="175"/>
      <c r="B210" s="159"/>
      <c r="C210" s="159"/>
      <c r="D210" s="159" t="str">
        <f t="array" ref="D210">IFERROR(_xlfn.XLOOKUP(C210,Code!A:A,Code!B:B),"")</f>
        <v/>
      </c>
      <c r="E210" s="115"/>
      <c r="F210" s="115"/>
      <c r="G210" s="115"/>
      <c r="H210" s="115"/>
      <c r="I210" s="115"/>
      <c r="J210" s="115"/>
      <c r="K210" s="115"/>
      <c r="L210" s="115"/>
      <c r="M210" s="115"/>
    </row>
    <row r="211" ht="20.25" customHeight="1">
      <c r="A211" s="166"/>
      <c r="B211" s="163"/>
      <c r="C211" s="163"/>
      <c r="D211" s="163" t="str">
        <f t="array" ref="D211">IFERROR(_xlfn.XLOOKUP(C211,Code!A:A,Code!B:B),"")</f>
        <v/>
      </c>
      <c r="E211" s="124"/>
      <c r="F211" s="124"/>
      <c r="G211" s="124"/>
      <c r="H211" s="124"/>
      <c r="I211" s="124"/>
      <c r="J211" s="124"/>
      <c r="K211" s="124"/>
      <c r="L211" s="124"/>
      <c r="M211" s="124"/>
    </row>
    <row r="212" ht="20.25" customHeight="1">
      <c r="A212" s="175"/>
      <c r="B212" s="159"/>
      <c r="C212" s="159"/>
      <c r="D212" s="159" t="str">
        <f t="array" ref="D212">IFERROR(_xlfn.XLOOKUP(C212,Code!A:A,Code!B:B),"")</f>
        <v/>
      </c>
      <c r="E212" s="115"/>
      <c r="F212" s="115"/>
      <c r="G212" s="115"/>
      <c r="H212" s="115"/>
      <c r="I212" s="115"/>
      <c r="J212" s="115"/>
      <c r="K212" s="115"/>
      <c r="L212" s="115"/>
      <c r="M212" s="115"/>
    </row>
    <row r="213" ht="20.25" customHeight="1">
      <c r="A213" s="166"/>
      <c r="B213" s="163"/>
      <c r="C213" s="163"/>
      <c r="D213" s="163" t="str">
        <f t="array" ref="D213">IFERROR(_xlfn.XLOOKUP(C213,Code!A:A,Code!B:B),"")</f>
        <v/>
      </c>
      <c r="E213" s="124"/>
      <c r="F213" s="124"/>
      <c r="G213" s="124"/>
      <c r="H213" s="124"/>
      <c r="I213" s="124"/>
      <c r="J213" s="124"/>
      <c r="K213" s="124"/>
      <c r="L213" s="124"/>
      <c r="M213" s="124"/>
    </row>
    <row r="214" ht="20.25" customHeight="1">
      <c r="A214" s="175"/>
      <c r="B214" s="159"/>
      <c r="C214" s="159"/>
      <c r="D214" s="159" t="str">
        <f t="array" ref="D214">IFERROR(_xlfn.XLOOKUP(C214,Code!A:A,Code!B:B),"")</f>
        <v/>
      </c>
      <c r="E214" s="115"/>
      <c r="F214" s="115"/>
      <c r="G214" s="115"/>
      <c r="H214" s="115"/>
      <c r="I214" s="115"/>
      <c r="J214" s="115"/>
      <c r="K214" s="115"/>
      <c r="L214" s="115"/>
      <c r="M214" s="115"/>
    </row>
    <row r="215" ht="20.25" customHeight="1">
      <c r="A215" s="166"/>
      <c r="B215" s="163"/>
      <c r="C215" s="163"/>
      <c r="D215" s="163" t="str">
        <f t="array" ref="D215">IFERROR(_xlfn.XLOOKUP(C215,Code!A:A,Code!B:B),"")</f>
        <v/>
      </c>
      <c r="E215" s="124"/>
      <c r="F215" s="124"/>
      <c r="G215" s="124"/>
      <c r="H215" s="124"/>
      <c r="I215" s="124"/>
      <c r="J215" s="124"/>
      <c r="K215" s="124"/>
      <c r="L215" s="124"/>
      <c r="M215" s="124"/>
    </row>
    <row r="216" ht="20.25" customHeight="1">
      <c r="A216" s="175"/>
      <c r="B216" s="159"/>
      <c r="C216" s="159"/>
      <c r="D216" s="159" t="str">
        <f t="array" ref="D216">IFERROR(_xlfn.XLOOKUP(C216,Code!A:A,Code!B:B),"")</f>
        <v/>
      </c>
      <c r="E216" s="115"/>
      <c r="F216" s="115"/>
      <c r="G216" s="115"/>
      <c r="H216" s="115"/>
      <c r="I216" s="115"/>
      <c r="J216" s="115"/>
      <c r="K216" s="115"/>
      <c r="L216" s="115"/>
      <c r="M216" s="115"/>
    </row>
    <row r="217" ht="20.25" customHeight="1">
      <c r="A217" s="166"/>
      <c r="B217" s="163"/>
      <c r="C217" s="163"/>
      <c r="D217" s="163" t="str">
        <f t="array" ref="D217">IFERROR(_xlfn.XLOOKUP(C217,Code!A:A,Code!B:B),"")</f>
        <v/>
      </c>
      <c r="E217" s="124"/>
      <c r="F217" s="124"/>
      <c r="G217" s="124"/>
      <c r="H217" s="124"/>
      <c r="I217" s="124"/>
      <c r="J217" s="124"/>
      <c r="K217" s="124"/>
      <c r="L217" s="124"/>
      <c r="M217" s="124"/>
    </row>
    <row r="218" ht="20.25" customHeight="1">
      <c r="A218" s="175"/>
      <c r="B218" s="159"/>
      <c r="C218" s="159"/>
      <c r="D218" s="159" t="str">
        <f t="array" ref="D218">IFERROR(_xlfn.XLOOKUP(C218,Code!A:A,Code!B:B),"")</f>
        <v/>
      </c>
      <c r="E218" s="115"/>
      <c r="F218" s="115"/>
      <c r="G218" s="115"/>
      <c r="H218" s="115"/>
      <c r="I218" s="115"/>
      <c r="J218" s="115"/>
      <c r="K218" s="115"/>
      <c r="L218" s="115"/>
      <c r="M218" s="115"/>
    </row>
    <row r="219" ht="20.25" customHeight="1">
      <c r="A219" s="166"/>
      <c r="B219" s="163"/>
      <c r="C219" s="163"/>
      <c r="D219" s="163" t="str">
        <f t="array" ref="D219">IFERROR(_xlfn.XLOOKUP(C219,Code!A:A,Code!B:B),"")</f>
        <v/>
      </c>
      <c r="E219" s="124"/>
      <c r="F219" s="124"/>
      <c r="G219" s="124"/>
      <c r="H219" s="124"/>
      <c r="I219" s="124"/>
      <c r="J219" s="124"/>
      <c r="K219" s="124"/>
      <c r="L219" s="124"/>
      <c r="M219" s="124"/>
    </row>
    <row r="220" ht="20.25" customHeight="1">
      <c r="A220" s="175"/>
      <c r="B220" s="159"/>
      <c r="C220" s="159"/>
      <c r="D220" s="159" t="str">
        <f t="array" ref="D220">IFERROR(_xlfn.XLOOKUP(C220,Code!A:A,Code!B:B),"")</f>
        <v/>
      </c>
      <c r="E220" s="115"/>
      <c r="F220" s="115"/>
      <c r="G220" s="115"/>
      <c r="H220" s="115"/>
      <c r="I220" s="115"/>
      <c r="J220" s="115"/>
      <c r="K220" s="115"/>
      <c r="L220" s="115"/>
      <c r="M220" s="115"/>
    </row>
    <row r="221" ht="20.25" customHeight="1">
      <c r="A221" s="166"/>
      <c r="B221" s="163"/>
      <c r="C221" s="163"/>
      <c r="D221" s="163" t="str">
        <f t="array" ref="D221">IFERROR(_xlfn.XLOOKUP(C221,Code!A:A,Code!B:B),"")</f>
        <v/>
      </c>
      <c r="E221" s="124"/>
      <c r="F221" s="124"/>
      <c r="G221" s="124"/>
      <c r="H221" s="124"/>
      <c r="I221" s="124"/>
      <c r="J221" s="124"/>
      <c r="K221" s="124"/>
      <c r="L221" s="124"/>
      <c r="M221" s="124"/>
    </row>
    <row r="222" ht="20.25" customHeight="1">
      <c r="A222" s="175"/>
      <c r="B222" s="159"/>
      <c r="C222" s="159"/>
      <c r="D222" s="159" t="str">
        <f t="array" ref="D222">IFERROR(_xlfn.XLOOKUP(C222,Code!A:A,Code!B:B),"")</f>
        <v/>
      </c>
      <c r="E222" s="115"/>
      <c r="F222" s="115"/>
      <c r="G222" s="115"/>
      <c r="H222" s="115"/>
      <c r="I222" s="115"/>
      <c r="J222" s="115"/>
      <c r="K222" s="115"/>
      <c r="L222" s="115"/>
      <c r="M222" s="115"/>
    </row>
    <row r="223" ht="20.25" customHeight="1">
      <c r="A223" s="166"/>
      <c r="B223" s="163"/>
      <c r="C223" s="163"/>
      <c r="D223" s="163" t="str">
        <f t="array" ref="D223">IFERROR(_xlfn.XLOOKUP(C223,Code!A:A,Code!B:B),"")</f>
        <v/>
      </c>
      <c r="E223" s="124"/>
      <c r="F223" s="124"/>
      <c r="G223" s="124"/>
      <c r="H223" s="124"/>
      <c r="I223" s="124"/>
      <c r="J223" s="124"/>
      <c r="K223" s="124"/>
      <c r="L223" s="124"/>
      <c r="M223" s="124"/>
    </row>
    <row r="224" ht="20.25" customHeight="1">
      <c r="A224" s="175"/>
      <c r="B224" s="159"/>
      <c r="C224" s="159"/>
      <c r="D224" s="159" t="str">
        <f t="array" ref="D224">IFERROR(_xlfn.XLOOKUP(C224,Code!A:A,Code!B:B),"")</f>
        <v/>
      </c>
      <c r="E224" s="115"/>
      <c r="F224" s="115"/>
      <c r="G224" s="115"/>
      <c r="H224" s="115"/>
      <c r="I224" s="115"/>
      <c r="J224" s="115"/>
      <c r="K224" s="115"/>
      <c r="L224" s="115"/>
      <c r="M224" s="115"/>
    </row>
    <row r="225" ht="20.25" customHeight="1">
      <c r="A225" s="166"/>
      <c r="B225" s="163"/>
      <c r="C225" s="163"/>
      <c r="D225" s="163" t="str">
        <f t="array" ref="D225">IFERROR(_xlfn.XLOOKUP(C225,Code!A:A,Code!B:B),"")</f>
        <v/>
      </c>
      <c r="E225" s="124"/>
      <c r="F225" s="124"/>
      <c r="G225" s="124"/>
      <c r="H225" s="124"/>
      <c r="I225" s="124"/>
      <c r="J225" s="124"/>
      <c r="K225" s="124"/>
      <c r="L225" s="124"/>
      <c r="M225" s="124"/>
    </row>
    <row r="226" ht="20.25" customHeight="1">
      <c r="A226" s="175"/>
      <c r="B226" s="159"/>
      <c r="C226" s="159"/>
      <c r="D226" s="159" t="str">
        <f t="array" ref="D226">IFERROR(_xlfn.XLOOKUP(C226,Code!A:A,Code!B:B),"")</f>
        <v/>
      </c>
      <c r="E226" s="115"/>
      <c r="F226" s="115"/>
      <c r="G226" s="115"/>
      <c r="H226" s="115"/>
      <c r="I226" s="115"/>
      <c r="J226" s="115"/>
      <c r="K226" s="115"/>
      <c r="L226" s="115"/>
      <c r="M226" s="115"/>
    </row>
    <row r="227" ht="20.25" customHeight="1">
      <c r="A227" s="166"/>
      <c r="B227" s="163"/>
      <c r="C227" s="163"/>
      <c r="D227" s="163" t="str">
        <f t="array" ref="D227">IFERROR(_xlfn.XLOOKUP(C227,Code!A:A,Code!B:B),"")</f>
        <v/>
      </c>
      <c r="E227" s="124"/>
      <c r="F227" s="124"/>
      <c r="G227" s="124"/>
      <c r="H227" s="124"/>
      <c r="I227" s="124"/>
      <c r="J227" s="124"/>
      <c r="K227" s="124"/>
      <c r="L227" s="124"/>
      <c r="M227" s="124"/>
    </row>
    <row r="228" ht="20.25" customHeight="1">
      <c r="A228" s="175"/>
      <c r="B228" s="159"/>
      <c r="C228" s="159"/>
      <c r="D228" s="159" t="str">
        <f t="array" ref="D228">IFERROR(_xlfn.XLOOKUP(C228,Code!A:A,Code!B:B),"")</f>
        <v/>
      </c>
      <c r="E228" s="115"/>
      <c r="F228" s="115"/>
      <c r="G228" s="115"/>
      <c r="H228" s="115"/>
      <c r="I228" s="115"/>
      <c r="J228" s="115"/>
      <c r="K228" s="115"/>
      <c r="L228" s="115"/>
      <c r="M228" s="115"/>
    </row>
    <row r="229" ht="20.25" customHeight="1">
      <c r="A229" s="166"/>
      <c r="B229" s="163"/>
      <c r="C229" s="163"/>
      <c r="D229" s="163" t="str">
        <f t="array" ref="D229">IFERROR(_xlfn.XLOOKUP(C229,Code!A:A,Code!B:B),"")</f>
        <v/>
      </c>
      <c r="E229" s="124"/>
      <c r="F229" s="124"/>
      <c r="G229" s="124"/>
      <c r="H229" s="124"/>
      <c r="I229" s="124"/>
      <c r="J229" s="124"/>
      <c r="K229" s="124"/>
      <c r="L229" s="124"/>
      <c r="M229" s="124"/>
    </row>
    <row r="230" ht="20.25" customHeight="1">
      <c r="A230" s="175"/>
      <c r="B230" s="159"/>
      <c r="C230" s="159"/>
      <c r="D230" s="159" t="str">
        <f t="array" ref="D230">IFERROR(_xlfn.XLOOKUP(C230,Code!A:A,Code!B:B),"")</f>
        <v/>
      </c>
      <c r="E230" s="115"/>
      <c r="F230" s="115"/>
      <c r="G230" s="115"/>
      <c r="H230" s="115"/>
      <c r="I230" s="115"/>
      <c r="J230" s="115"/>
      <c r="K230" s="115"/>
      <c r="L230" s="115"/>
      <c r="M230" s="115"/>
    </row>
    <row r="231" ht="20.25" customHeight="1">
      <c r="A231" s="166"/>
      <c r="B231" s="163"/>
      <c r="C231" s="163"/>
      <c r="D231" s="163" t="str">
        <f t="array" ref="D231">IFERROR(_xlfn.XLOOKUP(C231,Code!A:A,Code!B:B),"")</f>
        <v/>
      </c>
      <c r="E231" s="124"/>
      <c r="F231" s="124"/>
      <c r="G231" s="124"/>
      <c r="H231" s="124"/>
      <c r="I231" s="124"/>
      <c r="J231" s="124"/>
      <c r="K231" s="124"/>
      <c r="L231" s="124"/>
      <c r="M231" s="124"/>
    </row>
    <row r="232" ht="20.25" customHeight="1">
      <c r="A232" s="175"/>
      <c r="B232" s="159"/>
      <c r="C232" s="159"/>
      <c r="D232" s="159" t="str">
        <f t="array" ref="D232">IFERROR(_xlfn.XLOOKUP(C232,Code!A:A,Code!B:B),"")</f>
        <v/>
      </c>
      <c r="E232" s="115"/>
      <c r="F232" s="115"/>
      <c r="G232" s="115"/>
      <c r="H232" s="115"/>
      <c r="I232" s="115"/>
      <c r="J232" s="115"/>
      <c r="K232" s="115"/>
      <c r="L232" s="115"/>
      <c r="M232" s="115"/>
    </row>
    <row r="233" ht="20.25" customHeight="1">
      <c r="A233" s="166"/>
      <c r="B233" s="163"/>
      <c r="C233" s="163"/>
      <c r="D233" s="163" t="str">
        <f t="array" ref="D233">IFERROR(_xlfn.XLOOKUP(C233,Code!A:A,Code!B:B),"")</f>
        <v/>
      </c>
      <c r="E233" s="124"/>
      <c r="F233" s="124"/>
      <c r="G233" s="124"/>
      <c r="H233" s="124"/>
      <c r="I233" s="124"/>
      <c r="J233" s="124"/>
      <c r="K233" s="124"/>
      <c r="L233" s="124"/>
      <c r="M233" s="124"/>
    </row>
    <row r="234" ht="20.25" customHeight="1">
      <c r="A234" s="175"/>
      <c r="B234" s="159"/>
      <c r="C234" s="159"/>
      <c r="D234" s="159" t="str">
        <f t="array" ref="D234">IFERROR(_xlfn.XLOOKUP(C234,Code!A:A,Code!B:B),"")</f>
        <v/>
      </c>
      <c r="E234" s="115"/>
      <c r="F234" s="115"/>
      <c r="G234" s="115"/>
      <c r="H234" s="115"/>
      <c r="I234" s="115"/>
      <c r="J234" s="115"/>
      <c r="K234" s="115"/>
      <c r="L234" s="115"/>
      <c r="M234" s="115"/>
    </row>
    <row r="235" ht="20.25" customHeight="1">
      <c r="A235" s="166"/>
      <c r="B235" s="163"/>
      <c r="C235" s="163"/>
      <c r="D235" s="163" t="str">
        <f t="array" ref="D235">IFERROR(_xlfn.XLOOKUP(C235,Code!A:A,Code!B:B),"")</f>
        <v/>
      </c>
      <c r="E235" s="124"/>
      <c r="F235" s="124"/>
      <c r="G235" s="124"/>
      <c r="H235" s="124"/>
      <c r="I235" s="124"/>
      <c r="J235" s="124"/>
      <c r="K235" s="124"/>
      <c r="L235" s="124"/>
      <c r="M235" s="124"/>
    </row>
    <row r="236" ht="20.25" customHeight="1">
      <c r="A236" s="175"/>
      <c r="B236" s="159"/>
      <c r="C236" s="159"/>
      <c r="D236" s="159" t="str">
        <f t="array" ref="D236">IFERROR(_xlfn.XLOOKUP(C236,Code!A:A,Code!B:B),"")</f>
        <v/>
      </c>
      <c r="E236" s="115"/>
      <c r="F236" s="115"/>
      <c r="G236" s="115"/>
      <c r="H236" s="115"/>
      <c r="I236" s="115"/>
      <c r="J236" s="115"/>
      <c r="K236" s="115"/>
      <c r="L236" s="115"/>
      <c r="M236" s="115"/>
    </row>
    <row r="237" ht="20.25" customHeight="1">
      <c r="A237" s="166"/>
      <c r="B237" s="163"/>
      <c r="C237" s="163"/>
      <c r="D237" s="163" t="str">
        <f t="array" ref="D237">IFERROR(_xlfn.XLOOKUP(C237,Code!A:A,Code!B:B),"")</f>
        <v/>
      </c>
      <c r="E237" s="124"/>
      <c r="F237" s="124"/>
      <c r="G237" s="124"/>
      <c r="H237" s="124"/>
      <c r="I237" s="124"/>
      <c r="J237" s="124"/>
      <c r="K237" s="124"/>
      <c r="L237" s="124"/>
      <c r="M237" s="124"/>
    </row>
    <row r="238" ht="20.25" customHeight="1">
      <c r="A238" s="175"/>
      <c r="B238" s="159"/>
      <c r="C238" s="159"/>
      <c r="D238" s="159" t="str">
        <f t="array" ref="D238">IFERROR(_xlfn.XLOOKUP(C238,Code!A:A,Code!B:B),"")</f>
        <v/>
      </c>
      <c r="E238" s="115"/>
      <c r="F238" s="115"/>
      <c r="G238" s="115"/>
      <c r="H238" s="115"/>
      <c r="I238" s="115"/>
      <c r="J238" s="115"/>
      <c r="K238" s="115"/>
      <c r="L238" s="115"/>
      <c r="M238" s="115"/>
    </row>
    <row r="239" ht="20.25" customHeight="1">
      <c r="A239" s="166"/>
      <c r="B239" s="163"/>
      <c r="C239" s="163"/>
      <c r="D239" s="163" t="str">
        <f t="array" ref="D239">IFERROR(_xlfn.XLOOKUP(C239,Code!A:A,Code!B:B),"")</f>
        <v/>
      </c>
      <c r="E239" s="124"/>
      <c r="F239" s="124"/>
      <c r="G239" s="124"/>
      <c r="H239" s="124"/>
      <c r="I239" s="124"/>
      <c r="J239" s="124"/>
      <c r="K239" s="124"/>
      <c r="L239" s="124"/>
      <c r="M239" s="124"/>
    </row>
    <row r="240" ht="20.25" customHeight="1">
      <c r="A240" s="175"/>
      <c r="B240" s="159"/>
      <c r="C240" s="159"/>
      <c r="D240" s="159" t="str">
        <f t="array" ref="D240">IFERROR(_xlfn.XLOOKUP(C240,Code!A:A,Code!B:B),"")</f>
        <v/>
      </c>
      <c r="E240" s="115"/>
      <c r="F240" s="115"/>
      <c r="G240" s="115"/>
      <c r="H240" s="115"/>
      <c r="I240" s="115"/>
      <c r="J240" s="115"/>
      <c r="K240" s="115"/>
      <c r="L240" s="115"/>
      <c r="M240" s="115"/>
    </row>
    <row r="241" ht="20.25" customHeight="1">
      <c r="A241" s="166"/>
      <c r="B241" s="163"/>
      <c r="C241" s="163"/>
      <c r="D241" s="163" t="str">
        <f t="array" ref="D241">IFERROR(_xlfn.XLOOKUP(C241,Code!A:A,Code!B:B),"")</f>
        <v/>
      </c>
      <c r="E241" s="124"/>
      <c r="F241" s="124"/>
      <c r="G241" s="124"/>
      <c r="H241" s="124"/>
      <c r="I241" s="124"/>
      <c r="J241" s="124"/>
      <c r="K241" s="124"/>
      <c r="L241" s="124"/>
      <c r="M241" s="124"/>
    </row>
    <row r="242" ht="20.25" customHeight="1">
      <c r="A242" s="175"/>
      <c r="B242" s="159"/>
      <c r="C242" s="159"/>
      <c r="D242" s="159" t="str">
        <f t="array" ref="D242">IFERROR(_xlfn.XLOOKUP(C242,Code!A:A,Code!B:B),"")</f>
        <v/>
      </c>
      <c r="E242" s="115"/>
      <c r="F242" s="115"/>
      <c r="G242" s="115"/>
      <c r="H242" s="115"/>
      <c r="I242" s="115"/>
      <c r="J242" s="115"/>
      <c r="K242" s="115"/>
      <c r="L242" s="115"/>
      <c r="M242" s="115"/>
    </row>
    <row r="243" ht="20.25" customHeight="1">
      <c r="A243" s="166"/>
      <c r="B243" s="163"/>
      <c r="C243" s="163"/>
      <c r="D243" s="163" t="str">
        <f t="array" ref="D243">IFERROR(_xlfn.XLOOKUP(C243,Code!A:A,Code!B:B),"")</f>
        <v/>
      </c>
      <c r="E243" s="124"/>
      <c r="F243" s="124"/>
      <c r="G243" s="124"/>
      <c r="H243" s="124"/>
      <c r="I243" s="124"/>
      <c r="J243" s="124"/>
      <c r="K243" s="124"/>
      <c r="L243" s="124"/>
      <c r="M243" s="124"/>
    </row>
    <row r="244" ht="20.25" customHeight="1">
      <c r="A244" s="175"/>
      <c r="B244" s="159"/>
      <c r="C244" s="159"/>
      <c r="D244" s="159" t="str">
        <f t="array" ref="D244">IFERROR(_xlfn.XLOOKUP(C244,Code!A:A,Code!B:B),"")</f>
        <v/>
      </c>
      <c r="E244" s="115"/>
      <c r="F244" s="115"/>
      <c r="G244" s="115"/>
      <c r="H244" s="115"/>
      <c r="I244" s="115"/>
      <c r="J244" s="115"/>
      <c r="K244" s="115"/>
      <c r="L244" s="115"/>
      <c r="M244" s="115"/>
    </row>
    <row r="245" ht="20.25" customHeight="1">
      <c r="A245" s="166"/>
      <c r="B245" s="163"/>
      <c r="C245" s="163"/>
      <c r="D245" s="163" t="str">
        <f t="array" ref="D245">IFERROR(_xlfn.XLOOKUP(C245,Code!A:A,Code!B:B),"")</f>
        <v/>
      </c>
      <c r="E245" s="124"/>
      <c r="F245" s="124"/>
      <c r="G245" s="124"/>
      <c r="H245" s="124"/>
      <c r="I245" s="124"/>
      <c r="J245" s="124"/>
      <c r="K245" s="124"/>
      <c r="L245" s="124"/>
      <c r="M245" s="124"/>
    </row>
    <row r="246" ht="20.25" customHeight="1">
      <c r="A246" s="175"/>
      <c r="B246" s="159"/>
      <c r="C246" s="159"/>
      <c r="D246" s="159" t="str">
        <f t="array" ref="D246">IFERROR(_xlfn.XLOOKUP(C246,Code!A:A,Code!B:B),"")</f>
        <v/>
      </c>
      <c r="E246" s="115"/>
      <c r="F246" s="115"/>
      <c r="G246" s="115"/>
      <c r="H246" s="115"/>
      <c r="I246" s="115"/>
      <c r="J246" s="115"/>
      <c r="K246" s="115"/>
      <c r="L246" s="115"/>
      <c r="M246" s="115"/>
    </row>
    <row r="247" ht="20.25" customHeight="1">
      <c r="A247" s="166"/>
      <c r="B247" s="163"/>
      <c r="C247" s="163"/>
      <c r="D247" s="163" t="str">
        <f t="array" ref="D247">IFERROR(_xlfn.XLOOKUP(C247,Code!A:A,Code!B:B),"")</f>
        <v/>
      </c>
      <c r="E247" s="124"/>
      <c r="F247" s="124"/>
      <c r="G247" s="124"/>
      <c r="H247" s="124"/>
      <c r="I247" s="124"/>
      <c r="J247" s="124"/>
      <c r="K247" s="124"/>
      <c r="L247" s="124"/>
      <c r="M247" s="124"/>
    </row>
    <row r="248" ht="20.25" customHeight="1">
      <c r="A248" s="175"/>
      <c r="B248" s="159"/>
      <c r="C248" s="159"/>
      <c r="D248" s="159" t="str">
        <f t="array" ref="D248">IFERROR(_xlfn.XLOOKUP(C248,Code!A:A,Code!B:B),"")</f>
        <v/>
      </c>
      <c r="E248" s="115"/>
      <c r="F248" s="115"/>
      <c r="G248" s="115"/>
      <c r="H248" s="115"/>
      <c r="I248" s="115"/>
      <c r="J248" s="115"/>
      <c r="K248" s="115"/>
      <c r="L248" s="115"/>
      <c r="M248" s="115"/>
    </row>
    <row r="249" ht="20.25" customHeight="1">
      <c r="A249" s="166"/>
      <c r="B249" s="163"/>
      <c r="C249" s="163"/>
      <c r="D249" s="163" t="str">
        <f t="array" ref="D249">IFERROR(_xlfn.XLOOKUP(C249,Code!A:A,Code!B:B),"")</f>
        <v/>
      </c>
      <c r="E249" s="124"/>
      <c r="F249" s="124"/>
      <c r="G249" s="124"/>
      <c r="H249" s="124"/>
      <c r="I249" s="124"/>
      <c r="J249" s="124"/>
      <c r="K249" s="124"/>
      <c r="L249" s="124"/>
      <c r="M249" s="124"/>
    </row>
    <row r="250" ht="20.25" customHeight="1">
      <c r="A250" s="175"/>
      <c r="B250" s="159"/>
      <c r="C250" s="159"/>
      <c r="D250" s="159" t="str">
        <f t="array" ref="D250">IFERROR(_xlfn.XLOOKUP(C250,Code!A:A,Code!B:B),"")</f>
        <v/>
      </c>
      <c r="E250" s="115"/>
      <c r="F250" s="115"/>
      <c r="G250" s="115"/>
      <c r="H250" s="115"/>
      <c r="I250" s="115"/>
      <c r="J250" s="115"/>
      <c r="K250" s="115"/>
      <c r="L250" s="115"/>
      <c r="M250" s="115"/>
    </row>
    <row r="251" ht="20.25" customHeight="1">
      <c r="A251" s="166"/>
      <c r="B251" s="163"/>
      <c r="C251" s="163"/>
      <c r="D251" s="163" t="str">
        <f t="array" ref="D251">IFERROR(_xlfn.XLOOKUP(C251,Code!A:A,Code!B:B),"")</f>
        <v/>
      </c>
      <c r="E251" s="124"/>
      <c r="F251" s="124"/>
      <c r="G251" s="124"/>
      <c r="H251" s="124"/>
      <c r="I251" s="124"/>
      <c r="J251" s="124"/>
      <c r="K251" s="124"/>
      <c r="L251" s="124"/>
      <c r="M251" s="124"/>
    </row>
    <row r="252" ht="20.25" customHeight="1">
      <c r="A252" s="175"/>
      <c r="B252" s="159"/>
      <c r="C252" s="159"/>
      <c r="D252" s="159" t="str">
        <f t="array" ref="D252">IFERROR(_xlfn.XLOOKUP(C252,Code!A:A,Code!B:B),"")</f>
        <v/>
      </c>
      <c r="E252" s="115"/>
      <c r="F252" s="115"/>
      <c r="G252" s="115"/>
      <c r="H252" s="115"/>
      <c r="I252" s="115"/>
      <c r="J252" s="115"/>
      <c r="K252" s="115"/>
      <c r="L252" s="115"/>
      <c r="M252" s="115"/>
    </row>
    <row r="253" ht="20.25" customHeight="1">
      <c r="A253" s="166"/>
      <c r="B253" s="163"/>
      <c r="C253" s="163"/>
      <c r="D253" s="163" t="str">
        <f t="array" ref="D253">IFERROR(_xlfn.XLOOKUP(C253,Code!A:A,Code!B:B),"")</f>
        <v/>
      </c>
      <c r="E253" s="124"/>
      <c r="F253" s="124"/>
      <c r="G253" s="124"/>
      <c r="H253" s="124"/>
      <c r="I253" s="124"/>
      <c r="J253" s="124"/>
      <c r="K253" s="124"/>
      <c r="L253" s="124"/>
      <c r="M253" s="124"/>
    </row>
    <row r="254" ht="20.25" customHeight="1">
      <c r="A254" s="175"/>
      <c r="B254" s="159"/>
      <c r="C254" s="159"/>
      <c r="D254" s="159" t="str">
        <f t="array" ref="D254">IFERROR(_xlfn.XLOOKUP(C254,Code!A:A,Code!B:B),"")</f>
        <v/>
      </c>
      <c r="E254" s="115"/>
      <c r="F254" s="115"/>
      <c r="G254" s="115"/>
      <c r="H254" s="115"/>
      <c r="I254" s="115"/>
      <c r="J254" s="115"/>
      <c r="K254" s="115"/>
      <c r="L254" s="115"/>
      <c r="M254" s="115"/>
    </row>
    <row r="255" ht="20.25" customHeight="1">
      <c r="A255" s="166"/>
      <c r="B255" s="163"/>
      <c r="C255" s="163"/>
      <c r="D255" s="163" t="str">
        <f t="array" ref="D255">IFERROR(_xlfn.XLOOKUP(C255,Code!A:A,Code!B:B),"")</f>
        <v/>
      </c>
      <c r="E255" s="124"/>
      <c r="F255" s="124"/>
      <c r="G255" s="124"/>
      <c r="H255" s="124"/>
      <c r="I255" s="124"/>
      <c r="J255" s="124"/>
      <c r="K255" s="124"/>
      <c r="L255" s="124"/>
      <c r="M255" s="124"/>
    </row>
    <row r="256" ht="20.25" customHeight="1">
      <c r="A256" s="175"/>
      <c r="B256" s="159"/>
      <c r="C256" s="159"/>
      <c r="D256" s="159" t="str">
        <f t="array" ref="D256">IFERROR(_xlfn.XLOOKUP(C256,Code!A:A,Code!B:B),"")</f>
        <v/>
      </c>
      <c r="E256" s="115"/>
      <c r="F256" s="115"/>
      <c r="G256" s="115"/>
      <c r="H256" s="115"/>
      <c r="I256" s="115"/>
      <c r="J256" s="115"/>
      <c r="K256" s="115"/>
      <c r="L256" s="115"/>
      <c r="M256" s="115"/>
    </row>
    <row r="257" ht="20.25" customHeight="1">
      <c r="A257" s="166"/>
      <c r="B257" s="163"/>
      <c r="C257" s="163"/>
      <c r="D257" s="163" t="str">
        <f t="array" ref="D257">IFERROR(_xlfn.XLOOKUP(C257,Code!A:A,Code!B:B),"")</f>
        <v/>
      </c>
      <c r="E257" s="124"/>
      <c r="F257" s="124"/>
      <c r="G257" s="124"/>
      <c r="H257" s="124"/>
      <c r="I257" s="124"/>
      <c r="J257" s="124"/>
      <c r="K257" s="124"/>
      <c r="L257" s="124"/>
      <c r="M257" s="124"/>
    </row>
    <row r="258" ht="20.25" customHeight="1">
      <c r="A258" s="175"/>
      <c r="B258" s="159"/>
      <c r="C258" s="159"/>
      <c r="D258" s="159" t="str">
        <f t="array" ref="D258">IFERROR(_xlfn.XLOOKUP(C258,Code!A:A,Code!B:B),"")</f>
        <v/>
      </c>
      <c r="E258" s="115"/>
      <c r="F258" s="115"/>
      <c r="G258" s="115"/>
      <c r="H258" s="115"/>
      <c r="I258" s="115"/>
      <c r="J258" s="115"/>
      <c r="K258" s="115"/>
      <c r="L258" s="115"/>
      <c r="M258" s="115"/>
    </row>
    <row r="259" ht="20.25" customHeight="1">
      <c r="A259" s="166"/>
      <c r="B259" s="163"/>
      <c r="C259" s="163"/>
      <c r="D259" s="163" t="str">
        <f t="array" ref="D259">IFERROR(_xlfn.XLOOKUP(C259,Code!A:A,Code!B:B),"")</f>
        <v/>
      </c>
      <c r="E259" s="124"/>
      <c r="F259" s="124"/>
      <c r="G259" s="124"/>
      <c r="H259" s="124"/>
      <c r="I259" s="124"/>
      <c r="J259" s="124"/>
      <c r="K259" s="124"/>
      <c r="L259" s="124"/>
      <c r="M259" s="124"/>
    </row>
    <row r="260" ht="20.25" customHeight="1">
      <c r="A260" s="175"/>
      <c r="B260" s="159"/>
      <c r="C260" s="159"/>
      <c r="D260" s="159" t="str">
        <f t="array" ref="D260">IFERROR(_xlfn.XLOOKUP(C260,Code!A:A,Code!B:B),"")</f>
        <v/>
      </c>
      <c r="E260" s="115"/>
      <c r="F260" s="115"/>
      <c r="G260" s="115"/>
      <c r="H260" s="115"/>
      <c r="I260" s="115"/>
      <c r="J260" s="115"/>
      <c r="K260" s="115"/>
      <c r="L260" s="115"/>
      <c r="M260" s="115"/>
    </row>
    <row r="261" ht="20.25" customHeight="1">
      <c r="A261" s="166"/>
      <c r="B261" s="163"/>
      <c r="C261" s="163"/>
      <c r="D261" s="163" t="str">
        <f t="array" ref="D261">IFERROR(_xlfn.XLOOKUP(C261,Code!A:A,Code!B:B),"")</f>
        <v/>
      </c>
      <c r="E261" s="124"/>
      <c r="F261" s="124"/>
      <c r="G261" s="124"/>
      <c r="H261" s="124"/>
      <c r="I261" s="124"/>
      <c r="J261" s="124"/>
      <c r="K261" s="124"/>
      <c r="L261" s="124"/>
      <c r="M261" s="124"/>
    </row>
    <row r="262" ht="20.25" customHeight="1">
      <c r="A262" s="175"/>
      <c r="B262" s="159"/>
      <c r="C262" s="159"/>
      <c r="D262" s="159" t="str">
        <f t="array" ref="D262">IFERROR(_xlfn.XLOOKUP(C262,Code!A:A,Code!B:B),"")</f>
        <v/>
      </c>
      <c r="E262" s="115"/>
      <c r="F262" s="115"/>
      <c r="G262" s="115"/>
      <c r="H262" s="115"/>
      <c r="I262" s="115"/>
      <c r="J262" s="115"/>
      <c r="K262" s="115"/>
      <c r="L262" s="115"/>
      <c r="M262" s="115"/>
    </row>
    <row r="263" ht="20.25" customHeight="1">
      <c r="A263" s="166"/>
      <c r="B263" s="163"/>
      <c r="C263" s="163"/>
      <c r="D263" s="163" t="str">
        <f t="array" ref="D263">IFERROR(_xlfn.XLOOKUP(C263,Code!A:A,Code!B:B),"")</f>
        <v/>
      </c>
      <c r="E263" s="124"/>
      <c r="F263" s="124"/>
      <c r="G263" s="124"/>
      <c r="H263" s="124"/>
      <c r="I263" s="124"/>
      <c r="J263" s="124"/>
      <c r="K263" s="124"/>
      <c r="L263" s="124"/>
      <c r="M263" s="124"/>
    </row>
    <row r="264" ht="20.25" customHeight="1">
      <c r="A264" s="175"/>
      <c r="B264" s="159"/>
      <c r="C264" s="159"/>
      <c r="D264" s="159" t="str">
        <f t="array" ref="D264">IFERROR(_xlfn.XLOOKUP(C264,Code!A:A,Code!B:B),"")</f>
        <v/>
      </c>
      <c r="E264" s="115"/>
      <c r="F264" s="115"/>
      <c r="G264" s="115"/>
      <c r="H264" s="115"/>
      <c r="I264" s="115"/>
      <c r="J264" s="115"/>
      <c r="K264" s="115"/>
      <c r="L264" s="115"/>
      <c r="M264" s="115"/>
    </row>
    <row r="265" ht="20.25" customHeight="1">
      <c r="A265" s="166"/>
      <c r="B265" s="163"/>
      <c r="C265" s="163"/>
      <c r="D265" s="163" t="str">
        <f t="array" ref="D265">IFERROR(_xlfn.XLOOKUP(C265,Code!A:A,Code!B:B),"")</f>
        <v/>
      </c>
      <c r="E265" s="124"/>
      <c r="F265" s="124"/>
      <c r="G265" s="124"/>
      <c r="H265" s="124"/>
      <c r="I265" s="124"/>
      <c r="J265" s="124"/>
      <c r="K265" s="124"/>
      <c r="L265" s="124"/>
      <c r="M265" s="124"/>
    </row>
    <row r="266" ht="20.25" customHeight="1">
      <c r="A266" s="175"/>
      <c r="B266" s="159"/>
      <c r="C266" s="159"/>
      <c r="D266" s="159" t="str">
        <f t="array" ref="D266">IFERROR(_xlfn.XLOOKUP(C266,Code!A:A,Code!B:B),"")</f>
        <v/>
      </c>
      <c r="E266" s="115"/>
      <c r="F266" s="115"/>
      <c r="G266" s="115"/>
      <c r="H266" s="115"/>
      <c r="I266" s="115"/>
      <c r="J266" s="115"/>
      <c r="K266" s="115"/>
      <c r="L266" s="115"/>
      <c r="M266" s="115"/>
    </row>
    <row r="267" ht="20.25" customHeight="1">
      <c r="A267" s="166"/>
      <c r="B267" s="163"/>
      <c r="C267" s="163"/>
      <c r="D267" s="163" t="str">
        <f t="array" ref="D267">IFERROR(_xlfn.XLOOKUP(C267,Code!A:A,Code!B:B),"")</f>
        <v/>
      </c>
      <c r="E267" s="124"/>
      <c r="F267" s="124"/>
      <c r="G267" s="124"/>
      <c r="H267" s="124"/>
      <c r="I267" s="124"/>
      <c r="J267" s="124"/>
      <c r="K267" s="124"/>
      <c r="L267" s="124"/>
      <c r="M267" s="124"/>
    </row>
    <row r="268" ht="20.25" customHeight="1">
      <c r="A268" s="175"/>
      <c r="B268" s="159"/>
      <c r="C268" s="159"/>
      <c r="D268" s="159" t="str">
        <f t="array" ref="D268">IFERROR(_xlfn.XLOOKUP(C268,Code!A:A,Code!B:B),"")</f>
        <v/>
      </c>
      <c r="E268" s="115"/>
      <c r="F268" s="115"/>
      <c r="G268" s="115"/>
      <c r="H268" s="115"/>
      <c r="I268" s="115"/>
      <c r="J268" s="115"/>
      <c r="K268" s="115"/>
      <c r="L268" s="115"/>
      <c r="M268" s="115"/>
    </row>
    <row r="269" ht="20.25" customHeight="1">
      <c r="A269" s="166"/>
      <c r="B269" s="163"/>
      <c r="C269" s="163"/>
      <c r="D269" s="163" t="str">
        <f t="array" ref="D269">IFERROR(_xlfn.XLOOKUP(C269,Code!A:A,Code!B:B),"")</f>
        <v/>
      </c>
      <c r="E269" s="124"/>
      <c r="F269" s="124"/>
      <c r="G269" s="124"/>
      <c r="H269" s="124"/>
      <c r="I269" s="124"/>
      <c r="J269" s="124"/>
      <c r="K269" s="124"/>
      <c r="L269" s="124"/>
      <c r="M269" s="124"/>
    </row>
    <row r="270" ht="20.25" customHeight="1">
      <c r="A270" s="175"/>
      <c r="B270" s="159"/>
      <c r="C270" s="159"/>
      <c r="D270" s="159" t="str">
        <f t="array" ref="D270">IFERROR(_xlfn.XLOOKUP(C270,Code!A:A,Code!B:B),"")</f>
        <v/>
      </c>
      <c r="E270" s="115"/>
      <c r="F270" s="115"/>
      <c r="G270" s="115"/>
      <c r="H270" s="115"/>
      <c r="I270" s="115"/>
      <c r="J270" s="115"/>
      <c r="K270" s="115"/>
      <c r="L270" s="115"/>
      <c r="M270" s="115"/>
    </row>
    <row r="271" ht="20.25" customHeight="1">
      <c r="A271" s="166"/>
      <c r="B271" s="163"/>
      <c r="C271" s="163"/>
      <c r="D271" s="163" t="str">
        <f t="array" ref="D271">IFERROR(_xlfn.XLOOKUP(C271,Code!A:A,Code!B:B),"")</f>
        <v/>
      </c>
      <c r="E271" s="124"/>
      <c r="F271" s="124"/>
      <c r="G271" s="124"/>
      <c r="H271" s="124"/>
      <c r="I271" s="124"/>
      <c r="J271" s="124"/>
      <c r="K271" s="124"/>
      <c r="L271" s="124"/>
      <c r="M271" s="124"/>
    </row>
    <row r="272" ht="20.25" customHeight="1">
      <c r="A272" s="175"/>
      <c r="B272" s="159"/>
      <c r="C272" s="159"/>
      <c r="D272" s="159" t="str">
        <f t="array" ref="D272">IFERROR(_xlfn.XLOOKUP(C272,Code!A:A,Code!B:B),"")</f>
        <v/>
      </c>
      <c r="E272" s="115"/>
      <c r="F272" s="115"/>
      <c r="G272" s="115"/>
      <c r="H272" s="115"/>
      <c r="I272" s="115"/>
      <c r="J272" s="115"/>
      <c r="K272" s="115"/>
      <c r="L272" s="115"/>
      <c r="M272" s="115"/>
    </row>
    <row r="273" ht="20.25" customHeight="1">
      <c r="A273" s="166"/>
      <c r="B273" s="163"/>
      <c r="C273" s="163"/>
      <c r="D273" s="163" t="str">
        <f t="array" ref="D273">IFERROR(_xlfn.XLOOKUP(C273,Code!A:A,Code!B:B),"")</f>
        <v/>
      </c>
      <c r="E273" s="124"/>
      <c r="F273" s="124"/>
      <c r="G273" s="124"/>
      <c r="H273" s="124"/>
      <c r="I273" s="124"/>
      <c r="J273" s="124"/>
      <c r="K273" s="124"/>
      <c r="L273" s="124"/>
      <c r="M273" s="124"/>
    </row>
    <row r="274" ht="20.25" customHeight="1">
      <c r="A274" s="175"/>
      <c r="B274" s="159"/>
      <c r="C274" s="159"/>
      <c r="D274" s="159" t="str">
        <f t="array" ref="D274">IFERROR(_xlfn.XLOOKUP(C274,Code!A:A,Code!B:B),"")</f>
        <v/>
      </c>
      <c r="E274" s="115"/>
      <c r="F274" s="115"/>
      <c r="G274" s="115"/>
      <c r="H274" s="115"/>
      <c r="I274" s="115"/>
      <c r="J274" s="115"/>
      <c r="K274" s="115"/>
      <c r="L274" s="115"/>
      <c r="M274" s="115"/>
    </row>
    <row r="275" ht="20.25" customHeight="1">
      <c r="A275" s="166"/>
      <c r="B275" s="163"/>
      <c r="C275" s="163"/>
      <c r="D275" s="163" t="str">
        <f t="array" ref="D275">IFERROR(_xlfn.XLOOKUP(C275,Code!A:A,Code!B:B),"")</f>
        <v/>
      </c>
      <c r="E275" s="124"/>
      <c r="F275" s="124"/>
      <c r="G275" s="124"/>
      <c r="H275" s="124"/>
      <c r="I275" s="124"/>
      <c r="J275" s="124"/>
      <c r="K275" s="124"/>
      <c r="L275" s="124"/>
      <c r="M275" s="124"/>
    </row>
    <row r="276" ht="20.25" customHeight="1">
      <c r="A276" s="175"/>
      <c r="B276" s="159"/>
      <c r="C276" s="159"/>
      <c r="D276" s="159" t="str">
        <f t="array" ref="D276">IFERROR(_xlfn.XLOOKUP(C276,Code!A:A,Code!B:B),"")</f>
        <v/>
      </c>
      <c r="E276" s="115"/>
      <c r="F276" s="115"/>
      <c r="G276" s="115"/>
      <c r="H276" s="115"/>
      <c r="I276" s="115"/>
      <c r="J276" s="115"/>
      <c r="K276" s="115"/>
      <c r="L276" s="115"/>
      <c r="M276" s="115"/>
    </row>
    <row r="277" ht="20.25" customHeight="1">
      <c r="A277" s="166"/>
      <c r="B277" s="163"/>
      <c r="C277" s="163"/>
      <c r="D277" s="163" t="str">
        <f t="array" ref="D277">IFERROR(_xlfn.XLOOKUP(C277,Code!A:A,Code!B:B),"")</f>
        <v/>
      </c>
      <c r="E277" s="124"/>
      <c r="F277" s="124"/>
      <c r="G277" s="124"/>
      <c r="H277" s="124"/>
      <c r="I277" s="124"/>
      <c r="J277" s="124"/>
      <c r="K277" s="124"/>
      <c r="L277" s="124"/>
      <c r="M277" s="124"/>
    </row>
    <row r="278" ht="20.25" customHeight="1">
      <c r="A278" s="175"/>
      <c r="B278" s="159"/>
      <c r="C278" s="159"/>
      <c r="D278" s="159" t="str">
        <f t="array" ref="D278">IFERROR(_xlfn.XLOOKUP(C278,Code!A:A,Code!B:B),"")</f>
        <v/>
      </c>
      <c r="E278" s="115"/>
      <c r="F278" s="115"/>
      <c r="G278" s="115"/>
      <c r="H278" s="115"/>
      <c r="I278" s="115"/>
      <c r="J278" s="115"/>
      <c r="K278" s="115"/>
      <c r="L278" s="115"/>
      <c r="M278" s="115"/>
    </row>
    <row r="279" ht="20.25" customHeight="1">
      <c r="A279" s="166"/>
      <c r="B279" s="163"/>
      <c r="C279" s="163"/>
      <c r="D279" s="163" t="str">
        <f t="array" ref="D279">IFERROR(_xlfn.XLOOKUP(C279,Code!A:A,Code!B:B),"")</f>
        <v/>
      </c>
      <c r="E279" s="124"/>
      <c r="F279" s="124"/>
      <c r="G279" s="124"/>
      <c r="H279" s="124"/>
      <c r="I279" s="124"/>
      <c r="J279" s="124"/>
      <c r="K279" s="124"/>
      <c r="L279" s="124"/>
      <c r="M279" s="124"/>
    </row>
    <row r="280" ht="20.25" customHeight="1">
      <c r="A280" s="175"/>
      <c r="B280" s="159"/>
      <c r="C280" s="159"/>
      <c r="D280" s="159" t="str">
        <f t="array" ref="D280">IFERROR(_xlfn.XLOOKUP(C280,Code!A:A,Code!B:B),"")</f>
        <v/>
      </c>
      <c r="E280" s="115"/>
      <c r="F280" s="115"/>
      <c r="G280" s="115"/>
      <c r="H280" s="115"/>
      <c r="I280" s="115"/>
      <c r="J280" s="115"/>
      <c r="K280" s="115"/>
      <c r="L280" s="115"/>
      <c r="M280" s="115"/>
    </row>
    <row r="281" ht="20.25" customHeight="1">
      <c r="A281" s="166"/>
      <c r="B281" s="163"/>
      <c r="C281" s="163"/>
      <c r="D281" s="163" t="str">
        <f t="array" ref="D281">IFERROR(_xlfn.XLOOKUP(C281,Code!A:A,Code!B:B),"")</f>
        <v/>
      </c>
      <c r="E281" s="124"/>
      <c r="F281" s="124"/>
      <c r="G281" s="124"/>
      <c r="H281" s="124"/>
      <c r="I281" s="124"/>
      <c r="J281" s="124"/>
      <c r="K281" s="124"/>
      <c r="L281" s="124"/>
      <c r="M281" s="124"/>
    </row>
    <row r="282" ht="20.25" customHeight="1">
      <c r="A282" s="175"/>
      <c r="B282" s="159"/>
      <c r="C282" s="159"/>
      <c r="D282" s="159" t="str">
        <f t="array" ref="D282">IFERROR(_xlfn.XLOOKUP(C282,Code!A:A,Code!B:B),"")</f>
        <v/>
      </c>
      <c r="E282" s="115"/>
      <c r="F282" s="115"/>
      <c r="G282" s="115"/>
      <c r="H282" s="115"/>
      <c r="I282" s="115"/>
      <c r="J282" s="115"/>
      <c r="K282" s="115"/>
      <c r="L282" s="115"/>
      <c r="M282" s="115"/>
    </row>
    <row r="283" ht="20.25" customHeight="1">
      <c r="A283" s="166"/>
      <c r="B283" s="163"/>
      <c r="C283" s="163"/>
      <c r="D283" s="163" t="str">
        <f t="array" ref="D283">IFERROR(_xlfn.XLOOKUP(C283,Code!A:A,Code!B:B),"")</f>
        <v/>
      </c>
      <c r="E283" s="124"/>
      <c r="F283" s="124"/>
      <c r="G283" s="124"/>
      <c r="H283" s="124"/>
      <c r="I283" s="124"/>
      <c r="J283" s="124"/>
      <c r="K283" s="124"/>
      <c r="L283" s="124"/>
      <c r="M283" s="124"/>
    </row>
    <row r="284" ht="20.25" customHeight="1">
      <c r="A284" s="175"/>
      <c r="B284" s="159"/>
      <c r="C284" s="159"/>
      <c r="D284" s="159" t="str">
        <f t="array" ref="D284">IFERROR(_xlfn.XLOOKUP(C284,Code!A:A,Code!B:B),"")</f>
        <v/>
      </c>
      <c r="E284" s="115"/>
      <c r="F284" s="115"/>
      <c r="G284" s="115"/>
      <c r="H284" s="115"/>
      <c r="I284" s="115"/>
      <c r="J284" s="115"/>
      <c r="K284" s="115"/>
      <c r="L284" s="115"/>
      <c r="M284" s="115"/>
    </row>
    <row r="285" ht="20.25" customHeight="1">
      <c r="A285" s="166"/>
      <c r="B285" s="163"/>
      <c r="C285" s="163"/>
      <c r="D285" s="163" t="str">
        <f t="array" ref="D285">IFERROR(_xlfn.XLOOKUP(C285,Code!A:A,Code!B:B),"")</f>
        <v/>
      </c>
      <c r="E285" s="124"/>
      <c r="F285" s="124"/>
      <c r="G285" s="124"/>
      <c r="H285" s="124"/>
      <c r="I285" s="124"/>
      <c r="J285" s="124"/>
      <c r="K285" s="124"/>
      <c r="L285" s="124"/>
      <c r="M285" s="124"/>
    </row>
    <row r="286" ht="20.25" customHeight="1">
      <c r="A286" s="175"/>
      <c r="B286" s="159"/>
      <c r="C286" s="159"/>
      <c r="D286" s="159" t="str">
        <f t="array" ref="D286">IFERROR(_xlfn.XLOOKUP(C286,Code!A:A,Code!B:B),"")</f>
        <v/>
      </c>
      <c r="E286" s="115"/>
      <c r="F286" s="115"/>
      <c r="G286" s="115"/>
      <c r="H286" s="115"/>
      <c r="I286" s="115"/>
      <c r="J286" s="115"/>
      <c r="K286" s="115"/>
      <c r="L286" s="115"/>
      <c r="M286" s="115"/>
    </row>
    <row r="287" ht="20.25" customHeight="1">
      <c r="A287" s="166"/>
      <c r="B287" s="163"/>
      <c r="C287" s="163"/>
      <c r="D287" s="163" t="str">
        <f t="array" ref="D287">IFERROR(_xlfn.XLOOKUP(C287,Code!A:A,Code!B:B),"")</f>
        <v/>
      </c>
      <c r="E287" s="124"/>
      <c r="F287" s="124"/>
      <c r="G287" s="124"/>
      <c r="H287" s="124"/>
      <c r="I287" s="124"/>
      <c r="J287" s="124"/>
      <c r="K287" s="124"/>
      <c r="L287" s="124"/>
      <c r="M287" s="124"/>
    </row>
    <row r="288" ht="20.25" customHeight="1">
      <c r="A288" s="175"/>
      <c r="B288" s="159"/>
      <c r="C288" s="159"/>
      <c r="D288" s="159" t="str">
        <f t="array" ref="D288">IFERROR(_xlfn.XLOOKUP(C288,Code!A:A,Code!B:B),"")</f>
        <v/>
      </c>
      <c r="E288" s="115"/>
      <c r="F288" s="115"/>
      <c r="G288" s="115"/>
      <c r="H288" s="115"/>
      <c r="I288" s="115"/>
      <c r="J288" s="115"/>
      <c r="K288" s="115"/>
      <c r="L288" s="115"/>
      <c r="M288" s="115"/>
    </row>
    <row r="289" ht="20.25" customHeight="1">
      <c r="A289" s="166"/>
      <c r="B289" s="163"/>
      <c r="C289" s="163"/>
      <c r="D289" s="163" t="str">
        <f t="array" ref="D289">IFERROR(_xlfn.XLOOKUP(C289,Code!A:A,Code!B:B),"")</f>
        <v/>
      </c>
      <c r="E289" s="124"/>
      <c r="F289" s="124"/>
      <c r="G289" s="124"/>
      <c r="H289" s="124"/>
      <c r="I289" s="124"/>
      <c r="J289" s="124"/>
      <c r="K289" s="124"/>
      <c r="L289" s="124"/>
      <c r="M289" s="124"/>
    </row>
    <row r="290" ht="20.25" customHeight="1">
      <c r="A290" s="175"/>
      <c r="B290" s="159"/>
      <c r="C290" s="159"/>
      <c r="D290" s="159" t="str">
        <f t="array" ref="D290">IFERROR(_xlfn.XLOOKUP(C290,Code!A:A,Code!B:B),"")</f>
        <v/>
      </c>
      <c r="E290" s="115"/>
      <c r="F290" s="115"/>
      <c r="G290" s="115"/>
      <c r="H290" s="115"/>
      <c r="I290" s="115"/>
      <c r="J290" s="115"/>
      <c r="K290" s="115"/>
      <c r="L290" s="115"/>
      <c r="M290" s="115"/>
    </row>
    <row r="291" ht="20.25" customHeight="1">
      <c r="A291" s="273"/>
      <c r="B291" s="274"/>
      <c r="C291" s="274"/>
      <c r="D291" s="274"/>
      <c r="E291" s="127"/>
      <c r="F291" s="127"/>
      <c r="G291" s="127"/>
      <c r="H291" s="127"/>
      <c r="I291" s="127"/>
      <c r="J291" s="127"/>
      <c r="K291" s="127"/>
      <c r="L291" s="127"/>
      <c r="M291" s="127"/>
    </row>
    <row r="292" ht="20.25" customHeight="1">
      <c r="A292" s="275"/>
      <c r="B292" s="277"/>
      <c r="C292" s="277"/>
      <c r="D292" s="277"/>
      <c r="E292" s="117"/>
      <c r="F292" s="117"/>
      <c r="G292" s="117"/>
      <c r="H292" s="117"/>
      <c r="I292" s="117"/>
      <c r="J292" s="117"/>
      <c r="K292" s="117"/>
      <c r="L292" s="117"/>
      <c r="M292" s="117"/>
    </row>
    <row r="293" ht="20.25" customHeight="1">
      <c r="A293" s="273"/>
      <c r="B293" s="274"/>
      <c r="C293" s="274"/>
      <c r="D293" s="274"/>
      <c r="E293" s="127"/>
      <c r="F293" s="127"/>
      <c r="G293" s="127"/>
      <c r="H293" s="127"/>
      <c r="I293" s="127"/>
      <c r="J293" s="127"/>
      <c r="K293" s="127"/>
      <c r="L293" s="127"/>
      <c r="M293" s="127"/>
    </row>
    <row r="294" ht="20.25" customHeight="1">
      <c r="A294" s="275"/>
      <c r="B294" s="277"/>
      <c r="C294" s="277"/>
      <c r="D294" s="277"/>
      <c r="E294" s="117"/>
      <c r="F294" s="117"/>
      <c r="G294" s="117"/>
      <c r="H294" s="117"/>
      <c r="I294" s="117"/>
      <c r="J294" s="117"/>
      <c r="K294" s="117"/>
      <c r="L294" s="117"/>
      <c r="M294" s="117"/>
    </row>
    <row r="295" ht="20.25" customHeight="1">
      <c r="A295" s="273"/>
      <c r="B295" s="274"/>
      <c r="C295" s="274"/>
      <c r="D295" s="274"/>
      <c r="E295" s="127"/>
      <c r="F295" s="127"/>
      <c r="G295" s="127"/>
      <c r="H295" s="127"/>
      <c r="I295" s="127"/>
      <c r="J295" s="127"/>
      <c r="K295" s="127"/>
      <c r="L295" s="127"/>
      <c r="M295" s="127"/>
    </row>
    <row r="296" ht="20.25" customHeight="1">
      <c r="A296" s="275"/>
      <c r="B296" s="277"/>
      <c r="C296" s="277"/>
      <c r="D296" s="277"/>
      <c r="E296" s="117"/>
      <c r="F296" s="117"/>
      <c r="G296" s="117"/>
      <c r="H296" s="117"/>
      <c r="I296" s="117"/>
      <c r="J296" s="117"/>
      <c r="K296" s="117"/>
      <c r="L296" s="117"/>
      <c r="M296" s="117"/>
    </row>
    <row r="297" ht="20.25" customHeight="1">
      <c r="A297" s="273"/>
      <c r="B297" s="274"/>
      <c r="C297" s="274"/>
      <c r="D297" s="274"/>
      <c r="E297" s="127"/>
      <c r="F297" s="127"/>
      <c r="G297" s="127"/>
      <c r="H297" s="127"/>
      <c r="I297" s="127"/>
      <c r="J297" s="127"/>
      <c r="K297" s="127"/>
      <c r="L297" s="127"/>
      <c r="M297" s="127"/>
    </row>
    <row r="298" ht="20.25" customHeight="1">
      <c r="A298" s="275"/>
      <c r="B298" s="277"/>
      <c r="C298" s="277"/>
      <c r="D298" s="277"/>
      <c r="E298" s="117"/>
      <c r="F298" s="117"/>
      <c r="G298" s="117"/>
      <c r="H298" s="117"/>
      <c r="I298" s="117"/>
      <c r="J298" s="117"/>
      <c r="K298" s="117"/>
      <c r="L298" s="117"/>
      <c r="M298" s="117"/>
    </row>
    <row r="299" ht="20.25" customHeight="1">
      <c r="A299" s="273"/>
      <c r="B299" s="274"/>
      <c r="C299" s="274"/>
      <c r="D299" s="274"/>
      <c r="E299" s="127"/>
      <c r="F299" s="127"/>
      <c r="G299" s="127"/>
      <c r="H299" s="127"/>
      <c r="I299" s="127"/>
      <c r="J299" s="127"/>
      <c r="K299" s="127"/>
      <c r="L299" s="127"/>
      <c r="M299" s="127"/>
    </row>
    <row r="300" ht="20.25" customHeight="1">
      <c r="A300" s="275"/>
      <c r="B300" s="277"/>
      <c r="C300" s="277"/>
      <c r="D300" s="277"/>
      <c r="E300" s="117"/>
      <c r="F300" s="117"/>
      <c r="G300" s="117"/>
      <c r="H300" s="117"/>
      <c r="I300" s="117"/>
      <c r="J300" s="117"/>
      <c r="K300" s="117"/>
      <c r="L300" s="117"/>
      <c r="M300" s="117"/>
    </row>
    <row r="301" ht="20.25" customHeight="1">
      <c r="A301" s="273"/>
      <c r="B301" s="274"/>
      <c r="C301" s="274"/>
      <c r="D301" s="274"/>
      <c r="E301" s="127"/>
      <c r="F301" s="127"/>
      <c r="G301" s="127"/>
      <c r="H301" s="127"/>
      <c r="I301" s="127"/>
      <c r="J301" s="127"/>
      <c r="K301" s="127"/>
      <c r="L301" s="127"/>
      <c r="M301" s="127"/>
    </row>
    <row r="302" ht="20.25" customHeight="1">
      <c r="A302" s="275"/>
      <c r="B302" s="277"/>
      <c r="C302" s="277"/>
      <c r="D302" s="277"/>
      <c r="E302" s="117"/>
      <c r="F302" s="117"/>
      <c r="G302" s="117"/>
      <c r="H302" s="117"/>
      <c r="I302" s="117"/>
      <c r="J302" s="117"/>
      <c r="K302" s="117"/>
      <c r="L302" s="117"/>
      <c r="M302" s="117"/>
    </row>
    <row r="303" ht="20.25" customHeight="1">
      <c r="A303" s="273"/>
      <c r="B303" s="274"/>
      <c r="C303" s="274"/>
      <c r="D303" s="274"/>
      <c r="E303" s="127"/>
      <c r="F303" s="127"/>
      <c r="G303" s="127"/>
      <c r="H303" s="127"/>
      <c r="I303" s="127"/>
      <c r="J303" s="127"/>
      <c r="K303" s="127"/>
      <c r="L303" s="127"/>
      <c r="M303" s="127"/>
    </row>
    <row r="304" ht="20.25" customHeight="1">
      <c r="A304" s="275"/>
      <c r="B304" s="277"/>
      <c r="C304" s="277"/>
      <c r="D304" s="277"/>
      <c r="E304" s="117"/>
      <c r="F304" s="117"/>
      <c r="G304" s="117"/>
      <c r="H304" s="117"/>
      <c r="I304" s="117"/>
      <c r="J304" s="117"/>
      <c r="K304" s="117"/>
      <c r="L304" s="117"/>
      <c r="M304" s="117"/>
    </row>
    <row r="305" ht="20.25" customHeight="1">
      <c r="A305" s="273"/>
      <c r="B305" s="274"/>
      <c r="C305" s="274"/>
      <c r="D305" s="274"/>
      <c r="E305" s="127"/>
      <c r="F305" s="127"/>
      <c r="G305" s="127"/>
      <c r="H305" s="127"/>
      <c r="I305" s="127"/>
      <c r="J305" s="127"/>
      <c r="K305" s="127"/>
      <c r="L305" s="127"/>
      <c r="M305" s="127"/>
    </row>
    <row r="306" ht="20.25" customHeight="1">
      <c r="A306" s="275"/>
      <c r="B306" s="277"/>
      <c r="C306" s="277"/>
      <c r="D306" s="277"/>
      <c r="E306" s="117"/>
      <c r="F306" s="117"/>
      <c r="G306" s="117"/>
      <c r="H306" s="117"/>
      <c r="I306" s="117"/>
      <c r="J306" s="117"/>
      <c r="K306" s="117"/>
      <c r="L306" s="117"/>
      <c r="M306" s="117"/>
    </row>
    <row r="307" ht="20.25" customHeight="1">
      <c r="A307" s="273"/>
      <c r="B307" s="274"/>
      <c r="C307" s="274"/>
      <c r="D307" s="274"/>
      <c r="E307" s="127"/>
      <c r="F307" s="127"/>
      <c r="G307" s="127"/>
      <c r="H307" s="127"/>
      <c r="I307" s="127"/>
      <c r="J307" s="127"/>
      <c r="K307" s="127"/>
      <c r="L307" s="127"/>
      <c r="M307" s="127"/>
    </row>
    <row r="308" ht="20.25" customHeight="1">
      <c r="A308" s="275"/>
      <c r="B308" s="277"/>
      <c r="C308" s="277"/>
      <c r="D308" s="277"/>
      <c r="E308" s="117"/>
      <c r="F308" s="117"/>
      <c r="G308" s="117"/>
      <c r="H308" s="117"/>
      <c r="I308" s="117"/>
      <c r="J308" s="117"/>
      <c r="K308" s="117"/>
      <c r="L308" s="117"/>
      <c r="M308" s="117"/>
    </row>
    <row r="309" ht="20.25" customHeight="1">
      <c r="A309" s="273"/>
      <c r="B309" s="274"/>
      <c r="C309" s="274"/>
      <c r="D309" s="274"/>
      <c r="E309" s="127"/>
      <c r="F309" s="127"/>
      <c r="G309" s="127"/>
      <c r="H309" s="127"/>
      <c r="I309" s="127"/>
      <c r="J309" s="127"/>
      <c r="K309" s="127"/>
      <c r="L309" s="127"/>
      <c r="M309" s="127"/>
    </row>
    <row r="310" ht="20.25" customHeight="1">
      <c r="A310" s="275"/>
      <c r="B310" s="277"/>
      <c r="C310" s="277"/>
      <c r="D310" s="277"/>
      <c r="E310" s="117"/>
      <c r="F310" s="117"/>
      <c r="G310" s="117"/>
      <c r="H310" s="117"/>
      <c r="I310" s="117"/>
      <c r="J310" s="117"/>
      <c r="K310" s="117"/>
      <c r="L310" s="117"/>
      <c r="M310" s="117"/>
    </row>
    <row r="311" ht="20.25" customHeight="1">
      <c r="A311" s="273"/>
      <c r="B311" s="274"/>
      <c r="C311" s="274"/>
      <c r="D311" s="274"/>
      <c r="E311" s="127"/>
      <c r="F311" s="127"/>
      <c r="G311" s="127"/>
      <c r="H311" s="127"/>
      <c r="I311" s="127"/>
      <c r="J311" s="127"/>
      <c r="K311" s="127"/>
      <c r="L311" s="127"/>
      <c r="M311" s="127"/>
    </row>
    <row r="312" ht="20.25" customHeight="1">
      <c r="A312" s="275"/>
      <c r="B312" s="277"/>
      <c r="C312" s="277"/>
      <c r="D312" s="277"/>
      <c r="E312" s="117"/>
      <c r="F312" s="117"/>
      <c r="G312" s="117"/>
      <c r="H312" s="117"/>
      <c r="I312" s="117"/>
      <c r="J312" s="117"/>
      <c r="K312" s="117"/>
      <c r="L312" s="117"/>
      <c r="M312" s="117"/>
    </row>
    <row r="313" ht="20.25" customHeight="1">
      <c r="A313" s="273"/>
      <c r="B313" s="274"/>
      <c r="C313" s="274"/>
      <c r="D313" s="274"/>
      <c r="E313" s="127"/>
      <c r="F313" s="127"/>
      <c r="G313" s="127"/>
      <c r="H313" s="127"/>
      <c r="I313" s="127"/>
      <c r="J313" s="127"/>
      <c r="K313" s="127"/>
      <c r="L313" s="127"/>
      <c r="M313" s="127"/>
    </row>
    <row r="314" ht="20.25" customHeight="1">
      <c r="A314" s="275"/>
      <c r="B314" s="277"/>
      <c r="C314" s="277"/>
      <c r="D314" s="277"/>
      <c r="E314" s="117"/>
      <c r="F314" s="117"/>
      <c r="G314" s="117"/>
      <c r="H314" s="117"/>
      <c r="I314" s="117"/>
      <c r="J314" s="117"/>
      <c r="K314" s="117"/>
      <c r="L314" s="117"/>
      <c r="M314" s="117"/>
    </row>
    <row r="315" ht="20.25" customHeight="1">
      <c r="A315" s="273"/>
      <c r="B315" s="274"/>
      <c r="C315" s="274"/>
      <c r="D315" s="274"/>
      <c r="E315" s="127"/>
      <c r="F315" s="127"/>
      <c r="G315" s="127"/>
      <c r="H315" s="127"/>
      <c r="I315" s="127"/>
      <c r="J315" s="127"/>
      <c r="K315" s="127"/>
      <c r="L315" s="127"/>
      <c r="M315" s="127"/>
    </row>
    <row r="316" ht="20.25" customHeight="1">
      <c r="A316" s="275"/>
      <c r="B316" s="277"/>
      <c r="C316" s="277"/>
      <c r="D316" s="277"/>
      <c r="E316" s="117"/>
      <c r="F316" s="117"/>
      <c r="G316" s="117"/>
      <c r="H316" s="117"/>
      <c r="I316" s="117"/>
      <c r="J316" s="117"/>
      <c r="K316" s="117"/>
      <c r="L316" s="117"/>
      <c r="M316" s="117"/>
    </row>
    <row r="317" ht="20.25" customHeight="1">
      <c r="A317" s="273"/>
      <c r="B317" s="274"/>
      <c r="C317" s="274"/>
      <c r="D317" s="274"/>
      <c r="E317" s="127"/>
      <c r="F317" s="127"/>
      <c r="G317" s="127"/>
      <c r="H317" s="127"/>
      <c r="I317" s="127"/>
      <c r="J317" s="127"/>
      <c r="K317" s="127"/>
      <c r="L317" s="127"/>
      <c r="M317" s="127"/>
    </row>
    <row r="318" ht="20.25" customHeight="1">
      <c r="A318" s="275"/>
      <c r="B318" s="277"/>
      <c r="C318" s="277"/>
      <c r="D318" s="277"/>
      <c r="E318" s="117"/>
      <c r="F318" s="117"/>
      <c r="G318" s="117"/>
      <c r="H318" s="117"/>
      <c r="I318" s="117"/>
      <c r="J318" s="117"/>
      <c r="K318" s="117"/>
      <c r="L318" s="117"/>
      <c r="M318" s="117"/>
    </row>
    <row r="319" ht="20.25" customHeight="1">
      <c r="A319" s="273"/>
      <c r="B319" s="274"/>
      <c r="C319" s="274"/>
      <c r="D319" s="274"/>
      <c r="E319" s="127"/>
      <c r="F319" s="127"/>
      <c r="G319" s="127"/>
      <c r="H319" s="127"/>
      <c r="I319" s="127"/>
      <c r="J319" s="127"/>
      <c r="K319" s="127"/>
      <c r="L319" s="127"/>
      <c r="M319" s="127"/>
    </row>
    <row r="320" ht="20.25" customHeight="1">
      <c r="A320" s="275"/>
      <c r="B320" s="277"/>
      <c r="C320" s="277"/>
      <c r="D320" s="277"/>
      <c r="E320" s="117"/>
      <c r="F320" s="117"/>
      <c r="G320" s="117"/>
      <c r="H320" s="117"/>
      <c r="I320" s="117"/>
      <c r="J320" s="117"/>
      <c r="K320" s="117"/>
      <c r="L320" s="117"/>
      <c r="M320" s="117"/>
    </row>
    <row r="321" ht="20.25" customHeight="1">
      <c r="A321" s="273"/>
      <c r="B321" s="274"/>
      <c r="C321" s="274"/>
      <c r="D321" s="274"/>
      <c r="E321" s="127"/>
      <c r="F321" s="127"/>
      <c r="G321" s="127"/>
      <c r="H321" s="127"/>
      <c r="I321" s="127"/>
      <c r="J321" s="127"/>
      <c r="K321" s="127"/>
      <c r="L321" s="127"/>
      <c r="M321" s="127"/>
    </row>
    <row r="322" ht="20.25" customHeight="1">
      <c r="A322" s="275"/>
      <c r="B322" s="277"/>
      <c r="C322" s="277"/>
      <c r="D322" s="277"/>
      <c r="E322" s="117"/>
      <c r="F322" s="117"/>
      <c r="G322" s="117"/>
      <c r="H322" s="117"/>
      <c r="I322" s="117"/>
      <c r="J322" s="117"/>
      <c r="K322" s="117"/>
      <c r="L322" s="117"/>
      <c r="M322" s="117"/>
    </row>
    <row r="323" ht="20.25" customHeight="1">
      <c r="A323" s="273"/>
      <c r="B323" s="274"/>
      <c r="C323" s="274"/>
      <c r="D323" s="274"/>
      <c r="E323" s="127"/>
      <c r="F323" s="127"/>
      <c r="G323" s="127"/>
      <c r="H323" s="127"/>
      <c r="I323" s="127"/>
      <c r="J323" s="127"/>
      <c r="K323" s="127"/>
      <c r="L323" s="127"/>
      <c r="M323" s="127"/>
    </row>
    <row r="324" ht="20.25" customHeight="1">
      <c r="A324" s="275"/>
      <c r="B324" s="277"/>
      <c r="C324" s="277"/>
      <c r="D324" s="277"/>
      <c r="E324" s="117"/>
      <c r="F324" s="117"/>
      <c r="G324" s="117"/>
      <c r="H324" s="117"/>
      <c r="I324" s="117"/>
      <c r="J324" s="117"/>
      <c r="K324" s="117"/>
      <c r="L324" s="117"/>
      <c r="M324" s="117"/>
    </row>
    <row r="325" ht="20.25" customHeight="1">
      <c r="A325" s="273"/>
      <c r="B325" s="274"/>
      <c r="C325" s="274"/>
      <c r="D325" s="274"/>
      <c r="E325" s="127"/>
      <c r="F325" s="127"/>
      <c r="G325" s="127"/>
      <c r="H325" s="127"/>
      <c r="I325" s="127"/>
      <c r="J325" s="127"/>
      <c r="K325" s="127"/>
      <c r="L325" s="127"/>
      <c r="M325" s="127"/>
    </row>
    <row r="326" ht="20.25" customHeight="1">
      <c r="A326" s="275"/>
      <c r="B326" s="277"/>
      <c r="C326" s="277"/>
      <c r="D326" s="277"/>
      <c r="E326" s="117"/>
      <c r="F326" s="117"/>
      <c r="G326" s="117"/>
      <c r="H326" s="117"/>
      <c r="I326" s="117"/>
      <c r="J326" s="117"/>
      <c r="K326" s="117"/>
      <c r="L326" s="117"/>
      <c r="M326" s="117"/>
    </row>
    <row r="327" ht="20.25" customHeight="1">
      <c r="A327" s="273"/>
      <c r="B327" s="274"/>
      <c r="C327" s="274"/>
      <c r="D327" s="274"/>
      <c r="E327" s="127"/>
      <c r="F327" s="127"/>
      <c r="G327" s="127"/>
      <c r="H327" s="127"/>
      <c r="I327" s="127"/>
      <c r="J327" s="127"/>
      <c r="K327" s="127"/>
      <c r="L327" s="127"/>
      <c r="M327" s="127"/>
    </row>
    <row r="328" ht="20.25" customHeight="1">
      <c r="A328" s="275"/>
      <c r="B328" s="277"/>
      <c r="C328" s="277"/>
      <c r="D328" s="277"/>
      <c r="E328" s="117"/>
      <c r="F328" s="117"/>
      <c r="G328" s="117"/>
      <c r="H328" s="117"/>
      <c r="I328" s="117"/>
      <c r="J328" s="117"/>
      <c r="K328" s="117"/>
      <c r="L328" s="117"/>
      <c r="M328" s="117"/>
    </row>
    <row r="329" ht="20.25" customHeight="1">
      <c r="A329" s="273"/>
      <c r="B329" s="274"/>
      <c r="C329" s="274"/>
      <c r="D329" s="274"/>
      <c r="E329" s="127"/>
      <c r="F329" s="127"/>
      <c r="G329" s="127"/>
      <c r="H329" s="127"/>
      <c r="I329" s="127"/>
      <c r="J329" s="127"/>
      <c r="K329" s="127"/>
      <c r="L329" s="127"/>
      <c r="M329" s="127"/>
    </row>
    <row r="330" ht="20.25" customHeight="1">
      <c r="A330" s="275"/>
      <c r="B330" s="277"/>
      <c r="C330" s="277"/>
      <c r="D330" s="277"/>
      <c r="E330" s="117"/>
      <c r="F330" s="117"/>
      <c r="G330" s="117"/>
      <c r="H330" s="117"/>
      <c r="I330" s="117"/>
      <c r="J330" s="117"/>
      <c r="K330" s="117"/>
      <c r="L330" s="117"/>
      <c r="M330" s="117"/>
    </row>
    <row r="331" ht="20.25" customHeight="1">
      <c r="A331" s="273"/>
      <c r="B331" s="274"/>
      <c r="C331" s="274"/>
      <c r="D331" s="274"/>
      <c r="E331" s="127"/>
      <c r="F331" s="127"/>
      <c r="G331" s="127"/>
      <c r="H331" s="127"/>
      <c r="I331" s="127"/>
      <c r="J331" s="127"/>
      <c r="K331" s="127"/>
      <c r="L331" s="127"/>
      <c r="M331" s="127"/>
    </row>
    <row r="332" ht="20.25" customHeight="1">
      <c r="A332" s="275"/>
      <c r="B332" s="277"/>
      <c r="C332" s="277"/>
      <c r="D332" s="277"/>
      <c r="E332" s="117"/>
      <c r="F332" s="117"/>
      <c r="G332" s="117"/>
      <c r="H332" s="117"/>
      <c r="I332" s="117"/>
      <c r="J332" s="117"/>
      <c r="K332" s="117"/>
      <c r="L332" s="117"/>
      <c r="M332" s="117"/>
    </row>
    <row r="333" ht="20.25" customHeight="1">
      <c r="A333" s="273"/>
      <c r="B333" s="274"/>
      <c r="C333" s="274"/>
      <c r="D333" s="274"/>
      <c r="E333" s="127"/>
      <c r="F333" s="127"/>
      <c r="G333" s="127"/>
      <c r="H333" s="127"/>
      <c r="I333" s="127"/>
      <c r="J333" s="127"/>
      <c r="K333" s="127"/>
      <c r="L333" s="127"/>
      <c r="M333" s="127"/>
    </row>
    <row r="334" ht="20.25" customHeight="1">
      <c r="A334" s="275"/>
      <c r="B334" s="277"/>
      <c r="C334" s="277"/>
      <c r="D334" s="277"/>
      <c r="E334" s="117"/>
      <c r="F334" s="117"/>
      <c r="G334" s="117"/>
      <c r="H334" s="117"/>
      <c r="I334" s="117"/>
      <c r="J334" s="117"/>
      <c r="K334" s="117"/>
      <c r="L334" s="117"/>
      <c r="M334" s="117"/>
    </row>
    <row r="335" ht="20.25" customHeight="1">
      <c r="A335" s="273"/>
      <c r="B335" s="274"/>
      <c r="C335" s="274"/>
      <c r="D335" s="274"/>
      <c r="E335" s="127"/>
      <c r="F335" s="127"/>
      <c r="G335" s="127"/>
      <c r="H335" s="127"/>
      <c r="I335" s="127"/>
      <c r="J335" s="127"/>
      <c r="K335" s="127"/>
      <c r="L335" s="127"/>
      <c r="M335" s="127"/>
    </row>
    <row r="336" ht="20.25" customHeight="1">
      <c r="A336" s="275"/>
      <c r="B336" s="277"/>
      <c r="C336" s="277"/>
      <c r="D336" s="277"/>
      <c r="E336" s="117"/>
      <c r="F336" s="117"/>
      <c r="G336" s="117"/>
      <c r="H336" s="117"/>
      <c r="I336" s="117"/>
      <c r="J336" s="117"/>
      <c r="K336" s="117"/>
      <c r="L336" s="117"/>
      <c r="M336" s="117"/>
    </row>
    <row r="337" ht="20.25" customHeight="1">
      <c r="A337" s="273"/>
      <c r="B337" s="274"/>
      <c r="C337" s="274"/>
      <c r="D337" s="274"/>
      <c r="E337" s="127"/>
      <c r="F337" s="127"/>
      <c r="G337" s="127"/>
      <c r="H337" s="127"/>
      <c r="I337" s="127"/>
      <c r="J337" s="127"/>
      <c r="K337" s="127"/>
      <c r="L337" s="127"/>
      <c r="M337" s="127"/>
    </row>
    <row r="338" ht="20.25" customHeight="1">
      <c r="A338" s="275"/>
      <c r="B338" s="277"/>
      <c r="C338" s="277"/>
      <c r="D338" s="277"/>
      <c r="E338" s="117"/>
      <c r="F338" s="117"/>
      <c r="G338" s="117"/>
      <c r="H338" s="117"/>
      <c r="I338" s="117"/>
      <c r="J338" s="117"/>
      <c r="K338" s="117"/>
      <c r="L338" s="117"/>
      <c r="M338" s="117"/>
    </row>
    <row r="339" ht="20.25" customHeight="1">
      <c r="A339" s="273"/>
      <c r="B339" s="274"/>
      <c r="C339" s="274"/>
      <c r="D339" s="274"/>
      <c r="E339" s="127"/>
      <c r="F339" s="127"/>
      <c r="G339" s="127"/>
      <c r="H339" s="127"/>
      <c r="I339" s="127"/>
      <c r="J339" s="127"/>
      <c r="K339" s="127"/>
      <c r="L339" s="127"/>
      <c r="M339" s="127"/>
    </row>
    <row r="340" ht="20.25" customHeight="1">
      <c r="A340" s="275"/>
      <c r="B340" s="277"/>
      <c r="C340" s="277"/>
      <c r="D340" s="277"/>
      <c r="E340" s="117"/>
      <c r="F340" s="117"/>
      <c r="G340" s="117"/>
      <c r="H340" s="117"/>
      <c r="I340" s="117"/>
      <c r="J340" s="117"/>
      <c r="K340" s="117"/>
      <c r="L340" s="117"/>
      <c r="M340" s="117"/>
    </row>
    <row r="341" ht="20.25" customHeight="1">
      <c r="A341" s="273"/>
      <c r="B341" s="274"/>
      <c r="C341" s="274"/>
      <c r="D341" s="274"/>
      <c r="E341" s="127"/>
      <c r="F341" s="127"/>
      <c r="G341" s="127"/>
      <c r="H341" s="127"/>
      <c r="I341" s="127"/>
      <c r="J341" s="127"/>
      <c r="K341" s="127"/>
      <c r="L341" s="127"/>
      <c r="M341" s="127"/>
    </row>
    <row r="342" ht="20.25" customHeight="1">
      <c r="A342" s="275"/>
      <c r="B342" s="277"/>
      <c r="C342" s="277"/>
      <c r="D342" s="277"/>
      <c r="E342" s="117"/>
      <c r="F342" s="117"/>
      <c r="G342" s="117"/>
      <c r="H342" s="117"/>
      <c r="I342" s="117"/>
      <c r="J342" s="117"/>
      <c r="K342" s="117"/>
      <c r="L342" s="117"/>
      <c r="M342" s="117"/>
    </row>
    <row r="343" ht="20.25" customHeight="1">
      <c r="A343" s="273"/>
      <c r="B343" s="274"/>
      <c r="C343" s="274"/>
      <c r="D343" s="274"/>
      <c r="E343" s="127"/>
      <c r="F343" s="127"/>
      <c r="G343" s="127"/>
      <c r="H343" s="127"/>
      <c r="I343" s="127"/>
      <c r="J343" s="127"/>
      <c r="K343" s="127"/>
      <c r="L343" s="127"/>
      <c r="M343" s="127"/>
    </row>
    <row r="344" ht="20.25" customHeight="1">
      <c r="A344" s="275"/>
      <c r="B344" s="277"/>
      <c r="C344" s="277"/>
      <c r="D344" s="277"/>
      <c r="E344" s="117"/>
      <c r="F344" s="117"/>
      <c r="G344" s="117"/>
      <c r="H344" s="117"/>
      <c r="I344" s="117"/>
      <c r="J344" s="117"/>
      <c r="K344" s="117"/>
      <c r="L344" s="117"/>
      <c r="M344" s="117"/>
    </row>
    <row r="345" ht="20.25" customHeight="1">
      <c r="A345" s="273"/>
      <c r="B345" s="274"/>
      <c r="C345" s="274"/>
      <c r="D345" s="274"/>
      <c r="E345" s="127"/>
      <c r="F345" s="127"/>
      <c r="G345" s="127"/>
      <c r="H345" s="127"/>
      <c r="I345" s="127"/>
      <c r="J345" s="127"/>
      <c r="K345" s="127"/>
      <c r="L345" s="127"/>
      <c r="M345" s="127"/>
    </row>
    <row r="346" ht="20.25" customHeight="1">
      <c r="A346" s="275"/>
      <c r="B346" s="277"/>
      <c r="C346" s="277"/>
      <c r="D346" s="277"/>
      <c r="E346" s="117"/>
      <c r="F346" s="117"/>
      <c r="G346" s="117"/>
      <c r="H346" s="117"/>
      <c r="I346" s="117"/>
      <c r="J346" s="117"/>
      <c r="K346" s="117"/>
      <c r="L346" s="117"/>
      <c r="M346" s="117"/>
    </row>
    <row r="347" ht="20.25" customHeight="1">
      <c r="A347" s="273"/>
      <c r="B347" s="274"/>
      <c r="C347" s="274"/>
      <c r="D347" s="274"/>
      <c r="E347" s="127"/>
      <c r="F347" s="127"/>
      <c r="G347" s="127"/>
      <c r="H347" s="127"/>
      <c r="I347" s="127"/>
      <c r="J347" s="127"/>
      <c r="K347" s="127"/>
      <c r="L347" s="127"/>
      <c r="M347" s="127"/>
    </row>
    <row r="348" ht="20.25" customHeight="1">
      <c r="A348" s="275"/>
      <c r="B348" s="277"/>
      <c r="C348" s="277"/>
      <c r="D348" s="277"/>
      <c r="E348" s="117"/>
      <c r="F348" s="117"/>
      <c r="G348" s="117"/>
      <c r="H348" s="117"/>
      <c r="I348" s="117"/>
      <c r="J348" s="117"/>
      <c r="K348" s="117"/>
      <c r="L348" s="117"/>
      <c r="M348" s="117"/>
    </row>
    <row r="349" ht="20.25" customHeight="1">
      <c r="A349" s="273"/>
      <c r="B349" s="274"/>
      <c r="C349" s="274"/>
      <c r="D349" s="274"/>
      <c r="E349" s="127"/>
      <c r="F349" s="127"/>
      <c r="G349" s="127"/>
      <c r="H349" s="127"/>
      <c r="I349" s="127"/>
      <c r="J349" s="127"/>
      <c r="K349" s="127"/>
      <c r="L349" s="127"/>
      <c r="M349" s="127"/>
    </row>
    <row r="350" ht="20.25" customHeight="1">
      <c r="A350" s="275"/>
      <c r="B350" s="277"/>
      <c r="C350" s="277"/>
      <c r="D350" s="277"/>
      <c r="E350" s="117"/>
      <c r="F350" s="117"/>
      <c r="G350" s="117"/>
      <c r="H350" s="117"/>
      <c r="I350" s="117"/>
      <c r="J350" s="117"/>
      <c r="K350" s="117"/>
      <c r="L350" s="117"/>
      <c r="M350" s="117"/>
    </row>
    <row r="351" ht="20.25" customHeight="1">
      <c r="A351" s="273"/>
      <c r="B351" s="274"/>
      <c r="C351" s="274"/>
      <c r="D351" s="274"/>
      <c r="E351" s="127"/>
      <c r="F351" s="127"/>
      <c r="G351" s="127"/>
      <c r="H351" s="127"/>
      <c r="I351" s="127"/>
      <c r="J351" s="127"/>
      <c r="K351" s="127"/>
      <c r="L351" s="127"/>
      <c r="M351" s="127"/>
    </row>
    <row r="352" ht="20.25" customHeight="1">
      <c r="A352" s="275"/>
      <c r="B352" s="277"/>
      <c r="C352" s="277"/>
      <c r="D352" s="277"/>
      <c r="E352" s="117"/>
      <c r="F352" s="117"/>
      <c r="G352" s="117"/>
      <c r="H352" s="117"/>
      <c r="I352" s="117"/>
      <c r="J352" s="117"/>
      <c r="K352" s="117"/>
      <c r="L352" s="117"/>
      <c r="M352" s="117"/>
    </row>
    <row r="353" ht="20.25" customHeight="1">
      <c r="A353" s="273"/>
      <c r="B353" s="274"/>
      <c r="C353" s="274"/>
      <c r="D353" s="274"/>
      <c r="E353" s="127"/>
      <c r="F353" s="127"/>
      <c r="G353" s="127"/>
      <c r="H353" s="127"/>
      <c r="I353" s="127"/>
      <c r="J353" s="127"/>
      <c r="K353" s="127"/>
      <c r="L353" s="127"/>
      <c r="M353" s="127"/>
    </row>
    <row r="354" ht="20.25" customHeight="1">
      <c r="A354" s="275"/>
      <c r="B354" s="277"/>
      <c r="C354" s="277"/>
      <c r="D354" s="277"/>
      <c r="E354" s="117"/>
      <c r="F354" s="117"/>
      <c r="G354" s="117"/>
      <c r="H354" s="117"/>
      <c r="I354" s="117"/>
      <c r="J354" s="117"/>
      <c r="K354" s="117"/>
      <c r="L354" s="117"/>
      <c r="M354" s="117"/>
    </row>
    <row r="355" ht="20.25" customHeight="1">
      <c r="A355" s="273"/>
      <c r="B355" s="274"/>
      <c r="C355" s="274"/>
      <c r="D355" s="274"/>
      <c r="E355" s="127"/>
      <c r="F355" s="127"/>
      <c r="G355" s="127"/>
      <c r="H355" s="127"/>
      <c r="I355" s="127"/>
      <c r="J355" s="127"/>
      <c r="K355" s="127"/>
      <c r="L355" s="127"/>
      <c r="M355" s="127"/>
    </row>
    <row r="356" ht="20.25" customHeight="1">
      <c r="A356" s="275"/>
      <c r="B356" s="277"/>
      <c r="C356" s="277"/>
      <c r="D356" s="277"/>
      <c r="E356" s="117"/>
      <c r="F356" s="117"/>
      <c r="G356" s="117"/>
      <c r="H356" s="117"/>
      <c r="I356" s="117"/>
      <c r="J356" s="117"/>
      <c r="K356" s="117"/>
      <c r="L356" s="117"/>
      <c r="M356" s="117"/>
    </row>
    <row r="357" ht="20.25" customHeight="1">
      <c r="A357" s="273"/>
      <c r="B357" s="274"/>
      <c r="C357" s="274"/>
      <c r="D357" s="274"/>
      <c r="E357" s="127"/>
      <c r="F357" s="127"/>
      <c r="G357" s="127"/>
      <c r="H357" s="127"/>
      <c r="I357" s="127"/>
      <c r="J357" s="127"/>
      <c r="K357" s="127"/>
      <c r="L357" s="127"/>
      <c r="M357" s="127"/>
    </row>
    <row r="358" ht="20.25" customHeight="1">
      <c r="A358" s="275"/>
      <c r="B358" s="277"/>
      <c r="C358" s="277"/>
      <c r="D358" s="277"/>
      <c r="E358" s="117"/>
      <c r="F358" s="117"/>
      <c r="G358" s="117"/>
      <c r="H358" s="117"/>
      <c r="I358" s="117"/>
      <c r="J358" s="117"/>
      <c r="K358" s="117"/>
      <c r="L358" s="117"/>
      <c r="M358" s="117"/>
    </row>
    <row r="359" ht="20.25" customHeight="1">
      <c r="A359" s="273"/>
      <c r="B359" s="274"/>
      <c r="C359" s="274"/>
      <c r="D359" s="274"/>
      <c r="E359" s="127"/>
      <c r="F359" s="127"/>
      <c r="G359" s="127"/>
      <c r="H359" s="127"/>
      <c r="I359" s="127"/>
      <c r="J359" s="127"/>
      <c r="K359" s="127"/>
      <c r="L359" s="127"/>
      <c r="M359" s="127"/>
    </row>
    <row r="360" ht="20.25" customHeight="1">
      <c r="A360" s="275"/>
      <c r="B360" s="277"/>
      <c r="C360" s="277"/>
      <c r="D360" s="277"/>
      <c r="E360" s="117"/>
      <c r="F360" s="117"/>
      <c r="G360" s="117"/>
      <c r="H360" s="117"/>
      <c r="I360" s="117"/>
      <c r="J360" s="117"/>
      <c r="K360" s="117"/>
      <c r="L360" s="117"/>
      <c r="M360" s="117"/>
    </row>
    <row r="361" ht="20.25" customHeight="1">
      <c r="A361" s="273"/>
      <c r="B361" s="274"/>
      <c r="C361" s="274"/>
      <c r="D361" s="274"/>
      <c r="E361" s="127"/>
      <c r="F361" s="127"/>
      <c r="G361" s="127"/>
      <c r="H361" s="127"/>
      <c r="I361" s="127"/>
      <c r="J361" s="127"/>
      <c r="K361" s="127"/>
      <c r="L361" s="127"/>
      <c r="M361" s="127"/>
    </row>
    <row r="362" ht="20.25" customHeight="1">
      <c r="A362" s="275"/>
      <c r="B362" s="277"/>
      <c r="C362" s="277"/>
      <c r="D362" s="277"/>
      <c r="E362" s="117"/>
      <c r="F362" s="117"/>
      <c r="G362" s="117"/>
      <c r="H362" s="117"/>
      <c r="I362" s="117"/>
      <c r="J362" s="117"/>
      <c r="K362" s="117"/>
      <c r="L362" s="117"/>
      <c r="M362" s="117"/>
    </row>
    <row r="363" ht="20.25" customHeight="1">
      <c r="A363" s="273"/>
      <c r="B363" s="274"/>
      <c r="C363" s="274"/>
      <c r="D363" s="274"/>
      <c r="E363" s="127"/>
      <c r="F363" s="127"/>
      <c r="G363" s="127"/>
      <c r="H363" s="127"/>
      <c r="I363" s="127"/>
      <c r="J363" s="127"/>
      <c r="K363" s="127"/>
      <c r="L363" s="127"/>
      <c r="M363" s="127"/>
    </row>
    <row r="364" ht="20.25" customHeight="1">
      <c r="A364" s="275"/>
      <c r="B364" s="277"/>
      <c r="C364" s="277"/>
      <c r="D364" s="277"/>
      <c r="E364" s="117"/>
      <c r="F364" s="117"/>
      <c r="G364" s="117"/>
      <c r="H364" s="117"/>
      <c r="I364" s="117"/>
      <c r="J364" s="117"/>
      <c r="K364" s="117"/>
      <c r="L364" s="117"/>
      <c r="M364" s="117"/>
    </row>
    <row r="365" ht="20.25" customHeight="1">
      <c r="A365" s="273"/>
      <c r="B365" s="274"/>
      <c r="C365" s="274"/>
      <c r="D365" s="274"/>
      <c r="E365" s="127"/>
      <c r="F365" s="127"/>
      <c r="G365" s="127"/>
      <c r="H365" s="127"/>
      <c r="I365" s="127"/>
      <c r="J365" s="127"/>
      <c r="K365" s="127"/>
      <c r="L365" s="127"/>
      <c r="M365" s="127"/>
    </row>
    <row r="366" ht="20.25" customHeight="1">
      <c r="A366" s="275"/>
      <c r="B366" s="277"/>
      <c r="C366" s="277"/>
      <c r="D366" s="277"/>
      <c r="E366" s="117"/>
      <c r="F366" s="117"/>
      <c r="G366" s="117"/>
      <c r="H366" s="117"/>
      <c r="I366" s="117"/>
      <c r="J366" s="117"/>
      <c r="K366" s="117"/>
      <c r="L366" s="117"/>
      <c r="M366" s="117"/>
    </row>
    <row r="367" ht="20.25" customHeight="1">
      <c r="A367" s="273"/>
      <c r="B367" s="274"/>
      <c r="C367" s="274"/>
      <c r="D367" s="274"/>
      <c r="E367" s="127"/>
      <c r="F367" s="127"/>
      <c r="G367" s="127"/>
      <c r="H367" s="127"/>
      <c r="I367" s="127"/>
      <c r="J367" s="127"/>
      <c r="K367" s="127"/>
      <c r="L367" s="127"/>
      <c r="M367" s="127"/>
    </row>
    <row r="368" ht="20.25" customHeight="1">
      <c r="A368" s="275"/>
      <c r="B368" s="277"/>
      <c r="C368" s="277"/>
      <c r="D368" s="277"/>
      <c r="E368" s="117"/>
      <c r="F368" s="117"/>
      <c r="G368" s="117"/>
      <c r="H368" s="117"/>
      <c r="I368" s="117"/>
      <c r="J368" s="117"/>
      <c r="K368" s="117"/>
      <c r="L368" s="117"/>
      <c r="M368" s="117"/>
    </row>
    <row r="369" ht="20.25" customHeight="1">
      <c r="A369" s="273"/>
      <c r="B369" s="274"/>
      <c r="C369" s="274"/>
      <c r="D369" s="274"/>
      <c r="E369" s="127"/>
      <c r="F369" s="127"/>
      <c r="G369" s="127"/>
      <c r="H369" s="127"/>
      <c r="I369" s="127"/>
      <c r="J369" s="127"/>
      <c r="K369" s="127"/>
      <c r="L369" s="127"/>
      <c r="M369" s="127"/>
    </row>
    <row r="370" ht="20.25" customHeight="1">
      <c r="A370" s="275"/>
      <c r="B370" s="277"/>
      <c r="C370" s="277"/>
      <c r="D370" s="277"/>
      <c r="E370" s="117"/>
      <c r="F370" s="117"/>
      <c r="G370" s="117"/>
      <c r="H370" s="117"/>
      <c r="I370" s="117"/>
      <c r="J370" s="117"/>
      <c r="K370" s="117"/>
      <c r="L370" s="117"/>
      <c r="M370" s="117"/>
    </row>
    <row r="371" ht="20.25" customHeight="1">
      <c r="A371" s="273"/>
      <c r="B371" s="274"/>
      <c r="C371" s="274"/>
      <c r="D371" s="274"/>
      <c r="E371" s="127"/>
      <c r="F371" s="127"/>
      <c r="G371" s="127"/>
      <c r="H371" s="127"/>
      <c r="I371" s="127"/>
      <c r="J371" s="127"/>
      <c r="K371" s="127"/>
      <c r="L371" s="127"/>
      <c r="M371" s="127"/>
    </row>
    <row r="372" ht="20.25" customHeight="1">
      <c r="A372" s="275"/>
      <c r="B372" s="277"/>
      <c r="C372" s="277"/>
      <c r="D372" s="277"/>
      <c r="E372" s="117"/>
      <c r="F372" s="117"/>
      <c r="G372" s="117"/>
      <c r="H372" s="117"/>
      <c r="I372" s="117"/>
      <c r="J372" s="117"/>
      <c r="K372" s="117"/>
      <c r="L372" s="117"/>
      <c r="M372" s="117"/>
    </row>
    <row r="373" ht="20.25" customHeight="1">
      <c r="A373" s="273"/>
      <c r="B373" s="274"/>
      <c r="C373" s="274"/>
      <c r="D373" s="274"/>
      <c r="E373" s="127"/>
      <c r="F373" s="127"/>
      <c r="G373" s="127"/>
      <c r="H373" s="127"/>
      <c r="I373" s="127"/>
      <c r="J373" s="127"/>
      <c r="K373" s="127"/>
      <c r="L373" s="127"/>
      <c r="M373" s="127"/>
    </row>
    <row r="374" ht="20.25" customHeight="1">
      <c r="A374" s="275"/>
      <c r="B374" s="277"/>
      <c r="C374" s="277"/>
      <c r="D374" s="277"/>
      <c r="E374" s="117"/>
      <c r="F374" s="117"/>
      <c r="G374" s="117"/>
      <c r="H374" s="117"/>
      <c r="I374" s="117"/>
      <c r="J374" s="117"/>
      <c r="K374" s="117"/>
      <c r="L374" s="117"/>
      <c r="M374" s="117"/>
    </row>
    <row r="375" ht="20.25" customHeight="1">
      <c r="A375" s="273"/>
      <c r="B375" s="274"/>
      <c r="C375" s="274"/>
      <c r="D375" s="274"/>
      <c r="E375" s="127"/>
      <c r="F375" s="127"/>
      <c r="G375" s="127"/>
      <c r="H375" s="127"/>
      <c r="I375" s="127"/>
      <c r="J375" s="127"/>
      <c r="K375" s="127"/>
      <c r="L375" s="127"/>
      <c r="M375" s="127"/>
    </row>
    <row r="376" ht="20.25" customHeight="1">
      <c r="A376" s="275"/>
      <c r="B376" s="277"/>
      <c r="C376" s="277"/>
      <c r="D376" s="277"/>
      <c r="E376" s="117"/>
      <c r="F376" s="117"/>
      <c r="G376" s="117"/>
      <c r="H376" s="117"/>
      <c r="I376" s="117"/>
      <c r="J376" s="117"/>
      <c r="K376" s="117"/>
      <c r="L376" s="117"/>
      <c r="M376" s="117"/>
    </row>
    <row r="377" ht="20.25" customHeight="1">
      <c r="A377" s="273"/>
      <c r="B377" s="274"/>
      <c r="C377" s="274"/>
      <c r="D377" s="274"/>
      <c r="E377" s="127"/>
      <c r="F377" s="127"/>
      <c r="G377" s="127"/>
      <c r="H377" s="127"/>
      <c r="I377" s="127"/>
      <c r="J377" s="127"/>
      <c r="K377" s="127"/>
      <c r="L377" s="127"/>
      <c r="M377" s="127"/>
    </row>
    <row r="378" ht="20.25" customHeight="1">
      <c r="A378" s="275"/>
      <c r="B378" s="277"/>
      <c r="C378" s="277"/>
      <c r="D378" s="277"/>
      <c r="E378" s="117"/>
      <c r="F378" s="117"/>
      <c r="G378" s="117"/>
      <c r="H378" s="117"/>
      <c r="I378" s="117"/>
      <c r="J378" s="117"/>
      <c r="K378" s="117"/>
      <c r="L378" s="117"/>
      <c r="M378" s="117"/>
    </row>
    <row r="379" ht="20.25" customHeight="1">
      <c r="A379" s="273"/>
      <c r="B379" s="274"/>
      <c r="C379" s="274"/>
      <c r="D379" s="274"/>
      <c r="E379" s="127"/>
      <c r="F379" s="127"/>
      <c r="G379" s="127"/>
      <c r="H379" s="127"/>
      <c r="I379" s="127"/>
      <c r="J379" s="127"/>
      <c r="K379" s="127"/>
      <c r="L379" s="127"/>
      <c r="M379" s="127"/>
    </row>
    <row r="380" ht="20.25" customHeight="1">
      <c r="A380" s="275"/>
      <c r="B380" s="277"/>
      <c r="C380" s="277"/>
      <c r="D380" s="277"/>
      <c r="E380" s="117"/>
      <c r="F380" s="117"/>
      <c r="G380" s="117"/>
      <c r="H380" s="117"/>
      <c r="I380" s="117"/>
      <c r="J380" s="117"/>
      <c r="K380" s="117"/>
      <c r="L380" s="117"/>
      <c r="M380" s="117"/>
    </row>
    <row r="381" ht="20.25" customHeight="1">
      <c r="A381" s="273"/>
      <c r="B381" s="274"/>
      <c r="C381" s="274"/>
      <c r="D381" s="274"/>
      <c r="E381" s="127"/>
      <c r="F381" s="127"/>
      <c r="G381" s="127"/>
      <c r="H381" s="127"/>
      <c r="I381" s="127"/>
      <c r="J381" s="127"/>
      <c r="K381" s="127"/>
      <c r="L381" s="127"/>
      <c r="M381" s="127"/>
    </row>
    <row r="382" ht="20.25" customHeight="1">
      <c r="A382" s="275"/>
      <c r="B382" s="277"/>
      <c r="C382" s="277"/>
      <c r="D382" s="277"/>
      <c r="E382" s="117"/>
      <c r="F382" s="117"/>
      <c r="G382" s="117"/>
      <c r="H382" s="117"/>
      <c r="I382" s="117"/>
      <c r="J382" s="117"/>
      <c r="K382" s="117"/>
      <c r="L382" s="117"/>
      <c r="M382" s="117"/>
    </row>
    <row r="383" ht="20.25" customHeight="1">
      <c r="A383" s="273"/>
      <c r="B383" s="274"/>
      <c r="C383" s="274"/>
      <c r="D383" s="274"/>
      <c r="E383" s="127"/>
      <c r="F383" s="127"/>
      <c r="G383" s="127"/>
      <c r="H383" s="127"/>
      <c r="I383" s="127"/>
      <c r="J383" s="127"/>
      <c r="K383" s="127"/>
      <c r="L383" s="127"/>
      <c r="M383" s="127"/>
    </row>
    <row r="384" ht="20.25" customHeight="1">
      <c r="A384" s="275"/>
      <c r="B384" s="277"/>
      <c r="C384" s="277"/>
      <c r="D384" s="277"/>
      <c r="E384" s="117"/>
      <c r="F384" s="117"/>
      <c r="G384" s="117"/>
      <c r="H384" s="117"/>
      <c r="I384" s="117"/>
      <c r="J384" s="117"/>
      <c r="K384" s="117"/>
      <c r="L384" s="117"/>
      <c r="M384" s="117"/>
    </row>
    <row r="385" ht="20.25" customHeight="1">
      <c r="A385" s="273"/>
      <c r="B385" s="274"/>
      <c r="C385" s="274"/>
      <c r="D385" s="274"/>
      <c r="E385" s="127"/>
      <c r="F385" s="127"/>
      <c r="G385" s="127"/>
      <c r="H385" s="127"/>
      <c r="I385" s="127"/>
      <c r="J385" s="127"/>
      <c r="K385" s="127"/>
      <c r="L385" s="127"/>
      <c r="M385" s="127"/>
    </row>
    <row r="386" ht="20.25" customHeight="1">
      <c r="A386" s="275"/>
      <c r="B386" s="277"/>
      <c r="C386" s="277"/>
      <c r="D386" s="277"/>
      <c r="E386" s="117"/>
      <c r="F386" s="117"/>
      <c r="G386" s="117"/>
      <c r="H386" s="117"/>
      <c r="I386" s="117"/>
      <c r="J386" s="117"/>
      <c r="K386" s="117"/>
      <c r="L386" s="117"/>
      <c r="M386" s="117"/>
    </row>
    <row r="387" ht="20.25" customHeight="1">
      <c r="A387" s="273"/>
      <c r="B387" s="274"/>
      <c r="C387" s="274"/>
      <c r="D387" s="274"/>
      <c r="E387" s="127"/>
      <c r="F387" s="127"/>
      <c r="G387" s="127"/>
      <c r="H387" s="127"/>
      <c r="I387" s="127"/>
      <c r="J387" s="127"/>
      <c r="K387" s="127"/>
      <c r="L387" s="127"/>
      <c r="M387" s="127"/>
    </row>
    <row r="388" ht="20.25" customHeight="1">
      <c r="A388" s="275"/>
      <c r="B388" s="277"/>
      <c r="C388" s="277"/>
      <c r="D388" s="277"/>
      <c r="E388" s="117"/>
      <c r="F388" s="117"/>
      <c r="G388" s="117"/>
      <c r="H388" s="117"/>
      <c r="I388" s="117"/>
      <c r="J388" s="117"/>
      <c r="K388" s="117"/>
      <c r="L388" s="117"/>
      <c r="M388" s="117"/>
    </row>
    <row r="389" ht="20.25" customHeight="1">
      <c r="A389" s="273"/>
      <c r="B389" s="274"/>
      <c r="C389" s="274"/>
      <c r="D389" s="274"/>
      <c r="E389" s="127"/>
      <c r="F389" s="127"/>
      <c r="G389" s="127"/>
      <c r="H389" s="127"/>
      <c r="I389" s="127"/>
      <c r="J389" s="127"/>
      <c r="K389" s="127"/>
      <c r="L389" s="127"/>
      <c r="M389" s="127"/>
    </row>
    <row r="390" ht="20.25" customHeight="1">
      <c r="A390" s="275"/>
      <c r="B390" s="277"/>
      <c r="C390" s="277"/>
      <c r="D390" s="277"/>
      <c r="E390" s="117"/>
      <c r="F390" s="117"/>
      <c r="G390" s="117"/>
      <c r="H390" s="117"/>
      <c r="I390" s="117"/>
      <c r="J390" s="117"/>
      <c r="K390" s="117"/>
      <c r="L390" s="117"/>
      <c r="M390" s="117"/>
    </row>
    <row r="391" ht="20.25" customHeight="1">
      <c r="A391" s="273"/>
      <c r="B391" s="274"/>
      <c r="C391" s="274"/>
      <c r="D391" s="274"/>
      <c r="E391" s="127"/>
      <c r="F391" s="127"/>
      <c r="G391" s="127"/>
      <c r="H391" s="127"/>
      <c r="I391" s="127"/>
      <c r="J391" s="127"/>
      <c r="K391" s="127"/>
      <c r="L391" s="127"/>
      <c r="M391" s="127"/>
    </row>
    <row r="392" ht="20.25" customHeight="1">
      <c r="A392" s="275"/>
      <c r="B392" s="277"/>
      <c r="C392" s="277"/>
      <c r="D392" s="277"/>
      <c r="E392" s="117"/>
      <c r="F392" s="117"/>
      <c r="G392" s="117"/>
      <c r="H392" s="117"/>
      <c r="I392" s="117"/>
      <c r="J392" s="117"/>
      <c r="K392" s="117"/>
      <c r="L392" s="117"/>
      <c r="M392" s="117"/>
    </row>
    <row r="393" ht="20.25" customHeight="1">
      <c r="A393" s="273"/>
      <c r="B393" s="274"/>
      <c r="C393" s="274"/>
      <c r="D393" s="274"/>
      <c r="E393" s="127"/>
      <c r="F393" s="127"/>
      <c r="G393" s="127"/>
      <c r="H393" s="127"/>
      <c r="I393" s="127"/>
      <c r="J393" s="127"/>
      <c r="K393" s="127"/>
      <c r="L393" s="127"/>
      <c r="M393" s="127"/>
    </row>
    <row r="394" ht="20.25" customHeight="1">
      <c r="A394" s="275"/>
      <c r="B394" s="277"/>
      <c r="C394" s="277"/>
      <c r="D394" s="277"/>
      <c r="E394" s="117"/>
      <c r="F394" s="117"/>
      <c r="G394" s="117"/>
      <c r="H394" s="117"/>
      <c r="I394" s="117"/>
      <c r="J394" s="117"/>
      <c r="K394" s="117"/>
      <c r="L394" s="117"/>
      <c r="M394" s="117"/>
    </row>
    <row r="395" ht="20.25" customHeight="1">
      <c r="A395" s="273"/>
      <c r="B395" s="274"/>
      <c r="C395" s="274"/>
      <c r="D395" s="274"/>
      <c r="E395" s="127"/>
      <c r="F395" s="127"/>
      <c r="G395" s="127"/>
      <c r="H395" s="127"/>
      <c r="I395" s="127"/>
      <c r="J395" s="127"/>
      <c r="K395" s="127"/>
      <c r="L395" s="127"/>
      <c r="M395" s="127"/>
    </row>
    <row r="396" ht="20.25" customHeight="1">
      <c r="A396" s="275"/>
      <c r="B396" s="277"/>
      <c r="C396" s="277"/>
      <c r="D396" s="277"/>
      <c r="E396" s="117"/>
      <c r="F396" s="117"/>
      <c r="G396" s="117"/>
      <c r="H396" s="117"/>
      <c r="I396" s="117"/>
      <c r="J396" s="117"/>
      <c r="K396" s="117"/>
      <c r="L396" s="117"/>
      <c r="M396" s="117"/>
    </row>
    <row r="397" ht="20.25" customHeight="1">
      <c r="A397" s="273"/>
      <c r="B397" s="274"/>
      <c r="C397" s="274"/>
      <c r="D397" s="274"/>
      <c r="E397" s="127"/>
      <c r="F397" s="127"/>
      <c r="G397" s="127"/>
      <c r="H397" s="127"/>
      <c r="I397" s="127"/>
      <c r="J397" s="127"/>
      <c r="K397" s="127"/>
      <c r="L397" s="127"/>
      <c r="M397" s="127"/>
    </row>
    <row r="398" ht="20.25" customHeight="1">
      <c r="A398" s="275"/>
      <c r="B398" s="277"/>
      <c r="C398" s="277"/>
      <c r="D398" s="277"/>
      <c r="E398" s="117"/>
      <c r="F398" s="117"/>
      <c r="G398" s="117"/>
      <c r="H398" s="117"/>
      <c r="I398" s="117"/>
      <c r="J398" s="117"/>
      <c r="K398" s="117"/>
      <c r="L398" s="117"/>
      <c r="M398" s="117"/>
    </row>
    <row r="399" ht="20.25" customHeight="1">
      <c r="A399" s="273"/>
      <c r="B399" s="274"/>
      <c r="C399" s="274"/>
      <c r="D399" s="274"/>
      <c r="E399" s="127"/>
      <c r="F399" s="127"/>
      <c r="G399" s="127"/>
      <c r="H399" s="127"/>
      <c r="I399" s="127"/>
      <c r="J399" s="127"/>
      <c r="K399" s="127"/>
      <c r="L399" s="127"/>
      <c r="M399" s="127"/>
    </row>
    <row r="400" ht="20.25" customHeight="1">
      <c r="A400" s="275"/>
      <c r="B400" s="277"/>
      <c r="C400" s="277"/>
      <c r="D400" s="277"/>
      <c r="E400" s="117"/>
      <c r="F400" s="117"/>
      <c r="G400" s="117"/>
      <c r="H400" s="117"/>
      <c r="I400" s="117"/>
      <c r="J400" s="117"/>
      <c r="K400" s="117"/>
      <c r="L400" s="117"/>
      <c r="M400" s="117"/>
    </row>
    <row r="401" ht="20.25" customHeight="1">
      <c r="A401" s="273"/>
      <c r="B401" s="274"/>
      <c r="C401" s="274"/>
      <c r="D401" s="274"/>
      <c r="E401" s="127"/>
      <c r="F401" s="127"/>
      <c r="G401" s="127"/>
      <c r="H401" s="127"/>
      <c r="I401" s="127"/>
      <c r="J401" s="127"/>
      <c r="K401" s="127"/>
      <c r="L401" s="127"/>
      <c r="M401" s="127"/>
    </row>
    <row r="402" ht="20.25" customHeight="1">
      <c r="A402" s="275"/>
      <c r="B402" s="277"/>
      <c r="C402" s="277"/>
      <c r="D402" s="277"/>
      <c r="E402" s="117"/>
      <c r="F402" s="117"/>
      <c r="G402" s="117"/>
      <c r="H402" s="117"/>
      <c r="I402" s="117"/>
      <c r="J402" s="117"/>
      <c r="K402" s="117"/>
      <c r="L402" s="117"/>
      <c r="M402" s="117"/>
    </row>
    <row r="403" ht="20.25" customHeight="1">
      <c r="A403" s="273"/>
      <c r="B403" s="274"/>
      <c r="C403" s="274"/>
      <c r="D403" s="274"/>
      <c r="E403" s="127"/>
      <c r="F403" s="127"/>
      <c r="G403" s="127"/>
      <c r="H403" s="127"/>
      <c r="I403" s="127"/>
      <c r="J403" s="127"/>
      <c r="K403" s="127"/>
      <c r="L403" s="127"/>
      <c r="M403" s="127"/>
    </row>
    <row r="404" ht="20.25" customHeight="1">
      <c r="A404" s="275"/>
      <c r="B404" s="277"/>
      <c r="C404" s="277"/>
      <c r="D404" s="277"/>
      <c r="E404" s="117"/>
      <c r="F404" s="117"/>
      <c r="G404" s="117"/>
      <c r="H404" s="117"/>
      <c r="I404" s="117"/>
      <c r="J404" s="117"/>
      <c r="K404" s="117"/>
      <c r="L404" s="117"/>
      <c r="M404" s="117"/>
    </row>
    <row r="405" ht="20.25" customHeight="1">
      <c r="A405" s="273"/>
      <c r="B405" s="274"/>
      <c r="C405" s="274"/>
      <c r="D405" s="274"/>
      <c r="E405" s="127"/>
      <c r="F405" s="127"/>
      <c r="G405" s="127"/>
      <c r="H405" s="127"/>
      <c r="I405" s="127"/>
      <c r="J405" s="127"/>
      <c r="K405" s="127"/>
      <c r="L405" s="127"/>
      <c r="M405" s="127"/>
    </row>
    <row r="406" ht="20.25" customHeight="1">
      <c r="A406" s="275"/>
      <c r="B406" s="277"/>
      <c r="C406" s="277"/>
      <c r="D406" s="277"/>
      <c r="E406" s="117"/>
      <c r="F406" s="117"/>
      <c r="G406" s="117"/>
      <c r="H406" s="117"/>
      <c r="I406" s="117"/>
      <c r="J406" s="117"/>
      <c r="K406" s="117"/>
      <c r="L406" s="117"/>
      <c r="M406" s="117"/>
    </row>
    <row r="407" ht="20.25" customHeight="1">
      <c r="A407" s="273"/>
      <c r="B407" s="274"/>
      <c r="C407" s="274"/>
      <c r="D407" s="274"/>
      <c r="E407" s="127"/>
      <c r="F407" s="127"/>
      <c r="G407" s="127"/>
      <c r="H407" s="127"/>
      <c r="I407" s="127"/>
      <c r="J407" s="127"/>
      <c r="K407" s="127"/>
      <c r="L407" s="127"/>
      <c r="M407" s="127"/>
    </row>
    <row r="408" ht="20.25" customHeight="1">
      <c r="A408" s="275"/>
      <c r="B408" s="277"/>
      <c r="C408" s="277"/>
      <c r="D408" s="277"/>
      <c r="E408" s="117"/>
      <c r="F408" s="117"/>
      <c r="G408" s="117"/>
      <c r="H408" s="117"/>
      <c r="I408" s="117"/>
      <c r="J408" s="117"/>
      <c r="K408" s="117"/>
      <c r="L408" s="117"/>
      <c r="M408" s="117"/>
    </row>
    <row r="409" ht="20.25" customHeight="1">
      <c r="A409" s="273"/>
      <c r="B409" s="274"/>
      <c r="C409" s="274"/>
      <c r="D409" s="274"/>
      <c r="E409" s="127"/>
      <c r="F409" s="127"/>
      <c r="G409" s="127"/>
      <c r="H409" s="127"/>
      <c r="I409" s="127"/>
      <c r="J409" s="127"/>
      <c r="K409" s="127"/>
      <c r="L409" s="127"/>
      <c r="M409" s="127"/>
    </row>
    <row r="410" ht="20.25" customHeight="1">
      <c r="A410" s="275"/>
      <c r="B410" s="277"/>
      <c r="C410" s="277"/>
      <c r="D410" s="277"/>
      <c r="E410" s="117"/>
      <c r="F410" s="117"/>
      <c r="G410" s="117"/>
      <c r="H410" s="117"/>
      <c r="I410" s="117"/>
      <c r="J410" s="117"/>
      <c r="K410" s="117"/>
      <c r="L410" s="117"/>
      <c r="M410" s="117"/>
    </row>
    <row r="411" ht="20.25" customHeight="1">
      <c r="A411" s="273"/>
      <c r="B411" s="274"/>
      <c r="C411" s="274"/>
      <c r="D411" s="274"/>
      <c r="E411" s="127"/>
      <c r="F411" s="127"/>
      <c r="G411" s="127"/>
      <c r="H411" s="127"/>
      <c r="I411" s="127"/>
      <c r="J411" s="127"/>
      <c r="K411" s="127"/>
      <c r="L411" s="127"/>
      <c r="M411" s="127"/>
    </row>
    <row r="412" ht="20.25" customHeight="1">
      <c r="A412" s="275"/>
      <c r="B412" s="277"/>
      <c r="C412" s="277"/>
      <c r="D412" s="277"/>
      <c r="E412" s="117"/>
      <c r="F412" s="117"/>
      <c r="G412" s="117"/>
      <c r="H412" s="117"/>
      <c r="I412" s="117"/>
      <c r="J412" s="117"/>
      <c r="K412" s="117"/>
      <c r="L412" s="117"/>
      <c r="M412" s="117"/>
    </row>
    <row r="413" ht="20.25" customHeight="1">
      <c r="A413" s="273"/>
      <c r="B413" s="274"/>
      <c r="C413" s="274"/>
      <c r="D413" s="274"/>
      <c r="E413" s="127"/>
      <c r="F413" s="127"/>
      <c r="G413" s="127"/>
      <c r="H413" s="127"/>
      <c r="I413" s="127"/>
      <c r="J413" s="127"/>
      <c r="K413" s="127"/>
      <c r="L413" s="127"/>
      <c r="M413" s="127"/>
    </row>
    <row r="414" ht="20.25" customHeight="1">
      <c r="A414" s="275"/>
      <c r="B414" s="277"/>
      <c r="C414" s="277"/>
      <c r="D414" s="277"/>
      <c r="E414" s="117"/>
      <c r="F414" s="117"/>
      <c r="G414" s="117"/>
      <c r="H414" s="117"/>
      <c r="I414" s="117"/>
      <c r="J414" s="117"/>
      <c r="K414" s="117"/>
      <c r="L414" s="117"/>
      <c r="M414" s="117"/>
    </row>
    <row r="415" ht="20.25" customHeight="1">
      <c r="A415" s="273"/>
      <c r="B415" s="274"/>
      <c r="C415" s="274"/>
      <c r="D415" s="274"/>
      <c r="E415" s="127"/>
      <c r="F415" s="127"/>
      <c r="G415" s="127"/>
      <c r="H415" s="127"/>
      <c r="I415" s="127"/>
      <c r="J415" s="127"/>
      <c r="K415" s="127"/>
      <c r="L415" s="127"/>
      <c r="M415" s="127"/>
    </row>
    <row r="416" ht="20.25" customHeight="1">
      <c r="A416" s="275"/>
      <c r="B416" s="277"/>
      <c r="C416" s="277"/>
      <c r="D416" s="277"/>
      <c r="E416" s="117"/>
      <c r="F416" s="117"/>
      <c r="G416" s="117"/>
      <c r="H416" s="117"/>
      <c r="I416" s="117"/>
      <c r="J416" s="117"/>
      <c r="K416" s="117"/>
      <c r="L416" s="117"/>
      <c r="M416" s="117"/>
    </row>
    <row r="417" ht="20.25" customHeight="1">
      <c r="A417" s="273"/>
      <c r="B417" s="274"/>
      <c r="C417" s="274"/>
      <c r="D417" s="274"/>
      <c r="E417" s="127"/>
      <c r="F417" s="127"/>
      <c r="G417" s="127"/>
      <c r="H417" s="127"/>
      <c r="I417" s="127"/>
      <c r="J417" s="127"/>
      <c r="K417" s="127"/>
      <c r="L417" s="127"/>
      <c r="M417" s="127"/>
    </row>
    <row r="418" ht="20.25" customHeight="1">
      <c r="A418" s="275"/>
      <c r="B418" s="277"/>
      <c r="C418" s="277"/>
      <c r="D418" s="277"/>
      <c r="E418" s="117"/>
      <c r="F418" s="117"/>
      <c r="G418" s="117"/>
      <c r="H418" s="117"/>
      <c r="I418" s="117"/>
      <c r="J418" s="117"/>
      <c r="K418" s="117"/>
      <c r="L418" s="117"/>
      <c r="M418" s="117"/>
    </row>
    <row r="419" ht="20.25" customHeight="1">
      <c r="A419" s="273"/>
      <c r="B419" s="274"/>
      <c r="C419" s="274"/>
      <c r="D419" s="274"/>
      <c r="E419" s="127"/>
      <c r="F419" s="127"/>
      <c r="G419" s="127"/>
      <c r="H419" s="127"/>
      <c r="I419" s="127"/>
      <c r="J419" s="127"/>
      <c r="K419" s="127"/>
      <c r="L419" s="127"/>
      <c r="M419" s="127"/>
    </row>
    <row r="420" ht="20.25" customHeight="1">
      <c r="A420" s="275"/>
      <c r="B420" s="277"/>
      <c r="C420" s="277"/>
      <c r="D420" s="277"/>
      <c r="E420" s="117"/>
      <c r="F420" s="117"/>
      <c r="G420" s="117"/>
      <c r="H420" s="117"/>
      <c r="I420" s="117"/>
      <c r="J420" s="117"/>
      <c r="K420" s="117"/>
      <c r="L420" s="117"/>
      <c r="M420" s="117"/>
    </row>
    <row r="421" ht="20.25" customHeight="1">
      <c r="A421" s="273"/>
      <c r="B421" s="274"/>
      <c r="C421" s="274"/>
      <c r="D421" s="274"/>
      <c r="E421" s="127"/>
      <c r="F421" s="127"/>
      <c r="G421" s="127"/>
      <c r="H421" s="127"/>
      <c r="I421" s="127"/>
      <c r="J421" s="127"/>
      <c r="K421" s="127"/>
      <c r="L421" s="127"/>
      <c r="M421" s="127"/>
    </row>
    <row r="422" ht="20.25" customHeight="1">
      <c r="A422" s="275"/>
      <c r="B422" s="277"/>
      <c r="C422" s="277"/>
      <c r="D422" s="277"/>
      <c r="E422" s="117"/>
      <c r="F422" s="117"/>
      <c r="G422" s="117"/>
      <c r="H422" s="117"/>
      <c r="I422" s="117"/>
      <c r="J422" s="117"/>
      <c r="K422" s="117"/>
      <c r="L422" s="117"/>
      <c r="M422" s="117"/>
    </row>
    <row r="423" ht="20.25" customHeight="1">
      <c r="A423" s="273"/>
      <c r="B423" s="274"/>
      <c r="C423" s="274"/>
      <c r="D423" s="274"/>
      <c r="E423" s="127"/>
      <c r="F423" s="127"/>
      <c r="G423" s="127"/>
      <c r="H423" s="127"/>
      <c r="I423" s="127"/>
      <c r="J423" s="127"/>
      <c r="K423" s="127"/>
      <c r="L423" s="127"/>
      <c r="M423" s="127"/>
    </row>
    <row r="424" ht="20.25" customHeight="1">
      <c r="A424" s="275"/>
      <c r="B424" s="277"/>
      <c r="C424" s="277"/>
      <c r="D424" s="277"/>
      <c r="E424" s="117"/>
      <c r="F424" s="117"/>
      <c r="G424" s="117"/>
      <c r="H424" s="117"/>
      <c r="I424" s="117"/>
      <c r="J424" s="117"/>
      <c r="K424" s="117"/>
      <c r="L424" s="117"/>
      <c r="M424" s="117"/>
    </row>
    <row r="425" ht="20.25" customHeight="1">
      <c r="A425" s="273"/>
      <c r="B425" s="274"/>
      <c r="C425" s="274"/>
      <c r="D425" s="274"/>
      <c r="E425" s="127"/>
      <c r="F425" s="127"/>
      <c r="G425" s="127"/>
      <c r="H425" s="127"/>
      <c r="I425" s="127"/>
      <c r="J425" s="127"/>
      <c r="K425" s="127"/>
      <c r="L425" s="127"/>
      <c r="M425" s="127"/>
    </row>
    <row r="426" ht="20.25" customHeight="1">
      <c r="A426" s="275"/>
      <c r="B426" s="277"/>
      <c r="C426" s="277"/>
      <c r="D426" s="277"/>
      <c r="E426" s="117"/>
      <c r="F426" s="117"/>
      <c r="G426" s="117"/>
      <c r="H426" s="117"/>
      <c r="I426" s="117"/>
      <c r="J426" s="117"/>
      <c r="K426" s="117"/>
      <c r="L426" s="117"/>
      <c r="M426" s="117"/>
    </row>
    <row r="427" ht="20.25" customHeight="1">
      <c r="A427" s="273"/>
      <c r="B427" s="274"/>
      <c r="C427" s="274"/>
      <c r="D427" s="274"/>
      <c r="E427" s="127"/>
      <c r="F427" s="127"/>
      <c r="G427" s="127"/>
      <c r="H427" s="127"/>
      <c r="I427" s="127"/>
      <c r="J427" s="127"/>
      <c r="K427" s="127"/>
      <c r="L427" s="127"/>
      <c r="M427" s="127"/>
    </row>
    <row r="428" ht="20.25" customHeight="1">
      <c r="A428" s="275"/>
      <c r="B428" s="277"/>
      <c r="C428" s="277"/>
      <c r="D428" s="277"/>
      <c r="E428" s="117"/>
      <c r="F428" s="117"/>
      <c r="G428" s="117"/>
      <c r="H428" s="117"/>
      <c r="I428" s="117"/>
      <c r="J428" s="117"/>
      <c r="K428" s="117"/>
      <c r="L428" s="117"/>
      <c r="M428" s="117"/>
    </row>
    <row r="429" ht="20.25" customHeight="1">
      <c r="A429" s="273"/>
      <c r="B429" s="274"/>
      <c r="C429" s="274"/>
      <c r="D429" s="274"/>
      <c r="E429" s="127"/>
      <c r="F429" s="127"/>
      <c r="G429" s="127"/>
      <c r="H429" s="127"/>
      <c r="I429" s="127"/>
      <c r="J429" s="127"/>
      <c r="K429" s="127"/>
      <c r="L429" s="127"/>
      <c r="M429" s="127"/>
    </row>
    <row r="430" ht="20.25" customHeight="1">
      <c r="A430" s="275"/>
      <c r="B430" s="277"/>
      <c r="C430" s="277"/>
      <c r="D430" s="277"/>
      <c r="E430" s="117"/>
      <c r="F430" s="117"/>
      <c r="G430" s="117"/>
      <c r="H430" s="117"/>
      <c r="I430" s="117"/>
      <c r="J430" s="117"/>
      <c r="K430" s="117"/>
      <c r="L430" s="117"/>
      <c r="M430" s="117"/>
    </row>
    <row r="431" ht="20.25" customHeight="1">
      <c r="A431" s="273"/>
      <c r="B431" s="274"/>
      <c r="C431" s="274"/>
      <c r="D431" s="274"/>
      <c r="E431" s="127"/>
      <c r="F431" s="127"/>
      <c r="G431" s="127"/>
      <c r="H431" s="127"/>
      <c r="I431" s="127"/>
      <c r="J431" s="127"/>
      <c r="K431" s="127"/>
      <c r="L431" s="127"/>
      <c r="M431" s="127"/>
    </row>
    <row r="432" ht="20.25" customHeight="1">
      <c r="A432" s="275"/>
      <c r="B432" s="277"/>
      <c r="C432" s="277"/>
      <c r="D432" s="277"/>
      <c r="E432" s="117"/>
      <c r="F432" s="117"/>
      <c r="G432" s="117"/>
      <c r="H432" s="117"/>
      <c r="I432" s="117"/>
      <c r="J432" s="117"/>
      <c r="K432" s="117"/>
      <c r="L432" s="117"/>
      <c r="M432" s="117"/>
    </row>
    <row r="433" ht="20.25" customHeight="1">
      <c r="A433" s="273"/>
      <c r="B433" s="274"/>
      <c r="C433" s="274"/>
      <c r="D433" s="274"/>
      <c r="E433" s="127"/>
      <c r="F433" s="127"/>
      <c r="G433" s="127"/>
      <c r="H433" s="127"/>
      <c r="I433" s="127"/>
      <c r="J433" s="127"/>
      <c r="K433" s="127"/>
      <c r="L433" s="127"/>
      <c r="M433" s="127"/>
    </row>
    <row r="434" ht="20.25" customHeight="1">
      <c r="A434" s="275"/>
      <c r="B434" s="277"/>
      <c r="C434" s="277"/>
      <c r="D434" s="277"/>
      <c r="E434" s="117"/>
      <c r="F434" s="117"/>
      <c r="G434" s="117"/>
      <c r="H434" s="117"/>
      <c r="I434" s="117"/>
      <c r="J434" s="117"/>
      <c r="K434" s="117"/>
      <c r="L434" s="117"/>
      <c r="M434" s="117"/>
    </row>
    <row r="435" ht="20.25" customHeight="1">
      <c r="A435" s="273"/>
      <c r="B435" s="274"/>
      <c r="C435" s="274"/>
      <c r="D435" s="274"/>
      <c r="E435" s="127"/>
      <c r="F435" s="127"/>
      <c r="G435" s="127"/>
      <c r="H435" s="127"/>
      <c r="I435" s="127"/>
      <c r="J435" s="127"/>
      <c r="K435" s="127"/>
      <c r="L435" s="127"/>
      <c r="M435" s="127"/>
    </row>
    <row r="436" ht="20.25" customHeight="1">
      <c r="A436" s="275"/>
      <c r="B436" s="277"/>
      <c r="C436" s="277"/>
      <c r="D436" s="277"/>
      <c r="E436" s="117"/>
      <c r="F436" s="117"/>
      <c r="G436" s="117"/>
      <c r="H436" s="117"/>
      <c r="I436" s="117"/>
      <c r="J436" s="117"/>
      <c r="K436" s="117"/>
      <c r="L436" s="117"/>
      <c r="M436" s="117"/>
    </row>
    <row r="437" ht="20.25" customHeight="1">
      <c r="A437" s="273"/>
      <c r="B437" s="274"/>
      <c r="C437" s="274"/>
      <c r="D437" s="274"/>
      <c r="E437" s="127"/>
      <c r="F437" s="127"/>
      <c r="G437" s="127"/>
      <c r="H437" s="127"/>
      <c r="I437" s="127"/>
      <c r="J437" s="127"/>
      <c r="K437" s="127"/>
      <c r="L437" s="127"/>
      <c r="M437" s="127"/>
    </row>
    <row r="438" ht="20.25" customHeight="1">
      <c r="A438" s="275"/>
      <c r="B438" s="277"/>
      <c r="C438" s="277"/>
      <c r="D438" s="277"/>
      <c r="E438" s="117"/>
      <c r="F438" s="117"/>
      <c r="G438" s="117"/>
      <c r="H438" s="117"/>
      <c r="I438" s="117"/>
      <c r="J438" s="117"/>
      <c r="K438" s="117"/>
      <c r="L438" s="117"/>
      <c r="M438" s="117"/>
    </row>
    <row r="439" ht="20.25" customHeight="1">
      <c r="A439" s="273"/>
      <c r="B439" s="274"/>
      <c r="C439" s="274"/>
      <c r="D439" s="274"/>
      <c r="E439" s="127"/>
      <c r="F439" s="127"/>
      <c r="G439" s="127"/>
      <c r="H439" s="127"/>
      <c r="I439" s="127"/>
      <c r="J439" s="127"/>
      <c r="K439" s="127"/>
      <c r="L439" s="127"/>
      <c r="M439" s="127"/>
    </row>
    <row r="440" ht="20.25" customHeight="1">
      <c r="A440" s="275"/>
      <c r="B440" s="277"/>
      <c r="C440" s="277"/>
      <c r="D440" s="277"/>
      <c r="E440" s="117"/>
      <c r="F440" s="117"/>
      <c r="G440" s="117"/>
      <c r="H440" s="117"/>
      <c r="I440" s="117"/>
      <c r="J440" s="117"/>
      <c r="K440" s="117"/>
      <c r="L440" s="117"/>
      <c r="M440" s="117"/>
    </row>
    <row r="441" ht="20.25" customHeight="1">
      <c r="A441" s="273"/>
      <c r="B441" s="274"/>
      <c r="C441" s="274"/>
      <c r="D441" s="274"/>
      <c r="E441" s="127"/>
      <c r="F441" s="127"/>
      <c r="G441" s="127"/>
      <c r="H441" s="127"/>
      <c r="I441" s="127"/>
      <c r="J441" s="127"/>
      <c r="K441" s="127"/>
      <c r="L441" s="127"/>
      <c r="M441" s="127"/>
    </row>
    <row r="442" ht="20.25" customHeight="1">
      <c r="A442" s="275"/>
      <c r="B442" s="277"/>
      <c r="C442" s="277"/>
      <c r="D442" s="277"/>
      <c r="E442" s="117"/>
      <c r="F442" s="117"/>
      <c r="G442" s="117"/>
      <c r="H442" s="117"/>
      <c r="I442" s="117"/>
      <c r="J442" s="117"/>
      <c r="K442" s="117"/>
      <c r="L442" s="117"/>
      <c r="M442" s="117"/>
    </row>
    <row r="443" ht="20.25" customHeight="1">
      <c r="A443" s="273"/>
      <c r="B443" s="274"/>
      <c r="C443" s="274"/>
      <c r="D443" s="274"/>
      <c r="E443" s="127"/>
      <c r="F443" s="127"/>
      <c r="G443" s="127"/>
      <c r="H443" s="127"/>
      <c r="I443" s="127"/>
      <c r="J443" s="127"/>
      <c r="K443" s="127"/>
      <c r="L443" s="127"/>
      <c r="M443" s="127"/>
    </row>
    <row r="444" ht="20.25" customHeight="1">
      <c r="A444" s="275"/>
      <c r="B444" s="277"/>
      <c r="C444" s="277"/>
      <c r="D444" s="277"/>
      <c r="E444" s="117"/>
      <c r="F444" s="117"/>
      <c r="G444" s="117"/>
      <c r="H444" s="117"/>
      <c r="I444" s="117"/>
      <c r="J444" s="117"/>
      <c r="K444" s="117"/>
      <c r="L444" s="117"/>
      <c r="M444" s="117"/>
    </row>
    <row r="445" ht="20.25" customHeight="1">
      <c r="A445" s="273"/>
      <c r="B445" s="274"/>
      <c r="C445" s="274"/>
      <c r="D445" s="274"/>
      <c r="E445" s="127"/>
      <c r="F445" s="127"/>
      <c r="G445" s="127"/>
      <c r="H445" s="127"/>
      <c r="I445" s="127"/>
      <c r="J445" s="127"/>
      <c r="K445" s="127"/>
      <c r="L445" s="127"/>
      <c r="M445" s="127"/>
    </row>
    <row r="446" ht="20.25" customHeight="1">
      <c r="A446" s="275"/>
      <c r="B446" s="277"/>
      <c r="C446" s="277"/>
      <c r="D446" s="277"/>
      <c r="E446" s="117"/>
      <c r="F446" s="117"/>
      <c r="G446" s="117"/>
      <c r="H446" s="117"/>
      <c r="I446" s="117"/>
      <c r="J446" s="117"/>
      <c r="K446" s="117"/>
      <c r="L446" s="117"/>
      <c r="M446" s="117"/>
    </row>
    <row r="447" ht="20.25" customHeight="1">
      <c r="A447" s="273"/>
      <c r="B447" s="274"/>
      <c r="C447" s="274"/>
      <c r="D447" s="274"/>
      <c r="E447" s="127"/>
      <c r="F447" s="127"/>
      <c r="G447" s="127"/>
      <c r="H447" s="127"/>
      <c r="I447" s="127"/>
      <c r="J447" s="127"/>
      <c r="K447" s="127"/>
      <c r="L447" s="127"/>
      <c r="M447" s="127"/>
    </row>
    <row r="448" ht="20.25" customHeight="1">
      <c r="A448" s="275"/>
      <c r="B448" s="277"/>
      <c r="C448" s="277"/>
      <c r="D448" s="277"/>
      <c r="E448" s="117"/>
      <c r="F448" s="117"/>
      <c r="G448" s="117"/>
      <c r="H448" s="117"/>
      <c r="I448" s="117"/>
      <c r="J448" s="117"/>
      <c r="K448" s="117"/>
      <c r="L448" s="117"/>
      <c r="M448" s="117"/>
    </row>
    <row r="449" ht="20.25" customHeight="1">
      <c r="A449" s="273"/>
      <c r="B449" s="274"/>
      <c r="C449" s="274"/>
      <c r="D449" s="274"/>
      <c r="E449" s="127"/>
      <c r="F449" s="127"/>
      <c r="G449" s="127"/>
      <c r="H449" s="127"/>
      <c r="I449" s="127"/>
      <c r="J449" s="127"/>
      <c r="K449" s="127"/>
      <c r="L449" s="127"/>
      <c r="M449" s="127"/>
    </row>
    <row r="450" ht="20.25" customHeight="1">
      <c r="A450" s="275"/>
      <c r="B450" s="277"/>
      <c r="C450" s="277"/>
      <c r="D450" s="277"/>
      <c r="E450" s="117"/>
      <c r="F450" s="117"/>
      <c r="G450" s="117"/>
      <c r="H450" s="117"/>
      <c r="I450" s="117"/>
      <c r="J450" s="117"/>
      <c r="K450" s="117"/>
      <c r="L450" s="117"/>
      <c r="M450" s="117"/>
    </row>
    <row r="451" ht="20.25" customHeight="1">
      <c r="A451" s="273"/>
      <c r="B451" s="274"/>
      <c r="C451" s="274"/>
      <c r="D451" s="274"/>
      <c r="E451" s="127"/>
      <c r="F451" s="127"/>
      <c r="G451" s="127"/>
      <c r="H451" s="127"/>
      <c r="I451" s="127"/>
      <c r="J451" s="127"/>
      <c r="K451" s="127"/>
      <c r="L451" s="127"/>
      <c r="M451" s="127"/>
    </row>
    <row r="452" ht="20.25" customHeight="1">
      <c r="A452" s="275"/>
      <c r="B452" s="277"/>
      <c r="C452" s="277"/>
      <c r="D452" s="277"/>
      <c r="E452" s="117"/>
      <c r="F452" s="117"/>
      <c r="G452" s="117"/>
      <c r="H452" s="117"/>
      <c r="I452" s="117"/>
      <c r="J452" s="117"/>
      <c r="K452" s="117"/>
      <c r="L452" s="117"/>
      <c r="M452" s="117"/>
    </row>
    <row r="453" ht="20.25" customHeight="1">
      <c r="A453" s="273"/>
      <c r="B453" s="274"/>
      <c r="C453" s="274"/>
      <c r="D453" s="274"/>
      <c r="E453" s="127"/>
      <c r="F453" s="127"/>
      <c r="G453" s="127"/>
      <c r="H453" s="127"/>
      <c r="I453" s="127"/>
      <c r="J453" s="127"/>
      <c r="K453" s="127"/>
      <c r="L453" s="127"/>
      <c r="M453" s="127"/>
    </row>
    <row r="454" ht="20.25" customHeight="1">
      <c r="A454" s="275"/>
      <c r="B454" s="277"/>
      <c r="C454" s="277"/>
      <c r="D454" s="277"/>
      <c r="E454" s="117"/>
      <c r="F454" s="117"/>
      <c r="G454" s="117"/>
      <c r="H454" s="117"/>
      <c r="I454" s="117"/>
      <c r="J454" s="117"/>
      <c r="K454" s="117"/>
      <c r="L454" s="117"/>
      <c r="M454" s="117"/>
    </row>
    <row r="455" ht="20.25" customHeight="1">
      <c r="A455" s="273"/>
      <c r="B455" s="274"/>
      <c r="C455" s="274"/>
      <c r="D455" s="274"/>
      <c r="E455" s="127"/>
      <c r="F455" s="127"/>
      <c r="G455" s="127"/>
      <c r="H455" s="127"/>
      <c r="I455" s="127"/>
      <c r="J455" s="127"/>
      <c r="K455" s="127"/>
      <c r="L455" s="127"/>
      <c r="M455" s="127"/>
    </row>
    <row r="456" ht="20.25" customHeight="1">
      <c r="A456" s="275"/>
      <c r="B456" s="277"/>
      <c r="C456" s="277"/>
      <c r="D456" s="277"/>
      <c r="E456" s="117"/>
      <c r="F456" s="117"/>
      <c r="G456" s="117"/>
      <c r="H456" s="117"/>
      <c r="I456" s="117"/>
      <c r="J456" s="117"/>
      <c r="K456" s="117"/>
      <c r="L456" s="117"/>
      <c r="M456" s="117"/>
    </row>
    <row r="457" ht="20.25" customHeight="1">
      <c r="A457" s="273"/>
      <c r="B457" s="274"/>
      <c r="C457" s="274"/>
      <c r="D457" s="274"/>
      <c r="E457" s="127"/>
      <c r="F457" s="127"/>
      <c r="G457" s="127"/>
      <c r="H457" s="127"/>
      <c r="I457" s="127"/>
      <c r="J457" s="127"/>
      <c r="K457" s="127"/>
      <c r="L457" s="127"/>
      <c r="M457" s="127"/>
    </row>
    <row r="458" ht="20.25" customHeight="1">
      <c r="A458" s="275"/>
      <c r="B458" s="277"/>
      <c r="C458" s="277"/>
      <c r="D458" s="277"/>
      <c r="E458" s="117"/>
      <c r="F458" s="117"/>
      <c r="G458" s="117"/>
      <c r="H458" s="117"/>
      <c r="I458" s="117"/>
      <c r="J458" s="117"/>
      <c r="K458" s="117"/>
      <c r="L458" s="117"/>
      <c r="M458" s="117"/>
    </row>
    <row r="459" ht="20.25" customHeight="1">
      <c r="A459" s="273"/>
      <c r="B459" s="274"/>
      <c r="C459" s="274"/>
      <c r="D459" s="274"/>
      <c r="E459" s="127"/>
      <c r="F459" s="127"/>
      <c r="G459" s="127"/>
      <c r="H459" s="127"/>
      <c r="I459" s="127"/>
      <c r="J459" s="127"/>
      <c r="K459" s="127"/>
      <c r="L459" s="127"/>
      <c r="M459" s="127"/>
    </row>
    <row r="460" ht="20.25" customHeight="1">
      <c r="A460" s="275"/>
      <c r="B460" s="277"/>
      <c r="C460" s="277"/>
      <c r="D460" s="277"/>
      <c r="E460" s="117"/>
      <c r="F460" s="117"/>
      <c r="G460" s="117"/>
      <c r="H460" s="117"/>
      <c r="I460" s="117"/>
      <c r="J460" s="117"/>
      <c r="K460" s="117"/>
      <c r="L460" s="117"/>
      <c r="M460" s="117"/>
    </row>
    <row r="461" ht="20.25" customHeight="1">
      <c r="A461" s="273"/>
      <c r="B461" s="274"/>
      <c r="C461" s="274"/>
      <c r="D461" s="274"/>
      <c r="E461" s="127"/>
      <c r="F461" s="127"/>
      <c r="G461" s="127"/>
      <c r="H461" s="127"/>
      <c r="I461" s="127"/>
      <c r="J461" s="127"/>
      <c r="K461" s="127"/>
      <c r="L461" s="127"/>
      <c r="M461" s="127"/>
    </row>
    <row r="462" ht="20.25" customHeight="1">
      <c r="A462" s="275"/>
      <c r="B462" s="277"/>
      <c r="C462" s="277"/>
      <c r="D462" s="277"/>
      <c r="E462" s="117"/>
      <c r="F462" s="117"/>
      <c r="G462" s="117"/>
      <c r="H462" s="117"/>
      <c r="I462" s="117"/>
      <c r="J462" s="117"/>
      <c r="K462" s="117"/>
      <c r="L462" s="117"/>
      <c r="M462" s="117"/>
    </row>
    <row r="463" ht="20.25" customHeight="1">
      <c r="A463" s="273"/>
      <c r="B463" s="274"/>
      <c r="C463" s="274"/>
      <c r="D463" s="274"/>
      <c r="E463" s="127"/>
      <c r="F463" s="127"/>
      <c r="G463" s="127"/>
      <c r="H463" s="127"/>
      <c r="I463" s="127"/>
      <c r="J463" s="127"/>
      <c r="K463" s="127"/>
      <c r="L463" s="127"/>
      <c r="M463" s="127"/>
    </row>
    <row r="464" ht="20.25" customHeight="1">
      <c r="A464" s="275"/>
      <c r="B464" s="277"/>
      <c r="C464" s="277"/>
      <c r="D464" s="277"/>
      <c r="E464" s="117"/>
      <c r="F464" s="117"/>
      <c r="G464" s="117"/>
      <c r="H464" s="117"/>
      <c r="I464" s="117"/>
      <c r="J464" s="117"/>
      <c r="K464" s="117"/>
      <c r="L464" s="117"/>
      <c r="M464" s="117"/>
    </row>
    <row r="465" ht="20.25" customHeight="1">
      <c r="A465" s="273"/>
      <c r="B465" s="274"/>
      <c r="C465" s="274"/>
      <c r="D465" s="274"/>
      <c r="E465" s="127"/>
      <c r="F465" s="127"/>
      <c r="G465" s="127"/>
      <c r="H465" s="127"/>
      <c r="I465" s="127"/>
      <c r="J465" s="127"/>
      <c r="K465" s="127"/>
      <c r="L465" s="127"/>
      <c r="M465" s="127"/>
    </row>
    <row r="466" ht="20.25" customHeight="1">
      <c r="A466" s="275"/>
      <c r="B466" s="277"/>
      <c r="C466" s="277"/>
      <c r="D466" s="277"/>
      <c r="E466" s="117"/>
      <c r="F466" s="117"/>
      <c r="G466" s="117"/>
      <c r="H466" s="117"/>
      <c r="I466" s="117"/>
      <c r="J466" s="117"/>
      <c r="K466" s="117"/>
      <c r="L466" s="117"/>
      <c r="M466" s="117"/>
    </row>
    <row r="467" ht="20.25" customHeight="1">
      <c r="A467" s="273"/>
      <c r="B467" s="274"/>
      <c r="C467" s="274"/>
      <c r="D467" s="274"/>
      <c r="E467" s="127"/>
      <c r="F467" s="127"/>
      <c r="G467" s="127"/>
      <c r="H467" s="127"/>
      <c r="I467" s="127"/>
      <c r="J467" s="127"/>
      <c r="K467" s="127"/>
      <c r="L467" s="127"/>
      <c r="M467" s="127"/>
    </row>
    <row r="468" ht="20.25" customHeight="1">
      <c r="A468" s="275"/>
      <c r="B468" s="277"/>
      <c r="C468" s="277"/>
      <c r="D468" s="277"/>
      <c r="E468" s="117"/>
      <c r="F468" s="117"/>
      <c r="G468" s="117"/>
      <c r="H468" s="117"/>
      <c r="I468" s="117"/>
      <c r="J468" s="117"/>
      <c r="K468" s="117"/>
      <c r="L468" s="117"/>
      <c r="M468" s="117"/>
    </row>
    <row r="469" ht="20.25" customHeight="1">
      <c r="A469" s="273"/>
      <c r="B469" s="274"/>
      <c r="C469" s="274"/>
      <c r="D469" s="274"/>
      <c r="E469" s="127"/>
      <c r="F469" s="127"/>
      <c r="G469" s="127"/>
      <c r="H469" s="127"/>
      <c r="I469" s="127"/>
      <c r="J469" s="127"/>
      <c r="K469" s="127"/>
      <c r="L469" s="127"/>
      <c r="M469" s="127"/>
    </row>
    <row r="470" ht="20.25" customHeight="1">
      <c r="A470" s="275"/>
      <c r="B470" s="277"/>
      <c r="C470" s="277"/>
      <c r="D470" s="277"/>
      <c r="E470" s="117"/>
      <c r="F470" s="117"/>
      <c r="G470" s="117"/>
      <c r="H470" s="117"/>
      <c r="I470" s="117"/>
      <c r="J470" s="117"/>
      <c r="K470" s="117"/>
      <c r="L470" s="117"/>
      <c r="M470" s="117"/>
    </row>
    <row r="471" ht="20.25" customHeight="1">
      <c r="A471" s="273"/>
      <c r="B471" s="274"/>
      <c r="C471" s="274"/>
      <c r="D471" s="274"/>
      <c r="E471" s="127"/>
      <c r="F471" s="127"/>
      <c r="G471" s="127"/>
      <c r="H471" s="127"/>
      <c r="I471" s="127"/>
      <c r="J471" s="127"/>
      <c r="K471" s="127"/>
      <c r="L471" s="127"/>
      <c r="M471" s="127"/>
    </row>
    <row r="472" ht="20.25" customHeight="1">
      <c r="A472" s="275"/>
      <c r="B472" s="277"/>
      <c r="C472" s="277"/>
      <c r="D472" s="277"/>
      <c r="E472" s="117"/>
      <c r="F472" s="117"/>
      <c r="G472" s="117"/>
      <c r="H472" s="117"/>
      <c r="I472" s="117"/>
      <c r="J472" s="117"/>
      <c r="K472" s="117"/>
      <c r="L472" s="117"/>
      <c r="M472" s="117"/>
    </row>
    <row r="473" ht="20.25" customHeight="1">
      <c r="A473" s="273"/>
      <c r="B473" s="274"/>
      <c r="C473" s="274"/>
      <c r="D473" s="274"/>
      <c r="E473" s="127"/>
      <c r="F473" s="127"/>
      <c r="G473" s="127"/>
      <c r="H473" s="127"/>
      <c r="I473" s="127"/>
      <c r="J473" s="127"/>
      <c r="K473" s="127"/>
      <c r="L473" s="127"/>
      <c r="M473" s="127"/>
    </row>
    <row r="474" ht="20.25" customHeight="1">
      <c r="A474" s="275"/>
      <c r="B474" s="277"/>
      <c r="C474" s="277"/>
      <c r="D474" s="277"/>
      <c r="E474" s="117"/>
      <c r="F474" s="117"/>
      <c r="G474" s="117"/>
      <c r="H474" s="117"/>
      <c r="I474" s="117"/>
      <c r="J474" s="117"/>
      <c r="K474" s="117"/>
      <c r="L474" s="117"/>
      <c r="M474" s="117"/>
    </row>
    <row r="475" ht="20.25" customHeight="1">
      <c r="A475" s="273"/>
      <c r="B475" s="274"/>
      <c r="C475" s="274"/>
      <c r="D475" s="274"/>
      <c r="E475" s="127"/>
      <c r="F475" s="127"/>
      <c r="G475" s="127"/>
      <c r="H475" s="127"/>
      <c r="I475" s="127"/>
      <c r="J475" s="127"/>
      <c r="K475" s="127"/>
      <c r="L475" s="127"/>
      <c r="M475" s="127"/>
    </row>
    <row r="476" ht="20.25" customHeight="1">
      <c r="A476" s="275"/>
      <c r="B476" s="277"/>
      <c r="C476" s="277"/>
      <c r="D476" s="277"/>
      <c r="E476" s="117"/>
      <c r="F476" s="117"/>
      <c r="G476" s="117"/>
      <c r="H476" s="117"/>
      <c r="I476" s="117"/>
      <c r="J476" s="117"/>
      <c r="K476" s="117"/>
      <c r="L476" s="117"/>
      <c r="M476" s="117"/>
    </row>
    <row r="477" ht="20.25" customHeight="1">
      <c r="A477" s="273"/>
      <c r="B477" s="274"/>
      <c r="C477" s="274"/>
      <c r="D477" s="274"/>
      <c r="E477" s="127"/>
      <c r="F477" s="127"/>
      <c r="G477" s="127"/>
      <c r="H477" s="127"/>
      <c r="I477" s="127"/>
      <c r="J477" s="127"/>
      <c r="K477" s="127"/>
      <c r="L477" s="127"/>
      <c r="M477" s="127"/>
    </row>
    <row r="478" ht="20.25" customHeight="1">
      <c r="A478" s="275"/>
      <c r="B478" s="277"/>
      <c r="C478" s="277"/>
      <c r="D478" s="277"/>
      <c r="E478" s="117"/>
      <c r="F478" s="117"/>
      <c r="G478" s="117"/>
      <c r="H478" s="117"/>
      <c r="I478" s="117"/>
      <c r="J478" s="117"/>
      <c r="K478" s="117"/>
      <c r="L478" s="117"/>
      <c r="M478" s="117"/>
    </row>
    <row r="479" ht="20.25" customHeight="1">
      <c r="A479" s="273"/>
      <c r="B479" s="274"/>
      <c r="C479" s="274"/>
      <c r="D479" s="274"/>
      <c r="E479" s="127"/>
      <c r="F479" s="127"/>
      <c r="G479" s="127"/>
      <c r="H479" s="127"/>
      <c r="I479" s="127"/>
      <c r="J479" s="127"/>
      <c r="K479" s="127"/>
      <c r="L479" s="127"/>
      <c r="M479" s="127"/>
    </row>
    <row r="480" ht="20.25" customHeight="1">
      <c r="A480" s="275"/>
      <c r="B480" s="277"/>
      <c r="C480" s="277"/>
      <c r="D480" s="277"/>
      <c r="E480" s="117"/>
      <c r="F480" s="117"/>
      <c r="G480" s="117"/>
      <c r="H480" s="117"/>
      <c r="I480" s="117"/>
      <c r="J480" s="117"/>
      <c r="K480" s="117"/>
      <c r="L480" s="117"/>
      <c r="M480" s="117"/>
    </row>
    <row r="481" ht="20.25" customHeight="1">
      <c r="A481" s="273"/>
      <c r="B481" s="274"/>
      <c r="C481" s="274"/>
      <c r="D481" s="274"/>
      <c r="E481" s="127"/>
      <c r="F481" s="127"/>
      <c r="G481" s="127"/>
      <c r="H481" s="127"/>
      <c r="I481" s="127"/>
      <c r="J481" s="127"/>
      <c r="K481" s="127"/>
      <c r="L481" s="127"/>
      <c r="M481" s="127"/>
    </row>
    <row r="482" ht="20.25" customHeight="1">
      <c r="A482" s="275"/>
      <c r="B482" s="277"/>
      <c r="C482" s="277"/>
      <c r="D482" s="277"/>
      <c r="E482" s="117"/>
      <c r="F482" s="117"/>
      <c r="G482" s="117"/>
      <c r="H482" s="117"/>
      <c r="I482" s="117"/>
      <c r="J482" s="117"/>
      <c r="K482" s="117"/>
      <c r="L482" s="117"/>
      <c r="M482" s="117"/>
    </row>
    <row r="483" ht="20.25" customHeight="1">
      <c r="A483" s="273"/>
      <c r="B483" s="274"/>
      <c r="C483" s="274"/>
      <c r="D483" s="274"/>
      <c r="E483" s="127"/>
      <c r="F483" s="127"/>
      <c r="G483" s="127"/>
      <c r="H483" s="127"/>
      <c r="I483" s="127"/>
      <c r="J483" s="127"/>
      <c r="K483" s="127"/>
      <c r="L483" s="127"/>
      <c r="M483" s="127"/>
    </row>
    <row r="484" ht="20.25" customHeight="1">
      <c r="A484" s="275"/>
      <c r="B484" s="277"/>
      <c r="C484" s="277"/>
      <c r="D484" s="277"/>
      <c r="E484" s="117"/>
      <c r="F484" s="117"/>
      <c r="G484" s="117"/>
      <c r="H484" s="117"/>
      <c r="I484" s="117"/>
      <c r="J484" s="117"/>
      <c r="K484" s="117"/>
      <c r="L484" s="117"/>
      <c r="M484" s="117"/>
    </row>
    <row r="485" ht="20.25" customHeight="1">
      <c r="A485" s="273"/>
      <c r="B485" s="274"/>
      <c r="C485" s="274"/>
      <c r="D485" s="274"/>
      <c r="E485" s="127"/>
      <c r="F485" s="127"/>
      <c r="G485" s="127"/>
      <c r="H485" s="127"/>
      <c r="I485" s="127"/>
      <c r="J485" s="127"/>
      <c r="K485" s="127"/>
      <c r="L485" s="127"/>
      <c r="M485" s="127"/>
    </row>
    <row r="486" ht="20.25" customHeight="1">
      <c r="A486" s="275"/>
      <c r="B486" s="277"/>
      <c r="C486" s="277"/>
      <c r="D486" s="277"/>
      <c r="E486" s="117"/>
      <c r="F486" s="117"/>
      <c r="G486" s="117"/>
      <c r="H486" s="117"/>
      <c r="I486" s="117"/>
      <c r="J486" s="117"/>
      <c r="K486" s="117"/>
      <c r="L486" s="117"/>
      <c r="M486" s="117"/>
    </row>
    <row r="487" ht="20.25" customHeight="1">
      <c r="A487" s="273"/>
      <c r="B487" s="274"/>
      <c r="C487" s="274"/>
      <c r="D487" s="274"/>
      <c r="E487" s="127"/>
      <c r="F487" s="127"/>
      <c r="G487" s="127"/>
      <c r="H487" s="127"/>
      <c r="I487" s="127"/>
      <c r="J487" s="127"/>
      <c r="K487" s="127"/>
      <c r="L487" s="127"/>
      <c r="M487" s="127"/>
    </row>
    <row r="488" ht="20.25" customHeight="1">
      <c r="A488" s="275"/>
      <c r="B488" s="277"/>
      <c r="C488" s="277"/>
      <c r="D488" s="277"/>
      <c r="E488" s="117"/>
      <c r="F488" s="117"/>
      <c r="G488" s="117"/>
      <c r="H488" s="117"/>
      <c r="I488" s="117"/>
      <c r="J488" s="117"/>
      <c r="K488" s="117"/>
      <c r="L488" s="117"/>
      <c r="M488" s="117"/>
    </row>
    <row r="489" ht="20.25" customHeight="1">
      <c r="A489" s="273"/>
      <c r="B489" s="274"/>
      <c r="C489" s="274"/>
      <c r="D489" s="274"/>
      <c r="E489" s="127"/>
      <c r="F489" s="127"/>
      <c r="G489" s="127"/>
      <c r="H489" s="127"/>
      <c r="I489" s="127"/>
      <c r="J489" s="127"/>
      <c r="K489" s="127"/>
      <c r="L489" s="127"/>
      <c r="M489" s="127"/>
    </row>
    <row r="490" ht="20.25" customHeight="1">
      <c r="A490" s="275"/>
      <c r="B490" s="277"/>
      <c r="C490" s="277"/>
      <c r="D490" s="277"/>
      <c r="E490" s="117"/>
      <c r="F490" s="117"/>
      <c r="G490" s="117"/>
      <c r="H490" s="117"/>
      <c r="I490" s="117"/>
      <c r="J490" s="117"/>
      <c r="K490" s="117"/>
      <c r="L490" s="117"/>
      <c r="M490" s="117"/>
    </row>
    <row r="491" ht="20.25" customHeight="1">
      <c r="A491" s="273"/>
      <c r="B491" s="274"/>
      <c r="C491" s="274"/>
      <c r="D491" s="274"/>
      <c r="E491" s="127"/>
      <c r="F491" s="127"/>
      <c r="G491" s="127"/>
      <c r="H491" s="127"/>
      <c r="I491" s="127"/>
      <c r="J491" s="127"/>
      <c r="K491" s="127"/>
      <c r="L491" s="127"/>
      <c r="M491" s="127"/>
    </row>
    <row r="492" ht="20.25" customHeight="1">
      <c r="A492" s="275"/>
      <c r="B492" s="277"/>
      <c r="C492" s="277"/>
      <c r="D492" s="277"/>
      <c r="E492" s="117"/>
      <c r="F492" s="117"/>
      <c r="G492" s="117"/>
      <c r="H492" s="117"/>
      <c r="I492" s="117"/>
      <c r="J492" s="117"/>
      <c r="K492" s="117"/>
      <c r="L492" s="117"/>
      <c r="M492" s="117"/>
    </row>
    <row r="493" ht="20.25" customHeight="1">
      <c r="A493" s="273"/>
      <c r="B493" s="274"/>
      <c r="C493" s="274"/>
      <c r="D493" s="274"/>
      <c r="E493" s="127"/>
      <c r="F493" s="127"/>
      <c r="G493" s="127"/>
      <c r="H493" s="127"/>
      <c r="I493" s="127"/>
      <c r="J493" s="127"/>
      <c r="K493" s="127"/>
      <c r="L493" s="127"/>
      <c r="M493" s="127"/>
    </row>
    <row r="494" ht="20.25" customHeight="1">
      <c r="A494" s="275"/>
      <c r="B494" s="277"/>
      <c r="C494" s="277"/>
      <c r="D494" s="277"/>
      <c r="E494" s="117"/>
      <c r="F494" s="117"/>
      <c r="G494" s="117"/>
      <c r="H494" s="117"/>
      <c r="I494" s="117"/>
      <c r="J494" s="117"/>
      <c r="K494" s="117"/>
      <c r="L494" s="117"/>
      <c r="M494" s="117"/>
    </row>
    <row r="495" ht="20.25" customHeight="1">
      <c r="A495" s="273"/>
      <c r="B495" s="274"/>
      <c r="C495" s="274"/>
      <c r="D495" s="274"/>
      <c r="E495" s="127"/>
      <c r="F495" s="127"/>
      <c r="G495" s="127"/>
      <c r="H495" s="127"/>
      <c r="I495" s="127"/>
      <c r="J495" s="127"/>
      <c r="K495" s="127"/>
      <c r="L495" s="127"/>
      <c r="M495" s="127"/>
    </row>
    <row r="496" ht="20.25" customHeight="1">
      <c r="A496" s="275"/>
      <c r="B496" s="277"/>
      <c r="C496" s="277"/>
      <c r="D496" s="277"/>
      <c r="E496" s="117"/>
      <c r="F496" s="117"/>
      <c r="G496" s="117"/>
      <c r="H496" s="117"/>
      <c r="I496" s="117"/>
      <c r="J496" s="117"/>
      <c r="K496" s="117"/>
      <c r="L496" s="117"/>
      <c r="M496" s="117"/>
    </row>
    <row r="497" ht="20.25" customHeight="1">
      <c r="A497" s="273"/>
      <c r="B497" s="274"/>
      <c r="C497" s="274"/>
      <c r="D497" s="274"/>
      <c r="E497" s="127"/>
      <c r="F497" s="127"/>
      <c r="G497" s="127"/>
      <c r="H497" s="127"/>
      <c r="I497" s="127"/>
      <c r="J497" s="127"/>
      <c r="K497" s="127"/>
      <c r="L497" s="127"/>
      <c r="M497" s="127"/>
    </row>
    <row r="498" ht="20.25" customHeight="1">
      <c r="A498" s="275"/>
      <c r="B498" s="277"/>
      <c r="C498" s="277"/>
      <c r="D498" s="277"/>
      <c r="E498" s="117"/>
      <c r="F498" s="117"/>
      <c r="G498" s="117"/>
      <c r="H498" s="117"/>
      <c r="I498" s="117"/>
      <c r="J498" s="117"/>
      <c r="K498" s="117"/>
      <c r="L498" s="117"/>
      <c r="M498" s="117"/>
    </row>
    <row r="499" ht="20.25" customHeight="1">
      <c r="A499" s="273"/>
      <c r="B499" s="274"/>
      <c r="C499" s="274"/>
      <c r="D499" s="274"/>
      <c r="E499" s="127"/>
      <c r="F499" s="127"/>
      <c r="G499" s="127"/>
      <c r="H499" s="127"/>
      <c r="I499" s="127"/>
      <c r="J499" s="127"/>
      <c r="K499" s="127"/>
      <c r="L499" s="127"/>
      <c r="M499" s="127"/>
    </row>
    <row r="500" ht="20.25" customHeight="1">
      <c r="A500" s="275"/>
      <c r="B500" s="277"/>
      <c r="C500" s="277"/>
      <c r="D500" s="277"/>
      <c r="E500" s="117"/>
      <c r="F500" s="117"/>
      <c r="G500" s="117"/>
      <c r="H500" s="117"/>
      <c r="I500" s="117"/>
      <c r="J500" s="117"/>
      <c r="K500" s="117"/>
      <c r="L500" s="117"/>
      <c r="M500" s="117"/>
    </row>
    <row r="501" ht="20.25" customHeight="1">
      <c r="A501" s="273"/>
      <c r="B501" s="274"/>
      <c r="C501" s="274"/>
      <c r="D501" s="274"/>
      <c r="E501" s="127"/>
      <c r="F501" s="127"/>
      <c r="G501" s="127"/>
      <c r="H501" s="127"/>
      <c r="I501" s="127"/>
      <c r="J501" s="127"/>
      <c r="K501" s="127"/>
      <c r="L501" s="127"/>
      <c r="M501" s="127"/>
    </row>
    <row r="502" ht="20.25" customHeight="1">
      <c r="A502" s="275"/>
      <c r="B502" s="277"/>
      <c r="C502" s="277"/>
      <c r="D502" s="277"/>
      <c r="E502" s="117"/>
      <c r="F502" s="117"/>
      <c r="G502" s="117"/>
      <c r="H502" s="117"/>
      <c r="I502" s="117"/>
      <c r="J502" s="117"/>
      <c r="K502" s="117"/>
      <c r="L502" s="117"/>
      <c r="M502" s="117"/>
    </row>
    <row r="503" ht="20.25" customHeight="1">
      <c r="A503" s="273"/>
      <c r="B503" s="274"/>
      <c r="C503" s="274"/>
      <c r="D503" s="274"/>
      <c r="E503" s="127"/>
      <c r="F503" s="127"/>
      <c r="G503" s="127"/>
      <c r="H503" s="127"/>
      <c r="I503" s="127"/>
      <c r="J503" s="127"/>
      <c r="K503" s="127"/>
      <c r="L503" s="127"/>
      <c r="M503" s="127"/>
    </row>
    <row r="504" ht="20.25" customHeight="1">
      <c r="A504" s="275"/>
      <c r="B504" s="277"/>
      <c r="C504" s="277"/>
      <c r="D504" s="277"/>
      <c r="E504" s="117"/>
      <c r="F504" s="117"/>
      <c r="G504" s="117"/>
      <c r="H504" s="117"/>
      <c r="I504" s="117"/>
      <c r="J504" s="117"/>
      <c r="K504" s="117"/>
      <c r="L504" s="117"/>
      <c r="M504" s="117"/>
    </row>
    <row r="505" ht="20.25" customHeight="1">
      <c r="A505" s="273"/>
      <c r="B505" s="274"/>
      <c r="C505" s="274"/>
      <c r="D505" s="274"/>
      <c r="E505" s="127"/>
      <c r="F505" s="127"/>
      <c r="G505" s="127"/>
      <c r="H505" s="127"/>
      <c r="I505" s="127"/>
      <c r="J505" s="127"/>
      <c r="K505" s="127"/>
      <c r="L505" s="127"/>
      <c r="M505" s="127"/>
    </row>
    <row r="506" ht="20.25" customHeight="1">
      <c r="A506" s="275"/>
      <c r="B506" s="277"/>
      <c r="C506" s="277"/>
      <c r="D506" s="277"/>
      <c r="E506" s="117"/>
      <c r="F506" s="117"/>
      <c r="G506" s="117"/>
      <c r="H506" s="117"/>
      <c r="I506" s="117"/>
      <c r="J506" s="117"/>
      <c r="K506" s="117"/>
      <c r="L506" s="117"/>
      <c r="M506" s="117"/>
    </row>
    <row r="507" ht="20.25" customHeight="1">
      <c r="A507" s="273"/>
      <c r="B507" s="274"/>
      <c r="C507" s="274"/>
      <c r="D507" s="274"/>
      <c r="E507" s="127"/>
      <c r="F507" s="127"/>
      <c r="G507" s="127"/>
      <c r="H507" s="127"/>
      <c r="I507" s="127"/>
      <c r="J507" s="127"/>
      <c r="K507" s="127"/>
      <c r="L507" s="127"/>
      <c r="M507" s="127"/>
    </row>
    <row r="508" ht="20.25" customHeight="1">
      <c r="A508" s="275"/>
      <c r="B508" s="277"/>
      <c r="C508" s="277"/>
      <c r="D508" s="277"/>
      <c r="E508" s="117"/>
      <c r="F508" s="117"/>
      <c r="G508" s="117"/>
      <c r="H508" s="117"/>
      <c r="I508" s="117"/>
      <c r="J508" s="117"/>
      <c r="K508" s="117"/>
      <c r="L508" s="117"/>
      <c r="M508" s="117"/>
    </row>
    <row r="509" ht="20.25" customHeight="1">
      <c r="A509" s="273"/>
      <c r="B509" s="274"/>
      <c r="C509" s="274"/>
      <c r="D509" s="274"/>
      <c r="E509" s="127"/>
      <c r="F509" s="127"/>
      <c r="G509" s="127"/>
      <c r="H509" s="127"/>
      <c r="I509" s="127"/>
      <c r="J509" s="127"/>
      <c r="K509" s="127"/>
      <c r="L509" s="127"/>
      <c r="M509" s="127"/>
    </row>
    <row r="510" ht="20.25" customHeight="1">
      <c r="A510" s="275"/>
      <c r="B510" s="277"/>
      <c r="C510" s="277"/>
      <c r="D510" s="277"/>
      <c r="E510" s="117"/>
      <c r="F510" s="117"/>
      <c r="G510" s="117"/>
      <c r="H510" s="117"/>
      <c r="I510" s="117"/>
      <c r="J510" s="117"/>
      <c r="K510" s="117"/>
      <c r="L510" s="117"/>
      <c r="M510" s="117"/>
    </row>
    <row r="511" ht="20.25" customHeight="1">
      <c r="A511" s="273"/>
      <c r="B511" s="274"/>
      <c r="C511" s="274"/>
      <c r="D511" s="274"/>
      <c r="E511" s="127"/>
      <c r="F511" s="127"/>
      <c r="G511" s="127"/>
      <c r="H511" s="127"/>
      <c r="I511" s="127"/>
      <c r="J511" s="127"/>
      <c r="K511" s="127"/>
      <c r="L511" s="127"/>
      <c r="M511" s="127"/>
    </row>
    <row r="512" ht="20.25" customHeight="1">
      <c r="A512" s="275"/>
      <c r="B512" s="277"/>
      <c r="C512" s="277"/>
      <c r="D512" s="277"/>
      <c r="E512" s="117"/>
      <c r="F512" s="117"/>
      <c r="G512" s="117"/>
      <c r="H512" s="117"/>
      <c r="I512" s="117"/>
      <c r="J512" s="117"/>
      <c r="K512" s="117"/>
      <c r="L512" s="117"/>
      <c r="M512" s="117"/>
    </row>
    <row r="513" ht="20.25" customHeight="1">
      <c r="A513" s="273"/>
      <c r="B513" s="274"/>
      <c r="C513" s="274"/>
      <c r="D513" s="274"/>
      <c r="E513" s="127"/>
      <c r="F513" s="127"/>
      <c r="G513" s="127"/>
      <c r="H513" s="127"/>
      <c r="I513" s="127"/>
      <c r="J513" s="127"/>
      <c r="K513" s="127"/>
      <c r="L513" s="127"/>
      <c r="M513" s="127"/>
    </row>
    <row r="514" ht="20.25" customHeight="1">
      <c r="A514" s="275"/>
      <c r="B514" s="277"/>
      <c r="C514" s="277"/>
      <c r="D514" s="277"/>
      <c r="E514" s="117"/>
      <c r="F514" s="117"/>
      <c r="G514" s="117"/>
      <c r="H514" s="117"/>
      <c r="I514" s="117"/>
      <c r="J514" s="117"/>
      <c r="K514" s="117"/>
      <c r="L514" s="117"/>
      <c r="M514" s="117"/>
    </row>
    <row r="515" ht="20.25" customHeight="1">
      <c r="A515" s="273"/>
      <c r="B515" s="274"/>
      <c r="C515" s="274"/>
      <c r="D515" s="274"/>
      <c r="E515" s="127"/>
      <c r="F515" s="127"/>
      <c r="G515" s="127"/>
      <c r="H515" s="127"/>
      <c r="I515" s="127"/>
      <c r="J515" s="127"/>
      <c r="K515" s="127"/>
      <c r="L515" s="127"/>
      <c r="M515" s="127"/>
    </row>
    <row r="516" ht="20.25" customHeight="1">
      <c r="A516" s="275"/>
      <c r="B516" s="277"/>
      <c r="C516" s="277"/>
      <c r="D516" s="277"/>
      <c r="E516" s="117"/>
      <c r="F516" s="117"/>
      <c r="G516" s="117"/>
      <c r="H516" s="117"/>
      <c r="I516" s="117"/>
      <c r="J516" s="117"/>
      <c r="K516" s="117"/>
      <c r="L516" s="117"/>
      <c r="M516" s="117"/>
    </row>
    <row r="517" ht="20.25" customHeight="1">
      <c r="A517" s="273"/>
      <c r="B517" s="274"/>
      <c r="C517" s="274"/>
      <c r="D517" s="274"/>
      <c r="E517" s="127"/>
      <c r="F517" s="127"/>
      <c r="G517" s="127"/>
      <c r="H517" s="127"/>
      <c r="I517" s="127"/>
      <c r="J517" s="127"/>
      <c r="K517" s="127"/>
      <c r="L517" s="127"/>
      <c r="M517" s="127"/>
    </row>
    <row r="518" ht="20.25" customHeight="1">
      <c r="A518" s="275"/>
      <c r="B518" s="277"/>
      <c r="C518" s="277"/>
      <c r="D518" s="277"/>
      <c r="E518" s="117"/>
      <c r="F518" s="117"/>
      <c r="G518" s="117"/>
      <c r="H518" s="117"/>
      <c r="I518" s="117"/>
      <c r="J518" s="117"/>
      <c r="K518" s="117"/>
      <c r="L518" s="117"/>
      <c r="M518" s="117"/>
    </row>
    <row r="519" ht="20.25" customHeight="1">
      <c r="A519" s="273"/>
      <c r="B519" s="274"/>
      <c r="C519" s="274"/>
      <c r="D519" s="274"/>
      <c r="E519" s="127"/>
      <c r="F519" s="127"/>
      <c r="G519" s="127"/>
      <c r="H519" s="127"/>
      <c r="I519" s="127"/>
      <c r="J519" s="127"/>
      <c r="K519" s="127"/>
      <c r="L519" s="127"/>
      <c r="M519" s="127"/>
    </row>
    <row r="520" ht="20.25" customHeight="1">
      <c r="A520" s="275"/>
      <c r="B520" s="277"/>
      <c r="C520" s="277"/>
      <c r="D520" s="277"/>
      <c r="E520" s="117"/>
      <c r="F520" s="117"/>
      <c r="G520" s="117"/>
      <c r="H520" s="117"/>
      <c r="I520" s="117"/>
      <c r="J520" s="117"/>
      <c r="K520" s="117"/>
      <c r="L520" s="117"/>
      <c r="M520" s="117"/>
    </row>
    <row r="521" ht="20.25" customHeight="1">
      <c r="A521" s="273"/>
      <c r="B521" s="274"/>
      <c r="C521" s="274"/>
      <c r="D521" s="274"/>
      <c r="E521" s="127"/>
      <c r="F521" s="127"/>
      <c r="G521" s="127"/>
      <c r="H521" s="127"/>
      <c r="I521" s="127"/>
      <c r="J521" s="127"/>
      <c r="K521" s="127"/>
      <c r="L521" s="127"/>
      <c r="M521" s="127"/>
    </row>
    <row r="522" ht="20.25" customHeight="1">
      <c r="A522" s="275"/>
      <c r="B522" s="277"/>
      <c r="C522" s="277"/>
      <c r="D522" s="277"/>
      <c r="E522" s="117"/>
      <c r="F522" s="117"/>
      <c r="G522" s="117"/>
      <c r="H522" s="117"/>
      <c r="I522" s="117"/>
      <c r="J522" s="117"/>
      <c r="K522" s="117"/>
      <c r="L522" s="117"/>
      <c r="M522" s="117"/>
    </row>
    <row r="523" ht="20.25" customHeight="1">
      <c r="A523" s="273"/>
      <c r="B523" s="274"/>
      <c r="C523" s="274"/>
      <c r="D523" s="274"/>
      <c r="E523" s="127"/>
      <c r="F523" s="127"/>
      <c r="G523" s="127"/>
      <c r="H523" s="127"/>
      <c r="I523" s="127"/>
      <c r="J523" s="127"/>
      <c r="K523" s="127"/>
      <c r="L523" s="127"/>
      <c r="M523" s="127"/>
    </row>
    <row r="524" ht="20.25" customHeight="1">
      <c r="A524" s="275"/>
      <c r="B524" s="277"/>
      <c r="C524" s="277"/>
      <c r="D524" s="277"/>
      <c r="E524" s="117"/>
      <c r="F524" s="117"/>
      <c r="G524" s="117"/>
      <c r="H524" s="117"/>
      <c r="I524" s="117"/>
      <c r="J524" s="117"/>
      <c r="K524" s="117"/>
      <c r="L524" s="117"/>
      <c r="M524" s="117"/>
    </row>
    <row r="525" ht="20.25" customHeight="1">
      <c r="A525" s="273"/>
      <c r="B525" s="274"/>
      <c r="C525" s="274"/>
      <c r="D525" s="274"/>
      <c r="E525" s="127"/>
      <c r="F525" s="127"/>
      <c r="G525" s="127"/>
      <c r="H525" s="127"/>
      <c r="I525" s="127"/>
      <c r="J525" s="127"/>
      <c r="K525" s="127"/>
      <c r="L525" s="127"/>
      <c r="M525" s="127"/>
    </row>
    <row r="526" ht="20.25" customHeight="1">
      <c r="A526" s="275"/>
      <c r="B526" s="277"/>
      <c r="C526" s="277"/>
      <c r="D526" s="277"/>
      <c r="E526" s="117"/>
      <c r="F526" s="117"/>
      <c r="G526" s="117"/>
      <c r="H526" s="117"/>
      <c r="I526" s="117"/>
      <c r="J526" s="117"/>
      <c r="K526" s="117"/>
      <c r="L526" s="117"/>
      <c r="M526" s="117"/>
    </row>
    <row r="527" ht="20.25" customHeight="1">
      <c r="A527" s="273"/>
      <c r="B527" s="274"/>
      <c r="C527" s="274"/>
      <c r="D527" s="274"/>
      <c r="E527" s="127"/>
      <c r="F527" s="127"/>
      <c r="G527" s="127"/>
      <c r="H527" s="127"/>
      <c r="I527" s="127"/>
      <c r="J527" s="127"/>
      <c r="K527" s="127"/>
      <c r="L527" s="127"/>
      <c r="M527" s="127"/>
    </row>
    <row r="528" ht="20.25" customHeight="1">
      <c r="A528" s="275"/>
      <c r="B528" s="277"/>
      <c r="C528" s="277"/>
      <c r="D528" s="277"/>
      <c r="E528" s="117"/>
      <c r="F528" s="117"/>
      <c r="G528" s="117"/>
      <c r="H528" s="117"/>
      <c r="I528" s="117"/>
      <c r="J528" s="117"/>
      <c r="K528" s="117"/>
      <c r="L528" s="117"/>
      <c r="M528" s="117"/>
    </row>
    <row r="529" ht="20.25" customHeight="1">
      <c r="A529" s="273"/>
      <c r="B529" s="274"/>
      <c r="C529" s="274"/>
      <c r="D529" s="274"/>
      <c r="E529" s="127"/>
      <c r="F529" s="127"/>
      <c r="G529" s="127"/>
      <c r="H529" s="127"/>
      <c r="I529" s="127"/>
      <c r="J529" s="127"/>
      <c r="K529" s="127"/>
      <c r="L529" s="127"/>
      <c r="M529" s="127"/>
    </row>
    <row r="530" ht="20.25" customHeight="1">
      <c r="A530" s="275"/>
      <c r="B530" s="277"/>
      <c r="C530" s="277"/>
      <c r="D530" s="277"/>
      <c r="E530" s="117"/>
      <c r="F530" s="117"/>
      <c r="G530" s="117"/>
      <c r="H530" s="117"/>
      <c r="I530" s="117"/>
      <c r="J530" s="117"/>
      <c r="K530" s="117"/>
      <c r="L530" s="117"/>
      <c r="M530" s="117"/>
    </row>
    <row r="531" ht="20.25" customHeight="1">
      <c r="A531" s="273"/>
      <c r="B531" s="274"/>
      <c r="C531" s="274"/>
      <c r="D531" s="274"/>
      <c r="E531" s="127"/>
      <c r="F531" s="127"/>
      <c r="G531" s="127"/>
      <c r="H531" s="127"/>
      <c r="I531" s="127"/>
      <c r="J531" s="127"/>
      <c r="K531" s="127"/>
      <c r="L531" s="127"/>
      <c r="M531" s="127"/>
    </row>
    <row r="532" ht="20.25" customHeight="1">
      <c r="A532" s="275"/>
      <c r="B532" s="277"/>
      <c r="C532" s="277"/>
      <c r="D532" s="277"/>
      <c r="E532" s="117"/>
      <c r="F532" s="117"/>
      <c r="G532" s="117"/>
      <c r="H532" s="117"/>
      <c r="I532" s="117"/>
      <c r="J532" s="117"/>
      <c r="K532" s="117"/>
      <c r="L532" s="117"/>
      <c r="M532" s="117"/>
    </row>
    <row r="533" ht="20.25" customHeight="1">
      <c r="A533" s="273"/>
      <c r="B533" s="274"/>
      <c r="C533" s="274"/>
      <c r="D533" s="274"/>
      <c r="E533" s="127"/>
      <c r="F533" s="127"/>
      <c r="G533" s="127"/>
      <c r="H533" s="127"/>
      <c r="I533" s="127"/>
      <c r="J533" s="127"/>
      <c r="K533" s="127"/>
      <c r="L533" s="127"/>
      <c r="M533" s="127"/>
    </row>
    <row r="534" ht="20.25" customHeight="1">
      <c r="A534" s="275"/>
      <c r="B534" s="277"/>
      <c r="C534" s="277"/>
      <c r="D534" s="277"/>
      <c r="E534" s="117"/>
      <c r="F534" s="117"/>
      <c r="G534" s="117"/>
      <c r="H534" s="117"/>
      <c r="I534" s="117"/>
      <c r="J534" s="117"/>
      <c r="K534" s="117"/>
      <c r="L534" s="117"/>
      <c r="M534" s="117"/>
    </row>
    <row r="535" ht="20.25" customHeight="1">
      <c r="A535" s="273"/>
      <c r="B535" s="274"/>
      <c r="C535" s="274"/>
      <c r="D535" s="274"/>
      <c r="E535" s="127"/>
      <c r="F535" s="127"/>
      <c r="G535" s="127"/>
      <c r="H535" s="127"/>
      <c r="I535" s="127"/>
      <c r="J535" s="127"/>
      <c r="K535" s="127"/>
      <c r="L535" s="127"/>
      <c r="M535" s="127"/>
    </row>
    <row r="536" ht="20.25" customHeight="1">
      <c r="A536" s="275"/>
      <c r="B536" s="277"/>
      <c r="C536" s="277"/>
      <c r="D536" s="277"/>
      <c r="E536" s="117"/>
      <c r="F536" s="117"/>
      <c r="G536" s="117"/>
      <c r="H536" s="117"/>
      <c r="I536" s="117"/>
      <c r="J536" s="117"/>
      <c r="K536" s="117"/>
      <c r="L536" s="117"/>
      <c r="M536" s="117"/>
    </row>
    <row r="537" ht="20.25" customHeight="1">
      <c r="A537" s="273"/>
      <c r="B537" s="274"/>
      <c r="C537" s="274"/>
      <c r="D537" s="274"/>
      <c r="E537" s="127"/>
      <c r="F537" s="127"/>
      <c r="G537" s="127"/>
      <c r="H537" s="127"/>
      <c r="I537" s="127"/>
      <c r="J537" s="127"/>
      <c r="K537" s="127"/>
      <c r="L537" s="127"/>
      <c r="M537" s="127"/>
    </row>
    <row r="538" ht="20.25" customHeight="1">
      <c r="A538" s="275"/>
      <c r="B538" s="277"/>
      <c r="C538" s="277"/>
      <c r="D538" s="277"/>
      <c r="E538" s="117"/>
      <c r="F538" s="117"/>
      <c r="G538" s="117"/>
      <c r="H538" s="117"/>
      <c r="I538" s="117"/>
      <c r="J538" s="117"/>
      <c r="K538" s="117"/>
      <c r="L538" s="117"/>
      <c r="M538" s="117"/>
    </row>
    <row r="539" ht="20.25" customHeight="1">
      <c r="A539" s="273"/>
      <c r="B539" s="274"/>
      <c r="C539" s="274"/>
      <c r="D539" s="274"/>
      <c r="E539" s="127"/>
      <c r="F539" s="127"/>
      <c r="G539" s="127"/>
      <c r="H539" s="127"/>
      <c r="I539" s="127"/>
      <c r="J539" s="127"/>
      <c r="K539" s="127"/>
      <c r="L539" s="127"/>
      <c r="M539" s="127"/>
    </row>
    <row r="540" ht="20.25" customHeight="1">
      <c r="A540" s="275"/>
      <c r="B540" s="277"/>
      <c r="C540" s="277"/>
      <c r="D540" s="277"/>
      <c r="E540" s="117"/>
      <c r="F540" s="117"/>
      <c r="G540" s="117"/>
      <c r="H540" s="117"/>
      <c r="I540" s="117"/>
      <c r="J540" s="117"/>
      <c r="K540" s="117"/>
      <c r="L540" s="117"/>
      <c r="M540" s="117"/>
    </row>
    <row r="541" ht="20.25" customHeight="1">
      <c r="A541" s="273"/>
      <c r="B541" s="274"/>
      <c r="C541" s="274"/>
      <c r="D541" s="274"/>
      <c r="E541" s="127"/>
      <c r="F541" s="127"/>
      <c r="G541" s="127"/>
      <c r="H541" s="127"/>
      <c r="I541" s="127"/>
      <c r="J541" s="127"/>
      <c r="K541" s="127"/>
      <c r="L541" s="127"/>
      <c r="M541" s="127"/>
    </row>
    <row r="542" ht="20.25" customHeight="1">
      <c r="A542" s="275"/>
      <c r="B542" s="277"/>
      <c r="C542" s="277"/>
      <c r="D542" s="277"/>
      <c r="E542" s="117"/>
      <c r="F542" s="117"/>
      <c r="G542" s="117"/>
      <c r="H542" s="117"/>
      <c r="I542" s="117"/>
      <c r="J542" s="117"/>
      <c r="K542" s="117"/>
      <c r="L542" s="117"/>
      <c r="M542" s="117"/>
    </row>
    <row r="543" ht="20.25" customHeight="1">
      <c r="A543" s="273"/>
      <c r="B543" s="274"/>
      <c r="C543" s="274"/>
      <c r="D543" s="274"/>
      <c r="E543" s="127"/>
      <c r="F543" s="127"/>
      <c r="G543" s="127"/>
      <c r="H543" s="127"/>
      <c r="I543" s="127"/>
      <c r="J543" s="127"/>
      <c r="K543" s="127"/>
      <c r="L543" s="127"/>
      <c r="M543" s="127"/>
    </row>
    <row r="544" ht="20.25" customHeight="1">
      <c r="A544" s="275"/>
      <c r="B544" s="277"/>
      <c r="C544" s="277"/>
      <c r="D544" s="277"/>
      <c r="E544" s="117"/>
      <c r="F544" s="117"/>
      <c r="G544" s="117"/>
      <c r="H544" s="117"/>
      <c r="I544" s="117"/>
      <c r="J544" s="117"/>
      <c r="K544" s="117"/>
      <c r="L544" s="117"/>
      <c r="M544" s="117"/>
    </row>
    <row r="545" ht="20.25" customHeight="1">
      <c r="A545" s="273"/>
      <c r="B545" s="274"/>
      <c r="C545" s="274"/>
      <c r="D545" s="274"/>
      <c r="E545" s="127"/>
      <c r="F545" s="127"/>
      <c r="G545" s="127"/>
      <c r="H545" s="127"/>
      <c r="I545" s="127"/>
      <c r="J545" s="127"/>
      <c r="K545" s="127"/>
      <c r="L545" s="127"/>
      <c r="M545" s="127"/>
    </row>
    <row r="546" ht="20.25" customHeight="1">
      <c r="A546" s="275"/>
      <c r="B546" s="277"/>
      <c r="C546" s="277"/>
      <c r="D546" s="277"/>
      <c r="E546" s="117"/>
      <c r="F546" s="117"/>
      <c r="G546" s="117"/>
      <c r="H546" s="117"/>
      <c r="I546" s="117"/>
      <c r="J546" s="117"/>
      <c r="K546" s="117"/>
      <c r="L546" s="117"/>
      <c r="M546" s="117"/>
    </row>
    <row r="547" ht="20.25" customHeight="1">
      <c r="A547" s="273"/>
      <c r="B547" s="274"/>
      <c r="C547" s="274"/>
      <c r="D547" s="274"/>
      <c r="E547" s="127"/>
      <c r="F547" s="127"/>
      <c r="G547" s="127"/>
      <c r="H547" s="127"/>
      <c r="I547" s="127"/>
      <c r="J547" s="127"/>
      <c r="K547" s="127"/>
      <c r="L547" s="127"/>
      <c r="M547" s="127"/>
    </row>
    <row r="548" ht="20.25" customHeight="1">
      <c r="A548" s="275"/>
      <c r="B548" s="277"/>
      <c r="C548" s="277"/>
      <c r="D548" s="277"/>
      <c r="E548" s="117"/>
      <c r="F548" s="117"/>
      <c r="G548" s="117"/>
      <c r="H548" s="117"/>
      <c r="I548" s="117"/>
      <c r="J548" s="117"/>
      <c r="K548" s="117"/>
      <c r="L548" s="117"/>
      <c r="M548" s="117"/>
    </row>
    <row r="549" ht="20.25" customHeight="1">
      <c r="A549" s="273"/>
      <c r="B549" s="274"/>
      <c r="C549" s="274"/>
      <c r="D549" s="274"/>
      <c r="E549" s="127"/>
      <c r="F549" s="127"/>
      <c r="G549" s="127"/>
      <c r="H549" s="127"/>
      <c r="I549" s="127"/>
      <c r="J549" s="127"/>
      <c r="K549" s="127"/>
      <c r="L549" s="127"/>
      <c r="M549" s="127"/>
    </row>
    <row r="550" ht="20.25" customHeight="1">
      <c r="A550" s="275"/>
      <c r="B550" s="277"/>
      <c r="C550" s="277"/>
      <c r="D550" s="277"/>
      <c r="E550" s="117"/>
      <c r="F550" s="117"/>
      <c r="G550" s="117"/>
      <c r="H550" s="117"/>
      <c r="I550" s="117"/>
      <c r="J550" s="117"/>
      <c r="K550" s="117"/>
      <c r="L550" s="117"/>
      <c r="M550" s="117"/>
    </row>
    <row r="551" ht="20.25" customHeight="1">
      <c r="A551" s="273"/>
      <c r="B551" s="274"/>
      <c r="C551" s="274"/>
      <c r="D551" s="274"/>
      <c r="E551" s="127"/>
      <c r="F551" s="127"/>
      <c r="G551" s="127"/>
      <c r="H551" s="127"/>
      <c r="I551" s="127"/>
      <c r="J551" s="127"/>
      <c r="K551" s="127"/>
      <c r="L551" s="127"/>
      <c r="M551" s="127"/>
    </row>
    <row r="552" ht="20.25" customHeight="1">
      <c r="A552" s="275"/>
      <c r="B552" s="277"/>
      <c r="C552" s="277"/>
      <c r="D552" s="277"/>
      <c r="E552" s="117"/>
      <c r="F552" s="117"/>
      <c r="G552" s="117"/>
      <c r="H552" s="117"/>
      <c r="I552" s="117"/>
      <c r="J552" s="117"/>
      <c r="K552" s="117"/>
      <c r="L552" s="117"/>
      <c r="M552" s="117"/>
    </row>
    <row r="553" ht="20.25" customHeight="1">
      <c r="A553" s="273"/>
      <c r="B553" s="274"/>
      <c r="C553" s="274"/>
      <c r="D553" s="274"/>
      <c r="E553" s="127"/>
      <c r="F553" s="127"/>
      <c r="G553" s="127"/>
      <c r="H553" s="127"/>
      <c r="I553" s="127"/>
      <c r="J553" s="127"/>
      <c r="K553" s="127"/>
      <c r="L553" s="127"/>
      <c r="M553" s="127"/>
    </row>
    <row r="554" ht="20.25" customHeight="1">
      <c r="A554" s="275"/>
      <c r="B554" s="277"/>
      <c r="C554" s="277"/>
      <c r="D554" s="277"/>
      <c r="E554" s="117"/>
      <c r="F554" s="117"/>
      <c r="G554" s="117"/>
      <c r="H554" s="117"/>
      <c r="I554" s="117"/>
      <c r="J554" s="117"/>
      <c r="K554" s="117"/>
      <c r="L554" s="117"/>
      <c r="M554" s="117"/>
    </row>
    <row r="555" ht="20.25" customHeight="1">
      <c r="A555" s="273"/>
      <c r="B555" s="274"/>
      <c r="C555" s="274"/>
      <c r="D555" s="274"/>
      <c r="E555" s="127"/>
      <c r="F555" s="127"/>
      <c r="G555" s="127"/>
      <c r="H555" s="127"/>
      <c r="I555" s="127"/>
      <c r="J555" s="127"/>
      <c r="K555" s="127"/>
      <c r="L555" s="127"/>
      <c r="M555" s="127"/>
    </row>
    <row r="556" ht="20.25" customHeight="1">
      <c r="A556" s="275"/>
      <c r="B556" s="277"/>
      <c r="C556" s="277"/>
      <c r="D556" s="277"/>
      <c r="E556" s="117"/>
      <c r="F556" s="117"/>
      <c r="G556" s="117"/>
      <c r="H556" s="117"/>
      <c r="I556" s="117"/>
      <c r="J556" s="117"/>
      <c r="K556" s="117"/>
      <c r="L556" s="117"/>
      <c r="M556" s="117"/>
    </row>
    <row r="557" ht="20.25" customHeight="1">
      <c r="A557" s="273"/>
      <c r="B557" s="274"/>
      <c r="C557" s="274"/>
      <c r="D557" s="274"/>
      <c r="E557" s="127"/>
      <c r="F557" s="127"/>
      <c r="G557" s="127"/>
      <c r="H557" s="127"/>
      <c r="I557" s="127"/>
      <c r="J557" s="127"/>
      <c r="K557" s="127"/>
      <c r="L557" s="127"/>
      <c r="M557" s="127"/>
    </row>
    <row r="558" ht="20.25" customHeight="1">
      <c r="A558" s="275"/>
      <c r="B558" s="277"/>
      <c r="C558" s="277"/>
      <c r="D558" s="277"/>
      <c r="E558" s="117"/>
      <c r="F558" s="117"/>
      <c r="G558" s="117"/>
      <c r="H558" s="117"/>
      <c r="I558" s="117"/>
      <c r="J558" s="117"/>
      <c r="K558" s="117"/>
      <c r="L558" s="117"/>
      <c r="M558" s="117"/>
    </row>
    <row r="559" ht="20.25" customHeight="1">
      <c r="A559" s="273"/>
      <c r="B559" s="274"/>
      <c r="C559" s="274"/>
      <c r="D559" s="274"/>
      <c r="E559" s="127"/>
      <c r="F559" s="127"/>
      <c r="G559" s="127"/>
      <c r="H559" s="127"/>
      <c r="I559" s="127"/>
      <c r="J559" s="127"/>
      <c r="K559" s="127"/>
      <c r="L559" s="127"/>
      <c r="M559" s="127"/>
    </row>
    <row r="560" ht="20.25" customHeight="1">
      <c r="A560" s="275"/>
      <c r="B560" s="277"/>
      <c r="C560" s="277"/>
      <c r="D560" s="277"/>
      <c r="E560" s="117"/>
      <c r="F560" s="117"/>
      <c r="G560" s="117"/>
      <c r="H560" s="117"/>
      <c r="I560" s="117"/>
      <c r="J560" s="117"/>
      <c r="K560" s="117"/>
      <c r="L560" s="117"/>
      <c r="M560" s="117"/>
    </row>
    <row r="561" ht="20.25" customHeight="1">
      <c r="A561" s="273"/>
      <c r="B561" s="274"/>
      <c r="C561" s="274"/>
      <c r="D561" s="274"/>
      <c r="E561" s="127"/>
      <c r="F561" s="127"/>
      <c r="G561" s="127"/>
      <c r="H561" s="127"/>
      <c r="I561" s="127"/>
      <c r="J561" s="127"/>
      <c r="K561" s="127"/>
      <c r="L561" s="127"/>
      <c r="M561" s="127"/>
    </row>
    <row r="562" ht="20.25" customHeight="1">
      <c r="A562" s="275"/>
      <c r="B562" s="277"/>
      <c r="C562" s="277"/>
      <c r="D562" s="277"/>
      <c r="E562" s="117"/>
      <c r="F562" s="117"/>
      <c r="G562" s="117"/>
      <c r="H562" s="117"/>
      <c r="I562" s="117"/>
      <c r="J562" s="117"/>
      <c r="K562" s="117"/>
      <c r="L562" s="117"/>
      <c r="M562" s="117"/>
    </row>
    <row r="563" ht="20.25" customHeight="1">
      <c r="A563" s="273"/>
      <c r="B563" s="274"/>
      <c r="C563" s="274"/>
      <c r="D563" s="274"/>
      <c r="E563" s="127"/>
      <c r="F563" s="127"/>
      <c r="G563" s="127"/>
      <c r="H563" s="127"/>
      <c r="I563" s="127"/>
      <c r="J563" s="127"/>
      <c r="K563" s="127"/>
      <c r="L563" s="127"/>
      <c r="M563" s="127"/>
    </row>
    <row r="564" ht="20.25" customHeight="1">
      <c r="A564" s="275"/>
      <c r="B564" s="277"/>
      <c r="C564" s="277"/>
      <c r="D564" s="277"/>
      <c r="E564" s="117"/>
      <c r="F564" s="117"/>
      <c r="G564" s="117"/>
      <c r="H564" s="117"/>
      <c r="I564" s="117"/>
      <c r="J564" s="117"/>
      <c r="K564" s="117"/>
      <c r="L564" s="117"/>
      <c r="M564" s="117"/>
    </row>
    <row r="565" ht="20.25" customHeight="1">
      <c r="A565" s="273"/>
      <c r="B565" s="274"/>
      <c r="C565" s="274"/>
      <c r="D565" s="274"/>
      <c r="E565" s="127"/>
      <c r="F565" s="127"/>
      <c r="G565" s="127"/>
      <c r="H565" s="127"/>
      <c r="I565" s="127"/>
      <c r="J565" s="127"/>
      <c r="K565" s="127"/>
      <c r="L565" s="127"/>
      <c r="M565" s="127"/>
    </row>
    <row r="566" ht="20.25" customHeight="1">
      <c r="A566" s="275"/>
      <c r="B566" s="277"/>
      <c r="C566" s="277"/>
      <c r="D566" s="277"/>
      <c r="E566" s="117"/>
      <c r="F566" s="117"/>
      <c r="G566" s="117"/>
      <c r="H566" s="117"/>
      <c r="I566" s="117"/>
      <c r="J566" s="117"/>
      <c r="K566" s="117"/>
      <c r="L566" s="117"/>
      <c r="M566" s="117"/>
    </row>
    <row r="567" ht="20.25" customHeight="1">
      <c r="A567" s="273"/>
      <c r="B567" s="274"/>
      <c r="C567" s="274"/>
      <c r="D567" s="274"/>
      <c r="E567" s="127"/>
      <c r="F567" s="127"/>
      <c r="G567" s="127"/>
      <c r="H567" s="127"/>
      <c r="I567" s="127"/>
      <c r="J567" s="127"/>
      <c r="K567" s="127"/>
      <c r="L567" s="127"/>
      <c r="M567" s="127"/>
    </row>
    <row r="568" ht="20.25" customHeight="1">
      <c r="A568" s="275"/>
      <c r="B568" s="277"/>
      <c r="C568" s="277"/>
      <c r="D568" s="277"/>
      <c r="E568" s="117"/>
      <c r="F568" s="117"/>
      <c r="G568" s="117"/>
      <c r="H568" s="117"/>
      <c r="I568" s="117"/>
      <c r="J568" s="117"/>
      <c r="K568" s="117"/>
      <c r="L568" s="117"/>
      <c r="M568" s="117"/>
    </row>
    <row r="569" ht="20.25" customHeight="1">
      <c r="A569" s="273"/>
      <c r="B569" s="274"/>
      <c r="C569" s="274"/>
      <c r="D569" s="274"/>
      <c r="E569" s="127"/>
      <c r="F569" s="127"/>
      <c r="G569" s="127"/>
      <c r="H569" s="127"/>
      <c r="I569" s="127"/>
      <c r="J569" s="127"/>
      <c r="K569" s="127"/>
      <c r="L569" s="127"/>
      <c r="M569" s="127"/>
    </row>
    <row r="570" ht="20.25" customHeight="1">
      <c r="A570" s="275"/>
      <c r="B570" s="277"/>
      <c r="C570" s="277"/>
      <c r="D570" s="277"/>
      <c r="E570" s="117"/>
      <c r="F570" s="117"/>
      <c r="G570" s="117"/>
      <c r="H570" s="117"/>
      <c r="I570" s="117"/>
      <c r="J570" s="117"/>
      <c r="K570" s="117"/>
      <c r="L570" s="117"/>
      <c r="M570" s="117"/>
    </row>
    <row r="571" ht="20.25" customHeight="1">
      <c r="A571" s="273"/>
      <c r="B571" s="274"/>
      <c r="C571" s="274"/>
      <c r="D571" s="274"/>
      <c r="E571" s="127"/>
      <c r="F571" s="127"/>
      <c r="G571" s="127"/>
      <c r="H571" s="127"/>
      <c r="I571" s="127"/>
      <c r="J571" s="127"/>
      <c r="K571" s="127"/>
      <c r="L571" s="127"/>
      <c r="M571" s="127"/>
    </row>
    <row r="572" ht="20.25" customHeight="1">
      <c r="A572" s="275"/>
      <c r="B572" s="277"/>
      <c r="C572" s="277"/>
      <c r="D572" s="277"/>
      <c r="E572" s="117"/>
      <c r="F572" s="117"/>
      <c r="G572" s="117"/>
      <c r="H572" s="117"/>
      <c r="I572" s="117"/>
      <c r="J572" s="117"/>
      <c r="K572" s="117"/>
      <c r="L572" s="117"/>
      <c r="M572" s="117"/>
    </row>
    <row r="573" ht="20.25" customHeight="1">
      <c r="A573" s="273"/>
      <c r="B573" s="274"/>
      <c r="C573" s="274"/>
      <c r="D573" s="274"/>
      <c r="E573" s="127"/>
      <c r="F573" s="127"/>
      <c r="G573" s="127"/>
      <c r="H573" s="127"/>
      <c r="I573" s="127"/>
      <c r="J573" s="127"/>
      <c r="K573" s="127"/>
      <c r="L573" s="127"/>
      <c r="M573" s="127"/>
    </row>
    <row r="574" ht="20.25" customHeight="1">
      <c r="A574" s="275"/>
      <c r="B574" s="277"/>
      <c r="C574" s="277"/>
      <c r="D574" s="277"/>
      <c r="E574" s="117"/>
      <c r="F574" s="117"/>
      <c r="G574" s="117"/>
      <c r="H574" s="117"/>
      <c r="I574" s="117"/>
      <c r="J574" s="117"/>
      <c r="K574" s="117"/>
      <c r="L574" s="117"/>
      <c r="M574" s="117"/>
    </row>
    <row r="575" ht="20.25" customHeight="1">
      <c r="A575" s="273"/>
      <c r="B575" s="274"/>
      <c r="C575" s="274"/>
      <c r="D575" s="274"/>
      <c r="E575" s="127"/>
      <c r="F575" s="127"/>
      <c r="G575" s="127"/>
      <c r="H575" s="127"/>
      <c r="I575" s="127"/>
      <c r="J575" s="127"/>
      <c r="K575" s="127"/>
      <c r="L575" s="127"/>
      <c r="M575" s="127"/>
    </row>
    <row r="576" ht="20.25" customHeight="1">
      <c r="A576" s="275"/>
      <c r="B576" s="277"/>
      <c r="C576" s="277"/>
      <c r="D576" s="277"/>
      <c r="E576" s="117"/>
      <c r="F576" s="117"/>
      <c r="G576" s="117"/>
      <c r="H576" s="117"/>
      <c r="I576" s="117"/>
      <c r="J576" s="117"/>
      <c r="K576" s="117"/>
      <c r="L576" s="117"/>
      <c r="M576" s="117"/>
    </row>
    <row r="577" ht="20.25" customHeight="1">
      <c r="A577" s="273"/>
      <c r="B577" s="274"/>
      <c r="C577" s="274"/>
      <c r="D577" s="274"/>
      <c r="E577" s="127"/>
      <c r="F577" s="127"/>
      <c r="G577" s="127"/>
      <c r="H577" s="127"/>
      <c r="I577" s="127"/>
      <c r="J577" s="127"/>
      <c r="K577" s="127"/>
      <c r="L577" s="127"/>
      <c r="M577" s="127"/>
    </row>
    <row r="578" ht="20.25" customHeight="1">
      <c r="A578" s="275"/>
      <c r="B578" s="277"/>
      <c r="C578" s="277"/>
      <c r="D578" s="277"/>
      <c r="E578" s="117"/>
      <c r="F578" s="117"/>
      <c r="G578" s="117"/>
      <c r="H578" s="117"/>
      <c r="I578" s="117"/>
      <c r="J578" s="117"/>
      <c r="K578" s="117"/>
      <c r="L578" s="117"/>
      <c r="M578" s="117"/>
    </row>
    <row r="579" ht="20.25" customHeight="1">
      <c r="A579" s="273"/>
      <c r="B579" s="274"/>
      <c r="C579" s="274"/>
      <c r="D579" s="274"/>
      <c r="E579" s="127"/>
      <c r="F579" s="127"/>
      <c r="G579" s="127"/>
      <c r="H579" s="127"/>
      <c r="I579" s="127"/>
      <c r="J579" s="127"/>
      <c r="K579" s="127"/>
      <c r="L579" s="127"/>
      <c r="M579" s="127"/>
    </row>
    <row r="580" ht="20.25" customHeight="1">
      <c r="A580" s="275"/>
      <c r="B580" s="277"/>
      <c r="C580" s="277"/>
      <c r="D580" s="277"/>
      <c r="E580" s="117"/>
      <c r="F580" s="117"/>
      <c r="G580" s="117"/>
      <c r="H580" s="117"/>
      <c r="I580" s="117"/>
      <c r="J580" s="117"/>
      <c r="K580" s="117"/>
      <c r="L580" s="117"/>
      <c r="M580" s="117"/>
    </row>
    <row r="581" ht="20.25" customHeight="1">
      <c r="A581" s="273"/>
      <c r="B581" s="274"/>
      <c r="C581" s="274"/>
      <c r="D581" s="274"/>
      <c r="E581" s="127"/>
      <c r="F581" s="127"/>
      <c r="G581" s="127"/>
      <c r="H581" s="127"/>
      <c r="I581" s="127"/>
      <c r="J581" s="127"/>
      <c r="K581" s="127"/>
      <c r="L581" s="127"/>
      <c r="M581" s="127"/>
    </row>
    <row r="582" ht="20.25" customHeight="1">
      <c r="A582" s="275"/>
      <c r="B582" s="277"/>
      <c r="C582" s="277"/>
      <c r="D582" s="277"/>
      <c r="E582" s="117"/>
      <c r="F582" s="117"/>
      <c r="G582" s="117"/>
      <c r="H582" s="117"/>
      <c r="I582" s="117"/>
      <c r="J582" s="117"/>
      <c r="K582" s="117"/>
      <c r="L582" s="117"/>
      <c r="M582" s="117"/>
    </row>
    <row r="583" ht="20.25" customHeight="1">
      <c r="A583" s="273"/>
      <c r="B583" s="274"/>
      <c r="C583" s="274"/>
      <c r="D583" s="274"/>
      <c r="E583" s="127"/>
      <c r="F583" s="127"/>
      <c r="G583" s="127"/>
      <c r="H583" s="127"/>
      <c r="I583" s="127"/>
      <c r="J583" s="127"/>
      <c r="K583" s="127"/>
      <c r="L583" s="127"/>
      <c r="M583" s="127"/>
    </row>
    <row r="584" ht="20.25" customHeight="1">
      <c r="A584" s="275"/>
      <c r="B584" s="277"/>
      <c r="C584" s="277"/>
      <c r="D584" s="277"/>
      <c r="E584" s="117"/>
      <c r="F584" s="117"/>
      <c r="G584" s="117"/>
      <c r="H584" s="117"/>
      <c r="I584" s="117"/>
      <c r="J584" s="117"/>
      <c r="K584" s="117"/>
      <c r="L584" s="117"/>
      <c r="M584" s="117"/>
    </row>
    <row r="585" ht="20.25" customHeight="1">
      <c r="A585" s="273"/>
      <c r="B585" s="274"/>
      <c r="C585" s="274"/>
      <c r="D585" s="274"/>
      <c r="E585" s="127"/>
      <c r="F585" s="127"/>
      <c r="G585" s="127"/>
      <c r="H585" s="127"/>
      <c r="I585" s="127"/>
      <c r="J585" s="127"/>
      <c r="K585" s="127"/>
      <c r="L585" s="127"/>
      <c r="M585" s="127"/>
    </row>
    <row r="586" ht="20.25" customHeight="1">
      <c r="A586" s="275"/>
      <c r="B586" s="277"/>
      <c r="C586" s="277"/>
      <c r="D586" s="277"/>
      <c r="E586" s="117"/>
      <c r="F586" s="117"/>
      <c r="G586" s="117"/>
      <c r="H586" s="117"/>
      <c r="I586" s="117"/>
      <c r="J586" s="117"/>
      <c r="K586" s="117"/>
      <c r="L586" s="117"/>
      <c r="M586" s="117"/>
    </row>
    <row r="587" ht="20.25" customHeight="1">
      <c r="A587" s="273"/>
      <c r="B587" s="274"/>
      <c r="C587" s="274"/>
      <c r="D587" s="274"/>
      <c r="E587" s="127"/>
      <c r="F587" s="127"/>
      <c r="G587" s="127"/>
      <c r="H587" s="127"/>
      <c r="I587" s="127"/>
      <c r="J587" s="127"/>
      <c r="K587" s="127"/>
      <c r="L587" s="127"/>
      <c r="M587" s="127"/>
    </row>
    <row r="588" ht="20.25" customHeight="1">
      <c r="A588" s="275"/>
      <c r="B588" s="277"/>
      <c r="C588" s="277"/>
      <c r="D588" s="277"/>
      <c r="E588" s="117"/>
      <c r="F588" s="117"/>
      <c r="G588" s="117"/>
      <c r="H588" s="117"/>
      <c r="I588" s="117"/>
      <c r="J588" s="117"/>
      <c r="K588" s="117"/>
      <c r="L588" s="117"/>
      <c r="M588" s="117"/>
    </row>
    <row r="589" ht="20.25" customHeight="1">
      <c r="A589" s="273"/>
      <c r="B589" s="274"/>
      <c r="C589" s="274"/>
      <c r="D589" s="274"/>
      <c r="E589" s="127"/>
      <c r="F589" s="127"/>
      <c r="G589" s="127"/>
      <c r="H589" s="127"/>
      <c r="I589" s="127"/>
      <c r="J589" s="127"/>
      <c r="K589" s="127"/>
      <c r="L589" s="127"/>
      <c r="M589" s="127"/>
    </row>
    <row r="590" ht="20.25" customHeight="1">
      <c r="A590" s="275"/>
      <c r="B590" s="277"/>
      <c r="C590" s="277"/>
      <c r="D590" s="277"/>
      <c r="E590" s="117"/>
      <c r="F590" s="117"/>
      <c r="G590" s="117"/>
      <c r="H590" s="117"/>
      <c r="I590" s="117"/>
      <c r="J590" s="117"/>
      <c r="K590" s="117"/>
      <c r="L590" s="117"/>
      <c r="M590" s="117"/>
    </row>
    <row r="591" ht="20.25" customHeight="1">
      <c r="A591" s="273"/>
      <c r="B591" s="274"/>
      <c r="C591" s="274"/>
      <c r="D591" s="274"/>
      <c r="E591" s="127"/>
      <c r="F591" s="127"/>
      <c r="G591" s="127"/>
      <c r="H591" s="127"/>
      <c r="I591" s="127"/>
      <c r="J591" s="127"/>
      <c r="K591" s="127"/>
      <c r="L591" s="127"/>
      <c r="M591" s="127"/>
    </row>
    <row r="592" ht="20.25" customHeight="1">
      <c r="A592" s="275"/>
      <c r="B592" s="277"/>
      <c r="C592" s="277"/>
      <c r="D592" s="277"/>
      <c r="E592" s="117"/>
      <c r="F592" s="117"/>
      <c r="G592" s="117"/>
      <c r="H592" s="117"/>
      <c r="I592" s="117"/>
      <c r="J592" s="117"/>
      <c r="K592" s="117"/>
      <c r="L592" s="117"/>
      <c r="M592" s="117"/>
    </row>
    <row r="593" ht="20.25" customHeight="1">
      <c r="A593" s="273"/>
      <c r="B593" s="274"/>
      <c r="C593" s="274"/>
      <c r="D593" s="274"/>
      <c r="E593" s="127"/>
      <c r="F593" s="127"/>
      <c r="G593" s="127"/>
      <c r="H593" s="127"/>
      <c r="I593" s="127"/>
      <c r="J593" s="127"/>
      <c r="K593" s="127"/>
      <c r="L593" s="127"/>
      <c r="M593" s="127"/>
    </row>
    <row r="594" ht="20.25" customHeight="1">
      <c r="A594" s="275"/>
      <c r="B594" s="277"/>
      <c r="C594" s="277"/>
      <c r="D594" s="277"/>
      <c r="E594" s="117"/>
      <c r="F594" s="117"/>
      <c r="G594" s="117"/>
      <c r="H594" s="117"/>
      <c r="I594" s="117"/>
      <c r="J594" s="117"/>
      <c r="K594" s="117"/>
      <c r="L594" s="117"/>
      <c r="M594" s="117"/>
    </row>
    <row r="595" ht="20.25" customHeight="1">
      <c r="A595" s="273"/>
      <c r="B595" s="274"/>
      <c r="C595" s="274"/>
      <c r="D595" s="274"/>
      <c r="E595" s="127"/>
      <c r="F595" s="127"/>
      <c r="G595" s="127"/>
      <c r="H595" s="127"/>
      <c r="I595" s="127"/>
      <c r="J595" s="127"/>
      <c r="K595" s="127"/>
      <c r="L595" s="127"/>
      <c r="M595" s="127"/>
    </row>
    <row r="596" ht="20.25" customHeight="1">
      <c r="A596" s="275"/>
      <c r="B596" s="277"/>
      <c r="C596" s="277"/>
      <c r="D596" s="277"/>
      <c r="E596" s="117"/>
      <c r="F596" s="117"/>
      <c r="G596" s="117"/>
      <c r="H596" s="117"/>
      <c r="I596" s="117"/>
      <c r="J596" s="117"/>
      <c r="K596" s="117"/>
      <c r="L596" s="117"/>
      <c r="M596" s="117"/>
    </row>
    <row r="597" ht="20.25" customHeight="1">
      <c r="A597" s="273"/>
      <c r="B597" s="274"/>
      <c r="C597" s="274"/>
      <c r="D597" s="274"/>
      <c r="E597" s="127"/>
      <c r="F597" s="127"/>
      <c r="G597" s="127"/>
      <c r="H597" s="127"/>
      <c r="I597" s="127"/>
      <c r="J597" s="127"/>
      <c r="K597" s="127"/>
      <c r="L597" s="127"/>
      <c r="M597" s="127"/>
    </row>
    <row r="598" ht="20.25" customHeight="1">
      <c r="A598" s="275"/>
      <c r="B598" s="277"/>
      <c r="C598" s="277"/>
      <c r="D598" s="277"/>
      <c r="E598" s="117"/>
      <c r="F598" s="117"/>
      <c r="G598" s="117"/>
      <c r="H598" s="117"/>
      <c r="I598" s="117"/>
      <c r="J598" s="117"/>
      <c r="K598" s="117"/>
      <c r="L598" s="117"/>
      <c r="M598" s="117"/>
    </row>
    <row r="599" ht="20.25" customHeight="1">
      <c r="A599" s="273"/>
      <c r="B599" s="274"/>
      <c r="C599" s="274"/>
      <c r="D599" s="274"/>
      <c r="E599" s="127"/>
      <c r="F599" s="127"/>
      <c r="G599" s="127"/>
      <c r="H599" s="127"/>
      <c r="I599" s="127"/>
      <c r="J599" s="127"/>
      <c r="K599" s="127"/>
      <c r="L599" s="127"/>
      <c r="M599" s="127"/>
    </row>
    <row r="600" ht="20.25" customHeight="1">
      <c r="A600" s="275"/>
      <c r="B600" s="277"/>
      <c r="C600" s="277"/>
      <c r="D600" s="277"/>
      <c r="E600" s="117"/>
      <c r="F600" s="117"/>
      <c r="G600" s="117"/>
      <c r="H600" s="117"/>
      <c r="I600" s="117"/>
      <c r="J600" s="117"/>
      <c r="K600" s="117"/>
      <c r="L600" s="117"/>
      <c r="M600" s="117"/>
    </row>
    <row r="601" ht="20.25" customHeight="1">
      <c r="A601" s="273"/>
      <c r="B601" s="274"/>
      <c r="C601" s="274"/>
      <c r="D601" s="274"/>
      <c r="E601" s="127"/>
      <c r="F601" s="127"/>
      <c r="G601" s="127"/>
      <c r="H601" s="127"/>
      <c r="I601" s="127"/>
      <c r="J601" s="127"/>
      <c r="K601" s="127"/>
      <c r="L601" s="127"/>
      <c r="M601" s="127"/>
    </row>
    <row r="602" ht="20.25" customHeight="1">
      <c r="A602" s="275"/>
      <c r="B602" s="277"/>
      <c r="C602" s="277"/>
      <c r="D602" s="277"/>
      <c r="E602" s="117"/>
      <c r="F602" s="117"/>
      <c r="G602" s="117"/>
      <c r="H602" s="117"/>
      <c r="I602" s="117"/>
      <c r="J602" s="117"/>
      <c r="K602" s="117"/>
      <c r="L602" s="117"/>
      <c r="M602" s="117"/>
    </row>
    <row r="603" ht="20.25" customHeight="1">
      <c r="A603" s="273"/>
      <c r="B603" s="274"/>
      <c r="C603" s="274"/>
      <c r="D603" s="274"/>
      <c r="E603" s="127"/>
      <c r="F603" s="127"/>
      <c r="G603" s="127"/>
      <c r="H603" s="127"/>
      <c r="I603" s="127"/>
      <c r="J603" s="127"/>
      <c r="K603" s="127"/>
      <c r="L603" s="127"/>
      <c r="M603" s="127"/>
    </row>
    <row r="604" ht="20.25" customHeight="1">
      <c r="A604" s="275"/>
      <c r="B604" s="277"/>
      <c r="C604" s="277"/>
      <c r="D604" s="277"/>
      <c r="E604" s="117"/>
      <c r="F604" s="117"/>
      <c r="G604" s="117"/>
      <c r="H604" s="117"/>
      <c r="I604" s="117"/>
      <c r="J604" s="117"/>
      <c r="K604" s="117"/>
      <c r="L604" s="117"/>
      <c r="M604" s="117"/>
    </row>
    <row r="605" ht="20.25" customHeight="1">
      <c r="A605" s="273"/>
      <c r="B605" s="274"/>
      <c r="C605" s="274"/>
      <c r="D605" s="274"/>
      <c r="E605" s="127"/>
      <c r="F605" s="127"/>
      <c r="G605" s="127"/>
      <c r="H605" s="127"/>
      <c r="I605" s="127"/>
      <c r="J605" s="127"/>
      <c r="K605" s="127"/>
      <c r="L605" s="127"/>
      <c r="M605" s="127"/>
    </row>
    <row r="606" ht="20.25" customHeight="1">
      <c r="A606" s="275"/>
      <c r="B606" s="277"/>
      <c r="C606" s="277"/>
      <c r="D606" s="277"/>
      <c r="E606" s="117"/>
      <c r="F606" s="117"/>
      <c r="G606" s="117"/>
      <c r="H606" s="117"/>
      <c r="I606" s="117"/>
      <c r="J606" s="117"/>
      <c r="K606" s="117"/>
      <c r="L606" s="117"/>
      <c r="M606" s="117"/>
    </row>
    <row r="607" ht="20.25" customHeight="1">
      <c r="A607" s="273"/>
      <c r="B607" s="274"/>
      <c r="C607" s="274"/>
      <c r="D607" s="274"/>
      <c r="E607" s="127"/>
      <c r="F607" s="127"/>
      <c r="G607" s="127"/>
      <c r="H607" s="127"/>
      <c r="I607" s="127"/>
      <c r="J607" s="127"/>
      <c r="K607" s="127"/>
      <c r="L607" s="127"/>
      <c r="M607" s="127"/>
    </row>
    <row r="608" ht="20.25" customHeight="1">
      <c r="A608" s="275"/>
      <c r="B608" s="277"/>
      <c r="C608" s="277"/>
      <c r="D608" s="277"/>
      <c r="E608" s="117"/>
      <c r="F608" s="117"/>
      <c r="G608" s="117"/>
      <c r="H608" s="117"/>
      <c r="I608" s="117"/>
      <c r="J608" s="117"/>
      <c r="K608" s="117"/>
      <c r="L608" s="117"/>
      <c r="M608" s="117"/>
    </row>
    <row r="609" ht="20.25" customHeight="1">
      <c r="A609" s="273"/>
      <c r="B609" s="274"/>
      <c r="C609" s="274"/>
      <c r="D609" s="274"/>
      <c r="E609" s="127"/>
      <c r="F609" s="127"/>
      <c r="G609" s="127"/>
      <c r="H609" s="127"/>
      <c r="I609" s="127"/>
      <c r="J609" s="127"/>
      <c r="K609" s="127"/>
      <c r="L609" s="127"/>
      <c r="M609" s="127"/>
    </row>
    <row r="610" ht="20.25" customHeight="1">
      <c r="A610" s="275"/>
      <c r="B610" s="277"/>
      <c r="C610" s="277"/>
      <c r="D610" s="277"/>
      <c r="E610" s="117"/>
      <c r="F610" s="117"/>
      <c r="G610" s="117"/>
      <c r="H610" s="117"/>
      <c r="I610" s="117"/>
      <c r="J610" s="117"/>
      <c r="K610" s="117"/>
      <c r="L610" s="117"/>
      <c r="M610" s="117"/>
    </row>
    <row r="611" ht="20.25" customHeight="1">
      <c r="A611" s="273"/>
      <c r="B611" s="274"/>
      <c r="C611" s="274"/>
      <c r="D611" s="274"/>
      <c r="E611" s="127"/>
      <c r="F611" s="127"/>
      <c r="G611" s="127"/>
      <c r="H611" s="127"/>
      <c r="I611" s="127"/>
      <c r="J611" s="127"/>
      <c r="K611" s="127"/>
      <c r="L611" s="127"/>
      <c r="M611" s="127"/>
    </row>
    <row r="612" ht="20.25" customHeight="1">
      <c r="A612" s="275"/>
      <c r="B612" s="277"/>
      <c r="C612" s="277"/>
      <c r="D612" s="277"/>
      <c r="E612" s="117"/>
      <c r="F612" s="117"/>
      <c r="G612" s="117"/>
      <c r="H612" s="117"/>
      <c r="I612" s="117"/>
      <c r="J612" s="117"/>
      <c r="K612" s="117"/>
      <c r="L612" s="117"/>
      <c r="M612" s="117"/>
    </row>
    <row r="613" ht="20.25" customHeight="1">
      <c r="A613" s="273"/>
      <c r="B613" s="274"/>
      <c r="C613" s="274"/>
      <c r="D613" s="274"/>
      <c r="E613" s="127"/>
      <c r="F613" s="127"/>
      <c r="G613" s="127"/>
      <c r="H613" s="127"/>
      <c r="I613" s="127"/>
      <c r="J613" s="127"/>
      <c r="K613" s="127"/>
      <c r="L613" s="127"/>
      <c r="M613" s="127"/>
    </row>
    <row r="614" ht="20.25" customHeight="1">
      <c r="A614" s="275"/>
      <c r="B614" s="277"/>
      <c r="C614" s="277"/>
      <c r="D614" s="277"/>
      <c r="E614" s="117"/>
      <c r="F614" s="117"/>
      <c r="G614" s="117"/>
      <c r="H614" s="117"/>
      <c r="I614" s="117"/>
      <c r="J614" s="117"/>
      <c r="K614" s="117"/>
      <c r="L614" s="117"/>
      <c r="M614" s="117"/>
    </row>
    <row r="615" ht="20.25" customHeight="1">
      <c r="A615" s="273"/>
      <c r="B615" s="274"/>
      <c r="C615" s="274"/>
      <c r="D615" s="274"/>
      <c r="E615" s="127"/>
      <c r="F615" s="127"/>
      <c r="G615" s="127"/>
      <c r="H615" s="127"/>
      <c r="I615" s="127"/>
      <c r="J615" s="127"/>
      <c r="K615" s="127"/>
      <c r="L615" s="127"/>
      <c r="M615" s="127"/>
    </row>
    <row r="616" ht="20.25" customHeight="1">
      <c r="A616" s="275"/>
      <c r="B616" s="277"/>
      <c r="C616" s="277"/>
      <c r="D616" s="277"/>
      <c r="E616" s="117"/>
      <c r="F616" s="117"/>
      <c r="G616" s="117"/>
      <c r="H616" s="117"/>
      <c r="I616" s="117"/>
      <c r="J616" s="117"/>
      <c r="K616" s="117"/>
      <c r="L616" s="117"/>
      <c r="M616" s="117"/>
    </row>
    <row r="617" ht="20.25" customHeight="1">
      <c r="A617" s="273"/>
      <c r="B617" s="274"/>
      <c r="C617" s="274"/>
      <c r="D617" s="274"/>
      <c r="E617" s="127"/>
      <c r="F617" s="127"/>
      <c r="G617" s="127"/>
      <c r="H617" s="127"/>
      <c r="I617" s="127"/>
      <c r="J617" s="127"/>
      <c r="K617" s="127"/>
      <c r="L617" s="127"/>
      <c r="M617" s="127"/>
    </row>
    <row r="618" ht="20.25" customHeight="1">
      <c r="A618" s="275"/>
      <c r="B618" s="277"/>
      <c r="C618" s="277"/>
      <c r="D618" s="277"/>
      <c r="E618" s="117"/>
      <c r="F618" s="117"/>
      <c r="G618" s="117"/>
      <c r="H618" s="117"/>
      <c r="I618" s="117"/>
      <c r="J618" s="117"/>
      <c r="K618" s="117"/>
      <c r="L618" s="117"/>
      <c r="M618" s="117"/>
    </row>
    <row r="619" ht="20.25" customHeight="1">
      <c r="A619" s="273"/>
      <c r="B619" s="274"/>
      <c r="C619" s="274"/>
      <c r="D619" s="274"/>
      <c r="E619" s="127"/>
      <c r="F619" s="127"/>
      <c r="G619" s="127"/>
      <c r="H619" s="127"/>
      <c r="I619" s="127"/>
      <c r="J619" s="127"/>
      <c r="K619" s="127"/>
      <c r="L619" s="127"/>
      <c r="M619" s="127"/>
    </row>
    <row r="620" ht="20.25" customHeight="1">
      <c r="A620" s="275"/>
      <c r="B620" s="277"/>
      <c r="C620" s="277"/>
      <c r="D620" s="277"/>
      <c r="E620" s="117"/>
      <c r="F620" s="117"/>
      <c r="G620" s="117"/>
      <c r="H620" s="117"/>
      <c r="I620" s="117"/>
      <c r="J620" s="117"/>
      <c r="K620" s="117"/>
      <c r="L620" s="117"/>
      <c r="M620" s="117"/>
    </row>
    <row r="621" ht="20.25" customHeight="1">
      <c r="A621" s="273"/>
      <c r="B621" s="274"/>
      <c r="C621" s="274"/>
      <c r="D621" s="274"/>
      <c r="E621" s="127"/>
      <c r="F621" s="127"/>
      <c r="G621" s="127"/>
      <c r="H621" s="127"/>
      <c r="I621" s="127"/>
      <c r="J621" s="127"/>
      <c r="K621" s="127"/>
      <c r="L621" s="127"/>
      <c r="M621" s="127"/>
    </row>
    <row r="622" ht="20.25" customHeight="1">
      <c r="A622" s="275"/>
      <c r="B622" s="277"/>
      <c r="C622" s="277"/>
      <c r="D622" s="277"/>
      <c r="E622" s="117"/>
      <c r="F622" s="117"/>
      <c r="G622" s="117"/>
      <c r="H622" s="117"/>
      <c r="I622" s="117"/>
      <c r="J622" s="117"/>
      <c r="K622" s="117"/>
      <c r="L622" s="117"/>
      <c r="M622" s="117"/>
    </row>
    <row r="623" ht="20.25" customHeight="1">
      <c r="A623" s="273"/>
      <c r="B623" s="274"/>
      <c r="C623" s="274"/>
      <c r="D623" s="274"/>
      <c r="E623" s="127"/>
      <c r="F623" s="127"/>
      <c r="G623" s="127"/>
      <c r="H623" s="127"/>
      <c r="I623" s="127"/>
      <c r="J623" s="127"/>
      <c r="K623" s="127"/>
      <c r="L623" s="127"/>
      <c r="M623" s="127"/>
    </row>
    <row r="624" ht="20.25" customHeight="1">
      <c r="A624" s="275"/>
      <c r="B624" s="277"/>
      <c r="C624" s="277"/>
      <c r="D624" s="277"/>
      <c r="E624" s="117"/>
      <c r="F624" s="117"/>
      <c r="G624" s="117"/>
      <c r="H624" s="117"/>
      <c r="I624" s="117"/>
      <c r="J624" s="117"/>
      <c r="K624" s="117"/>
      <c r="L624" s="117"/>
      <c r="M624" s="117"/>
    </row>
    <row r="625" ht="20.25" customHeight="1">
      <c r="A625" s="273"/>
      <c r="B625" s="274"/>
      <c r="C625" s="274"/>
      <c r="D625" s="274"/>
      <c r="E625" s="127"/>
      <c r="F625" s="127"/>
      <c r="G625" s="127"/>
      <c r="H625" s="127"/>
      <c r="I625" s="127"/>
      <c r="J625" s="127"/>
      <c r="K625" s="127"/>
      <c r="L625" s="127"/>
      <c r="M625" s="127"/>
    </row>
    <row r="626" ht="20.25" customHeight="1">
      <c r="A626" s="275"/>
      <c r="B626" s="277"/>
      <c r="C626" s="277"/>
      <c r="D626" s="277"/>
      <c r="E626" s="117"/>
      <c r="F626" s="117"/>
      <c r="G626" s="117"/>
      <c r="H626" s="117"/>
      <c r="I626" s="117"/>
      <c r="J626" s="117"/>
      <c r="K626" s="117"/>
      <c r="L626" s="117"/>
      <c r="M626" s="117"/>
    </row>
    <row r="627" ht="20.25" customHeight="1">
      <c r="A627" s="273"/>
      <c r="B627" s="274"/>
      <c r="C627" s="274"/>
      <c r="D627" s="274"/>
      <c r="E627" s="127"/>
      <c r="F627" s="127"/>
      <c r="G627" s="127"/>
      <c r="H627" s="127"/>
      <c r="I627" s="127"/>
      <c r="J627" s="127"/>
      <c r="K627" s="127"/>
      <c r="L627" s="127"/>
      <c r="M627" s="127"/>
    </row>
    <row r="628" ht="20.25" customHeight="1">
      <c r="A628" s="275"/>
      <c r="B628" s="277"/>
      <c r="C628" s="277"/>
      <c r="D628" s="277"/>
      <c r="E628" s="117"/>
      <c r="F628" s="117"/>
      <c r="G628" s="117"/>
      <c r="H628" s="117"/>
      <c r="I628" s="117"/>
      <c r="J628" s="117"/>
      <c r="K628" s="117"/>
      <c r="L628" s="117"/>
      <c r="M628" s="117"/>
    </row>
    <row r="629" ht="20.25" customHeight="1">
      <c r="A629" s="273"/>
      <c r="B629" s="274"/>
      <c r="C629" s="274"/>
      <c r="D629" s="274"/>
      <c r="E629" s="127"/>
      <c r="F629" s="127"/>
      <c r="G629" s="127"/>
      <c r="H629" s="127"/>
      <c r="I629" s="127"/>
      <c r="J629" s="127"/>
      <c r="K629" s="127"/>
      <c r="L629" s="127"/>
      <c r="M629" s="127"/>
    </row>
    <row r="630" ht="20.25" customHeight="1">
      <c r="A630" s="275"/>
      <c r="B630" s="277"/>
      <c r="C630" s="277"/>
      <c r="D630" s="277"/>
      <c r="E630" s="117"/>
      <c r="F630" s="117"/>
      <c r="G630" s="117"/>
      <c r="H630" s="117"/>
      <c r="I630" s="117"/>
      <c r="J630" s="117"/>
      <c r="K630" s="117"/>
      <c r="L630" s="117"/>
      <c r="M630" s="117"/>
    </row>
    <row r="631" ht="20.25" customHeight="1">
      <c r="A631" s="273"/>
      <c r="B631" s="274"/>
      <c r="C631" s="274"/>
      <c r="D631" s="274"/>
      <c r="E631" s="127"/>
      <c r="F631" s="127"/>
      <c r="G631" s="127"/>
      <c r="H631" s="127"/>
      <c r="I631" s="127"/>
      <c r="J631" s="127"/>
      <c r="K631" s="127"/>
      <c r="L631" s="127"/>
      <c r="M631" s="127"/>
    </row>
    <row r="632" ht="20.25" customHeight="1">
      <c r="A632" s="275"/>
      <c r="B632" s="277"/>
      <c r="C632" s="277"/>
      <c r="D632" s="277"/>
      <c r="E632" s="117"/>
      <c r="F632" s="117"/>
      <c r="G632" s="117"/>
      <c r="H632" s="117"/>
      <c r="I632" s="117"/>
      <c r="J632" s="117"/>
      <c r="K632" s="117"/>
      <c r="L632" s="117"/>
      <c r="M632" s="117"/>
    </row>
    <row r="633" ht="20.25" customHeight="1">
      <c r="A633" s="273"/>
      <c r="B633" s="274"/>
      <c r="C633" s="274"/>
      <c r="D633" s="274"/>
      <c r="E633" s="127"/>
      <c r="F633" s="127"/>
      <c r="G633" s="127"/>
      <c r="H633" s="127"/>
      <c r="I633" s="127"/>
      <c r="J633" s="127"/>
      <c r="K633" s="127"/>
      <c r="L633" s="127"/>
      <c r="M633" s="127"/>
    </row>
    <row r="634" ht="20.25" customHeight="1">
      <c r="A634" s="275"/>
      <c r="B634" s="277"/>
      <c r="C634" s="277"/>
      <c r="D634" s="277"/>
      <c r="E634" s="117"/>
      <c r="F634" s="117"/>
      <c r="G634" s="117"/>
      <c r="H634" s="117"/>
      <c r="I634" s="117"/>
      <c r="J634" s="117"/>
      <c r="K634" s="117"/>
      <c r="L634" s="117"/>
      <c r="M634" s="117"/>
    </row>
    <row r="635" ht="20.25" customHeight="1">
      <c r="A635" s="273"/>
      <c r="B635" s="274"/>
      <c r="C635" s="274"/>
      <c r="D635" s="274"/>
      <c r="E635" s="127"/>
      <c r="F635" s="127"/>
      <c r="G635" s="127"/>
      <c r="H635" s="127"/>
      <c r="I635" s="127"/>
      <c r="J635" s="127"/>
      <c r="K635" s="127"/>
      <c r="L635" s="127"/>
      <c r="M635" s="127"/>
    </row>
    <row r="636" ht="20.25" customHeight="1">
      <c r="A636" s="275"/>
      <c r="B636" s="277"/>
      <c r="C636" s="277"/>
      <c r="D636" s="277"/>
      <c r="E636" s="117"/>
      <c r="F636" s="117"/>
      <c r="G636" s="117"/>
      <c r="H636" s="117"/>
      <c r="I636" s="117"/>
      <c r="J636" s="117"/>
      <c r="K636" s="117"/>
      <c r="L636" s="117"/>
      <c r="M636" s="117"/>
    </row>
    <row r="637" ht="20.25" customHeight="1">
      <c r="A637" s="273"/>
      <c r="B637" s="274"/>
      <c r="C637" s="274"/>
      <c r="D637" s="274"/>
      <c r="E637" s="127"/>
      <c r="F637" s="127"/>
      <c r="G637" s="127"/>
      <c r="H637" s="127"/>
      <c r="I637" s="127"/>
      <c r="J637" s="127"/>
      <c r="K637" s="127"/>
      <c r="L637" s="127"/>
      <c r="M637" s="127"/>
    </row>
    <row r="638" ht="20.25" customHeight="1">
      <c r="A638" s="275"/>
      <c r="B638" s="277"/>
      <c r="C638" s="277"/>
      <c r="D638" s="277"/>
      <c r="E638" s="117"/>
      <c r="F638" s="117"/>
      <c r="G638" s="117"/>
      <c r="H638" s="117"/>
      <c r="I638" s="117"/>
      <c r="J638" s="117"/>
      <c r="K638" s="117"/>
      <c r="L638" s="117"/>
      <c r="M638" s="117"/>
    </row>
    <row r="639" ht="20.25" customHeight="1">
      <c r="A639" s="273"/>
      <c r="B639" s="274"/>
      <c r="C639" s="274"/>
      <c r="D639" s="274"/>
      <c r="E639" s="127"/>
      <c r="F639" s="127"/>
      <c r="G639" s="127"/>
      <c r="H639" s="127"/>
      <c r="I639" s="127"/>
      <c r="J639" s="127"/>
      <c r="K639" s="127"/>
      <c r="L639" s="127"/>
      <c r="M639" s="127"/>
    </row>
    <row r="640" ht="20.25" customHeight="1">
      <c r="A640" s="275"/>
      <c r="B640" s="277"/>
      <c r="C640" s="277"/>
      <c r="D640" s="277"/>
      <c r="E640" s="117"/>
      <c r="F640" s="117"/>
      <c r="G640" s="117"/>
      <c r="H640" s="117"/>
      <c r="I640" s="117"/>
      <c r="J640" s="117"/>
      <c r="K640" s="117"/>
      <c r="L640" s="117"/>
      <c r="M640" s="117"/>
    </row>
    <row r="641" ht="20.25" customHeight="1">
      <c r="A641" s="273"/>
      <c r="B641" s="274"/>
      <c r="C641" s="274"/>
      <c r="D641" s="274"/>
      <c r="E641" s="127"/>
      <c r="F641" s="127"/>
      <c r="G641" s="127"/>
      <c r="H641" s="127"/>
      <c r="I641" s="127"/>
      <c r="J641" s="127"/>
      <c r="K641" s="127"/>
      <c r="L641" s="127"/>
      <c r="M641" s="127"/>
    </row>
    <row r="642" ht="20.25" customHeight="1">
      <c r="A642" s="275"/>
      <c r="B642" s="277"/>
      <c r="C642" s="277"/>
      <c r="D642" s="277"/>
      <c r="E642" s="117"/>
      <c r="F642" s="117"/>
      <c r="G642" s="117"/>
      <c r="H642" s="117"/>
      <c r="I642" s="117"/>
      <c r="J642" s="117"/>
      <c r="K642" s="117"/>
      <c r="L642" s="117"/>
      <c r="M642" s="117"/>
    </row>
    <row r="643" ht="20.25" customHeight="1">
      <c r="A643" s="273"/>
      <c r="B643" s="274"/>
      <c r="C643" s="274"/>
      <c r="D643" s="274"/>
      <c r="E643" s="127"/>
      <c r="F643" s="127"/>
      <c r="G643" s="127"/>
      <c r="H643" s="127"/>
      <c r="I643" s="127"/>
      <c r="J643" s="127"/>
      <c r="K643" s="127"/>
      <c r="L643" s="127"/>
      <c r="M643" s="127"/>
    </row>
    <row r="644" ht="20.25" customHeight="1">
      <c r="A644" s="275"/>
      <c r="B644" s="277"/>
      <c r="C644" s="277"/>
      <c r="D644" s="277"/>
      <c r="E644" s="117"/>
      <c r="F644" s="117"/>
      <c r="G644" s="117"/>
      <c r="H644" s="117"/>
      <c r="I644" s="117"/>
      <c r="J644" s="117"/>
      <c r="K644" s="117"/>
      <c r="L644" s="117"/>
      <c r="M644" s="117"/>
    </row>
    <row r="645" ht="20.25" customHeight="1">
      <c r="A645" s="273"/>
      <c r="B645" s="274"/>
      <c r="C645" s="274"/>
      <c r="D645" s="274"/>
      <c r="E645" s="127"/>
      <c r="F645" s="127"/>
      <c r="G645" s="127"/>
      <c r="H645" s="127"/>
      <c r="I645" s="127"/>
      <c r="J645" s="127"/>
      <c r="K645" s="127"/>
      <c r="L645" s="127"/>
      <c r="M645" s="127"/>
    </row>
    <row r="646" ht="20.25" customHeight="1">
      <c r="A646" s="275"/>
      <c r="B646" s="277"/>
      <c r="C646" s="277"/>
      <c r="D646" s="277"/>
      <c r="E646" s="117"/>
      <c r="F646" s="117"/>
      <c r="G646" s="117"/>
      <c r="H646" s="117"/>
      <c r="I646" s="117"/>
      <c r="J646" s="117"/>
      <c r="K646" s="117"/>
      <c r="L646" s="117"/>
      <c r="M646" s="117"/>
    </row>
    <row r="647" ht="20.25" customHeight="1">
      <c r="A647" s="273"/>
      <c r="B647" s="274"/>
      <c r="C647" s="274"/>
      <c r="D647" s="274"/>
      <c r="E647" s="127"/>
      <c r="F647" s="127"/>
      <c r="G647" s="127"/>
      <c r="H647" s="127"/>
      <c r="I647" s="127"/>
      <c r="J647" s="127"/>
      <c r="K647" s="127"/>
      <c r="L647" s="127"/>
      <c r="M647" s="127"/>
    </row>
    <row r="648" ht="20.25" customHeight="1">
      <c r="A648" s="275"/>
      <c r="B648" s="277"/>
      <c r="C648" s="277"/>
      <c r="D648" s="277"/>
      <c r="E648" s="117"/>
      <c r="F648" s="117"/>
      <c r="G648" s="117"/>
      <c r="H648" s="117"/>
      <c r="I648" s="117"/>
      <c r="J648" s="117"/>
      <c r="K648" s="117"/>
      <c r="L648" s="117"/>
      <c r="M648" s="117"/>
    </row>
    <row r="649" ht="20.25" customHeight="1">
      <c r="A649" s="273"/>
      <c r="B649" s="274"/>
      <c r="C649" s="274"/>
      <c r="D649" s="274"/>
      <c r="E649" s="127"/>
      <c r="F649" s="127"/>
      <c r="G649" s="127"/>
      <c r="H649" s="127"/>
      <c r="I649" s="127"/>
      <c r="J649" s="127"/>
      <c r="K649" s="127"/>
      <c r="L649" s="127"/>
      <c r="M649" s="127"/>
    </row>
    <row r="650" ht="20.25" customHeight="1">
      <c r="A650" s="275"/>
      <c r="B650" s="277"/>
      <c r="C650" s="277"/>
      <c r="D650" s="277"/>
      <c r="E650" s="117"/>
      <c r="F650" s="117"/>
      <c r="G650" s="117"/>
      <c r="H650" s="117"/>
      <c r="I650" s="117"/>
      <c r="J650" s="117"/>
      <c r="K650" s="117"/>
      <c r="L650" s="117"/>
      <c r="M650" s="117"/>
    </row>
    <row r="651" ht="20.25" customHeight="1">
      <c r="A651" s="273"/>
      <c r="B651" s="274"/>
      <c r="C651" s="274"/>
      <c r="D651" s="274"/>
      <c r="E651" s="127"/>
      <c r="F651" s="127"/>
      <c r="G651" s="127"/>
      <c r="H651" s="127"/>
      <c r="I651" s="127"/>
      <c r="J651" s="127"/>
      <c r="K651" s="127"/>
      <c r="L651" s="127"/>
      <c r="M651" s="127"/>
    </row>
    <row r="652" ht="20.25" customHeight="1">
      <c r="A652" s="275"/>
      <c r="B652" s="277"/>
      <c r="C652" s="277"/>
      <c r="D652" s="277"/>
      <c r="E652" s="117"/>
      <c r="F652" s="117"/>
      <c r="G652" s="117"/>
      <c r="H652" s="117"/>
      <c r="I652" s="117"/>
      <c r="J652" s="117"/>
      <c r="K652" s="117"/>
      <c r="L652" s="117"/>
      <c r="M652" s="117"/>
    </row>
    <row r="653" ht="20.25" customHeight="1">
      <c r="A653" s="273"/>
      <c r="B653" s="274"/>
      <c r="C653" s="274"/>
      <c r="D653" s="274"/>
      <c r="E653" s="127"/>
      <c r="F653" s="127"/>
      <c r="G653" s="127"/>
      <c r="H653" s="127"/>
      <c r="I653" s="127"/>
      <c r="J653" s="127"/>
      <c r="K653" s="127"/>
      <c r="L653" s="127"/>
      <c r="M653" s="127"/>
    </row>
    <row r="654" ht="20.25" customHeight="1">
      <c r="A654" s="275"/>
      <c r="B654" s="277"/>
      <c r="C654" s="277"/>
      <c r="D654" s="277"/>
      <c r="E654" s="117"/>
      <c r="F654" s="117"/>
      <c r="G654" s="117"/>
      <c r="H654" s="117"/>
      <c r="I654" s="117"/>
      <c r="J654" s="117"/>
      <c r="K654" s="117"/>
      <c r="L654" s="117"/>
      <c r="M654" s="117"/>
    </row>
    <row r="655" ht="20.25" customHeight="1">
      <c r="A655" s="273"/>
      <c r="B655" s="274"/>
      <c r="C655" s="274"/>
      <c r="D655" s="274"/>
      <c r="E655" s="127"/>
      <c r="F655" s="127"/>
      <c r="G655" s="127"/>
      <c r="H655" s="127"/>
      <c r="I655" s="127"/>
      <c r="J655" s="127"/>
      <c r="K655" s="127"/>
      <c r="L655" s="127"/>
      <c r="M655" s="127"/>
    </row>
    <row r="656" ht="20.25" customHeight="1">
      <c r="A656" s="275"/>
      <c r="B656" s="277"/>
      <c r="C656" s="277"/>
      <c r="D656" s="277"/>
      <c r="E656" s="117"/>
      <c r="F656" s="117"/>
      <c r="G656" s="117"/>
      <c r="H656" s="117"/>
      <c r="I656" s="117"/>
      <c r="J656" s="117"/>
      <c r="K656" s="117"/>
      <c r="L656" s="117"/>
      <c r="M656" s="117"/>
    </row>
    <row r="657" ht="20.25" customHeight="1">
      <c r="A657" s="273"/>
      <c r="B657" s="274"/>
      <c r="C657" s="274"/>
      <c r="D657" s="274"/>
      <c r="E657" s="127"/>
      <c r="F657" s="127"/>
      <c r="G657" s="127"/>
      <c r="H657" s="127"/>
      <c r="I657" s="127"/>
      <c r="J657" s="127"/>
      <c r="K657" s="127"/>
      <c r="L657" s="127"/>
      <c r="M657" s="127"/>
    </row>
    <row r="658" ht="20.25" customHeight="1">
      <c r="A658" s="275"/>
      <c r="B658" s="277"/>
      <c r="C658" s="277"/>
      <c r="D658" s="277"/>
      <c r="E658" s="117"/>
      <c r="F658" s="117"/>
      <c r="G658" s="117"/>
      <c r="H658" s="117"/>
      <c r="I658" s="117"/>
      <c r="J658" s="117"/>
      <c r="K658" s="117"/>
      <c r="L658" s="117"/>
      <c r="M658" s="117"/>
    </row>
    <row r="659" ht="20.25" customHeight="1">
      <c r="A659" s="273"/>
      <c r="B659" s="274"/>
      <c r="C659" s="274"/>
      <c r="D659" s="274"/>
      <c r="E659" s="127"/>
      <c r="F659" s="127"/>
      <c r="G659" s="127"/>
      <c r="H659" s="127"/>
      <c r="I659" s="127"/>
      <c r="J659" s="127"/>
      <c r="K659" s="127"/>
      <c r="L659" s="127"/>
      <c r="M659" s="127"/>
    </row>
    <row r="660" ht="20.25" customHeight="1">
      <c r="A660" s="275"/>
      <c r="B660" s="277"/>
      <c r="C660" s="277"/>
      <c r="D660" s="277"/>
      <c r="E660" s="117"/>
      <c r="F660" s="117"/>
      <c r="G660" s="117"/>
      <c r="H660" s="117"/>
      <c r="I660" s="117"/>
      <c r="J660" s="117"/>
      <c r="K660" s="117"/>
      <c r="L660" s="117"/>
      <c r="M660" s="117"/>
    </row>
    <row r="661" ht="20.25" customHeight="1">
      <c r="A661" s="273"/>
      <c r="B661" s="274"/>
      <c r="C661" s="274"/>
      <c r="D661" s="274"/>
      <c r="E661" s="127"/>
      <c r="F661" s="127"/>
      <c r="G661" s="127"/>
      <c r="H661" s="127"/>
      <c r="I661" s="127"/>
      <c r="J661" s="127"/>
      <c r="K661" s="127"/>
      <c r="L661" s="127"/>
      <c r="M661" s="127"/>
    </row>
    <row r="662" ht="20.25" customHeight="1">
      <c r="A662" s="275"/>
      <c r="B662" s="277"/>
      <c r="C662" s="277"/>
      <c r="D662" s="277"/>
      <c r="E662" s="117"/>
      <c r="F662" s="117"/>
      <c r="G662" s="117"/>
      <c r="H662" s="117"/>
      <c r="I662" s="117"/>
      <c r="J662" s="117"/>
      <c r="K662" s="117"/>
      <c r="L662" s="117"/>
      <c r="M662" s="117"/>
    </row>
    <row r="663" ht="20.25" customHeight="1">
      <c r="A663" s="273"/>
      <c r="B663" s="274"/>
      <c r="C663" s="274"/>
      <c r="D663" s="274"/>
      <c r="E663" s="127"/>
      <c r="F663" s="127"/>
      <c r="G663" s="127"/>
      <c r="H663" s="127"/>
      <c r="I663" s="127"/>
      <c r="J663" s="127"/>
      <c r="K663" s="127"/>
      <c r="L663" s="127"/>
      <c r="M663" s="127"/>
    </row>
    <row r="664" ht="20.25" customHeight="1">
      <c r="A664" s="275"/>
      <c r="B664" s="277"/>
      <c r="C664" s="277"/>
      <c r="D664" s="277"/>
      <c r="E664" s="117"/>
      <c r="F664" s="117"/>
      <c r="G664" s="117"/>
      <c r="H664" s="117"/>
      <c r="I664" s="117"/>
      <c r="J664" s="117"/>
      <c r="K664" s="117"/>
      <c r="L664" s="117"/>
      <c r="M664" s="117"/>
    </row>
    <row r="665" ht="20.25" customHeight="1">
      <c r="A665" s="273"/>
      <c r="B665" s="274"/>
      <c r="C665" s="274"/>
      <c r="D665" s="274"/>
      <c r="E665" s="127"/>
      <c r="F665" s="127"/>
      <c r="G665" s="127"/>
      <c r="H665" s="127"/>
      <c r="I665" s="127"/>
      <c r="J665" s="127"/>
      <c r="K665" s="127"/>
      <c r="L665" s="127"/>
      <c r="M665" s="127"/>
    </row>
    <row r="666" ht="20.25" customHeight="1">
      <c r="A666" s="275"/>
      <c r="B666" s="277"/>
      <c r="C666" s="277"/>
      <c r="D666" s="277"/>
      <c r="E666" s="117"/>
      <c r="F666" s="117"/>
      <c r="G666" s="117"/>
      <c r="H666" s="117"/>
      <c r="I666" s="117"/>
      <c r="J666" s="117"/>
      <c r="K666" s="117"/>
      <c r="L666" s="117"/>
      <c r="M666" s="117"/>
    </row>
    <row r="667" ht="20.25" customHeight="1">
      <c r="A667" s="273"/>
      <c r="B667" s="274"/>
      <c r="C667" s="274"/>
      <c r="D667" s="274"/>
      <c r="E667" s="127"/>
      <c r="F667" s="127"/>
      <c r="G667" s="127"/>
      <c r="H667" s="127"/>
      <c r="I667" s="127"/>
      <c r="J667" s="127"/>
      <c r="K667" s="127"/>
      <c r="L667" s="127"/>
      <c r="M667" s="127"/>
    </row>
    <row r="668" ht="20.25" customHeight="1">
      <c r="A668" s="275"/>
      <c r="B668" s="277"/>
      <c r="C668" s="277"/>
      <c r="D668" s="277"/>
      <c r="E668" s="117"/>
      <c r="F668" s="117"/>
      <c r="G668" s="117"/>
      <c r="H668" s="117"/>
      <c r="I668" s="117"/>
      <c r="J668" s="117"/>
      <c r="K668" s="117"/>
      <c r="L668" s="117"/>
      <c r="M668" s="117"/>
    </row>
    <row r="669" ht="20.25" customHeight="1">
      <c r="A669" s="273"/>
      <c r="B669" s="274"/>
      <c r="C669" s="274"/>
      <c r="D669" s="274"/>
      <c r="E669" s="127"/>
      <c r="F669" s="127"/>
      <c r="G669" s="127"/>
      <c r="H669" s="127"/>
      <c r="I669" s="127"/>
      <c r="J669" s="127"/>
      <c r="K669" s="127"/>
      <c r="L669" s="127"/>
      <c r="M669" s="127"/>
    </row>
    <row r="670" ht="20.25" customHeight="1">
      <c r="A670" s="275"/>
      <c r="B670" s="277"/>
      <c r="C670" s="277"/>
      <c r="D670" s="277"/>
      <c r="E670" s="117"/>
      <c r="F670" s="117"/>
      <c r="G670" s="117"/>
      <c r="H670" s="117"/>
      <c r="I670" s="117"/>
      <c r="J670" s="117"/>
      <c r="K670" s="117"/>
      <c r="L670" s="117"/>
      <c r="M670" s="117"/>
    </row>
    <row r="671" ht="20.25" customHeight="1">
      <c r="A671" s="273"/>
      <c r="B671" s="274"/>
      <c r="C671" s="274"/>
      <c r="D671" s="274"/>
      <c r="E671" s="127"/>
      <c r="F671" s="127"/>
      <c r="G671" s="127"/>
      <c r="H671" s="127"/>
      <c r="I671" s="127"/>
      <c r="J671" s="127"/>
      <c r="K671" s="127"/>
      <c r="L671" s="127"/>
      <c r="M671" s="127"/>
    </row>
    <row r="672" ht="20.25" customHeight="1">
      <c r="A672" s="275"/>
      <c r="B672" s="277"/>
      <c r="C672" s="277"/>
      <c r="D672" s="277"/>
      <c r="E672" s="117"/>
      <c r="F672" s="117"/>
      <c r="G672" s="117"/>
      <c r="H672" s="117"/>
      <c r="I672" s="117"/>
      <c r="J672" s="117"/>
      <c r="K672" s="117"/>
      <c r="L672" s="117"/>
      <c r="M672" s="117"/>
    </row>
    <row r="673" ht="20.25" customHeight="1">
      <c r="A673" s="273"/>
      <c r="B673" s="274"/>
      <c r="C673" s="274"/>
      <c r="D673" s="274"/>
      <c r="E673" s="127"/>
      <c r="F673" s="127"/>
      <c r="G673" s="127"/>
      <c r="H673" s="127"/>
      <c r="I673" s="127"/>
      <c r="J673" s="127"/>
      <c r="K673" s="127"/>
      <c r="L673" s="127"/>
      <c r="M673" s="127"/>
    </row>
    <row r="674" ht="20.25" customHeight="1">
      <c r="A674" s="275"/>
      <c r="B674" s="277"/>
      <c r="C674" s="277"/>
      <c r="D674" s="277"/>
      <c r="E674" s="117"/>
      <c r="F674" s="117"/>
      <c r="G674" s="117"/>
      <c r="H674" s="117"/>
      <c r="I674" s="117"/>
      <c r="J674" s="117"/>
      <c r="K674" s="117"/>
      <c r="L674" s="117"/>
      <c r="M674" s="117"/>
    </row>
    <row r="675" ht="20.25" customHeight="1">
      <c r="A675" s="273"/>
      <c r="B675" s="274"/>
      <c r="C675" s="274"/>
      <c r="D675" s="274"/>
      <c r="E675" s="127"/>
      <c r="F675" s="127"/>
      <c r="G675" s="127"/>
      <c r="H675" s="127"/>
      <c r="I675" s="127"/>
      <c r="J675" s="127"/>
      <c r="K675" s="127"/>
      <c r="L675" s="127"/>
      <c r="M675" s="127"/>
    </row>
    <row r="676" ht="20.25" customHeight="1">
      <c r="A676" s="275"/>
      <c r="B676" s="277"/>
      <c r="C676" s="277"/>
      <c r="D676" s="277"/>
      <c r="E676" s="117"/>
      <c r="F676" s="117"/>
      <c r="G676" s="117"/>
      <c r="H676" s="117"/>
      <c r="I676" s="117"/>
      <c r="J676" s="117"/>
      <c r="K676" s="117"/>
      <c r="L676" s="117"/>
      <c r="M676" s="117"/>
    </row>
    <row r="677" ht="20.25" customHeight="1">
      <c r="A677" s="273"/>
      <c r="B677" s="274"/>
      <c r="C677" s="274"/>
      <c r="D677" s="274"/>
      <c r="E677" s="127"/>
      <c r="F677" s="127"/>
      <c r="G677" s="127"/>
      <c r="H677" s="127"/>
      <c r="I677" s="127"/>
      <c r="J677" s="127"/>
      <c r="K677" s="127"/>
      <c r="L677" s="127"/>
      <c r="M677" s="127"/>
    </row>
    <row r="678" ht="20.25" customHeight="1">
      <c r="A678" s="275"/>
      <c r="B678" s="277"/>
      <c r="C678" s="277"/>
      <c r="D678" s="277"/>
      <c r="E678" s="117"/>
      <c r="F678" s="117"/>
      <c r="G678" s="117"/>
      <c r="H678" s="117"/>
      <c r="I678" s="117"/>
      <c r="J678" s="117"/>
      <c r="K678" s="117"/>
      <c r="L678" s="117"/>
      <c r="M678" s="117"/>
    </row>
    <row r="679" ht="20.25" customHeight="1">
      <c r="A679" s="273"/>
      <c r="B679" s="274"/>
      <c r="C679" s="274"/>
      <c r="D679" s="274"/>
      <c r="E679" s="127"/>
      <c r="F679" s="127"/>
      <c r="G679" s="127"/>
      <c r="H679" s="127"/>
      <c r="I679" s="127"/>
      <c r="J679" s="127"/>
      <c r="K679" s="127"/>
      <c r="L679" s="127"/>
      <c r="M679" s="127"/>
    </row>
    <row r="680" ht="20.25" customHeight="1">
      <c r="A680" s="275"/>
      <c r="B680" s="277"/>
      <c r="C680" s="277"/>
      <c r="D680" s="277"/>
      <c r="E680" s="117"/>
      <c r="F680" s="117"/>
      <c r="G680" s="117"/>
      <c r="H680" s="117"/>
      <c r="I680" s="117"/>
      <c r="J680" s="117"/>
      <c r="K680" s="117"/>
      <c r="L680" s="117"/>
      <c r="M680" s="117"/>
    </row>
    <row r="681" ht="20.25" customHeight="1">
      <c r="A681" s="273"/>
      <c r="B681" s="274"/>
      <c r="C681" s="274"/>
      <c r="D681" s="274"/>
      <c r="E681" s="127"/>
      <c r="F681" s="127"/>
      <c r="G681" s="127"/>
      <c r="H681" s="127"/>
      <c r="I681" s="127"/>
      <c r="J681" s="127"/>
      <c r="K681" s="127"/>
      <c r="L681" s="127"/>
      <c r="M681" s="127"/>
    </row>
    <row r="682" ht="20.25" customHeight="1">
      <c r="A682" s="275"/>
      <c r="B682" s="277"/>
      <c r="C682" s="277"/>
      <c r="D682" s="277"/>
      <c r="E682" s="117"/>
      <c r="F682" s="117"/>
      <c r="G682" s="117"/>
      <c r="H682" s="117"/>
      <c r="I682" s="117"/>
      <c r="J682" s="117"/>
      <c r="K682" s="117"/>
      <c r="L682" s="117"/>
      <c r="M682" s="117"/>
    </row>
    <row r="683" ht="20.25" customHeight="1">
      <c r="A683" s="273"/>
      <c r="B683" s="274"/>
      <c r="C683" s="274"/>
      <c r="D683" s="274"/>
      <c r="E683" s="127"/>
      <c r="F683" s="127"/>
      <c r="G683" s="127"/>
      <c r="H683" s="127"/>
      <c r="I683" s="127"/>
      <c r="J683" s="127"/>
      <c r="K683" s="127"/>
      <c r="L683" s="127"/>
      <c r="M683" s="127"/>
    </row>
    <row r="684" ht="20.25" customHeight="1">
      <c r="A684" s="275"/>
      <c r="B684" s="277"/>
      <c r="C684" s="277"/>
      <c r="D684" s="277"/>
      <c r="E684" s="117"/>
      <c r="F684" s="117"/>
      <c r="G684" s="117"/>
      <c r="H684" s="117"/>
      <c r="I684" s="117"/>
      <c r="J684" s="117"/>
      <c r="K684" s="117"/>
      <c r="L684" s="117"/>
      <c r="M684" s="117"/>
    </row>
    <row r="685" ht="20.25" customHeight="1">
      <c r="A685" s="273"/>
      <c r="B685" s="274"/>
      <c r="C685" s="274"/>
      <c r="D685" s="274"/>
      <c r="E685" s="127"/>
      <c r="F685" s="127"/>
      <c r="G685" s="127"/>
      <c r="H685" s="127"/>
      <c r="I685" s="127"/>
      <c r="J685" s="127"/>
      <c r="K685" s="127"/>
      <c r="L685" s="127"/>
      <c r="M685" s="127"/>
    </row>
    <row r="686" ht="20.25" customHeight="1">
      <c r="A686" s="275"/>
      <c r="B686" s="277"/>
      <c r="C686" s="277"/>
      <c r="D686" s="277"/>
      <c r="E686" s="117"/>
      <c r="F686" s="117"/>
      <c r="G686" s="117"/>
      <c r="H686" s="117"/>
      <c r="I686" s="117"/>
      <c r="J686" s="117"/>
      <c r="K686" s="117"/>
      <c r="L686" s="117"/>
      <c r="M686" s="117"/>
    </row>
    <row r="687" ht="20.25" customHeight="1">
      <c r="A687" s="273"/>
      <c r="B687" s="274"/>
      <c r="C687" s="274"/>
      <c r="D687" s="274"/>
      <c r="E687" s="127"/>
      <c r="F687" s="127"/>
      <c r="G687" s="127"/>
      <c r="H687" s="127"/>
      <c r="I687" s="127"/>
      <c r="J687" s="127"/>
      <c r="K687" s="127"/>
      <c r="L687" s="127"/>
      <c r="M687" s="127"/>
    </row>
    <row r="688" ht="20.25" customHeight="1">
      <c r="A688" s="275"/>
      <c r="B688" s="277"/>
      <c r="C688" s="277"/>
      <c r="D688" s="277"/>
      <c r="E688" s="117"/>
      <c r="F688" s="117"/>
      <c r="G688" s="117"/>
      <c r="H688" s="117"/>
      <c r="I688" s="117"/>
      <c r="J688" s="117"/>
      <c r="K688" s="117"/>
      <c r="L688" s="117"/>
      <c r="M688" s="117"/>
    </row>
    <row r="689" ht="20.25" customHeight="1">
      <c r="A689" s="273"/>
      <c r="B689" s="274"/>
      <c r="C689" s="274"/>
      <c r="D689" s="274"/>
      <c r="E689" s="127"/>
      <c r="F689" s="127"/>
      <c r="G689" s="127"/>
      <c r="H689" s="127"/>
      <c r="I689" s="127"/>
      <c r="J689" s="127"/>
      <c r="K689" s="127"/>
      <c r="L689" s="127"/>
      <c r="M689" s="127"/>
    </row>
    <row r="690" ht="20.25" customHeight="1">
      <c r="A690" s="275"/>
      <c r="B690" s="277"/>
      <c r="C690" s="277"/>
      <c r="D690" s="277"/>
      <c r="E690" s="117"/>
      <c r="F690" s="117"/>
      <c r="G690" s="117"/>
      <c r="H690" s="117"/>
      <c r="I690" s="117"/>
      <c r="J690" s="117"/>
      <c r="K690" s="117"/>
      <c r="L690" s="117"/>
      <c r="M690" s="117"/>
    </row>
    <row r="691" ht="20.25" customHeight="1">
      <c r="A691" s="273"/>
      <c r="B691" s="274"/>
      <c r="C691" s="274"/>
      <c r="D691" s="274"/>
      <c r="E691" s="127"/>
      <c r="F691" s="127"/>
      <c r="G691" s="127"/>
      <c r="H691" s="127"/>
      <c r="I691" s="127"/>
      <c r="J691" s="127"/>
      <c r="K691" s="127"/>
      <c r="L691" s="127"/>
      <c r="M691" s="127"/>
    </row>
    <row r="692" ht="20.25" customHeight="1">
      <c r="A692" s="275"/>
      <c r="B692" s="277"/>
      <c r="C692" s="277"/>
      <c r="D692" s="277"/>
      <c r="E692" s="117"/>
      <c r="F692" s="117"/>
      <c r="G692" s="117"/>
      <c r="H692" s="117"/>
      <c r="I692" s="117"/>
      <c r="J692" s="117"/>
      <c r="K692" s="117"/>
      <c r="L692" s="117"/>
      <c r="M692" s="117"/>
    </row>
    <row r="693" ht="20.25" customHeight="1">
      <c r="A693" s="273"/>
      <c r="B693" s="274"/>
      <c r="C693" s="274"/>
      <c r="D693" s="274"/>
      <c r="E693" s="127"/>
      <c r="F693" s="127"/>
      <c r="G693" s="127"/>
      <c r="H693" s="127"/>
      <c r="I693" s="127"/>
      <c r="J693" s="127"/>
      <c r="K693" s="127"/>
      <c r="L693" s="127"/>
      <c r="M693" s="127"/>
    </row>
    <row r="694" ht="20.25" customHeight="1">
      <c r="A694" s="275"/>
      <c r="B694" s="277"/>
      <c r="C694" s="277"/>
      <c r="D694" s="277"/>
      <c r="E694" s="117"/>
      <c r="F694" s="117"/>
      <c r="G694" s="117"/>
      <c r="H694" s="117"/>
      <c r="I694" s="117"/>
      <c r="J694" s="117"/>
      <c r="K694" s="117"/>
      <c r="L694" s="117"/>
      <c r="M694" s="117"/>
    </row>
    <row r="695" ht="20.25" customHeight="1">
      <c r="A695" s="273"/>
      <c r="B695" s="274"/>
      <c r="C695" s="274"/>
      <c r="D695" s="274"/>
      <c r="E695" s="127"/>
      <c r="F695" s="127"/>
      <c r="G695" s="127"/>
      <c r="H695" s="127"/>
      <c r="I695" s="127"/>
      <c r="J695" s="127"/>
      <c r="K695" s="127"/>
      <c r="L695" s="127"/>
      <c r="M695" s="127"/>
    </row>
    <row r="696" ht="20.25" customHeight="1">
      <c r="A696" s="275"/>
      <c r="B696" s="277"/>
      <c r="C696" s="277"/>
      <c r="D696" s="277"/>
      <c r="E696" s="117"/>
      <c r="F696" s="117"/>
      <c r="G696" s="117"/>
      <c r="H696" s="117"/>
      <c r="I696" s="117"/>
      <c r="J696" s="117"/>
      <c r="K696" s="117"/>
      <c r="L696" s="117"/>
      <c r="M696" s="117"/>
    </row>
    <row r="697" ht="20.25" customHeight="1">
      <c r="A697" s="273"/>
      <c r="B697" s="274"/>
      <c r="C697" s="274"/>
      <c r="D697" s="274"/>
      <c r="E697" s="127"/>
      <c r="F697" s="127"/>
      <c r="G697" s="127"/>
      <c r="H697" s="127"/>
      <c r="I697" s="127"/>
      <c r="J697" s="127"/>
      <c r="K697" s="127"/>
      <c r="L697" s="127"/>
      <c r="M697" s="127"/>
    </row>
    <row r="698" ht="20.25" customHeight="1">
      <c r="A698" s="275"/>
      <c r="B698" s="277"/>
      <c r="C698" s="277"/>
      <c r="D698" s="277"/>
      <c r="E698" s="117"/>
      <c r="F698" s="117"/>
      <c r="G698" s="117"/>
      <c r="H698" s="117"/>
      <c r="I698" s="117"/>
      <c r="J698" s="117"/>
      <c r="K698" s="117"/>
      <c r="L698" s="117"/>
      <c r="M698" s="117"/>
    </row>
    <row r="699" ht="20.25" customHeight="1">
      <c r="A699" s="273"/>
      <c r="B699" s="274"/>
      <c r="C699" s="274"/>
      <c r="D699" s="274"/>
      <c r="E699" s="127"/>
      <c r="F699" s="127"/>
      <c r="G699" s="127"/>
      <c r="H699" s="127"/>
      <c r="I699" s="127"/>
      <c r="J699" s="127"/>
      <c r="K699" s="127"/>
      <c r="L699" s="127"/>
      <c r="M699" s="127"/>
    </row>
    <row r="700" ht="20.25" customHeight="1">
      <c r="A700" s="275"/>
      <c r="B700" s="277"/>
      <c r="C700" s="277"/>
      <c r="D700" s="277"/>
      <c r="E700" s="117"/>
      <c r="F700" s="117"/>
      <c r="G700" s="117"/>
      <c r="H700" s="117"/>
      <c r="I700" s="117"/>
      <c r="J700" s="117"/>
      <c r="K700" s="117"/>
      <c r="L700" s="117"/>
      <c r="M700" s="117"/>
    </row>
    <row r="701" ht="20.25" customHeight="1">
      <c r="A701" s="273"/>
      <c r="B701" s="274"/>
      <c r="C701" s="274"/>
      <c r="D701" s="274"/>
      <c r="E701" s="127"/>
      <c r="F701" s="127"/>
      <c r="G701" s="127"/>
      <c r="H701" s="127"/>
      <c r="I701" s="127"/>
      <c r="J701" s="127"/>
      <c r="K701" s="127"/>
      <c r="L701" s="127"/>
      <c r="M701" s="127"/>
    </row>
    <row r="702" ht="20.25" customHeight="1">
      <c r="A702" s="275"/>
      <c r="B702" s="277"/>
      <c r="C702" s="277"/>
      <c r="D702" s="277"/>
      <c r="E702" s="117"/>
      <c r="F702" s="117"/>
      <c r="G702" s="117"/>
      <c r="H702" s="117"/>
      <c r="I702" s="117"/>
      <c r="J702" s="117"/>
      <c r="K702" s="117"/>
      <c r="L702" s="117"/>
      <c r="M702" s="117"/>
    </row>
    <row r="703" ht="20.25" customHeight="1">
      <c r="A703" s="273"/>
      <c r="B703" s="274"/>
      <c r="C703" s="274"/>
      <c r="D703" s="274"/>
      <c r="E703" s="127"/>
      <c r="F703" s="127"/>
      <c r="G703" s="127"/>
      <c r="H703" s="127"/>
      <c r="I703" s="127"/>
      <c r="J703" s="127"/>
      <c r="K703" s="127"/>
      <c r="L703" s="127"/>
      <c r="M703" s="127"/>
    </row>
    <row r="704" ht="20.25" customHeight="1">
      <c r="A704" s="275"/>
      <c r="B704" s="277"/>
      <c r="C704" s="277"/>
      <c r="D704" s="277"/>
      <c r="E704" s="117"/>
      <c r="F704" s="117"/>
      <c r="G704" s="117"/>
      <c r="H704" s="117"/>
      <c r="I704" s="117"/>
      <c r="J704" s="117"/>
      <c r="K704" s="117"/>
      <c r="L704" s="117"/>
      <c r="M704" s="117"/>
    </row>
    <row r="705" ht="20.25" customHeight="1">
      <c r="A705" s="273"/>
      <c r="B705" s="274"/>
      <c r="C705" s="274"/>
      <c r="D705" s="274"/>
      <c r="E705" s="127"/>
      <c r="F705" s="127"/>
      <c r="G705" s="127"/>
      <c r="H705" s="127"/>
      <c r="I705" s="127"/>
      <c r="J705" s="127"/>
      <c r="K705" s="127"/>
      <c r="L705" s="127"/>
      <c r="M705" s="127"/>
    </row>
    <row r="706" ht="20.25" customHeight="1">
      <c r="A706" s="275"/>
      <c r="B706" s="277"/>
      <c r="C706" s="277"/>
      <c r="D706" s="277"/>
      <c r="E706" s="117"/>
      <c r="F706" s="117"/>
      <c r="G706" s="117"/>
      <c r="H706" s="117"/>
      <c r="I706" s="117"/>
      <c r="J706" s="117"/>
      <c r="K706" s="117"/>
      <c r="L706" s="117"/>
      <c r="M706" s="117"/>
    </row>
    <row r="707" ht="20.25" customHeight="1">
      <c r="A707" s="273"/>
      <c r="B707" s="274"/>
      <c r="C707" s="274"/>
      <c r="D707" s="274"/>
      <c r="E707" s="127"/>
      <c r="F707" s="127"/>
      <c r="G707" s="127"/>
      <c r="H707" s="127"/>
      <c r="I707" s="127"/>
      <c r="J707" s="127"/>
      <c r="K707" s="127"/>
      <c r="L707" s="127"/>
      <c r="M707" s="127"/>
    </row>
    <row r="708" ht="20.25" customHeight="1">
      <c r="A708" s="275"/>
      <c r="B708" s="277"/>
      <c r="C708" s="277"/>
      <c r="D708" s="277"/>
      <c r="E708" s="117"/>
      <c r="F708" s="117"/>
      <c r="G708" s="117"/>
      <c r="H708" s="117"/>
      <c r="I708" s="117"/>
      <c r="J708" s="117"/>
      <c r="K708" s="117"/>
      <c r="L708" s="117"/>
      <c r="M708" s="117"/>
    </row>
    <row r="709" ht="20.25" customHeight="1">
      <c r="A709" s="273"/>
      <c r="B709" s="274"/>
      <c r="C709" s="274"/>
      <c r="D709" s="274"/>
      <c r="E709" s="127"/>
      <c r="F709" s="127"/>
      <c r="G709" s="127"/>
      <c r="H709" s="127"/>
      <c r="I709" s="127"/>
      <c r="J709" s="127"/>
      <c r="K709" s="127"/>
      <c r="L709" s="127"/>
      <c r="M709" s="127"/>
    </row>
    <row r="710" ht="20.25" customHeight="1">
      <c r="A710" s="275"/>
      <c r="B710" s="277"/>
      <c r="C710" s="277"/>
      <c r="D710" s="277"/>
      <c r="E710" s="117"/>
      <c r="F710" s="117"/>
      <c r="G710" s="117"/>
      <c r="H710" s="117"/>
      <c r="I710" s="117"/>
      <c r="J710" s="117"/>
      <c r="K710" s="117"/>
      <c r="L710" s="117"/>
      <c r="M710" s="117"/>
    </row>
    <row r="711" ht="20.25" customHeight="1">
      <c r="A711" s="273"/>
      <c r="B711" s="274"/>
      <c r="C711" s="274"/>
      <c r="D711" s="274"/>
      <c r="E711" s="127"/>
      <c r="F711" s="127"/>
      <c r="G711" s="127"/>
      <c r="H711" s="127"/>
      <c r="I711" s="127"/>
      <c r="J711" s="127"/>
      <c r="K711" s="127"/>
      <c r="L711" s="127"/>
      <c r="M711" s="127"/>
    </row>
    <row r="712" ht="20.25" customHeight="1">
      <c r="A712" s="275"/>
      <c r="B712" s="277"/>
      <c r="C712" s="277"/>
      <c r="D712" s="277"/>
      <c r="E712" s="117"/>
      <c r="F712" s="117"/>
      <c r="G712" s="117"/>
      <c r="H712" s="117"/>
      <c r="I712" s="117"/>
      <c r="J712" s="117"/>
      <c r="K712" s="117"/>
      <c r="L712" s="117"/>
      <c r="M712" s="117"/>
    </row>
    <row r="713" ht="20.25" customHeight="1">
      <c r="A713" s="273"/>
      <c r="B713" s="274"/>
      <c r="C713" s="274"/>
      <c r="D713" s="274"/>
      <c r="E713" s="127"/>
      <c r="F713" s="127"/>
      <c r="G713" s="127"/>
      <c r="H713" s="127"/>
      <c r="I713" s="127"/>
      <c r="J713" s="127"/>
      <c r="K713" s="127"/>
      <c r="L713" s="127"/>
      <c r="M713" s="127"/>
    </row>
    <row r="714" ht="20.25" customHeight="1">
      <c r="A714" s="275"/>
      <c r="B714" s="277"/>
      <c r="C714" s="277"/>
      <c r="D714" s="277"/>
      <c r="E714" s="117"/>
      <c r="F714" s="117"/>
      <c r="G714" s="117"/>
      <c r="H714" s="117"/>
      <c r="I714" s="117"/>
      <c r="J714" s="117"/>
      <c r="K714" s="117"/>
      <c r="L714" s="117"/>
      <c r="M714" s="117"/>
    </row>
    <row r="715" ht="20.25" customHeight="1">
      <c r="A715" s="273"/>
      <c r="B715" s="274"/>
      <c r="C715" s="274"/>
      <c r="D715" s="274"/>
      <c r="E715" s="127"/>
      <c r="F715" s="127"/>
      <c r="G715" s="127"/>
      <c r="H715" s="127"/>
      <c r="I715" s="127"/>
      <c r="J715" s="127"/>
      <c r="K715" s="127"/>
      <c r="L715" s="127"/>
      <c r="M715" s="127"/>
    </row>
    <row r="716" ht="20.25" customHeight="1">
      <c r="A716" s="275"/>
      <c r="B716" s="277"/>
      <c r="C716" s="277"/>
      <c r="D716" s="277"/>
      <c r="E716" s="117"/>
      <c r="F716" s="117"/>
      <c r="G716" s="117"/>
      <c r="H716" s="117"/>
      <c r="I716" s="117"/>
      <c r="J716" s="117"/>
      <c r="K716" s="117"/>
      <c r="L716" s="117"/>
      <c r="M716" s="117"/>
    </row>
    <row r="717" ht="20.25" customHeight="1">
      <c r="A717" s="273"/>
      <c r="B717" s="274"/>
      <c r="C717" s="274"/>
      <c r="D717" s="274"/>
      <c r="E717" s="127"/>
      <c r="F717" s="127"/>
      <c r="G717" s="127"/>
      <c r="H717" s="127"/>
      <c r="I717" s="127"/>
      <c r="J717" s="127"/>
      <c r="K717" s="127"/>
      <c r="L717" s="127"/>
      <c r="M717" s="127"/>
    </row>
    <row r="718" ht="20.25" customHeight="1">
      <c r="A718" s="275"/>
      <c r="B718" s="277"/>
      <c r="C718" s="277"/>
      <c r="D718" s="277"/>
      <c r="E718" s="117"/>
      <c r="F718" s="117"/>
      <c r="G718" s="117"/>
      <c r="H718" s="117"/>
      <c r="I718" s="117"/>
      <c r="J718" s="117"/>
      <c r="K718" s="117"/>
      <c r="L718" s="117"/>
      <c r="M718" s="117"/>
    </row>
    <row r="719" ht="20.25" customHeight="1">
      <c r="A719" s="273"/>
      <c r="B719" s="274"/>
      <c r="C719" s="274"/>
      <c r="D719" s="274"/>
      <c r="E719" s="127"/>
      <c r="F719" s="127"/>
      <c r="G719" s="127"/>
      <c r="H719" s="127"/>
      <c r="I719" s="127"/>
      <c r="J719" s="127"/>
      <c r="K719" s="127"/>
      <c r="L719" s="127"/>
      <c r="M719" s="127"/>
    </row>
    <row r="720" ht="20.25" customHeight="1">
      <c r="A720" s="275"/>
      <c r="B720" s="277"/>
      <c r="C720" s="277"/>
      <c r="D720" s="277"/>
      <c r="E720" s="117"/>
      <c r="F720" s="117"/>
      <c r="G720" s="117"/>
      <c r="H720" s="117"/>
      <c r="I720" s="117"/>
      <c r="J720" s="117"/>
      <c r="K720" s="117"/>
      <c r="L720" s="117"/>
      <c r="M720" s="117"/>
    </row>
    <row r="721" ht="20.25" customHeight="1">
      <c r="A721" s="273"/>
      <c r="B721" s="274"/>
      <c r="C721" s="274"/>
      <c r="D721" s="274"/>
      <c r="E721" s="127"/>
      <c r="F721" s="127"/>
      <c r="G721" s="127"/>
      <c r="H721" s="127"/>
      <c r="I721" s="127"/>
      <c r="J721" s="127"/>
      <c r="K721" s="127"/>
      <c r="L721" s="127"/>
      <c r="M721" s="127"/>
    </row>
    <row r="722" ht="20.25" customHeight="1">
      <c r="A722" s="275"/>
      <c r="B722" s="277"/>
      <c r="C722" s="277"/>
      <c r="D722" s="277"/>
      <c r="E722" s="117"/>
      <c r="F722" s="117"/>
      <c r="G722" s="117"/>
      <c r="H722" s="117"/>
      <c r="I722" s="117"/>
      <c r="J722" s="117"/>
      <c r="K722" s="117"/>
      <c r="L722" s="117"/>
      <c r="M722" s="117"/>
    </row>
    <row r="723" ht="20.25" customHeight="1">
      <c r="A723" s="273"/>
      <c r="B723" s="274"/>
      <c r="C723" s="274"/>
      <c r="D723" s="274"/>
      <c r="E723" s="127"/>
      <c r="F723" s="127"/>
      <c r="G723" s="127"/>
      <c r="H723" s="127"/>
      <c r="I723" s="127"/>
      <c r="J723" s="127"/>
      <c r="K723" s="127"/>
      <c r="L723" s="127"/>
      <c r="M723" s="127"/>
    </row>
    <row r="724" ht="20.25" customHeight="1">
      <c r="A724" s="275"/>
      <c r="B724" s="277"/>
      <c r="C724" s="277"/>
      <c r="D724" s="277"/>
      <c r="E724" s="117"/>
      <c r="F724" s="117"/>
      <c r="G724" s="117"/>
      <c r="H724" s="117"/>
      <c r="I724" s="117"/>
      <c r="J724" s="117"/>
      <c r="K724" s="117"/>
      <c r="L724" s="117"/>
      <c r="M724" s="117"/>
    </row>
    <row r="725" ht="20.25" customHeight="1">
      <c r="A725" s="273"/>
      <c r="B725" s="274"/>
      <c r="C725" s="274"/>
      <c r="D725" s="274"/>
      <c r="E725" s="127"/>
      <c r="F725" s="127"/>
      <c r="G725" s="127"/>
      <c r="H725" s="127"/>
      <c r="I725" s="127"/>
      <c r="J725" s="127"/>
      <c r="K725" s="127"/>
      <c r="L725" s="127"/>
      <c r="M725" s="127"/>
    </row>
    <row r="726" ht="20.25" customHeight="1">
      <c r="A726" s="275"/>
      <c r="B726" s="277"/>
      <c r="C726" s="277"/>
      <c r="D726" s="277"/>
      <c r="E726" s="117"/>
      <c r="F726" s="117"/>
      <c r="G726" s="117"/>
      <c r="H726" s="117"/>
      <c r="I726" s="117"/>
      <c r="J726" s="117"/>
      <c r="K726" s="117"/>
      <c r="L726" s="117"/>
      <c r="M726" s="117"/>
    </row>
    <row r="727" ht="20.25" customHeight="1">
      <c r="A727" s="273"/>
      <c r="B727" s="274"/>
      <c r="C727" s="274"/>
      <c r="D727" s="274"/>
      <c r="E727" s="127"/>
      <c r="F727" s="127"/>
      <c r="G727" s="127"/>
      <c r="H727" s="127"/>
      <c r="I727" s="127"/>
      <c r="J727" s="127"/>
      <c r="K727" s="127"/>
      <c r="L727" s="127"/>
      <c r="M727" s="127"/>
    </row>
    <row r="728" ht="20.25" customHeight="1">
      <c r="A728" s="275"/>
      <c r="B728" s="277"/>
      <c r="C728" s="277"/>
      <c r="D728" s="277"/>
      <c r="E728" s="117"/>
      <c r="F728" s="117"/>
      <c r="G728" s="117"/>
      <c r="H728" s="117"/>
      <c r="I728" s="117"/>
      <c r="J728" s="117"/>
      <c r="K728" s="117"/>
      <c r="L728" s="117"/>
      <c r="M728" s="117"/>
    </row>
    <row r="729" ht="20.25" customHeight="1">
      <c r="A729" s="273"/>
      <c r="B729" s="274"/>
      <c r="C729" s="274"/>
      <c r="D729" s="274"/>
      <c r="E729" s="127"/>
      <c r="F729" s="127"/>
      <c r="G729" s="127"/>
      <c r="H729" s="127"/>
      <c r="I729" s="127"/>
      <c r="J729" s="127"/>
      <c r="K729" s="127"/>
      <c r="L729" s="127"/>
      <c r="M729" s="127"/>
    </row>
    <row r="730" ht="20.25" customHeight="1">
      <c r="A730" s="275"/>
      <c r="B730" s="277"/>
      <c r="C730" s="277"/>
      <c r="D730" s="277"/>
      <c r="E730" s="117"/>
      <c r="F730" s="117"/>
      <c r="G730" s="117"/>
      <c r="H730" s="117"/>
      <c r="I730" s="117"/>
      <c r="J730" s="117"/>
      <c r="K730" s="117"/>
      <c r="L730" s="117"/>
      <c r="M730" s="117"/>
    </row>
    <row r="731" ht="20.25" customHeight="1">
      <c r="A731" s="273"/>
      <c r="B731" s="274"/>
      <c r="C731" s="274"/>
      <c r="D731" s="274"/>
      <c r="E731" s="127"/>
      <c r="F731" s="127"/>
      <c r="G731" s="127"/>
      <c r="H731" s="127"/>
      <c r="I731" s="127"/>
      <c r="J731" s="127"/>
      <c r="K731" s="127"/>
      <c r="L731" s="127"/>
      <c r="M731" s="127"/>
    </row>
    <row r="732" ht="20.25" customHeight="1">
      <c r="A732" s="275"/>
      <c r="B732" s="277"/>
      <c r="C732" s="277"/>
      <c r="D732" s="277"/>
      <c r="E732" s="117"/>
      <c r="F732" s="117"/>
      <c r="G732" s="117"/>
      <c r="H732" s="117"/>
      <c r="I732" s="117"/>
      <c r="J732" s="117"/>
      <c r="K732" s="117"/>
      <c r="L732" s="117"/>
      <c r="M732" s="117"/>
    </row>
    <row r="733" ht="20.25" customHeight="1">
      <c r="A733" s="273"/>
      <c r="B733" s="274"/>
      <c r="C733" s="274"/>
      <c r="D733" s="274"/>
      <c r="E733" s="127"/>
      <c r="F733" s="127"/>
      <c r="G733" s="127"/>
      <c r="H733" s="127"/>
      <c r="I733" s="127"/>
      <c r="J733" s="127"/>
      <c r="K733" s="127"/>
      <c r="L733" s="127"/>
      <c r="M733" s="127"/>
    </row>
    <row r="734" ht="20.25" customHeight="1">
      <c r="A734" s="275"/>
      <c r="B734" s="277"/>
      <c r="C734" s="277"/>
      <c r="D734" s="277"/>
      <c r="E734" s="117"/>
      <c r="F734" s="117"/>
      <c r="G734" s="117"/>
      <c r="H734" s="117"/>
      <c r="I734" s="117"/>
      <c r="J734" s="117"/>
      <c r="K734" s="117"/>
      <c r="L734" s="117"/>
      <c r="M734" s="117"/>
    </row>
    <row r="735" ht="20.25" customHeight="1">
      <c r="A735" s="273"/>
      <c r="B735" s="274"/>
      <c r="C735" s="274"/>
      <c r="D735" s="274"/>
      <c r="E735" s="127"/>
      <c r="F735" s="127"/>
      <c r="G735" s="127"/>
      <c r="H735" s="127"/>
      <c r="I735" s="127"/>
      <c r="J735" s="127"/>
      <c r="K735" s="127"/>
      <c r="L735" s="127"/>
      <c r="M735" s="127"/>
    </row>
    <row r="736" ht="20.25" customHeight="1">
      <c r="A736" s="275"/>
      <c r="B736" s="277"/>
      <c r="C736" s="277"/>
      <c r="D736" s="277"/>
      <c r="E736" s="117"/>
      <c r="F736" s="117"/>
      <c r="G736" s="117"/>
      <c r="H736" s="117"/>
      <c r="I736" s="117"/>
      <c r="J736" s="117"/>
      <c r="K736" s="117"/>
      <c r="L736" s="117"/>
      <c r="M736" s="117"/>
    </row>
    <row r="737" ht="20.25" customHeight="1">
      <c r="A737" s="273"/>
      <c r="B737" s="274"/>
      <c r="C737" s="274"/>
      <c r="D737" s="274"/>
      <c r="E737" s="127"/>
      <c r="F737" s="127"/>
      <c r="G737" s="127"/>
      <c r="H737" s="127"/>
      <c r="I737" s="127"/>
      <c r="J737" s="127"/>
      <c r="K737" s="127"/>
      <c r="L737" s="127"/>
      <c r="M737" s="127"/>
    </row>
    <row r="738" ht="20.25" customHeight="1">
      <c r="A738" s="275"/>
      <c r="B738" s="277"/>
      <c r="C738" s="277"/>
      <c r="D738" s="277"/>
      <c r="E738" s="117"/>
      <c r="F738" s="117"/>
      <c r="G738" s="117"/>
      <c r="H738" s="117"/>
      <c r="I738" s="117"/>
      <c r="J738" s="117"/>
      <c r="K738" s="117"/>
      <c r="L738" s="117"/>
      <c r="M738" s="117"/>
    </row>
    <row r="739" ht="20.25" customHeight="1">
      <c r="A739" s="273"/>
      <c r="B739" s="274"/>
      <c r="C739" s="274"/>
      <c r="D739" s="274"/>
      <c r="E739" s="127"/>
      <c r="F739" s="127"/>
      <c r="G739" s="127"/>
      <c r="H739" s="127"/>
      <c r="I739" s="127"/>
      <c r="J739" s="127"/>
      <c r="K739" s="127"/>
      <c r="L739" s="127"/>
      <c r="M739" s="127"/>
    </row>
    <row r="740" ht="20.25" customHeight="1">
      <c r="A740" s="275"/>
      <c r="B740" s="277"/>
      <c r="C740" s="277"/>
      <c r="D740" s="277"/>
      <c r="E740" s="117"/>
      <c r="F740" s="117"/>
      <c r="G740" s="117"/>
      <c r="H740" s="117"/>
      <c r="I740" s="117"/>
      <c r="J740" s="117"/>
      <c r="K740" s="117"/>
      <c r="L740" s="117"/>
      <c r="M740" s="117"/>
    </row>
    <row r="741" ht="20.25" customHeight="1">
      <c r="A741" s="273"/>
      <c r="B741" s="274"/>
      <c r="C741" s="274"/>
      <c r="D741" s="274"/>
      <c r="E741" s="127"/>
      <c r="F741" s="127"/>
      <c r="G741" s="127"/>
      <c r="H741" s="127"/>
      <c r="I741" s="127"/>
      <c r="J741" s="127"/>
      <c r="K741" s="127"/>
      <c r="L741" s="127"/>
      <c r="M741" s="127"/>
    </row>
    <row r="742" ht="20.25" customHeight="1">
      <c r="A742" s="275"/>
      <c r="B742" s="277"/>
      <c r="C742" s="277"/>
      <c r="D742" s="277"/>
      <c r="E742" s="117"/>
      <c r="F742" s="117"/>
      <c r="G742" s="117"/>
      <c r="H742" s="117"/>
      <c r="I742" s="117"/>
      <c r="J742" s="117"/>
      <c r="K742" s="117"/>
      <c r="L742" s="117"/>
      <c r="M742" s="117"/>
    </row>
    <row r="743" ht="20.25" customHeight="1">
      <c r="A743" s="273"/>
      <c r="B743" s="274"/>
      <c r="C743" s="274"/>
      <c r="D743" s="274"/>
      <c r="E743" s="127"/>
      <c r="F743" s="127"/>
      <c r="G743" s="127"/>
      <c r="H743" s="127"/>
      <c r="I743" s="127"/>
      <c r="J743" s="127"/>
      <c r="K743" s="127"/>
      <c r="L743" s="127"/>
      <c r="M743" s="127"/>
    </row>
    <row r="744" ht="20.25" customHeight="1">
      <c r="A744" s="275"/>
      <c r="B744" s="277"/>
      <c r="C744" s="277"/>
      <c r="D744" s="277"/>
      <c r="E744" s="117"/>
      <c r="F744" s="117"/>
      <c r="G744" s="117"/>
      <c r="H744" s="117"/>
      <c r="I744" s="117"/>
      <c r="J744" s="117"/>
      <c r="K744" s="117"/>
      <c r="L744" s="117"/>
      <c r="M744" s="117"/>
    </row>
    <row r="745" ht="20.25" customHeight="1">
      <c r="A745" s="273"/>
      <c r="B745" s="274"/>
      <c r="C745" s="274"/>
      <c r="D745" s="274"/>
      <c r="E745" s="127"/>
      <c r="F745" s="127"/>
      <c r="G745" s="127"/>
      <c r="H745" s="127"/>
      <c r="I745" s="127"/>
      <c r="J745" s="127"/>
      <c r="K745" s="127"/>
      <c r="L745" s="127"/>
      <c r="M745" s="127"/>
    </row>
    <row r="746" ht="20.25" customHeight="1">
      <c r="A746" s="275"/>
      <c r="B746" s="277"/>
      <c r="C746" s="277"/>
      <c r="D746" s="277"/>
      <c r="E746" s="117"/>
      <c r="F746" s="117"/>
      <c r="G746" s="117"/>
      <c r="H746" s="117"/>
      <c r="I746" s="117"/>
      <c r="J746" s="117"/>
      <c r="K746" s="117"/>
      <c r="L746" s="117"/>
      <c r="M746" s="117"/>
    </row>
    <row r="747" ht="20.25" customHeight="1">
      <c r="A747" s="273"/>
      <c r="B747" s="274"/>
      <c r="C747" s="274"/>
      <c r="D747" s="274"/>
      <c r="E747" s="127"/>
      <c r="F747" s="127"/>
      <c r="G747" s="127"/>
      <c r="H747" s="127"/>
      <c r="I747" s="127"/>
      <c r="J747" s="127"/>
      <c r="K747" s="127"/>
      <c r="L747" s="127"/>
      <c r="M747" s="127"/>
    </row>
    <row r="748" ht="20.25" customHeight="1">
      <c r="A748" s="275"/>
      <c r="B748" s="277"/>
      <c r="C748" s="277"/>
      <c r="D748" s="277"/>
      <c r="E748" s="117"/>
      <c r="F748" s="117"/>
      <c r="G748" s="117"/>
      <c r="H748" s="117"/>
      <c r="I748" s="117"/>
      <c r="J748" s="117"/>
      <c r="K748" s="117"/>
      <c r="L748" s="117"/>
      <c r="M748" s="117"/>
    </row>
    <row r="749" ht="20.25" customHeight="1">
      <c r="A749" s="273"/>
      <c r="B749" s="274"/>
      <c r="C749" s="274"/>
      <c r="D749" s="274"/>
      <c r="E749" s="127"/>
      <c r="F749" s="127"/>
      <c r="G749" s="127"/>
      <c r="H749" s="127"/>
      <c r="I749" s="127"/>
      <c r="J749" s="127"/>
      <c r="K749" s="127"/>
      <c r="L749" s="127"/>
      <c r="M749" s="127"/>
    </row>
    <row r="750" ht="20.25" customHeight="1">
      <c r="A750" s="275"/>
      <c r="B750" s="277"/>
      <c r="C750" s="277"/>
      <c r="D750" s="277"/>
      <c r="E750" s="117"/>
      <c r="F750" s="117"/>
      <c r="G750" s="117"/>
      <c r="H750" s="117"/>
      <c r="I750" s="117"/>
      <c r="J750" s="117"/>
      <c r="K750" s="117"/>
      <c r="L750" s="117"/>
      <c r="M750" s="117"/>
    </row>
    <row r="751" ht="20.25" customHeight="1">
      <c r="A751" s="273"/>
      <c r="B751" s="274"/>
      <c r="C751" s="274"/>
      <c r="D751" s="274"/>
      <c r="E751" s="127"/>
      <c r="F751" s="127"/>
      <c r="G751" s="127"/>
      <c r="H751" s="127"/>
      <c r="I751" s="127"/>
      <c r="J751" s="127"/>
      <c r="K751" s="127"/>
      <c r="L751" s="127"/>
      <c r="M751" s="127"/>
    </row>
    <row r="752" ht="20.25" customHeight="1">
      <c r="A752" s="275"/>
      <c r="B752" s="277"/>
      <c r="C752" s="277"/>
      <c r="D752" s="277"/>
      <c r="E752" s="117"/>
      <c r="F752" s="117"/>
      <c r="G752" s="117"/>
      <c r="H752" s="117"/>
      <c r="I752" s="117"/>
      <c r="J752" s="117"/>
      <c r="K752" s="117"/>
      <c r="L752" s="117"/>
      <c r="M752" s="117"/>
    </row>
    <row r="753" ht="20.25" customHeight="1">
      <c r="A753" s="273"/>
      <c r="B753" s="274"/>
      <c r="C753" s="274"/>
      <c r="D753" s="274"/>
      <c r="E753" s="127"/>
      <c r="F753" s="127"/>
      <c r="G753" s="127"/>
      <c r="H753" s="127"/>
      <c r="I753" s="127"/>
      <c r="J753" s="127"/>
      <c r="K753" s="127"/>
      <c r="L753" s="127"/>
      <c r="M753" s="127"/>
    </row>
    <row r="754" ht="20.25" customHeight="1">
      <c r="A754" s="275"/>
      <c r="B754" s="277"/>
      <c r="C754" s="277"/>
      <c r="D754" s="277"/>
      <c r="E754" s="117"/>
      <c r="F754" s="117"/>
      <c r="G754" s="117"/>
      <c r="H754" s="117"/>
      <c r="I754" s="117"/>
      <c r="J754" s="117"/>
      <c r="K754" s="117"/>
      <c r="L754" s="117"/>
      <c r="M754" s="117"/>
    </row>
    <row r="755" ht="20.25" customHeight="1">
      <c r="A755" s="273"/>
      <c r="B755" s="274"/>
      <c r="C755" s="274"/>
      <c r="D755" s="274"/>
      <c r="E755" s="127"/>
      <c r="F755" s="127"/>
      <c r="G755" s="127"/>
      <c r="H755" s="127"/>
      <c r="I755" s="127"/>
      <c r="J755" s="127"/>
      <c r="K755" s="127"/>
      <c r="L755" s="127"/>
      <c r="M755" s="127"/>
    </row>
    <row r="756" ht="20.25" customHeight="1">
      <c r="A756" s="275"/>
      <c r="B756" s="277"/>
      <c r="C756" s="277"/>
      <c r="D756" s="277"/>
      <c r="E756" s="117"/>
      <c r="F756" s="117"/>
      <c r="G756" s="117"/>
      <c r="H756" s="117"/>
      <c r="I756" s="117"/>
      <c r="J756" s="117"/>
      <c r="K756" s="117"/>
      <c r="L756" s="117"/>
      <c r="M756" s="117"/>
    </row>
    <row r="757" ht="20.25" customHeight="1">
      <c r="A757" s="273"/>
      <c r="B757" s="274"/>
      <c r="C757" s="274"/>
      <c r="D757" s="274"/>
      <c r="E757" s="127"/>
      <c r="F757" s="127"/>
      <c r="G757" s="127"/>
      <c r="H757" s="127"/>
      <c r="I757" s="127"/>
      <c r="J757" s="127"/>
      <c r="K757" s="127"/>
      <c r="L757" s="127"/>
      <c r="M757" s="127"/>
    </row>
    <row r="758" ht="20.25" customHeight="1">
      <c r="A758" s="275"/>
      <c r="B758" s="277"/>
      <c r="C758" s="277"/>
      <c r="D758" s="277"/>
      <c r="E758" s="117"/>
      <c r="F758" s="117"/>
      <c r="G758" s="117"/>
      <c r="H758" s="117"/>
      <c r="I758" s="117"/>
      <c r="J758" s="117"/>
      <c r="K758" s="117"/>
      <c r="L758" s="117"/>
      <c r="M758" s="117"/>
    </row>
    <row r="759" ht="20.25" customHeight="1">
      <c r="A759" s="273"/>
      <c r="B759" s="274"/>
      <c r="C759" s="274"/>
      <c r="D759" s="274"/>
      <c r="E759" s="127"/>
      <c r="F759" s="127"/>
      <c r="G759" s="127"/>
      <c r="H759" s="127"/>
      <c r="I759" s="127"/>
      <c r="J759" s="127"/>
      <c r="K759" s="127"/>
      <c r="L759" s="127"/>
      <c r="M759" s="127"/>
    </row>
    <row r="760" ht="20.25" customHeight="1">
      <c r="A760" s="275"/>
      <c r="B760" s="277"/>
      <c r="C760" s="277"/>
      <c r="D760" s="277"/>
      <c r="E760" s="117"/>
      <c r="F760" s="117"/>
      <c r="G760" s="117"/>
      <c r="H760" s="117"/>
      <c r="I760" s="117"/>
      <c r="J760" s="117"/>
      <c r="K760" s="117"/>
      <c r="L760" s="117"/>
      <c r="M760" s="117"/>
    </row>
    <row r="761" ht="20.25" customHeight="1">
      <c r="A761" s="273"/>
      <c r="B761" s="274"/>
      <c r="C761" s="274"/>
      <c r="D761" s="274"/>
      <c r="E761" s="127"/>
      <c r="F761" s="127"/>
      <c r="G761" s="127"/>
      <c r="H761" s="127"/>
      <c r="I761" s="127"/>
      <c r="J761" s="127"/>
      <c r="K761" s="127"/>
      <c r="L761" s="127"/>
      <c r="M761" s="127"/>
    </row>
    <row r="762" ht="20.25" customHeight="1">
      <c r="A762" s="275"/>
      <c r="B762" s="277"/>
      <c r="C762" s="277"/>
      <c r="D762" s="277"/>
      <c r="E762" s="117"/>
      <c r="F762" s="117"/>
      <c r="G762" s="117"/>
      <c r="H762" s="117"/>
      <c r="I762" s="117"/>
      <c r="J762" s="117"/>
      <c r="K762" s="117"/>
      <c r="L762" s="117"/>
      <c r="M762" s="117"/>
    </row>
    <row r="763" ht="20.25" customHeight="1">
      <c r="A763" s="273"/>
      <c r="B763" s="274"/>
      <c r="C763" s="274"/>
      <c r="D763" s="274"/>
      <c r="E763" s="127"/>
      <c r="F763" s="127"/>
      <c r="G763" s="127"/>
      <c r="H763" s="127"/>
      <c r="I763" s="127"/>
      <c r="J763" s="127"/>
      <c r="K763" s="127"/>
      <c r="L763" s="127"/>
      <c r="M763" s="127"/>
    </row>
    <row r="764" ht="20.25" customHeight="1">
      <c r="A764" s="275"/>
      <c r="B764" s="277"/>
      <c r="C764" s="277"/>
      <c r="D764" s="277"/>
      <c r="E764" s="117"/>
      <c r="F764" s="117"/>
      <c r="G764" s="117"/>
      <c r="H764" s="117"/>
      <c r="I764" s="117"/>
      <c r="J764" s="117"/>
      <c r="K764" s="117"/>
      <c r="L764" s="117"/>
      <c r="M764" s="117"/>
    </row>
    <row r="765" ht="20.25" customHeight="1">
      <c r="A765" s="273"/>
      <c r="B765" s="274"/>
      <c r="C765" s="274"/>
      <c r="D765" s="274"/>
      <c r="E765" s="127"/>
      <c r="F765" s="127"/>
      <c r="G765" s="127"/>
      <c r="H765" s="127"/>
      <c r="I765" s="127"/>
      <c r="J765" s="127"/>
      <c r="K765" s="127"/>
      <c r="L765" s="127"/>
      <c r="M765" s="127"/>
    </row>
    <row r="766" ht="20.25" customHeight="1">
      <c r="A766" s="275"/>
      <c r="B766" s="277"/>
      <c r="C766" s="277"/>
      <c r="D766" s="277"/>
      <c r="E766" s="117"/>
      <c r="F766" s="117"/>
      <c r="G766" s="117"/>
      <c r="H766" s="117"/>
      <c r="I766" s="117"/>
      <c r="J766" s="117"/>
      <c r="K766" s="117"/>
      <c r="L766" s="117"/>
      <c r="M766" s="117"/>
    </row>
    <row r="767" ht="20.25" customHeight="1">
      <c r="A767" s="273"/>
      <c r="B767" s="274"/>
      <c r="C767" s="274"/>
      <c r="D767" s="274"/>
      <c r="E767" s="127"/>
      <c r="F767" s="127"/>
      <c r="G767" s="127"/>
      <c r="H767" s="127"/>
      <c r="I767" s="127"/>
      <c r="J767" s="127"/>
      <c r="K767" s="127"/>
      <c r="L767" s="127"/>
      <c r="M767" s="127"/>
    </row>
    <row r="768" ht="20.25" customHeight="1">
      <c r="A768" s="275"/>
      <c r="B768" s="277"/>
      <c r="C768" s="277"/>
      <c r="D768" s="277"/>
      <c r="E768" s="117"/>
      <c r="F768" s="117"/>
      <c r="G768" s="117"/>
      <c r="H768" s="117"/>
      <c r="I768" s="117"/>
      <c r="J768" s="117"/>
      <c r="K768" s="117"/>
      <c r="L768" s="117"/>
      <c r="M768" s="117"/>
    </row>
    <row r="769" ht="20.25" customHeight="1">
      <c r="A769" s="273"/>
      <c r="B769" s="274"/>
      <c r="C769" s="274"/>
      <c r="D769" s="274"/>
      <c r="E769" s="127"/>
      <c r="F769" s="127"/>
      <c r="G769" s="127"/>
      <c r="H769" s="127"/>
      <c r="I769" s="127"/>
      <c r="J769" s="127"/>
      <c r="K769" s="127"/>
      <c r="L769" s="127"/>
      <c r="M769" s="127"/>
    </row>
    <row r="770" ht="20.25" customHeight="1">
      <c r="A770" s="275"/>
      <c r="B770" s="277"/>
      <c r="C770" s="277"/>
      <c r="D770" s="277"/>
      <c r="E770" s="117"/>
      <c r="F770" s="117"/>
      <c r="G770" s="117"/>
      <c r="H770" s="117"/>
      <c r="I770" s="117"/>
      <c r="J770" s="117"/>
      <c r="K770" s="117"/>
      <c r="L770" s="117"/>
      <c r="M770" s="117"/>
    </row>
    <row r="771" ht="20.25" customHeight="1">
      <c r="A771" s="273"/>
      <c r="B771" s="274"/>
      <c r="C771" s="274"/>
      <c r="D771" s="274"/>
      <c r="E771" s="127"/>
      <c r="F771" s="127"/>
      <c r="G771" s="127"/>
      <c r="H771" s="127"/>
      <c r="I771" s="127"/>
      <c r="J771" s="127"/>
      <c r="K771" s="127"/>
      <c r="L771" s="127"/>
      <c r="M771" s="127"/>
    </row>
    <row r="772" ht="20.25" customHeight="1">
      <c r="A772" s="275"/>
      <c r="B772" s="277"/>
      <c r="C772" s="277"/>
      <c r="D772" s="277"/>
      <c r="E772" s="117"/>
      <c r="F772" s="117"/>
      <c r="G772" s="117"/>
      <c r="H772" s="117"/>
      <c r="I772" s="117"/>
      <c r="J772" s="117"/>
      <c r="K772" s="117"/>
      <c r="L772" s="117"/>
      <c r="M772" s="117"/>
    </row>
    <row r="773" ht="20.25" customHeight="1">
      <c r="A773" s="273"/>
      <c r="B773" s="274"/>
      <c r="C773" s="274"/>
      <c r="D773" s="274"/>
      <c r="E773" s="127"/>
      <c r="F773" s="127"/>
      <c r="G773" s="127"/>
      <c r="H773" s="127"/>
      <c r="I773" s="127"/>
      <c r="J773" s="127"/>
      <c r="K773" s="127"/>
      <c r="L773" s="127"/>
      <c r="M773" s="127"/>
    </row>
    <row r="774" ht="20.25" customHeight="1">
      <c r="A774" s="275"/>
      <c r="B774" s="277"/>
      <c r="C774" s="277"/>
      <c r="D774" s="277"/>
      <c r="E774" s="117"/>
      <c r="F774" s="117"/>
      <c r="G774" s="117"/>
      <c r="H774" s="117"/>
      <c r="I774" s="117"/>
      <c r="J774" s="117"/>
      <c r="K774" s="117"/>
      <c r="L774" s="117"/>
      <c r="M774" s="117"/>
    </row>
    <row r="775" ht="20.25" customHeight="1">
      <c r="A775" s="273"/>
      <c r="B775" s="274"/>
      <c r="C775" s="274"/>
      <c r="D775" s="274"/>
      <c r="E775" s="127"/>
      <c r="F775" s="127"/>
      <c r="G775" s="127"/>
      <c r="H775" s="127"/>
      <c r="I775" s="127"/>
      <c r="J775" s="127"/>
      <c r="K775" s="127"/>
      <c r="L775" s="127"/>
      <c r="M775" s="127"/>
    </row>
    <row r="776" ht="20.25" customHeight="1">
      <c r="A776" s="275"/>
      <c r="B776" s="277"/>
      <c r="C776" s="277"/>
      <c r="D776" s="277"/>
      <c r="E776" s="117"/>
      <c r="F776" s="117"/>
      <c r="G776" s="117"/>
      <c r="H776" s="117"/>
      <c r="I776" s="117"/>
      <c r="J776" s="117"/>
      <c r="K776" s="117"/>
      <c r="L776" s="117"/>
      <c r="M776" s="117"/>
    </row>
    <row r="777" ht="20.25" customHeight="1">
      <c r="A777" s="273"/>
      <c r="B777" s="274"/>
      <c r="C777" s="274"/>
      <c r="D777" s="274"/>
      <c r="E777" s="127"/>
      <c r="F777" s="127"/>
      <c r="G777" s="127"/>
      <c r="H777" s="127"/>
      <c r="I777" s="127"/>
      <c r="J777" s="127"/>
      <c r="K777" s="127"/>
      <c r="L777" s="127"/>
      <c r="M777" s="127"/>
    </row>
    <row r="778" ht="20.25" customHeight="1">
      <c r="A778" s="275"/>
      <c r="B778" s="277"/>
      <c r="C778" s="277"/>
      <c r="D778" s="277"/>
      <c r="E778" s="117"/>
      <c r="F778" s="117"/>
      <c r="G778" s="117"/>
      <c r="H778" s="117"/>
      <c r="I778" s="117"/>
      <c r="J778" s="117"/>
      <c r="K778" s="117"/>
      <c r="L778" s="117"/>
      <c r="M778" s="117"/>
    </row>
    <row r="779" ht="20.25" customHeight="1">
      <c r="A779" s="273"/>
      <c r="B779" s="274"/>
      <c r="C779" s="274"/>
      <c r="D779" s="274"/>
      <c r="E779" s="127"/>
      <c r="F779" s="127"/>
      <c r="G779" s="127"/>
      <c r="H779" s="127"/>
      <c r="I779" s="127"/>
      <c r="J779" s="127"/>
      <c r="K779" s="127"/>
      <c r="L779" s="127"/>
      <c r="M779" s="127"/>
    </row>
    <row r="780" ht="20.25" customHeight="1">
      <c r="A780" s="275"/>
      <c r="B780" s="277"/>
      <c r="C780" s="277"/>
      <c r="D780" s="277"/>
      <c r="E780" s="117"/>
      <c r="F780" s="117"/>
      <c r="G780" s="117"/>
      <c r="H780" s="117"/>
      <c r="I780" s="117"/>
      <c r="J780" s="117"/>
      <c r="K780" s="117"/>
      <c r="L780" s="117"/>
      <c r="M780" s="117"/>
    </row>
    <row r="781" ht="20.25" customHeight="1">
      <c r="A781" s="273"/>
      <c r="B781" s="274"/>
      <c r="C781" s="274"/>
      <c r="D781" s="274"/>
      <c r="E781" s="127"/>
      <c r="F781" s="127"/>
      <c r="G781" s="127"/>
      <c r="H781" s="127"/>
      <c r="I781" s="127"/>
      <c r="J781" s="127"/>
      <c r="K781" s="127"/>
      <c r="L781" s="127"/>
      <c r="M781" s="127"/>
    </row>
    <row r="782" ht="20.25" customHeight="1">
      <c r="A782" s="275"/>
      <c r="B782" s="277"/>
      <c r="C782" s="277"/>
      <c r="D782" s="277"/>
      <c r="E782" s="117"/>
      <c r="F782" s="117"/>
      <c r="G782" s="117"/>
      <c r="H782" s="117"/>
      <c r="I782" s="117"/>
      <c r="J782" s="117"/>
      <c r="K782" s="117"/>
      <c r="L782" s="117"/>
      <c r="M782" s="117"/>
    </row>
    <row r="783" ht="20.25" customHeight="1">
      <c r="A783" s="273"/>
      <c r="B783" s="274"/>
      <c r="C783" s="274"/>
      <c r="D783" s="274"/>
      <c r="E783" s="127"/>
      <c r="F783" s="127"/>
      <c r="G783" s="127"/>
      <c r="H783" s="127"/>
      <c r="I783" s="127"/>
      <c r="J783" s="127"/>
      <c r="K783" s="127"/>
      <c r="L783" s="127"/>
      <c r="M783" s="127"/>
    </row>
    <row r="784" ht="20.25" customHeight="1">
      <c r="A784" s="275"/>
      <c r="B784" s="277"/>
      <c r="C784" s="277"/>
      <c r="D784" s="277"/>
      <c r="E784" s="117"/>
      <c r="F784" s="117"/>
      <c r="G784" s="117"/>
      <c r="H784" s="117"/>
      <c r="I784" s="117"/>
      <c r="J784" s="117"/>
      <c r="K784" s="117"/>
      <c r="L784" s="117"/>
      <c r="M784" s="117"/>
    </row>
    <row r="785" ht="20.25" customHeight="1">
      <c r="A785" s="273"/>
      <c r="B785" s="274"/>
      <c r="C785" s="274"/>
      <c r="D785" s="274"/>
      <c r="E785" s="127"/>
      <c r="F785" s="127"/>
      <c r="G785" s="127"/>
      <c r="H785" s="127"/>
      <c r="I785" s="127"/>
      <c r="J785" s="127"/>
      <c r="K785" s="127"/>
      <c r="L785" s="127"/>
      <c r="M785" s="127"/>
    </row>
    <row r="786" ht="20.25" customHeight="1">
      <c r="A786" s="275"/>
      <c r="B786" s="277"/>
      <c r="C786" s="277"/>
      <c r="D786" s="277"/>
      <c r="E786" s="117"/>
      <c r="F786" s="117"/>
      <c r="G786" s="117"/>
      <c r="H786" s="117"/>
      <c r="I786" s="117"/>
      <c r="J786" s="117"/>
      <c r="K786" s="117"/>
      <c r="L786" s="117"/>
      <c r="M786" s="117"/>
    </row>
    <row r="787" ht="20.25" customHeight="1">
      <c r="A787" s="273"/>
      <c r="B787" s="274"/>
      <c r="C787" s="274"/>
      <c r="D787" s="274"/>
      <c r="E787" s="127"/>
      <c r="F787" s="127"/>
      <c r="G787" s="127"/>
      <c r="H787" s="127"/>
      <c r="I787" s="127"/>
      <c r="J787" s="127"/>
      <c r="K787" s="127"/>
      <c r="L787" s="127"/>
      <c r="M787" s="127"/>
    </row>
    <row r="788" ht="20.25" customHeight="1">
      <c r="A788" s="275"/>
      <c r="B788" s="277"/>
      <c r="C788" s="277"/>
      <c r="D788" s="277"/>
      <c r="E788" s="117"/>
      <c r="F788" s="117"/>
      <c r="G788" s="117"/>
      <c r="H788" s="117"/>
      <c r="I788" s="117"/>
      <c r="J788" s="117"/>
      <c r="K788" s="117"/>
      <c r="L788" s="117"/>
      <c r="M788" s="117"/>
    </row>
    <row r="789" ht="20.25" customHeight="1">
      <c r="A789" s="273"/>
      <c r="B789" s="274"/>
      <c r="C789" s="274"/>
      <c r="D789" s="274"/>
      <c r="E789" s="127"/>
      <c r="F789" s="127"/>
      <c r="G789" s="127"/>
      <c r="H789" s="127"/>
      <c r="I789" s="127"/>
      <c r="J789" s="127"/>
      <c r="K789" s="127"/>
      <c r="L789" s="127"/>
      <c r="M789" s="127"/>
    </row>
    <row r="790" ht="20.25" customHeight="1">
      <c r="A790" s="275"/>
      <c r="B790" s="277"/>
      <c r="C790" s="277"/>
      <c r="D790" s="277"/>
      <c r="E790" s="117"/>
      <c r="F790" s="117"/>
      <c r="G790" s="117"/>
      <c r="H790" s="117"/>
      <c r="I790" s="117"/>
      <c r="J790" s="117"/>
      <c r="K790" s="117"/>
      <c r="L790" s="117"/>
      <c r="M790" s="117"/>
    </row>
    <row r="791" ht="20.25" customHeight="1">
      <c r="A791" s="273"/>
      <c r="B791" s="274"/>
      <c r="C791" s="274"/>
      <c r="D791" s="274"/>
      <c r="E791" s="127"/>
      <c r="F791" s="127"/>
      <c r="G791" s="127"/>
      <c r="H791" s="127"/>
      <c r="I791" s="127"/>
      <c r="J791" s="127"/>
      <c r="K791" s="127"/>
      <c r="L791" s="127"/>
      <c r="M791" s="127"/>
    </row>
    <row r="792" ht="20.25" customHeight="1">
      <c r="A792" s="275"/>
      <c r="B792" s="277"/>
      <c r="C792" s="277"/>
      <c r="D792" s="277"/>
      <c r="E792" s="117"/>
      <c r="F792" s="117"/>
      <c r="G792" s="117"/>
      <c r="H792" s="117"/>
      <c r="I792" s="117"/>
      <c r="J792" s="117"/>
      <c r="K792" s="117"/>
      <c r="L792" s="117"/>
      <c r="M792" s="117"/>
    </row>
    <row r="793" ht="20.25" customHeight="1">
      <c r="A793" s="273"/>
      <c r="B793" s="274"/>
      <c r="C793" s="274"/>
      <c r="D793" s="274"/>
      <c r="E793" s="127"/>
      <c r="F793" s="127"/>
      <c r="G793" s="127"/>
      <c r="H793" s="127"/>
      <c r="I793" s="127"/>
      <c r="J793" s="127"/>
      <c r="K793" s="127"/>
      <c r="L793" s="127"/>
      <c r="M793" s="127"/>
    </row>
    <row r="794" ht="20.25" customHeight="1">
      <c r="A794" s="275"/>
      <c r="B794" s="277"/>
      <c r="C794" s="277"/>
      <c r="D794" s="277"/>
      <c r="E794" s="117"/>
      <c r="F794" s="117"/>
      <c r="G794" s="117"/>
      <c r="H794" s="117"/>
      <c r="I794" s="117"/>
      <c r="J794" s="117"/>
      <c r="K794" s="117"/>
      <c r="L794" s="117"/>
      <c r="M794" s="117"/>
    </row>
    <row r="795" ht="20.25" customHeight="1">
      <c r="A795" s="273"/>
      <c r="B795" s="274"/>
      <c r="C795" s="274"/>
      <c r="D795" s="274"/>
      <c r="E795" s="127"/>
      <c r="F795" s="127"/>
      <c r="G795" s="127"/>
      <c r="H795" s="127"/>
      <c r="I795" s="127"/>
      <c r="J795" s="127"/>
      <c r="K795" s="127"/>
      <c r="L795" s="127"/>
      <c r="M795" s="127"/>
    </row>
    <row r="796" ht="20.25" customHeight="1">
      <c r="A796" s="275"/>
      <c r="B796" s="277"/>
      <c r="C796" s="277"/>
      <c r="D796" s="277"/>
      <c r="E796" s="117"/>
      <c r="F796" s="117"/>
      <c r="G796" s="117"/>
      <c r="H796" s="117"/>
      <c r="I796" s="117"/>
      <c r="J796" s="117"/>
      <c r="K796" s="117"/>
      <c r="L796" s="117"/>
      <c r="M796" s="117"/>
    </row>
    <row r="797" ht="20.25" customHeight="1">
      <c r="A797" s="273"/>
      <c r="B797" s="274"/>
      <c r="C797" s="274"/>
      <c r="D797" s="274"/>
      <c r="E797" s="127"/>
      <c r="F797" s="127"/>
      <c r="G797" s="127"/>
      <c r="H797" s="127"/>
      <c r="I797" s="127"/>
      <c r="J797" s="127"/>
      <c r="K797" s="127"/>
      <c r="L797" s="127"/>
      <c r="M797" s="127"/>
    </row>
    <row r="798" ht="20.25" customHeight="1">
      <c r="A798" s="275"/>
      <c r="B798" s="277"/>
      <c r="C798" s="277"/>
      <c r="D798" s="277"/>
      <c r="E798" s="117"/>
      <c r="F798" s="117"/>
      <c r="G798" s="117"/>
      <c r="H798" s="117"/>
      <c r="I798" s="117"/>
      <c r="J798" s="117"/>
      <c r="K798" s="117"/>
      <c r="L798" s="117"/>
      <c r="M798" s="117"/>
    </row>
    <row r="799" ht="20.25" customHeight="1">
      <c r="A799" s="273"/>
      <c r="B799" s="274"/>
      <c r="C799" s="274"/>
      <c r="D799" s="274"/>
      <c r="E799" s="127"/>
      <c r="F799" s="127"/>
      <c r="G799" s="127"/>
      <c r="H799" s="127"/>
      <c r="I799" s="127"/>
      <c r="J799" s="127"/>
      <c r="K799" s="127"/>
      <c r="L799" s="127"/>
      <c r="M799" s="127"/>
    </row>
    <row r="800" ht="20.25" customHeight="1">
      <c r="A800" s="275"/>
      <c r="B800" s="277"/>
      <c r="C800" s="277"/>
      <c r="D800" s="277"/>
      <c r="E800" s="117"/>
      <c r="F800" s="117"/>
      <c r="G800" s="117"/>
      <c r="H800" s="117"/>
      <c r="I800" s="117"/>
      <c r="J800" s="117"/>
      <c r="K800" s="117"/>
      <c r="L800" s="117"/>
      <c r="M800" s="117"/>
    </row>
    <row r="801" ht="20.25" customHeight="1">
      <c r="A801" s="273"/>
      <c r="B801" s="274"/>
      <c r="C801" s="274"/>
      <c r="D801" s="274"/>
      <c r="E801" s="127"/>
      <c r="F801" s="127"/>
      <c r="G801" s="127"/>
      <c r="H801" s="127"/>
      <c r="I801" s="127"/>
      <c r="J801" s="127"/>
      <c r="K801" s="127"/>
      <c r="L801" s="127"/>
      <c r="M801" s="127"/>
    </row>
    <row r="802" ht="20.25" customHeight="1">
      <c r="A802" s="275"/>
      <c r="B802" s="277"/>
      <c r="C802" s="277"/>
      <c r="D802" s="277"/>
      <c r="E802" s="117"/>
      <c r="F802" s="117"/>
      <c r="G802" s="117"/>
      <c r="H802" s="117"/>
      <c r="I802" s="117"/>
      <c r="J802" s="117"/>
      <c r="K802" s="117"/>
      <c r="L802" s="117"/>
      <c r="M802" s="117"/>
    </row>
    <row r="803" ht="20.25" customHeight="1">
      <c r="A803" s="273"/>
      <c r="B803" s="274"/>
      <c r="C803" s="274"/>
      <c r="D803" s="274"/>
      <c r="E803" s="127"/>
      <c r="F803" s="127"/>
      <c r="G803" s="127"/>
      <c r="H803" s="127"/>
      <c r="I803" s="127"/>
      <c r="J803" s="127"/>
      <c r="K803" s="127"/>
      <c r="L803" s="127"/>
      <c r="M803" s="127"/>
    </row>
    <row r="804" ht="20.25" customHeight="1">
      <c r="A804" s="275"/>
      <c r="B804" s="277"/>
      <c r="C804" s="277"/>
      <c r="D804" s="277"/>
      <c r="E804" s="117"/>
      <c r="F804" s="117"/>
      <c r="G804" s="117"/>
      <c r="H804" s="117"/>
      <c r="I804" s="117"/>
      <c r="J804" s="117"/>
      <c r="K804" s="117"/>
      <c r="L804" s="117"/>
      <c r="M804" s="117"/>
    </row>
    <row r="805" ht="20.25" customHeight="1">
      <c r="A805" s="273"/>
      <c r="B805" s="274"/>
      <c r="C805" s="274"/>
      <c r="D805" s="274"/>
      <c r="E805" s="127"/>
      <c r="F805" s="127"/>
      <c r="G805" s="127"/>
      <c r="H805" s="127"/>
      <c r="I805" s="127"/>
      <c r="J805" s="127"/>
      <c r="K805" s="127"/>
      <c r="L805" s="127"/>
      <c r="M805" s="127"/>
    </row>
    <row r="806" ht="20.25" customHeight="1">
      <c r="A806" s="275"/>
      <c r="B806" s="277"/>
      <c r="C806" s="277"/>
      <c r="D806" s="277"/>
      <c r="E806" s="117"/>
      <c r="F806" s="117"/>
      <c r="G806" s="117"/>
      <c r="H806" s="117"/>
      <c r="I806" s="117"/>
      <c r="J806" s="117"/>
      <c r="K806" s="117"/>
      <c r="L806" s="117"/>
      <c r="M806" s="117"/>
    </row>
    <row r="807" ht="20.25" customHeight="1">
      <c r="A807" s="273"/>
      <c r="B807" s="274"/>
      <c r="C807" s="274"/>
      <c r="D807" s="274"/>
      <c r="E807" s="127"/>
      <c r="F807" s="127"/>
      <c r="G807" s="127"/>
      <c r="H807" s="127"/>
      <c r="I807" s="127"/>
      <c r="J807" s="127"/>
      <c r="K807" s="127"/>
      <c r="L807" s="127"/>
      <c r="M807" s="127"/>
    </row>
    <row r="808" ht="20.25" customHeight="1">
      <c r="A808" s="275"/>
      <c r="B808" s="277"/>
      <c r="C808" s="277"/>
      <c r="D808" s="277"/>
      <c r="E808" s="117"/>
      <c r="F808" s="117"/>
      <c r="G808" s="117"/>
      <c r="H808" s="117"/>
      <c r="I808" s="117"/>
      <c r="J808" s="117"/>
      <c r="K808" s="117"/>
      <c r="L808" s="117"/>
      <c r="M808" s="117"/>
    </row>
    <row r="809" ht="20.25" customHeight="1">
      <c r="A809" s="273"/>
      <c r="B809" s="274"/>
      <c r="C809" s="274"/>
      <c r="D809" s="274"/>
      <c r="E809" s="127"/>
      <c r="F809" s="127"/>
      <c r="G809" s="127"/>
      <c r="H809" s="127"/>
      <c r="I809" s="127"/>
      <c r="J809" s="127"/>
      <c r="K809" s="127"/>
      <c r="L809" s="127"/>
      <c r="M809" s="127"/>
    </row>
    <row r="810" ht="20.25" customHeight="1">
      <c r="A810" s="275"/>
      <c r="B810" s="277"/>
      <c r="C810" s="277"/>
      <c r="D810" s="277"/>
      <c r="E810" s="117"/>
      <c r="F810" s="117"/>
      <c r="G810" s="117"/>
      <c r="H810" s="117"/>
      <c r="I810" s="117"/>
      <c r="J810" s="117"/>
      <c r="K810" s="117"/>
      <c r="L810" s="117"/>
      <c r="M810" s="117"/>
    </row>
    <row r="811" ht="20.25" customHeight="1">
      <c r="A811" s="273"/>
      <c r="B811" s="274"/>
      <c r="C811" s="274"/>
      <c r="D811" s="274"/>
      <c r="E811" s="127"/>
      <c r="F811" s="127"/>
      <c r="G811" s="127"/>
      <c r="H811" s="127"/>
      <c r="I811" s="127"/>
      <c r="J811" s="127"/>
      <c r="K811" s="127"/>
      <c r="L811" s="127"/>
      <c r="M811" s="127"/>
    </row>
    <row r="812" ht="20.25" customHeight="1">
      <c r="A812" s="275"/>
      <c r="B812" s="277"/>
      <c r="C812" s="277"/>
      <c r="D812" s="277"/>
      <c r="E812" s="117"/>
      <c r="F812" s="117"/>
      <c r="G812" s="117"/>
      <c r="H812" s="117"/>
      <c r="I812" s="117"/>
      <c r="J812" s="117"/>
      <c r="K812" s="117"/>
      <c r="L812" s="117"/>
      <c r="M812" s="117"/>
    </row>
    <row r="813" ht="20.25" customHeight="1">
      <c r="A813" s="273"/>
      <c r="B813" s="274"/>
      <c r="C813" s="274"/>
      <c r="D813" s="274"/>
      <c r="E813" s="127"/>
      <c r="F813" s="127"/>
      <c r="G813" s="127"/>
      <c r="H813" s="127"/>
      <c r="I813" s="127"/>
      <c r="J813" s="127"/>
      <c r="K813" s="127"/>
      <c r="L813" s="127"/>
      <c r="M813" s="127"/>
    </row>
    <row r="814" ht="20.25" customHeight="1">
      <c r="A814" s="275"/>
      <c r="B814" s="277"/>
      <c r="C814" s="277"/>
      <c r="D814" s="277"/>
      <c r="E814" s="117"/>
      <c r="F814" s="117"/>
      <c r="G814" s="117"/>
      <c r="H814" s="117"/>
      <c r="I814" s="117"/>
      <c r="J814" s="117"/>
      <c r="K814" s="117"/>
      <c r="L814" s="117"/>
      <c r="M814" s="117"/>
    </row>
    <row r="815" ht="20.25" customHeight="1">
      <c r="A815" s="273"/>
      <c r="B815" s="274"/>
      <c r="C815" s="274"/>
      <c r="D815" s="274"/>
      <c r="E815" s="127"/>
      <c r="F815" s="127"/>
      <c r="G815" s="127"/>
      <c r="H815" s="127"/>
      <c r="I815" s="127"/>
      <c r="J815" s="127"/>
      <c r="K815" s="127"/>
      <c r="L815" s="127"/>
      <c r="M815" s="127"/>
    </row>
    <row r="816" ht="20.25" customHeight="1">
      <c r="A816" s="275"/>
      <c r="B816" s="277"/>
      <c r="C816" s="277"/>
      <c r="D816" s="277"/>
      <c r="E816" s="117"/>
      <c r="F816" s="117"/>
      <c r="G816" s="117"/>
      <c r="H816" s="117"/>
      <c r="I816" s="117"/>
      <c r="J816" s="117"/>
      <c r="K816" s="117"/>
      <c r="L816" s="117"/>
      <c r="M816" s="117"/>
    </row>
    <row r="817" ht="20.25" customHeight="1">
      <c r="A817" s="273"/>
      <c r="B817" s="274"/>
      <c r="C817" s="274"/>
      <c r="D817" s="274"/>
      <c r="E817" s="127"/>
      <c r="F817" s="127"/>
      <c r="G817" s="127"/>
      <c r="H817" s="127"/>
      <c r="I817" s="127"/>
      <c r="J817" s="127"/>
      <c r="K817" s="127"/>
      <c r="L817" s="127"/>
      <c r="M817" s="127"/>
    </row>
    <row r="818" ht="20.25" customHeight="1">
      <c r="A818" s="275"/>
      <c r="B818" s="277"/>
      <c r="C818" s="277"/>
      <c r="D818" s="277"/>
      <c r="E818" s="117"/>
      <c r="F818" s="117"/>
      <c r="G818" s="117"/>
      <c r="H818" s="117"/>
      <c r="I818" s="117"/>
      <c r="J818" s="117"/>
      <c r="K818" s="117"/>
      <c r="L818" s="117"/>
      <c r="M818" s="117"/>
    </row>
    <row r="819" ht="20.25" customHeight="1">
      <c r="A819" s="273"/>
      <c r="B819" s="274"/>
      <c r="C819" s="274"/>
      <c r="D819" s="274"/>
      <c r="E819" s="127"/>
      <c r="F819" s="127"/>
      <c r="G819" s="127"/>
      <c r="H819" s="127"/>
      <c r="I819" s="127"/>
      <c r="J819" s="127"/>
      <c r="K819" s="127"/>
      <c r="L819" s="127"/>
      <c r="M819" s="127"/>
    </row>
    <row r="820" ht="20.25" customHeight="1">
      <c r="A820" s="275"/>
      <c r="B820" s="277"/>
      <c r="C820" s="277"/>
      <c r="D820" s="277"/>
      <c r="E820" s="117"/>
      <c r="F820" s="117"/>
      <c r="G820" s="117"/>
      <c r="H820" s="117"/>
      <c r="I820" s="117"/>
      <c r="J820" s="117"/>
      <c r="K820" s="117"/>
      <c r="L820" s="117"/>
      <c r="M820" s="117"/>
    </row>
    <row r="821" ht="20.25" customHeight="1">
      <c r="A821" s="273"/>
      <c r="B821" s="274"/>
      <c r="C821" s="274"/>
      <c r="D821" s="274"/>
      <c r="E821" s="127"/>
      <c r="F821" s="127"/>
      <c r="G821" s="127"/>
      <c r="H821" s="127"/>
      <c r="I821" s="127"/>
      <c r="J821" s="127"/>
      <c r="K821" s="127"/>
      <c r="L821" s="127"/>
      <c r="M821" s="127"/>
    </row>
    <row r="822" ht="20.25" customHeight="1">
      <c r="A822" s="275"/>
      <c r="B822" s="277"/>
      <c r="C822" s="277"/>
      <c r="D822" s="277"/>
      <c r="E822" s="117"/>
      <c r="F822" s="117"/>
      <c r="G822" s="117"/>
      <c r="H822" s="117"/>
      <c r="I822" s="117"/>
      <c r="J822" s="117"/>
      <c r="K822" s="117"/>
      <c r="L822" s="117"/>
      <c r="M822" s="117"/>
    </row>
    <row r="823" ht="20.25" customHeight="1">
      <c r="A823" s="273"/>
      <c r="B823" s="274"/>
      <c r="C823" s="274"/>
      <c r="D823" s="274"/>
      <c r="E823" s="127"/>
      <c r="F823" s="127"/>
      <c r="G823" s="127"/>
      <c r="H823" s="127"/>
      <c r="I823" s="127"/>
      <c r="J823" s="127"/>
      <c r="K823" s="127"/>
      <c r="L823" s="127"/>
      <c r="M823" s="127"/>
    </row>
    <row r="824" ht="20.25" customHeight="1">
      <c r="A824" s="275"/>
      <c r="B824" s="277"/>
      <c r="C824" s="277"/>
      <c r="D824" s="277"/>
      <c r="E824" s="117"/>
      <c r="F824" s="117"/>
      <c r="G824" s="117"/>
      <c r="H824" s="117"/>
      <c r="I824" s="117"/>
      <c r="J824" s="117"/>
      <c r="K824" s="117"/>
      <c r="L824" s="117"/>
      <c r="M824" s="117"/>
    </row>
    <row r="825" ht="20.25" customHeight="1">
      <c r="A825" s="273"/>
      <c r="B825" s="274"/>
      <c r="C825" s="274"/>
      <c r="D825" s="274"/>
      <c r="E825" s="127"/>
      <c r="F825" s="127"/>
      <c r="G825" s="127"/>
      <c r="H825" s="127"/>
      <c r="I825" s="127"/>
      <c r="J825" s="127"/>
      <c r="K825" s="127"/>
      <c r="L825" s="127"/>
      <c r="M825" s="127"/>
    </row>
    <row r="826" ht="20.25" customHeight="1">
      <c r="A826" s="275"/>
      <c r="B826" s="277"/>
      <c r="C826" s="277"/>
      <c r="D826" s="277"/>
      <c r="E826" s="117"/>
      <c r="F826" s="117"/>
      <c r="G826" s="117"/>
      <c r="H826" s="117"/>
      <c r="I826" s="117"/>
      <c r="J826" s="117"/>
      <c r="K826" s="117"/>
      <c r="L826" s="117"/>
      <c r="M826" s="117"/>
    </row>
    <row r="827" ht="20.25" customHeight="1">
      <c r="A827" s="273"/>
      <c r="B827" s="274"/>
      <c r="C827" s="274"/>
      <c r="D827" s="274"/>
      <c r="E827" s="127"/>
      <c r="F827" s="127"/>
      <c r="G827" s="127"/>
      <c r="H827" s="127"/>
      <c r="I827" s="127"/>
      <c r="J827" s="127"/>
      <c r="K827" s="127"/>
      <c r="L827" s="127"/>
      <c r="M827" s="127"/>
    </row>
    <row r="828" ht="20.25" customHeight="1">
      <c r="A828" s="275"/>
      <c r="B828" s="277"/>
      <c r="C828" s="277"/>
      <c r="D828" s="277"/>
      <c r="E828" s="117"/>
      <c r="F828" s="117"/>
      <c r="G828" s="117"/>
      <c r="H828" s="117"/>
      <c r="I828" s="117"/>
      <c r="J828" s="117"/>
      <c r="K828" s="117"/>
      <c r="L828" s="117"/>
      <c r="M828" s="117"/>
    </row>
    <row r="829" ht="20.25" customHeight="1">
      <c r="A829" s="273"/>
      <c r="B829" s="274"/>
      <c r="C829" s="274"/>
      <c r="D829" s="274"/>
      <c r="E829" s="127"/>
      <c r="F829" s="127"/>
      <c r="G829" s="127"/>
      <c r="H829" s="127"/>
      <c r="I829" s="127"/>
      <c r="J829" s="127"/>
      <c r="K829" s="127"/>
      <c r="L829" s="127"/>
      <c r="M829" s="127"/>
    </row>
    <row r="830" ht="20.25" customHeight="1">
      <c r="A830" s="275"/>
      <c r="B830" s="277"/>
      <c r="C830" s="277"/>
      <c r="D830" s="277"/>
      <c r="E830" s="117"/>
      <c r="F830" s="117"/>
      <c r="G830" s="117"/>
      <c r="H830" s="117"/>
      <c r="I830" s="117"/>
      <c r="J830" s="117"/>
      <c r="K830" s="117"/>
      <c r="L830" s="117"/>
      <c r="M830" s="117"/>
    </row>
    <row r="831" ht="20.25" customHeight="1">
      <c r="A831" s="273"/>
      <c r="B831" s="274"/>
      <c r="C831" s="274"/>
      <c r="D831" s="274"/>
      <c r="E831" s="127"/>
      <c r="F831" s="127"/>
      <c r="G831" s="127"/>
      <c r="H831" s="127"/>
      <c r="I831" s="127"/>
      <c r="J831" s="127"/>
      <c r="K831" s="127"/>
      <c r="L831" s="127"/>
      <c r="M831" s="127"/>
    </row>
    <row r="832" ht="20.25" customHeight="1">
      <c r="A832" s="275"/>
      <c r="B832" s="277"/>
      <c r="C832" s="277"/>
      <c r="D832" s="277"/>
      <c r="E832" s="117"/>
      <c r="F832" s="117"/>
      <c r="G832" s="117"/>
      <c r="H832" s="117"/>
      <c r="I832" s="117"/>
      <c r="J832" s="117"/>
      <c r="K832" s="117"/>
      <c r="L832" s="117"/>
      <c r="M832" s="117"/>
    </row>
    <row r="833" ht="20.25" customHeight="1">
      <c r="A833" s="273"/>
      <c r="B833" s="274"/>
      <c r="C833" s="274"/>
      <c r="D833" s="274"/>
      <c r="E833" s="127"/>
      <c r="F833" s="127"/>
      <c r="G833" s="127"/>
      <c r="H833" s="127"/>
      <c r="I833" s="127"/>
      <c r="J833" s="127"/>
      <c r="K833" s="127"/>
      <c r="L833" s="127"/>
      <c r="M833" s="127"/>
    </row>
    <row r="834" ht="20.25" customHeight="1">
      <c r="A834" s="275"/>
      <c r="B834" s="277"/>
      <c r="C834" s="277"/>
      <c r="D834" s="277"/>
      <c r="E834" s="117"/>
      <c r="F834" s="117"/>
      <c r="G834" s="117"/>
      <c r="H834" s="117"/>
      <c r="I834" s="117"/>
      <c r="J834" s="117"/>
      <c r="K834" s="117"/>
      <c r="L834" s="117"/>
      <c r="M834" s="117"/>
    </row>
    <row r="835" ht="20.25" customHeight="1">
      <c r="A835" s="273"/>
      <c r="B835" s="274"/>
      <c r="C835" s="274"/>
      <c r="D835" s="274"/>
      <c r="E835" s="127"/>
      <c r="F835" s="127"/>
      <c r="G835" s="127"/>
      <c r="H835" s="127"/>
      <c r="I835" s="127"/>
      <c r="J835" s="127"/>
      <c r="K835" s="127"/>
      <c r="L835" s="127"/>
      <c r="M835" s="127"/>
    </row>
    <row r="836" ht="20.25" customHeight="1">
      <c r="A836" s="275"/>
      <c r="B836" s="277"/>
      <c r="C836" s="277"/>
      <c r="D836" s="277"/>
      <c r="E836" s="117"/>
      <c r="F836" s="117"/>
      <c r="G836" s="117"/>
      <c r="H836" s="117"/>
      <c r="I836" s="117"/>
      <c r="J836" s="117"/>
      <c r="K836" s="117"/>
      <c r="L836" s="117"/>
      <c r="M836" s="117"/>
    </row>
    <row r="837" ht="20.25" customHeight="1">
      <c r="A837" s="273"/>
      <c r="B837" s="274"/>
      <c r="C837" s="274"/>
      <c r="D837" s="274"/>
      <c r="E837" s="127"/>
      <c r="F837" s="127"/>
      <c r="G837" s="127"/>
      <c r="H837" s="127"/>
      <c r="I837" s="127"/>
      <c r="J837" s="127"/>
      <c r="K837" s="127"/>
      <c r="L837" s="127"/>
      <c r="M837" s="127"/>
    </row>
    <row r="838" ht="20.25" customHeight="1">
      <c r="A838" s="275"/>
      <c r="B838" s="277"/>
      <c r="C838" s="277"/>
      <c r="D838" s="277"/>
      <c r="E838" s="117"/>
      <c r="F838" s="117"/>
      <c r="G838" s="117"/>
      <c r="H838" s="117"/>
      <c r="I838" s="117"/>
      <c r="J838" s="117"/>
      <c r="K838" s="117"/>
      <c r="L838" s="117"/>
      <c r="M838" s="117"/>
    </row>
    <row r="839" ht="20.25" customHeight="1">
      <c r="A839" s="273"/>
      <c r="B839" s="274"/>
      <c r="C839" s="274"/>
      <c r="D839" s="274"/>
      <c r="E839" s="127"/>
      <c r="F839" s="127"/>
      <c r="G839" s="127"/>
      <c r="H839" s="127"/>
      <c r="I839" s="127"/>
      <c r="J839" s="127"/>
      <c r="K839" s="127"/>
      <c r="L839" s="127"/>
      <c r="M839" s="127"/>
    </row>
    <row r="840" ht="20.25" customHeight="1">
      <c r="A840" s="275"/>
      <c r="B840" s="277"/>
      <c r="C840" s="277"/>
      <c r="D840" s="277"/>
      <c r="E840" s="117"/>
      <c r="F840" s="117"/>
      <c r="G840" s="117"/>
      <c r="H840" s="117"/>
      <c r="I840" s="117"/>
      <c r="J840" s="117"/>
      <c r="K840" s="117"/>
      <c r="L840" s="117"/>
      <c r="M840" s="117"/>
    </row>
    <row r="841" ht="20.25" customHeight="1">
      <c r="A841" s="273"/>
      <c r="B841" s="274"/>
      <c r="C841" s="274"/>
      <c r="D841" s="274"/>
      <c r="E841" s="127"/>
      <c r="F841" s="127"/>
      <c r="G841" s="127"/>
      <c r="H841" s="127"/>
      <c r="I841" s="127"/>
      <c r="J841" s="127"/>
      <c r="K841" s="127"/>
      <c r="L841" s="127"/>
      <c r="M841" s="127"/>
    </row>
    <row r="842" ht="20.25" customHeight="1">
      <c r="A842" s="275"/>
      <c r="B842" s="277"/>
      <c r="C842" s="277"/>
      <c r="D842" s="277"/>
      <c r="E842" s="117"/>
      <c r="F842" s="117"/>
      <c r="G842" s="117"/>
      <c r="H842" s="117"/>
      <c r="I842" s="117"/>
      <c r="J842" s="117"/>
      <c r="K842" s="117"/>
      <c r="L842" s="117"/>
      <c r="M842" s="117"/>
    </row>
    <row r="843" ht="20.25" customHeight="1">
      <c r="A843" s="273"/>
      <c r="B843" s="274"/>
      <c r="C843" s="274"/>
      <c r="D843" s="274"/>
      <c r="E843" s="127"/>
      <c r="F843" s="127"/>
      <c r="G843" s="127"/>
      <c r="H843" s="127"/>
      <c r="I843" s="127"/>
      <c r="J843" s="127"/>
      <c r="K843" s="127"/>
      <c r="L843" s="127"/>
      <c r="M843" s="127"/>
    </row>
    <row r="844" ht="20.25" customHeight="1">
      <c r="A844" s="275"/>
      <c r="B844" s="277"/>
      <c r="C844" s="277"/>
      <c r="D844" s="277"/>
      <c r="E844" s="117"/>
      <c r="F844" s="117"/>
      <c r="G844" s="117"/>
      <c r="H844" s="117"/>
      <c r="I844" s="117"/>
      <c r="J844" s="117"/>
      <c r="K844" s="117"/>
      <c r="L844" s="117"/>
      <c r="M844" s="117"/>
    </row>
    <row r="845" ht="20.25" customHeight="1">
      <c r="A845" s="273"/>
      <c r="B845" s="274"/>
      <c r="C845" s="274"/>
      <c r="D845" s="274"/>
      <c r="E845" s="127"/>
      <c r="F845" s="127"/>
      <c r="G845" s="127"/>
      <c r="H845" s="127"/>
      <c r="I845" s="127"/>
      <c r="J845" s="127"/>
      <c r="K845" s="127"/>
      <c r="L845" s="127"/>
      <c r="M845" s="127"/>
    </row>
    <row r="846" ht="20.25" customHeight="1">
      <c r="A846" s="275"/>
      <c r="B846" s="277"/>
      <c r="C846" s="277"/>
      <c r="D846" s="277"/>
      <c r="E846" s="117"/>
      <c r="F846" s="117"/>
      <c r="G846" s="117"/>
      <c r="H846" s="117"/>
      <c r="I846" s="117"/>
      <c r="J846" s="117"/>
      <c r="K846" s="117"/>
      <c r="L846" s="117"/>
      <c r="M846" s="117"/>
    </row>
    <row r="847" ht="20.25" customHeight="1">
      <c r="A847" s="273"/>
      <c r="B847" s="274"/>
      <c r="C847" s="274"/>
      <c r="D847" s="274"/>
      <c r="E847" s="127"/>
      <c r="F847" s="127"/>
      <c r="G847" s="127"/>
      <c r="H847" s="127"/>
      <c r="I847" s="127"/>
      <c r="J847" s="127"/>
      <c r="K847" s="127"/>
      <c r="L847" s="127"/>
      <c r="M847" s="127"/>
    </row>
    <row r="848" ht="20.25" customHeight="1">
      <c r="A848" s="275"/>
      <c r="B848" s="277"/>
      <c r="C848" s="277"/>
      <c r="D848" s="277"/>
      <c r="E848" s="117"/>
      <c r="F848" s="117"/>
      <c r="G848" s="117"/>
      <c r="H848" s="117"/>
      <c r="I848" s="117"/>
      <c r="J848" s="117"/>
      <c r="K848" s="117"/>
      <c r="L848" s="117"/>
      <c r="M848" s="117"/>
    </row>
    <row r="849" ht="20.25" customHeight="1">
      <c r="A849" s="273"/>
      <c r="B849" s="274"/>
      <c r="C849" s="274"/>
      <c r="D849" s="274"/>
      <c r="E849" s="127"/>
      <c r="F849" s="127"/>
      <c r="G849" s="127"/>
      <c r="H849" s="127"/>
      <c r="I849" s="127"/>
      <c r="J849" s="127"/>
      <c r="K849" s="127"/>
      <c r="L849" s="127"/>
      <c r="M849" s="127"/>
    </row>
    <row r="850" ht="20.25" customHeight="1">
      <c r="A850" s="275"/>
      <c r="B850" s="277"/>
      <c r="C850" s="277"/>
      <c r="D850" s="277"/>
      <c r="E850" s="117"/>
      <c r="F850" s="117"/>
      <c r="G850" s="117"/>
      <c r="H850" s="117"/>
      <c r="I850" s="117"/>
      <c r="J850" s="117"/>
      <c r="K850" s="117"/>
      <c r="L850" s="117"/>
      <c r="M850" s="117"/>
    </row>
    <row r="851" ht="20.25" customHeight="1">
      <c r="A851" s="273"/>
      <c r="B851" s="274"/>
      <c r="C851" s="274"/>
      <c r="D851" s="274"/>
      <c r="E851" s="127"/>
      <c r="F851" s="127"/>
      <c r="G851" s="127"/>
      <c r="H851" s="127"/>
      <c r="I851" s="127"/>
      <c r="J851" s="127"/>
      <c r="K851" s="127"/>
      <c r="L851" s="127"/>
      <c r="M851" s="127"/>
    </row>
    <row r="852" ht="20.25" customHeight="1">
      <c r="A852" s="275"/>
      <c r="B852" s="277"/>
      <c r="C852" s="277"/>
      <c r="D852" s="277"/>
      <c r="E852" s="117"/>
      <c r="F852" s="117"/>
      <c r="G852" s="117"/>
      <c r="H852" s="117"/>
      <c r="I852" s="117"/>
      <c r="J852" s="117"/>
      <c r="K852" s="117"/>
      <c r="L852" s="117"/>
      <c r="M852" s="117"/>
    </row>
    <row r="853" ht="20.25" customHeight="1">
      <c r="A853" s="273"/>
      <c r="B853" s="274"/>
      <c r="C853" s="274"/>
      <c r="D853" s="274"/>
      <c r="E853" s="127"/>
      <c r="F853" s="127"/>
      <c r="G853" s="127"/>
      <c r="H853" s="127"/>
      <c r="I853" s="127"/>
      <c r="J853" s="127"/>
      <c r="K853" s="127"/>
      <c r="L853" s="127"/>
      <c r="M853" s="127"/>
    </row>
    <row r="854" ht="20.25" customHeight="1">
      <c r="A854" s="275"/>
      <c r="B854" s="277"/>
      <c r="C854" s="277"/>
      <c r="D854" s="277"/>
      <c r="E854" s="117"/>
      <c r="F854" s="117"/>
      <c r="G854" s="117"/>
      <c r="H854" s="117"/>
      <c r="I854" s="117"/>
      <c r="J854" s="117"/>
      <c r="K854" s="117"/>
      <c r="L854" s="117"/>
      <c r="M854" s="117"/>
    </row>
    <row r="855" ht="20.25" customHeight="1">
      <c r="A855" s="273"/>
      <c r="B855" s="274"/>
      <c r="C855" s="274"/>
      <c r="D855" s="274"/>
      <c r="E855" s="127"/>
      <c r="F855" s="127"/>
      <c r="G855" s="127"/>
      <c r="H855" s="127"/>
      <c r="I855" s="127"/>
      <c r="J855" s="127"/>
      <c r="K855" s="127"/>
      <c r="L855" s="127"/>
      <c r="M855" s="127"/>
    </row>
    <row r="856" ht="20.25" customHeight="1">
      <c r="A856" s="275"/>
      <c r="B856" s="277"/>
      <c r="C856" s="277"/>
      <c r="D856" s="277"/>
      <c r="E856" s="117"/>
      <c r="F856" s="117"/>
      <c r="G856" s="117"/>
      <c r="H856" s="117"/>
      <c r="I856" s="117"/>
      <c r="J856" s="117"/>
      <c r="K856" s="117"/>
      <c r="L856" s="117"/>
      <c r="M856" s="117"/>
    </row>
    <row r="857" ht="20.25" customHeight="1">
      <c r="A857" s="273"/>
      <c r="B857" s="274"/>
      <c r="C857" s="274"/>
      <c r="D857" s="274"/>
      <c r="E857" s="127"/>
      <c r="F857" s="127"/>
      <c r="G857" s="127"/>
      <c r="H857" s="127"/>
      <c r="I857" s="127"/>
      <c r="J857" s="127"/>
      <c r="K857" s="127"/>
      <c r="L857" s="127"/>
      <c r="M857" s="127"/>
    </row>
    <row r="858" ht="20.25" customHeight="1">
      <c r="A858" s="275"/>
      <c r="B858" s="277"/>
      <c r="C858" s="277"/>
      <c r="D858" s="277"/>
      <c r="E858" s="117"/>
      <c r="F858" s="117"/>
      <c r="G858" s="117"/>
      <c r="H858" s="117"/>
      <c r="I858" s="117"/>
      <c r="J858" s="117"/>
      <c r="K858" s="117"/>
      <c r="L858" s="117"/>
      <c r="M858" s="117"/>
    </row>
    <row r="859" ht="20.25" customHeight="1">
      <c r="A859" s="273"/>
      <c r="B859" s="274"/>
      <c r="C859" s="274"/>
      <c r="D859" s="274"/>
      <c r="E859" s="127"/>
      <c r="F859" s="127"/>
      <c r="G859" s="127"/>
      <c r="H859" s="127"/>
      <c r="I859" s="127"/>
      <c r="J859" s="127"/>
      <c r="K859" s="127"/>
      <c r="L859" s="127"/>
      <c r="M859" s="127"/>
    </row>
    <row r="860" ht="20.25" customHeight="1">
      <c r="A860" s="275"/>
      <c r="B860" s="277"/>
      <c r="C860" s="277"/>
      <c r="D860" s="277"/>
      <c r="E860" s="117"/>
      <c r="F860" s="117"/>
      <c r="G860" s="117"/>
      <c r="H860" s="117"/>
      <c r="I860" s="117"/>
      <c r="J860" s="117"/>
      <c r="K860" s="117"/>
      <c r="L860" s="117"/>
      <c r="M860" s="117"/>
    </row>
    <row r="861" ht="20.25" customHeight="1">
      <c r="A861" s="273"/>
      <c r="B861" s="274"/>
      <c r="C861" s="274"/>
      <c r="D861" s="274"/>
      <c r="E861" s="127"/>
      <c r="F861" s="127"/>
      <c r="G861" s="127"/>
      <c r="H861" s="127"/>
      <c r="I861" s="127"/>
      <c r="J861" s="127"/>
      <c r="K861" s="127"/>
      <c r="L861" s="127"/>
      <c r="M861" s="127"/>
    </row>
    <row r="862" ht="20.25" customHeight="1">
      <c r="A862" s="275"/>
      <c r="B862" s="277"/>
      <c r="C862" s="277"/>
      <c r="D862" s="277"/>
      <c r="E862" s="117"/>
      <c r="F862" s="117"/>
      <c r="G862" s="117"/>
      <c r="H862" s="117"/>
      <c r="I862" s="117"/>
      <c r="J862" s="117"/>
      <c r="K862" s="117"/>
      <c r="L862" s="117"/>
      <c r="M862" s="117"/>
    </row>
    <row r="863" ht="20.25" customHeight="1">
      <c r="A863" s="273"/>
      <c r="B863" s="274"/>
      <c r="C863" s="274"/>
      <c r="D863" s="274"/>
      <c r="E863" s="127"/>
      <c r="F863" s="127"/>
      <c r="G863" s="127"/>
      <c r="H863" s="127"/>
      <c r="I863" s="127"/>
      <c r="J863" s="127"/>
      <c r="K863" s="127"/>
      <c r="L863" s="127"/>
      <c r="M863" s="127"/>
    </row>
    <row r="864" ht="20.25" customHeight="1">
      <c r="A864" s="275"/>
      <c r="B864" s="277"/>
      <c r="C864" s="277"/>
      <c r="D864" s="277"/>
      <c r="E864" s="117"/>
      <c r="F864" s="117"/>
      <c r="G864" s="117"/>
      <c r="H864" s="117"/>
      <c r="I864" s="117"/>
      <c r="J864" s="117"/>
      <c r="K864" s="117"/>
      <c r="L864" s="117"/>
      <c r="M864" s="117"/>
    </row>
    <row r="865" ht="20.25" customHeight="1">
      <c r="A865" s="273"/>
      <c r="B865" s="274"/>
      <c r="C865" s="274"/>
      <c r="D865" s="274"/>
      <c r="E865" s="127"/>
      <c r="F865" s="127"/>
      <c r="G865" s="127"/>
      <c r="H865" s="127"/>
      <c r="I865" s="127"/>
      <c r="J865" s="127"/>
      <c r="K865" s="127"/>
      <c r="L865" s="127"/>
      <c r="M865" s="127"/>
    </row>
    <row r="866" ht="20.25" customHeight="1">
      <c r="A866" s="275"/>
      <c r="B866" s="277"/>
      <c r="C866" s="277"/>
      <c r="D866" s="277"/>
      <c r="E866" s="117"/>
      <c r="F866" s="117"/>
      <c r="G866" s="117"/>
      <c r="H866" s="117"/>
      <c r="I866" s="117"/>
      <c r="J866" s="117"/>
      <c r="K866" s="117"/>
      <c r="L866" s="117"/>
      <c r="M866" s="117"/>
    </row>
    <row r="867" ht="20.25" customHeight="1">
      <c r="A867" s="273"/>
      <c r="B867" s="274"/>
      <c r="C867" s="274"/>
      <c r="D867" s="274"/>
      <c r="E867" s="127"/>
      <c r="F867" s="127"/>
      <c r="G867" s="127"/>
      <c r="H867" s="127"/>
      <c r="I867" s="127"/>
      <c r="J867" s="127"/>
      <c r="K867" s="127"/>
      <c r="L867" s="127"/>
      <c r="M867" s="127"/>
    </row>
    <row r="868" ht="20.25" customHeight="1">
      <c r="A868" s="275"/>
      <c r="B868" s="277"/>
      <c r="C868" s="277"/>
      <c r="D868" s="277"/>
      <c r="E868" s="117"/>
      <c r="F868" s="117"/>
      <c r="G868" s="117"/>
      <c r="H868" s="117"/>
      <c r="I868" s="117"/>
      <c r="J868" s="117"/>
      <c r="K868" s="117"/>
      <c r="L868" s="117"/>
      <c r="M868" s="117"/>
    </row>
    <row r="869" ht="20.25" customHeight="1">
      <c r="A869" s="273"/>
      <c r="B869" s="274"/>
      <c r="C869" s="274"/>
      <c r="D869" s="274"/>
      <c r="E869" s="127"/>
      <c r="F869" s="127"/>
      <c r="G869" s="127"/>
      <c r="H869" s="127"/>
      <c r="I869" s="127"/>
      <c r="J869" s="127"/>
      <c r="K869" s="127"/>
      <c r="L869" s="127"/>
      <c r="M869" s="127"/>
    </row>
    <row r="870" ht="20.25" customHeight="1">
      <c r="A870" s="275"/>
      <c r="B870" s="277"/>
      <c r="C870" s="277"/>
      <c r="D870" s="277"/>
      <c r="E870" s="117"/>
      <c r="F870" s="117"/>
      <c r="G870" s="117"/>
      <c r="H870" s="117"/>
      <c r="I870" s="117"/>
      <c r="J870" s="117"/>
      <c r="K870" s="117"/>
      <c r="L870" s="117"/>
      <c r="M870" s="117"/>
    </row>
    <row r="871" ht="20.25" customHeight="1">
      <c r="A871" s="273"/>
      <c r="B871" s="274"/>
      <c r="C871" s="274"/>
      <c r="D871" s="274"/>
      <c r="E871" s="127"/>
      <c r="F871" s="127"/>
      <c r="G871" s="127"/>
      <c r="H871" s="127"/>
      <c r="I871" s="127"/>
      <c r="J871" s="127"/>
      <c r="K871" s="127"/>
      <c r="L871" s="127"/>
      <c r="M871" s="127"/>
    </row>
    <row r="872" ht="20.25" customHeight="1">
      <c r="A872" s="275"/>
      <c r="B872" s="277"/>
      <c r="C872" s="277"/>
      <c r="D872" s="277"/>
      <c r="E872" s="117"/>
      <c r="F872" s="117"/>
      <c r="G872" s="117"/>
      <c r="H872" s="117"/>
      <c r="I872" s="117"/>
      <c r="J872" s="117"/>
      <c r="K872" s="117"/>
      <c r="L872" s="117"/>
      <c r="M872" s="117"/>
    </row>
    <row r="873" ht="20.25" customHeight="1">
      <c r="A873" s="273"/>
      <c r="B873" s="274"/>
      <c r="C873" s="274"/>
      <c r="D873" s="274"/>
      <c r="E873" s="127"/>
      <c r="F873" s="127"/>
      <c r="G873" s="127"/>
      <c r="H873" s="127"/>
      <c r="I873" s="127"/>
      <c r="J873" s="127"/>
      <c r="K873" s="127"/>
      <c r="L873" s="127"/>
      <c r="M873" s="127"/>
    </row>
    <row r="874" ht="20.25" customHeight="1">
      <c r="A874" s="275"/>
      <c r="B874" s="277"/>
      <c r="C874" s="277"/>
      <c r="D874" s="277"/>
      <c r="E874" s="117"/>
      <c r="F874" s="117"/>
      <c r="G874" s="117"/>
      <c r="H874" s="117"/>
      <c r="I874" s="117"/>
      <c r="J874" s="117"/>
      <c r="K874" s="117"/>
      <c r="L874" s="117"/>
      <c r="M874" s="117"/>
    </row>
    <row r="875" ht="20.25" customHeight="1">
      <c r="A875" s="273"/>
      <c r="B875" s="274"/>
      <c r="C875" s="274"/>
      <c r="D875" s="274"/>
      <c r="E875" s="127"/>
      <c r="F875" s="127"/>
      <c r="G875" s="127"/>
      <c r="H875" s="127"/>
      <c r="I875" s="127"/>
      <c r="J875" s="127"/>
      <c r="K875" s="127"/>
      <c r="L875" s="127"/>
      <c r="M875" s="127"/>
    </row>
    <row r="876" ht="20.25" customHeight="1">
      <c r="A876" s="275"/>
      <c r="B876" s="277"/>
      <c r="C876" s="277"/>
      <c r="D876" s="277"/>
      <c r="E876" s="117"/>
      <c r="F876" s="117"/>
      <c r="G876" s="117"/>
      <c r="H876" s="117"/>
      <c r="I876" s="117"/>
      <c r="J876" s="117"/>
      <c r="K876" s="117"/>
      <c r="L876" s="117"/>
      <c r="M876" s="117"/>
    </row>
    <row r="877" ht="20.25" customHeight="1">
      <c r="A877" s="273"/>
      <c r="B877" s="274"/>
      <c r="C877" s="274"/>
      <c r="D877" s="274"/>
      <c r="E877" s="127"/>
      <c r="F877" s="127"/>
      <c r="G877" s="127"/>
      <c r="H877" s="127"/>
      <c r="I877" s="127"/>
      <c r="J877" s="127"/>
      <c r="K877" s="127"/>
      <c r="L877" s="127"/>
      <c r="M877" s="127"/>
    </row>
    <row r="878" ht="20.25" customHeight="1">
      <c r="A878" s="275"/>
      <c r="B878" s="277"/>
      <c r="C878" s="277"/>
      <c r="D878" s="277"/>
      <c r="E878" s="117"/>
      <c r="F878" s="117"/>
      <c r="G878" s="117"/>
      <c r="H878" s="117"/>
      <c r="I878" s="117"/>
      <c r="J878" s="117"/>
      <c r="K878" s="117"/>
      <c r="L878" s="117"/>
      <c r="M878" s="117"/>
    </row>
    <row r="879" ht="20.25" customHeight="1">
      <c r="A879" s="273"/>
      <c r="B879" s="274"/>
      <c r="C879" s="274"/>
      <c r="D879" s="274"/>
      <c r="E879" s="127"/>
      <c r="F879" s="127"/>
      <c r="G879" s="127"/>
      <c r="H879" s="127"/>
      <c r="I879" s="127"/>
      <c r="J879" s="127"/>
      <c r="K879" s="127"/>
      <c r="L879" s="127"/>
      <c r="M879" s="127"/>
    </row>
    <row r="880" ht="20.25" customHeight="1">
      <c r="A880" s="275"/>
      <c r="B880" s="277"/>
      <c r="C880" s="277"/>
      <c r="D880" s="277"/>
      <c r="E880" s="117"/>
      <c r="F880" s="117"/>
      <c r="G880" s="117"/>
      <c r="H880" s="117"/>
      <c r="I880" s="117"/>
      <c r="J880" s="117"/>
      <c r="K880" s="117"/>
      <c r="L880" s="117"/>
      <c r="M880" s="117"/>
    </row>
    <row r="881" ht="20.25" customHeight="1">
      <c r="A881" s="273"/>
      <c r="B881" s="274"/>
      <c r="C881" s="274"/>
      <c r="D881" s="274"/>
      <c r="E881" s="127"/>
      <c r="F881" s="127"/>
      <c r="G881" s="127"/>
      <c r="H881" s="127"/>
      <c r="I881" s="127"/>
      <c r="J881" s="127"/>
      <c r="K881" s="127"/>
      <c r="L881" s="127"/>
      <c r="M881" s="127"/>
    </row>
    <row r="882" ht="20.25" customHeight="1">
      <c r="A882" s="275"/>
      <c r="B882" s="277"/>
      <c r="C882" s="277"/>
      <c r="D882" s="277"/>
      <c r="E882" s="117"/>
      <c r="F882" s="117"/>
      <c r="G882" s="117"/>
      <c r="H882" s="117"/>
      <c r="I882" s="117"/>
      <c r="J882" s="117"/>
      <c r="K882" s="117"/>
      <c r="L882" s="117"/>
      <c r="M882" s="117"/>
    </row>
    <row r="883" ht="20.25" customHeight="1">
      <c r="A883" s="273"/>
      <c r="B883" s="274"/>
      <c r="C883" s="274"/>
      <c r="D883" s="274"/>
      <c r="E883" s="127"/>
      <c r="F883" s="127"/>
      <c r="G883" s="127"/>
      <c r="H883" s="127"/>
      <c r="I883" s="127"/>
      <c r="J883" s="127"/>
      <c r="K883" s="127"/>
      <c r="L883" s="127"/>
      <c r="M883" s="127"/>
    </row>
    <row r="884" ht="20.25" customHeight="1">
      <c r="A884" s="275"/>
      <c r="B884" s="277"/>
      <c r="C884" s="277"/>
      <c r="D884" s="277"/>
      <c r="E884" s="117"/>
      <c r="F884" s="117"/>
      <c r="G884" s="117"/>
      <c r="H884" s="117"/>
      <c r="I884" s="117"/>
      <c r="J884" s="117"/>
      <c r="K884" s="117"/>
      <c r="L884" s="117"/>
      <c r="M884" s="117"/>
    </row>
    <row r="885" ht="20.25" customHeight="1">
      <c r="A885" s="273"/>
      <c r="B885" s="274"/>
      <c r="C885" s="274"/>
      <c r="D885" s="274"/>
      <c r="E885" s="127"/>
      <c r="F885" s="127"/>
      <c r="G885" s="127"/>
      <c r="H885" s="127"/>
      <c r="I885" s="127"/>
      <c r="J885" s="127"/>
      <c r="K885" s="127"/>
      <c r="L885" s="127"/>
      <c r="M885" s="127"/>
    </row>
    <row r="886" ht="20.25" customHeight="1">
      <c r="A886" s="275"/>
      <c r="B886" s="277"/>
      <c r="C886" s="277"/>
      <c r="D886" s="277"/>
      <c r="E886" s="117"/>
      <c r="F886" s="117"/>
      <c r="G886" s="117"/>
      <c r="H886" s="117"/>
      <c r="I886" s="117"/>
      <c r="J886" s="117"/>
      <c r="K886" s="117"/>
      <c r="L886" s="117"/>
      <c r="M886" s="117"/>
    </row>
    <row r="887" ht="20.25" customHeight="1">
      <c r="A887" s="273"/>
      <c r="B887" s="274"/>
      <c r="C887" s="274"/>
      <c r="D887" s="274"/>
      <c r="E887" s="127"/>
      <c r="F887" s="127"/>
      <c r="G887" s="127"/>
      <c r="H887" s="127"/>
      <c r="I887" s="127"/>
      <c r="J887" s="127"/>
      <c r="K887" s="127"/>
      <c r="L887" s="127"/>
      <c r="M887" s="127"/>
    </row>
    <row r="888" ht="20.25" customHeight="1">
      <c r="A888" s="275"/>
      <c r="B888" s="277"/>
      <c r="C888" s="277"/>
      <c r="D888" s="277"/>
      <c r="E888" s="117"/>
      <c r="F888" s="117"/>
      <c r="G888" s="117"/>
      <c r="H888" s="117"/>
      <c r="I888" s="117"/>
      <c r="J888" s="117"/>
      <c r="K888" s="117"/>
      <c r="L888" s="117"/>
      <c r="M888" s="117"/>
    </row>
    <row r="889" ht="20.25" customHeight="1">
      <c r="A889" s="273"/>
      <c r="B889" s="274"/>
      <c r="C889" s="274"/>
      <c r="D889" s="274"/>
      <c r="E889" s="127"/>
      <c r="F889" s="127"/>
      <c r="G889" s="127"/>
      <c r="H889" s="127"/>
      <c r="I889" s="127"/>
      <c r="J889" s="127"/>
      <c r="K889" s="127"/>
      <c r="L889" s="127"/>
      <c r="M889" s="127"/>
    </row>
    <row r="890" ht="20.25" customHeight="1">
      <c r="A890" s="275"/>
      <c r="B890" s="277"/>
      <c r="C890" s="277"/>
      <c r="D890" s="277"/>
      <c r="E890" s="117"/>
      <c r="F890" s="117"/>
      <c r="G890" s="117"/>
      <c r="H890" s="117"/>
      <c r="I890" s="117"/>
      <c r="J890" s="117"/>
      <c r="K890" s="117"/>
      <c r="L890" s="117"/>
      <c r="M890" s="117"/>
    </row>
    <row r="891" ht="20.25" customHeight="1">
      <c r="A891" s="273"/>
      <c r="B891" s="274"/>
      <c r="C891" s="274"/>
      <c r="D891" s="274"/>
      <c r="E891" s="127"/>
      <c r="F891" s="127"/>
      <c r="G891" s="127"/>
      <c r="H891" s="127"/>
      <c r="I891" s="127"/>
      <c r="J891" s="127"/>
      <c r="K891" s="127"/>
      <c r="L891" s="127"/>
      <c r="M891" s="127"/>
    </row>
    <row r="892" ht="20.25" customHeight="1">
      <c r="A892" s="275"/>
      <c r="B892" s="277"/>
      <c r="C892" s="277"/>
      <c r="D892" s="277"/>
      <c r="E892" s="117"/>
      <c r="F892" s="117"/>
      <c r="G892" s="117"/>
      <c r="H892" s="117"/>
      <c r="I892" s="117"/>
      <c r="J892" s="117"/>
      <c r="K892" s="117"/>
      <c r="L892" s="117"/>
      <c r="M892" s="117"/>
    </row>
    <row r="893" ht="20.25" customHeight="1">
      <c r="A893" s="273"/>
      <c r="B893" s="274"/>
      <c r="C893" s="274"/>
      <c r="D893" s="274"/>
      <c r="E893" s="127"/>
      <c r="F893" s="127"/>
      <c r="G893" s="127"/>
      <c r="H893" s="127"/>
      <c r="I893" s="127"/>
      <c r="J893" s="127"/>
      <c r="K893" s="127"/>
      <c r="L893" s="127"/>
      <c r="M893" s="127"/>
    </row>
    <row r="894" ht="20.25" customHeight="1">
      <c r="A894" s="275"/>
      <c r="B894" s="277"/>
      <c r="C894" s="277"/>
      <c r="D894" s="277"/>
      <c r="E894" s="117"/>
      <c r="F894" s="117"/>
      <c r="G894" s="117"/>
      <c r="H894" s="117"/>
      <c r="I894" s="117"/>
      <c r="J894" s="117"/>
      <c r="K894" s="117"/>
      <c r="L894" s="117"/>
      <c r="M894" s="117"/>
    </row>
    <row r="895" ht="20.25" customHeight="1">
      <c r="A895" s="273"/>
      <c r="B895" s="274"/>
      <c r="C895" s="274"/>
      <c r="D895" s="274"/>
      <c r="E895" s="127"/>
      <c r="F895" s="127"/>
      <c r="G895" s="127"/>
      <c r="H895" s="127"/>
      <c r="I895" s="127"/>
      <c r="J895" s="127"/>
      <c r="K895" s="127"/>
      <c r="L895" s="127"/>
      <c r="M895" s="127"/>
    </row>
    <row r="896" ht="20.25" customHeight="1">
      <c r="A896" s="275"/>
      <c r="B896" s="277"/>
      <c r="C896" s="277"/>
      <c r="D896" s="277"/>
      <c r="E896" s="117"/>
      <c r="F896" s="117"/>
      <c r="G896" s="117"/>
      <c r="H896" s="117"/>
      <c r="I896" s="117"/>
      <c r="J896" s="117"/>
      <c r="K896" s="117"/>
      <c r="L896" s="117"/>
      <c r="M896" s="117"/>
    </row>
    <row r="897" ht="20.25" customHeight="1">
      <c r="A897" s="273"/>
      <c r="B897" s="274"/>
      <c r="C897" s="274"/>
      <c r="D897" s="274"/>
      <c r="E897" s="127"/>
      <c r="F897" s="127"/>
      <c r="G897" s="127"/>
      <c r="H897" s="127"/>
      <c r="I897" s="127"/>
      <c r="J897" s="127"/>
      <c r="K897" s="127"/>
      <c r="L897" s="127"/>
      <c r="M897" s="127"/>
    </row>
    <row r="898" ht="20.25" customHeight="1">
      <c r="A898" s="275"/>
      <c r="B898" s="277"/>
      <c r="C898" s="277"/>
      <c r="D898" s="277"/>
      <c r="E898" s="117"/>
      <c r="F898" s="117"/>
      <c r="G898" s="117"/>
      <c r="H898" s="117"/>
      <c r="I898" s="117"/>
      <c r="J898" s="117"/>
      <c r="K898" s="117"/>
      <c r="L898" s="117"/>
      <c r="M898" s="117"/>
    </row>
    <row r="899" ht="20.25" customHeight="1">
      <c r="A899" s="273"/>
      <c r="B899" s="274"/>
      <c r="C899" s="274"/>
      <c r="D899" s="274"/>
      <c r="E899" s="127"/>
      <c r="F899" s="127"/>
      <c r="G899" s="127"/>
      <c r="H899" s="127"/>
      <c r="I899" s="127"/>
      <c r="J899" s="127"/>
      <c r="K899" s="127"/>
      <c r="L899" s="127"/>
      <c r="M899" s="127"/>
    </row>
    <row r="900" ht="20.25" customHeight="1">
      <c r="A900" s="275"/>
      <c r="B900" s="277"/>
      <c r="C900" s="277"/>
      <c r="D900" s="277"/>
      <c r="E900" s="117"/>
      <c r="F900" s="117"/>
      <c r="G900" s="117"/>
      <c r="H900" s="117"/>
      <c r="I900" s="117"/>
      <c r="J900" s="117"/>
      <c r="K900" s="117"/>
      <c r="L900" s="117"/>
      <c r="M900" s="117"/>
    </row>
    <row r="901" ht="20.25" customHeight="1">
      <c r="A901" s="273"/>
      <c r="B901" s="274"/>
      <c r="C901" s="274"/>
      <c r="D901" s="274"/>
      <c r="E901" s="127"/>
      <c r="F901" s="127"/>
      <c r="G901" s="127"/>
      <c r="H901" s="127"/>
      <c r="I901" s="127"/>
      <c r="J901" s="127"/>
      <c r="K901" s="127"/>
      <c r="L901" s="127"/>
      <c r="M901" s="127"/>
    </row>
    <row r="902" ht="20.25" customHeight="1">
      <c r="A902" s="275"/>
      <c r="B902" s="277"/>
      <c r="C902" s="277"/>
      <c r="D902" s="277"/>
      <c r="E902" s="117"/>
      <c r="F902" s="117"/>
      <c r="G902" s="117"/>
      <c r="H902" s="117"/>
      <c r="I902" s="117"/>
      <c r="J902" s="117"/>
      <c r="K902" s="117"/>
      <c r="L902" s="117"/>
      <c r="M902" s="117"/>
    </row>
    <row r="903" ht="20.25" customHeight="1">
      <c r="A903" s="273"/>
      <c r="B903" s="274"/>
      <c r="C903" s="274"/>
      <c r="D903" s="274"/>
      <c r="E903" s="127"/>
      <c r="F903" s="127"/>
      <c r="G903" s="127"/>
      <c r="H903" s="127"/>
      <c r="I903" s="127"/>
      <c r="J903" s="127"/>
      <c r="K903" s="127"/>
      <c r="L903" s="127"/>
      <c r="M903" s="127"/>
    </row>
    <row r="904" ht="20.25" customHeight="1">
      <c r="A904" s="275"/>
      <c r="B904" s="277"/>
      <c r="C904" s="277"/>
      <c r="D904" s="277"/>
      <c r="E904" s="117"/>
      <c r="F904" s="117"/>
      <c r="G904" s="117"/>
      <c r="H904" s="117"/>
      <c r="I904" s="117"/>
      <c r="J904" s="117"/>
      <c r="K904" s="117"/>
      <c r="L904" s="117"/>
      <c r="M904" s="117"/>
    </row>
    <row r="905" ht="20.25" customHeight="1">
      <c r="A905" s="273"/>
      <c r="B905" s="274"/>
      <c r="C905" s="274"/>
      <c r="D905" s="274"/>
      <c r="E905" s="127"/>
      <c r="F905" s="127"/>
      <c r="G905" s="127"/>
      <c r="H905" s="127"/>
      <c r="I905" s="127"/>
      <c r="J905" s="127"/>
      <c r="K905" s="127"/>
      <c r="L905" s="127"/>
      <c r="M905" s="127"/>
    </row>
    <row r="906" ht="20.25" customHeight="1">
      <c r="A906" s="275"/>
      <c r="B906" s="277"/>
      <c r="C906" s="277"/>
      <c r="D906" s="277"/>
      <c r="E906" s="117"/>
      <c r="F906" s="117"/>
      <c r="G906" s="117"/>
      <c r="H906" s="117"/>
      <c r="I906" s="117"/>
      <c r="J906" s="117"/>
      <c r="K906" s="117"/>
      <c r="L906" s="117"/>
      <c r="M906" s="117"/>
    </row>
    <row r="907" ht="20.25" customHeight="1">
      <c r="A907" s="273"/>
      <c r="B907" s="274"/>
      <c r="C907" s="274"/>
      <c r="D907" s="274"/>
      <c r="E907" s="127"/>
      <c r="F907" s="127"/>
      <c r="G907" s="127"/>
      <c r="H907" s="127"/>
      <c r="I907" s="127"/>
      <c r="J907" s="127"/>
      <c r="K907" s="127"/>
      <c r="L907" s="127"/>
      <c r="M907" s="127"/>
    </row>
    <row r="908" ht="20.25" customHeight="1">
      <c r="A908" s="275"/>
      <c r="B908" s="277"/>
      <c r="C908" s="277"/>
      <c r="D908" s="277"/>
      <c r="E908" s="117"/>
      <c r="F908" s="117"/>
      <c r="G908" s="117"/>
      <c r="H908" s="117"/>
      <c r="I908" s="117"/>
      <c r="J908" s="117"/>
      <c r="K908" s="117"/>
      <c r="L908" s="117"/>
      <c r="M908" s="117"/>
    </row>
    <row r="909" ht="20.25" customHeight="1">
      <c r="A909" s="273"/>
      <c r="B909" s="274"/>
      <c r="C909" s="274"/>
      <c r="D909" s="274"/>
      <c r="E909" s="127"/>
      <c r="F909" s="127"/>
      <c r="G909" s="127"/>
      <c r="H909" s="127"/>
      <c r="I909" s="127"/>
      <c r="J909" s="127"/>
      <c r="K909" s="127"/>
      <c r="L909" s="127"/>
      <c r="M909" s="127"/>
    </row>
    <row r="910" ht="20.25" customHeight="1">
      <c r="A910" s="275"/>
      <c r="B910" s="277"/>
      <c r="C910" s="277"/>
      <c r="D910" s="277"/>
      <c r="E910" s="117"/>
      <c r="F910" s="117"/>
      <c r="G910" s="117"/>
      <c r="H910" s="117"/>
      <c r="I910" s="117"/>
      <c r="J910" s="117"/>
      <c r="K910" s="117"/>
      <c r="L910" s="117"/>
      <c r="M910" s="117"/>
    </row>
    <row r="911" ht="20.25" customHeight="1">
      <c r="A911" s="273"/>
      <c r="B911" s="274"/>
      <c r="C911" s="274"/>
      <c r="D911" s="274"/>
      <c r="E911" s="127"/>
      <c r="F911" s="127"/>
      <c r="G911" s="127"/>
      <c r="H911" s="127"/>
      <c r="I911" s="127"/>
      <c r="J911" s="127"/>
      <c r="K911" s="127"/>
      <c r="L911" s="127"/>
      <c r="M911" s="127"/>
    </row>
    <row r="912" ht="20.25" customHeight="1">
      <c r="A912" s="275"/>
      <c r="B912" s="277"/>
      <c r="C912" s="277"/>
      <c r="D912" s="277"/>
      <c r="E912" s="117"/>
      <c r="F912" s="117"/>
      <c r="G912" s="117"/>
      <c r="H912" s="117"/>
      <c r="I912" s="117"/>
      <c r="J912" s="117"/>
      <c r="K912" s="117"/>
      <c r="L912" s="117"/>
      <c r="M912" s="117"/>
    </row>
    <row r="913" ht="20.25" customHeight="1">
      <c r="A913" s="273"/>
      <c r="B913" s="274"/>
      <c r="C913" s="274"/>
      <c r="D913" s="274"/>
      <c r="E913" s="127"/>
      <c r="F913" s="127"/>
      <c r="G913" s="127"/>
      <c r="H913" s="127"/>
      <c r="I913" s="127"/>
      <c r="J913" s="127"/>
      <c r="K913" s="127"/>
      <c r="L913" s="127"/>
      <c r="M913" s="127"/>
    </row>
    <row r="914" ht="20.25" customHeight="1">
      <c r="A914" s="275"/>
      <c r="B914" s="277"/>
      <c r="C914" s="277"/>
      <c r="D914" s="277"/>
      <c r="E914" s="117"/>
      <c r="F914" s="117"/>
      <c r="G914" s="117"/>
      <c r="H914" s="117"/>
      <c r="I914" s="117"/>
      <c r="J914" s="117"/>
      <c r="K914" s="117"/>
      <c r="L914" s="117"/>
      <c r="M914" s="117"/>
    </row>
    <row r="915" ht="20.25" customHeight="1">
      <c r="A915" s="273"/>
      <c r="B915" s="274"/>
      <c r="C915" s="274"/>
      <c r="D915" s="274"/>
      <c r="E915" s="127"/>
      <c r="F915" s="127"/>
      <c r="G915" s="127"/>
      <c r="H915" s="127"/>
      <c r="I915" s="127"/>
      <c r="J915" s="127"/>
      <c r="K915" s="127"/>
      <c r="L915" s="127"/>
      <c r="M915" s="127"/>
    </row>
    <row r="916" ht="20.25" customHeight="1">
      <c r="A916" s="275"/>
      <c r="B916" s="277"/>
      <c r="C916" s="277"/>
      <c r="D916" s="277"/>
      <c r="E916" s="117"/>
      <c r="F916" s="117"/>
      <c r="G916" s="117"/>
      <c r="H916" s="117"/>
      <c r="I916" s="117"/>
      <c r="J916" s="117"/>
      <c r="K916" s="117"/>
      <c r="L916" s="117"/>
      <c r="M916" s="117"/>
    </row>
    <row r="917" ht="20.25" customHeight="1">
      <c r="A917" s="273"/>
      <c r="B917" s="274"/>
      <c r="C917" s="274"/>
      <c r="D917" s="274"/>
      <c r="E917" s="127"/>
      <c r="F917" s="127"/>
      <c r="G917" s="127"/>
      <c r="H917" s="127"/>
      <c r="I917" s="127"/>
      <c r="J917" s="127"/>
      <c r="K917" s="127"/>
      <c r="L917" s="127"/>
      <c r="M917" s="127"/>
    </row>
    <row r="918" ht="20.25" customHeight="1">
      <c r="A918" s="275"/>
      <c r="B918" s="277"/>
      <c r="C918" s="277"/>
      <c r="D918" s="277"/>
      <c r="E918" s="117"/>
      <c r="F918" s="117"/>
      <c r="G918" s="117"/>
      <c r="H918" s="117"/>
      <c r="I918" s="117"/>
      <c r="J918" s="117"/>
      <c r="K918" s="117"/>
      <c r="L918" s="117"/>
      <c r="M918" s="117"/>
    </row>
    <row r="919" ht="20.25" customHeight="1">
      <c r="A919" s="273"/>
      <c r="B919" s="274"/>
      <c r="C919" s="274"/>
      <c r="D919" s="274"/>
      <c r="E919" s="127"/>
      <c r="F919" s="127"/>
      <c r="G919" s="127"/>
      <c r="H919" s="127"/>
      <c r="I919" s="127"/>
      <c r="J919" s="127"/>
      <c r="K919" s="127"/>
      <c r="L919" s="127"/>
      <c r="M919" s="127"/>
    </row>
    <row r="920" ht="20.25" customHeight="1">
      <c r="A920" s="275"/>
      <c r="B920" s="277"/>
      <c r="C920" s="277"/>
      <c r="D920" s="277"/>
      <c r="E920" s="117"/>
      <c r="F920" s="117"/>
      <c r="G920" s="117"/>
      <c r="H920" s="117"/>
      <c r="I920" s="117"/>
      <c r="J920" s="117"/>
      <c r="K920" s="117"/>
      <c r="L920" s="117"/>
      <c r="M920" s="117"/>
    </row>
    <row r="921" ht="20.25" customHeight="1">
      <c r="A921" s="273"/>
      <c r="B921" s="274"/>
      <c r="C921" s="274"/>
      <c r="D921" s="274"/>
      <c r="E921" s="127"/>
      <c r="F921" s="127"/>
      <c r="G921" s="127"/>
      <c r="H921" s="127"/>
      <c r="I921" s="127"/>
      <c r="J921" s="127"/>
      <c r="K921" s="127"/>
      <c r="L921" s="127"/>
      <c r="M921" s="127"/>
    </row>
    <row r="922" ht="20.25" customHeight="1">
      <c r="A922" s="275"/>
      <c r="B922" s="277"/>
      <c r="C922" s="277"/>
      <c r="D922" s="277"/>
      <c r="E922" s="117"/>
      <c r="F922" s="117"/>
      <c r="G922" s="117"/>
      <c r="H922" s="117"/>
      <c r="I922" s="117"/>
      <c r="J922" s="117"/>
      <c r="K922" s="117"/>
      <c r="L922" s="117"/>
      <c r="M922" s="117"/>
    </row>
    <row r="923" ht="20.25" customHeight="1">
      <c r="A923" s="273"/>
      <c r="B923" s="274"/>
      <c r="C923" s="274"/>
      <c r="D923" s="274"/>
      <c r="E923" s="127"/>
      <c r="F923" s="127"/>
      <c r="G923" s="127"/>
      <c r="H923" s="127"/>
      <c r="I923" s="127"/>
      <c r="J923" s="127"/>
      <c r="K923" s="127"/>
      <c r="L923" s="127"/>
      <c r="M923" s="127"/>
    </row>
    <row r="924" ht="20.25" customHeight="1">
      <c r="A924" s="275"/>
      <c r="B924" s="277"/>
      <c r="C924" s="277"/>
      <c r="D924" s="277"/>
      <c r="E924" s="117"/>
      <c r="F924" s="117"/>
      <c r="G924" s="117"/>
      <c r="H924" s="117"/>
      <c r="I924" s="117"/>
      <c r="J924" s="117"/>
      <c r="K924" s="117"/>
      <c r="L924" s="117"/>
      <c r="M924" s="117"/>
    </row>
    <row r="925" ht="20.25" customHeight="1">
      <c r="A925" s="273"/>
      <c r="B925" s="274"/>
      <c r="C925" s="274"/>
      <c r="D925" s="274"/>
      <c r="E925" s="127"/>
      <c r="F925" s="127"/>
      <c r="G925" s="127"/>
      <c r="H925" s="127"/>
      <c r="I925" s="127"/>
      <c r="J925" s="127"/>
      <c r="K925" s="127"/>
      <c r="L925" s="127"/>
      <c r="M925" s="127"/>
    </row>
    <row r="926" ht="20.25" customHeight="1">
      <c r="A926" s="275"/>
      <c r="B926" s="277"/>
      <c r="C926" s="277"/>
      <c r="D926" s="277"/>
      <c r="E926" s="117"/>
      <c r="F926" s="117"/>
      <c r="G926" s="117"/>
      <c r="H926" s="117"/>
      <c r="I926" s="117"/>
      <c r="J926" s="117"/>
      <c r="K926" s="117"/>
      <c r="L926" s="117"/>
      <c r="M926" s="117"/>
    </row>
    <row r="927" ht="20.25" customHeight="1">
      <c r="A927" s="273"/>
      <c r="B927" s="274"/>
      <c r="C927" s="274"/>
      <c r="D927" s="274"/>
      <c r="E927" s="127"/>
      <c r="F927" s="127"/>
      <c r="G927" s="127"/>
      <c r="H927" s="127"/>
      <c r="I927" s="127"/>
      <c r="J927" s="127"/>
      <c r="K927" s="127"/>
      <c r="L927" s="127"/>
      <c r="M927" s="127"/>
    </row>
    <row r="928" ht="20.25" customHeight="1">
      <c r="A928" s="275"/>
      <c r="B928" s="277"/>
      <c r="C928" s="277"/>
      <c r="D928" s="277"/>
      <c r="E928" s="117"/>
      <c r="F928" s="117"/>
      <c r="G928" s="117"/>
      <c r="H928" s="117"/>
      <c r="I928" s="117"/>
      <c r="J928" s="117"/>
      <c r="K928" s="117"/>
      <c r="L928" s="117"/>
      <c r="M928" s="117"/>
    </row>
    <row r="929" ht="20.25" customHeight="1">
      <c r="A929" s="273"/>
      <c r="B929" s="274"/>
      <c r="C929" s="274"/>
      <c r="D929" s="274"/>
      <c r="E929" s="127"/>
      <c r="F929" s="127"/>
      <c r="G929" s="127"/>
      <c r="H929" s="127"/>
      <c r="I929" s="127"/>
      <c r="J929" s="127"/>
      <c r="K929" s="127"/>
      <c r="L929" s="127"/>
      <c r="M929" s="127"/>
    </row>
    <row r="930" ht="20.25" customHeight="1">
      <c r="A930" s="275"/>
      <c r="B930" s="277"/>
      <c r="C930" s="277"/>
      <c r="D930" s="277"/>
      <c r="E930" s="117"/>
      <c r="F930" s="117"/>
      <c r="G930" s="117"/>
      <c r="H930" s="117"/>
      <c r="I930" s="117"/>
      <c r="J930" s="117"/>
      <c r="K930" s="117"/>
      <c r="L930" s="117"/>
      <c r="M930" s="117"/>
    </row>
    <row r="931" ht="20.25" customHeight="1">
      <c r="A931" s="273"/>
      <c r="B931" s="274"/>
      <c r="C931" s="274"/>
      <c r="D931" s="274"/>
      <c r="E931" s="127"/>
      <c r="F931" s="127"/>
      <c r="G931" s="127"/>
      <c r="H931" s="127"/>
      <c r="I931" s="127"/>
      <c r="J931" s="127"/>
      <c r="K931" s="127"/>
      <c r="L931" s="127"/>
      <c r="M931" s="127"/>
    </row>
    <row r="932" ht="20.25" customHeight="1">
      <c r="A932" s="275"/>
      <c r="B932" s="277"/>
      <c r="C932" s="277"/>
      <c r="D932" s="277"/>
      <c r="E932" s="117"/>
      <c r="F932" s="117"/>
      <c r="G932" s="117"/>
      <c r="H932" s="117"/>
      <c r="I932" s="117"/>
      <c r="J932" s="117"/>
      <c r="K932" s="117"/>
      <c r="L932" s="117"/>
      <c r="M932" s="117"/>
    </row>
    <row r="933" ht="20.25" customHeight="1">
      <c r="A933" s="273"/>
      <c r="B933" s="274"/>
      <c r="C933" s="274"/>
      <c r="D933" s="274"/>
      <c r="E933" s="127"/>
      <c r="F933" s="127"/>
      <c r="G933" s="127"/>
      <c r="H933" s="127"/>
      <c r="I933" s="127"/>
      <c r="J933" s="127"/>
      <c r="K933" s="127"/>
      <c r="L933" s="127"/>
      <c r="M933" s="127"/>
    </row>
    <row r="934" ht="20.25" customHeight="1">
      <c r="A934" s="275"/>
      <c r="B934" s="277"/>
      <c r="C934" s="277"/>
      <c r="D934" s="277"/>
      <c r="E934" s="117"/>
      <c r="F934" s="117"/>
      <c r="G934" s="117"/>
      <c r="H934" s="117"/>
      <c r="I934" s="117"/>
      <c r="J934" s="117"/>
      <c r="K934" s="117"/>
      <c r="L934" s="117"/>
      <c r="M934" s="117"/>
    </row>
    <row r="935" ht="20.25" customHeight="1">
      <c r="A935" s="273"/>
      <c r="B935" s="274"/>
      <c r="C935" s="274"/>
      <c r="D935" s="274"/>
      <c r="E935" s="127"/>
      <c r="F935" s="127"/>
      <c r="G935" s="127"/>
      <c r="H935" s="127"/>
      <c r="I935" s="127"/>
      <c r="J935" s="127"/>
      <c r="K935" s="127"/>
      <c r="L935" s="127"/>
      <c r="M935" s="127"/>
    </row>
    <row r="936" ht="20.25" customHeight="1">
      <c r="A936" s="275"/>
      <c r="B936" s="277"/>
      <c r="C936" s="277"/>
      <c r="D936" s="277"/>
      <c r="E936" s="117"/>
      <c r="F936" s="117"/>
      <c r="G936" s="117"/>
      <c r="H936" s="117"/>
      <c r="I936" s="117"/>
      <c r="J936" s="117"/>
      <c r="K936" s="117"/>
      <c r="L936" s="117"/>
      <c r="M936" s="117"/>
    </row>
    <row r="937" ht="20.25" customHeight="1">
      <c r="A937" s="273"/>
      <c r="B937" s="274"/>
      <c r="C937" s="274"/>
      <c r="D937" s="274"/>
      <c r="E937" s="127"/>
      <c r="F937" s="127"/>
      <c r="G937" s="127"/>
      <c r="H937" s="127"/>
      <c r="I937" s="127"/>
      <c r="J937" s="127"/>
      <c r="K937" s="127"/>
      <c r="L937" s="127"/>
      <c r="M937" s="127"/>
    </row>
    <row r="938" ht="20.25" customHeight="1">
      <c r="A938" s="275"/>
      <c r="B938" s="277"/>
      <c r="C938" s="277"/>
      <c r="D938" s="277"/>
      <c r="E938" s="117"/>
      <c r="F938" s="117"/>
      <c r="G938" s="117"/>
      <c r="H938" s="117"/>
      <c r="I938" s="117"/>
      <c r="J938" s="117"/>
      <c r="K938" s="117"/>
      <c r="L938" s="117"/>
      <c r="M938" s="117"/>
    </row>
    <row r="939" ht="20.25" customHeight="1">
      <c r="A939" s="273"/>
      <c r="B939" s="274"/>
      <c r="C939" s="274"/>
      <c r="D939" s="274"/>
      <c r="E939" s="127"/>
      <c r="F939" s="127"/>
      <c r="G939" s="127"/>
      <c r="H939" s="127"/>
      <c r="I939" s="127"/>
      <c r="J939" s="127"/>
      <c r="K939" s="127"/>
      <c r="L939" s="127"/>
      <c r="M939" s="127"/>
    </row>
    <row r="940" ht="20.25" customHeight="1">
      <c r="A940" s="275"/>
      <c r="B940" s="277"/>
      <c r="C940" s="277"/>
      <c r="D940" s="277"/>
      <c r="E940" s="117"/>
      <c r="F940" s="117"/>
      <c r="G940" s="117"/>
      <c r="H940" s="117"/>
      <c r="I940" s="117"/>
      <c r="J940" s="117"/>
      <c r="K940" s="117"/>
      <c r="L940" s="117"/>
      <c r="M940" s="117"/>
    </row>
    <row r="941" ht="20.25" customHeight="1">
      <c r="A941" s="273"/>
      <c r="B941" s="274"/>
      <c r="C941" s="274"/>
      <c r="D941" s="274"/>
      <c r="E941" s="127"/>
      <c r="F941" s="127"/>
      <c r="G941" s="127"/>
      <c r="H941" s="127"/>
      <c r="I941" s="127"/>
      <c r="J941" s="127"/>
      <c r="K941" s="127"/>
      <c r="L941" s="127"/>
      <c r="M941" s="127"/>
    </row>
    <row r="942" ht="20.25" customHeight="1">
      <c r="A942" s="275"/>
      <c r="B942" s="277"/>
      <c r="C942" s="277"/>
      <c r="D942" s="277"/>
      <c r="E942" s="117"/>
      <c r="F942" s="117"/>
      <c r="G942" s="117"/>
      <c r="H942" s="117"/>
      <c r="I942" s="117"/>
      <c r="J942" s="117"/>
      <c r="K942" s="117"/>
      <c r="L942" s="117"/>
      <c r="M942" s="117"/>
    </row>
    <row r="943" ht="20.25" customHeight="1">
      <c r="A943" s="273"/>
      <c r="B943" s="274"/>
      <c r="C943" s="274"/>
      <c r="D943" s="274"/>
      <c r="E943" s="127"/>
      <c r="F943" s="127"/>
      <c r="G943" s="127"/>
      <c r="H943" s="127"/>
      <c r="I943" s="127"/>
      <c r="J943" s="127"/>
      <c r="K943" s="127"/>
      <c r="L943" s="127"/>
      <c r="M943" s="127"/>
    </row>
    <row r="944" ht="20.25" customHeight="1">
      <c r="A944" s="275"/>
      <c r="B944" s="277"/>
      <c r="C944" s="277"/>
      <c r="D944" s="277"/>
      <c r="E944" s="117"/>
      <c r="F944" s="117"/>
      <c r="G944" s="117"/>
      <c r="H944" s="117"/>
      <c r="I944" s="117"/>
      <c r="J944" s="117"/>
      <c r="K944" s="117"/>
      <c r="L944" s="117"/>
      <c r="M944" s="117"/>
    </row>
    <row r="945" ht="20.25" customHeight="1">
      <c r="A945" s="273"/>
      <c r="B945" s="274"/>
      <c r="C945" s="274"/>
      <c r="D945" s="274"/>
      <c r="E945" s="127"/>
      <c r="F945" s="127"/>
      <c r="G945" s="127"/>
      <c r="H945" s="127"/>
      <c r="I945" s="127"/>
      <c r="J945" s="127"/>
      <c r="K945" s="127"/>
      <c r="L945" s="127"/>
      <c r="M945" s="127"/>
    </row>
    <row r="946" ht="20.25" customHeight="1">
      <c r="A946" s="275"/>
      <c r="B946" s="277"/>
      <c r="C946" s="277"/>
      <c r="D946" s="277"/>
      <c r="E946" s="117"/>
      <c r="F946" s="117"/>
      <c r="G946" s="117"/>
      <c r="H946" s="117"/>
      <c r="I946" s="117"/>
      <c r="J946" s="117"/>
      <c r="K946" s="117"/>
      <c r="L946" s="117"/>
      <c r="M946" s="117"/>
    </row>
    <row r="947" ht="20.25" customHeight="1">
      <c r="A947" s="273"/>
      <c r="B947" s="274"/>
      <c r="C947" s="274"/>
      <c r="D947" s="274"/>
      <c r="E947" s="127"/>
      <c r="F947" s="127"/>
      <c r="G947" s="127"/>
      <c r="H947" s="127"/>
      <c r="I947" s="127"/>
      <c r="J947" s="127"/>
      <c r="K947" s="127"/>
      <c r="L947" s="127"/>
      <c r="M947" s="127"/>
    </row>
    <row r="948" ht="20.25" customHeight="1">
      <c r="A948" s="275"/>
      <c r="B948" s="277"/>
      <c r="C948" s="277"/>
      <c r="D948" s="277"/>
      <c r="E948" s="117"/>
      <c r="F948" s="117"/>
      <c r="G948" s="117"/>
      <c r="H948" s="117"/>
      <c r="I948" s="117"/>
      <c r="J948" s="117"/>
      <c r="K948" s="117"/>
      <c r="L948" s="117"/>
      <c r="M948" s="117"/>
    </row>
    <row r="949" ht="20.25" customHeight="1">
      <c r="A949" s="273"/>
      <c r="B949" s="274"/>
      <c r="C949" s="274"/>
      <c r="D949" s="274"/>
      <c r="E949" s="127"/>
      <c r="F949" s="127"/>
      <c r="G949" s="127"/>
      <c r="H949" s="127"/>
      <c r="I949" s="127"/>
      <c r="J949" s="127"/>
      <c r="K949" s="127"/>
      <c r="L949" s="127"/>
      <c r="M949" s="127"/>
    </row>
    <row r="950" ht="20.25" customHeight="1">
      <c r="A950" s="275"/>
      <c r="B950" s="277"/>
      <c r="C950" s="277"/>
      <c r="D950" s="277"/>
      <c r="E950" s="117"/>
      <c r="F950" s="117"/>
      <c r="G950" s="117"/>
      <c r="H950" s="117"/>
      <c r="I950" s="117"/>
      <c r="J950" s="117"/>
      <c r="K950" s="117"/>
      <c r="L950" s="117"/>
      <c r="M950" s="117"/>
    </row>
    <row r="951" ht="20.25" customHeight="1">
      <c r="A951" s="273"/>
      <c r="B951" s="274"/>
      <c r="C951" s="274"/>
      <c r="D951" s="274"/>
      <c r="E951" s="127"/>
      <c r="F951" s="127"/>
      <c r="G951" s="127"/>
      <c r="H951" s="127"/>
      <c r="I951" s="127"/>
      <c r="J951" s="127"/>
      <c r="K951" s="127"/>
      <c r="L951" s="127"/>
      <c r="M951" s="127"/>
    </row>
    <row r="952" ht="20.25" customHeight="1">
      <c r="A952" s="275"/>
      <c r="B952" s="277"/>
      <c r="C952" s="277"/>
      <c r="D952" s="277"/>
      <c r="E952" s="117"/>
      <c r="F952" s="117"/>
      <c r="G952" s="117"/>
      <c r="H952" s="117"/>
      <c r="I952" s="117"/>
      <c r="J952" s="117"/>
      <c r="K952" s="117"/>
      <c r="L952" s="117"/>
      <c r="M952" s="117"/>
    </row>
    <row r="953" ht="20.25" customHeight="1">
      <c r="A953" s="273"/>
      <c r="B953" s="274"/>
      <c r="C953" s="274"/>
      <c r="D953" s="274"/>
      <c r="E953" s="127"/>
      <c r="F953" s="127"/>
      <c r="G953" s="127"/>
      <c r="H953" s="127"/>
      <c r="I953" s="127"/>
      <c r="J953" s="127"/>
      <c r="K953" s="127"/>
      <c r="L953" s="127"/>
      <c r="M953" s="127"/>
    </row>
    <row r="954" ht="20.25" customHeight="1">
      <c r="A954" s="275"/>
      <c r="B954" s="277"/>
      <c r="C954" s="277"/>
      <c r="D954" s="277"/>
      <c r="E954" s="117"/>
      <c r="F954" s="117"/>
      <c r="G954" s="117"/>
      <c r="H954" s="117"/>
      <c r="I954" s="117"/>
      <c r="J954" s="117"/>
      <c r="K954" s="117"/>
      <c r="L954" s="117"/>
      <c r="M954" s="117"/>
    </row>
    <row r="955" ht="20.25" customHeight="1">
      <c r="A955" s="273"/>
      <c r="B955" s="274"/>
      <c r="C955" s="274"/>
      <c r="D955" s="274"/>
      <c r="E955" s="127"/>
      <c r="F955" s="127"/>
      <c r="G955" s="127"/>
      <c r="H955" s="127"/>
      <c r="I955" s="127"/>
      <c r="J955" s="127"/>
      <c r="K955" s="127"/>
      <c r="L955" s="127"/>
      <c r="M955" s="127"/>
    </row>
    <row r="956" ht="20.25" customHeight="1">
      <c r="A956" s="275"/>
      <c r="B956" s="277"/>
      <c r="C956" s="277"/>
      <c r="D956" s="277"/>
      <c r="E956" s="117"/>
      <c r="F956" s="117"/>
      <c r="G956" s="117"/>
      <c r="H956" s="117"/>
      <c r="I956" s="117"/>
      <c r="J956" s="117"/>
      <c r="K956" s="117"/>
      <c r="L956" s="117"/>
      <c r="M956" s="117"/>
    </row>
    <row r="957" ht="20.25" customHeight="1">
      <c r="A957" s="273"/>
      <c r="B957" s="274"/>
      <c r="C957" s="274"/>
      <c r="D957" s="274"/>
      <c r="E957" s="127"/>
      <c r="F957" s="127"/>
      <c r="G957" s="127"/>
      <c r="H957" s="127"/>
      <c r="I957" s="127"/>
      <c r="J957" s="127"/>
      <c r="K957" s="127"/>
      <c r="L957" s="127"/>
      <c r="M957" s="127"/>
    </row>
    <row r="958" ht="20.25" customHeight="1">
      <c r="A958" s="275"/>
      <c r="B958" s="277"/>
      <c r="C958" s="277"/>
      <c r="D958" s="277"/>
      <c r="E958" s="117"/>
      <c r="F958" s="117"/>
      <c r="G958" s="117"/>
      <c r="H958" s="117"/>
      <c r="I958" s="117"/>
      <c r="J958" s="117"/>
      <c r="K958" s="117"/>
      <c r="L958" s="117"/>
      <c r="M958" s="117"/>
    </row>
    <row r="959" ht="20.25" customHeight="1">
      <c r="A959" s="273"/>
      <c r="B959" s="274"/>
      <c r="C959" s="274"/>
      <c r="D959" s="274"/>
      <c r="E959" s="127"/>
      <c r="F959" s="127"/>
      <c r="G959" s="127"/>
      <c r="H959" s="127"/>
      <c r="I959" s="127"/>
      <c r="J959" s="127"/>
      <c r="K959" s="127"/>
      <c r="L959" s="127"/>
      <c r="M959" s="127"/>
    </row>
    <row r="960" ht="20.25" customHeight="1">
      <c r="A960" s="275"/>
      <c r="B960" s="277"/>
      <c r="C960" s="277"/>
      <c r="D960" s="277"/>
      <c r="E960" s="117"/>
      <c r="F960" s="117"/>
      <c r="G960" s="117"/>
      <c r="H960" s="117"/>
      <c r="I960" s="117"/>
      <c r="J960" s="117"/>
      <c r="K960" s="117"/>
      <c r="L960" s="117"/>
      <c r="M960" s="117"/>
    </row>
    <row r="961" ht="20.25" customHeight="1">
      <c r="A961" s="273"/>
      <c r="B961" s="274"/>
      <c r="C961" s="274"/>
      <c r="D961" s="274"/>
      <c r="E961" s="127"/>
      <c r="F961" s="127"/>
      <c r="G961" s="127"/>
      <c r="H961" s="127"/>
      <c r="I961" s="127"/>
      <c r="J961" s="127"/>
      <c r="K961" s="127"/>
      <c r="L961" s="127"/>
      <c r="M961" s="127"/>
    </row>
    <row r="962" ht="20.25" customHeight="1">
      <c r="A962" s="275"/>
      <c r="B962" s="277"/>
      <c r="C962" s="277"/>
      <c r="D962" s="277"/>
      <c r="E962" s="117"/>
      <c r="F962" s="117"/>
      <c r="G962" s="117"/>
      <c r="H962" s="117"/>
      <c r="I962" s="117"/>
      <c r="J962" s="117"/>
      <c r="K962" s="117"/>
      <c r="L962" s="117"/>
      <c r="M962" s="117"/>
    </row>
    <row r="963" ht="20.25" customHeight="1">
      <c r="A963" s="273"/>
      <c r="B963" s="274"/>
      <c r="C963" s="274"/>
      <c r="D963" s="274"/>
      <c r="E963" s="127"/>
      <c r="F963" s="127"/>
      <c r="G963" s="127"/>
      <c r="H963" s="127"/>
      <c r="I963" s="127"/>
      <c r="J963" s="127"/>
      <c r="K963" s="127"/>
      <c r="L963" s="127"/>
      <c r="M963" s="127"/>
    </row>
    <row r="964" ht="20.25" customHeight="1">
      <c r="A964" s="275"/>
      <c r="B964" s="277"/>
      <c r="C964" s="277"/>
      <c r="D964" s="277"/>
      <c r="E964" s="117"/>
      <c r="F964" s="117"/>
      <c r="G964" s="117"/>
      <c r="H964" s="117"/>
      <c r="I964" s="117"/>
      <c r="J964" s="117"/>
      <c r="K964" s="117"/>
      <c r="L964" s="117"/>
      <c r="M964" s="117"/>
    </row>
    <row r="965" ht="20.25" customHeight="1">
      <c r="A965" s="273"/>
      <c r="B965" s="274"/>
      <c r="C965" s="274"/>
      <c r="D965" s="274"/>
      <c r="E965" s="127"/>
      <c r="F965" s="127"/>
      <c r="G965" s="127"/>
      <c r="H965" s="127"/>
      <c r="I965" s="127"/>
      <c r="J965" s="127"/>
      <c r="K965" s="127"/>
      <c r="L965" s="127"/>
      <c r="M965" s="127"/>
    </row>
    <row r="966" ht="20.25" customHeight="1">
      <c r="A966" s="275"/>
      <c r="B966" s="277"/>
      <c r="C966" s="277"/>
      <c r="D966" s="277"/>
      <c r="E966" s="117"/>
      <c r="F966" s="117"/>
      <c r="G966" s="117"/>
      <c r="H966" s="117"/>
      <c r="I966" s="117"/>
      <c r="J966" s="117"/>
      <c r="K966" s="117"/>
      <c r="L966" s="117"/>
      <c r="M966" s="117"/>
    </row>
    <row r="967" ht="20.25" customHeight="1">
      <c r="A967" s="273"/>
      <c r="B967" s="274"/>
      <c r="C967" s="274"/>
      <c r="D967" s="274"/>
      <c r="E967" s="127"/>
      <c r="F967" s="127"/>
      <c r="G967" s="127"/>
      <c r="H967" s="127"/>
      <c r="I967" s="127"/>
      <c r="J967" s="127"/>
      <c r="K967" s="127"/>
      <c r="L967" s="127"/>
      <c r="M967" s="127"/>
    </row>
    <row r="968" ht="20.25" customHeight="1">
      <c r="A968" s="275"/>
      <c r="B968" s="277"/>
      <c r="C968" s="277"/>
      <c r="D968" s="277"/>
      <c r="E968" s="117"/>
      <c r="F968" s="117"/>
      <c r="G968" s="117"/>
      <c r="H968" s="117"/>
      <c r="I968" s="117"/>
      <c r="J968" s="117"/>
      <c r="K968" s="117"/>
      <c r="L968" s="117"/>
      <c r="M968" s="117"/>
    </row>
    <row r="969" ht="20.25" customHeight="1">
      <c r="A969" s="273"/>
      <c r="B969" s="274"/>
      <c r="C969" s="274"/>
      <c r="D969" s="274"/>
      <c r="E969" s="127"/>
      <c r="F969" s="127"/>
      <c r="G969" s="127"/>
      <c r="H969" s="127"/>
      <c r="I969" s="127"/>
      <c r="J969" s="127"/>
      <c r="K969" s="127"/>
      <c r="L969" s="127"/>
      <c r="M969" s="127"/>
    </row>
    <row r="970" ht="20.25" customHeight="1">
      <c r="A970" s="275"/>
      <c r="B970" s="277"/>
      <c r="C970" s="277"/>
      <c r="D970" s="277"/>
      <c r="E970" s="117"/>
      <c r="F970" s="117"/>
      <c r="G970" s="117"/>
      <c r="H970" s="117"/>
      <c r="I970" s="117"/>
      <c r="J970" s="117"/>
      <c r="K970" s="117"/>
      <c r="L970" s="117"/>
      <c r="M970" s="117"/>
    </row>
    <row r="971" ht="20.25" customHeight="1">
      <c r="A971" s="273"/>
      <c r="B971" s="274"/>
      <c r="C971" s="274"/>
      <c r="D971" s="274"/>
      <c r="E971" s="127"/>
      <c r="F971" s="127"/>
      <c r="G971" s="127"/>
      <c r="H971" s="127"/>
      <c r="I971" s="127"/>
      <c r="J971" s="127"/>
      <c r="K971" s="127"/>
      <c r="L971" s="127"/>
      <c r="M971" s="127"/>
    </row>
    <row r="972" ht="20.25" customHeight="1">
      <c r="A972" s="275"/>
      <c r="B972" s="277"/>
      <c r="C972" s="277"/>
      <c r="D972" s="277"/>
      <c r="E972" s="117"/>
      <c r="F972" s="117"/>
      <c r="G972" s="117"/>
      <c r="H972" s="117"/>
      <c r="I972" s="117"/>
      <c r="J972" s="117"/>
      <c r="K972" s="117"/>
      <c r="L972" s="117"/>
      <c r="M972" s="117"/>
    </row>
    <row r="973" ht="20.25" customHeight="1">
      <c r="A973" s="273"/>
      <c r="B973" s="274"/>
      <c r="C973" s="274"/>
      <c r="D973" s="274"/>
      <c r="E973" s="127"/>
      <c r="F973" s="127"/>
      <c r="G973" s="127"/>
      <c r="H973" s="127"/>
      <c r="I973" s="127"/>
      <c r="J973" s="127"/>
      <c r="K973" s="127"/>
      <c r="L973" s="127"/>
      <c r="M973" s="127"/>
    </row>
    <row r="974" ht="20.25" customHeight="1">
      <c r="A974" s="275"/>
      <c r="B974" s="277"/>
      <c r="C974" s="277"/>
      <c r="D974" s="277"/>
      <c r="E974" s="117"/>
      <c r="F974" s="117"/>
      <c r="G974" s="117"/>
      <c r="H974" s="117"/>
      <c r="I974" s="117"/>
      <c r="J974" s="117"/>
      <c r="K974" s="117"/>
      <c r="L974" s="117"/>
      <c r="M974" s="117"/>
    </row>
    <row r="975" ht="20.25" customHeight="1">
      <c r="A975" s="273"/>
      <c r="B975" s="274"/>
      <c r="C975" s="274"/>
      <c r="D975" s="274"/>
      <c r="E975" s="127"/>
      <c r="F975" s="127"/>
      <c r="G975" s="127"/>
      <c r="H975" s="127"/>
      <c r="I975" s="127"/>
      <c r="J975" s="127"/>
      <c r="K975" s="127"/>
      <c r="L975" s="127"/>
      <c r="M975" s="127"/>
    </row>
    <row r="976" ht="20.25" customHeight="1">
      <c r="A976" s="275"/>
      <c r="B976" s="277"/>
      <c r="C976" s="277"/>
      <c r="D976" s="277"/>
      <c r="E976" s="117"/>
      <c r="F976" s="117"/>
      <c r="G976" s="117"/>
      <c r="H976" s="117"/>
      <c r="I976" s="117"/>
      <c r="J976" s="117"/>
      <c r="K976" s="117"/>
      <c r="L976" s="117"/>
      <c r="M976" s="117"/>
    </row>
    <row r="977" ht="20.25" customHeight="1">
      <c r="A977" s="273"/>
      <c r="B977" s="274"/>
      <c r="C977" s="274"/>
      <c r="D977" s="274"/>
      <c r="E977" s="127"/>
      <c r="F977" s="127"/>
      <c r="G977" s="127"/>
      <c r="H977" s="127"/>
      <c r="I977" s="127"/>
      <c r="J977" s="127"/>
      <c r="K977" s="127"/>
      <c r="L977" s="127"/>
      <c r="M977" s="127"/>
    </row>
    <row r="978" ht="20.25" customHeight="1">
      <c r="A978" s="275"/>
      <c r="B978" s="277"/>
      <c r="C978" s="277"/>
      <c r="D978" s="277"/>
      <c r="E978" s="117"/>
      <c r="F978" s="117"/>
      <c r="G978" s="117"/>
      <c r="H978" s="117"/>
      <c r="I978" s="117"/>
      <c r="J978" s="117"/>
      <c r="K978" s="117"/>
      <c r="L978" s="117"/>
      <c r="M978" s="117"/>
    </row>
    <row r="979" ht="20.25" customHeight="1">
      <c r="A979" s="273"/>
      <c r="B979" s="274"/>
      <c r="C979" s="274"/>
      <c r="D979" s="274"/>
      <c r="E979" s="127"/>
      <c r="F979" s="127"/>
      <c r="G979" s="127"/>
      <c r="H979" s="127"/>
      <c r="I979" s="127"/>
      <c r="J979" s="127"/>
      <c r="K979" s="127"/>
      <c r="L979" s="127"/>
      <c r="M979" s="127"/>
    </row>
    <row r="980" ht="20.25" customHeight="1">
      <c r="A980" s="275"/>
      <c r="B980" s="277"/>
      <c r="C980" s="277"/>
      <c r="D980" s="277"/>
      <c r="E980" s="117"/>
      <c r="F980" s="117"/>
      <c r="G980" s="117"/>
      <c r="H980" s="117"/>
      <c r="I980" s="117"/>
      <c r="J980" s="117"/>
      <c r="K980" s="117"/>
      <c r="L980" s="117"/>
      <c r="M980" s="117"/>
    </row>
    <row r="981" ht="20.25" customHeight="1">
      <c r="A981" s="273"/>
      <c r="B981" s="274"/>
      <c r="C981" s="274"/>
      <c r="D981" s="274"/>
      <c r="E981" s="127"/>
      <c r="F981" s="127"/>
      <c r="G981" s="127"/>
      <c r="H981" s="127"/>
      <c r="I981" s="127"/>
      <c r="J981" s="127"/>
      <c r="K981" s="127"/>
      <c r="L981" s="127"/>
      <c r="M981" s="127"/>
    </row>
    <row r="982" ht="20.25" customHeight="1">
      <c r="A982" s="275"/>
      <c r="B982" s="277"/>
      <c r="C982" s="277"/>
      <c r="D982" s="277"/>
      <c r="E982" s="117"/>
      <c r="F982" s="117"/>
      <c r="G982" s="117"/>
      <c r="H982" s="117"/>
      <c r="I982" s="117"/>
      <c r="J982" s="117"/>
      <c r="K982" s="117"/>
      <c r="L982" s="117"/>
      <c r="M982" s="117"/>
    </row>
    <row r="983" ht="20.25" customHeight="1">
      <c r="A983" s="273"/>
      <c r="B983" s="274"/>
      <c r="C983" s="274"/>
      <c r="D983" s="274"/>
      <c r="E983" s="127"/>
      <c r="F983" s="127"/>
      <c r="G983" s="127"/>
      <c r="H983" s="127"/>
      <c r="I983" s="127"/>
      <c r="J983" s="127"/>
      <c r="K983" s="127"/>
      <c r="L983" s="127"/>
      <c r="M983" s="127"/>
    </row>
    <row r="984" ht="20.25" customHeight="1">
      <c r="A984" s="275"/>
      <c r="B984" s="277"/>
      <c r="C984" s="277"/>
      <c r="D984" s="277"/>
      <c r="E984" s="117"/>
      <c r="F984" s="117"/>
      <c r="G984" s="117"/>
      <c r="H984" s="117"/>
      <c r="I984" s="117"/>
      <c r="J984" s="117"/>
      <c r="K984" s="117"/>
      <c r="L984" s="117"/>
      <c r="M984" s="117"/>
    </row>
    <row r="985" ht="20.25" customHeight="1">
      <c r="A985" s="273"/>
      <c r="B985" s="274"/>
      <c r="C985" s="274"/>
      <c r="D985" s="274"/>
      <c r="E985" s="127"/>
      <c r="F985" s="127"/>
      <c r="G985" s="127"/>
      <c r="H985" s="127"/>
      <c r="I985" s="127"/>
      <c r="J985" s="127"/>
      <c r="K985" s="127"/>
      <c r="L985" s="127"/>
      <c r="M985" s="127"/>
    </row>
    <row r="986" ht="20.25" customHeight="1">
      <c r="A986" s="275"/>
      <c r="B986" s="277"/>
      <c r="C986" s="277"/>
      <c r="D986" s="277"/>
      <c r="E986" s="117"/>
      <c r="F986" s="117"/>
      <c r="G986" s="117"/>
      <c r="H986" s="117"/>
      <c r="I986" s="117"/>
      <c r="J986" s="117"/>
      <c r="K986" s="117"/>
      <c r="L986" s="117"/>
      <c r="M986" s="117"/>
    </row>
    <row r="987" ht="20.25" customHeight="1">
      <c r="A987" s="273"/>
      <c r="B987" s="274"/>
      <c r="C987" s="274"/>
      <c r="D987" s="274"/>
      <c r="E987" s="127"/>
      <c r="F987" s="127"/>
      <c r="G987" s="127"/>
      <c r="H987" s="127"/>
      <c r="I987" s="127"/>
      <c r="J987" s="127"/>
      <c r="K987" s="127"/>
      <c r="L987" s="127"/>
      <c r="M987" s="127"/>
    </row>
    <row r="988" ht="20.25" customHeight="1">
      <c r="A988" s="275"/>
      <c r="B988" s="277"/>
      <c r="C988" s="277"/>
      <c r="D988" s="277"/>
      <c r="E988" s="117"/>
      <c r="F988" s="117"/>
      <c r="G988" s="117"/>
      <c r="H988" s="117"/>
      <c r="I988" s="117"/>
      <c r="J988" s="117"/>
      <c r="K988" s="117"/>
      <c r="L988" s="117"/>
      <c r="M988" s="117"/>
    </row>
    <row r="989" ht="20.25" customHeight="1">
      <c r="A989" s="273"/>
      <c r="B989" s="274"/>
      <c r="C989" s="274"/>
      <c r="D989" s="274"/>
      <c r="E989" s="127"/>
      <c r="F989" s="127"/>
      <c r="G989" s="127"/>
      <c r="H989" s="127"/>
      <c r="I989" s="127"/>
      <c r="J989" s="127"/>
      <c r="K989" s="127"/>
      <c r="L989" s="127"/>
      <c r="M989" s="127"/>
    </row>
    <row r="990" ht="20.25" customHeight="1">
      <c r="A990" s="275"/>
      <c r="B990" s="277"/>
      <c r="C990" s="277"/>
      <c r="D990" s="277"/>
      <c r="E990" s="117"/>
      <c r="F990" s="117"/>
      <c r="G990" s="117"/>
      <c r="H990" s="117"/>
      <c r="I990" s="117"/>
      <c r="J990" s="117"/>
      <c r="K990" s="117"/>
      <c r="L990" s="117"/>
      <c r="M990" s="117"/>
    </row>
    <row r="991" ht="20.25" customHeight="1">
      <c r="A991" s="273"/>
      <c r="B991" s="274"/>
      <c r="C991" s="274"/>
      <c r="D991" s="274"/>
      <c r="E991" s="127"/>
      <c r="F991" s="127"/>
      <c r="G991" s="127"/>
      <c r="H991" s="127"/>
      <c r="I991" s="127"/>
      <c r="J991" s="127"/>
      <c r="K991" s="127"/>
      <c r="L991" s="127"/>
      <c r="M991" s="127"/>
    </row>
    <row r="992" ht="20.25" customHeight="1">
      <c r="A992" s="275"/>
      <c r="B992" s="277"/>
      <c r="C992" s="277"/>
      <c r="D992" s="277"/>
      <c r="E992" s="117"/>
      <c r="F992" s="117"/>
      <c r="G992" s="117"/>
      <c r="H992" s="117"/>
      <c r="I992" s="117"/>
      <c r="J992" s="117"/>
      <c r="K992" s="117"/>
      <c r="L992" s="117"/>
      <c r="M992" s="117"/>
    </row>
    <row r="993" ht="20.25" customHeight="1">
      <c r="A993" s="273"/>
      <c r="B993" s="274"/>
      <c r="C993" s="274"/>
      <c r="D993" s="274"/>
      <c r="E993" s="127"/>
      <c r="F993" s="127"/>
      <c r="G993" s="127"/>
      <c r="H993" s="127"/>
      <c r="I993" s="127"/>
      <c r="J993" s="127"/>
      <c r="K993" s="127"/>
      <c r="L993" s="127"/>
      <c r="M993" s="127"/>
    </row>
    <row r="994" ht="20.25" customHeight="1">
      <c r="A994" s="275"/>
      <c r="B994" s="277"/>
      <c r="C994" s="277"/>
      <c r="D994" s="277"/>
      <c r="E994" s="117"/>
      <c r="F994" s="117"/>
      <c r="G994" s="117"/>
      <c r="H994" s="117"/>
      <c r="I994" s="117"/>
      <c r="J994" s="117"/>
      <c r="K994" s="117"/>
      <c r="L994" s="117"/>
      <c r="M994" s="117"/>
    </row>
    <row r="995" ht="20.25" customHeight="1">
      <c r="A995" s="273"/>
      <c r="B995" s="274"/>
      <c r="C995" s="274"/>
      <c r="D995" s="274"/>
      <c r="E995" s="127"/>
      <c r="F995" s="127"/>
      <c r="G995" s="127"/>
      <c r="H995" s="127"/>
      <c r="I995" s="127"/>
      <c r="J995" s="127"/>
      <c r="K995" s="127"/>
      <c r="L995" s="127"/>
      <c r="M995" s="127"/>
    </row>
    <row r="996" ht="20.25" customHeight="1">
      <c r="A996" s="275"/>
      <c r="B996" s="277"/>
      <c r="C996" s="277"/>
      <c r="D996" s="277"/>
      <c r="E996" s="117"/>
      <c r="F996" s="117"/>
      <c r="G996" s="117"/>
      <c r="H996" s="117"/>
      <c r="I996" s="117"/>
      <c r="J996" s="117"/>
      <c r="K996" s="117"/>
      <c r="L996" s="117"/>
      <c r="M996" s="117"/>
    </row>
    <row r="997" ht="20.25" customHeight="1">
      <c r="A997" s="273"/>
      <c r="B997" s="274"/>
      <c r="C997" s="274"/>
      <c r="D997" s="274"/>
      <c r="E997" s="127"/>
      <c r="F997" s="127"/>
      <c r="G997" s="127"/>
      <c r="H997" s="127"/>
      <c r="I997" s="127"/>
      <c r="J997" s="127"/>
      <c r="K997" s="127"/>
      <c r="L997" s="127"/>
      <c r="M997" s="127"/>
    </row>
    <row r="998" ht="20.25" customHeight="1">
      <c r="A998" s="275"/>
      <c r="B998" s="277"/>
      <c r="C998" s="277"/>
      <c r="D998" s="277"/>
      <c r="E998" s="117"/>
      <c r="F998" s="117"/>
      <c r="G998" s="117"/>
      <c r="H998" s="117"/>
      <c r="I998" s="117"/>
      <c r="J998" s="117"/>
      <c r="K998" s="117"/>
      <c r="L998" s="117"/>
      <c r="M998" s="117"/>
    </row>
    <row r="999" ht="20.25" customHeight="1">
      <c r="A999" s="273"/>
      <c r="B999" s="274"/>
      <c r="C999" s="274"/>
      <c r="D999" s="274"/>
      <c r="E999" s="127"/>
      <c r="F999" s="127"/>
      <c r="G999" s="127"/>
      <c r="H999" s="127"/>
      <c r="I999" s="127"/>
      <c r="J999" s="127"/>
      <c r="K999" s="127"/>
      <c r="L999" s="127"/>
      <c r="M999" s="127"/>
    </row>
    <row r="1000" ht="20.25" customHeight="1">
      <c r="A1000" s="275"/>
      <c r="B1000" s="277"/>
      <c r="C1000" s="277"/>
      <c r="D1000" s="277"/>
      <c r="E1000" s="117"/>
      <c r="F1000" s="117"/>
      <c r="G1000" s="117"/>
      <c r="H1000" s="117"/>
      <c r="I1000" s="117"/>
      <c r="J1000" s="117"/>
      <c r="K1000" s="117"/>
      <c r="L1000" s="117"/>
      <c r="M1000" s="117"/>
    </row>
    <row r="1001" ht="20.25" customHeight="1">
      <c r="A1001" s="273"/>
      <c r="B1001" s="274"/>
      <c r="C1001" s="274"/>
      <c r="D1001" s="274"/>
      <c r="E1001" s="127"/>
      <c r="F1001" s="127"/>
      <c r="G1001" s="127"/>
      <c r="H1001" s="127"/>
      <c r="I1001" s="127"/>
      <c r="J1001" s="127"/>
      <c r="K1001" s="127"/>
      <c r="L1001" s="127"/>
      <c r="M1001" s="127"/>
    </row>
    <row r="1002" ht="20.25" customHeight="1">
      <c r="A1002" s="275"/>
      <c r="B1002" s="277"/>
      <c r="C1002" s="277"/>
      <c r="D1002" s="277"/>
      <c r="E1002" s="117"/>
      <c r="F1002" s="117"/>
      <c r="G1002" s="117"/>
      <c r="H1002" s="117"/>
      <c r="I1002" s="117"/>
      <c r="J1002" s="117"/>
      <c r="K1002" s="117"/>
      <c r="L1002" s="117"/>
      <c r="M1002" s="117"/>
    </row>
    <row r="1003" ht="20.25" customHeight="1">
      <c r="A1003" s="273"/>
      <c r="B1003" s="274"/>
      <c r="C1003" s="274"/>
      <c r="D1003" s="274"/>
      <c r="E1003" s="127"/>
      <c r="F1003" s="127"/>
      <c r="G1003" s="127"/>
      <c r="H1003" s="127"/>
      <c r="I1003" s="127"/>
      <c r="J1003" s="127"/>
      <c r="K1003" s="127"/>
      <c r="L1003" s="127"/>
      <c r="M1003" s="127"/>
    </row>
    <row r="1004" ht="20.25" customHeight="1">
      <c r="A1004" s="275"/>
      <c r="B1004" s="277"/>
      <c r="C1004" s="277"/>
      <c r="D1004" s="277"/>
      <c r="E1004" s="117"/>
      <c r="F1004" s="117"/>
      <c r="G1004" s="117"/>
      <c r="H1004" s="117"/>
      <c r="I1004" s="117"/>
      <c r="J1004" s="117"/>
      <c r="K1004" s="117"/>
      <c r="L1004" s="117"/>
      <c r="M1004" s="117"/>
    </row>
    <row r="1005" ht="20.25" customHeight="1">
      <c r="A1005" s="273"/>
      <c r="B1005" s="274"/>
      <c r="C1005" s="274"/>
      <c r="D1005" s="274"/>
      <c r="E1005" s="127"/>
      <c r="F1005" s="127"/>
      <c r="G1005" s="127"/>
      <c r="H1005" s="127"/>
      <c r="I1005" s="127"/>
      <c r="J1005" s="127"/>
      <c r="K1005" s="127"/>
      <c r="L1005" s="127"/>
      <c r="M1005" s="127"/>
    </row>
    <row r="1006" ht="20.25" customHeight="1">
      <c r="A1006" s="275"/>
      <c r="B1006" s="277"/>
      <c r="C1006" s="277"/>
      <c r="D1006" s="277"/>
      <c r="E1006" s="117"/>
      <c r="F1006" s="117"/>
      <c r="G1006" s="117"/>
      <c r="H1006" s="117"/>
      <c r="I1006" s="117"/>
      <c r="J1006" s="117"/>
      <c r="K1006" s="117"/>
      <c r="L1006" s="117"/>
      <c r="M1006" s="117"/>
    </row>
    <row r="1007" ht="20.25" customHeight="1">
      <c r="A1007" s="273"/>
      <c r="B1007" s="274"/>
      <c r="C1007" s="274"/>
      <c r="D1007" s="274"/>
      <c r="E1007" s="127"/>
      <c r="F1007" s="127"/>
      <c r="G1007" s="127"/>
      <c r="H1007" s="127"/>
      <c r="I1007" s="127"/>
      <c r="J1007" s="127"/>
      <c r="K1007" s="127"/>
      <c r="L1007" s="127"/>
      <c r="M1007" s="127"/>
    </row>
    <row r="1008" ht="20.25" customHeight="1">
      <c r="A1008" s="275"/>
      <c r="B1008" s="277"/>
      <c r="C1008" s="277"/>
      <c r="D1008" s="277"/>
      <c r="E1008" s="117"/>
      <c r="F1008" s="117"/>
      <c r="G1008" s="117"/>
      <c r="H1008" s="117"/>
      <c r="I1008" s="117"/>
      <c r="J1008" s="117"/>
      <c r="K1008" s="117"/>
      <c r="L1008" s="117"/>
      <c r="M1008" s="117"/>
    </row>
    <row r="1009" ht="20.25" customHeight="1">
      <c r="A1009" s="273"/>
      <c r="B1009" s="274"/>
      <c r="C1009" s="274"/>
      <c r="D1009" s="274"/>
      <c r="E1009" s="127"/>
      <c r="F1009" s="127"/>
      <c r="G1009" s="127"/>
      <c r="H1009" s="127"/>
      <c r="I1009" s="127"/>
      <c r="J1009" s="127"/>
      <c r="K1009" s="127"/>
      <c r="L1009" s="127"/>
      <c r="M1009" s="127"/>
    </row>
    <row r="1010" ht="20.25" customHeight="1">
      <c r="A1010" s="275"/>
      <c r="B1010" s="277"/>
      <c r="C1010" s="277"/>
      <c r="D1010" s="277"/>
      <c r="E1010" s="117"/>
      <c r="F1010" s="117"/>
      <c r="G1010" s="117"/>
      <c r="H1010" s="117"/>
      <c r="I1010" s="117"/>
      <c r="J1010" s="117"/>
      <c r="K1010" s="117"/>
      <c r="L1010" s="117"/>
      <c r="M1010" s="117"/>
    </row>
    <row r="1011" ht="20.25" customHeight="1">
      <c r="A1011" s="273"/>
      <c r="B1011" s="274"/>
      <c r="C1011" s="274"/>
      <c r="D1011" s="274"/>
      <c r="E1011" s="127"/>
      <c r="F1011" s="127"/>
      <c r="G1011" s="127"/>
      <c r="H1011" s="127"/>
      <c r="I1011" s="127"/>
      <c r="J1011" s="127"/>
      <c r="K1011" s="127"/>
      <c r="L1011" s="127"/>
      <c r="M1011" s="127"/>
    </row>
    <row r="1012" ht="20.25" customHeight="1">
      <c r="A1012" s="275"/>
      <c r="B1012" s="277"/>
      <c r="C1012" s="277"/>
      <c r="D1012" s="277"/>
      <c r="E1012" s="117"/>
      <c r="F1012" s="117"/>
      <c r="G1012" s="117"/>
      <c r="H1012" s="117"/>
      <c r="I1012" s="117"/>
      <c r="J1012" s="117"/>
      <c r="K1012" s="117"/>
      <c r="L1012" s="117"/>
      <c r="M1012" s="117"/>
    </row>
    <row r="1013" ht="20.25" customHeight="1">
      <c r="A1013" s="273"/>
      <c r="B1013" s="274"/>
      <c r="C1013" s="274"/>
      <c r="D1013" s="274"/>
      <c r="E1013" s="127"/>
      <c r="F1013" s="127"/>
      <c r="G1013" s="127"/>
      <c r="H1013" s="127"/>
      <c r="I1013" s="127"/>
      <c r="J1013" s="127"/>
      <c r="K1013" s="127"/>
      <c r="L1013" s="127"/>
      <c r="M1013" s="127"/>
    </row>
    <row r="1014" ht="20.25" customHeight="1">
      <c r="A1014" s="275"/>
      <c r="B1014" s="277"/>
      <c r="C1014" s="277"/>
      <c r="D1014" s="277"/>
      <c r="E1014" s="117"/>
      <c r="F1014" s="117"/>
      <c r="G1014" s="117"/>
      <c r="H1014" s="117"/>
      <c r="I1014" s="117"/>
      <c r="J1014" s="117"/>
      <c r="K1014" s="117"/>
      <c r="L1014" s="117"/>
      <c r="M1014" s="117"/>
    </row>
    <row r="1015" ht="20.25" customHeight="1">
      <c r="A1015" s="273"/>
      <c r="B1015" s="274"/>
      <c r="C1015" s="274"/>
      <c r="D1015" s="274"/>
      <c r="E1015" s="127"/>
      <c r="F1015" s="127"/>
      <c r="G1015" s="127"/>
      <c r="H1015" s="127"/>
      <c r="I1015" s="127"/>
      <c r="J1015" s="127"/>
      <c r="K1015" s="127"/>
      <c r="L1015" s="127"/>
      <c r="M1015" s="127"/>
    </row>
    <row r="1016" ht="20.25" customHeight="1">
      <c r="A1016" s="275"/>
      <c r="B1016" s="277"/>
      <c r="C1016" s="277"/>
      <c r="D1016" s="277"/>
      <c r="E1016" s="117"/>
      <c r="F1016" s="117"/>
      <c r="G1016" s="117"/>
      <c r="H1016" s="117"/>
      <c r="I1016" s="117"/>
      <c r="J1016" s="117"/>
      <c r="K1016" s="117"/>
      <c r="L1016" s="117"/>
      <c r="M1016" s="117"/>
    </row>
    <row r="1017" ht="20.25" customHeight="1">
      <c r="A1017" s="273"/>
      <c r="B1017" s="274"/>
      <c r="C1017" s="274"/>
      <c r="D1017" s="274"/>
      <c r="E1017" s="127"/>
      <c r="F1017" s="127"/>
      <c r="G1017" s="127"/>
      <c r="H1017" s="127"/>
      <c r="I1017" s="127"/>
      <c r="J1017" s="127"/>
      <c r="K1017" s="127"/>
      <c r="L1017" s="127"/>
      <c r="M1017" s="127"/>
    </row>
    <row r="1018" ht="20.25" customHeight="1">
      <c r="A1018" s="275"/>
      <c r="B1018" s="277"/>
      <c r="C1018" s="277"/>
      <c r="D1018" s="277"/>
      <c r="E1018" s="117"/>
      <c r="F1018" s="117"/>
      <c r="G1018" s="117"/>
      <c r="H1018" s="117"/>
      <c r="I1018" s="117"/>
      <c r="J1018" s="117"/>
      <c r="K1018" s="117"/>
      <c r="L1018" s="117"/>
      <c r="M1018" s="117"/>
    </row>
    <row r="1019" ht="20.25" customHeight="1">
      <c r="A1019" s="273"/>
      <c r="B1019" s="274"/>
      <c r="C1019" s="274"/>
      <c r="D1019" s="274"/>
      <c r="E1019" s="127"/>
      <c r="F1019" s="127"/>
      <c r="G1019" s="127"/>
      <c r="H1019" s="127"/>
      <c r="I1019" s="127"/>
      <c r="J1019" s="127"/>
      <c r="K1019" s="127"/>
      <c r="L1019" s="127"/>
      <c r="M1019" s="127"/>
    </row>
    <row r="1020" ht="20.25" customHeight="1">
      <c r="A1020" s="275"/>
      <c r="B1020" s="277"/>
      <c r="C1020" s="277"/>
      <c r="D1020" s="277"/>
      <c r="E1020" s="117"/>
      <c r="F1020" s="117"/>
      <c r="G1020" s="117"/>
      <c r="H1020" s="117"/>
      <c r="I1020" s="117"/>
      <c r="J1020" s="117"/>
      <c r="K1020" s="117"/>
      <c r="L1020" s="117"/>
      <c r="M1020" s="117"/>
    </row>
    <row r="1021" ht="20.25" customHeight="1">
      <c r="A1021" s="273"/>
      <c r="B1021" s="274"/>
      <c r="C1021" s="274"/>
      <c r="D1021" s="274"/>
      <c r="E1021" s="127"/>
      <c r="F1021" s="127"/>
      <c r="G1021" s="127"/>
      <c r="H1021" s="127"/>
      <c r="I1021" s="127"/>
      <c r="J1021" s="127"/>
      <c r="K1021" s="127"/>
      <c r="L1021" s="127"/>
      <c r="M1021" s="127"/>
    </row>
    <row r="1022" ht="20.25" customHeight="1">
      <c r="A1022" s="275"/>
      <c r="B1022" s="277"/>
      <c r="C1022" s="277"/>
      <c r="D1022" s="277"/>
      <c r="E1022" s="117"/>
      <c r="F1022" s="117"/>
      <c r="G1022" s="117"/>
      <c r="H1022" s="117"/>
      <c r="I1022" s="117"/>
      <c r="J1022" s="117"/>
      <c r="K1022" s="117"/>
      <c r="L1022" s="117"/>
      <c r="M1022" s="117"/>
    </row>
    <row r="1023" ht="20.25" customHeight="1">
      <c r="A1023" s="273"/>
      <c r="B1023" s="274"/>
      <c r="C1023" s="274"/>
      <c r="D1023" s="274"/>
      <c r="E1023" s="127"/>
      <c r="F1023" s="127"/>
      <c r="G1023" s="127"/>
      <c r="H1023" s="127"/>
      <c r="I1023" s="127"/>
      <c r="J1023" s="127"/>
      <c r="K1023" s="127"/>
      <c r="L1023" s="127"/>
      <c r="M1023" s="127"/>
    </row>
    <row r="1024" ht="20.25" customHeight="1">
      <c r="A1024" s="275"/>
      <c r="B1024" s="277"/>
      <c r="C1024" s="277"/>
      <c r="D1024" s="277"/>
      <c r="E1024" s="117"/>
      <c r="F1024" s="117"/>
      <c r="G1024" s="117"/>
      <c r="H1024" s="117"/>
      <c r="I1024" s="117"/>
      <c r="J1024" s="117"/>
      <c r="K1024" s="117"/>
      <c r="L1024" s="117"/>
      <c r="M1024" s="117"/>
    </row>
    <row r="1025" ht="20.25" customHeight="1">
      <c r="A1025" s="273"/>
      <c r="B1025" s="274"/>
      <c r="C1025" s="274"/>
      <c r="D1025" s="274"/>
      <c r="E1025" s="127"/>
      <c r="F1025" s="127"/>
      <c r="G1025" s="127"/>
      <c r="H1025" s="127"/>
      <c r="I1025" s="127"/>
      <c r="J1025" s="127"/>
      <c r="K1025" s="127"/>
      <c r="L1025" s="127"/>
      <c r="M1025" s="127"/>
    </row>
    <row r="1026" ht="20.25" customHeight="1">
      <c r="A1026" s="275"/>
      <c r="B1026" s="277"/>
      <c r="C1026" s="277"/>
      <c r="D1026" s="277"/>
      <c r="E1026" s="117"/>
      <c r="F1026" s="117"/>
      <c r="G1026" s="117"/>
      <c r="H1026" s="117"/>
      <c r="I1026" s="117"/>
      <c r="J1026" s="117"/>
      <c r="K1026" s="117"/>
      <c r="L1026" s="117"/>
      <c r="M1026" s="117"/>
    </row>
    <row r="1027" ht="20.25" customHeight="1">
      <c r="A1027" s="273"/>
      <c r="B1027" s="274"/>
      <c r="C1027" s="274"/>
      <c r="D1027" s="274"/>
      <c r="E1027" s="127"/>
      <c r="F1027" s="127"/>
      <c r="G1027" s="127"/>
      <c r="H1027" s="127"/>
      <c r="I1027" s="127"/>
      <c r="J1027" s="127"/>
      <c r="K1027" s="127"/>
      <c r="L1027" s="127"/>
      <c r="M1027" s="127"/>
    </row>
    <row r="1028" ht="20.25" customHeight="1">
      <c r="A1028" s="275"/>
      <c r="B1028" s="277"/>
      <c r="C1028" s="277"/>
      <c r="D1028" s="277"/>
      <c r="E1028" s="117"/>
      <c r="F1028" s="117"/>
      <c r="G1028" s="117"/>
      <c r="H1028" s="117"/>
      <c r="I1028" s="117"/>
      <c r="J1028" s="117"/>
      <c r="K1028" s="117"/>
      <c r="L1028" s="117"/>
      <c r="M1028" s="117"/>
    </row>
    <row r="1029" ht="20.25" customHeight="1">
      <c r="A1029" s="273"/>
      <c r="B1029" s="274"/>
      <c r="C1029" s="274"/>
      <c r="D1029" s="274"/>
      <c r="E1029" s="127"/>
      <c r="F1029" s="127"/>
      <c r="G1029" s="127"/>
      <c r="H1029" s="127"/>
      <c r="I1029" s="127"/>
      <c r="J1029" s="127"/>
      <c r="K1029" s="127"/>
      <c r="L1029" s="127"/>
      <c r="M1029" s="127"/>
    </row>
    <row r="1030" ht="20.25" customHeight="1">
      <c r="A1030" s="275"/>
      <c r="B1030" s="277"/>
      <c r="C1030" s="277"/>
      <c r="D1030" s="277"/>
      <c r="E1030" s="117"/>
      <c r="F1030" s="117"/>
      <c r="G1030" s="117"/>
      <c r="H1030" s="117"/>
      <c r="I1030" s="117"/>
      <c r="J1030" s="117"/>
      <c r="K1030" s="117"/>
      <c r="L1030" s="117"/>
      <c r="M1030" s="117"/>
    </row>
    <row r="1031" ht="20.25" customHeight="1">
      <c r="A1031" s="273"/>
      <c r="B1031" s="274"/>
      <c r="C1031" s="274"/>
      <c r="D1031" s="274"/>
      <c r="E1031" s="127"/>
      <c r="F1031" s="127"/>
      <c r="G1031" s="127"/>
      <c r="H1031" s="127"/>
      <c r="I1031" s="127"/>
      <c r="J1031" s="127"/>
      <c r="K1031" s="127"/>
      <c r="L1031" s="127"/>
      <c r="M1031" s="127"/>
    </row>
    <row r="1032" ht="20.25" customHeight="1">
      <c r="A1032" s="275"/>
      <c r="B1032" s="277"/>
      <c r="C1032" s="277"/>
      <c r="D1032" s="277"/>
      <c r="E1032" s="117"/>
      <c r="F1032" s="117"/>
      <c r="G1032" s="117"/>
      <c r="H1032" s="117"/>
      <c r="I1032" s="117"/>
      <c r="J1032" s="117"/>
      <c r="K1032" s="117"/>
      <c r="L1032" s="117"/>
      <c r="M1032" s="117"/>
    </row>
    <row r="1033" ht="20.25" customHeight="1">
      <c r="A1033" s="273"/>
      <c r="B1033" s="274"/>
      <c r="C1033" s="274"/>
      <c r="D1033" s="274"/>
      <c r="E1033" s="127"/>
      <c r="F1033" s="127"/>
      <c r="G1033" s="127"/>
      <c r="H1033" s="127"/>
      <c r="I1033" s="127"/>
      <c r="J1033" s="127"/>
      <c r="K1033" s="127"/>
      <c r="L1033" s="127"/>
      <c r="M1033" s="127"/>
    </row>
    <row r="1034" ht="20.25" customHeight="1">
      <c r="A1034" s="275"/>
      <c r="B1034" s="277"/>
      <c r="C1034" s="277"/>
      <c r="D1034" s="277"/>
      <c r="E1034" s="117"/>
      <c r="F1034" s="117"/>
      <c r="G1034" s="117"/>
      <c r="H1034" s="117"/>
      <c r="I1034" s="117"/>
      <c r="J1034" s="117"/>
      <c r="K1034" s="117"/>
      <c r="L1034" s="117"/>
      <c r="M1034" s="117"/>
    </row>
    <row r="1035" ht="20.25" customHeight="1">
      <c r="A1035" s="273"/>
      <c r="B1035" s="274"/>
      <c r="C1035" s="274"/>
      <c r="D1035" s="274"/>
      <c r="E1035" s="127"/>
      <c r="F1035" s="127"/>
      <c r="G1035" s="127"/>
      <c r="H1035" s="127"/>
      <c r="I1035" s="127"/>
      <c r="J1035" s="127"/>
      <c r="K1035" s="127"/>
      <c r="L1035" s="127"/>
      <c r="M1035" s="127"/>
    </row>
    <row r="1036" ht="20.25" customHeight="1">
      <c r="A1036" s="275"/>
      <c r="B1036" s="277"/>
      <c r="C1036" s="277"/>
      <c r="D1036" s="277"/>
      <c r="E1036" s="117"/>
      <c r="F1036" s="117"/>
      <c r="G1036" s="117"/>
      <c r="H1036" s="117"/>
      <c r="I1036" s="117"/>
      <c r="J1036" s="117"/>
      <c r="K1036" s="117"/>
      <c r="L1036" s="117"/>
      <c r="M1036" s="117"/>
    </row>
    <row r="1037" ht="20.25" customHeight="1">
      <c r="A1037" s="273"/>
      <c r="B1037" s="274"/>
      <c r="C1037" s="274"/>
      <c r="D1037" s="274"/>
      <c r="E1037" s="127"/>
      <c r="F1037" s="127"/>
      <c r="G1037" s="127"/>
      <c r="H1037" s="127"/>
      <c r="I1037" s="127"/>
      <c r="J1037" s="127"/>
      <c r="K1037" s="127"/>
      <c r="L1037" s="127"/>
      <c r="M1037" s="127"/>
    </row>
    <row r="1038" ht="20.25" customHeight="1">
      <c r="A1038" s="275"/>
      <c r="B1038" s="277"/>
      <c r="C1038" s="277"/>
      <c r="D1038" s="277"/>
      <c r="E1038" s="117"/>
      <c r="F1038" s="117"/>
      <c r="G1038" s="117"/>
      <c r="H1038" s="117"/>
      <c r="I1038" s="117"/>
      <c r="J1038" s="117"/>
      <c r="K1038" s="117"/>
      <c r="L1038" s="117"/>
      <c r="M1038" s="117"/>
    </row>
    <row r="1039" ht="20.25" customHeight="1">
      <c r="A1039" s="273"/>
      <c r="B1039" s="274"/>
      <c r="C1039" s="274"/>
      <c r="D1039" s="274"/>
      <c r="E1039" s="127"/>
      <c r="F1039" s="127"/>
      <c r="G1039" s="127"/>
      <c r="H1039" s="127"/>
      <c r="I1039" s="127"/>
      <c r="J1039" s="127"/>
      <c r="K1039" s="127"/>
      <c r="L1039" s="127"/>
      <c r="M1039" s="127"/>
    </row>
    <row r="1040" ht="20.25" customHeight="1">
      <c r="A1040" s="275"/>
      <c r="B1040" s="277"/>
      <c r="C1040" s="277"/>
      <c r="D1040" s="277"/>
      <c r="E1040" s="117"/>
      <c r="F1040" s="117"/>
      <c r="G1040" s="117"/>
      <c r="H1040" s="117"/>
      <c r="I1040" s="117"/>
      <c r="J1040" s="117"/>
      <c r="K1040" s="117"/>
      <c r="L1040" s="117"/>
      <c r="M1040" s="117"/>
    </row>
    <row r="1041" ht="20.25" customHeight="1">
      <c r="A1041" s="273"/>
      <c r="B1041" s="274"/>
      <c r="C1041" s="274"/>
      <c r="D1041" s="274"/>
      <c r="E1041" s="127"/>
      <c r="F1041" s="127"/>
      <c r="G1041" s="127"/>
      <c r="H1041" s="127"/>
      <c r="I1041" s="127"/>
      <c r="J1041" s="127"/>
      <c r="K1041" s="127"/>
      <c r="L1041" s="127"/>
      <c r="M1041" s="127"/>
    </row>
    <row r="1042" ht="20.25" customHeight="1">
      <c r="A1042" s="275"/>
      <c r="B1042" s="277"/>
      <c r="C1042" s="277"/>
      <c r="D1042" s="277"/>
      <c r="E1042" s="117"/>
      <c r="F1042" s="117"/>
      <c r="G1042" s="117"/>
      <c r="H1042" s="117"/>
      <c r="I1042" s="117"/>
      <c r="J1042" s="117"/>
      <c r="K1042" s="117"/>
      <c r="L1042" s="117"/>
      <c r="M1042" s="117"/>
    </row>
    <row r="1043" ht="20.25" customHeight="1">
      <c r="A1043" s="273"/>
      <c r="B1043" s="274"/>
      <c r="C1043" s="274"/>
      <c r="D1043" s="274"/>
      <c r="E1043" s="127"/>
      <c r="F1043" s="127"/>
      <c r="G1043" s="127"/>
      <c r="H1043" s="127"/>
      <c r="I1043" s="127"/>
      <c r="J1043" s="127"/>
      <c r="K1043" s="127"/>
      <c r="L1043" s="127"/>
      <c r="M1043" s="127"/>
    </row>
    <row r="1044" ht="20.25" customHeight="1">
      <c r="A1044" s="275"/>
      <c r="B1044" s="277"/>
      <c r="C1044" s="277"/>
      <c r="D1044" s="277"/>
      <c r="E1044" s="117"/>
      <c r="F1044" s="117"/>
      <c r="G1044" s="117"/>
      <c r="H1044" s="117"/>
      <c r="I1044" s="117"/>
      <c r="J1044" s="117"/>
      <c r="K1044" s="117"/>
      <c r="L1044" s="117"/>
      <c r="M1044" s="117"/>
    </row>
    <row r="1045" ht="20.25" customHeight="1">
      <c r="A1045" s="273"/>
      <c r="B1045" s="274"/>
      <c r="C1045" s="274"/>
      <c r="D1045" s="274"/>
      <c r="E1045" s="127"/>
      <c r="F1045" s="127"/>
      <c r="G1045" s="127"/>
      <c r="H1045" s="127"/>
      <c r="I1045" s="127"/>
      <c r="J1045" s="127"/>
      <c r="K1045" s="127"/>
      <c r="L1045" s="127"/>
      <c r="M1045" s="127"/>
    </row>
    <row r="1046" ht="20.25" customHeight="1">
      <c r="A1046" s="275"/>
      <c r="B1046" s="277"/>
      <c r="C1046" s="277"/>
      <c r="D1046" s="277"/>
      <c r="E1046" s="117"/>
      <c r="F1046" s="117"/>
      <c r="G1046" s="117"/>
      <c r="H1046" s="117"/>
      <c r="I1046" s="117"/>
      <c r="J1046" s="117"/>
      <c r="K1046" s="117"/>
      <c r="L1046" s="117"/>
      <c r="M1046" s="117"/>
    </row>
    <row r="1047" ht="20.25" customHeight="1">
      <c r="A1047" s="273"/>
      <c r="B1047" s="274"/>
      <c r="C1047" s="274"/>
      <c r="D1047" s="274"/>
      <c r="E1047" s="127"/>
      <c r="F1047" s="127"/>
      <c r="G1047" s="127"/>
      <c r="H1047" s="127"/>
      <c r="I1047" s="127"/>
      <c r="J1047" s="127"/>
      <c r="K1047" s="127"/>
      <c r="L1047" s="127"/>
      <c r="M1047" s="127"/>
    </row>
    <row r="1048" ht="20.25" customHeight="1">
      <c r="A1048" s="275"/>
      <c r="B1048" s="277"/>
      <c r="C1048" s="277"/>
      <c r="D1048" s="277"/>
      <c r="E1048" s="117"/>
      <c r="F1048" s="117"/>
      <c r="G1048" s="117"/>
      <c r="H1048" s="117"/>
      <c r="I1048" s="117"/>
      <c r="J1048" s="117"/>
      <c r="K1048" s="117"/>
      <c r="L1048" s="117"/>
      <c r="M1048" s="117"/>
    </row>
    <row r="1049" ht="20.25" customHeight="1">
      <c r="A1049" s="273"/>
      <c r="B1049" s="274"/>
      <c r="C1049" s="274"/>
      <c r="D1049" s="274"/>
      <c r="E1049" s="127"/>
      <c r="F1049" s="127"/>
      <c r="G1049" s="127"/>
      <c r="H1049" s="127"/>
      <c r="I1049" s="127"/>
      <c r="J1049" s="127"/>
      <c r="K1049" s="127"/>
      <c r="L1049" s="127"/>
      <c r="M1049" s="127"/>
    </row>
    <row r="1050" ht="20.25" customHeight="1">
      <c r="A1050" s="275"/>
      <c r="B1050" s="277"/>
      <c r="C1050" s="277"/>
      <c r="D1050" s="277"/>
      <c r="E1050" s="117"/>
      <c r="F1050" s="117"/>
      <c r="G1050" s="117"/>
      <c r="H1050" s="117"/>
      <c r="I1050" s="117"/>
      <c r="J1050" s="117"/>
      <c r="K1050" s="117"/>
      <c r="L1050" s="117"/>
      <c r="M1050" s="117"/>
    </row>
    <row r="1051" ht="20.25" customHeight="1">
      <c r="A1051" s="273"/>
      <c r="B1051" s="274"/>
      <c r="C1051" s="274"/>
      <c r="D1051" s="274"/>
      <c r="E1051" s="127"/>
      <c r="F1051" s="127"/>
      <c r="G1051" s="127"/>
      <c r="H1051" s="127"/>
      <c r="I1051" s="127"/>
      <c r="J1051" s="127"/>
      <c r="K1051" s="127"/>
      <c r="L1051" s="127"/>
      <c r="M1051" s="127"/>
    </row>
    <row r="1052" ht="20.25" customHeight="1">
      <c r="A1052" s="275"/>
      <c r="B1052" s="277"/>
      <c r="C1052" s="277"/>
      <c r="D1052" s="277"/>
      <c r="E1052" s="117"/>
      <c r="F1052" s="117"/>
      <c r="G1052" s="117"/>
      <c r="H1052" s="117"/>
      <c r="I1052" s="117"/>
      <c r="J1052" s="117"/>
      <c r="K1052" s="117"/>
      <c r="L1052" s="117"/>
      <c r="M1052" s="117"/>
    </row>
    <row r="1053" ht="20.25" customHeight="1">
      <c r="A1053" s="273"/>
      <c r="B1053" s="274"/>
      <c r="C1053" s="274"/>
      <c r="D1053" s="274"/>
      <c r="E1053" s="127"/>
      <c r="F1053" s="127"/>
      <c r="G1053" s="127"/>
      <c r="H1053" s="127"/>
      <c r="I1053" s="127"/>
      <c r="J1053" s="127"/>
      <c r="K1053" s="127"/>
      <c r="L1053" s="127"/>
      <c r="M1053" s="127"/>
    </row>
    <row r="1054" ht="20.25" customHeight="1">
      <c r="A1054" s="275"/>
      <c r="B1054" s="277"/>
      <c r="C1054" s="277"/>
      <c r="D1054" s="277"/>
      <c r="E1054" s="117"/>
      <c r="F1054" s="117"/>
      <c r="G1054" s="117"/>
      <c r="H1054" s="117"/>
      <c r="I1054" s="117"/>
      <c r="J1054" s="117"/>
      <c r="K1054" s="117"/>
      <c r="L1054" s="117"/>
      <c r="M1054" s="117"/>
    </row>
    <row r="1055" ht="20.25" customHeight="1">
      <c r="A1055" s="273"/>
      <c r="B1055" s="274"/>
      <c r="C1055" s="274"/>
      <c r="D1055" s="274"/>
      <c r="E1055" s="127"/>
      <c r="F1055" s="127"/>
      <c r="G1055" s="127"/>
      <c r="H1055" s="127"/>
      <c r="I1055" s="127"/>
      <c r="J1055" s="127"/>
      <c r="K1055" s="127"/>
      <c r="L1055" s="127"/>
      <c r="M1055" s="127"/>
    </row>
    <row r="1056" ht="20.25" customHeight="1">
      <c r="A1056" s="275"/>
      <c r="B1056" s="277"/>
      <c r="C1056" s="277"/>
      <c r="D1056" s="277"/>
      <c r="E1056" s="117"/>
      <c r="F1056" s="117"/>
      <c r="G1056" s="117"/>
      <c r="H1056" s="117"/>
      <c r="I1056" s="117"/>
      <c r="J1056" s="117"/>
      <c r="K1056" s="117"/>
      <c r="L1056" s="117"/>
      <c r="M1056" s="117"/>
    </row>
    <row r="1057" ht="20.25" customHeight="1">
      <c r="A1057" s="273"/>
      <c r="B1057" s="274"/>
      <c r="C1057" s="274"/>
      <c r="D1057" s="274"/>
      <c r="E1057" s="127"/>
      <c r="F1057" s="127"/>
      <c r="G1057" s="127"/>
      <c r="H1057" s="127"/>
      <c r="I1057" s="127"/>
      <c r="J1057" s="127"/>
      <c r="K1057" s="127"/>
      <c r="L1057" s="127"/>
      <c r="M1057" s="127"/>
    </row>
    <row r="1058" ht="20.25" customHeight="1">
      <c r="A1058" s="275"/>
      <c r="B1058" s="277"/>
      <c r="C1058" s="277"/>
      <c r="D1058" s="277"/>
      <c r="E1058" s="117"/>
      <c r="F1058" s="117"/>
      <c r="G1058" s="117"/>
      <c r="H1058" s="117"/>
      <c r="I1058" s="117"/>
      <c r="J1058" s="117"/>
      <c r="K1058" s="117"/>
      <c r="L1058" s="117"/>
      <c r="M1058" s="117"/>
    </row>
    <row r="1059" ht="20.25" customHeight="1">
      <c r="A1059" s="273"/>
      <c r="B1059" s="274"/>
      <c r="C1059" s="274"/>
      <c r="D1059" s="274"/>
      <c r="E1059" s="127"/>
      <c r="F1059" s="127"/>
      <c r="G1059" s="127"/>
      <c r="H1059" s="127"/>
      <c r="I1059" s="127"/>
      <c r="J1059" s="127"/>
      <c r="K1059" s="127"/>
      <c r="L1059" s="127"/>
      <c r="M1059" s="127"/>
    </row>
    <row r="1060" ht="20.25" customHeight="1">
      <c r="A1060" s="275"/>
      <c r="B1060" s="277"/>
      <c r="C1060" s="277"/>
      <c r="D1060" s="277"/>
      <c r="E1060" s="117"/>
      <c r="F1060" s="117"/>
      <c r="G1060" s="117"/>
      <c r="H1060" s="117"/>
      <c r="I1060" s="117"/>
      <c r="J1060" s="117"/>
      <c r="K1060" s="117"/>
      <c r="L1060" s="117"/>
      <c r="M1060" s="117"/>
    </row>
    <row r="1061" ht="20.25" customHeight="1">
      <c r="A1061" s="273"/>
      <c r="B1061" s="274"/>
      <c r="C1061" s="274"/>
      <c r="D1061" s="274"/>
      <c r="E1061" s="127"/>
      <c r="F1061" s="127"/>
      <c r="G1061" s="127"/>
      <c r="H1061" s="127"/>
      <c r="I1061" s="127"/>
      <c r="J1061" s="127"/>
      <c r="K1061" s="127"/>
      <c r="L1061" s="127"/>
      <c r="M1061" s="127"/>
    </row>
    <row r="1062" ht="20.25" customHeight="1">
      <c r="A1062" s="275"/>
      <c r="B1062" s="277"/>
      <c r="C1062" s="277"/>
      <c r="D1062" s="277"/>
      <c r="E1062" s="117"/>
      <c r="F1062" s="117"/>
      <c r="G1062" s="117"/>
      <c r="H1062" s="117"/>
      <c r="I1062" s="117"/>
      <c r="J1062" s="117"/>
      <c r="K1062" s="117"/>
      <c r="L1062" s="117"/>
      <c r="M1062" s="117"/>
    </row>
    <row r="1063" ht="20.25" customHeight="1">
      <c r="A1063" s="273"/>
      <c r="B1063" s="274"/>
      <c r="C1063" s="274"/>
      <c r="D1063" s="274"/>
      <c r="E1063" s="127"/>
      <c r="F1063" s="127"/>
      <c r="G1063" s="127"/>
      <c r="H1063" s="127"/>
      <c r="I1063" s="127"/>
      <c r="J1063" s="127"/>
      <c r="K1063" s="127"/>
      <c r="L1063" s="127"/>
      <c r="M1063" s="127"/>
    </row>
    <row r="1064" ht="20.25" customHeight="1">
      <c r="A1064" s="275"/>
      <c r="B1064" s="277"/>
      <c r="C1064" s="277"/>
      <c r="D1064" s="277"/>
      <c r="E1064" s="117"/>
      <c r="F1064" s="117"/>
      <c r="G1064" s="117"/>
      <c r="H1064" s="117"/>
      <c r="I1064" s="117"/>
      <c r="J1064" s="117"/>
      <c r="K1064" s="117"/>
      <c r="L1064" s="117"/>
      <c r="M1064" s="117"/>
    </row>
    <row r="1065" ht="20.25" customHeight="1">
      <c r="A1065" s="273"/>
      <c r="B1065" s="274"/>
      <c r="C1065" s="274"/>
      <c r="D1065" s="274"/>
      <c r="E1065" s="127"/>
      <c r="F1065" s="127"/>
      <c r="G1065" s="127"/>
      <c r="H1065" s="127"/>
      <c r="I1065" s="127"/>
      <c r="J1065" s="127"/>
      <c r="K1065" s="127"/>
      <c r="L1065" s="127"/>
      <c r="M1065" s="127"/>
    </row>
    <row r="1066" ht="20.25" customHeight="1">
      <c r="A1066" s="275"/>
      <c r="B1066" s="277"/>
      <c r="C1066" s="277"/>
      <c r="D1066" s="277"/>
      <c r="E1066" s="117"/>
      <c r="F1066" s="117"/>
      <c r="G1066" s="117"/>
      <c r="H1066" s="117"/>
      <c r="I1066" s="117"/>
      <c r="J1066" s="117"/>
      <c r="K1066" s="117"/>
      <c r="L1066" s="117"/>
      <c r="M1066" s="117"/>
    </row>
    <row r="1067" ht="20.25" customHeight="1">
      <c r="A1067" s="273"/>
      <c r="B1067" s="274"/>
      <c r="C1067" s="274"/>
      <c r="D1067" s="274"/>
      <c r="E1067" s="127"/>
      <c r="F1067" s="127"/>
      <c r="G1067" s="127"/>
      <c r="H1067" s="127"/>
      <c r="I1067" s="127"/>
      <c r="J1067" s="127"/>
      <c r="K1067" s="127"/>
      <c r="L1067" s="127"/>
      <c r="M1067" s="127"/>
    </row>
    <row r="1068" ht="20.25" customHeight="1">
      <c r="A1068" s="275"/>
      <c r="B1068" s="277"/>
      <c r="C1068" s="277"/>
      <c r="D1068" s="277"/>
      <c r="E1068" s="117"/>
      <c r="F1068" s="117"/>
      <c r="G1068" s="117"/>
      <c r="H1068" s="117"/>
      <c r="I1068" s="117"/>
      <c r="J1068" s="117"/>
      <c r="K1068" s="117"/>
      <c r="L1068" s="117"/>
      <c r="M1068" s="117"/>
    </row>
    <row r="1069" ht="20.25" customHeight="1">
      <c r="A1069" s="273"/>
      <c r="B1069" s="274"/>
      <c r="C1069" s="274"/>
      <c r="D1069" s="274"/>
      <c r="E1069" s="127"/>
      <c r="F1069" s="127"/>
      <c r="G1069" s="127"/>
      <c r="H1069" s="127"/>
      <c r="I1069" s="127"/>
      <c r="J1069" s="127"/>
      <c r="K1069" s="127"/>
      <c r="L1069" s="127"/>
      <c r="M1069" s="127"/>
    </row>
  </sheetData>
  <mergeCells count="136">
    <mergeCell ref="D21:D23"/>
    <mergeCell ref="E21:E23"/>
    <mergeCell ref="A19:A20"/>
    <mergeCell ref="B19:B20"/>
    <mergeCell ref="D19:D20"/>
    <mergeCell ref="E19:E20"/>
    <mergeCell ref="G19:G20"/>
    <mergeCell ref="A21:A23"/>
    <mergeCell ref="B21:B23"/>
    <mergeCell ref="B24:B26"/>
    <mergeCell ref="D24:D26"/>
    <mergeCell ref="E24:E26"/>
    <mergeCell ref="G24:G26"/>
    <mergeCell ref="C25:C26"/>
    <mergeCell ref="H25:H26"/>
    <mergeCell ref="I25:I26"/>
    <mergeCell ref="A24:A26"/>
    <mergeCell ref="A27:A29"/>
    <mergeCell ref="B27:B29"/>
    <mergeCell ref="C27:C29"/>
    <mergeCell ref="D27:D29"/>
    <mergeCell ref="E27:E29"/>
    <mergeCell ref="G27:G29"/>
    <mergeCell ref="G30:G32"/>
    <mergeCell ref="H31:H32"/>
    <mergeCell ref="H28:H29"/>
    <mergeCell ref="I28:I29"/>
    <mergeCell ref="B30:B32"/>
    <mergeCell ref="C30:C32"/>
    <mergeCell ref="D30:D32"/>
    <mergeCell ref="E30:E32"/>
    <mergeCell ref="I31:I32"/>
    <mergeCell ref="H34:H35"/>
    <mergeCell ref="I34:I35"/>
    <mergeCell ref="A30:A32"/>
    <mergeCell ref="A33:A35"/>
    <mergeCell ref="B33:B35"/>
    <mergeCell ref="D33:D35"/>
    <mergeCell ref="E33:E35"/>
    <mergeCell ref="G33:G35"/>
    <mergeCell ref="C34:C35"/>
    <mergeCell ref="F11:F12"/>
    <mergeCell ref="G11:G12"/>
    <mergeCell ref="A1:B3"/>
    <mergeCell ref="C1:F3"/>
    <mergeCell ref="G7:G8"/>
    <mergeCell ref="G9:G10"/>
    <mergeCell ref="A11:A12"/>
    <mergeCell ref="B11:B12"/>
    <mergeCell ref="E11:E12"/>
    <mergeCell ref="E15:E16"/>
    <mergeCell ref="F15:F16"/>
    <mergeCell ref="A13:A14"/>
    <mergeCell ref="B13:B14"/>
    <mergeCell ref="E13:E14"/>
    <mergeCell ref="F13:F14"/>
    <mergeCell ref="G13:G14"/>
    <mergeCell ref="B15:B16"/>
    <mergeCell ref="G15:G16"/>
    <mergeCell ref="A15:A16"/>
    <mergeCell ref="A17:A18"/>
    <mergeCell ref="B17:B18"/>
    <mergeCell ref="D17:D18"/>
    <mergeCell ref="E17:E18"/>
    <mergeCell ref="F17:F18"/>
    <mergeCell ref="G17:G18"/>
    <mergeCell ref="G21:G23"/>
    <mergeCell ref="H22:H23"/>
    <mergeCell ref="I22:I23"/>
    <mergeCell ref="B38:B39"/>
    <mergeCell ref="C38:C39"/>
    <mergeCell ref="L55:L56"/>
    <mergeCell ref="M55:M56"/>
    <mergeCell ref="K57:K58"/>
    <mergeCell ref="L57:L58"/>
    <mergeCell ref="M57:M58"/>
    <mergeCell ref="A55:A56"/>
    <mergeCell ref="B55:B56"/>
    <mergeCell ref="C55:C56"/>
    <mergeCell ref="D55:D56"/>
    <mergeCell ref="E55:E56"/>
    <mergeCell ref="F55:F56"/>
    <mergeCell ref="K55:K56"/>
    <mergeCell ref="A57:A58"/>
    <mergeCell ref="B57:B58"/>
    <mergeCell ref="C57:C58"/>
    <mergeCell ref="D57:D58"/>
    <mergeCell ref="E57:E58"/>
    <mergeCell ref="F57:F58"/>
    <mergeCell ref="A46:A48"/>
    <mergeCell ref="B47:B48"/>
    <mergeCell ref="A49:A51"/>
    <mergeCell ref="B50:B51"/>
    <mergeCell ref="C50:C51"/>
    <mergeCell ref="A52:A54"/>
    <mergeCell ref="B53:B54"/>
    <mergeCell ref="D38:D39"/>
    <mergeCell ref="E38:E39"/>
    <mergeCell ref="A36:A37"/>
    <mergeCell ref="B36:B37"/>
    <mergeCell ref="C36:C37"/>
    <mergeCell ref="D36:D37"/>
    <mergeCell ref="E36:E37"/>
    <mergeCell ref="G36:G37"/>
    <mergeCell ref="G38:G39"/>
    <mergeCell ref="A38:A39"/>
    <mergeCell ref="A40:A41"/>
    <mergeCell ref="B40:B41"/>
    <mergeCell ref="C40:C41"/>
    <mergeCell ref="D40:D41"/>
    <mergeCell ref="E40:E41"/>
    <mergeCell ref="G40:G41"/>
    <mergeCell ref="D44:D45"/>
    <mergeCell ref="D46:D48"/>
    <mergeCell ref="D49:D51"/>
    <mergeCell ref="E49:E51"/>
    <mergeCell ref="D52:D54"/>
    <mergeCell ref="E52:E54"/>
    <mergeCell ref="A42:A43"/>
    <mergeCell ref="B42:B43"/>
    <mergeCell ref="D42:D43"/>
    <mergeCell ref="E42:E43"/>
    <mergeCell ref="A44:A45"/>
    <mergeCell ref="E44:E45"/>
    <mergeCell ref="E46:E48"/>
    <mergeCell ref="G49:G51"/>
    <mergeCell ref="G52:G54"/>
    <mergeCell ref="H53:H54"/>
    <mergeCell ref="I53:I54"/>
    <mergeCell ref="G42:G43"/>
    <mergeCell ref="G44:G45"/>
    <mergeCell ref="G46:G48"/>
    <mergeCell ref="H47:H48"/>
    <mergeCell ref="I47:I48"/>
    <mergeCell ref="H50:H51"/>
    <mergeCell ref="I50:I51"/>
  </mergeCells>
  <dataValidations>
    <dataValidation type="list" allowBlank="1" showErrorMessage="1" sqref="C7:C25 C27 C30 C33:C34 C36 C38 C40 C42:C50 C52:C55 C57 C59:C1069">
      <formula1>"201,202,203,204,205,206,207,208,209,210,211,212,213,214,215,216,217,218"</formula1>
    </dataValidation>
    <dataValidation type="list" allowBlank="1" showErrorMessage="1" sqref="B7:B11 B13 B15 B17 B19 B21 B24 B27 B30 B33 B36 B38 B40 B42 B44:B47 B49:B50 B52:B53 B55 B57 B59:B1069">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H7:H22 H24:H25 H27:H28 H30:H31 H33:H34 H36:H47 H49:H50 H52:H53 H55:H1069">
      <formula1>"Caporale,ouvrier"</formula1>
    </dataValidation>
    <dataValidation type="list" allowBlank="1" showErrorMessage="1" sqref="G7 G9 G11 G13 G15 G17 G19 G21 G24 G27 G30 G33 G36 G38 G40 G42 G44 G46 G49 G52 G55:G1069">
      <formula1>"HE,JRS "</formula1>
    </dataValidation>
  </dataValidations>
  <printOptions gridLines="1" horizontalCentered="1"/>
  <pageMargins bottom="0.75" footer="0.0" header="0.0" left="0.7" right="0.7" top="0.75"/>
  <pageSetup paperSize="3" scale="75"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16.63"/>
    <col customWidth="1" min="2" max="2" width="23.13"/>
    <col customWidth="1" min="3" max="3" width="10.63"/>
    <col customWidth="1" min="4" max="4" width="16.5"/>
    <col customWidth="1" min="5" max="5" width="20.0"/>
    <col customWidth="1" min="6" max="6" width="21.88"/>
  </cols>
  <sheetData>
    <row r="1">
      <c r="A1" s="1"/>
      <c r="C1" s="2" t="s">
        <v>16</v>
      </c>
    </row>
    <row r="4">
      <c r="A4" s="3"/>
      <c r="B4" s="12"/>
      <c r="D4" s="4"/>
      <c r="F4" s="5"/>
    </row>
    <row r="5">
      <c r="A5" s="3"/>
      <c r="B5" s="12"/>
      <c r="D5" s="4"/>
      <c r="F5" s="5"/>
    </row>
    <row r="6" ht="20.25" customHeight="1">
      <c r="A6" s="6" t="s">
        <v>1</v>
      </c>
      <c r="B6" s="6" t="s">
        <v>2</v>
      </c>
      <c r="C6" s="6" t="s">
        <v>3</v>
      </c>
      <c r="D6" s="6" t="s">
        <v>4</v>
      </c>
      <c r="E6" s="6" t="s">
        <v>5</v>
      </c>
      <c r="F6" s="6" t="s">
        <v>19</v>
      </c>
      <c r="G6" s="6" t="s">
        <v>7</v>
      </c>
      <c r="H6" s="7" t="s">
        <v>8</v>
      </c>
      <c r="I6" s="6" t="s">
        <v>9</v>
      </c>
      <c r="J6" s="6" t="s">
        <v>10</v>
      </c>
      <c r="K6" s="6" t="s">
        <v>11</v>
      </c>
      <c r="L6" s="6" t="s">
        <v>20</v>
      </c>
      <c r="M6" s="6" t="s">
        <v>12</v>
      </c>
      <c r="N6" s="18"/>
      <c r="O6" s="18"/>
      <c r="P6" s="18"/>
    </row>
    <row r="7" ht="20.25" customHeight="1">
      <c r="A7" s="8">
        <v>46165.0</v>
      </c>
      <c r="B7" s="21" t="s">
        <v>21</v>
      </c>
      <c r="C7" s="23">
        <v>326.0</v>
      </c>
      <c r="D7" s="24">
        <v>0.63</v>
      </c>
      <c r="E7" s="25" t="s">
        <v>23</v>
      </c>
      <c r="F7" s="26" t="s">
        <v>24</v>
      </c>
      <c r="G7" s="14" t="s">
        <v>17</v>
      </c>
      <c r="H7" s="14" t="s">
        <v>25</v>
      </c>
      <c r="I7" s="14">
        <v>1.0</v>
      </c>
      <c r="J7" s="14"/>
      <c r="K7" s="14"/>
      <c r="L7" s="14"/>
      <c r="M7" s="14"/>
      <c r="N7" s="28"/>
      <c r="O7" s="28"/>
      <c r="P7" s="28"/>
    </row>
    <row r="8" ht="20.25" customHeight="1">
      <c r="A8" s="29"/>
      <c r="B8" s="20"/>
      <c r="C8" s="20"/>
      <c r="D8" s="29"/>
      <c r="E8" s="20"/>
      <c r="F8" s="20"/>
      <c r="G8" s="22" t="s">
        <v>17</v>
      </c>
      <c r="H8" s="22" t="s">
        <v>18</v>
      </c>
      <c r="I8" s="22">
        <v>17.0</v>
      </c>
      <c r="J8" s="22"/>
      <c r="K8" s="22"/>
      <c r="L8" s="22"/>
      <c r="M8" s="22"/>
      <c r="N8" s="30"/>
      <c r="O8" s="30"/>
      <c r="P8" s="30"/>
    </row>
    <row r="9" ht="20.25" customHeight="1">
      <c r="A9" s="8">
        <v>46166.0</v>
      </c>
      <c r="B9" s="21" t="s">
        <v>21</v>
      </c>
      <c r="C9" s="23">
        <v>324.0</v>
      </c>
      <c r="D9" s="34">
        <f t="array" ref="D9">IFERROR(_xlfn.XLOOKUP(C9,Code!A:A,Code!B:B),"")</f>
        <v>0.87</v>
      </c>
      <c r="E9" s="25" t="s">
        <v>23</v>
      </c>
      <c r="F9" s="26" t="s">
        <v>24</v>
      </c>
      <c r="G9" s="14" t="s">
        <v>17</v>
      </c>
      <c r="H9" s="14" t="s">
        <v>25</v>
      </c>
      <c r="I9" s="14">
        <v>1.0</v>
      </c>
      <c r="J9" s="14"/>
      <c r="K9" s="14"/>
      <c r="L9" s="14"/>
      <c r="M9" s="14"/>
      <c r="N9" s="28"/>
      <c r="O9" s="28"/>
      <c r="P9" s="28"/>
    </row>
    <row r="10" ht="20.25" customHeight="1">
      <c r="A10" s="29"/>
      <c r="B10" s="20"/>
      <c r="C10" s="20"/>
      <c r="D10" s="20"/>
      <c r="E10" s="20"/>
      <c r="F10" s="20"/>
      <c r="G10" s="22" t="s">
        <v>17</v>
      </c>
      <c r="H10" s="22" t="s">
        <v>18</v>
      </c>
      <c r="I10" s="22">
        <v>20.0</v>
      </c>
      <c r="J10" s="22"/>
      <c r="K10" s="22"/>
      <c r="L10" s="22"/>
      <c r="M10" s="22"/>
      <c r="N10" s="30"/>
      <c r="O10" s="30"/>
      <c r="P10" s="30"/>
    </row>
    <row r="11" ht="20.25" customHeight="1">
      <c r="A11" s="8">
        <v>46167.0</v>
      </c>
      <c r="B11" s="21" t="s">
        <v>21</v>
      </c>
      <c r="C11" s="23">
        <v>328.0</v>
      </c>
      <c r="D11" s="34">
        <f t="array" ref="D11">IFERROR(_xlfn.XLOOKUP(C11,Code!A:A,Code!B:B),"")</f>
        <v>0.87</v>
      </c>
      <c r="E11" s="25" t="s">
        <v>23</v>
      </c>
      <c r="F11" s="26" t="s">
        <v>24</v>
      </c>
      <c r="G11" s="14" t="s">
        <v>17</v>
      </c>
      <c r="H11" s="14" t="s">
        <v>25</v>
      </c>
      <c r="I11" s="14">
        <v>1.0</v>
      </c>
      <c r="J11" s="14"/>
      <c r="K11" s="14"/>
      <c r="L11" s="14"/>
      <c r="M11" s="14"/>
      <c r="N11" s="28"/>
      <c r="O11" s="28"/>
      <c r="P11" s="28"/>
    </row>
    <row r="12" ht="20.25" customHeight="1">
      <c r="A12" s="29"/>
      <c r="B12" s="20"/>
      <c r="C12" s="20"/>
      <c r="D12" s="20"/>
      <c r="E12" s="20"/>
      <c r="F12" s="20"/>
      <c r="G12" s="22" t="s">
        <v>17</v>
      </c>
      <c r="H12" s="22" t="s">
        <v>18</v>
      </c>
      <c r="I12" s="22">
        <v>22.0</v>
      </c>
      <c r="J12" s="22"/>
      <c r="K12" s="22"/>
      <c r="L12" s="22"/>
      <c r="M12" s="22"/>
      <c r="N12" s="30"/>
      <c r="O12" s="30"/>
      <c r="P12" s="30"/>
    </row>
    <row r="13" ht="20.25" customHeight="1">
      <c r="A13" s="8">
        <v>46174.0</v>
      </c>
      <c r="B13" s="21" t="s">
        <v>21</v>
      </c>
      <c r="C13" s="23">
        <v>322.0</v>
      </c>
      <c r="D13" s="34">
        <f t="array" ref="D13">IFERROR(_xlfn.XLOOKUP(C13,Code!A:A,Code!B:B),"")</f>
        <v>1</v>
      </c>
      <c r="E13" s="25" t="s">
        <v>23</v>
      </c>
      <c r="F13" s="26" t="s">
        <v>24</v>
      </c>
      <c r="G13" s="14" t="s">
        <v>17</v>
      </c>
      <c r="H13" s="14" t="s">
        <v>25</v>
      </c>
      <c r="I13" s="14">
        <v>1.0</v>
      </c>
      <c r="J13" s="14"/>
      <c r="K13" s="14"/>
      <c r="L13" s="14"/>
      <c r="M13" s="14"/>
      <c r="N13" s="28"/>
      <c r="O13" s="28"/>
      <c r="P13" s="28"/>
    </row>
    <row r="14" ht="20.25" customHeight="1">
      <c r="A14" s="29"/>
      <c r="B14" s="20"/>
      <c r="C14" s="20"/>
      <c r="D14" s="20"/>
      <c r="E14" s="20"/>
      <c r="F14" s="20"/>
      <c r="G14" s="22" t="s">
        <v>17</v>
      </c>
      <c r="H14" s="22" t="s">
        <v>18</v>
      </c>
      <c r="I14" s="22">
        <v>12.0</v>
      </c>
      <c r="J14" s="22"/>
      <c r="K14" s="39"/>
      <c r="L14" s="39"/>
      <c r="M14" s="22"/>
      <c r="N14" s="30"/>
      <c r="O14" s="30"/>
      <c r="P14" s="30"/>
    </row>
    <row r="15" ht="20.25" customHeight="1">
      <c r="A15" s="8">
        <v>46175.0</v>
      </c>
      <c r="B15" s="21" t="s">
        <v>21</v>
      </c>
      <c r="C15" s="23">
        <v>323.0</v>
      </c>
      <c r="D15" s="34">
        <f t="array" ref="D15">IFERROR(_xlfn.XLOOKUP(C15,Code!A:A,Code!B:B),"")</f>
        <v>1.13</v>
      </c>
      <c r="E15" s="25" t="s">
        <v>23</v>
      </c>
      <c r="F15" s="26" t="s">
        <v>24</v>
      </c>
      <c r="G15" s="14" t="s">
        <v>17</v>
      </c>
      <c r="H15" s="14" t="s">
        <v>25</v>
      </c>
      <c r="I15" s="14">
        <v>1.0</v>
      </c>
      <c r="J15" s="14"/>
      <c r="K15" s="13"/>
      <c r="L15" s="13"/>
      <c r="M15" s="14"/>
      <c r="N15" s="28"/>
      <c r="O15" s="28"/>
      <c r="P15" s="28"/>
    </row>
    <row r="16" ht="20.25" customHeight="1">
      <c r="A16" s="29"/>
      <c r="B16" s="20"/>
      <c r="C16" s="20"/>
      <c r="D16" s="20"/>
      <c r="E16" s="20"/>
      <c r="F16" s="20"/>
      <c r="G16" s="22" t="s">
        <v>17</v>
      </c>
      <c r="H16" s="22" t="s">
        <v>18</v>
      </c>
      <c r="I16" s="22">
        <v>16.0</v>
      </c>
      <c r="J16" s="22"/>
      <c r="K16" s="39"/>
      <c r="L16" s="39"/>
      <c r="M16" s="22"/>
      <c r="N16" s="30"/>
      <c r="O16" s="30"/>
      <c r="P16" s="30"/>
    </row>
    <row r="17" ht="20.25" customHeight="1">
      <c r="A17" s="8">
        <v>46176.0</v>
      </c>
      <c r="B17" s="21" t="s">
        <v>21</v>
      </c>
      <c r="C17" s="23">
        <v>324.0</v>
      </c>
      <c r="D17" s="34">
        <f t="array" ref="D17">IFERROR(_xlfn.XLOOKUP(C17,Code!A:A,Code!B:B),"")</f>
        <v>0.87</v>
      </c>
      <c r="E17" s="25" t="s">
        <v>23</v>
      </c>
      <c r="F17" s="26" t="s">
        <v>28</v>
      </c>
      <c r="G17" s="14" t="s">
        <v>17</v>
      </c>
      <c r="H17" s="14" t="s">
        <v>25</v>
      </c>
      <c r="I17" s="14">
        <v>1.0</v>
      </c>
      <c r="J17" s="14"/>
      <c r="K17" s="13"/>
      <c r="L17" s="13"/>
      <c r="M17" s="14"/>
      <c r="N17" s="28"/>
      <c r="O17" s="28"/>
      <c r="P17" s="28"/>
    </row>
    <row r="18" ht="20.25" customHeight="1">
      <c r="A18" s="29"/>
      <c r="B18" s="20"/>
      <c r="C18" s="20"/>
      <c r="D18" s="20"/>
      <c r="E18" s="20"/>
      <c r="F18" s="20"/>
      <c r="G18" s="22" t="s">
        <v>17</v>
      </c>
      <c r="H18" s="22" t="s">
        <v>18</v>
      </c>
      <c r="I18" s="22">
        <v>11.0</v>
      </c>
      <c r="J18" s="22"/>
      <c r="K18" s="39"/>
      <c r="L18" s="39"/>
      <c r="M18" s="22"/>
      <c r="N18" s="30"/>
      <c r="O18" s="30"/>
      <c r="P18" s="30"/>
    </row>
    <row r="19" ht="20.25" customHeight="1">
      <c r="A19" s="8">
        <v>46177.0</v>
      </c>
      <c r="B19" s="21" t="s">
        <v>21</v>
      </c>
      <c r="C19" s="23">
        <v>325.0</v>
      </c>
      <c r="D19" s="34">
        <f t="array" ref="D19">IFERROR(_xlfn.XLOOKUP(C19,Code!A:A,Code!B:B),"")</f>
        <v>0.85</v>
      </c>
      <c r="E19" s="25" t="s">
        <v>23</v>
      </c>
      <c r="F19" s="26" t="s">
        <v>28</v>
      </c>
      <c r="G19" s="14" t="s">
        <v>17</v>
      </c>
      <c r="H19" s="14" t="s">
        <v>25</v>
      </c>
      <c r="I19" s="14">
        <v>1.0</v>
      </c>
      <c r="J19" s="14"/>
      <c r="K19" s="13"/>
      <c r="L19" s="13"/>
      <c r="M19" s="14"/>
      <c r="N19" s="28"/>
      <c r="O19" s="28"/>
      <c r="P19" s="28"/>
    </row>
    <row r="20" ht="20.25" customHeight="1">
      <c r="A20" s="29"/>
      <c r="B20" s="20"/>
      <c r="C20" s="20"/>
      <c r="D20" s="20"/>
      <c r="E20" s="20"/>
      <c r="F20" s="20"/>
      <c r="G20" s="22" t="s">
        <v>17</v>
      </c>
      <c r="H20" s="22" t="s">
        <v>18</v>
      </c>
      <c r="I20" s="22">
        <v>14.0</v>
      </c>
      <c r="J20" s="22"/>
      <c r="K20" s="39"/>
      <c r="L20" s="39"/>
      <c r="M20" s="22"/>
      <c r="N20" s="30"/>
      <c r="O20" s="30"/>
      <c r="P20" s="30"/>
    </row>
    <row r="21" ht="20.25" customHeight="1">
      <c r="A21" s="8">
        <v>46177.0</v>
      </c>
      <c r="B21" s="21" t="s">
        <v>30</v>
      </c>
      <c r="C21" s="23">
        <v>314.0</v>
      </c>
      <c r="D21" s="34">
        <f t="array" ref="D21">IFERROR(_xlfn.XLOOKUP(C21,Code!A:A,Code!B:B),"")</f>
        <v>1.13</v>
      </c>
      <c r="E21" s="25" t="s">
        <v>23</v>
      </c>
      <c r="F21" s="26" t="s">
        <v>31</v>
      </c>
      <c r="G21" s="14" t="s">
        <v>17</v>
      </c>
      <c r="H21" s="14" t="s">
        <v>25</v>
      </c>
      <c r="I21" s="14">
        <v>1.0</v>
      </c>
      <c r="J21" s="14"/>
      <c r="K21" s="13"/>
      <c r="L21" s="13"/>
      <c r="M21" s="14"/>
      <c r="N21" s="28"/>
      <c r="O21" s="28"/>
      <c r="P21" s="28"/>
    </row>
    <row r="22" ht="20.25" customHeight="1">
      <c r="A22" s="29"/>
      <c r="B22" s="20"/>
      <c r="C22" s="20"/>
      <c r="D22" s="20"/>
      <c r="E22" s="20"/>
      <c r="F22" s="20"/>
      <c r="G22" s="22" t="s">
        <v>17</v>
      </c>
      <c r="H22" s="22" t="s">
        <v>18</v>
      </c>
      <c r="I22" s="22">
        <v>5.0</v>
      </c>
      <c r="J22" s="22"/>
      <c r="K22" s="39"/>
      <c r="L22" s="39"/>
      <c r="M22" s="22"/>
      <c r="N22" s="30"/>
      <c r="O22" s="30"/>
      <c r="P22" s="30"/>
    </row>
    <row r="23" ht="20.25" customHeight="1">
      <c r="A23" s="8">
        <v>46178.0</v>
      </c>
      <c r="B23" s="21" t="s">
        <v>21</v>
      </c>
      <c r="C23" s="35">
        <v>325.0</v>
      </c>
      <c r="D23" s="68">
        <f t="array" ref="D23">IFERROR(_xlfn.XLOOKUP(C23,Code!A:A,Code!B:B),"")</f>
        <v>0.85</v>
      </c>
      <c r="E23" s="25" t="s">
        <v>23</v>
      </c>
      <c r="F23" s="26" t="s">
        <v>28</v>
      </c>
      <c r="G23" s="14" t="s">
        <v>17</v>
      </c>
      <c r="H23" s="14" t="s">
        <v>25</v>
      </c>
      <c r="I23" s="14">
        <v>1.0</v>
      </c>
      <c r="J23" s="14"/>
      <c r="K23" s="13"/>
      <c r="L23" s="13"/>
      <c r="M23" s="14"/>
      <c r="N23" s="28"/>
      <c r="O23" s="28"/>
      <c r="P23" s="28"/>
    </row>
    <row r="24" ht="20.25" customHeight="1">
      <c r="A24" s="29"/>
      <c r="B24" s="20"/>
      <c r="C24" s="37">
        <v>326.0</v>
      </c>
      <c r="D24" s="68">
        <f t="array" ref="D24">IFERROR(_xlfn.XLOOKUP(C24,Code!A:A,Code!B:B),"")</f>
        <v>0.63</v>
      </c>
      <c r="E24" s="20"/>
      <c r="F24" s="20"/>
      <c r="G24" s="22" t="s">
        <v>17</v>
      </c>
      <c r="H24" s="22" t="s">
        <v>18</v>
      </c>
      <c r="I24" s="22">
        <v>16.0</v>
      </c>
      <c r="J24" s="22"/>
      <c r="K24" s="39"/>
      <c r="L24" s="39"/>
      <c r="M24" s="22"/>
      <c r="N24" s="30"/>
      <c r="O24" s="30"/>
      <c r="P24" s="30"/>
    </row>
    <row r="25" ht="20.25" customHeight="1">
      <c r="A25" s="8">
        <v>46178.0</v>
      </c>
      <c r="B25" s="21" t="s">
        <v>30</v>
      </c>
      <c r="C25" s="23">
        <v>314.0</v>
      </c>
      <c r="D25" s="34">
        <f t="array" ref="D25">IFERROR(_xlfn.XLOOKUP(C25,Code!A:A,Code!B:B),"")</f>
        <v>1.13</v>
      </c>
      <c r="E25" s="25" t="s">
        <v>23</v>
      </c>
      <c r="F25" s="26" t="s">
        <v>31</v>
      </c>
      <c r="G25" s="14" t="s">
        <v>17</v>
      </c>
      <c r="H25" s="14" t="s">
        <v>25</v>
      </c>
      <c r="I25" s="14">
        <v>1.0</v>
      </c>
      <c r="J25" s="14"/>
      <c r="K25" s="13"/>
      <c r="L25" s="13"/>
      <c r="M25" s="14"/>
      <c r="N25" s="28"/>
      <c r="O25" s="28"/>
      <c r="P25" s="28"/>
    </row>
    <row r="26" ht="20.25" customHeight="1">
      <c r="A26" s="29"/>
      <c r="B26" s="20"/>
      <c r="C26" s="20"/>
      <c r="D26" s="20"/>
      <c r="E26" s="20"/>
      <c r="F26" s="20"/>
      <c r="G26" s="22" t="s">
        <v>17</v>
      </c>
      <c r="H26" s="22" t="s">
        <v>18</v>
      </c>
      <c r="I26" s="22">
        <v>8.0</v>
      </c>
      <c r="J26" s="22"/>
      <c r="K26" s="39"/>
      <c r="L26" s="39"/>
      <c r="M26" s="22"/>
      <c r="N26" s="30"/>
      <c r="O26" s="30"/>
      <c r="P26" s="30"/>
    </row>
    <row r="27" ht="20.25" customHeight="1">
      <c r="A27" s="8">
        <v>46178.0</v>
      </c>
      <c r="B27" s="21" t="s">
        <v>30</v>
      </c>
      <c r="C27" s="23">
        <v>314.0</v>
      </c>
      <c r="D27" s="34">
        <f t="array" ref="D27">IFERROR(_xlfn.XLOOKUP(C27,Code!A:A,Code!B:B),"")</f>
        <v>1.13</v>
      </c>
      <c r="E27" s="25" t="s">
        <v>23</v>
      </c>
      <c r="F27" s="26" t="s">
        <v>37</v>
      </c>
      <c r="G27" s="14" t="s">
        <v>17</v>
      </c>
      <c r="H27" s="14" t="s">
        <v>25</v>
      </c>
      <c r="I27" s="14">
        <v>1.0</v>
      </c>
      <c r="J27" s="14"/>
      <c r="K27" s="13"/>
      <c r="L27" s="13"/>
      <c r="M27" s="14"/>
      <c r="N27" s="28"/>
      <c r="O27" s="28"/>
      <c r="P27" s="28"/>
    </row>
    <row r="28" ht="20.25" customHeight="1">
      <c r="A28" s="29"/>
      <c r="B28" s="20"/>
      <c r="C28" s="20"/>
      <c r="D28" s="20"/>
      <c r="E28" s="20"/>
      <c r="F28" s="20"/>
      <c r="G28" s="22" t="s">
        <v>17</v>
      </c>
      <c r="H28" s="22" t="s">
        <v>18</v>
      </c>
      <c r="I28" s="22">
        <v>13.0</v>
      </c>
      <c r="J28" s="22"/>
      <c r="K28" s="22"/>
      <c r="L28" s="22"/>
      <c r="M28" s="22"/>
      <c r="N28" s="30"/>
      <c r="O28" s="30"/>
      <c r="P28" s="30"/>
    </row>
    <row r="29" ht="20.25" customHeight="1">
      <c r="A29" s="8">
        <v>46179.0</v>
      </c>
      <c r="B29" s="21" t="s">
        <v>21</v>
      </c>
      <c r="C29" s="23">
        <v>328.0</v>
      </c>
      <c r="D29" s="34">
        <f t="array" ref="D29">IFERROR(_xlfn.XLOOKUP(C29,Code!A:A,Code!B:B),"")</f>
        <v>0.87</v>
      </c>
      <c r="E29" s="25" t="s">
        <v>23</v>
      </c>
      <c r="F29" s="26" t="s">
        <v>28</v>
      </c>
      <c r="G29" s="14" t="s">
        <v>17</v>
      </c>
      <c r="H29" s="14" t="s">
        <v>25</v>
      </c>
      <c r="I29" s="14">
        <v>1.0</v>
      </c>
      <c r="J29" s="14"/>
      <c r="K29" s="13"/>
      <c r="L29" s="13"/>
      <c r="M29" s="14"/>
      <c r="N29" s="28"/>
      <c r="O29" s="28"/>
      <c r="P29" s="28"/>
    </row>
    <row r="30" ht="20.25" customHeight="1">
      <c r="A30" s="29"/>
      <c r="B30" s="20"/>
      <c r="C30" s="29"/>
      <c r="D30" s="29"/>
      <c r="E30" s="20"/>
      <c r="F30" s="20"/>
      <c r="G30" s="22" t="s">
        <v>17</v>
      </c>
      <c r="H30" s="22" t="s">
        <v>18</v>
      </c>
      <c r="I30" s="22">
        <v>20.0</v>
      </c>
      <c r="J30" s="22"/>
      <c r="K30" s="39"/>
      <c r="L30" s="39"/>
      <c r="M30" s="22"/>
      <c r="N30" s="30"/>
      <c r="O30" s="30"/>
      <c r="P30" s="30"/>
    </row>
    <row r="31" ht="20.25" customHeight="1">
      <c r="A31" s="8">
        <v>46179.0</v>
      </c>
      <c r="B31" s="21" t="s">
        <v>30</v>
      </c>
      <c r="C31" s="23">
        <v>314.0</v>
      </c>
      <c r="D31" s="34">
        <f t="array" ref="D31">IFERROR(_xlfn.XLOOKUP(C31,Code!A:A,Code!B:B),"")</f>
        <v>1.13</v>
      </c>
      <c r="E31" s="25" t="s">
        <v>23</v>
      </c>
      <c r="F31" s="26" t="s">
        <v>31</v>
      </c>
      <c r="G31" s="14" t="s">
        <v>17</v>
      </c>
      <c r="H31" s="14" t="s">
        <v>25</v>
      </c>
      <c r="I31" s="14">
        <v>1.0</v>
      </c>
      <c r="J31" s="14"/>
      <c r="K31" s="13"/>
      <c r="L31" s="13"/>
      <c r="M31" s="14"/>
      <c r="N31" s="28"/>
      <c r="O31" s="28"/>
      <c r="P31" s="28"/>
    </row>
    <row r="32" ht="20.25" customHeight="1">
      <c r="A32" s="29"/>
      <c r="B32" s="20"/>
      <c r="C32" s="29"/>
      <c r="D32" s="29"/>
      <c r="E32" s="20"/>
      <c r="F32" s="20"/>
      <c r="G32" s="22" t="s">
        <v>17</v>
      </c>
      <c r="H32" s="22" t="s">
        <v>18</v>
      </c>
      <c r="I32" s="22">
        <v>10.0</v>
      </c>
      <c r="J32" s="22"/>
      <c r="K32" s="39"/>
      <c r="L32" s="39"/>
      <c r="M32" s="22"/>
      <c r="N32" s="30"/>
      <c r="O32" s="30"/>
      <c r="P32" s="30"/>
    </row>
    <row r="33" ht="20.25" customHeight="1">
      <c r="A33" s="8">
        <v>46181.0</v>
      </c>
      <c r="B33" s="21" t="s">
        <v>21</v>
      </c>
      <c r="C33" s="23">
        <v>327.0</v>
      </c>
      <c r="D33" s="34">
        <f t="array" ref="D33">IFERROR(_xlfn.XLOOKUP(C33,Code!A:A,Code!B:B),"")</f>
        <v>0.76</v>
      </c>
      <c r="E33" s="25" t="s">
        <v>23</v>
      </c>
      <c r="F33" s="26" t="s">
        <v>28</v>
      </c>
      <c r="G33" s="14" t="s">
        <v>17</v>
      </c>
      <c r="H33" s="14" t="s">
        <v>25</v>
      </c>
      <c r="I33" s="14">
        <v>1.0</v>
      </c>
      <c r="J33" s="14"/>
      <c r="K33" s="13"/>
      <c r="L33" s="13"/>
      <c r="M33" s="14"/>
      <c r="N33" s="28"/>
      <c r="O33" s="28"/>
      <c r="P33" s="28"/>
    </row>
    <row r="34" ht="20.25" customHeight="1">
      <c r="A34" s="29"/>
      <c r="B34" s="21" t="s">
        <v>21</v>
      </c>
      <c r="C34" s="79">
        <v>301.0</v>
      </c>
      <c r="D34" s="34">
        <f t="array" ref="D34">IFERROR(_xlfn.XLOOKUP(C34,Code!A:A,Code!B:B),"")</f>
        <v>0.81</v>
      </c>
      <c r="E34" s="20"/>
      <c r="F34" s="20"/>
      <c r="G34" s="22" t="s">
        <v>17</v>
      </c>
      <c r="H34" s="22" t="s">
        <v>18</v>
      </c>
      <c r="I34" s="22">
        <v>16.0</v>
      </c>
      <c r="J34" s="22"/>
      <c r="K34" s="39"/>
      <c r="L34" s="39"/>
      <c r="M34" s="22"/>
      <c r="N34" s="30"/>
      <c r="O34" s="30"/>
      <c r="P34" s="30"/>
    </row>
    <row r="35" ht="20.25" customHeight="1">
      <c r="A35" s="8">
        <v>46181.0</v>
      </c>
      <c r="B35" s="21" t="s">
        <v>30</v>
      </c>
      <c r="C35" s="23">
        <v>309.0</v>
      </c>
      <c r="D35" s="34">
        <f t="array" ref="D35">IFERROR(_xlfn.XLOOKUP(C35,Code!A:A,Code!B:B),"")</f>
        <v>0.75</v>
      </c>
      <c r="E35" s="25" t="s">
        <v>23</v>
      </c>
      <c r="F35" s="26" t="s">
        <v>31</v>
      </c>
      <c r="G35" s="14" t="s">
        <v>17</v>
      </c>
      <c r="H35" s="14" t="s">
        <v>25</v>
      </c>
      <c r="I35" s="14">
        <v>1.0</v>
      </c>
      <c r="J35" s="14"/>
      <c r="K35" s="13"/>
      <c r="L35" s="13"/>
      <c r="M35" s="14"/>
      <c r="N35" s="28"/>
      <c r="O35" s="28"/>
      <c r="P35" s="28"/>
    </row>
    <row r="36" ht="20.25" customHeight="1">
      <c r="A36" s="29"/>
      <c r="B36" s="20"/>
      <c r="C36" s="29"/>
      <c r="D36" s="29"/>
      <c r="E36" s="20"/>
      <c r="F36" s="20"/>
      <c r="G36" s="22" t="s">
        <v>17</v>
      </c>
      <c r="H36" s="22" t="s">
        <v>18</v>
      </c>
      <c r="I36" s="22">
        <v>13.0</v>
      </c>
      <c r="J36" s="22"/>
      <c r="K36" s="39"/>
      <c r="L36" s="39"/>
      <c r="M36" s="22"/>
      <c r="N36" s="30"/>
      <c r="O36" s="30"/>
      <c r="P36" s="30"/>
    </row>
    <row r="37" ht="20.25" customHeight="1">
      <c r="A37" s="104">
        <v>46181.0</v>
      </c>
      <c r="B37" s="21" t="s">
        <v>30</v>
      </c>
      <c r="C37" s="23">
        <v>309.0</v>
      </c>
      <c r="D37" s="34">
        <f t="array" ref="D37">IFERROR(_xlfn.XLOOKUP(C37,Code!A:A,Code!B:B),"")</f>
        <v>0.75</v>
      </c>
      <c r="E37" s="25" t="s">
        <v>23</v>
      </c>
      <c r="F37" s="26" t="s">
        <v>42</v>
      </c>
      <c r="G37" s="14" t="s">
        <v>17</v>
      </c>
      <c r="H37" s="14" t="s">
        <v>25</v>
      </c>
      <c r="I37" s="14">
        <v>1.0</v>
      </c>
      <c r="J37" s="14"/>
      <c r="K37" s="13"/>
      <c r="L37" s="13"/>
      <c r="M37" s="14"/>
      <c r="N37" s="28"/>
      <c r="O37" s="28"/>
      <c r="P37" s="28"/>
    </row>
    <row r="38" ht="20.25" customHeight="1">
      <c r="A38" s="29"/>
      <c r="B38" s="20"/>
      <c r="C38" s="29"/>
      <c r="D38" s="29"/>
      <c r="E38" s="20"/>
      <c r="F38" s="20"/>
      <c r="G38" s="112" t="s">
        <v>17</v>
      </c>
      <c r="H38" s="22" t="s">
        <v>18</v>
      </c>
      <c r="I38" s="113">
        <v>12.0</v>
      </c>
      <c r="J38" s="115"/>
      <c r="K38" s="116"/>
      <c r="L38" s="116"/>
      <c r="M38" s="115"/>
      <c r="N38" s="117"/>
      <c r="O38" s="117"/>
      <c r="P38" s="117"/>
    </row>
    <row r="39" ht="20.25" customHeight="1">
      <c r="A39" s="8">
        <v>46182.0</v>
      </c>
      <c r="B39" s="21" t="s">
        <v>21</v>
      </c>
      <c r="C39" s="118">
        <v>321.0</v>
      </c>
      <c r="D39" s="120">
        <f t="array" ref="D39">IFERROR(_xlfn.XLOOKUP(C39,Code!A:A,Code!B:B),"")</f>
        <v>0.97</v>
      </c>
      <c r="E39" s="25" t="s">
        <v>23</v>
      </c>
      <c r="F39" s="26" t="s">
        <v>28</v>
      </c>
      <c r="G39" s="122" t="s">
        <v>17</v>
      </c>
      <c r="H39" s="14" t="s">
        <v>25</v>
      </c>
      <c r="I39" s="122">
        <v>1.0</v>
      </c>
      <c r="J39" s="124"/>
      <c r="K39" s="126"/>
      <c r="L39" s="126"/>
      <c r="M39" s="124"/>
      <c r="N39" s="127"/>
      <c r="O39" s="127"/>
      <c r="P39" s="127"/>
    </row>
    <row r="40" ht="20.25" customHeight="1">
      <c r="A40" s="29"/>
      <c r="B40" s="20"/>
      <c r="C40" s="128">
        <v>322.0</v>
      </c>
      <c r="D40" s="130">
        <f t="array" ref="D40">IFERROR(_xlfn.XLOOKUP(C40,Code!A:A,Code!B:B),"")</f>
        <v>1</v>
      </c>
      <c r="E40" s="20"/>
      <c r="F40" s="20"/>
      <c r="G40" s="112" t="s">
        <v>17</v>
      </c>
      <c r="H40" s="22" t="s">
        <v>18</v>
      </c>
      <c r="I40" s="113">
        <v>17.0</v>
      </c>
      <c r="J40" s="115"/>
      <c r="K40" s="116"/>
      <c r="L40" s="116"/>
      <c r="M40" s="115"/>
      <c r="N40" s="117"/>
      <c r="O40" s="117"/>
      <c r="P40" s="117"/>
    </row>
    <row r="41" ht="20.25" customHeight="1">
      <c r="A41" s="8">
        <v>46182.0</v>
      </c>
      <c r="B41" s="21" t="s">
        <v>21</v>
      </c>
      <c r="C41" s="131">
        <v>306.0</v>
      </c>
      <c r="D41" s="34">
        <f t="array" ref="D41">IFERROR(_xlfn.XLOOKUP(C41,Code!A:A,Code!B:B),"")</f>
        <v>0.95</v>
      </c>
      <c r="E41" s="25" t="s">
        <v>23</v>
      </c>
      <c r="F41" s="26" t="s">
        <v>31</v>
      </c>
      <c r="G41" s="122" t="s">
        <v>17</v>
      </c>
      <c r="H41" s="14" t="s">
        <v>25</v>
      </c>
      <c r="I41" s="122">
        <v>1.0</v>
      </c>
      <c r="J41" s="124"/>
      <c r="K41" s="126"/>
      <c r="L41" s="126"/>
      <c r="M41" s="124"/>
      <c r="N41" s="127"/>
      <c r="O41" s="127"/>
      <c r="P41" s="127"/>
    </row>
    <row r="42" ht="20.25" customHeight="1">
      <c r="A42" s="29"/>
      <c r="B42" s="29"/>
      <c r="C42" s="29"/>
      <c r="D42" s="29"/>
      <c r="E42" s="20"/>
      <c r="F42" s="20"/>
      <c r="G42" s="112" t="s">
        <v>17</v>
      </c>
      <c r="H42" s="22" t="s">
        <v>18</v>
      </c>
      <c r="I42" s="113">
        <v>8.0</v>
      </c>
      <c r="J42" s="115"/>
      <c r="K42" s="116"/>
      <c r="L42" s="116"/>
      <c r="M42" s="115"/>
      <c r="N42" s="117"/>
      <c r="O42" s="117"/>
      <c r="P42" s="117"/>
    </row>
    <row r="43" ht="20.25" customHeight="1">
      <c r="A43" s="8">
        <v>46182.0</v>
      </c>
      <c r="B43" s="21" t="s">
        <v>30</v>
      </c>
      <c r="C43" s="131">
        <v>323.0</v>
      </c>
      <c r="D43" s="34">
        <f t="array" ref="D43">IFERROR(_xlfn.XLOOKUP(C43,Code!A:A,Code!B:B),"")</f>
        <v>1.13</v>
      </c>
      <c r="E43" s="25" t="s">
        <v>23</v>
      </c>
      <c r="F43" s="26" t="s">
        <v>48</v>
      </c>
      <c r="G43" s="122" t="s">
        <v>17</v>
      </c>
      <c r="H43" s="14" t="s">
        <v>25</v>
      </c>
      <c r="I43" s="122">
        <v>1.0</v>
      </c>
      <c r="J43" s="124"/>
      <c r="K43" s="126"/>
      <c r="L43" s="126"/>
      <c r="M43" s="124"/>
      <c r="N43" s="127"/>
      <c r="O43" s="127"/>
      <c r="P43" s="127"/>
    </row>
    <row r="44" ht="20.25" customHeight="1">
      <c r="A44" s="29"/>
      <c r="B44" s="29"/>
      <c r="C44" s="29"/>
      <c r="D44" s="29"/>
      <c r="E44" s="20"/>
      <c r="F44" s="20"/>
      <c r="G44" s="112" t="s">
        <v>17</v>
      </c>
      <c r="H44" s="22" t="s">
        <v>18</v>
      </c>
      <c r="I44" s="113">
        <v>15.0</v>
      </c>
      <c r="J44" s="115"/>
      <c r="K44" s="116"/>
      <c r="L44" s="116"/>
      <c r="M44" s="115"/>
      <c r="N44" s="117"/>
      <c r="O44" s="117"/>
      <c r="P44" s="117"/>
    </row>
    <row r="45" ht="20.25" customHeight="1">
      <c r="A45" s="8">
        <v>46182.0</v>
      </c>
      <c r="B45" s="21" t="s">
        <v>21</v>
      </c>
      <c r="C45" s="131">
        <v>306.0</v>
      </c>
      <c r="D45" s="34">
        <f t="array" ref="D45">IFERROR(_xlfn.XLOOKUP(C45,Code!A:A,Code!B:B),"")</f>
        <v>0.95</v>
      </c>
      <c r="E45" s="25" t="s">
        <v>23</v>
      </c>
      <c r="F45" s="26" t="s">
        <v>42</v>
      </c>
      <c r="G45" s="122" t="s">
        <v>17</v>
      </c>
      <c r="H45" s="14" t="s">
        <v>25</v>
      </c>
      <c r="I45" s="122">
        <v>1.0</v>
      </c>
      <c r="J45" s="124"/>
      <c r="K45" s="126"/>
      <c r="L45" s="126"/>
      <c r="M45" s="124"/>
      <c r="N45" s="127"/>
      <c r="O45" s="127"/>
      <c r="P45" s="127"/>
    </row>
    <row r="46" ht="20.25" customHeight="1">
      <c r="A46" s="29"/>
      <c r="B46" s="29"/>
      <c r="C46" s="29"/>
      <c r="D46" s="29"/>
      <c r="E46" s="20"/>
      <c r="F46" s="20"/>
      <c r="G46" s="112" t="s">
        <v>17</v>
      </c>
      <c r="H46" s="22" t="s">
        <v>18</v>
      </c>
      <c r="I46" s="113">
        <v>11.0</v>
      </c>
      <c r="J46" s="115"/>
      <c r="K46" s="116"/>
      <c r="L46" s="116"/>
      <c r="M46" s="115"/>
      <c r="N46" s="117"/>
      <c r="O46" s="117"/>
      <c r="P46" s="117"/>
    </row>
    <row r="47" ht="20.25" customHeight="1">
      <c r="A47" s="8">
        <v>46183.0</v>
      </c>
      <c r="B47" s="21" t="s">
        <v>21</v>
      </c>
      <c r="C47" s="118">
        <v>322.0</v>
      </c>
      <c r="D47" s="120">
        <f t="array" ref="D47">IFERROR(_xlfn.XLOOKUP(C47,Code!A:A,Code!B:B),"")</f>
        <v>1</v>
      </c>
      <c r="E47" s="25" t="s">
        <v>23</v>
      </c>
      <c r="F47" s="26" t="s">
        <v>28</v>
      </c>
      <c r="G47" s="122" t="s">
        <v>17</v>
      </c>
      <c r="H47" s="14" t="s">
        <v>25</v>
      </c>
      <c r="I47" s="122">
        <v>1.0</v>
      </c>
      <c r="J47" s="124"/>
      <c r="K47" s="126"/>
      <c r="L47" s="126"/>
      <c r="M47" s="124"/>
      <c r="N47" s="127"/>
      <c r="O47" s="127"/>
      <c r="P47" s="127"/>
    </row>
    <row r="48" ht="20.25" customHeight="1">
      <c r="A48" s="29"/>
      <c r="B48" s="29"/>
      <c r="C48" s="118">
        <v>323.0</v>
      </c>
      <c r="D48" s="120">
        <f t="array" ref="D48">IFERROR(_xlfn.XLOOKUP(C48,Code!A:A,Code!B:B),"")</f>
        <v>1.13</v>
      </c>
      <c r="E48" s="20"/>
      <c r="F48" s="20"/>
      <c r="G48" s="112" t="s">
        <v>17</v>
      </c>
      <c r="H48" s="22" t="s">
        <v>18</v>
      </c>
      <c r="I48" s="113">
        <v>27.0</v>
      </c>
      <c r="J48" s="115"/>
      <c r="K48" s="116"/>
      <c r="L48" s="116"/>
      <c r="M48" s="115"/>
      <c r="N48" s="117"/>
      <c r="O48" s="117"/>
      <c r="P48" s="117"/>
    </row>
    <row r="49" ht="20.25" customHeight="1">
      <c r="A49" s="8">
        <v>46183.0</v>
      </c>
      <c r="B49" s="21" t="s">
        <v>21</v>
      </c>
      <c r="C49" s="131">
        <v>306.0</v>
      </c>
      <c r="D49" s="34">
        <f t="array" ref="D49">IFERROR(_xlfn.XLOOKUP(C49,Code!A:A,Code!B:B),"")</f>
        <v>0.95</v>
      </c>
      <c r="E49" s="25" t="s">
        <v>23</v>
      </c>
      <c r="F49" s="26" t="s">
        <v>31</v>
      </c>
      <c r="G49" s="122" t="s">
        <v>17</v>
      </c>
      <c r="H49" s="14" t="s">
        <v>25</v>
      </c>
      <c r="I49" s="122">
        <v>1.0</v>
      </c>
      <c r="J49" s="124"/>
      <c r="K49" s="126"/>
      <c r="L49" s="126"/>
      <c r="M49" s="124"/>
      <c r="N49" s="127"/>
      <c r="O49" s="127"/>
      <c r="P49" s="127"/>
    </row>
    <row r="50" ht="20.25" customHeight="1">
      <c r="A50" s="29"/>
      <c r="B50" s="29"/>
      <c r="C50" s="29"/>
      <c r="D50" s="29"/>
      <c r="E50" s="20"/>
      <c r="F50" s="20"/>
      <c r="G50" s="112" t="s">
        <v>17</v>
      </c>
      <c r="H50" s="22" t="s">
        <v>18</v>
      </c>
      <c r="I50" s="113">
        <v>17.0</v>
      </c>
      <c r="J50" s="115"/>
      <c r="K50" s="116"/>
      <c r="L50" s="116"/>
      <c r="M50" s="115"/>
      <c r="N50" s="117"/>
      <c r="O50" s="117"/>
      <c r="P50" s="117"/>
    </row>
    <row r="51" ht="20.25" customHeight="1">
      <c r="A51" s="8">
        <v>46183.0</v>
      </c>
      <c r="B51" s="21" t="s">
        <v>30</v>
      </c>
      <c r="C51" s="131">
        <v>323.0</v>
      </c>
      <c r="D51" s="34">
        <f t="array" ref="D51">IFERROR(_xlfn.XLOOKUP(C51,Code!A:A,Code!B:B),"")</f>
        <v>1.13</v>
      </c>
      <c r="E51" s="25" t="s">
        <v>23</v>
      </c>
      <c r="F51" s="26" t="s">
        <v>48</v>
      </c>
      <c r="G51" s="122" t="s">
        <v>17</v>
      </c>
      <c r="H51" s="14" t="s">
        <v>25</v>
      </c>
      <c r="I51" s="122">
        <v>1.0</v>
      </c>
      <c r="J51" s="124"/>
      <c r="K51" s="126"/>
      <c r="L51" s="126"/>
      <c r="M51" s="124"/>
      <c r="N51" s="127"/>
      <c r="O51" s="127"/>
      <c r="P51" s="127"/>
    </row>
    <row r="52" ht="20.25" customHeight="1">
      <c r="A52" s="29"/>
      <c r="B52" s="29"/>
      <c r="C52" s="152">
        <v>324.0</v>
      </c>
      <c r="D52" s="120">
        <f t="array" ref="D52">IFERROR(_xlfn.XLOOKUP(C52,Code!A:A,Code!B:B),"")</f>
        <v>0.87</v>
      </c>
      <c r="E52" s="20"/>
      <c r="F52" s="20"/>
      <c r="G52" s="112" t="s">
        <v>17</v>
      </c>
      <c r="H52" s="22" t="s">
        <v>18</v>
      </c>
      <c r="I52" s="113">
        <v>19.0</v>
      </c>
      <c r="J52" s="115"/>
      <c r="K52" s="116"/>
      <c r="L52" s="116"/>
      <c r="M52" s="115"/>
      <c r="N52" s="117"/>
      <c r="O52" s="117"/>
      <c r="P52" s="117"/>
    </row>
    <row r="53" ht="20.25" customHeight="1">
      <c r="A53" s="8">
        <v>46183.0</v>
      </c>
      <c r="B53" s="21" t="s">
        <v>21</v>
      </c>
      <c r="C53" s="131">
        <v>306.0</v>
      </c>
      <c r="D53" s="34">
        <f t="array" ref="D53">IFERROR(_xlfn.XLOOKUP(C53,Code!A:A,Code!B:B),"")</f>
        <v>0.95</v>
      </c>
      <c r="E53" s="25" t="s">
        <v>23</v>
      </c>
      <c r="F53" s="26" t="s">
        <v>42</v>
      </c>
      <c r="G53" s="122" t="s">
        <v>17</v>
      </c>
      <c r="H53" s="14" t="s">
        <v>25</v>
      </c>
      <c r="I53" s="122">
        <v>1.0</v>
      </c>
      <c r="J53" s="124"/>
      <c r="K53" s="126"/>
      <c r="L53" s="126"/>
      <c r="M53" s="124"/>
      <c r="N53" s="127"/>
      <c r="O53" s="127"/>
      <c r="P53" s="127"/>
    </row>
    <row r="54" ht="20.25" customHeight="1">
      <c r="A54" s="29"/>
      <c r="B54" s="29"/>
      <c r="C54" s="29"/>
      <c r="D54" s="29"/>
      <c r="E54" s="20"/>
      <c r="F54" s="20"/>
      <c r="G54" s="112" t="s">
        <v>17</v>
      </c>
      <c r="H54" s="22" t="s">
        <v>18</v>
      </c>
      <c r="I54" s="113">
        <v>17.0</v>
      </c>
      <c r="J54" s="115"/>
      <c r="K54" s="116"/>
      <c r="L54" s="116"/>
      <c r="M54" s="115"/>
      <c r="N54" s="117"/>
      <c r="O54" s="117"/>
      <c r="P54" s="117"/>
    </row>
    <row r="55" ht="20.25" customHeight="1">
      <c r="A55" s="8">
        <v>46184.0</v>
      </c>
      <c r="B55" s="21" t="s">
        <v>21</v>
      </c>
      <c r="C55" s="131">
        <v>323.0</v>
      </c>
      <c r="D55" s="34">
        <f t="array" ref="D55">IFERROR(_xlfn.XLOOKUP(C55,Code!A:A,Code!B:B),"")</f>
        <v>1.13</v>
      </c>
      <c r="E55" s="25" t="s">
        <v>23</v>
      </c>
      <c r="F55" s="26" t="s">
        <v>28</v>
      </c>
      <c r="G55" s="122" t="s">
        <v>17</v>
      </c>
      <c r="H55" s="14" t="s">
        <v>25</v>
      </c>
      <c r="I55" s="122">
        <v>1.0</v>
      </c>
      <c r="J55" s="124"/>
      <c r="K55" s="126"/>
      <c r="L55" s="126"/>
      <c r="M55" s="124"/>
      <c r="N55" s="127"/>
      <c r="O55" s="127"/>
      <c r="P55" s="127"/>
    </row>
    <row r="56" ht="20.25" customHeight="1">
      <c r="A56" s="29"/>
      <c r="B56" s="29"/>
      <c r="C56" s="29"/>
      <c r="D56" s="29"/>
      <c r="E56" s="20"/>
      <c r="F56" s="20"/>
      <c r="G56" s="112" t="s">
        <v>17</v>
      </c>
      <c r="H56" s="22" t="s">
        <v>18</v>
      </c>
      <c r="I56" s="113">
        <v>19.0</v>
      </c>
      <c r="J56" s="115"/>
      <c r="K56" s="116"/>
      <c r="L56" s="116"/>
      <c r="M56" s="115"/>
      <c r="N56" s="117"/>
      <c r="O56" s="117"/>
      <c r="P56" s="117"/>
    </row>
    <row r="57" ht="20.25" customHeight="1">
      <c r="A57" s="8">
        <v>46184.0</v>
      </c>
      <c r="B57" s="21" t="s">
        <v>21</v>
      </c>
      <c r="C57" s="131">
        <v>307.0</v>
      </c>
      <c r="D57" s="34">
        <f t="array" ref="D57">IFERROR(_xlfn.XLOOKUP(C57,Code!A:A,Code!B:B),"")</f>
        <v>1</v>
      </c>
      <c r="E57" s="25" t="s">
        <v>23</v>
      </c>
      <c r="F57" s="26" t="s">
        <v>31</v>
      </c>
      <c r="G57" s="165" t="s">
        <v>17</v>
      </c>
      <c r="H57" s="14" t="s">
        <v>25</v>
      </c>
      <c r="I57" s="165">
        <v>1.0</v>
      </c>
      <c r="J57" s="167"/>
      <c r="K57" s="168"/>
      <c r="L57" s="168"/>
      <c r="M57" s="167"/>
      <c r="N57" s="169"/>
      <c r="O57" s="169"/>
      <c r="P57" s="169"/>
    </row>
    <row r="58" ht="20.25" customHeight="1">
      <c r="A58" s="29"/>
      <c r="B58" s="29"/>
      <c r="C58" s="29"/>
      <c r="D58" s="29"/>
      <c r="E58" s="20"/>
      <c r="F58" s="20"/>
      <c r="G58" s="170" t="s">
        <v>17</v>
      </c>
      <c r="H58" s="22" t="s">
        <v>18</v>
      </c>
      <c r="I58" s="171">
        <v>20.0</v>
      </c>
      <c r="J58" s="172"/>
      <c r="K58" s="173"/>
      <c r="L58" s="173"/>
      <c r="M58" s="172"/>
      <c r="N58" s="174"/>
      <c r="O58" s="174"/>
      <c r="P58" s="174"/>
    </row>
    <row r="59" ht="20.25" customHeight="1">
      <c r="A59" s="8">
        <v>46184.0</v>
      </c>
      <c r="B59" s="21" t="s">
        <v>21</v>
      </c>
      <c r="C59" s="131">
        <v>307.0</v>
      </c>
      <c r="D59" s="34">
        <f t="array" ref="D59">IFERROR(_xlfn.XLOOKUP(C59,Code!A:A,Code!B:B),"")</f>
        <v>1</v>
      </c>
      <c r="E59" s="25" t="s">
        <v>23</v>
      </c>
      <c r="F59" s="26" t="s">
        <v>42</v>
      </c>
      <c r="G59" s="165" t="s">
        <v>17</v>
      </c>
      <c r="H59" s="14" t="s">
        <v>25</v>
      </c>
      <c r="I59" s="165">
        <v>1.0</v>
      </c>
      <c r="J59" s="167"/>
      <c r="K59" s="168"/>
      <c r="L59" s="168"/>
      <c r="M59" s="167"/>
      <c r="N59" s="169"/>
      <c r="O59" s="169"/>
      <c r="P59" s="169"/>
    </row>
    <row r="60" ht="20.25" customHeight="1">
      <c r="A60" s="29"/>
      <c r="B60" s="29"/>
      <c r="C60" s="29"/>
      <c r="D60" s="29"/>
      <c r="E60" s="20"/>
      <c r="F60" s="20"/>
      <c r="G60" s="170" t="s">
        <v>17</v>
      </c>
      <c r="H60" s="22" t="s">
        <v>18</v>
      </c>
      <c r="I60" s="171">
        <v>16.0</v>
      </c>
      <c r="J60" s="172"/>
      <c r="K60" s="173"/>
      <c r="L60" s="173"/>
      <c r="M60" s="172"/>
      <c r="N60" s="174"/>
      <c r="O60" s="174"/>
      <c r="P60" s="174"/>
    </row>
    <row r="61" ht="20.25" customHeight="1">
      <c r="A61" s="8">
        <v>46185.0</v>
      </c>
      <c r="B61" s="21" t="s">
        <v>21</v>
      </c>
      <c r="C61" s="131">
        <v>323.0</v>
      </c>
      <c r="D61" s="34">
        <f t="array" ref="D61">IFERROR(_xlfn.XLOOKUP(C61,Code!A:A,Code!B:B),"")</f>
        <v>1.13</v>
      </c>
      <c r="E61" s="25" t="s">
        <v>23</v>
      </c>
      <c r="F61" s="26" t="s">
        <v>28</v>
      </c>
      <c r="G61" s="165" t="s">
        <v>17</v>
      </c>
      <c r="H61" s="14" t="s">
        <v>25</v>
      </c>
      <c r="I61" s="165">
        <v>1.0</v>
      </c>
      <c r="J61" s="167"/>
      <c r="K61" s="168"/>
      <c r="L61" s="168"/>
      <c r="M61" s="167"/>
      <c r="N61" s="169"/>
      <c r="O61" s="169"/>
      <c r="P61" s="169"/>
    </row>
    <row r="62" ht="20.25" customHeight="1">
      <c r="A62" s="29"/>
      <c r="B62" s="29"/>
      <c r="C62" s="29"/>
      <c r="D62" s="29"/>
      <c r="E62" s="20"/>
      <c r="F62" s="20"/>
      <c r="G62" s="170" t="s">
        <v>17</v>
      </c>
      <c r="H62" s="22" t="s">
        <v>18</v>
      </c>
      <c r="I62" s="171">
        <v>20.0</v>
      </c>
      <c r="J62" s="172"/>
      <c r="K62" s="173"/>
      <c r="L62" s="173"/>
      <c r="M62" s="172"/>
      <c r="N62" s="174"/>
      <c r="O62" s="174"/>
      <c r="P62" s="174"/>
    </row>
    <row r="63" ht="20.25" customHeight="1">
      <c r="A63" s="8">
        <v>46185.0</v>
      </c>
      <c r="B63" s="21" t="s">
        <v>63</v>
      </c>
      <c r="C63" s="176">
        <v>314.0</v>
      </c>
      <c r="D63" s="34">
        <f t="array" ref="D63">IFERROR(_xlfn.XLOOKUP(C63,Code!A:A,Code!B:B),"")</f>
        <v>1.13</v>
      </c>
      <c r="E63" s="25" t="s">
        <v>23</v>
      </c>
      <c r="F63" s="26" t="s">
        <v>31</v>
      </c>
      <c r="G63" s="165" t="s">
        <v>17</v>
      </c>
      <c r="H63" s="14" t="s">
        <v>25</v>
      </c>
      <c r="I63" s="165">
        <v>1.0</v>
      </c>
      <c r="J63" s="167"/>
      <c r="K63" s="168"/>
      <c r="L63" s="168"/>
      <c r="M63" s="167"/>
      <c r="N63" s="169"/>
      <c r="O63" s="169"/>
      <c r="P63" s="169"/>
    </row>
    <row r="64" ht="20.25" customHeight="1">
      <c r="A64" s="29"/>
      <c r="B64" s="29"/>
      <c r="C64" s="29"/>
      <c r="D64" s="29"/>
      <c r="E64" s="20"/>
      <c r="F64" s="20"/>
      <c r="G64" s="170" t="s">
        <v>17</v>
      </c>
      <c r="H64" s="22" t="s">
        <v>18</v>
      </c>
      <c r="I64" s="171">
        <v>15.0</v>
      </c>
      <c r="J64" s="172"/>
      <c r="K64" s="173"/>
      <c r="L64" s="173"/>
      <c r="M64" s="172"/>
      <c r="N64" s="174"/>
      <c r="O64" s="174"/>
      <c r="P64" s="174"/>
    </row>
    <row r="65" ht="20.25" customHeight="1">
      <c r="A65" s="8">
        <v>46185.0</v>
      </c>
      <c r="B65" s="21" t="s">
        <v>21</v>
      </c>
      <c r="C65" s="131">
        <v>302.0</v>
      </c>
      <c r="D65" s="34">
        <f t="array" ref="D65">IFERROR(_xlfn.XLOOKUP(C65,Code!A:A,Code!B:B),"")</f>
        <v>0.79</v>
      </c>
      <c r="E65" s="25" t="s">
        <v>23</v>
      </c>
      <c r="F65" s="26" t="s">
        <v>42</v>
      </c>
      <c r="G65" s="165" t="s">
        <v>17</v>
      </c>
      <c r="H65" s="14" t="s">
        <v>25</v>
      </c>
      <c r="I65" s="165">
        <v>1.0</v>
      </c>
      <c r="J65" s="167"/>
      <c r="K65" s="168"/>
      <c r="L65" s="168"/>
      <c r="M65" s="167"/>
      <c r="N65" s="169"/>
      <c r="O65" s="169"/>
      <c r="P65" s="169"/>
    </row>
    <row r="66" ht="20.25" customHeight="1">
      <c r="A66" s="29"/>
      <c r="B66" s="29"/>
      <c r="C66" s="29"/>
      <c r="D66" s="29"/>
      <c r="E66" s="20"/>
      <c r="F66" s="20"/>
      <c r="G66" s="170" t="s">
        <v>17</v>
      </c>
      <c r="H66" s="22" t="s">
        <v>18</v>
      </c>
      <c r="I66" s="171">
        <v>17.0</v>
      </c>
      <c r="J66" s="172"/>
      <c r="K66" s="173"/>
      <c r="L66" s="173"/>
      <c r="M66" s="172"/>
      <c r="N66" s="174"/>
      <c r="O66" s="174"/>
      <c r="P66" s="174"/>
    </row>
    <row r="67" ht="20.25" customHeight="1">
      <c r="A67" s="8">
        <v>46185.0</v>
      </c>
      <c r="B67" s="21" t="s">
        <v>21</v>
      </c>
      <c r="C67" s="131">
        <v>317.0</v>
      </c>
      <c r="D67" s="34">
        <f t="array" ref="D67">IFERROR(_xlfn.XLOOKUP(C67,Code!A:A,Code!B:B),"")</f>
        <v>1.14</v>
      </c>
      <c r="E67" s="25" t="s">
        <v>23</v>
      </c>
      <c r="F67" s="26" t="s">
        <v>66</v>
      </c>
      <c r="G67" s="165" t="s">
        <v>17</v>
      </c>
      <c r="H67" s="14" t="s">
        <v>25</v>
      </c>
      <c r="I67" s="165">
        <v>1.0</v>
      </c>
      <c r="J67" s="167"/>
      <c r="K67" s="168"/>
      <c r="L67" s="168"/>
      <c r="M67" s="167"/>
      <c r="N67" s="169"/>
      <c r="O67" s="169"/>
      <c r="P67" s="169"/>
    </row>
    <row r="68" ht="20.25" customHeight="1">
      <c r="A68" s="29"/>
      <c r="B68" s="29"/>
      <c r="C68" s="29"/>
      <c r="D68" s="29"/>
      <c r="E68" s="20"/>
      <c r="F68" s="20"/>
      <c r="G68" s="170" t="s">
        <v>17</v>
      </c>
      <c r="H68" s="22" t="s">
        <v>18</v>
      </c>
      <c r="I68" s="171">
        <v>18.0</v>
      </c>
      <c r="J68" s="172"/>
      <c r="K68" s="173"/>
      <c r="L68" s="173"/>
      <c r="M68" s="172"/>
      <c r="N68" s="174"/>
      <c r="O68" s="174"/>
      <c r="P68" s="174"/>
    </row>
    <row r="69" ht="20.25" customHeight="1">
      <c r="A69" s="8">
        <v>46186.0</v>
      </c>
      <c r="B69" s="21" t="s">
        <v>30</v>
      </c>
      <c r="C69" s="131">
        <v>306.0</v>
      </c>
      <c r="D69" s="34">
        <f t="array" ref="D69">IFERROR(_xlfn.XLOOKUP(C69,Code!A:A,Code!B:B),"")</f>
        <v>0.95</v>
      </c>
      <c r="E69" s="25" t="s">
        <v>23</v>
      </c>
      <c r="F69" s="26" t="s">
        <v>31</v>
      </c>
      <c r="G69" s="165" t="s">
        <v>17</v>
      </c>
      <c r="H69" s="14" t="s">
        <v>25</v>
      </c>
      <c r="I69" s="177">
        <v>1.0</v>
      </c>
      <c r="J69" s="167"/>
      <c r="K69" s="168"/>
      <c r="L69" s="168"/>
      <c r="M69" s="167"/>
      <c r="N69" s="169"/>
      <c r="O69" s="169"/>
      <c r="P69" s="169"/>
    </row>
    <row r="70" ht="20.25" customHeight="1">
      <c r="A70" s="29"/>
      <c r="B70" s="29"/>
      <c r="C70" s="29"/>
      <c r="D70" s="29"/>
      <c r="E70" s="20"/>
      <c r="F70" s="20"/>
      <c r="G70" s="170" t="s">
        <v>17</v>
      </c>
      <c r="H70" s="22" t="s">
        <v>18</v>
      </c>
      <c r="I70" s="171">
        <v>16.0</v>
      </c>
      <c r="J70" s="172"/>
      <c r="K70" s="173"/>
      <c r="L70" s="173"/>
      <c r="M70" s="172"/>
      <c r="N70" s="174"/>
      <c r="O70" s="174"/>
      <c r="P70" s="174"/>
    </row>
    <row r="71" ht="20.25" customHeight="1">
      <c r="A71" s="8">
        <v>46186.0</v>
      </c>
      <c r="B71" s="21" t="s">
        <v>21</v>
      </c>
      <c r="C71" s="131">
        <v>324.0</v>
      </c>
      <c r="D71" s="34">
        <f t="array" ref="D71">IFERROR(_xlfn.XLOOKUP(C67,Code!A:A,Code!B:B),"")</f>
        <v>1.14</v>
      </c>
      <c r="E71" s="25" t="s">
        <v>23</v>
      </c>
      <c r="F71" s="26" t="s">
        <v>28</v>
      </c>
      <c r="G71" s="165" t="s">
        <v>17</v>
      </c>
      <c r="H71" s="14" t="s">
        <v>25</v>
      </c>
      <c r="I71" s="177">
        <v>1.0</v>
      </c>
      <c r="J71" s="167"/>
      <c r="K71" s="168"/>
      <c r="L71" s="168"/>
      <c r="M71" s="167"/>
      <c r="N71" s="169"/>
      <c r="O71" s="169"/>
      <c r="P71" s="169"/>
    </row>
    <row r="72" ht="20.25" customHeight="1">
      <c r="A72" s="29"/>
      <c r="B72" s="29"/>
      <c r="C72" s="29"/>
      <c r="D72" s="178">
        <f t="array" ref="D72">IFERROR(_xlfn.XLOOKUP(C67,Code!A:A,Code!B:B),"")</f>
        <v>1.14</v>
      </c>
      <c r="E72" s="20"/>
      <c r="F72" s="20"/>
      <c r="G72" s="170" t="s">
        <v>17</v>
      </c>
      <c r="H72" s="22" t="s">
        <v>18</v>
      </c>
      <c r="I72" s="171">
        <v>20.0</v>
      </c>
      <c r="J72" s="172"/>
      <c r="K72" s="173"/>
      <c r="L72" s="173"/>
      <c r="M72" s="172"/>
      <c r="N72" s="174"/>
      <c r="O72" s="174"/>
      <c r="P72" s="174"/>
    </row>
    <row r="73" ht="20.25" customHeight="1">
      <c r="A73" s="8">
        <v>46186.0</v>
      </c>
      <c r="B73" s="21" t="s">
        <v>21</v>
      </c>
      <c r="C73" s="131">
        <v>302.0</v>
      </c>
      <c r="D73" s="34">
        <f t="array" ref="D73">IFERROR(_xlfn.XLOOKUP(C73,Code!A:A,Code!B:B),"")</f>
        <v>0.79</v>
      </c>
      <c r="E73" s="25" t="s">
        <v>23</v>
      </c>
      <c r="F73" s="26" t="s">
        <v>42</v>
      </c>
      <c r="G73" s="165" t="s">
        <v>17</v>
      </c>
      <c r="H73" s="14" t="s">
        <v>25</v>
      </c>
      <c r="I73" s="177">
        <v>1.0</v>
      </c>
      <c r="J73" s="167"/>
      <c r="K73" s="168"/>
      <c r="L73" s="168"/>
      <c r="M73" s="167"/>
      <c r="N73" s="169"/>
      <c r="O73" s="169"/>
      <c r="P73" s="169"/>
    </row>
    <row r="74" ht="20.25" customHeight="1">
      <c r="A74" s="29"/>
      <c r="B74" s="29"/>
      <c r="C74" s="29"/>
      <c r="D74" s="29"/>
      <c r="E74" s="20"/>
      <c r="F74" s="20"/>
      <c r="G74" s="170" t="s">
        <v>17</v>
      </c>
      <c r="H74" s="22" t="s">
        <v>18</v>
      </c>
      <c r="I74" s="171">
        <v>18.0</v>
      </c>
      <c r="J74" s="172"/>
      <c r="K74" s="173"/>
      <c r="L74" s="173"/>
      <c r="M74" s="172"/>
      <c r="N74" s="174"/>
      <c r="O74" s="174"/>
      <c r="P74" s="174"/>
    </row>
    <row r="75" ht="20.25" customHeight="1">
      <c r="A75" s="8">
        <v>46186.0</v>
      </c>
      <c r="B75" s="21" t="s">
        <v>21</v>
      </c>
      <c r="C75" s="131">
        <v>317.0</v>
      </c>
      <c r="D75" s="34">
        <f t="array" ref="D75">IFERROR(_xlfn.XLOOKUP(C75,Code!A:A,Code!B:B),"")</f>
        <v>1.14</v>
      </c>
      <c r="E75" s="25" t="s">
        <v>23</v>
      </c>
      <c r="F75" s="26" t="s">
        <v>66</v>
      </c>
      <c r="G75" s="165" t="s">
        <v>17</v>
      </c>
      <c r="H75" s="14" t="s">
        <v>25</v>
      </c>
      <c r="I75" s="177">
        <v>1.0</v>
      </c>
      <c r="J75" s="167"/>
      <c r="K75" s="168"/>
      <c r="L75" s="168"/>
      <c r="M75" s="167"/>
      <c r="N75" s="169"/>
      <c r="O75" s="169"/>
      <c r="P75" s="169"/>
    </row>
    <row r="76" ht="20.25" customHeight="1">
      <c r="A76" s="29"/>
      <c r="B76" s="29"/>
      <c r="C76" s="29"/>
      <c r="D76" s="29"/>
      <c r="E76" s="20"/>
      <c r="F76" s="20"/>
      <c r="G76" s="170" t="s">
        <v>17</v>
      </c>
      <c r="H76" s="22" t="s">
        <v>18</v>
      </c>
      <c r="I76" s="171">
        <v>17.0</v>
      </c>
      <c r="J76" s="172"/>
      <c r="K76" s="173"/>
      <c r="L76" s="173"/>
      <c r="M76" s="172"/>
      <c r="N76" s="174"/>
      <c r="O76" s="174"/>
      <c r="P76" s="174"/>
    </row>
    <row r="77" ht="20.25" customHeight="1">
      <c r="A77" s="8">
        <v>46188.0</v>
      </c>
      <c r="B77" s="21" t="s">
        <v>21</v>
      </c>
      <c r="C77" s="131">
        <v>325.0</v>
      </c>
      <c r="D77" s="34">
        <f t="array" ref="D77">IFERROR(_xlfn.XLOOKUP(C77,Code!A:A,Code!B:B),"")</f>
        <v>0.85</v>
      </c>
      <c r="E77" s="25" t="s">
        <v>23</v>
      </c>
      <c r="F77" s="26" t="s">
        <v>28</v>
      </c>
      <c r="G77" s="122" t="s">
        <v>17</v>
      </c>
      <c r="H77" s="14" t="s">
        <v>25</v>
      </c>
      <c r="I77" s="181">
        <v>1.0</v>
      </c>
      <c r="J77" s="124"/>
      <c r="K77" s="126"/>
      <c r="L77" s="126"/>
      <c r="M77" s="124"/>
      <c r="N77" s="127"/>
      <c r="O77" s="127"/>
      <c r="P77" s="127"/>
    </row>
    <row r="78" ht="20.25" customHeight="1">
      <c r="A78" s="29"/>
      <c r="B78" s="29"/>
      <c r="C78" s="128">
        <v>327.0</v>
      </c>
      <c r="D78" s="130">
        <f t="array" ref="D78">IFERROR(_xlfn.XLOOKUP(C78,Code!A:A,Code!B:B),"")</f>
        <v>0.76</v>
      </c>
      <c r="E78" s="20"/>
      <c r="F78" s="20"/>
      <c r="G78" s="112" t="s">
        <v>17</v>
      </c>
      <c r="H78" s="22" t="s">
        <v>18</v>
      </c>
      <c r="I78" s="113">
        <v>19.0</v>
      </c>
      <c r="J78" s="115"/>
      <c r="K78" s="116"/>
      <c r="L78" s="116"/>
      <c r="M78" s="115"/>
      <c r="N78" s="117"/>
      <c r="O78" s="117"/>
      <c r="P78" s="117"/>
    </row>
    <row r="79" ht="20.25" customHeight="1">
      <c r="A79" s="8">
        <v>46188.0</v>
      </c>
      <c r="B79" s="21" t="s">
        <v>30</v>
      </c>
      <c r="C79" s="131">
        <v>306.0</v>
      </c>
      <c r="D79" s="34">
        <f t="array" ref="D79">IFERROR(_xlfn.XLOOKUP(C79,Code!A:A,Code!B:B),"")</f>
        <v>0.95</v>
      </c>
      <c r="E79" s="25" t="s">
        <v>23</v>
      </c>
      <c r="F79" s="26" t="s">
        <v>31</v>
      </c>
      <c r="G79" s="122" t="s">
        <v>17</v>
      </c>
      <c r="H79" s="14" t="s">
        <v>25</v>
      </c>
      <c r="I79" s="181">
        <v>1.0</v>
      </c>
      <c r="J79" s="124"/>
      <c r="K79" s="126"/>
      <c r="L79" s="126"/>
      <c r="M79" s="124"/>
      <c r="N79" s="127"/>
      <c r="O79" s="127"/>
      <c r="P79" s="127"/>
    </row>
    <row r="80" ht="20.25" customHeight="1">
      <c r="A80" s="29"/>
      <c r="B80" s="29"/>
      <c r="C80" s="29"/>
      <c r="D80" s="29"/>
      <c r="E80" s="20"/>
      <c r="F80" s="20"/>
      <c r="G80" s="112" t="s">
        <v>17</v>
      </c>
      <c r="H80" s="22" t="s">
        <v>18</v>
      </c>
      <c r="I80" s="113">
        <v>20.0</v>
      </c>
      <c r="J80" s="115"/>
      <c r="K80" s="116"/>
      <c r="L80" s="116"/>
      <c r="M80" s="115"/>
      <c r="N80" s="117"/>
      <c r="O80" s="117"/>
      <c r="P80" s="117"/>
    </row>
    <row r="81" ht="20.25" customHeight="1">
      <c r="A81" s="8">
        <v>46188.0</v>
      </c>
      <c r="B81" s="21" t="s">
        <v>30</v>
      </c>
      <c r="C81" s="131">
        <v>302.0</v>
      </c>
      <c r="D81" s="34">
        <f t="array" ref="D81">IFERROR(_xlfn.XLOOKUP(C81,Code!A:A,Code!B:B),"")</f>
        <v>0.79</v>
      </c>
      <c r="E81" s="25" t="s">
        <v>23</v>
      </c>
      <c r="F81" s="26" t="s">
        <v>42</v>
      </c>
      <c r="G81" s="122" t="s">
        <v>17</v>
      </c>
      <c r="H81" s="14" t="s">
        <v>25</v>
      </c>
      <c r="I81" s="181">
        <v>1.0</v>
      </c>
      <c r="J81" s="124"/>
      <c r="K81" s="126"/>
      <c r="L81" s="126"/>
      <c r="M81" s="124"/>
      <c r="N81" s="127"/>
      <c r="O81" s="127"/>
      <c r="P81" s="127"/>
    </row>
    <row r="82" ht="20.25" customHeight="1">
      <c r="A82" s="29"/>
      <c r="B82" s="29"/>
      <c r="C82" s="29"/>
      <c r="D82" s="29"/>
      <c r="E82" s="20"/>
      <c r="F82" s="20"/>
      <c r="G82" s="112" t="s">
        <v>17</v>
      </c>
      <c r="H82" s="22" t="s">
        <v>18</v>
      </c>
      <c r="I82" s="113">
        <v>19.0</v>
      </c>
      <c r="J82" s="115"/>
      <c r="K82" s="116"/>
      <c r="L82" s="116"/>
      <c r="M82" s="115"/>
      <c r="N82" s="117"/>
      <c r="O82" s="117"/>
      <c r="P82" s="117"/>
    </row>
    <row r="83" ht="20.25" customHeight="1">
      <c r="A83" s="8">
        <v>46188.0</v>
      </c>
      <c r="B83" s="21" t="s">
        <v>21</v>
      </c>
      <c r="C83" s="131">
        <v>317.0</v>
      </c>
      <c r="D83" s="34">
        <f t="array" ref="D83">IFERROR(_xlfn.XLOOKUP(C83,Code!A:A,Code!B:B),"")</f>
        <v>1.14</v>
      </c>
      <c r="E83" s="25" t="s">
        <v>23</v>
      </c>
      <c r="F83" s="26" t="s">
        <v>66</v>
      </c>
      <c r="G83" s="122" t="s">
        <v>17</v>
      </c>
      <c r="H83" s="14" t="s">
        <v>25</v>
      </c>
      <c r="I83" s="181">
        <v>1.0</v>
      </c>
      <c r="J83" s="124"/>
      <c r="K83" s="126"/>
      <c r="L83" s="126"/>
      <c r="M83" s="124"/>
      <c r="N83" s="127"/>
      <c r="O83" s="127"/>
      <c r="P83" s="127"/>
    </row>
    <row r="84" ht="20.25" customHeight="1">
      <c r="A84" s="29"/>
      <c r="B84" s="29"/>
      <c r="C84" s="29"/>
      <c r="D84" s="29"/>
      <c r="E84" s="20"/>
      <c r="F84" s="20"/>
      <c r="G84" s="112" t="s">
        <v>17</v>
      </c>
      <c r="H84" s="22" t="s">
        <v>18</v>
      </c>
      <c r="I84" s="113">
        <v>21.0</v>
      </c>
      <c r="J84" s="115"/>
      <c r="K84" s="116"/>
      <c r="L84" s="116"/>
      <c r="M84" s="115"/>
      <c r="N84" s="117"/>
      <c r="O84" s="117"/>
      <c r="P84" s="117"/>
    </row>
    <row r="85" ht="20.25" customHeight="1">
      <c r="A85" s="8">
        <v>46188.0</v>
      </c>
      <c r="B85" s="21" t="s">
        <v>21</v>
      </c>
      <c r="C85" s="131">
        <v>319.0</v>
      </c>
      <c r="D85" s="34">
        <f t="array" ref="D85">IFERROR(_xlfn.XLOOKUP(C85,Code!A:A,Code!B:B),"")</f>
        <v>0.8</v>
      </c>
      <c r="E85" s="25" t="s">
        <v>23</v>
      </c>
      <c r="F85" s="26" t="s">
        <v>76</v>
      </c>
      <c r="G85" s="122" t="s">
        <v>17</v>
      </c>
      <c r="H85" s="14" t="s">
        <v>25</v>
      </c>
      <c r="I85" s="181">
        <v>1.0</v>
      </c>
      <c r="J85" s="124"/>
      <c r="K85" s="126"/>
      <c r="L85" s="126"/>
      <c r="M85" s="124"/>
      <c r="N85" s="127"/>
      <c r="O85" s="127"/>
      <c r="P85" s="127"/>
    </row>
    <row r="86" ht="20.25" customHeight="1">
      <c r="A86" s="29"/>
      <c r="B86" s="29"/>
      <c r="C86" s="29"/>
      <c r="D86" s="29"/>
      <c r="E86" s="20"/>
      <c r="F86" s="20"/>
      <c r="G86" s="112" t="s">
        <v>17</v>
      </c>
      <c r="H86" s="22" t="s">
        <v>18</v>
      </c>
      <c r="I86" s="113">
        <v>18.0</v>
      </c>
      <c r="J86" s="115"/>
      <c r="K86" s="116"/>
      <c r="L86" s="116"/>
      <c r="M86" s="115"/>
      <c r="N86" s="117"/>
      <c r="O86" s="117"/>
      <c r="P86" s="117"/>
    </row>
    <row r="87" ht="20.25" customHeight="1">
      <c r="A87" s="8">
        <v>46189.0</v>
      </c>
      <c r="B87" s="21" t="s">
        <v>21</v>
      </c>
      <c r="C87" s="131">
        <v>327.0</v>
      </c>
      <c r="D87" s="34">
        <f t="array" ref="D87">IFERROR(_xlfn.XLOOKUP(C87,Code!A:A,Code!B:B),"")</f>
        <v>0.76</v>
      </c>
      <c r="E87" s="25" t="s">
        <v>23</v>
      </c>
      <c r="F87" s="26" t="s">
        <v>28</v>
      </c>
      <c r="G87" s="122" t="s">
        <v>17</v>
      </c>
      <c r="H87" s="14" t="s">
        <v>25</v>
      </c>
      <c r="I87" s="181">
        <v>1.0</v>
      </c>
      <c r="J87" s="124"/>
      <c r="K87" s="126"/>
      <c r="L87" s="126"/>
      <c r="M87" s="124"/>
      <c r="N87" s="127"/>
      <c r="O87" s="127"/>
      <c r="P87" s="127"/>
    </row>
    <row r="88" ht="20.25" customHeight="1">
      <c r="A88" s="29"/>
      <c r="B88" s="29"/>
      <c r="C88" s="183">
        <v>328.0</v>
      </c>
      <c r="D88" s="178">
        <f t="array" ref="D88">IFERROR(_xlfn.XLOOKUP(C88,Code!A:A,Code!B:B),"")</f>
        <v>0.87</v>
      </c>
      <c r="E88" s="20"/>
      <c r="F88" s="20"/>
      <c r="G88" s="112" t="s">
        <v>17</v>
      </c>
      <c r="H88" s="22" t="s">
        <v>18</v>
      </c>
      <c r="I88" s="113">
        <v>20.0</v>
      </c>
      <c r="J88" s="115"/>
      <c r="K88" s="116"/>
      <c r="L88" s="116"/>
      <c r="M88" s="115"/>
      <c r="N88" s="117"/>
      <c r="O88" s="117"/>
      <c r="P88" s="117"/>
    </row>
    <row r="89" ht="20.25" customHeight="1">
      <c r="A89" s="8">
        <v>46189.0</v>
      </c>
      <c r="B89" s="21" t="s">
        <v>30</v>
      </c>
      <c r="C89" s="131">
        <v>307.0</v>
      </c>
      <c r="D89" s="34">
        <f t="array" ref="D89">IFERROR(_xlfn.XLOOKUP(C89,Code!A:A,Code!B:B),"")</f>
        <v>1</v>
      </c>
      <c r="E89" s="25" t="s">
        <v>23</v>
      </c>
      <c r="F89" s="26" t="s">
        <v>31</v>
      </c>
      <c r="G89" s="122" t="s">
        <v>17</v>
      </c>
      <c r="H89" s="14" t="s">
        <v>25</v>
      </c>
      <c r="I89" s="181">
        <v>1.0</v>
      </c>
      <c r="J89" s="124"/>
      <c r="K89" s="126"/>
      <c r="L89" s="126"/>
      <c r="M89" s="124"/>
      <c r="N89" s="127"/>
      <c r="O89" s="127"/>
      <c r="P89" s="127"/>
    </row>
    <row r="90" ht="20.25" customHeight="1">
      <c r="A90" s="29"/>
      <c r="B90" s="29"/>
      <c r="C90" s="29"/>
      <c r="D90" s="29"/>
      <c r="E90" s="20"/>
      <c r="F90" s="20"/>
      <c r="G90" s="112" t="s">
        <v>17</v>
      </c>
      <c r="H90" s="22" t="s">
        <v>18</v>
      </c>
      <c r="I90" s="113">
        <v>16.0</v>
      </c>
      <c r="J90" s="115"/>
      <c r="K90" s="116"/>
      <c r="L90" s="116"/>
      <c r="M90" s="115"/>
      <c r="N90" s="117"/>
      <c r="O90" s="117"/>
      <c r="P90" s="117"/>
    </row>
    <row r="91" ht="20.25" customHeight="1">
      <c r="A91" s="8">
        <v>46189.0</v>
      </c>
      <c r="B91" s="21" t="s">
        <v>30</v>
      </c>
      <c r="C91" s="131">
        <v>304.0</v>
      </c>
      <c r="D91" s="34">
        <f t="array" ref="D91">IFERROR(_xlfn.XLOOKUP(C91,Code!A:A,Code!B:B),"")</f>
        <v>0.71</v>
      </c>
      <c r="E91" s="25" t="s">
        <v>23</v>
      </c>
      <c r="F91" s="26" t="s">
        <v>42</v>
      </c>
      <c r="G91" s="122" t="s">
        <v>17</v>
      </c>
      <c r="H91" s="14" t="s">
        <v>25</v>
      </c>
      <c r="I91" s="181">
        <v>1.0</v>
      </c>
      <c r="J91" s="124"/>
      <c r="K91" s="126"/>
      <c r="L91" s="126"/>
      <c r="M91" s="124"/>
      <c r="N91" s="127"/>
      <c r="O91" s="127"/>
      <c r="P91" s="127"/>
    </row>
    <row r="92" ht="20.25" customHeight="1">
      <c r="A92" s="29"/>
      <c r="B92" s="29"/>
      <c r="C92" s="29"/>
      <c r="D92" s="29"/>
      <c r="E92" s="20"/>
      <c r="F92" s="20"/>
      <c r="G92" s="112" t="s">
        <v>17</v>
      </c>
      <c r="H92" s="22" t="s">
        <v>18</v>
      </c>
      <c r="I92" s="113">
        <v>18.0</v>
      </c>
      <c r="J92" s="115"/>
      <c r="K92" s="116"/>
      <c r="L92" s="116"/>
      <c r="M92" s="115"/>
      <c r="N92" s="117"/>
      <c r="O92" s="117"/>
      <c r="P92" s="117"/>
    </row>
    <row r="93" ht="20.25" customHeight="1">
      <c r="A93" s="8">
        <v>46189.0</v>
      </c>
      <c r="B93" s="21" t="s">
        <v>21</v>
      </c>
      <c r="C93" s="152">
        <v>317.0</v>
      </c>
      <c r="D93" s="34">
        <f t="array" ref="D93">IFERROR(_xlfn.XLOOKUP(C93,Code!A:A,Code!B:B),"")</f>
        <v>1.14</v>
      </c>
      <c r="E93" s="25" t="s">
        <v>23</v>
      </c>
      <c r="F93" s="26" t="s">
        <v>76</v>
      </c>
      <c r="G93" s="122" t="s">
        <v>17</v>
      </c>
      <c r="H93" s="14" t="s">
        <v>25</v>
      </c>
      <c r="I93" s="181">
        <v>1.0</v>
      </c>
      <c r="J93" s="124"/>
      <c r="K93" s="126"/>
      <c r="L93" s="126"/>
      <c r="M93" s="124"/>
      <c r="N93" s="127"/>
      <c r="O93" s="127"/>
      <c r="P93" s="127"/>
    </row>
    <row r="94" ht="20.25" customHeight="1">
      <c r="A94" s="29"/>
      <c r="B94" s="29"/>
      <c r="C94" s="184">
        <v>319.0</v>
      </c>
      <c r="D94" s="29"/>
      <c r="E94" s="20"/>
      <c r="F94" s="20"/>
      <c r="G94" s="112" t="s">
        <v>17</v>
      </c>
      <c r="H94" s="22" t="s">
        <v>18</v>
      </c>
      <c r="I94" s="113">
        <v>15.0</v>
      </c>
      <c r="J94" s="115"/>
      <c r="K94" s="116"/>
      <c r="L94" s="116"/>
      <c r="M94" s="115"/>
      <c r="N94" s="117"/>
      <c r="O94" s="117"/>
      <c r="P94" s="117"/>
    </row>
    <row r="95" ht="20.25" customHeight="1">
      <c r="A95" s="8">
        <v>46190.0</v>
      </c>
      <c r="B95" s="21" t="s">
        <v>21</v>
      </c>
      <c r="C95" s="118">
        <v>321.0</v>
      </c>
      <c r="D95" s="120">
        <f t="array" ref="D95">IFERROR(_xlfn.XLOOKUP(C95,Code!A:A,Code!B:B),"")</f>
        <v>0.97</v>
      </c>
      <c r="E95" s="25" t="s">
        <v>23</v>
      </c>
      <c r="F95" s="26" t="s">
        <v>28</v>
      </c>
      <c r="G95" s="122" t="s">
        <v>17</v>
      </c>
      <c r="H95" s="14" t="s">
        <v>25</v>
      </c>
      <c r="I95" s="181">
        <v>1.0</v>
      </c>
      <c r="J95" s="124"/>
      <c r="K95" s="126"/>
      <c r="L95" s="126"/>
      <c r="M95" s="124"/>
      <c r="N95" s="127"/>
      <c r="O95" s="127"/>
      <c r="P95" s="127"/>
    </row>
    <row r="96" ht="20.25" customHeight="1">
      <c r="A96" s="29"/>
      <c r="B96" s="29"/>
      <c r="C96" s="128">
        <v>328.0</v>
      </c>
      <c r="D96" s="130">
        <f t="array" ref="D96">IFERROR(_xlfn.XLOOKUP(C96,Code!A:A,Code!B:B),"")</f>
        <v>0.87</v>
      </c>
      <c r="E96" s="20"/>
      <c r="F96" s="20"/>
      <c r="G96" s="112" t="s">
        <v>17</v>
      </c>
      <c r="H96" s="22" t="s">
        <v>18</v>
      </c>
      <c r="I96" s="113">
        <v>20.0</v>
      </c>
      <c r="J96" s="115"/>
      <c r="K96" s="116"/>
      <c r="L96" s="116"/>
      <c r="M96" s="115"/>
      <c r="N96" s="117"/>
      <c r="O96" s="117"/>
      <c r="P96" s="117"/>
    </row>
    <row r="97" ht="20.25" customHeight="1">
      <c r="A97" s="8">
        <v>46190.0</v>
      </c>
      <c r="B97" s="21" t="s">
        <v>21</v>
      </c>
      <c r="C97" s="131">
        <v>316.0</v>
      </c>
      <c r="D97" s="34">
        <f t="array" ref="D97">IFERROR(_xlfn.XLOOKUP(C97,Code!A:A,Code!B:B),"")</f>
        <v>1.11</v>
      </c>
      <c r="E97" s="25" t="s">
        <v>23</v>
      </c>
      <c r="F97" s="26" t="s">
        <v>31</v>
      </c>
      <c r="G97" s="122" t="s">
        <v>17</v>
      </c>
      <c r="H97" s="14" t="s">
        <v>25</v>
      </c>
      <c r="I97" s="181">
        <v>1.0</v>
      </c>
      <c r="J97" s="124"/>
      <c r="K97" s="126"/>
      <c r="L97" s="126"/>
      <c r="M97" s="124"/>
      <c r="N97" s="127"/>
      <c r="O97" s="127"/>
      <c r="P97" s="127"/>
    </row>
    <row r="98" ht="20.25" customHeight="1">
      <c r="A98" s="29"/>
      <c r="B98" s="29"/>
      <c r="C98" s="29"/>
      <c r="D98" s="29"/>
      <c r="E98" s="20"/>
      <c r="F98" s="20"/>
      <c r="G98" s="112" t="s">
        <v>17</v>
      </c>
      <c r="H98" s="22" t="s">
        <v>18</v>
      </c>
      <c r="I98" s="113">
        <v>16.0</v>
      </c>
      <c r="J98" s="115"/>
      <c r="K98" s="116"/>
      <c r="L98" s="116"/>
      <c r="M98" s="115"/>
      <c r="N98" s="117"/>
      <c r="O98" s="117"/>
      <c r="P98" s="117"/>
    </row>
    <row r="99" ht="20.25" customHeight="1">
      <c r="A99" s="8">
        <v>46190.0</v>
      </c>
      <c r="B99" s="21" t="s">
        <v>30</v>
      </c>
      <c r="C99" s="131">
        <v>312.0</v>
      </c>
      <c r="D99" s="34">
        <f t="array" ref="D99">IFERROR(_xlfn.XLOOKUP(C99,Code!A:A,Code!B:B),"")</f>
        <v>1.27</v>
      </c>
      <c r="E99" s="25" t="s">
        <v>23</v>
      </c>
      <c r="F99" s="26" t="s">
        <v>42</v>
      </c>
      <c r="G99" s="122" t="s">
        <v>17</v>
      </c>
      <c r="H99" s="14" t="s">
        <v>25</v>
      </c>
      <c r="I99" s="181">
        <v>0.0</v>
      </c>
      <c r="J99" s="124"/>
      <c r="K99" s="126"/>
      <c r="L99" s="126"/>
      <c r="M99" s="124"/>
      <c r="N99" s="127"/>
      <c r="O99" s="127"/>
      <c r="P99" s="127"/>
    </row>
    <row r="100" ht="20.25" customHeight="1">
      <c r="A100" s="29"/>
      <c r="B100" s="29"/>
      <c r="C100" s="29"/>
      <c r="D100" s="29"/>
      <c r="E100" s="20"/>
      <c r="F100" s="20"/>
      <c r="G100" s="112" t="s">
        <v>17</v>
      </c>
      <c r="H100" s="22" t="s">
        <v>18</v>
      </c>
      <c r="I100" s="113">
        <v>18.0</v>
      </c>
      <c r="J100" s="115"/>
      <c r="K100" s="116"/>
      <c r="L100" s="116"/>
      <c r="M100" s="115"/>
      <c r="N100" s="117"/>
      <c r="O100" s="117"/>
      <c r="P100" s="117"/>
    </row>
    <row r="101" ht="20.25" customHeight="1">
      <c r="A101" s="8">
        <v>46190.0</v>
      </c>
      <c r="B101" s="21" t="s">
        <v>21</v>
      </c>
      <c r="C101" s="131">
        <v>320.0</v>
      </c>
      <c r="D101" s="34">
        <f t="array" ref="D101">IFERROR(_xlfn.XLOOKUP(C101,Code!A:A,Code!B:B),"")</f>
        <v>0.64</v>
      </c>
      <c r="E101" s="25" t="s">
        <v>23</v>
      </c>
      <c r="F101" s="26" t="s">
        <v>76</v>
      </c>
      <c r="G101" s="122" t="s">
        <v>17</v>
      </c>
      <c r="H101" s="14" t="s">
        <v>25</v>
      </c>
      <c r="I101" s="181">
        <v>1.0</v>
      </c>
      <c r="J101" s="124"/>
      <c r="K101" s="126"/>
      <c r="L101" s="126"/>
      <c r="M101" s="124"/>
      <c r="N101" s="127"/>
      <c r="O101" s="127"/>
      <c r="P101" s="127"/>
    </row>
    <row r="102" ht="20.25" customHeight="1">
      <c r="A102" s="29"/>
      <c r="B102" s="29"/>
      <c r="C102" s="29"/>
      <c r="D102" s="29"/>
      <c r="E102" s="20"/>
      <c r="F102" s="20"/>
      <c r="G102" s="112" t="s">
        <v>17</v>
      </c>
      <c r="H102" s="22" t="s">
        <v>18</v>
      </c>
      <c r="I102" s="113">
        <v>15.0</v>
      </c>
      <c r="J102" s="115"/>
      <c r="K102" s="116"/>
      <c r="L102" s="116"/>
      <c r="M102" s="115"/>
      <c r="N102" s="117"/>
      <c r="O102" s="117"/>
      <c r="P102" s="117"/>
    </row>
    <row r="103" ht="20.25" customHeight="1">
      <c r="A103" s="8">
        <v>46191.0</v>
      </c>
      <c r="B103" s="21" t="s">
        <v>21</v>
      </c>
      <c r="C103" s="131">
        <v>322.0</v>
      </c>
      <c r="D103" s="34">
        <f t="array" ref="D103">IFERROR(_xlfn.XLOOKUP(C103,Code!A:A,Code!B:B),"")</f>
        <v>1</v>
      </c>
      <c r="E103" s="25" t="s">
        <v>23</v>
      </c>
      <c r="F103" s="26" t="s">
        <v>28</v>
      </c>
      <c r="G103" s="122" t="s">
        <v>17</v>
      </c>
      <c r="H103" s="14" t="s">
        <v>25</v>
      </c>
      <c r="I103" s="181">
        <v>1.0</v>
      </c>
      <c r="J103" s="124"/>
      <c r="K103" s="126"/>
      <c r="L103" s="126"/>
      <c r="M103" s="124"/>
      <c r="N103" s="127"/>
      <c r="O103" s="127"/>
      <c r="P103" s="127"/>
    </row>
    <row r="104" ht="20.25" customHeight="1">
      <c r="A104" s="29"/>
      <c r="B104" s="29"/>
      <c r="C104" s="183">
        <v>323.0</v>
      </c>
      <c r="D104" s="178">
        <f t="array" ref="D104">IFERROR(_xlfn.XLOOKUP(C104,Code!A:A,Code!B:B),"")</f>
        <v>1.13</v>
      </c>
      <c r="E104" s="20"/>
      <c r="F104" s="20"/>
      <c r="G104" s="112" t="s">
        <v>17</v>
      </c>
      <c r="H104" s="22" t="s">
        <v>18</v>
      </c>
      <c r="I104" s="113">
        <v>20.0</v>
      </c>
      <c r="J104" s="115"/>
      <c r="K104" s="116"/>
      <c r="L104" s="116"/>
      <c r="M104" s="115"/>
      <c r="N104" s="117"/>
      <c r="O104" s="117"/>
      <c r="P104" s="117"/>
    </row>
    <row r="105" ht="20.25" customHeight="1">
      <c r="A105" s="8">
        <v>46191.0</v>
      </c>
      <c r="B105" s="21" t="s">
        <v>21</v>
      </c>
      <c r="C105" s="131">
        <v>316.0</v>
      </c>
      <c r="D105" s="34">
        <f t="array" ref="D105">IFERROR(_xlfn.XLOOKUP(C105,Code!A:A,Code!B:B),"")</f>
        <v>1.11</v>
      </c>
      <c r="E105" s="25" t="s">
        <v>23</v>
      </c>
      <c r="F105" s="26" t="s">
        <v>31</v>
      </c>
      <c r="G105" s="122" t="s">
        <v>17</v>
      </c>
      <c r="H105" s="14" t="s">
        <v>25</v>
      </c>
      <c r="I105" s="181">
        <v>1.0</v>
      </c>
      <c r="J105" s="124"/>
      <c r="K105" s="126"/>
      <c r="L105" s="126"/>
      <c r="M105" s="124"/>
      <c r="N105" s="127"/>
      <c r="O105" s="127"/>
      <c r="P105" s="127"/>
    </row>
    <row r="106" ht="20.25" customHeight="1">
      <c r="A106" s="29"/>
      <c r="B106" s="29"/>
      <c r="C106" s="183">
        <v>315.0</v>
      </c>
      <c r="D106" s="178">
        <f t="array" ref="D106">IFERROR(_xlfn.XLOOKUP(C106,Code!A:A,Code!B:B),"")</f>
        <v>1.21</v>
      </c>
      <c r="E106" s="20"/>
      <c r="F106" s="20"/>
      <c r="G106" s="112" t="s">
        <v>17</v>
      </c>
      <c r="H106" s="22" t="s">
        <v>18</v>
      </c>
      <c r="I106" s="113">
        <v>20.0</v>
      </c>
      <c r="J106" s="115"/>
      <c r="K106" s="116"/>
      <c r="L106" s="116"/>
      <c r="M106" s="115"/>
      <c r="N106" s="117"/>
      <c r="O106" s="117"/>
      <c r="P106" s="117"/>
    </row>
    <row r="107" ht="20.25" customHeight="1">
      <c r="A107" s="8">
        <v>46191.0</v>
      </c>
      <c r="B107" s="21" t="s">
        <v>30</v>
      </c>
      <c r="C107" s="131">
        <v>311.0</v>
      </c>
      <c r="D107" s="34">
        <f t="array" ref="D107">IFERROR(_xlfn.XLOOKUP(C107,Code!A:A,Code!B:B),"")</f>
        <v>0.94</v>
      </c>
      <c r="E107" s="25" t="s">
        <v>23</v>
      </c>
      <c r="F107" s="26" t="s">
        <v>42</v>
      </c>
      <c r="G107" s="122" t="s">
        <v>17</v>
      </c>
      <c r="H107" s="14" t="s">
        <v>25</v>
      </c>
      <c r="I107" s="181">
        <v>1.0</v>
      </c>
      <c r="J107" s="124"/>
      <c r="K107" s="126"/>
      <c r="L107" s="126"/>
      <c r="M107" s="124"/>
      <c r="N107" s="127"/>
      <c r="O107" s="127"/>
      <c r="P107" s="127"/>
    </row>
    <row r="108" ht="20.25" customHeight="1">
      <c r="A108" s="29"/>
      <c r="B108" s="29"/>
      <c r="C108" s="29"/>
      <c r="D108" s="29"/>
      <c r="E108" s="20"/>
      <c r="F108" s="20"/>
      <c r="G108" s="112" t="s">
        <v>17</v>
      </c>
      <c r="H108" s="22" t="s">
        <v>18</v>
      </c>
      <c r="I108" s="113">
        <v>18.0</v>
      </c>
      <c r="J108" s="115"/>
      <c r="K108" s="116"/>
      <c r="L108" s="116"/>
      <c r="M108" s="115"/>
      <c r="N108" s="117"/>
      <c r="O108" s="117"/>
      <c r="P108" s="117"/>
    </row>
    <row r="109" ht="20.25" customHeight="1">
      <c r="A109" s="8">
        <v>46191.0</v>
      </c>
      <c r="B109" s="21" t="s">
        <v>21</v>
      </c>
      <c r="C109" s="131">
        <v>320.0</v>
      </c>
      <c r="D109" s="34">
        <f t="array" ref="D109">IFERROR(_xlfn.XLOOKUP(C109,Code!A:A,Code!B:B),"")</f>
        <v>0.64</v>
      </c>
      <c r="E109" s="25" t="s">
        <v>23</v>
      </c>
      <c r="F109" s="26" t="s">
        <v>76</v>
      </c>
      <c r="G109" s="122" t="s">
        <v>17</v>
      </c>
      <c r="H109" s="14" t="s">
        <v>25</v>
      </c>
      <c r="I109" s="181">
        <v>1.0</v>
      </c>
      <c r="J109" s="124"/>
      <c r="K109" s="126"/>
      <c r="L109" s="126"/>
      <c r="M109" s="124"/>
      <c r="N109" s="127"/>
      <c r="O109" s="127"/>
      <c r="P109" s="127"/>
    </row>
    <row r="110" ht="20.25" customHeight="1">
      <c r="A110" s="29"/>
      <c r="B110" s="29"/>
      <c r="C110" s="29"/>
      <c r="D110" s="29"/>
      <c r="E110" s="20"/>
      <c r="F110" s="20"/>
      <c r="G110" s="112" t="s">
        <v>17</v>
      </c>
      <c r="H110" s="22" t="s">
        <v>18</v>
      </c>
      <c r="I110" s="113">
        <v>19.0</v>
      </c>
      <c r="J110" s="115"/>
      <c r="K110" s="116"/>
      <c r="L110" s="116"/>
      <c r="M110" s="115"/>
      <c r="N110" s="117"/>
      <c r="O110" s="117"/>
      <c r="P110" s="117"/>
    </row>
    <row r="111" ht="20.25" customHeight="1">
      <c r="A111" s="8">
        <v>46192.0</v>
      </c>
      <c r="B111" s="21" t="s">
        <v>21</v>
      </c>
      <c r="C111" s="131">
        <v>323.0</v>
      </c>
      <c r="D111" s="34">
        <f t="array" ref="D111">IFERROR(_xlfn.XLOOKUP(C111,Code!A:A,Code!B:B),"")</f>
        <v>1.13</v>
      </c>
      <c r="E111" s="25" t="s">
        <v>23</v>
      </c>
      <c r="F111" s="26" t="s">
        <v>28</v>
      </c>
      <c r="G111" s="122" t="s">
        <v>17</v>
      </c>
      <c r="H111" s="14" t="s">
        <v>25</v>
      </c>
      <c r="I111" s="181">
        <v>1.0</v>
      </c>
      <c r="J111" s="124"/>
      <c r="K111" s="126"/>
      <c r="L111" s="126"/>
      <c r="M111" s="124"/>
      <c r="N111" s="127"/>
      <c r="O111" s="127"/>
      <c r="P111" s="127"/>
    </row>
    <row r="112" ht="20.25" customHeight="1">
      <c r="A112" s="29"/>
      <c r="B112" s="29"/>
      <c r="C112" s="183">
        <v>325.0</v>
      </c>
      <c r="D112" s="178">
        <f t="array" ref="D112">IFERROR(_xlfn.XLOOKUP(C112,Code!A:A,Code!B:B),"")</f>
        <v>0.85</v>
      </c>
      <c r="E112" s="20"/>
      <c r="F112" s="20"/>
      <c r="G112" s="112" t="s">
        <v>17</v>
      </c>
      <c r="H112" s="22" t="s">
        <v>18</v>
      </c>
      <c r="I112" s="113">
        <v>18.0</v>
      </c>
      <c r="J112" s="115"/>
      <c r="K112" s="116"/>
      <c r="L112" s="116"/>
      <c r="M112" s="115"/>
      <c r="N112" s="117"/>
      <c r="O112" s="117"/>
      <c r="P112" s="117"/>
    </row>
    <row r="113" ht="20.25" customHeight="1">
      <c r="A113" s="8">
        <v>46192.0</v>
      </c>
      <c r="B113" s="21" t="s">
        <v>21</v>
      </c>
      <c r="C113" s="131">
        <v>315.0</v>
      </c>
      <c r="D113" s="34">
        <f t="array" ref="D113">IFERROR(_xlfn.XLOOKUP(C113,Code!A:A,Code!B:B),"")</f>
        <v>1.21</v>
      </c>
      <c r="E113" s="25" t="s">
        <v>23</v>
      </c>
      <c r="F113" s="26" t="s">
        <v>31</v>
      </c>
      <c r="G113" s="122" t="s">
        <v>17</v>
      </c>
      <c r="H113" s="14" t="s">
        <v>25</v>
      </c>
      <c r="I113" s="181">
        <v>1.0</v>
      </c>
      <c r="J113" s="124"/>
      <c r="K113" s="126"/>
      <c r="L113" s="126"/>
      <c r="M113" s="124"/>
      <c r="N113" s="127"/>
      <c r="O113" s="127"/>
      <c r="P113" s="127"/>
    </row>
    <row r="114" ht="20.25" customHeight="1">
      <c r="A114" s="29"/>
      <c r="B114" s="29"/>
      <c r="C114" s="183">
        <v>316.0</v>
      </c>
      <c r="D114" s="178">
        <f t="array" ref="D114">IFERROR(_xlfn.XLOOKUP(C114,Code!A:A,Code!B:B),"")</f>
        <v>1.11</v>
      </c>
      <c r="E114" s="20"/>
      <c r="F114" s="20"/>
      <c r="G114" s="112" t="s">
        <v>17</v>
      </c>
      <c r="H114" s="22" t="s">
        <v>18</v>
      </c>
      <c r="I114" s="113">
        <v>20.0</v>
      </c>
      <c r="J114" s="115"/>
      <c r="K114" s="116"/>
      <c r="L114" s="116"/>
      <c r="M114" s="115"/>
      <c r="N114" s="117"/>
      <c r="O114" s="117"/>
      <c r="P114" s="117"/>
    </row>
    <row r="115" ht="20.25" customHeight="1">
      <c r="A115" s="8">
        <v>46192.0</v>
      </c>
      <c r="B115" s="21" t="s">
        <v>30</v>
      </c>
      <c r="C115" s="131">
        <v>313.0</v>
      </c>
      <c r="D115" s="34">
        <f t="array" ref="D115">IFERROR(_xlfn.XLOOKUP(C115,Code!A:A,Code!B:B),"")</f>
        <v>1.1</v>
      </c>
      <c r="E115" s="25" t="s">
        <v>23</v>
      </c>
      <c r="F115" s="26" t="s">
        <v>42</v>
      </c>
      <c r="G115" s="122" t="s">
        <v>17</v>
      </c>
      <c r="H115" s="14" t="s">
        <v>25</v>
      </c>
      <c r="I115" s="181">
        <v>0.0</v>
      </c>
      <c r="J115" s="124"/>
      <c r="K115" s="126"/>
      <c r="L115" s="126"/>
      <c r="M115" s="124"/>
      <c r="N115" s="127"/>
      <c r="O115" s="127"/>
      <c r="P115" s="127"/>
    </row>
    <row r="116" ht="20.25" customHeight="1">
      <c r="A116" s="29"/>
      <c r="B116" s="29"/>
      <c r="C116" s="183">
        <v>314.0</v>
      </c>
      <c r="D116" s="178">
        <f t="array" ref="D116">IFERROR(_xlfn.XLOOKUP(C116,Code!A:A,Code!B:B),"")</f>
        <v>1.13</v>
      </c>
      <c r="E116" s="20"/>
      <c r="F116" s="20"/>
      <c r="G116" s="112" t="s">
        <v>17</v>
      </c>
      <c r="H116" s="22" t="s">
        <v>18</v>
      </c>
      <c r="I116" s="113">
        <v>20.0</v>
      </c>
      <c r="J116" s="115"/>
      <c r="K116" s="116"/>
      <c r="L116" s="116"/>
      <c r="M116" s="115"/>
      <c r="N116" s="117"/>
      <c r="O116" s="117"/>
      <c r="P116" s="117"/>
    </row>
    <row r="117" ht="20.25" customHeight="1">
      <c r="A117" s="8">
        <v>46192.0</v>
      </c>
      <c r="B117" s="21" t="s">
        <v>21</v>
      </c>
      <c r="C117" s="131">
        <v>315.0</v>
      </c>
      <c r="D117" s="34">
        <f t="array" ref="D117">IFERROR(_xlfn.XLOOKUP(C117,Code!A:A,Code!B:B),"")</f>
        <v>1.21</v>
      </c>
      <c r="E117" s="25" t="s">
        <v>23</v>
      </c>
      <c r="F117" s="26" t="s">
        <v>76</v>
      </c>
      <c r="G117" s="122" t="s">
        <v>17</v>
      </c>
      <c r="H117" s="14" t="s">
        <v>25</v>
      </c>
      <c r="I117" s="181">
        <v>1.0</v>
      </c>
      <c r="J117" s="124"/>
      <c r="K117" s="126"/>
      <c r="L117" s="126"/>
      <c r="M117" s="124"/>
      <c r="N117" s="127"/>
      <c r="O117" s="127"/>
      <c r="P117" s="127"/>
    </row>
    <row r="118" ht="20.25" customHeight="1">
      <c r="A118" s="29"/>
      <c r="B118" s="29"/>
      <c r="C118" s="29"/>
      <c r="D118" s="29"/>
      <c r="E118" s="20"/>
      <c r="F118" s="20"/>
      <c r="G118" s="112" t="s">
        <v>17</v>
      </c>
      <c r="H118" s="22" t="s">
        <v>18</v>
      </c>
      <c r="I118" s="113">
        <v>15.0</v>
      </c>
      <c r="J118" s="115"/>
      <c r="K118" s="116"/>
      <c r="L118" s="116"/>
      <c r="M118" s="115"/>
      <c r="N118" s="117"/>
      <c r="O118" s="117"/>
      <c r="P118" s="117"/>
    </row>
    <row r="119" ht="20.25" customHeight="1">
      <c r="A119" s="8">
        <v>46193.0</v>
      </c>
      <c r="B119" s="21" t="s">
        <v>21</v>
      </c>
      <c r="C119" s="131">
        <v>326.0</v>
      </c>
      <c r="D119" s="34">
        <f t="array" ref="D119">IFERROR(_xlfn.XLOOKUP(C119,Code!A:A,Code!B:B),"")</f>
        <v>0.63</v>
      </c>
      <c r="E119" s="25" t="s">
        <v>23</v>
      </c>
      <c r="F119" s="26" t="s">
        <v>28</v>
      </c>
      <c r="G119" s="122" t="s">
        <v>17</v>
      </c>
      <c r="H119" s="14" t="s">
        <v>25</v>
      </c>
      <c r="I119" s="181">
        <v>1.0</v>
      </c>
      <c r="J119" s="124"/>
      <c r="K119" s="126"/>
      <c r="L119" s="126"/>
      <c r="M119" s="124"/>
      <c r="N119" s="127"/>
      <c r="O119" s="127"/>
      <c r="P119" s="127"/>
    </row>
    <row r="120" ht="20.25" customHeight="1">
      <c r="A120" s="29"/>
      <c r="B120" s="29"/>
      <c r="C120" s="183">
        <v>327.0</v>
      </c>
      <c r="D120" s="178">
        <f t="array" ref="D120">IFERROR(_xlfn.XLOOKUP(C120,Code!A:A,Code!B:B),"")</f>
        <v>0.76</v>
      </c>
      <c r="E120" s="20"/>
      <c r="F120" s="20"/>
      <c r="G120" s="112" t="s">
        <v>17</v>
      </c>
      <c r="H120" s="22" t="s">
        <v>18</v>
      </c>
      <c r="I120" s="113">
        <v>20.0</v>
      </c>
      <c r="J120" s="115"/>
      <c r="K120" s="116"/>
      <c r="L120" s="116"/>
      <c r="M120" s="115"/>
      <c r="N120" s="117"/>
      <c r="O120" s="117"/>
      <c r="P120" s="117"/>
    </row>
    <row r="121" ht="20.25" customHeight="1">
      <c r="A121" s="8">
        <v>46193.0</v>
      </c>
      <c r="B121" s="21" t="s">
        <v>21</v>
      </c>
      <c r="C121" s="131">
        <v>315.0</v>
      </c>
      <c r="D121" s="34">
        <f t="array" ref="D121">IFERROR(_xlfn.XLOOKUP(C121,Code!A:A,Code!B:B),"")</f>
        <v>1.21</v>
      </c>
      <c r="E121" s="25" t="s">
        <v>23</v>
      </c>
      <c r="F121" s="26" t="s">
        <v>31</v>
      </c>
      <c r="G121" s="122" t="s">
        <v>17</v>
      </c>
      <c r="H121" s="14" t="s">
        <v>25</v>
      </c>
      <c r="I121" s="181">
        <v>0.0</v>
      </c>
      <c r="J121" s="124"/>
      <c r="K121" s="126"/>
      <c r="L121" s="126"/>
      <c r="M121" s="124"/>
      <c r="N121" s="127"/>
      <c r="O121" s="127"/>
      <c r="P121" s="127"/>
    </row>
    <row r="122" ht="20.25" customHeight="1">
      <c r="A122" s="29"/>
      <c r="B122" s="29"/>
      <c r="C122" s="29"/>
      <c r="D122" s="29"/>
      <c r="E122" s="20"/>
      <c r="F122" s="20"/>
      <c r="G122" s="112" t="s">
        <v>17</v>
      </c>
      <c r="H122" s="22" t="s">
        <v>18</v>
      </c>
      <c r="I122" s="113">
        <v>16.0</v>
      </c>
      <c r="J122" s="115"/>
      <c r="K122" s="116"/>
      <c r="L122" s="116"/>
      <c r="M122" s="115"/>
      <c r="N122" s="117"/>
      <c r="O122" s="117"/>
      <c r="P122" s="117"/>
    </row>
    <row r="123" ht="20.25" customHeight="1">
      <c r="A123" s="8">
        <v>46193.0</v>
      </c>
      <c r="B123" s="21" t="s">
        <v>30</v>
      </c>
      <c r="C123" s="131">
        <v>314.0</v>
      </c>
      <c r="D123" s="34">
        <f t="array" ref="D123">IFERROR(_xlfn.XLOOKUP(C123,Code!A:A,Code!B:B),"")</f>
        <v>1.13</v>
      </c>
      <c r="E123" s="25" t="s">
        <v>23</v>
      </c>
      <c r="F123" s="26" t="s">
        <v>42</v>
      </c>
      <c r="G123" s="122" t="s">
        <v>17</v>
      </c>
      <c r="H123" s="14" t="s">
        <v>25</v>
      </c>
      <c r="I123" s="181">
        <v>1.0</v>
      </c>
      <c r="J123" s="124"/>
      <c r="K123" s="126"/>
      <c r="L123" s="126"/>
      <c r="M123" s="124"/>
      <c r="N123" s="127"/>
      <c r="O123" s="127"/>
      <c r="P123" s="127"/>
    </row>
    <row r="124" ht="20.25" customHeight="1">
      <c r="A124" s="29"/>
      <c r="B124" s="29"/>
      <c r="C124" s="183">
        <v>308.0</v>
      </c>
      <c r="D124" s="178">
        <f t="array" ref="D124">IFERROR(_xlfn.XLOOKUP(C124,Code!A:A,Code!B:B),"")</f>
        <v>1.29</v>
      </c>
      <c r="E124" s="20"/>
      <c r="F124" s="20"/>
      <c r="G124" s="112" t="s">
        <v>17</v>
      </c>
      <c r="H124" s="22" t="s">
        <v>18</v>
      </c>
      <c r="I124" s="113">
        <v>19.0</v>
      </c>
      <c r="J124" s="115"/>
      <c r="K124" s="116"/>
      <c r="L124" s="116"/>
      <c r="M124" s="115"/>
      <c r="N124" s="117"/>
      <c r="O124" s="117"/>
      <c r="P124" s="117"/>
    </row>
    <row r="125" ht="20.25" customHeight="1">
      <c r="A125" s="8">
        <v>46193.0</v>
      </c>
      <c r="B125" s="21" t="s">
        <v>21</v>
      </c>
      <c r="C125" s="131">
        <v>317.0</v>
      </c>
      <c r="D125" s="34">
        <f t="array" ref="D125">IFERROR(_xlfn.XLOOKUP(C125,Code!A:A,Code!B:B),"")</f>
        <v>1.14</v>
      </c>
      <c r="E125" s="25" t="s">
        <v>23</v>
      </c>
      <c r="F125" s="26" t="s">
        <v>76</v>
      </c>
      <c r="G125" s="122" t="s">
        <v>17</v>
      </c>
      <c r="H125" s="14" t="s">
        <v>25</v>
      </c>
      <c r="I125" s="181">
        <v>1.0</v>
      </c>
      <c r="J125" s="124"/>
      <c r="K125" s="126"/>
      <c r="L125" s="126"/>
      <c r="M125" s="124"/>
      <c r="N125" s="127"/>
      <c r="O125" s="127"/>
      <c r="P125" s="127"/>
    </row>
    <row r="126" ht="20.25" customHeight="1">
      <c r="A126" s="29"/>
      <c r="B126" s="29"/>
      <c r="C126" s="183">
        <v>315.0</v>
      </c>
      <c r="D126" s="178">
        <f t="array" ref="D126">IFERROR(_xlfn.XLOOKUP(C126,Code!A:A,Code!B:B),"")</f>
        <v>1.21</v>
      </c>
      <c r="E126" s="20"/>
      <c r="F126" s="20"/>
      <c r="G126" s="112" t="s">
        <v>17</v>
      </c>
      <c r="H126" s="22" t="s">
        <v>18</v>
      </c>
      <c r="I126" s="113">
        <v>19.0</v>
      </c>
      <c r="J126" s="115"/>
      <c r="K126" s="116"/>
      <c r="L126" s="116"/>
      <c r="M126" s="115"/>
      <c r="N126" s="117"/>
      <c r="O126" s="117"/>
      <c r="P126" s="117"/>
    </row>
    <row r="127" ht="20.25" customHeight="1">
      <c r="A127" s="8">
        <v>46195.0</v>
      </c>
      <c r="B127" s="21" t="s">
        <v>21</v>
      </c>
      <c r="C127" s="131">
        <v>328.0</v>
      </c>
      <c r="D127" s="34">
        <f t="array" ref="D127">IFERROR(_xlfn.XLOOKUP(C127,Code!A:A,Code!B:B),"")</f>
        <v>0.87</v>
      </c>
      <c r="E127" s="25" t="s">
        <v>23</v>
      </c>
      <c r="F127" s="26" t="s">
        <v>28</v>
      </c>
      <c r="G127" s="122" t="s">
        <v>17</v>
      </c>
      <c r="H127" s="14" t="s">
        <v>25</v>
      </c>
      <c r="I127" s="181">
        <v>1.0</v>
      </c>
      <c r="J127" s="124"/>
      <c r="K127" s="126"/>
      <c r="L127" s="126"/>
      <c r="M127" s="124"/>
      <c r="N127" s="127"/>
      <c r="O127" s="127"/>
      <c r="P127" s="127"/>
    </row>
    <row r="128" ht="20.25" customHeight="1">
      <c r="A128" s="29"/>
      <c r="B128" s="29"/>
      <c r="C128" s="29"/>
      <c r="D128" s="29"/>
      <c r="E128" s="20"/>
      <c r="F128" s="20"/>
      <c r="G128" s="112" t="s">
        <v>17</v>
      </c>
      <c r="H128" s="22" t="s">
        <v>18</v>
      </c>
      <c r="I128" s="113">
        <v>19.0</v>
      </c>
      <c r="J128" s="115"/>
      <c r="K128" s="116"/>
      <c r="L128" s="116"/>
      <c r="M128" s="115"/>
      <c r="N128" s="117"/>
      <c r="O128" s="117"/>
      <c r="P128" s="117"/>
    </row>
    <row r="129" ht="20.25" customHeight="1">
      <c r="A129" s="8">
        <v>46195.0</v>
      </c>
      <c r="B129" s="21" t="s">
        <v>30</v>
      </c>
      <c r="C129" s="131">
        <v>317.0</v>
      </c>
      <c r="D129" s="34">
        <f t="array" ref="D129">IFERROR(_xlfn.XLOOKUP(C129,Code!A:A,Code!B:B),"")</f>
        <v>1.14</v>
      </c>
      <c r="E129" s="25" t="s">
        <v>23</v>
      </c>
      <c r="F129" s="26" t="s">
        <v>31</v>
      </c>
      <c r="G129" s="122" t="s">
        <v>17</v>
      </c>
      <c r="H129" s="14" t="s">
        <v>25</v>
      </c>
      <c r="I129" s="181">
        <v>1.0</v>
      </c>
      <c r="J129" s="124"/>
      <c r="K129" s="126"/>
      <c r="L129" s="126"/>
      <c r="M129" s="124"/>
      <c r="N129" s="127"/>
      <c r="O129" s="127"/>
      <c r="P129" s="127"/>
    </row>
    <row r="130" ht="20.25" customHeight="1">
      <c r="A130" s="29"/>
      <c r="B130" s="29"/>
      <c r="C130" s="29"/>
      <c r="D130" s="29"/>
      <c r="E130" s="20"/>
      <c r="F130" s="20"/>
      <c r="G130" s="112" t="s">
        <v>17</v>
      </c>
      <c r="H130" s="22" t="s">
        <v>18</v>
      </c>
      <c r="I130" s="113">
        <v>17.0</v>
      </c>
      <c r="J130" s="115"/>
      <c r="K130" s="116"/>
      <c r="L130" s="116"/>
      <c r="M130" s="115"/>
      <c r="N130" s="117"/>
      <c r="O130" s="117"/>
      <c r="P130" s="117"/>
    </row>
    <row r="131" ht="20.25" customHeight="1">
      <c r="A131" s="8">
        <v>46195.0</v>
      </c>
      <c r="B131" s="21" t="s">
        <v>30</v>
      </c>
      <c r="C131" s="131">
        <v>307.0</v>
      </c>
      <c r="D131" s="34">
        <f t="array" ref="D131">IFERROR(_xlfn.XLOOKUP(C131,Code!A:A,Code!B:B),"")</f>
        <v>1</v>
      </c>
      <c r="E131" s="25" t="s">
        <v>23</v>
      </c>
      <c r="F131" s="26" t="s">
        <v>42</v>
      </c>
      <c r="G131" s="122" t="s">
        <v>17</v>
      </c>
      <c r="H131" s="14" t="s">
        <v>25</v>
      </c>
      <c r="I131" s="181">
        <v>1.0</v>
      </c>
      <c r="J131" s="124"/>
      <c r="K131" s="126"/>
      <c r="L131" s="126"/>
      <c r="M131" s="124"/>
      <c r="N131" s="127"/>
      <c r="O131" s="127"/>
      <c r="P131" s="127"/>
    </row>
    <row r="132" ht="20.25" customHeight="1">
      <c r="A132" s="29"/>
      <c r="B132" s="29"/>
      <c r="C132" s="183">
        <v>308.0</v>
      </c>
      <c r="D132" s="178">
        <f t="array" ref="D132">IFERROR(_xlfn.XLOOKUP(C132,Code!A:A,Code!B:B),"")</f>
        <v>1.29</v>
      </c>
      <c r="E132" s="20"/>
      <c r="F132" s="20"/>
      <c r="G132" s="112" t="s">
        <v>17</v>
      </c>
      <c r="H132" s="22" t="s">
        <v>18</v>
      </c>
      <c r="I132" s="113">
        <v>20.0</v>
      </c>
      <c r="J132" s="115"/>
      <c r="K132" s="116"/>
      <c r="L132" s="116"/>
      <c r="M132" s="115"/>
      <c r="N132" s="117"/>
      <c r="O132" s="117"/>
      <c r="P132" s="117"/>
    </row>
    <row r="133" ht="20.25" customHeight="1">
      <c r="A133" s="8">
        <v>46195.0</v>
      </c>
      <c r="B133" s="21" t="s">
        <v>21</v>
      </c>
      <c r="C133" s="131">
        <v>318.0</v>
      </c>
      <c r="D133" s="34">
        <f t="array" ref="D133">IFERROR(_xlfn.XLOOKUP(C133,Code!A:A,Code!B:B),"")</f>
        <v>1.19</v>
      </c>
      <c r="E133" s="25" t="s">
        <v>23</v>
      </c>
      <c r="F133" s="26" t="s">
        <v>76</v>
      </c>
      <c r="G133" s="122" t="s">
        <v>17</v>
      </c>
      <c r="H133" s="14" t="s">
        <v>25</v>
      </c>
      <c r="I133" s="181">
        <v>0.0</v>
      </c>
      <c r="J133" s="124"/>
      <c r="K133" s="126"/>
      <c r="L133" s="126"/>
      <c r="M133" s="124"/>
      <c r="N133" s="127"/>
      <c r="O133" s="127"/>
      <c r="P133" s="127"/>
    </row>
    <row r="134" ht="20.25" customHeight="1">
      <c r="A134" s="29"/>
      <c r="B134" s="29"/>
      <c r="C134" s="29"/>
      <c r="D134" s="29"/>
      <c r="E134" s="20"/>
      <c r="F134" s="20"/>
      <c r="G134" s="112" t="s">
        <v>17</v>
      </c>
      <c r="H134" s="22" t="s">
        <v>18</v>
      </c>
      <c r="I134" s="113">
        <v>22.0</v>
      </c>
      <c r="J134" s="115"/>
      <c r="K134" s="116"/>
      <c r="L134" s="116"/>
      <c r="M134" s="115"/>
      <c r="N134" s="117"/>
      <c r="O134" s="117"/>
      <c r="P134" s="117"/>
    </row>
    <row r="135" ht="20.25" customHeight="1">
      <c r="A135" s="8">
        <v>46196.0</v>
      </c>
      <c r="B135" s="21" t="s">
        <v>21</v>
      </c>
      <c r="C135" s="131">
        <v>321.0</v>
      </c>
      <c r="D135" s="34">
        <f t="array" ref="D135">IFERROR(_xlfn.XLOOKUP(C135,Code!A:A,Code!B:B),"")</f>
        <v>0.97</v>
      </c>
      <c r="E135" s="25" t="s">
        <v>23</v>
      </c>
      <c r="F135" s="26" t="s">
        <v>28</v>
      </c>
      <c r="G135" s="122" t="s">
        <v>17</v>
      </c>
      <c r="H135" s="14" t="s">
        <v>25</v>
      </c>
      <c r="I135" s="181">
        <v>1.0</v>
      </c>
      <c r="J135" s="124"/>
      <c r="K135" s="126"/>
      <c r="L135" s="126"/>
      <c r="M135" s="124"/>
      <c r="N135" s="127"/>
      <c r="O135" s="127"/>
      <c r="P135" s="127"/>
    </row>
    <row r="136" ht="20.25" customHeight="1">
      <c r="A136" s="29"/>
      <c r="B136" s="29"/>
      <c r="C136" s="183">
        <v>322.0</v>
      </c>
      <c r="D136" s="178">
        <f t="array" ref="D136">IFERROR(_xlfn.XLOOKUP(C136,Code!A:A,Code!B:B),"")</f>
        <v>1</v>
      </c>
      <c r="E136" s="20"/>
      <c r="F136" s="20"/>
      <c r="G136" s="112" t="s">
        <v>17</v>
      </c>
      <c r="H136" s="22" t="s">
        <v>18</v>
      </c>
      <c r="I136" s="113">
        <v>20.0</v>
      </c>
      <c r="J136" s="115"/>
      <c r="K136" s="116"/>
      <c r="L136" s="116"/>
      <c r="M136" s="115"/>
      <c r="N136" s="117"/>
      <c r="O136" s="117"/>
      <c r="P136" s="117"/>
    </row>
    <row r="137" ht="20.25" customHeight="1">
      <c r="A137" s="8">
        <v>46196.0</v>
      </c>
      <c r="B137" s="21" t="s">
        <v>30</v>
      </c>
      <c r="C137" s="131">
        <v>317.0</v>
      </c>
      <c r="D137" s="34">
        <f t="array" ref="D137">IFERROR(_xlfn.XLOOKUP(C137,Code!A:A,Code!B:B),"")</f>
        <v>1.14</v>
      </c>
      <c r="E137" s="25" t="s">
        <v>23</v>
      </c>
      <c r="F137" s="26" t="s">
        <v>94</v>
      </c>
      <c r="G137" s="122" t="s">
        <v>17</v>
      </c>
      <c r="H137" s="14" t="s">
        <v>25</v>
      </c>
      <c r="I137" s="181">
        <v>1.0</v>
      </c>
      <c r="J137" s="124"/>
      <c r="K137" s="126"/>
      <c r="L137" s="126"/>
      <c r="M137" s="124"/>
      <c r="N137" s="127"/>
      <c r="O137" s="127"/>
      <c r="P137" s="127"/>
    </row>
    <row r="138" ht="20.25" customHeight="1">
      <c r="A138" s="29"/>
      <c r="B138" s="29"/>
      <c r="C138" s="29"/>
      <c r="D138" s="29"/>
      <c r="E138" s="20"/>
      <c r="F138" s="20"/>
      <c r="G138" s="112" t="s">
        <v>17</v>
      </c>
      <c r="H138" s="22" t="s">
        <v>18</v>
      </c>
      <c r="I138" s="113">
        <v>20.0</v>
      </c>
      <c r="J138" s="115"/>
      <c r="K138" s="116"/>
      <c r="L138" s="116"/>
      <c r="M138" s="115"/>
      <c r="N138" s="117"/>
      <c r="O138" s="117"/>
      <c r="P138" s="117"/>
    </row>
    <row r="139" ht="20.25" customHeight="1">
      <c r="A139" s="8">
        <v>46196.0</v>
      </c>
      <c r="B139" s="21" t="s">
        <v>45</v>
      </c>
      <c r="C139" s="131">
        <v>306.0</v>
      </c>
      <c r="D139" s="34">
        <f t="array" ref="D139">IFERROR(_xlfn.XLOOKUP(C139,Code!A:A,Code!B:B),"")</f>
        <v>0.95</v>
      </c>
      <c r="E139" s="25" t="s">
        <v>23</v>
      </c>
      <c r="F139" s="26" t="s">
        <v>42</v>
      </c>
      <c r="G139" s="122" t="s">
        <v>17</v>
      </c>
      <c r="H139" s="14" t="s">
        <v>25</v>
      </c>
      <c r="I139" s="181">
        <v>1.0</v>
      </c>
      <c r="J139" s="124"/>
      <c r="K139" s="126"/>
      <c r="L139" s="126"/>
      <c r="M139" s="124"/>
      <c r="N139" s="127"/>
      <c r="O139" s="127"/>
      <c r="P139" s="127"/>
    </row>
    <row r="140" ht="20.25" customHeight="1">
      <c r="A140" s="29"/>
      <c r="B140" s="29"/>
      <c r="C140" s="29"/>
      <c r="D140" s="29"/>
      <c r="E140" s="20"/>
      <c r="F140" s="20"/>
      <c r="G140" s="112" t="s">
        <v>17</v>
      </c>
      <c r="H140" s="22" t="s">
        <v>18</v>
      </c>
      <c r="I140" s="113">
        <v>20.0</v>
      </c>
      <c r="J140" s="115"/>
      <c r="K140" s="116"/>
      <c r="L140" s="116"/>
      <c r="M140" s="115"/>
      <c r="N140" s="117"/>
      <c r="O140" s="117"/>
      <c r="P140" s="117"/>
    </row>
    <row r="141" ht="20.25" customHeight="1">
      <c r="A141" s="8">
        <v>46196.0</v>
      </c>
      <c r="B141" s="21" t="s">
        <v>21</v>
      </c>
      <c r="C141" s="131">
        <v>318.0</v>
      </c>
      <c r="D141" s="34">
        <f t="array" ref="D141">IFERROR(_xlfn.XLOOKUP(C141,Code!A:A,Code!B:B),"")</f>
        <v>1.19</v>
      </c>
      <c r="E141" s="25" t="s">
        <v>23</v>
      </c>
      <c r="F141" s="26" t="s">
        <v>76</v>
      </c>
      <c r="G141" s="122" t="s">
        <v>17</v>
      </c>
      <c r="H141" s="14" t="s">
        <v>25</v>
      </c>
      <c r="I141" s="181">
        <v>1.0</v>
      </c>
      <c r="J141" s="124"/>
      <c r="K141" s="126"/>
      <c r="L141" s="126"/>
      <c r="M141" s="124"/>
      <c r="N141" s="127"/>
      <c r="O141" s="127"/>
      <c r="P141" s="127"/>
    </row>
    <row r="142" ht="20.25" customHeight="1">
      <c r="A142" s="29"/>
      <c r="B142" s="29"/>
      <c r="C142" s="29"/>
      <c r="D142" s="29"/>
      <c r="E142" s="20"/>
      <c r="F142" s="20"/>
      <c r="G142" s="112" t="s">
        <v>17</v>
      </c>
      <c r="H142" s="22" t="s">
        <v>18</v>
      </c>
      <c r="I142" s="113">
        <v>17.0</v>
      </c>
      <c r="J142" s="115"/>
      <c r="K142" s="116"/>
      <c r="L142" s="116"/>
      <c r="M142" s="115"/>
      <c r="N142" s="117"/>
      <c r="O142" s="117"/>
      <c r="P142" s="117"/>
    </row>
    <row r="143" ht="20.25" customHeight="1">
      <c r="A143" s="8">
        <v>46197.0</v>
      </c>
      <c r="B143" s="21" t="s">
        <v>21</v>
      </c>
      <c r="C143" s="131">
        <v>322.0</v>
      </c>
      <c r="D143" s="34">
        <f t="array" ref="D143">IFERROR(_xlfn.XLOOKUP(C143,Code!A:A,Code!B:B),"")</f>
        <v>1</v>
      </c>
      <c r="E143" s="25" t="s">
        <v>23</v>
      </c>
      <c r="F143" s="26" t="s">
        <v>28</v>
      </c>
      <c r="G143" s="165" t="s">
        <v>17</v>
      </c>
      <c r="H143" s="14" t="s">
        <v>25</v>
      </c>
      <c r="I143" s="177">
        <v>1.0</v>
      </c>
      <c r="J143" s="124"/>
      <c r="K143" s="126"/>
      <c r="L143" s="126"/>
      <c r="M143" s="124"/>
      <c r="N143" s="127"/>
      <c r="O143" s="127"/>
      <c r="P143" s="127"/>
    </row>
    <row r="144" ht="20.25" customHeight="1">
      <c r="A144" s="29"/>
      <c r="B144" s="29"/>
      <c r="C144" s="29"/>
      <c r="D144" s="29"/>
      <c r="E144" s="20"/>
      <c r="F144" s="20"/>
      <c r="G144" s="170" t="s">
        <v>17</v>
      </c>
      <c r="H144" s="22" t="s">
        <v>18</v>
      </c>
      <c r="I144" s="171">
        <v>20.0</v>
      </c>
      <c r="J144" s="115"/>
      <c r="K144" s="116"/>
      <c r="L144" s="116"/>
      <c r="M144" s="115"/>
      <c r="N144" s="117"/>
      <c r="O144" s="117"/>
      <c r="P144" s="117"/>
    </row>
    <row r="145" ht="20.25" customHeight="1">
      <c r="A145" s="8">
        <v>46197.0</v>
      </c>
      <c r="B145" s="21" t="s">
        <v>21</v>
      </c>
      <c r="C145" s="131">
        <v>320.0</v>
      </c>
      <c r="D145" s="34">
        <f t="array" ref="D145">IFERROR(_xlfn.XLOOKUP(C145,Code!A:A,Code!B:B),"")</f>
        <v>0.64</v>
      </c>
      <c r="E145" s="25" t="s">
        <v>23</v>
      </c>
      <c r="F145" s="26" t="s">
        <v>94</v>
      </c>
      <c r="G145" s="165" t="s">
        <v>17</v>
      </c>
      <c r="H145" s="14" t="s">
        <v>25</v>
      </c>
      <c r="I145" s="177">
        <v>1.0</v>
      </c>
      <c r="J145" s="124"/>
      <c r="K145" s="126"/>
      <c r="L145" s="126"/>
      <c r="M145" s="124"/>
      <c r="N145" s="127"/>
      <c r="O145" s="127"/>
      <c r="P145" s="127"/>
    </row>
    <row r="146" ht="20.25" customHeight="1">
      <c r="A146" s="29"/>
      <c r="B146" s="29"/>
      <c r="C146" s="29"/>
      <c r="D146" s="29"/>
      <c r="E146" s="20"/>
      <c r="F146" s="20"/>
      <c r="G146" s="170" t="s">
        <v>17</v>
      </c>
      <c r="H146" s="22" t="s">
        <v>18</v>
      </c>
      <c r="I146" s="171">
        <v>14.0</v>
      </c>
      <c r="J146" s="115"/>
      <c r="K146" s="116"/>
      <c r="L146" s="116"/>
      <c r="M146" s="115"/>
      <c r="N146" s="117"/>
      <c r="O146" s="117"/>
      <c r="P146" s="117"/>
    </row>
    <row r="147" ht="20.25" customHeight="1">
      <c r="A147" s="8">
        <v>46197.0</v>
      </c>
      <c r="B147" s="21" t="s">
        <v>45</v>
      </c>
      <c r="C147" s="131">
        <v>306.0</v>
      </c>
      <c r="D147" s="34">
        <f t="array" ref="D147">IFERROR(_xlfn.XLOOKUP(C147,Code!A:A,Code!B:B),"")</f>
        <v>0.95</v>
      </c>
      <c r="E147" s="25" t="s">
        <v>23</v>
      </c>
      <c r="F147" s="26" t="s">
        <v>42</v>
      </c>
      <c r="G147" s="165" t="s">
        <v>17</v>
      </c>
      <c r="H147" s="14" t="s">
        <v>25</v>
      </c>
      <c r="I147" s="177">
        <v>1.0</v>
      </c>
      <c r="J147" s="124"/>
      <c r="K147" s="126"/>
      <c r="L147" s="126"/>
      <c r="M147" s="124"/>
      <c r="N147" s="127"/>
      <c r="O147" s="127"/>
      <c r="P147" s="127"/>
    </row>
    <row r="148" ht="20.25" customHeight="1">
      <c r="A148" s="29"/>
      <c r="B148" s="29"/>
      <c r="C148" s="183">
        <v>307.0</v>
      </c>
      <c r="D148" s="29"/>
      <c r="E148" s="20"/>
      <c r="F148" s="20"/>
      <c r="G148" s="170" t="s">
        <v>17</v>
      </c>
      <c r="H148" s="22" t="s">
        <v>18</v>
      </c>
      <c r="I148" s="171">
        <v>16.0</v>
      </c>
      <c r="J148" s="115"/>
      <c r="K148" s="116"/>
      <c r="L148" s="116"/>
      <c r="M148" s="115"/>
      <c r="N148" s="117"/>
      <c r="O148" s="117"/>
      <c r="P148" s="117"/>
    </row>
    <row r="149" ht="20.25" customHeight="1">
      <c r="A149" s="8">
        <v>46197.0</v>
      </c>
      <c r="B149" s="21" t="s">
        <v>21</v>
      </c>
      <c r="C149" s="131">
        <v>316.0</v>
      </c>
      <c r="D149" s="34">
        <f t="array" ref="D149">IFERROR(_xlfn.XLOOKUP(C149,Code!A:A,Code!B:B),"")</f>
        <v>1.11</v>
      </c>
      <c r="E149" s="25" t="s">
        <v>23</v>
      </c>
      <c r="F149" s="26" t="s">
        <v>76</v>
      </c>
      <c r="G149" s="165" t="s">
        <v>17</v>
      </c>
      <c r="H149" s="14" t="s">
        <v>25</v>
      </c>
      <c r="I149" s="177">
        <v>1.0</v>
      </c>
      <c r="J149" s="124"/>
      <c r="K149" s="126"/>
      <c r="L149" s="126"/>
      <c r="M149" s="124"/>
      <c r="N149" s="127"/>
      <c r="O149" s="127"/>
      <c r="P149" s="127"/>
    </row>
    <row r="150" ht="20.25" customHeight="1">
      <c r="A150" s="29"/>
      <c r="B150" s="29"/>
      <c r="C150" s="29"/>
      <c r="D150" s="29"/>
      <c r="E150" s="20"/>
      <c r="F150" s="20"/>
      <c r="G150" s="170" t="s">
        <v>17</v>
      </c>
      <c r="H150" s="22" t="s">
        <v>18</v>
      </c>
      <c r="I150" s="171">
        <v>20.0</v>
      </c>
      <c r="J150" s="115"/>
      <c r="K150" s="116"/>
      <c r="L150" s="116"/>
      <c r="M150" s="115"/>
      <c r="N150" s="117"/>
      <c r="O150" s="117"/>
      <c r="P150" s="117"/>
    </row>
    <row r="151" ht="20.25" customHeight="1">
      <c r="A151" s="8">
        <v>46198.0</v>
      </c>
      <c r="B151" s="21" t="s">
        <v>21</v>
      </c>
      <c r="C151" s="131">
        <v>323.0</v>
      </c>
      <c r="D151" s="34">
        <f t="array" ref="D151">IFERROR(_xlfn.XLOOKUP(C151,Code!A:A,Code!B:B),"")</f>
        <v>1.13</v>
      </c>
      <c r="E151" s="25" t="s">
        <v>23</v>
      </c>
      <c r="F151" s="26" t="s">
        <v>28</v>
      </c>
      <c r="G151" s="165" t="s">
        <v>17</v>
      </c>
      <c r="H151" s="14" t="s">
        <v>25</v>
      </c>
      <c r="I151" s="177">
        <v>1.0</v>
      </c>
      <c r="J151" s="124"/>
      <c r="K151" s="126"/>
      <c r="L151" s="126"/>
      <c r="M151" s="124"/>
      <c r="N151" s="127"/>
      <c r="O151" s="127"/>
      <c r="P151" s="127"/>
    </row>
    <row r="152" ht="20.25" customHeight="1">
      <c r="A152" s="29"/>
      <c r="B152" s="29"/>
      <c r="C152" s="183">
        <v>324.0</v>
      </c>
      <c r="D152" s="178">
        <f t="array" ref="D152">IFERROR(_xlfn.XLOOKUP(C152,Code!A:A,Code!B:B),"")</f>
        <v>0.87</v>
      </c>
      <c r="E152" s="20"/>
      <c r="F152" s="20"/>
      <c r="G152" s="170" t="s">
        <v>17</v>
      </c>
      <c r="H152" s="22" t="s">
        <v>18</v>
      </c>
      <c r="I152" s="171">
        <v>20.0</v>
      </c>
      <c r="J152" s="115"/>
      <c r="K152" s="116"/>
      <c r="L152" s="116"/>
      <c r="M152" s="115"/>
      <c r="N152" s="117"/>
      <c r="O152" s="117"/>
      <c r="P152" s="117"/>
    </row>
    <row r="153" ht="20.25" customHeight="1">
      <c r="A153" s="8">
        <v>46198.0</v>
      </c>
      <c r="B153" s="21" t="s">
        <v>21</v>
      </c>
      <c r="C153" s="131">
        <v>320.0</v>
      </c>
      <c r="D153" s="34">
        <f t="array" ref="D153">IFERROR(_xlfn.XLOOKUP(C153,Code!A:A,Code!B:B),"")</f>
        <v>0.64</v>
      </c>
      <c r="E153" s="25" t="s">
        <v>23</v>
      </c>
      <c r="F153" s="26" t="s">
        <v>94</v>
      </c>
      <c r="G153" s="165" t="s">
        <v>17</v>
      </c>
      <c r="H153" s="14" t="s">
        <v>25</v>
      </c>
      <c r="I153" s="177">
        <v>1.0</v>
      </c>
      <c r="J153" s="124"/>
      <c r="K153" s="126"/>
      <c r="L153" s="126"/>
      <c r="M153" s="124"/>
      <c r="N153" s="127"/>
      <c r="O153" s="127"/>
      <c r="P153" s="127"/>
    </row>
    <row r="154" ht="20.25" customHeight="1">
      <c r="A154" s="29"/>
      <c r="B154" s="29"/>
      <c r="C154" s="183">
        <v>315.0</v>
      </c>
      <c r="D154" s="178">
        <f t="array" ref="D154">IFERROR(_xlfn.XLOOKUP(C154,Code!A:A,Code!B:B),"")</f>
        <v>1.21</v>
      </c>
      <c r="E154" s="20"/>
      <c r="F154" s="20"/>
      <c r="G154" s="170" t="s">
        <v>17</v>
      </c>
      <c r="H154" s="22" t="s">
        <v>18</v>
      </c>
      <c r="I154" s="171">
        <v>16.0</v>
      </c>
      <c r="J154" s="115"/>
      <c r="K154" s="116"/>
      <c r="L154" s="116"/>
      <c r="M154" s="115"/>
      <c r="N154" s="117"/>
      <c r="O154" s="117"/>
      <c r="P154" s="117"/>
    </row>
    <row r="155" ht="20.25" customHeight="1">
      <c r="A155" s="8">
        <v>46198.0</v>
      </c>
      <c r="B155" s="21" t="s">
        <v>45</v>
      </c>
      <c r="C155" s="131">
        <v>308.0</v>
      </c>
      <c r="D155" s="34">
        <f t="array" ref="D155">IFERROR(_xlfn.XLOOKUP(C155,Code!A:A,Code!B:B),"")</f>
        <v>1.29</v>
      </c>
      <c r="E155" s="25" t="s">
        <v>23</v>
      </c>
      <c r="F155" s="26" t="s">
        <v>42</v>
      </c>
      <c r="G155" s="165" t="s">
        <v>17</v>
      </c>
      <c r="H155" s="14" t="s">
        <v>25</v>
      </c>
      <c r="I155" s="177">
        <v>1.0</v>
      </c>
      <c r="J155" s="124"/>
      <c r="K155" s="126"/>
      <c r="L155" s="126"/>
      <c r="M155" s="124"/>
      <c r="N155" s="127"/>
      <c r="O155" s="127"/>
      <c r="P155" s="127"/>
    </row>
    <row r="156" ht="20.25" customHeight="1">
      <c r="A156" s="29"/>
      <c r="B156" s="29"/>
      <c r="C156" s="29"/>
      <c r="D156" s="29"/>
      <c r="E156" s="20"/>
      <c r="F156" s="20"/>
      <c r="G156" s="170" t="s">
        <v>17</v>
      </c>
      <c r="H156" s="22" t="s">
        <v>18</v>
      </c>
      <c r="I156" s="171">
        <v>17.0</v>
      </c>
      <c r="J156" s="115"/>
      <c r="K156" s="116"/>
      <c r="L156" s="116"/>
      <c r="M156" s="115"/>
      <c r="N156" s="117"/>
      <c r="O156" s="117"/>
      <c r="P156" s="117"/>
    </row>
    <row r="157" ht="20.25" customHeight="1">
      <c r="A157" s="8">
        <v>46198.0</v>
      </c>
      <c r="B157" s="21" t="s">
        <v>21</v>
      </c>
      <c r="C157" s="131">
        <v>316.0</v>
      </c>
      <c r="D157" s="34">
        <f t="array" ref="D157">IFERROR(_xlfn.XLOOKUP(C157,Code!A:A,Code!B:B),"")</f>
        <v>1.11</v>
      </c>
      <c r="E157" s="25" t="s">
        <v>23</v>
      </c>
      <c r="F157" s="26" t="s">
        <v>76</v>
      </c>
      <c r="G157" s="165" t="s">
        <v>17</v>
      </c>
      <c r="H157" s="14" t="s">
        <v>25</v>
      </c>
      <c r="I157" s="177">
        <v>1.0</v>
      </c>
      <c r="J157" s="191"/>
      <c r="K157" s="126"/>
      <c r="L157" s="126"/>
      <c r="M157" s="124"/>
      <c r="N157" s="127"/>
      <c r="O157" s="127"/>
      <c r="P157" s="127"/>
    </row>
    <row r="158" ht="20.25" customHeight="1">
      <c r="A158" s="29"/>
      <c r="B158" s="29"/>
      <c r="C158" s="29"/>
      <c r="D158" s="29"/>
      <c r="E158" s="20"/>
      <c r="F158" s="20"/>
      <c r="G158" s="170" t="s">
        <v>17</v>
      </c>
      <c r="H158" s="22" t="s">
        <v>18</v>
      </c>
      <c r="I158" s="171">
        <v>15.0</v>
      </c>
      <c r="J158" s="192"/>
      <c r="K158" s="116"/>
      <c r="L158" s="116"/>
      <c r="M158" s="115"/>
      <c r="N158" s="117"/>
      <c r="O158" s="117"/>
      <c r="P158" s="117"/>
    </row>
    <row r="159" ht="20.25" customHeight="1">
      <c r="A159" s="8">
        <v>46199.0</v>
      </c>
      <c r="B159" s="21" t="s">
        <v>21</v>
      </c>
      <c r="C159" s="131">
        <v>325.0</v>
      </c>
      <c r="D159" s="34">
        <f t="array" ref="D159">IFERROR(_xlfn.XLOOKUP(C159,Code!A:A,Code!B:B),"")</f>
        <v>0.85</v>
      </c>
      <c r="E159" s="25" t="s">
        <v>23</v>
      </c>
      <c r="F159" s="26" t="s">
        <v>28</v>
      </c>
      <c r="G159" s="122" t="s">
        <v>17</v>
      </c>
      <c r="H159" s="14" t="s">
        <v>25</v>
      </c>
      <c r="I159" s="181">
        <v>1.0</v>
      </c>
      <c r="J159" s="124"/>
      <c r="K159" s="126"/>
      <c r="L159" s="126"/>
      <c r="M159" s="124"/>
      <c r="N159" s="127"/>
      <c r="O159" s="127"/>
      <c r="P159" s="127"/>
    </row>
    <row r="160" ht="20.25" customHeight="1">
      <c r="A160" s="29"/>
      <c r="B160" s="29"/>
      <c r="C160" s="193">
        <v>327.0</v>
      </c>
      <c r="D160" s="29"/>
      <c r="E160" s="20"/>
      <c r="F160" s="20"/>
      <c r="G160" s="112" t="s">
        <v>17</v>
      </c>
      <c r="H160" s="22" t="s">
        <v>18</v>
      </c>
      <c r="I160" s="113">
        <v>20.0</v>
      </c>
      <c r="J160" s="115"/>
      <c r="K160" s="116"/>
      <c r="L160" s="116"/>
      <c r="M160" s="115"/>
      <c r="N160" s="117"/>
      <c r="O160" s="117"/>
      <c r="P160" s="117"/>
    </row>
    <row r="161" ht="20.25" customHeight="1">
      <c r="A161" s="8">
        <v>46199.0</v>
      </c>
      <c r="B161" s="21" t="s">
        <v>21</v>
      </c>
      <c r="C161" s="131">
        <v>315.0</v>
      </c>
      <c r="D161" s="34">
        <f t="array" ref="D161">IFERROR(_xlfn.XLOOKUP(C161,Code!A:A,Code!B:B),"")</f>
        <v>1.21</v>
      </c>
      <c r="E161" s="25" t="s">
        <v>23</v>
      </c>
      <c r="F161" s="26" t="s">
        <v>94</v>
      </c>
      <c r="G161" s="122" t="s">
        <v>17</v>
      </c>
      <c r="H161" s="14" t="s">
        <v>25</v>
      </c>
      <c r="I161" s="181">
        <v>1.0</v>
      </c>
      <c r="J161" s="124"/>
      <c r="K161" s="126"/>
      <c r="L161" s="126"/>
      <c r="M161" s="124"/>
      <c r="N161" s="127"/>
      <c r="O161" s="127"/>
      <c r="P161" s="127"/>
    </row>
    <row r="162" ht="20.25" customHeight="1">
      <c r="A162" s="29"/>
      <c r="B162" s="29"/>
      <c r="C162" s="29"/>
      <c r="D162" s="29"/>
      <c r="E162" s="20"/>
      <c r="F162" s="20"/>
      <c r="G162" s="112" t="s">
        <v>17</v>
      </c>
      <c r="H162" s="22" t="s">
        <v>18</v>
      </c>
      <c r="I162" s="113">
        <v>16.0</v>
      </c>
      <c r="J162" s="115"/>
      <c r="K162" s="116"/>
      <c r="L162" s="116"/>
      <c r="M162" s="115"/>
      <c r="N162" s="117"/>
      <c r="O162" s="117"/>
      <c r="P162" s="117"/>
    </row>
    <row r="163" ht="20.25" customHeight="1">
      <c r="A163" s="8">
        <v>46199.0</v>
      </c>
      <c r="B163" s="21" t="s">
        <v>30</v>
      </c>
      <c r="C163" s="131">
        <v>309.0</v>
      </c>
      <c r="D163" s="34">
        <f t="array" ref="D163">IFERROR(_xlfn.XLOOKUP(C163,Code!A:A,Code!B:B),"")</f>
        <v>0.75</v>
      </c>
      <c r="E163" s="25" t="s">
        <v>23</v>
      </c>
      <c r="F163" s="26" t="s">
        <v>42</v>
      </c>
      <c r="G163" s="122" t="s">
        <v>17</v>
      </c>
      <c r="H163" s="14" t="s">
        <v>25</v>
      </c>
      <c r="I163" s="181">
        <v>1.0</v>
      </c>
      <c r="J163" s="124"/>
      <c r="K163" s="126"/>
      <c r="L163" s="126"/>
      <c r="M163" s="124"/>
      <c r="N163" s="127"/>
      <c r="O163" s="127"/>
      <c r="P163" s="127"/>
    </row>
    <row r="164" ht="20.25" customHeight="1">
      <c r="A164" s="29"/>
      <c r="B164" s="78" t="s">
        <v>45</v>
      </c>
      <c r="C164" s="29"/>
      <c r="D164" s="29"/>
      <c r="E164" s="20"/>
      <c r="F164" s="20"/>
      <c r="G164" s="112" t="s">
        <v>17</v>
      </c>
      <c r="H164" s="22" t="s">
        <v>18</v>
      </c>
      <c r="I164" s="113">
        <v>18.0</v>
      </c>
      <c r="J164" s="115"/>
      <c r="K164" s="116"/>
      <c r="L164" s="116"/>
      <c r="M164" s="115"/>
      <c r="N164" s="117"/>
      <c r="O164" s="117"/>
      <c r="P164" s="117"/>
    </row>
    <row r="165" ht="20.25" customHeight="1">
      <c r="A165" s="8">
        <v>46199.0</v>
      </c>
      <c r="B165" s="21" t="s">
        <v>21</v>
      </c>
      <c r="C165" s="131">
        <v>316.0</v>
      </c>
      <c r="D165" s="34">
        <f t="array" ref="D165">IFERROR(_xlfn.XLOOKUP(C165,Code!A:A,Code!B:B),"")</f>
        <v>1.11</v>
      </c>
      <c r="E165" s="25" t="s">
        <v>23</v>
      </c>
      <c r="F165" s="26" t="s">
        <v>76</v>
      </c>
      <c r="G165" s="122" t="s">
        <v>17</v>
      </c>
      <c r="H165" s="14" t="s">
        <v>25</v>
      </c>
      <c r="I165" s="181">
        <v>1.0</v>
      </c>
      <c r="J165" s="124"/>
      <c r="K165" s="126"/>
      <c r="L165" s="126"/>
      <c r="M165" s="124"/>
      <c r="N165" s="127"/>
      <c r="O165" s="127"/>
      <c r="P165" s="127"/>
    </row>
    <row r="166" ht="20.25" customHeight="1">
      <c r="A166" s="29"/>
      <c r="B166" s="29"/>
      <c r="C166" s="193">
        <v>317.0</v>
      </c>
      <c r="D166" s="29"/>
      <c r="E166" s="20"/>
      <c r="F166" s="20"/>
      <c r="G166" s="112" t="s">
        <v>17</v>
      </c>
      <c r="H166" s="22" t="s">
        <v>18</v>
      </c>
      <c r="I166" s="113">
        <v>19.0</v>
      </c>
      <c r="J166" s="115"/>
      <c r="K166" s="116"/>
      <c r="L166" s="116"/>
      <c r="M166" s="115"/>
      <c r="N166" s="117"/>
      <c r="O166" s="117"/>
      <c r="P166" s="117"/>
    </row>
    <row r="167" ht="20.25" customHeight="1">
      <c r="A167" s="8">
        <v>46200.0</v>
      </c>
      <c r="B167" s="21" t="s">
        <v>21</v>
      </c>
      <c r="C167" s="131">
        <v>327.0</v>
      </c>
      <c r="D167" s="34">
        <f t="array" ref="D167">IFERROR(_xlfn.XLOOKUP(C167,Code!A:A,Code!B:B),"")</f>
        <v>0.76</v>
      </c>
      <c r="E167" s="25" t="s">
        <v>23</v>
      </c>
      <c r="F167" s="26" t="s">
        <v>28</v>
      </c>
      <c r="G167" s="165" t="s">
        <v>17</v>
      </c>
      <c r="H167" s="14" t="s">
        <v>25</v>
      </c>
      <c r="I167" s="177">
        <v>1.0</v>
      </c>
      <c r="J167" s="124"/>
      <c r="K167" s="126"/>
      <c r="L167" s="126"/>
      <c r="M167" s="124"/>
      <c r="N167" s="127"/>
      <c r="O167" s="127"/>
      <c r="P167" s="127"/>
    </row>
    <row r="168" ht="20.25" customHeight="1">
      <c r="A168" s="29"/>
      <c r="B168" s="29"/>
      <c r="C168" s="29"/>
      <c r="D168" s="29"/>
      <c r="E168" s="20"/>
      <c r="F168" s="20"/>
      <c r="G168" s="170" t="s">
        <v>17</v>
      </c>
      <c r="H168" s="22" t="s">
        <v>18</v>
      </c>
      <c r="I168" s="171">
        <v>18.0</v>
      </c>
      <c r="J168" s="115"/>
      <c r="K168" s="116"/>
      <c r="L168" s="116"/>
      <c r="M168" s="115"/>
      <c r="N168" s="117"/>
      <c r="O168" s="117"/>
      <c r="P168" s="117"/>
    </row>
    <row r="169" ht="20.25" customHeight="1">
      <c r="A169" s="8">
        <v>46200.0</v>
      </c>
      <c r="B169" s="21" t="s">
        <v>21</v>
      </c>
      <c r="C169" s="131">
        <v>315.0</v>
      </c>
      <c r="D169" s="34">
        <f t="array" ref="D169">IFERROR(_xlfn.XLOOKUP(C169,Code!A:A,Code!B:B),"")</f>
        <v>1.21</v>
      </c>
      <c r="E169" s="25" t="s">
        <v>23</v>
      </c>
      <c r="F169" s="26" t="s">
        <v>94</v>
      </c>
      <c r="G169" s="165" t="s">
        <v>17</v>
      </c>
      <c r="H169" s="14" t="s">
        <v>25</v>
      </c>
      <c r="I169" s="177">
        <v>1.0</v>
      </c>
      <c r="J169" s="124"/>
      <c r="K169" s="126"/>
      <c r="L169" s="126"/>
      <c r="M169" s="124"/>
      <c r="N169" s="127"/>
      <c r="O169" s="127"/>
      <c r="P169" s="127"/>
    </row>
    <row r="170" ht="20.25" customHeight="1">
      <c r="A170" s="29"/>
      <c r="B170" s="29"/>
      <c r="C170" s="29"/>
      <c r="D170" s="29"/>
      <c r="E170" s="20"/>
      <c r="F170" s="20"/>
      <c r="G170" s="170" t="s">
        <v>17</v>
      </c>
      <c r="H170" s="22" t="s">
        <v>18</v>
      </c>
      <c r="I170" s="171">
        <v>18.0</v>
      </c>
      <c r="J170" s="115"/>
      <c r="K170" s="116"/>
      <c r="L170" s="116"/>
      <c r="M170" s="115"/>
      <c r="N170" s="117"/>
      <c r="O170" s="117"/>
      <c r="P170" s="117"/>
    </row>
    <row r="171" ht="20.25" customHeight="1">
      <c r="A171" s="8">
        <v>46200.0</v>
      </c>
      <c r="B171" s="21" t="s">
        <v>45</v>
      </c>
      <c r="C171" s="131">
        <v>310.0</v>
      </c>
      <c r="D171" s="34">
        <f t="array" ref="D171">IFERROR(_xlfn.XLOOKUP(C171,Code!A:A,Code!B:B),"")</f>
        <v>0.96</v>
      </c>
      <c r="E171" s="25" t="s">
        <v>23</v>
      </c>
      <c r="F171" s="26" t="s">
        <v>42</v>
      </c>
      <c r="G171" s="165" t="s">
        <v>17</v>
      </c>
      <c r="H171" s="14" t="s">
        <v>25</v>
      </c>
      <c r="I171" s="177">
        <v>1.0</v>
      </c>
      <c r="J171" s="124"/>
      <c r="K171" s="126"/>
      <c r="L171" s="126"/>
      <c r="M171" s="124"/>
      <c r="N171" s="127"/>
      <c r="O171" s="127"/>
      <c r="P171" s="127"/>
    </row>
    <row r="172" ht="20.25" customHeight="1">
      <c r="A172" s="29"/>
      <c r="B172" s="78" t="s">
        <v>30</v>
      </c>
      <c r="C172" s="29"/>
      <c r="D172" s="29"/>
      <c r="E172" s="20"/>
      <c r="F172" s="20"/>
      <c r="G172" s="170" t="s">
        <v>17</v>
      </c>
      <c r="H172" s="22" t="s">
        <v>18</v>
      </c>
      <c r="I172" s="171">
        <v>17.0</v>
      </c>
      <c r="J172" s="115"/>
      <c r="K172" s="116"/>
      <c r="L172" s="116"/>
      <c r="M172" s="115"/>
      <c r="N172" s="117"/>
      <c r="O172" s="117"/>
      <c r="P172" s="117"/>
    </row>
    <row r="173" ht="20.25" customHeight="1">
      <c r="A173" s="8">
        <v>46200.0</v>
      </c>
      <c r="B173" s="21" t="s">
        <v>21</v>
      </c>
      <c r="C173" s="131">
        <v>317.0</v>
      </c>
      <c r="D173" s="34">
        <f t="array" ref="D173">IFERROR(_xlfn.XLOOKUP(C173,Code!A:A,Code!B:B),"")</f>
        <v>1.14</v>
      </c>
      <c r="E173" s="25" t="s">
        <v>23</v>
      </c>
      <c r="F173" s="26" t="s">
        <v>76</v>
      </c>
      <c r="G173" s="165" t="s">
        <v>17</v>
      </c>
      <c r="H173" s="14" t="s">
        <v>25</v>
      </c>
      <c r="I173" s="177">
        <v>1.0</v>
      </c>
      <c r="J173" s="124"/>
      <c r="K173" s="126"/>
      <c r="L173" s="126"/>
      <c r="M173" s="124"/>
      <c r="N173" s="127"/>
      <c r="O173" s="127"/>
      <c r="P173" s="127"/>
    </row>
    <row r="174" ht="20.25" customHeight="1">
      <c r="A174" s="29"/>
      <c r="B174" s="29"/>
      <c r="C174" s="29"/>
      <c r="D174" s="29"/>
      <c r="E174" s="20"/>
      <c r="F174" s="20"/>
      <c r="G174" s="170" t="s">
        <v>17</v>
      </c>
      <c r="H174" s="22" t="s">
        <v>18</v>
      </c>
      <c r="I174" s="171">
        <v>18.0</v>
      </c>
      <c r="J174" s="115"/>
      <c r="K174" s="116"/>
      <c r="L174" s="116"/>
      <c r="M174" s="115"/>
      <c r="N174" s="117"/>
      <c r="O174" s="117"/>
      <c r="P174" s="117"/>
    </row>
    <row r="175" ht="20.25" customHeight="1">
      <c r="A175" s="8">
        <v>46200.0</v>
      </c>
      <c r="B175" s="21" t="s">
        <v>45</v>
      </c>
      <c r="C175" s="131">
        <v>328.0</v>
      </c>
      <c r="D175" s="34">
        <f t="array" ref="D175">IFERROR(_xlfn.XLOOKUP(C175,Code!A:A,Code!B:B),"")</f>
        <v>0.87</v>
      </c>
      <c r="E175" s="25" t="s">
        <v>23</v>
      </c>
      <c r="F175" s="26" t="s">
        <v>105</v>
      </c>
      <c r="G175" s="165" t="s">
        <v>17</v>
      </c>
      <c r="H175" s="14" t="s">
        <v>25</v>
      </c>
      <c r="I175" s="177">
        <v>1.0</v>
      </c>
      <c r="J175" s="124"/>
      <c r="K175" s="126"/>
      <c r="L175" s="126"/>
      <c r="M175" s="124"/>
      <c r="N175" s="127"/>
      <c r="O175" s="127"/>
      <c r="P175" s="127"/>
    </row>
    <row r="176" ht="20.25" customHeight="1">
      <c r="A176" s="29"/>
      <c r="B176" s="78" t="s">
        <v>30</v>
      </c>
      <c r="C176" s="29"/>
      <c r="D176" s="29"/>
      <c r="E176" s="20"/>
      <c r="F176" s="20"/>
      <c r="G176" s="170" t="s">
        <v>17</v>
      </c>
      <c r="H176" s="22" t="s">
        <v>18</v>
      </c>
      <c r="I176" s="171">
        <v>23.0</v>
      </c>
      <c r="J176" s="115"/>
      <c r="K176" s="116"/>
      <c r="L176" s="116"/>
      <c r="M176" s="115"/>
      <c r="N176" s="117"/>
      <c r="O176" s="117"/>
      <c r="P176" s="117"/>
    </row>
    <row r="177" ht="20.25" customHeight="1">
      <c r="A177" s="8">
        <v>46202.0</v>
      </c>
      <c r="B177" s="21" t="s">
        <v>30</v>
      </c>
      <c r="C177" s="131">
        <v>328.0</v>
      </c>
      <c r="D177" s="34">
        <f t="array" ref="D177">IFERROR(_xlfn.XLOOKUP(C177,Code!A:A,Code!B:B),"")</f>
        <v>0.87</v>
      </c>
      <c r="E177" s="25" t="s">
        <v>23</v>
      </c>
      <c r="F177" s="26" t="s">
        <v>28</v>
      </c>
      <c r="G177" s="122" t="s">
        <v>17</v>
      </c>
      <c r="H177" s="14" t="s">
        <v>25</v>
      </c>
      <c r="I177" s="181">
        <v>1.0</v>
      </c>
      <c r="J177" s="124"/>
      <c r="K177" s="126"/>
      <c r="L177" s="126"/>
      <c r="M177" s="124"/>
      <c r="N177" s="127"/>
      <c r="O177" s="127"/>
      <c r="P177" s="127"/>
    </row>
    <row r="178" ht="20.25" customHeight="1">
      <c r="A178" s="29"/>
      <c r="B178" s="29"/>
      <c r="C178" s="29"/>
      <c r="D178" s="29"/>
      <c r="E178" s="20"/>
      <c r="F178" s="20"/>
      <c r="G178" s="112" t="s">
        <v>17</v>
      </c>
      <c r="H178" s="22" t="s">
        <v>18</v>
      </c>
      <c r="I178" s="113">
        <v>18.0</v>
      </c>
      <c r="J178" s="115"/>
      <c r="K178" s="116"/>
      <c r="L178" s="116"/>
      <c r="M178" s="115"/>
      <c r="N178" s="117"/>
      <c r="O178" s="117"/>
      <c r="P178" s="117"/>
    </row>
    <row r="179" ht="20.25" customHeight="1">
      <c r="A179" s="8">
        <v>46202.0</v>
      </c>
      <c r="B179" s="21" t="s">
        <v>45</v>
      </c>
      <c r="C179" s="131">
        <v>324.0</v>
      </c>
      <c r="D179" s="34">
        <f t="array" ref="D179">IFERROR(_xlfn.XLOOKUP(C179,Code!A:A,Code!B:B),"")</f>
        <v>0.87</v>
      </c>
      <c r="E179" s="25" t="s">
        <v>23</v>
      </c>
      <c r="F179" s="26" t="s">
        <v>94</v>
      </c>
      <c r="G179" s="122" t="s">
        <v>17</v>
      </c>
      <c r="H179" s="14" t="s">
        <v>25</v>
      </c>
      <c r="I179" s="181">
        <v>1.0</v>
      </c>
      <c r="J179" s="124"/>
      <c r="K179" s="126"/>
      <c r="L179" s="126"/>
      <c r="M179" s="124"/>
      <c r="N179" s="127"/>
      <c r="O179" s="127"/>
      <c r="P179" s="127"/>
    </row>
    <row r="180" ht="20.25" customHeight="1">
      <c r="A180" s="29"/>
      <c r="B180" s="29"/>
      <c r="C180" s="29"/>
      <c r="D180" s="29"/>
      <c r="E180" s="20"/>
      <c r="F180" s="20"/>
      <c r="G180" s="112" t="s">
        <v>17</v>
      </c>
      <c r="H180" s="22" t="s">
        <v>18</v>
      </c>
      <c r="I180" s="113">
        <v>16.0</v>
      </c>
      <c r="J180" s="115"/>
      <c r="K180" s="116"/>
      <c r="L180" s="116"/>
      <c r="M180" s="115"/>
      <c r="N180" s="117"/>
      <c r="O180" s="117"/>
      <c r="P180" s="117"/>
    </row>
    <row r="181" ht="20.25" customHeight="1">
      <c r="A181" s="8">
        <v>46202.0</v>
      </c>
      <c r="B181" s="21" t="s">
        <v>45</v>
      </c>
      <c r="C181" s="131">
        <v>311.0</v>
      </c>
      <c r="D181" s="34">
        <f t="array" ref="D181">IFERROR(_xlfn.XLOOKUP(C181,Code!A:A,Code!B:B),"")</f>
        <v>0.94</v>
      </c>
      <c r="E181" s="25" t="s">
        <v>23</v>
      </c>
      <c r="F181" s="26" t="s">
        <v>42</v>
      </c>
      <c r="G181" s="122" t="s">
        <v>17</v>
      </c>
      <c r="H181" s="14" t="s">
        <v>25</v>
      </c>
      <c r="I181" s="181">
        <v>1.0</v>
      </c>
      <c r="J181" s="124"/>
      <c r="K181" s="126"/>
      <c r="L181" s="126"/>
      <c r="M181" s="124"/>
      <c r="N181" s="127"/>
      <c r="O181" s="127"/>
      <c r="P181" s="127"/>
    </row>
    <row r="182" ht="20.25" customHeight="1">
      <c r="A182" s="29"/>
      <c r="B182" s="29"/>
      <c r="C182" s="29"/>
      <c r="D182" s="29"/>
      <c r="E182" s="20"/>
      <c r="F182" s="20"/>
      <c r="G182" s="112" t="s">
        <v>17</v>
      </c>
      <c r="H182" s="22" t="s">
        <v>18</v>
      </c>
      <c r="I182" s="113">
        <v>15.0</v>
      </c>
      <c r="J182" s="115"/>
      <c r="K182" s="116"/>
      <c r="L182" s="116"/>
      <c r="M182" s="115"/>
      <c r="N182" s="117"/>
      <c r="O182" s="117"/>
      <c r="P182" s="117"/>
    </row>
    <row r="183" ht="20.25" customHeight="1">
      <c r="A183" s="8">
        <v>46202.0</v>
      </c>
      <c r="B183" s="21" t="s">
        <v>21</v>
      </c>
      <c r="C183" s="131">
        <v>317.0</v>
      </c>
      <c r="D183" s="120">
        <f t="array" ref="D183">IFERROR(_xlfn.XLOOKUP(C183,Code!A:A,Code!B:B),"")</f>
        <v>1.14</v>
      </c>
      <c r="E183" s="25" t="s">
        <v>23</v>
      </c>
      <c r="F183" s="26" t="s">
        <v>76</v>
      </c>
      <c r="G183" s="122" t="s">
        <v>17</v>
      </c>
      <c r="H183" s="14" t="s">
        <v>25</v>
      </c>
      <c r="I183" s="181">
        <v>1.0</v>
      </c>
      <c r="J183" s="124"/>
      <c r="K183" s="126"/>
      <c r="L183" s="126"/>
      <c r="M183" s="124"/>
      <c r="N183" s="127"/>
      <c r="O183" s="127"/>
      <c r="P183" s="127"/>
    </row>
    <row r="184" ht="20.25" customHeight="1">
      <c r="A184" s="29"/>
      <c r="B184" s="29"/>
      <c r="C184" s="29"/>
      <c r="D184" s="29"/>
      <c r="E184" s="20"/>
      <c r="F184" s="20"/>
      <c r="G184" s="112" t="s">
        <v>17</v>
      </c>
      <c r="H184" s="22" t="s">
        <v>18</v>
      </c>
      <c r="I184" s="113">
        <v>13.0</v>
      </c>
      <c r="J184" s="115"/>
      <c r="K184" s="116"/>
      <c r="L184" s="116"/>
      <c r="M184" s="115"/>
      <c r="N184" s="117"/>
      <c r="O184" s="117"/>
      <c r="P184" s="117"/>
    </row>
    <row r="185" ht="20.25" customHeight="1">
      <c r="A185" s="8">
        <v>46202.0</v>
      </c>
      <c r="B185" s="21" t="s">
        <v>30</v>
      </c>
      <c r="C185" s="131">
        <v>328.0</v>
      </c>
      <c r="D185" s="34">
        <f t="array" ref="D185">IFERROR(_xlfn.XLOOKUP(C185,Code!A:A,Code!B:B),"")</f>
        <v>0.87</v>
      </c>
      <c r="E185" s="25" t="s">
        <v>23</v>
      </c>
      <c r="F185" s="26" t="s">
        <v>105</v>
      </c>
      <c r="G185" s="165" t="s">
        <v>17</v>
      </c>
      <c r="H185" s="14" t="s">
        <v>25</v>
      </c>
      <c r="I185" s="181">
        <v>1.0</v>
      </c>
      <c r="J185" s="124"/>
      <c r="K185" s="126"/>
      <c r="L185" s="126"/>
      <c r="M185" s="124"/>
      <c r="N185" s="127"/>
      <c r="O185" s="127"/>
      <c r="P185" s="127"/>
    </row>
    <row r="186" ht="20.25" customHeight="1">
      <c r="A186" s="29"/>
      <c r="B186" s="29"/>
      <c r="C186" s="29"/>
      <c r="D186" s="29"/>
      <c r="E186" s="20"/>
      <c r="F186" s="20"/>
      <c r="G186" s="170" t="s">
        <v>17</v>
      </c>
      <c r="H186" s="22" t="s">
        <v>18</v>
      </c>
      <c r="I186" s="113">
        <v>20.0</v>
      </c>
      <c r="J186" s="115"/>
      <c r="K186" s="116"/>
      <c r="L186" s="116"/>
      <c r="M186" s="115"/>
      <c r="N186" s="117"/>
      <c r="O186" s="117"/>
      <c r="P186" s="117"/>
    </row>
    <row r="187" ht="20.25" customHeight="1">
      <c r="A187" s="8">
        <v>46203.0</v>
      </c>
      <c r="B187" s="21" t="s">
        <v>21</v>
      </c>
      <c r="C187" s="131">
        <v>321.0</v>
      </c>
      <c r="D187" s="34">
        <f t="array" ref="D187">IFERROR(_xlfn.XLOOKUP(C187,Code!A:A,Code!B:B),"")</f>
        <v>0.97</v>
      </c>
      <c r="E187" s="25" t="s">
        <v>23</v>
      </c>
      <c r="F187" s="26" t="s">
        <v>28</v>
      </c>
      <c r="G187" s="165" t="s">
        <v>17</v>
      </c>
      <c r="H187" s="14" t="s">
        <v>25</v>
      </c>
      <c r="I187" s="181">
        <v>1.0</v>
      </c>
      <c r="J187" s="124"/>
      <c r="K187" s="126"/>
      <c r="L187" s="126"/>
      <c r="M187" s="124"/>
      <c r="N187" s="127"/>
      <c r="O187" s="127"/>
      <c r="P187" s="127"/>
    </row>
    <row r="188" ht="20.25" customHeight="1">
      <c r="A188" s="29"/>
      <c r="B188" s="29"/>
      <c r="C188" s="29"/>
      <c r="D188" s="29"/>
      <c r="E188" s="20"/>
      <c r="F188" s="20"/>
      <c r="G188" s="170" t="s">
        <v>17</v>
      </c>
      <c r="H188" s="22" t="s">
        <v>18</v>
      </c>
      <c r="I188" s="113">
        <v>19.5</v>
      </c>
      <c r="J188" s="115"/>
      <c r="K188" s="116"/>
      <c r="L188" s="116"/>
      <c r="M188" s="115"/>
      <c r="N188" s="117"/>
      <c r="O188" s="117"/>
      <c r="P188" s="117"/>
    </row>
    <row r="189" ht="20.25" customHeight="1">
      <c r="A189" s="8">
        <v>46203.0</v>
      </c>
      <c r="B189" s="21" t="s">
        <v>45</v>
      </c>
      <c r="C189" s="131">
        <v>328.0</v>
      </c>
      <c r="D189" s="34">
        <f t="array" ref="D189">IFERROR(_xlfn.XLOOKUP(C189,Code!A:A,Code!B:B),"")</f>
        <v>0.87</v>
      </c>
      <c r="E189" s="25" t="s">
        <v>23</v>
      </c>
      <c r="F189" s="26" t="s">
        <v>105</v>
      </c>
      <c r="G189" s="165" t="s">
        <v>17</v>
      </c>
      <c r="H189" s="14" t="s">
        <v>25</v>
      </c>
      <c r="I189" s="181">
        <v>1.0</v>
      </c>
      <c r="J189" s="124"/>
      <c r="K189" s="126"/>
      <c r="L189" s="126"/>
      <c r="M189" s="124"/>
      <c r="N189" s="127"/>
      <c r="O189" s="127"/>
      <c r="P189" s="127"/>
    </row>
    <row r="190" ht="20.25" customHeight="1">
      <c r="A190" s="29"/>
      <c r="B190" s="78" t="s">
        <v>30</v>
      </c>
      <c r="C190" s="29"/>
      <c r="D190" s="29"/>
      <c r="E190" s="20"/>
      <c r="F190" s="20"/>
      <c r="G190" s="170" t="s">
        <v>17</v>
      </c>
      <c r="H190" s="22" t="s">
        <v>18</v>
      </c>
      <c r="I190" s="113">
        <v>19.0</v>
      </c>
      <c r="J190" s="115"/>
      <c r="K190" s="116"/>
      <c r="L190" s="116"/>
      <c r="M190" s="115"/>
      <c r="N190" s="117"/>
      <c r="O190" s="117"/>
      <c r="P190" s="117"/>
    </row>
    <row r="191" ht="20.25" customHeight="1">
      <c r="A191" s="8">
        <v>46203.0</v>
      </c>
      <c r="B191" s="21" t="s">
        <v>45</v>
      </c>
      <c r="C191" s="131">
        <v>313.0</v>
      </c>
      <c r="D191" s="34">
        <f t="array" ref="D191">IFERROR(_xlfn.XLOOKUP(C191,Code!A:A,Code!B:B),"")</f>
        <v>1.1</v>
      </c>
      <c r="E191" s="25" t="s">
        <v>23</v>
      </c>
      <c r="F191" s="26" t="s">
        <v>42</v>
      </c>
      <c r="G191" s="165" t="s">
        <v>17</v>
      </c>
      <c r="H191" s="14" t="s">
        <v>25</v>
      </c>
      <c r="I191" s="181">
        <v>1.0</v>
      </c>
      <c r="J191" s="124"/>
      <c r="K191" s="126"/>
      <c r="L191" s="126"/>
      <c r="M191" s="124"/>
      <c r="N191" s="127"/>
      <c r="O191" s="127"/>
      <c r="P191" s="127"/>
    </row>
    <row r="192" ht="20.25" customHeight="1">
      <c r="A192" s="29"/>
      <c r="B192" s="78" t="s">
        <v>30</v>
      </c>
      <c r="C192" s="29"/>
      <c r="D192" s="29"/>
      <c r="E192" s="20"/>
      <c r="F192" s="20"/>
      <c r="G192" s="170" t="s">
        <v>17</v>
      </c>
      <c r="H192" s="22" t="s">
        <v>18</v>
      </c>
      <c r="I192" s="113">
        <v>16.0</v>
      </c>
      <c r="J192" s="115"/>
      <c r="K192" s="116"/>
      <c r="L192" s="116"/>
      <c r="M192" s="115"/>
      <c r="N192" s="117"/>
      <c r="O192" s="117"/>
      <c r="P192" s="117"/>
    </row>
    <row r="193" ht="20.25" customHeight="1">
      <c r="A193" s="8">
        <v>46203.0</v>
      </c>
      <c r="B193" s="21" t="s">
        <v>21</v>
      </c>
      <c r="C193" s="131">
        <v>318.0</v>
      </c>
      <c r="D193" s="34">
        <f t="array" ref="D193">IFERROR(_xlfn.XLOOKUP(C193,Code!A:A,Code!B:B),"")</f>
        <v>1.19</v>
      </c>
      <c r="E193" s="25" t="s">
        <v>23</v>
      </c>
      <c r="F193" s="26" t="s">
        <v>76</v>
      </c>
      <c r="G193" s="165" t="s">
        <v>17</v>
      </c>
      <c r="H193" s="14" t="s">
        <v>25</v>
      </c>
      <c r="I193" s="181">
        <v>1.0</v>
      </c>
      <c r="J193" s="124"/>
      <c r="K193" s="126"/>
      <c r="L193" s="126"/>
      <c r="M193" s="124"/>
      <c r="N193" s="127"/>
      <c r="O193" s="127"/>
      <c r="P193" s="127"/>
    </row>
    <row r="194" ht="20.25" customHeight="1">
      <c r="A194" s="29"/>
      <c r="B194" s="29"/>
      <c r="C194" s="29"/>
      <c r="D194" s="29"/>
      <c r="E194" s="20"/>
      <c r="F194" s="20"/>
      <c r="G194" s="170" t="s">
        <v>17</v>
      </c>
      <c r="H194" s="22" t="s">
        <v>18</v>
      </c>
      <c r="I194" s="113">
        <v>17.0</v>
      </c>
      <c r="J194" s="115"/>
      <c r="K194" s="116"/>
      <c r="L194" s="116"/>
      <c r="M194" s="115"/>
      <c r="N194" s="117"/>
      <c r="O194" s="117"/>
      <c r="P194" s="117"/>
    </row>
    <row r="195" ht="20.25" customHeight="1">
      <c r="A195" s="8">
        <v>46204.0</v>
      </c>
      <c r="B195" s="21" t="s">
        <v>21</v>
      </c>
      <c r="C195" s="131">
        <v>322.0</v>
      </c>
      <c r="D195" s="34">
        <f t="array" ref="D195">IFERROR(_xlfn.XLOOKUP(C195,Code!A:A,Code!B:B),"")</f>
        <v>1</v>
      </c>
      <c r="E195" s="25" t="s">
        <v>23</v>
      </c>
      <c r="F195" s="26" t="s">
        <v>28</v>
      </c>
      <c r="G195" s="165" t="s">
        <v>17</v>
      </c>
      <c r="H195" s="14" t="s">
        <v>25</v>
      </c>
      <c r="I195" s="177">
        <v>1.0</v>
      </c>
      <c r="J195" s="124"/>
      <c r="K195" s="126"/>
      <c r="L195" s="126"/>
      <c r="M195" s="124"/>
      <c r="N195" s="127"/>
      <c r="O195" s="127"/>
      <c r="P195" s="127"/>
    </row>
    <row r="196" ht="20.25" customHeight="1">
      <c r="A196" s="29"/>
      <c r="B196" s="29"/>
      <c r="C196" s="29"/>
      <c r="D196" s="29"/>
      <c r="E196" s="20"/>
      <c r="F196" s="20"/>
      <c r="G196" s="165" t="s">
        <v>17</v>
      </c>
      <c r="H196" s="14" t="s">
        <v>18</v>
      </c>
      <c r="I196" s="177">
        <v>21.0</v>
      </c>
      <c r="J196" s="124"/>
      <c r="K196" s="126"/>
      <c r="L196" s="126"/>
      <c r="M196" s="124"/>
      <c r="N196" s="127"/>
      <c r="O196" s="127"/>
      <c r="P196" s="127"/>
    </row>
    <row r="197" ht="20.25" customHeight="1">
      <c r="A197" s="8">
        <v>46204.0</v>
      </c>
      <c r="B197" s="21" t="s">
        <v>45</v>
      </c>
      <c r="C197" s="131">
        <v>322.0</v>
      </c>
      <c r="D197" s="34">
        <f t="array" ref="D197">IFERROR(_xlfn.XLOOKUP(C197,Code!A:A,Code!B:B),"")</f>
        <v>1</v>
      </c>
      <c r="E197" s="25" t="s">
        <v>23</v>
      </c>
      <c r="F197" s="26" t="s">
        <v>105</v>
      </c>
      <c r="G197" s="165" t="s">
        <v>17</v>
      </c>
      <c r="H197" s="14" t="s">
        <v>25</v>
      </c>
      <c r="I197" s="177">
        <v>1.0</v>
      </c>
      <c r="J197" s="124"/>
      <c r="K197" s="126"/>
      <c r="L197" s="126"/>
      <c r="M197" s="124"/>
      <c r="N197" s="127"/>
      <c r="O197" s="127"/>
      <c r="P197" s="127"/>
    </row>
    <row r="198" ht="20.25" customHeight="1">
      <c r="A198" s="29"/>
      <c r="B198" s="21" t="s">
        <v>30</v>
      </c>
      <c r="C198" s="29"/>
      <c r="D198" s="29"/>
      <c r="E198" s="20"/>
      <c r="F198" s="20"/>
      <c r="G198" s="165" t="s">
        <v>17</v>
      </c>
      <c r="H198" s="14" t="s">
        <v>18</v>
      </c>
      <c r="I198" s="177">
        <v>21.0</v>
      </c>
      <c r="J198" s="124"/>
      <c r="K198" s="126"/>
      <c r="L198" s="126"/>
      <c r="M198" s="124"/>
      <c r="N198" s="127"/>
      <c r="O198" s="127"/>
      <c r="P198" s="127"/>
    </row>
    <row r="199" ht="20.25" customHeight="1">
      <c r="A199" s="8">
        <v>46204.0</v>
      </c>
      <c r="B199" s="21" t="s">
        <v>45</v>
      </c>
      <c r="C199" s="131">
        <v>323.0</v>
      </c>
      <c r="D199" s="34">
        <f t="array" ref="D199">IFERROR(_xlfn.XLOOKUP(C199,Code!A:A,Code!B:B),"")</f>
        <v>1.13</v>
      </c>
      <c r="E199" s="25" t="s">
        <v>23</v>
      </c>
      <c r="F199" s="26" t="s">
        <v>94</v>
      </c>
      <c r="G199" s="165" t="s">
        <v>17</v>
      </c>
      <c r="H199" s="14" t="s">
        <v>25</v>
      </c>
      <c r="I199" s="177">
        <v>1.0</v>
      </c>
      <c r="J199" s="124"/>
      <c r="K199" s="126"/>
      <c r="L199" s="126"/>
      <c r="M199" s="124"/>
      <c r="N199" s="127"/>
      <c r="O199" s="127"/>
      <c r="P199" s="127"/>
    </row>
    <row r="200" ht="20.25" customHeight="1">
      <c r="A200" s="29"/>
      <c r="B200" s="21" t="s">
        <v>30</v>
      </c>
      <c r="C200" s="29"/>
      <c r="D200" s="29"/>
      <c r="E200" s="20"/>
      <c r="F200" s="20"/>
      <c r="G200" s="165" t="s">
        <v>17</v>
      </c>
      <c r="H200" s="14" t="s">
        <v>18</v>
      </c>
      <c r="I200" s="177">
        <v>17.0</v>
      </c>
      <c r="J200" s="124"/>
      <c r="K200" s="126"/>
      <c r="L200" s="126"/>
      <c r="M200" s="124"/>
      <c r="N200" s="127"/>
      <c r="O200" s="127"/>
      <c r="P200" s="127"/>
    </row>
    <row r="201" ht="20.25" customHeight="1">
      <c r="A201" s="8">
        <v>46204.0</v>
      </c>
      <c r="B201" s="21" t="s">
        <v>30</v>
      </c>
      <c r="C201" s="131">
        <v>312.0</v>
      </c>
      <c r="D201" s="34">
        <f t="array" ref="D201">IFERROR(_xlfn.XLOOKUP(C201,Code!A:A,Code!B:B),"")</f>
        <v>1.27</v>
      </c>
      <c r="E201" s="25" t="s">
        <v>23</v>
      </c>
      <c r="F201" s="26" t="s">
        <v>42</v>
      </c>
      <c r="G201" s="165" t="s">
        <v>17</v>
      </c>
      <c r="H201" s="14" t="s">
        <v>25</v>
      </c>
      <c r="I201" s="177">
        <v>1.0</v>
      </c>
      <c r="J201" s="191"/>
      <c r="K201" s="126"/>
      <c r="L201" s="126"/>
      <c r="M201" s="124"/>
      <c r="N201" s="127"/>
      <c r="O201" s="127"/>
      <c r="P201" s="127"/>
    </row>
    <row r="202" ht="20.25" customHeight="1">
      <c r="A202" s="29"/>
      <c r="B202" s="29"/>
      <c r="C202" s="29"/>
      <c r="D202" s="29"/>
      <c r="E202" s="20"/>
      <c r="F202" s="20"/>
      <c r="G202" s="165" t="s">
        <v>17</v>
      </c>
      <c r="H202" s="14" t="s">
        <v>18</v>
      </c>
      <c r="I202" s="177">
        <v>19.0</v>
      </c>
      <c r="J202" s="124"/>
      <c r="K202" s="126"/>
      <c r="L202" s="126"/>
      <c r="M202" s="124"/>
      <c r="N202" s="127"/>
      <c r="O202" s="127"/>
      <c r="P202" s="127"/>
    </row>
    <row r="203" ht="20.25" customHeight="1">
      <c r="A203" s="8">
        <v>46204.0</v>
      </c>
      <c r="B203" s="21" t="s">
        <v>21</v>
      </c>
      <c r="C203" s="131">
        <v>318.0</v>
      </c>
      <c r="D203" s="34">
        <f t="array" ref="D203">IFERROR(_xlfn.XLOOKUP(C203,Code!A:A,Code!B:B),"")</f>
        <v>1.19</v>
      </c>
      <c r="E203" s="25" t="s">
        <v>23</v>
      </c>
      <c r="F203" s="26" t="s">
        <v>76</v>
      </c>
      <c r="G203" s="165" t="s">
        <v>17</v>
      </c>
      <c r="H203" s="14" t="s">
        <v>25</v>
      </c>
      <c r="I203" s="177">
        <v>1.0</v>
      </c>
      <c r="J203" s="124"/>
      <c r="K203" s="126"/>
      <c r="L203" s="126"/>
      <c r="M203" s="124"/>
      <c r="N203" s="127"/>
      <c r="O203" s="127"/>
      <c r="P203" s="127"/>
    </row>
    <row r="204" ht="20.25" customHeight="1">
      <c r="A204" s="29"/>
      <c r="B204" s="29"/>
      <c r="C204" s="29"/>
      <c r="D204" s="29"/>
      <c r="E204" s="20"/>
      <c r="F204" s="20"/>
      <c r="G204" s="165" t="s">
        <v>17</v>
      </c>
      <c r="H204" s="14" t="s">
        <v>18</v>
      </c>
      <c r="I204" s="177">
        <v>15.0</v>
      </c>
      <c r="J204" s="124"/>
      <c r="K204" s="126"/>
      <c r="L204" s="126"/>
      <c r="M204" s="124"/>
      <c r="N204" s="127"/>
      <c r="O204" s="127"/>
      <c r="P204" s="127"/>
    </row>
    <row r="205" ht="20.25" customHeight="1">
      <c r="A205" s="8">
        <v>46205.0</v>
      </c>
      <c r="B205" s="21" t="s">
        <v>21</v>
      </c>
      <c r="C205" s="131">
        <v>322.0</v>
      </c>
      <c r="D205" s="34">
        <f t="array" ref="D205">IFERROR(_xlfn.XLOOKUP(C205,Code!A:A,Code!B:B),"")</f>
        <v>1</v>
      </c>
      <c r="E205" s="25" t="s">
        <v>23</v>
      </c>
      <c r="F205" s="26" t="s">
        <v>28</v>
      </c>
      <c r="G205" s="165" t="s">
        <v>17</v>
      </c>
      <c r="H205" s="14" t="s">
        <v>25</v>
      </c>
      <c r="I205" s="177">
        <v>1.0</v>
      </c>
      <c r="J205" s="167"/>
      <c r="K205" s="168"/>
      <c r="L205" s="168"/>
      <c r="M205" s="167"/>
      <c r="N205" s="169"/>
      <c r="O205" s="169"/>
      <c r="P205" s="169"/>
    </row>
    <row r="206" ht="20.25" customHeight="1">
      <c r="A206" s="29"/>
      <c r="B206" s="29"/>
      <c r="C206" s="29"/>
      <c r="D206" s="29"/>
      <c r="E206" s="20"/>
      <c r="F206" s="20"/>
      <c r="G206" s="165" t="s">
        <v>17</v>
      </c>
      <c r="H206" s="14" t="s">
        <v>18</v>
      </c>
      <c r="I206" s="177">
        <v>20.0</v>
      </c>
      <c r="J206" s="167"/>
      <c r="K206" s="168"/>
      <c r="L206" s="168"/>
      <c r="M206" s="167"/>
      <c r="N206" s="169"/>
      <c r="O206" s="169"/>
      <c r="P206" s="169"/>
    </row>
    <row r="207" ht="20.25" customHeight="1">
      <c r="A207" s="8">
        <v>46205.0</v>
      </c>
      <c r="B207" s="21" t="s">
        <v>45</v>
      </c>
      <c r="C207" s="131">
        <v>321.0</v>
      </c>
      <c r="D207" s="34">
        <f t="array" ref="D207">IFERROR(_xlfn.XLOOKUP(C207,Code!A:A,Code!B:B),"")</f>
        <v>0.97</v>
      </c>
      <c r="E207" s="25" t="s">
        <v>23</v>
      </c>
      <c r="F207" s="26" t="s">
        <v>105</v>
      </c>
      <c r="G207" s="165" t="s">
        <v>17</v>
      </c>
      <c r="H207" s="14" t="s">
        <v>25</v>
      </c>
      <c r="I207" s="177">
        <v>0.0</v>
      </c>
      <c r="J207" s="167"/>
      <c r="K207" s="168"/>
      <c r="L207" s="168"/>
      <c r="M207" s="167"/>
      <c r="N207" s="169"/>
      <c r="O207" s="169"/>
      <c r="P207" s="169"/>
    </row>
    <row r="208" ht="20.25" customHeight="1">
      <c r="A208" s="29"/>
      <c r="B208" s="21" t="s">
        <v>30</v>
      </c>
      <c r="C208" s="29"/>
      <c r="D208" s="29"/>
      <c r="E208" s="20"/>
      <c r="F208" s="20"/>
      <c r="G208" s="165" t="s">
        <v>17</v>
      </c>
      <c r="H208" s="14" t="s">
        <v>18</v>
      </c>
      <c r="I208" s="177">
        <v>23.5</v>
      </c>
      <c r="J208" s="167"/>
      <c r="K208" s="168"/>
      <c r="L208" s="168"/>
      <c r="M208" s="167"/>
      <c r="N208" s="169"/>
      <c r="O208" s="169"/>
      <c r="P208" s="169"/>
    </row>
    <row r="209" ht="20.25" customHeight="1">
      <c r="A209" s="8">
        <v>46205.0</v>
      </c>
      <c r="B209" s="21" t="s">
        <v>45</v>
      </c>
      <c r="C209" s="131">
        <v>323.0</v>
      </c>
      <c r="D209" s="34">
        <f t="array" ref="D209">IFERROR(_xlfn.XLOOKUP(C209,Code!A:A,Code!B:B),"")</f>
        <v>1.13</v>
      </c>
      <c r="E209" s="25" t="s">
        <v>23</v>
      </c>
      <c r="F209" s="26" t="s">
        <v>94</v>
      </c>
      <c r="G209" s="165" t="s">
        <v>17</v>
      </c>
      <c r="H209" s="14" t="s">
        <v>25</v>
      </c>
      <c r="I209" s="177">
        <v>1.0</v>
      </c>
      <c r="J209" s="167"/>
      <c r="K209" s="168"/>
      <c r="L209" s="168"/>
      <c r="M209" s="167"/>
      <c r="N209" s="169"/>
      <c r="O209" s="169"/>
      <c r="P209" s="169"/>
    </row>
    <row r="210" ht="20.25" customHeight="1">
      <c r="A210" s="29"/>
      <c r="B210" s="21" t="s">
        <v>30</v>
      </c>
      <c r="C210" s="29"/>
      <c r="D210" s="29"/>
      <c r="E210" s="20"/>
      <c r="F210" s="20"/>
      <c r="G210" s="165" t="s">
        <v>17</v>
      </c>
      <c r="H210" s="14" t="s">
        <v>18</v>
      </c>
      <c r="I210" s="177">
        <v>17.0</v>
      </c>
      <c r="J210" s="167"/>
      <c r="K210" s="168"/>
      <c r="L210" s="168"/>
      <c r="M210" s="167"/>
      <c r="N210" s="169"/>
      <c r="O210" s="169"/>
      <c r="P210" s="169"/>
    </row>
    <row r="211" ht="20.25" customHeight="1">
      <c r="A211" s="237">
        <v>46206.0</v>
      </c>
      <c r="B211" s="238" t="s">
        <v>21</v>
      </c>
      <c r="C211" s="239">
        <v>323.0</v>
      </c>
      <c r="D211" s="240">
        <f t="array" ref="D211">IFERROR(_xlfn.XLOOKUP(C211,Code!A:A,Code!B:B),"")</f>
        <v>1.13</v>
      </c>
      <c r="E211" s="241" t="s">
        <v>23</v>
      </c>
      <c r="F211" s="242" t="s">
        <v>28</v>
      </c>
      <c r="G211" s="243" t="s">
        <v>17</v>
      </c>
      <c r="H211" s="244" t="s">
        <v>25</v>
      </c>
      <c r="I211" s="245">
        <v>1.0</v>
      </c>
      <c r="J211" s="247"/>
      <c r="K211" s="248"/>
      <c r="L211" s="248"/>
      <c r="M211" s="247"/>
      <c r="N211" s="249"/>
      <c r="O211" s="249"/>
      <c r="P211" s="249"/>
    </row>
    <row r="212" ht="20.25" customHeight="1">
      <c r="A212" s="29"/>
      <c r="B212" s="29"/>
      <c r="C212" s="29"/>
      <c r="D212" s="29"/>
      <c r="E212" s="20"/>
      <c r="F212" s="20"/>
      <c r="G212" s="243" t="s">
        <v>17</v>
      </c>
      <c r="H212" s="244" t="s">
        <v>18</v>
      </c>
      <c r="I212" s="245">
        <v>20.0</v>
      </c>
      <c r="J212" s="247"/>
      <c r="K212" s="248"/>
      <c r="L212" s="248"/>
      <c r="M212" s="247"/>
      <c r="N212" s="249"/>
      <c r="O212" s="249"/>
      <c r="P212" s="249"/>
    </row>
    <row r="213" ht="20.25" customHeight="1">
      <c r="A213" s="237">
        <v>46206.0</v>
      </c>
      <c r="B213" s="238" t="s">
        <v>21</v>
      </c>
      <c r="C213" s="239">
        <v>323.0</v>
      </c>
      <c r="D213" s="240">
        <f t="array" ref="D213">IFERROR(_xlfn.XLOOKUP(C213,Code!A:A,Code!B:B),"")</f>
        <v>1.13</v>
      </c>
      <c r="E213" s="241" t="s">
        <v>23</v>
      </c>
      <c r="F213" s="242" t="s">
        <v>94</v>
      </c>
      <c r="G213" s="243" t="s">
        <v>17</v>
      </c>
      <c r="H213" s="244" t="s">
        <v>25</v>
      </c>
      <c r="I213" s="245">
        <v>1.0</v>
      </c>
      <c r="J213" s="247"/>
      <c r="K213" s="248"/>
      <c r="L213" s="248"/>
      <c r="M213" s="247"/>
      <c r="N213" s="249"/>
      <c r="O213" s="249"/>
      <c r="P213" s="249"/>
    </row>
    <row r="214" ht="20.25" customHeight="1">
      <c r="A214" s="29"/>
      <c r="B214" s="29"/>
      <c r="C214" s="29"/>
      <c r="D214" s="29"/>
      <c r="E214" s="20"/>
      <c r="F214" s="20"/>
      <c r="G214" s="243" t="s">
        <v>17</v>
      </c>
      <c r="H214" s="244" t="s">
        <v>18</v>
      </c>
      <c r="I214" s="245">
        <v>19.0</v>
      </c>
      <c r="J214" s="247"/>
      <c r="K214" s="248"/>
      <c r="L214" s="248"/>
      <c r="M214" s="247"/>
      <c r="N214" s="249"/>
      <c r="O214" s="249"/>
      <c r="P214" s="249"/>
    </row>
    <row r="215" ht="20.25" customHeight="1">
      <c r="A215" s="237">
        <v>46207.0</v>
      </c>
      <c r="B215" s="238" t="s">
        <v>21</v>
      </c>
      <c r="C215" s="239">
        <v>323.0</v>
      </c>
      <c r="D215" s="240">
        <f t="array" ref="D215">IFERROR(_xlfn.XLOOKUP(C215,Code!A:A,Code!B:B),"")</f>
        <v>1.13</v>
      </c>
      <c r="E215" s="241" t="s">
        <v>23</v>
      </c>
      <c r="F215" s="242" t="s">
        <v>28</v>
      </c>
      <c r="G215" s="243" t="s">
        <v>17</v>
      </c>
      <c r="H215" s="244" t="s">
        <v>25</v>
      </c>
      <c r="I215" s="245">
        <v>1.0</v>
      </c>
      <c r="J215" s="247"/>
      <c r="K215" s="248"/>
      <c r="L215" s="248"/>
      <c r="M215" s="247"/>
      <c r="N215" s="249"/>
      <c r="O215" s="249"/>
      <c r="P215" s="249"/>
    </row>
    <row r="216" ht="20.25" customHeight="1">
      <c r="A216" s="29"/>
      <c r="B216" s="29"/>
      <c r="C216" s="29"/>
      <c r="D216" s="29"/>
      <c r="E216" s="20"/>
      <c r="F216" s="20"/>
      <c r="G216" s="243" t="s">
        <v>17</v>
      </c>
      <c r="H216" s="244" t="s">
        <v>18</v>
      </c>
      <c r="I216" s="245">
        <v>17.0</v>
      </c>
      <c r="J216" s="247"/>
      <c r="K216" s="248"/>
      <c r="L216" s="248"/>
      <c r="M216" s="247"/>
      <c r="N216" s="249"/>
      <c r="O216" s="249"/>
      <c r="P216" s="249"/>
    </row>
    <row r="217" ht="20.25" customHeight="1">
      <c r="A217" s="57"/>
      <c r="B217" s="238" t="s">
        <v>21</v>
      </c>
      <c r="C217" s="239">
        <v>323.0</v>
      </c>
      <c r="D217" s="240">
        <f t="array" ref="D217">IFERROR(_xlfn.XLOOKUP(C217,Code!A:A,Code!B:B),"")</f>
        <v>1.13</v>
      </c>
      <c r="E217" s="241" t="s">
        <v>23</v>
      </c>
      <c r="F217" s="242" t="s">
        <v>94</v>
      </c>
      <c r="G217" s="243" t="s">
        <v>17</v>
      </c>
      <c r="H217" s="244" t="s">
        <v>25</v>
      </c>
      <c r="I217" s="245">
        <v>1.0</v>
      </c>
      <c r="J217" s="247"/>
      <c r="K217" s="248"/>
      <c r="L217" s="248"/>
      <c r="M217" s="247"/>
      <c r="N217" s="249"/>
      <c r="O217" s="249"/>
      <c r="P217" s="249"/>
    </row>
    <row r="218" ht="20.25" customHeight="1">
      <c r="A218" s="29"/>
      <c r="B218" s="29"/>
      <c r="C218" s="29"/>
      <c r="D218" s="29"/>
      <c r="E218" s="20"/>
      <c r="F218" s="20"/>
      <c r="G218" s="243" t="s">
        <v>17</v>
      </c>
      <c r="H218" s="244" t="s">
        <v>18</v>
      </c>
      <c r="I218" s="245">
        <v>15.0</v>
      </c>
      <c r="J218" s="247"/>
      <c r="K218" s="248"/>
      <c r="L218" s="248"/>
      <c r="M218" s="247"/>
      <c r="N218" s="249"/>
      <c r="O218" s="249"/>
      <c r="P218" s="249"/>
    </row>
    <row r="219" ht="20.25" customHeight="1">
      <c r="A219" s="237">
        <v>46208.0</v>
      </c>
      <c r="B219" s="238" t="s">
        <v>21</v>
      </c>
      <c r="C219" s="239">
        <v>323.0</v>
      </c>
      <c r="D219" s="240">
        <f t="array" ref="D219">IFERROR(_xlfn.XLOOKUP(C219,Code!A:A,Code!B:B),"")</f>
        <v>1.13</v>
      </c>
      <c r="E219" s="241" t="s">
        <v>23</v>
      </c>
      <c r="F219" s="242" t="s">
        <v>28</v>
      </c>
      <c r="G219" s="243" t="s">
        <v>17</v>
      </c>
      <c r="H219" s="244" t="s">
        <v>25</v>
      </c>
      <c r="I219" s="245">
        <v>1.0</v>
      </c>
      <c r="J219" s="247"/>
      <c r="K219" s="248"/>
      <c r="L219" s="248"/>
      <c r="M219" s="247"/>
      <c r="N219" s="249"/>
      <c r="O219" s="249"/>
      <c r="P219" s="249"/>
    </row>
    <row r="220" ht="20.25" customHeight="1">
      <c r="A220" s="29"/>
      <c r="B220" s="29"/>
      <c r="C220" s="29"/>
      <c r="D220" s="29"/>
      <c r="E220" s="20"/>
      <c r="F220" s="20"/>
      <c r="G220" s="243" t="s">
        <v>17</v>
      </c>
      <c r="H220" s="244" t="s">
        <v>18</v>
      </c>
      <c r="I220" s="245">
        <v>17.0</v>
      </c>
      <c r="J220" s="247"/>
      <c r="K220" s="248"/>
      <c r="L220" s="248"/>
      <c r="M220" s="247"/>
      <c r="N220" s="249"/>
      <c r="O220" s="249"/>
      <c r="P220" s="249"/>
    </row>
    <row r="221" ht="20.25" customHeight="1">
      <c r="A221" s="57"/>
      <c r="B221" s="238" t="s">
        <v>21</v>
      </c>
      <c r="C221" s="239">
        <v>323.0</v>
      </c>
      <c r="D221" s="240">
        <f t="array" ref="D221">IFERROR(_xlfn.XLOOKUP(C221,Code!A:A,Code!B:B),"")</f>
        <v>1.13</v>
      </c>
      <c r="E221" s="241" t="s">
        <v>23</v>
      </c>
      <c r="F221" s="242" t="s">
        <v>118</v>
      </c>
      <c r="G221" s="243" t="s">
        <v>17</v>
      </c>
      <c r="H221" s="244" t="s">
        <v>25</v>
      </c>
      <c r="I221" s="245">
        <v>1.0</v>
      </c>
      <c r="J221" s="247"/>
      <c r="K221" s="248"/>
      <c r="L221" s="248"/>
      <c r="M221" s="247"/>
      <c r="N221" s="249"/>
      <c r="O221" s="249"/>
      <c r="P221" s="249"/>
    </row>
    <row r="222" ht="20.25" customHeight="1">
      <c r="A222" s="29"/>
      <c r="B222" s="29"/>
      <c r="C222" s="29"/>
      <c r="D222" s="29"/>
      <c r="E222" s="20"/>
      <c r="F222" s="20"/>
      <c r="G222" s="243" t="s">
        <v>17</v>
      </c>
      <c r="H222" s="244" t="s">
        <v>18</v>
      </c>
      <c r="I222" s="245">
        <v>19.0</v>
      </c>
      <c r="J222" s="247"/>
      <c r="K222" s="248"/>
      <c r="L222" s="248"/>
      <c r="M222" s="247"/>
      <c r="N222" s="249"/>
      <c r="O222" s="249"/>
      <c r="P222" s="249"/>
    </row>
    <row r="223" ht="20.25" customHeight="1">
      <c r="A223" s="250">
        <v>46209.0</v>
      </c>
      <c r="B223" s="251" t="s">
        <v>21</v>
      </c>
      <c r="C223" s="252">
        <v>328.0</v>
      </c>
      <c r="D223" s="253">
        <v>1.13</v>
      </c>
      <c r="E223" s="254" t="s">
        <v>23</v>
      </c>
      <c r="F223" s="255" t="s">
        <v>119</v>
      </c>
      <c r="G223" s="122" t="s">
        <v>17</v>
      </c>
      <c r="H223" s="122" t="s">
        <v>25</v>
      </c>
      <c r="I223" s="122">
        <v>1.0</v>
      </c>
      <c r="J223" s="124"/>
      <c r="K223" s="124"/>
      <c r="L223" s="124"/>
      <c r="M223" s="124"/>
      <c r="N223" s="127"/>
      <c r="O223" s="127"/>
      <c r="P223" s="127"/>
    </row>
    <row r="224" ht="20.25" customHeight="1">
      <c r="A224" s="20"/>
      <c r="B224" s="20"/>
      <c r="C224" s="20"/>
      <c r="D224" s="20"/>
      <c r="E224" s="20"/>
      <c r="F224" s="20"/>
      <c r="G224" s="112" t="s">
        <v>17</v>
      </c>
      <c r="H224" s="112" t="s">
        <v>18</v>
      </c>
      <c r="I224" s="112">
        <v>20.0</v>
      </c>
      <c r="J224" s="115"/>
      <c r="K224" s="115"/>
      <c r="L224" s="115"/>
      <c r="M224" s="115"/>
      <c r="N224" s="117"/>
      <c r="O224" s="117"/>
      <c r="P224" s="117"/>
    </row>
    <row r="225" ht="20.25" customHeight="1">
      <c r="A225" s="250">
        <v>46210.0</v>
      </c>
      <c r="B225" s="251" t="s">
        <v>21</v>
      </c>
      <c r="C225" s="252">
        <v>320.0</v>
      </c>
      <c r="D225" s="253">
        <v>1.13</v>
      </c>
      <c r="E225" s="254" t="s">
        <v>23</v>
      </c>
      <c r="F225" s="255" t="s">
        <v>119</v>
      </c>
      <c r="G225" s="122" t="s">
        <v>17</v>
      </c>
      <c r="H225" s="122" t="s">
        <v>25</v>
      </c>
      <c r="I225" s="122">
        <v>1.0</v>
      </c>
      <c r="J225" s="124"/>
      <c r="K225" s="124"/>
      <c r="L225" s="124"/>
      <c r="M225" s="124"/>
      <c r="N225" s="127"/>
      <c r="O225" s="127"/>
      <c r="P225" s="127"/>
    </row>
    <row r="226" ht="20.25" customHeight="1">
      <c r="A226" s="20"/>
      <c r="B226" s="20"/>
      <c r="C226" s="20"/>
      <c r="D226" s="20"/>
      <c r="E226" s="20"/>
      <c r="F226" s="20"/>
      <c r="G226" s="112" t="s">
        <v>17</v>
      </c>
      <c r="H226" s="112" t="s">
        <v>18</v>
      </c>
      <c r="I226" s="112">
        <v>20.0</v>
      </c>
      <c r="J226" s="115"/>
      <c r="K226" s="115"/>
      <c r="L226" s="115"/>
      <c r="M226" s="115"/>
      <c r="N226" s="117"/>
      <c r="O226" s="117"/>
      <c r="P226" s="117"/>
    </row>
    <row r="227" ht="20.25" customHeight="1">
      <c r="A227" s="250">
        <v>46211.0</v>
      </c>
      <c r="B227" s="251" t="s">
        <v>21</v>
      </c>
      <c r="C227" s="252">
        <v>320.0</v>
      </c>
      <c r="D227" s="253">
        <v>1.13</v>
      </c>
      <c r="E227" s="254" t="s">
        <v>23</v>
      </c>
      <c r="F227" s="255" t="s">
        <v>119</v>
      </c>
      <c r="G227" s="122" t="s">
        <v>17</v>
      </c>
      <c r="H227" s="122" t="s">
        <v>25</v>
      </c>
      <c r="I227" s="122">
        <v>1.0</v>
      </c>
      <c r="J227" s="124"/>
      <c r="K227" s="124"/>
      <c r="L227" s="124"/>
      <c r="M227" s="124"/>
      <c r="N227" s="127"/>
      <c r="O227" s="127"/>
      <c r="P227" s="127"/>
    </row>
    <row r="228" ht="20.25" customHeight="1">
      <c r="A228" s="20"/>
      <c r="B228" s="20"/>
      <c r="C228" s="20"/>
      <c r="D228" s="20"/>
      <c r="E228" s="20"/>
      <c r="F228" s="20"/>
      <c r="G228" s="112" t="s">
        <v>17</v>
      </c>
      <c r="H228" s="112" t="s">
        <v>18</v>
      </c>
      <c r="I228" s="112">
        <v>20.0</v>
      </c>
      <c r="J228" s="115"/>
      <c r="K228" s="115"/>
      <c r="L228" s="115"/>
      <c r="M228" s="115"/>
      <c r="N228" s="117"/>
      <c r="O228" s="117"/>
      <c r="P228" s="117"/>
    </row>
    <row r="229" ht="20.25" customHeight="1">
      <c r="A229" s="250">
        <v>46212.0</v>
      </c>
      <c r="B229" s="251" t="s">
        <v>21</v>
      </c>
      <c r="C229" s="252">
        <v>320.0</v>
      </c>
      <c r="D229" s="253">
        <v>1.13</v>
      </c>
      <c r="E229" s="254" t="s">
        <v>23</v>
      </c>
      <c r="F229" s="255" t="s">
        <v>119</v>
      </c>
      <c r="G229" s="122" t="s">
        <v>17</v>
      </c>
      <c r="H229" s="122" t="s">
        <v>25</v>
      </c>
      <c r="I229" s="122">
        <v>1.0</v>
      </c>
      <c r="J229" s="124"/>
      <c r="K229" s="124"/>
      <c r="L229" s="124"/>
      <c r="M229" s="124"/>
      <c r="N229" s="127"/>
      <c r="O229" s="127"/>
      <c r="P229" s="127"/>
    </row>
    <row r="230" ht="20.25" customHeight="1">
      <c r="A230" s="20"/>
      <c r="B230" s="20"/>
      <c r="C230" s="20"/>
      <c r="D230" s="20"/>
      <c r="E230" s="20"/>
      <c r="F230" s="20"/>
      <c r="G230" s="112" t="s">
        <v>17</v>
      </c>
      <c r="H230" s="112" t="s">
        <v>18</v>
      </c>
      <c r="I230" s="112">
        <v>19.0</v>
      </c>
      <c r="J230" s="115"/>
      <c r="K230" s="115"/>
      <c r="L230" s="115"/>
      <c r="M230" s="115"/>
      <c r="N230" s="117"/>
      <c r="O230" s="117"/>
      <c r="P230" s="117"/>
    </row>
    <row r="231" ht="20.25" customHeight="1">
      <c r="A231" s="256">
        <v>46213.0</v>
      </c>
      <c r="B231" s="251" t="s">
        <v>21</v>
      </c>
      <c r="C231" s="118">
        <v>324.0</v>
      </c>
      <c r="D231" s="253">
        <v>1.13</v>
      </c>
      <c r="E231" s="254" t="s">
        <v>23</v>
      </c>
      <c r="F231" s="255" t="s">
        <v>119</v>
      </c>
      <c r="G231" s="122" t="s">
        <v>17</v>
      </c>
      <c r="H231" s="122" t="s">
        <v>25</v>
      </c>
      <c r="I231" s="122">
        <v>1.0</v>
      </c>
      <c r="J231" s="124"/>
      <c r="K231" s="124"/>
      <c r="L231" s="124"/>
      <c r="M231" s="124"/>
      <c r="N231" s="127"/>
      <c r="O231" s="127"/>
      <c r="P231" s="127"/>
    </row>
    <row r="232" ht="20.25" customHeight="1">
      <c r="A232" s="20"/>
      <c r="B232" s="20"/>
      <c r="C232" s="20"/>
      <c r="D232" s="20"/>
      <c r="E232" s="20"/>
      <c r="F232" s="20"/>
      <c r="G232" s="112" t="s">
        <v>17</v>
      </c>
      <c r="H232" s="112" t="s">
        <v>18</v>
      </c>
      <c r="I232" s="112">
        <v>19.0</v>
      </c>
      <c r="J232" s="115"/>
      <c r="K232" s="115"/>
      <c r="L232" s="115"/>
      <c r="M232" s="115"/>
      <c r="N232" s="117"/>
      <c r="O232" s="117"/>
      <c r="P232" s="117"/>
    </row>
    <row r="233" ht="20.25" customHeight="1">
      <c r="A233" s="258">
        <v>46214.0</v>
      </c>
      <c r="B233" s="251" t="s">
        <v>21</v>
      </c>
      <c r="C233" s="118">
        <v>324.0</v>
      </c>
      <c r="D233" s="253">
        <v>1.13</v>
      </c>
      <c r="E233" s="254" t="s">
        <v>23</v>
      </c>
      <c r="F233" s="255" t="s">
        <v>119</v>
      </c>
      <c r="G233" s="122" t="s">
        <v>17</v>
      </c>
      <c r="H233" s="122" t="s">
        <v>25</v>
      </c>
      <c r="I233" s="122">
        <v>1.0</v>
      </c>
      <c r="J233" s="124"/>
      <c r="K233" s="124"/>
      <c r="L233" s="124"/>
      <c r="M233" s="124"/>
      <c r="N233" s="127"/>
      <c r="O233" s="127"/>
      <c r="P233" s="127"/>
    </row>
    <row r="234" ht="20.25" customHeight="1">
      <c r="A234" s="29"/>
      <c r="B234" s="20"/>
      <c r="C234" s="20"/>
      <c r="D234" s="20"/>
      <c r="E234" s="20"/>
      <c r="F234" s="20"/>
      <c r="G234" s="112" t="s">
        <v>17</v>
      </c>
      <c r="H234" s="112" t="s">
        <v>18</v>
      </c>
      <c r="I234" s="113">
        <v>17.0</v>
      </c>
      <c r="J234" s="115"/>
      <c r="K234" s="115"/>
      <c r="L234" s="115"/>
      <c r="M234" s="115"/>
      <c r="N234" s="117"/>
      <c r="O234" s="117"/>
      <c r="P234" s="117"/>
    </row>
    <row r="235" ht="20.25" customHeight="1">
      <c r="A235" s="57"/>
      <c r="B235" s="251" t="s">
        <v>21</v>
      </c>
      <c r="C235" s="118">
        <v>302.0</v>
      </c>
      <c r="D235" s="34">
        <f t="array" ref="D235">IFERROR(_xlfn.XLOOKUP(C235,Code!A:A,Code!B:B),"")</f>
        <v>0.79</v>
      </c>
      <c r="E235" s="25" t="s">
        <v>23</v>
      </c>
      <c r="F235" s="26" t="s">
        <v>105</v>
      </c>
      <c r="G235" s="122" t="s">
        <v>17</v>
      </c>
      <c r="H235" s="14" t="s">
        <v>25</v>
      </c>
      <c r="I235" s="181">
        <v>1.0</v>
      </c>
      <c r="J235" s="124"/>
      <c r="K235" s="126"/>
      <c r="L235" s="126"/>
      <c r="M235" s="124"/>
      <c r="N235" s="127"/>
      <c r="O235" s="127"/>
      <c r="P235" s="127"/>
    </row>
    <row r="236" ht="20.25" customHeight="1">
      <c r="A236" s="20"/>
      <c r="B236" s="20"/>
      <c r="C236" s="29"/>
      <c r="D236" s="29"/>
      <c r="E236" s="20"/>
      <c r="F236" s="20"/>
      <c r="G236" s="112" t="s">
        <v>17</v>
      </c>
      <c r="H236" s="22" t="s">
        <v>18</v>
      </c>
      <c r="I236" s="113">
        <v>22.0</v>
      </c>
      <c r="J236" s="115"/>
      <c r="K236" s="116"/>
      <c r="L236" s="116"/>
      <c r="M236" s="115"/>
      <c r="N236" s="117"/>
      <c r="O236" s="117"/>
      <c r="P236" s="117"/>
    </row>
    <row r="237" ht="20.25" customHeight="1">
      <c r="A237" s="258">
        <v>46216.0</v>
      </c>
      <c r="B237" s="251" t="s">
        <v>21</v>
      </c>
      <c r="C237" s="118">
        <v>321.0</v>
      </c>
      <c r="D237" s="253">
        <v>1.13</v>
      </c>
      <c r="E237" s="254" t="s">
        <v>23</v>
      </c>
      <c r="F237" s="255" t="s">
        <v>119</v>
      </c>
      <c r="G237" s="122" t="s">
        <v>17</v>
      </c>
      <c r="H237" s="122" t="s">
        <v>25</v>
      </c>
      <c r="I237" s="122">
        <v>1.0</v>
      </c>
      <c r="J237" s="124"/>
      <c r="K237" s="124"/>
      <c r="L237" s="124"/>
      <c r="M237" s="124"/>
      <c r="N237" s="127"/>
      <c r="O237" s="127"/>
      <c r="P237" s="127"/>
    </row>
    <row r="238" ht="20.25" customHeight="1">
      <c r="A238" s="29"/>
      <c r="B238" s="20"/>
      <c r="C238" s="20"/>
      <c r="D238" s="20"/>
      <c r="E238" s="20"/>
      <c r="F238" s="20"/>
      <c r="G238" s="112" t="s">
        <v>17</v>
      </c>
      <c r="H238" s="112" t="s">
        <v>18</v>
      </c>
      <c r="I238" s="113">
        <v>18.0</v>
      </c>
      <c r="J238" s="115"/>
      <c r="K238" s="115"/>
      <c r="L238" s="115"/>
      <c r="M238" s="115"/>
      <c r="N238" s="117"/>
      <c r="O238" s="117"/>
      <c r="P238" s="117"/>
    </row>
    <row r="239" ht="20.25" customHeight="1">
      <c r="A239" s="57"/>
      <c r="B239" s="251" t="s">
        <v>21</v>
      </c>
      <c r="C239" s="118">
        <v>302.0</v>
      </c>
      <c r="D239" s="34">
        <f t="array" ref="D239">IFERROR(_xlfn.XLOOKUP(C239,Code!A:A,Code!B:B),"")</f>
        <v>0.79</v>
      </c>
      <c r="E239" s="25" t="s">
        <v>23</v>
      </c>
      <c r="F239" s="26" t="s">
        <v>105</v>
      </c>
      <c r="G239" s="122" t="s">
        <v>17</v>
      </c>
      <c r="H239" s="14" t="s">
        <v>25</v>
      </c>
      <c r="I239" s="181">
        <v>1.0</v>
      </c>
      <c r="J239" s="124"/>
      <c r="K239" s="126"/>
      <c r="L239" s="126"/>
      <c r="M239" s="124"/>
      <c r="N239" s="127"/>
      <c r="O239" s="127"/>
      <c r="P239" s="127"/>
    </row>
    <row r="240" ht="20.25" customHeight="1">
      <c r="A240" s="20"/>
      <c r="B240" s="20"/>
      <c r="C240" s="29"/>
      <c r="D240" s="29"/>
      <c r="E240" s="20"/>
      <c r="F240" s="20"/>
      <c r="G240" s="112" t="s">
        <v>17</v>
      </c>
      <c r="H240" s="22" t="s">
        <v>18</v>
      </c>
      <c r="I240" s="113">
        <v>21.0</v>
      </c>
      <c r="J240" s="115"/>
      <c r="K240" s="116"/>
      <c r="L240" s="116"/>
      <c r="M240" s="115"/>
      <c r="N240" s="117"/>
      <c r="O240" s="117"/>
      <c r="P240" s="117"/>
    </row>
    <row r="241" ht="20.25" customHeight="1">
      <c r="A241" s="258">
        <v>46217.0</v>
      </c>
      <c r="B241" s="251" t="s">
        <v>21</v>
      </c>
      <c r="C241" s="118">
        <v>323.0</v>
      </c>
      <c r="D241" s="253">
        <v>1.13</v>
      </c>
      <c r="E241" s="254" t="s">
        <v>23</v>
      </c>
      <c r="F241" s="255" t="s">
        <v>119</v>
      </c>
      <c r="G241" s="122" t="s">
        <v>17</v>
      </c>
      <c r="H241" s="122" t="s">
        <v>25</v>
      </c>
      <c r="I241" s="122">
        <v>1.0</v>
      </c>
      <c r="J241" s="124"/>
      <c r="K241" s="124"/>
      <c r="L241" s="124"/>
      <c r="M241" s="124"/>
      <c r="N241" s="127"/>
      <c r="O241" s="127"/>
      <c r="P241" s="127"/>
    </row>
    <row r="242" ht="20.25" customHeight="1">
      <c r="A242" s="29"/>
      <c r="B242" s="20"/>
      <c r="C242" s="20"/>
      <c r="D242" s="20"/>
      <c r="E242" s="20"/>
      <c r="F242" s="20"/>
      <c r="G242" s="112" t="s">
        <v>17</v>
      </c>
      <c r="H242" s="112" t="s">
        <v>18</v>
      </c>
      <c r="I242" s="113">
        <v>19.0</v>
      </c>
      <c r="J242" s="115"/>
      <c r="K242" s="115"/>
      <c r="L242" s="115"/>
      <c r="M242" s="115"/>
      <c r="N242" s="117"/>
      <c r="O242" s="117"/>
      <c r="P242" s="117"/>
    </row>
    <row r="243" ht="20.25" customHeight="1">
      <c r="A243" s="57"/>
      <c r="B243" s="251" t="s">
        <v>21</v>
      </c>
      <c r="C243" s="118">
        <v>308.0</v>
      </c>
      <c r="D243" s="34">
        <f t="array" ref="D243">IFERROR(_xlfn.XLOOKUP(C243,Code!A:A,Code!B:B),"")</f>
        <v>1.29</v>
      </c>
      <c r="E243" s="25" t="s">
        <v>23</v>
      </c>
      <c r="F243" s="26" t="s">
        <v>105</v>
      </c>
      <c r="G243" s="122" t="s">
        <v>17</v>
      </c>
      <c r="H243" s="14" t="s">
        <v>25</v>
      </c>
      <c r="I243" s="181">
        <v>1.0</v>
      </c>
      <c r="J243" s="124"/>
      <c r="K243" s="126"/>
      <c r="L243" s="126"/>
      <c r="M243" s="124"/>
      <c r="N243" s="127"/>
      <c r="O243" s="127"/>
      <c r="P243" s="127"/>
    </row>
    <row r="244" ht="20.25" customHeight="1">
      <c r="A244" s="20"/>
      <c r="B244" s="20"/>
      <c r="C244" s="29"/>
      <c r="D244" s="29"/>
      <c r="E244" s="20"/>
      <c r="F244" s="20"/>
      <c r="G244" s="112" t="s">
        <v>17</v>
      </c>
      <c r="H244" s="22" t="s">
        <v>18</v>
      </c>
      <c r="I244" s="113">
        <v>22.0</v>
      </c>
      <c r="J244" s="115"/>
      <c r="K244" s="116"/>
      <c r="L244" s="116"/>
      <c r="M244" s="115"/>
      <c r="N244" s="117"/>
      <c r="O244" s="117"/>
      <c r="P244" s="117"/>
    </row>
    <row r="245" ht="20.25" customHeight="1">
      <c r="A245" s="258">
        <v>46218.0</v>
      </c>
      <c r="B245" s="251" t="s">
        <v>21</v>
      </c>
      <c r="C245" s="118">
        <v>321.0</v>
      </c>
      <c r="D245" s="253">
        <v>1.13</v>
      </c>
      <c r="E245" s="254" t="s">
        <v>23</v>
      </c>
      <c r="F245" s="255" t="s">
        <v>119</v>
      </c>
      <c r="G245" s="122" t="s">
        <v>17</v>
      </c>
      <c r="H245" s="122" t="s">
        <v>25</v>
      </c>
      <c r="I245" s="122">
        <v>1.0</v>
      </c>
      <c r="J245" s="124"/>
      <c r="K245" s="124"/>
      <c r="L245" s="124"/>
      <c r="M245" s="124"/>
      <c r="N245" s="127"/>
      <c r="O245" s="127"/>
      <c r="P245" s="127"/>
    </row>
    <row r="246" ht="20.25" customHeight="1">
      <c r="A246" s="29"/>
      <c r="B246" s="20"/>
      <c r="C246" s="20"/>
      <c r="D246" s="20"/>
      <c r="E246" s="20"/>
      <c r="F246" s="20"/>
      <c r="G246" s="112" t="s">
        <v>17</v>
      </c>
      <c r="H246" s="112" t="s">
        <v>18</v>
      </c>
      <c r="I246" s="113">
        <v>18.0</v>
      </c>
      <c r="J246" s="115"/>
      <c r="K246" s="115"/>
      <c r="L246" s="115"/>
      <c r="M246" s="115"/>
      <c r="N246" s="117"/>
      <c r="O246" s="117"/>
      <c r="P246" s="117"/>
    </row>
    <row r="247" ht="20.25" customHeight="1">
      <c r="A247" s="57"/>
      <c r="B247" s="251" t="s">
        <v>21</v>
      </c>
      <c r="C247" s="118">
        <v>313.0</v>
      </c>
      <c r="D247" s="34">
        <f t="array" ref="D247">IFERROR(_xlfn.XLOOKUP(C247,Code!A:A,Code!B:B),"")</f>
        <v>1.1</v>
      </c>
      <c r="E247" s="25" t="s">
        <v>23</v>
      </c>
      <c r="F247" s="26" t="s">
        <v>105</v>
      </c>
      <c r="G247" s="122" t="s">
        <v>17</v>
      </c>
      <c r="H247" s="14" t="s">
        <v>25</v>
      </c>
      <c r="I247" s="181">
        <v>1.0</v>
      </c>
      <c r="J247" s="124"/>
      <c r="K247" s="126"/>
      <c r="L247" s="126"/>
      <c r="M247" s="124"/>
      <c r="N247" s="127"/>
      <c r="O247" s="127"/>
      <c r="P247" s="127"/>
    </row>
    <row r="248" ht="20.25" customHeight="1">
      <c r="A248" s="20"/>
      <c r="B248" s="20"/>
      <c r="C248" s="29"/>
      <c r="D248" s="29"/>
      <c r="E248" s="20"/>
      <c r="F248" s="20"/>
      <c r="G248" s="112" t="s">
        <v>17</v>
      </c>
      <c r="H248" s="22" t="s">
        <v>18</v>
      </c>
      <c r="I248" s="113">
        <v>21.0</v>
      </c>
      <c r="J248" s="115"/>
      <c r="K248" s="116"/>
      <c r="L248" s="116"/>
      <c r="M248" s="115"/>
      <c r="N248" s="117"/>
      <c r="O248" s="117"/>
      <c r="P248" s="117"/>
    </row>
    <row r="249" ht="20.25" customHeight="1">
      <c r="A249" s="258">
        <v>46219.0</v>
      </c>
      <c r="B249" s="251" t="s">
        <v>21</v>
      </c>
      <c r="C249" s="118">
        <v>327.0</v>
      </c>
      <c r="D249" s="253">
        <v>1.13</v>
      </c>
      <c r="E249" s="254" t="s">
        <v>23</v>
      </c>
      <c r="F249" s="255" t="s">
        <v>119</v>
      </c>
      <c r="G249" s="122" t="s">
        <v>17</v>
      </c>
      <c r="H249" s="122" t="s">
        <v>25</v>
      </c>
      <c r="I249" s="122">
        <v>1.0</v>
      </c>
      <c r="J249" s="124"/>
      <c r="K249" s="124"/>
      <c r="L249" s="124"/>
      <c r="M249" s="124"/>
      <c r="N249" s="127"/>
      <c r="O249" s="127"/>
      <c r="P249" s="127"/>
    </row>
    <row r="250" ht="20.25" customHeight="1">
      <c r="A250" s="29"/>
      <c r="B250" s="20"/>
      <c r="C250" s="20"/>
      <c r="D250" s="20"/>
      <c r="E250" s="20"/>
      <c r="F250" s="20"/>
      <c r="G250" s="112" t="s">
        <v>17</v>
      </c>
      <c r="H250" s="112" t="s">
        <v>18</v>
      </c>
      <c r="I250" s="113">
        <v>19.0</v>
      </c>
      <c r="J250" s="115"/>
      <c r="K250" s="115"/>
      <c r="L250" s="115"/>
      <c r="M250" s="115"/>
      <c r="N250" s="117"/>
      <c r="O250" s="117"/>
      <c r="P250" s="117"/>
    </row>
    <row r="251" ht="20.25" customHeight="1">
      <c r="A251" s="57"/>
      <c r="B251" s="251" t="s">
        <v>21</v>
      </c>
      <c r="C251" s="118">
        <v>308.0</v>
      </c>
      <c r="D251" s="34">
        <f t="array" ref="D251">IFERROR(_xlfn.XLOOKUP(C251,Code!A:A,Code!B:B),"")</f>
        <v>1.29</v>
      </c>
      <c r="E251" s="25" t="s">
        <v>23</v>
      </c>
      <c r="F251" s="26" t="s">
        <v>105</v>
      </c>
      <c r="G251" s="122" t="s">
        <v>17</v>
      </c>
      <c r="H251" s="14" t="s">
        <v>25</v>
      </c>
      <c r="I251" s="181">
        <v>1.0</v>
      </c>
      <c r="J251" s="124"/>
      <c r="K251" s="126"/>
      <c r="L251" s="126"/>
      <c r="M251" s="124"/>
      <c r="N251" s="127"/>
      <c r="O251" s="127"/>
      <c r="P251" s="127"/>
    </row>
    <row r="252" ht="20.25" customHeight="1">
      <c r="A252" s="20"/>
      <c r="B252" s="20"/>
      <c r="C252" s="29"/>
      <c r="D252" s="29"/>
      <c r="E252" s="20"/>
      <c r="F252" s="20"/>
      <c r="G252" s="112" t="s">
        <v>17</v>
      </c>
      <c r="H252" s="22" t="s">
        <v>18</v>
      </c>
      <c r="I252" s="113">
        <v>23.0</v>
      </c>
      <c r="J252" s="115"/>
      <c r="K252" s="116"/>
      <c r="L252" s="116"/>
      <c r="M252" s="115"/>
      <c r="N252" s="117"/>
      <c r="O252" s="117"/>
      <c r="P252" s="117"/>
    </row>
    <row r="253" ht="20.25" customHeight="1">
      <c r="A253" s="258">
        <v>46220.0</v>
      </c>
      <c r="B253" s="251" t="s">
        <v>21</v>
      </c>
      <c r="C253" s="118">
        <v>321.0</v>
      </c>
      <c r="D253" s="253">
        <v>1.13</v>
      </c>
      <c r="E253" s="254" t="s">
        <v>23</v>
      </c>
      <c r="F253" s="255" t="s">
        <v>119</v>
      </c>
      <c r="G253" s="122" t="s">
        <v>17</v>
      </c>
      <c r="H253" s="122" t="s">
        <v>25</v>
      </c>
      <c r="I253" s="122">
        <v>1.0</v>
      </c>
      <c r="J253" s="124"/>
      <c r="K253" s="124"/>
      <c r="L253" s="124"/>
      <c r="M253" s="124"/>
      <c r="N253" s="127"/>
      <c r="O253" s="127"/>
      <c r="P253" s="127"/>
    </row>
    <row r="254" ht="20.25" customHeight="1">
      <c r="A254" s="29"/>
      <c r="B254" s="20"/>
      <c r="C254" s="20"/>
      <c r="D254" s="20"/>
      <c r="E254" s="20"/>
      <c r="F254" s="20"/>
      <c r="G254" s="112" t="s">
        <v>17</v>
      </c>
      <c r="H254" s="112" t="s">
        <v>18</v>
      </c>
      <c r="I254" s="113">
        <v>20.0</v>
      </c>
      <c r="J254" s="115"/>
      <c r="K254" s="115"/>
      <c r="L254" s="115"/>
      <c r="M254" s="115"/>
      <c r="N254" s="117"/>
      <c r="O254" s="117"/>
      <c r="P254" s="117"/>
    </row>
    <row r="255" ht="20.25" customHeight="1">
      <c r="A255" s="57"/>
      <c r="B255" s="251" t="s">
        <v>21</v>
      </c>
      <c r="C255" s="118">
        <v>308.0</v>
      </c>
      <c r="D255" s="34">
        <f t="array" ref="D255">IFERROR(_xlfn.XLOOKUP(C255,Code!A:A,Code!B:B),"")</f>
        <v>1.29</v>
      </c>
      <c r="E255" s="25" t="s">
        <v>23</v>
      </c>
      <c r="F255" s="26" t="s">
        <v>105</v>
      </c>
      <c r="G255" s="122" t="s">
        <v>17</v>
      </c>
      <c r="H255" s="14" t="s">
        <v>25</v>
      </c>
      <c r="I255" s="181">
        <v>0.0</v>
      </c>
      <c r="J255" s="124"/>
      <c r="K255" s="126"/>
      <c r="L255" s="126"/>
      <c r="M255" s="124"/>
      <c r="N255" s="127"/>
      <c r="O255" s="127"/>
      <c r="P255" s="127"/>
    </row>
    <row r="256" ht="20.25" customHeight="1">
      <c r="A256" s="20"/>
      <c r="B256" s="20"/>
      <c r="C256" s="29"/>
      <c r="D256" s="29"/>
      <c r="E256" s="20"/>
      <c r="F256" s="20"/>
      <c r="G256" s="112" t="s">
        <v>17</v>
      </c>
      <c r="H256" s="22" t="s">
        <v>18</v>
      </c>
      <c r="I256" s="113">
        <v>20.0</v>
      </c>
      <c r="J256" s="115"/>
      <c r="K256" s="116"/>
      <c r="L256" s="116"/>
      <c r="M256" s="115"/>
      <c r="N256" s="117"/>
      <c r="O256" s="117"/>
      <c r="P256" s="117"/>
    </row>
    <row r="257" ht="20.25" customHeight="1">
      <c r="A257" s="258">
        <v>46221.0</v>
      </c>
      <c r="B257" s="251" t="s">
        <v>21</v>
      </c>
      <c r="C257" s="118">
        <v>328.0</v>
      </c>
      <c r="D257" s="253">
        <v>1.13</v>
      </c>
      <c r="E257" s="254" t="s">
        <v>23</v>
      </c>
      <c r="F257" s="255" t="s">
        <v>119</v>
      </c>
      <c r="G257" s="122" t="s">
        <v>17</v>
      </c>
      <c r="H257" s="122" t="s">
        <v>25</v>
      </c>
      <c r="I257" s="122">
        <v>1.0</v>
      </c>
      <c r="J257" s="124"/>
      <c r="K257" s="124"/>
      <c r="L257" s="124"/>
      <c r="M257" s="124"/>
      <c r="N257" s="127"/>
      <c r="O257" s="127"/>
      <c r="P257" s="127"/>
    </row>
    <row r="258" ht="20.25" customHeight="1">
      <c r="A258" s="29"/>
      <c r="B258" s="20"/>
      <c r="C258" s="20"/>
      <c r="D258" s="20"/>
      <c r="E258" s="20"/>
      <c r="F258" s="20"/>
      <c r="G258" s="112" t="s">
        <v>17</v>
      </c>
      <c r="H258" s="112" t="s">
        <v>18</v>
      </c>
      <c r="I258" s="113">
        <v>20.0</v>
      </c>
      <c r="J258" s="115"/>
      <c r="K258" s="115"/>
      <c r="L258" s="115"/>
      <c r="M258" s="115"/>
      <c r="N258" s="117"/>
      <c r="O258" s="117"/>
      <c r="P258" s="117"/>
    </row>
    <row r="259" ht="20.25" customHeight="1">
      <c r="A259" s="57"/>
      <c r="B259" s="251" t="s">
        <v>21</v>
      </c>
      <c r="C259" s="118">
        <v>302.0</v>
      </c>
      <c r="D259" s="34">
        <f t="array" ref="D259">IFERROR(_xlfn.XLOOKUP(C259,Code!A:A,Code!B:B),"")</f>
        <v>0.79</v>
      </c>
      <c r="E259" s="25" t="s">
        <v>23</v>
      </c>
      <c r="F259" s="26" t="s">
        <v>105</v>
      </c>
      <c r="G259" s="122" t="s">
        <v>17</v>
      </c>
      <c r="H259" s="14" t="s">
        <v>25</v>
      </c>
      <c r="I259" s="181">
        <v>1.0</v>
      </c>
      <c r="J259" s="124"/>
      <c r="K259" s="126"/>
      <c r="L259" s="126"/>
      <c r="M259" s="124"/>
      <c r="N259" s="127"/>
      <c r="O259" s="127"/>
      <c r="P259" s="127"/>
    </row>
    <row r="260" ht="20.25" customHeight="1">
      <c r="A260" s="20"/>
      <c r="B260" s="20"/>
      <c r="C260" s="29"/>
      <c r="D260" s="29"/>
      <c r="E260" s="20"/>
      <c r="F260" s="20"/>
      <c r="G260" s="112" t="s">
        <v>17</v>
      </c>
      <c r="H260" s="22" t="s">
        <v>18</v>
      </c>
      <c r="I260" s="113">
        <v>21.0</v>
      </c>
      <c r="J260" s="115"/>
      <c r="K260" s="116"/>
      <c r="L260" s="116"/>
      <c r="M260" s="115"/>
      <c r="N260" s="117"/>
      <c r="O260" s="117"/>
      <c r="P260" s="117"/>
    </row>
    <row r="261" ht="20.25" customHeight="1">
      <c r="A261" s="267">
        <v>46222.0</v>
      </c>
      <c r="B261" s="268" t="s">
        <v>30</v>
      </c>
      <c r="C261" s="118">
        <v>307.0</v>
      </c>
      <c r="D261" s="34">
        <f t="array" ref="D261">IFERROR(_xlfn.XLOOKUP(C261,Code!A:A,Code!B:B),"")</f>
        <v>1</v>
      </c>
      <c r="E261" s="25" t="s">
        <v>23</v>
      </c>
      <c r="F261" s="26" t="s">
        <v>105</v>
      </c>
      <c r="G261" s="122" t="s">
        <v>17</v>
      </c>
      <c r="H261" s="14" t="s">
        <v>25</v>
      </c>
      <c r="I261" s="181">
        <v>1.0</v>
      </c>
      <c r="J261" s="124"/>
      <c r="K261" s="126"/>
      <c r="L261" s="126"/>
      <c r="M261" s="124"/>
      <c r="N261" s="127"/>
      <c r="O261" s="127"/>
      <c r="P261" s="127"/>
    </row>
    <row r="262" ht="20.25" customHeight="1">
      <c r="B262" s="20"/>
      <c r="C262" s="29"/>
      <c r="D262" s="29"/>
      <c r="E262" s="20"/>
      <c r="F262" s="20"/>
      <c r="G262" s="112" t="s">
        <v>17</v>
      </c>
      <c r="H262" s="22" t="s">
        <v>18</v>
      </c>
      <c r="I262" s="113">
        <v>21.0</v>
      </c>
      <c r="J262" s="115"/>
      <c r="K262" s="116"/>
      <c r="L262" s="116"/>
      <c r="M262" s="115"/>
      <c r="N262" s="117"/>
      <c r="O262" s="117"/>
      <c r="P262" s="117"/>
    </row>
    <row r="263" ht="20.25" customHeight="1">
      <c r="A263" s="258">
        <v>46223.0</v>
      </c>
      <c r="B263" s="251" t="s">
        <v>21</v>
      </c>
      <c r="C263" s="118">
        <v>321.0</v>
      </c>
      <c r="D263" s="253">
        <v>1.13</v>
      </c>
      <c r="E263" s="254" t="s">
        <v>23</v>
      </c>
      <c r="F263" s="255" t="s">
        <v>119</v>
      </c>
      <c r="G263" s="122" t="s">
        <v>17</v>
      </c>
      <c r="H263" s="122" t="s">
        <v>25</v>
      </c>
      <c r="I263" s="122">
        <v>1.0</v>
      </c>
      <c r="J263" s="124"/>
      <c r="K263" s="124"/>
      <c r="L263" s="124"/>
      <c r="M263" s="124"/>
      <c r="N263" s="127"/>
      <c r="O263" s="127"/>
      <c r="P263" s="127"/>
    </row>
    <row r="264" ht="20.25" customHeight="1">
      <c r="A264" s="29"/>
      <c r="B264" s="20"/>
      <c r="C264" s="20"/>
      <c r="D264" s="20"/>
      <c r="E264" s="20"/>
      <c r="F264" s="20"/>
      <c r="G264" s="112" t="s">
        <v>17</v>
      </c>
      <c r="H264" s="112" t="s">
        <v>18</v>
      </c>
      <c r="I264" s="113">
        <v>20.0</v>
      </c>
      <c r="J264" s="115"/>
      <c r="K264" s="115"/>
      <c r="L264" s="115"/>
      <c r="M264" s="115"/>
      <c r="N264" s="117"/>
      <c r="O264" s="117"/>
      <c r="P264" s="117"/>
    </row>
    <row r="265" ht="20.25" customHeight="1">
      <c r="A265" s="57"/>
      <c r="B265" s="251" t="s">
        <v>21</v>
      </c>
      <c r="C265" s="118">
        <v>306.0</v>
      </c>
      <c r="D265" s="34">
        <f t="array" ref="D265">IFERROR(_xlfn.XLOOKUP(C265,Code!A:A,Code!B:B),"")</f>
        <v>0.95</v>
      </c>
      <c r="E265" s="25" t="s">
        <v>23</v>
      </c>
      <c r="F265" s="26" t="s">
        <v>105</v>
      </c>
      <c r="G265" s="122" t="s">
        <v>17</v>
      </c>
      <c r="H265" s="14" t="s">
        <v>25</v>
      </c>
      <c r="I265" s="181">
        <v>1.0</v>
      </c>
      <c r="J265" s="124"/>
      <c r="K265" s="126"/>
      <c r="L265" s="126"/>
      <c r="M265" s="124"/>
      <c r="N265" s="127"/>
      <c r="O265" s="127"/>
      <c r="P265" s="127"/>
    </row>
    <row r="266" ht="20.25" customHeight="1">
      <c r="A266" s="20"/>
      <c r="B266" s="20"/>
      <c r="C266" s="29"/>
      <c r="D266" s="29"/>
      <c r="E266" s="20"/>
      <c r="F266" s="20"/>
      <c r="G266" s="112" t="s">
        <v>17</v>
      </c>
      <c r="H266" s="22" t="s">
        <v>18</v>
      </c>
      <c r="I266" s="113">
        <v>22.0</v>
      </c>
      <c r="J266" s="115"/>
      <c r="K266" s="116"/>
      <c r="L266" s="116"/>
      <c r="M266" s="115"/>
      <c r="N266" s="117"/>
      <c r="O266" s="117"/>
      <c r="P266" s="117"/>
    </row>
    <row r="267" ht="20.25" customHeight="1">
      <c r="A267" s="258">
        <v>46224.0</v>
      </c>
      <c r="B267" s="251" t="s">
        <v>21</v>
      </c>
      <c r="C267" s="118">
        <v>322.0</v>
      </c>
      <c r="D267" s="253">
        <v>1.13</v>
      </c>
      <c r="E267" s="254" t="s">
        <v>23</v>
      </c>
      <c r="F267" s="255" t="s">
        <v>119</v>
      </c>
      <c r="G267" s="122" t="s">
        <v>17</v>
      </c>
      <c r="H267" s="122" t="s">
        <v>25</v>
      </c>
      <c r="I267" s="122">
        <v>1.0</v>
      </c>
      <c r="J267" s="124"/>
      <c r="K267" s="124"/>
      <c r="L267" s="124"/>
      <c r="M267" s="124"/>
      <c r="N267" s="127"/>
      <c r="O267" s="127"/>
      <c r="P267" s="127"/>
    </row>
    <row r="268" ht="20.25" customHeight="1">
      <c r="A268" s="29"/>
      <c r="B268" s="20"/>
      <c r="C268" s="20"/>
      <c r="D268" s="20"/>
      <c r="E268" s="20"/>
      <c r="F268" s="20"/>
      <c r="G268" s="112" t="s">
        <v>17</v>
      </c>
      <c r="H268" s="112" t="s">
        <v>18</v>
      </c>
      <c r="I268" s="113">
        <v>20.0</v>
      </c>
      <c r="J268" s="115"/>
      <c r="K268" s="115"/>
      <c r="L268" s="115"/>
      <c r="M268" s="115"/>
      <c r="N268" s="117"/>
      <c r="O268" s="117"/>
      <c r="P268" s="117"/>
    </row>
    <row r="269" ht="20.25" customHeight="1">
      <c r="A269" s="57"/>
      <c r="B269" s="251" t="s">
        <v>21</v>
      </c>
      <c r="C269" s="118">
        <v>308.0</v>
      </c>
      <c r="D269" s="34">
        <f t="array" ref="D269">IFERROR(_xlfn.XLOOKUP(C269,Code!A:A,Code!B:B),"")</f>
        <v>1.29</v>
      </c>
      <c r="E269" s="25" t="s">
        <v>23</v>
      </c>
      <c r="F269" s="26" t="s">
        <v>105</v>
      </c>
      <c r="G269" s="122" t="s">
        <v>17</v>
      </c>
      <c r="H269" s="14" t="s">
        <v>25</v>
      </c>
      <c r="I269" s="181">
        <v>1.0</v>
      </c>
      <c r="J269" s="124"/>
      <c r="K269" s="126"/>
      <c r="L269" s="126"/>
      <c r="M269" s="124"/>
      <c r="N269" s="127"/>
      <c r="O269" s="127"/>
      <c r="P269" s="127"/>
    </row>
    <row r="270" ht="20.25" customHeight="1">
      <c r="A270" s="20"/>
      <c r="B270" s="20"/>
      <c r="C270" s="29"/>
      <c r="D270" s="29"/>
      <c r="E270" s="20"/>
      <c r="F270" s="20"/>
      <c r="G270" s="112" t="s">
        <v>17</v>
      </c>
      <c r="H270" s="22" t="s">
        <v>18</v>
      </c>
      <c r="I270" s="113">
        <v>21.0</v>
      </c>
      <c r="J270" s="115"/>
      <c r="K270" s="116"/>
      <c r="L270" s="116"/>
      <c r="M270" s="115"/>
      <c r="N270" s="117"/>
      <c r="O270" s="117"/>
      <c r="P270" s="117"/>
    </row>
    <row r="271" ht="20.25" customHeight="1">
      <c r="A271" s="258">
        <v>46225.0</v>
      </c>
      <c r="B271" s="251" t="s">
        <v>21</v>
      </c>
      <c r="C271" s="118">
        <v>326.0</v>
      </c>
      <c r="D271" s="253">
        <v>1.13</v>
      </c>
      <c r="E271" s="254" t="s">
        <v>23</v>
      </c>
      <c r="F271" s="255" t="s">
        <v>119</v>
      </c>
      <c r="G271" s="122" t="s">
        <v>17</v>
      </c>
      <c r="H271" s="122" t="s">
        <v>25</v>
      </c>
      <c r="I271" s="122">
        <v>1.0</v>
      </c>
      <c r="J271" s="124"/>
      <c r="K271" s="124"/>
      <c r="L271" s="124"/>
      <c r="M271" s="124"/>
      <c r="N271" s="127"/>
      <c r="O271" s="127"/>
      <c r="P271" s="127"/>
    </row>
    <row r="272" ht="20.25" customHeight="1">
      <c r="A272" s="29"/>
      <c r="B272" s="20"/>
      <c r="C272" s="20"/>
      <c r="D272" s="20"/>
      <c r="E272" s="20"/>
      <c r="F272" s="20"/>
      <c r="G272" s="112" t="s">
        <v>17</v>
      </c>
      <c r="H272" s="112" t="s">
        <v>18</v>
      </c>
      <c r="I272" s="113">
        <v>20.0</v>
      </c>
      <c r="J272" s="115"/>
      <c r="K272" s="115"/>
      <c r="L272" s="115"/>
      <c r="M272" s="115"/>
      <c r="N272" s="117"/>
      <c r="O272" s="117"/>
      <c r="P272" s="117"/>
    </row>
    <row r="273" ht="20.25" customHeight="1">
      <c r="A273" s="57"/>
      <c r="B273" s="251" t="s">
        <v>21</v>
      </c>
      <c r="C273" s="118">
        <v>306.0</v>
      </c>
      <c r="D273" s="34">
        <f t="array" ref="D273">IFERROR(_xlfn.XLOOKUP(C273,Code!A:A,Code!B:B),"")</f>
        <v>0.95</v>
      </c>
      <c r="E273" s="25" t="s">
        <v>23</v>
      </c>
      <c r="F273" s="26" t="s">
        <v>105</v>
      </c>
      <c r="G273" s="122" t="s">
        <v>17</v>
      </c>
      <c r="H273" s="14" t="s">
        <v>25</v>
      </c>
      <c r="I273" s="181">
        <v>0.0</v>
      </c>
      <c r="J273" s="124"/>
      <c r="K273" s="126"/>
      <c r="L273" s="126"/>
      <c r="M273" s="124"/>
      <c r="N273" s="127"/>
      <c r="O273" s="127"/>
      <c r="P273" s="127"/>
    </row>
    <row r="274" ht="20.25" customHeight="1">
      <c r="A274" s="20"/>
      <c r="B274" s="20"/>
      <c r="C274" s="29"/>
      <c r="D274" s="29"/>
      <c r="E274" s="20"/>
      <c r="F274" s="20"/>
      <c r="G274" s="112" t="s">
        <v>17</v>
      </c>
      <c r="H274" s="22" t="s">
        <v>18</v>
      </c>
      <c r="I274" s="113">
        <v>22.0</v>
      </c>
      <c r="J274" s="115"/>
      <c r="K274" s="116"/>
      <c r="L274" s="116"/>
      <c r="M274" s="115"/>
      <c r="N274" s="117"/>
      <c r="O274" s="117"/>
      <c r="P274" s="117"/>
    </row>
    <row r="275" ht="20.25" customHeight="1">
      <c r="A275" s="258">
        <v>46226.0</v>
      </c>
      <c r="B275" s="251" t="s">
        <v>21</v>
      </c>
      <c r="C275" s="118">
        <v>326.0</v>
      </c>
      <c r="D275" s="253">
        <v>1.13</v>
      </c>
      <c r="E275" s="254" t="s">
        <v>23</v>
      </c>
      <c r="F275" s="255" t="s">
        <v>119</v>
      </c>
      <c r="G275" s="122" t="s">
        <v>17</v>
      </c>
      <c r="H275" s="122" t="s">
        <v>25</v>
      </c>
      <c r="I275" s="122">
        <v>1.0</v>
      </c>
      <c r="J275" s="124"/>
      <c r="K275" s="124"/>
      <c r="L275" s="124"/>
      <c r="M275" s="124"/>
      <c r="N275" s="127"/>
      <c r="O275" s="127"/>
      <c r="P275" s="127"/>
    </row>
    <row r="276" ht="20.25" customHeight="1">
      <c r="A276" s="29"/>
      <c r="B276" s="20"/>
      <c r="C276" s="20"/>
      <c r="D276" s="20"/>
      <c r="E276" s="20"/>
      <c r="F276" s="20"/>
      <c r="G276" s="112" t="s">
        <v>17</v>
      </c>
      <c r="H276" s="112" t="s">
        <v>18</v>
      </c>
      <c r="I276" s="113">
        <v>18.0</v>
      </c>
      <c r="J276" s="115"/>
      <c r="K276" s="115"/>
      <c r="L276" s="115"/>
      <c r="M276" s="115"/>
      <c r="N276" s="117"/>
      <c r="O276" s="117"/>
      <c r="P276" s="117"/>
    </row>
    <row r="277" ht="20.25" customHeight="1">
      <c r="A277" s="57"/>
      <c r="B277" s="251" t="s">
        <v>21</v>
      </c>
      <c r="C277" s="118">
        <v>306.0</v>
      </c>
      <c r="D277" s="34">
        <f t="array" ref="D277">IFERROR(_xlfn.XLOOKUP(C277,Code!A:A,Code!B:B),"")</f>
        <v>0.95</v>
      </c>
      <c r="E277" s="25" t="s">
        <v>23</v>
      </c>
      <c r="F277" s="26" t="s">
        <v>105</v>
      </c>
      <c r="G277" s="122" t="s">
        <v>17</v>
      </c>
      <c r="H277" s="14" t="s">
        <v>25</v>
      </c>
      <c r="I277" s="181">
        <v>0.0</v>
      </c>
      <c r="J277" s="124"/>
      <c r="K277" s="126"/>
      <c r="L277" s="126"/>
      <c r="M277" s="124"/>
      <c r="N277" s="127"/>
      <c r="O277" s="127"/>
      <c r="P277" s="127"/>
    </row>
    <row r="278" ht="20.25" customHeight="1">
      <c r="A278" s="20"/>
      <c r="B278" s="20"/>
      <c r="C278" s="29"/>
      <c r="D278" s="29"/>
      <c r="E278" s="20"/>
      <c r="F278" s="20"/>
      <c r="G278" s="112" t="s">
        <v>17</v>
      </c>
      <c r="H278" s="22" t="s">
        <v>18</v>
      </c>
      <c r="I278" s="113">
        <v>25.0</v>
      </c>
      <c r="J278" s="115"/>
      <c r="K278" s="116"/>
      <c r="L278" s="116"/>
      <c r="M278" s="115"/>
      <c r="N278" s="117"/>
      <c r="O278" s="117"/>
      <c r="P278" s="117"/>
    </row>
    <row r="279" ht="20.25" customHeight="1">
      <c r="A279" s="276">
        <v>46227.0</v>
      </c>
      <c r="B279" s="251" t="s">
        <v>21</v>
      </c>
      <c r="C279" s="118">
        <v>308.0</v>
      </c>
      <c r="D279" s="34">
        <f t="array" ref="D279">IFERROR(_xlfn.XLOOKUP(C279,Code!A:A,Code!B:B),"")</f>
        <v>1.29</v>
      </c>
      <c r="E279" s="25" t="s">
        <v>23</v>
      </c>
      <c r="F279" s="26" t="s">
        <v>105</v>
      </c>
      <c r="G279" s="122" t="s">
        <v>17</v>
      </c>
      <c r="H279" s="14" t="s">
        <v>25</v>
      </c>
      <c r="I279" s="181">
        <v>1.0</v>
      </c>
      <c r="J279" s="124"/>
      <c r="K279" s="126"/>
      <c r="L279" s="126"/>
      <c r="M279" s="124"/>
      <c r="N279" s="127"/>
      <c r="O279" s="127"/>
      <c r="P279" s="127"/>
    </row>
    <row r="280" ht="20.25" customHeight="1">
      <c r="A280" s="20"/>
      <c r="B280" s="20"/>
      <c r="C280" s="29"/>
      <c r="D280" s="29"/>
      <c r="E280" s="20"/>
      <c r="F280" s="20"/>
      <c r="G280" s="112" t="s">
        <v>17</v>
      </c>
      <c r="H280" s="22" t="s">
        <v>18</v>
      </c>
      <c r="I280" s="113">
        <v>18.0</v>
      </c>
      <c r="J280" s="115"/>
      <c r="K280" s="116"/>
      <c r="L280" s="116"/>
      <c r="M280" s="115"/>
      <c r="N280" s="117"/>
      <c r="O280" s="117"/>
      <c r="P280" s="117"/>
    </row>
    <row r="281" ht="20.25" customHeight="1">
      <c r="A281" s="278">
        <v>46228.0</v>
      </c>
      <c r="B281" s="268" t="s">
        <v>30</v>
      </c>
      <c r="C281" s="118">
        <v>308.0</v>
      </c>
      <c r="D281" s="34">
        <f t="array" ref="D281">IFERROR(_xlfn.XLOOKUP(C281,Code!A:A,Code!B:B),"")</f>
        <v>1.29</v>
      </c>
      <c r="E281" s="25" t="s">
        <v>23</v>
      </c>
      <c r="F281" s="26" t="s">
        <v>105</v>
      </c>
      <c r="G281" s="122" t="s">
        <v>17</v>
      </c>
      <c r="H281" s="14" t="s">
        <v>25</v>
      </c>
      <c r="I281" s="181">
        <v>1.0</v>
      </c>
      <c r="J281" s="124"/>
      <c r="K281" s="126"/>
      <c r="L281" s="126"/>
      <c r="M281" s="124"/>
      <c r="N281" s="127"/>
      <c r="O281" s="127"/>
      <c r="P281" s="127"/>
    </row>
    <row r="282" ht="20.25" customHeight="1">
      <c r="B282" s="20"/>
      <c r="C282" s="29"/>
      <c r="D282" s="29"/>
      <c r="E282" s="20"/>
      <c r="F282" s="20"/>
      <c r="G282" s="112" t="s">
        <v>17</v>
      </c>
      <c r="H282" s="22" t="s">
        <v>18</v>
      </c>
      <c r="I282" s="113">
        <v>21.0</v>
      </c>
      <c r="J282" s="115"/>
      <c r="K282" s="116"/>
      <c r="L282" s="116"/>
      <c r="M282" s="115"/>
      <c r="N282" s="117"/>
      <c r="O282" s="117"/>
      <c r="P282" s="117"/>
    </row>
    <row r="283" ht="20.25" customHeight="1">
      <c r="A283" s="276">
        <v>46230.0</v>
      </c>
      <c r="B283" s="251" t="s">
        <v>21</v>
      </c>
      <c r="C283" s="118">
        <v>308.0</v>
      </c>
      <c r="D283" s="34">
        <f t="array" ref="D283">IFERROR(_xlfn.XLOOKUP(C283,Code!A:A,Code!B:B),"")</f>
        <v>1.29</v>
      </c>
      <c r="E283" s="25" t="s">
        <v>23</v>
      </c>
      <c r="F283" s="26" t="s">
        <v>105</v>
      </c>
      <c r="G283" s="122" t="s">
        <v>17</v>
      </c>
      <c r="H283" s="14" t="s">
        <v>25</v>
      </c>
      <c r="I283" s="181">
        <v>0.0</v>
      </c>
      <c r="J283" s="124"/>
      <c r="K283" s="126"/>
      <c r="L283" s="126"/>
      <c r="M283" s="124"/>
      <c r="N283" s="127"/>
      <c r="O283" s="127"/>
      <c r="P283" s="127"/>
    </row>
    <row r="284" ht="20.25" customHeight="1">
      <c r="A284" s="20"/>
      <c r="B284" s="20"/>
      <c r="C284" s="29"/>
      <c r="D284" s="29"/>
      <c r="E284" s="20"/>
      <c r="F284" s="20"/>
      <c r="G284" s="112" t="s">
        <v>17</v>
      </c>
      <c r="H284" s="22" t="s">
        <v>18</v>
      </c>
      <c r="I284" s="113">
        <v>20.0</v>
      </c>
      <c r="J284" s="115"/>
      <c r="K284" s="116"/>
      <c r="L284" s="116"/>
      <c r="M284" s="115"/>
      <c r="N284" s="117"/>
      <c r="O284" s="117"/>
      <c r="P284" s="117"/>
    </row>
    <row r="285" ht="20.25" customHeight="1">
      <c r="A285" s="276">
        <v>46231.0</v>
      </c>
      <c r="B285" s="251" t="s">
        <v>21</v>
      </c>
      <c r="C285" s="118">
        <v>308.0</v>
      </c>
      <c r="D285" s="34">
        <f t="array" ref="D285">IFERROR(_xlfn.XLOOKUP(C285,Code!A:A,Code!B:B),"")</f>
        <v>1.29</v>
      </c>
      <c r="E285" s="25" t="s">
        <v>23</v>
      </c>
      <c r="F285" s="26" t="s">
        <v>105</v>
      </c>
      <c r="G285" s="122" t="s">
        <v>17</v>
      </c>
      <c r="H285" s="14" t="s">
        <v>25</v>
      </c>
      <c r="I285" s="181">
        <v>1.0</v>
      </c>
      <c r="J285" s="124"/>
      <c r="K285" s="126"/>
      <c r="L285" s="126"/>
      <c r="M285" s="124"/>
      <c r="N285" s="127"/>
      <c r="O285" s="127"/>
      <c r="P285" s="127"/>
    </row>
    <row r="286" ht="20.25" customHeight="1">
      <c r="A286" s="20"/>
      <c r="B286" s="20"/>
      <c r="C286" s="29"/>
      <c r="D286" s="29"/>
      <c r="E286" s="20"/>
      <c r="F286" s="20"/>
      <c r="G286" s="112" t="s">
        <v>17</v>
      </c>
      <c r="H286" s="22" t="s">
        <v>18</v>
      </c>
      <c r="I286" s="113">
        <v>23.0</v>
      </c>
      <c r="J286" s="115"/>
      <c r="K286" s="116"/>
      <c r="L286" s="116"/>
      <c r="M286" s="115"/>
      <c r="N286" s="117"/>
      <c r="O286" s="117"/>
      <c r="P286" s="117"/>
    </row>
    <row r="287" ht="20.25" customHeight="1">
      <c r="A287" s="279">
        <v>46208.0</v>
      </c>
      <c r="B287" s="21" t="s">
        <v>21</v>
      </c>
      <c r="C287" s="118">
        <v>322.0</v>
      </c>
      <c r="D287" s="120"/>
      <c r="E287" s="280" t="s">
        <v>23</v>
      </c>
      <c r="F287" s="281" t="s">
        <v>119</v>
      </c>
      <c r="G287" s="122" t="s">
        <v>17</v>
      </c>
      <c r="H287" s="14" t="s">
        <v>18</v>
      </c>
      <c r="I287" s="181">
        <v>1.0</v>
      </c>
      <c r="J287" s="124"/>
      <c r="K287" s="126"/>
      <c r="L287" s="126"/>
      <c r="M287" s="124"/>
      <c r="N287" s="127"/>
      <c r="O287" s="127"/>
      <c r="P287" s="127"/>
    </row>
    <row r="288" ht="20.25" customHeight="1">
      <c r="A288" s="282">
        <v>46248.0</v>
      </c>
      <c r="B288" s="283" t="s">
        <v>21</v>
      </c>
      <c r="C288" s="128">
        <v>315.0</v>
      </c>
      <c r="D288" s="178">
        <f t="array" ref="D288">IFERROR(_xlfn.XLOOKUP(C288,Code!A:A,Code!B:B),"")</f>
        <v>1.21</v>
      </c>
      <c r="E288" s="64" t="s">
        <v>23</v>
      </c>
      <c r="F288" s="26" t="s">
        <v>135</v>
      </c>
      <c r="G288" s="112" t="s">
        <v>17</v>
      </c>
      <c r="H288" s="22" t="s">
        <v>25</v>
      </c>
      <c r="I288" s="113">
        <v>1.0</v>
      </c>
      <c r="J288" s="115"/>
      <c r="K288" s="116"/>
      <c r="L288" s="116"/>
      <c r="M288" s="115"/>
      <c r="N288" s="117"/>
      <c r="O288" s="117"/>
      <c r="P288" s="117"/>
    </row>
    <row r="289" ht="20.25" customHeight="1">
      <c r="A289" s="57"/>
      <c r="B289" s="58"/>
      <c r="C289" s="57"/>
      <c r="D289" s="57"/>
      <c r="E289" s="58"/>
      <c r="F289" s="58"/>
      <c r="G289" s="122" t="s">
        <v>17</v>
      </c>
      <c r="H289" s="14" t="s">
        <v>18</v>
      </c>
      <c r="I289" s="181">
        <v>12.0</v>
      </c>
      <c r="J289" s="124"/>
      <c r="K289" s="126"/>
      <c r="L289" s="126"/>
      <c r="M289" s="124"/>
      <c r="N289" s="127"/>
      <c r="O289" s="127"/>
      <c r="P289" s="127"/>
    </row>
    <row r="290" ht="20.25" customHeight="1">
      <c r="A290" s="282">
        <v>46249.0</v>
      </c>
      <c r="B290" s="283" t="s">
        <v>21</v>
      </c>
      <c r="C290" s="128">
        <v>315.0</v>
      </c>
      <c r="D290" s="178">
        <f t="array" ref="D290">IFERROR(_xlfn.XLOOKUP(C290,Code!A:A,Code!B:B),"")</f>
        <v>1.21</v>
      </c>
      <c r="E290" s="64" t="s">
        <v>23</v>
      </c>
      <c r="F290" s="26" t="s">
        <v>135</v>
      </c>
      <c r="G290" s="112" t="s">
        <v>17</v>
      </c>
      <c r="H290" s="22" t="s">
        <v>25</v>
      </c>
      <c r="I290" s="113">
        <v>1.0</v>
      </c>
      <c r="J290" s="115"/>
      <c r="K290" s="116"/>
      <c r="L290" s="116"/>
      <c r="M290" s="115"/>
      <c r="N290" s="117"/>
      <c r="O290" s="117"/>
      <c r="P290" s="117"/>
    </row>
    <row r="291" ht="20.25" customHeight="1">
      <c r="A291" s="57"/>
      <c r="B291" s="58"/>
      <c r="C291" s="57"/>
      <c r="D291" s="57"/>
      <c r="E291" s="58"/>
      <c r="F291" s="58"/>
      <c r="G291" s="122" t="s">
        <v>17</v>
      </c>
      <c r="H291" s="14" t="s">
        <v>18</v>
      </c>
      <c r="I291" s="181">
        <v>15.0</v>
      </c>
      <c r="J291" s="124"/>
      <c r="K291" s="126"/>
      <c r="L291" s="126"/>
      <c r="M291" s="124"/>
      <c r="N291" s="127"/>
      <c r="O291" s="127"/>
      <c r="P291" s="127"/>
    </row>
    <row r="292" ht="20.25" customHeight="1">
      <c r="A292" s="282">
        <v>46251.0</v>
      </c>
      <c r="B292" s="283" t="s">
        <v>21</v>
      </c>
      <c r="C292" s="128">
        <v>317.0</v>
      </c>
      <c r="D292" s="178">
        <f t="array" ref="D292">IFERROR(_xlfn.XLOOKUP(C292,Code!A:A,Code!B:B),"")</f>
        <v>1.14</v>
      </c>
      <c r="E292" s="64" t="s">
        <v>23</v>
      </c>
      <c r="F292" s="26" t="s">
        <v>135</v>
      </c>
      <c r="G292" s="112" t="s">
        <v>17</v>
      </c>
      <c r="H292" s="22" t="s">
        <v>25</v>
      </c>
      <c r="I292" s="113">
        <v>1.0</v>
      </c>
      <c r="J292" s="115"/>
      <c r="K292" s="116"/>
      <c r="L292" s="116"/>
      <c r="M292" s="115"/>
      <c r="N292" s="117"/>
      <c r="O292" s="117"/>
      <c r="P292" s="117"/>
    </row>
    <row r="293" ht="20.25" customHeight="1">
      <c r="A293" s="57"/>
      <c r="B293" s="58"/>
      <c r="C293" s="57"/>
      <c r="D293" s="57"/>
      <c r="E293" s="58"/>
      <c r="F293" s="58"/>
      <c r="G293" s="122" t="s">
        <v>17</v>
      </c>
      <c r="H293" s="14" t="s">
        <v>18</v>
      </c>
      <c r="I293" s="181">
        <v>14.0</v>
      </c>
      <c r="J293" s="124"/>
      <c r="K293" s="126"/>
      <c r="L293" s="126"/>
      <c r="M293" s="124"/>
      <c r="N293" s="127"/>
      <c r="O293" s="127"/>
      <c r="P293" s="127"/>
    </row>
    <row r="294" ht="20.25" customHeight="1">
      <c r="A294" s="282">
        <v>46252.0</v>
      </c>
      <c r="B294" s="283" t="s">
        <v>21</v>
      </c>
      <c r="C294" s="128">
        <v>316.0</v>
      </c>
      <c r="D294" s="178">
        <f t="array" ref="D294">IFERROR(_xlfn.XLOOKUP(C294,Code!A:A,Code!B:B),"")</f>
        <v>1.11</v>
      </c>
      <c r="E294" s="64" t="s">
        <v>23</v>
      </c>
      <c r="F294" s="26" t="s">
        <v>135</v>
      </c>
      <c r="G294" s="112" t="s">
        <v>17</v>
      </c>
      <c r="H294" s="22" t="s">
        <v>25</v>
      </c>
      <c r="I294" s="113">
        <v>1.0</v>
      </c>
      <c r="J294" s="115"/>
      <c r="K294" s="116"/>
      <c r="L294" s="116"/>
      <c r="M294" s="115"/>
      <c r="N294" s="117"/>
      <c r="O294" s="117"/>
      <c r="P294" s="117"/>
    </row>
    <row r="295" ht="20.25" customHeight="1">
      <c r="A295" s="57"/>
      <c r="B295" s="58"/>
      <c r="C295" s="57"/>
      <c r="D295" s="57"/>
      <c r="E295" s="58"/>
      <c r="F295" s="58"/>
      <c r="G295" s="122" t="s">
        <v>17</v>
      </c>
      <c r="H295" s="14" t="s">
        <v>18</v>
      </c>
      <c r="I295" s="181">
        <v>12.0</v>
      </c>
      <c r="J295" s="124"/>
      <c r="K295" s="126"/>
      <c r="L295" s="126"/>
      <c r="M295" s="124"/>
      <c r="N295" s="127"/>
      <c r="O295" s="127"/>
      <c r="P295" s="127"/>
    </row>
    <row r="296" ht="20.25" customHeight="1">
      <c r="A296" s="282">
        <v>46253.0</v>
      </c>
      <c r="B296" s="283" t="s">
        <v>21</v>
      </c>
      <c r="C296" s="128">
        <v>319.0</v>
      </c>
      <c r="D296" s="178">
        <f t="array" ref="D296">IFERROR(_xlfn.XLOOKUP(C296,Code!A:A,Code!B:B),"")</f>
        <v>0.8</v>
      </c>
      <c r="E296" s="64" t="s">
        <v>23</v>
      </c>
      <c r="F296" s="26" t="s">
        <v>135</v>
      </c>
      <c r="G296" s="112" t="s">
        <v>17</v>
      </c>
      <c r="H296" s="22" t="s">
        <v>25</v>
      </c>
      <c r="I296" s="113">
        <v>1.0</v>
      </c>
      <c r="J296" s="115"/>
      <c r="K296" s="116"/>
      <c r="L296" s="116"/>
      <c r="M296" s="115"/>
      <c r="N296" s="117"/>
      <c r="O296" s="117"/>
      <c r="P296" s="117"/>
    </row>
    <row r="297" ht="20.25" customHeight="1">
      <c r="A297" s="57"/>
      <c r="B297" s="58"/>
      <c r="C297" s="287">
        <v>320.0</v>
      </c>
      <c r="D297" s="57"/>
      <c r="E297" s="58"/>
      <c r="F297" s="58"/>
      <c r="G297" s="122" t="s">
        <v>17</v>
      </c>
      <c r="H297" s="14" t="s">
        <v>18</v>
      </c>
      <c r="I297" s="181">
        <v>14.0</v>
      </c>
      <c r="J297" s="124"/>
      <c r="K297" s="126"/>
      <c r="L297" s="126"/>
      <c r="M297" s="124"/>
      <c r="N297" s="127"/>
      <c r="O297" s="127"/>
      <c r="P297" s="127"/>
    </row>
    <row r="298" ht="20.25" customHeight="1">
      <c r="A298" s="282">
        <v>46254.0</v>
      </c>
      <c r="B298" s="283" t="s">
        <v>21</v>
      </c>
      <c r="C298" s="128">
        <v>315.0</v>
      </c>
      <c r="D298" s="178">
        <f t="array" ref="D298">IFERROR(_xlfn.XLOOKUP(C298,Code!A:A,Code!B:B),"")</f>
        <v>1.21</v>
      </c>
      <c r="E298" s="64" t="s">
        <v>23</v>
      </c>
      <c r="F298" s="26" t="s">
        <v>135</v>
      </c>
      <c r="G298" s="112" t="s">
        <v>17</v>
      </c>
      <c r="H298" s="22" t="s">
        <v>25</v>
      </c>
      <c r="I298" s="113">
        <v>1.0</v>
      </c>
      <c r="J298" s="115"/>
      <c r="K298" s="116"/>
      <c r="L298" s="116"/>
      <c r="M298" s="115"/>
      <c r="N298" s="117"/>
      <c r="O298" s="117"/>
      <c r="P298" s="117"/>
    </row>
    <row r="299" ht="20.25" customHeight="1">
      <c r="A299" s="57"/>
      <c r="B299" s="58"/>
      <c r="C299" s="57"/>
      <c r="D299" s="57"/>
      <c r="E299" s="58"/>
      <c r="F299" s="58"/>
      <c r="G299" s="122" t="s">
        <v>17</v>
      </c>
      <c r="H299" s="14" t="s">
        <v>18</v>
      </c>
      <c r="I299" s="181">
        <v>16.0</v>
      </c>
      <c r="J299" s="124"/>
      <c r="K299" s="126"/>
      <c r="L299" s="126"/>
      <c r="M299" s="124"/>
      <c r="N299" s="127"/>
      <c r="O299" s="127"/>
      <c r="P299" s="127"/>
    </row>
    <row r="300" ht="20.25" customHeight="1">
      <c r="A300" s="282">
        <v>46255.0</v>
      </c>
      <c r="B300" s="283" t="s">
        <v>21</v>
      </c>
      <c r="C300" s="128">
        <v>315.0</v>
      </c>
      <c r="D300" s="178">
        <f t="array" ref="D300">IFERROR(_xlfn.XLOOKUP(C300,Code!A:A,Code!B:B),"")</f>
        <v>1.21</v>
      </c>
      <c r="E300" s="64" t="s">
        <v>23</v>
      </c>
      <c r="F300" s="26" t="s">
        <v>135</v>
      </c>
      <c r="G300" s="112" t="s">
        <v>17</v>
      </c>
      <c r="H300" s="22" t="s">
        <v>25</v>
      </c>
      <c r="I300" s="113">
        <v>1.0</v>
      </c>
      <c r="J300" s="115"/>
      <c r="K300" s="116"/>
      <c r="L300" s="116"/>
      <c r="M300" s="115"/>
      <c r="N300" s="117"/>
      <c r="O300" s="117"/>
      <c r="P300" s="117"/>
    </row>
    <row r="301" ht="20.25" customHeight="1">
      <c r="A301" s="57"/>
      <c r="B301" s="58"/>
      <c r="C301" s="57"/>
      <c r="D301" s="57"/>
      <c r="E301" s="58"/>
      <c r="F301" s="58"/>
      <c r="G301" s="122" t="s">
        <v>17</v>
      </c>
      <c r="H301" s="14" t="s">
        <v>18</v>
      </c>
      <c r="I301" s="181">
        <v>18.0</v>
      </c>
      <c r="J301" s="124"/>
      <c r="K301" s="126"/>
      <c r="L301" s="126"/>
      <c r="M301" s="124"/>
      <c r="N301" s="127"/>
      <c r="O301" s="127"/>
      <c r="P301" s="127"/>
    </row>
    <row r="302" ht="20.25" customHeight="1">
      <c r="A302" s="282">
        <v>46256.0</v>
      </c>
      <c r="B302" s="283" t="s">
        <v>21</v>
      </c>
      <c r="C302" s="128">
        <v>316.0</v>
      </c>
      <c r="D302" s="178">
        <f t="array" ref="D302">IFERROR(_xlfn.XLOOKUP(C302,Code!A:A,Code!B:B),"")</f>
        <v>1.11</v>
      </c>
      <c r="E302" s="64" t="s">
        <v>23</v>
      </c>
      <c r="F302" s="26" t="s">
        <v>135</v>
      </c>
      <c r="G302" s="112" t="s">
        <v>17</v>
      </c>
      <c r="H302" s="22" t="s">
        <v>25</v>
      </c>
      <c r="I302" s="113">
        <v>1.0</v>
      </c>
      <c r="J302" s="115"/>
      <c r="K302" s="116"/>
      <c r="L302" s="116"/>
      <c r="M302" s="115"/>
      <c r="N302" s="117"/>
      <c r="O302" s="117"/>
      <c r="P302" s="117"/>
    </row>
    <row r="303" ht="20.25" customHeight="1">
      <c r="A303" s="57"/>
      <c r="B303" s="58"/>
      <c r="C303" s="57"/>
      <c r="D303" s="57"/>
      <c r="E303" s="58"/>
      <c r="F303" s="58"/>
      <c r="G303" s="122" t="s">
        <v>17</v>
      </c>
      <c r="H303" s="14" t="s">
        <v>18</v>
      </c>
      <c r="I303" s="181">
        <v>16.0</v>
      </c>
      <c r="J303" s="124"/>
      <c r="K303" s="126"/>
      <c r="L303" s="126"/>
      <c r="M303" s="124"/>
      <c r="N303" s="127"/>
      <c r="O303" s="127"/>
      <c r="P303" s="127"/>
    </row>
    <row r="304" ht="20.25" customHeight="1">
      <c r="A304" s="282">
        <v>46258.0</v>
      </c>
      <c r="B304" s="283" t="s">
        <v>21</v>
      </c>
      <c r="C304" s="128">
        <v>316.0</v>
      </c>
      <c r="D304" s="178">
        <f t="array" ref="D304">IFERROR(_xlfn.XLOOKUP(C304,Code!A:A,Code!B:B),"")</f>
        <v>1.11</v>
      </c>
      <c r="E304" s="64" t="s">
        <v>23</v>
      </c>
      <c r="F304" s="26" t="s">
        <v>135</v>
      </c>
      <c r="G304" s="112" t="s">
        <v>17</v>
      </c>
      <c r="H304" s="22" t="s">
        <v>25</v>
      </c>
      <c r="I304" s="113">
        <v>1.0</v>
      </c>
      <c r="J304" s="115"/>
      <c r="K304" s="116"/>
      <c r="L304" s="116"/>
      <c r="M304" s="115"/>
      <c r="N304" s="117"/>
      <c r="O304" s="117"/>
      <c r="P304" s="117"/>
    </row>
    <row r="305" ht="20.25" customHeight="1">
      <c r="A305" s="57"/>
      <c r="B305" s="58"/>
      <c r="C305" s="57"/>
      <c r="D305" s="57"/>
      <c r="E305" s="58"/>
      <c r="F305" s="58"/>
      <c r="G305" s="122" t="s">
        <v>17</v>
      </c>
      <c r="H305" s="14" t="s">
        <v>18</v>
      </c>
      <c r="I305" s="181">
        <v>14.0</v>
      </c>
      <c r="J305" s="124"/>
      <c r="K305" s="126"/>
      <c r="L305" s="126"/>
      <c r="M305" s="124"/>
      <c r="N305" s="127"/>
      <c r="O305" s="127"/>
      <c r="P305" s="127"/>
    </row>
    <row r="306" ht="20.25" customHeight="1">
      <c r="A306" s="282">
        <v>46259.0</v>
      </c>
      <c r="B306" s="283" t="s">
        <v>21</v>
      </c>
      <c r="C306" s="128">
        <v>317.0</v>
      </c>
      <c r="D306" s="178">
        <f t="array" ref="D306">IFERROR(_xlfn.XLOOKUP(C306,Code!A:A,Code!B:B),"")</f>
        <v>1.14</v>
      </c>
      <c r="E306" s="64" t="s">
        <v>23</v>
      </c>
      <c r="F306" s="26" t="s">
        <v>135</v>
      </c>
      <c r="G306" s="112" t="s">
        <v>17</v>
      </c>
      <c r="H306" s="22" t="s">
        <v>25</v>
      </c>
      <c r="I306" s="113">
        <v>1.0</v>
      </c>
      <c r="J306" s="115"/>
      <c r="K306" s="116"/>
      <c r="L306" s="116"/>
      <c r="M306" s="115"/>
      <c r="N306" s="117"/>
      <c r="O306" s="117"/>
      <c r="P306" s="117"/>
    </row>
    <row r="307" ht="20.25" customHeight="1">
      <c r="A307" s="57"/>
      <c r="B307" s="58"/>
      <c r="C307" s="57"/>
      <c r="D307" s="57"/>
      <c r="E307" s="58"/>
      <c r="F307" s="58"/>
      <c r="G307" s="122" t="s">
        <v>17</v>
      </c>
      <c r="H307" s="14" t="s">
        <v>18</v>
      </c>
      <c r="I307" s="181">
        <v>16.0</v>
      </c>
      <c r="J307" s="124"/>
      <c r="K307" s="126"/>
      <c r="L307" s="126"/>
      <c r="M307" s="124"/>
      <c r="N307" s="127"/>
      <c r="O307" s="127"/>
      <c r="P307" s="127"/>
    </row>
    <row r="308" ht="20.25" customHeight="1">
      <c r="A308" s="282">
        <v>46260.0</v>
      </c>
      <c r="B308" s="283" t="s">
        <v>21</v>
      </c>
      <c r="C308" s="128">
        <v>318.0</v>
      </c>
      <c r="D308" s="178">
        <f t="array" ref="D308">IFERROR(_xlfn.XLOOKUP(C308,Code!A:A,Code!B:B),"")</f>
        <v>1.19</v>
      </c>
      <c r="E308" s="64" t="s">
        <v>23</v>
      </c>
      <c r="F308" s="26" t="s">
        <v>135</v>
      </c>
      <c r="G308" s="112" t="s">
        <v>17</v>
      </c>
      <c r="H308" s="22" t="s">
        <v>25</v>
      </c>
      <c r="I308" s="113">
        <v>1.0</v>
      </c>
      <c r="J308" s="115"/>
      <c r="K308" s="116"/>
      <c r="L308" s="116"/>
      <c r="M308" s="115"/>
      <c r="N308" s="117"/>
      <c r="O308" s="117"/>
      <c r="P308" s="117"/>
    </row>
    <row r="309" ht="20.25" customHeight="1">
      <c r="A309" s="57"/>
      <c r="B309" s="58"/>
      <c r="C309" s="57"/>
      <c r="D309" s="57"/>
      <c r="E309" s="58"/>
      <c r="F309" s="58"/>
      <c r="G309" s="122" t="s">
        <v>17</v>
      </c>
      <c r="H309" s="14" t="s">
        <v>18</v>
      </c>
      <c r="I309" s="181">
        <v>15.0</v>
      </c>
      <c r="J309" s="124"/>
      <c r="K309" s="126"/>
      <c r="L309" s="126"/>
      <c r="M309" s="124"/>
      <c r="N309" s="127"/>
      <c r="O309" s="127"/>
      <c r="P309" s="127"/>
    </row>
    <row r="310" ht="20.25" customHeight="1">
      <c r="A310" s="15">
        <v>46267.0</v>
      </c>
      <c r="B310" s="78" t="s">
        <v>21</v>
      </c>
      <c r="C310" s="183">
        <v>315.0</v>
      </c>
      <c r="D310" s="178">
        <f t="array" ref="D310">IFERROR(_xlfn.XLOOKUP(C310,Code!A:A,Code!B:B),"")</f>
        <v>1.21</v>
      </c>
      <c r="E310" s="64" t="s">
        <v>23</v>
      </c>
      <c r="F310" s="26" t="s">
        <v>140</v>
      </c>
      <c r="G310" s="170" t="s">
        <v>17</v>
      </c>
      <c r="H310" s="22" t="s">
        <v>25</v>
      </c>
      <c r="I310" s="113">
        <v>1.0</v>
      </c>
      <c r="J310" s="115"/>
      <c r="K310" s="116"/>
      <c r="L310" s="116"/>
      <c r="M310" s="115"/>
      <c r="N310" s="117"/>
      <c r="O310" s="117"/>
      <c r="P310" s="117"/>
    </row>
    <row r="311" ht="20.25" customHeight="1">
      <c r="A311" s="57"/>
      <c r="B311" s="57"/>
      <c r="C311" s="57"/>
      <c r="D311" s="57"/>
      <c r="E311" s="58"/>
      <c r="F311" s="58"/>
      <c r="G311" s="165" t="s">
        <v>17</v>
      </c>
      <c r="H311" s="14" t="s">
        <v>18</v>
      </c>
      <c r="I311" s="181">
        <v>20.0</v>
      </c>
      <c r="J311" s="124"/>
      <c r="K311" s="126"/>
      <c r="L311" s="126"/>
      <c r="M311" s="124"/>
      <c r="N311" s="127"/>
      <c r="O311" s="127"/>
      <c r="P311" s="127"/>
    </row>
    <row r="312" ht="20.25" customHeight="1">
      <c r="A312" s="15">
        <v>46268.0</v>
      </c>
      <c r="B312" s="78" t="s">
        <v>21</v>
      </c>
      <c r="C312" s="183">
        <v>303.0</v>
      </c>
      <c r="D312" s="178">
        <f t="array" ref="D312">IFERROR(_xlfn.XLOOKUP(C312,Code!A:A,Code!B:B),"")</f>
        <v>0.69</v>
      </c>
      <c r="E312" s="64" t="s">
        <v>23</v>
      </c>
      <c r="F312" s="26" t="s">
        <v>140</v>
      </c>
      <c r="G312" s="170" t="s">
        <v>17</v>
      </c>
      <c r="H312" s="22" t="s">
        <v>25</v>
      </c>
      <c r="I312" s="113">
        <v>1.0</v>
      </c>
      <c r="J312" s="115"/>
      <c r="K312" s="116"/>
      <c r="L312" s="116"/>
      <c r="M312" s="115"/>
      <c r="N312" s="117"/>
      <c r="O312" s="117"/>
      <c r="P312" s="117"/>
    </row>
    <row r="313" ht="20.25" customHeight="1">
      <c r="A313" s="57"/>
      <c r="B313" s="57"/>
      <c r="C313" s="57"/>
      <c r="D313" s="57"/>
      <c r="E313" s="58"/>
      <c r="F313" s="58"/>
      <c r="G313" s="165" t="s">
        <v>17</v>
      </c>
      <c r="H313" s="14" t="s">
        <v>18</v>
      </c>
      <c r="I313" s="181">
        <v>20.0</v>
      </c>
      <c r="J313" s="124"/>
      <c r="K313" s="126"/>
      <c r="L313" s="126"/>
      <c r="M313" s="124"/>
      <c r="N313" s="127"/>
      <c r="O313" s="127"/>
      <c r="P313" s="127"/>
    </row>
    <row r="314" ht="20.25" customHeight="1">
      <c r="A314" s="15">
        <v>46268.0</v>
      </c>
      <c r="B314" s="78" t="s">
        <v>21</v>
      </c>
      <c r="C314" s="183">
        <v>305.0</v>
      </c>
      <c r="D314" s="178">
        <f t="array" ref="D314">IFERROR(_xlfn.XLOOKUP(C314,Code!A:A,Code!B:B),"")</f>
        <v>1.04</v>
      </c>
      <c r="E314" s="64" t="s">
        <v>23</v>
      </c>
      <c r="F314" s="26" t="s">
        <v>143</v>
      </c>
      <c r="G314" s="170" t="s">
        <v>17</v>
      </c>
      <c r="H314" s="39" t="s">
        <v>18</v>
      </c>
      <c r="I314" s="293">
        <v>26.0</v>
      </c>
      <c r="J314" s="115"/>
      <c r="K314" s="116"/>
      <c r="L314" s="116"/>
      <c r="M314" s="115"/>
      <c r="N314" s="117"/>
      <c r="O314" s="117"/>
      <c r="P314" s="117"/>
    </row>
    <row r="315" ht="20.25" customHeight="1">
      <c r="A315" s="57"/>
      <c r="B315" s="57"/>
      <c r="C315" s="57"/>
      <c r="D315" s="57"/>
      <c r="E315" s="58"/>
      <c r="F315" s="58"/>
      <c r="G315" s="165" t="s">
        <v>17</v>
      </c>
      <c r="H315" s="58"/>
      <c r="I315" s="58"/>
      <c r="J315" s="124"/>
      <c r="K315" s="126"/>
      <c r="L315" s="126"/>
      <c r="M315" s="124"/>
      <c r="N315" s="127"/>
      <c r="O315" s="127"/>
      <c r="P315" s="127"/>
    </row>
    <row r="316" ht="20.25" customHeight="1">
      <c r="A316" s="15">
        <v>46269.0</v>
      </c>
      <c r="B316" s="78" t="s">
        <v>21</v>
      </c>
      <c r="C316" s="183">
        <v>303.0</v>
      </c>
      <c r="D316" s="178">
        <f t="array" ref="D316">IFERROR(_xlfn.XLOOKUP(C316,Code!A:A,Code!B:B),"")</f>
        <v>0.69</v>
      </c>
      <c r="E316" s="64" t="s">
        <v>23</v>
      </c>
      <c r="F316" s="26" t="s">
        <v>140</v>
      </c>
      <c r="G316" s="170" t="s">
        <v>17</v>
      </c>
      <c r="H316" s="22" t="s">
        <v>25</v>
      </c>
      <c r="I316" s="113">
        <v>1.0</v>
      </c>
      <c r="J316" s="115"/>
      <c r="K316" s="116"/>
      <c r="L316" s="116"/>
      <c r="M316" s="115"/>
      <c r="N316" s="117"/>
      <c r="O316" s="117"/>
      <c r="P316" s="117"/>
    </row>
    <row r="317" ht="20.25" customHeight="1">
      <c r="A317" s="57"/>
      <c r="B317" s="57"/>
      <c r="C317" s="57"/>
      <c r="D317" s="57"/>
      <c r="E317" s="58"/>
      <c r="F317" s="58"/>
      <c r="G317" s="165" t="s">
        <v>17</v>
      </c>
      <c r="H317" s="14" t="s">
        <v>18</v>
      </c>
      <c r="I317" s="181">
        <v>14.0</v>
      </c>
      <c r="J317" s="124"/>
      <c r="K317" s="126"/>
      <c r="L317" s="126"/>
      <c r="M317" s="124"/>
      <c r="N317" s="127"/>
      <c r="O317" s="127"/>
      <c r="P317" s="127"/>
    </row>
    <row r="318" ht="20.25" customHeight="1">
      <c r="A318" s="15">
        <v>46269.0</v>
      </c>
      <c r="B318" s="78" t="s">
        <v>21</v>
      </c>
      <c r="C318" s="183">
        <v>305.0</v>
      </c>
      <c r="D318" s="178">
        <f t="array" ref="D318">IFERROR(_xlfn.XLOOKUP(C318,Code!A:A,Code!B:B),"")</f>
        <v>1.04</v>
      </c>
      <c r="E318" s="64" t="s">
        <v>23</v>
      </c>
      <c r="F318" s="26" t="s">
        <v>143</v>
      </c>
      <c r="G318" s="170" t="s">
        <v>17</v>
      </c>
      <c r="H318" s="39" t="s">
        <v>18</v>
      </c>
      <c r="I318" s="293">
        <v>36.0</v>
      </c>
      <c r="J318" s="115"/>
      <c r="K318" s="116"/>
      <c r="L318" s="116"/>
      <c r="M318" s="115"/>
      <c r="N318" s="117"/>
      <c r="O318" s="117"/>
      <c r="P318" s="117"/>
    </row>
    <row r="319" ht="20.25" customHeight="1">
      <c r="A319" s="58"/>
      <c r="B319" s="57"/>
      <c r="C319" s="57"/>
      <c r="D319" s="57"/>
      <c r="E319" s="58"/>
      <c r="F319" s="58"/>
      <c r="G319" s="165" t="s">
        <v>17</v>
      </c>
      <c r="H319" s="58"/>
      <c r="I319" s="58"/>
      <c r="J319" s="124"/>
      <c r="K319" s="126"/>
      <c r="L319" s="126"/>
      <c r="M319" s="124"/>
      <c r="N319" s="127"/>
      <c r="O319" s="127"/>
      <c r="P319" s="127"/>
    </row>
    <row r="320" ht="20.25" customHeight="1">
      <c r="A320" s="300">
        <v>46269.0</v>
      </c>
      <c r="B320" s="301" t="s">
        <v>110</v>
      </c>
      <c r="C320" s="302">
        <v>327.0</v>
      </c>
      <c r="D320" s="303">
        <f t="array" ref="D320">IFERROR(_xlfn.XLOOKUP(C320,Code!A:A,Code!B:B),"")</f>
        <v>0.76</v>
      </c>
      <c r="E320" s="304"/>
      <c r="F320" s="305" t="s">
        <v>145</v>
      </c>
      <c r="G320" s="286" t="s">
        <v>17</v>
      </c>
      <c r="H320" s="286" t="s">
        <v>25</v>
      </c>
      <c r="I320" s="286">
        <v>1.0</v>
      </c>
      <c r="J320" s="286">
        <v>220.0</v>
      </c>
      <c r="K320" s="286">
        <v>220.0</v>
      </c>
      <c r="L320" s="306">
        <v>400.0</v>
      </c>
      <c r="M320" s="307"/>
      <c r="N320" s="308">
        <v>3440.0</v>
      </c>
      <c r="O320" s="270"/>
      <c r="P320" s="270"/>
    </row>
    <row r="321" ht="20.25" customHeight="1">
      <c r="A321" s="57"/>
      <c r="B321" s="309" t="s">
        <v>51</v>
      </c>
      <c r="C321" s="302">
        <v>328.0</v>
      </c>
      <c r="D321" s="303">
        <f t="array" ref="D321">IFERROR(_xlfn.XLOOKUP(C321,Code!A:A,Code!B:B),"")</f>
        <v>0.87</v>
      </c>
      <c r="E321" s="304"/>
      <c r="F321" s="57"/>
      <c r="G321" s="286" t="s">
        <v>17</v>
      </c>
      <c r="H321" s="286" t="s">
        <v>18</v>
      </c>
      <c r="I321" s="286">
        <v>6.0</v>
      </c>
      <c r="J321" s="286">
        <v>150.0</v>
      </c>
      <c r="K321" s="286">
        <v>900.0</v>
      </c>
      <c r="L321" s="294"/>
      <c r="M321" s="70"/>
      <c r="N321" s="57"/>
      <c r="O321" s="269"/>
      <c r="P321" s="269"/>
    </row>
    <row r="322" ht="20.25" customHeight="1">
      <c r="A322" s="29"/>
      <c r="B322" s="310" t="s">
        <v>110</v>
      </c>
      <c r="C322" s="302">
        <v>328.0</v>
      </c>
      <c r="D322" s="303">
        <f t="array" ref="D322">IFERROR(_xlfn.XLOOKUP(C322,Code!A:A,Code!B:B),"")</f>
        <v>0.87</v>
      </c>
      <c r="E322" s="304"/>
      <c r="F322" s="20"/>
      <c r="G322" s="286" t="s">
        <v>17</v>
      </c>
      <c r="H322" s="286" t="s">
        <v>18</v>
      </c>
      <c r="I322" s="286">
        <v>16.0</v>
      </c>
      <c r="J322" s="286">
        <v>120.0</v>
      </c>
      <c r="K322" s="286">
        <v>1920.0</v>
      </c>
      <c r="L322" s="311"/>
      <c r="M322" s="38"/>
      <c r="N322" s="20"/>
      <c r="O322" s="270"/>
      <c r="P322" s="270"/>
    </row>
    <row r="323" ht="20.25" customHeight="1">
      <c r="A323" s="57"/>
      <c r="B323" s="301" t="s">
        <v>110</v>
      </c>
      <c r="C323" s="302">
        <v>322.0</v>
      </c>
      <c r="D323" s="303">
        <f t="array" ref="D323">IFERROR(_xlfn.XLOOKUP(C323,Code!A:A,Code!B:B),"")</f>
        <v>1</v>
      </c>
      <c r="E323" s="304"/>
      <c r="F323" s="305" t="s">
        <v>147</v>
      </c>
      <c r="G323" s="286" t="s">
        <v>17</v>
      </c>
      <c r="H323" s="286" t="s">
        <v>25</v>
      </c>
      <c r="I323" s="286">
        <v>1.0</v>
      </c>
      <c r="J323" s="286">
        <v>220.0</v>
      </c>
      <c r="K323" s="286">
        <v>220.0</v>
      </c>
      <c r="L323" s="306">
        <v>400.0</v>
      </c>
      <c r="M323" s="312"/>
      <c r="N323" s="308">
        <v>3500.0</v>
      </c>
      <c r="O323" s="269"/>
      <c r="P323" s="269"/>
    </row>
    <row r="324" ht="20.25" customHeight="1">
      <c r="A324" s="29"/>
      <c r="B324" s="309" t="s">
        <v>51</v>
      </c>
      <c r="C324" s="302">
        <v>321.0</v>
      </c>
      <c r="D324" s="303">
        <f t="array" ref="D324">IFERROR(_xlfn.XLOOKUP(C324,Code!A:A,Code!B:B),"")</f>
        <v>0.97</v>
      </c>
      <c r="E324" s="304"/>
      <c r="F324" s="29"/>
      <c r="G324" s="286" t="s">
        <v>17</v>
      </c>
      <c r="H324" s="286" t="s">
        <v>18</v>
      </c>
      <c r="I324" s="286">
        <v>6.0</v>
      </c>
      <c r="J324" s="286">
        <v>150.0</v>
      </c>
      <c r="K324" s="286">
        <v>900.0</v>
      </c>
      <c r="L324" s="314"/>
      <c r="M324" s="56"/>
      <c r="N324" s="29"/>
      <c r="O324" s="270"/>
      <c r="P324" s="270"/>
    </row>
    <row r="325" ht="20.25" customHeight="1">
      <c r="A325" s="57"/>
      <c r="B325" s="309" t="s">
        <v>110</v>
      </c>
      <c r="C325" s="302">
        <v>321.0</v>
      </c>
      <c r="D325" s="303">
        <f t="array" ref="D325">IFERROR(_xlfn.XLOOKUP(C325,Code!A:A,Code!B:B),"")</f>
        <v>0.97</v>
      </c>
      <c r="E325" s="304"/>
      <c r="F325" s="57"/>
      <c r="G325" s="286" t="s">
        <v>17</v>
      </c>
      <c r="H325" s="286" t="s">
        <v>18</v>
      </c>
      <c r="I325" s="286">
        <v>16.0</v>
      </c>
      <c r="J325" s="286">
        <v>120.0</v>
      </c>
      <c r="K325" s="286">
        <v>1920.0</v>
      </c>
      <c r="L325" s="294"/>
      <c r="M325" s="70"/>
      <c r="N325" s="57"/>
      <c r="O325" s="269"/>
      <c r="P325" s="269"/>
    </row>
    <row r="326" ht="20.25" customHeight="1">
      <c r="A326" s="20"/>
      <c r="B326" s="309" t="s">
        <v>110</v>
      </c>
      <c r="C326" s="302">
        <v>321.0</v>
      </c>
      <c r="D326" s="303">
        <f t="array" ref="D326">IFERROR(_xlfn.XLOOKUP(C326,Code!A:A,Code!B:B),"")</f>
        <v>0.97</v>
      </c>
      <c r="E326" s="304"/>
      <c r="F326" s="29"/>
      <c r="G326" s="315" t="s">
        <v>149</v>
      </c>
      <c r="H326" s="316"/>
      <c r="I326" s="316"/>
      <c r="J326" s="317"/>
      <c r="K326" s="286">
        <v>60.0</v>
      </c>
      <c r="L326" s="314"/>
      <c r="M326" s="56"/>
      <c r="N326" s="29"/>
      <c r="O326" s="270"/>
      <c r="P326" s="270"/>
    </row>
    <row r="327" ht="20.25" customHeight="1">
      <c r="A327" s="318">
        <v>46270.0</v>
      </c>
      <c r="B327" s="301" t="s">
        <v>110</v>
      </c>
      <c r="C327" s="302">
        <v>325.0</v>
      </c>
      <c r="D327" s="303">
        <f t="array" ref="D327">IFERROR(_xlfn.XLOOKUP(C327,Code!A:A,Code!B:B),"")</f>
        <v>0.85</v>
      </c>
      <c r="E327" s="304"/>
      <c r="F327" s="305" t="s">
        <v>145</v>
      </c>
      <c r="G327" s="286" t="s">
        <v>17</v>
      </c>
      <c r="H327" s="286" t="s">
        <v>25</v>
      </c>
      <c r="I327" s="286">
        <v>1.0</v>
      </c>
      <c r="J327" s="286">
        <v>220.0</v>
      </c>
      <c r="K327" s="286">
        <v>220.0</v>
      </c>
      <c r="L327" s="306">
        <v>400.0</v>
      </c>
      <c r="M327" s="312"/>
      <c r="N327" s="308">
        <v>3440.0</v>
      </c>
      <c r="O327" s="269"/>
      <c r="P327" s="269"/>
    </row>
    <row r="328" ht="20.25" customHeight="1">
      <c r="A328" s="29"/>
      <c r="B328" s="309" t="s">
        <v>51</v>
      </c>
      <c r="C328" s="302">
        <v>325.0</v>
      </c>
      <c r="D328" s="303">
        <f t="array" ref="D328">IFERROR(_xlfn.XLOOKUP(C328,Code!A:A,Code!B:B),"")</f>
        <v>0.85</v>
      </c>
      <c r="E328" s="304"/>
      <c r="F328" s="29"/>
      <c r="G328" s="286" t="s">
        <v>17</v>
      </c>
      <c r="H328" s="286" t="s">
        <v>18</v>
      </c>
      <c r="I328" s="286">
        <v>6.0</v>
      </c>
      <c r="J328" s="286">
        <v>150.0</v>
      </c>
      <c r="K328" s="286">
        <v>900.0</v>
      </c>
      <c r="L328" s="314"/>
      <c r="M328" s="56"/>
      <c r="N328" s="29"/>
      <c r="O328" s="270"/>
      <c r="P328" s="270"/>
    </row>
    <row r="329" ht="20.25" customHeight="1">
      <c r="A329" s="57"/>
      <c r="B329" s="310" t="s">
        <v>110</v>
      </c>
      <c r="C329" s="302">
        <v>325.0</v>
      </c>
      <c r="D329" s="303">
        <f t="array" ref="D329">IFERROR(_xlfn.XLOOKUP(C329,Code!A:A,Code!B:B),"")</f>
        <v>0.85</v>
      </c>
      <c r="E329" s="304"/>
      <c r="F329" s="58"/>
      <c r="G329" s="286" t="s">
        <v>17</v>
      </c>
      <c r="H329" s="286" t="s">
        <v>18</v>
      </c>
      <c r="I329" s="286">
        <v>16.0</v>
      </c>
      <c r="J329" s="286">
        <v>120.0</v>
      </c>
      <c r="K329" s="286">
        <v>1920.0</v>
      </c>
      <c r="L329" s="321"/>
      <c r="M329" s="59"/>
      <c r="N329" s="58"/>
      <c r="O329" s="269"/>
      <c r="P329" s="269"/>
    </row>
    <row r="330" ht="20.25" customHeight="1">
      <c r="A330" s="29"/>
      <c r="B330" s="301" t="s">
        <v>110</v>
      </c>
      <c r="C330" s="302">
        <v>322.0</v>
      </c>
      <c r="D330" s="303">
        <f t="array" ref="D330">IFERROR(_xlfn.XLOOKUP(C330,Code!A:A,Code!B:B),"")</f>
        <v>1</v>
      </c>
      <c r="E330" s="304"/>
      <c r="F330" s="305" t="s">
        <v>147</v>
      </c>
      <c r="G330" s="286" t="s">
        <v>17</v>
      </c>
      <c r="H330" s="286" t="s">
        <v>25</v>
      </c>
      <c r="I330" s="286">
        <v>1.0</v>
      </c>
      <c r="J330" s="286">
        <v>220.0</v>
      </c>
      <c r="K330" s="286">
        <v>220.0</v>
      </c>
      <c r="L330" s="306">
        <v>400.0</v>
      </c>
      <c r="M330" s="307"/>
      <c r="N330" s="308">
        <v>4090.0</v>
      </c>
      <c r="O330" s="270"/>
      <c r="P330" s="270"/>
    </row>
    <row r="331" ht="20.25" customHeight="1">
      <c r="A331" s="57"/>
      <c r="B331" s="309" t="s">
        <v>51</v>
      </c>
      <c r="C331" s="302">
        <v>323.0</v>
      </c>
      <c r="D331" s="303">
        <f t="array" ref="D331">IFERROR(_xlfn.XLOOKUP(C331,Code!A:A,Code!B:B),"")</f>
        <v>1.13</v>
      </c>
      <c r="E331" s="304"/>
      <c r="F331" s="57"/>
      <c r="G331" s="286" t="s">
        <v>17</v>
      </c>
      <c r="H331" s="286" t="s">
        <v>18</v>
      </c>
      <c r="I331" s="286">
        <v>6.0</v>
      </c>
      <c r="J331" s="286">
        <v>150.0</v>
      </c>
      <c r="K331" s="286">
        <v>900.0</v>
      </c>
      <c r="L331" s="294"/>
      <c r="M331" s="70"/>
      <c r="N331" s="57"/>
      <c r="O331" s="269"/>
      <c r="P331" s="269"/>
    </row>
    <row r="332" ht="20.25" customHeight="1">
      <c r="A332" s="29"/>
      <c r="B332" s="309" t="s">
        <v>110</v>
      </c>
      <c r="C332" s="302">
        <v>324.0</v>
      </c>
      <c r="D332" s="303">
        <f t="array" ref="D332">IFERROR(_xlfn.XLOOKUP(C332,Code!A:A,Code!B:B),"")</f>
        <v>0.87</v>
      </c>
      <c r="E332" s="304"/>
      <c r="F332" s="29"/>
      <c r="G332" s="286" t="s">
        <v>17</v>
      </c>
      <c r="H332" s="286" t="s">
        <v>18</v>
      </c>
      <c r="I332" s="286">
        <v>17.0</v>
      </c>
      <c r="J332" s="286">
        <v>120.0</v>
      </c>
      <c r="K332" s="286">
        <v>2040.0</v>
      </c>
      <c r="L332" s="314"/>
      <c r="M332" s="56"/>
      <c r="N332" s="29"/>
      <c r="O332" s="270"/>
      <c r="P332" s="270"/>
    </row>
    <row r="333" ht="20.25" customHeight="1">
      <c r="A333" s="57"/>
      <c r="B333" s="322" t="s">
        <v>110</v>
      </c>
      <c r="C333" s="302">
        <v>323.0</v>
      </c>
      <c r="D333" s="303">
        <f t="array" ref="D333">IFERROR(_xlfn.XLOOKUP(C333,Code!A:A,Code!B:B),"")</f>
        <v>1.13</v>
      </c>
      <c r="E333" s="323"/>
      <c r="F333" s="57"/>
      <c r="G333" s="315" t="s">
        <v>149</v>
      </c>
      <c r="H333" s="324"/>
      <c r="I333" s="324"/>
      <c r="J333" s="325"/>
      <c r="K333" s="326">
        <v>530.0</v>
      </c>
      <c r="L333" s="321"/>
      <c r="M333" s="59"/>
      <c r="N333" s="58"/>
      <c r="O333" s="127"/>
      <c r="P333" s="127"/>
    </row>
    <row r="334" ht="20.25" customHeight="1">
      <c r="A334" s="15">
        <v>46270.0</v>
      </c>
      <c r="B334" s="78" t="s">
        <v>21</v>
      </c>
      <c r="C334" s="183">
        <v>316.0</v>
      </c>
      <c r="D334" s="178">
        <f t="array" ref="D334">IFERROR(_xlfn.XLOOKUP(C334,Code!A:A,Code!B:B),"")</f>
        <v>1.11</v>
      </c>
      <c r="E334" s="64" t="s">
        <v>23</v>
      </c>
      <c r="F334" s="26" t="s">
        <v>140</v>
      </c>
      <c r="G334" s="170" t="s">
        <v>17</v>
      </c>
      <c r="H334" s="22" t="s">
        <v>25</v>
      </c>
      <c r="I334" s="113">
        <v>1.0</v>
      </c>
      <c r="J334" s="115"/>
      <c r="K334" s="116"/>
      <c r="L334" s="116"/>
      <c r="M334" s="115"/>
      <c r="N334" s="117"/>
      <c r="O334" s="117"/>
      <c r="P334" s="117"/>
    </row>
    <row r="335" ht="20.25" customHeight="1">
      <c r="A335" s="57"/>
      <c r="B335" s="57"/>
      <c r="C335" s="57"/>
      <c r="D335" s="57"/>
      <c r="E335" s="58"/>
      <c r="F335" s="58"/>
      <c r="G335" s="165" t="s">
        <v>17</v>
      </c>
      <c r="H335" s="14" t="s">
        <v>18</v>
      </c>
      <c r="I335" s="181">
        <v>18.0</v>
      </c>
      <c r="J335" s="124"/>
      <c r="K335" s="126"/>
      <c r="L335" s="126"/>
      <c r="M335" s="124"/>
      <c r="N335" s="127"/>
      <c r="O335" s="127"/>
      <c r="P335" s="127"/>
    </row>
    <row r="336" ht="20.25" customHeight="1">
      <c r="A336" s="15">
        <v>46272.0</v>
      </c>
      <c r="B336" s="78" t="s">
        <v>21</v>
      </c>
      <c r="C336" s="183">
        <v>317.0</v>
      </c>
      <c r="D336" s="178">
        <f t="array" ref="D336">IFERROR(_xlfn.XLOOKUP(C336,Code!A:A,Code!B:B),"")</f>
        <v>1.14</v>
      </c>
      <c r="E336" s="64" t="s">
        <v>23</v>
      </c>
      <c r="F336" s="26" t="s">
        <v>140</v>
      </c>
      <c r="G336" s="170" t="s">
        <v>17</v>
      </c>
      <c r="H336" s="22" t="s">
        <v>25</v>
      </c>
      <c r="I336" s="113">
        <v>1.0</v>
      </c>
      <c r="J336" s="115"/>
      <c r="K336" s="116"/>
      <c r="L336" s="116"/>
      <c r="M336" s="115"/>
      <c r="N336" s="117"/>
      <c r="O336" s="117"/>
      <c r="P336" s="117"/>
    </row>
    <row r="337" ht="20.25" customHeight="1">
      <c r="A337" s="57"/>
      <c r="B337" s="57"/>
      <c r="C337" s="57"/>
      <c r="D337" s="57"/>
      <c r="E337" s="58"/>
      <c r="F337" s="58"/>
      <c r="G337" s="165" t="s">
        <v>17</v>
      </c>
      <c r="H337" s="14" t="s">
        <v>18</v>
      </c>
      <c r="I337" s="181">
        <v>17.0</v>
      </c>
      <c r="J337" s="124"/>
      <c r="K337" s="126"/>
      <c r="L337" s="126"/>
      <c r="M337" s="124"/>
      <c r="N337" s="127"/>
      <c r="O337" s="127"/>
      <c r="P337" s="127"/>
    </row>
    <row r="338" ht="20.25" customHeight="1">
      <c r="A338" s="333"/>
      <c r="B338" s="63"/>
      <c r="C338" s="334"/>
      <c r="D338" s="130"/>
      <c r="E338" s="335"/>
      <c r="F338" s="336"/>
      <c r="G338" s="112" t="s">
        <v>17</v>
      </c>
      <c r="H338" s="22"/>
      <c r="I338" s="112"/>
      <c r="J338" s="115"/>
      <c r="K338" s="116"/>
      <c r="L338" s="116"/>
      <c r="M338" s="115"/>
      <c r="N338" s="117"/>
      <c r="O338" s="117"/>
      <c r="P338" s="117"/>
    </row>
    <row r="339" ht="20.25" customHeight="1">
      <c r="A339" s="337"/>
      <c r="B339" s="33"/>
      <c r="C339" s="252"/>
      <c r="D339" s="120"/>
      <c r="E339" s="254"/>
      <c r="F339" s="255"/>
      <c r="G339" s="122" t="s">
        <v>17</v>
      </c>
      <c r="H339" s="14"/>
      <c r="I339" s="122"/>
      <c r="J339" s="124"/>
      <c r="K339" s="126"/>
      <c r="L339" s="126"/>
      <c r="M339" s="124"/>
      <c r="N339" s="127"/>
      <c r="O339" s="127"/>
      <c r="P339" s="127"/>
    </row>
    <row r="340" ht="20.25" customHeight="1">
      <c r="A340" s="333"/>
      <c r="B340" s="63"/>
      <c r="C340" s="334"/>
      <c r="D340" s="130"/>
      <c r="E340" s="335"/>
      <c r="F340" s="336"/>
      <c r="G340" s="112" t="s">
        <v>17</v>
      </c>
      <c r="H340" s="22"/>
      <c r="I340" s="112"/>
      <c r="J340" s="115"/>
      <c r="K340" s="116"/>
      <c r="L340" s="116"/>
      <c r="M340" s="115"/>
      <c r="N340" s="117"/>
      <c r="O340" s="117"/>
      <c r="P340" s="117"/>
    </row>
    <row r="341" ht="20.25" customHeight="1">
      <c r="A341" s="337"/>
      <c r="B341" s="33"/>
      <c r="C341" s="252"/>
      <c r="D341" s="120"/>
      <c r="E341" s="254"/>
      <c r="F341" s="255"/>
      <c r="G341" s="122" t="s">
        <v>17</v>
      </c>
      <c r="H341" s="14"/>
      <c r="I341" s="122"/>
      <c r="J341" s="124"/>
      <c r="K341" s="126"/>
      <c r="L341" s="126"/>
      <c r="M341" s="124"/>
      <c r="N341" s="127"/>
      <c r="O341" s="127"/>
      <c r="P341" s="127"/>
    </row>
    <row r="342" ht="20.25" customHeight="1">
      <c r="A342" s="333"/>
      <c r="B342" s="63"/>
      <c r="C342" s="334"/>
      <c r="D342" s="130"/>
      <c r="E342" s="335"/>
      <c r="F342" s="336"/>
      <c r="G342" s="112" t="s">
        <v>17</v>
      </c>
      <c r="H342" s="22"/>
      <c r="I342" s="112"/>
      <c r="J342" s="115"/>
      <c r="K342" s="116"/>
      <c r="L342" s="116"/>
      <c r="M342" s="115"/>
      <c r="N342" s="117"/>
      <c r="O342" s="117"/>
      <c r="P342" s="117"/>
    </row>
    <row r="343" ht="20.25" customHeight="1">
      <c r="A343" s="337"/>
      <c r="B343" s="33"/>
      <c r="C343" s="252"/>
      <c r="D343" s="120"/>
      <c r="E343" s="254"/>
      <c r="F343" s="255"/>
      <c r="G343" s="122" t="s">
        <v>17</v>
      </c>
      <c r="H343" s="14"/>
      <c r="I343" s="122"/>
      <c r="J343" s="124"/>
      <c r="K343" s="126"/>
      <c r="L343" s="126"/>
      <c r="M343" s="124"/>
      <c r="N343" s="127"/>
      <c r="O343" s="127"/>
      <c r="P343" s="127"/>
    </row>
    <row r="344" ht="20.25" customHeight="1">
      <c r="A344" s="333"/>
      <c r="B344" s="63"/>
      <c r="C344" s="334"/>
      <c r="D344" s="130"/>
      <c r="E344" s="335"/>
      <c r="F344" s="336"/>
      <c r="G344" s="112" t="s">
        <v>17</v>
      </c>
      <c r="H344" s="22"/>
      <c r="I344" s="112"/>
      <c r="J344" s="115"/>
      <c r="K344" s="116"/>
      <c r="L344" s="116"/>
      <c r="M344" s="115"/>
      <c r="N344" s="117"/>
      <c r="O344" s="117"/>
      <c r="P344" s="117"/>
    </row>
    <row r="345" ht="20.25" customHeight="1">
      <c r="A345" s="337"/>
      <c r="B345" s="33"/>
      <c r="C345" s="252"/>
      <c r="D345" s="120"/>
      <c r="E345" s="254"/>
      <c r="F345" s="255"/>
      <c r="G345" s="122" t="s">
        <v>17</v>
      </c>
      <c r="H345" s="14"/>
      <c r="I345" s="122"/>
      <c r="J345" s="124"/>
      <c r="K345" s="126"/>
      <c r="L345" s="126"/>
      <c r="M345" s="124"/>
      <c r="N345" s="127"/>
      <c r="O345" s="127"/>
      <c r="P345" s="127"/>
    </row>
    <row r="346" ht="20.25" customHeight="1">
      <c r="A346" s="333"/>
      <c r="B346" s="63"/>
      <c r="C346" s="334"/>
      <c r="D346" s="130"/>
      <c r="E346" s="335"/>
      <c r="F346" s="336"/>
      <c r="G346" s="112" t="s">
        <v>17</v>
      </c>
      <c r="H346" s="22"/>
      <c r="I346" s="112"/>
      <c r="J346" s="115"/>
      <c r="K346" s="116"/>
      <c r="L346" s="116"/>
      <c r="M346" s="115"/>
      <c r="N346" s="117"/>
      <c r="O346" s="117"/>
      <c r="P346" s="117"/>
    </row>
    <row r="347" ht="20.25" customHeight="1">
      <c r="A347" s="337"/>
      <c r="B347" s="33"/>
      <c r="C347" s="252"/>
      <c r="D347" s="120"/>
      <c r="E347" s="254"/>
      <c r="F347" s="255"/>
      <c r="G347" s="122" t="s">
        <v>17</v>
      </c>
      <c r="H347" s="14"/>
      <c r="I347" s="122"/>
      <c r="J347" s="124"/>
      <c r="K347" s="126"/>
      <c r="L347" s="126"/>
      <c r="M347" s="124"/>
      <c r="N347" s="127"/>
      <c r="O347" s="127"/>
      <c r="P347" s="127"/>
    </row>
    <row r="348" ht="20.25" customHeight="1">
      <c r="A348" s="333"/>
      <c r="B348" s="63"/>
      <c r="C348" s="334"/>
      <c r="D348" s="130"/>
      <c r="E348" s="335"/>
      <c r="F348" s="336"/>
      <c r="G348" s="112" t="s">
        <v>17</v>
      </c>
      <c r="H348" s="22"/>
      <c r="I348" s="112"/>
      <c r="J348" s="115"/>
      <c r="K348" s="116"/>
      <c r="L348" s="116"/>
      <c r="M348" s="115"/>
      <c r="N348" s="117"/>
      <c r="O348" s="117"/>
      <c r="P348" s="117"/>
    </row>
    <row r="349" ht="20.25" customHeight="1">
      <c r="A349" s="337"/>
      <c r="B349" s="33"/>
      <c r="C349" s="252"/>
      <c r="D349" s="120"/>
      <c r="E349" s="254"/>
      <c r="F349" s="255"/>
      <c r="G349" s="122" t="s">
        <v>17</v>
      </c>
      <c r="H349" s="14"/>
      <c r="I349" s="122"/>
      <c r="J349" s="124"/>
      <c r="K349" s="126"/>
      <c r="L349" s="126"/>
      <c r="M349" s="124"/>
      <c r="N349" s="127"/>
      <c r="O349" s="127"/>
      <c r="P349" s="127"/>
    </row>
    <row r="350" ht="20.25" customHeight="1">
      <c r="A350" s="333"/>
      <c r="B350" s="63"/>
      <c r="C350" s="334"/>
      <c r="D350" s="130"/>
      <c r="E350" s="335"/>
      <c r="F350" s="336"/>
      <c r="G350" s="112" t="s">
        <v>17</v>
      </c>
      <c r="H350" s="22"/>
      <c r="I350" s="112"/>
      <c r="J350" s="115"/>
      <c r="K350" s="116"/>
      <c r="L350" s="116"/>
      <c r="M350" s="115"/>
      <c r="N350" s="117"/>
      <c r="O350" s="117"/>
      <c r="P350" s="117"/>
    </row>
    <row r="351" ht="20.25" customHeight="1">
      <c r="A351" s="337"/>
      <c r="B351" s="33"/>
      <c r="C351" s="252"/>
      <c r="D351" s="120"/>
      <c r="E351" s="254"/>
      <c r="F351" s="255"/>
      <c r="G351" s="122" t="s">
        <v>17</v>
      </c>
      <c r="H351" s="14"/>
      <c r="I351" s="122"/>
      <c r="J351" s="124"/>
      <c r="K351" s="126"/>
      <c r="L351" s="126"/>
      <c r="M351" s="124"/>
      <c r="N351" s="127"/>
      <c r="O351" s="127"/>
      <c r="P351" s="127"/>
    </row>
    <row r="352" ht="20.25" customHeight="1">
      <c r="A352" s="333"/>
      <c r="B352" s="63"/>
      <c r="C352" s="334"/>
      <c r="D352" s="130"/>
      <c r="E352" s="335"/>
      <c r="F352" s="336"/>
      <c r="G352" s="112" t="s">
        <v>17</v>
      </c>
      <c r="H352" s="22"/>
      <c r="I352" s="112"/>
      <c r="J352" s="115"/>
      <c r="K352" s="116"/>
      <c r="L352" s="116"/>
      <c r="M352" s="115"/>
      <c r="N352" s="117"/>
      <c r="O352" s="117"/>
      <c r="P352" s="117"/>
    </row>
    <row r="353" ht="20.25" customHeight="1">
      <c r="A353" s="337"/>
      <c r="B353" s="33"/>
      <c r="C353" s="252"/>
      <c r="D353" s="120"/>
      <c r="E353" s="254"/>
      <c r="F353" s="255"/>
      <c r="G353" s="122" t="s">
        <v>17</v>
      </c>
      <c r="H353" s="14"/>
      <c r="I353" s="122"/>
      <c r="J353" s="124"/>
      <c r="K353" s="126"/>
      <c r="L353" s="126"/>
      <c r="M353" s="124"/>
      <c r="N353" s="127"/>
      <c r="O353" s="127"/>
      <c r="P353" s="127"/>
    </row>
    <row r="354" ht="20.25" customHeight="1">
      <c r="A354" s="333"/>
      <c r="B354" s="63"/>
      <c r="C354" s="334"/>
      <c r="D354" s="130"/>
      <c r="E354" s="335"/>
      <c r="F354" s="336"/>
      <c r="G354" s="112" t="s">
        <v>17</v>
      </c>
      <c r="H354" s="22"/>
      <c r="I354" s="112"/>
      <c r="J354" s="115"/>
      <c r="K354" s="116"/>
      <c r="L354" s="116"/>
      <c r="M354" s="115"/>
      <c r="N354" s="117"/>
      <c r="O354" s="117"/>
      <c r="P354" s="117"/>
    </row>
    <row r="355" ht="20.25" customHeight="1">
      <c r="A355" s="337"/>
      <c r="B355" s="33"/>
      <c r="C355" s="252"/>
      <c r="D355" s="120"/>
      <c r="E355" s="254"/>
      <c r="F355" s="255"/>
      <c r="G355" s="122" t="s">
        <v>17</v>
      </c>
      <c r="H355" s="14"/>
      <c r="I355" s="122"/>
      <c r="J355" s="124"/>
      <c r="K355" s="126"/>
      <c r="L355" s="126"/>
      <c r="M355" s="124"/>
      <c r="N355" s="127"/>
      <c r="O355" s="127"/>
      <c r="P355" s="127"/>
    </row>
    <row r="356" ht="20.25" customHeight="1">
      <c r="A356" s="333"/>
      <c r="B356" s="63"/>
      <c r="C356" s="334"/>
      <c r="D356" s="130"/>
      <c r="E356" s="335"/>
      <c r="F356" s="336"/>
      <c r="G356" s="112" t="s">
        <v>17</v>
      </c>
      <c r="H356" s="22"/>
      <c r="I356" s="112"/>
      <c r="J356" s="115"/>
      <c r="K356" s="116"/>
      <c r="L356" s="116"/>
      <c r="M356" s="115"/>
      <c r="N356" s="117"/>
      <c r="O356" s="117"/>
      <c r="P356" s="117"/>
    </row>
    <row r="357" ht="20.25" customHeight="1">
      <c r="A357" s="337"/>
      <c r="B357" s="33"/>
      <c r="C357" s="252"/>
      <c r="D357" s="120"/>
      <c r="E357" s="254"/>
      <c r="F357" s="255"/>
      <c r="G357" s="122" t="s">
        <v>17</v>
      </c>
      <c r="H357" s="14"/>
      <c r="I357" s="122"/>
      <c r="J357" s="124"/>
      <c r="K357" s="126"/>
      <c r="L357" s="126"/>
      <c r="M357" s="124"/>
      <c r="N357" s="127"/>
      <c r="O357" s="127"/>
      <c r="P357" s="127"/>
    </row>
    <row r="358" ht="20.25" customHeight="1">
      <c r="A358" s="333"/>
      <c r="B358" s="63"/>
      <c r="C358" s="334"/>
      <c r="D358" s="130"/>
      <c r="E358" s="335"/>
      <c r="F358" s="336"/>
      <c r="G358" s="112" t="s">
        <v>17</v>
      </c>
      <c r="H358" s="22"/>
      <c r="I358" s="112"/>
      <c r="J358" s="115"/>
      <c r="K358" s="116"/>
      <c r="L358" s="116"/>
      <c r="M358" s="115"/>
      <c r="N358" s="117"/>
      <c r="O358" s="117"/>
      <c r="P358" s="117"/>
    </row>
    <row r="359" ht="20.25" customHeight="1">
      <c r="A359" s="337"/>
      <c r="B359" s="33"/>
      <c r="C359" s="252"/>
      <c r="D359" s="120"/>
      <c r="E359" s="254"/>
      <c r="F359" s="255"/>
      <c r="G359" s="122" t="s">
        <v>17</v>
      </c>
      <c r="H359" s="14"/>
      <c r="I359" s="122"/>
      <c r="J359" s="124"/>
      <c r="K359" s="126"/>
      <c r="L359" s="126"/>
      <c r="M359" s="124"/>
      <c r="N359" s="127"/>
      <c r="O359" s="127"/>
      <c r="P359" s="127"/>
    </row>
    <row r="360" ht="20.25" customHeight="1">
      <c r="A360" s="333"/>
      <c r="B360" s="63"/>
      <c r="C360" s="334"/>
      <c r="D360" s="130"/>
      <c r="E360" s="335"/>
      <c r="F360" s="336"/>
      <c r="G360" s="112" t="s">
        <v>17</v>
      </c>
      <c r="H360" s="22"/>
      <c r="I360" s="112"/>
      <c r="J360" s="115"/>
      <c r="K360" s="116"/>
      <c r="L360" s="116"/>
      <c r="M360" s="115"/>
      <c r="N360" s="117"/>
      <c r="O360" s="117"/>
      <c r="P360" s="117"/>
    </row>
    <row r="361" ht="20.25" customHeight="1">
      <c r="A361" s="337"/>
      <c r="B361" s="33"/>
      <c r="C361" s="252"/>
      <c r="D361" s="120"/>
      <c r="E361" s="254"/>
      <c r="F361" s="255"/>
      <c r="G361" s="122" t="s">
        <v>17</v>
      </c>
      <c r="H361" s="14"/>
      <c r="I361" s="122"/>
      <c r="J361" s="124"/>
      <c r="K361" s="126"/>
      <c r="L361" s="126"/>
      <c r="M361" s="124"/>
      <c r="N361" s="127"/>
      <c r="O361" s="127"/>
      <c r="P361" s="127"/>
    </row>
    <row r="362" ht="20.25" customHeight="1">
      <c r="A362" s="333"/>
      <c r="B362" s="63"/>
      <c r="C362" s="334"/>
      <c r="D362" s="130"/>
      <c r="E362" s="335"/>
      <c r="F362" s="336"/>
      <c r="G362" s="112" t="s">
        <v>17</v>
      </c>
      <c r="H362" s="22"/>
      <c r="I362" s="112"/>
      <c r="J362" s="115"/>
      <c r="K362" s="116"/>
      <c r="L362" s="116"/>
      <c r="M362" s="115"/>
      <c r="N362" s="117"/>
      <c r="O362" s="117"/>
      <c r="P362" s="117"/>
    </row>
    <row r="363" ht="20.25" customHeight="1">
      <c r="A363" s="337"/>
      <c r="B363" s="33"/>
      <c r="C363" s="252"/>
      <c r="D363" s="120"/>
      <c r="E363" s="254"/>
      <c r="F363" s="255"/>
      <c r="G363" s="122" t="s">
        <v>17</v>
      </c>
      <c r="H363" s="14"/>
      <c r="I363" s="122"/>
      <c r="J363" s="124"/>
      <c r="K363" s="126"/>
      <c r="L363" s="126"/>
      <c r="M363" s="124"/>
      <c r="N363" s="127"/>
      <c r="O363" s="127"/>
      <c r="P363" s="127"/>
    </row>
    <row r="364" ht="20.25" customHeight="1">
      <c r="A364" s="333"/>
      <c r="B364" s="63"/>
      <c r="C364" s="334"/>
      <c r="D364" s="130"/>
      <c r="E364" s="335"/>
      <c r="F364" s="336"/>
      <c r="G364" s="112" t="s">
        <v>17</v>
      </c>
      <c r="H364" s="22"/>
      <c r="I364" s="112"/>
      <c r="J364" s="115"/>
      <c r="K364" s="116"/>
      <c r="L364" s="116"/>
      <c r="M364" s="115"/>
      <c r="N364" s="117"/>
      <c r="O364" s="117"/>
      <c r="P364" s="117"/>
    </row>
    <row r="365" ht="20.25" customHeight="1">
      <c r="A365" s="337"/>
      <c r="B365" s="33"/>
      <c r="C365" s="252"/>
      <c r="D365" s="120"/>
      <c r="E365" s="254"/>
      <c r="F365" s="255"/>
      <c r="G365" s="122" t="s">
        <v>17</v>
      </c>
      <c r="H365" s="14"/>
      <c r="I365" s="122"/>
      <c r="J365" s="124"/>
      <c r="K365" s="126"/>
      <c r="L365" s="126"/>
      <c r="M365" s="124"/>
      <c r="N365" s="127"/>
      <c r="O365" s="127"/>
      <c r="P365" s="127"/>
    </row>
    <row r="366" ht="20.25" customHeight="1">
      <c r="A366" s="333"/>
      <c r="B366" s="63"/>
      <c r="C366" s="334"/>
      <c r="D366" s="130"/>
      <c r="E366" s="335"/>
      <c r="F366" s="336"/>
      <c r="G366" s="112" t="s">
        <v>17</v>
      </c>
      <c r="H366" s="22"/>
      <c r="I366" s="112"/>
      <c r="J366" s="115"/>
      <c r="K366" s="116"/>
      <c r="L366" s="116"/>
      <c r="M366" s="115"/>
      <c r="N366" s="117"/>
      <c r="O366" s="117"/>
      <c r="P366" s="117"/>
    </row>
    <row r="367" ht="20.25" customHeight="1">
      <c r="A367" s="337"/>
      <c r="B367" s="33"/>
      <c r="C367" s="252"/>
      <c r="D367" s="120"/>
      <c r="E367" s="254"/>
      <c r="F367" s="255"/>
      <c r="G367" s="122" t="s">
        <v>17</v>
      </c>
      <c r="H367" s="14"/>
      <c r="I367" s="122"/>
      <c r="J367" s="124"/>
      <c r="K367" s="126"/>
      <c r="L367" s="126"/>
      <c r="M367" s="124"/>
      <c r="N367" s="127"/>
      <c r="O367" s="127"/>
      <c r="P367" s="127"/>
    </row>
    <row r="368" ht="20.25" customHeight="1">
      <c r="A368" s="333"/>
      <c r="B368" s="63"/>
      <c r="C368" s="334"/>
      <c r="D368" s="130"/>
      <c r="E368" s="335"/>
      <c r="F368" s="336"/>
      <c r="G368" s="112" t="s">
        <v>17</v>
      </c>
      <c r="H368" s="22"/>
      <c r="I368" s="112"/>
      <c r="J368" s="115"/>
      <c r="K368" s="116"/>
      <c r="L368" s="116"/>
      <c r="M368" s="115"/>
      <c r="N368" s="117"/>
      <c r="O368" s="117"/>
      <c r="P368" s="117"/>
    </row>
    <row r="369" ht="20.25" customHeight="1">
      <c r="A369" s="337"/>
      <c r="B369" s="33"/>
      <c r="C369" s="252"/>
      <c r="D369" s="120"/>
      <c r="E369" s="254"/>
      <c r="F369" s="255"/>
      <c r="G369" s="122" t="s">
        <v>17</v>
      </c>
      <c r="H369" s="14"/>
      <c r="I369" s="122"/>
      <c r="J369" s="124"/>
      <c r="K369" s="126"/>
      <c r="L369" s="126"/>
      <c r="M369" s="124"/>
      <c r="N369" s="127"/>
      <c r="O369" s="127"/>
      <c r="P369" s="127"/>
    </row>
    <row r="370" ht="20.25" customHeight="1">
      <c r="A370" s="333"/>
      <c r="B370" s="63"/>
      <c r="C370" s="334"/>
      <c r="D370" s="130"/>
      <c r="E370" s="335"/>
      <c r="F370" s="336"/>
      <c r="G370" s="112" t="s">
        <v>17</v>
      </c>
      <c r="H370" s="22"/>
      <c r="I370" s="112"/>
      <c r="J370" s="115"/>
      <c r="K370" s="116"/>
      <c r="L370" s="116"/>
      <c r="M370" s="115"/>
      <c r="N370" s="117"/>
      <c r="O370" s="117"/>
      <c r="P370" s="117"/>
    </row>
    <row r="371" ht="20.25" customHeight="1">
      <c r="A371" s="337"/>
      <c r="B371" s="33"/>
      <c r="C371" s="252"/>
      <c r="D371" s="120"/>
      <c r="E371" s="254"/>
      <c r="F371" s="255"/>
      <c r="G371" s="122" t="s">
        <v>17</v>
      </c>
      <c r="H371" s="14"/>
      <c r="I371" s="122"/>
      <c r="J371" s="124"/>
      <c r="K371" s="126"/>
      <c r="L371" s="126"/>
      <c r="M371" s="124"/>
      <c r="N371" s="127"/>
      <c r="O371" s="127"/>
      <c r="P371" s="127"/>
    </row>
    <row r="372" ht="20.25" customHeight="1">
      <c r="A372" s="333"/>
      <c r="B372" s="63"/>
      <c r="C372" s="334"/>
      <c r="D372" s="130"/>
      <c r="E372" s="335"/>
      <c r="F372" s="336"/>
      <c r="G372" s="112" t="s">
        <v>17</v>
      </c>
      <c r="H372" s="22"/>
      <c r="I372" s="112"/>
      <c r="J372" s="115"/>
      <c r="K372" s="116"/>
      <c r="L372" s="116"/>
      <c r="M372" s="115"/>
      <c r="N372" s="117"/>
      <c r="O372" s="117"/>
      <c r="P372" s="117"/>
    </row>
    <row r="373" ht="20.25" customHeight="1">
      <c r="A373" s="337"/>
      <c r="B373" s="33"/>
      <c r="C373" s="252"/>
      <c r="D373" s="120"/>
      <c r="E373" s="254"/>
      <c r="F373" s="255"/>
      <c r="G373" s="122" t="s">
        <v>17</v>
      </c>
      <c r="H373" s="14"/>
      <c r="I373" s="122"/>
      <c r="J373" s="124"/>
      <c r="K373" s="126"/>
      <c r="L373" s="126"/>
      <c r="M373" s="124"/>
      <c r="N373" s="127"/>
      <c r="O373" s="127"/>
      <c r="P373" s="127"/>
    </row>
    <row r="374" ht="20.25" customHeight="1">
      <c r="A374" s="333"/>
      <c r="B374" s="63"/>
      <c r="C374" s="334"/>
      <c r="D374" s="130"/>
      <c r="E374" s="335"/>
      <c r="F374" s="336"/>
      <c r="G374" s="112" t="s">
        <v>17</v>
      </c>
      <c r="H374" s="22"/>
      <c r="I374" s="112"/>
      <c r="J374" s="115"/>
      <c r="K374" s="116"/>
      <c r="L374" s="116"/>
      <c r="M374" s="115"/>
      <c r="N374" s="117"/>
      <c r="O374" s="117"/>
      <c r="P374" s="117"/>
    </row>
    <row r="375" ht="20.25" customHeight="1">
      <c r="A375" s="337"/>
      <c r="B375" s="33"/>
      <c r="C375" s="252"/>
      <c r="D375" s="120"/>
      <c r="E375" s="254"/>
      <c r="F375" s="255"/>
      <c r="G375" s="122" t="s">
        <v>17</v>
      </c>
      <c r="H375" s="14"/>
      <c r="I375" s="122"/>
      <c r="J375" s="124"/>
      <c r="K375" s="126"/>
      <c r="L375" s="126"/>
      <c r="M375" s="124"/>
      <c r="N375" s="127"/>
      <c r="O375" s="127"/>
      <c r="P375" s="127"/>
    </row>
    <row r="376" ht="20.25" customHeight="1">
      <c r="A376" s="333"/>
      <c r="B376" s="63"/>
      <c r="C376" s="334"/>
      <c r="D376" s="130"/>
      <c r="E376" s="335"/>
      <c r="F376" s="336"/>
      <c r="G376" s="112" t="s">
        <v>17</v>
      </c>
      <c r="H376" s="22"/>
      <c r="I376" s="112"/>
      <c r="J376" s="115"/>
      <c r="K376" s="116"/>
      <c r="L376" s="116"/>
      <c r="M376" s="115"/>
      <c r="N376" s="117"/>
      <c r="O376" s="117"/>
      <c r="P376" s="117"/>
    </row>
    <row r="377" ht="20.25" customHeight="1">
      <c r="A377" s="337"/>
      <c r="B377" s="33"/>
      <c r="C377" s="252"/>
      <c r="D377" s="120"/>
      <c r="E377" s="254"/>
      <c r="F377" s="255"/>
      <c r="G377" s="122" t="s">
        <v>17</v>
      </c>
      <c r="H377" s="14"/>
      <c r="I377" s="122"/>
      <c r="J377" s="124"/>
      <c r="K377" s="126"/>
      <c r="L377" s="126"/>
      <c r="M377" s="124"/>
      <c r="N377" s="127"/>
      <c r="O377" s="127"/>
      <c r="P377" s="127"/>
    </row>
    <row r="378" ht="20.25" customHeight="1">
      <c r="A378" s="333"/>
      <c r="B378" s="63"/>
      <c r="C378" s="334"/>
      <c r="D378" s="130"/>
      <c r="E378" s="335"/>
      <c r="F378" s="336"/>
      <c r="G378" s="112" t="s">
        <v>17</v>
      </c>
      <c r="H378" s="22"/>
      <c r="I378" s="112"/>
      <c r="J378" s="115"/>
      <c r="K378" s="116"/>
      <c r="L378" s="116"/>
      <c r="M378" s="115"/>
      <c r="N378" s="117"/>
      <c r="O378" s="117"/>
      <c r="P378" s="117"/>
    </row>
    <row r="379" ht="20.25" customHeight="1">
      <c r="A379" s="337"/>
      <c r="B379" s="33"/>
      <c r="C379" s="252"/>
      <c r="D379" s="120"/>
      <c r="E379" s="254"/>
      <c r="F379" s="255"/>
      <c r="G379" s="122" t="s">
        <v>17</v>
      </c>
      <c r="H379" s="14"/>
      <c r="I379" s="122"/>
      <c r="J379" s="124"/>
      <c r="K379" s="126"/>
      <c r="L379" s="126"/>
      <c r="M379" s="124"/>
      <c r="N379" s="127"/>
      <c r="O379" s="127"/>
      <c r="P379" s="127"/>
    </row>
    <row r="380" ht="20.25" customHeight="1">
      <c r="A380" s="333"/>
      <c r="B380" s="63"/>
      <c r="C380" s="334"/>
      <c r="D380" s="130"/>
      <c r="E380" s="335"/>
      <c r="F380" s="336"/>
      <c r="G380" s="112" t="s">
        <v>17</v>
      </c>
      <c r="H380" s="22"/>
      <c r="I380" s="112"/>
      <c r="J380" s="115"/>
      <c r="K380" s="116"/>
      <c r="L380" s="116"/>
      <c r="M380" s="115"/>
      <c r="N380" s="117"/>
      <c r="O380" s="117"/>
      <c r="P380" s="117"/>
    </row>
    <row r="381" ht="20.25" customHeight="1">
      <c r="A381" s="337"/>
      <c r="B381" s="33"/>
      <c r="C381" s="252"/>
      <c r="D381" s="120"/>
      <c r="E381" s="254"/>
      <c r="F381" s="255"/>
      <c r="G381" s="122" t="s">
        <v>17</v>
      </c>
      <c r="H381" s="14"/>
      <c r="I381" s="122"/>
      <c r="J381" s="124"/>
      <c r="K381" s="126"/>
      <c r="L381" s="126"/>
      <c r="M381" s="124"/>
      <c r="N381" s="127"/>
      <c r="O381" s="127"/>
      <c r="P381" s="127"/>
    </row>
    <row r="382" ht="20.25" customHeight="1">
      <c r="A382" s="333"/>
      <c r="B382" s="63"/>
      <c r="C382" s="334"/>
      <c r="D382" s="130"/>
      <c r="E382" s="335"/>
      <c r="F382" s="336"/>
      <c r="G382" s="112" t="s">
        <v>17</v>
      </c>
      <c r="H382" s="22"/>
      <c r="I382" s="112"/>
      <c r="J382" s="115"/>
      <c r="K382" s="116"/>
      <c r="L382" s="116"/>
      <c r="M382" s="115"/>
      <c r="N382" s="117"/>
      <c r="O382" s="117"/>
      <c r="P382" s="117"/>
    </row>
    <row r="383" ht="20.25" customHeight="1">
      <c r="A383" s="337"/>
      <c r="B383" s="33"/>
      <c r="C383" s="252"/>
      <c r="D383" s="120"/>
      <c r="E383" s="254"/>
      <c r="F383" s="255"/>
      <c r="G383" s="122" t="s">
        <v>17</v>
      </c>
      <c r="H383" s="14"/>
      <c r="I383" s="122"/>
      <c r="J383" s="124"/>
      <c r="K383" s="126"/>
      <c r="L383" s="126"/>
      <c r="M383" s="124"/>
      <c r="N383" s="127"/>
      <c r="O383" s="127"/>
      <c r="P383" s="127"/>
    </row>
    <row r="384" ht="20.25" customHeight="1">
      <c r="A384" s="333"/>
      <c r="B384" s="63"/>
      <c r="C384" s="334"/>
      <c r="D384" s="130"/>
      <c r="E384" s="335"/>
      <c r="F384" s="336"/>
      <c r="G384" s="112" t="s">
        <v>17</v>
      </c>
      <c r="H384" s="22"/>
      <c r="I384" s="112"/>
      <c r="J384" s="115"/>
      <c r="K384" s="116"/>
      <c r="L384" s="116"/>
      <c r="M384" s="115"/>
      <c r="N384" s="117"/>
      <c r="O384" s="117"/>
      <c r="P384" s="117"/>
    </row>
    <row r="385" ht="20.25" customHeight="1">
      <c r="A385" s="337"/>
      <c r="B385" s="33"/>
      <c r="C385" s="252"/>
      <c r="D385" s="120"/>
      <c r="E385" s="254"/>
      <c r="F385" s="255"/>
      <c r="G385" s="122" t="s">
        <v>17</v>
      </c>
      <c r="H385" s="14"/>
      <c r="I385" s="122"/>
      <c r="J385" s="124"/>
      <c r="K385" s="126"/>
      <c r="L385" s="126"/>
      <c r="M385" s="124"/>
      <c r="N385" s="127"/>
      <c r="O385" s="127"/>
      <c r="P385" s="127"/>
    </row>
    <row r="386" ht="20.25" customHeight="1">
      <c r="A386" s="333"/>
      <c r="B386" s="63"/>
      <c r="C386" s="334"/>
      <c r="D386" s="130"/>
      <c r="E386" s="335"/>
      <c r="F386" s="336"/>
      <c r="G386" s="112" t="s">
        <v>17</v>
      </c>
      <c r="H386" s="22"/>
      <c r="I386" s="112"/>
      <c r="J386" s="115"/>
      <c r="K386" s="116"/>
      <c r="L386" s="116"/>
      <c r="M386" s="115"/>
      <c r="N386" s="117"/>
      <c r="O386" s="117"/>
      <c r="P386" s="117"/>
    </row>
    <row r="387" ht="20.25" customHeight="1">
      <c r="A387" s="337"/>
      <c r="B387" s="33"/>
      <c r="C387" s="252"/>
      <c r="D387" s="120"/>
      <c r="E387" s="254"/>
      <c r="F387" s="255"/>
      <c r="G387" s="122" t="s">
        <v>17</v>
      </c>
      <c r="H387" s="14"/>
      <c r="I387" s="122"/>
      <c r="J387" s="124"/>
      <c r="K387" s="126"/>
      <c r="L387" s="126"/>
      <c r="M387" s="124"/>
      <c r="N387" s="127"/>
      <c r="O387" s="127"/>
      <c r="P387" s="127"/>
    </row>
    <row r="388" ht="20.25" customHeight="1">
      <c r="A388" s="333"/>
      <c r="B388" s="63"/>
      <c r="C388" s="334"/>
      <c r="D388" s="130"/>
      <c r="E388" s="335"/>
      <c r="F388" s="336"/>
      <c r="G388" s="112" t="s">
        <v>17</v>
      </c>
      <c r="H388" s="22"/>
      <c r="I388" s="112"/>
      <c r="J388" s="115"/>
      <c r="K388" s="116"/>
      <c r="L388" s="116"/>
      <c r="M388" s="115"/>
      <c r="N388" s="117"/>
      <c r="O388" s="117"/>
      <c r="P388" s="117"/>
    </row>
    <row r="389" ht="20.25" customHeight="1">
      <c r="A389" s="337"/>
      <c r="B389" s="33"/>
      <c r="C389" s="252"/>
      <c r="D389" s="120"/>
      <c r="E389" s="254"/>
      <c r="F389" s="255"/>
      <c r="G389" s="122" t="s">
        <v>17</v>
      </c>
      <c r="H389" s="14"/>
      <c r="I389" s="122"/>
      <c r="J389" s="124"/>
      <c r="K389" s="126"/>
      <c r="L389" s="126"/>
      <c r="M389" s="124"/>
      <c r="N389" s="127"/>
      <c r="O389" s="127"/>
      <c r="P389" s="127"/>
    </row>
    <row r="390" ht="20.25" customHeight="1">
      <c r="A390" s="333"/>
      <c r="B390" s="63"/>
      <c r="C390" s="334"/>
      <c r="D390" s="130"/>
      <c r="E390" s="335"/>
      <c r="F390" s="336"/>
      <c r="G390" s="112" t="s">
        <v>17</v>
      </c>
      <c r="H390" s="22"/>
      <c r="I390" s="112"/>
      <c r="J390" s="115"/>
      <c r="K390" s="116"/>
      <c r="L390" s="116"/>
      <c r="M390" s="115"/>
      <c r="N390" s="117"/>
      <c r="O390" s="117"/>
      <c r="P390" s="117"/>
    </row>
    <row r="391" ht="20.25" customHeight="1">
      <c r="A391" s="337"/>
      <c r="B391" s="33"/>
      <c r="C391" s="252"/>
      <c r="D391" s="120"/>
      <c r="E391" s="254"/>
      <c r="F391" s="255"/>
      <c r="G391" s="122" t="s">
        <v>17</v>
      </c>
      <c r="H391" s="14"/>
      <c r="I391" s="122"/>
      <c r="J391" s="124"/>
      <c r="K391" s="126"/>
      <c r="L391" s="126"/>
      <c r="M391" s="124"/>
      <c r="N391" s="127"/>
      <c r="O391" s="127"/>
      <c r="P391" s="127"/>
    </row>
    <row r="392" ht="20.25" customHeight="1">
      <c r="A392" s="333"/>
      <c r="B392" s="63"/>
      <c r="C392" s="334"/>
      <c r="D392" s="130"/>
      <c r="E392" s="335"/>
      <c r="F392" s="336"/>
      <c r="G392" s="112" t="s">
        <v>17</v>
      </c>
      <c r="H392" s="22"/>
      <c r="I392" s="112"/>
      <c r="J392" s="115"/>
      <c r="K392" s="116"/>
      <c r="L392" s="116"/>
      <c r="M392" s="115"/>
      <c r="N392" s="117"/>
      <c r="O392" s="117"/>
      <c r="P392" s="117"/>
    </row>
    <row r="393" ht="20.25" customHeight="1">
      <c r="A393" s="337"/>
      <c r="B393" s="33"/>
      <c r="C393" s="252"/>
      <c r="D393" s="120"/>
      <c r="E393" s="254"/>
      <c r="F393" s="255"/>
      <c r="G393" s="122" t="s">
        <v>17</v>
      </c>
      <c r="H393" s="14"/>
      <c r="I393" s="122"/>
      <c r="J393" s="124"/>
      <c r="K393" s="126"/>
      <c r="L393" s="126"/>
      <c r="M393" s="124"/>
      <c r="N393" s="127"/>
      <c r="O393" s="127"/>
      <c r="P393" s="127"/>
    </row>
    <row r="394" ht="20.25" customHeight="1">
      <c r="A394" s="333"/>
      <c r="B394" s="63"/>
      <c r="C394" s="334"/>
      <c r="D394" s="130"/>
      <c r="E394" s="335"/>
      <c r="F394" s="336"/>
      <c r="G394" s="112" t="s">
        <v>17</v>
      </c>
      <c r="H394" s="22"/>
      <c r="I394" s="112"/>
      <c r="J394" s="115"/>
      <c r="K394" s="116"/>
      <c r="L394" s="116"/>
      <c r="M394" s="115"/>
      <c r="N394" s="117"/>
      <c r="O394" s="117"/>
      <c r="P394" s="117"/>
    </row>
    <row r="395" ht="20.25" customHeight="1">
      <c r="A395" s="337"/>
      <c r="B395" s="33"/>
      <c r="C395" s="252"/>
      <c r="D395" s="120"/>
      <c r="E395" s="254"/>
      <c r="F395" s="255"/>
      <c r="G395" s="122" t="s">
        <v>17</v>
      </c>
      <c r="H395" s="14"/>
      <c r="I395" s="122"/>
      <c r="J395" s="124"/>
      <c r="K395" s="126"/>
      <c r="L395" s="126"/>
      <c r="M395" s="124"/>
      <c r="N395" s="127"/>
      <c r="O395" s="127"/>
      <c r="P395" s="127"/>
    </row>
    <row r="396" ht="20.25" customHeight="1">
      <c r="A396" s="333"/>
      <c r="B396" s="63"/>
      <c r="C396" s="334"/>
      <c r="D396" s="130"/>
      <c r="E396" s="335"/>
      <c r="F396" s="336"/>
      <c r="G396" s="112" t="s">
        <v>17</v>
      </c>
      <c r="H396" s="22"/>
      <c r="I396" s="112"/>
      <c r="J396" s="115"/>
      <c r="K396" s="116"/>
      <c r="L396" s="116"/>
      <c r="M396" s="115"/>
      <c r="N396" s="117"/>
      <c r="O396" s="117"/>
      <c r="P396" s="117"/>
    </row>
    <row r="397" ht="20.25" customHeight="1">
      <c r="A397" s="337"/>
      <c r="B397" s="33"/>
      <c r="C397" s="252"/>
      <c r="D397" s="120"/>
      <c r="E397" s="254"/>
      <c r="F397" s="255"/>
      <c r="G397" s="122" t="s">
        <v>17</v>
      </c>
      <c r="H397" s="14"/>
      <c r="I397" s="122"/>
      <c r="J397" s="124"/>
      <c r="K397" s="126"/>
      <c r="L397" s="126"/>
      <c r="M397" s="124"/>
      <c r="N397" s="127"/>
      <c r="O397" s="127"/>
      <c r="P397" s="127"/>
    </row>
    <row r="398" ht="20.25" customHeight="1">
      <c r="A398" s="333"/>
      <c r="B398" s="63"/>
      <c r="C398" s="334"/>
      <c r="D398" s="130"/>
      <c r="E398" s="335"/>
      <c r="F398" s="336"/>
      <c r="G398" s="112" t="s">
        <v>17</v>
      </c>
      <c r="H398" s="22"/>
      <c r="I398" s="112"/>
      <c r="J398" s="115"/>
      <c r="K398" s="116"/>
      <c r="L398" s="116"/>
      <c r="M398" s="115"/>
      <c r="N398" s="117"/>
      <c r="O398" s="117"/>
      <c r="P398" s="117"/>
    </row>
    <row r="399" ht="20.25" customHeight="1">
      <c r="A399" s="337"/>
      <c r="B399" s="33"/>
      <c r="C399" s="252"/>
      <c r="D399" s="120"/>
      <c r="E399" s="254"/>
      <c r="F399" s="255"/>
      <c r="G399" s="122" t="s">
        <v>17</v>
      </c>
      <c r="H399" s="14"/>
      <c r="I399" s="122"/>
      <c r="J399" s="124"/>
      <c r="K399" s="126"/>
      <c r="L399" s="126"/>
      <c r="M399" s="124"/>
      <c r="N399" s="127"/>
      <c r="O399" s="127"/>
      <c r="P399" s="127"/>
    </row>
    <row r="400" ht="20.25" customHeight="1">
      <c r="A400" s="333"/>
      <c r="B400" s="63"/>
      <c r="C400" s="334"/>
      <c r="D400" s="130"/>
      <c r="E400" s="335"/>
      <c r="F400" s="336"/>
      <c r="G400" s="112" t="s">
        <v>17</v>
      </c>
      <c r="H400" s="22"/>
      <c r="I400" s="112"/>
      <c r="J400" s="115"/>
      <c r="K400" s="116"/>
      <c r="L400" s="116"/>
      <c r="M400" s="115"/>
      <c r="N400" s="117"/>
      <c r="O400" s="117"/>
      <c r="P400" s="117"/>
    </row>
    <row r="401" ht="20.25" customHeight="1">
      <c r="A401" s="337"/>
      <c r="B401" s="33"/>
      <c r="C401" s="252"/>
      <c r="D401" s="120"/>
      <c r="E401" s="254"/>
      <c r="F401" s="255"/>
      <c r="G401" s="122" t="s">
        <v>17</v>
      </c>
      <c r="H401" s="14"/>
      <c r="I401" s="122"/>
      <c r="J401" s="124"/>
      <c r="K401" s="126"/>
      <c r="L401" s="126"/>
      <c r="M401" s="124"/>
      <c r="N401" s="127"/>
      <c r="O401" s="127"/>
      <c r="P401" s="127"/>
    </row>
    <row r="402" ht="20.25" customHeight="1">
      <c r="A402" s="333"/>
      <c r="B402" s="63"/>
      <c r="C402" s="334"/>
      <c r="D402" s="130"/>
      <c r="E402" s="335"/>
      <c r="F402" s="336"/>
      <c r="G402" s="112" t="s">
        <v>17</v>
      </c>
      <c r="H402" s="22"/>
      <c r="I402" s="112"/>
      <c r="J402" s="115"/>
      <c r="K402" s="116"/>
      <c r="L402" s="116"/>
      <c r="M402" s="115"/>
      <c r="N402" s="117"/>
      <c r="O402" s="117"/>
      <c r="P402" s="117"/>
    </row>
    <row r="403" ht="20.25" customHeight="1">
      <c r="A403" s="337"/>
      <c r="B403" s="33"/>
      <c r="C403" s="252"/>
      <c r="D403" s="120"/>
      <c r="E403" s="254"/>
      <c r="F403" s="255"/>
      <c r="G403" s="122" t="s">
        <v>17</v>
      </c>
      <c r="H403" s="14"/>
      <c r="I403" s="122"/>
      <c r="J403" s="124"/>
      <c r="K403" s="126"/>
      <c r="L403" s="126"/>
      <c r="M403" s="124"/>
      <c r="N403" s="127"/>
      <c r="O403" s="127"/>
      <c r="P403" s="127"/>
    </row>
    <row r="404" ht="20.25" customHeight="1">
      <c r="A404" s="333"/>
      <c r="B404" s="63"/>
      <c r="C404" s="334"/>
      <c r="D404" s="130"/>
      <c r="E404" s="335"/>
      <c r="F404" s="336"/>
      <c r="G404" s="112" t="s">
        <v>17</v>
      </c>
      <c r="H404" s="22"/>
      <c r="I404" s="112"/>
      <c r="J404" s="115"/>
      <c r="K404" s="116"/>
      <c r="L404" s="116"/>
      <c r="M404" s="115"/>
      <c r="N404" s="117"/>
      <c r="O404" s="117"/>
      <c r="P404" s="117"/>
    </row>
    <row r="405" ht="20.25" customHeight="1">
      <c r="A405" s="337"/>
      <c r="B405" s="33"/>
      <c r="C405" s="252"/>
      <c r="D405" s="120"/>
      <c r="E405" s="254"/>
      <c r="F405" s="255"/>
      <c r="G405" s="122" t="s">
        <v>17</v>
      </c>
      <c r="H405" s="14"/>
      <c r="I405" s="122"/>
      <c r="J405" s="124"/>
      <c r="K405" s="126"/>
      <c r="L405" s="126"/>
      <c r="M405" s="124"/>
      <c r="N405" s="127"/>
      <c r="O405" s="127"/>
      <c r="P405" s="127"/>
    </row>
    <row r="406" ht="20.25" customHeight="1">
      <c r="A406" s="333"/>
      <c r="B406" s="63"/>
      <c r="C406" s="334"/>
      <c r="D406" s="130"/>
      <c r="E406" s="335"/>
      <c r="F406" s="336"/>
      <c r="G406" s="112" t="s">
        <v>17</v>
      </c>
      <c r="H406" s="22"/>
      <c r="I406" s="112"/>
      <c r="J406" s="115"/>
      <c r="K406" s="116"/>
      <c r="L406" s="116"/>
      <c r="M406" s="115"/>
      <c r="N406" s="117"/>
      <c r="O406" s="117"/>
      <c r="P406" s="117"/>
    </row>
    <row r="407" ht="20.25" customHeight="1">
      <c r="A407" s="337"/>
      <c r="B407" s="33"/>
      <c r="C407" s="252"/>
      <c r="D407" s="120"/>
      <c r="E407" s="254"/>
      <c r="F407" s="255"/>
      <c r="G407" s="122" t="s">
        <v>17</v>
      </c>
      <c r="H407" s="14"/>
      <c r="I407" s="122"/>
      <c r="J407" s="124"/>
      <c r="K407" s="126"/>
      <c r="L407" s="126"/>
      <c r="M407" s="124"/>
      <c r="N407" s="127"/>
      <c r="O407" s="127"/>
      <c r="P407" s="127"/>
    </row>
    <row r="408" ht="20.25" customHeight="1">
      <c r="A408" s="333"/>
      <c r="B408" s="63"/>
      <c r="C408" s="334"/>
      <c r="D408" s="130"/>
      <c r="E408" s="335"/>
      <c r="F408" s="336"/>
      <c r="G408" s="112" t="s">
        <v>17</v>
      </c>
      <c r="H408" s="22"/>
      <c r="I408" s="112"/>
      <c r="J408" s="115"/>
      <c r="K408" s="116"/>
      <c r="L408" s="116"/>
      <c r="M408" s="115"/>
      <c r="N408" s="117"/>
      <c r="O408" s="117"/>
      <c r="P408" s="117"/>
    </row>
    <row r="409" ht="20.25" customHeight="1">
      <c r="A409" s="337"/>
      <c r="B409" s="33"/>
      <c r="C409" s="252"/>
      <c r="D409" s="120"/>
      <c r="E409" s="254"/>
      <c r="F409" s="255"/>
      <c r="G409" s="122" t="s">
        <v>17</v>
      </c>
      <c r="H409" s="14"/>
      <c r="I409" s="122"/>
      <c r="J409" s="124"/>
      <c r="K409" s="126"/>
      <c r="L409" s="126"/>
      <c r="M409" s="124"/>
      <c r="N409" s="127"/>
      <c r="O409" s="127"/>
      <c r="P409" s="127"/>
    </row>
    <row r="410" ht="20.25" customHeight="1">
      <c r="A410" s="333"/>
      <c r="B410" s="63"/>
      <c r="C410" s="334"/>
      <c r="D410" s="130"/>
      <c r="E410" s="335"/>
      <c r="F410" s="336"/>
      <c r="G410" s="112" t="s">
        <v>17</v>
      </c>
      <c r="H410" s="22"/>
      <c r="I410" s="112"/>
      <c r="J410" s="115"/>
      <c r="K410" s="116"/>
      <c r="L410" s="116"/>
      <c r="M410" s="115"/>
      <c r="N410" s="117"/>
      <c r="O410" s="117"/>
      <c r="P410" s="117"/>
    </row>
    <row r="411" ht="20.25" customHeight="1">
      <c r="A411" s="337"/>
      <c r="B411" s="33"/>
      <c r="C411" s="252"/>
      <c r="D411" s="120"/>
      <c r="E411" s="254"/>
      <c r="F411" s="255"/>
      <c r="G411" s="122" t="s">
        <v>17</v>
      </c>
      <c r="H411" s="14"/>
      <c r="I411" s="122"/>
      <c r="J411" s="124"/>
      <c r="K411" s="126"/>
      <c r="L411" s="126"/>
      <c r="M411" s="124"/>
      <c r="N411" s="127"/>
      <c r="O411" s="127"/>
      <c r="P411" s="127"/>
    </row>
    <row r="412" ht="20.25" customHeight="1">
      <c r="A412" s="333"/>
      <c r="B412" s="63"/>
      <c r="C412" s="334"/>
      <c r="D412" s="130"/>
      <c r="E412" s="335"/>
      <c r="F412" s="336"/>
      <c r="G412" s="112" t="s">
        <v>17</v>
      </c>
      <c r="H412" s="22"/>
      <c r="I412" s="112"/>
      <c r="J412" s="115"/>
      <c r="K412" s="116"/>
      <c r="L412" s="116"/>
      <c r="M412" s="115"/>
      <c r="N412" s="117"/>
      <c r="O412" s="117"/>
      <c r="P412" s="117"/>
    </row>
    <row r="413" ht="20.25" customHeight="1">
      <c r="A413" s="337"/>
      <c r="B413" s="33"/>
      <c r="C413" s="252"/>
      <c r="D413" s="120"/>
      <c r="E413" s="254"/>
      <c r="F413" s="255"/>
      <c r="G413" s="122" t="s">
        <v>17</v>
      </c>
      <c r="H413" s="14"/>
      <c r="I413" s="122"/>
      <c r="J413" s="124"/>
      <c r="K413" s="126"/>
      <c r="L413" s="126"/>
      <c r="M413" s="124"/>
      <c r="N413" s="127"/>
      <c r="O413" s="127"/>
      <c r="P413" s="127"/>
    </row>
    <row r="414" ht="20.25" customHeight="1">
      <c r="A414" s="333"/>
      <c r="B414" s="63"/>
      <c r="C414" s="334"/>
      <c r="D414" s="130"/>
      <c r="E414" s="335"/>
      <c r="F414" s="336"/>
      <c r="G414" s="112" t="s">
        <v>17</v>
      </c>
      <c r="H414" s="22"/>
      <c r="I414" s="112"/>
      <c r="J414" s="115"/>
      <c r="K414" s="116"/>
      <c r="L414" s="116"/>
      <c r="M414" s="115"/>
      <c r="N414" s="117"/>
      <c r="O414" s="117"/>
      <c r="P414" s="117"/>
    </row>
    <row r="415" ht="20.25" customHeight="1">
      <c r="A415" s="337"/>
      <c r="B415" s="33"/>
      <c r="C415" s="252"/>
      <c r="D415" s="120"/>
      <c r="E415" s="254"/>
      <c r="F415" s="255"/>
      <c r="G415" s="122" t="s">
        <v>17</v>
      </c>
      <c r="H415" s="14"/>
      <c r="I415" s="122"/>
      <c r="J415" s="124"/>
      <c r="K415" s="126"/>
      <c r="L415" s="126"/>
      <c r="M415" s="124"/>
      <c r="N415" s="127"/>
      <c r="O415" s="127"/>
      <c r="P415" s="127"/>
    </row>
    <row r="416" ht="20.25" customHeight="1">
      <c r="A416" s="333"/>
      <c r="B416" s="63"/>
      <c r="C416" s="334"/>
      <c r="D416" s="130"/>
      <c r="E416" s="335"/>
      <c r="F416" s="336"/>
      <c r="G416" s="112" t="s">
        <v>17</v>
      </c>
      <c r="H416" s="22"/>
      <c r="I416" s="112"/>
      <c r="J416" s="115"/>
      <c r="K416" s="116"/>
      <c r="L416" s="116"/>
      <c r="M416" s="115"/>
      <c r="N416" s="117"/>
      <c r="O416" s="117"/>
      <c r="P416" s="117"/>
    </row>
    <row r="417" ht="20.25" customHeight="1">
      <c r="A417" s="337"/>
      <c r="B417" s="33"/>
      <c r="C417" s="252"/>
      <c r="D417" s="120"/>
      <c r="E417" s="254"/>
      <c r="F417" s="255"/>
      <c r="G417" s="122" t="s">
        <v>17</v>
      </c>
      <c r="H417" s="14"/>
      <c r="I417" s="122"/>
      <c r="J417" s="124"/>
      <c r="K417" s="126"/>
      <c r="L417" s="126"/>
      <c r="M417" s="124"/>
      <c r="N417" s="127"/>
      <c r="O417" s="127"/>
      <c r="P417" s="127"/>
    </row>
    <row r="418" ht="20.25" customHeight="1">
      <c r="A418" s="333"/>
      <c r="B418" s="63"/>
      <c r="C418" s="334"/>
      <c r="D418" s="130"/>
      <c r="E418" s="335"/>
      <c r="F418" s="336"/>
      <c r="G418" s="112" t="s">
        <v>17</v>
      </c>
      <c r="H418" s="22"/>
      <c r="I418" s="112"/>
      <c r="J418" s="115"/>
      <c r="K418" s="116"/>
      <c r="L418" s="116"/>
      <c r="M418" s="115"/>
      <c r="N418" s="117"/>
      <c r="O418" s="117"/>
      <c r="P418" s="117"/>
    </row>
    <row r="419" ht="20.25" customHeight="1">
      <c r="A419" s="337"/>
      <c r="B419" s="33"/>
      <c r="C419" s="252"/>
      <c r="D419" s="120"/>
      <c r="E419" s="254"/>
      <c r="F419" s="255"/>
      <c r="G419" s="122" t="s">
        <v>17</v>
      </c>
      <c r="H419" s="14"/>
      <c r="I419" s="122"/>
      <c r="J419" s="124"/>
      <c r="K419" s="126"/>
      <c r="L419" s="126"/>
      <c r="M419" s="124"/>
      <c r="N419" s="127"/>
      <c r="O419" s="127"/>
      <c r="P419" s="127"/>
    </row>
    <row r="420" ht="20.25" customHeight="1">
      <c r="A420" s="333"/>
      <c r="B420" s="63"/>
      <c r="C420" s="334"/>
      <c r="D420" s="130"/>
      <c r="E420" s="335"/>
      <c r="F420" s="336"/>
      <c r="G420" s="112" t="s">
        <v>17</v>
      </c>
      <c r="H420" s="22"/>
      <c r="I420" s="112"/>
      <c r="J420" s="115"/>
      <c r="K420" s="116"/>
      <c r="L420" s="116"/>
      <c r="M420" s="115"/>
      <c r="N420" s="117"/>
      <c r="O420" s="117"/>
      <c r="P420" s="117"/>
    </row>
    <row r="421" ht="20.25" customHeight="1">
      <c r="A421" s="337"/>
      <c r="B421" s="33"/>
      <c r="C421" s="252"/>
      <c r="D421" s="120"/>
      <c r="E421" s="254"/>
      <c r="F421" s="255"/>
      <c r="G421" s="122" t="s">
        <v>17</v>
      </c>
      <c r="H421" s="14"/>
      <c r="I421" s="122"/>
      <c r="J421" s="124"/>
      <c r="K421" s="126"/>
      <c r="L421" s="126"/>
      <c r="M421" s="124"/>
      <c r="N421" s="127"/>
      <c r="O421" s="127"/>
      <c r="P421" s="127"/>
    </row>
    <row r="422" ht="20.25" customHeight="1">
      <c r="A422" s="333"/>
      <c r="B422" s="63"/>
      <c r="C422" s="334"/>
      <c r="D422" s="130"/>
      <c r="E422" s="335"/>
      <c r="F422" s="336"/>
      <c r="G422" s="112" t="s">
        <v>17</v>
      </c>
      <c r="H422" s="22"/>
      <c r="I422" s="112"/>
      <c r="J422" s="115"/>
      <c r="K422" s="116"/>
      <c r="L422" s="116"/>
      <c r="M422" s="115"/>
      <c r="N422" s="117"/>
      <c r="O422" s="117"/>
      <c r="P422" s="117"/>
    </row>
    <row r="423" ht="20.25" customHeight="1">
      <c r="A423" s="337"/>
      <c r="B423" s="33"/>
      <c r="C423" s="252"/>
      <c r="D423" s="120"/>
      <c r="E423" s="254"/>
      <c r="F423" s="255"/>
      <c r="G423" s="122" t="s">
        <v>17</v>
      </c>
      <c r="H423" s="14"/>
      <c r="I423" s="122"/>
      <c r="J423" s="124"/>
      <c r="K423" s="126"/>
      <c r="L423" s="126"/>
      <c r="M423" s="124"/>
      <c r="N423" s="127"/>
      <c r="O423" s="127"/>
      <c r="P423" s="127"/>
    </row>
    <row r="424" ht="20.25" customHeight="1">
      <c r="A424" s="333"/>
      <c r="B424" s="63"/>
      <c r="C424" s="334"/>
      <c r="D424" s="130"/>
      <c r="E424" s="335"/>
      <c r="F424" s="336"/>
      <c r="G424" s="112" t="s">
        <v>17</v>
      </c>
      <c r="H424" s="22"/>
      <c r="I424" s="112"/>
      <c r="J424" s="115"/>
      <c r="K424" s="116"/>
      <c r="L424" s="116"/>
      <c r="M424" s="115"/>
      <c r="N424" s="117"/>
      <c r="O424" s="117"/>
      <c r="P424" s="117"/>
    </row>
    <row r="425" ht="20.25" customHeight="1">
      <c r="A425" s="337"/>
      <c r="B425" s="33"/>
      <c r="C425" s="252"/>
      <c r="D425" s="120"/>
      <c r="E425" s="254"/>
      <c r="F425" s="255"/>
      <c r="G425" s="122" t="s">
        <v>17</v>
      </c>
      <c r="H425" s="14"/>
      <c r="I425" s="122"/>
      <c r="J425" s="124"/>
      <c r="K425" s="126"/>
      <c r="L425" s="126"/>
      <c r="M425" s="124"/>
      <c r="N425" s="127"/>
      <c r="O425" s="127"/>
      <c r="P425" s="127"/>
    </row>
    <row r="426" ht="20.25" customHeight="1">
      <c r="A426" s="333"/>
      <c r="B426" s="63"/>
      <c r="C426" s="334"/>
      <c r="D426" s="130"/>
      <c r="E426" s="335"/>
      <c r="F426" s="336"/>
      <c r="G426" s="112" t="s">
        <v>17</v>
      </c>
      <c r="H426" s="22"/>
      <c r="I426" s="112"/>
      <c r="J426" s="115"/>
      <c r="K426" s="116"/>
      <c r="L426" s="116"/>
      <c r="M426" s="115"/>
      <c r="N426" s="117"/>
      <c r="O426" s="117"/>
      <c r="P426" s="117"/>
    </row>
    <row r="427" ht="20.25" customHeight="1">
      <c r="A427" s="337"/>
      <c r="B427" s="33"/>
      <c r="C427" s="252"/>
      <c r="D427" s="120"/>
      <c r="E427" s="254"/>
      <c r="F427" s="255"/>
      <c r="G427" s="122" t="s">
        <v>17</v>
      </c>
      <c r="H427" s="14"/>
      <c r="I427" s="122"/>
      <c r="J427" s="124"/>
      <c r="K427" s="126"/>
      <c r="L427" s="126"/>
      <c r="M427" s="124"/>
      <c r="N427" s="127"/>
      <c r="O427" s="127"/>
      <c r="P427" s="127"/>
    </row>
    <row r="428" ht="20.25" customHeight="1">
      <c r="A428" s="333"/>
      <c r="B428" s="63"/>
      <c r="C428" s="334"/>
      <c r="D428" s="130"/>
      <c r="E428" s="335"/>
      <c r="F428" s="336"/>
      <c r="G428" s="112" t="s">
        <v>17</v>
      </c>
      <c r="H428" s="22"/>
      <c r="I428" s="112"/>
      <c r="J428" s="115"/>
      <c r="K428" s="116"/>
      <c r="L428" s="116"/>
      <c r="M428" s="115"/>
      <c r="N428" s="117"/>
      <c r="O428" s="117"/>
      <c r="P428" s="117"/>
    </row>
    <row r="429" ht="20.25" customHeight="1">
      <c r="A429" s="337"/>
      <c r="B429" s="33"/>
      <c r="C429" s="252"/>
      <c r="D429" s="120"/>
      <c r="E429" s="254"/>
      <c r="F429" s="255"/>
      <c r="G429" s="122" t="s">
        <v>17</v>
      </c>
      <c r="H429" s="14"/>
      <c r="I429" s="122"/>
      <c r="J429" s="124"/>
      <c r="K429" s="126"/>
      <c r="L429" s="126"/>
      <c r="M429" s="124"/>
      <c r="N429" s="127"/>
      <c r="O429" s="127"/>
      <c r="P429" s="127"/>
    </row>
    <row r="430" ht="20.25" customHeight="1">
      <c r="A430" s="333"/>
      <c r="B430" s="63"/>
      <c r="C430" s="334"/>
      <c r="D430" s="130"/>
      <c r="E430" s="335"/>
      <c r="F430" s="336"/>
      <c r="G430" s="112" t="s">
        <v>17</v>
      </c>
      <c r="H430" s="22"/>
      <c r="I430" s="112"/>
      <c r="J430" s="115"/>
      <c r="K430" s="116"/>
      <c r="L430" s="116"/>
      <c r="M430" s="115"/>
      <c r="N430" s="117"/>
      <c r="O430" s="117"/>
      <c r="P430" s="117"/>
    </row>
    <row r="431" ht="20.25" customHeight="1">
      <c r="A431" s="337"/>
      <c r="B431" s="33"/>
      <c r="C431" s="252"/>
      <c r="D431" s="120"/>
      <c r="E431" s="254"/>
      <c r="F431" s="255"/>
      <c r="G431" s="122" t="s">
        <v>17</v>
      </c>
      <c r="H431" s="14"/>
      <c r="I431" s="122"/>
      <c r="J431" s="124"/>
      <c r="K431" s="126"/>
      <c r="L431" s="126"/>
      <c r="M431" s="124"/>
      <c r="N431" s="127"/>
      <c r="O431" s="127"/>
      <c r="P431" s="127"/>
    </row>
    <row r="432" ht="20.25" customHeight="1">
      <c r="A432" s="333"/>
      <c r="B432" s="63"/>
      <c r="C432" s="334"/>
      <c r="D432" s="130"/>
      <c r="E432" s="335"/>
      <c r="F432" s="336"/>
      <c r="G432" s="112" t="s">
        <v>17</v>
      </c>
      <c r="H432" s="22"/>
      <c r="I432" s="112"/>
      <c r="J432" s="115"/>
      <c r="K432" s="116"/>
      <c r="L432" s="116"/>
      <c r="M432" s="115"/>
      <c r="N432" s="117"/>
      <c r="O432" s="117"/>
      <c r="P432" s="117"/>
    </row>
    <row r="433" ht="20.25" customHeight="1">
      <c r="A433" s="337"/>
      <c r="B433" s="33"/>
      <c r="C433" s="252"/>
      <c r="D433" s="120"/>
      <c r="E433" s="254"/>
      <c r="F433" s="255"/>
      <c r="G433" s="122" t="s">
        <v>17</v>
      </c>
      <c r="H433" s="14"/>
      <c r="I433" s="122"/>
      <c r="J433" s="124"/>
      <c r="K433" s="126"/>
      <c r="L433" s="126"/>
      <c r="M433" s="124"/>
      <c r="N433" s="127"/>
      <c r="O433" s="127"/>
      <c r="P433" s="127"/>
    </row>
    <row r="434" ht="20.25" customHeight="1">
      <c r="A434" s="333"/>
      <c r="B434" s="63"/>
      <c r="C434" s="334"/>
      <c r="D434" s="130"/>
      <c r="E434" s="335"/>
      <c r="F434" s="336"/>
      <c r="G434" s="112" t="s">
        <v>17</v>
      </c>
      <c r="H434" s="22"/>
      <c r="I434" s="112"/>
      <c r="J434" s="115"/>
      <c r="K434" s="116"/>
      <c r="L434" s="116"/>
      <c r="M434" s="115"/>
      <c r="N434" s="117"/>
      <c r="O434" s="117"/>
      <c r="P434" s="117"/>
    </row>
    <row r="435" ht="20.25" customHeight="1">
      <c r="A435" s="337"/>
      <c r="B435" s="33"/>
      <c r="C435" s="252"/>
      <c r="D435" s="120"/>
      <c r="E435" s="254"/>
      <c r="F435" s="255"/>
      <c r="G435" s="122" t="s">
        <v>17</v>
      </c>
      <c r="H435" s="14"/>
      <c r="I435" s="122"/>
      <c r="J435" s="124"/>
      <c r="K435" s="126"/>
      <c r="L435" s="126"/>
      <c r="M435" s="124"/>
      <c r="N435" s="127"/>
      <c r="O435" s="127"/>
      <c r="P435" s="127"/>
    </row>
    <row r="436" ht="20.25" customHeight="1">
      <c r="A436" s="333"/>
      <c r="B436" s="63"/>
      <c r="C436" s="334"/>
      <c r="D436" s="130"/>
      <c r="E436" s="335"/>
      <c r="F436" s="336"/>
      <c r="G436" s="112" t="s">
        <v>17</v>
      </c>
      <c r="H436" s="22"/>
      <c r="I436" s="112"/>
      <c r="J436" s="115"/>
      <c r="K436" s="116"/>
      <c r="L436" s="116"/>
      <c r="M436" s="115"/>
      <c r="N436" s="117"/>
      <c r="O436" s="117"/>
      <c r="P436" s="117"/>
    </row>
    <row r="437" ht="20.25" customHeight="1">
      <c r="A437" s="337"/>
      <c r="B437" s="33"/>
      <c r="C437" s="252"/>
      <c r="D437" s="120"/>
      <c r="E437" s="254"/>
      <c r="F437" s="255"/>
      <c r="G437" s="122" t="s">
        <v>17</v>
      </c>
      <c r="H437" s="14"/>
      <c r="I437" s="122"/>
      <c r="J437" s="124"/>
      <c r="K437" s="126"/>
      <c r="L437" s="126"/>
      <c r="M437" s="124"/>
      <c r="N437" s="127"/>
      <c r="O437" s="127"/>
      <c r="P437" s="127"/>
    </row>
    <row r="438" ht="20.25" customHeight="1">
      <c r="A438" s="333"/>
      <c r="B438" s="63"/>
      <c r="C438" s="334"/>
      <c r="D438" s="130"/>
      <c r="E438" s="335"/>
      <c r="F438" s="336"/>
      <c r="G438" s="112" t="s">
        <v>17</v>
      </c>
      <c r="H438" s="22"/>
      <c r="I438" s="112"/>
      <c r="J438" s="115"/>
      <c r="K438" s="116"/>
      <c r="L438" s="116"/>
      <c r="M438" s="115"/>
      <c r="N438" s="117"/>
      <c r="O438" s="117"/>
      <c r="P438" s="117"/>
    </row>
    <row r="439" ht="20.25" customHeight="1">
      <c r="A439" s="337"/>
      <c r="B439" s="33"/>
      <c r="C439" s="252"/>
      <c r="D439" s="120"/>
      <c r="E439" s="254"/>
      <c r="F439" s="255"/>
      <c r="G439" s="122" t="s">
        <v>17</v>
      </c>
      <c r="H439" s="14"/>
      <c r="I439" s="122"/>
      <c r="J439" s="124"/>
      <c r="K439" s="126"/>
      <c r="L439" s="126"/>
      <c r="M439" s="124"/>
      <c r="N439" s="127"/>
      <c r="O439" s="127"/>
      <c r="P439" s="127"/>
    </row>
    <row r="440" ht="20.25" customHeight="1">
      <c r="A440" s="333"/>
      <c r="B440" s="63"/>
      <c r="C440" s="334"/>
      <c r="D440" s="130"/>
      <c r="E440" s="335"/>
      <c r="F440" s="336"/>
      <c r="G440" s="112" t="s">
        <v>17</v>
      </c>
      <c r="H440" s="22"/>
      <c r="I440" s="112"/>
      <c r="J440" s="115"/>
      <c r="K440" s="116"/>
      <c r="L440" s="116"/>
      <c r="M440" s="115"/>
      <c r="N440" s="117"/>
      <c r="O440" s="117"/>
      <c r="P440" s="117"/>
    </row>
    <row r="441" ht="20.25" customHeight="1">
      <c r="A441" s="337"/>
      <c r="B441" s="33"/>
      <c r="C441" s="252"/>
      <c r="D441" s="120"/>
      <c r="E441" s="254"/>
      <c r="F441" s="255"/>
      <c r="G441" s="122" t="s">
        <v>17</v>
      </c>
      <c r="H441" s="14"/>
      <c r="I441" s="122"/>
      <c r="J441" s="124"/>
      <c r="K441" s="126"/>
      <c r="L441" s="126"/>
      <c r="M441" s="124"/>
      <c r="N441" s="127"/>
      <c r="O441" s="127"/>
      <c r="P441" s="127"/>
    </row>
    <row r="442" ht="20.25" customHeight="1">
      <c r="A442" s="333"/>
      <c r="B442" s="63"/>
      <c r="C442" s="334"/>
      <c r="D442" s="130"/>
      <c r="E442" s="335"/>
      <c r="F442" s="336"/>
      <c r="G442" s="112" t="s">
        <v>17</v>
      </c>
      <c r="H442" s="22"/>
      <c r="I442" s="112"/>
      <c r="J442" s="115"/>
      <c r="K442" s="116"/>
      <c r="L442" s="116"/>
      <c r="M442" s="115"/>
      <c r="N442" s="117"/>
      <c r="O442" s="117"/>
      <c r="P442" s="117"/>
    </row>
    <row r="443" ht="20.25" customHeight="1">
      <c r="A443" s="337"/>
      <c r="B443" s="33"/>
      <c r="C443" s="252"/>
      <c r="D443" s="120"/>
      <c r="E443" s="254"/>
      <c r="F443" s="255"/>
      <c r="G443" s="122" t="s">
        <v>17</v>
      </c>
      <c r="H443" s="14"/>
      <c r="I443" s="122"/>
      <c r="J443" s="124"/>
      <c r="K443" s="126"/>
      <c r="L443" s="126"/>
      <c r="M443" s="124"/>
      <c r="N443" s="127"/>
      <c r="O443" s="127"/>
      <c r="P443" s="127"/>
    </row>
    <row r="444" ht="20.25" customHeight="1">
      <c r="A444" s="333"/>
      <c r="B444" s="63"/>
      <c r="C444" s="334"/>
      <c r="D444" s="130"/>
      <c r="E444" s="335"/>
      <c r="F444" s="336"/>
      <c r="G444" s="112" t="s">
        <v>17</v>
      </c>
      <c r="H444" s="22"/>
      <c r="I444" s="112"/>
      <c r="J444" s="115"/>
      <c r="K444" s="116"/>
      <c r="L444" s="116"/>
      <c r="M444" s="115"/>
      <c r="N444" s="117"/>
      <c r="O444" s="117"/>
      <c r="P444" s="117"/>
    </row>
    <row r="445" ht="20.25" customHeight="1">
      <c r="A445" s="337"/>
      <c r="B445" s="33"/>
      <c r="C445" s="252"/>
      <c r="D445" s="120"/>
      <c r="E445" s="254"/>
      <c r="F445" s="255"/>
      <c r="G445" s="122" t="s">
        <v>17</v>
      </c>
      <c r="H445" s="14"/>
      <c r="I445" s="122"/>
      <c r="J445" s="124"/>
      <c r="K445" s="126"/>
      <c r="L445" s="126"/>
      <c r="M445" s="124"/>
      <c r="N445" s="127"/>
      <c r="O445" s="127"/>
      <c r="P445" s="127"/>
    </row>
    <row r="446" ht="20.25" customHeight="1">
      <c r="A446" s="333"/>
      <c r="B446" s="63"/>
      <c r="C446" s="334"/>
      <c r="D446" s="130"/>
      <c r="E446" s="335"/>
      <c r="F446" s="336"/>
      <c r="G446" s="112" t="s">
        <v>17</v>
      </c>
      <c r="H446" s="22"/>
      <c r="I446" s="112"/>
      <c r="J446" s="115"/>
      <c r="K446" s="116"/>
      <c r="L446" s="116"/>
      <c r="M446" s="115"/>
      <c r="N446" s="117"/>
      <c r="O446" s="117"/>
      <c r="P446" s="117"/>
    </row>
    <row r="447" ht="20.25" customHeight="1">
      <c r="A447" s="337"/>
      <c r="B447" s="33"/>
      <c r="C447" s="252"/>
      <c r="D447" s="120"/>
      <c r="E447" s="254"/>
      <c r="F447" s="255"/>
      <c r="G447" s="122" t="s">
        <v>17</v>
      </c>
      <c r="H447" s="14"/>
      <c r="I447" s="122"/>
      <c r="J447" s="124"/>
      <c r="K447" s="126"/>
      <c r="L447" s="126"/>
      <c r="M447" s="124"/>
      <c r="N447" s="127"/>
      <c r="O447" s="127"/>
      <c r="P447" s="127"/>
    </row>
    <row r="448" ht="20.25" customHeight="1">
      <c r="A448" s="333"/>
      <c r="B448" s="63"/>
      <c r="C448" s="334"/>
      <c r="D448" s="130"/>
      <c r="E448" s="335"/>
      <c r="F448" s="336"/>
      <c r="G448" s="112" t="s">
        <v>17</v>
      </c>
      <c r="H448" s="22"/>
      <c r="I448" s="112"/>
      <c r="J448" s="115"/>
      <c r="K448" s="116"/>
      <c r="L448" s="116"/>
      <c r="M448" s="115"/>
      <c r="N448" s="117"/>
      <c r="O448" s="117"/>
      <c r="P448" s="117"/>
    </row>
    <row r="449" ht="20.25" customHeight="1">
      <c r="A449" s="337"/>
      <c r="B449" s="33"/>
      <c r="C449" s="252"/>
      <c r="D449" s="120"/>
      <c r="E449" s="254"/>
      <c r="F449" s="255"/>
      <c r="G449" s="122" t="s">
        <v>17</v>
      </c>
      <c r="H449" s="14"/>
      <c r="I449" s="122"/>
      <c r="J449" s="124"/>
      <c r="K449" s="126"/>
      <c r="L449" s="126"/>
      <c r="M449" s="124"/>
      <c r="N449" s="127"/>
      <c r="O449" s="127"/>
      <c r="P449" s="127"/>
    </row>
    <row r="450" ht="20.25" customHeight="1">
      <c r="A450" s="333"/>
      <c r="B450" s="63"/>
      <c r="C450" s="334"/>
      <c r="D450" s="130"/>
      <c r="E450" s="335"/>
      <c r="F450" s="336"/>
      <c r="G450" s="112" t="s">
        <v>17</v>
      </c>
      <c r="H450" s="22"/>
      <c r="I450" s="112"/>
      <c r="J450" s="115"/>
      <c r="K450" s="116"/>
      <c r="L450" s="116"/>
      <c r="M450" s="115"/>
      <c r="N450" s="117"/>
      <c r="O450" s="117"/>
      <c r="P450" s="117"/>
    </row>
    <row r="451" ht="20.25" customHeight="1">
      <c r="A451" s="337"/>
      <c r="B451" s="33"/>
      <c r="C451" s="252"/>
      <c r="D451" s="120"/>
      <c r="E451" s="254"/>
      <c r="F451" s="255"/>
      <c r="G451" s="122" t="s">
        <v>17</v>
      </c>
      <c r="H451" s="14"/>
      <c r="I451" s="122"/>
      <c r="J451" s="124"/>
      <c r="K451" s="126"/>
      <c r="L451" s="126"/>
      <c r="M451" s="124"/>
      <c r="N451" s="127"/>
      <c r="O451" s="127"/>
      <c r="P451" s="127"/>
    </row>
    <row r="452" ht="20.25" customHeight="1">
      <c r="A452" s="333"/>
      <c r="B452" s="63"/>
      <c r="C452" s="334"/>
      <c r="D452" s="130"/>
      <c r="E452" s="335"/>
      <c r="F452" s="336"/>
      <c r="G452" s="112" t="s">
        <v>17</v>
      </c>
      <c r="H452" s="22"/>
      <c r="I452" s="112"/>
      <c r="J452" s="115"/>
      <c r="K452" s="116"/>
      <c r="L452" s="116"/>
      <c r="M452" s="115"/>
      <c r="N452" s="117"/>
      <c r="O452" s="117"/>
      <c r="P452" s="117"/>
    </row>
    <row r="453" ht="20.25" customHeight="1">
      <c r="A453" s="337"/>
      <c r="B453" s="33"/>
      <c r="C453" s="252"/>
      <c r="D453" s="120"/>
      <c r="E453" s="254"/>
      <c r="F453" s="255"/>
      <c r="G453" s="122" t="s">
        <v>17</v>
      </c>
      <c r="H453" s="14"/>
      <c r="I453" s="122"/>
      <c r="J453" s="124"/>
      <c r="K453" s="126"/>
      <c r="L453" s="126"/>
      <c r="M453" s="124"/>
      <c r="N453" s="127"/>
      <c r="O453" s="127"/>
      <c r="P453" s="127"/>
    </row>
    <row r="454" ht="20.25" customHeight="1">
      <c r="A454" s="333"/>
      <c r="B454" s="63"/>
      <c r="C454" s="334"/>
      <c r="D454" s="130"/>
      <c r="E454" s="335"/>
      <c r="F454" s="336"/>
      <c r="G454" s="112" t="s">
        <v>17</v>
      </c>
      <c r="H454" s="22"/>
      <c r="I454" s="112"/>
      <c r="J454" s="115"/>
      <c r="K454" s="116"/>
      <c r="L454" s="116"/>
      <c r="M454" s="115"/>
      <c r="N454" s="117"/>
      <c r="O454" s="117"/>
      <c r="P454" s="117"/>
    </row>
    <row r="455" ht="20.25" customHeight="1">
      <c r="A455" s="337"/>
      <c r="B455" s="33"/>
      <c r="C455" s="252"/>
      <c r="D455" s="120"/>
      <c r="E455" s="254"/>
      <c r="F455" s="255"/>
      <c r="G455" s="122" t="s">
        <v>17</v>
      </c>
      <c r="H455" s="14"/>
      <c r="I455" s="122"/>
      <c r="J455" s="124"/>
      <c r="K455" s="126"/>
      <c r="L455" s="126"/>
      <c r="M455" s="124"/>
      <c r="N455" s="127"/>
      <c r="O455" s="127"/>
      <c r="P455" s="127"/>
    </row>
    <row r="456" ht="20.25" customHeight="1">
      <c r="A456" s="333"/>
      <c r="B456" s="63"/>
      <c r="C456" s="334"/>
      <c r="D456" s="130"/>
      <c r="E456" s="335"/>
      <c r="F456" s="336"/>
      <c r="G456" s="112" t="s">
        <v>17</v>
      </c>
      <c r="H456" s="22"/>
      <c r="I456" s="112"/>
      <c r="J456" s="115"/>
      <c r="K456" s="116"/>
      <c r="L456" s="116"/>
      <c r="M456" s="115"/>
      <c r="N456" s="117"/>
      <c r="O456" s="117"/>
      <c r="P456" s="117"/>
    </row>
    <row r="457" ht="20.25" customHeight="1">
      <c r="A457" s="337"/>
      <c r="B457" s="33"/>
      <c r="C457" s="252"/>
      <c r="D457" s="120"/>
      <c r="E457" s="254"/>
      <c r="F457" s="255"/>
      <c r="G457" s="122" t="s">
        <v>17</v>
      </c>
      <c r="H457" s="14"/>
      <c r="I457" s="122"/>
      <c r="J457" s="124"/>
      <c r="K457" s="126"/>
      <c r="L457" s="126"/>
      <c r="M457" s="124"/>
      <c r="N457" s="127"/>
      <c r="O457" s="127"/>
      <c r="P457" s="127"/>
    </row>
    <row r="458" ht="20.25" customHeight="1">
      <c r="A458" s="333"/>
      <c r="B458" s="63"/>
      <c r="C458" s="334"/>
      <c r="D458" s="130"/>
      <c r="E458" s="335"/>
      <c r="F458" s="336"/>
      <c r="G458" s="112" t="s">
        <v>17</v>
      </c>
      <c r="H458" s="22"/>
      <c r="I458" s="112"/>
      <c r="J458" s="115"/>
      <c r="K458" s="116"/>
      <c r="L458" s="116"/>
      <c r="M458" s="115"/>
      <c r="N458" s="117"/>
      <c r="O458" s="117"/>
      <c r="P458" s="117"/>
    </row>
    <row r="459" ht="20.25" customHeight="1">
      <c r="A459" s="337"/>
      <c r="B459" s="33"/>
      <c r="C459" s="252"/>
      <c r="D459" s="120"/>
      <c r="E459" s="254"/>
      <c r="F459" s="255"/>
      <c r="G459" s="122" t="s">
        <v>17</v>
      </c>
      <c r="H459" s="14"/>
      <c r="I459" s="122"/>
      <c r="J459" s="124"/>
      <c r="K459" s="126"/>
      <c r="L459" s="126"/>
      <c r="M459" s="124"/>
      <c r="N459" s="127"/>
      <c r="O459" s="127"/>
      <c r="P459" s="127"/>
    </row>
    <row r="460" ht="20.25" customHeight="1">
      <c r="A460" s="333"/>
      <c r="B460" s="63"/>
      <c r="C460" s="334"/>
      <c r="D460" s="130"/>
      <c r="E460" s="335"/>
      <c r="F460" s="336"/>
      <c r="G460" s="112" t="s">
        <v>17</v>
      </c>
      <c r="H460" s="22"/>
      <c r="I460" s="112"/>
      <c r="J460" s="115"/>
      <c r="K460" s="116"/>
      <c r="L460" s="116"/>
      <c r="M460" s="115"/>
      <c r="N460" s="117"/>
      <c r="O460" s="117"/>
      <c r="P460" s="117"/>
    </row>
    <row r="461" ht="20.25" customHeight="1">
      <c r="A461" s="337"/>
      <c r="B461" s="33"/>
      <c r="C461" s="252"/>
      <c r="D461" s="120"/>
      <c r="E461" s="254"/>
      <c r="F461" s="255"/>
      <c r="G461" s="122" t="s">
        <v>17</v>
      </c>
      <c r="H461" s="14"/>
      <c r="I461" s="122"/>
      <c r="J461" s="124"/>
      <c r="K461" s="126"/>
      <c r="L461" s="126"/>
      <c r="M461" s="124"/>
      <c r="N461" s="127"/>
      <c r="O461" s="127"/>
      <c r="P461" s="127"/>
    </row>
    <row r="462" ht="20.25" customHeight="1">
      <c r="A462" s="333"/>
      <c r="B462" s="63"/>
      <c r="C462" s="334"/>
      <c r="D462" s="130"/>
      <c r="E462" s="335"/>
      <c r="F462" s="336"/>
      <c r="G462" s="112" t="s">
        <v>17</v>
      </c>
      <c r="H462" s="22"/>
      <c r="I462" s="112"/>
      <c r="J462" s="115"/>
      <c r="K462" s="116"/>
      <c r="L462" s="116"/>
      <c r="M462" s="115"/>
      <c r="N462" s="117"/>
      <c r="O462" s="117"/>
      <c r="P462" s="117"/>
    </row>
    <row r="463" ht="20.25" customHeight="1">
      <c r="A463" s="337"/>
      <c r="B463" s="33"/>
      <c r="C463" s="252"/>
      <c r="D463" s="120"/>
      <c r="E463" s="254"/>
      <c r="F463" s="255"/>
      <c r="G463" s="122" t="s">
        <v>17</v>
      </c>
      <c r="H463" s="14"/>
      <c r="I463" s="122"/>
      <c r="J463" s="124"/>
      <c r="K463" s="126"/>
      <c r="L463" s="126"/>
      <c r="M463" s="124"/>
      <c r="N463" s="127"/>
      <c r="O463" s="127"/>
      <c r="P463" s="127"/>
    </row>
    <row r="464" ht="20.25" customHeight="1">
      <c r="A464" s="333"/>
      <c r="B464" s="63"/>
      <c r="C464" s="334"/>
      <c r="D464" s="130"/>
      <c r="E464" s="335"/>
      <c r="F464" s="336"/>
      <c r="G464" s="112" t="s">
        <v>17</v>
      </c>
      <c r="H464" s="22"/>
      <c r="I464" s="112"/>
      <c r="J464" s="115"/>
      <c r="K464" s="116"/>
      <c r="L464" s="116"/>
      <c r="M464" s="115"/>
      <c r="N464" s="117"/>
      <c r="O464" s="117"/>
      <c r="P464" s="117"/>
    </row>
    <row r="465" ht="20.25" customHeight="1">
      <c r="A465" s="337"/>
      <c r="B465" s="33"/>
      <c r="C465" s="252"/>
      <c r="D465" s="120"/>
      <c r="E465" s="254"/>
      <c r="F465" s="255"/>
      <c r="G465" s="122" t="s">
        <v>17</v>
      </c>
      <c r="H465" s="14"/>
      <c r="I465" s="122"/>
      <c r="J465" s="124"/>
      <c r="K465" s="126"/>
      <c r="L465" s="126"/>
      <c r="M465" s="124"/>
      <c r="N465" s="127"/>
      <c r="O465" s="127"/>
      <c r="P465" s="127"/>
    </row>
    <row r="466" ht="20.25" customHeight="1">
      <c r="A466" s="333"/>
      <c r="B466" s="63"/>
      <c r="C466" s="334"/>
      <c r="D466" s="130"/>
      <c r="E466" s="335"/>
      <c r="F466" s="336"/>
      <c r="G466" s="112" t="s">
        <v>17</v>
      </c>
      <c r="H466" s="22"/>
      <c r="I466" s="112"/>
      <c r="J466" s="115"/>
      <c r="K466" s="116"/>
      <c r="L466" s="116"/>
      <c r="M466" s="115"/>
      <c r="N466" s="117"/>
      <c r="O466" s="117"/>
      <c r="P466" s="117"/>
    </row>
    <row r="467" ht="20.25" customHeight="1">
      <c r="A467" s="337"/>
      <c r="B467" s="33"/>
      <c r="C467" s="252"/>
      <c r="D467" s="120"/>
      <c r="E467" s="254"/>
      <c r="F467" s="255"/>
      <c r="G467" s="122" t="s">
        <v>17</v>
      </c>
      <c r="H467" s="14"/>
      <c r="I467" s="122"/>
      <c r="J467" s="124"/>
      <c r="K467" s="126"/>
      <c r="L467" s="126"/>
      <c r="M467" s="124"/>
      <c r="N467" s="127"/>
      <c r="O467" s="127"/>
      <c r="P467" s="127"/>
    </row>
    <row r="468" ht="20.25" customHeight="1">
      <c r="A468" s="333"/>
      <c r="B468" s="63"/>
      <c r="C468" s="334"/>
      <c r="D468" s="130"/>
      <c r="E468" s="335"/>
      <c r="F468" s="336"/>
      <c r="G468" s="112" t="s">
        <v>17</v>
      </c>
      <c r="H468" s="22"/>
      <c r="I468" s="112"/>
      <c r="J468" s="115"/>
      <c r="K468" s="116"/>
      <c r="L468" s="116"/>
      <c r="M468" s="115"/>
      <c r="N468" s="117"/>
      <c r="O468" s="117"/>
      <c r="P468" s="117"/>
    </row>
    <row r="469" ht="20.25" customHeight="1">
      <c r="A469" s="337"/>
      <c r="B469" s="33"/>
      <c r="C469" s="252"/>
      <c r="D469" s="120"/>
      <c r="E469" s="254"/>
      <c r="F469" s="255"/>
      <c r="G469" s="122" t="s">
        <v>17</v>
      </c>
      <c r="H469" s="14"/>
      <c r="I469" s="122"/>
      <c r="J469" s="124"/>
      <c r="K469" s="126"/>
      <c r="L469" s="126"/>
      <c r="M469" s="124"/>
      <c r="N469" s="127"/>
      <c r="O469" s="127"/>
      <c r="P469" s="127"/>
    </row>
    <row r="470" ht="20.25" customHeight="1">
      <c r="A470" s="333"/>
      <c r="B470" s="63"/>
      <c r="C470" s="334"/>
      <c r="D470" s="130"/>
      <c r="E470" s="335"/>
      <c r="F470" s="336"/>
      <c r="G470" s="112" t="s">
        <v>17</v>
      </c>
      <c r="H470" s="22"/>
      <c r="I470" s="112"/>
      <c r="J470" s="115"/>
      <c r="K470" s="116"/>
      <c r="L470" s="116"/>
      <c r="M470" s="115"/>
      <c r="N470" s="117"/>
      <c r="O470" s="117"/>
      <c r="P470" s="117"/>
    </row>
    <row r="471" ht="20.25" customHeight="1">
      <c r="A471" s="337"/>
      <c r="B471" s="33"/>
      <c r="C471" s="252"/>
      <c r="D471" s="120"/>
      <c r="E471" s="254"/>
      <c r="F471" s="255"/>
      <c r="G471" s="122" t="s">
        <v>17</v>
      </c>
      <c r="H471" s="14"/>
      <c r="I471" s="122"/>
      <c r="J471" s="124"/>
      <c r="K471" s="126"/>
      <c r="L471" s="126"/>
      <c r="M471" s="124"/>
      <c r="N471" s="127"/>
      <c r="O471" s="127"/>
      <c r="P471" s="127"/>
    </row>
    <row r="472" ht="20.25" customHeight="1">
      <c r="A472" s="333"/>
      <c r="B472" s="63"/>
      <c r="C472" s="334"/>
      <c r="D472" s="130"/>
      <c r="E472" s="335"/>
      <c r="F472" s="336"/>
      <c r="G472" s="112" t="s">
        <v>17</v>
      </c>
      <c r="H472" s="22"/>
      <c r="I472" s="112"/>
      <c r="J472" s="115"/>
      <c r="K472" s="116"/>
      <c r="L472" s="116"/>
      <c r="M472" s="115"/>
      <c r="N472" s="117"/>
      <c r="O472" s="117"/>
      <c r="P472" s="117"/>
    </row>
    <row r="473" ht="20.25" customHeight="1">
      <c r="A473" s="337"/>
      <c r="B473" s="33"/>
      <c r="C473" s="252"/>
      <c r="D473" s="120"/>
      <c r="E473" s="254"/>
      <c r="F473" s="255"/>
      <c r="G473" s="122" t="s">
        <v>17</v>
      </c>
      <c r="H473" s="14"/>
      <c r="I473" s="122"/>
      <c r="J473" s="124"/>
      <c r="K473" s="126"/>
      <c r="L473" s="126"/>
      <c r="M473" s="124"/>
      <c r="N473" s="127"/>
      <c r="O473" s="127"/>
      <c r="P473" s="127"/>
    </row>
    <row r="474" ht="20.25" customHeight="1">
      <c r="A474" s="333"/>
      <c r="B474" s="63"/>
      <c r="C474" s="334"/>
      <c r="D474" s="130"/>
      <c r="E474" s="335"/>
      <c r="F474" s="336"/>
      <c r="G474" s="112" t="s">
        <v>17</v>
      </c>
      <c r="H474" s="22"/>
      <c r="I474" s="112"/>
      <c r="J474" s="115"/>
      <c r="K474" s="116"/>
      <c r="L474" s="116"/>
      <c r="M474" s="115"/>
      <c r="N474" s="117"/>
      <c r="O474" s="117"/>
      <c r="P474" s="117"/>
    </row>
    <row r="475" ht="20.25" customHeight="1">
      <c r="A475" s="337"/>
      <c r="B475" s="33"/>
      <c r="C475" s="252"/>
      <c r="D475" s="120"/>
      <c r="E475" s="254"/>
      <c r="F475" s="255"/>
      <c r="G475" s="122" t="s">
        <v>17</v>
      </c>
      <c r="H475" s="14"/>
      <c r="I475" s="122"/>
      <c r="J475" s="124"/>
      <c r="K475" s="126"/>
      <c r="L475" s="126"/>
      <c r="M475" s="124"/>
      <c r="N475" s="127"/>
      <c r="O475" s="127"/>
      <c r="P475" s="127"/>
    </row>
    <row r="476" ht="20.25" customHeight="1">
      <c r="A476" s="333"/>
      <c r="B476" s="63"/>
      <c r="C476" s="334"/>
      <c r="D476" s="130"/>
      <c r="E476" s="335"/>
      <c r="F476" s="336"/>
      <c r="G476" s="112" t="s">
        <v>17</v>
      </c>
      <c r="H476" s="22"/>
      <c r="I476" s="112"/>
      <c r="J476" s="115"/>
      <c r="K476" s="116"/>
      <c r="L476" s="116"/>
      <c r="M476" s="115"/>
      <c r="N476" s="117"/>
      <c r="O476" s="117"/>
      <c r="P476" s="117"/>
    </row>
    <row r="477" ht="20.25" customHeight="1">
      <c r="A477" s="337"/>
      <c r="B477" s="33"/>
      <c r="C477" s="252"/>
      <c r="D477" s="120"/>
      <c r="E477" s="254"/>
      <c r="F477" s="255"/>
      <c r="G477" s="122" t="s">
        <v>17</v>
      </c>
      <c r="H477" s="14"/>
      <c r="I477" s="122"/>
      <c r="J477" s="124"/>
      <c r="K477" s="126"/>
      <c r="L477" s="126"/>
      <c r="M477" s="124"/>
      <c r="N477" s="127"/>
      <c r="O477" s="127"/>
      <c r="P477" s="127"/>
    </row>
    <row r="478" ht="20.25" customHeight="1">
      <c r="A478" s="333"/>
      <c r="B478" s="63"/>
      <c r="C478" s="334"/>
      <c r="D478" s="130"/>
      <c r="E478" s="335"/>
      <c r="F478" s="336"/>
      <c r="G478" s="112" t="s">
        <v>17</v>
      </c>
      <c r="H478" s="22"/>
      <c r="I478" s="112"/>
      <c r="J478" s="115"/>
      <c r="K478" s="116"/>
      <c r="L478" s="116"/>
      <c r="M478" s="115"/>
      <c r="N478" s="117"/>
      <c r="O478" s="117"/>
      <c r="P478" s="117"/>
    </row>
    <row r="479" ht="20.25" customHeight="1">
      <c r="A479" s="376"/>
      <c r="B479" s="377"/>
      <c r="C479" s="378"/>
      <c r="D479" s="379"/>
      <c r="E479" s="381"/>
      <c r="F479" s="382"/>
      <c r="G479" s="122" t="s">
        <v>17</v>
      </c>
      <c r="H479" s="14"/>
      <c r="I479" s="122"/>
      <c r="J479" s="124"/>
      <c r="K479" s="124"/>
      <c r="L479" s="124"/>
      <c r="M479" s="124"/>
      <c r="N479" s="127"/>
      <c r="O479" s="127"/>
      <c r="P479" s="127"/>
    </row>
    <row r="480" ht="20.25" customHeight="1">
      <c r="A480" s="15">
        <v>46202.0</v>
      </c>
      <c r="B480" s="383"/>
      <c r="C480" s="384"/>
      <c r="D480" s="385"/>
      <c r="E480" s="31"/>
      <c r="F480" s="386"/>
      <c r="G480" s="22"/>
      <c r="H480" s="22"/>
      <c r="I480" s="22"/>
      <c r="J480" s="22"/>
      <c r="K480" s="22"/>
      <c r="L480" s="22"/>
      <c r="M480" s="22"/>
      <c r="N480" s="30"/>
      <c r="O480" s="30"/>
      <c r="P480" s="30"/>
    </row>
    <row r="481" ht="20.25" customHeight="1">
      <c r="A481" s="57"/>
      <c r="B481" s="383"/>
      <c r="C481" s="387"/>
      <c r="D481" s="379"/>
      <c r="E481" s="27"/>
      <c r="F481" s="386"/>
      <c r="G481" s="14"/>
      <c r="H481" s="14"/>
      <c r="I481" s="14"/>
      <c r="J481" s="14"/>
      <c r="K481" s="14"/>
      <c r="L481" s="14"/>
      <c r="M481" s="14"/>
      <c r="N481" s="28"/>
      <c r="O481" s="28"/>
      <c r="P481" s="28"/>
    </row>
    <row r="482" ht="20.25" customHeight="1">
      <c r="A482" s="15">
        <v>46202.0</v>
      </c>
      <c r="B482" s="383"/>
      <c r="C482" s="384"/>
      <c r="D482" s="385"/>
      <c r="E482" s="31"/>
      <c r="F482" s="386"/>
      <c r="G482" s="22"/>
      <c r="H482" s="22"/>
      <c r="I482" s="22"/>
      <c r="J482" s="22"/>
      <c r="K482" s="22"/>
      <c r="L482" s="22"/>
      <c r="M482" s="22"/>
      <c r="N482" s="30"/>
      <c r="O482" s="30"/>
      <c r="P482" s="30"/>
    </row>
    <row r="483" ht="20.25" customHeight="1">
      <c r="A483" s="57"/>
      <c r="B483" s="383"/>
      <c r="C483" s="387"/>
      <c r="D483" s="379"/>
      <c r="E483" s="27"/>
      <c r="F483" s="386"/>
      <c r="G483" s="14"/>
      <c r="H483" s="14"/>
      <c r="I483" s="14"/>
      <c r="J483" s="14"/>
      <c r="K483" s="14"/>
      <c r="L483" s="14"/>
      <c r="M483" s="14"/>
      <c r="N483" s="28"/>
      <c r="O483" s="28"/>
      <c r="P483" s="28"/>
    </row>
    <row r="484" ht="20.25" customHeight="1">
      <c r="A484" s="15">
        <v>46202.0</v>
      </c>
      <c r="B484" s="383"/>
      <c r="C484" s="384"/>
      <c r="D484" s="385"/>
      <c r="E484" s="31"/>
      <c r="F484" s="386"/>
      <c r="G484" s="22"/>
      <c r="H484" s="22"/>
      <c r="I484" s="22"/>
      <c r="J484" s="22"/>
      <c r="K484" s="22"/>
      <c r="L484" s="22"/>
      <c r="M484" s="22"/>
      <c r="N484" s="30"/>
      <c r="O484" s="30"/>
      <c r="P484" s="30"/>
    </row>
    <row r="485" ht="20.25" customHeight="1">
      <c r="A485" s="57"/>
      <c r="B485" s="383"/>
      <c r="C485" s="387"/>
      <c r="D485" s="379"/>
      <c r="E485" s="27"/>
      <c r="F485" s="386"/>
      <c r="G485" s="14"/>
      <c r="H485" s="14"/>
      <c r="I485" s="14"/>
      <c r="J485" s="14"/>
      <c r="K485" s="14"/>
      <c r="L485" s="14"/>
      <c r="M485" s="14"/>
      <c r="N485" s="28"/>
      <c r="O485" s="28"/>
      <c r="P485" s="28"/>
    </row>
    <row r="486" ht="20.25" customHeight="1">
      <c r="A486" s="15">
        <v>46202.0</v>
      </c>
      <c r="B486" s="383"/>
      <c r="C486" s="384"/>
      <c r="D486" s="385"/>
      <c r="E486" s="31"/>
      <c r="F486" s="386"/>
      <c r="G486" s="22"/>
      <c r="H486" s="22"/>
      <c r="I486" s="22"/>
      <c r="J486" s="22"/>
      <c r="K486" s="22"/>
      <c r="L486" s="22"/>
      <c r="M486" s="22"/>
      <c r="N486" s="30"/>
      <c r="O486" s="30"/>
      <c r="P486" s="30"/>
    </row>
    <row r="487" ht="20.25" customHeight="1">
      <c r="A487" s="57"/>
      <c r="B487" s="383"/>
      <c r="C487" s="387"/>
      <c r="D487" s="379"/>
      <c r="E487" s="27"/>
      <c r="F487" s="386"/>
      <c r="G487" s="14"/>
      <c r="H487" s="14"/>
      <c r="I487" s="14"/>
      <c r="J487" s="14"/>
      <c r="K487" s="14"/>
      <c r="L487" s="14"/>
      <c r="M487" s="14"/>
      <c r="N487" s="28"/>
      <c r="O487" s="28"/>
      <c r="P487" s="28"/>
    </row>
    <row r="488" ht="20.25" customHeight="1">
      <c r="A488" s="391">
        <v>46209.0</v>
      </c>
      <c r="B488" s="21" t="s">
        <v>21</v>
      </c>
      <c r="C488" s="79">
        <v>328.0</v>
      </c>
      <c r="D488" s="392">
        <v>1.13</v>
      </c>
      <c r="E488" s="64" t="s">
        <v>23</v>
      </c>
      <c r="F488" s="26" t="s">
        <v>119</v>
      </c>
      <c r="G488" s="22" t="s">
        <v>17</v>
      </c>
      <c r="H488" s="22" t="s">
        <v>25</v>
      </c>
      <c r="I488" s="22">
        <v>1.0</v>
      </c>
      <c r="J488" s="22"/>
      <c r="K488" s="22"/>
      <c r="L488" s="22"/>
      <c r="M488" s="22"/>
      <c r="N488" s="30"/>
      <c r="O488" s="30"/>
      <c r="P488" s="30"/>
    </row>
    <row r="489" ht="20.25" customHeight="1">
      <c r="A489" s="58"/>
      <c r="B489" s="58"/>
      <c r="C489" s="58"/>
      <c r="D489" s="58"/>
      <c r="E489" s="58"/>
      <c r="F489" s="58"/>
      <c r="G489" s="14" t="s">
        <v>17</v>
      </c>
      <c r="H489" s="14" t="s">
        <v>18</v>
      </c>
      <c r="I489" s="14">
        <v>20.0</v>
      </c>
      <c r="J489" s="14"/>
      <c r="K489" s="14"/>
      <c r="L489" s="14"/>
      <c r="M489" s="14"/>
      <c r="N489" s="28"/>
      <c r="O489" s="28"/>
      <c r="P489" s="28"/>
    </row>
    <row r="490" ht="20.25" customHeight="1">
      <c r="A490" s="391">
        <v>46210.0</v>
      </c>
      <c r="B490" s="21" t="s">
        <v>21</v>
      </c>
      <c r="C490" s="79">
        <v>320.0</v>
      </c>
      <c r="D490" s="392">
        <v>1.13</v>
      </c>
      <c r="E490" s="64" t="s">
        <v>23</v>
      </c>
      <c r="F490" s="26" t="s">
        <v>119</v>
      </c>
      <c r="G490" s="22" t="s">
        <v>17</v>
      </c>
      <c r="H490" s="22" t="s">
        <v>25</v>
      </c>
      <c r="I490" s="22">
        <v>1.0</v>
      </c>
      <c r="J490" s="22"/>
      <c r="K490" s="22"/>
      <c r="L490" s="22"/>
      <c r="M490" s="22"/>
      <c r="N490" s="30"/>
      <c r="O490" s="30"/>
      <c r="P490" s="30"/>
    </row>
    <row r="491" ht="20.25" customHeight="1">
      <c r="A491" s="58"/>
      <c r="B491" s="58"/>
      <c r="C491" s="58"/>
      <c r="D491" s="58"/>
      <c r="E491" s="58"/>
      <c r="F491" s="58"/>
      <c r="G491" s="14" t="s">
        <v>17</v>
      </c>
      <c r="H491" s="14" t="s">
        <v>18</v>
      </c>
      <c r="I491" s="14">
        <v>20.0</v>
      </c>
      <c r="J491" s="14"/>
      <c r="K491" s="14"/>
      <c r="L491" s="14"/>
      <c r="M491" s="14"/>
      <c r="N491" s="28"/>
      <c r="O491" s="28"/>
      <c r="P491" s="28"/>
    </row>
    <row r="492" ht="20.25" customHeight="1">
      <c r="A492" s="391">
        <v>46211.0</v>
      </c>
      <c r="B492" s="21" t="s">
        <v>21</v>
      </c>
      <c r="C492" s="79">
        <v>320.0</v>
      </c>
      <c r="D492" s="392">
        <v>1.13</v>
      </c>
      <c r="E492" s="64" t="s">
        <v>23</v>
      </c>
      <c r="F492" s="26" t="s">
        <v>119</v>
      </c>
      <c r="G492" s="22" t="s">
        <v>17</v>
      </c>
      <c r="H492" s="22" t="s">
        <v>25</v>
      </c>
      <c r="I492" s="22">
        <v>1.0</v>
      </c>
      <c r="J492" s="22"/>
      <c r="K492" s="22"/>
      <c r="L492" s="22"/>
      <c r="M492" s="22"/>
      <c r="N492" s="30"/>
      <c r="O492" s="30"/>
      <c r="P492" s="30"/>
    </row>
    <row r="493" ht="20.25" customHeight="1">
      <c r="A493" s="58"/>
      <c r="B493" s="58"/>
      <c r="C493" s="58"/>
      <c r="D493" s="58"/>
      <c r="E493" s="58"/>
      <c r="F493" s="58"/>
      <c r="G493" s="14" t="s">
        <v>17</v>
      </c>
      <c r="H493" s="14" t="s">
        <v>18</v>
      </c>
      <c r="I493" s="14">
        <v>20.0</v>
      </c>
      <c r="J493" s="14"/>
      <c r="K493" s="14"/>
      <c r="L493" s="14"/>
      <c r="M493" s="14"/>
      <c r="N493" s="28"/>
      <c r="O493" s="28"/>
      <c r="P493" s="28"/>
    </row>
    <row r="494" ht="20.25" customHeight="1">
      <c r="A494" s="391">
        <v>46212.0</v>
      </c>
      <c r="B494" s="21" t="s">
        <v>21</v>
      </c>
      <c r="C494" s="79">
        <v>320.0</v>
      </c>
      <c r="D494" s="392">
        <v>1.13</v>
      </c>
      <c r="E494" s="64" t="s">
        <v>23</v>
      </c>
      <c r="F494" s="26" t="s">
        <v>119</v>
      </c>
      <c r="G494" s="22" t="s">
        <v>17</v>
      </c>
      <c r="H494" s="22" t="s">
        <v>25</v>
      </c>
      <c r="I494" s="22">
        <v>1.0</v>
      </c>
      <c r="J494" s="22"/>
      <c r="K494" s="22"/>
      <c r="L494" s="22"/>
      <c r="M494" s="22"/>
      <c r="N494" s="30"/>
      <c r="O494" s="30"/>
      <c r="P494" s="30"/>
    </row>
    <row r="495" ht="20.25" customHeight="1">
      <c r="A495" s="58"/>
      <c r="B495" s="58"/>
      <c r="C495" s="58"/>
      <c r="D495" s="58"/>
      <c r="E495" s="58"/>
      <c r="F495" s="58"/>
      <c r="G495" s="14" t="s">
        <v>17</v>
      </c>
      <c r="H495" s="14" t="s">
        <v>18</v>
      </c>
      <c r="I495" s="14">
        <v>19.0</v>
      </c>
      <c r="J495" s="14"/>
      <c r="K495" s="14"/>
      <c r="L495" s="14"/>
      <c r="M495" s="14"/>
      <c r="N495" s="28"/>
      <c r="O495" s="28"/>
      <c r="P495" s="28"/>
    </row>
    <row r="496" ht="20.25" customHeight="1">
      <c r="A496" s="393"/>
      <c r="B496" s="383"/>
      <c r="C496" s="384"/>
      <c r="D496" s="385" t="str">
        <f t="array" ref="D496">IFERROR(_xlfn.XLOOKUP(C496,Code!A:A,Code!B:B),"")</f>
        <v/>
      </c>
      <c r="E496" s="31"/>
      <c r="F496" s="386"/>
      <c r="G496" s="22"/>
      <c r="H496" s="22"/>
      <c r="I496" s="22"/>
      <c r="J496" s="22"/>
      <c r="K496" s="22"/>
      <c r="L496" s="22"/>
      <c r="M496" s="22"/>
      <c r="N496" s="30"/>
      <c r="O496" s="30"/>
      <c r="P496" s="30"/>
    </row>
    <row r="497" ht="20.25" customHeight="1">
      <c r="A497" s="394"/>
      <c r="B497" s="383"/>
      <c r="C497" s="387"/>
      <c r="D497" s="379" t="str">
        <f t="array" ref="D497">IFERROR(_xlfn.XLOOKUP(C497,Code!A:A,Code!B:B),"")</f>
        <v/>
      </c>
      <c r="E497" s="27"/>
      <c r="F497" s="386"/>
      <c r="G497" s="14"/>
      <c r="H497" s="14"/>
      <c r="I497" s="14"/>
      <c r="J497" s="14"/>
      <c r="K497" s="14"/>
      <c r="L497" s="14"/>
      <c r="M497" s="14"/>
      <c r="N497" s="28"/>
      <c r="O497" s="28"/>
      <c r="P497" s="28"/>
    </row>
    <row r="498" ht="20.25" customHeight="1">
      <c r="A498" s="393"/>
      <c r="B498" s="383"/>
      <c r="C498" s="384"/>
      <c r="D498" s="385" t="str">
        <f t="array" ref="D498">IFERROR(_xlfn.XLOOKUP(C498,Code!A:A,Code!B:B),"")</f>
        <v/>
      </c>
      <c r="E498" s="31"/>
      <c r="F498" s="386"/>
      <c r="G498" s="22"/>
      <c r="H498" s="22"/>
      <c r="I498" s="22"/>
      <c r="J498" s="22"/>
      <c r="K498" s="22"/>
      <c r="L498" s="22"/>
      <c r="M498" s="22"/>
      <c r="N498" s="30"/>
      <c r="O498" s="30"/>
      <c r="P498" s="30"/>
    </row>
    <row r="499" ht="20.25" customHeight="1">
      <c r="A499" s="394"/>
      <c r="B499" s="383"/>
      <c r="C499" s="387"/>
      <c r="D499" s="379" t="str">
        <f t="array" ref="D499">IFERROR(_xlfn.XLOOKUP(C499,Code!A:A,Code!B:B),"")</f>
        <v/>
      </c>
      <c r="E499" s="27"/>
      <c r="F499" s="386"/>
      <c r="G499" s="14"/>
      <c r="H499" s="14"/>
      <c r="I499" s="14"/>
      <c r="J499" s="14"/>
      <c r="K499" s="14"/>
      <c r="L499" s="14"/>
      <c r="M499" s="14"/>
      <c r="N499" s="28"/>
      <c r="O499" s="28"/>
      <c r="P499" s="28"/>
    </row>
    <row r="500" ht="20.25" customHeight="1">
      <c r="A500" s="393"/>
      <c r="B500" s="383"/>
      <c r="C500" s="384"/>
      <c r="D500" s="385" t="str">
        <f t="array" ref="D500">IFERROR(_xlfn.XLOOKUP(C500,Code!A:A,Code!B:B),"")</f>
        <v/>
      </c>
      <c r="E500" s="31"/>
      <c r="F500" s="386"/>
      <c r="G500" s="22"/>
      <c r="H500" s="22"/>
      <c r="I500" s="22"/>
      <c r="J500" s="22"/>
      <c r="K500" s="22"/>
      <c r="L500" s="22"/>
      <c r="M500" s="22"/>
      <c r="N500" s="30"/>
      <c r="O500" s="30"/>
      <c r="P500" s="30"/>
    </row>
    <row r="501" ht="20.25" customHeight="1">
      <c r="A501" s="394"/>
      <c r="B501" s="383"/>
      <c r="C501" s="387"/>
      <c r="D501" s="379" t="str">
        <f t="array" ref="D501">IFERROR(_xlfn.XLOOKUP(C501,Code!A:A,Code!B:B),"")</f>
        <v/>
      </c>
      <c r="E501" s="27"/>
      <c r="F501" s="386"/>
      <c r="G501" s="14"/>
      <c r="H501" s="14"/>
      <c r="I501" s="14"/>
      <c r="J501" s="14"/>
      <c r="K501" s="14"/>
      <c r="L501" s="14"/>
      <c r="M501" s="14"/>
      <c r="N501" s="28"/>
      <c r="O501" s="28"/>
      <c r="P501" s="28"/>
    </row>
    <row r="502" ht="20.25" customHeight="1">
      <c r="A502" s="393"/>
      <c r="B502" s="383"/>
      <c r="C502" s="384"/>
      <c r="D502" s="385" t="str">
        <f t="array" ref="D502">IFERROR(_xlfn.XLOOKUP(C502,Code!A:A,Code!B:B),"")</f>
        <v/>
      </c>
      <c r="E502" s="31"/>
      <c r="F502" s="386"/>
      <c r="G502" s="22"/>
      <c r="H502" s="22"/>
      <c r="I502" s="22"/>
      <c r="J502" s="22"/>
      <c r="K502" s="22"/>
      <c r="L502" s="22"/>
      <c r="M502" s="22"/>
      <c r="N502" s="30"/>
      <c r="O502" s="30"/>
      <c r="P502" s="30"/>
    </row>
    <row r="503" ht="20.25" customHeight="1">
      <c r="A503" s="394"/>
      <c r="B503" s="383"/>
      <c r="C503" s="387"/>
      <c r="D503" s="379" t="str">
        <f t="array" ref="D503">IFERROR(_xlfn.XLOOKUP(C503,Code!A:A,Code!B:B),"")</f>
        <v/>
      </c>
      <c r="E503" s="27"/>
      <c r="F503" s="386"/>
      <c r="G503" s="14"/>
      <c r="H503" s="14"/>
      <c r="I503" s="14"/>
      <c r="J503" s="14"/>
      <c r="K503" s="14"/>
      <c r="L503" s="14"/>
      <c r="M503" s="14"/>
      <c r="N503" s="28"/>
      <c r="O503" s="28"/>
      <c r="P503" s="28"/>
    </row>
    <row r="504" ht="20.25" customHeight="1">
      <c r="A504" s="393"/>
      <c r="B504" s="383"/>
      <c r="C504" s="384"/>
      <c r="D504" s="385" t="str">
        <f t="array" ref="D504">IFERROR(_xlfn.XLOOKUP(C504,Code!A:A,Code!B:B),"")</f>
        <v/>
      </c>
      <c r="E504" s="31"/>
      <c r="F504" s="386"/>
      <c r="G504" s="22"/>
      <c r="H504" s="22"/>
      <c r="I504" s="22"/>
      <c r="J504" s="22"/>
      <c r="K504" s="22"/>
      <c r="L504" s="22"/>
      <c r="M504" s="22"/>
      <c r="N504" s="30"/>
      <c r="O504" s="30"/>
      <c r="P504" s="30"/>
    </row>
    <row r="505" ht="20.25" customHeight="1">
      <c r="A505" s="394"/>
      <c r="B505" s="383"/>
      <c r="C505" s="387"/>
      <c r="D505" s="379" t="str">
        <f t="array" ref="D505">IFERROR(_xlfn.XLOOKUP(C505,Code!A:A,Code!B:B),"")</f>
        <v/>
      </c>
      <c r="E505" s="27"/>
      <c r="F505" s="386"/>
      <c r="G505" s="14"/>
      <c r="H505" s="14"/>
      <c r="I505" s="14"/>
      <c r="J505" s="14"/>
      <c r="K505" s="14"/>
      <c r="L505" s="14"/>
      <c r="M505" s="14"/>
      <c r="N505" s="28"/>
      <c r="O505" s="28"/>
      <c r="P505" s="28"/>
    </row>
    <row r="506" ht="20.25" customHeight="1">
      <c r="A506" s="393"/>
      <c r="B506" s="383"/>
      <c r="C506" s="384"/>
      <c r="D506" s="385" t="str">
        <f t="array" ref="D506">IFERROR(_xlfn.XLOOKUP(C506,Code!A:A,Code!B:B),"")</f>
        <v/>
      </c>
      <c r="E506" s="31"/>
      <c r="F506" s="386"/>
      <c r="G506" s="22"/>
      <c r="H506" s="22"/>
      <c r="I506" s="22"/>
      <c r="J506" s="22"/>
      <c r="K506" s="22"/>
      <c r="L506" s="22"/>
      <c r="M506" s="22"/>
      <c r="N506" s="30"/>
      <c r="O506" s="30"/>
      <c r="P506" s="30"/>
    </row>
    <row r="507" ht="20.25" customHeight="1">
      <c r="A507" s="394"/>
      <c r="B507" s="383"/>
      <c r="C507" s="387"/>
      <c r="D507" s="379" t="str">
        <f t="array" ref="D507">IFERROR(_xlfn.XLOOKUP(C507,Code!A:A,Code!B:B),"")</f>
        <v/>
      </c>
      <c r="E507" s="27"/>
      <c r="F507" s="386"/>
      <c r="G507" s="14"/>
      <c r="H507" s="14"/>
      <c r="I507" s="14"/>
      <c r="J507" s="14"/>
      <c r="K507" s="14"/>
      <c r="L507" s="14"/>
      <c r="M507" s="14"/>
      <c r="N507" s="28"/>
      <c r="O507" s="28"/>
      <c r="P507" s="28"/>
    </row>
    <row r="508" ht="20.25" customHeight="1">
      <c r="A508" s="393"/>
      <c r="B508" s="383"/>
      <c r="C508" s="384"/>
      <c r="D508" s="385" t="str">
        <f t="array" ref="D508">IFERROR(_xlfn.XLOOKUP(C508,Code!A:A,Code!B:B),"")</f>
        <v/>
      </c>
      <c r="E508" s="31"/>
      <c r="F508" s="386"/>
      <c r="G508" s="22"/>
      <c r="H508" s="22"/>
      <c r="I508" s="22"/>
      <c r="J508" s="22"/>
      <c r="K508" s="22"/>
      <c r="L508" s="22"/>
      <c r="M508" s="22"/>
      <c r="N508" s="30"/>
      <c r="O508" s="30"/>
      <c r="P508" s="30"/>
    </row>
    <row r="509" ht="20.25" customHeight="1">
      <c r="A509" s="394"/>
      <c r="B509" s="383"/>
      <c r="C509" s="387"/>
      <c r="D509" s="379" t="str">
        <f t="array" ref="D509">IFERROR(_xlfn.XLOOKUP(C509,Code!A:A,Code!B:B),"")</f>
        <v/>
      </c>
      <c r="E509" s="27"/>
      <c r="F509" s="386"/>
      <c r="G509" s="14"/>
      <c r="H509" s="14"/>
      <c r="I509" s="14"/>
      <c r="J509" s="14"/>
      <c r="K509" s="14"/>
      <c r="L509" s="14"/>
      <c r="M509" s="14"/>
      <c r="N509" s="28"/>
      <c r="O509" s="28"/>
      <c r="P509" s="28"/>
    </row>
    <row r="510" ht="20.25" customHeight="1">
      <c r="A510" s="393"/>
      <c r="B510" s="383"/>
      <c r="C510" s="384"/>
      <c r="D510" s="385" t="str">
        <f t="array" ref="D510">IFERROR(_xlfn.XLOOKUP(C510,Code!A:A,Code!B:B),"")</f>
        <v/>
      </c>
      <c r="E510" s="31"/>
      <c r="F510" s="386"/>
      <c r="G510" s="22"/>
      <c r="H510" s="22"/>
      <c r="I510" s="22"/>
      <c r="J510" s="22"/>
      <c r="K510" s="22"/>
      <c r="L510" s="22"/>
      <c r="M510" s="22"/>
      <c r="N510" s="30"/>
      <c r="O510" s="30"/>
      <c r="P510" s="30"/>
    </row>
    <row r="511" ht="20.25" customHeight="1">
      <c r="A511" s="394"/>
      <c r="B511" s="383"/>
      <c r="C511" s="387"/>
      <c r="D511" s="379" t="str">
        <f t="array" ref="D511">IFERROR(_xlfn.XLOOKUP(C511,Code!A:A,Code!B:B),"")</f>
        <v/>
      </c>
      <c r="E511" s="27"/>
      <c r="F511" s="386"/>
      <c r="G511" s="14"/>
      <c r="H511" s="14"/>
      <c r="I511" s="14"/>
      <c r="J511" s="14"/>
      <c r="K511" s="14"/>
      <c r="L511" s="14"/>
      <c r="M511" s="14"/>
      <c r="N511" s="28"/>
      <c r="O511" s="28"/>
      <c r="P511" s="28"/>
    </row>
    <row r="512" ht="20.25" customHeight="1">
      <c r="A512" s="393"/>
      <c r="B512" s="383"/>
      <c r="C512" s="384"/>
      <c r="D512" s="385" t="str">
        <f t="array" ref="D512">IFERROR(_xlfn.XLOOKUP(C512,Code!A:A,Code!B:B),"")</f>
        <v/>
      </c>
      <c r="E512" s="31"/>
      <c r="F512" s="386"/>
      <c r="G512" s="22"/>
      <c r="H512" s="22"/>
      <c r="I512" s="22"/>
      <c r="J512" s="22"/>
      <c r="K512" s="22"/>
      <c r="L512" s="22"/>
      <c r="M512" s="22"/>
      <c r="N512" s="30"/>
      <c r="O512" s="30"/>
      <c r="P512" s="30"/>
    </row>
    <row r="513" ht="20.25" customHeight="1">
      <c r="A513" s="394"/>
      <c r="B513" s="383"/>
      <c r="C513" s="387"/>
      <c r="D513" s="379" t="str">
        <f t="array" ref="D513">IFERROR(_xlfn.XLOOKUP(C513,Code!A:A,Code!B:B),"")</f>
        <v/>
      </c>
      <c r="E513" s="27"/>
      <c r="F513" s="386"/>
      <c r="G513" s="14"/>
      <c r="H513" s="14"/>
      <c r="I513" s="14"/>
      <c r="J513" s="14"/>
      <c r="K513" s="14"/>
      <c r="L513" s="14"/>
      <c r="M513" s="14"/>
      <c r="N513" s="28"/>
      <c r="O513" s="28"/>
      <c r="P513" s="28"/>
    </row>
    <row r="514" ht="20.25" customHeight="1">
      <c r="A514" s="393"/>
      <c r="B514" s="383"/>
      <c r="C514" s="384"/>
      <c r="D514" s="385" t="str">
        <f t="array" ref="D514">IFERROR(_xlfn.XLOOKUP(C514,Code!A:A,Code!B:B),"")</f>
        <v/>
      </c>
      <c r="E514" s="31"/>
      <c r="F514" s="386"/>
      <c r="G514" s="22"/>
      <c r="H514" s="22"/>
      <c r="I514" s="22"/>
      <c r="J514" s="22"/>
      <c r="K514" s="22"/>
      <c r="L514" s="22"/>
      <c r="M514" s="22"/>
      <c r="N514" s="30"/>
      <c r="O514" s="30"/>
      <c r="P514" s="30"/>
    </row>
    <row r="515" ht="20.25" customHeight="1">
      <c r="A515" s="394"/>
      <c r="B515" s="383"/>
      <c r="C515" s="387"/>
      <c r="D515" s="379" t="str">
        <f t="array" ref="D515">IFERROR(_xlfn.XLOOKUP(C515,Code!A:A,Code!B:B),"")</f>
        <v/>
      </c>
      <c r="E515" s="27"/>
      <c r="F515" s="386"/>
      <c r="G515" s="14"/>
      <c r="H515" s="14"/>
      <c r="I515" s="14"/>
      <c r="J515" s="14"/>
      <c r="K515" s="14"/>
      <c r="L515" s="14"/>
      <c r="M515" s="14"/>
      <c r="N515" s="28"/>
      <c r="O515" s="28"/>
      <c r="P515" s="28"/>
    </row>
    <row r="516" ht="20.25" customHeight="1">
      <c r="A516" s="393"/>
      <c r="B516" s="383"/>
      <c r="C516" s="384"/>
      <c r="D516" s="385" t="str">
        <f t="array" ref="D516">IFERROR(_xlfn.XLOOKUP(C516,Code!A:A,Code!B:B),"")</f>
        <v/>
      </c>
      <c r="E516" s="31"/>
      <c r="F516" s="386"/>
      <c r="G516" s="22"/>
      <c r="H516" s="22"/>
      <c r="I516" s="22"/>
      <c r="J516" s="22"/>
      <c r="K516" s="22"/>
      <c r="L516" s="22"/>
      <c r="M516" s="22"/>
      <c r="N516" s="30"/>
      <c r="O516" s="30"/>
      <c r="P516" s="30"/>
    </row>
    <row r="517" ht="20.25" customHeight="1">
      <c r="A517" s="394"/>
      <c r="B517" s="383"/>
      <c r="C517" s="387"/>
      <c r="D517" s="379" t="str">
        <f t="array" ref="D517">IFERROR(_xlfn.XLOOKUP(C517,Code!A:A,Code!B:B),"")</f>
        <v/>
      </c>
      <c r="E517" s="27"/>
      <c r="F517" s="386"/>
      <c r="G517" s="14"/>
      <c r="H517" s="14"/>
      <c r="I517" s="14"/>
      <c r="J517" s="14"/>
      <c r="K517" s="14"/>
      <c r="L517" s="14"/>
      <c r="M517" s="14"/>
      <c r="N517" s="28"/>
      <c r="O517" s="28"/>
      <c r="P517" s="28"/>
    </row>
    <row r="518" ht="20.25" customHeight="1">
      <c r="A518" s="393"/>
      <c r="B518" s="383"/>
      <c r="C518" s="384"/>
      <c r="D518" s="385" t="str">
        <f t="array" ref="D518">IFERROR(_xlfn.XLOOKUP(C518,Code!A:A,Code!B:B),"")</f>
        <v/>
      </c>
      <c r="E518" s="31"/>
      <c r="F518" s="386"/>
      <c r="G518" s="22"/>
      <c r="H518" s="22"/>
      <c r="I518" s="22"/>
      <c r="J518" s="22"/>
      <c r="K518" s="22"/>
      <c r="L518" s="22"/>
      <c r="M518" s="22"/>
      <c r="N518" s="30"/>
      <c r="O518" s="30"/>
      <c r="P518" s="30"/>
    </row>
    <row r="519" ht="20.25" customHeight="1">
      <c r="A519" s="394"/>
      <c r="B519" s="383"/>
      <c r="C519" s="387"/>
      <c r="D519" s="379" t="str">
        <f t="array" ref="D519">IFERROR(_xlfn.XLOOKUP(C519,Code!A:A,Code!B:B),"")</f>
        <v/>
      </c>
      <c r="E519" s="27"/>
      <c r="F519" s="386"/>
      <c r="G519" s="14"/>
      <c r="H519" s="14"/>
      <c r="I519" s="14"/>
      <c r="J519" s="14"/>
      <c r="K519" s="14"/>
      <c r="L519" s="14"/>
      <c r="M519" s="14"/>
      <c r="N519" s="28"/>
      <c r="O519" s="28"/>
      <c r="P519" s="28"/>
    </row>
    <row r="520" ht="20.25" customHeight="1">
      <c r="A520" s="393"/>
      <c r="B520" s="383"/>
      <c r="C520" s="384"/>
      <c r="D520" s="385" t="str">
        <f t="array" ref="D520">IFERROR(_xlfn.XLOOKUP(C520,Code!A:A,Code!B:B),"")</f>
        <v/>
      </c>
      <c r="E520" s="31"/>
      <c r="F520" s="386"/>
      <c r="G520" s="22"/>
      <c r="H520" s="22"/>
      <c r="I520" s="22"/>
      <c r="J520" s="22"/>
      <c r="K520" s="22"/>
      <c r="L520" s="22"/>
      <c r="M520" s="22"/>
      <c r="N520" s="30"/>
      <c r="O520" s="30"/>
      <c r="P520" s="30"/>
    </row>
    <row r="521" ht="20.25" customHeight="1">
      <c r="A521" s="394"/>
      <c r="B521" s="383"/>
      <c r="C521" s="387"/>
      <c r="D521" s="402"/>
      <c r="E521" s="27"/>
      <c r="F521" s="386"/>
      <c r="G521" s="14"/>
      <c r="H521" s="14"/>
      <c r="I521" s="14"/>
      <c r="J521" s="14"/>
      <c r="K521" s="14"/>
      <c r="L521" s="14"/>
      <c r="M521" s="14"/>
      <c r="N521" s="28"/>
      <c r="O521" s="28"/>
      <c r="P521" s="28"/>
    </row>
    <row r="522" ht="20.25" customHeight="1">
      <c r="A522" s="393"/>
      <c r="B522" s="383"/>
      <c r="C522" s="384"/>
      <c r="D522" s="402"/>
      <c r="E522" s="31"/>
      <c r="F522" s="386"/>
      <c r="G522" s="22"/>
      <c r="H522" s="22"/>
      <c r="I522" s="22"/>
      <c r="J522" s="22"/>
      <c r="K522" s="22"/>
      <c r="L522" s="22"/>
      <c r="M522" s="22"/>
      <c r="N522" s="30"/>
      <c r="O522" s="30"/>
      <c r="P522" s="30"/>
    </row>
    <row r="523" ht="20.25" customHeight="1">
      <c r="A523" s="394"/>
      <c r="B523" s="383"/>
      <c r="C523" s="387"/>
      <c r="D523" s="402"/>
      <c r="E523" s="27"/>
      <c r="F523" s="386"/>
      <c r="G523" s="14"/>
      <c r="H523" s="14"/>
      <c r="I523" s="14"/>
      <c r="J523" s="14"/>
      <c r="K523" s="14"/>
      <c r="L523" s="14"/>
      <c r="M523" s="14"/>
      <c r="N523" s="28"/>
      <c r="O523" s="28"/>
      <c r="P523" s="28"/>
    </row>
    <row r="524" ht="20.25" customHeight="1">
      <c r="A524" s="393"/>
      <c r="B524" s="383"/>
      <c r="C524" s="384"/>
      <c r="D524" s="402"/>
      <c r="E524" s="31"/>
      <c r="F524" s="386"/>
      <c r="G524" s="22"/>
      <c r="H524" s="22"/>
      <c r="I524" s="22"/>
      <c r="J524" s="22"/>
      <c r="K524" s="22"/>
      <c r="L524" s="22"/>
      <c r="M524" s="22"/>
      <c r="N524" s="30"/>
      <c r="O524" s="30"/>
      <c r="P524" s="30"/>
    </row>
    <row r="525" ht="20.25" customHeight="1">
      <c r="A525" s="394"/>
      <c r="B525" s="383"/>
      <c r="C525" s="387"/>
      <c r="D525" s="402"/>
      <c r="E525" s="27"/>
      <c r="F525" s="386"/>
      <c r="G525" s="14"/>
      <c r="H525" s="14"/>
      <c r="I525" s="14"/>
      <c r="J525" s="14"/>
      <c r="K525" s="14"/>
      <c r="L525" s="14"/>
      <c r="M525" s="14"/>
      <c r="N525" s="28"/>
      <c r="O525" s="28"/>
      <c r="P525" s="28"/>
    </row>
    <row r="526" ht="20.25" customHeight="1">
      <c r="A526" s="393"/>
      <c r="B526" s="383"/>
      <c r="C526" s="384"/>
      <c r="D526" s="402"/>
      <c r="E526" s="31"/>
      <c r="F526" s="386"/>
      <c r="G526" s="22"/>
      <c r="H526" s="22"/>
      <c r="I526" s="22"/>
      <c r="J526" s="22"/>
      <c r="K526" s="22"/>
      <c r="L526" s="22"/>
      <c r="M526" s="22"/>
      <c r="N526" s="30"/>
      <c r="O526" s="30"/>
      <c r="P526" s="30"/>
    </row>
    <row r="527" ht="20.25" customHeight="1">
      <c r="A527" s="394"/>
      <c r="B527" s="383"/>
      <c r="C527" s="387"/>
      <c r="D527" s="402"/>
      <c r="E527" s="27"/>
      <c r="F527" s="386"/>
      <c r="G527" s="14"/>
      <c r="H527" s="14"/>
      <c r="I527" s="14"/>
      <c r="J527" s="14"/>
      <c r="K527" s="14"/>
      <c r="L527" s="14"/>
      <c r="M527" s="14"/>
      <c r="N527" s="28"/>
      <c r="O527" s="28"/>
      <c r="P527" s="28"/>
    </row>
    <row r="528" ht="20.25" customHeight="1">
      <c r="A528" s="393"/>
      <c r="B528" s="383"/>
      <c r="C528" s="384"/>
      <c r="D528" s="402"/>
      <c r="E528" s="31"/>
      <c r="F528" s="386"/>
      <c r="G528" s="22"/>
      <c r="H528" s="22"/>
      <c r="I528" s="22"/>
      <c r="J528" s="22"/>
      <c r="K528" s="22"/>
      <c r="L528" s="22"/>
      <c r="M528" s="22"/>
      <c r="N528" s="30"/>
      <c r="O528" s="30"/>
      <c r="P528" s="30"/>
    </row>
    <row r="529" ht="20.25" customHeight="1">
      <c r="A529" s="394"/>
      <c r="B529" s="383"/>
      <c r="C529" s="387"/>
      <c r="D529" s="402"/>
      <c r="E529" s="27"/>
      <c r="F529" s="386"/>
      <c r="G529" s="14"/>
      <c r="H529" s="14"/>
      <c r="I529" s="14"/>
      <c r="J529" s="14"/>
      <c r="K529" s="14"/>
      <c r="L529" s="14"/>
      <c r="M529" s="14"/>
      <c r="N529" s="28"/>
      <c r="O529" s="28"/>
      <c r="P529" s="28"/>
    </row>
    <row r="530" ht="20.25" customHeight="1">
      <c r="A530" s="393"/>
      <c r="B530" s="383"/>
      <c r="C530" s="384"/>
      <c r="D530" s="402"/>
      <c r="E530" s="31"/>
      <c r="F530" s="386"/>
      <c r="G530" s="22"/>
      <c r="H530" s="22"/>
      <c r="I530" s="22"/>
      <c r="J530" s="22"/>
      <c r="K530" s="22"/>
      <c r="L530" s="22"/>
      <c r="M530" s="22"/>
      <c r="N530" s="30"/>
      <c r="O530" s="30"/>
      <c r="P530" s="30"/>
    </row>
    <row r="531" ht="20.25" customHeight="1">
      <c r="A531" s="394"/>
      <c r="B531" s="383"/>
      <c r="C531" s="387"/>
      <c r="D531" s="402"/>
      <c r="E531" s="27"/>
      <c r="F531" s="386"/>
      <c r="G531" s="14"/>
      <c r="H531" s="14"/>
      <c r="I531" s="14"/>
      <c r="J531" s="14"/>
      <c r="K531" s="14"/>
      <c r="L531" s="14"/>
      <c r="M531" s="14"/>
      <c r="N531" s="28"/>
      <c r="O531" s="28"/>
      <c r="P531" s="28"/>
    </row>
    <row r="532" ht="20.25" customHeight="1">
      <c r="A532" s="393"/>
      <c r="B532" s="383"/>
      <c r="C532" s="384"/>
      <c r="D532" s="402"/>
      <c r="E532" s="31"/>
      <c r="F532" s="386"/>
      <c r="G532" s="22"/>
      <c r="H532" s="22"/>
      <c r="I532" s="22"/>
      <c r="J532" s="22"/>
      <c r="K532" s="22"/>
      <c r="L532" s="22"/>
      <c r="M532" s="22"/>
      <c r="N532" s="30"/>
      <c r="O532" s="30"/>
      <c r="P532" s="30"/>
    </row>
    <row r="533" ht="20.25" customHeight="1">
      <c r="A533" s="394"/>
      <c r="B533" s="383"/>
      <c r="C533" s="387"/>
      <c r="D533" s="402"/>
      <c r="E533" s="27"/>
      <c r="F533" s="386"/>
      <c r="G533" s="14"/>
      <c r="H533" s="14"/>
      <c r="I533" s="14"/>
      <c r="J533" s="14"/>
      <c r="K533" s="14"/>
      <c r="L533" s="14"/>
      <c r="M533" s="14"/>
      <c r="N533" s="28"/>
      <c r="O533" s="28"/>
      <c r="P533" s="28"/>
    </row>
    <row r="534" ht="20.25" customHeight="1">
      <c r="A534" s="393"/>
      <c r="B534" s="383"/>
      <c r="C534" s="384"/>
      <c r="D534" s="402"/>
      <c r="E534" s="31"/>
      <c r="F534" s="386"/>
      <c r="G534" s="22"/>
      <c r="H534" s="22"/>
      <c r="I534" s="22"/>
      <c r="J534" s="22"/>
      <c r="K534" s="22"/>
      <c r="L534" s="22"/>
      <c r="M534" s="22"/>
      <c r="N534" s="30"/>
      <c r="O534" s="30"/>
      <c r="P534" s="30"/>
    </row>
    <row r="535" ht="20.25" customHeight="1">
      <c r="A535" s="394"/>
      <c r="B535" s="383"/>
      <c r="C535" s="387"/>
      <c r="D535" s="402"/>
      <c r="E535" s="27"/>
      <c r="F535" s="386"/>
      <c r="G535" s="14"/>
      <c r="H535" s="14"/>
      <c r="I535" s="14"/>
      <c r="J535" s="14"/>
      <c r="K535" s="14"/>
      <c r="L535" s="14"/>
      <c r="M535" s="14"/>
      <c r="N535" s="28"/>
      <c r="O535" s="28"/>
      <c r="P535" s="28"/>
    </row>
    <row r="536" ht="20.25" customHeight="1">
      <c r="A536" s="393"/>
      <c r="B536" s="383"/>
      <c r="C536" s="384"/>
      <c r="D536" s="402"/>
      <c r="E536" s="31"/>
      <c r="F536" s="386"/>
      <c r="G536" s="22"/>
      <c r="H536" s="22"/>
      <c r="I536" s="22"/>
      <c r="J536" s="22"/>
      <c r="K536" s="22"/>
      <c r="L536" s="22"/>
      <c r="M536" s="22"/>
      <c r="N536" s="30"/>
      <c r="O536" s="30"/>
      <c r="P536" s="30"/>
    </row>
    <row r="537" ht="20.25" customHeight="1">
      <c r="A537" s="394"/>
      <c r="B537" s="383"/>
      <c r="C537" s="387"/>
      <c r="D537" s="402"/>
      <c r="E537" s="27"/>
      <c r="F537" s="386"/>
      <c r="G537" s="14"/>
      <c r="H537" s="14"/>
      <c r="I537" s="14"/>
      <c r="J537" s="14"/>
      <c r="K537" s="14"/>
      <c r="L537" s="14"/>
      <c r="M537" s="14"/>
      <c r="N537" s="28"/>
      <c r="O537" s="28"/>
      <c r="P537" s="28"/>
    </row>
    <row r="538" ht="20.25" customHeight="1">
      <c r="A538" s="393"/>
      <c r="B538" s="383"/>
      <c r="C538" s="384"/>
      <c r="D538" s="402"/>
      <c r="E538" s="31"/>
      <c r="F538" s="386"/>
      <c r="G538" s="22"/>
      <c r="H538" s="22"/>
      <c r="I538" s="22"/>
      <c r="J538" s="22"/>
      <c r="K538" s="22"/>
      <c r="L538" s="22"/>
      <c r="M538" s="22"/>
      <c r="N538" s="30"/>
      <c r="O538" s="30"/>
      <c r="P538" s="30"/>
    </row>
    <row r="539" ht="20.25" customHeight="1">
      <c r="A539" s="394"/>
      <c r="B539" s="383"/>
      <c r="C539" s="387"/>
      <c r="D539" s="402"/>
      <c r="E539" s="27"/>
      <c r="F539" s="386"/>
      <c r="G539" s="14"/>
      <c r="H539" s="14"/>
      <c r="I539" s="14"/>
      <c r="J539" s="14"/>
      <c r="K539" s="14"/>
      <c r="L539" s="14"/>
      <c r="M539" s="14"/>
      <c r="N539" s="28"/>
      <c r="O539" s="28"/>
      <c r="P539" s="28"/>
    </row>
    <row r="540" ht="20.25" customHeight="1">
      <c r="A540" s="393"/>
      <c r="B540" s="383"/>
      <c r="C540" s="384"/>
      <c r="D540" s="402"/>
      <c r="E540" s="31"/>
      <c r="F540" s="386"/>
      <c r="G540" s="22"/>
      <c r="H540" s="22"/>
      <c r="I540" s="22"/>
      <c r="J540" s="22"/>
      <c r="K540" s="22"/>
      <c r="L540" s="22"/>
      <c r="M540" s="22"/>
      <c r="N540" s="30"/>
      <c r="O540" s="30"/>
      <c r="P540" s="30"/>
    </row>
    <row r="541" ht="20.25" customHeight="1">
      <c r="A541" s="394"/>
      <c r="B541" s="383"/>
      <c r="C541" s="387"/>
      <c r="D541" s="402"/>
      <c r="E541" s="27"/>
      <c r="F541" s="386"/>
      <c r="G541" s="14"/>
      <c r="H541" s="14"/>
      <c r="I541" s="14"/>
      <c r="J541" s="14"/>
      <c r="K541" s="14"/>
      <c r="L541" s="14"/>
      <c r="M541" s="14"/>
      <c r="N541" s="28"/>
      <c r="O541" s="28"/>
      <c r="P541" s="28"/>
    </row>
    <row r="542" ht="20.25" customHeight="1">
      <c r="A542" s="393"/>
      <c r="B542" s="383"/>
      <c r="C542" s="384"/>
      <c r="D542" s="402"/>
      <c r="E542" s="31"/>
      <c r="F542" s="386"/>
      <c r="G542" s="22"/>
      <c r="H542" s="22"/>
      <c r="I542" s="22"/>
      <c r="J542" s="22"/>
      <c r="K542" s="22"/>
      <c r="L542" s="22"/>
      <c r="M542" s="22"/>
      <c r="N542" s="30"/>
      <c r="O542" s="30"/>
      <c r="P542" s="30"/>
    </row>
    <row r="543" ht="20.25" customHeight="1">
      <c r="A543" s="394"/>
      <c r="B543" s="383"/>
      <c r="C543" s="387"/>
      <c r="D543" s="402"/>
      <c r="E543" s="27"/>
      <c r="F543" s="386"/>
      <c r="G543" s="14"/>
      <c r="H543" s="14"/>
      <c r="I543" s="14"/>
      <c r="J543" s="14"/>
      <c r="K543" s="14"/>
      <c r="L543" s="14"/>
      <c r="M543" s="14"/>
      <c r="N543" s="28"/>
      <c r="O543" s="28"/>
      <c r="P543" s="28"/>
    </row>
    <row r="544" ht="20.25" customHeight="1">
      <c r="A544" s="393"/>
      <c r="B544" s="383"/>
      <c r="C544" s="384"/>
      <c r="D544" s="402"/>
      <c r="E544" s="31"/>
      <c r="F544" s="386"/>
      <c r="G544" s="22"/>
      <c r="H544" s="22"/>
      <c r="I544" s="22"/>
      <c r="J544" s="22"/>
      <c r="K544" s="22"/>
      <c r="L544" s="22"/>
      <c r="M544" s="22"/>
      <c r="N544" s="30"/>
      <c r="O544" s="30"/>
      <c r="P544" s="30"/>
    </row>
    <row r="545" ht="20.25" customHeight="1">
      <c r="A545" s="394"/>
      <c r="B545" s="383"/>
      <c r="C545" s="387"/>
      <c r="D545" s="402"/>
      <c r="E545" s="27"/>
      <c r="F545" s="386"/>
      <c r="G545" s="14"/>
      <c r="H545" s="14"/>
      <c r="I545" s="14"/>
      <c r="J545" s="14"/>
      <c r="K545" s="14"/>
      <c r="L545" s="14"/>
      <c r="M545" s="14"/>
      <c r="N545" s="28"/>
      <c r="O545" s="28"/>
      <c r="P545" s="28"/>
    </row>
    <row r="546" ht="20.25" customHeight="1">
      <c r="A546" s="393"/>
      <c r="B546" s="383"/>
      <c r="C546" s="384"/>
      <c r="D546" s="402"/>
      <c r="E546" s="31"/>
      <c r="F546" s="386"/>
      <c r="G546" s="22"/>
      <c r="H546" s="22"/>
      <c r="I546" s="22"/>
      <c r="J546" s="22"/>
      <c r="K546" s="22"/>
      <c r="L546" s="22"/>
      <c r="M546" s="22"/>
      <c r="N546" s="30"/>
      <c r="O546" s="30"/>
      <c r="P546" s="30"/>
    </row>
    <row r="547" ht="20.25" customHeight="1">
      <c r="A547" s="394"/>
      <c r="B547" s="383"/>
      <c r="C547" s="387"/>
      <c r="D547" s="402"/>
      <c r="E547" s="27"/>
      <c r="F547" s="386"/>
      <c r="G547" s="14"/>
      <c r="H547" s="14"/>
      <c r="I547" s="14"/>
      <c r="J547" s="14"/>
      <c r="K547" s="14"/>
      <c r="L547" s="14"/>
      <c r="M547" s="14"/>
      <c r="N547" s="28"/>
      <c r="O547" s="28"/>
      <c r="P547" s="28"/>
    </row>
    <row r="548" ht="20.25" customHeight="1">
      <c r="A548" s="393"/>
      <c r="B548" s="383"/>
      <c r="C548" s="384"/>
      <c r="D548" s="402"/>
      <c r="E548" s="31"/>
      <c r="F548" s="386"/>
      <c r="G548" s="22"/>
      <c r="H548" s="22"/>
      <c r="I548" s="22"/>
      <c r="J548" s="22"/>
      <c r="K548" s="22"/>
      <c r="L548" s="22"/>
      <c r="M548" s="22"/>
      <c r="N548" s="30"/>
      <c r="O548" s="30"/>
      <c r="P548" s="30"/>
    </row>
    <row r="549" ht="20.25" customHeight="1">
      <c r="A549" s="394"/>
      <c r="B549" s="383"/>
      <c r="C549" s="387"/>
      <c r="D549" s="402"/>
      <c r="E549" s="27"/>
      <c r="F549" s="386"/>
      <c r="G549" s="14"/>
      <c r="H549" s="14"/>
      <c r="I549" s="14"/>
      <c r="J549" s="14"/>
      <c r="K549" s="14"/>
      <c r="L549" s="14"/>
      <c r="M549" s="14"/>
      <c r="N549" s="28"/>
      <c r="O549" s="28"/>
      <c r="P549" s="28"/>
    </row>
    <row r="550" ht="20.25" customHeight="1">
      <c r="A550" s="393"/>
      <c r="B550" s="383"/>
      <c r="C550" s="384"/>
      <c r="D550" s="402"/>
      <c r="E550" s="31"/>
      <c r="F550" s="386"/>
      <c r="G550" s="22"/>
      <c r="H550" s="22"/>
      <c r="I550" s="22"/>
      <c r="J550" s="22"/>
      <c r="K550" s="22"/>
      <c r="L550" s="22"/>
      <c r="M550" s="22"/>
      <c r="N550" s="30"/>
      <c r="O550" s="30"/>
      <c r="P550" s="30"/>
    </row>
    <row r="551" ht="20.25" customHeight="1">
      <c r="A551" s="394"/>
      <c r="B551" s="383"/>
      <c r="C551" s="387"/>
      <c r="D551" s="402"/>
      <c r="E551" s="27"/>
      <c r="F551" s="386"/>
      <c r="G551" s="14"/>
      <c r="H551" s="14"/>
      <c r="I551" s="14"/>
      <c r="J551" s="14"/>
      <c r="K551" s="14"/>
      <c r="L551" s="14"/>
      <c r="M551" s="14"/>
      <c r="N551" s="28"/>
      <c r="O551" s="28"/>
      <c r="P551" s="28"/>
    </row>
    <row r="552" ht="20.25" customHeight="1">
      <c r="A552" s="393"/>
      <c r="B552" s="383"/>
      <c r="C552" s="384"/>
      <c r="D552" s="402"/>
      <c r="E552" s="31"/>
      <c r="F552" s="386"/>
      <c r="G552" s="22"/>
      <c r="H552" s="22"/>
      <c r="I552" s="22"/>
      <c r="J552" s="22"/>
      <c r="K552" s="22"/>
      <c r="L552" s="22"/>
      <c r="M552" s="22"/>
      <c r="N552" s="30"/>
      <c r="O552" s="30"/>
      <c r="P552" s="30"/>
    </row>
    <row r="553" ht="20.25" customHeight="1">
      <c r="A553" s="394"/>
      <c r="B553" s="383"/>
      <c r="C553" s="387"/>
      <c r="D553" s="402"/>
      <c r="E553" s="27"/>
      <c r="F553" s="386"/>
      <c r="G553" s="14"/>
      <c r="H553" s="14"/>
      <c r="I553" s="14"/>
      <c r="J553" s="14"/>
      <c r="K553" s="14"/>
      <c r="L553" s="14"/>
      <c r="M553" s="14"/>
      <c r="N553" s="28"/>
      <c r="O553" s="28"/>
      <c r="P553" s="28"/>
    </row>
    <row r="554" ht="20.25" customHeight="1">
      <c r="A554" s="393"/>
      <c r="B554" s="383"/>
      <c r="C554" s="384"/>
      <c r="D554" s="402"/>
      <c r="E554" s="31"/>
      <c r="F554" s="386"/>
      <c r="G554" s="22"/>
      <c r="H554" s="22"/>
      <c r="I554" s="22"/>
      <c r="J554" s="22"/>
      <c r="K554" s="22"/>
      <c r="L554" s="22"/>
      <c r="M554" s="22"/>
      <c r="N554" s="30"/>
      <c r="O554" s="30"/>
      <c r="P554" s="30"/>
    </row>
    <row r="555" ht="20.25" customHeight="1">
      <c r="A555" s="394"/>
      <c r="B555" s="383"/>
      <c r="C555" s="387"/>
      <c r="D555" s="402"/>
      <c r="E555" s="27"/>
      <c r="F555" s="386"/>
      <c r="G555" s="14"/>
      <c r="H555" s="14"/>
      <c r="I555" s="14"/>
      <c r="J555" s="14"/>
      <c r="K555" s="14"/>
      <c r="L555" s="14"/>
      <c r="M555" s="14"/>
      <c r="N555" s="28"/>
      <c r="O555" s="28"/>
      <c r="P555" s="28"/>
    </row>
    <row r="556" ht="20.25" customHeight="1">
      <c r="A556" s="393"/>
      <c r="B556" s="383"/>
      <c r="C556" s="384"/>
      <c r="D556" s="402"/>
      <c r="E556" s="31"/>
      <c r="F556" s="386"/>
      <c r="G556" s="22"/>
      <c r="H556" s="22"/>
      <c r="I556" s="22"/>
      <c r="J556" s="22"/>
      <c r="K556" s="22"/>
      <c r="L556" s="22"/>
      <c r="M556" s="22"/>
      <c r="N556" s="30"/>
      <c r="O556" s="30"/>
      <c r="P556" s="30"/>
    </row>
    <row r="557" ht="20.25" customHeight="1">
      <c r="A557" s="394"/>
      <c r="B557" s="383"/>
      <c r="C557" s="387"/>
      <c r="D557" s="402"/>
      <c r="E557" s="27"/>
      <c r="F557" s="386"/>
      <c r="G557" s="14"/>
      <c r="H557" s="14"/>
      <c r="I557" s="14"/>
      <c r="J557" s="14"/>
      <c r="K557" s="14"/>
      <c r="L557" s="14"/>
      <c r="M557" s="14"/>
      <c r="N557" s="28"/>
      <c r="O557" s="28"/>
      <c r="P557" s="28"/>
    </row>
    <row r="558" ht="20.25" customHeight="1">
      <c r="A558" s="393"/>
      <c r="B558" s="383"/>
      <c r="C558" s="384"/>
      <c r="D558" s="402"/>
      <c r="E558" s="31"/>
      <c r="F558" s="386"/>
      <c r="G558" s="22"/>
      <c r="H558" s="22"/>
      <c r="I558" s="22"/>
      <c r="J558" s="22"/>
      <c r="K558" s="22"/>
      <c r="L558" s="22"/>
      <c r="M558" s="22"/>
      <c r="N558" s="30"/>
      <c r="O558" s="30"/>
      <c r="P558" s="30"/>
    </row>
    <row r="559" ht="20.25" customHeight="1">
      <c r="A559" s="394"/>
      <c r="B559" s="383"/>
      <c r="C559" s="387"/>
      <c r="D559" s="402"/>
      <c r="E559" s="27"/>
      <c r="F559" s="386"/>
      <c r="G559" s="14"/>
      <c r="H559" s="14"/>
      <c r="I559" s="14"/>
      <c r="J559" s="14"/>
      <c r="K559" s="14"/>
      <c r="L559" s="14"/>
      <c r="M559" s="14"/>
      <c r="N559" s="28"/>
      <c r="O559" s="28"/>
      <c r="P559" s="28"/>
    </row>
    <row r="560" ht="20.25" customHeight="1">
      <c r="A560" s="393"/>
      <c r="B560" s="383"/>
      <c r="C560" s="384"/>
      <c r="D560" s="402"/>
      <c r="E560" s="31"/>
      <c r="F560" s="386"/>
      <c r="G560" s="22"/>
      <c r="H560" s="22"/>
      <c r="I560" s="22"/>
      <c r="J560" s="22"/>
      <c r="K560" s="22"/>
      <c r="L560" s="22"/>
      <c r="M560" s="22"/>
      <c r="N560" s="30"/>
      <c r="O560" s="30"/>
      <c r="P560" s="30"/>
    </row>
    <row r="561" ht="20.25" customHeight="1">
      <c r="A561" s="394"/>
      <c r="B561" s="383"/>
      <c r="C561" s="387"/>
      <c r="D561" s="402"/>
      <c r="E561" s="27"/>
      <c r="F561" s="386"/>
      <c r="G561" s="14"/>
      <c r="H561" s="14"/>
      <c r="I561" s="14"/>
      <c r="J561" s="14"/>
      <c r="K561" s="14"/>
      <c r="L561" s="14"/>
      <c r="M561" s="14"/>
      <c r="N561" s="28"/>
      <c r="O561" s="28"/>
      <c r="P561" s="28"/>
    </row>
    <row r="562" ht="20.25" customHeight="1">
      <c r="A562" s="393"/>
      <c r="B562" s="383"/>
      <c r="C562" s="384"/>
      <c r="D562" s="402"/>
      <c r="E562" s="31"/>
      <c r="F562" s="386"/>
      <c r="G562" s="22"/>
      <c r="H562" s="22"/>
      <c r="I562" s="22"/>
      <c r="J562" s="22"/>
      <c r="K562" s="22"/>
      <c r="L562" s="22"/>
      <c r="M562" s="22"/>
      <c r="N562" s="30"/>
      <c r="O562" s="30"/>
      <c r="P562" s="30"/>
    </row>
    <row r="563" ht="20.25" customHeight="1">
      <c r="A563" s="394"/>
      <c r="B563" s="383"/>
      <c r="C563" s="387"/>
      <c r="D563" s="402"/>
      <c r="E563" s="27"/>
      <c r="F563" s="386"/>
      <c r="G563" s="14"/>
      <c r="H563" s="14"/>
      <c r="I563" s="14"/>
      <c r="J563" s="14"/>
      <c r="K563" s="14"/>
      <c r="L563" s="14"/>
      <c r="M563" s="14"/>
      <c r="N563" s="28"/>
      <c r="O563" s="28"/>
      <c r="P563" s="28"/>
    </row>
    <row r="564" ht="20.25" customHeight="1">
      <c r="A564" s="393"/>
      <c r="B564" s="383"/>
      <c r="C564" s="384"/>
      <c r="D564" s="402"/>
      <c r="E564" s="31"/>
      <c r="F564" s="386"/>
      <c r="G564" s="22"/>
      <c r="H564" s="22"/>
      <c r="I564" s="22"/>
      <c r="J564" s="22"/>
      <c r="K564" s="22"/>
      <c r="L564" s="22"/>
      <c r="M564" s="22"/>
      <c r="N564" s="30"/>
      <c r="O564" s="30"/>
      <c r="P564" s="30"/>
    </row>
    <row r="565" ht="20.25" customHeight="1">
      <c r="A565" s="394"/>
      <c r="B565" s="383"/>
      <c r="C565" s="387"/>
      <c r="D565" s="402"/>
      <c r="E565" s="27"/>
      <c r="F565" s="386"/>
      <c r="G565" s="14"/>
      <c r="H565" s="14"/>
      <c r="I565" s="14"/>
      <c r="J565" s="14"/>
      <c r="K565" s="14"/>
      <c r="L565" s="14"/>
      <c r="M565" s="14"/>
      <c r="N565" s="28"/>
      <c r="O565" s="28"/>
      <c r="P565" s="28"/>
    </row>
    <row r="566" ht="20.25" customHeight="1">
      <c r="A566" s="393"/>
      <c r="B566" s="383"/>
      <c r="C566" s="384"/>
      <c r="D566" s="402"/>
      <c r="E566" s="31"/>
      <c r="F566" s="386"/>
      <c r="G566" s="22"/>
      <c r="H566" s="22"/>
      <c r="I566" s="22"/>
      <c r="J566" s="22"/>
      <c r="K566" s="22"/>
      <c r="L566" s="22"/>
      <c r="M566" s="22"/>
      <c r="N566" s="30"/>
      <c r="O566" s="30"/>
      <c r="P566" s="30"/>
    </row>
    <row r="567" ht="20.25" customHeight="1">
      <c r="A567" s="394"/>
      <c r="B567" s="383"/>
      <c r="C567" s="387"/>
      <c r="D567" s="402"/>
      <c r="E567" s="27"/>
      <c r="F567" s="386"/>
      <c r="G567" s="14"/>
      <c r="H567" s="14"/>
      <c r="I567" s="14"/>
      <c r="J567" s="14"/>
      <c r="K567" s="14"/>
      <c r="L567" s="14"/>
      <c r="M567" s="14"/>
      <c r="N567" s="28"/>
      <c r="O567" s="28"/>
      <c r="P567" s="28"/>
    </row>
    <row r="568" ht="20.25" customHeight="1">
      <c r="A568" s="393"/>
      <c r="B568" s="383"/>
      <c r="C568" s="384"/>
      <c r="D568" s="402"/>
      <c r="E568" s="31"/>
      <c r="F568" s="386"/>
      <c r="G568" s="22"/>
      <c r="H568" s="22"/>
      <c r="I568" s="22"/>
      <c r="J568" s="22"/>
      <c r="K568" s="22"/>
      <c r="L568" s="22"/>
      <c r="M568" s="22"/>
      <c r="N568" s="30"/>
      <c r="O568" s="30"/>
      <c r="P568" s="30"/>
    </row>
    <row r="569" ht="20.25" customHeight="1">
      <c r="A569" s="394"/>
      <c r="B569" s="383"/>
      <c r="C569" s="387"/>
      <c r="D569" s="402"/>
      <c r="E569" s="27"/>
      <c r="F569" s="386"/>
      <c r="G569" s="14"/>
      <c r="H569" s="14"/>
      <c r="I569" s="14"/>
      <c r="J569" s="14"/>
      <c r="K569" s="14"/>
      <c r="L569" s="14"/>
      <c r="M569" s="14"/>
      <c r="N569" s="28"/>
      <c r="O569" s="28"/>
      <c r="P569" s="28"/>
    </row>
    <row r="570" ht="20.25" customHeight="1">
      <c r="A570" s="393"/>
      <c r="B570" s="383"/>
      <c r="C570" s="384"/>
      <c r="D570" s="402"/>
      <c r="E570" s="31"/>
      <c r="F570" s="386"/>
      <c r="G570" s="22"/>
      <c r="H570" s="22"/>
      <c r="I570" s="22"/>
      <c r="J570" s="22"/>
      <c r="K570" s="22"/>
      <c r="L570" s="22"/>
      <c r="M570" s="22"/>
      <c r="N570" s="30"/>
      <c r="O570" s="30"/>
      <c r="P570" s="30"/>
    </row>
    <row r="571" ht="20.25" customHeight="1">
      <c r="A571" s="394"/>
      <c r="B571" s="383"/>
      <c r="C571" s="387"/>
      <c r="D571" s="402"/>
      <c r="E571" s="27"/>
      <c r="F571" s="386"/>
      <c r="G571" s="14"/>
      <c r="H571" s="14"/>
      <c r="I571" s="14"/>
      <c r="J571" s="14"/>
      <c r="K571" s="14"/>
      <c r="L571" s="14"/>
      <c r="M571" s="14"/>
      <c r="N571" s="28"/>
      <c r="O571" s="28"/>
      <c r="P571" s="28"/>
    </row>
    <row r="572" ht="20.25" customHeight="1">
      <c r="A572" s="393"/>
      <c r="B572" s="383"/>
      <c r="C572" s="384"/>
      <c r="D572" s="402"/>
      <c r="E572" s="31"/>
      <c r="F572" s="386"/>
      <c r="G572" s="22"/>
      <c r="H572" s="22"/>
      <c r="I572" s="22"/>
      <c r="J572" s="22"/>
      <c r="K572" s="22"/>
      <c r="L572" s="22"/>
      <c r="M572" s="22"/>
      <c r="N572" s="30"/>
      <c r="O572" s="30"/>
      <c r="P572" s="30"/>
    </row>
    <row r="573" ht="20.25" customHeight="1">
      <c r="A573" s="394"/>
      <c r="B573" s="383"/>
      <c r="C573" s="387"/>
      <c r="D573" s="402"/>
      <c r="E573" s="27"/>
      <c r="F573" s="386"/>
      <c r="G573" s="14"/>
      <c r="H573" s="14"/>
      <c r="I573" s="14"/>
      <c r="J573" s="14"/>
      <c r="K573" s="14"/>
      <c r="L573" s="14"/>
      <c r="M573" s="14"/>
      <c r="N573" s="28"/>
      <c r="O573" s="28"/>
      <c r="P573" s="28"/>
    </row>
    <row r="574" ht="20.25" customHeight="1">
      <c r="A574" s="393"/>
      <c r="B574" s="383"/>
      <c r="C574" s="384"/>
      <c r="D574" s="402"/>
      <c r="E574" s="31"/>
      <c r="F574" s="386"/>
      <c r="G574" s="22"/>
      <c r="H574" s="22"/>
      <c r="I574" s="22"/>
      <c r="J574" s="22"/>
      <c r="K574" s="22"/>
      <c r="L574" s="22"/>
      <c r="M574" s="22"/>
      <c r="N574" s="30"/>
      <c r="O574" s="30"/>
      <c r="P574" s="30"/>
    </row>
    <row r="575" ht="20.25" customHeight="1">
      <c r="A575" s="394"/>
      <c r="B575" s="383"/>
      <c r="C575" s="387"/>
      <c r="D575" s="402"/>
      <c r="E575" s="27"/>
      <c r="F575" s="386"/>
      <c r="G575" s="14"/>
      <c r="H575" s="14"/>
      <c r="I575" s="14"/>
      <c r="J575" s="14"/>
      <c r="K575" s="14"/>
      <c r="L575" s="14"/>
      <c r="M575" s="14"/>
      <c r="N575" s="28"/>
      <c r="O575" s="28"/>
      <c r="P575" s="28"/>
    </row>
    <row r="576" ht="20.25" customHeight="1">
      <c r="A576" s="393"/>
      <c r="B576" s="383"/>
      <c r="C576" s="384"/>
      <c r="D576" s="402"/>
      <c r="E576" s="31"/>
      <c r="F576" s="386"/>
      <c r="G576" s="22"/>
      <c r="H576" s="22"/>
      <c r="I576" s="22"/>
      <c r="J576" s="22"/>
      <c r="K576" s="22"/>
      <c r="L576" s="22"/>
      <c r="M576" s="22"/>
      <c r="N576" s="30"/>
      <c r="O576" s="30"/>
      <c r="P576" s="30"/>
    </row>
    <row r="577" ht="20.25" customHeight="1">
      <c r="A577" s="394"/>
      <c r="B577" s="383"/>
      <c r="C577" s="387"/>
      <c r="D577" s="402"/>
      <c r="E577" s="27"/>
      <c r="F577" s="386"/>
      <c r="G577" s="14"/>
      <c r="H577" s="14"/>
      <c r="I577" s="14"/>
      <c r="J577" s="14"/>
      <c r="K577" s="14"/>
      <c r="L577" s="14"/>
      <c r="M577" s="14"/>
      <c r="N577" s="28"/>
      <c r="O577" s="28"/>
      <c r="P577" s="28"/>
    </row>
    <row r="578" ht="20.25" customHeight="1">
      <c r="A578" s="393"/>
      <c r="B578" s="383"/>
      <c r="C578" s="384"/>
      <c r="D578" s="402"/>
      <c r="E578" s="31"/>
      <c r="F578" s="386"/>
      <c r="G578" s="22"/>
      <c r="H578" s="22"/>
      <c r="I578" s="22"/>
      <c r="J578" s="22"/>
      <c r="K578" s="22"/>
      <c r="L578" s="22"/>
      <c r="M578" s="22"/>
      <c r="N578" s="30"/>
      <c r="O578" s="30"/>
      <c r="P578" s="30"/>
    </row>
    <row r="579" ht="20.25" customHeight="1">
      <c r="A579" s="394"/>
      <c r="B579" s="383"/>
      <c r="C579" s="387"/>
      <c r="D579" s="402"/>
      <c r="E579" s="27"/>
      <c r="F579" s="386"/>
      <c r="G579" s="14"/>
      <c r="H579" s="14"/>
      <c r="I579" s="14"/>
      <c r="J579" s="14"/>
      <c r="K579" s="14"/>
      <c r="L579" s="14"/>
      <c r="M579" s="14"/>
      <c r="N579" s="28"/>
      <c r="O579" s="28"/>
      <c r="P579" s="28"/>
    </row>
    <row r="580" ht="20.25" customHeight="1">
      <c r="A580" s="393"/>
      <c r="B580" s="383"/>
      <c r="C580" s="384"/>
      <c r="D580" s="402"/>
      <c r="E580" s="31"/>
      <c r="F580" s="386"/>
      <c r="G580" s="22"/>
      <c r="H580" s="22"/>
      <c r="I580" s="22"/>
      <c r="J580" s="22"/>
      <c r="K580" s="22"/>
      <c r="L580" s="22"/>
      <c r="M580" s="22"/>
      <c r="N580" s="30"/>
      <c r="O580" s="30"/>
      <c r="P580" s="30"/>
    </row>
    <row r="581" ht="20.25" customHeight="1">
      <c r="A581" s="394"/>
      <c r="B581" s="383"/>
      <c r="C581" s="387"/>
      <c r="D581" s="402"/>
      <c r="E581" s="27"/>
      <c r="F581" s="386"/>
      <c r="G581" s="14"/>
      <c r="H581" s="14"/>
      <c r="I581" s="14"/>
      <c r="J581" s="14"/>
      <c r="K581" s="14"/>
      <c r="L581" s="14"/>
      <c r="M581" s="14"/>
      <c r="N581" s="28"/>
      <c r="O581" s="28"/>
      <c r="P581" s="28"/>
    </row>
    <row r="582" ht="20.25" customHeight="1">
      <c r="A582" s="393"/>
      <c r="B582" s="383"/>
      <c r="C582" s="384"/>
      <c r="D582" s="402"/>
      <c r="E582" s="31"/>
      <c r="F582" s="386"/>
      <c r="G582" s="22"/>
      <c r="H582" s="22"/>
      <c r="I582" s="22"/>
      <c r="J582" s="22"/>
      <c r="K582" s="22"/>
      <c r="L582" s="22"/>
      <c r="M582" s="22"/>
      <c r="N582" s="30"/>
      <c r="O582" s="30"/>
      <c r="P582" s="30"/>
    </row>
    <row r="583" ht="20.25" customHeight="1">
      <c r="A583" s="394"/>
      <c r="B583" s="383"/>
      <c r="C583" s="387"/>
      <c r="D583" s="402"/>
      <c r="E583" s="27"/>
      <c r="F583" s="386"/>
      <c r="G583" s="14"/>
      <c r="H583" s="14"/>
      <c r="I583" s="14"/>
      <c r="J583" s="14"/>
      <c r="K583" s="14"/>
      <c r="L583" s="14"/>
      <c r="M583" s="14"/>
      <c r="N583" s="28"/>
      <c r="O583" s="28"/>
      <c r="P583" s="28"/>
    </row>
    <row r="584" ht="20.25" customHeight="1">
      <c r="A584" s="393"/>
      <c r="B584" s="383"/>
      <c r="C584" s="384"/>
      <c r="D584" s="402"/>
      <c r="E584" s="31"/>
      <c r="F584" s="386"/>
      <c r="G584" s="22"/>
      <c r="H584" s="22"/>
      <c r="I584" s="22"/>
      <c r="J584" s="22"/>
      <c r="K584" s="22"/>
      <c r="L584" s="22"/>
      <c r="M584" s="22"/>
      <c r="N584" s="30"/>
      <c r="O584" s="30"/>
      <c r="P584" s="30"/>
    </row>
    <row r="585" ht="20.25" customHeight="1">
      <c r="A585" s="394"/>
      <c r="B585" s="383"/>
      <c r="C585" s="387"/>
      <c r="D585" s="402"/>
      <c r="E585" s="27"/>
      <c r="F585" s="386"/>
      <c r="G585" s="14"/>
      <c r="H585" s="14"/>
      <c r="I585" s="14"/>
      <c r="J585" s="14"/>
      <c r="K585" s="14"/>
      <c r="L585" s="14"/>
      <c r="M585" s="14"/>
      <c r="N585" s="28"/>
      <c r="O585" s="28"/>
      <c r="P585" s="28"/>
    </row>
    <row r="586" ht="20.25" customHeight="1">
      <c r="A586" s="393"/>
      <c r="B586" s="383"/>
      <c r="C586" s="384"/>
      <c r="D586" s="402"/>
      <c r="E586" s="31"/>
      <c r="F586" s="386"/>
      <c r="G586" s="22"/>
      <c r="H586" s="22"/>
      <c r="I586" s="22"/>
      <c r="J586" s="22"/>
      <c r="K586" s="22"/>
      <c r="L586" s="22"/>
      <c r="M586" s="22"/>
      <c r="N586" s="30"/>
      <c r="O586" s="30"/>
      <c r="P586" s="30"/>
    </row>
    <row r="587" ht="20.25" customHeight="1">
      <c r="A587" s="394"/>
      <c r="B587" s="383"/>
      <c r="C587" s="387"/>
      <c r="D587" s="402"/>
      <c r="E587" s="27"/>
      <c r="F587" s="386"/>
      <c r="G587" s="14"/>
      <c r="H587" s="14"/>
      <c r="I587" s="14"/>
      <c r="J587" s="14"/>
      <c r="K587" s="14"/>
      <c r="L587" s="14"/>
      <c r="M587" s="14"/>
      <c r="N587" s="28"/>
      <c r="O587" s="28"/>
      <c r="P587" s="28"/>
    </row>
    <row r="588" ht="20.25" customHeight="1">
      <c r="A588" s="393"/>
      <c r="B588" s="383"/>
      <c r="C588" s="384"/>
      <c r="D588" s="402"/>
      <c r="E588" s="31"/>
      <c r="F588" s="386"/>
      <c r="G588" s="22"/>
      <c r="H588" s="22"/>
      <c r="I588" s="22"/>
      <c r="J588" s="22"/>
      <c r="K588" s="22"/>
      <c r="L588" s="22"/>
      <c r="M588" s="22"/>
      <c r="N588" s="30"/>
      <c r="O588" s="30"/>
      <c r="P588" s="30"/>
    </row>
    <row r="589" ht="20.25" customHeight="1">
      <c r="A589" s="394"/>
      <c r="B589" s="383"/>
      <c r="C589" s="387"/>
      <c r="D589" s="402"/>
      <c r="E589" s="27"/>
      <c r="F589" s="386"/>
      <c r="G589" s="14"/>
      <c r="H589" s="14"/>
      <c r="I589" s="14"/>
      <c r="J589" s="14"/>
      <c r="K589" s="14"/>
      <c r="L589" s="14"/>
      <c r="M589" s="14"/>
      <c r="N589" s="28"/>
      <c r="O589" s="28"/>
      <c r="P589" s="28"/>
    </row>
    <row r="590" ht="20.25" customHeight="1">
      <c r="A590" s="393"/>
      <c r="B590" s="383"/>
      <c r="C590" s="384"/>
      <c r="D590" s="402"/>
      <c r="E590" s="31"/>
      <c r="F590" s="386"/>
      <c r="G590" s="22"/>
      <c r="H590" s="22"/>
      <c r="I590" s="22"/>
      <c r="J590" s="22"/>
      <c r="K590" s="22"/>
      <c r="L590" s="22"/>
      <c r="M590" s="22"/>
      <c r="N590" s="30"/>
      <c r="O590" s="30"/>
      <c r="P590" s="30"/>
    </row>
    <row r="591" ht="20.25" customHeight="1">
      <c r="A591" s="394"/>
      <c r="B591" s="383"/>
      <c r="C591" s="387"/>
      <c r="D591" s="402"/>
      <c r="E591" s="27"/>
      <c r="F591" s="386"/>
      <c r="G591" s="14"/>
      <c r="H591" s="14"/>
      <c r="I591" s="14"/>
      <c r="J591" s="14"/>
      <c r="K591" s="14"/>
      <c r="L591" s="14"/>
      <c r="M591" s="14"/>
      <c r="N591" s="28"/>
      <c r="O591" s="28"/>
      <c r="P591" s="28"/>
    </row>
    <row r="592" ht="20.25" customHeight="1">
      <c r="A592" s="393"/>
      <c r="B592" s="383"/>
      <c r="C592" s="384"/>
      <c r="D592" s="402"/>
      <c r="E592" s="31"/>
      <c r="F592" s="386"/>
      <c r="G592" s="22"/>
      <c r="H592" s="22"/>
      <c r="I592" s="22"/>
      <c r="J592" s="22"/>
      <c r="K592" s="22"/>
      <c r="L592" s="22"/>
      <c r="M592" s="22"/>
      <c r="N592" s="30"/>
      <c r="O592" s="30"/>
      <c r="P592" s="30"/>
    </row>
    <row r="593" ht="20.25" customHeight="1">
      <c r="A593" s="394"/>
      <c r="B593" s="383"/>
      <c r="C593" s="387"/>
      <c r="D593" s="402"/>
      <c r="E593" s="27"/>
      <c r="F593" s="386"/>
      <c r="G593" s="14"/>
      <c r="H593" s="14"/>
      <c r="I593" s="14"/>
      <c r="J593" s="14"/>
      <c r="K593" s="14"/>
      <c r="L593" s="14"/>
      <c r="M593" s="14"/>
      <c r="N593" s="28"/>
      <c r="O593" s="28"/>
      <c r="P593" s="28"/>
    </row>
    <row r="594" ht="20.25" customHeight="1">
      <c r="A594" s="393"/>
      <c r="B594" s="383"/>
      <c r="C594" s="384"/>
      <c r="D594" s="402"/>
      <c r="E594" s="31"/>
      <c r="F594" s="386"/>
      <c r="G594" s="22"/>
      <c r="H594" s="22"/>
      <c r="I594" s="22"/>
      <c r="J594" s="22"/>
      <c r="K594" s="22"/>
      <c r="L594" s="22"/>
      <c r="M594" s="22"/>
      <c r="N594" s="30"/>
      <c r="O594" s="30"/>
      <c r="P594" s="30"/>
    </row>
    <row r="595" ht="20.25" customHeight="1">
      <c r="A595" s="394"/>
      <c r="B595" s="383"/>
      <c r="C595" s="387"/>
      <c r="D595" s="402"/>
      <c r="E595" s="27"/>
      <c r="F595" s="386"/>
      <c r="G595" s="14"/>
      <c r="H595" s="14"/>
      <c r="I595" s="14"/>
      <c r="J595" s="14"/>
      <c r="K595" s="14"/>
      <c r="L595" s="14"/>
      <c r="M595" s="14"/>
      <c r="N595" s="28"/>
      <c r="O595" s="28"/>
      <c r="P595" s="28"/>
    </row>
    <row r="596" ht="20.25" customHeight="1">
      <c r="A596" s="393"/>
      <c r="B596" s="383"/>
      <c r="C596" s="384"/>
      <c r="D596" s="402"/>
      <c r="E596" s="31"/>
      <c r="F596" s="386"/>
      <c r="G596" s="22"/>
      <c r="H596" s="22"/>
      <c r="I596" s="22"/>
      <c r="J596" s="22"/>
      <c r="K596" s="22"/>
      <c r="L596" s="22"/>
      <c r="M596" s="22"/>
      <c r="N596" s="30"/>
      <c r="O596" s="30"/>
      <c r="P596" s="30"/>
    </row>
    <row r="597" ht="20.25" customHeight="1">
      <c r="A597" s="394"/>
      <c r="B597" s="383"/>
      <c r="C597" s="387"/>
      <c r="D597" s="402"/>
      <c r="E597" s="27"/>
      <c r="F597" s="386"/>
      <c r="G597" s="14"/>
      <c r="H597" s="14"/>
      <c r="I597" s="14"/>
      <c r="J597" s="14"/>
      <c r="K597" s="14"/>
      <c r="L597" s="14"/>
      <c r="M597" s="14"/>
      <c r="N597" s="28"/>
      <c r="O597" s="28"/>
      <c r="P597" s="28"/>
    </row>
    <row r="598" ht="20.25" customHeight="1">
      <c r="A598" s="393"/>
      <c r="B598" s="383"/>
      <c r="C598" s="384"/>
      <c r="D598" s="402"/>
      <c r="E598" s="31"/>
      <c r="F598" s="386"/>
      <c r="G598" s="22"/>
      <c r="H598" s="22"/>
      <c r="I598" s="22"/>
      <c r="J598" s="22"/>
      <c r="K598" s="22"/>
      <c r="L598" s="22"/>
      <c r="M598" s="22"/>
      <c r="N598" s="30"/>
      <c r="O598" s="30"/>
      <c r="P598" s="30"/>
    </row>
    <row r="599" ht="20.25" customHeight="1">
      <c r="A599" s="394"/>
      <c r="B599" s="383"/>
      <c r="C599" s="387"/>
      <c r="D599" s="402"/>
      <c r="E599" s="27"/>
      <c r="F599" s="386"/>
      <c r="G599" s="14"/>
      <c r="H599" s="14"/>
      <c r="I599" s="14"/>
      <c r="J599" s="14"/>
      <c r="K599" s="14"/>
      <c r="L599" s="14"/>
      <c r="M599" s="14"/>
      <c r="N599" s="28"/>
      <c r="O599" s="28"/>
      <c r="P599" s="28"/>
    </row>
    <row r="600" ht="20.25" customHeight="1">
      <c r="A600" s="393"/>
      <c r="B600" s="383"/>
      <c r="C600" s="384"/>
      <c r="D600" s="402"/>
      <c r="E600" s="31"/>
      <c r="F600" s="386"/>
      <c r="G600" s="22"/>
      <c r="H600" s="22"/>
      <c r="I600" s="22"/>
      <c r="J600" s="22"/>
      <c r="K600" s="22"/>
      <c r="L600" s="22"/>
      <c r="M600" s="22"/>
      <c r="N600" s="30"/>
      <c r="O600" s="30"/>
      <c r="P600" s="30"/>
    </row>
    <row r="601" ht="20.25" customHeight="1">
      <c r="A601" s="394"/>
      <c r="B601" s="383"/>
      <c r="C601" s="387"/>
      <c r="D601" s="402"/>
      <c r="E601" s="27"/>
      <c r="F601" s="386"/>
      <c r="G601" s="14"/>
      <c r="H601" s="14"/>
      <c r="I601" s="14"/>
      <c r="J601" s="14"/>
      <c r="K601" s="14"/>
      <c r="L601" s="14"/>
      <c r="M601" s="14"/>
      <c r="N601" s="28"/>
      <c r="O601" s="28"/>
      <c r="P601" s="28"/>
    </row>
    <row r="602" ht="20.25" customHeight="1">
      <c r="A602" s="393"/>
      <c r="B602" s="383"/>
      <c r="C602" s="384"/>
      <c r="D602" s="402"/>
      <c r="E602" s="31"/>
      <c r="F602" s="386"/>
      <c r="G602" s="22"/>
      <c r="H602" s="22"/>
      <c r="I602" s="22"/>
      <c r="J602" s="22"/>
      <c r="K602" s="22"/>
      <c r="L602" s="22"/>
      <c r="M602" s="22"/>
      <c r="N602" s="30"/>
      <c r="O602" s="30"/>
      <c r="P602" s="30"/>
    </row>
    <row r="603" ht="20.25" customHeight="1">
      <c r="A603" s="394"/>
      <c r="B603" s="383"/>
      <c r="C603" s="387"/>
      <c r="D603" s="402"/>
      <c r="E603" s="27"/>
      <c r="F603" s="386"/>
      <c r="G603" s="14"/>
      <c r="H603" s="14"/>
      <c r="I603" s="14"/>
      <c r="J603" s="14"/>
      <c r="K603" s="14"/>
      <c r="L603" s="14"/>
      <c r="M603" s="14"/>
      <c r="N603" s="28"/>
      <c r="O603" s="28"/>
      <c r="P603" s="28"/>
    </row>
    <row r="604" ht="20.25" customHeight="1">
      <c r="A604" s="393"/>
      <c r="B604" s="383"/>
      <c r="C604" s="384"/>
      <c r="D604" s="402"/>
      <c r="E604" s="31"/>
      <c r="F604" s="386"/>
      <c r="G604" s="22"/>
      <c r="H604" s="22"/>
      <c r="I604" s="22"/>
      <c r="J604" s="22"/>
      <c r="K604" s="22"/>
      <c r="L604" s="22"/>
      <c r="M604" s="22"/>
      <c r="N604" s="30"/>
      <c r="O604" s="30"/>
      <c r="P604" s="30"/>
    </row>
    <row r="605" ht="20.25" customHeight="1">
      <c r="A605" s="394"/>
      <c r="B605" s="383"/>
      <c r="C605" s="387"/>
      <c r="D605" s="402"/>
      <c r="E605" s="27"/>
      <c r="F605" s="386"/>
      <c r="G605" s="14"/>
      <c r="H605" s="14"/>
      <c r="I605" s="14"/>
      <c r="J605" s="14"/>
      <c r="K605" s="14"/>
      <c r="L605" s="14"/>
      <c r="M605" s="14"/>
      <c r="N605" s="28"/>
      <c r="O605" s="28"/>
      <c r="P605" s="28"/>
    </row>
    <row r="606" ht="20.25" customHeight="1">
      <c r="A606" s="393"/>
      <c r="B606" s="383"/>
      <c r="C606" s="384"/>
      <c r="D606" s="402"/>
      <c r="E606" s="31"/>
      <c r="F606" s="386"/>
      <c r="G606" s="22"/>
      <c r="H606" s="22"/>
      <c r="I606" s="22"/>
      <c r="J606" s="22"/>
      <c r="K606" s="22"/>
      <c r="L606" s="22"/>
      <c r="M606" s="22"/>
      <c r="N606" s="30"/>
      <c r="O606" s="30"/>
      <c r="P606" s="30"/>
    </row>
    <row r="607" ht="20.25" customHeight="1">
      <c r="A607" s="394"/>
      <c r="B607" s="383"/>
      <c r="C607" s="387"/>
      <c r="D607" s="402"/>
      <c r="E607" s="27"/>
      <c r="F607" s="386"/>
      <c r="G607" s="14"/>
      <c r="H607" s="14"/>
      <c r="I607" s="14"/>
      <c r="J607" s="14"/>
      <c r="K607" s="14"/>
      <c r="L607" s="14"/>
      <c r="M607" s="14"/>
      <c r="N607" s="28"/>
      <c r="O607" s="28"/>
      <c r="P607" s="28"/>
    </row>
    <row r="608" ht="20.25" customHeight="1">
      <c r="A608" s="393"/>
      <c r="B608" s="383"/>
      <c r="C608" s="384"/>
      <c r="D608" s="402"/>
      <c r="E608" s="31"/>
      <c r="F608" s="386"/>
      <c r="G608" s="22"/>
      <c r="H608" s="22"/>
      <c r="I608" s="22"/>
      <c r="J608" s="22"/>
      <c r="K608" s="22"/>
      <c r="L608" s="22"/>
      <c r="M608" s="22"/>
      <c r="N608" s="30"/>
      <c r="O608" s="30"/>
      <c r="P608" s="30"/>
    </row>
    <row r="609" ht="20.25" customHeight="1">
      <c r="A609" s="394"/>
      <c r="B609" s="383"/>
      <c r="C609" s="387"/>
      <c r="D609" s="402"/>
      <c r="E609" s="27"/>
      <c r="F609" s="386"/>
      <c r="G609" s="14"/>
      <c r="H609" s="14"/>
      <c r="I609" s="14"/>
      <c r="J609" s="14"/>
      <c r="K609" s="14"/>
      <c r="L609" s="14"/>
      <c r="M609" s="14"/>
      <c r="N609" s="28"/>
      <c r="O609" s="28"/>
      <c r="P609" s="28"/>
    </row>
    <row r="610" ht="20.25" customHeight="1">
      <c r="A610" s="393"/>
      <c r="B610" s="383"/>
      <c r="C610" s="384"/>
      <c r="D610" s="402"/>
      <c r="E610" s="31"/>
      <c r="F610" s="386"/>
      <c r="G610" s="22"/>
      <c r="H610" s="22"/>
      <c r="I610" s="22"/>
      <c r="J610" s="22"/>
      <c r="K610" s="22"/>
      <c r="L610" s="22"/>
      <c r="M610" s="22"/>
      <c r="N610" s="30"/>
      <c r="O610" s="30"/>
      <c r="P610" s="30"/>
    </row>
    <row r="611" ht="20.25" customHeight="1">
      <c r="A611" s="394"/>
      <c r="B611" s="383"/>
      <c r="C611" s="387"/>
      <c r="D611" s="402"/>
      <c r="E611" s="27"/>
      <c r="F611" s="386"/>
      <c r="G611" s="14"/>
      <c r="H611" s="14"/>
      <c r="I611" s="14"/>
      <c r="J611" s="14"/>
      <c r="K611" s="14"/>
      <c r="L611" s="14"/>
      <c r="M611" s="14"/>
      <c r="N611" s="28"/>
      <c r="O611" s="28"/>
      <c r="P611" s="28"/>
    </row>
    <row r="612" ht="20.25" customHeight="1">
      <c r="A612" s="393"/>
      <c r="B612" s="383"/>
      <c r="C612" s="384"/>
      <c r="D612" s="402"/>
      <c r="E612" s="31"/>
      <c r="F612" s="386"/>
      <c r="G612" s="22"/>
      <c r="H612" s="22"/>
      <c r="I612" s="22"/>
      <c r="J612" s="22"/>
      <c r="K612" s="22"/>
      <c r="L612" s="22"/>
      <c r="M612" s="22"/>
      <c r="N612" s="30"/>
      <c r="O612" s="30"/>
      <c r="P612" s="30"/>
    </row>
    <row r="613" ht="20.25" customHeight="1">
      <c r="A613" s="394"/>
      <c r="B613" s="383"/>
      <c r="C613" s="387"/>
      <c r="D613" s="402"/>
      <c r="E613" s="27"/>
      <c r="F613" s="386"/>
      <c r="G613" s="14"/>
      <c r="H613" s="14"/>
      <c r="I613" s="14"/>
      <c r="J613" s="14"/>
      <c r="K613" s="14"/>
      <c r="L613" s="14"/>
      <c r="M613" s="14"/>
      <c r="N613" s="28"/>
      <c r="O613" s="28"/>
      <c r="P613" s="28"/>
    </row>
    <row r="614" ht="20.25" customHeight="1">
      <c r="A614" s="393"/>
      <c r="B614" s="383"/>
      <c r="C614" s="384"/>
      <c r="D614" s="402"/>
      <c r="E614" s="31"/>
      <c r="F614" s="386"/>
      <c r="G614" s="22"/>
      <c r="H614" s="22"/>
      <c r="I614" s="22"/>
      <c r="J614" s="22"/>
      <c r="K614" s="22"/>
      <c r="L614" s="22"/>
      <c r="M614" s="22"/>
      <c r="N614" s="30"/>
      <c r="O614" s="30"/>
      <c r="P614" s="30"/>
    </row>
    <row r="615" ht="20.25" customHeight="1">
      <c r="A615" s="394"/>
      <c r="B615" s="383"/>
      <c r="C615" s="387"/>
      <c r="D615" s="402"/>
      <c r="E615" s="27"/>
      <c r="F615" s="386"/>
      <c r="G615" s="14"/>
      <c r="H615" s="14"/>
      <c r="I615" s="14"/>
      <c r="J615" s="14"/>
      <c r="K615" s="14"/>
      <c r="L615" s="14"/>
      <c r="M615" s="14"/>
      <c r="N615" s="28"/>
      <c r="O615" s="28"/>
      <c r="P615" s="28"/>
    </row>
    <row r="616" ht="20.25" customHeight="1">
      <c r="A616" s="393"/>
      <c r="B616" s="383"/>
      <c r="C616" s="384"/>
      <c r="D616" s="402"/>
      <c r="E616" s="31"/>
      <c r="F616" s="386"/>
      <c r="G616" s="22"/>
      <c r="H616" s="22"/>
      <c r="I616" s="22"/>
      <c r="J616" s="22"/>
      <c r="K616" s="22"/>
      <c r="L616" s="22"/>
      <c r="M616" s="22"/>
      <c r="N616" s="30"/>
      <c r="O616" s="30"/>
      <c r="P616" s="30"/>
    </row>
    <row r="617" ht="20.25" customHeight="1">
      <c r="A617" s="394"/>
      <c r="B617" s="383"/>
      <c r="C617" s="387"/>
      <c r="D617" s="402"/>
      <c r="E617" s="27"/>
      <c r="F617" s="386"/>
      <c r="G617" s="14"/>
      <c r="H617" s="14"/>
      <c r="I617" s="14"/>
      <c r="J617" s="14"/>
      <c r="K617" s="14"/>
      <c r="L617" s="14"/>
      <c r="M617" s="14"/>
      <c r="N617" s="28"/>
      <c r="O617" s="28"/>
      <c r="P617" s="28"/>
    </row>
    <row r="618" ht="20.25" customHeight="1">
      <c r="A618" s="393"/>
      <c r="B618" s="383"/>
      <c r="C618" s="384"/>
      <c r="D618" s="402"/>
      <c r="E618" s="31"/>
      <c r="F618" s="386"/>
      <c r="G618" s="22"/>
      <c r="H618" s="22"/>
      <c r="I618" s="22"/>
      <c r="J618" s="22"/>
      <c r="K618" s="22"/>
      <c r="L618" s="22"/>
      <c r="M618" s="22"/>
      <c r="N618" s="30"/>
      <c r="O618" s="30"/>
      <c r="P618" s="30"/>
    </row>
    <row r="619" ht="20.25" customHeight="1">
      <c r="A619" s="394"/>
      <c r="B619" s="383"/>
      <c r="C619" s="387"/>
      <c r="D619" s="402"/>
      <c r="E619" s="27"/>
      <c r="F619" s="386"/>
      <c r="G619" s="14"/>
      <c r="H619" s="14"/>
      <c r="I619" s="14"/>
      <c r="J619" s="14"/>
      <c r="K619" s="14"/>
      <c r="L619" s="14"/>
      <c r="M619" s="14"/>
      <c r="N619" s="28"/>
      <c r="O619" s="28"/>
      <c r="P619" s="28"/>
    </row>
    <row r="620" ht="20.25" customHeight="1">
      <c r="A620" s="393"/>
      <c r="B620" s="383"/>
      <c r="C620" s="384"/>
      <c r="D620" s="402"/>
      <c r="E620" s="31"/>
      <c r="F620" s="386"/>
      <c r="G620" s="22"/>
      <c r="H620" s="22"/>
      <c r="I620" s="22"/>
      <c r="J620" s="22"/>
      <c r="K620" s="22"/>
      <c r="L620" s="22"/>
      <c r="M620" s="22"/>
      <c r="N620" s="30"/>
      <c r="O620" s="30"/>
      <c r="P620" s="30"/>
    </row>
    <row r="621" ht="20.25" customHeight="1">
      <c r="A621" s="394"/>
      <c r="B621" s="383"/>
      <c r="C621" s="387"/>
      <c r="D621" s="402"/>
      <c r="E621" s="27"/>
      <c r="F621" s="386"/>
      <c r="G621" s="14"/>
      <c r="H621" s="14"/>
      <c r="I621" s="14"/>
      <c r="J621" s="14"/>
      <c r="K621" s="14"/>
      <c r="L621" s="14"/>
      <c r="M621" s="14"/>
      <c r="N621" s="28"/>
      <c r="O621" s="28"/>
      <c r="P621" s="28"/>
    </row>
    <row r="622" ht="20.25" customHeight="1">
      <c r="A622" s="393"/>
      <c r="B622" s="383"/>
      <c r="C622" s="384"/>
      <c r="D622" s="402"/>
      <c r="E622" s="31"/>
      <c r="F622" s="386"/>
      <c r="G622" s="22"/>
      <c r="H622" s="22"/>
      <c r="I622" s="22"/>
      <c r="J622" s="22"/>
      <c r="K622" s="22"/>
      <c r="L622" s="22"/>
      <c r="M622" s="22"/>
      <c r="N622" s="30"/>
      <c r="O622" s="30"/>
      <c r="P622" s="30"/>
    </row>
    <row r="623" ht="20.25" customHeight="1">
      <c r="A623" s="394"/>
      <c r="B623" s="383"/>
      <c r="C623" s="387"/>
      <c r="D623" s="402"/>
      <c r="E623" s="27"/>
      <c r="F623" s="386"/>
      <c r="G623" s="14"/>
      <c r="H623" s="14"/>
      <c r="I623" s="14"/>
      <c r="J623" s="14"/>
      <c r="K623" s="14"/>
      <c r="L623" s="14"/>
      <c r="M623" s="14"/>
      <c r="N623" s="28"/>
      <c r="O623" s="28"/>
      <c r="P623" s="28"/>
    </row>
    <row r="624" ht="20.25" customHeight="1">
      <c r="A624" s="393"/>
      <c r="B624" s="383"/>
      <c r="C624" s="384"/>
      <c r="D624" s="402"/>
      <c r="E624" s="31"/>
      <c r="F624" s="386"/>
      <c r="G624" s="22"/>
      <c r="H624" s="22"/>
      <c r="I624" s="22"/>
      <c r="J624" s="22"/>
      <c r="K624" s="22"/>
      <c r="L624" s="22"/>
      <c r="M624" s="22"/>
      <c r="N624" s="30"/>
      <c r="O624" s="30"/>
      <c r="P624" s="30"/>
    </row>
    <row r="625" ht="20.25" customHeight="1">
      <c r="A625" s="394"/>
      <c r="B625" s="383"/>
      <c r="C625" s="387"/>
      <c r="D625" s="402"/>
      <c r="E625" s="27"/>
      <c r="F625" s="386"/>
      <c r="G625" s="14"/>
      <c r="H625" s="14"/>
      <c r="I625" s="14"/>
      <c r="J625" s="14"/>
      <c r="K625" s="14"/>
      <c r="L625" s="14"/>
      <c r="M625" s="14"/>
      <c r="N625" s="28"/>
      <c r="O625" s="28"/>
      <c r="P625" s="28"/>
    </row>
    <row r="626" ht="20.25" customHeight="1">
      <c r="A626" s="393"/>
      <c r="B626" s="383"/>
      <c r="C626" s="384"/>
      <c r="D626" s="402"/>
      <c r="E626" s="31"/>
      <c r="F626" s="386"/>
      <c r="G626" s="22"/>
      <c r="H626" s="22"/>
      <c r="I626" s="22"/>
      <c r="J626" s="22"/>
      <c r="K626" s="22"/>
      <c r="L626" s="22"/>
      <c r="M626" s="22"/>
      <c r="N626" s="30"/>
      <c r="O626" s="30"/>
      <c r="P626" s="30"/>
    </row>
    <row r="627" ht="20.25" customHeight="1">
      <c r="A627" s="394"/>
      <c r="B627" s="383"/>
      <c r="C627" s="387"/>
      <c r="D627" s="402"/>
      <c r="E627" s="27"/>
      <c r="F627" s="386"/>
      <c r="G627" s="14"/>
      <c r="H627" s="14"/>
      <c r="I627" s="14"/>
      <c r="J627" s="14"/>
      <c r="K627" s="14"/>
      <c r="L627" s="14"/>
      <c r="M627" s="14"/>
      <c r="N627" s="28"/>
      <c r="O627" s="28"/>
      <c r="P627" s="28"/>
    </row>
    <row r="628" ht="20.25" customHeight="1">
      <c r="A628" s="393"/>
      <c r="B628" s="383"/>
      <c r="C628" s="384"/>
      <c r="D628" s="402"/>
      <c r="E628" s="31"/>
      <c r="F628" s="386"/>
      <c r="G628" s="22"/>
      <c r="H628" s="22"/>
      <c r="I628" s="22"/>
      <c r="J628" s="22"/>
      <c r="K628" s="22"/>
      <c r="L628" s="22"/>
      <c r="M628" s="22"/>
      <c r="N628" s="30"/>
      <c r="O628" s="30"/>
      <c r="P628" s="30"/>
    </row>
    <row r="629" ht="20.25" customHeight="1">
      <c r="A629" s="394"/>
      <c r="B629" s="383"/>
      <c r="C629" s="387"/>
      <c r="D629" s="402"/>
      <c r="E629" s="27"/>
      <c r="F629" s="386"/>
      <c r="G629" s="14"/>
      <c r="H629" s="14"/>
      <c r="I629" s="14"/>
      <c r="J629" s="14"/>
      <c r="K629" s="14"/>
      <c r="L629" s="14"/>
      <c r="M629" s="14"/>
      <c r="N629" s="28"/>
      <c r="O629" s="28"/>
      <c r="P629" s="28"/>
    </row>
    <row r="630" ht="20.25" customHeight="1">
      <c r="A630" s="393"/>
      <c r="B630" s="383"/>
      <c r="C630" s="384"/>
      <c r="D630" s="402"/>
      <c r="E630" s="31"/>
      <c r="F630" s="386"/>
      <c r="G630" s="22"/>
      <c r="H630" s="22"/>
      <c r="I630" s="22"/>
      <c r="J630" s="22"/>
      <c r="K630" s="22"/>
      <c r="L630" s="22"/>
      <c r="M630" s="22"/>
      <c r="N630" s="30"/>
      <c r="O630" s="30"/>
      <c r="P630" s="30"/>
    </row>
    <row r="631" ht="20.25" customHeight="1">
      <c r="A631" s="394"/>
      <c r="B631" s="383"/>
      <c r="C631" s="387"/>
      <c r="D631" s="402"/>
      <c r="E631" s="27"/>
      <c r="F631" s="386"/>
      <c r="G631" s="14"/>
      <c r="H631" s="14"/>
      <c r="I631" s="14"/>
      <c r="J631" s="14"/>
      <c r="K631" s="14"/>
      <c r="L631" s="14"/>
      <c r="M631" s="14"/>
      <c r="N631" s="28"/>
      <c r="O631" s="28"/>
      <c r="P631" s="28"/>
    </row>
    <row r="632" ht="20.25" customHeight="1">
      <c r="A632" s="393"/>
      <c r="B632" s="383"/>
      <c r="C632" s="384"/>
      <c r="D632" s="402"/>
      <c r="E632" s="31"/>
      <c r="F632" s="386"/>
      <c r="G632" s="22"/>
      <c r="H632" s="22"/>
      <c r="I632" s="22"/>
      <c r="J632" s="22"/>
      <c r="K632" s="22"/>
      <c r="L632" s="22"/>
      <c r="M632" s="22"/>
      <c r="N632" s="30"/>
      <c r="O632" s="30"/>
      <c r="P632" s="30"/>
    </row>
    <row r="633" ht="20.25" customHeight="1">
      <c r="A633" s="394"/>
      <c r="B633" s="383"/>
      <c r="C633" s="387"/>
      <c r="D633" s="402"/>
      <c r="E633" s="27"/>
      <c r="F633" s="386"/>
      <c r="G633" s="14"/>
      <c r="H633" s="14"/>
      <c r="I633" s="14"/>
      <c r="J633" s="14"/>
      <c r="K633" s="14"/>
      <c r="L633" s="14"/>
      <c r="M633" s="14"/>
      <c r="N633" s="28"/>
      <c r="O633" s="28"/>
      <c r="P633" s="28"/>
    </row>
    <row r="634" ht="20.25" customHeight="1">
      <c r="A634" s="393"/>
      <c r="B634" s="383"/>
      <c r="C634" s="384"/>
      <c r="D634" s="402"/>
      <c r="E634" s="31"/>
      <c r="F634" s="386"/>
      <c r="G634" s="22"/>
      <c r="H634" s="22"/>
      <c r="I634" s="22"/>
      <c r="J634" s="22"/>
      <c r="K634" s="22"/>
      <c r="L634" s="22"/>
      <c r="M634" s="22"/>
      <c r="N634" s="30"/>
      <c r="O634" s="30"/>
      <c r="P634" s="30"/>
    </row>
    <row r="635" ht="20.25" customHeight="1">
      <c r="A635" s="394"/>
      <c r="B635" s="383"/>
      <c r="C635" s="387"/>
      <c r="D635" s="402"/>
      <c r="E635" s="27"/>
      <c r="F635" s="386"/>
      <c r="G635" s="14"/>
      <c r="H635" s="14"/>
      <c r="I635" s="14"/>
      <c r="J635" s="14"/>
      <c r="K635" s="14"/>
      <c r="L635" s="14"/>
      <c r="M635" s="14"/>
      <c r="N635" s="28"/>
      <c r="O635" s="28"/>
      <c r="P635" s="28"/>
    </row>
    <row r="636" ht="20.25" customHeight="1">
      <c r="A636" s="393"/>
      <c r="B636" s="383"/>
      <c r="C636" s="384"/>
      <c r="D636" s="402"/>
      <c r="E636" s="31"/>
      <c r="F636" s="386"/>
      <c r="G636" s="22"/>
      <c r="H636" s="22"/>
      <c r="I636" s="22"/>
      <c r="J636" s="22"/>
      <c r="K636" s="22"/>
      <c r="L636" s="22"/>
      <c r="M636" s="22"/>
      <c r="N636" s="30"/>
      <c r="O636" s="30"/>
      <c r="P636" s="30"/>
    </row>
    <row r="637" ht="20.25" customHeight="1">
      <c r="A637" s="394"/>
      <c r="B637" s="383"/>
      <c r="C637" s="387"/>
      <c r="D637" s="402"/>
      <c r="E637" s="27"/>
      <c r="F637" s="386"/>
      <c r="G637" s="14"/>
      <c r="H637" s="14"/>
      <c r="I637" s="14"/>
      <c r="J637" s="14"/>
      <c r="K637" s="14"/>
      <c r="L637" s="14"/>
      <c r="M637" s="14"/>
      <c r="N637" s="28"/>
      <c r="O637" s="28"/>
      <c r="P637" s="28"/>
    </row>
    <row r="638" ht="20.25" customHeight="1">
      <c r="A638" s="393"/>
      <c r="B638" s="383"/>
      <c r="C638" s="384"/>
      <c r="D638" s="402"/>
      <c r="E638" s="31"/>
      <c r="F638" s="386"/>
      <c r="G638" s="22"/>
      <c r="H638" s="22"/>
      <c r="I638" s="22"/>
      <c r="J638" s="22"/>
      <c r="K638" s="22"/>
      <c r="L638" s="22"/>
      <c r="M638" s="22"/>
      <c r="N638" s="30"/>
      <c r="O638" s="30"/>
      <c r="P638" s="30"/>
    </row>
    <row r="639" ht="20.25" customHeight="1">
      <c r="A639" s="394"/>
      <c r="B639" s="383"/>
      <c r="C639" s="387"/>
      <c r="D639" s="402"/>
      <c r="E639" s="27"/>
      <c r="F639" s="386"/>
      <c r="G639" s="14"/>
      <c r="H639" s="14"/>
      <c r="I639" s="14"/>
      <c r="J639" s="14"/>
      <c r="K639" s="14"/>
      <c r="L639" s="14"/>
      <c r="M639" s="14"/>
      <c r="N639" s="28"/>
      <c r="O639" s="28"/>
      <c r="P639" s="28"/>
    </row>
    <row r="640" ht="20.25" customHeight="1">
      <c r="A640" s="393"/>
      <c r="B640" s="383"/>
      <c r="C640" s="384"/>
      <c r="D640" s="402"/>
      <c r="E640" s="31"/>
      <c r="F640" s="386"/>
      <c r="G640" s="22"/>
      <c r="H640" s="22"/>
      <c r="I640" s="22"/>
      <c r="J640" s="22"/>
      <c r="K640" s="22"/>
      <c r="L640" s="22"/>
      <c r="M640" s="22"/>
      <c r="N640" s="30"/>
      <c r="O640" s="30"/>
      <c r="P640" s="30"/>
    </row>
    <row r="641" ht="20.25" customHeight="1">
      <c r="A641" s="394"/>
      <c r="B641" s="383"/>
      <c r="C641" s="387"/>
      <c r="D641" s="402"/>
      <c r="E641" s="27"/>
      <c r="F641" s="386"/>
      <c r="G641" s="14"/>
      <c r="H641" s="14"/>
      <c r="I641" s="14"/>
      <c r="J641" s="14"/>
      <c r="K641" s="14"/>
      <c r="L641" s="14"/>
      <c r="M641" s="14"/>
      <c r="N641" s="28"/>
      <c r="O641" s="28"/>
      <c r="P641" s="28"/>
    </row>
    <row r="642" ht="20.25" customHeight="1">
      <c r="A642" s="393"/>
      <c r="B642" s="383"/>
      <c r="C642" s="384"/>
      <c r="D642" s="402"/>
      <c r="E642" s="31"/>
      <c r="F642" s="386"/>
      <c r="G642" s="22"/>
      <c r="H642" s="22"/>
      <c r="I642" s="22"/>
      <c r="J642" s="22"/>
      <c r="K642" s="22"/>
      <c r="L642" s="22"/>
      <c r="M642" s="22"/>
      <c r="N642" s="30"/>
      <c r="O642" s="30"/>
      <c r="P642" s="30"/>
    </row>
    <row r="643" ht="20.25" customHeight="1">
      <c r="A643" s="394"/>
      <c r="B643" s="383"/>
      <c r="C643" s="387"/>
      <c r="D643" s="402"/>
      <c r="E643" s="27"/>
      <c r="F643" s="386"/>
      <c r="G643" s="14"/>
      <c r="H643" s="14"/>
      <c r="I643" s="14"/>
      <c r="J643" s="14"/>
      <c r="K643" s="14"/>
      <c r="L643" s="14"/>
      <c r="M643" s="14"/>
      <c r="N643" s="28"/>
      <c r="O643" s="28"/>
      <c r="P643" s="28"/>
    </row>
    <row r="644" ht="20.25" customHeight="1">
      <c r="A644" s="393"/>
      <c r="B644" s="383"/>
      <c r="C644" s="384"/>
      <c r="D644" s="402"/>
      <c r="E644" s="31"/>
      <c r="F644" s="386"/>
      <c r="G644" s="22"/>
      <c r="H644" s="22"/>
      <c r="I644" s="22"/>
      <c r="J644" s="22"/>
      <c r="K644" s="22"/>
      <c r="L644" s="22"/>
      <c r="M644" s="22"/>
      <c r="N644" s="30"/>
      <c r="O644" s="30"/>
      <c r="P644" s="30"/>
    </row>
    <row r="645" ht="20.25" customHeight="1">
      <c r="A645" s="394"/>
      <c r="B645" s="383"/>
      <c r="C645" s="387"/>
      <c r="D645" s="402"/>
      <c r="E645" s="27"/>
      <c r="F645" s="386"/>
      <c r="G645" s="14"/>
      <c r="H645" s="14"/>
      <c r="I645" s="14"/>
      <c r="J645" s="14"/>
      <c r="K645" s="14"/>
      <c r="L645" s="14"/>
      <c r="M645" s="14"/>
      <c r="N645" s="28"/>
      <c r="O645" s="28"/>
      <c r="P645" s="28"/>
    </row>
    <row r="646" ht="20.25" customHeight="1">
      <c r="A646" s="393"/>
      <c r="B646" s="383"/>
      <c r="C646" s="384"/>
      <c r="D646" s="402"/>
      <c r="E646" s="31"/>
      <c r="F646" s="386"/>
      <c r="G646" s="22"/>
      <c r="H646" s="22"/>
      <c r="I646" s="22"/>
      <c r="J646" s="22"/>
      <c r="K646" s="22"/>
      <c r="L646" s="22"/>
      <c r="M646" s="22"/>
      <c r="N646" s="30"/>
      <c r="O646" s="30"/>
      <c r="P646" s="30"/>
    </row>
    <row r="647" ht="20.25" customHeight="1">
      <c r="A647" s="394"/>
      <c r="B647" s="383"/>
      <c r="C647" s="387"/>
      <c r="D647" s="402"/>
      <c r="E647" s="27"/>
      <c r="F647" s="386"/>
      <c r="G647" s="14"/>
      <c r="H647" s="14"/>
      <c r="I647" s="14"/>
      <c r="J647" s="14"/>
      <c r="K647" s="14"/>
      <c r="L647" s="14"/>
      <c r="M647" s="14"/>
      <c r="N647" s="28"/>
      <c r="O647" s="28"/>
      <c r="P647" s="28"/>
    </row>
    <row r="648" ht="20.25" customHeight="1">
      <c r="A648" s="393"/>
      <c r="B648" s="383"/>
      <c r="C648" s="384"/>
      <c r="D648" s="402"/>
      <c r="E648" s="31"/>
      <c r="F648" s="386"/>
      <c r="G648" s="22"/>
      <c r="H648" s="22"/>
      <c r="I648" s="22"/>
      <c r="J648" s="22"/>
      <c r="K648" s="22"/>
      <c r="L648" s="22"/>
      <c r="M648" s="22"/>
      <c r="N648" s="30"/>
      <c r="O648" s="30"/>
      <c r="P648" s="30"/>
    </row>
    <row r="649" ht="20.25" customHeight="1">
      <c r="A649" s="394"/>
      <c r="B649" s="383"/>
      <c r="C649" s="387"/>
      <c r="D649" s="402"/>
      <c r="E649" s="27"/>
      <c r="F649" s="386"/>
      <c r="G649" s="14"/>
      <c r="H649" s="14"/>
      <c r="I649" s="14"/>
      <c r="J649" s="14"/>
      <c r="K649" s="14"/>
      <c r="L649" s="14"/>
      <c r="M649" s="14"/>
      <c r="N649" s="28"/>
      <c r="O649" s="28"/>
      <c r="P649" s="28"/>
    </row>
    <row r="650" ht="20.25" customHeight="1">
      <c r="A650" s="393"/>
      <c r="B650" s="383"/>
      <c r="C650" s="384"/>
      <c r="D650" s="402"/>
      <c r="E650" s="31"/>
      <c r="F650" s="386"/>
      <c r="G650" s="22"/>
      <c r="H650" s="22"/>
      <c r="I650" s="22"/>
      <c r="J650" s="22"/>
      <c r="K650" s="22"/>
      <c r="L650" s="22"/>
      <c r="M650" s="22"/>
      <c r="N650" s="30"/>
      <c r="O650" s="30"/>
      <c r="P650" s="30"/>
    </row>
    <row r="651" ht="20.25" customHeight="1">
      <c r="A651" s="394"/>
      <c r="B651" s="383"/>
      <c r="C651" s="387"/>
      <c r="D651" s="402"/>
      <c r="E651" s="27"/>
      <c r="F651" s="386"/>
      <c r="G651" s="14"/>
      <c r="H651" s="14"/>
      <c r="I651" s="14"/>
      <c r="J651" s="14"/>
      <c r="K651" s="14"/>
      <c r="L651" s="14"/>
      <c r="M651" s="14"/>
      <c r="N651" s="28"/>
      <c r="O651" s="28"/>
      <c r="P651" s="28"/>
    </row>
    <row r="652" ht="20.25" customHeight="1">
      <c r="A652" s="393"/>
      <c r="B652" s="383"/>
      <c r="C652" s="384"/>
      <c r="D652" s="402"/>
      <c r="E652" s="31"/>
      <c r="F652" s="386"/>
      <c r="G652" s="22"/>
      <c r="H652" s="22"/>
      <c r="I652" s="22"/>
      <c r="J652" s="22"/>
      <c r="K652" s="22"/>
      <c r="L652" s="22"/>
      <c r="M652" s="22"/>
      <c r="N652" s="30"/>
      <c r="O652" s="30"/>
      <c r="P652" s="30"/>
    </row>
    <row r="653" ht="20.25" customHeight="1">
      <c r="A653" s="394"/>
      <c r="B653" s="383"/>
      <c r="C653" s="387"/>
      <c r="D653" s="402"/>
      <c r="E653" s="27"/>
      <c r="F653" s="386"/>
      <c r="G653" s="14"/>
      <c r="H653" s="14"/>
      <c r="I653" s="14"/>
      <c r="J653" s="14"/>
      <c r="K653" s="14"/>
      <c r="L653" s="14"/>
      <c r="M653" s="14"/>
      <c r="N653" s="28"/>
      <c r="O653" s="28"/>
      <c r="P653" s="28"/>
    </row>
    <row r="654" ht="20.25" customHeight="1">
      <c r="A654" s="393"/>
      <c r="B654" s="383"/>
      <c r="C654" s="384"/>
      <c r="D654" s="402"/>
      <c r="E654" s="31"/>
      <c r="F654" s="386"/>
      <c r="G654" s="22"/>
      <c r="H654" s="22"/>
      <c r="I654" s="22"/>
      <c r="J654" s="22"/>
      <c r="K654" s="22"/>
      <c r="L654" s="22"/>
      <c r="M654" s="22"/>
      <c r="N654" s="30"/>
      <c r="O654" s="30"/>
      <c r="P654" s="30"/>
    </row>
    <row r="655" ht="20.25" customHeight="1">
      <c r="A655" s="394"/>
      <c r="B655" s="383"/>
      <c r="C655" s="387"/>
      <c r="D655" s="402"/>
      <c r="E655" s="27"/>
      <c r="F655" s="386"/>
      <c r="G655" s="14"/>
      <c r="H655" s="14"/>
      <c r="I655" s="14"/>
      <c r="J655" s="14"/>
      <c r="K655" s="14"/>
      <c r="L655" s="14"/>
      <c r="M655" s="14"/>
      <c r="N655" s="28"/>
      <c r="O655" s="28"/>
      <c r="P655" s="28"/>
    </row>
    <row r="656" ht="20.25" customHeight="1">
      <c r="A656" s="393"/>
      <c r="B656" s="383"/>
      <c r="C656" s="384"/>
      <c r="D656" s="402"/>
      <c r="E656" s="31"/>
      <c r="F656" s="386"/>
      <c r="G656" s="22"/>
      <c r="H656" s="22"/>
      <c r="I656" s="22"/>
      <c r="J656" s="22"/>
      <c r="K656" s="22"/>
      <c r="L656" s="22"/>
      <c r="M656" s="22"/>
      <c r="N656" s="30"/>
      <c r="O656" s="30"/>
      <c r="P656" s="30"/>
    </row>
    <row r="657" ht="20.25" customHeight="1">
      <c r="A657" s="394"/>
      <c r="B657" s="383"/>
      <c r="C657" s="387"/>
      <c r="D657" s="402"/>
      <c r="E657" s="27"/>
      <c r="F657" s="386"/>
      <c r="G657" s="14"/>
      <c r="H657" s="14"/>
      <c r="I657" s="14"/>
      <c r="J657" s="14"/>
      <c r="K657" s="14"/>
      <c r="L657" s="14"/>
      <c r="M657" s="14"/>
      <c r="N657" s="28"/>
      <c r="O657" s="28"/>
      <c r="P657" s="28"/>
    </row>
    <row r="658" ht="20.25" customHeight="1">
      <c r="A658" s="393"/>
      <c r="B658" s="383"/>
      <c r="C658" s="384"/>
      <c r="D658" s="402"/>
      <c r="E658" s="31"/>
      <c r="F658" s="386"/>
      <c r="G658" s="22"/>
      <c r="H658" s="22"/>
      <c r="I658" s="22"/>
      <c r="J658" s="22"/>
      <c r="K658" s="22"/>
      <c r="L658" s="22"/>
      <c r="M658" s="22"/>
      <c r="N658" s="30"/>
      <c r="O658" s="30"/>
      <c r="P658" s="30"/>
    </row>
    <row r="659" ht="20.25" customHeight="1">
      <c r="A659" s="394"/>
      <c r="B659" s="383"/>
      <c r="C659" s="387"/>
      <c r="D659" s="402"/>
      <c r="E659" s="27"/>
      <c r="F659" s="386"/>
      <c r="G659" s="14"/>
      <c r="H659" s="14"/>
      <c r="I659" s="14"/>
      <c r="J659" s="14"/>
      <c r="K659" s="14"/>
      <c r="L659" s="14"/>
      <c r="M659" s="14"/>
      <c r="N659" s="28"/>
      <c r="O659" s="28"/>
      <c r="P659" s="28"/>
    </row>
    <row r="660" ht="20.25" customHeight="1">
      <c r="A660" s="393"/>
      <c r="B660" s="383"/>
      <c r="C660" s="384"/>
      <c r="D660" s="402"/>
      <c r="E660" s="31"/>
      <c r="F660" s="386"/>
      <c r="G660" s="22"/>
      <c r="H660" s="22"/>
      <c r="I660" s="22"/>
      <c r="J660" s="22"/>
      <c r="K660" s="22"/>
      <c r="L660" s="22"/>
      <c r="M660" s="22"/>
      <c r="N660" s="30"/>
      <c r="O660" s="30"/>
      <c r="P660" s="30"/>
    </row>
    <row r="661" ht="20.25" customHeight="1">
      <c r="A661" s="394"/>
      <c r="B661" s="383"/>
      <c r="C661" s="387"/>
      <c r="D661" s="402"/>
      <c r="E661" s="27"/>
      <c r="F661" s="386"/>
      <c r="G661" s="14"/>
      <c r="H661" s="14"/>
      <c r="I661" s="14"/>
      <c r="J661" s="14"/>
      <c r="K661" s="14"/>
      <c r="L661" s="14"/>
      <c r="M661" s="14"/>
      <c r="N661" s="28"/>
      <c r="O661" s="28"/>
      <c r="P661" s="28"/>
    </row>
    <row r="662" ht="20.25" customHeight="1">
      <c r="A662" s="393"/>
      <c r="B662" s="383"/>
      <c r="C662" s="384"/>
      <c r="D662" s="402"/>
      <c r="E662" s="31"/>
      <c r="F662" s="386"/>
      <c r="G662" s="22"/>
      <c r="H662" s="22"/>
      <c r="I662" s="22"/>
      <c r="J662" s="22"/>
      <c r="K662" s="22"/>
      <c r="L662" s="22"/>
      <c r="M662" s="22"/>
      <c r="N662" s="30"/>
      <c r="O662" s="30"/>
      <c r="P662" s="30"/>
    </row>
    <row r="663" ht="20.25" customHeight="1">
      <c r="A663" s="394"/>
      <c r="B663" s="383"/>
      <c r="C663" s="387"/>
      <c r="D663" s="402"/>
      <c r="E663" s="27"/>
      <c r="F663" s="386"/>
      <c r="G663" s="14"/>
      <c r="H663" s="14"/>
      <c r="I663" s="14"/>
      <c r="J663" s="14"/>
      <c r="K663" s="14"/>
      <c r="L663" s="14"/>
      <c r="M663" s="14"/>
      <c r="N663" s="28"/>
      <c r="O663" s="28"/>
      <c r="P663" s="28"/>
    </row>
    <row r="664" ht="20.25" customHeight="1">
      <c r="A664" s="393"/>
      <c r="B664" s="383"/>
      <c r="C664" s="384"/>
      <c r="D664" s="402"/>
      <c r="E664" s="31"/>
      <c r="F664" s="386"/>
      <c r="G664" s="22"/>
      <c r="H664" s="22"/>
      <c r="I664" s="22"/>
      <c r="J664" s="22"/>
      <c r="K664" s="22"/>
      <c r="L664" s="22"/>
      <c r="M664" s="22"/>
      <c r="N664" s="30"/>
      <c r="O664" s="30"/>
      <c r="P664" s="30"/>
    </row>
    <row r="665" ht="20.25" customHeight="1">
      <c r="A665" s="394"/>
      <c r="B665" s="383"/>
      <c r="C665" s="387"/>
      <c r="D665" s="402"/>
      <c r="E665" s="27"/>
      <c r="F665" s="386"/>
      <c r="G665" s="14"/>
      <c r="H665" s="14"/>
      <c r="I665" s="14"/>
      <c r="J665" s="14"/>
      <c r="K665" s="14"/>
      <c r="L665" s="14"/>
      <c r="M665" s="14"/>
      <c r="N665" s="28"/>
      <c r="O665" s="28"/>
      <c r="P665" s="28"/>
    </row>
    <row r="666" ht="20.25" customHeight="1">
      <c r="A666" s="393"/>
      <c r="B666" s="383"/>
      <c r="C666" s="384"/>
      <c r="D666" s="402"/>
      <c r="E666" s="31"/>
      <c r="F666" s="386"/>
      <c r="G666" s="22"/>
      <c r="H666" s="22"/>
      <c r="I666" s="22"/>
      <c r="J666" s="22"/>
      <c r="K666" s="22"/>
      <c r="L666" s="22"/>
      <c r="M666" s="22"/>
      <c r="N666" s="30"/>
      <c r="O666" s="30"/>
      <c r="P666" s="30"/>
    </row>
    <row r="667" ht="20.25" customHeight="1">
      <c r="A667" s="394"/>
      <c r="B667" s="383"/>
      <c r="C667" s="387"/>
      <c r="D667" s="402"/>
      <c r="E667" s="27"/>
      <c r="F667" s="386"/>
      <c r="G667" s="14"/>
      <c r="H667" s="14"/>
      <c r="I667" s="14"/>
      <c r="J667" s="14"/>
      <c r="K667" s="14"/>
      <c r="L667" s="14"/>
      <c r="M667" s="14"/>
      <c r="N667" s="28"/>
      <c r="O667" s="28"/>
      <c r="P667" s="28"/>
    </row>
    <row r="668" ht="20.25" customHeight="1">
      <c r="A668" s="393"/>
      <c r="B668" s="383"/>
      <c r="C668" s="384"/>
      <c r="D668" s="402"/>
      <c r="E668" s="31"/>
      <c r="F668" s="386"/>
      <c r="G668" s="22"/>
      <c r="H668" s="22"/>
      <c r="I668" s="22"/>
      <c r="J668" s="22"/>
      <c r="K668" s="22"/>
      <c r="L668" s="22"/>
      <c r="M668" s="22"/>
      <c r="N668" s="30"/>
      <c r="O668" s="30"/>
      <c r="P668" s="30"/>
    </row>
    <row r="669" ht="20.25" customHeight="1">
      <c r="A669" s="394"/>
      <c r="B669" s="383"/>
      <c r="C669" s="387"/>
      <c r="D669" s="402"/>
      <c r="E669" s="27"/>
      <c r="F669" s="386"/>
      <c r="G669" s="14"/>
      <c r="H669" s="14"/>
      <c r="I669" s="14"/>
      <c r="J669" s="14"/>
      <c r="K669" s="14"/>
      <c r="L669" s="14"/>
      <c r="M669" s="14"/>
      <c r="N669" s="28"/>
      <c r="O669" s="28"/>
      <c r="P669" s="28"/>
    </row>
    <row r="670" ht="20.25" customHeight="1">
      <c r="A670" s="393"/>
      <c r="B670" s="383"/>
      <c r="C670" s="384"/>
      <c r="D670" s="402"/>
      <c r="E670" s="31"/>
      <c r="F670" s="386"/>
      <c r="G670" s="22"/>
      <c r="H670" s="22"/>
      <c r="I670" s="22"/>
      <c r="J670" s="22"/>
      <c r="K670" s="22"/>
      <c r="L670" s="22"/>
      <c r="M670" s="22"/>
      <c r="N670" s="30"/>
      <c r="O670" s="30"/>
      <c r="P670" s="30"/>
    </row>
    <row r="671" ht="20.25" customHeight="1">
      <c r="A671" s="394"/>
      <c r="B671" s="383"/>
      <c r="C671" s="387"/>
      <c r="D671" s="402"/>
      <c r="E671" s="27"/>
      <c r="F671" s="386"/>
      <c r="G671" s="14"/>
      <c r="H671" s="14"/>
      <c r="I671" s="14"/>
      <c r="J671" s="14"/>
      <c r="K671" s="14"/>
      <c r="L671" s="14"/>
      <c r="M671" s="14"/>
      <c r="N671" s="28"/>
      <c r="O671" s="28"/>
      <c r="P671" s="28"/>
    </row>
    <row r="672" ht="20.25" customHeight="1">
      <c r="A672" s="393"/>
      <c r="B672" s="383"/>
      <c r="C672" s="384"/>
      <c r="D672" s="402"/>
      <c r="E672" s="31"/>
      <c r="F672" s="386"/>
      <c r="G672" s="22"/>
      <c r="H672" s="22"/>
      <c r="I672" s="22"/>
      <c r="J672" s="22"/>
      <c r="K672" s="22"/>
      <c r="L672" s="22"/>
      <c r="M672" s="22"/>
      <c r="N672" s="30"/>
      <c r="O672" s="30"/>
      <c r="P672" s="30"/>
    </row>
    <row r="673" ht="20.25" customHeight="1">
      <c r="A673" s="394"/>
      <c r="B673" s="383"/>
      <c r="C673" s="387"/>
      <c r="D673" s="402"/>
      <c r="E673" s="27"/>
      <c r="F673" s="386"/>
      <c r="G673" s="14"/>
      <c r="H673" s="14"/>
      <c r="I673" s="14"/>
      <c r="J673" s="14"/>
      <c r="K673" s="14"/>
      <c r="L673" s="14"/>
      <c r="M673" s="14"/>
      <c r="N673" s="28"/>
      <c r="O673" s="28"/>
      <c r="P673" s="28"/>
    </row>
    <row r="674" ht="20.25" customHeight="1">
      <c r="A674" s="393"/>
      <c r="B674" s="383"/>
      <c r="C674" s="384"/>
      <c r="D674" s="402"/>
      <c r="E674" s="31"/>
      <c r="F674" s="386"/>
      <c r="G674" s="22"/>
      <c r="H674" s="22"/>
      <c r="I674" s="22"/>
      <c r="J674" s="22"/>
      <c r="K674" s="22"/>
      <c r="L674" s="22"/>
      <c r="M674" s="22"/>
      <c r="N674" s="30"/>
      <c r="O674" s="30"/>
      <c r="P674" s="30"/>
    </row>
    <row r="675" ht="20.25" customHeight="1">
      <c r="A675" s="394"/>
      <c r="B675" s="383"/>
      <c r="C675" s="387"/>
      <c r="D675" s="402"/>
      <c r="E675" s="27"/>
      <c r="F675" s="386"/>
      <c r="G675" s="14"/>
      <c r="H675" s="14"/>
      <c r="I675" s="14"/>
      <c r="J675" s="14"/>
      <c r="K675" s="14"/>
      <c r="L675" s="14"/>
      <c r="M675" s="14"/>
      <c r="N675" s="28"/>
      <c r="O675" s="28"/>
      <c r="P675" s="28"/>
    </row>
    <row r="676" ht="20.25" customHeight="1">
      <c r="A676" s="393"/>
      <c r="B676" s="383"/>
      <c r="C676" s="384"/>
      <c r="D676" s="402"/>
      <c r="E676" s="31"/>
      <c r="F676" s="386"/>
      <c r="G676" s="22"/>
      <c r="H676" s="22"/>
      <c r="I676" s="22"/>
      <c r="J676" s="22"/>
      <c r="K676" s="22"/>
      <c r="L676" s="22"/>
      <c r="M676" s="22"/>
      <c r="N676" s="30"/>
      <c r="O676" s="30"/>
      <c r="P676" s="30"/>
    </row>
    <row r="677" ht="20.25" customHeight="1">
      <c r="A677" s="394"/>
      <c r="B677" s="383"/>
      <c r="C677" s="387"/>
      <c r="D677" s="402"/>
      <c r="E677" s="27"/>
      <c r="F677" s="386"/>
      <c r="G677" s="14"/>
      <c r="H677" s="14"/>
      <c r="I677" s="14"/>
      <c r="J677" s="14"/>
      <c r="K677" s="14"/>
      <c r="L677" s="14"/>
      <c r="M677" s="14"/>
      <c r="N677" s="28"/>
      <c r="O677" s="28"/>
      <c r="P677" s="28"/>
    </row>
    <row r="678" ht="20.25" customHeight="1">
      <c r="A678" s="393"/>
      <c r="B678" s="383"/>
      <c r="C678" s="384"/>
      <c r="D678" s="402"/>
      <c r="E678" s="31"/>
      <c r="F678" s="386"/>
      <c r="G678" s="22"/>
      <c r="H678" s="22"/>
      <c r="I678" s="22"/>
      <c r="J678" s="22"/>
      <c r="K678" s="22"/>
      <c r="L678" s="22"/>
      <c r="M678" s="22"/>
      <c r="N678" s="30"/>
      <c r="O678" s="30"/>
      <c r="P678" s="30"/>
    </row>
    <row r="679" ht="20.25" customHeight="1">
      <c r="A679" s="394"/>
      <c r="B679" s="383"/>
      <c r="C679" s="387"/>
      <c r="D679" s="402"/>
      <c r="E679" s="27"/>
      <c r="F679" s="386"/>
      <c r="G679" s="14"/>
      <c r="H679" s="14"/>
      <c r="I679" s="14"/>
      <c r="J679" s="14"/>
      <c r="K679" s="14"/>
      <c r="L679" s="14"/>
      <c r="M679" s="14"/>
      <c r="N679" s="28"/>
      <c r="O679" s="28"/>
      <c r="P679" s="28"/>
    </row>
    <row r="680" ht="20.25" customHeight="1">
      <c r="A680" s="393"/>
      <c r="B680" s="383"/>
      <c r="C680" s="384"/>
      <c r="D680" s="402"/>
      <c r="E680" s="31"/>
      <c r="F680" s="386"/>
      <c r="G680" s="22"/>
      <c r="H680" s="22"/>
      <c r="I680" s="22"/>
      <c r="J680" s="22"/>
      <c r="K680" s="22"/>
      <c r="L680" s="22"/>
      <c r="M680" s="22"/>
      <c r="N680" s="30"/>
      <c r="O680" s="30"/>
      <c r="P680" s="30"/>
    </row>
    <row r="681" ht="20.25" customHeight="1">
      <c r="A681" s="394"/>
      <c r="B681" s="383"/>
      <c r="C681" s="387"/>
      <c r="D681" s="402"/>
      <c r="E681" s="27"/>
      <c r="F681" s="386"/>
      <c r="G681" s="14"/>
      <c r="H681" s="14"/>
      <c r="I681" s="14"/>
      <c r="J681" s="14"/>
      <c r="K681" s="14"/>
      <c r="L681" s="14"/>
      <c r="M681" s="14"/>
      <c r="N681" s="28"/>
      <c r="O681" s="28"/>
      <c r="P681" s="28"/>
    </row>
    <row r="682" ht="20.25" customHeight="1">
      <c r="A682" s="393"/>
      <c r="B682" s="383"/>
      <c r="C682" s="384"/>
      <c r="D682" s="402"/>
      <c r="E682" s="31"/>
      <c r="F682" s="386"/>
      <c r="G682" s="22"/>
      <c r="H682" s="22"/>
      <c r="I682" s="22"/>
      <c r="J682" s="22"/>
      <c r="K682" s="22"/>
      <c r="L682" s="22"/>
      <c r="M682" s="22"/>
      <c r="N682" s="30"/>
      <c r="O682" s="30"/>
      <c r="P682" s="30"/>
    </row>
    <row r="683" ht="20.25" customHeight="1">
      <c r="A683" s="394"/>
      <c r="B683" s="383"/>
      <c r="C683" s="387"/>
      <c r="D683" s="402"/>
      <c r="E683" s="27"/>
      <c r="F683" s="386"/>
      <c r="G683" s="14"/>
      <c r="H683" s="14"/>
      <c r="I683" s="14"/>
      <c r="J683" s="14"/>
      <c r="K683" s="14"/>
      <c r="L683" s="14"/>
      <c r="M683" s="14"/>
      <c r="N683" s="28"/>
      <c r="O683" s="28"/>
      <c r="P683" s="28"/>
    </row>
    <row r="684" ht="20.25" customHeight="1">
      <c r="A684" s="393"/>
      <c r="B684" s="383"/>
      <c r="C684" s="384"/>
      <c r="D684" s="402"/>
      <c r="E684" s="31"/>
      <c r="F684" s="386"/>
      <c r="G684" s="22"/>
      <c r="H684" s="22"/>
      <c r="I684" s="22"/>
      <c r="J684" s="22"/>
      <c r="K684" s="22"/>
      <c r="L684" s="22"/>
      <c r="M684" s="22"/>
      <c r="N684" s="30"/>
      <c r="O684" s="30"/>
      <c r="P684" s="30"/>
    </row>
    <row r="685" ht="20.25" customHeight="1">
      <c r="A685" s="394"/>
      <c r="B685" s="383"/>
      <c r="C685" s="387"/>
      <c r="D685" s="402"/>
      <c r="E685" s="27"/>
      <c r="F685" s="386"/>
      <c r="G685" s="14"/>
      <c r="H685" s="14"/>
      <c r="I685" s="14"/>
      <c r="J685" s="14"/>
      <c r="K685" s="14"/>
      <c r="L685" s="14"/>
      <c r="M685" s="14"/>
      <c r="N685" s="28"/>
      <c r="O685" s="28"/>
      <c r="P685" s="28"/>
    </row>
    <row r="686" ht="20.25" customHeight="1">
      <c r="A686" s="393"/>
      <c r="B686" s="383"/>
      <c r="C686" s="384"/>
      <c r="D686" s="402"/>
      <c r="E686" s="31"/>
      <c r="F686" s="386"/>
      <c r="G686" s="22"/>
      <c r="H686" s="22"/>
      <c r="I686" s="22"/>
      <c r="J686" s="22"/>
      <c r="K686" s="22"/>
      <c r="L686" s="22"/>
      <c r="M686" s="22"/>
      <c r="N686" s="30"/>
      <c r="O686" s="30"/>
      <c r="P686" s="30"/>
    </row>
    <row r="687" ht="20.25" customHeight="1">
      <c r="A687" s="394"/>
      <c r="B687" s="383"/>
      <c r="C687" s="387"/>
      <c r="D687" s="402"/>
      <c r="E687" s="27"/>
      <c r="F687" s="386"/>
      <c r="G687" s="14"/>
      <c r="H687" s="14"/>
      <c r="I687" s="14"/>
      <c r="J687" s="14"/>
      <c r="K687" s="14"/>
      <c r="L687" s="14"/>
      <c r="M687" s="14"/>
      <c r="N687" s="28"/>
      <c r="O687" s="28"/>
      <c r="P687" s="28"/>
    </row>
    <row r="688" ht="20.25" customHeight="1">
      <c r="A688" s="393"/>
      <c r="B688" s="383"/>
      <c r="C688" s="384"/>
      <c r="D688" s="402"/>
      <c r="E688" s="31"/>
      <c r="F688" s="386"/>
      <c r="G688" s="22"/>
      <c r="H688" s="22"/>
      <c r="I688" s="22"/>
      <c r="J688" s="22"/>
      <c r="K688" s="22"/>
      <c r="L688" s="22"/>
      <c r="M688" s="22"/>
      <c r="N688" s="30"/>
      <c r="O688" s="30"/>
      <c r="P688" s="30"/>
    </row>
    <row r="689" ht="20.25" customHeight="1">
      <c r="A689" s="394"/>
      <c r="B689" s="383"/>
      <c r="C689" s="387"/>
      <c r="D689" s="402"/>
      <c r="E689" s="27"/>
      <c r="F689" s="386"/>
      <c r="G689" s="14"/>
      <c r="H689" s="14"/>
      <c r="I689" s="14"/>
      <c r="J689" s="14"/>
      <c r="K689" s="14"/>
      <c r="L689" s="14"/>
      <c r="M689" s="14"/>
      <c r="N689" s="28"/>
      <c r="O689" s="28"/>
      <c r="P689" s="28"/>
    </row>
    <row r="690" ht="20.25" customHeight="1">
      <c r="A690" s="393"/>
      <c r="B690" s="383"/>
      <c r="C690" s="384"/>
      <c r="D690" s="402"/>
      <c r="E690" s="31"/>
      <c r="F690" s="386"/>
      <c r="G690" s="22"/>
      <c r="H690" s="22"/>
      <c r="I690" s="22"/>
      <c r="J690" s="22"/>
      <c r="K690" s="22"/>
      <c r="L690" s="22"/>
      <c r="M690" s="22"/>
      <c r="N690" s="30"/>
      <c r="O690" s="30"/>
      <c r="P690" s="30"/>
    </row>
    <row r="691" ht="20.25" customHeight="1">
      <c r="A691" s="394"/>
      <c r="B691" s="383"/>
      <c r="C691" s="387"/>
      <c r="D691" s="402"/>
      <c r="E691" s="27"/>
      <c r="F691" s="386"/>
      <c r="G691" s="14"/>
      <c r="H691" s="14"/>
      <c r="I691" s="14"/>
      <c r="J691" s="14"/>
      <c r="K691" s="14"/>
      <c r="L691" s="14"/>
      <c r="M691" s="14"/>
      <c r="N691" s="28"/>
      <c r="O691" s="28"/>
      <c r="P691" s="28"/>
    </row>
    <row r="692" ht="20.25" customHeight="1">
      <c r="A692" s="393"/>
      <c r="B692" s="383"/>
      <c r="C692" s="384"/>
      <c r="D692" s="402"/>
      <c r="E692" s="31"/>
      <c r="F692" s="386"/>
      <c r="G692" s="22"/>
      <c r="H692" s="22"/>
      <c r="I692" s="22"/>
      <c r="J692" s="22"/>
      <c r="K692" s="22"/>
      <c r="L692" s="22"/>
      <c r="M692" s="22"/>
      <c r="N692" s="30"/>
      <c r="O692" s="30"/>
      <c r="P692" s="30"/>
    </row>
    <row r="693" ht="20.25" customHeight="1">
      <c r="A693" s="394"/>
      <c r="B693" s="383"/>
      <c r="C693" s="387"/>
      <c r="D693" s="402"/>
      <c r="E693" s="27"/>
      <c r="F693" s="386"/>
      <c r="G693" s="14"/>
      <c r="H693" s="14"/>
      <c r="I693" s="14"/>
      <c r="J693" s="14"/>
      <c r="K693" s="14"/>
      <c r="L693" s="14"/>
      <c r="M693" s="14"/>
      <c r="N693" s="28"/>
      <c r="O693" s="28"/>
      <c r="P693" s="28"/>
    </row>
    <row r="694" ht="20.25" customHeight="1">
      <c r="A694" s="393"/>
      <c r="B694" s="383"/>
      <c r="C694" s="384"/>
      <c r="D694" s="402"/>
      <c r="E694" s="31"/>
      <c r="F694" s="386"/>
      <c r="G694" s="22"/>
      <c r="H694" s="22"/>
      <c r="I694" s="22"/>
      <c r="J694" s="22"/>
      <c r="K694" s="22"/>
      <c r="L694" s="22"/>
      <c r="M694" s="22"/>
      <c r="N694" s="30"/>
      <c r="O694" s="30"/>
      <c r="P694" s="30"/>
    </row>
    <row r="695" ht="20.25" customHeight="1">
      <c r="A695" s="394"/>
      <c r="B695" s="383"/>
      <c r="C695" s="387"/>
      <c r="D695" s="402"/>
      <c r="E695" s="27"/>
      <c r="F695" s="386"/>
      <c r="G695" s="14"/>
      <c r="H695" s="14"/>
      <c r="I695" s="14"/>
      <c r="J695" s="14"/>
      <c r="K695" s="14"/>
      <c r="L695" s="14"/>
      <c r="M695" s="14"/>
      <c r="N695" s="28"/>
      <c r="O695" s="28"/>
      <c r="P695" s="28"/>
    </row>
    <row r="696" ht="20.25" customHeight="1">
      <c r="A696" s="393"/>
      <c r="B696" s="383"/>
      <c r="C696" s="384"/>
      <c r="D696" s="402"/>
      <c r="E696" s="31"/>
      <c r="F696" s="386"/>
      <c r="G696" s="22"/>
      <c r="H696" s="22"/>
      <c r="I696" s="22"/>
      <c r="J696" s="22"/>
      <c r="K696" s="22"/>
      <c r="L696" s="22"/>
      <c r="M696" s="22"/>
      <c r="N696" s="30"/>
      <c r="O696" s="30"/>
      <c r="P696" s="30"/>
    </row>
    <row r="697" ht="20.25" customHeight="1">
      <c r="A697" s="394"/>
      <c r="B697" s="383"/>
      <c r="C697" s="387"/>
      <c r="D697" s="402"/>
      <c r="E697" s="27"/>
      <c r="F697" s="386"/>
      <c r="G697" s="14"/>
      <c r="H697" s="14"/>
      <c r="I697" s="14"/>
      <c r="J697" s="14"/>
      <c r="K697" s="14"/>
      <c r="L697" s="14"/>
      <c r="M697" s="14"/>
      <c r="N697" s="28"/>
      <c r="O697" s="28"/>
      <c r="P697" s="28"/>
    </row>
    <row r="698" ht="20.25" customHeight="1">
      <c r="A698" s="393"/>
      <c r="B698" s="383"/>
      <c r="C698" s="384"/>
      <c r="D698" s="402"/>
      <c r="E698" s="31"/>
      <c r="F698" s="386"/>
      <c r="G698" s="22"/>
      <c r="H698" s="22"/>
      <c r="I698" s="22"/>
      <c r="J698" s="22"/>
      <c r="K698" s="22"/>
      <c r="L698" s="22"/>
      <c r="M698" s="22"/>
      <c r="N698" s="30"/>
      <c r="O698" s="30"/>
      <c r="P698" s="30"/>
    </row>
    <row r="699" ht="20.25" customHeight="1">
      <c r="A699" s="394"/>
      <c r="B699" s="383"/>
      <c r="C699" s="387"/>
      <c r="D699" s="402"/>
      <c r="E699" s="27"/>
      <c r="F699" s="386"/>
      <c r="G699" s="14"/>
      <c r="H699" s="14"/>
      <c r="I699" s="14"/>
      <c r="J699" s="14"/>
      <c r="K699" s="14"/>
      <c r="L699" s="14"/>
      <c r="M699" s="14"/>
      <c r="N699" s="28"/>
      <c r="O699" s="28"/>
      <c r="P699" s="28"/>
    </row>
    <row r="700" ht="20.25" customHeight="1">
      <c r="A700" s="393"/>
      <c r="B700" s="383"/>
      <c r="C700" s="384"/>
      <c r="D700" s="402"/>
      <c r="E700" s="31"/>
      <c r="F700" s="386"/>
      <c r="G700" s="22"/>
      <c r="H700" s="22"/>
      <c r="I700" s="22"/>
      <c r="J700" s="22"/>
      <c r="K700" s="22"/>
      <c r="L700" s="22"/>
      <c r="M700" s="22"/>
      <c r="N700" s="30"/>
      <c r="O700" s="30"/>
      <c r="P700" s="30"/>
    </row>
    <row r="701" ht="20.25" customHeight="1">
      <c r="A701" s="394"/>
      <c r="B701" s="383"/>
      <c r="C701" s="387"/>
      <c r="D701" s="402"/>
      <c r="E701" s="27"/>
      <c r="F701" s="386"/>
      <c r="G701" s="14"/>
      <c r="H701" s="14"/>
      <c r="I701" s="14"/>
      <c r="J701" s="14"/>
      <c r="K701" s="14"/>
      <c r="L701" s="14"/>
      <c r="M701" s="14"/>
      <c r="N701" s="28"/>
      <c r="O701" s="28"/>
      <c r="P701" s="28"/>
    </row>
    <row r="702" ht="20.25" customHeight="1">
      <c r="A702" s="393"/>
      <c r="B702" s="383"/>
      <c r="C702" s="384"/>
      <c r="D702" s="402"/>
      <c r="E702" s="31"/>
      <c r="F702" s="386"/>
      <c r="G702" s="22"/>
      <c r="H702" s="22"/>
      <c r="I702" s="22"/>
      <c r="J702" s="22"/>
      <c r="K702" s="22"/>
      <c r="L702" s="22"/>
      <c r="M702" s="22"/>
      <c r="N702" s="30"/>
      <c r="O702" s="30"/>
      <c r="P702" s="30"/>
    </row>
    <row r="703" ht="20.25" customHeight="1">
      <c r="A703" s="394"/>
      <c r="B703" s="383"/>
      <c r="C703" s="387"/>
      <c r="D703" s="402"/>
      <c r="E703" s="27"/>
      <c r="F703" s="386"/>
      <c r="G703" s="14"/>
      <c r="H703" s="14"/>
      <c r="I703" s="14"/>
      <c r="J703" s="14"/>
      <c r="K703" s="14"/>
      <c r="L703" s="14"/>
      <c r="M703" s="14"/>
      <c r="N703" s="28"/>
      <c r="O703" s="28"/>
      <c r="P703" s="28"/>
    </row>
    <row r="704" ht="20.25" customHeight="1">
      <c r="A704" s="393"/>
      <c r="B704" s="383"/>
      <c r="C704" s="384"/>
      <c r="D704" s="402"/>
      <c r="E704" s="31"/>
      <c r="F704" s="386"/>
      <c r="G704" s="22"/>
      <c r="H704" s="22"/>
      <c r="I704" s="22"/>
      <c r="J704" s="22"/>
      <c r="K704" s="22"/>
      <c r="L704" s="22"/>
      <c r="M704" s="22"/>
      <c r="N704" s="30"/>
      <c r="O704" s="30"/>
      <c r="P704" s="30"/>
    </row>
    <row r="705" ht="20.25" customHeight="1">
      <c r="A705" s="394"/>
      <c r="B705" s="383"/>
      <c r="C705" s="387"/>
      <c r="D705" s="402"/>
      <c r="E705" s="27"/>
      <c r="F705" s="386"/>
      <c r="G705" s="14"/>
      <c r="H705" s="14"/>
      <c r="I705" s="14"/>
      <c r="J705" s="14"/>
      <c r="K705" s="14"/>
      <c r="L705" s="14"/>
      <c r="M705" s="14"/>
      <c r="N705" s="28"/>
      <c r="O705" s="28"/>
      <c r="P705" s="28"/>
    </row>
    <row r="706" ht="20.25" customHeight="1">
      <c r="A706" s="393"/>
      <c r="B706" s="383"/>
      <c r="C706" s="384"/>
      <c r="D706" s="402"/>
      <c r="E706" s="31"/>
      <c r="F706" s="386"/>
      <c r="G706" s="22"/>
      <c r="H706" s="22"/>
      <c r="I706" s="22"/>
      <c r="J706" s="22"/>
      <c r="K706" s="22"/>
      <c r="L706" s="22"/>
      <c r="M706" s="22"/>
      <c r="N706" s="30"/>
      <c r="O706" s="30"/>
      <c r="P706" s="30"/>
    </row>
    <row r="707" ht="20.25" customHeight="1">
      <c r="A707" s="394"/>
      <c r="B707" s="383"/>
      <c r="C707" s="387"/>
      <c r="D707" s="402"/>
      <c r="E707" s="27"/>
      <c r="F707" s="386"/>
      <c r="G707" s="14"/>
      <c r="H707" s="14"/>
      <c r="I707" s="14"/>
      <c r="J707" s="14"/>
      <c r="K707" s="14"/>
      <c r="L707" s="14"/>
      <c r="M707" s="14"/>
      <c r="N707" s="28"/>
      <c r="O707" s="28"/>
      <c r="P707" s="28"/>
    </row>
    <row r="708" ht="20.25" customHeight="1">
      <c r="A708" s="393"/>
      <c r="B708" s="383"/>
      <c r="C708" s="384"/>
      <c r="D708" s="402"/>
      <c r="E708" s="31"/>
      <c r="F708" s="386"/>
      <c r="G708" s="22"/>
      <c r="H708" s="22"/>
      <c r="I708" s="22"/>
      <c r="J708" s="22"/>
      <c r="K708" s="22"/>
      <c r="L708" s="22"/>
      <c r="M708" s="22"/>
      <c r="N708" s="30"/>
      <c r="O708" s="30"/>
      <c r="P708" s="30"/>
    </row>
    <row r="709" ht="20.25" customHeight="1">
      <c r="A709" s="394"/>
      <c r="B709" s="383"/>
      <c r="C709" s="387"/>
      <c r="D709" s="402"/>
      <c r="E709" s="27"/>
      <c r="F709" s="386"/>
      <c r="G709" s="14"/>
      <c r="H709" s="14"/>
      <c r="I709" s="14"/>
      <c r="J709" s="14"/>
      <c r="K709" s="14"/>
      <c r="L709" s="14"/>
      <c r="M709" s="14"/>
      <c r="N709" s="28"/>
      <c r="O709" s="28"/>
      <c r="P709" s="28"/>
    </row>
    <row r="710" ht="20.25" customHeight="1">
      <c r="A710" s="393"/>
      <c r="B710" s="383"/>
      <c r="C710" s="384"/>
      <c r="D710" s="402"/>
      <c r="E710" s="31"/>
      <c r="F710" s="386"/>
      <c r="G710" s="22"/>
      <c r="H710" s="22"/>
      <c r="I710" s="22"/>
      <c r="J710" s="22"/>
      <c r="K710" s="22"/>
      <c r="L710" s="22"/>
      <c r="M710" s="22"/>
      <c r="N710" s="30"/>
      <c r="O710" s="30"/>
      <c r="P710" s="30"/>
    </row>
    <row r="711" ht="20.25" customHeight="1">
      <c r="A711" s="394"/>
      <c r="B711" s="383"/>
      <c r="C711" s="387"/>
      <c r="D711" s="402"/>
      <c r="E711" s="27"/>
      <c r="F711" s="386"/>
      <c r="G711" s="14"/>
      <c r="H711" s="14"/>
      <c r="I711" s="14"/>
      <c r="J711" s="14"/>
      <c r="K711" s="14"/>
      <c r="L711" s="14"/>
      <c r="M711" s="14"/>
      <c r="N711" s="28"/>
      <c r="O711" s="28"/>
      <c r="P711" s="28"/>
    </row>
    <row r="712" ht="20.25" customHeight="1">
      <c r="A712" s="393"/>
      <c r="B712" s="383"/>
      <c r="C712" s="384"/>
      <c r="D712" s="402"/>
      <c r="E712" s="31"/>
      <c r="F712" s="386"/>
      <c r="G712" s="22"/>
      <c r="H712" s="22"/>
      <c r="I712" s="22"/>
      <c r="J712" s="22"/>
      <c r="K712" s="22"/>
      <c r="L712" s="22"/>
      <c r="M712" s="22"/>
      <c r="N712" s="30"/>
      <c r="O712" s="30"/>
      <c r="P712" s="30"/>
    </row>
    <row r="713" ht="20.25" customHeight="1">
      <c r="A713" s="394"/>
      <c r="B713" s="383"/>
      <c r="C713" s="387"/>
      <c r="D713" s="402"/>
      <c r="E713" s="27"/>
      <c r="F713" s="386"/>
      <c r="G713" s="14"/>
      <c r="H713" s="14"/>
      <c r="I713" s="14"/>
      <c r="J713" s="14"/>
      <c r="K713" s="14"/>
      <c r="L713" s="14"/>
      <c r="M713" s="14"/>
      <c r="N713" s="28"/>
      <c r="O713" s="28"/>
      <c r="P713" s="28"/>
    </row>
    <row r="714" ht="20.25" customHeight="1">
      <c r="A714" s="393"/>
      <c r="B714" s="383"/>
      <c r="C714" s="384"/>
      <c r="D714" s="402"/>
      <c r="E714" s="31"/>
      <c r="F714" s="386"/>
      <c r="G714" s="22"/>
      <c r="H714" s="22"/>
      <c r="I714" s="22"/>
      <c r="J714" s="22"/>
      <c r="K714" s="22"/>
      <c r="L714" s="22"/>
      <c r="M714" s="22"/>
      <c r="N714" s="30"/>
      <c r="O714" s="30"/>
      <c r="P714" s="30"/>
    </row>
    <row r="715" ht="20.25" customHeight="1">
      <c r="A715" s="394"/>
      <c r="B715" s="383"/>
      <c r="C715" s="387"/>
      <c r="D715" s="402"/>
      <c r="E715" s="27"/>
      <c r="F715" s="386"/>
      <c r="G715" s="14"/>
      <c r="H715" s="14"/>
      <c r="I715" s="14"/>
      <c r="J715" s="14"/>
      <c r="K715" s="14"/>
      <c r="L715" s="14"/>
      <c r="M715" s="14"/>
      <c r="N715" s="28"/>
      <c r="O715" s="28"/>
      <c r="P715" s="28"/>
    </row>
    <row r="716" ht="20.25" customHeight="1">
      <c r="A716" s="393"/>
      <c r="B716" s="383"/>
      <c r="C716" s="384"/>
      <c r="D716" s="402"/>
      <c r="E716" s="31"/>
      <c r="F716" s="386"/>
      <c r="G716" s="22"/>
      <c r="H716" s="22"/>
      <c r="I716" s="22"/>
      <c r="J716" s="22"/>
      <c r="K716" s="22"/>
      <c r="L716" s="22"/>
      <c r="M716" s="22"/>
      <c r="N716" s="30"/>
      <c r="O716" s="30"/>
      <c r="P716" s="30"/>
    </row>
    <row r="717" ht="20.25" customHeight="1">
      <c r="A717" s="394"/>
      <c r="B717" s="383"/>
      <c r="C717" s="387"/>
      <c r="D717" s="402"/>
      <c r="E717" s="27"/>
      <c r="F717" s="386"/>
      <c r="G717" s="14"/>
      <c r="H717" s="14"/>
      <c r="I717" s="14"/>
      <c r="J717" s="14"/>
      <c r="K717" s="14"/>
      <c r="L717" s="14"/>
      <c r="M717" s="14"/>
      <c r="N717" s="28"/>
      <c r="O717" s="28"/>
      <c r="P717" s="28"/>
    </row>
    <row r="718" ht="20.25" customHeight="1">
      <c r="A718" s="393"/>
      <c r="B718" s="383"/>
      <c r="C718" s="384"/>
      <c r="D718" s="402"/>
      <c r="E718" s="31"/>
      <c r="F718" s="386"/>
      <c r="G718" s="22"/>
      <c r="H718" s="22"/>
      <c r="I718" s="22"/>
      <c r="J718" s="22"/>
      <c r="K718" s="22"/>
      <c r="L718" s="22"/>
      <c r="M718" s="22"/>
      <c r="N718" s="30"/>
      <c r="O718" s="30"/>
      <c r="P718" s="30"/>
    </row>
    <row r="719" ht="20.25" customHeight="1">
      <c r="A719" s="394"/>
      <c r="B719" s="383"/>
      <c r="C719" s="387"/>
      <c r="D719" s="402"/>
      <c r="E719" s="27"/>
      <c r="F719" s="386"/>
      <c r="G719" s="14"/>
      <c r="H719" s="14"/>
      <c r="I719" s="14"/>
      <c r="J719" s="14"/>
      <c r="K719" s="14"/>
      <c r="L719" s="14"/>
      <c r="M719" s="14"/>
      <c r="N719" s="28"/>
      <c r="O719" s="28"/>
      <c r="P719" s="28"/>
    </row>
    <row r="720" ht="20.25" customHeight="1">
      <c r="A720" s="393"/>
      <c r="B720" s="383"/>
      <c r="C720" s="384"/>
      <c r="D720" s="402"/>
      <c r="E720" s="31"/>
      <c r="F720" s="386"/>
      <c r="G720" s="22"/>
      <c r="H720" s="22"/>
      <c r="I720" s="22"/>
      <c r="J720" s="22"/>
      <c r="K720" s="22"/>
      <c r="L720" s="22"/>
      <c r="M720" s="22"/>
      <c r="N720" s="30"/>
      <c r="O720" s="30"/>
      <c r="P720" s="30"/>
    </row>
    <row r="721" ht="20.25" customHeight="1">
      <c r="A721" s="394"/>
      <c r="B721" s="383"/>
      <c r="C721" s="387"/>
      <c r="D721" s="402"/>
      <c r="E721" s="27"/>
      <c r="F721" s="386"/>
      <c r="G721" s="14"/>
      <c r="H721" s="14"/>
      <c r="I721" s="14"/>
      <c r="J721" s="14"/>
      <c r="K721" s="14"/>
      <c r="L721" s="14"/>
      <c r="M721" s="14"/>
      <c r="N721" s="28"/>
      <c r="O721" s="28"/>
      <c r="P721" s="28"/>
    </row>
    <row r="722" ht="20.25" customHeight="1">
      <c r="A722" s="393"/>
      <c r="B722" s="383"/>
      <c r="C722" s="384"/>
      <c r="D722" s="402"/>
      <c r="E722" s="31"/>
      <c r="F722" s="386"/>
      <c r="G722" s="22"/>
      <c r="H722" s="22"/>
      <c r="I722" s="22"/>
      <c r="J722" s="22"/>
      <c r="K722" s="22"/>
      <c r="L722" s="22"/>
      <c r="M722" s="22"/>
      <c r="N722" s="30"/>
      <c r="O722" s="30"/>
      <c r="P722" s="30"/>
    </row>
    <row r="723" ht="20.25" customHeight="1">
      <c r="A723" s="394"/>
      <c r="B723" s="383"/>
      <c r="C723" s="387"/>
      <c r="D723" s="402"/>
      <c r="E723" s="27"/>
      <c r="F723" s="386"/>
      <c r="G723" s="14"/>
      <c r="H723" s="14"/>
      <c r="I723" s="14"/>
      <c r="J723" s="14"/>
      <c r="K723" s="14"/>
      <c r="L723" s="14"/>
      <c r="M723" s="14"/>
      <c r="N723" s="28"/>
      <c r="O723" s="28"/>
      <c r="P723" s="28"/>
    </row>
    <row r="724" ht="20.25" customHeight="1">
      <c r="A724" s="393"/>
      <c r="B724" s="383"/>
      <c r="C724" s="384"/>
      <c r="D724" s="402"/>
      <c r="E724" s="31"/>
      <c r="F724" s="386"/>
      <c r="G724" s="22"/>
      <c r="H724" s="22"/>
      <c r="I724" s="22"/>
      <c r="J724" s="22"/>
      <c r="K724" s="22"/>
      <c r="L724" s="22"/>
      <c r="M724" s="22"/>
      <c r="N724" s="30"/>
      <c r="O724" s="30"/>
      <c r="P724" s="30"/>
    </row>
    <row r="725" ht="20.25" customHeight="1">
      <c r="A725" s="394"/>
      <c r="B725" s="383"/>
      <c r="C725" s="387"/>
      <c r="D725" s="402"/>
      <c r="E725" s="27"/>
      <c r="F725" s="386"/>
      <c r="G725" s="14"/>
      <c r="H725" s="14"/>
      <c r="I725" s="14"/>
      <c r="J725" s="14"/>
      <c r="K725" s="14"/>
      <c r="L725" s="14"/>
      <c r="M725" s="14"/>
      <c r="N725" s="28"/>
      <c r="O725" s="28"/>
      <c r="P725" s="28"/>
    </row>
    <row r="726" ht="20.25" customHeight="1">
      <c r="A726" s="393"/>
      <c r="B726" s="383"/>
      <c r="C726" s="384"/>
      <c r="D726" s="402"/>
      <c r="E726" s="31"/>
      <c r="F726" s="386"/>
      <c r="G726" s="22"/>
      <c r="H726" s="22"/>
      <c r="I726" s="22"/>
      <c r="J726" s="22"/>
      <c r="K726" s="22"/>
      <c r="L726" s="22"/>
      <c r="M726" s="22"/>
      <c r="N726" s="30"/>
      <c r="O726" s="30"/>
      <c r="P726" s="30"/>
    </row>
    <row r="727" ht="20.25" customHeight="1">
      <c r="A727" s="394"/>
      <c r="B727" s="383"/>
      <c r="C727" s="387"/>
      <c r="D727" s="402"/>
      <c r="E727" s="27"/>
      <c r="F727" s="386"/>
      <c r="G727" s="14"/>
      <c r="H727" s="14"/>
      <c r="I727" s="14"/>
      <c r="J727" s="14"/>
      <c r="K727" s="14"/>
      <c r="L727" s="14"/>
      <c r="M727" s="14"/>
      <c r="N727" s="28"/>
      <c r="O727" s="28"/>
      <c r="P727" s="28"/>
    </row>
    <row r="728" ht="20.25" customHeight="1">
      <c r="A728" s="393"/>
      <c r="B728" s="383"/>
      <c r="C728" s="384"/>
      <c r="D728" s="402"/>
      <c r="E728" s="31"/>
      <c r="F728" s="386"/>
      <c r="G728" s="22"/>
      <c r="H728" s="22"/>
      <c r="I728" s="22"/>
      <c r="J728" s="22"/>
      <c r="K728" s="22"/>
      <c r="L728" s="22"/>
      <c r="M728" s="22"/>
      <c r="N728" s="30"/>
      <c r="O728" s="30"/>
      <c r="P728" s="30"/>
    </row>
    <row r="729" ht="20.25" customHeight="1">
      <c r="A729" s="394"/>
      <c r="B729" s="383"/>
      <c r="C729" s="387"/>
      <c r="D729" s="402"/>
      <c r="E729" s="27"/>
      <c r="F729" s="386"/>
      <c r="G729" s="14"/>
      <c r="H729" s="14"/>
      <c r="I729" s="14"/>
      <c r="J729" s="14"/>
      <c r="K729" s="14"/>
      <c r="L729" s="14"/>
      <c r="M729" s="14"/>
      <c r="N729" s="28"/>
      <c r="O729" s="28"/>
      <c r="P729" s="28"/>
    </row>
    <row r="730" ht="20.25" customHeight="1">
      <c r="A730" s="393"/>
      <c r="B730" s="383"/>
      <c r="C730" s="384"/>
      <c r="D730" s="402"/>
      <c r="E730" s="31"/>
      <c r="F730" s="386"/>
      <c r="G730" s="22"/>
      <c r="H730" s="22"/>
      <c r="I730" s="22"/>
      <c r="J730" s="22"/>
      <c r="K730" s="22"/>
      <c r="L730" s="22"/>
      <c r="M730" s="22"/>
      <c r="N730" s="30"/>
      <c r="O730" s="30"/>
      <c r="P730" s="30"/>
    </row>
    <row r="731" ht="20.25" customHeight="1">
      <c r="A731" s="394"/>
      <c r="B731" s="383"/>
      <c r="C731" s="387"/>
      <c r="D731" s="402"/>
      <c r="E731" s="27"/>
      <c r="F731" s="386"/>
      <c r="G731" s="14"/>
      <c r="H731" s="14"/>
      <c r="I731" s="14"/>
      <c r="J731" s="14"/>
      <c r="K731" s="14"/>
      <c r="L731" s="14"/>
      <c r="M731" s="14"/>
      <c r="N731" s="28"/>
      <c r="O731" s="28"/>
      <c r="P731" s="28"/>
    </row>
    <row r="732" ht="20.25" customHeight="1">
      <c r="A732" s="393"/>
      <c r="B732" s="383"/>
      <c r="C732" s="384"/>
      <c r="D732" s="402"/>
      <c r="E732" s="31"/>
      <c r="F732" s="386"/>
      <c r="G732" s="22"/>
      <c r="H732" s="22"/>
      <c r="I732" s="22"/>
      <c r="J732" s="22"/>
      <c r="K732" s="22"/>
      <c r="L732" s="22"/>
      <c r="M732" s="22"/>
      <c r="N732" s="30"/>
      <c r="O732" s="30"/>
      <c r="P732" s="30"/>
    </row>
    <row r="733" ht="20.25" customHeight="1">
      <c r="A733" s="394"/>
      <c r="B733" s="383"/>
      <c r="C733" s="387"/>
      <c r="D733" s="402"/>
      <c r="E733" s="27"/>
      <c r="F733" s="386"/>
      <c r="G733" s="14"/>
      <c r="H733" s="14"/>
      <c r="I733" s="14"/>
      <c r="J733" s="14"/>
      <c r="K733" s="14"/>
      <c r="L733" s="14"/>
      <c r="M733" s="14"/>
      <c r="N733" s="28"/>
      <c r="O733" s="28"/>
      <c r="P733" s="28"/>
    </row>
    <row r="734" ht="20.25" customHeight="1">
      <c r="A734" s="393"/>
      <c r="B734" s="383"/>
      <c r="C734" s="384"/>
      <c r="D734" s="402"/>
      <c r="E734" s="31"/>
      <c r="F734" s="386"/>
      <c r="G734" s="22"/>
      <c r="H734" s="22"/>
      <c r="I734" s="22"/>
      <c r="J734" s="22"/>
      <c r="K734" s="22"/>
      <c r="L734" s="22"/>
      <c r="M734" s="22"/>
      <c r="N734" s="30"/>
      <c r="O734" s="30"/>
      <c r="P734" s="30"/>
    </row>
    <row r="735" ht="20.25" customHeight="1">
      <c r="A735" s="394"/>
      <c r="B735" s="383"/>
      <c r="C735" s="387"/>
      <c r="D735" s="402"/>
      <c r="E735" s="27"/>
      <c r="F735" s="386"/>
      <c r="G735" s="14"/>
      <c r="H735" s="14"/>
      <c r="I735" s="14"/>
      <c r="J735" s="14"/>
      <c r="K735" s="14"/>
      <c r="L735" s="14"/>
      <c r="M735" s="14"/>
      <c r="N735" s="28"/>
      <c r="O735" s="28"/>
      <c r="P735" s="28"/>
    </row>
    <row r="736" ht="20.25" customHeight="1">
      <c r="A736" s="393"/>
      <c r="B736" s="383"/>
      <c r="C736" s="384"/>
      <c r="D736" s="402"/>
      <c r="E736" s="31"/>
      <c r="F736" s="386"/>
      <c r="G736" s="22"/>
      <c r="H736" s="22"/>
      <c r="I736" s="22"/>
      <c r="J736" s="22"/>
      <c r="K736" s="22"/>
      <c r="L736" s="22"/>
      <c r="M736" s="22"/>
      <c r="N736" s="30"/>
      <c r="O736" s="30"/>
      <c r="P736" s="30"/>
    </row>
    <row r="737" ht="20.25" customHeight="1">
      <c r="A737" s="394"/>
      <c r="B737" s="383"/>
      <c r="C737" s="387"/>
      <c r="D737" s="402"/>
      <c r="E737" s="27"/>
      <c r="F737" s="386"/>
      <c r="G737" s="14"/>
      <c r="H737" s="14"/>
      <c r="I737" s="14"/>
      <c r="J737" s="14"/>
      <c r="K737" s="14"/>
      <c r="L737" s="14"/>
      <c r="M737" s="14"/>
      <c r="N737" s="28"/>
      <c r="O737" s="28"/>
      <c r="P737" s="28"/>
    </row>
    <row r="738" ht="20.25" customHeight="1">
      <c r="A738" s="393"/>
      <c r="B738" s="383"/>
      <c r="C738" s="384"/>
      <c r="D738" s="402"/>
      <c r="E738" s="31"/>
      <c r="F738" s="386"/>
      <c r="G738" s="22"/>
      <c r="H738" s="22"/>
      <c r="I738" s="22"/>
      <c r="J738" s="22"/>
      <c r="K738" s="22"/>
      <c r="L738" s="22"/>
      <c r="M738" s="22"/>
      <c r="N738" s="30"/>
      <c r="O738" s="30"/>
      <c r="P738" s="30"/>
    </row>
    <row r="739" ht="20.25" customHeight="1">
      <c r="A739" s="394"/>
      <c r="B739" s="383"/>
      <c r="C739" s="387"/>
      <c r="D739" s="402"/>
      <c r="E739" s="27"/>
      <c r="F739" s="386"/>
      <c r="G739" s="14"/>
      <c r="H739" s="14"/>
      <c r="I739" s="14"/>
      <c r="J739" s="14"/>
      <c r="K739" s="14"/>
      <c r="L739" s="14"/>
      <c r="M739" s="14"/>
      <c r="N739" s="28"/>
      <c r="O739" s="28"/>
      <c r="P739" s="28"/>
    </row>
    <row r="740" ht="20.25" customHeight="1">
      <c r="A740" s="393"/>
      <c r="B740" s="383"/>
      <c r="C740" s="384"/>
      <c r="D740" s="402"/>
      <c r="E740" s="31"/>
      <c r="F740" s="386"/>
      <c r="G740" s="22"/>
      <c r="H740" s="22"/>
      <c r="I740" s="22"/>
      <c r="J740" s="22"/>
      <c r="K740" s="22"/>
      <c r="L740" s="22"/>
      <c r="M740" s="22"/>
      <c r="N740" s="30"/>
      <c r="O740" s="30"/>
      <c r="P740" s="30"/>
    </row>
    <row r="741" ht="20.25" customHeight="1">
      <c r="A741" s="394"/>
      <c r="B741" s="383"/>
      <c r="C741" s="387"/>
      <c r="D741" s="402"/>
      <c r="E741" s="27"/>
      <c r="F741" s="386"/>
      <c r="G741" s="14"/>
      <c r="H741" s="14"/>
      <c r="I741" s="14"/>
      <c r="J741" s="14"/>
      <c r="K741" s="14"/>
      <c r="L741" s="14"/>
      <c r="M741" s="14"/>
      <c r="N741" s="28"/>
      <c r="O741" s="28"/>
      <c r="P741" s="28"/>
    </row>
    <row r="742" ht="20.25" customHeight="1">
      <c r="A742" s="393"/>
      <c r="B742" s="383"/>
      <c r="C742" s="384"/>
      <c r="D742" s="402"/>
      <c r="E742" s="31"/>
      <c r="F742" s="386"/>
      <c r="G742" s="22"/>
      <c r="H742" s="22"/>
      <c r="I742" s="22"/>
      <c r="J742" s="22"/>
      <c r="K742" s="22"/>
      <c r="L742" s="22"/>
      <c r="M742" s="22"/>
      <c r="N742" s="30"/>
      <c r="O742" s="30"/>
      <c r="P742" s="30"/>
    </row>
    <row r="743" ht="20.25" customHeight="1">
      <c r="A743" s="394"/>
      <c r="B743" s="383"/>
      <c r="C743" s="387"/>
      <c r="D743" s="402"/>
      <c r="E743" s="27"/>
      <c r="F743" s="386"/>
      <c r="G743" s="14"/>
      <c r="H743" s="14"/>
      <c r="I743" s="14"/>
      <c r="J743" s="14"/>
      <c r="K743" s="14"/>
      <c r="L743" s="14"/>
      <c r="M743" s="14"/>
      <c r="N743" s="28"/>
      <c r="O743" s="28"/>
      <c r="P743" s="28"/>
    </row>
    <row r="744" ht="20.25" customHeight="1">
      <c r="A744" s="393"/>
      <c r="B744" s="383"/>
      <c r="C744" s="384"/>
      <c r="D744" s="402"/>
      <c r="E744" s="31"/>
      <c r="F744" s="386"/>
      <c r="G744" s="22"/>
      <c r="H744" s="22"/>
      <c r="I744" s="22"/>
      <c r="J744" s="22"/>
      <c r="K744" s="22"/>
      <c r="L744" s="22"/>
      <c r="M744" s="22"/>
      <c r="N744" s="30"/>
      <c r="O744" s="30"/>
      <c r="P744" s="30"/>
    </row>
    <row r="745" ht="20.25" customHeight="1">
      <c r="A745" s="394"/>
      <c r="B745" s="383"/>
      <c r="C745" s="387"/>
      <c r="D745" s="402"/>
      <c r="E745" s="27"/>
      <c r="F745" s="386"/>
      <c r="G745" s="14"/>
      <c r="H745" s="14"/>
      <c r="I745" s="14"/>
      <c r="J745" s="14"/>
      <c r="K745" s="14"/>
      <c r="L745" s="14"/>
      <c r="M745" s="14"/>
      <c r="N745" s="28"/>
      <c r="O745" s="28"/>
      <c r="P745" s="28"/>
    </row>
    <row r="746" ht="20.25" customHeight="1">
      <c r="A746" s="393"/>
      <c r="B746" s="383"/>
      <c r="C746" s="384"/>
      <c r="D746" s="402"/>
      <c r="E746" s="31"/>
      <c r="F746" s="386"/>
      <c r="G746" s="22"/>
      <c r="H746" s="22"/>
      <c r="I746" s="22"/>
      <c r="J746" s="22"/>
      <c r="K746" s="22"/>
      <c r="L746" s="22"/>
      <c r="M746" s="22"/>
      <c r="N746" s="30"/>
      <c r="O746" s="30"/>
      <c r="P746" s="30"/>
    </row>
    <row r="747" ht="20.25" customHeight="1">
      <c r="A747" s="394"/>
      <c r="B747" s="383"/>
      <c r="C747" s="387"/>
      <c r="D747" s="402"/>
      <c r="E747" s="27"/>
      <c r="F747" s="386"/>
      <c r="G747" s="14"/>
      <c r="H747" s="14"/>
      <c r="I747" s="14"/>
      <c r="J747" s="14"/>
      <c r="K747" s="14"/>
      <c r="L747" s="14"/>
      <c r="M747" s="14"/>
      <c r="N747" s="28"/>
      <c r="O747" s="28"/>
      <c r="P747" s="28"/>
    </row>
    <row r="748" ht="20.25" customHeight="1">
      <c r="A748" s="393"/>
      <c r="B748" s="383"/>
      <c r="C748" s="384"/>
      <c r="D748" s="402"/>
      <c r="E748" s="31"/>
      <c r="F748" s="386"/>
      <c r="G748" s="22"/>
      <c r="H748" s="22"/>
      <c r="I748" s="22"/>
      <c r="J748" s="22"/>
      <c r="K748" s="22"/>
      <c r="L748" s="22"/>
      <c r="M748" s="22"/>
      <c r="N748" s="30"/>
      <c r="O748" s="30"/>
      <c r="P748" s="30"/>
    </row>
    <row r="749" ht="20.25" customHeight="1">
      <c r="A749" s="394"/>
      <c r="B749" s="383"/>
      <c r="C749" s="387"/>
      <c r="D749" s="402"/>
      <c r="E749" s="27"/>
      <c r="F749" s="386"/>
      <c r="G749" s="14"/>
      <c r="H749" s="14"/>
      <c r="I749" s="14"/>
      <c r="J749" s="14"/>
      <c r="K749" s="14"/>
      <c r="L749" s="14"/>
      <c r="M749" s="14"/>
      <c r="N749" s="28"/>
      <c r="O749" s="28"/>
      <c r="P749" s="28"/>
    </row>
    <row r="750" ht="20.25" customHeight="1">
      <c r="A750" s="393"/>
      <c r="B750" s="383"/>
      <c r="C750" s="384"/>
      <c r="D750" s="402"/>
      <c r="E750" s="31"/>
      <c r="F750" s="386"/>
      <c r="G750" s="22"/>
      <c r="H750" s="22"/>
      <c r="I750" s="22"/>
      <c r="J750" s="22"/>
      <c r="K750" s="22"/>
      <c r="L750" s="22"/>
      <c r="M750" s="22"/>
      <c r="N750" s="30"/>
      <c r="O750" s="30"/>
      <c r="P750" s="30"/>
    </row>
    <row r="751" ht="20.25" customHeight="1">
      <c r="A751" s="394"/>
      <c r="B751" s="383"/>
      <c r="C751" s="387"/>
      <c r="D751" s="402"/>
      <c r="E751" s="27"/>
      <c r="F751" s="386"/>
      <c r="G751" s="14"/>
      <c r="H751" s="14"/>
      <c r="I751" s="14"/>
      <c r="J751" s="14"/>
      <c r="K751" s="14"/>
      <c r="L751" s="14"/>
      <c r="M751" s="14"/>
      <c r="N751" s="28"/>
      <c r="O751" s="28"/>
      <c r="P751" s="28"/>
    </row>
    <row r="752" ht="20.25" customHeight="1">
      <c r="A752" s="393"/>
      <c r="B752" s="383"/>
      <c r="C752" s="384"/>
      <c r="D752" s="402"/>
      <c r="E752" s="31"/>
      <c r="F752" s="386"/>
      <c r="G752" s="22"/>
      <c r="H752" s="22"/>
      <c r="I752" s="22"/>
      <c r="J752" s="22"/>
      <c r="K752" s="22"/>
      <c r="L752" s="22"/>
      <c r="M752" s="22"/>
      <c r="N752" s="30"/>
      <c r="O752" s="30"/>
      <c r="P752" s="30"/>
    </row>
    <row r="753" ht="20.25" customHeight="1">
      <c r="A753" s="394"/>
      <c r="B753" s="383"/>
      <c r="C753" s="387"/>
      <c r="D753" s="402"/>
      <c r="E753" s="27"/>
      <c r="F753" s="386"/>
      <c r="G753" s="14"/>
      <c r="H753" s="14"/>
      <c r="I753" s="14"/>
      <c r="J753" s="14"/>
      <c r="K753" s="14"/>
      <c r="L753" s="14"/>
      <c r="M753" s="14"/>
      <c r="N753" s="28"/>
      <c r="O753" s="28"/>
      <c r="P753" s="28"/>
    </row>
    <row r="754" ht="20.25" customHeight="1">
      <c r="A754" s="393"/>
      <c r="B754" s="383"/>
      <c r="C754" s="384"/>
      <c r="D754" s="402"/>
      <c r="E754" s="31"/>
      <c r="F754" s="386"/>
      <c r="G754" s="22"/>
      <c r="H754" s="22"/>
      <c r="I754" s="22"/>
      <c r="J754" s="22"/>
      <c r="K754" s="22"/>
      <c r="L754" s="22"/>
      <c r="M754" s="22"/>
      <c r="N754" s="30"/>
      <c r="O754" s="30"/>
      <c r="P754" s="30"/>
    </row>
    <row r="755" ht="20.25" customHeight="1">
      <c r="A755" s="394"/>
      <c r="B755" s="383"/>
      <c r="C755" s="387"/>
      <c r="D755" s="402"/>
      <c r="E755" s="27"/>
      <c r="F755" s="386"/>
      <c r="G755" s="14"/>
      <c r="H755" s="14"/>
      <c r="I755" s="14"/>
      <c r="J755" s="14"/>
      <c r="K755" s="14"/>
      <c r="L755" s="14"/>
      <c r="M755" s="14"/>
      <c r="N755" s="28"/>
      <c r="O755" s="28"/>
      <c r="P755" s="28"/>
    </row>
    <row r="756" ht="20.25" customHeight="1">
      <c r="A756" s="393"/>
      <c r="B756" s="383"/>
      <c r="C756" s="384"/>
      <c r="D756" s="402"/>
      <c r="E756" s="31"/>
      <c r="F756" s="386"/>
      <c r="G756" s="22"/>
      <c r="H756" s="22"/>
      <c r="I756" s="22"/>
      <c r="J756" s="22"/>
      <c r="K756" s="22"/>
      <c r="L756" s="22"/>
      <c r="M756" s="22"/>
      <c r="N756" s="30"/>
      <c r="O756" s="30"/>
      <c r="P756" s="30"/>
    </row>
    <row r="757" ht="20.25" customHeight="1">
      <c r="A757" s="394"/>
      <c r="B757" s="383"/>
      <c r="C757" s="387"/>
      <c r="D757" s="402"/>
      <c r="E757" s="27"/>
      <c r="F757" s="386"/>
      <c r="G757" s="14"/>
      <c r="H757" s="14"/>
      <c r="I757" s="14"/>
      <c r="J757" s="14"/>
      <c r="K757" s="14"/>
      <c r="L757" s="14"/>
      <c r="M757" s="14"/>
      <c r="N757" s="28"/>
      <c r="O757" s="28"/>
      <c r="P757" s="28"/>
    </row>
    <row r="758" ht="20.25" customHeight="1">
      <c r="A758" s="393"/>
      <c r="B758" s="383"/>
      <c r="C758" s="384"/>
      <c r="D758" s="402"/>
      <c r="E758" s="31"/>
      <c r="F758" s="386"/>
      <c r="G758" s="22"/>
      <c r="H758" s="22"/>
      <c r="I758" s="22"/>
      <c r="J758" s="22"/>
      <c r="K758" s="22"/>
      <c r="L758" s="22"/>
      <c r="M758" s="22"/>
      <c r="N758" s="30"/>
      <c r="O758" s="30"/>
      <c r="P758" s="30"/>
    </row>
    <row r="759" ht="20.25" customHeight="1">
      <c r="A759" s="394"/>
      <c r="B759" s="383"/>
      <c r="C759" s="387"/>
      <c r="D759" s="402"/>
      <c r="E759" s="27"/>
      <c r="F759" s="386"/>
      <c r="G759" s="14"/>
      <c r="H759" s="14"/>
      <c r="I759" s="14"/>
      <c r="J759" s="14"/>
      <c r="K759" s="14"/>
      <c r="L759" s="14"/>
      <c r="M759" s="14"/>
      <c r="N759" s="28"/>
      <c r="O759" s="28"/>
      <c r="P759" s="28"/>
    </row>
    <row r="760" ht="20.25" customHeight="1">
      <c r="A760" s="393"/>
      <c r="B760" s="383"/>
      <c r="C760" s="384"/>
      <c r="D760" s="402"/>
      <c r="E760" s="31"/>
      <c r="F760" s="386"/>
      <c r="G760" s="22"/>
      <c r="H760" s="22"/>
      <c r="I760" s="22"/>
      <c r="J760" s="22"/>
      <c r="K760" s="22"/>
      <c r="L760" s="22"/>
      <c r="M760" s="22"/>
      <c r="N760" s="30"/>
      <c r="O760" s="30"/>
      <c r="P760" s="30"/>
    </row>
    <row r="761" ht="20.25" customHeight="1">
      <c r="A761" s="394"/>
      <c r="B761" s="383"/>
      <c r="C761" s="387"/>
      <c r="D761" s="402"/>
      <c r="E761" s="27"/>
      <c r="F761" s="386"/>
      <c r="G761" s="14"/>
      <c r="H761" s="14"/>
      <c r="I761" s="14"/>
      <c r="J761" s="14"/>
      <c r="K761" s="14"/>
      <c r="L761" s="14"/>
      <c r="M761" s="14"/>
      <c r="N761" s="28"/>
      <c r="O761" s="28"/>
      <c r="P761" s="28"/>
    </row>
    <row r="762" ht="20.25" customHeight="1">
      <c r="A762" s="393"/>
      <c r="B762" s="383"/>
      <c r="C762" s="384"/>
      <c r="D762" s="402"/>
      <c r="E762" s="31"/>
      <c r="F762" s="386"/>
      <c r="G762" s="22"/>
      <c r="H762" s="22"/>
      <c r="I762" s="22"/>
      <c r="J762" s="22"/>
      <c r="K762" s="22"/>
      <c r="L762" s="22"/>
      <c r="M762" s="22"/>
      <c r="N762" s="30"/>
      <c r="O762" s="30"/>
      <c r="P762" s="30"/>
    </row>
    <row r="763" ht="20.25" customHeight="1">
      <c r="A763" s="394"/>
      <c r="B763" s="383"/>
      <c r="C763" s="387"/>
      <c r="D763" s="402"/>
      <c r="E763" s="27"/>
      <c r="F763" s="386"/>
      <c r="G763" s="14"/>
      <c r="H763" s="14"/>
      <c r="I763" s="14"/>
      <c r="J763" s="14"/>
      <c r="K763" s="14"/>
      <c r="L763" s="14"/>
      <c r="M763" s="14"/>
      <c r="N763" s="28"/>
      <c r="O763" s="28"/>
      <c r="P763" s="28"/>
    </row>
    <row r="764" ht="20.25" customHeight="1">
      <c r="A764" s="393"/>
      <c r="B764" s="383"/>
      <c r="C764" s="384"/>
      <c r="D764" s="402"/>
      <c r="E764" s="31"/>
      <c r="F764" s="386"/>
      <c r="G764" s="22"/>
      <c r="H764" s="22"/>
      <c r="I764" s="22"/>
      <c r="J764" s="22"/>
      <c r="K764" s="22"/>
      <c r="L764" s="22"/>
      <c r="M764" s="22"/>
      <c r="N764" s="30"/>
      <c r="O764" s="30"/>
      <c r="P764" s="30"/>
    </row>
    <row r="765" ht="20.25" customHeight="1">
      <c r="A765" s="394"/>
      <c r="B765" s="383"/>
      <c r="C765" s="387"/>
      <c r="D765" s="402"/>
      <c r="E765" s="27"/>
      <c r="F765" s="386"/>
      <c r="G765" s="14"/>
      <c r="H765" s="14"/>
      <c r="I765" s="14"/>
      <c r="J765" s="14"/>
      <c r="K765" s="14"/>
      <c r="L765" s="14"/>
      <c r="M765" s="14"/>
      <c r="N765" s="28"/>
      <c r="O765" s="28"/>
      <c r="P765" s="28"/>
    </row>
    <row r="766" ht="20.25" customHeight="1">
      <c r="A766" s="393"/>
      <c r="B766" s="383"/>
      <c r="C766" s="384"/>
      <c r="D766" s="402"/>
      <c r="E766" s="31"/>
      <c r="F766" s="386"/>
      <c r="G766" s="22"/>
      <c r="H766" s="22"/>
      <c r="I766" s="22"/>
      <c r="J766" s="22"/>
      <c r="K766" s="22"/>
      <c r="L766" s="22"/>
      <c r="M766" s="22"/>
      <c r="N766" s="30"/>
      <c r="O766" s="30"/>
      <c r="P766" s="30"/>
    </row>
    <row r="767" ht="20.25" customHeight="1">
      <c r="A767" s="394"/>
      <c r="B767" s="383"/>
      <c r="C767" s="387"/>
      <c r="D767" s="402"/>
      <c r="E767" s="27"/>
      <c r="F767" s="386"/>
      <c r="G767" s="14"/>
      <c r="H767" s="14"/>
      <c r="I767" s="14"/>
      <c r="J767" s="14"/>
      <c r="K767" s="14"/>
      <c r="L767" s="14"/>
      <c r="M767" s="14"/>
      <c r="N767" s="28"/>
      <c r="O767" s="28"/>
      <c r="P767" s="28"/>
    </row>
    <row r="768" ht="20.25" customHeight="1">
      <c r="A768" s="393"/>
      <c r="B768" s="383"/>
      <c r="C768" s="384"/>
      <c r="D768" s="402"/>
      <c r="E768" s="31"/>
      <c r="F768" s="386"/>
      <c r="G768" s="22"/>
      <c r="H768" s="22"/>
      <c r="I768" s="22"/>
      <c r="J768" s="22"/>
      <c r="K768" s="22"/>
      <c r="L768" s="22"/>
      <c r="M768" s="22"/>
      <c r="N768" s="30"/>
      <c r="O768" s="30"/>
      <c r="P768" s="30"/>
    </row>
    <row r="769" ht="20.25" customHeight="1">
      <c r="A769" s="394"/>
      <c r="B769" s="383"/>
      <c r="C769" s="387"/>
      <c r="D769" s="402"/>
      <c r="E769" s="27"/>
      <c r="F769" s="386"/>
      <c r="G769" s="14"/>
      <c r="H769" s="14"/>
      <c r="I769" s="14"/>
      <c r="J769" s="14"/>
      <c r="K769" s="14"/>
      <c r="L769" s="14"/>
      <c r="M769" s="14"/>
      <c r="N769" s="28"/>
      <c r="O769" s="28"/>
      <c r="P769" s="28"/>
    </row>
    <row r="770" ht="20.25" customHeight="1">
      <c r="A770" s="393"/>
      <c r="B770" s="383"/>
      <c r="C770" s="384"/>
      <c r="D770" s="402"/>
      <c r="E770" s="31"/>
      <c r="F770" s="386"/>
      <c r="G770" s="22"/>
      <c r="H770" s="22"/>
      <c r="I770" s="22"/>
      <c r="J770" s="22"/>
      <c r="K770" s="22"/>
      <c r="L770" s="22"/>
      <c r="M770" s="22"/>
      <c r="N770" s="30"/>
      <c r="O770" s="30"/>
      <c r="P770" s="30"/>
    </row>
    <row r="771" ht="20.25" customHeight="1">
      <c r="A771" s="394"/>
      <c r="B771" s="383"/>
      <c r="C771" s="387"/>
      <c r="D771" s="402"/>
      <c r="E771" s="27"/>
      <c r="F771" s="386"/>
      <c r="G771" s="14"/>
      <c r="H771" s="14"/>
      <c r="I771" s="14"/>
      <c r="J771" s="14"/>
      <c r="K771" s="14"/>
      <c r="L771" s="14"/>
      <c r="M771" s="14"/>
      <c r="N771" s="28"/>
      <c r="O771" s="28"/>
      <c r="P771" s="28"/>
    </row>
    <row r="772" ht="20.25" customHeight="1">
      <c r="A772" s="393"/>
      <c r="B772" s="383"/>
      <c r="C772" s="384"/>
      <c r="D772" s="402"/>
      <c r="E772" s="31"/>
      <c r="F772" s="386"/>
      <c r="G772" s="22"/>
      <c r="H772" s="22"/>
      <c r="I772" s="22"/>
      <c r="J772" s="22"/>
      <c r="K772" s="22"/>
      <c r="L772" s="22"/>
      <c r="M772" s="22"/>
      <c r="N772" s="30"/>
      <c r="O772" s="30"/>
      <c r="P772" s="30"/>
    </row>
    <row r="773" ht="20.25" customHeight="1">
      <c r="A773" s="394"/>
      <c r="B773" s="383"/>
      <c r="C773" s="387"/>
      <c r="D773" s="402"/>
      <c r="E773" s="27"/>
      <c r="F773" s="386"/>
      <c r="G773" s="14"/>
      <c r="H773" s="14"/>
      <c r="I773" s="14"/>
      <c r="J773" s="14"/>
      <c r="K773" s="14"/>
      <c r="L773" s="14"/>
      <c r="M773" s="14"/>
      <c r="N773" s="28"/>
      <c r="O773" s="28"/>
      <c r="P773" s="28"/>
    </row>
    <row r="774" ht="20.25" customHeight="1">
      <c r="A774" s="393"/>
      <c r="B774" s="383"/>
      <c r="C774" s="384"/>
      <c r="D774" s="402"/>
      <c r="E774" s="31"/>
      <c r="F774" s="386"/>
      <c r="G774" s="22"/>
      <c r="H774" s="22"/>
      <c r="I774" s="22"/>
      <c r="J774" s="22"/>
      <c r="K774" s="22"/>
      <c r="L774" s="22"/>
      <c r="M774" s="22"/>
      <c r="N774" s="30"/>
      <c r="O774" s="30"/>
      <c r="P774" s="30"/>
    </row>
    <row r="775" ht="20.25" customHeight="1">
      <c r="A775" s="394"/>
      <c r="B775" s="383"/>
      <c r="C775" s="387"/>
      <c r="D775" s="402"/>
      <c r="E775" s="27"/>
      <c r="F775" s="386"/>
      <c r="G775" s="14"/>
      <c r="H775" s="14"/>
      <c r="I775" s="14"/>
      <c r="J775" s="14"/>
      <c r="K775" s="14"/>
      <c r="L775" s="14"/>
      <c r="M775" s="14"/>
      <c r="N775" s="28"/>
      <c r="O775" s="28"/>
      <c r="P775" s="28"/>
    </row>
    <row r="776" ht="20.25" customHeight="1">
      <c r="A776" s="393"/>
      <c r="B776" s="383"/>
      <c r="C776" s="384"/>
      <c r="D776" s="402"/>
      <c r="E776" s="31"/>
      <c r="F776" s="386"/>
      <c r="G776" s="22"/>
      <c r="H776" s="22"/>
      <c r="I776" s="22"/>
      <c r="J776" s="22"/>
      <c r="K776" s="22"/>
      <c r="L776" s="22"/>
      <c r="M776" s="22"/>
      <c r="N776" s="30"/>
      <c r="O776" s="30"/>
      <c r="P776" s="30"/>
    </row>
    <row r="777" ht="20.25" customHeight="1">
      <c r="A777" s="394"/>
      <c r="B777" s="383"/>
      <c r="C777" s="387"/>
      <c r="D777" s="402"/>
      <c r="E777" s="27"/>
      <c r="F777" s="386"/>
      <c r="G777" s="14"/>
      <c r="H777" s="14"/>
      <c r="I777" s="14"/>
      <c r="J777" s="14"/>
      <c r="K777" s="14"/>
      <c r="L777" s="14"/>
      <c r="M777" s="14"/>
      <c r="N777" s="28"/>
      <c r="O777" s="28"/>
      <c r="P777" s="28"/>
    </row>
    <row r="778" ht="20.25" customHeight="1">
      <c r="A778" s="393"/>
      <c r="B778" s="383"/>
      <c r="C778" s="384"/>
      <c r="D778" s="402"/>
      <c r="E778" s="31"/>
      <c r="F778" s="386"/>
      <c r="G778" s="22"/>
      <c r="H778" s="22"/>
      <c r="I778" s="22"/>
      <c r="J778" s="22"/>
      <c r="K778" s="22"/>
      <c r="L778" s="22"/>
      <c r="M778" s="22"/>
      <c r="N778" s="30"/>
      <c r="O778" s="30"/>
      <c r="P778" s="30"/>
    </row>
    <row r="779" ht="20.25" customHeight="1">
      <c r="A779" s="394"/>
      <c r="B779" s="383"/>
      <c r="C779" s="387"/>
      <c r="D779" s="402"/>
      <c r="E779" s="27"/>
      <c r="F779" s="386"/>
      <c r="G779" s="14"/>
      <c r="H779" s="14"/>
      <c r="I779" s="14"/>
      <c r="J779" s="14"/>
      <c r="K779" s="14"/>
      <c r="L779" s="14"/>
      <c r="M779" s="14"/>
      <c r="N779" s="28"/>
      <c r="O779" s="28"/>
      <c r="P779" s="28"/>
    </row>
    <row r="780" ht="20.25" customHeight="1">
      <c r="A780" s="393"/>
      <c r="B780" s="383"/>
      <c r="C780" s="384"/>
      <c r="D780" s="402"/>
      <c r="E780" s="31"/>
      <c r="F780" s="386"/>
      <c r="G780" s="22"/>
      <c r="H780" s="22"/>
      <c r="I780" s="22"/>
      <c r="J780" s="22"/>
      <c r="K780" s="22"/>
      <c r="L780" s="22"/>
      <c r="M780" s="22"/>
      <c r="N780" s="30"/>
      <c r="O780" s="30"/>
      <c r="P780" s="30"/>
    </row>
    <row r="781" ht="20.25" customHeight="1">
      <c r="A781" s="394"/>
      <c r="B781" s="383"/>
      <c r="C781" s="387"/>
      <c r="D781" s="402"/>
      <c r="E781" s="27"/>
      <c r="F781" s="386"/>
      <c r="G781" s="14"/>
      <c r="H781" s="14"/>
      <c r="I781" s="14"/>
      <c r="J781" s="14"/>
      <c r="K781" s="14"/>
      <c r="L781" s="14"/>
      <c r="M781" s="14"/>
      <c r="N781" s="28"/>
      <c r="O781" s="28"/>
      <c r="P781" s="28"/>
    </row>
    <row r="782" ht="20.25" customHeight="1">
      <c r="A782" s="393"/>
      <c r="B782" s="383"/>
      <c r="C782" s="384"/>
      <c r="D782" s="402"/>
      <c r="E782" s="31"/>
      <c r="F782" s="386"/>
      <c r="G782" s="22"/>
      <c r="H782" s="22"/>
      <c r="I782" s="22"/>
      <c r="J782" s="22"/>
      <c r="K782" s="22"/>
      <c r="L782" s="22"/>
      <c r="M782" s="22"/>
      <c r="N782" s="30"/>
      <c r="O782" s="30"/>
      <c r="P782" s="30"/>
    </row>
    <row r="783" ht="20.25" customHeight="1">
      <c r="A783" s="394"/>
      <c r="B783" s="383"/>
      <c r="C783" s="387"/>
      <c r="D783" s="402"/>
      <c r="E783" s="27"/>
      <c r="F783" s="386"/>
      <c r="G783" s="14"/>
      <c r="H783" s="14"/>
      <c r="I783" s="14"/>
      <c r="J783" s="14"/>
      <c r="K783" s="14"/>
      <c r="L783" s="14"/>
      <c r="M783" s="14"/>
      <c r="N783" s="28"/>
      <c r="O783" s="28"/>
      <c r="P783" s="28"/>
    </row>
    <row r="784" ht="20.25" customHeight="1">
      <c r="A784" s="393"/>
      <c r="B784" s="383"/>
      <c r="C784" s="384"/>
      <c r="D784" s="402"/>
      <c r="E784" s="31"/>
      <c r="F784" s="386"/>
      <c r="G784" s="22"/>
      <c r="H784" s="22"/>
      <c r="I784" s="22"/>
      <c r="J784" s="22"/>
      <c r="K784" s="22"/>
      <c r="L784" s="22"/>
      <c r="M784" s="22"/>
      <c r="N784" s="30"/>
      <c r="O784" s="30"/>
      <c r="P784" s="30"/>
    </row>
    <row r="785" ht="20.25" customHeight="1">
      <c r="A785" s="394"/>
      <c r="B785" s="383"/>
      <c r="C785" s="387"/>
      <c r="D785" s="402"/>
      <c r="E785" s="27"/>
      <c r="F785" s="386"/>
      <c r="G785" s="14"/>
      <c r="H785" s="14"/>
      <c r="I785" s="14"/>
      <c r="J785" s="14"/>
      <c r="K785" s="14"/>
      <c r="L785" s="14"/>
      <c r="M785" s="14"/>
      <c r="N785" s="28"/>
      <c r="O785" s="28"/>
      <c r="P785" s="28"/>
    </row>
    <row r="786" ht="20.25" customHeight="1">
      <c r="A786" s="393"/>
      <c r="B786" s="383"/>
      <c r="C786" s="384"/>
      <c r="D786" s="402"/>
      <c r="E786" s="31"/>
      <c r="F786" s="386"/>
      <c r="G786" s="22"/>
      <c r="H786" s="22"/>
      <c r="I786" s="22"/>
      <c r="J786" s="22"/>
      <c r="K786" s="22"/>
      <c r="L786" s="22"/>
      <c r="M786" s="22"/>
      <c r="N786" s="30"/>
      <c r="O786" s="30"/>
      <c r="P786" s="30"/>
    </row>
    <row r="787" ht="20.25" customHeight="1">
      <c r="A787" s="394"/>
      <c r="B787" s="383"/>
      <c r="C787" s="387"/>
      <c r="D787" s="402"/>
      <c r="E787" s="27"/>
      <c r="F787" s="386"/>
      <c r="G787" s="14"/>
      <c r="H787" s="14"/>
      <c r="I787" s="14"/>
      <c r="J787" s="14"/>
      <c r="K787" s="14"/>
      <c r="L787" s="14"/>
      <c r="M787" s="14"/>
      <c r="N787" s="28"/>
      <c r="O787" s="28"/>
      <c r="P787" s="28"/>
    </row>
    <row r="788" ht="20.25" customHeight="1">
      <c r="A788" s="393"/>
      <c r="B788" s="383"/>
      <c r="C788" s="384"/>
      <c r="D788" s="402"/>
      <c r="E788" s="31"/>
      <c r="F788" s="386"/>
      <c r="G788" s="22"/>
      <c r="H788" s="22"/>
      <c r="I788" s="22"/>
      <c r="J788" s="22"/>
      <c r="K788" s="22"/>
      <c r="L788" s="22"/>
      <c r="M788" s="22"/>
      <c r="N788" s="30"/>
      <c r="O788" s="30"/>
      <c r="P788" s="30"/>
    </row>
    <row r="789" ht="20.25" customHeight="1">
      <c r="A789" s="394"/>
      <c r="B789" s="383"/>
      <c r="C789" s="387"/>
      <c r="D789" s="402"/>
      <c r="E789" s="27"/>
      <c r="F789" s="386"/>
      <c r="G789" s="14"/>
      <c r="H789" s="14"/>
      <c r="I789" s="14"/>
      <c r="J789" s="14"/>
      <c r="K789" s="14"/>
      <c r="L789" s="14"/>
      <c r="M789" s="14"/>
      <c r="N789" s="28"/>
      <c r="O789" s="28"/>
      <c r="P789" s="28"/>
    </row>
    <row r="790" ht="20.25" customHeight="1">
      <c r="A790" s="393"/>
      <c r="B790" s="383"/>
      <c r="C790" s="384"/>
      <c r="D790" s="402"/>
      <c r="E790" s="31"/>
      <c r="F790" s="386"/>
      <c r="G790" s="22"/>
      <c r="H790" s="22"/>
      <c r="I790" s="22"/>
      <c r="J790" s="22"/>
      <c r="K790" s="22"/>
      <c r="L790" s="22"/>
      <c r="M790" s="22"/>
      <c r="N790" s="30"/>
      <c r="O790" s="30"/>
      <c r="P790" s="30"/>
    </row>
    <row r="791" ht="20.25" customHeight="1">
      <c r="A791" s="394"/>
      <c r="B791" s="383"/>
      <c r="C791" s="387"/>
      <c r="D791" s="402"/>
      <c r="E791" s="27"/>
      <c r="F791" s="386"/>
      <c r="G791" s="14"/>
      <c r="H791" s="14"/>
      <c r="I791" s="14"/>
      <c r="J791" s="14"/>
      <c r="K791" s="14"/>
      <c r="L791" s="14"/>
      <c r="M791" s="14"/>
      <c r="N791" s="28"/>
      <c r="O791" s="28"/>
      <c r="P791" s="28"/>
    </row>
    <row r="792" ht="20.25" customHeight="1">
      <c r="A792" s="393"/>
      <c r="B792" s="383"/>
      <c r="C792" s="384"/>
      <c r="D792" s="402"/>
      <c r="E792" s="31"/>
      <c r="F792" s="386"/>
      <c r="G792" s="22"/>
      <c r="H792" s="22"/>
      <c r="I792" s="22"/>
      <c r="J792" s="22"/>
      <c r="K792" s="22"/>
      <c r="L792" s="22"/>
      <c r="M792" s="22"/>
      <c r="N792" s="30"/>
      <c r="O792" s="30"/>
      <c r="P792" s="30"/>
    </row>
    <row r="793" ht="20.25" customHeight="1">
      <c r="A793" s="394"/>
      <c r="B793" s="383"/>
      <c r="C793" s="387"/>
      <c r="D793" s="402"/>
      <c r="E793" s="27"/>
      <c r="F793" s="386"/>
      <c r="G793" s="14"/>
      <c r="H793" s="14"/>
      <c r="I793" s="14"/>
      <c r="J793" s="14"/>
      <c r="K793" s="14"/>
      <c r="L793" s="14"/>
      <c r="M793" s="14"/>
      <c r="N793" s="28"/>
      <c r="O793" s="28"/>
      <c r="P793" s="28"/>
    </row>
    <row r="794" ht="20.25" customHeight="1">
      <c r="A794" s="393"/>
      <c r="B794" s="383"/>
      <c r="C794" s="384"/>
      <c r="D794" s="402"/>
      <c r="E794" s="31"/>
      <c r="F794" s="386"/>
      <c r="G794" s="22"/>
      <c r="H794" s="22"/>
      <c r="I794" s="22"/>
      <c r="J794" s="22"/>
      <c r="K794" s="22"/>
      <c r="L794" s="22"/>
      <c r="M794" s="22"/>
      <c r="N794" s="30"/>
      <c r="O794" s="30"/>
      <c r="P794" s="30"/>
    </row>
    <row r="795" ht="20.25" customHeight="1">
      <c r="A795" s="394"/>
      <c r="B795" s="383"/>
      <c r="C795" s="387"/>
      <c r="D795" s="402"/>
      <c r="E795" s="27"/>
      <c r="F795" s="386"/>
      <c r="G795" s="14"/>
      <c r="H795" s="14"/>
      <c r="I795" s="14"/>
      <c r="J795" s="14"/>
      <c r="K795" s="14"/>
      <c r="L795" s="14"/>
      <c r="M795" s="14"/>
      <c r="N795" s="28"/>
      <c r="O795" s="28"/>
      <c r="P795" s="28"/>
    </row>
    <row r="796" ht="20.25" customHeight="1">
      <c r="A796" s="393"/>
      <c r="B796" s="383"/>
      <c r="C796" s="384"/>
      <c r="D796" s="402"/>
      <c r="E796" s="31"/>
      <c r="F796" s="386"/>
      <c r="G796" s="22"/>
      <c r="H796" s="22"/>
      <c r="I796" s="22"/>
      <c r="J796" s="22"/>
      <c r="K796" s="22"/>
      <c r="L796" s="22"/>
      <c r="M796" s="22"/>
      <c r="N796" s="30"/>
      <c r="O796" s="30"/>
      <c r="P796" s="30"/>
    </row>
    <row r="797" ht="20.25" customHeight="1">
      <c r="A797" s="394"/>
      <c r="B797" s="383"/>
      <c r="C797" s="387"/>
      <c r="D797" s="402"/>
      <c r="E797" s="27"/>
      <c r="F797" s="386"/>
      <c r="G797" s="14"/>
      <c r="H797" s="14"/>
      <c r="I797" s="14"/>
      <c r="J797" s="14"/>
      <c r="K797" s="14"/>
      <c r="L797" s="14"/>
      <c r="M797" s="14"/>
      <c r="N797" s="28"/>
      <c r="O797" s="28"/>
      <c r="P797" s="28"/>
    </row>
    <row r="798" ht="20.25" customHeight="1">
      <c r="A798" s="393"/>
      <c r="B798" s="383"/>
      <c r="C798" s="384"/>
      <c r="D798" s="402"/>
      <c r="E798" s="31"/>
      <c r="F798" s="386"/>
      <c r="G798" s="22"/>
      <c r="H798" s="22"/>
      <c r="I798" s="22"/>
      <c r="J798" s="22"/>
      <c r="K798" s="22"/>
      <c r="L798" s="22"/>
      <c r="M798" s="22"/>
      <c r="N798" s="30"/>
      <c r="O798" s="30"/>
      <c r="P798" s="30"/>
    </row>
    <row r="799" ht="20.25" customHeight="1">
      <c r="A799" s="394"/>
      <c r="B799" s="383"/>
      <c r="C799" s="387"/>
      <c r="D799" s="402"/>
      <c r="E799" s="27"/>
      <c r="F799" s="386"/>
      <c r="G799" s="14"/>
      <c r="H799" s="14"/>
      <c r="I799" s="14"/>
      <c r="J799" s="14"/>
      <c r="K799" s="14"/>
      <c r="L799" s="14"/>
      <c r="M799" s="14"/>
      <c r="N799" s="28"/>
      <c r="O799" s="28"/>
      <c r="P799" s="28"/>
    </row>
    <row r="800" ht="20.25" customHeight="1">
      <c r="A800" s="393"/>
      <c r="B800" s="383"/>
      <c r="C800" s="384"/>
      <c r="D800" s="402"/>
      <c r="E800" s="31"/>
      <c r="F800" s="386"/>
      <c r="G800" s="22"/>
      <c r="H800" s="22"/>
      <c r="I800" s="22"/>
      <c r="J800" s="22"/>
      <c r="K800" s="22"/>
      <c r="L800" s="22"/>
      <c r="M800" s="22"/>
      <c r="N800" s="30"/>
      <c r="O800" s="30"/>
      <c r="P800" s="30"/>
    </row>
    <row r="801" ht="20.25" customHeight="1">
      <c r="A801" s="394"/>
      <c r="B801" s="383"/>
      <c r="C801" s="387"/>
      <c r="D801" s="402"/>
      <c r="E801" s="27"/>
      <c r="F801" s="386"/>
      <c r="G801" s="14"/>
      <c r="H801" s="14"/>
      <c r="I801" s="14"/>
      <c r="J801" s="14"/>
      <c r="K801" s="14"/>
      <c r="L801" s="14"/>
      <c r="M801" s="14"/>
      <c r="N801" s="28"/>
      <c r="O801" s="28"/>
      <c r="P801" s="28"/>
    </row>
    <row r="802" ht="20.25" customHeight="1">
      <c r="A802" s="393"/>
      <c r="B802" s="383"/>
      <c r="C802" s="384"/>
      <c r="D802" s="402"/>
      <c r="E802" s="31"/>
      <c r="F802" s="386"/>
      <c r="G802" s="22"/>
      <c r="H802" s="22"/>
      <c r="I802" s="22"/>
      <c r="J802" s="22"/>
      <c r="K802" s="22"/>
      <c r="L802" s="22"/>
      <c r="M802" s="22"/>
      <c r="N802" s="30"/>
      <c r="O802" s="30"/>
      <c r="P802" s="30"/>
    </row>
    <row r="803" ht="20.25" customHeight="1">
      <c r="A803" s="394"/>
      <c r="B803" s="383"/>
      <c r="C803" s="387"/>
      <c r="D803" s="402"/>
      <c r="E803" s="27"/>
      <c r="F803" s="386"/>
      <c r="G803" s="14"/>
      <c r="H803" s="14"/>
      <c r="I803" s="14"/>
      <c r="J803" s="14"/>
      <c r="K803" s="14"/>
      <c r="L803" s="14"/>
      <c r="M803" s="14"/>
      <c r="N803" s="28"/>
      <c r="O803" s="28"/>
      <c r="P803" s="28"/>
    </row>
    <row r="804" ht="20.25" customHeight="1">
      <c r="A804" s="393"/>
      <c r="B804" s="383"/>
      <c r="C804" s="384"/>
      <c r="D804" s="402"/>
      <c r="E804" s="31"/>
      <c r="F804" s="386"/>
      <c r="G804" s="22"/>
      <c r="H804" s="22"/>
      <c r="I804" s="22"/>
      <c r="J804" s="22"/>
      <c r="K804" s="22"/>
      <c r="L804" s="22"/>
      <c r="M804" s="22"/>
      <c r="N804" s="30"/>
      <c r="O804" s="30"/>
      <c r="P804" s="30"/>
    </row>
    <row r="805" ht="20.25" customHeight="1">
      <c r="A805" s="394"/>
      <c r="B805" s="383"/>
      <c r="C805" s="387"/>
      <c r="D805" s="402"/>
      <c r="E805" s="27"/>
      <c r="F805" s="386"/>
      <c r="G805" s="14"/>
      <c r="H805" s="14"/>
      <c r="I805" s="14"/>
      <c r="J805" s="14"/>
      <c r="K805" s="14"/>
      <c r="L805" s="14"/>
      <c r="M805" s="14"/>
      <c r="N805" s="28"/>
      <c r="O805" s="28"/>
      <c r="P805" s="28"/>
    </row>
    <row r="806" ht="20.25" customHeight="1">
      <c r="A806" s="393"/>
      <c r="B806" s="383"/>
      <c r="C806" s="384"/>
      <c r="D806" s="402"/>
      <c r="E806" s="31"/>
      <c r="F806" s="386"/>
      <c r="G806" s="22"/>
      <c r="H806" s="22"/>
      <c r="I806" s="22"/>
      <c r="J806" s="22"/>
      <c r="K806" s="22"/>
      <c r="L806" s="22"/>
      <c r="M806" s="22"/>
      <c r="N806" s="30"/>
      <c r="O806" s="30"/>
      <c r="P806" s="30"/>
    </row>
    <row r="807" ht="20.25" customHeight="1">
      <c r="A807" s="394"/>
      <c r="B807" s="383"/>
      <c r="C807" s="387"/>
      <c r="D807" s="402"/>
      <c r="E807" s="27"/>
      <c r="F807" s="386"/>
      <c r="G807" s="14"/>
      <c r="H807" s="14"/>
      <c r="I807" s="14"/>
      <c r="J807" s="14"/>
      <c r="K807" s="14"/>
      <c r="L807" s="14"/>
      <c r="M807" s="14"/>
      <c r="N807" s="28"/>
      <c r="O807" s="28"/>
      <c r="P807" s="28"/>
    </row>
    <row r="808" ht="20.25" customHeight="1">
      <c r="A808" s="393"/>
      <c r="B808" s="383"/>
      <c r="C808" s="384"/>
      <c r="D808" s="402"/>
      <c r="E808" s="31"/>
      <c r="F808" s="386"/>
      <c r="G808" s="22"/>
      <c r="H808" s="22"/>
      <c r="I808" s="22"/>
      <c r="J808" s="22"/>
      <c r="K808" s="22"/>
      <c r="L808" s="22"/>
      <c r="M808" s="22"/>
      <c r="N808" s="30"/>
      <c r="O808" s="30"/>
      <c r="P808" s="30"/>
    </row>
    <row r="809" ht="20.25" customHeight="1">
      <c r="A809" s="394"/>
      <c r="B809" s="383"/>
      <c r="C809" s="387"/>
      <c r="D809" s="402"/>
      <c r="E809" s="27"/>
      <c r="F809" s="386"/>
      <c r="G809" s="14"/>
      <c r="H809" s="14"/>
      <c r="I809" s="14"/>
      <c r="J809" s="14"/>
      <c r="K809" s="14"/>
      <c r="L809" s="14"/>
      <c r="M809" s="14"/>
      <c r="N809" s="28"/>
      <c r="O809" s="28"/>
      <c r="P809" s="28"/>
    </row>
    <row r="810" ht="20.25" customHeight="1">
      <c r="A810" s="393"/>
      <c r="B810" s="383"/>
      <c r="C810" s="384"/>
      <c r="D810" s="402"/>
      <c r="E810" s="31"/>
      <c r="F810" s="386"/>
      <c r="G810" s="22"/>
      <c r="H810" s="22"/>
      <c r="I810" s="22"/>
      <c r="J810" s="22"/>
      <c r="K810" s="22"/>
      <c r="L810" s="22"/>
      <c r="M810" s="22"/>
      <c r="N810" s="30"/>
      <c r="O810" s="30"/>
      <c r="P810" s="30"/>
    </row>
    <row r="811" ht="20.25" customHeight="1">
      <c r="A811" s="394"/>
      <c r="B811" s="383"/>
      <c r="C811" s="387"/>
      <c r="D811" s="402"/>
      <c r="E811" s="27"/>
      <c r="F811" s="386"/>
      <c r="G811" s="14"/>
      <c r="H811" s="14"/>
      <c r="I811" s="14"/>
      <c r="J811" s="14"/>
      <c r="K811" s="14"/>
      <c r="L811" s="14"/>
      <c r="M811" s="14"/>
      <c r="N811" s="28"/>
      <c r="O811" s="28"/>
      <c r="P811" s="28"/>
    </row>
    <row r="812" ht="20.25" customHeight="1">
      <c r="A812" s="393"/>
      <c r="B812" s="383"/>
      <c r="C812" s="384"/>
      <c r="D812" s="402"/>
      <c r="E812" s="31"/>
      <c r="F812" s="386"/>
      <c r="G812" s="22"/>
      <c r="H812" s="22"/>
      <c r="I812" s="22"/>
      <c r="J812" s="22"/>
      <c r="K812" s="22"/>
      <c r="L812" s="22"/>
      <c r="M812" s="22"/>
      <c r="N812" s="30"/>
      <c r="O812" s="30"/>
      <c r="P812" s="30"/>
    </row>
    <row r="813" ht="20.25" customHeight="1">
      <c r="A813" s="394"/>
      <c r="B813" s="383"/>
      <c r="C813" s="387"/>
      <c r="D813" s="402"/>
      <c r="E813" s="27"/>
      <c r="F813" s="386"/>
      <c r="G813" s="14"/>
      <c r="H813" s="14"/>
      <c r="I813" s="14"/>
      <c r="J813" s="14"/>
      <c r="K813" s="14"/>
      <c r="L813" s="14"/>
      <c r="M813" s="14"/>
      <c r="N813" s="28"/>
      <c r="O813" s="28"/>
      <c r="P813" s="28"/>
    </row>
    <row r="814" ht="20.25" customHeight="1">
      <c r="A814" s="393"/>
      <c r="B814" s="383"/>
      <c r="C814" s="384"/>
      <c r="D814" s="402"/>
      <c r="E814" s="31"/>
      <c r="F814" s="386"/>
      <c r="G814" s="22"/>
      <c r="H814" s="22"/>
      <c r="I814" s="22"/>
      <c r="J814" s="22"/>
      <c r="K814" s="22"/>
      <c r="L814" s="22"/>
      <c r="M814" s="22"/>
      <c r="N814" s="30"/>
      <c r="O814" s="30"/>
      <c r="P814" s="30"/>
    </row>
    <row r="815" ht="20.25" customHeight="1">
      <c r="A815" s="394"/>
      <c r="B815" s="383"/>
      <c r="C815" s="387"/>
      <c r="D815" s="402"/>
      <c r="E815" s="27"/>
      <c r="F815" s="386"/>
      <c r="G815" s="14"/>
      <c r="H815" s="14"/>
      <c r="I815" s="14"/>
      <c r="J815" s="14"/>
      <c r="K815" s="14"/>
      <c r="L815" s="14"/>
      <c r="M815" s="14"/>
      <c r="N815" s="28"/>
      <c r="O815" s="28"/>
      <c r="P815" s="28"/>
    </row>
    <row r="816" ht="20.25" customHeight="1">
      <c r="A816" s="393"/>
      <c r="B816" s="383"/>
      <c r="C816" s="384"/>
      <c r="D816" s="402"/>
      <c r="E816" s="31"/>
      <c r="F816" s="386"/>
      <c r="G816" s="22"/>
      <c r="H816" s="22"/>
      <c r="I816" s="22"/>
      <c r="J816" s="22"/>
      <c r="K816" s="22"/>
      <c r="L816" s="22"/>
      <c r="M816" s="22"/>
      <c r="N816" s="30"/>
      <c r="O816" s="30"/>
      <c r="P816" s="30"/>
    </row>
    <row r="817" ht="20.25" customHeight="1">
      <c r="A817" s="394"/>
      <c r="B817" s="383"/>
      <c r="C817" s="387"/>
      <c r="D817" s="402"/>
      <c r="E817" s="27"/>
      <c r="F817" s="386"/>
      <c r="G817" s="14"/>
      <c r="H817" s="14"/>
      <c r="I817" s="14"/>
      <c r="J817" s="14"/>
      <c r="K817" s="14"/>
      <c r="L817" s="14"/>
      <c r="M817" s="14"/>
      <c r="N817" s="28"/>
      <c r="O817" s="28"/>
      <c r="P817" s="28"/>
    </row>
    <row r="818" ht="20.25" customHeight="1">
      <c r="A818" s="393"/>
      <c r="B818" s="383"/>
      <c r="C818" s="384"/>
      <c r="D818" s="402"/>
      <c r="E818" s="31"/>
      <c r="F818" s="386"/>
      <c r="G818" s="22"/>
      <c r="H818" s="22"/>
      <c r="I818" s="22"/>
      <c r="J818" s="22"/>
      <c r="K818" s="22"/>
      <c r="L818" s="22"/>
      <c r="M818" s="22"/>
      <c r="N818" s="30"/>
      <c r="O818" s="30"/>
      <c r="P818" s="30"/>
    </row>
    <row r="819" ht="20.25" customHeight="1">
      <c r="A819" s="394"/>
      <c r="B819" s="383"/>
      <c r="C819" s="387"/>
      <c r="D819" s="402"/>
      <c r="E819" s="27"/>
      <c r="F819" s="386"/>
      <c r="G819" s="14"/>
      <c r="H819" s="14"/>
      <c r="I819" s="14"/>
      <c r="J819" s="14"/>
      <c r="K819" s="14"/>
      <c r="L819" s="14"/>
      <c r="M819" s="14"/>
      <c r="N819" s="28"/>
      <c r="O819" s="28"/>
      <c r="P819" s="28"/>
    </row>
    <row r="820" ht="20.25" customHeight="1">
      <c r="A820" s="393"/>
      <c r="B820" s="383"/>
      <c r="C820" s="384"/>
      <c r="D820" s="402"/>
      <c r="E820" s="31"/>
      <c r="F820" s="386"/>
      <c r="G820" s="22"/>
      <c r="H820" s="22"/>
      <c r="I820" s="22"/>
      <c r="J820" s="22"/>
      <c r="K820" s="22"/>
      <c r="L820" s="22"/>
      <c r="M820" s="22"/>
      <c r="N820" s="30"/>
      <c r="O820" s="30"/>
      <c r="P820" s="30"/>
    </row>
    <row r="821" ht="20.25" customHeight="1">
      <c r="A821" s="394"/>
      <c r="B821" s="383"/>
      <c r="C821" s="387"/>
      <c r="D821" s="402"/>
      <c r="E821" s="27"/>
      <c r="F821" s="386"/>
      <c r="G821" s="14"/>
      <c r="H821" s="14"/>
      <c r="I821" s="14"/>
      <c r="J821" s="14"/>
      <c r="K821" s="14"/>
      <c r="L821" s="14"/>
      <c r="M821" s="14"/>
      <c r="N821" s="28"/>
      <c r="O821" s="28"/>
      <c r="P821" s="28"/>
    </row>
    <row r="822" ht="20.25" customHeight="1">
      <c r="A822" s="393"/>
      <c r="B822" s="383"/>
      <c r="C822" s="384"/>
      <c r="D822" s="402"/>
      <c r="E822" s="31"/>
      <c r="F822" s="386"/>
      <c r="G822" s="22"/>
      <c r="H822" s="22"/>
      <c r="I822" s="22"/>
      <c r="J822" s="22"/>
      <c r="K822" s="22"/>
      <c r="L822" s="22"/>
      <c r="M822" s="22"/>
      <c r="N822" s="30"/>
      <c r="O822" s="30"/>
      <c r="P822" s="30"/>
    </row>
    <row r="823" ht="20.25" customHeight="1">
      <c r="A823" s="394"/>
      <c r="B823" s="383"/>
      <c r="C823" s="387"/>
      <c r="D823" s="402"/>
      <c r="E823" s="27"/>
      <c r="F823" s="386"/>
      <c r="G823" s="14"/>
      <c r="H823" s="14"/>
      <c r="I823" s="14"/>
      <c r="J823" s="14"/>
      <c r="K823" s="14"/>
      <c r="L823" s="14"/>
      <c r="M823" s="14"/>
      <c r="N823" s="28"/>
      <c r="O823" s="28"/>
      <c r="P823" s="28"/>
    </row>
    <row r="824" ht="20.25" customHeight="1">
      <c r="A824" s="393"/>
      <c r="B824" s="383"/>
      <c r="C824" s="384"/>
      <c r="D824" s="402"/>
      <c r="E824" s="31"/>
      <c r="F824" s="386"/>
      <c r="G824" s="22"/>
      <c r="H824" s="22"/>
      <c r="I824" s="22"/>
      <c r="J824" s="22"/>
      <c r="K824" s="22"/>
      <c r="L824" s="22"/>
      <c r="M824" s="22"/>
      <c r="N824" s="30"/>
      <c r="O824" s="30"/>
      <c r="P824" s="30"/>
    </row>
    <row r="825" ht="20.25" customHeight="1">
      <c r="A825" s="394"/>
      <c r="B825" s="383"/>
      <c r="C825" s="387"/>
      <c r="D825" s="402"/>
      <c r="E825" s="27"/>
      <c r="F825" s="386"/>
      <c r="G825" s="14"/>
      <c r="H825" s="14"/>
      <c r="I825" s="14"/>
      <c r="J825" s="14"/>
      <c r="K825" s="14"/>
      <c r="L825" s="14"/>
      <c r="M825" s="14"/>
      <c r="N825" s="28"/>
      <c r="O825" s="28"/>
      <c r="P825" s="28"/>
    </row>
    <row r="826" ht="20.25" customHeight="1">
      <c r="A826" s="393"/>
      <c r="B826" s="383"/>
      <c r="C826" s="384"/>
      <c r="D826" s="402"/>
      <c r="E826" s="31"/>
      <c r="F826" s="386"/>
      <c r="G826" s="22"/>
      <c r="H826" s="22"/>
      <c r="I826" s="22"/>
      <c r="J826" s="22"/>
      <c r="K826" s="22"/>
      <c r="L826" s="22"/>
      <c r="M826" s="22"/>
      <c r="N826" s="30"/>
      <c r="O826" s="30"/>
      <c r="P826" s="30"/>
    </row>
    <row r="827" ht="20.25" customHeight="1">
      <c r="A827" s="394"/>
      <c r="B827" s="383"/>
      <c r="C827" s="387"/>
      <c r="D827" s="402"/>
      <c r="E827" s="27"/>
      <c r="F827" s="386"/>
      <c r="G827" s="14"/>
      <c r="H827" s="14"/>
      <c r="I827" s="14"/>
      <c r="J827" s="14"/>
      <c r="K827" s="14"/>
      <c r="L827" s="14"/>
      <c r="M827" s="14"/>
      <c r="N827" s="28"/>
      <c r="O827" s="28"/>
      <c r="P827" s="28"/>
    </row>
    <row r="828" ht="20.25" customHeight="1">
      <c r="A828" s="393"/>
      <c r="B828" s="383"/>
      <c r="C828" s="384"/>
      <c r="D828" s="402"/>
      <c r="E828" s="31"/>
      <c r="F828" s="386"/>
      <c r="G828" s="22"/>
      <c r="H828" s="22"/>
      <c r="I828" s="22"/>
      <c r="J828" s="22"/>
      <c r="K828" s="22"/>
      <c r="L828" s="22"/>
      <c r="M828" s="22"/>
      <c r="N828" s="30"/>
      <c r="O828" s="30"/>
      <c r="P828" s="30"/>
    </row>
    <row r="829" ht="20.25" customHeight="1">
      <c r="A829" s="394"/>
      <c r="B829" s="383"/>
      <c r="C829" s="387"/>
      <c r="D829" s="402"/>
      <c r="E829" s="27"/>
      <c r="F829" s="386"/>
      <c r="G829" s="14"/>
      <c r="H829" s="14"/>
      <c r="I829" s="14"/>
      <c r="J829" s="14"/>
      <c r="K829" s="14"/>
      <c r="L829" s="14"/>
      <c r="M829" s="14"/>
      <c r="N829" s="28"/>
      <c r="O829" s="28"/>
      <c r="P829" s="28"/>
    </row>
    <row r="830" ht="20.25" customHeight="1">
      <c r="A830" s="393"/>
      <c r="B830" s="383"/>
      <c r="C830" s="384"/>
      <c r="D830" s="402"/>
      <c r="E830" s="31"/>
      <c r="F830" s="386"/>
      <c r="G830" s="22"/>
      <c r="H830" s="22"/>
      <c r="I830" s="22"/>
      <c r="J830" s="22"/>
      <c r="K830" s="22"/>
      <c r="L830" s="22"/>
      <c r="M830" s="22"/>
      <c r="N830" s="30"/>
      <c r="O830" s="30"/>
      <c r="P830" s="30"/>
    </row>
    <row r="831" ht="20.25" customHeight="1">
      <c r="A831" s="394"/>
      <c r="B831" s="383"/>
      <c r="C831" s="387"/>
      <c r="D831" s="402"/>
      <c r="E831" s="27"/>
      <c r="F831" s="386"/>
      <c r="G831" s="14"/>
      <c r="H831" s="14"/>
      <c r="I831" s="14"/>
      <c r="J831" s="14"/>
      <c r="K831" s="14"/>
      <c r="L831" s="14"/>
      <c r="M831" s="14"/>
      <c r="N831" s="28"/>
      <c r="O831" s="28"/>
      <c r="P831" s="28"/>
    </row>
    <row r="832" ht="20.25" customHeight="1">
      <c r="A832" s="393"/>
      <c r="B832" s="383"/>
      <c r="C832" s="384"/>
      <c r="D832" s="402"/>
      <c r="E832" s="31"/>
      <c r="F832" s="386"/>
      <c r="G832" s="22"/>
      <c r="H832" s="22"/>
      <c r="I832" s="22"/>
      <c r="J832" s="22"/>
      <c r="K832" s="22"/>
      <c r="L832" s="22"/>
      <c r="M832" s="22"/>
      <c r="N832" s="30"/>
      <c r="O832" s="30"/>
      <c r="P832" s="30"/>
    </row>
    <row r="833" ht="20.25" customHeight="1">
      <c r="A833" s="394"/>
      <c r="B833" s="383"/>
      <c r="C833" s="387"/>
      <c r="D833" s="402"/>
      <c r="E833" s="27"/>
      <c r="F833" s="386"/>
      <c r="G833" s="14"/>
      <c r="H833" s="14"/>
      <c r="I833" s="14"/>
      <c r="J833" s="14"/>
      <c r="K833" s="14"/>
      <c r="L833" s="14"/>
      <c r="M833" s="14"/>
      <c r="N833" s="28"/>
      <c r="O833" s="28"/>
      <c r="P833" s="28"/>
    </row>
    <row r="834" ht="20.25" customHeight="1">
      <c r="A834" s="393"/>
      <c r="B834" s="383"/>
      <c r="C834" s="384"/>
      <c r="D834" s="402"/>
      <c r="E834" s="31"/>
      <c r="F834" s="386"/>
      <c r="G834" s="22"/>
      <c r="H834" s="22"/>
      <c r="I834" s="22"/>
      <c r="J834" s="22"/>
      <c r="K834" s="22"/>
      <c r="L834" s="22"/>
      <c r="M834" s="22"/>
      <c r="N834" s="30"/>
      <c r="O834" s="30"/>
      <c r="P834" s="30"/>
    </row>
    <row r="835" ht="20.25" customHeight="1">
      <c r="A835" s="394"/>
      <c r="B835" s="383"/>
      <c r="C835" s="387"/>
      <c r="D835" s="402"/>
      <c r="E835" s="27"/>
      <c r="F835" s="386"/>
      <c r="G835" s="14"/>
      <c r="H835" s="14"/>
      <c r="I835" s="14"/>
      <c r="J835" s="14"/>
      <c r="K835" s="14"/>
      <c r="L835" s="14"/>
      <c r="M835" s="14"/>
      <c r="N835" s="28"/>
      <c r="O835" s="28"/>
      <c r="P835" s="28"/>
    </row>
    <row r="836" ht="20.25" customHeight="1">
      <c r="A836" s="393"/>
      <c r="B836" s="383"/>
      <c r="C836" s="384"/>
      <c r="D836" s="402"/>
      <c r="E836" s="31"/>
      <c r="F836" s="386"/>
      <c r="G836" s="22"/>
      <c r="H836" s="22"/>
      <c r="I836" s="22"/>
      <c r="J836" s="22"/>
      <c r="K836" s="22"/>
      <c r="L836" s="22"/>
      <c r="M836" s="22"/>
      <c r="N836" s="30"/>
      <c r="O836" s="30"/>
      <c r="P836" s="30"/>
    </row>
    <row r="837" ht="20.25" customHeight="1">
      <c r="A837" s="394"/>
      <c r="B837" s="383"/>
      <c r="C837" s="387"/>
      <c r="D837" s="402"/>
      <c r="E837" s="27"/>
      <c r="F837" s="386"/>
      <c r="G837" s="14"/>
      <c r="H837" s="14"/>
      <c r="I837" s="14"/>
      <c r="J837" s="14"/>
      <c r="K837" s="14"/>
      <c r="L837" s="14"/>
      <c r="M837" s="14"/>
      <c r="N837" s="28"/>
      <c r="O837" s="28"/>
      <c r="P837" s="28"/>
    </row>
    <row r="838" ht="20.25" customHeight="1">
      <c r="A838" s="393"/>
      <c r="B838" s="383"/>
      <c r="C838" s="384"/>
      <c r="D838" s="402"/>
      <c r="E838" s="31"/>
      <c r="F838" s="386"/>
      <c r="G838" s="22"/>
      <c r="H838" s="22"/>
      <c r="I838" s="22"/>
      <c r="J838" s="22"/>
      <c r="K838" s="22"/>
      <c r="L838" s="22"/>
      <c r="M838" s="22"/>
      <c r="N838" s="30"/>
      <c r="O838" s="30"/>
      <c r="P838" s="30"/>
    </row>
    <row r="839" ht="20.25" customHeight="1">
      <c r="A839" s="394"/>
      <c r="B839" s="383"/>
      <c r="C839" s="387"/>
      <c r="D839" s="402"/>
      <c r="E839" s="27"/>
      <c r="F839" s="386"/>
      <c r="G839" s="14"/>
      <c r="H839" s="14"/>
      <c r="I839" s="14"/>
      <c r="J839" s="14"/>
      <c r="K839" s="14"/>
      <c r="L839" s="14"/>
      <c r="M839" s="14"/>
      <c r="N839" s="28"/>
      <c r="O839" s="28"/>
      <c r="P839" s="28"/>
    </row>
    <row r="840" ht="20.25" customHeight="1">
      <c r="A840" s="393"/>
      <c r="B840" s="383"/>
      <c r="C840" s="384"/>
      <c r="D840" s="402"/>
      <c r="E840" s="31"/>
      <c r="F840" s="386"/>
      <c r="G840" s="22"/>
      <c r="H840" s="22"/>
      <c r="I840" s="22"/>
      <c r="J840" s="22"/>
      <c r="K840" s="22"/>
      <c r="L840" s="22"/>
      <c r="M840" s="22"/>
      <c r="N840" s="30"/>
      <c r="O840" s="30"/>
      <c r="P840" s="30"/>
    </row>
    <row r="841" ht="20.25" customHeight="1">
      <c r="A841" s="394"/>
      <c r="B841" s="383"/>
      <c r="C841" s="387"/>
      <c r="D841" s="402"/>
      <c r="E841" s="27"/>
      <c r="F841" s="386"/>
      <c r="G841" s="14"/>
      <c r="H841" s="14"/>
      <c r="I841" s="14"/>
      <c r="J841" s="14"/>
      <c r="K841" s="14"/>
      <c r="L841" s="14"/>
      <c r="M841" s="14"/>
      <c r="N841" s="28"/>
      <c r="O841" s="28"/>
      <c r="P841" s="28"/>
    </row>
    <row r="842" ht="20.25" customHeight="1">
      <c r="A842" s="393"/>
      <c r="B842" s="383"/>
      <c r="C842" s="384"/>
      <c r="D842" s="402"/>
      <c r="E842" s="31"/>
      <c r="F842" s="386"/>
      <c r="G842" s="22"/>
      <c r="H842" s="22"/>
      <c r="I842" s="22"/>
      <c r="J842" s="22"/>
      <c r="K842" s="22"/>
      <c r="L842" s="22"/>
      <c r="M842" s="22"/>
      <c r="N842" s="30"/>
      <c r="O842" s="30"/>
      <c r="P842" s="30"/>
    </row>
    <row r="843" ht="20.25" customHeight="1">
      <c r="A843" s="394"/>
      <c r="B843" s="383"/>
      <c r="C843" s="387"/>
      <c r="D843" s="402"/>
      <c r="E843" s="27"/>
      <c r="F843" s="386"/>
      <c r="G843" s="14"/>
      <c r="H843" s="14"/>
      <c r="I843" s="14"/>
      <c r="J843" s="14"/>
      <c r="K843" s="14"/>
      <c r="L843" s="14"/>
      <c r="M843" s="14"/>
      <c r="N843" s="28"/>
      <c r="O843" s="28"/>
      <c r="P843" s="28"/>
    </row>
    <row r="844" ht="20.25" customHeight="1">
      <c r="A844" s="393"/>
      <c r="B844" s="383"/>
      <c r="C844" s="384"/>
      <c r="D844" s="402"/>
      <c r="E844" s="31"/>
      <c r="F844" s="386"/>
      <c r="G844" s="22"/>
      <c r="H844" s="22"/>
      <c r="I844" s="22"/>
      <c r="J844" s="22"/>
      <c r="K844" s="22"/>
      <c r="L844" s="22"/>
      <c r="M844" s="22"/>
      <c r="N844" s="30"/>
      <c r="O844" s="30"/>
      <c r="P844" s="30"/>
    </row>
    <row r="845" ht="20.25" customHeight="1">
      <c r="A845" s="394"/>
      <c r="B845" s="383"/>
      <c r="C845" s="387"/>
      <c r="D845" s="402"/>
      <c r="E845" s="27"/>
      <c r="F845" s="386"/>
      <c r="G845" s="14"/>
      <c r="H845" s="14"/>
      <c r="I845" s="14"/>
      <c r="J845" s="14"/>
      <c r="K845" s="14"/>
      <c r="L845" s="14"/>
      <c r="M845" s="14"/>
      <c r="N845" s="28"/>
      <c r="O845" s="28"/>
      <c r="P845" s="28"/>
    </row>
    <row r="846" ht="20.25" customHeight="1">
      <c r="A846" s="393"/>
      <c r="B846" s="383"/>
      <c r="C846" s="384"/>
      <c r="D846" s="402"/>
      <c r="E846" s="31"/>
      <c r="F846" s="386"/>
      <c r="G846" s="22"/>
      <c r="H846" s="22"/>
      <c r="I846" s="22"/>
      <c r="J846" s="22"/>
      <c r="K846" s="22"/>
      <c r="L846" s="22"/>
      <c r="M846" s="22"/>
      <c r="N846" s="30"/>
      <c r="O846" s="30"/>
      <c r="P846" s="30"/>
    </row>
    <row r="847" ht="20.25" customHeight="1">
      <c r="A847" s="394"/>
      <c r="B847" s="383"/>
      <c r="C847" s="387"/>
      <c r="D847" s="402"/>
      <c r="E847" s="27"/>
      <c r="F847" s="386"/>
      <c r="G847" s="14"/>
      <c r="H847" s="14"/>
      <c r="I847" s="14"/>
      <c r="J847" s="14"/>
      <c r="K847" s="14"/>
      <c r="L847" s="14"/>
      <c r="M847" s="14"/>
      <c r="N847" s="28"/>
      <c r="O847" s="28"/>
      <c r="P847" s="28"/>
    </row>
    <row r="848" ht="20.25" customHeight="1">
      <c r="A848" s="393"/>
      <c r="B848" s="383"/>
      <c r="C848" s="384"/>
      <c r="D848" s="402"/>
      <c r="E848" s="31"/>
      <c r="F848" s="386"/>
      <c r="G848" s="22"/>
      <c r="H848" s="22"/>
      <c r="I848" s="22"/>
      <c r="J848" s="22"/>
      <c r="K848" s="22"/>
      <c r="L848" s="22"/>
      <c r="M848" s="22"/>
      <c r="N848" s="30"/>
      <c r="O848" s="30"/>
      <c r="P848" s="30"/>
    </row>
    <row r="849" ht="20.25" customHeight="1">
      <c r="A849" s="394"/>
      <c r="B849" s="383"/>
      <c r="C849" s="387"/>
      <c r="D849" s="402"/>
      <c r="E849" s="27"/>
      <c r="F849" s="386"/>
      <c r="G849" s="14"/>
      <c r="H849" s="14"/>
      <c r="I849" s="14"/>
      <c r="J849" s="14"/>
      <c r="K849" s="14"/>
      <c r="L849" s="14"/>
      <c r="M849" s="14"/>
      <c r="N849" s="28"/>
      <c r="O849" s="28"/>
      <c r="P849" s="28"/>
    </row>
    <row r="850" ht="20.25" customHeight="1">
      <c r="A850" s="393"/>
      <c r="B850" s="383"/>
      <c r="C850" s="384"/>
      <c r="D850" s="402"/>
      <c r="E850" s="31"/>
      <c r="F850" s="386"/>
      <c r="G850" s="22"/>
      <c r="H850" s="22"/>
      <c r="I850" s="22"/>
      <c r="J850" s="22"/>
      <c r="K850" s="22"/>
      <c r="L850" s="22"/>
      <c r="M850" s="22"/>
      <c r="N850" s="30"/>
      <c r="O850" s="30"/>
      <c r="P850" s="30"/>
    </row>
    <row r="851" ht="20.25" customHeight="1">
      <c r="A851" s="394"/>
      <c r="B851" s="383"/>
      <c r="C851" s="387"/>
      <c r="D851" s="402"/>
      <c r="E851" s="27"/>
      <c r="F851" s="386"/>
      <c r="G851" s="14"/>
      <c r="H851" s="14"/>
      <c r="I851" s="14"/>
      <c r="J851" s="14"/>
      <c r="K851" s="14"/>
      <c r="L851" s="14"/>
      <c r="M851" s="14"/>
      <c r="N851" s="28"/>
      <c r="O851" s="28"/>
      <c r="P851" s="28"/>
    </row>
    <row r="852" ht="20.25" customHeight="1">
      <c r="A852" s="393"/>
      <c r="B852" s="383"/>
      <c r="C852" s="384"/>
      <c r="D852" s="402"/>
      <c r="E852" s="31"/>
      <c r="F852" s="386"/>
      <c r="G852" s="22"/>
      <c r="H852" s="22"/>
      <c r="I852" s="22"/>
      <c r="J852" s="22"/>
      <c r="K852" s="22"/>
      <c r="L852" s="22"/>
      <c r="M852" s="22"/>
      <c r="N852" s="30"/>
      <c r="O852" s="30"/>
      <c r="P852" s="30"/>
    </row>
    <row r="853" ht="20.25" customHeight="1">
      <c r="A853" s="394"/>
      <c r="B853" s="383"/>
      <c r="C853" s="387"/>
      <c r="D853" s="402"/>
      <c r="E853" s="27"/>
      <c r="F853" s="386"/>
      <c r="G853" s="14"/>
      <c r="H853" s="14"/>
      <c r="I853" s="14"/>
      <c r="J853" s="14"/>
      <c r="K853" s="14"/>
      <c r="L853" s="14"/>
      <c r="M853" s="14"/>
      <c r="N853" s="28"/>
      <c r="O853" s="28"/>
      <c r="P853" s="28"/>
    </row>
    <row r="854" ht="20.25" customHeight="1">
      <c r="A854" s="393"/>
      <c r="B854" s="383"/>
      <c r="C854" s="384"/>
      <c r="D854" s="402"/>
      <c r="E854" s="31"/>
      <c r="F854" s="386"/>
      <c r="G854" s="22"/>
      <c r="H854" s="22"/>
      <c r="I854" s="22"/>
      <c r="J854" s="22"/>
      <c r="K854" s="22"/>
      <c r="L854" s="22"/>
      <c r="M854" s="22"/>
      <c r="N854" s="30"/>
      <c r="O854" s="30"/>
      <c r="P854" s="30"/>
    </row>
    <row r="855" ht="20.25" customHeight="1">
      <c r="A855" s="394"/>
      <c r="B855" s="383"/>
      <c r="C855" s="387"/>
      <c r="D855" s="402"/>
      <c r="E855" s="27"/>
      <c r="F855" s="386"/>
      <c r="G855" s="14"/>
      <c r="H855" s="14"/>
      <c r="I855" s="14"/>
      <c r="J855" s="14"/>
      <c r="K855" s="14"/>
      <c r="L855" s="14"/>
      <c r="M855" s="14"/>
      <c r="N855" s="28"/>
      <c r="O855" s="28"/>
      <c r="P855" s="28"/>
    </row>
    <row r="856" ht="20.25" customHeight="1">
      <c r="A856" s="393"/>
      <c r="B856" s="383"/>
      <c r="C856" s="384"/>
      <c r="D856" s="402"/>
      <c r="E856" s="31"/>
      <c r="F856" s="386"/>
      <c r="G856" s="22"/>
      <c r="H856" s="22"/>
      <c r="I856" s="22"/>
      <c r="J856" s="22"/>
      <c r="K856" s="22"/>
      <c r="L856" s="22"/>
      <c r="M856" s="22"/>
      <c r="N856" s="30"/>
      <c r="O856" s="30"/>
      <c r="P856" s="30"/>
    </row>
    <row r="857" ht="20.25" customHeight="1">
      <c r="A857" s="394"/>
      <c r="B857" s="383"/>
      <c r="C857" s="387"/>
      <c r="D857" s="402"/>
      <c r="E857" s="27"/>
      <c r="F857" s="386"/>
      <c r="G857" s="14"/>
      <c r="H857" s="14"/>
      <c r="I857" s="14"/>
      <c r="J857" s="14"/>
      <c r="K857" s="14"/>
      <c r="L857" s="14"/>
      <c r="M857" s="14"/>
      <c r="N857" s="28"/>
      <c r="O857" s="28"/>
      <c r="P857" s="28"/>
    </row>
    <row r="858" ht="20.25" customHeight="1">
      <c r="A858" s="393"/>
      <c r="B858" s="383"/>
      <c r="C858" s="384"/>
      <c r="D858" s="402"/>
      <c r="E858" s="31"/>
      <c r="F858" s="386"/>
      <c r="G858" s="22"/>
      <c r="H858" s="22"/>
      <c r="I858" s="22"/>
      <c r="J858" s="22"/>
      <c r="K858" s="22"/>
      <c r="L858" s="22"/>
      <c r="M858" s="22"/>
      <c r="N858" s="30"/>
      <c r="O858" s="30"/>
      <c r="P858" s="30"/>
    </row>
    <row r="859" ht="20.25" customHeight="1">
      <c r="A859" s="394"/>
      <c r="B859" s="383"/>
      <c r="C859" s="387"/>
      <c r="D859" s="402"/>
      <c r="E859" s="27"/>
      <c r="F859" s="386"/>
      <c r="G859" s="14"/>
      <c r="H859" s="14"/>
      <c r="I859" s="14"/>
      <c r="J859" s="14"/>
      <c r="K859" s="14"/>
      <c r="L859" s="14"/>
      <c r="M859" s="14"/>
      <c r="N859" s="28"/>
      <c r="O859" s="28"/>
      <c r="P859" s="28"/>
    </row>
    <row r="860" ht="20.25" customHeight="1">
      <c r="A860" s="393"/>
      <c r="B860" s="383"/>
      <c r="C860" s="384"/>
      <c r="D860" s="402"/>
      <c r="E860" s="31"/>
      <c r="F860" s="386"/>
      <c r="G860" s="22"/>
      <c r="H860" s="22"/>
      <c r="I860" s="22"/>
      <c r="J860" s="22"/>
      <c r="K860" s="22"/>
      <c r="L860" s="22"/>
      <c r="M860" s="22"/>
      <c r="N860" s="30"/>
      <c r="O860" s="30"/>
      <c r="P860" s="30"/>
    </row>
    <row r="861" ht="20.25" customHeight="1">
      <c r="A861" s="394"/>
      <c r="B861" s="383"/>
      <c r="C861" s="387"/>
      <c r="D861" s="402"/>
      <c r="E861" s="27"/>
      <c r="F861" s="386"/>
      <c r="G861" s="14"/>
      <c r="H861" s="14"/>
      <c r="I861" s="14"/>
      <c r="J861" s="14"/>
      <c r="K861" s="14"/>
      <c r="L861" s="14"/>
      <c r="M861" s="14"/>
      <c r="N861" s="28"/>
      <c r="O861" s="28"/>
      <c r="P861" s="28"/>
    </row>
    <row r="862" ht="20.25" customHeight="1">
      <c r="A862" s="393"/>
      <c r="B862" s="383"/>
      <c r="C862" s="384"/>
      <c r="D862" s="402"/>
      <c r="E862" s="31"/>
      <c r="F862" s="386"/>
      <c r="G862" s="22"/>
      <c r="H862" s="22"/>
      <c r="I862" s="22"/>
      <c r="J862" s="22"/>
      <c r="K862" s="22"/>
      <c r="L862" s="22"/>
      <c r="M862" s="22"/>
      <c r="N862" s="30"/>
      <c r="O862" s="30"/>
      <c r="P862" s="30"/>
    </row>
    <row r="863" ht="20.25" customHeight="1">
      <c r="A863" s="394"/>
      <c r="B863" s="383"/>
      <c r="C863" s="387"/>
      <c r="D863" s="402"/>
      <c r="E863" s="27"/>
      <c r="F863" s="386"/>
      <c r="G863" s="14"/>
      <c r="H863" s="14"/>
      <c r="I863" s="14"/>
      <c r="J863" s="14"/>
      <c r="K863" s="14"/>
      <c r="L863" s="14"/>
      <c r="M863" s="14"/>
      <c r="N863" s="28"/>
      <c r="O863" s="28"/>
      <c r="P863" s="28"/>
    </row>
    <row r="864" ht="20.25" customHeight="1">
      <c r="A864" s="393"/>
      <c r="B864" s="383"/>
      <c r="C864" s="384"/>
      <c r="D864" s="402"/>
      <c r="E864" s="31"/>
      <c r="F864" s="386"/>
      <c r="G864" s="22"/>
      <c r="H864" s="22"/>
      <c r="I864" s="22"/>
      <c r="J864" s="22"/>
      <c r="K864" s="22"/>
      <c r="L864" s="22"/>
      <c r="M864" s="22"/>
      <c r="N864" s="30"/>
      <c r="O864" s="30"/>
      <c r="P864" s="30"/>
    </row>
    <row r="865" ht="20.25" customHeight="1">
      <c r="A865" s="394"/>
      <c r="B865" s="383"/>
      <c r="C865" s="387"/>
      <c r="D865" s="402"/>
      <c r="E865" s="27"/>
      <c r="F865" s="386"/>
      <c r="G865" s="14"/>
      <c r="H865" s="14"/>
      <c r="I865" s="14"/>
      <c r="J865" s="14"/>
      <c r="K865" s="14"/>
      <c r="L865" s="14"/>
      <c r="M865" s="14"/>
      <c r="N865" s="28"/>
      <c r="O865" s="28"/>
      <c r="P865" s="28"/>
    </row>
    <row r="866" ht="20.25" customHeight="1">
      <c r="A866" s="393"/>
      <c r="B866" s="383"/>
      <c r="C866" s="384"/>
      <c r="D866" s="402"/>
      <c r="E866" s="31"/>
      <c r="F866" s="386"/>
      <c r="G866" s="22"/>
      <c r="H866" s="22"/>
      <c r="I866" s="22"/>
      <c r="J866" s="22"/>
      <c r="K866" s="22"/>
      <c r="L866" s="22"/>
      <c r="M866" s="22"/>
      <c r="N866" s="30"/>
      <c r="O866" s="30"/>
      <c r="P866" s="30"/>
    </row>
    <row r="867" ht="20.25" customHeight="1">
      <c r="A867" s="394"/>
      <c r="B867" s="383"/>
      <c r="C867" s="387"/>
      <c r="D867" s="402"/>
      <c r="E867" s="27"/>
      <c r="F867" s="386"/>
      <c r="G867" s="14"/>
      <c r="H867" s="14"/>
      <c r="I867" s="14"/>
      <c r="J867" s="14"/>
      <c r="K867" s="14"/>
      <c r="L867" s="14"/>
      <c r="M867" s="14"/>
      <c r="N867" s="28"/>
      <c r="O867" s="28"/>
      <c r="P867" s="28"/>
    </row>
    <row r="868" ht="20.25" customHeight="1">
      <c r="A868" s="393"/>
      <c r="B868" s="383"/>
      <c r="C868" s="384"/>
      <c r="D868" s="402"/>
      <c r="E868" s="31"/>
      <c r="F868" s="386"/>
      <c r="G868" s="22"/>
      <c r="H868" s="22"/>
      <c r="I868" s="22"/>
      <c r="J868" s="22"/>
      <c r="K868" s="22"/>
      <c r="L868" s="22"/>
      <c r="M868" s="22"/>
      <c r="N868" s="30"/>
      <c r="O868" s="30"/>
      <c r="P868" s="30"/>
    </row>
    <row r="869" ht="20.25" customHeight="1">
      <c r="A869" s="394"/>
      <c r="B869" s="383"/>
      <c r="C869" s="387"/>
      <c r="D869" s="402"/>
      <c r="E869" s="27"/>
      <c r="F869" s="386"/>
      <c r="G869" s="14"/>
      <c r="H869" s="14"/>
      <c r="I869" s="14"/>
      <c r="J869" s="14"/>
      <c r="K869" s="14"/>
      <c r="L869" s="14"/>
      <c r="M869" s="14"/>
      <c r="N869" s="28"/>
      <c r="O869" s="28"/>
      <c r="P869" s="28"/>
    </row>
    <row r="870" ht="20.25" customHeight="1">
      <c r="A870" s="393"/>
      <c r="B870" s="383"/>
      <c r="C870" s="384"/>
      <c r="D870" s="402"/>
      <c r="E870" s="31"/>
      <c r="F870" s="386"/>
      <c r="G870" s="22"/>
      <c r="H870" s="22"/>
      <c r="I870" s="22"/>
      <c r="J870" s="22"/>
      <c r="K870" s="22"/>
      <c r="L870" s="22"/>
      <c r="M870" s="22"/>
      <c r="N870" s="30"/>
      <c r="O870" s="30"/>
      <c r="P870" s="30"/>
    </row>
    <row r="871" ht="20.25" customHeight="1">
      <c r="A871" s="394"/>
      <c r="B871" s="383"/>
      <c r="C871" s="387"/>
      <c r="D871" s="402"/>
      <c r="E871" s="27"/>
      <c r="F871" s="386"/>
      <c r="G871" s="14"/>
      <c r="H871" s="14"/>
      <c r="I871" s="14"/>
      <c r="J871" s="14"/>
      <c r="K871" s="14"/>
      <c r="L871" s="14"/>
      <c r="M871" s="14"/>
      <c r="N871" s="28"/>
      <c r="O871" s="28"/>
      <c r="P871" s="28"/>
    </row>
    <row r="872" ht="20.25" customHeight="1">
      <c r="A872" s="393"/>
      <c r="B872" s="383"/>
      <c r="C872" s="384"/>
      <c r="D872" s="402"/>
      <c r="E872" s="31"/>
      <c r="F872" s="386"/>
      <c r="G872" s="22"/>
      <c r="H872" s="22"/>
      <c r="I872" s="22"/>
      <c r="J872" s="22"/>
      <c r="K872" s="22"/>
      <c r="L872" s="22"/>
      <c r="M872" s="22"/>
      <c r="N872" s="30"/>
      <c r="O872" s="30"/>
      <c r="P872" s="30"/>
    </row>
    <row r="873" ht="20.25" customHeight="1">
      <c r="A873" s="394"/>
      <c r="B873" s="383"/>
      <c r="C873" s="387"/>
      <c r="D873" s="402"/>
      <c r="E873" s="27"/>
      <c r="F873" s="386"/>
      <c r="G873" s="14"/>
      <c r="H873" s="14"/>
      <c r="I873" s="14"/>
      <c r="J873" s="14"/>
      <c r="K873" s="14"/>
      <c r="L873" s="14"/>
      <c r="M873" s="14"/>
      <c r="N873" s="28"/>
      <c r="O873" s="28"/>
      <c r="P873" s="28"/>
    </row>
    <row r="874" ht="20.25" customHeight="1">
      <c r="A874" s="393"/>
      <c r="B874" s="383"/>
      <c r="C874" s="384"/>
      <c r="D874" s="402"/>
      <c r="E874" s="31"/>
      <c r="F874" s="386"/>
      <c r="G874" s="22"/>
      <c r="H874" s="22"/>
      <c r="I874" s="22"/>
      <c r="J874" s="22"/>
      <c r="K874" s="22"/>
      <c r="L874" s="22"/>
      <c r="M874" s="22"/>
      <c r="N874" s="30"/>
      <c r="O874" s="30"/>
      <c r="P874" s="30"/>
    </row>
    <row r="875" ht="20.25" customHeight="1">
      <c r="A875" s="394"/>
      <c r="B875" s="383"/>
      <c r="C875" s="387"/>
      <c r="D875" s="402"/>
      <c r="E875" s="27"/>
      <c r="F875" s="386"/>
      <c r="G875" s="14"/>
      <c r="H875" s="14"/>
      <c r="I875" s="14"/>
      <c r="J875" s="14"/>
      <c r="K875" s="14"/>
      <c r="L875" s="14"/>
      <c r="M875" s="14"/>
      <c r="N875" s="28"/>
      <c r="O875" s="28"/>
      <c r="P875" s="28"/>
    </row>
    <row r="876" ht="20.25" customHeight="1">
      <c r="A876" s="393"/>
      <c r="B876" s="383"/>
      <c r="C876" s="384"/>
      <c r="D876" s="402"/>
      <c r="E876" s="31"/>
      <c r="F876" s="386"/>
      <c r="G876" s="22"/>
      <c r="H876" s="22"/>
      <c r="I876" s="22"/>
      <c r="J876" s="22"/>
      <c r="K876" s="22"/>
      <c r="L876" s="22"/>
      <c r="M876" s="22"/>
      <c r="N876" s="30"/>
      <c r="O876" s="30"/>
      <c r="P876" s="30"/>
    </row>
    <row r="877" ht="20.25" customHeight="1">
      <c r="A877" s="394"/>
      <c r="B877" s="383"/>
      <c r="C877" s="387"/>
      <c r="D877" s="402"/>
      <c r="E877" s="27"/>
      <c r="F877" s="386"/>
      <c r="G877" s="14"/>
      <c r="H877" s="14"/>
      <c r="I877" s="14"/>
      <c r="J877" s="14"/>
      <c r="K877" s="14"/>
      <c r="L877" s="14"/>
      <c r="M877" s="14"/>
      <c r="N877" s="28"/>
      <c r="O877" s="28"/>
      <c r="P877" s="28"/>
    </row>
    <row r="878" ht="20.25" customHeight="1">
      <c r="A878" s="393"/>
      <c r="B878" s="383"/>
      <c r="C878" s="384"/>
      <c r="D878" s="402"/>
      <c r="E878" s="31"/>
      <c r="F878" s="386"/>
      <c r="G878" s="22"/>
      <c r="H878" s="22"/>
      <c r="I878" s="22"/>
      <c r="J878" s="22"/>
      <c r="K878" s="22"/>
      <c r="L878" s="22"/>
      <c r="M878" s="22"/>
      <c r="N878" s="30"/>
      <c r="O878" s="30"/>
      <c r="P878" s="30"/>
    </row>
    <row r="879" ht="20.25" customHeight="1">
      <c r="A879" s="394"/>
      <c r="B879" s="383"/>
      <c r="C879" s="387"/>
      <c r="D879" s="402"/>
      <c r="E879" s="27"/>
      <c r="F879" s="386"/>
      <c r="G879" s="14"/>
      <c r="H879" s="14"/>
      <c r="I879" s="14"/>
      <c r="J879" s="14"/>
      <c r="K879" s="14"/>
      <c r="L879" s="14"/>
      <c r="M879" s="14"/>
      <c r="N879" s="28"/>
      <c r="O879" s="28"/>
      <c r="P879" s="28"/>
    </row>
    <row r="880" ht="20.25" customHeight="1">
      <c r="A880" s="393"/>
      <c r="B880" s="383"/>
      <c r="C880" s="384"/>
      <c r="D880" s="402"/>
      <c r="E880" s="31"/>
      <c r="F880" s="386"/>
      <c r="G880" s="22"/>
      <c r="H880" s="22"/>
      <c r="I880" s="22"/>
      <c r="J880" s="22"/>
      <c r="K880" s="22"/>
      <c r="L880" s="22"/>
      <c r="M880" s="22"/>
      <c r="N880" s="30"/>
      <c r="O880" s="30"/>
      <c r="P880" s="30"/>
    </row>
    <row r="881" ht="20.25" customHeight="1">
      <c r="A881" s="394"/>
      <c r="B881" s="383"/>
      <c r="C881" s="387"/>
      <c r="D881" s="402"/>
      <c r="E881" s="27"/>
      <c r="F881" s="386"/>
      <c r="G881" s="14"/>
      <c r="H881" s="14"/>
      <c r="I881" s="14"/>
      <c r="J881" s="14"/>
      <c r="K881" s="14"/>
      <c r="L881" s="14"/>
      <c r="M881" s="14"/>
      <c r="N881" s="28"/>
      <c r="O881" s="28"/>
      <c r="P881" s="28"/>
    </row>
    <row r="882" ht="20.25" customHeight="1">
      <c r="A882" s="393"/>
      <c r="B882" s="383"/>
      <c r="C882" s="384"/>
      <c r="D882" s="402"/>
      <c r="E882" s="31"/>
      <c r="F882" s="386"/>
      <c r="G882" s="22"/>
      <c r="H882" s="22"/>
      <c r="I882" s="22"/>
      <c r="J882" s="22"/>
      <c r="K882" s="22"/>
      <c r="L882" s="22"/>
      <c r="M882" s="22"/>
      <c r="N882" s="30"/>
      <c r="O882" s="30"/>
      <c r="P882" s="30"/>
    </row>
    <row r="883" ht="20.25" customHeight="1">
      <c r="A883" s="394"/>
      <c r="B883" s="383"/>
      <c r="C883" s="387"/>
      <c r="D883" s="402"/>
      <c r="E883" s="27"/>
      <c r="F883" s="386"/>
      <c r="G883" s="14"/>
      <c r="H883" s="14"/>
      <c r="I883" s="14"/>
      <c r="J883" s="14"/>
      <c r="K883" s="14"/>
      <c r="L883" s="14"/>
      <c r="M883" s="14"/>
      <c r="N883" s="28"/>
      <c r="O883" s="28"/>
      <c r="P883" s="28"/>
    </row>
    <row r="884" ht="20.25" customHeight="1">
      <c r="A884" s="393"/>
      <c r="B884" s="383"/>
      <c r="C884" s="384"/>
      <c r="D884" s="402"/>
      <c r="E884" s="31"/>
      <c r="F884" s="386"/>
      <c r="G884" s="22"/>
      <c r="H884" s="22"/>
      <c r="I884" s="22"/>
      <c r="J884" s="22"/>
      <c r="K884" s="22"/>
      <c r="L884" s="22"/>
      <c r="M884" s="22"/>
      <c r="N884" s="30"/>
      <c r="O884" s="30"/>
      <c r="P884" s="30"/>
    </row>
    <row r="885" ht="20.25" customHeight="1">
      <c r="A885" s="394"/>
      <c r="B885" s="383"/>
      <c r="C885" s="387"/>
      <c r="D885" s="402"/>
      <c r="E885" s="27"/>
      <c r="F885" s="386"/>
      <c r="G885" s="14"/>
      <c r="H885" s="14"/>
      <c r="I885" s="14"/>
      <c r="J885" s="14"/>
      <c r="K885" s="14"/>
      <c r="L885" s="14"/>
      <c r="M885" s="14"/>
      <c r="N885" s="28"/>
      <c r="O885" s="28"/>
      <c r="P885" s="28"/>
    </row>
    <row r="886" ht="20.25" customHeight="1">
      <c r="A886" s="393"/>
      <c r="B886" s="383"/>
      <c r="C886" s="384"/>
      <c r="D886" s="402"/>
      <c r="E886" s="31"/>
      <c r="F886" s="386"/>
      <c r="G886" s="22"/>
      <c r="H886" s="22"/>
      <c r="I886" s="22"/>
      <c r="J886" s="22"/>
      <c r="K886" s="22"/>
      <c r="L886" s="22"/>
      <c r="M886" s="22"/>
      <c r="N886" s="30"/>
      <c r="O886" s="30"/>
      <c r="P886" s="30"/>
    </row>
    <row r="887" ht="20.25" customHeight="1">
      <c r="A887" s="394"/>
      <c r="B887" s="383"/>
      <c r="C887" s="387"/>
      <c r="D887" s="402"/>
      <c r="E887" s="27"/>
      <c r="F887" s="386"/>
      <c r="G887" s="14"/>
      <c r="H887" s="14"/>
      <c r="I887" s="14"/>
      <c r="J887" s="14"/>
      <c r="K887" s="14"/>
      <c r="L887" s="14"/>
      <c r="M887" s="14"/>
      <c r="N887" s="28"/>
      <c r="O887" s="28"/>
      <c r="P887" s="28"/>
    </row>
    <row r="888" ht="20.25" customHeight="1">
      <c r="A888" s="393"/>
      <c r="B888" s="383"/>
      <c r="C888" s="384"/>
      <c r="D888" s="402"/>
      <c r="E888" s="31"/>
      <c r="F888" s="386"/>
      <c r="G888" s="22"/>
      <c r="H888" s="22"/>
      <c r="I888" s="22"/>
      <c r="J888" s="22"/>
      <c r="K888" s="22"/>
      <c r="L888" s="22"/>
      <c r="M888" s="22"/>
      <c r="N888" s="30"/>
      <c r="O888" s="30"/>
      <c r="P888" s="30"/>
    </row>
    <row r="889" ht="20.25" customHeight="1">
      <c r="A889" s="394"/>
      <c r="B889" s="383"/>
      <c r="C889" s="387"/>
      <c r="D889" s="402"/>
      <c r="E889" s="27"/>
      <c r="F889" s="386"/>
      <c r="G889" s="14"/>
      <c r="H889" s="14"/>
      <c r="I889" s="14"/>
      <c r="J889" s="14"/>
      <c r="K889" s="14"/>
      <c r="L889" s="14"/>
      <c r="M889" s="14"/>
      <c r="N889" s="28"/>
      <c r="O889" s="28"/>
      <c r="P889" s="28"/>
    </row>
    <row r="890" ht="20.25" customHeight="1">
      <c r="A890" s="393"/>
      <c r="B890" s="383"/>
      <c r="C890" s="384"/>
      <c r="D890" s="402"/>
      <c r="E890" s="31"/>
      <c r="F890" s="386"/>
      <c r="G890" s="22"/>
      <c r="H890" s="22"/>
      <c r="I890" s="22"/>
      <c r="J890" s="22"/>
      <c r="K890" s="22"/>
      <c r="L890" s="22"/>
      <c r="M890" s="22"/>
      <c r="N890" s="30"/>
      <c r="O890" s="30"/>
      <c r="P890" s="30"/>
    </row>
    <row r="891" ht="20.25" customHeight="1">
      <c r="A891" s="394"/>
      <c r="B891" s="383"/>
      <c r="C891" s="387"/>
      <c r="D891" s="402"/>
      <c r="E891" s="27"/>
      <c r="F891" s="386"/>
      <c r="G891" s="14"/>
      <c r="H891" s="14"/>
      <c r="I891" s="14"/>
      <c r="J891" s="14"/>
      <c r="K891" s="14"/>
      <c r="L891" s="14"/>
      <c r="M891" s="14"/>
      <c r="N891" s="28"/>
      <c r="O891" s="28"/>
      <c r="P891" s="28"/>
    </row>
    <row r="892" ht="20.25" customHeight="1">
      <c r="A892" s="393"/>
      <c r="B892" s="383"/>
      <c r="C892" s="384"/>
      <c r="D892" s="402"/>
      <c r="E892" s="31"/>
      <c r="F892" s="386"/>
      <c r="G892" s="22"/>
      <c r="H892" s="22"/>
      <c r="I892" s="22"/>
      <c r="J892" s="22"/>
      <c r="K892" s="22"/>
      <c r="L892" s="22"/>
      <c r="M892" s="22"/>
      <c r="N892" s="30"/>
      <c r="O892" s="30"/>
      <c r="P892" s="30"/>
    </row>
    <row r="893" ht="20.25" customHeight="1">
      <c r="A893" s="394"/>
      <c r="B893" s="383"/>
      <c r="C893" s="387"/>
      <c r="D893" s="402"/>
      <c r="E893" s="27"/>
      <c r="F893" s="386"/>
      <c r="G893" s="14"/>
      <c r="H893" s="14"/>
      <c r="I893" s="14"/>
      <c r="J893" s="14"/>
      <c r="K893" s="14"/>
      <c r="L893" s="14"/>
      <c r="M893" s="14"/>
      <c r="N893" s="28"/>
      <c r="O893" s="28"/>
      <c r="P893" s="28"/>
    </row>
    <row r="894" ht="20.25" customHeight="1">
      <c r="A894" s="393"/>
      <c r="B894" s="383"/>
      <c r="C894" s="384"/>
      <c r="D894" s="402"/>
      <c r="E894" s="31"/>
      <c r="F894" s="386"/>
      <c r="G894" s="22"/>
      <c r="H894" s="22"/>
      <c r="I894" s="22"/>
      <c r="J894" s="22"/>
      <c r="K894" s="22"/>
      <c r="L894" s="22"/>
      <c r="M894" s="22"/>
      <c r="N894" s="30"/>
      <c r="O894" s="30"/>
      <c r="P894" s="30"/>
    </row>
    <row r="895" ht="20.25" customHeight="1">
      <c r="A895" s="394"/>
      <c r="B895" s="383"/>
      <c r="C895" s="387"/>
      <c r="D895" s="402"/>
      <c r="E895" s="27"/>
      <c r="F895" s="386"/>
      <c r="G895" s="14"/>
      <c r="H895" s="14"/>
      <c r="I895" s="14"/>
      <c r="J895" s="14"/>
      <c r="K895" s="14"/>
      <c r="L895" s="14"/>
      <c r="M895" s="14"/>
      <c r="N895" s="28"/>
      <c r="O895" s="28"/>
      <c r="P895" s="28"/>
    </row>
    <row r="896" ht="20.25" customHeight="1">
      <c r="A896" s="393"/>
      <c r="B896" s="383"/>
      <c r="C896" s="384"/>
      <c r="D896" s="402"/>
      <c r="E896" s="31"/>
      <c r="F896" s="386"/>
      <c r="G896" s="22"/>
      <c r="H896" s="22"/>
      <c r="I896" s="22"/>
      <c r="J896" s="22"/>
      <c r="K896" s="22"/>
      <c r="L896" s="22"/>
      <c r="M896" s="22"/>
      <c r="N896" s="30"/>
      <c r="O896" s="30"/>
      <c r="P896" s="30"/>
    </row>
    <row r="897" ht="20.25" customHeight="1">
      <c r="A897" s="394"/>
      <c r="B897" s="383"/>
      <c r="C897" s="387"/>
      <c r="D897" s="402"/>
      <c r="E897" s="27"/>
      <c r="F897" s="386"/>
      <c r="G897" s="14"/>
      <c r="H897" s="14"/>
      <c r="I897" s="14"/>
      <c r="J897" s="14"/>
      <c r="K897" s="14"/>
      <c r="L897" s="14"/>
      <c r="M897" s="14"/>
      <c r="N897" s="28"/>
      <c r="O897" s="28"/>
      <c r="P897" s="28"/>
    </row>
    <row r="898" ht="20.25" customHeight="1">
      <c r="A898" s="393"/>
      <c r="B898" s="383"/>
      <c r="C898" s="384"/>
      <c r="D898" s="402"/>
      <c r="E898" s="31"/>
      <c r="F898" s="386"/>
      <c r="G898" s="22"/>
      <c r="H898" s="22"/>
      <c r="I898" s="22"/>
      <c r="J898" s="22"/>
      <c r="K898" s="22"/>
      <c r="L898" s="22"/>
      <c r="M898" s="22"/>
      <c r="N898" s="30"/>
      <c r="O898" s="30"/>
      <c r="P898" s="30"/>
    </row>
    <row r="899" ht="20.25" customHeight="1">
      <c r="A899" s="394"/>
      <c r="B899" s="383"/>
      <c r="C899" s="387"/>
      <c r="D899" s="402"/>
      <c r="E899" s="27"/>
      <c r="F899" s="386"/>
      <c r="G899" s="14"/>
      <c r="H899" s="14"/>
      <c r="I899" s="14"/>
      <c r="J899" s="14"/>
      <c r="K899" s="14"/>
      <c r="L899" s="14"/>
      <c r="M899" s="14"/>
      <c r="N899" s="28"/>
      <c r="O899" s="28"/>
      <c r="P899" s="28"/>
    </row>
    <row r="900" ht="20.25" customHeight="1">
      <c r="A900" s="393"/>
      <c r="B900" s="383"/>
      <c r="C900" s="384"/>
      <c r="D900" s="402"/>
      <c r="E900" s="31"/>
      <c r="F900" s="386"/>
      <c r="G900" s="22"/>
      <c r="H900" s="22"/>
      <c r="I900" s="22"/>
      <c r="J900" s="22"/>
      <c r="K900" s="22"/>
      <c r="L900" s="22"/>
      <c r="M900" s="22"/>
      <c r="N900" s="30"/>
      <c r="O900" s="30"/>
      <c r="P900" s="30"/>
    </row>
    <row r="901" ht="20.25" customHeight="1">
      <c r="A901" s="394"/>
      <c r="B901" s="383"/>
      <c r="C901" s="387"/>
      <c r="D901" s="402"/>
      <c r="E901" s="27"/>
      <c r="F901" s="386"/>
      <c r="G901" s="14"/>
      <c r="H901" s="14"/>
      <c r="I901" s="14"/>
      <c r="J901" s="14"/>
      <c r="K901" s="14"/>
      <c r="L901" s="14"/>
      <c r="M901" s="14"/>
      <c r="N901" s="28"/>
      <c r="O901" s="28"/>
      <c r="P901" s="28"/>
    </row>
    <row r="902" ht="20.25" customHeight="1">
      <c r="A902" s="393"/>
      <c r="B902" s="383"/>
      <c r="C902" s="384"/>
      <c r="D902" s="402"/>
      <c r="E902" s="31"/>
      <c r="F902" s="386"/>
      <c r="G902" s="22"/>
      <c r="H902" s="22"/>
      <c r="I902" s="22"/>
      <c r="J902" s="22"/>
      <c r="K902" s="22"/>
      <c r="L902" s="22"/>
      <c r="M902" s="22"/>
      <c r="N902" s="30"/>
      <c r="O902" s="30"/>
      <c r="P902" s="30"/>
    </row>
    <row r="903" ht="20.25" customHeight="1">
      <c r="A903" s="394"/>
      <c r="B903" s="383"/>
      <c r="C903" s="387"/>
      <c r="D903" s="402"/>
      <c r="E903" s="27"/>
      <c r="F903" s="386"/>
      <c r="G903" s="14"/>
      <c r="H903" s="14"/>
      <c r="I903" s="14"/>
      <c r="J903" s="14"/>
      <c r="K903" s="14"/>
      <c r="L903" s="14"/>
      <c r="M903" s="14"/>
      <c r="N903" s="28"/>
      <c r="O903" s="28"/>
      <c r="P903" s="28"/>
    </row>
    <row r="904" ht="20.25" customHeight="1">
      <c r="A904" s="393"/>
      <c r="B904" s="383"/>
      <c r="C904" s="384"/>
      <c r="D904" s="402"/>
      <c r="E904" s="31"/>
      <c r="F904" s="386"/>
      <c r="G904" s="22"/>
      <c r="H904" s="22"/>
      <c r="I904" s="22"/>
      <c r="J904" s="22"/>
      <c r="K904" s="22"/>
      <c r="L904" s="22"/>
      <c r="M904" s="22"/>
      <c r="N904" s="30"/>
      <c r="O904" s="30"/>
      <c r="P904" s="30"/>
    </row>
    <row r="905" ht="20.25" customHeight="1">
      <c r="A905" s="394"/>
      <c r="B905" s="383"/>
      <c r="C905" s="387"/>
      <c r="D905" s="402"/>
      <c r="E905" s="27"/>
      <c r="F905" s="386"/>
      <c r="G905" s="14"/>
      <c r="H905" s="14"/>
      <c r="I905" s="14"/>
      <c r="J905" s="14"/>
      <c r="K905" s="14"/>
      <c r="L905" s="14"/>
      <c r="M905" s="14"/>
      <c r="N905" s="28"/>
      <c r="O905" s="28"/>
      <c r="P905" s="28"/>
    </row>
    <row r="906" ht="20.25" customHeight="1">
      <c r="A906" s="393"/>
      <c r="B906" s="383"/>
      <c r="C906" s="384"/>
      <c r="D906" s="402"/>
      <c r="E906" s="31"/>
      <c r="F906" s="386"/>
      <c r="G906" s="22"/>
      <c r="H906" s="22"/>
      <c r="I906" s="22"/>
      <c r="J906" s="22"/>
      <c r="K906" s="22"/>
      <c r="L906" s="22"/>
      <c r="M906" s="22"/>
      <c r="N906" s="30"/>
      <c r="O906" s="30"/>
      <c r="P906" s="30"/>
    </row>
    <row r="907" ht="20.25" customHeight="1">
      <c r="A907" s="394"/>
      <c r="B907" s="383"/>
      <c r="C907" s="387"/>
      <c r="D907" s="402"/>
      <c r="E907" s="27"/>
      <c r="F907" s="386"/>
      <c r="G907" s="14"/>
      <c r="H907" s="14"/>
      <c r="I907" s="14"/>
      <c r="J907" s="14"/>
      <c r="K907" s="14"/>
      <c r="L907" s="14"/>
      <c r="M907" s="14"/>
      <c r="N907" s="28"/>
      <c r="O907" s="28"/>
      <c r="P907" s="28"/>
    </row>
    <row r="908" ht="20.25" customHeight="1">
      <c r="A908" s="393"/>
      <c r="B908" s="383"/>
      <c r="C908" s="384"/>
      <c r="D908" s="402"/>
      <c r="E908" s="31"/>
      <c r="F908" s="386"/>
      <c r="G908" s="22"/>
      <c r="H908" s="22"/>
      <c r="I908" s="22"/>
      <c r="J908" s="22"/>
      <c r="K908" s="22"/>
      <c r="L908" s="22"/>
      <c r="M908" s="22"/>
      <c r="N908" s="30"/>
      <c r="O908" s="30"/>
      <c r="P908" s="30"/>
    </row>
    <row r="909" ht="20.25" customHeight="1">
      <c r="A909" s="394"/>
      <c r="B909" s="383"/>
      <c r="C909" s="387"/>
      <c r="D909" s="402"/>
      <c r="E909" s="27"/>
      <c r="F909" s="386"/>
      <c r="G909" s="14"/>
      <c r="H909" s="14"/>
      <c r="I909" s="14"/>
      <c r="J909" s="14"/>
      <c r="K909" s="14"/>
      <c r="L909" s="14"/>
      <c r="M909" s="14"/>
      <c r="N909" s="28"/>
      <c r="O909" s="28"/>
      <c r="P909" s="28"/>
    </row>
    <row r="910" ht="20.25" customHeight="1">
      <c r="A910" s="393"/>
      <c r="B910" s="383"/>
      <c r="C910" s="384"/>
      <c r="D910" s="402"/>
      <c r="E910" s="31"/>
      <c r="F910" s="386"/>
      <c r="G910" s="22"/>
      <c r="H910" s="22"/>
      <c r="I910" s="22"/>
      <c r="J910" s="22"/>
      <c r="K910" s="22"/>
      <c r="L910" s="22"/>
      <c r="M910" s="22"/>
      <c r="N910" s="30"/>
      <c r="O910" s="30"/>
      <c r="P910" s="30"/>
    </row>
    <row r="911" ht="20.25" customHeight="1">
      <c r="A911" s="394"/>
      <c r="B911" s="383"/>
      <c r="C911" s="387"/>
      <c r="D911" s="402"/>
      <c r="E911" s="27"/>
      <c r="F911" s="386"/>
      <c r="G911" s="14"/>
      <c r="H911" s="14"/>
      <c r="I911" s="14"/>
      <c r="J911" s="14"/>
      <c r="K911" s="14"/>
      <c r="L911" s="14"/>
      <c r="M911" s="14"/>
      <c r="N911" s="28"/>
      <c r="O911" s="28"/>
      <c r="P911" s="28"/>
    </row>
    <row r="912" ht="20.25" customHeight="1">
      <c r="A912" s="393"/>
      <c r="B912" s="383"/>
      <c r="C912" s="384"/>
      <c r="D912" s="402"/>
      <c r="E912" s="31"/>
      <c r="F912" s="386"/>
      <c r="G912" s="22"/>
      <c r="H912" s="22"/>
      <c r="I912" s="22"/>
      <c r="J912" s="22"/>
      <c r="K912" s="22"/>
      <c r="L912" s="22"/>
      <c r="M912" s="22"/>
      <c r="N912" s="30"/>
      <c r="O912" s="30"/>
      <c r="P912" s="30"/>
    </row>
    <row r="913" ht="20.25" customHeight="1">
      <c r="A913" s="394"/>
      <c r="B913" s="383"/>
      <c r="C913" s="387"/>
      <c r="D913" s="402"/>
      <c r="E913" s="27"/>
      <c r="F913" s="386"/>
      <c r="G913" s="14"/>
      <c r="H913" s="14"/>
      <c r="I913" s="14"/>
      <c r="J913" s="14"/>
      <c r="K913" s="14"/>
      <c r="L913" s="14"/>
      <c r="M913" s="14"/>
      <c r="N913" s="28"/>
      <c r="O913" s="28"/>
      <c r="P913" s="28"/>
    </row>
    <row r="914" ht="20.25" customHeight="1">
      <c r="A914" s="393"/>
      <c r="B914" s="383"/>
      <c r="C914" s="384"/>
      <c r="D914" s="402"/>
      <c r="E914" s="31"/>
      <c r="F914" s="386"/>
      <c r="G914" s="22"/>
      <c r="H914" s="22"/>
      <c r="I914" s="22"/>
      <c r="J914" s="22"/>
      <c r="K914" s="22"/>
      <c r="L914" s="22"/>
      <c r="M914" s="22"/>
      <c r="N914" s="30"/>
      <c r="O914" s="30"/>
      <c r="P914" s="30"/>
    </row>
    <row r="915" ht="20.25" customHeight="1">
      <c r="A915" s="394"/>
      <c r="B915" s="383"/>
      <c r="C915" s="387"/>
      <c r="D915" s="402"/>
      <c r="E915" s="27"/>
      <c r="F915" s="386"/>
      <c r="G915" s="14"/>
      <c r="H915" s="14"/>
      <c r="I915" s="14"/>
      <c r="J915" s="14"/>
      <c r="K915" s="14"/>
      <c r="L915" s="14"/>
      <c r="M915" s="14"/>
      <c r="N915" s="28"/>
      <c r="O915" s="28"/>
      <c r="P915" s="28"/>
    </row>
    <row r="916" ht="20.25" customHeight="1">
      <c r="A916" s="393"/>
      <c r="B916" s="383"/>
      <c r="C916" s="384"/>
      <c r="D916" s="402"/>
      <c r="E916" s="31"/>
      <c r="F916" s="386"/>
      <c r="G916" s="22"/>
      <c r="H916" s="22"/>
      <c r="I916" s="22"/>
      <c r="J916" s="22"/>
      <c r="K916" s="22"/>
      <c r="L916" s="22"/>
      <c r="M916" s="22"/>
      <c r="N916" s="30"/>
      <c r="O916" s="30"/>
      <c r="P916" s="30"/>
    </row>
    <row r="917" ht="20.25" customHeight="1">
      <c r="A917" s="394"/>
      <c r="B917" s="383"/>
      <c r="C917" s="387"/>
      <c r="D917" s="402"/>
      <c r="E917" s="27"/>
      <c r="F917" s="386"/>
      <c r="G917" s="14"/>
      <c r="H917" s="14"/>
      <c r="I917" s="14"/>
      <c r="J917" s="14"/>
      <c r="K917" s="14"/>
      <c r="L917" s="14"/>
      <c r="M917" s="14"/>
      <c r="N917" s="28"/>
      <c r="O917" s="28"/>
      <c r="P917" s="28"/>
    </row>
    <row r="918" ht="20.25" customHeight="1">
      <c r="A918" s="393"/>
      <c r="B918" s="383"/>
      <c r="C918" s="384"/>
      <c r="D918" s="402"/>
      <c r="E918" s="31"/>
      <c r="F918" s="386"/>
      <c r="G918" s="22"/>
      <c r="H918" s="22"/>
      <c r="I918" s="22"/>
      <c r="J918" s="22"/>
      <c r="K918" s="22"/>
      <c r="L918" s="22"/>
      <c r="M918" s="22"/>
      <c r="N918" s="30"/>
      <c r="O918" s="30"/>
      <c r="P918" s="30"/>
    </row>
    <row r="919" ht="20.25" customHeight="1">
      <c r="A919" s="394"/>
      <c r="B919" s="383"/>
      <c r="C919" s="387"/>
      <c r="D919" s="402"/>
      <c r="E919" s="27"/>
      <c r="F919" s="386"/>
      <c r="G919" s="14"/>
      <c r="H919" s="14"/>
      <c r="I919" s="14"/>
      <c r="J919" s="14"/>
      <c r="K919" s="14"/>
      <c r="L919" s="14"/>
      <c r="M919" s="14"/>
      <c r="N919" s="28"/>
      <c r="O919" s="28"/>
      <c r="P919" s="28"/>
    </row>
    <row r="920" ht="20.25" customHeight="1">
      <c r="A920" s="393"/>
      <c r="B920" s="383"/>
      <c r="C920" s="384"/>
      <c r="D920" s="402"/>
      <c r="E920" s="31"/>
      <c r="F920" s="386"/>
      <c r="G920" s="22"/>
      <c r="H920" s="22"/>
      <c r="I920" s="22"/>
      <c r="J920" s="22"/>
      <c r="K920" s="22"/>
      <c r="L920" s="22"/>
      <c r="M920" s="22"/>
      <c r="N920" s="30"/>
      <c r="O920" s="30"/>
      <c r="P920" s="30"/>
    </row>
    <row r="921" ht="20.25" customHeight="1">
      <c r="A921" s="394"/>
      <c r="B921" s="383"/>
      <c r="C921" s="387"/>
      <c r="D921" s="402"/>
      <c r="E921" s="27"/>
      <c r="F921" s="386"/>
      <c r="G921" s="14"/>
      <c r="H921" s="14"/>
      <c r="I921" s="14"/>
      <c r="J921" s="14"/>
      <c r="K921" s="14"/>
      <c r="L921" s="14"/>
      <c r="M921" s="14"/>
      <c r="N921" s="28"/>
      <c r="O921" s="28"/>
      <c r="P921" s="28"/>
    </row>
    <row r="922" ht="20.25" customHeight="1">
      <c r="A922" s="393"/>
      <c r="B922" s="383"/>
      <c r="C922" s="384"/>
      <c r="D922" s="402"/>
      <c r="E922" s="31"/>
      <c r="F922" s="386"/>
      <c r="G922" s="22"/>
      <c r="H922" s="22"/>
      <c r="I922" s="22"/>
      <c r="J922" s="22"/>
      <c r="K922" s="22"/>
      <c r="L922" s="22"/>
      <c r="M922" s="22"/>
      <c r="N922" s="30"/>
      <c r="O922" s="30"/>
      <c r="P922" s="30"/>
    </row>
    <row r="923" ht="20.25" customHeight="1">
      <c r="A923" s="394"/>
      <c r="B923" s="383"/>
      <c r="C923" s="387"/>
      <c r="D923" s="402"/>
      <c r="E923" s="27"/>
      <c r="F923" s="386"/>
      <c r="G923" s="14"/>
      <c r="H923" s="14"/>
      <c r="I923" s="14"/>
      <c r="J923" s="14"/>
      <c r="K923" s="14"/>
      <c r="L923" s="14"/>
      <c r="M923" s="14"/>
      <c r="N923" s="28"/>
      <c r="O923" s="28"/>
      <c r="P923" s="28"/>
    </row>
    <row r="924" ht="20.25" customHeight="1">
      <c r="A924" s="393"/>
      <c r="B924" s="383"/>
      <c r="C924" s="384"/>
      <c r="D924" s="402"/>
      <c r="E924" s="31"/>
      <c r="F924" s="386"/>
      <c r="G924" s="22"/>
      <c r="H924" s="22"/>
      <c r="I924" s="22"/>
      <c r="J924" s="22"/>
      <c r="K924" s="22"/>
      <c r="L924" s="22"/>
      <c r="M924" s="22"/>
      <c r="N924" s="30"/>
      <c r="O924" s="30"/>
      <c r="P924" s="30"/>
    </row>
    <row r="925" ht="20.25" customHeight="1">
      <c r="A925" s="394"/>
      <c r="B925" s="383"/>
      <c r="C925" s="387"/>
      <c r="D925" s="402"/>
      <c r="E925" s="27"/>
      <c r="F925" s="386"/>
      <c r="G925" s="14"/>
      <c r="H925" s="14"/>
      <c r="I925" s="14"/>
      <c r="J925" s="14"/>
      <c r="K925" s="14"/>
      <c r="L925" s="14"/>
      <c r="M925" s="14"/>
      <c r="N925" s="28"/>
      <c r="O925" s="28"/>
      <c r="P925" s="28"/>
    </row>
    <row r="926" ht="20.25" customHeight="1">
      <c r="A926" s="393"/>
      <c r="B926" s="383"/>
      <c r="C926" s="384"/>
      <c r="D926" s="402"/>
      <c r="E926" s="31"/>
      <c r="F926" s="386"/>
      <c r="G926" s="22"/>
      <c r="H926" s="22"/>
      <c r="I926" s="22"/>
      <c r="J926" s="22"/>
      <c r="K926" s="22"/>
      <c r="L926" s="22"/>
      <c r="M926" s="22"/>
      <c r="N926" s="30"/>
      <c r="O926" s="30"/>
      <c r="P926" s="30"/>
    </row>
    <row r="927" ht="20.25" customHeight="1">
      <c r="A927" s="394"/>
      <c r="B927" s="383"/>
      <c r="C927" s="387"/>
      <c r="D927" s="402"/>
      <c r="E927" s="27"/>
      <c r="F927" s="386"/>
      <c r="G927" s="14"/>
      <c r="H927" s="14"/>
      <c r="I927" s="14"/>
      <c r="J927" s="14"/>
      <c r="K927" s="14"/>
      <c r="L927" s="14"/>
      <c r="M927" s="14"/>
      <c r="N927" s="28"/>
      <c r="O927" s="28"/>
      <c r="P927" s="28"/>
    </row>
    <row r="928" ht="20.25" customHeight="1">
      <c r="A928" s="393"/>
      <c r="B928" s="383"/>
      <c r="C928" s="384"/>
      <c r="D928" s="402"/>
      <c r="E928" s="31"/>
      <c r="F928" s="386"/>
      <c r="G928" s="22"/>
      <c r="H928" s="22"/>
      <c r="I928" s="22"/>
      <c r="J928" s="22"/>
      <c r="K928" s="22"/>
      <c r="L928" s="22"/>
      <c r="M928" s="22"/>
      <c r="N928" s="30"/>
      <c r="O928" s="30"/>
      <c r="P928" s="30"/>
    </row>
    <row r="929" ht="20.25" customHeight="1">
      <c r="A929" s="394"/>
      <c r="B929" s="383"/>
      <c r="C929" s="387"/>
      <c r="D929" s="402"/>
      <c r="E929" s="27"/>
      <c r="F929" s="386"/>
      <c r="G929" s="14"/>
      <c r="H929" s="14"/>
      <c r="I929" s="14"/>
      <c r="J929" s="14"/>
      <c r="K929" s="14"/>
      <c r="L929" s="14"/>
      <c r="M929" s="14"/>
      <c r="N929" s="28"/>
      <c r="O929" s="28"/>
      <c r="P929" s="28"/>
    </row>
    <row r="930" ht="20.25" customHeight="1">
      <c r="A930" s="393"/>
      <c r="B930" s="383"/>
      <c r="C930" s="384"/>
      <c r="D930" s="402"/>
      <c r="E930" s="31"/>
      <c r="F930" s="386"/>
      <c r="G930" s="22"/>
      <c r="H930" s="22"/>
      <c r="I930" s="22"/>
      <c r="J930" s="22"/>
      <c r="K930" s="22"/>
      <c r="L930" s="22"/>
      <c r="M930" s="22"/>
      <c r="N930" s="30"/>
      <c r="O930" s="30"/>
      <c r="P930" s="30"/>
    </row>
    <row r="931" ht="20.25" customHeight="1">
      <c r="A931" s="394"/>
      <c r="B931" s="383"/>
      <c r="C931" s="387"/>
      <c r="D931" s="402"/>
      <c r="E931" s="27"/>
      <c r="F931" s="386"/>
      <c r="G931" s="14"/>
      <c r="H931" s="14"/>
      <c r="I931" s="14"/>
      <c r="J931" s="14"/>
      <c r="K931" s="14"/>
      <c r="L931" s="14"/>
      <c r="M931" s="14"/>
      <c r="N931" s="28"/>
      <c r="O931" s="28"/>
      <c r="P931" s="28"/>
    </row>
    <row r="932" ht="20.25" customHeight="1">
      <c r="A932" s="393"/>
      <c r="B932" s="383"/>
      <c r="C932" s="384"/>
      <c r="D932" s="402"/>
      <c r="E932" s="31"/>
      <c r="F932" s="386"/>
      <c r="G932" s="22"/>
      <c r="H932" s="22"/>
      <c r="I932" s="22"/>
      <c r="J932" s="22"/>
      <c r="K932" s="22"/>
      <c r="L932" s="22"/>
      <c r="M932" s="22"/>
      <c r="N932" s="30"/>
      <c r="O932" s="30"/>
      <c r="P932" s="30"/>
    </row>
    <row r="933" ht="20.25" customHeight="1">
      <c r="A933" s="394"/>
      <c r="B933" s="383"/>
      <c r="C933" s="387"/>
      <c r="D933" s="402"/>
      <c r="E933" s="27"/>
      <c r="F933" s="386"/>
      <c r="G933" s="14"/>
      <c r="H933" s="14"/>
      <c r="I933" s="14"/>
      <c r="J933" s="14"/>
      <c r="K933" s="14"/>
      <c r="L933" s="14"/>
      <c r="M933" s="14"/>
      <c r="N933" s="28"/>
      <c r="O933" s="28"/>
      <c r="P933" s="28"/>
    </row>
    <row r="934" ht="20.25" customHeight="1">
      <c r="A934" s="393"/>
      <c r="B934" s="383"/>
      <c r="C934" s="384"/>
      <c r="D934" s="402"/>
      <c r="E934" s="31"/>
      <c r="F934" s="386"/>
      <c r="G934" s="22"/>
      <c r="H934" s="22"/>
      <c r="I934" s="22"/>
      <c r="J934" s="22"/>
      <c r="K934" s="22"/>
      <c r="L934" s="22"/>
      <c r="M934" s="22"/>
      <c r="N934" s="30"/>
      <c r="O934" s="30"/>
      <c r="P934" s="30"/>
    </row>
    <row r="935" ht="20.25" customHeight="1">
      <c r="A935" s="394"/>
      <c r="B935" s="383"/>
      <c r="C935" s="387"/>
      <c r="D935" s="402"/>
      <c r="E935" s="27"/>
      <c r="F935" s="386"/>
      <c r="G935" s="14"/>
      <c r="H935" s="14"/>
      <c r="I935" s="14"/>
      <c r="J935" s="14"/>
      <c r="K935" s="14"/>
      <c r="L935" s="14"/>
      <c r="M935" s="14"/>
      <c r="N935" s="28"/>
      <c r="O935" s="28"/>
      <c r="P935" s="28"/>
    </row>
    <row r="936" ht="20.25" customHeight="1">
      <c r="A936" s="393"/>
      <c r="B936" s="383"/>
      <c r="C936" s="384"/>
      <c r="D936" s="402"/>
      <c r="E936" s="31"/>
      <c r="F936" s="386"/>
      <c r="G936" s="22"/>
      <c r="H936" s="22"/>
      <c r="I936" s="22"/>
      <c r="J936" s="22"/>
      <c r="K936" s="22"/>
      <c r="L936" s="22"/>
      <c r="M936" s="22"/>
      <c r="N936" s="30"/>
      <c r="O936" s="30"/>
      <c r="P936" s="30"/>
    </row>
    <row r="937" ht="20.25" customHeight="1">
      <c r="A937" s="394"/>
      <c r="B937" s="383"/>
      <c r="C937" s="387"/>
      <c r="D937" s="402"/>
      <c r="E937" s="27"/>
      <c r="F937" s="386"/>
      <c r="G937" s="14"/>
      <c r="H937" s="14"/>
      <c r="I937" s="14"/>
      <c r="J937" s="14"/>
      <c r="K937" s="14"/>
      <c r="L937" s="14"/>
      <c r="M937" s="14"/>
      <c r="N937" s="28"/>
      <c r="O937" s="28"/>
      <c r="P937" s="28"/>
    </row>
    <row r="938" ht="20.25" customHeight="1">
      <c r="A938" s="393"/>
      <c r="B938" s="383"/>
      <c r="C938" s="384"/>
      <c r="D938" s="402"/>
      <c r="E938" s="31"/>
      <c r="F938" s="386"/>
      <c r="G938" s="22"/>
      <c r="H938" s="22"/>
      <c r="I938" s="22"/>
      <c r="J938" s="22"/>
      <c r="K938" s="22"/>
      <c r="L938" s="22"/>
      <c r="M938" s="22"/>
      <c r="N938" s="30"/>
      <c r="O938" s="30"/>
      <c r="P938" s="30"/>
    </row>
    <row r="939" ht="20.25" customHeight="1">
      <c r="A939" s="394"/>
      <c r="B939" s="383"/>
      <c r="C939" s="387"/>
      <c r="D939" s="402"/>
      <c r="E939" s="27"/>
      <c r="F939" s="386"/>
      <c r="G939" s="14"/>
      <c r="H939" s="14"/>
      <c r="I939" s="14"/>
      <c r="J939" s="14"/>
      <c r="K939" s="14"/>
      <c r="L939" s="14"/>
      <c r="M939" s="14"/>
      <c r="N939" s="28"/>
      <c r="O939" s="28"/>
      <c r="P939" s="28"/>
    </row>
    <row r="940" ht="20.25" customHeight="1">
      <c r="A940" s="393"/>
      <c r="B940" s="383"/>
      <c r="C940" s="384"/>
      <c r="D940" s="402"/>
      <c r="E940" s="31"/>
      <c r="F940" s="386"/>
      <c r="G940" s="22"/>
      <c r="H940" s="22"/>
      <c r="I940" s="22"/>
      <c r="J940" s="22"/>
      <c r="K940" s="22"/>
      <c r="L940" s="22"/>
      <c r="M940" s="22"/>
      <c r="N940" s="30"/>
      <c r="O940" s="30"/>
      <c r="P940" s="30"/>
    </row>
    <row r="941" ht="20.25" customHeight="1">
      <c r="A941" s="394"/>
      <c r="B941" s="383"/>
      <c r="C941" s="387"/>
      <c r="D941" s="402"/>
      <c r="E941" s="27"/>
      <c r="F941" s="386"/>
      <c r="G941" s="14"/>
      <c r="H941" s="14"/>
      <c r="I941" s="14"/>
      <c r="J941" s="14"/>
      <c r="K941" s="14"/>
      <c r="L941" s="14"/>
      <c r="M941" s="14"/>
      <c r="N941" s="28"/>
      <c r="O941" s="28"/>
      <c r="P941" s="28"/>
    </row>
    <row r="942" ht="20.25" customHeight="1">
      <c r="A942" s="393"/>
      <c r="B942" s="383"/>
      <c r="C942" s="384"/>
      <c r="D942" s="402"/>
      <c r="E942" s="31"/>
      <c r="F942" s="386"/>
      <c r="G942" s="22"/>
      <c r="H942" s="22"/>
      <c r="I942" s="22"/>
      <c r="J942" s="22"/>
      <c r="K942" s="22"/>
      <c r="L942" s="22"/>
      <c r="M942" s="22"/>
      <c r="N942" s="30"/>
      <c r="O942" s="30"/>
      <c r="P942" s="30"/>
    </row>
    <row r="943" ht="20.25" customHeight="1">
      <c r="A943" s="394"/>
      <c r="B943" s="383"/>
      <c r="C943" s="387"/>
      <c r="D943" s="402"/>
      <c r="E943" s="27"/>
      <c r="F943" s="386"/>
      <c r="G943" s="14"/>
      <c r="H943" s="14"/>
      <c r="I943" s="14"/>
      <c r="J943" s="14"/>
      <c r="K943" s="14"/>
      <c r="L943" s="14"/>
      <c r="M943" s="14"/>
      <c r="N943" s="28"/>
      <c r="O943" s="28"/>
      <c r="P943" s="28"/>
    </row>
    <row r="944" ht="20.25" customHeight="1">
      <c r="A944" s="393"/>
      <c r="B944" s="383"/>
      <c r="C944" s="384"/>
      <c r="D944" s="402"/>
      <c r="E944" s="31"/>
      <c r="F944" s="386"/>
      <c r="G944" s="22"/>
      <c r="H944" s="22"/>
      <c r="I944" s="22"/>
      <c r="J944" s="22"/>
      <c r="K944" s="22"/>
      <c r="L944" s="22"/>
      <c r="M944" s="22"/>
      <c r="N944" s="30"/>
      <c r="O944" s="30"/>
      <c r="P944" s="30"/>
    </row>
    <row r="945" ht="20.25" customHeight="1">
      <c r="A945" s="394"/>
      <c r="B945" s="383"/>
      <c r="C945" s="387"/>
      <c r="D945" s="402"/>
      <c r="E945" s="27"/>
      <c r="F945" s="386"/>
      <c r="G945" s="14"/>
      <c r="H945" s="14"/>
      <c r="I945" s="14"/>
      <c r="J945" s="14"/>
      <c r="K945" s="14"/>
      <c r="L945" s="14"/>
      <c r="M945" s="14"/>
      <c r="N945" s="28"/>
      <c r="O945" s="28"/>
      <c r="P945" s="28"/>
    </row>
    <row r="946" ht="20.25" customHeight="1">
      <c r="A946" s="393"/>
      <c r="B946" s="383"/>
      <c r="C946" s="384"/>
      <c r="D946" s="402"/>
      <c r="E946" s="31"/>
      <c r="F946" s="386"/>
      <c r="G946" s="22"/>
      <c r="H946" s="22"/>
      <c r="I946" s="22"/>
      <c r="J946" s="22"/>
      <c r="K946" s="22"/>
      <c r="L946" s="22"/>
      <c r="M946" s="22"/>
      <c r="N946" s="30"/>
      <c r="O946" s="30"/>
      <c r="P946" s="30"/>
    </row>
    <row r="947" ht="20.25" customHeight="1">
      <c r="A947" s="394"/>
      <c r="B947" s="383"/>
      <c r="C947" s="387"/>
      <c r="D947" s="402"/>
      <c r="E947" s="27"/>
      <c r="F947" s="386"/>
      <c r="G947" s="14"/>
      <c r="H947" s="14"/>
      <c r="I947" s="14"/>
      <c r="J947" s="14"/>
      <c r="K947" s="14"/>
      <c r="L947" s="14"/>
      <c r="M947" s="14"/>
      <c r="N947" s="28"/>
      <c r="O947" s="28"/>
      <c r="P947" s="28"/>
    </row>
    <row r="948" ht="20.25" customHeight="1">
      <c r="A948" s="393"/>
      <c r="B948" s="383"/>
      <c r="C948" s="384"/>
      <c r="D948" s="402"/>
      <c r="E948" s="31"/>
      <c r="F948" s="386"/>
      <c r="G948" s="22"/>
      <c r="H948" s="22"/>
      <c r="I948" s="22"/>
      <c r="J948" s="22"/>
      <c r="K948" s="22"/>
      <c r="L948" s="22"/>
      <c r="M948" s="22"/>
      <c r="N948" s="30"/>
      <c r="O948" s="30"/>
      <c r="P948" s="30"/>
    </row>
    <row r="949" ht="20.25" customHeight="1">
      <c r="A949" s="394"/>
      <c r="B949" s="383"/>
      <c r="C949" s="387"/>
      <c r="D949" s="402"/>
      <c r="E949" s="27"/>
      <c r="F949" s="386"/>
      <c r="G949" s="14"/>
      <c r="H949" s="14"/>
      <c r="I949" s="14"/>
      <c r="J949" s="14"/>
      <c r="K949" s="14"/>
      <c r="L949" s="14"/>
      <c r="M949" s="14"/>
      <c r="N949" s="28"/>
      <c r="O949" s="28"/>
      <c r="P949" s="28"/>
    </row>
    <row r="950" ht="20.25" customHeight="1">
      <c r="A950" s="393"/>
      <c r="B950" s="383"/>
      <c r="C950" s="384"/>
      <c r="D950" s="402"/>
      <c r="E950" s="31"/>
      <c r="F950" s="386"/>
      <c r="G950" s="22"/>
      <c r="H950" s="22"/>
      <c r="I950" s="22"/>
      <c r="J950" s="22"/>
      <c r="K950" s="22"/>
      <c r="L950" s="22"/>
      <c r="M950" s="22"/>
      <c r="N950" s="30"/>
      <c r="O950" s="30"/>
      <c r="P950" s="30"/>
    </row>
    <row r="951" ht="20.25" customHeight="1">
      <c r="A951" s="394"/>
      <c r="B951" s="383"/>
      <c r="C951" s="387"/>
      <c r="D951" s="402"/>
      <c r="E951" s="27"/>
      <c r="F951" s="386"/>
      <c r="G951" s="14"/>
      <c r="H951" s="14"/>
      <c r="I951" s="14"/>
      <c r="J951" s="14"/>
      <c r="K951" s="14"/>
      <c r="L951" s="14"/>
      <c r="M951" s="14"/>
      <c r="N951" s="28"/>
      <c r="O951" s="28"/>
      <c r="P951" s="28"/>
    </row>
    <row r="952" ht="20.25" customHeight="1">
      <c r="A952" s="393"/>
      <c r="B952" s="383"/>
      <c r="C952" s="384"/>
      <c r="D952" s="402"/>
      <c r="E952" s="31"/>
      <c r="F952" s="386"/>
      <c r="G952" s="22"/>
      <c r="H952" s="22"/>
      <c r="I952" s="22"/>
      <c r="J952" s="22"/>
      <c r="K952" s="22"/>
      <c r="L952" s="22"/>
      <c r="M952" s="22"/>
      <c r="N952" s="30"/>
      <c r="O952" s="30"/>
      <c r="P952" s="30"/>
    </row>
    <row r="953" ht="20.25" customHeight="1">
      <c r="A953" s="394"/>
      <c r="B953" s="383"/>
      <c r="C953" s="387"/>
      <c r="D953" s="402"/>
      <c r="E953" s="27"/>
      <c r="F953" s="386"/>
      <c r="G953" s="14"/>
      <c r="H953" s="14"/>
      <c r="I953" s="14"/>
      <c r="J953" s="14"/>
      <c r="K953" s="14"/>
      <c r="L953" s="14"/>
      <c r="M953" s="14"/>
      <c r="N953" s="28"/>
      <c r="O953" s="28"/>
      <c r="P953" s="28"/>
    </row>
    <row r="954" ht="20.25" customHeight="1">
      <c r="A954" s="393"/>
      <c r="B954" s="383"/>
      <c r="C954" s="384"/>
      <c r="D954" s="402"/>
      <c r="E954" s="31"/>
      <c r="F954" s="386"/>
      <c r="G954" s="22"/>
      <c r="H954" s="22"/>
      <c r="I954" s="22"/>
      <c r="J954" s="22"/>
      <c r="K954" s="22"/>
      <c r="L954" s="22"/>
      <c r="M954" s="22"/>
      <c r="N954" s="30"/>
      <c r="O954" s="30"/>
      <c r="P954" s="30"/>
    </row>
    <row r="955" ht="20.25" customHeight="1">
      <c r="A955" s="394"/>
      <c r="B955" s="383"/>
      <c r="C955" s="387"/>
      <c r="D955" s="402"/>
      <c r="E955" s="27"/>
      <c r="F955" s="386"/>
      <c r="G955" s="14"/>
      <c r="H955" s="14"/>
      <c r="I955" s="14"/>
      <c r="J955" s="14"/>
      <c r="K955" s="14"/>
      <c r="L955" s="14"/>
      <c r="M955" s="14"/>
      <c r="N955" s="28"/>
      <c r="O955" s="28"/>
      <c r="P955" s="28"/>
    </row>
    <row r="956" ht="20.25" customHeight="1">
      <c r="A956" s="393"/>
      <c r="B956" s="383"/>
      <c r="C956" s="384"/>
      <c r="D956" s="402"/>
      <c r="E956" s="31"/>
      <c r="F956" s="386"/>
      <c r="G956" s="22"/>
      <c r="H956" s="22"/>
      <c r="I956" s="22"/>
      <c r="J956" s="22"/>
      <c r="K956" s="22"/>
      <c r="L956" s="22"/>
      <c r="M956" s="22"/>
      <c r="N956" s="30"/>
      <c r="O956" s="30"/>
      <c r="P956" s="30"/>
    </row>
    <row r="957" ht="20.25" customHeight="1">
      <c r="A957" s="394"/>
      <c r="B957" s="383"/>
      <c r="C957" s="387"/>
      <c r="D957" s="402"/>
      <c r="E957" s="27"/>
      <c r="F957" s="386"/>
      <c r="G957" s="14"/>
      <c r="H957" s="14"/>
      <c r="I957" s="14"/>
      <c r="J957" s="14"/>
      <c r="K957" s="14"/>
      <c r="L957" s="14"/>
      <c r="M957" s="14"/>
      <c r="N957" s="28"/>
      <c r="O957" s="28"/>
      <c r="P957" s="28"/>
    </row>
    <row r="958" ht="20.25" customHeight="1">
      <c r="A958" s="393"/>
      <c r="B958" s="383"/>
      <c r="C958" s="384"/>
      <c r="D958" s="402"/>
      <c r="E958" s="31"/>
      <c r="F958" s="386"/>
      <c r="G958" s="22"/>
      <c r="H958" s="22"/>
      <c r="I958" s="22"/>
      <c r="J958" s="22"/>
      <c r="K958" s="22"/>
      <c r="L958" s="22"/>
      <c r="M958" s="22"/>
      <c r="N958" s="30"/>
      <c r="O958" s="30"/>
      <c r="P958" s="30"/>
    </row>
    <row r="959" ht="20.25" customHeight="1">
      <c r="A959" s="394"/>
      <c r="B959" s="383"/>
      <c r="C959" s="387"/>
      <c r="D959" s="402"/>
      <c r="E959" s="27"/>
      <c r="F959" s="386"/>
      <c r="G959" s="14"/>
      <c r="H959" s="14"/>
      <c r="I959" s="14"/>
      <c r="J959" s="14"/>
      <c r="K959" s="14"/>
      <c r="L959" s="14"/>
      <c r="M959" s="14"/>
      <c r="N959" s="28"/>
      <c r="O959" s="28"/>
      <c r="P959" s="28"/>
    </row>
    <row r="960" ht="20.25" customHeight="1">
      <c r="A960" s="393"/>
      <c r="B960" s="383"/>
      <c r="C960" s="384"/>
      <c r="D960" s="402"/>
      <c r="E960" s="31"/>
      <c r="F960" s="386"/>
      <c r="G960" s="22"/>
      <c r="H960" s="22"/>
      <c r="I960" s="22"/>
      <c r="J960" s="22"/>
      <c r="K960" s="22"/>
      <c r="L960" s="22"/>
      <c r="M960" s="22"/>
      <c r="N960" s="30"/>
      <c r="O960" s="30"/>
      <c r="P960" s="30"/>
    </row>
    <row r="961" ht="20.25" customHeight="1">
      <c r="A961" s="394"/>
      <c r="B961" s="383"/>
      <c r="C961" s="387"/>
      <c r="D961" s="402"/>
      <c r="E961" s="27"/>
      <c r="F961" s="386"/>
      <c r="G961" s="14"/>
      <c r="H961" s="14"/>
      <c r="I961" s="14"/>
      <c r="J961" s="14"/>
      <c r="K961" s="14"/>
      <c r="L961" s="14"/>
      <c r="M961" s="14"/>
      <c r="N961" s="28"/>
      <c r="O961" s="28"/>
      <c r="P961" s="28"/>
    </row>
    <row r="962" ht="20.25" customHeight="1">
      <c r="A962" s="393"/>
      <c r="B962" s="383"/>
      <c r="C962" s="384"/>
      <c r="D962" s="402"/>
      <c r="E962" s="31"/>
      <c r="F962" s="386"/>
      <c r="G962" s="22"/>
      <c r="H962" s="22"/>
      <c r="I962" s="22"/>
      <c r="J962" s="22"/>
      <c r="K962" s="22"/>
      <c r="L962" s="22"/>
      <c r="M962" s="22"/>
      <c r="N962" s="30"/>
      <c r="O962" s="30"/>
      <c r="P962" s="30"/>
    </row>
    <row r="963" ht="20.25" customHeight="1">
      <c r="A963" s="394"/>
      <c r="B963" s="383"/>
      <c r="C963" s="387"/>
      <c r="D963" s="402"/>
      <c r="E963" s="27"/>
      <c r="F963" s="386"/>
      <c r="G963" s="14"/>
      <c r="H963" s="14"/>
      <c r="I963" s="14"/>
      <c r="J963" s="14"/>
      <c r="K963" s="14"/>
      <c r="L963" s="14"/>
      <c r="M963" s="14"/>
      <c r="N963" s="28"/>
      <c r="O963" s="28"/>
      <c r="P963" s="28"/>
    </row>
    <row r="964" ht="20.25" customHeight="1">
      <c r="A964" s="393"/>
      <c r="B964" s="383"/>
      <c r="C964" s="384"/>
      <c r="D964" s="402"/>
      <c r="E964" s="31"/>
      <c r="F964" s="386"/>
      <c r="G964" s="22"/>
      <c r="H964" s="22"/>
      <c r="I964" s="22"/>
      <c r="J964" s="22"/>
      <c r="K964" s="22"/>
      <c r="L964" s="22"/>
      <c r="M964" s="22"/>
      <c r="N964" s="30"/>
      <c r="O964" s="30"/>
      <c r="P964" s="30"/>
    </row>
    <row r="965" ht="20.25" customHeight="1">
      <c r="A965" s="394"/>
      <c r="B965" s="383"/>
      <c r="C965" s="387"/>
      <c r="D965" s="402"/>
      <c r="E965" s="27"/>
      <c r="F965" s="386"/>
      <c r="G965" s="14"/>
      <c r="H965" s="14"/>
      <c r="I965" s="14"/>
      <c r="J965" s="14"/>
      <c r="K965" s="14"/>
      <c r="L965" s="14"/>
      <c r="M965" s="14"/>
      <c r="N965" s="28"/>
      <c r="O965" s="28"/>
      <c r="P965" s="28"/>
    </row>
    <row r="966" ht="20.25" customHeight="1">
      <c r="A966" s="393"/>
      <c r="B966" s="383"/>
      <c r="C966" s="384"/>
      <c r="D966" s="402"/>
      <c r="E966" s="31"/>
      <c r="F966" s="386"/>
      <c r="G966" s="22"/>
      <c r="H966" s="22"/>
      <c r="I966" s="22"/>
      <c r="J966" s="22"/>
      <c r="K966" s="22"/>
      <c r="L966" s="22"/>
      <c r="M966" s="22"/>
      <c r="N966" s="30"/>
      <c r="O966" s="30"/>
      <c r="P966" s="30"/>
    </row>
    <row r="967" ht="20.25" customHeight="1">
      <c r="A967" s="394"/>
      <c r="B967" s="383"/>
      <c r="C967" s="387"/>
      <c r="D967" s="402"/>
      <c r="E967" s="27"/>
      <c r="F967" s="386"/>
      <c r="G967" s="14"/>
      <c r="H967" s="14"/>
      <c r="I967" s="14"/>
      <c r="J967" s="14"/>
      <c r="K967" s="14"/>
      <c r="L967" s="14"/>
      <c r="M967" s="14"/>
      <c r="N967" s="28"/>
      <c r="O967" s="28"/>
      <c r="P967" s="28"/>
    </row>
    <row r="968" ht="20.25" customHeight="1">
      <c r="A968" s="393"/>
      <c r="B968" s="383"/>
      <c r="C968" s="384"/>
      <c r="D968" s="402"/>
      <c r="E968" s="31"/>
      <c r="F968" s="386"/>
      <c r="G968" s="22"/>
      <c r="H968" s="22"/>
      <c r="I968" s="22"/>
      <c r="J968" s="22"/>
      <c r="K968" s="22"/>
      <c r="L968" s="22"/>
      <c r="M968" s="22"/>
      <c r="N968" s="30"/>
      <c r="O968" s="30"/>
      <c r="P968" s="30"/>
    </row>
    <row r="969" ht="20.25" customHeight="1">
      <c r="A969" s="394"/>
      <c r="B969" s="383"/>
      <c r="C969" s="387"/>
      <c r="D969" s="402"/>
      <c r="E969" s="27"/>
      <c r="F969" s="386"/>
      <c r="G969" s="14"/>
      <c r="H969" s="14"/>
      <c r="I969" s="14"/>
      <c r="J969" s="14"/>
      <c r="K969" s="14"/>
      <c r="L969" s="14"/>
      <c r="M969" s="14"/>
      <c r="N969" s="28"/>
      <c r="O969" s="28"/>
      <c r="P969" s="28"/>
    </row>
    <row r="970" ht="20.25" customHeight="1">
      <c r="A970" s="393"/>
      <c r="B970" s="383"/>
      <c r="C970" s="384"/>
      <c r="D970" s="402"/>
      <c r="E970" s="31"/>
      <c r="F970" s="386"/>
      <c r="G970" s="22"/>
      <c r="H970" s="22"/>
      <c r="I970" s="22"/>
      <c r="J970" s="22"/>
      <c r="K970" s="22"/>
      <c r="L970" s="22"/>
      <c r="M970" s="22"/>
      <c r="N970" s="30"/>
      <c r="O970" s="30"/>
      <c r="P970" s="30"/>
    </row>
    <row r="971" ht="20.25" customHeight="1">
      <c r="A971" s="394"/>
      <c r="B971" s="383"/>
      <c r="C971" s="387"/>
      <c r="D971" s="402"/>
      <c r="E971" s="27"/>
      <c r="F971" s="386"/>
      <c r="G971" s="14"/>
      <c r="H971" s="14"/>
      <c r="I971" s="14"/>
      <c r="J971" s="14"/>
      <c r="K971" s="14"/>
      <c r="L971" s="14"/>
      <c r="M971" s="14"/>
      <c r="N971" s="28"/>
      <c r="O971" s="28"/>
      <c r="P971" s="28"/>
    </row>
    <row r="972" ht="20.25" customHeight="1">
      <c r="A972" s="393"/>
      <c r="B972" s="383"/>
      <c r="C972" s="384"/>
      <c r="D972" s="402"/>
      <c r="E972" s="31"/>
      <c r="F972" s="386"/>
      <c r="G972" s="22"/>
      <c r="H972" s="22"/>
      <c r="I972" s="22"/>
      <c r="J972" s="22"/>
      <c r="K972" s="22"/>
      <c r="L972" s="22"/>
      <c r="M972" s="22"/>
      <c r="N972" s="30"/>
      <c r="O972" s="30"/>
      <c r="P972" s="30"/>
    </row>
    <row r="973" ht="20.25" customHeight="1">
      <c r="A973" s="394"/>
      <c r="B973" s="383"/>
      <c r="C973" s="387"/>
      <c r="D973" s="402"/>
      <c r="E973" s="27"/>
      <c r="F973" s="386"/>
      <c r="G973" s="14"/>
      <c r="H973" s="14"/>
      <c r="I973" s="14"/>
      <c r="J973" s="14"/>
      <c r="K973" s="14"/>
      <c r="L973" s="14"/>
      <c r="M973" s="14"/>
      <c r="N973" s="28"/>
      <c r="O973" s="28"/>
      <c r="P973" s="28"/>
    </row>
    <row r="974" ht="20.25" customHeight="1">
      <c r="A974" s="393"/>
      <c r="B974" s="383"/>
      <c r="C974" s="384"/>
      <c r="D974" s="402"/>
      <c r="E974" s="31"/>
      <c r="F974" s="386"/>
      <c r="G974" s="22"/>
      <c r="H974" s="22"/>
      <c r="I974" s="22"/>
      <c r="J974" s="22"/>
      <c r="K974" s="22"/>
      <c r="L974" s="22"/>
      <c r="M974" s="22"/>
      <c r="N974" s="30"/>
      <c r="O974" s="30"/>
      <c r="P974" s="30"/>
    </row>
    <row r="975" ht="20.25" customHeight="1">
      <c r="A975" s="394"/>
      <c r="B975" s="383"/>
      <c r="C975" s="387"/>
      <c r="D975" s="402"/>
      <c r="E975" s="27"/>
      <c r="F975" s="386"/>
      <c r="G975" s="14"/>
      <c r="H975" s="14"/>
      <c r="I975" s="14"/>
      <c r="J975" s="14"/>
      <c r="K975" s="14"/>
      <c r="L975" s="14"/>
      <c r="M975" s="14"/>
      <c r="N975" s="28"/>
      <c r="O975" s="28"/>
      <c r="P975" s="28"/>
    </row>
    <row r="976" ht="20.25" customHeight="1">
      <c r="A976" s="393"/>
      <c r="B976" s="383"/>
      <c r="C976" s="384"/>
      <c r="D976" s="402"/>
      <c r="E976" s="31"/>
      <c r="F976" s="386"/>
      <c r="G976" s="22"/>
      <c r="H976" s="22"/>
      <c r="I976" s="22"/>
      <c r="J976" s="22"/>
      <c r="K976" s="22"/>
      <c r="L976" s="22"/>
      <c r="M976" s="22"/>
      <c r="N976" s="30"/>
      <c r="O976" s="30"/>
      <c r="P976" s="30"/>
    </row>
    <row r="977" ht="20.25" customHeight="1">
      <c r="A977" s="394"/>
      <c r="B977" s="383"/>
      <c r="C977" s="387"/>
      <c r="D977" s="402"/>
      <c r="E977" s="27"/>
      <c r="F977" s="386"/>
      <c r="G977" s="14"/>
      <c r="H977" s="14"/>
      <c r="I977" s="14"/>
      <c r="J977" s="14"/>
      <c r="K977" s="14"/>
      <c r="L977" s="14"/>
      <c r="M977" s="14"/>
      <c r="N977" s="28"/>
      <c r="O977" s="28"/>
      <c r="P977" s="28"/>
    </row>
    <row r="978" ht="20.25" customHeight="1">
      <c r="A978" s="393"/>
      <c r="B978" s="383"/>
      <c r="C978" s="384"/>
      <c r="D978" s="402"/>
      <c r="E978" s="31"/>
      <c r="F978" s="386"/>
      <c r="G978" s="22"/>
      <c r="H978" s="22"/>
      <c r="I978" s="22"/>
      <c r="J978" s="22"/>
      <c r="K978" s="22"/>
      <c r="L978" s="22"/>
      <c r="M978" s="22"/>
      <c r="N978" s="30"/>
      <c r="O978" s="30"/>
      <c r="P978" s="30"/>
    </row>
    <row r="979" ht="20.25" customHeight="1">
      <c r="A979" s="394"/>
      <c r="B979" s="383"/>
      <c r="C979" s="387"/>
      <c r="D979" s="402"/>
      <c r="E979" s="27"/>
      <c r="F979" s="386"/>
      <c r="G979" s="14"/>
      <c r="H979" s="14"/>
      <c r="I979" s="14"/>
      <c r="J979" s="14"/>
      <c r="K979" s="14"/>
      <c r="L979" s="14"/>
      <c r="M979" s="14"/>
      <c r="N979" s="28"/>
      <c r="O979" s="28"/>
      <c r="P979" s="28"/>
    </row>
    <row r="980" ht="20.25" customHeight="1">
      <c r="A980" s="393"/>
      <c r="B980" s="383"/>
      <c r="C980" s="384"/>
      <c r="D980" s="402"/>
      <c r="E980" s="31"/>
      <c r="F980" s="386"/>
      <c r="G980" s="22"/>
      <c r="H980" s="22"/>
      <c r="I980" s="22"/>
      <c r="J980" s="22"/>
      <c r="K980" s="22"/>
      <c r="L980" s="22"/>
      <c r="M980" s="22"/>
      <c r="N980" s="30"/>
      <c r="O980" s="30"/>
      <c r="P980" s="30"/>
    </row>
    <row r="981" ht="20.25" customHeight="1">
      <c r="A981" s="394"/>
      <c r="B981" s="383"/>
      <c r="C981" s="387"/>
      <c r="D981" s="402"/>
      <c r="E981" s="27"/>
      <c r="F981" s="386"/>
      <c r="G981" s="14"/>
      <c r="H981" s="14"/>
      <c r="I981" s="14"/>
      <c r="J981" s="14"/>
      <c r="K981" s="14"/>
      <c r="L981" s="14"/>
      <c r="M981" s="14"/>
      <c r="N981" s="28"/>
      <c r="O981" s="28"/>
      <c r="P981" s="28"/>
    </row>
    <row r="982" ht="20.25" customHeight="1">
      <c r="A982" s="393"/>
      <c r="B982" s="383"/>
      <c r="C982" s="384"/>
      <c r="D982" s="402"/>
      <c r="E982" s="31"/>
      <c r="F982" s="386"/>
      <c r="G982" s="22"/>
      <c r="H982" s="22"/>
      <c r="I982" s="22"/>
      <c r="J982" s="22"/>
      <c r="K982" s="22"/>
      <c r="L982" s="22"/>
      <c r="M982" s="22"/>
      <c r="N982" s="30"/>
      <c r="O982" s="30"/>
      <c r="P982" s="30"/>
    </row>
    <row r="983" ht="20.25" customHeight="1">
      <c r="A983" s="394"/>
      <c r="B983" s="383"/>
      <c r="C983" s="387"/>
      <c r="D983" s="402"/>
      <c r="E983" s="27"/>
      <c r="F983" s="386"/>
      <c r="G983" s="14"/>
      <c r="H983" s="14"/>
      <c r="I983" s="14"/>
      <c r="J983" s="14"/>
      <c r="K983" s="14"/>
      <c r="L983" s="14"/>
      <c r="M983" s="14"/>
      <c r="N983" s="28"/>
      <c r="O983" s="28"/>
      <c r="P983" s="28"/>
    </row>
    <row r="984" ht="20.25" customHeight="1">
      <c r="A984" s="393"/>
      <c r="B984" s="383"/>
      <c r="C984" s="384"/>
      <c r="D984" s="402"/>
      <c r="E984" s="31"/>
      <c r="F984" s="386"/>
      <c r="G984" s="22"/>
      <c r="H984" s="22"/>
      <c r="I984" s="22"/>
      <c r="J984" s="22"/>
      <c r="K984" s="22"/>
      <c r="L984" s="22"/>
      <c r="M984" s="22"/>
      <c r="N984" s="30"/>
      <c r="O984" s="30"/>
      <c r="P984" s="30"/>
    </row>
    <row r="985" ht="20.25" customHeight="1">
      <c r="A985" s="394"/>
      <c r="B985" s="383"/>
      <c r="C985" s="387"/>
      <c r="D985" s="402"/>
      <c r="E985" s="27"/>
      <c r="F985" s="386"/>
      <c r="G985" s="14"/>
      <c r="H985" s="14"/>
      <c r="I985" s="14"/>
      <c r="J985" s="14"/>
      <c r="K985" s="14"/>
      <c r="L985" s="14"/>
      <c r="M985" s="14"/>
      <c r="N985" s="28"/>
      <c r="O985" s="28"/>
      <c r="P985" s="28"/>
    </row>
    <row r="986" ht="20.25" customHeight="1">
      <c r="A986" s="393"/>
      <c r="B986" s="383"/>
      <c r="C986" s="384"/>
      <c r="D986" s="402"/>
      <c r="E986" s="31"/>
      <c r="F986" s="386"/>
      <c r="G986" s="22"/>
      <c r="H986" s="22"/>
      <c r="I986" s="22"/>
      <c r="J986" s="22"/>
      <c r="K986" s="22"/>
      <c r="L986" s="22"/>
      <c r="M986" s="22"/>
      <c r="N986" s="30"/>
      <c r="O986" s="30"/>
      <c r="P986" s="30"/>
    </row>
    <row r="987" ht="20.25" customHeight="1">
      <c r="A987" s="394"/>
      <c r="B987" s="383"/>
      <c r="C987" s="387"/>
      <c r="D987" s="402"/>
      <c r="E987" s="27"/>
      <c r="F987" s="386"/>
      <c r="G987" s="14"/>
      <c r="H987" s="14"/>
      <c r="I987" s="14"/>
      <c r="J987" s="14"/>
      <c r="K987" s="14"/>
      <c r="L987" s="14"/>
      <c r="M987" s="14"/>
      <c r="N987" s="28"/>
      <c r="O987" s="28"/>
      <c r="P987" s="28"/>
    </row>
    <row r="988" ht="20.25" customHeight="1">
      <c r="A988" s="393"/>
      <c r="B988" s="383"/>
      <c r="C988" s="384"/>
      <c r="D988" s="402"/>
      <c r="E988" s="31"/>
      <c r="F988" s="386"/>
      <c r="G988" s="22"/>
      <c r="H988" s="22"/>
      <c r="I988" s="22"/>
      <c r="J988" s="22"/>
      <c r="K988" s="22"/>
      <c r="L988" s="22"/>
      <c r="M988" s="22"/>
      <c r="N988" s="30"/>
      <c r="O988" s="30"/>
      <c r="P988" s="30"/>
    </row>
    <row r="989" ht="20.25" customHeight="1">
      <c r="A989" s="394"/>
      <c r="B989" s="383"/>
      <c r="C989" s="387"/>
      <c r="D989" s="402"/>
      <c r="E989" s="27"/>
      <c r="F989" s="386"/>
      <c r="G989" s="14"/>
      <c r="H989" s="14"/>
      <c r="I989" s="14"/>
      <c r="J989" s="14"/>
      <c r="K989" s="14"/>
      <c r="L989" s="14"/>
      <c r="M989" s="14"/>
      <c r="N989" s="28"/>
      <c r="O989" s="28"/>
      <c r="P989" s="28"/>
    </row>
    <row r="990" ht="20.25" customHeight="1">
      <c r="A990" s="393"/>
      <c r="B990" s="383"/>
      <c r="C990" s="384"/>
      <c r="D990" s="402"/>
      <c r="E990" s="31"/>
      <c r="F990" s="386"/>
      <c r="G990" s="22"/>
      <c r="H990" s="22"/>
      <c r="I990" s="22"/>
      <c r="J990" s="22"/>
      <c r="K990" s="22"/>
      <c r="L990" s="22"/>
      <c r="M990" s="22"/>
      <c r="N990" s="30"/>
      <c r="O990" s="30"/>
      <c r="P990" s="30"/>
    </row>
    <row r="991" ht="20.25" customHeight="1">
      <c r="A991" s="394"/>
      <c r="B991" s="383"/>
      <c r="C991" s="387"/>
      <c r="D991" s="402"/>
      <c r="E991" s="27"/>
      <c r="F991" s="386"/>
      <c r="G991" s="14"/>
      <c r="H991" s="14"/>
      <c r="I991" s="14"/>
      <c r="J991" s="14"/>
      <c r="K991" s="14"/>
      <c r="L991" s="14"/>
      <c r="M991" s="14"/>
      <c r="N991" s="28"/>
      <c r="O991" s="28"/>
      <c r="P991" s="28"/>
    </row>
    <row r="992" ht="20.25" customHeight="1">
      <c r="A992" s="393"/>
      <c r="B992" s="383"/>
      <c r="C992" s="384"/>
      <c r="D992" s="402"/>
      <c r="E992" s="31"/>
      <c r="F992" s="386"/>
      <c r="G992" s="22"/>
      <c r="H992" s="22"/>
      <c r="I992" s="22"/>
      <c r="J992" s="22"/>
      <c r="K992" s="22"/>
      <c r="L992" s="22"/>
      <c r="M992" s="22"/>
      <c r="N992" s="30"/>
      <c r="O992" s="30"/>
      <c r="P992" s="30"/>
    </row>
    <row r="993" ht="20.25" customHeight="1">
      <c r="A993" s="394"/>
      <c r="B993" s="383"/>
      <c r="C993" s="387"/>
      <c r="D993" s="402"/>
      <c r="E993" s="27"/>
      <c r="F993" s="386"/>
      <c r="G993" s="14"/>
      <c r="H993" s="14"/>
      <c r="I993" s="14"/>
      <c r="J993" s="14"/>
      <c r="K993" s="14"/>
      <c r="L993" s="14"/>
      <c r="M993" s="14"/>
      <c r="N993" s="28"/>
      <c r="O993" s="28"/>
      <c r="P993" s="28"/>
    </row>
    <row r="994" ht="20.25" customHeight="1">
      <c r="A994" s="393"/>
      <c r="B994" s="383"/>
      <c r="C994" s="384"/>
      <c r="D994" s="402"/>
      <c r="E994" s="31"/>
      <c r="F994" s="386"/>
      <c r="G994" s="22"/>
      <c r="H994" s="22"/>
      <c r="I994" s="22"/>
      <c r="J994" s="22"/>
      <c r="K994" s="22"/>
      <c r="L994" s="22"/>
      <c r="M994" s="22"/>
      <c r="N994" s="30"/>
      <c r="O994" s="30"/>
      <c r="P994" s="30"/>
    </row>
    <row r="995" ht="20.25" customHeight="1">
      <c r="A995" s="394"/>
      <c r="B995" s="383"/>
      <c r="C995" s="387"/>
      <c r="D995" s="402"/>
      <c r="E995" s="27"/>
      <c r="F995" s="386"/>
      <c r="G995" s="14"/>
      <c r="H995" s="14"/>
      <c r="I995" s="14"/>
      <c r="J995" s="14"/>
      <c r="K995" s="14"/>
      <c r="L995" s="14"/>
      <c r="M995" s="14"/>
      <c r="N995" s="28"/>
      <c r="O995" s="28"/>
      <c r="P995" s="28"/>
    </row>
    <row r="996" ht="20.25" customHeight="1">
      <c r="A996" s="393"/>
      <c r="B996" s="383"/>
      <c r="C996" s="384"/>
      <c r="D996" s="402"/>
      <c r="E996" s="31"/>
      <c r="F996" s="386"/>
      <c r="G996" s="22"/>
      <c r="H996" s="22"/>
      <c r="I996" s="22"/>
      <c r="J996" s="22"/>
      <c r="K996" s="22"/>
      <c r="L996" s="22"/>
      <c r="M996" s="22"/>
      <c r="N996" s="30"/>
      <c r="O996" s="30"/>
      <c r="P996" s="30"/>
    </row>
    <row r="997" ht="20.25" customHeight="1">
      <c r="A997" s="394"/>
      <c r="B997" s="383"/>
      <c r="C997" s="387"/>
      <c r="D997" s="402"/>
      <c r="E997" s="27"/>
      <c r="F997" s="386"/>
      <c r="G997" s="14"/>
      <c r="H997" s="14"/>
      <c r="I997" s="14"/>
      <c r="J997" s="14"/>
      <c r="K997" s="14"/>
      <c r="L997" s="14"/>
      <c r="M997" s="14"/>
      <c r="N997" s="28"/>
      <c r="O997" s="28"/>
      <c r="P997" s="28"/>
    </row>
    <row r="998" ht="20.25" customHeight="1">
      <c r="A998" s="393"/>
      <c r="B998" s="383"/>
      <c r="C998" s="384"/>
      <c r="D998" s="402"/>
      <c r="E998" s="31"/>
      <c r="F998" s="386"/>
      <c r="G998" s="22"/>
      <c r="H998" s="22"/>
      <c r="I998" s="22"/>
      <c r="J998" s="22"/>
      <c r="K998" s="22"/>
      <c r="L998" s="22"/>
      <c r="M998" s="22"/>
      <c r="N998" s="30"/>
      <c r="O998" s="30"/>
      <c r="P998" s="30"/>
    </row>
    <row r="999" ht="20.25" customHeight="1">
      <c r="A999" s="394"/>
      <c r="B999" s="383"/>
      <c r="C999" s="387"/>
      <c r="D999" s="402"/>
      <c r="E999" s="27"/>
      <c r="F999" s="386"/>
      <c r="G999" s="14"/>
      <c r="H999" s="14"/>
      <c r="I999" s="14"/>
      <c r="J999" s="14"/>
      <c r="K999" s="14"/>
      <c r="L999" s="14"/>
      <c r="M999" s="14"/>
      <c r="N999" s="28"/>
      <c r="O999" s="28"/>
      <c r="P999" s="28"/>
    </row>
    <row r="1000" ht="20.25" customHeight="1">
      <c r="A1000" s="393"/>
      <c r="B1000" s="383"/>
      <c r="C1000" s="384"/>
      <c r="D1000" s="402"/>
      <c r="E1000" s="31"/>
      <c r="F1000" s="386"/>
      <c r="G1000" s="22"/>
      <c r="H1000" s="22"/>
      <c r="I1000" s="22"/>
      <c r="J1000" s="22"/>
      <c r="K1000" s="22"/>
      <c r="L1000" s="22"/>
      <c r="M1000" s="22"/>
      <c r="N1000" s="30"/>
      <c r="O1000" s="30"/>
      <c r="P1000" s="30"/>
    </row>
    <row r="1001" ht="20.25" customHeight="1">
      <c r="A1001" s="394"/>
      <c r="B1001" s="383"/>
      <c r="C1001" s="387"/>
      <c r="D1001" s="402"/>
      <c r="E1001" s="27"/>
      <c r="F1001" s="386"/>
      <c r="G1001" s="14"/>
      <c r="H1001" s="14"/>
      <c r="I1001" s="14"/>
      <c r="J1001" s="14"/>
      <c r="K1001" s="14"/>
      <c r="L1001" s="14"/>
      <c r="M1001" s="14"/>
      <c r="N1001" s="28"/>
      <c r="O1001" s="28"/>
      <c r="P1001" s="28"/>
    </row>
    <row r="1002" ht="20.25" customHeight="1">
      <c r="A1002" s="393"/>
      <c r="B1002" s="383"/>
      <c r="C1002" s="384"/>
      <c r="D1002" s="402"/>
      <c r="E1002" s="31"/>
      <c r="F1002" s="386"/>
      <c r="G1002" s="22"/>
      <c r="H1002" s="22"/>
      <c r="I1002" s="22"/>
      <c r="J1002" s="22"/>
      <c r="K1002" s="22"/>
      <c r="L1002" s="22"/>
      <c r="M1002" s="22"/>
      <c r="N1002" s="30"/>
      <c r="O1002" s="30"/>
      <c r="P1002" s="30"/>
    </row>
    <row r="1003" ht="20.25" customHeight="1">
      <c r="A1003" s="394"/>
      <c r="B1003" s="383"/>
      <c r="C1003" s="387"/>
      <c r="D1003" s="402"/>
      <c r="E1003" s="27"/>
      <c r="F1003" s="386"/>
      <c r="G1003" s="14"/>
      <c r="H1003" s="14"/>
      <c r="I1003" s="14"/>
      <c r="J1003" s="14"/>
      <c r="K1003" s="14"/>
      <c r="L1003" s="14"/>
      <c r="M1003" s="14"/>
      <c r="N1003" s="28"/>
      <c r="O1003" s="28"/>
      <c r="P1003" s="28"/>
    </row>
    <row r="1004" ht="20.25" customHeight="1">
      <c r="A1004" s="393"/>
      <c r="B1004" s="383"/>
      <c r="C1004" s="384"/>
      <c r="D1004" s="402"/>
      <c r="E1004" s="31"/>
      <c r="F1004" s="386"/>
      <c r="G1004" s="22"/>
      <c r="H1004" s="22"/>
      <c r="I1004" s="22"/>
      <c r="J1004" s="22"/>
      <c r="K1004" s="22"/>
      <c r="L1004" s="22"/>
      <c r="M1004" s="22"/>
      <c r="N1004" s="30"/>
      <c r="O1004" s="30"/>
      <c r="P1004" s="30"/>
    </row>
    <row r="1005" ht="20.25" customHeight="1">
      <c r="A1005" s="394"/>
      <c r="B1005" s="383"/>
      <c r="C1005" s="387"/>
      <c r="D1005" s="402"/>
      <c r="E1005" s="27"/>
      <c r="F1005" s="386"/>
      <c r="G1005" s="14"/>
      <c r="H1005" s="14"/>
      <c r="I1005" s="14"/>
      <c r="J1005" s="14"/>
      <c r="K1005" s="14"/>
      <c r="L1005" s="14"/>
      <c r="M1005" s="14"/>
      <c r="N1005" s="28"/>
      <c r="O1005" s="28"/>
      <c r="P1005" s="28"/>
    </row>
    <row r="1006" ht="20.25" customHeight="1">
      <c r="A1006" s="393"/>
      <c r="B1006" s="383"/>
      <c r="C1006" s="384"/>
      <c r="D1006" s="402"/>
      <c r="E1006" s="31"/>
      <c r="F1006" s="386"/>
      <c r="G1006" s="22"/>
      <c r="H1006" s="22"/>
      <c r="I1006" s="22"/>
      <c r="J1006" s="22"/>
      <c r="K1006" s="22"/>
      <c r="L1006" s="22"/>
      <c r="M1006" s="22"/>
      <c r="N1006" s="30"/>
      <c r="O1006" s="30"/>
      <c r="P1006" s="30"/>
    </row>
    <row r="1007" ht="20.25" customHeight="1">
      <c r="A1007" s="394"/>
      <c r="B1007" s="383"/>
      <c r="C1007" s="387"/>
      <c r="D1007" s="402"/>
      <c r="E1007" s="27"/>
      <c r="F1007" s="386"/>
      <c r="G1007" s="14"/>
      <c r="H1007" s="14"/>
      <c r="I1007" s="14"/>
      <c r="J1007" s="14"/>
      <c r="K1007" s="14"/>
      <c r="L1007" s="14"/>
      <c r="M1007" s="14"/>
      <c r="N1007" s="28"/>
      <c r="O1007" s="28"/>
      <c r="P1007" s="28"/>
    </row>
    <row r="1008" ht="20.25" customHeight="1">
      <c r="A1008" s="393"/>
      <c r="B1008" s="383"/>
      <c r="C1008" s="384"/>
      <c r="D1008" s="402"/>
      <c r="E1008" s="31"/>
      <c r="F1008" s="386"/>
      <c r="G1008" s="22"/>
      <c r="H1008" s="22"/>
      <c r="I1008" s="22"/>
      <c r="J1008" s="22"/>
      <c r="K1008" s="22"/>
      <c r="L1008" s="22"/>
      <c r="M1008" s="22"/>
      <c r="N1008" s="30"/>
      <c r="O1008" s="30"/>
      <c r="P1008" s="30"/>
    </row>
    <row r="1009" ht="20.25" customHeight="1">
      <c r="A1009" s="394"/>
      <c r="B1009" s="383"/>
      <c r="C1009" s="387"/>
      <c r="D1009" s="402"/>
      <c r="E1009" s="27"/>
      <c r="F1009" s="386"/>
      <c r="G1009" s="14"/>
      <c r="H1009" s="14"/>
      <c r="I1009" s="14"/>
      <c r="J1009" s="14"/>
      <c r="K1009" s="14"/>
      <c r="L1009" s="14"/>
      <c r="M1009" s="14"/>
      <c r="N1009" s="28"/>
      <c r="O1009" s="28"/>
      <c r="P1009" s="28"/>
    </row>
    <row r="1010" ht="20.25" customHeight="1">
      <c r="A1010" s="393"/>
      <c r="B1010" s="383"/>
      <c r="C1010" s="384"/>
      <c r="D1010" s="402"/>
      <c r="E1010" s="31"/>
      <c r="F1010" s="386"/>
      <c r="G1010" s="22"/>
      <c r="H1010" s="22"/>
      <c r="I1010" s="22"/>
      <c r="J1010" s="22"/>
      <c r="K1010" s="22"/>
      <c r="L1010" s="22"/>
      <c r="M1010" s="22"/>
      <c r="N1010" s="30"/>
      <c r="O1010" s="30"/>
      <c r="P1010" s="30"/>
    </row>
    <row r="1011" ht="20.25" customHeight="1">
      <c r="A1011" s="394"/>
      <c r="B1011" s="383"/>
      <c r="C1011" s="387"/>
      <c r="D1011" s="402"/>
      <c r="E1011" s="27"/>
      <c r="F1011" s="386"/>
      <c r="G1011" s="14"/>
      <c r="H1011" s="14"/>
      <c r="I1011" s="14"/>
      <c r="J1011" s="14"/>
      <c r="K1011" s="14"/>
      <c r="L1011" s="14"/>
      <c r="M1011" s="14"/>
      <c r="N1011" s="28"/>
      <c r="O1011" s="28"/>
      <c r="P1011" s="28"/>
    </row>
    <row r="1012" ht="20.25" customHeight="1">
      <c r="A1012" s="393"/>
      <c r="B1012" s="383"/>
      <c r="C1012" s="384"/>
      <c r="D1012" s="402"/>
      <c r="E1012" s="31"/>
      <c r="F1012" s="386"/>
      <c r="G1012" s="22"/>
      <c r="H1012" s="22"/>
      <c r="I1012" s="22"/>
      <c r="J1012" s="22"/>
      <c r="K1012" s="22"/>
      <c r="L1012" s="22"/>
      <c r="M1012" s="22"/>
      <c r="N1012" s="30"/>
      <c r="O1012" s="30"/>
      <c r="P1012" s="30"/>
    </row>
    <row r="1013" ht="20.25" customHeight="1">
      <c r="A1013" s="394"/>
      <c r="B1013" s="383"/>
      <c r="C1013" s="387"/>
      <c r="D1013" s="402"/>
      <c r="E1013" s="27"/>
      <c r="F1013" s="386"/>
      <c r="G1013" s="14"/>
      <c r="H1013" s="14"/>
      <c r="I1013" s="14"/>
      <c r="J1013" s="14"/>
      <c r="K1013" s="14"/>
      <c r="L1013" s="14"/>
      <c r="M1013" s="14"/>
      <c r="N1013" s="28"/>
      <c r="O1013" s="28"/>
      <c r="P1013" s="28"/>
    </row>
  </sheetData>
  <mergeCells count="929">
    <mergeCell ref="E21:E22"/>
    <mergeCell ref="E23:E24"/>
    <mergeCell ref="A21:A22"/>
    <mergeCell ref="B21:B22"/>
    <mergeCell ref="C21:C22"/>
    <mergeCell ref="D21:D22"/>
    <mergeCell ref="F21:F22"/>
    <mergeCell ref="B23:B24"/>
    <mergeCell ref="F23:F24"/>
    <mergeCell ref="A1:B3"/>
    <mergeCell ref="C1:F3"/>
    <mergeCell ref="B7:B8"/>
    <mergeCell ref="C7:C8"/>
    <mergeCell ref="D7:D8"/>
    <mergeCell ref="E7:E8"/>
    <mergeCell ref="F7:F8"/>
    <mergeCell ref="A7:A8"/>
    <mergeCell ref="A9:A10"/>
    <mergeCell ref="B9:B10"/>
    <mergeCell ref="C9:C10"/>
    <mergeCell ref="D9:D10"/>
    <mergeCell ref="E9:E10"/>
    <mergeCell ref="F9:F10"/>
    <mergeCell ref="D13:D14"/>
    <mergeCell ref="E13:E14"/>
    <mergeCell ref="D15:D16"/>
    <mergeCell ref="E15:E16"/>
    <mergeCell ref="F15:F16"/>
    <mergeCell ref="D17:D18"/>
    <mergeCell ref="E17:E18"/>
    <mergeCell ref="F17:F18"/>
    <mergeCell ref="A11:A12"/>
    <mergeCell ref="B11:B12"/>
    <mergeCell ref="C11:C12"/>
    <mergeCell ref="D11:D12"/>
    <mergeCell ref="E11:E12"/>
    <mergeCell ref="F11:F12"/>
    <mergeCell ref="A13:A14"/>
    <mergeCell ref="F13:F14"/>
    <mergeCell ref="A17:A18"/>
    <mergeCell ref="A19:A20"/>
    <mergeCell ref="B19:B20"/>
    <mergeCell ref="C19:C20"/>
    <mergeCell ref="D19:D20"/>
    <mergeCell ref="E19:E20"/>
    <mergeCell ref="F19:F20"/>
    <mergeCell ref="B13:B14"/>
    <mergeCell ref="C13:C14"/>
    <mergeCell ref="A15:A16"/>
    <mergeCell ref="B15:B16"/>
    <mergeCell ref="C15:C16"/>
    <mergeCell ref="B17:B18"/>
    <mergeCell ref="C17:C18"/>
    <mergeCell ref="A23:A24"/>
    <mergeCell ref="A25:A26"/>
    <mergeCell ref="B25:B26"/>
    <mergeCell ref="C25:C26"/>
    <mergeCell ref="D25:D26"/>
    <mergeCell ref="E25:E26"/>
    <mergeCell ref="F25:F26"/>
    <mergeCell ref="A39:A40"/>
    <mergeCell ref="B39:B40"/>
    <mergeCell ref="E39:E40"/>
    <mergeCell ref="F39:F40"/>
    <mergeCell ref="B41:B42"/>
    <mergeCell ref="C41:C42"/>
    <mergeCell ref="F41:F42"/>
    <mergeCell ref="A41:A42"/>
    <mergeCell ref="A43:A44"/>
    <mergeCell ref="B43:B44"/>
    <mergeCell ref="C43:C44"/>
    <mergeCell ref="D43:D44"/>
    <mergeCell ref="E43:E44"/>
    <mergeCell ref="F43:F44"/>
    <mergeCell ref="E45:E46"/>
    <mergeCell ref="E47:E48"/>
    <mergeCell ref="A45:A46"/>
    <mergeCell ref="B45:B46"/>
    <mergeCell ref="C45:C46"/>
    <mergeCell ref="D45:D46"/>
    <mergeCell ref="F45:F46"/>
    <mergeCell ref="B47:B48"/>
    <mergeCell ref="F47:F48"/>
    <mergeCell ref="D29:D30"/>
    <mergeCell ref="E29:E30"/>
    <mergeCell ref="D31:D32"/>
    <mergeCell ref="E31:E32"/>
    <mergeCell ref="F31:F32"/>
    <mergeCell ref="E33:E34"/>
    <mergeCell ref="F33:F34"/>
    <mergeCell ref="A27:A28"/>
    <mergeCell ref="B27:B28"/>
    <mergeCell ref="C27:C28"/>
    <mergeCell ref="D27:D28"/>
    <mergeCell ref="E27:E28"/>
    <mergeCell ref="F27:F28"/>
    <mergeCell ref="A29:A30"/>
    <mergeCell ref="F29:F30"/>
    <mergeCell ref="B35:B36"/>
    <mergeCell ref="C35:C36"/>
    <mergeCell ref="D35:D36"/>
    <mergeCell ref="E35:E36"/>
    <mergeCell ref="F35:F36"/>
    <mergeCell ref="A37:A38"/>
    <mergeCell ref="B37:B38"/>
    <mergeCell ref="C37:C38"/>
    <mergeCell ref="D37:D38"/>
    <mergeCell ref="E37:E38"/>
    <mergeCell ref="F37:F38"/>
    <mergeCell ref="B29:B30"/>
    <mergeCell ref="C29:C30"/>
    <mergeCell ref="A31:A32"/>
    <mergeCell ref="B31:B32"/>
    <mergeCell ref="C31:C32"/>
    <mergeCell ref="A33:A34"/>
    <mergeCell ref="A35:A36"/>
    <mergeCell ref="D41:D42"/>
    <mergeCell ref="E41:E42"/>
    <mergeCell ref="A47:A48"/>
    <mergeCell ref="A49:A50"/>
    <mergeCell ref="B49:B50"/>
    <mergeCell ref="C49:C50"/>
    <mergeCell ref="D49:D50"/>
    <mergeCell ref="E49:E50"/>
    <mergeCell ref="F49:F50"/>
    <mergeCell ref="D53:D54"/>
    <mergeCell ref="E53:E54"/>
    <mergeCell ref="A51:A52"/>
    <mergeCell ref="B51:B52"/>
    <mergeCell ref="E51:E52"/>
    <mergeCell ref="F51:F52"/>
    <mergeCell ref="B53:B54"/>
    <mergeCell ref="C53:C54"/>
    <mergeCell ref="F53:F54"/>
    <mergeCell ref="A53:A54"/>
    <mergeCell ref="A55:A56"/>
    <mergeCell ref="B55:B56"/>
    <mergeCell ref="C55:C56"/>
    <mergeCell ref="D55:D56"/>
    <mergeCell ref="E55:E56"/>
    <mergeCell ref="F55:F56"/>
    <mergeCell ref="D59:D60"/>
    <mergeCell ref="E59:E60"/>
    <mergeCell ref="D61:D62"/>
    <mergeCell ref="E61:E62"/>
    <mergeCell ref="F61:F62"/>
    <mergeCell ref="D63:D64"/>
    <mergeCell ref="E63:E64"/>
    <mergeCell ref="F63:F64"/>
    <mergeCell ref="A57:A58"/>
    <mergeCell ref="B57:B58"/>
    <mergeCell ref="C57:C58"/>
    <mergeCell ref="D57:D58"/>
    <mergeCell ref="E57:E58"/>
    <mergeCell ref="F57:F58"/>
    <mergeCell ref="A59:A60"/>
    <mergeCell ref="F59:F60"/>
    <mergeCell ref="A63:A64"/>
    <mergeCell ref="A65:A66"/>
    <mergeCell ref="B65:B66"/>
    <mergeCell ref="C65:C66"/>
    <mergeCell ref="D65:D66"/>
    <mergeCell ref="E65:E66"/>
    <mergeCell ref="F65:F66"/>
    <mergeCell ref="B59:B60"/>
    <mergeCell ref="C59:C60"/>
    <mergeCell ref="A61:A62"/>
    <mergeCell ref="B61:B62"/>
    <mergeCell ref="C61:C62"/>
    <mergeCell ref="B63:B64"/>
    <mergeCell ref="C63:C64"/>
    <mergeCell ref="D69:D70"/>
    <mergeCell ref="E69:E70"/>
    <mergeCell ref="E71:E72"/>
    <mergeCell ref="F71:F72"/>
    <mergeCell ref="D73:D74"/>
    <mergeCell ref="E73:E74"/>
    <mergeCell ref="F73:F74"/>
    <mergeCell ref="A67:A68"/>
    <mergeCell ref="B67:B68"/>
    <mergeCell ref="C67:C68"/>
    <mergeCell ref="D67:D68"/>
    <mergeCell ref="E67:E68"/>
    <mergeCell ref="F67:F68"/>
    <mergeCell ref="A69:A70"/>
    <mergeCell ref="F69:F70"/>
    <mergeCell ref="A73:A74"/>
    <mergeCell ref="A75:A76"/>
    <mergeCell ref="B75:B76"/>
    <mergeCell ref="C75:C76"/>
    <mergeCell ref="D75:D76"/>
    <mergeCell ref="E75:E76"/>
    <mergeCell ref="F75:F76"/>
    <mergeCell ref="B69:B70"/>
    <mergeCell ref="C69:C70"/>
    <mergeCell ref="A71:A72"/>
    <mergeCell ref="B71:B72"/>
    <mergeCell ref="C71:C72"/>
    <mergeCell ref="B73:B74"/>
    <mergeCell ref="C73:C74"/>
    <mergeCell ref="D79:D80"/>
    <mergeCell ref="E79:E80"/>
    <mergeCell ref="A77:A78"/>
    <mergeCell ref="B77:B78"/>
    <mergeCell ref="E77:E78"/>
    <mergeCell ref="F77:F78"/>
    <mergeCell ref="B79:B80"/>
    <mergeCell ref="C79:C80"/>
    <mergeCell ref="F79:F80"/>
    <mergeCell ref="A79:A80"/>
    <mergeCell ref="A81:A82"/>
    <mergeCell ref="B81:B82"/>
    <mergeCell ref="C81:C82"/>
    <mergeCell ref="D81:D82"/>
    <mergeCell ref="E81:E82"/>
    <mergeCell ref="F81:F82"/>
    <mergeCell ref="B141:B142"/>
    <mergeCell ref="C141:C142"/>
    <mergeCell ref="A143:A144"/>
    <mergeCell ref="B143:B144"/>
    <mergeCell ref="C143:C144"/>
    <mergeCell ref="B145:B146"/>
    <mergeCell ref="C145:C146"/>
    <mergeCell ref="D141:D142"/>
    <mergeCell ref="E141:E142"/>
    <mergeCell ref="D143:D144"/>
    <mergeCell ref="E143:E144"/>
    <mergeCell ref="F143:F144"/>
    <mergeCell ref="E145:E146"/>
    <mergeCell ref="F145:F146"/>
    <mergeCell ref="D133:D134"/>
    <mergeCell ref="E133:E134"/>
    <mergeCell ref="E135:E136"/>
    <mergeCell ref="F135:F136"/>
    <mergeCell ref="A131:A132"/>
    <mergeCell ref="B131:B132"/>
    <mergeCell ref="E131:E132"/>
    <mergeCell ref="F131:F132"/>
    <mergeCell ref="B133:B134"/>
    <mergeCell ref="C133:C134"/>
    <mergeCell ref="F133:F134"/>
    <mergeCell ref="E137:E138"/>
    <mergeCell ref="F137:F138"/>
    <mergeCell ref="A133:A134"/>
    <mergeCell ref="A135:A136"/>
    <mergeCell ref="B135:B136"/>
    <mergeCell ref="A137:A138"/>
    <mergeCell ref="B137:B138"/>
    <mergeCell ref="C137:C138"/>
    <mergeCell ref="D137:D138"/>
    <mergeCell ref="A139:A140"/>
    <mergeCell ref="B139:B140"/>
    <mergeCell ref="C139:C140"/>
    <mergeCell ref="D139:D140"/>
    <mergeCell ref="E139:E140"/>
    <mergeCell ref="F139:F140"/>
    <mergeCell ref="A141:A142"/>
    <mergeCell ref="F141:F142"/>
    <mergeCell ref="D145:D146"/>
    <mergeCell ref="D147:D148"/>
    <mergeCell ref="E147:E148"/>
    <mergeCell ref="F147:F148"/>
    <mergeCell ref="D149:D150"/>
    <mergeCell ref="E149:E150"/>
    <mergeCell ref="F149:F150"/>
    <mergeCell ref="E151:E152"/>
    <mergeCell ref="F151:F152"/>
    <mergeCell ref="E153:E154"/>
    <mergeCell ref="F153:F154"/>
    <mergeCell ref="D155:D156"/>
    <mergeCell ref="E155:E156"/>
    <mergeCell ref="F155:F156"/>
    <mergeCell ref="B187:B188"/>
    <mergeCell ref="B193:B194"/>
    <mergeCell ref="B195:B196"/>
    <mergeCell ref="B169:B170"/>
    <mergeCell ref="B173:B174"/>
    <mergeCell ref="B177:B178"/>
    <mergeCell ref="B179:B180"/>
    <mergeCell ref="B181:B182"/>
    <mergeCell ref="B183:B184"/>
    <mergeCell ref="B185:B186"/>
    <mergeCell ref="A145:A146"/>
    <mergeCell ref="A147:A148"/>
    <mergeCell ref="B147:B148"/>
    <mergeCell ref="A149:A150"/>
    <mergeCell ref="B149:B150"/>
    <mergeCell ref="C149:C150"/>
    <mergeCell ref="B151:B152"/>
    <mergeCell ref="B157:B158"/>
    <mergeCell ref="C157:C158"/>
    <mergeCell ref="A151:A152"/>
    <mergeCell ref="A153:A154"/>
    <mergeCell ref="B153:B154"/>
    <mergeCell ref="A155:A156"/>
    <mergeCell ref="B155:B156"/>
    <mergeCell ref="C155:C156"/>
    <mergeCell ref="A157:A158"/>
    <mergeCell ref="A159:A160"/>
    <mergeCell ref="B159:B160"/>
    <mergeCell ref="A161:A162"/>
    <mergeCell ref="B161:B162"/>
    <mergeCell ref="C161:C162"/>
    <mergeCell ref="A163:A164"/>
    <mergeCell ref="C163:C164"/>
    <mergeCell ref="A165:A166"/>
    <mergeCell ref="B165:B166"/>
    <mergeCell ref="A167:A168"/>
    <mergeCell ref="B167:B168"/>
    <mergeCell ref="C167:C168"/>
    <mergeCell ref="C169:C170"/>
    <mergeCell ref="C171:C172"/>
    <mergeCell ref="C173:C174"/>
    <mergeCell ref="C175:C176"/>
    <mergeCell ref="C177:C178"/>
    <mergeCell ref="C179:C180"/>
    <mergeCell ref="C181:C182"/>
    <mergeCell ref="C183:C184"/>
    <mergeCell ref="C185:C186"/>
    <mergeCell ref="C187:C188"/>
    <mergeCell ref="C189:C190"/>
    <mergeCell ref="C191:C192"/>
    <mergeCell ref="C193:C194"/>
    <mergeCell ref="C195:C196"/>
    <mergeCell ref="C197:C198"/>
    <mergeCell ref="C199:C200"/>
    <mergeCell ref="C253:C254"/>
    <mergeCell ref="C255:C256"/>
    <mergeCell ref="C239:C240"/>
    <mergeCell ref="C241:C242"/>
    <mergeCell ref="C243:C244"/>
    <mergeCell ref="C245:C246"/>
    <mergeCell ref="C247:C248"/>
    <mergeCell ref="C249:C250"/>
    <mergeCell ref="C251:C252"/>
    <mergeCell ref="B201:B202"/>
    <mergeCell ref="C201:C202"/>
    <mergeCell ref="B203:B204"/>
    <mergeCell ref="C203:C204"/>
    <mergeCell ref="B205:B206"/>
    <mergeCell ref="C205:C206"/>
    <mergeCell ref="C207:C208"/>
    <mergeCell ref="C209:C210"/>
    <mergeCell ref="B211:B212"/>
    <mergeCell ref="C211:C212"/>
    <mergeCell ref="B213:B214"/>
    <mergeCell ref="C213:C214"/>
    <mergeCell ref="B215:B216"/>
    <mergeCell ref="C215:C216"/>
    <mergeCell ref="B217:B218"/>
    <mergeCell ref="C217:C218"/>
    <mergeCell ref="B219:B220"/>
    <mergeCell ref="C219:C220"/>
    <mergeCell ref="B221:B222"/>
    <mergeCell ref="C221:C222"/>
    <mergeCell ref="C223:C224"/>
    <mergeCell ref="B223:B224"/>
    <mergeCell ref="B225:B226"/>
    <mergeCell ref="B227:B228"/>
    <mergeCell ref="B229:B230"/>
    <mergeCell ref="B231:B232"/>
    <mergeCell ref="B233:B234"/>
    <mergeCell ref="B235:B236"/>
    <mergeCell ref="C225:C226"/>
    <mergeCell ref="C227:C228"/>
    <mergeCell ref="C229:C230"/>
    <mergeCell ref="C231:C232"/>
    <mergeCell ref="C233:C234"/>
    <mergeCell ref="C235:C236"/>
    <mergeCell ref="C237:C238"/>
    <mergeCell ref="B237:B238"/>
    <mergeCell ref="B239:B240"/>
    <mergeCell ref="B241:B242"/>
    <mergeCell ref="B243:B244"/>
    <mergeCell ref="B245:B246"/>
    <mergeCell ref="B247:B248"/>
    <mergeCell ref="B249:B250"/>
    <mergeCell ref="B251:B252"/>
    <mergeCell ref="B253:B254"/>
    <mergeCell ref="B255:B256"/>
    <mergeCell ref="B257:B258"/>
    <mergeCell ref="C257:C258"/>
    <mergeCell ref="B259:B260"/>
    <mergeCell ref="C259:C260"/>
    <mergeCell ref="A294:A295"/>
    <mergeCell ref="A296:A297"/>
    <mergeCell ref="A298:A299"/>
    <mergeCell ref="A300:A301"/>
    <mergeCell ref="A302:A303"/>
    <mergeCell ref="A304:A305"/>
    <mergeCell ref="A306:A307"/>
    <mergeCell ref="A308:A309"/>
    <mergeCell ref="A310:A311"/>
    <mergeCell ref="A312:A313"/>
    <mergeCell ref="A314:A315"/>
    <mergeCell ref="A316:A317"/>
    <mergeCell ref="A318:A319"/>
    <mergeCell ref="A320:A326"/>
    <mergeCell ref="C490:C491"/>
    <mergeCell ref="D490:D491"/>
    <mergeCell ref="E490:E491"/>
    <mergeCell ref="F490:F491"/>
    <mergeCell ref="A488:A489"/>
    <mergeCell ref="B488:B489"/>
    <mergeCell ref="C488:C489"/>
    <mergeCell ref="D488:D489"/>
    <mergeCell ref="E488:E489"/>
    <mergeCell ref="F488:F489"/>
    <mergeCell ref="B490:B491"/>
    <mergeCell ref="A327:A333"/>
    <mergeCell ref="A334:A335"/>
    <mergeCell ref="A336:A337"/>
    <mergeCell ref="A480:A481"/>
    <mergeCell ref="A482:A483"/>
    <mergeCell ref="A484:A485"/>
    <mergeCell ref="A486:A487"/>
    <mergeCell ref="A494:A495"/>
    <mergeCell ref="B494:B495"/>
    <mergeCell ref="C494:C495"/>
    <mergeCell ref="D494:D495"/>
    <mergeCell ref="E494:E495"/>
    <mergeCell ref="F494:F495"/>
    <mergeCell ref="A490:A491"/>
    <mergeCell ref="A492:A493"/>
    <mergeCell ref="B492:B493"/>
    <mergeCell ref="C492:C493"/>
    <mergeCell ref="D492:D493"/>
    <mergeCell ref="E492:E493"/>
    <mergeCell ref="F492:F493"/>
    <mergeCell ref="A169:A170"/>
    <mergeCell ref="A171:A172"/>
    <mergeCell ref="A173:A174"/>
    <mergeCell ref="A175:A176"/>
    <mergeCell ref="A177:A178"/>
    <mergeCell ref="A179:A180"/>
    <mergeCell ref="A181:A182"/>
    <mergeCell ref="A183:A184"/>
    <mergeCell ref="A185:A186"/>
    <mergeCell ref="A187:A188"/>
    <mergeCell ref="A189:A190"/>
    <mergeCell ref="A191:A192"/>
    <mergeCell ref="A193:A194"/>
    <mergeCell ref="A195:A196"/>
    <mergeCell ref="A197:A198"/>
    <mergeCell ref="A199:A200"/>
    <mergeCell ref="A201:A202"/>
    <mergeCell ref="A203:A204"/>
    <mergeCell ref="A205:A206"/>
    <mergeCell ref="A207:A208"/>
    <mergeCell ref="A209:A210"/>
    <mergeCell ref="A211:A212"/>
    <mergeCell ref="A213:A214"/>
    <mergeCell ref="A215:A218"/>
    <mergeCell ref="A219:A222"/>
    <mergeCell ref="A223:A224"/>
    <mergeCell ref="A225:A226"/>
    <mergeCell ref="A227:A228"/>
    <mergeCell ref="A229:A230"/>
    <mergeCell ref="A231:A232"/>
    <mergeCell ref="A233:A236"/>
    <mergeCell ref="A237:A240"/>
    <mergeCell ref="A241:A244"/>
    <mergeCell ref="A245:A248"/>
    <mergeCell ref="A249:A252"/>
    <mergeCell ref="A253:A256"/>
    <mergeCell ref="A257:A260"/>
    <mergeCell ref="A261:A262"/>
    <mergeCell ref="A263:A266"/>
    <mergeCell ref="A267:A270"/>
    <mergeCell ref="A271:A274"/>
    <mergeCell ref="A275:A278"/>
    <mergeCell ref="A279:A280"/>
    <mergeCell ref="A281:A282"/>
    <mergeCell ref="A283:A284"/>
    <mergeCell ref="A285:A286"/>
    <mergeCell ref="A288:A289"/>
    <mergeCell ref="A290:A291"/>
    <mergeCell ref="A292:A293"/>
    <mergeCell ref="B296:B297"/>
    <mergeCell ref="B298:B299"/>
    <mergeCell ref="C298:C299"/>
    <mergeCell ref="B300:B301"/>
    <mergeCell ref="C300:C301"/>
    <mergeCell ref="B302:B303"/>
    <mergeCell ref="C302:C303"/>
    <mergeCell ref="B304:B305"/>
    <mergeCell ref="C304:C305"/>
    <mergeCell ref="B306:B307"/>
    <mergeCell ref="C306:C307"/>
    <mergeCell ref="B308:B309"/>
    <mergeCell ref="C308:C309"/>
    <mergeCell ref="C310:C311"/>
    <mergeCell ref="B261:B262"/>
    <mergeCell ref="C261:C262"/>
    <mergeCell ref="B263:B264"/>
    <mergeCell ref="C263:C264"/>
    <mergeCell ref="B265:B266"/>
    <mergeCell ref="C265:C266"/>
    <mergeCell ref="C267:C268"/>
    <mergeCell ref="B267:B268"/>
    <mergeCell ref="B269:B270"/>
    <mergeCell ref="B271:B272"/>
    <mergeCell ref="B273:B274"/>
    <mergeCell ref="B275:B276"/>
    <mergeCell ref="B277:B278"/>
    <mergeCell ref="B279:B280"/>
    <mergeCell ref="C283:C284"/>
    <mergeCell ref="C285:C286"/>
    <mergeCell ref="C288:C289"/>
    <mergeCell ref="C290:C291"/>
    <mergeCell ref="C292:C293"/>
    <mergeCell ref="C294:C295"/>
    <mergeCell ref="C269:C270"/>
    <mergeCell ref="C271:C272"/>
    <mergeCell ref="C273:C274"/>
    <mergeCell ref="C275:C276"/>
    <mergeCell ref="C277:C278"/>
    <mergeCell ref="C279:C280"/>
    <mergeCell ref="C281:C282"/>
    <mergeCell ref="B281:B282"/>
    <mergeCell ref="B283:B284"/>
    <mergeCell ref="B285:B286"/>
    <mergeCell ref="B288:B289"/>
    <mergeCell ref="B290:B291"/>
    <mergeCell ref="B292:B293"/>
    <mergeCell ref="B294:B295"/>
    <mergeCell ref="B310:B311"/>
    <mergeCell ref="B312:B313"/>
    <mergeCell ref="B314:B315"/>
    <mergeCell ref="B316:B317"/>
    <mergeCell ref="B318:B319"/>
    <mergeCell ref="B334:B335"/>
    <mergeCell ref="B336:B337"/>
    <mergeCell ref="C312:C313"/>
    <mergeCell ref="C314:C315"/>
    <mergeCell ref="C316:C317"/>
    <mergeCell ref="C318:C319"/>
    <mergeCell ref="C334:C335"/>
    <mergeCell ref="C336:C337"/>
    <mergeCell ref="D99:D100"/>
    <mergeCell ref="E99:E100"/>
    <mergeCell ref="A97:A98"/>
    <mergeCell ref="B97:B98"/>
    <mergeCell ref="C97:C98"/>
    <mergeCell ref="D97:D98"/>
    <mergeCell ref="E97:E98"/>
    <mergeCell ref="F97:F98"/>
    <mergeCell ref="A99:A100"/>
    <mergeCell ref="F99:F100"/>
    <mergeCell ref="E103:E104"/>
    <mergeCell ref="F103:F104"/>
    <mergeCell ref="B99:B100"/>
    <mergeCell ref="C99:C100"/>
    <mergeCell ref="B101:B102"/>
    <mergeCell ref="C101:C102"/>
    <mergeCell ref="D101:D102"/>
    <mergeCell ref="E101:E102"/>
    <mergeCell ref="F101:F102"/>
    <mergeCell ref="D85:D86"/>
    <mergeCell ref="E85:E86"/>
    <mergeCell ref="E87:E88"/>
    <mergeCell ref="F87:F88"/>
    <mergeCell ref="D89:D90"/>
    <mergeCell ref="E89:E90"/>
    <mergeCell ref="F89:F90"/>
    <mergeCell ref="A83:A84"/>
    <mergeCell ref="B83:B84"/>
    <mergeCell ref="C83:C84"/>
    <mergeCell ref="D83:D84"/>
    <mergeCell ref="E83:E84"/>
    <mergeCell ref="F83:F84"/>
    <mergeCell ref="A85:A86"/>
    <mergeCell ref="F85:F86"/>
    <mergeCell ref="A91:A92"/>
    <mergeCell ref="B91:B92"/>
    <mergeCell ref="C91:C92"/>
    <mergeCell ref="D91:D92"/>
    <mergeCell ref="E91:E92"/>
    <mergeCell ref="F91:F92"/>
    <mergeCell ref="B85:B86"/>
    <mergeCell ref="C85:C86"/>
    <mergeCell ref="A87:A88"/>
    <mergeCell ref="B87:B88"/>
    <mergeCell ref="A89:A90"/>
    <mergeCell ref="B89:B90"/>
    <mergeCell ref="C89:C90"/>
    <mergeCell ref="E95:E96"/>
    <mergeCell ref="F95:F96"/>
    <mergeCell ref="A93:A94"/>
    <mergeCell ref="B93:B94"/>
    <mergeCell ref="D93:D94"/>
    <mergeCell ref="E93:E94"/>
    <mergeCell ref="F93:F94"/>
    <mergeCell ref="A95:A96"/>
    <mergeCell ref="B95:B96"/>
    <mergeCell ref="A101:A102"/>
    <mergeCell ref="A103:A104"/>
    <mergeCell ref="B103:B104"/>
    <mergeCell ref="A105:A106"/>
    <mergeCell ref="B105:B106"/>
    <mergeCell ref="E105:E106"/>
    <mergeCell ref="F105:F106"/>
    <mergeCell ref="D121:D122"/>
    <mergeCell ref="E121:E122"/>
    <mergeCell ref="E123:E124"/>
    <mergeCell ref="F123:F124"/>
    <mergeCell ref="E125:E126"/>
    <mergeCell ref="F125:F126"/>
    <mergeCell ref="D127:D128"/>
    <mergeCell ref="A121:A122"/>
    <mergeCell ref="A123:A124"/>
    <mergeCell ref="B123:B124"/>
    <mergeCell ref="A125:A126"/>
    <mergeCell ref="B125:B126"/>
    <mergeCell ref="B127:B128"/>
    <mergeCell ref="C127:C128"/>
    <mergeCell ref="D109:D110"/>
    <mergeCell ref="E109:E110"/>
    <mergeCell ref="E111:E112"/>
    <mergeCell ref="F111:F112"/>
    <mergeCell ref="E113:E114"/>
    <mergeCell ref="F113:F114"/>
    <mergeCell ref="E115:E116"/>
    <mergeCell ref="F115:F116"/>
    <mergeCell ref="A107:A108"/>
    <mergeCell ref="B107:B108"/>
    <mergeCell ref="C107:C108"/>
    <mergeCell ref="D107:D108"/>
    <mergeCell ref="E107:E108"/>
    <mergeCell ref="F107:F108"/>
    <mergeCell ref="A109:A110"/>
    <mergeCell ref="F109:F110"/>
    <mergeCell ref="A115:A116"/>
    <mergeCell ref="A117:A118"/>
    <mergeCell ref="B117:B118"/>
    <mergeCell ref="C117:C118"/>
    <mergeCell ref="D117:D118"/>
    <mergeCell ref="E117:E118"/>
    <mergeCell ref="F117:F118"/>
    <mergeCell ref="B109:B110"/>
    <mergeCell ref="C109:C110"/>
    <mergeCell ref="A111:A112"/>
    <mergeCell ref="B111:B112"/>
    <mergeCell ref="A113:A114"/>
    <mergeCell ref="B113:B114"/>
    <mergeCell ref="B115:B116"/>
    <mergeCell ref="A119:A120"/>
    <mergeCell ref="B119:B120"/>
    <mergeCell ref="E119:E120"/>
    <mergeCell ref="F119:F120"/>
    <mergeCell ref="B121:B122"/>
    <mergeCell ref="C121:C122"/>
    <mergeCell ref="F121:F122"/>
    <mergeCell ref="E127:E128"/>
    <mergeCell ref="F127:F128"/>
    <mergeCell ref="A127:A128"/>
    <mergeCell ref="A129:A130"/>
    <mergeCell ref="B129:B130"/>
    <mergeCell ref="C129:C130"/>
    <mergeCell ref="D129:D130"/>
    <mergeCell ref="E129:E130"/>
    <mergeCell ref="F129:F130"/>
    <mergeCell ref="E179:E180"/>
    <mergeCell ref="F179:F180"/>
    <mergeCell ref="D175:D176"/>
    <mergeCell ref="E175:E176"/>
    <mergeCell ref="F175:F176"/>
    <mergeCell ref="D177:D178"/>
    <mergeCell ref="E177:E178"/>
    <mergeCell ref="F177:F178"/>
    <mergeCell ref="D179:D180"/>
    <mergeCell ref="E185:E186"/>
    <mergeCell ref="F185:F186"/>
    <mergeCell ref="D181:D182"/>
    <mergeCell ref="E181:E182"/>
    <mergeCell ref="F181:F182"/>
    <mergeCell ref="D183:D184"/>
    <mergeCell ref="E183:E184"/>
    <mergeCell ref="F183:F184"/>
    <mergeCell ref="D185:D186"/>
    <mergeCell ref="E191:E192"/>
    <mergeCell ref="F191:F192"/>
    <mergeCell ref="D187:D188"/>
    <mergeCell ref="E187:E188"/>
    <mergeCell ref="F187:F188"/>
    <mergeCell ref="D189:D190"/>
    <mergeCell ref="E189:E190"/>
    <mergeCell ref="F189:F190"/>
    <mergeCell ref="D191:D192"/>
    <mergeCell ref="E197:E198"/>
    <mergeCell ref="F197:F198"/>
    <mergeCell ref="D193:D194"/>
    <mergeCell ref="E193:E194"/>
    <mergeCell ref="F193:F194"/>
    <mergeCell ref="D195:D196"/>
    <mergeCell ref="E195:E196"/>
    <mergeCell ref="F195:F196"/>
    <mergeCell ref="D197:D198"/>
    <mergeCell ref="E203:E204"/>
    <mergeCell ref="F203:F204"/>
    <mergeCell ref="D199:D200"/>
    <mergeCell ref="E199:E200"/>
    <mergeCell ref="F199:F200"/>
    <mergeCell ref="D201:D202"/>
    <mergeCell ref="E201:E202"/>
    <mergeCell ref="F201:F202"/>
    <mergeCell ref="D203:D204"/>
    <mergeCell ref="E209:E210"/>
    <mergeCell ref="F209:F210"/>
    <mergeCell ref="D205:D206"/>
    <mergeCell ref="E205:E206"/>
    <mergeCell ref="F205:F206"/>
    <mergeCell ref="D207:D208"/>
    <mergeCell ref="E207:E208"/>
    <mergeCell ref="F207:F208"/>
    <mergeCell ref="D209:D210"/>
    <mergeCell ref="E215:E216"/>
    <mergeCell ref="F215:F216"/>
    <mergeCell ref="D211:D212"/>
    <mergeCell ref="E211:E212"/>
    <mergeCell ref="F211:F212"/>
    <mergeCell ref="D213:D214"/>
    <mergeCell ref="E213:E214"/>
    <mergeCell ref="F213:F214"/>
    <mergeCell ref="D215:D216"/>
    <mergeCell ref="E221:E222"/>
    <mergeCell ref="F221:F222"/>
    <mergeCell ref="D217:D218"/>
    <mergeCell ref="E217:E218"/>
    <mergeCell ref="F217:F218"/>
    <mergeCell ref="D219:D220"/>
    <mergeCell ref="E219:E220"/>
    <mergeCell ref="F219:F220"/>
    <mergeCell ref="D221:D222"/>
    <mergeCell ref="E227:E228"/>
    <mergeCell ref="F227:F228"/>
    <mergeCell ref="D223:D224"/>
    <mergeCell ref="E223:E224"/>
    <mergeCell ref="F223:F224"/>
    <mergeCell ref="D225:D226"/>
    <mergeCell ref="E225:E226"/>
    <mergeCell ref="F225:F226"/>
    <mergeCell ref="D227:D228"/>
    <mergeCell ref="E233:E234"/>
    <mergeCell ref="F233:F234"/>
    <mergeCell ref="D229:D230"/>
    <mergeCell ref="E229:E230"/>
    <mergeCell ref="F229:F230"/>
    <mergeCell ref="D231:D232"/>
    <mergeCell ref="E231:E232"/>
    <mergeCell ref="F231:F232"/>
    <mergeCell ref="D233:D234"/>
    <mergeCell ref="E239:E240"/>
    <mergeCell ref="F239:F240"/>
    <mergeCell ref="D235:D236"/>
    <mergeCell ref="E235:E236"/>
    <mergeCell ref="F235:F236"/>
    <mergeCell ref="D237:D238"/>
    <mergeCell ref="E237:E238"/>
    <mergeCell ref="F237:F238"/>
    <mergeCell ref="D239:D240"/>
    <mergeCell ref="E245:E246"/>
    <mergeCell ref="F245:F246"/>
    <mergeCell ref="D241:D242"/>
    <mergeCell ref="E241:E242"/>
    <mergeCell ref="F241:F242"/>
    <mergeCell ref="D243:D244"/>
    <mergeCell ref="E243:E244"/>
    <mergeCell ref="F243:F244"/>
    <mergeCell ref="D245:D246"/>
    <mergeCell ref="E251:E252"/>
    <mergeCell ref="F251:F252"/>
    <mergeCell ref="D247:D248"/>
    <mergeCell ref="E247:E248"/>
    <mergeCell ref="F247:F248"/>
    <mergeCell ref="D249:D250"/>
    <mergeCell ref="E249:E250"/>
    <mergeCell ref="F249:F250"/>
    <mergeCell ref="D251:D252"/>
    <mergeCell ref="E257:E258"/>
    <mergeCell ref="F257:F258"/>
    <mergeCell ref="D253:D254"/>
    <mergeCell ref="E253:E254"/>
    <mergeCell ref="F253:F254"/>
    <mergeCell ref="D255:D256"/>
    <mergeCell ref="E255:E256"/>
    <mergeCell ref="F255:F256"/>
    <mergeCell ref="D257:D258"/>
    <mergeCell ref="E263:E264"/>
    <mergeCell ref="F263:F264"/>
    <mergeCell ref="D259:D260"/>
    <mergeCell ref="E259:E260"/>
    <mergeCell ref="F259:F260"/>
    <mergeCell ref="D261:D262"/>
    <mergeCell ref="E261:E262"/>
    <mergeCell ref="F261:F262"/>
    <mergeCell ref="D263:D264"/>
    <mergeCell ref="D265:D266"/>
    <mergeCell ref="E265:E266"/>
    <mergeCell ref="F265:F266"/>
    <mergeCell ref="D267:D268"/>
    <mergeCell ref="E267:E268"/>
    <mergeCell ref="F267:F268"/>
    <mergeCell ref="D269:D270"/>
    <mergeCell ref="E269:E270"/>
    <mergeCell ref="F269:F270"/>
    <mergeCell ref="H314:H315"/>
    <mergeCell ref="I314:I315"/>
    <mergeCell ref="H318:H319"/>
    <mergeCell ref="I318:I319"/>
    <mergeCell ref="N320:N322"/>
    <mergeCell ref="L330:M333"/>
    <mergeCell ref="G333:J333"/>
    <mergeCell ref="L320:M322"/>
    <mergeCell ref="L323:M326"/>
    <mergeCell ref="N323:N326"/>
    <mergeCell ref="G326:J326"/>
    <mergeCell ref="L327:M329"/>
    <mergeCell ref="N327:N329"/>
    <mergeCell ref="N330:N333"/>
    <mergeCell ref="D314:D315"/>
    <mergeCell ref="E314:E315"/>
    <mergeCell ref="F314:F315"/>
    <mergeCell ref="D316:D317"/>
    <mergeCell ref="E316:E317"/>
    <mergeCell ref="F316:F317"/>
    <mergeCell ref="D318:D319"/>
    <mergeCell ref="E318:E319"/>
    <mergeCell ref="F318:F319"/>
    <mergeCell ref="F320:F322"/>
    <mergeCell ref="F323:F326"/>
    <mergeCell ref="F327:F329"/>
    <mergeCell ref="F330:F333"/>
    <mergeCell ref="D334:D335"/>
    <mergeCell ref="E161:E162"/>
    <mergeCell ref="F161:F162"/>
    <mergeCell ref="D157:D158"/>
    <mergeCell ref="E157:E158"/>
    <mergeCell ref="F157:F158"/>
    <mergeCell ref="D159:D160"/>
    <mergeCell ref="E159:E160"/>
    <mergeCell ref="F159:F160"/>
    <mergeCell ref="D161:D162"/>
    <mergeCell ref="E167:E168"/>
    <mergeCell ref="F167:F168"/>
    <mergeCell ref="D163:D164"/>
    <mergeCell ref="E163:E164"/>
    <mergeCell ref="F163:F164"/>
    <mergeCell ref="D165:D166"/>
    <mergeCell ref="E165:E166"/>
    <mergeCell ref="F165:F166"/>
    <mergeCell ref="D167:D168"/>
    <mergeCell ref="E173:E174"/>
    <mergeCell ref="F173:F174"/>
    <mergeCell ref="D169:D170"/>
    <mergeCell ref="E169:E170"/>
    <mergeCell ref="F169:F170"/>
    <mergeCell ref="D171:D172"/>
    <mergeCell ref="E171:E172"/>
    <mergeCell ref="F171:F172"/>
    <mergeCell ref="D173:D174"/>
    <mergeCell ref="E334:E335"/>
    <mergeCell ref="F334:F335"/>
    <mergeCell ref="D336:D337"/>
    <mergeCell ref="E336:E337"/>
    <mergeCell ref="F336:F337"/>
    <mergeCell ref="E275:E276"/>
    <mergeCell ref="F275:F276"/>
    <mergeCell ref="D271:D272"/>
    <mergeCell ref="E271:E272"/>
    <mergeCell ref="F271:F272"/>
    <mergeCell ref="D273:D274"/>
    <mergeCell ref="E273:E274"/>
    <mergeCell ref="F273:F274"/>
    <mergeCell ref="D275:D276"/>
    <mergeCell ref="E281:E282"/>
    <mergeCell ref="F281:F282"/>
    <mergeCell ref="D277:D278"/>
    <mergeCell ref="E277:E278"/>
    <mergeCell ref="F277:F278"/>
    <mergeCell ref="D279:D280"/>
    <mergeCell ref="E279:E280"/>
    <mergeCell ref="F279:F280"/>
    <mergeCell ref="D281:D282"/>
    <mergeCell ref="E288:E289"/>
    <mergeCell ref="F288:F289"/>
    <mergeCell ref="D283:D284"/>
    <mergeCell ref="E283:E284"/>
    <mergeCell ref="F283:F284"/>
    <mergeCell ref="D285:D286"/>
    <mergeCell ref="E285:E286"/>
    <mergeCell ref="F285:F286"/>
    <mergeCell ref="D288:D289"/>
    <mergeCell ref="E294:E295"/>
    <mergeCell ref="F294:F295"/>
    <mergeCell ref="D290:D291"/>
    <mergeCell ref="E290:E291"/>
    <mergeCell ref="F290:F291"/>
    <mergeCell ref="D292:D293"/>
    <mergeCell ref="E292:E293"/>
    <mergeCell ref="F292:F293"/>
    <mergeCell ref="D294:D295"/>
    <mergeCell ref="E300:E301"/>
    <mergeCell ref="F300:F301"/>
    <mergeCell ref="D296:D297"/>
    <mergeCell ref="E296:E297"/>
    <mergeCell ref="F296:F297"/>
    <mergeCell ref="D298:D299"/>
    <mergeCell ref="E298:E299"/>
    <mergeCell ref="F298:F299"/>
    <mergeCell ref="D300:D301"/>
    <mergeCell ref="E306:E307"/>
    <mergeCell ref="F306:F307"/>
    <mergeCell ref="D302:D303"/>
    <mergeCell ref="E302:E303"/>
    <mergeCell ref="F302:F303"/>
    <mergeCell ref="D304:D305"/>
    <mergeCell ref="E304:E305"/>
    <mergeCell ref="F304:F305"/>
    <mergeCell ref="D306:D307"/>
    <mergeCell ref="E312:E313"/>
    <mergeCell ref="F312:F313"/>
    <mergeCell ref="D308:D309"/>
    <mergeCell ref="E308:E309"/>
    <mergeCell ref="F308:F309"/>
    <mergeCell ref="D310:D311"/>
    <mergeCell ref="E310:E311"/>
    <mergeCell ref="F310:F311"/>
    <mergeCell ref="D312:D313"/>
  </mergeCells>
  <dataValidations>
    <dataValidation type="list" allowBlank="1" showErrorMessage="1" sqref="B7 B9 B11 B13 B15 B17 B19 B21 B23 B25 B27 B29 B31 B33:B35 B37 B39 B41 B43 B45 B47 B49 B51 B53 B55 B57 B59 B61 B63 B65 B67 B69 B71 B73 B75 B77 B79 B81 B83 B85 B87 B89 B91 B93 B95 B97 B99 B101 B103 B105 B107 B109 B111 B113 B115 B117 B119 B121 B123 B125 B127 B129 B131 B133 B135 B137 B139 B141 B143 B145 B147 B149 B151 B153 B155 B157 B159 B161 B163:B165 B167 B169 B171:B173 B175:B177 B179 B181 B183 B185 B187 B189:B193 B195 B197:B201 B203 B205 B207:B211 B213 B215 B217 B219 B221 B223 B225 B227 B229 B231 B233 B235 B237 B239 B241 B243 B245 B247 B249 B251 B253 B255 B257 B259 B261 B263 B265 B267 B269 B271 B273 B275 B277 B279 B281 B283 B285 B287:B288 B290 B292 B294 B296 B298 B300 B302 B304 B306 B308 B310 B312 B314 B316 B318 B333:B334 B336 B338:B488 B490 B492 B494 B496:B1013">
      <formula1>"ARRACHAGE/FAUCHAGE,AUTRES TRAVAUX,BILLONNAGE,CHARGE/DECHARGE,CHAULAGE,DECHAULAGE ,DÉSHERBAGES,ENTRETIEN SERRE,ETANCHIETE,IRRIGATION,NETTOYAGE ,NETTOYAGE FIN COMPAGNE,PALISSAGE ,PINCEMENT ,PLANTATION,RECOLTE,SELECTION,SUPPORT DE PALISSAGE ,TRAITEMENT ,VIRU"&amp;"S ET CONTROLE "</formula1>
    </dataValidation>
    <dataValidation type="list" allowBlank="1" showErrorMessage="1" sqref="C7 C9 C11 C13 C15 C17 C19 C21 C23:C25 C27 C29 C31 C33:C35 C37 C39:C41 C43 C45 C47:C49 C51:C53 C55 C57 C59 C61 C63 C65 C67 C69 C71 C73 C75 C77:C79 C81 C83 C85 C87:C89 C91 C93:C97 C99 C101 C103:C107 C109 C111:C117 C119:C121 C123:C127 C129 C131:C133 C135:C137 C139 C141 C143 C145 C147:C149 C151:C155 C157 C159:C161 C163 C165:C167 C169 C171 C173 C175 C177 C179 C181 C183 C185 C187 C189 C191 C193 C195 C197 C199 C201 C203 C205 C207 C209 C211 C213 C215 C217 C219 C221 C223 C225 C227 C229 C231 C233 C235 C237 C239 C241 C243 C245 C247 C249 C251 C253 C255 C257 C259 C261 C263 C265 C267 C269 C271 C273 C275 C277 C279 C281 C283 C285 C287:C288 C290 C292 C294 C296:C298 C300 C302 C304 C306 C308 C310 C312 C314 C316 C318 C320:C334 C336 C338:C488 C490 C492 C494 C496:C1013">
      <formula1>"301,302,303,304,305,306,307,308,309,310,311,312,313,314,315,316,317,318,319,320,321,322,323,324,325,326,327,328"</formula1>
    </dataValidation>
    <dataValidation type="list" allowBlank="1" showErrorMessage="1" sqref="B320:B332">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H7:H314 H316:H318 H320:H325 H327:H332 H334:H1013">
      <formula1>"Caporale,ouvrier"</formula1>
    </dataValidation>
    <dataValidation type="list" allowBlank="1" showErrorMessage="1" sqref="G7:G325 G327:G332 G334:G1013">
      <formula1>"HE,JRS "</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12.75"/>
    <col customWidth="1" min="2" max="2" width="20.63"/>
    <col customWidth="1" min="3" max="3" width="10.63"/>
    <col customWidth="1" min="4" max="4" width="18.13"/>
    <col customWidth="1" min="5" max="5" width="15.38"/>
    <col customWidth="1" min="6" max="6" width="27.38"/>
    <col customWidth="1" min="7" max="7" width="10.13"/>
    <col customWidth="1" min="8" max="8" width="13.75"/>
    <col customWidth="1" min="9" max="9" width="9.25"/>
    <col customWidth="1" min="10" max="11" width="10.75"/>
    <col customWidth="1" min="12" max="12" width="11.75"/>
    <col customWidth="1" min="13" max="13" width="13.13"/>
    <col customWidth="1" min="14" max="14" width="22.75"/>
  </cols>
  <sheetData>
    <row r="1">
      <c r="A1" s="46"/>
      <c r="C1" s="80" t="s">
        <v>35</v>
      </c>
      <c r="D1" s="81"/>
      <c r="E1" s="81"/>
      <c r="F1" s="81"/>
      <c r="G1" s="81"/>
      <c r="H1" s="81"/>
      <c r="I1" s="82"/>
      <c r="J1" s="46"/>
      <c r="K1" s="46"/>
      <c r="L1" s="46"/>
      <c r="M1" s="46"/>
      <c r="N1" s="46"/>
    </row>
    <row r="2">
      <c r="C2" s="83"/>
      <c r="I2" s="84"/>
      <c r="J2" s="46"/>
      <c r="K2" s="46"/>
      <c r="L2" s="46"/>
      <c r="M2" s="46"/>
      <c r="N2" s="46"/>
    </row>
    <row r="3">
      <c r="C3" s="83"/>
      <c r="I3" s="84"/>
      <c r="J3" s="46"/>
      <c r="K3" s="46"/>
      <c r="L3" s="46"/>
      <c r="M3" s="46"/>
      <c r="N3" s="46"/>
    </row>
    <row r="4">
      <c r="C4" s="86"/>
      <c r="D4" s="87"/>
      <c r="E4" s="87"/>
      <c r="F4" s="87"/>
      <c r="G4" s="87"/>
      <c r="H4" s="87"/>
      <c r="I4" s="88"/>
      <c r="J4" s="46"/>
      <c r="K4" s="46"/>
      <c r="L4" s="46"/>
      <c r="M4" s="46"/>
      <c r="N4" s="46"/>
    </row>
    <row r="5">
      <c r="A5" s="52"/>
      <c r="B5" s="89"/>
      <c r="C5" s="46"/>
      <c r="D5" s="42"/>
      <c r="E5" s="46"/>
      <c r="F5" s="55"/>
      <c r="G5" s="46"/>
      <c r="H5" s="46"/>
      <c r="I5" s="46"/>
      <c r="J5" s="46"/>
      <c r="K5" s="46"/>
      <c r="L5" s="46"/>
      <c r="M5" s="46"/>
      <c r="N5" s="46"/>
    </row>
    <row r="6" ht="27.75" customHeight="1">
      <c r="A6" s="92" t="s">
        <v>1</v>
      </c>
      <c r="B6" s="92" t="s">
        <v>2</v>
      </c>
      <c r="C6" s="92" t="s">
        <v>3</v>
      </c>
      <c r="D6" s="92" t="s">
        <v>4</v>
      </c>
      <c r="E6" s="92" t="s">
        <v>5</v>
      </c>
      <c r="F6" s="92" t="s">
        <v>6</v>
      </c>
      <c r="G6" s="94" t="s">
        <v>7</v>
      </c>
      <c r="H6" s="92" t="s">
        <v>8</v>
      </c>
      <c r="I6" s="92" t="s">
        <v>9</v>
      </c>
      <c r="J6" s="92" t="s">
        <v>10</v>
      </c>
      <c r="K6" s="92" t="s">
        <v>11</v>
      </c>
      <c r="L6" s="92" t="s">
        <v>12</v>
      </c>
      <c r="M6" s="92" t="s">
        <v>13</v>
      </c>
      <c r="N6" s="95" t="s">
        <v>38</v>
      </c>
    </row>
    <row r="7" ht="20.25" customHeight="1">
      <c r="A7" s="8">
        <v>46137.0</v>
      </c>
      <c r="B7" s="97" t="s">
        <v>21</v>
      </c>
      <c r="C7" s="98">
        <v>406.0</v>
      </c>
      <c r="D7" s="13">
        <f t="array" ref="D7">IFERROR(_xlfn.XLOOKUP(C7,Code!A:A,Code!B:B),"")</f>
        <v>1.1</v>
      </c>
      <c r="E7" s="75" t="s">
        <v>23</v>
      </c>
      <c r="F7" s="75" t="s">
        <v>39</v>
      </c>
      <c r="G7" s="13" t="s">
        <v>17</v>
      </c>
      <c r="H7" s="99" t="s">
        <v>25</v>
      </c>
      <c r="I7" s="99">
        <v>1.0</v>
      </c>
      <c r="J7" s="99"/>
      <c r="K7" s="99"/>
      <c r="L7" s="99"/>
      <c r="M7" s="99"/>
      <c r="N7" s="13"/>
    </row>
    <row r="8" ht="20.25" customHeight="1">
      <c r="A8" s="100"/>
      <c r="B8" s="100"/>
      <c r="C8" s="100"/>
      <c r="D8" s="100"/>
      <c r="E8" s="100"/>
      <c r="F8" s="100"/>
      <c r="G8" s="100"/>
      <c r="H8" s="101" t="s">
        <v>18</v>
      </c>
      <c r="I8" s="101">
        <v>20.0</v>
      </c>
      <c r="J8" s="101"/>
      <c r="K8" s="101"/>
      <c r="L8" s="101"/>
      <c r="M8" s="101"/>
      <c r="N8" s="100"/>
    </row>
    <row r="9" ht="20.25" customHeight="1">
      <c r="A9" s="103">
        <v>46142.0</v>
      </c>
      <c r="B9" s="106" t="s">
        <v>21</v>
      </c>
      <c r="C9" s="107">
        <v>403.0</v>
      </c>
      <c r="D9" s="109">
        <f t="array" ref="D9">IFERROR(_xlfn.XLOOKUP(C9,Code!A:A,Code!B:B),"")</f>
        <v>0.67</v>
      </c>
      <c r="E9" s="110" t="s">
        <v>23</v>
      </c>
      <c r="F9" s="110" t="s">
        <v>44</v>
      </c>
      <c r="G9" s="109" t="s">
        <v>17</v>
      </c>
      <c r="H9" s="114" t="s">
        <v>25</v>
      </c>
      <c r="I9" s="114">
        <v>1.0</v>
      </c>
      <c r="J9" s="114"/>
      <c r="K9" s="114"/>
      <c r="L9" s="114"/>
      <c r="M9" s="114"/>
      <c r="N9" s="109"/>
    </row>
    <row r="10" ht="20.25" customHeight="1">
      <c r="A10" s="100"/>
      <c r="B10" s="100"/>
      <c r="C10" s="100"/>
      <c r="D10" s="100"/>
      <c r="E10" s="100"/>
      <c r="F10" s="100"/>
      <c r="G10" s="100"/>
      <c r="H10" s="101" t="s">
        <v>18</v>
      </c>
      <c r="I10" s="101">
        <v>19.0</v>
      </c>
      <c r="J10" s="101"/>
      <c r="K10" s="101"/>
      <c r="L10" s="101"/>
      <c r="M10" s="101"/>
      <c r="N10" s="100"/>
    </row>
    <row r="11" ht="20.25" customHeight="1">
      <c r="A11" s="103">
        <v>46143.0</v>
      </c>
      <c r="B11" s="106" t="s">
        <v>21</v>
      </c>
      <c r="C11" s="119">
        <v>403.0</v>
      </c>
      <c r="D11" s="109">
        <f t="array" ref="D11">IFERROR(_xlfn.XLOOKUP(C11,Code!A:A,Code!B:B),"")</f>
        <v>0.67</v>
      </c>
      <c r="E11" s="110" t="s">
        <v>23</v>
      </c>
      <c r="F11" s="110" t="s">
        <v>44</v>
      </c>
      <c r="G11" s="109" t="s">
        <v>17</v>
      </c>
      <c r="H11" s="114" t="s">
        <v>25</v>
      </c>
      <c r="I11" s="114">
        <v>1.0</v>
      </c>
      <c r="J11" s="114"/>
      <c r="K11" s="114"/>
      <c r="L11" s="114"/>
      <c r="M11" s="114"/>
      <c r="N11" s="109"/>
    </row>
    <row r="12" ht="20.25" customHeight="1">
      <c r="A12" s="29"/>
      <c r="B12" s="100"/>
      <c r="C12" s="129">
        <v>404.0</v>
      </c>
      <c r="D12" s="100"/>
      <c r="E12" s="100"/>
      <c r="F12" s="100"/>
      <c r="G12" s="100"/>
      <c r="H12" s="101" t="s">
        <v>18</v>
      </c>
      <c r="I12" s="101">
        <v>37.0</v>
      </c>
      <c r="J12" s="101"/>
      <c r="K12" s="101"/>
      <c r="L12" s="101"/>
      <c r="M12" s="101"/>
      <c r="N12" s="100"/>
    </row>
    <row r="13" ht="20.25" customHeight="1">
      <c r="A13" s="57"/>
      <c r="B13" s="106" t="s">
        <v>21</v>
      </c>
      <c r="C13" s="107">
        <v>405.0</v>
      </c>
      <c r="D13" s="109">
        <f t="array" ref="D13">IFERROR(_xlfn.XLOOKUP(C13,Code!A:A,Code!B:B),"")</f>
        <v>1.23</v>
      </c>
      <c r="E13" s="110" t="s">
        <v>23</v>
      </c>
      <c r="F13" s="110" t="s">
        <v>46</v>
      </c>
      <c r="G13" s="109" t="s">
        <v>17</v>
      </c>
      <c r="H13" s="114" t="s">
        <v>25</v>
      </c>
      <c r="I13" s="114">
        <v>1.0</v>
      </c>
      <c r="J13" s="114"/>
      <c r="K13" s="114"/>
      <c r="L13" s="114"/>
      <c r="M13" s="114"/>
      <c r="N13" s="109"/>
    </row>
    <row r="14" ht="20.25" customHeight="1">
      <c r="A14" s="29"/>
      <c r="B14" s="100"/>
      <c r="C14" s="100"/>
      <c r="D14" s="100"/>
      <c r="E14" s="100"/>
      <c r="F14" s="100"/>
      <c r="G14" s="100"/>
      <c r="H14" s="101" t="s">
        <v>18</v>
      </c>
      <c r="I14" s="101">
        <v>15.0</v>
      </c>
      <c r="J14" s="101"/>
      <c r="K14" s="101"/>
      <c r="L14" s="101"/>
      <c r="M14" s="101"/>
      <c r="N14" s="100"/>
    </row>
    <row r="15" ht="20.25" customHeight="1">
      <c r="A15" s="57"/>
      <c r="B15" s="106" t="s">
        <v>21</v>
      </c>
      <c r="C15" s="134">
        <v>406.0</v>
      </c>
      <c r="D15" s="110">
        <f t="array" ref="D15">IFERROR(_xlfn.XLOOKUP(C15,Code!A:A,Code!B:B),"")</f>
        <v>1.1</v>
      </c>
      <c r="E15" s="110" t="s">
        <v>23</v>
      </c>
      <c r="F15" s="110" t="s">
        <v>49</v>
      </c>
      <c r="G15" s="110" t="s">
        <v>17</v>
      </c>
      <c r="H15" s="136" t="s">
        <v>25</v>
      </c>
      <c r="I15" s="136">
        <v>1.0</v>
      </c>
      <c r="J15" s="136">
        <v>120.0</v>
      </c>
      <c r="K15" s="110">
        <v>2020.0</v>
      </c>
      <c r="L15" s="110">
        <v>30.0</v>
      </c>
      <c r="M15" s="110">
        <v>600.0</v>
      </c>
      <c r="N15" s="110">
        <f>SUM(K15+M15)</f>
        <v>2620</v>
      </c>
    </row>
    <row r="16" ht="21.75" customHeight="1">
      <c r="A16" s="29"/>
      <c r="B16" s="100"/>
      <c r="C16" s="100"/>
      <c r="D16" s="100"/>
      <c r="E16" s="100"/>
      <c r="F16" s="100"/>
      <c r="G16" s="100"/>
      <c r="H16" s="139" t="s">
        <v>18</v>
      </c>
      <c r="I16" s="139">
        <v>19.0</v>
      </c>
      <c r="J16" s="139">
        <v>100.0</v>
      </c>
      <c r="K16" s="100"/>
      <c r="L16" s="100"/>
      <c r="M16" s="100"/>
      <c r="N16" s="100"/>
    </row>
    <row r="17" ht="20.25" customHeight="1">
      <c r="A17" s="57"/>
      <c r="B17" s="106" t="s">
        <v>21</v>
      </c>
      <c r="C17" s="107">
        <v>418.0</v>
      </c>
      <c r="D17" s="109">
        <f t="array" ref="D17">IFERROR(_xlfn.XLOOKUP(C17,Code!A:A,Code!B:B),"")</f>
        <v>1.32</v>
      </c>
      <c r="E17" s="110" t="s">
        <v>23</v>
      </c>
      <c r="F17" s="110" t="s">
        <v>50</v>
      </c>
      <c r="G17" s="109" t="s">
        <v>17</v>
      </c>
      <c r="H17" s="114" t="s">
        <v>25</v>
      </c>
      <c r="I17" s="114">
        <v>1.0</v>
      </c>
      <c r="J17" s="114"/>
      <c r="K17" s="114"/>
      <c r="L17" s="114"/>
      <c r="M17" s="114"/>
      <c r="N17" s="109"/>
    </row>
    <row r="18" ht="20.25" customHeight="1">
      <c r="A18" s="29"/>
      <c r="B18" s="100"/>
      <c r="C18" s="29"/>
      <c r="D18" s="29"/>
      <c r="E18" s="29"/>
      <c r="F18" s="29"/>
      <c r="G18" s="29"/>
      <c r="H18" s="101" t="s">
        <v>18</v>
      </c>
      <c r="I18" s="101">
        <v>13.0</v>
      </c>
      <c r="J18" s="101"/>
      <c r="K18" s="101"/>
      <c r="L18" s="101"/>
      <c r="M18" s="101"/>
      <c r="N18" s="29"/>
    </row>
    <row r="19" ht="20.25" customHeight="1">
      <c r="A19" s="141"/>
      <c r="B19" s="142" t="s">
        <v>51</v>
      </c>
      <c r="C19" s="141"/>
      <c r="D19" s="141"/>
      <c r="E19" s="141"/>
      <c r="F19" s="141"/>
      <c r="G19" s="141"/>
      <c r="H19" s="114" t="s">
        <v>18</v>
      </c>
      <c r="I19" s="114">
        <v>1.0</v>
      </c>
      <c r="J19" s="114"/>
      <c r="K19" s="114"/>
      <c r="L19" s="114"/>
      <c r="M19" s="114"/>
      <c r="N19" s="141"/>
    </row>
    <row r="20" ht="20.25" customHeight="1">
      <c r="A20" s="103">
        <v>46144.0</v>
      </c>
      <c r="B20" s="143" t="s">
        <v>21</v>
      </c>
      <c r="C20" s="144">
        <v>404.0</v>
      </c>
      <c r="D20" s="148">
        <f t="array" ref="D20">IFERROR(_xlfn.XLOOKUP(C20,Code!A:A,Code!B:B),"")</f>
        <v>0.67</v>
      </c>
      <c r="E20" s="110" t="s">
        <v>23</v>
      </c>
      <c r="F20" s="149" t="s">
        <v>55</v>
      </c>
      <c r="G20" s="148" t="s">
        <v>17</v>
      </c>
      <c r="H20" s="101" t="s">
        <v>25</v>
      </c>
      <c r="I20" s="101">
        <v>1.0</v>
      </c>
      <c r="J20" s="101"/>
      <c r="K20" s="101"/>
      <c r="L20" s="101"/>
      <c r="M20" s="101"/>
      <c r="N20" s="148"/>
    </row>
    <row r="21" ht="20.25" customHeight="1">
      <c r="A21" s="57"/>
      <c r="B21" s="141"/>
      <c r="C21" s="141"/>
      <c r="D21" s="141"/>
      <c r="E21" s="141"/>
      <c r="F21" s="141"/>
      <c r="G21" s="141"/>
      <c r="H21" s="114" t="s">
        <v>18</v>
      </c>
      <c r="I21" s="114">
        <v>25.0</v>
      </c>
      <c r="J21" s="114"/>
      <c r="K21" s="114"/>
      <c r="L21" s="114"/>
      <c r="M21" s="114"/>
      <c r="N21" s="141"/>
    </row>
    <row r="22" ht="20.25" customHeight="1">
      <c r="A22" s="29"/>
      <c r="B22" s="143" t="s">
        <v>21</v>
      </c>
      <c r="C22" s="144">
        <v>406.0</v>
      </c>
      <c r="D22" s="148">
        <f t="array" ref="D22">IFERROR(_xlfn.XLOOKUP(C22,Code!A:A,Code!B:B),"")</f>
        <v>1.1</v>
      </c>
      <c r="E22" s="110" t="s">
        <v>23</v>
      </c>
      <c r="F22" s="149" t="s">
        <v>58</v>
      </c>
      <c r="G22" s="148" t="s">
        <v>17</v>
      </c>
      <c r="H22" s="101" t="s">
        <v>25</v>
      </c>
      <c r="I22" s="101">
        <v>1.0</v>
      </c>
      <c r="J22" s="101"/>
      <c r="K22" s="101"/>
      <c r="L22" s="101"/>
      <c r="M22" s="101"/>
      <c r="N22" s="148"/>
    </row>
    <row r="23" ht="20.25" customHeight="1">
      <c r="A23" s="57"/>
      <c r="B23" s="141"/>
      <c r="C23" s="141"/>
      <c r="D23" s="141"/>
      <c r="E23" s="141"/>
      <c r="F23" s="141"/>
      <c r="G23" s="141"/>
      <c r="H23" s="114" t="s">
        <v>18</v>
      </c>
      <c r="I23" s="114">
        <v>11.0</v>
      </c>
      <c r="J23" s="114"/>
      <c r="K23" s="114"/>
      <c r="L23" s="114"/>
      <c r="M23" s="114"/>
      <c r="N23" s="141"/>
    </row>
    <row r="24" ht="20.25" customHeight="1">
      <c r="A24" s="29"/>
      <c r="B24" s="143" t="s">
        <v>21</v>
      </c>
      <c r="C24" s="144">
        <v>418.0</v>
      </c>
      <c r="D24" s="148">
        <f t="array" ref="D24">IFERROR(_xlfn.XLOOKUP(C24,Code!A:A,Code!B:B),"")</f>
        <v>1.32</v>
      </c>
      <c r="E24" s="149" t="s">
        <v>23</v>
      </c>
      <c r="F24" s="149" t="s">
        <v>50</v>
      </c>
      <c r="G24" s="148" t="s">
        <v>17</v>
      </c>
      <c r="H24" s="101" t="s">
        <v>25</v>
      </c>
      <c r="I24" s="101">
        <v>1.0</v>
      </c>
      <c r="J24" s="101"/>
      <c r="K24" s="101"/>
      <c r="L24" s="101"/>
      <c r="M24" s="101"/>
      <c r="N24" s="148"/>
    </row>
    <row r="25" ht="20.25" customHeight="1">
      <c r="A25" s="57"/>
      <c r="B25" s="141"/>
      <c r="C25" s="57"/>
      <c r="D25" s="57"/>
      <c r="E25" s="57"/>
      <c r="F25" s="57"/>
      <c r="G25" s="57"/>
      <c r="H25" s="114" t="s">
        <v>18</v>
      </c>
      <c r="I25" s="114">
        <v>18.0</v>
      </c>
      <c r="J25" s="114"/>
      <c r="K25" s="114"/>
      <c r="L25" s="114"/>
      <c r="M25" s="114"/>
      <c r="N25" s="57"/>
    </row>
    <row r="26" ht="20.25" customHeight="1">
      <c r="A26" s="100"/>
      <c r="B26" s="155" t="s">
        <v>51</v>
      </c>
      <c r="C26" s="100"/>
      <c r="D26" s="100"/>
      <c r="E26" s="100"/>
      <c r="F26" s="100"/>
      <c r="G26" s="100"/>
      <c r="H26" s="101" t="s">
        <v>18</v>
      </c>
      <c r="I26" s="101">
        <v>2.0</v>
      </c>
      <c r="J26" s="101"/>
      <c r="K26" s="101"/>
      <c r="L26" s="101"/>
      <c r="M26" s="101"/>
      <c r="N26" s="100"/>
    </row>
    <row r="27" ht="20.25" customHeight="1">
      <c r="A27" s="156">
        <v>46146.0</v>
      </c>
      <c r="B27" s="106" t="s">
        <v>21</v>
      </c>
      <c r="C27" s="107">
        <v>418.0</v>
      </c>
      <c r="D27" s="109">
        <f t="array" ref="D27">IFERROR(_xlfn.XLOOKUP(C27,Code!A:A,Code!B:B),"")</f>
        <v>1.32</v>
      </c>
      <c r="E27" s="110" t="s">
        <v>23</v>
      </c>
      <c r="F27" s="110" t="s">
        <v>50</v>
      </c>
      <c r="G27" s="109" t="s">
        <v>17</v>
      </c>
      <c r="H27" s="114" t="s">
        <v>25</v>
      </c>
      <c r="I27" s="114">
        <v>1.0</v>
      </c>
      <c r="J27" s="114"/>
      <c r="K27" s="114"/>
      <c r="L27" s="114"/>
      <c r="M27" s="114"/>
      <c r="N27" s="109"/>
    </row>
    <row r="28" ht="20.25" customHeight="1">
      <c r="A28" s="29"/>
      <c r="B28" s="100"/>
      <c r="C28" s="29"/>
      <c r="D28" s="29"/>
      <c r="E28" s="29"/>
      <c r="F28" s="29"/>
      <c r="G28" s="29"/>
      <c r="H28" s="101" t="s">
        <v>18</v>
      </c>
      <c r="I28" s="101">
        <v>17.0</v>
      </c>
      <c r="J28" s="101"/>
      <c r="K28" s="101"/>
      <c r="L28" s="101"/>
      <c r="M28" s="101"/>
      <c r="N28" s="29"/>
    </row>
    <row r="29" ht="20.25" customHeight="1">
      <c r="A29" s="57"/>
      <c r="B29" s="142" t="s">
        <v>51</v>
      </c>
      <c r="C29" s="141"/>
      <c r="D29" s="141"/>
      <c r="E29" s="141"/>
      <c r="F29" s="141"/>
      <c r="G29" s="141"/>
      <c r="H29" s="114" t="s">
        <v>18</v>
      </c>
      <c r="I29" s="114">
        <v>2.0</v>
      </c>
      <c r="J29" s="114"/>
      <c r="K29" s="114"/>
      <c r="L29" s="114"/>
      <c r="M29" s="114"/>
      <c r="N29" s="141"/>
    </row>
    <row r="30" ht="20.25" customHeight="1">
      <c r="A30" s="29"/>
      <c r="B30" s="143" t="s">
        <v>21</v>
      </c>
      <c r="C30" s="164">
        <v>406.0</v>
      </c>
      <c r="D30" s="149">
        <f t="array" ref="D30">IFERROR(_xlfn.XLOOKUP(C30,Code!A:A,Code!B:B),"")</f>
        <v>1.1</v>
      </c>
      <c r="E30" s="149" t="s">
        <v>23</v>
      </c>
      <c r="F30" s="149" t="s">
        <v>62</v>
      </c>
      <c r="G30" s="149" t="s">
        <v>17</v>
      </c>
      <c r="H30" s="139" t="s">
        <v>25</v>
      </c>
      <c r="I30" s="139">
        <v>1.0</v>
      </c>
      <c r="J30" s="139">
        <v>120.0</v>
      </c>
      <c r="K30" s="149">
        <v>1420.0</v>
      </c>
      <c r="L30" s="149">
        <v>30.0</v>
      </c>
      <c r="M30" s="149">
        <v>420.0</v>
      </c>
      <c r="N30" s="149">
        <f>SUM(K30+M30)</f>
        <v>1840</v>
      </c>
    </row>
    <row r="31" ht="20.25" customHeight="1">
      <c r="A31" s="57"/>
      <c r="B31" s="141"/>
      <c r="C31" s="57"/>
      <c r="D31" s="57"/>
      <c r="E31" s="57"/>
      <c r="F31" s="57"/>
      <c r="G31" s="57"/>
      <c r="H31" s="136" t="s">
        <v>18</v>
      </c>
      <c r="I31" s="136">
        <v>12.0</v>
      </c>
      <c r="J31" s="136">
        <v>100.0</v>
      </c>
      <c r="K31" s="57"/>
      <c r="L31" s="57"/>
      <c r="M31" s="57"/>
      <c r="N31" s="57"/>
    </row>
    <row r="32" ht="20.25" customHeight="1">
      <c r="A32" s="100"/>
      <c r="B32" s="155" t="s">
        <v>51</v>
      </c>
      <c r="C32" s="100"/>
      <c r="D32" s="100"/>
      <c r="E32" s="100"/>
      <c r="F32" s="100"/>
      <c r="G32" s="100"/>
      <c r="H32" s="139" t="s">
        <v>18</v>
      </c>
      <c r="I32" s="139">
        <v>1.0</v>
      </c>
      <c r="J32" s="139">
        <v>100.0</v>
      </c>
      <c r="K32" s="100"/>
      <c r="L32" s="100"/>
      <c r="M32" s="100"/>
      <c r="N32" s="100"/>
    </row>
    <row r="33" ht="20.25" customHeight="1">
      <c r="A33" s="103">
        <v>46147.0</v>
      </c>
      <c r="B33" s="106" t="s">
        <v>21</v>
      </c>
      <c r="C33" s="107">
        <v>422.0</v>
      </c>
      <c r="D33" s="109">
        <f t="array" ref="D33">IFERROR(_xlfn.XLOOKUP(C33,Code!A:A,Code!B:B),"")</f>
        <v>1.24</v>
      </c>
      <c r="E33" s="110" t="s">
        <v>23</v>
      </c>
      <c r="F33" s="110" t="s">
        <v>50</v>
      </c>
      <c r="G33" s="109" t="s">
        <v>17</v>
      </c>
      <c r="H33" s="114" t="s">
        <v>25</v>
      </c>
      <c r="I33" s="114">
        <v>1.0</v>
      </c>
      <c r="J33" s="114"/>
      <c r="K33" s="114"/>
      <c r="L33" s="114"/>
      <c r="M33" s="114"/>
      <c r="N33" s="109"/>
    </row>
    <row r="34" ht="20.25" customHeight="1">
      <c r="A34" s="29"/>
      <c r="B34" s="100"/>
      <c r="C34" s="29"/>
      <c r="D34" s="29"/>
      <c r="E34" s="29"/>
      <c r="F34" s="29"/>
      <c r="G34" s="29"/>
      <c r="H34" s="101" t="s">
        <v>18</v>
      </c>
      <c r="I34" s="101">
        <v>19.0</v>
      </c>
      <c r="J34" s="101"/>
      <c r="K34" s="101"/>
      <c r="L34" s="101"/>
      <c r="M34" s="101"/>
      <c r="N34" s="29"/>
    </row>
    <row r="35" ht="20.25" customHeight="1">
      <c r="A35" s="57"/>
      <c r="B35" s="142" t="s">
        <v>51</v>
      </c>
      <c r="C35" s="141"/>
      <c r="D35" s="141"/>
      <c r="E35" s="141"/>
      <c r="F35" s="141"/>
      <c r="G35" s="141"/>
      <c r="H35" s="114" t="s">
        <v>18</v>
      </c>
      <c r="I35" s="114">
        <v>2.0</v>
      </c>
      <c r="J35" s="114"/>
      <c r="K35" s="114"/>
      <c r="L35" s="114"/>
      <c r="M35" s="114"/>
      <c r="N35" s="141"/>
    </row>
    <row r="36" ht="20.25" customHeight="1">
      <c r="A36" s="29"/>
      <c r="B36" s="143" t="s">
        <v>21</v>
      </c>
      <c r="C36" s="164">
        <v>406.0</v>
      </c>
      <c r="D36" s="149">
        <f t="array" ref="D36">IFERROR(_xlfn.XLOOKUP(C36,Code!A:A,Code!B:B),"")</f>
        <v>1.1</v>
      </c>
      <c r="E36" s="149" t="s">
        <v>23</v>
      </c>
      <c r="F36" s="149" t="s">
        <v>64</v>
      </c>
      <c r="G36" s="149" t="s">
        <v>17</v>
      </c>
      <c r="H36" s="139" t="s">
        <v>25</v>
      </c>
      <c r="I36" s="139">
        <v>1.0</v>
      </c>
      <c r="J36" s="139">
        <v>120.0</v>
      </c>
      <c r="K36" s="149">
        <v>1120.0</v>
      </c>
      <c r="L36" s="149">
        <v>30.0</v>
      </c>
      <c r="M36" s="149">
        <v>330.0</v>
      </c>
      <c r="N36" s="149">
        <f>SUM(K36+M36)</f>
        <v>1450</v>
      </c>
    </row>
    <row r="37" ht="20.25" customHeight="1">
      <c r="A37" s="57"/>
      <c r="B37" s="141"/>
      <c r="C37" s="57"/>
      <c r="D37" s="57"/>
      <c r="E37" s="57"/>
      <c r="F37" s="57"/>
      <c r="G37" s="57"/>
      <c r="H37" s="136" t="s">
        <v>18</v>
      </c>
      <c r="I37" s="136">
        <v>9.0</v>
      </c>
      <c r="J37" s="136">
        <v>100.0</v>
      </c>
      <c r="K37" s="57"/>
      <c r="L37" s="57"/>
      <c r="M37" s="57"/>
      <c r="N37" s="57"/>
    </row>
    <row r="38" ht="20.25" customHeight="1">
      <c r="A38" s="29"/>
      <c r="B38" s="155" t="s">
        <v>51</v>
      </c>
      <c r="C38" s="100"/>
      <c r="D38" s="100"/>
      <c r="E38" s="100"/>
      <c r="F38" s="100"/>
      <c r="G38" s="100"/>
      <c r="H38" s="139" t="s">
        <v>18</v>
      </c>
      <c r="I38" s="139">
        <v>1.0</v>
      </c>
      <c r="J38" s="139">
        <v>100.0</v>
      </c>
      <c r="K38" s="100"/>
      <c r="L38" s="100"/>
      <c r="M38" s="100"/>
      <c r="N38" s="100"/>
    </row>
    <row r="39" ht="20.25" customHeight="1">
      <c r="A39" s="57"/>
      <c r="B39" s="106" t="s">
        <v>21</v>
      </c>
      <c r="C39" s="107">
        <v>420.0</v>
      </c>
      <c r="D39" s="109">
        <f t="array" ref="D39">IFERROR(_xlfn.XLOOKUP(C39,Code!A:A,Code!B:B),"")</f>
        <v>1.41</v>
      </c>
      <c r="E39" s="110" t="s">
        <v>23</v>
      </c>
      <c r="F39" s="110" t="s">
        <v>58</v>
      </c>
      <c r="G39" s="109" t="s">
        <v>17</v>
      </c>
      <c r="H39" s="114" t="s">
        <v>25</v>
      </c>
      <c r="I39" s="114">
        <v>1.0</v>
      </c>
      <c r="J39" s="114"/>
      <c r="K39" s="114"/>
      <c r="L39" s="114"/>
      <c r="M39" s="114"/>
      <c r="N39" s="109"/>
    </row>
    <row r="40" ht="20.25" customHeight="1">
      <c r="A40" s="29"/>
      <c r="B40" s="100"/>
      <c r="C40" s="29"/>
      <c r="D40" s="29"/>
      <c r="E40" s="29"/>
      <c r="F40" s="29"/>
      <c r="G40" s="29"/>
      <c r="H40" s="101" t="s">
        <v>18</v>
      </c>
      <c r="I40" s="101">
        <v>15.0</v>
      </c>
      <c r="J40" s="101"/>
      <c r="K40" s="101"/>
      <c r="L40" s="101"/>
      <c r="M40" s="101"/>
      <c r="N40" s="29"/>
    </row>
    <row r="41" ht="20.25" customHeight="1">
      <c r="A41" s="57"/>
      <c r="B41" s="142" t="s">
        <v>51</v>
      </c>
      <c r="C41" s="141"/>
      <c r="D41" s="141"/>
      <c r="E41" s="141"/>
      <c r="F41" s="141"/>
      <c r="G41" s="141"/>
      <c r="H41" s="114" t="s">
        <v>18</v>
      </c>
      <c r="I41" s="114">
        <v>1.0</v>
      </c>
      <c r="J41" s="114"/>
      <c r="K41" s="114"/>
      <c r="L41" s="114"/>
      <c r="M41" s="114"/>
      <c r="N41" s="141"/>
    </row>
    <row r="42" ht="20.25" customHeight="1">
      <c r="A42" s="29"/>
      <c r="B42" s="143" t="s">
        <v>21</v>
      </c>
      <c r="C42" s="164">
        <v>409.0</v>
      </c>
      <c r="D42" s="149">
        <f t="array" ref="D42">IFERROR(_xlfn.XLOOKUP(C42,Code!A:A,Code!B:B),"")</f>
        <v>1</v>
      </c>
      <c r="E42" s="110" t="s">
        <v>23</v>
      </c>
      <c r="F42" s="149" t="s">
        <v>67</v>
      </c>
      <c r="G42" s="149" t="s">
        <v>17</v>
      </c>
      <c r="H42" s="139" t="s">
        <v>25</v>
      </c>
      <c r="I42" s="139">
        <v>1.0</v>
      </c>
      <c r="J42" s="139">
        <v>120.0</v>
      </c>
      <c r="K42" s="149">
        <v>2220.0</v>
      </c>
      <c r="L42" s="149">
        <v>30.0</v>
      </c>
      <c r="M42" s="149">
        <v>660.0</v>
      </c>
      <c r="N42" s="149">
        <f>SUM(K42+M42)</f>
        <v>2880</v>
      </c>
    </row>
    <row r="43" ht="20.25" customHeight="1">
      <c r="A43" s="57"/>
      <c r="B43" s="141"/>
      <c r="C43" s="57"/>
      <c r="D43" s="57"/>
      <c r="E43" s="57"/>
      <c r="F43" s="57"/>
      <c r="G43" s="57"/>
      <c r="H43" s="136" t="s">
        <v>18</v>
      </c>
      <c r="I43" s="136">
        <v>20.0</v>
      </c>
      <c r="J43" s="136">
        <v>100.0</v>
      </c>
      <c r="K43" s="57"/>
      <c r="L43" s="57"/>
      <c r="M43" s="57"/>
      <c r="N43" s="57"/>
    </row>
    <row r="44" ht="20.25" customHeight="1">
      <c r="A44" s="29"/>
      <c r="B44" s="155" t="s">
        <v>51</v>
      </c>
      <c r="C44" s="100"/>
      <c r="D44" s="100"/>
      <c r="E44" s="100"/>
      <c r="F44" s="100"/>
      <c r="G44" s="100"/>
      <c r="H44" s="139" t="s">
        <v>18</v>
      </c>
      <c r="I44" s="139">
        <v>1.0</v>
      </c>
      <c r="J44" s="139">
        <v>100.0</v>
      </c>
      <c r="K44" s="100"/>
      <c r="L44" s="100"/>
      <c r="M44" s="100"/>
      <c r="N44" s="100"/>
    </row>
    <row r="45" ht="20.25" customHeight="1">
      <c r="A45" s="57"/>
      <c r="B45" s="106" t="s">
        <v>21</v>
      </c>
      <c r="C45" s="134">
        <v>408.0</v>
      </c>
      <c r="D45" s="110">
        <f t="array" ref="D45">IFERROR(_xlfn.XLOOKUP(C45,Code!A:A,Code!B:B),"")</f>
        <v>1.06</v>
      </c>
      <c r="E45" s="110" t="s">
        <v>68</v>
      </c>
      <c r="F45" s="110" t="s">
        <v>69</v>
      </c>
      <c r="G45" s="110" t="s">
        <v>17</v>
      </c>
      <c r="H45" s="136" t="s">
        <v>25</v>
      </c>
      <c r="I45" s="136">
        <v>1.0</v>
      </c>
      <c r="J45" s="136">
        <v>120.0</v>
      </c>
      <c r="K45" s="110">
        <v>1320.0</v>
      </c>
      <c r="L45" s="110">
        <v>25.0</v>
      </c>
      <c r="M45" s="110">
        <v>325.0</v>
      </c>
      <c r="N45" s="110">
        <f>SUM(K45+M45)</f>
        <v>1645</v>
      </c>
    </row>
    <row r="46" ht="20.25" customHeight="1">
      <c r="A46" s="29"/>
      <c r="B46" s="100"/>
      <c r="C46" s="29"/>
      <c r="D46" s="29"/>
      <c r="E46" s="29"/>
      <c r="F46" s="29"/>
      <c r="G46" s="29"/>
      <c r="H46" s="139" t="s">
        <v>18</v>
      </c>
      <c r="I46" s="139">
        <v>11.0</v>
      </c>
      <c r="J46" s="139">
        <v>100.0</v>
      </c>
      <c r="K46" s="29"/>
      <c r="L46" s="29"/>
      <c r="M46" s="29"/>
      <c r="N46" s="29"/>
    </row>
    <row r="47" ht="20.25" customHeight="1">
      <c r="A47" s="141"/>
      <c r="B47" s="142" t="s">
        <v>51</v>
      </c>
      <c r="C47" s="141"/>
      <c r="D47" s="141"/>
      <c r="E47" s="141"/>
      <c r="F47" s="141"/>
      <c r="G47" s="141"/>
      <c r="H47" s="136" t="s">
        <v>18</v>
      </c>
      <c r="I47" s="136">
        <v>1.0</v>
      </c>
      <c r="J47" s="136">
        <v>100.0</v>
      </c>
      <c r="K47" s="141"/>
      <c r="L47" s="141"/>
      <c r="M47" s="141"/>
      <c r="N47" s="141"/>
    </row>
    <row r="48" ht="20.25" customHeight="1">
      <c r="A48" s="103">
        <v>46148.0</v>
      </c>
      <c r="B48" s="143" t="s">
        <v>21</v>
      </c>
      <c r="C48" s="144">
        <v>422.0</v>
      </c>
      <c r="D48" s="148">
        <f t="array" ref="D48">IFERROR(_xlfn.XLOOKUP(C48,Code!A:A,Code!B:B),"")</f>
        <v>1.24</v>
      </c>
      <c r="E48" s="149" t="s">
        <v>23</v>
      </c>
      <c r="F48" s="149" t="s">
        <v>50</v>
      </c>
      <c r="G48" s="148" t="s">
        <v>17</v>
      </c>
      <c r="H48" s="101" t="s">
        <v>25</v>
      </c>
      <c r="I48" s="101">
        <v>1.0</v>
      </c>
      <c r="J48" s="101"/>
      <c r="K48" s="101"/>
      <c r="L48" s="101"/>
      <c r="M48" s="101"/>
      <c r="N48" s="148"/>
    </row>
    <row r="49" ht="20.25" customHeight="1">
      <c r="A49" s="57"/>
      <c r="B49" s="141"/>
      <c r="C49" s="57"/>
      <c r="D49" s="57"/>
      <c r="E49" s="57"/>
      <c r="F49" s="57"/>
      <c r="G49" s="57"/>
      <c r="H49" s="114" t="s">
        <v>18</v>
      </c>
      <c r="I49" s="114">
        <v>18.0</v>
      </c>
      <c r="J49" s="180"/>
      <c r="K49" s="114"/>
      <c r="L49" s="114"/>
      <c r="M49" s="114"/>
      <c r="N49" s="57"/>
    </row>
    <row r="50" ht="20.25" customHeight="1">
      <c r="A50" s="29"/>
      <c r="B50" s="155" t="s">
        <v>51</v>
      </c>
      <c r="C50" s="100"/>
      <c r="D50" s="100"/>
      <c r="E50" s="100"/>
      <c r="F50" s="100"/>
      <c r="G50" s="100"/>
      <c r="H50" s="101" t="s">
        <v>18</v>
      </c>
      <c r="I50" s="101">
        <v>2.0</v>
      </c>
      <c r="J50" s="101"/>
      <c r="K50" s="101"/>
      <c r="L50" s="101"/>
      <c r="M50" s="101"/>
      <c r="N50" s="100"/>
    </row>
    <row r="51" ht="20.25" customHeight="1">
      <c r="A51" s="57"/>
      <c r="B51" s="106" t="s">
        <v>21</v>
      </c>
      <c r="C51" s="134">
        <v>407.0</v>
      </c>
      <c r="D51" s="110">
        <f t="array" ref="D51">IFERROR(_xlfn.XLOOKUP(C51,Code!A:A,Code!B:B),"")</f>
        <v>0.72</v>
      </c>
      <c r="E51" s="110" t="s">
        <v>23</v>
      </c>
      <c r="F51" s="110" t="s">
        <v>72</v>
      </c>
      <c r="G51" s="110" t="s">
        <v>17</v>
      </c>
      <c r="H51" s="136" t="s">
        <v>25</v>
      </c>
      <c r="I51" s="136">
        <v>1.0</v>
      </c>
      <c r="J51" s="136">
        <v>120.0</v>
      </c>
      <c r="K51" s="110">
        <v>1320.0</v>
      </c>
      <c r="L51" s="110">
        <v>30.0</v>
      </c>
      <c r="M51" s="110">
        <v>390.0</v>
      </c>
      <c r="N51" s="110">
        <f>SUM(K51+M51)</f>
        <v>1710</v>
      </c>
    </row>
    <row r="52" ht="20.25" customHeight="1">
      <c r="A52" s="29"/>
      <c r="B52" s="100"/>
      <c r="C52" s="29"/>
      <c r="D52" s="29"/>
      <c r="E52" s="29"/>
      <c r="F52" s="29"/>
      <c r="G52" s="29"/>
      <c r="H52" s="139" t="s">
        <v>18</v>
      </c>
      <c r="I52" s="139">
        <v>11.0</v>
      </c>
      <c r="J52" s="139">
        <v>100.0</v>
      </c>
      <c r="K52" s="29"/>
      <c r="L52" s="29"/>
      <c r="M52" s="29"/>
      <c r="N52" s="29"/>
    </row>
    <row r="53" ht="20.25" customHeight="1">
      <c r="A53" s="57"/>
      <c r="B53" s="142" t="s">
        <v>51</v>
      </c>
      <c r="C53" s="141"/>
      <c r="D53" s="141"/>
      <c r="E53" s="141"/>
      <c r="F53" s="141"/>
      <c r="G53" s="141"/>
      <c r="H53" s="136" t="s">
        <v>18</v>
      </c>
      <c r="I53" s="136">
        <v>1.0</v>
      </c>
      <c r="J53" s="136">
        <v>100.0</v>
      </c>
      <c r="K53" s="141"/>
      <c r="L53" s="141"/>
      <c r="M53" s="141"/>
      <c r="N53" s="141"/>
    </row>
    <row r="54" ht="20.25" customHeight="1">
      <c r="A54" s="29"/>
      <c r="B54" s="143" t="s">
        <v>21</v>
      </c>
      <c r="C54" s="144">
        <v>423.0</v>
      </c>
      <c r="D54" s="148">
        <f t="array" ref="D54">IFERROR(_xlfn.XLOOKUP(C54,Code!A:A,Code!B:B),"")</f>
        <v>1.03</v>
      </c>
      <c r="E54" s="149" t="s">
        <v>23</v>
      </c>
      <c r="F54" s="149" t="s">
        <v>58</v>
      </c>
      <c r="G54" s="148" t="s">
        <v>17</v>
      </c>
      <c r="H54" s="101" t="s">
        <v>25</v>
      </c>
      <c r="I54" s="101">
        <v>1.0</v>
      </c>
      <c r="J54" s="101"/>
      <c r="K54" s="101"/>
      <c r="L54" s="148"/>
      <c r="M54" s="148"/>
      <c r="N54" s="148"/>
    </row>
    <row r="55" ht="20.25" customHeight="1">
      <c r="A55" s="57"/>
      <c r="B55" s="141"/>
      <c r="C55" s="57"/>
      <c r="D55" s="57"/>
      <c r="E55" s="57"/>
      <c r="F55" s="57"/>
      <c r="G55" s="57"/>
      <c r="H55" s="114" t="s">
        <v>18</v>
      </c>
      <c r="I55" s="114">
        <v>14.0</v>
      </c>
      <c r="J55" s="114"/>
      <c r="K55" s="109"/>
      <c r="L55" s="57"/>
      <c r="M55" s="57"/>
      <c r="N55" s="57"/>
    </row>
    <row r="56" ht="20.25" customHeight="1">
      <c r="A56" s="29"/>
      <c r="B56" s="155" t="s">
        <v>51</v>
      </c>
      <c r="C56" s="100"/>
      <c r="D56" s="100"/>
      <c r="E56" s="100"/>
      <c r="F56" s="100"/>
      <c r="G56" s="100"/>
      <c r="H56" s="101" t="s">
        <v>18</v>
      </c>
      <c r="I56" s="101">
        <v>1.0</v>
      </c>
      <c r="J56" s="101"/>
      <c r="K56" s="100"/>
      <c r="L56" s="100"/>
      <c r="M56" s="100"/>
      <c r="N56" s="100"/>
    </row>
    <row r="57" ht="20.25" customHeight="1">
      <c r="A57" s="57"/>
      <c r="B57" s="106" t="s">
        <v>21</v>
      </c>
      <c r="C57" s="134">
        <v>401.0</v>
      </c>
      <c r="D57" s="110">
        <f t="array" ref="D57">IFERROR(_xlfn.XLOOKUP(C57,Code!A:A,Code!B:B),"")</f>
        <v>0.83</v>
      </c>
      <c r="E57" s="110" t="s">
        <v>23</v>
      </c>
      <c r="F57" s="110" t="s">
        <v>74</v>
      </c>
      <c r="G57" s="110" t="s">
        <v>17</v>
      </c>
      <c r="H57" s="136" t="s">
        <v>25</v>
      </c>
      <c r="I57" s="136">
        <v>1.0</v>
      </c>
      <c r="J57" s="136">
        <v>120.0</v>
      </c>
      <c r="K57" s="110">
        <v>2020.0</v>
      </c>
      <c r="L57" s="110">
        <v>30.0</v>
      </c>
      <c r="M57" s="110">
        <v>600.0</v>
      </c>
      <c r="N57" s="110">
        <f>SUM(M57+K57)</f>
        <v>2620</v>
      </c>
    </row>
    <row r="58" ht="20.25" customHeight="1">
      <c r="A58" s="29"/>
      <c r="B58" s="100"/>
      <c r="C58" s="29"/>
      <c r="D58" s="29"/>
      <c r="E58" s="29"/>
      <c r="F58" s="29"/>
      <c r="G58" s="29"/>
      <c r="H58" s="139" t="s">
        <v>18</v>
      </c>
      <c r="I58" s="139">
        <v>17.0</v>
      </c>
      <c r="J58" s="139">
        <v>100.0</v>
      </c>
      <c r="K58" s="29"/>
      <c r="L58" s="29"/>
      <c r="M58" s="29"/>
      <c r="N58" s="29"/>
    </row>
    <row r="59" ht="20.25" customHeight="1">
      <c r="A59" s="57"/>
      <c r="B59" s="142" t="s">
        <v>51</v>
      </c>
      <c r="C59" s="141"/>
      <c r="D59" s="141"/>
      <c r="E59" s="141"/>
      <c r="F59" s="141"/>
      <c r="G59" s="141"/>
      <c r="H59" s="136" t="s">
        <v>18</v>
      </c>
      <c r="I59" s="136">
        <v>2.0</v>
      </c>
      <c r="J59" s="136">
        <v>100.0</v>
      </c>
      <c r="K59" s="141"/>
      <c r="L59" s="141"/>
      <c r="M59" s="141"/>
      <c r="N59" s="141"/>
    </row>
    <row r="60" ht="20.25" customHeight="1">
      <c r="A60" s="29"/>
      <c r="B60" s="143" t="s">
        <v>21</v>
      </c>
      <c r="C60" s="164">
        <v>408.0</v>
      </c>
      <c r="D60" s="149">
        <f t="array" ref="D60">IFERROR(_xlfn.XLOOKUP(C60,Code!A:A,Code!B:B),"")</f>
        <v>1.06</v>
      </c>
      <c r="E60" s="149" t="s">
        <v>68</v>
      </c>
      <c r="F60" s="149" t="s">
        <v>75</v>
      </c>
      <c r="G60" s="149" t="s">
        <v>17</v>
      </c>
      <c r="H60" s="139" t="s">
        <v>25</v>
      </c>
      <c r="I60" s="139">
        <v>1.0</v>
      </c>
      <c r="J60" s="139">
        <v>120.0</v>
      </c>
      <c r="K60" s="149">
        <v>1720.0</v>
      </c>
      <c r="L60" s="149">
        <v>25.0</v>
      </c>
      <c r="M60" s="149">
        <v>425.0</v>
      </c>
      <c r="N60" s="110">
        <f>SUM(M60+K60)</f>
        <v>2145</v>
      </c>
    </row>
    <row r="61" ht="20.25" customHeight="1">
      <c r="A61" s="57"/>
      <c r="B61" s="141"/>
      <c r="C61" s="57"/>
      <c r="D61" s="57"/>
      <c r="E61" s="57"/>
      <c r="F61" s="57"/>
      <c r="G61" s="57"/>
      <c r="H61" s="136" t="s">
        <v>18</v>
      </c>
      <c r="I61" s="136">
        <v>15.0</v>
      </c>
      <c r="J61" s="136">
        <v>100.0</v>
      </c>
      <c r="K61" s="57"/>
      <c r="L61" s="57"/>
      <c r="M61" s="57"/>
      <c r="N61" s="57"/>
    </row>
    <row r="62" ht="20.25" customHeight="1">
      <c r="A62" s="100"/>
      <c r="B62" s="155" t="s">
        <v>51</v>
      </c>
      <c r="C62" s="100"/>
      <c r="D62" s="100"/>
      <c r="E62" s="100"/>
      <c r="F62" s="100"/>
      <c r="G62" s="100"/>
      <c r="H62" s="139" t="s">
        <v>18</v>
      </c>
      <c r="I62" s="139">
        <v>1.0</v>
      </c>
      <c r="J62" s="139">
        <v>100.0</v>
      </c>
      <c r="K62" s="100"/>
      <c r="L62" s="100"/>
      <c r="M62" s="100"/>
      <c r="N62" s="100"/>
    </row>
    <row r="63" ht="20.25" customHeight="1">
      <c r="A63" s="103">
        <v>46149.0</v>
      </c>
      <c r="B63" s="106" t="s">
        <v>21</v>
      </c>
      <c r="C63" s="107">
        <v>422.0</v>
      </c>
      <c r="D63" s="109">
        <f t="array" ref="D63">IFERROR(_xlfn.XLOOKUP(C63,Code!A:A,Code!B:B),"")</f>
        <v>1.24</v>
      </c>
      <c r="E63" s="110" t="s">
        <v>23</v>
      </c>
      <c r="F63" s="110" t="s">
        <v>50</v>
      </c>
      <c r="G63" s="109" t="s">
        <v>17</v>
      </c>
      <c r="H63" s="114" t="s">
        <v>25</v>
      </c>
      <c r="I63" s="114">
        <v>1.0</v>
      </c>
      <c r="J63" s="114"/>
      <c r="K63" s="114"/>
      <c r="L63" s="109"/>
      <c r="M63" s="109"/>
      <c r="N63" s="109"/>
    </row>
    <row r="64" ht="20.25" customHeight="1">
      <c r="A64" s="29"/>
      <c r="B64" s="100"/>
      <c r="C64" s="29"/>
      <c r="D64" s="29"/>
      <c r="E64" s="29"/>
      <c r="F64" s="29"/>
      <c r="G64" s="29"/>
      <c r="H64" s="101" t="s">
        <v>18</v>
      </c>
      <c r="I64" s="101">
        <v>22.0</v>
      </c>
      <c r="J64" s="101"/>
      <c r="K64" s="148"/>
      <c r="L64" s="29"/>
      <c r="M64" s="29"/>
      <c r="N64" s="29"/>
    </row>
    <row r="65" ht="20.25" customHeight="1">
      <c r="A65" s="57"/>
      <c r="B65" s="142" t="s">
        <v>51</v>
      </c>
      <c r="C65" s="141"/>
      <c r="D65" s="141"/>
      <c r="E65" s="141"/>
      <c r="F65" s="141"/>
      <c r="G65" s="141"/>
      <c r="H65" s="114" t="s">
        <v>18</v>
      </c>
      <c r="I65" s="114">
        <v>2.0</v>
      </c>
      <c r="J65" s="114"/>
      <c r="K65" s="141"/>
      <c r="L65" s="141"/>
      <c r="M65" s="141"/>
      <c r="N65" s="141"/>
    </row>
    <row r="66" ht="20.25" customHeight="1">
      <c r="A66" s="29"/>
      <c r="B66" s="143" t="s">
        <v>21</v>
      </c>
      <c r="C66" s="164">
        <v>407.0</v>
      </c>
      <c r="D66" s="149">
        <f t="array" ref="D66">IFERROR(_xlfn.XLOOKUP(C66,Code!A:A,Code!B:B),"")</f>
        <v>0.72</v>
      </c>
      <c r="E66" s="149" t="s">
        <v>23</v>
      </c>
      <c r="F66" s="149" t="s">
        <v>77</v>
      </c>
      <c r="G66" s="149" t="s">
        <v>17</v>
      </c>
      <c r="H66" s="139" t="s">
        <v>25</v>
      </c>
      <c r="I66" s="139">
        <v>1.0</v>
      </c>
      <c r="J66" s="139">
        <v>120.0</v>
      </c>
      <c r="K66" s="149">
        <v>1720.0</v>
      </c>
      <c r="L66" s="149">
        <v>30.0</v>
      </c>
      <c r="M66" s="149">
        <v>510.0</v>
      </c>
      <c r="N66" s="110">
        <f>SUM(M66+K66)</f>
        <v>2230</v>
      </c>
    </row>
    <row r="67" ht="20.25" customHeight="1">
      <c r="A67" s="57"/>
      <c r="B67" s="141"/>
      <c r="C67" s="57"/>
      <c r="D67" s="57"/>
      <c r="E67" s="57"/>
      <c r="F67" s="57"/>
      <c r="G67" s="57"/>
      <c r="H67" s="136" t="s">
        <v>18</v>
      </c>
      <c r="I67" s="136">
        <v>15.0</v>
      </c>
      <c r="J67" s="136">
        <v>100.0</v>
      </c>
      <c r="K67" s="57"/>
      <c r="L67" s="57"/>
      <c r="M67" s="57"/>
      <c r="N67" s="57"/>
    </row>
    <row r="68" ht="20.25" customHeight="1">
      <c r="A68" s="29"/>
      <c r="B68" s="155" t="s">
        <v>51</v>
      </c>
      <c r="C68" s="100"/>
      <c r="D68" s="100"/>
      <c r="E68" s="100"/>
      <c r="F68" s="100"/>
      <c r="G68" s="100"/>
      <c r="H68" s="139" t="s">
        <v>18</v>
      </c>
      <c r="I68" s="139">
        <v>1.0</v>
      </c>
      <c r="J68" s="139">
        <v>100.0</v>
      </c>
      <c r="K68" s="100"/>
      <c r="L68" s="100"/>
      <c r="M68" s="100"/>
      <c r="N68" s="100"/>
    </row>
    <row r="69" ht="20.25" customHeight="1">
      <c r="A69" s="57"/>
      <c r="B69" s="106" t="s">
        <v>21</v>
      </c>
      <c r="C69" s="107">
        <v>423.0</v>
      </c>
      <c r="D69" s="109">
        <f t="array" ref="D69">IFERROR(_xlfn.XLOOKUP(C69,Code!A:A,Code!B:B),"")</f>
        <v>1.03</v>
      </c>
      <c r="E69" s="110" t="s">
        <v>23</v>
      </c>
      <c r="F69" s="110" t="s">
        <v>58</v>
      </c>
      <c r="G69" s="109" t="s">
        <v>17</v>
      </c>
      <c r="H69" s="114" t="s">
        <v>25</v>
      </c>
      <c r="I69" s="114">
        <v>1.0</v>
      </c>
      <c r="J69" s="114"/>
      <c r="K69" s="114"/>
      <c r="L69" s="109"/>
      <c r="M69" s="109"/>
      <c r="N69" s="109"/>
    </row>
    <row r="70" ht="20.25" customHeight="1">
      <c r="A70" s="29"/>
      <c r="B70" s="100"/>
      <c r="C70" s="29"/>
      <c r="D70" s="29"/>
      <c r="E70" s="29"/>
      <c r="F70" s="29"/>
      <c r="G70" s="29"/>
      <c r="H70" s="101" t="s">
        <v>18</v>
      </c>
      <c r="I70" s="101">
        <v>13.0</v>
      </c>
      <c r="J70" s="101"/>
      <c r="K70" s="148"/>
      <c r="L70" s="29"/>
      <c r="M70" s="29"/>
      <c r="N70" s="29"/>
    </row>
    <row r="71" ht="20.25" customHeight="1">
      <c r="A71" s="57"/>
      <c r="B71" s="142" t="s">
        <v>51</v>
      </c>
      <c r="C71" s="141"/>
      <c r="D71" s="141"/>
      <c r="E71" s="141"/>
      <c r="F71" s="141"/>
      <c r="G71" s="141"/>
      <c r="H71" s="114" t="s">
        <v>18</v>
      </c>
      <c r="I71" s="114">
        <v>1.0</v>
      </c>
      <c r="J71" s="114"/>
      <c r="K71" s="141"/>
      <c r="L71" s="141"/>
      <c r="M71" s="141"/>
      <c r="N71" s="141"/>
    </row>
    <row r="72" ht="20.25" customHeight="1">
      <c r="A72" s="29"/>
      <c r="B72" s="143" t="s">
        <v>21</v>
      </c>
      <c r="C72" s="164">
        <v>401.0</v>
      </c>
      <c r="D72" s="149">
        <f t="array" ref="D72">IFERROR(_xlfn.XLOOKUP(C72,Code!A:A,Code!B:B),"")</f>
        <v>0.83</v>
      </c>
      <c r="E72" s="149" t="s">
        <v>23</v>
      </c>
      <c r="F72" s="149" t="s">
        <v>79</v>
      </c>
      <c r="G72" s="149" t="s">
        <v>17</v>
      </c>
      <c r="H72" s="139" t="s">
        <v>25</v>
      </c>
      <c r="I72" s="139">
        <v>1.0</v>
      </c>
      <c r="J72" s="139">
        <v>120.0</v>
      </c>
      <c r="K72" s="149">
        <v>2120.0</v>
      </c>
      <c r="L72" s="149">
        <v>30.0</v>
      </c>
      <c r="M72" s="149">
        <v>630.0</v>
      </c>
      <c r="N72" s="110">
        <f>SUM(M72+K72)</f>
        <v>2750</v>
      </c>
    </row>
    <row r="73" ht="20.25" customHeight="1">
      <c r="A73" s="57"/>
      <c r="B73" s="141"/>
      <c r="C73" s="57"/>
      <c r="D73" s="57"/>
      <c r="E73" s="57"/>
      <c r="F73" s="57"/>
      <c r="G73" s="57"/>
      <c r="H73" s="136" t="s">
        <v>18</v>
      </c>
      <c r="I73" s="136">
        <v>18.0</v>
      </c>
      <c r="J73" s="136">
        <v>100.0</v>
      </c>
      <c r="K73" s="57"/>
      <c r="L73" s="57"/>
      <c r="M73" s="57"/>
      <c r="N73" s="57"/>
    </row>
    <row r="74" ht="20.25" customHeight="1">
      <c r="A74" s="29"/>
      <c r="B74" s="155" t="s">
        <v>51</v>
      </c>
      <c r="C74" s="100"/>
      <c r="D74" s="100"/>
      <c r="E74" s="100"/>
      <c r="F74" s="100"/>
      <c r="G74" s="100"/>
      <c r="H74" s="139" t="s">
        <v>18</v>
      </c>
      <c r="I74" s="139">
        <v>2.0</v>
      </c>
      <c r="J74" s="139">
        <v>100.0</v>
      </c>
      <c r="K74" s="100"/>
      <c r="L74" s="100"/>
      <c r="M74" s="100"/>
      <c r="N74" s="100"/>
    </row>
    <row r="75" ht="20.25" customHeight="1">
      <c r="A75" s="57"/>
      <c r="B75" s="106" t="s">
        <v>21</v>
      </c>
      <c r="C75" s="134">
        <v>408.0</v>
      </c>
      <c r="D75" s="110">
        <f t="array" ref="D75">IFERROR(_xlfn.XLOOKUP(C75,Code!A:A,Code!B:B),"")</f>
        <v>1.06</v>
      </c>
      <c r="E75" s="110" t="s">
        <v>68</v>
      </c>
      <c r="F75" s="110" t="s">
        <v>80</v>
      </c>
      <c r="G75" s="110" t="s">
        <v>17</v>
      </c>
      <c r="H75" s="136" t="s">
        <v>25</v>
      </c>
      <c r="I75" s="136">
        <v>1.0</v>
      </c>
      <c r="J75" s="136">
        <v>120.0</v>
      </c>
      <c r="K75" s="110">
        <v>1120.0</v>
      </c>
      <c r="L75" s="110">
        <v>25.0</v>
      </c>
      <c r="M75" s="110">
        <v>275.0</v>
      </c>
      <c r="N75" s="110">
        <f>SUM(K75+M75)</f>
        <v>1395</v>
      </c>
    </row>
    <row r="76" ht="20.25" customHeight="1">
      <c r="A76" s="29"/>
      <c r="B76" s="100"/>
      <c r="C76" s="29"/>
      <c r="D76" s="29"/>
      <c r="E76" s="29"/>
      <c r="F76" s="29"/>
      <c r="G76" s="29"/>
      <c r="H76" s="139" t="s">
        <v>18</v>
      </c>
      <c r="I76" s="139">
        <v>9.0</v>
      </c>
      <c r="J76" s="139">
        <v>100.0</v>
      </c>
      <c r="K76" s="29"/>
      <c r="L76" s="29"/>
      <c r="M76" s="29"/>
      <c r="N76" s="29"/>
    </row>
    <row r="77" ht="20.25" customHeight="1">
      <c r="A77" s="141"/>
      <c r="B77" s="142" t="s">
        <v>51</v>
      </c>
      <c r="C77" s="141"/>
      <c r="D77" s="141"/>
      <c r="E77" s="141"/>
      <c r="F77" s="141"/>
      <c r="G77" s="141"/>
      <c r="H77" s="136" t="s">
        <v>18</v>
      </c>
      <c r="I77" s="136">
        <v>1.0</v>
      </c>
      <c r="J77" s="136">
        <v>100.0</v>
      </c>
      <c r="K77" s="141"/>
      <c r="L77" s="141"/>
      <c r="M77" s="141"/>
      <c r="N77" s="141"/>
    </row>
    <row r="78" ht="20.25" customHeight="1">
      <c r="A78" s="103">
        <v>46150.0</v>
      </c>
      <c r="B78" s="143" t="s">
        <v>21</v>
      </c>
      <c r="C78" s="144">
        <v>424.0</v>
      </c>
      <c r="D78" s="148">
        <f t="array" ref="D78">IFERROR(_xlfn.XLOOKUP(C78,Code!A:A,Code!B:B),"")</f>
        <v>0.93</v>
      </c>
      <c r="E78" s="149" t="s">
        <v>23</v>
      </c>
      <c r="F78" s="149" t="s">
        <v>50</v>
      </c>
      <c r="G78" s="148" t="s">
        <v>17</v>
      </c>
      <c r="H78" s="101" t="s">
        <v>25</v>
      </c>
      <c r="I78" s="101">
        <v>1.0</v>
      </c>
      <c r="J78" s="101"/>
      <c r="K78" s="101"/>
      <c r="L78" s="148"/>
      <c r="M78" s="148"/>
      <c r="N78" s="148"/>
    </row>
    <row r="79" ht="20.25" customHeight="1">
      <c r="A79" s="57"/>
      <c r="B79" s="141"/>
      <c r="C79" s="57"/>
      <c r="D79" s="57"/>
      <c r="E79" s="57"/>
      <c r="F79" s="57"/>
      <c r="G79" s="57"/>
      <c r="H79" s="114" t="s">
        <v>18</v>
      </c>
      <c r="I79" s="114">
        <v>19.0</v>
      </c>
      <c r="J79" s="114"/>
      <c r="K79" s="109"/>
      <c r="L79" s="57"/>
      <c r="M79" s="57"/>
      <c r="N79" s="57"/>
    </row>
    <row r="80" ht="20.25" customHeight="1">
      <c r="A80" s="29"/>
      <c r="B80" s="155" t="s">
        <v>51</v>
      </c>
      <c r="C80" s="100"/>
      <c r="D80" s="100"/>
      <c r="E80" s="100"/>
      <c r="F80" s="100"/>
      <c r="G80" s="100"/>
      <c r="H80" s="101" t="s">
        <v>18</v>
      </c>
      <c r="I80" s="101">
        <v>2.0</v>
      </c>
      <c r="J80" s="101"/>
      <c r="K80" s="100"/>
      <c r="L80" s="100"/>
      <c r="M80" s="100"/>
      <c r="N80" s="100"/>
    </row>
    <row r="81" ht="20.25" customHeight="1">
      <c r="A81" s="57"/>
      <c r="B81" s="106" t="s">
        <v>21</v>
      </c>
      <c r="C81" s="186">
        <v>407.0</v>
      </c>
      <c r="D81" s="110">
        <f t="array" ref="D81">IFERROR(_xlfn.XLOOKUP(C81,Code!A:A,Code!B:B),"")</f>
        <v>0.72</v>
      </c>
      <c r="E81" s="110" t="s">
        <v>23</v>
      </c>
      <c r="F81" s="110" t="s">
        <v>83</v>
      </c>
      <c r="G81" s="110" t="s">
        <v>17</v>
      </c>
      <c r="H81" s="136" t="s">
        <v>25</v>
      </c>
      <c r="I81" s="136">
        <v>1.0</v>
      </c>
      <c r="J81" s="136">
        <v>120.0</v>
      </c>
      <c r="K81" s="110">
        <v>2320.0</v>
      </c>
      <c r="L81" s="110">
        <v>30.0</v>
      </c>
      <c r="M81" s="110">
        <v>690.0</v>
      </c>
      <c r="N81" s="110">
        <f>SUM(M81+K81)</f>
        <v>3010</v>
      </c>
    </row>
    <row r="82" ht="20.25" customHeight="1">
      <c r="A82" s="29"/>
      <c r="B82" s="100"/>
      <c r="C82" s="164">
        <v>410.0</v>
      </c>
      <c r="D82" s="29"/>
      <c r="E82" s="29"/>
      <c r="F82" s="29"/>
      <c r="G82" s="29"/>
      <c r="H82" s="139" t="s">
        <v>18</v>
      </c>
      <c r="I82" s="139">
        <v>21.0</v>
      </c>
      <c r="J82" s="139">
        <v>100.0</v>
      </c>
      <c r="K82" s="29"/>
      <c r="L82" s="29"/>
      <c r="M82" s="29"/>
      <c r="N82" s="29"/>
    </row>
    <row r="83" ht="20.25" customHeight="1">
      <c r="A83" s="57"/>
      <c r="B83" s="142" t="s">
        <v>51</v>
      </c>
      <c r="C83" s="141"/>
      <c r="D83" s="141"/>
      <c r="E83" s="141"/>
      <c r="F83" s="141"/>
      <c r="G83" s="141"/>
      <c r="H83" s="136" t="s">
        <v>18</v>
      </c>
      <c r="I83" s="136">
        <v>1.0</v>
      </c>
      <c r="J83" s="136">
        <v>100.0</v>
      </c>
      <c r="K83" s="141"/>
      <c r="L83" s="141"/>
      <c r="M83" s="141"/>
      <c r="N83" s="141"/>
    </row>
    <row r="84" ht="20.25" customHeight="1">
      <c r="A84" s="29"/>
      <c r="B84" s="143" t="s">
        <v>21</v>
      </c>
      <c r="C84" s="144">
        <v>423.0</v>
      </c>
      <c r="D84" s="148">
        <f t="array" ref="D84">IFERROR(_xlfn.XLOOKUP(C84,Code!A:A,Code!B:B),"")</f>
        <v>1.03</v>
      </c>
      <c r="E84" s="149" t="s">
        <v>23</v>
      </c>
      <c r="F84" s="149" t="s">
        <v>58</v>
      </c>
      <c r="G84" s="148" t="s">
        <v>17</v>
      </c>
      <c r="H84" s="101" t="s">
        <v>25</v>
      </c>
      <c r="I84" s="101">
        <v>1.0</v>
      </c>
      <c r="J84" s="101"/>
      <c r="K84" s="101"/>
      <c r="L84" s="148"/>
      <c r="M84" s="148"/>
      <c r="N84" s="148"/>
    </row>
    <row r="85" ht="20.25" customHeight="1">
      <c r="A85" s="57"/>
      <c r="B85" s="141"/>
      <c r="C85" s="57"/>
      <c r="D85" s="57"/>
      <c r="E85" s="57"/>
      <c r="F85" s="57"/>
      <c r="G85" s="57"/>
      <c r="H85" s="114" t="s">
        <v>18</v>
      </c>
      <c r="I85" s="114">
        <v>11.0</v>
      </c>
      <c r="J85" s="114"/>
      <c r="K85" s="109"/>
      <c r="L85" s="57"/>
      <c r="M85" s="57"/>
      <c r="N85" s="57"/>
    </row>
    <row r="86" ht="20.25" customHeight="1">
      <c r="A86" s="29"/>
      <c r="B86" s="155" t="s">
        <v>51</v>
      </c>
      <c r="C86" s="100"/>
      <c r="D86" s="100"/>
      <c r="E86" s="100"/>
      <c r="F86" s="100"/>
      <c r="G86" s="100"/>
      <c r="H86" s="101" t="s">
        <v>18</v>
      </c>
      <c r="I86" s="101">
        <v>1.0</v>
      </c>
      <c r="J86" s="101"/>
      <c r="K86" s="100"/>
      <c r="L86" s="100"/>
      <c r="M86" s="100"/>
      <c r="N86" s="100"/>
    </row>
    <row r="87" ht="20.25" customHeight="1">
      <c r="A87" s="57"/>
      <c r="B87" s="106" t="s">
        <v>21</v>
      </c>
      <c r="C87" s="186">
        <v>403.0</v>
      </c>
      <c r="D87" s="110">
        <f t="array" ref="D87">IFERROR(_xlfn.XLOOKUP(C87,Code!A:A,Code!B:B),"")</f>
        <v>0.67</v>
      </c>
      <c r="E87" s="110" t="s">
        <v>23</v>
      </c>
      <c r="F87" s="110" t="s">
        <v>86</v>
      </c>
      <c r="G87" s="110" t="s">
        <v>17</v>
      </c>
      <c r="H87" s="136" t="s">
        <v>25</v>
      </c>
      <c r="I87" s="136">
        <v>1.0</v>
      </c>
      <c r="J87" s="136">
        <v>120.0</v>
      </c>
      <c r="K87" s="110">
        <v>2120.0</v>
      </c>
      <c r="L87" s="110">
        <v>30.0</v>
      </c>
      <c r="M87" s="110">
        <v>630.0</v>
      </c>
      <c r="N87" s="110">
        <f>SUM(M87+K87)</f>
        <v>2750</v>
      </c>
    </row>
    <row r="88" ht="20.25" customHeight="1">
      <c r="A88" s="29"/>
      <c r="B88" s="100"/>
      <c r="C88" s="164">
        <v>404.0</v>
      </c>
      <c r="D88" s="29"/>
      <c r="E88" s="29"/>
      <c r="F88" s="29"/>
      <c r="G88" s="29"/>
      <c r="H88" s="139" t="s">
        <v>18</v>
      </c>
      <c r="I88" s="139">
        <v>18.0</v>
      </c>
      <c r="J88" s="139">
        <v>100.0</v>
      </c>
      <c r="K88" s="29"/>
      <c r="L88" s="29"/>
      <c r="M88" s="29"/>
      <c r="N88" s="29"/>
    </row>
    <row r="89" ht="20.25" customHeight="1">
      <c r="A89" s="57"/>
      <c r="B89" s="142" t="s">
        <v>51</v>
      </c>
      <c r="C89" s="141"/>
      <c r="D89" s="141"/>
      <c r="E89" s="141"/>
      <c r="F89" s="141"/>
      <c r="G89" s="141"/>
      <c r="H89" s="136" t="s">
        <v>18</v>
      </c>
      <c r="I89" s="136">
        <v>2.0</v>
      </c>
      <c r="J89" s="136">
        <v>100.0</v>
      </c>
      <c r="K89" s="141"/>
      <c r="L89" s="141"/>
      <c r="M89" s="141"/>
      <c r="N89" s="141"/>
    </row>
    <row r="90" ht="20.25" customHeight="1">
      <c r="A90" s="29"/>
      <c r="B90" s="143" t="s">
        <v>21</v>
      </c>
      <c r="C90" s="164">
        <v>408.0</v>
      </c>
      <c r="D90" s="149">
        <f t="array" ref="D90">IFERROR(_xlfn.XLOOKUP(C90,Code!A:A,Code!B:B),"")</f>
        <v>1.06</v>
      </c>
      <c r="E90" s="149" t="s">
        <v>68</v>
      </c>
      <c r="F90" s="149" t="s">
        <v>87</v>
      </c>
      <c r="G90" s="149" t="s">
        <v>17</v>
      </c>
      <c r="H90" s="139" t="s">
        <v>25</v>
      </c>
      <c r="I90" s="139">
        <v>1.0</v>
      </c>
      <c r="J90" s="139">
        <v>120.0</v>
      </c>
      <c r="K90" s="149">
        <v>1620.0</v>
      </c>
      <c r="L90" s="149">
        <v>25.0</v>
      </c>
      <c r="M90" s="149">
        <v>400.0</v>
      </c>
      <c r="N90" s="110">
        <f>SUM(M90+K90)</f>
        <v>2020</v>
      </c>
    </row>
    <row r="91" ht="20.25" customHeight="1">
      <c r="A91" s="57"/>
      <c r="B91" s="141"/>
      <c r="C91" s="57"/>
      <c r="D91" s="57"/>
      <c r="E91" s="57"/>
      <c r="F91" s="57"/>
      <c r="G91" s="57"/>
      <c r="H91" s="136" t="s">
        <v>18</v>
      </c>
      <c r="I91" s="136">
        <v>14.0</v>
      </c>
      <c r="J91" s="136">
        <v>100.0</v>
      </c>
      <c r="K91" s="57"/>
      <c r="L91" s="57"/>
      <c r="M91" s="57"/>
      <c r="N91" s="57"/>
    </row>
    <row r="92" ht="20.25" customHeight="1">
      <c r="A92" s="100"/>
      <c r="B92" s="155" t="s">
        <v>51</v>
      </c>
      <c r="C92" s="100"/>
      <c r="D92" s="100"/>
      <c r="E92" s="100"/>
      <c r="F92" s="100"/>
      <c r="G92" s="100"/>
      <c r="H92" s="139" t="s">
        <v>18</v>
      </c>
      <c r="I92" s="139">
        <v>1.0</v>
      </c>
      <c r="J92" s="139">
        <v>100.0</v>
      </c>
      <c r="K92" s="100"/>
      <c r="L92" s="100"/>
      <c r="M92" s="100"/>
      <c r="N92" s="100"/>
    </row>
    <row r="93" ht="20.25" customHeight="1">
      <c r="A93" s="156">
        <v>46151.0</v>
      </c>
      <c r="B93" s="106" t="s">
        <v>21</v>
      </c>
      <c r="C93" s="119">
        <v>424.0</v>
      </c>
      <c r="D93" s="109">
        <f t="array" ref="D93">IFERROR(_xlfn.XLOOKUP(C93,Code!A:A,Code!B:B),"")</f>
        <v>0.93</v>
      </c>
      <c r="E93" s="110" t="s">
        <v>23</v>
      </c>
      <c r="F93" s="110" t="s">
        <v>50</v>
      </c>
      <c r="G93" s="109" t="s">
        <v>17</v>
      </c>
      <c r="H93" s="114" t="s">
        <v>25</v>
      </c>
      <c r="I93" s="114">
        <v>1.0</v>
      </c>
      <c r="J93" s="114"/>
      <c r="K93" s="114"/>
      <c r="L93" s="109"/>
      <c r="M93" s="110"/>
      <c r="N93" s="110"/>
    </row>
    <row r="94" ht="20.25" customHeight="1">
      <c r="A94" s="29"/>
      <c r="B94" s="100"/>
      <c r="C94" s="144">
        <v>414.0</v>
      </c>
      <c r="D94" s="29"/>
      <c r="E94" s="29"/>
      <c r="F94" s="29"/>
      <c r="G94" s="29"/>
      <c r="H94" s="101" t="s">
        <v>18</v>
      </c>
      <c r="I94" s="101">
        <v>12.0</v>
      </c>
      <c r="J94" s="101"/>
      <c r="K94" s="148"/>
      <c r="L94" s="29"/>
      <c r="M94" s="29"/>
      <c r="N94" s="29"/>
    </row>
    <row r="95" ht="20.25" customHeight="1">
      <c r="A95" s="57"/>
      <c r="B95" s="142" t="s">
        <v>51</v>
      </c>
      <c r="C95" s="141"/>
      <c r="D95" s="141"/>
      <c r="E95" s="141"/>
      <c r="F95" s="141"/>
      <c r="G95" s="141"/>
      <c r="H95" s="114" t="s">
        <v>18</v>
      </c>
      <c r="I95" s="114">
        <v>2.0</v>
      </c>
      <c r="J95" s="114"/>
      <c r="K95" s="141"/>
      <c r="L95" s="141"/>
      <c r="M95" s="141"/>
      <c r="N95" s="141"/>
    </row>
    <row r="96" ht="20.25" customHeight="1">
      <c r="A96" s="29"/>
      <c r="B96" s="143" t="s">
        <v>21</v>
      </c>
      <c r="C96" s="188">
        <v>409.0</v>
      </c>
      <c r="D96" s="149">
        <f t="array" ref="D96">IFERROR(_xlfn.XLOOKUP(C96,Code!A:A,Code!B:B),"")</f>
        <v>1</v>
      </c>
      <c r="E96" s="149" t="s">
        <v>23</v>
      </c>
      <c r="F96" s="149" t="s">
        <v>89</v>
      </c>
      <c r="G96" s="149" t="s">
        <v>17</v>
      </c>
      <c r="H96" s="139" t="s">
        <v>25</v>
      </c>
      <c r="I96" s="139">
        <v>1.0</v>
      </c>
      <c r="J96" s="139">
        <v>120.0</v>
      </c>
      <c r="K96" s="149">
        <v>1920.0</v>
      </c>
      <c r="L96" s="149">
        <v>30.0</v>
      </c>
      <c r="M96" s="149">
        <v>570.0</v>
      </c>
      <c r="N96" s="110">
        <f>SUM(M96+K96)</f>
        <v>2490</v>
      </c>
    </row>
    <row r="97" ht="20.25" customHeight="1">
      <c r="A97" s="57"/>
      <c r="B97" s="141"/>
      <c r="C97" s="134">
        <v>410.0</v>
      </c>
      <c r="D97" s="57"/>
      <c r="E97" s="57"/>
      <c r="F97" s="57"/>
      <c r="G97" s="57"/>
      <c r="H97" s="136" t="s">
        <v>18</v>
      </c>
      <c r="I97" s="136">
        <v>17.0</v>
      </c>
      <c r="J97" s="136">
        <v>100.0</v>
      </c>
      <c r="K97" s="57"/>
      <c r="L97" s="57"/>
      <c r="M97" s="57"/>
      <c r="N97" s="57"/>
    </row>
    <row r="98" ht="20.25" customHeight="1">
      <c r="A98" s="29"/>
      <c r="B98" s="155" t="s">
        <v>51</v>
      </c>
      <c r="C98" s="100"/>
      <c r="D98" s="100"/>
      <c r="E98" s="100"/>
      <c r="F98" s="100"/>
      <c r="G98" s="100"/>
      <c r="H98" s="139" t="s">
        <v>18</v>
      </c>
      <c r="I98" s="139">
        <v>1.0</v>
      </c>
      <c r="J98" s="139">
        <v>100.0</v>
      </c>
      <c r="K98" s="100"/>
      <c r="L98" s="100"/>
      <c r="M98" s="100"/>
      <c r="N98" s="100"/>
    </row>
    <row r="99" ht="20.25" customHeight="1">
      <c r="A99" s="57"/>
      <c r="B99" s="106" t="s">
        <v>21</v>
      </c>
      <c r="C99" s="107">
        <v>413.0</v>
      </c>
      <c r="D99" s="109">
        <f t="array" ref="D99">IFERROR(_xlfn.XLOOKUP(C99,Code!A:A,Code!B:B),"")</f>
        <v>0.65</v>
      </c>
      <c r="E99" s="110" t="s">
        <v>23</v>
      </c>
      <c r="F99" s="110" t="s">
        <v>58</v>
      </c>
      <c r="G99" s="109" t="s">
        <v>17</v>
      </c>
      <c r="H99" s="114" t="s">
        <v>25</v>
      </c>
      <c r="I99" s="114">
        <v>1.0</v>
      </c>
      <c r="J99" s="114"/>
      <c r="K99" s="114"/>
      <c r="L99" s="109"/>
      <c r="M99" s="110"/>
      <c r="N99" s="110"/>
    </row>
    <row r="100" ht="20.25" customHeight="1">
      <c r="A100" s="29"/>
      <c r="B100" s="100"/>
      <c r="C100" s="29"/>
      <c r="D100" s="29"/>
      <c r="E100" s="29"/>
      <c r="F100" s="29"/>
      <c r="G100" s="29"/>
      <c r="H100" s="101" t="s">
        <v>18</v>
      </c>
      <c r="I100" s="101">
        <v>10.0</v>
      </c>
      <c r="J100" s="101"/>
      <c r="K100" s="148"/>
      <c r="L100" s="29"/>
      <c r="M100" s="29"/>
      <c r="N100" s="29"/>
    </row>
    <row r="101" ht="20.25" customHeight="1">
      <c r="A101" s="57"/>
      <c r="B101" s="142" t="s">
        <v>51</v>
      </c>
      <c r="C101" s="141"/>
      <c r="D101" s="141"/>
      <c r="E101" s="141"/>
      <c r="F101" s="141"/>
      <c r="G101" s="141"/>
      <c r="H101" s="114" t="s">
        <v>18</v>
      </c>
      <c r="I101" s="114">
        <v>1.0</v>
      </c>
      <c r="J101" s="114"/>
      <c r="K101" s="141"/>
      <c r="L101" s="141"/>
      <c r="M101" s="141"/>
      <c r="N101" s="141"/>
    </row>
    <row r="102" ht="20.25" customHeight="1">
      <c r="A102" s="29"/>
      <c r="B102" s="143" t="s">
        <v>21</v>
      </c>
      <c r="C102" s="188">
        <v>403.0</v>
      </c>
      <c r="D102" s="149">
        <f t="array" ref="D102">IFERROR(_xlfn.XLOOKUP(C102,Code!A:A,Code!B:B),"")</f>
        <v>0.67</v>
      </c>
      <c r="E102" s="149" t="s">
        <v>23</v>
      </c>
      <c r="F102" s="149" t="s">
        <v>90</v>
      </c>
      <c r="G102" s="149" t="s">
        <v>17</v>
      </c>
      <c r="H102" s="139" t="s">
        <v>25</v>
      </c>
      <c r="I102" s="139">
        <v>1.0</v>
      </c>
      <c r="J102" s="139">
        <v>120.0</v>
      </c>
      <c r="K102" s="149">
        <v>2020.0</v>
      </c>
      <c r="L102" s="149">
        <v>30.0</v>
      </c>
      <c r="M102" s="149">
        <v>600.0</v>
      </c>
      <c r="N102" s="110">
        <f>SUM(M102+K102)</f>
        <v>2620</v>
      </c>
    </row>
    <row r="103" ht="20.25" customHeight="1">
      <c r="A103" s="57"/>
      <c r="B103" s="141"/>
      <c r="C103" s="134">
        <v>404.0</v>
      </c>
      <c r="D103" s="57"/>
      <c r="E103" s="57"/>
      <c r="F103" s="57"/>
      <c r="G103" s="57"/>
      <c r="H103" s="136" t="s">
        <v>18</v>
      </c>
      <c r="I103" s="136">
        <v>16.0</v>
      </c>
      <c r="J103" s="136">
        <v>100.0</v>
      </c>
      <c r="K103" s="57"/>
      <c r="L103" s="57"/>
      <c r="M103" s="57"/>
      <c r="N103" s="57"/>
    </row>
    <row r="104" ht="20.25" customHeight="1">
      <c r="A104" s="29"/>
      <c r="B104" s="155" t="s">
        <v>51</v>
      </c>
      <c r="C104" s="100"/>
      <c r="D104" s="100"/>
      <c r="E104" s="100"/>
      <c r="F104" s="100"/>
      <c r="G104" s="100"/>
      <c r="H104" s="139" t="s">
        <v>18</v>
      </c>
      <c r="I104" s="139">
        <v>3.0</v>
      </c>
      <c r="J104" s="139">
        <v>100.0</v>
      </c>
      <c r="K104" s="100"/>
      <c r="L104" s="100"/>
      <c r="M104" s="100"/>
      <c r="N104" s="100"/>
    </row>
    <row r="105" ht="20.25" customHeight="1">
      <c r="A105" s="57"/>
      <c r="B105" s="106" t="s">
        <v>21</v>
      </c>
      <c r="C105" s="134">
        <v>408.0</v>
      </c>
      <c r="D105" s="110">
        <f t="array" ref="D105">IFERROR(_xlfn.XLOOKUP(C105,Code!A:A,Code!B:B),"")</f>
        <v>1.06</v>
      </c>
      <c r="E105" s="110" t="s">
        <v>68</v>
      </c>
      <c r="F105" s="110" t="s">
        <v>91</v>
      </c>
      <c r="G105" s="110" t="s">
        <v>17</v>
      </c>
      <c r="H105" s="136" t="s">
        <v>25</v>
      </c>
      <c r="I105" s="136">
        <v>1.0</v>
      </c>
      <c r="J105" s="136">
        <v>120.0</v>
      </c>
      <c r="K105" s="110">
        <v>1820.0</v>
      </c>
      <c r="L105" s="110">
        <v>25.0</v>
      </c>
      <c r="M105" s="110">
        <v>450.0</v>
      </c>
      <c r="N105" s="110">
        <f>SUM(M105+K105)</f>
        <v>2270</v>
      </c>
    </row>
    <row r="106" ht="20.25" customHeight="1">
      <c r="A106" s="29"/>
      <c r="B106" s="100"/>
      <c r="C106" s="29"/>
      <c r="D106" s="29"/>
      <c r="E106" s="29"/>
      <c r="F106" s="29"/>
      <c r="G106" s="29"/>
      <c r="H106" s="139" t="s">
        <v>18</v>
      </c>
      <c r="I106" s="139">
        <v>16.0</v>
      </c>
      <c r="J106" s="139">
        <v>100.0</v>
      </c>
      <c r="K106" s="29"/>
      <c r="L106" s="29"/>
      <c r="M106" s="29"/>
      <c r="N106" s="29"/>
    </row>
    <row r="107" ht="20.25" customHeight="1">
      <c r="A107" s="141"/>
      <c r="B107" s="142" t="s">
        <v>51</v>
      </c>
      <c r="C107" s="141"/>
      <c r="D107" s="141"/>
      <c r="E107" s="141"/>
      <c r="F107" s="141"/>
      <c r="G107" s="141"/>
      <c r="H107" s="136" t="s">
        <v>18</v>
      </c>
      <c r="I107" s="136">
        <v>1.0</v>
      </c>
      <c r="J107" s="136">
        <v>100.0</v>
      </c>
      <c r="K107" s="141"/>
      <c r="L107" s="141"/>
      <c r="M107" s="141"/>
      <c r="N107" s="141"/>
    </row>
    <row r="108" ht="20.25" customHeight="1">
      <c r="A108" s="156">
        <v>46152.0</v>
      </c>
      <c r="B108" s="143" t="s">
        <v>21</v>
      </c>
      <c r="C108" s="144">
        <v>414.0</v>
      </c>
      <c r="D108" s="148">
        <f t="array" ref="D108">IFERROR(_xlfn.XLOOKUP(C108,Code!A:A,Code!B:B),"")</f>
        <v>1.26</v>
      </c>
      <c r="E108" s="149" t="s">
        <v>23</v>
      </c>
      <c r="F108" s="149" t="s">
        <v>50</v>
      </c>
      <c r="G108" s="148" t="s">
        <v>17</v>
      </c>
      <c r="H108" s="101" t="s">
        <v>25</v>
      </c>
      <c r="I108" s="101">
        <v>1.0</v>
      </c>
      <c r="J108" s="101"/>
      <c r="K108" s="101"/>
      <c r="L108" s="148"/>
      <c r="M108" s="149"/>
      <c r="N108" s="149"/>
    </row>
    <row r="109" ht="20.25" customHeight="1">
      <c r="A109" s="57"/>
      <c r="B109" s="141"/>
      <c r="C109" s="57"/>
      <c r="D109" s="57"/>
      <c r="E109" s="57"/>
      <c r="F109" s="57"/>
      <c r="G109" s="57"/>
      <c r="H109" s="114" t="s">
        <v>18</v>
      </c>
      <c r="I109" s="114">
        <v>15.0</v>
      </c>
      <c r="J109" s="114"/>
      <c r="K109" s="109"/>
      <c r="L109" s="57"/>
      <c r="M109" s="57"/>
      <c r="N109" s="57"/>
    </row>
    <row r="110" ht="20.25" customHeight="1">
      <c r="A110" s="29"/>
      <c r="B110" s="155" t="s">
        <v>51</v>
      </c>
      <c r="C110" s="100"/>
      <c r="D110" s="100"/>
      <c r="E110" s="100"/>
      <c r="F110" s="100"/>
      <c r="G110" s="100"/>
      <c r="H110" s="101" t="s">
        <v>18</v>
      </c>
      <c r="I110" s="101">
        <v>2.0</v>
      </c>
      <c r="J110" s="101"/>
      <c r="K110" s="100"/>
      <c r="L110" s="100"/>
      <c r="M110" s="100"/>
      <c r="N110" s="100"/>
    </row>
    <row r="111" ht="20.25" customHeight="1">
      <c r="A111" s="57"/>
      <c r="B111" s="106" t="s">
        <v>21</v>
      </c>
      <c r="C111" s="134">
        <v>416.0</v>
      </c>
      <c r="D111" s="110">
        <f t="array" ref="D111">IFERROR(_xlfn.XLOOKUP(C111,Code!A:A,Code!B:B),"")</f>
        <v>0.96</v>
      </c>
      <c r="E111" s="110" t="s">
        <v>23</v>
      </c>
      <c r="F111" s="110" t="s">
        <v>92</v>
      </c>
      <c r="G111" s="110" t="s">
        <v>17</v>
      </c>
      <c r="H111" s="136" t="s">
        <v>25</v>
      </c>
      <c r="I111" s="136">
        <v>1.0</v>
      </c>
      <c r="J111" s="136">
        <v>120.0</v>
      </c>
      <c r="K111" s="110">
        <v>2320.0</v>
      </c>
      <c r="L111" s="110">
        <v>30.0</v>
      </c>
      <c r="M111" s="110">
        <v>690.0</v>
      </c>
      <c r="N111" s="110">
        <f>SUM(M111+K111)</f>
        <v>3010</v>
      </c>
    </row>
    <row r="112" ht="20.25" customHeight="1">
      <c r="A112" s="29"/>
      <c r="B112" s="100"/>
      <c r="C112" s="29"/>
      <c r="D112" s="29"/>
      <c r="E112" s="29"/>
      <c r="F112" s="29"/>
      <c r="G112" s="29"/>
      <c r="H112" s="139" t="s">
        <v>18</v>
      </c>
      <c r="I112" s="139">
        <v>20.0</v>
      </c>
      <c r="J112" s="139">
        <v>100.0</v>
      </c>
      <c r="K112" s="29"/>
      <c r="L112" s="29"/>
      <c r="M112" s="29"/>
      <c r="N112" s="29"/>
    </row>
    <row r="113" ht="20.25" customHeight="1">
      <c r="A113" s="57"/>
      <c r="B113" s="142" t="s">
        <v>51</v>
      </c>
      <c r="C113" s="141"/>
      <c r="D113" s="141"/>
      <c r="E113" s="141"/>
      <c r="F113" s="141"/>
      <c r="G113" s="141"/>
      <c r="H113" s="136" t="s">
        <v>18</v>
      </c>
      <c r="I113" s="136">
        <v>2.0</v>
      </c>
      <c r="J113" s="136">
        <v>100.0</v>
      </c>
      <c r="K113" s="141"/>
      <c r="L113" s="141"/>
      <c r="M113" s="141"/>
      <c r="N113" s="141"/>
    </row>
    <row r="114" ht="20.25" customHeight="1">
      <c r="A114" s="29"/>
      <c r="B114" s="143" t="s">
        <v>21</v>
      </c>
      <c r="C114" s="164">
        <v>412.0</v>
      </c>
      <c r="D114" s="149">
        <f t="array" ref="D114">IFERROR(_xlfn.XLOOKUP(C114,Code!A:A,Code!B:B),"")</f>
        <v>1.56</v>
      </c>
      <c r="E114" s="149" t="s">
        <v>23</v>
      </c>
      <c r="F114" s="149" t="s">
        <v>93</v>
      </c>
      <c r="G114" s="149" t="s">
        <v>17</v>
      </c>
      <c r="H114" s="139" t="s">
        <v>25</v>
      </c>
      <c r="I114" s="139">
        <v>1.0</v>
      </c>
      <c r="J114" s="139">
        <v>120.0</v>
      </c>
      <c r="K114" s="149">
        <v>2120.0</v>
      </c>
      <c r="L114" s="149">
        <v>30.0</v>
      </c>
      <c r="M114" s="149">
        <v>630.0</v>
      </c>
      <c r="N114" s="110">
        <f>SUM(M114+K114)</f>
        <v>2750</v>
      </c>
    </row>
    <row r="115" ht="20.25" customHeight="1">
      <c r="A115" s="57"/>
      <c r="B115" s="141"/>
      <c r="C115" s="57"/>
      <c r="D115" s="57"/>
      <c r="E115" s="57"/>
      <c r="F115" s="57"/>
      <c r="G115" s="57"/>
      <c r="H115" s="136" t="s">
        <v>18</v>
      </c>
      <c r="I115" s="136">
        <v>14.0</v>
      </c>
      <c r="J115" s="136">
        <v>100.0</v>
      </c>
      <c r="K115" s="57"/>
      <c r="L115" s="57"/>
      <c r="M115" s="57"/>
      <c r="N115" s="57"/>
    </row>
    <row r="116" ht="20.25" customHeight="1">
      <c r="A116" s="29"/>
      <c r="B116" s="155" t="s">
        <v>51</v>
      </c>
      <c r="C116" s="100"/>
      <c r="D116" s="100"/>
      <c r="E116" s="100"/>
      <c r="F116" s="100"/>
      <c r="G116" s="100"/>
      <c r="H116" s="139" t="s">
        <v>18</v>
      </c>
      <c r="I116" s="139">
        <v>6.0</v>
      </c>
      <c r="J116" s="139">
        <v>100.0</v>
      </c>
      <c r="K116" s="100"/>
      <c r="L116" s="100"/>
      <c r="M116" s="100"/>
      <c r="N116" s="100"/>
    </row>
    <row r="117" ht="20.25" customHeight="1">
      <c r="A117" s="57"/>
      <c r="B117" s="106" t="s">
        <v>21</v>
      </c>
      <c r="C117" s="134">
        <v>412.0</v>
      </c>
      <c r="D117" s="110">
        <f t="array" ref="D117">IFERROR(_xlfn.XLOOKUP(C117,Code!A:A,Code!B:B),"")</f>
        <v>1.56</v>
      </c>
      <c r="E117" s="110" t="s">
        <v>68</v>
      </c>
      <c r="F117" s="110" t="s">
        <v>95</v>
      </c>
      <c r="G117" s="110" t="s">
        <v>17</v>
      </c>
      <c r="H117" s="136" t="s">
        <v>25</v>
      </c>
      <c r="I117" s="136">
        <v>1.0</v>
      </c>
      <c r="J117" s="136">
        <v>120.0</v>
      </c>
      <c r="K117" s="110">
        <v>1820.0</v>
      </c>
      <c r="L117" s="110">
        <v>25.0</v>
      </c>
      <c r="M117" s="110">
        <v>450.0</v>
      </c>
      <c r="N117" s="110">
        <f>SUM(M117+K117)</f>
        <v>2270</v>
      </c>
    </row>
    <row r="118" ht="20.25" customHeight="1">
      <c r="A118" s="29"/>
      <c r="B118" s="100"/>
      <c r="C118" s="29"/>
      <c r="D118" s="29"/>
      <c r="E118" s="29"/>
      <c r="F118" s="29"/>
      <c r="G118" s="29"/>
      <c r="H118" s="139" t="s">
        <v>18</v>
      </c>
      <c r="I118" s="139">
        <v>15.0</v>
      </c>
      <c r="J118" s="139">
        <v>100.0</v>
      </c>
      <c r="K118" s="29"/>
      <c r="L118" s="29"/>
      <c r="M118" s="29"/>
      <c r="N118" s="29"/>
    </row>
    <row r="119" ht="20.25" customHeight="1">
      <c r="A119" s="141"/>
      <c r="B119" s="142" t="s">
        <v>51</v>
      </c>
      <c r="C119" s="141"/>
      <c r="D119" s="141"/>
      <c r="E119" s="141"/>
      <c r="F119" s="141"/>
      <c r="G119" s="141"/>
      <c r="H119" s="136" t="s">
        <v>18</v>
      </c>
      <c r="I119" s="136">
        <v>2.0</v>
      </c>
      <c r="J119" s="136">
        <v>100.0</v>
      </c>
      <c r="K119" s="141"/>
      <c r="L119" s="141"/>
      <c r="M119" s="141"/>
      <c r="N119" s="141"/>
    </row>
    <row r="120" ht="20.25" customHeight="1">
      <c r="A120" s="156">
        <v>46153.0</v>
      </c>
      <c r="B120" s="143" t="s">
        <v>21</v>
      </c>
      <c r="C120" s="164">
        <v>414.0</v>
      </c>
      <c r="D120" s="148">
        <f t="array" ref="D120">IFERROR(_xlfn.XLOOKUP(C120,Code!A:A,Code!B:B),"")</f>
        <v>1.26</v>
      </c>
      <c r="E120" s="149" t="s">
        <v>23</v>
      </c>
      <c r="F120" s="149" t="s">
        <v>50</v>
      </c>
      <c r="G120" s="148" t="s">
        <v>17</v>
      </c>
      <c r="H120" s="101" t="s">
        <v>25</v>
      </c>
      <c r="I120" s="101">
        <v>1.0</v>
      </c>
      <c r="J120" s="139"/>
      <c r="K120" s="101"/>
      <c r="L120" s="148"/>
      <c r="M120" s="149"/>
      <c r="N120" s="149"/>
    </row>
    <row r="121" ht="20.25" customHeight="1">
      <c r="A121" s="57"/>
      <c r="B121" s="141"/>
      <c r="C121" s="57"/>
      <c r="D121" s="57"/>
      <c r="E121" s="57"/>
      <c r="F121" s="57"/>
      <c r="G121" s="57"/>
      <c r="H121" s="114" t="s">
        <v>18</v>
      </c>
      <c r="I121" s="114">
        <v>15.0</v>
      </c>
      <c r="J121" s="136"/>
      <c r="K121" s="109"/>
      <c r="L121" s="57"/>
      <c r="M121" s="57"/>
      <c r="N121" s="57"/>
    </row>
    <row r="122" ht="20.25" customHeight="1">
      <c r="A122" s="29"/>
      <c r="B122" s="155" t="s">
        <v>51</v>
      </c>
      <c r="C122" s="100"/>
      <c r="D122" s="100"/>
      <c r="E122" s="100"/>
      <c r="F122" s="100"/>
      <c r="G122" s="100"/>
      <c r="H122" s="101" t="s">
        <v>18</v>
      </c>
      <c r="I122" s="101">
        <v>2.0</v>
      </c>
      <c r="J122" s="139"/>
      <c r="K122" s="100"/>
      <c r="L122" s="100"/>
      <c r="M122" s="100"/>
      <c r="N122" s="100"/>
    </row>
    <row r="123" ht="20.25" customHeight="1">
      <c r="A123" s="57"/>
      <c r="B123" s="106" t="s">
        <v>21</v>
      </c>
      <c r="C123" s="134">
        <v>406.0</v>
      </c>
      <c r="D123" s="110">
        <f t="array" ref="D123">IFERROR(_xlfn.XLOOKUP(C123,Code!A:A,Code!B:B),"")</f>
        <v>1.1</v>
      </c>
      <c r="E123" s="110" t="s">
        <v>23</v>
      </c>
      <c r="F123" s="110" t="s">
        <v>96</v>
      </c>
      <c r="G123" s="110" t="s">
        <v>17</v>
      </c>
      <c r="H123" s="136" t="s">
        <v>25</v>
      </c>
      <c r="I123" s="136">
        <v>1.0</v>
      </c>
      <c r="J123" s="136">
        <v>120.0</v>
      </c>
      <c r="K123" s="110">
        <v>1720.0</v>
      </c>
      <c r="L123" s="110">
        <v>30.0</v>
      </c>
      <c r="M123" s="110">
        <v>510.0</v>
      </c>
      <c r="N123" s="110">
        <f>SUM(M123+K123)</f>
        <v>2230</v>
      </c>
    </row>
    <row r="124" ht="20.25" customHeight="1">
      <c r="A124" s="29"/>
      <c r="B124" s="100"/>
      <c r="C124" s="29"/>
      <c r="D124" s="29"/>
      <c r="E124" s="29"/>
      <c r="F124" s="29"/>
      <c r="G124" s="29"/>
      <c r="H124" s="139" t="s">
        <v>18</v>
      </c>
      <c r="I124" s="139">
        <v>15.0</v>
      </c>
      <c r="J124" s="139">
        <v>100.0</v>
      </c>
      <c r="K124" s="29"/>
      <c r="L124" s="29"/>
      <c r="M124" s="29"/>
      <c r="N124" s="29"/>
    </row>
    <row r="125" ht="20.25" customHeight="1">
      <c r="A125" s="57"/>
      <c r="B125" s="142" t="s">
        <v>51</v>
      </c>
      <c r="C125" s="141"/>
      <c r="D125" s="141"/>
      <c r="E125" s="141"/>
      <c r="F125" s="141"/>
      <c r="G125" s="141"/>
      <c r="H125" s="136" t="s">
        <v>18</v>
      </c>
      <c r="I125" s="136">
        <v>1.0</v>
      </c>
      <c r="J125" s="136">
        <v>100.0</v>
      </c>
      <c r="K125" s="141"/>
      <c r="L125" s="141"/>
      <c r="M125" s="141"/>
      <c r="N125" s="141"/>
    </row>
    <row r="126" ht="20.25" customHeight="1">
      <c r="A126" s="29"/>
      <c r="B126" s="143" t="s">
        <v>21</v>
      </c>
      <c r="C126" s="164">
        <v>413.0</v>
      </c>
      <c r="D126" s="148">
        <f t="array" ref="D126">IFERROR(_xlfn.XLOOKUP(C126,Code!A:A,Code!B:B),"")</f>
        <v>0.65</v>
      </c>
      <c r="E126" s="149" t="s">
        <v>23</v>
      </c>
      <c r="F126" s="149" t="s">
        <v>58</v>
      </c>
      <c r="G126" s="148" t="s">
        <v>17</v>
      </c>
      <c r="H126" s="101" t="s">
        <v>25</v>
      </c>
      <c r="I126" s="101">
        <v>1.0</v>
      </c>
      <c r="J126" s="101"/>
      <c r="K126" s="101"/>
      <c r="L126" s="148"/>
      <c r="M126" s="149"/>
      <c r="N126" s="149"/>
    </row>
    <row r="127" ht="20.25" customHeight="1">
      <c r="A127" s="57"/>
      <c r="B127" s="141"/>
      <c r="C127" s="57"/>
      <c r="D127" s="57"/>
      <c r="E127" s="57"/>
      <c r="F127" s="57"/>
      <c r="G127" s="57"/>
      <c r="H127" s="114" t="s">
        <v>18</v>
      </c>
      <c r="I127" s="114">
        <v>11.0</v>
      </c>
      <c r="J127" s="114"/>
      <c r="K127" s="109"/>
      <c r="L127" s="57"/>
      <c r="M127" s="57"/>
      <c r="N127" s="57"/>
    </row>
    <row r="128" ht="20.25" customHeight="1">
      <c r="A128" s="29"/>
      <c r="B128" s="155" t="s">
        <v>51</v>
      </c>
      <c r="C128" s="100"/>
      <c r="D128" s="100"/>
      <c r="E128" s="100"/>
      <c r="F128" s="100"/>
      <c r="G128" s="100"/>
      <c r="H128" s="101" t="s">
        <v>18</v>
      </c>
      <c r="I128" s="101">
        <v>1.0</v>
      </c>
      <c r="J128" s="101"/>
      <c r="K128" s="100"/>
      <c r="L128" s="100"/>
      <c r="M128" s="100"/>
      <c r="N128" s="100"/>
    </row>
    <row r="129" ht="20.25" customHeight="1">
      <c r="A129" s="57"/>
      <c r="B129" s="106" t="s">
        <v>21</v>
      </c>
      <c r="C129" s="186">
        <v>401.0</v>
      </c>
      <c r="D129" s="110">
        <f t="array" ref="D129">IFERROR(_xlfn.XLOOKUP(C129,Code!A:A,Code!B:B),"")</f>
        <v>0.83</v>
      </c>
      <c r="E129" s="110" t="s">
        <v>23</v>
      </c>
      <c r="F129" s="110" t="s">
        <v>97</v>
      </c>
      <c r="G129" s="110" t="s">
        <v>17</v>
      </c>
      <c r="H129" s="136" t="s">
        <v>25</v>
      </c>
      <c r="I129" s="136">
        <v>1.0</v>
      </c>
      <c r="J129" s="136">
        <v>120.0</v>
      </c>
      <c r="K129" s="110">
        <v>2120.0</v>
      </c>
      <c r="L129" s="110">
        <v>30.0</v>
      </c>
      <c r="M129" s="110">
        <v>630.0</v>
      </c>
      <c r="N129" s="110">
        <f>SUM(M129+K129)</f>
        <v>2750</v>
      </c>
    </row>
    <row r="130" ht="20.25" customHeight="1">
      <c r="A130" s="29"/>
      <c r="B130" s="100"/>
      <c r="C130" s="164">
        <v>403.0</v>
      </c>
      <c r="D130" s="29"/>
      <c r="E130" s="29"/>
      <c r="F130" s="29"/>
      <c r="G130" s="29"/>
      <c r="H130" s="139" t="s">
        <v>18</v>
      </c>
      <c r="I130" s="139">
        <v>16.0</v>
      </c>
      <c r="J130" s="139">
        <v>100.0</v>
      </c>
      <c r="K130" s="29"/>
      <c r="L130" s="29"/>
      <c r="M130" s="29"/>
      <c r="N130" s="29"/>
    </row>
    <row r="131" ht="20.25" customHeight="1">
      <c r="A131" s="57"/>
      <c r="B131" s="142" t="s">
        <v>51</v>
      </c>
      <c r="C131" s="141"/>
      <c r="D131" s="141"/>
      <c r="E131" s="141"/>
      <c r="F131" s="141"/>
      <c r="G131" s="141"/>
      <c r="H131" s="136" t="s">
        <v>18</v>
      </c>
      <c r="I131" s="136">
        <v>4.0</v>
      </c>
      <c r="J131" s="136">
        <v>100.0</v>
      </c>
      <c r="K131" s="141"/>
      <c r="L131" s="141"/>
      <c r="M131" s="141"/>
      <c r="N131" s="141"/>
    </row>
    <row r="132" ht="20.25" customHeight="1">
      <c r="A132" s="29"/>
      <c r="B132" s="143" t="s">
        <v>21</v>
      </c>
      <c r="C132" s="164">
        <v>409.0</v>
      </c>
      <c r="D132" s="149">
        <f t="array" ref="D132">IFERROR(_xlfn.XLOOKUP(C132,Code!A:A,Code!B:B),"")</f>
        <v>1</v>
      </c>
      <c r="E132" s="149" t="s">
        <v>68</v>
      </c>
      <c r="F132" s="149" t="s">
        <v>98</v>
      </c>
      <c r="G132" s="149" t="s">
        <v>17</v>
      </c>
      <c r="H132" s="139" t="s">
        <v>25</v>
      </c>
      <c r="I132" s="139">
        <v>1.0</v>
      </c>
      <c r="J132" s="139">
        <v>120.0</v>
      </c>
      <c r="K132" s="149">
        <v>1920.0</v>
      </c>
      <c r="L132" s="149">
        <v>25.0</v>
      </c>
      <c r="M132" s="149">
        <v>475.0</v>
      </c>
      <c r="N132" s="110">
        <f>SUM(M132+K132)</f>
        <v>2395</v>
      </c>
    </row>
    <row r="133" ht="20.25" customHeight="1">
      <c r="A133" s="57"/>
      <c r="B133" s="141"/>
      <c r="C133" s="57"/>
      <c r="D133" s="57"/>
      <c r="E133" s="57"/>
      <c r="F133" s="57"/>
      <c r="G133" s="57"/>
      <c r="H133" s="136" t="s">
        <v>18</v>
      </c>
      <c r="I133" s="136">
        <v>17.0</v>
      </c>
      <c r="J133" s="136">
        <v>100.0</v>
      </c>
      <c r="K133" s="57"/>
      <c r="L133" s="57"/>
      <c r="M133" s="57"/>
      <c r="N133" s="57"/>
    </row>
    <row r="134" ht="20.25" customHeight="1">
      <c r="A134" s="100"/>
      <c r="B134" s="155" t="s">
        <v>51</v>
      </c>
      <c r="C134" s="100"/>
      <c r="D134" s="100"/>
      <c r="E134" s="100"/>
      <c r="F134" s="100"/>
      <c r="G134" s="100"/>
      <c r="H134" s="139" t="s">
        <v>18</v>
      </c>
      <c r="I134" s="139">
        <v>1.0</v>
      </c>
      <c r="J134" s="139">
        <v>100.0</v>
      </c>
      <c r="K134" s="100"/>
      <c r="L134" s="100"/>
      <c r="M134" s="100"/>
      <c r="N134" s="100"/>
    </row>
    <row r="135" ht="20.25" customHeight="1">
      <c r="A135" s="156">
        <v>46154.0</v>
      </c>
      <c r="B135" s="106" t="s">
        <v>21</v>
      </c>
      <c r="C135" s="134">
        <v>416.0</v>
      </c>
      <c r="D135" s="109">
        <f t="array" ref="D135">IFERROR(_xlfn.XLOOKUP(C135,Code!A:A,Code!B:B),"")</f>
        <v>0.96</v>
      </c>
      <c r="E135" s="110" t="s">
        <v>23</v>
      </c>
      <c r="F135" s="110" t="s">
        <v>50</v>
      </c>
      <c r="G135" s="109" t="s">
        <v>17</v>
      </c>
      <c r="H135" s="114" t="s">
        <v>25</v>
      </c>
      <c r="I135" s="114">
        <v>1.0</v>
      </c>
      <c r="J135" s="136"/>
      <c r="K135" s="114"/>
      <c r="L135" s="109"/>
      <c r="M135" s="110"/>
      <c r="N135" s="110"/>
    </row>
    <row r="136" ht="20.25" customHeight="1">
      <c r="A136" s="29"/>
      <c r="B136" s="100"/>
      <c r="C136" s="29"/>
      <c r="D136" s="29"/>
      <c r="E136" s="29"/>
      <c r="F136" s="29"/>
      <c r="G136" s="29"/>
      <c r="H136" s="101" t="s">
        <v>18</v>
      </c>
      <c r="I136" s="101">
        <v>16.0</v>
      </c>
      <c r="J136" s="139"/>
      <c r="K136" s="148"/>
      <c r="L136" s="29"/>
      <c r="M136" s="29"/>
      <c r="N136" s="29"/>
    </row>
    <row r="137" ht="20.25" customHeight="1">
      <c r="A137" s="57"/>
      <c r="B137" s="142" t="s">
        <v>51</v>
      </c>
      <c r="C137" s="141"/>
      <c r="D137" s="141"/>
      <c r="E137" s="141"/>
      <c r="F137" s="141"/>
      <c r="G137" s="141"/>
      <c r="H137" s="114" t="s">
        <v>18</v>
      </c>
      <c r="I137" s="114">
        <v>2.0</v>
      </c>
      <c r="J137" s="136"/>
      <c r="K137" s="141"/>
      <c r="L137" s="141"/>
      <c r="M137" s="141"/>
      <c r="N137" s="141"/>
    </row>
    <row r="138" ht="20.25" customHeight="1">
      <c r="A138" s="29"/>
      <c r="B138" s="143" t="s">
        <v>21</v>
      </c>
      <c r="C138" s="164">
        <v>406.0</v>
      </c>
      <c r="D138" s="149">
        <f t="array" ref="D138">IFERROR(_xlfn.XLOOKUP(C138,Code!A:A,Code!B:B),"")</f>
        <v>1.1</v>
      </c>
      <c r="E138" s="149" t="s">
        <v>23</v>
      </c>
      <c r="F138" s="149" t="s">
        <v>99</v>
      </c>
      <c r="G138" s="149" t="s">
        <v>17</v>
      </c>
      <c r="H138" s="139" t="s">
        <v>25</v>
      </c>
      <c r="I138" s="139">
        <v>1.0</v>
      </c>
      <c r="J138" s="139">
        <v>120.0</v>
      </c>
      <c r="K138" s="149">
        <v>1720.0</v>
      </c>
      <c r="L138" s="149">
        <v>30.0</v>
      </c>
      <c r="M138" s="149">
        <v>510.0</v>
      </c>
      <c r="N138" s="110">
        <f>SUM(M138+K138)</f>
        <v>2230</v>
      </c>
    </row>
    <row r="139" ht="20.25" customHeight="1">
      <c r="A139" s="57"/>
      <c r="B139" s="141"/>
      <c r="C139" s="57"/>
      <c r="D139" s="57"/>
      <c r="E139" s="57"/>
      <c r="F139" s="57"/>
      <c r="G139" s="57"/>
      <c r="H139" s="136" t="s">
        <v>18</v>
      </c>
      <c r="I139" s="136">
        <v>15.0</v>
      </c>
      <c r="J139" s="136">
        <v>100.0</v>
      </c>
      <c r="K139" s="57"/>
      <c r="L139" s="57"/>
      <c r="M139" s="57"/>
      <c r="N139" s="57"/>
    </row>
    <row r="140" ht="20.25" customHeight="1">
      <c r="A140" s="29"/>
      <c r="B140" s="155" t="s">
        <v>51</v>
      </c>
      <c r="C140" s="100"/>
      <c r="D140" s="100"/>
      <c r="E140" s="100"/>
      <c r="F140" s="100"/>
      <c r="G140" s="100"/>
      <c r="H140" s="139" t="s">
        <v>18</v>
      </c>
      <c r="I140" s="139">
        <v>1.0</v>
      </c>
      <c r="J140" s="139">
        <v>100.0</v>
      </c>
      <c r="K140" s="100"/>
      <c r="L140" s="100"/>
      <c r="M140" s="100"/>
      <c r="N140" s="100"/>
    </row>
    <row r="141" ht="20.25" customHeight="1">
      <c r="A141" s="57"/>
      <c r="B141" s="106" t="s">
        <v>21</v>
      </c>
      <c r="C141" s="134">
        <v>413.0</v>
      </c>
      <c r="D141" s="109">
        <f t="array" ref="D141">IFERROR(_xlfn.XLOOKUP(C141,Code!A:A,Code!B:B),"")</f>
        <v>0.65</v>
      </c>
      <c r="E141" s="110" t="s">
        <v>23</v>
      </c>
      <c r="F141" s="110" t="s">
        <v>58</v>
      </c>
      <c r="G141" s="109" t="s">
        <v>17</v>
      </c>
      <c r="H141" s="114" t="s">
        <v>25</v>
      </c>
      <c r="I141" s="114">
        <v>1.0</v>
      </c>
      <c r="J141" s="114"/>
      <c r="K141" s="114"/>
      <c r="L141" s="109"/>
      <c r="M141" s="110"/>
      <c r="N141" s="110"/>
    </row>
    <row r="142" ht="20.25" customHeight="1">
      <c r="A142" s="29"/>
      <c r="B142" s="100"/>
      <c r="C142" s="29"/>
      <c r="D142" s="29"/>
      <c r="E142" s="29"/>
      <c r="F142" s="29"/>
      <c r="G142" s="29"/>
      <c r="H142" s="101" t="s">
        <v>18</v>
      </c>
      <c r="I142" s="101">
        <v>14.0</v>
      </c>
      <c r="J142" s="101"/>
      <c r="K142" s="148"/>
      <c r="L142" s="29"/>
      <c r="M142" s="29"/>
      <c r="N142" s="29"/>
    </row>
    <row r="143" ht="20.25" customHeight="1">
      <c r="A143" s="57"/>
      <c r="B143" s="142" t="s">
        <v>51</v>
      </c>
      <c r="C143" s="141"/>
      <c r="D143" s="141"/>
      <c r="E143" s="141"/>
      <c r="F143" s="141"/>
      <c r="G143" s="141"/>
      <c r="H143" s="114" t="s">
        <v>18</v>
      </c>
      <c r="I143" s="114">
        <v>1.0</v>
      </c>
      <c r="J143" s="114"/>
      <c r="K143" s="141"/>
      <c r="L143" s="141"/>
      <c r="M143" s="141"/>
      <c r="N143" s="141"/>
    </row>
    <row r="144" ht="20.25" customHeight="1">
      <c r="A144" s="29"/>
      <c r="B144" s="143" t="s">
        <v>21</v>
      </c>
      <c r="C144" s="188">
        <v>404.0</v>
      </c>
      <c r="D144" s="149">
        <f t="array" ref="D144">IFERROR(_xlfn.XLOOKUP(C144,Code!A:A,Code!B:B),"")</f>
        <v>0.67</v>
      </c>
      <c r="E144" s="149" t="s">
        <v>23</v>
      </c>
      <c r="F144" s="149" t="s">
        <v>100</v>
      </c>
      <c r="G144" s="149" t="s">
        <v>17</v>
      </c>
      <c r="H144" s="139" t="s">
        <v>25</v>
      </c>
      <c r="I144" s="139">
        <v>1.0</v>
      </c>
      <c r="J144" s="139">
        <v>120.0</v>
      </c>
      <c r="K144" s="149">
        <v>2020.0</v>
      </c>
      <c r="L144" s="149">
        <v>30.0</v>
      </c>
      <c r="M144" s="149">
        <v>600.0</v>
      </c>
      <c r="N144" s="110">
        <f>SUM(M144+K144)</f>
        <v>2620</v>
      </c>
    </row>
    <row r="145" ht="20.25" customHeight="1">
      <c r="A145" s="57"/>
      <c r="B145" s="141"/>
      <c r="C145" s="134">
        <v>405.0</v>
      </c>
      <c r="D145" s="57"/>
      <c r="E145" s="57"/>
      <c r="F145" s="57"/>
      <c r="G145" s="57"/>
      <c r="H145" s="136" t="s">
        <v>18</v>
      </c>
      <c r="I145" s="136">
        <v>15.0</v>
      </c>
      <c r="J145" s="136">
        <v>100.0</v>
      </c>
      <c r="K145" s="57"/>
      <c r="L145" s="57"/>
      <c r="M145" s="57"/>
      <c r="N145" s="57"/>
    </row>
    <row r="146" ht="20.25" customHeight="1">
      <c r="A146" s="29"/>
      <c r="B146" s="155" t="s">
        <v>51</v>
      </c>
      <c r="C146" s="100"/>
      <c r="D146" s="100"/>
      <c r="E146" s="100"/>
      <c r="F146" s="100"/>
      <c r="G146" s="100"/>
      <c r="H146" s="139" t="s">
        <v>18</v>
      </c>
      <c r="I146" s="139">
        <v>4.0</v>
      </c>
      <c r="J146" s="139">
        <v>100.0</v>
      </c>
      <c r="K146" s="100"/>
      <c r="L146" s="100"/>
      <c r="M146" s="100"/>
      <c r="N146" s="100"/>
    </row>
    <row r="147" ht="20.25" customHeight="1">
      <c r="A147" s="57"/>
      <c r="B147" s="106" t="s">
        <v>21</v>
      </c>
      <c r="C147" s="134">
        <v>409.0</v>
      </c>
      <c r="D147" s="110">
        <f t="array" ref="D147">IFERROR(_xlfn.XLOOKUP(C147,Code!A:A,Code!B:B),"")</f>
        <v>1</v>
      </c>
      <c r="E147" s="110" t="s">
        <v>68</v>
      </c>
      <c r="F147" s="110" t="s">
        <v>101</v>
      </c>
      <c r="G147" s="110" t="s">
        <v>17</v>
      </c>
      <c r="H147" s="136" t="s">
        <v>25</v>
      </c>
      <c r="I147" s="136">
        <v>1.0</v>
      </c>
      <c r="J147" s="136">
        <v>120.0</v>
      </c>
      <c r="K147" s="110">
        <v>2220.0</v>
      </c>
      <c r="L147" s="110">
        <v>25.0</v>
      </c>
      <c r="M147" s="110">
        <v>550.0</v>
      </c>
      <c r="N147" s="110">
        <f>SUM(M147+K147)</f>
        <v>2770</v>
      </c>
    </row>
    <row r="148" ht="20.25" customHeight="1">
      <c r="A148" s="29"/>
      <c r="B148" s="100"/>
      <c r="C148" s="29"/>
      <c r="D148" s="29"/>
      <c r="E148" s="29"/>
      <c r="F148" s="29"/>
      <c r="G148" s="29"/>
      <c r="H148" s="139" t="s">
        <v>18</v>
      </c>
      <c r="I148" s="139">
        <v>20.0</v>
      </c>
      <c r="J148" s="139">
        <v>100.0</v>
      </c>
      <c r="K148" s="29"/>
      <c r="L148" s="29"/>
      <c r="M148" s="29"/>
      <c r="N148" s="29"/>
    </row>
    <row r="149" ht="20.25" customHeight="1">
      <c r="A149" s="141"/>
      <c r="B149" s="142" t="s">
        <v>51</v>
      </c>
      <c r="C149" s="141"/>
      <c r="D149" s="141"/>
      <c r="E149" s="141"/>
      <c r="F149" s="141"/>
      <c r="G149" s="141"/>
      <c r="H149" s="136" t="s">
        <v>18</v>
      </c>
      <c r="I149" s="136">
        <v>1.0</v>
      </c>
      <c r="J149" s="136">
        <v>100.0</v>
      </c>
      <c r="K149" s="141"/>
      <c r="L149" s="141"/>
      <c r="M149" s="141"/>
      <c r="N149" s="141"/>
    </row>
    <row r="150" ht="27.75" customHeight="1">
      <c r="A150" s="156">
        <v>46154.0</v>
      </c>
      <c r="B150" s="194" t="s">
        <v>102</v>
      </c>
      <c r="C150" s="164">
        <v>426.0</v>
      </c>
      <c r="D150" s="149">
        <f t="array" ref="D150">IFERROR(_xlfn.XLOOKUP(C150,Code!A:A,Code!B:B),"")</f>
        <v>1.05</v>
      </c>
      <c r="E150" s="110" t="s">
        <v>68</v>
      </c>
      <c r="F150" s="149" t="s">
        <v>103</v>
      </c>
      <c r="G150" s="149" t="s">
        <v>17</v>
      </c>
      <c r="H150" s="149" t="s">
        <v>18</v>
      </c>
      <c r="I150" s="139">
        <v>1.0</v>
      </c>
      <c r="J150" s="139">
        <v>110.0</v>
      </c>
      <c r="K150" s="195">
        <v>400.0</v>
      </c>
      <c r="L150" s="196" t="s">
        <v>104</v>
      </c>
      <c r="M150" s="197"/>
      <c r="N150" s="198">
        <v>400.0</v>
      </c>
    </row>
    <row r="151" ht="27.75" customHeight="1">
      <c r="A151" s="57"/>
      <c r="B151" s="57"/>
      <c r="C151" s="57"/>
      <c r="D151" s="57"/>
      <c r="E151" s="57"/>
      <c r="F151" s="57"/>
      <c r="G151" s="57"/>
      <c r="H151" s="57"/>
      <c r="I151" s="136">
        <v>1.0</v>
      </c>
      <c r="J151" s="136">
        <v>100.0</v>
      </c>
      <c r="K151" s="57"/>
      <c r="M151" s="199"/>
      <c r="N151" s="200"/>
    </row>
    <row r="152" ht="27.75" customHeight="1">
      <c r="A152" s="29"/>
      <c r="B152" s="29"/>
      <c r="C152" s="29"/>
      <c r="D152" s="29"/>
      <c r="E152" s="29"/>
      <c r="F152" s="29"/>
      <c r="G152" s="29"/>
      <c r="H152" s="29"/>
      <c r="I152" s="139">
        <v>1.0</v>
      </c>
      <c r="J152" s="139">
        <v>110.0</v>
      </c>
      <c r="K152" s="29"/>
      <c r="M152" s="201"/>
      <c r="N152" s="202"/>
    </row>
    <row r="153" ht="27.75" customHeight="1">
      <c r="A153" s="141"/>
      <c r="B153" s="141"/>
      <c r="C153" s="141"/>
      <c r="D153" s="141"/>
      <c r="E153" s="141"/>
      <c r="F153" s="141"/>
      <c r="G153" s="141"/>
      <c r="H153" s="141"/>
      <c r="I153" s="136">
        <v>1.0</v>
      </c>
      <c r="J153" s="136">
        <v>80.0</v>
      </c>
      <c r="K153" s="141"/>
      <c r="L153" s="203"/>
      <c r="M153" s="204"/>
      <c r="N153" s="205"/>
    </row>
    <row r="154" ht="20.25" customHeight="1">
      <c r="A154" s="156">
        <v>46155.0</v>
      </c>
      <c r="B154" s="143" t="s">
        <v>21</v>
      </c>
      <c r="C154" s="164">
        <v>417.0</v>
      </c>
      <c r="D154" s="148">
        <f t="array" ref="D154">IFERROR(_xlfn.XLOOKUP(C154,Code!A:A,Code!B:B),"")</f>
        <v>1.67</v>
      </c>
      <c r="E154" s="149" t="s">
        <v>23</v>
      </c>
      <c r="F154" s="149" t="s">
        <v>50</v>
      </c>
      <c r="G154" s="148" t="s">
        <v>17</v>
      </c>
      <c r="H154" s="101" t="s">
        <v>25</v>
      </c>
      <c r="I154" s="101">
        <v>1.0</v>
      </c>
      <c r="J154" s="139"/>
      <c r="K154" s="101"/>
      <c r="L154" s="206"/>
      <c r="M154" s="207"/>
      <c r="N154" s="208"/>
    </row>
    <row r="155" ht="20.25" customHeight="1">
      <c r="A155" s="57"/>
      <c r="B155" s="141"/>
      <c r="C155" s="57"/>
      <c r="D155" s="57"/>
      <c r="E155" s="57"/>
      <c r="F155" s="57"/>
      <c r="G155" s="57"/>
      <c r="H155" s="114" t="s">
        <v>18</v>
      </c>
      <c r="I155" s="114">
        <v>19.0</v>
      </c>
      <c r="J155" s="136"/>
      <c r="K155" s="109"/>
      <c r="L155" s="209"/>
      <c r="M155" s="210"/>
      <c r="N155" s="200"/>
    </row>
    <row r="156" ht="20.25" customHeight="1">
      <c r="A156" s="29"/>
      <c r="B156" s="155" t="s">
        <v>51</v>
      </c>
      <c r="C156" s="100"/>
      <c r="D156" s="100"/>
      <c r="E156" s="100"/>
      <c r="F156" s="100"/>
      <c r="G156" s="100"/>
      <c r="H156" s="101" t="s">
        <v>18</v>
      </c>
      <c r="I156" s="101">
        <v>2.0</v>
      </c>
      <c r="J156" s="139"/>
      <c r="K156" s="100"/>
      <c r="L156" s="211"/>
      <c r="M156" s="212"/>
      <c r="N156" s="213"/>
    </row>
    <row r="157" ht="20.25" customHeight="1">
      <c r="A157" s="57"/>
      <c r="B157" s="106" t="s">
        <v>21</v>
      </c>
      <c r="C157" s="186">
        <v>406.0</v>
      </c>
      <c r="D157" s="110">
        <f t="array" ref="D157">IFERROR(_xlfn.XLOOKUP(C157,Code!A:A,Code!B:B),"")</f>
        <v>1.1</v>
      </c>
      <c r="E157" s="110" t="s">
        <v>23</v>
      </c>
      <c r="F157" s="110" t="s">
        <v>106</v>
      </c>
      <c r="G157" s="110" t="s">
        <v>17</v>
      </c>
      <c r="H157" s="136" t="s">
        <v>25</v>
      </c>
      <c r="I157" s="136">
        <v>1.0</v>
      </c>
      <c r="J157" s="136">
        <v>120.0</v>
      </c>
      <c r="K157" s="110">
        <v>2120.0</v>
      </c>
      <c r="L157" s="214">
        <v>30.0</v>
      </c>
      <c r="M157" s="215">
        <v>630.0</v>
      </c>
      <c r="N157" s="110">
        <f>SUM(M157+K157)</f>
        <v>2750</v>
      </c>
    </row>
    <row r="158" ht="20.25" customHeight="1">
      <c r="A158" s="29"/>
      <c r="B158" s="100"/>
      <c r="C158" s="164">
        <v>407.0</v>
      </c>
      <c r="D158" s="29"/>
      <c r="E158" s="29"/>
      <c r="F158" s="29"/>
      <c r="G158" s="29"/>
      <c r="H158" s="139" t="s">
        <v>18</v>
      </c>
      <c r="I158" s="139">
        <v>19.0</v>
      </c>
      <c r="J158" s="139">
        <v>100.0</v>
      </c>
      <c r="K158" s="29"/>
      <c r="L158" s="216"/>
      <c r="M158" s="217"/>
      <c r="N158" s="29"/>
    </row>
    <row r="159" ht="20.25" customHeight="1">
      <c r="A159" s="57"/>
      <c r="B159" s="142" t="s">
        <v>51</v>
      </c>
      <c r="C159" s="141"/>
      <c r="D159" s="141"/>
      <c r="E159" s="141"/>
      <c r="F159" s="141"/>
      <c r="G159" s="141"/>
      <c r="H159" s="136" t="s">
        <v>18</v>
      </c>
      <c r="I159" s="136">
        <v>1.0</v>
      </c>
      <c r="J159" s="136">
        <v>100.0</v>
      </c>
      <c r="K159" s="141"/>
      <c r="L159" s="218"/>
      <c r="M159" s="219"/>
      <c r="N159" s="141"/>
    </row>
    <row r="160" ht="20.25" customHeight="1">
      <c r="A160" s="29"/>
      <c r="B160" s="143" t="s">
        <v>21</v>
      </c>
      <c r="C160" s="188">
        <v>413.0</v>
      </c>
      <c r="D160" s="149">
        <f>SUM(D157:D159)</f>
        <v>1.1</v>
      </c>
      <c r="E160" s="149" t="s">
        <v>23</v>
      </c>
      <c r="F160" s="149" t="s">
        <v>58</v>
      </c>
      <c r="G160" s="148" t="s">
        <v>17</v>
      </c>
      <c r="H160" s="101" t="s">
        <v>25</v>
      </c>
      <c r="I160" s="101">
        <v>1.0</v>
      </c>
      <c r="J160" s="101"/>
      <c r="K160" s="101"/>
      <c r="L160" s="206"/>
      <c r="M160" s="207"/>
      <c r="N160" s="208"/>
    </row>
    <row r="161" ht="20.25" customHeight="1">
      <c r="A161" s="57"/>
      <c r="B161" s="141"/>
      <c r="C161" s="134">
        <v>411.0</v>
      </c>
      <c r="D161" s="57"/>
      <c r="E161" s="57"/>
      <c r="F161" s="57"/>
      <c r="G161" s="57"/>
      <c r="H161" s="114" t="s">
        <v>18</v>
      </c>
      <c r="I161" s="114">
        <v>12.0</v>
      </c>
      <c r="J161" s="114"/>
      <c r="K161" s="109"/>
      <c r="L161" s="209"/>
      <c r="M161" s="210"/>
      <c r="N161" s="200"/>
    </row>
    <row r="162" ht="20.25" customHeight="1">
      <c r="A162" s="29"/>
      <c r="B162" s="155" t="s">
        <v>51</v>
      </c>
      <c r="C162" s="100"/>
      <c r="D162" s="100"/>
      <c r="E162" s="100"/>
      <c r="F162" s="100"/>
      <c r="G162" s="100"/>
      <c r="H162" s="101" t="s">
        <v>18</v>
      </c>
      <c r="I162" s="101">
        <v>1.0</v>
      </c>
      <c r="J162" s="101"/>
      <c r="K162" s="100"/>
      <c r="L162" s="211"/>
      <c r="M162" s="212"/>
      <c r="N162" s="213"/>
    </row>
    <row r="163" ht="20.25" customHeight="1">
      <c r="A163" s="57"/>
      <c r="B163" s="106" t="s">
        <v>21</v>
      </c>
      <c r="C163" s="134">
        <v>402.0</v>
      </c>
      <c r="D163" s="110">
        <f t="array" ref="D163">IFERROR(_xlfn.XLOOKUP(C163,Code!A:A,Code!B:B),"")</f>
        <v>0.82</v>
      </c>
      <c r="E163" s="110" t="s">
        <v>23</v>
      </c>
      <c r="F163" s="110" t="s">
        <v>108</v>
      </c>
      <c r="G163" s="110" t="s">
        <v>17</v>
      </c>
      <c r="H163" s="136" t="s">
        <v>25</v>
      </c>
      <c r="I163" s="136">
        <v>1.0</v>
      </c>
      <c r="J163" s="136">
        <v>120.0</v>
      </c>
      <c r="K163" s="110">
        <v>2120.0</v>
      </c>
      <c r="L163" s="214">
        <v>30.0</v>
      </c>
      <c r="M163" s="215">
        <v>630.0</v>
      </c>
      <c r="N163" s="110">
        <f>SUM(M163+K163)</f>
        <v>2750</v>
      </c>
    </row>
    <row r="164" ht="20.25" customHeight="1">
      <c r="A164" s="29"/>
      <c r="B164" s="100"/>
      <c r="C164" s="29"/>
      <c r="D164" s="29"/>
      <c r="E164" s="29"/>
      <c r="F164" s="29"/>
      <c r="G164" s="29"/>
      <c r="H164" s="139" t="s">
        <v>18</v>
      </c>
      <c r="I164" s="139">
        <v>15.0</v>
      </c>
      <c r="J164" s="139">
        <v>100.0</v>
      </c>
      <c r="K164" s="29"/>
      <c r="L164" s="216"/>
      <c r="M164" s="217"/>
      <c r="N164" s="29"/>
    </row>
    <row r="165" ht="20.25" customHeight="1">
      <c r="A165" s="57"/>
      <c r="B165" s="142" t="s">
        <v>51</v>
      </c>
      <c r="C165" s="141"/>
      <c r="D165" s="141"/>
      <c r="E165" s="141"/>
      <c r="F165" s="141"/>
      <c r="G165" s="141"/>
      <c r="H165" s="136" t="s">
        <v>18</v>
      </c>
      <c r="I165" s="136">
        <v>5.0</v>
      </c>
      <c r="J165" s="136">
        <v>100.0</v>
      </c>
      <c r="K165" s="141"/>
      <c r="L165" s="218"/>
      <c r="M165" s="219"/>
      <c r="N165" s="141"/>
    </row>
    <row r="166" ht="20.25" customHeight="1">
      <c r="A166" s="29"/>
      <c r="B166" s="143" t="s">
        <v>21</v>
      </c>
      <c r="C166" s="164">
        <v>409.0</v>
      </c>
      <c r="D166" s="149">
        <f t="array" ref="D166">IFERROR(_xlfn.XLOOKUP(C166,Code!A:A,Code!B:B),"")</f>
        <v>1</v>
      </c>
      <c r="E166" s="149" t="s">
        <v>68</v>
      </c>
      <c r="F166" s="149" t="s">
        <v>109</v>
      </c>
      <c r="G166" s="149" t="s">
        <v>17</v>
      </c>
      <c r="H166" s="139" t="s">
        <v>25</v>
      </c>
      <c r="I166" s="139">
        <v>1.0</v>
      </c>
      <c r="J166" s="139">
        <v>120.0</v>
      </c>
      <c r="K166" s="149">
        <v>1720.0</v>
      </c>
      <c r="L166" s="220">
        <v>25.0</v>
      </c>
      <c r="M166" s="221">
        <v>425.0</v>
      </c>
      <c r="N166" s="110">
        <f>SUM(M166+K166)</f>
        <v>2145</v>
      </c>
    </row>
    <row r="167" ht="20.25" customHeight="1">
      <c r="A167" s="57"/>
      <c r="B167" s="141"/>
      <c r="C167" s="57"/>
      <c r="D167" s="57"/>
      <c r="E167" s="57"/>
      <c r="F167" s="57"/>
      <c r="G167" s="57"/>
      <c r="H167" s="136" t="s">
        <v>18</v>
      </c>
      <c r="I167" s="136">
        <v>15.0</v>
      </c>
      <c r="J167" s="136">
        <v>100.0</v>
      </c>
      <c r="K167" s="57"/>
      <c r="L167" s="209"/>
      <c r="M167" s="222"/>
      <c r="N167" s="57"/>
    </row>
    <row r="168" ht="20.25" customHeight="1">
      <c r="A168" s="100"/>
      <c r="B168" s="155" t="s">
        <v>51</v>
      </c>
      <c r="C168" s="100"/>
      <c r="D168" s="100"/>
      <c r="E168" s="100"/>
      <c r="F168" s="100"/>
      <c r="G168" s="100"/>
      <c r="H168" s="139" t="s">
        <v>18</v>
      </c>
      <c r="I168" s="139">
        <v>1.0</v>
      </c>
      <c r="J168" s="139">
        <v>100.0</v>
      </c>
      <c r="K168" s="100"/>
      <c r="L168" s="211"/>
      <c r="M168" s="223"/>
      <c r="N168" s="100"/>
    </row>
    <row r="169" ht="20.25" customHeight="1">
      <c r="A169" s="224">
        <v>46155.0</v>
      </c>
      <c r="B169" s="225" t="s">
        <v>110</v>
      </c>
      <c r="C169" s="134">
        <v>421.0</v>
      </c>
      <c r="D169" s="110">
        <f t="array" ref="D169">IFERROR(_xlfn.XLOOKUP(C169,Code!A:A,Code!B:B),"")</f>
        <v>1.07</v>
      </c>
      <c r="E169" s="110" t="s">
        <v>68</v>
      </c>
      <c r="F169" s="110" t="s">
        <v>111</v>
      </c>
      <c r="G169" s="110" t="s">
        <v>17</v>
      </c>
      <c r="H169" s="136" t="s">
        <v>25</v>
      </c>
      <c r="I169" s="136">
        <v>1.0</v>
      </c>
      <c r="J169" s="136">
        <v>200.0</v>
      </c>
      <c r="K169" s="226">
        <v>3490.0</v>
      </c>
      <c r="L169" s="227">
        <v>400.0</v>
      </c>
      <c r="M169" s="228"/>
      <c r="N169" s="229">
        <f>SUM(K169+L169)</f>
        <v>3890</v>
      </c>
    </row>
    <row r="170" ht="20.25" customHeight="1">
      <c r="B170" s="29"/>
      <c r="C170" s="29"/>
      <c r="D170" s="29"/>
      <c r="E170" s="29"/>
      <c r="F170" s="29"/>
      <c r="G170" s="29"/>
      <c r="H170" s="149" t="s">
        <v>18</v>
      </c>
      <c r="I170" s="139">
        <v>4.0</v>
      </c>
      <c r="J170" s="139">
        <v>180.0</v>
      </c>
      <c r="K170" s="29"/>
      <c r="M170" s="201"/>
      <c r="N170" s="202"/>
    </row>
    <row r="171" ht="20.25" customHeight="1">
      <c r="B171" s="57"/>
      <c r="C171" s="57"/>
      <c r="D171" s="57"/>
      <c r="E171" s="57"/>
      <c r="F171" s="57"/>
      <c r="G171" s="57"/>
      <c r="H171" s="57"/>
      <c r="I171" s="136">
        <v>5.0</v>
      </c>
      <c r="J171" s="136">
        <v>210.0</v>
      </c>
      <c r="K171" s="57"/>
      <c r="M171" s="199"/>
      <c r="N171" s="200"/>
    </row>
    <row r="172" ht="20.25" customHeight="1">
      <c r="B172" s="29"/>
      <c r="C172" s="29"/>
      <c r="D172" s="29"/>
      <c r="E172" s="29"/>
      <c r="F172" s="29"/>
      <c r="G172" s="29"/>
      <c r="H172" s="29"/>
      <c r="I172" s="139">
        <v>8.0</v>
      </c>
      <c r="J172" s="139">
        <v>140.0</v>
      </c>
      <c r="K172" s="29"/>
      <c r="M172" s="201"/>
      <c r="N172" s="202"/>
    </row>
    <row r="173" ht="20.25" customHeight="1">
      <c r="B173" s="57"/>
      <c r="C173" s="57"/>
      <c r="D173" s="57"/>
      <c r="E173" s="57"/>
      <c r="F173" s="57"/>
      <c r="G173" s="57"/>
      <c r="H173" s="57"/>
      <c r="I173" s="136">
        <v>1.0</v>
      </c>
      <c r="J173" s="136">
        <v>250.0</v>
      </c>
      <c r="K173" s="57"/>
      <c r="M173" s="199"/>
      <c r="N173" s="200"/>
    </row>
    <row r="174" ht="20.25" customHeight="1">
      <c r="A174" s="230"/>
      <c r="B174" s="100"/>
      <c r="C174" s="100"/>
      <c r="D174" s="100"/>
      <c r="E174" s="100"/>
      <c r="F174" s="100"/>
      <c r="G174" s="100"/>
      <c r="H174" s="100"/>
      <c r="I174" s="139">
        <v>1.0</v>
      </c>
      <c r="J174" s="139">
        <v>150.0</v>
      </c>
      <c r="K174" s="100"/>
      <c r="L174" s="230"/>
      <c r="M174" s="231"/>
      <c r="N174" s="213"/>
    </row>
    <row r="175" ht="20.25" customHeight="1">
      <c r="A175" s="156">
        <v>46156.0</v>
      </c>
      <c r="B175" s="106" t="s">
        <v>21</v>
      </c>
      <c r="C175" s="134">
        <v>417.0</v>
      </c>
      <c r="D175" s="109">
        <f t="array" ref="D175">IFERROR(_xlfn.XLOOKUP(C175,Code!A:A,Code!B:B),"")</f>
        <v>1.67</v>
      </c>
      <c r="E175" s="110" t="s">
        <v>23</v>
      </c>
      <c r="F175" s="110" t="s">
        <v>50</v>
      </c>
      <c r="G175" s="109" t="s">
        <v>17</v>
      </c>
      <c r="H175" s="114" t="s">
        <v>25</v>
      </c>
      <c r="I175" s="114">
        <v>1.0</v>
      </c>
      <c r="J175" s="136"/>
      <c r="K175" s="114"/>
      <c r="L175" s="232"/>
      <c r="M175" s="233"/>
      <c r="N175" s="234"/>
    </row>
    <row r="176" ht="20.25" customHeight="1">
      <c r="A176" s="29"/>
      <c r="B176" s="100"/>
      <c r="C176" s="29"/>
      <c r="D176" s="29"/>
      <c r="E176" s="29"/>
      <c r="F176" s="29"/>
      <c r="G176" s="29"/>
      <c r="H176" s="101" t="s">
        <v>18</v>
      </c>
      <c r="I176" s="101">
        <v>17.0</v>
      </c>
      <c r="J176" s="139"/>
      <c r="K176" s="148"/>
      <c r="L176" s="216"/>
      <c r="M176" s="235"/>
      <c r="N176" s="202"/>
    </row>
    <row r="177" ht="20.25" customHeight="1">
      <c r="A177" s="57"/>
      <c r="B177" s="142" t="s">
        <v>51</v>
      </c>
      <c r="C177" s="141"/>
      <c r="D177" s="141"/>
      <c r="E177" s="141"/>
      <c r="F177" s="141"/>
      <c r="G177" s="141"/>
      <c r="H177" s="114" t="s">
        <v>18</v>
      </c>
      <c r="I177" s="114">
        <v>2.0</v>
      </c>
      <c r="J177" s="136"/>
      <c r="K177" s="141"/>
      <c r="L177" s="218"/>
      <c r="M177" s="236"/>
      <c r="N177" s="205"/>
    </row>
    <row r="178" ht="20.25" customHeight="1">
      <c r="A178" s="29"/>
      <c r="B178" s="143" t="s">
        <v>21</v>
      </c>
      <c r="C178" s="188">
        <v>407.0</v>
      </c>
      <c r="D178" s="139">
        <f t="array" ref="D178">IFERROR(_xlfn.XLOOKUP(C178,Code!A:A,Code!B:B),"")</f>
        <v>0.72</v>
      </c>
      <c r="E178" s="149" t="s">
        <v>23</v>
      </c>
      <c r="F178" s="149" t="s">
        <v>113</v>
      </c>
      <c r="G178" s="149" t="s">
        <v>17</v>
      </c>
      <c r="H178" s="139" t="s">
        <v>25</v>
      </c>
      <c r="I178" s="139">
        <v>1.0</v>
      </c>
      <c r="J178" s="139">
        <v>120.0</v>
      </c>
      <c r="K178" s="149">
        <v>2120.0</v>
      </c>
      <c r="L178" s="220">
        <v>30.0</v>
      </c>
      <c r="M178" s="221">
        <v>630.0</v>
      </c>
      <c r="N178" s="110">
        <f>SUM(M178+K178)</f>
        <v>2750</v>
      </c>
    </row>
    <row r="179" ht="20.25" customHeight="1">
      <c r="A179" s="57"/>
      <c r="B179" s="141"/>
      <c r="C179" s="134">
        <v>410.0</v>
      </c>
      <c r="D179" s="110">
        <f t="array" ref="D179">IFERROR(_xlfn.XLOOKUP(C179,Code!A:A,Code!B:B),"")</f>
        <v>0.67</v>
      </c>
      <c r="E179" s="57"/>
      <c r="F179" s="57"/>
      <c r="G179" s="57"/>
      <c r="H179" s="136" t="s">
        <v>18</v>
      </c>
      <c r="I179" s="136">
        <v>18.0</v>
      </c>
      <c r="J179" s="136">
        <v>100.0</v>
      </c>
      <c r="K179" s="57"/>
      <c r="L179" s="209"/>
      <c r="M179" s="222"/>
      <c r="N179" s="57"/>
    </row>
    <row r="180" ht="20.25" customHeight="1">
      <c r="A180" s="29"/>
      <c r="B180" s="155" t="s">
        <v>51</v>
      </c>
      <c r="C180" s="100"/>
      <c r="D180" s="100"/>
      <c r="E180" s="100"/>
      <c r="F180" s="100"/>
      <c r="G180" s="100"/>
      <c r="H180" s="139" t="s">
        <v>18</v>
      </c>
      <c r="I180" s="139">
        <v>2.0</v>
      </c>
      <c r="J180" s="139">
        <v>100.0</v>
      </c>
      <c r="K180" s="100"/>
      <c r="L180" s="211"/>
      <c r="M180" s="223"/>
      <c r="N180" s="100"/>
    </row>
    <row r="181" ht="20.25" customHeight="1">
      <c r="A181" s="57"/>
      <c r="B181" s="106" t="s">
        <v>21</v>
      </c>
      <c r="C181" s="186">
        <v>411.0</v>
      </c>
      <c r="D181" s="136">
        <f t="array" ref="D181">IFERROR(_xlfn.XLOOKUP(C181,Code!A:A,Code!B:B),"")</f>
        <v>0.85</v>
      </c>
      <c r="E181" s="110" t="s">
        <v>23</v>
      </c>
      <c r="F181" s="110" t="s">
        <v>58</v>
      </c>
      <c r="G181" s="109" t="s">
        <v>17</v>
      </c>
      <c r="H181" s="114" t="s">
        <v>25</v>
      </c>
      <c r="I181" s="114">
        <v>1.0</v>
      </c>
      <c r="J181" s="114"/>
      <c r="K181" s="114"/>
      <c r="L181" s="232"/>
      <c r="M181" s="233"/>
      <c r="N181" s="234"/>
    </row>
    <row r="182" ht="20.25" customHeight="1">
      <c r="A182" s="29"/>
      <c r="B182" s="100"/>
      <c r="C182" s="164">
        <v>412.0</v>
      </c>
      <c r="D182" s="149">
        <f t="array" ref="D182">IFERROR(_xlfn.XLOOKUP(C182,Code!A:A,Code!B:B),"")</f>
        <v>1.56</v>
      </c>
      <c r="E182" s="29"/>
      <c r="F182" s="29"/>
      <c r="G182" s="29"/>
      <c r="H182" s="101" t="s">
        <v>18</v>
      </c>
      <c r="I182" s="101">
        <v>14.0</v>
      </c>
      <c r="J182" s="101"/>
      <c r="K182" s="148"/>
      <c r="L182" s="216"/>
      <c r="M182" s="235"/>
      <c r="N182" s="202"/>
    </row>
    <row r="183" ht="20.25" customHeight="1">
      <c r="A183" s="57"/>
      <c r="B183" s="142" t="s">
        <v>51</v>
      </c>
      <c r="C183" s="141"/>
      <c r="D183" s="141"/>
      <c r="E183" s="141"/>
      <c r="F183" s="141"/>
      <c r="G183" s="141"/>
      <c r="H183" s="114" t="s">
        <v>18</v>
      </c>
      <c r="I183" s="114">
        <v>2.0</v>
      </c>
      <c r="J183" s="114"/>
      <c r="K183" s="141"/>
      <c r="L183" s="218"/>
      <c r="M183" s="236"/>
      <c r="N183" s="205"/>
    </row>
    <row r="184" ht="20.25" customHeight="1">
      <c r="A184" s="29"/>
      <c r="B184" s="143" t="s">
        <v>21</v>
      </c>
      <c r="C184" s="188">
        <v>401.0</v>
      </c>
      <c r="D184" s="139">
        <f t="array" ref="D184">IFERROR(_xlfn.XLOOKUP(C184,Code!A:A,Code!B:B),"")</f>
        <v>0.83</v>
      </c>
      <c r="E184" s="149" t="s">
        <v>23</v>
      </c>
      <c r="F184" s="149" t="s">
        <v>114</v>
      </c>
      <c r="G184" s="149" t="s">
        <v>17</v>
      </c>
      <c r="H184" s="139" t="s">
        <v>25</v>
      </c>
      <c r="I184" s="139">
        <v>1.0</v>
      </c>
      <c r="J184" s="139">
        <v>120.0</v>
      </c>
      <c r="K184" s="149">
        <v>2120.0</v>
      </c>
      <c r="L184" s="220">
        <v>30.0</v>
      </c>
      <c r="M184" s="221">
        <v>630.0</v>
      </c>
      <c r="N184" s="110">
        <f>SUM(M184+K184)</f>
        <v>2750</v>
      </c>
    </row>
    <row r="185" ht="20.25" customHeight="1">
      <c r="A185" s="57"/>
      <c r="B185" s="141"/>
      <c r="C185" s="134">
        <v>403.0</v>
      </c>
      <c r="D185" s="110">
        <f t="array" ref="D185">IFERROR(_xlfn.XLOOKUP(C185,Code!A:A,Code!B:B),"")</f>
        <v>0.67</v>
      </c>
      <c r="E185" s="57"/>
      <c r="F185" s="57"/>
      <c r="G185" s="57"/>
      <c r="H185" s="136" t="s">
        <v>18</v>
      </c>
      <c r="I185" s="136">
        <v>16.0</v>
      </c>
      <c r="J185" s="136">
        <v>100.0</v>
      </c>
      <c r="K185" s="57"/>
      <c r="L185" s="209"/>
      <c r="M185" s="222"/>
      <c r="N185" s="57"/>
    </row>
    <row r="186" ht="20.25" customHeight="1">
      <c r="A186" s="29"/>
      <c r="B186" s="155" t="s">
        <v>51</v>
      </c>
      <c r="C186" s="100"/>
      <c r="D186" s="100"/>
      <c r="E186" s="100"/>
      <c r="F186" s="100"/>
      <c r="G186" s="100"/>
      <c r="H186" s="139" t="s">
        <v>18</v>
      </c>
      <c r="I186" s="139">
        <v>4.0</v>
      </c>
      <c r="J186" s="139">
        <v>100.0</v>
      </c>
      <c r="K186" s="100"/>
      <c r="L186" s="211"/>
      <c r="M186" s="223"/>
      <c r="N186" s="100"/>
    </row>
    <row r="187" ht="20.25" customHeight="1">
      <c r="A187" s="57"/>
      <c r="B187" s="106" t="s">
        <v>21</v>
      </c>
      <c r="C187" s="134">
        <v>408.0</v>
      </c>
      <c r="D187" s="110">
        <f t="array" ref="D187">IFERROR(_xlfn.XLOOKUP(C187,Code!A:A,Code!B:B),"")</f>
        <v>1.06</v>
      </c>
      <c r="E187" s="110" t="s">
        <v>68</v>
      </c>
      <c r="F187" s="110" t="s">
        <v>115</v>
      </c>
      <c r="G187" s="110" t="s">
        <v>17</v>
      </c>
      <c r="H187" s="136" t="s">
        <v>25</v>
      </c>
      <c r="I187" s="136">
        <v>1.0</v>
      </c>
      <c r="J187" s="136">
        <v>120.0</v>
      </c>
      <c r="K187" s="110">
        <v>1620.0</v>
      </c>
      <c r="L187" s="214">
        <v>25.0</v>
      </c>
      <c r="M187" s="215">
        <v>400.0</v>
      </c>
      <c r="N187" s="110">
        <f>SUM(M187+K187)</f>
        <v>2020</v>
      </c>
    </row>
    <row r="188" ht="20.25" customHeight="1">
      <c r="A188" s="29"/>
      <c r="B188" s="100"/>
      <c r="C188" s="29"/>
      <c r="D188" s="29"/>
      <c r="E188" s="29"/>
      <c r="F188" s="29"/>
      <c r="G188" s="29"/>
      <c r="H188" s="139" t="s">
        <v>18</v>
      </c>
      <c r="I188" s="139">
        <v>14.0</v>
      </c>
      <c r="J188" s="139">
        <v>100.0</v>
      </c>
      <c r="K188" s="29"/>
      <c r="L188" s="216"/>
      <c r="M188" s="217"/>
      <c r="N188" s="29"/>
    </row>
    <row r="189" ht="20.25" customHeight="1">
      <c r="A189" s="57"/>
      <c r="B189" s="142" t="s">
        <v>51</v>
      </c>
      <c r="C189" s="141"/>
      <c r="D189" s="141"/>
      <c r="E189" s="141"/>
      <c r="F189" s="141"/>
      <c r="G189" s="141"/>
      <c r="H189" s="136" t="s">
        <v>18</v>
      </c>
      <c r="I189" s="136">
        <v>1.0</v>
      </c>
      <c r="J189" s="136">
        <v>100.0</v>
      </c>
      <c r="K189" s="141"/>
      <c r="L189" s="218"/>
      <c r="M189" s="219"/>
      <c r="N189" s="141"/>
    </row>
    <row r="190" ht="20.25" customHeight="1">
      <c r="A190" s="29"/>
      <c r="B190" s="246" t="s">
        <v>110</v>
      </c>
      <c r="C190" s="164">
        <v>425.0</v>
      </c>
      <c r="D190" s="149">
        <f t="array" ref="D190">IFERROR(_xlfn.XLOOKUP(C190,Code!A:A,Code!B:B),"")</f>
        <v>1.14</v>
      </c>
      <c r="E190" s="110" t="s">
        <v>68</v>
      </c>
      <c r="F190" s="149" t="s">
        <v>116</v>
      </c>
      <c r="G190" s="149" t="s">
        <v>17</v>
      </c>
      <c r="H190" s="149" t="s">
        <v>18</v>
      </c>
      <c r="I190" s="139">
        <v>1.0</v>
      </c>
      <c r="J190" s="139">
        <v>220.0</v>
      </c>
      <c r="K190" s="195">
        <v>3700.0</v>
      </c>
      <c r="L190" s="227">
        <v>400.0</v>
      </c>
      <c r="M190" s="197"/>
      <c r="N190" s="229">
        <f>SUM(K190+L190)</f>
        <v>4100</v>
      </c>
    </row>
    <row r="191" ht="20.25" customHeight="1">
      <c r="A191" s="57"/>
      <c r="B191" s="57"/>
      <c r="C191" s="57"/>
      <c r="D191" s="57"/>
      <c r="E191" s="57"/>
      <c r="F191" s="57"/>
      <c r="G191" s="57"/>
      <c r="H191" s="57"/>
      <c r="I191" s="136">
        <v>6.0</v>
      </c>
      <c r="J191" s="136">
        <v>200.0</v>
      </c>
      <c r="K191" s="57"/>
      <c r="M191" s="199"/>
      <c r="N191" s="200"/>
    </row>
    <row r="192" ht="20.25" customHeight="1">
      <c r="A192" s="29"/>
      <c r="B192" s="29"/>
      <c r="C192" s="29"/>
      <c r="D192" s="29"/>
      <c r="E192" s="29"/>
      <c r="F192" s="29"/>
      <c r="G192" s="29"/>
      <c r="H192" s="29"/>
      <c r="I192" s="139">
        <v>1.0</v>
      </c>
      <c r="J192" s="139">
        <v>300.0</v>
      </c>
      <c r="K192" s="29"/>
      <c r="M192" s="201"/>
      <c r="N192" s="202"/>
    </row>
    <row r="193" ht="20.25" customHeight="1">
      <c r="A193" s="57"/>
      <c r="B193" s="57"/>
      <c r="C193" s="57"/>
      <c r="D193" s="57"/>
      <c r="E193" s="57"/>
      <c r="F193" s="57"/>
      <c r="G193" s="57"/>
      <c r="H193" s="57"/>
      <c r="I193" s="136">
        <v>3.0</v>
      </c>
      <c r="J193" s="136">
        <v>250.0</v>
      </c>
      <c r="K193" s="57"/>
      <c r="M193" s="199"/>
      <c r="N193" s="200"/>
    </row>
    <row r="194" ht="20.25" customHeight="1">
      <c r="A194" s="29"/>
      <c r="B194" s="29"/>
      <c r="C194" s="29"/>
      <c r="D194" s="29"/>
      <c r="E194" s="29"/>
      <c r="F194" s="29"/>
      <c r="G194" s="29"/>
      <c r="H194" s="29"/>
      <c r="I194" s="139">
        <v>1.0</v>
      </c>
      <c r="J194" s="139">
        <v>160.0</v>
      </c>
      <c r="K194" s="29"/>
      <c r="M194" s="201"/>
      <c r="N194" s="202"/>
    </row>
    <row r="195" ht="20.25" customHeight="1">
      <c r="A195" s="57"/>
      <c r="B195" s="57"/>
      <c r="C195" s="57"/>
      <c r="D195" s="57"/>
      <c r="E195" s="57"/>
      <c r="F195" s="57"/>
      <c r="G195" s="57"/>
      <c r="H195" s="57"/>
      <c r="I195" s="136">
        <v>6.0</v>
      </c>
      <c r="J195" s="136">
        <v>150.0</v>
      </c>
      <c r="K195" s="57"/>
      <c r="M195" s="199"/>
      <c r="N195" s="200"/>
    </row>
    <row r="196" ht="20.25" customHeight="1">
      <c r="A196" s="100"/>
      <c r="B196" s="100"/>
      <c r="C196" s="100"/>
      <c r="D196" s="100"/>
      <c r="E196" s="100"/>
      <c r="F196" s="100"/>
      <c r="G196" s="100"/>
      <c r="H196" s="100"/>
      <c r="I196" s="139">
        <v>1.0</v>
      </c>
      <c r="J196" s="139">
        <v>170.0</v>
      </c>
      <c r="K196" s="100"/>
      <c r="L196" s="230"/>
      <c r="M196" s="231"/>
      <c r="N196" s="213"/>
    </row>
    <row r="197" ht="20.25" customHeight="1">
      <c r="A197" s="156">
        <v>46157.0</v>
      </c>
      <c r="B197" s="106" t="s">
        <v>21</v>
      </c>
      <c r="C197" s="134">
        <v>417.0</v>
      </c>
      <c r="D197" s="109">
        <f t="array" ref="D197">IFERROR(_xlfn.XLOOKUP(C197,Code!A:A,Code!B:B),"")</f>
        <v>1.67</v>
      </c>
      <c r="E197" s="110" t="s">
        <v>23</v>
      </c>
      <c r="F197" s="110" t="s">
        <v>50</v>
      </c>
      <c r="G197" s="109" t="s">
        <v>17</v>
      </c>
      <c r="H197" s="114" t="s">
        <v>25</v>
      </c>
      <c r="I197" s="114">
        <v>1.0</v>
      </c>
      <c r="J197" s="136"/>
      <c r="K197" s="114"/>
      <c r="L197" s="232"/>
      <c r="M197" s="233"/>
      <c r="N197" s="234"/>
    </row>
    <row r="198" ht="20.25" customHeight="1">
      <c r="A198" s="29"/>
      <c r="B198" s="100"/>
      <c r="C198" s="29"/>
      <c r="D198" s="29"/>
      <c r="E198" s="29"/>
      <c r="F198" s="29"/>
      <c r="G198" s="29"/>
      <c r="H198" s="101" t="s">
        <v>18</v>
      </c>
      <c r="I198" s="101">
        <v>17.0</v>
      </c>
      <c r="J198" s="139"/>
      <c r="K198" s="148"/>
      <c r="L198" s="216"/>
      <c r="M198" s="235"/>
      <c r="N198" s="202"/>
    </row>
    <row r="199" ht="20.25" customHeight="1">
      <c r="A199" s="57"/>
      <c r="B199" s="142" t="s">
        <v>51</v>
      </c>
      <c r="C199" s="141"/>
      <c r="D199" s="141"/>
      <c r="E199" s="141"/>
      <c r="F199" s="141"/>
      <c r="G199" s="141"/>
      <c r="H199" s="114" t="s">
        <v>18</v>
      </c>
      <c r="I199" s="114">
        <v>2.0</v>
      </c>
      <c r="J199" s="136"/>
      <c r="K199" s="141"/>
      <c r="L199" s="218"/>
      <c r="M199" s="236"/>
      <c r="N199" s="205"/>
    </row>
    <row r="200" ht="20.25" customHeight="1">
      <c r="A200" s="29"/>
      <c r="B200" s="143" t="s">
        <v>21</v>
      </c>
      <c r="C200" s="164">
        <v>419.0</v>
      </c>
      <c r="D200" s="148">
        <f t="array" ref="D200">IFERROR(_xlfn.XLOOKUP(C200,Code!A:A,Code!B:B),"")</f>
        <v>1.15</v>
      </c>
      <c r="E200" s="149" t="s">
        <v>23</v>
      </c>
      <c r="F200" s="149" t="s">
        <v>117</v>
      </c>
      <c r="G200" s="149" t="s">
        <v>17</v>
      </c>
      <c r="H200" s="139" t="s">
        <v>25</v>
      </c>
      <c r="I200" s="139">
        <v>1.0</v>
      </c>
      <c r="J200" s="139">
        <v>120.0</v>
      </c>
      <c r="K200" s="149">
        <v>2220.0</v>
      </c>
      <c r="L200" s="220">
        <v>30.0</v>
      </c>
      <c r="M200" s="221">
        <v>660.0</v>
      </c>
      <c r="N200" s="110">
        <f>SUM(M200+K200)</f>
        <v>2880</v>
      </c>
    </row>
    <row r="201" ht="20.25" customHeight="1">
      <c r="A201" s="57"/>
      <c r="B201" s="141"/>
      <c r="C201" s="57"/>
      <c r="D201" s="57"/>
      <c r="E201" s="57"/>
      <c r="F201" s="57"/>
      <c r="G201" s="57"/>
      <c r="H201" s="136" t="s">
        <v>18</v>
      </c>
      <c r="I201" s="136">
        <v>20.0</v>
      </c>
      <c r="J201" s="136">
        <v>100.0</v>
      </c>
      <c r="K201" s="57"/>
      <c r="L201" s="209"/>
      <c r="M201" s="222"/>
      <c r="N201" s="57"/>
    </row>
    <row r="202" ht="20.25" customHeight="1">
      <c r="A202" s="29"/>
      <c r="B202" s="155" t="s">
        <v>51</v>
      </c>
      <c r="C202" s="100"/>
      <c r="D202" s="100"/>
      <c r="E202" s="100"/>
      <c r="F202" s="100"/>
      <c r="G202" s="100"/>
      <c r="H202" s="139" t="s">
        <v>18</v>
      </c>
      <c r="I202" s="139">
        <v>1.0</v>
      </c>
      <c r="J202" s="139">
        <v>100.0</v>
      </c>
      <c r="K202" s="100"/>
      <c r="L202" s="211"/>
      <c r="M202" s="223"/>
      <c r="N202" s="100"/>
    </row>
    <row r="203" ht="20.25" customHeight="1">
      <c r="A203" s="57"/>
      <c r="B203" s="106" t="s">
        <v>21</v>
      </c>
      <c r="C203" s="134">
        <v>412.0</v>
      </c>
      <c r="D203" s="109">
        <f t="array" ref="D203">IFERROR(_xlfn.XLOOKUP(C203,Code!A:A,Code!B:B),"")</f>
        <v>1.56</v>
      </c>
      <c r="E203" s="110" t="s">
        <v>23</v>
      </c>
      <c r="F203" s="110" t="s">
        <v>58</v>
      </c>
      <c r="G203" s="109" t="s">
        <v>17</v>
      </c>
      <c r="H203" s="114" t="s">
        <v>25</v>
      </c>
      <c r="I203" s="114">
        <v>1.0</v>
      </c>
      <c r="J203" s="114"/>
      <c r="K203" s="114"/>
      <c r="L203" s="232"/>
      <c r="M203" s="233"/>
      <c r="N203" s="234"/>
    </row>
    <row r="204" ht="20.25" customHeight="1">
      <c r="A204" s="29"/>
      <c r="B204" s="100"/>
      <c r="C204" s="29"/>
      <c r="D204" s="29"/>
      <c r="E204" s="29"/>
      <c r="F204" s="29"/>
      <c r="G204" s="29"/>
      <c r="H204" s="101" t="s">
        <v>18</v>
      </c>
      <c r="I204" s="101">
        <v>15.0</v>
      </c>
      <c r="J204" s="101"/>
      <c r="K204" s="148"/>
      <c r="L204" s="216"/>
      <c r="M204" s="235"/>
      <c r="N204" s="202"/>
    </row>
    <row r="205" ht="20.25" customHeight="1">
      <c r="A205" s="57"/>
      <c r="B205" s="142" t="s">
        <v>51</v>
      </c>
      <c r="C205" s="141"/>
      <c r="D205" s="141"/>
      <c r="E205" s="141"/>
      <c r="F205" s="141"/>
      <c r="G205" s="141"/>
      <c r="H205" s="114" t="s">
        <v>18</v>
      </c>
      <c r="I205" s="114">
        <v>1.0</v>
      </c>
      <c r="J205" s="114"/>
      <c r="K205" s="141"/>
      <c r="L205" s="218"/>
      <c r="M205" s="236"/>
      <c r="N205" s="205"/>
    </row>
    <row r="206" ht="20.25" customHeight="1">
      <c r="A206" s="29"/>
      <c r="B206" s="143" t="s">
        <v>21</v>
      </c>
      <c r="C206" s="164">
        <v>418.0</v>
      </c>
      <c r="D206" s="149">
        <f t="array" ref="D206">IFERROR(_xlfn.XLOOKUP(C206,Code!A:A,Code!B:B),"")</f>
        <v>1.32</v>
      </c>
      <c r="E206" s="149" t="s">
        <v>23</v>
      </c>
      <c r="F206" s="149" t="s">
        <v>120</v>
      </c>
      <c r="G206" s="149" t="s">
        <v>17</v>
      </c>
      <c r="H206" s="139" t="s">
        <v>25</v>
      </c>
      <c r="I206" s="139">
        <v>1.0</v>
      </c>
      <c r="J206" s="139">
        <v>120.0</v>
      </c>
      <c r="K206" s="139">
        <v>120.0</v>
      </c>
      <c r="L206" s="220">
        <v>30.0</v>
      </c>
      <c r="M206" s="207">
        <v>690.0</v>
      </c>
      <c r="N206" s="234">
        <f>SUM(K206+K207+K209+M206)</f>
        <v>3460</v>
      </c>
    </row>
    <row r="207" ht="20.25" customHeight="1">
      <c r="A207" s="57"/>
      <c r="B207" s="141"/>
      <c r="C207" s="57"/>
      <c r="D207" s="57"/>
      <c r="E207" s="57"/>
      <c r="F207" s="57"/>
      <c r="G207" s="57"/>
      <c r="H207" s="136" t="s">
        <v>18</v>
      </c>
      <c r="I207" s="136">
        <v>10.0</v>
      </c>
      <c r="J207" s="136">
        <v>100.0</v>
      </c>
      <c r="K207" s="110">
        <v>1400.0</v>
      </c>
      <c r="L207" s="209"/>
      <c r="M207" s="210"/>
      <c r="N207" s="200"/>
    </row>
    <row r="208" ht="20.25" customHeight="1">
      <c r="A208" s="29"/>
      <c r="B208" s="155" t="s">
        <v>51</v>
      </c>
      <c r="C208" s="100"/>
      <c r="D208" s="100"/>
      <c r="E208" s="29"/>
      <c r="F208" s="29"/>
      <c r="G208" s="29"/>
      <c r="H208" s="139" t="s">
        <v>18</v>
      </c>
      <c r="I208" s="139">
        <v>4.0</v>
      </c>
      <c r="J208" s="139">
        <v>100.0</v>
      </c>
      <c r="K208" s="100"/>
      <c r="L208" s="216"/>
      <c r="M208" s="235"/>
      <c r="N208" s="202"/>
    </row>
    <row r="209" ht="20.25" customHeight="1">
      <c r="A209" s="57"/>
      <c r="B209" s="106" t="s">
        <v>102</v>
      </c>
      <c r="C209" s="134">
        <v>427.0</v>
      </c>
      <c r="D209" s="110">
        <v>1.05</v>
      </c>
      <c r="E209" s="57"/>
      <c r="F209" s="57"/>
      <c r="G209" s="57"/>
      <c r="H209" s="136" t="s">
        <v>18</v>
      </c>
      <c r="I209" s="136">
        <v>1.0</v>
      </c>
      <c r="J209" s="136">
        <v>200.0</v>
      </c>
      <c r="K209" s="195">
        <f>SUM(J209:J216)</f>
        <v>1250</v>
      </c>
      <c r="L209" s="209"/>
      <c r="M209" s="210"/>
      <c r="N209" s="200"/>
    </row>
    <row r="210" ht="20.25" customHeight="1">
      <c r="A210" s="29"/>
      <c r="B210" s="29"/>
      <c r="C210" s="29"/>
      <c r="D210" s="29"/>
      <c r="E210" s="29"/>
      <c r="F210" s="29"/>
      <c r="G210" s="29"/>
      <c r="H210" s="139" t="s">
        <v>18</v>
      </c>
      <c r="I210" s="139">
        <v>1.0</v>
      </c>
      <c r="J210" s="139">
        <v>200.0</v>
      </c>
      <c r="K210" s="29"/>
      <c r="L210" s="216"/>
      <c r="M210" s="235"/>
      <c r="N210" s="202"/>
    </row>
    <row r="211" ht="20.25" customHeight="1">
      <c r="A211" s="57"/>
      <c r="B211" s="57"/>
      <c r="C211" s="57"/>
      <c r="D211" s="57"/>
      <c r="E211" s="57"/>
      <c r="F211" s="57"/>
      <c r="G211" s="57"/>
      <c r="H211" s="136" t="s">
        <v>18</v>
      </c>
      <c r="I211" s="136">
        <v>1.0</v>
      </c>
      <c r="J211" s="136">
        <v>150.0</v>
      </c>
      <c r="K211" s="57"/>
      <c r="L211" s="209"/>
      <c r="M211" s="210"/>
      <c r="N211" s="200"/>
    </row>
    <row r="212" ht="20.25" customHeight="1">
      <c r="A212" s="29"/>
      <c r="B212" s="29"/>
      <c r="C212" s="29"/>
      <c r="D212" s="29"/>
      <c r="E212" s="29"/>
      <c r="F212" s="29"/>
      <c r="G212" s="29"/>
      <c r="H212" s="139" t="s">
        <v>18</v>
      </c>
      <c r="I212" s="139">
        <v>1.0</v>
      </c>
      <c r="J212" s="139">
        <v>150.0</v>
      </c>
      <c r="K212" s="29"/>
      <c r="L212" s="216"/>
      <c r="M212" s="235"/>
      <c r="N212" s="202"/>
    </row>
    <row r="213" ht="20.25" customHeight="1">
      <c r="A213" s="57"/>
      <c r="B213" s="57"/>
      <c r="C213" s="57"/>
      <c r="D213" s="57"/>
      <c r="E213" s="57"/>
      <c r="F213" s="57"/>
      <c r="G213" s="57"/>
      <c r="H213" s="136" t="s">
        <v>18</v>
      </c>
      <c r="I213" s="136">
        <v>1.0</v>
      </c>
      <c r="J213" s="136">
        <v>100.0</v>
      </c>
      <c r="K213" s="57"/>
      <c r="L213" s="209"/>
      <c r="M213" s="210"/>
      <c r="N213" s="200"/>
    </row>
    <row r="214" ht="20.25" customHeight="1">
      <c r="A214" s="29"/>
      <c r="B214" s="29"/>
      <c r="C214" s="29"/>
      <c r="D214" s="29"/>
      <c r="E214" s="29"/>
      <c r="F214" s="29"/>
      <c r="G214" s="29"/>
      <c r="H214" s="139" t="s">
        <v>18</v>
      </c>
      <c r="I214" s="139">
        <v>1.0</v>
      </c>
      <c r="J214" s="139">
        <v>100.0</v>
      </c>
      <c r="K214" s="29"/>
      <c r="L214" s="216"/>
      <c r="M214" s="235"/>
      <c r="N214" s="202"/>
    </row>
    <row r="215" ht="20.25" customHeight="1">
      <c r="A215" s="57"/>
      <c r="B215" s="57"/>
      <c r="C215" s="57"/>
      <c r="D215" s="57"/>
      <c r="E215" s="57"/>
      <c r="F215" s="57"/>
      <c r="G215" s="57"/>
      <c r="H215" s="136" t="s">
        <v>18</v>
      </c>
      <c r="I215" s="136">
        <v>1.0</v>
      </c>
      <c r="J215" s="136">
        <v>150.0</v>
      </c>
      <c r="K215" s="57"/>
      <c r="L215" s="209"/>
      <c r="M215" s="210"/>
      <c r="N215" s="200"/>
    </row>
    <row r="216" ht="20.25" customHeight="1">
      <c r="A216" s="29"/>
      <c r="B216" s="100"/>
      <c r="C216" s="100"/>
      <c r="D216" s="100"/>
      <c r="E216" s="100"/>
      <c r="F216" s="100"/>
      <c r="G216" s="100"/>
      <c r="H216" s="139" t="s">
        <v>18</v>
      </c>
      <c r="I216" s="139">
        <v>1.0</v>
      </c>
      <c r="J216" s="139">
        <v>200.0</v>
      </c>
      <c r="K216" s="100"/>
      <c r="L216" s="211"/>
      <c r="M216" s="212"/>
      <c r="N216" s="213"/>
    </row>
    <row r="217" ht="20.25" customHeight="1">
      <c r="A217" s="57"/>
      <c r="B217" s="106" t="s">
        <v>21</v>
      </c>
      <c r="C217" s="134">
        <v>412.0</v>
      </c>
      <c r="D217" s="109">
        <f t="array" ref="D217">IFERROR(_xlfn.XLOOKUP(C217,Code!A:A,Code!B:B),"")</f>
        <v>1.56</v>
      </c>
      <c r="E217" s="110" t="s">
        <v>68</v>
      </c>
      <c r="F217" s="110" t="s">
        <v>121</v>
      </c>
      <c r="G217" s="110" t="s">
        <v>17</v>
      </c>
      <c r="H217" s="136" t="s">
        <v>25</v>
      </c>
      <c r="I217" s="136">
        <v>1.0</v>
      </c>
      <c r="J217" s="136">
        <v>120.0</v>
      </c>
      <c r="K217" s="110">
        <v>1820.0</v>
      </c>
      <c r="L217" s="214">
        <v>25.0</v>
      </c>
      <c r="M217" s="233">
        <v>450.0</v>
      </c>
      <c r="N217" s="110">
        <f>SUM(M217+K217)</f>
        <v>2270</v>
      </c>
    </row>
    <row r="218" ht="20.25" customHeight="1">
      <c r="A218" s="29"/>
      <c r="B218" s="100"/>
      <c r="C218" s="29"/>
      <c r="D218" s="29"/>
      <c r="E218" s="29"/>
      <c r="F218" s="29"/>
      <c r="G218" s="29"/>
      <c r="H218" s="139" t="s">
        <v>18</v>
      </c>
      <c r="I218" s="139">
        <v>16.0</v>
      </c>
      <c r="J218" s="139">
        <v>100.0</v>
      </c>
      <c r="K218" s="29"/>
      <c r="L218" s="216"/>
      <c r="M218" s="235"/>
      <c r="N218" s="29"/>
    </row>
    <row r="219" ht="20.25" customHeight="1">
      <c r="A219" s="141"/>
      <c r="B219" s="142" t="s">
        <v>51</v>
      </c>
      <c r="C219" s="141"/>
      <c r="D219" s="141"/>
      <c r="E219" s="141"/>
      <c r="F219" s="141"/>
      <c r="G219" s="141"/>
      <c r="H219" s="136" t="s">
        <v>18</v>
      </c>
      <c r="I219" s="136">
        <v>1.0</v>
      </c>
      <c r="J219" s="136">
        <v>100.0</v>
      </c>
      <c r="K219" s="141"/>
      <c r="L219" s="218"/>
      <c r="M219" s="236"/>
      <c r="N219" s="141"/>
    </row>
    <row r="220" ht="20.25" customHeight="1">
      <c r="A220" s="156">
        <v>46157.0</v>
      </c>
      <c r="B220" s="246" t="s">
        <v>110</v>
      </c>
      <c r="C220" s="164">
        <v>425.0</v>
      </c>
      <c r="D220" s="149" t="str">
        <f t="array" ref="D220">IFERROR(_xlfn.XLOOKUP(C226,Code!A:A,Code!B:B),"")</f>
        <v/>
      </c>
      <c r="E220" s="110" t="s">
        <v>68</v>
      </c>
      <c r="F220" s="149" t="s">
        <v>125</v>
      </c>
      <c r="G220" s="149" t="s">
        <v>17</v>
      </c>
      <c r="H220" s="149" t="s">
        <v>18</v>
      </c>
      <c r="I220" s="139">
        <v>1.0</v>
      </c>
      <c r="J220" s="139">
        <v>220.0</v>
      </c>
      <c r="K220" s="195">
        <v>3550.0</v>
      </c>
      <c r="L220" s="227">
        <v>400.0</v>
      </c>
      <c r="M220" s="197"/>
      <c r="N220" s="229">
        <f>SUM(K220+L220)</f>
        <v>3950</v>
      </c>
    </row>
    <row r="221" ht="20.25" customHeight="1">
      <c r="A221" s="57"/>
      <c r="B221" s="57"/>
      <c r="C221" s="57"/>
      <c r="D221" s="57"/>
      <c r="E221" s="57"/>
      <c r="F221" s="57"/>
      <c r="G221" s="57"/>
      <c r="H221" s="57"/>
      <c r="I221" s="136">
        <v>4.0</v>
      </c>
      <c r="J221" s="136">
        <v>180.0</v>
      </c>
      <c r="K221" s="57"/>
      <c r="M221" s="199"/>
      <c r="N221" s="200"/>
    </row>
    <row r="222" ht="20.25" customHeight="1">
      <c r="A222" s="29"/>
      <c r="B222" s="29"/>
      <c r="C222" s="29"/>
      <c r="D222" s="29"/>
      <c r="E222" s="29"/>
      <c r="F222" s="29"/>
      <c r="G222" s="29"/>
      <c r="H222" s="29"/>
      <c r="I222" s="139">
        <v>5.0</v>
      </c>
      <c r="J222" s="139">
        <v>150.0</v>
      </c>
      <c r="K222" s="29"/>
      <c r="M222" s="201"/>
      <c r="N222" s="202"/>
    </row>
    <row r="223" ht="20.25" customHeight="1">
      <c r="A223" s="57"/>
      <c r="B223" s="57"/>
      <c r="C223" s="57"/>
      <c r="D223" s="57"/>
      <c r="E223" s="57"/>
      <c r="F223" s="57"/>
      <c r="G223" s="57"/>
      <c r="H223" s="57"/>
      <c r="I223" s="136">
        <v>3.0</v>
      </c>
      <c r="J223" s="136">
        <v>200.0</v>
      </c>
      <c r="K223" s="57"/>
      <c r="M223" s="199"/>
      <c r="N223" s="200"/>
    </row>
    <row r="224" ht="20.25" customHeight="1">
      <c r="A224" s="29"/>
      <c r="B224" s="29"/>
      <c r="C224" s="29"/>
      <c r="D224" s="29"/>
      <c r="E224" s="29"/>
      <c r="F224" s="29"/>
      <c r="G224" s="29"/>
      <c r="H224" s="29"/>
      <c r="I224" s="139">
        <v>1.0</v>
      </c>
      <c r="J224" s="139">
        <v>300.0</v>
      </c>
      <c r="K224" s="29"/>
      <c r="M224" s="201"/>
      <c r="N224" s="202"/>
    </row>
    <row r="225" ht="20.25" customHeight="1">
      <c r="A225" s="57"/>
      <c r="B225" s="57"/>
      <c r="C225" s="57"/>
      <c r="D225" s="57"/>
      <c r="E225" s="57"/>
      <c r="F225" s="57"/>
      <c r="G225" s="57"/>
      <c r="H225" s="57"/>
      <c r="I225" s="136">
        <v>2.0</v>
      </c>
      <c r="J225" s="136">
        <v>190.0</v>
      </c>
      <c r="K225" s="57"/>
      <c r="M225" s="199"/>
      <c r="N225" s="200"/>
    </row>
    <row r="226" ht="20.25" customHeight="1">
      <c r="A226" s="29"/>
      <c r="B226" s="29"/>
      <c r="C226" s="29"/>
      <c r="D226" s="29"/>
      <c r="E226" s="29"/>
      <c r="F226" s="29"/>
      <c r="G226" s="29"/>
      <c r="H226" s="29"/>
      <c r="I226" s="139">
        <v>1.0</v>
      </c>
      <c r="J226" s="139">
        <v>160.0</v>
      </c>
      <c r="K226" s="29"/>
      <c r="M226" s="201"/>
      <c r="N226" s="202"/>
    </row>
    <row r="227" ht="20.25" customHeight="1">
      <c r="A227" s="141"/>
      <c r="B227" s="141"/>
      <c r="C227" s="141"/>
      <c r="D227" s="141"/>
      <c r="E227" s="141"/>
      <c r="F227" s="141"/>
      <c r="G227" s="141"/>
      <c r="H227" s="141"/>
      <c r="I227" s="136">
        <v>2.0</v>
      </c>
      <c r="J227" s="136">
        <v>210.0</v>
      </c>
      <c r="K227" s="141"/>
      <c r="L227" s="203"/>
      <c r="M227" s="204"/>
      <c r="N227" s="205"/>
    </row>
    <row r="228" ht="20.25" customHeight="1">
      <c r="A228" s="156">
        <v>46158.0</v>
      </c>
      <c r="B228" s="143" t="s">
        <v>21</v>
      </c>
      <c r="C228" s="164">
        <v>419.0</v>
      </c>
      <c r="D228" s="148">
        <f t="array" ref="D228">IFERROR(_xlfn.XLOOKUP(C228,Code!A:A,Code!B:B),"")</f>
        <v>1.15</v>
      </c>
      <c r="E228" s="149" t="s">
        <v>23</v>
      </c>
      <c r="F228" s="149" t="s">
        <v>50</v>
      </c>
      <c r="G228" s="148" t="s">
        <v>17</v>
      </c>
      <c r="H228" s="101" t="s">
        <v>25</v>
      </c>
      <c r="I228" s="260">
        <v>1.0</v>
      </c>
      <c r="J228" s="139"/>
      <c r="K228" s="101"/>
      <c r="L228" s="206"/>
      <c r="M228" s="207"/>
      <c r="N228" s="208"/>
    </row>
    <row r="229" ht="20.25" customHeight="1">
      <c r="A229" s="57"/>
      <c r="B229" s="141"/>
      <c r="C229" s="141"/>
      <c r="D229" s="141"/>
      <c r="E229" s="57"/>
      <c r="F229" s="57"/>
      <c r="G229" s="57"/>
      <c r="H229" s="114" t="s">
        <v>18</v>
      </c>
      <c r="I229" s="260">
        <v>20.0</v>
      </c>
      <c r="J229" s="136"/>
      <c r="K229" s="109"/>
      <c r="L229" s="209"/>
      <c r="M229" s="210"/>
      <c r="N229" s="200"/>
    </row>
    <row r="230" ht="20.25" customHeight="1">
      <c r="A230" s="29"/>
      <c r="B230" s="155" t="s">
        <v>51</v>
      </c>
      <c r="C230" s="188">
        <v>417.0</v>
      </c>
      <c r="D230" s="101">
        <v>1.67</v>
      </c>
      <c r="E230" s="100"/>
      <c r="F230" s="100"/>
      <c r="G230" s="100"/>
      <c r="H230" s="101" t="s">
        <v>18</v>
      </c>
      <c r="I230" s="260">
        <v>2.0</v>
      </c>
      <c r="J230" s="139"/>
      <c r="K230" s="100"/>
      <c r="L230" s="211"/>
      <c r="M230" s="212"/>
      <c r="N230" s="213"/>
    </row>
    <row r="231" ht="20.25" customHeight="1">
      <c r="A231" s="57"/>
      <c r="B231" s="106" t="s">
        <v>21</v>
      </c>
      <c r="C231" s="134">
        <v>410.0</v>
      </c>
      <c r="D231" s="109">
        <f t="array" ref="D231">IFERROR(_xlfn.XLOOKUP(C231,Code!A:A,Code!B:B),"")</f>
        <v>0.67</v>
      </c>
      <c r="E231" s="110" t="s">
        <v>23</v>
      </c>
      <c r="F231" s="110" t="s">
        <v>126</v>
      </c>
      <c r="G231" s="110" t="s">
        <v>17</v>
      </c>
      <c r="H231" s="136" t="s">
        <v>25</v>
      </c>
      <c r="I231" s="136">
        <v>1.0</v>
      </c>
      <c r="J231" s="136">
        <v>120.0</v>
      </c>
      <c r="K231" s="110">
        <v>1820.0</v>
      </c>
      <c r="L231" s="214">
        <v>30.0</v>
      </c>
      <c r="M231" s="233">
        <v>540.0</v>
      </c>
      <c r="N231" s="110">
        <f>SUM(M231+K231)</f>
        <v>2360</v>
      </c>
    </row>
    <row r="232" ht="20.25" customHeight="1">
      <c r="A232" s="29"/>
      <c r="B232" s="100"/>
      <c r="C232" s="29"/>
      <c r="D232" s="29"/>
      <c r="E232" s="29"/>
      <c r="F232" s="29"/>
      <c r="G232" s="29"/>
      <c r="H232" s="139" t="s">
        <v>18</v>
      </c>
      <c r="I232" s="139">
        <v>16.0</v>
      </c>
      <c r="J232" s="139">
        <v>100.0</v>
      </c>
      <c r="K232" s="29"/>
      <c r="L232" s="216"/>
      <c r="M232" s="235"/>
      <c r="N232" s="29"/>
    </row>
    <row r="233" ht="20.25" customHeight="1">
      <c r="A233" s="57"/>
      <c r="B233" s="142" t="s">
        <v>51</v>
      </c>
      <c r="C233" s="141"/>
      <c r="D233" s="141"/>
      <c r="E233" s="141"/>
      <c r="F233" s="141"/>
      <c r="G233" s="141"/>
      <c r="H233" s="136" t="s">
        <v>18</v>
      </c>
      <c r="I233" s="136">
        <v>1.0</v>
      </c>
      <c r="J233" s="136">
        <v>100.0</v>
      </c>
      <c r="K233" s="141"/>
      <c r="L233" s="218"/>
      <c r="M233" s="236"/>
      <c r="N233" s="141"/>
    </row>
    <row r="234" ht="20.25" customHeight="1">
      <c r="A234" s="29"/>
      <c r="B234" s="143" t="s">
        <v>21</v>
      </c>
      <c r="C234" s="164">
        <v>412.0</v>
      </c>
      <c r="D234" s="148">
        <f t="array" ref="D234">IFERROR(_xlfn.XLOOKUP(C234,Code!A:A,Code!B:B),"")</f>
        <v>1.56</v>
      </c>
      <c r="E234" s="149" t="s">
        <v>23</v>
      </c>
      <c r="F234" s="149" t="s">
        <v>58</v>
      </c>
      <c r="G234" s="148" t="s">
        <v>17</v>
      </c>
      <c r="H234" s="101" t="s">
        <v>25</v>
      </c>
      <c r="I234" s="260">
        <v>1.0</v>
      </c>
      <c r="J234" s="101"/>
      <c r="K234" s="101"/>
      <c r="L234" s="206"/>
      <c r="M234" s="207"/>
      <c r="N234" s="208"/>
    </row>
    <row r="235" ht="20.25" customHeight="1">
      <c r="A235" s="57"/>
      <c r="B235" s="141"/>
      <c r="C235" s="57"/>
      <c r="D235" s="57"/>
      <c r="E235" s="57"/>
      <c r="F235" s="57"/>
      <c r="G235" s="57"/>
      <c r="H235" s="114" t="s">
        <v>18</v>
      </c>
      <c r="I235" s="260">
        <v>16.0</v>
      </c>
      <c r="J235" s="114"/>
      <c r="K235" s="109"/>
      <c r="L235" s="209"/>
      <c r="M235" s="210"/>
      <c r="N235" s="200"/>
    </row>
    <row r="236" ht="20.25" customHeight="1">
      <c r="A236" s="29"/>
      <c r="B236" s="155" t="s">
        <v>51</v>
      </c>
      <c r="C236" s="100"/>
      <c r="D236" s="100"/>
      <c r="E236" s="100"/>
      <c r="F236" s="100"/>
      <c r="G236" s="100"/>
      <c r="H236" s="101" t="s">
        <v>18</v>
      </c>
      <c r="I236" s="260">
        <v>3.0</v>
      </c>
      <c r="J236" s="101"/>
      <c r="K236" s="100"/>
      <c r="L236" s="211"/>
      <c r="M236" s="212"/>
      <c r="N236" s="213"/>
    </row>
    <row r="237" ht="20.25" customHeight="1">
      <c r="A237" s="57"/>
      <c r="B237" s="106" t="s">
        <v>21</v>
      </c>
      <c r="C237" s="134">
        <v>409.0</v>
      </c>
      <c r="D237" s="110">
        <f t="array" ref="D237">IFERROR(_xlfn.XLOOKUP(C237,Code!A:A,Code!B:B),"")</f>
        <v>1</v>
      </c>
      <c r="E237" s="110" t="s">
        <v>23</v>
      </c>
      <c r="F237" s="110" t="s">
        <v>127</v>
      </c>
      <c r="G237" s="110" t="s">
        <v>17</v>
      </c>
      <c r="H237" s="136" t="s">
        <v>25</v>
      </c>
      <c r="I237" s="136">
        <v>1.0</v>
      </c>
      <c r="J237" s="136">
        <v>120.0</v>
      </c>
      <c r="K237" s="136">
        <v>120.0</v>
      </c>
      <c r="L237" s="214">
        <v>30.0</v>
      </c>
      <c r="M237" s="233">
        <v>780.0</v>
      </c>
      <c r="N237" s="234">
        <f>SUM(K237+K238+K240+M237)</f>
        <v>3890</v>
      </c>
    </row>
    <row r="238" ht="20.25" customHeight="1">
      <c r="A238" s="29"/>
      <c r="B238" s="100"/>
      <c r="C238" s="29"/>
      <c r="D238" s="29"/>
      <c r="E238" s="29"/>
      <c r="F238" s="29"/>
      <c r="G238" s="29"/>
      <c r="H238" s="139" t="s">
        <v>18</v>
      </c>
      <c r="I238" s="139">
        <v>12.0</v>
      </c>
      <c r="J238" s="139">
        <v>100.0</v>
      </c>
      <c r="K238" s="149">
        <v>1600.0</v>
      </c>
      <c r="L238" s="216"/>
      <c r="M238" s="235"/>
      <c r="N238" s="202"/>
    </row>
    <row r="239" ht="20.25" customHeight="1">
      <c r="A239" s="57"/>
      <c r="B239" s="142" t="s">
        <v>51</v>
      </c>
      <c r="C239" s="141"/>
      <c r="D239" s="141"/>
      <c r="E239" s="57"/>
      <c r="F239" s="57"/>
      <c r="G239" s="57"/>
      <c r="H239" s="136" t="s">
        <v>18</v>
      </c>
      <c r="I239" s="136">
        <v>4.0</v>
      </c>
      <c r="J239" s="136">
        <v>100.0</v>
      </c>
      <c r="K239" s="141"/>
      <c r="L239" s="209"/>
      <c r="M239" s="210"/>
      <c r="N239" s="200"/>
    </row>
    <row r="240" ht="20.25" customHeight="1">
      <c r="A240" s="29"/>
      <c r="B240" s="143" t="s">
        <v>102</v>
      </c>
      <c r="C240" s="164">
        <v>425.0</v>
      </c>
      <c r="D240" s="149">
        <v>1.14</v>
      </c>
      <c r="E240" s="29"/>
      <c r="F240" s="29"/>
      <c r="G240" s="29"/>
      <c r="H240" s="139" t="s">
        <v>18</v>
      </c>
      <c r="I240" s="139">
        <v>1.0</v>
      </c>
      <c r="J240" s="139">
        <v>220.0</v>
      </c>
      <c r="K240" s="195">
        <f>SUM(J240:J248)</f>
        <v>1390</v>
      </c>
      <c r="L240" s="216"/>
      <c r="M240" s="235"/>
      <c r="N240" s="202"/>
    </row>
    <row r="241" ht="20.25" customHeight="1">
      <c r="A241" s="57"/>
      <c r="B241" s="57"/>
      <c r="C241" s="57"/>
      <c r="D241" s="57"/>
      <c r="E241" s="57"/>
      <c r="F241" s="57"/>
      <c r="G241" s="57"/>
      <c r="H241" s="136" t="s">
        <v>18</v>
      </c>
      <c r="I241" s="136">
        <v>1.0</v>
      </c>
      <c r="J241" s="136">
        <v>220.0</v>
      </c>
      <c r="K241" s="57"/>
      <c r="L241" s="209"/>
      <c r="M241" s="210"/>
      <c r="N241" s="200"/>
    </row>
    <row r="242" ht="20.25" customHeight="1">
      <c r="A242" s="29"/>
      <c r="B242" s="29"/>
      <c r="C242" s="29"/>
      <c r="D242" s="29"/>
      <c r="E242" s="29"/>
      <c r="F242" s="29"/>
      <c r="G242" s="29"/>
      <c r="H242" s="139" t="s">
        <v>18</v>
      </c>
      <c r="I242" s="139">
        <v>1.0</v>
      </c>
      <c r="J242" s="139">
        <v>150.0</v>
      </c>
      <c r="K242" s="29"/>
      <c r="L242" s="216"/>
      <c r="M242" s="235"/>
      <c r="N242" s="202"/>
    </row>
    <row r="243" ht="20.25" customHeight="1">
      <c r="A243" s="57"/>
      <c r="B243" s="57"/>
      <c r="C243" s="57"/>
      <c r="D243" s="57"/>
      <c r="E243" s="57"/>
      <c r="F243" s="57"/>
      <c r="G243" s="57"/>
      <c r="H243" s="136" t="s">
        <v>18</v>
      </c>
      <c r="I243" s="136">
        <v>1.0</v>
      </c>
      <c r="J243" s="136">
        <v>180.0</v>
      </c>
      <c r="K243" s="57"/>
      <c r="L243" s="209"/>
      <c r="M243" s="210"/>
      <c r="N243" s="200"/>
    </row>
    <row r="244" ht="20.25" customHeight="1">
      <c r="A244" s="29"/>
      <c r="B244" s="29"/>
      <c r="C244" s="29"/>
      <c r="D244" s="29"/>
      <c r="E244" s="29"/>
      <c r="F244" s="29"/>
      <c r="G244" s="29"/>
      <c r="H244" s="139" t="s">
        <v>18</v>
      </c>
      <c r="I244" s="139">
        <v>1.0</v>
      </c>
      <c r="J244" s="139">
        <v>220.0</v>
      </c>
      <c r="K244" s="29"/>
      <c r="L244" s="216"/>
      <c r="M244" s="235"/>
      <c r="N244" s="202"/>
    </row>
    <row r="245" ht="20.25" customHeight="1">
      <c r="A245" s="57"/>
      <c r="B245" s="57"/>
      <c r="C245" s="57"/>
      <c r="D245" s="57"/>
      <c r="E245" s="57"/>
      <c r="F245" s="57"/>
      <c r="G245" s="57"/>
      <c r="H245" s="136" t="s">
        <v>18</v>
      </c>
      <c r="I245" s="136">
        <v>1.0</v>
      </c>
      <c r="J245" s="136">
        <v>100.0</v>
      </c>
      <c r="K245" s="57"/>
      <c r="L245" s="209"/>
      <c r="M245" s="210"/>
      <c r="N245" s="200"/>
    </row>
    <row r="246" ht="20.25" customHeight="1">
      <c r="A246" s="29"/>
      <c r="B246" s="29"/>
      <c r="C246" s="29"/>
      <c r="D246" s="29"/>
      <c r="E246" s="29"/>
      <c r="F246" s="29"/>
      <c r="G246" s="29"/>
      <c r="H246" s="139" t="s">
        <v>18</v>
      </c>
      <c r="I246" s="139">
        <v>1.0</v>
      </c>
      <c r="J246" s="139">
        <v>100.0</v>
      </c>
      <c r="K246" s="29"/>
      <c r="L246" s="216"/>
      <c r="M246" s="235"/>
      <c r="N246" s="202"/>
    </row>
    <row r="247" ht="20.25" customHeight="1">
      <c r="A247" s="57"/>
      <c r="B247" s="57"/>
      <c r="C247" s="57"/>
      <c r="D247" s="57"/>
      <c r="E247" s="57"/>
      <c r="F247" s="57"/>
      <c r="G247" s="57"/>
      <c r="H247" s="136" t="s">
        <v>18</v>
      </c>
      <c r="I247" s="136">
        <v>1.0</v>
      </c>
      <c r="J247" s="136">
        <v>100.0</v>
      </c>
      <c r="K247" s="57"/>
      <c r="L247" s="209"/>
      <c r="M247" s="210"/>
      <c r="N247" s="200"/>
    </row>
    <row r="248" ht="20.25" customHeight="1">
      <c r="A248" s="29"/>
      <c r="B248" s="100"/>
      <c r="C248" s="100"/>
      <c r="D248" s="100"/>
      <c r="E248" s="100"/>
      <c r="F248" s="100"/>
      <c r="G248" s="100"/>
      <c r="H248" s="139" t="s">
        <v>18</v>
      </c>
      <c r="I248" s="139">
        <v>1.0</v>
      </c>
      <c r="J248" s="101">
        <v>100.0</v>
      </c>
      <c r="K248" s="100"/>
      <c r="L248" s="211"/>
      <c r="M248" s="212"/>
      <c r="N248" s="213"/>
    </row>
    <row r="249" ht="20.25" customHeight="1">
      <c r="A249" s="57"/>
      <c r="B249" s="106" t="s">
        <v>21</v>
      </c>
      <c r="C249" s="134">
        <v>408.0</v>
      </c>
      <c r="D249" s="109">
        <f t="array" ref="D249">IFERROR(_xlfn.XLOOKUP(C249,Code!A:A,Code!B:B),"")</f>
        <v>1.06</v>
      </c>
      <c r="E249" s="110" t="s">
        <v>68</v>
      </c>
      <c r="F249" s="110" t="s">
        <v>128</v>
      </c>
      <c r="G249" s="110" t="s">
        <v>17</v>
      </c>
      <c r="H249" s="136" t="s">
        <v>25</v>
      </c>
      <c r="I249" s="136">
        <v>1.0</v>
      </c>
      <c r="J249" s="136">
        <v>120.0</v>
      </c>
      <c r="K249" s="110">
        <v>1920.0</v>
      </c>
      <c r="L249" s="214">
        <v>25.0</v>
      </c>
      <c r="M249" s="233">
        <v>475.0</v>
      </c>
      <c r="N249" s="234">
        <f>SUM(K249+M249)</f>
        <v>2395</v>
      </c>
    </row>
    <row r="250" ht="20.25" customHeight="1">
      <c r="A250" s="29"/>
      <c r="B250" s="100"/>
      <c r="C250" s="29"/>
      <c r="D250" s="29"/>
      <c r="E250" s="29"/>
      <c r="F250" s="29"/>
      <c r="G250" s="29"/>
      <c r="H250" s="139" t="s">
        <v>18</v>
      </c>
      <c r="I250" s="139">
        <v>15.0</v>
      </c>
      <c r="J250" s="139">
        <v>100.0</v>
      </c>
      <c r="K250" s="29"/>
      <c r="L250" s="216"/>
      <c r="M250" s="235"/>
      <c r="N250" s="202"/>
    </row>
    <row r="251" ht="20.25" customHeight="1">
      <c r="A251" s="57"/>
      <c r="B251" s="142" t="s">
        <v>51</v>
      </c>
      <c r="C251" s="141"/>
      <c r="D251" s="141"/>
      <c r="E251" s="141"/>
      <c r="F251" s="141"/>
      <c r="G251" s="141"/>
      <c r="H251" s="136" t="s">
        <v>18</v>
      </c>
      <c r="I251" s="136">
        <v>3.0</v>
      </c>
      <c r="J251" s="136">
        <v>100.0</v>
      </c>
      <c r="K251" s="141"/>
      <c r="L251" s="218"/>
      <c r="M251" s="236"/>
      <c r="N251" s="205"/>
    </row>
    <row r="252" ht="20.25" customHeight="1">
      <c r="A252" s="29"/>
      <c r="B252" s="246" t="s">
        <v>110</v>
      </c>
      <c r="C252" s="164">
        <v>426.0</v>
      </c>
      <c r="D252" s="149" t="str">
        <f t="array" ref="D252">IFERROR(_xlfn.XLOOKUP(C254,Code!A:A,Code!B:B),"")</f>
        <v/>
      </c>
      <c r="E252" s="110" t="s">
        <v>68</v>
      </c>
      <c r="F252" s="149" t="s">
        <v>129</v>
      </c>
      <c r="G252" s="149" t="s">
        <v>17</v>
      </c>
      <c r="H252" s="149" t="s">
        <v>18</v>
      </c>
      <c r="I252" s="139">
        <v>1.0</v>
      </c>
      <c r="J252" s="139">
        <v>220.0</v>
      </c>
      <c r="K252" s="195">
        <v>3620.0</v>
      </c>
      <c r="L252" s="227">
        <v>400.0</v>
      </c>
      <c r="M252" s="197"/>
      <c r="N252" s="234">
        <f>SUM(K252+L252)</f>
        <v>4020</v>
      </c>
    </row>
    <row r="253" ht="20.25" customHeight="1">
      <c r="A253" s="57"/>
      <c r="B253" s="57"/>
      <c r="C253" s="57"/>
      <c r="D253" s="57"/>
      <c r="E253" s="57"/>
      <c r="F253" s="57"/>
      <c r="G253" s="57"/>
      <c r="H253" s="57"/>
      <c r="I253" s="136">
        <v>12.0</v>
      </c>
      <c r="J253" s="136">
        <v>200.0</v>
      </c>
      <c r="K253" s="57"/>
      <c r="M253" s="199"/>
      <c r="N253" s="200"/>
    </row>
    <row r="254" ht="20.25" customHeight="1">
      <c r="A254" s="29"/>
      <c r="B254" s="29"/>
      <c r="C254" s="29"/>
      <c r="D254" s="29"/>
      <c r="E254" s="29"/>
      <c r="F254" s="29"/>
      <c r="G254" s="29"/>
      <c r="H254" s="29"/>
      <c r="I254" s="139">
        <v>1.0</v>
      </c>
      <c r="J254" s="139">
        <v>100.0</v>
      </c>
      <c r="K254" s="29"/>
      <c r="M254" s="201"/>
      <c r="N254" s="202"/>
    </row>
    <row r="255" ht="20.25" customHeight="1">
      <c r="A255" s="57"/>
      <c r="B255" s="57"/>
      <c r="C255" s="57"/>
      <c r="D255" s="57"/>
      <c r="E255" s="57"/>
      <c r="F255" s="57"/>
      <c r="G255" s="57"/>
      <c r="H255" s="57"/>
      <c r="I255" s="136">
        <v>1.0</v>
      </c>
      <c r="J255" s="136">
        <v>150.0</v>
      </c>
      <c r="K255" s="57"/>
      <c r="M255" s="199"/>
      <c r="N255" s="200"/>
    </row>
    <row r="256" ht="20.25" customHeight="1">
      <c r="A256" s="100"/>
      <c r="B256" s="100"/>
      <c r="C256" s="100"/>
      <c r="D256" s="100"/>
      <c r="E256" s="100"/>
      <c r="F256" s="100"/>
      <c r="G256" s="100"/>
      <c r="H256" s="100"/>
      <c r="I256" s="139">
        <v>3.0</v>
      </c>
      <c r="J256" s="101">
        <v>250.0</v>
      </c>
      <c r="K256" s="100"/>
      <c r="L256" s="230"/>
      <c r="M256" s="231"/>
      <c r="N256" s="213"/>
    </row>
    <row r="257" ht="20.25" customHeight="1">
      <c r="A257" s="156">
        <v>46159.0</v>
      </c>
      <c r="B257" s="106" t="s">
        <v>21</v>
      </c>
      <c r="C257" s="134">
        <v>423.0</v>
      </c>
      <c r="D257" s="109">
        <f t="array" ref="D257">IFERROR(_xlfn.XLOOKUP(C257,Code!A:A,Code!B:B),"")</f>
        <v>1.03</v>
      </c>
      <c r="E257" s="110" t="s">
        <v>23</v>
      </c>
      <c r="F257" s="110" t="s">
        <v>130</v>
      </c>
      <c r="G257" s="110" t="s">
        <v>17</v>
      </c>
      <c r="H257" s="136" t="s">
        <v>25</v>
      </c>
      <c r="I257" s="139">
        <v>1.0</v>
      </c>
      <c r="J257" s="139">
        <v>120.0</v>
      </c>
      <c r="K257" s="110">
        <v>2520.0</v>
      </c>
      <c r="L257" s="220">
        <v>30.0</v>
      </c>
      <c r="M257" s="207">
        <v>750.0</v>
      </c>
      <c r="N257" s="234">
        <f>SUM(K257+M257)</f>
        <v>3270</v>
      </c>
    </row>
    <row r="258" ht="20.25" customHeight="1">
      <c r="A258" s="29"/>
      <c r="B258" s="100"/>
      <c r="C258" s="29"/>
      <c r="D258" s="29"/>
      <c r="E258" s="29"/>
      <c r="F258" s="29"/>
      <c r="G258" s="29"/>
      <c r="H258" s="139" t="s">
        <v>18</v>
      </c>
      <c r="I258" s="139">
        <v>23.0</v>
      </c>
      <c r="J258" s="139">
        <v>100.0</v>
      </c>
      <c r="K258" s="29"/>
      <c r="L258" s="216"/>
      <c r="M258" s="235"/>
      <c r="N258" s="202"/>
    </row>
    <row r="259" ht="20.25" customHeight="1">
      <c r="A259" s="57"/>
      <c r="B259" s="142" t="s">
        <v>51</v>
      </c>
      <c r="C259" s="141"/>
      <c r="D259" s="141"/>
      <c r="E259" s="141"/>
      <c r="F259" s="141"/>
      <c r="G259" s="141"/>
      <c r="H259" s="136" t="s">
        <v>18</v>
      </c>
      <c r="I259" s="139">
        <v>1.0</v>
      </c>
      <c r="J259" s="139">
        <v>100.0</v>
      </c>
      <c r="K259" s="141"/>
      <c r="L259" s="218"/>
      <c r="M259" s="236"/>
      <c r="N259" s="205"/>
    </row>
    <row r="260" ht="20.25" customHeight="1">
      <c r="A260" s="29"/>
      <c r="B260" s="143" t="s">
        <v>21</v>
      </c>
      <c r="C260" s="164"/>
      <c r="D260" s="148" t="str">
        <f t="array" ref="D260">IFERROR(_xlfn.XLOOKUP(C260,Code!A:A,Code!B:B),"")</f>
        <v/>
      </c>
      <c r="E260" s="149" t="s">
        <v>23</v>
      </c>
      <c r="F260" s="149" t="s">
        <v>58</v>
      </c>
      <c r="G260" s="148" t="s">
        <v>17</v>
      </c>
      <c r="H260" s="101" t="s">
        <v>25</v>
      </c>
      <c r="I260" s="260">
        <v>1.0</v>
      </c>
      <c r="J260" s="101"/>
      <c r="K260" s="101"/>
      <c r="L260" s="206"/>
      <c r="M260" s="207"/>
      <c r="N260" s="272"/>
    </row>
    <row r="261" ht="20.25" customHeight="1">
      <c r="A261" s="57"/>
      <c r="B261" s="141"/>
      <c r="C261" s="57"/>
      <c r="D261" s="57"/>
      <c r="E261" s="57"/>
      <c r="F261" s="57"/>
      <c r="G261" s="57"/>
      <c r="H261" s="114" t="s">
        <v>18</v>
      </c>
      <c r="I261" s="260">
        <v>13.0</v>
      </c>
      <c r="J261" s="101"/>
      <c r="K261" s="148"/>
      <c r="L261" s="209"/>
      <c r="M261" s="210"/>
      <c r="N261" s="272"/>
    </row>
    <row r="262" ht="20.25" customHeight="1">
      <c r="A262" s="29"/>
      <c r="B262" s="155" t="s">
        <v>51</v>
      </c>
      <c r="C262" s="100"/>
      <c r="D262" s="100"/>
      <c r="E262" s="100"/>
      <c r="F262" s="100"/>
      <c r="G262" s="100"/>
      <c r="H262" s="101" t="s">
        <v>18</v>
      </c>
      <c r="I262" s="260">
        <v>3.0</v>
      </c>
      <c r="J262" s="101"/>
      <c r="K262" s="100"/>
      <c r="L262" s="211"/>
      <c r="M262" s="212"/>
      <c r="N262" s="272"/>
    </row>
    <row r="263" ht="20.25" customHeight="1">
      <c r="A263" s="57"/>
      <c r="B263" s="106" t="s">
        <v>21</v>
      </c>
      <c r="C263" s="134">
        <v>422.0</v>
      </c>
      <c r="D263" s="149">
        <f t="array" ref="D263">IFERROR(_xlfn.XLOOKUP(C263,Code!A:A,Code!B:B),"")</f>
        <v>1.24</v>
      </c>
      <c r="E263" s="110" t="s">
        <v>23</v>
      </c>
      <c r="F263" s="110" t="s">
        <v>131</v>
      </c>
      <c r="G263" s="110" t="s">
        <v>17</v>
      </c>
      <c r="H263" s="136" t="s">
        <v>25</v>
      </c>
      <c r="I263" s="139">
        <v>1.0</v>
      </c>
      <c r="J263" s="139">
        <v>120.0</v>
      </c>
      <c r="K263" s="139">
        <v>120.0</v>
      </c>
      <c r="L263" s="220">
        <v>30.0</v>
      </c>
      <c r="M263" s="207">
        <v>840.0</v>
      </c>
      <c r="N263" s="234">
        <f>SUM(K263+K264+K267+M263)</f>
        <v>3790</v>
      </c>
    </row>
    <row r="264" ht="20.25" customHeight="1">
      <c r="A264" s="29"/>
      <c r="B264" s="100"/>
      <c r="C264" s="29"/>
      <c r="D264" s="29"/>
      <c r="E264" s="29"/>
      <c r="F264" s="29"/>
      <c r="G264" s="29"/>
      <c r="H264" s="139" t="s">
        <v>18</v>
      </c>
      <c r="I264" s="139">
        <v>17.0</v>
      </c>
      <c r="J264" s="139">
        <v>100.0</v>
      </c>
      <c r="K264" s="149">
        <v>2400.0</v>
      </c>
      <c r="L264" s="216"/>
      <c r="M264" s="235"/>
      <c r="N264" s="202"/>
    </row>
    <row r="265" ht="20.25" customHeight="1">
      <c r="A265" s="57"/>
      <c r="B265" s="142" t="s">
        <v>51</v>
      </c>
      <c r="C265" s="57"/>
      <c r="D265" s="57"/>
      <c r="E265" s="57"/>
      <c r="F265" s="57"/>
      <c r="G265" s="57"/>
      <c r="H265" s="136" t="s">
        <v>18</v>
      </c>
      <c r="I265" s="139">
        <v>2.0</v>
      </c>
      <c r="J265" s="139">
        <v>100.0</v>
      </c>
      <c r="K265" s="57"/>
      <c r="L265" s="209"/>
      <c r="M265" s="210"/>
      <c r="N265" s="200"/>
    </row>
    <row r="266" ht="20.25" customHeight="1">
      <c r="A266" s="29"/>
      <c r="B266" s="143" t="s">
        <v>22</v>
      </c>
      <c r="C266" s="100"/>
      <c r="D266" s="100"/>
      <c r="E266" s="29"/>
      <c r="F266" s="29"/>
      <c r="G266" s="29"/>
      <c r="H266" s="139" t="s">
        <v>18</v>
      </c>
      <c r="I266" s="139">
        <v>5.0</v>
      </c>
      <c r="J266" s="139">
        <v>100.0</v>
      </c>
      <c r="K266" s="100"/>
      <c r="L266" s="216"/>
      <c r="M266" s="235"/>
      <c r="N266" s="202"/>
    </row>
    <row r="267" ht="20.25" customHeight="1">
      <c r="A267" s="57"/>
      <c r="B267" s="57"/>
      <c r="C267" s="134">
        <v>427.0</v>
      </c>
      <c r="D267" s="149">
        <v>1.05</v>
      </c>
      <c r="E267" s="57"/>
      <c r="F267" s="57"/>
      <c r="G267" s="57"/>
      <c r="H267" s="136" t="s">
        <v>18</v>
      </c>
      <c r="I267" s="139">
        <v>1.0</v>
      </c>
      <c r="J267" s="139">
        <v>150.0</v>
      </c>
      <c r="K267" s="195">
        <v>430.0</v>
      </c>
      <c r="L267" s="209"/>
      <c r="M267" s="210"/>
      <c r="N267" s="200"/>
    </row>
    <row r="268" ht="20.25" customHeight="1">
      <c r="A268" s="29"/>
      <c r="B268" s="29"/>
      <c r="C268" s="29"/>
      <c r="D268" s="29"/>
      <c r="E268" s="29"/>
      <c r="F268" s="29"/>
      <c r="G268" s="29"/>
      <c r="H268" s="101" t="s">
        <v>18</v>
      </c>
      <c r="I268" s="101">
        <v>1.0</v>
      </c>
      <c r="J268" s="139">
        <v>150.0</v>
      </c>
      <c r="K268" s="29"/>
      <c r="L268" s="216"/>
      <c r="M268" s="235"/>
      <c r="N268" s="202"/>
    </row>
    <row r="269" ht="20.25" customHeight="1">
      <c r="A269" s="57"/>
      <c r="B269" s="141"/>
      <c r="C269" s="141"/>
      <c r="D269" s="141"/>
      <c r="E269" s="141"/>
      <c r="F269" s="141"/>
      <c r="G269" s="141"/>
      <c r="H269" s="114" t="s">
        <v>18</v>
      </c>
      <c r="I269" s="101">
        <v>1.0</v>
      </c>
      <c r="J269" s="101">
        <v>130.0</v>
      </c>
      <c r="K269" s="141"/>
      <c r="L269" s="218"/>
      <c r="M269" s="236"/>
      <c r="N269" s="205"/>
    </row>
    <row r="270" ht="20.25" customHeight="1">
      <c r="A270" s="29"/>
      <c r="B270" s="143" t="s">
        <v>21</v>
      </c>
      <c r="C270" s="164">
        <v>420.0</v>
      </c>
      <c r="D270" s="148">
        <f t="array" ref="D270">IFERROR(_xlfn.XLOOKUP(C270,Code!A:A,Code!B:B),"")</f>
        <v>1.41</v>
      </c>
      <c r="E270" s="149" t="s">
        <v>68</v>
      </c>
      <c r="F270" s="149" t="s">
        <v>132</v>
      </c>
      <c r="G270" s="149" t="s">
        <v>17</v>
      </c>
      <c r="H270" s="139" t="s">
        <v>25</v>
      </c>
      <c r="I270" s="139">
        <v>1.0</v>
      </c>
      <c r="J270" s="139">
        <v>120.0</v>
      </c>
      <c r="K270" s="149">
        <v>1920.0</v>
      </c>
      <c r="L270" s="220">
        <v>25.0</v>
      </c>
      <c r="M270" s="207">
        <v>475.0</v>
      </c>
      <c r="N270" s="234">
        <f>SUM(M270+K270)</f>
        <v>2395</v>
      </c>
    </row>
    <row r="271" ht="20.25" customHeight="1">
      <c r="A271" s="57"/>
      <c r="B271" s="141"/>
      <c r="C271" s="57"/>
      <c r="D271" s="57"/>
      <c r="E271" s="57"/>
      <c r="F271" s="57"/>
      <c r="G271" s="57"/>
      <c r="H271" s="136" t="s">
        <v>18</v>
      </c>
      <c r="I271" s="139">
        <v>15.0</v>
      </c>
      <c r="J271" s="139">
        <v>100.0</v>
      </c>
      <c r="K271" s="57"/>
      <c r="L271" s="209"/>
      <c r="M271" s="210"/>
      <c r="N271" s="200"/>
    </row>
    <row r="272" ht="20.25" customHeight="1">
      <c r="A272" s="100"/>
      <c r="B272" s="155" t="s">
        <v>51</v>
      </c>
      <c r="C272" s="100"/>
      <c r="D272" s="100"/>
      <c r="E272" s="100"/>
      <c r="F272" s="100"/>
      <c r="G272" s="100"/>
      <c r="H272" s="139" t="s">
        <v>18</v>
      </c>
      <c r="I272" s="139">
        <v>3.0</v>
      </c>
      <c r="J272" s="139">
        <v>100.0</v>
      </c>
      <c r="K272" s="100"/>
      <c r="L272" s="211"/>
      <c r="M272" s="212"/>
      <c r="N272" s="213"/>
    </row>
    <row r="273" ht="20.25" customHeight="1">
      <c r="A273" s="156">
        <v>46160.0</v>
      </c>
      <c r="B273" s="106" t="s">
        <v>21</v>
      </c>
      <c r="C273" s="134">
        <v>424.0</v>
      </c>
      <c r="D273" s="109">
        <f t="array" ref="D273">IFERROR(_xlfn.XLOOKUP(C273,Code!A:A,Code!B:B),"")</f>
        <v>0.93</v>
      </c>
      <c r="E273" s="110" t="s">
        <v>23</v>
      </c>
      <c r="F273" s="110" t="s">
        <v>50</v>
      </c>
      <c r="G273" s="109" t="s">
        <v>17</v>
      </c>
      <c r="H273" s="114" t="s">
        <v>25</v>
      </c>
      <c r="I273" s="114">
        <v>1.0</v>
      </c>
      <c r="J273" s="136"/>
      <c r="K273" s="139"/>
      <c r="L273" s="232"/>
      <c r="M273" s="233"/>
      <c r="N273" s="234"/>
    </row>
    <row r="274" ht="20.25" customHeight="1">
      <c r="A274" s="29"/>
      <c r="B274" s="100"/>
      <c r="C274" s="29"/>
      <c r="D274" s="29"/>
      <c r="E274" s="29"/>
      <c r="F274" s="29"/>
      <c r="G274" s="29"/>
      <c r="H274" s="101" t="s">
        <v>18</v>
      </c>
      <c r="I274" s="101">
        <v>17.0</v>
      </c>
      <c r="J274" s="149"/>
      <c r="K274" s="149"/>
      <c r="L274" s="216"/>
      <c r="M274" s="235"/>
      <c r="N274" s="202"/>
    </row>
    <row r="275" ht="20.25" customHeight="1">
      <c r="A275" s="57"/>
      <c r="B275" s="142" t="s">
        <v>51</v>
      </c>
      <c r="C275" s="141"/>
      <c r="D275" s="141"/>
      <c r="E275" s="141"/>
      <c r="F275" s="141"/>
      <c r="G275" s="141"/>
      <c r="H275" s="114" t="s">
        <v>18</v>
      </c>
      <c r="I275" s="114">
        <v>2.0</v>
      </c>
      <c r="J275" s="141"/>
      <c r="K275" s="141"/>
      <c r="L275" s="218"/>
      <c r="M275" s="236"/>
      <c r="N275" s="205"/>
    </row>
    <row r="276" ht="20.25" customHeight="1">
      <c r="A276" s="29"/>
      <c r="B276" s="143" t="s">
        <v>21</v>
      </c>
      <c r="C276" s="164">
        <v>409.0</v>
      </c>
      <c r="D276" s="148">
        <f t="array" ref="D276">IFERROR(_xlfn.XLOOKUP(C276,Code!A:A,Code!B:B),"")</f>
        <v>1</v>
      </c>
      <c r="E276" s="149" t="s">
        <v>23</v>
      </c>
      <c r="F276" s="149" t="s">
        <v>133</v>
      </c>
      <c r="G276" s="149" t="s">
        <v>17</v>
      </c>
      <c r="H276" s="139" t="s">
        <v>25</v>
      </c>
      <c r="I276" s="139">
        <v>1.0</v>
      </c>
      <c r="J276" s="139">
        <v>120.0</v>
      </c>
      <c r="K276" s="149">
        <v>1820.0</v>
      </c>
      <c r="L276" s="220">
        <v>30.0</v>
      </c>
      <c r="M276" s="207">
        <v>540.0</v>
      </c>
      <c r="N276" s="234">
        <f>SUM(M276+K276)</f>
        <v>2360</v>
      </c>
    </row>
    <row r="277" ht="20.25" customHeight="1">
      <c r="A277" s="57"/>
      <c r="B277" s="141"/>
      <c r="C277" s="57"/>
      <c r="D277" s="57"/>
      <c r="E277" s="57"/>
      <c r="F277" s="57"/>
      <c r="G277" s="57"/>
      <c r="H277" s="136" t="s">
        <v>18</v>
      </c>
      <c r="I277" s="136">
        <v>15.0</v>
      </c>
      <c r="J277" s="110">
        <v>100.0</v>
      </c>
      <c r="K277" s="57"/>
      <c r="L277" s="209"/>
      <c r="M277" s="210"/>
      <c r="N277" s="200"/>
    </row>
    <row r="278" ht="20.25" customHeight="1">
      <c r="A278" s="29"/>
      <c r="B278" s="155" t="s">
        <v>51</v>
      </c>
      <c r="C278" s="100"/>
      <c r="D278" s="100"/>
      <c r="E278" s="100"/>
      <c r="F278" s="100"/>
      <c r="G278" s="100"/>
      <c r="H278" s="139" t="s">
        <v>18</v>
      </c>
      <c r="I278" s="139">
        <v>2.0</v>
      </c>
      <c r="J278" s="100"/>
      <c r="K278" s="100"/>
      <c r="L278" s="211"/>
      <c r="M278" s="212"/>
      <c r="N278" s="213"/>
    </row>
    <row r="279" ht="20.25" customHeight="1">
      <c r="A279" s="57"/>
      <c r="B279" s="106" t="s">
        <v>21</v>
      </c>
      <c r="C279" s="134">
        <v>420.0</v>
      </c>
      <c r="D279" s="109">
        <f t="array" ref="D279">IFERROR(_xlfn.XLOOKUP(C279,Code!A:A,Code!B:B),"")</f>
        <v>1.41</v>
      </c>
      <c r="E279" s="110" t="s">
        <v>23</v>
      </c>
      <c r="F279" s="110" t="s">
        <v>58</v>
      </c>
      <c r="G279" s="109" t="s">
        <v>17</v>
      </c>
      <c r="H279" s="114" t="s">
        <v>25</v>
      </c>
      <c r="I279" s="114">
        <v>1.0</v>
      </c>
      <c r="J279" s="114"/>
      <c r="K279" s="114"/>
      <c r="L279" s="232"/>
      <c r="M279" s="233"/>
      <c r="N279" s="234"/>
    </row>
    <row r="280" ht="20.25" customHeight="1">
      <c r="A280" s="29"/>
      <c r="B280" s="100"/>
      <c r="C280" s="29"/>
      <c r="D280" s="29"/>
      <c r="E280" s="29"/>
      <c r="F280" s="29"/>
      <c r="G280" s="29"/>
      <c r="H280" s="101" t="s">
        <v>18</v>
      </c>
      <c r="I280" s="101">
        <v>11.0</v>
      </c>
      <c r="J280" s="149"/>
      <c r="K280" s="148"/>
      <c r="L280" s="216"/>
      <c r="M280" s="235"/>
      <c r="N280" s="202"/>
    </row>
    <row r="281" ht="20.25" customHeight="1">
      <c r="A281" s="57"/>
      <c r="B281" s="142" t="s">
        <v>51</v>
      </c>
      <c r="C281" s="141"/>
      <c r="D281" s="141"/>
      <c r="E281" s="141"/>
      <c r="F281" s="141"/>
      <c r="G281" s="141"/>
      <c r="H281" s="114" t="s">
        <v>18</v>
      </c>
      <c r="I281" s="114">
        <v>1.0</v>
      </c>
      <c r="J281" s="141"/>
      <c r="K281" s="141"/>
      <c r="L281" s="218"/>
      <c r="M281" s="236"/>
      <c r="N281" s="205"/>
    </row>
    <row r="282" ht="20.25" customHeight="1">
      <c r="A282" s="29"/>
      <c r="B282" s="143" t="s">
        <v>21</v>
      </c>
      <c r="C282" s="164">
        <v>402.0</v>
      </c>
      <c r="D282" s="149">
        <f t="array" ref="D282">IFERROR(_xlfn.XLOOKUP(C282,Code!A:A,Code!B:B),"")</f>
        <v>0.82</v>
      </c>
      <c r="E282" s="149" t="s">
        <v>23</v>
      </c>
      <c r="F282" s="149" t="s">
        <v>134</v>
      </c>
      <c r="G282" s="149" t="s">
        <v>17</v>
      </c>
      <c r="H282" s="139" t="s">
        <v>25</v>
      </c>
      <c r="I282" s="139">
        <v>1.0</v>
      </c>
      <c r="J282" s="139">
        <v>120.0</v>
      </c>
      <c r="K282" s="139">
        <v>120.0</v>
      </c>
      <c r="L282" s="220">
        <v>30.0</v>
      </c>
      <c r="M282" s="207">
        <v>900.0</v>
      </c>
      <c r="N282" s="234">
        <f>SUM(K282+K283+K285+M282)</f>
        <v>3920</v>
      </c>
    </row>
    <row r="283" ht="20.25" customHeight="1">
      <c r="A283" s="57"/>
      <c r="B283" s="141"/>
      <c r="C283" s="57"/>
      <c r="D283" s="57"/>
      <c r="E283" s="57"/>
      <c r="F283" s="57"/>
      <c r="G283" s="57"/>
      <c r="H283" s="136" t="s">
        <v>18</v>
      </c>
      <c r="I283" s="136">
        <v>9.0</v>
      </c>
      <c r="J283" s="110">
        <v>100.0</v>
      </c>
      <c r="K283" s="110">
        <v>1200.0</v>
      </c>
      <c r="L283" s="209"/>
      <c r="M283" s="210"/>
      <c r="N283" s="200"/>
    </row>
    <row r="284" ht="20.25" customHeight="1">
      <c r="A284" s="29"/>
      <c r="B284" s="155" t="s">
        <v>51</v>
      </c>
      <c r="C284" s="100"/>
      <c r="D284" s="100"/>
      <c r="E284" s="29"/>
      <c r="F284" s="29"/>
      <c r="G284" s="29"/>
      <c r="H284" s="139" t="s">
        <v>18</v>
      </c>
      <c r="I284" s="139">
        <v>3.0</v>
      </c>
      <c r="J284" s="100"/>
      <c r="K284" s="100"/>
      <c r="L284" s="216"/>
      <c r="M284" s="235"/>
      <c r="N284" s="202"/>
    </row>
    <row r="285" ht="20.25" customHeight="1">
      <c r="A285" s="57"/>
      <c r="B285" s="142" t="s">
        <v>110</v>
      </c>
      <c r="C285" s="186">
        <v>427.0</v>
      </c>
      <c r="D285" s="136">
        <v>1.14</v>
      </c>
      <c r="E285" s="141"/>
      <c r="F285" s="141"/>
      <c r="G285" s="141"/>
      <c r="H285" s="136" t="s">
        <v>18</v>
      </c>
      <c r="I285" s="114">
        <v>17.0</v>
      </c>
      <c r="J285" s="136">
        <v>100.0</v>
      </c>
      <c r="K285" s="284">
        <v>1700.0</v>
      </c>
      <c r="L285" s="218"/>
      <c r="M285" s="236"/>
      <c r="N285" s="205"/>
    </row>
    <row r="286" ht="20.25" customHeight="1">
      <c r="A286" s="29"/>
      <c r="B286" s="143" t="s">
        <v>21</v>
      </c>
      <c r="C286" s="164">
        <v>406.0</v>
      </c>
      <c r="D286" s="148">
        <f t="array" ref="D286">IFERROR(_xlfn.XLOOKUP(C286,Code!A:A,Code!B:B),"")</f>
        <v>1.1</v>
      </c>
      <c r="E286" s="149" t="s">
        <v>68</v>
      </c>
      <c r="F286" s="149" t="s">
        <v>136</v>
      </c>
      <c r="G286" s="149" t="s">
        <v>17</v>
      </c>
      <c r="H286" s="139" t="s">
        <v>25</v>
      </c>
      <c r="I286" s="139">
        <v>1.0</v>
      </c>
      <c r="J286" s="139">
        <v>120.0</v>
      </c>
      <c r="K286" s="149">
        <v>1820.0</v>
      </c>
      <c r="L286" s="220">
        <v>25.0</v>
      </c>
      <c r="M286" s="207">
        <v>450.0</v>
      </c>
      <c r="N286" s="234">
        <f>SUM(M286+K286)</f>
        <v>2270</v>
      </c>
    </row>
    <row r="287" ht="20.25" customHeight="1">
      <c r="A287" s="57"/>
      <c r="B287" s="141"/>
      <c r="C287" s="57"/>
      <c r="D287" s="57"/>
      <c r="E287" s="57"/>
      <c r="F287" s="57"/>
      <c r="G287" s="57"/>
      <c r="H287" s="136" t="s">
        <v>18</v>
      </c>
      <c r="I287" s="136">
        <v>16.0</v>
      </c>
      <c r="J287" s="110">
        <v>100.0</v>
      </c>
      <c r="K287" s="57"/>
      <c r="L287" s="209"/>
      <c r="M287" s="210"/>
      <c r="N287" s="200"/>
    </row>
    <row r="288" ht="20.25" customHeight="1">
      <c r="A288" s="29"/>
      <c r="B288" s="155" t="s">
        <v>51</v>
      </c>
      <c r="C288" s="100"/>
      <c r="D288" s="100"/>
      <c r="E288" s="100"/>
      <c r="F288" s="100"/>
      <c r="G288" s="100"/>
      <c r="H288" s="139" t="s">
        <v>18</v>
      </c>
      <c r="I288" s="139">
        <v>1.0</v>
      </c>
      <c r="J288" s="100"/>
      <c r="K288" s="100"/>
      <c r="L288" s="211"/>
      <c r="M288" s="212"/>
      <c r="N288" s="213"/>
    </row>
    <row r="289" ht="20.25" customHeight="1">
      <c r="A289" s="57"/>
      <c r="B289" s="225" t="s">
        <v>110</v>
      </c>
      <c r="C289" s="134">
        <v>426.0</v>
      </c>
      <c r="D289" s="109">
        <f t="array" ref="D289">IFERROR(_xlfn.XLOOKUP(C289,Code!A:A,Code!B:B),"")</f>
        <v>1.05</v>
      </c>
      <c r="E289" s="110" t="s">
        <v>68</v>
      </c>
      <c r="F289" s="110" t="s">
        <v>137</v>
      </c>
      <c r="G289" s="110" t="s">
        <v>17</v>
      </c>
      <c r="H289" s="110" t="s">
        <v>18</v>
      </c>
      <c r="I289" s="136">
        <v>1.0</v>
      </c>
      <c r="J289" s="136">
        <v>220.0</v>
      </c>
      <c r="K289" s="195">
        <v>2820.0</v>
      </c>
      <c r="L289" s="227">
        <v>400.0</v>
      </c>
      <c r="M289" s="228"/>
      <c r="N289" s="285">
        <f>SUM(K289+L289)</f>
        <v>3220</v>
      </c>
    </row>
    <row r="290" ht="20.25" customHeight="1">
      <c r="A290" s="29"/>
      <c r="B290" s="29"/>
      <c r="C290" s="29"/>
      <c r="D290" s="29"/>
      <c r="E290" s="29"/>
      <c r="F290" s="29"/>
      <c r="G290" s="29"/>
      <c r="H290" s="29"/>
      <c r="I290" s="139">
        <v>4.0</v>
      </c>
      <c r="J290" s="139">
        <v>200.0</v>
      </c>
      <c r="K290" s="29"/>
      <c r="M290" s="201"/>
      <c r="N290" s="235"/>
    </row>
    <row r="291" ht="20.25" customHeight="1">
      <c r="A291" s="141"/>
      <c r="B291" s="141"/>
      <c r="C291" s="141"/>
      <c r="D291" s="141"/>
      <c r="E291" s="141"/>
      <c r="F291" s="141"/>
      <c r="G291" s="141"/>
      <c r="H291" s="141"/>
      <c r="I291" s="136">
        <v>12.0</v>
      </c>
      <c r="J291" s="136">
        <v>150.0</v>
      </c>
      <c r="K291" s="141"/>
      <c r="L291" s="203"/>
      <c r="M291" s="204"/>
      <c r="N291" s="236"/>
    </row>
    <row r="292" ht="20.25" customHeight="1">
      <c r="A292" s="156">
        <v>46161.0</v>
      </c>
      <c r="B292" s="143" t="s">
        <v>21</v>
      </c>
      <c r="C292" s="164">
        <v>422.0</v>
      </c>
      <c r="D292" s="148">
        <f t="array" ref="D292">IFERROR(_xlfn.XLOOKUP(C292,Code!A:A,Code!B:B),"")</f>
        <v>1.24</v>
      </c>
      <c r="E292" s="149" t="s">
        <v>23</v>
      </c>
      <c r="F292" s="149" t="s">
        <v>50</v>
      </c>
      <c r="G292" s="148" t="s">
        <v>17</v>
      </c>
      <c r="H292" s="101" t="s">
        <v>25</v>
      </c>
      <c r="I292" s="101">
        <v>1.0</v>
      </c>
      <c r="J292" s="139"/>
      <c r="K292" s="149"/>
      <c r="L292" s="206"/>
      <c r="M292" s="207"/>
      <c r="N292" s="207"/>
    </row>
    <row r="293" ht="20.25" customHeight="1">
      <c r="A293" s="57"/>
      <c r="B293" s="141"/>
      <c r="C293" s="57"/>
      <c r="D293" s="57"/>
      <c r="E293" s="57"/>
      <c r="F293" s="57"/>
      <c r="G293" s="57"/>
      <c r="H293" s="114" t="s">
        <v>18</v>
      </c>
      <c r="I293" s="114">
        <v>17.0</v>
      </c>
      <c r="J293" s="110"/>
      <c r="K293" s="57"/>
      <c r="L293" s="209"/>
      <c r="M293" s="210"/>
      <c r="N293" s="210"/>
    </row>
    <row r="294" ht="20.25" customHeight="1">
      <c r="A294" s="29"/>
      <c r="B294" s="155" t="s">
        <v>51</v>
      </c>
      <c r="C294" s="100"/>
      <c r="D294" s="100"/>
      <c r="E294" s="100"/>
      <c r="F294" s="100"/>
      <c r="G294" s="100"/>
      <c r="H294" s="101" t="s">
        <v>18</v>
      </c>
      <c r="I294" s="101">
        <v>4.0</v>
      </c>
      <c r="J294" s="100"/>
      <c r="K294" s="100"/>
      <c r="L294" s="211"/>
      <c r="M294" s="212"/>
      <c r="N294" s="212"/>
    </row>
    <row r="295" ht="20.25" customHeight="1">
      <c r="A295" s="57"/>
      <c r="B295" s="106" t="s">
        <v>21</v>
      </c>
      <c r="C295" s="186">
        <v>406.0</v>
      </c>
      <c r="D295" s="109">
        <f t="array" ref="D295">IFERROR(_xlfn.XLOOKUP(C295,Code!A:A,Code!B:B),"")</f>
        <v>1.1</v>
      </c>
      <c r="E295" s="110" t="s">
        <v>23</v>
      </c>
      <c r="F295" s="110" t="s">
        <v>138</v>
      </c>
      <c r="G295" s="110" t="s">
        <v>17</v>
      </c>
      <c r="H295" s="136" t="s">
        <v>25</v>
      </c>
      <c r="I295" s="136">
        <v>1.0</v>
      </c>
      <c r="J295" s="136">
        <v>120.0</v>
      </c>
      <c r="K295" s="149">
        <v>2020.0</v>
      </c>
      <c r="L295" s="214">
        <v>30.0</v>
      </c>
      <c r="M295" s="233">
        <v>600.0</v>
      </c>
      <c r="N295" s="234">
        <f>SUM(M295+K295)</f>
        <v>2620</v>
      </c>
    </row>
    <row r="296" ht="20.25" customHeight="1">
      <c r="A296" s="29"/>
      <c r="B296" s="100"/>
      <c r="C296" s="164">
        <v>407.0</v>
      </c>
      <c r="D296" s="29"/>
      <c r="E296" s="29"/>
      <c r="F296" s="29"/>
      <c r="G296" s="29"/>
      <c r="H296" s="139" t="s">
        <v>18</v>
      </c>
      <c r="I296" s="139">
        <v>18.0</v>
      </c>
      <c r="J296" s="149">
        <v>100.0</v>
      </c>
      <c r="K296" s="29"/>
      <c r="L296" s="216"/>
      <c r="M296" s="235"/>
      <c r="N296" s="202"/>
    </row>
    <row r="297" ht="20.25" customHeight="1">
      <c r="A297" s="57"/>
      <c r="B297" s="142" t="s">
        <v>51</v>
      </c>
      <c r="C297" s="141"/>
      <c r="D297" s="141"/>
      <c r="E297" s="141"/>
      <c r="F297" s="141"/>
      <c r="G297" s="141"/>
      <c r="H297" s="136" t="s">
        <v>18</v>
      </c>
      <c r="I297" s="136">
        <v>1.0</v>
      </c>
      <c r="J297" s="141"/>
      <c r="K297" s="141"/>
      <c r="L297" s="218"/>
      <c r="M297" s="236"/>
      <c r="N297" s="205"/>
    </row>
    <row r="298" ht="20.25" customHeight="1">
      <c r="A298" s="29"/>
      <c r="B298" s="143" t="s">
        <v>21</v>
      </c>
      <c r="C298" s="164">
        <v>420.0</v>
      </c>
      <c r="D298" s="148">
        <f t="array" ref="D298">IFERROR(_xlfn.XLOOKUP(C298,Code!A:A,Code!B:B),"")</f>
        <v>1.41</v>
      </c>
      <c r="E298" s="149" t="s">
        <v>23</v>
      </c>
      <c r="F298" s="149" t="s">
        <v>58</v>
      </c>
      <c r="G298" s="148" t="s">
        <v>17</v>
      </c>
      <c r="H298" s="101" t="s">
        <v>25</v>
      </c>
      <c r="I298" s="101">
        <v>1.0</v>
      </c>
      <c r="J298" s="101"/>
      <c r="K298" s="149"/>
      <c r="L298" s="206"/>
      <c r="M298" s="207"/>
      <c r="N298" s="208"/>
    </row>
    <row r="299" ht="20.25" customHeight="1">
      <c r="A299" s="57"/>
      <c r="B299" s="141"/>
      <c r="C299" s="141"/>
      <c r="D299" s="57"/>
      <c r="E299" s="57"/>
      <c r="F299" s="57"/>
      <c r="G299" s="57"/>
      <c r="H299" s="114" t="s">
        <v>18</v>
      </c>
      <c r="I299" s="114">
        <v>14.0</v>
      </c>
      <c r="J299" s="110"/>
      <c r="K299" s="57"/>
      <c r="L299" s="209"/>
      <c r="M299" s="210"/>
      <c r="N299" s="200"/>
    </row>
    <row r="300" ht="20.25" customHeight="1">
      <c r="A300" s="29"/>
      <c r="B300" s="155" t="s">
        <v>51</v>
      </c>
      <c r="C300" s="188">
        <v>417.0</v>
      </c>
      <c r="D300" s="100"/>
      <c r="E300" s="100"/>
      <c r="F300" s="100"/>
      <c r="G300" s="100"/>
      <c r="H300" s="101" t="s">
        <v>18</v>
      </c>
      <c r="I300" s="101">
        <v>2.0</v>
      </c>
      <c r="J300" s="100"/>
      <c r="K300" s="100"/>
      <c r="L300" s="211"/>
      <c r="M300" s="212"/>
      <c r="N300" s="213"/>
    </row>
    <row r="301" ht="20.25" customHeight="1">
      <c r="A301" s="57"/>
      <c r="B301" s="106" t="s">
        <v>110</v>
      </c>
      <c r="C301" s="134">
        <v>428.0</v>
      </c>
      <c r="D301" s="110">
        <f t="array" ref="D301">IFERROR(_xlfn.XLOOKUP(C301,Code!A:A,Code!B:B),"")</f>
        <v>1.04</v>
      </c>
      <c r="E301" s="110" t="s">
        <v>23</v>
      </c>
      <c r="F301" s="110" t="s">
        <v>139</v>
      </c>
      <c r="G301" s="110" t="s">
        <v>17</v>
      </c>
      <c r="H301" s="136" t="s">
        <v>25</v>
      </c>
      <c r="I301" s="136">
        <v>1.0</v>
      </c>
      <c r="J301" s="136">
        <v>120.0</v>
      </c>
      <c r="K301" s="195">
        <v>1895.0</v>
      </c>
      <c r="L301" s="214">
        <v>30.0</v>
      </c>
      <c r="M301" s="233">
        <v>300.0</v>
      </c>
      <c r="N301" s="234">
        <f>SUM(K301+M301)</f>
        <v>2195</v>
      </c>
    </row>
    <row r="302" ht="20.25" customHeight="1">
      <c r="A302" s="29"/>
      <c r="B302" s="100"/>
      <c r="C302" s="29"/>
      <c r="D302" s="29"/>
      <c r="E302" s="29"/>
      <c r="F302" s="29"/>
      <c r="G302" s="29"/>
      <c r="H302" s="139" t="s">
        <v>18</v>
      </c>
      <c r="I302" s="288">
        <v>7.0</v>
      </c>
      <c r="J302" s="139">
        <v>225.0</v>
      </c>
      <c r="K302" s="29"/>
      <c r="L302" s="216"/>
      <c r="M302" s="235"/>
      <c r="N302" s="202"/>
    </row>
    <row r="303" ht="20.25" customHeight="1">
      <c r="A303" s="57"/>
      <c r="B303" s="106" t="s">
        <v>51</v>
      </c>
      <c r="C303" s="57"/>
      <c r="D303" s="57"/>
      <c r="E303" s="57"/>
      <c r="F303" s="57"/>
      <c r="G303" s="57"/>
      <c r="H303" s="110" t="s">
        <v>18</v>
      </c>
      <c r="I303" s="289">
        <v>2.0</v>
      </c>
      <c r="J303" s="110">
        <v>100.0</v>
      </c>
      <c r="K303" s="57"/>
      <c r="L303" s="209"/>
      <c r="M303" s="210"/>
      <c r="N303" s="200"/>
    </row>
    <row r="304" ht="20.25" customHeight="1">
      <c r="A304" s="29"/>
      <c r="B304" s="100"/>
      <c r="C304" s="100"/>
      <c r="D304" s="100"/>
      <c r="E304" s="100"/>
      <c r="F304" s="100"/>
      <c r="G304" s="100"/>
      <c r="H304" s="100"/>
      <c r="I304" s="290"/>
      <c r="J304" s="100"/>
      <c r="K304" s="100"/>
      <c r="L304" s="211"/>
      <c r="M304" s="212"/>
      <c r="N304" s="213"/>
    </row>
    <row r="305" ht="20.25" customHeight="1">
      <c r="A305" s="57"/>
      <c r="B305" s="106" t="s">
        <v>21</v>
      </c>
      <c r="C305" s="134">
        <v>415.0</v>
      </c>
      <c r="D305" s="109">
        <f t="array" ref="D305">IFERROR(_xlfn.XLOOKUP(C305,Code!A:A,Code!B:B),"")</f>
        <v>0.62</v>
      </c>
      <c r="E305" s="110" t="s">
        <v>68</v>
      </c>
      <c r="F305" s="110" t="s">
        <v>141</v>
      </c>
      <c r="G305" s="110" t="s">
        <v>17</v>
      </c>
      <c r="H305" s="136" t="s">
        <v>25</v>
      </c>
      <c r="I305" s="136">
        <v>1.0</v>
      </c>
      <c r="J305" s="136">
        <v>120.0</v>
      </c>
      <c r="K305" s="110">
        <v>2220.0</v>
      </c>
      <c r="L305" s="214">
        <v>25.0</v>
      </c>
      <c r="M305" s="233">
        <v>550.0</v>
      </c>
      <c r="N305" s="234">
        <f>SUM(M305+K305)</f>
        <v>2770</v>
      </c>
    </row>
    <row r="306" ht="20.25" customHeight="1">
      <c r="A306" s="29"/>
      <c r="B306" s="100"/>
      <c r="C306" s="29"/>
      <c r="D306" s="29"/>
      <c r="E306" s="29"/>
      <c r="F306" s="29"/>
      <c r="G306" s="29"/>
      <c r="H306" s="139" t="s">
        <v>18</v>
      </c>
      <c r="I306" s="139">
        <v>20.0</v>
      </c>
      <c r="J306" s="149">
        <v>100.0</v>
      </c>
      <c r="K306" s="29"/>
      <c r="L306" s="216"/>
      <c r="M306" s="235"/>
      <c r="N306" s="202"/>
    </row>
    <row r="307" ht="20.25" customHeight="1">
      <c r="A307" s="57"/>
      <c r="B307" s="142" t="s">
        <v>51</v>
      </c>
      <c r="C307" s="141"/>
      <c r="D307" s="141"/>
      <c r="E307" s="141"/>
      <c r="F307" s="141"/>
      <c r="G307" s="141"/>
      <c r="H307" s="136" t="s">
        <v>18</v>
      </c>
      <c r="I307" s="136">
        <v>1.0</v>
      </c>
      <c r="J307" s="141"/>
      <c r="K307" s="141"/>
      <c r="L307" s="218"/>
      <c r="M307" s="236"/>
      <c r="N307" s="205"/>
    </row>
    <row r="308" ht="20.25" customHeight="1">
      <c r="A308" s="29"/>
      <c r="B308" s="246" t="s">
        <v>110</v>
      </c>
      <c r="C308" s="164">
        <v>428.0</v>
      </c>
      <c r="D308" s="149">
        <f t="array" ref="D308">IFERROR(_xlfn.XLOOKUP(C308,Code!A:A,Code!B:B),"")</f>
        <v>1.04</v>
      </c>
      <c r="E308" s="110" t="s">
        <v>68</v>
      </c>
      <c r="F308" s="149" t="s">
        <v>142</v>
      </c>
      <c r="G308" s="291" t="s">
        <v>17</v>
      </c>
      <c r="H308" s="272" t="s">
        <v>18</v>
      </c>
      <c r="I308" s="139">
        <v>1.0</v>
      </c>
      <c r="J308" s="139">
        <v>220.0</v>
      </c>
      <c r="K308" s="292">
        <v>3670.0</v>
      </c>
      <c r="L308" s="227">
        <v>400.0</v>
      </c>
      <c r="M308" s="197"/>
      <c r="N308" s="234">
        <f>SUM(K308+L308)</f>
        <v>4070</v>
      </c>
    </row>
    <row r="309" ht="20.25" customHeight="1">
      <c r="A309" s="57"/>
      <c r="B309" s="57"/>
      <c r="C309" s="57"/>
      <c r="D309" s="57"/>
      <c r="E309" s="57"/>
      <c r="F309" s="57"/>
      <c r="G309" s="294"/>
      <c r="H309" s="295" t="s">
        <v>18</v>
      </c>
      <c r="I309" s="136">
        <v>12.0</v>
      </c>
      <c r="J309" s="136">
        <v>200.0</v>
      </c>
      <c r="K309" s="70"/>
      <c r="M309" s="199"/>
      <c r="N309" s="200"/>
    </row>
    <row r="310" ht="20.25" customHeight="1">
      <c r="A310" s="100"/>
      <c r="B310" s="100"/>
      <c r="C310" s="100"/>
      <c r="D310" s="100"/>
      <c r="E310" s="100"/>
      <c r="F310" s="100"/>
      <c r="G310" s="290"/>
      <c r="H310" s="272" t="s">
        <v>18</v>
      </c>
      <c r="I310" s="139">
        <v>7.0</v>
      </c>
      <c r="J310" s="139">
        <v>150.0</v>
      </c>
      <c r="K310" s="296"/>
      <c r="L310" s="230"/>
      <c r="M310" s="231"/>
      <c r="N310" s="213"/>
    </row>
    <row r="311" ht="20.25" customHeight="1">
      <c r="A311" s="156">
        <v>46162.0</v>
      </c>
      <c r="B311" s="106" t="s">
        <v>21</v>
      </c>
      <c r="C311" s="134">
        <v>414.0</v>
      </c>
      <c r="D311" s="109">
        <f t="array" ref="D311">IFERROR(_xlfn.XLOOKUP(C311,Code!A:A,Code!B:B),"")</f>
        <v>1.26</v>
      </c>
      <c r="E311" s="110" t="s">
        <v>23</v>
      </c>
      <c r="F311" s="110" t="s">
        <v>50</v>
      </c>
      <c r="G311" s="109" t="s">
        <v>17</v>
      </c>
      <c r="H311" s="114" t="s">
        <v>25</v>
      </c>
      <c r="I311" s="114">
        <v>1.0</v>
      </c>
      <c r="J311" s="136"/>
      <c r="K311" s="149"/>
      <c r="L311" s="232"/>
      <c r="M311" s="233"/>
      <c r="N311" s="234"/>
    </row>
    <row r="312" ht="20.25" customHeight="1">
      <c r="A312" s="29"/>
      <c r="B312" s="100"/>
      <c r="C312" s="29"/>
      <c r="D312" s="29"/>
      <c r="E312" s="29"/>
      <c r="F312" s="29"/>
      <c r="G312" s="29"/>
      <c r="H312" s="101" t="s">
        <v>18</v>
      </c>
      <c r="I312" s="101">
        <v>20.0</v>
      </c>
      <c r="J312" s="149"/>
      <c r="K312" s="29"/>
      <c r="L312" s="216"/>
      <c r="M312" s="235"/>
      <c r="N312" s="202"/>
    </row>
    <row r="313" ht="20.25" customHeight="1">
      <c r="A313" s="57"/>
      <c r="B313" s="142" t="s">
        <v>51</v>
      </c>
      <c r="C313" s="141"/>
      <c r="D313" s="141"/>
      <c r="E313" s="141"/>
      <c r="F313" s="141"/>
      <c r="G313" s="141"/>
      <c r="H313" s="114" t="s">
        <v>18</v>
      </c>
      <c r="I313" s="114">
        <v>2.0</v>
      </c>
      <c r="J313" s="141"/>
      <c r="K313" s="141"/>
      <c r="L313" s="218"/>
      <c r="M313" s="236"/>
      <c r="N313" s="205"/>
    </row>
    <row r="314" ht="20.25" customHeight="1">
      <c r="A314" s="29"/>
      <c r="B314" s="143" t="s">
        <v>21</v>
      </c>
      <c r="C314" s="188">
        <v>407.0</v>
      </c>
      <c r="D314" s="148">
        <f t="array" ref="D314">IFERROR(_xlfn.XLOOKUP(C314,Code!A:A,Code!B:B),"")</f>
        <v>0.72</v>
      </c>
      <c r="E314" s="149" t="s">
        <v>23</v>
      </c>
      <c r="F314" s="149" t="s">
        <v>144</v>
      </c>
      <c r="G314" s="149" t="s">
        <v>17</v>
      </c>
      <c r="H314" s="139" t="s">
        <v>25</v>
      </c>
      <c r="I314" s="139">
        <v>1.0</v>
      </c>
      <c r="J314" s="139">
        <v>120.0</v>
      </c>
      <c r="K314" s="149">
        <v>1920.0</v>
      </c>
      <c r="L314" s="220">
        <v>30.0</v>
      </c>
      <c r="M314" s="207">
        <v>570.0</v>
      </c>
      <c r="N314" s="234">
        <f>SUM(K314+M314)</f>
        <v>2490</v>
      </c>
    </row>
    <row r="315" ht="20.25" customHeight="1">
      <c r="A315" s="57"/>
      <c r="B315" s="141"/>
      <c r="C315" s="134">
        <v>410.0</v>
      </c>
      <c r="D315" s="57"/>
      <c r="E315" s="57"/>
      <c r="F315" s="57"/>
      <c r="G315" s="57"/>
      <c r="H315" s="136" t="s">
        <v>18</v>
      </c>
      <c r="I315" s="136">
        <v>17.0</v>
      </c>
      <c r="J315" s="110">
        <v>100.0</v>
      </c>
      <c r="K315" s="57"/>
      <c r="L315" s="209"/>
      <c r="M315" s="210"/>
      <c r="N315" s="200"/>
    </row>
    <row r="316" ht="20.25" customHeight="1">
      <c r="A316" s="29"/>
      <c r="B316" s="155" t="s">
        <v>51</v>
      </c>
      <c r="C316" s="100"/>
      <c r="D316" s="100"/>
      <c r="E316" s="100"/>
      <c r="F316" s="100"/>
      <c r="G316" s="100"/>
      <c r="H316" s="139" t="s">
        <v>18</v>
      </c>
      <c r="I316" s="139">
        <v>1.0</v>
      </c>
      <c r="J316" s="100"/>
      <c r="K316" s="100"/>
      <c r="L316" s="211"/>
      <c r="M316" s="212"/>
      <c r="N316" s="213"/>
    </row>
    <row r="317" ht="20.25" customHeight="1">
      <c r="A317" s="57"/>
      <c r="B317" s="106" t="s">
        <v>21</v>
      </c>
      <c r="C317" s="134">
        <v>416.0</v>
      </c>
      <c r="D317" s="109">
        <f t="array" ref="D317">IFERROR(_xlfn.XLOOKUP(C317,Code!A:A,Code!B:B),"")</f>
        <v>0.96</v>
      </c>
      <c r="E317" s="110" t="s">
        <v>23</v>
      </c>
      <c r="F317" s="110" t="s">
        <v>58</v>
      </c>
      <c r="G317" s="109" t="s">
        <v>17</v>
      </c>
      <c r="H317" s="114" t="s">
        <v>25</v>
      </c>
      <c r="I317" s="114">
        <v>1.0</v>
      </c>
      <c r="J317" s="114"/>
      <c r="K317" s="149"/>
      <c r="L317" s="232"/>
      <c r="M317" s="233"/>
      <c r="N317" s="234"/>
    </row>
    <row r="318" ht="20.25" customHeight="1">
      <c r="A318" s="29"/>
      <c r="B318" s="100"/>
      <c r="C318" s="29"/>
      <c r="D318" s="29"/>
      <c r="E318" s="29"/>
      <c r="F318" s="29"/>
      <c r="G318" s="29"/>
      <c r="H318" s="101" t="s">
        <v>18</v>
      </c>
      <c r="I318" s="101">
        <v>15.0</v>
      </c>
      <c r="J318" s="149"/>
      <c r="K318" s="29"/>
      <c r="L318" s="216"/>
      <c r="M318" s="235"/>
      <c r="N318" s="202"/>
    </row>
    <row r="319" ht="20.25" customHeight="1">
      <c r="A319" s="57"/>
      <c r="B319" s="142" t="s">
        <v>51</v>
      </c>
      <c r="C319" s="141"/>
      <c r="D319" s="141"/>
      <c r="E319" s="141"/>
      <c r="F319" s="141"/>
      <c r="G319" s="141"/>
      <c r="H319" s="114" t="s">
        <v>18</v>
      </c>
      <c r="I319" s="114">
        <v>1.0</v>
      </c>
      <c r="J319" s="141"/>
      <c r="K319" s="141"/>
      <c r="L319" s="218"/>
      <c r="M319" s="236"/>
      <c r="N319" s="205"/>
    </row>
    <row r="320" ht="20.25" customHeight="1">
      <c r="A320" s="29"/>
      <c r="B320" s="143" t="s">
        <v>21</v>
      </c>
      <c r="C320" s="164">
        <v>415.0</v>
      </c>
      <c r="D320" s="148">
        <f t="array" ref="D320">IFERROR(_xlfn.XLOOKUP(C320,Code!A:A,Code!B:B),"")</f>
        <v>0.62</v>
      </c>
      <c r="E320" s="149" t="s">
        <v>68</v>
      </c>
      <c r="F320" s="149" t="s">
        <v>146</v>
      </c>
      <c r="G320" s="149" t="s">
        <v>17</v>
      </c>
      <c r="H320" s="139" t="s">
        <v>25</v>
      </c>
      <c r="I320" s="139">
        <v>1.0</v>
      </c>
      <c r="J320" s="139">
        <v>120.0</v>
      </c>
      <c r="K320" s="149">
        <v>1620.0</v>
      </c>
      <c r="L320" s="220">
        <v>25.0</v>
      </c>
      <c r="M320" s="207">
        <v>400.0</v>
      </c>
      <c r="N320" s="234">
        <f>SUM(K320+M320)</f>
        <v>2020</v>
      </c>
    </row>
    <row r="321" ht="20.25" customHeight="1">
      <c r="A321" s="57"/>
      <c r="B321" s="141"/>
      <c r="C321" s="313">
        <v>413.0</v>
      </c>
      <c r="D321" s="57"/>
      <c r="E321" s="57"/>
      <c r="F321" s="57"/>
      <c r="G321" s="57"/>
      <c r="H321" s="136" t="s">
        <v>18</v>
      </c>
      <c r="I321" s="136">
        <v>14.0</v>
      </c>
      <c r="J321" s="110">
        <v>100.0</v>
      </c>
      <c r="K321" s="57"/>
      <c r="L321" s="209"/>
      <c r="M321" s="210"/>
      <c r="N321" s="200"/>
    </row>
    <row r="322" ht="20.25" customHeight="1">
      <c r="A322" s="29"/>
      <c r="B322" s="155" t="s">
        <v>51</v>
      </c>
      <c r="C322" s="100"/>
      <c r="D322" s="100"/>
      <c r="E322" s="100"/>
      <c r="F322" s="100"/>
      <c r="G322" s="100"/>
      <c r="H322" s="139" t="s">
        <v>18</v>
      </c>
      <c r="I322" s="139">
        <v>1.0</v>
      </c>
      <c r="J322" s="100"/>
      <c r="K322" s="100"/>
      <c r="L322" s="211"/>
      <c r="M322" s="212"/>
      <c r="N322" s="213"/>
    </row>
    <row r="323" ht="20.25" customHeight="1">
      <c r="A323" s="57"/>
      <c r="B323" s="225" t="s">
        <v>110</v>
      </c>
      <c r="C323" s="134">
        <v>428.0</v>
      </c>
      <c r="D323" s="110">
        <f t="array" ref="D323">IFERROR(_xlfn.XLOOKUP(C323,Code!A:A,Code!B:B),"")</f>
        <v>1.04</v>
      </c>
      <c r="E323" s="110" t="s">
        <v>68</v>
      </c>
      <c r="F323" s="110" t="s">
        <v>148</v>
      </c>
      <c r="G323" s="289" t="s">
        <v>17</v>
      </c>
      <c r="H323" s="295" t="s">
        <v>18</v>
      </c>
      <c r="I323" s="136">
        <v>1.0</v>
      </c>
      <c r="J323" s="136">
        <v>220.0</v>
      </c>
      <c r="K323" s="292">
        <v>3120.0</v>
      </c>
      <c r="L323" s="227">
        <v>400.0</v>
      </c>
      <c r="M323" s="228"/>
      <c r="N323" s="234">
        <v>3520.0</v>
      </c>
    </row>
    <row r="324" ht="20.25" customHeight="1">
      <c r="A324" s="29"/>
      <c r="B324" s="29"/>
      <c r="C324" s="29"/>
      <c r="D324" s="29"/>
      <c r="E324" s="29"/>
      <c r="F324" s="29"/>
      <c r="G324" s="314"/>
      <c r="H324" s="272" t="s">
        <v>18</v>
      </c>
      <c r="I324" s="139">
        <v>7.0</v>
      </c>
      <c r="J324" s="139">
        <v>200.0</v>
      </c>
      <c r="K324" s="56"/>
      <c r="M324" s="201"/>
      <c r="N324" s="202"/>
    </row>
    <row r="325" ht="20.25" customHeight="1">
      <c r="A325" s="141"/>
      <c r="B325" s="141"/>
      <c r="C325" s="141"/>
      <c r="D325" s="141"/>
      <c r="E325" s="141"/>
      <c r="F325" s="141"/>
      <c r="G325" s="319"/>
      <c r="H325" s="295" t="s">
        <v>18</v>
      </c>
      <c r="I325" s="136">
        <v>10.0</v>
      </c>
      <c r="J325" s="136">
        <v>150.0</v>
      </c>
      <c r="K325" s="320"/>
      <c r="L325" s="203"/>
      <c r="M325" s="204"/>
      <c r="N325" s="205"/>
    </row>
    <row r="326" ht="20.25" customHeight="1">
      <c r="A326" s="156">
        <v>46163.0</v>
      </c>
      <c r="B326" s="143" t="s">
        <v>21</v>
      </c>
      <c r="C326" s="164">
        <v>420.0</v>
      </c>
      <c r="D326" s="148">
        <f t="array" ref="D326">IFERROR(_xlfn.XLOOKUP(C326,Code!A:A,Code!B:B),"")</f>
        <v>1.41</v>
      </c>
      <c r="E326" s="149" t="s">
        <v>23</v>
      </c>
      <c r="F326" s="149" t="s">
        <v>50</v>
      </c>
      <c r="G326" s="148" t="s">
        <v>17</v>
      </c>
      <c r="H326" s="101" t="s">
        <v>25</v>
      </c>
      <c r="I326" s="101">
        <v>1.0</v>
      </c>
      <c r="J326" s="139"/>
      <c r="K326" s="149"/>
      <c r="L326" s="206"/>
      <c r="M326" s="207"/>
      <c r="N326" s="208"/>
    </row>
    <row r="327" ht="20.25" customHeight="1">
      <c r="A327" s="57"/>
      <c r="B327" s="141"/>
      <c r="C327" s="57"/>
      <c r="D327" s="57"/>
      <c r="E327" s="57"/>
      <c r="F327" s="57"/>
      <c r="G327" s="57"/>
      <c r="H327" s="114" t="s">
        <v>18</v>
      </c>
      <c r="I327" s="114">
        <v>11.0</v>
      </c>
      <c r="J327" s="110"/>
      <c r="K327" s="57"/>
      <c r="L327" s="209"/>
      <c r="M327" s="210"/>
      <c r="N327" s="200"/>
    </row>
    <row r="328" ht="20.25" customHeight="1">
      <c r="A328" s="29"/>
      <c r="B328" s="155" t="s">
        <v>110</v>
      </c>
      <c r="C328" s="29"/>
      <c r="D328" s="29"/>
      <c r="E328" s="29"/>
      <c r="F328" s="29"/>
      <c r="G328" s="29"/>
      <c r="H328" s="101" t="s">
        <v>18</v>
      </c>
      <c r="I328" s="101">
        <v>3.0</v>
      </c>
      <c r="J328" s="29"/>
      <c r="K328" s="29"/>
      <c r="L328" s="216"/>
      <c r="M328" s="235"/>
      <c r="N328" s="202"/>
    </row>
    <row r="329" ht="20.25" customHeight="1">
      <c r="A329" s="57"/>
      <c r="B329" s="142" t="s">
        <v>51</v>
      </c>
      <c r="C329" s="141"/>
      <c r="D329" s="141"/>
      <c r="E329" s="141"/>
      <c r="F329" s="141"/>
      <c r="G329" s="141"/>
      <c r="H329" s="114" t="s">
        <v>18</v>
      </c>
      <c r="I329" s="114">
        <v>5.0</v>
      </c>
      <c r="J329" s="141"/>
      <c r="K329" s="141"/>
      <c r="L329" s="218"/>
      <c r="M329" s="236"/>
      <c r="N329" s="205"/>
    </row>
    <row r="330" ht="20.25" customHeight="1">
      <c r="A330" s="29"/>
      <c r="B330" s="143" t="s">
        <v>21</v>
      </c>
      <c r="C330" s="164">
        <v>410.0</v>
      </c>
      <c r="D330" s="148">
        <f t="array" ref="D330">IFERROR(_xlfn.XLOOKUP(C330,Code!A:A,Code!B:B),"")</f>
        <v>0.67</v>
      </c>
      <c r="E330" s="149" t="s">
        <v>23</v>
      </c>
      <c r="F330" s="149" t="s">
        <v>150</v>
      </c>
      <c r="G330" s="149" t="s">
        <v>17</v>
      </c>
      <c r="H330" s="139" t="s">
        <v>25</v>
      </c>
      <c r="I330" s="139">
        <v>1.0</v>
      </c>
      <c r="J330" s="139">
        <v>120.0</v>
      </c>
      <c r="K330" s="149">
        <v>1220.0</v>
      </c>
      <c r="L330" s="220">
        <v>30.0</v>
      </c>
      <c r="M330" s="207">
        <v>360.0</v>
      </c>
      <c r="N330" s="234">
        <f>SUM(K330+M330)</f>
        <v>1580</v>
      </c>
    </row>
    <row r="331" ht="20.25" customHeight="1">
      <c r="A331" s="57"/>
      <c r="B331" s="141"/>
      <c r="C331" s="57"/>
      <c r="D331" s="57"/>
      <c r="E331" s="57"/>
      <c r="F331" s="57"/>
      <c r="G331" s="57"/>
      <c r="H331" s="136" t="s">
        <v>18</v>
      </c>
      <c r="I331" s="136">
        <v>10.0</v>
      </c>
      <c r="J331" s="110">
        <v>100.0</v>
      </c>
      <c r="K331" s="57"/>
      <c r="L331" s="209"/>
      <c r="M331" s="210"/>
      <c r="N331" s="200"/>
    </row>
    <row r="332" ht="20.25" customHeight="1">
      <c r="A332" s="29"/>
      <c r="B332" s="155" t="s">
        <v>51</v>
      </c>
      <c r="C332" s="100"/>
      <c r="D332" s="100"/>
      <c r="E332" s="100"/>
      <c r="F332" s="100"/>
      <c r="G332" s="100"/>
      <c r="H332" s="139" t="s">
        <v>18</v>
      </c>
      <c r="I332" s="139">
        <v>1.0</v>
      </c>
      <c r="J332" s="100"/>
      <c r="K332" s="100"/>
      <c r="L332" s="211"/>
      <c r="M332" s="212"/>
      <c r="N332" s="213"/>
    </row>
    <row r="333" ht="20.25" customHeight="1">
      <c r="A333" s="57"/>
      <c r="B333" s="106" t="s">
        <v>151</v>
      </c>
      <c r="C333" s="134">
        <v>425.0</v>
      </c>
      <c r="D333" s="109">
        <f t="array" ref="D333">IFERROR(_xlfn.XLOOKUP(C333,Code!A:A,Code!B:B),"")</f>
        <v>1.14</v>
      </c>
      <c r="E333" s="110" t="s">
        <v>23</v>
      </c>
      <c r="F333" s="110" t="s">
        <v>58</v>
      </c>
      <c r="G333" s="109" t="s">
        <v>17</v>
      </c>
      <c r="H333" s="114" t="s">
        <v>25</v>
      </c>
      <c r="I333" s="114">
        <v>1.0</v>
      </c>
      <c r="J333" s="114"/>
      <c r="K333" s="149"/>
      <c r="L333" s="232"/>
      <c r="M333" s="233"/>
      <c r="N333" s="234"/>
    </row>
    <row r="334" ht="20.25" customHeight="1">
      <c r="A334" s="29"/>
      <c r="B334" s="100"/>
      <c r="C334" s="100"/>
      <c r="D334" s="100"/>
      <c r="E334" s="100"/>
      <c r="F334" s="100"/>
      <c r="G334" s="100"/>
      <c r="H334" s="101" t="s">
        <v>18</v>
      </c>
      <c r="I334" s="101">
        <v>8.0</v>
      </c>
      <c r="J334" s="139"/>
      <c r="K334" s="100"/>
      <c r="L334" s="211"/>
      <c r="M334" s="212"/>
      <c r="N334" s="213"/>
    </row>
    <row r="335" ht="20.25" customHeight="1">
      <c r="A335" s="57"/>
      <c r="B335" s="106" t="s">
        <v>21</v>
      </c>
      <c r="C335" s="134">
        <v>415.0</v>
      </c>
      <c r="D335" s="109">
        <f t="array" ref="D335">IFERROR(_xlfn.XLOOKUP(C335,Code!A:A,Code!B:B),"")</f>
        <v>0.62</v>
      </c>
      <c r="E335" s="110" t="s">
        <v>68</v>
      </c>
      <c r="F335" s="110" t="s">
        <v>152</v>
      </c>
      <c r="G335" s="110" t="s">
        <v>17</v>
      </c>
      <c r="H335" s="136" t="s">
        <v>25</v>
      </c>
      <c r="I335" s="136">
        <v>1.0</v>
      </c>
      <c r="J335" s="136">
        <v>120.0</v>
      </c>
      <c r="K335" s="110">
        <v>1420.0</v>
      </c>
      <c r="L335" s="214">
        <v>25.0</v>
      </c>
      <c r="M335" s="233">
        <v>350.0</v>
      </c>
      <c r="N335" s="234">
        <f>SUM(K335+M335)</f>
        <v>1770</v>
      </c>
    </row>
    <row r="336" ht="20.25" customHeight="1">
      <c r="A336" s="29"/>
      <c r="B336" s="100"/>
      <c r="C336" s="29"/>
      <c r="D336" s="29"/>
      <c r="E336" s="29"/>
      <c r="F336" s="29"/>
      <c r="G336" s="29"/>
      <c r="H336" s="139" t="s">
        <v>18</v>
      </c>
      <c r="I336" s="139">
        <v>11.0</v>
      </c>
      <c r="J336" s="149">
        <v>100.0</v>
      </c>
      <c r="K336" s="29"/>
      <c r="L336" s="216"/>
      <c r="M336" s="235"/>
      <c r="N336" s="202"/>
    </row>
    <row r="337" ht="20.25" customHeight="1">
      <c r="A337" s="57"/>
      <c r="B337" s="142" t="s">
        <v>51</v>
      </c>
      <c r="C337" s="57"/>
      <c r="D337" s="141"/>
      <c r="E337" s="141"/>
      <c r="F337" s="141"/>
      <c r="G337" s="141"/>
      <c r="H337" s="136" t="s">
        <v>18</v>
      </c>
      <c r="I337" s="136">
        <v>2.0</v>
      </c>
      <c r="J337" s="141"/>
      <c r="K337" s="141"/>
      <c r="L337" s="218"/>
      <c r="M337" s="236"/>
      <c r="N337" s="205"/>
    </row>
    <row r="338" ht="20.25" customHeight="1">
      <c r="A338" s="29"/>
      <c r="B338" s="246" t="s">
        <v>110</v>
      </c>
      <c r="C338" s="164">
        <v>405.0</v>
      </c>
      <c r="D338" s="149">
        <f t="array" ref="D338">IFERROR(_xlfn.XLOOKUP(C338,Code!A:A,Code!B:B),"")</f>
        <v>1.23</v>
      </c>
      <c r="E338" s="110" t="s">
        <v>68</v>
      </c>
      <c r="F338" s="149" t="s">
        <v>153</v>
      </c>
      <c r="G338" s="291" t="s">
        <v>17</v>
      </c>
      <c r="H338" s="272" t="s">
        <v>18</v>
      </c>
      <c r="I338" s="139">
        <v>1.0</v>
      </c>
      <c r="J338" s="139">
        <v>220.0</v>
      </c>
      <c r="K338" s="292">
        <v>2530.0</v>
      </c>
      <c r="L338" s="227">
        <v>400.0</v>
      </c>
      <c r="M338" s="197"/>
      <c r="N338" s="234">
        <f>SUM(K338+L338)</f>
        <v>2930</v>
      </c>
    </row>
    <row r="339" ht="20.25" customHeight="1">
      <c r="A339" s="57"/>
      <c r="B339" s="57"/>
      <c r="C339" s="57"/>
      <c r="D339" s="57"/>
      <c r="E339" s="57"/>
      <c r="F339" s="57"/>
      <c r="G339" s="294"/>
      <c r="H339" s="295" t="s">
        <v>18</v>
      </c>
      <c r="I339" s="136">
        <v>7.0</v>
      </c>
      <c r="J339" s="136">
        <v>200.0</v>
      </c>
      <c r="K339" s="70"/>
      <c r="M339" s="199"/>
      <c r="N339" s="200"/>
    </row>
    <row r="340" ht="20.25" customHeight="1">
      <c r="A340" s="29"/>
      <c r="B340" s="29"/>
      <c r="C340" s="29"/>
      <c r="D340" s="29"/>
      <c r="E340" s="29"/>
      <c r="F340" s="29"/>
      <c r="G340" s="314"/>
      <c r="H340" s="272" t="s">
        <v>18</v>
      </c>
      <c r="I340" s="139">
        <v>5.0</v>
      </c>
      <c r="J340" s="139">
        <v>150.0</v>
      </c>
      <c r="K340" s="56"/>
      <c r="M340" s="201"/>
      <c r="N340" s="202"/>
    </row>
    <row r="341" ht="20.25" customHeight="1">
      <c r="A341" s="141"/>
      <c r="B341" s="141"/>
      <c r="C341" s="141"/>
      <c r="D341" s="141"/>
      <c r="E341" s="141"/>
      <c r="F341" s="141"/>
      <c r="G341" s="319"/>
      <c r="H341" s="295" t="s">
        <v>18</v>
      </c>
      <c r="I341" s="136">
        <v>1.0</v>
      </c>
      <c r="J341" s="136">
        <v>160.0</v>
      </c>
      <c r="K341" s="320"/>
      <c r="L341" s="203"/>
      <c r="M341" s="204"/>
      <c r="N341" s="205"/>
    </row>
    <row r="342" ht="20.25" customHeight="1">
      <c r="A342" s="156">
        <v>46164.0</v>
      </c>
      <c r="B342" s="143" t="s">
        <v>21</v>
      </c>
      <c r="C342" s="164">
        <v>408.0</v>
      </c>
      <c r="D342" s="148">
        <f t="array" ref="D342">IFERROR(_xlfn.XLOOKUP(C342,Code!A:A,Code!B:B),"")</f>
        <v>1.06</v>
      </c>
      <c r="E342" s="149" t="s">
        <v>23</v>
      </c>
      <c r="F342" s="149" t="s">
        <v>50</v>
      </c>
      <c r="G342" s="148" t="s">
        <v>17</v>
      </c>
      <c r="H342" s="101" t="s">
        <v>25</v>
      </c>
      <c r="I342" s="101">
        <v>1.0</v>
      </c>
      <c r="J342" s="139"/>
      <c r="K342" s="149"/>
      <c r="L342" s="206"/>
      <c r="M342" s="207"/>
      <c r="N342" s="208"/>
    </row>
    <row r="343" ht="20.25" customHeight="1">
      <c r="A343" s="57"/>
      <c r="B343" s="141"/>
      <c r="C343" s="57"/>
      <c r="D343" s="57"/>
      <c r="E343" s="57"/>
      <c r="F343" s="57"/>
      <c r="G343" s="57"/>
      <c r="H343" s="114" t="s">
        <v>18</v>
      </c>
      <c r="I343" s="114">
        <v>14.0</v>
      </c>
      <c r="J343" s="110"/>
      <c r="K343" s="57"/>
      <c r="L343" s="209"/>
      <c r="M343" s="210"/>
      <c r="N343" s="200"/>
    </row>
    <row r="344" ht="20.25" customHeight="1">
      <c r="A344" s="29"/>
      <c r="B344" s="155" t="s">
        <v>51</v>
      </c>
      <c r="C344" s="100"/>
      <c r="D344" s="100"/>
      <c r="E344" s="100"/>
      <c r="F344" s="100"/>
      <c r="G344" s="100"/>
      <c r="H344" s="101" t="s">
        <v>18</v>
      </c>
      <c r="I344" s="101">
        <v>4.0</v>
      </c>
      <c r="J344" s="100"/>
      <c r="K344" s="100"/>
      <c r="L344" s="211"/>
      <c r="M344" s="212"/>
      <c r="N344" s="213"/>
    </row>
    <row r="345" ht="20.25" customHeight="1">
      <c r="A345" s="57"/>
      <c r="B345" s="106" t="s">
        <v>21</v>
      </c>
      <c r="C345" s="134">
        <v>410.0</v>
      </c>
      <c r="D345" s="109">
        <f t="array" ref="D345">IFERROR(_xlfn.XLOOKUP(C345,Code!A:A,Code!B:B),"")</f>
        <v>0.67</v>
      </c>
      <c r="E345" s="110" t="s">
        <v>23</v>
      </c>
      <c r="F345" s="110" t="s">
        <v>154</v>
      </c>
      <c r="G345" s="110" t="s">
        <v>17</v>
      </c>
      <c r="H345" s="136" t="s">
        <v>25</v>
      </c>
      <c r="I345" s="136">
        <v>1.0</v>
      </c>
      <c r="J345" s="136">
        <v>120.0</v>
      </c>
      <c r="K345" s="149">
        <v>1220.0</v>
      </c>
      <c r="L345" s="214">
        <v>30.0</v>
      </c>
      <c r="M345" s="233">
        <v>360.0</v>
      </c>
      <c r="N345" s="234">
        <f>SUM(K345+M345)</f>
        <v>1580</v>
      </c>
    </row>
    <row r="346" ht="20.25" customHeight="1">
      <c r="A346" s="29"/>
      <c r="B346" s="100"/>
      <c r="C346" s="29"/>
      <c r="D346" s="29"/>
      <c r="E346" s="29"/>
      <c r="F346" s="29"/>
      <c r="G346" s="29"/>
      <c r="H346" s="139" t="s">
        <v>18</v>
      </c>
      <c r="I346" s="139">
        <v>10.0</v>
      </c>
      <c r="J346" s="149">
        <v>1100.0</v>
      </c>
      <c r="K346" s="29"/>
      <c r="L346" s="216"/>
      <c r="M346" s="235"/>
      <c r="N346" s="202"/>
    </row>
    <row r="347" ht="20.25" customHeight="1">
      <c r="A347" s="57"/>
      <c r="B347" s="142" t="s">
        <v>51</v>
      </c>
      <c r="C347" s="141"/>
      <c r="D347" s="141"/>
      <c r="E347" s="141"/>
      <c r="F347" s="141"/>
      <c r="G347" s="141"/>
      <c r="H347" s="136" t="s">
        <v>18</v>
      </c>
      <c r="I347" s="136">
        <v>1.0</v>
      </c>
      <c r="J347" s="141"/>
      <c r="K347" s="141"/>
      <c r="L347" s="218"/>
      <c r="M347" s="236"/>
      <c r="N347" s="205"/>
    </row>
    <row r="348" ht="20.25" customHeight="1">
      <c r="A348" s="29"/>
      <c r="B348" s="143" t="s">
        <v>151</v>
      </c>
      <c r="C348" s="164">
        <v>425.0</v>
      </c>
      <c r="D348" s="148">
        <f t="array" ref="D348">IFERROR(_xlfn.XLOOKUP(C348,Code!A:A,Code!B:B),"")</f>
        <v>1.14</v>
      </c>
      <c r="E348" s="149" t="s">
        <v>23</v>
      </c>
      <c r="F348" s="149" t="s">
        <v>58</v>
      </c>
      <c r="G348" s="148" t="s">
        <v>17</v>
      </c>
      <c r="H348" s="101" t="s">
        <v>25</v>
      </c>
      <c r="I348" s="101">
        <v>1.0</v>
      </c>
      <c r="J348" s="101"/>
      <c r="K348" s="149"/>
      <c r="L348" s="206"/>
      <c r="M348" s="207"/>
      <c r="N348" s="208"/>
    </row>
    <row r="349" ht="20.25" customHeight="1">
      <c r="A349" s="57"/>
      <c r="B349" s="57"/>
      <c r="C349" s="141"/>
      <c r="D349" s="57"/>
      <c r="E349" s="57"/>
      <c r="F349" s="57"/>
      <c r="G349" s="57"/>
      <c r="H349" s="109" t="s">
        <v>18</v>
      </c>
      <c r="I349" s="109">
        <v>10.0</v>
      </c>
      <c r="J349" s="110"/>
      <c r="K349" s="110"/>
      <c r="L349" s="110"/>
      <c r="M349" s="110"/>
      <c r="N349" s="110"/>
    </row>
    <row r="350" ht="20.25" customHeight="1">
      <c r="A350" s="29"/>
      <c r="B350" s="100"/>
      <c r="C350" s="188">
        <v>426.0</v>
      </c>
      <c r="D350" s="100"/>
      <c r="E350" s="100"/>
      <c r="F350" s="100"/>
      <c r="G350" s="100"/>
      <c r="H350" s="100"/>
      <c r="I350" s="100"/>
      <c r="J350" s="100"/>
      <c r="K350" s="100"/>
      <c r="L350" s="100"/>
      <c r="M350" s="100"/>
      <c r="N350" s="100"/>
    </row>
    <row r="351" ht="20.25" customHeight="1">
      <c r="A351" s="57"/>
      <c r="B351" s="225" t="s">
        <v>110</v>
      </c>
      <c r="C351" s="134">
        <v>405.0</v>
      </c>
      <c r="D351" s="110">
        <f t="array" ref="D351">IFERROR(_xlfn.XLOOKUP(C351,Code!A:A,Code!B:B),"")</f>
        <v>1.23</v>
      </c>
      <c r="E351" s="110" t="s">
        <v>68</v>
      </c>
      <c r="F351" s="110" t="s">
        <v>156</v>
      </c>
      <c r="G351" s="289" t="s">
        <v>17</v>
      </c>
      <c r="H351" s="295" t="s">
        <v>18</v>
      </c>
      <c r="I351" s="136">
        <v>1.0</v>
      </c>
      <c r="J351" s="136">
        <v>220.0</v>
      </c>
      <c r="K351" s="292">
        <v>3210.0</v>
      </c>
      <c r="L351" s="227">
        <v>400.0</v>
      </c>
      <c r="M351" s="228"/>
      <c r="N351" s="234">
        <f>SUM(K351+L351)</f>
        <v>3610</v>
      </c>
    </row>
    <row r="352" ht="20.25" customHeight="1">
      <c r="A352" s="29"/>
      <c r="B352" s="29"/>
      <c r="C352" s="29"/>
      <c r="D352" s="29"/>
      <c r="E352" s="29"/>
      <c r="F352" s="29"/>
      <c r="G352" s="314"/>
      <c r="H352" s="272" t="s">
        <v>18</v>
      </c>
      <c r="I352" s="139">
        <v>9.0</v>
      </c>
      <c r="J352" s="139">
        <v>200.0</v>
      </c>
      <c r="K352" s="56"/>
      <c r="M352" s="201"/>
      <c r="N352" s="202"/>
    </row>
    <row r="353" ht="20.25" customHeight="1">
      <c r="A353" s="57"/>
      <c r="B353" s="57"/>
      <c r="C353" s="57"/>
      <c r="D353" s="57"/>
      <c r="E353" s="57"/>
      <c r="F353" s="57"/>
      <c r="G353" s="294"/>
      <c r="H353" s="295" t="s">
        <v>18</v>
      </c>
      <c r="I353" s="136">
        <v>1.0</v>
      </c>
      <c r="J353" s="136">
        <v>250.0</v>
      </c>
      <c r="K353" s="70"/>
      <c r="M353" s="199"/>
      <c r="N353" s="200"/>
    </row>
    <row r="354" ht="20.25" customHeight="1">
      <c r="A354" s="29"/>
      <c r="B354" s="29"/>
      <c r="C354" s="29"/>
      <c r="D354" s="29"/>
      <c r="E354" s="29"/>
      <c r="F354" s="29"/>
      <c r="G354" s="314"/>
      <c r="H354" s="272" t="s">
        <v>18</v>
      </c>
      <c r="I354" s="139">
        <v>5.0</v>
      </c>
      <c r="J354" s="139">
        <v>150.0</v>
      </c>
      <c r="K354" s="56"/>
      <c r="M354" s="201"/>
      <c r="N354" s="202"/>
    </row>
    <row r="355" ht="20.25" customHeight="1">
      <c r="A355" s="141"/>
      <c r="B355" s="141"/>
      <c r="C355" s="141"/>
      <c r="D355" s="141"/>
      <c r="E355" s="141"/>
      <c r="F355" s="141"/>
      <c r="G355" s="319"/>
      <c r="H355" s="295" t="s">
        <v>18</v>
      </c>
      <c r="I355" s="136">
        <v>1.0</v>
      </c>
      <c r="J355" s="136">
        <v>190.0</v>
      </c>
      <c r="K355" s="320"/>
      <c r="L355" s="203"/>
      <c r="M355" s="204"/>
      <c r="N355" s="205"/>
    </row>
    <row r="356" ht="20.25" customHeight="1">
      <c r="A356" s="156">
        <v>46165.0</v>
      </c>
      <c r="B356" s="143" t="s">
        <v>21</v>
      </c>
      <c r="C356" s="164">
        <v>408.0</v>
      </c>
      <c r="D356" s="148">
        <f t="array" ref="D356">IFERROR(_xlfn.XLOOKUP(C356,Code!A:A,Code!B:B),"")</f>
        <v>1.06</v>
      </c>
      <c r="E356" s="149" t="s">
        <v>23</v>
      </c>
      <c r="F356" s="149" t="s">
        <v>50</v>
      </c>
      <c r="G356" s="148" t="s">
        <v>17</v>
      </c>
      <c r="H356" s="101" t="s">
        <v>25</v>
      </c>
      <c r="I356" s="101">
        <v>1.0</v>
      </c>
      <c r="J356" s="139"/>
      <c r="K356" s="149"/>
      <c r="L356" s="206"/>
      <c r="M356" s="207"/>
      <c r="N356" s="208"/>
    </row>
    <row r="357" ht="20.25" customHeight="1">
      <c r="A357" s="57"/>
      <c r="B357" s="141"/>
      <c r="C357" s="57"/>
      <c r="D357" s="57"/>
      <c r="E357" s="57"/>
      <c r="F357" s="57"/>
      <c r="G357" s="57"/>
      <c r="H357" s="114" t="s">
        <v>18</v>
      </c>
      <c r="I357" s="114">
        <v>17.0</v>
      </c>
      <c r="J357" s="110"/>
      <c r="K357" s="57"/>
      <c r="L357" s="209"/>
      <c r="M357" s="210"/>
      <c r="N357" s="200"/>
    </row>
    <row r="358" ht="20.25" customHeight="1">
      <c r="A358" s="29"/>
      <c r="B358" s="155" t="s">
        <v>51</v>
      </c>
      <c r="C358" s="100"/>
      <c r="D358" s="100"/>
      <c r="E358" s="100"/>
      <c r="F358" s="100"/>
      <c r="G358" s="100"/>
      <c r="H358" s="101" t="s">
        <v>18</v>
      </c>
      <c r="I358" s="101">
        <v>3.0</v>
      </c>
      <c r="J358" s="100"/>
      <c r="K358" s="100"/>
      <c r="L358" s="211"/>
      <c r="M358" s="212"/>
      <c r="N358" s="213"/>
    </row>
    <row r="359" ht="20.25" customHeight="1">
      <c r="A359" s="57"/>
      <c r="B359" s="106" t="s">
        <v>21</v>
      </c>
      <c r="C359" s="341">
        <v>409.0</v>
      </c>
      <c r="D359" s="109">
        <f t="array" ref="D359">IFERROR(_xlfn.XLOOKUP(C359,Code!A:A,Code!B:B),"")</f>
        <v>1</v>
      </c>
      <c r="E359" s="110" t="s">
        <v>23</v>
      </c>
      <c r="F359" s="110" t="s">
        <v>157</v>
      </c>
      <c r="G359" s="110" t="s">
        <v>17</v>
      </c>
      <c r="H359" s="136" t="s">
        <v>25</v>
      </c>
      <c r="I359" s="136">
        <v>1.0</v>
      </c>
      <c r="J359" s="136">
        <v>120.0</v>
      </c>
      <c r="K359" s="149">
        <v>1520.0</v>
      </c>
      <c r="L359" s="214">
        <v>30.0</v>
      </c>
      <c r="M359" s="233">
        <v>450.0</v>
      </c>
      <c r="N359" s="234">
        <f>SUM(K359+M359)</f>
        <v>1970</v>
      </c>
    </row>
    <row r="360" ht="20.25" customHeight="1">
      <c r="A360" s="29"/>
      <c r="B360" s="100"/>
      <c r="C360" s="342">
        <v>406.0</v>
      </c>
      <c r="D360" s="29"/>
      <c r="E360" s="29"/>
      <c r="F360" s="29"/>
      <c r="G360" s="29"/>
      <c r="H360" s="139" t="s">
        <v>18</v>
      </c>
      <c r="I360" s="139">
        <v>12.0</v>
      </c>
      <c r="J360" s="149">
        <v>100.0</v>
      </c>
      <c r="K360" s="29"/>
      <c r="L360" s="216"/>
      <c r="M360" s="235"/>
      <c r="N360" s="202"/>
    </row>
    <row r="361" ht="20.25" customHeight="1">
      <c r="A361" s="57"/>
      <c r="B361" s="142" t="s">
        <v>51</v>
      </c>
      <c r="D361" s="141"/>
      <c r="E361" s="141"/>
      <c r="F361" s="141"/>
      <c r="G361" s="141"/>
      <c r="H361" s="136" t="s">
        <v>18</v>
      </c>
      <c r="I361" s="136">
        <v>2.0</v>
      </c>
      <c r="J361" s="141"/>
      <c r="K361" s="141"/>
      <c r="L361" s="218"/>
      <c r="M361" s="236"/>
      <c r="N361" s="205"/>
    </row>
    <row r="362" ht="20.25" customHeight="1">
      <c r="A362" s="29"/>
      <c r="B362" s="143" t="s">
        <v>21</v>
      </c>
      <c r="C362" s="164">
        <v>411.0</v>
      </c>
      <c r="D362" s="148">
        <f t="array" ref="D362">IFERROR(_xlfn.XLOOKUP(C362,Code!A:A,Code!B:B),"")</f>
        <v>0.85</v>
      </c>
      <c r="E362" s="110" t="s">
        <v>23</v>
      </c>
      <c r="F362" s="149" t="s">
        <v>158</v>
      </c>
      <c r="G362" s="148" t="s">
        <v>17</v>
      </c>
      <c r="H362" s="101" t="s">
        <v>25</v>
      </c>
      <c r="I362" s="101">
        <v>1.0</v>
      </c>
      <c r="J362" s="139"/>
      <c r="K362" s="149"/>
      <c r="L362" s="206"/>
      <c r="M362" s="207"/>
      <c r="N362" s="208"/>
    </row>
    <row r="363" ht="20.25" customHeight="1">
      <c r="A363" s="57"/>
      <c r="B363" s="141"/>
      <c r="C363" s="57"/>
      <c r="D363" s="57"/>
      <c r="E363" s="57"/>
      <c r="F363" s="57"/>
      <c r="G363" s="57"/>
      <c r="H363" s="114" t="s">
        <v>18</v>
      </c>
      <c r="I363" s="114">
        <v>10.0</v>
      </c>
      <c r="J363" s="110"/>
      <c r="K363" s="57"/>
      <c r="L363" s="209"/>
      <c r="M363" s="210"/>
      <c r="N363" s="200"/>
    </row>
    <row r="364" ht="20.25" customHeight="1">
      <c r="A364" s="29"/>
      <c r="B364" s="155" t="s">
        <v>51</v>
      </c>
      <c r="C364" s="100"/>
      <c r="D364" s="100"/>
      <c r="E364" s="100"/>
      <c r="F364" s="100"/>
      <c r="G364" s="100"/>
      <c r="H364" s="101" t="s">
        <v>18</v>
      </c>
      <c r="I364" s="101">
        <v>1.0</v>
      </c>
      <c r="J364" s="100"/>
      <c r="K364" s="100"/>
      <c r="L364" s="211"/>
      <c r="M364" s="212"/>
      <c r="N364" s="213"/>
    </row>
    <row r="365" ht="20.25" customHeight="1">
      <c r="A365" s="57"/>
      <c r="B365" s="106" t="s">
        <v>21</v>
      </c>
      <c r="C365" s="134">
        <v>412.0</v>
      </c>
      <c r="D365" s="109">
        <f t="array" ref="D365">IFERROR(_xlfn.XLOOKUP(C365,Code!A:A,Code!B:B),"")</f>
        <v>1.56</v>
      </c>
      <c r="E365" s="110" t="s">
        <v>23</v>
      </c>
      <c r="F365" s="110" t="s">
        <v>159</v>
      </c>
      <c r="G365" s="109" t="s">
        <v>17</v>
      </c>
      <c r="H365" s="114" t="s">
        <v>25</v>
      </c>
      <c r="I365" s="114">
        <v>1.0</v>
      </c>
      <c r="J365" s="136">
        <v>120.0</v>
      </c>
      <c r="K365" s="149">
        <v>1720.0</v>
      </c>
      <c r="L365" s="214">
        <v>30.0</v>
      </c>
      <c r="M365" s="233">
        <v>510.0</v>
      </c>
      <c r="N365" s="234">
        <f>SUM(K365+M365)</f>
        <v>2230</v>
      </c>
    </row>
    <row r="366" ht="20.25" customHeight="1">
      <c r="A366" s="29"/>
      <c r="B366" s="100"/>
      <c r="C366" s="29"/>
      <c r="D366" s="29"/>
      <c r="E366" s="29"/>
      <c r="F366" s="29"/>
      <c r="G366" s="29"/>
      <c r="H366" s="101" t="s">
        <v>18</v>
      </c>
      <c r="I366" s="101">
        <v>15.0</v>
      </c>
      <c r="J366" s="149">
        <v>100.0</v>
      </c>
      <c r="K366" s="29"/>
      <c r="L366" s="216"/>
      <c r="M366" s="235"/>
      <c r="N366" s="202"/>
    </row>
    <row r="367" ht="20.25" customHeight="1">
      <c r="A367" s="57"/>
      <c r="B367" s="142" t="s">
        <v>51</v>
      </c>
      <c r="C367" s="141"/>
      <c r="D367" s="141"/>
      <c r="E367" s="141"/>
      <c r="F367" s="141"/>
      <c r="G367" s="141"/>
      <c r="H367" s="114" t="s">
        <v>18</v>
      </c>
      <c r="I367" s="114">
        <v>1.0</v>
      </c>
      <c r="J367" s="141"/>
      <c r="K367" s="141"/>
      <c r="L367" s="218"/>
      <c r="M367" s="236"/>
      <c r="N367" s="205"/>
    </row>
    <row r="368" ht="20.25" customHeight="1">
      <c r="A368" s="29"/>
      <c r="B368" s="246" t="s">
        <v>110</v>
      </c>
      <c r="C368" s="164">
        <v>401.0</v>
      </c>
      <c r="D368" s="148" t="str">
        <f t="array" ref="D368">IFERROR(_xlfn.XLOOKUP(C371,Code!A:A,Code!B:B),"")</f>
        <v/>
      </c>
      <c r="E368" s="149" t="s">
        <v>68</v>
      </c>
      <c r="F368" s="149" t="s">
        <v>160</v>
      </c>
      <c r="G368" s="148" t="s">
        <v>17</v>
      </c>
      <c r="H368" s="101" t="s">
        <v>18</v>
      </c>
      <c r="I368" s="139">
        <v>1.0</v>
      </c>
      <c r="J368" s="139">
        <v>220.0</v>
      </c>
      <c r="K368" s="292">
        <v>2945.0</v>
      </c>
      <c r="L368" s="227">
        <v>400.0</v>
      </c>
      <c r="M368" s="197"/>
      <c r="N368" s="234">
        <f>SUM(L368+K368)</f>
        <v>3345</v>
      </c>
    </row>
    <row r="369" ht="20.25" customHeight="1">
      <c r="A369" s="57"/>
      <c r="B369" s="57"/>
      <c r="C369" s="57"/>
      <c r="D369" s="57"/>
      <c r="E369" s="57"/>
      <c r="F369" s="57"/>
      <c r="G369" s="57"/>
      <c r="H369" s="114" t="s">
        <v>18</v>
      </c>
      <c r="I369" s="136">
        <v>7.0</v>
      </c>
      <c r="J369" s="136">
        <v>200.0</v>
      </c>
      <c r="K369" s="70"/>
      <c r="M369" s="199"/>
      <c r="N369" s="200"/>
    </row>
    <row r="370" ht="20.25" customHeight="1">
      <c r="A370" s="29"/>
      <c r="B370" s="29"/>
      <c r="C370" s="29"/>
      <c r="D370" s="29"/>
      <c r="E370" s="29"/>
      <c r="F370" s="29"/>
      <c r="G370" s="29"/>
      <c r="H370" s="101" t="s">
        <v>18</v>
      </c>
      <c r="I370" s="139">
        <v>1.0</v>
      </c>
      <c r="J370" s="139">
        <v>250.0</v>
      </c>
      <c r="K370" s="56"/>
      <c r="M370" s="201"/>
      <c r="N370" s="202"/>
    </row>
    <row r="371" ht="20.25" customHeight="1">
      <c r="A371" s="57"/>
      <c r="B371" s="57"/>
      <c r="C371" s="57"/>
      <c r="D371" s="57"/>
      <c r="E371" s="57"/>
      <c r="F371" s="57"/>
      <c r="G371" s="57"/>
      <c r="H371" s="114" t="s">
        <v>18</v>
      </c>
      <c r="I371" s="136">
        <v>3.0</v>
      </c>
      <c r="J371" s="136">
        <v>150.0</v>
      </c>
      <c r="K371" s="70"/>
      <c r="M371" s="199"/>
      <c r="N371" s="200"/>
    </row>
    <row r="372" ht="20.25" customHeight="1">
      <c r="A372" s="29"/>
      <c r="B372" s="29"/>
      <c r="C372" s="29"/>
      <c r="D372" s="29"/>
      <c r="E372" s="29"/>
      <c r="F372" s="29"/>
      <c r="G372" s="29"/>
      <c r="H372" s="101" t="s">
        <v>18</v>
      </c>
      <c r="I372" s="139">
        <v>1.0</v>
      </c>
      <c r="J372" s="139">
        <v>175.0</v>
      </c>
      <c r="K372" s="56"/>
      <c r="M372" s="201"/>
      <c r="N372" s="202"/>
    </row>
    <row r="373" ht="20.25" customHeight="1">
      <c r="A373" s="141"/>
      <c r="B373" s="141"/>
      <c r="C373" s="141"/>
      <c r="D373" s="141"/>
      <c r="E373" s="141"/>
      <c r="F373" s="141"/>
      <c r="G373" s="141"/>
      <c r="H373" s="114" t="s">
        <v>18</v>
      </c>
      <c r="I373" s="136">
        <v>2.0</v>
      </c>
      <c r="J373" s="136">
        <v>225.0</v>
      </c>
      <c r="K373" s="320"/>
      <c r="L373" s="203"/>
      <c r="M373" s="204"/>
      <c r="N373" s="205"/>
    </row>
    <row r="374" ht="20.25" customHeight="1">
      <c r="A374" s="156">
        <v>46166.0</v>
      </c>
      <c r="B374" s="143" t="s">
        <v>21</v>
      </c>
      <c r="C374" s="164">
        <v>406.0</v>
      </c>
      <c r="D374" s="148">
        <f t="array" ref="D374">IFERROR(_xlfn.XLOOKUP(C374,Code!A:A,Code!B:B),"")</f>
        <v>1.1</v>
      </c>
      <c r="E374" s="149" t="s">
        <v>23</v>
      </c>
      <c r="F374" s="149" t="s">
        <v>50</v>
      </c>
      <c r="G374" s="148" t="s">
        <v>17</v>
      </c>
      <c r="H374" s="101" t="s">
        <v>25</v>
      </c>
      <c r="I374" s="101">
        <v>1.0</v>
      </c>
      <c r="J374" s="139"/>
      <c r="K374" s="149"/>
      <c r="L374" s="206"/>
      <c r="M374" s="207"/>
      <c r="N374" s="208"/>
    </row>
    <row r="375" ht="20.25" customHeight="1">
      <c r="A375" s="57"/>
      <c r="B375" s="141"/>
      <c r="C375" s="57"/>
      <c r="D375" s="57"/>
      <c r="E375" s="57"/>
      <c r="F375" s="57"/>
      <c r="G375" s="57"/>
      <c r="H375" s="114" t="s">
        <v>18</v>
      </c>
      <c r="I375" s="114">
        <v>16.0</v>
      </c>
      <c r="J375" s="110"/>
      <c r="K375" s="57"/>
      <c r="L375" s="209"/>
      <c r="M375" s="210"/>
      <c r="N375" s="200"/>
    </row>
    <row r="376" ht="20.25" customHeight="1">
      <c r="A376" s="29"/>
      <c r="B376" s="155" t="s">
        <v>51</v>
      </c>
      <c r="C376" s="100"/>
      <c r="D376" s="100"/>
      <c r="E376" s="100"/>
      <c r="F376" s="100"/>
      <c r="G376" s="100"/>
      <c r="H376" s="101" t="s">
        <v>18</v>
      </c>
      <c r="I376" s="101">
        <v>4.0</v>
      </c>
      <c r="J376" s="100"/>
      <c r="K376" s="100"/>
      <c r="L376" s="211"/>
      <c r="M376" s="212"/>
      <c r="N376" s="213"/>
    </row>
    <row r="377" ht="20.25" customHeight="1">
      <c r="A377" s="57"/>
      <c r="B377" s="106" t="s">
        <v>21</v>
      </c>
      <c r="C377" s="341">
        <v>407.0</v>
      </c>
      <c r="D377" s="109">
        <f t="array" ref="D377">IFERROR(_xlfn.XLOOKUP(C377,Code!A:A,Code!B:B),"")</f>
        <v>0.72</v>
      </c>
      <c r="E377" s="110" t="s">
        <v>23</v>
      </c>
      <c r="F377" s="110" t="s">
        <v>161</v>
      </c>
      <c r="G377" s="110" t="s">
        <v>17</v>
      </c>
      <c r="H377" s="136" t="s">
        <v>25</v>
      </c>
      <c r="I377" s="136">
        <v>1.0</v>
      </c>
      <c r="J377" s="136">
        <v>120.0</v>
      </c>
      <c r="K377" s="149">
        <v>1720.0</v>
      </c>
      <c r="L377" s="214">
        <v>30.0</v>
      </c>
      <c r="M377" s="233">
        <v>510.0</v>
      </c>
      <c r="N377" s="234">
        <f>SUM(K377+M377)</f>
        <v>2230</v>
      </c>
    </row>
    <row r="378" ht="20.25" customHeight="1">
      <c r="A378" s="29"/>
      <c r="B378" s="100"/>
      <c r="D378" s="29"/>
      <c r="E378" s="29"/>
      <c r="F378" s="29"/>
      <c r="G378" s="29"/>
      <c r="H378" s="139" t="s">
        <v>18</v>
      </c>
      <c r="I378" s="139">
        <v>14.0</v>
      </c>
      <c r="J378" s="149">
        <v>100.0</v>
      </c>
      <c r="K378" s="29"/>
      <c r="L378" s="216"/>
      <c r="M378" s="235"/>
      <c r="N378" s="202"/>
    </row>
    <row r="379" ht="20.25" customHeight="1">
      <c r="A379" s="57"/>
      <c r="B379" s="142" t="s">
        <v>51</v>
      </c>
      <c r="D379" s="141"/>
      <c r="E379" s="141"/>
      <c r="F379" s="141"/>
      <c r="G379" s="141"/>
      <c r="H379" s="136" t="s">
        <v>18</v>
      </c>
      <c r="I379" s="136">
        <v>2.0</v>
      </c>
      <c r="J379" s="141"/>
      <c r="K379" s="141"/>
      <c r="L379" s="218"/>
      <c r="M379" s="236"/>
      <c r="N379" s="205"/>
    </row>
    <row r="380" ht="20.25" customHeight="1">
      <c r="A380" s="29"/>
      <c r="B380" s="143" t="s">
        <v>21</v>
      </c>
      <c r="C380" s="164">
        <v>411.0</v>
      </c>
      <c r="D380" s="148">
        <f t="array" ref="D380">IFERROR(_xlfn.XLOOKUP(C380,Code!A:A,Code!B:B),"")</f>
        <v>0.85</v>
      </c>
      <c r="E380" s="110" t="s">
        <v>23</v>
      </c>
      <c r="F380" s="149" t="s">
        <v>158</v>
      </c>
      <c r="G380" s="148" t="s">
        <v>17</v>
      </c>
      <c r="H380" s="101" t="s">
        <v>25</v>
      </c>
      <c r="I380" s="101">
        <v>1.0</v>
      </c>
      <c r="J380" s="139"/>
      <c r="K380" s="149"/>
      <c r="L380" s="206"/>
      <c r="M380" s="207"/>
      <c r="N380" s="208"/>
    </row>
    <row r="381" ht="20.25" customHeight="1">
      <c r="A381" s="57"/>
      <c r="B381" s="141"/>
      <c r="C381" s="57"/>
      <c r="D381" s="57"/>
      <c r="E381" s="57"/>
      <c r="F381" s="57"/>
      <c r="G381" s="57"/>
      <c r="H381" s="114" t="s">
        <v>18</v>
      </c>
      <c r="I381" s="114">
        <v>13.0</v>
      </c>
      <c r="J381" s="110"/>
      <c r="K381" s="57"/>
      <c r="L381" s="209"/>
      <c r="M381" s="210"/>
      <c r="N381" s="200"/>
    </row>
    <row r="382" ht="20.25" customHeight="1">
      <c r="A382" s="29"/>
      <c r="B382" s="155" t="s">
        <v>51</v>
      </c>
      <c r="C382" s="100"/>
      <c r="D382" s="100"/>
      <c r="E382" s="100"/>
      <c r="F382" s="100"/>
      <c r="G382" s="100"/>
      <c r="H382" s="101" t="s">
        <v>18</v>
      </c>
      <c r="I382" s="101">
        <v>1.0</v>
      </c>
      <c r="J382" s="100"/>
      <c r="K382" s="100"/>
      <c r="L382" s="211"/>
      <c r="M382" s="212"/>
      <c r="N382" s="213"/>
    </row>
    <row r="383" ht="20.25" customHeight="1">
      <c r="A383" s="57"/>
      <c r="B383" s="106" t="s">
        <v>21</v>
      </c>
      <c r="C383" s="134">
        <v>412.0</v>
      </c>
      <c r="D383" s="109">
        <f t="array" ref="D383">IFERROR(_xlfn.XLOOKUP(C383,Code!A:A,Code!B:B),"")</f>
        <v>1.56</v>
      </c>
      <c r="E383" s="110" t="s">
        <v>23</v>
      </c>
      <c r="F383" s="110" t="s">
        <v>162</v>
      </c>
      <c r="G383" s="109" t="s">
        <v>17</v>
      </c>
      <c r="H383" s="114" t="s">
        <v>25</v>
      </c>
      <c r="I383" s="114">
        <v>1.0</v>
      </c>
      <c r="J383" s="136">
        <v>120.0</v>
      </c>
      <c r="K383" s="149">
        <v>1320.0</v>
      </c>
      <c r="L383" s="214">
        <v>30.0</v>
      </c>
      <c r="M383" s="233">
        <v>390.0</v>
      </c>
      <c r="N383" s="234">
        <f>SUM(K383+M383)</f>
        <v>1710</v>
      </c>
    </row>
    <row r="384" ht="20.25" customHeight="1">
      <c r="A384" s="29"/>
      <c r="B384" s="100"/>
      <c r="C384" s="29"/>
      <c r="D384" s="29"/>
      <c r="E384" s="29"/>
      <c r="F384" s="29"/>
      <c r="G384" s="29"/>
      <c r="H384" s="101" t="s">
        <v>18</v>
      </c>
      <c r="I384" s="101">
        <v>11.0</v>
      </c>
      <c r="J384" s="149">
        <v>100.0</v>
      </c>
      <c r="K384" s="29"/>
      <c r="L384" s="216"/>
      <c r="M384" s="235"/>
      <c r="N384" s="202"/>
    </row>
    <row r="385" ht="20.25" customHeight="1">
      <c r="A385" s="57"/>
      <c r="B385" s="142" t="s">
        <v>51</v>
      </c>
      <c r="C385" s="141"/>
      <c r="D385" s="141"/>
      <c r="E385" s="141"/>
      <c r="F385" s="141"/>
      <c r="G385" s="141"/>
      <c r="H385" s="114" t="s">
        <v>18</v>
      </c>
      <c r="I385" s="114">
        <v>1.0</v>
      </c>
      <c r="J385" s="141"/>
      <c r="K385" s="141"/>
      <c r="L385" s="218"/>
      <c r="M385" s="236"/>
      <c r="N385" s="205"/>
    </row>
    <row r="386" ht="20.25" customHeight="1">
      <c r="A386" s="29"/>
      <c r="B386" s="246" t="s">
        <v>110</v>
      </c>
      <c r="C386" s="164">
        <v>401.0</v>
      </c>
      <c r="D386" s="148">
        <f t="array" ref="D386">IFERROR(_xlfn.XLOOKUP(C386,Code!A:A,Code!B:B),"")</f>
        <v>0.83</v>
      </c>
      <c r="E386" s="149" t="s">
        <v>68</v>
      </c>
      <c r="F386" s="149" t="s">
        <v>163</v>
      </c>
      <c r="G386" s="148" t="s">
        <v>17</v>
      </c>
      <c r="H386" s="101" t="s">
        <v>18</v>
      </c>
      <c r="I386" s="139">
        <v>1.0</v>
      </c>
      <c r="J386" s="139">
        <v>220.0</v>
      </c>
      <c r="K386" s="292">
        <v>2910.0</v>
      </c>
      <c r="L386" s="227">
        <v>400.0</v>
      </c>
      <c r="M386" s="197"/>
      <c r="N386" s="234">
        <f>SUM(K386+L386)</f>
        <v>3310</v>
      </c>
    </row>
    <row r="387" ht="20.25" customHeight="1">
      <c r="A387" s="57"/>
      <c r="B387" s="57"/>
      <c r="C387" s="57"/>
      <c r="D387" s="57"/>
      <c r="E387" s="57"/>
      <c r="F387" s="57"/>
      <c r="G387" s="57"/>
      <c r="H387" s="114" t="s">
        <v>18</v>
      </c>
      <c r="I387" s="136">
        <v>5.0</v>
      </c>
      <c r="J387" s="136">
        <v>200.0</v>
      </c>
      <c r="K387" s="70"/>
      <c r="M387" s="199"/>
      <c r="N387" s="200"/>
    </row>
    <row r="388" ht="20.25" customHeight="1">
      <c r="A388" s="29"/>
      <c r="B388" s="29"/>
      <c r="C388" s="29"/>
      <c r="D388" s="29"/>
      <c r="E388" s="29"/>
      <c r="F388" s="29"/>
      <c r="G388" s="29"/>
      <c r="H388" s="101" t="s">
        <v>18</v>
      </c>
      <c r="I388" s="139">
        <v>5.0</v>
      </c>
      <c r="J388" s="139">
        <v>150.0</v>
      </c>
      <c r="K388" s="56"/>
      <c r="M388" s="201"/>
      <c r="N388" s="202"/>
    </row>
    <row r="389" ht="20.25" customHeight="1">
      <c r="A389" s="57"/>
      <c r="B389" s="57"/>
      <c r="C389" s="57"/>
      <c r="D389" s="57"/>
      <c r="E389" s="57"/>
      <c r="F389" s="57"/>
      <c r="G389" s="57"/>
      <c r="H389" s="114" t="s">
        <v>18</v>
      </c>
      <c r="I389" s="136">
        <v>1.0</v>
      </c>
      <c r="J389" s="136">
        <v>250.0</v>
      </c>
      <c r="K389" s="70"/>
      <c r="M389" s="199"/>
      <c r="N389" s="200"/>
    </row>
    <row r="390" ht="20.25" customHeight="1">
      <c r="A390" s="29"/>
      <c r="B390" s="29"/>
      <c r="C390" s="29"/>
      <c r="D390" s="29"/>
      <c r="E390" s="29"/>
      <c r="F390" s="29"/>
      <c r="G390" s="29"/>
      <c r="H390" s="101" t="s">
        <v>18</v>
      </c>
      <c r="I390" s="139">
        <v>3.0</v>
      </c>
      <c r="J390" s="139">
        <v>175.0</v>
      </c>
      <c r="K390" s="56"/>
      <c r="M390" s="201"/>
      <c r="N390" s="202"/>
    </row>
    <row r="391" ht="20.25" customHeight="1">
      <c r="A391" s="141"/>
      <c r="B391" s="141"/>
      <c r="C391" s="141"/>
      <c r="D391" s="141"/>
      <c r="E391" s="141"/>
      <c r="F391" s="141"/>
      <c r="G391" s="141"/>
      <c r="H391" s="114" t="s">
        <v>18</v>
      </c>
      <c r="I391" s="136">
        <v>1.0</v>
      </c>
      <c r="J391" s="136">
        <v>165.0</v>
      </c>
      <c r="K391" s="320"/>
      <c r="L391" s="203"/>
      <c r="M391" s="204"/>
      <c r="N391" s="205"/>
    </row>
    <row r="392" ht="20.25" customHeight="1">
      <c r="A392" s="156">
        <v>46167.0</v>
      </c>
      <c r="B392" s="343" t="s">
        <v>151</v>
      </c>
      <c r="C392" s="344">
        <v>427.0</v>
      </c>
      <c r="D392" s="39">
        <f t="array" ref="D392">IFERROR(_xlfn.XLOOKUP(C392,Code!A:A,Code!B:B),"")</f>
        <v>1.05</v>
      </c>
      <c r="E392" s="149" t="s">
        <v>23</v>
      </c>
      <c r="F392" s="149" t="s">
        <v>164</v>
      </c>
      <c r="G392" s="149" t="s">
        <v>17</v>
      </c>
      <c r="H392" s="139" t="s">
        <v>25</v>
      </c>
      <c r="I392" s="139">
        <v>1.0</v>
      </c>
      <c r="J392" s="139">
        <v>120.0</v>
      </c>
      <c r="K392" s="149">
        <v>1520.0</v>
      </c>
      <c r="L392" s="220">
        <v>30.0</v>
      </c>
      <c r="M392" s="207">
        <v>450.0</v>
      </c>
      <c r="N392" s="208">
        <f>SUM(K392+M392)</f>
        <v>1970</v>
      </c>
    </row>
    <row r="393" ht="20.25" customHeight="1">
      <c r="A393" s="57"/>
      <c r="B393" s="57"/>
      <c r="C393" s="345">
        <v>428.0</v>
      </c>
      <c r="D393" s="57"/>
      <c r="E393" s="57"/>
      <c r="F393" s="57"/>
      <c r="G393" s="57"/>
      <c r="H393" s="110" t="s">
        <v>18</v>
      </c>
      <c r="I393" s="110">
        <v>14.0</v>
      </c>
      <c r="J393" s="110">
        <v>100.0</v>
      </c>
      <c r="K393" s="57"/>
      <c r="L393" s="209"/>
      <c r="M393" s="210"/>
      <c r="N393" s="200"/>
    </row>
    <row r="394" ht="20.25" customHeight="1">
      <c r="A394" s="29"/>
      <c r="B394" s="20"/>
      <c r="C394" s="20"/>
      <c r="D394" s="20"/>
      <c r="E394" s="100"/>
      <c r="F394" s="100"/>
      <c r="G394" s="100"/>
      <c r="H394" s="100"/>
      <c r="I394" s="100"/>
      <c r="J394" s="100"/>
      <c r="K394" s="100"/>
      <c r="L394" s="211"/>
      <c r="M394" s="212"/>
      <c r="N394" s="213"/>
    </row>
    <row r="395" ht="20.25" customHeight="1">
      <c r="A395" s="57"/>
      <c r="B395" s="225" t="s">
        <v>110</v>
      </c>
      <c r="C395" s="134">
        <v>402.0</v>
      </c>
      <c r="D395" s="110">
        <f t="array" ref="D395">IFERROR(_xlfn.XLOOKUP(C395,Code!A:A,Code!B:B),"")</f>
        <v>0.82</v>
      </c>
      <c r="E395" s="110" t="s">
        <v>68</v>
      </c>
      <c r="F395" s="110" t="s">
        <v>165</v>
      </c>
      <c r="G395" s="289" t="s">
        <v>17</v>
      </c>
      <c r="H395" s="295" t="s">
        <v>18</v>
      </c>
      <c r="I395" s="136">
        <v>1.0</v>
      </c>
      <c r="J395" s="136">
        <v>220.0</v>
      </c>
      <c r="K395" s="292">
        <v>3280.0</v>
      </c>
      <c r="L395" s="227">
        <v>400.0</v>
      </c>
      <c r="M395" s="228"/>
      <c r="N395" s="234">
        <f>SUM(K395:M404)</f>
        <v>3680</v>
      </c>
    </row>
    <row r="396" ht="20.25" customHeight="1">
      <c r="A396" s="29"/>
      <c r="B396" s="29"/>
      <c r="C396" s="29"/>
      <c r="D396" s="29"/>
      <c r="E396" s="29"/>
      <c r="F396" s="29"/>
      <c r="G396" s="314"/>
      <c r="H396" s="272" t="s">
        <v>18</v>
      </c>
      <c r="I396" s="139">
        <v>4.0</v>
      </c>
      <c r="J396" s="139">
        <v>200.0</v>
      </c>
      <c r="K396" s="56"/>
      <c r="M396" s="201"/>
      <c r="N396" s="202"/>
    </row>
    <row r="397" ht="20.25" customHeight="1">
      <c r="A397" s="57"/>
      <c r="B397" s="57"/>
      <c r="C397" s="57"/>
      <c r="D397" s="57"/>
      <c r="E397" s="57"/>
      <c r="F397" s="57"/>
      <c r="G397" s="294"/>
      <c r="H397" s="295" t="s">
        <v>18</v>
      </c>
      <c r="I397" s="136">
        <v>1.0</v>
      </c>
      <c r="J397" s="136">
        <v>225.0</v>
      </c>
      <c r="K397" s="70"/>
      <c r="M397" s="199"/>
      <c r="N397" s="200"/>
    </row>
    <row r="398" ht="20.25" customHeight="1">
      <c r="A398" s="29"/>
      <c r="B398" s="29"/>
      <c r="C398" s="29"/>
      <c r="D398" s="29"/>
      <c r="E398" s="29"/>
      <c r="F398" s="29"/>
      <c r="G398" s="314"/>
      <c r="H398" s="272" t="s">
        <v>18</v>
      </c>
      <c r="I398" s="139">
        <v>1.0</v>
      </c>
      <c r="J398" s="139">
        <v>180.0</v>
      </c>
      <c r="K398" s="56"/>
      <c r="M398" s="201"/>
      <c r="N398" s="202"/>
    </row>
    <row r="399" ht="20.25" customHeight="1">
      <c r="A399" s="57"/>
      <c r="B399" s="57"/>
      <c r="C399" s="57"/>
      <c r="D399" s="57"/>
      <c r="E399" s="57"/>
      <c r="F399" s="57"/>
      <c r="G399" s="294"/>
      <c r="H399" s="295" t="s">
        <v>18</v>
      </c>
      <c r="I399" s="136">
        <v>8.0</v>
      </c>
      <c r="J399" s="136">
        <v>150.0</v>
      </c>
      <c r="K399" s="70"/>
      <c r="M399" s="199"/>
      <c r="N399" s="200"/>
    </row>
    <row r="400" ht="20.25" customHeight="1">
      <c r="A400" s="29"/>
      <c r="B400" s="29"/>
      <c r="C400" s="29"/>
      <c r="D400" s="29"/>
      <c r="E400" s="29"/>
      <c r="F400" s="29"/>
      <c r="G400" s="314"/>
      <c r="H400" s="272" t="s">
        <v>18</v>
      </c>
      <c r="I400" s="139">
        <v>1.0</v>
      </c>
      <c r="J400" s="139">
        <v>120.0</v>
      </c>
      <c r="K400" s="56"/>
      <c r="M400" s="201"/>
      <c r="N400" s="202"/>
    </row>
    <row r="401" ht="20.25" customHeight="1">
      <c r="A401" s="57"/>
      <c r="B401" s="57"/>
      <c r="C401" s="57"/>
      <c r="D401" s="57"/>
      <c r="E401" s="57"/>
      <c r="F401" s="57"/>
      <c r="G401" s="294"/>
      <c r="H401" s="295" t="s">
        <v>18</v>
      </c>
      <c r="I401" s="136">
        <v>1.0</v>
      </c>
      <c r="J401" s="136">
        <v>140.0</v>
      </c>
      <c r="K401" s="70"/>
      <c r="M401" s="199"/>
      <c r="N401" s="200"/>
    </row>
    <row r="402" ht="20.25" customHeight="1">
      <c r="A402" s="29"/>
      <c r="B402" s="29"/>
      <c r="C402" s="29"/>
      <c r="D402" s="29"/>
      <c r="E402" s="29"/>
      <c r="F402" s="29"/>
      <c r="G402" s="314"/>
      <c r="H402" s="272" t="s">
        <v>18</v>
      </c>
      <c r="I402" s="139">
        <v>1.0</v>
      </c>
      <c r="J402" s="139">
        <v>100.0</v>
      </c>
      <c r="K402" s="56"/>
      <c r="M402" s="201"/>
      <c r="N402" s="202"/>
    </row>
    <row r="403" ht="20.25" customHeight="1">
      <c r="A403" s="57"/>
      <c r="B403" s="57"/>
      <c r="C403" s="57"/>
      <c r="D403" s="57"/>
      <c r="E403" s="57"/>
      <c r="F403" s="57"/>
      <c r="G403" s="294"/>
      <c r="H403" s="295" t="s">
        <v>18</v>
      </c>
      <c r="I403" s="136">
        <v>1.0</v>
      </c>
      <c r="J403" s="136">
        <v>190.0</v>
      </c>
      <c r="K403" s="70"/>
      <c r="M403" s="199"/>
      <c r="N403" s="200"/>
    </row>
    <row r="404" ht="20.25" customHeight="1">
      <c r="A404" s="100"/>
      <c r="B404" s="100"/>
      <c r="C404" s="100"/>
      <c r="D404" s="100"/>
      <c r="E404" s="100"/>
      <c r="F404" s="100"/>
      <c r="G404" s="290"/>
      <c r="H404" s="272" t="s">
        <v>18</v>
      </c>
      <c r="I404" s="139">
        <v>1.0</v>
      </c>
      <c r="J404" s="139">
        <v>105.0</v>
      </c>
      <c r="K404" s="296"/>
      <c r="L404" s="230"/>
      <c r="M404" s="231"/>
      <c r="N404" s="213"/>
    </row>
    <row r="405" ht="20.25" customHeight="1">
      <c r="A405" s="156">
        <v>46168.0</v>
      </c>
      <c r="B405" s="346" t="s">
        <v>110</v>
      </c>
      <c r="C405" s="347">
        <v>402.0</v>
      </c>
      <c r="D405" s="348">
        <f t="array" ref="D405">IFERROR(_xlfn.XLOOKUP(C405,Code!A:A,Code!B:B),"")</f>
        <v>0.82</v>
      </c>
      <c r="E405" s="349" t="s">
        <v>68</v>
      </c>
      <c r="F405" s="110" t="s">
        <v>166</v>
      </c>
      <c r="G405" s="289" t="s">
        <v>17</v>
      </c>
      <c r="H405" s="234" t="s">
        <v>18</v>
      </c>
      <c r="I405" s="136">
        <v>1.0</v>
      </c>
      <c r="J405" s="136">
        <v>220.0</v>
      </c>
      <c r="K405" s="292">
        <v>3090.0</v>
      </c>
      <c r="L405" s="227">
        <v>400.0</v>
      </c>
      <c r="M405" s="228"/>
      <c r="N405" s="234">
        <v>3490.0</v>
      </c>
    </row>
    <row r="406" ht="20.25" customHeight="1">
      <c r="A406" s="29"/>
      <c r="B406" s="314"/>
      <c r="C406" s="350"/>
      <c r="D406" s="350"/>
      <c r="E406" s="56"/>
      <c r="F406" s="29"/>
      <c r="G406" s="314"/>
      <c r="H406" s="202"/>
      <c r="I406" s="139">
        <v>5.0</v>
      </c>
      <c r="J406" s="139">
        <v>200.0</v>
      </c>
      <c r="K406" s="56"/>
      <c r="M406" s="201"/>
      <c r="N406" s="202"/>
    </row>
    <row r="407" ht="20.25" customHeight="1">
      <c r="A407" s="57"/>
      <c r="B407" s="294"/>
      <c r="C407" s="351"/>
      <c r="D407" s="351"/>
      <c r="E407" s="70"/>
      <c r="F407" s="57"/>
      <c r="G407" s="294"/>
      <c r="H407" s="200"/>
      <c r="I407" s="136">
        <v>7.0</v>
      </c>
      <c r="J407" s="136">
        <v>150.0</v>
      </c>
      <c r="K407" s="70"/>
      <c r="M407" s="199"/>
      <c r="N407" s="200"/>
    </row>
    <row r="408" ht="20.25" customHeight="1">
      <c r="A408" s="29"/>
      <c r="B408" s="314"/>
      <c r="C408" s="352">
        <v>403.0</v>
      </c>
      <c r="D408" s="353">
        <v>0.67</v>
      </c>
      <c r="E408" s="56"/>
      <c r="F408" s="29"/>
      <c r="G408" s="314"/>
      <c r="H408" s="202"/>
      <c r="I408" s="139">
        <v>2.0</v>
      </c>
      <c r="J408" s="139">
        <v>130.0</v>
      </c>
      <c r="K408" s="56"/>
      <c r="M408" s="201"/>
      <c r="N408" s="202"/>
    </row>
    <row r="409" ht="20.25" customHeight="1">
      <c r="A409" s="57"/>
      <c r="B409" s="294"/>
      <c r="C409" s="354"/>
      <c r="D409" s="354"/>
      <c r="E409" s="70"/>
      <c r="F409" s="57"/>
      <c r="G409" s="294"/>
      <c r="H409" s="200"/>
      <c r="I409" s="136">
        <v>1.0</v>
      </c>
      <c r="J409" s="136">
        <v>260.0</v>
      </c>
      <c r="K409" s="70"/>
      <c r="M409" s="199"/>
      <c r="N409" s="200"/>
    </row>
    <row r="410" ht="20.25" customHeight="1">
      <c r="A410" s="100"/>
      <c r="B410" s="290"/>
      <c r="C410" s="355"/>
      <c r="D410" s="355"/>
      <c r="E410" s="296"/>
      <c r="F410" s="100"/>
      <c r="G410" s="290"/>
      <c r="H410" s="213"/>
      <c r="I410" s="139">
        <v>1.0</v>
      </c>
      <c r="J410" s="139">
        <v>300.0</v>
      </c>
      <c r="K410" s="296"/>
      <c r="L410" s="230"/>
      <c r="M410" s="231"/>
      <c r="N410" s="213"/>
    </row>
    <row r="411" ht="20.25" customHeight="1">
      <c r="A411" s="156">
        <v>46172.0</v>
      </c>
      <c r="B411" s="346" t="s">
        <v>110</v>
      </c>
      <c r="C411" s="347">
        <v>403.0</v>
      </c>
      <c r="D411" s="348">
        <f t="array" ref="D411">IFERROR(_xlfn.XLOOKUP(C411,Code!A:A,Code!B:B),"")</f>
        <v>0.67</v>
      </c>
      <c r="E411" s="349" t="s">
        <v>68</v>
      </c>
      <c r="F411" s="110" t="s">
        <v>167</v>
      </c>
      <c r="G411" s="289" t="s">
        <v>17</v>
      </c>
      <c r="H411" s="234" t="s">
        <v>18</v>
      </c>
      <c r="I411" s="136">
        <v>1.0</v>
      </c>
      <c r="J411" s="136">
        <v>220.0</v>
      </c>
      <c r="K411" s="292">
        <v>3220.0</v>
      </c>
      <c r="L411" s="227">
        <v>400.0</v>
      </c>
      <c r="M411" s="228"/>
      <c r="N411" s="234">
        <f>SUM(K411:M415)</f>
        <v>3620</v>
      </c>
    </row>
    <row r="412" ht="20.25" customHeight="1">
      <c r="A412" s="29"/>
      <c r="B412" s="314"/>
      <c r="C412" s="350"/>
      <c r="D412" s="350"/>
      <c r="E412" s="56"/>
      <c r="F412" s="29"/>
      <c r="G412" s="314"/>
      <c r="H412" s="202"/>
      <c r="I412" s="139">
        <v>7.0</v>
      </c>
      <c r="J412" s="139">
        <v>200.0</v>
      </c>
      <c r="K412" s="56"/>
      <c r="M412" s="201"/>
      <c r="N412" s="202"/>
    </row>
    <row r="413" ht="20.25" customHeight="1">
      <c r="A413" s="57"/>
      <c r="B413" s="294"/>
      <c r="C413" s="354"/>
      <c r="D413" s="354"/>
      <c r="E413" s="70"/>
      <c r="F413" s="57"/>
      <c r="G413" s="294"/>
      <c r="H413" s="200"/>
      <c r="I413" s="136">
        <v>1.0</v>
      </c>
      <c r="J413" s="136">
        <v>180.0</v>
      </c>
      <c r="K413" s="70"/>
      <c r="M413" s="199"/>
      <c r="N413" s="200"/>
    </row>
    <row r="414" ht="20.25" customHeight="1">
      <c r="A414" s="29"/>
      <c r="B414" s="314"/>
      <c r="C414" s="350"/>
      <c r="D414" s="350"/>
      <c r="E414" s="56"/>
      <c r="F414" s="29"/>
      <c r="G414" s="314"/>
      <c r="H414" s="202"/>
      <c r="I414" s="139">
        <v>7.0</v>
      </c>
      <c r="J414" s="139">
        <v>150.0</v>
      </c>
      <c r="K414" s="56"/>
      <c r="M414" s="201"/>
      <c r="N414" s="202"/>
    </row>
    <row r="415" ht="20.25" customHeight="1">
      <c r="A415" s="141"/>
      <c r="B415" s="319"/>
      <c r="C415" s="351"/>
      <c r="D415" s="351"/>
      <c r="E415" s="320"/>
      <c r="F415" s="141"/>
      <c r="G415" s="319"/>
      <c r="H415" s="205"/>
      <c r="I415" s="136">
        <v>2.0</v>
      </c>
      <c r="J415" s="136">
        <v>185.0</v>
      </c>
      <c r="K415" s="320"/>
      <c r="L415" s="203"/>
      <c r="M415" s="204"/>
      <c r="N415" s="205"/>
    </row>
    <row r="416" ht="20.25" customHeight="1">
      <c r="A416" s="156">
        <v>46173.0</v>
      </c>
      <c r="B416" s="246" t="s">
        <v>110</v>
      </c>
      <c r="C416" s="356">
        <v>404.0</v>
      </c>
      <c r="D416" s="357">
        <f t="array" ref="D416">IFERROR(_xlfn.XLOOKUP(C416,Code!A:A,Code!B:B),"")</f>
        <v>0.67</v>
      </c>
      <c r="E416" s="349" t="s">
        <v>68</v>
      </c>
      <c r="F416" s="149" t="s">
        <v>169</v>
      </c>
      <c r="G416" s="149" t="s">
        <v>17</v>
      </c>
      <c r="H416" s="208" t="s">
        <v>18</v>
      </c>
      <c r="I416" s="139">
        <v>1.0</v>
      </c>
      <c r="J416" s="139">
        <v>220.0</v>
      </c>
      <c r="K416" s="292">
        <v>4455.0</v>
      </c>
      <c r="L416" s="227">
        <v>400.0</v>
      </c>
      <c r="M416" s="358"/>
      <c r="N416" s="234">
        <f>SUM(K416:M423)</f>
        <v>4855</v>
      </c>
    </row>
    <row r="417" ht="20.25" customHeight="1">
      <c r="A417" s="57"/>
      <c r="B417" s="57"/>
      <c r="C417" s="359"/>
      <c r="D417" s="359"/>
      <c r="E417" s="70"/>
      <c r="F417" s="57"/>
      <c r="G417" s="57"/>
      <c r="H417" s="200"/>
      <c r="I417" s="136">
        <v>7.0</v>
      </c>
      <c r="J417" s="136">
        <v>200.0</v>
      </c>
      <c r="K417" s="70"/>
      <c r="M417" s="70"/>
      <c r="N417" s="200"/>
    </row>
    <row r="418" ht="20.25" customHeight="1">
      <c r="A418" s="29"/>
      <c r="B418" s="29"/>
      <c r="C418" s="360"/>
      <c r="D418" s="360"/>
      <c r="E418" s="56"/>
      <c r="F418" s="29"/>
      <c r="G418" s="29"/>
      <c r="H418" s="202"/>
      <c r="I418" s="139">
        <v>4.0</v>
      </c>
      <c r="J418" s="139">
        <v>300.0</v>
      </c>
      <c r="K418" s="56"/>
      <c r="M418" s="56"/>
      <c r="N418" s="202"/>
    </row>
    <row r="419" ht="20.25" customHeight="1">
      <c r="A419" s="57"/>
      <c r="B419" s="57"/>
      <c r="C419" s="359"/>
      <c r="D419" s="359"/>
      <c r="E419" s="70"/>
      <c r="F419" s="57"/>
      <c r="G419" s="57"/>
      <c r="H419" s="200"/>
      <c r="I419" s="136">
        <v>2.0</v>
      </c>
      <c r="J419" s="136">
        <v>270.0</v>
      </c>
      <c r="K419" s="70"/>
      <c r="M419" s="70"/>
      <c r="N419" s="200"/>
    </row>
    <row r="420" ht="20.25" customHeight="1">
      <c r="A420" s="29"/>
      <c r="B420" s="29"/>
      <c r="C420" s="360"/>
      <c r="D420" s="360"/>
      <c r="E420" s="56"/>
      <c r="F420" s="29"/>
      <c r="G420" s="29"/>
      <c r="H420" s="202"/>
      <c r="I420" s="139">
        <v>1.0</v>
      </c>
      <c r="J420" s="139">
        <v>240.0</v>
      </c>
      <c r="K420" s="56"/>
      <c r="M420" s="56"/>
      <c r="N420" s="202"/>
    </row>
    <row r="421" ht="20.25" customHeight="1">
      <c r="A421" s="57"/>
      <c r="B421" s="57"/>
      <c r="C421" s="359"/>
      <c r="D421" s="359"/>
      <c r="E421" s="70"/>
      <c r="F421" s="57"/>
      <c r="G421" s="57"/>
      <c r="H421" s="200"/>
      <c r="I421" s="110">
        <v>1.0</v>
      </c>
      <c r="J421" s="110">
        <v>250.0</v>
      </c>
      <c r="K421" s="70"/>
      <c r="M421" s="70"/>
      <c r="N421" s="200"/>
    </row>
    <row r="422" ht="20.25" customHeight="1">
      <c r="A422" s="29"/>
      <c r="B422" s="29"/>
      <c r="C422" s="360"/>
      <c r="D422" s="360"/>
      <c r="E422" s="56"/>
      <c r="F422" s="29"/>
      <c r="G422" s="29"/>
      <c r="H422" s="202"/>
      <c r="I422" s="77">
        <v>1.0</v>
      </c>
      <c r="J422" s="77">
        <v>330.0</v>
      </c>
      <c r="K422" s="56"/>
      <c r="M422" s="56"/>
      <c r="N422" s="202"/>
    </row>
    <row r="423" ht="20.25" customHeight="1">
      <c r="A423" s="58"/>
      <c r="B423" s="58"/>
      <c r="C423" s="361"/>
      <c r="D423" s="361"/>
      <c r="E423" s="59"/>
      <c r="F423" s="58"/>
      <c r="G423" s="58"/>
      <c r="H423" s="362"/>
      <c r="I423" s="75">
        <v>1.0</v>
      </c>
      <c r="J423" s="73">
        <v>275.0</v>
      </c>
      <c r="K423" s="59"/>
      <c r="L423" s="363"/>
      <c r="M423" s="59"/>
      <c r="N423" s="362"/>
    </row>
    <row r="424" ht="20.25" customHeight="1">
      <c r="A424" s="156">
        <v>46174.0</v>
      </c>
      <c r="B424" s="246" t="s">
        <v>110</v>
      </c>
      <c r="C424" s="356">
        <v>410.0</v>
      </c>
      <c r="D424" s="357">
        <f t="array" ref="D424">IFERROR(_xlfn.XLOOKUP(C424,Code!A:A,Code!B:B),"")</f>
        <v>0.67</v>
      </c>
      <c r="E424" s="349" t="s">
        <v>68</v>
      </c>
      <c r="F424" s="149" t="s">
        <v>171</v>
      </c>
      <c r="G424" s="149" t="s">
        <v>17</v>
      </c>
      <c r="H424" s="208" t="s">
        <v>18</v>
      </c>
      <c r="I424" s="139">
        <v>1.0</v>
      </c>
      <c r="J424" s="139">
        <v>220.0</v>
      </c>
      <c r="K424" s="292">
        <v>3890.0</v>
      </c>
      <c r="L424" s="227">
        <v>400.0</v>
      </c>
      <c r="M424" s="358"/>
      <c r="N424" s="234">
        <f>SUM(K424:M431)</f>
        <v>4290</v>
      </c>
    </row>
    <row r="425" ht="20.25" customHeight="1">
      <c r="A425" s="57"/>
      <c r="B425" s="57"/>
      <c r="C425" s="359"/>
      <c r="D425" s="359"/>
      <c r="E425" s="70"/>
      <c r="F425" s="57"/>
      <c r="G425" s="57"/>
      <c r="H425" s="200"/>
      <c r="I425" s="136">
        <v>7.0</v>
      </c>
      <c r="J425" s="136">
        <v>200.0</v>
      </c>
      <c r="K425" s="70"/>
      <c r="M425" s="70"/>
      <c r="N425" s="200"/>
    </row>
    <row r="426" ht="20.25" customHeight="1">
      <c r="A426" s="29"/>
      <c r="B426" s="29"/>
      <c r="C426" s="360"/>
      <c r="D426" s="360"/>
      <c r="E426" s="56"/>
      <c r="F426" s="29"/>
      <c r="G426" s="29"/>
      <c r="H426" s="202"/>
      <c r="I426" s="139">
        <v>1.0</v>
      </c>
      <c r="J426" s="139">
        <v>170.0</v>
      </c>
      <c r="K426" s="56"/>
      <c r="M426" s="56"/>
      <c r="N426" s="202"/>
    </row>
    <row r="427" ht="20.25" customHeight="1">
      <c r="A427" s="57"/>
      <c r="B427" s="57"/>
      <c r="C427" s="359"/>
      <c r="D427" s="359"/>
      <c r="E427" s="70"/>
      <c r="F427" s="57"/>
      <c r="G427" s="57"/>
      <c r="H427" s="200"/>
      <c r="I427" s="136">
        <v>2.0</v>
      </c>
      <c r="J427" s="136">
        <v>210.0</v>
      </c>
      <c r="K427" s="70"/>
      <c r="M427" s="70"/>
      <c r="N427" s="200"/>
    </row>
    <row r="428" ht="20.25" customHeight="1">
      <c r="A428" s="29"/>
      <c r="B428" s="29"/>
      <c r="C428" s="360"/>
      <c r="D428" s="360"/>
      <c r="E428" s="56"/>
      <c r="F428" s="29"/>
      <c r="G428" s="29"/>
      <c r="H428" s="202"/>
      <c r="I428" s="139">
        <v>2.0</v>
      </c>
      <c r="J428" s="139">
        <v>150.0</v>
      </c>
      <c r="K428" s="56"/>
      <c r="M428" s="56"/>
      <c r="N428" s="202"/>
    </row>
    <row r="429" ht="20.25" customHeight="1">
      <c r="A429" s="57"/>
      <c r="B429" s="57"/>
      <c r="C429" s="359"/>
      <c r="D429" s="359"/>
      <c r="E429" s="70"/>
      <c r="F429" s="57"/>
      <c r="G429" s="57"/>
      <c r="H429" s="200"/>
      <c r="I429" s="110">
        <v>2.0</v>
      </c>
      <c r="J429" s="110">
        <v>270.0</v>
      </c>
      <c r="K429" s="70"/>
      <c r="M429" s="70"/>
      <c r="N429" s="200"/>
    </row>
    <row r="430" ht="20.25" customHeight="1">
      <c r="A430" s="29"/>
      <c r="B430" s="29"/>
      <c r="C430" s="360"/>
      <c r="D430" s="360"/>
      <c r="E430" s="56"/>
      <c r="F430" s="29"/>
      <c r="G430" s="29"/>
      <c r="H430" s="202"/>
      <c r="I430" s="77">
        <v>2.0</v>
      </c>
      <c r="J430" s="77">
        <v>240.0</v>
      </c>
      <c r="K430" s="56"/>
      <c r="M430" s="56"/>
      <c r="N430" s="202"/>
    </row>
    <row r="431" ht="20.25" customHeight="1">
      <c r="A431" s="58"/>
      <c r="B431" s="58"/>
      <c r="C431" s="361"/>
      <c r="D431" s="361"/>
      <c r="E431" s="59"/>
      <c r="F431" s="58"/>
      <c r="G431" s="58"/>
      <c r="H431" s="362"/>
      <c r="I431" s="73">
        <v>2.0</v>
      </c>
      <c r="J431" s="73">
        <v>180.0</v>
      </c>
      <c r="K431" s="59"/>
      <c r="L431" s="363"/>
      <c r="M431" s="59"/>
      <c r="N431" s="362"/>
    </row>
    <row r="432" ht="20.25" customHeight="1">
      <c r="A432" s="156">
        <v>46175.0</v>
      </c>
      <c r="B432" s="246" t="s">
        <v>110</v>
      </c>
      <c r="C432" s="365">
        <v>409.0</v>
      </c>
      <c r="D432" s="357">
        <f t="array" ref="D432">IFERROR(_xlfn.XLOOKUP(C432,Code!A:A,Code!B:B),"")</f>
        <v>1</v>
      </c>
      <c r="E432" s="349" t="s">
        <v>68</v>
      </c>
      <c r="F432" s="149" t="s">
        <v>173</v>
      </c>
      <c r="G432" s="149" t="s">
        <v>17</v>
      </c>
      <c r="H432" s="208" t="s">
        <v>18</v>
      </c>
      <c r="I432" s="139">
        <v>7.0</v>
      </c>
      <c r="J432" s="139">
        <v>250.0</v>
      </c>
      <c r="K432" s="292">
        <v>4605.0</v>
      </c>
      <c r="L432" s="227">
        <v>400.0</v>
      </c>
      <c r="M432" s="358"/>
      <c r="N432" s="234">
        <f>SUM(K432:M438)</f>
        <v>5005</v>
      </c>
    </row>
    <row r="433" ht="20.25" customHeight="1">
      <c r="A433" s="57"/>
      <c r="B433" s="57"/>
      <c r="C433" s="70"/>
      <c r="D433" s="359"/>
      <c r="E433" s="70"/>
      <c r="F433" s="57"/>
      <c r="G433" s="57"/>
      <c r="H433" s="200"/>
      <c r="I433" s="136">
        <v>2.0</v>
      </c>
      <c r="J433" s="136">
        <v>190.0</v>
      </c>
      <c r="K433" s="70"/>
      <c r="M433" s="70"/>
      <c r="N433" s="200"/>
    </row>
    <row r="434" ht="20.25" customHeight="1">
      <c r="A434" s="29"/>
      <c r="B434" s="29"/>
      <c r="C434" s="56"/>
      <c r="D434" s="360"/>
      <c r="E434" s="56"/>
      <c r="F434" s="29"/>
      <c r="G434" s="29"/>
      <c r="H434" s="202"/>
      <c r="I434" s="139">
        <v>4.0</v>
      </c>
      <c r="J434" s="139">
        <v>225.0</v>
      </c>
      <c r="K434" s="56"/>
      <c r="M434" s="56"/>
      <c r="N434" s="202"/>
    </row>
    <row r="435" ht="20.25" customHeight="1">
      <c r="A435" s="57"/>
      <c r="B435" s="57"/>
      <c r="C435" s="70"/>
      <c r="D435" s="359"/>
      <c r="E435" s="70"/>
      <c r="F435" s="57"/>
      <c r="G435" s="57"/>
      <c r="H435" s="200"/>
      <c r="I435" s="136">
        <v>3.0</v>
      </c>
      <c r="J435" s="136">
        <v>150.0</v>
      </c>
      <c r="K435" s="70"/>
      <c r="M435" s="70"/>
      <c r="N435" s="200"/>
    </row>
    <row r="436" ht="20.25" customHeight="1">
      <c r="A436" s="29"/>
      <c r="B436" s="29"/>
      <c r="C436" s="56"/>
      <c r="D436" s="360"/>
      <c r="E436" s="56"/>
      <c r="F436" s="29"/>
      <c r="G436" s="29"/>
      <c r="H436" s="202"/>
      <c r="I436" s="139">
        <v>1.0</v>
      </c>
      <c r="J436" s="139">
        <v>200.0</v>
      </c>
      <c r="K436" s="56"/>
      <c r="M436" s="56"/>
      <c r="N436" s="202"/>
    </row>
    <row r="437" ht="20.25" customHeight="1">
      <c r="A437" s="57"/>
      <c r="B437" s="57"/>
      <c r="C437" s="70"/>
      <c r="D437" s="359"/>
      <c r="E437" s="70"/>
      <c r="F437" s="57"/>
      <c r="G437" s="57"/>
      <c r="H437" s="200"/>
      <c r="I437" s="110">
        <v>1.0</v>
      </c>
      <c r="J437" s="110">
        <v>325.0</v>
      </c>
      <c r="K437" s="70"/>
      <c r="M437" s="70"/>
      <c r="N437" s="200"/>
    </row>
    <row r="438" ht="20.25" customHeight="1">
      <c r="A438" s="20"/>
      <c r="B438" s="20"/>
      <c r="C438" s="38"/>
      <c r="D438" s="366"/>
      <c r="E438" s="38"/>
      <c r="F438" s="20"/>
      <c r="G438" s="20"/>
      <c r="H438" s="367"/>
      <c r="I438" s="77">
        <v>2.0</v>
      </c>
      <c r="J438" s="77">
        <v>300.0</v>
      </c>
      <c r="K438" s="38"/>
      <c r="L438" s="368"/>
      <c r="M438" s="38"/>
      <c r="N438" s="367"/>
    </row>
    <row r="439" ht="20.25" customHeight="1">
      <c r="A439" s="69">
        <v>46176.0</v>
      </c>
      <c r="B439" s="369" t="s">
        <v>110</v>
      </c>
      <c r="C439" s="345">
        <v>408.0</v>
      </c>
      <c r="D439" s="75">
        <f t="array" ref="D439">IFERROR(_xlfn.XLOOKUP(C439,Code!A:A,Code!B:B),"")</f>
        <v>1.06</v>
      </c>
      <c r="E439" s="75" t="s">
        <v>68</v>
      </c>
      <c r="F439" s="75" t="s">
        <v>175</v>
      </c>
      <c r="G439" s="75" t="s">
        <v>17</v>
      </c>
      <c r="H439" s="75" t="s">
        <v>18</v>
      </c>
      <c r="I439" s="73">
        <v>1.0</v>
      </c>
      <c r="J439" s="73">
        <v>220.0</v>
      </c>
      <c r="K439" s="370">
        <v>3330.0</v>
      </c>
      <c r="L439" s="371">
        <v>400.0</v>
      </c>
      <c r="M439" s="312"/>
      <c r="N439" s="75">
        <f>SUM(K439:M443)</f>
        <v>3730</v>
      </c>
    </row>
    <row r="440" ht="20.25" customHeight="1">
      <c r="A440" s="29"/>
      <c r="B440" s="29"/>
      <c r="C440" s="29"/>
      <c r="D440" s="29"/>
      <c r="E440" s="29"/>
      <c r="F440" s="29"/>
      <c r="G440" s="29"/>
      <c r="H440" s="29"/>
      <c r="I440" s="77">
        <v>6.0</v>
      </c>
      <c r="J440" s="77">
        <v>200.0</v>
      </c>
      <c r="K440" s="29"/>
      <c r="L440" s="314"/>
      <c r="M440" s="56"/>
      <c r="N440" s="29"/>
    </row>
    <row r="441" ht="20.25" customHeight="1">
      <c r="A441" s="57"/>
      <c r="B441" s="57"/>
      <c r="C441" s="57"/>
      <c r="D441" s="57"/>
      <c r="E441" s="57"/>
      <c r="F441" s="57"/>
      <c r="G441" s="57"/>
      <c r="H441" s="57"/>
      <c r="I441" s="73">
        <v>9.0</v>
      </c>
      <c r="J441" s="73">
        <v>150.0</v>
      </c>
      <c r="K441" s="57"/>
      <c r="L441" s="294"/>
      <c r="M441" s="70"/>
      <c r="N441" s="57"/>
    </row>
    <row r="442" ht="20.25" customHeight="1">
      <c r="A442" s="29"/>
      <c r="B442" s="29"/>
      <c r="C442" s="29"/>
      <c r="D442" s="29"/>
      <c r="E442" s="29"/>
      <c r="F442" s="29"/>
      <c r="G442" s="29"/>
      <c r="H442" s="29"/>
      <c r="I442" s="77">
        <v>2.0</v>
      </c>
      <c r="J442" s="77">
        <v>175.0</v>
      </c>
      <c r="K442" s="29"/>
      <c r="L442" s="314"/>
      <c r="M442" s="56"/>
      <c r="N442" s="29"/>
    </row>
    <row r="443" ht="20.25" customHeight="1">
      <c r="A443" s="57"/>
      <c r="B443" s="58"/>
      <c r="C443" s="58"/>
      <c r="D443" s="58"/>
      <c r="E443" s="58"/>
      <c r="F443" s="58"/>
      <c r="G443" s="58"/>
      <c r="H443" s="58"/>
      <c r="I443" s="73">
        <v>1.0</v>
      </c>
      <c r="J443" s="73">
        <v>210.0</v>
      </c>
      <c r="K443" s="58"/>
      <c r="L443" s="321"/>
      <c r="M443" s="59"/>
      <c r="N443" s="58"/>
    </row>
    <row r="444" ht="20.25" customHeight="1">
      <c r="A444" s="29"/>
      <c r="B444" s="343" t="s">
        <v>151</v>
      </c>
      <c r="C444" s="344">
        <v>402.0</v>
      </c>
      <c r="D444" s="160">
        <v>3.83</v>
      </c>
      <c r="E444" s="160" t="s">
        <v>23</v>
      </c>
      <c r="F444" s="160" t="s">
        <v>176</v>
      </c>
      <c r="G444" s="160" t="s">
        <v>17</v>
      </c>
      <c r="H444" s="77" t="s">
        <v>25</v>
      </c>
      <c r="I444" s="77">
        <v>1.0</v>
      </c>
      <c r="J444" s="77">
        <v>120.0</v>
      </c>
      <c r="K444" s="160">
        <v>1420.0</v>
      </c>
      <c r="L444" s="160">
        <v>30.0</v>
      </c>
      <c r="M444" s="160">
        <v>420.0</v>
      </c>
      <c r="N444" s="160">
        <f>SUM(K444+M444)</f>
        <v>1840</v>
      </c>
    </row>
    <row r="445" ht="20.25" customHeight="1">
      <c r="A445" s="57"/>
      <c r="B445" s="57"/>
      <c r="C445" s="372">
        <v>403.0</v>
      </c>
      <c r="D445" s="57"/>
      <c r="E445" s="57"/>
      <c r="F445" s="57"/>
      <c r="G445" s="57"/>
      <c r="H445" s="75" t="s">
        <v>18</v>
      </c>
      <c r="I445" s="75">
        <v>13.0</v>
      </c>
      <c r="J445" s="75">
        <v>100.0</v>
      </c>
      <c r="K445" s="57"/>
      <c r="L445" s="57"/>
      <c r="M445" s="57"/>
      <c r="N445" s="57"/>
    </row>
    <row r="446" ht="20.25" customHeight="1">
      <c r="A446" s="29"/>
      <c r="B446" s="29"/>
      <c r="C446" s="344">
        <v>404.0</v>
      </c>
      <c r="D446" s="29"/>
      <c r="E446" s="29"/>
      <c r="F446" s="29"/>
      <c r="G446" s="29"/>
      <c r="H446" s="29"/>
      <c r="I446" s="29"/>
      <c r="J446" s="29"/>
      <c r="K446" s="29"/>
      <c r="L446" s="29"/>
      <c r="M446" s="29"/>
      <c r="N446" s="29"/>
    </row>
    <row r="447" ht="20.25" customHeight="1">
      <c r="A447" s="57"/>
      <c r="B447" s="57"/>
      <c r="C447" s="372">
        <v>409.0</v>
      </c>
      <c r="D447" s="57"/>
      <c r="E447" s="57"/>
      <c r="F447" s="57"/>
      <c r="G447" s="57"/>
      <c r="H447" s="57"/>
      <c r="I447" s="57"/>
      <c r="J447" s="57"/>
      <c r="K447" s="57"/>
      <c r="L447" s="57"/>
      <c r="M447" s="57"/>
      <c r="N447" s="57"/>
    </row>
    <row r="448" ht="20.25" customHeight="1">
      <c r="A448" s="29"/>
      <c r="B448" s="20"/>
      <c r="C448" s="344">
        <v>410.0</v>
      </c>
      <c r="D448" s="20"/>
      <c r="E448" s="20"/>
      <c r="F448" s="20"/>
      <c r="G448" s="20"/>
      <c r="H448" s="20"/>
      <c r="I448" s="20"/>
      <c r="J448" s="20"/>
      <c r="K448" s="20"/>
      <c r="L448" s="20"/>
      <c r="M448" s="20"/>
      <c r="N448" s="20"/>
    </row>
    <row r="449" ht="20.25" customHeight="1">
      <c r="A449" s="58"/>
      <c r="B449" s="373" t="s">
        <v>102</v>
      </c>
      <c r="C449" s="372">
        <v>407.0</v>
      </c>
      <c r="D449" s="73">
        <v>0.72</v>
      </c>
      <c r="E449" s="73" t="s">
        <v>177</v>
      </c>
      <c r="F449" s="73" t="s">
        <v>178</v>
      </c>
      <c r="G449" s="73" t="s">
        <v>179</v>
      </c>
      <c r="H449" s="73" t="s">
        <v>18</v>
      </c>
      <c r="I449" s="73">
        <v>4.0</v>
      </c>
      <c r="J449" s="73">
        <v>1200.0</v>
      </c>
      <c r="K449" s="374"/>
      <c r="L449" s="324"/>
      <c r="M449" s="325"/>
      <c r="N449" s="73">
        <f>D449*J449</f>
        <v>864</v>
      </c>
    </row>
    <row r="450" ht="20.25" customHeight="1">
      <c r="A450" s="69">
        <v>46177.0</v>
      </c>
      <c r="B450" s="375" t="s">
        <v>110</v>
      </c>
      <c r="C450" s="342">
        <v>408.0</v>
      </c>
      <c r="D450" s="160">
        <f t="array" ref="D450">IFERROR(_xlfn.XLOOKUP(C450,Code!A:A,Code!B:B),"")</f>
        <v>1.06</v>
      </c>
      <c r="E450" s="75" t="s">
        <v>68</v>
      </c>
      <c r="F450" s="160" t="s">
        <v>180</v>
      </c>
      <c r="G450" s="160" t="s">
        <v>17</v>
      </c>
      <c r="H450" s="160" t="s">
        <v>18</v>
      </c>
      <c r="I450" s="77">
        <v>1.0</v>
      </c>
      <c r="J450" s="77">
        <v>220.0</v>
      </c>
      <c r="K450" s="370">
        <v>3510.0</v>
      </c>
      <c r="L450" s="371">
        <v>400.0</v>
      </c>
      <c r="M450" s="307"/>
      <c r="N450" s="75">
        <f>SUM(K450:M454)</f>
        <v>3910</v>
      </c>
    </row>
    <row r="451" ht="20.25" customHeight="1">
      <c r="A451" s="57"/>
      <c r="B451" s="57"/>
      <c r="D451" s="57"/>
      <c r="E451" s="57"/>
      <c r="F451" s="57"/>
      <c r="G451" s="57"/>
      <c r="H451" s="57"/>
      <c r="I451" s="73">
        <v>7.0</v>
      </c>
      <c r="J451" s="73">
        <v>200.0</v>
      </c>
      <c r="K451" s="57"/>
      <c r="L451" s="294"/>
      <c r="M451" s="70"/>
      <c r="N451" s="57"/>
    </row>
    <row r="452" ht="20.25" customHeight="1">
      <c r="A452" s="29"/>
      <c r="B452" s="29"/>
      <c r="C452" s="380">
        <v>406.0</v>
      </c>
      <c r="D452" s="29"/>
      <c r="E452" s="29"/>
      <c r="F452" s="29"/>
      <c r="G452" s="29"/>
      <c r="H452" s="29"/>
      <c r="I452" s="77">
        <v>8.0</v>
      </c>
      <c r="J452" s="77">
        <v>150.0</v>
      </c>
      <c r="K452" s="29"/>
      <c r="L452" s="314"/>
      <c r="M452" s="56"/>
      <c r="N452" s="29"/>
    </row>
    <row r="453" ht="20.25" customHeight="1">
      <c r="A453" s="57"/>
      <c r="B453" s="57"/>
      <c r="C453" s="70"/>
      <c r="D453" s="57"/>
      <c r="E453" s="57"/>
      <c r="F453" s="57"/>
      <c r="G453" s="57"/>
      <c r="H453" s="57"/>
      <c r="I453" s="73">
        <v>1.0</v>
      </c>
      <c r="J453" s="73">
        <v>180.0</v>
      </c>
      <c r="K453" s="57"/>
      <c r="L453" s="294"/>
      <c r="M453" s="70"/>
      <c r="N453" s="57"/>
    </row>
    <row r="454" ht="20.25" customHeight="1">
      <c r="A454" s="29"/>
      <c r="B454" s="29"/>
      <c r="C454" s="56"/>
      <c r="D454" s="29"/>
      <c r="E454" s="29"/>
      <c r="F454" s="29"/>
      <c r="G454" s="29"/>
      <c r="H454" s="29"/>
      <c r="I454" s="77">
        <v>2.0</v>
      </c>
      <c r="J454" s="77">
        <v>210.0</v>
      </c>
      <c r="K454" s="29"/>
      <c r="L454" s="314"/>
      <c r="M454" s="56"/>
      <c r="N454" s="29"/>
    </row>
    <row r="455" ht="20.25" customHeight="1">
      <c r="A455" s="57"/>
      <c r="B455" s="58"/>
      <c r="C455" s="59"/>
      <c r="D455" s="58"/>
      <c r="E455" s="58"/>
      <c r="F455" s="58"/>
      <c r="G455" s="58"/>
      <c r="H455" s="58"/>
      <c r="I455" s="73">
        <v>1.0</v>
      </c>
      <c r="J455" s="73">
        <v>90.0</v>
      </c>
      <c r="K455" s="58"/>
      <c r="L455" s="321"/>
      <c r="M455" s="59"/>
      <c r="N455" s="58"/>
    </row>
    <row r="456" ht="20.25" customHeight="1">
      <c r="A456" s="29"/>
      <c r="B456" s="343" t="s">
        <v>22</v>
      </c>
      <c r="C456" s="344">
        <v>402.0</v>
      </c>
      <c r="D456" s="160">
        <v>1.49</v>
      </c>
      <c r="E456" s="160" t="s">
        <v>23</v>
      </c>
      <c r="F456" s="160" t="s">
        <v>181</v>
      </c>
      <c r="G456" s="160" t="s">
        <v>17</v>
      </c>
      <c r="H456" s="77" t="s">
        <v>25</v>
      </c>
      <c r="I456" s="77">
        <v>1.0</v>
      </c>
      <c r="J456" s="77">
        <v>120.0</v>
      </c>
      <c r="K456" s="160">
        <f>J456+I457*J457</f>
        <v>1420</v>
      </c>
      <c r="L456" s="160">
        <v>30.0</v>
      </c>
      <c r="M456" s="160">
        <v>420.0</v>
      </c>
      <c r="N456" s="160">
        <f>SUM(K456+M456)</f>
        <v>1840</v>
      </c>
    </row>
    <row r="457" ht="20.25" customHeight="1">
      <c r="A457" s="57"/>
      <c r="B457" s="58"/>
      <c r="C457" s="372">
        <v>403.0</v>
      </c>
      <c r="D457" s="58"/>
      <c r="E457" s="58"/>
      <c r="F457" s="58"/>
      <c r="G457" s="58"/>
      <c r="H457" s="73" t="s">
        <v>18</v>
      </c>
      <c r="I457" s="73">
        <v>13.0</v>
      </c>
      <c r="J457" s="73">
        <v>100.0</v>
      </c>
      <c r="K457" s="58"/>
      <c r="L457" s="58"/>
      <c r="M457" s="58"/>
      <c r="N457" s="58"/>
    </row>
    <row r="458" ht="20.25" customHeight="1">
      <c r="A458" s="29"/>
      <c r="B458" s="375" t="s">
        <v>102</v>
      </c>
      <c r="C458" s="388">
        <v>422.0</v>
      </c>
      <c r="D458" s="160">
        <f t="array" ref="D458">IFERROR(_xlfn.XLOOKUP(C458,Code!A:A,Code!B:B),"")</f>
        <v>1.24</v>
      </c>
      <c r="E458" s="160" t="s">
        <v>41</v>
      </c>
      <c r="F458" s="160" t="s">
        <v>182</v>
      </c>
      <c r="G458" s="160" t="s">
        <v>179</v>
      </c>
      <c r="H458" s="77" t="s">
        <v>25</v>
      </c>
      <c r="I458" s="77">
        <v>1.0</v>
      </c>
      <c r="J458" s="160">
        <v>1300.0</v>
      </c>
      <c r="K458" s="389">
        <v>400.0</v>
      </c>
      <c r="L458" s="390"/>
      <c r="M458" s="307"/>
      <c r="N458" s="160">
        <f>J458*D458+K458</f>
        <v>2012</v>
      </c>
    </row>
    <row r="459" ht="20.25" customHeight="1">
      <c r="A459" s="58"/>
      <c r="B459" s="58"/>
      <c r="C459" s="58"/>
      <c r="D459" s="58"/>
      <c r="E459" s="58"/>
      <c r="F459" s="58"/>
      <c r="G459" s="58"/>
      <c r="H459" s="73" t="s">
        <v>18</v>
      </c>
      <c r="I459" s="73">
        <v>10.0</v>
      </c>
      <c r="J459" s="58"/>
      <c r="K459" s="321"/>
      <c r="L459" s="363"/>
      <c r="M459" s="59"/>
      <c r="N459" s="58"/>
    </row>
    <row r="460" ht="20.25" customHeight="1">
      <c r="A460" s="69">
        <v>46178.0</v>
      </c>
      <c r="B460" s="375" t="s">
        <v>110</v>
      </c>
      <c r="C460" s="342">
        <v>406.0</v>
      </c>
      <c r="D460" s="160">
        <f t="array" ref="D460">IFERROR(_xlfn.XLOOKUP(C460,Code!A:A,Code!B:B),"")</f>
        <v>1.1</v>
      </c>
      <c r="E460" s="75" t="s">
        <v>68</v>
      </c>
      <c r="F460" s="160" t="s">
        <v>183</v>
      </c>
      <c r="G460" s="160" t="s">
        <v>17</v>
      </c>
      <c r="H460" s="160" t="s">
        <v>18</v>
      </c>
      <c r="I460" s="77">
        <v>1.0</v>
      </c>
      <c r="J460" s="77">
        <v>220.0</v>
      </c>
      <c r="K460" s="370">
        <v>3410.0</v>
      </c>
      <c r="L460" s="371">
        <v>400.0</v>
      </c>
      <c r="M460" s="307"/>
      <c r="N460" s="75">
        <f>SUM(K460:M464)</f>
        <v>3810</v>
      </c>
    </row>
    <row r="461" ht="20.25" customHeight="1">
      <c r="A461" s="57"/>
      <c r="B461" s="57"/>
      <c r="D461" s="57"/>
      <c r="E461" s="57"/>
      <c r="F461" s="57"/>
      <c r="G461" s="57"/>
      <c r="H461" s="57"/>
      <c r="I461" s="73">
        <v>6.0</v>
      </c>
      <c r="J461" s="73">
        <v>200.0</v>
      </c>
      <c r="K461" s="57"/>
      <c r="L461" s="294"/>
      <c r="M461" s="70"/>
      <c r="N461" s="57"/>
    </row>
    <row r="462" ht="20.25" customHeight="1">
      <c r="A462" s="29"/>
      <c r="B462" s="29"/>
      <c r="D462" s="29"/>
      <c r="E462" s="29"/>
      <c r="F462" s="29"/>
      <c r="G462" s="29"/>
      <c r="H462" s="29"/>
      <c r="I462" s="77">
        <v>1.0</v>
      </c>
      <c r="J462" s="77">
        <v>210.0</v>
      </c>
      <c r="K462" s="29"/>
      <c r="L462" s="314"/>
      <c r="M462" s="56"/>
      <c r="N462" s="29"/>
    </row>
    <row r="463" ht="20.25" customHeight="1">
      <c r="A463" s="57"/>
      <c r="B463" s="57"/>
      <c r="D463" s="57"/>
      <c r="E463" s="57"/>
      <c r="F463" s="57"/>
      <c r="G463" s="57"/>
      <c r="H463" s="57"/>
      <c r="I463" s="73">
        <v>7.0</v>
      </c>
      <c r="J463" s="73">
        <v>150.0</v>
      </c>
      <c r="K463" s="57"/>
      <c r="L463" s="294"/>
      <c r="M463" s="70"/>
      <c r="N463" s="57"/>
    </row>
    <row r="464" ht="20.25" customHeight="1">
      <c r="A464" s="29"/>
      <c r="B464" s="29"/>
      <c r="D464" s="29"/>
      <c r="E464" s="29"/>
      <c r="F464" s="29"/>
      <c r="G464" s="29"/>
      <c r="H464" s="29"/>
      <c r="I464" s="77">
        <v>3.0</v>
      </c>
      <c r="J464" s="77">
        <v>180.0</v>
      </c>
      <c r="K464" s="29"/>
      <c r="L464" s="314"/>
      <c r="M464" s="56"/>
      <c r="N464" s="29"/>
    </row>
    <row r="465" ht="20.25" customHeight="1">
      <c r="A465" s="57"/>
      <c r="B465" s="58"/>
      <c r="D465" s="58"/>
      <c r="E465" s="58"/>
      <c r="F465" s="58"/>
      <c r="G465" s="58"/>
      <c r="H465" s="58"/>
      <c r="I465" s="73">
        <v>1.0</v>
      </c>
      <c r="J465" s="73">
        <v>190.0</v>
      </c>
      <c r="K465" s="58"/>
      <c r="L465" s="321"/>
      <c r="M465" s="59"/>
      <c r="N465" s="58"/>
    </row>
    <row r="466" ht="20.25" customHeight="1">
      <c r="A466" s="29"/>
      <c r="B466" s="343" t="s">
        <v>22</v>
      </c>
      <c r="C466" s="344">
        <v>404.0</v>
      </c>
      <c r="D466" s="160">
        <v>1.34</v>
      </c>
      <c r="E466" s="160" t="s">
        <v>23</v>
      </c>
      <c r="F466" s="160" t="s">
        <v>184</v>
      </c>
      <c r="G466" s="160" t="s">
        <v>17</v>
      </c>
      <c r="H466" s="77" t="s">
        <v>25</v>
      </c>
      <c r="I466" s="77">
        <v>1.0</v>
      </c>
      <c r="J466" s="77">
        <v>120.0</v>
      </c>
      <c r="K466" s="160">
        <f>J466+J467*I467</f>
        <v>1020</v>
      </c>
      <c r="L466" s="160">
        <v>30.0</v>
      </c>
      <c r="M466" s="160">
        <f>L466*(I466+I467)</f>
        <v>300</v>
      </c>
      <c r="N466" s="160">
        <f>SUM(K466+M466)</f>
        <v>1320</v>
      </c>
    </row>
    <row r="467" ht="20.25" customHeight="1">
      <c r="A467" s="57"/>
      <c r="B467" s="58"/>
      <c r="C467" s="372">
        <v>410.0</v>
      </c>
      <c r="D467" s="58"/>
      <c r="E467" s="58"/>
      <c r="F467" s="58"/>
      <c r="G467" s="58"/>
      <c r="H467" s="73" t="s">
        <v>18</v>
      </c>
      <c r="I467" s="73">
        <v>9.0</v>
      </c>
      <c r="J467" s="73">
        <v>100.0</v>
      </c>
      <c r="K467" s="58"/>
      <c r="L467" s="58"/>
      <c r="M467" s="58"/>
      <c r="N467" s="58"/>
    </row>
    <row r="468" ht="20.25" customHeight="1">
      <c r="A468" s="29"/>
      <c r="B468" s="375" t="s">
        <v>102</v>
      </c>
      <c r="C468" s="388">
        <v>423.0</v>
      </c>
      <c r="D468" s="160">
        <v>1.96</v>
      </c>
      <c r="E468" s="160" t="s">
        <v>41</v>
      </c>
      <c r="F468" s="160" t="s">
        <v>185</v>
      </c>
      <c r="G468" s="160" t="s">
        <v>179</v>
      </c>
      <c r="H468" s="77" t="s">
        <v>25</v>
      </c>
      <c r="I468" s="77">
        <v>1.0</v>
      </c>
      <c r="J468" s="160">
        <v>1300.0</v>
      </c>
      <c r="K468" s="389">
        <v>400.0</v>
      </c>
      <c r="L468" s="390"/>
      <c r="M468" s="307"/>
      <c r="N468" s="160">
        <f>J468*D468+K468</f>
        <v>2948</v>
      </c>
    </row>
    <row r="469" ht="20.25" customHeight="1">
      <c r="A469" s="57"/>
      <c r="B469" s="58"/>
      <c r="C469" s="395">
        <v>424.0</v>
      </c>
      <c r="D469" s="58"/>
      <c r="E469" s="58"/>
      <c r="F469" s="58"/>
      <c r="G469" s="58"/>
      <c r="H469" s="73" t="s">
        <v>18</v>
      </c>
      <c r="I469" s="73">
        <v>9.0</v>
      </c>
      <c r="J469" s="58"/>
      <c r="K469" s="321"/>
      <c r="L469" s="363"/>
      <c r="M469" s="59"/>
      <c r="N469" s="58"/>
    </row>
    <row r="470" ht="20.25" customHeight="1">
      <c r="A470" s="20"/>
      <c r="B470" s="396" t="s">
        <v>102</v>
      </c>
      <c r="C470" s="344">
        <v>420.0</v>
      </c>
      <c r="D470" s="77">
        <f t="array" ref="D470">IFERROR(_xlfn.XLOOKUP(C470,Code!A:A,Code!B:B),"")</f>
        <v>1.41</v>
      </c>
      <c r="E470" s="77" t="s">
        <v>177</v>
      </c>
      <c r="F470" s="77" t="s">
        <v>178</v>
      </c>
      <c r="G470" s="77" t="s">
        <v>179</v>
      </c>
      <c r="H470" s="77" t="s">
        <v>18</v>
      </c>
      <c r="I470" s="77">
        <v>4.0</v>
      </c>
      <c r="J470" s="397">
        <v>1065.0</v>
      </c>
      <c r="K470" s="398"/>
      <c r="L470" s="316"/>
      <c r="M470" s="317"/>
      <c r="N470" s="77">
        <v>1500.0</v>
      </c>
    </row>
    <row r="471" ht="20.25" customHeight="1">
      <c r="A471" s="69">
        <v>46179.0</v>
      </c>
      <c r="B471" s="369" t="s">
        <v>110</v>
      </c>
      <c r="C471" s="341">
        <v>407.0</v>
      </c>
      <c r="D471" s="75">
        <f t="array" ref="D471">IFERROR(_xlfn.XLOOKUP(C471,Code!A:A,Code!B:B),"")</f>
        <v>0.72</v>
      </c>
      <c r="E471" s="75" t="s">
        <v>68</v>
      </c>
      <c r="F471" s="75" t="s">
        <v>186</v>
      </c>
      <c r="G471" s="75" t="s">
        <v>17</v>
      </c>
      <c r="H471" s="75" t="s">
        <v>18</v>
      </c>
      <c r="I471" s="73">
        <v>1.0</v>
      </c>
      <c r="J471" s="73">
        <v>220.0</v>
      </c>
      <c r="K471" s="370">
        <v>4280.0</v>
      </c>
      <c r="L471" s="371">
        <v>400.0</v>
      </c>
      <c r="M471" s="312"/>
      <c r="N471" s="75">
        <f>SUM(K471:M475)</f>
        <v>4680</v>
      </c>
    </row>
    <row r="472" ht="20.25" customHeight="1">
      <c r="A472" s="29"/>
      <c r="B472" s="29"/>
      <c r="D472" s="29"/>
      <c r="E472" s="29"/>
      <c r="F472" s="29"/>
      <c r="G472" s="29"/>
      <c r="H472" s="29"/>
      <c r="I472" s="77">
        <v>5.0</v>
      </c>
      <c r="J472" s="77">
        <v>200.0</v>
      </c>
      <c r="K472" s="29"/>
      <c r="L472" s="314"/>
      <c r="M472" s="56"/>
      <c r="N472" s="29"/>
    </row>
    <row r="473" ht="20.25" customHeight="1">
      <c r="A473" s="57"/>
      <c r="B473" s="57"/>
      <c r="D473" s="57"/>
      <c r="E473" s="57"/>
      <c r="F473" s="57"/>
      <c r="G473" s="57"/>
      <c r="H473" s="57"/>
      <c r="I473" s="73">
        <v>5.0</v>
      </c>
      <c r="J473" s="73">
        <v>180.0</v>
      </c>
      <c r="K473" s="57"/>
      <c r="L473" s="294"/>
      <c r="M473" s="70"/>
      <c r="N473" s="57"/>
    </row>
    <row r="474" ht="20.25" customHeight="1">
      <c r="A474" s="29"/>
      <c r="B474" s="29"/>
      <c r="D474" s="29"/>
      <c r="E474" s="29"/>
      <c r="F474" s="29"/>
      <c r="G474" s="29"/>
      <c r="H474" s="29"/>
      <c r="I474" s="77">
        <v>1.0</v>
      </c>
      <c r="J474" s="77">
        <v>150.0</v>
      </c>
      <c r="K474" s="29"/>
      <c r="L474" s="314"/>
      <c r="M474" s="56"/>
      <c r="N474" s="29"/>
    </row>
    <row r="475" ht="20.25" customHeight="1">
      <c r="A475" s="57"/>
      <c r="B475" s="57"/>
      <c r="D475" s="57"/>
      <c r="E475" s="57"/>
      <c r="F475" s="57"/>
      <c r="G475" s="57"/>
      <c r="H475" s="57"/>
      <c r="I475" s="73">
        <v>2.0</v>
      </c>
      <c r="J475" s="73">
        <v>300.0</v>
      </c>
      <c r="K475" s="57"/>
      <c r="L475" s="294"/>
      <c r="M475" s="70"/>
      <c r="N475" s="57"/>
    </row>
    <row r="476" ht="20.25" customHeight="1">
      <c r="A476" s="29"/>
      <c r="B476" s="29"/>
      <c r="D476" s="29"/>
      <c r="E476" s="29"/>
      <c r="F476" s="29"/>
      <c r="G476" s="29"/>
      <c r="H476" s="29"/>
      <c r="I476" s="77">
        <v>1.0</v>
      </c>
      <c r="J476" s="77">
        <v>210.0</v>
      </c>
      <c r="K476" s="29"/>
      <c r="L476" s="314"/>
      <c r="M476" s="56"/>
      <c r="N476" s="29"/>
    </row>
    <row r="477" ht="20.25" customHeight="1">
      <c r="A477" s="57"/>
      <c r="B477" s="58"/>
      <c r="D477" s="58"/>
      <c r="E477" s="58"/>
      <c r="F477" s="58"/>
      <c r="G477" s="58"/>
      <c r="H477" s="58"/>
      <c r="I477" s="73">
        <v>5.0</v>
      </c>
      <c r="J477" s="73">
        <v>240.0</v>
      </c>
      <c r="K477" s="58"/>
      <c r="L477" s="321"/>
      <c r="M477" s="59"/>
      <c r="N477" s="58"/>
    </row>
    <row r="478" ht="20.25" customHeight="1">
      <c r="A478" s="29"/>
      <c r="B478" s="343" t="s">
        <v>22</v>
      </c>
      <c r="C478" s="344">
        <v>410.0</v>
      </c>
      <c r="D478" s="160">
        <v>2.73</v>
      </c>
      <c r="E478" s="160" t="s">
        <v>41</v>
      </c>
      <c r="F478" s="160" t="s">
        <v>187</v>
      </c>
      <c r="G478" s="160" t="s">
        <v>17</v>
      </c>
      <c r="H478" s="77" t="s">
        <v>25</v>
      </c>
      <c r="I478" s="77">
        <v>1.0</v>
      </c>
      <c r="J478" s="77">
        <v>120.0</v>
      </c>
      <c r="K478" s="160">
        <f>J478+I479*J479</f>
        <v>1820</v>
      </c>
      <c r="L478" s="160">
        <v>25.0</v>
      </c>
      <c r="M478" s="160">
        <f>L478*(I479+I478)</f>
        <v>450</v>
      </c>
      <c r="N478" s="160">
        <f>M478+K478</f>
        <v>2270</v>
      </c>
    </row>
    <row r="479" ht="20.25" customHeight="1">
      <c r="A479" s="57"/>
      <c r="B479" s="57"/>
      <c r="C479" s="372">
        <v>409.0</v>
      </c>
      <c r="D479" s="57"/>
      <c r="E479" s="57"/>
      <c r="F479" s="57"/>
      <c r="G479" s="57"/>
      <c r="H479" s="75" t="s">
        <v>18</v>
      </c>
      <c r="I479" s="75">
        <v>17.0</v>
      </c>
      <c r="J479" s="75">
        <v>100.0</v>
      </c>
      <c r="K479" s="57"/>
      <c r="L479" s="57"/>
      <c r="M479" s="57"/>
      <c r="N479" s="57"/>
    </row>
    <row r="480" ht="20.25" customHeight="1">
      <c r="A480" s="29"/>
      <c r="B480" s="20"/>
      <c r="C480" s="344">
        <v>408.0</v>
      </c>
      <c r="D480" s="20"/>
      <c r="E480" s="20"/>
      <c r="F480" s="20"/>
      <c r="G480" s="20"/>
      <c r="H480" s="20"/>
      <c r="I480" s="20"/>
      <c r="J480" s="20"/>
      <c r="K480" s="20"/>
      <c r="L480" s="20"/>
      <c r="M480" s="20"/>
      <c r="N480" s="20"/>
    </row>
    <row r="481" ht="20.25" customHeight="1">
      <c r="A481" s="57"/>
      <c r="B481" s="369" t="s">
        <v>102</v>
      </c>
      <c r="C481" s="345">
        <v>419.0</v>
      </c>
      <c r="D481" s="75">
        <v>3.08</v>
      </c>
      <c r="E481" s="75" t="s">
        <v>41</v>
      </c>
      <c r="F481" s="75" t="s">
        <v>188</v>
      </c>
      <c r="G481" s="75" t="s">
        <v>179</v>
      </c>
      <c r="H481" s="73" t="s">
        <v>25</v>
      </c>
      <c r="I481" s="73">
        <v>1.0</v>
      </c>
      <c r="J481" s="75">
        <v>1300.0</v>
      </c>
      <c r="K481" s="399">
        <v>400.0</v>
      </c>
      <c r="L481" s="400"/>
      <c r="M481" s="312"/>
      <c r="N481" s="75">
        <f>J481*D481+K481</f>
        <v>4404</v>
      </c>
    </row>
    <row r="482" ht="20.25" customHeight="1">
      <c r="A482" s="29"/>
      <c r="B482" s="29"/>
      <c r="C482" s="401">
        <v>418.0</v>
      </c>
      <c r="D482" s="29"/>
      <c r="E482" s="29"/>
      <c r="F482" s="29"/>
      <c r="G482" s="29"/>
      <c r="H482" s="160" t="s">
        <v>18</v>
      </c>
      <c r="I482" s="160">
        <v>13.0</v>
      </c>
      <c r="J482" s="29"/>
      <c r="K482" s="314"/>
      <c r="M482" s="56"/>
      <c r="N482" s="29"/>
    </row>
    <row r="483" ht="20.25" customHeight="1">
      <c r="A483" s="58"/>
      <c r="B483" s="58"/>
      <c r="C483" s="395">
        <v>415.0</v>
      </c>
      <c r="D483" s="58"/>
      <c r="E483" s="58"/>
      <c r="F483" s="58"/>
      <c r="G483" s="58"/>
      <c r="H483" s="58"/>
      <c r="I483" s="58"/>
      <c r="J483" s="58"/>
      <c r="K483" s="321"/>
      <c r="L483" s="363"/>
      <c r="M483" s="59"/>
      <c r="N483" s="58"/>
    </row>
    <row r="484" ht="20.25" customHeight="1">
      <c r="A484" s="69">
        <v>46180.0</v>
      </c>
      <c r="B484" s="375" t="s">
        <v>110</v>
      </c>
      <c r="C484" s="342">
        <v>406.0</v>
      </c>
      <c r="D484" s="160">
        <f t="array" ref="D484">IFERROR(_xlfn.XLOOKUP(C484,Code!A:A,Code!B:B),"")</f>
        <v>1.1</v>
      </c>
      <c r="E484" s="75" t="s">
        <v>68</v>
      </c>
      <c r="F484" s="160" t="s">
        <v>189</v>
      </c>
      <c r="G484" s="160" t="s">
        <v>17</v>
      </c>
      <c r="H484" s="160" t="s">
        <v>18</v>
      </c>
      <c r="I484" s="77">
        <v>5.0</v>
      </c>
      <c r="J484" s="77">
        <v>180.0</v>
      </c>
      <c r="K484" s="370">
        <v>1500.0</v>
      </c>
      <c r="L484" s="371">
        <v>400.0</v>
      </c>
      <c r="M484" s="307"/>
      <c r="N484" s="75">
        <f>SUM(K484:M486)</f>
        <v>1900</v>
      </c>
    </row>
    <row r="485" ht="20.25" customHeight="1">
      <c r="A485" s="57"/>
      <c r="B485" s="57"/>
      <c r="D485" s="57"/>
      <c r="E485" s="57"/>
      <c r="F485" s="57"/>
      <c r="G485" s="57"/>
      <c r="H485" s="57"/>
      <c r="I485" s="73">
        <v>1.0</v>
      </c>
      <c r="J485" s="73">
        <v>300.0</v>
      </c>
      <c r="K485" s="57"/>
      <c r="L485" s="294"/>
      <c r="M485" s="70"/>
      <c r="N485" s="57"/>
    </row>
    <row r="486" ht="20.25" customHeight="1">
      <c r="A486" s="29"/>
      <c r="B486" s="20"/>
      <c r="D486" s="20"/>
      <c r="E486" s="20"/>
      <c r="F486" s="20"/>
      <c r="G486" s="20"/>
      <c r="H486" s="20"/>
      <c r="I486" s="77">
        <v>2.0</v>
      </c>
      <c r="J486" s="77">
        <v>150.0</v>
      </c>
      <c r="K486" s="20"/>
      <c r="L486" s="311"/>
      <c r="M486" s="38"/>
      <c r="N486" s="20"/>
    </row>
    <row r="487" ht="20.25" customHeight="1">
      <c r="A487" s="57"/>
      <c r="B487" s="97" t="s">
        <v>22</v>
      </c>
      <c r="C487" s="372">
        <v>401.0</v>
      </c>
      <c r="D487" s="75">
        <v>2.32</v>
      </c>
      <c r="E487" s="75" t="s">
        <v>41</v>
      </c>
      <c r="F487" s="75" t="s">
        <v>190</v>
      </c>
      <c r="G487" s="75" t="s">
        <v>17</v>
      </c>
      <c r="H487" s="73" t="s">
        <v>25</v>
      </c>
      <c r="I487" s="73">
        <v>1.0</v>
      </c>
      <c r="J487" s="73">
        <v>120.0</v>
      </c>
      <c r="K487" s="160">
        <f>J487+I488*J488</f>
        <v>1720</v>
      </c>
      <c r="L487" s="75">
        <v>25.0</v>
      </c>
      <c r="M487" s="75">
        <f>L487*(I488+I487)</f>
        <v>425</v>
      </c>
      <c r="N487" s="75">
        <f>M487+K487</f>
        <v>2145</v>
      </c>
    </row>
    <row r="488" ht="20.25" customHeight="1">
      <c r="A488" s="29"/>
      <c r="B488" s="29"/>
      <c r="C488" s="344">
        <v>402.0</v>
      </c>
      <c r="D488" s="29"/>
      <c r="E488" s="29"/>
      <c r="F488" s="29"/>
      <c r="G488" s="29"/>
      <c r="H488" s="160" t="s">
        <v>18</v>
      </c>
      <c r="I488" s="160">
        <v>16.0</v>
      </c>
      <c r="J488" s="160">
        <v>100.0</v>
      </c>
      <c r="K488" s="29"/>
      <c r="L488" s="29"/>
      <c r="M488" s="29"/>
      <c r="N488" s="29"/>
    </row>
    <row r="489" ht="20.25" customHeight="1">
      <c r="A489" s="57"/>
      <c r="B489" s="58"/>
      <c r="C489" s="372">
        <v>403.0</v>
      </c>
      <c r="D489" s="58"/>
      <c r="E489" s="58"/>
      <c r="F489" s="58"/>
      <c r="G489" s="58"/>
      <c r="H489" s="58"/>
      <c r="I489" s="58"/>
      <c r="J489" s="58"/>
      <c r="K489" s="58"/>
      <c r="L489" s="58"/>
      <c r="M489" s="58"/>
      <c r="N489" s="58"/>
    </row>
    <row r="490" ht="20.25" customHeight="1">
      <c r="A490" s="29"/>
      <c r="B490" s="375" t="s">
        <v>102</v>
      </c>
      <c r="C490" s="342">
        <v>416.0</v>
      </c>
      <c r="D490" s="160">
        <v>2.87</v>
      </c>
      <c r="E490" s="160" t="s">
        <v>41</v>
      </c>
      <c r="F490" s="160" t="s">
        <v>191</v>
      </c>
      <c r="G490" s="160" t="s">
        <v>179</v>
      </c>
      <c r="H490" s="77" t="s">
        <v>25</v>
      </c>
      <c r="I490" s="77">
        <v>1.0</v>
      </c>
      <c r="J490" s="160">
        <v>1300.0</v>
      </c>
      <c r="K490" s="389">
        <v>400.0</v>
      </c>
      <c r="L490" s="390"/>
      <c r="M490" s="307"/>
      <c r="N490" s="160">
        <f>J490*D490+K490</f>
        <v>4131</v>
      </c>
    </row>
    <row r="491" ht="20.25" customHeight="1">
      <c r="A491" s="57"/>
      <c r="B491" s="57"/>
      <c r="C491" s="341">
        <v>414.0</v>
      </c>
      <c r="D491" s="57"/>
      <c r="E491" s="57"/>
      <c r="F491" s="57"/>
      <c r="G491" s="57"/>
      <c r="H491" s="75" t="s">
        <v>18</v>
      </c>
      <c r="I491" s="75">
        <v>12.0</v>
      </c>
      <c r="J491" s="57"/>
      <c r="K491" s="294"/>
      <c r="M491" s="70"/>
      <c r="N491" s="57"/>
    </row>
    <row r="492" ht="20.25" customHeight="1">
      <c r="A492" s="29"/>
      <c r="B492" s="20"/>
      <c r="C492" s="342">
        <v>413.0</v>
      </c>
      <c r="D492" s="20"/>
      <c r="E492" s="20"/>
      <c r="F492" s="20"/>
      <c r="G492" s="20"/>
      <c r="H492" s="20"/>
      <c r="I492" s="20"/>
      <c r="J492" s="20"/>
      <c r="K492" s="311"/>
      <c r="L492" s="368"/>
      <c r="M492" s="38"/>
      <c r="N492" s="20"/>
    </row>
    <row r="493" ht="20.25" customHeight="1">
      <c r="A493" s="58"/>
      <c r="B493" s="373" t="s">
        <v>102</v>
      </c>
      <c r="C493" s="372">
        <v>417.0</v>
      </c>
      <c r="D493" s="73">
        <f t="array" ref="D493">IFERROR(_xlfn.XLOOKUP(C493,Code!A:A,Code!B:B),"")</f>
        <v>1.67</v>
      </c>
      <c r="E493" s="73" t="s">
        <v>177</v>
      </c>
      <c r="F493" s="73" t="s">
        <v>178</v>
      </c>
      <c r="G493" s="73" t="s">
        <v>179</v>
      </c>
      <c r="H493" s="73" t="s">
        <v>18</v>
      </c>
      <c r="I493" s="73">
        <v>3.0</v>
      </c>
      <c r="J493" s="73">
        <v>1100.0</v>
      </c>
      <c r="K493" s="374"/>
      <c r="L493" s="324"/>
      <c r="M493" s="325"/>
      <c r="N493" s="73">
        <f>J493*D493</f>
        <v>1837</v>
      </c>
    </row>
    <row r="494" ht="20.25" customHeight="1">
      <c r="A494" s="69">
        <v>46181.0</v>
      </c>
      <c r="B494" s="375" t="s">
        <v>110</v>
      </c>
      <c r="C494" s="388">
        <v>420.0</v>
      </c>
      <c r="D494" s="160">
        <f t="array" ref="D494">IFERROR(_xlfn.XLOOKUP(C494,Code!A:A,Code!B:B),"")</f>
        <v>1.41</v>
      </c>
      <c r="E494" s="75" t="s">
        <v>68</v>
      </c>
      <c r="F494" s="160" t="s">
        <v>192</v>
      </c>
      <c r="G494" s="160" t="s">
        <v>17</v>
      </c>
      <c r="H494" s="160" t="s">
        <v>18</v>
      </c>
      <c r="I494" s="77">
        <v>1.0</v>
      </c>
      <c r="J494" s="77">
        <v>220.0</v>
      </c>
      <c r="K494" s="370">
        <v>3370.0</v>
      </c>
      <c r="L494" s="371">
        <v>400.0</v>
      </c>
      <c r="M494" s="307"/>
      <c r="N494" s="75">
        <f>SUM(K494:M496)</f>
        <v>3770</v>
      </c>
    </row>
    <row r="495" ht="20.25" customHeight="1">
      <c r="A495" s="57"/>
      <c r="B495" s="57"/>
      <c r="C495" s="57"/>
      <c r="D495" s="57"/>
      <c r="E495" s="57"/>
      <c r="F495" s="57"/>
      <c r="G495" s="57"/>
      <c r="H495" s="57"/>
      <c r="I495" s="73">
        <v>6.0</v>
      </c>
      <c r="J495" s="73">
        <v>200.0</v>
      </c>
      <c r="K495" s="57"/>
      <c r="L495" s="294"/>
      <c r="M495" s="70"/>
      <c r="N495" s="57"/>
    </row>
    <row r="496" ht="20.25" customHeight="1">
      <c r="A496" s="29"/>
      <c r="B496" s="20"/>
      <c r="C496" s="20"/>
      <c r="D496" s="20"/>
      <c r="E496" s="20"/>
      <c r="F496" s="20"/>
      <c r="G496" s="20"/>
      <c r="H496" s="20"/>
      <c r="I496" s="77">
        <v>13.0</v>
      </c>
      <c r="J496" s="77">
        <v>150.0</v>
      </c>
      <c r="K496" s="20"/>
      <c r="L496" s="311"/>
      <c r="M496" s="38"/>
      <c r="N496" s="20"/>
    </row>
    <row r="497" ht="20.25" customHeight="1">
      <c r="A497" s="57"/>
      <c r="B497" s="97" t="s">
        <v>22</v>
      </c>
      <c r="C497" s="341">
        <v>404.0</v>
      </c>
      <c r="D497" s="75">
        <v>3.67</v>
      </c>
      <c r="E497" s="75" t="s">
        <v>41</v>
      </c>
      <c r="F497" s="75" t="s">
        <v>193</v>
      </c>
      <c r="G497" s="75" t="s">
        <v>17</v>
      </c>
      <c r="H497" s="73" t="s">
        <v>25</v>
      </c>
      <c r="I497" s="73">
        <v>1.0</v>
      </c>
      <c r="J497" s="73">
        <v>120.0</v>
      </c>
      <c r="K497" s="160">
        <f>J497+I498*J498</f>
        <v>2120</v>
      </c>
      <c r="L497" s="75">
        <v>25.0</v>
      </c>
      <c r="M497" s="75">
        <f>L497*(I498+I497)</f>
        <v>525</v>
      </c>
      <c r="N497" s="75">
        <f>M497+K497</f>
        <v>2645</v>
      </c>
    </row>
    <row r="498" ht="20.25" customHeight="1">
      <c r="A498" s="29"/>
      <c r="B498" s="29"/>
      <c r="C498" s="342">
        <v>405.0</v>
      </c>
      <c r="D498" s="29"/>
      <c r="E498" s="29"/>
      <c r="F498" s="29"/>
      <c r="G498" s="29"/>
      <c r="H498" s="160" t="s">
        <v>18</v>
      </c>
      <c r="I498" s="160">
        <v>20.0</v>
      </c>
      <c r="J498" s="160">
        <v>100.0</v>
      </c>
      <c r="K498" s="29"/>
      <c r="L498" s="29"/>
      <c r="M498" s="29"/>
      <c r="N498" s="29"/>
    </row>
    <row r="499" ht="20.25" customHeight="1">
      <c r="A499" s="57"/>
      <c r="B499" s="57"/>
      <c r="C499" s="341">
        <v>406.0</v>
      </c>
      <c r="D499" s="57"/>
      <c r="E499" s="57"/>
      <c r="F499" s="57"/>
      <c r="G499" s="57"/>
      <c r="H499" s="57"/>
      <c r="I499" s="57"/>
      <c r="J499" s="57"/>
      <c r="K499" s="57"/>
      <c r="L499" s="57"/>
      <c r="M499" s="57"/>
      <c r="N499" s="57"/>
    </row>
    <row r="500" ht="20.25" customHeight="1">
      <c r="A500" s="29"/>
      <c r="B500" s="20"/>
      <c r="C500" s="342">
        <v>410.0</v>
      </c>
      <c r="D500" s="20"/>
      <c r="E500" s="20"/>
      <c r="F500" s="20"/>
      <c r="G500" s="20"/>
      <c r="H500" s="20"/>
      <c r="I500" s="20"/>
      <c r="J500" s="20"/>
      <c r="K500" s="20"/>
      <c r="L500" s="20"/>
      <c r="M500" s="20"/>
      <c r="N500" s="20"/>
    </row>
    <row r="501" ht="20.25" customHeight="1">
      <c r="A501" s="57"/>
      <c r="B501" s="369" t="s">
        <v>102</v>
      </c>
      <c r="C501" s="404">
        <v>411.0</v>
      </c>
      <c r="D501" s="75">
        <v>2.41</v>
      </c>
      <c r="E501" s="75" t="s">
        <v>41</v>
      </c>
      <c r="F501" s="75" t="s">
        <v>194</v>
      </c>
      <c r="G501" s="75" t="s">
        <v>179</v>
      </c>
      <c r="H501" s="73" t="s">
        <v>25</v>
      </c>
      <c r="I501" s="73">
        <v>1.0</v>
      </c>
      <c r="J501" s="75">
        <v>1300.0</v>
      </c>
      <c r="K501" s="399">
        <v>400.0</v>
      </c>
      <c r="L501" s="400"/>
      <c r="M501" s="312"/>
      <c r="N501" s="75">
        <f>J501*D501+K501</f>
        <v>3533</v>
      </c>
    </row>
    <row r="502" ht="20.25" customHeight="1">
      <c r="A502" s="20"/>
      <c r="B502" s="20"/>
      <c r="C502" s="405">
        <v>412.0</v>
      </c>
      <c r="D502" s="20"/>
      <c r="E502" s="20"/>
      <c r="F502" s="20"/>
      <c r="G502" s="20"/>
      <c r="H502" s="77" t="s">
        <v>18</v>
      </c>
      <c r="I502" s="77">
        <v>4.0</v>
      </c>
      <c r="J502" s="20"/>
      <c r="K502" s="311"/>
      <c r="L502" s="368"/>
      <c r="M502" s="38"/>
      <c r="N502" s="20"/>
    </row>
    <row r="503" ht="20.25" customHeight="1">
      <c r="A503" s="69">
        <v>46182.0</v>
      </c>
      <c r="B503" s="369" t="s">
        <v>110</v>
      </c>
      <c r="C503" s="345">
        <v>420.0</v>
      </c>
      <c r="D503" s="75">
        <f t="array" ref="D503">IFERROR(_xlfn.XLOOKUP(C503,Code!A:A,Code!B:B),"")</f>
        <v>1.41</v>
      </c>
      <c r="E503" s="75" t="s">
        <v>68</v>
      </c>
      <c r="F503" s="75" t="s">
        <v>195</v>
      </c>
      <c r="G503" s="75" t="s">
        <v>17</v>
      </c>
      <c r="H503" s="75" t="s">
        <v>18</v>
      </c>
      <c r="I503" s="73">
        <v>1.0</v>
      </c>
      <c r="J503" s="73">
        <v>220.0</v>
      </c>
      <c r="K503" s="370">
        <v>3620.0</v>
      </c>
      <c r="L503" s="371">
        <v>400.0</v>
      </c>
      <c r="M503" s="312"/>
      <c r="N503" s="75">
        <f>SUM(K503:M506)</f>
        <v>4020</v>
      </c>
    </row>
    <row r="504" ht="20.25" customHeight="1">
      <c r="A504" s="29"/>
      <c r="B504" s="29"/>
      <c r="C504" s="29"/>
      <c r="D504" s="29"/>
      <c r="E504" s="29"/>
      <c r="F504" s="29"/>
      <c r="G504" s="29"/>
      <c r="H504" s="29"/>
      <c r="I504" s="77">
        <v>9.0</v>
      </c>
      <c r="J504" s="77">
        <v>200.0</v>
      </c>
      <c r="K504" s="29"/>
      <c r="L504" s="314"/>
      <c r="M504" s="56"/>
      <c r="N504" s="29"/>
    </row>
    <row r="505" ht="20.25" customHeight="1">
      <c r="A505" s="57"/>
      <c r="B505" s="57"/>
      <c r="C505" s="57"/>
      <c r="D505" s="57"/>
      <c r="E505" s="57"/>
      <c r="F505" s="57"/>
      <c r="G505" s="57"/>
      <c r="H505" s="57"/>
      <c r="I505" s="73">
        <v>1.0</v>
      </c>
      <c r="J505" s="73">
        <v>250.0</v>
      </c>
      <c r="K505" s="57"/>
      <c r="L505" s="294"/>
      <c r="M505" s="70"/>
      <c r="N505" s="57"/>
    </row>
    <row r="506" ht="20.25" customHeight="1">
      <c r="A506" s="29"/>
      <c r="B506" s="20"/>
      <c r="C506" s="20"/>
      <c r="D506" s="20"/>
      <c r="E506" s="20"/>
      <c r="F506" s="20"/>
      <c r="G506" s="20"/>
      <c r="H506" s="20"/>
      <c r="I506" s="77">
        <v>9.0</v>
      </c>
      <c r="J506" s="77">
        <v>150.0</v>
      </c>
      <c r="K506" s="20"/>
      <c r="L506" s="311"/>
      <c r="M506" s="38"/>
      <c r="N506" s="20"/>
    </row>
    <row r="507" ht="20.25" customHeight="1">
      <c r="A507" s="57"/>
      <c r="B507" s="97" t="s">
        <v>22</v>
      </c>
      <c r="C507" s="341">
        <v>401.0</v>
      </c>
      <c r="D507" s="75">
        <v>4.88</v>
      </c>
      <c r="E507" s="75" t="s">
        <v>41</v>
      </c>
      <c r="F507" s="75" t="s">
        <v>196</v>
      </c>
      <c r="G507" s="75" t="s">
        <v>17</v>
      </c>
      <c r="H507" s="73" t="s">
        <v>25</v>
      </c>
      <c r="I507" s="73">
        <v>1.0</v>
      </c>
      <c r="J507" s="73">
        <v>120.0</v>
      </c>
      <c r="K507" s="160">
        <f>J507+I508*J508</f>
        <v>1820</v>
      </c>
      <c r="L507" s="75">
        <v>25.0</v>
      </c>
      <c r="M507" s="75">
        <f>L507*(I508+I507)</f>
        <v>450</v>
      </c>
      <c r="N507" s="75">
        <f>M507+K507</f>
        <v>2270</v>
      </c>
    </row>
    <row r="508" ht="20.25" customHeight="1">
      <c r="A508" s="29"/>
      <c r="B508" s="29"/>
      <c r="C508" s="342">
        <v>406.0</v>
      </c>
      <c r="D508" s="29"/>
      <c r="E508" s="29"/>
      <c r="F508" s="29"/>
      <c r="G508" s="29"/>
      <c r="H508" s="160" t="s">
        <v>18</v>
      </c>
      <c r="I508" s="160">
        <v>17.0</v>
      </c>
      <c r="J508" s="160">
        <v>100.0</v>
      </c>
      <c r="K508" s="29"/>
      <c r="L508" s="29"/>
      <c r="M508" s="29"/>
      <c r="N508" s="29"/>
    </row>
    <row r="509" ht="20.25" customHeight="1">
      <c r="A509" s="57"/>
      <c r="B509" s="57"/>
      <c r="C509" s="341">
        <v>407.0</v>
      </c>
      <c r="D509" s="57"/>
      <c r="E509" s="57"/>
      <c r="F509" s="57"/>
      <c r="G509" s="57"/>
      <c r="H509" s="57"/>
      <c r="I509" s="57"/>
      <c r="J509" s="57"/>
      <c r="K509" s="57"/>
      <c r="L509" s="57"/>
      <c r="M509" s="57"/>
      <c r="N509" s="57"/>
    </row>
    <row r="510" ht="20.25" customHeight="1">
      <c r="A510" s="29"/>
      <c r="B510" s="29"/>
      <c r="C510" s="342">
        <v>408.0</v>
      </c>
      <c r="D510" s="29"/>
      <c r="E510" s="29"/>
      <c r="F510" s="29"/>
      <c r="G510" s="29"/>
      <c r="H510" s="29"/>
      <c r="I510" s="29"/>
      <c r="J510" s="29"/>
      <c r="K510" s="29"/>
      <c r="L510" s="29"/>
      <c r="M510" s="29"/>
      <c r="N510" s="29"/>
    </row>
    <row r="511" ht="20.25" customHeight="1">
      <c r="A511" s="58"/>
      <c r="B511" s="58"/>
      <c r="C511" s="406">
        <v>409.0</v>
      </c>
      <c r="D511" s="58"/>
      <c r="E511" s="58"/>
      <c r="F511" s="58"/>
      <c r="G511" s="58"/>
      <c r="H511" s="58"/>
      <c r="I511" s="58"/>
      <c r="J511" s="58"/>
      <c r="K511" s="58"/>
      <c r="L511" s="58"/>
      <c r="M511" s="58"/>
      <c r="N511" s="58"/>
    </row>
    <row r="512" ht="20.25" customHeight="1">
      <c r="A512" s="69">
        <v>46183.0</v>
      </c>
      <c r="B512" s="375" t="s">
        <v>110</v>
      </c>
      <c r="C512" s="342">
        <v>420.0</v>
      </c>
      <c r="D512" s="160">
        <v>2.34</v>
      </c>
      <c r="E512" s="75" t="s">
        <v>68</v>
      </c>
      <c r="F512" s="160" t="s">
        <v>197</v>
      </c>
      <c r="G512" s="160" t="s">
        <v>17</v>
      </c>
      <c r="H512" s="160" t="s">
        <v>18</v>
      </c>
      <c r="I512" s="77">
        <v>1.0</v>
      </c>
      <c r="J512" s="77">
        <v>220.0</v>
      </c>
      <c r="K512" s="370">
        <v>3420.0</v>
      </c>
      <c r="L512" s="371">
        <v>400.0</v>
      </c>
      <c r="M512" s="307"/>
      <c r="N512" s="75">
        <f>SUM(K512:M515)</f>
        <v>3820</v>
      </c>
    </row>
    <row r="513" ht="20.25" customHeight="1">
      <c r="A513" s="57"/>
      <c r="B513" s="57"/>
      <c r="D513" s="57"/>
      <c r="E513" s="57"/>
      <c r="F513" s="57"/>
      <c r="G513" s="57"/>
      <c r="H513" s="57"/>
      <c r="I513" s="73">
        <v>8.0</v>
      </c>
      <c r="J513" s="73">
        <v>200.0</v>
      </c>
      <c r="K513" s="57"/>
      <c r="L513" s="294"/>
      <c r="M513" s="70"/>
      <c r="N513" s="57"/>
    </row>
    <row r="514" ht="20.25" customHeight="1">
      <c r="A514" s="29"/>
      <c r="B514" s="29"/>
      <c r="C514" s="342">
        <v>424.0</v>
      </c>
      <c r="D514" s="29"/>
      <c r="E514" s="29"/>
      <c r="F514" s="29"/>
      <c r="G514" s="29"/>
      <c r="H514" s="29"/>
      <c r="I514" s="77">
        <v>9.0</v>
      </c>
      <c r="J514" s="77">
        <v>150.0</v>
      </c>
      <c r="K514" s="29"/>
      <c r="L514" s="314"/>
      <c r="M514" s="56"/>
      <c r="N514" s="29"/>
    </row>
    <row r="515" ht="20.25" customHeight="1">
      <c r="A515" s="57"/>
      <c r="B515" s="58"/>
      <c r="C515" s="363"/>
      <c r="D515" s="58"/>
      <c r="E515" s="58"/>
      <c r="F515" s="58"/>
      <c r="G515" s="58"/>
      <c r="H515" s="58"/>
      <c r="I515" s="73">
        <v>1.0</v>
      </c>
      <c r="J515" s="73">
        <v>250.0</v>
      </c>
      <c r="K515" s="58"/>
      <c r="L515" s="321"/>
      <c r="M515" s="59"/>
      <c r="N515" s="58"/>
    </row>
    <row r="516" ht="20.25" customHeight="1">
      <c r="A516" s="29"/>
      <c r="B516" s="343" t="s">
        <v>22</v>
      </c>
      <c r="C516" s="409">
        <v>407.0</v>
      </c>
      <c r="D516" s="160">
        <v>5.02</v>
      </c>
      <c r="E516" s="160" t="s">
        <v>41</v>
      </c>
      <c r="F516" s="160" t="s">
        <v>198</v>
      </c>
      <c r="G516" s="160" t="s">
        <v>17</v>
      </c>
      <c r="H516" s="77" t="s">
        <v>25</v>
      </c>
      <c r="I516" s="77">
        <v>1.0</v>
      </c>
      <c r="J516" s="77">
        <v>120.0</v>
      </c>
      <c r="K516" s="160">
        <f>J516+I517*J517</f>
        <v>1920</v>
      </c>
      <c r="L516" s="160">
        <v>25.0</v>
      </c>
      <c r="M516" s="160">
        <f>L516*(I517+I516)</f>
        <v>475</v>
      </c>
      <c r="N516" s="160">
        <f>M516+K516</f>
        <v>2395</v>
      </c>
    </row>
    <row r="517" ht="20.25" customHeight="1">
      <c r="A517" s="57"/>
      <c r="B517" s="57"/>
      <c r="C517" s="341">
        <v>408.0</v>
      </c>
      <c r="D517" s="57"/>
      <c r="E517" s="57"/>
      <c r="F517" s="57"/>
      <c r="G517" s="57"/>
      <c r="H517" s="75" t="s">
        <v>18</v>
      </c>
      <c r="I517" s="75">
        <v>18.0</v>
      </c>
      <c r="J517" s="75">
        <v>100.0</v>
      </c>
      <c r="K517" s="57"/>
      <c r="L517" s="57"/>
      <c r="M517" s="57"/>
      <c r="N517" s="57"/>
    </row>
    <row r="518" ht="20.25" customHeight="1">
      <c r="A518" s="29"/>
      <c r="B518" s="29"/>
      <c r="C518" s="342">
        <v>425.0</v>
      </c>
      <c r="D518" s="29"/>
      <c r="E518" s="29"/>
      <c r="F518" s="29"/>
      <c r="G518" s="29"/>
      <c r="H518" s="29"/>
      <c r="I518" s="29"/>
      <c r="J518" s="29"/>
      <c r="K518" s="29"/>
      <c r="L518" s="29"/>
      <c r="M518" s="29"/>
      <c r="N518" s="29"/>
    </row>
    <row r="519" ht="20.25" customHeight="1">
      <c r="A519" s="57"/>
      <c r="B519" s="57"/>
      <c r="C519" s="341">
        <v>426.0</v>
      </c>
      <c r="D519" s="57"/>
      <c r="E519" s="57"/>
      <c r="F519" s="57"/>
      <c r="G519" s="57"/>
      <c r="H519" s="57"/>
      <c r="I519" s="57"/>
      <c r="J519" s="57"/>
      <c r="K519" s="57"/>
      <c r="L519" s="57"/>
      <c r="M519" s="57"/>
      <c r="N519" s="57"/>
    </row>
    <row r="520" ht="20.25" customHeight="1">
      <c r="A520" s="20"/>
      <c r="B520" s="20"/>
      <c r="C520" s="405">
        <v>427.0</v>
      </c>
      <c r="D520" s="20"/>
      <c r="E520" s="20"/>
      <c r="F520" s="20"/>
      <c r="G520" s="20"/>
      <c r="H520" s="20"/>
      <c r="I520" s="20"/>
      <c r="J520" s="20"/>
      <c r="K520" s="20"/>
      <c r="L520" s="20"/>
      <c r="M520" s="20"/>
      <c r="N520" s="20"/>
    </row>
    <row r="521" ht="20.25" customHeight="1">
      <c r="A521" s="69">
        <v>46184.0</v>
      </c>
      <c r="B521" s="369" t="s">
        <v>110</v>
      </c>
      <c r="C521" s="341">
        <v>423.0</v>
      </c>
      <c r="D521" s="75">
        <v>1.03</v>
      </c>
      <c r="E521" s="75" t="s">
        <v>68</v>
      </c>
      <c r="F521" s="75" t="s">
        <v>199</v>
      </c>
      <c r="G521" s="75" t="s">
        <v>17</v>
      </c>
      <c r="H521" s="75" t="s">
        <v>18</v>
      </c>
      <c r="I521" s="73">
        <v>1.0</v>
      </c>
      <c r="J521" s="73">
        <v>220.0</v>
      </c>
      <c r="K521" s="370">
        <v>3670.0</v>
      </c>
      <c r="L521" s="371">
        <v>400.0</v>
      </c>
      <c r="M521" s="312"/>
      <c r="N521" s="75">
        <f>SUM(K521:M524)</f>
        <v>4070</v>
      </c>
    </row>
    <row r="522" ht="20.25" customHeight="1">
      <c r="A522" s="29"/>
      <c r="B522" s="29"/>
      <c r="D522" s="29"/>
      <c r="E522" s="29"/>
      <c r="F522" s="29"/>
      <c r="G522" s="29"/>
      <c r="H522" s="29"/>
      <c r="I522" s="77">
        <v>10.0</v>
      </c>
      <c r="J522" s="77">
        <v>200.0</v>
      </c>
      <c r="K522" s="29"/>
      <c r="L522" s="314"/>
      <c r="M522" s="56"/>
      <c r="N522" s="29"/>
    </row>
    <row r="523" ht="20.25" customHeight="1">
      <c r="A523" s="57"/>
      <c r="B523" s="57"/>
      <c r="D523" s="57"/>
      <c r="E523" s="57"/>
      <c r="F523" s="57"/>
      <c r="G523" s="57"/>
      <c r="H523" s="57"/>
      <c r="I523" s="73">
        <v>8.0</v>
      </c>
      <c r="J523" s="73">
        <v>150.0</v>
      </c>
      <c r="K523" s="57"/>
      <c r="L523" s="294"/>
      <c r="M523" s="70"/>
      <c r="N523" s="57"/>
    </row>
    <row r="524" ht="20.25" customHeight="1">
      <c r="A524" s="29"/>
      <c r="B524" s="20"/>
      <c r="D524" s="20"/>
      <c r="E524" s="20"/>
      <c r="F524" s="20"/>
      <c r="G524" s="20"/>
      <c r="H524" s="20"/>
      <c r="I524" s="77">
        <v>1.0</v>
      </c>
      <c r="J524" s="77">
        <v>250.0</v>
      </c>
      <c r="K524" s="20"/>
      <c r="L524" s="311"/>
      <c r="M524" s="38"/>
      <c r="N524" s="20"/>
    </row>
    <row r="525" ht="20.25" customHeight="1">
      <c r="A525" s="57"/>
      <c r="B525" s="97" t="s">
        <v>22</v>
      </c>
      <c r="C525" s="404">
        <v>420.0</v>
      </c>
      <c r="D525" s="75">
        <v>6.75</v>
      </c>
      <c r="E525" s="75" t="s">
        <v>41</v>
      </c>
      <c r="F525" s="75" t="s">
        <v>200</v>
      </c>
      <c r="G525" s="75" t="s">
        <v>17</v>
      </c>
      <c r="H525" s="73" t="s">
        <v>25</v>
      </c>
      <c r="I525" s="73">
        <v>1.0</v>
      </c>
      <c r="J525" s="73">
        <v>120.0</v>
      </c>
      <c r="K525" s="160">
        <f>J525+I526*J526</f>
        <v>2120</v>
      </c>
      <c r="L525" s="75">
        <v>25.0</v>
      </c>
      <c r="M525" s="75">
        <f>L525*(I526+I525)</f>
        <v>525</v>
      </c>
      <c r="N525" s="75">
        <f>M525+K525</f>
        <v>2645</v>
      </c>
    </row>
    <row r="526" ht="20.25" customHeight="1">
      <c r="A526" s="29"/>
      <c r="B526" s="29"/>
      <c r="C526" s="342">
        <v>421.0</v>
      </c>
      <c r="D526" s="29"/>
      <c r="E526" s="29"/>
      <c r="F526" s="29"/>
      <c r="G526" s="29"/>
      <c r="H526" s="160" t="s">
        <v>18</v>
      </c>
      <c r="I526" s="160">
        <v>20.0</v>
      </c>
      <c r="J526" s="160">
        <v>100.0</v>
      </c>
      <c r="K526" s="29"/>
      <c r="L526" s="29"/>
      <c r="M526" s="29"/>
      <c r="N526" s="29"/>
    </row>
    <row r="527" ht="20.25" customHeight="1">
      <c r="A527" s="57"/>
      <c r="B527" s="57"/>
      <c r="C527" s="341">
        <v>425.0</v>
      </c>
      <c r="D527" s="57"/>
      <c r="E527" s="57"/>
      <c r="F527" s="57"/>
      <c r="G527" s="57"/>
      <c r="H527" s="57"/>
      <c r="I527" s="57"/>
      <c r="J527" s="57"/>
      <c r="K527" s="57"/>
      <c r="L527" s="57"/>
      <c r="M527" s="57"/>
      <c r="N527" s="57"/>
    </row>
    <row r="528" ht="20.25" customHeight="1">
      <c r="A528" s="29"/>
      <c r="B528" s="29"/>
      <c r="C528" s="342">
        <v>426.0</v>
      </c>
      <c r="D528" s="29"/>
      <c r="E528" s="29"/>
      <c r="F528" s="29"/>
      <c r="G528" s="29"/>
      <c r="H528" s="29"/>
      <c r="I528" s="29"/>
      <c r="J528" s="29"/>
      <c r="K528" s="29"/>
      <c r="L528" s="29"/>
      <c r="M528" s="29"/>
      <c r="N528" s="29"/>
    </row>
    <row r="529" ht="20.25" customHeight="1">
      <c r="A529" s="57"/>
      <c r="B529" s="57"/>
      <c r="C529" s="341">
        <v>427.0</v>
      </c>
      <c r="D529" s="57"/>
      <c r="E529" s="57"/>
      <c r="F529" s="57"/>
      <c r="G529" s="57"/>
      <c r="H529" s="57"/>
      <c r="I529" s="57"/>
      <c r="J529" s="57"/>
      <c r="K529" s="57"/>
      <c r="L529" s="57"/>
      <c r="M529" s="57"/>
      <c r="N529" s="57"/>
    </row>
    <row r="530" ht="20.25" customHeight="1">
      <c r="A530" s="20"/>
      <c r="B530" s="20"/>
      <c r="C530" s="405">
        <v>428.0</v>
      </c>
      <c r="D530" s="20"/>
      <c r="E530" s="20"/>
      <c r="F530" s="20"/>
      <c r="G530" s="20"/>
      <c r="H530" s="20"/>
      <c r="I530" s="20"/>
      <c r="J530" s="20"/>
      <c r="K530" s="20"/>
      <c r="L530" s="20"/>
      <c r="M530" s="20"/>
      <c r="N530" s="20"/>
    </row>
    <row r="531" ht="20.25" customHeight="1">
      <c r="A531" s="69">
        <v>46185.0</v>
      </c>
      <c r="B531" s="369" t="s">
        <v>110</v>
      </c>
      <c r="C531" s="341">
        <v>423.0</v>
      </c>
      <c r="D531" s="75">
        <v>1.96</v>
      </c>
      <c r="E531" s="75" t="s">
        <v>68</v>
      </c>
      <c r="F531" s="75" t="s">
        <v>201</v>
      </c>
      <c r="G531" s="75" t="s">
        <v>17</v>
      </c>
      <c r="H531" s="75" t="s">
        <v>18</v>
      </c>
      <c r="I531" s="73">
        <v>1.0</v>
      </c>
      <c r="J531" s="73">
        <v>220.0</v>
      </c>
      <c r="K531" s="370">
        <v>4370.0</v>
      </c>
      <c r="L531" s="371">
        <v>400.0</v>
      </c>
      <c r="M531" s="312"/>
      <c r="N531" s="75">
        <f>SUM(K531:M534)</f>
        <v>4770</v>
      </c>
    </row>
    <row r="532" ht="20.25" customHeight="1">
      <c r="A532" s="29"/>
      <c r="B532" s="29"/>
      <c r="D532" s="29"/>
      <c r="E532" s="29"/>
      <c r="F532" s="29"/>
      <c r="G532" s="29"/>
      <c r="H532" s="29"/>
      <c r="I532" s="77">
        <v>16.0</v>
      </c>
      <c r="J532" s="77">
        <v>200.0</v>
      </c>
      <c r="K532" s="29"/>
      <c r="L532" s="314"/>
      <c r="M532" s="56"/>
      <c r="N532" s="29"/>
    </row>
    <row r="533" ht="20.25" customHeight="1">
      <c r="A533" s="57"/>
      <c r="B533" s="57"/>
      <c r="C533" s="341">
        <v>424.0</v>
      </c>
      <c r="D533" s="57"/>
      <c r="E533" s="57"/>
      <c r="F533" s="57"/>
      <c r="G533" s="57"/>
      <c r="H533" s="57"/>
      <c r="I533" s="73">
        <v>1.0</v>
      </c>
      <c r="J533" s="73">
        <v>150.0</v>
      </c>
      <c r="K533" s="57"/>
      <c r="L533" s="294"/>
      <c r="M533" s="70"/>
      <c r="N533" s="57"/>
    </row>
    <row r="534" ht="20.25" customHeight="1">
      <c r="A534" s="29"/>
      <c r="B534" s="29"/>
      <c r="D534" s="29"/>
      <c r="E534" s="29"/>
      <c r="F534" s="29"/>
      <c r="G534" s="29"/>
      <c r="H534" s="29"/>
      <c r="I534" s="77">
        <v>2.0</v>
      </c>
      <c r="J534" s="77">
        <v>250.0</v>
      </c>
      <c r="K534" s="29"/>
      <c r="L534" s="314"/>
      <c r="M534" s="56"/>
      <c r="N534" s="29"/>
    </row>
    <row r="535" ht="20.25" customHeight="1">
      <c r="A535" s="57"/>
      <c r="B535" s="58"/>
      <c r="C535" s="363"/>
      <c r="D535" s="58"/>
      <c r="E535" s="58"/>
      <c r="F535" s="58"/>
      <c r="G535" s="58"/>
      <c r="H535" s="58"/>
      <c r="I535" s="73">
        <v>1.0</v>
      </c>
      <c r="J535" s="73">
        <v>300.0</v>
      </c>
      <c r="K535" s="58"/>
      <c r="L535" s="321"/>
      <c r="M535" s="59"/>
      <c r="N535" s="58"/>
    </row>
    <row r="536" ht="20.25" customHeight="1">
      <c r="A536" s="29"/>
      <c r="B536" s="343" t="s">
        <v>22</v>
      </c>
      <c r="C536" s="342">
        <v>420.0</v>
      </c>
      <c r="D536" s="160">
        <v>3.51</v>
      </c>
      <c r="E536" s="160" t="s">
        <v>41</v>
      </c>
      <c r="F536" s="160" t="s">
        <v>202</v>
      </c>
      <c r="G536" s="160" t="s">
        <v>17</v>
      </c>
      <c r="H536" s="77" t="s">
        <v>25</v>
      </c>
      <c r="I536" s="77">
        <v>1.0</v>
      </c>
      <c r="J536" s="77">
        <v>120.0</v>
      </c>
      <c r="K536" s="160">
        <f>J536+I537*J537</f>
        <v>1820</v>
      </c>
      <c r="L536" s="160">
        <v>25.0</v>
      </c>
      <c r="M536" s="160">
        <f>L536*(I537+I536)</f>
        <v>450</v>
      </c>
      <c r="N536" s="160">
        <f>M536+K536</f>
        <v>2270</v>
      </c>
    </row>
    <row r="537" ht="20.25" customHeight="1">
      <c r="A537" s="57"/>
      <c r="B537" s="57"/>
      <c r="C537" s="341">
        <v>421.0</v>
      </c>
      <c r="D537" s="57"/>
      <c r="E537" s="57"/>
      <c r="F537" s="57"/>
      <c r="G537" s="57"/>
      <c r="H537" s="75" t="s">
        <v>18</v>
      </c>
      <c r="I537" s="75">
        <v>17.0</v>
      </c>
      <c r="J537" s="75">
        <v>100.0</v>
      </c>
      <c r="K537" s="57"/>
      <c r="L537" s="57"/>
      <c r="M537" s="57"/>
      <c r="N537" s="57"/>
    </row>
    <row r="538" ht="20.25" customHeight="1">
      <c r="A538" s="20"/>
      <c r="B538" s="20"/>
      <c r="C538" s="405">
        <v>428.0</v>
      </c>
      <c r="D538" s="20"/>
      <c r="E538" s="20"/>
      <c r="F538" s="20"/>
      <c r="G538" s="20"/>
      <c r="H538" s="20"/>
      <c r="I538" s="20"/>
      <c r="J538" s="20"/>
      <c r="K538" s="20"/>
      <c r="L538" s="20"/>
      <c r="M538" s="20"/>
      <c r="N538" s="20"/>
    </row>
    <row r="539" ht="20.25" customHeight="1">
      <c r="A539" s="69">
        <v>46186.0</v>
      </c>
      <c r="B539" s="369" t="s">
        <v>110</v>
      </c>
      <c r="C539" s="341">
        <v>422.0</v>
      </c>
      <c r="D539" s="75">
        <v>2.17</v>
      </c>
      <c r="E539" s="75" t="s">
        <v>68</v>
      </c>
      <c r="F539" s="75" t="s">
        <v>203</v>
      </c>
      <c r="G539" s="75" t="s">
        <v>17</v>
      </c>
      <c r="H539" s="75" t="s">
        <v>18</v>
      </c>
      <c r="I539" s="73">
        <v>1.0</v>
      </c>
      <c r="J539" s="73">
        <v>220.0</v>
      </c>
      <c r="K539" s="370">
        <v>3770.0</v>
      </c>
      <c r="L539" s="371">
        <v>400.0</v>
      </c>
      <c r="M539" s="312"/>
      <c r="N539" s="75">
        <f>SUM(K539:M542)</f>
        <v>4170</v>
      </c>
    </row>
    <row r="540" ht="20.25" customHeight="1">
      <c r="A540" s="29"/>
      <c r="B540" s="29"/>
      <c r="D540" s="29"/>
      <c r="E540" s="29"/>
      <c r="F540" s="29"/>
      <c r="G540" s="29"/>
      <c r="H540" s="29"/>
      <c r="I540" s="77">
        <v>14.0</v>
      </c>
      <c r="J540" s="77">
        <v>200.0</v>
      </c>
      <c r="K540" s="29"/>
      <c r="L540" s="314"/>
      <c r="M540" s="56"/>
      <c r="N540" s="29"/>
    </row>
    <row r="541" ht="20.25" customHeight="1">
      <c r="A541" s="57"/>
      <c r="B541" s="57"/>
      <c r="C541" s="341">
        <v>424.0</v>
      </c>
      <c r="D541" s="57"/>
      <c r="E541" s="57"/>
      <c r="F541" s="57"/>
      <c r="G541" s="57"/>
      <c r="H541" s="57"/>
      <c r="I541" s="73">
        <v>2.0</v>
      </c>
      <c r="J541" s="73">
        <v>300.0</v>
      </c>
      <c r="K541" s="57"/>
      <c r="L541" s="294"/>
      <c r="M541" s="70"/>
      <c r="N541" s="57"/>
    </row>
    <row r="542" ht="20.25" customHeight="1">
      <c r="A542" s="29"/>
      <c r="B542" s="20"/>
      <c r="C542" s="368"/>
      <c r="D542" s="20"/>
      <c r="E542" s="20"/>
      <c r="F542" s="20"/>
      <c r="G542" s="20"/>
      <c r="H542" s="20"/>
      <c r="I542" s="77">
        <v>1.0</v>
      </c>
      <c r="J542" s="77">
        <v>150.0</v>
      </c>
      <c r="K542" s="20"/>
      <c r="L542" s="311"/>
      <c r="M542" s="38"/>
      <c r="N542" s="20"/>
    </row>
    <row r="543" ht="20.25" customHeight="1">
      <c r="A543" s="57"/>
      <c r="B543" s="97" t="s">
        <v>151</v>
      </c>
      <c r="C543" s="341">
        <v>401.0</v>
      </c>
      <c r="D543" s="75">
        <v>2.32</v>
      </c>
      <c r="E543" s="75" t="s">
        <v>41</v>
      </c>
      <c r="F543" s="75" t="s">
        <v>204</v>
      </c>
      <c r="G543" s="75" t="s">
        <v>17</v>
      </c>
      <c r="H543" s="73" t="s">
        <v>25</v>
      </c>
      <c r="I543" s="73">
        <v>1.0</v>
      </c>
      <c r="J543" s="73">
        <v>120.0</v>
      </c>
      <c r="K543" s="160">
        <f>J543+I544*J544</f>
        <v>2220</v>
      </c>
      <c r="L543" s="75">
        <v>25.0</v>
      </c>
      <c r="M543" s="75">
        <f>L543*(I544+I543)</f>
        <v>550</v>
      </c>
      <c r="N543" s="75">
        <f>M543+K543</f>
        <v>2770</v>
      </c>
    </row>
    <row r="544" ht="20.25" customHeight="1">
      <c r="A544" s="29"/>
      <c r="B544" s="29"/>
      <c r="C544" s="342">
        <v>402.0</v>
      </c>
      <c r="D544" s="29"/>
      <c r="E544" s="29"/>
      <c r="F544" s="29"/>
      <c r="G544" s="29"/>
      <c r="H544" s="160" t="s">
        <v>18</v>
      </c>
      <c r="I544" s="160">
        <v>21.0</v>
      </c>
      <c r="J544" s="160">
        <v>100.0</v>
      </c>
      <c r="K544" s="29"/>
      <c r="L544" s="29"/>
      <c r="M544" s="29"/>
      <c r="N544" s="29"/>
    </row>
    <row r="545" ht="20.25" customHeight="1">
      <c r="A545" s="58"/>
      <c r="B545" s="58"/>
      <c r="C545" s="406">
        <v>403.0</v>
      </c>
      <c r="D545" s="58"/>
      <c r="E545" s="58"/>
      <c r="F545" s="58"/>
      <c r="G545" s="58"/>
      <c r="H545" s="58"/>
      <c r="I545" s="58"/>
      <c r="J545" s="58"/>
      <c r="K545" s="58"/>
      <c r="L545" s="58"/>
      <c r="M545" s="58"/>
      <c r="N545" s="58"/>
    </row>
    <row r="546" ht="20.25" customHeight="1">
      <c r="A546" s="69">
        <v>46187.0</v>
      </c>
      <c r="B546" s="375" t="s">
        <v>110</v>
      </c>
      <c r="C546" s="342">
        <v>422.0</v>
      </c>
      <c r="D546" s="160">
        <v>1.24</v>
      </c>
      <c r="E546" s="75" t="s">
        <v>68</v>
      </c>
      <c r="F546" s="160" t="s">
        <v>205</v>
      </c>
      <c r="G546" s="160" t="s">
        <v>17</v>
      </c>
      <c r="H546" s="160" t="s">
        <v>18</v>
      </c>
      <c r="I546" s="77">
        <v>1.0</v>
      </c>
      <c r="J546" s="77">
        <v>220.0</v>
      </c>
      <c r="K546" s="370">
        <f>I546*J546+I547*J547+I548*J548+I549*J549+I550*J550</f>
        <v>3540</v>
      </c>
      <c r="L546" s="371">
        <v>400.0</v>
      </c>
      <c r="M546" s="307"/>
      <c r="N546" s="75">
        <f>SUM(K546:M549)</f>
        <v>3940</v>
      </c>
    </row>
    <row r="547" ht="20.25" customHeight="1">
      <c r="A547" s="57"/>
      <c r="B547" s="57"/>
      <c r="D547" s="57"/>
      <c r="E547" s="57"/>
      <c r="F547" s="57"/>
      <c r="G547" s="57"/>
      <c r="H547" s="57"/>
      <c r="I547" s="73">
        <v>9.0</v>
      </c>
      <c r="J547" s="73">
        <v>200.0</v>
      </c>
      <c r="K547" s="57"/>
      <c r="L547" s="294"/>
      <c r="M547" s="70"/>
      <c r="N547" s="57"/>
    </row>
    <row r="548" ht="20.25" customHeight="1">
      <c r="A548" s="29"/>
      <c r="B548" s="29"/>
      <c r="D548" s="29"/>
      <c r="E548" s="29"/>
      <c r="F548" s="29"/>
      <c r="G548" s="29"/>
      <c r="H548" s="29"/>
      <c r="I548" s="77">
        <v>2.0</v>
      </c>
      <c r="J548" s="77">
        <v>300.0</v>
      </c>
      <c r="K548" s="29"/>
      <c r="L548" s="314"/>
      <c r="M548" s="56"/>
      <c r="N548" s="29"/>
    </row>
    <row r="549" ht="20.25" customHeight="1">
      <c r="A549" s="57"/>
      <c r="B549" s="57"/>
      <c r="D549" s="57"/>
      <c r="E549" s="57"/>
      <c r="F549" s="57"/>
      <c r="G549" s="57"/>
      <c r="H549" s="57"/>
      <c r="I549" s="73">
        <v>5.0</v>
      </c>
      <c r="J549" s="73">
        <v>150.0</v>
      </c>
      <c r="K549" s="57"/>
      <c r="L549" s="294"/>
      <c r="M549" s="70"/>
      <c r="N549" s="57"/>
    </row>
    <row r="550" ht="20.25" customHeight="1">
      <c r="A550" s="29"/>
      <c r="B550" s="20"/>
      <c r="C550" s="368"/>
      <c r="D550" s="20"/>
      <c r="E550" s="20"/>
      <c r="F550" s="20"/>
      <c r="G550" s="20"/>
      <c r="H550" s="20"/>
      <c r="I550" s="77">
        <v>1.0</v>
      </c>
      <c r="J550" s="77">
        <v>170.0</v>
      </c>
      <c r="K550" s="20"/>
      <c r="L550" s="311"/>
      <c r="M550" s="38"/>
      <c r="N550" s="20"/>
    </row>
    <row r="551" ht="20.25" customHeight="1">
      <c r="A551" s="57"/>
      <c r="B551" s="97" t="s">
        <v>151</v>
      </c>
      <c r="C551" s="341">
        <v>404.0</v>
      </c>
      <c r="D551" s="75">
        <v>1.39</v>
      </c>
      <c r="E551" s="75" t="s">
        <v>41</v>
      </c>
      <c r="F551" s="75" t="s">
        <v>206</v>
      </c>
      <c r="G551" s="75" t="s">
        <v>17</v>
      </c>
      <c r="H551" s="73" t="s">
        <v>25</v>
      </c>
      <c r="I551" s="73">
        <v>1.0</v>
      </c>
      <c r="J551" s="73">
        <v>120.0</v>
      </c>
      <c r="K551" s="160">
        <f>J551+I552*J552</f>
        <v>2020</v>
      </c>
      <c r="L551" s="75">
        <v>25.0</v>
      </c>
      <c r="M551" s="75">
        <f>L551*(I552+I551)</f>
        <v>500</v>
      </c>
      <c r="N551" s="75">
        <f>M551+K551</f>
        <v>2520</v>
      </c>
    </row>
    <row r="552" ht="20.25" customHeight="1">
      <c r="A552" s="29"/>
      <c r="B552" s="29"/>
      <c r="C552" s="342">
        <v>407.0</v>
      </c>
      <c r="D552" s="29"/>
      <c r="E552" s="29"/>
      <c r="F552" s="29"/>
      <c r="G552" s="29"/>
      <c r="H552" s="160" t="s">
        <v>18</v>
      </c>
      <c r="I552" s="160">
        <v>19.0</v>
      </c>
      <c r="J552" s="160">
        <v>100.0</v>
      </c>
      <c r="K552" s="29"/>
      <c r="L552" s="29"/>
      <c r="M552" s="29"/>
      <c r="N552" s="29"/>
    </row>
    <row r="553" ht="20.25" customHeight="1">
      <c r="A553" s="58"/>
      <c r="B553" s="58"/>
      <c r="C553" s="406"/>
      <c r="D553" s="58"/>
      <c r="E553" s="58"/>
      <c r="F553" s="58"/>
      <c r="G553" s="58"/>
      <c r="H553" s="58"/>
      <c r="I553" s="58"/>
      <c r="J553" s="58"/>
      <c r="K553" s="58"/>
      <c r="L553" s="58"/>
      <c r="M553" s="58"/>
      <c r="N553" s="58"/>
    </row>
    <row r="554" ht="20.25" customHeight="1">
      <c r="A554" s="69">
        <v>46188.0</v>
      </c>
      <c r="B554" s="375" t="s">
        <v>110</v>
      </c>
      <c r="C554" s="342">
        <v>422.0</v>
      </c>
      <c r="D554" s="160">
        <v>1.24</v>
      </c>
      <c r="E554" s="75" t="s">
        <v>68</v>
      </c>
      <c r="F554" s="160" t="s">
        <v>207</v>
      </c>
      <c r="G554" s="160" t="s">
        <v>17</v>
      </c>
      <c r="H554" s="160" t="s">
        <v>18</v>
      </c>
      <c r="I554" s="77">
        <v>1.0</v>
      </c>
      <c r="J554" s="77">
        <v>220.0</v>
      </c>
      <c r="K554" s="370">
        <v>2970.0</v>
      </c>
      <c r="L554" s="371">
        <v>400.0</v>
      </c>
      <c r="M554" s="307"/>
      <c r="N554" s="75">
        <f>SUM(K554:M557)</f>
        <v>3370</v>
      </c>
    </row>
    <row r="555" ht="20.25" customHeight="1">
      <c r="A555" s="57"/>
      <c r="B555" s="57"/>
      <c r="D555" s="57"/>
      <c r="E555" s="57"/>
      <c r="F555" s="57"/>
      <c r="G555" s="57"/>
      <c r="H555" s="57"/>
      <c r="I555" s="73">
        <v>5.0</v>
      </c>
      <c r="J555" s="73">
        <v>200.0</v>
      </c>
      <c r="K555" s="57"/>
      <c r="L555" s="294"/>
      <c r="M555" s="70"/>
      <c r="N555" s="57"/>
    </row>
    <row r="556" ht="20.25" customHeight="1">
      <c r="A556" s="29"/>
      <c r="B556" s="29"/>
      <c r="D556" s="29"/>
      <c r="E556" s="29"/>
      <c r="F556" s="29"/>
      <c r="G556" s="29"/>
      <c r="H556" s="29"/>
      <c r="I556" s="77">
        <v>11.0</v>
      </c>
      <c r="J556" s="77">
        <v>150.0</v>
      </c>
      <c r="K556" s="29"/>
      <c r="L556" s="314"/>
      <c r="M556" s="56"/>
      <c r="N556" s="29"/>
    </row>
    <row r="557" ht="20.25" customHeight="1">
      <c r="A557" s="57"/>
      <c r="B557" s="58"/>
      <c r="C557" s="363"/>
      <c r="D557" s="58"/>
      <c r="E557" s="58"/>
      <c r="F557" s="58"/>
      <c r="G557" s="58"/>
      <c r="H557" s="58"/>
      <c r="I557" s="85">
        <v>1.0</v>
      </c>
      <c r="J557" s="73">
        <v>100.0</v>
      </c>
      <c r="K557" s="58"/>
      <c r="L557" s="321"/>
      <c r="M557" s="59"/>
      <c r="N557" s="58"/>
    </row>
    <row r="558" ht="20.25" customHeight="1">
      <c r="A558" s="29"/>
      <c r="B558" s="343" t="s">
        <v>22</v>
      </c>
      <c r="C558" s="342">
        <v>423.0</v>
      </c>
      <c r="D558" s="160">
        <v>3.37</v>
      </c>
      <c r="E558" s="160" t="s">
        <v>41</v>
      </c>
      <c r="F558" s="160" t="s">
        <v>208</v>
      </c>
      <c r="G558" s="160" t="s">
        <v>17</v>
      </c>
      <c r="H558" s="77" t="s">
        <v>25</v>
      </c>
      <c r="I558" s="77">
        <v>1.0</v>
      </c>
      <c r="J558" s="77">
        <v>120.0</v>
      </c>
      <c r="K558" s="160">
        <f>I558*J558+I559*J559+I561*J561</f>
        <v>2170</v>
      </c>
      <c r="L558" s="160">
        <v>25.0</v>
      </c>
      <c r="M558" s="160">
        <f>L558*(I558+I559+I561)</f>
        <v>550</v>
      </c>
      <c r="N558" s="160">
        <f>M558+K558</f>
        <v>2720</v>
      </c>
    </row>
    <row r="559" ht="20.25" customHeight="1">
      <c r="A559" s="57"/>
      <c r="B559" s="57"/>
      <c r="C559" s="341">
        <v>424.0</v>
      </c>
      <c r="D559" s="57"/>
      <c r="E559" s="57"/>
      <c r="F559" s="57"/>
      <c r="G559" s="57"/>
      <c r="H559" s="75" t="s">
        <v>18</v>
      </c>
      <c r="I559" s="75">
        <v>20.0</v>
      </c>
      <c r="J559" s="75">
        <v>100.0</v>
      </c>
      <c r="K559" s="57"/>
      <c r="L559" s="57"/>
      <c r="M559" s="57"/>
      <c r="N559" s="57"/>
    </row>
    <row r="560" ht="20.25" customHeight="1">
      <c r="A560" s="29"/>
      <c r="B560" s="20"/>
      <c r="C560" s="405">
        <v>420.0</v>
      </c>
      <c r="D560" s="29"/>
      <c r="E560" s="29"/>
      <c r="F560" s="29"/>
      <c r="G560" s="29"/>
      <c r="H560" s="29"/>
      <c r="I560" s="20"/>
      <c r="J560" s="20"/>
      <c r="K560" s="29"/>
      <c r="L560" s="29"/>
      <c r="M560" s="29"/>
      <c r="N560" s="29"/>
    </row>
    <row r="561" ht="20.25" customHeight="1">
      <c r="A561" s="58"/>
      <c r="B561" s="373" t="s">
        <v>151</v>
      </c>
      <c r="C561" s="372">
        <v>420.0</v>
      </c>
      <c r="D561" s="58"/>
      <c r="E561" s="58"/>
      <c r="F561" s="58"/>
      <c r="G561" s="58"/>
      <c r="H561" s="58"/>
      <c r="I561" s="73">
        <v>1.0</v>
      </c>
      <c r="J561" s="73">
        <v>50.0</v>
      </c>
      <c r="K561" s="58"/>
      <c r="L561" s="58"/>
      <c r="M561" s="58"/>
      <c r="N561" s="58"/>
    </row>
    <row r="562" ht="20.25" customHeight="1">
      <c r="A562" s="69">
        <v>46189.0</v>
      </c>
      <c r="B562" s="375" t="s">
        <v>110</v>
      </c>
      <c r="C562" s="342">
        <v>419.0</v>
      </c>
      <c r="D562" s="160">
        <v>1.14</v>
      </c>
      <c r="E562" s="75" t="s">
        <v>68</v>
      </c>
      <c r="F562" s="160" t="s">
        <v>209</v>
      </c>
      <c r="G562" s="160" t="s">
        <v>17</v>
      </c>
      <c r="H562" s="160" t="s">
        <v>18</v>
      </c>
      <c r="I562" s="77">
        <v>1.0</v>
      </c>
      <c r="J562" s="77">
        <v>220.0</v>
      </c>
      <c r="K562" s="370">
        <v>3770.0</v>
      </c>
      <c r="L562" s="371">
        <v>400.0</v>
      </c>
      <c r="M562" s="307"/>
      <c r="N562" s="75">
        <f>SUM(K562:M565)</f>
        <v>4170</v>
      </c>
    </row>
    <row r="563" ht="20.25" customHeight="1">
      <c r="A563" s="57"/>
      <c r="B563" s="57"/>
      <c r="D563" s="57"/>
      <c r="E563" s="57"/>
      <c r="F563" s="57"/>
      <c r="G563" s="57"/>
      <c r="H563" s="57"/>
      <c r="I563" s="73">
        <v>12.0</v>
      </c>
      <c r="J563" s="73">
        <v>200.0</v>
      </c>
      <c r="K563" s="57"/>
      <c r="L563" s="294"/>
      <c r="M563" s="70"/>
      <c r="N563" s="57"/>
    </row>
    <row r="564" ht="20.25" customHeight="1">
      <c r="A564" s="29"/>
      <c r="B564" s="29"/>
      <c r="D564" s="29"/>
      <c r="E564" s="29"/>
      <c r="F564" s="29"/>
      <c r="G564" s="29"/>
      <c r="H564" s="29"/>
      <c r="I564" s="77">
        <v>6.0</v>
      </c>
      <c r="J564" s="77">
        <v>150.0</v>
      </c>
      <c r="K564" s="29"/>
      <c r="L564" s="314"/>
      <c r="M564" s="56"/>
      <c r="N564" s="29"/>
    </row>
    <row r="565" ht="20.25" customHeight="1">
      <c r="A565" s="57"/>
      <c r="B565" s="58"/>
      <c r="C565" s="363"/>
      <c r="D565" s="58"/>
      <c r="E565" s="58"/>
      <c r="F565" s="58"/>
      <c r="G565" s="58"/>
      <c r="H565" s="58"/>
      <c r="I565" s="73">
        <v>1.0</v>
      </c>
      <c r="J565" s="73">
        <v>250.0</v>
      </c>
      <c r="K565" s="58"/>
      <c r="L565" s="321"/>
      <c r="M565" s="59"/>
      <c r="N565" s="58"/>
    </row>
    <row r="566" ht="20.25" customHeight="1">
      <c r="A566" s="29"/>
      <c r="B566" s="343" t="s">
        <v>151</v>
      </c>
      <c r="C566" s="342">
        <v>401.0</v>
      </c>
      <c r="D566" s="160">
        <v>3.06</v>
      </c>
      <c r="E566" s="160" t="s">
        <v>41</v>
      </c>
      <c r="F566" s="160" t="s">
        <v>210</v>
      </c>
      <c r="G566" s="160" t="s">
        <v>17</v>
      </c>
      <c r="H566" s="77" t="s">
        <v>25</v>
      </c>
      <c r="I566" s="77">
        <v>1.0</v>
      </c>
      <c r="J566" s="77">
        <v>120.0</v>
      </c>
      <c r="K566" s="160">
        <f>I566*J566+I567*J567</f>
        <v>2420</v>
      </c>
      <c r="L566" s="160">
        <v>25.0</v>
      </c>
      <c r="M566" s="160">
        <f>(I566+I567)*L566</f>
        <v>600</v>
      </c>
      <c r="N566" s="160">
        <f>M566+K566</f>
        <v>3020</v>
      </c>
    </row>
    <row r="567" ht="20.25" customHeight="1">
      <c r="A567" s="57"/>
      <c r="B567" s="57"/>
      <c r="C567" s="341">
        <v>402.0</v>
      </c>
      <c r="D567" s="57"/>
      <c r="E567" s="57"/>
      <c r="F567" s="57"/>
      <c r="G567" s="57"/>
      <c r="H567" s="75" t="s">
        <v>18</v>
      </c>
      <c r="I567" s="75">
        <v>23.0</v>
      </c>
      <c r="J567" s="75">
        <v>100.0</v>
      </c>
      <c r="K567" s="57"/>
      <c r="L567" s="57"/>
      <c r="M567" s="57"/>
      <c r="N567" s="57"/>
    </row>
    <row r="568" ht="20.25" customHeight="1">
      <c r="A568" s="20"/>
      <c r="B568" s="20"/>
      <c r="C568" s="405">
        <v>420.0</v>
      </c>
      <c r="D568" s="20"/>
      <c r="E568" s="20"/>
      <c r="F568" s="20"/>
      <c r="G568" s="20"/>
      <c r="H568" s="20"/>
      <c r="I568" s="20"/>
      <c r="J568" s="20"/>
      <c r="K568" s="20"/>
      <c r="L568" s="20"/>
      <c r="M568" s="20"/>
      <c r="N568" s="20"/>
    </row>
    <row r="569" ht="20.25" customHeight="1">
      <c r="A569" s="69">
        <v>46190.0</v>
      </c>
      <c r="B569" s="369" t="s">
        <v>110</v>
      </c>
      <c r="C569" s="341">
        <v>418.0</v>
      </c>
      <c r="D569" s="75">
        <v>2.46</v>
      </c>
      <c r="E569" s="75" t="s">
        <v>68</v>
      </c>
      <c r="F569" s="75" t="s">
        <v>211</v>
      </c>
      <c r="G569" s="75" t="s">
        <v>17</v>
      </c>
      <c r="H569" s="75" t="s">
        <v>18</v>
      </c>
      <c r="I569" s="73">
        <v>1.0</v>
      </c>
      <c r="J569" s="73">
        <v>220.0</v>
      </c>
      <c r="K569" s="370">
        <f>I569*J569+I570*J570+I571*J571+I572*J572</f>
        <v>4420</v>
      </c>
      <c r="L569" s="371">
        <v>400.0</v>
      </c>
      <c r="M569" s="312"/>
      <c r="N569" s="75">
        <f>SUM(K569:M572)</f>
        <v>4820</v>
      </c>
    </row>
    <row r="570" ht="20.25" customHeight="1">
      <c r="A570" s="29"/>
      <c r="B570" s="29"/>
      <c r="C570" s="368"/>
      <c r="D570" s="29"/>
      <c r="E570" s="29"/>
      <c r="F570" s="29"/>
      <c r="G570" s="29"/>
      <c r="H570" s="29"/>
      <c r="I570" s="77">
        <v>12.0</v>
      </c>
      <c r="J570" s="77">
        <v>200.0</v>
      </c>
      <c r="K570" s="29"/>
      <c r="L570" s="314"/>
      <c r="M570" s="56"/>
      <c r="N570" s="29"/>
    </row>
    <row r="571" ht="20.25" customHeight="1">
      <c r="A571" s="57"/>
      <c r="B571" s="57"/>
      <c r="C571" s="341">
        <v>419.0</v>
      </c>
      <c r="D571" s="57"/>
      <c r="E571" s="57"/>
      <c r="F571" s="57"/>
      <c r="G571" s="57"/>
      <c r="H571" s="57"/>
      <c r="I571" s="73">
        <v>6.0</v>
      </c>
      <c r="J571" s="73">
        <v>250.0</v>
      </c>
      <c r="K571" s="57"/>
      <c r="L571" s="294"/>
      <c r="M571" s="70"/>
      <c r="N571" s="57"/>
    </row>
    <row r="572" ht="20.25" customHeight="1">
      <c r="A572" s="20"/>
      <c r="B572" s="20"/>
      <c r="C572" s="368"/>
      <c r="D572" s="20"/>
      <c r="E572" s="20"/>
      <c r="F572" s="20"/>
      <c r="G572" s="20"/>
      <c r="H572" s="20"/>
      <c r="I572" s="77">
        <v>1.0</v>
      </c>
      <c r="J572" s="77">
        <v>300.0</v>
      </c>
      <c r="K572" s="20"/>
      <c r="L572" s="311"/>
      <c r="M572" s="38"/>
      <c r="N572" s="20"/>
    </row>
    <row r="573" ht="20.25" customHeight="1">
      <c r="A573" s="69">
        <v>46191.0</v>
      </c>
      <c r="B573" s="369" t="s">
        <v>110</v>
      </c>
      <c r="C573" s="341">
        <v>418.0</v>
      </c>
      <c r="D573" s="75">
        <v>1.32</v>
      </c>
      <c r="E573" s="75" t="s">
        <v>68</v>
      </c>
      <c r="F573" s="75" t="s">
        <v>212</v>
      </c>
      <c r="G573" s="75" t="s">
        <v>17</v>
      </c>
      <c r="H573" s="75" t="s">
        <v>18</v>
      </c>
      <c r="I573" s="73">
        <v>1.0</v>
      </c>
      <c r="J573" s="73">
        <v>220.0</v>
      </c>
      <c r="K573" s="370">
        <f>I573*J573+I574*J574+I575*J575</f>
        <v>3320</v>
      </c>
      <c r="L573" s="371">
        <v>400.0</v>
      </c>
      <c r="M573" s="312"/>
      <c r="N573" s="75">
        <f>SUM(K573:M575)</f>
        <v>3720</v>
      </c>
    </row>
    <row r="574" ht="20.25" customHeight="1">
      <c r="A574" s="29"/>
      <c r="B574" s="29"/>
      <c r="D574" s="29"/>
      <c r="E574" s="29"/>
      <c r="F574" s="29"/>
      <c r="G574" s="29"/>
      <c r="H574" s="29"/>
      <c r="I574" s="77">
        <v>5.0</v>
      </c>
      <c r="J574" s="77">
        <v>200.0</v>
      </c>
      <c r="K574" s="29"/>
      <c r="L574" s="314"/>
      <c r="M574" s="56"/>
      <c r="N574" s="29"/>
    </row>
    <row r="575" ht="20.25" customHeight="1">
      <c r="A575" s="57"/>
      <c r="B575" s="58"/>
      <c r="C575" s="363"/>
      <c r="D575" s="58"/>
      <c r="E575" s="58"/>
      <c r="F575" s="58"/>
      <c r="G575" s="58"/>
      <c r="H575" s="58"/>
      <c r="I575" s="73">
        <v>14.0</v>
      </c>
      <c r="J575" s="73">
        <v>150.0</v>
      </c>
      <c r="K575" s="58"/>
      <c r="L575" s="321"/>
      <c r="M575" s="59"/>
      <c r="N575" s="58"/>
    </row>
    <row r="576" ht="20.25" customHeight="1">
      <c r="A576" s="29"/>
      <c r="B576" s="343" t="s">
        <v>151</v>
      </c>
      <c r="C576" s="342">
        <v>405.0</v>
      </c>
      <c r="D576" s="160">
        <v>2.33</v>
      </c>
      <c r="E576" s="160" t="s">
        <v>41</v>
      </c>
      <c r="F576" s="160" t="s">
        <v>213</v>
      </c>
      <c r="G576" s="160" t="s">
        <v>17</v>
      </c>
      <c r="H576" s="77" t="s">
        <v>25</v>
      </c>
      <c r="I576" s="77">
        <v>1.0</v>
      </c>
      <c r="J576" s="77">
        <v>120.0</v>
      </c>
      <c r="K576" s="160">
        <f>I576*J576+I577*J577</f>
        <v>1720</v>
      </c>
      <c r="L576" s="160">
        <v>25.0</v>
      </c>
      <c r="M576" s="160">
        <f>(I576+I577)*L576</f>
        <v>425</v>
      </c>
      <c r="N576" s="160">
        <f>M576+K576</f>
        <v>2145</v>
      </c>
    </row>
    <row r="577" ht="20.25" customHeight="1">
      <c r="A577" s="58"/>
      <c r="B577" s="58"/>
      <c r="C577" s="406">
        <v>406.0</v>
      </c>
      <c r="D577" s="58"/>
      <c r="E577" s="58"/>
      <c r="F577" s="58"/>
      <c r="G577" s="58"/>
      <c r="H577" s="73" t="s">
        <v>18</v>
      </c>
      <c r="I577" s="73">
        <v>16.0</v>
      </c>
      <c r="J577" s="73">
        <v>100.0</v>
      </c>
      <c r="K577" s="58"/>
      <c r="L577" s="58"/>
      <c r="M577" s="58"/>
      <c r="N577" s="58"/>
    </row>
    <row r="578" ht="20.25" customHeight="1">
      <c r="A578" s="69">
        <v>46192.0</v>
      </c>
      <c r="B578" s="375" t="s">
        <v>110</v>
      </c>
      <c r="C578" s="342">
        <v>411.0</v>
      </c>
      <c r="D578" s="160">
        <v>0.85</v>
      </c>
      <c r="E578" s="75" t="s">
        <v>68</v>
      </c>
      <c r="F578" s="160" t="s">
        <v>214</v>
      </c>
      <c r="G578" s="160" t="s">
        <v>17</v>
      </c>
      <c r="H578" s="160" t="s">
        <v>18</v>
      </c>
      <c r="I578" s="77">
        <v>1.0</v>
      </c>
      <c r="J578" s="77">
        <v>220.0</v>
      </c>
      <c r="K578" s="370">
        <f>I578*J578+I579*J579+I580*J580+I581*J581</f>
        <v>3370</v>
      </c>
      <c r="L578" s="371">
        <v>400.0</v>
      </c>
      <c r="M578" s="307"/>
      <c r="N578" s="75">
        <f>SUM(K578:M581)</f>
        <v>3770</v>
      </c>
    </row>
    <row r="579" ht="20.25" customHeight="1">
      <c r="A579" s="57"/>
      <c r="B579" s="57"/>
      <c r="D579" s="57"/>
      <c r="E579" s="57"/>
      <c r="F579" s="57"/>
      <c r="G579" s="57"/>
      <c r="H579" s="57"/>
      <c r="I579" s="73">
        <v>7.0</v>
      </c>
      <c r="J579" s="73">
        <v>200.0</v>
      </c>
      <c r="K579" s="57"/>
      <c r="L579" s="294"/>
      <c r="M579" s="70"/>
      <c r="N579" s="57"/>
    </row>
    <row r="580" ht="20.25" customHeight="1">
      <c r="A580" s="29"/>
      <c r="B580" s="29"/>
      <c r="D580" s="29"/>
      <c r="E580" s="29"/>
      <c r="F580" s="29"/>
      <c r="G580" s="29"/>
      <c r="H580" s="29"/>
      <c r="I580" s="77">
        <v>10.0</v>
      </c>
      <c r="J580" s="77">
        <v>150.0</v>
      </c>
      <c r="K580" s="29"/>
      <c r="L580" s="314"/>
      <c r="M580" s="56"/>
      <c r="N580" s="29"/>
    </row>
    <row r="581" ht="20.25" customHeight="1">
      <c r="A581" s="57"/>
      <c r="B581" s="58"/>
      <c r="C581" s="363"/>
      <c r="D581" s="58"/>
      <c r="E581" s="58"/>
      <c r="F581" s="58"/>
      <c r="G581" s="58"/>
      <c r="H581" s="58"/>
      <c r="I581" s="85">
        <v>1.0</v>
      </c>
      <c r="J581" s="73">
        <v>250.0</v>
      </c>
      <c r="K581" s="58"/>
      <c r="L581" s="321"/>
      <c r="M581" s="59"/>
      <c r="N581" s="58"/>
    </row>
    <row r="582" ht="20.25" customHeight="1">
      <c r="A582" s="29"/>
      <c r="B582" s="343" t="s">
        <v>151</v>
      </c>
      <c r="C582" s="342">
        <v>408.0</v>
      </c>
      <c r="D582" s="160">
        <v>2.06</v>
      </c>
      <c r="E582" s="160" t="s">
        <v>41</v>
      </c>
      <c r="F582" s="160" t="s">
        <v>215</v>
      </c>
      <c r="G582" s="160" t="s">
        <v>17</v>
      </c>
      <c r="H582" s="77" t="s">
        <v>25</v>
      </c>
      <c r="I582" s="77">
        <v>1.0</v>
      </c>
      <c r="J582" s="77">
        <v>120.0</v>
      </c>
      <c r="K582" s="160">
        <f>I582*J582+I583*J583</f>
        <v>2220</v>
      </c>
      <c r="L582" s="160">
        <v>25.0</v>
      </c>
      <c r="M582" s="160">
        <f>(I582+I583)*L582</f>
        <v>550</v>
      </c>
      <c r="N582" s="160">
        <f>M582+K582</f>
        <v>2770</v>
      </c>
    </row>
    <row r="583" ht="20.25" customHeight="1">
      <c r="A583" s="58"/>
      <c r="B583" s="58"/>
      <c r="C583" s="406">
        <v>409.0</v>
      </c>
      <c r="D583" s="58"/>
      <c r="E583" s="58"/>
      <c r="F583" s="58"/>
      <c r="G583" s="58"/>
      <c r="H583" s="73" t="s">
        <v>18</v>
      </c>
      <c r="I583" s="73">
        <v>21.0</v>
      </c>
      <c r="J583" s="73">
        <v>100.0</v>
      </c>
      <c r="K583" s="58"/>
      <c r="L583" s="58"/>
      <c r="M583" s="58"/>
      <c r="N583" s="58"/>
    </row>
    <row r="584" ht="20.25" customHeight="1">
      <c r="A584" s="69">
        <v>46193.0</v>
      </c>
      <c r="B584" s="375" t="s">
        <v>110</v>
      </c>
      <c r="C584" s="342">
        <v>411.0</v>
      </c>
      <c r="D584" s="160">
        <v>2.41</v>
      </c>
      <c r="E584" s="75" t="s">
        <v>68</v>
      </c>
      <c r="F584" s="160" t="s">
        <v>216</v>
      </c>
      <c r="G584" s="160" t="s">
        <v>17</v>
      </c>
      <c r="H584" s="160" t="s">
        <v>18</v>
      </c>
      <c r="I584" s="77">
        <v>1.0</v>
      </c>
      <c r="J584" s="77">
        <v>220.0</v>
      </c>
      <c r="K584" s="370">
        <f>I584*J584+I585*J585+I586*J586+I587*J587+I588*J588</f>
        <v>4020</v>
      </c>
      <c r="L584" s="371">
        <v>400.0</v>
      </c>
      <c r="M584" s="307"/>
      <c r="N584" s="75">
        <f>SUM(K584:M587)</f>
        <v>4420</v>
      </c>
    </row>
    <row r="585" ht="20.25" customHeight="1">
      <c r="A585" s="57"/>
      <c r="B585" s="57"/>
      <c r="C585" s="363"/>
      <c r="D585" s="57"/>
      <c r="E585" s="57"/>
      <c r="F585" s="57"/>
      <c r="G585" s="57"/>
      <c r="H585" s="57"/>
      <c r="I585" s="73">
        <v>10.0</v>
      </c>
      <c r="J585" s="73">
        <v>200.0</v>
      </c>
      <c r="K585" s="57"/>
      <c r="L585" s="294"/>
      <c r="M585" s="70"/>
      <c r="N585" s="57"/>
    </row>
    <row r="586" ht="20.25" customHeight="1">
      <c r="A586" s="29"/>
      <c r="B586" s="29"/>
      <c r="C586" s="342">
        <v>412.0</v>
      </c>
      <c r="D586" s="29"/>
      <c r="E586" s="29"/>
      <c r="F586" s="29"/>
      <c r="G586" s="29"/>
      <c r="H586" s="29"/>
      <c r="I586" s="77">
        <v>1.0</v>
      </c>
      <c r="J586" s="77">
        <v>300.0</v>
      </c>
      <c r="K586" s="29"/>
      <c r="L586" s="314"/>
      <c r="M586" s="56"/>
      <c r="N586" s="29"/>
    </row>
    <row r="587" ht="20.25" customHeight="1">
      <c r="A587" s="57"/>
      <c r="B587" s="57"/>
      <c r="D587" s="57"/>
      <c r="E587" s="57"/>
      <c r="F587" s="57"/>
      <c r="G587" s="57"/>
      <c r="H587" s="57"/>
      <c r="I587" s="73">
        <v>3.0</v>
      </c>
      <c r="J587" s="73">
        <v>250.0</v>
      </c>
      <c r="K587" s="57"/>
      <c r="L587" s="294"/>
      <c r="M587" s="70"/>
      <c r="N587" s="57"/>
    </row>
    <row r="588" ht="20.25" customHeight="1">
      <c r="A588" s="29"/>
      <c r="B588" s="20"/>
      <c r="C588" s="368"/>
      <c r="D588" s="20"/>
      <c r="E588" s="20"/>
      <c r="F588" s="20"/>
      <c r="G588" s="20"/>
      <c r="H588" s="20"/>
      <c r="I588" s="77">
        <v>5.0</v>
      </c>
      <c r="J588" s="77">
        <v>150.0</v>
      </c>
      <c r="K588" s="20"/>
      <c r="L588" s="311"/>
      <c r="M588" s="38"/>
      <c r="N588" s="20"/>
    </row>
    <row r="589" ht="20.25" customHeight="1">
      <c r="A589" s="57"/>
      <c r="B589" s="97" t="s">
        <v>151</v>
      </c>
      <c r="C589" s="372">
        <v>418.0</v>
      </c>
      <c r="D589" s="75">
        <v>4.73</v>
      </c>
      <c r="E589" s="75" t="s">
        <v>41</v>
      </c>
      <c r="F589" s="75" t="s">
        <v>217</v>
      </c>
      <c r="G589" s="75" t="s">
        <v>17</v>
      </c>
      <c r="H589" s="73" t="s">
        <v>25</v>
      </c>
      <c r="I589" s="73">
        <v>1.0</v>
      </c>
      <c r="J589" s="73">
        <v>120.0</v>
      </c>
      <c r="K589" s="160">
        <f>I589*J589+I590*J590</f>
        <v>2620</v>
      </c>
      <c r="L589" s="75">
        <v>25.0</v>
      </c>
      <c r="M589" s="75">
        <f>(I589+I590)*L589</f>
        <v>650</v>
      </c>
      <c r="N589" s="75">
        <f>M589+K589</f>
        <v>3270</v>
      </c>
    </row>
    <row r="590" ht="20.25" customHeight="1">
      <c r="A590" s="29"/>
      <c r="B590" s="29"/>
      <c r="C590" s="344">
        <v>419.0</v>
      </c>
      <c r="D590" s="29"/>
      <c r="E590" s="29"/>
      <c r="F590" s="29"/>
      <c r="G590" s="29"/>
      <c r="H590" s="160" t="s">
        <v>18</v>
      </c>
      <c r="I590" s="160">
        <v>25.0</v>
      </c>
      <c r="J590" s="160">
        <v>100.0</v>
      </c>
      <c r="K590" s="29"/>
      <c r="L590" s="29"/>
      <c r="M590" s="29"/>
      <c r="N590" s="29"/>
    </row>
    <row r="591" ht="20.25" customHeight="1">
      <c r="A591" s="57"/>
      <c r="B591" s="57"/>
      <c r="C591" s="372">
        <v>422.0</v>
      </c>
      <c r="D591" s="57"/>
      <c r="E591" s="57"/>
      <c r="F591" s="57"/>
      <c r="G591" s="57"/>
      <c r="H591" s="57"/>
      <c r="I591" s="57"/>
      <c r="J591" s="57"/>
      <c r="K591" s="57"/>
      <c r="L591" s="57"/>
      <c r="M591" s="57"/>
      <c r="N591" s="57"/>
    </row>
    <row r="592" ht="20.25" customHeight="1">
      <c r="A592" s="20"/>
      <c r="B592" s="20"/>
      <c r="C592" s="344">
        <v>423.0</v>
      </c>
      <c r="D592" s="20"/>
      <c r="E592" s="20"/>
      <c r="F592" s="20"/>
      <c r="G592" s="20"/>
      <c r="H592" s="20"/>
      <c r="I592" s="20"/>
      <c r="J592" s="20"/>
      <c r="K592" s="20"/>
      <c r="L592" s="20"/>
      <c r="M592" s="20"/>
      <c r="N592" s="20"/>
    </row>
    <row r="593" ht="20.25" customHeight="1">
      <c r="A593" s="410">
        <v>46194.0</v>
      </c>
      <c r="B593" s="97" t="s">
        <v>22</v>
      </c>
      <c r="C593" s="372">
        <v>422.0</v>
      </c>
      <c r="D593" s="75">
        <v>5.19</v>
      </c>
      <c r="E593" s="75" t="s">
        <v>41</v>
      </c>
      <c r="F593" s="75" t="s">
        <v>218</v>
      </c>
      <c r="G593" s="75" t="s">
        <v>17</v>
      </c>
      <c r="H593" s="73" t="s">
        <v>25</v>
      </c>
      <c r="I593" s="73">
        <v>1.0</v>
      </c>
      <c r="J593" s="73">
        <v>120.0</v>
      </c>
      <c r="K593" s="160">
        <f>I593*J593+I594*J594</f>
        <v>2220</v>
      </c>
      <c r="L593" s="75">
        <v>25.0</v>
      </c>
      <c r="M593" s="75">
        <f>(I593+I594)*L593</f>
        <v>550</v>
      </c>
      <c r="N593" s="75">
        <f>M593+K593</f>
        <v>2770</v>
      </c>
    </row>
    <row r="594" ht="20.25" customHeight="1">
      <c r="A594" s="29"/>
      <c r="B594" s="29"/>
      <c r="C594" s="344">
        <v>423.0</v>
      </c>
      <c r="D594" s="29"/>
      <c r="E594" s="29"/>
      <c r="F594" s="29"/>
      <c r="G594" s="29"/>
      <c r="H594" s="160" t="s">
        <v>18</v>
      </c>
      <c r="I594" s="160">
        <v>21.0</v>
      </c>
      <c r="J594" s="160">
        <v>100.0</v>
      </c>
      <c r="K594" s="29"/>
      <c r="L594" s="29"/>
      <c r="M594" s="29"/>
      <c r="N594" s="29"/>
    </row>
    <row r="595" ht="20.25" customHeight="1">
      <c r="A595" s="57"/>
      <c r="B595" s="57"/>
      <c r="C595" s="372">
        <v>424.0</v>
      </c>
      <c r="D595" s="57"/>
      <c r="E595" s="57"/>
      <c r="F595" s="57"/>
      <c r="G595" s="57"/>
      <c r="H595" s="57"/>
      <c r="I595" s="57"/>
      <c r="J595" s="57"/>
      <c r="K595" s="57"/>
      <c r="L595" s="57"/>
      <c r="M595" s="57"/>
      <c r="N595" s="57"/>
    </row>
    <row r="596" ht="20.25" customHeight="1">
      <c r="A596" s="29"/>
      <c r="B596" s="20"/>
      <c r="C596" s="344">
        <v>418.0</v>
      </c>
      <c r="D596" s="29"/>
      <c r="E596" s="29"/>
      <c r="F596" s="29"/>
      <c r="G596" s="29"/>
      <c r="H596" s="29"/>
      <c r="I596" s="29"/>
      <c r="J596" s="29"/>
      <c r="K596" s="29"/>
      <c r="L596" s="29"/>
      <c r="M596" s="29"/>
      <c r="N596" s="29"/>
    </row>
    <row r="597" ht="20.25" customHeight="1">
      <c r="A597" s="58"/>
      <c r="B597" s="373" t="s">
        <v>151</v>
      </c>
      <c r="C597" s="372">
        <v>410.0</v>
      </c>
      <c r="D597" s="58"/>
      <c r="E597" s="58"/>
      <c r="F597" s="58"/>
      <c r="G597" s="58"/>
      <c r="H597" s="58"/>
      <c r="I597" s="58"/>
      <c r="J597" s="58"/>
      <c r="K597" s="58"/>
      <c r="L597" s="58"/>
      <c r="M597" s="58"/>
      <c r="N597" s="58"/>
    </row>
    <row r="598" ht="20.25" customHeight="1">
      <c r="A598" s="69">
        <v>46195.0</v>
      </c>
      <c r="B598" s="375" t="s">
        <v>110</v>
      </c>
      <c r="C598" s="342">
        <v>411.0</v>
      </c>
      <c r="D598" s="160">
        <v>2.41</v>
      </c>
      <c r="E598" s="75" t="s">
        <v>68</v>
      </c>
      <c r="F598" s="160" t="s">
        <v>219</v>
      </c>
      <c r="G598" s="160" t="s">
        <v>17</v>
      </c>
      <c r="H598" s="160" t="s">
        <v>18</v>
      </c>
      <c r="I598" s="77">
        <v>1.0</v>
      </c>
      <c r="J598" s="77">
        <v>220.0</v>
      </c>
      <c r="K598" s="370">
        <f>I598*J598+I599*J599+I600*J600+I601*J601+I602*J602+I603*J603+I604*J604</f>
        <v>3980</v>
      </c>
      <c r="L598" s="371">
        <v>400.0</v>
      </c>
      <c r="M598" s="307"/>
      <c r="N598" s="75">
        <f>SUM(K598:M601)</f>
        <v>4380</v>
      </c>
    </row>
    <row r="599" ht="20.25" customHeight="1">
      <c r="A599" s="57"/>
      <c r="B599" s="57"/>
      <c r="C599" s="363"/>
      <c r="D599" s="57"/>
      <c r="E599" s="57"/>
      <c r="F599" s="57"/>
      <c r="G599" s="57"/>
      <c r="H599" s="57"/>
      <c r="I599" s="73">
        <v>5.0</v>
      </c>
      <c r="J599" s="73">
        <v>200.0</v>
      </c>
      <c r="K599" s="57"/>
      <c r="L599" s="294"/>
      <c r="M599" s="70"/>
      <c r="N599" s="57"/>
    </row>
    <row r="600" ht="20.25" customHeight="1">
      <c r="A600" s="29"/>
      <c r="B600" s="29"/>
      <c r="C600" s="342">
        <v>412.0</v>
      </c>
      <c r="D600" s="29"/>
      <c r="E600" s="29"/>
      <c r="F600" s="29"/>
      <c r="G600" s="29"/>
      <c r="H600" s="29"/>
      <c r="I600" s="77">
        <v>1.0</v>
      </c>
      <c r="J600" s="77">
        <v>240.0</v>
      </c>
      <c r="K600" s="29"/>
      <c r="L600" s="314"/>
      <c r="M600" s="56"/>
      <c r="N600" s="29"/>
    </row>
    <row r="601" ht="20.25" customHeight="1">
      <c r="A601" s="57"/>
      <c r="B601" s="57"/>
      <c r="D601" s="57"/>
      <c r="E601" s="57"/>
      <c r="F601" s="57"/>
      <c r="G601" s="57"/>
      <c r="H601" s="57"/>
      <c r="I601" s="73">
        <v>5.0</v>
      </c>
      <c r="J601" s="73">
        <v>180.0</v>
      </c>
      <c r="K601" s="57"/>
      <c r="L601" s="294"/>
      <c r="M601" s="70"/>
      <c r="N601" s="57"/>
    </row>
    <row r="602" ht="20.25" customHeight="1">
      <c r="A602" s="29"/>
      <c r="B602" s="29"/>
      <c r="D602" s="29"/>
      <c r="E602" s="29"/>
      <c r="F602" s="29"/>
      <c r="G602" s="29"/>
      <c r="H602" s="29"/>
      <c r="I602" s="77">
        <v>7.0</v>
      </c>
      <c r="J602" s="77">
        <v>150.0</v>
      </c>
      <c r="K602" s="29"/>
      <c r="L602" s="314"/>
      <c r="M602" s="56"/>
      <c r="N602" s="29"/>
    </row>
    <row r="603" ht="20.25" customHeight="1">
      <c r="A603" s="57"/>
      <c r="B603" s="57"/>
      <c r="D603" s="57"/>
      <c r="E603" s="57"/>
      <c r="F603" s="57"/>
      <c r="G603" s="57"/>
      <c r="H603" s="57"/>
      <c r="I603" s="73">
        <v>1.0</v>
      </c>
      <c r="J603" s="73">
        <v>270.0</v>
      </c>
      <c r="K603" s="57"/>
      <c r="L603" s="294"/>
      <c r="M603" s="70"/>
      <c r="N603" s="57"/>
    </row>
    <row r="604" ht="20.25" customHeight="1">
      <c r="A604" s="29"/>
      <c r="B604" s="20"/>
      <c r="C604" s="368"/>
      <c r="D604" s="20"/>
      <c r="E604" s="20"/>
      <c r="F604" s="20"/>
      <c r="G604" s="20"/>
      <c r="H604" s="20"/>
      <c r="I604" s="77">
        <v>1.0</v>
      </c>
      <c r="J604" s="77">
        <v>300.0</v>
      </c>
      <c r="K604" s="20"/>
      <c r="L604" s="311"/>
      <c r="M604" s="38"/>
      <c r="N604" s="20"/>
    </row>
    <row r="605" ht="20.25" customHeight="1">
      <c r="A605" s="57"/>
      <c r="B605" s="97" t="s">
        <v>151</v>
      </c>
      <c r="C605" s="372">
        <v>403.0</v>
      </c>
      <c r="D605" s="75">
        <v>6.45</v>
      </c>
      <c r="E605" s="75" t="s">
        <v>41</v>
      </c>
      <c r="F605" s="75" t="s">
        <v>220</v>
      </c>
      <c r="G605" s="75" t="s">
        <v>17</v>
      </c>
      <c r="H605" s="73" t="s">
        <v>25</v>
      </c>
      <c r="I605" s="73">
        <v>1.0</v>
      </c>
      <c r="J605" s="73">
        <v>120.0</v>
      </c>
      <c r="K605" s="160">
        <f>I605*J605+I606*J606</f>
        <v>2220</v>
      </c>
      <c r="L605" s="75">
        <v>25.0</v>
      </c>
      <c r="M605" s="75">
        <f>(I605+I606)*L605</f>
        <v>550</v>
      </c>
      <c r="N605" s="75">
        <f>M605+K605</f>
        <v>2770</v>
      </c>
    </row>
    <row r="606" ht="20.25" customHeight="1">
      <c r="A606" s="29"/>
      <c r="B606" s="29"/>
      <c r="C606" s="344">
        <v>404.0</v>
      </c>
      <c r="D606" s="29"/>
      <c r="E606" s="29"/>
      <c r="F606" s="29"/>
      <c r="G606" s="29"/>
      <c r="H606" s="160" t="s">
        <v>18</v>
      </c>
      <c r="I606" s="160">
        <v>21.0</v>
      </c>
      <c r="J606" s="160">
        <v>100.0</v>
      </c>
      <c r="K606" s="29"/>
      <c r="L606" s="29"/>
      <c r="M606" s="29"/>
      <c r="N606" s="29"/>
    </row>
    <row r="607" ht="20.25" customHeight="1">
      <c r="A607" s="57"/>
      <c r="B607" s="57"/>
      <c r="C607" s="372">
        <v>405.0</v>
      </c>
      <c r="D607" s="57"/>
      <c r="E607" s="57"/>
      <c r="F607" s="57"/>
      <c r="G607" s="57"/>
      <c r="H607" s="57"/>
      <c r="I607" s="57"/>
      <c r="J607" s="57"/>
      <c r="K607" s="57"/>
      <c r="L607" s="57"/>
      <c r="M607" s="57"/>
      <c r="N607" s="57"/>
    </row>
    <row r="608" ht="20.25" customHeight="1">
      <c r="A608" s="29"/>
      <c r="B608" s="29"/>
      <c r="C608" s="344">
        <v>406.0</v>
      </c>
      <c r="D608" s="29"/>
      <c r="E608" s="29"/>
      <c r="F608" s="29"/>
      <c r="G608" s="29"/>
      <c r="H608" s="29"/>
      <c r="I608" s="29"/>
      <c r="J608" s="29"/>
      <c r="K608" s="29"/>
      <c r="L608" s="29"/>
      <c r="M608" s="29"/>
      <c r="N608" s="29"/>
    </row>
    <row r="609" ht="20.25" customHeight="1">
      <c r="A609" s="57"/>
      <c r="B609" s="57"/>
      <c r="C609" s="372">
        <v>407.0</v>
      </c>
      <c r="D609" s="57"/>
      <c r="E609" s="57"/>
      <c r="F609" s="57"/>
      <c r="G609" s="57"/>
      <c r="H609" s="57"/>
      <c r="I609" s="57"/>
      <c r="J609" s="57"/>
      <c r="K609" s="57"/>
      <c r="L609" s="57"/>
      <c r="M609" s="57"/>
      <c r="N609" s="57"/>
    </row>
    <row r="610" ht="20.25" customHeight="1">
      <c r="A610" s="29"/>
      <c r="B610" s="29"/>
      <c r="C610" s="344">
        <v>408.0</v>
      </c>
      <c r="D610" s="29"/>
      <c r="E610" s="29"/>
      <c r="F610" s="29"/>
      <c r="G610" s="29"/>
      <c r="H610" s="29"/>
      <c r="I610" s="29"/>
      <c r="J610" s="29"/>
      <c r="K610" s="29"/>
      <c r="L610" s="29"/>
      <c r="M610" s="29"/>
      <c r="N610" s="29"/>
    </row>
    <row r="611" ht="20.25" customHeight="1">
      <c r="A611" s="58"/>
      <c r="B611" s="58"/>
      <c r="C611" s="372">
        <v>409.0</v>
      </c>
      <c r="D611" s="58"/>
      <c r="E611" s="58"/>
      <c r="F611" s="58"/>
      <c r="G611" s="58"/>
      <c r="H611" s="58"/>
      <c r="I611" s="58"/>
      <c r="J611" s="58"/>
      <c r="K611" s="58"/>
      <c r="L611" s="58"/>
      <c r="M611" s="58"/>
      <c r="N611" s="58"/>
    </row>
    <row r="612" ht="20.25" customHeight="1">
      <c r="A612" s="69">
        <v>46196.0</v>
      </c>
      <c r="B612" s="375" t="s">
        <v>110</v>
      </c>
      <c r="C612" s="342">
        <v>412.0</v>
      </c>
      <c r="D612" s="160">
        <v>2.82</v>
      </c>
      <c r="E612" s="75" t="s">
        <v>68</v>
      </c>
      <c r="F612" s="160" t="s">
        <v>221</v>
      </c>
      <c r="G612" s="160" t="s">
        <v>17</v>
      </c>
      <c r="H612" s="160" t="s">
        <v>18</v>
      </c>
      <c r="I612" s="73">
        <v>1.0</v>
      </c>
      <c r="J612" s="73">
        <v>220.0</v>
      </c>
      <c r="K612" s="370">
        <f>I612*J612+I613*J613+I614*J614+I615*J615+I616*J616+I617*J617</f>
        <v>3860</v>
      </c>
      <c r="L612" s="371">
        <v>400.0</v>
      </c>
      <c r="M612" s="307"/>
      <c r="N612" s="75">
        <f>SUM(K612:M615)</f>
        <v>4260</v>
      </c>
    </row>
    <row r="613" ht="20.25" customHeight="1">
      <c r="A613" s="57"/>
      <c r="B613" s="57"/>
      <c r="C613" s="363"/>
      <c r="D613" s="57"/>
      <c r="E613" s="57"/>
      <c r="F613" s="57"/>
      <c r="G613" s="57"/>
      <c r="H613" s="57"/>
      <c r="I613" s="73">
        <v>7.0</v>
      </c>
      <c r="J613" s="73">
        <v>200.0</v>
      </c>
      <c r="K613" s="57"/>
      <c r="L613" s="294"/>
      <c r="M613" s="70"/>
      <c r="N613" s="57"/>
    </row>
    <row r="614" ht="20.25" customHeight="1">
      <c r="A614" s="29"/>
      <c r="B614" s="29"/>
      <c r="C614" s="342">
        <v>414.0</v>
      </c>
      <c r="D614" s="29"/>
      <c r="E614" s="29"/>
      <c r="F614" s="29"/>
      <c r="G614" s="29"/>
      <c r="H614" s="29"/>
      <c r="I614" s="73">
        <v>4.0</v>
      </c>
      <c r="J614" s="73">
        <v>150.0</v>
      </c>
      <c r="K614" s="29"/>
      <c r="L614" s="314"/>
      <c r="M614" s="56"/>
      <c r="N614" s="29"/>
    </row>
    <row r="615" ht="20.25" customHeight="1">
      <c r="A615" s="57"/>
      <c r="B615" s="57"/>
      <c r="D615" s="57"/>
      <c r="E615" s="57"/>
      <c r="F615" s="57"/>
      <c r="G615" s="57"/>
      <c r="H615" s="57"/>
      <c r="I615" s="73">
        <v>3.0</v>
      </c>
      <c r="J615" s="73">
        <v>180.0</v>
      </c>
      <c r="K615" s="57"/>
      <c r="L615" s="294"/>
      <c r="M615" s="70"/>
      <c r="N615" s="57"/>
    </row>
    <row r="616" ht="20.25" customHeight="1">
      <c r="A616" s="29"/>
      <c r="B616" s="29"/>
      <c r="D616" s="29"/>
      <c r="E616" s="29"/>
      <c r="F616" s="29"/>
      <c r="G616" s="29"/>
      <c r="H616" s="29"/>
      <c r="I616" s="73">
        <v>3.0</v>
      </c>
      <c r="J616" s="73">
        <v>240.0</v>
      </c>
      <c r="K616" s="29"/>
      <c r="L616" s="314"/>
      <c r="M616" s="56"/>
      <c r="N616" s="29"/>
    </row>
    <row r="617" ht="20.25" customHeight="1">
      <c r="A617" s="57"/>
      <c r="B617" s="58"/>
      <c r="C617" s="363"/>
      <c r="D617" s="58"/>
      <c r="E617" s="58"/>
      <c r="F617" s="58"/>
      <c r="G617" s="58"/>
      <c r="H617" s="58"/>
      <c r="I617" s="73">
        <v>2.0</v>
      </c>
      <c r="J617" s="73">
        <v>190.0</v>
      </c>
      <c r="K617" s="58"/>
      <c r="L617" s="321"/>
      <c r="M617" s="59"/>
      <c r="N617" s="58"/>
    </row>
    <row r="618" ht="20.25" customHeight="1">
      <c r="A618" s="29"/>
      <c r="B618" s="411" t="s">
        <v>151</v>
      </c>
      <c r="C618" s="412">
        <v>426.0</v>
      </c>
      <c r="D618" s="413">
        <v>4.07</v>
      </c>
      <c r="E618" s="160" t="s">
        <v>41</v>
      </c>
      <c r="F618" s="160" t="s">
        <v>222</v>
      </c>
      <c r="G618" s="160" t="s">
        <v>17</v>
      </c>
      <c r="H618" s="77" t="s">
        <v>25</v>
      </c>
      <c r="I618" s="77">
        <v>1.0</v>
      </c>
      <c r="J618" s="77">
        <v>120.0</v>
      </c>
      <c r="K618" s="160">
        <f>I618*J618+I619*J619</f>
        <v>1820</v>
      </c>
      <c r="L618" s="160">
        <v>25.0</v>
      </c>
      <c r="M618" s="160">
        <f>(I618+I619)*L618</f>
        <v>450</v>
      </c>
      <c r="N618" s="160">
        <f>M618+K618</f>
        <v>2270</v>
      </c>
    </row>
    <row r="619" ht="20.25" customHeight="1">
      <c r="A619" s="57"/>
      <c r="B619" s="294"/>
      <c r="C619" s="414">
        <v>427.0</v>
      </c>
      <c r="D619" s="70"/>
      <c r="E619" s="57"/>
      <c r="F619" s="57"/>
      <c r="G619" s="57"/>
      <c r="H619" s="75" t="s">
        <v>18</v>
      </c>
      <c r="I619" s="75">
        <v>17.0</v>
      </c>
      <c r="J619" s="75">
        <v>100.0</v>
      </c>
      <c r="K619" s="57"/>
      <c r="L619" s="57"/>
      <c r="M619" s="57"/>
      <c r="N619" s="57"/>
    </row>
    <row r="620" ht="20.25" customHeight="1">
      <c r="A620" s="29"/>
      <c r="B620" s="314"/>
      <c r="C620" s="415">
        <v>428.0</v>
      </c>
      <c r="D620" s="56"/>
      <c r="E620" s="29"/>
      <c r="F620" s="29"/>
      <c r="G620" s="29"/>
      <c r="H620" s="29"/>
      <c r="I620" s="29"/>
      <c r="J620" s="29"/>
      <c r="K620" s="29"/>
      <c r="L620" s="29"/>
      <c r="M620" s="29"/>
      <c r="N620" s="29"/>
    </row>
    <row r="621" ht="20.25" customHeight="1">
      <c r="A621" s="57"/>
      <c r="B621" s="321"/>
      <c r="C621" s="416">
        <v>424.0</v>
      </c>
      <c r="D621" s="59"/>
      <c r="E621" s="58"/>
      <c r="F621" s="58"/>
      <c r="G621" s="58"/>
      <c r="H621" s="58"/>
      <c r="I621" s="58"/>
      <c r="J621" s="58"/>
      <c r="K621" s="58"/>
      <c r="L621" s="58"/>
      <c r="M621" s="58"/>
      <c r="N621" s="58"/>
    </row>
    <row r="622" ht="20.25" customHeight="1">
      <c r="A622" s="29"/>
      <c r="B622" s="143" t="s">
        <v>223</v>
      </c>
      <c r="C622" s="342">
        <v>401.0</v>
      </c>
      <c r="D622" s="149">
        <v>1.65</v>
      </c>
      <c r="E622" s="149" t="s">
        <v>23</v>
      </c>
      <c r="F622" s="149" t="s">
        <v>224</v>
      </c>
      <c r="G622" s="149" t="s">
        <v>17</v>
      </c>
      <c r="H622" s="139" t="s">
        <v>25</v>
      </c>
      <c r="I622" s="139">
        <v>1.0</v>
      </c>
      <c r="J622" s="139">
        <v>120.0</v>
      </c>
      <c r="K622" s="195">
        <f>I622*J622+I623*J623</f>
        <v>3320</v>
      </c>
      <c r="L622" s="220">
        <v>30.0</v>
      </c>
      <c r="M622" s="207">
        <f>(I622+I623)*L622</f>
        <v>990</v>
      </c>
      <c r="N622" s="234">
        <f>SUM(K622+M622)</f>
        <v>4310</v>
      </c>
    </row>
    <row r="623" ht="20.25" customHeight="1">
      <c r="A623" s="58"/>
      <c r="B623" s="141"/>
      <c r="C623" s="417">
        <v>402.0</v>
      </c>
      <c r="D623" s="141"/>
      <c r="E623" s="141"/>
      <c r="F623" s="141"/>
      <c r="G623" s="141"/>
      <c r="H623" s="136" t="s">
        <v>18</v>
      </c>
      <c r="I623" s="289">
        <v>32.0</v>
      </c>
      <c r="J623" s="136">
        <v>100.0</v>
      </c>
      <c r="K623" s="141"/>
      <c r="L623" s="218"/>
      <c r="M623" s="236"/>
      <c r="N623" s="205"/>
    </row>
    <row r="624" ht="20.25" customHeight="1">
      <c r="A624" s="69">
        <v>46197.0</v>
      </c>
      <c r="B624" s="375" t="s">
        <v>110</v>
      </c>
      <c r="C624" s="342">
        <v>414.0</v>
      </c>
      <c r="D624" s="160">
        <v>1.26</v>
      </c>
      <c r="E624" s="75" t="s">
        <v>68</v>
      </c>
      <c r="F624" s="160" t="s">
        <v>225</v>
      </c>
      <c r="G624" s="160" t="s">
        <v>17</v>
      </c>
      <c r="H624" s="160" t="s">
        <v>18</v>
      </c>
      <c r="I624" s="73">
        <v>1.0</v>
      </c>
      <c r="J624" s="73">
        <v>220.0</v>
      </c>
      <c r="K624" s="370">
        <f>I624*J624+I625*J625+I626*J626+I627*J627</f>
        <v>4100</v>
      </c>
      <c r="L624" s="371">
        <v>400.0</v>
      </c>
      <c r="M624" s="307"/>
      <c r="N624" s="75">
        <f>SUM(K624:M627)</f>
        <v>4500</v>
      </c>
    </row>
    <row r="625" ht="20.25" customHeight="1">
      <c r="A625" s="57"/>
      <c r="B625" s="57"/>
      <c r="D625" s="57"/>
      <c r="E625" s="57"/>
      <c r="F625" s="57"/>
      <c r="G625" s="57"/>
      <c r="H625" s="57"/>
      <c r="I625" s="73">
        <v>5.0</v>
      </c>
      <c r="J625" s="73">
        <v>200.0</v>
      </c>
      <c r="K625" s="57"/>
      <c r="L625" s="294"/>
      <c r="M625" s="70"/>
      <c r="N625" s="57"/>
    </row>
    <row r="626" ht="20.25" customHeight="1">
      <c r="A626" s="29"/>
      <c r="B626" s="29"/>
      <c r="D626" s="29"/>
      <c r="E626" s="29"/>
      <c r="F626" s="29"/>
      <c r="G626" s="29"/>
      <c r="H626" s="29"/>
      <c r="I626" s="73">
        <v>6.0</v>
      </c>
      <c r="J626" s="73">
        <v>240.0</v>
      </c>
      <c r="K626" s="29"/>
      <c r="L626" s="314"/>
      <c r="M626" s="56"/>
      <c r="N626" s="29"/>
    </row>
    <row r="627" ht="20.25" customHeight="1">
      <c r="A627" s="57"/>
      <c r="B627" s="58"/>
      <c r="C627" s="363"/>
      <c r="D627" s="58"/>
      <c r="E627" s="58"/>
      <c r="F627" s="58"/>
      <c r="G627" s="58"/>
      <c r="H627" s="58"/>
      <c r="I627" s="73">
        <v>8.0</v>
      </c>
      <c r="J627" s="73">
        <v>180.0</v>
      </c>
      <c r="K627" s="58"/>
      <c r="L627" s="321"/>
      <c r="M627" s="59"/>
      <c r="N627" s="58"/>
    </row>
    <row r="628" ht="20.25" customHeight="1">
      <c r="A628" s="29"/>
      <c r="B628" s="418" t="s">
        <v>151</v>
      </c>
      <c r="C628" s="412">
        <v>423.0</v>
      </c>
      <c r="D628" s="413">
        <v>4.07</v>
      </c>
      <c r="E628" s="160" t="s">
        <v>41</v>
      </c>
      <c r="F628" s="160" t="s">
        <v>226</v>
      </c>
      <c r="G628" s="160" t="s">
        <v>17</v>
      </c>
      <c r="H628" s="77" t="s">
        <v>25</v>
      </c>
      <c r="I628" s="77">
        <v>1.0</v>
      </c>
      <c r="J628" s="77">
        <v>120.0</v>
      </c>
      <c r="K628" s="160">
        <f>I628*J628+I629*J629</f>
        <v>2120</v>
      </c>
      <c r="L628" s="160">
        <v>25.0</v>
      </c>
      <c r="M628" s="160">
        <f>(I628+I629)*L628</f>
        <v>525</v>
      </c>
      <c r="N628" s="160">
        <f>M628+K628</f>
        <v>2645</v>
      </c>
    </row>
    <row r="629" ht="20.25" customHeight="1">
      <c r="A629" s="57"/>
      <c r="B629" s="321"/>
      <c r="C629" s="419">
        <v>424.0</v>
      </c>
      <c r="D629" s="70"/>
      <c r="E629" s="57"/>
      <c r="F629" s="57"/>
      <c r="G629" s="57"/>
      <c r="H629" s="75" t="s">
        <v>18</v>
      </c>
      <c r="I629" s="75">
        <v>20.0</v>
      </c>
      <c r="J629" s="75">
        <v>100.0</v>
      </c>
      <c r="K629" s="57"/>
      <c r="L629" s="57"/>
      <c r="M629" s="57"/>
      <c r="N629" s="57"/>
    </row>
    <row r="630" ht="20.25" customHeight="1">
      <c r="A630" s="29"/>
      <c r="B630" s="418" t="s">
        <v>22</v>
      </c>
      <c r="C630" s="415">
        <v>418.0</v>
      </c>
      <c r="D630" s="56"/>
      <c r="E630" s="29"/>
      <c r="F630" s="29"/>
      <c r="G630" s="29"/>
      <c r="H630" s="29"/>
      <c r="I630" s="29"/>
      <c r="J630" s="29"/>
      <c r="K630" s="29"/>
      <c r="L630" s="29"/>
      <c r="M630" s="29"/>
      <c r="N630" s="29"/>
    </row>
    <row r="631" ht="20.25" customHeight="1">
      <c r="A631" s="57"/>
      <c r="B631" s="321"/>
      <c r="C631" s="416">
        <v>419.0</v>
      </c>
      <c r="D631" s="59"/>
      <c r="E631" s="58"/>
      <c r="F631" s="58"/>
      <c r="G631" s="58"/>
      <c r="H631" s="58"/>
      <c r="I631" s="58"/>
      <c r="J631" s="58"/>
      <c r="K631" s="58"/>
      <c r="L631" s="58"/>
      <c r="M631" s="58"/>
      <c r="N631" s="58"/>
    </row>
    <row r="632" ht="20.25" customHeight="1">
      <c r="A632" s="29"/>
      <c r="B632" s="420" t="s">
        <v>223</v>
      </c>
      <c r="C632" s="342">
        <v>403.0</v>
      </c>
      <c r="D632" s="149">
        <v>1.65</v>
      </c>
      <c r="E632" s="149" t="s">
        <v>23</v>
      </c>
      <c r="F632" s="149" t="s">
        <v>228</v>
      </c>
      <c r="G632" s="149" t="s">
        <v>17</v>
      </c>
      <c r="H632" s="139" t="s">
        <v>25</v>
      </c>
      <c r="I632" s="139">
        <v>1.0</v>
      </c>
      <c r="J632" s="139">
        <v>120.0</v>
      </c>
      <c r="K632" s="195">
        <f>I632*J632+I633*J633</f>
        <v>2820</v>
      </c>
      <c r="L632" s="220">
        <v>30.0</v>
      </c>
      <c r="M632" s="207">
        <f>(I632+I633)*L632</f>
        <v>840</v>
      </c>
      <c r="N632" s="234">
        <f>SUM(K632+M632)</f>
        <v>3660</v>
      </c>
    </row>
    <row r="633" ht="20.25" customHeight="1">
      <c r="A633" s="58"/>
      <c r="B633" s="141"/>
      <c r="C633" s="417">
        <v>404.0</v>
      </c>
      <c r="D633" s="141"/>
      <c r="E633" s="141"/>
      <c r="F633" s="141"/>
      <c r="G633" s="141"/>
      <c r="H633" s="136" t="s">
        <v>18</v>
      </c>
      <c r="I633" s="289">
        <v>27.0</v>
      </c>
      <c r="J633" s="136">
        <v>100.0</v>
      </c>
      <c r="K633" s="141"/>
      <c r="L633" s="218"/>
      <c r="M633" s="236"/>
      <c r="N633" s="205"/>
    </row>
    <row r="634" ht="20.25" customHeight="1">
      <c r="A634" s="69">
        <v>46198.0</v>
      </c>
      <c r="B634" s="375" t="s">
        <v>110</v>
      </c>
      <c r="C634" s="342">
        <v>414.0</v>
      </c>
      <c r="D634" s="160">
        <v>1.26</v>
      </c>
      <c r="E634" s="75" t="s">
        <v>68</v>
      </c>
      <c r="F634" s="160" t="s">
        <v>229</v>
      </c>
      <c r="G634" s="160" t="s">
        <v>17</v>
      </c>
      <c r="H634" s="160" t="s">
        <v>18</v>
      </c>
      <c r="I634" s="73">
        <v>1.0</v>
      </c>
      <c r="J634" s="73">
        <v>220.0</v>
      </c>
      <c r="K634" s="370">
        <f>I634*J634+I635*J635+I636*J636+I637*J637+I638*J638+I639*J639</f>
        <v>3560</v>
      </c>
      <c r="L634" s="371">
        <v>400.0</v>
      </c>
      <c r="M634" s="307"/>
      <c r="N634" s="75">
        <f>SUM(K634:M637)</f>
        <v>3960</v>
      </c>
    </row>
    <row r="635" ht="20.25" customHeight="1">
      <c r="A635" s="57"/>
      <c r="B635" s="57"/>
      <c r="D635" s="57"/>
      <c r="E635" s="57"/>
      <c r="F635" s="57"/>
      <c r="G635" s="57"/>
      <c r="H635" s="57"/>
      <c r="I635" s="73">
        <v>5.0</v>
      </c>
      <c r="J635" s="73">
        <v>200.0</v>
      </c>
      <c r="K635" s="57"/>
      <c r="L635" s="294"/>
      <c r="M635" s="70"/>
      <c r="N635" s="57"/>
    </row>
    <row r="636" ht="20.25" customHeight="1">
      <c r="A636" s="29"/>
      <c r="B636" s="29"/>
      <c r="D636" s="29"/>
      <c r="E636" s="29"/>
      <c r="F636" s="29"/>
      <c r="G636" s="29"/>
      <c r="H636" s="29"/>
      <c r="I636" s="73">
        <v>4.0</v>
      </c>
      <c r="J636" s="73">
        <v>150.0</v>
      </c>
      <c r="K636" s="29"/>
      <c r="L636" s="314"/>
      <c r="M636" s="56"/>
      <c r="N636" s="29"/>
    </row>
    <row r="637" ht="20.25" customHeight="1">
      <c r="A637" s="57"/>
      <c r="B637" s="57"/>
      <c r="D637" s="57"/>
      <c r="E637" s="57"/>
      <c r="F637" s="57"/>
      <c r="G637" s="57"/>
      <c r="H637" s="57"/>
      <c r="I637" s="73">
        <v>6.0</v>
      </c>
      <c r="J637" s="73">
        <v>180.0</v>
      </c>
      <c r="K637" s="57"/>
      <c r="L637" s="294"/>
      <c r="M637" s="70"/>
      <c r="N637" s="57"/>
    </row>
    <row r="638" ht="20.25" customHeight="1">
      <c r="A638" s="29"/>
      <c r="B638" s="29"/>
      <c r="D638" s="29"/>
      <c r="E638" s="29"/>
      <c r="F638" s="29"/>
      <c r="G638" s="29"/>
      <c r="H638" s="29"/>
      <c r="I638" s="73">
        <v>2.0</v>
      </c>
      <c r="J638" s="73">
        <v>210.0</v>
      </c>
      <c r="K638" s="29"/>
      <c r="L638" s="314"/>
      <c r="M638" s="56"/>
      <c r="N638" s="29"/>
    </row>
    <row r="639" ht="20.25" customHeight="1">
      <c r="A639" s="57"/>
      <c r="B639" s="58"/>
      <c r="C639" s="363"/>
      <c r="D639" s="58"/>
      <c r="E639" s="58"/>
      <c r="F639" s="58"/>
      <c r="G639" s="58"/>
      <c r="H639" s="58"/>
      <c r="I639" s="73">
        <v>1.0</v>
      </c>
      <c r="J639" s="73">
        <v>240.0</v>
      </c>
      <c r="K639" s="58"/>
      <c r="L639" s="321"/>
      <c r="M639" s="59"/>
      <c r="N639" s="58"/>
    </row>
    <row r="640" ht="20.25" customHeight="1">
      <c r="A640" s="29"/>
      <c r="B640" s="418" t="s">
        <v>151</v>
      </c>
      <c r="C640" s="421">
        <v>421.0</v>
      </c>
      <c r="D640" s="413">
        <v>3.82</v>
      </c>
      <c r="E640" s="160" t="s">
        <v>41</v>
      </c>
      <c r="F640" s="160" t="s">
        <v>230</v>
      </c>
      <c r="G640" s="160" t="s">
        <v>17</v>
      </c>
      <c r="H640" s="77" t="s">
        <v>25</v>
      </c>
      <c r="I640" s="77">
        <v>1.0</v>
      </c>
      <c r="J640" s="77">
        <v>120.0</v>
      </c>
      <c r="K640" s="160">
        <f>I640*J640+I641*J641</f>
        <v>2020</v>
      </c>
      <c r="L640" s="160">
        <v>25.0</v>
      </c>
      <c r="M640" s="160">
        <f>(I640+I641)*L640</f>
        <v>500</v>
      </c>
      <c r="N640" s="160">
        <f>M640+K640</f>
        <v>2520</v>
      </c>
    </row>
    <row r="641" ht="20.25" customHeight="1">
      <c r="A641" s="57"/>
      <c r="B641" s="294"/>
      <c r="C641" s="422">
        <v>422.0</v>
      </c>
      <c r="D641" s="70"/>
      <c r="E641" s="57"/>
      <c r="F641" s="57"/>
      <c r="G641" s="57"/>
      <c r="H641" s="75" t="s">
        <v>18</v>
      </c>
      <c r="I641" s="75">
        <v>19.0</v>
      </c>
      <c r="J641" s="75">
        <v>100.0</v>
      </c>
      <c r="K641" s="57"/>
      <c r="L641" s="57"/>
      <c r="M641" s="57"/>
      <c r="N641" s="57"/>
    </row>
    <row r="642" ht="20.25" customHeight="1">
      <c r="A642" s="29"/>
      <c r="B642" s="311"/>
      <c r="C642" s="423">
        <v>410.0</v>
      </c>
      <c r="D642" s="56"/>
      <c r="E642" s="29"/>
      <c r="F642" s="29"/>
      <c r="G642" s="29"/>
      <c r="H642" s="29"/>
      <c r="I642" s="29"/>
      <c r="J642" s="29"/>
      <c r="K642" s="29"/>
      <c r="L642" s="29"/>
      <c r="M642" s="29"/>
      <c r="N642" s="29"/>
    </row>
    <row r="643" ht="20.25" customHeight="1">
      <c r="A643" s="57"/>
      <c r="B643" s="424" t="s">
        <v>22</v>
      </c>
      <c r="C643" s="425">
        <v>411.0</v>
      </c>
      <c r="D643" s="59"/>
      <c r="E643" s="58"/>
      <c r="F643" s="58"/>
      <c r="G643" s="58"/>
      <c r="H643" s="58"/>
      <c r="I643" s="58"/>
      <c r="J643" s="58"/>
      <c r="K643" s="58"/>
      <c r="L643" s="58"/>
      <c r="M643" s="58"/>
      <c r="N643" s="58"/>
    </row>
    <row r="644" ht="20.25" customHeight="1">
      <c r="A644" s="29"/>
      <c r="B644" s="143" t="s">
        <v>223</v>
      </c>
      <c r="C644" s="342">
        <v>405.0</v>
      </c>
      <c r="D644" s="149">
        <v>1.23</v>
      </c>
      <c r="E644" s="149" t="s">
        <v>23</v>
      </c>
      <c r="F644" s="149" t="s">
        <v>231</v>
      </c>
      <c r="G644" s="149" t="s">
        <v>17</v>
      </c>
      <c r="H644" s="139" t="s">
        <v>25</v>
      </c>
      <c r="I644" s="139">
        <v>1.0</v>
      </c>
      <c r="J644" s="139">
        <v>120.0</v>
      </c>
      <c r="K644" s="195">
        <f>I644*J644+I645*J645</f>
        <v>2820</v>
      </c>
      <c r="L644" s="220">
        <v>30.0</v>
      </c>
      <c r="M644" s="207">
        <f>(I644+I645)*L644</f>
        <v>840</v>
      </c>
      <c r="N644" s="234">
        <f>SUM(K644+M644)</f>
        <v>3660</v>
      </c>
    </row>
    <row r="645" ht="20.25" customHeight="1">
      <c r="A645" s="58"/>
      <c r="B645" s="141"/>
      <c r="C645" s="341">
        <v>406.0</v>
      </c>
      <c r="D645" s="141"/>
      <c r="E645" s="141"/>
      <c r="F645" s="141"/>
      <c r="G645" s="141"/>
      <c r="H645" s="136" t="s">
        <v>18</v>
      </c>
      <c r="I645" s="289">
        <v>27.0</v>
      </c>
      <c r="J645" s="136">
        <v>100.0</v>
      </c>
      <c r="K645" s="141"/>
      <c r="L645" s="218"/>
      <c r="M645" s="236"/>
      <c r="N645" s="205"/>
    </row>
    <row r="646" ht="20.25" customHeight="1">
      <c r="A646" s="69">
        <v>46199.0</v>
      </c>
      <c r="B646" s="375" t="s">
        <v>110</v>
      </c>
      <c r="C646" s="426">
        <v>413.0</v>
      </c>
      <c r="D646" s="160">
        <v>1.27</v>
      </c>
      <c r="E646" s="75" t="s">
        <v>68</v>
      </c>
      <c r="F646" s="160" t="s">
        <v>232</v>
      </c>
      <c r="G646" s="160" t="s">
        <v>17</v>
      </c>
      <c r="H646" s="160" t="s">
        <v>18</v>
      </c>
      <c r="I646" s="73">
        <v>1.0</v>
      </c>
      <c r="J646" s="73">
        <v>220.0</v>
      </c>
      <c r="K646" s="370">
        <f>I646*J646+I647*J647+I648*J648+I649*J649+I650*J650+I651*J651+I652*J652+I653*J653</f>
        <v>3620</v>
      </c>
      <c r="L646" s="371">
        <v>400.0</v>
      </c>
      <c r="M646" s="307"/>
      <c r="N646" s="75">
        <f>SUM(K646:M649)</f>
        <v>4020</v>
      </c>
    </row>
    <row r="647" ht="20.25" customHeight="1">
      <c r="A647" s="57"/>
      <c r="B647" s="57"/>
      <c r="D647" s="57"/>
      <c r="E647" s="57"/>
      <c r="F647" s="57"/>
      <c r="G647" s="57"/>
      <c r="H647" s="57"/>
      <c r="I647" s="73">
        <v>5.0</v>
      </c>
      <c r="J647" s="73">
        <v>200.0</v>
      </c>
      <c r="K647" s="57"/>
      <c r="L647" s="294"/>
      <c r="M647" s="70"/>
      <c r="N647" s="57"/>
    </row>
    <row r="648" ht="20.25" customHeight="1">
      <c r="A648" s="29"/>
      <c r="B648" s="29"/>
      <c r="D648" s="29"/>
      <c r="E648" s="29"/>
      <c r="F648" s="29"/>
      <c r="G648" s="29"/>
      <c r="H648" s="29"/>
      <c r="I648" s="73">
        <v>1.0</v>
      </c>
      <c r="J648" s="73">
        <v>360.0</v>
      </c>
      <c r="K648" s="29"/>
      <c r="L648" s="314"/>
      <c r="M648" s="56"/>
      <c r="N648" s="29"/>
    </row>
    <row r="649" ht="20.25" customHeight="1">
      <c r="A649" s="57"/>
      <c r="B649" s="57"/>
      <c r="C649" s="427">
        <v>415.0</v>
      </c>
      <c r="D649" s="57"/>
      <c r="E649" s="57"/>
      <c r="F649" s="57"/>
      <c r="G649" s="57"/>
      <c r="H649" s="57"/>
      <c r="I649" s="73">
        <v>1.0</v>
      </c>
      <c r="J649" s="73">
        <v>210.0</v>
      </c>
      <c r="K649" s="57"/>
      <c r="L649" s="294"/>
      <c r="M649" s="70"/>
      <c r="N649" s="57"/>
    </row>
    <row r="650" ht="20.25" customHeight="1">
      <c r="A650" s="29"/>
      <c r="B650" s="29"/>
      <c r="C650" s="314"/>
      <c r="D650" s="29"/>
      <c r="E650" s="29"/>
      <c r="F650" s="29"/>
      <c r="G650" s="29"/>
      <c r="H650" s="29"/>
      <c r="I650" s="73">
        <v>2.0</v>
      </c>
      <c r="J650" s="73">
        <v>150.0</v>
      </c>
      <c r="K650" s="29"/>
      <c r="L650" s="314"/>
      <c r="M650" s="56"/>
      <c r="N650" s="29"/>
    </row>
    <row r="651" ht="20.25" customHeight="1">
      <c r="A651" s="57"/>
      <c r="B651" s="57"/>
      <c r="C651" s="294"/>
      <c r="D651" s="57"/>
      <c r="E651" s="57"/>
      <c r="F651" s="57"/>
      <c r="G651" s="57"/>
      <c r="H651" s="57"/>
      <c r="I651" s="73">
        <v>1.0</v>
      </c>
      <c r="J651" s="73">
        <v>270.0</v>
      </c>
      <c r="K651" s="57"/>
      <c r="L651" s="294"/>
      <c r="M651" s="70"/>
      <c r="N651" s="57"/>
    </row>
    <row r="652" ht="20.25" customHeight="1">
      <c r="A652" s="29"/>
      <c r="B652" s="29"/>
      <c r="C652" s="314"/>
      <c r="D652" s="29"/>
      <c r="E652" s="29"/>
      <c r="F652" s="29"/>
      <c r="G652" s="29"/>
      <c r="H652" s="29"/>
      <c r="I652" s="73">
        <v>3.0</v>
      </c>
      <c r="J652" s="73">
        <v>240.0</v>
      </c>
      <c r="K652" s="29"/>
      <c r="L652" s="314"/>
      <c r="M652" s="56"/>
      <c r="N652" s="29"/>
    </row>
    <row r="653" ht="20.25" customHeight="1">
      <c r="A653" s="57"/>
      <c r="B653" s="58"/>
      <c r="C653" s="294"/>
      <c r="D653" s="58"/>
      <c r="E653" s="58"/>
      <c r="F653" s="58"/>
      <c r="G653" s="58"/>
      <c r="H653" s="58"/>
      <c r="I653" s="73">
        <v>3.0</v>
      </c>
      <c r="J653" s="73">
        <v>180.0</v>
      </c>
      <c r="K653" s="58"/>
      <c r="L653" s="321"/>
      <c r="M653" s="59"/>
      <c r="N653" s="58"/>
    </row>
    <row r="654" ht="20.25" customHeight="1">
      <c r="A654" s="29"/>
      <c r="B654" s="428" t="s">
        <v>233</v>
      </c>
      <c r="C654" s="429">
        <v>411.0</v>
      </c>
      <c r="D654" s="413">
        <v>3.67</v>
      </c>
      <c r="E654" s="160" t="s">
        <v>41</v>
      </c>
      <c r="F654" s="160" t="s">
        <v>234</v>
      </c>
      <c r="G654" s="160" t="s">
        <v>17</v>
      </c>
      <c r="H654" s="77" t="s">
        <v>25</v>
      </c>
      <c r="I654" s="77">
        <v>1.0</v>
      </c>
      <c r="J654" s="77">
        <v>120.0</v>
      </c>
      <c r="K654" s="160">
        <f>I654*J654+I655*J655</f>
        <v>2120</v>
      </c>
      <c r="L654" s="160">
        <v>25.0</v>
      </c>
      <c r="M654" s="160">
        <f>(I654+I655)*L654</f>
        <v>525</v>
      </c>
      <c r="N654" s="160">
        <f>M654+K654</f>
        <v>2645</v>
      </c>
    </row>
    <row r="655" ht="20.25" customHeight="1">
      <c r="A655" s="57"/>
      <c r="B655" s="236"/>
      <c r="C655" s="431">
        <v>412.0</v>
      </c>
      <c r="D655" s="70"/>
      <c r="E655" s="57"/>
      <c r="F655" s="57"/>
      <c r="G655" s="57"/>
      <c r="H655" s="75" t="s">
        <v>18</v>
      </c>
      <c r="I655" s="75">
        <v>20.0</v>
      </c>
      <c r="J655" s="75">
        <v>100.0</v>
      </c>
      <c r="K655" s="57"/>
      <c r="L655" s="57"/>
      <c r="M655" s="57"/>
      <c r="N655" s="57"/>
    </row>
    <row r="656" ht="20.25" customHeight="1">
      <c r="A656" s="29"/>
      <c r="B656" s="432" t="s">
        <v>236</v>
      </c>
      <c r="C656" s="421">
        <v>414.0</v>
      </c>
      <c r="D656" s="56"/>
      <c r="E656" s="29"/>
      <c r="F656" s="29"/>
      <c r="G656" s="29"/>
      <c r="H656" s="29"/>
      <c r="I656" s="29"/>
      <c r="J656" s="29"/>
      <c r="K656" s="29"/>
      <c r="L656" s="29"/>
      <c r="M656" s="29"/>
      <c r="N656" s="29"/>
    </row>
    <row r="657" ht="20.25" customHeight="1">
      <c r="A657" s="57"/>
      <c r="C657" s="236"/>
      <c r="D657" s="59"/>
      <c r="E657" s="58"/>
      <c r="F657" s="58"/>
      <c r="G657" s="58"/>
      <c r="H657" s="58"/>
      <c r="I657" s="58"/>
      <c r="J657" s="58"/>
      <c r="K657" s="58"/>
      <c r="L657" s="58"/>
      <c r="M657" s="58"/>
      <c r="N657" s="58"/>
    </row>
    <row r="658" ht="20.25" customHeight="1">
      <c r="A658" s="29"/>
      <c r="B658" s="143" t="s">
        <v>223</v>
      </c>
      <c r="C658" s="342">
        <v>406.0</v>
      </c>
      <c r="D658" s="149">
        <v>1.82</v>
      </c>
      <c r="E658" s="149" t="s">
        <v>23</v>
      </c>
      <c r="F658" s="149" t="s">
        <v>237</v>
      </c>
      <c r="G658" s="149" t="s">
        <v>17</v>
      </c>
      <c r="H658" s="139" t="s">
        <v>25</v>
      </c>
      <c r="I658" s="139">
        <v>1.0</v>
      </c>
      <c r="J658" s="139">
        <v>120.0</v>
      </c>
      <c r="K658" s="195">
        <f>I658*J658+I659*J659</f>
        <v>2920</v>
      </c>
      <c r="L658" s="220">
        <v>30.0</v>
      </c>
      <c r="M658" s="207">
        <f>(I658+I659)*L658</f>
        <v>870</v>
      </c>
      <c r="N658" s="234">
        <f>SUM(K658+M658)</f>
        <v>3790</v>
      </c>
    </row>
    <row r="659" ht="20.25" customHeight="1">
      <c r="A659" s="58"/>
      <c r="B659" s="141"/>
      <c r="C659" s="417">
        <v>407.0</v>
      </c>
      <c r="D659" s="141"/>
      <c r="E659" s="141"/>
      <c r="F659" s="141"/>
      <c r="G659" s="141"/>
      <c r="H659" s="136" t="s">
        <v>18</v>
      </c>
      <c r="I659" s="289">
        <v>28.0</v>
      </c>
      <c r="J659" s="136">
        <v>100.0</v>
      </c>
      <c r="K659" s="141"/>
      <c r="L659" s="218"/>
      <c r="M659" s="236"/>
      <c r="N659" s="205"/>
    </row>
    <row r="660" ht="20.25" customHeight="1">
      <c r="A660" s="69">
        <v>46200.0</v>
      </c>
      <c r="B660" s="375" t="s">
        <v>110</v>
      </c>
      <c r="C660" s="426">
        <v>415.0</v>
      </c>
      <c r="D660" s="160">
        <v>1.58</v>
      </c>
      <c r="E660" s="75" t="s">
        <v>68</v>
      </c>
      <c r="F660" s="160" t="s">
        <v>238</v>
      </c>
      <c r="G660" s="160" t="s">
        <v>17</v>
      </c>
      <c r="H660" s="160" t="s">
        <v>18</v>
      </c>
      <c r="I660" s="73">
        <v>1.0</v>
      </c>
      <c r="J660" s="73">
        <v>220.0</v>
      </c>
      <c r="K660" s="370">
        <f>I660*J660+I661*J661+I662*J662+I663*J663</f>
        <v>3980</v>
      </c>
      <c r="L660" s="371">
        <v>400.0</v>
      </c>
      <c r="M660" s="307"/>
      <c r="N660" s="75">
        <f>SUM(K660:M663)</f>
        <v>4380</v>
      </c>
    </row>
    <row r="661" ht="20.25" customHeight="1">
      <c r="A661" s="57"/>
      <c r="B661" s="57"/>
      <c r="D661" s="57"/>
      <c r="E661" s="57"/>
      <c r="F661" s="57"/>
      <c r="G661" s="57"/>
      <c r="H661" s="57"/>
      <c r="I661" s="73">
        <v>5.0</v>
      </c>
      <c r="J661" s="73">
        <v>200.0</v>
      </c>
      <c r="K661" s="57"/>
      <c r="L661" s="294"/>
      <c r="M661" s="70"/>
      <c r="N661" s="57"/>
    </row>
    <row r="662" ht="20.25" customHeight="1">
      <c r="A662" s="29"/>
      <c r="B662" s="29"/>
      <c r="D662" s="29"/>
      <c r="E662" s="29"/>
      <c r="F662" s="29"/>
      <c r="G662" s="29"/>
      <c r="H662" s="29"/>
      <c r="I662" s="73">
        <v>4.0</v>
      </c>
      <c r="J662" s="73">
        <v>240.0</v>
      </c>
      <c r="K662" s="29"/>
      <c r="L662" s="314"/>
      <c r="M662" s="56"/>
      <c r="N662" s="29"/>
    </row>
    <row r="663" ht="20.25" customHeight="1">
      <c r="A663" s="57"/>
      <c r="B663" s="58"/>
      <c r="C663" s="341">
        <v>416.0</v>
      </c>
      <c r="D663" s="58"/>
      <c r="E663" s="58"/>
      <c r="F663" s="58"/>
      <c r="G663" s="58"/>
      <c r="H663" s="58"/>
      <c r="I663" s="73">
        <v>10.0</v>
      </c>
      <c r="J663" s="73">
        <v>180.0</v>
      </c>
      <c r="K663" s="58"/>
      <c r="L663" s="321"/>
      <c r="M663" s="59"/>
      <c r="N663" s="58"/>
    </row>
    <row r="664" ht="20.25" customHeight="1">
      <c r="A664" s="29"/>
      <c r="B664" s="418" t="s">
        <v>233</v>
      </c>
      <c r="C664" s="388">
        <v>413.0</v>
      </c>
      <c r="D664" s="413">
        <v>2.53</v>
      </c>
      <c r="E664" s="160" t="s">
        <v>41</v>
      </c>
      <c r="F664" s="160" t="s">
        <v>239</v>
      </c>
      <c r="G664" s="160" t="s">
        <v>17</v>
      </c>
      <c r="H664" s="77" t="s">
        <v>25</v>
      </c>
      <c r="I664" s="77">
        <v>1.0</v>
      </c>
      <c r="J664" s="77">
        <v>120.0</v>
      </c>
      <c r="K664" s="160">
        <f>I664*J664+I665*J665</f>
        <v>2120</v>
      </c>
      <c r="L664" s="160">
        <v>25.0</v>
      </c>
      <c r="M664" s="160">
        <f>(I664+I665)*L664</f>
        <v>525</v>
      </c>
      <c r="N664" s="160">
        <f>M664+K664</f>
        <v>2645</v>
      </c>
    </row>
    <row r="665" ht="20.25" customHeight="1">
      <c r="A665" s="57"/>
      <c r="B665" s="294"/>
      <c r="C665" s="313">
        <v>414.0</v>
      </c>
      <c r="D665" s="70"/>
      <c r="E665" s="57"/>
      <c r="F665" s="57"/>
      <c r="G665" s="57"/>
      <c r="H665" s="75" t="s">
        <v>18</v>
      </c>
      <c r="I665" s="75">
        <v>20.0</v>
      </c>
      <c r="J665" s="75">
        <v>100.0</v>
      </c>
      <c r="K665" s="57"/>
      <c r="L665" s="57"/>
      <c r="M665" s="57"/>
      <c r="N665" s="57"/>
    </row>
    <row r="666" ht="20.25" customHeight="1">
      <c r="A666" s="29"/>
      <c r="B666" s="314"/>
      <c r="C666" s="401">
        <v>415.0</v>
      </c>
      <c r="D666" s="38"/>
      <c r="E666" s="20"/>
      <c r="F666" s="20"/>
      <c r="G666" s="20"/>
      <c r="H666" s="20"/>
      <c r="I666" s="20"/>
      <c r="J666" s="20"/>
      <c r="K666" s="20"/>
      <c r="L666" s="20"/>
      <c r="M666" s="20"/>
      <c r="N666" s="20"/>
    </row>
    <row r="667" ht="20.25" customHeight="1">
      <c r="A667" s="57"/>
      <c r="B667" s="106" t="s">
        <v>223</v>
      </c>
      <c r="C667" s="435">
        <v>408.0</v>
      </c>
      <c r="D667" s="110">
        <v>2.73</v>
      </c>
      <c r="E667" s="110" t="s">
        <v>23</v>
      </c>
      <c r="F667" s="110" t="s">
        <v>242</v>
      </c>
      <c r="G667" s="110" t="s">
        <v>17</v>
      </c>
      <c r="H667" s="136" t="s">
        <v>25</v>
      </c>
      <c r="I667" s="136">
        <v>1.0</v>
      </c>
      <c r="J667" s="136">
        <v>120.0</v>
      </c>
      <c r="K667" s="195">
        <f>I667*J667+I668*J668</f>
        <v>4120</v>
      </c>
      <c r="L667" s="214">
        <v>30.0</v>
      </c>
      <c r="M667" s="233">
        <f>(I667+I668)*L667</f>
        <v>1230</v>
      </c>
      <c r="N667" s="234">
        <f>SUM(K667+M667)</f>
        <v>5350</v>
      </c>
    </row>
    <row r="668" ht="20.25" customHeight="1">
      <c r="A668" s="29"/>
      <c r="B668" s="29"/>
      <c r="C668" s="401">
        <v>410.0</v>
      </c>
      <c r="D668" s="29"/>
      <c r="E668" s="29"/>
      <c r="F668" s="29"/>
      <c r="G668" s="29"/>
      <c r="H668" s="149" t="s">
        <v>18</v>
      </c>
      <c r="I668" s="291">
        <v>40.0</v>
      </c>
      <c r="J668" s="149">
        <v>100.0</v>
      </c>
      <c r="K668" s="29"/>
      <c r="L668" s="216"/>
      <c r="M668" s="235"/>
      <c r="N668" s="202"/>
    </row>
    <row r="669" ht="20.25" customHeight="1">
      <c r="A669" s="58"/>
      <c r="B669" s="141"/>
      <c r="C669" s="58"/>
      <c r="D669" s="141"/>
      <c r="E669" s="141"/>
      <c r="F669" s="141"/>
      <c r="G669" s="141"/>
      <c r="H669" s="141"/>
      <c r="I669" s="319"/>
      <c r="J669" s="141"/>
      <c r="K669" s="141"/>
      <c r="L669" s="218"/>
      <c r="M669" s="236"/>
      <c r="N669" s="205"/>
    </row>
    <row r="670" ht="20.25" customHeight="1">
      <c r="A670" s="69">
        <v>46201.0</v>
      </c>
      <c r="B670" s="375" t="s">
        <v>110</v>
      </c>
      <c r="C670" s="342">
        <v>416.0</v>
      </c>
      <c r="D670" s="160">
        <v>2.63</v>
      </c>
      <c r="E670" s="75" t="s">
        <v>68</v>
      </c>
      <c r="F670" s="160" t="s">
        <v>243</v>
      </c>
      <c r="G670" s="160" t="s">
        <v>17</v>
      </c>
      <c r="H670" s="160" t="s">
        <v>18</v>
      </c>
      <c r="I670" s="73">
        <v>1.0</v>
      </c>
      <c r="J670" s="73">
        <v>220.0</v>
      </c>
      <c r="K670" s="370">
        <f>I670*J670+I671*J671+I672*J672+I673*J673</f>
        <v>3500</v>
      </c>
      <c r="L670" s="371">
        <v>400.0</v>
      </c>
      <c r="M670" s="307"/>
      <c r="N670" s="75">
        <f>SUM(K670:M673)</f>
        <v>3900</v>
      </c>
    </row>
    <row r="671" ht="20.25" customHeight="1">
      <c r="A671" s="57"/>
      <c r="B671" s="57"/>
      <c r="D671" s="57"/>
      <c r="E671" s="57"/>
      <c r="F671" s="57"/>
      <c r="G671" s="57"/>
      <c r="H671" s="57"/>
      <c r="I671" s="73">
        <v>5.0</v>
      </c>
      <c r="J671" s="73">
        <v>200.0</v>
      </c>
      <c r="K671" s="57"/>
      <c r="L671" s="294"/>
      <c r="M671" s="70"/>
      <c r="N671" s="57"/>
    </row>
    <row r="672" ht="20.25" customHeight="1">
      <c r="A672" s="29"/>
      <c r="B672" s="29"/>
      <c r="D672" s="29"/>
      <c r="E672" s="29"/>
      <c r="F672" s="29"/>
      <c r="G672" s="29"/>
      <c r="H672" s="29"/>
      <c r="I672" s="73">
        <v>1.0</v>
      </c>
      <c r="J672" s="73">
        <v>180.0</v>
      </c>
      <c r="K672" s="29"/>
      <c r="L672" s="314"/>
      <c r="M672" s="56"/>
      <c r="N672" s="29"/>
    </row>
    <row r="673" ht="20.25" customHeight="1">
      <c r="A673" s="57"/>
      <c r="B673" s="58"/>
      <c r="C673" s="341">
        <v>417.0</v>
      </c>
      <c r="D673" s="58"/>
      <c r="E673" s="58"/>
      <c r="F673" s="58"/>
      <c r="G673" s="58"/>
      <c r="H673" s="58"/>
      <c r="I673" s="73">
        <v>14.0</v>
      </c>
      <c r="J673" s="73">
        <v>150.0</v>
      </c>
      <c r="K673" s="58"/>
      <c r="L673" s="321"/>
      <c r="M673" s="59"/>
      <c r="N673" s="58"/>
    </row>
    <row r="674" ht="20.25" customHeight="1">
      <c r="A674" s="29"/>
      <c r="B674" s="418" t="s">
        <v>233</v>
      </c>
      <c r="C674" s="436">
        <v>411.0</v>
      </c>
      <c r="D674" s="413">
        <v>2.41</v>
      </c>
      <c r="E674" s="160" t="s">
        <v>41</v>
      </c>
      <c r="F674" s="160" t="s">
        <v>245</v>
      </c>
      <c r="G674" s="160" t="s">
        <v>17</v>
      </c>
      <c r="H674" s="77" t="s">
        <v>25</v>
      </c>
      <c r="I674" s="77">
        <v>1.0</v>
      </c>
      <c r="J674" s="77">
        <v>120.0</v>
      </c>
      <c r="K674" s="160">
        <f>I674*J674+I675*J675</f>
        <v>1620</v>
      </c>
      <c r="L674" s="160">
        <v>25.0</v>
      </c>
      <c r="M674" s="160">
        <f>(I674+I675)*L674</f>
        <v>400</v>
      </c>
      <c r="N674" s="160">
        <f>M674+K674</f>
        <v>2020</v>
      </c>
    </row>
    <row r="675" ht="20.25" customHeight="1">
      <c r="A675" s="57"/>
      <c r="B675" s="294"/>
      <c r="C675" s="372">
        <v>412.0</v>
      </c>
      <c r="D675" s="59"/>
      <c r="E675" s="58"/>
      <c r="F675" s="58"/>
      <c r="G675" s="58"/>
      <c r="H675" s="73" t="s">
        <v>18</v>
      </c>
      <c r="I675" s="73">
        <v>15.0</v>
      </c>
      <c r="J675" s="73">
        <v>100.0</v>
      </c>
      <c r="K675" s="58"/>
      <c r="L675" s="58"/>
      <c r="M675" s="58"/>
      <c r="N675" s="58"/>
    </row>
    <row r="676" ht="20.25" customHeight="1">
      <c r="A676" s="29"/>
      <c r="B676" s="143" t="s">
        <v>151</v>
      </c>
      <c r="C676" s="342">
        <v>409.0</v>
      </c>
      <c r="D676" s="149">
        <v>1.0</v>
      </c>
      <c r="E676" s="149" t="s">
        <v>23</v>
      </c>
      <c r="F676" s="149" t="s">
        <v>246</v>
      </c>
      <c r="G676" s="149" t="s">
        <v>17</v>
      </c>
      <c r="H676" s="139" t="s">
        <v>25</v>
      </c>
      <c r="I676" s="139">
        <v>1.0</v>
      </c>
      <c r="J676" s="139">
        <v>120.0</v>
      </c>
      <c r="K676" s="195">
        <f>I676*J676+I677*J677</f>
        <v>2120</v>
      </c>
      <c r="L676" s="220">
        <v>30.0</v>
      </c>
      <c r="M676" s="207">
        <f>(I676+I677)*L676</f>
        <v>630</v>
      </c>
      <c r="N676" s="234">
        <f>SUM(K676+M676)</f>
        <v>2750</v>
      </c>
    </row>
    <row r="677" ht="20.25" customHeight="1">
      <c r="A677" s="57"/>
      <c r="B677" s="57"/>
      <c r="D677" s="57"/>
      <c r="E677" s="57"/>
      <c r="F677" s="57"/>
      <c r="G677" s="57"/>
      <c r="H677" s="110" t="s">
        <v>18</v>
      </c>
      <c r="I677" s="289">
        <v>20.0</v>
      </c>
      <c r="J677" s="110">
        <v>100.0</v>
      </c>
      <c r="K677" s="57"/>
      <c r="L677" s="209"/>
      <c r="M677" s="210"/>
      <c r="N677" s="200"/>
    </row>
    <row r="678" ht="20.25" customHeight="1">
      <c r="A678" s="20"/>
      <c r="B678" s="100"/>
      <c r="C678" s="230"/>
      <c r="D678" s="100"/>
      <c r="E678" s="100"/>
      <c r="F678" s="100"/>
      <c r="G678" s="100"/>
      <c r="H678" s="100"/>
      <c r="I678" s="290"/>
      <c r="J678" s="100"/>
      <c r="K678" s="100"/>
      <c r="L678" s="211"/>
      <c r="M678" s="212"/>
      <c r="N678" s="213"/>
    </row>
    <row r="679" ht="20.25" customHeight="1">
      <c r="A679" s="69">
        <v>46202.0</v>
      </c>
      <c r="B679" s="369" t="s">
        <v>110</v>
      </c>
      <c r="C679" s="341">
        <v>417.0</v>
      </c>
      <c r="D679" s="75">
        <v>1.67</v>
      </c>
      <c r="E679" s="75" t="s">
        <v>68</v>
      </c>
      <c r="F679" s="75" t="s">
        <v>247</v>
      </c>
      <c r="G679" s="75" t="s">
        <v>17</v>
      </c>
      <c r="H679" s="75" t="s">
        <v>18</v>
      </c>
      <c r="I679" s="73">
        <v>1.0</v>
      </c>
      <c r="J679" s="73">
        <v>220.0</v>
      </c>
      <c r="K679" s="370">
        <f>I679*J679+I680*J680+I681*J681+I682*J682</f>
        <v>3320</v>
      </c>
      <c r="L679" s="371">
        <v>400.0</v>
      </c>
      <c r="M679" s="312"/>
      <c r="N679" s="75">
        <f>SUM(K679:M682)</f>
        <v>3720</v>
      </c>
    </row>
    <row r="680" ht="20.25" customHeight="1">
      <c r="A680" s="29"/>
      <c r="B680" s="29"/>
      <c r="D680" s="29"/>
      <c r="E680" s="29"/>
      <c r="F680" s="29"/>
      <c r="G680" s="29"/>
      <c r="H680" s="29"/>
      <c r="I680" s="73">
        <v>5.0</v>
      </c>
      <c r="J680" s="73">
        <v>200.0</v>
      </c>
      <c r="K680" s="29"/>
      <c r="L680" s="314"/>
      <c r="M680" s="56"/>
      <c r="N680" s="29"/>
    </row>
    <row r="681" ht="20.25" customHeight="1">
      <c r="A681" s="57"/>
      <c r="B681" s="57"/>
      <c r="D681" s="57"/>
      <c r="E681" s="57"/>
      <c r="F681" s="57"/>
      <c r="G681" s="57"/>
      <c r="H681" s="57"/>
      <c r="I681" s="73">
        <v>2.0</v>
      </c>
      <c r="J681" s="73">
        <v>225.0</v>
      </c>
      <c r="K681" s="57"/>
      <c r="L681" s="294"/>
      <c r="M681" s="70"/>
      <c r="N681" s="57"/>
    </row>
    <row r="682" ht="20.25" customHeight="1">
      <c r="A682" s="29"/>
      <c r="B682" s="20"/>
      <c r="D682" s="20"/>
      <c r="E682" s="20"/>
      <c r="F682" s="20"/>
      <c r="G682" s="20"/>
      <c r="H682" s="20"/>
      <c r="I682" s="73">
        <v>11.0</v>
      </c>
      <c r="J682" s="73">
        <v>150.0</v>
      </c>
      <c r="K682" s="20"/>
      <c r="L682" s="311"/>
      <c r="M682" s="38"/>
      <c r="N682" s="20"/>
    </row>
    <row r="683" ht="20.25" customHeight="1">
      <c r="A683" s="57"/>
      <c r="B683" s="437" t="s">
        <v>233</v>
      </c>
      <c r="C683" s="372">
        <v>411.0</v>
      </c>
      <c r="D683" s="438">
        <v>3.99</v>
      </c>
      <c r="E683" s="75" t="s">
        <v>41</v>
      </c>
      <c r="F683" s="75" t="s">
        <v>248</v>
      </c>
      <c r="G683" s="75" t="s">
        <v>17</v>
      </c>
      <c r="H683" s="73" t="s">
        <v>25</v>
      </c>
      <c r="I683" s="73">
        <v>1.0</v>
      </c>
      <c r="J683" s="73">
        <v>120.0</v>
      </c>
      <c r="K683" s="160">
        <f>I683*J683+I684*J684</f>
        <v>1920</v>
      </c>
      <c r="L683" s="75">
        <v>25.0</v>
      </c>
      <c r="M683" s="75">
        <f>(I683+I684)*L683</f>
        <v>475</v>
      </c>
      <c r="N683" s="75">
        <f>M683+K683</f>
        <v>2395</v>
      </c>
    </row>
    <row r="684" ht="20.25" customHeight="1">
      <c r="A684" s="29"/>
      <c r="B684" s="314"/>
      <c r="C684" s="344">
        <v>412.0</v>
      </c>
      <c r="D684" s="56"/>
      <c r="E684" s="29"/>
      <c r="F684" s="29"/>
      <c r="G684" s="29"/>
      <c r="H684" s="160" t="s">
        <v>18</v>
      </c>
      <c r="I684" s="160">
        <v>18.0</v>
      </c>
      <c r="J684" s="160">
        <v>100.0</v>
      </c>
      <c r="K684" s="29"/>
      <c r="L684" s="29"/>
      <c r="M684" s="29"/>
      <c r="N684" s="29"/>
    </row>
    <row r="685" ht="20.25" customHeight="1">
      <c r="A685" s="57"/>
      <c r="B685" s="294"/>
      <c r="C685" s="313">
        <v>415.0</v>
      </c>
      <c r="D685" s="70"/>
      <c r="E685" s="57"/>
      <c r="F685" s="57"/>
      <c r="G685" s="57"/>
      <c r="H685" s="57"/>
      <c r="I685" s="57"/>
      <c r="J685" s="57"/>
      <c r="K685" s="57"/>
      <c r="L685" s="57"/>
      <c r="M685" s="57"/>
      <c r="N685" s="57"/>
    </row>
    <row r="686" ht="20.25" customHeight="1">
      <c r="A686" s="29"/>
      <c r="B686" s="314"/>
      <c r="C686" s="439">
        <v>416.0</v>
      </c>
      <c r="D686" s="38"/>
      <c r="E686" s="20"/>
      <c r="F686" s="20"/>
      <c r="G686" s="20"/>
      <c r="H686" s="20"/>
      <c r="I686" s="20"/>
      <c r="J686" s="20"/>
      <c r="K686" s="20"/>
      <c r="L686" s="20"/>
      <c r="M686" s="20"/>
      <c r="N686" s="20"/>
    </row>
    <row r="687" ht="20.25" customHeight="1">
      <c r="A687" s="57"/>
      <c r="B687" s="106" t="s">
        <v>151</v>
      </c>
      <c r="C687" s="341">
        <v>405.0</v>
      </c>
      <c r="D687" s="110">
        <v>1.23</v>
      </c>
      <c r="E687" s="110" t="s">
        <v>23</v>
      </c>
      <c r="F687" s="110" t="s">
        <v>249</v>
      </c>
      <c r="G687" s="110" t="s">
        <v>17</v>
      </c>
      <c r="H687" s="136" t="s">
        <v>25</v>
      </c>
      <c r="I687" s="136">
        <v>1.0</v>
      </c>
      <c r="J687" s="136">
        <v>120.0</v>
      </c>
      <c r="K687" s="195">
        <f>I687*J687+I688*J688</f>
        <v>2020</v>
      </c>
      <c r="L687" s="214">
        <v>30.0</v>
      </c>
      <c r="M687" s="233">
        <f>(I687+I688)*L687</f>
        <v>600</v>
      </c>
      <c r="N687" s="234">
        <f>SUM(K687+M687)</f>
        <v>2620</v>
      </c>
    </row>
    <row r="688" ht="20.25" customHeight="1">
      <c r="A688" s="29"/>
      <c r="B688" s="29"/>
      <c r="D688" s="29"/>
      <c r="E688" s="29"/>
      <c r="F688" s="29"/>
      <c r="G688" s="29"/>
      <c r="H688" s="149" t="s">
        <v>18</v>
      </c>
      <c r="I688" s="291">
        <v>19.0</v>
      </c>
      <c r="J688" s="149">
        <v>100.0</v>
      </c>
      <c r="K688" s="29"/>
      <c r="L688" s="216"/>
      <c r="M688" s="235"/>
      <c r="N688" s="202"/>
    </row>
    <row r="689" ht="20.25" customHeight="1">
      <c r="A689" s="58"/>
      <c r="B689" s="141"/>
      <c r="C689" s="203"/>
      <c r="D689" s="141"/>
      <c r="E689" s="141"/>
      <c r="F689" s="141"/>
      <c r="G689" s="141"/>
      <c r="H689" s="141"/>
      <c r="I689" s="319"/>
      <c r="J689" s="141"/>
      <c r="K689" s="141"/>
      <c r="L689" s="218"/>
      <c r="M689" s="236"/>
      <c r="N689" s="205"/>
    </row>
    <row r="690" ht="20.25" customHeight="1">
      <c r="A690" s="179">
        <v>46203.0</v>
      </c>
      <c r="B690" s="440" t="s">
        <v>233</v>
      </c>
      <c r="C690" s="407">
        <v>414.0</v>
      </c>
      <c r="D690" s="413">
        <v>2.22</v>
      </c>
      <c r="E690" s="441" t="s">
        <v>41</v>
      </c>
      <c r="F690" s="441" t="s">
        <v>250</v>
      </c>
      <c r="G690" s="441" t="s">
        <v>17</v>
      </c>
      <c r="H690" s="442" t="s">
        <v>25</v>
      </c>
      <c r="I690" s="442">
        <v>1.0</v>
      </c>
      <c r="J690" s="442">
        <v>120.0</v>
      </c>
      <c r="K690" s="441">
        <f>I690*J690+I691*J691</f>
        <v>2120</v>
      </c>
      <c r="L690" s="441">
        <v>25.0</v>
      </c>
      <c r="M690" s="441">
        <f>(I690+I691)*L690</f>
        <v>525</v>
      </c>
      <c r="N690" s="441">
        <f>M690+K690</f>
        <v>2645</v>
      </c>
    </row>
    <row r="691" ht="20.25" customHeight="1">
      <c r="A691" s="57"/>
      <c r="B691" s="294"/>
      <c r="C691" s="58"/>
      <c r="D691" s="70"/>
      <c r="E691" s="57"/>
      <c r="F691" s="57"/>
      <c r="G691" s="57"/>
      <c r="H691" s="102" t="s">
        <v>18</v>
      </c>
      <c r="I691" s="26">
        <v>20.0</v>
      </c>
      <c r="J691" s="102">
        <v>100.0</v>
      </c>
      <c r="K691" s="57"/>
      <c r="L691" s="57"/>
      <c r="M691" s="57"/>
      <c r="N691" s="57"/>
    </row>
    <row r="692" ht="20.25" customHeight="1">
      <c r="A692" s="29"/>
      <c r="B692" s="314"/>
      <c r="C692" s="443">
        <v>416.0</v>
      </c>
      <c r="D692" s="56"/>
      <c r="E692" s="29"/>
      <c r="F692" s="29"/>
      <c r="G692" s="29"/>
      <c r="H692" s="29"/>
      <c r="I692" s="29"/>
      <c r="J692" s="29"/>
      <c r="K692" s="29"/>
      <c r="L692" s="29"/>
      <c r="M692" s="29"/>
      <c r="N692" s="29"/>
    </row>
    <row r="693" ht="20.25" customHeight="1">
      <c r="A693" s="57"/>
      <c r="B693" s="294"/>
      <c r="C693" s="58"/>
      <c r="D693" s="59"/>
      <c r="E693" s="58"/>
      <c r="F693" s="58"/>
      <c r="G693" s="58"/>
      <c r="H693" s="58"/>
      <c r="I693" s="58"/>
      <c r="J693" s="58"/>
      <c r="K693" s="58"/>
      <c r="L693" s="58"/>
      <c r="M693" s="58"/>
      <c r="N693" s="58"/>
    </row>
    <row r="694" ht="20.25" customHeight="1">
      <c r="A694" s="29"/>
      <c r="B694" s="444" t="s">
        <v>122</v>
      </c>
      <c r="C694" s="342">
        <v>403.0</v>
      </c>
      <c r="D694" s="149">
        <v>2.06</v>
      </c>
      <c r="E694" s="445" t="s">
        <v>23</v>
      </c>
      <c r="F694" s="445" t="s">
        <v>251</v>
      </c>
      <c r="G694" s="445" t="s">
        <v>17</v>
      </c>
      <c r="H694" s="446" t="s">
        <v>25</v>
      </c>
      <c r="I694" s="446">
        <v>1.0</v>
      </c>
      <c r="J694" s="446">
        <v>120.0</v>
      </c>
      <c r="K694" s="445">
        <f>I694*J694+I695*J695</f>
        <v>2120</v>
      </c>
      <c r="L694" s="447">
        <v>30.0</v>
      </c>
      <c r="M694" s="448">
        <f>(I694+I695)*L694</f>
        <v>630</v>
      </c>
      <c r="N694" s="449">
        <f>SUM(K694+M694)</f>
        <v>2750</v>
      </c>
    </row>
    <row r="695" ht="20.25" customHeight="1">
      <c r="A695" s="57"/>
      <c r="B695" s="57"/>
      <c r="C695" s="341">
        <v>404.0</v>
      </c>
      <c r="D695" s="57"/>
      <c r="E695" s="57"/>
      <c r="F695" s="57"/>
      <c r="G695" s="57"/>
      <c r="H695" s="450" t="s">
        <v>18</v>
      </c>
      <c r="I695" s="451">
        <v>20.0</v>
      </c>
      <c r="J695" s="450">
        <v>100.0</v>
      </c>
      <c r="K695" s="57"/>
      <c r="L695" s="209"/>
      <c r="M695" s="210"/>
      <c r="N695" s="200"/>
    </row>
    <row r="696" ht="20.25" customHeight="1">
      <c r="A696" s="20"/>
      <c r="B696" s="100"/>
      <c r="C696" s="452">
        <v>407.0</v>
      </c>
      <c r="D696" s="100"/>
      <c r="E696" s="100"/>
      <c r="F696" s="100"/>
      <c r="G696" s="100"/>
      <c r="H696" s="100"/>
      <c r="I696" s="290"/>
      <c r="J696" s="100"/>
      <c r="K696" s="100"/>
      <c r="L696" s="211"/>
      <c r="M696" s="212"/>
      <c r="N696" s="213"/>
    </row>
    <row r="697" ht="20.25" customHeight="1">
      <c r="A697" s="453">
        <v>46204.0</v>
      </c>
      <c r="B697" s="454" t="s">
        <v>110</v>
      </c>
      <c r="C697" s="455">
        <v>417.0</v>
      </c>
      <c r="D697" s="102">
        <v>1.67</v>
      </c>
      <c r="E697" s="102" t="s">
        <v>68</v>
      </c>
      <c r="F697" s="102" t="s">
        <v>252</v>
      </c>
      <c r="G697" s="102" t="s">
        <v>17</v>
      </c>
      <c r="H697" s="102" t="s">
        <v>18</v>
      </c>
      <c r="I697" s="386">
        <v>1.0</v>
      </c>
      <c r="J697" s="386">
        <v>220.0</v>
      </c>
      <c r="K697" s="102">
        <f>I697*J697+I698*J698+I699*J699+I700*J700</f>
        <v>3545</v>
      </c>
      <c r="L697" s="457">
        <v>400.0</v>
      </c>
      <c r="M697" s="312"/>
      <c r="N697" s="102">
        <f>SUM(K697:M700)</f>
        <v>3945</v>
      </c>
    </row>
    <row r="698" ht="20.25" customHeight="1">
      <c r="A698" s="29"/>
      <c r="B698" s="29"/>
      <c r="D698" s="29"/>
      <c r="E698" s="29"/>
      <c r="F698" s="29"/>
      <c r="G698" s="29"/>
      <c r="H698" s="29"/>
      <c r="I698" s="458">
        <v>5.0</v>
      </c>
      <c r="J698" s="458">
        <v>200.0</v>
      </c>
      <c r="K698" s="29"/>
      <c r="L698" s="314"/>
      <c r="M698" s="56"/>
      <c r="N698" s="29"/>
    </row>
    <row r="699" ht="20.25" customHeight="1">
      <c r="A699" s="57"/>
      <c r="B699" s="57"/>
      <c r="D699" s="57"/>
      <c r="E699" s="57"/>
      <c r="F699" s="57"/>
      <c r="G699" s="57"/>
      <c r="H699" s="57"/>
      <c r="I699" s="386">
        <v>11.0</v>
      </c>
      <c r="J699" s="386">
        <v>150.0</v>
      </c>
      <c r="K699" s="57"/>
      <c r="L699" s="294"/>
      <c r="M699" s="70"/>
      <c r="N699" s="57"/>
    </row>
    <row r="700" ht="20.25" customHeight="1">
      <c r="A700" s="29"/>
      <c r="B700" s="20"/>
      <c r="D700" s="20"/>
      <c r="E700" s="20"/>
      <c r="F700" s="20"/>
      <c r="G700" s="20"/>
      <c r="H700" s="20"/>
      <c r="I700" s="458">
        <v>3.0</v>
      </c>
      <c r="J700" s="458">
        <v>225.0</v>
      </c>
      <c r="K700" s="20"/>
      <c r="L700" s="311"/>
      <c r="M700" s="38"/>
      <c r="N700" s="20"/>
    </row>
    <row r="701" ht="20.25" customHeight="1">
      <c r="A701" s="57"/>
      <c r="B701" s="459" t="s">
        <v>233</v>
      </c>
      <c r="C701" s="26">
        <v>415.0</v>
      </c>
      <c r="D701" s="460">
        <v>1.58</v>
      </c>
      <c r="E701" s="102" t="s">
        <v>41</v>
      </c>
      <c r="F701" s="102" t="s">
        <v>253</v>
      </c>
      <c r="G701" s="102" t="s">
        <v>17</v>
      </c>
      <c r="H701" s="185" t="s">
        <v>25</v>
      </c>
      <c r="I701" s="185">
        <v>1.0</v>
      </c>
      <c r="J701" s="185">
        <v>120.0</v>
      </c>
      <c r="K701" s="102">
        <f>I701*J701+I702*J702</f>
        <v>1820</v>
      </c>
      <c r="L701" s="102">
        <v>25.0</v>
      </c>
      <c r="M701" s="102">
        <f>(I701+I702)*L701</f>
        <v>450</v>
      </c>
      <c r="N701" s="102">
        <f>M701+K701</f>
        <v>2270</v>
      </c>
    </row>
    <row r="702" ht="20.25" customHeight="1">
      <c r="A702" s="29"/>
      <c r="B702" s="314"/>
      <c r="C702" s="20"/>
      <c r="D702" s="56"/>
      <c r="E702" s="29"/>
      <c r="F702" s="29"/>
      <c r="G702" s="29"/>
      <c r="H702" s="441" t="s">
        <v>18</v>
      </c>
      <c r="I702" s="407">
        <v>17.0</v>
      </c>
      <c r="J702" s="441">
        <v>100.0</v>
      </c>
      <c r="K702" s="29"/>
      <c r="L702" s="29"/>
      <c r="M702" s="29"/>
      <c r="N702" s="29"/>
    </row>
    <row r="703" ht="20.25" customHeight="1">
      <c r="A703" s="57"/>
      <c r="B703" s="294"/>
      <c r="C703" s="461">
        <v>416.0</v>
      </c>
      <c r="D703" s="70"/>
      <c r="E703" s="57"/>
      <c r="F703" s="57"/>
      <c r="G703" s="57"/>
      <c r="H703" s="57"/>
      <c r="I703" s="57"/>
      <c r="J703" s="57"/>
      <c r="K703" s="57"/>
      <c r="L703" s="57"/>
      <c r="M703" s="57"/>
      <c r="N703" s="57"/>
    </row>
    <row r="704" ht="20.25" customHeight="1">
      <c r="A704" s="29"/>
      <c r="B704" s="314"/>
      <c r="C704" s="20"/>
      <c r="D704" s="38"/>
      <c r="E704" s="20"/>
      <c r="F704" s="20"/>
      <c r="G704" s="20"/>
      <c r="H704" s="20"/>
      <c r="I704" s="20"/>
      <c r="J704" s="20"/>
      <c r="K704" s="20"/>
      <c r="L704" s="20"/>
      <c r="M704" s="20"/>
      <c r="N704" s="20"/>
    </row>
    <row r="705" ht="20.25" customHeight="1">
      <c r="A705" s="57"/>
      <c r="B705" s="462" t="s">
        <v>223</v>
      </c>
      <c r="C705" s="463">
        <v>409.0</v>
      </c>
      <c r="D705" s="464">
        <v>1.0</v>
      </c>
      <c r="E705" s="450" t="s">
        <v>23</v>
      </c>
      <c r="F705" s="450" t="s">
        <v>254</v>
      </c>
      <c r="G705" s="450" t="s">
        <v>17</v>
      </c>
      <c r="H705" s="465" t="s">
        <v>25</v>
      </c>
      <c r="I705" s="465">
        <v>1.0</v>
      </c>
      <c r="J705" s="465">
        <v>120.0</v>
      </c>
      <c r="K705" s="450">
        <f>I705*J705+I706*J706</f>
        <v>2020</v>
      </c>
      <c r="L705" s="466">
        <v>30.0</v>
      </c>
      <c r="M705" s="467">
        <f>(I705+I706)*L705</f>
        <v>600</v>
      </c>
      <c r="N705" s="468">
        <f>SUM(K705+M705)</f>
        <v>2620</v>
      </c>
    </row>
    <row r="706" ht="20.25" customHeight="1">
      <c r="A706" s="29"/>
      <c r="B706" s="29"/>
      <c r="D706" s="29"/>
      <c r="E706" s="29"/>
      <c r="F706" s="29"/>
      <c r="G706" s="29"/>
      <c r="H706" s="445" t="s">
        <v>18</v>
      </c>
      <c r="I706" s="469">
        <v>19.0</v>
      </c>
      <c r="J706" s="445">
        <v>100.0</v>
      </c>
      <c r="K706" s="29"/>
      <c r="L706" s="216"/>
      <c r="M706" s="235"/>
      <c r="N706" s="202"/>
    </row>
    <row r="707" ht="20.25" customHeight="1">
      <c r="A707" s="58"/>
      <c r="B707" s="141"/>
      <c r="C707" s="203"/>
      <c r="D707" s="141"/>
      <c r="E707" s="141"/>
      <c r="F707" s="141"/>
      <c r="G707" s="141"/>
      <c r="H707" s="141"/>
      <c r="I707" s="319"/>
      <c r="J707" s="141"/>
      <c r="K707" s="141"/>
      <c r="L707" s="218"/>
      <c r="M707" s="236"/>
      <c r="N707" s="205"/>
    </row>
    <row r="708" ht="20.25" customHeight="1">
      <c r="A708" s="453">
        <v>46205.0</v>
      </c>
      <c r="B708" s="454" t="s">
        <v>110</v>
      </c>
      <c r="C708" s="455">
        <v>417.0</v>
      </c>
      <c r="D708" s="102">
        <v>1.67</v>
      </c>
      <c r="E708" s="102" t="s">
        <v>68</v>
      </c>
      <c r="F708" s="102" t="s">
        <v>255</v>
      </c>
      <c r="G708" s="102" t="s">
        <v>17</v>
      </c>
      <c r="H708" s="102" t="s">
        <v>18</v>
      </c>
      <c r="I708" s="470">
        <v>6.0</v>
      </c>
      <c r="J708" s="470">
        <v>180.0</v>
      </c>
      <c r="K708" s="102">
        <f>I708*J708+I709*J709+I710*J710+I711*J711+I712*J712</f>
        <v>2460</v>
      </c>
      <c r="L708" s="457">
        <v>400.0</v>
      </c>
      <c r="M708" s="307"/>
      <c r="N708" s="102">
        <f>SUM(K708:M711)</f>
        <v>2860</v>
      </c>
    </row>
    <row r="709" ht="20.25" customHeight="1">
      <c r="A709" s="57"/>
      <c r="B709" s="57"/>
      <c r="D709" s="57"/>
      <c r="E709" s="57"/>
      <c r="F709" s="57"/>
      <c r="G709" s="57"/>
      <c r="H709" s="57"/>
      <c r="I709" s="470">
        <v>2.0</v>
      </c>
      <c r="J709" s="470">
        <v>150.0</v>
      </c>
      <c r="K709" s="57"/>
      <c r="L709" s="294"/>
      <c r="M709" s="70"/>
      <c r="N709" s="57"/>
    </row>
    <row r="710" ht="20.25" customHeight="1">
      <c r="A710" s="29"/>
      <c r="B710" s="29"/>
      <c r="D710" s="29"/>
      <c r="E710" s="29"/>
      <c r="F710" s="29"/>
      <c r="G710" s="29"/>
      <c r="H710" s="29"/>
      <c r="I710" s="470">
        <v>2.0</v>
      </c>
      <c r="J710" s="470">
        <v>225.0</v>
      </c>
      <c r="K710" s="29"/>
      <c r="L710" s="314"/>
      <c r="M710" s="56"/>
      <c r="N710" s="29"/>
    </row>
    <row r="711" ht="20.25" customHeight="1">
      <c r="A711" s="57"/>
      <c r="B711" s="57"/>
      <c r="D711" s="57"/>
      <c r="E711" s="57"/>
      <c r="F711" s="57"/>
      <c r="G711" s="57"/>
      <c r="H711" s="57"/>
      <c r="I711" s="470">
        <v>1.0</v>
      </c>
      <c r="J711" s="470">
        <v>260.0</v>
      </c>
      <c r="K711" s="57"/>
      <c r="L711" s="294"/>
      <c r="M711" s="70"/>
      <c r="N711" s="57"/>
    </row>
    <row r="712" ht="20.25" customHeight="1">
      <c r="A712" s="29"/>
      <c r="B712" s="20"/>
      <c r="D712" s="20"/>
      <c r="E712" s="20"/>
      <c r="F712" s="20"/>
      <c r="G712" s="20"/>
      <c r="H712" s="20"/>
      <c r="I712" s="470">
        <v>2.0</v>
      </c>
      <c r="J712" s="470">
        <v>185.0</v>
      </c>
      <c r="K712" s="20"/>
      <c r="L712" s="311"/>
      <c r="M712" s="38"/>
      <c r="N712" s="20"/>
    </row>
    <row r="713" ht="20.25" customHeight="1">
      <c r="A713" s="57"/>
      <c r="B713" s="471" t="s">
        <v>122</v>
      </c>
      <c r="C713" s="26">
        <v>411.0</v>
      </c>
      <c r="D713" s="460">
        <v>2.41</v>
      </c>
      <c r="E713" s="102" t="s">
        <v>41</v>
      </c>
      <c r="F713" s="102" t="s">
        <v>256</v>
      </c>
      <c r="G713" s="102" t="s">
        <v>17</v>
      </c>
      <c r="H713" s="185" t="s">
        <v>25</v>
      </c>
      <c r="I713" s="185">
        <v>1.0</v>
      </c>
      <c r="J713" s="185">
        <v>120.0</v>
      </c>
      <c r="K713" s="102">
        <f>I713*J713+I714*J714</f>
        <v>2420</v>
      </c>
      <c r="L713" s="102">
        <v>25.0</v>
      </c>
      <c r="M713" s="102">
        <f>(I713+I714)*L713</f>
        <v>600</v>
      </c>
      <c r="N713" s="102">
        <f>M713+K713</f>
        <v>3020</v>
      </c>
    </row>
    <row r="714" ht="20.25" customHeight="1">
      <c r="A714" s="29"/>
      <c r="B714" s="314"/>
      <c r="C714" s="20"/>
      <c r="D714" s="56"/>
      <c r="E714" s="29"/>
      <c r="F714" s="29"/>
      <c r="G714" s="29"/>
      <c r="H714" s="102" t="s">
        <v>18</v>
      </c>
      <c r="I714" s="26">
        <v>23.0</v>
      </c>
      <c r="J714" s="102">
        <v>100.0</v>
      </c>
      <c r="K714" s="29"/>
      <c r="L714" s="29"/>
      <c r="M714" s="29"/>
      <c r="N714" s="29"/>
    </row>
    <row r="715" ht="20.25" customHeight="1">
      <c r="A715" s="57"/>
      <c r="B715" s="294"/>
      <c r="C715" s="461">
        <v>412.0</v>
      </c>
      <c r="D715" s="70"/>
      <c r="E715" s="57"/>
      <c r="F715" s="57"/>
      <c r="G715" s="57"/>
      <c r="H715" s="57"/>
      <c r="I715" s="57"/>
      <c r="J715" s="57"/>
      <c r="K715" s="57"/>
      <c r="L715" s="57"/>
      <c r="M715" s="57"/>
      <c r="N715" s="57"/>
    </row>
    <row r="716" ht="20.25" customHeight="1">
      <c r="A716" s="29"/>
      <c r="B716" s="314"/>
      <c r="C716" s="20"/>
      <c r="D716" s="38"/>
      <c r="E716" s="20"/>
      <c r="F716" s="20"/>
      <c r="G716" s="20"/>
      <c r="H716" s="20"/>
      <c r="I716" s="20"/>
      <c r="J716" s="20"/>
      <c r="K716" s="20"/>
      <c r="L716" s="20"/>
      <c r="M716" s="20"/>
      <c r="N716" s="20"/>
    </row>
    <row r="717" ht="20.25" customHeight="1">
      <c r="A717" s="57"/>
      <c r="B717" s="462" t="s">
        <v>223</v>
      </c>
      <c r="C717" s="463">
        <v>420.0</v>
      </c>
      <c r="D717" s="464">
        <v>1.21</v>
      </c>
      <c r="E717" s="450" t="s">
        <v>23</v>
      </c>
      <c r="F717" s="450" t="s">
        <v>257</v>
      </c>
      <c r="G717" s="450" t="s">
        <v>17</v>
      </c>
      <c r="H717" s="465" t="s">
        <v>25</v>
      </c>
      <c r="I717" s="465">
        <v>1.0</v>
      </c>
      <c r="J717" s="465">
        <v>120.0</v>
      </c>
      <c r="K717" s="450">
        <f>I717*J717+I718*J718</f>
        <v>2320</v>
      </c>
      <c r="L717" s="466">
        <v>30.0</v>
      </c>
      <c r="M717" s="467">
        <f>(I717+I718)*L717</f>
        <v>690</v>
      </c>
      <c r="N717" s="468">
        <f>SUM(K717+M717)</f>
        <v>3010</v>
      </c>
    </row>
    <row r="718" ht="20.25" customHeight="1">
      <c r="A718" s="29"/>
      <c r="B718" s="29"/>
      <c r="D718" s="29"/>
      <c r="E718" s="29"/>
      <c r="F718" s="29"/>
      <c r="G718" s="29"/>
      <c r="H718" s="450" t="s">
        <v>18</v>
      </c>
      <c r="I718" s="451">
        <v>22.0</v>
      </c>
      <c r="J718" s="450">
        <v>100.0</v>
      </c>
      <c r="K718" s="29"/>
      <c r="L718" s="216"/>
      <c r="M718" s="235"/>
      <c r="N718" s="202"/>
    </row>
    <row r="719" ht="20.25" customHeight="1">
      <c r="A719" s="58"/>
      <c r="B719" s="141"/>
      <c r="C719" s="203"/>
      <c r="D719" s="141"/>
      <c r="E719" s="141"/>
      <c r="F719" s="141"/>
      <c r="G719" s="141"/>
      <c r="H719" s="141"/>
      <c r="I719" s="319"/>
      <c r="J719" s="141"/>
      <c r="K719" s="141"/>
      <c r="L719" s="218"/>
      <c r="M719" s="236"/>
      <c r="N719" s="205"/>
    </row>
    <row r="720" ht="20.25" customHeight="1">
      <c r="A720" s="472">
        <v>46206.0</v>
      </c>
      <c r="B720" s="473" t="s">
        <v>22</v>
      </c>
      <c r="C720" s="407">
        <v>417.0</v>
      </c>
      <c r="D720" s="474">
        <v>1.67</v>
      </c>
      <c r="E720" s="441" t="s">
        <v>41</v>
      </c>
      <c r="F720" s="441" t="s">
        <v>258</v>
      </c>
      <c r="G720" s="441" t="s">
        <v>17</v>
      </c>
      <c r="H720" s="442" t="s">
        <v>25</v>
      </c>
      <c r="I720" s="458">
        <v>1.0</v>
      </c>
      <c r="J720" s="442">
        <v>120.0</v>
      </c>
      <c r="K720" s="441">
        <f>I720*J720+I721*J721</f>
        <v>2320</v>
      </c>
      <c r="L720" s="441">
        <v>25.0</v>
      </c>
      <c r="M720" s="441">
        <f>(I720+I721)*L720</f>
        <v>575</v>
      </c>
      <c r="N720" s="441">
        <f>M720+K720</f>
        <v>2895</v>
      </c>
    </row>
    <row r="721" ht="20.25" customHeight="1">
      <c r="A721" s="57"/>
      <c r="B721" s="294"/>
      <c r="C721" s="57"/>
      <c r="D721" s="70"/>
      <c r="E721" s="57"/>
      <c r="F721" s="57"/>
      <c r="G721" s="57"/>
      <c r="H721" s="102" t="s">
        <v>18</v>
      </c>
      <c r="I721" s="26">
        <v>22.0</v>
      </c>
      <c r="J721" s="102">
        <v>100.0</v>
      </c>
      <c r="K721" s="57"/>
      <c r="L721" s="57"/>
      <c r="M721" s="57"/>
      <c r="N721" s="57"/>
    </row>
    <row r="722" ht="20.25" customHeight="1">
      <c r="A722" s="29"/>
      <c r="B722" s="314"/>
      <c r="C722" s="29"/>
      <c r="D722" s="56"/>
      <c r="E722" s="29"/>
      <c r="F722" s="29"/>
      <c r="G722" s="29"/>
      <c r="H722" s="29"/>
      <c r="I722" s="29"/>
      <c r="J722" s="29"/>
      <c r="K722" s="29"/>
      <c r="L722" s="29"/>
      <c r="M722" s="29"/>
      <c r="N722" s="29"/>
    </row>
    <row r="723" ht="20.25" customHeight="1">
      <c r="A723" s="57"/>
      <c r="B723" s="294"/>
      <c r="C723" s="58"/>
      <c r="D723" s="59"/>
      <c r="E723" s="58"/>
      <c r="F723" s="58"/>
      <c r="G723" s="58"/>
      <c r="H723" s="58"/>
      <c r="I723" s="58"/>
      <c r="J723" s="58"/>
      <c r="K723" s="58"/>
      <c r="L723" s="58"/>
      <c r="M723" s="58"/>
      <c r="N723" s="58"/>
    </row>
    <row r="724" ht="20.25" customHeight="1">
      <c r="A724" s="29"/>
      <c r="B724" s="444" t="s">
        <v>223</v>
      </c>
      <c r="C724" s="475">
        <v>421.0</v>
      </c>
      <c r="D724" s="477">
        <v>1.06</v>
      </c>
      <c r="E724" s="445" t="s">
        <v>23</v>
      </c>
      <c r="F724" s="445" t="s">
        <v>259</v>
      </c>
      <c r="G724" s="445" t="s">
        <v>17</v>
      </c>
      <c r="H724" s="446" t="s">
        <v>25</v>
      </c>
      <c r="I724" s="478">
        <v>1.0</v>
      </c>
      <c r="J724" s="446">
        <v>120.0</v>
      </c>
      <c r="K724" s="445">
        <f>I724*J724+I725*J725</f>
        <v>2120</v>
      </c>
      <c r="L724" s="447">
        <v>30.0</v>
      </c>
      <c r="M724" s="448">
        <f>(I724+I725)*L724</f>
        <v>630</v>
      </c>
      <c r="N724" s="449">
        <f>SUM(K724+M724)</f>
        <v>2750</v>
      </c>
    </row>
    <row r="725" ht="20.25" customHeight="1">
      <c r="A725" s="57"/>
      <c r="B725" s="57"/>
      <c r="D725" s="57"/>
      <c r="E725" s="57"/>
      <c r="F725" s="57"/>
      <c r="G725" s="57"/>
      <c r="H725" s="450" t="s">
        <v>18</v>
      </c>
      <c r="I725" s="451">
        <v>20.0</v>
      </c>
      <c r="J725" s="450">
        <v>100.0</v>
      </c>
      <c r="K725" s="57"/>
      <c r="L725" s="209"/>
      <c r="M725" s="210"/>
      <c r="N725" s="200"/>
    </row>
    <row r="726" ht="20.25" customHeight="1">
      <c r="A726" s="20"/>
      <c r="B726" s="100"/>
      <c r="C726" s="230"/>
      <c r="D726" s="100"/>
      <c r="E726" s="100"/>
      <c r="F726" s="100"/>
      <c r="G726" s="100"/>
      <c r="H726" s="100"/>
      <c r="I726" s="290"/>
      <c r="J726" s="100"/>
      <c r="K726" s="100"/>
      <c r="L726" s="211"/>
      <c r="M726" s="212"/>
      <c r="N726" s="213"/>
    </row>
    <row r="727" ht="20.25" customHeight="1">
      <c r="A727" s="481">
        <v>46207.0</v>
      </c>
      <c r="B727" s="471" t="s">
        <v>22</v>
      </c>
      <c r="C727" s="26">
        <v>417.0</v>
      </c>
      <c r="D727" s="460">
        <v>1.67</v>
      </c>
      <c r="E727" s="102" t="s">
        <v>41</v>
      </c>
      <c r="F727" s="102" t="s">
        <v>262</v>
      </c>
      <c r="G727" s="102" t="s">
        <v>17</v>
      </c>
      <c r="H727" s="185" t="s">
        <v>25</v>
      </c>
      <c r="I727" s="386">
        <v>1.0</v>
      </c>
      <c r="J727" s="185">
        <v>120.0</v>
      </c>
      <c r="K727" s="102">
        <f>I727*J727+I728*J728</f>
        <v>1820</v>
      </c>
      <c r="L727" s="102">
        <v>25.0</v>
      </c>
      <c r="M727" s="102">
        <f>(I727+I728)*L727</f>
        <v>450</v>
      </c>
      <c r="N727" s="102">
        <f>M727+K727</f>
        <v>2270</v>
      </c>
    </row>
    <row r="728" ht="20.25" customHeight="1">
      <c r="A728" s="29"/>
      <c r="B728" s="314"/>
      <c r="C728" s="29"/>
      <c r="D728" s="56"/>
      <c r="E728" s="29"/>
      <c r="F728" s="29"/>
      <c r="G728" s="29"/>
      <c r="H728" s="441" t="s">
        <v>18</v>
      </c>
      <c r="I728" s="407">
        <v>17.0</v>
      </c>
      <c r="J728" s="441">
        <v>100.0</v>
      </c>
      <c r="K728" s="29"/>
      <c r="L728" s="29"/>
      <c r="M728" s="29"/>
      <c r="N728" s="29"/>
    </row>
    <row r="729" ht="20.25" customHeight="1">
      <c r="A729" s="57"/>
      <c r="B729" s="294"/>
      <c r="C729" s="57"/>
      <c r="D729" s="70"/>
      <c r="E729" s="57"/>
      <c r="F729" s="57"/>
      <c r="G729" s="57"/>
      <c r="H729" s="57"/>
      <c r="I729" s="57"/>
      <c r="J729" s="57"/>
      <c r="K729" s="57"/>
      <c r="L729" s="57"/>
      <c r="M729" s="57"/>
      <c r="N729" s="57"/>
    </row>
    <row r="730" ht="20.25" customHeight="1">
      <c r="A730" s="29"/>
      <c r="B730" s="314"/>
      <c r="C730" s="20"/>
      <c r="D730" s="38"/>
      <c r="E730" s="20"/>
      <c r="F730" s="20"/>
      <c r="G730" s="20"/>
      <c r="H730" s="20"/>
      <c r="I730" s="20"/>
      <c r="J730" s="20"/>
      <c r="K730" s="20"/>
      <c r="L730" s="20"/>
      <c r="M730" s="20"/>
      <c r="N730" s="20"/>
    </row>
    <row r="731" ht="20.25" customHeight="1">
      <c r="A731" s="57"/>
      <c r="B731" s="462" t="s">
        <v>122</v>
      </c>
      <c r="C731" s="463">
        <v>421.0</v>
      </c>
      <c r="D731" s="464">
        <v>1.06</v>
      </c>
      <c r="E731" s="450" t="s">
        <v>23</v>
      </c>
      <c r="F731" s="450" t="s">
        <v>264</v>
      </c>
      <c r="G731" s="450" t="s">
        <v>17</v>
      </c>
      <c r="H731" s="465" t="s">
        <v>25</v>
      </c>
      <c r="I731" s="486">
        <v>1.0</v>
      </c>
      <c r="J731" s="465">
        <v>120.0</v>
      </c>
      <c r="K731" s="450">
        <f>I731*J731+I732*J732</f>
        <v>2120</v>
      </c>
      <c r="L731" s="466">
        <v>30.0</v>
      </c>
      <c r="M731" s="467">
        <f>(I731+I732)*L731</f>
        <v>630</v>
      </c>
      <c r="N731" s="468">
        <f>SUM(K731+M731)</f>
        <v>2750</v>
      </c>
    </row>
    <row r="732" ht="20.25" customHeight="1">
      <c r="A732" s="29"/>
      <c r="B732" s="29"/>
      <c r="D732" s="29"/>
      <c r="E732" s="29"/>
      <c r="F732" s="29"/>
      <c r="G732" s="29"/>
      <c r="H732" s="445" t="s">
        <v>18</v>
      </c>
      <c r="I732" s="487">
        <v>20.0</v>
      </c>
      <c r="J732" s="445">
        <v>100.0</v>
      </c>
      <c r="K732" s="29"/>
      <c r="L732" s="216"/>
      <c r="M732" s="235"/>
      <c r="N732" s="202"/>
    </row>
    <row r="733" ht="20.25" customHeight="1">
      <c r="A733" s="58"/>
      <c r="B733" s="141"/>
      <c r="C733" s="203"/>
      <c r="D733" s="141"/>
      <c r="E733" s="141"/>
      <c r="F733" s="141"/>
      <c r="G733" s="141"/>
      <c r="H733" s="141"/>
      <c r="I733" s="319"/>
      <c r="J733" s="141"/>
      <c r="K733" s="141"/>
      <c r="L733" s="218"/>
      <c r="M733" s="236"/>
      <c r="N733" s="205"/>
    </row>
    <row r="734" ht="20.25" customHeight="1">
      <c r="A734" s="472">
        <v>46209.0</v>
      </c>
      <c r="B734" s="473" t="s">
        <v>122</v>
      </c>
      <c r="C734" s="388">
        <v>413.0</v>
      </c>
      <c r="D734" s="474">
        <v>1.27</v>
      </c>
      <c r="E734" s="441" t="s">
        <v>41</v>
      </c>
      <c r="F734" s="441" t="s">
        <v>265</v>
      </c>
      <c r="G734" s="441" t="s">
        <v>17</v>
      </c>
      <c r="H734" s="442" t="s">
        <v>25</v>
      </c>
      <c r="I734" s="458">
        <v>1.0</v>
      </c>
      <c r="J734" s="442">
        <v>120.0</v>
      </c>
      <c r="K734" s="441">
        <f>I734*J734+I735*J735</f>
        <v>2220</v>
      </c>
      <c r="L734" s="441">
        <v>25.0</v>
      </c>
      <c r="M734" s="441">
        <f>(I734+I735)*L734</f>
        <v>550</v>
      </c>
      <c r="N734" s="441">
        <f>M734+K734</f>
        <v>2770</v>
      </c>
    </row>
    <row r="735" ht="20.25" customHeight="1">
      <c r="A735" s="57"/>
      <c r="B735" s="294"/>
      <c r="C735" s="58"/>
      <c r="D735" s="70"/>
      <c r="E735" s="57"/>
      <c r="F735" s="57"/>
      <c r="G735" s="57"/>
      <c r="H735" s="102" t="s">
        <v>18</v>
      </c>
      <c r="I735" s="26">
        <v>21.0</v>
      </c>
      <c r="J735" s="102">
        <v>100.0</v>
      </c>
      <c r="K735" s="57"/>
      <c r="L735" s="57"/>
      <c r="M735" s="57"/>
      <c r="N735" s="57"/>
    </row>
    <row r="736" ht="20.25" customHeight="1">
      <c r="A736" s="29"/>
      <c r="B736" s="314"/>
      <c r="C736" s="388">
        <v>415.0</v>
      </c>
      <c r="D736" s="56"/>
      <c r="E736" s="29"/>
      <c r="F736" s="29"/>
      <c r="G736" s="29"/>
      <c r="H736" s="29"/>
      <c r="I736" s="29"/>
      <c r="J736" s="29"/>
      <c r="K736" s="29"/>
      <c r="L736" s="29"/>
      <c r="M736" s="29"/>
      <c r="N736" s="29"/>
    </row>
    <row r="737" ht="20.25" customHeight="1">
      <c r="A737" s="57"/>
      <c r="B737" s="294"/>
      <c r="C737" s="58"/>
      <c r="D737" s="59"/>
      <c r="E737" s="58"/>
      <c r="F737" s="58"/>
      <c r="G737" s="58"/>
      <c r="H737" s="58"/>
      <c r="I737" s="58"/>
      <c r="J737" s="58"/>
      <c r="K737" s="58"/>
      <c r="L737" s="58"/>
      <c r="M737" s="58"/>
      <c r="N737" s="58"/>
    </row>
    <row r="738" ht="20.25" customHeight="1">
      <c r="A738" s="29"/>
      <c r="B738" s="444" t="s">
        <v>223</v>
      </c>
      <c r="C738" s="475">
        <v>422.0</v>
      </c>
      <c r="D738" s="477">
        <v>1.24</v>
      </c>
      <c r="E738" s="445" t="s">
        <v>23</v>
      </c>
      <c r="F738" s="445" t="s">
        <v>266</v>
      </c>
      <c r="G738" s="445" t="s">
        <v>17</v>
      </c>
      <c r="H738" s="446" t="s">
        <v>25</v>
      </c>
      <c r="I738" s="478">
        <v>1.0</v>
      </c>
      <c r="J738" s="446">
        <v>120.0</v>
      </c>
      <c r="K738" s="445">
        <f>I738*J738+I739*J739</f>
        <v>2120</v>
      </c>
      <c r="L738" s="447">
        <v>30.0</v>
      </c>
      <c r="M738" s="448">
        <f>(I738+I739)*L738</f>
        <v>630</v>
      </c>
      <c r="N738" s="449">
        <f>SUM(K738+M738)</f>
        <v>2750</v>
      </c>
    </row>
    <row r="739" ht="20.25" customHeight="1">
      <c r="A739" s="57"/>
      <c r="B739" s="57"/>
      <c r="D739" s="57"/>
      <c r="E739" s="57"/>
      <c r="F739" s="57"/>
      <c r="G739" s="57"/>
      <c r="H739" s="450" t="s">
        <v>18</v>
      </c>
      <c r="I739" s="451">
        <v>20.0</v>
      </c>
      <c r="J739" s="450">
        <v>100.0</v>
      </c>
      <c r="K739" s="57"/>
      <c r="L739" s="209"/>
      <c r="M739" s="210"/>
      <c r="N739" s="200"/>
    </row>
    <row r="740" ht="20.25" customHeight="1">
      <c r="A740" s="20"/>
      <c r="B740" s="100"/>
      <c r="C740" s="230"/>
      <c r="D740" s="100"/>
      <c r="E740" s="100"/>
      <c r="F740" s="100"/>
      <c r="G740" s="100"/>
      <c r="H740" s="100"/>
      <c r="I740" s="290"/>
      <c r="J740" s="100"/>
      <c r="K740" s="100"/>
      <c r="L740" s="211"/>
      <c r="M740" s="212"/>
      <c r="N740" s="213"/>
    </row>
    <row r="741" ht="20.25" customHeight="1">
      <c r="A741" s="481">
        <v>46210.0</v>
      </c>
      <c r="B741" s="471" t="s">
        <v>122</v>
      </c>
      <c r="C741" s="345">
        <v>417.0</v>
      </c>
      <c r="D741" s="460">
        <v>2.99</v>
      </c>
      <c r="E741" s="102" t="s">
        <v>41</v>
      </c>
      <c r="F741" s="102" t="s">
        <v>267</v>
      </c>
      <c r="G741" s="102" t="s">
        <v>17</v>
      </c>
      <c r="H741" s="185" t="s">
        <v>25</v>
      </c>
      <c r="I741" s="386">
        <v>1.0</v>
      </c>
      <c r="J741" s="185">
        <v>120.0</v>
      </c>
      <c r="K741" s="102">
        <f>I741*J741+I742*J742</f>
        <v>2420</v>
      </c>
      <c r="L741" s="102">
        <v>25.0</v>
      </c>
      <c r="M741" s="102">
        <f>(I741+I742)*L741</f>
        <v>600</v>
      </c>
      <c r="N741" s="102">
        <f>M741+K741</f>
        <v>3020</v>
      </c>
    </row>
    <row r="742" ht="20.25" customHeight="1">
      <c r="A742" s="29"/>
      <c r="B742" s="314"/>
      <c r="C742" s="20"/>
      <c r="D742" s="56"/>
      <c r="E742" s="29"/>
      <c r="F742" s="29"/>
      <c r="G742" s="29"/>
      <c r="H742" s="441" t="s">
        <v>18</v>
      </c>
      <c r="I742" s="407">
        <v>23.0</v>
      </c>
      <c r="J742" s="441">
        <v>100.0</v>
      </c>
      <c r="K742" s="29"/>
      <c r="L742" s="29"/>
      <c r="M742" s="29"/>
      <c r="N742" s="29"/>
    </row>
    <row r="743" ht="20.25" customHeight="1">
      <c r="A743" s="57"/>
      <c r="B743" s="294"/>
      <c r="C743" s="345">
        <v>418.0</v>
      </c>
      <c r="D743" s="70"/>
      <c r="E743" s="57"/>
      <c r="F743" s="57"/>
      <c r="G743" s="57"/>
      <c r="H743" s="57"/>
      <c r="I743" s="57"/>
      <c r="J743" s="57"/>
      <c r="K743" s="57"/>
      <c r="L743" s="57"/>
      <c r="M743" s="57"/>
      <c r="N743" s="57"/>
    </row>
    <row r="744" ht="20.25" customHeight="1">
      <c r="A744" s="29"/>
      <c r="B744" s="314"/>
      <c r="C744" s="20"/>
      <c r="D744" s="38"/>
      <c r="E744" s="20"/>
      <c r="F744" s="20"/>
      <c r="G744" s="20"/>
      <c r="H744" s="20"/>
      <c r="I744" s="20"/>
      <c r="J744" s="20"/>
      <c r="K744" s="20"/>
      <c r="L744" s="20"/>
      <c r="M744" s="20"/>
      <c r="N744" s="20"/>
    </row>
    <row r="745" ht="20.25" customHeight="1">
      <c r="A745" s="57"/>
      <c r="B745" s="462" t="s">
        <v>223</v>
      </c>
      <c r="C745" s="341">
        <v>423.0</v>
      </c>
      <c r="D745" s="464">
        <v>1.96</v>
      </c>
      <c r="E745" s="450" t="s">
        <v>23</v>
      </c>
      <c r="F745" s="450" t="s">
        <v>268</v>
      </c>
      <c r="G745" s="450" t="s">
        <v>17</v>
      </c>
      <c r="H745" s="465" t="s">
        <v>25</v>
      </c>
      <c r="I745" s="486">
        <v>1.0</v>
      </c>
      <c r="J745" s="465">
        <v>120.0</v>
      </c>
      <c r="K745" s="450">
        <f>I745*J745+I746*J746</f>
        <v>2920</v>
      </c>
      <c r="L745" s="466">
        <v>30.0</v>
      </c>
      <c r="M745" s="467">
        <f>(I745+I746)*L745</f>
        <v>870</v>
      </c>
      <c r="N745" s="468">
        <f>SUM(K745+M745)</f>
        <v>3790</v>
      </c>
    </row>
    <row r="746" ht="20.25" customHeight="1">
      <c r="A746" s="29"/>
      <c r="B746" s="29"/>
      <c r="C746" s="342">
        <v>424.0</v>
      </c>
      <c r="D746" s="29"/>
      <c r="E746" s="29"/>
      <c r="F746" s="29"/>
      <c r="G746" s="29"/>
      <c r="H746" s="445" t="s">
        <v>18</v>
      </c>
      <c r="I746" s="487">
        <v>28.0</v>
      </c>
      <c r="J746" s="445">
        <v>100.0</v>
      </c>
      <c r="K746" s="29"/>
      <c r="L746" s="216"/>
      <c r="M746" s="235"/>
      <c r="N746" s="202"/>
    </row>
    <row r="747" ht="20.25" customHeight="1">
      <c r="A747" s="58"/>
      <c r="B747" s="141"/>
      <c r="C747" s="203"/>
      <c r="D747" s="141"/>
      <c r="E747" s="141"/>
      <c r="F747" s="141"/>
      <c r="G747" s="141"/>
      <c r="H747" s="141"/>
      <c r="I747" s="319"/>
      <c r="J747" s="141"/>
      <c r="K747" s="141"/>
      <c r="L747" s="218"/>
      <c r="M747" s="236"/>
      <c r="N747" s="205"/>
    </row>
    <row r="748" ht="20.25" customHeight="1">
      <c r="A748" s="472">
        <v>46211.0</v>
      </c>
      <c r="B748" s="473" t="s">
        <v>122</v>
      </c>
      <c r="C748" s="388">
        <v>418.0</v>
      </c>
      <c r="D748" s="474">
        <v>2.46</v>
      </c>
      <c r="E748" s="441" t="s">
        <v>41</v>
      </c>
      <c r="F748" s="441" t="s">
        <v>269</v>
      </c>
      <c r="G748" s="441" t="s">
        <v>17</v>
      </c>
      <c r="H748" s="442" t="s">
        <v>25</v>
      </c>
      <c r="I748" s="458">
        <v>1.0</v>
      </c>
      <c r="J748" s="442">
        <v>120.0</v>
      </c>
      <c r="K748" s="441">
        <f>I748*J748+I749*J749</f>
        <v>2120</v>
      </c>
      <c r="L748" s="441">
        <v>25.0</v>
      </c>
      <c r="M748" s="441">
        <f>(I748+I749)*L748</f>
        <v>525</v>
      </c>
      <c r="N748" s="441">
        <f>M748+K748</f>
        <v>2645</v>
      </c>
    </row>
    <row r="749" ht="20.25" customHeight="1">
      <c r="A749" s="57"/>
      <c r="B749" s="294"/>
      <c r="C749" s="58"/>
      <c r="D749" s="70"/>
      <c r="E749" s="57"/>
      <c r="F749" s="57"/>
      <c r="G749" s="57"/>
      <c r="H749" s="102" t="s">
        <v>18</v>
      </c>
      <c r="I749" s="26">
        <v>20.0</v>
      </c>
      <c r="J749" s="102">
        <v>100.0</v>
      </c>
      <c r="K749" s="57"/>
      <c r="L749" s="57"/>
      <c r="M749" s="57"/>
      <c r="N749" s="57"/>
    </row>
    <row r="750" ht="20.25" customHeight="1">
      <c r="A750" s="29"/>
      <c r="B750" s="314"/>
      <c r="C750" s="388">
        <v>419.0</v>
      </c>
      <c r="D750" s="56"/>
      <c r="E750" s="29"/>
      <c r="F750" s="29"/>
      <c r="G750" s="29"/>
      <c r="H750" s="29"/>
      <c r="I750" s="29"/>
      <c r="J750" s="29"/>
      <c r="K750" s="29"/>
      <c r="L750" s="29"/>
      <c r="M750" s="29"/>
      <c r="N750" s="29"/>
    </row>
    <row r="751" ht="20.25" customHeight="1">
      <c r="A751" s="57"/>
      <c r="B751" s="294"/>
      <c r="C751" s="58"/>
      <c r="D751" s="59"/>
      <c r="E751" s="58"/>
      <c r="F751" s="58"/>
      <c r="G751" s="58"/>
      <c r="H751" s="58"/>
      <c r="I751" s="58"/>
      <c r="J751" s="58"/>
      <c r="K751" s="58"/>
      <c r="L751" s="58"/>
      <c r="M751" s="58"/>
      <c r="N751" s="58"/>
    </row>
    <row r="752" ht="20.25" customHeight="1">
      <c r="A752" s="29"/>
      <c r="B752" s="444" t="s">
        <v>223</v>
      </c>
      <c r="C752" s="342">
        <v>425.0</v>
      </c>
      <c r="D752" s="477">
        <v>2.19</v>
      </c>
      <c r="E752" s="445" t="s">
        <v>23</v>
      </c>
      <c r="F752" s="445" t="s">
        <v>270</v>
      </c>
      <c r="G752" s="445" t="s">
        <v>17</v>
      </c>
      <c r="H752" s="446" t="s">
        <v>25</v>
      </c>
      <c r="I752" s="478">
        <v>1.0</v>
      </c>
      <c r="J752" s="446">
        <v>120.0</v>
      </c>
      <c r="K752" s="445">
        <f>I752*J752+I753*J753</f>
        <v>3020</v>
      </c>
      <c r="L752" s="447">
        <v>30.0</v>
      </c>
      <c r="M752" s="448">
        <f>(I752+I753)*L752</f>
        <v>900</v>
      </c>
      <c r="N752" s="449">
        <f>SUM(K752+M752)</f>
        <v>3920</v>
      </c>
    </row>
    <row r="753" ht="20.25" customHeight="1">
      <c r="A753" s="57"/>
      <c r="B753" s="57"/>
      <c r="C753" s="341">
        <v>426.0</v>
      </c>
      <c r="D753" s="57"/>
      <c r="E753" s="57"/>
      <c r="F753" s="57"/>
      <c r="G753" s="57"/>
      <c r="H753" s="450" t="s">
        <v>18</v>
      </c>
      <c r="I753" s="451">
        <v>29.0</v>
      </c>
      <c r="J753" s="450">
        <v>100.0</v>
      </c>
      <c r="K753" s="57"/>
      <c r="L753" s="209"/>
      <c r="M753" s="210"/>
      <c r="N753" s="200"/>
    </row>
    <row r="754" ht="20.25" customHeight="1">
      <c r="A754" s="20"/>
      <c r="B754" s="100"/>
      <c r="C754" s="230"/>
      <c r="D754" s="100"/>
      <c r="E754" s="100"/>
      <c r="F754" s="100"/>
      <c r="G754" s="100"/>
      <c r="H754" s="100"/>
      <c r="I754" s="290"/>
      <c r="J754" s="100"/>
      <c r="K754" s="100"/>
      <c r="L754" s="211"/>
      <c r="M754" s="212"/>
      <c r="N754" s="213"/>
    </row>
    <row r="755" ht="20.25" customHeight="1">
      <c r="A755" s="481">
        <v>46212.0</v>
      </c>
      <c r="B755" s="471" t="s">
        <v>122</v>
      </c>
      <c r="C755" s="345">
        <v>424.0</v>
      </c>
      <c r="D755" s="460">
        <v>1.97</v>
      </c>
      <c r="E755" s="102" t="s">
        <v>41</v>
      </c>
      <c r="F755" s="102" t="s">
        <v>271</v>
      </c>
      <c r="G755" s="102" t="s">
        <v>17</v>
      </c>
      <c r="H755" s="185" t="s">
        <v>25</v>
      </c>
      <c r="I755" s="386">
        <v>1.0</v>
      </c>
      <c r="J755" s="386">
        <v>120.0</v>
      </c>
      <c r="K755" s="102">
        <f>I755*J755+I756*J756</f>
        <v>2320</v>
      </c>
      <c r="L755" s="26">
        <v>25.0</v>
      </c>
      <c r="M755" s="102">
        <f>(I755+I756)*L755</f>
        <v>575</v>
      </c>
      <c r="N755" s="102">
        <f>M755+K755</f>
        <v>2895</v>
      </c>
    </row>
    <row r="756" ht="20.25" customHeight="1">
      <c r="A756" s="29"/>
      <c r="B756" s="314"/>
      <c r="C756" s="20"/>
      <c r="D756" s="56"/>
      <c r="E756" s="29"/>
      <c r="F756" s="29"/>
      <c r="G756" s="29"/>
      <c r="H756" s="441" t="s">
        <v>18</v>
      </c>
      <c r="I756" s="407">
        <v>22.0</v>
      </c>
      <c r="J756" s="407">
        <v>100.0</v>
      </c>
      <c r="K756" s="29"/>
      <c r="L756" s="29"/>
      <c r="M756" s="29"/>
      <c r="N756" s="29"/>
    </row>
    <row r="757" ht="20.25" customHeight="1">
      <c r="A757" s="57"/>
      <c r="B757" s="294"/>
      <c r="C757" s="345">
        <v>428.0</v>
      </c>
      <c r="D757" s="70"/>
      <c r="E757" s="57"/>
      <c r="F757" s="57"/>
      <c r="G757" s="57"/>
      <c r="H757" s="57"/>
      <c r="I757" s="57"/>
      <c r="J757" s="57"/>
      <c r="K757" s="57"/>
      <c r="L757" s="57"/>
      <c r="M757" s="57"/>
      <c r="N757" s="57"/>
    </row>
    <row r="758" ht="20.25" customHeight="1">
      <c r="A758" s="29"/>
      <c r="B758" s="290"/>
      <c r="C758" s="20"/>
      <c r="D758" s="38"/>
      <c r="E758" s="20"/>
      <c r="F758" s="20"/>
      <c r="G758" s="20"/>
      <c r="H758" s="20"/>
      <c r="I758" s="20"/>
      <c r="J758" s="20"/>
      <c r="K758" s="20"/>
      <c r="L758" s="20"/>
      <c r="M758" s="20"/>
      <c r="N758" s="20"/>
    </row>
    <row r="759" ht="20.25" customHeight="1">
      <c r="A759" s="57"/>
      <c r="B759" s="488" t="s">
        <v>223</v>
      </c>
      <c r="C759" s="425">
        <v>426.0</v>
      </c>
      <c r="D759" s="489">
        <v>2.7</v>
      </c>
      <c r="E759" s="450" t="s">
        <v>23</v>
      </c>
      <c r="F759" s="450" t="s">
        <v>273</v>
      </c>
      <c r="G759" s="450" t="s">
        <v>17</v>
      </c>
      <c r="H759" s="465" t="s">
        <v>25</v>
      </c>
      <c r="I759" s="486">
        <v>1.0</v>
      </c>
      <c r="J759" s="486">
        <v>120.0</v>
      </c>
      <c r="K759" s="450">
        <f>I759*J759+I760*J760</f>
        <v>2320</v>
      </c>
      <c r="L759" s="490">
        <v>30.0</v>
      </c>
      <c r="M759" s="467">
        <f>(I759+I760)*L759</f>
        <v>690</v>
      </c>
      <c r="N759" s="468">
        <f>SUM(K759+M759)</f>
        <v>3010</v>
      </c>
    </row>
    <row r="760" ht="20.25" customHeight="1">
      <c r="A760" s="29"/>
      <c r="B760" s="491" t="s">
        <v>236</v>
      </c>
      <c r="C760" s="492">
        <v>401.0</v>
      </c>
      <c r="D760" s="56"/>
      <c r="E760" s="29"/>
      <c r="F760" s="29"/>
      <c r="G760" s="29"/>
      <c r="H760" s="445" t="s">
        <v>18</v>
      </c>
      <c r="I760" s="487">
        <v>22.0</v>
      </c>
      <c r="J760" s="477">
        <v>100.0</v>
      </c>
      <c r="K760" s="29"/>
      <c r="L760" s="216"/>
      <c r="M760" s="235"/>
      <c r="N760" s="202"/>
    </row>
    <row r="761" ht="20.25" customHeight="1">
      <c r="A761" s="58"/>
      <c r="B761" s="320"/>
      <c r="C761" s="431">
        <v>402.0</v>
      </c>
      <c r="D761" s="320"/>
      <c r="E761" s="141"/>
      <c r="F761" s="141"/>
      <c r="G761" s="141"/>
      <c r="H761" s="141"/>
      <c r="I761" s="319"/>
      <c r="J761" s="141"/>
      <c r="K761" s="141"/>
      <c r="L761" s="218"/>
      <c r="M761" s="236"/>
      <c r="N761" s="205"/>
    </row>
    <row r="762" ht="20.25" customHeight="1">
      <c r="A762" s="493">
        <v>46213.0</v>
      </c>
      <c r="B762" s="494" t="s">
        <v>122</v>
      </c>
      <c r="C762" s="495">
        <v>401.0</v>
      </c>
      <c r="D762" s="496">
        <v>2.32</v>
      </c>
      <c r="E762" s="445" t="s">
        <v>23</v>
      </c>
      <c r="F762" s="445" t="s">
        <v>274</v>
      </c>
      <c r="G762" s="445" t="s">
        <v>17</v>
      </c>
      <c r="H762" s="446" t="s">
        <v>25</v>
      </c>
      <c r="I762" s="478">
        <v>1.0</v>
      </c>
      <c r="J762" s="478">
        <v>120.0</v>
      </c>
      <c r="K762" s="445">
        <f>I762*J762+I763*J763</f>
        <v>1920</v>
      </c>
      <c r="L762" s="498">
        <v>30.0</v>
      </c>
      <c r="M762" s="448">
        <f>(I762+I763)*L762</f>
        <v>570</v>
      </c>
      <c r="N762" s="449">
        <f>SUM(K762+M762)</f>
        <v>2490</v>
      </c>
    </row>
    <row r="763" ht="20.25" customHeight="1">
      <c r="A763" s="210"/>
      <c r="C763" s="425">
        <v>402.0</v>
      </c>
      <c r="D763" s="70"/>
      <c r="E763" s="57"/>
      <c r="F763" s="57"/>
      <c r="G763" s="57"/>
      <c r="H763" s="450" t="s">
        <v>18</v>
      </c>
      <c r="I763" s="451">
        <v>18.0</v>
      </c>
      <c r="J763" s="464">
        <v>100.0</v>
      </c>
      <c r="K763" s="57"/>
      <c r="L763" s="209"/>
      <c r="M763" s="210"/>
      <c r="N763" s="200"/>
    </row>
    <row r="764" ht="20.25" customHeight="1">
      <c r="A764" s="212"/>
      <c r="B764" s="230"/>
      <c r="C764" s="495">
        <v>403.0</v>
      </c>
      <c r="D764" s="296"/>
      <c r="E764" s="100"/>
      <c r="F764" s="100"/>
      <c r="G764" s="100"/>
      <c r="H764" s="100"/>
      <c r="I764" s="290"/>
      <c r="J764" s="100"/>
      <c r="K764" s="100"/>
      <c r="L764" s="211"/>
      <c r="M764" s="212"/>
      <c r="N764" s="213"/>
    </row>
    <row r="765" ht="20.25" customHeight="1">
      <c r="A765" s="501">
        <v>46214.0</v>
      </c>
      <c r="B765" s="502" t="s">
        <v>122</v>
      </c>
      <c r="C765" s="425">
        <v>406.0</v>
      </c>
      <c r="D765" s="489">
        <v>4.55</v>
      </c>
      <c r="E765" s="450" t="s">
        <v>23</v>
      </c>
      <c r="F765" s="450" t="s">
        <v>276</v>
      </c>
      <c r="G765" s="450" t="s">
        <v>17</v>
      </c>
      <c r="H765" s="465" t="s">
        <v>25</v>
      </c>
      <c r="I765" s="486">
        <v>1.0</v>
      </c>
      <c r="J765" s="486">
        <v>120.0</v>
      </c>
      <c r="K765" s="450">
        <f>I765*J765+I766*J766</f>
        <v>2420</v>
      </c>
      <c r="L765" s="490">
        <v>30.0</v>
      </c>
      <c r="M765" s="467">
        <f>(I765+I766)*L765</f>
        <v>720</v>
      </c>
      <c r="N765" s="468">
        <f>SUM(K765+M765)</f>
        <v>3140</v>
      </c>
    </row>
    <row r="766" ht="20.25" customHeight="1">
      <c r="A766" s="235"/>
      <c r="C766" s="495">
        <v>407.0</v>
      </c>
      <c r="D766" s="56"/>
      <c r="E766" s="29"/>
      <c r="F766" s="29"/>
      <c r="G766" s="29"/>
      <c r="H766" s="445" t="s">
        <v>18</v>
      </c>
      <c r="I766" s="487">
        <v>23.0</v>
      </c>
      <c r="J766" s="477">
        <v>100.0</v>
      </c>
      <c r="K766" s="29"/>
      <c r="L766" s="216"/>
      <c r="M766" s="235"/>
      <c r="N766" s="202"/>
    </row>
    <row r="767" ht="20.25" customHeight="1">
      <c r="A767" s="210"/>
      <c r="C767" s="425">
        <v>408.0</v>
      </c>
      <c r="D767" s="70"/>
      <c r="E767" s="57"/>
      <c r="F767" s="57"/>
      <c r="G767" s="57"/>
      <c r="H767" s="57"/>
      <c r="I767" s="294"/>
      <c r="J767" s="57"/>
      <c r="K767" s="57"/>
      <c r="L767" s="209"/>
      <c r="M767" s="210"/>
      <c r="N767" s="200"/>
    </row>
    <row r="768" ht="20.25" customHeight="1">
      <c r="A768" s="235"/>
      <c r="C768" s="495">
        <v>409.0</v>
      </c>
      <c r="D768" s="56"/>
      <c r="E768" s="29"/>
      <c r="F768" s="29"/>
      <c r="G768" s="29"/>
      <c r="H768" s="29"/>
      <c r="I768" s="314"/>
      <c r="J768" s="29"/>
      <c r="K768" s="29"/>
      <c r="L768" s="216"/>
      <c r="M768" s="235"/>
      <c r="N768" s="202"/>
    </row>
    <row r="769" ht="20.25" customHeight="1">
      <c r="A769" s="236"/>
      <c r="B769" s="203"/>
      <c r="C769" s="425">
        <v>410.0</v>
      </c>
      <c r="D769" s="320"/>
      <c r="E769" s="141"/>
      <c r="F769" s="141"/>
      <c r="G769" s="141"/>
      <c r="H769" s="141"/>
      <c r="I769" s="319"/>
      <c r="J769" s="141"/>
      <c r="K769" s="141"/>
      <c r="L769" s="218"/>
      <c r="M769" s="236"/>
      <c r="N769" s="205"/>
    </row>
    <row r="770" ht="20.25" customHeight="1">
      <c r="A770" s="493">
        <v>46215.0</v>
      </c>
      <c r="B770" s="503" t="s">
        <v>122</v>
      </c>
      <c r="C770" s="504">
        <v>422.0</v>
      </c>
      <c r="D770" s="496">
        <v>3.2</v>
      </c>
      <c r="E770" s="445" t="s">
        <v>23</v>
      </c>
      <c r="F770" s="445" t="s">
        <v>280</v>
      </c>
      <c r="G770" s="445" t="s">
        <v>17</v>
      </c>
      <c r="H770" s="446" t="s">
        <v>25</v>
      </c>
      <c r="I770" s="478">
        <v>1.0</v>
      </c>
      <c r="J770" s="478">
        <v>120.0</v>
      </c>
      <c r="K770" s="445">
        <f>I770*J770+I771*J771</f>
        <v>2020</v>
      </c>
      <c r="L770" s="447">
        <v>30.0</v>
      </c>
      <c r="M770" s="448">
        <f>(I770+I771)*L770</f>
        <v>600</v>
      </c>
      <c r="N770" s="449">
        <f>SUM(K770+M770)</f>
        <v>2620</v>
      </c>
    </row>
    <row r="771" ht="20.25" customHeight="1">
      <c r="A771" s="210"/>
      <c r="C771" s="506">
        <v>423.0</v>
      </c>
      <c r="D771" s="70"/>
      <c r="E771" s="57"/>
      <c r="F771" s="57"/>
      <c r="G771" s="57"/>
      <c r="H771" s="450" t="s">
        <v>18</v>
      </c>
      <c r="I771" s="451">
        <v>19.0</v>
      </c>
      <c r="J771" s="464">
        <v>100.0</v>
      </c>
      <c r="K771" s="57"/>
      <c r="L771" s="209"/>
      <c r="M771" s="210"/>
      <c r="N771" s="200"/>
    </row>
    <row r="772" ht="20.25" customHeight="1">
      <c r="A772" s="212"/>
      <c r="B772" s="230"/>
      <c r="C772" s="504">
        <v>424.0</v>
      </c>
      <c r="D772" s="296"/>
      <c r="E772" s="100"/>
      <c r="F772" s="100"/>
      <c r="G772" s="100"/>
      <c r="H772" s="100"/>
      <c r="I772" s="290"/>
      <c r="J772" s="100"/>
      <c r="K772" s="100"/>
      <c r="L772" s="211"/>
      <c r="M772" s="212"/>
      <c r="N772" s="213"/>
    </row>
    <row r="773" ht="20.25" customHeight="1">
      <c r="A773" s="501">
        <v>46216.0</v>
      </c>
      <c r="B773" s="507" t="s">
        <v>122</v>
      </c>
      <c r="C773" s="506">
        <v>422.0</v>
      </c>
      <c r="D773" s="489">
        <v>3.2</v>
      </c>
      <c r="E773" s="450" t="s">
        <v>23</v>
      </c>
      <c r="F773" s="450" t="s">
        <v>282</v>
      </c>
      <c r="G773" s="450" t="s">
        <v>17</v>
      </c>
      <c r="H773" s="465" t="s">
        <v>25</v>
      </c>
      <c r="I773" s="486">
        <v>1.0</v>
      </c>
      <c r="J773" s="486">
        <v>120.0</v>
      </c>
      <c r="K773" s="450">
        <f>I773*J773+I774*J774</f>
        <v>1820</v>
      </c>
      <c r="L773" s="466">
        <v>30.0</v>
      </c>
      <c r="M773" s="467">
        <f>(I773+I774)*L773</f>
        <v>540</v>
      </c>
      <c r="N773" s="468">
        <f>SUM(K773+M773)</f>
        <v>2360</v>
      </c>
    </row>
    <row r="774" ht="20.25" customHeight="1">
      <c r="A774" s="235"/>
      <c r="C774" s="504">
        <v>423.0</v>
      </c>
      <c r="D774" s="56"/>
      <c r="E774" s="29"/>
      <c r="F774" s="29"/>
      <c r="G774" s="29"/>
      <c r="H774" s="445" t="s">
        <v>18</v>
      </c>
      <c r="I774" s="487">
        <v>17.0</v>
      </c>
      <c r="J774" s="477">
        <v>100.0</v>
      </c>
      <c r="K774" s="29"/>
      <c r="L774" s="216"/>
      <c r="M774" s="235"/>
      <c r="N774" s="202"/>
    </row>
    <row r="775" ht="20.25" customHeight="1">
      <c r="A775" s="236"/>
      <c r="B775" s="203"/>
      <c r="C775" s="506">
        <v>424.0</v>
      </c>
      <c r="D775" s="320"/>
      <c r="E775" s="141"/>
      <c r="F775" s="141"/>
      <c r="G775" s="141"/>
      <c r="H775" s="141"/>
      <c r="I775" s="319"/>
      <c r="J775" s="141"/>
      <c r="K775" s="141"/>
      <c r="L775" s="218"/>
      <c r="M775" s="236"/>
      <c r="N775" s="205"/>
    </row>
    <row r="776" ht="20.25" customHeight="1">
      <c r="A776" s="493">
        <v>46217.0</v>
      </c>
      <c r="B776" s="503" t="s">
        <v>122</v>
      </c>
      <c r="C776" s="504">
        <v>425.0</v>
      </c>
      <c r="D776" s="496">
        <v>3.24</v>
      </c>
      <c r="E776" s="445" t="s">
        <v>23</v>
      </c>
      <c r="F776" s="445" t="s">
        <v>283</v>
      </c>
      <c r="G776" s="445" t="s">
        <v>17</v>
      </c>
      <c r="H776" s="446" t="s">
        <v>25</v>
      </c>
      <c r="I776" s="478">
        <v>1.0</v>
      </c>
      <c r="J776" s="478">
        <v>120.0</v>
      </c>
      <c r="K776" s="445">
        <f>I776*J776+I777*J777</f>
        <v>1820</v>
      </c>
      <c r="L776" s="447">
        <v>30.0</v>
      </c>
      <c r="M776" s="448">
        <f>(I776+I777)*L776</f>
        <v>540</v>
      </c>
      <c r="N776" s="449">
        <f>SUM(K776+M776)</f>
        <v>2360</v>
      </c>
    </row>
    <row r="777" ht="20.25" customHeight="1">
      <c r="A777" s="210"/>
      <c r="C777" s="506">
        <v>426.0</v>
      </c>
      <c r="D777" s="70"/>
      <c r="E777" s="57"/>
      <c r="F777" s="57"/>
      <c r="G777" s="57"/>
      <c r="H777" s="450" t="s">
        <v>18</v>
      </c>
      <c r="I777" s="451">
        <v>17.0</v>
      </c>
      <c r="J777" s="464">
        <v>100.0</v>
      </c>
      <c r="K777" s="57"/>
      <c r="L777" s="209"/>
      <c r="M777" s="210"/>
      <c r="N777" s="200"/>
    </row>
    <row r="778" ht="20.25" customHeight="1">
      <c r="A778" s="212"/>
      <c r="B778" s="230"/>
      <c r="C778" s="504">
        <v>427.0</v>
      </c>
      <c r="D778" s="296"/>
      <c r="E778" s="100"/>
      <c r="F778" s="100"/>
      <c r="G778" s="100"/>
      <c r="H778" s="100"/>
      <c r="I778" s="290"/>
      <c r="J778" s="100"/>
      <c r="K778" s="100"/>
      <c r="L778" s="211"/>
      <c r="M778" s="212"/>
      <c r="N778" s="213"/>
    </row>
    <row r="779" ht="20.25" customHeight="1">
      <c r="A779" s="501">
        <v>46218.0</v>
      </c>
      <c r="B779" s="502" t="s">
        <v>223</v>
      </c>
      <c r="C779" s="506">
        <v>427.0</v>
      </c>
      <c r="D779" s="489">
        <v>2.09</v>
      </c>
      <c r="E779" s="450" t="s">
        <v>23</v>
      </c>
      <c r="F779" s="450" t="s">
        <v>284</v>
      </c>
      <c r="G779" s="450" t="s">
        <v>17</v>
      </c>
      <c r="H779" s="465" t="s">
        <v>25</v>
      </c>
      <c r="I779" s="486">
        <v>1.0</v>
      </c>
      <c r="J779" s="486">
        <v>120.0</v>
      </c>
      <c r="K779" s="450">
        <f>I779*J779+I780*J780</f>
        <v>2120</v>
      </c>
      <c r="L779" s="466">
        <v>30.0</v>
      </c>
      <c r="M779" s="467">
        <f>(I779+I780)*L779</f>
        <v>630</v>
      </c>
      <c r="N779" s="468">
        <f>SUM(K779+M779)</f>
        <v>2750</v>
      </c>
    </row>
    <row r="780" ht="20.25" customHeight="1">
      <c r="A780" s="212"/>
      <c r="B780" s="230"/>
      <c r="C780" s="504">
        <v>428.0</v>
      </c>
      <c r="D780" s="296"/>
      <c r="E780" s="100"/>
      <c r="F780" s="100"/>
      <c r="G780" s="100"/>
      <c r="H780" s="446" t="s">
        <v>18</v>
      </c>
      <c r="I780" s="510">
        <v>20.0</v>
      </c>
      <c r="J780" s="478">
        <v>100.0</v>
      </c>
      <c r="K780" s="100"/>
      <c r="L780" s="211"/>
      <c r="M780" s="212"/>
      <c r="N780" s="213"/>
    </row>
    <row r="781" ht="20.25" customHeight="1">
      <c r="A781" s="501">
        <v>46219.0</v>
      </c>
      <c r="B781" s="502" t="s">
        <v>223</v>
      </c>
      <c r="C781" s="506">
        <v>428.0</v>
      </c>
      <c r="D781" s="489">
        <v>1.89</v>
      </c>
      <c r="E781" s="450" t="s">
        <v>23</v>
      </c>
      <c r="F781" s="450" t="s">
        <v>285</v>
      </c>
      <c r="G781" s="450" t="s">
        <v>17</v>
      </c>
      <c r="H781" s="465" t="s">
        <v>25</v>
      </c>
      <c r="I781" s="486">
        <v>1.0</v>
      </c>
      <c r="J781" s="486">
        <v>120.0</v>
      </c>
      <c r="K781" s="450">
        <f>I781*J781+I782*J782</f>
        <v>1920</v>
      </c>
      <c r="L781" s="466">
        <v>30.0</v>
      </c>
      <c r="M781" s="467">
        <f>(I781+I782)*L781</f>
        <v>570</v>
      </c>
      <c r="N781" s="468">
        <f>SUM(K781+M781)</f>
        <v>2490</v>
      </c>
    </row>
    <row r="782" ht="20.25" customHeight="1">
      <c r="A782" s="212"/>
      <c r="B782" s="230"/>
      <c r="C782" s="504">
        <v>411.0</v>
      </c>
      <c r="D782" s="296"/>
      <c r="E782" s="100"/>
      <c r="F782" s="100"/>
      <c r="G782" s="100"/>
      <c r="H782" s="446" t="s">
        <v>18</v>
      </c>
      <c r="I782" s="510">
        <v>18.0</v>
      </c>
      <c r="J782" s="478">
        <v>100.0</v>
      </c>
      <c r="K782" s="100"/>
      <c r="L782" s="211"/>
      <c r="M782" s="212"/>
      <c r="N782" s="213"/>
    </row>
    <row r="783" ht="20.25" customHeight="1">
      <c r="A783" s="501">
        <v>46220.0</v>
      </c>
      <c r="B783" s="502" t="s">
        <v>223</v>
      </c>
      <c r="C783" s="511">
        <v>412.0</v>
      </c>
      <c r="D783" s="489">
        <v>1.56</v>
      </c>
      <c r="E783" s="450" t="s">
        <v>23</v>
      </c>
      <c r="F783" s="450" t="s">
        <v>287</v>
      </c>
      <c r="G783" s="450" t="s">
        <v>17</v>
      </c>
      <c r="H783" s="465" t="s">
        <v>25</v>
      </c>
      <c r="I783" s="486">
        <v>1.0</v>
      </c>
      <c r="J783" s="486">
        <v>120.0</v>
      </c>
      <c r="K783" s="450">
        <f>I783*J783+I784*J784</f>
        <v>2220</v>
      </c>
      <c r="L783" s="466">
        <v>30.0</v>
      </c>
      <c r="M783" s="467">
        <f>(I783+I784)*L783</f>
        <v>660</v>
      </c>
      <c r="N783" s="468">
        <f>SUM(K783+M783)</f>
        <v>2880</v>
      </c>
    </row>
    <row r="784" ht="20.25" customHeight="1">
      <c r="A784" s="212"/>
      <c r="B784" s="230"/>
      <c r="C784" s="212"/>
      <c r="D784" s="296"/>
      <c r="E784" s="100"/>
      <c r="F784" s="100"/>
      <c r="G784" s="100"/>
      <c r="H784" s="446" t="s">
        <v>18</v>
      </c>
      <c r="I784" s="510">
        <v>21.0</v>
      </c>
      <c r="J784" s="478">
        <v>100.0</v>
      </c>
      <c r="K784" s="100"/>
      <c r="L784" s="211"/>
      <c r="M784" s="212"/>
      <c r="N784" s="213"/>
    </row>
    <row r="785" ht="20.25" customHeight="1">
      <c r="A785" s="501">
        <v>46221.0</v>
      </c>
      <c r="B785" s="502" t="s">
        <v>223</v>
      </c>
      <c r="C785" s="511">
        <v>414.0</v>
      </c>
      <c r="D785" s="489">
        <v>1.26</v>
      </c>
      <c r="E785" s="450" t="s">
        <v>23</v>
      </c>
      <c r="F785" s="450" t="s">
        <v>288</v>
      </c>
      <c r="G785" s="450" t="s">
        <v>17</v>
      </c>
      <c r="H785" s="465" t="s">
        <v>25</v>
      </c>
      <c r="I785" s="486">
        <v>1.0</v>
      </c>
      <c r="J785" s="486">
        <v>120.0</v>
      </c>
      <c r="K785" s="450">
        <f>I785*J785+I786*J786</f>
        <v>2420</v>
      </c>
      <c r="L785" s="490">
        <v>30.0</v>
      </c>
      <c r="M785" s="467">
        <f>(I785+I786)*L785</f>
        <v>720</v>
      </c>
      <c r="N785" s="468">
        <f>SUM(K785+M785)</f>
        <v>3140</v>
      </c>
    </row>
    <row r="786" ht="20.25" customHeight="1">
      <c r="A786" s="212"/>
      <c r="B786" s="230"/>
      <c r="C786" s="212"/>
      <c r="D786" s="296"/>
      <c r="E786" s="100"/>
      <c r="F786" s="100"/>
      <c r="G786" s="100"/>
      <c r="H786" s="446" t="s">
        <v>18</v>
      </c>
      <c r="I786" s="510">
        <v>23.0</v>
      </c>
      <c r="J786" s="478">
        <v>100.0</v>
      </c>
      <c r="K786" s="100"/>
      <c r="L786" s="211"/>
      <c r="M786" s="212"/>
      <c r="N786" s="213"/>
    </row>
    <row r="787" ht="20.25" customHeight="1">
      <c r="A787" s="501">
        <v>46222.0</v>
      </c>
      <c r="B787" s="502" t="s">
        <v>223</v>
      </c>
      <c r="C787" s="511">
        <v>415.0</v>
      </c>
      <c r="D787" s="489">
        <v>0.62</v>
      </c>
      <c r="E787" s="450" t="s">
        <v>23</v>
      </c>
      <c r="F787" s="450" t="s">
        <v>289</v>
      </c>
      <c r="G787" s="450" t="s">
        <v>17</v>
      </c>
      <c r="H787" s="465" t="s">
        <v>25</v>
      </c>
      <c r="I787" s="486">
        <v>1.0</v>
      </c>
      <c r="J787" s="486">
        <v>120.0</v>
      </c>
      <c r="K787" s="450">
        <f>I787*J787+I788*J788</f>
        <v>2220</v>
      </c>
      <c r="L787" s="490">
        <v>30.0</v>
      </c>
      <c r="M787" s="467">
        <f>(I787+I788)*L787</f>
        <v>660</v>
      </c>
      <c r="N787" s="468">
        <f>SUM(K787+M787)</f>
        <v>2880</v>
      </c>
    </row>
    <row r="788" ht="20.25" customHeight="1">
      <c r="A788" s="212"/>
      <c r="B788" s="230"/>
      <c r="C788" s="212"/>
      <c r="D788" s="296"/>
      <c r="E788" s="100"/>
      <c r="F788" s="100"/>
      <c r="G788" s="100"/>
      <c r="H788" s="446" t="s">
        <v>18</v>
      </c>
      <c r="I788" s="510">
        <v>21.0</v>
      </c>
      <c r="J788" s="478">
        <v>100.0</v>
      </c>
      <c r="K788" s="100"/>
      <c r="L788" s="211"/>
      <c r="M788" s="212"/>
      <c r="N788" s="213"/>
    </row>
    <row r="789" ht="20.25" customHeight="1">
      <c r="A789" s="501">
        <v>46223.0</v>
      </c>
      <c r="B789" s="502" t="s">
        <v>223</v>
      </c>
      <c r="C789" s="511">
        <v>417.0</v>
      </c>
      <c r="D789" s="489">
        <v>1.67</v>
      </c>
      <c r="E789" s="450" t="s">
        <v>23</v>
      </c>
      <c r="F789" s="450" t="s">
        <v>291</v>
      </c>
      <c r="G789" s="450" t="s">
        <v>17</v>
      </c>
      <c r="H789" s="465" t="s">
        <v>25</v>
      </c>
      <c r="I789" s="486">
        <v>1.0</v>
      </c>
      <c r="J789" s="486">
        <v>120.0</v>
      </c>
      <c r="K789" s="450">
        <f>I789*J789+I790*J790</f>
        <v>2520</v>
      </c>
      <c r="L789" s="490">
        <v>30.0</v>
      </c>
      <c r="M789" s="467">
        <f>(I789+I790)*L789</f>
        <v>750</v>
      </c>
      <c r="N789" s="468">
        <f>SUM(K789+M789)</f>
        <v>3270</v>
      </c>
    </row>
    <row r="790" ht="20.25" customHeight="1">
      <c r="A790" s="212"/>
      <c r="B790" s="230"/>
      <c r="C790" s="212"/>
      <c r="D790" s="296"/>
      <c r="E790" s="100"/>
      <c r="F790" s="100"/>
      <c r="G790" s="100"/>
      <c r="H790" s="446" t="s">
        <v>18</v>
      </c>
      <c r="I790" s="510">
        <v>24.0</v>
      </c>
      <c r="J790" s="478">
        <v>100.0</v>
      </c>
      <c r="K790" s="100"/>
      <c r="L790" s="211"/>
      <c r="M790" s="212"/>
      <c r="N790" s="213"/>
    </row>
    <row r="791" ht="20.25" customHeight="1">
      <c r="A791" s="501">
        <v>46224.0</v>
      </c>
      <c r="B791" s="502" t="s">
        <v>223</v>
      </c>
      <c r="C791" s="511">
        <v>418.0</v>
      </c>
      <c r="D791" s="513">
        <v>1.32</v>
      </c>
      <c r="E791" s="450" t="s">
        <v>23</v>
      </c>
      <c r="F791" s="450" t="s">
        <v>292</v>
      </c>
      <c r="G791" s="450" t="s">
        <v>17</v>
      </c>
      <c r="H791" s="465" t="s">
        <v>25</v>
      </c>
      <c r="I791" s="486">
        <v>1.0</v>
      </c>
      <c r="J791" s="486">
        <v>120.0</v>
      </c>
      <c r="K791" s="450">
        <f>I791*J791+I792*J792</f>
        <v>2420</v>
      </c>
      <c r="L791" s="490">
        <v>30.0</v>
      </c>
      <c r="M791" s="467">
        <f>(I791+I792)*L791</f>
        <v>720</v>
      </c>
      <c r="N791" s="468">
        <f>SUM(K791+M791)</f>
        <v>3140</v>
      </c>
    </row>
    <row r="792" ht="20.25" customHeight="1">
      <c r="A792" s="212"/>
      <c r="B792" s="230"/>
      <c r="C792" s="212"/>
      <c r="D792" s="296"/>
      <c r="E792" s="100"/>
      <c r="F792" s="100"/>
      <c r="G792" s="100"/>
      <c r="H792" s="446" t="s">
        <v>18</v>
      </c>
      <c r="I792" s="510">
        <v>23.0</v>
      </c>
      <c r="J792" s="478">
        <v>100.0</v>
      </c>
      <c r="K792" s="100"/>
      <c r="L792" s="211"/>
      <c r="M792" s="212"/>
      <c r="N792" s="213"/>
    </row>
    <row r="793" ht="20.25" customHeight="1">
      <c r="A793" s="501">
        <v>46225.0</v>
      </c>
      <c r="B793" s="502" t="s">
        <v>223</v>
      </c>
      <c r="C793" s="511">
        <v>419.0</v>
      </c>
      <c r="D793" s="514">
        <v>1.14</v>
      </c>
      <c r="E793" s="450" t="s">
        <v>23</v>
      </c>
      <c r="F793" s="450" t="s">
        <v>293</v>
      </c>
      <c r="G793" s="450" t="s">
        <v>17</v>
      </c>
      <c r="H793" s="465" t="s">
        <v>25</v>
      </c>
      <c r="I793" s="486">
        <v>1.0</v>
      </c>
      <c r="J793" s="486">
        <v>120.0</v>
      </c>
      <c r="K793" s="450">
        <f>I793*J793+I794*J794</f>
        <v>2220</v>
      </c>
      <c r="L793" s="490">
        <v>30.0</v>
      </c>
      <c r="M793" s="467">
        <f>(I793+I794)*L793</f>
        <v>660</v>
      </c>
      <c r="N793" s="468">
        <f>SUM(K793+M793)</f>
        <v>2880</v>
      </c>
    </row>
    <row r="794" ht="20.25" customHeight="1">
      <c r="A794" s="212"/>
      <c r="B794" s="230"/>
      <c r="C794" s="212"/>
      <c r="D794" s="296"/>
      <c r="E794" s="100"/>
      <c r="F794" s="100"/>
      <c r="G794" s="100"/>
      <c r="H794" s="446" t="s">
        <v>18</v>
      </c>
      <c r="I794" s="510">
        <v>21.0</v>
      </c>
      <c r="J794" s="478">
        <v>100.0</v>
      </c>
      <c r="K794" s="100"/>
      <c r="L794" s="211"/>
      <c r="M794" s="212"/>
      <c r="N794" s="213"/>
    </row>
    <row r="795" ht="17.25" customHeight="1">
      <c r="A795" s="501">
        <v>46226.0</v>
      </c>
      <c r="B795" s="502" t="s">
        <v>122</v>
      </c>
      <c r="C795" s="511">
        <v>417.0</v>
      </c>
      <c r="D795" s="514">
        <v>1.67</v>
      </c>
      <c r="E795" s="450" t="s">
        <v>23</v>
      </c>
      <c r="F795" s="450" t="s">
        <v>294</v>
      </c>
      <c r="G795" s="450" t="s">
        <v>17</v>
      </c>
      <c r="H795" s="465" t="s">
        <v>25</v>
      </c>
      <c r="I795" s="486">
        <v>1.0</v>
      </c>
      <c r="J795" s="486">
        <v>120.0</v>
      </c>
      <c r="K795" s="450">
        <f>I795*J795+I796*J796</f>
        <v>1620</v>
      </c>
      <c r="L795" s="490">
        <v>30.0</v>
      </c>
      <c r="M795" s="467">
        <f>(I795+I796)*L795</f>
        <v>480</v>
      </c>
      <c r="N795" s="468">
        <f>SUM(K795+M795)</f>
        <v>2100</v>
      </c>
    </row>
    <row r="796" ht="20.25" customHeight="1">
      <c r="A796" s="212"/>
      <c r="B796" s="230"/>
      <c r="C796" s="212"/>
      <c r="D796" s="296"/>
      <c r="E796" s="100"/>
      <c r="F796" s="100"/>
      <c r="G796" s="100"/>
      <c r="H796" s="446" t="s">
        <v>18</v>
      </c>
      <c r="I796" s="510">
        <v>15.0</v>
      </c>
      <c r="J796" s="478">
        <v>100.0</v>
      </c>
      <c r="K796" s="100"/>
      <c r="L796" s="211"/>
      <c r="M796" s="212"/>
      <c r="N796" s="213"/>
    </row>
    <row r="797" ht="20.25" customHeight="1">
      <c r="A797" s="501">
        <v>46227.0</v>
      </c>
      <c r="B797" s="502" t="s">
        <v>122</v>
      </c>
      <c r="C797" s="516">
        <v>405.0</v>
      </c>
      <c r="D797" s="514">
        <v>2.92</v>
      </c>
      <c r="E797" s="450" t="s">
        <v>23</v>
      </c>
      <c r="F797" s="450" t="s">
        <v>295</v>
      </c>
      <c r="G797" s="450" t="s">
        <v>17</v>
      </c>
      <c r="H797" s="450" t="s">
        <v>18</v>
      </c>
      <c r="I797" s="464">
        <v>7.0</v>
      </c>
      <c r="J797" s="464">
        <v>100.0</v>
      </c>
      <c r="K797" s="450">
        <f>I797*J797+I798*J798</f>
        <v>700</v>
      </c>
      <c r="L797" s="490">
        <v>30.0</v>
      </c>
      <c r="M797" s="467">
        <f>(I797+I798)*L797</f>
        <v>210</v>
      </c>
      <c r="N797" s="468">
        <f>SUM(K797+M797)</f>
        <v>910</v>
      </c>
    </row>
    <row r="798" ht="20.25" customHeight="1">
      <c r="A798" s="212"/>
      <c r="B798" s="230"/>
      <c r="C798" s="517">
        <v>408.0</v>
      </c>
      <c r="D798" s="296"/>
      <c r="E798" s="100"/>
      <c r="F798" s="100"/>
      <c r="G798" s="100"/>
      <c r="H798" s="100"/>
      <c r="I798" s="100"/>
      <c r="J798" s="100"/>
      <c r="K798" s="100"/>
      <c r="L798" s="211"/>
      <c r="M798" s="212"/>
      <c r="N798" s="213"/>
    </row>
    <row r="799" ht="20.25" customHeight="1">
      <c r="A799" s="501">
        <v>46228.0</v>
      </c>
      <c r="B799" s="502" t="s">
        <v>122</v>
      </c>
      <c r="C799" s="516">
        <v>401.0</v>
      </c>
      <c r="D799" s="514">
        <v>3.28</v>
      </c>
      <c r="E799" s="450" t="s">
        <v>23</v>
      </c>
      <c r="F799" s="450" t="s">
        <v>296</v>
      </c>
      <c r="G799" s="450" t="s">
        <v>17</v>
      </c>
      <c r="H799" s="450" t="s">
        <v>18</v>
      </c>
      <c r="I799" s="464">
        <v>8.0</v>
      </c>
      <c r="J799" s="464">
        <v>100.0</v>
      </c>
      <c r="K799" s="450">
        <f>I799*J799+I800*J800</f>
        <v>800</v>
      </c>
      <c r="L799" s="490">
        <v>30.0</v>
      </c>
      <c r="M799" s="467">
        <f>(I799+I800)*L799</f>
        <v>240</v>
      </c>
      <c r="N799" s="468">
        <f>SUM(K799+M799)</f>
        <v>1040</v>
      </c>
    </row>
    <row r="800" ht="20.25" customHeight="1">
      <c r="A800" s="235"/>
      <c r="C800" s="436">
        <v>407.0</v>
      </c>
      <c r="D800" s="56"/>
      <c r="E800" s="29"/>
      <c r="F800" s="29"/>
      <c r="G800" s="29"/>
      <c r="H800" s="29"/>
      <c r="I800" s="29"/>
      <c r="J800" s="29"/>
      <c r="K800" s="29"/>
      <c r="L800" s="216"/>
      <c r="M800" s="235"/>
      <c r="N800" s="202"/>
    </row>
    <row r="801" ht="20.25" customHeight="1">
      <c r="A801" s="210"/>
      <c r="C801" s="518">
        <v>408.0</v>
      </c>
      <c r="D801" s="70"/>
      <c r="E801" s="57"/>
      <c r="F801" s="57"/>
      <c r="G801" s="57"/>
      <c r="H801" s="57"/>
      <c r="I801" s="57"/>
      <c r="J801" s="57"/>
      <c r="K801" s="57"/>
      <c r="L801" s="209"/>
      <c r="M801" s="210"/>
      <c r="N801" s="200"/>
    </row>
    <row r="802" ht="20.25" customHeight="1">
      <c r="A802" s="212"/>
      <c r="B802" s="230"/>
      <c r="C802" s="519">
        <v>410.0</v>
      </c>
      <c r="D802" s="296"/>
      <c r="E802" s="100"/>
      <c r="F802" s="100"/>
      <c r="G802" s="100"/>
      <c r="H802" s="100"/>
      <c r="I802" s="100"/>
      <c r="J802" s="100"/>
      <c r="K802" s="100"/>
      <c r="L802" s="211"/>
      <c r="M802" s="212"/>
      <c r="N802" s="213"/>
    </row>
    <row r="803" ht="20.25" customHeight="1">
      <c r="A803" s="501">
        <v>46230.0</v>
      </c>
      <c r="B803" s="502" t="s">
        <v>122</v>
      </c>
      <c r="C803" s="516">
        <v>401.0</v>
      </c>
      <c r="D803" s="514">
        <v>2.56</v>
      </c>
      <c r="E803" s="450" t="s">
        <v>23</v>
      </c>
      <c r="F803" s="450" t="s">
        <v>298</v>
      </c>
      <c r="G803" s="450" t="s">
        <v>17</v>
      </c>
      <c r="H803" s="450" t="s">
        <v>18</v>
      </c>
      <c r="I803" s="464">
        <v>7.0</v>
      </c>
      <c r="J803" s="464">
        <v>100.0</v>
      </c>
      <c r="K803" s="450">
        <f>I803*J803+I804*J804</f>
        <v>700</v>
      </c>
      <c r="L803" s="490">
        <v>30.0</v>
      </c>
      <c r="M803" s="467">
        <f>(I803+I804)*L803</f>
        <v>210</v>
      </c>
      <c r="N803" s="468">
        <f>SUM(K803+M803)</f>
        <v>910</v>
      </c>
    </row>
    <row r="804" ht="20.25" customHeight="1">
      <c r="A804" s="235"/>
      <c r="C804" s="436">
        <v>403.0</v>
      </c>
      <c r="D804" s="56"/>
      <c r="E804" s="29"/>
      <c r="F804" s="29"/>
      <c r="G804" s="29"/>
      <c r="H804" s="29"/>
      <c r="I804" s="29"/>
      <c r="J804" s="29"/>
      <c r="K804" s="29"/>
      <c r="L804" s="216"/>
      <c r="M804" s="235"/>
      <c r="N804" s="202"/>
    </row>
    <row r="805" ht="12.75" customHeight="1">
      <c r="A805" s="210"/>
      <c r="C805" s="521">
        <v>421.0</v>
      </c>
      <c r="D805" s="70"/>
      <c r="E805" s="57"/>
      <c r="F805" s="57"/>
      <c r="G805" s="57"/>
      <c r="H805" s="57"/>
      <c r="I805" s="57"/>
      <c r="J805" s="57"/>
      <c r="K805" s="57"/>
      <c r="L805" s="209"/>
      <c r="M805" s="210"/>
      <c r="N805" s="200"/>
    </row>
    <row r="806" ht="9.75" customHeight="1">
      <c r="A806" s="212"/>
      <c r="B806" s="230"/>
      <c r="C806" s="212"/>
      <c r="D806" s="296"/>
      <c r="E806" s="100"/>
      <c r="F806" s="100"/>
      <c r="G806" s="100"/>
      <c r="H806" s="100"/>
      <c r="I806" s="100"/>
      <c r="J806" s="100"/>
      <c r="K806" s="100"/>
      <c r="L806" s="211"/>
      <c r="M806" s="212"/>
      <c r="N806" s="213"/>
    </row>
    <row r="807" ht="20.25" customHeight="1">
      <c r="A807" s="501">
        <v>46231.0</v>
      </c>
      <c r="B807" s="502" t="s">
        <v>122</v>
      </c>
      <c r="C807" s="516">
        <v>403.0</v>
      </c>
      <c r="D807" s="514">
        <v>3.09</v>
      </c>
      <c r="E807" s="450" t="s">
        <v>23</v>
      </c>
      <c r="F807" s="450" t="s">
        <v>302</v>
      </c>
      <c r="G807" s="450" t="s">
        <v>17</v>
      </c>
      <c r="H807" s="450" t="s">
        <v>18</v>
      </c>
      <c r="I807" s="464">
        <v>8.0</v>
      </c>
      <c r="J807" s="464">
        <v>100.0</v>
      </c>
      <c r="K807" s="450">
        <f>I807*J807+I808*J808</f>
        <v>800</v>
      </c>
      <c r="L807" s="490">
        <v>30.0</v>
      </c>
      <c r="M807" s="467">
        <f>(I807+I808)*L807</f>
        <v>240</v>
      </c>
      <c r="N807" s="468">
        <f>SUM(K807+M807)</f>
        <v>1040</v>
      </c>
    </row>
    <row r="808" ht="20.25" customHeight="1">
      <c r="A808" s="235"/>
      <c r="C808" s="344">
        <v>404.0</v>
      </c>
      <c r="D808" s="56"/>
      <c r="E808" s="29"/>
      <c r="F808" s="29"/>
      <c r="G808" s="29"/>
      <c r="H808" s="29"/>
      <c r="I808" s="29"/>
      <c r="J808" s="29"/>
      <c r="K808" s="29"/>
      <c r="L808" s="216"/>
      <c r="M808" s="235"/>
      <c r="N808" s="202"/>
    </row>
    <row r="809" ht="20.25" customHeight="1">
      <c r="A809" s="210"/>
      <c r="C809" s="372">
        <v>407.0</v>
      </c>
      <c r="D809" s="70"/>
      <c r="E809" s="57"/>
      <c r="F809" s="57"/>
      <c r="G809" s="57"/>
      <c r="H809" s="57"/>
      <c r="I809" s="57"/>
      <c r="J809" s="57"/>
      <c r="K809" s="57"/>
      <c r="L809" s="209"/>
      <c r="M809" s="210"/>
      <c r="N809" s="200"/>
    </row>
    <row r="810" ht="20.25" customHeight="1">
      <c r="A810" s="212"/>
      <c r="B810" s="230"/>
      <c r="C810" s="344">
        <v>423.0</v>
      </c>
      <c r="D810" s="296"/>
      <c r="E810" s="100"/>
      <c r="F810" s="100"/>
      <c r="G810" s="100"/>
      <c r="H810" s="100"/>
      <c r="I810" s="100"/>
      <c r="J810" s="100"/>
      <c r="K810" s="100"/>
      <c r="L810" s="211"/>
      <c r="M810" s="212"/>
      <c r="N810" s="213"/>
    </row>
    <row r="811" ht="20.25" customHeight="1">
      <c r="A811" s="501">
        <v>46232.0</v>
      </c>
      <c r="B811" s="502" t="s">
        <v>122</v>
      </c>
      <c r="C811" s="516">
        <v>406.0</v>
      </c>
      <c r="D811" s="514">
        <v>4.79</v>
      </c>
      <c r="E811" s="450" t="s">
        <v>23</v>
      </c>
      <c r="F811" s="450" t="s">
        <v>304</v>
      </c>
      <c r="G811" s="450" t="s">
        <v>17</v>
      </c>
      <c r="H811" s="450" t="s">
        <v>18</v>
      </c>
      <c r="I811" s="464">
        <v>7.0</v>
      </c>
      <c r="J811" s="464">
        <v>100.0</v>
      </c>
      <c r="K811" s="450">
        <f>I811*J811+I812*J812</f>
        <v>700</v>
      </c>
      <c r="L811" s="490">
        <v>30.0</v>
      </c>
      <c r="M811" s="467">
        <f>(I811+I812)*L811</f>
        <v>210</v>
      </c>
      <c r="N811" s="468">
        <f>SUM(K811+M811)</f>
        <v>910</v>
      </c>
    </row>
    <row r="812" ht="20.25" customHeight="1">
      <c r="A812" s="235"/>
      <c r="C812" s="344">
        <v>407.0</v>
      </c>
      <c r="D812" s="56"/>
      <c r="E812" s="29"/>
      <c r="F812" s="29"/>
      <c r="G812" s="29"/>
      <c r="H812" s="29"/>
      <c r="I812" s="29"/>
      <c r="J812" s="29"/>
      <c r="K812" s="29"/>
      <c r="L812" s="216"/>
      <c r="M812" s="235"/>
      <c r="N812" s="202"/>
    </row>
    <row r="813" ht="20.25" customHeight="1">
      <c r="A813" s="210"/>
      <c r="C813" s="372">
        <v>410.0</v>
      </c>
      <c r="D813" s="70"/>
      <c r="E813" s="57"/>
      <c r="F813" s="57"/>
      <c r="G813" s="57"/>
      <c r="H813" s="57"/>
      <c r="I813" s="57"/>
      <c r="J813" s="57"/>
      <c r="K813" s="57"/>
      <c r="L813" s="209"/>
      <c r="M813" s="210"/>
      <c r="N813" s="200"/>
    </row>
    <row r="814" ht="20.25" customHeight="1">
      <c r="A814" s="235"/>
      <c r="C814" s="344">
        <v>421.0</v>
      </c>
      <c r="D814" s="56"/>
      <c r="E814" s="29"/>
      <c r="F814" s="29"/>
      <c r="G814" s="29"/>
      <c r="H814" s="29"/>
      <c r="I814" s="29"/>
      <c r="J814" s="29"/>
      <c r="K814" s="29"/>
      <c r="L814" s="216"/>
      <c r="M814" s="235"/>
      <c r="N814" s="202"/>
    </row>
    <row r="815" ht="20.25" customHeight="1">
      <c r="A815" s="236"/>
      <c r="B815" s="203"/>
      <c r="C815" s="372">
        <v>422.0</v>
      </c>
      <c r="D815" s="320"/>
      <c r="E815" s="141"/>
      <c r="F815" s="141"/>
      <c r="G815" s="141"/>
      <c r="H815" s="141"/>
      <c r="I815" s="141"/>
      <c r="J815" s="141"/>
      <c r="K815" s="141"/>
      <c r="L815" s="218"/>
      <c r="M815" s="236"/>
      <c r="N815" s="205"/>
    </row>
    <row r="816" ht="20.25" customHeight="1">
      <c r="A816" s="493">
        <v>46233.0</v>
      </c>
      <c r="B816" s="494" t="s">
        <v>122</v>
      </c>
      <c r="C816" s="421">
        <v>408.0</v>
      </c>
      <c r="D816" s="514">
        <v>3.79</v>
      </c>
      <c r="E816" s="445" t="s">
        <v>23</v>
      </c>
      <c r="F816" s="445" t="s">
        <v>308</v>
      </c>
      <c r="G816" s="445" t="s">
        <v>17</v>
      </c>
      <c r="H816" s="445" t="s">
        <v>18</v>
      </c>
      <c r="I816" s="477">
        <v>8.0</v>
      </c>
      <c r="J816" s="477">
        <v>100.0</v>
      </c>
      <c r="K816" s="445">
        <f>I816*J816+I817*J817</f>
        <v>800</v>
      </c>
      <c r="L816" s="498">
        <v>30.0</v>
      </c>
      <c r="M816" s="448">
        <f>(I816+I817)*L816</f>
        <v>240</v>
      </c>
      <c r="N816" s="449">
        <f>SUM(K816+M816)</f>
        <v>1040</v>
      </c>
    </row>
    <row r="817" ht="20.25" customHeight="1">
      <c r="A817" s="210"/>
      <c r="C817" s="372">
        <v>409.0</v>
      </c>
      <c r="D817" s="70"/>
      <c r="E817" s="57"/>
      <c r="F817" s="57"/>
      <c r="G817" s="57"/>
      <c r="H817" s="57"/>
      <c r="I817" s="57"/>
      <c r="J817" s="57"/>
      <c r="K817" s="57"/>
      <c r="L817" s="209"/>
      <c r="M817" s="210"/>
      <c r="N817" s="200"/>
    </row>
    <row r="818" ht="20.25" customHeight="1">
      <c r="A818" s="235"/>
      <c r="C818" s="344">
        <v>410.0</v>
      </c>
      <c r="D818" s="56"/>
      <c r="E818" s="29"/>
      <c r="F818" s="29"/>
      <c r="G818" s="29"/>
      <c r="H818" s="29"/>
      <c r="I818" s="29"/>
      <c r="J818" s="29"/>
      <c r="K818" s="29"/>
      <c r="L818" s="216"/>
      <c r="M818" s="235"/>
      <c r="N818" s="202"/>
    </row>
    <row r="819" ht="20.25" customHeight="1">
      <c r="A819" s="236"/>
      <c r="B819" s="203"/>
      <c r="C819" s="543">
        <v>421.0</v>
      </c>
      <c r="D819" s="320"/>
      <c r="E819" s="141"/>
      <c r="F819" s="141"/>
      <c r="G819" s="141"/>
      <c r="H819" s="141"/>
      <c r="I819" s="141"/>
      <c r="J819" s="141"/>
      <c r="K819" s="141"/>
      <c r="L819" s="218"/>
      <c r="M819" s="236"/>
      <c r="N819" s="205"/>
    </row>
    <row r="820" ht="20.25" customHeight="1">
      <c r="A820" s="493">
        <v>46239.0</v>
      </c>
      <c r="B820" s="494" t="s">
        <v>223</v>
      </c>
      <c r="C820" s="546">
        <v>416.0</v>
      </c>
      <c r="D820" s="547">
        <v>0.96</v>
      </c>
      <c r="E820" s="445" t="s">
        <v>23</v>
      </c>
      <c r="F820" s="445" t="s">
        <v>316</v>
      </c>
      <c r="G820" s="445" t="s">
        <v>17</v>
      </c>
      <c r="H820" s="446" t="s">
        <v>25</v>
      </c>
      <c r="I820" s="446">
        <v>1.0</v>
      </c>
      <c r="J820" s="446">
        <v>120.0</v>
      </c>
      <c r="K820" s="445">
        <f>I820*J820+I821*J821</f>
        <v>1920</v>
      </c>
      <c r="L820" s="447">
        <v>30.0</v>
      </c>
      <c r="M820" s="448">
        <f>(I820+I821)*L820</f>
        <v>570</v>
      </c>
      <c r="N820" s="449">
        <f>SUM(K820+M820)</f>
        <v>2490</v>
      </c>
    </row>
    <row r="821" ht="20.25" customHeight="1">
      <c r="A821" s="236"/>
      <c r="B821" s="203"/>
      <c r="C821" s="236"/>
      <c r="D821" s="320"/>
      <c r="E821" s="141"/>
      <c r="F821" s="141"/>
      <c r="G821" s="141"/>
      <c r="H821" s="465" t="s">
        <v>18</v>
      </c>
      <c r="I821" s="552">
        <v>18.0</v>
      </c>
      <c r="J821" s="465">
        <v>100.0</v>
      </c>
      <c r="K821" s="141"/>
      <c r="L821" s="218"/>
      <c r="M821" s="236"/>
      <c r="N821" s="205"/>
    </row>
    <row r="822" ht="20.25" customHeight="1">
      <c r="A822" s="493">
        <v>46240.0</v>
      </c>
      <c r="B822" s="494" t="s">
        <v>21</v>
      </c>
      <c r="C822" s="344">
        <v>401.0</v>
      </c>
      <c r="D822" s="547">
        <v>2.99</v>
      </c>
      <c r="E822" s="445" t="s">
        <v>23</v>
      </c>
      <c r="F822" s="445" t="s">
        <v>320</v>
      </c>
      <c r="G822" s="445" t="s">
        <v>17</v>
      </c>
      <c r="H822" s="446" t="s">
        <v>25</v>
      </c>
      <c r="I822" s="478">
        <v>1.0</v>
      </c>
      <c r="J822" s="478">
        <v>120.0</v>
      </c>
      <c r="K822" s="445">
        <f>I822*J822+I823*J823</f>
        <v>1820</v>
      </c>
      <c r="L822" s="498">
        <v>30.0</v>
      </c>
      <c r="M822" s="448">
        <f>(I822+I823)*L822</f>
        <v>540</v>
      </c>
      <c r="N822" s="449">
        <f>SUM(K822+M822)</f>
        <v>2360</v>
      </c>
    </row>
    <row r="823" ht="20.25" customHeight="1">
      <c r="A823" s="210"/>
      <c r="C823" s="372">
        <v>402.0</v>
      </c>
      <c r="D823" s="70"/>
      <c r="E823" s="57"/>
      <c r="F823" s="57"/>
      <c r="G823" s="57"/>
      <c r="H823" s="450" t="s">
        <v>18</v>
      </c>
      <c r="I823" s="451">
        <v>17.0</v>
      </c>
      <c r="J823" s="464">
        <v>100.0</v>
      </c>
      <c r="K823" s="57"/>
      <c r="L823" s="209"/>
      <c r="M823" s="210"/>
      <c r="N823" s="200"/>
    </row>
    <row r="824" ht="20.25" customHeight="1">
      <c r="A824" s="235"/>
      <c r="C824" s="344">
        <v>403.0</v>
      </c>
      <c r="D824" s="56"/>
      <c r="E824" s="29"/>
      <c r="F824" s="29"/>
      <c r="G824" s="29"/>
      <c r="H824" s="29"/>
      <c r="I824" s="314"/>
      <c r="J824" s="29"/>
      <c r="K824" s="29"/>
      <c r="L824" s="216"/>
      <c r="M824" s="235"/>
      <c r="N824" s="202"/>
    </row>
    <row r="825" ht="20.25" customHeight="1">
      <c r="A825" s="236"/>
      <c r="B825" s="203"/>
      <c r="C825" s="372">
        <v>404.0</v>
      </c>
      <c r="D825" s="320"/>
      <c r="E825" s="141"/>
      <c r="F825" s="141"/>
      <c r="G825" s="141"/>
      <c r="H825" s="141"/>
      <c r="I825" s="319"/>
      <c r="J825" s="141"/>
      <c r="K825" s="141"/>
      <c r="L825" s="218"/>
      <c r="M825" s="236"/>
      <c r="N825" s="205"/>
    </row>
    <row r="826" ht="20.25" customHeight="1">
      <c r="A826" s="493">
        <v>46241.0</v>
      </c>
      <c r="B826" s="494" t="s">
        <v>21</v>
      </c>
      <c r="C826" s="344">
        <v>404.0</v>
      </c>
      <c r="D826" s="547">
        <v>3.72</v>
      </c>
      <c r="E826" s="445" t="s">
        <v>23</v>
      </c>
      <c r="F826" s="445" t="s">
        <v>322</v>
      </c>
      <c r="G826" s="445" t="s">
        <v>17</v>
      </c>
      <c r="H826" s="446" t="s">
        <v>25</v>
      </c>
      <c r="I826" s="478">
        <v>1.0</v>
      </c>
      <c r="J826" s="478">
        <v>120.0</v>
      </c>
      <c r="K826" s="445">
        <f>I826*J826+I827*J827</f>
        <v>2220</v>
      </c>
      <c r="L826" s="498">
        <v>30.0</v>
      </c>
      <c r="M826" s="448">
        <f>(I826+I827)*L826</f>
        <v>660</v>
      </c>
      <c r="N826" s="449">
        <f>SUM(K826+M826)</f>
        <v>2880</v>
      </c>
    </row>
    <row r="827" ht="20.25" customHeight="1">
      <c r="A827" s="210"/>
      <c r="C827" s="372">
        <v>405.0</v>
      </c>
      <c r="D827" s="70"/>
      <c r="E827" s="57"/>
      <c r="F827" s="57"/>
      <c r="G827" s="57"/>
      <c r="H827" s="450" t="s">
        <v>18</v>
      </c>
      <c r="I827" s="451">
        <v>21.0</v>
      </c>
      <c r="J827" s="464">
        <v>100.0</v>
      </c>
      <c r="K827" s="57"/>
      <c r="L827" s="209"/>
      <c r="M827" s="210"/>
      <c r="N827" s="200"/>
    </row>
    <row r="828" ht="20.25" customHeight="1">
      <c r="A828" s="235"/>
      <c r="C828" s="344">
        <v>406.0</v>
      </c>
      <c r="D828" s="56"/>
      <c r="E828" s="29"/>
      <c r="F828" s="29"/>
      <c r="G828" s="29"/>
      <c r="H828" s="29"/>
      <c r="I828" s="314"/>
      <c r="J828" s="29"/>
      <c r="K828" s="29"/>
      <c r="L828" s="216"/>
      <c r="M828" s="235"/>
      <c r="N828" s="202"/>
    </row>
    <row r="829" ht="20.25" customHeight="1">
      <c r="A829" s="236"/>
      <c r="B829" s="203"/>
      <c r="C829" s="372">
        <v>407.0</v>
      </c>
      <c r="D829" s="320"/>
      <c r="E829" s="141"/>
      <c r="F829" s="141"/>
      <c r="G829" s="141"/>
      <c r="H829" s="141"/>
      <c r="I829" s="319"/>
      <c r="J829" s="141"/>
      <c r="K829" s="141"/>
      <c r="L829" s="218"/>
      <c r="M829" s="236"/>
      <c r="N829" s="205"/>
    </row>
    <row r="830" ht="20.25" customHeight="1">
      <c r="A830" s="493">
        <v>46242.0</v>
      </c>
      <c r="B830" s="494" t="s">
        <v>21</v>
      </c>
      <c r="C830" s="388">
        <v>408.0</v>
      </c>
      <c r="D830" s="547">
        <v>1.73</v>
      </c>
      <c r="E830" s="445" t="s">
        <v>23</v>
      </c>
      <c r="F830" s="445" t="s">
        <v>324</v>
      </c>
      <c r="G830" s="445" t="s">
        <v>17</v>
      </c>
      <c r="H830" s="446" t="s">
        <v>25</v>
      </c>
      <c r="I830" s="478">
        <v>1.0</v>
      </c>
      <c r="J830" s="478">
        <v>120.0</v>
      </c>
      <c r="K830" s="445">
        <f>I830*J830+I831*J831</f>
        <v>1820</v>
      </c>
      <c r="L830" s="498">
        <v>30.0</v>
      </c>
      <c r="M830" s="448">
        <f>(I830+I831)*L830</f>
        <v>540</v>
      </c>
      <c r="N830" s="449">
        <f>SUM(K830+M830)</f>
        <v>2360</v>
      </c>
    </row>
    <row r="831" ht="20.25" customHeight="1">
      <c r="A831" s="210"/>
      <c r="C831" s="58"/>
      <c r="D831" s="70"/>
      <c r="E831" s="57"/>
      <c r="F831" s="57"/>
      <c r="G831" s="57"/>
      <c r="H831" s="450" t="s">
        <v>18</v>
      </c>
      <c r="I831" s="451">
        <v>17.0</v>
      </c>
      <c r="J831" s="464">
        <v>100.0</v>
      </c>
      <c r="K831" s="57"/>
      <c r="L831" s="209"/>
      <c r="M831" s="210"/>
      <c r="N831" s="200"/>
    </row>
    <row r="832" ht="20.25" customHeight="1">
      <c r="A832" s="235"/>
      <c r="C832" s="388">
        <v>410.0</v>
      </c>
      <c r="D832" s="56"/>
      <c r="E832" s="29"/>
      <c r="F832" s="29"/>
      <c r="G832" s="29"/>
      <c r="H832" s="29"/>
      <c r="I832" s="314"/>
      <c r="J832" s="29"/>
      <c r="K832" s="29"/>
      <c r="L832" s="216"/>
      <c r="M832" s="235"/>
      <c r="N832" s="202"/>
    </row>
    <row r="833" ht="20.25" customHeight="1">
      <c r="A833" s="236"/>
      <c r="B833" s="203"/>
      <c r="C833" s="58"/>
      <c r="D833" s="320"/>
      <c r="E833" s="141"/>
      <c r="F833" s="141"/>
      <c r="G833" s="141"/>
      <c r="H833" s="141"/>
      <c r="I833" s="319"/>
      <c r="J833" s="141"/>
      <c r="K833" s="141"/>
      <c r="L833" s="218"/>
      <c r="M833" s="236"/>
      <c r="N833" s="205"/>
    </row>
    <row r="834" ht="20.25" customHeight="1">
      <c r="A834" s="493">
        <v>46243.0</v>
      </c>
      <c r="B834" s="494" t="s">
        <v>122</v>
      </c>
      <c r="C834" s="344">
        <v>421.0</v>
      </c>
      <c r="D834" s="547">
        <v>4.26</v>
      </c>
      <c r="E834" s="445" t="s">
        <v>23</v>
      </c>
      <c r="F834" s="445" t="s">
        <v>326</v>
      </c>
      <c r="G834" s="445" t="s">
        <v>17</v>
      </c>
      <c r="H834" s="446" t="s">
        <v>25</v>
      </c>
      <c r="I834" s="478">
        <v>1.0</v>
      </c>
      <c r="J834" s="478">
        <v>120.0</v>
      </c>
      <c r="K834" s="445">
        <f>I834*J834+I835*J835</f>
        <v>1820</v>
      </c>
      <c r="L834" s="498">
        <v>30.0</v>
      </c>
      <c r="M834" s="448">
        <f>(I834+I835)*L834</f>
        <v>540</v>
      </c>
      <c r="N834" s="449">
        <f>SUM(K834+M834)</f>
        <v>2360</v>
      </c>
    </row>
    <row r="835" ht="20.25" customHeight="1">
      <c r="A835" s="210"/>
      <c r="C835" s="372">
        <v>422.0</v>
      </c>
      <c r="D835" s="70"/>
      <c r="E835" s="57"/>
      <c r="F835" s="57"/>
      <c r="G835" s="57"/>
      <c r="H835" s="450" t="s">
        <v>18</v>
      </c>
      <c r="I835" s="451">
        <v>17.0</v>
      </c>
      <c r="J835" s="464">
        <v>100.0</v>
      </c>
      <c r="K835" s="57"/>
      <c r="L835" s="209"/>
      <c r="M835" s="210"/>
      <c r="N835" s="200"/>
    </row>
    <row r="836" ht="20.25" customHeight="1">
      <c r="A836" s="235"/>
      <c r="C836" s="344">
        <v>423.0</v>
      </c>
      <c r="D836" s="56"/>
      <c r="E836" s="29"/>
      <c r="F836" s="29"/>
      <c r="G836" s="29"/>
      <c r="H836" s="29"/>
      <c r="I836" s="314"/>
      <c r="J836" s="29"/>
      <c r="K836" s="29"/>
      <c r="L836" s="216"/>
      <c r="M836" s="235"/>
      <c r="N836" s="202"/>
    </row>
    <row r="837" ht="20.25" customHeight="1">
      <c r="A837" s="236"/>
      <c r="B837" s="203"/>
      <c r="C837" s="372">
        <v>424.0</v>
      </c>
      <c r="D837" s="320"/>
      <c r="E837" s="141"/>
      <c r="F837" s="141"/>
      <c r="G837" s="141"/>
      <c r="H837" s="141"/>
      <c r="I837" s="319"/>
      <c r="J837" s="141"/>
      <c r="K837" s="141"/>
      <c r="L837" s="218"/>
      <c r="M837" s="236"/>
      <c r="N837" s="205"/>
    </row>
    <row r="838" ht="20.25" customHeight="1">
      <c r="A838" s="493">
        <v>46244.0</v>
      </c>
      <c r="B838" s="494" t="s">
        <v>122</v>
      </c>
      <c r="C838" s="388">
        <v>422.0</v>
      </c>
      <c r="D838" s="547">
        <v>1.24</v>
      </c>
      <c r="E838" s="445" t="s">
        <v>23</v>
      </c>
      <c r="F838" s="445" t="s">
        <v>327</v>
      </c>
      <c r="G838" s="445" t="s">
        <v>17</v>
      </c>
      <c r="H838" s="446" t="s">
        <v>25</v>
      </c>
      <c r="I838" s="478">
        <v>1.0</v>
      </c>
      <c r="J838" s="478">
        <v>120.0</v>
      </c>
      <c r="K838" s="445">
        <f>I838*J838+I839*J839</f>
        <v>1720</v>
      </c>
      <c r="L838" s="498">
        <v>30.0</v>
      </c>
      <c r="M838" s="448">
        <f>(I838+I839)*L838</f>
        <v>510</v>
      </c>
      <c r="N838" s="449">
        <f>SUM(K838+M838)</f>
        <v>2230</v>
      </c>
    </row>
    <row r="839" ht="20.25" customHeight="1">
      <c r="A839" s="210"/>
      <c r="C839" s="57"/>
      <c r="D839" s="70"/>
      <c r="E839" s="57"/>
      <c r="F839" s="57"/>
      <c r="G839" s="57"/>
      <c r="H839" s="450" t="s">
        <v>18</v>
      </c>
      <c r="I839" s="451">
        <v>16.0</v>
      </c>
      <c r="J839" s="464">
        <v>100.0</v>
      </c>
      <c r="K839" s="57"/>
      <c r="L839" s="209"/>
      <c r="M839" s="210"/>
      <c r="N839" s="200"/>
    </row>
    <row r="840" ht="20.25" customHeight="1">
      <c r="A840" s="235"/>
      <c r="C840" s="29"/>
      <c r="D840" s="56"/>
      <c r="E840" s="29"/>
      <c r="F840" s="29"/>
      <c r="G840" s="29"/>
      <c r="H840" s="29"/>
      <c r="I840" s="314"/>
      <c r="J840" s="29"/>
      <c r="K840" s="29"/>
      <c r="L840" s="216"/>
      <c r="M840" s="235"/>
      <c r="N840" s="202"/>
    </row>
    <row r="841" ht="20.25" customHeight="1">
      <c r="A841" s="236"/>
      <c r="B841" s="203"/>
      <c r="C841" s="58"/>
      <c r="D841" s="320"/>
      <c r="E841" s="141"/>
      <c r="F841" s="141"/>
      <c r="G841" s="141"/>
      <c r="H841" s="141"/>
      <c r="I841" s="319"/>
      <c r="J841" s="141"/>
      <c r="K841" s="141"/>
      <c r="L841" s="218"/>
      <c r="M841" s="236"/>
      <c r="N841" s="205"/>
    </row>
    <row r="842" ht="20.25" customHeight="1">
      <c r="A842" s="493">
        <v>46245.0</v>
      </c>
      <c r="B842" s="494" t="s">
        <v>21</v>
      </c>
      <c r="C842" s="388">
        <v>401.0</v>
      </c>
      <c r="D842" s="547">
        <v>1.65</v>
      </c>
      <c r="E842" s="445" t="s">
        <v>23</v>
      </c>
      <c r="F842" s="445" t="s">
        <v>330</v>
      </c>
      <c r="G842" s="445" t="s">
        <v>17</v>
      </c>
      <c r="H842" s="446" t="s">
        <v>25</v>
      </c>
      <c r="I842" s="478">
        <v>1.0</v>
      </c>
      <c r="J842" s="478">
        <v>120.0</v>
      </c>
      <c r="K842" s="445">
        <f>I842*J842+I843*J843</f>
        <v>2320</v>
      </c>
      <c r="L842" s="498">
        <v>30.0</v>
      </c>
      <c r="M842" s="448">
        <f>(I842+I843)*L842</f>
        <v>690</v>
      </c>
      <c r="N842" s="449">
        <f>SUM(K842+M842)</f>
        <v>3010</v>
      </c>
    </row>
    <row r="843" ht="20.25" customHeight="1">
      <c r="A843" s="210"/>
      <c r="C843" s="58"/>
      <c r="D843" s="70"/>
      <c r="E843" s="57"/>
      <c r="F843" s="57"/>
      <c r="G843" s="57"/>
      <c r="H843" s="450" t="s">
        <v>18</v>
      </c>
      <c r="I843" s="451">
        <v>22.0</v>
      </c>
      <c r="J843" s="464">
        <v>100.0</v>
      </c>
      <c r="K843" s="57"/>
      <c r="L843" s="209"/>
      <c r="M843" s="210"/>
      <c r="N843" s="200"/>
    </row>
    <row r="844" ht="20.25" customHeight="1">
      <c r="A844" s="235"/>
      <c r="C844" s="388">
        <v>402.0</v>
      </c>
      <c r="D844" s="56"/>
      <c r="E844" s="29"/>
      <c r="F844" s="29"/>
      <c r="G844" s="29"/>
      <c r="H844" s="29"/>
      <c r="I844" s="314"/>
      <c r="J844" s="29"/>
      <c r="K844" s="29"/>
      <c r="L844" s="216"/>
      <c r="M844" s="235"/>
      <c r="N844" s="202"/>
    </row>
    <row r="845" ht="20.25" customHeight="1">
      <c r="A845" s="236"/>
      <c r="B845" s="203"/>
      <c r="C845" s="58"/>
      <c r="D845" s="320"/>
      <c r="E845" s="141"/>
      <c r="F845" s="141"/>
      <c r="G845" s="141"/>
      <c r="H845" s="141"/>
      <c r="I845" s="319"/>
      <c r="J845" s="141"/>
      <c r="K845" s="141"/>
      <c r="L845" s="218"/>
      <c r="M845" s="236"/>
      <c r="N845" s="205"/>
    </row>
    <row r="846" ht="20.25" customHeight="1">
      <c r="A846" s="493">
        <v>46246.0</v>
      </c>
      <c r="B846" s="494" t="s">
        <v>21</v>
      </c>
      <c r="C846" s="344">
        <v>402.0</v>
      </c>
      <c r="D846" s="547">
        <v>3.39</v>
      </c>
      <c r="E846" s="445" t="s">
        <v>23</v>
      </c>
      <c r="F846" s="445" t="s">
        <v>332</v>
      </c>
      <c r="G846" s="445" t="s">
        <v>17</v>
      </c>
      <c r="H846" s="446" t="s">
        <v>25</v>
      </c>
      <c r="I846" s="478">
        <v>1.0</v>
      </c>
      <c r="J846" s="478">
        <v>120.0</v>
      </c>
      <c r="K846" s="445">
        <f>I846*J846+I847*J847</f>
        <v>2120</v>
      </c>
      <c r="L846" s="498">
        <v>30.0</v>
      </c>
      <c r="M846" s="448">
        <f>(I846+I847)*L846</f>
        <v>630</v>
      </c>
      <c r="N846" s="449">
        <f>SUM(K846+M846)</f>
        <v>2750</v>
      </c>
    </row>
    <row r="847" ht="20.25" customHeight="1">
      <c r="A847" s="210"/>
      <c r="C847" s="372">
        <v>403.0</v>
      </c>
      <c r="D847" s="70"/>
      <c r="E847" s="57"/>
      <c r="F847" s="57"/>
      <c r="G847" s="57"/>
      <c r="H847" s="450" t="s">
        <v>18</v>
      </c>
      <c r="I847" s="451">
        <v>20.0</v>
      </c>
      <c r="J847" s="464">
        <v>100.0</v>
      </c>
      <c r="K847" s="57"/>
      <c r="L847" s="209"/>
      <c r="M847" s="210"/>
      <c r="N847" s="200"/>
    </row>
    <row r="848" ht="20.25" customHeight="1">
      <c r="A848" s="235"/>
      <c r="C848" s="344">
        <v>404.0</v>
      </c>
      <c r="D848" s="56"/>
      <c r="E848" s="29"/>
      <c r="F848" s="29"/>
      <c r="G848" s="29"/>
      <c r="H848" s="29"/>
      <c r="I848" s="314"/>
      <c r="J848" s="29"/>
      <c r="K848" s="29"/>
      <c r="L848" s="216"/>
      <c r="M848" s="235"/>
      <c r="N848" s="202"/>
    </row>
    <row r="849" ht="20.25" customHeight="1">
      <c r="A849" s="236"/>
      <c r="B849" s="203"/>
      <c r="C849" s="372">
        <v>405.0</v>
      </c>
      <c r="D849" s="320"/>
      <c r="E849" s="141"/>
      <c r="F849" s="141"/>
      <c r="G849" s="141"/>
      <c r="H849" s="141"/>
      <c r="I849" s="319"/>
      <c r="J849" s="141"/>
      <c r="K849" s="141"/>
      <c r="L849" s="218"/>
      <c r="M849" s="236"/>
      <c r="N849" s="205"/>
    </row>
    <row r="850" ht="20.25" customHeight="1">
      <c r="A850" s="493">
        <v>46247.0</v>
      </c>
      <c r="B850" s="494" t="s">
        <v>21</v>
      </c>
      <c r="C850" s="388">
        <v>405.0</v>
      </c>
      <c r="D850" s="547">
        <v>2.33</v>
      </c>
      <c r="E850" s="445" t="s">
        <v>23</v>
      </c>
      <c r="F850" s="445" t="s">
        <v>333</v>
      </c>
      <c r="G850" s="445" t="s">
        <v>17</v>
      </c>
      <c r="H850" s="446" t="s">
        <v>25</v>
      </c>
      <c r="I850" s="478">
        <v>1.0</v>
      </c>
      <c r="J850" s="478">
        <v>120.0</v>
      </c>
      <c r="K850" s="445">
        <f>I850*J850+I851*J851</f>
        <v>2120</v>
      </c>
      <c r="L850" s="498">
        <v>30.0</v>
      </c>
      <c r="M850" s="448">
        <f>(I850+I851)*L850</f>
        <v>630</v>
      </c>
      <c r="N850" s="449">
        <f>SUM(K850+M850)</f>
        <v>2750</v>
      </c>
    </row>
    <row r="851" ht="20.25" customHeight="1">
      <c r="A851" s="210"/>
      <c r="C851" s="58"/>
      <c r="D851" s="70"/>
      <c r="E851" s="57"/>
      <c r="F851" s="57"/>
      <c r="G851" s="57"/>
      <c r="H851" s="450" t="s">
        <v>18</v>
      </c>
      <c r="I851" s="451">
        <v>20.0</v>
      </c>
      <c r="J851" s="464">
        <v>100.0</v>
      </c>
      <c r="K851" s="57"/>
      <c r="L851" s="209"/>
      <c r="M851" s="210"/>
      <c r="N851" s="200"/>
    </row>
    <row r="852" ht="20.25" customHeight="1">
      <c r="A852" s="235"/>
      <c r="C852" s="388">
        <v>406.0</v>
      </c>
      <c r="D852" s="56"/>
      <c r="E852" s="29"/>
      <c r="F852" s="29"/>
      <c r="G852" s="29"/>
      <c r="H852" s="29"/>
      <c r="I852" s="314"/>
      <c r="J852" s="29"/>
      <c r="K852" s="29"/>
      <c r="L852" s="216"/>
      <c r="M852" s="235"/>
      <c r="N852" s="202"/>
    </row>
    <row r="853" ht="20.25" customHeight="1">
      <c r="A853" s="210"/>
      <c r="B853" s="203"/>
      <c r="C853" s="58"/>
      <c r="D853" s="320"/>
      <c r="E853" s="141"/>
      <c r="F853" s="141"/>
      <c r="G853" s="141"/>
      <c r="H853" s="141"/>
      <c r="I853" s="319"/>
      <c r="J853" s="141"/>
      <c r="K853" s="141"/>
      <c r="L853" s="218"/>
      <c r="M853" s="236"/>
      <c r="N853" s="205"/>
    </row>
    <row r="854" ht="20.25" customHeight="1">
      <c r="A854" s="235"/>
      <c r="B854" s="494" t="s">
        <v>21</v>
      </c>
      <c r="C854" s="388">
        <v>408.0</v>
      </c>
      <c r="D854" s="547">
        <v>2.06</v>
      </c>
      <c r="E854" s="445" t="s">
        <v>23</v>
      </c>
      <c r="F854" s="477" t="s">
        <v>335</v>
      </c>
      <c r="G854" s="445" t="s">
        <v>17</v>
      </c>
      <c r="H854" s="446" t="s">
        <v>25</v>
      </c>
      <c r="I854" s="478">
        <v>1.0</v>
      </c>
      <c r="J854" s="478">
        <v>120.0</v>
      </c>
      <c r="K854" s="445">
        <f>I854*J854+I855*J855</f>
        <v>2220</v>
      </c>
      <c r="L854" s="498">
        <v>25.0</v>
      </c>
      <c r="M854" s="448">
        <f>(I854+I855)*L854</f>
        <v>550</v>
      </c>
      <c r="N854" s="449">
        <f>SUM(K854+M854)</f>
        <v>2770</v>
      </c>
    </row>
    <row r="855" ht="20.25" customHeight="1">
      <c r="A855" s="210"/>
      <c r="C855" s="58"/>
      <c r="D855" s="70"/>
      <c r="E855" s="57"/>
      <c r="F855" s="57"/>
      <c r="G855" s="57"/>
      <c r="H855" s="450" t="s">
        <v>18</v>
      </c>
      <c r="I855" s="451">
        <v>21.0</v>
      </c>
      <c r="J855" s="464">
        <v>100.0</v>
      </c>
      <c r="K855" s="57"/>
      <c r="L855" s="209"/>
      <c r="M855" s="210"/>
      <c r="N855" s="200"/>
    </row>
    <row r="856" ht="20.25" customHeight="1">
      <c r="A856" s="235"/>
      <c r="C856" s="388">
        <v>409.0</v>
      </c>
      <c r="D856" s="56"/>
      <c r="E856" s="29"/>
      <c r="F856" s="29"/>
      <c r="G856" s="29"/>
      <c r="H856" s="29"/>
      <c r="I856" s="314"/>
      <c r="J856" s="29"/>
      <c r="K856" s="29"/>
      <c r="L856" s="216"/>
      <c r="M856" s="235"/>
      <c r="N856" s="202"/>
    </row>
    <row r="857" ht="20.25" customHeight="1">
      <c r="A857" s="236"/>
      <c r="B857" s="203"/>
      <c r="C857" s="58"/>
      <c r="D857" s="320"/>
      <c r="E857" s="141"/>
      <c r="F857" s="141"/>
      <c r="G857" s="141"/>
      <c r="H857" s="141"/>
      <c r="I857" s="319"/>
      <c r="J857" s="141"/>
      <c r="K857" s="141"/>
      <c r="L857" s="218"/>
      <c r="M857" s="236"/>
      <c r="N857" s="205"/>
    </row>
    <row r="858" ht="20.25" customHeight="1">
      <c r="A858" s="493">
        <v>46248.0</v>
      </c>
      <c r="B858" s="494" t="s">
        <v>21</v>
      </c>
      <c r="C858" s="388">
        <v>420.0</v>
      </c>
      <c r="D858" s="547">
        <v>2.47</v>
      </c>
      <c r="E858" s="445" t="s">
        <v>23</v>
      </c>
      <c r="F858" s="445" t="s">
        <v>337</v>
      </c>
      <c r="G858" s="445" t="s">
        <v>17</v>
      </c>
      <c r="H858" s="446" t="s">
        <v>25</v>
      </c>
      <c r="I858" s="478">
        <v>1.0</v>
      </c>
      <c r="J858" s="478">
        <v>120.0</v>
      </c>
      <c r="K858" s="445">
        <f>I858*J858+I859*J859</f>
        <v>2620</v>
      </c>
      <c r="L858" s="498">
        <v>30.0</v>
      </c>
      <c r="M858" s="448">
        <f>(I858+I859)*L858</f>
        <v>780</v>
      </c>
      <c r="N858" s="449">
        <f>SUM(K858+M858)</f>
        <v>3400</v>
      </c>
    </row>
    <row r="859" ht="20.25" customHeight="1">
      <c r="A859" s="210"/>
      <c r="C859" s="58"/>
      <c r="D859" s="70"/>
      <c r="E859" s="57"/>
      <c r="F859" s="57"/>
      <c r="G859" s="57"/>
      <c r="H859" s="450" t="s">
        <v>18</v>
      </c>
      <c r="I859" s="451">
        <v>25.0</v>
      </c>
      <c r="J859" s="464">
        <v>100.0</v>
      </c>
      <c r="K859" s="57"/>
      <c r="L859" s="209"/>
      <c r="M859" s="210"/>
      <c r="N859" s="200"/>
    </row>
    <row r="860" ht="20.25" customHeight="1">
      <c r="A860" s="235"/>
      <c r="C860" s="388">
        <v>421.0</v>
      </c>
      <c r="D860" s="56"/>
      <c r="E860" s="29"/>
      <c r="F860" s="29"/>
      <c r="G860" s="29"/>
      <c r="H860" s="29"/>
      <c r="I860" s="314"/>
      <c r="J860" s="29"/>
      <c r="K860" s="29"/>
      <c r="L860" s="216"/>
      <c r="M860" s="235"/>
      <c r="N860" s="202"/>
    </row>
    <row r="861" ht="20.25" customHeight="1">
      <c r="A861" s="210"/>
      <c r="B861" s="203"/>
      <c r="C861" s="58"/>
      <c r="D861" s="320"/>
      <c r="E861" s="141"/>
      <c r="F861" s="141"/>
      <c r="G861" s="141"/>
      <c r="H861" s="141"/>
      <c r="I861" s="319"/>
      <c r="J861" s="141"/>
      <c r="K861" s="141"/>
      <c r="L861" s="218"/>
      <c r="M861" s="236"/>
      <c r="N861" s="205"/>
    </row>
    <row r="862" ht="20.25" customHeight="1">
      <c r="A862" s="235"/>
      <c r="B862" s="494" t="s">
        <v>21</v>
      </c>
      <c r="C862" s="344">
        <v>407.0</v>
      </c>
      <c r="D862" s="547">
        <v>2.39</v>
      </c>
      <c r="E862" s="445" t="s">
        <v>23</v>
      </c>
      <c r="F862" s="477" t="s">
        <v>338</v>
      </c>
      <c r="G862" s="445" t="s">
        <v>17</v>
      </c>
      <c r="H862" s="446" t="s">
        <v>25</v>
      </c>
      <c r="I862" s="478">
        <v>1.0</v>
      </c>
      <c r="J862" s="478">
        <v>120.0</v>
      </c>
      <c r="K862" s="445">
        <f>I862*J862+I863*J863</f>
        <v>2220</v>
      </c>
      <c r="L862" s="498">
        <v>25.0</v>
      </c>
      <c r="M862" s="448">
        <f>(I862+I863)*L862</f>
        <v>550</v>
      </c>
      <c r="N862" s="449">
        <f>SUM(K862+M862)</f>
        <v>2770</v>
      </c>
    </row>
    <row r="863" ht="20.25" customHeight="1">
      <c r="A863" s="210"/>
      <c r="C863" s="372">
        <v>409.0</v>
      </c>
      <c r="D863" s="70"/>
      <c r="E863" s="57"/>
      <c r="F863" s="57"/>
      <c r="G863" s="57"/>
      <c r="H863" s="450" t="s">
        <v>18</v>
      </c>
      <c r="I863" s="451">
        <v>21.0</v>
      </c>
      <c r="J863" s="464">
        <v>100.0</v>
      </c>
      <c r="K863" s="57"/>
      <c r="L863" s="209"/>
      <c r="M863" s="210"/>
      <c r="N863" s="200"/>
    </row>
    <row r="864" ht="20.25" customHeight="1">
      <c r="A864" s="235"/>
      <c r="C864" s="388">
        <v>410.0</v>
      </c>
      <c r="D864" s="56"/>
      <c r="E864" s="29"/>
      <c r="F864" s="29"/>
      <c r="G864" s="29"/>
      <c r="H864" s="29"/>
      <c r="I864" s="314"/>
      <c r="J864" s="29"/>
      <c r="K864" s="29"/>
      <c r="L864" s="216"/>
      <c r="M864" s="235"/>
      <c r="N864" s="202"/>
    </row>
    <row r="865" ht="20.25" customHeight="1">
      <c r="A865" s="236"/>
      <c r="B865" s="203"/>
      <c r="C865" s="58"/>
      <c r="D865" s="320"/>
      <c r="E865" s="141"/>
      <c r="F865" s="141"/>
      <c r="G865" s="141"/>
      <c r="H865" s="141"/>
      <c r="I865" s="319"/>
      <c r="J865" s="141"/>
      <c r="K865" s="141"/>
      <c r="L865" s="218"/>
      <c r="M865" s="236"/>
      <c r="N865" s="205"/>
    </row>
    <row r="866" ht="20.25" customHeight="1">
      <c r="A866" s="493">
        <v>46249.0</v>
      </c>
      <c r="B866" s="494" t="s">
        <v>122</v>
      </c>
      <c r="C866" s="388">
        <v>420.0</v>
      </c>
      <c r="D866" s="547">
        <v>2.47</v>
      </c>
      <c r="E866" s="445" t="s">
        <v>23</v>
      </c>
      <c r="F866" s="445" t="s">
        <v>339</v>
      </c>
      <c r="G866" s="445" t="s">
        <v>17</v>
      </c>
      <c r="H866" s="446" t="s">
        <v>25</v>
      </c>
      <c r="I866" s="478">
        <v>1.0</v>
      </c>
      <c r="J866" s="478">
        <v>120.0</v>
      </c>
      <c r="K866" s="445">
        <f>I866*J866+I867*J867</f>
        <v>2020</v>
      </c>
      <c r="L866" s="498">
        <v>30.0</v>
      </c>
      <c r="M866" s="448">
        <f>(I866+I867)*L866</f>
        <v>600</v>
      </c>
      <c r="N866" s="449">
        <f>SUM(K866+M866)</f>
        <v>2620</v>
      </c>
    </row>
    <row r="867" ht="20.25" customHeight="1">
      <c r="A867" s="210"/>
      <c r="C867" s="58"/>
      <c r="D867" s="70"/>
      <c r="E867" s="57"/>
      <c r="F867" s="57"/>
      <c r="G867" s="57"/>
      <c r="H867" s="450" t="s">
        <v>18</v>
      </c>
      <c r="I867" s="451">
        <v>19.0</v>
      </c>
      <c r="J867" s="464">
        <v>100.0</v>
      </c>
      <c r="K867" s="57"/>
      <c r="L867" s="209"/>
      <c r="M867" s="210"/>
      <c r="N867" s="200"/>
    </row>
    <row r="868" ht="20.25" customHeight="1">
      <c r="A868" s="235"/>
      <c r="C868" s="388">
        <v>421.0</v>
      </c>
      <c r="D868" s="56"/>
      <c r="E868" s="29"/>
      <c r="F868" s="29"/>
      <c r="G868" s="29"/>
      <c r="H868" s="29"/>
      <c r="I868" s="314"/>
      <c r="J868" s="29"/>
      <c r="K868" s="29"/>
      <c r="L868" s="216"/>
      <c r="M868" s="235"/>
      <c r="N868" s="202"/>
    </row>
    <row r="869" ht="20.25" customHeight="1">
      <c r="A869" s="210"/>
      <c r="B869" s="203"/>
      <c r="C869" s="58"/>
      <c r="D869" s="320"/>
      <c r="E869" s="141"/>
      <c r="F869" s="141"/>
      <c r="G869" s="141"/>
      <c r="H869" s="141"/>
      <c r="I869" s="319"/>
      <c r="J869" s="141"/>
      <c r="K869" s="141"/>
      <c r="L869" s="218"/>
      <c r="M869" s="236"/>
      <c r="N869" s="205"/>
    </row>
    <row r="870" ht="20.25" customHeight="1">
      <c r="A870" s="235"/>
      <c r="B870" s="494" t="s">
        <v>21</v>
      </c>
      <c r="C870" s="388">
        <v>407.0</v>
      </c>
      <c r="D870" s="547">
        <v>1.82</v>
      </c>
      <c r="E870" s="445" t="s">
        <v>23</v>
      </c>
      <c r="F870" s="477" t="s">
        <v>340</v>
      </c>
      <c r="G870" s="445" t="s">
        <v>17</v>
      </c>
      <c r="H870" s="446" t="s">
        <v>25</v>
      </c>
      <c r="I870" s="478">
        <v>1.0</v>
      </c>
      <c r="J870" s="478">
        <v>120.0</v>
      </c>
      <c r="K870" s="445">
        <f>I870*J870+I871*J871</f>
        <v>2120</v>
      </c>
      <c r="L870" s="498">
        <v>25.0</v>
      </c>
      <c r="M870" s="448">
        <f>(I870+I871)*L870</f>
        <v>525</v>
      </c>
      <c r="N870" s="449">
        <f>SUM(K870+M870)</f>
        <v>2645</v>
      </c>
    </row>
    <row r="871" ht="20.25" customHeight="1">
      <c r="A871" s="210"/>
      <c r="C871" s="58"/>
      <c r="D871" s="70"/>
      <c r="E871" s="57"/>
      <c r="F871" s="57"/>
      <c r="G871" s="57"/>
      <c r="H871" s="450" t="s">
        <v>18</v>
      </c>
      <c r="I871" s="451">
        <v>20.0</v>
      </c>
      <c r="J871" s="464">
        <v>100.0</v>
      </c>
      <c r="K871" s="57"/>
      <c r="L871" s="209"/>
      <c r="M871" s="210"/>
      <c r="N871" s="200"/>
    </row>
    <row r="872" ht="20.25" customHeight="1">
      <c r="A872" s="235"/>
      <c r="C872" s="388">
        <v>406.0</v>
      </c>
      <c r="D872" s="56"/>
      <c r="E872" s="29"/>
      <c r="F872" s="29"/>
      <c r="G872" s="29"/>
      <c r="H872" s="29"/>
      <c r="I872" s="314"/>
      <c r="J872" s="29"/>
      <c r="K872" s="29"/>
      <c r="L872" s="216"/>
      <c r="M872" s="235"/>
      <c r="N872" s="202"/>
    </row>
    <row r="873" ht="20.25" customHeight="1">
      <c r="A873" s="236"/>
      <c r="B873" s="203"/>
      <c r="C873" s="58"/>
      <c r="D873" s="320"/>
      <c r="E873" s="141"/>
      <c r="F873" s="141"/>
      <c r="G873" s="141"/>
      <c r="H873" s="141"/>
      <c r="I873" s="319"/>
      <c r="J873" s="141"/>
      <c r="K873" s="141"/>
      <c r="L873" s="218"/>
      <c r="M873" s="236"/>
      <c r="N873" s="205"/>
    </row>
    <row r="874" ht="20.25" customHeight="1">
      <c r="A874" s="493">
        <v>46250.0</v>
      </c>
      <c r="B874" s="494" t="s">
        <v>122</v>
      </c>
      <c r="C874" s="344">
        <v>423.0</v>
      </c>
      <c r="D874" s="547">
        <v>4.15</v>
      </c>
      <c r="E874" s="445" t="s">
        <v>23</v>
      </c>
      <c r="F874" s="445" t="s">
        <v>342</v>
      </c>
      <c r="G874" s="445" t="s">
        <v>17</v>
      </c>
      <c r="H874" s="446" t="s">
        <v>25</v>
      </c>
      <c r="I874" s="478">
        <v>1.0</v>
      </c>
      <c r="J874" s="478">
        <v>120.0</v>
      </c>
      <c r="K874" s="445">
        <f>I874*J874+I875*J875</f>
        <v>1820</v>
      </c>
      <c r="L874" s="498">
        <v>30.0</v>
      </c>
      <c r="M874" s="448">
        <f>(I874+I875)*L874</f>
        <v>540</v>
      </c>
      <c r="N874" s="449">
        <f>SUM(K874+M874)</f>
        <v>2360</v>
      </c>
    </row>
    <row r="875" ht="20.25" customHeight="1">
      <c r="A875" s="210"/>
      <c r="C875" s="372">
        <v>424.0</v>
      </c>
      <c r="D875" s="70"/>
      <c r="E875" s="57"/>
      <c r="F875" s="57"/>
      <c r="G875" s="57"/>
      <c r="H875" s="450" t="s">
        <v>18</v>
      </c>
      <c r="I875" s="451">
        <v>17.0</v>
      </c>
      <c r="J875" s="464">
        <v>100.0</v>
      </c>
      <c r="K875" s="57"/>
      <c r="L875" s="209"/>
      <c r="M875" s="210"/>
      <c r="N875" s="200"/>
    </row>
    <row r="876" ht="20.25" customHeight="1">
      <c r="A876" s="235"/>
      <c r="C876" s="344">
        <v>425.0</v>
      </c>
      <c r="D876" s="56"/>
      <c r="E876" s="29"/>
      <c r="F876" s="29"/>
      <c r="G876" s="29"/>
      <c r="H876" s="29"/>
      <c r="I876" s="314"/>
      <c r="J876" s="29"/>
      <c r="K876" s="29"/>
      <c r="L876" s="216"/>
      <c r="M876" s="235"/>
      <c r="N876" s="202"/>
    </row>
    <row r="877" ht="20.25" customHeight="1">
      <c r="A877" s="236"/>
      <c r="B877" s="203"/>
      <c r="C877" s="372">
        <v>426.0</v>
      </c>
      <c r="D877" s="320"/>
      <c r="E877" s="141"/>
      <c r="F877" s="141"/>
      <c r="G877" s="141"/>
      <c r="H877" s="141"/>
      <c r="I877" s="319"/>
      <c r="J877" s="141"/>
      <c r="K877" s="141"/>
      <c r="L877" s="218"/>
      <c r="M877" s="236"/>
      <c r="N877" s="205"/>
    </row>
    <row r="878" ht="20.25" customHeight="1">
      <c r="A878" s="493">
        <v>46251.0</v>
      </c>
      <c r="B878" s="494" t="s">
        <v>21</v>
      </c>
      <c r="C878" s="388">
        <v>403.0</v>
      </c>
      <c r="D878" s="547">
        <v>1.34</v>
      </c>
      <c r="E878" s="445" t="s">
        <v>23</v>
      </c>
      <c r="F878" s="445" t="s">
        <v>345</v>
      </c>
      <c r="G878" s="445" t="s">
        <v>17</v>
      </c>
      <c r="H878" s="446" t="s">
        <v>25</v>
      </c>
      <c r="I878" s="478">
        <v>1.0</v>
      </c>
      <c r="J878" s="478">
        <v>120.0</v>
      </c>
      <c r="K878" s="445">
        <f>I878*J878+I879*J879</f>
        <v>2220</v>
      </c>
      <c r="L878" s="498">
        <v>30.0</v>
      </c>
      <c r="M878" s="448">
        <f>(I878+I879)*L878</f>
        <v>660</v>
      </c>
      <c r="N878" s="449">
        <f>SUM(K878+M878)</f>
        <v>2880</v>
      </c>
    </row>
    <row r="879" ht="20.25" customHeight="1">
      <c r="A879" s="210"/>
      <c r="C879" s="58"/>
      <c r="D879" s="70"/>
      <c r="E879" s="57"/>
      <c r="F879" s="57"/>
      <c r="G879" s="57"/>
      <c r="H879" s="450" t="s">
        <v>18</v>
      </c>
      <c r="I879" s="451">
        <v>21.0</v>
      </c>
      <c r="J879" s="464">
        <v>100.0</v>
      </c>
      <c r="K879" s="57"/>
      <c r="L879" s="209"/>
      <c r="M879" s="210"/>
      <c r="N879" s="200"/>
    </row>
    <row r="880" ht="20.25" customHeight="1">
      <c r="A880" s="235"/>
      <c r="C880" s="388">
        <v>404.0</v>
      </c>
      <c r="D880" s="56"/>
      <c r="E880" s="29"/>
      <c r="F880" s="29"/>
      <c r="G880" s="29"/>
      <c r="H880" s="29"/>
      <c r="I880" s="314"/>
      <c r="J880" s="29"/>
      <c r="K880" s="29"/>
      <c r="L880" s="216"/>
      <c r="M880" s="235"/>
      <c r="N880" s="202"/>
    </row>
    <row r="881" ht="20.25" customHeight="1">
      <c r="A881" s="210"/>
      <c r="B881" s="203"/>
      <c r="C881" s="58"/>
      <c r="D881" s="320"/>
      <c r="E881" s="141"/>
      <c r="F881" s="141"/>
      <c r="G881" s="141"/>
      <c r="H881" s="141"/>
      <c r="I881" s="319"/>
      <c r="J881" s="141"/>
      <c r="K881" s="141"/>
      <c r="L881" s="218"/>
      <c r="M881" s="236"/>
      <c r="N881" s="205"/>
    </row>
    <row r="882" ht="20.25" customHeight="1">
      <c r="A882" s="235"/>
      <c r="B882" s="494" t="s">
        <v>21</v>
      </c>
      <c r="C882" s="388">
        <v>401.0</v>
      </c>
      <c r="D882" s="547">
        <v>1.65</v>
      </c>
      <c r="E882" s="445" t="s">
        <v>23</v>
      </c>
      <c r="F882" s="477" t="s">
        <v>347</v>
      </c>
      <c r="G882" s="445" t="s">
        <v>17</v>
      </c>
      <c r="H882" s="446" t="s">
        <v>25</v>
      </c>
      <c r="I882" s="478">
        <v>1.0</v>
      </c>
      <c r="J882" s="478">
        <v>120.0</v>
      </c>
      <c r="K882" s="445">
        <f>I882*J882+I883*J883</f>
        <v>2120</v>
      </c>
      <c r="L882" s="498">
        <v>25.0</v>
      </c>
      <c r="M882" s="448">
        <f>(I882+I883)*L882</f>
        <v>525</v>
      </c>
      <c r="N882" s="449">
        <f>SUM(K882+M882)</f>
        <v>2645</v>
      </c>
    </row>
    <row r="883" ht="20.25" customHeight="1">
      <c r="A883" s="210"/>
      <c r="C883" s="58"/>
      <c r="D883" s="70"/>
      <c r="E883" s="57"/>
      <c r="F883" s="57"/>
      <c r="G883" s="57"/>
      <c r="H883" s="450" t="s">
        <v>18</v>
      </c>
      <c r="I883" s="451">
        <v>20.0</v>
      </c>
      <c r="J883" s="464">
        <v>100.0</v>
      </c>
      <c r="K883" s="57"/>
      <c r="L883" s="209"/>
      <c r="M883" s="210"/>
      <c r="N883" s="200"/>
    </row>
    <row r="884" ht="20.25" customHeight="1">
      <c r="A884" s="235"/>
      <c r="C884" s="388">
        <v>402.0</v>
      </c>
      <c r="D884" s="56"/>
      <c r="E884" s="29"/>
      <c r="F884" s="29"/>
      <c r="G884" s="29"/>
      <c r="H884" s="29"/>
      <c r="I884" s="314"/>
      <c r="J884" s="29"/>
      <c r="K884" s="29"/>
      <c r="L884" s="216"/>
      <c r="M884" s="235"/>
      <c r="N884" s="202"/>
    </row>
    <row r="885" ht="20.25" customHeight="1">
      <c r="A885" s="236"/>
      <c r="B885" s="203"/>
      <c r="C885" s="58"/>
      <c r="D885" s="320"/>
      <c r="E885" s="141"/>
      <c r="F885" s="141"/>
      <c r="G885" s="141"/>
      <c r="H885" s="141"/>
      <c r="I885" s="319"/>
      <c r="J885" s="141"/>
      <c r="K885" s="141"/>
      <c r="L885" s="218"/>
      <c r="M885" s="236"/>
      <c r="N885" s="205"/>
    </row>
    <row r="886" ht="20.25" customHeight="1">
      <c r="A886" s="493">
        <v>46252.0</v>
      </c>
      <c r="B886" s="494" t="s">
        <v>21</v>
      </c>
      <c r="C886" s="388">
        <v>405.0</v>
      </c>
      <c r="D886" s="547">
        <v>2.33</v>
      </c>
      <c r="E886" s="445" t="s">
        <v>23</v>
      </c>
      <c r="F886" s="445" t="s">
        <v>348</v>
      </c>
      <c r="G886" s="445" t="s">
        <v>17</v>
      </c>
      <c r="H886" s="446" t="s">
        <v>25</v>
      </c>
      <c r="I886" s="478">
        <v>1.0</v>
      </c>
      <c r="J886" s="478">
        <v>120.0</v>
      </c>
      <c r="K886" s="445">
        <f>I886*J886+I887*J887</f>
        <v>1920</v>
      </c>
      <c r="L886" s="498">
        <v>30.0</v>
      </c>
      <c r="M886" s="448">
        <f>(I886+I887)*L886</f>
        <v>570</v>
      </c>
      <c r="N886" s="449">
        <f>SUM(K886+M886)</f>
        <v>2490</v>
      </c>
    </row>
    <row r="887" ht="20.25" customHeight="1">
      <c r="A887" s="210"/>
      <c r="C887" s="58"/>
      <c r="D887" s="70"/>
      <c r="E887" s="57"/>
      <c r="F887" s="57"/>
      <c r="G887" s="57"/>
      <c r="H887" s="450" t="s">
        <v>18</v>
      </c>
      <c r="I887" s="451">
        <v>18.0</v>
      </c>
      <c r="J887" s="464">
        <v>100.0</v>
      </c>
      <c r="K887" s="57"/>
      <c r="L887" s="209"/>
      <c r="M887" s="210"/>
      <c r="N887" s="200"/>
    </row>
    <row r="888" ht="20.25" customHeight="1">
      <c r="A888" s="235"/>
      <c r="C888" s="388">
        <v>406.0</v>
      </c>
      <c r="D888" s="56"/>
      <c r="E888" s="29"/>
      <c r="F888" s="29"/>
      <c r="G888" s="29"/>
      <c r="H888" s="29"/>
      <c r="I888" s="314"/>
      <c r="J888" s="29"/>
      <c r="K888" s="29"/>
      <c r="L888" s="216"/>
      <c r="M888" s="235"/>
      <c r="N888" s="202"/>
    </row>
    <row r="889" ht="20.25" customHeight="1">
      <c r="A889" s="210"/>
      <c r="B889" s="203"/>
      <c r="C889" s="58"/>
      <c r="D889" s="320"/>
      <c r="E889" s="141"/>
      <c r="F889" s="141"/>
      <c r="G889" s="141"/>
      <c r="H889" s="141"/>
      <c r="I889" s="319"/>
      <c r="J889" s="141"/>
      <c r="K889" s="141"/>
      <c r="L889" s="218"/>
      <c r="M889" s="236"/>
      <c r="N889" s="205"/>
    </row>
    <row r="890" ht="20.25" customHeight="1">
      <c r="A890" s="235"/>
      <c r="B890" s="494" t="s">
        <v>21</v>
      </c>
      <c r="C890" s="388">
        <v>402.0</v>
      </c>
      <c r="D890" s="547">
        <v>1.88</v>
      </c>
      <c r="E890" s="445" t="s">
        <v>23</v>
      </c>
      <c r="F890" s="477" t="s">
        <v>351</v>
      </c>
      <c r="G890" s="445" t="s">
        <v>17</v>
      </c>
      <c r="H890" s="446" t="s">
        <v>25</v>
      </c>
      <c r="I890" s="478">
        <v>1.0</v>
      </c>
      <c r="J890" s="478">
        <v>120.0</v>
      </c>
      <c r="K890" s="445">
        <f>I890*J890+I891*J891</f>
        <v>1920</v>
      </c>
      <c r="L890" s="498">
        <v>25.0</v>
      </c>
      <c r="M890" s="448">
        <f>(I890+I891)*L890</f>
        <v>475</v>
      </c>
      <c r="N890" s="449">
        <f>SUM(K890+M890)</f>
        <v>2395</v>
      </c>
    </row>
    <row r="891" ht="20.25" customHeight="1">
      <c r="A891" s="210"/>
      <c r="C891" s="58"/>
      <c r="D891" s="70"/>
      <c r="E891" s="57"/>
      <c r="F891" s="57"/>
      <c r="G891" s="57"/>
      <c r="H891" s="450" t="s">
        <v>18</v>
      </c>
      <c r="I891" s="451">
        <v>18.0</v>
      </c>
      <c r="J891" s="464">
        <v>100.0</v>
      </c>
      <c r="K891" s="57"/>
      <c r="L891" s="209"/>
      <c r="M891" s="210"/>
      <c r="N891" s="200"/>
    </row>
    <row r="892" ht="20.25" customHeight="1">
      <c r="A892" s="235"/>
      <c r="C892" s="388">
        <v>408.0</v>
      </c>
      <c r="D892" s="56"/>
      <c r="E892" s="29"/>
      <c r="F892" s="29"/>
      <c r="G892" s="29"/>
      <c r="H892" s="29"/>
      <c r="I892" s="314"/>
      <c r="J892" s="29"/>
      <c r="K892" s="29"/>
      <c r="L892" s="216"/>
      <c r="M892" s="235"/>
      <c r="N892" s="202"/>
    </row>
    <row r="893" ht="20.25" customHeight="1">
      <c r="A893" s="236"/>
      <c r="B893" s="203"/>
      <c r="C893" s="58"/>
      <c r="D893" s="320"/>
      <c r="E893" s="141"/>
      <c r="F893" s="141"/>
      <c r="G893" s="141"/>
      <c r="H893" s="141"/>
      <c r="I893" s="319"/>
      <c r="J893" s="141"/>
      <c r="K893" s="141"/>
      <c r="L893" s="218"/>
      <c r="M893" s="236"/>
      <c r="N893" s="205"/>
    </row>
    <row r="894" ht="20.25" customHeight="1">
      <c r="A894" s="493">
        <v>46253.0</v>
      </c>
      <c r="B894" s="494" t="s">
        <v>21</v>
      </c>
      <c r="C894" s="388">
        <v>406.0</v>
      </c>
      <c r="D894" s="547">
        <v>1.82</v>
      </c>
      <c r="E894" s="445" t="s">
        <v>23</v>
      </c>
      <c r="F894" s="445" t="s">
        <v>352</v>
      </c>
      <c r="G894" s="445" t="s">
        <v>17</v>
      </c>
      <c r="H894" s="446" t="s">
        <v>25</v>
      </c>
      <c r="I894" s="478">
        <v>1.0</v>
      </c>
      <c r="J894" s="478">
        <v>120.0</v>
      </c>
      <c r="K894" s="445">
        <f>I894*J894+I895*J895</f>
        <v>2020</v>
      </c>
      <c r="L894" s="498">
        <v>30.0</v>
      </c>
      <c r="M894" s="448">
        <f>(I894+I895)*L894</f>
        <v>600</v>
      </c>
      <c r="N894" s="449">
        <f>SUM(K894+M894)</f>
        <v>2620</v>
      </c>
    </row>
    <row r="895" ht="20.25" customHeight="1">
      <c r="A895" s="210"/>
      <c r="C895" s="58"/>
      <c r="D895" s="70"/>
      <c r="E895" s="57"/>
      <c r="F895" s="57"/>
      <c r="G895" s="57"/>
      <c r="H895" s="450" t="s">
        <v>18</v>
      </c>
      <c r="I895" s="451">
        <v>19.0</v>
      </c>
      <c r="J895" s="464">
        <v>100.0</v>
      </c>
      <c r="K895" s="57"/>
      <c r="L895" s="209"/>
      <c r="M895" s="210"/>
      <c r="N895" s="200"/>
    </row>
    <row r="896" ht="20.25" customHeight="1">
      <c r="A896" s="235"/>
      <c r="C896" s="388">
        <v>407.0</v>
      </c>
      <c r="D896" s="56"/>
      <c r="E896" s="29"/>
      <c r="F896" s="29"/>
      <c r="G896" s="29"/>
      <c r="H896" s="29"/>
      <c r="I896" s="314"/>
      <c r="J896" s="29"/>
      <c r="K896" s="29"/>
      <c r="L896" s="216"/>
      <c r="M896" s="235"/>
      <c r="N896" s="202"/>
    </row>
    <row r="897" ht="20.25" customHeight="1">
      <c r="A897" s="210"/>
      <c r="B897" s="203"/>
      <c r="C897" s="58"/>
      <c r="D897" s="320"/>
      <c r="E897" s="141"/>
      <c r="F897" s="141"/>
      <c r="G897" s="141"/>
      <c r="H897" s="141"/>
      <c r="I897" s="319"/>
      <c r="J897" s="141"/>
      <c r="K897" s="141"/>
      <c r="L897" s="218"/>
      <c r="M897" s="236"/>
      <c r="N897" s="205"/>
    </row>
    <row r="898" ht="20.25" customHeight="1">
      <c r="A898" s="235"/>
      <c r="B898" s="494" t="s">
        <v>21</v>
      </c>
      <c r="C898" s="388">
        <v>409.0</v>
      </c>
      <c r="D898" s="547">
        <v>1.67</v>
      </c>
      <c r="E898" s="445" t="s">
        <v>23</v>
      </c>
      <c r="F898" s="477" t="s">
        <v>353</v>
      </c>
      <c r="G898" s="445" t="s">
        <v>17</v>
      </c>
      <c r="H898" s="446" t="s">
        <v>25</v>
      </c>
      <c r="I898" s="478">
        <v>1.0</v>
      </c>
      <c r="J898" s="478">
        <v>120.0</v>
      </c>
      <c r="K898" s="445">
        <f>I898*J898+I899*J899</f>
        <v>2120</v>
      </c>
      <c r="L898" s="498">
        <v>25.0</v>
      </c>
      <c r="M898" s="448">
        <f>(I898+I899)*L898</f>
        <v>525</v>
      </c>
      <c r="N898" s="449">
        <f>SUM(K898+M898)</f>
        <v>2645</v>
      </c>
    </row>
    <row r="899" ht="20.25" customHeight="1">
      <c r="A899" s="210"/>
      <c r="C899" s="58"/>
      <c r="D899" s="70"/>
      <c r="E899" s="57"/>
      <c r="F899" s="57"/>
      <c r="G899" s="57"/>
      <c r="H899" s="450" t="s">
        <v>18</v>
      </c>
      <c r="I899" s="451">
        <v>20.0</v>
      </c>
      <c r="J899" s="464">
        <v>100.0</v>
      </c>
      <c r="K899" s="57"/>
      <c r="L899" s="209"/>
      <c r="M899" s="210"/>
      <c r="N899" s="200"/>
    </row>
    <row r="900" ht="20.25" customHeight="1">
      <c r="A900" s="235"/>
      <c r="C900" s="388">
        <v>410.0</v>
      </c>
      <c r="D900" s="56"/>
      <c r="E900" s="29"/>
      <c r="F900" s="29"/>
      <c r="G900" s="29"/>
      <c r="H900" s="29"/>
      <c r="I900" s="314"/>
      <c r="J900" s="29"/>
      <c r="K900" s="29"/>
      <c r="L900" s="216"/>
      <c r="M900" s="235"/>
      <c r="N900" s="202"/>
    </row>
    <row r="901" ht="20.25" customHeight="1">
      <c r="A901" s="236"/>
      <c r="B901" s="203"/>
      <c r="C901" s="58"/>
      <c r="D901" s="320"/>
      <c r="E901" s="141"/>
      <c r="F901" s="141"/>
      <c r="G901" s="141"/>
      <c r="H901" s="141"/>
      <c r="I901" s="319"/>
      <c r="J901" s="141"/>
      <c r="K901" s="141"/>
      <c r="L901" s="218"/>
      <c r="M901" s="236"/>
      <c r="N901" s="205"/>
    </row>
    <row r="902" ht="20.25" customHeight="1">
      <c r="A902" s="493">
        <v>46254.0</v>
      </c>
      <c r="B902" s="494" t="s">
        <v>21</v>
      </c>
      <c r="C902" s="388">
        <v>420.0</v>
      </c>
      <c r="D902" s="547">
        <v>2.47</v>
      </c>
      <c r="E902" s="445" t="s">
        <v>23</v>
      </c>
      <c r="F902" s="445" t="s">
        <v>355</v>
      </c>
      <c r="G902" s="445" t="s">
        <v>17</v>
      </c>
      <c r="H902" s="446" t="s">
        <v>25</v>
      </c>
      <c r="I902" s="478">
        <v>1.0</v>
      </c>
      <c r="J902" s="478">
        <v>120.0</v>
      </c>
      <c r="K902" s="445">
        <f>I902*J902+I903*J903</f>
        <v>2120</v>
      </c>
      <c r="L902" s="498">
        <v>30.0</v>
      </c>
      <c r="M902" s="448">
        <f>(I902+I903)*L902</f>
        <v>630</v>
      </c>
      <c r="N902" s="449">
        <f>SUM(K902+M902)</f>
        <v>2750</v>
      </c>
    </row>
    <row r="903" ht="20.25" customHeight="1">
      <c r="A903" s="210"/>
      <c r="C903" s="58"/>
      <c r="D903" s="70"/>
      <c r="E903" s="57"/>
      <c r="F903" s="57"/>
      <c r="G903" s="57"/>
      <c r="H903" s="450" t="s">
        <v>18</v>
      </c>
      <c r="I903" s="451">
        <v>20.0</v>
      </c>
      <c r="J903" s="464">
        <v>100.0</v>
      </c>
      <c r="K903" s="57"/>
      <c r="L903" s="209"/>
      <c r="M903" s="210"/>
      <c r="N903" s="200"/>
    </row>
    <row r="904" ht="20.25" customHeight="1">
      <c r="A904" s="235"/>
      <c r="C904" s="388">
        <v>421.0</v>
      </c>
      <c r="D904" s="56"/>
      <c r="E904" s="29"/>
      <c r="F904" s="29"/>
      <c r="G904" s="29"/>
      <c r="H904" s="29"/>
      <c r="I904" s="314"/>
      <c r="J904" s="29"/>
      <c r="K904" s="29"/>
      <c r="L904" s="216"/>
      <c r="M904" s="235"/>
      <c r="N904" s="202"/>
    </row>
    <row r="905" ht="20.25" customHeight="1">
      <c r="A905" s="210"/>
      <c r="B905" s="203"/>
      <c r="C905" s="58"/>
      <c r="D905" s="320"/>
      <c r="E905" s="141"/>
      <c r="F905" s="141"/>
      <c r="G905" s="141"/>
      <c r="H905" s="141"/>
      <c r="I905" s="319"/>
      <c r="J905" s="141"/>
      <c r="K905" s="141"/>
      <c r="L905" s="218"/>
      <c r="M905" s="236"/>
      <c r="N905" s="205"/>
    </row>
    <row r="906" ht="20.25" customHeight="1">
      <c r="A906" s="235"/>
      <c r="B906" s="494" t="s">
        <v>21</v>
      </c>
      <c r="C906" s="344">
        <v>425.0</v>
      </c>
      <c r="D906" s="547">
        <v>4.28</v>
      </c>
      <c r="E906" s="445" t="s">
        <v>23</v>
      </c>
      <c r="F906" s="477" t="s">
        <v>358</v>
      </c>
      <c r="G906" s="445" t="s">
        <v>17</v>
      </c>
      <c r="H906" s="446" t="s">
        <v>25</v>
      </c>
      <c r="I906" s="478">
        <v>1.0</v>
      </c>
      <c r="J906" s="478">
        <v>120.0</v>
      </c>
      <c r="K906" s="445">
        <f>I906*J906+I907*J907</f>
        <v>2120</v>
      </c>
      <c r="L906" s="498">
        <v>25.0</v>
      </c>
      <c r="M906" s="448">
        <f>(I906+I907)*L906</f>
        <v>525</v>
      </c>
      <c r="N906" s="449">
        <f>SUM(K906+M906)</f>
        <v>2645</v>
      </c>
    </row>
    <row r="907" ht="20.25" customHeight="1">
      <c r="A907" s="210"/>
      <c r="C907" s="372">
        <v>426.0</v>
      </c>
      <c r="D907" s="70"/>
      <c r="E907" s="57"/>
      <c r="F907" s="57"/>
      <c r="G907" s="57"/>
      <c r="H907" s="450" t="s">
        <v>18</v>
      </c>
      <c r="I907" s="451">
        <v>20.0</v>
      </c>
      <c r="J907" s="464">
        <v>100.0</v>
      </c>
      <c r="K907" s="57"/>
      <c r="L907" s="209"/>
      <c r="M907" s="210"/>
      <c r="N907" s="200"/>
    </row>
    <row r="908" ht="20.25" customHeight="1">
      <c r="A908" s="235"/>
      <c r="C908" s="344">
        <v>427.0</v>
      </c>
      <c r="D908" s="56"/>
      <c r="E908" s="29"/>
      <c r="F908" s="29"/>
      <c r="G908" s="29"/>
      <c r="H908" s="29"/>
      <c r="I908" s="314"/>
      <c r="J908" s="29"/>
      <c r="K908" s="29"/>
      <c r="L908" s="216"/>
      <c r="M908" s="235"/>
      <c r="N908" s="202"/>
    </row>
    <row r="909" ht="20.25" customHeight="1">
      <c r="A909" s="236"/>
      <c r="B909" s="203"/>
      <c r="C909" s="372">
        <v>428.0</v>
      </c>
      <c r="D909" s="320"/>
      <c r="E909" s="141"/>
      <c r="F909" s="141"/>
      <c r="G909" s="141"/>
      <c r="H909" s="141"/>
      <c r="I909" s="319"/>
      <c r="J909" s="141"/>
      <c r="K909" s="141"/>
      <c r="L909" s="218"/>
      <c r="M909" s="236"/>
      <c r="N909" s="205"/>
    </row>
    <row r="910" ht="20.25" customHeight="1">
      <c r="A910" s="493">
        <v>46255.0</v>
      </c>
      <c r="B910" s="494" t="s">
        <v>21</v>
      </c>
      <c r="C910" s="388">
        <v>421.0</v>
      </c>
      <c r="D910" s="547">
        <v>1.06</v>
      </c>
      <c r="E910" s="445" t="s">
        <v>23</v>
      </c>
      <c r="F910" s="445" t="s">
        <v>359</v>
      </c>
      <c r="G910" s="445" t="s">
        <v>17</v>
      </c>
      <c r="H910" s="446" t="s">
        <v>25</v>
      </c>
      <c r="I910" s="478">
        <v>1.0</v>
      </c>
      <c r="J910" s="478">
        <v>120.0</v>
      </c>
      <c r="K910" s="445">
        <f>I910*J910+I911*J911</f>
        <v>2120</v>
      </c>
      <c r="L910" s="498">
        <v>30.0</v>
      </c>
      <c r="M910" s="448">
        <f>(I910+I911)*L910</f>
        <v>630</v>
      </c>
      <c r="N910" s="449">
        <f>SUM(K910+M910)</f>
        <v>2750</v>
      </c>
    </row>
    <row r="911" ht="20.25" customHeight="1">
      <c r="A911" s="210"/>
      <c r="C911" s="57"/>
      <c r="D911" s="70"/>
      <c r="E911" s="57"/>
      <c r="F911" s="57"/>
      <c r="G911" s="57"/>
      <c r="H911" s="450" t="s">
        <v>18</v>
      </c>
      <c r="I911" s="451">
        <v>20.0</v>
      </c>
      <c r="J911" s="464">
        <v>100.0</v>
      </c>
      <c r="K911" s="57"/>
      <c r="L911" s="209"/>
      <c r="M911" s="210"/>
      <c r="N911" s="200"/>
    </row>
    <row r="912" ht="20.25" customHeight="1">
      <c r="A912" s="235"/>
      <c r="C912" s="29"/>
      <c r="D912" s="56"/>
      <c r="E912" s="29"/>
      <c r="F912" s="29"/>
      <c r="G912" s="29"/>
      <c r="H912" s="29"/>
      <c r="I912" s="314"/>
      <c r="J912" s="29"/>
      <c r="K912" s="29"/>
      <c r="L912" s="216"/>
      <c r="M912" s="235"/>
      <c r="N912" s="202"/>
    </row>
    <row r="913" ht="20.25" customHeight="1">
      <c r="A913" s="210"/>
      <c r="B913" s="203"/>
      <c r="C913" s="58"/>
      <c r="D913" s="320"/>
      <c r="E913" s="141"/>
      <c r="F913" s="141"/>
      <c r="G913" s="141"/>
      <c r="H913" s="141"/>
      <c r="I913" s="319"/>
      <c r="J913" s="141"/>
      <c r="K913" s="141"/>
      <c r="L913" s="218"/>
      <c r="M913" s="236"/>
      <c r="N913" s="205"/>
    </row>
    <row r="914" ht="20.25" customHeight="1">
      <c r="A914" s="235"/>
      <c r="B914" s="494" t="s">
        <v>21</v>
      </c>
      <c r="C914" s="344">
        <v>424.0</v>
      </c>
      <c r="D914" s="547">
        <v>3.2</v>
      </c>
      <c r="E914" s="445" t="s">
        <v>23</v>
      </c>
      <c r="F914" s="477" t="s">
        <v>362</v>
      </c>
      <c r="G914" s="445" t="s">
        <v>17</v>
      </c>
      <c r="H914" s="446" t="s">
        <v>25</v>
      </c>
      <c r="I914" s="478">
        <v>1.0</v>
      </c>
      <c r="J914" s="478">
        <v>120.0</v>
      </c>
      <c r="K914" s="445">
        <f>I914*J914+I915*J915</f>
        <v>2020</v>
      </c>
      <c r="L914" s="498">
        <v>25.0</v>
      </c>
      <c r="M914" s="448">
        <f>(I914+I915)*L914</f>
        <v>500</v>
      </c>
      <c r="N914" s="449">
        <f>SUM(K914+M914)</f>
        <v>2520</v>
      </c>
    </row>
    <row r="915" ht="20.25" customHeight="1">
      <c r="A915" s="210"/>
      <c r="C915" s="372">
        <v>423.0</v>
      </c>
      <c r="D915" s="70"/>
      <c r="E915" s="57"/>
      <c r="F915" s="57"/>
      <c r="G915" s="57"/>
      <c r="H915" s="450" t="s">
        <v>18</v>
      </c>
      <c r="I915" s="451">
        <v>19.0</v>
      </c>
      <c r="J915" s="464">
        <v>100.0</v>
      </c>
      <c r="K915" s="57"/>
      <c r="L915" s="209"/>
      <c r="M915" s="210"/>
      <c r="N915" s="200"/>
    </row>
    <row r="916" ht="20.25" customHeight="1">
      <c r="A916" s="235"/>
      <c r="C916" s="388">
        <v>422.0</v>
      </c>
      <c r="D916" s="56"/>
      <c r="E916" s="29"/>
      <c r="F916" s="29"/>
      <c r="G916" s="29"/>
      <c r="H916" s="29"/>
      <c r="I916" s="314"/>
      <c r="J916" s="29"/>
      <c r="K916" s="29"/>
      <c r="L916" s="216"/>
      <c r="M916" s="235"/>
      <c r="N916" s="202"/>
    </row>
    <row r="917" ht="20.25" customHeight="1">
      <c r="A917" s="236"/>
      <c r="B917" s="203"/>
      <c r="C917" s="58"/>
      <c r="D917" s="320"/>
      <c r="E917" s="141"/>
      <c r="F917" s="141"/>
      <c r="G917" s="141"/>
      <c r="H917" s="141"/>
      <c r="I917" s="319"/>
      <c r="J917" s="141"/>
      <c r="K917" s="141"/>
      <c r="L917" s="218"/>
      <c r="M917" s="236"/>
      <c r="N917" s="205"/>
    </row>
    <row r="918" ht="20.25" customHeight="1">
      <c r="A918" s="493">
        <v>46256.0</v>
      </c>
      <c r="B918" s="494" t="s">
        <v>122</v>
      </c>
      <c r="C918" s="636">
        <v>407.0</v>
      </c>
      <c r="D918" s="637"/>
      <c r="E918" s="445" t="s">
        <v>23</v>
      </c>
      <c r="F918" s="445" t="s">
        <v>367</v>
      </c>
      <c r="G918" s="445" t="s">
        <v>17</v>
      </c>
      <c r="H918" s="446" t="s">
        <v>25</v>
      </c>
      <c r="I918" s="446">
        <v>1.0</v>
      </c>
      <c r="J918" s="446">
        <v>120.0</v>
      </c>
      <c r="K918" s="445">
        <f>I918*J918+I919*J919</f>
        <v>1920</v>
      </c>
      <c r="L918" s="447">
        <v>30.0</v>
      </c>
      <c r="M918" s="448">
        <f>(I918+I919)*L918</f>
        <v>570</v>
      </c>
      <c r="N918" s="449">
        <f>SUM(K918+M918)</f>
        <v>2490</v>
      </c>
    </row>
    <row r="919" ht="20.25" customHeight="1">
      <c r="A919" s="210"/>
      <c r="C919" s="57"/>
      <c r="D919" s="70"/>
      <c r="E919" s="57"/>
      <c r="F919" s="57"/>
      <c r="G919" s="57"/>
      <c r="H919" s="450" t="s">
        <v>18</v>
      </c>
      <c r="I919" s="451">
        <v>18.0</v>
      </c>
      <c r="J919" s="450">
        <v>100.0</v>
      </c>
      <c r="K919" s="57"/>
      <c r="L919" s="209"/>
      <c r="M919" s="210"/>
      <c r="N919" s="200"/>
    </row>
    <row r="920" ht="20.25" customHeight="1">
      <c r="A920" s="235"/>
      <c r="C920" s="29"/>
      <c r="D920" s="56"/>
      <c r="E920" s="29"/>
      <c r="F920" s="29"/>
      <c r="G920" s="29"/>
      <c r="H920" s="29"/>
      <c r="I920" s="314"/>
      <c r="J920" s="29"/>
      <c r="K920" s="29"/>
      <c r="L920" s="216"/>
      <c r="M920" s="235"/>
      <c r="N920" s="202"/>
    </row>
    <row r="921" ht="20.25" customHeight="1">
      <c r="A921" s="210"/>
      <c r="B921" s="203"/>
      <c r="C921" s="58"/>
      <c r="D921" s="320"/>
      <c r="E921" s="141"/>
      <c r="F921" s="141"/>
      <c r="G921" s="141"/>
      <c r="H921" s="141"/>
      <c r="I921" s="319"/>
      <c r="J921" s="141"/>
      <c r="K921" s="141"/>
      <c r="L921" s="218"/>
      <c r="M921" s="236"/>
      <c r="N921" s="205"/>
    </row>
    <row r="922" ht="20.25" customHeight="1">
      <c r="A922" s="235"/>
      <c r="B922" s="503" t="s">
        <v>21</v>
      </c>
      <c r="C922" s="636">
        <v>414.0</v>
      </c>
      <c r="D922" s="637"/>
      <c r="E922" s="445" t="s">
        <v>23</v>
      </c>
      <c r="F922" s="445" t="s">
        <v>372</v>
      </c>
      <c r="G922" s="445" t="s">
        <v>17</v>
      </c>
      <c r="H922" s="446" t="s">
        <v>25</v>
      </c>
      <c r="I922" s="446">
        <v>1.0</v>
      </c>
      <c r="J922" s="446">
        <v>120.0</v>
      </c>
      <c r="K922" s="445">
        <f>I922*J922+I923*J923</f>
        <v>1920</v>
      </c>
      <c r="L922" s="447">
        <v>25.0</v>
      </c>
      <c r="M922" s="448">
        <f>(I922+I923)*L922</f>
        <v>475</v>
      </c>
      <c r="N922" s="449">
        <f>SUM(K922+M922)</f>
        <v>2395</v>
      </c>
    </row>
    <row r="923" ht="20.25" customHeight="1">
      <c r="A923" s="210"/>
      <c r="C923" s="57"/>
      <c r="D923" s="70"/>
      <c r="E923" s="57"/>
      <c r="F923" s="57"/>
      <c r="G923" s="57"/>
      <c r="H923" s="450" t="s">
        <v>18</v>
      </c>
      <c r="I923" s="451">
        <v>18.0</v>
      </c>
      <c r="J923" s="450">
        <v>100.0</v>
      </c>
      <c r="K923" s="57"/>
      <c r="L923" s="209"/>
      <c r="M923" s="210"/>
      <c r="N923" s="200"/>
    </row>
    <row r="924" ht="20.25" customHeight="1">
      <c r="A924" s="235"/>
      <c r="C924" s="29"/>
      <c r="D924" s="56"/>
      <c r="E924" s="29"/>
      <c r="F924" s="29"/>
      <c r="G924" s="29"/>
      <c r="H924" s="29"/>
      <c r="I924" s="314"/>
      <c r="J924" s="29"/>
      <c r="K924" s="29"/>
      <c r="L924" s="216"/>
      <c r="M924" s="235"/>
      <c r="N924" s="202"/>
    </row>
    <row r="925" ht="20.25" customHeight="1">
      <c r="A925" s="236"/>
      <c r="B925" s="203"/>
      <c r="C925" s="58"/>
      <c r="D925" s="320"/>
      <c r="E925" s="141"/>
      <c r="F925" s="141"/>
      <c r="G925" s="141"/>
      <c r="H925" s="141"/>
      <c r="I925" s="319"/>
      <c r="J925" s="141"/>
      <c r="K925" s="141"/>
      <c r="L925" s="218"/>
      <c r="M925" s="236"/>
      <c r="N925" s="205"/>
    </row>
    <row r="926" ht="20.25" customHeight="1">
      <c r="A926" s="493">
        <v>46258.0</v>
      </c>
      <c r="B926" s="494" t="s">
        <v>21</v>
      </c>
      <c r="C926" s="388">
        <v>403.0</v>
      </c>
      <c r="D926" s="547"/>
      <c r="E926" s="445" t="s">
        <v>23</v>
      </c>
      <c r="F926" s="445" t="s">
        <v>373</v>
      </c>
      <c r="G926" s="445" t="s">
        <v>17</v>
      </c>
      <c r="H926" s="446" t="s">
        <v>25</v>
      </c>
      <c r="I926" s="478">
        <v>1.0</v>
      </c>
      <c r="J926" s="478">
        <v>120.0</v>
      </c>
      <c r="K926" s="445">
        <f>I926*J926+I927*J927</f>
        <v>1920</v>
      </c>
      <c r="L926" s="498">
        <v>30.0</v>
      </c>
      <c r="M926" s="448">
        <f>(I926+I927)*L926</f>
        <v>570</v>
      </c>
      <c r="N926" s="449">
        <f>SUM(K926+M926)</f>
        <v>2490</v>
      </c>
    </row>
    <row r="927" ht="20.25" customHeight="1">
      <c r="A927" s="210"/>
      <c r="C927" s="58"/>
      <c r="D927" s="70"/>
      <c r="E927" s="57"/>
      <c r="F927" s="57"/>
      <c r="G927" s="57"/>
      <c r="H927" s="450" t="s">
        <v>18</v>
      </c>
      <c r="I927" s="451">
        <v>18.0</v>
      </c>
      <c r="J927" s="464">
        <v>100.0</v>
      </c>
      <c r="K927" s="57"/>
      <c r="L927" s="209"/>
      <c r="M927" s="210"/>
      <c r="N927" s="200"/>
    </row>
    <row r="928" ht="20.25" customHeight="1">
      <c r="A928" s="235"/>
      <c r="C928" s="388">
        <v>404.0</v>
      </c>
      <c r="D928" s="56"/>
      <c r="E928" s="29"/>
      <c r="F928" s="29"/>
      <c r="G928" s="29"/>
      <c r="H928" s="29"/>
      <c r="I928" s="314"/>
      <c r="J928" s="29"/>
      <c r="K928" s="29"/>
      <c r="L928" s="216"/>
      <c r="M928" s="235"/>
      <c r="N928" s="202"/>
    </row>
    <row r="929" ht="20.25" customHeight="1">
      <c r="A929" s="210"/>
      <c r="B929" s="203"/>
      <c r="C929" s="58"/>
      <c r="D929" s="320"/>
      <c r="E929" s="141"/>
      <c r="F929" s="141"/>
      <c r="G929" s="141"/>
      <c r="H929" s="141"/>
      <c r="I929" s="319"/>
      <c r="J929" s="141"/>
      <c r="K929" s="141"/>
      <c r="L929" s="218"/>
      <c r="M929" s="236"/>
      <c r="N929" s="205"/>
    </row>
    <row r="930" ht="20.25" customHeight="1">
      <c r="A930" s="235"/>
      <c r="B930" s="494" t="s">
        <v>21</v>
      </c>
      <c r="C930" s="388">
        <v>401.0</v>
      </c>
      <c r="D930" s="547"/>
      <c r="E930" s="445" t="s">
        <v>23</v>
      </c>
      <c r="F930" s="477" t="s">
        <v>374</v>
      </c>
      <c r="G930" s="445" t="s">
        <v>17</v>
      </c>
      <c r="H930" s="446" t="s">
        <v>25</v>
      </c>
      <c r="I930" s="478">
        <v>1.0</v>
      </c>
      <c r="J930" s="478">
        <v>120.0</v>
      </c>
      <c r="K930" s="445">
        <f>I930*J930+I931*J931</f>
        <v>2120</v>
      </c>
      <c r="L930" s="498">
        <v>25.0</v>
      </c>
      <c r="M930" s="448">
        <f>(I930+I931)*L930</f>
        <v>525</v>
      </c>
      <c r="N930" s="449">
        <f>SUM(K930+M930)</f>
        <v>2645</v>
      </c>
    </row>
    <row r="931" ht="20.25" customHeight="1">
      <c r="A931" s="210"/>
      <c r="C931" s="58"/>
      <c r="D931" s="70"/>
      <c r="E931" s="57"/>
      <c r="F931" s="57"/>
      <c r="G931" s="57"/>
      <c r="H931" s="450" t="s">
        <v>18</v>
      </c>
      <c r="I931" s="451">
        <v>20.0</v>
      </c>
      <c r="J931" s="464">
        <v>100.0</v>
      </c>
      <c r="K931" s="57"/>
      <c r="L931" s="209"/>
      <c r="M931" s="210"/>
      <c r="N931" s="200"/>
    </row>
    <row r="932" ht="20.25" customHeight="1">
      <c r="A932" s="235"/>
      <c r="C932" s="388">
        <v>402.0</v>
      </c>
      <c r="D932" s="56"/>
      <c r="E932" s="29"/>
      <c r="F932" s="29"/>
      <c r="G932" s="29"/>
      <c r="H932" s="29"/>
      <c r="I932" s="314"/>
      <c r="J932" s="29"/>
      <c r="K932" s="29"/>
      <c r="L932" s="216"/>
      <c r="M932" s="235"/>
      <c r="N932" s="202"/>
    </row>
    <row r="933" ht="20.25" customHeight="1">
      <c r="A933" s="210"/>
      <c r="B933" s="203"/>
      <c r="C933" s="58"/>
      <c r="D933" s="320"/>
      <c r="E933" s="141"/>
      <c r="F933" s="141"/>
      <c r="G933" s="141"/>
      <c r="H933" s="141"/>
      <c r="I933" s="319"/>
      <c r="J933" s="141"/>
      <c r="K933" s="141"/>
      <c r="L933" s="218"/>
      <c r="M933" s="236"/>
      <c r="N933" s="205"/>
    </row>
    <row r="934" ht="20.25" customHeight="1">
      <c r="A934" s="235"/>
      <c r="B934" s="494" t="s">
        <v>45</v>
      </c>
      <c r="C934" s="388">
        <v>401.0</v>
      </c>
      <c r="D934" s="547"/>
      <c r="E934" s="445" t="s">
        <v>23</v>
      </c>
      <c r="F934" s="477" t="s">
        <v>376</v>
      </c>
      <c r="G934" s="445" t="s">
        <v>17</v>
      </c>
      <c r="H934" s="446" t="s">
        <v>25</v>
      </c>
      <c r="I934" s="478">
        <v>1.0</v>
      </c>
      <c r="J934" s="478">
        <v>120.0</v>
      </c>
      <c r="K934" s="445">
        <f>I934*J934+I935*J935</f>
        <v>1720</v>
      </c>
      <c r="L934" s="498">
        <v>25.0</v>
      </c>
      <c r="M934" s="448">
        <f>(I934+I935)*L934</f>
        <v>425</v>
      </c>
      <c r="N934" s="449">
        <f>SUM(K934+M934)</f>
        <v>2145</v>
      </c>
    </row>
    <row r="935" ht="20.25" customHeight="1">
      <c r="A935" s="210"/>
      <c r="C935" s="58"/>
      <c r="D935" s="70"/>
      <c r="E935" s="57"/>
      <c r="F935" s="57"/>
      <c r="G935" s="57"/>
      <c r="H935" s="450" t="s">
        <v>18</v>
      </c>
      <c r="I935" s="451">
        <v>16.0</v>
      </c>
      <c r="J935" s="464">
        <v>100.0</v>
      </c>
      <c r="K935" s="57"/>
      <c r="L935" s="209"/>
      <c r="M935" s="210"/>
      <c r="N935" s="200"/>
    </row>
    <row r="936" ht="20.25" customHeight="1">
      <c r="A936" s="235"/>
      <c r="C936" s="388">
        <v>402.0</v>
      </c>
      <c r="D936" s="56"/>
      <c r="E936" s="29"/>
      <c r="F936" s="29"/>
      <c r="G936" s="29"/>
      <c r="H936" s="29"/>
      <c r="I936" s="314"/>
      <c r="J936" s="29"/>
      <c r="K936" s="29"/>
      <c r="L936" s="216"/>
      <c r="M936" s="235"/>
      <c r="N936" s="202"/>
    </row>
    <row r="937" ht="20.25" customHeight="1">
      <c r="A937" s="236"/>
      <c r="B937" s="203"/>
      <c r="C937" s="58"/>
      <c r="D937" s="320"/>
      <c r="E937" s="141"/>
      <c r="F937" s="141"/>
      <c r="G937" s="141"/>
      <c r="H937" s="141"/>
      <c r="I937" s="319"/>
      <c r="J937" s="141"/>
      <c r="K937" s="141"/>
      <c r="L937" s="218"/>
      <c r="M937" s="236"/>
      <c r="N937" s="205"/>
    </row>
    <row r="938" ht="20.25" customHeight="1">
      <c r="A938" s="493">
        <v>46259.0</v>
      </c>
      <c r="B938" s="494" t="s">
        <v>21</v>
      </c>
      <c r="C938" s="388">
        <v>404.0</v>
      </c>
      <c r="D938" s="547"/>
      <c r="E938" s="445" t="s">
        <v>23</v>
      </c>
      <c r="F938" s="445" t="s">
        <v>377</v>
      </c>
      <c r="G938" s="445" t="s">
        <v>17</v>
      </c>
      <c r="H938" s="446" t="s">
        <v>25</v>
      </c>
      <c r="I938" s="478">
        <v>1.0</v>
      </c>
      <c r="J938" s="478">
        <v>120.0</v>
      </c>
      <c r="K938" s="445">
        <f>I938*J938+I939*J939</f>
        <v>2120</v>
      </c>
      <c r="L938" s="498">
        <v>30.0</v>
      </c>
      <c r="M938" s="448">
        <f>(I938+I939)*L938</f>
        <v>630</v>
      </c>
      <c r="N938" s="449">
        <f>SUM(K938+M938)</f>
        <v>2750</v>
      </c>
    </row>
    <row r="939" ht="20.25" customHeight="1">
      <c r="A939" s="210"/>
      <c r="C939" s="58"/>
      <c r="D939" s="70"/>
      <c r="E939" s="57"/>
      <c r="F939" s="57"/>
      <c r="G939" s="57"/>
      <c r="H939" s="450" t="s">
        <v>18</v>
      </c>
      <c r="I939" s="451">
        <v>20.0</v>
      </c>
      <c r="J939" s="464">
        <v>100.0</v>
      </c>
      <c r="K939" s="57"/>
      <c r="L939" s="209"/>
      <c r="M939" s="210"/>
      <c r="N939" s="200"/>
    </row>
    <row r="940" ht="20.25" customHeight="1">
      <c r="A940" s="235"/>
      <c r="C940" s="388">
        <v>405.0</v>
      </c>
      <c r="D940" s="56"/>
      <c r="E940" s="29"/>
      <c r="F940" s="29"/>
      <c r="G940" s="29"/>
      <c r="H940" s="29"/>
      <c r="I940" s="314"/>
      <c r="J940" s="29"/>
      <c r="K940" s="29"/>
      <c r="L940" s="216"/>
      <c r="M940" s="235"/>
      <c r="N940" s="202"/>
    </row>
    <row r="941" ht="20.25" customHeight="1">
      <c r="A941" s="210"/>
      <c r="B941" s="203"/>
      <c r="C941" s="58"/>
      <c r="D941" s="320"/>
      <c r="E941" s="141"/>
      <c r="F941" s="141"/>
      <c r="G941" s="141"/>
      <c r="H941" s="141"/>
      <c r="I941" s="319"/>
      <c r="J941" s="141"/>
      <c r="K941" s="141"/>
      <c r="L941" s="218"/>
      <c r="M941" s="236"/>
      <c r="N941" s="205"/>
    </row>
    <row r="942" ht="20.25" customHeight="1">
      <c r="A942" s="235"/>
      <c r="B942" s="494" t="s">
        <v>21</v>
      </c>
      <c r="C942" s="388">
        <v>402.0</v>
      </c>
      <c r="D942" s="547"/>
      <c r="E942" s="445" t="s">
        <v>23</v>
      </c>
      <c r="F942" s="477" t="s">
        <v>380</v>
      </c>
      <c r="G942" s="445" t="s">
        <v>17</v>
      </c>
      <c r="H942" s="446" t="s">
        <v>25</v>
      </c>
      <c r="I942" s="478">
        <v>1.0</v>
      </c>
      <c r="J942" s="478">
        <v>120.0</v>
      </c>
      <c r="K942" s="445">
        <f>I942*J942+I943*J943</f>
        <v>2020</v>
      </c>
      <c r="L942" s="498">
        <v>25.0</v>
      </c>
      <c r="M942" s="448">
        <f>(I942+I943)*L942</f>
        <v>500</v>
      </c>
      <c r="N942" s="449">
        <f>SUM(K942+M942)</f>
        <v>2520</v>
      </c>
    </row>
    <row r="943" ht="20.25" customHeight="1">
      <c r="A943" s="210"/>
      <c r="C943" s="58"/>
      <c r="D943" s="70"/>
      <c r="E943" s="57"/>
      <c r="F943" s="57"/>
      <c r="G943" s="57"/>
      <c r="H943" s="450" t="s">
        <v>18</v>
      </c>
      <c r="I943" s="451">
        <v>19.0</v>
      </c>
      <c r="J943" s="464">
        <v>100.0</v>
      </c>
      <c r="K943" s="57"/>
      <c r="L943" s="209"/>
      <c r="M943" s="210"/>
      <c r="N943" s="200"/>
    </row>
    <row r="944" ht="20.25" customHeight="1">
      <c r="A944" s="235"/>
      <c r="C944" s="388">
        <v>403.0</v>
      </c>
      <c r="D944" s="56"/>
      <c r="E944" s="29"/>
      <c r="F944" s="29"/>
      <c r="G944" s="29"/>
      <c r="H944" s="29"/>
      <c r="I944" s="314"/>
      <c r="J944" s="29"/>
      <c r="K944" s="29"/>
      <c r="L944" s="216"/>
      <c r="M944" s="235"/>
      <c r="N944" s="202"/>
    </row>
    <row r="945" ht="20.25" customHeight="1">
      <c r="A945" s="210"/>
      <c r="B945" s="203"/>
      <c r="C945" s="58"/>
      <c r="D945" s="320"/>
      <c r="E945" s="141"/>
      <c r="F945" s="141"/>
      <c r="G945" s="141"/>
      <c r="H945" s="141"/>
      <c r="I945" s="319"/>
      <c r="J945" s="141"/>
      <c r="K945" s="141"/>
      <c r="L945" s="218"/>
      <c r="M945" s="236"/>
      <c r="N945" s="205"/>
    </row>
    <row r="946" ht="20.25" customHeight="1">
      <c r="A946" s="235"/>
      <c r="B946" s="494" t="s">
        <v>45</v>
      </c>
      <c r="C946" s="388">
        <v>404.0</v>
      </c>
      <c r="D946" s="547"/>
      <c r="E946" s="445" t="s">
        <v>23</v>
      </c>
      <c r="F946" s="477" t="s">
        <v>381</v>
      </c>
      <c r="G946" s="445" t="s">
        <v>17</v>
      </c>
      <c r="H946" s="446" t="s">
        <v>25</v>
      </c>
      <c r="I946" s="478">
        <v>1.0</v>
      </c>
      <c r="J946" s="478">
        <v>120.0</v>
      </c>
      <c r="K946" s="445">
        <f>I946*J946+I947*J947</f>
        <v>1920</v>
      </c>
      <c r="L946" s="498">
        <v>25.0</v>
      </c>
      <c r="M946" s="448">
        <f>(I946+I947)*L946</f>
        <v>475</v>
      </c>
      <c r="N946" s="449">
        <f>SUM(K946+M946)</f>
        <v>2395</v>
      </c>
    </row>
    <row r="947" ht="20.25" customHeight="1">
      <c r="A947" s="210"/>
      <c r="C947" s="58"/>
      <c r="D947" s="70"/>
      <c r="E947" s="57"/>
      <c r="F947" s="57"/>
      <c r="G947" s="57"/>
      <c r="H947" s="450" t="s">
        <v>18</v>
      </c>
      <c r="I947" s="451">
        <v>18.0</v>
      </c>
      <c r="J947" s="464">
        <v>100.0</v>
      </c>
      <c r="K947" s="57"/>
      <c r="L947" s="209"/>
      <c r="M947" s="210"/>
      <c r="N947" s="200"/>
    </row>
    <row r="948" ht="20.25" customHeight="1">
      <c r="A948" s="235"/>
      <c r="C948" s="388">
        <v>405.0</v>
      </c>
      <c r="D948" s="56"/>
      <c r="E948" s="29"/>
      <c r="F948" s="29"/>
      <c r="G948" s="29"/>
      <c r="H948" s="29"/>
      <c r="I948" s="314"/>
      <c r="J948" s="29"/>
      <c r="K948" s="29"/>
      <c r="L948" s="216"/>
      <c r="M948" s="235"/>
      <c r="N948" s="202"/>
    </row>
    <row r="949" ht="20.25" customHeight="1">
      <c r="A949" s="236"/>
      <c r="B949" s="203"/>
      <c r="C949" s="58"/>
      <c r="D949" s="320"/>
      <c r="E949" s="141"/>
      <c r="F949" s="141"/>
      <c r="G949" s="141"/>
      <c r="H949" s="141"/>
      <c r="I949" s="319"/>
      <c r="J949" s="141"/>
      <c r="K949" s="141"/>
      <c r="L949" s="218"/>
      <c r="M949" s="236"/>
      <c r="N949" s="205"/>
    </row>
    <row r="950" ht="20.25" customHeight="1">
      <c r="A950" s="493">
        <v>46260.0</v>
      </c>
      <c r="B950" s="494" t="s">
        <v>21</v>
      </c>
      <c r="C950" s="388">
        <v>405.0</v>
      </c>
      <c r="D950" s="547"/>
      <c r="E950" s="445" t="s">
        <v>23</v>
      </c>
      <c r="F950" s="445" t="s">
        <v>382</v>
      </c>
      <c r="G950" s="445" t="s">
        <v>17</v>
      </c>
      <c r="H950" s="446" t="s">
        <v>25</v>
      </c>
      <c r="I950" s="478">
        <v>1.0</v>
      </c>
      <c r="J950" s="478">
        <v>120.0</v>
      </c>
      <c r="K950" s="445">
        <f>I950*J950+I951*J951</f>
        <v>2120</v>
      </c>
      <c r="L950" s="498">
        <v>30.0</v>
      </c>
      <c r="M950" s="448">
        <f>(I950+I951)*L950</f>
        <v>630</v>
      </c>
      <c r="N950" s="449">
        <f>SUM(K950+M950)</f>
        <v>2750</v>
      </c>
    </row>
    <row r="951" ht="20.25" customHeight="1">
      <c r="A951" s="210"/>
      <c r="C951" s="58"/>
      <c r="D951" s="70"/>
      <c r="E951" s="57"/>
      <c r="F951" s="57"/>
      <c r="G951" s="57"/>
      <c r="H951" s="450" t="s">
        <v>18</v>
      </c>
      <c r="I951" s="451">
        <v>20.0</v>
      </c>
      <c r="J951" s="464">
        <v>100.0</v>
      </c>
      <c r="K951" s="57"/>
      <c r="L951" s="209"/>
      <c r="M951" s="210"/>
      <c r="N951" s="200"/>
    </row>
    <row r="952" ht="20.25" customHeight="1">
      <c r="A952" s="235"/>
      <c r="C952" s="388">
        <v>406.0</v>
      </c>
      <c r="D952" s="56"/>
      <c r="E952" s="29"/>
      <c r="F952" s="29"/>
      <c r="G952" s="29"/>
      <c r="H952" s="29"/>
      <c r="I952" s="314"/>
      <c r="J952" s="29"/>
      <c r="K952" s="29"/>
      <c r="L952" s="216"/>
      <c r="M952" s="235"/>
      <c r="N952" s="202"/>
    </row>
    <row r="953" ht="20.25" customHeight="1">
      <c r="A953" s="210"/>
      <c r="B953" s="203"/>
      <c r="C953" s="58"/>
      <c r="D953" s="320"/>
      <c r="E953" s="141"/>
      <c r="F953" s="141"/>
      <c r="G953" s="141"/>
      <c r="H953" s="141"/>
      <c r="I953" s="319"/>
      <c r="J953" s="141"/>
      <c r="K953" s="141"/>
      <c r="L953" s="218"/>
      <c r="M953" s="236"/>
      <c r="N953" s="205"/>
    </row>
    <row r="954" ht="20.25" customHeight="1">
      <c r="A954" s="235"/>
      <c r="B954" s="494" t="s">
        <v>21</v>
      </c>
      <c r="C954" s="388">
        <v>402.0</v>
      </c>
      <c r="D954" s="547"/>
      <c r="E954" s="445" t="s">
        <v>23</v>
      </c>
      <c r="F954" s="477" t="s">
        <v>383</v>
      </c>
      <c r="G954" s="445" t="s">
        <v>17</v>
      </c>
      <c r="H954" s="446" t="s">
        <v>25</v>
      </c>
      <c r="I954" s="478">
        <v>1.0</v>
      </c>
      <c r="J954" s="478">
        <v>120.0</v>
      </c>
      <c r="K954" s="445">
        <f>I954*J954+I955*J955</f>
        <v>2120</v>
      </c>
      <c r="L954" s="498">
        <v>25.0</v>
      </c>
      <c r="M954" s="448">
        <f>(I954+I955)*L954</f>
        <v>525</v>
      </c>
      <c r="N954" s="449">
        <f>SUM(K954+M954)</f>
        <v>2645</v>
      </c>
    </row>
    <row r="955" ht="20.25" customHeight="1">
      <c r="A955" s="210"/>
      <c r="C955" s="57"/>
      <c r="D955" s="70"/>
      <c r="E955" s="57"/>
      <c r="F955" s="57"/>
      <c r="G955" s="57"/>
      <c r="H955" s="450" t="s">
        <v>18</v>
      </c>
      <c r="I955" s="451">
        <v>20.0</v>
      </c>
      <c r="J955" s="464">
        <v>100.0</v>
      </c>
      <c r="K955" s="57"/>
      <c r="L955" s="209"/>
      <c r="M955" s="210"/>
      <c r="N955" s="200"/>
    </row>
    <row r="956" ht="20.25" customHeight="1">
      <c r="A956" s="235"/>
      <c r="C956" s="29"/>
      <c r="D956" s="56"/>
      <c r="E956" s="29"/>
      <c r="F956" s="29"/>
      <c r="G956" s="29"/>
      <c r="H956" s="29"/>
      <c r="I956" s="314"/>
      <c r="J956" s="29"/>
      <c r="K956" s="29"/>
      <c r="L956" s="216"/>
      <c r="M956" s="235"/>
      <c r="N956" s="202"/>
    </row>
    <row r="957" ht="20.25" customHeight="1">
      <c r="A957" s="210"/>
      <c r="B957" s="203"/>
      <c r="C957" s="58"/>
      <c r="D957" s="320"/>
      <c r="E957" s="141"/>
      <c r="F957" s="141"/>
      <c r="G957" s="141"/>
      <c r="H957" s="141"/>
      <c r="I957" s="319"/>
      <c r="J957" s="141"/>
      <c r="K957" s="141"/>
      <c r="L957" s="218"/>
      <c r="M957" s="236"/>
      <c r="N957" s="205"/>
    </row>
    <row r="958" ht="20.25" customHeight="1">
      <c r="A958" s="235"/>
      <c r="B958" s="494" t="s">
        <v>21</v>
      </c>
      <c r="C958" s="388">
        <v>420.0</v>
      </c>
      <c r="D958" s="547"/>
      <c r="E958" s="445" t="s">
        <v>23</v>
      </c>
      <c r="F958" s="477" t="s">
        <v>384</v>
      </c>
      <c r="G958" s="445" t="s">
        <v>17</v>
      </c>
      <c r="H958" s="446" t="s">
        <v>25</v>
      </c>
      <c r="I958" s="478">
        <v>1.0</v>
      </c>
      <c r="J958" s="478">
        <v>120.0</v>
      </c>
      <c r="K958" s="445">
        <f>I958*J958+I959*J959</f>
        <v>1920</v>
      </c>
      <c r="L958" s="498">
        <v>25.0</v>
      </c>
      <c r="M958" s="448">
        <f>(I958+I959)*L958</f>
        <v>475</v>
      </c>
      <c r="N958" s="449">
        <f>SUM(K958+M958)</f>
        <v>2395</v>
      </c>
    </row>
    <row r="959" ht="20.25" customHeight="1">
      <c r="A959" s="210"/>
      <c r="C959" s="57"/>
      <c r="D959" s="70"/>
      <c r="E959" s="57"/>
      <c r="F959" s="57"/>
      <c r="G959" s="57"/>
      <c r="H959" s="450" t="s">
        <v>18</v>
      </c>
      <c r="I959" s="451">
        <v>18.0</v>
      </c>
      <c r="J959" s="464">
        <v>100.0</v>
      </c>
      <c r="K959" s="57"/>
      <c r="L959" s="209"/>
      <c r="M959" s="210"/>
      <c r="N959" s="200"/>
    </row>
    <row r="960" ht="20.25" customHeight="1">
      <c r="A960" s="235"/>
      <c r="C960" s="29"/>
      <c r="D960" s="56"/>
      <c r="E960" s="29"/>
      <c r="F960" s="29"/>
      <c r="G960" s="29"/>
      <c r="H960" s="29"/>
      <c r="I960" s="314"/>
      <c r="J960" s="29"/>
      <c r="K960" s="29"/>
      <c r="L960" s="216"/>
      <c r="M960" s="235"/>
      <c r="N960" s="202"/>
    </row>
    <row r="961" ht="20.25" customHeight="1">
      <c r="A961" s="236"/>
      <c r="B961" s="203"/>
      <c r="C961" s="58"/>
      <c r="D961" s="320"/>
      <c r="E961" s="141"/>
      <c r="F961" s="141"/>
      <c r="G961" s="141"/>
      <c r="H961" s="141"/>
      <c r="I961" s="319"/>
      <c r="J961" s="141"/>
      <c r="K961" s="141"/>
      <c r="L961" s="218"/>
      <c r="M961" s="236"/>
      <c r="N961" s="205"/>
    </row>
    <row r="962" ht="20.25" customHeight="1">
      <c r="A962" s="493">
        <v>46261.0</v>
      </c>
      <c r="B962" s="494" t="s">
        <v>21</v>
      </c>
      <c r="C962" s="388">
        <v>407.0</v>
      </c>
      <c r="D962" s="547"/>
      <c r="E962" s="445" t="s">
        <v>23</v>
      </c>
      <c r="F962" s="445" t="s">
        <v>385</v>
      </c>
      <c r="G962" s="445" t="s">
        <v>17</v>
      </c>
      <c r="H962" s="446" t="s">
        <v>25</v>
      </c>
      <c r="I962" s="478">
        <v>1.0</v>
      </c>
      <c r="J962" s="478">
        <v>120.0</v>
      </c>
      <c r="K962" s="445">
        <f>I962*J962+I963*J963</f>
        <v>2120</v>
      </c>
      <c r="L962" s="498">
        <v>30.0</v>
      </c>
      <c r="M962" s="448">
        <f>(I962+I963)*L962</f>
        <v>630</v>
      </c>
      <c r="N962" s="449">
        <f>SUM(K962+M962)</f>
        <v>2750</v>
      </c>
    </row>
    <row r="963" ht="20.25" customHeight="1">
      <c r="A963" s="210"/>
      <c r="C963" s="57"/>
      <c r="D963" s="70"/>
      <c r="E963" s="57"/>
      <c r="F963" s="57"/>
      <c r="G963" s="57"/>
      <c r="H963" s="450" t="s">
        <v>18</v>
      </c>
      <c r="I963" s="451">
        <v>20.0</v>
      </c>
      <c r="J963" s="464">
        <v>100.0</v>
      </c>
      <c r="K963" s="57"/>
      <c r="L963" s="209"/>
      <c r="M963" s="210"/>
      <c r="N963" s="200"/>
    </row>
    <row r="964" ht="20.25" customHeight="1">
      <c r="A964" s="235"/>
      <c r="C964" s="29"/>
      <c r="D964" s="56"/>
      <c r="E964" s="29"/>
      <c r="F964" s="29"/>
      <c r="G964" s="29"/>
      <c r="H964" s="29"/>
      <c r="I964" s="314"/>
      <c r="J964" s="29"/>
      <c r="K964" s="29"/>
      <c r="L964" s="216"/>
      <c r="M964" s="235"/>
      <c r="N964" s="202"/>
    </row>
    <row r="965" ht="20.25" customHeight="1">
      <c r="A965" s="210"/>
      <c r="B965" s="203"/>
      <c r="C965" s="58"/>
      <c r="D965" s="320"/>
      <c r="E965" s="141"/>
      <c r="F965" s="141"/>
      <c r="G965" s="141"/>
      <c r="H965" s="141"/>
      <c r="I965" s="319"/>
      <c r="J965" s="141"/>
      <c r="K965" s="141"/>
      <c r="L965" s="218"/>
      <c r="M965" s="236"/>
      <c r="N965" s="205"/>
    </row>
    <row r="966" ht="20.25" customHeight="1">
      <c r="A966" s="235"/>
      <c r="B966" s="494" t="s">
        <v>21</v>
      </c>
      <c r="C966" s="388">
        <v>408.0</v>
      </c>
      <c r="D966" s="547"/>
      <c r="E966" s="445" t="s">
        <v>23</v>
      </c>
      <c r="F966" s="477" t="s">
        <v>386</v>
      </c>
      <c r="G966" s="445" t="s">
        <v>17</v>
      </c>
      <c r="H966" s="446" t="s">
        <v>25</v>
      </c>
      <c r="I966" s="478">
        <v>1.0</v>
      </c>
      <c r="J966" s="478">
        <v>120.0</v>
      </c>
      <c r="K966" s="445">
        <f>I966*J966+I967*J967</f>
        <v>2120</v>
      </c>
      <c r="L966" s="498">
        <v>25.0</v>
      </c>
      <c r="M966" s="448">
        <f>(I966+I967)*L966</f>
        <v>525</v>
      </c>
      <c r="N966" s="449">
        <f>SUM(K966+M966)</f>
        <v>2645</v>
      </c>
    </row>
    <row r="967" ht="20.25" customHeight="1">
      <c r="A967" s="210"/>
      <c r="C967" s="57"/>
      <c r="D967" s="70"/>
      <c r="E967" s="57"/>
      <c r="F967" s="57"/>
      <c r="G967" s="57"/>
      <c r="H967" s="450" t="s">
        <v>18</v>
      </c>
      <c r="I967" s="451">
        <v>20.0</v>
      </c>
      <c r="J967" s="464">
        <v>100.0</v>
      </c>
      <c r="K967" s="57"/>
      <c r="L967" s="209"/>
      <c r="M967" s="210"/>
      <c r="N967" s="200"/>
    </row>
    <row r="968" ht="20.25" customHeight="1">
      <c r="A968" s="235"/>
      <c r="C968" s="29"/>
      <c r="D968" s="56"/>
      <c r="E968" s="29"/>
      <c r="F968" s="29"/>
      <c r="G968" s="29"/>
      <c r="H968" s="29"/>
      <c r="I968" s="314"/>
      <c r="J968" s="29"/>
      <c r="K968" s="29"/>
      <c r="L968" s="216"/>
      <c r="M968" s="235"/>
      <c r="N968" s="202"/>
    </row>
    <row r="969" ht="20.25" customHeight="1">
      <c r="A969" s="210"/>
      <c r="B969" s="203"/>
      <c r="C969" s="58"/>
      <c r="D969" s="320"/>
      <c r="E969" s="141"/>
      <c r="F969" s="141"/>
      <c r="G969" s="141"/>
      <c r="H969" s="141"/>
      <c r="I969" s="319"/>
      <c r="J969" s="141"/>
      <c r="K969" s="141"/>
      <c r="L969" s="218"/>
      <c r="M969" s="236"/>
      <c r="N969" s="205"/>
    </row>
    <row r="970" ht="20.25" customHeight="1">
      <c r="A970" s="235"/>
      <c r="B970" s="494" t="s">
        <v>21</v>
      </c>
      <c r="C970" s="388">
        <v>421.0</v>
      </c>
      <c r="D970" s="547"/>
      <c r="E970" s="445" t="s">
        <v>23</v>
      </c>
      <c r="F970" s="477" t="s">
        <v>387</v>
      </c>
      <c r="G970" s="445" t="s">
        <v>17</v>
      </c>
      <c r="H970" s="446" t="s">
        <v>25</v>
      </c>
      <c r="I970" s="478">
        <v>1.0</v>
      </c>
      <c r="J970" s="478">
        <v>120.0</v>
      </c>
      <c r="K970" s="445">
        <f>I970*J970+I971*J971</f>
        <v>2120</v>
      </c>
      <c r="L970" s="498">
        <v>25.0</v>
      </c>
      <c r="M970" s="448">
        <f>(I970+I971)*L970</f>
        <v>525</v>
      </c>
      <c r="N970" s="449">
        <f>SUM(K970+M970)</f>
        <v>2645</v>
      </c>
    </row>
    <row r="971" ht="20.25" customHeight="1">
      <c r="A971" s="210"/>
      <c r="C971" s="58"/>
      <c r="D971" s="70"/>
      <c r="E971" s="57"/>
      <c r="F971" s="57"/>
      <c r="G971" s="57"/>
      <c r="H971" s="450" t="s">
        <v>18</v>
      </c>
      <c r="I971" s="451">
        <v>20.0</v>
      </c>
      <c r="J971" s="464">
        <v>100.0</v>
      </c>
      <c r="K971" s="57"/>
      <c r="L971" s="209"/>
      <c r="M971" s="210"/>
      <c r="N971" s="200"/>
    </row>
    <row r="972" ht="20.25" customHeight="1">
      <c r="A972" s="235"/>
      <c r="C972" s="388">
        <v>422.0</v>
      </c>
      <c r="D972" s="56"/>
      <c r="E972" s="29"/>
      <c r="F972" s="29"/>
      <c r="G972" s="29"/>
      <c r="H972" s="29"/>
      <c r="I972" s="314"/>
      <c r="J972" s="29"/>
      <c r="K972" s="29"/>
      <c r="L972" s="216"/>
      <c r="M972" s="235"/>
      <c r="N972" s="202"/>
    </row>
    <row r="973" ht="20.25" customHeight="1">
      <c r="A973" s="210"/>
      <c r="B973" s="203"/>
      <c r="C973" s="58"/>
      <c r="D973" s="320"/>
      <c r="E973" s="141"/>
      <c r="F973" s="141"/>
      <c r="G973" s="141"/>
      <c r="H973" s="141"/>
      <c r="I973" s="319"/>
      <c r="J973" s="141"/>
      <c r="K973" s="141"/>
      <c r="L973" s="218"/>
      <c r="M973" s="236"/>
      <c r="N973" s="205"/>
    </row>
    <row r="974" ht="20.25" customHeight="1">
      <c r="A974" s="235"/>
      <c r="B974" s="494" t="s">
        <v>45</v>
      </c>
      <c r="C974" s="388">
        <v>405.0</v>
      </c>
      <c r="D974" s="547"/>
      <c r="E974" s="445" t="s">
        <v>23</v>
      </c>
      <c r="F974" s="477" t="s">
        <v>388</v>
      </c>
      <c r="G974" s="445" t="s">
        <v>17</v>
      </c>
      <c r="H974" s="446" t="s">
        <v>25</v>
      </c>
      <c r="I974" s="478">
        <v>1.0</v>
      </c>
      <c r="J974" s="478">
        <v>120.0</v>
      </c>
      <c r="K974" s="445">
        <f>I974*J974+I975*J975</f>
        <v>1820</v>
      </c>
      <c r="L974" s="498">
        <v>30.0</v>
      </c>
      <c r="M974" s="448">
        <f>(I974+I975)*L974</f>
        <v>540</v>
      </c>
      <c r="N974" s="449">
        <f>SUM(K974+M974)</f>
        <v>2360</v>
      </c>
    </row>
    <row r="975" ht="20.25" customHeight="1">
      <c r="A975" s="210"/>
      <c r="C975" s="58"/>
      <c r="D975" s="70"/>
      <c r="E975" s="57"/>
      <c r="F975" s="57"/>
      <c r="G975" s="57"/>
      <c r="H975" s="450" t="s">
        <v>18</v>
      </c>
      <c r="I975" s="451">
        <v>17.0</v>
      </c>
      <c r="J975" s="464">
        <v>100.0</v>
      </c>
      <c r="K975" s="57"/>
      <c r="L975" s="209"/>
      <c r="M975" s="210"/>
      <c r="N975" s="200"/>
    </row>
    <row r="976" ht="20.25" customHeight="1">
      <c r="A976" s="235"/>
      <c r="C976" s="388">
        <v>406.0</v>
      </c>
      <c r="D976" s="56"/>
      <c r="E976" s="29"/>
      <c r="F976" s="29"/>
      <c r="G976" s="29"/>
      <c r="H976" s="29"/>
      <c r="I976" s="314"/>
      <c r="J976" s="29"/>
      <c r="K976" s="29"/>
      <c r="L976" s="216"/>
      <c r="M976" s="235"/>
      <c r="N976" s="202"/>
    </row>
    <row r="977" ht="20.25" customHeight="1">
      <c r="A977" s="236"/>
      <c r="B977" s="203"/>
      <c r="C977" s="58"/>
      <c r="D977" s="320"/>
      <c r="E977" s="141"/>
      <c r="F977" s="141"/>
      <c r="G977" s="141"/>
      <c r="H977" s="141"/>
      <c r="I977" s="319"/>
      <c r="J977" s="141"/>
      <c r="K977" s="141"/>
      <c r="L977" s="218"/>
      <c r="M977" s="236"/>
      <c r="N977" s="205"/>
    </row>
    <row r="978" ht="20.25" customHeight="1">
      <c r="A978" s="493">
        <v>46262.0</v>
      </c>
      <c r="B978" s="494" t="s">
        <v>21</v>
      </c>
      <c r="C978" s="388">
        <v>407.0</v>
      </c>
      <c r="D978" s="547"/>
      <c r="E978" s="445" t="s">
        <v>23</v>
      </c>
      <c r="F978" s="445" t="s">
        <v>390</v>
      </c>
      <c r="G978" s="445" t="s">
        <v>17</v>
      </c>
      <c r="H978" s="446" t="s">
        <v>25</v>
      </c>
      <c r="I978" s="478">
        <v>1.0</v>
      </c>
      <c r="J978" s="478">
        <v>120.0</v>
      </c>
      <c r="K978" s="445">
        <f>I978*J978+I979*J979</f>
        <v>1820</v>
      </c>
      <c r="L978" s="498">
        <v>30.0</v>
      </c>
      <c r="M978" s="448">
        <f>(I978+I979)*L978</f>
        <v>540</v>
      </c>
      <c r="N978" s="449">
        <f>SUM(K978+M978)</f>
        <v>2360</v>
      </c>
    </row>
    <row r="979" ht="20.25" customHeight="1">
      <c r="A979" s="210"/>
      <c r="C979" s="58"/>
      <c r="D979" s="70"/>
      <c r="E979" s="57"/>
      <c r="F979" s="57"/>
      <c r="G979" s="57"/>
      <c r="H979" s="450" t="s">
        <v>18</v>
      </c>
      <c r="I979" s="451">
        <v>17.0</v>
      </c>
      <c r="J979" s="464">
        <v>100.0</v>
      </c>
      <c r="K979" s="57"/>
      <c r="L979" s="209"/>
      <c r="M979" s="210"/>
      <c r="N979" s="200"/>
    </row>
    <row r="980" ht="20.25" customHeight="1">
      <c r="A980" s="235"/>
      <c r="C980" s="388">
        <v>408.0</v>
      </c>
      <c r="D980" s="56"/>
      <c r="E980" s="29"/>
      <c r="F980" s="29"/>
      <c r="G980" s="29"/>
      <c r="H980" s="29"/>
      <c r="I980" s="314"/>
      <c r="J980" s="29"/>
      <c r="K980" s="29"/>
      <c r="L980" s="216"/>
      <c r="M980" s="235"/>
      <c r="N980" s="202"/>
    </row>
    <row r="981" ht="20.25" customHeight="1">
      <c r="A981" s="210"/>
      <c r="B981" s="203"/>
      <c r="C981" s="58"/>
      <c r="D981" s="320"/>
      <c r="E981" s="141"/>
      <c r="F981" s="141"/>
      <c r="G981" s="141"/>
      <c r="H981" s="141"/>
      <c r="I981" s="319"/>
      <c r="J981" s="141"/>
      <c r="K981" s="141"/>
      <c r="L981" s="218"/>
      <c r="M981" s="236"/>
      <c r="N981" s="205"/>
    </row>
    <row r="982" ht="20.25" customHeight="1">
      <c r="A982" s="235"/>
      <c r="B982" s="494" t="s">
        <v>21</v>
      </c>
      <c r="C982" s="388">
        <v>409.0</v>
      </c>
      <c r="D982" s="547"/>
      <c r="E982" s="445" t="s">
        <v>23</v>
      </c>
      <c r="F982" s="477" t="s">
        <v>391</v>
      </c>
      <c r="G982" s="445" t="s">
        <v>17</v>
      </c>
      <c r="H982" s="446" t="s">
        <v>25</v>
      </c>
      <c r="I982" s="478">
        <v>1.0</v>
      </c>
      <c r="J982" s="478">
        <v>120.0</v>
      </c>
      <c r="K982" s="445">
        <f>I982*J982+I983*J983</f>
        <v>2120</v>
      </c>
      <c r="L982" s="498">
        <v>25.0</v>
      </c>
      <c r="M982" s="448">
        <f>(I982+I983)*L982</f>
        <v>525</v>
      </c>
      <c r="N982" s="449">
        <f>SUM(K982+M982)</f>
        <v>2645</v>
      </c>
    </row>
    <row r="983" ht="20.25" customHeight="1">
      <c r="A983" s="210"/>
      <c r="C983" s="58"/>
      <c r="D983" s="70"/>
      <c r="E983" s="57"/>
      <c r="F983" s="57"/>
      <c r="G983" s="57"/>
      <c r="H983" s="450" t="s">
        <v>18</v>
      </c>
      <c r="I983" s="451">
        <v>20.0</v>
      </c>
      <c r="J983" s="464">
        <v>100.0</v>
      </c>
      <c r="K983" s="57"/>
      <c r="L983" s="209"/>
      <c r="M983" s="210"/>
      <c r="N983" s="200"/>
    </row>
    <row r="984" ht="20.25" customHeight="1">
      <c r="A984" s="235"/>
      <c r="C984" s="388">
        <v>420.0</v>
      </c>
      <c r="D984" s="56"/>
      <c r="E984" s="29"/>
      <c r="F984" s="29"/>
      <c r="G984" s="29"/>
      <c r="H984" s="29"/>
      <c r="I984" s="314"/>
      <c r="J984" s="29"/>
      <c r="K984" s="29"/>
      <c r="L984" s="216"/>
      <c r="M984" s="235"/>
      <c r="N984" s="202"/>
    </row>
    <row r="985" ht="20.25" customHeight="1">
      <c r="A985" s="210"/>
      <c r="B985" s="203"/>
      <c r="C985" s="58"/>
      <c r="D985" s="320"/>
      <c r="E985" s="141"/>
      <c r="F985" s="141"/>
      <c r="G985" s="141"/>
      <c r="H985" s="141"/>
      <c r="I985" s="319"/>
      <c r="J985" s="141"/>
      <c r="K985" s="141"/>
      <c r="L985" s="218"/>
      <c r="M985" s="236"/>
      <c r="N985" s="205"/>
    </row>
    <row r="986" ht="20.25" customHeight="1">
      <c r="A986" s="235"/>
      <c r="B986" s="494" t="s">
        <v>21</v>
      </c>
      <c r="C986" s="388">
        <v>422.0</v>
      </c>
      <c r="D986" s="547"/>
      <c r="E986" s="445" t="s">
        <v>23</v>
      </c>
      <c r="F986" s="477" t="s">
        <v>393</v>
      </c>
      <c r="G986" s="445" t="s">
        <v>17</v>
      </c>
      <c r="H986" s="446" t="s">
        <v>25</v>
      </c>
      <c r="I986" s="478">
        <v>1.0</v>
      </c>
      <c r="J986" s="478">
        <v>120.0</v>
      </c>
      <c r="K986" s="445">
        <f>I986*J986+I987*J987</f>
        <v>1920</v>
      </c>
      <c r="L986" s="498">
        <v>25.0</v>
      </c>
      <c r="M986" s="448">
        <f>(I986+I987)*L986</f>
        <v>475</v>
      </c>
      <c r="N986" s="449">
        <f>SUM(K986+M986)</f>
        <v>2395</v>
      </c>
    </row>
    <row r="987" ht="20.25" customHeight="1">
      <c r="A987" s="210"/>
      <c r="C987" s="58"/>
      <c r="D987" s="70"/>
      <c r="E987" s="57"/>
      <c r="F987" s="57"/>
      <c r="G987" s="57"/>
      <c r="H987" s="450" t="s">
        <v>18</v>
      </c>
      <c r="I987" s="451">
        <v>18.0</v>
      </c>
      <c r="J987" s="464">
        <v>100.0</v>
      </c>
      <c r="K987" s="57"/>
      <c r="L987" s="209"/>
      <c r="M987" s="210"/>
      <c r="N987" s="200"/>
    </row>
    <row r="988" ht="20.25" customHeight="1">
      <c r="A988" s="235"/>
      <c r="C988" s="388"/>
      <c r="D988" s="56"/>
      <c r="E988" s="29"/>
      <c r="F988" s="29"/>
      <c r="G988" s="29"/>
      <c r="H988" s="29"/>
      <c r="I988" s="314"/>
      <c r="J988" s="29"/>
      <c r="K988" s="29"/>
      <c r="L988" s="216"/>
      <c r="M988" s="235"/>
      <c r="N988" s="202"/>
    </row>
    <row r="989" ht="20.25" customHeight="1">
      <c r="A989" s="210"/>
      <c r="B989" s="203"/>
      <c r="C989" s="58"/>
      <c r="D989" s="320"/>
      <c r="E989" s="141"/>
      <c r="F989" s="141"/>
      <c r="G989" s="141"/>
      <c r="H989" s="141"/>
      <c r="I989" s="319"/>
      <c r="J989" s="141"/>
      <c r="K989" s="141"/>
      <c r="L989" s="218"/>
      <c r="M989" s="236"/>
      <c r="N989" s="205"/>
    </row>
    <row r="990" ht="20.25" customHeight="1">
      <c r="A990" s="235"/>
      <c r="B990" s="494" t="s">
        <v>45</v>
      </c>
      <c r="C990" s="388">
        <v>409.0</v>
      </c>
      <c r="D990" s="547"/>
      <c r="E990" s="445" t="s">
        <v>23</v>
      </c>
      <c r="F990" s="477" t="s">
        <v>394</v>
      </c>
      <c r="G990" s="445" t="s">
        <v>17</v>
      </c>
      <c r="H990" s="446" t="s">
        <v>25</v>
      </c>
      <c r="I990" s="478">
        <v>1.0</v>
      </c>
      <c r="J990" s="478">
        <v>120.0</v>
      </c>
      <c r="K990" s="445">
        <f>I990*J990+I991*J991</f>
        <v>1720</v>
      </c>
      <c r="L990" s="498">
        <v>30.0</v>
      </c>
      <c r="M990" s="448">
        <f>(I990+I991)*L990</f>
        <v>510</v>
      </c>
      <c r="N990" s="449">
        <f>SUM(K990+M990)</f>
        <v>2230</v>
      </c>
    </row>
    <row r="991" ht="20.25" customHeight="1">
      <c r="A991" s="210"/>
      <c r="C991" s="58"/>
      <c r="D991" s="70"/>
      <c r="E991" s="57"/>
      <c r="F991" s="57"/>
      <c r="G991" s="57"/>
      <c r="H991" s="450" t="s">
        <v>18</v>
      </c>
      <c r="I991" s="451">
        <v>16.0</v>
      </c>
      <c r="J991" s="464">
        <v>100.0</v>
      </c>
      <c r="K991" s="57"/>
      <c r="L991" s="209"/>
      <c r="M991" s="210"/>
      <c r="N991" s="200"/>
    </row>
    <row r="992" ht="20.25" customHeight="1">
      <c r="A992" s="235"/>
      <c r="C992" s="388">
        <v>410.0</v>
      </c>
      <c r="D992" s="56"/>
      <c r="E992" s="29"/>
      <c r="F992" s="29"/>
      <c r="G992" s="29"/>
      <c r="H992" s="29"/>
      <c r="I992" s="314"/>
      <c r="J992" s="29"/>
      <c r="K992" s="29"/>
      <c r="L992" s="216"/>
      <c r="M992" s="235"/>
      <c r="N992" s="202"/>
    </row>
    <row r="993" ht="20.25" customHeight="1">
      <c r="A993" s="236"/>
      <c r="B993" s="203"/>
      <c r="C993" s="58"/>
      <c r="D993" s="320"/>
      <c r="E993" s="141"/>
      <c r="F993" s="141"/>
      <c r="G993" s="141"/>
      <c r="H993" s="141"/>
      <c r="I993" s="319"/>
      <c r="J993" s="141"/>
      <c r="K993" s="141"/>
      <c r="L993" s="218"/>
      <c r="M993" s="236"/>
      <c r="N993" s="205"/>
    </row>
    <row r="994" ht="20.25" customHeight="1">
      <c r="A994" s="493">
        <v>46263.0</v>
      </c>
      <c r="B994" s="494" t="s">
        <v>122</v>
      </c>
      <c r="C994" s="388">
        <v>407.0</v>
      </c>
      <c r="D994" s="547"/>
      <c r="E994" s="445" t="s">
        <v>23</v>
      </c>
      <c r="F994" s="445" t="s">
        <v>395</v>
      </c>
      <c r="G994" s="445" t="s">
        <v>17</v>
      </c>
      <c r="H994" s="446" t="s">
        <v>25</v>
      </c>
      <c r="I994" s="478">
        <v>1.0</v>
      </c>
      <c r="J994" s="478">
        <v>120.0</v>
      </c>
      <c r="K994" s="445">
        <f>I994*J994+I995*J995</f>
        <v>2020</v>
      </c>
      <c r="L994" s="498">
        <v>30.0</v>
      </c>
      <c r="M994" s="448">
        <f>(I994+I995)*L994</f>
        <v>600</v>
      </c>
      <c r="N994" s="449">
        <f>SUM(K994+M994)</f>
        <v>2620</v>
      </c>
    </row>
    <row r="995" ht="20.25" customHeight="1">
      <c r="A995" s="210"/>
      <c r="C995" s="58"/>
      <c r="D995" s="70"/>
      <c r="E995" s="57"/>
      <c r="F995" s="57"/>
      <c r="G995" s="57"/>
      <c r="H995" s="450" t="s">
        <v>18</v>
      </c>
      <c r="I995" s="451">
        <v>19.0</v>
      </c>
      <c r="J995" s="464">
        <v>100.0</v>
      </c>
      <c r="K995" s="57"/>
      <c r="L995" s="209"/>
      <c r="M995" s="210"/>
      <c r="N995" s="200"/>
    </row>
    <row r="996" ht="20.25" customHeight="1">
      <c r="A996" s="235"/>
      <c r="C996" s="388">
        <v>408.0</v>
      </c>
      <c r="D996" s="56"/>
      <c r="E996" s="29"/>
      <c r="F996" s="29"/>
      <c r="G996" s="29"/>
      <c r="H996" s="29"/>
      <c r="I996" s="314"/>
      <c r="J996" s="29"/>
      <c r="K996" s="29"/>
      <c r="L996" s="216"/>
      <c r="M996" s="235"/>
      <c r="N996" s="202"/>
    </row>
    <row r="997" ht="20.25" customHeight="1">
      <c r="A997" s="210"/>
      <c r="B997" s="203"/>
      <c r="C997" s="58"/>
      <c r="D997" s="320"/>
      <c r="E997" s="141"/>
      <c r="F997" s="141"/>
      <c r="G997" s="141"/>
      <c r="H997" s="141"/>
      <c r="I997" s="319"/>
      <c r="J997" s="141"/>
      <c r="K997" s="141"/>
      <c r="L997" s="218"/>
      <c r="M997" s="236"/>
      <c r="N997" s="205"/>
    </row>
    <row r="998" ht="20.25" customHeight="1">
      <c r="A998" s="235"/>
      <c r="B998" s="494" t="s">
        <v>45</v>
      </c>
      <c r="C998" s="388">
        <v>409.0</v>
      </c>
      <c r="D998" s="547"/>
      <c r="E998" s="445" t="s">
        <v>23</v>
      </c>
      <c r="F998" s="477" t="s">
        <v>397</v>
      </c>
      <c r="G998" s="445" t="s">
        <v>17</v>
      </c>
      <c r="H998" s="446" t="s">
        <v>25</v>
      </c>
      <c r="I998" s="478">
        <v>1.0</v>
      </c>
      <c r="J998" s="478">
        <v>120.0</v>
      </c>
      <c r="K998" s="445">
        <f>I998*J998+I999*J999</f>
        <v>1820</v>
      </c>
      <c r="L998" s="498">
        <v>25.0</v>
      </c>
      <c r="M998" s="448">
        <f>(I998+I999)*L998</f>
        <v>450</v>
      </c>
      <c r="N998" s="449">
        <f>SUM(K998+M998)</f>
        <v>2270</v>
      </c>
    </row>
    <row r="999" ht="20.25" customHeight="1">
      <c r="A999" s="210"/>
      <c r="C999" s="58"/>
      <c r="D999" s="70"/>
      <c r="E999" s="57"/>
      <c r="F999" s="57"/>
      <c r="G999" s="57"/>
      <c r="H999" s="450" t="s">
        <v>18</v>
      </c>
      <c r="I999" s="451">
        <v>17.0</v>
      </c>
      <c r="J999" s="464">
        <v>100.0</v>
      </c>
      <c r="K999" s="57"/>
      <c r="L999" s="209"/>
      <c r="M999" s="210"/>
      <c r="N999" s="200"/>
    </row>
    <row r="1000" ht="20.25" customHeight="1">
      <c r="A1000" s="235"/>
      <c r="C1000" s="388">
        <v>420.0</v>
      </c>
      <c r="D1000" s="56"/>
      <c r="E1000" s="29"/>
      <c r="F1000" s="29"/>
      <c r="G1000" s="29"/>
      <c r="H1000" s="29"/>
      <c r="I1000" s="314"/>
      <c r="J1000" s="29"/>
      <c r="K1000" s="29"/>
      <c r="L1000" s="216"/>
      <c r="M1000" s="235"/>
      <c r="N1000" s="202"/>
    </row>
    <row r="1001" ht="20.25" customHeight="1">
      <c r="A1001" s="210"/>
      <c r="B1001" s="203"/>
      <c r="C1001" s="58"/>
      <c r="D1001" s="320"/>
      <c r="E1001" s="141"/>
      <c r="F1001" s="141"/>
      <c r="G1001" s="141"/>
      <c r="H1001" s="141"/>
      <c r="I1001" s="319"/>
      <c r="J1001" s="141"/>
      <c r="K1001" s="141"/>
      <c r="L1001" s="218"/>
      <c r="M1001" s="236"/>
      <c r="N1001" s="205"/>
    </row>
    <row r="1002" ht="20.25" customHeight="1">
      <c r="A1002" s="235"/>
      <c r="B1002" s="494" t="s">
        <v>45</v>
      </c>
      <c r="C1002" s="388">
        <v>422.0</v>
      </c>
      <c r="D1002" s="547"/>
      <c r="E1002" s="445" t="s">
        <v>23</v>
      </c>
      <c r="F1002" s="477" t="s">
        <v>398</v>
      </c>
      <c r="G1002" s="445" t="s">
        <v>17</v>
      </c>
      <c r="H1002" s="446" t="s">
        <v>25</v>
      </c>
      <c r="I1002" s="478">
        <v>1.0</v>
      </c>
      <c r="J1002" s="478">
        <v>120.0</v>
      </c>
      <c r="K1002" s="445">
        <f>I1002*J1002+I1003*J1003</f>
        <v>1720</v>
      </c>
      <c r="L1002" s="498">
        <v>25.0</v>
      </c>
      <c r="M1002" s="448">
        <f>(I1002+I1003)*L1002</f>
        <v>425</v>
      </c>
      <c r="N1002" s="449">
        <f>SUM(K1002+M1002)</f>
        <v>2145</v>
      </c>
    </row>
    <row r="1003" ht="20.25" customHeight="1">
      <c r="A1003" s="210"/>
      <c r="C1003" s="58"/>
      <c r="D1003" s="70"/>
      <c r="E1003" s="57"/>
      <c r="F1003" s="57"/>
      <c r="G1003" s="57"/>
      <c r="H1003" s="450" t="s">
        <v>18</v>
      </c>
      <c r="I1003" s="451">
        <v>16.0</v>
      </c>
      <c r="J1003" s="464">
        <v>100.0</v>
      </c>
      <c r="K1003" s="57"/>
      <c r="L1003" s="209"/>
      <c r="M1003" s="210"/>
      <c r="N1003" s="200"/>
    </row>
    <row r="1004" ht="20.25" customHeight="1">
      <c r="A1004" s="235"/>
      <c r="C1004" s="388"/>
      <c r="D1004" s="56"/>
      <c r="E1004" s="29"/>
      <c r="F1004" s="29"/>
      <c r="G1004" s="29"/>
      <c r="H1004" s="29"/>
      <c r="I1004" s="314"/>
      <c r="J1004" s="29"/>
      <c r="K1004" s="29"/>
      <c r="L1004" s="216"/>
      <c r="M1004" s="235"/>
      <c r="N1004" s="202"/>
    </row>
    <row r="1005" ht="20.25" customHeight="1">
      <c r="A1005" s="210"/>
      <c r="B1005" s="203"/>
      <c r="C1005" s="58"/>
      <c r="D1005" s="320"/>
      <c r="E1005" s="141"/>
      <c r="F1005" s="141"/>
      <c r="G1005" s="141"/>
      <c r="H1005" s="141"/>
      <c r="I1005" s="319"/>
      <c r="J1005" s="141"/>
      <c r="K1005" s="141"/>
      <c r="L1005" s="218"/>
      <c r="M1005" s="236"/>
      <c r="N1005" s="205"/>
    </row>
    <row r="1006" ht="20.25" customHeight="1">
      <c r="A1006" s="235"/>
      <c r="B1006" s="494" t="s">
        <v>45</v>
      </c>
      <c r="C1006" s="388">
        <v>409.0</v>
      </c>
      <c r="D1006" s="547"/>
      <c r="E1006" s="445" t="s">
        <v>23</v>
      </c>
      <c r="F1006" s="477" t="s">
        <v>399</v>
      </c>
      <c r="G1006" s="445" t="s">
        <v>17</v>
      </c>
      <c r="H1006" s="446" t="s">
        <v>25</v>
      </c>
      <c r="I1006" s="478">
        <v>1.0</v>
      </c>
      <c r="J1006" s="478">
        <v>120.0</v>
      </c>
      <c r="K1006" s="445">
        <f>I1006*J1006+I1007*J1007</f>
        <v>1820</v>
      </c>
      <c r="L1006" s="498">
        <v>30.0</v>
      </c>
      <c r="M1006" s="448">
        <f>(I1006+I1007)*L1006</f>
        <v>540</v>
      </c>
      <c r="N1006" s="449">
        <f>SUM(K1006+M1006)</f>
        <v>2360</v>
      </c>
    </row>
    <row r="1007" ht="20.25" customHeight="1">
      <c r="A1007" s="210"/>
      <c r="C1007" s="58"/>
      <c r="D1007" s="70"/>
      <c r="E1007" s="57"/>
      <c r="F1007" s="57"/>
      <c r="G1007" s="57"/>
      <c r="H1007" s="450" t="s">
        <v>18</v>
      </c>
      <c r="I1007" s="451">
        <v>17.0</v>
      </c>
      <c r="J1007" s="464">
        <v>100.0</v>
      </c>
      <c r="K1007" s="57"/>
      <c r="L1007" s="209"/>
      <c r="M1007" s="210"/>
      <c r="N1007" s="200"/>
    </row>
    <row r="1008" ht="20.25" customHeight="1">
      <c r="A1008" s="235"/>
      <c r="C1008" s="388">
        <v>410.0</v>
      </c>
      <c r="D1008" s="56"/>
      <c r="E1008" s="29"/>
      <c r="F1008" s="29"/>
      <c r="G1008" s="29"/>
      <c r="H1008" s="29"/>
      <c r="I1008" s="314"/>
      <c r="J1008" s="29"/>
      <c r="K1008" s="29"/>
      <c r="L1008" s="216"/>
      <c r="M1008" s="235"/>
      <c r="N1008" s="202"/>
    </row>
    <row r="1009" ht="20.25" customHeight="1">
      <c r="A1009" s="236"/>
      <c r="B1009" s="203"/>
      <c r="C1009" s="58"/>
      <c r="D1009" s="320"/>
      <c r="E1009" s="141"/>
      <c r="F1009" s="141"/>
      <c r="G1009" s="141"/>
      <c r="H1009" s="141"/>
      <c r="I1009" s="319"/>
      <c r="J1009" s="141"/>
      <c r="K1009" s="141"/>
      <c r="L1009" s="218"/>
      <c r="M1009" s="236"/>
      <c r="N1009" s="205"/>
    </row>
    <row r="1010" ht="20.25" customHeight="1">
      <c r="A1010" s="493">
        <v>46265.0</v>
      </c>
      <c r="B1010" s="494" t="s">
        <v>122</v>
      </c>
      <c r="C1010" s="388">
        <v>407.0</v>
      </c>
      <c r="D1010" s="547"/>
      <c r="E1010" s="445" t="s">
        <v>23</v>
      </c>
      <c r="F1010" s="445" t="s">
        <v>400</v>
      </c>
      <c r="G1010" s="445" t="s">
        <v>17</v>
      </c>
      <c r="H1010" s="446" t="s">
        <v>25</v>
      </c>
      <c r="I1010" s="486">
        <v>1.0</v>
      </c>
      <c r="J1010" s="478">
        <v>120.0</v>
      </c>
      <c r="K1010" s="445">
        <f>I1010*J1010+I1011*J1011</f>
        <v>1920</v>
      </c>
      <c r="L1010" s="498">
        <v>30.0</v>
      </c>
      <c r="M1010" s="448">
        <f>(I1010+I1011)*L1010</f>
        <v>570</v>
      </c>
      <c r="N1010" s="449">
        <f>SUM(K1010+M1010)</f>
        <v>2490</v>
      </c>
    </row>
    <row r="1011" ht="20.25" customHeight="1">
      <c r="A1011" s="210"/>
      <c r="C1011" s="58"/>
      <c r="D1011" s="70"/>
      <c r="E1011" s="57"/>
      <c r="F1011" s="57"/>
      <c r="G1011" s="57"/>
      <c r="H1011" s="450" t="s">
        <v>18</v>
      </c>
      <c r="I1011" s="451">
        <v>18.0</v>
      </c>
      <c r="J1011" s="464">
        <v>100.0</v>
      </c>
      <c r="K1011" s="57"/>
      <c r="L1011" s="209"/>
      <c r="M1011" s="210"/>
      <c r="N1011" s="200"/>
    </row>
    <row r="1012" ht="20.25" customHeight="1">
      <c r="A1012" s="235"/>
      <c r="C1012" s="388">
        <v>408.0</v>
      </c>
      <c r="D1012" s="56"/>
      <c r="E1012" s="29"/>
      <c r="F1012" s="29"/>
      <c r="G1012" s="29"/>
      <c r="H1012" s="29"/>
      <c r="I1012" s="314"/>
      <c r="J1012" s="29"/>
      <c r="K1012" s="29"/>
      <c r="L1012" s="216"/>
      <c r="M1012" s="235"/>
      <c r="N1012" s="202"/>
    </row>
    <row r="1013" ht="20.25" customHeight="1">
      <c r="A1013" s="210"/>
      <c r="B1013" s="203"/>
      <c r="C1013" s="58"/>
      <c r="D1013" s="320"/>
      <c r="E1013" s="141"/>
      <c r="F1013" s="141"/>
      <c r="G1013" s="141"/>
      <c r="H1013" s="141"/>
      <c r="I1013" s="319"/>
      <c r="J1013" s="141"/>
      <c r="K1013" s="141"/>
      <c r="L1013" s="218"/>
      <c r="M1013" s="236"/>
      <c r="N1013" s="205"/>
    </row>
    <row r="1014" ht="20.25" customHeight="1">
      <c r="A1014" s="235"/>
      <c r="B1014" s="494" t="s">
        <v>21</v>
      </c>
      <c r="C1014" s="388">
        <v>409.0</v>
      </c>
      <c r="D1014" s="547"/>
      <c r="E1014" s="445" t="s">
        <v>23</v>
      </c>
      <c r="F1014" s="477" t="s">
        <v>401</v>
      </c>
      <c r="G1014" s="445" t="s">
        <v>17</v>
      </c>
      <c r="H1014" s="446" t="s">
        <v>25</v>
      </c>
      <c r="I1014" s="486">
        <v>1.0</v>
      </c>
      <c r="J1014" s="478">
        <v>120.0</v>
      </c>
      <c r="K1014" s="445">
        <f>I1014*J1014+I1015*J1015</f>
        <v>2020</v>
      </c>
      <c r="L1014" s="498">
        <v>25.0</v>
      </c>
      <c r="M1014" s="448">
        <f>(I1014+I1015)*L1014</f>
        <v>500</v>
      </c>
      <c r="N1014" s="449">
        <f>SUM(K1014+M1014)</f>
        <v>2520</v>
      </c>
    </row>
    <row r="1015" ht="20.25" customHeight="1">
      <c r="A1015" s="210"/>
      <c r="C1015" s="58"/>
      <c r="D1015" s="70"/>
      <c r="E1015" s="57"/>
      <c r="F1015" s="57"/>
      <c r="G1015" s="57"/>
      <c r="H1015" s="450" t="s">
        <v>18</v>
      </c>
      <c r="I1015" s="451">
        <v>19.0</v>
      </c>
      <c r="J1015" s="464">
        <v>100.0</v>
      </c>
      <c r="K1015" s="57"/>
      <c r="L1015" s="209"/>
      <c r="M1015" s="210"/>
      <c r="N1015" s="200"/>
    </row>
    <row r="1016" ht="20.25" customHeight="1">
      <c r="A1016" s="235"/>
      <c r="C1016" s="388">
        <v>420.0</v>
      </c>
      <c r="D1016" s="56"/>
      <c r="E1016" s="29"/>
      <c r="F1016" s="29"/>
      <c r="G1016" s="29"/>
      <c r="H1016" s="29"/>
      <c r="I1016" s="314"/>
      <c r="J1016" s="29"/>
      <c r="K1016" s="29"/>
      <c r="L1016" s="216"/>
      <c r="M1016" s="235"/>
      <c r="N1016" s="202"/>
    </row>
    <row r="1017" ht="20.25" customHeight="1">
      <c r="A1017" s="210"/>
      <c r="B1017" s="203"/>
      <c r="C1017" s="58"/>
      <c r="D1017" s="320"/>
      <c r="E1017" s="141"/>
      <c r="F1017" s="141"/>
      <c r="G1017" s="141"/>
      <c r="H1017" s="141"/>
      <c r="I1017" s="319"/>
      <c r="J1017" s="141"/>
      <c r="K1017" s="141"/>
      <c r="L1017" s="218"/>
      <c r="M1017" s="236"/>
      <c r="N1017" s="205"/>
    </row>
    <row r="1018" ht="20.25" customHeight="1">
      <c r="A1018" s="235"/>
      <c r="B1018" s="494" t="s">
        <v>21</v>
      </c>
      <c r="C1018" s="388">
        <v>422.0</v>
      </c>
      <c r="D1018" s="547"/>
      <c r="E1018" s="445" t="s">
        <v>23</v>
      </c>
      <c r="F1018" s="477" t="s">
        <v>402</v>
      </c>
      <c r="G1018" s="445" t="s">
        <v>17</v>
      </c>
      <c r="H1018" s="446" t="s">
        <v>25</v>
      </c>
      <c r="I1018" s="486">
        <v>1.0</v>
      </c>
      <c r="J1018" s="478">
        <v>120.0</v>
      </c>
      <c r="K1018" s="445">
        <f>I1018*J1018+I1019*J1019</f>
        <v>1920</v>
      </c>
      <c r="L1018" s="498">
        <v>25.0</v>
      </c>
      <c r="M1018" s="448">
        <f>(I1018+I1019)*L1018</f>
        <v>475</v>
      </c>
      <c r="N1018" s="449">
        <f>SUM(K1018+M1018)</f>
        <v>2395</v>
      </c>
    </row>
    <row r="1019" ht="20.25" customHeight="1">
      <c r="A1019" s="210"/>
      <c r="C1019" s="58"/>
      <c r="D1019" s="70"/>
      <c r="E1019" s="57"/>
      <c r="F1019" s="57"/>
      <c r="G1019" s="57"/>
      <c r="H1019" s="450" t="s">
        <v>18</v>
      </c>
      <c r="I1019" s="487">
        <v>18.0</v>
      </c>
      <c r="J1019" s="464">
        <v>100.0</v>
      </c>
      <c r="K1019" s="57"/>
      <c r="L1019" s="209"/>
      <c r="M1019" s="210"/>
      <c r="N1019" s="200"/>
    </row>
    <row r="1020" ht="20.25" customHeight="1">
      <c r="A1020" s="235"/>
      <c r="C1020" s="388"/>
      <c r="D1020" s="56"/>
      <c r="E1020" s="29"/>
      <c r="F1020" s="29"/>
      <c r="G1020" s="29"/>
      <c r="H1020" s="29"/>
      <c r="I1020" s="314"/>
      <c r="J1020" s="29"/>
      <c r="K1020" s="29"/>
      <c r="L1020" s="216"/>
      <c r="M1020" s="235"/>
      <c r="N1020" s="202"/>
    </row>
    <row r="1021" ht="20.25" customHeight="1">
      <c r="A1021" s="210"/>
      <c r="B1021" s="203"/>
      <c r="C1021" s="58"/>
      <c r="D1021" s="320"/>
      <c r="E1021" s="141"/>
      <c r="F1021" s="141"/>
      <c r="G1021" s="141"/>
      <c r="H1021" s="141"/>
      <c r="I1021" s="319"/>
      <c r="J1021" s="141"/>
      <c r="K1021" s="141"/>
      <c r="L1021" s="218"/>
      <c r="M1021" s="236"/>
      <c r="N1021" s="205"/>
    </row>
    <row r="1022" ht="20.25" customHeight="1">
      <c r="A1022" s="235"/>
      <c r="B1022" s="494" t="s">
        <v>21</v>
      </c>
      <c r="C1022" s="388">
        <v>409.0</v>
      </c>
      <c r="D1022" s="547"/>
      <c r="E1022" s="445" t="s">
        <v>23</v>
      </c>
      <c r="F1022" s="477" t="s">
        <v>403</v>
      </c>
      <c r="G1022" s="445" t="s">
        <v>17</v>
      </c>
      <c r="H1022" s="446" t="s">
        <v>25</v>
      </c>
      <c r="I1022" s="486">
        <v>1.0</v>
      </c>
      <c r="J1022" s="478">
        <v>120.0</v>
      </c>
      <c r="K1022" s="445">
        <f>I1022*J1022+I1023*J1023</f>
        <v>1720</v>
      </c>
      <c r="L1022" s="498">
        <v>30.0</v>
      </c>
      <c r="M1022" s="448">
        <f>(I1022+I1023)*L1022</f>
        <v>510</v>
      </c>
      <c r="N1022" s="449">
        <f>SUM(K1022+M1022)</f>
        <v>2230</v>
      </c>
    </row>
    <row r="1023" ht="20.25" customHeight="1">
      <c r="A1023" s="210"/>
      <c r="C1023" s="58"/>
      <c r="D1023" s="70"/>
      <c r="E1023" s="57"/>
      <c r="F1023" s="57"/>
      <c r="G1023" s="57"/>
      <c r="H1023" s="450" t="s">
        <v>18</v>
      </c>
      <c r="I1023" s="451">
        <v>16.0</v>
      </c>
      <c r="J1023" s="464">
        <v>100.0</v>
      </c>
      <c r="K1023" s="57"/>
      <c r="L1023" s="209"/>
      <c r="M1023" s="210"/>
      <c r="N1023" s="200"/>
    </row>
    <row r="1024" ht="20.25" customHeight="1">
      <c r="A1024" s="235"/>
      <c r="C1024" s="388">
        <v>410.0</v>
      </c>
      <c r="D1024" s="56"/>
      <c r="E1024" s="29"/>
      <c r="F1024" s="29"/>
      <c r="G1024" s="29"/>
      <c r="H1024" s="29"/>
      <c r="I1024" s="314"/>
      <c r="J1024" s="29"/>
      <c r="K1024" s="29"/>
      <c r="L1024" s="216"/>
      <c r="M1024" s="235"/>
      <c r="N1024" s="202"/>
    </row>
    <row r="1025" ht="20.25" customHeight="1">
      <c r="A1025" s="236"/>
      <c r="B1025" s="203"/>
      <c r="C1025" s="58"/>
      <c r="D1025" s="320"/>
      <c r="E1025" s="141"/>
      <c r="F1025" s="141"/>
      <c r="G1025" s="141"/>
      <c r="H1025" s="141"/>
      <c r="I1025" s="319"/>
      <c r="J1025" s="141"/>
      <c r="K1025" s="141"/>
      <c r="L1025" s="218"/>
      <c r="M1025" s="236"/>
      <c r="N1025" s="205"/>
    </row>
    <row r="1026" ht="20.25" customHeight="1">
      <c r="A1026" s="493">
        <v>46266.0</v>
      </c>
      <c r="B1026" s="494" t="s">
        <v>122</v>
      </c>
      <c r="C1026" s="388">
        <v>407.0</v>
      </c>
      <c r="D1026" s="547"/>
      <c r="E1026" s="445" t="s">
        <v>23</v>
      </c>
      <c r="F1026" s="445" t="s">
        <v>404</v>
      </c>
      <c r="G1026" s="445" t="s">
        <v>17</v>
      </c>
      <c r="H1026" s="446" t="s">
        <v>25</v>
      </c>
      <c r="I1026" s="486">
        <v>1.0</v>
      </c>
      <c r="J1026" s="478">
        <v>120.0</v>
      </c>
      <c r="K1026" s="445">
        <f>I1026*J1026+I1027*J1027</f>
        <v>1720</v>
      </c>
      <c r="L1026" s="498">
        <v>30.0</v>
      </c>
      <c r="M1026" s="448">
        <f>(I1026+I1027)*L1026</f>
        <v>510</v>
      </c>
      <c r="N1026" s="449">
        <f>SUM(K1026+M1026)</f>
        <v>2230</v>
      </c>
    </row>
    <row r="1027" ht="20.25" customHeight="1">
      <c r="A1027" s="210"/>
      <c r="C1027" s="58"/>
      <c r="D1027" s="70"/>
      <c r="E1027" s="57"/>
      <c r="F1027" s="57"/>
      <c r="G1027" s="57"/>
      <c r="H1027" s="450" t="s">
        <v>18</v>
      </c>
      <c r="I1027" s="451">
        <v>16.0</v>
      </c>
      <c r="J1027" s="464">
        <v>100.0</v>
      </c>
      <c r="K1027" s="57"/>
      <c r="L1027" s="209"/>
      <c r="M1027" s="210"/>
      <c r="N1027" s="200"/>
    </row>
    <row r="1028" ht="20.25" customHeight="1">
      <c r="A1028" s="235"/>
      <c r="C1028" s="388">
        <v>408.0</v>
      </c>
      <c r="D1028" s="56"/>
      <c r="E1028" s="29"/>
      <c r="F1028" s="29"/>
      <c r="G1028" s="29"/>
      <c r="H1028" s="29"/>
      <c r="I1028" s="314"/>
      <c r="J1028" s="29"/>
      <c r="K1028" s="29"/>
      <c r="L1028" s="216"/>
      <c r="M1028" s="235"/>
      <c r="N1028" s="202"/>
    </row>
    <row r="1029" ht="20.25" customHeight="1">
      <c r="A1029" s="210"/>
      <c r="B1029" s="203"/>
      <c r="C1029" s="58"/>
      <c r="D1029" s="320"/>
      <c r="E1029" s="141"/>
      <c r="F1029" s="141"/>
      <c r="G1029" s="141"/>
      <c r="H1029" s="141"/>
      <c r="I1029" s="319"/>
      <c r="J1029" s="141"/>
      <c r="K1029" s="141"/>
      <c r="L1029" s="218"/>
      <c r="M1029" s="236"/>
      <c r="N1029" s="205"/>
    </row>
    <row r="1030" ht="20.25" customHeight="1">
      <c r="A1030" s="235"/>
      <c r="B1030" s="494" t="s">
        <v>21</v>
      </c>
      <c r="C1030" s="388">
        <v>409.0</v>
      </c>
      <c r="D1030" s="547"/>
      <c r="E1030" s="445" t="s">
        <v>23</v>
      </c>
      <c r="F1030" s="477" t="s">
        <v>405</v>
      </c>
      <c r="G1030" s="445" t="s">
        <v>17</v>
      </c>
      <c r="H1030" s="446" t="s">
        <v>25</v>
      </c>
      <c r="I1030" s="486">
        <v>1.0</v>
      </c>
      <c r="J1030" s="478">
        <v>120.0</v>
      </c>
      <c r="K1030" s="445">
        <f>I1030*J1030+I1031*J1031</f>
        <v>1920</v>
      </c>
      <c r="L1030" s="498">
        <v>25.0</v>
      </c>
      <c r="M1030" s="448">
        <f>(I1030+I1031)*L1030</f>
        <v>475</v>
      </c>
      <c r="N1030" s="449">
        <f>SUM(K1030+M1030)</f>
        <v>2395</v>
      </c>
    </row>
    <row r="1031" ht="20.25" customHeight="1">
      <c r="A1031" s="210"/>
      <c r="C1031" s="58"/>
      <c r="D1031" s="70"/>
      <c r="E1031" s="57"/>
      <c r="F1031" s="57"/>
      <c r="G1031" s="57"/>
      <c r="H1031" s="450" t="s">
        <v>18</v>
      </c>
      <c r="I1031" s="451">
        <v>18.0</v>
      </c>
      <c r="J1031" s="464">
        <v>100.0</v>
      </c>
      <c r="K1031" s="57"/>
      <c r="L1031" s="209"/>
      <c r="M1031" s="210"/>
      <c r="N1031" s="200"/>
    </row>
    <row r="1032" ht="20.25" customHeight="1">
      <c r="A1032" s="235"/>
      <c r="C1032" s="388">
        <v>420.0</v>
      </c>
      <c r="D1032" s="56"/>
      <c r="E1032" s="29"/>
      <c r="F1032" s="29"/>
      <c r="G1032" s="29"/>
      <c r="H1032" s="29"/>
      <c r="I1032" s="314"/>
      <c r="J1032" s="29"/>
      <c r="K1032" s="29"/>
      <c r="L1032" s="216"/>
      <c r="M1032" s="235"/>
      <c r="N1032" s="202"/>
    </row>
    <row r="1033" ht="20.25" customHeight="1">
      <c r="A1033" s="210"/>
      <c r="B1033" s="203"/>
      <c r="C1033" s="58"/>
      <c r="D1033" s="320"/>
      <c r="E1033" s="141"/>
      <c r="F1033" s="141"/>
      <c r="G1033" s="141"/>
      <c r="H1033" s="141"/>
      <c r="I1033" s="319"/>
      <c r="J1033" s="141"/>
      <c r="K1033" s="141"/>
      <c r="L1033" s="218"/>
      <c r="M1033" s="236"/>
      <c r="N1033" s="205"/>
    </row>
    <row r="1034" ht="20.25" customHeight="1">
      <c r="A1034" s="235"/>
      <c r="B1034" s="494" t="s">
        <v>21</v>
      </c>
      <c r="C1034" s="388">
        <v>422.0</v>
      </c>
      <c r="D1034" s="547"/>
      <c r="E1034" s="445" t="s">
        <v>23</v>
      </c>
      <c r="F1034" s="477" t="s">
        <v>406</v>
      </c>
      <c r="G1034" s="445" t="s">
        <v>17</v>
      </c>
      <c r="H1034" s="446" t="s">
        <v>25</v>
      </c>
      <c r="I1034" s="486">
        <v>1.0</v>
      </c>
      <c r="J1034" s="478">
        <v>120.0</v>
      </c>
      <c r="K1034" s="445">
        <f>I1034*J1034+I1035*J1035</f>
        <v>1820</v>
      </c>
      <c r="L1034" s="498">
        <v>25.0</v>
      </c>
      <c r="M1034" s="448">
        <f>(I1034+I1035)*L1034</f>
        <v>450</v>
      </c>
      <c r="N1034" s="449">
        <f>SUM(K1034+M1034)</f>
        <v>2270</v>
      </c>
    </row>
    <row r="1035" ht="20.25" customHeight="1">
      <c r="A1035" s="210"/>
      <c r="C1035" s="58"/>
      <c r="D1035" s="70"/>
      <c r="E1035" s="57"/>
      <c r="F1035" s="57"/>
      <c r="G1035" s="57"/>
      <c r="H1035" s="450" t="s">
        <v>18</v>
      </c>
      <c r="I1035" s="487">
        <v>17.0</v>
      </c>
      <c r="J1035" s="464">
        <v>100.0</v>
      </c>
      <c r="K1035" s="57"/>
      <c r="L1035" s="209"/>
      <c r="M1035" s="210"/>
      <c r="N1035" s="200"/>
    </row>
    <row r="1036" ht="20.25" customHeight="1">
      <c r="A1036" s="235"/>
      <c r="C1036" s="388"/>
      <c r="D1036" s="56"/>
      <c r="E1036" s="29"/>
      <c r="F1036" s="29"/>
      <c r="G1036" s="29"/>
      <c r="H1036" s="29"/>
      <c r="I1036" s="314"/>
      <c r="J1036" s="29"/>
      <c r="K1036" s="29"/>
      <c r="L1036" s="216"/>
      <c r="M1036" s="235"/>
      <c r="N1036" s="202"/>
    </row>
    <row r="1037" ht="20.25" customHeight="1">
      <c r="A1037" s="210"/>
      <c r="B1037" s="203"/>
      <c r="C1037" s="58"/>
      <c r="D1037" s="320"/>
      <c r="E1037" s="141"/>
      <c r="F1037" s="141"/>
      <c r="G1037" s="141"/>
      <c r="H1037" s="141"/>
      <c r="I1037" s="319"/>
      <c r="J1037" s="141"/>
      <c r="K1037" s="141"/>
      <c r="L1037" s="218"/>
      <c r="M1037" s="236"/>
      <c r="N1037" s="205"/>
    </row>
    <row r="1038" ht="20.25" customHeight="1">
      <c r="A1038" s="235"/>
      <c r="B1038" s="494" t="s">
        <v>21</v>
      </c>
      <c r="C1038" s="388">
        <v>409.0</v>
      </c>
      <c r="D1038" s="547"/>
      <c r="E1038" s="445" t="s">
        <v>23</v>
      </c>
      <c r="F1038" s="477" t="s">
        <v>407</v>
      </c>
      <c r="G1038" s="445" t="s">
        <v>17</v>
      </c>
      <c r="H1038" s="446" t="s">
        <v>25</v>
      </c>
      <c r="I1038" s="486">
        <v>1.0</v>
      </c>
      <c r="J1038" s="478">
        <v>120.0</v>
      </c>
      <c r="K1038" s="445">
        <f>I1038*J1038+I1039*J1039</f>
        <v>1820</v>
      </c>
      <c r="L1038" s="498">
        <v>30.0</v>
      </c>
      <c r="M1038" s="448">
        <f>(I1038+I1039)*L1038</f>
        <v>540</v>
      </c>
      <c r="N1038" s="449">
        <f>SUM(K1038+M1038)</f>
        <v>2360</v>
      </c>
    </row>
    <row r="1039" ht="20.25" customHeight="1">
      <c r="A1039" s="210"/>
      <c r="C1039" s="58"/>
      <c r="D1039" s="70"/>
      <c r="E1039" s="57"/>
      <c r="F1039" s="57"/>
      <c r="G1039" s="57"/>
      <c r="H1039" s="450" t="s">
        <v>18</v>
      </c>
      <c r="I1039" s="451">
        <v>17.0</v>
      </c>
      <c r="J1039" s="464">
        <v>100.0</v>
      </c>
      <c r="K1039" s="57"/>
      <c r="L1039" s="209"/>
      <c r="M1039" s="210"/>
      <c r="N1039" s="200"/>
    </row>
    <row r="1040" ht="20.25" customHeight="1">
      <c r="A1040" s="235"/>
      <c r="C1040" s="388">
        <v>410.0</v>
      </c>
      <c r="D1040" s="56"/>
      <c r="E1040" s="29"/>
      <c r="F1040" s="29"/>
      <c r="G1040" s="29"/>
      <c r="H1040" s="29"/>
      <c r="I1040" s="314"/>
      <c r="J1040" s="29"/>
      <c r="K1040" s="29"/>
      <c r="L1040" s="216"/>
      <c r="M1040" s="235"/>
      <c r="N1040" s="202"/>
    </row>
    <row r="1041" ht="20.25" customHeight="1">
      <c r="A1041" s="236"/>
      <c r="B1041" s="203"/>
      <c r="C1041" s="58"/>
      <c r="D1041" s="320"/>
      <c r="E1041" s="141"/>
      <c r="F1041" s="141"/>
      <c r="G1041" s="141"/>
      <c r="H1041" s="141"/>
      <c r="I1041" s="319"/>
      <c r="J1041" s="141"/>
      <c r="K1041" s="141"/>
      <c r="L1041" s="218"/>
      <c r="M1041" s="236"/>
      <c r="N1041" s="205"/>
    </row>
    <row r="1042" ht="20.25" customHeight="1">
      <c r="A1042" s="493">
        <v>46267.0</v>
      </c>
      <c r="B1042" s="494" t="s">
        <v>40</v>
      </c>
      <c r="C1042" s="388">
        <v>420.0</v>
      </c>
      <c r="D1042" s="547"/>
      <c r="E1042" s="445" t="s">
        <v>23</v>
      </c>
      <c r="F1042" s="445" t="s">
        <v>408</v>
      </c>
      <c r="G1042" s="445" t="s">
        <v>17</v>
      </c>
      <c r="H1042" s="446" t="s">
        <v>25</v>
      </c>
      <c r="I1042" s="486">
        <v>1.0</v>
      </c>
      <c r="J1042" s="478">
        <v>120.0</v>
      </c>
      <c r="K1042" s="445">
        <f>I1042*J1042+I1043*J1043</f>
        <v>1720</v>
      </c>
      <c r="L1042" s="498">
        <v>30.0</v>
      </c>
      <c r="M1042" s="448">
        <f>(I1042+I1043)*L1042</f>
        <v>510</v>
      </c>
      <c r="N1042" s="449">
        <f>SUM(K1042+M1042)</f>
        <v>2230</v>
      </c>
    </row>
    <row r="1043" ht="20.25" customHeight="1">
      <c r="A1043" s="210"/>
      <c r="C1043" s="58"/>
      <c r="D1043" s="70"/>
      <c r="E1043" s="57"/>
      <c r="F1043" s="57"/>
      <c r="G1043" s="57"/>
      <c r="H1043" s="450" t="s">
        <v>18</v>
      </c>
      <c r="I1043" s="451">
        <v>16.0</v>
      </c>
      <c r="J1043" s="464">
        <v>100.0</v>
      </c>
      <c r="K1043" s="57"/>
      <c r="L1043" s="209"/>
      <c r="M1043" s="210"/>
      <c r="N1043" s="200"/>
    </row>
    <row r="1044" ht="20.25" customHeight="1">
      <c r="A1044" s="235"/>
      <c r="C1044" s="388">
        <v>421.0</v>
      </c>
      <c r="D1044" s="56"/>
      <c r="E1044" s="29"/>
      <c r="F1044" s="29"/>
      <c r="G1044" s="29"/>
      <c r="H1044" s="29"/>
      <c r="I1044" s="314"/>
      <c r="J1044" s="29"/>
      <c r="K1044" s="29"/>
      <c r="L1044" s="216"/>
      <c r="M1044" s="235"/>
      <c r="N1044" s="202"/>
    </row>
    <row r="1045" ht="20.25" customHeight="1">
      <c r="A1045" s="210"/>
      <c r="B1045" s="203"/>
      <c r="C1045" s="58"/>
      <c r="D1045" s="320"/>
      <c r="E1045" s="141"/>
      <c r="F1045" s="141"/>
      <c r="G1045" s="141"/>
      <c r="H1045" s="141"/>
      <c r="I1045" s="319"/>
      <c r="J1045" s="141"/>
      <c r="K1045" s="141"/>
      <c r="L1045" s="218"/>
      <c r="M1045" s="236"/>
      <c r="N1045" s="205"/>
    </row>
    <row r="1046" ht="20.25" customHeight="1">
      <c r="A1046" s="235"/>
      <c r="B1046" s="494" t="s">
        <v>21</v>
      </c>
      <c r="C1046" s="388">
        <v>410.0</v>
      </c>
      <c r="D1046" s="547"/>
      <c r="E1046" s="445" t="s">
        <v>23</v>
      </c>
      <c r="F1046" s="477" t="s">
        <v>409</v>
      </c>
      <c r="G1046" s="445" t="s">
        <v>17</v>
      </c>
      <c r="H1046" s="446" t="s">
        <v>25</v>
      </c>
      <c r="I1046" s="486">
        <v>0.0</v>
      </c>
      <c r="J1046" s="478">
        <v>120.0</v>
      </c>
      <c r="K1046" s="445">
        <f>I1046*J1046+I1047*J1047</f>
        <v>1700</v>
      </c>
      <c r="L1046" s="498">
        <v>25.0</v>
      </c>
      <c r="M1046" s="448">
        <f>(I1046+I1047)*L1046</f>
        <v>425</v>
      </c>
      <c r="N1046" s="449">
        <f>SUM(K1046+M1046)</f>
        <v>2125</v>
      </c>
    </row>
    <row r="1047" ht="20.25" customHeight="1">
      <c r="A1047" s="210"/>
      <c r="C1047" s="58"/>
      <c r="D1047" s="70"/>
      <c r="E1047" s="57"/>
      <c r="F1047" s="57"/>
      <c r="G1047" s="57"/>
      <c r="H1047" s="450" t="s">
        <v>18</v>
      </c>
      <c r="I1047" s="451">
        <v>17.0</v>
      </c>
      <c r="J1047" s="464">
        <v>100.0</v>
      </c>
      <c r="K1047" s="57"/>
      <c r="L1047" s="209"/>
      <c r="M1047" s="210"/>
      <c r="N1047" s="200"/>
    </row>
    <row r="1048" ht="20.25" customHeight="1">
      <c r="A1048" s="235"/>
      <c r="C1048" s="388"/>
      <c r="D1048" s="56"/>
      <c r="E1048" s="29"/>
      <c r="F1048" s="29"/>
      <c r="G1048" s="29"/>
      <c r="H1048" s="29"/>
      <c r="I1048" s="314"/>
      <c r="J1048" s="29"/>
      <c r="K1048" s="29"/>
      <c r="L1048" s="216"/>
      <c r="M1048" s="235"/>
      <c r="N1048" s="202"/>
    </row>
    <row r="1049" ht="20.25" customHeight="1">
      <c r="A1049" s="210"/>
      <c r="B1049" s="203"/>
      <c r="C1049" s="58"/>
      <c r="D1049" s="320"/>
      <c r="E1049" s="141"/>
      <c r="F1049" s="141"/>
      <c r="G1049" s="141"/>
      <c r="H1049" s="141"/>
      <c r="I1049" s="319"/>
      <c r="J1049" s="141"/>
      <c r="K1049" s="141"/>
      <c r="L1049" s="218"/>
      <c r="M1049" s="236"/>
      <c r="N1049" s="205"/>
    </row>
    <row r="1050" ht="20.25" customHeight="1">
      <c r="A1050" s="235"/>
      <c r="B1050" s="494" t="s">
        <v>21</v>
      </c>
      <c r="C1050" s="388">
        <v>428.0</v>
      </c>
      <c r="D1050" s="547"/>
      <c r="E1050" s="445" t="s">
        <v>23</v>
      </c>
      <c r="F1050" s="477" t="s">
        <v>410</v>
      </c>
      <c r="G1050" s="445" t="s">
        <v>17</v>
      </c>
      <c r="H1050" s="446" t="s">
        <v>25</v>
      </c>
      <c r="I1050" s="486">
        <v>1.0</v>
      </c>
      <c r="J1050" s="478">
        <v>120.0</v>
      </c>
      <c r="K1050" s="445">
        <f>I1050*J1050+I1051*J1051</f>
        <v>1920</v>
      </c>
      <c r="L1050" s="498">
        <v>25.0</v>
      </c>
      <c r="M1050" s="448">
        <f>(I1050+I1051)*L1050</f>
        <v>475</v>
      </c>
      <c r="N1050" s="449">
        <f>SUM(K1050+M1050)</f>
        <v>2395</v>
      </c>
    </row>
    <row r="1051" ht="20.25" customHeight="1">
      <c r="A1051" s="210"/>
      <c r="C1051" s="58"/>
      <c r="D1051" s="70"/>
      <c r="E1051" s="57"/>
      <c r="F1051" s="57"/>
      <c r="G1051" s="57"/>
      <c r="H1051" s="450" t="s">
        <v>18</v>
      </c>
      <c r="I1051" s="487">
        <v>18.0</v>
      </c>
      <c r="J1051" s="464">
        <v>100.0</v>
      </c>
      <c r="K1051" s="57"/>
      <c r="L1051" s="209"/>
      <c r="M1051" s="210"/>
      <c r="N1051" s="200"/>
    </row>
    <row r="1052" ht="20.25" customHeight="1">
      <c r="A1052" s="235"/>
      <c r="C1052" s="388">
        <v>427.0</v>
      </c>
      <c r="D1052" s="56"/>
      <c r="E1052" s="29"/>
      <c r="F1052" s="29"/>
      <c r="G1052" s="29"/>
      <c r="H1052" s="29"/>
      <c r="I1052" s="314"/>
      <c r="J1052" s="29"/>
      <c r="K1052" s="29"/>
      <c r="L1052" s="216"/>
      <c r="M1052" s="235"/>
      <c r="N1052" s="202"/>
    </row>
    <row r="1053" ht="20.25" customHeight="1">
      <c r="A1053" s="210"/>
      <c r="B1053" s="203"/>
      <c r="C1053" s="58"/>
      <c r="D1053" s="320"/>
      <c r="E1053" s="141"/>
      <c r="F1053" s="141"/>
      <c r="G1053" s="141"/>
      <c r="H1053" s="141"/>
      <c r="I1053" s="319"/>
      <c r="J1053" s="141"/>
      <c r="K1053" s="141"/>
      <c r="L1053" s="218"/>
      <c r="M1053" s="236"/>
      <c r="N1053" s="205"/>
    </row>
    <row r="1054" ht="20.25" customHeight="1">
      <c r="A1054" s="235"/>
      <c r="B1054" s="494" t="s">
        <v>21</v>
      </c>
      <c r="C1054" s="388">
        <v>411.0</v>
      </c>
      <c r="D1054" s="547"/>
      <c r="E1054" s="445" t="s">
        <v>23</v>
      </c>
      <c r="F1054" s="477" t="s">
        <v>411</v>
      </c>
      <c r="G1054" s="445" t="s">
        <v>17</v>
      </c>
      <c r="H1054" s="446" t="s">
        <v>25</v>
      </c>
      <c r="I1054" s="486">
        <v>1.0</v>
      </c>
      <c r="J1054" s="478">
        <v>120.0</v>
      </c>
      <c r="K1054" s="445">
        <f>I1054*J1054+I1055*J1055</f>
        <v>1620</v>
      </c>
      <c r="L1054" s="498">
        <v>30.0</v>
      </c>
      <c r="M1054" s="448">
        <f>(I1054+I1055)*L1054</f>
        <v>480</v>
      </c>
      <c r="N1054" s="449">
        <f>SUM(K1054+M1054)</f>
        <v>2100</v>
      </c>
    </row>
    <row r="1055" ht="20.25" customHeight="1">
      <c r="A1055" s="210"/>
      <c r="C1055" s="58"/>
      <c r="D1055" s="70"/>
      <c r="E1055" s="57"/>
      <c r="F1055" s="57"/>
      <c r="G1055" s="57"/>
      <c r="H1055" s="450" t="s">
        <v>18</v>
      </c>
      <c r="I1055" s="451">
        <v>15.0</v>
      </c>
      <c r="J1055" s="464">
        <v>100.0</v>
      </c>
      <c r="K1055" s="57"/>
      <c r="L1055" s="209"/>
      <c r="M1055" s="210"/>
      <c r="N1055" s="200"/>
    </row>
    <row r="1056" ht="20.25" customHeight="1">
      <c r="A1056" s="235"/>
      <c r="C1056" s="388"/>
      <c r="D1056" s="56"/>
      <c r="E1056" s="29"/>
      <c r="F1056" s="29"/>
      <c r="G1056" s="29"/>
      <c r="H1056" s="29"/>
      <c r="I1056" s="314"/>
      <c r="J1056" s="29"/>
      <c r="K1056" s="29"/>
      <c r="L1056" s="216"/>
      <c r="M1056" s="235"/>
      <c r="N1056" s="202"/>
    </row>
    <row r="1057" ht="20.25" customHeight="1">
      <c r="A1057" s="236"/>
      <c r="B1057" s="203"/>
      <c r="C1057" s="58"/>
      <c r="D1057" s="320"/>
      <c r="E1057" s="141"/>
      <c r="F1057" s="141"/>
      <c r="G1057" s="141"/>
      <c r="H1057" s="141"/>
      <c r="I1057" s="319"/>
      <c r="J1057" s="141"/>
      <c r="K1057" s="141"/>
      <c r="L1057" s="218"/>
      <c r="M1057" s="236"/>
      <c r="N1057" s="205"/>
    </row>
    <row r="1058" ht="20.25" customHeight="1">
      <c r="A1058" s="493">
        <v>46268.0</v>
      </c>
      <c r="B1058" s="494" t="s">
        <v>45</v>
      </c>
      <c r="C1058" s="388"/>
      <c r="D1058" s="547"/>
      <c r="E1058" s="445" t="s">
        <v>23</v>
      </c>
      <c r="F1058" s="445" t="s">
        <v>412</v>
      </c>
      <c r="G1058" s="445" t="s">
        <v>17</v>
      </c>
      <c r="H1058" s="446" t="s">
        <v>25</v>
      </c>
      <c r="I1058" s="486">
        <v>1.0</v>
      </c>
      <c r="J1058" s="478">
        <v>120.0</v>
      </c>
      <c r="K1058" s="445">
        <f>I1058*J1058+I1059*J1059</f>
        <v>2020</v>
      </c>
      <c r="L1058" s="498">
        <v>30.0</v>
      </c>
      <c r="M1058" s="448">
        <f>(I1058+I1059)*L1058</f>
        <v>600</v>
      </c>
      <c r="N1058" s="449">
        <f>SUM(K1058+M1058)</f>
        <v>2620</v>
      </c>
    </row>
    <row r="1059" ht="20.25" customHeight="1">
      <c r="A1059" s="210"/>
      <c r="C1059" s="58"/>
      <c r="D1059" s="70"/>
      <c r="E1059" s="57"/>
      <c r="F1059" s="57"/>
      <c r="G1059" s="57"/>
      <c r="H1059" s="450" t="s">
        <v>18</v>
      </c>
      <c r="I1059" s="451">
        <v>19.0</v>
      </c>
      <c r="J1059" s="464">
        <v>100.0</v>
      </c>
      <c r="K1059" s="57"/>
      <c r="L1059" s="209"/>
      <c r="M1059" s="210"/>
      <c r="N1059" s="200"/>
    </row>
    <row r="1060" ht="20.25" customHeight="1">
      <c r="A1060" s="235"/>
      <c r="C1060" s="388"/>
      <c r="D1060" s="56"/>
      <c r="E1060" s="29"/>
      <c r="F1060" s="29"/>
      <c r="G1060" s="29"/>
      <c r="H1060" s="29"/>
      <c r="I1060" s="314"/>
      <c r="J1060" s="29"/>
      <c r="K1060" s="29"/>
      <c r="L1060" s="216"/>
      <c r="M1060" s="235"/>
      <c r="N1060" s="202"/>
    </row>
    <row r="1061" ht="20.25" customHeight="1">
      <c r="A1061" s="210"/>
      <c r="B1061" s="203"/>
      <c r="C1061" s="58"/>
      <c r="D1061" s="320"/>
      <c r="E1061" s="141"/>
      <c r="F1061" s="141"/>
      <c r="G1061" s="141"/>
      <c r="H1061" s="141"/>
      <c r="I1061" s="319"/>
      <c r="J1061" s="141"/>
      <c r="K1061" s="141"/>
      <c r="L1061" s="218"/>
      <c r="M1061" s="236"/>
      <c r="N1061" s="205"/>
    </row>
    <row r="1062" ht="20.25" customHeight="1">
      <c r="A1062" s="235"/>
      <c r="B1062" s="494" t="s">
        <v>21</v>
      </c>
      <c r="C1062" s="388"/>
      <c r="D1062" s="547"/>
      <c r="E1062" s="445" t="s">
        <v>23</v>
      </c>
      <c r="F1062" s="477" t="s">
        <v>413</v>
      </c>
      <c r="G1062" s="445" t="s">
        <v>17</v>
      </c>
      <c r="H1062" s="446" t="s">
        <v>25</v>
      </c>
      <c r="I1062" s="486">
        <v>1.0</v>
      </c>
      <c r="J1062" s="478">
        <v>120.0</v>
      </c>
      <c r="K1062" s="445">
        <f>I1062*J1062+I1063*J1063</f>
        <v>2020</v>
      </c>
      <c r="L1062" s="498">
        <v>25.0</v>
      </c>
      <c r="M1062" s="448">
        <f>(I1062+I1063)*L1062</f>
        <v>500</v>
      </c>
      <c r="N1062" s="449">
        <f>SUM(K1062+M1062)</f>
        <v>2520</v>
      </c>
    </row>
    <row r="1063" ht="20.25" customHeight="1">
      <c r="A1063" s="210"/>
      <c r="C1063" s="58"/>
      <c r="D1063" s="70"/>
      <c r="E1063" s="57"/>
      <c r="F1063" s="57"/>
      <c r="G1063" s="57"/>
      <c r="H1063" s="450" t="s">
        <v>18</v>
      </c>
      <c r="I1063" s="451">
        <v>19.0</v>
      </c>
      <c r="J1063" s="464">
        <v>100.0</v>
      </c>
      <c r="K1063" s="57"/>
      <c r="L1063" s="209"/>
      <c r="M1063" s="210"/>
      <c r="N1063" s="200"/>
    </row>
    <row r="1064" ht="20.25" customHeight="1">
      <c r="A1064" s="235"/>
      <c r="C1064" s="388"/>
      <c r="D1064" s="56"/>
      <c r="E1064" s="29"/>
      <c r="F1064" s="29"/>
      <c r="G1064" s="29"/>
      <c r="H1064" s="29"/>
      <c r="I1064" s="314"/>
      <c r="J1064" s="29"/>
      <c r="K1064" s="29"/>
      <c r="L1064" s="216"/>
      <c r="M1064" s="235"/>
      <c r="N1064" s="202"/>
    </row>
    <row r="1065" ht="20.25" customHeight="1">
      <c r="A1065" s="210"/>
      <c r="B1065" s="203"/>
      <c r="C1065" s="58"/>
      <c r="D1065" s="320"/>
      <c r="E1065" s="141"/>
      <c r="F1065" s="141"/>
      <c r="G1065" s="141"/>
      <c r="H1065" s="141"/>
      <c r="I1065" s="319"/>
      <c r="J1065" s="141"/>
      <c r="K1065" s="141"/>
      <c r="L1065" s="218"/>
      <c r="M1065" s="236"/>
      <c r="N1065" s="205"/>
    </row>
    <row r="1066" ht="20.25" customHeight="1">
      <c r="A1066" s="235"/>
      <c r="B1066" s="494" t="s">
        <v>21</v>
      </c>
      <c r="C1066" s="388"/>
      <c r="D1066" s="547"/>
      <c r="E1066" s="445" t="s">
        <v>23</v>
      </c>
      <c r="F1066" s="477" t="s">
        <v>414</v>
      </c>
      <c r="G1066" s="445" t="s">
        <v>17</v>
      </c>
      <c r="H1066" s="446" t="s">
        <v>25</v>
      </c>
      <c r="I1066" s="486">
        <v>1.0</v>
      </c>
      <c r="J1066" s="478">
        <v>120.0</v>
      </c>
      <c r="K1066" s="445">
        <f>I1066*J1066+I1067*J1067</f>
        <v>1920</v>
      </c>
      <c r="L1066" s="498">
        <v>25.0</v>
      </c>
      <c r="M1066" s="448">
        <f>(I1066+I1067)*L1066</f>
        <v>475</v>
      </c>
      <c r="N1066" s="449">
        <f>SUM(K1066+M1066)</f>
        <v>2395</v>
      </c>
    </row>
    <row r="1067" ht="20.25" customHeight="1">
      <c r="A1067" s="210"/>
      <c r="C1067" s="58"/>
      <c r="D1067" s="70"/>
      <c r="E1067" s="57"/>
      <c r="F1067" s="57"/>
      <c r="G1067" s="57"/>
      <c r="H1067" s="450" t="s">
        <v>18</v>
      </c>
      <c r="I1067" s="487">
        <v>18.0</v>
      </c>
      <c r="J1067" s="464">
        <v>100.0</v>
      </c>
      <c r="K1067" s="57"/>
      <c r="L1067" s="209"/>
      <c r="M1067" s="210"/>
      <c r="N1067" s="200"/>
    </row>
    <row r="1068" ht="20.25" customHeight="1">
      <c r="A1068" s="235"/>
      <c r="C1068" s="388"/>
      <c r="D1068" s="56"/>
      <c r="E1068" s="29"/>
      <c r="F1068" s="29"/>
      <c r="G1068" s="29"/>
      <c r="H1068" s="29"/>
      <c r="I1068" s="314"/>
      <c r="J1068" s="29"/>
      <c r="K1068" s="29"/>
      <c r="L1068" s="216"/>
      <c r="M1068" s="235"/>
      <c r="N1068" s="202"/>
    </row>
    <row r="1069" ht="20.25" customHeight="1">
      <c r="A1069" s="210"/>
      <c r="B1069" s="203"/>
      <c r="C1069" s="58"/>
      <c r="D1069" s="320"/>
      <c r="E1069" s="141"/>
      <c r="F1069" s="141"/>
      <c r="G1069" s="141"/>
      <c r="H1069" s="141"/>
      <c r="I1069" s="319"/>
      <c r="J1069" s="141"/>
      <c r="K1069" s="141"/>
      <c r="L1069" s="218"/>
      <c r="M1069" s="236"/>
      <c r="N1069" s="205"/>
    </row>
    <row r="1070" ht="20.25" customHeight="1">
      <c r="A1070" s="235"/>
      <c r="B1070" s="494" t="s">
        <v>21</v>
      </c>
      <c r="C1070" s="388"/>
      <c r="D1070" s="547"/>
      <c r="E1070" s="445" t="s">
        <v>23</v>
      </c>
      <c r="F1070" s="477" t="s">
        <v>415</v>
      </c>
      <c r="G1070" s="445" t="s">
        <v>17</v>
      </c>
      <c r="H1070" s="446" t="s">
        <v>25</v>
      </c>
      <c r="I1070" s="486">
        <v>1.0</v>
      </c>
      <c r="J1070" s="478">
        <v>120.0</v>
      </c>
      <c r="K1070" s="445">
        <f>I1070*J1070+I1071*J1071</f>
        <v>1720</v>
      </c>
      <c r="L1070" s="498">
        <v>30.0</v>
      </c>
      <c r="M1070" s="448">
        <f>(I1070+I1071)*L1070</f>
        <v>510</v>
      </c>
      <c r="N1070" s="449">
        <f>SUM(K1070+M1070)</f>
        <v>2230</v>
      </c>
    </row>
    <row r="1071" ht="20.25" customHeight="1">
      <c r="A1071" s="210"/>
      <c r="C1071" s="58"/>
      <c r="D1071" s="70"/>
      <c r="E1071" s="57"/>
      <c r="F1071" s="57"/>
      <c r="G1071" s="57"/>
      <c r="H1071" s="450" t="s">
        <v>18</v>
      </c>
      <c r="I1071" s="451">
        <v>16.0</v>
      </c>
      <c r="J1071" s="464">
        <v>100.0</v>
      </c>
      <c r="K1071" s="57"/>
      <c r="L1071" s="209"/>
      <c r="M1071" s="210"/>
      <c r="N1071" s="200"/>
    </row>
    <row r="1072" ht="20.25" customHeight="1">
      <c r="A1072" s="235"/>
      <c r="C1072" s="388"/>
      <c r="D1072" s="56"/>
      <c r="E1072" s="29"/>
      <c r="F1072" s="29"/>
      <c r="G1072" s="29"/>
      <c r="H1072" s="29"/>
      <c r="I1072" s="314"/>
      <c r="J1072" s="29"/>
      <c r="K1072" s="29"/>
      <c r="L1072" s="216"/>
      <c r="M1072" s="235"/>
      <c r="N1072" s="202"/>
    </row>
    <row r="1073" ht="20.25" customHeight="1">
      <c r="A1073" s="236"/>
      <c r="B1073" s="203"/>
      <c r="C1073" s="58"/>
      <c r="D1073" s="320"/>
      <c r="E1073" s="141"/>
      <c r="F1073" s="141"/>
      <c r="G1073" s="141"/>
      <c r="H1073" s="141"/>
      <c r="I1073" s="319"/>
      <c r="J1073" s="141"/>
      <c r="K1073" s="141"/>
      <c r="L1073" s="218"/>
      <c r="M1073" s="236"/>
      <c r="N1073" s="205"/>
    </row>
    <row r="1074" ht="20.25" customHeight="1">
      <c r="A1074" s="493">
        <v>46269.0</v>
      </c>
      <c r="B1074" s="494" t="s">
        <v>21</v>
      </c>
      <c r="C1074" s="388"/>
      <c r="D1074" s="547"/>
      <c r="E1074" s="445" t="s">
        <v>23</v>
      </c>
      <c r="F1074" s="445" t="s">
        <v>416</v>
      </c>
      <c r="G1074" s="445" t="s">
        <v>17</v>
      </c>
      <c r="H1074" s="446" t="s">
        <v>25</v>
      </c>
      <c r="I1074" s="486">
        <v>1.0</v>
      </c>
      <c r="J1074" s="478">
        <v>120.0</v>
      </c>
      <c r="K1074" s="445">
        <f>I1074*J1074+I1075*J1075</f>
        <v>2020</v>
      </c>
      <c r="L1074" s="498">
        <v>30.0</v>
      </c>
      <c r="M1074" s="448">
        <f>(I1074+I1075)*L1074</f>
        <v>600</v>
      </c>
      <c r="N1074" s="449">
        <f>SUM(K1074+M1074)</f>
        <v>2620</v>
      </c>
    </row>
    <row r="1075" ht="20.25" customHeight="1">
      <c r="A1075" s="210"/>
      <c r="C1075" s="58"/>
      <c r="D1075" s="70"/>
      <c r="E1075" s="57"/>
      <c r="F1075" s="57"/>
      <c r="G1075" s="57"/>
      <c r="H1075" s="450" t="s">
        <v>18</v>
      </c>
      <c r="I1075" s="451">
        <v>19.0</v>
      </c>
      <c r="J1075" s="464">
        <v>100.0</v>
      </c>
      <c r="K1075" s="57"/>
      <c r="L1075" s="209"/>
      <c r="M1075" s="210"/>
      <c r="N1075" s="200"/>
    </row>
    <row r="1076" ht="20.25" customHeight="1">
      <c r="A1076" s="235"/>
      <c r="C1076" s="388"/>
      <c r="D1076" s="56"/>
      <c r="E1076" s="29"/>
      <c r="F1076" s="29"/>
      <c r="G1076" s="29"/>
      <c r="H1076" s="29"/>
      <c r="I1076" s="314"/>
      <c r="J1076" s="29"/>
      <c r="K1076" s="29"/>
      <c r="L1076" s="216"/>
      <c r="M1076" s="235"/>
      <c r="N1076" s="202"/>
    </row>
    <row r="1077" ht="20.25" customHeight="1">
      <c r="A1077" s="210"/>
      <c r="B1077" s="203"/>
      <c r="C1077" s="58"/>
      <c r="D1077" s="320"/>
      <c r="E1077" s="141"/>
      <c r="F1077" s="141"/>
      <c r="G1077" s="141"/>
      <c r="H1077" s="141"/>
      <c r="I1077" s="319"/>
      <c r="J1077" s="141"/>
      <c r="K1077" s="141"/>
      <c r="L1077" s="218"/>
      <c r="M1077" s="236"/>
      <c r="N1077" s="205"/>
    </row>
    <row r="1078" ht="20.25" customHeight="1">
      <c r="A1078" s="235"/>
      <c r="B1078" s="494" t="s">
        <v>21</v>
      </c>
      <c r="C1078" s="388"/>
      <c r="D1078" s="547"/>
      <c r="E1078" s="445" t="s">
        <v>23</v>
      </c>
      <c r="F1078" s="477" t="s">
        <v>417</v>
      </c>
      <c r="G1078" s="445" t="s">
        <v>17</v>
      </c>
      <c r="H1078" s="446" t="s">
        <v>25</v>
      </c>
      <c r="I1078" s="486">
        <v>1.0</v>
      </c>
      <c r="J1078" s="478">
        <v>120.0</v>
      </c>
      <c r="K1078" s="445">
        <f>I1078*J1078+I1079*J1079</f>
        <v>1920</v>
      </c>
      <c r="L1078" s="498">
        <v>25.0</v>
      </c>
      <c r="M1078" s="448">
        <f>(I1078+I1079)*L1078</f>
        <v>475</v>
      </c>
      <c r="N1078" s="449">
        <f>SUM(K1078+M1078)</f>
        <v>2395</v>
      </c>
    </row>
    <row r="1079" ht="20.25" customHeight="1">
      <c r="A1079" s="210"/>
      <c r="C1079" s="58"/>
      <c r="D1079" s="70"/>
      <c r="E1079" s="57"/>
      <c r="F1079" s="57"/>
      <c r="G1079" s="57"/>
      <c r="H1079" s="450" t="s">
        <v>18</v>
      </c>
      <c r="I1079" s="451">
        <v>18.0</v>
      </c>
      <c r="J1079" s="464">
        <v>100.0</v>
      </c>
      <c r="K1079" s="57"/>
      <c r="L1079" s="209"/>
      <c r="M1079" s="210"/>
      <c r="N1079" s="200"/>
    </row>
    <row r="1080" ht="20.25" customHeight="1">
      <c r="A1080" s="235"/>
      <c r="C1080" s="388"/>
      <c r="D1080" s="56"/>
      <c r="E1080" s="29"/>
      <c r="F1080" s="29"/>
      <c r="G1080" s="29"/>
      <c r="H1080" s="29"/>
      <c r="I1080" s="314"/>
      <c r="J1080" s="29"/>
      <c r="K1080" s="29"/>
      <c r="L1080" s="216"/>
      <c r="M1080" s="235"/>
      <c r="N1080" s="202"/>
    </row>
    <row r="1081" ht="20.25" customHeight="1">
      <c r="A1081" s="210"/>
      <c r="B1081" s="203"/>
      <c r="C1081" s="58"/>
      <c r="D1081" s="320"/>
      <c r="E1081" s="141"/>
      <c r="F1081" s="141"/>
      <c r="G1081" s="141"/>
      <c r="H1081" s="141"/>
      <c r="I1081" s="319"/>
      <c r="J1081" s="141"/>
      <c r="K1081" s="141"/>
      <c r="L1081" s="218"/>
      <c r="M1081" s="236"/>
      <c r="N1081" s="205"/>
    </row>
    <row r="1082" ht="20.25" customHeight="1">
      <c r="A1082" s="235"/>
      <c r="B1082" s="494" t="s">
        <v>21</v>
      </c>
      <c r="C1082" s="388"/>
      <c r="D1082" s="547"/>
      <c r="E1082" s="445" t="s">
        <v>23</v>
      </c>
      <c r="F1082" s="477" t="s">
        <v>418</v>
      </c>
      <c r="G1082" s="445" t="s">
        <v>17</v>
      </c>
      <c r="H1082" s="446" t="s">
        <v>25</v>
      </c>
      <c r="I1082" s="486">
        <v>1.0</v>
      </c>
      <c r="J1082" s="478">
        <v>120.0</v>
      </c>
      <c r="K1082" s="445">
        <f>I1082*J1082+I1083*J1083</f>
        <v>1620</v>
      </c>
      <c r="L1082" s="498">
        <v>25.0</v>
      </c>
      <c r="M1082" s="448">
        <f>(I1082+I1083)*L1082</f>
        <v>400</v>
      </c>
      <c r="N1082" s="449">
        <f>SUM(K1082+M1082)</f>
        <v>2020</v>
      </c>
    </row>
    <row r="1083" ht="20.25" customHeight="1">
      <c r="A1083" s="210"/>
      <c r="C1083" s="58"/>
      <c r="D1083" s="70"/>
      <c r="E1083" s="57"/>
      <c r="F1083" s="57"/>
      <c r="G1083" s="57"/>
      <c r="H1083" s="450" t="s">
        <v>18</v>
      </c>
      <c r="I1083" s="487">
        <v>15.0</v>
      </c>
      <c r="J1083" s="464">
        <v>100.0</v>
      </c>
      <c r="K1083" s="57"/>
      <c r="L1083" s="209"/>
      <c r="M1083" s="210"/>
      <c r="N1083" s="200"/>
    </row>
    <row r="1084" ht="20.25" customHeight="1">
      <c r="A1084" s="235"/>
      <c r="C1084" s="388"/>
      <c r="D1084" s="56"/>
      <c r="E1084" s="29"/>
      <c r="F1084" s="29"/>
      <c r="G1084" s="29"/>
      <c r="H1084" s="29"/>
      <c r="I1084" s="314"/>
      <c r="J1084" s="29"/>
      <c r="K1084" s="29"/>
      <c r="L1084" s="216"/>
      <c r="M1084" s="235"/>
      <c r="N1084" s="202"/>
    </row>
    <row r="1085" ht="20.25" customHeight="1">
      <c r="A1085" s="210"/>
      <c r="B1085" s="203"/>
      <c r="C1085" s="58"/>
      <c r="D1085" s="320"/>
      <c r="E1085" s="141"/>
      <c r="F1085" s="141"/>
      <c r="G1085" s="141"/>
      <c r="H1085" s="141"/>
      <c r="I1085" s="319"/>
      <c r="J1085" s="141"/>
      <c r="K1085" s="141"/>
      <c r="L1085" s="218"/>
      <c r="M1085" s="236"/>
      <c r="N1085" s="205"/>
    </row>
    <row r="1086" ht="20.25" customHeight="1">
      <c r="A1086" s="235"/>
      <c r="B1086" s="494" t="s">
        <v>21</v>
      </c>
      <c r="C1086" s="388"/>
      <c r="D1086" s="547"/>
      <c r="E1086" s="445" t="s">
        <v>23</v>
      </c>
      <c r="F1086" s="477" t="s">
        <v>419</v>
      </c>
      <c r="G1086" s="445" t="s">
        <v>17</v>
      </c>
      <c r="H1086" s="446" t="s">
        <v>25</v>
      </c>
      <c r="I1086" s="486">
        <v>1.0</v>
      </c>
      <c r="J1086" s="478">
        <v>120.0</v>
      </c>
      <c r="K1086" s="445">
        <f>I1086*J1086+I1087*J1087</f>
        <v>1920</v>
      </c>
      <c r="L1086" s="498">
        <v>30.0</v>
      </c>
      <c r="M1086" s="448">
        <f>(I1086+I1087)*L1086</f>
        <v>570</v>
      </c>
      <c r="N1086" s="449">
        <f>SUM(K1086+M1086)</f>
        <v>2490</v>
      </c>
    </row>
    <row r="1087" ht="20.25" customHeight="1">
      <c r="A1087" s="210"/>
      <c r="C1087" s="58"/>
      <c r="D1087" s="70"/>
      <c r="E1087" s="57"/>
      <c r="F1087" s="57"/>
      <c r="G1087" s="57"/>
      <c r="H1087" s="450" t="s">
        <v>18</v>
      </c>
      <c r="I1087" s="451">
        <v>18.0</v>
      </c>
      <c r="J1087" s="464">
        <v>100.0</v>
      </c>
      <c r="K1087" s="57"/>
      <c r="L1087" s="209"/>
      <c r="M1087" s="210"/>
      <c r="N1087" s="200"/>
    </row>
    <row r="1088" ht="20.25" customHeight="1">
      <c r="A1088" s="235"/>
      <c r="C1088" s="388"/>
      <c r="D1088" s="56"/>
      <c r="E1088" s="29"/>
      <c r="F1088" s="29"/>
      <c r="G1088" s="29"/>
      <c r="H1088" s="29"/>
      <c r="I1088" s="314"/>
      <c r="J1088" s="29"/>
      <c r="K1088" s="29"/>
      <c r="L1088" s="216"/>
      <c r="M1088" s="235"/>
      <c r="N1088" s="202"/>
    </row>
    <row r="1089" ht="20.25" customHeight="1">
      <c r="A1089" s="236"/>
      <c r="B1089" s="203"/>
      <c r="C1089" s="58"/>
      <c r="D1089" s="320"/>
      <c r="E1089" s="141"/>
      <c r="F1089" s="141"/>
      <c r="G1089" s="141"/>
      <c r="H1089" s="141"/>
      <c r="I1089" s="319"/>
      <c r="J1089" s="141"/>
      <c r="K1089" s="141"/>
      <c r="L1089" s="218"/>
      <c r="M1089" s="236"/>
      <c r="N1089" s="205"/>
    </row>
    <row r="1090" ht="20.25" customHeight="1">
      <c r="A1090" s="493">
        <v>46270.0</v>
      </c>
      <c r="B1090" s="494" t="s">
        <v>21</v>
      </c>
      <c r="C1090" s="388"/>
      <c r="D1090" s="547"/>
      <c r="E1090" s="445" t="s">
        <v>23</v>
      </c>
      <c r="F1090" s="445" t="s">
        <v>420</v>
      </c>
      <c r="G1090" s="445" t="s">
        <v>17</v>
      </c>
      <c r="H1090" s="446" t="s">
        <v>25</v>
      </c>
      <c r="I1090" s="486">
        <v>1.0</v>
      </c>
      <c r="J1090" s="478">
        <v>120.0</v>
      </c>
      <c r="K1090" s="445">
        <f>I1090*J1090+I1091*J1091</f>
        <v>2120</v>
      </c>
      <c r="L1090" s="498">
        <v>30.0</v>
      </c>
      <c r="M1090" s="448">
        <f>(I1090+I1091)*L1090</f>
        <v>630</v>
      </c>
      <c r="N1090" s="449">
        <f>SUM(K1090+M1090)</f>
        <v>2750</v>
      </c>
    </row>
    <row r="1091" ht="20.25" customHeight="1">
      <c r="A1091" s="210"/>
      <c r="C1091" s="58"/>
      <c r="D1091" s="70"/>
      <c r="E1091" s="57"/>
      <c r="F1091" s="57"/>
      <c r="G1091" s="57"/>
      <c r="H1091" s="450" t="s">
        <v>18</v>
      </c>
      <c r="I1091" s="451">
        <v>20.0</v>
      </c>
      <c r="J1091" s="464">
        <v>100.0</v>
      </c>
      <c r="K1091" s="57"/>
      <c r="L1091" s="209"/>
      <c r="M1091" s="210"/>
      <c r="N1091" s="200"/>
    </row>
    <row r="1092" ht="20.25" customHeight="1">
      <c r="A1092" s="235"/>
      <c r="C1092" s="388"/>
      <c r="D1092" s="56"/>
      <c r="E1092" s="29"/>
      <c r="F1092" s="29"/>
      <c r="G1092" s="29"/>
      <c r="H1092" s="29"/>
      <c r="I1092" s="314"/>
      <c r="J1092" s="29"/>
      <c r="K1092" s="29"/>
      <c r="L1092" s="216"/>
      <c r="M1092" s="235"/>
      <c r="N1092" s="202"/>
    </row>
    <row r="1093" ht="20.25" customHeight="1">
      <c r="A1093" s="210"/>
      <c r="B1093" s="203"/>
      <c r="C1093" s="58"/>
      <c r="D1093" s="320"/>
      <c r="E1093" s="141"/>
      <c r="F1093" s="141"/>
      <c r="G1093" s="141"/>
      <c r="H1093" s="141"/>
      <c r="I1093" s="319"/>
      <c r="J1093" s="141"/>
      <c r="K1093" s="141"/>
      <c r="L1093" s="218"/>
      <c r="M1093" s="236"/>
      <c r="N1093" s="205"/>
    </row>
    <row r="1094" ht="20.25" customHeight="1">
      <c r="A1094" s="235"/>
      <c r="B1094" s="494" t="s">
        <v>21</v>
      </c>
      <c r="C1094" s="388"/>
      <c r="D1094" s="547"/>
      <c r="E1094" s="445" t="s">
        <v>23</v>
      </c>
      <c r="F1094" s="477" t="s">
        <v>421</v>
      </c>
      <c r="G1094" s="445" t="s">
        <v>17</v>
      </c>
      <c r="H1094" s="446" t="s">
        <v>25</v>
      </c>
      <c r="I1094" s="486">
        <v>1.0</v>
      </c>
      <c r="J1094" s="478">
        <v>120.0</v>
      </c>
      <c r="K1094" s="445">
        <f>I1094*J1094+I1095*J1095</f>
        <v>2020</v>
      </c>
      <c r="L1094" s="498">
        <v>25.0</v>
      </c>
      <c r="M1094" s="448">
        <f>(I1094+I1095)*L1094</f>
        <v>500</v>
      </c>
      <c r="N1094" s="449">
        <f>SUM(K1094+M1094)</f>
        <v>2520</v>
      </c>
    </row>
    <row r="1095" ht="20.25" customHeight="1">
      <c r="A1095" s="210"/>
      <c r="C1095" s="58"/>
      <c r="D1095" s="70"/>
      <c r="E1095" s="57"/>
      <c r="F1095" s="57"/>
      <c r="G1095" s="57"/>
      <c r="H1095" s="450" t="s">
        <v>18</v>
      </c>
      <c r="I1095" s="451">
        <v>19.0</v>
      </c>
      <c r="J1095" s="464">
        <v>100.0</v>
      </c>
      <c r="K1095" s="57"/>
      <c r="L1095" s="209"/>
      <c r="M1095" s="210"/>
      <c r="N1095" s="200"/>
    </row>
    <row r="1096" ht="20.25" customHeight="1">
      <c r="A1096" s="235"/>
      <c r="C1096" s="388"/>
      <c r="D1096" s="56"/>
      <c r="E1096" s="29"/>
      <c r="F1096" s="29"/>
      <c r="G1096" s="29"/>
      <c r="H1096" s="29"/>
      <c r="I1096" s="314"/>
      <c r="J1096" s="29"/>
      <c r="K1096" s="29"/>
      <c r="L1096" s="216"/>
      <c r="M1096" s="235"/>
      <c r="N1096" s="202"/>
    </row>
    <row r="1097" ht="20.25" customHeight="1">
      <c r="A1097" s="210"/>
      <c r="B1097" s="203"/>
      <c r="C1097" s="58"/>
      <c r="D1097" s="320"/>
      <c r="E1097" s="141"/>
      <c r="F1097" s="141"/>
      <c r="G1097" s="141"/>
      <c r="H1097" s="141"/>
      <c r="I1097" s="319"/>
      <c r="J1097" s="141"/>
      <c r="K1097" s="141"/>
      <c r="L1097" s="218"/>
      <c r="M1097" s="236"/>
      <c r="N1097" s="205"/>
    </row>
    <row r="1098" ht="20.25" customHeight="1">
      <c r="A1098" s="235"/>
      <c r="B1098" s="494" t="s">
        <v>21</v>
      </c>
      <c r="C1098" s="388"/>
      <c r="D1098" s="547"/>
      <c r="E1098" s="445" t="s">
        <v>23</v>
      </c>
      <c r="F1098" s="477" t="s">
        <v>422</v>
      </c>
      <c r="G1098" s="445" t="s">
        <v>17</v>
      </c>
      <c r="H1098" s="446" t="s">
        <v>25</v>
      </c>
      <c r="I1098" s="486">
        <v>1.0</v>
      </c>
      <c r="J1098" s="478">
        <v>120.0</v>
      </c>
      <c r="K1098" s="445">
        <f>I1098*J1098+I1099*J1099</f>
        <v>1920</v>
      </c>
      <c r="L1098" s="498">
        <v>25.0</v>
      </c>
      <c r="M1098" s="448">
        <f>(I1098+I1099)*L1098</f>
        <v>475</v>
      </c>
      <c r="N1098" s="449">
        <f>SUM(K1098+M1098)</f>
        <v>2395</v>
      </c>
    </row>
    <row r="1099" ht="20.25" customHeight="1">
      <c r="A1099" s="210"/>
      <c r="C1099" s="58"/>
      <c r="D1099" s="70"/>
      <c r="E1099" s="57"/>
      <c r="F1099" s="57"/>
      <c r="G1099" s="57"/>
      <c r="H1099" s="450" t="s">
        <v>18</v>
      </c>
      <c r="I1099" s="487">
        <v>18.0</v>
      </c>
      <c r="J1099" s="464">
        <v>100.0</v>
      </c>
      <c r="K1099" s="57"/>
      <c r="L1099" s="209"/>
      <c r="M1099" s="210"/>
      <c r="N1099" s="200"/>
    </row>
    <row r="1100" ht="20.25" customHeight="1">
      <c r="A1100" s="235"/>
      <c r="C1100" s="388"/>
      <c r="D1100" s="56"/>
      <c r="E1100" s="29"/>
      <c r="F1100" s="29"/>
      <c r="G1100" s="29"/>
      <c r="H1100" s="29"/>
      <c r="I1100" s="314"/>
      <c r="J1100" s="29"/>
      <c r="K1100" s="29"/>
      <c r="L1100" s="216"/>
      <c r="M1100" s="235"/>
      <c r="N1100" s="202"/>
    </row>
    <row r="1101" ht="20.25" customHeight="1">
      <c r="A1101" s="210"/>
      <c r="B1101" s="203"/>
      <c r="C1101" s="58"/>
      <c r="D1101" s="320"/>
      <c r="E1101" s="141"/>
      <c r="F1101" s="141"/>
      <c r="G1101" s="141"/>
      <c r="H1101" s="141"/>
      <c r="I1101" s="319"/>
      <c r="J1101" s="141"/>
      <c r="K1101" s="141"/>
      <c r="L1101" s="218"/>
      <c r="M1101" s="236"/>
      <c r="N1101" s="205"/>
    </row>
    <row r="1102" ht="20.25" customHeight="1">
      <c r="A1102" s="235"/>
      <c r="B1102" s="494" t="s">
        <v>21</v>
      </c>
      <c r="C1102" s="388"/>
      <c r="D1102" s="547"/>
      <c r="E1102" s="445" t="s">
        <v>23</v>
      </c>
      <c r="F1102" s="477" t="s">
        <v>423</v>
      </c>
      <c r="G1102" s="445" t="s">
        <v>17</v>
      </c>
      <c r="H1102" s="446" t="s">
        <v>25</v>
      </c>
      <c r="I1102" s="486">
        <v>0.0</v>
      </c>
      <c r="J1102" s="478">
        <v>120.0</v>
      </c>
      <c r="K1102" s="445">
        <f>I1102*J1102+I1103*J1103</f>
        <v>1700</v>
      </c>
      <c r="L1102" s="498">
        <v>30.0</v>
      </c>
      <c r="M1102" s="448">
        <f>(I1102+I1103)*L1102</f>
        <v>510</v>
      </c>
      <c r="N1102" s="449">
        <f>SUM(K1102+M1102)</f>
        <v>2210</v>
      </c>
    </row>
    <row r="1103" ht="20.25" customHeight="1">
      <c r="A1103" s="210"/>
      <c r="C1103" s="58"/>
      <c r="D1103" s="70"/>
      <c r="E1103" s="57"/>
      <c r="F1103" s="57"/>
      <c r="G1103" s="57"/>
      <c r="H1103" s="450" t="s">
        <v>18</v>
      </c>
      <c r="I1103" s="451">
        <v>17.0</v>
      </c>
      <c r="J1103" s="464">
        <v>100.0</v>
      </c>
      <c r="K1103" s="57"/>
      <c r="L1103" s="209"/>
      <c r="M1103" s="210"/>
      <c r="N1103" s="200"/>
    </row>
    <row r="1104" ht="20.25" customHeight="1">
      <c r="A1104" s="235"/>
      <c r="C1104" s="388"/>
      <c r="D1104" s="56"/>
      <c r="E1104" s="29"/>
      <c r="F1104" s="29"/>
      <c r="G1104" s="29"/>
      <c r="H1104" s="29"/>
      <c r="I1104" s="314"/>
      <c r="J1104" s="29"/>
      <c r="K1104" s="29"/>
      <c r="L1104" s="216"/>
      <c r="M1104" s="235"/>
      <c r="N1104" s="202"/>
    </row>
    <row r="1105" ht="20.25" customHeight="1">
      <c r="A1105" s="236"/>
      <c r="B1105" s="203"/>
      <c r="C1105" s="58"/>
      <c r="D1105" s="320"/>
      <c r="E1105" s="141"/>
      <c r="F1105" s="141"/>
      <c r="G1105" s="141"/>
      <c r="H1105" s="141"/>
      <c r="I1105" s="319"/>
      <c r="J1105" s="141"/>
      <c r="K1105" s="141"/>
      <c r="L1105" s="218"/>
      <c r="M1105" s="236"/>
      <c r="N1105" s="205"/>
    </row>
    <row r="1106" ht="20.25" customHeight="1">
      <c r="A1106" s="493">
        <v>46272.0</v>
      </c>
      <c r="B1106" s="494" t="s">
        <v>45</v>
      </c>
      <c r="C1106" s="388"/>
      <c r="D1106" s="547"/>
      <c r="E1106" s="445" t="s">
        <v>23</v>
      </c>
      <c r="F1106" s="445" t="s">
        <v>424</v>
      </c>
      <c r="G1106" s="445" t="s">
        <v>17</v>
      </c>
      <c r="H1106" s="446" t="s">
        <v>25</v>
      </c>
      <c r="I1106" s="486">
        <v>1.0</v>
      </c>
      <c r="J1106" s="478">
        <v>120.0</v>
      </c>
      <c r="K1106" s="445">
        <f>I1106*J1106+I1107*J1107</f>
        <v>1320</v>
      </c>
      <c r="L1106" s="498">
        <v>30.0</v>
      </c>
      <c r="M1106" s="448">
        <f>(I1106+I1107)*L1106</f>
        <v>390</v>
      </c>
      <c r="N1106" s="449">
        <f>SUM(K1106+M1106)</f>
        <v>1710</v>
      </c>
    </row>
    <row r="1107" ht="20.25" customHeight="1">
      <c r="A1107" s="210"/>
      <c r="C1107" s="58"/>
      <c r="D1107" s="70"/>
      <c r="E1107" s="57"/>
      <c r="F1107" s="57"/>
      <c r="G1107" s="57"/>
      <c r="H1107" s="450" t="s">
        <v>18</v>
      </c>
      <c r="I1107" s="451">
        <v>12.0</v>
      </c>
      <c r="J1107" s="464">
        <v>100.0</v>
      </c>
      <c r="K1107" s="57"/>
      <c r="L1107" s="209"/>
      <c r="M1107" s="210"/>
      <c r="N1107" s="200"/>
    </row>
    <row r="1108" ht="20.25" customHeight="1">
      <c r="A1108" s="235"/>
      <c r="C1108" s="388"/>
      <c r="D1108" s="56"/>
      <c r="E1108" s="29"/>
      <c r="F1108" s="29"/>
      <c r="G1108" s="29"/>
      <c r="H1108" s="29"/>
      <c r="I1108" s="314"/>
      <c r="J1108" s="29"/>
      <c r="K1108" s="29"/>
      <c r="L1108" s="216"/>
      <c r="M1108" s="235"/>
      <c r="N1108" s="202"/>
    </row>
    <row r="1109" ht="20.25" customHeight="1">
      <c r="A1109" s="210"/>
      <c r="B1109" s="203"/>
      <c r="C1109" s="58"/>
      <c r="D1109" s="320"/>
      <c r="E1109" s="141"/>
      <c r="F1109" s="141"/>
      <c r="G1109" s="141"/>
      <c r="H1109" s="141"/>
      <c r="I1109" s="319"/>
      <c r="J1109" s="141"/>
      <c r="K1109" s="141"/>
      <c r="L1109" s="218"/>
      <c r="M1109" s="236"/>
      <c r="N1109" s="205"/>
    </row>
    <row r="1110" ht="20.25" customHeight="1">
      <c r="A1110" s="235"/>
      <c r="B1110" s="494" t="s">
        <v>21</v>
      </c>
      <c r="C1110" s="388"/>
      <c r="D1110" s="547"/>
      <c r="E1110" s="445" t="s">
        <v>23</v>
      </c>
      <c r="F1110" s="477" t="s">
        <v>425</v>
      </c>
      <c r="G1110" s="445" t="s">
        <v>17</v>
      </c>
      <c r="H1110" s="446" t="s">
        <v>25</v>
      </c>
      <c r="I1110" s="486">
        <v>1.0</v>
      </c>
      <c r="J1110" s="478">
        <v>120.0</v>
      </c>
      <c r="K1110" s="445">
        <f>I1110*J1110+I1111*J1111</f>
        <v>1920</v>
      </c>
      <c r="L1110" s="498">
        <v>25.0</v>
      </c>
      <c r="M1110" s="448">
        <f>(I1110+I1111)*L1110</f>
        <v>475</v>
      </c>
      <c r="N1110" s="449">
        <f>SUM(K1110+M1110)</f>
        <v>2395</v>
      </c>
    </row>
    <row r="1111" ht="20.25" customHeight="1">
      <c r="A1111" s="210"/>
      <c r="C1111" s="58"/>
      <c r="D1111" s="70"/>
      <c r="E1111" s="57"/>
      <c r="F1111" s="57"/>
      <c r="G1111" s="57"/>
      <c r="H1111" s="450" t="s">
        <v>18</v>
      </c>
      <c r="I1111" s="451">
        <v>18.0</v>
      </c>
      <c r="J1111" s="464">
        <v>100.0</v>
      </c>
      <c r="K1111" s="57"/>
      <c r="L1111" s="209"/>
      <c r="M1111" s="210"/>
      <c r="N1111" s="200"/>
    </row>
    <row r="1112" ht="20.25" customHeight="1">
      <c r="A1112" s="235"/>
      <c r="C1112" s="388"/>
      <c r="D1112" s="56"/>
      <c r="E1112" s="29"/>
      <c r="F1112" s="29"/>
      <c r="G1112" s="29"/>
      <c r="H1112" s="29"/>
      <c r="I1112" s="314"/>
      <c r="J1112" s="29"/>
      <c r="K1112" s="29"/>
      <c r="L1112" s="216"/>
      <c r="M1112" s="235"/>
      <c r="N1112" s="202"/>
    </row>
    <row r="1113" ht="20.25" customHeight="1">
      <c r="A1113" s="210"/>
      <c r="B1113" s="203"/>
      <c r="C1113" s="58"/>
      <c r="D1113" s="320"/>
      <c r="E1113" s="141"/>
      <c r="F1113" s="141"/>
      <c r="G1113" s="141"/>
      <c r="H1113" s="141"/>
      <c r="I1113" s="319"/>
      <c r="J1113" s="141"/>
      <c r="K1113" s="141"/>
      <c r="L1113" s="218"/>
      <c r="M1113" s="236"/>
      <c r="N1113" s="205"/>
    </row>
    <row r="1114" ht="20.25" customHeight="1">
      <c r="A1114" s="235"/>
      <c r="B1114" s="494" t="s">
        <v>21</v>
      </c>
      <c r="C1114" s="388"/>
      <c r="D1114" s="547"/>
      <c r="E1114" s="445" t="s">
        <v>23</v>
      </c>
      <c r="F1114" s="477" t="s">
        <v>426</v>
      </c>
      <c r="G1114" s="445" t="s">
        <v>17</v>
      </c>
      <c r="H1114" s="446" t="s">
        <v>25</v>
      </c>
      <c r="I1114" s="486">
        <v>1.0</v>
      </c>
      <c r="J1114" s="478">
        <v>120.0</v>
      </c>
      <c r="K1114" s="445">
        <f>I1114*J1114+I1115*J1115</f>
        <v>1920</v>
      </c>
      <c r="L1114" s="498">
        <v>25.0</v>
      </c>
      <c r="M1114" s="448">
        <f>(I1114+I1115)*L1114</f>
        <v>475</v>
      </c>
      <c r="N1114" s="449">
        <f>SUM(K1114+M1114)</f>
        <v>2395</v>
      </c>
    </row>
    <row r="1115" ht="20.25" customHeight="1">
      <c r="A1115" s="210"/>
      <c r="C1115" s="58"/>
      <c r="D1115" s="70"/>
      <c r="E1115" s="57"/>
      <c r="F1115" s="57"/>
      <c r="G1115" s="57"/>
      <c r="H1115" s="450" t="s">
        <v>18</v>
      </c>
      <c r="I1115" s="487">
        <v>18.0</v>
      </c>
      <c r="J1115" s="464">
        <v>100.0</v>
      </c>
      <c r="K1115" s="57"/>
      <c r="L1115" s="209"/>
      <c r="M1115" s="210"/>
      <c r="N1115" s="200"/>
    </row>
    <row r="1116" ht="20.25" customHeight="1">
      <c r="A1116" s="235"/>
      <c r="C1116" s="388"/>
      <c r="D1116" s="56"/>
      <c r="E1116" s="29"/>
      <c r="F1116" s="29"/>
      <c r="G1116" s="29"/>
      <c r="H1116" s="29"/>
      <c r="I1116" s="314"/>
      <c r="J1116" s="29"/>
      <c r="K1116" s="29"/>
      <c r="L1116" s="216"/>
      <c r="M1116" s="235"/>
      <c r="N1116" s="202"/>
    </row>
    <row r="1117" ht="20.25" customHeight="1">
      <c r="A1117" s="210"/>
      <c r="B1117" s="203"/>
      <c r="C1117" s="58"/>
      <c r="D1117" s="320"/>
      <c r="E1117" s="141"/>
      <c r="F1117" s="141"/>
      <c r="G1117" s="141"/>
      <c r="H1117" s="141"/>
      <c r="I1117" s="319"/>
      <c r="J1117" s="141"/>
      <c r="K1117" s="141"/>
      <c r="L1117" s="218"/>
      <c r="M1117" s="236"/>
      <c r="N1117" s="205"/>
    </row>
    <row r="1118" ht="20.25" customHeight="1">
      <c r="A1118" s="235"/>
      <c r="B1118" s="494" t="s">
        <v>21</v>
      </c>
      <c r="C1118" s="388"/>
      <c r="D1118" s="547"/>
      <c r="E1118" s="445" t="s">
        <v>23</v>
      </c>
      <c r="F1118" s="477" t="s">
        <v>427</v>
      </c>
      <c r="G1118" s="445" t="s">
        <v>17</v>
      </c>
      <c r="H1118" s="446" t="s">
        <v>25</v>
      </c>
      <c r="I1118" s="486">
        <v>0.0</v>
      </c>
      <c r="J1118" s="478">
        <v>120.0</v>
      </c>
      <c r="K1118" s="445">
        <f>I1118*J1118+I1119*J1119</f>
        <v>1400</v>
      </c>
      <c r="L1118" s="498">
        <v>30.0</v>
      </c>
      <c r="M1118" s="448">
        <f>(I1118+I1119)*L1118</f>
        <v>420</v>
      </c>
      <c r="N1118" s="449">
        <f>SUM(K1118+M1118)</f>
        <v>1820</v>
      </c>
    </row>
    <row r="1119" ht="20.25" customHeight="1">
      <c r="A1119" s="210"/>
      <c r="C1119" s="58"/>
      <c r="D1119" s="70"/>
      <c r="E1119" s="57"/>
      <c r="F1119" s="57"/>
      <c r="G1119" s="57"/>
      <c r="H1119" s="450" t="s">
        <v>18</v>
      </c>
      <c r="I1119" s="451">
        <v>14.0</v>
      </c>
      <c r="J1119" s="464">
        <v>100.0</v>
      </c>
      <c r="K1119" s="57"/>
      <c r="L1119" s="209"/>
      <c r="M1119" s="210"/>
      <c r="N1119" s="200"/>
    </row>
    <row r="1120" ht="20.25" customHeight="1">
      <c r="A1120" s="235"/>
      <c r="C1120" s="388"/>
      <c r="D1120" s="56"/>
      <c r="E1120" s="29"/>
      <c r="F1120" s="29"/>
      <c r="G1120" s="29"/>
      <c r="H1120" s="29"/>
      <c r="I1120" s="314"/>
      <c r="J1120" s="29"/>
      <c r="K1120" s="29"/>
      <c r="L1120" s="216"/>
      <c r="M1120" s="235"/>
      <c r="N1120" s="202"/>
    </row>
    <row r="1121" ht="20.25" customHeight="1">
      <c r="A1121" s="236"/>
      <c r="B1121" s="203"/>
      <c r="C1121" s="58"/>
      <c r="D1121" s="320"/>
      <c r="E1121" s="141"/>
      <c r="F1121" s="141"/>
      <c r="G1121" s="141"/>
      <c r="H1121" s="141"/>
      <c r="I1121" s="319"/>
      <c r="J1121" s="141"/>
      <c r="K1121" s="141"/>
      <c r="L1121" s="218"/>
      <c r="M1121" s="236"/>
      <c r="N1121" s="205"/>
    </row>
    <row r="1122" ht="20.25" customHeight="1">
      <c r="A1122" s="696"/>
      <c r="B1122" s="697"/>
      <c r="C1122" s="342"/>
      <c r="D1122" s="475"/>
      <c r="E1122" s="699"/>
      <c r="F1122" s="475"/>
      <c r="G1122" s="699"/>
      <c r="H1122" s="699"/>
      <c r="I1122" s="463"/>
      <c r="J1122" s="475"/>
      <c r="K1122" s="699"/>
      <c r="L1122" s="475"/>
      <c r="M1122" s="699"/>
      <c r="N1122" s="699"/>
    </row>
    <row r="1123" ht="20.25" customHeight="1">
      <c r="A1123" s="701"/>
      <c r="B1123" s="702"/>
      <c r="C1123" s="341"/>
      <c r="D1123" s="463"/>
      <c r="E1123" s="455"/>
      <c r="F1123" s="463"/>
      <c r="G1123" s="455"/>
      <c r="H1123" s="455"/>
      <c r="I1123" s="463"/>
      <c r="J1123" s="463"/>
      <c r="K1123" s="455"/>
      <c r="L1123" s="463"/>
      <c r="M1123" s="455"/>
      <c r="N1123" s="455"/>
    </row>
    <row r="1124" ht="20.25" customHeight="1">
      <c r="A1124" s="696"/>
      <c r="B1124" s="697"/>
      <c r="C1124" s="342"/>
      <c r="D1124" s="475"/>
      <c r="E1124" s="699"/>
      <c r="F1124" s="475"/>
      <c r="G1124" s="699"/>
      <c r="H1124" s="699"/>
      <c r="I1124" s="463"/>
      <c r="J1124" s="475"/>
      <c r="K1124" s="699"/>
      <c r="L1124" s="475"/>
      <c r="M1124" s="699"/>
      <c r="N1124" s="699"/>
    </row>
    <row r="1125" ht="20.25" customHeight="1">
      <c r="A1125" s="701"/>
      <c r="B1125" s="702"/>
      <c r="C1125" s="341"/>
      <c r="D1125" s="463"/>
      <c r="E1125" s="455"/>
      <c r="F1125" s="463"/>
      <c r="G1125" s="455"/>
      <c r="H1125" s="455"/>
      <c r="I1125" s="463"/>
      <c r="J1125" s="463"/>
      <c r="K1125" s="455"/>
      <c r="L1125" s="463"/>
      <c r="M1125" s="455"/>
      <c r="N1125" s="455"/>
    </row>
    <row r="1126" ht="20.25" customHeight="1">
      <c r="A1126" s="696"/>
      <c r="B1126" s="697"/>
      <c r="C1126" s="342"/>
      <c r="D1126" s="475"/>
      <c r="E1126" s="699"/>
      <c r="F1126" s="475"/>
      <c r="G1126" s="699"/>
      <c r="H1126" s="699"/>
      <c r="I1126" s="463"/>
      <c r="J1126" s="475"/>
      <c r="K1126" s="699"/>
      <c r="L1126" s="475"/>
      <c r="M1126" s="699"/>
      <c r="N1126" s="699"/>
    </row>
    <row r="1127" ht="20.25" customHeight="1">
      <c r="A1127" s="701"/>
      <c r="B1127" s="702"/>
      <c r="C1127" s="341"/>
      <c r="D1127" s="463"/>
      <c r="E1127" s="455"/>
      <c r="F1127" s="463"/>
      <c r="G1127" s="455"/>
      <c r="H1127" s="455"/>
      <c r="I1127" s="463"/>
      <c r="J1127" s="463"/>
      <c r="K1127" s="455"/>
      <c r="L1127" s="463"/>
      <c r="M1127" s="455"/>
      <c r="N1127" s="455"/>
    </row>
    <row r="1128" ht="20.25" customHeight="1">
      <c r="A1128" s="696"/>
      <c r="B1128" s="697"/>
      <c r="C1128" s="342"/>
      <c r="D1128" s="475"/>
      <c r="E1128" s="699"/>
      <c r="F1128" s="475"/>
      <c r="G1128" s="699"/>
      <c r="H1128" s="699"/>
      <c r="I1128" s="463"/>
      <c r="J1128" s="475"/>
      <c r="K1128" s="699"/>
      <c r="L1128" s="475"/>
      <c r="M1128" s="699"/>
      <c r="N1128" s="699"/>
    </row>
    <row r="1129" ht="20.25" customHeight="1">
      <c r="A1129" s="701"/>
      <c r="B1129" s="702"/>
      <c r="C1129" s="341"/>
      <c r="D1129" s="463"/>
      <c r="E1129" s="455"/>
      <c r="F1129" s="463"/>
      <c r="G1129" s="455"/>
      <c r="H1129" s="455"/>
      <c r="I1129" s="463"/>
      <c r="J1129" s="463"/>
      <c r="K1129" s="455"/>
      <c r="L1129" s="463"/>
      <c r="M1129" s="455"/>
      <c r="N1129" s="455"/>
    </row>
    <row r="1130" ht="20.25" customHeight="1">
      <c r="A1130" s="696"/>
      <c r="B1130" s="697"/>
      <c r="C1130" s="342"/>
      <c r="D1130" s="475"/>
      <c r="E1130" s="699"/>
      <c r="F1130" s="475"/>
      <c r="G1130" s="699"/>
      <c r="H1130" s="699"/>
      <c r="I1130" s="463"/>
      <c r="J1130" s="475"/>
      <c r="K1130" s="699"/>
      <c r="L1130" s="475"/>
      <c r="M1130" s="699"/>
      <c r="N1130" s="699"/>
    </row>
    <row r="1131" ht="20.25" customHeight="1">
      <c r="A1131" s="701"/>
      <c r="B1131" s="702"/>
      <c r="C1131" s="341"/>
      <c r="D1131" s="463"/>
      <c r="E1131" s="455"/>
      <c r="F1131" s="463"/>
      <c r="G1131" s="455"/>
      <c r="H1131" s="455"/>
      <c r="I1131" s="463"/>
      <c r="J1131" s="463"/>
      <c r="K1131" s="455"/>
      <c r="L1131" s="463"/>
      <c r="M1131" s="455"/>
      <c r="N1131" s="455"/>
    </row>
    <row r="1132" ht="20.25" customHeight="1">
      <c r="A1132" s="696"/>
      <c r="B1132" s="697"/>
      <c r="C1132" s="342"/>
      <c r="D1132" s="475"/>
      <c r="E1132" s="699"/>
      <c r="F1132" s="475"/>
      <c r="G1132" s="699"/>
      <c r="H1132" s="699"/>
      <c r="I1132" s="463"/>
      <c r="J1132" s="475"/>
      <c r="K1132" s="699"/>
      <c r="L1132" s="475"/>
      <c r="M1132" s="699"/>
      <c r="N1132" s="699"/>
    </row>
    <row r="1133" ht="20.25" customHeight="1">
      <c r="A1133" s="701"/>
      <c r="B1133" s="702"/>
      <c r="C1133" s="341"/>
      <c r="D1133" s="463"/>
      <c r="E1133" s="455"/>
      <c r="F1133" s="463"/>
      <c r="G1133" s="455"/>
      <c r="H1133" s="455"/>
      <c r="I1133" s="463"/>
      <c r="J1133" s="463"/>
      <c r="K1133" s="455"/>
      <c r="L1133" s="463"/>
      <c r="M1133" s="455"/>
      <c r="N1133" s="455"/>
    </row>
    <row r="1134" ht="20.25" customHeight="1">
      <c r="A1134" s="696"/>
      <c r="B1134" s="697"/>
      <c r="C1134" s="342"/>
      <c r="D1134" s="475"/>
      <c r="E1134" s="699"/>
      <c r="F1134" s="475"/>
      <c r="G1134" s="699"/>
      <c r="H1134" s="699"/>
      <c r="I1134" s="463"/>
      <c r="J1134" s="475"/>
      <c r="K1134" s="699"/>
      <c r="L1134" s="475"/>
      <c r="M1134" s="699"/>
      <c r="N1134" s="699"/>
    </row>
    <row r="1135" ht="20.25" customHeight="1">
      <c r="A1135" s="701"/>
      <c r="B1135" s="702"/>
      <c r="C1135" s="341"/>
      <c r="D1135" s="463"/>
      <c r="E1135" s="455"/>
      <c r="F1135" s="463"/>
      <c r="G1135" s="455"/>
      <c r="H1135" s="455"/>
      <c r="I1135" s="463"/>
      <c r="J1135" s="463"/>
      <c r="K1135" s="455"/>
      <c r="L1135" s="463"/>
      <c r="M1135" s="455"/>
      <c r="N1135" s="455"/>
    </row>
    <row r="1136" ht="20.25" customHeight="1">
      <c r="A1136" s="696"/>
      <c r="B1136" s="697"/>
      <c r="C1136" s="342"/>
      <c r="D1136" s="475"/>
      <c r="E1136" s="699"/>
      <c r="F1136" s="475"/>
      <c r="G1136" s="699"/>
      <c r="H1136" s="699"/>
      <c r="I1136" s="463"/>
      <c r="J1136" s="475"/>
      <c r="K1136" s="699"/>
      <c r="L1136" s="475"/>
      <c r="M1136" s="699"/>
      <c r="N1136" s="699"/>
    </row>
    <row r="1137" ht="20.25" customHeight="1">
      <c r="A1137" s="701"/>
      <c r="B1137" s="702"/>
      <c r="C1137" s="341"/>
      <c r="D1137" s="463"/>
      <c r="E1137" s="455"/>
      <c r="F1137" s="463"/>
      <c r="G1137" s="455"/>
      <c r="H1137" s="455"/>
      <c r="I1137" s="463"/>
      <c r="J1137" s="463"/>
      <c r="K1137" s="455"/>
      <c r="L1137" s="463"/>
      <c r="M1137" s="455"/>
      <c r="N1137" s="455"/>
    </row>
    <row r="1138" ht="20.25" customHeight="1">
      <c r="A1138" s="696"/>
      <c r="B1138" s="697"/>
      <c r="C1138" s="342"/>
      <c r="D1138" s="475"/>
      <c r="E1138" s="699"/>
      <c r="F1138" s="475"/>
      <c r="G1138" s="699"/>
      <c r="H1138" s="699"/>
      <c r="I1138" s="463"/>
      <c r="J1138" s="475"/>
      <c r="K1138" s="699"/>
      <c r="L1138" s="475"/>
      <c r="M1138" s="699"/>
      <c r="N1138" s="699"/>
    </row>
    <row r="1139" ht="20.25" customHeight="1">
      <c r="A1139" s="701"/>
      <c r="B1139" s="702"/>
      <c r="C1139" s="341"/>
      <c r="D1139" s="463"/>
      <c r="E1139" s="455"/>
      <c r="F1139" s="463"/>
      <c r="G1139" s="455"/>
      <c r="H1139" s="455"/>
      <c r="I1139" s="463"/>
      <c r="J1139" s="463"/>
      <c r="K1139" s="455"/>
      <c r="L1139" s="463"/>
      <c r="M1139" s="455"/>
      <c r="N1139" s="455"/>
    </row>
    <row r="1140" ht="20.25" customHeight="1">
      <c r="A1140" s="696"/>
      <c r="B1140" s="697"/>
      <c r="C1140" s="342"/>
      <c r="D1140" s="475"/>
      <c r="E1140" s="699"/>
      <c r="F1140" s="475"/>
      <c r="G1140" s="699"/>
      <c r="H1140" s="699"/>
      <c r="I1140" s="463"/>
      <c r="J1140" s="475"/>
      <c r="K1140" s="699"/>
      <c r="L1140" s="475"/>
      <c r="M1140" s="699"/>
      <c r="N1140" s="699"/>
    </row>
    <row r="1141" ht="20.25" customHeight="1">
      <c r="A1141" s="701"/>
      <c r="B1141" s="702"/>
      <c r="C1141" s="341"/>
      <c r="D1141" s="463"/>
      <c r="E1141" s="455"/>
      <c r="F1141" s="463"/>
      <c r="G1141" s="455"/>
      <c r="H1141" s="455"/>
      <c r="I1141" s="463"/>
      <c r="J1141" s="463"/>
      <c r="K1141" s="455"/>
      <c r="L1141" s="463"/>
      <c r="M1141" s="455"/>
      <c r="N1141" s="455"/>
    </row>
    <row r="1142" ht="20.25" customHeight="1">
      <c r="A1142" s="696"/>
      <c r="B1142" s="697"/>
      <c r="C1142" s="342"/>
      <c r="D1142" s="475"/>
      <c r="E1142" s="699"/>
      <c r="F1142" s="475"/>
      <c r="G1142" s="699"/>
      <c r="H1142" s="699"/>
      <c r="I1142" s="463"/>
      <c r="J1142" s="475"/>
      <c r="K1142" s="699"/>
      <c r="L1142" s="475"/>
      <c r="M1142" s="699"/>
      <c r="N1142" s="699"/>
    </row>
    <row r="1143" ht="20.25" customHeight="1">
      <c r="A1143" s="701"/>
      <c r="B1143" s="702"/>
      <c r="C1143" s="341"/>
      <c r="D1143" s="463"/>
      <c r="E1143" s="455"/>
      <c r="F1143" s="463"/>
      <c r="G1143" s="455"/>
      <c r="H1143" s="455"/>
      <c r="I1143" s="463"/>
      <c r="J1143" s="463"/>
      <c r="K1143" s="455"/>
      <c r="L1143" s="463"/>
      <c r="M1143" s="455"/>
      <c r="N1143" s="455"/>
    </row>
    <row r="1144" ht="20.25" customHeight="1">
      <c r="A1144" s="696"/>
      <c r="B1144" s="697"/>
      <c r="C1144" s="342"/>
      <c r="D1144" s="475"/>
      <c r="E1144" s="699"/>
      <c r="F1144" s="475"/>
      <c r="G1144" s="699"/>
      <c r="H1144" s="699"/>
      <c r="I1144" s="463"/>
      <c r="J1144" s="475"/>
      <c r="K1144" s="699"/>
      <c r="L1144" s="475"/>
      <c r="M1144" s="699"/>
      <c r="N1144" s="699"/>
    </row>
    <row r="1145" ht="20.25" customHeight="1">
      <c r="A1145" s="701"/>
      <c r="B1145" s="702"/>
      <c r="C1145" s="341"/>
      <c r="D1145" s="463"/>
      <c r="E1145" s="455"/>
      <c r="F1145" s="463"/>
      <c r="G1145" s="455"/>
      <c r="H1145" s="455"/>
      <c r="I1145" s="463"/>
      <c r="J1145" s="463"/>
      <c r="K1145" s="455"/>
      <c r="L1145" s="463"/>
      <c r="M1145" s="455"/>
      <c r="N1145" s="455"/>
    </row>
    <row r="1146" ht="20.25" customHeight="1">
      <c r="A1146" s="696"/>
      <c r="B1146" s="697"/>
      <c r="C1146" s="342"/>
      <c r="D1146" s="475"/>
      <c r="E1146" s="699"/>
      <c r="F1146" s="475"/>
      <c r="G1146" s="699"/>
      <c r="H1146" s="699"/>
      <c r="I1146" s="463"/>
      <c r="J1146" s="475"/>
      <c r="K1146" s="699"/>
      <c r="L1146" s="475"/>
      <c r="M1146" s="699"/>
      <c r="N1146" s="699"/>
    </row>
    <row r="1147" ht="20.25" customHeight="1">
      <c r="A1147" s="701"/>
      <c r="B1147" s="702"/>
      <c r="C1147" s="341"/>
      <c r="D1147" s="463"/>
      <c r="E1147" s="455"/>
      <c r="F1147" s="463"/>
      <c r="G1147" s="455"/>
      <c r="H1147" s="455"/>
      <c r="I1147" s="463"/>
      <c r="J1147" s="463"/>
      <c r="K1147" s="455"/>
      <c r="L1147" s="463"/>
      <c r="M1147" s="455"/>
      <c r="N1147" s="455"/>
    </row>
    <row r="1148" ht="20.25" customHeight="1">
      <c r="A1148" s="696"/>
      <c r="B1148" s="697"/>
      <c r="C1148" s="342"/>
      <c r="D1148" s="475"/>
      <c r="E1148" s="699"/>
      <c r="F1148" s="475"/>
      <c r="G1148" s="699"/>
      <c r="H1148" s="699"/>
      <c r="I1148" s="463"/>
      <c r="J1148" s="475"/>
      <c r="K1148" s="699"/>
      <c r="L1148" s="475"/>
      <c r="M1148" s="699"/>
      <c r="N1148" s="699"/>
    </row>
    <row r="1149" ht="20.25" customHeight="1">
      <c r="A1149" s="701"/>
      <c r="B1149" s="702"/>
      <c r="C1149" s="341"/>
      <c r="D1149" s="463"/>
      <c r="E1149" s="455"/>
      <c r="F1149" s="463"/>
      <c r="G1149" s="455"/>
      <c r="H1149" s="455"/>
      <c r="I1149" s="463"/>
      <c r="J1149" s="463"/>
      <c r="K1149" s="455"/>
      <c r="L1149" s="463"/>
      <c r="M1149" s="455"/>
      <c r="N1149" s="455"/>
    </row>
    <row r="1150" ht="20.25" customHeight="1">
      <c r="A1150" s="696"/>
      <c r="B1150" s="697"/>
      <c r="C1150" s="342"/>
      <c r="D1150" s="475"/>
      <c r="E1150" s="699"/>
      <c r="F1150" s="475"/>
      <c r="G1150" s="699"/>
      <c r="H1150" s="699"/>
      <c r="I1150" s="463"/>
      <c r="J1150" s="475"/>
      <c r="K1150" s="699"/>
      <c r="L1150" s="475"/>
      <c r="M1150" s="699"/>
      <c r="N1150" s="699"/>
    </row>
    <row r="1151" ht="20.25" customHeight="1">
      <c r="A1151" s="701"/>
      <c r="B1151" s="702"/>
      <c r="C1151" s="341"/>
      <c r="D1151" s="463"/>
      <c r="E1151" s="455"/>
      <c r="F1151" s="463"/>
      <c r="G1151" s="455"/>
      <c r="H1151" s="455"/>
      <c r="I1151" s="463"/>
      <c r="J1151" s="463"/>
      <c r="K1151" s="455"/>
      <c r="L1151" s="463"/>
      <c r="M1151" s="455"/>
      <c r="N1151" s="455"/>
    </row>
    <row r="1152" ht="20.25" customHeight="1">
      <c r="A1152" s="696"/>
      <c r="B1152" s="697"/>
      <c r="C1152" s="342"/>
      <c r="D1152" s="475"/>
      <c r="E1152" s="699"/>
      <c r="F1152" s="475"/>
      <c r="G1152" s="699"/>
      <c r="H1152" s="699"/>
      <c r="I1152" s="463"/>
      <c r="J1152" s="475"/>
      <c r="K1152" s="699"/>
      <c r="L1152" s="475"/>
      <c r="M1152" s="699"/>
      <c r="N1152" s="699"/>
    </row>
    <row r="1153" ht="20.25" customHeight="1">
      <c r="A1153" s="701"/>
      <c r="B1153" s="702"/>
      <c r="C1153" s="341"/>
      <c r="D1153" s="463"/>
      <c r="E1153" s="455"/>
      <c r="F1153" s="463"/>
      <c r="G1153" s="455"/>
      <c r="H1153" s="455"/>
      <c r="I1153" s="463"/>
      <c r="J1153" s="463"/>
      <c r="K1153" s="455"/>
      <c r="L1153" s="463"/>
      <c r="M1153" s="455"/>
      <c r="N1153" s="455"/>
    </row>
    <row r="1154" ht="20.25" customHeight="1">
      <c r="A1154" s="696"/>
      <c r="B1154" s="697"/>
      <c r="C1154" s="342"/>
      <c r="D1154" s="475"/>
      <c r="E1154" s="699"/>
      <c r="F1154" s="475"/>
      <c r="G1154" s="699"/>
      <c r="H1154" s="699"/>
      <c r="I1154" s="463"/>
      <c r="J1154" s="475"/>
      <c r="K1154" s="699"/>
      <c r="L1154" s="475"/>
      <c r="M1154" s="699"/>
      <c r="N1154" s="699"/>
    </row>
    <row r="1155" ht="20.25" customHeight="1">
      <c r="A1155" s="701"/>
      <c r="B1155" s="702"/>
      <c r="C1155" s="341"/>
      <c r="D1155" s="463"/>
      <c r="E1155" s="455"/>
      <c r="F1155" s="463"/>
      <c r="G1155" s="455"/>
      <c r="H1155" s="455"/>
      <c r="I1155" s="463"/>
      <c r="J1155" s="463"/>
      <c r="K1155" s="455"/>
      <c r="L1155" s="463"/>
      <c r="M1155" s="455"/>
      <c r="N1155" s="455"/>
    </row>
    <row r="1156" ht="20.25" customHeight="1">
      <c r="A1156" s="696"/>
      <c r="B1156" s="697"/>
      <c r="C1156" s="342"/>
      <c r="D1156" s="475"/>
      <c r="E1156" s="699"/>
      <c r="F1156" s="475"/>
      <c r="G1156" s="699"/>
      <c r="H1156" s="699"/>
      <c r="I1156" s="463"/>
      <c r="J1156" s="475"/>
      <c r="K1156" s="699"/>
      <c r="L1156" s="475"/>
      <c r="M1156" s="699"/>
      <c r="N1156" s="699"/>
    </row>
    <row r="1157" ht="20.25" customHeight="1">
      <c r="A1157" s="701"/>
      <c r="B1157" s="702"/>
      <c r="C1157" s="341"/>
      <c r="D1157" s="463"/>
      <c r="E1157" s="455"/>
      <c r="F1157" s="463"/>
      <c r="G1157" s="455"/>
      <c r="H1157" s="455"/>
      <c r="I1157" s="463"/>
      <c r="J1157" s="463"/>
      <c r="K1157" s="455"/>
      <c r="L1157" s="463"/>
      <c r="M1157" s="455"/>
      <c r="N1157" s="455"/>
    </row>
    <row r="1158" ht="20.25" customHeight="1">
      <c r="A1158" s="696"/>
      <c r="B1158" s="697"/>
      <c r="C1158" s="342"/>
      <c r="D1158" s="475"/>
      <c r="E1158" s="699"/>
      <c r="F1158" s="475"/>
      <c r="G1158" s="699"/>
      <c r="H1158" s="699"/>
      <c r="I1158" s="463"/>
      <c r="J1158" s="475"/>
      <c r="K1158" s="699"/>
      <c r="L1158" s="475"/>
      <c r="M1158" s="699"/>
      <c r="N1158" s="699"/>
    </row>
    <row r="1159" ht="20.25" customHeight="1">
      <c r="A1159" s="701"/>
      <c r="B1159" s="702"/>
      <c r="C1159" s="341"/>
      <c r="D1159" s="463"/>
      <c r="E1159" s="455"/>
      <c r="F1159" s="463"/>
      <c r="G1159" s="455"/>
      <c r="H1159" s="455"/>
      <c r="I1159" s="463"/>
      <c r="J1159" s="463"/>
      <c r="K1159" s="455"/>
      <c r="L1159" s="463"/>
      <c r="M1159" s="455"/>
      <c r="N1159" s="455"/>
    </row>
    <row r="1160" ht="20.25" customHeight="1">
      <c r="A1160" s="696"/>
      <c r="B1160" s="697"/>
      <c r="C1160" s="342"/>
      <c r="D1160" s="475"/>
      <c r="E1160" s="699"/>
      <c r="F1160" s="475"/>
      <c r="G1160" s="699"/>
      <c r="H1160" s="699"/>
      <c r="I1160" s="463"/>
      <c r="J1160" s="475"/>
      <c r="K1160" s="699"/>
      <c r="L1160" s="475"/>
      <c r="M1160" s="699"/>
      <c r="N1160" s="699"/>
    </row>
    <row r="1161" ht="20.25" customHeight="1">
      <c r="A1161" s="701"/>
      <c r="B1161" s="702"/>
      <c r="C1161" s="341"/>
      <c r="D1161" s="463"/>
      <c r="E1161" s="455"/>
      <c r="F1161" s="463"/>
      <c r="G1161" s="455"/>
      <c r="H1161" s="455"/>
      <c r="I1161" s="463"/>
      <c r="J1161" s="463"/>
      <c r="K1161" s="455"/>
      <c r="L1161" s="463"/>
      <c r="M1161" s="455"/>
      <c r="N1161" s="455"/>
    </row>
    <row r="1162" ht="20.25" customHeight="1">
      <c r="A1162" s="696"/>
      <c r="B1162" s="697"/>
      <c r="C1162" s="342"/>
      <c r="D1162" s="475"/>
      <c r="E1162" s="699"/>
      <c r="F1162" s="475"/>
      <c r="G1162" s="699"/>
      <c r="H1162" s="699"/>
      <c r="I1162" s="463"/>
      <c r="J1162" s="475"/>
      <c r="K1162" s="699"/>
      <c r="L1162" s="475"/>
      <c r="M1162" s="699"/>
      <c r="N1162" s="699"/>
    </row>
    <row r="1163" ht="20.25" customHeight="1">
      <c r="A1163" s="701"/>
      <c r="B1163" s="702"/>
      <c r="C1163" s="341"/>
      <c r="D1163" s="463"/>
      <c r="E1163" s="455"/>
      <c r="F1163" s="463"/>
      <c r="G1163" s="455"/>
      <c r="H1163" s="455"/>
      <c r="I1163" s="463"/>
      <c r="J1163" s="463"/>
      <c r="K1163" s="455"/>
      <c r="L1163" s="463"/>
      <c r="M1163" s="455"/>
      <c r="N1163" s="455"/>
    </row>
    <row r="1164" ht="20.25" customHeight="1">
      <c r="A1164" s="696"/>
      <c r="B1164" s="697"/>
      <c r="C1164" s="342"/>
      <c r="D1164" s="475"/>
      <c r="E1164" s="699"/>
      <c r="F1164" s="475"/>
      <c r="G1164" s="699"/>
      <c r="H1164" s="699"/>
      <c r="I1164" s="463"/>
      <c r="J1164" s="475"/>
      <c r="K1164" s="699"/>
      <c r="L1164" s="475"/>
      <c r="M1164" s="699"/>
      <c r="N1164" s="699"/>
    </row>
    <row r="1165" ht="20.25" customHeight="1">
      <c r="A1165" s="701"/>
      <c r="B1165" s="702"/>
      <c r="C1165" s="341"/>
      <c r="D1165" s="463"/>
      <c r="E1165" s="455"/>
      <c r="F1165" s="463"/>
      <c r="G1165" s="455"/>
      <c r="H1165" s="455"/>
      <c r="I1165" s="463"/>
      <c r="J1165" s="463"/>
      <c r="K1165" s="455"/>
      <c r="L1165" s="463"/>
      <c r="M1165" s="455"/>
      <c r="N1165" s="455"/>
    </row>
    <row r="1166" ht="20.25" customHeight="1">
      <c r="A1166" s="696"/>
      <c r="B1166" s="697"/>
      <c r="C1166" s="342"/>
      <c r="D1166" s="475"/>
      <c r="E1166" s="699"/>
      <c r="F1166" s="475"/>
      <c r="G1166" s="699"/>
      <c r="H1166" s="699"/>
      <c r="I1166" s="463"/>
      <c r="J1166" s="475"/>
      <c r="K1166" s="699"/>
      <c r="L1166" s="475"/>
      <c r="M1166" s="699"/>
      <c r="N1166" s="699"/>
    </row>
    <row r="1167" ht="20.25" customHeight="1">
      <c r="A1167" s="701"/>
      <c r="B1167" s="702"/>
      <c r="C1167" s="341"/>
      <c r="D1167" s="463"/>
      <c r="E1167" s="455"/>
      <c r="F1167" s="463"/>
      <c r="G1167" s="455"/>
      <c r="H1167" s="455"/>
      <c r="I1167" s="463"/>
      <c r="J1167" s="463"/>
      <c r="K1167" s="455"/>
      <c r="L1167" s="463"/>
      <c r="M1167" s="455"/>
      <c r="N1167" s="455"/>
    </row>
    <row r="1168" ht="20.25" customHeight="1">
      <c r="A1168" s="696"/>
      <c r="B1168" s="697"/>
      <c r="C1168" s="342"/>
      <c r="D1168" s="475"/>
      <c r="E1168" s="699"/>
      <c r="F1168" s="475"/>
      <c r="G1168" s="699"/>
      <c r="H1168" s="699"/>
      <c r="I1168" s="463"/>
      <c r="J1168" s="475"/>
      <c r="K1168" s="699"/>
      <c r="L1168" s="475"/>
      <c r="M1168" s="699"/>
      <c r="N1168" s="699"/>
    </row>
    <row r="1169" ht="20.25" customHeight="1">
      <c r="A1169" s="701"/>
      <c r="B1169" s="702"/>
      <c r="C1169" s="341"/>
      <c r="D1169" s="463"/>
      <c r="E1169" s="455"/>
      <c r="F1169" s="463"/>
      <c r="G1169" s="455"/>
      <c r="H1169" s="455"/>
      <c r="I1169" s="463"/>
      <c r="J1169" s="463"/>
      <c r="K1169" s="455"/>
      <c r="L1169" s="463"/>
      <c r="M1169" s="455"/>
      <c r="N1169" s="455"/>
    </row>
    <row r="1170" ht="20.25" customHeight="1">
      <c r="A1170" s="696"/>
      <c r="B1170" s="697"/>
      <c r="C1170" s="342"/>
      <c r="D1170" s="475"/>
      <c r="E1170" s="699"/>
      <c r="F1170" s="475"/>
      <c r="G1170" s="699"/>
      <c r="H1170" s="699"/>
      <c r="I1170" s="463"/>
      <c r="J1170" s="475"/>
      <c r="K1170" s="699"/>
      <c r="L1170" s="475"/>
      <c r="M1170" s="699"/>
      <c r="N1170" s="699"/>
    </row>
    <row r="1171" ht="20.25" customHeight="1">
      <c r="A1171" s="701"/>
      <c r="B1171" s="702"/>
      <c r="C1171" s="341"/>
      <c r="D1171" s="463"/>
      <c r="E1171" s="455"/>
      <c r="F1171" s="463"/>
      <c r="G1171" s="455"/>
      <c r="H1171" s="455"/>
      <c r="I1171" s="463"/>
      <c r="J1171" s="463"/>
      <c r="K1171" s="455"/>
      <c r="L1171" s="463"/>
      <c r="M1171" s="455"/>
      <c r="N1171" s="455"/>
    </row>
    <row r="1172" ht="20.25" customHeight="1">
      <c r="A1172" s="696"/>
      <c r="B1172" s="697"/>
      <c r="C1172" s="342"/>
      <c r="D1172" s="475"/>
      <c r="E1172" s="699"/>
      <c r="F1172" s="475"/>
      <c r="G1172" s="699"/>
      <c r="H1172" s="699"/>
      <c r="I1172" s="463"/>
      <c r="J1172" s="475"/>
      <c r="K1172" s="699"/>
      <c r="L1172" s="475"/>
      <c r="M1172" s="699"/>
      <c r="N1172" s="699"/>
    </row>
    <row r="1173" ht="20.25" customHeight="1">
      <c r="A1173" s="701"/>
      <c r="B1173" s="702"/>
      <c r="C1173" s="341"/>
      <c r="D1173" s="463"/>
      <c r="E1173" s="455"/>
      <c r="F1173" s="463"/>
      <c r="G1173" s="455"/>
      <c r="H1173" s="455"/>
      <c r="I1173" s="463"/>
      <c r="J1173" s="463"/>
      <c r="K1173" s="455"/>
      <c r="L1173" s="463"/>
      <c r="M1173" s="455"/>
      <c r="N1173" s="455"/>
    </row>
    <row r="1174" ht="20.25" customHeight="1">
      <c r="A1174" s="696"/>
      <c r="B1174" s="697"/>
      <c r="C1174" s="342"/>
      <c r="D1174" s="475"/>
      <c r="E1174" s="699"/>
      <c r="F1174" s="475"/>
      <c r="G1174" s="699"/>
      <c r="H1174" s="699"/>
      <c r="I1174" s="463"/>
      <c r="J1174" s="475"/>
      <c r="K1174" s="699"/>
      <c r="L1174" s="475"/>
      <c r="M1174" s="699"/>
      <c r="N1174" s="699"/>
    </row>
    <row r="1175" ht="20.25" customHeight="1">
      <c r="A1175" s="701"/>
      <c r="B1175" s="702"/>
      <c r="C1175" s="341"/>
      <c r="D1175" s="463"/>
      <c r="E1175" s="455"/>
      <c r="F1175" s="463"/>
      <c r="G1175" s="455"/>
      <c r="H1175" s="455"/>
      <c r="I1175" s="463"/>
      <c r="J1175" s="463"/>
      <c r="K1175" s="455"/>
      <c r="L1175" s="463"/>
      <c r="M1175" s="455"/>
      <c r="N1175" s="455"/>
    </row>
    <row r="1176" ht="20.25" customHeight="1">
      <c r="A1176" s="696"/>
      <c r="B1176" s="697"/>
      <c r="C1176" s="342"/>
      <c r="D1176" s="475"/>
      <c r="E1176" s="699"/>
      <c r="F1176" s="475"/>
      <c r="G1176" s="699"/>
      <c r="H1176" s="699"/>
      <c r="I1176" s="463"/>
      <c r="J1176" s="475"/>
      <c r="K1176" s="699"/>
      <c r="L1176" s="475"/>
      <c r="M1176" s="699"/>
      <c r="N1176" s="699"/>
    </row>
    <row r="1177" ht="20.25" customHeight="1">
      <c r="A1177" s="701"/>
      <c r="B1177" s="702"/>
      <c r="C1177" s="341"/>
      <c r="D1177" s="463"/>
      <c r="E1177" s="455"/>
      <c r="F1177" s="463"/>
      <c r="G1177" s="455"/>
      <c r="H1177" s="455"/>
      <c r="I1177" s="463"/>
      <c r="J1177" s="463"/>
      <c r="K1177" s="455"/>
      <c r="L1177" s="463"/>
      <c r="M1177" s="455"/>
      <c r="N1177" s="455"/>
    </row>
    <row r="1178" ht="20.25" customHeight="1">
      <c r="A1178" s="696"/>
      <c r="B1178" s="697"/>
      <c r="C1178" s="342"/>
      <c r="D1178" s="475"/>
      <c r="E1178" s="699"/>
      <c r="F1178" s="475"/>
      <c r="G1178" s="699"/>
      <c r="H1178" s="699"/>
      <c r="I1178" s="463"/>
      <c r="J1178" s="475"/>
      <c r="K1178" s="699"/>
      <c r="L1178" s="475"/>
      <c r="M1178" s="699"/>
      <c r="N1178" s="699"/>
    </row>
    <row r="1179" ht="20.25" customHeight="1">
      <c r="A1179" s="701"/>
      <c r="B1179" s="702"/>
      <c r="C1179" s="341"/>
      <c r="D1179" s="463"/>
      <c r="E1179" s="455"/>
      <c r="F1179" s="463"/>
      <c r="G1179" s="455"/>
      <c r="H1179" s="455"/>
      <c r="I1179" s="463"/>
      <c r="J1179" s="463"/>
      <c r="K1179" s="455"/>
      <c r="L1179" s="463"/>
      <c r="M1179" s="455"/>
      <c r="N1179" s="455"/>
    </row>
    <row r="1180" ht="20.25" customHeight="1">
      <c r="A1180" s="696"/>
      <c r="B1180" s="697"/>
      <c r="C1180" s="342"/>
      <c r="D1180" s="475"/>
      <c r="E1180" s="699"/>
      <c r="F1180" s="475"/>
      <c r="G1180" s="699"/>
      <c r="H1180" s="699"/>
      <c r="I1180" s="463"/>
      <c r="J1180" s="475"/>
      <c r="K1180" s="699"/>
      <c r="L1180" s="475"/>
      <c r="M1180" s="699"/>
      <c r="N1180" s="699"/>
    </row>
    <row r="1181" ht="20.25" customHeight="1">
      <c r="A1181" s="701"/>
      <c r="B1181" s="702"/>
      <c r="C1181" s="341"/>
      <c r="D1181" s="463"/>
      <c r="E1181" s="455"/>
      <c r="F1181" s="463"/>
      <c r="G1181" s="455"/>
      <c r="H1181" s="455"/>
      <c r="I1181" s="463"/>
      <c r="J1181" s="463"/>
      <c r="K1181" s="455"/>
      <c r="L1181" s="463"/>
      <c r="M1181" s="455"/>
      <c r="N1181" s="455"/>
    </row>
    <row r="1182" ht="20.25" customHeight="1">
      <c r="A1182" s="696"/>
      <c r="B1182" s="697"/>
      <c r="C1182" s="342"/>
      <c r="D1182" s="475"/>
      <c r="E1182" s="699"/>
      <c r="F1182" s="475"/>
      <c r="G1182" s="699"/>
      <c r="H1182" s="699"/>
      <c r="I1182" s="463"/>
      <c r="J1182" s="475"/>
      <c r="K1182" s="699"/>
      <c r="L1182" s="475"/>
      <c r="M1182" s="699"/>
      <c r="N1182" s="699"/>
    </row>
    <row r="1183" ht="20.25" customHeight="1">
      <c r="A1183" s="701"/>
      <c r="B1183" s="702"/>
      <c r="C1183" s="341"/>
      <c r="D1183" s="463"/>
      <c r="E1183" s="455"/>
      <c r="F1183" s="463"/>
      <c r="G1183" s="455"/>
      <c r="H1183" s="455"/>
      <c r="I1183" s="463"/>
      <c r="J1183" s="463"/>
      <c r="K1183" s="455"/>
      <c r="L1183" s="463"/>
      <c r="M1183" s="455"/>
      <c r="N1183" s="455"/>
    </row>
    <row r="1184" ht="20.25" customHeight="1">
      <c r="A1184" s="696"/>
      <c r="B1184" s="697"/>
      <c r="C1184" s="342"/>
      <c r="D1184" s="475"/>
      <c r="E1184" s="699"/>
      <c r="F1184" s="475"/>
      <c r="G1184" s="699"/>
      <c r="H1184" s="699"/>
      <c r="I1184" s="463"/>
      <c r="J1184" s="475"/>
      <c r="K1184" s="699"/>
      <c r="L1184" s="475"/>
      <c r="M1184" s="699"/>
      <c r="N1184" s="699"/>
    </row>
    <row r="1185" ht="20.25" customHeight="1">
      <c r="A1185" s="701"/>
      <c r="B1185" s="702"/>
      <c r="C1185" s="341"/>
      <c r="D1185" s="463"/>
      <c r="E1185" s="455"/>
      <c r="F1185" s="463"/>
      <c r="G1185" s="455"/>
      <c r="H1185" s="455"/>
      <c r="I1185" s="463"/>
      <c r="J1185" s="463"/>
      <c r="K1185" s="455"/>
      <c r="L1185" s="463"/>
      <c r="M1185" s="455"/>
      <c r="N1185" s="455"/>
    </row>
    <row r="1186" ht="20.25" customHeight="1">
      <c r="A1186" s="696"/>
      <c r="B1186" s="697"/>
      <c r="C1186" s="342"/>
      <c r="D1186" s="475"/>
      <c r="E1186" s="699"/>
      <c r="F1186" s="475"/>
      <c r="G1186" s="699"/>
      <c r="H1186" s="699"/>
      <c r="I1186" s="463"/>
      <c r="J1186" s="475"/>
      <c r="K1186" s="699"/>
      <c r="L1186" s="475"/>
      <c r="M1186" s="699"/>
      <c r="N1186" s="699"/>
    </row>
    <row r="1187" ht="20.25" customHeight="1">
      <c r="A1187" s="701"/>
      <c r="B1187" s="702"/>
      <c r="C1187" s="341"/>
      <c r="D1187" s="463"/>
      <c r="E1187" s="455"/>
      <c r="F1187" s="463"/>
      <c r="G1187" s="455"/>
      <c r="H1187" s="455"/>
      <c r="I1187" s="463"/>
      <c r="J1187" s="463"/>
      <c r="K1187" s="455"/>
      <c r="L1187" s="463"/>
      <c r="M1187" s="455"/>
      <c r="N1187" s="455"/>
    </row>
    <row r="1188" ht="20.25" customHeight="1">
      <c r="A1188" s="696"/>
      <c r="B1188" s="697"/>
      <c r="C1188" s="342"/>
      <c r="D1188" s="475"/>
      <c r="E1188" s="699"/>
      <c r="F1188" s="475"/>
      <c r="G1188" s="699"/>
      <c r="H1188" s="699"/>
      <c r="I1188" s="463"/>
      <c r="J1188" s="475"/>
      <c r="K1188" s="699"/>
      <c r="L1188" s="475"/>
      <c r="M1188" s="699"/>
      <c r="N1188" s="699"/>
    </row>
    <row r="1189" ht="20.25" customHeight="1">
      <c r="A1189" s="701"/>
      <c r="B1189" s="702"/>
      <c r="C1189" s="341"/>
      <c r="D1189" s="463"/>
      <c r="E1189" s="455"/>
      <c r="F1189" s="463"/>
      <c r="G1189" s="455"/>
      <c r="H1189" s="455"/>
      <c r="I1189" s="463"/>
      <c r="J1189" s="463"/>
      <c r="K1189" s="455"/>
      <c r="L1189" s="463"/>
      <c r="M1189" s="455"/>
      <c r="N1189" s="455"/>
    </row>
    <row r="1190" ht="20.25" customHeight="1">
      <c r="A1190" s="696"/>
      <c r="B1190" s="697"/>
      <c r="C1190" s="342"/>
      <c r="D1190" s="475"/>
      <c r="E1190" s="699"/>
      <c r="F1190" s="475"/>
      <c r="G1190" s="699"/>
      <c r="H1190" s="699"/>
      <c r="I1190" s="463"/>
      <c r="J1190" s="475"/>
      <c r="K1190" s="699"/>
      <c r="L1190" s="475"/>
      <c r="M1190" s="699"/>
      <c r="N1190" s="699"/>
    </row>
    <row r="1191" ht="20.25" customHeight="1">
      <c r="A1191" s="701"/>
      <c r="B1191" s="702"/>
      <c r="C1191" s="341"/>
      <c r="D1191" s="463"/>
      <c r="E1191" s="455"/>
      <c r="F1191" s="463"/>
      <c r="G1191" s="455"/>
      <c r="H1191" s="455"/>
      <c r="I1191" s="463"/>
      <c r="J1191" s="463"/>
      <c r="K1191" s="455"/>
      <c r="L1191" s="463"/>
      <c r="M1191" s="455"/>
      <c r="N1191" s="455"/>
    </row>
    <row r="1192" ht="20.25" customHeight="1">
      <c r="A1192" s="696"/>
      <c r="B1192" s="697"/>
      <c r="C1192" s="342"/>
      <c r="D1192" s="475"/>
      <c r="E1192" s="699"/>
      <c r="F1192" s="475"/>
      <c r="G1192" s="699"/>
      <c r="H1192" s="699"/>
      <c r="I1192" s="463"/>
      <c r="J1192" s="475"/>
      <c r="K1192" s="699"/>
      <c r="L1192" s="475"/>
      <c r="M1192" s="699"/>
      <c r="N1192" s="699"/>
    </row>
    <row r="1193" ht="20.25" customHeight="1">
      <c r="A1193" s="701"/>
      <c r="B1193" s="702"/>
      <c r="C1193" s="341"/>
      <c r="D1193" s="463"/>
      <c r="E1193" s="455"/>
      <c r="F1193" s="463"/>
      <c r="G1193" s="455"/>
      <c r="H1193" s="455"/>
      <c r="I1193" s="463"/>
      <c r="J1193" s="463"/>
      <c r="K1193" s="455"/>
      <c r="L1193" s="463"/>
      <c r="M1193" s="455"/>
      <c r="N1193" s="455"/>
    </row>
    <row r="1194" ht="20.25" customHeight="1">
      <c r="A1194" s="696"/>
      <c r="B1194" s="697"/>
      <c r="C1194" s="342"/>
      <c r="D1194" s="475"/>
      <c r="E1194" s="699"/>
      <c r="F1194" s="475"/>
      <c r="G1194" s="699"/>
      <c r="H1194" s="699"/>
      <c r="I1194" s="463"/>
      <c r="J1194" s="475"/>
      <c r="K1194" s="699"/>
      <c r="L1194" s="475"/>
      <c r="M1194" s="699"/>
      <c r="N1194" s="699"/>
    </row>
    <row r="1195" ht="20.25" customHeight="1">
      <c r="A1195" s="701"/>
      <c r="B1195" s="702"/>
      <c r="C1195" s="341"/>
      <c r="D1195" s="463"/>
      <c r="E1195" s="455"/>
      <c r="F1195" s="463"/>
      <c r="G1195" s="455"/>
      <c r="H1195" s="455"/>
      <c r="I1195" s="463"/>
      <c r="J1195" s="463"/>
      <c r="K1195" s="455"/>
      <c r="L1195" s="463"/>
      <c r="M1195" s="455"/>
      <c r="N1195" s="455"/>
    </row>
    <row r="1196" ht="20.25" customHeight="1">
      <c r="A1196" s="696"/>
      <c r="B1196" s="697"/>
      <c r="C1196" s="342"/>
      <c r="D1196" s="475"/>
      <c r="E1196" s="699"/>
      <c r="F1196" s="475"/>
      <c r="G1196" s="699"/>
      <c r="H1196" s="699"/>
      <c r="I1196" s="463"/>
      <c r="J1196" s="475"/>
      <c r="K1196" s="699"/>
      <c r="L1196" s="475"/>
      <c r="M1196" s="699"/>
      <c r="N1196" s="699"/>
    </row>
    <row r="1197" ht="20.25" customHeight="1">
      <c r="A1197" s="701"/>
      <c r="B1197" s="702"/>
      <c r="C1197" s="341"/>
      <c r="D1197" s="463"/>
      <c r="E1197" s="455"/>
      <c r="F1197" s="463"/>
      <c r="G1197" s="455"/>
      <c r="H1197" s="455"/>
      <c r="I1197" s="463"/>
      <c r="J1197" s="463"/>
      <c r="K1197" s="455"/>
      <c r="L1197" s="463"/>
      <c r="M1197" s="455"/>
      <c r="N1197" s="455"/>
    </row>
    <row r="1198" ht="20.25" customHeight="1">
      <c r="A1198" s="696"/>
      <c r="B1198" s="697"/>
      <c r="C1198" s="342"/>
      <c r="D1198" s="475"/>
      <c r="E1198" s="699"/>
      <c r="F1198" s="475"/>
      <c r="G1198" s="699"/>
      <c r="H1198" s="699"/>
      <c r="I1198" s="463"/>
      <c r="J1198" s="475"/>
      <c r="K1198" s="699"/>
      <c r="L1198" s="475"/>
      <c r="M1198" s="699"/>
      <c r="N1198" s="699"/>
    </row>
    <row r="1199" ht="20.25" customHeight="1">
      <c r="A1199" s="701"/>
      <c r="B1199" s="702"/>
      <c r="C1199" s="341"/>
      <c r="D1199" s="463"/>
      <c r="E1199" s="455"/>
      <c r="F1199" s="463"/>
      <c r="G1199" s="455"/>
      <c r="H1199" s="455"/>
      <c r="I1199" s="463"/>
      <c r="J1199" s="463"/>
      <c r="K1199" s="455"/>
      <c r="L1199" s="463"/>
      <c r="M1199" s="455"/>
      <c r="N1199" s="455"/>
    </row>
    <row r="1200" ht="20.25" customHeight="1">
      <c r="A1200" s="696"/>
      <c r="B1200" s="697"/>
      <c r="C1200" s="342"/>
      <c r="D1200" s="475"/>
      <c r="E1200" s="699"/>
      <c r="F1200" s="475"/>
      <c r="G1200" s="699"/>
      <c r="H1200" s="699"/>
      <c r="I1200" s="463"/>
      <c r="J1200" s="475"/>
      <c r="K1200" s="699"/>
      <c r="L1200" s="475"/>
      <c r="M1200" s="699"/>
      <c r="N1200" s="699"/>
    </row>
    <row r="1201" ht="20.25" customHeight="1">
      <c r="A1201" s="701"/>
      <c r="B1201" s="702"/>
      <c r="C1201" s="341"/>
      <c r="D1201" s="463"/>
      <c r="E1201" s="455"/>
      <c r="F1201" s="463"/>
      <c r="G1201" s="455"/>
      <c r="H1201" s="455"/>
      <c r="I1201" s="463"/>
      <c r="J1201" s="463"/>
      <c r="K1201" s="455"/>
      <c r="L1201" s="463"/>
      <c r="M1201" s="455"/>
      <c r="N1201" s="455"/>
    </row>
    <row r="1202" ht="20.25" customHeight="1">
      <c r="A1202" s="696"/>
      <c r="B1202" s="697"/>
      <c r="C1202" s="342"/>
      <c r="D1202" s="475"/>
      <c r="E1202" s="699"/>
      <c r="F1202" s="475"/>
      <c r="G1202" s="699"/>
      <c r="H1202" s="699"/>
      <c r="I1202" s="463"/>
      <c r="J1202" s="475"/>
      <c r="K1202" s="699"/>
      <c r="L1202" s="475"/>
      <c r="M1202" s="699"/>
      <c r="N1202" s="699"/>
    </row>
    <row r="1203" ht="20.25" customHeight="1">
      <c r="A1203" s="701"/>
      <c r="B1203" s="702"/>
      <c r="C1203" s="341"/>
      <c r="D1203" s="463"/>
      <c r="E1203" s="455"/>
      <c r="F1203" s="463"/>
      <c r="G1203" s="455"/>
      <c r="H1203" s="455"/>
      <c r="I1203" s="463"/>
      <c r="J1203" s="463"/>
      <c r="K1203" s="455"/>
      <c r="L1203" s="463"/>
      <c r="M1203" s="455"/>
      <c r="N1203" s="455"/>
    </row>
    <row r="1204" ht="20.25" customHeight="1">
      <c r="A1204" s="696"/>
      <c r="B1204" s="697"/>
      <c r="C1204" s="342"/>
      <c r="D1204" s="475"/>
      <c r="E1204" s="699"/>
      <c r="F1204" s="475"/>
      <c r="G1204" s="699"/>
      <c r="H1204" s="699"/>
      <c r="I1204" s="463"/>
      <c r="J1204" s="475"/>
      <c r="K1204" s="699"/>
      <c r="L1204" s="475"/>
      <c r="M1204" s="699"/>
      <c r="N1204" s="699"/>
    </row>
    <row r="1205" ht="20.25" customHeight="1">
      <c r="A1205" s="701"/>
      <c r="B1205" s="702"/>
      <c r="C1205" s="341"/>
      <c r="D1205" s="463"/>
      <c r="E1205" s="455"/>
      <c r="F1205" s="463"/>
      <c r="G1205" s="455"/>
      <c r="H1205" s="455"/>
      <c r="I1205" s="463"/>
      <c r="J1205" s="463"/>
      <c r="K1205" s="455"/>
      <c r="L1205" s="463"/>
      <c r="M1205" s="455"/>
      <c r="N1205" s="455"/>
    </row>
    <row r="1206" ht="20.25" customHeight="1">
      <c r="A1206" s="696"/>
      <c r="B1206" s="697"/>
      <c r="C1206" s="342"/>
      <c r="D1206" s="475"/>
      <c r="E1206" s="699"/>
      <c r="F1206" s="475"/>
      <c r="G1206" s="699"/>
      <c r="H1206" s="699"/>
      <c r="I1206" s="463"/>
      <c r="J1206" s="475"/>
      <c r="K1206" s="699"/>
      <c r="L1206" s="475"/>
      <c r="M1206" s="699"/>
      <c r="N1206" s="699"/>
    </row>
    <row r="1207" ht="20.25" customHeight="1">
      <c r="A1207" s="701"/>
      <c r="B1207" s="702"/>
      <c r="C1207" s="341"/>
      <c r="D1207" s="463"/>
      <c r="E1207" s="455"/>
      <c r="F1207" s="463"/>
      <c r="G1207" s="455"/>
      <c r="H1207" s="455"/>
      <c r="I1207" s="463"/>
      <c r="J1207" s="463"/>
      <c r="K1207" s="455"/>
      <c r="L1207" s="463"/>
      <c r="M1207" s="455"/>
      <c r="N1207" s="455"/>
    </row>
    <row r="1208" ht="20.25" customHeight="1">
      <c r="A1208" s="696"/>
      <c r="B1208" s="697"/>
      <c r="C1208" s="342"/>
      <c r="D1208" s="475"/>
      <c r="E1208" s="699"/>
      <c r="F1208" s="475"/>
      <c r="G1208" s="699"/>
      <c r="H1208" s="699"/>
      <c r="I1208" s="463"/>
      <c r="J1208" s="475"/>
      <c r="K1208" s="699"/>
      <c r="L1208" s="475"/>
      <c r="M1208" s="699"/>
      <c r="N1208" s="699"/>
    </row>
    <row r="1209" ht="20.25" customHeight="1">
      <c r="A1209" s="701"/>
      <c r="B1209" s="702"/>
      <c r="C1209" s="341"/>
      <c r="D1209" s="463"/>
      <c r="E1209" s="455"/>
      <c r="F1209" s="463"/>
      <c r="G1209" s="455"/>
      <c r="H1209" s="455"/>
      <c r="I1209" s="463"/>
      <c r="J1209" s="463"/>
      <c r="K1209" s="455"/>
      <c r="L1209" s="463"/>
      <c r="M1209" s="455"/>
      <c r="N1209" s="455"/>
    </row>
    <row r="1210" ht="20.25" customHeight="1">
      <c r="A1210" s="696"/>
      <c r="B1210" s="697"/>
      <c r="C1210" s="342"/>
      <c r="D1210" s="475"/>
      <c r="E1210" s="699"/>
      <c r="F1210" s="475"/>
      <c r="G1210" s="699"/>
      <c r="H1210" s="699"/>
      <c r="I1210" s="463"/>
      <c r="J1210" s="475"/>
      <c r="K1210" s="699"/>
      <c r="L1210" s="475"/>
      <c r="M1210" s="699"/>
      <c r="N1210" s="699"/>
    </row>
    <row r="1211" ht="20.25" customHeight="1">
      <c r="A1211" s="701"/>
      <c r="B1211" s="702"/>
      <c r="C1211" s="341"/>
      <c r="D1211" s="463"/>
      <c r="E1211" s="455"/>
      <c r="F1211" s="463"/>
      <c r="G1211" s="455"/>
      <c r="H1211" s="455"/>
      <c r="I1211" s="463"/>
      <c r="J1211" s="463"/>
      <c r="K1211" s="455"/>
      <c r="L1211" s="463"/>
      <c r="M1211" s="455"/>
      <c r="N1211" s="455"/>
    </row>
    <row r="1212" ht="20.25" customHeight="1">
      <c r="A1212" s="696"/>
      <c r="B1212" s="697"/>
      <c r="C1212" s="342"/>
      <c r="D1212" s="475"/>
      <c r="E1212" s="699"/>
      <c r="F1212" s="475"/>
      <c r="G1212" s="699"/>
      <c r="H1212" s="699"/>
      <c r="I1212" s="463"/>
      <c r="J1212" s="475"/>
      <c r="K1212" s="699"/>
      <c r="L1212" s="475"/>
      <c r="M1212" s="699"/>
      <c r="N1212" s="699"/>
    </row>
    <row r="1213" ht="20.25" customHeight="1">
      <c r="A1213" s="701"/>
      <c r="B1213" s="702"/>
      <c r="C1213" s="341"/>
      <c r="D1213" s="463"/>
      <c r="E1213" s="455"/>
      <c r="F1213" s="463"/>
      <c r="G1213" s="455"/>
      <c r="H1213" s="455"/>
      <c r="I1213" s="463"/>
      <c r="J1213" s="463"/>
      <c r="K1213" s="455"/>
      <c r="L1213" s="463"/>
      <c r="M1213" s="455"/>
      <c r="N1213" s="455"/>
    </row>
    <row r="1214" ht="20.25" customHeight="1">
      <c r="A1214" s="696"/>
      <c r="B1214" s="697"/>
      <c r="C1214" s="342"/>
      <c r="D1214" s="475"/>
      <c r="E1214" s="699"/>
      <c r="F1214" s="475"/>
      <c r="G1214" s="699"/>
      <c r="H1214" s="699"/>
      <c r="I1214" s="463"/>
      <c r="J1214" s="475"/>
      <c r="K1214" s="699"/>
      <c r="L1214" s="475"/>
      <c r="M1214" s="699"/>
      <c r="N1214" s="699"/>
    </row>
    <row r="1215" ht="20.25" customHeight="1">
      <c r="A1215" s="701"/>
      <c r="B1215" s="702"/>
      <c r="C1215" s="341"/>
      <c r="D1215" s="463"/>
      <c r="E1215" s="455"/>
      <c r="F1215" s="463"/>
      <c r="G1215" s="455"/>
      <c r="H1215" s="455"/>
      <c r="I1215" s="463"/>
      <c r="J1215" s="463"/>
      <c r="K1215" s="455"/>
      <c r="L1215" s="463"/>
      <c r="M1215" s="455"/>
      <c r="N1215" s="455"/>
    </row>
    <row r="1216" ht="20.25" customHeight="1">
      <c r="A1216" s="696"/>
      <c r="B1216" s="697"/>
      <c r="C1216" s="342"/>
      <c r="D1216" s="475"/>
      <c r="E1216" s="699"/>
      <c r="F1216" s="475"/>
      <c r="G1216" s="699"/>
      <c r="H1216" s="699"/>
      <c r="I1216" s="463"/>
      <c r="J1216" s="475"/>
      <c r="K1216" s="699"/>
      <c r="L1216" s="475"/>
      <c r="M1216" s="699"/>
      <c r="N1216" s="699"/>
    </row>
    <row r="1217" ht="20.25" customHeight="1">
      <c r="A1217" s="701"/>
      <c r="B1217" s="702"/>
      <c r="C1217" s="341"/>
      <c r="D1217" s="463"/>
      <c r="E1217" s="455"/>
      <c r="F1217" s="463"/>
      <c r="G1217" s="455"/>
      <c r="H1217" s="455"/>
      <c r="I1217" s="463"/>
      <c r="J1217" s="463"/>
      <c r="K1217" s="455"/>
      <c r="L1217" s="463"/>
      <c r="M1217" s="455"/>
      <c r="N1217" s="455"/>
    </row>
    <row r="1218" ht="20.25" customHeight="1">
      <c r="A1218" s="696"/>
      <c r="B1218" s="697"/>
      <c r="C1218" s="342"/>
      <c r="D1218" s="475"/>
      <c r="E1218" s="699"/>
      <c r="F1218" s="475"/>
      <c r="G1218" s="699"/>
      <c r="H1218" s="699"/>
      <c r="I1218" s="463"/>
      <c r="J1218" s="475"/>
      <c r="K1218" s="699"/>
      <c r="L1218" s="475"/>
      <c r="M1218" s="699"/>
      <c r="N1218" s="699"/>
    </row>
    <row r="1219" ht="20.25" customHeight="1">
      <c r="A1219" s="701"/>
      <c r="B1219" s="702"/>
      <c r="C1219" s="341"/>
      <c r="D1219" s="463"/>
      <c r="E1219" s="455"/>
      <c r="F1219" s="463"/>
      <c r="G1219" s="455"/>
      <c r="H1219" s="455"/>
      <c r="I1219" s="463"/>
      <c r="J1219" s="463"/>
      <c r="K1219" s="455"/>
      <c r="L1219" s="463"/>
      <c r="M1219" s="455"/>
      <c r="N1219" s="455"/>
    </row>
    <row r="1220" ht="20.25" customHeight="1">
      <c r="A1220" s="696"/>
      <c r="B1220" s="697"/>
      <c r="C1220" s="342"/>
      <c r="D1220" s="475"/>
      <c r="E1220" s="699"/>
      <c r="F1220" s="475"/>
      <c r="G1220" s="699"/>
      <c r="H1220" s="699"/>
      <c r="I1220" s="463"/>
      <c r="J1220" s="475"/>
      <c r="K1220" s="699"/>
      <c r="L1220" s="475"/>
      <c r="M1220" s="699"/>
      <c r="N1220" s="699"/>
    </row>
    <row r="1221" ht="20.25" customHeight="1">
      <c r="A1221" s="701"/>
      <c r="B1221" s="702"/>
      <c r="C1221" s="341"/>
      <c r="D1221" s="463"/>
      <c r="E1221" s="455"/>
      <c r="F1221" s="463"/>
      <c r="G1221" s="455"/>
      <c r="H1221" s="455"/>
      <c r="I1221" s="463"/>
      <c r="J1221" s="463"/>
      <c r="K1221" s="455"/>
      <c r="L1221" s="463"/>
      <c r="M1221" s="455"/>
      <c r="N1221" s="455"/>
    </row>
    <row r="1222" ht="20.25" customHeight="1">
      <c r="A1222" s="696"/>
      <c r="B1222" s="697"/>
      <c r="C1222" s="342"/>
      <c r="D1222" s="475"/>
      <c r="E1222" s="699"/>
      <c r="F1222" s="475"/>
      <c r="G1222" s="699"/>
      <c r="H1222" s="699"/>
      <c r="I1222" s="463"/>
      <c r="J1222" s="475"/>
      <c r="K1222" s="699"/>
      <c r="L1222" s="475"/>
      <c r="M1222" s="699"/>
      <c r="N1222" s="699"/>
    </row>
    <row r="1223" ht="20.25" customHeight="1">
      <c r="A1223" s="701"/>
      <c r="B1223" s="702"/>
      <c r="C1223" s="341"/>
      <c r="D1223" s="463"/>
      <c r="E1223" s="455"/>
      <c r="F1223" s="463"/>
      <c r="G1223" s="455"/>
      <c r="H1223" s="455"/>
      <c r="I1223" s="463"/>
      <c r="J1223" s="463"/>
      <c r="K1223" s="455"/>
      <c r="L1223" s="463"/>
      <c r="M1223" s="455"/>
      <c r="N1223" s="455"/>
    </row>
    <row r="1224" ht="20.25" customHeight="1">
      <c r="A1224" s="696"/>
      <c r="B1224" s="697"/>
      <c r="C1224" s="342"/>
      <c r="D1224" s="475"/>
      <c r="E1224" s="699"/>
      <c r="F1224" s="475"/>
      <c r="G1224" s="699"/>
      <c r="H1224" s="699"/>
      <c r="I1224" s="463"/>
      <c r="J1224" s="475"/>
      <c r="K1224" s="699"/>
      <c r="L1224" s="475"/>
      <c r="M1224" s="699"/>
      <c r="N1224" s="699"/>
    </row>
    <row r="1225" ht="20.25" customHeight="1">
      <c r="A1225" s="701"/>
      <c r="B1225" s="702"/>
      <c r="C1225" s="341"/>
      <c r="D1225" s="463"/>
      <c r="E1225" s="455"/>
      <c r="F1225" s="463"/>
      <c r="G1225" s="455"/>
      <c r="H1225" s="455"/>
      <c r="I1225" s="463"/>
      <c r="J1225" s="463"/>
      <c r="K1225" s="455"/>
      <c r="L1225" s="463"/>
      <c r="M1225" s="455"/>
      <c r="N1225" s="455"/>
    </row>
    <row r="1226" ht="20.25" customHeight="1">
      <c r="A1226" s="696"/>
      <c r="B1226" s="697"/>
      <c r="C1226" s="342"/>
      <c r="D1226" s="475"/>
      <c r="E1226" s="699"/>
      <c r="F1226" s="475"/>
      <c r="G1226" s="699"/>
      <c r="H1226" s="699"/>
      <c r="I1226" s="463"/>
      <c r="J1226" s="475"/>
      <c r="K1226" s="699"/>
      <c r="L1226" s="475"/>
      <c r="M1226" s="699"/>
      <c r="N1226" s="699"/>
    </row>
    <row r="1227" ht="20.25" customHeight="1">
      <c r="A1227" s="701"/>
      <c r="B1227" s="702"/>
      <c r="C1227" s="341"/>
      <c r="D1227" s="463"/>
      <c r="E1227" s="455"/>
      <c r="F1227" s="463"/>
      <c r="G1227" s="455"/>
      <c r="H1227" s="455"/>
      <c r="I1227" s="463"/>
      <c r="J1227" s="463"/>
      <c r="K1227" s="455"/>
      <c r="L1227" s="463"/>
      <c r="M1227" s="455"/>
      <c r="N1227" s="455"/>
    </row>
    <row r="1228" ht="20.25" customHeight="1">
      <c r="A1228" s="696"/>
      <c r="B1228" s="697"/>
      <c r="C1228" s="342"/>
      <c r="D1228" s="475"/>
      <c r="E1228" s="699"/>
      <c r="F1228" s="475"/>
      <c r="G1228" s="699"/>
      <c r="H1228" s="699"/>
      <c r="I1228" s="463"/>
      <c r="J1228" s="475"/>
      <c r="K1228" s="699"/>
      <c r="L1228" s="475"/>
      <c r="M1228" s="699"/>
      <c r="N1228" s="699"/>
    </row>
    <row r="1229" ht="20.25" customHeight="1">
      <c r="A1229" s="701"/>
      <c r="B1229" s="702"/>
      <c r="C1229" s="341"/>
      <c r="D1229" s="463"/>
      <c r="E1229" s="455"/>
      <c r="F1229" s="463"/>
      <c r="G1229" s="455"/>
      <c r="H1229" s="455"/>
      <c r="I1229" s="463"/>
      <c r="J1229" s="463"/>
      <c r="K1229" s="455"/>
      <c r="L1229" s="463"/>
      <c r="M1229" s="455"/>
      <c r="N1229" s="455"/>
    </row>
    <row r="1230" ht="20.25" customHeight="1">
      <c r="A1230" s="696"/>
      <c r="B1230" s="697"/>
      <c r="C1230" s="342"/>
      <c r="D1230" s="475"/>
      <c r="E1230" s="699"/>
      <c r="F1230" s="475"/>
      <c r="G1230" s="699"/>
      <c r="H1230" s="699"/>
      <c r="I1230" s="463"/>
      <c r="J1230" s="475"/>
      <c r="K1230" s="699"/>
      <c r="L1230" s="475"/>
      <c r="M1230" s="699"/>
      <c r="N1230" s="699"/>
    </row>
    <row r="1231" ht="20.25" customHeight="1">
      <c r="A1231" s="701"/>
      <c r="B1231" s="702"/>
      <c r="C1231" s="341"/>
      <c r="D1231" s="463"/>
      <c r="E1231" s="455"/>
      <c r="F1231" s="463"/>
      <c r="G1231" s="455"/>
      <c r="H1231" s="455"/>
      <c r="I1231" s="463"/>
      <c r="J1231" s="463"/>
      <c r="K1231" s="455"/>
      <c r="L1231" s="463"/>
      <c r="M1231" s="455"/>
      <c r="N1231" s="455"/>
    </row>
    <row r="1232" ht="20.25" customHeight="1">
      <c r="A1232" s="696"/>
      <c r="B1232" s="697"/>
      <c r="C1232" s="342"/>
      <c r="D1232" s="475"/>
      <c r="E1232" s="699"/>
      <c r="F1232" s="475"/>
      <c r="G1232" s="699"/>
      <c r="H1232" s="699"/>
      <c r="I1232" s="463"/>
      <c r="J1232" s="475"/>
      <c r="K1232" s="699"/>
      <c r="L1232" s="475"/>
      <c r="M1232" s="699"/>
      <c r="N1232" s="699"/>
    </row>
    <row r="1233" ht="20.25" customHeight="1">
      <c r="A1233" s="701"/>
      <c r="B1233" s="702"/>
      <c r="C1233" s="341"/>
      <c r="D1233" s="463"/>
      <c r="E1233" s="455"/>
      <c r="F1233" s="463"/>
      <c r="G1233" s="455"/>
      <c r="H1233" s="455"/>
      <c r="I1233" s="463"/>
      <c r="J1233" s="463"/>
      <c r="K1233" s="455"/>
      <c r="L1233" s="463"/>
      <c r="M1233" s="455"/>
      <c r="N1233" s="455"/>
    </row>
    <row r="1234" ht="20.25" customHeight="1">
      <c r="A1234" s="696"/>
      <c r="B1234" s="697"/>
      <c r="C1234" s="342"/>
      <c r="D1234" s="475"/>
      <c r="E1234" s="699"/>
      <c r="F1234" s="475"/>
      <c r="G1234" s="699"/>
      <c r="H1234" s="699"/>
      <c r="I1234" s="463"/>
      <c r="J1234" s="475"/>
      <c r="K1234" s="699"/>
      <c r="L1234" s="475"/>
      <c r="M1234" s="699"/>
      <c r="N1234" s="699"/>
    </row>
    <row r="1235" ht="20.25" customHeight="1">
      <c r="A1235" s="701"/>
      <c r="B1235" s="702"/>
      <c r="C1235" s="341"/>
      <c r="D1235" s="463"/>
      <c r="E1235" s="455"/>
      <c r="F1235" s="463"/>
      <c r="G1235" s="455"/>
      <c r="H1235" s="455"/>
      <c r="I1235" s="463"/>
      <c r="J1235" s="463"/>
      <c r="K1235" s="455"/>
      <c r="L1235" s="463"/>
      <c r="M1235" s="455"/>
      <c r="N1235" s="455"/>
    </row>
    <row r="1236" ht="20.25" customHeight="1">
      <c r="A1236" s="696"/>
      <c r="B1236" s="697"/>
      <c r="C1236" s="342"/>
      <c r="D1236" s="475"/>
      <c r="E1236" s="699"/>
      <c r="F1236" s="475"/>
      <c r="G1236" s="699"/>
      <c r="H1236" s="699"/>
      <c r="I1236" s="463"/>
      <c r="J1236" s="475"/>
      <c r="K1236" s="699"/>
      <c r="L1236" s="475"/>
      <c r="M1236" s="699"/>
      <c r="N1236" s="699"/>
    </row>
    <row r="1237" ht="20.25" customHeight="1">
      <c r="A1237" s="701"/>
      <c r="B1237" s="702"/>
      <c r="C1237" s="341"/>
      <c r="D1237" s="463"/>
      <c r="E1237" s="455"/>
      <c r="F1237" s="463"/>
      <c r="G1237" s="455"/>
      <c r="H1237" s="455"/>
      <c r="I1237" s="463"/>
      <c r="J1237" s="463"/>
      <c r="K1237" s="455"/>
      <c r="L1237" s="463"/>
      <c r="M1237" s="455"/>
      <c r="N1237" s="455"/>
    </row>
    <row r="1238" ht="20.25" customHeight="1">
      <c r="A1238" s="696"/>
      <c r="B1238" s="697"/>
      <c r="C1238" s="342"/>
      <c r="D1238" s="475"/>
      <c r="E1238" s="699"/>
      <c r="F1238" s="475"/>
      <c r="G1238" s="699"/>
      <c r="H1238" s="699"/>
      <c r="I1238" s="463"/>
      <c r="J1238" s="475"/>
      <c r="K1238" s="699"/>
      <c r="L1238" s="475"/>
      <c r="M1238" s="699"/>
      <c r="N1238" s="699"/>
    </row>
    <row r="1239" ht="20.25" customHeight="1">
      <c r="A1239" s="701"/>
      <c r="B1239" s="702"/>
      <c r="C1239" s="341"/>
      <c r="D1239" s="463"/>
      <c r="E1239" s="455"/>
      <c r="F1239" s="463"/>
      <c r="G1239" s="455"/>
      <c r="H1239" s="455"/>
      <c r="I1239" s="463"/>
      <c r="J1239" s="463"/>
      <c r="K1239" s="455"/>
      <c r="L1239" s="463"/>
      <c r="M1239" s="455"/>
      <c r="N1239" s="455"/>
    </row>
    <row r="1240" ht="20.25" customHeight="1">
      <c r="A1240" s="696"/>
      <c r="B1240" s="697"/>
      <c r="C1240" s="342"/>
      <c r="D1240" s="475"/>
      <c r="E1240" s="699"/>
      <c r="F1240" s="475"/>
      <c r="G1240" s="699"/>
      <c r="H1240" s="699"/>
      <c r="I1240" s="463"/>
      <c r="J1240" s="475"/>
      <c r="K1240" s="699"/>
      <c r="L1240" s="475"/>
      <c r="M1240" s="699"/>
      <c r="N1240" s="699"/>
    </row>
    <row r="1241" ht="20.25" customHeight="1">
      <c r="A1241" s="701"/>
      <c r="B1241" s="702"/>
      <c r="C1241" s="341"/>
      <c r="D1241" s="463"/>
      <c r="E1241" s="455"/>
      <c r="F1241" s="463"/>
      <c r="G1241" s="455"/>
      <c r="H1241" s="455"/>
      <c r="I1241" s="463"/>
      <c r="J1241" s="463"/>
      <c r="K1241" s="455"/>
      <c r="L1241" s="463"/>
      <c r="M1241" s="455"/>
      <c r="N1241" s="455"/>
    </row>
    <row r="1242" ht="20.25" customHeight="1">
      <c r="A1242" s="696"/>
      <c r="B1242" s="697"/>
      <c r="C1242" s="342"/>
      <c r="D1242" s="475"/>
      <c r="E1242" s="699"/>
      <c r="F1242" s="475"/>
      <c r="G1242" s="699"/>
      <c r="H1242" s="699"/>
      <c r="I1242" s="463"/>
      <c r="J1242" s="475"/>
      <c r="K1242" s="699"/>
      <c r="L1242" s="475"/>
      <c r="M1242" s="699"/>
      <c r="N1242" s="699"/>
    </row>
    <row r="1243" ht="20.25" customHeight="1">
      <c r="A1243" s="701"/>
      <c r="B1243" s="702"/>
      <c r="C1243" s="341"/>
      <c r="D1243" s="463"/>
      <c r="E1243" s="455"/>
      <c r="F1243" s="463"/>
      <c r="G1243" s="455"/>
      <c r="H1243" s="455"/>
      <c r="I1243" s="463"/>
      <c r="J1243" s="463"/>
      <c r="K1243" s="455"/>
      <c r="L1243" s="463"/>
      <c r="M1243" s="455"/>
      <c r="N1243" s="455"/>
    </row>
    <row r="1244" ht="20.25" customHeight="1">
      <c r="A1244" s="696"/>
      <c r="B1244" s="697"/>
      <c r="C1244" s="342"/>
      <c r="D1244" s="475"/>
      <c r="E1244" s="699"/>
      <c r="F1244" s="475"/>
      <c r="G1244" s="699"/>
      <c r="H1244" s="699"/>
      <c r="I1244" s="463"/>
      <c r="J1244" s="475"/>
      <c r="K1244" s="699"/>
      <c r="L1244" s="475"/>
      <c r="M1244" s="699"/>
      <c r="N1244" s="699"/>
    </row>
    <row r="1245" ht="20.25" customHeight="1">
      <c r="A1245" s="701"/>
      <c r="B1245" s="702"/>
      <c r="C1245" s="341"/>
      <c r="D1245" s="463"/>
      <c r="E1245" s="455"/>
      <c r="F1245" s="463"/>
      <c r="G1245" s="455"/>
      <c r="H1245" s="455"/>
      <c r="I1245" s="463"/>
      <c r="J1245" s="463"/>
      <c r="K1245" s="455"/>
      <c r="L1245" s="463"/>
      <c r="M1245" s="455"/>
      <c r="N1245" s="455"/>
    </row>
    <row r="1246" ht="20.25" customHeight="1">
      <c r="A1246" s="696"/>
      <c r="B1246" s="697"/>
      <c r="C1246" s="342"/>
      <c r="D1246" s="475"/>
      <c r="E1246" s="699"/>
      <c r="F1246" s="475"/>
      <c r="G1246" s="699"/>
      <c r="H1246" s="699"/>
      <c r="I1246" s="463"/>
      <c r="J1246" s="475"/>
      <c r="K1246" s="699"/>
      <c r="L1246" s="475"/>
      <c r="M1246" s="699"/>
      <c r="N1246" s="699"/>
    </row>
    <row r="1247" ht="20.25" customHeight="1">
      <c r="A1247" s="701"/>
      <c r="B1247" s="702"/>
      <c r="C1247" s="341"/>
      <c r="D1247" s="463"/>
      <c r="E1247" s="455"/>
      <c r="F1247" s="463"/>
      <c r="G1247" s="455"/>
      <c r="H1247" s="455"/>
      <c r="I1247" s="463"/>
      <c r="J1247" s="463"/>
      <c r="K1247" s="455"/>
      <c r="L1247" s="463"/>
      <c r="M1247" s="455"/>
      <c r="N1247" s="455"/>
    </row>
    <row r="1248" ht="20.25" customHeight="1">
      <c r="A1248" s="696"/>
      <c r="B1248" s="697"/>
      <c r="C1248" s="342"/>
      <c r="D1248" s="475"/>
      <c r="E1248" s="699"/>
      <c r="F1248" s="475"/>
      <c r="G1248" s="699"/>
      <c r="H1248" s="699"/>
      <c r="I1248" s="463"/>
      <c r="J1248" s="475"/>
      <c r="K1248" s="699"/>
      <c r="L1248" s="475"/>
      <c r="M1248" s="699"/>
      <c r="N1248" s="699"/>
    </row>
    <row r="1249" ht="20.25" customHeight="1">
      <c r="A1249" s="701"/>
      <c r="B1249" s="702"/>
      <c r="C1249" s="341"/>
      <c r="D1249" s="463"/>
      <c r="E1249" s="455"/>
      <c r="F1249" s="463"/>
      <c r="G1249" s="455"/>
      <c r="H1249" s="455"/>
      <c r="I1249" s="463"/>
      <c r="J1249" s="463"/>
      <c r="K1249" s="455"/>
      <c r="L1249" s="463"/>
      <c r="M1249" s="455"/>
      <c r="N1249" s="455"/>
    </row>
    <row r="1250" ht="20.25" customHeight="1">
      <c r="A1250" s="696"/>
      <c r="B1250" s="697"/>
      <c r="C1250" s="342"/>
      <c r="D1250" s="475"/>
      <c r="E1250" s="699"/>
      <c r="F1250" s="475"/>
      <c r="G1250" s="699"/>
      <c r="H1250" s="699"/>
      <c r="I1250" s="463"/>
      <c r="J1250" s="475"/>
      <c r="K1250" s="699"/>
      <c r="L1250" s="475"/>
      <c r="M1250" s="699"/>
      <c r="N1250" s="699"/>
    </row>
    <row r="1251" ht="20.25" customHeight="1">
      <c r="A1251" s="701"/>
      <c r="B1251" s="702"/>
      <c r="C1251" s="341"/>
      <c r="D1251" s="463"/>
      <c r="E1251" s="455"/>
      <c r="F1251" s="463"/>
      <c r="G1251" s="455"/>
      <c r="H1251" s="455"/>
      <c r="I1251" s="463"/>
      <c r="J1251" s="463"/>
      <c r="K1251" s="455"/>
      <c r="L1251" s="463"/>
      <c r="M1251" s="455"/>
      <c r="N1251" s="455"/>
    </row>
    <row r="1252" ht="20.25" customHeight="1">
      <c r="A1252" s="696"/>
      <c r="B1252" s="697"/>
      <c r="C1252" s="342"/>
      <c r="D1252" s="475"/>
      <c r="E1252" s="699"/>
      <c r="F1252" s="475"/>
      <c r="G1252" s="699"/>
      <c r="H1252" s="699"/>
      <c r="I1252" s="463"/>
      <c r="J1252" s="475"/>
      <c r="K1252" s="699"/>
      <c r="L1252" s="475"/>
      <c r="M1252" s="699"/>
      <c r="N1252" s="699"/>
    </row>
    <row r="1253" ht="20.25" customHeight="1">
      <c r="A1253" s="701"/>
      <c r="B1253" s="702"/>
      <c r="C1253" s="341"/>
      <c r="D1253" s="463"/>
      <c r="E1253" s="455"/>
      <c r="F1253" s="463"/>
      <c r="G1253" s="455"/>
      <c r="H1253" s="455"/>
      <c r="I1253" s="463"/>
      <c r="J1253" s="463"/>
      <c r="K1253" s="455"/>
      <c r="L1253" s="463"/>
      <c r="M1253" s="455"/>
      <c r="N1253" s="455"/>
    </row>
    <row r="1254" ht="20.25" customHeight="1">
      <c r="A1254" s="696"/>
      <c r="B1254" s="697"/>
      <c r="C1254" s="342"/>
      <c r="D1254" s="475"/>
      <c r="E1254" s="699"/>
      <c r="F1254" s="475"/>
      <c r="G1254" s="699"/>
      <c r="H1254" s="699"/>
      <c r="I1254" s="463"/>
      <c r="J1254" s="475"/>
      <c r="K1254" s="699"/>
      <c r="L1254" s="475"/>
      <c r="M1254" s="699"/>
      <c r="N1254" s="699"/>
    </row>
    <row r="1255" ht="20.25" customHeight="1">
      <c r="A1255" s="701"/>
      <c r="B1255" s="702"/>
      <c r="C1255" s="341"/>
      <c r="D1255" s="463"/>
      <c r="E1255" s="455"/>
      <c r="F1255" s="463"/>
      <c r="G1255" s="455"/>
      <c r="H1255" s="455"/>
      <c r="I1255" s="463"/>
      <c r="J1255" s="463"/>
      <c r="K1255" s="455"/>
      <c r="L1255" s="463"/>
      <c r="M1255" s="455"/>
      <c r="N1255" s="455"/>
    </row>
    <row r="1256" ht="20.25" customHeight="1">
      <c r="A1256" s="696"/>
      <c r="B1256" s="697"/>
      <c r="C1256" s="342"/>
      <c r="D1256" s="475"/>
      <c r="E1256" s="699"/>
      <c r="F1256" s="475"/>
      <c r="G1256" s="699"/>
      <c r="H1256" s="699"/>
      <c r="I1256" s="463"/>
      <c r="J1256" s="475"/>
      <c r="K1256" s="699"/>
      <c r="L1256" s="475"/>
      <c r="M1256" s="699"/>
      <c r="N1256" s="699"/>
    </row>
    <row r="1257" ht="20.25" customHeight="1">
      <c r="A1257" s="701"/>
      <c r="B1257" s="702"/>
      <c r="C1257" s="341"/>
      <c r="D1257" s="463"/>
      <c r="E1257" s="455"/>
      <c r="F1257" s="463"/>
      <c r="G1257" s="455"/>
      <c r="H1257" s="455"/>
      <c r="I1257" s="463"/>
      <c r="J1257" s="463"/>
      <c r="K1257" s="455"/>
      <c r="L1257" s="463"/>
      <c r="M1257" s="455"/>
      <c r="N1257" s="455"/>
    </row>
    <row r="1258" ht="20.25" customHeight="1">
      <c r="A1258" s="696"/>
      <c r="B1258" s="697"/>
      <c r="C1258" s="342"/>
      <c r="D1258" s="475"/>
      <c r="E1258" s="699"/>
      <c r="F1258" s="475"/>
      <c r="G1258" s="699"/>
      <c r="H1258" s="699"/>
      <c r="I1258" s="463"/>
      <c r="J1258" s="475"/>
      <c r="K1258" s="699"/>
      <c r="L1258" s="475"/>
      <c r="M1258" s="699"/>
      <c r="N1258" s="699"/>
    </row>
    <row r="1259" ht="20.25" customHeight="1">
      <c r="A1259" s="701"/>
      <c r="B1259" s="702"/>
      <c r="C1259" s="341"/>
      <c r="D1259" s="463"/>
      <c r="E1259" s="455"/>
      <c r="F1259" s="463"/>
      <c r="G1259" s="455"/>
      <c r="H1259" s="455"/>
      <c r="I1259" s="463"/>
      <c r="J1259" s="463"/>
      <c r="K1259" s="455"/>
      <c r="L1259" s="463"/>
      <c r="M1259" s="455"/>
      <c r="N1259" s="455"/>
    </row>
    <row r="1260" ht="20.25" customHeight="1">
      <c r="A1260" s="696"/>
      <c r="B1260" s="697"/>
      <c r="C1260" s="342"/>
      <c r="D1260" s="475"/>
      <c r="E1260" s="699"/>
      <c r="F1260" s="475"/>
      <c r="G1260" s="699"/>
      <c r="H1260" s="699"/>
      <c r="I1260" s="463"/>
      <c r="J1260" s="475"/>
      <c r="K1260" s="699"/>
      <c r="L1260" s="475"/>
      <c r="M1260" s="699"/>
      <c r="N1260" s="699"/>
    </row>
    <row r="1261" ht="20.25" customHeight="1">
      <c r="A1261" s="701"/>
      <c r="B1261" s="702"/>
      <c r="C1261" s="341"/>
      <c r="D1261" s="463"/>
      <c r="E1261" s="455"/>
      <c r="F1261" s="463"/>
      <c r="G1261" s="455"/>
      <c r="H1261" s="455"/>
      <c r="I1261" s="463"/>
      <c r="J1261" s="463"/>
      <c r="K1261" s="455"/>
      <c r="L1261" s="463"/>
      <c r="M1261" s="455"/>
      <c r="N1261" s="455"/>
    </row>
    <row r="1262" ht="20.25" customHeight="1">
      <c r="A1262" s="696"/>
      <c r="B1262" s="697"/>
      <c r="C1262" s="342"/>
      <c r="D1262" s="475"/>
      <c r="E1262" s="699"/>
      <c r="F1262" s="475"/>
      <c r="G1262" s="699"/>
      <c r="H1262" s="699"/>
      <c r="I1262" s="463"/>
      <c r="J1262" s="475"/>
      <c r="K1262" s="699"/>
      <c r="L1262" s="475"/>
      <c r="M1262" s="699"/>
      <c r="N1262" s="699"/>
    </row>
    <row r="1263" ht="20.25" customHeight="1">
      <c r="A1263" s="701"/>
      <c r="B1263" s="702"/>
      <c r="C1263" s="341"/>
      <c r="D1263" s="463"/>
      <c r="E1263" s="455"/>
      <c r="F1263" s="463"/>
      <c r="G1263" s="455"/>
      <c r="H1263" s="455"/>
      <c r="I1263" s="463"/>
      <c r="J1263" s="463"/>
      <c r="K1263" s="455"/>
      <c r="L1263" s="463"/>
      <c r="M1263" s="455"/>
      <c r="N1263" s="455"/>
    </row>
    <row r="1264" ht="20.25" customHeight="1">
      <c r="A1264" s="696"/>
      <c r="B1264" s="697"/>
      <c r="C1264" s="342"/>
      <c r="D1264" s="475"/>
      <c r="E1264" s="699"/>
      <c r="F1264" s="475"/>
      <c r="G1264" s="699"/>
      <c r="H1264" s="699"/>
      <c r="I1264" s="463"/>
      <c r="J1264" s="475"/>
      <c r="K1264" s="699"/>
      <c r="L1264" s="475"/>
      <c r="M1264" s="699"/>
      <c r="N1264" s="699"/>
    </row>
    <row r="1265" ht="20.25" customHeight="1">
      <c r="A1265" s="701"/>
      <c r="B1265" s="702"/>
      <c r="C1265" s="341"/>
      <c r="D1265" s="463"/>
      <c r="E1265" s="455"/>
      <c r="F1265" s="463"/>
      <c r="G1265" s="455"/>
      <c r="H1265" s="455"/>
      <c r="I1265" s="463"/>
      <c r="J1265" s="463"/>
      <c r="K1265" s="455"/>
      <c r="L1265" s="463"/>
      <c r="M1265" s="455"/>
      <c r="N1265" s="455"/>
    </row>
    <row r="1266" ht="20.25" customHeight="1">
      <c r="A1266" s="696"/>
      <c r="B1266" s="697"/>
      <c r="C1266" s="342"/>
      <c r="D1266" s="475"/>
      <c r="E1266" s="699"/>
      <c r="F1266" s="475"/>
      <c r="G1266" s="699"/>
      <c r="H1266" s="699"/>
      <c r="I1266" s="463"/>
      <c r="J1266" s="475"/>
      <c r="K1266" s="699"/>
      <c r="L1266" s="475"/>
      <c r="M1266" s="699"/>
      <c r="N1266" s="699"/>
    </row>
    <row r="1267" ht="20.25" customHeight="1">
      <c r="A1267" s="701"/>
      <c r="B1267" s="702"/>
      <c r="C1267" s="341"/>
      <c r="D1267" s="463"/>
      <c r="E1267" s="455"/>
      <c r="F1267" s="463"/>
      <c r="G1267" s="455"/>
      <c r="H1267" s="455"/>
      <c r="I1267" s="463"/>
      <c r="J1267" s="463"/>
      <c r="K1267" s="455"/>
      <c r="L1267" s="463"/>
      <c r="M1267" s="455"/>
      <c r="N1267" s="455"/>
    </row>
    <row r="1268" ht="20.25" customHeight="1">
      <c r="A1268" s="696"/>
      <c r="B1268" s="697"/>
      <c r="C1268" s="342"/>
      <c r="D1268" s="475"/>
      <c r="E1268" s="699"/>
      <c r="F1268" s="475"/>
      <c r="G1268" s="699"/>
      <c r="H1268" s="699"/>
      <c r="I1268" s="463"/>
      <c r="J1268" s="475"/>
      <c r="K1268" s="699"/>
      <c r="L1268" s="475"/>
      <c r="M1268" s="699"/>
      <c r="N1268" s="699"/>
    </row>
    <row r="1269" ht="20.25" customHeight="1">
      <c r="A1269" s="701"/>
      <c r="B1269" s="702"/>
      <c r="C1269" s="341"/>
      <c r="D1269" s="463"/>
      <c r="E1269" s="455"/>
      <c r="F1269" s="463"/>
      <c r="G1269" s="455"/>
      <c r="H1269" s="455"/>
      <c r="I1269" s="463"/>
      <c r="J1269" s="463"/>
      <c r="K1269" s="455"/>
      <c r="L1269" s="463"/>
      <c r="M1269" s="455"/>
      <c r="N1269" s="455"/>
    </row>
    <row r="1270" ht="20.25" customHeight="1">
      <c r="A1270" s="696"/>
      <c r="B1270" s="697"/>
      <c r="C1270" s="342"/>
      <c r="D1270" s="475"/>
      <c r="E1270" s="699"/>
      <c r="F1270" s="475"/>
      <c r="G1270" s="699"/>
      <c r="H1270" s="699"/>
      <c r="I1270" s="463"/>
      <c r="J1270" s="475"/>
      <c r="K1270" s="699"/>
      <c r="L1270" s="475"/>
      <c r="M1270" s="699"/>
      <c r="N1270" s="699"/>
    </row>
    <row r="1271" ht="20.25" customHeight="1">
      <c r="A1271" s="701"/>
      <c r="B1271" s="702"/>
      <c r="C1271" s="341"/>
      <c r="D1271" s="463"/>
      <c r="E1271" s="455"/>
      <c r="F1271" s="463"/>
      <c r="G1271" s="455"/>
      <c r="H1271" s="455"/>
      <c r="I1271" s="463"/>
      <c r="J1271" s="463"/>
      <c r="K1271" s="455"/>
      <c r="L1271" s="463"/>
      <c r="M1271" s="455"/>
      <c r="N1271" s="455"/>
    </row>
    <row r="1272" ht="20.25" customHeight="1">
      <c r="A1272" s="696"/>
      <c r="B1272" s="697"/>
      <c r="C1272" s="342"/>
      <c r="D1272" s="475"/>
      <c r="E1272" s="699"/>
      <c r="F1272" s="475"/>
      <c r="G1272" s="699"/>
      <c r="H1272" s="699"/>
      <c r="I1272" s="463"/>
      <c r="J1272" s="475"/>
      <c r="K1272" s="699"/>
      <c r="L1272" s="475"/>
      <c r="M1272" s="699"/>
      <c r="N1272" s="699"/>
    </row>
    <row r="1273" ht="20.25" customHeight="1">
      <c r="A1273" s="701"/>
      <c r="B1273" s="702"/>
      <c r="C1273" s="341"/>
      <c r="D1273" s="463"/>
      <c r="E1273" s="455"/>
      <c r="F1273" s="463"/>
      <c r="G1273" s="455"/>
      <c r="H1273" s="455"/>
      <c r="I1273" s="463"/>
      <c r="J1273" s="463"/>
      <c r="K1273" s="455"/>
      <c r="L1273" s="463"/>
      <c r="M1273" s="455"/>
      <c r="N1273" s="455"/>
    </row>
    <row r="1274" ht="20.25" customHeight="1">
      <c r="A1274" s="696"/>
      <c r="B1274" s="697"/>
      <c r="C1274" s="342"/>
      <c r="D1274" s="475"/>
      <c r="E1274" s="699"/>
      <c r="F1274" s="475"/>
      <c r="G1274" s="699"/>
      <c r="H1274" s="699"/>
      <c r="I1274" s="463"/>
      <c r="J1274" s="475"/>
      <c r="K1274" s="699"/>
      <c r="L1274" s="475"/>
      <c r="M1274" s="699"/>
      <c r="N1274" s="699"/>
    </row>
    <row r="1275" ht="20.25" customHeight="1">
      <c r="A1275" s="701"/>
      <c r="B1275" s="702"/>
      <c r="C1275" s="341"/>
      <c r="D1275" s="463"/>
      <c r="E1275" s="455"/>
      <c r="F1275" s="463"/>
      <c r="G1275" s="455"/>
      <c r="H1275" s="455"/>
      <c r="I1275" s="463"/>
      <c r="J1275" s="463"/>
      <c r="K1275" s="455"/>
      <c r="L1275" s="463"/>
      <c r="M1275" s="455"/>
      <c r="N1275" s="455"/>
    </row>
    <row r="1276" ht="20.25" customHeight="1">
      <c r="A1276" s="696"/>
      <c r="B1276" s="697"/>
      <c r="C1276" s="342"/>
      <c r="D1276" s="475"/>
      <c r="E1276" s="699"/>
      <c r="F1276" s="475"/>
      <c r="G1276" s="699"/>
      <c r="H1276" s="699"/>
      <c r="I1276" s="463"/>
      <c r="J1276" s="475"/>
      <c r="K1276" s="699"/>
      <c r="L1276" s="475"/>
      <c r="M1276" s="699"/>
      <c r="N1276" s="699"/>
    </row>
    <row r="1277" ht="20.25" customHeight="1">
      <c r="A1277" s="701"/>
      <c r="B1277" s="702"/>
      <c r="C1277" s="341"/>
      <c r="D1277" s="463"/>
      <c r="E1277" s="455"/>
      <c r="F1277" s="463"/>
      <c r="G1277" s="455"/>
      <c r="H1277" s="455"/>
      <c r="I1277" s="463"/>
      <c r="J1277" s="463"/>
      <c r="K1277" s="455"/>
      <c r="L1277" s="463"/>
      <c r="M1277" s="455"/>
      <c r="N1277" s="455"/>
    </row>
    <row r="1278" ht="20.25" customHeight="1">
      <c r="A1278" s="696"/>
      <c r="B1278" s="697"/>
      <c r="C1278" s="342"/>
      <c r="D1278" s="475"/>
      <c r="E1278" s="699"/>
      <c r="F1278" s="475"/>
      <c r="G1278" s="699"/>
      <c r="H1278" s="699"/>
      <c r="I1278" s="463"/>
      <c r="J1278" s="475"/>
      <c r="K1278" s="699"/>
      <c r="L1278" s="475"/>
      <c r="M1278" s="699"/>
      <c r="N1278" s="699"/>
    </row>
    <row r="1279" ht="20.25" customHeight="1">
      <c r="A1279" s="701"/>
      <c r="B1279" s="702"/>
      <c r="C1279" s="341"/>
      <c r="D1279" s="463"/>
      <c r="E1279" s="455"/>
      <c r="F1279" s="463"/>
      <c r="G1279" s="455"/>
      <c r="H1279" s="455"/>
      <c r="I1279" s="463"/>
      <c r="J1279" s="463"/>
      <c r="K1279" s="455"/>
      <c r="L1279" s="463"/>
      <c r="M1279" s="455"/>
      <c r="N1279" s="455"/>
    </row>
    <row r="1280" ht="20.25" customHeight="1">
      <c r="A1280" s="696"/>
      <c r="B1280" s="697"/>
      <c r="C1280" s="342"/>
      <c r="D1280" s="475"/>
      <c r="E1280" s="699"/>
      <c r="F1280" s="475"/>
      <c r="G1280" s="699"/>
      <c r="H1280" s="699"/>
      <c r="I1280" s="463"/>
      <c r="J1280" s="475"/>
      <c r="K1280" s="699"/>
      <c r="L1280" s="475"/>
      <c r="M1280" s="699"/>
      <c r="N1280" s="699"/>
    </row>
    <row r="1281" ht="20.25" customHeight="1">
      <c r="A1281" s="701"/>
      <c r="B1281" s="702"/>
      <c r="C1281" s="341"/>
      <c r="D1281" s="463"/>
      <c r="E1281" s="455"/>
      <c r="F1281" s="463"/>
      <c r="G1281" s="455"/>
      <c r="H1281" s="455"/>
      <c r="I1281" s="463"/>
      <c r="J1281" s="463"/>
      <c r="K1281" s="455"/>
      <c r="L1281" s="463"/>
      <c r="M1281" s="455"/>
      <c r="N1281" s="455"/>
    </row>
    <row r="1282" ht="20.25" customHeight="1">
      <c r="A1282" s="696"/>
      <c r="B1282" s="697"/>
      <c r="C1282" s="342"/>
      <c r="D1282" s="475"/>
      <c r="E1282" s="699"/>
      <c r="F1282" s="475"/>
      <c r="G1282" s="699"/>
      <c r="H1282" s="699"/>
      <c r="I1282" s="463"/>
      <c r="J1282" s="475"/>
      <c r="K1282" s="699"/>
      <c r="L1282" s="475"/>
      <c r="M1282" s="699"/>
      <c r="N1282" s="699"/>
    </row>
    <row r="1283" ht="20.25" customHeight="1">
      <c r="A1283" s="701"/>
      <c r="B1283" s="702"/>
      <c r="C1283" s="341"/>
      <c r="D1283" s="463"/>
      <c r="E1283" s="455"/>
      <c r="F1283" s="463"/>
      <c r="G1283" s="455"/>
      <c r="H1283" s="455"/>
      <c r="I1283" s="463"/>
      <c r="J1283" s="463"/>
      <c r="K1283" s="455"/>
      <c r="L1283" s="463"/>
      <c r="M1283" s="455"/>
      <c r="N1283" s="455"/>
    </row>
    <row r="1284" ht="20.25" customHeight="1">
      <c r="A1284" s="696"/>
      <c r="B1284" s="697"/>
      <c r="C1284" s="342"/>
      <c r="D1284" s="475"/>
      <c r="E1284" s="699"/>
      <c r="F1284" s="475"/>
      <c r="G1284" s="699"/>
      <c r="H1284" s="699"/>
      <c r="I1284" s="463"/>
      <c r="J1284" s="475"/>
      <c r="K1284" s="699"/>
      <c r="L1284" s="475"/>
      <c r="M1284" s="699"/>
      <c r="N1284" s="699"/>
    </row>
    <row r="1285" ht="20.25" customHeight="1">
      <c r="A1285" s="701"/>
      <c r="B1285" s="702"/>
      <c r="C1285" s="341"/>
      <c r="D1285" s="463"/>
      <c r="E1285" s="455"/>
      <c r="F1285" s="463"/>
      <c r="G1285" s="455"/>
      <c r="H1285" s="455"/>
      <c r="I1285" s="463"/>
      <c r="J1285" s="463"/>
      <c r="K1285" s="455"/>
      <c r="L1285" s="463"/>
      <c r="M1285" s="455"/>
      <c r="N1285" s="455"/>
    </row>
    <row r="1286" ht="20.25" customHeight="1">
      <c r="A1286" s="696"/>
      <c r="B1286" s="697"/>
      <c r="C1286" s="342"/>
      <c r="D1286" s="475"/>
      <c r="E1286" s="699"/>
      <c r="F1286" s="475"/>
      <c r="G1286" s="699"/>
      <c r="H1286" s="699"/>
      <c r="I1286" s="463"/>
      <c r="J1286" s="475"/>
      <c r="K1286" s="699"/>
      <c r="L1286" s="475"/>
      <c r="M1286" s="699"/>
      <c r="N1286" s="699"/>
    </row>
    <row r="1287" ht="20.25" customHeight="1">
      <c r="A1287" s="701"/>
      <c r="B1287" s="702"/>
      <c r="C1287" s="341"/>
      <c r="D1287" s="463"/>
      <c r="E1287" s="455"/>
      <c r="F1287" s="463"/>
      <c r="G1287" s="455"/>
      <c r="H1287" s="455"/>
      <c r="I1287" s="463"/>
      <c r="J1287" s="463"/>
      <c r="K1287" s="455"/>
      <c r="L1287" s="463"/>
      <c r="M1287" s="455"/>
      <c r="N1287" s="455"/>
    </row>
    <row r="1288" ht="20.25" customHeight="1">
      <c r="A1288" s="696"/>
      <c r="B1288" s="697"/>
      <c r="C1288" s="342"/>
      <c r="D1288" s="475"/>
      <c r="E1288" s="699"/>
      <c r="F1288" s="475"/>
      <c r="G1288" s="699"/>
      <c r="H1288" s="699"/>
      <c r="I1288" s="463"/>
      <c r="J1288" s="475"/>
      <c r="K1288" s="699"/>
      <c r="L1288" s="475"/>
      <c r="M1288" s="699"/>
      <c r="N1288" s="699"/>
    </row>
    <row r="1289" ht="20.25" customHeight="1">
      <c r="A1289" s="701"/>
      <c r="B1289" s="702"/>
      <c r="C1289" s="341"/>
      <c r="D1289" s="463"/>
      <c r="E1289" s="455"/>
      <c r="F1289" s="463"/>
      <c r="G1289" s="455"/>
      <c r="H1289" s="455"/>
      <c r="I1289" s="463"/>
      <c r="J1289" s="463"/>
      <c r="K1289" s="455"/>
      <c r="L1289" s="463"/>
      <c r="M1289" s="455"/>
      <c r="N1289" s="455"/>
    </row>
    <row r="1290" ht="20.25" customHeight="1">
      <c r="A1290" s="696"/>
      <c r="B1290" s="697"/>
      <c r="C1290" s="342"/>
      <c r="D1290" s="475"/>
      <c r="E1290" s="699"/>
      <c r="F1290" s="475"/>
      <c r="G1290" s="699"/>
      <c r="H1290" s="699"/>
      <c r="I1290" s="463"/>
      <c r="J1290" s="475"/>
      <c r="K1290" s="699"/>
      <c r="L1290" s="475"/>
      <c r="M1290" s="699"/>
      <c r="N1290" s="699"/>
    </row>
    <row r="1291" ht="20.25" customHeight="1">
      <c r="A1291" s="701"/>
      <c r="B1291" s="702"/>
      <c r="C1291" s="341"/>
      <c r="D1291" s="463"/>
      <c r="E1291" s="455"/>
      <c r="F1291" s="463"/>
      <c r="G1291" s="455"/>
      <c r="H1291" s="455"/>
      <c r="I1291" s="463"/>
      <c r="J1291" s="463"/>
      <c r="K1291" s="455"/>
      <c r="L1291" s="463"/>
      <c r="M1291" s="455"/>
      <c r="N1291" s="455"/>
    </row>
    <row r="1292" ht="20.25" customHeight="1">
      <c r="A1292" s="696"/>
      <c r="B1292" s="697"/>
      <c r="C1292" s="342"/>
      <c r="D1292" s="475"/>
      <c r="E1292" s="699"/>
      <c r="F1292" s="475"/>
      <c r="G1292" s="699"/>
      <c r="H1292" s="699"/>
      <c r="I1292" s="463"/>
      <c r="J1292" s="475"/>
      <c r="K1292" s="699"/>
      <c r="L1292" s="475"/>
      <c r="M1292" s="699"/>
      <c r="N1292" s="699"/>
    </row>
    <row r="1293" ht="20.25" customHeight="1">
      <c r="A1293" s="701"/>
      <c r="B1293" s="702"/>
      <c r="C1293" s="341"/>
      <c r="D1293" s="463"/>
      <c r="E1293" s="455"/>
      <c r="F1293" s="463"/>
      <c r="G1293" s="455"/>
      <c r="H1293" s="455"/>
      <c r="I1293" s="463"/>
      <c r="J1293" s="463"/>
      <c r="K1293" s="455"/>
      <c r="L1293" s="463"/>
      <c r="M1293" s="455"/>
      <c r="N1293" s="455"/>
    </row>
    <row r="1294" ht="20.25" customHeight="1">
      <c r="A1294" s="696"/>
      <c r="B1294" s="697"/>
      <c r="C1294" s="342"/>
      <c r="D1294" s="475"/>
      <c r="E1294" s="699"/>
      <c r="F1294" s="475"/>
      <c r="G1294" s="699"/>
      <c r="H1294" s="699"/>
      <c r="I1294" s="463"/>
      <c r="J1294" s="475"/>
      <c r="K1294" s="699"/>
      <c r="L1294" s="475"/>
      <c r="M1294" s="699"/>
      <c r="N1294" s="699"/>
    </row>
    <row r="1295" ht="20.25" customHeight="1">
      <c r="A1295" s="701"/>
      <c r="B1295" s="702"/>
      <c r="C1295" s="341"/>
      <c r="D1295" s="463"/>
      <c r="E1295" s="455"/>
      <c r="F1295" s="463"/>
      <c r="G1295" s="455"/>
      <c r="H1295" s="455"/>
      <c r="I1295" s="463"/>
      <c r="J1295" s="463"/>
      <c r="K1295" s="455"/>
      <c r="L1295" s="463"/>
      <c r="M1295" s="455"/>
      <c r="N1295" s="455"/>
    </row>
    <row r="1296" ht="20.25" customHeight="1">
      <c r="A1296" s="696"/>
      <c r="B1296" s="697"/>
      <c r="C1296" s="342"/>
      <c r="D1296" s="475"/>
      <c r="E1296" s="699"/>
      <c r="F1296" s="475"/>
      <c r="G1296" s="699"/>
      <c r="H1296" s="699"/>
      <c r="I1296" s="463"/>
      <c r="J1296" s="475"/>
      <c r="K1296" s="699"/>
      <c r="L1296" s="475"/>
      <c r="M1296" s="699"/>
      <c r="N1296" s="699"/>
    </row>
    <row r="1297" ht="20.25" customHeight="1">
      <c r="A1297" s="701"/>
      <c r="B1297" s="702"/>
      <c r="C1297" s="341"/>
      <c r="D1297" s="463"/>
      <c r="E1297" s="455"/>
      <c r="F1297" s="463"/>
      <c r="G1297" s="455"/>
      <c r="H1297" s="455"/>
      <c r="I1297" s="463"/>
      <c r="J1297" s="463"/>
      <c r="K1297" s="455"/>
      <c r="L1297" s="463"/>
      <c r="M1297" s="455"/>
      <c r="N1297" s="455"/>
    </row>
    <row r="1298" ht="20.25" customHeight="1">
      <c r="A1298" s="696"/>
      <c r="B1298" s="697"/>
      <c r="C1298" s="342"/>
      <c r="D1298" s="475"/>
      <c r="E1298" s="699"/>
      <c r="F1298" s="475"/>
      <c r="G1298" s="699"/>
      <c r="H1298" s="699"/>
      <c r="I1298" s="463"/>
      <c r="J1298" s="475"/>
      <c r="K1298" s="699"/>
      <c r="L1298" s="475"/>
      <c r="M1298" s="699"/>
      <c r="N1298" s="699"/>
    </row>
    <row r="1299" ht="20.25" customHeight="1">
      <c r="A1299" s="701"/>
      <c r="B1299" s="702"/>
      <c r="C1299" s="341"/>
      <c r="D1299" s="463"/>
      <c r="E1299" s="455"/>
      <c r="F1299" s="463"/>
      <c r="G1299" s="455"/>
      <c r="H1299" s="455"/>
      <c r="I1299" s="463"/>
      <c r="J1299" s="463"/>
      <c r="K1299" s="455"/>
      <c r="L1299" s="463"/>
      <c r="M1299" s="455"/>
      <c r="N1299" s="455"/>
    </row>
    <row r="1300" ht="20.25" customHeight="1">
      <c r="A1300" s="696"/>
      <c r="B1300" s="697"/>
      <c r="C1300" s="342"/>
      <c r="D1300" s="475"/>
      <c r="E1300" s="699"/>
      <c r="F1300" s="475"/>
      <c r="G1300" s="699"/>
      <c r="H1300" s="699"/>
      <c r="I1300" s="463"/>
      <c r="J1300" s="475"/>
      <c r="K1300" s="699"/>
      <c r="L1300" s="475"/>
      <c r="M1300" s="699"/>
      <c r="N1300" s="699"/>
    </row>
    <row r="1301" ht="20.25" customHeight="1">
      <c r="A1301" s="701"/>
      <c r="B1301" s="702"/>
      <c r="C1301" s="341"/>
      <c r="D1301" s="463"/>
      <c r="E1301" s="455"/>
      <c r="F1301" s="463"/>
      <c r="G1301" s="455"/>
      <c r="H1301" s="455"/>
      <c r="I1301" s="463"/>
      <c r="J1301" s="463"/>
      <c r="K1301" s="455"/>
      <c r="L1301" s="463"/>
      <c r="M1301" s="455"/>
      <c r="N1301" s="455"/>
    </row>
    <row r="1302" ht="20.25" customHeight="1">
      <c r="A1302" s="696"/>
      <c r="B1302" s="697"/>
      <c r="C1302" s="342"/>
      <c r="D1302" s="475"/>
      <c r="E1302" s="699"/>
      <c r="F1302" s="475"/>
      <c r="G1302" s="699"/>
      <c r="H1302" s="699"/>
      <c r="I1302" s="463"/>
      <c r="J1302" s="475"/>
      <c r="K1302" s="699"/>
      <c r="L1302" s="475"/>
      <c r="M1302" s="699"/>
      <c r="N1302" s="699"/>
    </row>
    <row r="1303" ht="20.25" customHeight="1">
      <c r="A1303" s="701"/>
      <c r="B1303" s="702"/>
      <c r="C1303" s="341"/>
      <c r="D1303" s="463"/>
      <c r="E1303" s="455"/>
      <c r="F1303" s="463"/>
      <c r="G1303" s="455"/>
      <c r="H1303" s="455"/>
      <c r="I1303" s="463"/>
      <c r="J1303" s="463"/>
      <c r="K1303" s="455"/>
      <c r="L1303" s="463"/>
      <c r="M1303" s="455"/>
      <c r="N1303" s="455"/>
    </row>
    <row r="1304" ht="20.25" customHeight="1">
      <c r="A1304" s="696"/>
      <c r="B1304" s="697"/>
      <c r="C1304" s="342"/>
      <c r="D1304" s="475"/>
      <c r="E1304" s="699"/>
      <c r="F1304" s="475"/>
      <c r="G1304" s="699"/>
      <c r="H1304" s="699"/>
      <c r="I1304" s="463"/>
      <c r="J1304" s="475"/>
      <c r="K1304" s="699"/>
      <c r="L1304" s="475"/>
      <c r="M1304" s="699"/>
      <c r="N1304" s="699"/>
    </row>
    <row r="1305" ht="20.25" customHeight="1">
      <c r="A1305" s="701"/>
      <c r="B1305" s="702"/>
      <c r="C1305" s="341"/>
      <c r="D1305" s="463"/>
      <c r="E1305" s="455"/>
      <c r="F1305" s="463"/>
      <c r="G1305" s="455"/>
      <c r="H1305" s="455"/>
      <c r="I1305" s="463"/>
      <c r="J1305" s="463"/>
      <c r="K1305" s="455"/>
      <c r="L1305" s="463"/>
      <c r="M1305" s="455"/>
      <c r="N1305" s="455"/>
    </row>
    <row r="1306" ht="20.25" customHeight="1">
      <c r="A1306" s="696"/>
      <c r="B1306" s="697"/>
      <c r="C1306" s="342"/>
      <c r="D1306" s="475"/>
      <c r="E1306" s="699"/>
      <c r="F1306" s="475"/>
      <c r="G1306" s="699"/>
      <c r="H1306" s="699"/>
      <c r="I1306" s="463"/>
      <c r="J1306" s="475"/>
      <c r="K1306" s="699"/>
      <c r="L1306" s="475"/>
      <c r="M1306" s="699"/>
      <c r="N1306" s="699"/>
    </row>
    <row r="1307" ht="20.25" customHeight="1">
      <c r="A1307" s="701"/>
      <c r="B1307" s="702"/>
      <c r="C1307" s="341"/>
      <c r="D1307" s="463"/>
      <c r="E1307" s="455"/>
      <c r="F1307" s="463"/>
      <c r="G1307" s="455"/>
      <c r="H1307" s="455"/>
      <c r="I1307" s="463"/>
      <c r="J1307" s="463"/>
      <c r="K1307" s="455"/>
      <c r="L1307" s="463"/>
      <c r="M1307" s="455"/>
      <c r="N1307" s="455"/>
    </row>
    <row r="1308" ht="20.25" customHeight="1">
      <c r="A1308" s="696"/>
      <c r="B1308" s="697"/>
      <c r="C1308" s="342"/>
      <c r="D1308" s="475"/>
      <c r="E1308" s="699"/>
      <c r="F1308" s="475"/>
      <c r="G1308" s="699"/>
      <c r="H1308" s="699"/>
      <c r="I1308" s="463"/>
      <c r="J1308" s="475"/>
      <c r="K1308" s="699"/>
      <c r="L1308" s="475"/>
      <c r="M1308" s="699"/>
      <c r="N1308" s="699"/>
    </row>
    <row r="1309" ht="20.25" customHeight="1">
      <c r="A1309" s="701"/>
      <c r="B1309" s="702"/>
      <c r="C1309" s="341"/>
      <c r="D1309" s="463"/>
      <c r="E1309" s="455"/>
      <c r="F1309" s="463"/>
      <c r="G1309" s="455"/>
      <c r="H1309" s="455"/>
      <c r="I1309" s="463"/>
      <c r="J1309" s="463"/>
      <c r="K1309" s="455"/>
      <c r="L1309" s="463"/>
      <c r="M1309" s="455"/>
      <c r="N1309" s="455"/>
    </row>
    <row r="1310" ht="20.25" customHeight="1">
      <c r="A1310" s="696"/>
      <c r="B1310" s="697"/>
      <c r="C1310" s="342"/>
      <c r="D1310" s="475"/>
      <c r="E1310" s="699"/>
      <c r="F1310" s="475"/>
      <c r="G1310" s="699"/>
      <c r="H1310" s="699"/>
      <c r="I1310" s="463"/>
      <c r="J1310" s="475"/>
      <c r="K1310" s="699"/>
      <c r="L1310" s="475"/>
      <c r="M1310" s="699"/>
      <c r="N1310" s="699"/>
    </row>
    <row r="1311" ht="20.25" customHeight="1">
      <c r="A1311" s="701"/>
      <c r="B1311" s="702"/>
      <c r="C1311" s="341"/>
      <c r="D1311" s="463"/>
      <c r="E1311" s="455"/>
      <c r="F1311" s="463"/>
      <c r="G1311" s="455"/>
      <c r="H1311" s="455"/>
      <c r="I1311" s="463"/>
      <c r="J1311" s="463"/>
      <c r="K1311" s="455"/>
      <c r="L1311" s="463"/>
      <c r="M1311" s="455"/>
      <c r="N1311" s="455"/>
    </row>
    <row r="1312" ht="20.25" customHeight="1">
      <c r="A1312" s="696"/>
      <c r="B1312" s="697"/>
      <c r="C1312" s="342"/>
      <c r="D1312" s="475"/>
      <c r="E1312" s="699"/>
      <c r="F1312" s="475"/>
      <c r="G1312" s="699"/>
      <c r="H1312" s="699"/>
      <c r="I1312" s="463"/>
      <c r="J1312" s="475"/>
      <c r="K1312" s="699"/>
      <c r="L1312" s="475"/>
      <c r="M1312" s="699"/>
      <c r="N1312" s="699"/>
    </row>
    <row r="1313" ht="20.25" customHeight="1">
      <c r="A1313" s="701"/>
      <c r="B1313" s="702"/>
      <c r="C1313" s="341"/>
      <c r="D1313" s="463"/>
      <c r="E1313" s="455"/>
      <c r="F1313" s="463"/>
      <c r="G1313" s="455"/>
      <c r="H1313" s="455"/>
      <c r="I1313" s="463"/>
      <c r="J1313" s="463"/>
      <c r="K1313" s="455"/>
      <c r="L1313" s="463"/>
      <c r="M1313" s="455"/>
      <c r="N1313" s="455"/>
    </row>
    <row r="1314" ht="20.25" customHeight="1">
      <c r="A1314" s="696"/>
      <c r="B1314" s="697"/>
      <c r="C1314" s="342"/>
      <c r="D1314" s="475"/>
      <c r="E1314" s="699"/>
      <c r="F1314" s="475"/>
      <c r="G1314" s="699"/>
      <c r="H1314" s="699"/>
      <c r="I1314" s="463"/>
      <c r="J1314" s="475"/>
      <c r="K1314" s="699"/>
      <c r="L1314" s="475"/>
      <c r="M1314" s="699"/>
      <c r="N1314" s="699"/>
    </row>
    <row r="1315" ht="20.25" customHeight="1">
      <c r="A1315" s="701"/>
      <c r="B1315" s="702"/>
      <c r="C1315" s="341"/>
      <c r="D1315" s="463"/>
      <c r="E1315" s="455"/>
      <c r="F1315" s="463"/>
      <c r="G1315" s="455"/>
      <c r="H1315" s="455"/>
      <c r="I1315" s="463"/>
      <c r="J1315" s="463"/>
      <c r="K1315" s="455"/>
      <c r="L1315" s="463"/>
      <c r="M1315" s="455"/>
      <c r="N1315" s="455"/>
    </row>
    <row r="1316" ht="20.25" customHeight="1">
      <c r="A1316" s="696"/>
      <c r="B1316" s="697"/>
      <c r="C1316" s="342"/>
      <c r="D1316" s="475"/>
      <c r="E1316" s="699"/>
      <c r="F1316" s="475"/>
      <c r="G1316" s="699"/>
      <c r="H1316" s="699"/>
      <c r="I1316" s="463"/>
      <c r="J1316" s="475"/>
      <c r="K1316" s="699"/>
      <c r="L1316" s="475"/>
      <c r="M1316" s="699"/>
      <c r="N1316" s="699"/>
    </row>
    <row r="1317" ht="20.25" customHeight="1">
      <c r="A1317" s="701"/>
      <c r="B1317" s="702"/>
      <c r="C1317" s="341"/>
      <c r="D1317" s="463"/>
      <c r="E1317" s="455"/>
      <c r="F1317" s="463"/>
      <c r="G1317" s="455"/>
      <c r="H1317" s="455"/>
      <c r="I1317" s="463"/>
      <c r="J1317" s="463"/>
      <c r="K1317" s="455"/>
      <c r="L1317" s="463"/>
      <c r="M1317" s="455"/>
      <c r="N1317" s="455"/>
    </row>
    <row r="1318" ht="20.25" customHeight="1">
      <c r="A1318" s="696"/>
      <c r="B1318" s="697"/>
      <c r="C1318" s="342"/>
      <c r="D1318" s="475"/>
      <c r="E1318" s="699"/>
      <c r="F1318" s="475"/>
      <c r="G1318" s="699"/>
      <c r="H1318" s="699"/>
      <c r="I1318" s="463"/>
      <c r="J1318" s="475"/>
      <c r="K1318" s="699"/>
      <c r="L1318" s="475"/>
      <c r="M1318" s="699"/>
      <c r="N1318" s="699"/>
    </row>
    <row r="1319" ht="20.25" customHeight="1">
      <c r="A1319" s="701"/>
      <c r="B1319" s="702"/>
      <c r="C1319" s="341"/>
      <c r="D1319" s="463"/>
      <c r="E1319" s="455"/>
      <c r="F1319" s="463"/>
      <c r="G1319" s="455"/>
      <c r="H1319" s="455"/>
      <c r="I1319" s="463"/>
      <c r="J1319" s="463"/>
      <c r="K1319" s="455"/>
      <c r="L1319" s="463"/>
      <c r="M1319" s="455"/>
      <c r="N1319" s="455"/>
    </row>
    <row r="1320" ht="20.25" customHeight="1">
      <c r="A1320" s="696"/>
      <c r="B1320" s="697"/>
      <c r="C1320" s="342"/>
      <c r="D1320" s="475"/>
      <c r="E1320" s="699"/>
      <c r="F1320" s="475"/>
      <c r="G1320" s="699"/>
      <c r="H1320" s="699"/>
      <c r="I1320" s="463"/>
      <c r="J1320" s="475"/>
      <c r="K1320" s="699"/>
      <c r="L1320" s="475"/>
      <c r="M1320" s="699"/>
      <c r="N1320" s="699"/>
    </row>
    <row r="1321" ht="20.25" customHeight="1">
      <c r="A1321" s="701"/>
      <c r="B1321" s="702"/>
      <c r="C1321" s="341"/>
      <c r="D1321" s="463"/>
      <c r="E1321" s="455"/>
      <c r="F1321" s="463"/>
      <c r="G1321" s="455"/>
      <c r="H1321" s="455"/>
      <c r="I1321" s="463"/>
      <c r="J1321" s="463"/>
      <c r="K1321" s="455"/>
      <c r="L1321" s="463"/>
      <c r="M1321" s="455"/>
      <c r="N1321" s="455"/>
    </row>
    <row r="1322" ht="20.25" customHeight="1">
      <c r="A1322" s="696"/>
      <c r="B1322" s="697"/>
      <c r="C1322" s="342"/>
      <c r="D1322" s="475"/>
      <c r="E1322" s="699"/>
      <c r="F1322" s="475"/>
      <c r="G1322" s="699"/>
      <c r="H1322" s="699"/>
      <c r="I1322" s="463"/>
      <c r="J1322" s="475"/>
      <c r="K1322" s="699"/>
      <c r="L1322" s="475"/>
      <c r="M1322" s="699"/>
      <c r="N1322" s="699"/>
    </row>
    <row r="1323" ht="20.25" customHeight="1">
      <c r="A1323" s="701"/>
      <c r="B1323" s="702"/>
      <c r="C1323" s="341"/>
      <c r="D1323" s="463"/>
      <c r="E1323" s="455"/>
      <c r="F1323" s="463"/>
      <c r="G1323" s="455"/>
      <c r="H1323" s="455"/>
      <c r="I1323" s="463"/>
      <c r="J1323" s="463"/>
      <c r="K1323" s="455"/>
      <c r="L1323" s="463"/>
      <c r="M1323" s="455"/>
      <c r="N1323" s="455"/>
    </row>
    <row r="1324" ht="20.25" customHeight="1">
      <c r="A1324" s="696"/>
      <c r="B1324" s="697"/>
      <c r="C1324" s="342"/>
      <c r="D1324" s="475"/>
      <c r="E1324" s="699"/>
      <c r="F1324" s="475"/>
      <c r="G1324" s="699"/>
      <c r="H1324" s="699"/>
      <c r="I1324" s="463"/>
      <c r="J1324" s="475"/>
      <c r="K1324" s="699"/>
      <c r="L1324" s="475"/>
      <c r="M1324" s="699"/>
      <c r="N1324" s="699"/>
    </row>
    <row r="1325" ht="20.25" customHeight="1">
      <c r="A1325" s="701"/>
      <c r="B1325" s="702"/>
      <c r="C1325" s="341"/>
      <c r="D1325" s="463"/>
      <c r="E1325" s="455"/>
      <c r="F1325" s="463"/>
      <c r="G1325" s="455"/>
      <c r="H1325" s="455"/>
      <c r="I1325" s="463"/>
      <c r="J1325" s="463"/>
      <c r="K1325" s="455"/>
      <c r="L1325" s="463"/>
      <c r="M1325" s="455"/>
      <c r="N1325" s="455"/>
    </row>
    <row r="1326" ht="20.25" customHeight="1">
      <c r="A1326" s="696"/>
      <c r="B1326" s="697"/>
      <c r="C1326" s="342"/>
      <c r="D1326" s="475"/>
      <c r="E1326" s="699"/>
      <c r="F1326" s="475"/>
      <c r="G1326" s="699"/>
      <c r="H1326" s="699"/>
      <c r="I1326" s="463"/>
      <c r="J1326" s="475"/>
      <c r="K1326" s="699"/>
      <c r="L1326" s="475"/>
      <c r="M1326" s="699"/>
      <c r="N1326" s="699"/>
    </row>
    <row r="1327" ht="20.25" customHeight="1">
      <c r="A1327" s="701"/>
      <c r="B1327" s="702"/>
      <c r="C1327" s="341"/>
      <c r="D1327" s="463"/>
      <c r="E1327" s="455"/>
      <c r="F1327" s="463"/>
      <c r="G1327" s="455"/>
      <c r="H1327" s="455"/>
      <c r="I1327" s="463"/>
      <c r="J1327" s="463"/>
      <c r="K1327" s="455"/>
      <c r="L1327" s="463"/>
      <c r="M1327" s="455"/>
      <c r="N1327" s="455"/>
    </row>
    <row r="1328" ht="20.25" customHeight="1">
      <c r="A1328" s="696"/>
      <c r="B1328" s="697"/>
      <c r="C1328" s="342"/>
      <c r="D1328" s="475"/>
      <c r="E1328" s="699"/>
      <c r="F1328" s="475"/>
      <c r="G1328" s="699"/>
      <c r="H1328" s="699"/>
      <c r="I1328" s="463"/>
      <c r="J1328" s="475"/>
      <c r="K1328" s="699"/>
      <c r="L1328" s="475"/>
      <c r="M1328" s="699"/>
      <c r="N1328" s="699"/>
    </row>
    <row r="1329" ht="20.25" customHeight="1">
      <c r="A1329" s="701"/>
      <c r="B1329" s="702"/>
      <c r="C1329" s="341"/>
      <c r="D1329" s="463"/>
      <c r="E1329" s="455"/>
      <c r="F1329" s="463"/>
      <c r="G1329" s="455"/>
      <c r="H1329" s="455"/>
      <c r="I1329" s="463"/>
      <c r="J1329" s="463"/>
      <c r="K1329" s="455"/>
      <c r="L1329" s="463"/>
      <c r="M1329" s="455"/>
      <c r="N1329" s="455"/>
    </row>
    <row r="1330" ht="20.25" customHeight="1">
      <c r="A1330" s="696"/>
      <c r="B1330" s="697"/>
      <c r="C1330" s="342"/>
      <c r="D1330" s="475"/>
      <c r="E1330" s="699"/>
      <c r="F1330" s="475"/>
      <c r="G1330" s="699"/>
      <c r="H1330" s="699"/>
      <c r="I1330" s="463"/>
      <c r="J1330" s="475"/>
      <c r="K1330" s="699"/>
      <c r="L1330" s="475"/>
      <c r="M1330" s="699"/>
      <c r="N1330" s="699"/>
    </row>
    <row r="1331" ht="20.25" customHeight="1">
      <c r="A1331" s="701"/>
      <c r="B1331" s="702"/>
      <c r="C1331" s="341"/>
      <c r="D1331" s="463"/>
      <c r="E1331" s="455"/>
      <c r="F1331" s="463"/>
      <c r="G1331" s="455"/>
      <c r="H1331" s="455"/>
      <c r="I1331" s="463"/>
      <c r="J1331" s="463"/>
      <c r="K1331" s="455"/>
      <c r="L1331" s="463"/>
      <c r="M1331" s="455"/>
      <c r="N1331" s="455"/>
    </row>
    <row r="1332" ht="20.25" customHeight="1">
      <c r="A1332" s="696"/>
      <c r="B1332" s="697"/>
      <c r="C1332" s="342"/>
      <c r="D1332" s="475"/>
      <c r="E1332" s="699"/>
      <c r="F1332" s="475"/>
      <c r="G1332" s="699"/>
      <c r="H1332" s="699"/>
      <c r="I1332" s="463"/>
      <c r="J1332" s="475"/>
      <c r="K1332" s="699"/>
      <c r="L1332" s="475"/>
      <c r="M1332" s="699"/>
      <c r="N1332" s="699"/>
    </row>
    <row r="1333" ht="20.25" customHeight="1">
      <c r="A1333" s="701"/>
      <c r="B1333" s="702"/>
      <c r="C1333" s="341"/>
      <c r="D1333" s="463"/>
      <c r="E1333" s="455"/>
      <c r="F1333" s="463"/>
      <c r="G1333" s="455"/>
      <c r="H1333" s="455"/>
      <c r="I1333" s="463"/>
      <c r="J1333" s="463"/>
      <c r="K1333" s="455"/>
      <c r="L1333" s="463"/>
      <c r="M1333" s="455"/>
      <c r="N1333" s="455"/>
    </row>
    <row r="1334" ht="20.25" customHeight="1">
      <c r="A1334" s="696"/>
      <c r="B1334" s="697"/>
      <c r="C1334" s="342"/>
      <c r="D1334" s="475"/>
      <c r="E1334" s="699"/>
      <c r="F1334" s="475"/>
      <c r="G1334" s="699"/>
      <c r="H1334" s="699"/>
      <c r="I1334" s="463"/>
      <c r="J1334" s="475"/>
      <c r="K1334" s="699"/>
      <c r="L1334" s="475"/>
      <c r="M1334" s="699"/>
      <c r="N1334" s="699"/>
    </row>
    <row r="1335" ht="20.25" customHeight="1">
      <c r="A1335" s="701"/>
      <c r="B1335" s="702"/>
      <c r="C1335" s="341"/>
      <c r="D1335" s="463"/>
      <c r="E1335" s="455"/>
      <c r="F1335" s="463"/>
      <c r="G1335" s="455"/>
      <c r="H1335" s="455"/>
      <c r="I1335" s="463"/>
      <c r="J1335" s="463"/>
      <c r="K1335" s="455"/>
      <c r="L1335" s="463"/>
      <c r="M1335" s="455"/>
      <c r="N1335" s="455"/>
    </row>
    <row r="1336" ht="20.25" customHeight="1">
      <c r="A1336" s="696"/>
      <c r="B1336" s="697"/>
      <c r="C1336" s="342"/>
      <c r="D1336" s="475"/>
      <c r="E1336" s="699"/>
      <c r="F1336" s="475"/>
      <c r="G1336" s="699"/>
      <c r="H1336" s="699"/>
      <c r="I1336" s="463"/>
      <c r="J1336" s="475"/>
      <c r="K1336" s="699"/>
      <c r="L1336" s="475"/>
      <c r="M1336" s="699"/>
      <c r="N1336" s="699"/>
    </row>
    <row r="1337" ht="20.25" customHeight="1">
      <c r="A1337" s="701"/>
      <c r="B1337" s="702"/>
      <c r="C1337" s="341"/>
      <c r="D1337" s="463"/>
      <c r="E1337" s="455"/>
      <c r="F1337" s="463"/>
      <c r="G1337" s="455"/>
      <c r="H1337" s="455"/>
      <c r="I1337" s="463"/>
      <c r="J1337" s="463"/>
      <c r="K1337" s="455"/>
      <c r="L1337" s="463"/>
      <c r="M1337" s="455"/>
      <c r="N1337" s="455"/>
    </row>
    <row r="1338" ht="20.25" customHeight="1">
      <c r="A1338" s="696"/>
      <c r="B1338" s="697"/>
      <c r="C1338" s="342"/>
      <c r="D1338" s="475"/>
      <c r="E1338" s="699"/>
      <c r="F1338" s="475"/>
      <c r="G1338" s="699"/>
      <c r="H1338" s="699"/>
      <c r="I1338" s="463"/>
      <c r="J1338" s="475"/>
      <c r="K1338" s="699"/>
      <c r="L1338" s="475"/>
      <c r="M1338" s="699"/>
      <c r="N1338" s="699"/>
    </row>
    <row r="1339" ht="20.25" customHeight="1">
      <c r="A1339" s="701"/>
      <c r="B1339" s="702"/>
      <c r="C1339" s="341"/>
      <c r="D1339" s="463"/>
      <c r="E1339" s="455"/>
      <c r="F1339" s="463"/>
      <c r="G1339" s="455"/>
      <c r="H1339" s="455"/>
      <c r="I1339" s="463"/>
      <c r="J1339" s="463"/>
      <c r="K1339" s="455"/>
      <c r="L1339" s="463"/>
      <c r="M1339" s="455"/>
      <c r="N1339" s="455"/>
    </row>
    <row r="1340" ht="20.25" customHeight="1">
      <c r="A1340" s="696"/>
      <c r="B1340" s="697"/>
      <c r="C1340" s="342"/>
      <c r="D1340" s="475"/>
      <c r="E1340" s="699"/>
      <c r="F1340" s="475"/>
      <c r="G1340" s="699"/>
      <c r="H1340" s="699"/>
      <c r="I1340" s="463"/>
      <c r="J1340" s="475"/>
      <c r="K1340" s="699"/>
      <c r="L1340" s="475"/>
      <c r="M1340" s="699"/>
      <c r="N1340" s="699"/>
    </row>
    <row r="1341" ht="20.25" customHeight="1">
      <c r="A1341" s="701"/>
      <c r="B1341" s="702"/>
      <c r="C1341" s="341"/>
      <c r="D1341" s="463"/>
      <c r="E1341" s="455"/>
      <c r="F1341" s="463"/>
      <c r="G1341" s="455"/>
      <c r="H1341" s="455"/>
      <c r="I1341" s="463"/>
      <c r="J1341" s="463"/>
      <c r="K1341" s="455"/>
      <c r="L1341" s="463"/>
      <c r="M1341" s="455"/>
      <c r="N1341" s="455"/>
    </row>
    <row r="1342" ht="20.25" customHeight="1">
      <c r="A1342" s="696"/>
      <c r="B1342" s="697"/>
      <c r="C1342" s="342"/>
      <c r="D1342" s="475"/>
      <c r="E1342" s="699"/>
      <c r="F1342" s="475"/>
      <c r="G1342" s="699"/>
      <c r="H1342" s="699"/>
      <c r="I1342" s="463"/>
      <c r="J1342" s="475"/>
      <c r="K1342" s="699"/>
      <c r="L1342" s="475"/>
      <c r="M1342" s="699"/>
      <c r="N1342" s="699"/>
    </row>
    <row r="1343" ht="20.25" customHeight="1">
      <c r="A1343" s="701"/>
      <c r="B1343" s="702"/>
      <c r="C1343" s="341"/>
      <c r="D1343" s="463"/>
      <c r="E1343" s="455"/>
      <c r="F1343" s="463"/>
      <c r="G1343" s="455"/>
      <c r="H1343" s="455"/>
      <c r="I1343" s="463"/>
      <c r="J1343" s="463"/>
      <c r="K1343" s="455"/>
      <c r="L1343" s="463"/>
      <c r="M1343" s="455"/>
      <c r="N1343" s="455"/>
    </row>
    <row r="1344" ht="20.25" customHeight="1">
      <c r="A1344" s="696"/>
      <c r="B1344" s="697"/>
      <c r="C1344" s="342"/>
      <c r="D1344" s="475"/>
      <c r="E1344" s="699"/>
      <c r="F1344" s="475"/>
      <c r="G1344" s="699"/>
      <c r="H1344" s="699"/>
      <c r="I1344" s="463"/>
      <c r="J1344" s="475"/>
      <c r="K1344" s="699"/>
      <c r="L1344" s="475"/>
      <c r="M1344" s="699"/>
      <c r="N1344" s="699"/>
    </row>
    <row r="1345" ht="20.25" customHeight="1">
      <c r="A1345" s="701"/>
      <c r="B1345" s="702"/>
      <c r="C1345" s="341"/>
      <c r="D1345" s="463"/>
      <c r="E1345" s="455"/>
      <c r="F1345" s="463"/>
      <c r="G1345" s="455"/>
      <c r="H1345" s="455"/>
      <c r="I1345" s="463"/>
      <c r="J1345" s="463"/>
      <c r="K1345" s="455"/>
      <c r="L1345" s="463"/>
      <c r="M1345" s="455"/>
      <c r="N1345" s="455"/>
    </row>
    <row r="1346" ht="20.25" customHeight="1">
      <c r="A1346" s="696"/>
      <c r="B1346" s="697"/>
      <c r="C1346" s="342"/>
      <c r="D1346" s="475"/>
      <c r="E1346" s="699"/>
      <c r="F1346" s="475"/>
      <c r="G1346" s="699"/>
      <c r="H1346" s="699"/>
      <c r="I1346" s="463"/>
      <c r="J1346" s="475"/>
      <c r="K1346" s="699"/>
      <c r="L1346" s="475"/>
      <c r="M1346" s="699"/>
      <c r="N1346" s="699"/>
    </row>
    <row r="1347" ht="20.25" customHeight="1">
      <c r="A1347" s="701"/>
      <c r="B1347" s="702"/>
      <c r="C1347" s="341"/>
      <c r="D1347" s="463"/>
      <c r="E1347" s="455"/>
      <c r="F1347" s="463"/>
      <c r="G1347" s="455"/>
      <c r="H1347" s="455"/>
      <c r="I1347" s="463"/>
      <c r="J1347" s="463"/>
      <c r="K1347" s="455"/>
      <c r="L1347" s="463"/>
      <c r="M1347" s="455"/>
      <c r="N1347" s="455"/>
    </row>
    <row r="1348" ht="20.25" customHeight="1">
      <c r="A1348" s="696"/>
      <c r="B1348" s="697"/>
      <c r="C1348" s="342"/>
      <c r="D1348" s="475"/>
      <c r="E1348" s="699"/>
      <c r="F1348" s="475"/>
      <c r="G1348" s="699"/>
      <c r="H1348" s="699"/>
      <c r="I1348" s="463"/>
      <c r="J1348" s="475"/>
      <c r="K1348" s="699"/>
      <c r="L1348" s="475"/>
      <c r="M1348" s="699"/>
      <c r="N1348" s="699"/>
    </row>
    <row r="1349" ht="20.25" customHeight="1">
      <c r="A1349" s="701"/>
      <c r="B1349" s="702"/>
      <c r="C1349" s="341"/>
      <c r="D1349" s="463"/>
      <c r="E1349" s="455"/>
      <c r="F1349" s="463"/>
      <c r="G1349" s="455"/>
      <c r="H1349" s="455"/>
      <c r="I1349" s="463"/>
      <c r="J1349" s="463"/>
      <c r="K1349" s="455"/>
      <c r="L1349" s="463"/>
      <c r="M1349" s="455"/>
      <c r="N1349" s="455"/>
    </row>
    <row r="1350" ht="20.25" customHeight="1">
      <c r="A1350" s="696"/>
      <c r="B1350" s="697"/>
      <c r="C1350" s="342"/>
      <c r="D1350" s="475"/>
      <c r="E1350" s="699"/>
      <c r="F1350" s="475"/>
      <c r="G1350" s="699"/>
      <c r="H1350" s="699"/>
      <c r="I1350" s="463"/>
      <c r="J1350" s="475"/>
      <c r="K1350" s="699"/>
      <c r="L1350" s="475"/>
      <c r="M1350" s="699"/>
      <c r="N1350" s="699"/>
    </row>
    <row r="1351" ht="20.25" customHeight="1">
      <c r="A1351" s="701"/>
      <c r="B1351" s="702"/>
      <c r="C1351" s="341"/>
      <c r="D1351" s="463"/>
      <c r="E1351" s="455"/>
      <c r="F1351" s="463"/>
      <c r="G1351" s="455"/>
      <c r="H1351" s="455"/>
      <c r="I1351" s="463"/>
      <c r="J1351" s="463"/>
      <c r="K1351" s="455"/>
      <c r="L1351" s="463"/>
      <c r="M1351" s="455"/>
      <c r="N1351" s="455"/>
    </row>
    <row r="1352" ht="20.25" customHeight="1">
      <c r="A1352" s="696"/>
      <c r="B1352" s="697"/>
      <c r="C1352" s="342"/>
      <c r="D1352" s="475"/>
      <c r="E1352" s="699"/>
      <c r="F1352" s="475"/>
      <c r="G1352" s="699"/>
      <c r="H1352" s="699"/>
      <c r="I1352" s="463"/>
      <c r="J1352" s="475"/>
      <c r="K1352" s="699"/>
      <c r="L1352" s="475"/>
      <c r="M1352" s="699"/>
      <c r="N1352" s="699"/>
    </row>
    <row r="1353" ht="20.25" customHeight="1">
      <c r="A1353" s="701"/>
      <c r="B1353" s="702"/>
      <c r="C1353" s="341"/>
      <c r="D1353" s="463"/>
      <c r="E1353" s="455"/>
      <c r="F1353" s="463"/>
      <c r="G1353" s="455"/>
      <c r="H1353" s="455"/>
      <c r="I1353" s="463"/>
      <c r="J1353" s="463"/>
      <c r="K1353" s="455"/>
      <c r="L1353" s="463"/>
      <c r="M1353" s="455"/>
      <c r="N1353" s="455"/>
    </row>
    <row r="1354" ht="20.25" customHeight="1">
      <c r="A1354" s="696"/>
      <c r="B1354" s="697"/>
      <c r="C1354" s="342"/>
      <c r="D1354" s="475"/>
      <c r="E1354" s="699"/>
      <c r="F1354" s="475"/>
      <c r="G1354" s="699"/>
      <c r="H1354" s="699"/>
      <c r="I1354" s="463"/>
      <c r="J1354" s="475"/>
      <c r="K1354" s="699"/>
      <c r="L1354" s="475"/>
      <c r="M1354" s="699"/>
      <c r="N1354" s="699"/>
    </row>
    <row r="1355" ht="20.25" customHeight="1">
      <c r="A1355" s="701"/>
      <c r="B1355" s="702"/>
      <c r="C1355" s="341"/>
      <c r="D1355" s="463"/>
      <c r="E1355" s="455"/>
      <c r="F1355" s="463"/>
      <c r="G1355" s="455"/>
      <c r="H1355" s="455"/>
      <c r="I1355" s="463"/>
      <c r="J1355" s="463"/>
      <c r="K1355" s="455"/>
      <c r="L1355" s="463"/>
      <c r="M1355" s="455"/>
      <c r="N1355" s="455"/>
    </row>
    <row r="1356" ht="20.25" customHeight="1">
      <c r="A1356" s="696"/>
      <c r="B1356" s="697"/>
      <c r="C1356" s="342"/>
      <c r="D1356" s="475"/>
      <c r="E1356" s="699"/>
      <c r="F1356" s="475"/>
      <c r="G1356" s="699"/>
      <c r="H1356" s="699"/>
      <c r="I1356" s="463"/>
      <c r="J1356" s="475"/>
      <c r="K1356" s="699"/>
      <c r="L1356" s="475"/>
      <c r="M1356" s="699"/>
      <c r="N1356" s="699"/>
    </row>
    <row r="1357" ht="20.25" customHeight="1">
      <c r="A1357" s="701"/>
      <c r="B1357" s="702"/>
      <c r="C1357" s="341"/>
      <c r="D1357" s="463"/>
      <c r="E1357" s="455"/>
      <c r="F1357" s="463"/>
      <c r="G1357" s="455"/>
      <c r="H1357" s="455"/>
      <c r="I1357" s="463"/>
      <c r="J1357" s="463"/>
      <c r="K1357" s="455"/>
      <c r="L1357" s="463"/>
      <c r="M1357" s="455"/>
      <c r="N1357" s="455"/>
    </row>
    <row r="1358" ht="20.25" customHeight="1">
      <c r="A1358" s="696"/>
      <c r="B1358" s="697"/>
      <c r="C1358" s="342"/>
      <c r="D1358" s="475"/>
      <c r="E1358" s="699"/>
      <c r="F1358" s="475"/>
      <c r="G1358" s="699"/>
      <c r="H1358" s="699"/>
      <c r="I1358" s="463"/>
      <c r="J1358" s="475"/>
      <c r="K1358" s="699"/>
      <c r="L1358" s="475"/>
      <c r="M1358" s="699"/>
      <c r="N1358" s="699"/>
    </row>
    <row r="1359" ht="20.25" customHeight="1">
      <c r="A1359" s="701"/>
      <c r="B1359" s="702"/>
      <c r="C1359" s="341"/>
      <c r="D1359" s="463"/>
      <c r="E1359" s="455"/>
      <c r="F1359" s="463"/>
      <c r="G1359" s="455"/>
      <c r="H1359" s="455"/>
      <c r="I1359" s="463"/>
      <c r="J1359" s="463"/>
      <c r="K1359" s="455"/>
      <c r="L1359" s="463"/>
      <c r="M1359" s="455"/>
      <c r="N1359" s="455"/>
    </row>
    <row r="1360" ht="20.25" customHeight="1">
      <c r="A1360" s="696"/>
      <c r="B1360" s="697"/>
      <c r="C1360" s="342"/>
      <c r="D1360" s="475"/>
      <c r="E1360" s="699"/>
      <c r="F1360" s="475"/>
      <c r="G1360" s="699"/>
      <c r="H1360" s="699"/>
      <c r="I1360" s="463"/>
      <c r="J1360" s="475"/>
      <c r="K1360" s="699"/>
      <c r="L1360" s="475"/>
      <c r="M1360" s="699"/>
      <c r="N1360" s="699"/>
    </row>
    <row r="1361" ht="20.25" customHeight="1">
      <c r="A1361" s="701"/>
      <c r="B1361" s="702"/>
      <c r="C1361" s="341"/>
      <c r="D1361" s="463"/>
      <c r="E1361" s="455"/>
      <c r="F1361" s="463"/>
      <c r="G1361" s="455"/>
      <c r="H1361" s="455"/>
      <c r="I1361" s="463"/>
      <c r="J1361" s="463"/>
      <c r="K1361" s="455"/>
      <c r="L1361" s="463"/>
      <c r="M1361" s="455"/>
      <c r="N1361" s="455"/>
    </row>
    <row r="1362" ht="20.25" customHeight="1">
      <c r="A1362" s="696"/>
      <c r="B1362" s="697"/>
      <c r="C1362" s="342"/>
      <c r="D1362" s="475"/>
      <c r="E1362" s="699"/>
      <c r="F1362" s="475"/>
      <c r="G1362" s="699"/>
      <c r="H1362" s="699"/>
      <c r="I1362" s="463"/>
      <c r="J1362" s="475"/>
      <c r="K1362" s="699"/>
      <c r="L1362" s="475"/>
      <c r="M1362" s="699"/>
      <c r="N1362" s="699"/>
    </row>
    <row r="1363" ht="20.25" customHeight="1">
      <c r="A1363" s="701"/>
      <c r="B1363" s="702"/>
      <c r="C1363" s="341"/>
      <c r="D1363" s="463"/>
      <c r="E1363" s="455"/>
      <c r="F1363" s="463"/>
      <c r="G1363" s="455"/>
      <c r="H1363" s="455"/>
      <c r="I1363" s="463"/>
      <c r="J1363" s="463"/>
      <c r="K1363" s="455"/>
      <c r="L1363" s="463"/>
      <c r="M1363" s="455"/>
      <c r="N1363" s="455"/>
    </row>
    <row r="1364" ht="20.25" customHeight="1">
      <c r="A1364" s="696"/>
      <c r="B1364" s="697"/>
      <c r="C1364" s="342"/>
      <c r="D1364" s="475"/>
      <c r="E1364" s="699"/>
      <c r="F1364" s="475"/>
      <c r="G1364" s="699"/>
      <c r="H1364" s="699"/>
      <c r="I1364" s="463"/>
      <c r="J1364" s="475"/>
      <c r="K1364" s="699"/>
      <c r="L1364" s="475"/>
      <c r="M1364" s="699"/>
      <c r="N1364" s="699"/>
    </row>
    <row r="1365" ht="20.25" customHeight="1">
      <c r="A1365" s="701"/>
      <c r="B1365" s="702"/>
      <c r="C1365" s="341"/>
      <c r="D1365" s="463"/>
      <c r="E1365" s="455"/>
      <c r="F1365" s="463"/>
      <c r="G1365" s="455"/>
      <c r="H1365" s="455"/>
      <c r="I1365" s="463"/>
      <c r="J1365" s="463"/>
      <c r="K1365" s="455"/>
      <c r="L1365" s="463"/>
      <c r="M1365" s="455"/>
      <c r="N1365" s="455"/>
    </row>
    <row r="1366" ht="20.25" customHeight="1">
      <c r="A1366" s="696"/>
      <c r="B1366" s="697"/>
      <c r="C1366" s="342"/>
      <c r="D1366" s="475"/>
      <c r="E1366" s="699"/>
      <c r="F1366" s="475"/>
      <c r="G1366" s="699"/>
      <c r="H1366" s="699"/>
      <c r="I1366" s="463"/>
      <c r="J1366" s="475"/>
      <c r="K1366" s="699"/>
      <c r="L1366" s="475"/>
      <c r="M1366" s="699"/>
      <c r="N1366" s="699"/>
    </row>
    <row r="1367" ht="20.25" customHeight="1">
      <c r="A1367" s="701"/>
      <c r="B1367" s="702"/>
      <c r="C1367" s="341"/>
      <c r="D1367" s="463"/>
      <c r="E1367" s="455"/>
      <c r="F1367" s="463"/>
      <c r="G1367" s="455"/>
      <c r="H1367" s="455"/>
      <c r="I1367" s="463"/>
      <c r="J1367" s="463"/>
      <c r="K1367" s="455"/>
      <c r="L1367" s="463"/>
      <c r="M1367" s="455"/>
      <c r="N1367" s="455"/>
    </row>
    <row r="1368" ht="20.25" customHeight="1">
      <c r="A1368" s="696"/>
      <c r="B1368" s="697"/>
      <c r="C1368" s="342"/>
      <c r="D1368" s="475"/>
      <c r="E1368" s="699"/>
      <c r="F1368" s="475"/>
      <c r="G1368" s="699"/>
      <c r="H1368" s="699"/>
      <c r="I1368" s="463"/>
      <c r="J1368" s="475"/>
      <c r="K1368" s="699"/>
      <c r="L1368" s="475"/>
      <c r="M1368" s="699"/>
      <c r="N1368" s="699"/>
    </row>
    <row r="1369" ht="20.25" customHeight="1">
      <c r="A1369" s="701"/>
      <c r="B1369" s="702"/>
      <c r="C1369" s="341"/>
      <c r="D1369" s="463"/>
      <c r="E1369" s="455"/>
      <c r="F1369" s="463"/>
      <c r="G1369" s="455"/>
      <c r="H1369" s="455"/>
      <c r="I1369" s="463"/>
      <c r="J1369" s="463"/>
      <c r="K1369" s="455"/>
      <c r="L1369" s="463"/>
      <c r="M1369" s="455"/>
      <c r="N1369" s="455"/>
    </row>
    <row r="1370" ht="20.25" customHeight="1">
      <c r="A1370" s="696"/>
      <c r="B1370" s="697"/>
      <c r="C1370" s="342"/>
      <c r="D1370" s="475"/>
      <c r="E1370" s="699"/>
      <c r="F1370" s="475"/>
      <c r="G1370" s="699"/>
      <c r="H1370" s="699"/>
      <c r="I1370" s="463"/>
      <c r="J1370" s="475"/>
      <c r="K1370" s="699"/>
      <c r="L1370" s="475"/>
      <c r="M1370" s="699"/>
      <c r="N1370" s="699"/>
    </row>
    <row r="1371" ht="20.25" customHeight="1">
      <c r="A1371" s="701"/>
      <c r="B1371" s="702"/>
      <c r="C1371" s="341"/>
      <c r="D1371" s="463"/>
      <c r="E1371" s="455"/>
      <c r="F1371" s="463"/>
      <c r="G1371" s="455"/>
      <c r="H1371" s="455"/>
      <c r="I1371" s="463"/>
      <c r="J1371" s="463"/>
      <c r="K1371" s="455"/>
      <c r="L1371" s="463"/>
      <c r="M1371" s="455"/>
      <c r="N1371" s="455"/>
    </row>
    <row r="1372" ht="20.25" customHeight="1">
      <c r="A1372" s="696"/>
      <c r="B1372" s="697"/>
      <c r="C1372" s="342"/>
      <c r="D1372" s="475"/>
      <c r="E1372" s="699"/>
      <c r="F1372" s="475"/>
      <c r="G1372" s="699"/>
      <c r="H1372" s="699"/>
      <c r="I1372" s="463"/>
      <c r="J1372" s="475"/>
      <c r="K1372" s="699"/>
      <c r="L1372" s="475"/>
      <c r="M1372" s="699"/>
      <c r="N1372" s="699"/>
    </row>
    <row r="1373" ht="20.25" customHeight="1">
      <c r="A1373" s="701"/>
      <c r="B1373" s="702"/>
      <c r="C1373" s="341"/>
      <c r="D1373" s="463"/>
      <c r="E1373" s="455"/>
      <c r="F1373" s="463"/>
      <c r="G1373" s="455"/>
      <c r="H1373" s="455"/>
      <c r="I1373" s="463"/>
      <c r="J1373" s="463"/>
      <c r="K1373" s="455"/>
      <c r="L1373" s="463"/>
      <c r="M1373" s="455"/>
      <c r="N1373" s="455"/>
    </row>
    <row r="1374" ht="20.25" customHeight="1">
      <c r="A1374" s="696"/>
      <c r="B1374" s="697"/>
      <c r="C1374" s="342"/>
      <c r="D1374" s="475"/>
      <c r="E1374" s="699"/>
      <c r="F1374" s="475"/>
      <c r="G1374" s="699"/>
      <c r="H1374" s="699"/>
      <c r="I1374" s="463"/>
      <c r="J1374" s="475"/>
      <c r="K1374" s="699"/>
      <c r="L1374" s="475"/>
      <c r="M1374" s="699"/>
      <c r="N1374" s="699"/>
    </row>
    <row r="1375" ht="20.25" customHeight="1">
      <c r="A1375" s="701"/>
      <c r="B1375" s="702"/>
      <c r="C1375" s="341"/>
      <c r="D1375" s="463"/>
      <c r="E1375" s="455"/>
      <c r="F1375" s="463"/>
      <c r="G1375" s="455"/>
      <c r="H1375" s="455"/>
      <c r="I1375" s="463"/>
      <c r="J1375" s="463"/>
      <c r="K1375" s="455"/>
      <c r="L1375" s="463"/>
      <c r="M1375" s="455"/>
      <c r="N1375" s="455"/>
    </row>
    <row r="1376" ht="20.25" customHeight="1">
      <c r="A1376" s="696"/>
      <c r="B1376" s="697"/>
      <c r="C1376" s="342"/>
      <c r="D1376" s="475"/>
      <c r="E1376" s="699"/>
      <c r="F1376" s="475"/>
      <c r="G1376" s="699"/>
      <c r="H1376" s="699"/>
      <c r="I1376" s="463"/>
      <c r="J1376" s="475"/>
      <c r="K1376" s="699"/>
      <c r="L1376" s="475"/>
      <c r="M1376" s="699"/>
      <c r="N1376" s="699"/>
    </row>
    <row r="1377" ht="20.25" customHeight="1">
      <c r="A1377" s="701"/>
      <c r="B1377" s="702"/>
      <c r="C1377" s="341"/>
      <c r="D1377" s="463"/>
      <c r="E1377" s="455"/>
      <c r="F1377" s="463"/>
      <c r="G1377" s="455"/>
      <c r="H1377" s="455"/>
      <c r="I1377" s="463"/>
      <c r="J1377" s="463"/>
      <c r="K1377" s="455"/>
      <c r="L1377" s="463"/>
      <c r="M1377" s="455"/>
      <c r="N1377" s="455"/>
    </row>
    <row r="1378" ht="20.25" customHeight="1">
      <c r="A1378" s="696"/>
      <c r="B1378" s="697"/>
      <c r="C1378" s="342"/>
      <c r="D1378" s="475"/>
      <c r="E1378" s="699"/>
      <c r="F1378" s="475"/>
      <c r="G1378" s="699"/>
      <c r="H1378" s="699"/>
      <c r="I1378" s="463"/>
      <c r="J1378" s="475"/>
      <c r="K1378" s="699"/>
      <c r="L1378" s="475"/>
      <c r="M1378" s="699"/>
      <c r="N1378" s="699"/>
    </row>
    <row r="1379" ht="20.25" customHeight="1">
      <c r="A1379" s="701"/>
      <c r="B1379" s="702"/>
      <c r="C1379" s="341"/>
      <c r="D1379" s="463"/>
      <c r="E1379" s="455"/>
      <c r="F1379" s="463"/>
      <c r="G1379" s="455"/>
      <c r="H1379" s="455"/>
      <c r="I1379" s="463"/>
      <c r="J1379" s="463"/>
      <c r="K1379" s="455"/>
      <c r="L1379" s="463"/>
      <c r="M1379" s="455"/>
      <c r="N1379" s="455"/>
    </row>
    <row r="1380" ht="20.25" customHeight="1">
      <c r="A1380" s="696"/>
      <c r="B1380" s="697"/>
      <c r="C1380" s="342"/>
      <c r="D1380" s="475"/>
      <c r="E1380" s="699"/>
      <c r="F1380" s="475"/>
      <c r="G1380" s="699"/>
      <c r="H1380" s="699"/>
      <c r="I1380" s="463"/>
      <c r="J1380" s="475"/>
      <c r="K1380" s="699"/>
      <c r="L1380" s="475"/>
      <c r="M1380" s="699"/>
      <c r="N1380" s="699"/>
    </row>
    <row r="1381" ht="20.25" customHeight="1">
      <c r="A1381" s="701"/>
      <c r="B1381" s="702"/>
      <c r="C1381" s="341"/>
      <c r="D1381" s="463"/>
      <c r="E1381" s="455"/>
      <c r="F1381" s="463"/>
      <c r="G1381" s="455"/>
      <c r="H1381" s="455"/>
      <c r="I1381" s="463"/>
      <c r="J1381" s="463"/>
      <c r="K1381" s="455"/>
      <c r="L1381" s="463"/>
      <c r="M1381" s="455"/>
      <c r="N1381" s="455"/>
    </row>
    <row r="1382" ht="20.25" customHeight="1">
      <c r="A1382" s="696"/>
      <c r="B1382" s="697"/>
      <c r="C1382" s="342"/>
      <c r="D1382" s="475"/>
      <c r="E1382" s="699"/>
      <c r="F1382" s="475"/>
      <c r="G1382" s="699"/>
      <c r="H1382" s="699"/>
      <c r="I1382" s="463"/>
      <c r="J1382" s="475"/>
      <c r="K1382" s="699"/>
      <c r="L1382" s="475"/>
      <c r="M1382" s="699"/>
      <c r="N1382" s="699"/>
    </row>
    <row r="1383" ht="20.25" customHeight="1">
      <c r="A1383" s="701"/>
      <c r="B1383" s="702"/>
      <c r="C1383" s="341"/>
      <c r="D1383" s="463"/>
      <c r="E1383" s="455"/>
      <c r="F1383" s="463"/>
      <c r="G1383" s="455"/>
      <c r="H1383" s="455"/>
      <c r="I1383" s="463"/>
      <c r="J1383" s="463"/>
      <c r="K1383" s="455"/>
      <c r="L1383" s="463"/>
      <c r="M1383" s="455"/>
      <c r="N1383" s="455"/>
    </row>
    <row r="1384" ht="20.25" customHeight="1">
      <c r="A1384" s="696"/>
      <c r="B1384" s="697"/>
      <c r="C1384" s="342"/>
      <c r="D1384" s="475"/>
      <c r="E1384" s="699"/>
      <c r="F1384" s="475"/>
      <c r="G1384" s="699"/>
      <c r="H1384" s="699"/>
      <c r="I1384" s="463"/>
      <c r="J1384" s="475"/>
      <c r="K1384" s="699"/>
      <c r="L1384" s="475"/>
      <c r="M1384" s="699"/>
      <c r="N1384" s="699"/>
    </row>
    <row r="1385" ht="20.25" customHeight="1">
      <c r="A1385" s="701"/>
      <c r="B1385" s="702"/>
      <c r="C1385" s="341"/>
      <c r="D1385" s="463"/>
      <c r="E1385" s="455"/>
      <c r="F1385" s="463"/>
      <c r="G1385" s="455"/>
      <c r="H1385" s="455"/>
      <c r="I1385" s="463"/>
      <c r="J1385" s="463"/>
      <c r="K1385" s="455"/>
      <c r="L1385" s="463"/>
      <c r="M1385" s="455"/>
      <c r="N1385" s="455"/>
    </row>
    <row r="1386" ht="20.25" customHeight="1">
      <c r="A1386" s="696"/>
      <c r="B1386" s="697"/>
      <c r="C1386" s="342"/>
      <c r="D1386" s="475"/>
      <c r="E1386" s="699"/>
      <c r="F1386" s="475"/>
      <c r="G1386" s="699"/>
      <c r="H1386" s="699"/>
      <c r="I1386" s="463"/>
      <c r="J1386" s="475"/>
      <c r="K1386" s="699"/>
      <c r="L1386" s="475"/>
      <c r="M1386" s="699"/>
      <c r="N1386" s="699"/>
    </row>
    <row r="1387" ht="20.25" customHeight="1">
      <c r="A1387" s="701"/>
      <c r="B1387" s="702"/>
      <c r="C1387" s="341"/>
      <c r="D1387" s="463"/>
      <c r="E1387" s="455"/>
      <c r="F1387" s="463"/>
      <c r="G1387" s="455"/>
      <c r="H1387" s="455"/>
      <c r="I1387" s="463"/>
      <c r="J1387" s="463"/>
      <c r="K1387" s="455"/>
      <c r="L1387" s="463"/>
      <c r="M1387" s="455"/>
      <c r="N1387" s="455"/>
    </row>
    <row r="1388" ht="20.25" customHeight="1">
      <c r="A1388" s="696"/>
      <c r="B1388" s="697"/>
      <c r="C1388" s="342"/>
      <c r="D1388" s="475"/>
      <c r="E1388" s="699"/>
      <c r="F1388" s="475"/>
      <c r="G1388" s="699"/>
      <c r="H1388" s="699"/>
      <c r="I1388" s="463"/>
      <c r="J1388" s="475"/>
      <c r="K1388" s="699"/>
      <c r="L1388" s="475"/>
      <c r="M1388" s="699"/>
      <c r="N1388" s="699"/>
    </row>
    <row r="1389" ht="20.25" customHeight="1">
      <c r="A1389" s="701"/>
      <c r="B1389" s="702"/>
      <c r="C1389" s="341"/>
      <c r="D1389" s="463"/>
      <c r="E1389" s="455"/>
      <c r="F1389" s="463"/>
      <c r="G1389" s="455"/>
      <c r="H1389" s="455"/>
      <c r="I1389" s="463"/>
      <c r="J1389" s="463"/>
      <c r="K1389" s="455"/>
      <c r="L1389" s="463"/>
      <c r="M1389" s="455"/>
      <c r="N1389" s="455"/>
    </row>
    <row r="1390" ht="20.25" customHeight="1">
      <c r="A1390" s="696"/>
      <c r="B1390" s="697"/>
      <c r="C1390" s="342"/>
      <c r="D1390" s="475"/>
      <c r="E1390" s="699"/>
      <c r="F1390" s="475"/>
      <c r="G1390" s="699"/>
      <c r="H1390" s="699"/>
      <c r="I1390" s="463"/>
      <c r="J1390" s="475"/>
      <c r="K1390" s="699"/>
      <c r="L1390" s="475"/>
      <c r="M1390" s="699"/>
      <c r="N1390" s="699"/>
    </row>
    <row r="1391" ht="20.25" customHeight="1">
      <c r="A1391" s="701"/>
      <c r="B1391" s="702"/>
      <c r="C1391" s="341"/>
      <c r="D1391" s="463"/>
      <c r="E1391" s="455"/>
      <c r="F1391" s="463"/>
      <c r="G1391" s="455"/>
      <c r="H1391" s="455"/>
      <c r="I1391" s="463"/>
      <c r="J1391" s="463"/>
      <c r="K1391" s="455"/>
      <c r="L1391" s="463"/>
      <c r="M1391" s="455"/>
      <c r="N1391" s="455"/>
    </row>
    <row r="1392" ht="20.25" customHeight="1">
      <c r="A1392" s="696"/>
      <c r="B1392" s="697"/>
      <c r="C1392" s="342"/>
      <c r="D1392" s="475"/>
      <c r="E1392" s="699"/>
      <c r="F1392" s="475"/>
      <c r="G1392" s="699"/>
      <c r="H1392" s="699"/>
      <c r="I1392" s="463"/>
      <c r="J1392" s="475"/>
      <c r="K1392" s="699"/>
      <c r="L1392" s="475"/>
      <c r="M1392" s="699"/>
      <c r="N1392" s="699"/>
    </row>
    <row r="1393" ht="20.25" customHeight="1">
      <c r="A1393" s="701"/>
      <c r="B1393" s="702"/>
      <c r="C1393" s="341"/>
      <c r="D1393" s="463"/>
      <c r="E1393" s="455"/>
      <c r="F1393" s="463"/>
      <c r="G1393" s="455"/>
      <c r="H1393" s="455"/>
      <c r="I1393" s="463"/>
      <c r="J1393" s="463"/>
      <c r="K1393" s="455"/>
      <c r="L1393" s="463"/>
      <c r="M1393" s="455"/>
      <c r="N1393" s="455"/>
    </row>
    <row r="1394" ht="20.25" customHeight="1">
      <c r="A1394" s="696"/>
      <c r="B1394" s="697"/>
      <c r="C1394" s="342"/>
      <c r="D1394" s="475"/>
      <c r="E1394" s="699"/>
      <c r="F1394" s="475"/>
      <c r="G1394" s="699"/>
      <c r="H1394" s="699"/>
      <c r="I1394" s="463"/>
      <c r="J1394" s="475"/>
      <c r="K1394" s="699"/>
      <c r="L1394" s="475"/>
      <c r="M1394" s="699"/>
      <c r="N1394" s="699"/>
    </row>
    <row r="1395" ht="20.25" customHeight="1">
      <c r="A1395" s="701"/>
      <c r="B1395" s="702"/>
      <c r="C1395" s="341"/>
      <c r="D1395" s="463"/>
      <c r="E1395" s="455"/>
      <c r="F1395" s="463"/>
      <c r="G1395" s="455"/>
      <c r="H1395" s="455"/>
      <c r="I1395" s="463"/>
      <c r="J1395" s="463"/>
      <c r="K1395" s="455"/>
      <c r="L1395" s="463"/>
      <c r="M1395" s="455"/>
      <c r="N1395" s="455"/>
    </row>
    <row r="1396" ht="20.25" customHeight="1">
      <c r="A1396" s="696"/>
      <c r="B1396" s="697"/>
      <c r="C1396" s="342"/>
      <c r="D1396" s="475"/>
      <c r="E1396" s="699"/>
      <c r="F1396" s="475"/>
      <c r="G1396" s="699"/>
      <c r="H1396" s="699"/>
      <c r="I1396" s="463"/>
      <c r="J1396" s="475"/>
      <c r="K1396" s="699"/>
      <c r="L1396" s="475"/>
      <c r="M1396" s="699"/>
      <c r="N1396" s="699"/>
    </row>
    <row r="1397" ht="20.25" customHeight="1">
      <c r="A1397" s="701"/>
      <c r="B1397" s="702"/>
      <c r="C1397" s="341"/>
      <c r="D1397" s="463"/>
      <c r="E1397" s="455"/>
      <c r="F1397" s="463"/>
      <c r="G1397" s="455"/>
      <c r="H1397" s="455"/>
      <c r="I1397" s="463"/>
      <c r="J1397" s="463"/>
      <c r="K1397" s="455"/>
      <c r="L1397" s="463"/>
      <c r="M1397" s="455"/>
      <c r="N1397" s="455"/>
    </row>
    <row r="1398" ht="20.25" customHeight="1">
      <c r="A1398" s="696"/>
      <c r="B1398" s="697"/>
      <c r="C1398" s="342"/>
      <c r="D1398" s="475"/>
      <c r="E1398" s="699"/>
      <c r="F1398" s="475"/>
      <c r="G1398" s="699"/>
      <c r="H1398" s="699"/>
      <c r="I1398" s="463"/>
      <c r="J1398" s="475"/>
      <c r="K1398" s="699"/>
      <c r="L1398" s="475"/>
      <c r="M1398" s="699"/>
      <c r="N1398" s="699"/>
    </row>
    <row r="1399" ht="20.25" customHeight="1">
      <c r="A1399" s="701"/>
      <c r="B1399" s="702"/>
      <c r="C1399" s="341"/>
      <c r="D1399" s="463"/>
      <c r="E1399" s="455"/>
      <c r="F1399" s="463"/>
      <c r="G1399" s="455"/>
      <c r="H1399" s="455"/>
      <c r="I1399" s="463"/>
      <c r="J1399" s="463"/>
      <c r="K1399" s="455"/>
      <c r="L1399" s="463"/>
      <c r="M1399" s="455"/>
      <c r="N1399" s="455"/>
    </row>
    <row r="1400" ht="20.25" customHeight="1">
      <c r="A1400" s="696"/>
      <c r="B1400" s="697"/>
      <c r="C1400" s="342"/>
      <c r="D1400" s="475"/>
      <c r="E1400" s="699"/>
      <c r="F1400" s="475"/>
      <c r="G1400" s="699"/>
      <c r="H1400" s="699"/>
      <c r="I1400" s="463"/>
      <c r="J1400" s="475"/>
      <c r="K1400" s="699"/>
      <c r="L1400" s="475"/>
      <c r="M1400" s="699"/>
      <c r="N1400" s="699"/>
    </row>
    <row r="1401" ht="20.25" customHeight="1">
      <c r="A1401" s="701"/>
      <c r="B1401" s="702"/>
      <c r="C1401" s="341"/>
      <c r="D1401" s="463"/>
      <c r="E1401" s="455"/>
      <c r="F1401" s="463"/>
      <c r="G1401" s="455"/>
      <c r="H1401" s="455"/>
      <c r="I1401" s="463"/>
      <c r="J1401" s="463"/>
      <c r="K1401" s="455"/>
      <c r="L1401" s="463"/>
      <c r="M1401" s="455"/>
      <c r="N1401" s="455"/>
    </row>
    <row r="1402" ht="20.25" customHeight="1">
      <c r="A1402" s="696"/>
      <c r="B1402" s="697"/>
      <c r="C1402" s="342"/>
      <c r="D1402" s="475"/>
      <c r="E1402" s="699"/>
      <c r="F1402" s="475"/>
      <c r="G1402" s="699"/>
      <c r="H1402" s="699"/>
      <c r="I1402" s="463"/>
      <c r="J1402" s="475"/>
      <c r="K1402" s="699"/>
      <c r="L1402" s="475"/>
      <c r="M1402" s="699"/>
      <c r="N1402" s="699"/>
    </row>
    <row r="1403" ht="20.25" customHeight="1">
      <c r="A1403" s="701"/>
      <c r="B1403" s="702"/>
      <c r="C1403" s="341"/>
      <c r="D1403" s="463"/>
      <c r="E1403" s="455"/>
      <c r="F1403" s="463"/>
      <c r="G1403" s="455"/>
      <c r="H1403" s="455"/>
      <c r="I1403" s="463"/>
      <c r="J1403" s="463"/>
      <c r="K1403" s="455"/>
      <c r="L1403" s="463"/>
      <c r="M1403" s="455"/>
      <c r="N1403" s="455"/>
    </row>
    <row r="1404" ht="20.25" customHeight="1">
      <c r="A1404" s="696"/>
      <c r="B1404" s="697"/>
      <c r="C1404" s="342"/>
      <c r="D1404" s="475"/>
      <c r="E1404" s="699"/>
      <c r="F1404" s="475"/>
      <c r="G1404" s="699"/>
      <c r="H1404" s="699"/>
      <c r="I1404" s="463"/>
      <c r="J1404" s="475"/>
      <c r="K1404" s="699"/>
      <c r="L1404" s="475"/>
      <c r="M1404" s="699"/>
      <c r="N1404" s="699"/>
    </row>
    <row r="1405" ht="20.25" customHeight="1">
      <c r="A1405" s="701"/>
      <c r="B1405" s="702"/>
      <c r="C1405" s="341"/>
      <c r="D1405" s="463"/>
      <c r="E1405" s="455"/>
      <c r="F1405" s="463"/>
      <c r="G1405" s="455"/>
      <c r="H1405" s="455"/>
      <c r="I1405" s="463"/>
      <c r="J1405" s="463"/>
      <c r="K1405" s="455"/>
      <c r="L1405" s="463"/>
      <c r="M1405" s="455"/>
      <c r="N1405" s="455"/>
    </row>
    <row r="1406" ht="20.25" customHeight="1">
      <c r="A1406" s="696"/>
      <c r="B1406" s="697"/>
      <c r="C1406" s="342"/>
      <c r="D1406" s="475"/>
      <c r="E1406" s="699"/>
      <c r="F1406" s="475"/>
      <c r="G1406" s="699"/>
      <c r="H1406" s="699"/>
      <c r="I1406" s="463"/>
      <c r="J1406" s="475"/>
      <c r="K1406" s="699"/>
      <c r="L1406" s="475"/>
      <c r="M1406" s="699"/>
      <c r="N1406" s="699"/>
    </row>
    <row r="1407" ht="20.25" customHeight="1">
      <c r="A1407" s="701"/>
      <c r="B1407" s="702"/>
      <c r="C1407" s="341"/>
      <c r="D1407" s="463"/>
      <c r="E1407" s="455"/>
      <c r="F1407" s="463"/>
      <c r="G1407" s="455"/>
      <c r="H1407" s="455"/>
      <c r="I1407" s="463"/>
      <c r="J1407" s="463"/>
      <c r="K1407" s="455"/>
      <c r="L1407" s="463"/>
      <c r="M1407" s="455"/>
      <c r="N1407" s="455"/>
    </row>
    <row r="1408" ht="20.25" customHeight="1">
      <c r="A1408" s="696"/>
      <c r="B1408" s="697"/>
      <c r="C1408" s="342"/>
      <c r="D1408" s="475"/>
      <c r="E1408" s="699"/>
      <c r="F1408" s="475"/>
      <c r="G1408" s="699"/>
      <c r="H1408" s="699"/>
      <c r="I1408" s="463"/>
      <c r="J1408" s="475"/>
      <c r="K1408" s="699"/>
      <c r="L1408" s="475"/>
      <c r="M1408" s="699"/>
      <c r="N1408" s="699"/>
    </row>
    <row r="1409" ht="20.25" customHeight="1">
      <c r="A1409" s="701"/>
      <c r="B1409" s="702"/>
      <c r="C1409" s="341"/>
      <c r="D1409" s="463"/>
      <c r="E1409" s="455"/>
      <c r="F1409" s="463"/>
      <c r="G1409" s="455"/>
      <c r="H1409" s="455"/>
      <c r="I1409" s="463"/>
      <c r="J1409" s="463"/>
      <c r="K1409" s="455"/>
      <c r="L1409" s="463"/>
      <c r="M1409" s="455"/>
      <c r="N1409" s="455"/>
    </row>
    <row r="1410" ht="20.25" customHeight="1">
      <c r="A1410" s="696"/>
      <c r="B1410" s="697"/>
      <c r="C1410" s="342"/>
      <c r="D1410" s="475"/>
      <c r="E1410" s="699"/>
      <c r="F1410" s="475"/>
      <c r="G1410" s="699"/>
      <c r="H1410" s="699"/>
      <c r="I1410" s="463"/>
      <c r="J1410" s="475"/>
      <c r="K1410" s="699"/>
      <c r="L1410" s="475"/>
      <c r="M1410" s="699"/>
      <c r="N1410" s="699"/>
    </row>
    <row r="1411" ht="20.25" customHeight="1">
      <c r="A1411" s="701"/>
      <c r="B1411" s="702"/>
      <c r="C1411" s="341"/>
      <c r="D1411" s="463"/>
      <c r="E1411" s="455"/>
      <c r="F1411" s="463"/>
      <c r="G1411" s="455"/>
      <c r="H1411" s="455"/>
      <c r="I1411" s="463"/>
      <c r="J1411" s="463"/>
      <c r="K1411" s="455"/>
      <c r="L1411" s="463"/>
      <c r="M1411" s="455"/>
      <c r="N1411" s="455"/>
    </row>
    <row r="1412" ht="20.25" customHeight="1">
      <c r="A1412" s="696"/>
      <c r="B1412" s="697"/>
      <c r="C1412" s="342"/>
      <c r="D1412" s="475"/>
      <c r="E1412" s="699"/>
      <c r="F1412" s="475"/>
      <c r="G1412" s="699"/>
      <c r="H1412" s="699"/>
      <c r="I1412" s="463"/>
      <c r="J1412" s="475"/>
      <c r="K1412" s="699"/>
      <c r="L1412" s="475"/>
      <c r="M1412" s="699"/>
      <c r="N1412" s="699"/>
    </row>
    <row r="1413" ht="20.25" customHeight="1">
      <c r="A1413" s="701"/>
      <c r="B1413" s="702"/>
      <c r="C1413" s="341"/>
      <c r="D1413" s="463"/>
      <c r="E1413" s="455"/>
      <c r="F1413" s="463"/>
      <c r="G1413" s="455"/>
      <c r="H1413" s="455"/>
      <c r="I1413" s="463"/>
      <c r="J1413" s="463"/>
      <c r="K1413" s="455"/>
      <c r="L1413" s="463"/>
      <c r="M1413" s="455"/>
      <c r="N1413" s="455"/>
    </row>
    <row r="1414" ht="20.25" customHeight="1">
      <c r="A1414" s="696"/>
      <c r="B1414" s="697"/>
      <c r="C1414" s="342"/>
      <c r="D1414" s="475"/>
      <c r="E1414" s="699"/>
      <c r="F1414" s="475"/>
      <c r="G1414" s="699"/>
      <c r="H1414" s="699"/>
      <c r="I1414" s="463"/>
      <c r="J1414" s="475"/>
      <c r="K1414" s="699"/>
      <c r="L1414" s="475"/>
      <c r="M1414" s="699"/>
      <c r="N1414" s="699"/>
    </row>
    <row r="1415" ht="20.25" customHeight="1">
      <c r="A1415" s="701"/>
      <c r="B1415" s="702"/>
      <c r="C1415" s="341"/>
      <c r="D1415" s="463"/>
      <c r="E1415" s="455"/>
      <c r="F1415" s="463"/>
      <c r="G1415" s="455"/>
      <c r="H1415" s="455"/>
      <c r="I1415" s="463"/>
      <c r="J1415" s="463"/>
      <c r="K1415" s="455"/>
      <c r="L1415" s="463"/>
      <c r="M1415" s="455"/>
      <c r="N1415" s="455"/>
    </row>
    <row r="1416" ht="20.25" customHeight="1">
      <c r="A1416" s="696"/>
      <c r="B1416" s="697"/>
      <c r="C1416" s="342"/>
      <c r="D1416" s="475"/>
      <c r="E1416" s="699"/>
      <c r="F1416" s="475"/>
      <c r="G1416" s="699"/>
      <c r="H1416" s="699"/>
      <c r="I1416" s="463"/>
      <c r="J1416" s="475"/>
      <c r="K1416" s="699"/>
      <c r="L1416" s="475"/>
      <c r="M1416" s="699"/>
      <c r="N1416" s="699"/>
    </row>
    <row r="1417" ht="20.25" customHeight="1">
      <c r="A1417" s="701"/>
      <c r="B1417" s="702"/>
      <c r="C1417" s="341"/>
      <c r="D1417" s="463"/>
      <c r="E1417" s="455"/>
      <c r="F1417" s="463"/>
      <c r="G1417" s="455"/>
      <c r="H1417" s="455"/>
      <c r="I1417" s="463"/>
      <c r="J1417" s="463"/>
      <c r="K1417" s="455"/>
      <c r="L1417" s="463"/>
      <c r="M1417" s="455"/>
      <c r="N1417" s="455"/>
    </row>
    <row r="1418" ht="20.25" customHeight="1">
      <c r="A1418" s="696"/>
      <c r="B1418" s="697"/>
      <c r="C1418" s="342"/>
      <c r="D1418" s="475"/>
      <c r="E1418" s="699"/>
      <c r="F1418" s="475"/>
      <c r="G1418" s="699"/>
      <c r="H1418" s="699"/>
      <c r="I1418" s="463"/>
      <c r="J1418" s="475"/>
      <c r="K1418" s="699"/>
      <c r="L1418" s="475"/>
      <c r="M1418" s="699"/>
      <c r="N1418" s="699"/>
    </row>
    <row r="1419" ht="20.25" customHeight="1">
      <c r="A1419" s="701"/>
      <c r="B1419" s="702"/>
      <c r="C1419" s="341"/>
      <c r="D1419" s="463"/>
      <c r="E1419" s="455"/>
      <c r="F1419" s="463"/>
      <c r="G1419" s="455"/>
      <c r="H1419" s="455"/>
      <c r="I1419" s="463"/>
      <c r="J1419" s="463"/>
      <c r="K1419" s="455"/>
      <c r="L1419" s="463"/>
      <c r="M1419" s="455"/>
      <c r="N1419" s="455"/>
    </row>
    <row r="1420" ht="20.25" customHeight="1">
      <c r="A1420" s="696"/>
      <c r="B1420" s="697"/>
      <c r="C1420" s="342"/>
      <c r="D1420" s="475"/>
      <c r="E1420" s="699"/>
      <c r="F1420" s="475"/>
      <c r="G1420" s="699"/>
      <c r="H1420" s="699"/>
      <c r="I1420" s="463"/>
      <c r="J1420" s="475"/>
      <c r="K1420" s="699"/>
      <c r="L1420" s="475"/>
      <c r="M1420" s="699"/>
      <c r="N1420" s="699"/>
    </row>
    <row r="1421" ht="20.25" customHeight="1">
      <c r="A1421" s="701"/>
      <c r="B1421" s="702"/>
      <c r="C1421" s="341"/>
      <c r="D1421" s="463"/>
      <c r="E1421" s="455"/>
      <c r="F1421" s="463"/>
      <c r="G1421" s="455"/>
      <c r="H1421" s="455"/>
      <c r="I1421" s="463"/>
      <c r="J1421" s="463"/>
      <c r="K1421" s="455"/>
      <c r="L1421" s="463"/>
      <c r="M1421" s="455"/>
      <c r="N1421" s="455"/>
    </row>
    <row r="1422" ht="20.25" customHeight="1">
      <c r="A1422" s="696"/>
      <c r="B1422" s="697"/>
      <c r="C1422" s="342"/>
      <c r="D1422" s="475"/>
      <c r="E1422" s="699"/>
      <c r="F1422" s="475"/>
      <c r="G1422" s="699"/>
      <c r="H1422" s="699"/>
      <c r="I1422" s="463"/>
      <c r="J1422" s="475"/>
      <c r="K1422" s="699"/>
      <c r="L1422" s="475"/>
      <c r="M1422" s="699"/>
      <c r="N1422" s="699"/>
    </row>
    <row r="1423" ht="20.25" customHeight="1">
      <c r="A1423" s="701"/>
      <c r="B1423" s="702"/>
      <c r="C1423" s="341"/>
      <c r="D1423" s="463"/>
      <c r="E1423" s="455"/>
      <c r="F1423" s="463"/>
      <c r="G1423" s="455"/>
      <c r="H1423" s="455"/>
      <c r="I1423" s="463"/>
      <c r="J1423" s="463"/>
      <c r="K1423" s="455"/>
      <c r="L1423" s="463"/>
      <c r="M1423" s="455"/>
      <c r="N1423" s="455"/>
    </row>
    <row r="1424" ht="20.25" customHeight="1">
      <c r="A1424" s="696"/>
      <c r="B1424" s="697"/>
      <c r="C1424" s="342"/>
      <c r="D1424" s="475"/>
      <c r="E1424" s="699"/>
      <c r="F1424" s="475"/>
      <c r="G1424" s="699"/>
      <c r="H1424" s="699"/>
      <c r="I1424" s="463"/>
      <c r="J1424" s="475"/>
      <c r="K1424" s="699"/>
      <c r="L1424" s="475"/>
      <c r="M1424" s="699"/>
      <c r="N1424" s="699"/>
    </row>
    <row r="1425" ht="20.25" customHeight="1">
      <c r="A1425" s="701"/>
      <c r="B1425" s="702"/>
      <c r="C1425" s="341"/>
      <c r="D1425" s="463"/>
      <c r="E1425" s="455"/>
      <c r="F1425" s="463"/>
      <c r="G1425" s="455"/>
      <c r="H1425" s="455"/>
      <c r="I1425" s="463"/>
      <c r="J1425" s="463"/>
      <c r="K1425" s="455"/>
      <c r="L1425" s="463"/>
      <c r="M1425" s="455"/>
      <c r="N1425" s="455"/>
    </row>
    <row r="1426" ht="20.25" customHeight="1">
      <c r="A1426" s="696"/>
      <c r="B1426" s="697"/>
      <c r="C1426" s="342"/>
      <c r="D1426" s="475"/>
      <c r="E1426" s="699"/>
      <c r="F1426" s="475"/>
      <c r="G1426" s="699"/>
      <c r="H1426" s="699"/>
      <c r="I1426" s="463"/>
      <c r="J1426" s="475"/>
      <c r="K1426" s="699"/>
      <c r="L1426" s="475"/>
      <c r="M1426" s="699"/>
      <c r="N1426" s="699"/>
    </row>
    <row r="1427" ht="20.25" customHeight="1">
      <c r="A1427" s="701"/>
      <c r="B1427" s="702"/>
      <c r="C1427" s="341"/>
      <c r="D1427" s="463"/>
      <c r="E1427" s="455"/>
      <c r="F1427" s="463"/>
      <c r="G1427" s="455"/>
      <c r="H1427" s="455"/>
      <c r="I1427" s="463"/>
      <c r="J1427" s="463"/>
      <c r="K1427" s="455"/>
      <c r="L1427" s="463"/>
      <c r="M1427" s="455"/>
      <c r="N1427" s="455"/>
    </row>
    <row r="1428" ht="20.25" customHeight="1">
      <c r="A1428" s="696"/>
      <c r="B1428" s="697"/>
      <c r="C1428" s="342"/>
      <c r="D1428" s="475"/>
      <c r="E1428" s="699"/>
      <c r="F1428" s="475"/>
      <c r="G1428" s="699"/>
      <c r="H1428" s="699"/>
      <c r="I1428" s="463"/>
      <c r="J1428" s="475"/>
      <c r="K1428" s="699"/>
      <c r="L1428" s="475"/>
      <c r="M1428" s="699"/>
      <c r="N1428" s="699"/>
    </row>
    <row r="1429" ht="20.25" customHeight="1">
      <c r="A1429" s="701"/>
      <c r="B1429" s="702"/>
      <c r="C1429" s="341"/>
      <c r="D1429" s="463"/>
      <c r="E1429" s="455"/>
      <c r="F1429" s="463"/>
      <c r="G1429" s="455"/>
      <c r="H1429" s="455"/>
      <c r="I1429" s="463"/>
      <c r="J1429" s="463"/>
      <c r="K1429" s="455"/>
      <c r="L1429" s="463"/>
      <c r="M1429" s="455"/>
      <c r="N1429" s="455"/>
    </row>
    <row r="1430" ht="20.25" customHeight="1">
      <c r="A1430" s="696"/>
      <c r="B1430" s="697"/>
      <c r="C1430" s="342"/>
      <c r="D1430" s="475"/>
      <c r="E1430" s="699"/>
      <c r="F1430" s="475"/>
      <c r="G1430" s="699"/>
      <c r="H1430" s="699"/>
      <c r="I1430" s="463"/>
      <c r="J1430" s="475"/>
      <c r="K1430" s="699"/>
      <c r="L1430" s="475"/>
      <c r="M1430" s="699"/>
      <c r="N1430" s="699"/>
    </row>
    <row r="1431" ht="20.25" customHeight="1">
      <c r="A1431" s="701"/>
      <c r="B1431" s="702"/>
      <c r="C1431" s="341"/>
      <c r="D1431" s="463"/>
      <c r="E1431" s="455"/>
      <c r="F1431" s="463"/>
      <c r="G1431" s="455"/>
      <c r="H1431" s="455"/>
      <c r="I1431" s="463"/>
      <c r="J1431" s="463"/>
      <c r="K1431" s="455"/>
      <c r="L1431" s="463"/>
      <c r="M1431" s="455"/>
      <c r="N1431" s="455"/>
    </row>
    <row r="1432" ht="20.25" customHeight="1">
      <c r="A1432" s="696"/>
      <c r="B1432" s="697"/>
      <c r="C1432" s="342"/>
      <c r="D1432" s="475"/>
      <c r="E1432" s="699"/>
      <c r="F1432" s="475"/>
      <c r="G1432" s="699"/>
      <c r="H1432" s="699"/>
      <c r="I1432" s="463"/>
      <c r="J1432" s="475"/>
      <c r="K1432" s="699"/>
      <c r="L1432" s="475"/>
      <c r="M1432" s="699"/>
      <c r="N1432" s="699"/>
    </row>
    <row r="1433" ht="20.25" customHeight="1">
      <c r="A1433" s="701"/>
      <c r="B1433" s="702"/>
      <c r="C1433" s="341"/>
      <c r="D1433" s="463"/>
      <c r="E1433" s="455"/>
      <c r="F1433" s="463"/>
      <c r="G1433" s="455"/>
      <c r="H1433" s="455"/>
      <c r="I1433" s="463"/>
      <c r="J1433" s="463"/>
      <c r="K1433" s="455"/>
      <c r="L1433" s="463"/>
      <c r="M1433" s="455"/>
      <c r="N1433" s="455"/>
    </row>
    <row r="1434" ht="20.25" customHeight="1">
      <c r="A1434" s="696"/>
      <c r="B1434" s="697"/>
      <c r="C1434" s="342"/>
      <c r="D1434" s="475"/>
      <c r="E1434" s="699"/>
      <c r="F1434" s="475"/>
      <c r="G1434" s="699"/>
      <c r="H1434" s="699"/>
      <c r="I1434" s="463"/>
      <c r="J1434" s="475"/>
      <c r="K1434" s="699"/>
      <c r="L1434" s="475"/>
      <c r="M1434" s="699"/>
      <c r="N1434" s="699"/>
    </row>
    <row r="1435" ht="20.25" customHeight="1">
      <c r="A1435" s="701"/>
      <c r="B1435" s="702"/>
      <c r="C1435" s="341"/>
      <c r="D1435" s="463"/>
      <c r="E1435" s="455"/>
      <c r="F1435" s="463"/>
      <c r="G1435" s="455"/>
      <c r="H1435" s="455"/>
      <c r="I1435" s="463"/>
      <c r="J1435" s="463"/>
      <c r="K1435" s="455"/>
      <c r="L1435" s="463"/>
      <c r="M1435" s="455"/>
      <c r="N1435" s="455"/>
    </row>
    <row r="1436" ht="20.25" customHeight="1">
      <c r="A1436" s="696"/>
      <c r="B1436" s="697"/>
      <c r="C1436" s="342"/>
      <c r="D1436" s="475"/>
      <c r="E1436" s="699"/>
      <c r="F1436" s="475"/>
      <c r="G1436" s="699"/>
      <c r="H1436" s="699"/>
      <c r="I1436" s="463"/>
      <c r="J1436" s="475"/>
      <c r="K1436" s="699"/>
      <c r="L1436" s="475"/>
      <c r="M1436" s="699"/>
      <c r="N1436" s="699"/>
    </row>
    <row r="1437" ht="20.25" customHeight="1">
      <c r="A1437" s="701"/>
      <c r="B1437" s="702"/>
      <c r="C1437" s="341"/>
      <c r="D1437" s="463"/>
      <c r="E1437" s="455"/>
      <c r="F1437" s="463"/>
      <c r="G1437" s="455"/>
      <c r="H1437" s="455"/>
      <c r="I1437" s="463"/>
      <c r="J1437" s="463"/>
      <c r="K1437" s="455"/>
      <c r="L1437" s="463"/>
      <c r="M1437" s="455"/>
      <c r="N1437" s="455"/>
    </row>
    <row r="1438" ht="20.25" customHeight="1">
      <c r="A1438" s="696"/>
      <c r="B1438" s="697"/>
      <c r="C1438" s="342"/>
      <c r="D1438" s="475"/>
      <c r="E1438" s="699"/>
      <c r="F1438" s="475"/>
      <c r="G1438" s="699"/>
      <c r="H1438" s="699"/>
      <c r="I1438" s="463"/>
      <c r="J1438" s="475"/>
      <c r="K1438" s="699"/>
      <c r="L1438" s="475"/>
      <c r="M1438" s="699"/>
      <c r="N1438" s="699"/>
    </row>
    <row r="1439" ht="20.25" customHeight="1">
      <c r="A1439" s="701"/>
      <c r="B1439" s="702"/>
      <c r="C1439" s="341"/>
      <c r="D1439" s="463"/>
      <c r="E1439" s="455"/>
      <c r="F1439" s="463"/>
      <c r="G1439" s="455"/>
      <c r="H1439" s="455"/>
      <c r="I1439" s="463"/>
      <c r="J1439" s="463"/>
      <c r="K1439" s="455"/>
      <c r="L1439" s="463"/>
      <c r="M1439" s="455"/>
      <c r="N1439" s="455"/>
    </row>
    <row r="1440" ht="20.25" customHeight="1">
      <c r="A1440" s="696"/>
      <c r="B1440" s="697"/>
      <c r="C1440" s="342"/>
      <c r="D1440" s="475"/>
      <c r="E1440" s="699"/>
      <c r="F1440" s="475"/>
      <c r="G1440" s="699"/>
      <c r="H1440" s="699"/>
      <c r="I1440" s="463"/>
      <c r="J1440" s="475"/>
      <c r="K1440" s="699"/>
      <c r="L1440" s="475"/>
      <c r="M1440" s="699"/>
      <c r="N1440" s="699"/>
    </row>
    <row r="1441" ht="20.25" customHeight="1">
      <c r="A1441" s="701"/>
      <c r="B1441" s="702"/>
      <c r="C1441" s="341"/>
      <c r="D1441" s="463"/>
      <c r="E1441" s="455"/>
      <c r="F1441" s="463"/>
      <c r="G1441" s="455"/>
      <c r="H1441" s="455"/>
      <c r="I1441" s="463"/>
      <c r="J1441" s="463"/>
      <c r="K1441" s="455"/>
      <c r="L1441" s="463"/>
      <c r="M1441" s="455"/>
      <c r="N1441" s="455"/>
    </row>
    <row r="1442" ht="20.25" customHeight="1">
      <c r="A1442" s="696"/>
      <c r="B1442" s="697"/>
      <c r="C1442" s="342"/>
      <c r="D1442" s="475"/>
      <c r="E1442" s="699"/>
      <c r="F1442" s="475"/>
      <c r="G1442" s="699"/>
      <c r="H1442" s="699"/>
      <c r="I1442" s="463"/>
      <c r="J1442" s="475"/>
      <c r="K1442" s="699"/>
      <c r="L1442" s="475"/>
      <c r="M1442" s="699"/>
      <c r="N1442" s="699"/>
    </row>
    <row r="1443" ht="20.25" customHeight="1">
      <c r="A1443" s="701"/>
      <c r="B1443" s="702"/>
      <c r="C1443" s="341"/>
      <c r="D1443" s="463"/>
      <c r="E1443" s="455"/>
      <c r="F1443" s="463"/>
      <c r="G1443" s="455"/>
      <c r="H1443" s="455"/>
      <c r="I1443" s="463"/>
      <c r="J1443" s="463"/>
      <c r="K1443" s="455"/>
      <c r="L1443" s="463"/>
      <c r="M1443" s="455"/>
      <c r="N1443" s="455"/>
    </row>
    <row r="1444" ht="20.25" customHeight="1">
      <c r="A1444" s="696"/>
      <c r="B1444" s="697"/>
      <c r="C1444" s="342"/>
      <c r="D1444" s="475"/>
      <c r="E1444" s="699"/>
      <c r="F1444" s="475"/>
      <c r="G1444" s="699"/>
      <c r="H1444" s="699"/>
      <c r="I1444" s="463"/>
      <c r="J1444" s="475"/>
      <c r="K1444" s="699"/>
      <c r="L1444" s="475"/>
      <c r="M1444" s="699"/>
      <c r="N1444" s="699"/>
    </row>
    <row r="1445" ht="20.25" customHeight="1">
      <c r="A1445" s="701"/>
      <c r="B1445" s="702"/>
      <c r="C1445" s="341"/>
      <c r="D1445" s="463"/>
      <c r="E1445" s="455"/>
      <c r="F1445" s="463"/>
      <c r="G1445" s="455"/>
      <c r="H1445" s="455"/>
      <c r="I1445" s="463"/>
      <c r="J1445" s="463"/>
      <c r="K1445" s="455"/>
      <c r="L1445" s="463"/>
      <c r="M1445" s="455"/>
      <c r="N1445" s="455"/>
    </row>
    <row r="1446" ht="20.25" customHeight="1">
      <c r="A1446" s="696"/>
      <c r="B1446" s="697"/>
      <c r="C1446" s="342"/>
      <c r="D1446" s="475"/>
      <c r="E1446" s="699"/>
      <c r="F1446" s="475"/>
      <c r="G1446" s="699"/>
      <c r="H1446" s="699"/>
      <c r="I1446" s="463"/>
      <c r="J1446" s="475"/>
      <c r="K1446" s="699"/>
      <c r="L1446" s="475"/>
      <c r="M1446" s="699"/>
      <c r="N1446" s="699"/>
    </row>
    <row r="1447" ht="20.25" customHeight="1">
      <c r="A1447" s="701"/>
      <c r="B1447" s="702"/>
      <c r="C1447" s="341"/>
      <c r="D1447" s="463"/>
      <c r="E1447" s="455"/>
      <c r="F1447" s="463"/>
      <c r="G1447" s="455"/>
      <c r="H1447" s="455"/>
      <c r="I1447" s="463"/>
      <c r="J1447" s="463"/>
      <c r="K1447" s="455"/>
      <c r="L1447" s="463"/>
      <c r="M1447" s="455"/>
      <c r="N1447" s="455"/>
    </row>
    <row r="1448" ht="20.25" customHeight="1">
      <c r="A1448" s="696"/>
      <c r="B1448" s="697"/>
      <c r="C1448" s="342"/>
      <c r="D1448" s="475"/>
      <c r="E1448" s="699"/>
      <c r="F1448" s="475"/>
      <c r="G1448" s="699"/>
      <c r="H1448" s="699"/>
      <c r="I1448" s="463"/>
      <c r="J1448" s="475"/>
      <c r="K1448" s="699"/>
      <c r="L1448" s="475"/>
      <c r="M1448" s="699"/>
      <c r="N1448" s="699"/>
    </row>
    <row r="1449" ht="20.25" customHeight="1">
      <c r="A1449" s="701"/>
      <c r="B1449" s="702"/>
      <c r="C1449" s="341"/>
      <c r="D1449" s="463"/>
      <c r="E1449" s="455"/>
      <c r="F1449" s="463"/>
      <c r="G1449" s="455"/>
      <c r="H1449" s="455"/>
      <c r="I1449" s="463"/>
      <c r="J1449" s="463"/>
      <c r="K1449" s="455"/>
      <c r="L1449" s="463"/>
      <c r="M1449" s="455"/>
      <c r="N1449" s="455"/>
    </row>
    <row r="1450" ht="20.25" customHeight="1">
      <c r="A1450" s="696"/>
      <c r="B1450" s="697"/>
      <c r="C1450" s="342"/>
      <c r="D1450" s="475"/>
      <c r="E1450" s="699"/>
      <c r="F1450" s="475"/>
      <c r="G1450" s="699"/>
      <c r="H1450" s="699"/>
      <c r="I1450" s="463"/>
      <c r="J1450" s="475"/>
      <c r="K1450" s="699"/>
      <c r="L1450" s="475"/>
      <c r="M1450" s="699"/>
      <c r="N1450" s="699"/>
    </row>
    <row r="1451" ht="20.25" customHeight="1">
      <c r="A1451" s="701"/>
      <c r="B1451" s="702"/>
      <c r="C1451" s="341"/>
      <c r="D1451" s="463"/>
      <c r="E1451" s="455"/>
      <c r="F1451" s="463"/>
      <c r="G1451" s="455"/>
      <c r="H1451" s="455"/>
      <c r="I1451" s="463"/>
      <c r="J1451" s="463"/>
      <c r="K1451" s="455"/>
      <c r="L1451" s="463"/>
      <c r="M1451" s="455"/>
      <c r="N1451" s="455"/>
    </row>
    <row r="1452" ht="20.25" customHeight="1">
      <c r="A1452" s="696"/>
      <c r="B1452" s="697"/>
      <c r="C1452" s="342"/>
      <c r="D1452" s="475"/>
      <c r="E1452" s="699"/>
      <c r="F1452" s="475"/>
      <c r="G1452" s="699"/>
      <c r="H1452" s="699"/>
      <c r="I1452" s="463"/>
      <c r="J1452" s="475"/>
      <c r="K1452" s="699"/>
      <c r="L1452" s="475"/>
      <c r="M1452" s="699"/>
      <c r="N1452" s="699"/>
    </row>
    <row r="1453" ht="20.25" customHeight="1">
      <c r="A1453" s="701"/>
      <c r="B1453" s="702"/>
      <c r="C1453" s="341"/>
      <c r="D1453" s="463"/>
      <c r="E1453" s="455"/>
      <c r="F1453" s="463"/>
      <c r="G1453" s="455"/>
      <c r="H1453" s="455"/>
      <c r="I1453" s="463"/>
      <c r="J1453" s="463"/>
      <c r="K1453" s="455"/>
      <c r="L1453" s="463"/>
      <c r="M1453" s="455"/>
      <c r="N1453" s="455"/>
    </row>
    <row r="1454" ht="20.25" customHeight="1">
      <c r="A1454" s="696"/>
      <c r="B1454" s="697"/>
      <c r="C1454" s="342"/>
      <c r="D1454" s="475"/>
      <c r="E1454" s="699"/>
      <c r="F1454" s="475"/>
      <c r="G1454" s="699"/>
      <c r="H1454" s="699"/>
      <c r="I1454" s="463"/>
      <c r="J1454" s="475"/>
      <c r="K1454" s="699"/>
      <c r="L1454" s="475"/>
      <c r="M1454" s="699"/>
      <c r="N1454" s="699"/>
    </row>
    <row r="1455" ht="20.25" customHeight="1">
      <c r="A1455" s="701"/>
      <c r="B1455" s="702"/>
      <c r="C1455" s="341"/>
      <c r="D1455" s="463"/>
      <c r="E1455" s="455"/>
      <c r="F1455" s="463"/>
      <c r="G1455" s="455"/>
      <c r="H1455" s="455"/>
      <c r="I1455" s="463"/>
      <c r="J1455" s="463"/>
      <c r="K1455" s="455"/>
      <c r="L1455" s="463"/>
      <c r="M1455" s="455"/>
      <c r="N1455" s="455"/>
    </row>
    <row r="1456" ht="20.25" customHeight="1">
      <c r="A1456" s="696"/>
      <c r="B1456" s="697"/>
      <c r="C1456" s="342"/>
      <c r="D1456" s="475"/>
      <c r="E1456" s="699"/>
      <c r="F1456" s="475"/>
      <c r="G1456" s="699"/>
      <c r="H1456" s="699"/>
      <c r="I1456" s="463"/>
      <c r="J1456" s="475"/>
      <c r="K1456" s="699"/>
      <c r="L1456" s="475"/>
      <c r="M1456" s="699"/>
      <c r="N1456" s="699"/>
    </row>
    <row r="1457" ht="20.25" customHeight="1">
      <c r="A1457" s="701"/>
      <c r="B1457" s="702"/>
      <c r="C1457" s="341"/>
      <c r="D1457" s="463"/>
      <c r="E1457" s="455"/>
      <c r="F1457" s="463"/>
      <c r="G1457" s="455"/>
      <c r="H1457" s="455"/>
      <c r="I1457" s="463"/>
      <c r="J1457" s="463"/>
      <c r="K1457" s="455"/>
      <c r="L1457" s="463"/>
      <c r="M1457" s="455"/>
      <c r="N1457" s="455"/>
    </row>
    <row r="1458" ht="20.25" customHeight="1">
      <c r="A1458" s="696"/>
      <c r="B1458" s="697"/>
      <c r="C1458" s="342"/>
      <c r="D1458" s="475"/>
      <c r="E1458" s="699"/>
      <c r="F1458" s="475"/>
      <c r="G1458" s="699"/>
      <c r="H1458" s="699"/>
      <c r="I1458" s="463"/>
      <c r="J1458" s="475"/>
      <c r="K1458" s="699"/>
      <c r="L1458" s="475"/>
      <c r="M1458" s="699"/>
      <c r="N1458" s="699"/>
    </row>
    <row r="1459" ht="20.25" customHeight="1">
      <c r="A1459" s="701"/>
      <c r="B1459" s="702"/>
      <c r="C1459" s="341"/>
      <c r="D1459" s="463"/>
      <c r="E1459" s="455"/>
      <c r="F1459" s="463"/>
      <c r="G1459" s="455"/>
      <c r="H1459" s="455"/>
      <c r="I1459" s="463"/>
      <c r="J1459" s="463"/>
      <c r="K1459" s="455"/>
      <c r="L1459" s="463"/>
      <c r="M1459" s="455"/>
      <c r="N1459" s="455"/>
    </row>
    <row r="1460" ht="20.25" customHeight="1">
      <c r="A1460" s="696"/>
      <c r="B1460" s="697"/>
      <c r="C1460" s="342"/>
      <c r="D1460" s="475"/>
      <c r="E1460" s="699"/>
      <c r="F1460" s="475"/>
      <c r="G1460" s="699"/>
      <c r="H1460" s="699"/>
      <c r="I1460" s="463"/>
      <c r="J1460" s="475"/>
      <c r="K1460" s="699"/>
      <c r="L1460" s="475"/>
      <c r="M1460" s="699"/>
      <c r="N1460" s="699"/>
    </row>
    <row r="1461" ht="20.25" customHeight="1">
      <c r="A1461" s="701"/>
      <c r="B1461" s="702"/>
      <c r="C1461" s="341"/>
      <c r="D1461" s="463"/>
      <c r="E1461" s="455"/>
      <c r="F1461" s="463"/>
      <c r="G1461" s="455"/>
      <c r="H1461" s="455"/>
      <c r="I1461" s="463"/>
      <c r="J1461" s="463"/>
      <c r="K1461" s="455"/>
      <c r="L1461" s="463"/>
      <c r="M1461" s="455"/>
      <c r="N1461" s="455"/>
    </row>
    <row r="1462" ht="20.25" customHeight="1">
      <c r="A1462" s="696"/>
      <c r="B1462" s="697"/>
      <c r="C1462" s="342"/>
      <c r="D1462" s="475"/>
      <c r="E1462" s="699"/>
      <c r="F1462" s="475"/>
      <c r="G1462" s="699"/>
      <c r="H1462" s="699"/>
      <c r="I1462" s="463"/>
      <c r="J1462" s="475"/>
      <c r="K1462" s="699"/>
      <c r="L1462" s="475"/>
      <c r="M1462" s="699"/>
      <c r="N1462" s="699"/>
    </row>
    <row r="1463" ht="20.25" customHeight="1">
      <c r="A1463" s="701"/>
      <c r="B1463" s="702"/>
      <c r="C1463" s="341"/>
      <c r="D1463" s="463"/>
      <c r="E1463" s="455"/>
      <c r="F1463" s="463"/>
      <c r="G1463" s="455"/>
      <c r="H1463" s="455"/>
      <c r="I1463" s="463"/>
      <c r="J1463" s="463"/>
      <c r="K1463" s="455"/>
      <c r="L1463" s="463"/>
      <c r="M1463" s="455"/>
      <c r="N1463" s="455"/>
    </row>
    <row r="1464" ht="20.25" customHeight="1">
      <c r="A1464" s="696"/>
      <c r="B1464" s="697"/>
      <c r="C1464" s="342"/>
      <c r="D1464" s="475"/>
      <c r="E1464" s="699"/>
      <c r="F1464" s="475"/>
      <c r="G1464" s="699"/>
      <c r="H1464" s="699"/>
      <c r="I1464" s="463"/>
      <c r="J1464" s="475"/>
      <c r="K1464" s="699"/>
      <c r="L1464" s="475"/>
      <c r="M1464" s="699"/>
      <c r="N1464" s="699"/>
    </row>
    <row r="1465" ht="20.25" customHeight="1">
      <c r="A1465" s="701"/>
      <c r="B1465" s="702"/>
      <c r="C1465" s="341"/>
      <c r="D1465" s="463"/>
      <c r="E1465" s="455"/>
      <c r="F1465" s="463"/>
      <c r="G1465" s="455"/>
      <c r="H1465" s="455"/>
      <c r="I1465" s="463"/>
      <c r="J1465" s="463"/>
      <c r="K1465" s="455"/>
      <c r="L1465" s="463"/>
      <c r="M1465" s="455"/>
      <c r="N1465" s="455"/>
    </row>
    <row r="1466" ht="20.25" customHeight="1">
      <c r="A1466" s="696"/>
      <c r="B1466" s="697"/>
      <c r="C1466" s="342"/>
      <c r="D1466" s="475"/>
      <c r="E1466" s="699"/>
      <c r="F1466" s="475"/>
      <c r="G1466" s="699"/>
      <c r="H1466" s="699"/>
      <c r="I1466" s="463"/>
      <c r="J1466" s="475"/>
      <c r="K1466" s="699"/>
      <c r="L1466" s="475"/>
      <c r="M1466" s="699"/>
      <c r="N1466" s="699"/>
    </row>
    <row r="1467" ht="20.25" customHeight="1">
      <c r="A1467" s="701"/>
      <c r="B1467" s="702"/>
      <c r="C1467" s="341"/>
      <c r="D1467" s="463"/>
      <c r="E1467" s="455"/>
      <c r="F1467" s="463"/>
      <c r="G1467" s="455"/>
      <c r="H1467" s="455"/>
      <c r="I1467" s="463"/>
      <c r="J1467" s="463"/>
      <c r="K1467" s="455"/>
      <c r="L1467" s="463"/>
      <c r="M1467" s="455"/>
      <c r="N1467" s="455"/>
    </row>
    <row r="1468" ht="20.25" customHeight="1">
      <c r="A1468" s="696"/>
      <c r="B1468" s="697"/>
      <c r="C1468" s="342"/>
      <c r="D1468" s="475"/>
      <c r="E1468" s="699"/>
      <c r="F1468" s="475"/>
      <c r="G1468" s="699"/>
      <c r="H1468" s="699"/>
      <c r="I1468" s="463"/>
      <c r="J1468" s="475"/>
      <c r="K1468" s="699"/>
      <c r="L1468" s="475"/>
      <c r="M1468" s="699"/>
      <c r="N1468" s="699"/>
    </row>
    <row r="1469" ht="20.25" customHeight="1">
      <c r="A1469" s="701"/>
      <c r="B1469" s="702"/>
      <c r="C1469" s="341"/>
      <c r="D1469" s="463"/>
      <c r="E1469" s="455"/>
      <c r="F1469" s="463"/>
      <c r="G1469" s="455"/>
      <c r="H1469" s="455"/>
      <c r="I1469" s="463"/>
      <c r="J1469" s="463"/>
      <c r="K1469" s="455"/>
      <c r="L1469" s="463"/>
      <c r="M1469" s="455"/>
      <c r="N1469" s="455"/>
    </row>
    <row r="1470" ht="20.25" customHeight="1">
      <c r="A1470" s="696"/>
      <c r="B1470" s="697"/>
      <c r="C1470" s="342"/>
      <c r="D1470" s="475"/>
      <c r="E1470" s="699"/>
      <c r="F1470" s="475"/>
      <c r="G1470" s="699"/>
      <c r="H1470" s="699"/>
      <c r="I1470" s="463"/>
      <c r="J1470" s="475"/>
      <c r="K1470" s="699"/>
      <c r="L1470" s="475"/>
      <c r="M1470" s="699"/>
      <c r="N1470" s="699"/>
    </row>
    <row r="1471" ht="20.25" customHeight="1">
      <c r="A1471" s="701"/>
      <c r="B1471" s="702"/>
      <c r="C1471" s="341"/>
      <c r="D1471" s="463"/>
      <c r="E1471" s="455"/>
      <c r="F1471" s="463"/>
      <c r="G1471" s="455"/>
      <c r="H1471" s="455"/>
      <c r="I1471" s="463"/>
      <c r="J1471" s="463"/>
      <c r="K1471" s="455"/>
      <c r="L1471" s="463"/>
      <c r="M1471" s="455"/>
      <c r="N1471" s="455"/>
    </row>
    <row r="1472" ht="20.25" customHeight="1">
      <c r="A1472" s="696"/>
      <c r="B1472" s="697"/>
      <c r="C1472" s="342"/>
      <c r="D1472" s="475"/>
      <c r="E1472" s="699"/>
      <c r="F1472" s="475"/>
      <c r="G1472" s="699"/>
      <c r="H1472" s="699"/>
      <c r="I1472" s="463"/>
      <c r="J1472" s="475"/>
      <c r="K1472" s="699"/>
      <c r="L1472" s="475"/>
      <c r="M1472" s="699"/>
      <c r="N1472" s="699"/>
    </row>
    <row r="1473" ht="20.25" customHeight="1">
      <c r="A1473" s="701"/>
      <c r="B1473" s="702"/>
      <c r="C1473" s="341"/>
      <c r="D1473" s="463"/>
      <c r="E1473" s="455"/>
      <c r="F1473" s="463"/>
      <c r="G1473" s="455"/>
      <c r="H1473" s="455"/>
      <c r="I1473" s="463"/>
      <c r="J1473" s="463"/>
      <c r="K1473" s="455"/>
      <c r="L1473" s="463"/>
      <c r="M1473" s="455"/>
      <c r="N1473" s="455"/>
    </row>
    <row r="1474" ht="20.25" customHeight="1">
      <c r="A1474" s="696"/>
      <c r="B1474" s="697"/>
      <c r="C1474" s="342"/>
      <c r="D1474" s="475"/>
      <c r="E1474" s="699"/>
      <c r="F1474" s="475"/>
      <c r="G1474" s="699"/>
      <c r="H1474" s="699"/>
      <c r="I1474" s="463"/>
      <c r="J1474" s="475"/>
      <c r="K1474" s="699"/>
      <c r="L1474" s="475"/>
      <c r="M1474" s="699"/>
      <c r="N1474" s="699"/>
    </row>
    <row r="1475" ht="20.25" customHeight="1">
      <c r="A1475" s="701"/>
      <c r="B1475" s="702"/>
      <c r="C1475" s="341"/>
      <c r="D1475" s="463"/>
      <c r="E1475" s="455"/>
      <c r="F1475" s="463"/>
      <c r="G1475" s="455"/>
      <c r="H1475" s="455"/>
      <c r="I1475" s="463"/>
      <c r="J1475" s="463"/>
      <c r="K1475" s="455"/>
      <c r="L1475" s="463"/>
      <c r="M1475" s="455"/>
      <c r="N1475" s="455"/>
    </row>
    <row r="1476" ht="20.25" customHeight="1">
      <c r="A1476" s="696"/>
      <c r="B1476" s="697"/>
      <c r="C1476" s="342"/>
      <c r="D1476" s="475"/>
      <c r="E1476" s="699"/>
      <c r="F1476" s="475"/>
      <c r="G1476" s="699"/>
      <c r="H1476" s="699"/>
      <c r="I1476" s="463"/>
      <c r="J1476" s="475"/>
      <c r="K1476" s="699"/>
      <c r="L1476" s="475"/>
      <c r="M1476" s="699"/>
      <c r="N1476" s="699"/>
    </row>
    <row r="1477" ht="20.25" customHeight="1">
      <c r="A1477" s="701"/>
      <c r="B1477" s="702"/>
      <c r="C1477" s="341"/>
      <c r="D1477" s="463"/>
      <c r="E1477" s="455"/>
      <c r="F1477" s="463"/>
      <c r="G1477" s="455"/>
      <c r="H1477" s="455"/>
      <c r="I1477" s="463"/>
      <c r="J1477" s="463"/>
      <c r="K1477" s="455"/>
      <c r="L1477" s="463"/>
      <c r="M1477" s="455"/>
      <c r="N1477" s="455"/>
    </row>
    <row r="1478" ht="20.25" customHeight="1">
      <c r="A1478" s="696"/>
      <c r="B1478" s="697"/>
      <c r="C1478" s="342"/>
      <c r="D1478" s="475"/>
      <c r="E1478" s="699"/>
      <c r="F1478" s="475"/>
      <c r="G1478" s="699"/>
      <c r="H1478" s="699"/>
      <c r="I1478" s="463"/>
      <c r="J1478" s="475"/>
      <c r="K1478" s="699"/>
      <c r="L1478" s="475"/>
      <c r="M1478" s="699"/>
      <c r="N1478" s="699"/>
    </row>
    <row r="1479" ht="20.25" customHeight="1">
      <c r="A1479" s="701"/>
      <c r="B1479" s="702"/>
      <c r="C1479" s="341"/>
      <c r="D1479" s="463"/>
      <c r="E1479" s="455"/>
      <c r="F1479" s="463"/>
      <c r="G1479" s="455"/>
      <c r="H1479" s="455"/>
      <c r="I1479" s="463"/>
      <c r="J1479" s="463"/>
      <c r="K1479" s="455"/>
      <c r="L1479" s="463"/>
      <c r="M1479" s="455"/>
      <c r="N1479" s="455"/>
    </row>
    <row r="1480" ht="20.25" customHeight="1">
      <c r="A1480" s="696"/>
      <c r="B1480" s="697"/>
      <c r="C1480" s="342"/>
      <c r="D1480" s="475"/>
      <c r="E1480" s="699"/>
      <c r="F1480" s="475"/>
      <c r="G1480" s="699"/>
      <c r="H1480" s="699"/>
      <c r="I1480" s="463"/>
      <c r="J1480" s="475"/>
      <c r="K1480" s="699"/>
      <c r="L1480" s="475"/>
      <c r="M1480" s="699"/>
      <c r="N1480" s="699"/>
    </row>
    <row r="1481" ht="20.25" customHeight="1">
      <c r="A1481" s="701"/>
      <c r="B1481" s="702"/>
      <c r="C1481" s="341"/>
      <c r="D1481" s="463"/>
      <c r="E1481" s="455"/>
      <c r="F1481" s="463"/>
      <c r="G1481" s="455"/>
      <c r="H1481" s="455"/>
      <c r="I1481" s="463"/>
      <c r="J1481" s="463"/>
      <c r="K1481" s="455"/>
      <c r="L1481" s="463"/>
      <c r="M1481" s="455"/>
      <c r="N1481" s="455"/>
    </row>
    <row r="1482" ht="20.25" customHeight="1">
      <c r="A1482" s="696"/>
      <c r="B1482" s="697"/>
      <c r="C1482" s="342"/>
      <c r="D1482" s="475"/>
      <c r="E1482" s="699"/>
      <c r="F1482" s="475"/>
      <c r="G1482" s="699"/>
      <c r="H1482" s="699"/>
      <c r="I1482" s="463"/>
      <c r="J1482" s="475"/>
      <c r="K1482" s="699"/>
      <c r="L1482" s="475"/>
      <c r="M1482" s="699"/>
      <c r="N1482" s="699"/>
    </row>
    <row r="1483" ht="20.25" customHeight="1">
      <c r="A1483" s="701"/>
      <c r="B1483" s="702"/>
      <c r="C1483" s="341"/>
      <c r="D1483" s="463"/>
      <c r="E1483" s="455"/>
      <c r="F1483" s="463"/>
      <c r="G1483" s="455"/>
      <c r="H1483" s="455"/>
      <c r="I1483" s="463"/>
      <c r="J1483" s="463"/>
      <c r="K1483" s="455"/>
      <c r="L1483" s="463"/>
      <c r="M1483" s="455"/>
      <c r="N1483" s="455"/>
    </row>
    <row r="1484" ht="20.25" customHeight="1">
      <c r="A1484" s="696"/>
      <c r="B1484" s="697"/>
      <c r="C1484" s="342"/>
      <c r="D1484" s="475"/>
      <c r="E1484" s="699"/>
      <c r="F1484" s="475"/>
      <c r="G1484" s="699"/>
      <c r="H1484" s="699"/>
      <c r="I1484" s="463"/>
      <c r="J1484" s="475"/>
      <c r="K1484" s="699"/>
      <c r="L1484" s="475"/>
      <c r="M1484" s="699"/>
      <c r="N1484" s="699"/>
    </row>
    <row r="1485" ht="20.25" customHeight="1">
      <c r="A1485" s="701"/>
      <c r="B1485" s="702"/>
      <c r="C1485" s="341"/>
      <c r="D1485" s="463"/>
      <c r="E1485" s="455"/>
      <c r="F1485" s="463"/>
      <c r="G1485" s="455"/>
      <c r="H1485" s="455"/>
      <c r="I1485" s="463"/>
      <c r="J1485" s="463"/>
      <c r="K1485" s="455"/>
      <c r="L1485" s="463"/>
      <c r="M1485" s="455"/>
      <c r="N1485" s="455"/>
    </row>
    <row r="1486" ht="20.25" customHeight="1">
      <c r="A1486" s="696"/>
      <c r="B1486" s="697"/>
      <c r="C1486" s="342"/>
      <c r="D1486" s="475"/>
      <c r="E1486" s="699"/>
      <c r="F1486" s="475"/>
      <c r="G1486" s="699"/>
      <c r="H1486" s="699"/>
      <c r="I1486" s="463"/>
      <c r="J1486" s="475"/>
      <c r="K1486" s="699"/>
      <c r="L1486" s="475"/>
      <c r="M1486" s="699"/>
      <c r="N1486" s="699"/>
    </row>
    <row r="1487" ht="20.25" customHeight="1">
      <c r="A1487" s="701"/>
      <c r="B1487" s="702"/>
      <c r="C1487" s="341"/>
      <c r="D1487" s="463"/>
      <c r="E1487" s="455"/>
      <c r="F1487" s="463"/>
      <c r="G1487" s="455"/>
      <c r="H1487" s="455"/>
      <c r="I1487" s="463"/>
      <c r="J1487" s="463"/>
      <c r="K1487" s="455"/>
      <c r="L1487" s="463"/>
      <c r="M1487" s="455"/>
      <c r="N1487" s="455"/>
    </row>
    <row r="1488" ht="20.25" customHeight="1">
      <c r="A1488" s="696"/>
      <c r="B1488" s="697"/>
      <c r="C1488" s="342"/>
      <c r="D1488" s="475"/>
      <c r="E1488" s="699"/>
      <c r="F1488" s="475"/>
      <c r="G1488" s="699"/>
      <c r="H1488" s="699"/>
      <c r="I1488" s="463"/>
      <c r="J1488" s="475"/>
      <c r="K1488" s="699"/>
      <c r="L1488" s="475"/>
      <c r="M1488" s="699"/>
      <c r="N1488" s="699"/>
    </row>
    <row r="1489" ht="20.25" customHeight="1">
      <c r="A1489" s="701"/>
      <c r="B1489" s="702"/>
      <c r="C1489" s="341"/>
      <c r="D1489" s="463"/>
      <c r="E1489" s="455"/>
      <c r="F1489" s="463"/>
      <c r="G1489" s="455"/>
      <c r="H1489" s="455"/>
      <c r="I1489" s="463"/>
      <c r="J1489" s="463"/>
      <c r="K1489" s="455"/>
      <c r="L1489" s="463"/>
      <c r="M1489" s="455"/>
      <c r="N1489" s="455"/>
    </row>
    <row r="1490" ht="20.25" customHeight="1">
      <c r="A1490" s="696"/>
      <c r="B1490" s="697"/>
      <c r="C1490" s="342"/>
      <c r="D1490" s="475"/>
      <c r="E1490" s="699"/>
      <c r="F1490" s="475"/>
      <c r="G1490" s="699"/>
      <c r="H1490" s="699"/>
      <c r="I1490" s="463"/>
      <c r="J1490" s="475"/>
      <c r="K1490" s="699"/>
      <c r="L1490" s="475"/>
      <c r="M1490" s="699"/>
      <c r="N1490" s="699"/>
    </row>
    <row r="1491" ht="20.25" customHeight="1">
      <c r="A1491" s="701"/>
      <c r="B1491" s="702"/>
      <c r="C1491" s="341"/>
      <c r="D1491" s="463"/>
      <c r="E1491" s="455"/>
      <c r="F1491" s="463"/>
      <c r="G1491" s="455"/>
      <c r="H1491" s="455"/>
      <c r="I1491" s="463"/>
      <c r="J1491" s="463"/>
      <c r="K1491" s="455"/>
      <c r="L1491" s="463"/>
      <c r="M1491" s="455"/>
      <c r="N1491" s="455"/>
    </row>
    <row r="1492" ht="20.25" customHeight="1">
      <c r="A1492" s="696"/>
      <c r="B1492" s="697"/>
      <c r="C1492" s="342"/>
      <c r="D1492" s="475"/>
      <c r="E1492" s="699"/>
      <c r="F1492" s="475"/>
      <c r="G1492" s="699"/>
      <c r="H1492" s="699"/>
      <c r="I1492" s="463"/>
      <c r="J1492" s="475"/>
      <c r="K1492" s="699"/>
      <c r="L1492" s="475"/>
      <c r="M1492" s="699"/>
      <c r="N1492" s="699"/>
    </row>
    <row r="1493" ht="20.25" customHeight="1">
      <c r="A1493" s="701"/>
      <c r="B1493" s="702"/>
      <c r="C1493" s="341"/>
      <c r="D1493" s="463"/>
      <c r="E1493" s="455"/>
      <c r="F1493" s="463"/>
      <c r="G1493" s="455"/>
      <c r="H1493" s="455"/>
      <c r="I1493" s="463"/>
      <c r="J1493" s="463"/>
      <c r="K1493" s="455"/>
      <c r="L1493" s="463"/>
      <c r="M1493" s="455"/>
      <c r="N1493" s="455"/>
    </row>
    <row r="1494" ht="20.25" customHeight="1">
      <c r="A1494" s="696"/>
      <c r="B1494" s="697"/>
      <c r="C1494" s="342"/>
      <c r="D1494" s="475"/>
      <c r="E1494" s="699"/>
      <c r="F1494" s="475"/>
      <c r="G1494" s="699"/>
      <c r="H1494" s="699"/>
      <c r="I1494" s="463"/>
      <c r="J1494" s="475"/>
      <c r="K1494" s="699"/>
      <c r="L1494" s="475"/>
      <c r="M1494" s="699"/>
      <c r="N1494" s="699"/>
    </row>
    <row r="1495" ht="20.25" customHeight="1">
      <c r="A1495" s="701"/>
      <c r="B1495" s="702"/>
      <c r="C1495" s="341"/>
      <c r="D1495" s="463"/>
      <c r="E1495" s="455"/>
      <c r="F1495" s="463"/>
      <c r="G1495" s="455"/>
      <c r="H1495" s="455"/>
      <c r="I1495" s="463"/>
      <c r="J1495" s="463"/>
      <c r="K1495" s="455"/>
      <c r="L1495" s="463"/>
      <c r="M1495" s="455"/>
      <c r="N1495" s="455"/>
    </row>
    <row r="1496" ht="20.25" customHeight="1">
      <c r="A1496" s="696"/>
      <c r="B1496" s="697"/>
      <c r="C1496" s="342"/>
      <c r="D1496" s="475"/>
      <c r="E1496" s="699"/>
      <c r="F1496" s="475"/>
      <c r="G1496" s="699"/>
      <c r="H1496" s="699"/>
      <c r="I1496" s="463"/>
      <c r="J1496" s="475"/>
      <c r="K1496" s="699"/>
      <c r="L1496" s="475"/>
      <c r="M1496" s="699"/>
      <c r="N1496" s="699"/>
    </row>
    <row r="1497" ht="20.25" customHeight="1">
      <c r="A1497" s="701"/>
      <c r="B1497" s="702"/>
      <c r="C1497" s="341"/>
      <c r="D1497" s="463"/>
      <c r="E1497" s="455"/>
      <c r="F1497" s="463"/>
      <c r="G1497" s="455"/>
      <c r="H1497" s="455"/>
      <c r="I1497" s="463"/>
      <c r="J1497" s="463"/>
      <c r="K1497" s="455"/>
      <c r="L1497" s="463"/>
      <c r="M1497" s="455"/>
      <c r="N1497" s="455"/>
    </row>
    <row r="1498" ht="20.25" customHeight="1">
      <c r="A1498" s="696"/>
      <c r="B1498" s="697"/>
      <c r="C1498" s="342"/>
      <c r="D1498" s="475"/>
      <c r="E1498" s="699"/>
      <c r="F1498" s="475"/>
      <c r="G1498" s="699"/>
      <c r="H1498" s="699"/>
      <c r="I1498" s="463"/>
      <c r="J1498" s="475"/>
      <c r="K1498" s="699"/>
      <c r="L1498" s="475"/>
      <c r="M1498" s="699"/>
      <c r="N1498" s="699"/>
    </row>
    <row r="1499" ht="20.25" customHeight="1">
      <c r="A1499" s="701"/>
      <c r="B1499" s="702"/>
      <c r="C1499" s="341"/>
      <c r="D1499" s="463"/>
      <c r="E1499" s="455"/>
      <c r="F1499" s="463"/>
      <c r="G1499" s="455"/>
      <c r="H1499" s="455"/>
      <c r="I1499" s="463"/>
      <c r="J1499" s="463"/>
      <c r="K1499" s="455"/>
      <c r="L1499" s="463"/>
      <c r="M1499" s="455"/>
      <c r="N1499" s="455"/>
    </row>
    <row r="1500" ht="20.25" customHeight="1">
      <c r="A1500" s="696"/>
      <c r="B1500" s="697"/>
      <c r="C1500" s="342"/>
      <c r="D1500" s="475"/>
      <c r="E1500" s="699"/>
      <c r="F1500" s="475"/>
      <c r="G1500" s="699"/>
      <c r="H1500" s="699"/>
      <c r="I1500" s="463"/>
      <c r="J1500" s="475"/>
      <c r="K1500" s="699"/>
      <c r="L1500" s="475"/>
      <c r="M1500" s="699"/>
      <c r="N1500" s="699"/>
    </row>
    <row r="1501" ht="20.25" customHeight="1">
      <c r="A1501" s="701"/>
      <c r="B1501" s="702"/>
      <c r="C1501" s="341"/>
      <c r="D1501" s="463"/>
      <c r="E1501" s="455"/>
      <c r="F1501" s="463"/>
      <c r="G1501" s="455"/>
      <c r="H1501" s="455"/>
      <c r="I1501" s="463"/>
      <c r="J1501" s="463"/>
      <c r="K1501" s="455"/>
      <c r="L1501" s="463"/>
      <c r="M1501" s="455"/>
      <c r="N1501" s="455"/>
    </row>
    <row r="1502" ht="20.25" customHeight="1">
      <c r="A1502" s="696"/>
      <c r="B1502" s="697"/>
      <c r="C1502" s="342"/>
      <c r="D1502" s="475"/>
      <c r="E1502" s="699"/>
      <c r="F1502" s="475"/>
      <c r="G1502" s="699"/>
      <c r="H1502" s="699"/>
      <c r="I1502" s="463"/>
      <c r="J1502" s="475"/>
      <c r="K1502" s="699"/>
      <c r="L1502" s="475"/>
      <c r="M1502" s="699"/>
      <c r="N1502" s="699"/>
    </row>
    <row r="1503" ht="20.25" customHeight="1">
      <c r="A1503" s="701"/>
      <c r="B1503" s="702"/>
      <c r="C1503" s="341"/>
      <c r="D1503" s="463"/>
      <c r="E1503" s="455"/>
      <c r="F1503" s="463"/>
      <c r="G1503" s="455"/>
      <c r="H1503" s="455"/>
      <c r="I1503" s="463"/>
      <c r="J1503" s="463"/>
      <c r="K1503" s="455"/>
      <c r="L1503" s="463"/>
      <c r="M1503" s="455"/>
      <c r="N1503" s="455"/>
    </row>
    <row r="1504" ht="20.25" customHeight="1">
      <c r="A1504" s="696"/>
      <c r="B1504" s="697"/>
      <c r="C1504" s="342"/>
      <c r="D1504" s="475"/>
      <c r="E1504" s="699"/>
      <c r="F1504" s="475"/>
      <c r="G1504" s="699"/>
      <c r="H1504" s="699"/>
      <c r="I1504" s="463"/>
      <c r="J1504" s="475"/>
      <c r="K1504" s="699"/>
      <c r="L1504" s="475"/>
      <c r="M1504" s="699"/>
      <c r="N1504" s="699"/>
    </row>
    <row r="1505" ht="20.25" customHeight="1">
      <c r="A1505" s="701"/>
      <c r="B1505" s="702"/>
      <c r="C1505" s="341"/>
      <c r="D1505" s="463"/>
      <c r="E1505" s="455"/>
      <c r="F1505" s="463"/>
      <c r="G1505" s="455"/>
      <c r="H1505" s="455"/>
      <c r="I1505" s="463"/>
      <c r="J1505" s="463"/>
      <c r="K1505" s="455"/>
      <c r="L1505" s="463"/>
      <c r="M1505" s="455"/>
      <c r="N1505" s="455"/>
    </row>
    <row r="1506" ht="20.25" customHeight="1">
      <c r="A1506" s="696"/>
      <c r="B1506" s="697"/>
      <c r="C1506" s="342"/>
      <c r="D1506" s="475"/>
      <c r="E1506" s="699"/>
      <c r="F1506" s="475"/>
      <c r="G1506" s="699"/>
      <c r="H1506" s="699"/>
      <c r="I1506" s="463"/>
      <c r="J1506" s="475"/>
      <c r="K1506" s="699"/>
      <c r="L1506" s="475"/>
      <c r="M1506" s="699"/>
      <c r="N1506" s="699"/>
    </row>
    <row r="1507" ht="20.25" customHeight="1">
      <c r="A1507" s="701"/>
      <c r="B1507" s="702"/>
      <c r="C1507" s="341"/>
      <c r="D1507" s="463"/>
      <c r="E1507" s="455"/>
      <c r="F1507" s="463"/>
      <c r="G1507" s="455"/>
      <c r="H1507" s="455"/>
      <c r="I1507" s="463"/>
      <c r="J1507" s="463"/>
      <c r="K1507" s="455"/>
      <c r="L1507" s="463"/>
      <c r="M1507" s="455"/>
      <c r="N1507" s="455"/>
    </row>
    <row r="1508" ht="20.25" customHeight="1">
      <c r="A1508" s="696"/>
      <c r="B1508" s="697"/>
      <c r="C1508" s="342"/>
      <c r="D1508" s="475"/>
      <c r="E1508" s="699"/>
      <c r="F1508" s="475"/>
      <c r="G1508" s="699"/>
      <c r="H1508" s="699"/>
      <c r="I1508" s="463"/>
      <c r="J1508" s="475"/>
      <c r="K1508" s="699"/>
      <c r="L1508" s="475"/>
      <c r="M1508" s="699"/>
      <c r="N1508" s="699"/>
    </row>
    <row r="1509" ht="20.25" customHeight="1">
      <c r="A1509" s="701"/>
      <c r="B1509" s="702"/>
      <c r="C1509" s="341"/>
      <c r="D1509" s="463"/>
      <c r="E1509" s="455"/>
      <c r="F1509" s="463"/>
      <c r="G1509" s="455"/>
      <c r="H1509" s="455"/>
      <c r="I1509" s="463"/>
      <c r="J1509" s="463"/>
      <c r="K1509" s="455"/>
      <c r="L1509" s="463"/>
      <c r="M1509" s="455"/>
      <c r="N1509" s="455"/>
    </row>
    <row r="1510" ht="20.25" customHeight="1">
      <c r="A1510" s="696"/>
      <c r="B1510" s="697"/>
      <c r="C1510" s="342"/>
      <c r="D1510" s="475"/>
      <c r="E1510" s="699"/>
      <c r="F1510" s="475"/>
      <c r="G1510" s="699"/>
      <c r="H1510" s="699"/>
      <c r="I1510" s="463"/>
      <c r="J1510" s="475"/>
      <c r="K1510" s="699"/>
      <c r="L1510" s="475"/>
      <c r="M1510" s="699"/>
      <c r="N1510" s="699"/>
    </row>
    <row r="1511" ht="20.25" customHeight="1">
      <c r="A1511" s="701"/>
      <c r="B1511" s="702"/>
      <c r="C1511" s="341"/>
      <c r="D1511" s="463"/>
      <c r="E1511" s="455"/>
      <c r="F1511" s="463"/>
      <c r="G1511" s="455"/>
      <c r="H1511" s="455"/>
      <c r="I1511" s="463"/>
      <c r="J1511" s="463"/>
      <c r="K1511" s="455"/>
      <c r="L1511" s="463"/>
      <c r="M1511" s="455"/>
      <c r="N1511" s="455"/>
    </row>
    <row r="1512" ht="20.25" customHeight="1">
      <c r="A1512" s="696"/>
      <c r="B1512" s="697"/>
      <c r="C1512" s="342"/>
      <c r="D1512" s="475"/>
      <c r="E1512" s="699"/>
      <c r="F1512" s="475"/>
      <c r="G1512" s="699"/>
      <c r="H1512" s="699"/>
      <c r="I1512" s="463"/>
      <c r="J1512" s="475"/>
      <c r="K1512" s="699"/>
      <c r="L1512" s="475"/>
      <c r="M1512" s="699"/>
      <c r="N1512" s="699"/>
    </row>
    <row r="1513" ht="20.25" customHeight="1">
      <c r="A1513" s="701"/>
      <c r="B1513" s="702"/>
      <c r="C1513" s="341"/>
      <c r="D1513" s="463"/>
      <c r="E1513" s="455"/>
      <c r="F1513" s="463"/>
      <c r="G1513" s="455"/>
      <c r="H1513" s="455"/>
      <c r="I1513" s="463"/>
      <c r="J1513" s="463"/>
      <c r="K1513" s="455"/>
      <c r="L1513" s="463"/>
      <c r="M1513" s="455"/>
      <c r="N1513" s="455"/>
    </row>
    <row r="1514" ht="20.25" customHeight="1">
      <c r="A1514" s="696"/>
      <c r="B1514" s="697"/>
      <c r="C1514" s="342"/>
      <c r="D1514" s="475"/>
      <c r="E1514" s="699"/>
      <c r="F1514" s="475"/>
      <c r="G1514" s="699"/>
      <c r="H1514" s="699"/>
      <c r="I1514" s="463"/>
      <c r="J1514" s="475"/>
      <c r="K1514" s="699"/>
      <c r="L1514" s="475"/>
      <c r="M1514" s="699"/>
      <c r="N1514" s="699"/>
    </row>
    <row r="1515" ht="20.25" customHeight="1">
      <c r="A1515" s="701"/>
      <c r="B1515" s="702"/>
      <c r="C1515" s="341"/>
      <c r="D1515" s="463"/>
      <c r="E1515" s="455"/>
      <c r="F1515" s="463"/>
      <c r="G1515" s="455"/>
      <c r="H1515" s="455"/>
      <c r="I1515" s="463"/>
      <c r="J1515" s="463"/>
      <c r="K1515" s="455"/>
      <c r="L1515" s="463"/>
      <c r="M1515" s="455"/>
      <c r="N1515" s="455"/>
    </row>
    <row r="1516" ht="20.25" customHeight="1">
      <c r="A1516" s="696"/>
      <c r="B1516" s="697"/>
      <c r="C1516" s="342"/>
      <c r="D1516" s="475"/>
      <c r="E1516" s="699"/>
      <c r="F1516" s="475"/>
      <c r="G1516" s="699"/>
      <c r="H1516" s="699"/>
      <c r="I1516" s="463"/>
      <c r="J1516" s="475"/>
      <c r="K1516" s="699"/>
      <c r="L1516" s="475"/>
      <c r="M1516" s="699"/>
      <c r="N1516" s="699"/>
    </row>
    <row r="1517" ht="20.25" customHeight="1">
      <c r="A1517" s="701"/>
      <c r="B1517" s="702"/>
      <c r="C1517" s="341"/>
      <c r="D1517" s="463"/>
      <c r="E1517" s="455"/>
      <c r="F1517" s="463"/>
      <c r="G1517" s="455"/>
      <c r="H1517" s="455"/>
      <c r="I1517" s="463"/>
      <c r="J1517" s="463"/>
      <c r="K1517" s="455"/>
      <c r="L1517" s="463"/>
      <c r="M1517" s="455"/>
      <c r="N1517" s="455"/>
    </row>
    <row r="1518" ht="20.25" customHeight="1">
      <c r="A1518" s="696"/>
      <c r="B1518" s="697"/>
      <c r="C1518" s="342"/>
      <c r="D1518" s="475"/>
      <c r="E1518" s="699"/>
      <c r="F1518" s="475"/>
      <c r="G1518" s="699"/>
      <c r="H1518" s="699"/>
      <c r="I1518" s="463"/>
      <c r="J1518" s="475"/>
      <c r="K1518" s="699"/>
      <c r="L1518" s="475"/>
      <c r="M1518" s="699"/>
      <c r="N1518" s="699"/>
    </row>
    <row r="1519" ht="20.25" customHeight="1">
      <c r="A1519" s="701"/>
      <c r="B1519" s="702"/>
      <c r="C1519" s="341"/>
      <c r="D1519" s="463"/>
      <c r="E1519" s="455"/>
      <c r="F1519" s="463"/>
      <c r="G1519" s="455"/>
      <c r="H1519" s="455"/>
      <c r="I1519" s="463"/>
      <c r="J1519" s="463"/>
      <c r="K1519" s="455"/>
      <c r="L1519" s="463"/>
      <c r="M1519" s="455"/>
      <c r="N1519" s="455"/>
    </row>
    <row r="1520" ht="20.25" customHeight="1">
      <c r="A1520" s="696"/>
      <c r="B1520" s="697"/>
      <c r="C1520" s="342"/>
      <c r="D1520" s="475"/>
      <c r="E1520" s="699"/>
      <c r="F1520" s="475"/>
      <c r="G1520" s="699"/>
      <c r="H1520" s="699"/>
      <c r="I1520" s="463"/>
      <c r="J1520" s="475"/>
      <c r="K1520" s="699"/>
      <c r="L1520" s="475"/>
      <c r="M1520" s="699"/>
      <c r="N1520" s="699"/>
    </row>
    <row r="1521" ht="20.25" customHeight="1">
      <c r="A1521" s="701"/>
      <c r="B1521" s="702"/>
      <c r="C1521" s="341"/>
      <c r="D1521" s="463"/>
      <c r="E1521" s="455"/>
      <c r="F1521" s="463"/>
      <c r="G1521" s="455"/>
      <c r="H1521" s="455"/>
      <c r="I1521" s="463"/>
      <c r="J1521" s="463"/>
      <c r="K1521" s="455"/>
      <c r="L1521" s="463"/>
      <c r="M1521" s="455"/>
      <c r="N1521" s="455"/>
    </row>
    <row r="1522" ht="20.25" customHeight="1">
      <c r="A1522" s="696"/>
      <c r="B1522" s="697"/>
      <c r="C1522" s="342"/>
      <c r="D1522" s="475"/>
      <c r="E1522" s="699"/>
      <c r="F1522" s="475"/>
      <c r="G1522" s="699"/>
      <c r="H1522" s="699"/>
      <c r="I1522" s="463"/>
      <c r="J1522" s="475"/>
      <c r="K1522" s="699"/>
      <c r="L1522" s="475"/>
      <c r="M1522" s="699"/>
      <c r="N1522" s="699"/>
    </row>
    <row r="1523" ht="20.25" customHeight="1">
      <c r="A1523" s="701"/>
      <c r="B1523" s="702"/>
      <c r="C1523" s="341"/>
      <c r="D1523" s="463"/>
      <c r="E1523" s="455"/>
      <c r="F1523" s="463"/>
      <c r="G1523" s="455"/>
      <c r="H1523" s="455"/>
      <c r="I1523" s="463"/>
      <c r="J1523" s="463"/>
      <c r="K1523" s="455"/>
      <c r="L1523" s="463"/>
      <c r="M1523" s="455"/>
      <c r="N1523" s="455"/>
    </row>
    <row r="1524" ht="20.25" customHeight="1">
      <c r="A1524" s="696"/>
      <c r="B1524" s="697"/>
      <c r="C1524" s="342"/>
      <c r="D1524" s="475"/>
      <c r="E1524" s="699"/>
      <c r="F1524" s="475"/>
      <c r="G1524" s="699"/>
      <c r="H1524" s="699"/>
      <c r="I1524" s="463"/>
      <c r="J1524" s="475"/>
      <c r="K1524" s="699"/>
      <c r="L1524" s="475"/>
      <c r="M1524" s="699"/>
      <c r="N1524" s="699"/>
    </row>
    <row r="1525" ht="20.25" customHeight="1">
      <c r="A1525" s="701"/>
      <c r="B1525" s="702"/>
      <c r="C1525" s="341"/>
      <c r="D1525" s="463"/>
      <c r="E1525" s="455"/>
      <c r="F1525" s="463"/>
      <c r="G1525" s="455"/>
      <c r="H1525" s="455"/>
      <c r="I1525" s="463"/>
      <c r="J1525" s="463"/>
      <c r="K1525" s="455"/>
      <c r="L1525" s="463"/>
      <c r="M1525" s="455"/>
      <c r="N1525" s="455"/>
    </row>
    <row r="1526" ht="20.25" customHeight="1">
      <c r="A1526" s="696"/>
      <c r="B1526" s="697"/>
      <c r="C1526" s="342"/>
      <c r="D1526" s="475"/>
      <c r="E1526" s="699"/>
      <c r="F1526" s="475"/>
      <c r="G1526" s="699"/>
      <c r="H1526" s="699"/>
      <c r="I1526" s="463"/>
      <c r="J1526" s="475"/>
      <c r="K1526" s="699"/>
      <c r="L1526" s="475"/>
      <c r="M1526" s="699"/>
      <c r="N1526" s="699"/>
    </row>
    <row r="1527" ht="20.25" customHeight="1">
      <c r="A1527" s="701"/>
      <c r="B1527" s="702"/>
      <c r="C1527" s="341"/>
      <c r="D1527" s="463"/>
      <c r="E1527" s="455"/>
      <c r="F1527" s="463"/>
      <c r="G1527" s="455"/>
      <c r="H1527" s="455"/>
      <c r="I1527" s="463"/>
      <c r="J1527" s="463"/>
      <c r="K1527" s="455"/>
      <c r="L1527" s="463"/>
      <c r="M1527" s="455"/>
      <c r="N1527" s="455"/>
    </row>
    <row r="1528" ht="20.25" customHeight="1">
      <c r="A1528" s="696"/>
      <c r="B1528" s="697"/>
      <c r="C1528" s="342"/>
      <c r="D1528" s="475"/>
      <c r="E1528" s="699"/>
      <c r="F1528" s="475"/>
      <c r="G1528" s="699"/>
      <c r="H1528" s="699"/>
      <c r="I1528" s="463"/>
      <c r="J1528" s="475"/>
      <c r="K1528" s="699"/>
      <c r="L1528" s="475"/>
      <c r="M1528" s="699"/>
      <c r="N1528" s="699"/>
    </row>
    <row r="1529" ht="20.25" customHeight="1">
      <c r="A1529" s="701"/>
      <c r="B1529" s="702"/>
      <c r="C1529" s="341"/>
      <c r="D1529" s="463"/>
      <c r="E1529" s="455"/>
      <c r="F1529" s="463"/>
      <c r="G1529" s="455"/>
      <c r="H1529" s="455"/>
      <c r="I1529" s="463"/>
      <c r="J1529" s="463"/>
      <c r="K1529" s="455"/>
      <c r="L1529" s="463"/>
      <c r="M1529" s="455"/>
      <c r="N1529" s="455"/>
    </row>
    <row r="1530" ht="20.25" customHeight="1">
      <c r="A1530" s="696"/>
      <c r="B1530" s="697"/>
      <c r="C1530" s="342"/>
      <c r="D1530" s="475"/>
      <c r="E1530" s="699"/>
      <c r="F1530" s="475"/>
      <c r="G1530" s="699"/>
      <c r="H1530" s="699"/>
      <c r="I1530" s="463"/>
      <c r="J1530" s="475"/>
      <c r="K1530" s="699"/>
      <c r="L1530" s="475"/>
      <c r="M1530" s="699"/>
      <c r="N1530" s="699"/>
    </row>
    <row r="1531" ht="20.25" customHeight="1">
      <c r="A1531" s="701"/>
      <c r="B1531" s="702"/>
      <c r="C1531" s="341"/>
      <c r="D1531" s="463"/>
      <c r="E1531" s="455"/>
      <c r="F1531" s="463"/>
      <c r="G1531" s="455"/>
      <c r="H1531" s="455"/>
      <c r="I1531" s="463"/>
      <c r="J1531" s="463"/>
      <c r="K1531" s="455"/>
      <c r="L1531" s="463"/>
      <c r="M1531" s="455"/>
      <c r="N1531" s="455"/>
    </row>
    <row r="1532" ht="20.25" customHeight="1">
      <c r="A1532" s="696"/>
      <c r="B1532" s="697"/>
      <c r="C1532" s="342"/>
      <c r="D1532" s="475"/>
      <c r="E1532" s="699"/>
      <c r="F1532" s="475"/>
      <c r="G1532" s="699"/>
      <c r="H1532" s="699"/>
      <c r="I1532" s="463"/>
      <c r="J1532" s="475"/>
      <c r="K1532" s="699"/>
      <c r="L1532" s="475"/>
      <c r="M1532" s="699"/>
      <c r="N1532" s="699"/>
    </row>
    <row r="1533" ht="20.25" customHeight="1">
      <c r="A1533" s="701"/>
      <c r="B1533" s="702"/>
      <c r="C1533" s="341"/>
      <c r="D1533" s="463"/>
      <c r="E1533" s="455"/>
      <c r="F1533" s="463"/>
      <c r="G1533" s="455"/>
      <c r="H1533" s="455"/>
      <c r="I1533" s="463"/>
      <c r="J1533" s="463"/>
      <c r="K1533" s="455"/>
      <c r="L1533" s="463"/>
      <c r="M1533" s="455"/>
      <c r="N1533" s="455"/>
    </row>
    <row r="1534" ht="20.25" customHeight="1">
      <c r="A1534" s="696"/>
      <c r="B1534" s="697"/>
      <c r="C1534" s="342"/>
      <c r="D1534" s="475"/>
      <c r="E1534" s="699"/>
      <c r="F1534" s="475"/>
      <c r="G1534" s="699"/>
      <c r="H1534" s="699"/>
      <c r="I1534" s="463"/>
      <c r="J1534" s="475"/>
      <c r="K1534" s="699"/>
      <c r="L1534" s="475"/>
      <c r="M1534" s="699"/>
      <c r="N1534" s="699"/>
    </row>
    <row r="1535" ht="20.25" customHeight="1">
      <c r="A1535" s="701"/>
      <c r="B1535" s="702"/>
      <c r="C1535" s="341"/>
      <c r="D1535" s="463"/>
      <c r="E1535" s="455"/>
      <c r="F1535" s="463"/>
      <c r="G1535" s="455"/>
      <c r="H1535" s="455"/>
      <c r="I1535" s="463"/>
      <c r="J1535" s="463"/>
      <c r="K1535" s="455"/>
      <c r="L1535" s="463"/>
      <c r="M1535" s="455"/>
      <c r="N1535" s="455"/>
    </row>
    <row r="1536" ht="20.25" customHeight="1">
      <c r="A1536" s="696"/>
      <c r="B1536" s="697"/>
      <c r="C1536" s="342"/>
      <c r="D1536" s="475"/>
      <c r="E1536" s="699"/>
      <c r="F1536" s="475"/>
      <c r="G1536" s="699"/>
      <c r="H1536" s="699"/>
      <c r="I1536" s="463"/>
      <c r="J1536" s="475"/>
      <c r="K1536" s="699"/>
      <c r="L1536" s="475"/>
      <c r="M1536" s="699"/>
      <c r="N1536" s="699"/>
    </row>
    <row r="1537" ht="20.25" customHeight="1">
      <c r="A1537" s="701"/>
      <c r="B1537" s="702"/>
      <c r="C1537" s="341"/>
      <c r="D1537" s="463"/>
      <c r="E1537" s="455"/>
      <c r="F1537" s="463"/>
      <c r="G1537" s="455"/>
      <c r="H1537" s="455"/>
      <c r="I1537" s="463"/>
      <c r="J1537" s="463"/>
      <c r="K1537" s="455"/>
      <c r="L1537" s="463"/>
      <c r="M1537" s="455"/>
      <c r="N1537" s="455"/>
    </row>
    <row r="1538" ht="20.25" customHeight="1">
      <c r="A1538" s="696"/>
      <c r="B1538" s="697"/>
      <c r="C1538" s="342"/>
      <c r="D1538" s="475"/>
      <c r="E1538" s="699"/>
      <c r="F1538" s="475"/>
      <c r="G1538" s="699"/>
      <c r="H1538" s="699"/>
      <c r="I1538" s="463"/>
      <c r="J1538" s="475"/>
      <c r="K1538" s="699"/>
      <c r="L1538" s="475"/>
      <c r="M1538" s="699"/>
      <c r="N1538" s="699"/>
    </row>
    <row r="1539" ht="20.25" customHeight="1">
      <c r="A1539" s="701"/>
      <c r="B1539" s="702"/>
      <c r="C1539" s="341"/>
      <c r="D1539" s="463"/>
      <c r="E1539" s="455"/>
      <c r="F1539" s="463"/>
      <c r="G1539" s="455"/>
      <c r="H1539" s="455"/>
      <c r="I1539" s="463"/>
      <c r="J1539" s="463"/>
      <c r="K1539" s="455"/>
      <c r="L1539" s="463"/>
      <c r="M1539" s="455"/>
      <c r="N1539" s="455"/>
    </row>
    <row r="1540" ht="20.25" customHeight="1">
      <c r="A1540" s="696"/>
      <c r="B1540" s="697"/>
      <c r="C1540" s="342"/>
      <c r="D1540" s="475"/>
      <c r="E1540" s="699"/>
      <c r="F1540" s="475"/>
      <c r="G1540" s="699"/>
      <c r="H1540" s="699"/>
      <c r="I1540" s="463"/>
      <c r="J1540" s="475"/>
      <c r="K1540" s="699"/>
      <c r="L1540" s="475"/>
      <c r="M1540" s="699"/>
      <c r="N1540" s="699"/>
    </row>
    <row r="1541" ht="20.25" customHeight="1">
      <c r="A1541" s="701"/>
      <c r="B1541" s="702"/>
      <c r="C1541" s="341"/>
      <c r="D1541" s="463"/>
      <c r="E1541" s="455"/>
      <c r="F1541" s="463"/>
      <c r="G1541" s="455"/>
      <c r="H1541" s="455"/>
      <c r="I1541" s="463"/>
      <c r="J1541" s="463"/>
      <c r="K1541" s="455"/>
      <c r="L1541" s="463"/>
      <c r="M1541" s="455"/>
      <c r="N1541" s="455"/>
    </row>
    <row r="1542" ht="20.25" customHeight="1">
      <c r="A1542" s="696"/>
      <c r="B1542" s="697"/>
      <c r="C1542" s="342"/>
      <c r="D1542" s="475"/>
      <c r="E1542" s="699"/>
      <c r="F1542" s="475"/>
      <c r="G1542" s="699"/>
      <c r="H1542" s="699"/>
      <c r="I1542" s="463"/>
      <c r="J1542" s="475"/>
      <c r="K1542" s="699"/>
      <c r="L1542" s="475"/>
      <c r="M1542" s="699"/>
      <c r="N1542" s="699"/>
    </row>
    <row r="1543" ht="20.25" customHeight="1">
      <c r="A1543" s="701"/>
      <c r="B1543" s="702"/>
      <c r="C1543" s="341"/>
      <c r="D1543" s="463"/>
      <c r="E1543" s="455"/>
      <c r="F1543" s="463"/>
      <c r="G1543" s="455"/>
      <c r="H1543" s="455"/>
      <c r="I1543" s="463"/>
      <c r="J1543" s="463"/>
      <c r="K1543" s="455"/>
      <c r="L1543" s="463"/>
      <c r="M1543" s="455"/>
      <c r="N1543" s="455"/>
    </row>
    <row r="1544" ht="20.25" customHeight="1">
      <c r="A1544" s="696"/>
      <c r="B1544" s="697"/>
      <c r="C1544" s="342"/>
      <c r="D1544" s="475"/>
      <c r="E1544" s="699"/>
      <c r="F1544" s="475"/>
      <c r="G1544" s="699"/>
      <c r="H1544" s="699"/>
      <c r="I1544" s="463"/>
      <c r="J1544" s="475"/>
      <c r="K1544" s="699"/>
      <c r="L1544" s="475"/>
      <c r="M1544" s="699"/>
      <c r="N1544" s="699"/>
    </row>
    <row r="1545" ht="20.25" customHeight="1">
      <c r="A1545" s="701"/>
      <c r="B1545" s="702"/>
      <c r="C1545" s="341"/>
      <c r="D1545" s="463"/>
      <c r="E1545" s="455"/>
      <c r="F1545" s="463"/>
      <c r="G1545" s="455"/>
      <c r="H1545" s="455"/>
      <c r="I1545" s="463"/>
      <c r="J1545" s="463"/>
      <c r="K1545" s="455"/>
      <c r="L1545" s="463"/>
      <c r="M1545" s="455"/>
      <c r="N1545" s="455"/>
    </row>
    <row r="1546" ht="20.25" customHeight="1">
      <c r="A1546" s="696"/>
      <c r="B1546" s="697"/>
      <c r="C1546" s="342"/>
      <c r="D1546" s="475"/>
      <c r="E1546" s="699"/>
      <c r="F1546" s="475"/>
      <c r="G1546" s="699"/>
      <c r="H1546" s="699"/>
      <c r="I1546" s="463"/>
      <c r="J1546" s="475"/>
      <c r="K1546" s="699"/>
      <c r="L1546" s="475"/>
      <c r="M1546" s="699"/>
      <c r="N1546" s="699"/>
    </row>
    <row r="1547" ht="20.25" customHeight="1">
      <c r="A1547" s="701"/>
      <c r="B1547" s="702"/>
      <c r="C1547" s="341"/>
      <c r="D1547" s="463"/>
      <c r="E1547" s="455"/>
      <c r="F1547" s="463"/>
      <c r="G1547" s="455"/>
      <c r="H1547" s="455"/>
      <c r="I1547" s="463"/>
      <c r="J1547" s="463"/>
      <c r="K1547" s="455"/>
      <c r="L1547" s="463"/>
      <c r="M1547" s="455"/>
      <c r="N1547" s="455"/>
    </row>
    <row r="1548" ht="20.25" customHeight="1">
      <c r="A1548" s="696"/>
      <c r="B1548" s="697"/>
      <c r="C1548" s="342"/>
      <c r="D1548" s="475"/>
      <c r="E1548" s="699"/>
      <c r="F1548" s="475"/>
      <c r="G1548" s="699"/>
      <c r="H1548" s="699"/>
      <c r="I1548" s="463"/>
      <c r="J1548" s="475"/>
      <c r="K1548" s="699"/>
      <c r="L1548" s="475"/>
      <c r="M1548" s="699"/>
      <c r="N1548" s="699"/>
    </row>
    <row r="1549" ht="20.25" customHeight="1">
      <c r="A1549" s="701"/>
      <c r="B1549" s="702"/>
      <c r="C1549" s="341"/>
      <c r="D1549" s="463"/>
      <c r="E1549" s="455"/>
      <c r="F1549" s="463"/>
      <c r="G1549" s="455"/>
      <c r="H1549" s="455"/>
      <c r="I1549" s="463"/>
      <c r="J1549" s="463"/>
      <c r="K1549" s="455"/>
      <c r="L1549" s="463"/>
      <c r="M1549" s="455"/>
      <c r="N1549" s="455"/>
    </row>
    <row r="1550" ht="20.25" customHeight="1">
      <c r="A1550" s="696"/>
      <c r="B1550" s="697"/>
      <c r="C1550" s="342"/>
      <c r="D1550" s="475"/>
      <c r="E1550" s="699"/>
      <c r="F1550" s="475"/>
      <c r="G1550" s="699"/>
      <c r="H1550" s="699"/>
      <c r="I1550" s="463"/>
      <c r="J1550" s="475"/>
      <c r="K1550" s="699"/>
      <c r="L1550" s="475"/>
      <c r="M1550" s="699"/>
      <c r="N1550" s="699"/>
    </row>
    <row r="1551" ht="20.25" customHeight="1">
      <c r="A1551" s="701"/>
      <c r="B1551" s="702"/>
      <c r="C1551" s="341"/>
      <c r="D1551" s="463"/>
      <c r="E1551" s="455"/>
      <c r="F1551" s="463"/>
      <c r="G1551" s="455"/>
      <c r="H1551" s="455"/>
      <c r="I1551" s="463"/>
      <c r="J1551" s="463"/>
      <c r="K1551" s="455"/>
      <c r="L1551" s="463"/>
      <c r="M1551" s="455"/>
      <c r="N1551" s="455"/>
    </row>
    <row r="1552" ht="20.25" customHeight="1">
      <c r="A1552" s="696"/>
      <c r="B1552" s="697"/>
      <c r="C1552" s="342"/>
      <c r="D1552" s="475"/>
      <c r="E1552" s="699"/>
      <c r="F1552" s="475"/>
      <c r="G1552" s="699"/>
      <c r="H1552" s="699"/>
      <c r="I1552" s="463"/>
      <c r="J1552" s="475"/>
      <c r="K1552" s="699"/>
      <c r="L1552" s="475"/>
      <c r="M1552" s="699"/>
      <c r="N1552" s="699"/>
    </row>
    <row r="1553" ht="20.25" customHeight="1">
      <c r="A1553" s="701"/>
      <c r="B1553" s="702"/>
      <c r="C1553" s="341"/>
      <c r="D1553" s="463"/>
      <c r="E1553" s="455"/>
      <c r="F1553" s="463"/>
      <c r="G1553" s="455"/>
      <c r="H1553" s="455"/>
      <c r="I1553" s="463"/>
      <c r="J1553" s="463"/>
      <c r="K1553" s="455"/>
      <c r="L1553" s="463"/>
      <c r="M1553" s="455"/>
      <c r="N1553" s="455"/>
    </row>
    <row r="1554" ht="20.25" customHeight="1">
      <c r="A1554" s="696"/>
      <c r="B1554" s="697"/>
      <c r="C1554" s="342"/>
      <c r="D1554" s="475"/>
      <c r="E1554" s="699"/>
      <c r="F1554" s="475"/>
      <c r="G1554" s="699"/>
      <c r="H1554" s="699"/>
      <c r="I1554" s="463"/>
      <c r="J1554" s="475"/>
      <c r="K1554" s="699"/>
      <c r="L1554" s="475"/>
      <c r="M1554" s="699"/>
      <c r="N1554" s="699"/>
    </row>
    <row r="1555" ht="20.25" customHeight="1">
      <c r="A1555" s="701"/>
      <c r="B1555" s="702"/>
      <c r="C1555" s="341"/>
      <c r="D1555" s="463"/>
      <c r="E1555" s="455"/>
      <c r="F1555" s="463"/>
      <c r="G1555" s="455"/>
      <c r="H1555" s="455"/>
      <c r="I1555" s="463"/>
      <c r="J1555" s="463"/>
      <c r="K1555" s="455"/>
      <c r="L1555" s="463"/>
      <c r="M1555" s="455"/>
      <c r="N1555" s="455"/>
    </row>
    <row r="1556" ht="20.25" customHeight="1">
      <c r="A1556" s="696"/>
      <c r="B1556" s="697"/>
      <c r="C1556" s="342"/>
      <c r="D1556" s="475"/>
      <c r="E1556" s="699"/>
      <c r="F1556" s="475"/>
      <c r="G1556" s="699"/>
      <c r="H1556" s="699"/>
      <c r="I1556" s="463"/>
      <c r="J1556" s="475"/>
      <c r="K1556" s="699"/>
      <c r="L1556" s="475"/>
      <c r="M1556" s="699"/>
      <c r="N1556" s="699"/>
    </row>
    <row r="1557" ht="20.25" customHeight="1">
      <c r="A1557" s="701"/>
      <c r="B1557" s="702"/>
      <c r="C1557" s="341"/>
      <c r="D1557" s="463"/>
      <c r="E1557" s="455"/>
      <c r="F1557" s="463"/>
      <c r="G1557" s="455"/>
      <c r="H1557" s="455"/>
      <c r="I1557" s="463"/>
      <c r="J1557" s="463"/>
      <c r="K1557" s="455"/>
      <c r="L1557" s="463"/>
      <c r="M1557" s="455"/>
      <c r="N1557" s="455"/>
    </row>
    <row r="1558" ht="20.25" customHeight="1">
      <c r="A1558" s="696"/>
      <c r="B1558" s="697"/>
      <c r="C1558" s="342"/>
      <c r="D1558" s="475"/>
      <c r="E1558" s="699"/>
      <c r="F1558" s="475"/>
      <c r="G1558" s="699"/>
      <c r="H1558" s="699"/>
      <c r="I1558" s="463"/>
      <c r="J1558" s="475"/>
      <c r="K1558" s="699"/>
      <c r="L1558" s="475"/>
      <c r="M1558" s="699"/>
      <c r="N1558" s="699"/>
    </row>
    <row r="1559" ht="20.25" customHeight="1">
      <c r="A1559" s="701"/>
      <c r="B1559" s="702"/>
      <c r="C1559" s="341"/>
      <c r="D1559" s="463"/>
      <c r="E1559" s="455"/>
      <c r="F1559" s="463"/>
      <c r="G1559" s="455"/>
      <c r="H1559" s="455"/>
      <c r="I1559" s="463"/>
      <c r="J1559" s="463"/>
      <c r="K1559" s="455"/>
      <c r="L1559" s="463"/>
      <c r="M1559" s="455"/>
      <c r="N1559" s="455"/>
    </row>
    <row r="1560" ht="20.25" customHeight="1">
      <c r="A1560" s="696"/>
      <c r="B1560" s="697"/>
      <c r="C1560" s="342"/>
      <c r="D1560" s="475"/>
      <c r="E1560" s="699"/>
      <c r="F1560" s="475"/>
      <c r="G1560" s="699"/>
      <c r="H1560" s="699"/>
      <c r="I1560" s="463"/>
      <c r="J1560" s="475"/>
      <c r="K1560" s="699"/>
      <c r="L1560" s="475"/>
      <c r="M1560" s="699"/>
      <c r="N1560" s="699"/>
    </row>
    <row r="1561" ht="20.25" customHeight="1">
      <c r="A1561" s="701"/>
      <c r="B1561" s="702"/>
      <c r="C1561" s="341"/>
      <c r="D1561" s="463"/>
      <c r="E1561" s="455"/>
      <c r="F1561" s="463"/>
      <c r="G1561" s="455"/>
      <c r="H1561" s="455"/>
      <c r="I1561" s="463"/>
      <c r="J1561" s="463"/>
      <c r="K1561" s="455"/>
      <c r="L1561" s="463"/>
      <c r="M1561" s="455"/>
      <c r="N1561" s="455"/>
    </row>
    <row r="1562" ht="20.25" customHeight="1">
      <c r="A1562" s="696"/>
      <c r="B1562" s="697"/>
      <c r="C1562" s="342"/>
      <c r="D1562" s="475"/>
      <c r="E1562" s="699"/>
      <c r="F1562" s="475"/>
      <c r="G1562" s="699"/>
      <c r="H1562" s="699"/>
      <c r="I1562" s="463"/>
      <c r="J1562" s="475"/>
      <c r="K1562" s="699"/>
      <c r="L1562" s="475"/>
      <c r="M1562" s="699"/>
      <c r="N1562" s="699"/>
    </row>
    <row r="1563" ht="20.25" customHeight="1">
      <c r="A1563" s="701"/>
      <c r="B1563" s="702"/>
      <c r="C1563" s="341"/>
      <c r="D1563" s="463"/>
      <c r="E1563" s="455"/>
      <c r="F1563" s="463"/>
      <c r="G1563" s="455"/>
      <c r="H1563" s="455"/>
      <c r="I1563" s="463"/>
      <c r="J1563" s="463"/>
      <c r="K1563" s="455"/>
      <c r="L1563" s="463"/>
      <c r="M1563" s="455"/>
      <c r="N1563" s="455"/>
    </row>
    <row r="1564" ht="20.25" customHeight="1">
      <c r="A1564" s="696"/>
      <c r="B1564" s="697"/>
      <c r="C1564" s="342"/>
      <c r="D1564" s="475"/>
      <c r="E1564" s="699"/>
      <c r="F1564" s="475"/>
      <c r="G1564" s="699"/>
      <c r="H1564" s="699"/>
      <c r="I1564" s="463"/>
      <c r="J1564" s="475"/>
      <c r="K1564" s="699"/>
      <c r="L1564" s="475"/>
      <c r="M1564" s="699"/>
      <c r="N1564" s="699"/>
    </row>
    <row r="1565" ht="20.25" customHeight="1">
      <c r="A1565" s="701"/>
      <c r="B1565" s="702"/>
      <c r="C1565" s="341"/>
      <c r="D1565" s="463"/>
      <c r="E1565" s="455"/>
      <c r="F1565" s="463"/>
      <c r="G1565" s="455"/>
      <c r="H1565" s="455"/>
      <c r="I1565" s="463"/>
      <c r="J1565" s="463"/>
      <c r="K1565" s="455"/>
      <c r="L1565" s="463"/>
      <c r="M1565" s="455"/>
      <c r="N1565" s="455"/>
    </row>
    <row r="1566" ht="20.25" customHeight="1">
      <c r="A1566" s="696"/>
      <c r="B1566" s="697"/>
      <c r="C1566" s="342"/>
      <c r="D1566" s="475"/>
      <c r="E1566" s="699"/>
      <c r="F1566" s="475"/>
      <c r="G1566" s="699"/>
      <c r="H1566" s="699"/>
      <c r="I1566" s="463"/>
      <c r="J1566" s="475"/>
      <c r="K1566" s="699"/>
      <c r="L1566" s="475"/>
      <c r="M1566" s="699"/>
      <c r="N1566" s="699"/>
    </row>
    <row r="1567" ht="20.25" customHeight="1">
      <c r="A1567" s="701"/>
      <c r="B1567" s="702"/>
      <c r="C1567" s="341"/>
      <c r="D1567" s="463"/>
      <c r="E1567" s="455"/>
      <c r="F1567" s="463"/>
      <c r="G1567" s="455"/>
      <c r="H1567" s="455"/>
      <c r="I1567" s="463"/>
      <c r="J1567" s="463"/>
      <c r="K1567" s="455"/>
      <c r="L1567" s="463"/>
      <c r="M1567" s="455"/>
      <c r="N1567" s="455"/>
    </row>
    <row r="1568" ht="20.25" customHeight="1">
      <c r="A1568" s="696"/>
      <c r="B1568" s="697"/>
      <c r="C1568" s="342"/>
      <c r="D1568" s="475"/>
      <c r="E1568" s="699"/>
      <c r="F1568" s="475"/>
      <c r="G1568" s="699"/>
      <c r="H1568" s="699"/>
      <c r="I1568" s="463"/>
      <c r="J1568" s="475"/>
      <c r="K1568" s="699"/>
      <c r="L1568" s="475"/>
      <c r="M1568" s="699"/>
      <c r="N1568" s="699"/>
    </row>
    <row r="1569" ht="20.25" customHeight="1">
      <c r="A1569" s="701"/>
      <c r="B1569" s="702"/>
      <c r="C1569" s="341"/>
      <c r="D1569" s="463"/>
      <c r="E1569" s="455"/>
      <c r="F1569" s="463"/>
      <c r="G1569" s="455"/>
      <c r="H1569" s="455"/>
      <c r="I1569" s="463"/>
      <c r="J1569" s="463"/>
      <c r="K1569" s="455"/>
      <c r="L1569" s="463"/>
      <c r="M1569" s="455"/>
      <c r="N1569" s="455"/>
    </row>
    <row r="1570" ht="20.25" customHeight="1">
      <c r="A1570" s="696"/>
      <c r="B1570" s="697"/>
      <c r="C1570" s="342"/>
      <c r="D1570" s="475"/>
      <c r="E1570" s="699"/>
      <c r="F1570" s="475"/>
      <c r="G1570" s="699"/>
      <c r="H1570" s="699"/>
      <c r="I1570" s="463"/>
      <c r="J1570" s="475"/>
      <c r="K1570" s="699"/>
      <c r="L1570" s="475"/>
      <c r="M1570" s="699"/>
      <c r="N1570" s="699"/>
    </row>
    <row r="1571" ht="20.25" customHeight="1">
      <c r="A1571" s="701"/>
      <c r="B1571" s="702"/>
      <c r="C1571" s="341"/>
      <c r="D1571" s="463"/>
      <c r="E1571" s="455"/>
      <c r="F1571" s="463"/>
      <c r="G1571" s="455"/>
      <c r="H1571" s="455"/>
      <c r="I1571" s="463"/>
      <c r="J1571" s="463"/>
      <c r="K1571" s="455"/>
      <c r="L1571" s="463"/>
      <c r="M1571" s="455"/>
      <c r="N1571" s="455"/>
    </row>
    <row r="1572" ht="20.25" customHeight="1">
      <c r="A1572" s="696"/>
      <c r="B1572" s="697"/>
      <c r="C1572" s="342"/>
      <c r="D1572" s="475"/>
      <c r="E1572" s="699"/>
      <c r="F1572" s="475"/>
      <c r="G1572" s="699"/>
      <c r="H1572" s="699"/>
      <c r="I1572" s="463"/>
      <c r="J1572" s="475"/>
      <c r="K1572" s="699"/>
      <c r="L1572" s="475"/>
      <c r="M1572" s="699"/>
      <c r="N1572" s="699"/>
    </row>
    <row r="1573" ht="20.25" customHeight="1">
      <c r="A1573" s="701"/>
      <c r="B1573" s="702"/>
      <c r="C1573" s="341"/>
      <c r="D1573" s="463"/>
      <c r="E1573" s="455"/>
      <c r="F1573" s="463"/>
      <c r="G1573" s="455"/>
      <c r="H1573" s="455"/>
      <c r="I1573" s="463"/>
      <c r="J1573" s="463"/>
      <c r="K1573" s="455"/>
      <c r="L1573" s="463"/>
      <c r="M1573" s="455"/>
      <c r="N1573" s="455"/>
    </row>
    <row r="1574" ht="20.25" customHeight="1">
      <c r="A1574" s="696"/>
      <c r="B1574" s="697"/>
      <c r="C1574" s="342"/>
      <c r="D1574" s="475"/>
      <c r="E1574" s="699"/>
      <c r="F1574" s="475"/>
      <c r="G1574" s="699"/>
      <c r="H1574" s="699"/>
      <c r="I1574" s="463"/>
      <c r="J1574" s="475"/>
      <c r="K1574" s="699"/>
      <c r="L1574" s="475"/>
      <c r="M1574" s="699"/>
      <c r="N1574" s="699"/>
    </row>
    <row r="1575" ht="20.25" customHeight="1">
      <c r="A1575" s="701"/>
      <c r="B1575" s="702"/>
      <c r="C1575" s="341"/>
      <c r="D1575" s="463"/>
      <c r="E1575" s="455"/>
      <c r="F1575" s="463"/>
      <c r="G1575" s="455"/>
      <c r="H1575" s="455"/>
      <c r="I1575" s="463"/>
      <c r="J1575" s="463"/>
      <c r="K1575" s="455"/>
      <c r="L1575" s="463"/>
      <c r="M1575" s="455"/>
      <c r="N1575" s="455"/>
    </row>
    <row r="1576" ht="20.25" customHeight="1">
      <c r="A1576" s="696"/>
      <c r="B1576" s="697"/>
      <c r="C1576" s="342"/>
      <c r="D1576" s="475"/>
      <c r="E1576" s="699"/>
      <c r="F1576" s="475"/>
      <c r="G1576" s="699"/>
      <c r="H1576" s="699"/>
      <c r="I1576" s="463"/>
      <c r="J1576" s="475"/>
      <c r="K1576" s="699"/>
      <c r="L1576" s="475"/>
      <c r="M1576" s="699"/>
      <c r="N1576" s="699"/>
    </row>
    <row r="1577" ht="20.25" customHeight="1">
      <c r="A1577" s="701"/>
      <c r="B1577" s="702"/>
      <c r="C1577" s="341"/>
      <c r="D1577" s="463"/>
      <c r="E1577" s="455"/>
      <c r="F1577" s="463"/>
      <c r="G1577" s="455"/>
      <c r="H1577" s="455"/>
      <c r="I1577" s="463"/>
      <c r="J1577" s="463"/>
      <c r="K1577" s="455"/>
      <c r="L1577" s="463"/>
      <c r="M1577" s="455"/>
      <c r="N1577" s="455"/>
    </row>
    <row r="1578" ht="20.25" customHeight="1">
      <c r="A1578" s="696"/>
      <c r="B1578" s="697"/>
      <c r="C1578" s="342"/>
      <c r="D1578" s="475"/>
      <c r="E1578" s="699"/>
      <c r="F1578" s="475"/>
      <c r="G1578" s="699"/>
      <c r="H1578" s="699"/>
      <c r="I1578" s="463"/>
      <c r="J1578" s="475"/>
      <c r="K1578" s="699"/>
      <c r="L1578" s="475"/>
      <c r="M1578" s="699"/>
      <c r="N1578" s="699"/>
    </row>
    <row r="1579" ht="20.25" customHeight="1">
      <c r="A1579" s="701"/>
      <c r="B1579" s="702"/>
      <c r="C1579" s="341"/>
      <c r="D1579" s="463"/>
      <c r="E1579" s="455"/>
      <c r="F1579" s="463"/>
      <c r="G1579" s="455"/>
      <c r="H1579" s="455"/>
      <c r="I1579" s="463"/>
      <c r="J1579" s="463"/>
      <c r="K1579" s="455"/>
      <c r="L1579" s="463"/>
      <c r="M1579" s="455"/>
      <c r="N1579" s="455"/>
    </row>
    <row r="1580" ht="20.25" customHeight="1">
      <c r="A1580" s="696"/>
      <c r="B1580" s="697"/>
      <c r="C1580" s="342"/>
      <c r="D1580" s="475"/>
      <c r="E1580" s="699"/>
      <c r="F1580" s="475"/>
      <c r="G1580" s="699"/>
      <c r="H1580" s="699"/>
      <c r="I1580" s="463"/>
      <c r="J1580" s="475"/>
      <c r="K1580" s="699"/>
      <c r="L1580" s="475"/>
      <c r="M1580" s="699"/>
      <c r="N1580" s="699"/>
    </row>
    <row r="1581" ht="20.25" customHeight="1">
      <c r="A1581" s="701"/>
      <c r="B1581" s="702"/>
      <c r="C1581" s="341"/>
      <c r="D1581" s="463"/>
      <c r="E1581" s="455"/>
      <c r="F1581" s="463"/>
      <c r="G1581" s="455"/>
      <c r="H1581" s="455"/>
      <c r="I1581" s="463"/>
      <c r="J1581" s="463"/>
      <c r="K1581" s="455"/>
      <c r="L1581" s="463"/>
      <c r="M1581" s="455"/>
      <c r="N1581" s="455"/>
    </row>
    <row r="1582" ht="20.25" customHeight="1">
      <c r="A1582" s="696"/>
      <c r="B1582" s="697"/>
      <c r="C1582" s="342"/>
      <c r="D1582" s="475"/>
      <c r="E1582" s="699"/>
      <c r="F1582" s="475"/>
      <c r="G1582" s="699"/>
      <c r="H1582" s="699"/>
      <c r="I1582" s="463"/>
      <c r="J1582" s="475"/>
      <c r="K1582" s="699"/>
      <c r="L1582" s="475"/>
      <c r="M1582" s="699"/>
      <c r="N1582" s="699"/>
    </row>
    <row r="1583" ht="20.25" customHeight="1">
      <c r="A1583" s="701"/>
      <c r="B1583" s="702"/>
      <c r="C1583" s="341"/>
      <c r="D1583" s="463"/>
      <c r="E1583" s="455"/>
      <c r="F1583" s="463"/>
      <c r="G1583" s="455"/>
      <c r="H1583" s="455"/>
      <c r="I1583" s="463"/>
      <c r="J1583" s="463"/>
      <c r="K1583" s="455"/>
      <c r="L1583" s="463"/>
      <c r="M1583" s="455"/>
      <c r="N1583" s="455"/>
    </row>
    <row r="1584" ht="20.25" customHeight="1">
      <c r="A1584" s="696"/>
      <c r="B1584" s="697"/>
      <c r="C1584" s="342"/>
      <c r="D1584" s="475"/>
      <c r="E1584" s="699"/>
      <c r="F1584" s="475"/>
      <c r="G1584" s="699"/>
      <c r="H1584" s="699"/>
      <c r="I1584" s="463"/>
      <c r="J1584" s="475"/>
      <c r="K1584" s="699"/>
      <c r="L1584" s="475"/>
      <c r="M1584" s="699"/>
      <c r="N1584" s="699"/>
    </row>
    <row r="1585" ht="20.25" customHeight="1">
      <c r="A1585" s="701"/>
      <c r="B1585" s="702"/>
      <c r="C1585" s="341"/>
      <c r="D1585" s="463"/>
      <c r="E1585" s="455"/>
      <c r="F1585" s="463"/>
      <c r="G1585" s="455"/>
      <c r="H1585" s="455"/>
      <c r="I1585" s="463"/>
      <c r="J1585" s="463"/>
      <c r="K1585" s="455"/>
      <c r="L1585" s="463"/>
      <c r="M1585" s="455"/>
      <c r="N1585" s="455"/>
    </row>
    <row r="1586" ht="20.25" customHeight="1">
      <c r="A1586" s="696"/>
      <c r="B1586" s="697"/>
      <c r="C1586" s="342"/>
      <c r="D1586" s="475"/>
      <c r="E1586" s="699"/>
      <c r="F1586" s="475"/>
      <c r="G1586" s="699"/>
      <c r="H1586" s="699"/>
      <c r="I1586" s="463"/>
      <c r="J1586" s="475"/>
      <c r="K1586" s="699"/>
      <c r="L1586" s="475"/>
      <c r="M1586" s="699"/>
      <c r="N1586" s="699"/>
    </row>
    <row r="1587" ht="20.25" customHeight="1">
      <c r="A1587" s="701"/>
      <c r="B1587" s="702"/>
      <c r="C1587" s="341"/>
      <c r="D1587" s="463"/>
      <c r="E1587" s="455"/>
      <c r="F1587" s="463"/>
      <c r="G1587" s="455"/>
      <c r="H1587" s="455"/>
      <c r="I1587" s="463"/>
      <c r="J1587" s="463"/>
      <c r="K1587" s="455"/>
      <c r="L1587" s="463"/>
      <c r="M1587" s="455"/>
      <c r="N1587" s="455"/>
    </row>
    <row r="1588" ht="20.25" customHeight="1">
      <c r="A1588" s="696"/>
      <c r="B1588" s="697"/>
      <c r="C1588" s="342"/>
      <c r="D1588" s="475"/>
      <c r="E1588" s="699"/>
      <c r="F1588" s="475"/>
      <c r="G1588" s="699"/>
      <c r="H1588" s="699"/>
      <c r="I1588" s="463"/>
      <c r="J1588" s="475"/>
      <c r="K1588" s="699"/>
      <c r="L1588" s="475"/>
      <c r="M1588" s="699"/>
      <c r="N1588" s="699"/>
    </row>
    <row r="1589" ht="20.25" customHeight="1">
      <c r="A1589" s="701"/>
      <c r="B1589" s="702"/>
      <c r="C1589" s="341"/>
      <c r="D1589" s="463"/>
      <c r="E1589" s="455"/>
      <c r="F1589" s="463"/>
      <c r="G1589" s="455"/>
      <c r="H1589" s="455"/>
      <c r="I1589" s="463"/>
      <c r="J1589" s="463"/>
      <c r="K1589" s="455"/>
      <c r="L1589" s="463"/>
      <c r="M1589" s="455"/>
      <c r="N1589" s="455"/>
    </row>
    <row r="1590" ht="20.25" customHeight="1">
      <c r="A1590" s="696"/>
      <c r="B1590" s="697"/>
      <c r="C1590" s="342"/>
      <c r="D1590" s="475"/>
      <c r="E1590" s="699"/>
      <c r="F1590" s="475"/>
      <c r="G1590" s="699"/>
      <c r="H1590" s="699"/>
      <c r="I1590" s="463"/>
      <c r="J1590" s="475"/>
      <c r="K1590" s="699"/>
      <c r="L1590" s="475"/>
      <c r="M1590" s="699"/>
      <c r="N1590" s="699"/>
    </row>
    <row r="1591" ht="20.25" customHeight="1">
      <c r="A1591" s="701"/>
      <c r="B1591" s="702"/>
      <c r="C1591" s="341"/>
      <c r="D1591" s="463"/>
      <c r="E1591" s="455"/>
      <c r="F1591" s="463"/>
      <c r="G1591" s="455"/>
      <c r="H1591" s="455"/>
      <c r="I1591" s="463"/>
      <c r="J1591" s="463"/>
      <c r="K1591" s="455"/>
      <c r="L1591" s="463"/>
      <c r="M1591" s="455"/>
      <c r="N1591" s="455"/>
    </row>
    <row r="1592" ht="20.25" customHeight="1">
      <c r="A1592" s="696"/>
      <c r="B1592" s="697"/>
      <c r="C1592" s="342"/>
      <c r="D1592" s="475"/>
      <c r="E1592" s="699"/>
      <c r="F1592" s="475"/>
      <c r="G1592" s="699"/>
      <c r="H1592" s="699"/>
      <c r="I1592" s="463"/>
      <c r="J1592" s="475"/>
      <c r="K1592" s="699"/>
      <c r="L1592" s="475"/>
      <c r="M1592" s="699"/>
      <c r="N1592" s="699"/>
    </row>
    <row r="1593" ht="20.25" customHeight="1">
      <c r="A1593" s="701"/>
      <c r="B1593" s="702"/>
      <c r="C1593" s="341"/>
      <c r="D1593" s="463"/>
      <c r="E1593" s="455"/>
      <c r="F1593" s="463"/>
      <c r="G1593" s="455"/>
      <c r="H1593" s="455"/>
      <c r="I1593" s="463"/>
      <c r="J1593" s="463"/>
      <c r="K1593" s="455"/>
      <c r="L1593" s="463"/>
      <c r="M1593" s="455"/>
      <c r="N1593" s="455"/>
    </row>
    <row r="1594" ht="20.25" customHeight="1">
      <c r="A1594" s="696"/>
      <c r="B1594" s="697"/>
      <c r="C1594" s="342"/>
      <c r="D1594" s="475"/>
      <c r="E1594" s="699"/>
      <c r="F1594" s="475"/>
      <c r="G1594" s="699"/>
      <c r="H1594" s="699"/>
      <c r="I1594" s="463"/>
      <c r="J1594" s="475"/>
      <c r="K1594" s="699"/>
      <c r="L1594" s="475"/>
      <c r="M1594" s="699"/>
      <c r="N1594" s="699"/>
    </row>
    <row r="1595" ht="20.25" customHeight="1">
      <c r="A1595" s="701"/>
      <c r="B1595" s="702"/>
      <c r="C1595" s="341"/>
      <c r="D1595" s="463"/>
      <c r="E1595" s="455"/>
      <c r="F1595" s="463"/>
      <c r="G1595" s="455"/>
      <c r="H1595" s="455"/>
      <c r="I1595" s="463"/>
      <c r="J1595" s="463"/>
      <c r="K1595" s="455"/>
      <c r="L1595" s="463"/>
      <c r="M1595" s="455"/>
      <c r="N1595" s="455"/>
    </row>
    <row r="1596" ht="20.25" customHeight="1">
      <c r="A1596" s="696"/>
      <c r="B1596" s="697"/>
      <c r="C1596" s="342"/>
      <c r="D1596" s="475"/>
      <c r="E1596" s="699"/>
      <c r="F1596" s="475"/>
      <c r="G1596" s="699"/>
      <c r="H1596" s="699"/>
      <c r="I1596" s="463"/>
      <c r="J1596" s="475"/>
      <c r="K1596" s="699"/>
      <c r="L1596" s="475"/>
      <c r="M1596" s="699"/>
      <c r="N1596" s="699"/>
    </row>
    <row r="1597" ht="20.25" customHeight="1">
      <c r="A1597" s="701"/>
      <c r="B1597" s="702"/>
      <c r="C1597" s="341"/>
      <c r="D1597" s="463"/>
      <c r="E1597" s="455"/>
      <c r="F1597" s="463"/>
      <c r="G1597" s="455"/>
      <c r="H1597" s="455"/>
      <c r="I1597" s="463"/>
      <c r="J1597" s="463"/>
      <c r="K1597" s="455"/>
      <c r="L1597" s="463"/>
      <c r="M1597" s="455"/>
      <c r="N1597" s="455"/>
    </row>
    <row r="1598" ht="20.25" customHeight="1">
      <c r="A1598" s="696"/>
      <c r="B1598" s="697"/>
      <c r="C1598" s="342"/>
      <c r="D1598" s="475"/>
      <c r="E1598" s="699"/>
      <c r="F1598" s="475"/>
      <c r="G1598" s="699"/>
      <c r="H1598" s="699"/>
      <c r="I1598" s="463"/>
      <c r="J1598" s="475"/>
      <c r="K1598" s="699"/>
      <c r="L1598" s="475"/>
      <c r="M1598" s="699"/>
      <c r="N1598" s="699"/>
    </row>
    <row r="1599" ht="20.25" customHeight="1">
      <c r="A1599" s="701"/>
      <c r="B1599" s="702"/>
      <c r="C1599" s="341"/>
      <c r="D1599" s="463"/>
      <c r="E1599" s="455"/>
      <c r="F1599" s="463"/>
      <c r="G1599" s="455"/>
      <c r="H1599" s="455"/>
      <c r="I1599" s="463"/>
      <c r="J1599" s="463"/>
      <c r="K1599" s="455"/>
      <c r="L1599" s="463"/>
      <c r="M1599" s="455"/>
      <c r="N1599" s="455"/>
    </row>
    <row r="1600" ht="20.25" customHeight="1">
      <c r="A1600" s="696"/>
      <c r="B1600" s="697"/>
      <c r="C1600" s="342"/>
      <c r="D1600" s="475"/>
      <c r="E1600" s="699"/>
      <c r="F1600" s="475"/>
      <c r="G1600" s="699"/>
      <c r="H1600" s="699"/>
      <c r="I1600" s="463"/>
      <c r="J1600" s="475"/>
      <c r="K1600" s="699"/>
      <c r="L1600" s="475"/>
      <c r="M1600" s="699"/>
      <c r="N1600" s="699"/>
    </row>
    <row r="1601" ht="20.25" customHeight="1">
      <c r="A1601" s="701"/>
      <c r="B1601" s="702"/>
      <c r="C1601" s="341"/>
      <c r="D1601" s="463"/>
      <c r="E1601" s="455"/>
      <c r="F1601" s="463"/>
      <c r="G1601" s="455"/>
      <c r="H1601" s="455"/>
      <c r="I1601" s="463"/>
      <c r="J1601" s="463"/>
      <c r="K1601" s="455"/>
      <c r="L1601" s="463"/>
      <c r="M1601" s="455"/>
      <c r="N1601" s="455"/>
    </row>
    <row r="1602" ht="20.25" customHeight="1">
      <c r="A1602" s="696"/>
      <c r="B1602" s="697"/>
      <c r="C1602" s="342"/>
      <c r="D1602" s="475"/>
      <c r="E1602" s="699"/>
      <c r="F1602" s="475"/>
      <c r="G1602" s="699"/>
      <c r="H1602" s="699"/>
      <c r="I1602" s="463"/>
      <c r="J1602" s="475"/>
      <c r="K1602" s="699"/>
      <c r="L1602" s="475"/>
      <c r="M1602" s="699"/>
      <c r="N1602" s="699"/>
    </row>
    <row r="1603" ht="20.25" customHeight="1">
      <c r="A1603" s="701"/>
      <c r="B1603" s="702"/>
      <c r="C1603" s="341"/>
      <c r="D1603" s="463"/>
      <c r="E1603" s="455"/>
      <c r="F1603" s="463"/>
      <c r="G1603" s="455"/>
      <c r="H1603" s="455"/>
      <c r="I1603" s="463"/>
      <c r="J1603" s="463"/>
      <c r="K1603" s="455"/>
      <c r="L1603" s="463"/>
      <c r="M1603" s="455"/>
      <c r="N1603" s="455"/>
    </row>
    <row r="1604" ht="20.25" customHeight="1">
      <c r="A1604" s="696"/>
      <c r="B1604" s="697"/>
      <c r="C1604" s="342"/>
      <c r="D1604" s="475"/>
      <c r="E1604" s="699"/>
      <c r="F1604" s="475"/>
      <c r="G1604" s="699"/>
      <c r="H1604" s="699"/>
      <c r="I1604" s="463"/>
      <c r="J1604" s="475"/>
      <c r="K1604" s="699"/>
      <c r="L1604" s="475"/>
      <c r="M1604" s="699"/>
      <c r="N1604" s="699"/>
    </row>
    <row r="1605" ht="20.25" customHeight="1">
      <c r="A1605" s="701"/>
      <c r="B1605" s="702"/>
      <c r="C1605" s="341"/>
      <c r="D1605" s="463"/>
      <c r="E1605" s="455"/>
      <c r="F1605" s="463"/>
      <c r="G1605" s="455"/>
      <c r="H1605" s="455"/>
      <c r="I1605" s="463"/>
      <c r="J1605" s="463"/>
      <c r="K1605" s="455"/>
      <c r="L1605" s="463"/>
      <c r="M1605" s="455"/>
      <c r="N1605" s="455"/>
    </row>
    <row r="1606" ht="20.25" customHeight="1">
      <c r="A1606" s="696"/>
      <c r="B1606" s="697"/>
      <c r="C1606" s="342"/>
      <c r="D1606" s="475"/>
      <c r="E1606" s="699"/>
      <c r="F1606" s="475"/>
      <c r="G1606" s="699"/>
      <c r="H1606" s="699"/>
      <c r="I1606" s="463"/>
      <c r="J1606" s="475"/>
      <c r="K1606" s="699"/>
      <c r="L1606" s="475"/>
      <c r="M1606" s="699"/>
      <c r="N1606" s="699"/>
    </row>
    <row r="1607" ht="20.25" customHeight="1">
      <c r="A1607" s="701"/>
      <c r="B1607" s="702"/>
      <c r="C1607" s="341"/>
      <c r="D1607" s="463"/>
      <c r="E1607" s="455"/>
      <c r="F1607" s="463"/>
      <c r="G1607" s="455"/>
      <c r="H1607" s="455"/>
      <c r="I1607" s="463"/>
      <c r="J1607" s="463"/>
      <c r="K1607" s="455"/>
      <c r="L1607" s="463"/>
      <c r="M1607" s="455"/>
      <c r="N1607" s="455"/>
    </row>
    <row r="1608" ht="20.25" customHeight="1">
      <c r="A1608" s="696"/>
      <c r="B1608" s="697"/>
      <c r="C1608" s="342"/>
      <c r="D1608" s="475"/>
      <c r="E1608" s="699"/>
      <c r="F1608" s="475"/>
      <c r="G1608" s="699"/>
      <c r="H1608" s="699"/>
      <c r="I1608" s="463"/>
      <c r="J1608" s="475"/>
      <c r="K1608" s="699"/>
      <c r="L1608" s="475"/>
      <c r="M1608" s="699"/>
      <c r="N1608" s="699"/>
    </row>
    <row r="1609" ht="20.25" customHeight="1">
      <c r="A1609" s="701"/>
      <c r="B1609" s="702"/>
      <c r="C1609" s="341"/>
      <c r="D1609" s="463"/>
      <c r="E1609" s="455"/>
      <c r="F1609" s="463"/>
      <c r="G1609" s="455"/>
      <c r="H1609" s="455"/>
      <c r="I1609" s="463"/>
      <c r="J1609" s="463"/>
      <c r="K1609" s="455"/>
      <c r="L1609" s="463"/>
      <c r="M1609" s="455"/>
      <c r="N1609" s="455"/>
    </row>
    <row r="1610" ht="20.25" customHeight="1">
      <c r="A1610" s="696"/>
      <c r="B1610" s="697"/>
      <c r="C1610" s="342"/>
      <c r="D1610" s="475"/>
      <c r="E1610" s="699"/>
      <c r="F1610" s="475"/>
      <c r="G1610" s="699"/>
      <c r="H1610" s="699"/>
      <c r="I1610" s="463"/>
      <c r="J1610" s="475"/>
      <c r="K1610" s="699"/>
      <c r="L1610" s="475"/>
      <c r="M1610" s="699"/>
      <c r="N1610" s="699"/>
    </row>
    <row r="1611" ht="20.25" customHeight="1">
      <c r="A1611" s="701"/>
      <c r="B1611" s="702"/>
      <c r="C1611" s="341"/>
      <c r="D1611" s="463"/>
      <c r="E1611" s="455"/>
      <c r="F1611" s="463"/>
      <c r="G1611" s="455"/>
      <c r="H1611" s="455"/>
      <c r="I1611" s="463"/>
      <c r="J1611" s="463"/>
      <c r="K1611" s="455"/>
      <c r="L1611" s="463"/>
      <c r="M1611" s="455"/>
      <c r="N1611" s="455"/>
    </row>
    <row r="1612" ht="20.25" customHeight="1">
      <c r="A1612" s="696"/>
      <c r="B1612" s="697"/>
      <c r="C1612" s="342"/>
      <c r="D1612" s="475"/>
      <c r="E1612" s="699"/>
      <c r="F1612" s="475"/>
      <c r="G1612" s="699"/>
      <c r="H1612" s="699"/>
      <c r="I1612" s="463"/>
      <c r="J1612" s="475"/>
      <c r="K1612" s="699"/>
      <c r="L1612" s="475"/>
      <c r="M1612" s="699"/>
      <c r="N1612" s="699"/>
    </row>
    <row r="1613" ht="20.25" customHeight="1">
      <c r="A1613" s="701"/>
      <c r="B1613" s="702"/>
      <c r="C1613" s="341"/>
      <c r="D1613" s="463"/>
      <c r="E1613" s="455"/>
      <c r="F1613" s="463"/>
      <c r="G1613" s="455"/>
      <c r="H1613" s="455"/>
      <c r="I1613" s="463"/>
      <c r="J1613" s="463"/>
      <c r="K1613" s="455"/>
      <c r="L1613" s="463"/>
      <c r="M1613" s="455"/>
      <c r="N1613" s="455"/>
    </row>
    <row r="1614" ht="20.25" customHeight="1">
      <c r="A1614" s="696"/>
      <c r="B1614" s="697"/>
      <c r="C1614" s="342"/>
      <c r="D1614" s="475"/>
      <c r="E1614" s="699"/>
      <c r="F1614" s="475"/>
      <c r="G1614" s="699"/>
      <c r="H1614" s="699"/>
      <c r="I1614" s="463"/>
      <c r="J1614" s="475"/>
      <c r="K1614" s="699"/>
      <c r="L1614" s="475"/>
      <c r="M1614" s="699"/>
      <c r="N1614" s="699"/>
    </row>
    <row r="1615" ht="20.25" customHeight="1">
      <c r="A1615" s="701"/>
      <c r="B1615" s="702"/>
      <c r="C1615" s="341"/>
      <c r="D1615" s="463"/>
      <c r="E1615" s="455"/>
      <c r="F1615" s="463"/>
      <c r="G1615" s="455"/>
      <c r="H1615" s="455"/>
      <c r="I1615" s="463"/>
      <c r="J1615" s="463"/>
      <c r="K1615" s="455"/>
      <c r="L1615" s="463"/>
      <c r="M1615" s="455"/>
      <c r="N1615" s="455"/>
    </row>
    <row r="1616" ht="20.25" customHeight="1">
      <c r="A1616" s="696"/>
      <c r="B1616" s="697"/>
      <c r="C1616" s="342"/>
      <c r="D1616" s="475"/>
      <c r="E1616" s="699"/>
      <c r="F1616" s="475"/>
      <c r="G1616" s="699"/>
      <c r="H1616" s="699"/>
      <c r="I1616" s="463"/>
      <c r="J1616" s="475"/>
      <c r="K1616" s="699"/>
      <c r="L1616" s="475"/>
      <c r="M1616" s="699"/>
      <c r="N1616" s="699"/>
    </row>
    <row r="1617" ht="20.25" customHeight="1">
      <c r="A1617" s="701"/>
      <c r="B1617" s="702"/>
      <c r="C1617" s="341"/>
      <c r="D1617" s="463"/>
      <c r="E1617" s="455"/>
      <c r="F1617" s="463"/>
      <c r="G1617" s="455"/>
      <c r="H1617" s="455"/>
      <c r="I1617" s="463"/>
      <c r="J1617" s="463"/>
      <c r="K1617" s="455"/>
      <c r="L1617" s="463"/>
      <c r="M1617" s="455"/>
      <c r="N1617" s="455"/>
    </row>
    <row r="1618" ht="20.25" customHeight="1">
      <c r="A1618" s="696"/>
      <c r="B1618" s="697"/>
      <c r="C1618" s="342"/>
      <c r="D1618" s="475"/>
      <c r="E1618" s="699"/>
      <c r="F1618" s="475"/>
      <c r="G1618" s="699"/>
      <c r="H1618" s="699"/>
      <c r="I1618" s="463"/>
      <c r="J1618" s="475"/>
      <c r="K1618" s="699"/>
      <c r="L1618" s="475"/>
      <c r="M1618" s="699"/>
      <c r="N1618" s="699"/>
    </row>
    <row r="1619" ht="20.25" customHeight="1">
      <c r="A1619" s="701"/>
      <c r="B1619" s="702"/>
      <c r="C1619" s="341"/>
      <c r="D1619" s="463"/>
      <c r="E1619" s="455"/>
      <c r="F1619" s="463"/>
      <c r="G1619" s="455"/>
      <c r="H1619" s="455"/>
      <c r="I1619" s="463"/>
      <c r="J1619" s="463"/>
      <c r="K1619" s="455"/>
      <c r="L1619" s="463"/>
      <c r="M1619" s="455"/>
      <c r="N1619" s="455"/>
    </row>
    <row r="1620" ht="20.25" customHeight="1">
      <c r="A1620" s="696"/>
      <c r="B1620" s="697"/>
      <c r="C1620" s="342"/>
      <c r="D1620" s="475"/>
      <c r="E1620" s="699"/>
      <c r="F1620" s="475"/>
      <c r="G1620" s="699"/>
      <c r="H1620" s="699"/>
      <c r="I1620" s="463"/>
      <c r="J1620" s="475"/>
      <c r="K1620" s="699"/>
      <c r="L1620" s="475"/>
      <c r="M1620" s="699"/>
      <c r="N1620" s="699"/>
    </row>
    <row r="1621" ht="20.25" customHeight="1">
      <c r="A1621" s="701"/>
      <c r="B1621" s="702"/>
      <c r="C1621" s="341"/>
      <c r="D1621" s="463"/>
      <c r="E1621" s="455"/>
      <c r="F1621" s="463"/>
      <c r="G1621" s="455"/>
      <c r="H1621" s="455"/>
      <c r="I1621" s="463"/>
      <c r="J1621" s="463"/>
      <c r="K1621" s="455"/>
      <c r="L1621" s="463"/>
      <c r="M1621" s="455"/>
      <c r="N1621" s="455"/>
    </row>
    <row r="1622" ht="20.25" customHeight="1">
      <c r="A1622" s="696"/>
      <c r="B1622" s="697"/>
      <c r="C1622" s="342"/>
      <c r="D1622" s="475"/>
      <c r="E1622" s="699"/>
      <c r="F1622" s="475"/>
      <c r="G1622" s="699"/>
      <c r="H1622" s="699"/>
      <c r="I1622" s="463"/>
      <c r="J1622" s="475"/>
      <c r="K1622" s="699"/>
      <c r="L1622" s="475"/>
      <c r="M1622" s="699"/>
      <c r="N1622" s="699"/>
    </row>
    <row r="1623" ht="20.25" customHeight="1">
      <c r="A1623" s="701"/>
      <c r="B1623" s="702"/>
      <c r="C1623" s="341"/>
      <c r="D1623" s="463"/>
      <c r="E1623" s="455"/>
      <c r="F1623" s="463"/>
      <c r="G1623" s="455"/>
      <c r="H1623" s="455"/>
      <c r="I1623" s="463"/>
      <c r="J1623" s="463"/>
      <c r="K1623" s="455"/>
      <c r="L1623" s="463"/>
      <c r="M1623" s="455"/>
      <c r="N1623" s="455"/>
    </row>
    <row r="1624" ht="20.25" customHeight="1">
      <c r="A1624" s="696"/>
      <c r="B1624" s="697"/>
      <c r="C1624" s="342"/>
      <c r="D1624" s="475"/>
      <c r="E1624" s="699"/>
      <c r="F1624" s="475"/>
      <c r="G1624" s="699"/>
      <c r="H1624" s="699"/>
      <c r="I1624" s="463"/>
      <c r="J1624" s="475"/>
      <c r="K1624" s="699"/>
      <c r="L1624" s="475"/>
      <c r="M1624" s="699"/>
      <c r="N1624" s="699"/>
    </row>
    <row r="1625" ht="20.25" customHeight="1">
      <c r="A1625" s="701"/>
      <c r="B1625" s="702"/>
      <c r="C1625" s="341"/>
      <c r="D1625" s="463"/>
      <c r="E1625" s="455"/>
      <c r="F1625" s="463"/>
      <c r="G1625" s="455"/>
      <c r="H1625" s="455"/>
      <c r="I1625" s="463"/>
      <c r="J1625" s="463"/>
      <c r="K1625" s="455"/>
      <c r="L1625" s="463"/>
      <c r="M1625" s="455"/>
      <c r="N1625" s="455"/>
    </row>
    <row r="1626" ht="20.25" customHeight="1">
      <c r="A1626" s="696"/>
      <c r="B1626" s="697"/>
      <c r="C1626" s="342"/>
      <c r="D1626" s="475"/>
      <c r="E1626" s="699"/>
      <c r="F1626" s="475"/>
      <c r="G1626" s="699"/>
      <c r="H1626" s="699"/>
      <c r="I1626" s="463"/>
      <c r="J1626" s="475"/>
      <c r="K1626" s="699"/>
      <c r="L1626" s="475"/>
      <c r="M1626" s="699"/>
      <c r="N1626" s="699"/>
    </row>
    <row r="1627" ht="20.25" customHeight="1">
      <c r="A1627" s="701"/>
      <c r="B1627" s="702"/>
      <c r="C1627" s="341"/>
      <c r="D1627" s="463"/>
      <c r="E1627" s="455"/>
      <c r="F1627" s="463"/>
      <c r="G1627" s="455"/>
      <c r="H1627" s="455"/>
      <c r="I1627" s="463"/>
      <c r="J1627" s="463"/>
      <c r="K1627" s="455"/>
      <c r="L1627" s="463"/>
      <c r="M1627" s="455"/>
      <c r="N1627" s="455"/>
    </row>
    <row r="1628" ht="20.25" customHeight="1">
      <c r="A1628" s="696"/>
      <c r="B1628" s="697"/>
      <c r="C1628" s="342"/>
      <c r="D1628" s="475"/>
      <c r="E1628" s="699"/>
      <c r="F1628" s="475"/>
      <c r="G1628" s="699"/>
      <c r="H1628" s="699"/>
      <c r="I1628" s="463"/>
      <c r="J1628" s="475"/>
      <c r="K1628" s="699"/>
      <c r="L1628" s="475"/>
      <c r="M1628" s="699"/>
      <c r="N1628" s="699"/>
    </row>
    <row r="1629" ht="20.25" customHeight="1">
      <c r="A1629" s="701"/>
      <c r="B1629" s="702"/>
      <c r="C1629" s="341"/>
      <c r="D1629" s="463"/>
      <c r="E1629" s="455"/>
      <c r="F1629" s="463"/>
      <c r="G1629" s="455"/>
      <c r="H1629" s="455"/>
      <c r="I1629" s="463"/>
      <c r="J1629" s="463"/>
      <c r="K1629" s="455"/>
      <c r="L1629" s="463"/>
      <c r="M1629" s="455"/>
      <c r="N1629" s="455"/>
    </row>
    <row r="1630" ht="20.25" customHeight="1">
      <c r="A1630" s="696"/>
      <c r="B1630" s="697"/>
      <c r="C1630" s="342"/>
      <c r="D1630" s="475"/>
      <c r="E1630" s="699"/>
      <c r="F1630" s="475"/>
      <c r="G1630" s="699"/>
      <c r="H1630" s="699"/>
      <c r="I1630" s="463"/>
      <c r="J1630" s="475"/>
      <c r="K1630" s="699"/>
      <c r="L1630" s="475"/>
      <c r="M1630" s="699"/>
      <c r="N1630" s="699"/>
    </row>
    <row r="1631" ht="20.25" customHeight="1">
      <c r="A1631" s="701"/>
      <c r="B1631" s="702"/>
      <c r="C1631" s="341"/>
      <c r="D1631" s="463"/>
      <c r="E1631" s="455"/>
      <c r="F1631" s="463"/>
      <c r="G1631" s="455"/>
      <c r="H1631" s="455"/>
      <c r="I1631" s="463"/>
      <c r="J1631" s="463"/>
      <c r="K1631" s="455"/>
      <c r="L1631" s="463"/>
      <c r="M1631" s="455"/>
      <c r="N1631" s="455"/>
    </row>
    <row r="1632" ht="20.25" customHeight="1">
      <c r="A1632" s="696"/>
      <c r="B1632" s="697"/>
      <c r="C1632" s="342"/>
      <c r="D1632" s="475"/>
      <c r="E1632" s="699"/>
      <c r="F1632" s="475"/>
      <c r="G1632" s="699"/>
      <c r="H1632" s="699"/>
      <c r="I1632" s="463"/>
      <c r="J1632" s="475"/>
      <c r="K1632" s="699"/>
      <c r="L1632" s="475"/>
      <c r="M1632" s="699"/>
      <c r="N1632" s="699"/>
    </row>
    <row r="1633" ht="20.25" customHeight="1">
      <c r="A1633" s="701"/>
      <c r="B1633" s="702"/>
      <c r="C1633" s="341"/>
      <c r="D1633" s="463"/>
      <c r="E1633" s="455"/>
      <c r="F1633" s="463"/>
      <c r="G1633" s="455"/>
      <c r="H1633" s="455"/>
      <c r="I1633" s="463"/>
      <c r="J1633" s="463"/>
      <c r="K1633" s="455"/>
      <c r="L1633" s="463"/>
      <c r="M1633" s="455"/>
      <c r="N1633" s="455"/>
    </row>
    <row r="1634" ht="20.25" customHeight="1">
      <c r="A1634" s="696"/>
      <c r="B1634" s="697"/>
      <c r="C1634" s="342"/>
      <c r="D1634" s="475"/>
      <c r="E1634" s="699"/>
      <c r="F1634" s="475"/>
      <c r="G1634" s="699"/>
      <c r="H1634" s="699"/>
      <c r="I1634" s="463"/>
      <c r="J1634" s="475"/>
      <c r="K1634" s="699"/>
      <c r="L1634" s="475"/>
      <c r="M1634" s="699"/>
      <c r="N1634" s="699"/>
    </row>
    <row r="1635" ht="20.25" customHeight="1">
      <c r="A1635" s="701"/>
      <c r="B1635" s="702"/>
      <c r="C1635" s="341"/>
      <c r="D1635" s="463"/>
      <c r="E1635" s="455"/>
      <c r="F1635" s="463"/>
      <c r="G1635" s="455"/>
      <c r="H1635" s="455"/>
      <c r="I1635" s="463"/>
      <c r="J1635" s="463"/>
      <c r="K1635" s="455"/>
      <c r="L1635" s="463"/>
      <c r="M1635" s="455"/>
      <c r="N1635" s="455"/>
    </row>
    <row r="1636" ht="20.25" customHeight="1">
      <c r="A1636" s="696"/>
      <c r="B1636" s="697"/>
      <c r="C1636" s="342"/>
      <c r="D1636" s="475"/>
      <c r="E1636" s="699"/>
      <c r="F1636" s="475"/>
      <c r="G1636" s="699"/>
      <c r="H1636" s="699"/>
      <c r="I1636" s="463"/>
      <c r="J1636" s="475"/>
      <c r="K1636" s="699"/>
      <c r="L1636" s="475"/>
      <c r="M1636" s="699"/>
      <c r="N1636" s="699"/>
    </row>
    <row r="1637" ht="20.25" customHeight="1">
      <c r="A1637" s="701"/>
      <c r="B1637" s="702"/>
      <c r="C1637" s="341"/>
      <c r="D1637" s="463"/>
      <c r="E1637" s="455"/>
      <c r="F1637" s="463"/>
      <c r="G1637" s="455"/>
      <c r="H1637" s="455"/>
      <c r="I1637" s="463"/>
      <c r="J1637" s="463"/>
      <c r="K1637" s="455"/>
      <c r="L1637" s="463"/>
      <c r="M1637" s="455"/>
      <c r="N1637" s="455"/>
    </row>
    <row r="1638" ht="20.25" customHeight="1">
      <c r="A1638" s="696"/>
      <c r="B1638" s="697"/>
      <c r="C1638" s="342"/>
      <c r="D1638" s="475"/>
      <c r="E1638" s="699"/>
      <c r="F1638" s="475"/>
      <c r="G1638" s="699"/>
      <c r="H1638" s="699"/>
      <c r="I1638" s="463"/>
      <c r="J1638" s="475"/>
      <c r="K1638" s="699"/>
      <c r="L1638" s="475"/>
      <c r="M1638" s="699"/>
      <c r="N1638" s="699"/>
    </row>
    <row r="1639" ht="20.25" customHeight="1">
      <c r="A1639" s="701"/>
      <c r="B1639" s="702"/>
      <c r="C1639" s="341"/>
      <c r="D1639" s="463"/>
      <c r="E1639" s="455"/>
      <c r="F1639" s="463"/>
      <c r="G1639" s="455"/>
      <c r="H1639" s="455"/>
      <c r="I1639" s="463"/>
      <c r="J1639" s="463"/>
      <c r="K1639" s="455"/>
      <c r="L1639" s="463"/>
      <c r="M1639" s="455"/>
      <c r="N1639" s="455"/>
    </row>
    <row r="1640" ht="20.25" customHeight="1">
      <c r="A1640" s="696"/>
      <c r="B1640" s="697"/>
      <c r="C1640" s="342"/>
      <c r="D1640" s="475"/>
      <c r="E1640" s="699"/>
      <c r="F1640" s="475"/>
      <c r="G1640" s="699"/>
      <c r="H1640" s="699"/>
      <c r="I1640" s="463"/>
      <c r="J1640" s="475"/>
      <c r="K1640" s="699"/>
      <c r="L1640" s="475"/>
      <c r="M1640" s="699"/>
      <c r="N1640" s="699"/>
    </row>
    <row r="1641" ht="20.25" customHeight="1">
      <c r="A1641" s="701"/>
      <c r="B1641" s="702"/>
      <c r="C1641" s="341"/>
      <c r="D1641" s="463"/>
      <c r="E1641" s="455"/>
      <c r="F1641" s="463"/>
      <c r="G1641" s="455"/>
      <c r="H1641" s="455"/>
      <c r="I1641" s="463"/>
      <c r="J1641" s="463"/>
      <c r="K1641" s="455"/>
      <c r="L1641" s="463"/>
      <c r="M1641" s="455"/>
      <c r="N1641" s="455"/>
    </row>
    <row r="1642" ht="20.25" customHeight="1">
      <c r="A1642" s="696"/>
      <c r="B1642" s="697"/>
      <c r="C1642" s="342"/>
      <c r="D1642" s="475"/>
      <c r="E1642" s="699"/>
      <c r="F1642" s="475"/>
      <c r="G1642" s="699"/>
      <c r="H1642" s="699"/>
      <c r="I1642" s="463"/>
      <c r="J1642" s="475"/>
      <c r="K1642" s="699"/>
      <c r="L1642" s="475"/>
      <c r="M1642" s="699"/>
      <c r="N1642" s="699"/>
    </row>
    <row r="1643" ht="20.25" customHeight="1">
      <c r="A1643" s="701"/>
      <c r="B1643" s="702"/>
      <c r="C1643" s="341"/>
      <c r="D1643" s="463"/>
      <c r="E1643" s="455"/>
      <c r="F1643" s="463"/>
      <c r="G1643" s="455"/>
      <c r="H1643" s="455"/>
      <c r="I1643" s="463"/>
      <c r="J1643" s="463"/>
      <c r="K1643" s="455"/>
      <c r="L1643" s="463"/>
      <c r="M1643" s="455"/>
      <c r="N1643" s="455"/>
    </row>
    <row r="1644" ht="20.25" customHeight="1">
      <c r="A1644" s="696"/>
      <c r="B1644" s="697"/>
      <c r="C1644" s="342"/>
      <c r="D1644" s="475"/>
      <c r="E1644" s="699"/>
      <c r="F1644" s="475"/>
      <c r="G1644" s="699"/>
      <c r="H1644" s="699"/>
      <c r="I1644" s="463"/>
      <c r="J1644" s="475"/>
      <c r="K1644" s="699"/>
      <c r="L1644" s="475"/>
      <c r="M1644" s="699"/>
      <c r="N1644" s="699"/>
    </row>
    <row r="1645" ht="20.25" customHeight="1">
      <c r="A1645" s="701"/>
      <c r="B1645" s="702"/>
      <c r="C1645" s="341"/>
      <c r="D1645" s="463"/>
      <c r="E1645" s="455"/>
      <c r="F1645" s="463"/>
      <c r="G1645" s="455"/>
      <c r="H1645" s="455"/>
      <c r="I1645" s="463"/>
      <c r="J1645" s="463"/>
      <c r="K1645" s="455"/>
      <c r="L1645" s="463"/>
      <c r="M1645" s="455"/>
      <c r="N1645" s="455"/>
    </row>
    <row r="1646" ht="20.25" customHeight="1">
      <c r="A1646" s="696"/>
      <c r="B1646" s="697"/>
      <c r="C1646" s="342"/>
      <c r="D1646" s="475"/>
      <c r="E1646" s="699"/>
      <c r="F1646" s="475"/>
      <c r="G1646" s="699"/>
      <c r="H1646" s="699"/>
      <c r="I1646" s="463"/>
      <c r="J1646" s="475"/>
      <c r="K1646" s="699"/>
      <c r="L1646" s="475"/>
      <c r="M1646" s="699"/>
      <c r="N1646" s="699"/>
    </row>
    <row r="1647" ht="20.25" customHeight="1">
      <c r="A1647" s="701"/>
      <c r="B1647" s="702"/>
      <c r="C1647" s="341"/>
      <c r="D1647" s="463"/>
      <c r="E1647" s="455"/>
      <c r="F1647" s="463"/>
      <c r="G1647" s="455"/>
      <c r="H1647" s="455"/>
      <c r="I1647" s="463"/>
      <c r="J1647" s="463"/>
      <c r="K1647" s="455"/>
      <c r="L1647" s="463"/>
      <c r="M1647" s="455"/>
      <c r="N1647" s="455"/>
    </row>
    <row r="1648" ht="20.25" customHeight="1">
      <c r="A1648" s="696"/>
      <c r="B1648" s="697"/>
      <c r="C1648" s="342"/>
      <c r="D1648" s="475"/>
      <c r="E1648" s="699"/>
      <c r="F1648" s="475"/>
      <c r="G1648" s="699"/>
      <c r="H1648" s="699"/>
      <c r="I1648" s="463"/>
      <c r="J1648" s="475"/>
      <c r="K1648" s="699"/>
      <c r="L1648" s="475"/>
      <c r="M1648" s="699"/>
      <c r="N1648" s="699"/>
    </row>
    <row r="1649" ht="20.25" customHeight="1">
      <c r="A1649" s="701"/>
      <c r="B1649" s="702"/>
      <c r="C1649" s="341"/>
      <c r="D1649" s="463"/>
      <c r="E1649" s="455"/>
      <c r="F1649" s="463"/>
      <c r="G1649" s="455"/>
      <c r="H1649" s="455"/>
      <c r="I1649" s="463"/>
      <c r="J1649" s="463"/>
      <c r="K1649" s="455"/>
      <c r="L1649" s="463"/>
      <c r="M1649" s="455"/>
      <c r="N1649" s="455"/>
    </row>
    <row r="1650" ht="20.25" customHeight="1">
      <c r="A1650" s="696"/>
      <c r="B1650" s="697"/>
      <c r="C1650" s="342"/>
      <c r="D1650" s="475"/>
      <c r="E1650" s="699"/>
      <c r="F1650" s="475"/>
      <c r="G1650" s="699"/>
      <c r="H1650" s="699"/>
      <c r="I1650" s="463"/>
      <c r="J1650" s="475"/>
      <c r="K1650" s="699"/>
      <c r="L1650" s="475"/>
      <c r="M1650" s="699"/>
      <c r="N1650" s="699"/>
    </row>
    <row r="1651" ht="20.25" customHeight="1">
      <c r="A1651" s="701"/>
      <c r="B1651" s="702"/>
      <c r="C1651" s="341"/>
      <c r="D1651" s="463"/>
      <c r="E1651" s="455"/>
      <c r="F1651" s="463"/>
      <c r="G1651" s="455"/>
      <c r="H1651" s="455"/>
      <c r="I1651" s="463"/>
      <c r="J1651" s="463"/>
      <c r="K1651" s="455"/>
      <c r="L1651" s="463"/>
      <c r="M1651" s="455"/>
      <c r="N1651" s="455"/>
    </row>
    <row r="1652" ht="20.25" customHeight="1">
      <c r="A1652" s="696"/>
      <c r="B1652" s="697"/>
      <c r="C1652" s="342"/>
      <c r="D1652" s="475"/>
      <c r="E1652" s="699"/>
      <c r="F1652" s="475"/>
      <c r="G1652" s="699"/>
      <c r="H1652" s="699"/>
      <c r="I1652" s="463"/>
      <c r="J1652" s="475"/>
      <c r="K1652" s="699"/>
      <c r="L1652" s="475"/>
      <c r="M1652" s="699"/>
      <c r="N1652" s="699"/>
    </row>
    <row r="1653" ht="20.25" customHeight="1">
      <c r="A1653" s="701"/>
      <c r="B1653" s="702"/>
      <c r="C1653" s="341"/>
      <c r="D1653" s="463"/>
      <c r="E1653" s="455"/>
      <c r="F1653" s="463"/>
      <c r="G1653" s="455"/>
      <c r="H1653" s="455"/>
      <c r="I1653" s="463"/>
      <c r="J1653" s="463"/>
      <c r="K1653" s="455"/>
      <c r="L1653" s="463"/>
      <c r="M1653" s="455"/>
      <c r="N1653" s="455"/>
    </row>
    <row r="1654" ht="20.25" customHeight="1">
      <c r="A1654" s="696"/>
      <c r="B1654" s="697"/>
      <c r="C1654" s="342"/>
      <c r="D1654" s="475"/>
      <c r="E1654" s="699"/>
      <c r="F1654" s="475"/>
      <c r="G1654" s="699"/>
      <c r="H1654" s="699"/>
      <c r="I1654" s="463"/>
      <c r="J1654" s="475"/>
      <c r="K1654" s="699"/>
      <c r="L1654" s="475"/>
      <c r="M1654" s="699"/>
      <c r="N1654" s="699"/>
    </row>
    <row r="1655" ht="20.25" customHeight="1">
      <c r="A1655" s="701"/>
      <c r="B1655" s="702"/>
      <c r="C1655" s="341"/>
      <c r="D1655" s="463"/>
      <c r="E1655" s="455"/>
      <c r="F1655" s="463"/>
      <c r="G1655" s="455"/>
      <c r="H1655" s="455"/>
      <c r="I1655" s="463"/>
      <c r="J1655" s="463"/>
      <c r="K1655" s="455"/>
      <c r="L1655" s="463"/>
      <c r="M1655" s="455"/>
      <c r="N1655" s="455"/>
    </row>
    <row r="1656" ht="20.25" customHeight="1">
      <c r="A1656" s="696"/>
      <c r="B1656" s="697"/>
      <c r="C1656" s="342"/>
      <c r="D1656" s="475"/>
      <c r="E1656" s="699"/>
      <c r="F1656" s="475"/>
      <c r="G1656" s="699"/>
      <c r="H1656" s="699"/>
      <c r="I1656" s="463"/>
      <c r="J1656" s="475"/>
      <c r="K1656" s="699"/>
      <c r="L1656" s="475"/>
      <c r="M1656" s="699"/>
      <c r="N1656" s="699"/>
    </row>
    <row r="1657" ht="20.25" customHeight="1">
      <c r="A1657" s="701"/>
      <c r="B1657" s="702"/>
      <c r="C1657" s="341"/>
      <c r="D1657" s="463"/>
      <c r="E1657" s="455"/>
      <c r="F1657" s="463"/>
      <c r="G1657" s="455"/>
      <c r="H1657" s="455"/>
      <c r="I1657" s="463"/>
      <c r="J1657" s="463"/>
      <c r="K1657" s="455"/>
      <c r="L1657" s="463"/>
      <c r="M1657" s="455"/>
      <c r="N1657" s="455"/>
    </row>
    <row r="1658" ht="20.25" customHeight="1">
      <c r="A1658" s="696"/>
      <c r="B1658" s="697"/>
      <c r="C1658" s="342"/>
      <c r="D1658" s="475"/>
      <c r="E1658" s="699"/>
      <c r="F1658" s="475"/>
      <c r="G1658" s="699"/>
      <c r="H1658" s="699"/>
      <c r="I1658" s="463"/>
      <c r="J1658" s="475"/>
      <c r="K1658" s="699"/>
      <c r="L1658" s="475"/>
      <c r="M1658" s="699"/>
      <c r="N1658" s="699"/>
    </row>
    <row r="1659" ht="20.25" customHeight="1">
      <c r="A1659" s="701"/>
      <c r="B1659" s="702"/>
      <c r="C1659" s="341"/>
      <c r="D1659" s="463"/>
      <c r="E1659" s="455"/>
      <c r="F1659" s="463"/>
      <c r="G1659" s="455"/>
      <c r="H1659" s="455"/>
      <c r="I1659" s="463"/>
      <c r="J1659" s="463"/>
      <c r="K1659" s="455"/>
      <c r="L1659" s="463"/>
      <c r="M1659" s="455"/>
      <c r="N1659" s="455"/>
    </row>
    <row r="1660" ht="20.25" customHeight="1">
      <c r="A1660" s="696"/>
      <c r="B1660" s="697"/>
      <c r="C1660" s="342"/>
      <c r="D1660" s="475"/>
      <c r="E1660" s="699"/>
      <c r="F1660" s="475"/>
      <c r="G1660" s="699"/>
      <c r="H1660" s="699"/>
      <c r="I1660" s="463"/>
      <c r="J1660" s="475"/>
      <c r="K1660" s="699"/>
      <c r="L1660" s="475"/>
      <c r="M1660" s="699"/>
      <c r="N1660" s="699"/>
    </row>
    <row r="1661" ht="20.25" customHeight="1">
      <c r="A1661" s="701"/>
      <c r="B1661" s="702"/>
      <c r="C1661" s="341"/>
      <c r="D1661" s="463"/>
      <c r="E1661" s="455"/>
      <c r="F1661" s="463"/>
      <c r="G1661" s="455"/>
      <c r="H1661" s="455"/>
      <c r="I1661" s="463"/>
      <c r="J1661" s="463"/>
      <c r="K1661" s="455"/>
      <c r="L1661" s="463"/>
      <c r="M1661" s="455"/>
      <c r="N1661" s="455"/>
    </row>
    <row r="1662" ht="20.25" customHeight="1">
      <c r="A1662" s="696"/>
      <c r="B1662" s="697"/>
      <c r="C1662" s="342"/>
      <c r="D1662" s="475"/>
      <c r="E1662" s="699"/>
      <c r="F1662" s="475"/>
      <c r="G1662" s="699"/>
      <c r="H1662" s="699"/>
      <c r="I1662" s="463"/>
      <c r="J1662" s="475"/>
      <c r="K1662" s="699"/>
      <c r="L1662" s="475"/>
      <c r="M1662" s="699"/>
      <c r="N1662" s="699"/>
    </row>
    <row r="1663" ht="20.25" customHeight="1">
      <c r="A1663" s="701"/>
      <c r="B1663" s="702"/>
      <c r="C1663" s="341"/>
      <c r="D1663" s="463"/>
      <c r="E1663" s="455"/>
      <c r="F1663" s="463"/>
      <c r="G1663" s="455"/>
      <c r="H1663" s="455"/>
      <c r="I1663" s="463"/>
      <c r="J1663" s="463"/>
      <c r="K1663" s="455"/>
      <c r="L1663" s="463"/>
      <c r="M1663" s="455"/>
      <c r="N1663" s="455"/>
    </row>
    <row r="1664" ht="20.25" customHeight="1">
      <c r="A1664" s="696"/>
      <c r="B1664" s="697"/>
      <c r="C1664" s="342"/>
      <c r="D1664" s="475"/>
      <c r="E1664" s="699"/>
      <c r="F1664" s="475"/>
      <c r="G1664" s="699"/>
      <c r="H1664" s="699"/>
      <c r="I1664" s="463"/>
      <c r="J1664" s="475"/>
      <c r="K1664" s="699"/>
      <c r="L1664" s="475"/>
      <c r="M1664" s="699"/>
      <c r="N1664" s="699"/>
    </row>
    <row r="1665" ht="20.25" customHeight="1">
      <c r="A1665" s="701"/>
      <c r="B1665" s="702"/>
      <c r="C1665" s="341"/>
      <c r="D1665" s="463"/>
      <c r="E1665" s="455"/>
      <c r="F1665" s="463"/>
      <c r="G1665" s="455"/>
      <c r="H1665" s="455"/>
      <c r="I1665" s="463"/>
      <c r="J1665" s="463"/>
      <c r="K1665" s="455"/>
      <c r="L1665" s="463"/>
      <c r="M1665" s="455"/>
      <c r="N1665" s="455"/>
    </row>
    <row r="1666" ht="20.25" customHeight="1">
      <c r="A1666" s="696"/>
      <c r="B1666" s="697"/>
      <c r="C1666" s="342"/>
      <c r="D1666" s="475"/>
      <c r="E1666" s="699"/>
      <c r="F1666" s="475"/>
      <c r="G1666" s="699"/>
      <c r="H1666" s="699"/>
      <c r="I1666" s="463"/>
      <c r="J1666" s="475"/>
      <c r="K1666" s="699"/>
      <c r="L1666" s="475"/>
      <c r="M1666" s="699"/>
      <c r="N1666" s="699"/>
    </row>
    <row r="1667" ht="20.25" customHeight="1">
      <c r="A1667" s="701"/>
      <c r="B1667" s="702"/>
      <c r="C1667" s="341"/>
      <c r="D1667" s="463"/>
      <c r="E1667" s="455"/>
      <c r="F1667" s="463"/>
      <c r="G1667" s="455"/>
      <c r="H1667" s="455"/>
      <c r="I1667" s="463"/>
      <c r="J1667" s="463"/>
      <c r="K1667" s="455"/>
      <c r="L1667" s="463"/>
      <c r="M1667" s="455"/>
      <c r="N1667" s="455"/>
    </row>
    <row r="1668" ht="20.25" customHeight="1">
      <c r="A1668" s="696"/>
      <c r="B1668" s="697"/>
      <c r="C1668" s="342"/>
      <c r="D1668" s="475"/>
      <c r="E1668" s="699"/>
      <c r="F1668" s="475"/>
      <c r="G1668" s="699"/>
      <c r="H1668" s="699"/>
      <c r="I1668" s="463"/>
      <c r="J1668" s="475"/>
      <c r="K1668" s="699"/>
      <c r="L1668" s="475"/>
      <c r="M1668" s="699"/>
      <c r="N1668" s="699"/>
    </row>
    <row r="1669" ht="20.25" customHeight="1">
      <c r="A1669" s="701"/>
      <c r="B1669" s="702"/>
      <c r="C1669" s="341"/>
      <c r="D1669" s="463"/>
      <c r="E1669" s="455"/>
      <c r="F1669" s="463"/>
      <c r="G1669" s="455"/>
      <c r="H1669" s="455"/>
      <c r="I1669" s="463"/>
      <c r="J1669" s="463"/>
      <c r="K1669" s="455"/>
      <c r="L1669" s="463"/>
      <c r="M1669" s="455"/>
      <c r="N1669" s="455"/>
    </row>
    <row r="1670" ht="20.25" customHeight="1">
      <c r="A1670" s="696"/>
      <c r="B1670" s="697"/>
      <c r="C1670" s="342"/>
      <c r="D1670" s="475"/>
      <c r="E1670" s="699"/>
      <c r="F1670" s="475"/>
      <c r="G1670" s="699"/>
      <c r="H1670" s="699"/>
      <c r="I1670" s="463"/>
      <c r="J1670" s="475"/>
      <c r="K1670" s="699"/>
      <c r="L1670" s="475"/>
      <c r="M1670" s="699"/>
      <c r="N1670" s="699"/>
    </row>
    <row r="1671" ht="20.25" customHeight="1">
      <c r="A1671" s="701"/>
      <c r="B1671" s="702"/>
      <c r="C1671" s="341"/>
      <c r="D1671" s="463"/>
      <c r="E1671" s="455"/>
      <c r="F1671" s="463"/>
      <c r="G1671" s="455"/>
      <c r="H1671" s="455"/>
      <c r="I1671" s="463"/>
      <c r="J1671" s="463"/>
      <c r="K1671" s="455"/>
      <c r="L1671" s="463"/>
      <c r="M1671" s="455"/>
      <c r="N1671" s="455"/>
    </row>
    <row r="1672" ht="20.25" customHeight="1">
      <c r="A1672" s="696"/>
      <c r="B1672" s="697"/>
      <c r="C1672" s="342"/>
      <c r="D1672" s="475"/>
      <c r="E1672" s="699"/>
      <c r="F1672" s="475"/>
      <c r="G1672" s="699"/>
      <c r="H1672" s="699"/>
      <c r="I1672" s="463"/>
      <c r="J1672" s="475"/>
      <c r="K1672" s="699"/>
      <c r="L1672" s="475"/>
      <c r="M1672" s="699"/>
      <c r="N1672" s="699"/>
    </row>
    <row r="1673" ht="20.25" customHeight="1">
      <c r="A1673" s="701"/>
      <c r="B1673" s="702"/>
      <c r="C1673" s="341"/>
      <c r="D1673" s="463"/>
      <c r="E1673" s="455"/>
      <c r="F1673" s="463"/>
      <c r="G1673" s="455"/>
      <c r="H1673" s="455"/>
      <c r="I1673" s="463"/>
      <c r="J1673" s="463"/>
      <c r="K1673" s="455"/>
      <c r="L1673" s="463"/>
      <c r="M1673" s="455"/>
      <c r="N1673" s="455"/>
    </row>
    <row r="1674" ht="20.25" customHeight="1">
      <c r="A1674" s="696"/>
      <c r="B1674" s="697"/>
      <c r="C1674" s="342"/>
      <c r="D1674" s="475"/>
      <c r="E1674" s="699"/>
      <c r="F1674" s="475"/>
      <c r="G1674" s="699"/>
      <c r="H1674" s="699"/>
      <c r="I1674" s="463"/>
      <c r="J1674" s="475"/>
      <c r="K1674" s="699"/>
      <c r="L1674" s="475"/>
      <c r="M1674" s="699"/>
      <c r="N1674" s="699"/>
    </row>
    <row r="1675" ht="20.25" customHeight="1">
      <c r="A1675" s="701"/>
      <c r="B1675" s="702"/>
      <c r="C1675" s="341"/>
      <c r="D1675" s="463"/>
      <c r="E1675" s="455"/>
      <c r="F1675" s="463"/>
      <c r="G1675" s="455"/>
      <c r="H1675" s="455"/>
      <c r="I1675" s="463"/>
      <c r="J1675" s="463"/>
      <c r="K1675" s="455"/>
      <c r="L1675" s="463"/>
      <c r="M1675" s="455"/>
      <c r="N1675" s="455"/>
    </row>
    <row r="1676" ht="20.25" customHeight="1">
      <c r="A1676" s="696"/>
      <c r="B1676" s="697"/>
      <c r="C1676" s="342"/>
      <c r="D1676" s="475"/>
      <c r="E1676" s="699"/>
      <c r="F1676" s="475"/>
      <c r="G1676" s="699"/>
      <c r="H1676" s="699"/>
      <c r="I1676" s="463"/>
      <c r="J1676" s="475"/>
      <c r="K1676" s="699"/>
      <c r="L1676" s="475"/>
      <c r="M1676" s="699"/>
      <c r="N1676" s="699"/>
    </row>
    <row r="1677" ht="20.25" customHeight="1">
      <c r="A1677" s="701"/>
      <c r="B1677" s="702"/>
      <c r="C1677" s="341"/>
      <c r="D1677" s="463"/>
      <c r="E1677" s="455"/>
      <c r="F1677" s="463"/>
      <c r="G1677" s="455"/>
      <c r="H1677" s="455"/>
      <c r="I1677" s="463"/>
      <c r="J1677" s="463"/>
      <c r="K1677" s="455"/>
      <c r="L1677" s="463"/>
      <c r="M1677" s="455"/>
      <c r="N1677" s="455"/>
    </row>
    <row r="1678" ht="20.25" customHeight="1">
      <c r="A1678" s="696"/>
      <c r="B1678" s="697"/>
      <c r="C1678" s="342"/>
      <c r="D1678" s="475"/>
      <c r="E1678" s="699"/>
      <c r="F1678" s="475"/>
      <c r="G1678" s="699"/>
      <c r="H1678" s="699"/>
      <c r="I1678" s="463"/>
      <c r="J1678" s="475"/>
      <c r="K1678" s="699"/>
      <c r="L1678" s="475"/>
      <c r="M1678" s="699"/>
      <c r="N1678" s="699"/>
    </row>
    <row r="1679" ht="20.25" customHeight="1">
      <c r="A1679" s="701"/>
      <c r="B1679" s="702"/>
      <c r="C1679" s="341"/>
      <c r="D1679" s="463"/>
      <c r="E1679" s="455"/>
      <c r="F1679" s="463"/>
      <c r="G1679" s="455"/>
      <c r="H1679" s="455"/>
      <c r="I1679" s="463"/>
      <c r="J1679" s="463"/>
      <c r="K1679" s="455"/>
      <c r="L1679" s="463"/>
      <c r="M1679" s="455"/>
      <c r="N1679" s="455"/>
    </row>
    <row r="1680" ht="20.25" customHeight="1">
      <c r="A1680" s="696"/>
      <c r="B1680" s="697"/>
      <c r="C1680" s="342"/>
      <c r="D1680" s="475"/>
      <c r="E1680" s="699"/>
      <c r="F1680" s="475"/>
      <c r="G1680" s="699"/>
      <c r="H1680" s="699"/>
      <c r="I1680" s="463"/>
      <c r="J1680" s="475"/>
      <c r="K1680" s="699"/>
      <c r="L1680" s="475"/>
      <c r="M1680" s="699"/>
      <c r="N1680" s="699"/>
    </row>
    <row r="1681" ht="20.25" customHeight="1">
      <c r="A1681" s="701"/>
      <c r="B1681" s="702"/>
      <c r="C1681" s="341"/>
      <c r="D1681" s="463"/>
      <c r="E1681" s="455"/>
      <c r="F1681" s="463"/>
      <c r="G1681" s="455"/>
      <c r="H1681" s="455"/>
      <c r="I1681" s="463"/>
      <c r="J1681" s="463"/>
      <c r="K1681" s="455"/>
      <c r="L1681" s="463"/>
      <c r="M1681" s="455"/>
      <c r="N1681" s="455"/>
    </row>
    <row r="1682" ht="20.25" customHeight="1">
      <c r="A1682" s="696"/>
      <c r="B1682" s="697"/>
      <c r="C1682" s="342"/>
      <c r="D1682" s="475"/>
      <c r="E1682" s="699"/>
      <c r="F1682" s="475"/>
      <c r="G1682" s="699"/>
      <c r="H1682" s="699"/>
      <c r="I1682" s="463"/>
      <c r="J1682" s="475"/>
      <c r="K1682" s="699"/>
      <c r="L1682" s="475"/>
      <c r="M1682" s="699"/>
      <c r="N1682" s="699"/>
    </row>
    <row r="1683" ht="20.25" customHeight="1">
      <c r="A1683" s="701"/>
      <c r="B1683" s="702"/>
      <c r="C1683" s="341"/>
      <c r="D1683" s="463"/>
      <c r="E1683" s="455"/>
      <c r="F1683" s="463"/>
      <c r="G1683" s="455"/>
      <c r="H1683" s="455"/>
      <c r="I1683" s="463"/>
      <c r="J1683" s="463"/>
      <c r="K1683" s="455"/>
      <c r="L1683" s="463"/>
      <c r="M1683" s="455"/>
      <c r="N1683" s="455"/>
    </row>
    <row r="1684" ht="20.25" customHeight="1">
      <c r="A1684" s="696"/>
      <c r="B1684" s="697"/>
      <c r="C1684" s="342"/>
      <c r="D1684" s="475"/>
      <c r="E1684" s="699"/>
      <c r="F1684" s="475"/>
      <c r="G1684" s="699"/>
      <c r="H1684" s="699"/>
      <c r="I1684" s="463"/>
      <c r="J1684" s="475"/>
      <c r="K1684" s="699"/>
      <c r="L1684" s="475"/>
      <c r="M1684" s="699"/>
      <c r="N1684" s="699"/>
    </row>
    <row r="1685" ht="20.25" customHeight="1">
      <c r="A1685" s="701"/>
      <c r="B1685" s="702"/>
      <c r="C1685" s="341"/>
      <c r="D1685" s="463"/>
      <c r="E1685" s="455"/>
      <c r="F1685" s="463"/>
      <c r="G1685" s="455"/>
      <c r="H1685" s="455"/>
      <c r="I1685" s="463"/>
      <c r="J1685" s="463"/>
      <c r="K1685" s="455"/>
      <c r="L1685" s="463"/>
      <c r="M1685" s="455"/>
      <c r="N1685" s="455"/>
    </row>
    <row r="1686" ht="20.25" customHeight="1">
      <c r="A1686" s="696"/>
      <c r="B1686" s="697"/>
      <c r="C1686" s="342"/>
      <c r="D1686" s="475"/>
      <c r="E1686" s="699"/>
      <c r="F1686" s="475"/>
      <c r="G1686" s="699"/>
      <c r="H1686" s="699"/>
      <c r="I1686" s="463"/>
      <c r="J1686" s="475"/>
      <c r="K1686" s="699"/>
      <c r="L1686" s="475"/>
      <c r="M1686" s="699"/>
      <c r="N1686" s="699"/>
    </row>
    <row r="1687" ht="20.25" customHeight="1">
      <c r="A1687" s="701"/>
      <c r="B1687" s="702"/>
      <c r="C1687" s="341"/>
      <c r="D1687" s="463"/>
      <c r="E1687" s="455"/>
      <c r="F1687" s="463"/>
      <c r="G1687" s="455"/>
      <c r="H1687" s="455"/>
      <c r="I1687" s="463"/>
      <c r="J1687" s="463"/>
      <c r="K1687" s="455"/>
      <c r="L1687" s="463"/>
      <c r="M1687" s="455"/>
      <c r="N1687" s="455"/>
    </row>
    <row r="1688" ht="20.25" customHeight="1">
      <c r="A1688" s="696"/>
      <c r="B1688" s="697"/>
      <c r="C1688" s="342"/>
      <c r="D1688" s="475"/>
      <c r="E1688" s="699"/>
      <c r="F1688" s="475"/>
      <c r="G1688" s="699"/>
      <c r="H1688" s="699"/>
      <c r="I1688" s="463"/>
      <c r="J1688" s="475"/>
      <c r="K1688" s="699"/>
      <c r="L1688" s="475"/>
      <c r="M1688" s="699"/>
      <c r="N1688" s="699"/>
    </row>
    <row r="1689" ht="20.25" customHeight="1">
      <c r="A1689" s="701"/>
      <c r="B1689" s="702"/>
      <c r="C1689" s="341"/>
      <c r="D1689" s="463"/>
      <c r="E1689" s="455"/>
      <c r="F1689" s="463"/>
      <c r="G1689" s="455"/>
      <c r="H1689" s="455"/>
      <c r="I1689" s="463"/>
      <c r="J1689" s="463"/>
      <c r="K1689" s="455"/>
      <c r="L1689" s="463"/>
      <c r="M1689" s="455"/>
      <c r="N1689" s="455"/>
    </row>
    <row r="1690" ht="20.25" customHeight="1">
      <c r="A1690" s="696"/>
      <c r="B1690" s="697"/>
      <c r="C1690" s="342"/>
      <c r="D1690" s="475"/>
      <c r="E1690" s="699"/>
      <c r="F1690" s="475"/>
      <c r="G1690" s="699"/>
      <c r="H1690" s="699"/>
      <c r="I1690" s="463"/>
      <c r="J1690" s="475"/>
      <c r="K1690" s="699"/>
      <c r="L1690" s="475"/>
      <c r="M1690" s="699"/>
      <c r="N1690" s="699"/>
    </row>
    <row r="1691" ht="20.25" customHeight="1">
      <c r="A1691" s="701"/>
      <c r="B1691" s="702"/>
      <c r="C1691" s="341"/>
      <c r="D1691" s="463"/>
      <c r="E1691" s="455"/>
      <c r="F1691" s="463"/>
      <c r="G1691" s="455"/>
      <c r="H1691" s="455"/>
      <c r="I1691" s="463"/>
      <c r="J1691" s="463"/>
      <c r="K1691" s="455"/>
      <c r="L1691" s="463"/>
      <c r="M1691" s="455"/>
      <c r="N1691" s="455"/>
    </row>
    <row r="1692" ht="20.25" customHeight="1">
      <c r="A1692" s="696"/>
      <c r="B1692" s="697"/>
      <c r="C1692" s="342"/>
      <c r="D1692" s="475"/>
      <c r="E1692" s="699"/>
      <c r="F1692" s="475"/>
      <c r="G1692" s="699"/>
      <c r="H1692" s="699"/>
      <c r="I1692" s="463"/>
      <c r="J1692" s="475"/>
      <c r="K1692" s="699"/>
      <c r="L1692" s="475"/>
      <c r="M1692" s="699"/>
      <c r="N1692" s="699"/>
    </row>
    <row r="1693" ht="20.25" customHeight="1">
      <c r="A1693" s="701"/>
      <c r="B1693" s="702"/>
      <c r="C1693" s="341"/>
      <c r="D1693" s="463"/>
      <c r="E1693" s="455"/>
      <c r="F1693" s="463"/>
      <c r="G1693" s="455"/>
      <c r="H1693" s="455"/>
      <c r="I1693" s="463"/>
      <c r="J1693" s="463"/>
      <c r="K1693" s="455"/>
      <c r="L1693" s="463"/>
      <c r="M1693" s="455"/>
      <c r="N1693" s="455"/>
    </row>
    <row r="1694" ht="20.25" customHeight="1">
      <c r="A1694" s="696"/>
      <c r="B1694" s="697"/>
      <c r="C1694" s="342"/>
      <c r="D1694" s="475"/>
      <c r="E1694" s="699"/>
      <c r="F1694" s="475"/>
      <c r="G1694" s="699"/>
      <c r="H1694" s="699"/>
      <c r="I1694" s="463"/>
      <c r="J1694" s="475"/>
      <c r="K1694" s="699"/>
      <c r="L1694" s="475"/>
      <c r="M1694" s="699"/>
      <c r="N1694" s="699"/>
    </row>
    <row r="1695" ht="20.25" customHeight="1">
      <c r="A1695" s="701"/>
      <c r="B1695" s="702"/>
      <c r="C1695" s="341"/>
      <c r="D1695" s="463"/>
      <c r="E1695" s="455"/>
      <c r="F1695" s="463"/>
      <c r="G1695" s="455"/>
      <c r="H1695" s="455"/>
      <c r="I1695" s="463"/>
      <c r="J1695" s="463"/>
      <c r="K1695" s="455"/>
      <c r="L1695" s="463"/>
      <c r="M1695" s="455"/>
      <c r="N1695" s="455"/>
    </row>
    <row r="1696" ht="20.25" customHeight="1">
      <c r="A1696" s="696"/>
      <c r="B1696" s="697"/>
      <c r="C1696" s="342"/>
      <c r="D1696" s="475"/>
      <c r="E1696" s="699"/>
      <c r="F1696" s="475"/>
      <c r="G1696" s="699"/>
      <c r="H1696" s="699"/>
      <c r="I1696" s="463"/>
      <c r="J1696" s="475"/>
      <c r="K1696" s="699"/>
      <c r="L1696" s="475"/>
      <c r="M1696" s="699"/>
      <c r="N1696" s="699"/>
    </row>
    <row r="1697" ht="20.25" customHeight="1">
      <c r="A1697" s="701"/>
      <c r="B1697" s="702"/>
      <c r="C1697" s="341"/>
      <c r="D1697" s="463"/>
      <c r="E1697" s="455"/>
      <c r="F1697" s="463"/>
      <c r="G1697" s="455"/>
      <c r="H1697" s="455"/>
      <c r="I1697" s="463"/>
      <c r="J1697" s="463"/>
      <c r="K1697" s="455"/>
      <c r="L1697" s="463"/>
      <c r="M1697" s="455"/>
      <c r="N1697" s="455"/>
    </row>
    <row r="1698" ht="20.25" customHeight="1">
      <c r="A1698" s="696"/>
      <c r="B1698" s="697"/>
      <c r="C1698" s="342"/>
      <c r="D1698" s="475"/>
      <c r="E1698" s="699"/>
      <c r="F1698" s="475"/>
      <c r="G1698" s="699"/>
      <c r="H1698" s="699"/>
      <c r="I1698" s="463"/>
      <c r="J1698" s="475"/>
      <c r="K1698" s="699"/>
      <c r="L1698" s="475"/>
      <c r="M1698" s="699"/>
      <c r="N1698" s="699"/>
    </row>
    <row r="1699" ht="20.25" customHeight="1">
      <c r="A1699" s="701"/>
      <c r="B1699" s="702"/>
      <c r="C1699" s="341"/>
      <c r="D1699" s="463"/>
      <c r="E1699" s="455"/>
      <c r="F1699" s="463"/>
      <c r="G1699" s="455"/>
      <c r="H1699" s="455"/>
      <c r="I1699" s="463"/>
      <c r="J1699" s="463"/>
      <c r="K1699" s="455"/>
      <c r="L1699" s="463"/>
      <c r="M1699" s="455"/>
      <c r="N1699" s="455"/>
    </row>
    <row r="1700" ht="20.25" customHeight="1">
      <c r="A1700" s="696"/>
      <c r="B1700" s="697"/>
      <c r="C1700" s="342"/>
      <c r="D1700" s="475"/>
      <c r="E1700" s="699"/>
      <c r="F1700" s="475"/>
      <c r="G1700" s="699"/>
      <c r="H1700" s="699"/>
      <c r="I1700" s="463"/>
      <c r="J1700" s="475"/>
      <c r="K1700" s="699"/>
      <c r="L1700" s="475"/>
      <c r="M1700" s="699"/>
      <c r="N1700" s="699"/>
    </row>
    <row r="1701" ht="20.25" customHeight="1">
      <c r="A1701" s="701"/>
      <c r="B1701" s="702"/>
      <c r="C1701" s="341"/>
      <c r="D1701" s="463"/>
      <c r="E1701" s="455"/>
      <c r="F1701" s="463"/>
      <c r="G1701" s="455"/>
      <c r="H1701" s="455"/>
      <c r="I1701" s="463"/>
      <c r="J1701" s="463"/>
      <c r="K1701" s="455"/>
      <c r="L1701" s="463"/>
      <c r="M1701" s="455"/>
      <c r="N1701" s="455"/>
    </row>
    <row r="1702" ht="20.25" customHeight="1">
      <c r="A1702" s="696"/>
      <c r="B1702" s="697"/>
      <c r="C1702" s="342"/>
      <c r="D1702" s="475"/>
      <c r="E1702" s="699"/>
      <c r="F1702" s="475"/>
      <c r="G1702" s="699"/>
      <c r="H1702" s="699"/>
      <c r="I1702" s="463"/>
      <c r="J1702" s="475"/>
      <c r="K1702" s="699"/>
      <c r="L1702" s="475"/>
      <c r="M1702" s="699"/>
      <c r="N1702" s="699"/>
    </row>
    <row r="1703" ht="20.25" customHeight="1">
      <c r="A1703" s="701"/>
      <c r="B1703" s="702"/>
      <c r="C1703" s="341"/>
      <c r="D1703" s="463"/>
      <c r="E1703" s="455"/>
      <c r="F1703" s="463"/>
      <c r="G1703" s="455"/>
      <c r="H1703" s="455"/>
      <c r="I1703" s="463"/>
      <c r="J1703" s="463"/>
      <c r="K1703" s="455"/>
      <c r="L1703" s="463"/>
      <c r="M1703" s="455"/>
      <c r="N1703" s="455"/>
    </row>
    <row r="1704" ht="20.25" customHeight="1">
      <c r="A1704" s="696"/>
      <c r="B1704" s="697"/>
      <c r="C1704" s="342"/>
      <c r="D1704" s="475"/>
      <c r="E1704" s="699"/>
      <c r="F1704" s="475"/>
      <c r="G1704" s="699"/>
      <c r="H1704" s="699"/>
      <c r="I1704" s="463"/>
      <c r="J1704" s="475"/>
      <c r="K1704" s="699"/>
      <c r="L1704" s="475"/>
      <c r="M1704" s="699"/>
      <c r="N1704" s="699"/>
    </row>
    <row r="1705" ht="20.25" customHeight="1">
      <c r="A1705" s="701"/>
      <c r="B1705" s="702"/>
      <c r="C1705" s="341"/>
      <c r="D1705" s="463"/>
      <c r="E1705" s="455"/>
      <c r="F1705" s="463"/>
      <c r="G1705" s="455"/>
      <c r="H1705" s="455"/>
      <c r="I1705" s="463"/>
      <c r="J1705" s="463"/>
      <c r="K1705" s="455"/>
      <c r="L1705" s="463"/>
      <c r="M1705" s="455"/>
      <c r="N1705" s="455"/>
    </row>
    <row r="1706" ht="20.25" customHeight="1">
      <c r="A1706" s="696"/>
      <c r="B1706" s="697"/>
      <c r="C1706" s="342"/>
      <c r="D1706" s="475"/>
      <c r="E1706" s="699"/>
      <c r="F1706" s="475"/>
      <c r="G1706" s="699"/>
      <c r="H1706" s="699"/>
      <c r="I1706" s="463"/>
      <c r="J1706" s="475"/>
      <c r="K1706" s="699"/>
      <c r="L1706" s="475"/>
      <c r="M1706" s="699"/>
      <c r="N1706" s="699"/>
    </row>
    <row r="1707" ht="20.25" customHeight="1">
      <c r="A1707" s="701"/>
      <c r="B1707" s="702"/>
      <c r="C1707" s="341"/>
      <c r="D1707" s="463"/>
      <c r="E1707" s="455"/>
      <c r="F1707" s="463"/>
      <c r="G1707" s="455"/>
      <c r="H1707" s="455"/>
      <c r="I1707" s="463"/>
      <c r="J1707" s="463"/>
      <c r="K1707" s="455"/>
      <c r="L1707" s="463"/>
      <c r="M1707" s="455"/>
      <c r="N1707" s="455"/>
    </row>
    <row r="1708" ht="20.25" customHeight="1">
      <c r="A1708" s="696"/>
      <c r="B1708" s="697"/>
      <c r="C1708" s="342"/>
      <c r="D1708" s="475"/>
      <c r="E1708" s="699"/>
      <c r="F1708" s="475"/>
      <c r="G1708" s="699"/>
      <c r="H1708" s="699"/>
      <c r="I1708" s="463"/>
      <c r="J1708" s="475"/>
      <c r="K1708" s="699"/>
      <c r="L1708" s="475"/>
      <c r="M1708" s="699"/>
      <c r="N1708" s="699"/>
    </row>
    <row r="1709" ht="20.25" customHeight="1">
      <c r="A1709" s="701"/>
      <c r="B1709" s="702"/>
      <c r="C1709" s="341"/>
      <c r="D1709" s="463"/>
      <c r="E1709" s="455"/>
      <c r="F1709" s="463"/>
      <c r="G1709" s="455"/>
      <c r="H1709" s="455"/>
      <c r="I1709" s="463"/>
      <c r="J1709" s="463"/>
      <c r="K1709" s="455"/>
      <c r="L1709" s="463"/>
      <c r="M1709" s="455"/>
      <c r="N1709" s="455"/>
    </row>
    <row r="1710" ht="20.25" customHeight="1">
      <c r="A1710" s="696"/>
      <c r="B1710" s="697"/>
      <c r="C1710" s="342"/>
      <c r="D1710" s="475"/>
      <c r="E1710" s="699"/>
      <c r="F1710" s="475"/>
      <c r="G1710" s="699"/>
      <c r="H1710" s="699"/>
      <c r="I1710" s="463"/>
      <c r="J1710" s="475"/>
      <c r="K1710" s="699"/>
      <c r="L1710" s="475"/>
      <c r="M1710" s="699"/>
      <c r="N1710" s="699"/>
    </row>
    <row r="1711" ht="20.25" customHeight="1">
      <c r="A1711" s="701"/>
      <c r="B1711" s="702"/>
      <c r="C1711" s="341"/>
      <c r="D1711" s="463"/>
      <c r="E1711" s="455"/>
      <c r="F1711" s="463"/>
      <c r="G1711" s="455"/>
      <c r="H1711" s="455"/>
      <c r="I1711" s="463"/>
      <c r="J1711" s="463"/>
      <c r="K1711" s="455"/>
      <c r="L1711" s="463"/>
      <c r="M1711" s="455"/>
      <c r="N1711" s="455"/>
    </row>
    <row r="1712" ht="20.25" customHeight="1">
      <c r="A1712" s="696"/>
      <c r="B1712" s="697"/>
      <c r="C1712" s="342"/>
      <c r="D1712" s="475"/>
      <c r="E1712" s="699"/>
      <c r="F1712" s="475"/>
      <c r="G1712" s="699"/>
      <c r="H1712" s="699"/>
      <c r="I1712" s="463"/>
      <c r="J1712" s="475"/>
      <c r="K1712" s="699"/>
      <c r="L1712" s="475"/>
      <c r="M1712" s="699"/>
      <c r="N1712" s="699"/>
    </row>
    <row r="1713" ht="20.25" customHeight="1">
      <c r="A1713" s="701"/>
      <c r="B1713" s="702"/>
      <c r="C1713" s="341"/>
      <c r="D1713" s="463"/>
      <c r="E1713" s="455"/>
      <c r="F1713" s="463"/>
      <c r="G1713" s="455"/>
      <c r="H1713" s="455"/>
      <c r="I1713" s="463"/>
      <c r="J1713" s="463"/>
      <c r="K1713" s="455"/>
      <c r="L1713" s="463"/>
      <c r="M1713" s="455"/>
      <c r="N1713" s="455"/>
    </row>
    <row r="1714" ht="20.25" customHeight="1">
      <c r="A1714" s="696"/>
      <c r="B1714" s="697"/>
      <c r="C1714" s="342"/>
      <c r="D1714" s="475"/>
      <c r="E1714" s="699"/>
      <c r="F1714" s="475"/>
      <c r="G1714" s="699"/>
      <c r="H1714" s="699"/>
      <c r="I1714" s="463"/>
      <c r="J1714" s="475"/>
      <c r="K1714" s="699"/>
      <c r="L1714" s="475"/>
      <c r="M1714" s="699"/>
      <c r="N1714" s="699"/>
    </row>
    <row r="1715" ht="20.25" customHeight="1">
      <c r="A1715" s="701"/>
      <c r="B1715" s="702"/>
      <c r="C1715" s="341"/>
      <c r="D1715" s="463"/>
      <c r="E1715" s="455"/>
      <c r="F1715" s="463"/>
      <c r="G1715" s="455"/>
      <c r="H1715" s="455"/>
      <c r="I1715" s="463"/>
      <c r="J1715" s="463"/>
      <c r="K1715" s="455"/>
      <c r="L1715" s="463"/>
      <c r="M1715" s="455"/>
      <c r="N1715" s="455"/>
    </row>
    <row r="1716" ht="20.25" customHeight="1">
      <c r="A1716" s="696"/>
      <c r="B1716" s="697"/>
      <c r="C1716" s="342"/>
      <c r="D1716" s="475"/>
      <c r="E1716" s="699"/>
      <c r="F1716" s="475"/>
      <c r="G1716" s="699"/>
      <c r="H1716" s="699"/>
      <c r="I1716" s="463"/>
      <c r="J1716" s="475"/>
      <c r="K1716" s="699"/>
      <c r="L1716" s="475"/>
      <c r="M1716" s="699"/>
      <c r="N1716" s="699"/>
    </row>
    <row r="1717" ht="20.25" customHeight="1">
      <c r="A1717" s="701"/>
      <c r="B1717" s="702"/>
      <c r="C1717" s="341"/>
      <c r="D1717" s="463"/>
      <c r="E1717" s="455"/>
      <c r="F1717" s="463"/>
      <c r="G1717" s="455"/>
      <c r="H1717" s="455"/>
      <c r="I1717" s="463"/>
      <c r="J1717" s="463"/>
      <c r="K1717" s="455"/>
      <c r="L1717" s="463"/>
      <c r="M1717" s="455"/>
      <c r="N1717" s="455"/>
    </row>
    <row r="1718" ht="20.25" customHeight="1">
      <c r="A1718" s="696"/>
      <c r="B1718" s="697"/>
      <c r="C1718" s="342"/>
      <c r="D1718" s="475"/>
      <c r="E1718" s="699"/>
      <c r="F1718" s="475"/>
      <c r="G1718" s="699"/>
      <c r="H1718" s="699"/>
      <c r="I1718" s="463"/>
      <c r="J1718" s="475"/>
      <c r="K1718" s="699"/>
      <c r="L1718" s="475"/>
      <c r="M1718" s="699"/>
      <c r="N1718" s="699"/>
    </row>
    <row r="1719" ht="20.25" customHeight="1">
      <c r="A1719" s="701"/>
      <c r="B1719" s="702"/>
      <c r="C1719" s="341"/>
      <c r="D1719" s="463"/>
      <c r="E1719" s="455"/>
      <c r="F1719" s="463"/>
      <c r="G1719" s="455"/>
      <c r="H1719" s="455"/>
      <c r="I1719" s="463"/>
      <c r="J1719" s="463"/>
      <c r="K1719" s="455"/>
      <c r="L1719" s="463"/>
      <c r="M1719" s="455"/>
      <c r="N1719" s="455"/>
    </row>
    <row r="1720" ht="20.25" customHeight="1">
      <c r="A1720" s="696"/>
      <c r="B1720" s="697"/>
      <c r="C1720" s="342"/>
      <c r="D1720" s="475"/>
      <c r="E1720" s="699"/>
      <c r="F1720" s="475"/>
      <c r="G1720" s="699"/>
      <c r="H1720" s="699"/>
      <c r="I1720" s="463"/>
      <c r="J1720" s="475"/>
      <c r="K1720" s="699"/>
      <c r="L1720" s="475"/>
      <c r="M1720" s="699"/>
      <c r="N1720" s="699"/>
    </row>
    <row r="1721" ht="20.25" customHeight="1">
      <c r="A1721" s="701"/>
      <c r="B1721" s="702"/>
      <c r="C1721" s="341"/>
      <c r="D1721" s="463"/>
      <c r="E1721" s="455"/>
      <c r="F1721" s="463"/>
      <c r="G1721" s="455"/>
      <c r="H1721" s="455"/>
      <c r="I1721" s="463"/>
      <c r="J1721" s="463"/>
      <c r="K1721" s="455"/>
      <c r="L1721" s="463"/>
      <c r="M1721" s="455"/>
      <c r="N1721" s="455"/>
    </row>
    <row r="1722" ht="20.25" customHeight="1">
      <c r="A1722" s="696"/>
      <c r="B1722" s="697"/>
      <c r="C1722" s="342"/>
      <c r="D1722" s="475"/>
      <c r="E1722" s="699"/>
      <c r="F1722" s="475"/>
      <c r="G1722" s="699"/>
      <c r="H1722" s="699"/>
      <c r="I1722" s="463"/>
      <c r="J1722" s="475"/>
      <c r="K1722" s="699"/>
      <c r="L1722" s="475"/>
      <c r="M1722" s="699"/>
      <c r="N1722" s="699"/>
    </row>
    <row r="1723" ht="20.25" customHeight="1">
      <c r="A1723" s="701"/>
      <c r="B1723" s="702"/>
      <c r="C1723" s="341"/>
      <c r="D1723" s="463"/>
      <c r="E1723" s="455"/>
      <c r="F1723" s="463"/>
      <c r="G1723" s="455"/>
      <c r="H1723" s="455"/>
      <c r="I1723" s="463"/>
      <c r="J1723" s="463"/>
      <c r="K1723" s="455"/>
      <c r="L1723" s="463"/>
      <c r="M1723" s="455"/>
      <c r="N1723" s="455"/>
    </row>
    <row r="1724" ht="20.25" customHeight="1">
      <c r="A1724" s="696"/>
      <c r="B1724" s="697"/>
      <c r="C1724" s="342"/>
      <c r="D1724" s="475"/>
      <c r="E1724" s="699"/>
      <c r="F1724" s="475"/>
      <c r="G1724" s="699"/>
      <c r="H1724" s="699"/>
      <c r="I1724" s="463"/>
      <c r="J1724" s="475"/>
      <c r="K1724" s="699"/>
      <c r="L1724" s="475"/>
      <c r="M1724" s="699"/>
      <c r="N1724" s="699"/>
    </row>
    <row r="1725" ht="20.25" customHeight="1">
      <c r="A1725" s="701"/>
      <c r="B1725" s="702"/>
      <c r="C1725" s="341"/>
      <c r="D1725" s="463"/>
      <c r="E1725" s="455"/>
      <c r="F1725" s="463"/>
      <c r="G1725" s="455"/>
      <c r="H1725" s="455"/>
      <c r="I1725" s="463"/>
      <c r="J1725" s="463"/>
      <c r="K1725" s="455"/>
      <c r="L1725" s="463"/>
      <c r="M1725" s="455"/>
      <c r="N1725" s="455"/>
    </row>
    <row r="1726" ht="20.25" customHeight="1">
      <c r="A1726" s="696"/>
      <c r="B1726" s="697"/>
      <c r="C1726" s="342"/>
      <c r="D1726" s="475"/>
      <c r="E1726" s="699"/>
      <c r="F1726" s="475"/>
      <c r="G1726" s="699"/>
      <c r="H1726" s="699"/>
      <c r="I1726" s="463"/>
      <c r="J1726" s="475"/>
      <c r="K1726" s="699"/>
      <c r="L1726" s="475"/>
      <c r="M1726" s="699"/>
      <c r="N1726" s="699"/>
    </row>
    <row r="1727" ht="20.25" customHeight="1">
      <c r="A1727" s="701"/>
      <c r="B1727" s="702"/>
      <c r="C1727" s="341"/>
      <c r="D1727" s="463"/>
      <c r="E1727" s="455"/>
      <c r="F1727" s="463"/>
      <c r="G1727" s="455"/>
      <c r="H1727" s="455"/>
      <c r="I1727" s="463"/>
      <c r="J1727" s="463"/>
      <c r="K1727" s="455"/>
      <c r="L1727" s="463"/>
      <c r="M1727" s="455"/>
      <c r="N1727" s="455"/>
    </row>
    <row r="1728" ht="20.25" customHeight="1">
      <c r="A1728" s="696"/>
      <c r="B1728" s="697"/>
      <c r="C1728" s="342"/>
      <c r="D1728" s="475"/>
      <c r="E1728" s="699"/>
      <c r="F1728" s="475"/>
      <c r="G1728" s="699"/>
      <c r="H1728" s="699"/>
      <c r="I1728" s="463"/>
      <c r="J1728" s="475"/>
      <c r="K1728" s="699"/>
      <c r="L1728" s="475"/>
      <c r="M1728" s="699"/>
      <c r="N1728" s="699"/>
    </row>
    <row r="1729" ht="20.25" customHeight="1">
      <c r="A1729" s="701"/>
      <c r="B1729" s="702"/>
      <c r="C1729" s="341"/>
      <c r="D1729" s="463"/>
      <c r="E1729" s="455"/>
      <c r="F1729" s="463"/>
      <c r="G1729" s="455"/>
      <c r="H1729" s="455"/>
      <c r="I1729" s="463"/>
      <c r="J1729" s="463"/>
      <c r="K1729" s="455"/>
      <c r="L1729" s="463"/>
      <c r="M1729" s="455"/>
      <c r="N1729" s="455"/>
    </row>
    <row r="1730" ht="20.25" customHeight="1">
      <c r="A1730" s="696"/>
      <c r="B1730" s="697"/>
      <c r="C1730" s="342"/>
      <c r="D1730" s="475"/>
      <c r="E1730" s="699"/>
      <c r="F1730" s="475"/>
      <c r="G1730" s="699"/>
      <c r="H1730" s="699"/>
      <c r="I1730" s="463"/>
      <c r="J1730" s="475"/>
      <c r="K1730" s="699"/>
      <c r="L1730" s="475"/>
      <c r="M1730" s="699"/>
      <c r="N1730" s="699"/>
    </row>
    <row r="1731" ht="20.25" customHeight="1">
      <c r="A1731" s="701"/>
      <c r="B1731" s="702"/>
      <c r="C1731" s="341"/>
      <c r="D1731" s="463"/>
      <c r="E1731" s="455"/>
      <c r="F1731" s="463"/>
      <c r="G1731" s="455"/>
      <c r="H1731" s="455"/>
      <c r="I1731" s="463"/>
      <c r="J1731" s="463"/>
      <c r="K1731" s="455"/>
      <c r="L1731" s="463"/>
      <c r="M1731" s="455"/>
      <c r="N1731" s="455"/>
    </row>
    <row r="1732" ht="20.25" customHeight="1">
      <c r="A1732" s="696"/>
      <c r="B1732" s="697"/>
      <c r="C1732" s="342"/>
      <c r="D1732" s="475"/>
      <c r="E1732" s="699"/>
      <c r="F1732" s="475"/>
      <c r="G1732" s="699"/>
      <c r="H1732" s="699"/>
      <c r="I1732" s="463"/>
      <c r="J1732" s="475"/>
      <c r="K1732" s="699"/>
      <c r="L1732" s="475"/>
      <c r="M1732" s="699"/>
      <c r="N1732" s="699"/>
    </row>
    <row r="1733" ht="20.25" customHeight="1">
      <c r="A1733" s="701"/>
      <c r="B1733" s="702"/>
      <c r="C1733" s="341"/>
      <c r="D1733" s="463"/>
      <c r="E1733" s="455"/>
      <c r="F1733" s="463"/>
      <c r="G1733" s="455"/>
      <c r="H1733" s="455"/>
      <c r="I1733" s="463"/>
      <c r="J1733" s="463"/>
      <c r="K1733" s="455"/>
      <c r="L1733" s="463"/>
      <c r="M1733" s="455"/>
      <c r="N1733" s="455"/>
    </row>
    <row r="1734" ht="20.25" customHeight="1">
      <c r="A1734" s="696"/>
      <c r="B1734" s="697"/>
      <c r="C1734" s="342"/>
      <c r="D1734" s="475"/>
      <c r="E1734" s="699"/>
      <c r="F1734" s="475"/>
      <c r="G1734" s="699"/>
      <c r="H1734" s="699"/>
      <c r="I1734" s="463"/>
      <c r="J1734" s="475"/>
      <c r="K1734" s="699"/>
      <c r="L1734" s="475"/>
      <c r="M1734" s="699"/>
      <c r="N1734" s="699"/>
    </row>
    <row r="1735" ht="20.25" customHeight="1">
      <c r="A1735" s="701"/>
      <c r="B1735" s="702"/>
      <c r="C1735" s="341"/>
      <c r="D1735" s="463"/>
      <c r="E1735" s="455"/>
      <c r="F1735" s="463"/>
      <c r="G1735" s="455"/>
      <c r="H1735" s="455"/>
      <c r="I1735" s="463"/>
      <c r="J1735" s="463"/>
      <c r="K1735" s="455"/>
      <c r="L1735" s="463"/>
      <c r="M1735" s="455"/>
      <c r="N1735" s="455"/>
    </row>
    <row r="1736" ht="20.25" customHeight="1">
      <c r="A1736" s="696"/>
      <c r="B1736" s="697"/>
      <c r="C1736" s="342"/>
      <c r="D1736" s="475"/>
      <c r="E1736" s="699"/>
      <c r="F1736" s="475"/>
      <c r="G1736" s="699"/>
      <c r="H1736" s="699"/>
      <c r="I1736" s="463"/>
      <c r="J1736" s="475"/>
      <c r="K1736" s="699"/>
      <c r="L1736" s="475"/>
      <c r="M1736" s="699"/>
      <c r="N1736" s="699"/>
    </row>
    <row r="1737" ht="20.25" customHeight="1">
      <c r="A1737" s="701"/>
      <c r="B1737" s="702"/>
      <c r="C1737" s="341"/>
      <c r="D1737" s="463"/>
      <c r="E1737" s="455"/>
      <c r="F1737" s="463"/>
      <c r="G1737" s="455"/>
      <c r="H1737" s="455"/>
      <c r="I1737" s="463"/>
      <c r="J1737" s="463"/>
      <c r="K1737" s="455"/>
      <c r="L1737" s="463"/>
      <c r="M1737" s="455"/>
      <c r="N1737" s="455"/>
    </row>
    <row r="1738" ht="20.25" customHeight="1">
      <c r="A1738" s="696"/>
      <c r="B1738" s="697"/>
      <c r="C1738" s="342"/>
      <c r="D1738" s="475"/>
      <c r="E1738" s="699"/>
      <c r="F1738" s="475"/>
      <c r="G1738" s="699"/>
      <c r="H1738" s="699"/>
      <c r="I1738" s="463"/>
      <c r="J1738" s="475"/>
      <c r="K1738" s="699"/>
      <c r="L1738" s="475"/>
      <c r="M1738" s="699"/>
      <c r="N1738" s="699"/>
    </row>
    <row r="1739" ht="20.25" customHeight="1">
      <c r="A1739" s="701"/>
      <c r="B1739" s="702"/>
      <c r="C1739" s="341"/>
      <c r="D1739" s="463"/>
      <c r="E1739" s="455"/>
      <c r="F1739" s="463"/>
      <c r="G1739" s="455"/>
      <c r="H1739" s="455"/>
      <c r="I1739" s="463"/>
      <c r="J1739" s="463"/>
      <c r="K1739" s="455"/>
      <c r="L1739" s="463"/>
      <c r="M1739" s="455"/>
      <c r="N1739" s="455"/>
    </row>
    <row r="1740" ht="20.25" customHeight="1">
      <c r="A1740" s="696"/>
      <c r="B1740" s="697"/>
      <c r="C1740" s="342"/>
      <c r="D1740" s="475"/>
      <c r="E1740" s="699"/>
      <c r="F1740" s="475"/>
      <c r="G1740" s="699"/>
      <c r="H1740" s="699"/>
      <c r="I1740" s="463"/>
      <c r="J1740" s="475"/>
      <c r="K1740" s="699"/>
      <c r="L1740" s="475"/>
      <c r="M1740" s="699"/>
      <c r="N1740" s="699"/>
    </row>
    <row r="1741" ht="20.25" customHeight="1">
      <c r="A1741" s="701"/>
      <c r="B1741" s="702"/>
      <c r="C1741" s="341"/>
      <c r="D1741" s="463"/>
      <c r="E1741" s="455"/>
      <c r="F1741" s="463"/>
      <c r="G1741" s="455"/>
      <c r="H1741" s="455"/>
      <c r="I1741" s="463"/>
      <c r="J1741" s="463"/>
      <c r="K1741" s="455"/>
      <c r="L1741" s="463"/>
      <c r="M1741" s="455"/>
      <c r="N1741" s="455"/>
    </row>
    <row r="1742" ht="20.25" customHeight="1">
      <c r="A1742" s="696"/>
      <c r="B1742" s="697"/>
      <c r="C1742" s="342"/>
      <c r="D1742" s="475"/>
      <c r="E1742" s="699"/>
      <c r="F1742" s="475"/>
      <c r="G1742" s="699"/>
      <c r="H1742" s="699"/>
      <c r="I1742" s="463"/>
      <c r="J1742" s="475"/>
      <c r="K1742" s="699"/>
      <c r="L1742" s="475"/>
      <c r="M1742" s="699"/>
      <c r="N1742" s="699"/>
    </row>
    <row r="1743" ht="20.25" customHeight="1">
      <c r="A1743" s="701"/>
      <c r="B1743" s="702"/>
      <c r="C1743" s="341"/>
      <c r="D1743" s="463"/>
      <c r="E1743" s="455"/>
      <c r="F1743" s="463"/>
      <c r="G1743" s="455"/>
      <c r="H1743" s="455"/>
      <c r="I1743" s="463"/>
      <c r="J1743" s="463"/>
      <c r="K1743" s="455"/>
      <c r="L1743" s="463"/>
      <c r="M1743" s="455"/>
      <c r="N1743" s="455"/>
    </row>
    <row r="1744" ht="20.25" customHeight="1">
      <c r="A1744" s="696"/>
      <c r="B1744" s="697"/>
      <c r="C1744" s="342"/>
      <c r="D1744" s="475"/>
      <c r="E1744" s="699"/>
      <c r="F1744" s="475"/>
      <c r="G1744" s="699"/>
      <c r="H1744" s="699"/>
      <c r="I1744" s="463"/>
      <c r="J1744" s="475"/>
      <c r="K1744" s="699"/>
      <c r="L1744" s="475"/>
      <c r="M1744" s="699"/>
      <c r="N1744" s="699"/>
    </row>
    <row r="1745" ht="20.25" customHeight="1">
      <c r="A1745" s="701"/>
      <c r="B1745" s="702"/>
      <c r="C1745" s="341"/>
      <c r="D1745" s="463"/>
      <c r="E1745" s="455"/>
      <c r="F1745" s="463"/>
      <c r="G1745" s="455"/>
      <c r="H1745" s="455"/>
      <c r="I1745" s="463"/>
      <c r="J1745" s="463"/>
      <c r="K1745" s="455"/>
      <c r="L1745" s="463"/>
      <c r="M1745" s="455"/>
      <c r="N1745" s="455"/>
    </row>
    <row r="1746" ht="20.25" customHeight="1">
      <c r="A1746" s="696"/>
      <c r="B1746" s="697"/>
      <c r="C1746" s="342"/>
      <c r="D1746" s="475"/>
      <c r="E1746" s="699"/>
      <c r="F1746" s="475"/>
      <c r="G1746" s="699"/>
      <c r="H1746" s="699"/>
      <c r="I1746" s="463"/>
      <c r="J1746" s="475"/>
      <c r="K1746" s="699"/>
      <c r="L1746" s="475"/>
      <c r="M1746" s="699"/>
      <c r="N1746" s="699"/>
    </row>
    <row r="1747" ht="20.25" customHeight="1">
      <c r="A1747" s="701"/>
      <c r="B1747" s="702"/>
      <c r="C1747" s="341"/>
      <c r="D1747" s="463"/>
      <c r="E1747" s="455"/>
      <c r="F1747" s="463"/>
      <c r="G1747" s="455"/>
      <c r="H1747" s="455"/>
      <c r="I1747" s="463"/>
      <c r="J1747" s="463"/>
      <c r="K1747" s="455"/>
      <c r="L1747" s="463"/>
      <c r="M1747" s="455"/>
      <c r="N1747" s="455"/>
    </row>
    <row r="1748" ht="20.25" customHeight="1">
      <c r="A1748" s="696"/>
      <c r="B1748" s="697"/>
      <c r="C1748" s="342"/>
      <c r="D1748" s="475"/>
      <c r="E1748" s="699"/>
      <c r="F1748" s="475"/>
      <c r="G1748" s="699"/>
      <c r="H1748" s="699"/>
      <c r="I1748" s="463"/>
      <c r="J1748" s="475"/>
      <c r="K1748" s="699"/>
      <c r="L1748" s="475"/>
      <c r="M1748" s="699"/>
      <c r="N1748" s="699"/>
    </row>
    <row r="1749" ht="20.25" customHeight="1">
      <c r="A1749" s="701"/>
      <c r="B1749" s="702"/>
      <c r="C1749" s="341"/>
      <c r="D1749" s="463"/>
      <c r="E1749" s="455"/>
      <c r="F1749" s="463"/>
      <c r="G1749" s="455"/>
      <c r="H1749" s="455"/>
      <c r="I1749" s="463"/>
      <c r="J1749" s="463"/>
      <c r="K1749" s="455"/>
      <c r="L1749" s="463"/>
      <c r="M1749" s="455"/>
      <c r="N1749" s="455"/>
    </row>
    <row r="1750" ht="20.25" customHeight="1">
      <c r="A1750" s="696"/>
      <c r="B1750" s="697"/>
      <c r="C1750" s="342"/>
      <c r="D1750" s="475"/>
      <c r="E1750" s="699"/>
      <c r="F1750" s="475"/>
      <c r="G1750" s="699"/>
      <c r="H1750" s="699"/>
      <c r="I1750" s="463"/>
      <c r="J1750" s="475"/>
      <c r="K1750" s="699"/>
      <c r="L1750" s="475"/>
      <c r="M1750" s="699"/>
      <c r="N1750" s="699"/>
    </row>
    <row r="1751" ht="20.25" customHeight="1">
      <c r="A1751" s="701"/>
      <c r="B1751" s="702"/>
      <c r="C1751" s="341"/>
      <c r="D1751" s="463"/>
      <c r="E1751" s="455"/>
      <c r="F1751" s="463"/>
      <c r="G1751" s="455"/>
      <c r="H1751" s="455"/>
      <c r="I1751" s="463"/>
      <c r="J1751" s="463"/>
      <c r="K1751" s="455"/>
      <c r="L1751" s="463"/>
      <c r="M1751" s="455"/>
      <c r="N1751" s="455"/>
    </row>
    <row r="1752" ht="20.25" customHeight="1">
      <c r="A1752" s="696"/>
      <c r="B1752" s="697"/>
      <c r="C1752" s="342"/>
      <c r="D1752" s="475"/>
      <c r="E1752" s="699"/>
      <c r="F1752" s="475"/>
      <c r="G1752" s="699"/>
      <c r="H1752" s="699"/>
      <c r="I1752" s="463"/>
      <c r="J1752" s="475"/>
      <c r="K1752" s="699"/>
      <c r="L1752" s="475"/>
      <c r="M1752" s="699"/>
      <c r="N1752" s="699"/>
    </row>
    <row r="1753" ht="20.25" customHeight="1">
      <c r="A1753" s="701"/>
      <c r="B1753" s="702"/>
      <c r="C1753" s="341"/>
      <c r="D1753" s="463"/>
      <c r="E1753" s="455"/>
      <c r="F1753" s="463"/>
      <c r="G1753" s="455"/>
      <c r="H1753" s="455"/>
      <c r="I1753" s="463"/>
      <c r="J1753" s="463"/>
      <c r="K1753" s="455"/>
      <c r="L1753" s="463"/>
      <c r="M1753" s="455"/>
      <c r="N1753" s="455"/>
    </row>
    <row r="1754" ht="20.25" customHeight="1">
      <c r="A1754" s="696"/>
      <c r="B1754" s="697"/>
      <c r="C1754" s="342"/>
      <c r="D1754" s="475"/>
      <c r="E1754" s="699"/>
      <c r="F1754" s="475"/>
      <c r="G1754" s="699"/>
      <c r="H1754" s="699"/>
      <c r="I1754" s="463"/>
      <c r="J1754" s="475"/>
      <c r="K1754" s="699"/>
      <c r="L1754" s="475"/>
      <c r="M1754" s="699"/>
      <c r="N1754" s="699"/>
    </row>
    <row r="1755" ht="20.25" customHeight="1">
      <c r="A1755" s="701"/>
      <c r="B1755" s="702"/>
      <c r="C1755" s="341"/>
      <c r="D1755" s="463"/>
      <c r="E1755" s="455"/>
      <c r="F1755" s="463"/>
      <c r="G1755" s="455"/>
      <c r="H1755" s="455"/>
      <c r="I1755" s="463"/>
      <c r="J1755" s="463"/>
      <c r="K1755" s="455"/>
      <c r="L1755" s="463"/>
      <c r="M1755" s="455"/>
      <c r="N1755" s="455"/>
    </row>
    <row r="1756" ht="20.25" customHeight="1">
      <c r="A1756" s="696"/>
      <c r="B1756" s="697"/>
      <c r="C1756" s="342"/>
      <c r="D1756" s="475"/>
      <c r="E1756" s="699"/>
      <c r="F1756" s="475"/>
      <c r="G1756" s="699"/>
      <c r="H1756" s="699"/>
      <c r="I1756" s="463"/>
      <c r="J1756" s="475"/>
      <c r="K1756" s="699"/>
      <c r="L1756" s="475"/>
      <c r="M1756" s="699"/>
      <c r="N1756" s="699"/>
    </row>
    <row r="1757" ht="20.25" customHeight="1">
      <c r="A1757" s="701"/>
      <c r="B1757" s="702"/>
      <c r="C1757" s="341"/>
      <c r="D1757" s="463"/>
      <c r="E1757" s="455"/>
      <c r="F1757" s="463"/>
      <c r="G1757" s="455"/>
      <c r="H1757" s="455"/>
      <c r="I1757" s="463"/>
      <c r="J1757" s="463"/>
      <c r="K1757" s="455"/>
      <c r="L1757" s="463"/>
      <c r="M1757" s="455"/>
      <c r="N1757" s="455"/>
    </row>
    <row r="1758" ht="20.25" customHeight="1">
      <c r="A1758" s="696"/>
      <c r="B1758" s="697"/>
      <c r="C1758" s="342"/>
      <c r="D1758" s="475"/>
      <c r="E1758" s="699"/>
      <c r="F1758" s="475"/>
      <c r="G1758" s="699"/>
      <c r="H1758" s="699"/>
      <c r="I1758" s="463"/>
      <c r="J1758" s="475"/>
      <c r="K1758" s="699"/>
      <c r="L1758" s="475"/>
      <c r="M1758" s="699"/>
      <c r="N1758" s="699"/>
    </row>
    <row r="1759" ht="20.25" customHeight="1">
      <c r="A1759" s="701"/>
      <c r="B1759" s="702"/>
      <c r="C1759" s="341"/>
      <c r="D1759" s="463"/>
      <c r="E1759" s="455"/>
      <c r="F1759" s="463"/>
      <c r="G1759" s="455"/>
      <c r="H1759" s="455"/>
      <c r="I1759" s="463"/>
      <c r="J1759" s="463"/>
      <c r="K1759" s="455"/>
      <c r="L1759" s="463"/>
      <c r="M1759" s="455"/>
      <c r="N1759" s="455"/>
    </row>
    <row r="1760" ht="20.25" customHeight="1">
      <c r="A1760" s="696"/>
      <c r="B1760" s="697"/>
      <c r="C1760" s="342"/>
      <c r="D1760" s="475"/>
      <c r="E1760" s="699"/>
      <c r="F1760" s="475"/>
      <c r="G1760" s="699"/>
      <c r="H1760" s="699"/>
      <c r="I1760" s="463"/>
      <c r="J1760" s="475"/>
      <c r="K1760" s="699"/>
      <c r="L1760" s="475"/>
      <c r="M1760" s="699"/>
      <c r="N1760" s="699"/>
    </row>
    <row r="1761" ht="20.25" customHeight="1">
      <c r="A1761" s="701"/>
      <c r="B1761" s="702"/>
      <c r="C1761" s="341"/>
      <c r="D1761" s="463"/>
      <c r="E1761" s="455"/>
      <c r="F1761" s="463"/>
      <c r="G1761" s="455"/>
      <c r="H1761" s="455"/>
      <c r="I1761" s="463"/>
      <c r="J1761" s="463"/>
      <c r="K1761" s="455"/>
      <c r="L1761" s="463"/>
      <c r="M1761" s="455"/>
      <c r="N1761" s="455"/>
    </row>
    <row r="1762" ht="20.25" customHeight="1">
      <c r="A1762" s="696"/>
      <c r="B1762" s="697"/>
      <c r="C1762" s="342"/>
      <c r="D1762" s="475"/>
      <c r="E1762" s="699"/>
      <c r="F1762" s="475"/>
      <c r="G1762" s="699"/>
      <c r="H1762" s="699"/>
      <c r="I1762" s="463"/>
      <c r="J1762" s="475"/>
      <c r="K1762" s="699"/>
      <c r="L1762" s="475"/>
      <c r="M1762" s="699"/>
      <c r="N1762" s="699"/>
    </row>
    <row r="1763" ht="20.25" customHeight="1">
      <c r="A1763" s="701"/>
      <c r="B1763" s="702"/>
      <c r="C1763" s="341"/>
      <c r="D1763" s="463"/>
      <c r="E1763" s="455"/>
      <c r="F1763" s="463"/>
      <c r="G1763" s="455"/>
      <c r="H1763" s="455"/>
      <c r="I1763" s="463"/>
      <c r="J1763" s="463"/>
      <c r="K1763" s="455"/>
      <c r="L1763" s="463"/>
      <c r="M1763" s="455"/>
      <c r="N1763" s="455"/>
    </row>
    <row r="1764" ht="20.25" customHeight="1">
      <c r="A1764" s="696"/>
      <c r="B1764" s="697"/>
      <c r="C1764" s="342"/>
      <c r="D1764" s="475"/>
      <c r="E1764" s="699"/>
      <c r="F1764" s="475"/>
      <c r="G1764" s="699"/>
      <c r="H1764" s="699"/>
      <c r="I1764" s="463"/>
      <c r="J1764" s="475"/>
      <c r="K1764" s="699"/>
      <c r="L1764" s="475"/>
      <c r="M1764" s="699"/>
      <c r="N1764" s="699"/>
    </row>
    <row r="1765" ht="20.25" customHeight="1">
      <c r="A1765" s="701"/>
      <c r="B1765" s="702"/>
      <c r="C1765" s="341"/>
      <c r="D1765" s="463"/>
      <c r="E1765" s="455"/>
      <c r="F1765" s="463"/>
      <c r="G1765" s="455"/>
      <c r="H1765" s="455"/>
      <c r="I1765" s="463"/>
      <c r="J1765" s="463"/>
      <c r="K1765" s="455"/>
      <c r="L1765" s="463"/>
      <c r="M1765" s="455"/>
      <c r="N1765" s="455"/>
    </row>
    <row r="1766" ht="20.25" customHeight="1">
      <c r="A1766" s="696"/>
      <c r="B1766" s="697"/>
      <c r="C1766" s="342"/>
      <c r="D1766" s="475"/>
      <c r="E1766" s="699"/>
      <c r="F1766" s="475"/>
      <c r="G1766" s="699"/>
      <c r="H1766" s="699"/>
      <c r="I1766" s="463"/>
      <c r="J1766" s="475"/>
      <c r="K1766" s="699"/>
      <c r="L1766" s="475"/>
      <c r="M1766" s="699"/>
      <c r="N1766" s="699"/>
    </row>
    <row r="1767" ht="20.25" customHeight="1">
      <c r="A1767" s="701"/>
      <c r="B1767" s="702"/>
      <c r="C1767" s="341"/>
      <c r="D1767" s="463"/>
      <c r="E1767" s="455"/>
      <c r="F1767" s="463"/>
      <c r="G1767" s="455"/>
      <c r="H1767" s="455"/>
      <c r="I1767" s="463"/>
      <c r="J1767" s="463"/>
      <c r="K1767" s="455"/>
      <c r="L1767" s="463"/>
      <c r="M1767" s="455"/>
      <c r="N1767" s="455"/>
    </row>
    <row r="1768" ht="20.25" customHeight="1">
      <c r="A1768" s="696"/>
      <c r="B1768" s="697"/>
      <c r="C1768" s="342"/>
      <c r="D1768" s="475"/>
      <c r="E1768" s="699"/>
      <c r="F1768" s="475"/>
      <c r="G1768" s="699"/>
      <c r="H1768" s="699"/>
      <c r="I1768" s="463"/>
      <c r="J1768" s="475"/>
      <c r="K1768" s="699"/>
      <c r="L1768" s="475"/>
      <c r="M1768" s="699"/>
      <c r="N1768" s="699"/>
    </row>
    <row r="1769" ht="20.25" customHeight="1">
      <c r="A1769" s="701"/>
      <c r="B1769" s="702"/>
      <c r="C1769" s="341"/>
      <c r="D1769" s="463"/>
      <c r="E1769" s="455"/>
      <c r="F1769" s="463"/>
      <c r="G1769" s="455"/>
      <c r="H1769" s="455"/>
      <c r="I1769" s="463"/>
      <c r="J1769" s="463"/>
      <c r="K1769" s="455"/>
      <c r="L1769" s="463"/>
      <c r="M1769" s="455"/>
      <c r="N1769" s="455"/>
    </row>
    <row r="1770" ht="20.25" customHeight="1">
      <c r="A1770" s="696"/>
      <c r="B1770" s="697"/>
      <c r="C1770" s="342"/>
      <c r="D1770" s="475"/>
      <c r="E1770" s="699"/>
      <c r="F1770" s="475"/>
      <c r="G1770" s="699"/>
      <c r="H1770" s="699"/>
      <c r="I1770" s="463"/>
      <c r="J1770" s="475"/>
      <c r="K1770" s="699"/>
      <c r="L1770" s="475"/>
      <c r="M1770" s="699"/>
      <c r="N1770" s="699"/>
    </row>
    <row r="1771" ht="20.25" customHeight="1">
      <c r="A1771" s="701"/>
      <c r="B1771" s="702"/>
      <c r="C1771" s="341"/>
      <c r="D1771" s="463"/>
      <c r="E1771" s="455"/>
      <c r="F1771" s="463"/>
      <c r="G1771" s="455"/>
      <c r="H1771" s="455"/>
      <c r="I1771" s="463"/>
      <c r="J1771" s="463"/>
      <c r="K1771" s="455"/>
      <c r="L1771" s="463"/>
      <c r="M1771" s="455"/>
      <c r="N1771" s="455"/>
    </row>
    <row r="1772" ht="20.25" customHeight="1">
      <c r="A1772" s="696"/>
      <c r="B1772" s="697"/>
      <c r="C1772" s="342"/>
      <c r="D1772" s="475"/>
      <c r="E1772" s="699"/>
      <c r="F1772" s="475"/>
      <c r="G1772" s="699"/>
      <c r="H1772" s="699"/>
      <c r="I1772" s="463"/>
      <c r="J1772" s="475"/>
      <c r="K1772" s="699"/>
      <c r="L1772" s="475"/>
      <c r="M1772" s="699"/>
      <c r="N1772" s="699"/>
    </row>
    <row r="1773" ht="20.25" customHeight="1">
      <c r="A1773" s="701"/>
      <c r="B1773" s="702"/>
      <c r="C1773" s="341"/>
      <c r="D1773" s="463"/>
      <c r="E1773" s="455"/>
      <c r="F1773" s="463"/>
      <c r="G1773" s="455"/>
      <c r="H1773" s="455"/>
      <c r="I1773" s="463"/>
      <c r="J1773" s="463"/>
      <c r="K1773" s="455"/>
      <c r="L1773" s="463"/>
      <c r="M1773" s="455"/>
      <c r="N1773" s="455"/>
    </row>
    <row r="1774" ht="20.25" customHeight="1">
      <c r="A1774" s="696"/>
      <c r="B1774" s="697"/>
      <c r="C1774" s="342"/>
      <c r="D1774" s="475"/>
      <c r="E1774" s="699"/>
      <c r="F1774" s="475"/>
      <c r="G1774" s="699"/>
      <c r="H1774" s="699"/>
      <c r="I1774" s="463"/>
      <c r="J1774" s="475"/>
      <c r="K1774" s="699"/>
      <c r="L1774" s="475"/>
      <c r="M1774" s="699"/>
      <c r="N1774" s="699"/>
    </row>
    <row r="1775" ht="20.25" customHeight="1">
      <c r="A1775" s="701"/>
      <c r="B1775" s="702"/>
      <c r="C1775" s="341"/>
      <c r="D1775" s="463"/>
      <c r="E1775" s="455"/>
      <c r="F1775" s="463"/>
      <c r="G1775" s="455"/>
      <c r="H1775" s="455"/>
      <c r="I1775" s="463"/>
      <c r="J1775" s="463"/>
      <c r="K1775" s="455"/>
      <c r="L1775" s="463"/>
      <c r="M1775" s="455"/>
      <c r="N1775" s="455"/>
    </row>
    <row r="1776" ht="20.25" customHeight="1">
      <c r="A1776" s="696"/>
      <c r="B1776" s="697"/>
      <c r="C1776" s="342"/>
      <c r="D1776" s="475"/>
      <c r="E1776" s="699"/>
      <c r="F1776" s="475"/>
      <c r="G1776" s="699"/>
      <c r="H1776" s="699"/>
      <c r="I1776" s="463"/>
      <c r="J1776" s="475"/>
      <c r="K1776" s="699"/>
      <c r="L1776" s="475"/>
      <c r="M1776" s="699"/>
      <c r="N1776" s="699"/>
    </row>
    <row r="1777" ht="20.25" customHeight="1">
      <c r="A1777" s="701"/>
      <c r="B1777" s="702"/>
      <c r="C1777" s="341"/>
      <c r="D1777" s="463"/>
      <c r="E1777" s="455"/>
      <c r="F1777" s="463"/>
      <c r="G1777" s="455"/>
      <c r="H1777" s="455"/>
      <c r="I1777" s="463"/>
      <c r="J1777" s="463"/>
      <c r="K1777" s="455"/>
      <c r="L1777" s="463"/>
      <c r="M1777" s="455"/>
      <c r="N1777" s="455"/>
    </row>
    <row r="1778" ht="20.25" customHeight="1">
      <c r="A1778" s="696"/>
      <c r="B1778" s="697"/>
      <c r="C1778" s="342"/>
      <c r="D1778" s="475"/>
      <c r="E1778" s="699"/>
      <c r="F1778" s="475"/>
      <c r="G1778" s="699"/>
      <c r="H1778" s="699"/>
      <c r="I1778" s="463"/>
      <c r="J1778" s="475"/>
      <c r="K1778" s="699"/>
      <c r="L1778" s="475"/>
      <c r="M1778" s="699"/>
      <c r="N1778" s="699"/>
    </row>
    <row r="1779" ht="20.25" customHeight="1">
      <c r="A1779" s="701"/>
      <c r="B1779" s="702"/>
      <c r="C1779" s="341"/>
      <c r="D1779" s="463"/>
      <c r="E1779" s="455"/>
      <c r="F1779" s="463"/>
      <c r="G1779" s="455"/>
      <c r="H1779" s="455"/>
      <c r="I1779" s="463"/>
      <c r="J1779" s="463"/>
      <c r="K1779" s="455"/>
      <c r="L1779" s="463"/>
      <c r="M1779" s="455"/>
      <c r="N1779" s="455"/>
    </row>
    <row r="1780" ht="20.25" customHeight="1">
      <c r="A1780" s="696"/>
      <c r="B1780" s="697"/>
      <c r="C1780" s="342"/>
      <c r="D1780" s="475"/>
      <c r="E1780" s="699"/>
      <c r="F1780" s="475"/>
      <c r="G1780" s="699"/>
      <c r="H1780" s="699"/>
      <c r="I1780" s="463"/>
      <c r="J1780" s="475"/>
      <c r="K1780" s="699"/>
      <c r="L1780" s="475"/>
      <c r="M1780" s="699"/>
      <c r="N1780" s="699"/>
    </row>
    <row r="1781" ht="20.25" customHeight="1">
      <c r="A1781" s="701"/>
      <c r="B1781" s="702"/>
      <c r="C1781" s="341"/>
      <c r="D1781" s="463"/>
      <c r="E1781" s="455"/>
      <c r="F1781" s="463"/>
      <c r="G1781" s="455"/>
      <c r="H1781" s="455"/>
      <c r="I1781" s="463"/>
      <c r="J1781" s="463"/>
      <c r="K1781" s="455"/>
      <c r="L1781" s="463"/>
      <c r="M1781" s="455"/>
      <c r="N1781" s="455"/>
    </row>
    <row r="1782" ht="20.25" customHeight="1">
      <c r="A1782" s="696"/>
      <c r="B1782" s="697"/>
      <c r="C1782" s="342"/>
      <c r="D1782" s="475"/>
      <c r="E1782" s="699"/>
      <c r="F1782" s="475"/>
      <c r="G1782" s="699"/>
      <c r="H1782" s="699"/>
      <c r="I1782" s="463"/>
      <c r="J1782" s="475"/>
      <c r="K1782" s="699"/>
      <c r="L1782" s="475"/>
      <c r="M1782" s="699"/>
      <c r="N1782" s="699"/>
    </row>
    <row r="1783" ht="20.25" customHeight="1">
      <c r="A1783" s="701"/>
      <c r="B1783" s="702"/>
      <c r="C1783" s="341"/>
      <c r="D1783" s="463"/>
      <c r="E1783" s="455"/>
      <c r="F1783" s="463"/>
      <c r="G1783" s="455"/>
      <c r="H1783" s="455"/>
      <c r="I1783" s="463"/>
      <c r="J1783" s="463"/>
      <c r="K1783" s="455"/>
      <c r="L1783" s="463"/>
      <c r="M1783" s="455"/>
      <c r="N1783" s="455"/>
    </row>
    <row r="1784" ht="20.25" customHeight="1">
      <c r="A1784" s="696"/>
      <c r="B1784" s="697"/>
      <c r="C1784" s="342"/>
      <c r="D1784" s="475"/>
      <c r="E1784" s="699"/>
      <c r="F1784" s="475"/>
      <c r="G1784" s="699"/>
      <c r="H1784" s="699"/>
      <c r="I1784" s="463"/>
      <c r="J1784" s="475"/>
      <c r="K1784" s="699"/>
      <c r="L1784" s="475"/>
      <c r="M1784" s="699"/>
      <c r="N1784" s="699"/>
    </row>
    <row r="1785" ht="20.25" customHeight="1">
      <c r="A1785" s="701"/>
      <c r="B1785" s="702"/>
      <c r="C1785" s="341"/>
      <c r="D1785" s="463"/>
      <c r="E1785" s="455"/>
      <c r="F1785" s="463"/>
      <c r="G1785" s="455"/>
      <c r="H1785" s="455"/>
      <c r="I1785" s="463"/>
      <c r="J1785" s="463"/>
      <c r="K1785" s="455"/>
      <c r="L1785" s="463"/>
      <c r="M1785" s="455"/>
      <c r="N1785" s="455"/>
    </row>
    <row r="1786" ht="20.25" customHeight="1">
      <c r="A1786" s="696"/>
      <c r="B1786" s="697"/>
      <c r="C1786" s="342"/>
      <c r="D1786" s="475"/>
      <c r="E1786" s="699"/>
      <c r="F1786" s="475"/>
      <c r="G1786" s="699"/>
      <c r="H1786" s="699"/>
      <c r="I1786" s="463"/>
      <c r="J1786" s="475"/>
      <c r="K1786" s="699"/>
      <c r="L1786" s="475"/>
      <c r="M1786" s="699"/>
      <c r="N1786" s="699"/>
    </row>
    <row r="1787" ht="20.25" customHeight="1">
      <c r="A1787" s="701"/>
      <c r="B1787" s="702"/>
      <c r="C1787" s="341"/>
      <c r="D1787" s="463"/>
      <c r="E1787" s="455"/>
      <c r="F1787" s="463"/>
      <c r="G1787" s="455"/>
      <c r="H1787" s="455"/>
      <c r="I1787" s="463"/>
      <c r="J1787" s="463"/>
      <c r="K1787" s="455"/>
      <c r="L1787" s="463"/>
      <c r="M1787" s="455"/>
      <c r="N1787" s="455"/>
    </row>
    <row r="1788" ht="20.25" customHeight="1">
      <c r="A1788" s="696"/>
      <c r="B1788" s="697"/>
      <c r="C1788" s="342"/>
      <c r="D1788" s="475"/>
      <c r="E1788" s="699"/>
      <c r="F1788" s="475"/>
      <c r="G1788" s="699"/>
      <c r="H1788" s="699"/>
      <c r="I1788" s="463"/>
      <c r="J1788" s="475"/>
      <c r="K1788" s="699"/>
      <c r="L1788" s="475"/>
      <c r="M1788" s="699"/>
      <c r="N1788" s="699"/>
    </row>
    <row r="1789" ht="20.25" customHeight="1">
      <c r="A1789" s="701"/>
      <c r="B1789" s="702"/>
      <c r="C1789" s="341"/>
      <c r="D1789" s="463"/>
      <c r="E1789" s="455"/>
      <c r="F1789" s="463"/>
      <c r="G1789" s="455"/>
      <c r="H1789" s="455"/>
      <c r="I1789" s="463"/>
      <c r="J1789" s="463"/>
      <c r="K1789" s="455"/>
      <c r="L1789" s="463"/>
      <c r="M1789" s="455"/>
      <c r="N1789" s="455"/>
    </row>
    <row r="1790" ht="20.25" customHeight="1">
      <c r="A1790" s="696"/>
      <c r="B1790" s="697"/>
      <c r="C1790" s="342"/>
      <c r="D1790" s="475"/>
      <c r="E1790" s="699"/>
      <c r="F1790" s="475"/>
      <c r="G1790" s="699"/>
      <c r="H1790" s="699"/>
      <c r="I1790" s="463"/>
      <c r="J1790" s="475"/>
      <c r="K1790" s="699"/>
      <c r="L1790" s="475"/>
      <c r="M1790" s="699"/>
      <c r="N1790" s="699"/>
    </row>
    <row r="1791" ht="20.25" customHeight="1">
      <c r="A1791" s="701"/>
      <c r="B1791" s="702"/>
      <c r="C1791" s="341"/>
      <c r="D1791" s="463"/>
      <c r="E1791" s="455"/>
      <c r="F1791" s="463"/>
      <c r="G1791" s="455"/>
      <c r="H1791" s="455"/>
      <c r="I1791" s="463"/>
      <c r="J1791" s="463"/>
      <c r="K1791" s="455"/>
      <c r="L1791" s="463"/>
      <c r="M1791" s="455"/>
      <c r="N1791" s="455"/>
    </row>
    <row r="1792" ht="20.25" customHeight="1">
      <c r="A1792" s="696"/>
      <c r="B1792" s="697"/>
      <c r="C1792" s="342"/>
      <c r="D1792" s="475"/>
      <c r="E1792" s="699"/>
      <c r="F1792" s="475"/>
      <c r="G1792" s="699"/>
      <c r="H1792" s="699"/>
      <c r="I1792" s="463"/>
      <c r="J1792" s="475"/>
      <c r="K1792" s="699"/>
      <c r="L1792" s="475"/>
      <c r="M1792" s="699"/>
      <c r="N1792" s="699"/>
    </row>
    <row r="1793" ht="20.25" customHeight="1">
      <c r="A1793" s="701"/>
      <c r="B1793" s="702"/>
      <c r="C1793" s="341"/>
      <c r="D1793" s="463"/>
      <c r="E1793" s="455"/>
      <c r="F1793" s="463"/>
      <c r="G1793" s="455"/>
      <c r="H1793" s="455"/>
      <c r="I1793" s="463"/>
      <c r="J1793" s="463"/>
      <c r="K1793" s="455"/>
      <c r="L1793" s="463"/>
      <c r="M1793" s="455"/>
      <c r="N1793" s="455"/>
    </row>
    <row r="1794" ht="20.25" customHeight="1">
      <c r="A1794" s="696"/>
      <c r="B1794" s="697"/>
      <c r="C1794" s="342"/>
      <c r="D1794" s="475"/>
      <c r="E1794" s="699"/>
      <c r="F1794" s="475"/>
      <c r="G1794" s="699"/>
      <c r="H1794" s="699"/>
      <c r="I1794" s="463"/>
      <c r="J1794" s="475"/>
      <c r="K1794" s="699"/>
      <c r="L1794" s="475"/>
      <c r="M1794" s="699"/>
      <c r="N1794" s="699"/>
    </row>
    <row r="1795" ht="20.25" customHeight="1">
      <c r="A1795" s="701"/>
      <c r="B1795" s="702"/>
      <c r="C1795" s="341"/>
      <c r="D1795" s="463"/>
      <c r="E1795" s="455"/>
      <c r="F1795" s="463"/>
      <c r="G1795" s="455"/>
      <c r="H1795" s="455"/>
      <c r="I1795" s="463"/>
      <c r="J1795" s="463"/>
      <c r="K1795" s="455"/>
      <c r="L1795" s="463"/>
      <c r="M1795" s="455"/>
      <c r="N1795" s="455"/>
    </row>
    <row r="1796" ht="20.25" customHeight="1">
      <c r="A1796" s="696"/>
      <c r="B1796" s="697"/>
      <c r="C1796" s="342"/>
      <c r="D1796" s="475"/>
      <c r="E1796" s="699"/>
      <c r="F1796" s="475"/>
      <c r="G1796" s="699"/>
      <c r="H1796" s="699"/>
      <c r="I1796" s="463"/>
      <c r="J1796" s="475"/>
      <c r="K1796" s="699"/>
      <c r="L1796" s="475"/>
      <c r="M1796" s="699"/>
      <c r="N1796" s="699"/>
    </row>
    <row r="1797" ht="20.25" customHeight="1">
      <c r="A1797" s="701"/>
      <c r="B1797" s="702"/>
      <c r="C1797" s="341"/>
      <c r="D1797" s="463"/>
      <c r="E1797" s="455"/>
      <c r="F1797" s="463"/>
      <c r="G1797" s="455"/>
      <c r="H1797" s="455"/>
      <c r="I1797" s="463"/>
      <c r="J1797" s="463"/>
      <c r="K1797" s="455"/>
      <c r="L1797" s="463"/>
      <c r="M1797" s="455"/>
      <c r="N1797" s="455"/>
    </row>
    <row r="1798" ht="20.25" customHeight="1">
      <c r="A1798" s="696"/>
      <c r="B1798" s="697"/>
      <c r="C1798" s="342"/>
      <c r="D1798" s="475"/>
      <c r="E1798" s="699"/>
      <c r="F1798" s="475"/>
      <c r="G1798" s="699"/>
      <c r="H1798" s="699"/>
      <c r="I1798" s="463"/>
      <c r="J1798" s="475"/>
      <c r="K1798" s="699"/>
      <c r="L1798" s="475"/>
      <c r="M1798" s="699"/>
      <c r="N1798" s="699"/>
    </row>
    <row r="1799" ht="20.25" customHeight="1">
      <c r="A1799" s="701"/>
      <c r="B1799" s="702"/>
      <c r="C1799" s="341"/>
      <c r="D1799" s="463"/>
      <c r="E1799" s="455"/>
      <c r="F1799" s="463"/>
      <c r="G1799" s="455"/>
      <c r="H1799" s="455"/>
      <c r="I1799" s="463"/>
      <c r="J1799" s="463"/>
      <c r="K1799" s="455"/>
      <c r="L1799" s="463"/>
      <c r="M1799" s="455"/>
      <c r="N1799" s="455"/>
    </row>
    <row r="1800" ht="20.25" customHeight="1">
      <c r="A1800" s="696"/>
      <c r="B1800" s="697"/>
      <c r="C1800" s="342"/>
      <c r="D1800" s="475"/>
      <c r="E1800" s="699"/>
      <c r="F1800" s="475"/>
      <c r="G1800" s="699"/>
      <c r="H1800" s="699"/>
      <c r="I1800" s="463"/>
      <c r="J1800" s="475"/>
      <c r="K1800" s="699"/>
      <c r="L1800" s="475"/>
      <c r="M1800" s="699"/>
      <c r="N1800" s="699"/>
    </row>
    <row r="1801" ht="20.25" customHeight="1">
      <c r="A1801" s="701"/>
      <c r="B1801" s="702"/>
      <c r="C1801" s="341"/>
      <c r="D1801" s="463"/>
      <c r="E1801" s="455"/>
      <c r="F1801" s="463"/>
      <c r="G1801" s="455"/>
      <c r="H1801" s="455"/>
      <c r="I1801" s="463"/>
      <c r="J1801" s="463"/>
      <c r="K1801" s="455"/>
      <c r="L1801" s="463"/>
      <c r="M1801" s="455"/>
      <c r="N1801" s="455"/>
    </row>
    <row r="1802" ht="20.25" customHeight="1">
      <c r="A1802" s="696"/>
      <c r="B1802" s="697"/>
      <c r="C1802" s="342"/>
      <c r="D1802" s="475"/>
      <c r="E1802" s="699"/>
      <c r="F1802" s="475"/>
      <c r="G1802" s="699"/>
      <c r="H1802" s="699"/>
      <c r="I1802" s="463"/>
      <c r="J1802" s="475"/>
      <c r="K1802" s="699"/>
      <c r="L1802" s="475"/>
      <c r="M1802" s="699"/>
      <c r="N1802" s="699"/>
    </row>
    <row r="1803" ht="20.25" customHeight="1">
      <c r="A1803" s="701"/>
      <c r="B1803" s="702"/>
      <c r="C1803" s="341"/>
      <c r="D1803" s="463"/>
      <c r="E1803" s="455"/>
      <c r="F1803" s="463"/>
      <c r="G1803" s="455"/>
      <c r="H1803" s="455"/>
      <c r="I1803" s="463"/>
      <c r="J1803" s="463"/>
      <c r="K1803" s="455"/>
      <c r="L1803" s="463"/>
      <c r="M1803" s="455"/>
      <c r="N1803" s="455"/>
    </row>
    <row r="1804" ht="20.25" customHeight="1">
      <c r="A1804" s="696"/>
      <c r="B1804" s="697"/>
      <c r="C1804" s="342"/>
      <c r="D1804" s="475"/>
      <c r="E1804" s="699"/>
      <c r="F1804" s="475"/>
      <c r="G1804" s="699"/>
      <c r="H1804" s="699"/>
      <c r="I1804" s="463"/>
      <c r="J1804" s="475"/>
      <c r="K1804" s="699"/>
      <c r="L1804" s="475"/>
      <c r="M1804" s="699"/>
      <c r="N1804" s="699"/>
    </row>
    <row r="1805" ht="20.25" customHeight="1">
      <c r="A1805" s="701"/>
      <c r="B1805" s="702"/>
      <c r="C1805" s="341"/>
      <c r="D1805" s="463"/>
      <c r="E1805" s="455"/>
      <c r="F1805" s="463"/>
      <c r="G1805" s="455"/>
      <c r="H1805" s="455"/>
      <c r="I1805" s="463"/>
      <c r="J1805" s="463"/>
      <c r="K1805" s="455"/>
      <c r="L1805" s="463"/>
      <c r="M1805" s="455"/>
      <c r="N1805" s="455"/>
    </row>
    <row r="1806" ht="20.25" customHeight="1">
      <c r="A1806" s="696"/>
      <c r="B1806" s="697"/>
      <c r="C1806" s="342"/>
      <c r="D1806" s="475"/>
      <c r="E1806" s="699"/>
      <c r="F1806" s="475"/>
      <c r="G1806" s="699"/>
      <c r="H1806" s="699"/>
      <c r="I1806" s="463"/>
      <c r="J1806" s="475"/>
      <c r="K1806" s="699"/>
      <c r="L1806" s="475"/>
      <c r="M1806" s="699"/>
      <c r="N1806" s="699"/>
    </row>
    <row r="1807" ht="20.25" customHeight="1">
      <c r="A1807" s="701"/>
      <c r="B1807" s="702"/>
      <c r="C1807" s="341"/>
      <c r="D1807" s="463"/>
      <c r="E1807" s="455"/>
      <c r="F1807" s="463"/>
      <c r="G1807" s="455"/>
      <c r="H1807" s="455"/>
      <c r="I1807" s="463"/>
      <c r="J1807" s="463"/>
      <c r="K1807" s="455"/>
      <c r="L1807" s="463"/>
      <c r="M1807" s="455"/>
      <c r="N1807" s="455"/>
    </row>
    <row r="1808" ht="20.25" customHeight="1">
      <c r="A1808" s="696"/>
      <c r="B1808" s="697"/>
      <c r="C1808" s="342"/>
      <c r="D1808" s="475"/>
      <c r="E1808" s="699"/>
      <c r="F1808" s="475"/>
      <c r="G1808" s="699"/>
      <c r="H1808" s="699"/>
      <c r="I1808" s="463"/>
      <c r="J1808" s="475"/>
      <c r="K1808" s="699"/>
      <c r="L1808" s="475"/>
      <c r="M1808" s="699"/>
      <c r="N1808" s="699"/>
    </row>
    <row r="1809" ht="20.25" customHeight="1">
      <c r="A1809" s="701"/>
      <c r="B1809" s="702"/>
      <c r="C1809" s="341"/>
      <c r="D1809" s="463"/>
      <c r="E1809" s="455"/>
      <c r="F1809" s="463"/>
      <c r="G1809" s="455"/>
      <c r="H1809" s="455"/>
      <c r="I1809" s="463"/>
      <c r="J1809" s="463"/>
      <c r="K1809" s="455"/>
      <c r="L1809" s="463"/>
      <c r="M1809" s="455"/>
      <c r="N1809" s="455"/>
    </row>
    <row r="1810" ht="20.25" customHeight="1">
      <c r="A1810" s="696"/>
      <c r="B1810" s="697"/>
      <c r="C1810" s="342"/>
      <c r="D1810" s="475"/>
      <c r="E1810" s="699"/>
      <c r="F1810" s="475"/>
      <c r="G1810" s="699"/>
      <c r="H1810" s="699"/>
      <c r="I1810" s="463"/>
      <c r="J1810" s="475"/>
      <c r="K1810" s="699"/>
      <c r="L1810" s="475"/>
      <c r="M1810" s="699"/>
      <c r="N1810" s="699"/>
    </row>
    <row r="1811" ht="20.25" customHeight="1">
      <c r="A1811" s="701"/>
      <c r="B1811" s="702"/>
      <c r="C1811" s="341"/>
      <c r="D1811" s="463"/>
      <c r="E1811" s="455"/>
      <c r="F1811" s="463"/>
      <c r="G1811" s="455"/>
      <c r="H1811" s="455"/>
      <c r="I1811" s="463"/>
      <c r="J1811" s="463"/>
      <c r="K1811" s="455"/>
      <c r="L1811" s="463"/>
      <c r="M1811" s="455"/>
      <c r="N1811" s="455"/>
    </row>
    <row r="1812" ht="20.25" customHeight="1">
      <c r="A1812" s="696"/>
      <c r="B1812" s="697"/>
      <c r="C1812" s="342"/>
      <c r="D1812" s="475"/>
      <c r="E1812" s="699"/>
      <c r="F1812" s="475"/>
      <c r="G1812" s="699"/>
      <c r="H1812" s="699"/>
      <c r="I1812" s="463"/>
      <c r="J1812" s="475"/>
      <c r="K1812" s="699"/>
      <c r="L1812" s="475"/>
      <c r="M1812" s="699"/>
      <c r="N1812" s="699"/>
    </row>
    <row r="1813" ht="20.25" customHeight="1">
      <c r="A1813" s="701"/>
      <c r="B1813" s="702"/>
      <c r="C1813" s="341"/>
      <c r="D1813" s="463"/>
      <c r="E1813" s="455"/>
      <c r="F1813" s="463"/>
      <c r="G1813" s="455"/>
      <c r="H1813" s="455"/>
      <c r="I1813" s="463"/>
      <c r="J1813" s="463"/>
      <c r="K1813" s="455"/>
      <c r="L1813" s="463"/>
      <c r="M1813" s="455"/>
      <c r="N1813" s="455"/>
    </row>
    <row r="1814" ht="20.25" customHeight="1">
      <c r="A1814" s="696"/>
      <c r="B1814" s="697"/>
      <c r="C1814" s="342"/>
      <c r="D1814" s="475"/>
      <c r="E1814" s="699"/>
      <c r="F1814" s="475"/>
      <c r="G1814" s="699"/>
      <c r="H1814" s="699"/>
      <c r="I1814" s="463"/>
      <c r="J1814" s="475"/>
      <c r="K1814" s="699"/>
      <c r="L1814" s="475"/>
      <c r="M1814" s="699"/>
      <c r="N1814" s="699"/>
    </row>
    <row r="1815" ht="20.25" customHeight="1">
      <c r="A1815" s="701"/>
      <c r="B1815" s="702"/>
      <c r="C1815" s="341"/>
      <c r="D1815" s="463"/>
      <c r="E1815" s="455"/>
      <c r="F1815" s="463"/>
      <c r="G1815" s="455"/>
      <c r="H1815" s="455"/>
      <c r="I1815" s="463"/>
      <c r="J1815" s="463"/>
      <c r="K1815" s="455"/>
      <c r="L1815" s="463"/>
      <c r="M1815" s="455"/>
      <c r="N1815" s="455"/>
    </row>
    <row r="1816" ht="20.25" customHeight="1">
      <c r="A1816" s="696"/>
      <c r="B1816" s="697"/>
      <c r="C1816" s="342"/>
      <c r="D1816" s="475"/>
      <c r="E1816" s="699"/>
      <c r="F1816" s="475"/>
      <c r="G1816" s="699"/>
      <c r="H1816" s="699"/>
      <c r="I1816" s="463"/>
      <c r="J1816" s="475"/>
      <c r="K1816" s="699"/>
      <c r="L1816" s="475"/>
      <c r="M1816" s="699"/>
      <c r="N1816" s="699"/>
    </row>
    <row r="1817" ht="20.25" customHeight="1">
      <c r="A1817" s="701"/>
      <c r="B1817" s="702"/>
      <c r="C1817" s="341"/>
      <c r="D1817" s="463"/>
      <c r="E1817" s="455"/>
      <c r="F1817" s="463"/>
      <c r="G1817" s="455"/>
      <c r="H1817" s="455"/>
      <c r="I1817" s="463"/>
      <c r="J1817" s="463"/>
      <c r="K1817" s="455"/>
      <c r="L1817" s="463"/>
      <c r="M1817" s="455"/>
      <c r="N1817" s="455"/>
    </row>
    <row r="1818" ht="20.25" customHeight="1">
      <c r="A1818" s="696"/>
      <c r="B1818" s="697"/>
      <c r="C1818" s="342"/>
      <c r="D1818" s="475"/>
      <c r="E1818" s="699"/>
      <c r="F1818" s="475"/>
      <c r="G1818" s="699"/>
      <c r="H1818" s="699"/>
      <c r="I1818" s="463"/>
      <c r="J1818" s="475"/>
      <c r="K1818" s="699"/>
      <c r="L1818" s="475"/>
      <c r="M1818" s="699"/>
      <c r="N1818" s="699"/>
    </row>
    <row r="1819" ht="20.25" customHeight="1">
      <c r="A1819" s="701"/>
      <c r="B1819" s="702"/>
      <c r="C1819" s="341"/>
      <c r="D1819" s="463"/>
      <c r="E1819" s="455"/>
      <c r="F1819" s="463"/>
      <c r="G1819" s="455"/>
      <c r="H1819" s="455"/>
      <c r="I1819" s="463"/>
      <c r="J1819" s="463"/>
      <c r="K1819" s="455"/>
      <c r="L1819" s="463"/>
      <c r="M1819" s="455"/>
      <c r="N1819" s="455"/>
    </row>
    <row r="1820" ht="20.25" customHeight="1">
      <c r="A1820" s="696"/>
      <c r="B1820" s="697"/>
      <c r="C1820" s="342"/>
      <c r="D1820" s="475"/>
      <c r="E1820" s="699"/>
      <c r="F1820" s="475"/>
      <c r="G1820" s="699"/>
      <c r="H1820" s="699"/>
      <c r="I1820" s="463"/>
      <c r="J1820" s="475"/>
      <c r="K1820" s="699"/>
      <c r="L1820" s="475"/>
      <c r="M1820" s="699"/>
      <c r="N1820" s="699"/>
    </row>
    <row r="1821" ht="20.25" customHeight="1">
      <c r="A1821" s="701"/>
      <c r="B1821" s="702"/>
      <c r="C1821" s="341"/>
      <c r="D1821" s="463"/>
      <c r="E1821" s="455"/>
      <c r="F1821" s="463"/>
      <c r="G1821" s="455"/>
      <c r="H1821" s="455"/>
      <c r="I1821" s="463"/>
      <c r="J1821" s="463"/>
      <c r="K1821" s="455"/>
      <c r="L1821" s="463"/>
      <c r="M1821" s="455"/>
      <c r="N1821" s="455"/>
    </row>
    <row r="1822" ht="20.25" customHeight="1">
      <c r="A1822" s="696"/>
      <c r="B1822" s="697"/>
      <c r="C1822" s="342"/>
      <c r="D1822" s="475"/>
      <c r="E1822" s="699"/>
      <c r="F1822" s="475"/>
      <c r="G1822" s="699"/>
      <c r="H1822" s="699"/>
      <c r="I1822" s="463"/>
      <c r="J1822" s="475"/>
      <c r="K1822" s="699"/>
      <c r="L1822" s="475"/>
      <c r="M1822" s="699"/>
      <c r="N1822" s="699"/>
    </row>
    <row r="1823" ht="20.25" customHeight="1">
      <c r="A1823" s="701"/>
      <c r="B1823" s="702"/>
      <c r="C1823" s="341"/>
      <c r="D1823" s="463"/>
      <c r="E1823" s="455"/>
      <c r="F1823" s="463"/>
      <c r="G1823" s="455"/>
      <c r="H1823" s="455"/>
      <c r="I1823" s="463"/>
      <c r="J1823" s="463"/>
      <c r="K1823" s="455"/>
      <c r="L1823" s="463"/>
      <c r="M1823" s="455"/>
      <c r="N1823" s="455"/>
    </row>
    <row r="1824" ht="20.25" customHeight="1">
      <c r="A1824" s="696"/>
      <c r="B1824" s="697"/>
      <c r="C1824" s="342"/>
      <c r="D1824" s="475"/>
      <c r="E1824" s="699"/>
      <c r="F1824" s="475"/>
      <c r="G1824" s="699"/>
      <c r="H1824" s="699"/>
      <c r="I1824" s="463"/>
      <c r="J1824" s="475"/>
      <c r="K1824" s="699"/>
      <c r="L1824" s="475"/>
      <c r="M1824" s="699"/>
      <c r="N1824" s="699"/>
    </row>
    <row r="1825" ht="20.25" customHeight="1">
      <c r="A1825" s="701"/>
      <c r="B1825" s="702"/>
      <c r="C1825" s="341"/>
      <c r="D1825" s="463"/>
      <c r="E1825" s="455"/>
      <c r="F1825" s="463"/>
      <c r="G1825" s="455"/>
      <c r="H1825" s="455"/>
      <c r="I1825" s="463"/>
      <c r="J1825" s="463"/>
      <c r="K1825" s="455"/>
      <c r="L1825" s="463"/>
      <c r="M1825" s="455"/>
      <c r="N1825" s="455"/>
    </row>
    <row r="1826" ht="20.25" customHeight="1">
      <c r="A1826" s="696"/>
      <c r="B1826" s="697"/>
      <c r="C1826" s="342"/>
      <c r="D1826" s="475"/>
      <c r="E1826" s="699"/>
      <c r="F1826" s="475"/>
      <c r="G1826" s="699"/>
      <c r="H1826" s="699"/>
      <c r="I1826" s="463"/>
      <c r="J1826" s="475"/>
      <c r="K1826" s="699"/>
      <c r="L1826" s="475"/>
      <c r="M1826" s="699"/>
      <c r="N1826" s="699"/>
    </row>
    <row r="1827" ht="20.25" customHeight="1">
      <c r="A1827" s="701"/>
      <c r="B1827" s="702"/>
      <c r="C1827" s="341"/>
      <c r="D1827" s="463"/>
      <c r="E1827" s="455"/>
      <c r="F1827" s="463"/>
      <c r="G1827" s="455"/>
      <c r="H1827" s="455"/>
      <c r="I1827" s="463"/>
      <c r="J1827" s="463"/>
      <c r="K1827" s="455"/>
      <c r="L1827" s="463"/>
      <c r="M1827" s="455"/>
      <c r="N1827" s="455"/>
    </row>
    <row r="1828" ht="20.25" customHeight="1">
      <c r="A1828" s="696"/>
      <c r="B1828" s="697"/>
      <c r="C1828" s="342"/>
      <c r="D1828" s="475"/>
      <c r="E1828" s="699"/>
      <c r="F1828" s="475"/>
      <c r="G1828" s="699"/>
      <c r="H1828" s="699"/>
      <c r="I1828" s="463"/>
      <c r="J1828" s="475"/>
      <c r="K1828" s="699"/>
      <c r="L1828" s="475"/>
      <c r="M1828" s="699"/>
      <c r="N1828" s="699"/>
    </row>
    <row r="1829" ht="20.25" customHeight="1">
      <c r="A1829" s="701"/>
      <c r="B1829" s="702"/>
      <c r="C1829" s="341"/>
      <c r="D1829" s="463"/>
      <c r="E1829" s="455"/>
      <c r="F1829" s="463"/>
      <c r="G1829" s="455"/>
      <c r="H1829" s="455"/>
      <c r="I1829" s="463"/>
      <c r="J1829" s="463"/>
      <c r="K1829" s="455"/>
      <c r="L1829" s="463"/>
      <c r="M1829" s="455"/>
      <c r="N1829" s="455"/>
    </row>
    <row r="1830" ht="20.25" customHeight="1">
      <c r="A1830" s="696"/>
      <c r="B1830" s="697"/>
      <c r="C1830" s="342"/>
      <c r="D1830" s="475"/>
      <c r="E1830" s="699"/>
      <c r="F1830" s="475"/>
      <c r="G1830" s="699"/>
      <c r="H1830" s="699"/>
      <c r="I1830" s="463"/>
      <c r="J1830" s="475"/>
      <c r="K1830" s="699"/>
      <c r="L1830" s="475"/>
      <c r="M1830" s="699"/>
      <c r="N1830" s="699"/>
    </row>
    <row r="1831" ht="20.25" customHeight="1">
      <c r="A1831" s="701"/>
      <c r="B1831" s="702"/>
      <c r="C1831" s="341"/>
      <c r="D1831" s="463"/>
      <c r="E1831" s="455"/>
      <c r="F1831" s="463"/>
      <c r="G1831" s="455"/>
      <c r="H1831" s="455"/>
      <c r="I1831" s="463"/>
      <c r="J1831" s="463"/>
      <c r="K1831" s="455"/>
      <c r="L1831" s="463"/>
      <c r="M1831" s="455"/>
      <c r="N1831" s="455"/>
    </row>
    <row r="1832" ht="20.25" customHeight="1">
      <c r="A1832" s="696"/>
      <c r="B1832" s="697"/>
      <c r="C1832" s="342"/>
      <c r="D1832" s="475"/>
      <c r="E1832" s="699"/>
      <c r="F1832" s="475"/>
      <c r="G1832" s="699"/>
      <c r="H1832" s="699"/>
      <c r="I1832" s="463"/>
      <c r="J1832" s="475"/>
      <c r="K1832" s="699"/>
      <c r="L1832" s="475"/>
      <c r="M1832" s="699"/>
      <c r="N1832" s="699"/>
    </row>
    <row r="1833" ht="20.25" customHeight="1">
      <c r="A1833" s="701"/>
      <c r="B1833" s="702"/>
      <c r="C1833" s="341"/>
      <c r="D1833" s="463"/>
      <c r="E1833" s="455"/>
      <c r="F1833" s="463"/>
      <c r="G1833" s="455"/>
      <c r="H1833" s="455"/>
      <c r="I1833" s="463"/>
      <c r="J1833" s="463"/>
      <c r="K1833" s="455"/>
      <c r="L1833" s="463"/>
      <c r="M1833" s="455"/>
      <c r="N1833" s="455"/>
    </row>
    <row r="1834" ht="20.25" customHeight="1">
      <c r="A1834" s="696"/>
      <c r="B1834" s="697"/>
      <c r="C1834" s="342"/>
      <c r="D1834" s="475"/>
      <c r="E1834" s="699"/>
      <c r="F1834" s="475"/>
      <c r="G1834" s="699"/>
      <c r="H1834" s="699"/>
      <c r="I1834" s="463"/>
      <c r="J1834" s="475"/>
      <c r="K1834" s="699"/>
      <c r="L1834" s="475"/>
      <c r="M1834" s="699"/>
      <c r="N1834" s="699"/>
    </row>
    <row r="1835" ht="20.25" customHeight="1">
      <c r="A1835" s="701"/>
      <c r="B1835" s="702"/>
      <c r="C1835" s="341"/>
      <c r="D1835" s="463"/>
      <c r="E1835" s="455"/>
      <c r="F1835" s="463"/>
      <c r="G1835" s="455"/>
      <c r="H1835" s="455"/>
      <c r="I1835" s="463"/>
      <c r="J1835" s="463"/>
      <c r="K1835" s="455"/>
      <c r="L1835" s="463"/>
      <c r="M1835" s="455"/>
      <c r="N1835" s="455"/>
    </row>
    <row r="1836" ht="20.25" customHeight="1">
      <c r="A1836" s="696"/>
      <c r="B1836" s="697"/>
      <c r="C1836" s="342"/>
      <c r="D1836" s="475"/>
      <c r="E1836" s="699"/>
      <c r="F1836" s="475"/>
      <c r="G1836" s="699"/>
      <c r="H1836" s="699"/>
      <c r="I1836" s="463"/>
      <c r="J1836" s="475"/>
      <c r="K1836" s="699"/>
      <c r="L1836" s="475"/>
      <c r="M1836" s="699"/>
      <c r="N1836" s="699"/>
    </row>
    <row r="1837" ht="20.25" customHeight="1">
      <c r="A1837" s="701"/>
      <c r="B1837" s="702"/>
      <c r="C1837" s="341"/>
      <c r="D1837" s="463"/>
      <c r="E1837" s="455"/>
      <c r="F1837" s="463"/>
      <c r="G1837" s="455"/>
      <c r="H1837" s="455"/>
      <c r="I1837" s="463"/>
      <c r="J1837" s="463"/>
      <c r="K1837" s="455"/>
      <c r="L1837" s="463"/>
      <c r="M1837" s="455"/>
      <c r="N1837" s="455"/>
    </row>
    <row r="1838" ht="20.25" customHeight="1">
      <c r="A1838" s="696"/>
      <c r="B1838" s="697"/>
      <c r="C1838" s="342"/>
      <c r="D1838" s="475"/>
      <c r="E1838" s="699"/>
      <c r="F1838" s="475"/>
      <c r="G1838" s="699"/>
      <c r="H1838" s="699"/>
      <c r="I1838" s="463"/>
      <c r="J1838" s="475"/>
      <c r="K1838" s="699"/>
      <c r="L1838" s="475"/>
      <c r="M1838" s="699"/>
      <c r="N1838" s="699"/>
    </row>
    <row r="1839" ht="20.25" customHeight="1">
      <c r="A1839" s="701"/>
      <c r="B1839" s="702"/>
      <c r="C1839" s="341"/>
      <c r="D1839" s="463"/>
      <c r="E1839" s="455"/>
      <c r="F1839" s="463"/>
      <c r="G1839" s="455"/>
      <c r="H1839" s="455"/>
      <c r="I1839" s="463"/>
      <c r="J1839" s="463"/>
      <c r="K1839" s="455"/>
      <c r="L1839" s="463"/>
      <c r="M1839" s="455"/>
      <c r="N1839" s="455"/>
    </row>
    <row r="1840" ht="20.25" customHeight="1">
      <c r="A1840" s="696"/>
      <c r="B1840" s="697"/>
      <c r="C1840" s="342"/>
      <c r="D1840" s="475"/>
      <c r="E1840" s="699"/>
      <c r="F1840" s="475"/>
      <c r="G1840" s="699"/>
      <c r="H1840" s="699"/>
      <c r="I1840" s="463"/>
      <c r="J1840" s="475"/>
      <c r="K1840" s="699"/>
      <c r="L1840" s="475"/>
      <c r="M1840" s="699"/>
      <c r="N1840" s="699"/>
    </row>
    <row r="1841" ht="20.25" customHeight="1">
      <c r="A1841" s="701"/>
      <c r="B1841" s="702"/>
      <c r="C1841" s="341"/>
      <c r="D1841" s="463"/>
      <c r="E1841" s="455"/>
      <c r="F1841" s="463"/>
      <c r="G1841" s="455"/>
      <c r="H1841" s="455"/>
      <c r="I1841" s="463"/>
      <c r="J1841" s="463"/>
      <c r="K1841" s="455"/>
      <c r="L1841" s="463"/>
      <c r="M1841" s="455"/>
      <c r="N1841" s="455"/>
    </row>
    <row r="1842" ht="20.25" customHeight="1">
      <c r="A1842" s="696"/>
      <c r="B1842" s="697"/>
      <c r="C1842" s="342"/>
      <c r="D1842" s="475"/>
      <c r="E1842" s="699"/>
      <c r="F1842" s="475"/>
      <c r="G1842" s="699"/>
      <c r="H1842" s="699"/>
      <c r="I1842" s="463"/>
      <c r="J1842" s="475"/>
      <c r="K1842" s="699"/>
      <c r="L1842" s="475"/>
      <c r="M1842" s="699"/>
      <c r="N1842" s="699"/>
    </row>
    <row r="1843" ht="20.25" customHeight="1">
      <c r="A1843" s="701"/>
      <c r="B1843" s="702"/>
      <c r="C1843" s="341"/>
      <c r="D1843" s="463"/>
      <c r="E1843" s="455"/>
      <c r="F1843" s="463"/>
      <c r="G1843" s="455"/>
      <c r="H1843" s="455"/>
      <c r="I1843" s="463"/>
      <c r="J1843" s="463"/>
      <c r="K1843" s="455"/>
      <c r="L1843" s="463"/>
      <c r="M1843" s="455"/>
      <c r="N1843" s="455"/>
    </row>
    <row r="1844" ht="20.25" customHeight="1">
      <c r="A1844" s="696"/>
      <c r="B1844" s="697"/>
      <c r="C1844" s="342"/>
      <c r="D1844" s="475"/>
      <c r="E1844" s="699"/>
      <c r="F1844" s="475"/>
      <c r="G1844" s="699"/>
      <c r="H1844" s="699"/>
      <c r="I1844" s="463"/>
      <c r="J1844" s="475"/>
      <c r="K1844" s="699"/>
      <c r="L1844" s="475"/>
      <c r="M1844" s="699"/>
      <c r="N1844" s="699"/>
    </row>
    <row r="1845" ht="20.25" customHeight="1">
      <c r="A1845" s="701"/>
      <c r="B1845" s="702"/>
      <c r="C1845" s="341"/>
      <c r="D1845" s="463"/>
      <c r="E1845" s="455"/>
      <c r="F1845" s="463"/>
      <c r="G1845" s="455"/>
      <c r="H1845" s="455"/>
      <c r="I1845" s="463"/>
      <c r="J1845" s="463"/>
      <c r="K1845" s="455"/>
      <c r="L1845" s="463"/>
      <c r="M1845" s="455"/>
      <c r="N1845" s="455"/>
    </row>
    <row r="1846" ht="20.25" customHeight="1">
      <c r="A1846" s="696"/>
      <c r="B1846" s="697"/>
      <c r="C1846" s="342"/>
      <c r="D1846" s="475"/>
      <c r="E1846" s="699"/>
      <c r="F1846" s="475"/>
      <c r="G1846" s="699"/>
      <c r="H1846" s="699"/>
      <c r="I1846" s="463"/>
      <c r="J1846" s="475"/>
      <c r="K1846" s="699"/>
      <c r="L1846" s="475"/>
      <c r="M1846" s="699"/>
      <c r="N1846" s="699"/>
    </row>
    <row r="1847" ht="20.25" customHeight="1">
      <c r="A1847" s="701"/>
      <c r="B1847" s="702"/>
      <c r="C1847" s="341"/>
      <c r="D1847" s="463"/>
      <c r="E1847" s="455"/>
      <c r="F1847" s="463"/>
      <c r="G1847" s="455"/>
      <c r="H1847" s="455"/>
      <c r="I1847" s="463"/>
      <c r="J1847" s="463"/>
      <c r="K1847" s="455"/>
      <c r="L1847" s="463"/>
      <c r="M1847" s="455"/>
      <c r="N1847" s="455"/>
    </row>
    <row r="1848" ht="20.25" customHeight="1">
      <c r="A1848" s="696"/>
      <c r="B1848" s="697"/>
      <c r="C1848" s="342"/>
      <c r="D1848" s="475"/>
      <c r="E1848" s="699"/>
      <c r="F1848" s="475"/>
      <c r="G1848" s="699"/>
      <c r="H1848" s="699"/>
      <c r="I1848" s="463"/>
      <c r="J1848" s="475"/>
      <c r="K1848" s="699"/>
      <c r="L1848" s="475"/>
      <c r="M1848" s="699"/>
      <c r="N1848" s="699"/>
    </row>
    <row r="1849" ht="20.25" customHeight="1">
      <c r="A1849" s="701"/>
      <c r="B1849" s="702"/>
      <c r="C1849" s="341"/>
      <c r="D1849" s="463"/>
      <c r="E1849" s="455"/>
      <c r="F1849" s="463"/>
      <c r="G1849" s="455"/>
      <c r="H1849" s="455"/>
      <c r="I1849" s="463"/>
      <c r="J1849" s="463"/>
      <c r="K1849" s="455"/>
      <c r="L1849" s="463"/>
      <c r="M1849" s="455"/>
      <c r="N1849" s="455"/>
    </row>
    <row r="1850" ht="20.25" customHeight="1">
      <c r="A1850" s="696"/>
      <c r="B1850" s="697"/>
      <c r="C1850" s="342"/>
      <c r="D1850" s="475"/>
      <c r="E1850" s="699"/>
      <c r="F1850" s="475"/>
      <c r="G1850" s="699"/>
      <c r="H1850" s="699"/>
      <c r="I1850" s="463"/>
      <c r="J1850" s="475"/>
      <c r="K1850" s="699"/>
      <c r="L1850" s="475"/>
      <c r="M1850" s="699"/>
      <c r="N1850" s="699"/>
    </row>
    <row r="1851" ht="20.25" customHeight="1">
      <c r="A1851" s="701"/>
      <c r="B1851" s="702"/>
      <c r="C1851" s="341"/>
      <c r="D1851" s="463"/>
      <c r="E1851" s="455"/>
      <c r="F1851" s="463"/>
      <c r="G1851" s="455"/>
      <c r="H1851" s="455"/>
      <c r="I1851" s="463"/>
      <c r="J1851" s="463"/>
      <c r="K1851" s="455"/>
      <c r="L1851" s="463"/>
      <c r="M1851" s="455"/>
      <c r="N1851" s="455"/>
    </row>
    <row r="1852" ht="20.25" customHeight="1">
      <c r="A1852" s="696"/>
      <c r="B1852" s="697"/>
      <c r="C1852" s="342"/>
      <c r="D1852" s="475"/>
      <c r="E1852" s="699"/>
      <c r="F1852" s="475"/>
      <c r="G1852" s="699"/>
      <c r="H1852" s="699"/>
      <c r="I1852" s="463"/>
      <c r="J1852" s="475"/>
      <c r="K1852" s="699"/>
      <c r="L1852" s="475"/>
      <c r="M1852" s="699"/>
      <c r="N1852" s="699"/>
    </row>
    <row r="1853" ht="20.25" customHeight="1">
      <c r="A1853" s="701"/>
      <c r="B1853" s="702"/>
      <c r="C1853" s="341"/>
      <c r="D1853" s="463"/>
      <c r="E1853" s="455"/>
      <c r="F1853" s="463"/>
      <c r="G1853" s="455"/>
      <c r="H1853" s="455"/>
      <c r="I1853" s="463"/>
      <c r="J1853" s="463"/>
      <c r="K1853" s="455"/>
      <c r="L1853" s="463"/>
      <c r="M1853" s="455"/>
      <c r="N1853" s="455"/>
    </row>
    <row r="1854" ht="20.25" customHeight="1">
      <c r="A1854" s="696"/>
      <c r="B1854" s="697"/>
      <c r="C1854" s="342"/>
      <c r="D1854" s="475"/>
      <c r="E1854" s="699"/>
      <c r="F1854" s="475"/>
      <c r="G1854" s="699"/>
      <c r="H1854" s="699"/>
      <c r="I1854" s="463"/>
      <c r="J1854" s="475"/>
      <c r="K1854" s="699"/>
      <c r="L1854" s="475"/>
      <c r="M1854" s="699"/>
      <c r="N1854" s="699"/>
    </row>
    <row r="1855" ht="20.25" customHeight="1">
      <c r="A1855" s="701"/>
      <c r="B1855" s="702"/>
      <c r="C1855" s="341"/>
      <c r="D1855" s="463"/>
      <c r="E1855" s="455"/>
      <c r="F1855" s="463"/>
      <c r="G1855" s="455"/>
      <c r="H1855" s="455"/>
      <c r="I1855" s="463"/>
      <c r="J1855" s="463"/>
      <c r="K1855" s="455"/>
      <c r="L1855" s="463"/>
      <c r="M1855" s="455"/>
      <c r="N1855" s="455"/>
    </row>
    <row r="1856" ht="20.25" customHeight="1">
      <c r="A1856" s="696"/>
      <c r="B1856" s="697"/>
      <c r="C1856" s="342"/>
      <c r="D1856" s="475"/>
      <c r="E1856" s="699"/>
      <c r="F1856" s="475"/>
      <c r="G1856" s="699"/>
      <c r="H1856" s="699"/>
      <c r="I1856" s="463"/>
      <c r="J1856" s="475"/>
      <c r="K1856" s="699"/>
      <c r="L1856" s="475"/>
      <c r="M1856" s="699"/>
      <c r="N1856" s="699"/>
    </row>
    <row r="1857" ht="20.25" customHeight="1">
      <c r="A1857" s="701"/>
      <c r="B1857" s="702"/>
      <c r="C1857" s="341"/>
      <c r="D1857" s="463"/>
      <c r="E1857" s="455"/>
      <c r="F1857" s="463"/>
      <c r="G1857" s="455"/>
      <c r="H1857" s="455"/>
      <c r="I1857" s="463"/>
      <c r="J1857" s="463"/>
      <c r="K1857" s="455"/>
      <c r="L1857" s="463"/>
      <c r="M1857" s="455"/>
      <c r="N1857" s="455"/>
    </row>
    <row r="1858" ht="20.25" customHeight="1">
      <c r="A1858" s="696"/>
      <c r="B1858" s="697"/>
      <c r="C1858" s="342"/>
      <c r="D1858" s="475"/>
      <c r="E1858" s="699"/>
      <c r="F1858" s="475"/>
      <c r="G1858" s="699"/>
      <c r="H1858" s="699"/>
      <c r="I1858" s="463"/>
      <c r="J1858" s="475"/>
      <c r="K1858" s="699"/>
      <c r="L1858" s="475"/>
      <c r="M1858" s="699"/>
      <c r="N1858" s="699"/>
    </row>
    <row r="1859" ht="20.25" customHeight="1">
      <c r="A1859" s="701"/>
      <c r="B1859" s="702"/>
      <c r="C1859" s="341"/>
      <c r="D1859" s="463"/>
      <c r="E1859" s="455"/>
      <c r="F1859" s="463"/>
      <c r="G1859" s="455"/>
      <c r="H1859" s="455"/>
      <c r="I1859" s="463"/>
      <c r="J1859" s="463"/>
      <c r="K1859" s="455"/>
      <c r="L1859" s="463"/>
      <c r="M1859" s="455"/>
      <c r="N1859" s="455"/>
    </row>
    <row r="1860" ht="20.25" customHeight="1">
      <c r="A1860" s="696"/>
      <c r="B1860" s="697"/>
      <c r="C1860" s="342"/>
      <c r="D1860" s="475"/>
      <c r="E1860" s="699"/>
      <c r="F1860" s="475"/>
      <c r="G1860" s="699"/>
      <c r="H1860" s="699"/>
      <c r="I1860" s="463"/>
      <c r="J1860" s="475"/>
      <c r="K1860" s="699"/>
      <c r="L1860" s="475"/>
      <c r="M1860" s="699"/>
      <c r="N1860" s="699"/>
    </row>
    <row r="1861" ht="20.25" customHeight="1">
      <c r="A1861" s="701"/>
      <c r="B1861" s="702"/>
      <c r="C1861" s="341"/>
      <c r="D1861" s="463"/>
      <c r="E1861" s="455"/>
      <c r="F1861" s="463"/>
      <c r="G1861" s="455"/>
      <c r="H1861" s="455"/>
      <c r="I1861" s="463"/>
      <c r="J1861" s="463"/>
      <c r="K1861" s="455"/>
      <c r="L1861" s="463"/>
      <c r="M1861" s="455"/>
      <c r="N1861" s="455"/>
    </row>
    <row r="1862" ht="20.25" customHeight="1">
      <c r="A1862" s="696"/>
      <c r="B1862" s="697"/>
      <c r="C1862" s="342"/>
      <c r="D1862" s="475"/>
      <c r="E1862" s="699"/>
      <c r="F1862" s="475"/>
      <c r="G1862" s="699"/>
      <c r="H1862" s="699"/>
      <c r="I1862" s="463"/>
      <c r="J1862" s="475"/>
      <c r="K1862" s="699"/>
      <c r="L1862" s="475"/>
      <c r="M1862" s="699"/>
      <c r="N1862" s="699"/>
    </row>
    <row r="1863" ht="20.25" customHeight="1">
      <c r="A1863" s="701"/>
      <c r="B1863" s="702"/>
      <c r="C1863" s="341"/>
      <c r="D1863" s="463"/>
      <c r="E1863" s="455"/>
      <c r="F1863" s="463"/>
      <c r="G1863" s="455"/>
      <c r="H1863" s="455"/>
      <c r="I1863" s="463"/>
      <c r="J1863" s="463"/>
      <c r="K1863" s="455"/>
      <c r="L1863" s="463"/>
      <c r="M1863" s="455"/>
      <c r="N1863" s="455"/>
    </row>
    <row r="1864" ht="20.25" customHeight="1">
      <c r="A1864" s="696"/>
      <c r="B1864" s="697"/>
      <c r="C1864" s="342"/>
      <c r="D1864" s="475"/>
      <c r="E1864" s="699"/>
      <c r="F1864" s="475"/>
      <c r="G1864" s="699"/>
      <c r="H1864" s="699"/>
      <c r="I1864" s="463"/>
      <c r="J1864" s="475"/>
      <c r="K1864" s="699"/>
      <c r="L1864" s="475"/>
      <c r="M1864" s="699"/>
      <c r="N1864" s="699"/>
    </row>
    <row r="1865" ht="20.25" customHeight="1">
      <c r="A1865" s="701"/>
      <c r="B1865" s="702"/>
      <c r="C1865" s="341"/>
      <c r="D1865" s="463"/>
      <c r="E1865" s="455"/>
      <c r="F1865" s="463"/>
      <c r="G1865" s="455"/>
      <c r="H1865" s="455"/>
      <c r="I1865" s="463"/>
      <c r="J1865" s="463"/>
      <c r="K1865" s="455"/>
      <c r="L1865" s="463"/>
      <c r="M1865" s="455"/>
      <c r="N1865" s="455"/>
    </row>
    <row r="1866" ht="20.25" customHeight="1">
      <c r="A1866" s="696"/>
      <c r="B1866" s="697"/>
      <c r="C1866" s="342"/>
      <c r="D1866" s="475"/>
      <c r="E1866" s="699"/>
      <c r="F1866" s="475"/>
      <c r="G1866" s="699"/>
      <c r="H1866" s="699"/>
      <c r="I1866" s="463"/>
      <c r="J1866" s="475"/>
      <c r="K1866" s="699"/>
      <c r="L1866" s="475"/>
      <c r="M1866" s="699"/>
      <c r="N1866" s="699"/>
    </row>
    <row r="1867" ht="20.25" customHeight="1">
      <c r="A1867" s="701"/>
      <c r="B1867" s="702"/>
      <c r="C1867" s="341"/>
      <c r="D1867" s="463"/>
      <c r="E1867" s="455"/>
      <c r="F1867" s="463"/>
      <c r="G1867" s="455"/>
      <c r="H1867" s="455"/>
      <c r="I1867" s="463"/>
      <c r="J1867" s="463"/>
      <c r="K1867" s="455"/>
      <c r="L1867" s="463"/>
      <c r="M1867" s="455"/>
      <c r="N1867" s="455"/>
    </row>
    <row r="1868" ht="20.25" customHeight="1">
      <c r="A1868" s="696"/>
      <c r="B1868" s="697"/>
      <c r="C1868" s="342"/>
      <c r="D1868" s="475"/>
      <c r="E1868" s="699"/>
      <c r="F1868" s="475"/>
      <c r="G1868" s="699"/>
      <c r="H1868" s="699"/>
      <c r="I1868" s="463"/>
      <c r="J1868" s="475"/>
      <c r="K1868" s="699"/>
      <c r="L1868" s="475"/>
      <c r="M1868" s="699"/>
      <c r="N1868" s="699"/>
    </row>
    <row r="1869" ht="20.25" customHeight="1">
      <c r="A1869" s="701"/>
      <c r="B1869" s="702"/>
      <c r="C1869" s="341"/>
      <c r="D1869" s="463"/>
      <c r="E1869" s="455"/>
      <c r="F1869" s="463"/>
      <c r="G1869" s="455"/>
      <c r="H1869" s="455"/>
      <c r="I1869" s="463"/>
      <c r="J1869" s="463"/>
      <c r="K1869" s="455"/>
      <c r="L1869" s="463"/>
      <c r="M1869" s="455"/>
      <c r="N1869" s="455"/>
    </row>
    <row r="1870" ht="20.25" customHeight="1">
      <c r="A1870" s="696"/>
      <c r="B1870" s="697"/>
      <c r="C1870" s="342"/>
      <c r="D1870" s="475"/>
      <c r="E1870" s="699"/>
      <c r="F1870" s="475"/>
      <c r="G1870" s="699"/>
      <c r="H1870" s="699"/>
      <c r="I1870" s="463"/>
      <c r="J1870" s="475"/>
      <c r="K1870" s="699"/>
      <c r="L1870" s="475"/>
      <c r="M1870" s="699"/>
      <c r="N1870" s="699"/>
    </row>
    <row r="1871" ht="20.25" customHeight="1">
      <c r="A1871" s="701"/>
      <c r="B1871" s="702"/>
      <c r="C1871" s="341"/>
      <c r="D1871" s="463"/>
      <c r="E1871" s="455"/>
      <c r="F1871" s="463"/>
      <c r="G1871" s="455"/>
      <c r="H1871" s="455"/>
      <c r="I1871" s="463"/>
      <c r="J1871" s="463"/>
      <c r="K1871" s="455"/>
      <c r="L1871" s="463"/>
      <c r="M1871" s="455"/>
      <c r="N1871" s="455"/>
    </row>
    <row r="1872" ht="20.25" customHeight="1">
      <c r="A1872" s="696"/>
      <c r="B1872" s="697"/>
      <c r="C1872" s="342"/>
      <c r="D1872" s="475"/>
      <c r="E1872" s="699"/>
      <c r="F1872" s="475"/>
      <c r="G1872" s="699"/>
      <c r="H1872" s="699"/>
      <c r="I1872" s="463"/>
      <c r="J1872" s="475"/>
      <c r="K1872" s="699"/>
      <c r="L1872" s="475"/>
      <c r="M1872" s="699"/>
      <c r="N1872" s="699"/>
    </row>
    <row r="1873" ht="20.25" customHeight="1">
      <c r="A1873" s="701"/>
      <c r="B1873" s="702"/>
      <c r="C1873" s="341"/>
      <c r="D1873" s="463"/>
      <c r="E1873" s="455"/>
      <c r="F1873" s="463"/>
      <c r="G1873" s="455"/>
      <c r="H1873" s="455"/>
      <c r="I1873" s="463"/>
      <c r="J1873" s="463"/>
      <c r="K1873" s="455"/>
      <c r="L1873" s="463"/>
      <c r="M1873" s="455"/>
      <c r="N1873" s="455"/>
    </row>
    <row r="1874" ht="20.25" customHeight="1">
      <c r="A1874" s="696"/>
      <c r="B1874" s="697"/>
      <c r="C1874" s="342"/>
      <c r="D1874" s="475"/>
      <c r="E1874" s="699"/>
      <c r="F1874" s="475"/>
      <c r="G1874" s="699"/>
      <c r="H1874" s="699"/>
      <c r="I1874" s="463"/>
      <c r="J1874" s="475"/>
      <c r="K1874" s="699"/>
      <c r="L1874" s="475"/>
      <c r="M1874" s="699"/>
      <c r="N1874" s="699"/>
    </row>
    <row r="1875" ht="20.25" customHeight="1">
      <c r="A1875" s="701"/>
      <c r="B1875" s="702"/>
      <c r="C1875" s="341"/>
      <c r="D1875" s="463"/>
      <c r="E1875" s="455"/>
      <c r="F1875" s="463"/>
      <c r="G1875" s="455"/>
      <c r="H1875" s="455"/>
      <c r="I1875" s="463"/>
      <c r="J1875" s="463"/>
      <c r="K1875" s="455"/>
      <c r="L1875" s="463"/>
      <c r="M1875" s="455"/>
      <c r="N1875" s="455"/>
    </row>
    <row r="1876" ht="20.25" customHeight="1">
      <c r="A1876" s="696"/>
      <c r="B1876" s="697"/>
      <c r="C1876" s="342"/>
      <c r="D1876" s="475"/>
      <c r="E1876" s="699"/>
      <c r="F1876" s="475"/>
      <c r="G1876" s="699"/>
      <c r="H1876" s="699"/>
      <c r="I1876" s="463"/>
      <c r="J1876" s="475"/>
      <c r="K1876" s="699"/>
      <c r="L1876" s="475"/>
      <c r="M1876" s="699"/>
      <c r="N1876" s="699"/>
    </row>
    <row r="1877" ht="20.25" customHeight="1">
      <c r="A1877" s="701"/>
      <c r="B1877" s="702"/>
      <c r="C1877" s="341"/>
      <c r="D1877" s="463"/>
      <c r="E1877" s="455"/>
      <c r="F1877" s="463"/>
      <c r="G1877" s="455"/>
      <c r="H1877" s="455"/>
      <c r="I1877" s="463"/>
      <c r="J1877" s="463"/>
      <c r="K1877" s="455"/>
      <c r="L1877" s="463"/>
      <c r="M1877" s="455"/>
      <c r="N1877" s="455"/>
    </row>
    <row r="1878" ht="20.25" customHeight="1">
      <c r="A1878" s="696"/>
      <c r="B1878" s="697"/>
      <c r="C1878" s="342"/>
      <c r="D1878" s="475"/>
      <c r="E1878" s="699"/>
      <c r="F1878" s="475"/>
      <c r="G1878" s="699"/>
      <c r="H1878" s="699"/>
      <c r="I1878" s="463"/>
      <c r="J1878" s="475"/>
      <c r="K1878" s="699"/>
      <c r="L1878" s="475"/>
      <c r="M1878" s="699"/>
      <c r="N1878" s="699"/>
    </row>
    <row r="1879" ht="20.25" customHeight="1">
      <c r="A1879" s="701"/>
      <c r="B1879" s="702"/>
      <c r="C1879" s="341"/>
      <c r="D1879" s="463"/>
      <c r="E1879" s="455"/>
      <c r="F1879" s="463"/>
      <c r="G1879" s="455"/>
      <c r="H1879" s="455"/>
      <c r="I1879" s="463"/>
      <c r="J1879" s="463"/>
      <c r="K1879" s="455"/>
      <c r="L1879" s="463"/>
      <c r="M1879" s="455"/>
      <c r="N1879" s="455"/>
    </row>
    <row r="1880" ht="20.25" customHeight="1">
      <c r="A1880" s="696"/>
      <c r="B1880" s="697"/>
      <c r="C1880" s="342"/>
      <c r="D1880" s="475"/>
      <c r="E1880" s="699"/>
      <c r="F1880" s="475"/>
      <c r="G1880" s="699"/>
      <c r="H1880" s="699"/>
      <c r="I1880" s="463"/>
      <c r="J1880" s="475"/>
      <c r="K1880" s="699"/>
      <c r="L1880" s="475"/>
      <c r="M1880" s="699"/>
      <c r="N1880" s="699"/>
    </row>
    <row r="1881" ht="20.25" customHeight="1">
      <c r="A1881" s="701"/>
      <c r="B1881" s="702"/>
      <c r="C1881" s="341"/>
      <c r="D1881" s="463"/>
      <c r="E1881" s="455"/>
      <c r="F1881" s="463"/>
      <c r="G1881" s="455"/>
      <c r="H1881" s="455"/>
      <c r="I1881" s="463"/>
      <c r="J1881" s="463"/>
      <c r="K1881" s="455"/>
      <c r="L1881" s="463"/>
      <c r="M1881" s="455"/>
      <c r="N1881" s="455"/>
    </row>
    <row r="1882" ht="20.25" customHeight="1">
      <c r="A1882" s="696"/>
      <c r="B1882" s="697"/>
      <c r="C1882" s="342"/>
      <c r="D1882" s="475"/>
      <c r="E1882" s="699"/>
      <c r="F1882" s="475"/>
      <c r="G1882" s="699"/>
      <c r="H1882" s="699"/>
      <c r="I1882" s="463"/>
      <c r="J1882" s="475"/>
      <c r="K1882" s="699"/>
      <c r="L1882" s="475"/>
      <c r="M1882" s="699"/>
      <c r="N1882" s="699"/>
    </row>
    <row r="1883" ht="20.25" customHeight="1">
      <c r="A1883" s="701"/>
      <c r="B1883" s="702"/>
      <c r="C1883" s="341"/>
      <c r="D1883" s="463"/>
      <c r="E1883" s="455"/>
      <c r="F1883" s="463"/>
      <c r="G1883" s="455"/>
      <c r="H1883" s="455"/>
      <c r="I1883" s="463"/>
      <c r="J1883" s="463"/>
      <c r="K1883" s="455"/>
      <c r="L1883" s="463"/>
      <c r="M1883" s="455"/>
      <c r="N1883" s="455"/>
    </row>
    <row r="1884" ht="20.25" customHeight="1">
      <c r="A1884" s="696"/>
      <c r="B1884" s="697"/>
      <c r="C1884" s="342"/>
      <c r="D1884" s="475"/>
      <c r="E1884" s="699"/>
      <c r="F1884" s="475"/>
      <c r="G1884" s="699"/>
      <c r="H1884" s="699"/>
      <c r="I1884" s="463"/>
      <c r="J1884" s="475"/>
      <c r="K1884" s="699"/>
      <c r="L1884" s="475"/>
      <c r="M1884" s="699"/>
      <c r="N1884" s="699"/>
    </row>
    <row r="1885" ht="20.25" customHeight="1">
      <c r="A1885" s="701"/>
      <c r="B1885" s="702"/>
      <c r="C1885" s="341"/>
      <c r="D1885" s="463"/>
      <c r="E1885" s="455"/>
      <c r="F1885" s="463"/>
      <c r="G1885" s="455"/>
      <c r="H1885" s="455"/>
      <c r="I1885" s="463"/>
      <c r="J1885" s="463"/>
      <c r="K1885" s="455"/>
      <c r="L1885" s="463"/>
      <c r="M1885" s="455"/>
      <c r="N1885" s="455"/>
    </row>
    <row r="1886" ht="20.25" customHeight="1">
      <c r="A1886" s="696"/>
      <c r="B1886" s="697"/>
      <c r="C1886" s="342"/>
      <c r="D1886" s="475"/>
      <c r="E1886" s="699"/>
      <c r="F1886" s="475"/>
      <c r="G1886" s="699"/>
      <c r="H1886" s="699"/>
      <c r="I1886" s="463"/>
      <c r="J1886" s="475"/>
      <c r="K1886" s="699"/>
      <c r="L1886" s="475"/>
      <c r="M1886" s="699"/>
      <c r="N1886" s="699"/>
    </row>
    <row r="1887" ht="20.25" customHeight="1">
      <c r="A1887" s="701"/>
      <c r="B1887" s="702"/>
      <c r="C1887" s="341"/>
      <c r="D1887" s="463"/>
      <c r="E1887" s="455"/>
      <c r="F1887" s="463"/>
      <c r="G1887" s="455"/>
      <c r="H1887" s="455"/>
      <c r="I1887" s="463"/>
      <c r="J1887" s="463"/>
      <c r="K1887" s="455"/>
      <c r="L1887" s="463"/>
      <c r="M1887" s="455"/>
      <c r="N1887" s="455"/>
    </row>
    <row r="1888" ht="20.25" customHeight="1">
      <c r="A1888" s="696"/>
      <c r="B1888" s="697"/>
      <c r="C1888" s="342"/>
      <c r="D1888" s="475"/>
      <c r="E1888" s="699"/>
      <c r="F1888" s="475"/>
      <c r="G1888" s="699"/>
      <c r="H1888" s="699"/>
      <c r="I1888" s="463"/>
      <c r="J1888" s="475"/>
      <c r="K1888" s="699"/>
      <c r="L1888" s="475"/>
      <c r="M1888" s="699"/>
      <c r="N1888" s="699"/>
    </row>
    <row r="1889" ht="20.25" customHeight="1">
      <c r="A1889" s="701"/>
      <c r="B1889" s="702"/>
      <c r="C1889" s="341"/>
      <c r="D1889" s="463"/>
      <c r="E1889" s="455"/>
      <c r="F1889" s="463"/>
      <c r="G1889" s="455"/>
      <c r="H1889" s="455"/>
      <c r="I1889" s="463"/>
      <c r="J1889" s="463"/>
      <c r="K1889" s="455"/>
      <c r="L1889" s="463"/>
      <c r="M1889" s="455"/>
      <c r="N1889" s="455"/>
    </row>
    <row r="1890" ht="20.25" customHeight="1">
      <c r="A1890" s="696"/>
      <c r="B1890" s="697"/>
      <c r="C1890" s="342"/>
      <c r="D1890" s="475"/>
      <c r="E1890" s="699"/>
      <c r="F1890" s="475"/>
      <c r="G1890" s="699"/>
      <c r="H1890" s="699"/>
      <c r="I1890" s="463"/>
      <c r="J1890" s="475"/>
      <c r="K1890" s="699"/>
      <c r="L1890" s="475"/>
      <c r="M1890" s="699"/>
      <c r="N1890" s="699"/>
    </row>
    <row r="1891" ht="20.25" customHeight="1">
      <c r="A1891" s="701"/>
      <c r="B1891" s="702"/>
      <c r="C1891" s="341"/>
      <c r="D1891" s="463"/>
      <c r="E1891" s="455"/>
      <c r="F1891" s="463"/>
      <c r="G1891" s="455"/>
      <c r="H1891" s="455"/>
      <c r="I1891" s="463"/>
      <c r="J1891" s="463"/>
      <c r="K1891" s="455"/>
      <c r="L1891" s="463"/>
      <c r="M1891" s="455"/>
      <c r="N1891" s="455"/>
    </row>
    <row r="1892" ht="20.25" customHeight="1">
      <c r="A1892" s="696"/>
      <c r="B1892" s="697"/>
      <c r="C1892" s="342"/>
      <c r="D1892" s="475"/>
      <c r="E1892" s="699"/>
      <c r="F1892" s="475"/>
      <c r="G1892" s="699"/>
      <c r="H1892" s="699"/>
      <c r="I1892" s="463"/>
      <c r="J1892" s="475"/>
      <c r="K1892" s="699"/>
      <c r="L1892" s="475"/>
      <c r="M1892" s="699"/>
      <c r="N1892" s="699"/>
    </row>
    <row r="1893" ht="20.25" customHeight="1">
      <c r="A1893" s="701"/>
      <c r="B1893" s="702"/>
      <c r="C1893" s="341"/>
      <c r="D1893" s="463"/>
      <c r="E1893" s="455"/>
      <c r="F1893" s="463"/>
      <c r="G1893" s="455"/>
      <c r="H1893" s="455"/>
      <c r="I1893" s="463"/>
      <c r="J1893" s="463"/>
      <c r="K1893" s="455"/>
      <c r="L1893" s="463"/>
      <c r="M1893" s="455"/>
      <c r="N1893" s="455"/>
    </row>
    <row r="1894" ht="20.25" customHeight="1">
      <c r="A1894" s="696"/>
      <c r="B1894" s="697"/>
      <c r="C1894" s="342"/>
      <c r="D1894" s="475"/>
      <c r="E1894" s="699"/>
      <c r="F1894" s="475"/>
      <c r="G1894" s="699"/>
      <c r="H1894" s="699"/>
      <c r="I1894" s="463"/>
      <c r="J1894" s="475"/>
      <c r="K1894" s="699"/>
      <c r="L1894" s="475"/>
      <c r="M1894" s="699"/>
      <c r="N1894" s="699"/>
    </row>
    <row r="1895" ht="20.25" customHeight="1">
      <c r="A1895" s="701"/>
      <c r="B1895" s="702"/>
      <c r="C1895" s="341"/>
      <c r="D1895" s="463"/>
      <c r="E1895" s="455"/>
      <c r="F1895" s="463"/>
      <c r="G1895" s="455"/>
      <c r="H1895" s="455"/>
      <c r="I1895" s="463"/>
      <c r="J1895" s="463"/>
      <c r="K1895" s="455"/>
      <c r="L1895" s="463"/>
      <c r="M1895" s="455"/>
      <c r="N1895" s="455"/>
    </row>
    <row r="1896" ht="20.25" customHeight="1">
      <c r="A1896" s="696"/>
      <c r="B1896" s="697"/>
      <c r="C1896" s="342"/>
      <c r="D1896" s="475"/>
      <c r="E1896" s="699"/>
      <c r="F1896" s="475"/>
      <c r="G1896" s="699"/>
      <c r="H1896" s="699"/>
      <c r="I1896" s="463"/>
      <c r="J1896" s="475"/>
      <c r="K1896" s="699"/>
      <c r="L1896" s="475"/>
      <c r="M1896" s="699"/>
      <c r="N1896" s="699"/>
    </row>
    <row r="1897" ht="20.25" customHeight="1">
      <c r="A1897" s="701"/>
      <c r="B1897" s="702"/>
      <c r="C1897" s="341"/>
      <c r="D1897" s="463"/>
      <c r="E1897" s="455"/>
      <c r="F1897" s="463"/>
      <c r="G1897" s="455"/>
      <c r="H1897" s="455"/>
      <c r="I1897" s="463"/>
      <c r="J1897" s="463"/>
      <c r="K1897" s="455"/>
      <c r="L1897" s="463"/>
      <c r="M1897" s="455"/>
      <c r="N1897" s="455"/>
    </row>
    <row r="1898" ht="20.25" customHeight="1">
      <c r="A1898" s="696"/>
      <c r="B1898" s="697"/>
      <c r="C1898" s="342"/>
      <c r="D1898" s="475"/>
      <c r="E1898" s="699"/>
      <c r="F1898" s="475"/>
      <c r="G1898" s="699"/>
      <c r="H1898" s="699"/>
      <c r="I1898" s="463"/>
      <c r="J1898" s="475"/>
      <c r="K1898" s="699"/>
      <c r="L1898" s="475"/>
      <c r="M1898" s="699"/>
      <c r="N1898" s="699"/>
    </row>
    <row r="1899" ht="20.25" customHeight="1">
      <c r="A1899" s="701"/>
      <c r="B1899" s="702"/>
      <c r="C1899" s="341"/>
      <c r="D1899" s="463"/>
      <c r="E1899" s="455"/>
      <c r="F1899" s="463"/>
      <c r="G1899" s="455"/>
      <c r="H1899" s="455"/>
      <c r="I1899" s="463"/>
      <c r="J1899" s="463"/>
      <c r="K1899" s="455"/>
      <c r="L1899" s="463"/>
      <c r="M1899" s="455"/>
      <c r="N1899" s="455"/>
    </row>
    <row r="1900" ht="20.25" customHeight="1">
      <c r="A1900" s="696"/>
      <c r="B1900" s="697"/>
      <c r="C1900" s="342"/>
      <c r="D1900" s="475"/>
      <c r="E1900" s="699"/>
      <c r="F1900" s="475"/>
      <c r="G1900" s="699"/>
      <c r="H1900" s="699"/>
      <c r="I1900" s="463"/>
      <c r="J1900" s="475"/>
      <c r="K1900" s="699"/>
      <c r="L1900" s="475"/>
      <c r="M1900" s="699"/>
      <c r="N1900" s="699"/>
    </row>
    <row r="1901" ht="20.25" customHeight="1">
      <c r="A1901" s="701"/>
      <c r="B1901" s="702"/>
      <c r="C1901" s="341"/>
      <c r="D1901" s="463"/>
      <c r="E1901" s="455"/>
      <c r="F1901" s="463"/>
      <c r="G1901" s="455"/>
      <c r="H1901" s="455"/>
      <c r="I1901" s="463"/>
      <c r="J1901" s="463"/>
      <c r="K1901" s="455"/>
      <c r="L1901" s="463"/>
      <c r="M1901" s="455"/>
      <c r="N1901" s="455"/>
    </row>
    <row r="1902" ht="20.25" customHeight="1">
      <c r="A1902" s="696"/>
      <c r="B1902" s="697"/>
      <c r="C1902" s="342"/>
      <c r="D1902" s="475"/>
      <c r="E1902" s="699"/>
      <c r="F1902" s="475"/>
      <c r="G1902" s="699"/>
      <c r="H1902" s="699"/>
      <c r="I1902" s="463"/>
      <c r="J1902" s="475"/>
      <c r="K1902" s="699"/>
      <c r="L1902" s="475"/>
      <c r="M1902" s="699"/>
      <c r="N1902" s="699"/>
    </row>
    <row r="1903" ht="20.25" customHeight="1">
      <c r="A1903" s="701"/>
      <c r="B1903" s="702"/>
      <c r="C1903" s="341"/>
      <c r="D1903" s="463"/>
      <c r="E1903" s="455"/>
      <c r="F1903" s="463"/>
      <c r="G1903" s="455"/>
      <c r="H1903" s="455"/>
      <c r="I1903" s="463"/>
      <c r="J1903" s="463"/>
      <c r="K1903" s="455"/>
      <c r="L1903" s="463"/>
      <c r="M1903" s="455"/>
      <c r="N1903" s="455"/>
    </row>
    <row r="1904" ht="20.25" customHeight="1">
      <c r="A1904" s="696"/>
      <c r="B1904" s="697"/>
      <c r="C1904" s="342"/>
      <c r="D1904" s="475"/>
      <c r="E1904" s="699"/>
      <c r="F1904" s="475"/>
      <c r="G1904" s="699"/>
      <c r="H1904" s="699"/>
      <c r="I1904" s="463"/>
      <c r="J1904" s="475"/>
      <c r="K1904" s="699"/>
      <c r="L1904" s="475"/>
      <c r="M1904" s="699"/>
      <c r="N1904" s="699"/>
    </row>
    <row r="1905" ht="20.25" customHeight="1">
      <c r="A1905" s="701"/>
      <c r="B1905" s="702"/>
      <c r="C1905" s="341"/>
      <c r="D1905" s="463"/>
      <c r="E1905" s="455"/>
      <c r="F1905" s="463"/>
      <c r="G1905" s="455"/>
      <c r="H1905" s="455"/>
      <c r="I1905" s="463"/>
      <c r="J1905" s="463"/>
      <c r="K1905" s="455"/>
      <c r="L1905" s="463"/>
      <c r="M1905" s="455"/>
      <c r="N1905" s="455"/>
    </row>
    <row r="1906" ht="20.25" customHeight="1">
      <c r="A1906" s="696"/>
      <c r="B1906" s="697"/>
      <c r="C1906" s="342"/>
      <c r="D1906" s="475"/>
      <c r="E1906" s="699"/>
      <c r="F1906" s="475"/>
      <c r="G1906" s="699"/>
      <c r="H1906" s="699"/>
      <c r="I1906" s="463"/>
      <c r="J1906" s="475"/>
      <c r="K1906" s="699"/>
      <c r="L1906" s="475"/>
      <c r="M1906" s="699"/>
      <c r="N1906" s="699"/>
    </row>
    <row r="1907" ht="20.25" customHeight="1">
      <c r="A1907" s="701"/>
      <c r="B1907" s="702"/>
      <c r="C1907" s="341"/>
      <c r="D1907" s="463"/>
      <c r="E1907" s="455"/>
      <c r="F1907" s="463"/>
      <c r="G1907" s="455"/>
      <c r="H1907" s="455"/>
      <c r="I1907" s="463"/>
      <c r="J1907" s="463"/>
      <c r="K1907" s="455"/>
      <c r="L1907" s="463"/>
      <c r="M1907" s="455"/>
      <c r="N1907" s="455"/>
    </row>
    <row r="1908" ht="20.25" customHeight="1">
      <c r="A1908" s="696"/>
      <c r="B1908" s="697"/>
      <c r="C1908" s="342"/>
      <c r="D1908" s="475"/>
      <c r="E1908" s="699"/>
      <c r="F1908" s="475"/>
      <c r="G1908" s="699"/>
      <c r="H1908" s="699"/>
      <c r="I1908" s="463"/>
      <c r="J1908" s="475"/>
      <c r="K1908" s="699"/>
      <c r="L1908" s="475"/>
      <c r="M1908" s="699"/>
      <c r="N1908" s="699"/>
    </row>
    <row r="1909" ht="20.25" customHeight="1">
      <c r="A1909" s="701"/>
      <c r="B1909" s="702"/>
      <c r="C1909" s="341"/>
      <c r="D1909" s="463"/>
      <c r="E1909" s="455"/>
      <c r="F1909" s="463"/>
      <c r="G1909" s="455"/>
      <c r="H1909" s="455"/>
      <c r="I1909" s="463"/>
      <c r="J1909" s="463"/>
      <c r="K1909" s="455"/>
      <c r="L1909" s="463"/>
      <c r="M1909" s="455"/>
      <c r="N1909" s="455"/>
    </row>
    <row r="1910" ht="20.25" customHeight="1">
      <c r="A1910" s="696"/>
      <c r="B1910" s="697"/>
      <c r="C1910" s="342"/>
      <c r="D1910" s="475"/>
      <c r="E1910" s="699"/>
      <c r="F1910" s="475"/>
      <c r="G1910" s="699"/>
      <c r="H1910" s="699"/>
      <c r="I1910" s="463"/>
      <c r="J1910" s="475"/>
      <c r="K1910" s="699"/>
      <c r="L1910" s="475"/>
      <c r="M1910" s="699"/>
      <c r="N1910" s="699"/>
    </row>
    <row r="1911" ht="20.25" customHeight="1">
      <c r="A1911" s="701"/>
      <c r="B1911" s="702"/>
      <c r="C1911" s="341"/>
      <c r="D1911" s="463"/>
      <c r="E1911" s="455"/>
      <c r="F1911" s="463"/>
      <c r="G1911" s="455"/>
      <c r="H1911" s="455"/>
      <c r="I1911" s="463"/>
      <c r="J1911" s="463"/>
      <c r="K1911" s="455"/>
      <c r="L1911" s="463"/>
      <c r="M1911" s="455"/>
      <c r="N1911" s="455"/>
    </row>
    <row r="1912" ht="20.25" customHeight="1">
      <c r="A1912" s="696"/>
      <c r="B1912" s="697"/>
      <c r="C1912" s="342"/>
      <c r="D1912" s="475"/>
      <c r="E1912" s="699"/>
      <c r="F1912" s="475"/>
      <c r="G1912" s="699"/>
      <c r="H1912" s="699"/>
      <c r="I1912" s="463"/>
      <c r="J1912" s="475"/>
      <c r="K1912" s="699"/>
      <c r="L1912" s="475"/>
      <c r="M1912" s="699"/>
      <c r="N1912" s="699"/>
    </row>
    <row r="1913" ht="20.25" customHeight="1">
      <c r="A1913" s="701"/>
      <c r="B1913" s="702"/>
      <c r="C1913" s="341"/>
      <c r="D1913" s="463"/>
      <c r="E1913" s="455"/>
      <c r="F1913" s="463"/>
      <c r="G1913" s="455"/>
      <c r="H1913" s="455"/>
      <c r="I1913" s="463"/>
      <c r="J1913" s="463"/>
      <c r="K1913" s="455"/>
      <c r="L1913" s="463"/>
      <c r="M1913" s="455"/>
      <c r="N1913" s="455"/>
    </row>
    <row r="1914" ht="20.25" customHeight="1">
      <c r="A1914" s="696"/>
      <c r="B1914" s="697"/>
      <c r="C1914" s="342"/>
      <c r="D1914" s="475"/>
      <c r="E1914" s="699"/>
      <c r="F1914" s="475"/>
      <c r="G1914" s="699"/>
      <c r="H1914" s="699"/>
      <c r="I1914" s="463"/>
      <c r="J1914" s="475"/>
      <c r="K1914" s="699"/>
      <c r="L1914" s="475"/>
      <c r="M1914" s="699"/>
      <c r="N1914" s="699"/>
    </row>
    <row r="1915" ht="20.25" customHeight="1">
      <c r="A1915" s="701"/>
      <c r="B1915" s="702"/>
      <c r="C1915" s="341"/>
      <c r="D1915" s="463"/>
      <c r="E1915" s="455"/>
      <c r="F1915" s="463"/>
      <c r="G1915" s="455"/>
      <c r="H1915" s="455"/>
      <c r="I1915" s="463"/>
      <c r="J1915" s="463"/>
      <c r="K1915" s="455"/>
      <c r="L1915" s="463"/>
      <c r="M1915" s="455"/>
      <c r="N1915" s="455"/>
    </row>
    <row r="1916" ht="20.25" customHeight="1">
      <c r="A1916" s="696"/>
      <c r="B1916" s="697"/>
      <c r="C1916" s="342"/>
      <c r="D1916" s="475"/>
      <c r="E1916" s="699"/>
      <c r="F1916" s="475"/>
      <c r="G1916" s="699"/>
      <c r="H1916" s="699"/>
      <c r="I1916" s="463"/>
      <c r="J1916" s="475"/>
      <c r="K1916" s="699"/>
      <c r="L1916" s="475"/>
      <c r="M1916" s="699"/>
      <c r="N1916" s="699"/>
    </row>
    <row r="1917" ht="20.25" customHeight="1">
      <c r="A1917" s="701"/>
      <c r="B1917" s="702"/>
      <c r="C1917" s="341"/>
      <c r="D1917" s="463"/>
      <c r="E1917" s="455"/>
      <c r="F1917" s="463"/>
      <c r="G1917" s="455"/>
      <c r="H1917" s="455"/>
      <c r="I1917" s="463"/>
      <c r="J1917" s="463"/>
      <c r="K1917" s="455"/>
      <c r="L1917" s="463"/>
      <c r="M1917" s="455"/>
      <c r="N1917" s="455"/>
    </row>
    <row r="1918" ht="20.25" customHeight="1">
      <c r="A1918" s="696"/>
      <c r="B1918" s="697"/>
      <c r="C1918" s="342"/>
      <c r="D1918" s="475"/>
      <c r="E1918" s="699"/>
      <c r="F1918" s="475"/>
      <c r="G1918" s="699"/>
      <c r="H1918" s="699"/>
      <c r="I1918" s="463"/>
      <c r="J1918" s="475"/>
      <c r="K1918" s="699"/>
      <c r="L1918" s="475"/>
      <c r="M1918" s="699"/>
      <c r="N1918" s="699"/>
    </row>
    <row r="1919" ht="20.25" customHeight="1">
      <c r="A1919" s="701"/>
      <c r="B1919" s="702"/>
      <c r="C1919" s="341"/>
      <c r="D1919" s="463"/>
      <c r="E1919" s="455"/>
      <c r="F1919" s="463"/>
      <c r="G1919" s="455"/>
      <c r="H1919" s="455"/>
      <c r="I1919" s="463"/>
      <c r="J1919" s="463"/>
      <c r="K1919" s="455"/>
      <c r="L1919" s="463"/>
      <c r="M1919" s="455"/>
      <c r="N1919" s="455"/>
    </row>
    <row r="1920" ht="20.25" customHeight="1">
      <c r="A1920" s="696"/>
      <c r="B1920" s="697"/>
      <c r="C1920" s="342"/>
      <c r="D1920" s="475"/>
      <c r="E1920" s="699"/>
      <c r="F1920" s="475"/>
      <c r="G1920" s="699"/>
      <c r="H1920" s="699"/>
      <c r="I1920" s="463"/>
      <c r="J1920" s="475"/>
      <c r="K1920" s="699"/>
      <c r="L1920" s="475"/>
      <c r="M1920" s="699"/>
      <c r="N1920" s="699"/>
    </row>
    <row r="1921" ht="20.25" customHeight="1">
      <c r="A1921" s="701"/>
      <c r="B1921" s="702"/>
      <c r="C1921" s="341"/>
      <c r="D1921" s="463"/>
      <c r="E1921" s="455"/>
      <c r="F1921" s="463"/>
      <c r="G1921" s="455"/>
      <c r="H1921" s="455"/>
      <c r="I1921" s="463"/>
      <c r="J1921" s="463"/>
      <c r="K1921" s="455"/>
      <c r="L1921" s="463"/>
      <c r="M1921" s="455"/>
      <c r="N1921" s="455"/>
    </row>
    <row r="1922" ht="20.25" customHeight="1">
      <c r="A1922" s="696"/>
      <c r="B1922" s="697"/>
      <c r="C1922" s="342"/>
      <c r="D1922" s="475"/>
      <c r="E1922" s="699"/>
      <c r="F1922" s="475"/>
      <c r="G1922" s="699"/>
      <c r="H1922" s="699"/>
      <c r="I1922" s="463"/>
      <c r="J1922" s="475"/>
      <c r="K1922" s="699"/>
      <c r="L1922" s="475"/>
      <c r="M1922" s="699"/>
      <c r="N1922" s="699"/>
    </row>
    <row r="1923" ht="20.25" customHeight="1">
      <c r="A1923" s="701"/>
      <c r="B1923" s="702"/>
      <c r="C1923" s="341"/>
      <c r="D1923" s="463"/>
      <c r="E1923" s="455"/>
      <c r="F1923" s="463"/>
      <c r="G1923" s="455"/>
      <c r="H1923" s="455"/>
      <c r="I1923" s="463"/>
      <c r="J1923" s="463"/>
      <c r="K1923" s="455"/>
      <c r="L1923" s="463"/>
      <c r="M1923" s="455"/>
      <c r="N1923" s="455"/>
    </row>
    <row r="1924" ht="20.25" customHeight="1">
      <c r="A1924" s="696"/>
      <c r="B1924" s="697"/>
      <c r="C1924" s="342"/>
      <c r="D1924" s="475"/>
      <c r="E1924" s="699"/>
      <c r="F1924" s="475"/>
      <c r="G1924" s="699"/>
      <c r="H1924" s="699"/>
      <c r="I1924" s="463"/>
      <c r="J1924" s="475"/>
      <c r="K1924" s="699"/>
      <c r="L1924" s="475"/>
      <c r="M1924" s="699"/>
      <c r="N1924" s="699"/>
    </row>
    <row r="1925" ht="20.25" customHeight="1">
      <c r="A1925" s="701"/>
      <c r="B1925" s="702"/>
      <c r="C1925" s="341"/>
      <c r="D1925" s="463"/>
      <c r="E1925" s="455"/>
      <c r="F1925" s="463"/>
      <c r="G1925" s="455"/>
      <c r="H1925" s="455"/>
      <c r="I1925" s="463"/>
      <c r="J1925" s="463"/>
      <c r="K1925" s="455"/>
      <c r="L1925" s="463"/>
      <c r="M1925" s="455"/>
      <c r="N1925" s="455"/>
    </row>
    <row r="1926" ht="20.25" customHeight="1">
      <c r="A1926" s="696"/>
      <c r="B1926" s="697"/>
      <c r="C1926" s="342"/>
      <c r="D1926" s="475"/>
      <c r="E1926" s="699"/>
      <c r="F1926" s="475"/>
      <c r="G1926" s="699"/>
      <c r="H1926" s="699"/>
      <c r="I1926" s="463"/>
      <c r="J1926" s="475"/>
      <c r="K1926" s="699"/>
      <c r="L1926" s="475"/>
      <c r="M1926" s="699"/>
      <c r="N1926" s="699"/>
    </row>
    <row r="1927" ht="20.25" customHeight="1">
      <c r="A1927" s="701"/>
      <c r="B1927" s="702"/>
      <c r="C1927" s="341"/>
      <c r="D1927" s="463"/>
      <c r="E1927" s="455"/>
      <c r="F1927" s="463"/>
      <c r="G1927" s="455"/>
      <c r="H1927" s="455"/>
      <c r="I1927" s="463"/>
      <c r="J1927" s="463"/>
      <c r="K1927" s="455"/>
      <c r="L1927" s="463"/>
      <c r="M1927" s="455"/>
      <c r="N1927" s="455"/>
    </row>
    <row r="1928" ht="20.25" customHeight="1">
      <c r="A1928" s="696"/>
      <c r="B1928" s="697"/>
      <c r="C1928" s="342"/>
      <c r="D1928" s="475"/>
      <c r="E1928" s="699"/>
      <c r="F1928" s="475"/>
      <c r="G1928" s="699"/>
      <c r="H1928" s="699"/>
      <c r="I1928" s="463"/>
      <c r="J1928" s="475"/>
      <c r="K1928" s="699"/>
      <c r="L1928" s="475"/>
      <c r="M1928" s="699"/>
      <c r="N1928" s="699"/>
    </row>
    <row r="1929" ht="20.25" customHeight="1">
      <c r="A1929" s="701"/>
      <c r="B1929" s="702"/>
      <c r="C1929" s="341"/>
      <c r="D1929" s="463"/>
      <c r="E1929" s="455"/>
      <c r="F1929" s="463"/>
      <c r="G1929" s="455"/>
      <c r="H1929" s="455"/>
      <c r="I1929" s="463"/>
      <c r="J1929" s="463"/>
      <c r="K1929" s="455"/>
      <c r="L1929" s="463"/>
      <c r="M1929" s="455"/>
      <c r="N1929" s="455"/>
    </row>
    <row r="1930" ht="20.25" customHeight="1">
      <c r="A1930" s="696"/>
      <c r="B1930" s="697"/>
      <c r="C1930" s="342"/>
      <c r="D1930" s="475"/>
      <c r="E1930" s="699"/>
      <c r="F1930" s="475"/>
      <c r="G1930" s="699"/>
      <c r="H1930" s="699"/>
      <c r="I1930" s="463"/>
      <c r="J1930" s="475"/>
      <c r="K1930" s="699"/>
      <c r="L1930" s="475"/>
      <c r="M1930" s="699"/>
      <c r="N1930" s="699"/>
    </row>
    <row r="1931" ht="20.25" customHeight="1">
      <c r="A1931" s="701"/>
      <c r="B1931" s="702"/>
      <c r="C1931" s="341"/>
      <c r="D1931" s="463"/>
      <c r="E1931" s="455"/>
      <c r="F1931" s="463"/>
      <c r="G1931" s="455"/>
      <c r="H1931" s="455"/>
      <c r="I1931" s="463"/>
      <c r="J1931" s="463"/>
      <c r="K1931" s="455"/>
      <c r="L1931" s="463"/>
      <c r="M1931" s="455"/>
      <c r="N1931" s="455"/>
    </row>
    <row r="1932" ht="20.25" customHeight="1">
      <c r="A1932" s="696"/>
      <c r="B1932" s="697"/>
      <c r="C1932" s="342"/>
      <c r="D1932" s="475"/>
      <c r="E1932" s="699"/>
      <c r="F1932" s="475"/>
      <c r="G1932" s="699"/>
      <c r="H1932" s="699"/>
      <c r="I1932" s="463"/>
      <c r="J1932" s="475"/>
      <c r="K1932" s="699"/>
      <c r="L1932" s="475"/>
      <c r="M1932" s="699"/>
      <c r="N1932" s="699"/>
    </row>
    <row r="1933" ht="20.25" customHeight="1">
      <c r="A1933" s="701"/>
      <c r="B1933" s="702"/>
      <c r="C1933" s="341"/>
      <c r="D1933" s="463"/>
      <c r="E1933" s="455"/>
      <c r="F1933" s="463"/>
      <c r="G1933" s="455"/>
      <c r="H1933" s="455"/>
      <c r="I1933" s="463"/>
      <c r="J1933" s="463"/>
      <c r="K1933" s="455"/>
      <c r="L1933" s="463"/>
      <c r="M1933" s="455"/>
      <c r="N1933" s="455"/>
    </row>
    <row r="1934" ht="20.25" customHeight="1">
      <c r="A1934" s="696"/>
      <c r="B1934" s="697"/>
      <c r="C1934" s="342"/>
      <c r="D1934" s="475"/>
      <c r="E1934" s="699"/>
      <c r="F1934" s="475"/>
      <c r="G1934" s="699"/>
      <c r="H1934" s="699"/>
      <c r="I1934" s="463"/>
      <c r="J1934" s="475"/>
      <c r="K1934" s="699"/>
      <c r="L1934" s="475"/>
      <c r="M1934" s="699"/>
      <c r="N1934" s="699"/>
    </row>
    <row r="1935" ht="20.25" customHeight="1">
      <c r="A1935" s="701"/>
      <c r="B1935" s="702"/>
      <c r="C1935" s="341"/>
      <c r="D1935" s="463"/>
      <c r="E1935" s="455"/>
      <c r="F1935" s="463"/>
      <c r="G1935" s="455"/>
      <c r="H1935" s="455"/>
      <c r="I1935" s="463"/>
      <c r="J1935" s="463"/>
      <c r="K1935" s="455"/>
      <c r="L1935" s="463"/>
      <c r="M1935" s="455"/>
      <c r="N1935" s="455"/>
    </row>
    <row r="1936" ht="20.25" customHeight="1">
      <c r="A1936" s="696"/>
      <c r="B1936" s="697"/>
      <c r="C1936" s="342"/>
      <c r="D1936" s="475"/>
      <c r="E1936" s="699"/>
      <c r="F1936" s="475"/>
      <c r="G1936" s="699"/>
      <c r="H1936" s="699"/>
      <c r="I1936" s="463"/>
      <c r="J1936" s="475"/>
      <c r="K1936" s="699"/>
      <c r="L1936" s="475"/>
      <c r="M1936" s="699"/>
      <c r="N1936" s="699"/>
    </row>
    <row r="1937" ht="20.25" customHeight="1">
      <c r="A1937" s="701"/>
      <c r="B1937" s="702"/>
      <c r="C1937" s="341"/>
      <c r="D1937" s="463"/>
      <c r="E1937" s="455"/>
      <c r="F1937" s="463"/>
      <c r="G1937" s="455"/>
      <c r="H1937" s="455"/>
      <c r="I1937" s="463"/>
      <c r="J1937" s="463"/>
      <c r="K1937" s="455"/>
      <c r="L1937" s="463"/>
      <c r="M1937" s="455"/>
      <c r="N1937" s="455"/>
    </row>
    <row r="1938" ht="20.25" customHeight="1">
      <c r="A1938" s="696"/>
      <c r="B1938" s="697"/>
      <c r="C1938" s="342"/>
      <c r="D1938" s="475"/>
      <c r="E1938" s="699"/>
      <c r="F1938" s="475"/>
      <c r="G1938" s="699"/>
      <c r="H1938" s="699"/>
      <c r="I1938" s="463"/>
      <c r="J1938" s="475"/>
      <c r="K1938" s="699"/>
      <c r="L1938" s="475"/>
      <c r="M1938" s="699"/>
      <c r="N1938" s="699"/>
    </row>
    <row r="1939" ht="20.25" customHeight="1">
      <c r="A1939" s="701"/>
      <c r="B1939" s="702"/>
      <c r="C1939" s="341"/>
      <c r="D1939" s="463"/>
      <c r="E1939" s="455"/>
      <c r="F1939" s="463"/>
      <c r="G1939" s="455"/>
      <c r="H1939" s="455"/>
      <c r="I1939" s="463"/>
      <c r="J1939" s="463"/>
      <c r="K1939" s="455"/>
      <c r="L1939" s="463"/>
      <c r="M1939" s="455"/>
      <c r="N1939" s="455"/>
    </row>
    <row r="1940" ht="20.25" customHeight="1">
      <c r="A1940" s="696"/>
      <c r="B1940" s="697"/>
      <c r="C1940" s="342"/>
      <c r="D1940" s="475"/>
      <c r="E1940" s="699"/>
      <c r="F1940" s="475"/>
      <c r="G1940" s="699"/>
      <c r="H1940" s="699"/>
      <c r="I1940" s="463"/>
      <c r="J1940" s="475"/>
      <c r="K1940" s="699"/>
      <c r="L1940" s="475"/>
      <c r="M1940" s="699"/>
      <c r="N1940" s="699"/>
    </row>
    <row r="1941" ht="20.25" customHeight="1">
      <c r="A1941" s="701"/>
      <c r="B1941" s="702"/>
      <c r="C1941" s="341"/>
      <c r="D1941" s="463"/>
      <c r="E1941" s="455"/>
      <c r="F1941" s="463"/>
      <c r="G1941" s="455"/>
      <c r="H1941" s="455"/>
      <c r="I1941" s="463"/>
      <c r="J1941" s="463"/>
      <c r="K1941" s="455"/>
      <c r="L1941" s="463"/>
      <c r="M1941" s="455"/>
      <c r="N1941" s="455"/>
    </row>
    <row r="1942" ht="20.25" customHeight="1">
      <c r="A1942" s="696"/>
      <c r="B1942" s="697"/>
      <c r="C1942" s="342"/>
      <c r="D1942" s="475"/>
      <c r="E1942" s="699"/>
      <c r="F1942" s="475"/>
      <c r="G1942" s="699"/>
      <c r="H1942" s="699"/>
      <c r="I1942" s="463"/>
      <c r="J1942" s="475"/>
      <c r="K1942" s="699"/>
      <c r="L1942" s="475"/>
      <c r="M1942" s="699"/>
      <c r="N1942" s="699"/>
    </row>
    <row r="1943" ht="20.25" customHeight="1">
      <c r="A1943" s="701"/>
      <c r="B1943" s="702"/>
      <c r="C1943" s="341"/>
      <c r="D1943" s="463"/>
      <c r="E1943" s="455"/>
      <c r="F1943" s="463"/>
      <c r="G1943" s="455"/>
      <c r="H1943" s="455"/>
      <c r="I1943" s="463"/>
      <c r="J1943" s="463"/>
      <c r="K1943" s="455"/>
      <c r="L1943" s="463"/>
      <c r="M1943" s="455"/>
      <c r="N1943" s="455"/>
    </row>
    <row r="1944" ht="20.25" customHeight="1">
      <c r="A1944" s="696"/>
      <c r="B1944" s="697"/>
      <c r="C1944" s="342"/>
      <c r="D1944" s="475"/>
      <c r="E1944" s="699"/>
      <c r="F1944" s="475"/>
      <c r="G1944" s="699"/>
      <c r="H1944" s="699"/>
      <c r="I1944" s="463"/>
      <c r="J1944" s="475"/>
      <c r="K1944" s="699"/>
      <c r="L1944" s="475"/>
      <c r="M1944" s="699"/>
      <c r="N1944" s="699"/>
    </row>
    <row r="1945" ht="20.25" customHeight="1">
      <c r="A1945" s="701"/>
      <c r="B1945" s="702"/>
      <c r="C1945" s="341"/>
      <c r="D1945" s="463"/>
      <c r="E1945" s="455"/>
      <c r="F1945" s="463"/>
      <c r="G1945" s="455"/>
      <c r="H1945" s="455"/>
      <c r="I1945" s="463"/>
      <c r="J1945" s="463"/>
      <c r="K1945" s="455"/>
      <c r="L1945" s="463"/>
      <c r="M1945" s="455"/>
      <c r="N1945" s="455"/>
    </row>
    <row r="1946" ht="20.25" customHeight="1">
      <c r="A1946" s="696"/>
      <c r="B1946" s="697"/>
      <c r="C1946" s="342"/>
      <c r="D1946" s="475"/>
      <c r="E1946" s="699"/>
      <c r="F1946" s="475"/>
      <c r="G1946" s="699"/>
      <c r="H1946" s="699"/>
      <c r="I1946" s="463"/>
      <c r="J1946" s="475"/>
      <c r="K1946" s="699"/>
      <c r="L1946" s="475"/>
      <c r="M1946" s="699"/>
      <c r="N1946" s="699"/>
    </row>
    <row r="1947" ht="20.25" customHeight="1">
      <c r="A1947" s="701"/>
      <c r="B1947" s="702"/>
      <c r="C1947" s="341"/>
      <c r="D1947" s="463"/>
      <c r="E1947" s="455"/>
      <c r="F1947" s="463"/>
      <c r="G1947" s="455"/>
      <c r="H1947" s="455"/>
      <c r="I1947" s="463"/>
      <c r="J1947" s="463"/>
      <c r="K1947" s="455"/>
      <c r="L1947" s="463"/>
      <c r="M1947" s="455"/>
      <c r="N1947" s="455"/>
    </row>
    <row r="1948" ht="20.25" customHeight="1">
      <c r="A1948" s="696"/>
      <c r="B1948" s="697"/>
      <c r="C1948" s="342"/>
      <c r="D1948" s="475"/>
      <c r="E1948" s="699"/>
      <c r="F1948" s="475"/>
      <c r="G1948" s="699"/>
      <c r="H1948" s="699"/>
      <c r="I1948" s="463"/>
      <c r="J1948" s="475"/>
      <c r="K1948" s="699"/>
      <c r="L1948" s="475"/>
      <c r="M1948" s="699"/>
      <c r="N1948" s="699"/>
    </row>
    <row r="1949" ht="20.25" customHeight="1">
      <c r="A1949" s="701"/>
      <c r="B1949" s="702"/>
      <c r="C1949" s="341"/>
      <c r="D1949" s="463"/>
      <c r="E1949" s="455"/>
      <c r="F1949" s="463"/>
      <c r="G1949" s="455"/>
      <c r="H1949" s="455"/>
      <c r="I1949" s="463"/>
      <c r="J1949" s="463"/>
      <c r="K1949" s="455"/>
      <c r="L1949" s="463"/>
      <c r="M1949" s="455"/>
      <c r="N1949" s="455"/>
    </row>
    <row r="1950" ht="20.25" customHeight="1">
      <c r="A1950" s="696"/>
      <c r="B1950" s="697"/>
      <c r="C1950" s="342"/>
      <c r="D1950" s="475"/>
      <c r="E1950" s="699"/>
      <c r="F1950" s="475"/>
      <c r="G1950" s="699"/>
      <c r="H1950" s="699"/>
      <c r="I1950" s="463"/>
      <c r="J1950" s="475"/>
      <c r="K1950" s="699"/>
      <c r="L1950" s="475"/>
      <c r="M1950" s="699"/>
      <c r="N1950" s="699"/>
    </row>
    <row r="1951" ht="20.25" customHeight="1">
      <c r="A1951" s="701"/>
      <c r="B1951" s="702"/>
      <c r="C1951" s="341"/>
      <c r="D1951" s="463"/>
      <c r="E1951" s="455"/>
      <c r="F1951" s="463"/>
      <c r="G1951" s="455"/>
      <c r="H1951" s="455"/>
      <c r="I1951" s="463"/>
      <c r="J1951" s="463"/>
      <c r="K1951" s="455"/>
      <c r="L1951" s="463"/>
      <c r="M1951" s="455"/>
      <c r="N1951" s="455"/>
    </row>
    <row r="1952" ht="20.25" customHeight="1">
      <c r="A1952" s="696"/>
      <c r="B1952" s="697"/>
      <c r="C1952" s="342"/>
      <c r="D1952" s="475"/>
      <c r="E1952" s="699"/>
      <c r="F1952" s="475"/>
      <c r="G1952" s="699"/>
      <c r="H1952" s="699"/>
      <c r="I1952" s="463"/>
      <c r="J1952" s="475"/>
      <c r="K1952" s="699"/>
      <c r="L1952" s="475"/>
      <c r="M1952" s="699"/>
      <c r="N1952" s="699"/>
    </row>
    <row r="1953" ht="20.25" customHeight="1">
      <c r="A1953" s="701"/>
      <c r="B1953" s="702"/>
      <c r="C1953" s="341"/>
      <c r="D1953" s="463"/>
      <c r="E1953" s="455"/>
      <c r="F1953" s="463"/>
      <c r="G1953" s="455"/>
      <c r="H1953" s="455"/>
      <c r="I1953" s="463"/>
      <c r="J1953" s="463"/>
      <c r="K1953" s="455"/>
      <c r="L1953" s="463"/>
      <c r="M1953" s="455"/>
      <c r="N1953" s="455"/>
    </row>
    <row r="1954" ht="20.25" customHeight="1">
      <c r="A1954" s="696"/>
      <c r="B1954" s="697"/>
      <c r="C1954" s="342"/>
      <c r="D1954" s="475"/>
      <c r="E1954" s="699"/>
      <c r="F1954" s="475"/>
      <c r="G1954" s="699"/>
      <c r="H1954" s="699"/>
      <c r="I1954" s="463"/>
      <c r="J1954" s="475"/>
      <c r="K1954" s="699"/>
      <c r="L1954" s="475"/>
      <c r="M1954" s="699"/>
      <c r="N1954" s="699"/>
    </row>
    <row r="1955" ht="20.25" customHeight="1">
      <c r="A1955" s="701"/>
      <c r="B1955" s="702"/>
      <c r="C1955" s="341"/>
      <c r="D1955" s="463"/>
      <c r="E1955" s="455"/>
      <c r="F1955" s="463"/>
      <c r="G1955" s="455"/>
      <c r="H1955" s="455"/>
      <c r="I1955" s="463"/>
      <c r="J1955" s="463"/>
      <c r="K1955" s="455"/>
      <c r="L1955" s="463"/>
      <c r="M1955" s="455"/>
      <c r="N1955" s="455"/>
    </row>
    <row r="1956" ht="20.25" customHeight="1">
      <c r="A1956" s="696"/>
      <c r="B1956" s="697"/>
      <c r="C1956" s="342"/>
      <c r="D1956" s="475"/>
      <c r="E1956" s="699"/>
      <c r="F1956" s="475"/>
      <c r="G1956" s="699"/>
      <c r="H1956" s="699"/>
      <c r="I1956" s="463"/>
      <c r="J1956" s="475"/>
      <c r="K1956" s="699"/>
      <c r="L1956" s="475"/>
      <c r="M1956" s="699"/>
      <c r="N1956" s="699"/>
    </row>
    <row r="1957" ht="20.25" customHeight="1">
      <c r="A1957" s="701"/>
      <c r="B1957" s="702"/>
      <c r="C1957" s="341"/>
      <c r="D1957" s="463"/>
      <c r="E1957" s="455"/>
      <c r="F1957" s="463"/>
      <c r="G1957" s="455"/>
      <c r="H1957" s="455"/>
      <c r="I1957" s="463"/>
      <c r="J1957" s="463"/>
      <c r="K1957" s="455"/>
      <c r="L1957" s="463"/>
      <c r="M1957" s="455"/>
      <c r="N1957" s="455"/>
    </row>
    <row r="1958" ht="20.25" customHeight="1">
      <c r="A1958" s="696"/>
      <c r="B1958" s="697"/>
      <c r="C1958" s="342"/>
      <c r="D1958" s="475"/>
      <c r="E1958" s="699"/>
      <c r="F1958" s="475"/>
      <c r="G1958" s="699"/>
      <c r="H1958" s="699"/>
      <c r="I1958" s="463"/>
      <c r="J1958" s="475"/>
      <c r="K1958" s="699"/>
      <c r="L1958" s="475"/>
      <c r="M1958" s="699"/>
      <c r="N1958" s="699"/>
    </row>
    <row r="1959" ht="20.25" customHeight="1">
      <c r="A1959" s="701"/>
      <c r="B1959" s="702"/>
      <c r="C1959" s="341"/>
      <c r="D1959" s="463"/>
      <c r="E1959" s="455"/>
      <c r="F1959" s="463"/>
      <c r="G1959" s="455"/>
      <c r="H1959" s="455"/>
      <c r="I1959" s="463"/>
      <c r="J1959" s="463"/>
      <c r="K1959" s="455"/>
      <c r="L1959" s="463"/>
      <c r="M1959" s="455"/>
      <c r="N1959" s="455"/>
    </row>
    <row r="1960" ht="20.25" customHeight="1">
      <c r="A1960" s="696"/>
      <c r="B1960" s="697"/>
      <c r="C1960" s="342"/>
      <c r="D1960" s="475"/>
      <c r="E1960" s="699"/>
      <c r="F1960" s="475"/>
      <c r="G1960" s="699"/>
      <c r="H1960" s="699"/>
      <c r="I1960" s="463"/>
      <c r="J1960" s="475"/>
      <c r="K1960" s="699"/>
      <c r="L1960" s="475"/>
      <c r="M1960" s="699"/>
      <c r="N1960" s="699"/>
    </row>
    <row r="1961" ht="20.25" customHeight="1">
      <c r="A1961" s="701"/>
      <c r="B1961" s="702"/>
      <c r="C1961" s="341"/>
      <c r="D1961" s="463"/>
      <c r="E1961" s="455"/>
      <c r="F1961" s="463"/>
      <c r="G1961" s="455"/>
      <c r="H1961" s="455"/>
      <c r="I1961" s="463"/>
      <c r="J1961" s="463"/>
      <c r="K1961" s="455"/>
      <c r="L1961" s="463"/>
      <c r="M1961" s="455"/>
      <c r="N1961" s="455"/>
    </row>
    <row r="1962" ht="20.25" customHeight="1">
      <c r="A1962" s="696"/>
      <c r="B1962" s="697"/>
      <c r="C1962" s="342"/>
      <c r="D1962" s="475"/>
      <c r="E1962" s="699"/>
      <c r="F1962" s="475"/>
      <c r="G1962" s="699"/>
      <c r="H1962" s="699"/>
      <c r="I1962" s="463"/>
      <c r="J1962" s="475"/>
      <c r="K1962" s="699"/>
      <c r="L1962" s="475"/>
      <c r="M1962" s="699"/>
      <c r="N1962" s="699"/>
    </row>
    <row r="1963" ht="20.25" customHeight="1">
      <c r="A1963" s="701"/>
      <c r="B1963" s="702"/>
      <c r="C1963" s="341"/>
      <c r="D1963" s="463"/>
      <c r="E1963" s="455"/>
      <c r="F1963" s="463"/>
      <c r="G1963" s="455"/>
      <c r="H1963" s="455"/>
      <c r="I1963" s="463"/>
      <c r="J1963" s="463"/>
      <c r="K1963" s="455"/>
      <c r="L1963" s="463"/>
      <c r="M1963" s="455"/>
      <c r="N1963" s="455"/>
    </row>
    <row r="1964" ht="20.25" customHeight="1">
      <c r="A1964" s="696"/>
      <c r="B1964" s="697"/>
      <c r="C1964" s="342"/>
      <c r="D1964" s="475"/>
      <c r="E1964" s="699"/>
      <c r="F1964" s="475"/>
      <c r="G1964" s="699"/>
      <c r="H1964" s="699"/>
      <c r="I1964" s="463"/>
      <c r="J1964" s="475"/>
      <c r="K1964" s="699"/>
      <c r="L1964" s="475"/>
      <c r="M1964" s="699"/>
      <c r="N1964" s="699"/>
    </row>
    <row r="1965" ht="20.25" customHeight="1">
      <c r="A1965" s="701"/>
      <c r="B1965" s="702"/>
      <c r="C1965" s="341"/>
      <c r="D1965" s="463"/>
      <c r="E1965" s="455"/>
      <c r="F1965" s="463"/>
      <c r="G1965" s="455"/>
      <c r="H1965" s="455"/>
      <c r="I1965" s="463"/>
      <c r="J1965" s="463"/>
      <c r="K1965" s="455"/>
      <c r="L1965" s="463"/>
      <c r="M1965" s="455"/>
      <c r="N1965" s="455"/>
    </row>
    <row r="1966" ht="20.25" customHeight="1">
      <c r="A1966" s="696"/>
      <c r="B1966" s="697"/>
      <c r="C1966" s="342"/>
      <c r="D1966" s="475"/>
      <c r="E1966" s="699"/>
      <c r="F1966" s="475"/>
      <c r="G1966" s="699"/>
      <c r="H1966" s="699"/>
      <c r="I1966" s="463"/>
      <c r="J1966" s="475"/>
      <c r="K1966" s="699"/>
      <c r="L1966" s="475"/>
      <c r="M1966" s="699"/>
      <c r="N1966" s="699"/>
    </row>
    <row r="1967" ht="20.25" customHeight="1">
      <c r="A1967" s="701"/>
      <c r="B1967" s="702"/>
      <c r="C1967" s="341"/>
      <c r="D1967" s="463"/>
      <c r="E1967" s="455"/>
      <c r="F1967" s="463"/>
      <c r="G1967" s="455"/>
      <c r="H1967" s="455"/>
      <c r="I1967" s="463"/>
      <c r="J1967" s="463"/>
      <c r="K1967" s="455"/>
      <c r="L1967" s="463"/>
      <c r="M1967" s="455"/>
      <c r="N1967" s="455"/>
    </row>
    <row r="1968" ht="20.25" customHeight="1">
      <c r="A1968" s="696"/>
      <c r="B1968" s="697"/>
      <c r="C1968" s="342"/>
      <c r="D1968" s="475"/>
      <c r="E1968" s="699"/>
      <c r="F1968" s="475"/>
      <c r="G1968" s="699"/>
      <c r="H1968" s="699"/>
      <c r="I1968" s="463"/>
      <c r="J1968" s="475"/>
      <c r="K1968" s="699"/>
      <c r="L1968" s="475"/>
      <c r="M1968" s="699"/>
      <c r="N1968" s="699"/>
    </row>
    <row r="1969" ht="20.25" customHeight="1">
      <c r="A1969" s="701"/>
      <c r="B1969" s="702"/>
      <c r="C1969" s="341"/>
      <c r="D1969" s="463"/>
      <c r="E1969" s="455"/>
      <c r="F1969" s="463"/>
      <c r="G1969" s="455"/>
      <c r="H1969" s="455"/>
      <c r="I1969" s="463"/>
      <c r="J1969" s="463"/>
      <c r="K1969" s="455"/>
      <c r="L1969" s="463"/>
      <c r="M1969" s="455"/>
      <c r="N1969" s="455"/>
    </row>
    <row r="1970" ht="20.25" customHeight="1">
      <c r="A1970" s="696"/>
      <c r="B1970" s="697"/>
      <c r="C1970" s="342"/>
      <c r="D1970" s="475"/>
      <c r="E1970" s="699"/>
      <c r="F1970" s="475"/>
      <c r="G1970" s="699"/>
      <c r="H1970" s="699"/>
      <c r="I1970" s="463"/>
      <c r="J1970" s="475"/>
      <c r="K1970" s="699"/>
      <c r="L1970" s="475"/>
      <c r="M1970" s="699"/>
      <c r="N1970" s="699"/>
    </row>
    <row r="1971" ht="20.25" customHeight="1">
      <c r="A1971" s="701"/>
      <c r="B1971" s="702"/>
      <c r="C1971" s="341"/>
      <c r="D1971" s="463"/>
      <c r="E1971" s="455"/>
      <c r="F1971" s="463"/>
      <c r="G1971" s="455"/>
      <c r="H1971" s="455"/>
      <c r="I1971" s="463"/>
      <c r="J1971" s="463"/>
      <c r="K1971" s="455"/>
      <c r="L1971" s="463"/>
      <c r="M1971" s="455"/>
      <c r="N1971" s="455"/>
    </row>
    <row r="1972" ht="20.25" customHeight="1">
      <c r="A1972" s="696"/>
      <c r="B1972" s="697"/>
      <c r="C1972" s="342"/>
      <c r="D1972" s="475"/>
      <c r="E1972" s="699"/>
      <c r="F1972" s="475"/>
      <c r="G1972" s="699"/>
      <c r="H1972" s="699"/>
      <c r="I1972" s="463"/>
      <c r="J1972" s="475"/>
      <c r="K1972" s="699"/>
      <c r="L1972" s="475"/>
      <c r="M1972" s="699"/>
      <c r="N1972" s="699"/>
    </row>
    <row r="1973" ht="20.25" customHeight="1">
      <c r="A1973" s="701"/>
      <c r="B1973" s="702"/>
      <c r="C1973" s="341"/>
      <c r="D1973" s="463"/>
      <c r="E1973" s="455"/>
      <c r="F1973" s="463"/>
      <c r="G1973" s="455"/>
      <c r="H1973" s="455"/>
      <c r="I1973" s="463"/>
      <c r="J1973" s="463"/>
      <c r="K1973" s="455"/>
      <c r="L1973" s="463"/>
      <c r="M1973" s="455"/>
      <c r="N1973" s="455"/>
    </row>
    <row r="1974" ht="20.25" customHeight="1">
      <c r="A1974" s="696"/>
      <c r="B1974" s="697"/>
      <c r="C1974" s="342"/>
      <c r="D1974" s="475"/>
      <c r="E1974" s="699"/>
      <c r="F1974" s="475"/>
      <c r="G1974" s="699"/>
      <c r="H1974" s="699"/>
      <c r="I1974" s="463"/>
      <c r="J1974" s="475"/>
      <c r="K1974" s="699"/>
      <c r="L1974" s="475"/>
      <c r="M1974" s="699"/>
      <c r="N1974" s="699"/>
    </row>
    <row r="1975" ht="20.25" customHeight="1">
      <c r="A1975" s="701"/>
      <c r="B1975" s="702"/>
      <c r="C1975" s="341"/>
      <c r="D1975" s="463"/>
      <c r="E1975" s="455"/>
      <c r="F1975" s="463"/>
      <c r="G1975" s="455"/>
      <c r="H1975" s="455"/>
      <c r="I1975" s="463"/>
      <c r="J1975" s="463"/>
      <c r="K1975" s="455"/>
      <c r="L1975" s="463"/>
      <c r="M1975" s="455"/>
      <c r="N1975" s="455"/>
    </row>
    <row r="1976" ht="20.25" customHeight="1">
      <c r="A1976" s="696"/>
      <c r="B1976" s="697"/>
      <c r="C1976" s="342"/>
      <c r="D1976" s="475"/>
      <c r="E1976" s="699"/>
      <c r="F1976" s="475"/>
      <c r="G1976" s="699"/>
      <c r="H1976" s="699"/>
      <c r="I1976" s="463"/>
      <c r="J1976" s="475"/>
      <c r="K1976" s="699"/>
      <c r="L1976" s="475"/>
      <c r="M1976" s="699"/>
      <c r="N1976" s="699"/>
    </row>
    <row r="1977" ht="20.25" customHeight="1">
      <c r="A1977" s="701"/>
      <c r="B1977" s="702"/>
      <c r="C1977" s="341"/>
      <c r="D1977" s="463"/>
      <c r="E1977" s="455"/>
      <c r="F1977" s="463"/>
      <c r="G1977" s="455"/>
      <c r="H1977" s="455"/>
      <c r="I1977" s="463"/>
      <c r="J1977" s="463"/>
      <c r="K1977" s="455"/>
      <c r="L1977" s="463"/>
      <c r="M1977" s="455"/>
      <c r="N1977" s="455"/>
    </row>
    <row r="1978" ht="20.25" customHeight="1">
      <c r="A1978" s="696"/>
      <c r="B1978" s="697"/>
      <c r="C1978" s="342"/>
      <c r="D1978" s="475"/>
      <c r="E1978" s="699"/>
      <c r="F1978" s="475"/>
      <c r="G1978" s="699"/>
      <c r="H1978" s="699"/>
      <c r="I1978" s="463"/>
      <c r="J1978" s="475"/>
      <c r="K1978" s="699"/>
      <c r="L1978" s="475"/>
      <c r="M1978" s="699"/>
      <c r="N1978" s="699"/>
    </row>
    <row r="1979" ht="20.25" customHeight="1">
      <c r="A1979" s="701"/>
      <c r="B1979" s="702"/>
      <c r="C1979" s="341"/>
      <c r="D1979" s="463"/>
      <c r="E1979" s="455"/>
      <c r="F1979" s="463"/>
      <c r="G1979" s="455"/>
      <c r="H1979" s="455"/>
      <c r="I1979" s="463"/>
      <c r="J1979" s="463"/>
      <c r="K1979" s="455"/>
      <c r="L1979" s="463"/>
      <c r="M1979" s="455"/>
      <c r="N1979" s="455"/>
    </row>
    <row r="1980" ht="20.25" customHeight="1">
      <c r="A1980" s="696"/>
      <c r="B1980" s="697"/>
      <c r="C1980" s="342"/>
      <c r="D1980" s="475"/>
      <c r="E1980" s="699"/>
      <c r="F1980" s="475"/>
      <c r="G1980" s="699"/>
      <c r="H1980" s="699"/>
      <c r="I1980" s="463"/>
      <c r="J1980" s="475"/>
      <c r="K1980" s="699"/>
      <c r="L1980" s="475"/>
      <c r="M1980" s="699"/>
      <c r="N1980" s="699"/>
    </row>
    <row r="1981" ht="20.25" customHeight="1">
      <c r="A1981" s="701"/>
      <c r="B1981" s="702"/>
      <c r="C1981" s="341"/>
      <c r="D1981" s="463"/>
      <c r="E1981" s="455"/>
      <c r="F1981" s="463"/>
      <c r="G1981" s="455"/>
      <c r="H1981" s="455"/>
      <c r="I1981" s="463"/>
      <c r="J1981" s="463"/>
      <c r="K1981" s="455"/>
      <c r="L1981" s="463"/>
      <c r="M1981" s="455"/>
      <c r="N1981" s="455"/>
    </row>
    <row r="1982" ht="20.25" customHeight="1">
      <c r="A1982" s="696"/>
      <c r="B1982" s="697"/>
      <c r="C1982" s="342"/>
      <c r="D1982" s="475"/>
      <c r="E1982" s="699"/>
      <c r="F1982" s="475"/>
      <c r="G1982" s="699"/>
      <c r="H1982" s="699"/>
      <c r="I1982" s="463"/>
      <c r="J1982" s="475"/>
      <c r="K1982" s="699"/>
      <c r="L1982" s="475"/>
      <c r="M1982" s="699"/>
      <c r="N1982" s="699"/>
    </row>
    <row r="1983" ht="20.25" customHeight="1">
      <c r="A1983" s="701"/>
      <c r="B1983" s="702"/>
      <c r="C1983" s="341"/>
      <c r="D1983" s="463"/>
      <c r="E1983" s="455"/>
      <c r="F1983" s="463"/>
      <c r="G1983" s="455"/>
      <c r="H1983" s="455"/>
      <c r="I1983" s="463"/>
      <c r="J1983" s="463"/>
      <c r="K1983" s="455"/>
      <c r="L1983" s="463"/>
      <c r="M1983" s="455"/>
      <c r="N1983" s="455"/>
    </row>
    <row r="1984" ht="20.25" customHeight="1">
      <c r="A1984" s="696"/>
      <c r="B1984" s="697"/>
      <c r="C1984" s="342"/>
      <c r="D1984" s="475"/>
      <c r="E1984" s="699"/>
      <c r="F1984" s="475"/>
      <c r="G1984" s="699"/>
      <c r="H1984" s="699"/>
      <c r="I1984" s="463"/>
      <c r="J1984" s="475"/>
      <c r="K1984" s="699"/>
      <c r="L1984" s="475"/>
      <c r="M1984" s="699"/>
      <c r="N1984" s="699"/>
    </row>
    <row r="1985" ht="20.25" customHeight="1">
      <c r="A1985" s="701"/>
      <c r="B1985" s="702"/>
      <c r="C1985" s="341"/>
      <c r="D1985" s="463"/>
      <c r="E1985" s="455"/>
      <c r="F1985" s="463"/>
      <c r="G1985" s="455"/>
      <c r="H1985" s="455"/>
      <c r="I1985" s="463"/>
      <c r="J1985" s="463"/>
      <c r="K1985" s="455"/>
      <c r="L1985" s="463"/>
      <c r="M1985" s="455"/>
      <c r="N1985" s="455"/>
    </row>
    <row r="1986" ht="20.25" customHeight="1">
      <c r="A1986" s="696"/>
      <c r="B1986" s="697"/>
      <c r="C1986" s="342"/>
      <c r="D1986" s="475"/>
      <c r="E1986" s="699"/>
      <c r="F1986" s="475"/>
      <c r="G1986" s="699"/>
      <c r="H1986" s="699"/>
      <c r="I1986" s="463"/>
      <c r="J1986" s="475"/>
      <c r="K1986" s="699"/>
      <c r="L1986" s="475"/>
      <c r="M1986" s="699"/>
      <c r="N1986" s="699"/>
    </row>
    <row r="1987" ht="20.25" customHeight="1">
      <c r="A1987" s="701"/>
      <c r="B1987" s="702"/>
      <c r="C1987" s="341"/>
      <c r="D1987" s="463"/>
      <c r="E1987" s="455"/>
      <c r="F1987" s="463"/>
      <c r="G1987" s="455"/>
      <c r="H1987" s="455"/>
      <c r="I1987" s="463"/>
      <c r="J1987" s="463"/>
      <c r="K1987" s="455"/>
      <c r="L1987" s="463"/>
      <c r="M1987" s="455"/>
      <c r="N1987" s="455"/>
    </row>
    <row r="1988" ht="20.25" customHeight="1">
      <c r="A1988" s="696"/>
      <c r="B1988" s="697"/>
      <c r="C1988" s="342"/>
      <c r="D1988" s="475"/>
      <c r="E1988" s="699"/>
      <c r="F1988" s="475"/>
      <c r="G1988" s="699"/>
      <c r="H1988" s="699"/>
      <c r="I1988" s="463"/>
      <c r="J1988" s="475"/>
      <c r="K1988" s="699"/>
      <c r="L1988" s="475"/>
      <c r="M1988" s="699"/>
      <c r="N1988" s="699"/>
    </row>
    <row r="1989" ht="20.25" customHeight="1">
      <c r="A1989" s="701"/>
      <c r="B1989" s="702"/>
      <c r="C1989" s="341"/>
      <c r="D1989" s="463"/>
      <c r="E1989" s="455"/>
      <c r="F1989" s="463"/>
      <c r="G1989" s="455"/>
      <c r="H1989" s="455"/>
      <c r="I1989" s="463"/>
      <c r="J1989" s="463"/>
      <c r="K1989" s="455"/>
      <c r="L1989" s="463"/>
      <c r="M1989" s="455"/>
      <c r="N1989" s="455"/>
    </row>
    <row r="1990" ht="20.25" customHeight="1">
      <c r="A1990" s="696"/>
      <c r="B1990" s="697"/>
      <c r="C1990" s="342"/>
      <c r="D1990" s="475"/>
      <c r="E1990" s="699"/>
      <c r="F1990" s="475"/>
      <c r="G1990" s="699"/>
      <c r="H1990" s="699"/>
      <c r="I1990" s="463"/>
      <c r="J1990" s="475"/>
      <c r="K1990" s="699"/>
      <c r="L1990" s="475"/>
      <c r="M1990" s="699"/>
      <c r="N1990" s="699"/>
    </row>
    <row r="1991" ht="20.25" customHeight="1">
      <c r="A1991" s="701"/>
      <c r="B1991" s="702"/>
      <c r="C1991" s="341"/>
      <c r="D1991" s="463"/>
      <c r="E1991" s="455"/>
      <c r="F1991" s="463"/>
      <c r="G1991" s="455"/>
      <c r="H1991" s="455"/>
      <c r="I1991" s="463"/>
      <c r="J1991" s="463"/>
      <c r="K1991" s="455"/>
      <c r="L1991" s="463"/>
      <c r="M1991" s="455"/>
      <c r="N1991" s="455"/>
    </row>
    <row r="1992" ht="20.25" customHeight="1">
      <c r="A1992" s="696"/>
      <c r="B1992" s="697"/>
      <c r="C1992" s="342"/>
      <c r="D1992" s="475"/>
      <c r="E1992" s="699"/>
      <c r="F1992" s="475"/>
      <c r="G1992" s="699"/>
      <c r="H1992" s="699"/>
      <c r="I1992" s="463"/>
      <c r="J1992" s="475"/>
      <c r="K1992" s="699"/>
      <c r="L1992" s="475"/>
      <c r="M1992" s="699"/>
      <c r="N1992" s="699"/>
    </row>
    <row r="1993" ht="20.25" customHeight="1">
      <c r="A1993" s="701"/>
      <c r="B1993" s="702"/>
      <c r="C1993" s="341"/>
      <c r="D1993" s="463"/>
      <c r="E1993" s="455"/>
      <c r="F1993" s="463"/>
      <c r="G1993" s="455"/>
      <c r="H1993" s="455"/>
      <c r="I1993" s="463"/>
      <c r="J1993" s="463"/>
      <c r="K1993" s="455"/>
      <c r="L1993" s="463"/>
      <c r="M1993" s="455"/>
      <c r="N1993" s="455"/>
    </row>
    <row r="1994" ht="20.25" customHeight="1">
      <c r="A1994" s="696"/>
      <c r="B1994" s="697"/>
      <c r="C1994" s="342"/>
      <c r="D1994" s="475"/>
      <c r="E1994" s="699"/>
      <c r="F1994" s="475"/>
      <c r="G1994" s="699"/>
      <c r="H1994" s="699"/>
      <c r="I1994" s="463"/>
      <c r="J1994" s="475"/>
      <c r="K1994" s="699"/>
      <c r="L1994" s="475"/>
      <c r="M1994" s="699"/>
      <c r="N1994" s="699"/>
    </row>
    <row r="1995" ht="20.25" customHeight="1">
      <c r="A1995" s="701"/>
      <c r="B1995" s="702"/>
      <c r="C1995" s="341"/>
      <c r="D1995" s="463"/>
      <c r="E1995" s="455"/>
      <c r="F1995" s="463"/>
      <c r="G1995" s="455"/>
      <c r="H1995" s="455"/>
      <c r="I1995" s="463"/>
      <c r="J1995" s="463"/>
      <c r="K1995" s="455"/>
      <c r="L1995" s="463"/>
      <c r="M1995" s="455"/>
      <c r="N1995" s="455"/>
    </row>
    <row r="1996" ht="20.25" customHeight="1">
      <c r="A1996" s="696"/>
      <c r="B1996" s="697"/>
      <c r="C1996" s="342"/>
      <c r="D1996" s="475"/>
      <c r="E1996" s="699"/>
      <c r="F1996" s="475"/>
      <c r="G1996" s="699"/>
      <c r="H1996" s="699"/>
      <c r="I1996" s="463"/>
      <c r="J1996" s="475"/>
      <c r="K1996" s="699"/>
      <c r="L1996" s="475"/>
      <c r="M1996" s="699"/>
      <c r="N1996" s="699"/>
    </row>
    <row r="1997" ht="20.25" customHeight="1">
      <c r="A1997" s="701"/>
      <c r="B1997" s="702"/>
      <c r="C1997" s="341"/>
      <c r="D1997" s="463"/>
      <c r="E1997" s="455"/>
      <c r="F1997" s="463"/>
      <c r="G1997" s="455"/>
      <c r="H1997" s="455"/>
      <c r="I1997" s="463"/>
      <c r="J1997" s="463"/>
      <c r="K1997" s="455"/>
      <c r="L1997" s="463"/>
      <c r="M1997" s="455"/>
      <c r="N1997" s="455"/>
    </row>
    <row r="1998" ht="20.25" customHeight="1">
      <c r="A1998" s="696"/>
      <c r="B1998" s="697"/>
      <c r="C1998" s="342"/>
      <c r="D1998" s="475"/>
      <c r="E1998" s="699"/>
      <c r="F1998" s="475"/>
      <c r="G1998" s="699"/>
      <c r="H1998" s="699"/>
      <c r="I1998" s="463"/>
      <c r="J1998" s="475"/>
      <c r="K1998" s="699"/>
      <c r="L1998" s="475"/>
      <c r="M1998" s="699"/>
      <c r="N1998" s="699"/>
    </row>
    <row r="1999" ht="20.25" customHeight="1">
      <c r="A1999" s="701"/>
      <c r="B1999" s="702"/>
      <c r="C1999" s="341"/>
      <c r="D1999" s="463"/>
      <c r="E1999" s="455"/>
      <c r="F1999" s="463"/>
      <c r="G1999" s="455"/>
      <c r="H1999" s="455"/>
      <c r="I1999" s="463"/>
      <c r="J1999" s="463"/>
      <c r="K1999" s="455"/>
      <c r="L1999" s="463"/>
      <c r="M1999" s="455"/>
      <c r="N1999" s="455"/>
    </row>
    <row r="2000" ht="20.25" customHeight="1">
      <c r="A2000" s="696"/>
      <c r="B2000" s="697"/>
      <c r="C2000" s="342"/>
      <c r="D2000" s="475"/>
      <c r="E2000" s="699"/>
      <c r="F2000" s="475"/>
      <c r="G2000" s="699"/>
      <c r="H2000" s="699"/>
      <c r="I2000" s="463"/>
      <c r="J2000" s="475"/>
      <c r="K2000" s="699"/>
      <c r="L2000" s="475"/>
      <c r="M2000" s="699"/>
      <c r="N2000" s="699"/>
    </row>
    <row r="2001" ht="20.25" customHeight="1">
      <c r="A2001" s="701"/>
      <c r="B2001" s="702"/>
      <c r="C2001" s="341"/>
      <c r="D2001" s="463"/>
      <c r="E2001" s="455"/>
      <c r="F2001" s="463"/>
      <c r="G2001" s="455"/>
      <c r="H2001" s="455"/>
      <c r="I2001" s="463"/>
      <c r="J2001" s="463"/>
      <c r="K2001" s="455"/>
      <c r="L2001" s="463"/>
      <c r="M2001" s="455"/>
      <c r="N2001" s="455"/>
    </row>
    <row r="2002" ht="20.25" customHeight="1">
      <c r="A2002" s="696"/>
      <c r="B2002" s="697"/>
      <c r="C2002" s="342"/>
      <c r="D2002" s="475"/>
      <c r="E2002" s="699"/>
      <c r="F2002" s="475"/>
      <c r="G2002" s="699"/>
      <c r="H2002" s="699"/>
      <c r="I2002" s="463"/>
      <c r="J2002" s="475"/>
      <c r="K2002" s="699"/>
      <c r="L2002" s="475"/>
      <c r="M2002" s="699"/>
      <c r="N2002" s="699"/>
    </row>
    <row r="2003" ht="20.25" customHeight="1">
      <c r="A2003" s="701"/>
      <c r="B2003" s="702"/>
      <c r="C2003" s="341"/>
      <c r="D2003" s="463"/>
      <c r="E2003" s="455"/>
      <c r="F2003" s="463"/>
      <c r="G2003" s="455"/>
      <c r="H2003" s="455"/>
      <c r="I2003" s="463"/>
      <c r="J2003" s="463"/>
      <c r="K2003" s="455"/>
      <c r="L2003" s="463"/>
      <c r="M2003" s="455"/>
      <c r="N2003" s="455"/>
    </row>
    <row r="2004" ht="20.25" customHeight="1">
      <c r="A2004" s="696"/>
      <c r="B2004" s="697"/>
      <c r="C2004" s="342"/>
      <c r="D2004" s="475"/>
      <c r="E2004" s="699"/>
      <c r="F2004" s="475"/>
      <c r="G2004" s="699"/>
      <c r="H2004" s="699"/>
      <c r="I2004" s="463"/>
      <c r="J2004" s="475"/>
      <c r="K2004" s="699"/>
      <c r="L2004" s="475"/>
      <c r="M2004" s="699"/>
      <c r="N2004" s="699"/>
    </row>
    <row r="2005" ht="20.25" customHeight="1">
      <c r="A2005" s="701"/>
      <c r="B2005" s="702"/>
      <c r="C2005" s="341"/>
      <c r="D2005" s="463"/>
      <c r="E2005" s="455"/>
      <c r="F2005" s="463"/>
      <c r="G2005" s="455"/>
      <c r="H2005" s="455"/>
      <c r="I2005" s="463"/>
      <c r="J2005" s="463"/>
      <c r="K2005" s="455"/>
      <c r="L2005" s="463"/>
      <c r="M2005" s="455"/>
      <c r="N2005" s="455"/>
    </row>
    <row r="2006" ht="20.25" customHeight="1">
      <c r="A2006" s="696"/>
      <c r="B2006" s="697"/>
      <c r="C2006" s="342"/>
      <c r="D2006" s="475"/>
      <c r="E2006" s="699"/>
      <c r="F2006" s="475"/>
      <c r="G2006" s="699"/>
      <c r="H2006" s="699"/>
      <c r="I2006" s="463"/>
      <c r="J2006" s="475"/>
      <c r="K2006" s="699"/>
      <c r="L2006" s="475"/>
      <c r="M2006" s="699"/>
      <c r="N2006" s="699"/>
    </row>
    <row r="2007" ht="20.25" customHeight="1">
      <c r="A2007" s="701"/>
      <c r="B2007" s="702"/>
      <c r="C2007" s="341"/>
      <c r="D2007" s="463"/>
      <c r="E2007" s="455"/>
      <c r="F2007" s="463"/>
      <c r="G2007" s="455"/>
      <c r="H2007" s="455"/>
      <c r="I2007" s="463"/>
      <c r="J2007" s="463"/>
      <c r="K2007" s="455"/>
      <c r="L2007" s="463"/>
      <c r="M2007" s="455"/>
      <c r="N2007" s="455"/>
    </row>
    <row r="2008" ht="20.25" customHeight="1">
      <c r="A2008" s="696"/>
      <c r="B2008" s="697"/>
      <c r="C2008" s="342"/>
      <c r="D2008" s="475"/>
      <c r="E2008" s="699"/>
      <c r="F2008" s="475"/>
      <c r="G2008" s="699"/>
      <c r="H2008" s="699"/>
      <c r="I2008" s="463"/>
      <c r="J2008" s="475"/>
      <c r="K2008" s="699"/>
      <c r="L2008" s="475"/>
      <c r="M2008" s="699"/>
      <c r="N2008" s="699"/>
    </row>
    <row r="2009" ht="20.25" customHeight="1">
      <c r="A2009" s="701"/>
      <c r="B2009" s="702"/>
      <c r="C2009" s="341"/>
      <c r="D2009" s="463"/>
      <c r="E2009" s="455"/>
      <c r="F2009" s="463"/>
      <c r="G2009" s="455"/>
      <c r="H2009" s="455"/>
      <c r="I2009" s="463"/>
      <c r="J2009" s="463"/>
      <c r="K2009" s="455"/>
      <c r="L2009" s="463"/>
      <c r="M2009" s="455"/>
      <c r="N2009" s="455"/>
    </row>
    <row r="2010" ht="20.25" customHeight="1">
      <c r="A2010" s="696"/>
      <c r="B2010" s="697"/>
      <c r="C2010" s="342"/>
      <c r="D2010" s="475"/>
      <c r="E2010" s="699"/>
      <c r="F2010" s="475"/>
      <c r="G2010" s="699"/>
      <c r="H2010" s="699"/>
      <c r="I2010" s="463"/>
      <c r="J2010" s="475"/>
      <c r="K2010" s="699"/>
      <c r="L2010" s="475"/>
      <c r="M2010" s="699"/>
      <c r="N2010" s="699"/>
    </row>
    <row r="2011" ht="20.25" customHeight="1">
      <c r="A2011" s="701"/>
      <c r="B2011" s="702"/>
      <c r="C2011" s="341"/>
      <c r="D2011" s="463"/>
      <c r="E2011" s="455"/>
      <c r="F2011" s="463"/>
      <c r="G2011" s="455"/>
      <c r="H2011" s="455"/>
      <c r="I2011" s="463"/>
      <c r="J2011" s="463"/>
      <c r="K2011" s="455"/>
      <c r="L2011" s="463"/>
      <c r="M2011" s="455"/>
      <c r="N2011" s="455"/>
    </row>
    <row r="2012" ht="20.25" customHeight="1">
      <c r="A2012" s="696"/>
      <c r="B2012" s="697"/>
      <c r="C2012" s="342"/>
      <c r="D2012" s="475"/>
      <c r="E2012" s="699"/>
      <c r="F2012" s="475"/>
      <c r="G2012" s="699"/>
      <c r="H2012" s="699"/>
      <c r="I2012" s="463"/>
      <c r="J2012" s="475"/>
      <c r="K2012" s="699"/>
      <c r="L2012" s="475"/>
      <c r="M2012" s="699"/>
      <c r="N2012" s="699"/>
    </row>
    <row r="2013" ht="20.25" customHeight="1">
      <c r="A2013" s="701"/>
      <c r="B2013" s="702"/>
      <c r="C2013" s="341"/>
      <c r="D2013" s="463"/>
      <c r="E2013" s="455"/>
      <c r="F2013" s="463"/>
      <c r="G2013" s="455"/>
      <c r="H2013" s="455"/>
      <c r="I2013" s="463"/>
      <c r="J2013" s="463"/>
      <c r="K2013" s="455"/>
      <c r="L2013" s="463"/>
      <c r="M2013" s="455"/>
      <c r="N2013" s="455"/>
    </row>
    <row r="2014" ht="20.25" customHeight="1">
      <c r="A2014" s="696"/>
      <c r="B2014" s="697"/>
      <c r="C2014" s="342"/>
      <c r="D2014" s="475"/>
      <c r="E2014" s="699"/>
      <c r="F2014" s="475"/>
      <c r="G2014" s="699"/>
      <c r="H2014" s="699"/>
      <c r="I2014" s="463"/>
      <c r="J2014" s="475"/>
      <c r="K2014" s="699"/>
      <c r="L2014" s="475"/>
      <c r="M2014" s="699"/>
      <c r="N2014" s="699"/>
    </row>
    <row r="2015" ht="20.25" customHeight="1">
      <c r="A2015" s="701"/>
      <c r="B2015" s="702"/>
      <c r="C2015" s="341"/>
      <c r="D2015" s="463"/>
      <c r="E2015" s="455"/>
      <c r="F2015" s="463"/>
      <c r="G2015" s="455"/>
      <c r="H2015" s="455"/>
      <c r="I2015" s="463"/>
      <c r="J2015" s="463"/>
      <c r="K2015" s="455"/>
      <c r="L2015" s="463"/>
      <c r="M2015" s="455"/>
      <c r="N2015" s="455"/>
    </row>
    <row r="2016" ht="20.25" customHeight="1">
      <c r="A2016" s="696"/>
      <c r="B2016" s="697"/>
      <c r="C2016" s="342"/>
      <c r="D2016" s="475"/>
      <c r="E2016" s="699"/>
      <c r="F2016" s="475"/>
      <c r="G2016" s="699"/>
      <c r="H2016" s="699"/>
      <c r="I2016" s="463"/>
      <c r="J2016" s="475"/>
      <c r="K2016" s="699"/>
      <c r="L2016" s="475"/>
      <c r="M2016" s="699"/>
      <c r="N2016" s="699"/>
    </row>
    <row r="2017" ht="20.25" customHeight="1">
      <c r="A2017" s="701"/>
      <c r="B2017" s="702"/>
      <c r="C2017" s="341"/>
      <c r="D2017" s="463"/>
      <c r="E2017" s="455"/>
      <c r="F2017" s="463"/>
      <c r="G2017" s="455"/>
      <c r="H2017" s="455"/>
      <c r="I2017" s="463"/>
      <c r="J2017" s="463"/>
      <c r="K2017" s="455"/>
      <c r="L2017" s="463"/>
      <c r="M2017" s="455"/>
      <c r="N2017" s="455"/>
    </row>
    <row r="2018" ht="20.25" customHeight="1">
      <c r="A2018" s="696"/>
      <c r="B2018" s="697"/>
      <c r="C2018" s="342"/>
      <c r="D2018" s="475"/>
      <c r="E2018" s="699"/>
      <c r="F2018" s="475"/>
      <c r="G2018" s="699"/>
      <c r="H2018" s="699"/>
      <c r="I2018" s="463"/>
      <c r="J2018" s="475"/>
      <c r="K2018" s="699"/>
      <c r="L2018" s="475"/>
      <c r="M2018" s="699"/>
      <c r="N2018" s="699"/>
    </row>
    <row r="2019" ht="20.25" customHeight="1">
      <c r="A2019" s="701"/>
      <c r="B2019" s="702"/>
      <c r="C2019" s="341"/>
      <c r="D2019" s="463"/>
      <c r="E2019" s="455"/>
      <c r="F2019" s="463"/>
      <c r="G2019" s="455"/>
      <c r="H2019" s="455"/>
      <c r="I2019" s="463"/>
      <c r="J2019" s="463"/>
      <c r="K2019" s="455"/>
      <c r="L2019" s="463"/>
      <c r="M2019" s="455"/>
      <c r="N2019" s="455"/>
    </row>
    <row r="2020" ht="20.25" customHeight="1">
      <c r="A2020" s="696"/>
      <c r="B2020" s="697"/>
      <c r="C2020" s="342"/>
      <c r="D2020" s="475"/>
      <c r="E2020" s="699"/>
      <c r="F2020" s="475"/>
      <c r="G2020" s="699"/>
      <c r="H2020" s="699"/>
      <c r="I2020" s="463"/>
      <c r="J2020" s="475"/>
      <c r="K2020" s="699"/>
      <c r="L2020" s="475"/>
      <c r="M2020" s="699"/>
      <c r="N2020" s="699"/>
    </row>
    <row r="2021" ht="20.25" customHeight="1">
      <c r="A2021" s="701"/>
      <c r="B2021" s="702"/>
      <c r="C2021" s="341"/>
      <c r="D2021" s="463"/>
      <c r="E2021" s="455"/>
      <c r="F2021" s="463"/>
      <c r="G2021" s="455"/>
      <c r="H2021" s="455"/>
      <c r="I2021" s="463"/>
      <c r="J2021" s="463"/>
      <c r="K2021" s="455"/>
      <c r="L2021" s="463"/>
      <c r="M2021" s="455"/>
      <c r="N2021" s="455"/>
    </row>
    <row r="2022" ht="20.25" customHeight="1">
      <c r="A2022" s="696"/>
      <c r="B2022" s="697"/>
      <c r="C2022" s="342"/>
      <c r="D2022" s="475"/>
      <c r="E2022" s="699"/>
      <c r="F2022" s="475"/>
      <c r="G2022" s="699"/>
      <c r="H2022" s="699"/>
      <c r="I2022" s="463"/>
      <c r="J2022" s="475"/>
      <c r="K2022" s="699"/>
      <c r="L2022" s="475"/>
      <c r="M2022" s="699"/>
      <c r="N2022" s="699"/>
    </row>
    <row r="2023" ht="20.25" customHeight="1">
      <c r="A2023" s="701"/>
      <c r="B2023" s="702"/>
      <c r="C2023" s="341"/>
      <c r="D2023" s="463"/>
      <c r="E2023" s="455"/>
      <c r="F2023" s="463"/>
      <c r="G2023" s="455"/>
      <c r="H2023" s="455"/>
      <c r="I2023" s="463"/>
      <c r="J2023" s="463"/>
      <c r="K2023" s="455"/>
      <c r="L2023" s="463"/>
      <c r="M2023" s="455"/>
      <c r="N2023" s="455"/>
    </row>
    <row r="2024" ht="20.25" customHeight="1">
      <c r="A2024" s="696"/>
      <c r="B2024" s="697"/>
      <c r="C2024" s="342"/>
      <c r="D2024" s="475"/>
      <c r="E2024" s="699"/>
      <c r="F2024" s="475"/>
      <c r="G2024" s="699"/>
      <c r="H2024" s="699"/>
      <c r="I2024" s="463"/>
      <c r="J2024" s="475"/>
      <c r="K2024" s="699"/>
      <c r="L2024" s="475"/>
      <c r="M2024" s="699"/>
      <c r="N2024" s="699"/>
    </row>
    <row r="2025" ht="20.25" customHeight="1">
      <c r="A2025" s="701"/>
      <c r="B2025" s="702"/>
      <c r="C2025" s="341"/>
      <c r="D2025" s="463"/>
      <c r="E2025" s="455"/>
      <c r="F2025" s="463"/>
      <c r="G2025" s="455"/>
      <c r="H2025" s="455"/>
      <c r="I2025" s="463"/>
      <c r="J2025" s="463"/>
      <c r="K2025" s="455"/>
      <c r="L2025" s="463"/>
      <c r="M2025" s="455"/>
      <c r="N2025" s="455"/>
    </row>
    <row r="2026" ht="20.25" customHeight="1">
      <c r="A2026" s="696"/>
      <c r="B2026" s="697"/>
      <c r="C2026" s="342"/>
      <c r="D2026" s="475"/>
      <c r="E2026" s="699"/>
      <c r="F2026" s="475"/>
      <c r="G2026" s="699"/>
      <c r="H2026" s="699"/>
      <c r="I2026" s="463"/>
      <c r="J2026" s="475"/>
      <c r="K2026" s="699"/>
      <c r="L2026" s="475"/>
      <c r="M2026" s="699"/>
      <c r="N2026" s="699"/>
    </row>
    <row r="2027" ht="20.25" customHeight="1">
      <c r="A2027" s="701"/>
      <c r="B2027" s="702"/>
      <c r="C2027" s="341"/>
      <c r="D2027" s="463"/>
      <c r="E2027" s="455"/>
      <c r="F2027" s="463"/>
      <c r="G2027" s="455"/>
      <c r="H2027" s="455"/>
      <c r="I2027" s="463"/>
      <c r="J2027" s="463"/>
      <c r="K2027" s="455"/>
      <c r="L2027" s="463"/>
      <c r="M2027" s="455"/>
      <c r="N2027" s="455"/>
    </row>
    <row r="2028" ht="20.25" customHeight="1">
      <c r="A2028" s="696"/>
      <c r="B2028" s="697"/>
      <c r="C2028" s="342"/>
      <c r="D2028" s="475"/>
      <c r="E2028" s="699"/>
      <c r="F2028" s="475"/>
      <c r="G2028" s="699"/>
      <c r="H2028" s="699"/>
      <c r="I2028" s="463"/>
      <c r="J2028" s="475"/>
      <c r="K2028" s="699"/>
      <c r="L2028" s="475"/>
      <c r="M2028" s="699"/>
      <c r="N2028" s="699"/>
    </row>
    <row r="2029" ht="20.25" customHeight="1">
      <c r="A2029" s="701"/>
      <c r="B2029" s="702"/>
      <c r="C2029" s="341"/>
      <c r="D2029" s="463"/>
      <c r="E2029" s="455"/>
      <c r="F2029" s="463"/>
      <c r="G2029" s="455"/>
      <c r="H2029" s="455"/>
      <c r="I2029" s="463"/>
      <c r="J2029" s="463"/>
      <c r="K2029" s="455"/>
      <c r="L2029" s="463"/>
      <c r="M2029" s="455"/>
      <c r="N2029" s="455"/>
    </row>
    <row r="2030" ht="20.25" customHeight="1">
      <c r="A2030" s="696"/>
      <c r="B2030" s="697"/>
      <c r="C2030" s="342"/>
      <c r="D2030" s="475"/>
      <c r="E2030" s="699"/>
      <c r="F2030" s="475"/>
      <c r="G2030" s="699"/>
      <c r="H2030" s="699"/>
      <c r="I2030" s="463"/>
      <c r="J2030" s="475"/>
      <c r="K2030" s="699"/>
      <c r="L2030" s="475"/>
      <c r="M2030" s="699"/>
      <c r="N2030" s="699"/>
    </row>
    <row r="2031" ht="20.25" customHeight="1">
      <c r="A2031" s="701"/>
      <c r="B2031" s="702"/>
      <c r="C2031" s="341"/>
      <c r="D2031" s="463"/>
      <c r="E2031" s="455"/>
      <c r="F2031" s="463"/>
      <c r="G2031" s="455"/>
      <c r="H2031" s="455"/>
      <c r="I2031" s="463"/>
      <c r="J2031" s="463"/>
      <c r="K2031" s="455"/>
      <c r="L2031" s="463"/>
      <c r="M2031" s="455"/>
      <c r="N2031" s="455"/>
    </row>
    <row r="2032" ht="20.25" customHeight="1">
      <c r="A2032" s="696"/>
      <c r="B2032" s="697"/>
      <c r="C2032" s="342"/>
      <c r="D2032" s="475"/>
      <c r="E2032" s="699"/>
      <c r="F2032" s="475"/>
      <c r="G2032" s="699"/>
      <c r="H2032" s="699"/>
      <c r="I2032" s="463"/>
      <c r="J2032" s="475"/>
      <c r="K2032" s="699"/>
      <c r="L2032" s="475"/>
      <c r="M2032" s="699"/>
      <c r="N2032" s="699"/>
    </row>
    <row r="2033" ht="20.25" customHeight="1">
      <c r="A2033" s="701"/>
      <c r="B2033" s="702"/>
      <c r="C2033" s="341"/>
      <c r="D2033" s="463"/>
      <c r="E2033" s="455"/>
      <c r="F2033" s="463"/>
      <c r="G2033" s="455"/>
      <c r="H2033" s="455"/>
      <c r="I2033" s="463"/>
      <c r="J2033" s="463"/>
      <c r="K2033" s="455"/>
      <c r="L2033" s="463"/>
      <c r="M2033" s="455"/>
      <c r="N2033" s="455"/>
    </row>
    <row r="2034" ht="20.25" customHeight="1">
      <c r="A2034" s="696"/>
      <c r="B2034" s="697"/>
      <c r="C2034" s="342"/>
      <c r="D2034" s="475"/>
      <c r="E2034" s="699"/>
      <c r="F2034" s="475"/>
      <c r="G2034" s="699"/>
      <c r="H2034" s="699"/>
      <c r="I2034" s="463"/>
      <c r="J2034" s="475"/>
      <c r="K2034" s="699"/>
      <c r="L2034" s="475"/>
      <c r="M2034" s="699"/>
      <c r="N2034" s="699"/>
    </row>
    <row r="2035" ht="20.25" customHeight="1">
      <c r="A2035" s="701"/>
      <c r="B2035" s="702"/>
      <c r="C2035" s="341"/>
      <c r="D2035" s="463"/>
      <c r="E2035" s="455"/>
      <c r="F2035" s="463"/>
      <c r="G2035" s="455"/>
      <c r="H2035" s="455"/>
      <c r="I2035" s="463"/>
      <c r="J2035" s="463"/>
      <c r="K2035" s="455"/>
      <c r="L2035" s="463"/>
      <c r="M2035" s="455"/>
      <c r="N2035" s="455"/>
    </row>
    <row r="2036" ht="20.25" customHeight="1">
      <c r="A2036" s="696"/>
      <c r="B2036" s="697"/>
      <c r="C2036" s="342"/>
      <c r="D2036" s="475"/>
      <c r="E2036" s="699"/>
      <c r="F2036" s="475"/>
      <c r="G2036" s="699"/>
      <c r="H2036" s="699"/>
      <c r="I2036" s="463"/>
      <c r="J2036" s="475"/>
      <c r="K2036" s="699"/>
      <c r="L2036" s="475"/>
      <c r="M2036" s="699"/>
      <c r="N2036" s="699"/>
    </row>
    <row r="2037" ht="20.25" customHeight="1">
      <c r="A2037" s="701"/>
      <c r="B2037" s="702"/>
      <c r="C2037" s="341"/>
      <c r="D2037" s="463"/>
      <c r="E2037" s="455"/>
      <c r="F2037" s="463"/>
      <c r="G2037" s="455"/>
      <c r="H2037" s="455"/>
      <c r="I2037" s="463"/>
      <c r="J2037" s="463"/>
      <c r="K2037" s="455"/>
      <c r="L2037" s="463"/>
      <c r="M2037" s="455"/>
      <c r="N2037" s="455"/>
    </row>
    <row r="2038" ht="20.25" customHeight="1">
      <c r="A2038" s="696"/>
      <c r="B2038" s="697"/>
      <c r="C2038" s="342"/>
      <c r="D2038" s="475"/>
      <c r="E2038" s="699"/>
      <c r="F2038" s="475"/>
      <c r="G2038" s="699"/>
      <c r="H2038" s="699"/>
      <c r="I2038" s="463"/>
      <c r="J2038" s="475"/>
      <c r="K2038" s="699"/>
      <c r="L2038" s="475"/>
      <c r="M2038" s="699"/>
      <c r="N2038" s="699"/>
    </row>
    <row r="2039" ht="20.25" customHeight="1">
      <c r="A2039" s="701"/>
      <c r="B2039" s="702"/>
      <c r="C2039" s="341"/>
      <c r="D2039" s="463"/>
      <c r="E2039" s="455"/>
      <c r="F2039" s="463"/>
      <c r="G2039" s="455"/>
      <c r="H2039" s="455"/>
      <c r="I2039" s="463"/>
      <c r="J2039" s="463"/>
      <c r="K2039" s="455"/>
      <c r="L2039" s="463"/>
      <c r="M2039" s="455"/>
      <c r="N2039" s="455"/>
    </row>
    <row r="2040" ht="20.25" customHeight="1">
      <c r="A2040" s="696"/>
      <c r="B2040" s="697"/>
      <c r="C2040" s="342"/>
      <c r="D2040" s="475"/>
      <c r="E2040" s="699"/>
      <c r="F2040" s="475"/>
      <c r="G2040" s="699"/>
      <c r="H2040" s="699"/>
      <c r="I2040" s="463"/>
      <c r="J2040" s="475"/>
      <c r="K2040" s="699"/>
      <c r="L2040" s="475"/>
      <c r="M2040" s="699"/>
      <c r="N2040" s="699"/>
    </row>
    <row r="2041" ht="20.25" customHeight="1">
      <c r="A2041" s="701"/>
      <c r="B2041" s="702"/>
      <c r="C2041" s="341"/>
      <c r="D2041" s="463"/>
      <c r="E2041" s="455"/>
      <c r="F2041" s="463"/>
      <c r="G2041" s="455"/>
      <c r="H2041" s="455"/>
      <c r="I2041" s="463"/>
      <c r="J2041" s="463"/>
      <c r="K2041" s="455"/>
      <c r="L2041" s="463"/>
      <c r="M2041" s="455"/>
      <c r="N2041" s="455"/>
    </row>
    <row r="2042" ht="20.25" customHeight="1">
      <c r="A2042" s="696"/>
      <c r="B2042" s="697"/>
      <c r="C2042" s="342"/>
      <c r="D2042" s="475"/>
      <c r="E2042" s="699"/>
      <c r="F2042" s="475"/>
      <c r="G2042" s="699"/>
      <c r="H2042" s="699"/>
      <c r="I2042" s="463"/>
      <c r="J2042" s="475"/>
      <c r="K2042" s="699"/>
      <c r="L2042" s="475"/>
      <c r="M2042" s="699"/>
      <c r="N2042" s="699"/>
    </row>
    <row r="2043" ht="20.25" customHeight="1">
      <c r="A2043" s="701"/>
      <c r="B2043" s="702"/>
      <c r="C2043" s="341"/>
      <c r="D2043" s="463"/>
      <c r="E2043" s="455"/>
      <c r="F2043" s="463"/>
      <c r="G2043" s="455"/>
      <c r="H2043" s="455"/>
      <c r="I2043" s="463"/>
      <c r="J2043" s="463"/>
      <c r="K2043" s="455"/>
      <c r="L2043" s="463"/>
      <c r="M2043" s="455"/>
      <c r="N2043" s="455"/>
    </row>
    <row r="2044" ht="20.25" customHeight="1">
      <c r="A2044" s="696"/>
      <c r="B2044" s="697"/>
      <c r="C2044" s="342"/>
      <c r="D2044" s="475"/>
      <c r="E2044" s="699"/>
      <c r="F2044" s="475"/>
      <c r="G2044" s="699"/>
      <c r="H2044" s="699"/>
      <c r="I2044" s="463"/>
      <c r="J2044" s="475"/>
      <c r="K2044" s="699"/>
      <c r="L2044" s="475"/>
      <c r="M2044" s="699"/>
      <c r="N2044" s="699"/>
    </row>
    <row r="2045" ht="20.25" customHeight="1">
      <c r="A2045" s="701"/>
      <c r="B2045" s="702"/>
      <c r="C2045" s="341"/>
      <c r="D2045" s="463"/>
      <c r="E2045" s="455"/>
      <c r="F2045" s="463"/>
      <c r="G2045" s="455"/>
      <c r="H2045" s="455"/>
      <c r="I2045" s="463"/>
      <c r="J2045" s="463"/>
      <c r="K2045" s="455"/>
      <c r="L2045" s="463"/>
      <c r="M2045" s="455"/>
      <c r="N2045" s="455"/>
    </row>
    <row r="2046" ht="20.25" customHeight="1">
      <c r="A2046" s="696"/>
      <c r="B2046" s="697"/>
      <c r="C2046" s="342"/>
      <c r="D2046" s="475"/>
      <c r="E2046" s="699"/>
      <c r="F2046" s="475"/>
      <c r="G2046" s="699"/>
      <c r="H2046" s="699"/>
      <c r="I2046" s="463"/>
      <c r="J2046" s="475"/>
      <c r="K2046" s="699"/>
      <c r="L2046" s="475"/>
      <c r="M2046" s="699"/>
      <c r="N2046" s="699"/>
    </row>
    <row r="2047" ht="20.25" customHeight="1">
      <c r="A2047" s="701"/>
      <c r="B2047" s="702"/>
      <c r="C2047" s="341"/>
      <c r="D2047" s="463"/>
      <c r="E2047" s="455"/>
      <c r="F2047" s="463"/>
      <c r="G2047" s="455"/>
      <c r="H2047" s="455"/>
      <c r="I2047" s="463"/>
      <c r="J2047" s="463"/>
      <c r="K2047" s="455"/>
      <c r="L2047" s="463"/>
      <c r="M2047" s="455"/>
      <c r="N2047" s="455"/>
    </row>
    <row r="2048" ht="20.25" customHeight="1">
      <c r="A2048" s="696"/>
      <c r="B2048" s="697"/>
      <c r="C2048" s="342"/>
      <c r="D2048" s="475"/>
      <c r="E2048" s="699"/>
      <c r="F2048" s="475"/>
      <c r="G2048" s="699"/>
      <c r="H2048" s="699"/>
      <c r="I2048" s="463"/>
      <c r="J2048" s="475"/>
      <c r="K2048" s="699"/>
      <c r="L2048" s="475"/>
      <c r="M2048" s="699"/>
      <c r="N2048" s="699"/>
    </row>
    <row r="2049" ht="20.25" customHeight="1">
      <c r="A2049" s="701"/>
      <c r="B2049" s="702"/>
      <c r="C2049" s="341"/>
      <c r="D2049" s="463"/>
      <c r="E2049" s="455"/>
      <c r="F2049" s="463"/>
      <c r="G2049" s="455"/>
      <c r="H2049" s="455"/>
      <c r="I2049" s="463"/>
      <c r="J2049" s="463"/>
      <c r="K2049" s="455"/>
      <c r="L2049" s="463"/>
      <c r="M2049" s="455"/>
      <c r="N2049" s="455"/>
    </row>
    <row r="2050" ht="20.25" customHeight="1">
      <c r="A2050" s="696"/>
      <c r="B2050" s="697"/>
      <c r="C2050" s="342"/>
      <c r="D2050" s="475"/>
      <c r="E2050" s="699"/>
      <c r="F2050" s="475"/>
      <c r="G2050" s="699"/>
      <c r="H2050" s="699"/>
      <c r="I2050" s="463"/>
      <c r="J2050" s="475"/>
      <c r="K2050" s="699"/>
      <c r="L2050" s="475"/>
      <c r="M2050" s="699"/>
      <c r="N2050" s="699"/>
    </row>
    <row r="2051" ht="20.25" customHeight="1">
      <c r="A2051" s="701"/>
      <c r="B2051" s="702"/>
      <c r="C2051" s="341"/>
      <c r="D2051" s="463"/>
      <c r="E2051" s="455"/>
      <c r="F2051" s="463"/>
      <c r="G2051" s="455"/>
      <c r="H2051" s="455"/>
      <c r="I2051" s="463"/>
      <c r="J2051" s="463"/>
      <c r="K2051" s="455"/>
      <c r="L2051" s="463"/>
      <c r="M2051" s="455"/>
      <c r="N2051" s="455"/>
    </row>
    <row r="2052" ht="20.25" customHeight="1">
      <c r="A2052" s="696"/>
      <c r="B2052" s="697"/>
      <c r="C2052" s="342"/>
      <c r="D2052" s="475"/>
      <c r="E2052" s="699"/>
      <c r="F2052" s="475"/>
      <c r="G2052" s="699"/>
      <c r="H2052" s="699"/>
      <c r="I2052" s="463"/>
      <c r="J2052" s="475"/>
      <c r="K2052" s="699"/>
      <c r="L2052" s="475"/>
      <c r="M2052" s="699"/>
      <c r="N2052" s="699"/>
    </row>
    <row r="2053" ht="20.25" customHeight="1">
      <c r="A2053" s="701"/>
      <c r="B2053" s="702"/>
      <c r="C2053" s="341"/>
      <c r="D2053" s="463"/>
      <c r="E2053" s="455"/>
      <c r="F2053" s="463"/>
      <c r="G2053" s="455"/>
      <c r="H2053" s="455"/>
      <c r="I2053" s="463"/>
      <c r="J2053" s="463"/>
      <c r="K2053" s="455"/>
      <c r="L2053" s="463"/>
      <c r="M2053" s="455"/>
      <c r="N2053" s="455"/>
    </row>
    <row r="2054" ht="20.25" customHeight="1">
      <c r="A2054" s="696"/>
      <c r="B2054" s="697"/>
      <c r="C2054" s="342"/>
      <c r="D2054" s="475"/>
      <c r="E2054" s="699"/>
      <c r="F2054" s="475"/>
      <c r="G2054" s="699"/>
      <c r="H2054" s="699"/>
      <c r="I2054" s="463"/>
      <c r="J2054" s="475"/>
      <c r="K2054" s="699"/>
      <c r="L2054" s="475"/>
      <c r="M2054" s="699"/>
      <c r="N2054" s="699"/>
    </row>
    <row r="2055" ht="20.25" customHeight="1">
      <c r="A2055" s="701"/>
      <c r="B2055" s="702"/>
      <c r="C2055" s="341"/>
      <c r="D2055" s="463"/>
      <c r="E2055" s="455"/>
      <c r="F2055" s="463"/>
      <c r="G2055" s="455"/>
      <c r="H2055" s="455"/>
      <c r="I2055" s="463"/>
      <c r="J2055" s="463"/>
      <c r="K2055" s="455"/>
      <c r="L2055" s="463"/>
      <c r="M2055" s="455"/>
      <c r="N2055" s="455"/>
    </row>
    <row r="2056" ht="20.25" customHeight="1">
      <c r="A2056" s="696"/>
      <c r="B2056" s="697"/>
      <c r="C2056" s="342"/>
      <c r="D2056" s="475"/>
      <c r="E2056" s="699"/>
      <c r="F2056" s="475"/>
      <c r="G2056" s="699"/>
      <c r="H2056" s="699"/>
      <c r="I2056" s="463"/>
      <c r="J2056" s="475"/>
      <c r="K2056" s="699"/>
      <c r="L2056" s="475"/>
      <c r="M2056" s="699"/>
      <c r="N2056" s="699"/>
    </row>
    <row r="2057" ht="20.25" customHeight="1">
      <c r="A2057" s="701"/>
      <c r="B2057" s="702"/>
      <c r="C2057" s="341"/>
      <c r="D2057" s="463"/>
      <c r="E2057" s="455"/>
      <c r="F2057" s="463"/>
      <c r="G2057" s="455"/>
      <c r="H2057" s="455"/>
      <c r="I2057" s="463"/>
      <c r="J2057" s="463"/>
      <c r="K2057" s="455"/>
      <c r="L2057" s="463"/>
      <c r="M2057" s="455"/>
      <c r="N2057" s="455"/>
    </row>
    <row r="2058" ht="20.25" customHeight="1">
      <c r="A2058" s="696"/>
      <c r="B2058" s="697"/>
      <c r="C2058" s="342"/>
      <c r="D2058" s="475"/>
      <c r="E2058" s="699"/>
      <c r="F2058" s="475"/>
      <c r="G2058" s="699"/>
      <c r="H2058" s="699"/>
      <c r="I2058" s="463"/>
      <c r="J2058" s="475"/>
      <c r="K2058" s="699"/>
      <c r="L2058" s="475"/>
      <c r="M2058" s="699"/>
      <c r="N2058" s="699"/>
    </row>
    <row r="2059" ht="20.25" customHeight="1">
      <c r="A2059" s="701"/>
      <c r="B2059" s="702"/>
      <c r="C2059" s="341"/>
      <c r="D2059" s="463"/>
      <c r="E2059" s="455"/>
      <c r="F2059" s="463"/>
      <c r="G2059" s="455"/>
      <c r="H2059" s="455"/>
      <c r="I2059" s="463"/>
      <c r="J2059" s="463"/>
      <c r="K2059" s="455"/>
      <c r="L2059" s="463"/>
      <c r="M2059" s="455"/>
      <c r="N2059" s="455"/>
    </row>
    <row r="2060" ht="20.25" customHeight="1">
      <c r="A2060" s="696"/>
      <c r="B2060" s="697"/>
      <c r="C2060" s="342"/>
      <c r="D2060" s="475"/>
      <c r="E2060" s="699"/>
      <c r="F2060" s="475"/>
      <c r="G2060" s="699"/>
      <c r="H2060" s="699"/>
      <c r="I2060" s="463"/>
      <c r="J2060" s="475"/>
      <c r="K2060" s="699"/>
      <c r="L2060" s="475"/>
      <c r="M2060" s="699"/>
      <c r="N2060" s="699"/>
    </row>
    <row r="2061" ht="20.25" customHeight="1">
      <c r="A2061" s="701"/>
      <c r="B2061" s="702"/>
      <c r="C2061" s="341"/>
      <c r="D2061" s="463"/>
      <c r="E2061" s="455"/>
      <c r="F2061" s="463"/>
      <c r="G2061" s="455"/>
      <c r="H2061" s="455"/>
      <c r="I2061" s="463"/>
      <c r="J2061" s="463"/>
      <c r="K2061" s="455"/>
      <c r="L2061" s="463"/>
      <c r="M2061" s="455"/>
      <c r="N2061" s="455"/>
    </row>
    <row r="2062" ht="20.25" customHeight="1">
      <c r="A2062" s="696"/>
      <c r="B2062" s="697"/>
      <c r="C2062" s="342"/>
      <c r="D2062" s="475"/>
      <c r="E2062" s="699"/>
      <c r="F2062" s="475"/>
      <c r="G2062" s="699"/>
      <c r="H2062" s="699"/>
      <c r="I2062" s="463"/>
      <c r="J2062" s="475"/>
      <c r="K2062" s="699"/>
      <c r="L2062" s="475"/>
      <c r="M2062" s="699"/>
      <c r="N2062" s="699"/>
    </row>
    <row r="2063" ht="20.25" customHeight="1">
      <c r="A2063" s="701"/>
      <c r="B2063" s="702"/>
      <c r="C2063" s="341"/>
      <c r="D2063" s="463"/>
      <c r="E2063" s="455"/>
      <c r="F2063" s="463"/>
      <c r="G2063" s="455"/>
      <c r="H2063" s="455"/>
      <c r="I2063" s="463"/>
      <c r="J2063" s="463"/>
      <c r="K2063" s="455"/>
      <c r="L2063" s="463"/>
      <c r="M2063" s="455"/>
      <c r="N2063" s="455"/>
    </row>
    <row r="2064" ht="20.25" customHeight="1">
      <c r="A2064" s="696"/>
      <c r="B2064" s="697"/>
      <c r="C2064" s="342"/>
      <c r="D2064" s="475"/>
      <c r="E2064" s="699"/>
      <c r="F2064" s="475"/>
      <c r="G2064" s="699"/>
      <c r="H2064" s="699"/>
      <c r="I2064" s="463"/>
      <c r="J2064" s="475"/>
      <c r="K2064" s="699"/>
      <c r="L2064" s="475"/>
      <c r="M2064" s="699"/>
      <c r="N2064" s="699"/>
    </row>
    <row r="2065" ht="20.25" customHeight="1">
      <c r="A2065" s="701"/>
      <c r="B2065" s="702"/>
      <c r="C2065" s="341"/>
      <c r="D2065" s="463"/>
      <c r="E2065" s="455"/>
      <c r="F2065" s="463"/>
      <c r="G2065" s="455"/>
      <c r="H2065" s="455"/>
      <c r="I2065" s="463"/>
      <c r="J2065" s="463"/>
      <c r="K2065" s="455"/>
      <c r="L2065" s="463"/>
      <c r="M2065" s="455"/>
      <c r="N2065" s="455"/>
    </row>
    <row r="2066" ht="20.25" customHeight="1">
      <c r="A2066" s="696"/>
      <c r="B2066" s="697"/>
      <c r="C2066" s="342"/>
      <c r="D2066" s="475"/>
      <c r="E2066" s="699"/>
      <c r="F2066" s="475"/>
      <c r="G2066" s="699"/>
      <c r="H2066" s="699"/>
      <c r="I2066" s="463"/>
      <c r="J2066" s="475"/>
      <c r="K2066" s="699"/>
      <c r="L2066" s="475"/>
      <c r="M2066" s="699"/>
      <c r="N2066" s="699"/>
    </row>
    <row r="2067" ht="20.25" customHeight="1">
      <c r="A2067" s="701"/>
      <c r="B2067" s="702"/>
      <c r="C2067" s="341"/>
      <c r="D2067" s="463"/>
      <c r="E2067" s="455"/>
      <c r="F2067" s="463"/>
      <c r="G2067" s="455"/>
      <c r="H2067" s="455"/>
      <c r="I2067" s="463"/>
      <c r="J2067" s="463"/>
      <c r="K2067" s="455"/>
      <c r="L2067" s="463"/>
      <c r="M2067" s="455"/>
      <c r="N2067" s="455"/>
    </row>
    <row r="2068" ht="20.25" customHeight="1">
      <c r="A2068" s="696"/>
      <c r="B2068" s="697"/>
      <c r="C2068" s="342"/>
      <c r="D2068" s="475"/>
      <c r="E2068" s="699"/>
      <c r="F2068" s="475"/>
      <c r="G2068" s="699"/>
      <c r="H2068" s="699"/>
      <c r="I2068" s="463"/>
      <c r="J2068" s="475"/>
      <c r="K2068" s="699"/>
      <c r="L2068" s="475"/>
      <c r="M2068" s="699"/>
      <c r="N2068" s="699"/>
    </row>
    <row r="2069" ht="20.25" customHeight="1">
      <c r="A2069" s="701"/>
      <c r="B2069" s="702"/>
      <c r="C2069" s="341"/>
      <c r="D2069" s="463"/>
      <c r="E2069" s="455"/>
      <c r="F2069" s="463"/>
      <c r="G2069" s="455"/>
      <c r="H2069" s="455"/>
      <c r="I2069" s="463"/>
      <c r="J2069" s="463"/>
      <c r="K2069" s="455"/>
      <c r="L2069" s="463"/>
      <c r="M2069" s="455"/>
      <c r="N2069" s="455"/>
    </row>
    <row r="2070" ht="20.25" customHeight="1">
      <c r="A2070" s="696"/>
      <c r="B2070" s="697"/>
      <c r="C2070" s="342"/>
      <c r="D2070" s="475"/>
      <c r="E2070" s="699"/>
      <c r="F2070" s="475"/>
      <c r="G2070" s="699"/>
      <c r="H2070" s="699"/>
      <c r="I2070" s="463"/>
      <c r="J2070" s="475"/>
      <c r="K2070" s="699"/>
      <c r="L2070" s="475"/>
      <c r="M2070" s="699"/>
      <c r="N2070" s="699"/>
    </row>
    <row r="2071" ht="20.25" customHeight="1">
      <c r="A2071" s="701"/>
      <c r="B2071" s="702"/>
      <c r="C2071" s="341"/>
      <c r="D2071" s="463"/>
      <c r="E2071" s="455"/>
      <c r="F2071" s="463"/>
      <c r="G2071" s="455"/>
      <c r="H2071" s="455"/>
      <c r="I2071" s="463"/>
      <c r="J2071" s="463"/>
      <c r="K2071" s="455"/>
      <c r="L2071" s="463"/>
      <c r="M2071" s="455"/>
      <c r="N2071" s="455"/>
    </row>
    <row r="2072" ht="20.25" customHeight="1">
      <c r="A2072" s="696"/>
      <c r="B2072" s="697"/>
      <c r="C2072" s="342"/>
      <c r="D2072" s="475"/>
      <c r="E2072" s="699"/>
      <c r="F2072" s="475"/>
      <c r="G2072" s="699"/>
      <c r="H2072" s="699"/>
      <c r="I2072" s="463"/>
      <c r="J2072" s="475"/>
      <c r="K2072" s="699"/>
      <c r="L2072" s="475"/>
      <c r="M2072" s="699"/>
      <c r="N2072" s="699"/>
    </row>
    <row r="2073" ht="20.25" customHeight="1">
      <c r="A2073" s="701"/>
      <c r="B2073" s="702"/>
      <c r="C2073" s="341"/>
      <c r="D2073" s="463"/>
      <c r="E2073" s="455"/>
      <c r="F2073" s="463"/>
      <c r="G2073" s="455"/>
      <c r="H2073" s="455"/>
      <c r="I2073" s="463"/>
      <c r="J2073" s="463"/>
      <c r="K2073" s="455"/>
      <c r="L2073" s="463"/>
      <c r="M2073" s="455"/>
      <c r="N2073" s="455"/>
    </row>
  </sheetData>
  <mergeCells count="3558">
    <mergeCell ref="A273:A291"/>
    <mergeCell ref="A292:A310"/>
    <mergeCell ref="A154:A168"/>
    <mergeCell ref="A169:A174"/>
    <mergeCell ref="A175:A196"/>
    <mergeCell ref="A197:A219"/>
    <mergeCell ref="A220:A227"/>
    <mergeCell ref="A228:A256"/>
    <mergeCell ref="A257:A272"/>
    <mergeCell ref="A135:A149"/>
    <mergeCell ref="A150:A153"/>
    <mergeCell ref="C154:C156"/>
    <mergeCell ref="B157:B158"/>
    <mergeCell ref="C158:C159"/>
    <mergeCell ref="C161:C162"/>
    <mergeCell ref="C166:C168"/>
    <mergeCell ref="C163:C165"/>
    <mergeCell ref="B166:B167"/>
    <mergeCell ref="B169:B174"/>
    <mergeCell ref="C169:C174"/>
    <mergeCell ref="B175:B176"/>
    <mergeCell ref="C175:C177"/>
    <mergeCell ref="C179:C180"/>
    <mergeCell ref="B178:B179"/>
    <mergeCell ref="B181:B182"/>
    <mergeCell ref="B184:B185"/>
    <mergeCell ref="B187:B188"/>
    <mergeCell ref="B190:B196"/>
    <mergeCell ref="B197:B198"/>
    <mergeCell ref="B200:B201"/>
    <mergeCell ref="C182:C183"/>
    <mergeCell ref="C185:C186"/>
    <mergeCell ref="C187:C189"/>
    <mergeCell ref="C190:C196"/>
    <mergeCell ref="C197:C199"/>
    <mergeCell ref="C200:C202"/>
    <mergeCell ref="C203:C205"/>
    <mergeCell ref="B203:B204"/>
    <mergeCell ref="B206:B207"/>
    <mergeCell ref="B209:B216"/>
    <mergeCell ref="B217:B218"/>
    <mergeCell ref="B220:B227"/>
    <mergeCell ref="B228:B229"/>
    <mergeCell ref="B231:B232"/>
    <mergeCell ref="C289:C291"/>
    <mergeCell ref="C292:C294"/>
    <mergeCell ref="C296:C297"/>
    <mergeCell ref="C298:C299"/>
    <mergeCell ref="C301:C304"/>
    <mergeCell ref="C305:C307"/>
    <mergeCell ref="C308:C310"/>
    <mergeCell ref="C273:C275"/>
    <mergeCell ref="C276:C278"/>
    <mergeCell ref="B279:B280"/>
    <mergeCell ref="C279:C281"/>
    <mergeCell ref="B282:B283"/>
    <mergeCell ref="C282:C284"/>
    <mergeCell ref="C286:C288"/>
    <mergeCell ref="B286:B287"/>
    <mergeCell ref="B289:B291"/>
    <mergeCell ref="B292:B293"/>
    <mergeCell ref="B295:B296"/>
    <mergeCell ref="B298:B299"/>
    <mergeCell ref="B301:B302"/>
    <mergeCell ref="B303:B304"/>
    <mergeCell ref="C315:C316"/>
    <mergeCell ref="C317:C319"/>
    <mergeCell ref="B320:B321"/>
    <mergeCell ref="C321:C322"/>
    <mergeCell ref="B323:B325"/>
    <mergeCell ref="C323:C325"/>
    <mergeCell ref="B317:B318"/>
    <mergeCell ref="B326:B327"/>
    <mergeCell ref="C330:C332"/>
    <mergeCell ref="B333:B334"/>
    <mergeCell ref="C333:C334"/>
    <mergeCell ref="B335:B336"/>
    <mergeCell ref="C335:C337"/>
    <mergeCell ref="C326:C329"/>
    <mergeCell ref="B330:B331"/>
    <mergeCell ref="B305:B306"/>
    <mergeCell ref="B308:B310"/>
    <mergeCell ref="A311:A325"/>
    <mergeCell ref="B311:B312"/>
    <mergeCell ref="C311:C313"/>
    <mergeCell ref="B314:B315"/>
    <mergeCell ref="A326:A341"/>
    <mergeCell ref="B359:B360"/>
    <mergeCell ref="B362:B363"/>
    <mergeCell ref="B338:B341"/>
    <mergeCell ref="C338:C341"/>
    <mergeCell ref="C342:C344"/>
    <mergeCell ref="C345:C347"/>
    <mergeCell ref="C348:C349"/>
    <mergeCell ref="C351:C355"/>
    <mergeCell ref="C356:C358"/>
    <mergeCell ref="B365:B366"/>
    <mergeCell ref="B368:B373"/>
    <mergeCell ref="A374:A391"/>
    <mergeCell ref="B374:B375"/>
    <mergeCell ref="B377:B378"/>
    <mergeCell ref="B380:B381"/>
    <mergeCell ref="B383:B384"/>
    <mergeCell ref="B386:B391"/>
    <mergeCell ref="A342:A355"/>
    <mergeCell ref="B342:B343"/>
    <mergeCell ref="B345:B346"/>
    <mergeCell ref="B348:B350"/>
    <mergeCell ref="B351:B355"/>
    <mergeCell ref="A356:A373"/>
    <mergeCell ref="B356:B357"/>
    <mergeCell ref="B84:B85"/>
    <mergeCell ref="B87:B88"/>
    <mergeCell ref="B90:B91"/>
    <mergeCell ref="C90:C92"/>
    <mergeCell ref="B93:B94"/>
    <mergeCell ref="B96:B97"/>
    <mergeCell ref="C99:C101"/>
    <mergeCell ref="B99:B100"/>
    <mergeCell ref="B102:B103"/>
    <mergeCell ref="B105:B106"/>
    <mergeCell ref="C105:C107"/>
    <mergeCell ref="B108:B109"/>
    <mergeCell ref="C108:C110"/>
    <mergeCell ref="C111:C113"/>
    <mergeCell ref="B150:B153"/>
    <mergeCell ref="B154:B155"/>
    <mergeCell ref="B141:B142"/>
    <mergeCell ref="C141:C143"/>
    <mergeCell ref="B144:B145"/>
    <mergeCell ref="C145:C146"/>
    <mergeCell ref="B147:B148"/>
    <mergeCell ref="C147:C149"/>
    <mergeCell ref="C150:C153"/>
    <mergeCell ref="B22:B23"/>
    <mergeCell ref="B33:B34"/>
    <mergeCell ref="C42:C44"/>
    <mergeCell ref="B45:B46"/>
    <mergeCell ref="C45:C47"/>
    <mergeCell ref="C48:C50"/>
    <mergeCell ref="B17:B18"/>
    <mergeCell ref="C17:C19"/>
    <mergeCell ref="A20:A26"/>
    <mergeCell ref="B20:B21"/>
    <mergeCell ref="C20:C21"/>
    <mergeCell ref="C27:C29"/>
    <mergeCell ref="B48:B49"/>
    <mergeCell ref="B51:B52"/>
    <mergeCell ref="C51:C53"/>
    <mergeCell ref="B54:B55"/>
    <mergeCell ref="C54:C56"/>
    <mergeCell ref="B57:B58"/>
    <mergeCell ref="C57:C59"/>
    <mergeCell ref="C60:C62"/>
    <mergeCell ref="A33:A47"/>
    <mergeCell ref="A48:A62"/>
    <mergeCell ref="A63:A77"/>
    <mergeCell ref="A78:A92"/>
    <mergeCell ref="A93:A107"/>
    <mergeCell ref="A108:A119"/>
    <mergeCell ref="A120:A134"/>
    <mergeCell ref="B160:B161"/>
    <mergeCell ref="B163:B164"/>
    <mergeCell ref="C237:C239"/>
    <mergeCell ref="C240:C248"/>
    <mergeCell ref="C206:C208"/>
    <mergeCell ref="C209:C216"/>
    <mergeCell ref="C217:C219"/>
    <mergeCell ref="C220:C227"/>
    <mergeCell ref="C228:C229"/>
    <mergeCell ref="C231:C233"/>
    <mergeCell ref="C234:C236"/>
    <mergeCell ref="C252:C256"/>
    <mergeCell ref="C257:C259"/>
    <mergeCell ref="B234:B235"/>
    <mergeCell ref="B237:B238"/>
    <mergeCell ref="B240:B248"/>
    <mergeCell ref="B249:B250"/>
    <mergeCell ref="C249:C251"/>
    <mergeCell ref="B252:B256"/>
    <mergeCell ref="B257:B258"/>
    <mergeCell ref="B270:B271"/>
    <mergeCell ref="B273:B274"/>
    <mergeCell ref="B276:B277"/>
    <mergeCell ref="B260:B261"/>
    <mergeCell ref="C260:C262"/>
    <mergeCell ref="B263:B264"/>
    <mergeCell ref="C263:C266"/>
    <mergeCell ref="B266:B269"/>
    <mergeCell ref="C267:C269"/>
    <mergeCell ref="C270:C272"/>
    <mergeCell ref="B466:B467"/>
    <mergeCell ref="B468:B469"/>
    <mergeCell ref="A439:A449"/>
    <mergeCell ref="B439:B443"/>
    <mergeCell ref="B444:B448"/>
    <mergeCell ref="A450:A459"/>
    <mergeCell ref="B450:B455"/>
    <mergeCell ref="B456:B457"/>
    <mergeCell ref="A460:A470"/>
    <mergeCell ref="B484:B486"/>
    <mergeCell ref="B487:B489"/>
    <mergeCell ref="A471:A483"/>
    <mergeCell ref="B471:B477"/>
    <mergeCell ref="C471:C477"/>
    <mergeCell ref="B478:B480"/>
    <mergeCell ref="B481:B483"/>
    <mergeCell ref="C484:C486"/>
    <mergeCell ref="B490:B492"/>
    <mergeCell ref="B503:B506"/>
    <mergeCell ref="C503:C506"/>
    <mergeCell ref="A484:A493"/>
    <mergeCell ref="A494:A502"/>
    <mergeCell ref="B494:B496"/>
    <mergeCell ref="C494:C496"/>
    <mergeCell ref="B497:B500"/>
    <mergeCell ref="B501:B502"/>
    <mergeCell ref="B507:B511"/>
    <mergeCell ref="B521:B524"/>
    <mergeCell ref="C521:C524"/>
    <mergeCell ref="A503:A511"/>
    <mergeCell ref="A512:A520"/>
    <mergeCell ref="B512:B515"/>
    <mergeCell ref="C512:C513"/>
    <mergeCell ref="C514:C515"/>
    <mergeCell ref="B516:B520"/>
    <mergeCell ref="B525:B530"/>
    <mergeCell ref="B539:B542"/>
    <mergeCell ref="C539:C540"/>
    <mergeCell ref="C541:C542"/>
    <mergeCell ref="A521:A530"/>
    <mergeCell ref="A531:A538"/>
    <mergeCell ref="B531:B535"/>
    <mergeCell ref="C531:C532"/>
    <mergeCell ref="C533:C535"/>
    <mergeCell ref="B536:B538"/>
    <mergeCell ref="B543:B545"/>
    <mergeCell ref="B554:B557"/>
    <mergeCell ref="B558:B560"/>
    <mergeCell ref="A539:A545"/>
    <mergeCell ref="A546:A553"/>
    <mergeCell ref="B546:B550"/>
    <mergeCell ref="C546:C550"/>
    <mergeCell ref="B551:B553"/>
    <mergeCell ref="A554:A561"/>
    <mergeCell ref="C554:C557"/>
    <mergeCell ref="B573:B575"/>
    <mergeCell ref="C573:C575"/>
    <mergeCell ref="A562:A568"/>
    <mergeCell ref="B562:B565"/>
    <mergeCell ref="C562:C565"/>
    <mergeCell ref="B566:B568"/>
    <mergeCell ref="B569:B572"/>
    <mergeCell ref="C569:C570"/>
    <mergeCell ref="C571:C572"/>
    <mergeCell ref="C360:C361"/>
    <mergeCell ref="C362:C364"/>
    <mergeCell ref="C365:C367"/>
    <mergeCell ref="C368:C373"/>
    <mergeCell ref="C374:C376"/>
    <mergeCell ref="C377:C379"/>
    <mergeCell ref="C380:C382"/>
    <mergeCell ref="C383:C385"/>
    <mergeCell ref="C386:C391"/>
    <mergeCell ref="A392:A404"/>
    <mergeCell ref="B392:B394"/>
    <mergeCell ref="C393:C394"/>
    <mergeCell ref="B395:B404"/>
    <mergeCell ref="C395:C404"/>
    <mergeCell ref="A405:A410"/>
    <mergeCell ref="B405:B410"/>
    <mergeCell ref="C405:C407"/>
    <mergeCell ref="C408:C410"/>
    <mergeCell ref="A411:A415"/>
    <mergeCell ref="B411:B415"/>
    <mergeCell ref="C411:C415"/>
    <mergeCell ref="B432:B438"/>
    <mergeCell ref="C432:C438"/>
    <mergeCell ref="C439:C443"/>
    <mergeCell ref="C450:C451"/>
    <mergeCell ref="C452:C455"/>
    <mergeCell ref="C458:C459"/>
    <mergeCell ref="A416:A423"/>
    <mergeCell ref="B416:B423"/>
    <mergeCell ref="C416:C423"/>
    <mergeCell ref="A424:A431"/>
    <mergeCell ref="B424:B431"/>
    <mergeCell ref="C424:C431"/>
    <mergeCell ref="A432:A438"/>
    <mergeCell ref="B458:B459"/>
    <mergeCell ref="B460:B465"/>
    <mergeCell ref="C460:C465"/>
    <mergeCell ref="C584:C585"/>
    <mergeCell ref="C586:C588"/>
    <mergeCell ref="B1054:B1057"/>
    <mergeCell ref="B1058:B1061"/>
    <mergeCell ref="B1026:B1029"/>
    <mergeCell ref="B1030:B1033"/>
    <mergeCell ref="B1034:B1037"/>
    <mergeCell ref="B1038:B1041"/>
    <mergeCell ref="B1042:B1045"/>
    <mergeCell ref="B1046:B1049"/>
    <mergeCell ref="B1050:B1053"/>
    <mergeCell ref="B830:B833"/>
    <mergeCell ref="B834:B837"/>
    <mergeCell ref="B838:B841"/>
    <mergeCell ref="B842:B845"/>
    <mergeCell ref="B846:B849"/>
    <mergeCell ref="B850:B853"/>
    <mergeCell ref="B854:B857"/>
    <mergeCell ref="B858:B861"/>
    <mergeCell ref="B862:B865"/>
    <mergeCell ref="B866:B869"/>
    <mergeCell ref="B870:B873"/>
    <mergeCell ref="B874:B877"/>
    <mergeCell ref="B878:B881"/>
    <mergeCell ref="B882:B885"/>
    <mergeCell ref="B886:B889"/>
    <mergeCell ref="B890:B893"/>
    <mergeCell ref="B894:B897"/>
    <mergeCell ref="B898:B901"/>
    <mergeCell ref="B902:B905"/>
    <mergeCell ref="B906:B909"/>
    <mergeCell ref="B910:B913"/>
    <mergeCell ref="B914:B917"/>
    <mergeCell ref="B918:B921"/>
    <mergeCell ref="B922:B925"/>
    <mergeCell ref="B926:B929"/>
    <mergeCell ref="B930:B933"/>
    <mergeCell ref="B934:B937"/>
    <mergeCell ref="B938:B941"/>
    <mergeCell ref="B942:B945"/>
    <mergeCell ref="B946:B949"/>
    <mergeCell ref="B950:B953"/>
    <mergeCell ref="B954:B957"/>
    <mergeCell ref="B958:B961"/>
    <mergeCell ref="B962:B965"/>
    <mergeCell ref="B966:B969"/>
    <mergeCell ref="B970:B973"/>
    <mergeCell ref="B974:B977"/>
    <mergeCell ref="B978:B981"/>
    <mergeCell ref="B982:B985"/>
    <mergeCell ref="B986:B989"/>
    <mergeCell ref="B990:B993"/>
    <mergeCell ref="B994:B997"/>
    <mergeCell ref="B998:B1001"/>
    <mergeCell ref="B1002:B1005"/>
    <mergeCell ref="B1006:B1009"/>
    <mergeCell ref="B1010:B1013"/>
    <mergeCell ref="B1014:B1017"/>
    <mergeCell ref="B1018:B1021"/>
    <mergeCell ref="B1022:B1025"/>
    <mergeCell ref="C1086:C1087"/>
    <mergeCell ref="C1088:C1089"/>
    <mergeCell ref="B1078:B1081"/>
    <mergeCell ref="C1078:C1079"/>
    <mergeCell ref="C1080:C1081"/>
    <mergeCell ref="B1082:B1085"/>
    <mergeCell ref="C1082:C1083"/>
    <mergeCell ref="C1084:C1085"/>
    <mergeCell ref="B1086:B1089"/>
    <mergeCell ref="C994:C995"/>
    <mergeCell ref="C996:C997"/>
    <mergeCell ref="C998:C999"/>
    <mergeCell ref="C1000:C1001"/>
    <mergeCell ref="C1002:C1003"/>
    <mergeCell ref="C1004:C1005"/>
    <mergeCell ref="C1006:C1007"/>
    <mergeCell ref="C1008:C1009"/>
    <mergeCell ref="C1010:C1011"/>
    <mergeCell ref="C1012:C1013"/>
    <mergeCell ref="C1014:C1015"/>
    <mergeCell ref="C1016:C1017"/>
    <mergeCell ref="C1018:C1019"/>
    <mergeCell ref="C1020:C1021"/>
    <mergeCell ref="C1022:C1023"/>
    <mergeCell ref="C1024:C1025"/>
    <mergeCell ref="C1026:C1027"/>
    <mergeCell ref="C1028:C1029"/>
    <mergeCell ref="C1030:C1031"/>
    <mergeCell ref="C1032:C1033"/>
    <mergeCell ref="C1034:C1035"/>
    <mergeCell ref="C1036:C1037"/>
    <mergeCell ref="C1038:C1039"/>
    <mergeCell ref="C1040:C1041"/>
    <mergeCell ref="C1042:C1043"/>
    <mergeCell ref="C1044:C1045"/>
    <mergeCell ref="C1046:C1047"/>
    <mergeCell ref="C1048:C1049"/>
    <mergeCell ref="C1062:C1063"/>
    <mergeCell ref="C1064:C1065"/>
    <mergeCell ref="C1050:C1051"/>
    <mergeCell ref="C1052:C1053"/>
    <mergeCell ref="C1054:C1055"/>
    <mergeCell ref="C1056:C1057"/>
    <mergeCell ref="C1058:C1059"/>
    <mergeCell ref="C1060:C1061"/>
    <mergeCell ref="B1062:B1065"/>
    <mergeCell ref="B1090:B1093"/>
    <mergeCell ref="C1090:C1091"/>
    <mergeCell ref="C1092:C1093"/>
    <mergeCell ref="C598:C599"/>
    <mergeCell ref="C600:C604"/>
    <mergeCell ref="C612:C613"/>
    <mergeCell ref="C614:C617"/>
    <mergeCell ref="A569:A572"/>
    <mergeCell ref="A573:A577"/>
    <mergeCell ref="B576:B577"/>
    <mergeCell ref="A578:A583"/>
    <mergeCell ref="B578:B581"/>
    <mergeCell ref="C578:C581"/>
    <mergeCell ref="B589:B592"/>
    <mergeCell ref="B582:B583"/>
    <mergeCell ref="B584:B588"/>
    <mergeCell ref="B593:B596"/>
    <mergeCell ref="B598:B604"/>
    <mergeCell ref="B605:B611"/>
    <mergeCell ref="B612:B617"/>
    <mergeCell ref="B618:B621"/>
    <mergeCell ref="C646:C648"/>
    <mergeCell ref="C649:C653"/>
    <mergeCell ref="C656:C657"/>
    <mergeCell ref="C660:C662"/>
    <mergeCell ref="C668:C669"/>
    <mergeCell ref="C670:C672"/>
    <mergeCell ref="C676:C678"/>
    <mergeCell ref="C679:C682"/>
    <mergeCell ref="B622:B623"/>
    <mergeCell ref="B624:B627"/>
    <mergeCell ref="C624:C627"/>
    <mergeCell ref="B628:B629"/>
    <mergeCell ref="B630:B631"/>
    <mergeCell ref="B632:B633"/>
    <mergeCell ref="C634:C639"/>
    <mergeCell ref="B634:B639"/>
    <mergeCell ref="B640:B642"/>
    <mergeCell ref="B644:B645"/>
    <mergeCell ref="B646:B653"/>
    <mergeCell ref="B654:B655"/>
    <mergeCell ref="B656:B657"/>
    <mergeCell ref="B658:B659"/>
    <mergeCell ref="B660:B663"/>
    <mergeCell ref="B664:B666"/>
    <mergeCell ref="B667:B669"/>
    <mergeCell ref="B670:B673"/>
    <mergeCell ref="B674:B675"/>
    <mergeCell ref="B676:B678"/>
    <mergeCell ref="B679:B682"/>
    <mergeCell ref="B683:B686"/>
    <mergeCell ref="B687:B689"/>
    <mergeCell ref="C687:C689"/>
    <mergeCell ref="B690:B693"/>
    <mergeCell ref="C690:C691"/>
    <mergeCell ref="C692:C693"/>
    <mergeCell ref="B694:B696"/>
    <mergeCell ref="B697:B700"/>
    <mergeCell ref="C697:C700"/>
    <mergeCell ref="B701:B704"/>
    <mergeCell ref="C701:C702"/>
    <mergeCell ref="C703:C704"/>
    <mergeCell ref="B705:B707"/>
    <mergeCell ref="C705:C707"/>
    <mergeCell ref="B708:B712"/>
    <mergeCell ref="C708:C712"/>
    <mergeCell ref="B713:B716"/>
    <mergeCell ref="C713:C714"/>
    <mergeCell ref="C715:C716"/>
    <mergeCell ref="B717:B719"/>
    <mergeCell ref="C717:C719"/>
    <mergeCell ref="B720:B723"/>
    <mergeCell ref="C720:C723"/>
    <mergeCell ref="B724:B726"/>
    <mergeCell ref="C724:C726"/>
    <mergeCell ref="B727:B730"/>
    <mergeCell ref="C727:C730"/>
    <mergeCell ref="C731:C733"/>
    <mergeCell ref="C750:C751"/>
    <mergeCell ref="C753:C754"/>
    <mergeCell ref="C755:C756"/>
    <mergeCell ref="C757:C758"/>
    <mergeCell ref="C734:C735"/>
    <mergeCell ref="C736:C737"/>
    <mergeCell ref="C738:C740"/>
    <mergeCell ref="C741:C742"/>
    <mergeCell ref="C743:C744"/>
    <mergeCell ref="C746:C747"/>
    <mergeCell ref="C748:C749"/>
    <mergeCell ref="B731:B733"/>
    <mergeCell ref="B734:B737"/>
    <mergeCell ref="B738:B740"/>
    <mergeCell ref="B741:B744"/>
    <mergeCell ref="B745:B747"/>
    <mergeCell ref="B748:B751"/>
    <mergeCell ref="B752:B754"/>
    <mergeCell ref="B755:B758"/>
    <mergeCell ref="B760:B761"/>
    <mergeCell ref="B762:B764"/>
    <mergeCell ref="B765:B769"/>
    <mergeCell ref="B770:B772"/>
    <mergeCell ref="B773:B775"/>
    <mergeCell ref="B776:B778"/>
    <mergeCell ref="B779:B780"/>
    <mergeCell ref="B781:B782"/>
    <mergeCell ref="B783:B784"/>
    <mergeCell ref="C783:C784"/>
    <mergeCell ref="B785:B786"/>
    <mergeCell ref="C785:C786"/>
    <mergeCell ref="C787:C788"/>
    <mergeCell ref="B787:B788"/>
    <mergeCell ref="B789:B790"/>
    <mergeCell ref="B791:B792"/>
    <mergeCell ref="B793:B794"/>
    <mergeCell ref="B795:B796"/>
    <mergeCell ref="B797:B798"/>
    <mergeCell ref="B799:B802"/>
    <mergeCell ref="B803:B806"/>
    <mergeCell ref="B807:B810"/>
    <mergeCell ref="B811:B815"/>
    <mergeCell ref="B816:B819"/>
    <mergeCell ref="B820:B821"/>
    <mergeCell ref="B822:B825"/>
    <mergeCell ref="B826:B829"/>
    <mergeCell ref="C789:C790"/>
    <mergeCell ref="C791:C792"/>
    <mergeCell ref="C793:C794"/>
    <mergeCell ref="C795:C796"/>
    <mergeCell ref="C805:C806"/>
    <mergeCell ref="C820:C821"/>
    <mergeCell ref="C830:C831"/>
    <mergeCell ref="C832:C833"/>
    <mergeCell ref="C838:C841"/>
    <mergeCell ref="C842:C843"/>
    <mergeCell ref="C844:C845"/>
    <mergeCell ref="C850:C851"/>
    <mergeCell ref="C852:C853"/>
    <mergeCell ref="C854:C855"/>
    <mergeCell ref="C856:C857"/>
    <mergeCell ref="C858:C859"/>
    <mergeCell ref="C860:C861"/>
    <mergeCell ref="C864:C865"/>
    <mergeCell ref="C866:C867"/>
    <mergeCell ref="C868:C869"/>
    <mergeCell ref="C870:C871"/>
    <mergeCell ref="A866:A873"/>
    <mergeCell ref="A874:A877"/>
    <mergeCell ref="A878:A885"/>
    <mergeCell ref="A886:A893"/>
    <mergeCell ref="A894:A901"/>
    <mergeCell ref="A902:A909"/>
    <mergeCell ref="A910:A917"/>
    <mergeCell ref="A1010:A1025"/>
    <mergeCell ref="A1026:A1041"/>
    <mergeCell ref="A1042:A1057"/>
    <mergeCell ref="A1058:A1073"/>
    <mergeCell ref="A1074:A1089"/>
    <mergeCell ref="A1090:A1105"/>
    <mergeCell ref="A1106:A1121"/>
    <mergeCell ref="A918:A925"/>
    <mergeCell ref="A926:A937"/>
    <mergeCell ref="A938:A949"/>
    <mergeCell ref="A950:A961"/>
    <mergeCell ref="A962:A977"/>
    <mergeCell ref="A978:A993"/>
    <mergeCell ref="A994:A1009"/>
    <mergeCell ref="A584:A592"/>
    <mergeCell ref="A593:A597"/>
    <mergeCell ref="A598:A611"/>
    <mergeCell ref="A612:A623"/>
    <mergeCell ref="A624:A633"/>
    <mergeCell ref="A634:A645"/>
    <mergeCell ref="A646:A659"/>
    <mergeCell ref="A660:A669"/>
    <mergeCell ref="A670:A678"/>
    <mergeCell ref="A679:A689"/>
    <mergeCell ref="A690:A696"/>
    <mergeCell ref="A697:A707"/>
    <mergeCell ref="A708:A719"/>
    <mergeCell ref="A720:A726"/>
    <mergeCell ref="A727:A733"/>
    <mergeCell ref="A734:A740"/>
    <mergeCell ref="A741:A747"/>
    <mergeCell ref="A748:A754"/>
    <mergeCell ref="A755:A761"/>
    <mergeCell ref="A762:A764"/>
    <mergeCell ref="A765:A769"/>
    <mergeCell ref="A770:A772"/>
    <mergeCell ref="A773:A775"/>
    <mergeCell ref="A776:A778"/>
    <mergeCell ref="A779:A780"/>
    <mergeCell ref="A781:A782"/>
    <mergeCell ref="A783:A784"/>
    <mergeCell ref="A785:A786"/>
    <mergeCell ref="A787:A788"/>
    <mergeCell ref="A789:A790"/>
    <mergeCell ref="A791:A792"/>
    <mergeCell ref="A793:A794"/>
    <mergeCell ref="A795:A796"/>
    <mergeCell ref="A797:A798"/>
    <mergeCell ref="A799:A802"/>
    <mergeCell ref="A803:A806"/>
    <mergeCell ref="A807:A810"/>
    <mergeCell ref="A811:A815"/>
    <mergeCell ref="A816:A819"/>
    <mergeCell ref="A820:A821"/>
    <mergeCell ref="A822:A825"/>
    <mergeCell ref="A826:A829"/>
    <mergeCell ref="A830:A833"/>
    <mergeCell ref="A834:A837"/>
    <mergeCell ref="A838:A841"/>
    <mergeCell ref="A842:A845"/>
    <mergeCell ref="A846:A849"/>
    <mergeCell ref="A850:A857"/>
    <mergeCell ref="A858:A865"/>
    <mergeCell ref="C872:C873"/>
    <mergeCell ref="C878:C879"/>
    <mergeCell ref="C880:C881"/>
    <mergeCell ref="C882:C883"/>
    <mergeCell ref="C884:C885"/>
    <mergeCell ref="C886:C887"/>
    <mergeCell ref="C888:C889"/>
    <mergeCell ref="C890:C891"/>
    <mergeCell ref="C892:C893"/>
    <mergeCell ref="C894:C895"/>
    <mergeCell ref="C896:C897"/>
    <mergeCell ref="C898:C899"/>
    <mergeCell ref="C900:C901"/>
    <mergeCell ref="C902:C903"/>
    <mergeCell ref="C904:C905"/>
    <mergeCell ref="C910:C913"/>
    <mergeCell ref="C916:C917"/>
    <mergeCell ref="C918:C921"/>
    <mergeCell ref="C922:C925"/>
    <mergeCell ref="C926:C927"/>
    <mergeCell ref="C928:C929"/>
    <mergeCell ref="C930:C931"/>
    <mergeCell ref="C932:C933"/>
    <mergeCell ref="C934:C935"/>
    <mergeCell ref="C936:C937"/>
    <mergeCell ref="C938:C939"/>
    <mergeCell ref="C940:C941"/>
    <mergeCell ref="C942:C943"/>
    <mergeCell ref="C944:C945"/>
    <mergeCell ref="C946:C947"/>
    <mergeCell ref="C948:C949"/>
    <mergeCell ref="C950:C951"/>
    <mergeCell ref="C952:C953"/>
    <mergeCell ref="C954:C957"/>
    <mergeCell ref="C958:C961"/>
    <mergeCell ref="C962:C965"/>
    <mergeCell ref="C966:C969"/>
    <mergeCell ref="C970:C971"/>
    <mergeCell ref="C972:C973"/>
    <mergeCell ref="C974:C975"/>
    <mergeCell ref="C976:C977"/>
    <mergeCell ref="C978:C979"/>
    <mergeCell ref="C980:C981"/>
    <mergeCell ref="C982:C983"/>
    <mergeCell ref="C984:C985"/>
    <mergeCell ref="C986:C987"/>
    <mergeCell ref="C988:C989"/>
    <mergeCell ref="C990:C991"/>
    <mergeCell ref="C992:C993"/>
    <mergeCell ref="C1074:C1075"/>
    <mergeCell ref="C1076:C1077"/>
    <mergeCell ref="B1066:B1069"/>
    <mergeCell ref="C1066:C1067"/>
    <mergeCell ref="C1068:C1069"/>
    <mergeCell ref="B1070:B1073"/>
    <mergeCell ref="C1070:C1071"/>
    <mergeCell ref="C1072:C1073"/>
    <mergeCell ref="B1074:B1077"/>
    <mergeCell ref="C1102:C1103"/>
    <mergeCell ref="C1104:C1105"/>
    <mergeCell ref="B1094:B1097"/>
    <mergeCell ref="C1094:C1095"/>
    <mergeCell ref="C1096:C1097"/>
    <mergeCell ref="B1098:B1101"/>
    <mergeCell ref="C1098:C1099"/>
    <mergeCell ref="C1100:C1101"/>
    <mergeCell ref="B1102:B1105"/>
    <mergeCell ref="C1114:C1115"/>
    <mergeCell ref="C1116:C1117"/>
    <mergeCell ref="B1118:B1121"/>
    <mergeCell ref="C1118:C1119"/>
    <mergeCell ref="C1120:C1121"/>
    <mergeCell ref="B1106:B1109"/>
    <mergeCell ref="C1106:C1107"/>
    <mergeCell ref="C1108:C1109"/>
    <mergeCell ref="B1110:B1113"/>
    <mergeCell ref="C1110:C1111"/>
    <mergeCell ref="C1112:C1113"/>
    <mergeCell ref="B1114:B1117"/>
    <mergeCell ref="M30:M32"/>
    <mergeCell ref="N30:N32"/>
    <mergeCell ref="N33:N35"/>
    <mergeCell ref="N17:N19"/>
    <mergeCell ref="N20:N21"/>
    <mergeCell ref="N22:N23"/>
    <mergeCell ref="N24:N26"/>
    <mergeCell ref="N27:N29"/>
    <mergeCell ref="K30:K32"/>
    <mergeCell ref="L30:L32"/>
    <mergeCell ref="M42:M44"/>
    <mergeCell ref="N42:N44"/>
    <mergeCell ref="K36:K38"/>
    <mergeCell ref="L36:L38"/>
    <mergeCell ref="M36:M38"/>
    <mergeCell ref="N36:N38"/>
    <mergeCell ref="N39:N41"/>
    <mergeCell ref="K42:K44"/>
    <mergeCell ref="L42:L44"/>
    <mergeCell ref="M51:M53"/>
    <mergeCell ref="N51:N53"/>
    <mergeCell ref="K45:K47"/>
    <mergeCell ref="L45:L47"/>
    <mergeCell ref="M45:M47"/>
    <mergeCell ref="N45:N47"/>
    <mergeCell ref="N48:N50"/>
    <mergeCell ref="K51:K53"/>
    <mergeCell ref="L51:L53"/>
    <mergeCell ref="K235:K236"/>
    <mergeCell ref="K238:K239"/>
    <mergeCell ref="M282:M285"/>
    <mergeCell ref="N282:N285"/>
    <mergeCell ref="K283:K284"/>
    <mergeCell ref="K286:K288"/>
    <mergeCell ref="L286:L288"/>
    <mergeCell ref="M286:M288"/>
    <mergeCell ref="N286:N288"/>
    <mergeCell ref="K289:K291"/>
    <mergeCell ref="L289:M291"/>
    <mergeCell ref="N289:N291"/>
    <mergeCell ref="K292:K294"/>
    <mergeCell ref="L292:L294"/>
    <mergeCell ref="M292:M294"/>
    <mergeCell ref="N292:N294"/>
    <mergeCell ref="K295:K297"/>
    <mergeCell ref="L295:L297"/>
    <mergeCell ref="M295:M297"/>
    <mergeCell ref="N295:N297"/>
    <mergeCell ref="L298:L300"/>
    <mergeCell ref="M298:M300"/>
    <mergeCell ref="N298:N300"/>
    <mergeCell ref="K298:K300"/>
    <mergeCell ref="K301:K304"/>
    <mergeCell ref="L301:L304"/>
    <mergeCell ref="M301:M304"/>
    <mergeCell ref="N301:N304"/>
    <mergeCell ref="K305:K307"/>
    <mergeCell ref="L305:L307"/>
    <mergeCell ref="M311:M313"/>
    <mergeCell ref="N311:N313"/>
    <mergeCell ref="M305:M307"/>
    <mergeCell ref="N305:N307"/>
    <mergeCell ref="K308:K310"/>
    <mergeCell ref="L308:M310"/>
    <mergeCell ref="N308:N310"/>
    <mergeCell ref="K311:K313"/>
    <mergeCell ref="L311:L313"/>
    <mergeCell ref="K314:K316"/>
    <mergeCell ref="L314:L316"/>
    <mergeCell ref="M314:M316"/>
    <mergeCell ref="N314:N316"/>
    <mergeCell ref="L317:L319"/>
    <mergeCell ref="M317:M319"/>
    <mergeCell ref="N317:N319"/>
    <mergeCell ref="K317:K319"/>
    <mergeCell ref="K320:K322"/>
    <mergeCell ref="L320:L322"/>
    <mergeCell ref="M320:M322"/>
    <mergeCell ref="N320:N322"/>
    <mergeCell ref="L323:M325"/>
    <mergeCell ref="N323:N325"/>
    <mergeCell ref="M330:M332"/>
    <mergeCell ref="N330:N332"/>
    <mergeCell ref="K323:K325"/>
    <mergeCell ref="K326:K329"/>
    <mergeCell ref="L326:L329"/>
    <mergeCell ref="M326:M329"/>
    <mergeCell ref="N326:N329"/>
    <mergeCell ref="K330:K332"/>
    <mergeCell ref="L330:L332"/>
    <mergeCell ref="K333:K334"/>
    <mergeCell ref="L333:L334"/>
    <mergeCell ref="M333:M334"/>
    <mergeCell ref="N333:N334"/>
    <mergeCell ref="L335:L337"/>
    <mergeCell ref="M335:M337"/>
    <mergeCell ref="N335:N337"/>
    <mergeCell ref="K335:K337"/>
    <mergeCell ref="K338:K341"/>
    <mergeCell ref="L338:M341"/>
    <mergeCell ref="N338:N341"/>
    <mergeCell ref="L342:L344"/>
    <mergeCell ref="M342:M344"/>
    <mergeCell ref="N342:N344"/>
    <mergeCell ref="L228:L230"/>
    <mergeCell ref="K229:K230"/>
    <mergeCell ref="K231:K233"/>
    <mergeCell ref="L231:L233"/>
    <mergeCell ref="M231:M233"/>
    <mergeCell ref="N231:N233"/>
    <mergeCell ref="L234:L236"/>
    <mergeCell ref="M234:M236"/>
    <mergeCell ref="N234:N236"/>
    <mergeCell ref="L237:L248"/>
    <mergeCell ref="M237:M248"/>
    <mergeCell ref="N237:N248"/>
    <mergeCell ref="K240:K248"/>
    <mergeCell ref="K249:K251"/>
    <mergeCell ref="N249:N251"/>
    <mergeCell ref="M257:M259"/>
    <mergeCell ref="N257:N259"/>
    <mergeCell ref="L249:L251"/>
    <mergeCell ref="M249:M251"/>
    <mergeCell ref="K252:K256"/>
    <mergeCell ref="L252:M256"/>
    <mergeCell ref="N252:N256"/>
    <mergeCell ref="K257:K259"/>
    <mergeCell ref="L257:L259"/>
    <mergeCell ref="L260:L262"/>
    <mergeCell ref="M260:M262"/>
    <mergeCell ref="K261:K262"/>
    <mergeCell ref="L263:L269"/>
    <mergeCell ref="M263:M269"/>
    <mergeCell ref="N263:N269"/>
    <mergeCell ref="K264:K266"/>
    <mergeCell ref="K267:K269"/>
    <mergeCell ref="K270:K272"/>
    <mergeCell ref="L270:L272"/>
    <mergeCell ref="M270:M272"/>
    <mergeCell ref="N270:N272"/>
    <mergeCell ref="M273:M275"/>
    <mergeCell ref="N273:N275"/>
    <mergeCell ref="K342:K344"/>
    <mergeCell ref="K345:K347"/>
    <mergeCell ref="L345:L347"/>
    <mergeCell ref="M345:M347"/>
    <mergeCell ref="N345:N347"/>
    <mergeCell ref="L147:L149"/>
    <mergeCell ref="M147:M149"/>
    <mergeCell ref="K150:K153"/>
    <mergeCell ref="L150:M153"/>
    <mergeCell ref="N150:N153"/>
    <mergeCell ref="M154:M156"/>
    <mergeCell ref="N154:N156"/>
    <mergeCell ref="L154:L156"/>
    <mergeCell ref="K155:K156"/>
    <mergeCell ref="K157:K159"/>
    <mergeCell ref="L157:L159"/>
    <mergeCell ref="M157:M159"/>
    <mergeCell ref="N157:N159"/>
    <mergeCell ref="L160:L162"/>
    <mergeCell ref="K161:K162"/>
    <mergeCell ref="M160:M162"/>
    <mergeCell ref="N160:N162"/>
    <mergeCell ref="K163:K165"/>
    <mergeCell ref="L163:L165"/>
    <mergeCell ref="M163:M165"/>
    <mergeCell ref="N163:N165"/>
    <mergeCell ref="K166:K168"/>
    <mergeCell ref="N166:N168"/>
    <mergeCell ref="L166:L168"/>
    <mergeCell ref="M166:M168"/>
    <mergeCell ref="K169:K174"/>
    <mergeCell ref="L169:M174"/>
    <mergeCell ref="N169:N174"/>
    <mergeCell ref="M175:M177"/>
    <mergeCell ref="N175:N177"/>
    <mergeCell ref="M181:M183"/>
    <mergeCell ref="N181:N183"/>
    <mergeCell ref="L175:L177"/>
    <mergeCell ref="K176:K177"/>
    <mergeCell ref="K178:K180"/>
    <mergeCell ref="L178:L180"/>
    <mergeCell ref="M178:M180"/>
    <mergeCell ref="N178:N180"/>
    <mergeCell ref="L181:L183"/>
    <mergeCell ref="M187:M189"/>
    <mergeCell ref="N187:N189"/>
    <mergeCell ref="K182:K183"/>
    <mergeCell ref="K184:K186"/>
    <mergeCell ref="L184:L186"/>
    <mergeCell ref="M184:M186"/>
    <mergeCell ref="N184:N186"/>
    <mergeCell ref="K187:K189"/>
    <mergeCell ref="L187:L189"/>
    <mergeCell ref="K190:K196"/>
    <mergeCell ref="L190:M196"/>
    <mergeCell ref="N190:N196"/>
    <mergeCell ref="L197:L199"/>
    <mergeCell ref="M197:M199"/>
    <mergeCell ref="N197:N199"/>
    <mergeCell ref="K198:K199"/>
    <mergeCell ref="K200:K202"/>
    <mergeCell ref="L200:L202"/>
    <mergeCell ref="M200:M202"/>
    <mergeCell ref="N200:N202"/>
    <mergeCell ref="M203:M205"/>
    <mergeCell ref="N203:N205"/>
    <mergeCell ref="K204:K205"/>
    <mergeCell ref="L203:L205"/>
    <mergeCell ref="L206:L216"/>
    <mergeCell ref="M206:M216"/>
    <mergeCell ref="N206:N216"/>
    <mergeCell ref="K207:K208"/>
    <mergeCell ref="K209:K216"/>
    <mergeCell ref="K217:K219"/>
    <mergeCell ref="N217:N219"/>
    <mergeCell ref="L217:L219"/>
    <mergeCell ref="M217:M219"/>
    <mergeCell ref="K220:K227"/>
    <mergeCell ref="L220:M227"/>
    <mergeCell ref="N220:N227"/>
    <mergeCell ref="M228:M230"/>
    <mergeCell ref="N228:N230"/>
    <mergeCell ref="M383:M385"/>
    <mergeCell ref="N383:N385"/>
    <mergeCell ref="K380:K382"/>
    <mergeCell ref="L380:L382"/>
    <mergeCell ref="M380:M382"/>
    <mergeCell ref="N380:N382"/>
    <mergeCell ref="J381:J382"/>
    <mergeCell ref="L383:L385"/>
    <mergeCell ref="J384:J385"/>
    <mergeCell ref="E395:E404"/>
    <mergeCell ref="F395:F404"/>
    <mergeCell ref="E405:E410"/>
    <mergeCell ref="F405:F410"/>
    <mergeCell ref="G405:G410"/>
    <mergeCell ref="H405:H410"/>
    <mergeCell ref="E411:E415"/>
    <mergeCell ref="H411:H415"/>
    <mergeCell ref="F411:F415"/>
    <mergeCell ref="G411:G415"/>
    <mergeCell ref="E416:E423"/>
    <mergeCell ref="F416:F423"/>
    <mergeCell ref="G416:G423"/>
    <mergeCell ref="H416:H423"/>
    <mergeCell ref="H424:H431"/>
    <mergeCell ref="D368:D373"/>
    <mergeCell ref="E368:E373"/>
    <mergeCell ref="F368:F373"/>
    <mergeCell ref="G368:G373"/>
    <mergeCell ref="E374:E376"/>
    <mergeCell ref="F374:F376"/>
    <mergeCell ref="G374:G376"/>
    <mergeCell ref="D374:D376"/>
    <mergeCell ref="D377:D379"/>
    <mergeCell ref="E377:E379"/>
    <mergeCell ref="F377:F379"/>
    <mergeCell ref="G377:G379"/>
    <mergeCell ref="D380:D382"/>
    <mergeCell ref="E380:E382"/>
    <mergeCell ref="D383:D385"/>
    <mergeCell ref="E383:E385"/>
    <mergeCell ref="F383:F385"/>
    <mergeCell ref="G383:G385"/>
    <mergeCell ref="E386:E391"/>
    <mergeCell ref="F386:F391"/>
    <mergeCell ref="G386:G391"/>
    <mergeCell ref="D386:D391"/>
    <mergeCell ref="D392:D394"/>
    <mergeCell ref="E392:E394"/>
    <mergeCell ref="F392:F394"/>
    <mergeCell ref="G392:G394"/>
    <mergeCell ref="H393:H394"/>
    <mergeCell ref="G395:G404"/>
    <mergeCell ref="E424:E431"/>
    <mergeCell ref="E432:E438"/>
    <mergeCell ref="E439:E443"/>
    <mergeCell ref="E444:E448"/>
    <mergeCell ref="D439:D443"/>
    <mergeCell ref="D444:D448"/>
    <mergeCell ref="G444:G448"/>
    <mergeCell ref="H445:H448"/>
    <mergeCell ref="D395:D404"/>
    <mergeCell ref="D405:D407"/>
    <mergeCell ref="D408:D410"/>
    <mergeCell ref="D411:D415"/>
    <mergeCell ref="D416:D423"/>
    <mergeCell ref="D424:D431"/>
    <mergeCell ref="D432:D438"/>
    <mergeCell ref="D209:D216"/>
    <mergeCell ref="D217:D219"/>
    <mergeCell ref="E217:E219"/>
    <mergeCell ref="D220:D227"/>
    <mergeCell ref="E220:E227"/>
    <mergeCell ref="D228:D229"/>
    <mergeCell ref="E228:E230"/>
    <mergeCell ref="D234:D236"/>
    <mergeCell ref="E234:E236"/>
    <mergeCell ref="D237:D239"/>
    <mergeCell ref="E237:E248"/>
    <mergeCell ref="F237:F248"/>
    <mergeCell ref="G237:G248"/>
    <mergeCell ref="D240:D248"/>
    <mergeCell ref="G252:G256"/>
    <mergeCell ref="H252:H256"/>
    <mergeCell ref="D249:D251"/>
    <mergeCell ref="E249:E251"/>
    <mergeCell ref="F249:F251"/>
    <mergeCell ref="G249:G251"/>
    <mergeCell ref="D252:D256"/>
    <mergeCell ref="E252:E256"/>
    <mergeCell ref="F252:F256"/>
    <mergeCell ref="D257:D259"/>
    <mergeCell ref="E257:E259"/>
    <mergeCell ref="F257:F259"/>
    <mergeCell ref="G257:G259"/>
    <mergeCell ref="E260:E262"/>
    <mergeCell ref="F260:F262"/>
    <mergeCell ref="G260:G262"/>
    <mergeCell ref="E270:E272"/>
    <mergeCell ref="F270:F272"/>
    <mergeCell ref="F276:F278"/>
    <mergeCell ref="G276:G278"/>
    <mergeCell ref="E320:E322"/>
    <mergeCell ref="F320:F322"/>
    <mergeCell ref="F314:F316"/>
    <mergeCell ref="G314:G316"/>
    <mergeCell ref="D317:D319"/>
    <mergeCell ref="E317:E319"/>
    <mergeCell ref="F317:F319"/>
    <mergeCell ref="G317:G319"/>
    <mergeCell ref="G320:G322"/>
    <mergeCell ref="F326:F329"/>
    <mergeCell ref="G326:G329"/>
    <mergeCell ref="D320:D322"/>
    <mergeCell ref="D323:D325"/>
    <mergeCell ref="E323:E325"/>
    <mergeCell ref="F323:F325"/>
    <mergeCell ref="G323:G325"/>
    <mergeCell ref="D326:D329"/>
    <mergeCell ref="E326:E329"/>
    <mergeCell ref="D260:D262"/>
    <mergeCell ref="D263:D266"/>
    <mergeCell ref="E263:E269"/>
    <mergeCell ref="F263:F269"/>
    <mergeCell ref="G263:G269"/>
    <mergeCell ref="D267:D269"/>
    <mergeCell ref="G270:G272"/>
    <mergeCell ref="D270:D272"/>
    <mergeCell ref="D273:D275"/>
    <mergeCell ref="E273:E275"/>
    <mergeCell ref="F273:F275"/>
    <mergeCell ref="G273:G275"/>
    <mergeCell ref="D276:D278"/>
    <mergeCell ref="E276:E278"/>
    <mergeCell ref="D279:D281"/>
    <mergeCell ref="E279:E281"/>
    <mergeCell ref="F279:F281"/>
    <mergeCell ref="G279:G281"/>
    <mergeCell ref="E282:E285"/>
    <mergeCell ref="F282:F285"/>
    <mergeCell ref="G282:G285"/>
    <mergeCell ref="F289:F291"/>
    <mergeCell ref="G289:G291"/>
    <mergeCell ref="H289:H291"/>
    <mergeCell ref="D282:D284"/>
    <mergeCell ref="D286:D288"/>
    <mergeCell ref="E286:E288"/>
    <mergeCell ref="F286:F288"/>
    <mergeCell ref="G286:G288"/>
    <mergeCell ref="D289:D291"/>
    <mergeCell ref="E289:E291"/>
    <mergeCell ref="F301:F304"/>
    <mergeCell ref="G301:G304"/>
    <mergeCell ref="H303:H304"/>
    <mergeCell ref="D330:D332"/>
    <mergeCell ref="E330:E332"/>
    <mergeCell ref="F330:F332"/>
    <mergeCell ref="G330:G332"/>
    <mergeCell ref="E333:E334"/>
    <mergeCell ref="F333:F334"/>
    <mergeCell ref="G333:G334"/>
    <mergeCell ref="E351:E355"/>
    <mergeCell ref="F351:F355"/>
    <mergeCell ref="D356:D358"/>
    <mergeCell ref="E356:E358"/>
    <mergeCell ref="F356:F358"/>
    <mergeCell ref="G356:G358"/>
    <mergeCell ref="G359:G361"/>
    <mergeCell ref="D359:D361"/>
    <mergeCell ref="D362:D364"/>
    <mergeCell ref="E362:E364"/>
    <mergeCell ref="F362:F364"/>
    <mergeCell ref="G362:G364"/>
    <mergeCell ref="D365:D367"/>
    <mergeCell ref="E365:E367"/>
    <mergeCell ref="F338:F341"/>
    <mergeCell ref="G338:G341"/>
    <mergeCell ref="D333:D334"/>
    <mergeCell ref="D335:D337"/>
    <mergeCell ref="E335:E337"/>
    <mergeCell ref="F335:F337"/>
    <mergeCell ref="G335:G337"/>
    <mergeCell ref="D338:D341"/>
    <mergeCell ref="E338:E341"/>
    <mergeCell ref="D342:D344"/>
    <mergeCell ref="E342:E344"/>
    <mergeCell ref="F342:F344"/>
    <mergeCell ref="G342:G344"/>
    <mergeCell ref="E345:E347"/>
    <mergeCell ref="F345:F347"/>
    <mergeCell ref="G345:G347"/>
    <mergeCell ref="D345:D347"/>
    <mergeCell ref="D348:D350"/>
    <mergeCell ref="E348:E350"/>
    <mergeCell ref="F348:F350"/>
    <mergeCell ref="G348:G350"/>
    <mergeCell ref="H349:H350"/>
    <mergeCell ref="D351:D355"/>
    <mergeCell ref="G351:G355"/>
    <mergeCell ref="E359:E361"/>
    <mergeCell ref="F359:F361"/>
    <mergeCell ref="F365:F367"/>
    <mergeCell ref="G365:G367"/>
    <mergeCell ref="F380:F382"/>
    <mergeCell ref="G380:G382"/>
    <mergeCell ref="F424:F431"/>
    <mergeCell ref="G424:G431"/>
    <mergeCell ref="F432:F438"/>
    <mergeCell ref="G432:G438"/>
    <mergeCell ref="H432:H438"/>
    <mergeCell ref="G439:G443"/>
    <mergeCell ref="H439:H443"/>
    <mergeCell ref="F439:F443"/>
    <mergeCell ref="F444:F448"/>
    <mergeCell ref="D450:D455"/>
    <mergeCell ref="E450:E455"/>
    <mergeCell ref="F450:F455"/>
    <mergeCell ref="G450:G455"/>
    <mergeCell ref="H450:H455"/>
    <mergeCell ref="D456:D457"/>
    <mergeCell ref="E456:E457"/>
    <mergeCell ref="F456:F457"/>
    <mergeCell ref="G456:G457"/>
    <mergeCell ref="E458:E459"/>
    <mergeCell ref="F458:F459"/>
    <mergeCell ref="G458:G459"/>
    <mergeCell ref="D458:D459"/>
    <mergeCell ref="D460:D465"/>
    <mergeCell ref="E460:E465"/>
    <mergeCell ref="F460:F465"/>
    <mergeCell ref="G460:G465"/>
    <mergeCell ref="H460:H465"/>
    <mergeCell ref="D466:D467"/>
    <mergeCell ref="G466:G467"/>
    <mergeCell ref="E471:E477"/>
    <mergeCell ref="F471:F477"/>
    <mergeCell ref="G471:G477"/>
    <mergeCell ref="H471:H477"/>
    <mergeCell ref="E466:E467"/>
    <mergeCell ref="F466:F467"/>
    <mergeCell ref="D468:D469"/>
    <mergeCell ref="E468:E469"/>
    <mergeCell ref="F468:F469"/>
    <mergeCell ref="G468:G469"/>
    <mergeCell ref="D471:D477"/>
    <mergeCell ref="M551:M553"/>
    <mergeCell ref="N551:N553"/>
    <mergeCell ref="I544:I545"/>
    <mergeCell ref="J544:J545"/>
    <mergeCell ref="K546:K550"/>
    <mergeCell ref="L546:M550"/>
    <mergeCell ref="N546:N550"/>
    <mergeCell ref="K551:K553"/>
    <mergeCell ref="L551:L553"/>
    <mergeCell ref="K503:K506"/>
    <mergeCell ref="L503:M506"/>
    <mergeCell ref="N503:N506"/>
    <mergeCell ref="K507:K511"/>
    <mergeCell ref="L507:L511"/>
    <mergeCell ref="M507:M511"/>
    <mergeCell ref="N507:N511"/>
    <mergeCell ref="I517:I520"/>
    <mergeCell ref="J517:J520"/>
    <mergeCell ref="K512:K515"/>
    <mergeCell ref="L512:M515"/>
    <mergeCell ref="N512:N515"/>
    <mergeCell ref="K516:K520"/>
    <mergeCell ref="L516:L520"/>
    <mergeCell ref="M516:M520"/>
    <mergeCell ref="N516:N520"/>
    <mergeCell ref="I526:I530"/>
    <mergeCell ref="J526:J530"/>
    <mergeCell ref="K521:K524"/>
    <mergeCell ref="L521:M524"/>
    <mergeCell ref="N521:N524"/>
    <mergeCell ref="K525:K530"/>
    <mergeCell ref="L525:L530"/>
    <mergeCell ref="M525:M530"/>
    <mergeCell ref="N525:N530"/>
    <mergeCell ref="K531:K535"/>
    <mergeCell ref="L531:M535"/>
    <mergeCell ref="N531:N535"/>
    <mergeCell ref="K536:K538"/>
    <mergeCell ref="L536:L538"/>
    <mergeCell ref="M536:M538"/>
    <mergeCell ref="N536:N538"/>
    <mergeCell ref="I559:I560"/>
    <mergeCell ref="J559:J560"/>
    <mergeCell ref="L273:L275"/>
    <mergeCell ref="J274:J275"/>
    <mergeCell ref="K274:K275"/>
    <mergeCell ref="K276:K278"/>
    <mergeCell ref="M276:M278"/>
    <mergeCell ref="N276:N278"/>
    <mergeCell ref="J277:J278"/>
    <mergeCell ref="L276:L278"/>
    <mergeCell ref="L279:L281"/>
    <mergeCell ref="M279:M281"/>
    <mergeCell ref="N279:N281"/>
    <mergeCell ref="J280:J281"/>
    <mergeCell ref="K280:K281"/>
    <mergeCell ref="L282:L285"/>
    <mergeCell ref="J283:J284"/>
    <mergeCell ref="J287:J288"/>
    <mergeCell ref="J293:J294"/>
    <mergeCell ref="J296:J297"/>
    <mergeCell ref="J299:J300"/>
    <mergeCell ref="I303:I304"/>
    <mergeCell ref="J303:J304"/>
    <mergeCell ref="J306:J307"/>
    <mergeCell ref="J312:J313"/>
    <mergeCell ref="J315:J316"/>
    <mergeCell ref="J318:J319"/>
    <mergeCell ref="J321:J322"/>
    <mergeCell ref="J327:J329"/>
    <mergeCell ref="J331:J332"/>
    <mergeCell ref="J336:J337"/>
    <mergeCell ref="J343:J344"/>
    <mergeCell ref="J346:J347"/>
    <mergeCell ref="I349:I350"/>
    <mergeCell ref="J349:J350"/>
    <mergeCell ref="K349:K350"/>
    <mergeCell ref="L349:L350"/>
    <mergeCell ref="L359:L361"/>
    <mergeCell ref="M359:M361"/>
    <mergeCell ref="K359:K361"/>
    <mergeCell ref="J360:J361"/>
    <mergeCell ref="M349:M350"/>
    <mergeCell ref="N349:N350"/>
    <mergeCell ref="L351:M355"/>
    <mergeCell ref="N351:N355"/>
    <mergeCell ref="K351:K355"/>
    <mergeCell ref="K356:K358"/>
    <mergeCell ref="L356:L358"/>
    <mergeCell ref="M356:M358"/>
    <mergeCell ref="N356:N358"/>
    <mergeCell ref="J357:J358"/>
    <mergeCell ref="N359:N361"/>
    <mergeCell ref="M365:M367"/>
    <mergeCell ref="N365:N367"/>
    <mergeCell ref="K362:K364"/>
    <mergeCell ref="L362:L364"/>
    <mergeCell ref="M362:M364"/>
    <mergeCell ref="N362:N364"/>
    <mergeCell ref="J363:J364"/>
    <mergeCell ref="L365:L367"/>
    <mergeCell ref="J366:J367"/>
    <mergeCell ref="K365:K367"/>
    <mergeCell ref="K368:K373"/>
    <mergeCell ref="L368:M373"/>
    <mergeCell ref="N368:N373"/>
    <mergeCell ref="L374:L376"/>
    <mergeCell ref="M374:M376"/>
    <mergeCell ref="N374:N376"/>
    <mergeCell ref="K374:K376"/>
    <mergeCell ref="J375:J376"/>
    <mergeCell ref="K377:K379"/>
    <mergeCell ref="L377:L379"/>
    <mergeCell ref="M377:M379"/>
    <mergeCell ref="N377:N379"/>
    <mergeCell ref="J378:J379"/>
    <mergeCell ref="K383:K385"/>
    <mergeCell ref="K386:K391"/>
    <mergeCell ref="L386:M391"/>
    <mergeCell ref="N386:N391"/>
    <mergeCell ref="L392:L394"/>
    <mergeCell ref="M392:M394"/>
    <mergeCell ref="N392:N394"/>
    <mergeCell ref="K392:K394"/>
    <mergeCell ref="I393:I394"/>
    <mergeCell ref="J393:J394"/>
    <mergeCell ref="K395:K404"/>
    <mergeCell ref="L395:M404"/>
    <mergeCell ref="N395:N404"/>
    <mergeCell ref="K405:K410"/>
    <mergeCell ref="L405:M410"/>
    <mergeCell ref="N405:N410"/>
    <mergeCell ref="K411:K415"/>
    <mergeCell ref="L411:M415"/>
    <mergeCell ref="N411:N415"/>
    <mergeCell ref="L416:M423"/>
    <mergeCell ref="N416:N423"/>
    <mergeCell ref="M444:M448"/>
    <mergeCell ref="N444:N448"/>
    <mergeCell ref="I445:I448"/>
    <mergeCell ref="J445:J448"/>
    <mergeCell ref="K449:M449"/>
    <mergeCell ref="L424:M431"/>
    <mergeCell ref="N424:N431"/>
    <mergeCell ref="L432:M438"/>
    <mergeCell ref="N432:N438"/>
    <mergeCell ref="L439:M443"/>
    <mergeCell ref="N439:N443"/>
    <mergeCell ref="L444:L448"/>
    <mergeCell ref="L450:M455"/>
    <mergeCell ref="N450:N455"/>
    <mergeCell ref="L456:L457"/>
    <mergeCell ref="M456:M457"/>
    <mergeCell ref="N456:N457"/>
    <mergeCell ref="J458:J459"/>
    <mergeCell ref="N458:N459"/>
    <mergeCell ref="K416:K423"/>
    <mergeCell ref="K424:K431"/>
    <mergeCell ref="K432:K438"/>
    <mergeCell ref="K439:K443"/>
    <mergeCell ref="K444:K448"/>
    <mergeCell ref="K450:K455"/>
    <mergeCell ref="K456:K457"/>
    <mergeCell ref="K468:M469"/>
    <mergeCell ref="K470:M470"/>
    <mergeCell ref="M497:M500"/>
    <mergeCell ref="N497:N500"/>
    <mergeCell ref="I498:I500"/>
    <mergeCell ref="J498:J500"/>
    <mergeCell ref="J501:J502"/>
    <mergeCell ref="K501:M502"/>
    <mergeCell ref="N501:N502"/>
    <mergeCell ref="K490:M492"/>
    <mergeCell ref="K493:M493"/>
    <mergeCell ref="K494:K496"/>
    <mergeCell ref="L494:M496"/>
    <mergeCell ref="N494:N496"/>
    <mergeCell ref="K497:K500"/>
    <mergeCell ref="L497:L500"/>
    <mergeCell ref="K458:M459"/>
    <mergeCell ref="L460:M465"/>
    <mergeCell ref="N460:N465"/>
    <mergeCell ref="K460:K465"/>
    <mergeCell ref="K466:K467"/>
    <mergeCell ref="L466:L467"/>
    <mergeCell ref="M466:M467"/>
    <mergeCell ref="N466:N467"/>
    <mergeCell ref="J468:J469"/>
    <mergeCell ref="N468:N469"/>
    <mergeCell ref="I479:I480"/>
    <mergeCell ref="J479:J480"/>
    <mergeCell ref="J481:J483"/>
    <mergeCell ref="I482:I483"/>
    <mergeCell ref="K471:K477"/>
    <mergeCell ref="L471:M477"/>
    <mergeCell ref="N471:N477"/>
    <mergeCell ref="K478:K480"/>
    <mergeCell ref="L478:L480"/>
    <mergeCell ref="M478:M480"/>
    <mergeCell ref="N478:N480"/>
    <mergeCell ref="K481:M483"/>
    <mergeCell ref="N481:N483"/>
    <mergeCell ref="K484:K486"/>
    <mergeCell ref="L484:M486"/>
    <mergeCell ref="N484:N486"/>
    <mergeCell ref="K487:K489"/>
    <mergeCell ref="L487:L489"/>
    <mergeCell ref="M487:M489"/>
    <mergeCell ref="N487:N489"/>
    <mergeCell ref="I488:I489"/>
    <mergeCell ref="J488:J489"/>
    <mergeCell ref="J490:J492"/>
    <mergeCell ref="N490:N492"/>
    <mergeCell ref="I491:I492"/>
    <mergeCell ref="I508:I511"/>
    <mergeCell ref="J508:J511"/>
    <mergeCell ref="M543:M545"/>
    <mergeCell ref="N543:N545"/>
    <mergeCell ref="I537:I538"/>
    <mergeCell ref="J537:J538"/>
    <mergeCell ref="K539:K542"/>
    <mergeCell ref="L539:M542"/>
    <mergeCell ref="N539:N542"/>
    <mergeCell ref="K543:K545"/>
    <mergeCell ref="L543:L545"/>
    <mergeCell ref="M558:M561"/>
    <mergeCell ref="N558:N561"/>
    <mergeCell ref="I552:I553"/>
    <mergeCell ref="J552:J553"/>
    <mergeCell ref="K554:K557"/>
    <mergeCell ref="L554:M557"/>
    <mergeCell ref="N554:N557"/>
    <mergeCell ref="K558:K561"/>
    <mergeCell ref="L558:L561"/>
    <mergeCell ref="K562:K565"/>
    <mergeCell ref="L562:M565"/>
    <mergeCell ref="N562:N565"/>
    <mergeCell ref="K566:K568"/>
    <mergeCell ref="L566:L568"/>
    <mergeCell ref="M566:M568"/>
    <mergeCell ref="N566:N568"/>
    <mergeCell ref="I567:I568"/>
    <mergeCell ref="J567:J568"/>
    <mergeCell ref="K569:K572"/>
    <mergeCell ref="L569:M572"/>
    <mergeCell ref="N569:N572"/>
    <mergeCell ref="L573:M575"/>
    <mergeCell ref="N573:N575"/>
    <mergeCell ref="K573:K575"/>
    <mergeCell ref="K576:K577"/>
    <mergeCell ref="L576:L577"/>
    <mergeCell ref="M576:M577"/>
    <mergeCell ref="N576:N577"/>
    <mergeCell ref="L578:M581"/>
    <mergeCell ref="N578:N581"/>
    <mergeCell ref="K578:K581"/>
    <mergeCell ref="K582:K583"/>
    <mergeCell ref="L582:L583"/>
    <mergeCell ref="M582:M583"/>
    <mergeCell ref="N582:N583"/>
    <mergeCell ref="L584:M588"/>
    <mergeCell ref="N584:N588"/>
    <mergeCell ref="K584:K588"/>
    <mergeCell ref="K589:K592"/>
    <mergeCell ref="L589:L592"/>
    <mergeCell ref="M589:M592"/>
    <mergeCell ref="N589:N592"/>
    <mergeCell ref="I590:I592"/>
    <mergeCell ref="J590:J592"/>
    <mergeCell ref="G755:G758"/>
    <mergeCell ref="H756:H758"/>
    <mergeCell ref="D748:D751"/>
    <mergeCell ref="D752:D754"/>
    <mergeCell ref="E752:E754"/>
    <mergeCell ref="F752:F754"/>
    <mergeCell ref="G752:G754"/>
    <mergeCell ref="H753:H754"/>
    <mergeCell ref="D755:D758"/>
    <mergeCell ref="F724:F726"/>
    <mergeCell ref="G724:G726"/>
    <mergeCell ref="D720:D723"/>
    <mergeCell ref="E720:E723"/>
    <mergeCell ref="F720:F723"/>
    <mergeCell ref="G720:G723"/>
    <mergeCell ref="H721:H723"/>
    <mergeCell ref="E724:E726"/>
    <mergeCell ref="H725:H726"/>
    <mergeCell ref="G731:G733"/>
    <mergeCell ref="H732:H733"/>
    <mergeCell ref="D724:D726"/>
    <mergeCell ref="D727:D730"/>
    <mergeCell ref="E727:E730"/>
    <mergeCell ref="F727:F730"/>
    <mergeCell ref="G727:G730"/>
    <mergeCell ref="H728:H730"/>
    <mergeCell ref="D731:D733"/>
    <mergeCell ref="E731:E733"/>
    <mergeCell ref="F731:F733"/>
    <mergeCell ref="D734:D737"/>
    <mergeCell ref="E734:E737"/>
    <mergeCell ref="F734:F737"/>
    <mergeCell ref="G734:G737"/>
    <mergeCell ref="H735:H737"/>
    <mergeCell ref="D738:D740"/>
    <mergeCell ref="E738:E740"/>
    <mergeCell ref="F738:F740"/>
    <mergeCell ref="G738:G740"/>
    <mergeCell ref="H739:H740"/>
    <mergeCell ref="E741:E744"/>
    <mergeCell ref="H742:H744"/>
    <mergeCell ref="E755:E758"/>
    <mergeCell ref="F755:F758"/>
    <mergeCell ref="D759:D761"/>
    <mergeCell ref="E759:E761"/>
    <mergeCell ref="F759:F761"/>
    <mergeCell ref="G759:G761"/>
    <mergeCell ref="H760:H761"/>
    <mergeCell ref="G670:G673"/>
    <mergeCell ref="H670:H673"/>
    <mergeCell ref="D664:D666"/>
    <mergeCell ref="D667:D669"/>
    <mergeCell ref="E667:E669"/>
    <mergeCell ref="F667:F669"/>
    <mergeCell ref="G667:G669"/>
    <mergeCell ref="H668:H669"/>
    <mergeCell ref="D670:D673"/>
    <mergeCell ref="E676:E678"/>
    <mergeCell ref="F676:F678"/>
    <mergeCell ref="H677:H678"/>
    <mergeCell ref="E670:E673"/>
    <mergeCell ref="F670:F673"/>
    <mergeCell ref="D674:D675"/>
    <mergeCell ref="E674:E675"/>
    <mergeCell ref="F674:F675"/>
    <mergeCell ref="G674:G675"/>
    <mergeCell ref="G676:G678"/>
    <mergeCell ref="G683:G686"/>
    <mergeCell ref="H684:H686"/>
    <mergeCell ref="D676:D678"/>
    <mergeCell ref="D679:D682"/>
    <mergeCell ref="E679:E682"/>
    <mergeCell ref="F679:F682"/>
    <mergeCell ref="G679:G682"/>
    <mergeCell ref="H679:H682"/>
    <mergeCell ref="D683:D686"/>
    <mergeCell ref="D628:D631"/>
    <mergeCell ref="E628:E631"/>
    <mergeCell ref="F628:F631"/>
    <mergeCell ref="G628:G631"/>
    <mergeCell ref="H629:H631"/>
    <mergeCell ref="D632:D633"/>
    <mergeCell ref="E632:E633"/>
    <mergeCell ref="F632:F633"/>
    <mergeCell ref="G632:G633"/>
    <mergeCell ref="D634:D639"/>
    <mergeCell ref="E634:E639"/>
    <mergeCell ref="F634:F639"/>
    <mergeCell ref="G634:G639"/>
    <mergeCell ref="H634:H639"/>
    <mergeCell ref="D640:D643"/>
    <mergeCell ref="E640:E643"/>
    <mergeCell ref="F640:F643"/>
    <mergeCell ref="G640:G643"/>
    <mergeCell ref="H641:H643"/>
    <mergeCell ref="D644:D645"/>
    <mergeCell ref="E644:E645"/>
    <mergeCell ref="F644:F645"/>
    <mergeCell ref="G644:G645"/>
    <mergeCell ref="D646:D653"/>
    <mergeCell ref="E646:E653"/>
    <mergeCell ref="F646:F653"/>
    <mergeCell ref="G646:G653"/>
    <mergeCell ref="H646:H653"/>
    <mergeCell ref="F658:F659"/>
    <mergeCell ref="G658:G659"/>
    <mergeCell ref="D654:D657"/>
    <mergeCell ref="E654:E657"/>
    <mergeCell ref="F654:F657"/>
    <mergeCell ref="G654:G657"/>
    <mergeCell ref="H655:H657"/>
    <mergeCell ref="D658:D659"/>
    <mergeCell ref="E658:E659"/>
    <mergeCell ref="E683:E686"/>
    <mergeCell ref="F683:F686"/>
    <mergeCell ref="D687:D689"/>
    <mergeCell ref="E687:E689"/>
    <mergeCell ref="F687:F689"/>
    <mergeCell ref="G687:G689"/>
    <mergeCell ref="H688:H689"/>
    <mergeCell ref="F694:F696"/>
    <mergeCell ref="G694:G696"/>
    <mergeCell ref="D690:D693"/>
    <mergeCell ref="E690:E693"/>
    <mergeCell ref="F690:F693"/>
    <mergeCell ref="G690:G693"/>
    <mergeCell ref="H691:H693"/>
    <mergeCell ref="E694:E696"/>
    <mergeCell ref="H695:H696"/>
    <mergeCell ref="D694:D696"/>
    <mergeCell ref="D697:D700"/>
    <mergeCell ref="E697:E700"/>
    <mergeCell ref="F697:F700"/>
    <mergeCell ref="G697:G700"/>
    <mergeCell ref="H697:H700"/>
    <mergeCell ref="D701:D704"/>
    <mergeCell ref="E701:E704"/>
    <mergeCell ref="F701:F704"/>
    <mergeCell ref="D705:D707"/>
    <mergeCell ref="E705:E707"/>
    <mergeCell ref="F705:F707"/>
    <mergeCell ref="E708:E712"/>
    <mergeCell ref="F708:F712"/>
    <mergeCell ref="G713:G716"/>
    <mergeCell ref="G717:G719"/>
    <mergeCell ref="G701:G704"/>
    <mergeCell ref="H702:H704"/>
    <mergeCell ref="G705:G707"/>
    <mergeCell ref="H706:H707"/>
    <mergeCell ref="G708:G712"/>
    <mergeCell ref="H708:H712"/>
    <mergeCell ref="H714:H716"/>
    <mergeCell ref="H718:H719"/>
    <mergeCell ref="D708:D712"/>
    <mergeCell ref="D713:D716"/>
    <mergeCell ref="E713:E716"/>
    <mergeCell ref="F713:F716"/>
    <mergeCell ref="D717:D719"/>
    <mergeCell ref="E717:E719"/>
    <mergeCell ref="F717:F719"/>
    <mergeCell ref="F741:F744"/>
    <mergeCell ref="G741:G744"/>
    <mergeCell ref="F745:F747"/>
    <mergeCell ref="G745:G747"/>
    <mergeCell ref="H746:H747"/>
    <mergeCell ref="D741:D744"/>
    <mergeCell ref="D745:D747"/>
    <mergeCell ref="E745:E747"/>
    <mergeCell ref="E748:E751"/>
    <mergeCell ref="F748:F751"/>
    <mergeCell ref="G748:G751"/>
    <mergeCell ref="H749:H751"/>
    <mergeCell ref="D781:D782"/>
    <mergeCell ref="E781:E782"/>
    <mergeCell ref="F781:F782"/>
    <mergeCell ref="G781:G782"/>
    <mergeCell ref="E783:E784"/>
    <mergeCell ref="F783:F784"/>
    <mergeCell ref="G783:G784"/>
    <mergeCell ref="D783:D784"/>
    <mergeCell ref="D785:D786"/>
    <mergeCell ref="E785:E786"/>
    <mergeCell ref="F785:F786"/>
    <mergeCell ref="G785:G786"/>
    <mergeCell ref="D787:D788"/>
    <mergeCell ref="E787:E788"/>
    <mergeCell ref="G914:G917"/>
    <mergeCell ref="H915:H917"/>
    <mergeCell ref="D906:D909"/>
    <mergeCell ref="D910:D913"/>
    <mergeCell ref="E910:E913"/>
    <mergeCell ref="F910:F913"/>
    <mergeCell ref="G910:G913"/>
    <mergeCell ref="H911:H913"/>
    <mergeCell ref="D914:D917"/>
    <mergeCell ref="F874:F877"/>
    <mergeCell ref="G874:G877"/>
    <mergeCell ref="D870:D873"/>
    <mergeCell ref="E870:E873"/>
    <mergeCell ref="F870:F873"/>
    <mergeCell ref="G870:G873"/>
    <mergeCell ref="H871:H873"/>
    <mergeCell ref="E874:E877"/>
    <mergeCell ref="H875:H877"/>
    <mergeCell ref="G882:G885"/>
    <mergeCell ref="H883:H885"/>
    <mergeCell ref="G886:G889"/>
    <mergeCell ref="H887:H889"/>
    <mergeCell ref="G890:G893"/>
    <mergeCell ref="H891:H893"/>
    <mergeCell ref="D874:D877"/>
    <mergeCell ref="D878:D881"/>
    <mergeCell ref="E878:E881"/>
    <mergeCell ref="F878:F881"/>
    <mergeCell ref="G878:G881"/>
    <mergeCell ref="H879:H881"/>
    <mergeCell ref="D882:D885"/>
    <mergeCell ref="E882:E885"/>
    <mergeCell ref="F882:F885"/>
    <mergeCell ref="D886:D889"/>
    <mergeCell ref="E886:E889"/>
    <mergeCell ref="F886:F889"/>
    <mergeCell ref="E890:E893"/>
    <mergeCell ref="F890:F893"/>
    <mergeCell ref="D890:D893"/>
    <mergeCell ref="D894:D897"/>
    <mergeCell ref="E894:E897"/>
    <mergeCell ref="F894:F897"/>
    <mergeCell ref="G894:G897"/>
    <mergeCell ref="H895:H897"/>
    <mergeCell ref="D898:D901"/>
    <mergeCell ref="E914:E917"/>
    <mergeCell ref="F914:F917"/>
    <mergeCell ref="D918:D921"/>
    <mergeCell ref="E918:E921"/>
    <mergeCell ref="F918:F921"/>
    <mergeCell ref="G918:G921"/>
    <mergeCell ref="H919:H921"/>
    <mergeCell ref="D762:D764"/>
    <mergeCell ref="E762:E764"/>
    <mergeCell ref="F762:F764"/>
    <mergeCell ref="G762:G764"/>
    <mergeCell ref="H763:H764"/>
    <mergeCell ref="E765:E769"/>
    <mergeCell ref="H766:H769"/>
    <mergeCell ref="F773:F775"/>
    <mergeCell ref="F776:F778"/>
    <mergeCell ref="G776:G778"/>
    <mergeCell ref="H777:H778"/>
    <mergeCell ref="F765:F769"/>
    <mergeCell ref="G765:G769"/>
    <mergeCell ref="F770:F772"/>
    <mergeCell ref="G770:G772"/>
    <mergeCell ref="H771:H772"/>
    <mergeCell ref="G773:G775"/>
    <mergeCell ref="H774:H775"/>
    <mergeCell ref="D779:D780"/>
    <mergeCell ref="E779:E780"/>
    <mergeCell ref="F779:F780"/>
    <mergeCell ref="G779:G780"/>
    <mergeCell ref="D765:D769"/>
    <mergeCell ref="D770:D772"/>
    <mergeCell ref="E770:E772"/>
    <mergeCell ref="D773:D775"/>
    <mergeCell ref="E773:E775"/>
    <mergeCell ref="D776:D778"/>
    <mergeCell ref="E776:E778"/>
    <mergeCell ref="F787:F788"/>
    <mergeCell ref="G787:G788"/>
    <mergeCell ref="F795:F796"/>
    <mergeCell ref="G795:G796"/>
    <mergeCell ref="H797:H798"/>
    <mergeCell ref="D803:D806"/>
    <mergeCell ref="E803:E806"/>
    <mergeCell ref="F803:F806"/>
    <mergeCell ref="G803:G806"/>
    <mergeCell ref="H803:H806"/>
    <mergeCell ref="E807:E810"/>
    <mergeCell ref="H807:H810"/>
    <mergeCell ref="D807:D810"/>
    <mergeCell ref="D811:D815"/>
    <mergeCell ref="E811:E815"/>
    <mergeCell ref="F811:F815"/>
    <mergeCell ref="G811:G815"/>
    <mergeCell ref="H811:H815"/>
    <mergeCell ref="D816:D819"/>
    <mergeCell ref="D789:D790"/>
    <mergeCell ref="E789:E790"/>
    <mergeCell ref="F789:F790"/>
    <mergeCell ref="G789:G790"/>
    <mergeCell ref="E791:E792"/>
    <mergeCell ref="F791:F792"/>
    <mergeCell ref="G791:G792"/>
    <mergeCell ref="D791:D792"/>
    <mergeCell ref="D793:D794"/>
    <mergeCell ref="E793:E794"/>
    <mergeCell ref="F793:F794"/>
    <mergeCell ref="G793:G794"/>
    <mergeCell ref="D795:D796"/>
    <mergeCell ref="E795:E796"/>
    <mergeCell ref="G799:G802"/>
    <mergeCell ref="H799:H802"/>
    <mergeCell ref="D797:D798"/>
    <mergeCell ref="E797:E798"/>
    <mergeCell ref="F797:F798"/>
    <mergeCell ref="G797:G798"/>
    <mergeCell ref="D799:D802"/>
    <mergeCell ref="E799:E802"/>
    <mergeCell ref="F799:F802"/>
    <mergeCell ref="F807:F810"/>
    <mergeCell ref="G807:G810"/>
    <mergeCell ref="G816:G819"/>
    <mergeCell ref="H816:H819"/>
    <mergeCell ref="G820:G821"/>
    <mergeCell ref="G822:G825"/>
    <mergeCell ref="H823:H825"/>
    <mergeCell ref="E816:E819"/>
    <mergeCell ref="F816:F819"/>
    <mergeCell ref="D820:D821"/>
    <mergeCell ref="E820:E821"/>
    <mergeCell ref="F820:F821"/>
    <mergeCell ref="E822:E825"/>
    <mergeCell ref="F822:F825"/>
    <mergeCell ref="G862:G865"/>
    <mergeCell ref="H863:H865"/>
    <mergeCell ref="D854:D857"/>
    <mergeCell ref="D858:D861"/>
    <mergeCell ref="E858:E861"/>
    <mergeCell ref="F858:F861"/>
    <mergeCell ref="G858:G861"/>
    <mergeCell ref="H859:H861"/>
    <mergeCell ref="D862:D865"/>
    <mergeCell ref="G830:G833"/>
    <mergeCell ref="H831:H833"/>
    <mergeCell ref="G834:G837"/>
    <mergeCell ref="H835:H837"/>
    <mergeCell ref="G838:G841"/>
    <mergeCell ref="H839:H841"/>
    <mergeCell ref="D822:D825"/>
    <mergeCell ref="D826:D829"/>
    <mergeCell ref="E826:E829"/>
    <mergeCell ref="F826:F829"/>
    <mergeCell ref="G826:G829"/>
    <mergeCell ref="H827:H829"/>
    <mergeCell ref="D830:D833"/>
    <mergeCell ref="E830:E833"/>
    <mergeCell ref="F830:F833"/>
    <mergeCell ref="D834:D837"/>
    <mergeCell ref="E834:E837"/>
    <mergeCell ref="F834:F837"/>
    <mergeCell ref="E838:E841"/>
    <mergeCell ref="F838:F841"/>
    <mergeCell ref="G846:G849"/>
    <mergeCell ref="H847:H849"/>
    <mergeCell ref="G850:G853"/>
    <mergeCell ref="H851:H853"/>
    <mergeCell ref="G854:G857"/>
    <mergeCell ref="H855:H857"/>
    <mergeCell ref="D838:D841"/>
    <mergeCell ref="D842:D845"/>
    <mergeCell ref="E842:E845"/>
    <mergeCell ref="F842:F845"/>
    <mergeCell ref="G842:G845"/>
    <mergeCell ref="H843:H845"/>
    <mergeCell ref="D846:D849"/>
    <mergeCell ref="E846:E849"/>
    <mergeCell ref="F846:F849"/>
    <mergeCell ref="D850:D853"/>
    <mergeCell ref="E850:E853"/>
    <mergeCell ref="F850:F853"/>
    <mergeCell ref="E854:E857"/>
    <mergeCell ref="F854:F857"/>
    <mergeCell ref="E862:E865"/>
    <mergeCell ref="F862:F865"/>
    <mergeCell ref="D866:D869"/>
    <mergeCell ref="E866:E869"/>
    <mergeCell ref="F866:F869"/>
    <mergeCell ref="G866:G869"/>
    <mergeCell ref="H867:H869"/>
    <mergeCell ref="G898:G901"/>
    <mergeCell ref="H899:H901"/>
    <mergeCell ref="G902:G905"/>
    <mergeCell ref="H903:H905"/>
    <mergeCell ref="G906:G909"/>
    <mergeCell ref="H907:H909"/>
    <mergeCell ref="E898:E901"/>
    <mergeCell ref="F898:F901"/>
    <mergeCell ref="D902:D905"/>
    <mergeCell ref="E902:E905"/>
    <mergeCell ref="F902:F905"/>
    <mergeCell ref="E906:E909"/>
    <mergeCell ref="F906:F909"/>
    <mergeCell ref="G950:G953"/>
    <mergeCell ref="H951:H953"/>
    <mergeCell ref="G954:G957"/>
    <mergeCell ref="H955:H957"/>
    <mergeCell ref="G958:G961"/>
    <mergeCell ref="H959:H961"/>
    <mergeCell ref="E950:E953"/>
    <mergeCell ref="F950:F953"/>
    <mergeCell ref="D954:D957"/>
    <mergeCell ref="E954:E957"/>
    <mergeCell ref="F954:F957"/>
    <mergeCell ref="E958:E961"/>
    <mergeCell ref="F958:F961"/>
    <mergeCell ref="G1070:G1073"/>
    <mergeCell ref="H1071:H1073"/>
    <mergeCell ref="D1062:D1065"/>
    <mergeCell ref="D1066:D1069"/>
    <mergeCell ref="E1066:E1069"/>
    <mergeCell ref="F1066:F1069"/>
    <mergeCell ref="G1066:G1069"/>
    <mergeCell ref="H1067:H1069"/>
    <mergeCell ref="D1070:D1073"/>
    <mergeCell ref="F1030:F1033"/>
    <mergeCell ref="G1030:G1033"/>
    <mergeCell ref="D1026:D1029"/>
    <mergeCell ref="E1026:E1029"/>
    <mergeCell ref="F1026:F1029"/>
    <mergeCell ref="G1026:G1029"/>
    <mergeCell ref="H1027:H1029"/>
    <mergeCell ref="E1030:E1033"/>
    <mergeCell ref="H1031:H1033"/>
    <mergeCell ref="G1038:G1041"/>
    <mergeCell ref="H1039:H1041"/>
    <mergeCell ref="G1042:G1045"/>
    <mergeCell ref="H1043:H1045"/>
    <mergeCell ref="G1046:G1049"/>
    <mergeCell ref="H1047:H1049"/>
    <mergeCell ref="D1030:D1033"/>
    <mergeCell ref="D1034:D1037"/>
    <mergeCell ref="E1034:E1037"/>
    <mergeCell ref="F1034:F1037"/>
    <mergeCell ref="G1034:G1037"/>
    <mergeCell ref="H1035:H1037"/>
    <mergeCell ref="D1038:D1041"/>
    <mergeCell ref="E1038:E1041"/>
    <mergeCell ref="F1038:F1041"/>
    <mergeCell ref="D1042:D1045"/>
    <mergeCell ref="E1042:E1045"/>
    <mergeCell ref="F1042:F1045"/>
    <mergeCell ref="E1046:E1049"/>
    <mergeCell ref="F1046:F1049"/>
    <mergeCell ref="D1046:D1049"/>
    <mergeCell ref="D1050:D1053"/>
    <mergeCell ref="E1050:E1053"/>
    <mergeCell ref="F1050:F1053"/>
    <mergeCell ref="G1050:G1053"/>
    <mergeCell ref="H1051:H1053"/>
    <mergeCell ref="D1054:D1057"/>
    <mergeCell ref="E1070:E1073"/>
    <mergeCell ref="F1070:F1073"/>
    <mergeCell ref="D1074:D1077"/>
    <mergeCell ref="E1074:E1077"/>
    <mergeCell ref="F1074:F1077"/>
    <mergeCell ref="G1074:G1077"/>
    <mergeCell ref="H1075:H1077"/>
    <mergeCell ref="G966:G969"/>
    <mergeCell ref="H967:H969"/>
    <mergeCell ref="D958:D961"/>
    <mergeCell ref="D962:D965"/>
    <mergeCell ref="E962:E965"/>
    <mergeCell ref="F962:F965"/>
    <mergeCell ref="G962:G965"/>
    <mergeCell ref="H963:H965"/>
    <mergeCell ref="D966:D969"/>
    <mergeCell ref="F926:F929"/>
    <mergeCell ref="G926:G929"/>
    <mergeCell ref="D922:D925"/>
    <mergeCell ref="E922:E925"/>
    <mergeCell ref="F922:F925"/>
    <mergeCell ref="G922:G925"/>
    <mergeCell ref="H923:H925"/>
    <mergeCell ref="E926:E929"/>
    <mergeCell ref="H927:H929"/>
    <mergeCell ref="G934:G937"/>
    <mergeCell ref="H935:H937"/>
    <mergeCell ref="G938:G941"/>
    <mergeCell ref="H939:H941"/>
    <mergeCell ref="G942:G945"/>
    <mergeCell ref="H943:H945"/>
    <mergeCell ref="D926:D929"/>
    <mergeCell ref="D930:D933"/>
    <mergeCell ref="E930:E933"/>
    <mergeCell ref="F930:F933"/>
    <mergeCell ref="G930:G933"/>
    <mergeCell ref="H931:H933"/>
    <mergeCell ref="D934:D937"/>
    <mergeCell ref="E934:E937"/>
    <mergeCell ref="F934:F937"/>
    <mergeCell ref="D938:D941"/>
    <mergeCell ref="E938:E941"/>
    <mergeCell ref="F938:F941"/>
    <mergeCell ref="E942:E945"/>
    <mergeCell ref="F942:F945"/>
    <mergeCell ref="D942:D945"/>
    <mergeCell ref="D946:D949"/>
    <mergeCell ref="E946:E949"/>
    <mergeCell ref="F946:F949"/>
    <mergeCell ref="G946:G949"/>
    <mergeCell ref="H947:H949"/>
    <mergeCell ref="D950:D953"/>
    <mergeCell ref="E966:E969"/>
    <mergeCell ref="F966:F969"/>
    <mergeCell ref="D970:D973"/>
    <mergeCell ref="E970:E973"/>
    <mergeCell ref="F970:F973"/>
    <mergeCell ref="G970:G973"/>
    <mergeCell ref="H971:H973"/>
    <mergeCell ref="G1002:G1005"/>
    <mergeCell ref="H1003:H1005"/>
    <mergeCell ref="G1006:G1009"/>
    <mergeCell ref="H1007:H1009"/>
    <mergeCell ref="G1010:G1013"/>
    <mergeCell ref="H1011:H1013"/>
    <mergeCell ref="E1002:E1005"/>
    <mergeCell ref="F1002:F1005"/>
    <mergeCell ref="D1006:D1009"/>
    <mergeCell ref="E1006:E1009"/>
    <mergeCell ref="F1006:F1009"/>
    <mergeCell ref="E1010:E1013"/>
    <mergeCell ref="F1010:F1013"/>
    <mergeCell ref="G1018:G1021"/>
    <mergeCell ref="H1019:H1021"/>
    <mergeCell ref="D1010:D1013"/>
    <mergeCell ref="D1014:D1017"/>
    <mergeCell ref="E1014:E1017"/>
    <mergeCell ref="F1014:F1017"/>
    <mergeCell ref="G1014:G1017"/>
    <mergeCell ref="H1015:H1017"/>
    <mergeCell ref="D1018:D1021"/>
    <mergeCell ref="F978:F981"/>
    <mergeCell ref="G978:G981"/>
    <mergeCell ref="D974:D977"/>
    <mergeCell ref="E974:E977"/>
    <mergeCell ref="F974:F977"/>
    <mergeCell ref="G974:G977"/>
    <mergeCell ref="H975:H977"/>
    <mergeCell ref="E978:E981"/>
    <mergeCell ref="H979:H981"/>
    <mergeCell ref="G986:G989"/>
    <mergeCell ref="H987:H989"/>
    <mergeCell ref="G990:G993"/>
    <mergeCell ref="H991:H993"/>
    <mergeCell ref="G994:G997"/>
    <mergeCell ref="H995:H997"/>
    <mergeCell ref="D978:D981"/>
    <mergeCell ref="D982:D985"/>
    <mergeCell ref="E982:E985"/>
    <mergeCell ref="F982:F985"/>
    <mergeCell ref="G982:G985"/>
    <mergeCell ref="H983:H985"/>
    <mergeCell ref="D986:D989"/>
    <mergeCell ref="E986:E989"/>
    <mergeCell ref="F986:F989"/>
    <mergeCell ref="D990:D993"/>
    <mergeCell ref="E990:E993"/>
    <mergeCell ref="F990:F993"/>
    <mergeCell ref="E994:E997"/>
    <mergeCell ref="F994:F997"/>
    <mergeCell ref="D994:D997"/>
    <mergeCell ref="D998:D1001"/>
    <mergeCell ref="E998:E1001"/>
    <mergeCell ref="F998:F1001"/>
    <mergeCell ref="G998:G1001"/>
    <mergeCell ref="H999:H1001"/>
    <mergeCell ref="D1002:D1005"/>
    <mergeCell ref="E1018:E1021"/>
    <mergeCell ref="F1018:F1021"/>
    <mergeCell ref="D1022:D1025"/>
    <mergeCell ref="E1022:E1025"/>
    <mergeCell ref="F1022:F1025"/>
    <mergeCell ref="G1022:G1025"/>
    <mergeCell ref="H1023:H1025"/>
    <mergeCell ref="G1054:G1057"/>
    <mergeCell ref="H1055:H1057"/>
    <mergeCell ref="G1058:G1061"/>
    <mergeCell ref="H1059:H1061"/>
    <mergeCell ref="G1062:G1065"/>
    <mergeCell ref="H1063:H1065"/>
    <mergeCell ref="E1054:E1057"/>
    <mergeCell ref="F1054:F1057"/>
    <mergeCell ref="D1058:D1061"/>
    <mergeCell ref="E1058:E1061"/>
    <mergeCell ref="F1058:F1061"/>
    <mergeCell ref="E1062:E1065"/>
    <mergeCell ref="F1062:F1065"/>
    <mergeCell ref="G1106:G1109"/>
    <mergeCell ref="H1107:H1109"/>
    <mergeCell ref="G1110:G1113"/>
    <mergeCell ref="H1111:H1113"/>
    <mergeCell ref="G1114:G1117"/>
    <mergeCell ref="H1115:H1117"/>
    <mergeCell ref="E1106:E1109"/>
    <mergeCell ref="F1106:F1109"/>
    <mergeCell ref="D1110:D1113"/>
    <mergeCell ref="E1110:E1113"/>
    <mergeCell ref="F1110:F1113"/>
    <mergeCell ref="E1114:E1117"/>
    <mergeCell ref="F1114:F1117"/>
    <mergeCell ref="F1082:F1085"/>
    <mergeCell ref="G1082:G1085"/>
    <mergeCell ref="D1078:D1081"/>
    <mergeCell ref="E1078:E1081"/>
    <mergeCell ref="F1078:F1081"/>
    <mergeCell ref="G1078:G1081"/>
    <mergeCell ref="H1079:H1081"/>
    <mergeCell ref="E1082:E1085"/>
    <mergeCell ref="H1083:H1085"/>
    <mergeCell ref="G1090:G1093"/>
    <mergeCell ref="H1091:H1093"/>
    <mergeCell ref="G1094:G1097"/>
    <mergeCell ref="H1095:H1097"/>
    <mergeCell ref="G1098:G1101"/>
    <mergeCell ref="H1099:H1101"/>
    <mergeCell ref="D1082:D1085"/>
    <mergeCell ref="D1086:D1089"/>
    <mergeCell ref="E1086:E1089"/>
    <mergeCell ref="F1086:F1089"/>
    <mergeCell ref="G1086:G1089"/>
    <mergeCell ref="H1087:H1089"/>
    <mergeCell ref="D1090:D1093"/>
    <mergeCell ref="E1090:E1093"/>
    <mergeCell ref="F1090:F1093"/>
    <mergeCell ref="D1094:D1097"/>
    <mergeCell ref="E1094:E1097"/>
    <mergeCell ref="F1094:F1097"/>
    <mergeCell ref="E1098:E1101"/>
    <mergeCell ref="F1098:F1101"/>
    <mergeCell ref="D1098:D1101"/>
    <mergeCell ref="D1102:D1105"/>
    <mergeCell ref="E1102:E1105"/>
    <mergeCell ref="F1102:F1105"/>
    <mergeCell ref="G1102:G1105"/>
    <mergeCell ref="H1103:H1105"/>
    <mergeCell ref="D1106:D1109"/>
    <mergeCell ref="D1114:D1117"/>
    <mergeCell ref="D1118:D1121"/>
    <mergeCell ref="E1118:E1121"/>
    <mergeCell ref="F1118:F1121"/>
    <mergeCell ref="G1118:G1121"/>
    <mergeCell ref="H1119:H1121"/>
    <mergeCell ref="K781:K782"/>
    <mergeCell ref="K783:K784"/>
    <mergeCell ref="L783:L784"/>
    <mergeCell ref="M783:M784"/>
    <mergeCell ref="N783:N784"/>
    <mergeCell ref="K785:K786"/>
    <mergeCell ref="L785:L786"/>
    <mergeCell ref="K787:K788"/>
    <mergeCell ref="L787:L788"/>
    <mergeCell ref="M787:M788"/>
    <mergeCell ref="N787:N788"/>
    <mergeCell ref="L789:L790"/>
    <mergeCell ref="M789:M790"/>
    <mergeCell ref="N789:N790"/>
    <mergeCell ref="M793:M794"/>
    <mergeCell ref="N793:N794"/>
    <mergeCell ref="K789:K790"/>
    <mergeCell ref="K791:K792"/>
    <mergeCell ref="L791:L792"/>
    <mergeCell ref="M791:M792"/>
    <mergeCell ref="N791:N792"/>
    <mergeCell ref="K793:K794"/>
    <mergeCell ref="L793:L794"/>
    <mergeCell ref="L797:L798"/>
    <mergeCell ref="M797:M798"/>
    <mergeCell ref="K795:K796"/>
    <mergeCell ref="L795:L796"/>
    <mergeCell ref="M795:M796"/>
    <mergeCell ref="N795:N796"/>
    <mergeCell ref="J797:J798"/>
    <mergeCell ref="K797:K798"/>
    <mergeCell ref="N797:N798"/>
    <mergeCell ref="M770:M772"/>
    <mergeCell ref="N770:N772"/>
    <mergeCell ref="K765:K769"/>
    <mergeCell ref="L765:L769"/>
    <mergeCell ref="M765:M769"/>
    <mergeCell ref="N765:N769"/>
    <mergeCell ref="J766:J769"/>
    <mergeCell ref="K770:K772"/>
    <mergeCell ref="L770:L772"/>
    <mergeCell ref="I771:I772"/>
    <mergeCell ref="J771:J772"/>
    <mergeCell ref="L773:L775"/>
    <mergeCell ref="M773:M775"/>
    <mergeCell ref="N773:N775"/>
    <mergeCell ref="I774:I775"/>
    <mergeCell ref="J774:J775"/>
    <mergeCell ref="K773:K775"/>
    <mergeCell ref="K776:K778"/>
    <mergeCell ref="L776:L778"/>
    <mergeCell ref="M776:M778"/>
    <mergeCell ref="N776:N778"/>
    <mergeCell ref="I777:I778"/>
    <mergeCell ref="J777:J778"/>
    <mergeCell ref="K779:K780"/>
    <mergeCell ref="L779:L780"/>
    <mergeCell ref="M779:M780"/>
    <mergeCell ref="N779:N780"/>
    <mergeCell ref="L781:L782"/>
    <mergeCell ref="M781:M782"/>
    <mergeCell ref="N781:N782"/>
    <mergeCell ref="M785:M786"/>
    <mergeCell ref="N785:N786"/>
    <mergeCell ref="I797:I798"/>
    <mergeCell ref="I799:I802"/>
    <mergeCell ref="J799:J802"/>
    <mergeCell ref="K799:K802"/>
    <mergeCell ref="L799:L802"/>
    <mergeCell ref="M799:M802"/>
    <mergeCell ref="N799:N802"/>
    <mergeCell ref="I827:I829"/>
    <mergeCell ref="J827:J829"/>
    <mergeCell ref="L830:L833"/>
    <mergeCell ref="M830:M833"/>
    <mergeCell ref="N830:N833"/>
    <mergeCell ref="I831:I833"/>
    <mergeCell ref="J831:J833"/>
    <mergeCell ref="K830:K833"/>
    <mergeCell ref="K834:K837"/>
    <mergeCell ref="L834:L837"/>
    <mergeCell ref="M834:M837"/>
    <mergeCell ref="N834:N837"/>
    <mergeCell ref="I835:I837"/>
    <mergeCell ref="J835:J837"/>
    <mergeCell ref="L807:L810"/>
    <mergeCell ref="M807:M810"/>
    <mergeCell ref="I803:I806"/>
    <mergeCell ref="J803:J806"/>
    <mergeCell ref="K803:K806"/>
    <mergeCell ref="L803:L806"/>
    <mergeCell ref="M803:M806"/>
    <mergeCell ref="N803:N806"/>
    <mergeCell ref="I807:I810"/>
    <mergeCell ref="N807:N810"/>
    <mergeCell ref="J807:J810"/>
    <mergeCell ref="K807:K810"/>
    <mergeCell ref="J811:J815"/>
    <mergeCell ref="K811:K815"/>
    <mergeCell ref="L811:L815"/>
    <mergeCell ref="M811:M815"/>
    <mergeCell ref="N811:N815"/>
    <mergeCell ref="I811:I815"/>
    <mergeCell ref="I816:I819"/>
    <mergeCell ref="J816:J819"/>
    <mergeCell ref="K816:K819"/>
    <mergeCell ref="L816:L819"/>
    <mergeCell ref="M816:M819"/>
    <mergeCell ref="N816:N819"/>
    <mergeCell ref="K820:K821"/>
    <mergeCell ref="L820:L821"/>
    <mergeCell ref="M820:M821"/>
    <mergeCell ref="N820:N821"/>
    <mergeCell ref="L822:L825"/>
    <mergeCell ref="M822:M825"/>
    <mergeCell ref="N822:N825"/>
    <mergeCell ref="K822:K825"/>
    <mergeCell ref="I823:I825"/>
    <mergeCell ref="J823:J825"/>
    <mergeCell ref="K826:K829"/>
    <mergeCell ref="L826:L829"/>
    <mergeCell ref="M826:M829"/>
    <mergeCell ref="N826:N829"/>
    <mergeCell ref="I839:I841"/>
    <mergeCell ref="I843:I845"/>
    <mergeCell ref="M870:M873"/>
    <mergeCell ref="N870:N873"/>
    <mergeCell ref="K866:K869"/>
    <mergeCell ref="L866:L869"/>
    <mergeCell ref="M866:M869"/>
    <mergeCell ref="N866:N869"/>
    <mergeCell ref="J867:J869"/>
    <mergeCell ref="L870:L873"/>
    <mergeCell ref="J871:J873"/>
    <mergeCell ref="K942:K945"/>
    <mergeCell ref="K946:K949"/>
    <mergeCell ref="L946:L949"/>
    <mergeCell ref="M946:M949"/>
    <mergeCell ref="N946:N949"/>
    <mergeCell ref="J947:J949"/>
    <mergeCell ref="N950:N953"/>
    <mergeCell ref="K950:K953"/>
    <mergeCell ref="J951:J953"/>
    <mergeCell ref="L954:L957"/>
    <mergeCell ref="M954:M957"/>
    <mergeCell ref="N954:N957"/>
    <mergeCell ref="I955:I957"/>
    <mergeCell ref="J955:J957"/>
    <mergeCell ref="K954:K957"/>
    <mergeCell ref="K958:K961"/>
    <mergeCell ref="L958:L961"/>
    <mergeCell ref="M958:M961"/>
    <mergeCell ref="N958:N961"/>
    <mergeCell ref="I959:I961"/>
    <mergeCell ref="J959:J961"/>
    <mergeCell ref="I963:I965"/>
    <mergeCell ref="I967:I969"/>
    <mergeCell ref="I971:I973"/>
    <mergeCell ref="I975:I977"/>
    <mergeCell ref="I979:I981"/>
    <mergeCell ref="I983:I985"/>
    <mergeCell ref="I987:I989"/>
    <mergeCell ref="K962:K965"/>
    <mergeCell ref="L962:L965"/>
    <mergeCell ref="M962:M965"/>
    <mergeCell ref="N962:N965"/>
    <mergeCell ref="J963:J965"/>
    <mergeCell ref="K966:K969"/>
    <mergeCell ref="N966:N969"/>
    <mergeCell ref="J967:J969"/>
    <mergeCell ref="L966:L969"/>
    <mergeCell ref="M966:M969"/>
    <mergeCell ref="K970:K973"/>
    <mergeCell ref="L970:L973"/>
    <mergeCell ref="M970:M973"/>
    <mergeCell ref="N970:N973"/>
    <mergeCell ref="J971:J973"/>
    <mergeCell ref="L986:L989"/>
    <mergeCell ref="M986:M989"/>
    <mergeCell ref="K978:K981"/>
    <mergeCell ref="K982:K985"/>
    <mergeCell ref="L982:L985"/>
    <mergeCell ref="M982:M985"/>
    <mergeCell ref="N982:N985"/>
    <mergeCell ref="J983:J985"/>
    <mergeCell ref="N986:N989"/>
    <mergeCell ref="K986:K989"/>
    <mergeCell ref="J987:J989"/>
    <mergeCell ref="L990:L993"/>
    <mergeCell ref="M990:M993"/>
    <mergeCell ref="N990:N993"/>
    <mergeCell ref="I991:I993"/>
    <mergeCell ref="J991:J993"/>
    <mergeCell ref="K990:K993"/>
    <mergeCell ref="K994:K997"/>
    <mergeCell ref="L994:L997"/>
    <mergeCell ref="M994:M997"/>
    <mergeCell ref="N994:N997"/>
    <mergeCell ref="I995:I997"/>
    <mergeCell ref="J995:J997"/>
    <mergeCell ref="I999:I1001"/>
    <mergeCell ref="I1003:I1005"/>
    <mergeCell ref="I1007:I1009"/>
    <mergeCell ref="I1011:I1013"/>
    <mergeCell ref="I1015:I1017"/>
    <mergeCell ref="I1019:I1021"/>
    <mergeCell ref="I1023:I1025"/>
    <mergeCell ref="K998:K1001"/>
    <mergeCell ref="L998:L1001"/>
    <mergeCell ref="M998:M1001"/>
    <mergeCell ref="N998:N1001"/>
    <mergeCell ref="J999:J1001"/>
    <mergeCell ref="K1002:K1005"/>
    <mergeCell ref="N1002:N1005"/>
    <mergeCell ref="J1003:J1005"/>
    <mergeCell ref="L1002:L1005"/>
    <mergeCell ref="M1002:M1005"/>
    <mergeCell ref="K1006:K1009"/>
    <mergeCell ref="L1006:L1009"/>
    <mergeCell ref="M1006:M1009"/>
    <mergeCell ref="N1006:N1009"/>
    <mergeCell ref="J1007:J1009"/>
    <mergeCell ref="L1022:L1025"/>
    <mergeCell ref="M1022:M1025"/>
    <mergeCell ref="M1050:M1053"/>
    <mergeCell ref="N1050:N1053"/>
    <mergeCell ref="K1046:K1049"/>
    <mergeCell ref="L1046:L1049"/>
    <mergeCell ref="M1046:M1049"/>
    <mergeCell ref="N1046:N1049"/>
    <mergeCell ref="J1047:J1049"/>
    <mergeCell ref="L1050:L1053"/>
    <mergeCell ref="J1051:J1053"/>
    <mergeCell ref="K1014:K1017"/>
    <mergeCell ref="K1018:K1021"/>
    <mergeCell ref="L1018:L1021"/>
    <mergeCell ref="M1018:M1021"/>
    <mergeCell ref="N1018:N1021"/>
    <mergeCell ref="J1019:J1021"/>
    <mergeCell ref="N1022:N1025"/>
    <mergeCell ref="K1022:K1025"/>
    <mergeCell ref="J1023:J1025"/>
    <mergeCell ref="L1026:L1029"/>
    <mergeCell ref="M1026:M1029"/>
    <mergeCell ref="N1026:N1029"/>
    <mergeCell ref="I1027:I1029"/>
    <mergeCell ref="J1027:J1029"/>
    <mergeCell ref="K1026:K1029"/>
    <mergeCell ref="K1030:K1033"/>
    <mergeCell ref="L1030:L1033"/>
    <mergeCell ref="M1030:M1033"/>
    <mergeCell ref="N1030:N1033"/>
    <mergeCell ref="I1031:I1033"/>
    <mergeCell ref="J1031:J1033"/>
    <mergeCell ref="I1035:I1037"/>
    <mergeCell ref="I1039:I1041"/>
    <mergeCell ref="I1043:I1045"/>
    <mergeCell ref="I1047:I1049"/>
    <mergeCell ref="I1051:I1053"/>
    <mergeCell ref="I1055:I1057"/>
    <mergeCell ref="I1059:I1061"/>
    <mergeCell ref="K1034:K1037"/>
    <mergeCell ref="L1034:L1037"/>
    <mergeCell ref="M1034:M1037"/>
    <mergeCell ref="N1034:N1037"/>
    <mergeCell ref="J1035:J1037"/>
    <mergeCell ref="K1038:K1041"/>
    <mergeCell ref="N1038:N1041"/>
    <mergeCell ref="J1039:J1041"/>
    <mergeCell ref="L1038:L1041"/>
    <mergeCell ref="M1038:M1041"/>
    <mergeCell ref="K1042:K1045"/>
    <mergeCell ref="L1042:L1045"/>
    <mergeCell ref="M1042:M1045"/>
    <mergeCell ref="N1042:N1045"/>
    <mergeCell ref="J1043:J1045"/>
    <mergeCell ref="L1058:L1061"/>
    <mergeCell ref="M1058:M1061"/>
    <mergeCell ref="M1086:M1089"/>
    <mergeCell ref="N1086:N1089"/>
    <mergeCell ref="K1082:K1085"/>
    <mergeCell ref="L1082:L1085"/>
    <mergeCell ref="M1082:M1085"/>
    <mergeCell ref="N1082:N1085"/>
    <mergeCell ref="J1083:J1085"/>
    <mergeCell ref="L1086:L1089"/>
    <mergeCell ref="J1087:J1089"/>
    <mergeCell ref="K1086:K1089"/>
    <mergeCell ref="K1090:K1093"/>
    <mergeCell ref="L1090:L1093"/>
    <mergeCell ref="M1090:M1093"/>
    <mergeCell ref="N1090:N1093"/>
    <mergeCell ref="J1091:J1093"/>
    <mergeCell ref="N1094:N1097"/>
    <mergeCell ref="K1094:K1097"/>
    <mergeCell ref="J1095:J1097"/>
    <mergeCell ref="L1098:L1101"/>
    <mergeCell ref="M1098:M1101"/>
    <mergeCell ref="N1098:N1101"/>
    <mergeCell ref="I1099:I1101"/>
    <mergeCell ref="J1099:J1101"/>
    <mergeCell ref="K1098:K1101"/>
    <mergeCell ref="K1102:K1105"/>
    <mergeCell ref="L1102:L1105"/>
    <mergeCell ref="M1102:M1105"/>
    <mergeCell ref="N1102:N1105"/>
    <mergeCell ref="I1103:I1105"/>
    <mergeCell ref="J1103:J1105"/>
    <mergeCell ref="I1107:I1109"/>
    <mergeCell ref="I1111:I1113"/>
    <mergeCell ref="I1115:I1117"/>
    <mergeCell ref="I1119:I1121"/>
    <mergeCell ref="K1106:K1109"/>
    <mergeCell ref="L1106:L1109"/>
    <mergeCell ref="M1106:M1109"/>
    <mergeCell ref="N1106:N1109"/>
    <mergeCell ref="J1107:J1109"/>
    <mergeCell ref="K1110:K1113"/>
    <mergeCell ref="N1110:N1113"/>
    <mergeCell ref="J1111:J1113"/>
    <mergeCell ref="K1118:K1121"/>
    <mergeCell ref="L1118:L1121"/>
    <mergeCell ref="M1118:M1121"/>
    <mergeCell ref="N1118:N1121"/>
    <mergeCell ref="J1119:J1121"/>
    <mergeCell ref="L1110:L1113"/>
    <mergeCell ref="M1110:M1113"/>
    <mergeCell ref="K1114:K1117"/>
    <mergeCell ref="L1114:L1117"/>
    <mergeCell ref="M1114:M1117"/>
    <mergeCell ref="N1114:N1117"/>
    <mergeCell ref="J1115:J1117"/>
    <mergeCell ref="K1050:K1053"/>
    <mergeCell ref="K1054:K1057"/>
    <mergeCell ref="L1054:L1057"/>
    <mergeCell ref="M1054:M1057"/>
    <mergeCell ref="N1054:N1057"/>
    <mergeCell ref="J1055:J1057"/>
    <mergeCell ref="N1058:N1061"/>
    <mergeCell ref="K1058:K1061"/>
    <mergeCell ref="J1059:J1061"/>
    <mergeCell ref="L1062:L1065"/>
    <mergeCell ref="M1062:M1065"/>
    <mergeCell ref="N1062:N1065"/>
    <mergeCell ref="I1063:I1065"/>
    <mergeCell ref="J1063:J1065"/>
    <mergeCell ref="K1062:K1065"/>
    <mergeCell ref="K1066:K1069"/>
    <mergeCell ref="L1066:L1069"/>
    <mergeCell ref="M1066:M1069"/>
    <mergeCell ref="N1066:N1069"/>
    <mergeCell ref="I1067:I1069"/>
    <mergeCell ref="J1067:J1069"/>
    <mergeCell ref="I1071:I1073"/>
    <mergeCell ref="I1075:I1077"/>
    <mergeCell ref="I1079:I1081"/>
    <mergeCell ref="I1083:I1085"/>
    <mergeCell ref="I1087:I1089"/>
    <mergeCell ref="I1091:I1093"/>
    <mergeCell ref="I1095:I1097"/>
    <mergeCell ref="K1070:K1073"/>
    <mergeCell ref="L1070:L1073"/>
    <mergeCell ref="M1070:M1073"/>
    <mergeCell ref="N1070:N1073"/>
    <mergeCell ref="J1071:J1073"/>
    <mergeCell ref="K1074:K1077"/>
    <mergeCell ref="N1074:N1077"/>
    <mergeCell ref="J1075:J1077"/>
    <mergeCell ref="L1074:L1077"/>
    <mergeCell ref="M1074:M1077"/>
    <mergeCell ref="K1078:K1081"/>
    <mergeCell ref="L1078:L1081"/>
    <mergeCell ref="M1078:M1081"/>
    <mergeCell ref="N1078:N1081"/>
    <mergeCell ref="J1079:J1081"/>
    <mergeCell ref="L1094:L1097"/>
    <mergeCell ref="M1094:M1097"/>
    <mergeCell ref="K838:K841"/>
    <mergeCell ref="L838:L841"/>
    <mergeCell ref="M838:M841"/>
    <mergeCell ref="N838:N841"/>
    <mergeCell ref="J839:J841"/>
    <mergeCell ref="K842:K845"/>
    <mergeCell ref="N842:N845"/>
    <mergeCell ref="J843:J845"/>
    <mergeCell ref="L842:L845"/>
    <mergeCell ref="M842:M845"/>
    <mergeCell ref="L846:L849"/>
    <mergeCell ref="M846:M849"/>
    <mergeCell ref="N846:N849"/>
    <mergeCell ref="I847:I849"/>
    <mergeCell ref="J847:J849"/>
    <mergeCell ref="K846:K849"/>
    <mergeCell ref="K850:K853"/>
    <mergeCell ref="L850:L853"/>
    <mergeCell ref="M850:M853"/>
    <mergeCell ref="N850:N853"/>
    <mergeCell ref="I851:I853"/>
    <mergeCell ref="J851:J853"/>
    <mergeCell ref="I855:I857"/>
    <mergeCell ref="I859:I861"/>
    <mergeCell ref="I863:I865"/>
    <mergeCell ref="I867:I869"/>
    <mergeCell ref="I871:I873"/>
    <mergeCell ref="I875:I877"/>
    <mergeCell ref="I879:I881"/>
    <mergeCell ref="K854:K857"/>
    <mergeCell ref="L854:L857"/>
    <mergeCell ref="M854:M857"/>
    <mergeCell ref="N854:N857"/>
    <mergeCell ref="J855:J857"/>
    <mergeCell ref="K858:K861"/>
    <mergeCell ref="N858:N861"/>
    <mergeCell ref="J859:J861"/>
    <mergeCell ref="L858:L861"/>
    <mergeCell ref="M858:M861"/>
    <mergeCell ref="K862:K865"/>
    <mergeCell ref="L862:L865"/>
    <mergeCell ref="M862:M865"/>
    <mergeCell ref="N862:N865"/>
    <mergeCell ref="J863:J865"/>
    <mergeCell ref="L878:L881"/>
    <mergeCell ref="M878:M881"/>
    <mergeCell ref="M906:M909"/>
    <mergeCell ref="N906:N909"/>
    <mergeCell ref="K902:K905"/>
    <mergeCell ref="L902:L905"/>
    <mergeCell ref="M902:M905"/>
    <mergeCell ref="N902:N905"/>
    <mergeCell ref="J903:J905"/>
    <mergeCell ref="L906:L909"/>
    <mergeCell ref="J907:J909"/>
    <mergeCell ref="K870:K873"/>
    <mergeCell ref="K874:K877"/>
    <mergeCell ref="L874:L877"/>
    <mergeCell ref="M874:M877"/>
    <mergeCell ref="N874:N877"/>
    <mergeCell ref="J875:J877"/>
    <mergeCell ref="N878:N881"/>
    <mergeCell ref="K878:K881"/>
    <mergeCell ref="J879:J881"/>
    <mergeCell ref="L882:L885"/>
    <mergeCell ref="M882:M885"/>
    <mergeCell ref="N882:N885"/>
    <mergeCell ref="I883:I885"/>
    <mergeCell ref="J883:J885"/>
    <mergeCell ref="K882:K885"/>
    <mergeCell ref="K886:K889"/>
    <mergeCell ref="L886:L889"/>
    <mergeCell ref="M886:M889"/>
    <mergeCell ref="N886:N889"/>
    <mergeCell ref="I887:I889"/>
    <mergeCell ref="J887:J889"/>
    <mergeCell ref="I891:I893"/>
    <mergeCell ref="I895:I897"/>
    <mergeCell ref="I899:I901"/>
    <mergeCell ref="I903:I905"/>
    <mergeCell ref="I907:I909"/>
    <mergeCell ref="I911:I913"/>
    <mergeCell ref="I915:I917"/>
    <mergeCell ref="K890:K893"/>
    <mergeCell ref="L890:L893"/>
    <mergeCell ref="M890:M893"/>
    <mergeCell ref="N890:N893"/>
    <mergeCell ref="J891:J893"/>
    <mergeCell ref="K894:K897"/>
    <mergeCell ref="N894:N897"/>
    <mergeCell ref="J895:J897"/>
    <mergeCell ref="L894:L897"/>
    <mergeCell ref="M894:M897"/>
    <mergeCell ref="K898:K901"/>
    <mergeCell ref="L898:L901"/>
    <mergeCell ref="M898:M901"/>
    <mergeCell ref="N898:N901"/>
    <mergeCell ref="J899:J901"/>
    <mergeCell ref="L914:L917"/>
    <mergeCell ref="M914:M917"/>
    <mergeCell ref="M942:M945"/>
    <mergeCell ref="N942:N945"/>
    <mergeCell ref="K938:K941"/>
    <mergeCell ref="L938:L941"/>
    <mergeCell ref="M938:M941"/>
    <mergeCell ref="N938:N941"/>
    <mergeCell ref="J939:J941"/>
    <mergeCell ref="L942:L945"/>
    <mergeCell ref="J943:J945"/>
    <mergeCell ref="K906:K909"/>
    <mergeCell ref="K910:K913"/>
    <mergeCell ref="L910:L913"/>
    <mergeCell ref="M910:M913"/>
    <mergeCell ref="N910:N913"/>
    <mergeCell ref="J911:J913"/>
    <mergeCell ref="N914:N917"/>
    <mergeCell ref="K914:K917"/>
    <mergeCell ref="J915:J917"/>
    <mergeCell ref="L918:L921"/>
    <mergeCell ref="M918:M921"/>
    <mergeCell ref="N918:N921"/>
    <mergeCell ref="I919:I921"/>
    <mergeCell ref="J919:J921"/>
    <mergeCell ref="K918:K921"/>
    <mergeCell ref="K922:K925"/>
    <mergeCell ref="L922:L925"/>
    <mergeCell ref="M922:M925"/>
    <mergeCell ref="N922:N925"/>
    <mergeCell ref="I923:I925"/>
    <mergeCell ref="J923:J925"/>
    <mergeCell ref="I927:I929"/>
    <mergeCell ref="I931:I933"/>
    <mergeCell ref="I935:I937"/>
    <mergeCell ref="I939:I941"/>
    <mergeCell ref="I943:I945"/>
    <mergeCell ref="I947:I949"/>
    <mergeCell ref="I951:I953"/>
    <mergeCell ref="K926:K929"/>
    <mergeCell ref="L926:L929"/>
    <mergeCell ref="M926:M929"/>
    <mergeCell ref="N926:N929"/>
    <mergeCell ref="J927:J929"/>
    <mergeCell ref="K930:K933"/>
    <mergeCell ref="N930:N933"/>
    <mergeCell ref="J931:J933"/>
    <mergeCell ref="L930:L933"/>
    <mergeCell ref="M930:M933"/>
    <mergeCell ref="K934:K937"/>
    <mergeCell ref="L934:L937"/>
    <mergeCell ref="M934:M937"/>
    <mergeCell ref="N934:N937"/>
    <mergeCell ref="J935:J937"/>
    <mergeCell ref="L950:L953"/>
    <mergeCell ref="M950:M953"/>
    <mergeCell ref="M978:M981"/>
    <mergeCell ref="N978:N981"/>
    <mergeCell ref="K974:K977"/>
    <mergeCell ref="L974:L977"/>
    <mergeCell ref="M974:M977"/>
    <mergeCell ref="N974:N977"/>
    <mergeCell ref="J975:J977"/>
    <mergeCell ref="L978:L981"/>
    <mergeCell ref="J979:J981"/>
    <mergeCell ref="M1014:M1017"/>
    <mergeCell ref="N1014:N1017"/>
    <mergeCell ref="K1010:K1013"/>
    <mergeCell ref="L1010:L1013"/>
    <mergeCell ref="M1010:M1013"/>
    <mergeCell ref="N1010:N1013"/>
    <mergeCell ref="J1011:J1013"/>
    <mergeCell ref="L1014:L1017"/>
    <mergeCell ref="J1015:J1017"/>
    <mergeCell ref="D63:D65"/>
    <mergeCell ref="D66:D68"/>
    <mergeCell ref="E66:E68"/>
    <mergeCell ref="F66:F68"/>
    <mergeCell ref="G66:G68"/>
    <mergeCell ref="D69:D71"/>
    <mergeCell ref="E69:E71"/>
    <mergeCell ref="D72:D74"/>
    <mergeCell ref="E72:E74"/>
    <mergeCell ref="F72:F74"/>
    <mergeCell ref="G72:G74"/>
    <mergeCell ref="E75:E77"/>
    <mergeCell ref="F75:F77"/>
    <mergeCell ref="G75:G77"/>
    <mergeCell ref="E51:E53"/>
    <mergeCell ref="F51:F53"/>
    <mergeCell ref="E45:E47"/>
    <mergeCell ref="F45:F47"/>
    <mergeCell ref="D48:D50"/>
    <mergeCell ref="E48:E50"/>
    <mergeCell ref="F48:F50"/>
    <mergeCell ref="G48:G50"/>
    <mergeCell ref="G51:G53"/>
    <mergeCell ref="F57:F59"/>
    <mergeCell ref="G57:G59"/>
    <mergeCell ref="D51:D53"/>
    <mergeCell ref="D54:D56"/>
    <mergeCell ref="E54:E56"/>
    <mergeCell ref="F54:F56"/>
    <mergeCell ref="G54:G56"/>
    <mergeCell ref="D57:D59"/>
    <mergeCell ref="E57:E59"/>
    <mergeCell ref="D60:D62"/>
    <mergeCell ref="E60:E62"/>
    <mergeCell ref="F60:F62"/>
    <mergeCell ref="G60:G62"/>
    <mergeCell ref="E63:E65"/>
    <mergeCell ref="F63:F65"/>
    <mergeCell ref="G63:G65"/>
    <mergeCell ref="F69:F71"/>
    <mergeCell ref="G69:G71"/>
    <mergeCell ref="D75:D77"/>
    <mergeCell ref="D78:D80"/>
    <mergeCell ref="E78:E80"/>
    <mergeCell ref="F78:F80"/>
    <mergeCell ref="G78:G80"/>
    <mergeCell ref="B7:B8"/>
    <mergeCell ref="B11:B12"/>
    <mergeCell ref="B15:B16"/>
    <mergeCell ref="C15:C16"/>
    <mergeCell ref="D15:D16"/>
    <mergeCell ref="E15:E16"/>
    <mergeCell ref="F15:F16"/>
    <mergeCell ref="G15:G16"/>
    <mergeCell ref="D17:D19"/>
    <mergeCell ref="E17:E19"/>
    <mergeCell ref="D20:D21"/>
    <mergeCell ref="E20:E21"/>
    <mergeCell ref="D22:D23"/>
    <mergeCell ref="E22:E23"/>
    <mergeCell ref="F17:F19"/>
    <mergeCell ref="G17:G19"/>
    <mergeCell ref="F20:F21"/>
    <mergeCell ref="G20:G21"/>
    <mergeCell ref="F22:F23"/>
    <mergeCell ref="G22:G23"/>
    <mergeCell ref="A1:B4"/>
    <mergeCell ref="C1:I4"/>
    <mergeCell ref="A7:A8"/>
    <mergeCell ref="C7:C8"/>
    <mergeCell ref="D7:D8"/>
    <mergeCell ref="E7:E8"/>
    <mergeCell ref="A11:A19"/>
    <mergeCell ref="F7:F8"/>
    <mergeCell ref="G7:G8"/>
    <mergeCell ref="N7:N8"/>
    <mergeCell ref="A9:A10"/>
    <mergeCell ref="B9:B10"/>
    <mergeCell ref="C9:C10"/>
    <mergeCell ref="D9:D10"/>
    <mergeCell ref="E9:E10"/>
    <mergeCell ref="F9:F10"/>
    <mergeCell ref="G9:G10"/>
    <mergeCell ref="N9:N10"/>
    <mergeCell ref="D11:D12"/>
    <mergeCell ref="E11:E12"/>
    <mergeCell ref="F11:F12"/>
    <mergeCell ref="G11:G12"/>
    <mergeCell ref="N11:N12"/>
    <mergeCell ref="B13:B14"/>
    <mergeCell ref="C13:C14"/>
    <mergeCell ref="D13:D14"/>
    <mergeCell ref="E13:E14"/>
    <mergeCell ref="F13:F14"/>
    <mergeCell ref="G13:G14"/>
    <mergeCell ref="N13:N14"/>
    <mergeCell ref="K15:K16"/>
    <mergeCell ref="L15:L16"/>
    <mergeCell ref="M15:M16"/>
    <mergeCell ref="N15:N16"/>
    <mergeCell ref="L54:L56"/>
    <mergeCell ref="M54:M56"/>
    <mergeCell ref="N54:N56"/>
    <mergeCell ref="K55:K56"/>
    <mergeCell ref="L57:L59"/>
    <mergeCell ref="M57:M59"/>
    <mergeCell ref="N57:N59"/>
    <mergeCell ref="K57:K59"/>
    <mergeCell ref="K60:K62"/>
    <mergeCell ref="L60:L62"/>
    <mergeCell ref="M60:M62"/>
    <mergeCell ref="N60:N62"/>
    <mergeCell ref="M63:M65"/>
    <mergeCell ref="N63:N65"/>
    <mergeCell ref="M69:M71"/>
    <mergeCell ref="N69:N71"/>
    <mergeCell ref="L63:L65"/>
    <mergeCell ref="K64:K65"/>
    <mergeCell ref="K66:K68"/>
    <mergeCell ref="L66:L68"/>
    <mergeCell ref="M66:M68"/>
    <mergeCell ref="N66:N68"/>
    <mergeCell ref="L69:L71"/>
    <mergeCell ref="M75:M77"/>
    <mergeCell ref="N75:N77"/>
    <mergeCell ref="K70:K71"/>
    <mergeCell ref="K72:K74"/>
    <mergeCell ref="L72:L74"/>
    <mergeCell ref="M72:M74"/>
    <mergeCell ref="N72:N74"/>
    <mergeCell ref="K75:K77"/>
    <mergeCell ref="L75:L77"/>
    <mergeCell ref="B60:B61"/>
    <mergeCell ref="B63:B64"/>
    <mergeCell ref="B66:B67"/>
    <mergeCell ref="B69:B70"/>
    <mergeCell ref="B72:B73"/>
    <mergeCell ref="B75:B76"/>
    <mergeCell ref="B78:B79"/>
    <mergeCell ref="B81:B82"/>
    <mergeCell ref="C63:C65"/>
    <mergeCell ref="C66:C68"/>
    <mergeCell ref="C69:C71"/>
    <mergeCell ref="C72:C74"/>
    <mergeCell ref="C75:C77"/>
    <mergeCell ref="C78:C80"/>
    <mergeCell ref="D81:D83"/>
    <mergeCell ref="M93:M95"/>
    <mergeCell ref="N93:N95"/>
    <mergeCell ref="M87:M89"/>
    <mergeCell ref="N87:N89"/>
    <mergeCell ref="K90:K92"/>
    <mergeCell ref="L90:L92"/>
    <mergeCell ref="M90:M92"/>
    <mergeCell ref="N90:N92"/>
    <mergeCell ref="L93:L95"/>
    <mergeCell ref="C22:C23"/>
    <mergeCell ref="C24:C26"/>
    <mergeCell ref="D24:D26"/>
    <mergeCell ref="E24:E26"/>
    <mergeCell ref="F24:F26"/>
    <mergeCell ref="G24:G26"/>
    <mergeCell ref="B24:B25"/>
    <mergeCell ref="B27:B28"/>
    <mergeCell ref="D27:D29"/>
    <mergeCell ref="E27:E29"/>
    <mergeCell ref="F27:F29"/>
    <mergeCell ref="G27:G29"/>
    <mergeCell ref="D33:D35"/>
    <mergeCell ref="E33:E35"/>
    <mergeCell ref="F33:F35"/>
    <mergeCell ref="G33:G35"/>
    <mergeCell ref="A27:A32"/>
    <mergeCell ref="B30:B31"/>
    <mergeCell ref="C30:C32"/>
    <mergeCell ref="D30:D32"/>
    <mergeCell ref="E30:E32"/>
    <mergeCell ref="F30:F32"/>
    <mergeCell ref="G30:G32"/>
    <mergeCell ref="C33:C35"/>
    <mergeCell ref="B36:B37"/>
    <mergeCell ref="D36:D38"/>
    <mergeCell ref="E36:E38"/>
    <mergeCell ref="F36:F38"/>
    <mergeCell ref="G36:G38"/>
    <mergeCell ref="C36:C38"/>
    <mergeCell ref="B39:B40"/>
    <mergeCell ref="D39:D41"/>
    <mergeCell ref="E39:E41"/>
    <mergeCell ref="F39:F41"/>
    <mergeCell ref="G39:G41"/>
    <mergeCell ref="C39:C41"/>
    <mergeCell ref="B42:B43"/>
    <mergeCell ref="D42:D44"/>
    <mergeCell ref="E42:E44"/>
    <mergeCell ref="F42:F44"/>
    <mergeCell ref="G42:G44"/>
    <mergeCell ref="D45:D47"/>
    <mergeCell ref="G45:G47"/>
    <mergeCell ref="E114:E116"/>
    <mergeCell ref="F114:F116"/>
    <mergeCell ref="E108:E110"/>
    <mergeCell ref="F108:F110"/>
    <mergeCell ref="D111:D113"/>
    <mergeCell ref="E111:E113"/>
    <mergeCell ref="F111:F113"/>
    <mergeCell ref="G111:G113"/>
    <mergeCell ref="G114:G116"/>
    <mergeCell ref="F120:F122"/>
    <mergeCell ref="G120:G122"/>
    <mergeCell ref="D114:D116"/>
    <mergeCell ref="D117:D119"/>
    <mergeCell ref="E117:E119"/>
    <mergeCell ref="F117:F119"/>
    <mergeCell ref="G117:G119"/>
    <mergeCell ref="D120:D122"/>
    <mergeCell ref="E120:E122"/>
    <mergeCell ref="C120:C122"/>
    <mergeCell ref="C123:C125"/>
    <mergeCell ref="B111:B112"/>
    <mergeCell ref="B114:B115"/>
    <mergeCell ref="C114:C116"/>
    <mergeCell ref="B117:B118"/>
    <mergeCell ref="C117:C119"/>
    <mergeCell ref="B120:B121"/>
    <mergeCell ref="B123:B124"/>
    <mergeCell ref="C135:C137"/>
    <mergeCell ref="C138:C140"/>
    <mergeCell ref="B126:B127"/>
    <mergeCell ref="C126:C128"/>
    <mergeCell ref="B129:B130"/>
    <mergeCell ref="B132:B133"/>
    <mergeCell ref="C132:C134"/>
    <mergeCell ref="B135:B136"/>
    <mergeCell ref="B138:B139"/>
    <mergeCell ref="E138:E140"/>
    <mergeCell ref="F138:F140"/>
    <mergeCell ref="E132:E134"/>
    <mergeCell ref="F132:F134"/>
    <mergeCell ref="D135:D137"/>
    <mergeCell ref="E135:E137"/>
    <mergeCell ref="F135:F137"/>
    <mergeCell ref="G135:G137"/>
    <mergeCell ref="G138:G140"/>
    <mergeCell ref="F144:F146"/>
    <mergeCell ref="G144:G146"/>
    <mergeCell ref="D138:D140"/>
    <mergeCell ref="D141:D143"/>
    <mergeCell ref="E141:E143"/>
    <mergeCell ref="F141:F143"/>
    <mergeCell ref="G141:G143"/>
    <mergeCell ref="D144:D146"/>
    <mergeCell ref="E144:E146"/>
    <mergeCell ref="L78:L80"/>
    <mergeCell ref="M78:M80"/>
    <mergeCell ref="N78:N80"/>
    <mergeCell ref="K79:K80"/>
    <mergeCell ref="K81:K83"/>
    <mergeCell ref="M81:M83"/>
    <mergeCell ref="N81:N83"/>
    <mergeCell ref="L81:L83"/>
    <mergeCell ref="L84:L86"/>
    <mergeCell ref="M84:M86"/>
    <mergeCell ref="N84:N86"/>
    <mergeCell ref="K85:K86"/>
    <mergeCell ref="K87:K89"/>
    <mergeCell ref="L87:L89"/>
    <mergeCell ref="K94:K95"/>
    <mergeCell ref="K96:K98"/>
    <mergeCell ref="L96:L98"/>
    <mergeCell ref="M96:M98"/>
    <mergeCell ref="N96:N98"/>
    <mergeCell ref="M99:M101"/>
    <mergeCell ref="N99:N101"/>
    <mergeCell ref="L99:L101"/>
    <mergeCell ref="K100:K101"/>
    <mergeCell ref="K102:K104"/>
    <mergeCell ref="L102:L104"/>
    <mergeCell ref="M102:M104"/>
    <mergeCell ref="N102:N104"/>
    <mergeCell ref="K105:K107"/>
    <mergeCell ref="N105:N107"/>
    <mergeCell ref="L111:L113"/>
    <mergeCell ref="M111:M113"/>
    <mergeCell ref="L105:L107"/>
    <mergeCell ref="M105:M107"/>
    <mergeCell ref="L108:L110"/>
    <mergeCell ref="M108:M110"/>
    <mergeCell ref="N108:N110"/>
    <mergeCell ref="K109:K110"/>
    <mergeCell ref="N111:N113"/>
    <mergeCell ref="M117:M119"/>
    <mergeCell ref="N117:N119"/>
    <mergeCell ref="K111:K113"/>
    <mergeCell ref="K114:K116"/>
    <mergeCell ref="L114:L116"/>
    <mergeCell ref="M114:M116"/>
    <mergeCell ref="N114:N116"/>
    <mergeCell ref="K117:K119"/>
    <mergeCell ref="L117:L119"/>
    <mergeCell ref="L120:L122"/>
    <mergeCell ref="M120:M122"/>
    <mergeCell ref="N120:N122"/>
    <mergeCell ref="K121:K122"/>
    <mergeCell ref="K123:K125"/>
    <mergeCell ref="M123:M125"/>
    <mergeCell ref="N123:N125"/>
    <mergeCell ref="L123:L125"/>
    <mergeCell ref="L126:L128"/>
    <mergeCell ref="M126:M128"/>
    <mergeCell ref="N126:N128"/>
    <mergeCell ref="K127:K128"/>
    <mergeCell ref="K129:K131"/>
    <mergeCell ref="L129:L131"/>
    <mergeCell ref="M135:M137"/>
    <mergeCell ref="N135:N137"/>
    <mergeCell ref="M129:M131"/>
    <mergeCell ref="N129:N131"/>
    <mergeCell ref="K132:K134"/>
    <mergeCell ref="L132:L134"/>
    <mergeCell ref="M132:M134"/>
    <mergeCell ref="N132:N134"/>
    <mergeCell ref="L135:L137"/>
    <mergeCell ref="K136:K137"/>
    <mergeCell ref="K138:K140"/>
    <mergeCell ref="L138:L140"/>
    <mergeCell ref="M138:M140"/>
    <mergeCell ref="N138:N140"/>
    <mergeCell ref="M141:M143"/>
    <mergeCell ref="N141:N143"/>
    <mergeCell ref="L141:L143"/>
    <mergeCell ref="K142:K143"/>
    <mergeCell ref="K144:K146"/>
    <mergeCell ref="L144:L146"/>
    <mergeCell ref="M144:M146"/>
    <mergeCell ref="N144:N146"/>
    <mergeCell ref="K147:K149"/>
    <mergeCell ref="N147:N149"/>
    <mergeCell ref="D123:D125"/>
    <mergeCell ref="E123:E125"/>
    <mergeCell ref="F123:F125"/>
    <mergeCell ref="G123:G125"/>
    <mergeCell ref="E126:E128"/>
    <mergeCell ref="F126:F128"/>
    <mergeCell ref="G126:G128"/>
    <mergeCell ref="D126:D128"/>
    <mergeCell ref="D129:D131"/>
    <mergeCell ref="E129:E131"/>
    <mergeCell ref="F129:F131"/>
    <mergeCell ref="G129:G131"/>
    <mergeCell ref="C130:C131"/>
    <mergeCell ref="D132:D134"/>
    <mergeCell ref="G132:G134"/>
    <mergeCell ref="G150:G153"/>
    <mergeCell ref="H150:H153"/>
    <mergeCell ref="D147:D149"/>
    <mergeCell ref="E147:E149"/>
    <mergeCell ref="F147:F149"/>
    <mergeCell ref="G147:G149"/>
    <mergeCell ref="D150:D153"/>
    <mergeCell ref="E150:E153"/>
    <mergeCell ref="F150:F153"/>
    <mergeCell ref="E81:E83"/>
    <mergeCell ref="F81:F83"/>
    <mergeCell ref="G81:G83"/>
    <mergeCell ref="C82:C83"/>
    <mergeCell ref="C84:C86"/>
    <mergeCell ref="D84:D86"/>
    <mergeCell ref="G84:G86"/>
    <mergeCell ref="E84:E86"/>
    <mergeCell ref="F84:F86"/>
    <mergeCell ref="D87:D89"/>
    <mergeCell ref="E87:E89"/>
    <mergeCell ref="F87:F89"/>
    <mergeCell ref="G87:G89"/>
    <mergeCell ref="C88:C89"/>
    <mergeCell ref="D90:D92"/>
    <mergeCell ref="E90:E92"/>
    <mergeCell ref="F90:F92"/>
    <mergeCell ref="G90:G92"/>
    <mergeCell ref="E93:E95"/>
    <mergeCell ref="F93:F95"/>
    <mergeCell ref="G93:G95"/>
    <mergeCell ref="D93:D95"/>
    <mergeCell ref="C94:C95"/>
    <mergeCell ref="D96:D98"/>
    <mergeCell ref="E96:E98"/>
    <mergeCell ref="F96:F98"/>
    <mergeCell ref="G96:G98"/>
    <mergeCell ref="C97:C98"/>
    <mergeCell ref="D99:D101"/>
    <mergeCell ref="E99:E101"/>
    <mergeCell ref="F99:F101"/>
    <mergeCell ref="G99:G101"/>
    <mergeCell ref="E102:E104"/>
    <mergeCell ref="F102:F104"/>
    <mergeCell ref="G102:G104"/>
    <mergeCell ref="D102:D104"/>
    <mergeCell ref="C103:C104"/>
    <mergeCell ref="D105:D107"/>
    <mergeCell ref="E105:E107"/>
    <mergeCell ref="F105:F107"/>
    <mergeCell ref="G105:G107"/>
    <mergeCell ref="D108:D110"/>
    <mergeCell ref="G108:G110"/>
    <mergeCell ref="F163:F165"/>
    <mergeCell ref="G163:G165"/>
    <mergeCell ref="D154:D156"/>
    <mergeCell ref="E154:E156"/>
    <mergeCell ref="F154:F156"/>
    <mergeCell ref="G154:G156"/>
    <mergeCell ref="E157:E159"/>
    <mergeCell ref="F157:F159"/>
    <mergeCell ref="G157:G159"/>
    <mergeCell ref="D157:D159"/>
    <mergeCell ref="D160:D162"/>
    <mergeCell ref="E160:E162"/>
    <mergeCell ref="F160:F162"/>
    <mergeCell ref="G160:G162"/>
    <mergeCell ref="D163:D165"/>
    <mergeCell ref="E163:E165"/>
    <mergeCell ref="G169:G174"/>
    <mergeCell ref="H170:H174"/>
    <mergeCell ref="D166:D168"/>
    <mergeCell ref="E166:E168"/>
    <mergeCell ref="F166:F168"/>
    <mergeCell ref="G166:G168"/>
    <mergeCell ref="D169:D174"/>
    <mergeCell ref="E169:E174"/>
    <mergeCell ref="F169:F174"/>
    <mergeCell ref="D175:D177"/>
    <mergeCell ref="E175:E177"/>
    <mergeCell ref="F175:F177"/>
    <mergeCell ref="G175:G177"/>
    <mergeCell ref="F178:F180"/>
    <mergeCell ref="G178:G180"/>
    <mergeCell ref="D179:D180"/>
    <mergeCell ref="E178:E180"/>
    <mergeCell ref="E181:E183"/>
    <mergeCell ref="F181:F183"/>
    <mergeCell ref="G181:G183"/>
    <mergeCell ref="D182:D183"/>
    <mergeCell ref="F184:F186"/>
    <mergeCell ref="G184:G186"/>
    <mergeCell ref="G190:G196"/>
    <mergeCell ref="H190:H196"/>
    <mergeCell ref="E190:E196"/>
    <mergeCell ref="F190:F196"/>
    <mergeCell ref="E184:E186"/>
    <mergeCell ref="D185:D186"/>
    <mergeCell ref="D187:D189"/>
    <mergeCell ref="E187:E189"/>
    <mergeCell ref="F187:F189"/>
    <mergeCell ref="G187:G189"/>
    <mergeCell ref="D190:D196"/>
    <mergeCell ref="D197:D199"/>
    <mergeCell ref="E197:E199"/>
    <mergeCell ref="F197:F199"/>
    <mergeCell ref="G197:G199"/>
    <mergeCell ref="E200:E202"/>
    <mergeCell ref="F200:F202"/>
    <mergeCell ref="G200:G202"/>
    <mergeCell ref="D200:D202"/>
    <mergeCell ref="D203:D205"/>
    <mergeCell ref="E203:E205"/>
    <mergeCell ref="F203:F205"/>
    <mergeCell ref="G203:G205"/>
    <mergeCell ref="D206:D208"/>
    <mergeCell ref="E206:E216"/>
    <mergeCell ref="F228:F230"/>
    <mergeCell ref="G228:G230"/>
    <mergeCell ref="F206:F216"/>
    <mergeCell ref="G206:G216"/>
    <mergeCell ref="F217:F219"/>
    <mergeCell ref="G217:G219"/>
    <mergeCell ref="F220:F227"/>
    <mergeCell ref="G220:G227"/>
    <mergeCell ref="H220:H227"/>
    <mergeCell ref="D231:D233"/>
    <mergeCell ref="E231:E233"/>
    <mergeCell ref="F231:F233"/>
    <mergeCell ref="G231:G233"/>
    <mergeCell ref="F234:F236"/>
    <mergeCell ref="G234:G236"/>
    <mergeCell ref="D292:D294"/>
    <mergeCell ref="E292:E294"/>
    <mergeCell ref="F292:F294"/>
    <mergeCell ref="G292:G294"/>
    <mergeCell ref="E295:E297"/>
    <mergeCell ref="F295:F297"/>
    <mergeCell ref="G295:G297"/>
    <mergeCell ref="D295:D297"/>
    <mergeCell ref="D298:D300"/>
    <mergeCell ref="E298:E300"/>
    <mergeCell ref="F298:F300"/>
    <mergeCell ref="G298:G300"/>
    <mergeCell ref="D301:D304"/>
    <mergeCell ref="E301:E304"/>
    <mergeCell ref="D305:D307"/>
    <mergeCell ref="E305:E307"/>
    <mergeCell ref="F305:F307"/>
    <mergeCell ref="G305:G307"/>
    <mergeCell ref="E308:E310"/>
    <mergeCell ref="F308:F310"/>
    <mergeCell ref="G308:G310"/>
    <mergeCell ref="D308:D310"/>
    <mergeCell ref="D311:D313"/>
    <mergeCell ref="E311:E313"/>
    <mergeCell ref="F311:F313"/>
    <mergeCell ref="G311:G313"/>
    <mergeCell ref="D314:D316"/>
    <mergeCell ref="E314:E316"/>
    <mergeCell ref="F481:F483"/>
    <mergeCell ref="G481:G483"/>
    <mergeCell ref="D478:D480"/>
    <mergeCell ref="E478:E480"/>
    <mergeCell ref="F478:F480"/>
    <mergeCell ref="G478:G480"/>
    <mergeCell ref="H479:H480"/>
    <mergeCell ref="E481:E483"/>
    <mergeCell ref="H482:H483"/>
    <mergeCell ref="G487:G489"/>
    <mergeCell ref="H488:H489"/>
    <mergeCell ref="G490:G492"/>
    <mergeCell ref="H491:H492"/>
    <mergeCell ref="G494:G496"/>
    <mergeCell ref="H494:H496"/>
    <mergeCell ref="D481:D483"/>
    <mergeCell ref="D484:D486"/>
    <mergeCell ref="E484:E486"/>
    <mergeCell ref="F484:F486"/>
    <mergeCell ref="G484:G486"/>
    <mergeCell ref="H484:H486"/>
    <mergeCell ref="D487:D489"/>
    <mergeCell ref="E487:E489"/>
    <mergeCell ref="F487:F489"/>
    <mergeCell ref="D490:D492"/>
    <mergeCell ref="E490:E492"/>
    <mergeCell ref="F490:F492"/>
    <mergeCell ref="E494:E496"/>
    <mergeCell ref="F494:F496"/>
    <mergeCell ref="D494:D496"/>
    <mergeCell ref="D497:D500"/>
    <mergeCell ref="E497:E500"/>
    <mergeCell ref="F497:F500"/>
    <mergeCell ref="G497:G500"/>
    <mergeCell ref="H498:H500"/>
    <mergeCell ref="D501:D502"/>
    <mergeCell ref="G501:G502"/>
    <mergeCell ref="E501:E502"/>
    <mergeCell ref="F501:F502"/>
    <mergeCell ref="D503:D506"/>
    <mergeCell ref="E503:E506"/>
    <mergeCell ref="F503:F506"/>
    <mergeCell ref="G503:G506"/>
    <mergeCell ref="H503:H506"/>
    <mergeCell ref="D531:D535"/>
    <mergeCell ref="E531:E535"/>
    <mergeCell ref="F531:F535"/>
    <mergeCell ref="G531:G535"/>
    <mergeCell ref="H531:H535"/>
    <mergeCell ref="E536:E538"/>
    <mergeCell ref="H537:H538"/>
    <mergeCell ref="G543:G545"/>
    <mergeCell ref="H544:H545"/>
    <mergeCell ref="D536:D538"/>
    <mergeCell ref="D539:D542"/>
    <mergeCell ref="E539:E542"/>
    <mergeCell ref="F539:F542"/>
    <mergeCell ref="G539:G542"/>
    <mergeCell ref="H539:H542"/>
    <mergeCell ref="D543:D545"/>
    <mergeCell ref="F512:F515"/>
    <mergeCell ref="G512:G515"/>
    <mergeCell ref="D507:D511"/>
    <mergeCell ref="E507:E511"/>
    <mergeCell ref="F507:F511"/>
    <mergeCell ref="G507:G511"/>
    <mergeCell ref="H508:H511"/>
    <mergeCell ref="E512:E515"/>
    <mergeCell ref="H512:H515"/>
    <mergeCell ref="G521:G524"/>
    <mergeCell ref="H521:H524"/>
    <mergeCell ref="D512:D515"/>
    <mergeCell ref="D516:D520"/>
    <mergeCell ref="E516:E520"/>
    <mergeCell ref="F516:F520"/>
    <mergeCell ref="G516:G520"/>
    <mergeCell ref="H517:H520"/>
    <mergeCell ref="D521:D524"/>
    <mergeCell ref="E521:E524"/>
    <mergeCell ref="F521:F524"/>
    <mergeCell ref="D525:D530"/>
    <mergeCell ref="E525:E530"/>
    <mergeCell ref="F525:F530"/>
    <mergeCell ref="G525:G530"/>
    <mergeCell ref="H526:H530"/>
    <mergeCell ref="F536:F538"/>
    <mergeCell ref="G536:G538"/>
    <mergeCell ref="E543:E545"/>
    <mergeCell ref="F543:F545"/>
    <mergeCell ref="D546:D550"/>
    <mergeCell ref="E546:E550"/>
    <mergeCell ref="F546:F550"/>
    <mergeCell ref="G546:G550"/>
    <mergeCell ref="H546:H550"/>
    <mergeCell ref="F554:F557"/>
    <mergeCell ref="G554:G557"/>
    <mergeCell ref="D551:D553"/>
    <mergeCell ref="E551:E553"/>
    <mergeCell ref="F551:F553"/>
    <mergeCell ref="G551:G553"/>
    <mergeCell ref="H552:H553"/>
    <mergeCell ref="E554:E557"/>
    <mergeCell ref="H554:H557"/>
    <mergeCell ref="D554:D557"/>
    <mergeCell ref="D558:D561"/>
    <mergeCell ref="E558:E561"/>
    <mergeCell ref="F558:F561"/>
    <mergeCell ref="G558:G561"/>
    <mergeCell ref="H559:H561"/>
    <mergeCell ref="D562:D565"/>
    <mergeCell ref="E562:E565"/>
    <mergeCell ref="F562:F565"/>
    <mergeCell ref="D566:D568"/>
    <mergeCell ref="E566:E568"/>
    <mergeCell ref="F566:F568"/>
    <mergeCell ref="E569:E572"/>
    <mergeCell ref="F569:F572"/>
    <mergeCell ref="G573:G575"/>
    <mergeCell ref="G576:G577"/>
    <mergeCell ref="G562:G565"/>
    <mergeCell ref="H562:H565"/>
    <mergeCell ref="G566:G568"/>
    <mergeCell ref="H567:H568"/>
    <mergeCell ref="G569:G572"/>
    <mergeCell ref="H569:H572"/>
    <mergeCell ref="H573:H575"/>
    <mergeCell ref="D569:D572"/>
    <mergeCell ref="D573:D575"/>
    <mergeCell ref="E573:E575"/>
    <mergeCell ref="F573:F575"/>
    <mergeCell ref="D576:D577"/>
    <mergeCell ref="E576:E577"/>
    <mergeCell ref="F576:F577"/>
    <mergeCell ref="D593:D597"/>
    <mergeCell ref="D598:D604"/>
    <mergeCell ref="E598:E604"/>
    <mergeCell ref="F598:F604"/>
    <mergeCell ref="G598:G604"/>
    <mergeCell ref="H598:H604"/>
    <mergeCell ref="D605:D611"/>
    <mergeCell ref="E605:E611"/>
    <mergeCell ref="F605:F611"/>
    <mergeCell ref="D612:D617"/>
    <mergeCell ref="E612:E617"/>
    <mergeCell ref="F612:F617"/>
    <mergeCell ref="E618:E621"/>
    <mergeCell ref="F618:F621"/>
    <mergeCell ref="D578:D581"/>
    <mergeCell ref="E578:E581"/>
    <mergeCell ref="F578:F581"/>
    <mergeCell ref="G578:G581"/>
    <mergeCell ref="H578:H581"/>
    <mergeCell ref="D582:D583"/>
    <mergeCell ref="E582:E583"/>
    <mergeCell ref="F582:F583"/>
    <mergeCell ref="G582:G583"/>
    <mergeCell ref="D584:D588"/>
    <mergeCell ref="E584:E588"/>
    <mergeCell ref="F584:F588"/>
    <mergeCell ref="G584:G588"/>
    <mergeCell ref="H584:H588"/>
    <mergeCell ref="F593:F597"/>
    <mergeCell ref="G593:G597"/>
    <mergeCell ref="D589:D592"/>
    <mergeCell ref="E589:E592"/>
    <mergeCell ref="F589:F592"/>
    <mergeCell ref="G589:G592"/>
    <mergeCell ref="H590:H592"/>
    <mergeCell ref="E593:E597"/>
    <mergeCell ref="H594:H597"/>
    <mergeCell ref="G605:G611"/>
    <mergeCell ref="H606:H611"/>
    <mergeCell ref="G612:G617"/>
    <mergeCell ref="H612:H617"/>
    <mergeCell ref="G618:G621"/>
    <mergeCell ref="H619:H621"/>
    <mergeCell ref="E622:E623"/>
    <mergeCell ref="F622:F623"/>
    <mergeCell ref="G622:G623"/>
    <mergeCell ref="D618:D621"/>
    <mergeCell ref="D622:D623"/>
    <mergeCell ref="D624:D627"/>
    <mergeCell ref="E624:E627"/>
    <mergeCell ref="F624:F627"/>
    <mergeCell ref="G624:G627"/>
    <mergeCell ref="H624:H627"/>
    <mergeCell ref="F664:F666"/>
    <mergeCell ref="G664:G666"/>
    <mergeCell ref="D660:D663"/>
    <mergeCell ref="E660:E663"/>
    <mergeCell ref="F660:F663"/>
    <mergeCell ref="G660:G663"/>
    <mergeCell ref="H660:H663"/>
    <mergeCell ref="E664:E666"/>
    <mergeCell ref="H665:H666"/>
    <mergeCell ref="K593:K597"/>
    <mergeCell ref="L593:L597"/>
    <mergeCell ref="M593:M597"/>
    <mergeCell ref="N593:N597"/>
    <mergeCell ref="I594:I597"/>
    <mergeCell ref="J594:J597"/>
    <mergeCell ref="K598:K604"/>
    <mergeCell ref="L598:M604"/>
    <mergeCell ref="N598:N604"/>
    <mergeCell ref="L605:L611"/>
    <mergeCell ref="M605:M611"/>
    <mergeCell ref="N605:N611"/>
    <mergeCell ref="I606:I611"/>
    <mergeCell ref="J606:J611"/>
    <mergeCell ref="K618:K621"/>
    <mergeCell ref="I619:I621"/>
    <mergeCell ref="J619:J621"/>
    <mergeCell ref="K622:K623"/>
    <mergeCell ref="L622:L623"/>
    <mergeCell ref="M622:M623"/>
    <mergeCell ref="N622:N623"/>
    <mergeCell ref="K605:K611"/>
    <mergeCell ref="K612:K617"/>
    <mergeCell ref="L612:M617"/>
    <mergeCell ref="N612:N617"/>
    <mergeCell ref="L618:L621"/>
    <mergeCell ref="M618:M621"/>
    <mergeCell ref="N618:N621"/>
    <mergeCell ref="I629:I631"/>
    <mergeCell ref="J629:J631"/>
    <mergeCell ref="K624:K627"/>
    <mergeCell ref="L624:M627"/>
    <mergeCell ref="N624:N627"/>
    <mergeCell ref="K628:K631"/>
    <mergeCell ref="L628:L631"/>
    <mergeCell ref="M628:M631"/>
    <mergeCell ref="N628:N631"/>
    <mergeCell ref="K632:K633"/>
    <mergeCell ref="L632:L633"/>
    <mergeCell ref="M632:M633"/>
    <mergeCell ref="N632:N633"/>
    <mergeCell ref="K634:K639"/>
    <mergeCell ref="L634:M639"/>
    <mergeCell ref="N634:N639"/>
    <mergeCell ref="K664:K666"/>
    <mergeCell ref="L664:L666"/>
    <mergeCell ref="M664:M666"/>
    <mergeCell ref="N664:N666"/>
    <mergeCell ref="J665:J666"/>
    <mergeCell ref="K667:K669"/>
    <mergeCell ref="N667:N669"/>
    <mergeCell ref="J668:J669"/>
    <mergeCell ref="L667:L669"/>
    <mergeCell ref="M667:M669"/>
    <mergeCell ref="K670:K673"/>
    <mergeCell ref="L670:M673"/>
    <mergeCell ref="N670:N673"/>
    <mergeCell ref="K674:K675"/>
    <mergeCell ref="L674:L675"/>
    <mergeCell ref="K676:K678"/>
    <mergeCell ref="L676:L678"/>
    <mergeCell ref="M676:M678"/>
    <mergeCell ref="N676:N678"/>
    <mergeCell ref="I677:I678"/>
    <mergeCell ref="J677:J678"/>
    <mergeCell ref="K679:K682"/>
    <mergeCell ref="L679:M682"/>
    <mergeCell ref="N679:N682"/>
    <mergeCell ref="L683:L686"/>
    <mergeCell ref="M683:M686"/>
    <mergeCell ref="N683:N686"/>
    <mergeCell ref="I684:I686"/>
    <mergeCell ref="J684:J686"/>
    <mergeCell ref="K640:K643"/>
    <mergeCell ref="L640:L643"/>
    <mergeCell ref="M640:M643"/>
    <mergeCell ref="N640:N643"/>
    <mergeCell ref="I641:I643"/>
    <mergeCell ref="J641:J643"/>
    <mergeCell ref="K644:K645"/>
    <mergeCell ref="N644:N645"/>
    <mergeCell ref="M654:M657"/>
    <mergeCell ref="N654:N657"/>
    <mergeCell ref="I655:I657"/>
    <mergeCell ref="J655:J657"/>
    <mergeCell ref="L644:L645"/>
    <mergeCell ref="M644:M645"/>
    <mergeCell ref="K646:K653"/>
    <mergeCell ref="L646:M653"/>
    <mergeCell ref="N646:N653"/>
    <mergeCell ref="K654:K657"/>
    <mergeCell ref="L654:L657"/>
    <mergeCell ref="K658:K659"/>
    <mergeCell ref="L658:L659"/>
    <mergeCell ref="M658:M659"/>
    <mergeCell ref="N658:N659"/>
    <mergeCell ref="K660:K663"/>
    <mergeCell ref="L660:M663"/>
    <mergeCell ref="N660:N663"/>
    <mergeCell ref="I665:I666"/>
    <mergeCell ref="I668:I669"/>
    <mergeCell ref="M674:M675"/>
    <mergeCell ref="N674:N675"/>
    <mergeCell ref="K683:K686"/>
    <mergeCell ref="K687:K689"/>
    <mergeCell ref="L687:L689"/>
    <mergeCell ref="M687:M689"/>
    <mergeCell ref="N687:N689"/>
    <mergeCell ref="I688:I689"/>
    <mergeCell ref="J688:J689"/>
    <mergeCell ref="I691:I693"/>
    <mergeCell ref="I695:I696"/>
    <mergeCell ref="I702:I704"/>
    <mergeCell ref="I706:I707"/>
    <mergeCell ref="I714:I716"/>
    <mergeCell ref="I718:I719"/>
    <mergeCell ref="I721:I723"/>
    <mergeCell ref="K690:K693"/>
    <mergeCell ref="L690:L693"/>
    <mergeCell ref="M690:M693"/>
    <mergeCell ref="N690:N693"/>
    <mergeCell ref="J691:J693"/>
    <mergeCell ref="K694:K696"/>
    <mergeCell ref="N694:N696"/>
    <mergeCell ref="J695:J696"/>
    <mergeCell ref="M701:M704"/>
    <mergeCell ref="N701:N704"/>
    <mergeCell ref="M705:M707"/>
    <mergeCell ref="N705:N707"/>
    <mergeCell ref="N708:N712"/>
    <mergeCell ref="L694:L696"/>
    <mergeCell ref="M694:M696"/>
    <mergeCell ref="K697:K700"/>
    <mergeCell ref="L697:M700"/>
    <mergeCell ref="N697:N700"/>
    <mergeCell ref="L701:L704"/>
    <mergeCell ref="J702:J704"/>
    <mergeCell ref="K701:K704"/>
    <mergeCell ref="K705:K707"/>
    <mergeCell ref="L705:L707"/>
    <mergeCell ref="J706:J707"/>
    <mergeCell ref="K708:K712"/>
    <mergeCell ref="L708:M712"/>
    <mergeCell ref="J714:J716"/>
    <mergeCell ref="L720:L723"/>
    <mergeCell ref="M720:M723"/>
    <mergeCell ref="K720:K723"/>
    <mergeCell ref="J721:J723"/>
    <mergeCell ref="L713:L716"/>
    <mergeCell ref="M713:M716"/>
    <mergeCell ref="N713:N716"/>
    <mergeCell ref="K713:K716"/>
    <mergeCell ref="K717:K719"/>
    <mergeCell ref="L717:L719"/>
    <mergeCell ref="M717:M719"/>
    <mergeCell ref="N717:N719"/>
    <mergeCell ref="J718:J719"/>
    <mergeCell ref="N720:N723"/>
    <mergeCell ref="I725:I726"/>
    <mergeCell ref="I728:I730"/>
    <mergeCell ref="I732:I733"/>
    <mergeCell ref="I735:I737"/>
    <mergeCell ref="I739:I740"/>
    <mergeCell ref="I742:I744"/>
    <mergeCell ref="I746:I747"/>
    <mergeCell ref="K724:K726"/>
    <mergeCell ref="L724:L726"/>
    <mergeCell ref="M724:M726"/>
    <mergeCell ref="N724:N726"/>
    <mergeCell ref="J725:J726"/>
    <mergeCell ref="K727:K730"/>
    <mergeCell ref="N727:N730"/>
    <mergeCell ref="J728:J730"/>
    <mergeCell ref="L727:L730"/>
    <mergeCell ref="M727:M730"/>
    <mergeCell ref="K731:K733"/>
    <mergeCell ref="L731:L733"/>
    <mergeCell ref="M731:M733"/>
    <mergeCell ref="N731:N733"/>
    <mergeCell ref="J732:J733"/>
    <mergeCell ref="M738:M740"/>
    <mergeCell ref="N738:N740"/>
    <mergeCell ref="L745:L747"/>
    <mergeCell ref="M745:M747"/>
    <mergeCell ref="K734:K737"/>
    <mergeCell ref="L734:L737"/>
    <mergeCell ref="M734:M737"/>
    <mergeCell ref="N734:N737"/>
    <mergeCell ref="J735:J737"/>
    <mergeCell ref="L738:L740"/>
    <mergeCell ref="J739:J740"/>
    <mergeCell ref="K738:K740"/>
    <mergeCell ref="K741:K744"/>
    <mergeCell ref="L741:L744"/>
    <mergeCell ref="M741:M744"/>
    <mergeCell ref="N741:N744"/>
    <mergeCell ref="J742:J744"/>
    <mergeCell ref="N745:N747"/>
    <mergeCell ref="K745:K747"/>
    <mergeCell ref="J746:J747"/>
    <mergeCell ref="L748:L751"/>
    <mergeCell ref="M748:M751"/>
    <mergeCell ref="N748:N751"/>
    <mergeCell ref="I749:I751"/>
    <mergeCell ref="J749:J751"/>
    <mergeCell ref="K748:K751"/>
    <mergeCell ref="K752:K754"/>
    <mergeCell ref="L752:L754"/>
    <mergeCell ref="M752:M754"/>
    <mergeCell ref="N752:N754"/>
    <mergeCell ref="I753:I754"/>
    <mergeCell ref="J753:J754"/>
    <mergeCell ref="I756:I758"/>
    <mergeCell ref="I760:I761"/>
    <mergeCell ref="I763:I764"/>
    <mergeCell ref="I766:I769"/>
    <mergeCell ref="K755:K758"/>
    <mergeCell ref="L755:L758"/>
    <mergeCell ref="M755:M758"/>
    <mergeCell ref="N755:N758"/>
    <mergeCell ref="J756:J758"/>
    <mergeCell ref="K759:K761"/>
    <mergeCell ref="N759:N761"/>
    <mergeCell ref="J760:J761"/>
    <mergeCell ref="L759:L761"/>
    <mergeCell ref="M759:M761"/>
    <mergeCell ref="K762:K764"/>
    <mergeCell ref="L762:L764"/>
    <mergeCell ref="M762:M764"/>
    <mergeCell ref="N762:N764"/>
    <mergeCell ref="J763:J764"/>
  </mergeCells>
  <dataValidations>
    <dataValidation type="list" allowBlank="1" showErrorMessage="1" sqref="C7 C9 C11:C13 C15 C17 C20 C22 C24 C27 C30 C33 C36 C39 C42 C45 C48 C51 C54 C57 C60 C63 C66 C69 C72 C75 C78 C81:C82 C84 C87:C88 C90 C93:C94 C96:C97 C99 C102:C103 C105 C108 C111 C114 C117 C120 C123 C126 C129:C130 C132 C135 C138 C141 C144:C145 C147 C150 C154 C157:C158 C160:C161 C163 C166 C169 C175 C178:C179 C181:C182 C184:C185 C187 C190 C197 C200 C203 C206 C209 C217 C220 C228 C230:C231 C234 C237 C240 C249 C252 C257 C260 C263 C267 C270 C273 C276 C279 C282 C285:C286 C289 C292 C295:C296 C298 C300:C301 C305 C308 C311 C314:C315 C317 C320:C321 C323 C326 C330 C333 C335 C338 C342 C345 C348 C350:C351 C356 C359:C360 C362 C365 C368 C374 C377 C380 C383 C386 C392:C393 C395 C405 C408 C411 C416 C424 C432 C439 C444:C450 C452 C456:C458 C460 C466:C471 C478:C484 C487:C494 C497:C503 C507:C512 C514 C516:C521 C525:C531 C533 C536:C539 C541 C543:C546 C551:C554 C558:C562 C566:C569 C571 C573 C576:C578 C582:C584 C586 C589:C598 C600 C605:C612 C614 C618:C624 C628:C634 C640:C646 C649 C654:C656 C658:C660 C663:C668 C670 C673:C676 C679 C683:C687 C690 C692 C694:C697 C701 C703 C705 C708 C713 C715 C717 C720 C724 C727 C731 C734 C736 C738 C741 C743 C745:C746 C748 C750 C752:C753 C755 C757 C759:C783 C785 C787 C789 C791 C793 C795 C797:C805 C807:C820 C822:C830 C832 C834:C838 C842 C844 C846:C850 C852 C854 C856 C858 C860 C862:C864 C866 C868 C870 C872 C874:C878 C880 C882 C884 C886 C888 C890 C892 C894 C896 C898 C900 C902 C904 C906:C910 C914:C916 C918 C922 C926 C928 C930 C932 C934 C936 C938 C940 C942 C944 C946 C948 C950 C952 C954 C958 C962 C966 C970 C972 C974 C976 C978 C980 C982 C984 C986 C988 C990 C992 C994 C996 C998 C1000 C1002 C1004 C1006 C1008 C1010 C1012 C1014 C1016 C1018 C1020 C1022 C1024 C1026 C1028 C1030 C1032 C1034 C1036 C1038 C1040 C1042 C1044 C1046 C1048 C1050 C1052 C1054 C1056 C1058 C1060 C1062 C1066 C1068 C1070 C1074 C1076 C1078 C1082 C1084 C1086 C1090 C1092 C1094 C1098 C1100 C1102 C1106 C1108 C1110 C1114 C1116 C1118">
      <formula1>"401,402,403,404,405,406,407,408,409,410,411,412,413,414,415,416,417,418,419,420,421,422,423,424,425,426,427,428"</formula1>
    </dataValidation>
    <dataValidation type="list" allowBlank="1" showErrorMessage="1" sqref="B7 B9 B11 B13 B15 B17 B19:B20 B22 B24 B26:B27 B29:B30 B32:B33 B35:B36 B38:B39 B41:B42 B44:B45 B47:B48 B50:B51 B53:B54 B56:B57 B59:B60 B62:B63 B65:B66 B68:B69 B71:B72 B74:B75 B77:B78 B80:B81 B83:B84 B86:B87 B89:B90 B92:B93 B95:B96 B98:B99 B101:B102 B104:B105 B107:B108 B110:B111 B113:B114 B116:B117 B119:B120 B122:B123 B125:B126 B128:B129 B131:B132 B134:B135 B137:B138 B140:B141 B143:B144 B146:B147 B149:B150 B154 B156:B157 B159:B160 B162:B163 B165:B166 B168:B169 B175 B177:B178 B180:B181 B183:B184 B186:B187 B189:B190 B197 B199:B200 B202:B203 B205:B206 B208:B209 B217 B219:B220 B228 B230:B231 B233:B234 B236:B237 B239:B240 B249 B251:B252 B257 B259:B260 B262:B263 B265:B266 B270 B272:B273 B275:B276 B278:B279 B281:B282 B284:B286 B288:B289 B292 B294:B295 B297:B298 B300:B301 B303 B305 B307:B308 B311 B313:B314 B316:B317 B319:B320 B322:B323 B326 B328:B330 B332:B333 B335 B337:B338 B342 B344:B345 B347:B348 B351 B356 B358:B359 B361:B362 B364:B365 B367:B368 B374 B376:B377 B379:B380 B382:B383 B385:B386 B392 B395 B405 B411 B416 B424 B432 B439 B444 B449:B450 B456 B458 B460 B466 B468 B470:B471 B478 B481 B484 B487 B490 B493:B494 B497 B501 B503 B507 B512 B516 B521 B525 B531 B536 B539 B543 B546 B551 B554 B558 B561:B562 B566 B569 B573 B576 B578 B582 B584 B589 B593 B597:B598 B605 B612 B618 B622 B624 B628 B630 B632 B634 B640 B643:B644 B646 B654 B656 B658 B660 B664 B667 B670 B674 B676 B679 B683 B687 B690 B694 B697 B701 B705 B708 B713 B717 B720 B724 B727 B731 B734 B738 B741 B745 B748 B752 B755 B759:B760 B762 B765 B770 B773 B776 B779 B781 B783 B785 B787 B789 B791 B793 B795 B797 B799 B803 B807 B811 B816 B820 B822 B826 B830 B834 B838 B842 B846 B850 B854 B858 B862 B866 B870 B874 B878 B882 B886 B890 B894 B898 B902 B906 B910 B914 B918 B922 B926 B930 B934 B938 B942 B946 B950 B954 B958 B962 B966 B970 B974 B978 B982 B986 B990 B994 B998 B1002 B1006 B1010 B1014 B1018 B1022 B1026 B1030 B1034 B1038 B1042 B1046 B1050 B1054 B1058 B1062 B1066 B1070 B1074 B1078 B1082 B1086 B1090 B1094 B1098 B1102 B1106 B1110 B1114 B1118 B1122:B2073">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H7:H150 H154:H170 H175:H190 H197:H220 H228:H252 H257:H289 H292:H303 H305:H349 H351:H393 H395:H405 H411 H416 H424 H432 H439 H444:H445 H449:H450 H456:H460 H466:H471 H478:H479 H481:H482 H484 H487:H488 H490:H491 H493:H494 H497:H498 H501:H503 H507:H508 H512 H516:H517 H521 H525:H526 H531 H536:H537 H539 H543:H544 H546 H551:H552 H554 H558:H559 H562 H566:H567 H569 H573 H576:H578 H582:H584 H589:H590 H593:H594 H598 H605:H606 H612 H618:H619 H622:H624 H628:H629 H632:H634 H640:H641 H644:H646 H654:H655 H658:H660 H664:H665 H667:H668 H670 H674:H677 H679 H683:H684 H687:H688 H690:H691 H694:H695 H697 H701:H702 H705:H706 H708 H713:H714 H717:H718 H720:H721 H724:H725 H727:H728 H731:H732 H734:H735 H738:H739 H741:H742 H745:H746 H748:H749 H752:H753 H755:H756 H759:H760 H762:H763 H765:H766 H770:H771 H773:H774 H776:H777 H779:H797 H799 H803 H807 H811 H816 H820:H823 H826:H827 H830:H831 H834:H835 H838:H839 H842:H843 H846:H847 H850:H851 H854:H855 H858:H859 H862:H863 H866:H867 H870:H871 H874:H875 H878:H879 H882:H883 H886:H887 H890:H891 H894:H895 H898:H899 H902:H903 H906:H907 H910:H911 H914:H915 H918:H919 H922:H923 H926:H927 H930:H931 H934:H935 H938:H939 H942:H943 H946:H947 H950:H951 H954:H955 H958:H959 H962:H963 H966:H967 H970:H971 H974:H975 H978:H979 H982:H983 H986:H987 H990:H991 H994:H995 H998:H999 H1002:H1003 H1006:H1007 H1010:H1011 H1014:H1015 H1018:H1019 H1022:H1023 H1026:H1027 H1030:H1031 H1034:H1035 H1038:H1039 H1042:H1043 H1046:H1047 H1050:H1051 H1054:H1055 H1058:H1059 H1062:H1063 H1066:H1067 H1070:H1071 H1074:H1075 H1078:H1079 H1082:H1083 H1086:H1087 H1090:H1091 H1094:H1095 H1098:H1099 H1102:H1103 H1106:H1107 H1110:H1111 H1114:H1115 H1118:H1119 H1122:H2073">
      <formula1>"Caporale,ouvrier"</formula1>
    </dataValidation>
    <dataValidation type="list" allowBlank="1" showErrorMessage="1" sqref="G7 G9 G11 G13 G15 G17 G20 G22 G24 G27 G30 G33 G36 G39 G42 G45 G48 G51 G54 G57 G60 G63 G66 G69 G72 G75 G78 G81 G84 G87 G90 G93 G96 G99 G102 G105 G108 G111 G114 G117 G120 G123 G126 G129 G132 G135 G138 G141 G144 G147 G150 G154 G157 G160 G163 G166 G169 G175 G178 G181 G184 G187 G190 G197 G200 G203 G206 G217 G220 G228 G231 G234 G237 G249 G252 G257 G260 G263 G270 G273 G276 G279 G282 G286 G289 G292 G295 G298 G301 G305 G308 G311 G314 G317 G320 G323 G326 G330 G333 G335 G338 G342 G345 G348 G351 G356 G359 G362 G365 G368 G374 G377 G380 G383 G386 G392 G395 G405 G411 G416 G424 G432 G439 G444 G449:G450 G456 G458 G460 G466 G468 G470:G471 G478 G481 G484 G487 G490 G493:G494 G497 G501 G503 G507 G512 G516 G521 G525 G531 G536 G539 G543 G546 G551 G554 G558 G562 G566 G569 G573 G576 G578 G582 G584 G589 G593 G598 G605 G612 G618 G622 G624 G628 G632 G634 G640 G644 G646 G654 G658 G660 G664 G667 G670 G674 G676 G679 G683 G687 G690 G694 G697 G701 G705 G708 G713 G717 G720 G724 G727 G731 G734 G738 G741 G745 G748 G752 G755 G759 G762 G765 G770 G773 G776 G779 G781 G783 G785 G787 G789 G791 G793 G795 G797 G799 G803 G807 G811 G816 G820 G822 G826 G830 G834 G838 G842 G846 G850 G854 G858 G862 G866 G870 G874 G878 G882 G886 G890 G894 G898 G902 G906 G910 G914 G918 G922 G926 G930 G934 G938 G942 G946 G950 G954 G958 G962 G966 G970 G974 G978 G982 G986 G990 G994 G998 G1002 G1006 G1010 G1014 G1018 G1022 G1026 G1030 G1034 G1038 G1042 G1046 G1050 G1054 G1058 G1062 G1066 G1070 G1074 G1078 G1082 G1086 G1090 G1094 G1098 G1102 G1106 G1110 G1114 G1118 G1122:G2073">
      <formula1>"HE,JRS "</formula1>
    </dataValidation>
  </dataValidations>
  <printOptions gridLines="1" horizontalCentered="1"/>
  <pageMargins bottom="0.0" footer="0.0" header="0.0" left="0.0" right="0.0" top="0.0"/>
  <pageSetup cellComments="atEnd" orientation="portrait" pageOrder="overThenDown" paperHeight="27.16535433070866in" paperWidth="21.65354330708661i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75" outlineLevelRow="1"/>
  <cols>
    <col customWidth="1" min="1" max="1" width="16.63"/>
    <col customWidth="1" min="2" max="2" width="25.88"/>
    <col customWidth="1" min="3" max="3" width="10.63"/>
    <col customWidth="1" min="4" max="4" width="16.5"/>
    <col customWidth="1" min="5" max="5" width="17.0"/>
    <col customWidth="1" min="6" max="6" width="34.38"/>
  </cols>
  <sheetData>
    <row r="1" ht="6.75" customHeight="1">
      <c r="A1" s="3"/>
      <c r="C1" s="2" t="s">
        <v>260</v>
      </c>
      <c r="G1" s="3"/>
      <c r="H1" s="3"/>
      <c r="I1" s="3"/>
      <c r="J1" s="3"/>
      <c r="K1" s="3"/>
      <c r="L1" s="3"/>
      <c r="M1" s="3"/>
    </row>
    <row r="2" ht="6.75" customHeight="1">
      <c r="G2" s="3"/>
      <c r="H2" s="3"/>
      <c r="I2" s="3"/>
      <c r="J2" s="3"/>
      <c r="K2" s="3"/>
      <c r="L2" s="3"/>
      <c r="M2" s="3"/>
    </row>
    <row r="3" ht="6.75" customHeight="1">
      <c r="G3" s="3"/>
      <c r="H3" s="3"/>
      <c r="I3" s="3"/>
      <c r="J3" s="3"/>
      <c r="K3" s="3"/>
      <c r="L3" s="3"/>
      <c r="M3" s="3"/>
    </row>
    <row r="4" ht="6.75" customHeight="1">
      <c r="G4" s="3"/>
      <c r="H4" s="3"/>
      <c r="I4" s="3"/>
      <c r="J4" s="3"/>
      <c r="K4" s="3"/>
      <c r="L4" s="3"/>
      <c r="M4" s="3"/>
    </row>
    <row r="5" ht="6.75" customHeight="1">
      <c r="C5" s="3"/>
      <c r="D5" s="3"/>
      <c r="E5" s="3"/>
      <c r="F5" s="5"/>
      <c r="G5" s="3"/>
      <c r="H5" s="3"/>
      <c r="I5" s="3"/>
      <c r="J5" s="3"/>
      <c r="K5" s="3"/>
      <c r="L5" s="3"/>
      <c r="M5" s="3"/>
    </row>
    <row r="6" ht="20.25" customHeight="1">
      <c r="A6" s="479"/>
      <c r="B6" s="479"/>
      <c r="C6" s="479"/>
      <c r="D6" s="479"/>
      <c r="E6" s="479"/>
      <c r="F6" s="479"/>
      <c r="G6" s="480"/>
      <c r="H6" s="479"/>
      <c r="I6" s="479"/>
      <c r="J6" s="479"/>
      <c r="K6" s="479"/>
      <c r="L6" s="479"/>
      <c r="M6" s="479"/>
    </row>
    <row r="7" ht="20.25" customHeight="1">
      <c r="A7" s="6"/>
      <c r="B7" s="6"/>
      <c r="C7" s="6"/>
      <c r="D7" s="6"/>
      <c r="E7" s="6"/>
      <c r="F7" s="6"/>
      <c r="G7" s="7"/>
      <c r="H7" s="6"/>
      <c r="I7" s="6"/>
      <c r="J7" s="6"/>
      <c r="K7" s="6"/>
      <c r="L7" s="6"/>
      <c r="M7" s="6"/>
    </row>
    <row r="8" ht="20.25" customHeight="1">
      <c r="A8" s="6" t="s">
        <v>1</v>
      </c>
      <c r="B8" s="6" t="s">
        <v>2</v>
      </c>
      <c r="C8" s="6" t="s">
        <v>3</v>
      </c>
      <c r="D8" s="6" t="s">
        <v>4</v>
      </c>
      <c r="E8" s="6" t="s">
        <v>5</v>
      </c>
      <c r="F8" s="6" t="s">
        <v>32</v>
      </c>
      <c r="G8" s="7" t="s">
        <v>7</v>
      </c>
      <c r="H8" s="6" t="s">
        <v>8</v>
      </c>
      <c r="I8" s="6" t="s">
        <v>9</v>
      </c>
      <c r="J8" s="6" t="s">
        <v>10</v>
      </c>
      <c r="K8" s="6" t="s">
        <v>261</v>
      </c>
      <c r="L8" s="6" t="s">
        <v>20</v>
      </c>
      <c r="M8" s="6" t="s">
        <v>33</v>
      </c>
    </row>
    <row r="9" ht="20.25" customHeight="1">
      <c r="A9" s="482">
        <v>46177.0</v>
      </c>
      <c r="B9" s="25" t="s">
        <v>21</v>
      </c>
      <c r="C9" s="483">
        <v>502.0</v>
      </c>
      <c r="D9" s="484">
        <f t="array" ref="D9">IFERROR(_xlfn.XLOOKUP(C9,Code!A:A,Code!B:B),"")</f>
        <v>0.81</v>
      </c>
      <c r="E9" s="485" t="s">
        <v>263</v>
      </c>
      <c r="F9" s="312"/>
      <c r="G9" s="14" t="s">
        <v>17</v>
      </c>
      <c r="H9" s="14" t="s">
        <v>25</v>
      </c>
      <c r="I9" s="14">
        <v>1.0</v>
      </c>
      <c r="J9" s="14"/>
      <c r="K9" s="14"/>
      <c r="L9" s="14"/>
      <c r="M9" s="14"/>
    </row>
    <row r="10" ht="20.25" customHeight="1">
      <c r="A10" s="20"/>
      <c r="B10" s="20"/>
      <c r="C10" s="20"/>
      <c r="D10" s="20"/>
      <c r="E10" s="311"/>
      <c r="F10" s="38"/>
      <c r="G10" s="14" t="s">
        <v>17</v>
      </c>
      <c r="H10" s="14" t="s">
        <v>18</v>
      </c>
      <c r="I10" s="14">
        <v>10.0</v>
      </c>
      <c r="J10" s="14"/>
      <c r="K10" s="14"/>
      <c r="L10" s="14"/>
      <c r="M10" s="14"/>
    </row>
    <row r="11" ht="20.25" customHeight="1">
      <c r="A11" s="482">
        <v>46178.0</v>
      </c>
      <c r="B11" s="25" t="s">
        <v>21</v>
      </c>
      <c r="C11" s="14">
        <v>502.0</v>
      </c>
      <c r="D11" s="484">
        <f t="array" ref="D11">IFERROR(_xlfn.XLOOKUP(C11,Code!A:A,Code!B:B),"")</f>
        <v>0.81</v>
      </c>
      <c r="E11" s="13" t="s">
        <v>23</v>
      </c>
      <c r="F11" s="13" t="s">
        <v>48</v>
      </c>
      <c r="G11" s="14" t="s">
        <v>17</v>
      </c>
      <c r="H11" s="14" t="s">
        <v>25</v>
      </c>
      <c r="I11" s="14">
        <v>1.0</v>
      </c>
      <c r="J11" s="14">
        <v>120.0</v>
      </c>
      <c r="K11" s="14">
        <v>120.0</v>
      </c>
      <c r="L11" s="13">
        <v>25.0</v>
      </c>
      <c r="M11" s="13">
        <v>375.0</v>
      </c>
    </row>
    <row r="12" ht="20.25" customHeight="1">
      <c r="A12" s="20"/>
      <c r="B12" s="20"/>
      <c r="C12" s="14"/>
      <c r="D12" s="20"/>
      <c r="E12" s="20"/>
      <c r="F12" s="20"/>
      <c r="G12" s="14" t="s">
        <v>17</v>
      </c>
      <c r="H12" s="14" t="s">
        <v>18</v>
      </c>
      <c r="I12" s="14">
        <v>14.0</v>
      </c>
      <c r="J12" s="14">
        <v>100.0</v>
      </c>
      <c r="K12" s="14">
        <v>1400.0</v>
      </c>
      <c r="L12" s="20"/>
      <c r="M12" s="20"/>
    </row>
    <row r="13" ht="20.25" customHeight="1">
      <c r="A13" s="482">
        <v>46179.0</v>
      </c>
      <c r="B13" s="25" t="s">
        <v>21</v>
      </c>
      <c r="C13" s="14">
        <v>502.0</v>
      </c>
      <c r="D13" s="484">
        <f t="array" ref="D13">IFERROR(_xlfn.XLOOKUP(C13,Code!A:A,Code!B:B),"")</f>
        <v>0.81</v>
      </c>
      <c r="E13" s="13" t="s">
        <v>23</v>
      </c>
      <c r="F13" s="13" t="s">
        <v>48</v>
      </c>
      <c r="G13" s="14" t="s">
        <v>17</v>
      </c>
      <c r="H13" s="14" t="s">
        <v>25</v>
      </c>
      <c r="I13" s="14">
        <v>1.0</v>
      </c>
      <c r="J13" s="14">
        <v>120.0</v>
      </c>
      <c r="K13" s="14">
        <v>120.0</v>
      </c>
      <c r="L13" s="13">
        <v>25.0</v>
      </c>
      <c r="M13" s="13">
        <v>375.0</v>
      </c>
    </row>
    <row r="14" ht="20.25" customHeight="1">
      <c r="A14" s="20"/>
      <c r="B14" s="20"/>
      <c r="C14" s="14"/>
      <c r="D14" s="20"/>
      <c r="E14" s="20"/>
      <c r="F14" s="20"/>
      <c r="G14" s="14" t="s">
        <v>17</v>
      </c>
      <c r="H14" s="14" t="s">
        <v>18</v>
      </c>
      <c r="I14" s="14">
        <v>13.5</v>
      </c>
      <c r="J14" s="14">
        <v>100.0</v>
      </c>
      <c r="K14" s="14">
        <v>1350.0</v>
      </c>
      <c r="L14" s="20"/>
      <c r="M14" s="20"/>
    </row>
    <row r="15" ht="20.25" customHeight="1">
      <c r="A15" s="482">
        <v>46181.0</v>
      </c>
      <c r="B15" s="25" t="s">
        <v>21</v>
      </c>
      <c r="C15" s="14">
        <v>502.0</v>
      </c>
      <c r="D15" s="484">
        <f t="array" ref="D15">IFERROR(_xlfn.XLOOKUP(C15,Code!A:A,Code!B:B),"")</f>
        <v>0.81</v>
      </c>
      <c r="E15" s="13" t="s">
        <v>23</v>
      </c>
      <c r="F15" s="13" t="s">
        <v>48</v>
      </c>
      <c r="G15" s="14" t="s">
        <v>17</v>
      </c>
      <c r="H15" s="14" t="s">
        <v>25</v>
      </c>
      <c r="I15" s="14">
        <v>1.0</v>
      </c>
      <c r="J15" s="14">
        <v>120.0</v>
      </c>
      <c r="K15" s="14">
        <v>120.0</v>
      </c>
      <c r="L15" s="13">
        <v>25.0</v>
      </c>
      <c r="M15" s="13">
        <v>350.0</v>
      </c>
    </row>
    <row r="16" ht="20.25" customHeight="1">
      <c r="A16" s="20"/>
      <c r="B16" s="20"/>
      <c r="C16" s="14">
        <v>504.0</v>
      </c>
      <c r="D16" s="20"/>
      <c r="E16" s="20"/>
      <c r="F16" s="20"/>
      <c r="G16" s="14" t="s">
        <v>17</v>
      </c>
      <c r="H16" s="14" t="s">
        <v>18</v>
      </c>
      <c r="I16" s="14">
        <v>13.0</v>
      </c>
      <c r="J16" s="14">
        <v>100.0</v>
      </c>
      <c r="K16" s="14">
        <v>1300.0</v>
      </c>
      <c r="L16" s="20"/>
      <c r="M16" s="20"/>
    </row>
    <row r="17" ht="20.25" customHeight="1">
      <c r="A17" s="8">
        <v>46184.0</v>
      </c>
      <c r="B17" s="27" t="s">
        <v>21</v>
      </c>
      <c r="C17" s="14">
        <v>504.0</v>
      </c>
      <c r="D17" s="484">
        <f t="array" ref="D17">IFERROR(_xlfn.XLOOKUP(C17,Code!A:A,Code!B:B),"")</f>
        <v>1.04</v>
      </c>
      <c r="E17" s="13" t="s">
        <v>23</v>
      </c>
      <c r="F17" s="13" t="s">
        <v>48</v>
      </c>
      <c r="G17" s="14" t="s">
        <v>17</v>
      </c>
      <c r="H17" s="14" t="s">
        <v>25</v>
      </c>
      <c r="I17" s="14">
        <v>1.0</v>
      </c>
      <c r="J17" s="14">
        <v>120.0</v>
      </c>
      <c r="K17" s="14">
        <v>120.0</v>
      </c>
      <c r="L17" s="13">
        <v>25.0</v>
      </c>
      <c r="M17" s="13">
        <v>500.0</v>
      </c>
    </row>
    <row r="18" ht="20.25" customHeight="1">
      <c r="A18" s="20"/>
      <c r="B18" s="27"/>
      <c r="C18" s="14"/>
      <c r="D18" s="20"/>
      <c r="E18" s="20"/>
      <c r="F18" s="20"/>
      <c r="G18" s="14" t="s">
        <v>17</v>
      </c>
      <c r="H18" s="14" t="s">
        <v>18</v>
      </c>
      <c r="I18" s="14">
        <v>19.0</v>
      </c>
      <c r="J18" s="14">
        <v>100.0</v>
      </c>
      <c r="K18" s="14">
        <v>1900.0</v>
      </c>
      <c r="L18" s="20"/>
      <c r="M18" s="20"/>
    </row>
    <row r="19" ht="20.25" customHeight="1">
      <c r="A19" s="8">
        <v>46185.0</v>
      </c>
      <c r="B19" s="25" t="s">
        <v>21</v>
      </c>
      <c r="C19" s="13">
        <v>509.0</v>
      </c>
      <c r="D19" s="484">
        <f t="array" ref="D19">IFERROR(_xlfn.XLOOKUP(C19,Code!A:A,Code!B:B),"")</f>
        <v>0.74</v>
      </c>
      <c r="E19" s="13" t="s">
        <v>23</v>
      </c>
      <c r="F19" s="13" t="s">
        <v>48</v>
      </c>
      <c r="G19" s="14" t="s">
        <v>17</v>
      </c>
      <c r="H19" s="14" t="s">
        <v>25</v>
      </c>
      <c r="I19" s="14">
        <v>1.0</v>
      </c>
      <c r="J19" s="14">
        <v>120.0</v>
      </c>
      <c r="K19" s="14">
        <f>I19*120</f>
        <v>120</v>
      </c>
      <c r="L19" s="13">
        <v>25.0</v>
      </c>
      <c r="M19" s="13">
        <f>25*22</f>
        <v>550</v>
      </c>
    </row>
    <row r="20" ht="20.25" customHeight="1">
      <c r="A20" s="20"/>
      <c r="B20" s="20"/>
      <c r="C20" s="20"/>
      <c r="D20" s="20"/>
      <c r="E20" s="20"/>
      <c r="F20" s="20"/>
      <c r="G20" s="14" t="s">
        <v>17</v>
      </c>
      <c r="H20" s="14" t="s">
        <v>18</v>
      </c>
      <c r="I20" s="14">
        <v>21.0</v>
      </c>
      <c r="J20" s="14">
        <v>100.0</v>
      </c>
      <c r="K20" s="14">
        <f t="shared" ref="K20:K22" si="1">I20*J20</f>
        <v>2100</v>
      </c>
      <c r="L20" s="20"/>
      <c r="M20" s="20"/>
    </row>
    <row r="21" ht="20.25" customHeight="1">
      <c r="A21" s="8">
        <v>46186.0</v>
      </c>
      <c r="B21" s="25" t="s">
        <v>21</v>
      </c>
      <c r="C21" s="13">
        <v>508.0</v>
      </c>
      <c r="D21" s="484">
        <f t="array" ref="D21">IFERROR(_xlfn.XLOOKUP(C21,Code!A:A,Code!B:B),"")</f>
        <v>1.01</v>
      </c>
      <c r="E21" s="13" t="s">
        <v>23</v>
      </c>
      <c r="F21" s="13" t="s">
        <v>48</v>
      </c>
      <c r="G21" s="14" t="s">
        <v>17</v>
      </c>
      <c r="H21" s="14" t="s">
        <v>25</v>
      </c>
      <c r="I21" s="14">
        <v>1.0</v>
      </c>
      <c r="J21" s="14">
        <v>120.0</v>
      </c>
      <c r="K21" s="14">
        <f t="shared" si="1"/>
        <v>120</v>
      </c>
      <c r="L21" s="13">
        <v>25.0</v>
      </c>
      <c r="M21" s="13">
        <f>21*25</f>
        <v>525</v>
      </c>
    </row>
    <row r="22" ht="20.25" customHeight="1">
      <c r="A22" s="20"/>
      <c r="B22" s="20"/>
      <c r="C22" s="20"/>
      <c r="D22" s="20"/>
      <c r="E22" s="20"/>
      <c r="F22" s="20"/>
      <c r="G22" s="14" t="s">
        <v>17</v>
      </c>
      <c r="H22" s="14" t="s">
        <v>18</v>
      </c>
      <c r="I22" s="14">
        <v>20.0</v>
      </c>
      <c r="J22" s="14">
        <v>100.0</v>
      </c>
      <c r="K22" s="14">
        <f t="shared" si="1"/>
        <v>2000</v>
      </c>
      <c r="L22" s="20"/>
      <c r="M22" s="20"/>
    </row>
    <row r="23" ht="20.25" customHeight="1">
      <c r="A23" s="8">
        <v>46188.0</v>
      </c>
      <c r="B23" s="25" t="s">
        <v>40</v>
      </c>
      <c r="C23" s="13">
        <v>519.0</v>
      </c>
      <c r="D23" s="484">
        <f t="array" ref="D23">IFERROR(_xlfn.XLOOKUP(C23,Code!A:A,Code!B:B),"")</f>
        <v>0.87</v>
      </c>
      <c r="E23" s="13" t="s">
        <v>23</v>
      </c>
      <c r="F23" s="13" t="s">
        <v>48</v>
      </c>
      <c r="G23" s="14" t="s">
        <v>17</v>
      </c>
      <c r="H23" s="14" t="s">
        <v>25</v>
      </c>
      <c r="I23" s="14">
        <v>1.0</v>
      </c>
      <c r="J23" s="14">
        <v>120.0</v>
      </c>
      <c r="K23" s="14">
        <v>120.0</v>
      </c>
      <c r="L23" s="13">
        <v>25.0</v>
      </c>
      <c r="M23" s="13">
        <v>525.0</v>
      </c>
    </row>
    <row r="24" ht="20.25" customHeight="1">
      <c r="A24" s="20"/>
      <c r="B24" s="20"/>
      <c r="C24" s="20"/>
      <c r="D24" s="20"/>
      <c r="E24" s="20"/>
      <c r="F24" s="20"/>
      <c r="G24" s="14" t="s">
        <v>17</v>
      </c>
      <c r="H24" s="14" t="s">
        <v>18</v>
      </c>
      <c r="I24" s="14">
        <v>20.0</v>
      </c>
      <c r="J24" s="14">
        <v>100.0</v>
      </c>
      <c r="K24" s="14">
        <v>2000.0</v>
      </c>
      <c r="L24" s="20"/>
      <c r="M24" s="20"/>
    </row>
    <row r="25" ht="20.25" customHeight="1">
      <c r="A25" s="8">
        <v>46189.0</v>
      </c>
      <c r="B25" s="25" t="s">
        <v>40</v>
      </c>
      <c r="C25" s="13">
        <v>519.0</v>
      </c>
      <c r="D25" s="484">
        <f t="array" ref="D25">IFERROR(_xlfn.XLOOKUP(C25,Code!A:A,Code!B:B),"")</f>
        <v>0.87</v>
      </c>
      <c r="E25" s="13" t="s">
        <v>23</v>
      </c>
      <c r="F25" s="13" t="s">
        <v>48</v>
      </c>
      <c r="G25" s="14" t="s">
        <v>17</v>
      </c>
      <c r="H25" s="14" t="s">
        <v>25</v>
      </c>
      <c r="I25" s="14">
        <v>1.0</v>
      </c>
      <c r="J25" s="14">
        <v>120.0</v>
      </c>
      <c r="K25" s="14">
        <v>120.0</v>
      </c>
      <c r="L25" s="13">
        <v>25.0</v>
      </c>
      <c r="M25" s="13">
        <v>525.0</v>
      </c>
    </row>
    <row r="26" ht="20.25" customHeight="1">
      <c r="A26" s="20"/>
      <c r="B26" s="20"/>
      <c r="C26" s="20"/>
      <c r="D26" s="20"/>
      <c r="E26" s="20"/>
      <c r="F26" s="20"/>
      <c r="G26" s="14" t="s">
        <v>17</v>
      </c>
      <c r="H26" s="14" t="s">
        <v>18</v>
      </c>
      <c r="I26" s="14">
        <v>20.0</v>
      </c>
      <c r="J26" s="14">
        <v>100.0</v>
      </c>
      <c r="K26" s="14">
        <v>2000.0</v>
      </c>
      <c r="L26" s="20"/>
      <c r="M26" s="20"/>
    </row>
    <row r="27" ht="20.25" customHeight="1">
      <c r="A27" s="8">
        <v>46190.0</v>
      </c>
      <c r="B27" s="25" t="s">
        <v>40</v>
      </c>
      <c r="C27" s="14">
        <v>519.0</v>
      </c>
      <c r="D27" s="484">
        <f t="array" ref="D27">IFERROR(_xlfn.XLOOKUP(C27,Code!A:A,Code!B:B),"")</f>
        <v>0.87</v>
      </c>
      <c r="E27" s="13" t="s">
        <v>23</v>
      </c>
      <c r="F27" s="13" t="s">
        <v>48</v>
      </c>
      <c r="G27" s="14" t="s">
        <v>17</v>
      </c>
      <c r="H27" s="14" t="s">
        <v>25</v>
      </c>
      <c r="I27" s="14">
        <v>1.0</v>
      </c>
      <c r="J27" s="14">
        <v>120.0</v>
      </c>
      <c r="K27" s="14">
        <v>120.0</v>
      </c>
      <c r="L27" s="13">
        <v>25.0</v>
      </c>
      <c r="M27" s="13">
        <v>525.0</v>
      </c>
    </row>
    <row r="28" ht="20.25" customHeight="1">
      <c r="A28" s="20"/>
      <c r="B28" s="20"/>
      <c r="C28" s="14">
        <v>513.0</v>
      </c>
      <c r="D28" s="20"/>
      <c r="E28" s="20"/>
      <c r="F28" s="20"/>
      <c r="G28" s="14" t="s">
        <v>17</v>
      </c>
      <c r="H28" s="14" t="s">
        <v>18</v>
      </c>
      <c r="I28" s="14">
        <v>20.0</v>
      </c>
      <c r="J28" s="14">
        <v>100.0</v>
      </c>
      <c r="K28" s="14">
        <v>2000.0</v>
      </c>
      <c r="L28" s="20"/>
      <c r="M28" s="20"/>
    </row>
    <row r="29" ht="20.25" customHeight="1">
      <c r="A29" s="8">
        <v>46191.0</v>
      </c>
      <c r="B29" s="25" t="s">
        <v>40</v>
      </c>
      <c r="C29" s="14">
        <v>515.0</v>
      </c>
      <c r="D29" s="484">
        <f t="array" ref="D29">IFERROR(_xlfn.XLOOKUP(C29,Code!A:A,Code!B:B),"")</f>
        <v>0.98</v>
      </c>
      <c r="E29" s="13" t="s">
        <v>23</v>
      </c>
      <c r="F29" s="13" t="s">
        <v>48</v>
      </c>
      <c r="G29" s="14" t="s">
        <v>17</v>
      </c>
      <c r="H29" s="14" t="s">
        <v>25</v>
      </c>
      <c r="I29" s="14">
        <v>1.0</v>
      </c>
      <c r="J29" s="14">
        <v>120.0</v>
      </c>
      <c r="K29" s="14">
        <v>120.0</v>
      </c>
      <c r="L29" s="13">
        <v>25.0</v>
      </c>
      <c r="M29" s="13">
        <v>525.0</v>
      </c>
    </row>
    <row r="30" ht="20.25" customHeight="1">
      <c r="A30" s="20"/>
      <c r="B30" s="20"/>
      <c r="C30" s="14">
        <v>513.0</v>
      </c>
      <c r="D30" s="20"/>
      <c r="E30" s="20"/>
      <c r="F30" s="20"/>
      <c r="G30" s="14" t="s">
        <v>17</v>
      </c>
      <c r="H30" s="14" t="s">
        <v>18</v>
      </c>
      <c r="I30" s="14">
        <v>20.0</v>
      </c>
      <c r="J30" s="14">
        <v>100.0</v>
      </c>
      <c r="K30" s="14">
        <v>2000.0</v>
      </c>
      <c r="L30" s="20"/>
      <c r="M30" s="20"/>
    </row>
    <row r="31" ht="20.25" customHeight="1">
      <c r="A31" s="8">
        <v>46192.0</v>
      </c>
      <c r="B31" s="25" t="s">
        <v>40</v>
      </c>
      <c r="C31" s="14">
        <v>515.0</v>
      </c>
      <c r="D31" s="484">
        <f t="array" ref="D31">IFERROR(_xlfn.XLOOKUP(C31,Code!A:A,Code!B:B),"")</f>
        <v>0.98</v>
      </c>
      <c r="E31" s="13" t="s">
        <v>23</v>
      </c>
      <c r="F31" s="13" t="s">
        <v>48</v>
      </c>
      <c r="G31" s="14" t="s">
        <v>17</v>
      </c>
      <c r="H31" s="14" t="s">
        <v>25</v>
      </c>
      <c r="I31" s="14">
        <v>1.0</v>
      </c>
      <c r="J31" s="14">
        <v>120.0</v>
      </c>
      <c r="K31" s="14">
        <v>120.0</v>
      </c>
      <c r="L31" s="13">
        <v>25.0</v>
      </c>
      <c r="M31" s="13">
        <v>525.0</v>
      </c>
    </row>
    <row r="32" ht="20.25" customHeight="1">
      <c r="A32" s="20"/>
      <c r="B32" s="20"/>
      <c r="C32" s="14">
        <v>514.0</v>
      </c>
      <c r="D32" s="20"/>
      <c r="E32" s="20"/>
      <c r="F32" s="20"/>
      <c r="G32" s="14" t="s">
        <v>17</v>
      </c>
      <c r="H32" s="14" t="s">
        <v>18</v>
      </c>
      <c r="I32" s="14">
        <v>20.0</v>
      </c>
      <c r="J32" s="14">
        <v>100.0</v>
      </c>
      <c r="K32" s="14">
        <v>2000.0</v>
      </c>
      <c r="L32" s="20"/>
      <c r="M32" s="20"/>
    </row>
    <row r="33" ht="20.25" customHeight="1">
      <c r="A33" s="8">
        <v>46193.0</v>
      </c>
      <c r="B33" s="25" t="s">
        <v>40</v>
      </c>
      <c r="C33" s="14">
        <v>516.0</v>
      </c>
      <c r="D33" s="484">
        <f t="array" ref="D33">IFERROR(_xlfn.XLOOKUP(C33,Code!A:A,Code!B:B),"")</f>
        <v>0.73</v>
      </c>
      <c r="E33" s="13" t="s">
        <v>23</v>
      </c>
      <c r="F33" s="13" t="s">
        <v>48</v>
      </c>
      <c r="G33" s="14" t="s">
        <v>17</v>
      </c>
      <c r="H33" s="14" t="s">
        <v>25</v>
      </c>
      <c r="I33" s="14">
        <v>1.0</v>
      </c>
      <c r="J33" s="14">
        <v>120.0</v>
      </c>
      <c r="K33" s="14">
        <v>120.0</v>
      </c>
      <c r="L33" s="13">
        <v>25.0</v>
      </c>
      <c r="M33" s="13">
        <v>525.0</v>
      </c>
    </row>
    <row r="34" ht="20.25" customHeight="1">
      <c r="A34" s="20"/>
      <c r="B34" s="20"/>
      <c r="C34" s="14">
        <v>517.0</v>
      </c>
      <c r="D34" s="20"/>
      <c r="E34" s="20"/>
      <c r="F34" s="20"/>
      <c r="G34" s="14" t="s">
        <v>17</v>
      </c>
      <c r="H34" s="14" t="s">
        <v>18</v>
      </c>
      <c r="I34" s="14">
        <v>20.0</v>
      </c>
      <c r="J34" s="14">
        <v>100.0</v>
      </c>
      <c r="K34" s="14">
        <v>2000.0</v>
      </c>
      <c r="L34" s="20"/>
      <c r="M34" s="20"/>
    </row>
    <row r="35" ht="20.25" customHeight="1">
      <c r="A35" s="8">
        <v>46195.0</v>
      </c>
      <c r="B35" s="25" t="s">
        <v>40</v>
      </c>
      <c r="C35" s="14">
        <v>516.0</v>
      </c>
      <c r="D35" s="484">
        <f t="array" ref="D35">IFERROR(_xlfn.XLOOKUP(C35,Code!A:A,Code!B:B),"")</f>
        <v>0.73</v>
      </c>
      <c r="E35" s="13" t="s">
        <v>23</v>
      </c>
      <c r="F35" s="13" t="s">
        <v>48</v>
      </c>
      <c r="G35" s="14" t="s">
        <v>17</v>
      </c>
      <c r="H35" s="14" t="s">
        <v>25</v>
      </c>
      <c r="I35" s="14">
        <v>1.0</v>
      </c>
      <c r="J35" s="14">
        <v>120.0</v>
      </c>
      <c r="K35" s="14">
        <v>120.0</v>
      </c>
      <c r="L35" s="13">
        <v>25.0</v>
      </c>
      <c r="M35" s="13">
        <v>525.0</v>
      </c>
    </row>
    <row r="36" ht="20.25" customHeight="1">
      <c r="A36" s="20"/>
      <c r="B36" s="20"/>
      <c r="C36" s="14">
        <v>518.0</v>
      </c>
      <c r="D36" s="20"/>
      <c r="E36" s="20"/>
      <c r="F36" s="20"/>
      <c r="G36" s="14" t="s">
        <v>17</v>
      </c>
      <c r="H36" s="14" t="s">
        <v>18</v>
      </c>
      <c r="I36" s="14">
        <v>20.0</v>
      </c>
      <c r="J36" s="14">
        <v>100.0</v>
      </c>
      <c r="K36" s="14">
        <v>2000.0</v>
      </c>
      <c r="L36" s="20"/>
      <c r="M36" s="20"/>
    </row>
    <row r="37" ht="20.25" customHeight="1">
      <c r="A37" s="8">
        <v>46196.0</v>
      </c>
      <c r="B37" s="25" t="s">
        <v>40</v>
      </c>
      <c r="C37" s="14">
        <v>519.0</v>
      </c>
      <c r="D37" s="484">
        <f t="array" ref="D37">IFERROR(_xlfn.XLOOKUP(C37,Code!A:A,Code!B:B),"")</f>
        <v>0.87</v>
      </c>
      <c r="E37" s="13" t="s">
        <v>23</v>
      </c>
      <c r="F37" s="13" t="s">
        <v>48</v>
      </c>
      <c r="G37" s="14" t="s">
        <v>17</v>
      </c>
      <c r="H37" s="14" t="s">
        <v>25</v>
      </c>
      <c r="I37" s="14">
        <v>1.0</v>
      </c>
      <c r="J37" s="14">
        <v>120.0</v>
      </c>
      <c r="K37" s="14">
        <v>120.0</v>
      </c>
      <c r="L37" s="13">
        <v>25.0</v>
      </c>
      <c r="M37" s="13">
        <v>525.0</v>
      </c>
    </row>
    <row r="38" ht="20.25" customHeight="1">
      <c r="A38" s="20"/>
      <c r="B38" s="20"/>
      <c r="C38" s="14">
        <v>518.0</v>
      </c>
      <c r="D38" s="20"/>
      <c r="E38" s="20"/>
      <c r="F38" s="20"/>
      <c r="G38" s="14" t="s">
        <v>17</v>
      </c>
      <c r="H38" s="14" t="s">
        <v>18</v>
      </c>
      <c r="I38" s="14">
        <v>20.0</v>
      </c>
      <c r="J38" s="14">
        <v>100.0</v>
      </c>
      <c r="K38" s="14">
        <v>2000.0</v>
      </c>
      <c r="L38" s="20"/>
      <c r="M38" s="20"/>
    </row>
    <row r="39" ht="20.25" customHeight="1">
      <c r="A39" s="8">
        <v>46197.0</v>
      </c>
      <c r="B39" s="25" t="s">
        <v>40</v>
      </c>
      <c r="C39" s="14">
        <v>520.0</v>
      </c>
      <c r="D39" s="484">
        <f t="array" ref="D39">IFERROR(_xlfn.XLOOKUP(C39,Code!A:A,Code!B:B),"")</f>
        <v>0.89</v>
      </c>
      <c r="E39" s="13" t="s">
        <v>23</v>
      </c>
      <c r="F39" s="13" t="s">
        <v>48</v>
      </c>
      <c r="G39" s="14" t="s">
        <v>17</v>
      </c>
      <c r="H39" s="14" t="s">
        <v>25</v>
      </c>
      <c r="I39" s="14">
        <v>1.0</v>
      </c>
      <c r="J39" s="14">
        <v>120.0</v>
      </c>
      <c r="K39" s="14">
        <v>120.0</v>
      </c>
      <c r="L39" s="13">
        <v>25.0</v>
      </c>
      <c r="M39" s="13">
        <v>525.0</v>
      </c>
    </row>
    <row r="40" ht="20.25" customHeight="1">
      <c r="A40" s="20"/>
      <c r="B40" s="20"/>
      <c r="C40" s="14">
        <v>519.0</v>
      </c>
      <c r="D40" s="20"/>
      <c r="E40" s="20"/>
      <c r="F40" s="20"/>
      <c r="G40" s="14" t="s">
        <v>17</v>
      </c>
      <c r="H40" s="14" t="s">
        <v>18</v>
      </c>
      <c r="I40" s="14">
        <v>20.0</v>
      </c>
      <c r="J40" s="14">
        <v>100.0</v>
      </c>
      <c r="K40" s="14">
        <v>2000.0</v>
      </c>
      <c r="L40" s="20"/>
      <c r="M40" s="20"/>
    </row>
    <row r="41" ht="20.25" customHeight="1">
      <c r="A41" s="8">
        <v>46219.0</v>
      </c>
      <c r="B41" s="25" t="s">
        <v>110</v>
      </c>
      <c r="C41" s="13">
        <v>501.0</v>
      </c>
      <c r="D41" s="177"/>
      <c r="E41" s="500"/>
      <c r="F41" s="13" t="s">
        <v>275</v>
      </c>
      <c r="G41" s="13" t="s">
        <v>179</v>
      </c>
      <c r="H41" s="14" t="s">
        <v>18</v>
      </c>
      <c r="I41" s="14">
        <v>8.0</v>
      </c>
      <c r="J41" s="14">
        <v>200.0</v>
      </c>
      <c r="K41" s="13">
        <v>2820.0</v>
      </c>
      <c r="L41" s="13">
        <v>400.0</v>
      </c>
      <c r="M41" s="13">
        <v>3220.0</v>
      </c>
    </row>
    <row r="42" ht="20.25" customHeight="1">
      <c r="A42" s="29"/>
      <c r="B42" s="29"/>
      <c r="C42" s="29"/>
      <c r="D42" s="165"/>
      <c r="E42" s="29"/>
      <c r="F42" s="29"/>
      <c r="G42" s="29"/>
      <c r="H42" s="14" t="s">
        <v>25</v>
      </c>
      <c r="I42" s="14">
        <v>1.0</v>
      </c>
      <c r="J42" s="14">
        <v>220.0</v>
      </c>
      <c r="K42" s="29"/>
      <c r="L42" s="29"/>
      <c r="M42" s="29"/>
    </row>
    <row r="43" ht="20.25" customHeight="1">
      <c r="A43" s="57"/>
      <c r="B43" s="57"/>
      <c r="C43" s="57"/>
      <c r="D43" s="177">
        <v>0.78</v>
      </c>
      <c r="E43" s="57"/>
      <c r="F43" s="57"/>
      <c r="G43" s="57"/>
      <c r="H43" s="14" t="s">
        <v>18</v>
      </c>
      <c r="I43" s="14">
        <v>3.0</v>
      </c>
      <c r="J43" s="14">
        <v>240.0</v>
      </c>
      <c r="K43" s="57"/>
      <c r="L43" s="57"/>
      <c r="M43" s="57"/>
    </row>
    <row r="44" ht="20.25" customHeight="1">
      <c r="A44" s="20"/>
      <c r="B44" s="20"/>
      <c r="C44" s="20"/>
      <c r="D44" s="165" t="str">
        <f t="array" ref="D44">IFERROR(_xlfn.XLOOKUP(C44,Code!A:A,Code!B:B),"")</f>
        <v/>
      </c>
      <c r="E44" s="20"/>
      <c r="F44" s="20"/>
      <c r="G44" s="20"/>
      <c r="H44" s="14" t="s">
        <v>18</v>
      </c>
      <c r="I44" s="14">
        <v>1.0</v>
      </c>
      <c r="J44" s="14">
        <v>280.0</v>
      </c>
      <c r="K44" s="20"/>
      <c r="L44" s="20"/>
      <c r="M44" s="20"/>
    </row>
    <row r="45" ht="20.25" customHeight="1">
      <c r="A45" s="8">
        <v>46220.0</v>
      </c>
      <c r="B45" s="25" t="s">
        <v>110</v>
      </c>
      <c r="C45" s="13">
        <v>502.0</v>
      </c>
      <c r="D45" s="177"/>
      <c r="E45" s="500"/>
      <c r="F45" s="13" t="s">
        <v>275</v>
      </c>
      <c r="G45" s="13" t="s">
        <v>179</v>
      </c>
      <c r="H45" s="14" t="s">
        <v>18</v>
      </c>
      <c r="I45" s="14">
        <v>4.0</v>
      </c>
      <c r="J45" s="14">
        <v>200.0</v>
      </c>
      <c r="K45" s="13">
        <v>3220.0</v>
      </c>
      <c r="L45" s="13">
        <v>400.0</v>
      </c>
      <c r="M45" s="13">
        <v>3620.0</v>
      </c>
    </row>
    <row r="46" ht="20.25" customHeight="1">
      <c r="A46" s="29"/>
      <c r="B46" s="29"/>
      <c r="C46" s="29"/>
      <c r="D46" s="165"/>
      <c r="E46" s="29"/>
      <c r="F46" s="29"/>
      <c r="G46" s="29"/>
      <c r="H46" s="14" t="s">
        <v>25</v>
      </c>
      <c r="I46" s="14">
        <v>1.0</v>
      </c>
      <c r="J46" s="14">
        <v>220.0</v>
      </c>
      <c r="K46" s="29"/>
      <c r="L46" s="29"/>
      <c r="M46" s="29"/>
    </row>
    <row r="47" ht="20.25" customHeight="1">
      <c r="A47" s="57"/>
      <c r="B47" s="57"/>
      <c r="C47" s="57"/>
      <c r="D47" s="177">
        <v>0.81</v>
      </c>
      <c r="E47" s="57"/>
      <c r="F47" s="57"/>
      <c r="G47" s="57"/>
      <c r="H47" s="14" t="s">
        <v>18</v>
      </c>
      <c r="I47" s="14">
        <v>8.0</v>
      </c>
      <c r="J47" s="14">
        <v>240.0</v>
      </c>
      <c r="K47" s="57"/>
      <c r="L47" s="57"/>
      <c r="M47" s="57"/>
    </row>
    <row r="48" ht="20.25" customHeight="1">
      <c r="A48" s="20"/>
      <c r="B48" s="20"/>
      <c r="C48" s="20"/>
      <c r="D48" s="165" t="str">
        <f t="array" ref="D48">IFERROR(_xlfn.XLOOKUP(C48,Code!A:A,Code!B:B),"")</f>
        <v/>
      </c>
      <c r="E48" s="20"/>
      <c r="F48" s="20"/>
      <c r="G48" s="20"/>
      <c r="H48" s="14" t="s">
        <v>18</v>
      </c>
      <c r="I48" s="14">
        <v>1.0</v>
      </c>
      <c r="J48" s="14">
        <v>280.0</v>
      </c>
      <c r="K48" s="20"/>
      <c r="L48" s="20"/>
      <c r="M48" s="20"/>
    </row>
    <row r="49" ht="20.25" customHeight="1">
      <c r="A49" s="8">
        <v>46221.0</v>
      </c>
      <c r="B49" s="25" t="s">
        <v>110</v>
      </c>
      <c r="C49" s="13">
        <v>503.0</v>
      </c>
      <c r="D49" s="177"/>
      <c r="E49" s="500"/>
      <c r="F49" s="13" t="s">
        <v>275</v>
      </c>
      <c r="G49" s="13" t="s">
        <v>179</v>
      </c>
      <c r="H49" s="14" t="s">
        <v>18</v>
      </c>
      <c r="I49" s="14">
        <v>9.0</v>
      </c>
      <c r="J49" s="14">
        <v>200.0</v>
      </c>
      <c r="K49" s="13">
        <v>3220.0</v>
      </c>
      <c r="L49" s="13">
        <v>400.0</v>
      </c>
      <c r="M49" s="13">
        <v>3620.0</v>
      </c>
    </row>
    <row r="50" ht="20.25" customHeight="1">
      <c r="A50" s="29"/>
      <c r="B50" s="29"/>
      <c r="C50" s="29"/>
      <c r="D50" s="165"/>
      <c r="E50" s="29"/>
      <c r="F50" s="29"/>
      <c r="G50" s="29"/>
      <c r="H50" s="14" t="s">
        <v>25</v>
      </c>
      <c r="I50" s="14">
        <v>1.0</v>
      </c>
      <c r="J50" s="14">
        <v>220.0</v>
      </c>
      <c r="K50" s="29"/>
      <c r="L50" s="29"/>
      <c r="M50" s="29"/>
    </row>
    <row r="51" ht="20.25" customHeight="1">
      <c r="A51" s="57"/>
      <c r="B51" s="57"/>
      <c r="C51" s="57"/>
      <c r="D51" s="177">
        <v>0.81</v>
      </c>
      <c r="E51" s="57"/>
      <c r="F51" s="57"/>
      <c r="G51" s="57"/>
      <c r="H51" s="14" t="s">
        <v>18</v>
      </c>
      <c r="I51" s="14">
        <v>5.0</v>
      </c>
      <c r="J51" s="14">
        <v>240.0</v>
      </c>
      <c r="K51" s="57"/>
      <c r="L51" s="57"/>
      <c r="M51" s="57"/>
    </row>
    <row r="52" ht="20.25" customHeight="1">
      <c r="A52" s="20"/>
      <c r="B52" s="20"/>
      <c r="C52" s="20"/>
      <c r="D52" s="165" t="str">
        <f t="array" ref="D52">IFERROR(_xlfn.XLOOKUP(C52,Code!A:A,Code!B:B),"")</f>
        <v/>
      </c>
      <c r="E52" s="20"/>
      <c r="F52" s="20"/>
      <c r="G52" s="20"/>
      <c r="H52" s="14"/>
      <c r="I52" s="14"/>
      <c r="J52" s="14"/>
      <c r="K52" s="20"/>
      <c r="L52" s="20"/>
      <c r="M52" s="20"/>
    </row>
    <row r="53" ht="20.25" customHeight="1">
      <c r="A53" s="8">
        <v>46222.0</v>
      </c>
      <c r="B53" s="25" t="s">
        <v>110</v>
      </c>
      <c r="C53" s="13">
        <v>504.0</v>
      </c>
      <c r="D53" s="508">
        <v>1.04</v>
      </c>
      <c r="E53" s="500"/>
      <c r="F53" s="13" t="s">
        <v>275</v>
      </c>
      <c r="G53" s="13" t="s">
        <v>179</v>
      </c>
      <c r="H53" s="14" t="s">
        <v>18</v>
      </c>
      <c r="I53" s="14">
        <v>4.0</v>
      </c>
      <c r="J53" s="14">
        <v>200.0</v>
      </c>
      <c r="K53" s="13">
        <v>3785.0</v>
      </c>
      <c r="L53" s="13">
        <v>400.0</v>
      </c>
      <c r="M53" s="13">
        <v>4185.0</v>
      </c>
    </row>
    <row r="54" ht="20.25" customHeight="1">
      <c r="A54" s="29"/>
      <c r="B54" s="29"/>
      <c r="C54" s="29"/>
      <c r="D54" s="29"/>
      <c r="E54" s="29"/>
      <c r="F54" s="29"/>
      <c r="G54" s="29"/>
      <c r="H54" s="14" t="s">
        <v>25</v>
      </c>
      <c r="I54" s="14">
        <v>1.0</v>
      </c>
      <c r="J54" s="14">
        <v>220.0</v>
      </c>
      <c r="K54" s="29"/>
      <c r="L54" s="29"/>
      <c r="M54" s="29"/>
    </row>
    <row r="55" ht="20.25" customHeight="1">
      <c r="A55" s="57"/>
      <c r="B55" s="57"/>
      <c r="C55" s="57"/>
      <c r="D55" s="57"/>
      <c r="E55" s="57"/>
      <c r="F55" s="57"/>
      <c r="G55" s="57"/>
      <c r="H55" s="14" t="s">
        <v>18</v>
      </c>
      <c r="I55" s="14">
        <v>4.0</v>
      </c>
      <c r="J55" s="14">
        <v>240.0</v>
      </c>
      <c r="K55" s="57"/>
      <c r="L55" s="57"/>
      <c r="M55" s="57"/>
    </row>
    <row r="56" ht="20.25" customHeight="1">
      <c r="A56" s="29"/>
      <c r="B56" s="29"/>
      <c r="C56" s="29"/>
      <c r="D56" s="29"/>
      <c r="E56" s="29"/>
      <c r="F56" s="29"/>
      <c r="G56" s="29"/>
      <c r="H56" s="14" t="s">
        <v>18</v>
      </c>
      <c r="I56" s="14">
        <v>3.0</v>
      </c>
      <c r="J56" s="14">
        <v>290.0</v>
      </c>
      <c r="K56" s="29"/>
      <c r="L56" s="29"/>
      <c r="M56" s="29"/>
    </row>
    <row r="57" ht="20.25" customHeight="1">
      <c r="A57" s="57"/>
      <c r="B57" s="57"/>
      <c r="C57" s="57"/>
      <c r="D57" s="57"/>
      <c r="E57" s="57"/>
      <c r="F57" s="57"/>
      <c r="G57" s="57"/>
      <c r="H57" s="14" t="s">
        <v>18</v>
      </c>
      <c r="I57" s="14">
        <v>2.0</v>
      </c>
      <c r="J57" s="14">
        <v>190.0</v>
      </c>
      <c r="K57" s="57"/>
      <c r="L57" s="57"/>
      <c r="M57" s="57"/>
    </row>
    <row r="58" ht="20.25" customHeight="1">
      <c r="A58" s="29"/>
      <c r="B58" s="29"/>
      <c r="C58" s="29"/>
      <c r="D58" s="29"/>
      <c r="E58" s="29"/>
      <c r="F58" s="29"/>
      <c r="G58" s="29"/>
      <c r="H58" s="14" t="s">
        <v>18</v>
      </c>
      <c r="I58" s="14">
        <v>2.0</v>
      </c>
      <c r="J58" s="14">
        <v>170.0</v>
      </c>
      <c r="K58" s="29"/>
      <c r="L58" s="29"/>
      <c r="M58" s="29"/>
    </row>
    <row r="59" ht="20.25" customHeight="1">
      <c r="A59" s="58"/>
      <c r="B59" s="58"/>
      <c r="C59" s="58"/>
      <c r="D59" s="58"/>
      <c r="E59" s="58"/>
      <c r="F59" s="58"/>
      <c r="G59" s="58"/>
      <c r="H59" s="14" t="s">
        <v>18</v>
      </c>
      <c r="I59" s="14">
        <v>1.0</v>
      </c>
      <c r="J59" s="14">
        <v>215.0</v>
      </c>
      <c r="K59" s="58"/>
      <c r="L59" s="58"/>
      <c r="M59" s="58"/>
    </row>
    <row r="60" ht="20.25" customHeight="1">
      <c r="A60" s="8">
        <v>46223.0</v>
      </c>
      <c r="B60" s="25" t="s">
        <v>110</v>
      </c>
      <c r="C60" s="13">
        <v>505.0</v>
      </c>
      <c r="D60" s="508">
        <v>0.96</v>
      </c>
      <c r="E60" s="500"/>
      <c r="F60" s="13" t="s">
        <v>275</v>
      </c>
      <c r="G60" s="13" t="s">
        <v>179</v>
      </c>
      <c r="H60" s="14" t="s">
        <v>25</v>
      </c>
      <c r="I60" s="14">
        <v>1.0</v>
      </c>
      <c r="J60" s="14">
        <v>220.0</v>
      </c>
      <c r="K60" s="13">
        <v>3420.0</v>
      </c>
      <c r="L60" s="13">
        <v>400.0</v>
      </c>
      <c r="M60" s="13">
        <v>3820.0</v>
      </c>
    </row>
    <row r="61" ht="20.25" customHeight="1">
      <c r="A61" s="57"/>
      <c r="B61" s="57"/>
      <c r="C61" s="57"/>
      <c r="D61" s="57"/>
      <c r="E61" s="57"/>
      <c r="F61" s="57"/>
      <c r="G61" s="57"/>
      <c r="H61" s="14" t="s">
        <v>18</v>
      </c>
      <c r="I61" s="14">
        <v>4.0</v>
      </c>
      <c r="J61" s="14">
        <v>200.0</v>
      </c>
      <c r="K61" s="57"/>
      <c r="L61" s="57"/>
      <c r="M61" s="57"/>
    </row>
    <row r="62" ht="20.25" customHeight="1">
      <c r="A62" s="29"/>
      <c r="B62" s="29"/>
      <c r="C62" s="29"/>
      <c r="D62" s="29"/>
      <c r="E62" s="29"/>
      <c r="F62" s="29"/>
      <c r="G62" s="29"/>
      <c r="H62" s="14" t="s">
        <v>18</v>
      </c>
      <c r="I62" s="14">
        <v>6.0</v>
      </c>
      <c r="J62" s="14">
        <v>120.0</v>
      </c>
      <c r="K62" s="29"/>
      <c r="L62" s="29"/>
      <c r="M62" s="29"/>
    </row>
    <row r="63" ht="20.25" customHeight="1">
      <c r="A63" s="57"/>
      <c r="B63" s="57"/>
      <c r="C63" s="57"/>
      <c r="D63" s="57"/>
      <c r="E63" s="57"/>
      <c r="F63" s="57"/>
      <c r="G63" s="57"/>
      <c r="H63" s="14" t="s">
        <v>18</v>
      </c>
      <c r="I63" s="14">
        <v>3.0</v>
      </c>
      <c r="J63" s="14">
        <v>180.0</v>
      </c>
      <c r="K63" s="57"/>
      <c r="L63" s="57"/>
      <c r="M63" s="57"/>
    </row>
    <row r="64" ht="20.25" customHeight="1">
      <c r="A64" s="29"/>
      <c r="B64" s="29"/>
      <c r="C64" s="29"/>
      <c r="D64" s="29"/>
      <c r="E64" s="29"/>
      <c r="F64" s="29"/>
      <c r="G64" s="29"/>
      <c r="H64" s="14" t="s">
        <v>18</v>
      </c>
      <c r="I64" s="14">
        <v>4.0</v>
      </c>
      <c r="J64" s="14">
        <v>150.0</v>
      </c>
      <c r="K64" s="29"/>
      <c r="L64" s="29"/>
      <c r="M64" s="29"/>
    </row>
    <row r="65" ht="20.25" customHeight="1">
      <c r="A65" s="57"/>
      <c r="B65" s="57"/>
      <c r="C65" s="57"/>
      <c r="D65" s="57"/>
      <c r="E65" s="57"/>
      <c r="F65" s="57"/>
      <c r="G65" s="57"/>
      <c r="H65" s="14" t="s">
        <v>18</v>
      </c>
      <c r="I65" s="14">
        <v>1.0</v>
      </c>
      <c r="J65" s="14">
        <v>240.0</v>
      </c>
      <c r="K65" s="57"/>
      <c r="L65" s="57"/>
      <c r="M65" s="57"/>
    </row>
    <row r="66" ht="20.25" customHeight="1">
      <c r="A66" s="20"/>
      <c r="B66" s="20"/>
      <c r="C66" s="20"/>
      <c r="D66" s="20"/>
      <c r="E66" s="20"/>
      <c r="F66" s="20"/>
      <c r="G66" s="20"/>
      <c r="H66" s="14" t="s">
        <v>18</v>
      </c>
      <c r="I66" s="14">
        <v>1.0</v>
      </c>
      <c r="J66" s="14">
        <v>300.0</v>
      </c>
      <c r="K66" s="20"/>
      <c r="L66" s="20"/>
      <c r="M66" s="20"/>
    </row>
    <row r="67" ht="20.25" customHeight="1">
      <c r="A67" s="8">
        <v>46224.0</v>
      </c>
      <c r="B67" s="25" t="s">
        <v>110</v>
      </c>
      <c r="C67" s="13">
        <v>506.0</v>
      </c>
      <c r="D67" s="508">
        <v>0.96</v>
      </c>
      <c r="E67" s="500"/>
      <c r="F67" s="13" t="s">
        <v>275</v>
      </c>
      <c r="G67" s="13" t="s">
        <v>179</v>
      </c>
      <c r="H67" s="14" t="s">
        <v>25</v>
      </c>
      <c r="I67" s="14">
        <v>1.0</v>
      </c>
      <c r="J67" s="14">
        <v>220.0</v>
      </c>
      <c r="K67" s="13">
        <v>3360.0</v>
      </c>
      <c r="L67" s="13">
        <v>400.0</v>
      </c>
      <c r="M67" s="13">
        <v>3760.0</v>
      </c>
    </row>
    <row r="68" ht="20.25" customHeight="1">
      <c r="A68" s="29"/>
      <c r="B68" s="29"/>
      <c r="C68" s="29"/>
      <c r="D68" s="29"/>
      <c r="E68" s="29"/>
      <c r="F68" s="29"/>
      <c r="G68" s="29"/>
      <c r="H68" s="14" t="s">
        <v>18</v>
      </c>
      <c r="I68" s="14">
        <v>4.0</v>
      </c>
      <c r="J68" s="14">
        <v>200.0</v>
      </c>
      <c r="K68" s="29"/>
      <c r="L68" s="29"/>
      <c r="M68" s="29"/>
    </row>
    <row r="69" ht="20.25" customHeight="1">
      <c r="A69" s="57"/>
      <c r="B69" s="57"/>
      <c r="C69" s="57"/>
      <c r="D69" s="57"/>
      <c r="E69" s="57"/>
      <c r="F69" s="57"/>
      <c r="G69" s="57"/>
      <c r="H69" s="14" t="s">
        <v>18</v>
      </c>
      <c r="I69" s="14">
        <v>1.0</v>
      </c>
      <c r="J69" s="14">
        <v>240.0</v>
      </c>
      <c r="K69" s="57"/>
      <c r="L69" s="57"/>
      <c r="M69" s="57"/>
    </row>
    <row r="70" ht="20.25" customHeight="1">
      <c r="A70" s="29"/>
      <c r="B70" s="29"/>
      <c r="C70" s="29"/>
      <c r="D70" s="29"/>
      <c r="E70" s="29"/>
      <c r="F70" s="29"/>
      <c r="G70" s="29"/>
      <c r="H70" s="14" t="s">
        <v>18</v>
      </c>
      <c r="I70" s="14">
        <v>2.0</v>
      </c>
      <c r="J70" s="14">
        <v>270.0</v>
      </c>
      <c r="K70" s="29"/>
      <c r="L70" s="29"/>
      <c r="M70" s="29"/>
    </row>
    <row r="71" ht="20.25" customHeight="1">
      <c r="A71" s="57"/>
      <c r="B71" s="57"/>
      <c r="C71" s="57"/>
      <c r="D71" s="57"/>
      <c r="E71" s="57"/>
      <c r="F71" s="57"/>
      <c r="G71" s="57"/>
      <c r="H71" s="14" t="s">
        <v>18</v>
      </c>
      <c r="I71" s="14">
        <v>6.0</v>
      </c>
      <c r="J71" s="14">
        <v>180.0</v>
      </c>
      <c r="K71" s="57"/>
      <c r="L71" s="57"/>
      <c r="M71" s="57"/>
    </row>
    <row r="72" ht="20.25" customHeight="1">
      <c r="A72" s="29"/>
      <c r="B72" s="29"/>
      <c r="C72" s="29"/>
      <c r="D72" s="29"/>
      <c r="E72" s="29"/>
      <c r="F72" s="29"/>
      <c r="G72" s="29"/>
      <c r="H72" s="14" t="s">
        <v>18</v>
      </c>
      <c r="I72" s="14">
        <v>1.0</v>
      </c>
      <c r="J72" s="14">
        <v>210.0</v>
      </c>
      <c r="K72" s="29"/>
      <c r="L72" s="29"/>
      <c r="M72" s="29"/>
    </row>
    <row r="73" ht="20.25" customHeight="1">
      <c r="A73" s="57"/>
      <c r="B73" s="57"/>
      <c r="C73" s="57"/>
      <c r="D73" s="57"/>
      <c r="E73" s="57"/>
      <c r="F73" s="57"/>
      <c r="G73" s="57"/>
      <c r="H73" s="14" t="s">
        <v>18</v>
      </c>
      <c r="I73" s="14">
        <v>1.0</v>
      </c>
      <c r="J73" s="14">
        <v>150.0</v>
      </c>
      <c r="K73" s="57"/>
      <c r="L73" s="57"/>
      <c r="M73" s="57"/>
    </row>
    <row r="74" ht="20.25" customHeight="1">
      <c r="A74" s="20"/>
      <c r="B74" s="20"/>
      <c r="C74" s="20"/>
      <c r="D74" s="20"/>
      <c r="E74" s="20"/>
      <c r="F74" s="20"/>
      <c r="G74" s="20"/>
      <c r="H74" s="14" t="s">
        <v>18</v>
      </c>
      <c r="I74" s="14">
        <v>1.0</v>
      </c>
      <c r="J74" s="14">
        <v>120.0</v>
      </c>
      <c r="K74" s="20"/>
      <c r="L74" s="20"/>
      <c r="M74" s="20"/>
    </row>
    <row r="75" ht="20.25" customHeight="1">
      <c r="A75" s="8">
        <v>46225.0</v>
      </c>
      <c r="B75" s="25" t="s">
        <v>110</v>
      </c>
      <c r="C75" s="13">
        <v>507.0</v>
      </c>
      <c r="D75" s="508">
        <v>0.83</v>
      </c>
      <c r="E75" s="500"/>
      <c r="F75" s="13" t="s">
        <v>275</v>
      </c>
      <c r="G75" s="13" t="s">
        <v>179</v>
      </c>
      <c r="H75" s="14" t="s">
        <v>25</v>
      </c>
      <c r="I75" s="14">
        <v>1.0</v>
      </c>
      <c r="J75" s="14">
        <v>220.0</v>
      </c>
      <c r="K75" s="13">
        <v>2850.0</v>
      </c>
      <c r="L75" s="13">
        <v>400.0</v>
      </c>
      <c r="M75" s="13">
        <v>3250.0</v>
      </c>
    </row>
    <row r="76" ht="20.25" customHeight="1">
      <c r="A76" s="29"/>
      <c r="B76" s="29"/>
      <c r="C76" s="29"/>
      <c r="D76" s="29"/>
      <c r="E76" s="29"/>
      <c r="F76" s="29"/>
      <c r="G76" s="29"/>
      <c r="H76" s="14" t="s">
        <v>18</v>
      </c>
      <c r="I76" s="14">
        <v>10.0</v>
      </c>
      <c r="J76" s="14">
        <v>120.0</v>
      </c>
      <c r="K76" s="29"/>
      <c r="L76" s="29"/>
      <c r="M76" s="29"/>
    </row>
    <row r="77" ht="20.25" customHeight="1">
      <c r="A77" s="57"/>
      <c r="B77" s="57"/>
      <c r="C77" s="57"/>
      <c r="D77" s="57"/>
      <c r="E77" s="57"/>
      <c r="F77" s="57"/>
      <c r="G77" s="57"/>
      <c r="H77" s="14" t="s">
        <v>18</v>
      </c>
      <c r="I77" s="14">
        <v>1.0</v>
      </c>
      <c r="J77" s="14">
        <v>180.0</v>
      </c>
      <c r="K77" s="57"/>
      <c r="L77" s="57"/>
      <c r="M77" s="57"/>
    </row>
    <row r="78" ht="20.25" customHeight="1">
      <c r="A78" s="29"/>
      <c r="B78" s="29"/>
      <c r="C78" s="29"/>
      <c r="D78" s="29"/>
      <c r="E78" s="29"/>
      <c r="F78" s="29"/>
      <c r="G78" s="29"/>
      <c r="H78" s="14" t="s">
        <v>18</v>
      </c>
      <c r="I78" s="14">
        <v>3.0</v>
      </c>
      <c r="J78" s="14">
        <v>150.0</v>
      </c>
      <c r="K78" s="29"/>
      <c r="L78" s="29"/>
      <c r="M78" s="29"/>
    </row>
    <row r="79" ht="20.25" customHeight="1">
      <c r="A79" s="58"/>
      <c r="B79" s="58"/>
      <c r="C79" s="58"/>
      <c r="D79" s="58"/>
      <c r="E79" s="58"/>
      <c r="F79" s="58"/>
      <c r="G79" s="58"/>
      <c r="H79" s="14" t="s">
        <v>18</v>
      </c>
      <c r="I79" s="14">
        <v>4.0</v>
      </c>
      <c r="J79" s="14">
        <v>200.0</v>
      </c>
      <c r="K79" s="58"/>
      <c r="L79" s="58"/>
      <c r="M79" s="58"/>
    </row>
    <row r="80" ht="20.25" customHeight="1">
      <c r="A80" s="8">
        <v>46226.0</v>
      </c>
      <c r="B80" s="25" t="s">
        <v>279</v>
      </c>
      <c r="C80" s="483">
        <v>509.0</v>
      </c>
      <c r="D80" s="508">
        <v>0.7352</v>
      </c>
      <c r="E80" s="500"/>
      <c r="F80" s="13" t="s">
        <v>290</v>
      </c>
      <c r="G80" s="13" t="s">
        <v>179</v>
      </c>
      <c r="H80" s="13" t="s">
        <v>18</v>
      </c>
      <c r="I80" s="13">
        <v>6.0</v>
      </c>
      <c r="J80" s="512"/>
      <c r="K80" s="13">
        <v>2500.0</v>
      </c>
      <c r="L80" s="512"/>
      <c r="M80" s="512">
        <f>K80*D80</f>
        <v>1838</v>
      </c>
    </row>
    <row r="81" ht="14.25" customHeight="1">
      <c r="A81" s="58"/>
      <c r="B81" s="58"/>
      <c r="C81" s="58"/>
      <c r="D81" s="58"/>
      <c r="E81" s="58"/>
      <c r="F81" s="58"/>
      <c r="G81" s="58"/>
      <c r="H81" s="58"/>
      <c r="I81" s="58"/>
      <c r="J81" s="58"/>
      <c r="K81" s="58"/>
      <c r="L81" s="58"/>
      <c r="M81" s="58"/>
    </row>
    <row r="82" ht="20.25" customHeight="1">
      <c r="A82" s="8">
        <v>46226.0</v>
      </c>
      <c r="B82" s="25" t="s">
        <v>110</v>
      </c>
      <c r="C82" s="13">
        <v>508.0</v>
      </c>
      <c r="D82" s="508">
        <v>1.01</v>
      </c>
      <c r="E82" s="500"/>
      <c r="F82" s="13" t="s">
        <v>275</v>
      </c>
      <c r="G82" s="13" t="s">
        <v>179</v>
      </c>
      <c r="H82" s="14" t="s">
        <v>25</v>
      </c>
      <c r="I82" s="14">
        <v>1.0</v>
      </c>
      <c r="J82" s="14">
        <v>220.0</v>
      </c>
      <c r="K82" s="13">
        <v>3480.0</v>
      </c>
      <c r="L82" s="13">
        <v>400.0</v>
      </c>
      <c r="M82" s="13">
        <v>3880.0</v>
      </c>
    </row>
    <row r="83" ht="20.25" customHeight="1">
      <c r="A83" s="57"/>
      <c r="B83" s="57"/>
      <c r="C83" s="57"/>
      <c r="D83" s="57"/>
      <c r="E83" s="57"/>
      <c r="F83" s="57"/>
      <c r="G83" s="57"/>
      <c r="H83" s="14" t="s">
        <v>18</v>
      </c>
      <c r="I83" s="14">
        <v>13.0</v>
      </c>
      <c r="J83" s="14">
        <v>120.0</v>
      </c>
      <c r="K83" s="57"/>
      <c r="L83" s="57"/>
      <c r="M83" s="57"/>
    </row>
    <row r="84" ht="20.25" customHeight="1">
      <c r="A84" s="29"/>
      <c r="B84" s="29"/>
      <c r="C84" s="29"/>
      <c r="D84" s="29"/>
      <c r="E84" s="29"/>
      <c r="F84" s="29"/>
      <c r="G84" s="29"/>
      <c r="H84" s="14" t="s">
        <v>18</v>
      </c>
      <c r="I84" s="14">
        <v>4.0</v>
      </c>
      <c r="J84" s="14">
        <v>200.0</v>
      </c>
      <c r="K84" s="29"/>
      <c r="L84" s="29"/>
      <c r="M84" s="29"/>
    </row>
    <row r="85" ht="20.25" customHeight="1">
      <c r="A85" s="57"/>
      <c r="B85" s="57"/>
      <c r="C85" s="57"/>
      <c r="D85" s="57"/>
      <c r="E85" s="57"/>
      <c r="F85" s="57"/>
      <c r="G85" s="57"/>
      <c r="H85" s="14" t="s">
        <v>18</v>
      </c>
      <c r="I85" s="14">
        <v>1.0</v>
      </c>
      <c r="J85" s="14">
        <v>240.0</v>
      </c>
      <c r="K85" s="57"/>
      <c r="L85" s="57"/>
      <c r="M85" s="57"/>
    </row>
    <row r="86" ht="20.25" customHeight="1">
      <c r="A86" s="29"/>
      <c r="B86" s="29"/>
      <c r="C86" s="29"/>
      <c r="D86" s="29"/>
      <c r="E86" s="29"/>
      <c r="F86" s="29"/>
      <c r="G86" s="29"/>
      <c r="H86" s="14" t="s">
        <v>18</v>
      </c>
      <c r="I86" s="14">
        <v>2.0</v>
      </c>
      <c r="J86" s="14">
        <v>150.0</v>
      </c>
      <c r="K86" s="29"/>
      <c r="L86" s="29"/>
      <c r="M86" s="29"/>
    </row>
    <row r="87" ht="20.25" customHeight="1">
      <c r="A87" s="58"/>
      <c r="B87" s="58"/>
      <c r="C87" s="58"/>
      <c r="D87" s="58"/>
      <c r="E87" s="58"/>
      <c r="F87" s="58"/>
      <c r="G87" s="58"/>
      <c r="H87" s="14" t="s">
        <v>18</v>
      </c>
      <c r="I87" s="14">
        <v>2.0</v>
      </c>
      <c r="J87" s="14">
        <v>180.0</v>
      </c>
      <c r="K87" s="58"/>
      <c r="L87" s="58"/>
      <c r="M87" s="58"/>
    </row>
    <row r="88" ht="20.25" customHeight="1">
      <c r="A88" s="8">
        <v>46227.0</v>
      </c>
      <c r="B88" s="25" t="s">
        <v>110</v>
      </c>
      <c r="C88" s="13">
        <v>511.0</v>
      </c>
      <c r="D88" s="508">
        <v>1.2138</v>
      </c>
      <c r="E88" s="500"/>
      <c r="F88" s="13" t="s">
        <v>275</v>
      </c>
      <c r="G88" s="13" t="s">
        <v>179</v>
      </c>
      <c r="H88" s="14" t="s">
        <v>25</v>
      </c>
      <c r="I88" s="14">
        <v>1.0</v>
      </c>
      <c r="J88" s="14">
        <v>220.0</v>
      </c>
      <c r="K88" s="13">
        <v>4220.0</v>
      </c>
      <c r="L88" s="13">
        <v>400.0</v>
      </c>
      <c r="M88" s="13">
        <v>4620.0</v>
      </c>
    </row>
    <row r="89" ht="20.25" customHeight="1">
      <c r="A89" s="57"/>
      <c r="B89" s="57"/>
      <c r="C89" s="57"/>
      <c r="D89" s="57"/>
      <c r="E89" s="57"/>
      <c r="F89" s="57"/>
      <c r="G89" s="57"/>
      <c r="H89" s="14" t="s">
        <v>18</v>
      </c>
      <c r="I89" s="14">
        <v>5.0</v>
      </c>
      <c r="J89" s="14">
        <v>200.0</v>
      </c>
      <c r="K89" s="57"/>
      <c r="L89" s="57"/>
      <c r="M89" s="57"/>
    </row>
    <row r="90" ht="20.25" customHeight="1">
      <c r="A90" s="29"/>
      <c r="B90" s="29"/>
      <c r="C90" s="29"/>
      <c r="D90" s="29"/>
      <c r="E90" s="29"/>
      <c r="F90" s="29"/>
      <c r="G90" s="29"/>
      <c r="H90" s="14" t="s">
        <v>18</v>
      </c>
      <c r="I90" s="14">
        <v>8.0</v>
      </c>
      <c r="J90" s="14">
        <v>120.0</v>
      </c>
      <c r="K90" s="29"/>
      <c r="L90" s="29"/>
      <c r="M90" s="29"/>
    </row>
    <row r="91" ht="20.25" customHeight="1">
      <c r="A91" s="57"/>
      <c r="B91" s="57"/>
      <c r="C91" s="57"/>
      <c r="D91" s="57"/>
      <c r="E91" s="57"/>
      <c r="F91" s="57"/>
      <c r="G91" s="57"/>
      <c r="H91" s="14" t="s">
        <v>18</v>
      </c>
      <c r="I91" s="14">
        <v>2.0</v>
      </c>
      <c r="J91" s="14">
        <v>140.0</v>
      </c>
      <c r="K91" s="57"/>
      <c r="L91" s="57"/>
      <c r="M91" s="57"/>
    </row>
    <row r="92" ht="20.25" customHeight="1">
      <c r="A92" s="29"/>
      <c r="B92" s="29"/>
      <c r="C92" s="29"/>
      <c r="D92" s="29"/>
      <c r="E92" s="29"/>
      <c r="F92" s="29"/>
      <c r="G92" s="29"/>
      <c r="H92" s="14" t="s">
        <v>18</v>
      </c>
      <c r="I92" s="14">
        <v>6.0</v>
      </c>
      <c r="J92" s="14">
        <v>240.0</v>
      </c>
      <c r="K92" s="29"/>
      <c r="L92" s="29"/>
      <c r="M92" s="29"/>
    </row>
    <row r="93" ht="20.25" customHeight="1">
      <c r="A93" s="58"/>
      <c r="B93" s="58"/>
      <c r="C93" s="58"/>
      <c r="D93" s="58"/>
      <c r="E93" s="58"/>
      <c r="F93" s="58"/>
      <c r="G93" s="58"/>
      <c r="H93" s="14" t="s">
        <v>18</v>
      </c>
      <c r="I93" s="14">
        <v>2.0</v>
      </c>
      <c r="J93" s="14">
        <v>160.0</v>
      </c>
      <c r="K93" s="58"/>
      <c r="L93" s="58"/>
      <c r="M93" s="58"/>
    </row>
    <row r="94" ht="20.25" customHeight="1">
      <c r="A94" s="8">
        <v>46228.0</v>
      </c>
      <c r="B94" s="25" t="s">
        <v>110</v>
      </c>
      <c r="C94" s="13">
        <v>510.0</v>
      </c>
      <c r="D94" s="508">
        <v>1.3672</v>
      </c>
      <c r="E94" s="500"/>
      <c r="F94" s="13" t="s">
        <v>275</v>
      </c>
      <c r="G94" s="13" t="s">
        <v>179</v>
      </c>
      <c r="H94" s="14" t="s">
        <v>25</v>
      </c>
      <c r="I94" s="14">
        <v>1.0</v>
      </c>
      <c r="J94" s="14">
        <v>220.0</v>
      </c>
      <c r="K94" s="13">
        <v>4320.0</v>
      </c>
      <c r="L94" s="13">
        <v>400.0</v>
      </c>
      <c r="M94" s="13">
        <v>4720.0</v>
      </c>
    </row>
    <row r="95" ht="20.25" customHeight="1">
      <c r="A95" s="57"/>
      <c r="B95" s="57"/>
      <c r="C95" s="57"/>
      <c r="D95" s="57"/>
      <c r="E95" s="57"/>
      <c r="F95" s="57"/>
      <c r="G95" s="57"/>
      <c r="H95" s="14" t="s">
        <v>18</v>
      </c>
      <c r="I95" s="14">
        <v>4.0</v>
      </c>
      <c r="J95" s="14">
        <v>200.0</v>
      </c>
      <c r="K95" s="57"/>
      <c r="L95" s="57"/>
      <c r="M95" s="57"/>
    </row>
    <row r="96" ht="20.25" customHeight="1">
      <c r="A96" s="29"/>
      <c r="B96" s="29"/>
      <c r="C96" s="29"/>
      <c r="D96" s="29"/>
      <c r="E96" s="29"/>
      <c r="F96" s="29"/>
      <c r="G96" s="29"/>
      <c r="H96" s="14" t="s">
        <v>18</v>
      </c>
      <c r="I96" s="14">
        <v>7.0</v>
      </c>
      <c r="J96" s="14">
        <v>120.0</v>
      </c>
      <c r="K96" s="29"/>
      <c r="L96" s="29"/>
      <c r="M96" s="29"/>
    </row>
    <row r="97" ht="20.25" customHeight="1">
      <c r="A97" s="57"/>
      <c r="B97" s="57"/>
      <c r="C97" s="57"/>
      <c r="D97" s="57"/>
      <c r="E97" s="57"/>
      <c r="F97" s="57"/>
      <c r="G97" s="57"/>
      <c r="H97" s="14" t="s">
        <v>18</v>
      </c>
      <c r="I97" s="14">
        <v>8.0</v>
      </c>
      <c r="J97" s="14">
        <v>240.0</v>
      </c>
      <c r="K97" s="57"/>
      <c r="L97" s="57"/>
      <c r="M97" s="57"/>
    </row>
    <row r="98" ht="20.25" customHeight="1">
      <c r="A98" s="29"/>
      <c r="B98" s="29"/>
      <c r="C98" s="29"/>
      <c r="D98" s="29"/>
      <c r="E98" s="29"/>
      <c r="F98" s="29"/>
      <c r="G98" s="29"/>
      <c r="H98" s="14" t="s">
        <v>18</v>
      </c>
      <c r="I98" s="14">
        <v>2.0</v>
      </c>
      <c r="J98" s="14">
        <v>90.0</v>
      </c>
      <c r="K98" s="29"/>
      <c r="L98" s="29"/>
      <c r="M98" s="29"/>
    </row>
    <row r="99" ht="20.25" customHeight="1">
      <c r="A99" s="58"/>
      <c r="B99" s="58"/>
      <c r="C99" s="58"/>
      <c r="D99" s="58"/>
      <c r="E99" s="58"/>
      <c r="F99" s="58"/>
      <c r="G99" s="58"/>
      <c r="H99" s="14" t="s">
        <v>18</v>
      </c>
      <c r="I99" s="14">
        <v>2.0</v>
      </c>
      <c r="J99" s="14">
        <v>180.0</v>
      </c>
      <c r="K99" s="58"/>
      <c r="L99" s="58"/>
      <c r="M99" s="58"/>
    </row>
    <row r="100" ht="20.25" customHeight="1">
      <c r="A100" s="8">
        <v>46228.0</v>
      </c>
      <c r="B100" s="25" t="s">
        <v>279</v>
      </c>
      <c r="C100" s="483">
        <v>501.0</v>
      </c>
      <c r="D100" s="508">
        <v>0.7812</v>
      </c>
      <c r="E100" s="500"/>
      <c r="F100" s="13" t="s">
        <v>297</v>
      </c>
      <c r="G100" s="13" t="s">
        <v>179</v>
      </c>
      <c r="H100" s="13" t="s">
        <v>18</v>
      </c>
      <c r="I100" s="13">
        <v>6.0</v>
      </c>
      <c r="J100" s="512"/>
      <c r="K100" s="13">
        <v>2500.0</v>
      </c>
      <c r="L100" s="512"/>
      <c r="M100" s="512">
        <f>K100*D100</f>
        <v>1953</v>
      </c>
    </row>
    <row r="101" ht="14.25" customHeight="1">
      <c r="A101" s="58"/>
      <c r="B101" s="58"/>
      <c r="C101" s="58"/>
      <c r="D101" s="58"/>
      <c r="E101" s="58"/>
      <c r="F101" s="58"/>
      <c r="G101" s="58"/>
      <c r="H101" s="58"/>
      <c r="I101" s="58"/>
      <c r="J101" s="58"/>
      <c r="K101" s="58"/>
      <c r="L101" s="58"/>
      <c r="M101" s="58"/>
    </row>
    <row r="102" ht="20.25" customHeight="1">
      <c r="A102" s="8">
        <v>46229.0</v>
      </c>
      <c r="B102" s="25" t="s">
        <v>279</v>
      </c>
      <c r="C102" s="483">
        <v>502.0</v>
      </c>
      <c r="D102" s="508">
        <v>0.8061</v>
      </c>
      <c r="E102" s="500"/>
      <c r="F102" s="13" t="s">
        <v>301</v>
      </c>
      <c r="G102" s="13" t="s">
        <v>179</v>
      </c>
      <c r="H102" s="13" t="s">
        <v>18</v>
      </c>
      <c r="I102" s="13">
        <v>9.0</v>
      </c>
      <c r="J102" s="512"/>
      <c r="K102" s="13">
        <v>2500.0</v>
      </c>
      <c r="L102" s="512"/>
      <c r="M102" s="512">
        <f>K102*D102</f>
        <v>2015.25</v>
      </c>
    </row>
    <row r="103" ht="14.25" customHeight="1">
      <c r="A103" s="58"/>
      <c r="B103" s="58"/>
      <c r="C103" s="58"/>
      <c r="D103" s="58"/>
      <c r="E103" s="58"/>
      <c r="F103" s="58"/>
      <c r="G103" s="58"/>
      <c r="H103" s="58"/>
      <c r="I103" s="58"/>
      <c r="J103" s="58"/>
      <c r="K103" s="58"/>
      <c r="L103" s="58"/>
      <c r="M103" s="58"/>
    </row>
    <row r="104" ht="20.25" customHeight="1">
      <c r="A104" s="8">
        <v>46231.0</v>
      </c>
      <c r="B104" s="25" t="s">
        <v>279</v>
      </c>
      <c r="C104" s="483">
        <v>503.0</v>
      </c>
      <c r="D104" s="508">
        <v>0.8117</v>
      </c>
      <c r="E104" s="500"/>
      <c r="F104" s="13" t="s">
        <v>303</v>
      </c>
      <c r="G104" s="13" t="s">
        <v>179</v>
      </c>
      <c r="H104" s="13" t="s">
        <v>18</v>
      </c>
      <c r="I104" s="13">
        <v>10.0</v>
      </c>
      <c r="J104" s="512"/>
      <c r="K104" s="13">
        <v>2500.0</v>
      </c>
      <c r="L104" s="512"/>
      <c r="M104" s="512">
        <f>K104*D104</f>
        <v>2029.25</v>
      </c>
    </row>
    <row r="105" ht="14.25" customHeight="1">
      <c r="A105" s="58"/>
      <c r="B105" s="58"/>
      <c r="C105" s="58"/>
      <c r="D105" s="58"/>
      <c r="E105" s="58"/>
      <c r="F105" s="58"/>
      <c r="G105" s="58"/>
      <c r="H105" s="58"/>
      <c r="I105" s="58"/>
      <c r="J105" s="58"/>
      <c r="K105" s="58"/>
      <c r="L105" s="58"/>
      <c r="M105" s="58"/>
    </row>
    <row r="106" ht="20.25" customHeight="1">
      <c r="A106" s="8">
        <v>46231.0</v>
      </c>
      <c r="B106" s="25" t="s">
        <v>279</v>
      </c>
      <c r="C106" s="483">
        <v>504.0</v>
      </c>
      <c r="D106" s="508">
        <v>1.0376</v>
      </c>
      <c r="E106" s="500"/>
      <c r="F106" s="522" t="s">
        <v>305</v>
      </c>
      <c r="G106" s="13" t="s">
        <v>179</v>
      </c>
      <c r="H106" s="13" t="s">
        <v>18</v>
      </c>
      <c r="I106" s="13">
        <v>14.0</v>
      </c>
      <c r="J106" s="512"/>
      <c r="K106" s="13">
        <v>2000.0</v>
      </c>
      <c r="L106" s="512"/>
      <c r="M106" s="13">
        <f>D106*K106</f>
        <v>2075.2</v>
      </c>
    </row>
    <row r="107" ht="14.25" customHeight="1">
      <c r="A107" s="58"/>
      <c r="B107" s="58"/>
      <c r="C107" s="58"/>
      <c r="D107" s="58"/>
      <c r="E107" s="58"/>
      <c r="F107" s="58"/>
      <c r="G107" s="58"/>
      <c r="H107" s="58"/>
      <c r="I107" s="58"/>
      <c r="J107" s="58"/>
      <c r="K107" s="58"/>
      <c r="L107" s="58"/>
      <c r="M107" s="58"/>
    </row>
    <row r="108" ht="20.25" customHeight="1">
      <c r="A108" s="8">
        <v>46231.0</v>
      </c>
      <c r="B108" s="25" t="s">
        <v>279</v>
      </c>
      <c r="C108" s="483">
        <v>505.0</v>
      </c>
      <c r="D108" s="508">
        <v>0.959</v>
      </c>
      <c r="E108" s="500"/>
      <c r="F108" s="13" t="s">
        <v>307</v>
      </c>
      <c r="G108" s="13" t="s">
        <v>179</v>
      </c>
      <c r="H108" s="13" t="s">
        <v>18</v>
      </c>
      <c r="I108" s="13">
        <v>10.0</v>
      </c>
      <c r="J108" s="512"/>
      <c r="K108" s="13">
        <v>2500.0</v>
      </c>
      <c r="L108" s="512"/>
      <c r="M108" s="512">
        <f>K108*D108</f>
        <v>2397.5</v>
      </c>
    </row>
    <row r="109" ht="14.25" customHeight="1">
      <c r="A109" s="58"/>
      <c r="B109" s="58"/>
      <c r="C109" s="58"/>
      <c r="D109" s="58"/>
      <c r="E109" s="58"/>
      <c r="F109" s="58"/>
      <c r="G109" s="58"/>
      <c r="H109" s="58"/>
      <c r="I109" s="58"/>
      <c r="J109" s="58"/>
      <c r="K109" s="58"/>
      <c r="L109" s="58"/>
      <c r="M109" s="58"/>
    </row>
    <row r="110" ht="20.25" customHeight="1">
      <c r="A110" s="8">
        <v>46232.0</v>
      </c>
      <c r="B110" s="25" t="s">
        <v>21</v>
      </c>
      <c r="C110" s="14">
        <v>520.0</v>
      </c>
      <c r="D110" s="508">
        <v>0.885</v>
      </c>
      <c r="E110" s="13" t="s">
        <v>309</v>
      </c>
      <c r="F110" s="13" t="s">
        <v>42</v>
      </c>
      <c r="G110" s="14" t="s">
        <v>17</v>
      </c>
      <c r="H110" s="14" t="s">
        <v>25</v>
      </c>
      <c r="I110" s="14">
        <v>1.0</v>
      </c>
      <c r="J110" s="14">
        <v>120.0</v>
      </c>
      <c r="K110" s="13">
        <v>920.0</v>
      </c>
      <c r="L110" s="13">
        <v>225.0</v>
      </c>
      <c r="M110" s="13">
        <v>1145.0</v>
      </c>
    </row>
    <row r="111" ht="20.25" customHeight="1">
      <c r="A111" s="58"/>
      <c r="B111" s="58"/>
      <c r="C111" s="14">
        <v>518.0</v>
      </c>
      <c r="D111" s="58"/>
      <c r="E111" s="58"/>
      <c r="F111" s="58"/>
      <c r="G111" s="14" t="s">
        <v>17</v>
      </c>
      <c r="H111" s="14" t="s">
        <v>18</v>
      </c>
      <c r="I111" s="14">
        <v>8.0</v>
      </c>
      <c r="J111" s="14">
        <v>800.0</v>
      </c>
      <c r="K111" s="58"/>
      <c r="L111" s="58"/>
      <c r="M111" s="58"/>
    </row>
    <row r="112" ht="20.25" customHeight="1">
      <c r="A112" s="8">
        <v>46232.0</v>
      </c>
      <c r="B112" s="25" t="s">
        <v>279</v>
      </c>
      <c r="C112" s="483">
        <v>508.0</v>
      </c>
      <c r="D112" s="508">
        <v>1.0103</v>
      </c>
      <c r="E112" s="500"/>
      <c r="F112" s="522" t="s">
        <v>319</v>
      </c>
      <c r="G112" s="13" t="s">
        <v>179</v>
      </c>
      <c r="H112" s="13" t="s">
        <v>18</v>
      </c>
      <c r="I112" s="13">
        <v>13.0</v>
      </c>
      <c r="J112" s="512"/>
      <c r="K112" s="13">
        <v>2000.0</v>
      </c>
      <c r="L112" s="512"/>
      <c r="M112" s="13">
        <f>D112*K112</f>
        <v>2020.6</v>
      </c>
    </row>
    <row r="113" ht="14.25" customHeight="1">
      <c r="A113" s="58"/>
      <c r="B113" s="58"/>
      <c r="C113" s="58"/>
      <c r="D113" s="58"/>
      <c r="E113" s="58"/>
      <c r="F113" s="58"/>
      <c r="G113" s="58"/>
      <c r="H113" s="58"/>
      <c r="I113" s="58"/>
      <c r="J113" s="58"/>
      <c r="K113" s="58"/>
      <c r="L113" s="58"/>
      <c r="M113" s="58"/>
    </row>
    <row r="114" ht="20.25" customHeight="1">
      <c r="A114" s="8">
        <v>46233.0</v>
      </c>
      <c r="B114" s="25" t="s">
        <v>279</v>
      </c>
      <c r="C114" s="483">
        <v>507.0</v>
      </c>
      <c r="D114" s="508">
        <v>0.8284</v>
      </c>
      <c r="E114" s="500"/>
      <c r="F114" s="522" t="s">
        <v>321</v>
      </c>
      <c r="G114" s="13" t="s">
        <v>179</v>
      </c>
      <c r="H114" s="13" t="s">
        <v>18</v>
      </c>
      <c r="I114" s="13">
        <v>13.0</v>
      </c>
      <c r="J114" s="512"/>
      <c r="K114" s="13">
        <v>2000.0</v>
      </c>
      <c r="L114" s="512"/>
      <c r="M114" s="13">
        <f>D114*K114</f>
        <v>1656.8</v>
      </c>
    </row>
    <row r="115" ht="14.25" customHeight="1">
      <c r="A115" s="58"/>
      <c r="B115" s="58"/>
      <c r="C115" s="58"/>
      <c r="D115" s="58"/>
      <c r="E115" s="58"/>
      <c r="F115" s="58"/>
      <c r="G115" s="58"/>
      <c r="H115" s="58"/>
      <c r="I115" s="58"/>
      <c r="J115" s="58"/>
      <c r="K115" s="58"/>
      <c r="L115" s="58"/>
      <c r="M115" s="58"/>
    </row>
    <row r="116" ht="20.25" customHeight="1">
      <c r="A116" s="8">
        <v>46233.0</v>
      </c>
      <c r="B116" s="25" t="s">
        <v>279</v>
      </c>
      <c r="C116" s="483">
        <v>506.0</v>
      </c>
      <c r="D116" s="508">
        <v>0.9625</v>
      </c>
      <c r="E116" s="500"/>
      <c r="F116" s="13" t="s">
        <v>323</v>
      </c>
      <c r="G116" s="13" t="s">
        <v>179</v>
      </c>
      <c r="H116" s="13" t="s">
        <v>18</v>
      </c>
      <c r="I116" s="13">
        <v>6.0</v>
      </c>
      <c r="J116" s="512"/>
      <c r="K116" s="13">
        <v>2500.0</v>
      </c>
      <c r="L116" s="512"/>
      <c r="M116" s="512">
        <f>K116*D116</f>
        <v>2406.25</v>
      </c>
    </row>
    <row r="117" ht="14.25" customHeight="1">
      <c r="A117" s="58"/>
      <c r="B117" s="58"/>
      <c r="C117" s="58"/>
      <c r="D117" s="58"/>
      <c r="E117" s="58"/>
      <c r="F117" s="58"/>
      <c r="G117" s="58"/>
      <c r="H117" s="58"/>
      <c r="I117" s="58"/>
      <c r="J117" s="58"/>
      <c r="K117" s="58"/>
      <c r="L117" s="58"/>
      <c r="M117" s="58"/>
    </row>
    <row r="118" ht="20.25" customHeight="1">
      <c r="A118" s="8">
        <v>46233.0</v>
      </c>
      <c r="B118" s="27" t="s">
        <v>110</v>
      </c>
      <c r="C118" s="14">
        <v>510.0</v>
      </c>
      <c r="D118" s="508">
        <v>2.3464</v>
      </c>
      <c r="E118" s="13" t="s">
        <v>309</v>
      </c>
      <c r="F118" s="13" t="s">
        <v>42</v>
      </c>
      <c r="G118" s="14" t="s">
        <v>17</v>
      </c>
      <c r="H118" s="14" t="s">
        <v>25</v>
      </c>
      <c r="I118" s="14">
        <v>1.0</v>
      </c>
      <c r="J118" s="14">
        <v>120.0</v>
      </c>
      <c r="K118" s="13">
        <v>1620.0</v>
      </c>
      <c r="L118" s="13">
        <v>400.0</v>
      </c>
      <c r="M118" s="13">
        <v>2020.0</v>
      </c>
    </row>
    <row r="119" ht="20.25" customHeight="1">
      <c r="A119" s="58"/>
      <c r="B119" s="27" t="s">
        <v>102</v>
      </c>
      <c r="C119" s="14">
        <v>515.0</v>
      </c>
      <c r="D119" s="58"/>
      <c r="E119" s="58"/>
      <c r="F119" s="58"/>
      <c r="G119" s="14" t="s">
        <v>17</v>
      </c>
      <c r="H119" s="14" t="s">
        <v>18</v>
      </c>
      <c r="I119" s="14">
        <v>15.0</v>
      </c>
      <c r="J119" s="14">
        <v>1500.0</v>
      </c>
      <c r="K119" s="58"/>
      <c r="L119" s="58"/>
      <c r="M119" s="58"/>
    </row>
    <row r="120" ht="20.25" customHeight="1">
      <c r="A120" s="8">
        <v>46233.0</v>
      </c>
      <c r="B120" s="25" t="s">
        <v>110</v>
      </c>
      <c r="C120" s="13">
        <v>512.0</v>
      </c>
      <c r="D120" s="508">
        <v>0.9425</v>
      </c>
      <c r="E120" s="500"/>
      <c r="F120" s="13" t="s">
        <v>275</v>
      </c>
      <c r="G120" s="13" t="s">
        <v>179</v>
      </c>
      <c r="H120" s="14" t="s">
        <v>25</v>
      </c>
      <c r="I120" s="14">
        <v>1.0</v>
      </c>
      <c r="J120" s="14">
        <v>220.0</v>
      </c>
      <c r="K120" s="13">
        <v>3720.0</v>
      </c>
      <c r="L120" s="13">
        <v>400.0</v>
      </c>
      <c r="M120" s="13">
        <v>4120.0</v>
      </c>
    </row>
    <row r="121" ht="20.25" customHeight="1">
      <c r="A121" s="57"/>
      <c r="B121" s="57"/>
      <c r="C121" s="57"/>
      <c r="D121" s="57"/>
      <c r="E121" s="57"/>
      <c r="F121" s="57"/>
      <c r="G121" s="57"/>
      <c r="H121" s="14" t="s">
        <v>18</v>
      </c>
      <c r="I121" s="14">
        <v>4.0</v>
      </c>
      <c r="J121" s="14">
        <v>220.0</v>
      </c>
      <c r="K121" s="57"/>
      <c r="L121" s="57"/>
      <c r="M121" s="57"/>
    </row>
    <row r="122" ht="20.25" customHeight="1">
      <c r="A122" s="29"/>
      <c r="B122" s="29"/>
      <c r="C122" s="29"/>
      <c r="D122" s="29"/>
      <c r="E122" s="29"/>
      <c r="F122" s="29"/>
      <c r="G122" s="29"/>
      <c r="H122" s="14" t="s">
        <v>18</v>
      </c>
      <c r="I122" s="14">
        <v>4.0</v>
      </c>
      <c r="J122" s="14">
        <v>330.0</v>
      </c>
      <c r="K122" s="29"/>
      <c r="L122" s="29"/>
      <c r="M122" s="29"/>
    </row>
    <row r="123" ht="20.25" customHeight="1">
      <c r="A123" s="57"/>
      <c r="B123" s="57"/>
      <c r="C123" s="57"/>
      <c r="D123" s="57"/>
      <c r="E123" s="57"/>
      <c r="F123" s="57"/>
      <c r="G123" s="57"/>
      <c r="H123" s="14" t="s">
        <v>18</v>
      </c>
      <c r="I123" s="14">
        <v>2.0</v>
      </c>
      <c r="J123" s="14">
        <v>250.0</v>
      </c>
      <c r="K123" s="57"/>
      <c r="L123" s="57"/>
      <c r="M123" s="57"/>
    </row>
    <row r="124" ht="20.25" customHeight="1">
      <c r="A124" s="20"/>
      <c r="B124" s="20"/>
      <c r="C124" s="20"/>
      <c r="D124" s="20"/>
      <c r="E124" s="20"/>
      <c r="F124" s="20"/>
      <c r="G124" s="20"/>
      <c r="H124" s="14" t="s">
        <v>18</v>
      </c>
      <c r="I124" s="14">
        <v>4.0</v>
      </c>
      <c r="J124" s="14">
        <v>200.0</v>
      </c>
      <c r="K124" s="20"/>
      <c r="L124" s="20"/>
      <c r="M124" s="20"/>
    </row>
    <row r="125" ht="20.25" customHeight="1">
      <c r="A125" s="8">
        <v>46234.0</v>
      </c>
      <c r="B125" s="25" t="s">
        <v>110</v>
      </c>
      <c r="C125" s="13">
        <v>516.0</v>
      </c>
      <c r="D125" s="508">
        <v>0.7319</v>
      </c>
      <c r="E125" s="500"/>
      <c r="F125" s="13" t="s">
        <v>275</v>
      </c>
      <c r="G125" s="13" t="s">
        <v>179</v>
      </c>
      <c r="H125" s="14" t="s">
        <v>25</v>
      </c>
      <c r="I125" s="14">
        <v>1.0</v>
      </c>
      <c r="J125" s="14">
        <v>220.0</v>
      </c>
      <c r="K125" s="13">
        <v>2930.0</v>
      </c>
      <c r="L125" s="13">
        <v>400.0</v>
      </c>
      <c r="M125" s="13">
        <v>3330.0</v>
      </c>
    </row>
    <row r="126" ht="20.25" customHeight="1">
      <c r="A126" s="29"/>
      <c r="B126" s="29"/>
      <c r="C126" s="29"/>
      <c r="D126" s="29"/>
      <c r="E126" s="29"/>
      <c r="F126" s="29"/>
      <c r="G126" s="29"/>
      <c r="H126" s="14" t="s">
        <v>18</v>
      </c>
      <c r="I126" s="14">
        <v>10.0</v>
      </c>
      <c r="J126" s="14">
        <v>155.0</v>
      </c>
      <c r="K126" s="29"/>
      <c r="L126" s="29"/>
      <c r="M126" s="29"/>
    </row>
    <row r="127" ht="20.25" customHeight="1">
      <c r="A127" s="57"/>
      <c r="B127" s="57"/>
      <c r="C127" s="57"/>
      <c r="D127" s="57"/>
      <c r="E127" s="57"/>
      <c r="F127" s="57"/>
      <c r="G127" s="57"/>
      <c r="H127" s="14" t="s">
        <v>18</v>
      </c>
      <c r="I127" s="14">
        <v>2.0</v>
      </c>
      <c r="J127" s="14">
        <v>180.0</v>
      </c>
      <c r="K127" s="57"/>
      <c r="L127" s="57"/>
      <c r="M127" s="57"/>
    </row>
    <row r="128" ht="20.25" customHeight="1">
      <c r="A128" s="20"/>
      <c r="B128" s="20"/>
      <c r="C128" s="20"/>
      <c r="D128" s="20"/>
      <c r="E128" s="20"/>
      <c r="F128" s="20"/>
      <c r="G128" s="20"/>
      <c r="H128" s="14" t="s">
        <v>18</v>
      </c>
      <c r="I128" s="14">
        <v>4.0</v>
      </c>
      <c r="J128" s="14">
        <v>200.0</v>
      </c>
      <c r="K128" s="20"/>
      <c r="L128" s="20"/>
      <c r="M128" s="20"/>
    </row>
    <row r="129" ht="20.25" customHeight="1">
      <c r="A129" s="8">
        <v>46235.0</v>
      </c>
      <c r="B129" s="25" t="s">
        <v>279</v>
      </c>
      <c r="C129" s="483">
        <v>511.0</v>
      </c>
      <c r="D129" s="508">
        <v>1.2138</v>
      </c>
      <c r="E129" s="500"/>
      <c r="F129" s="522" t="s">
        <v>328</v>
      </c>
      <c r="G129" s="13" t="s">
        <v>179</v>
      </c>
      <c r="H129" s="13" t="s">
        <v>18</v>
      </c>
      <c r="I129" s="13">
        <v>14.0</v>
      </c>
      <c r="J129" s="512"/>
      <c r="K129" s="13">
        <v>2000.0</v>
      </c>
      <c r="L129" s="512"/>
      <c r="M129" s="13">
        <f>D129*K129</f>
        <v>2427.6</v>
      </c>
    </row>
    <row r="130" ht="14.25" customHeight="1">
      <c r="A130" s="20"/>
      <c r="B130" s="20"/>
      <c r="C130" s="20"/>
      <c r="D130" s="20"/>
      <c r="E130" s="20"/>
      <c r="F130" s="20"/>
      <c r="G130" s="20"/>
      <c r="H130" s="20"/>
      <c r="I130" s="20"/>
      <c r="J130" s="20"/>
      <c r="K130" s="20"/>
      <c r="L130" s="20"/>
      <c r="M130" s="20"/>
    </row>
    <row r="131" ht="20.25" customHeight="1">
      <c r="A131" s="8">
        <v>46235.0</v>
      </c>
      <c r="B131" s="25" t="s">
        <v>110</v>
      </c>
      <c r="C131" s="13">
        <v>517.0</v>
      </c>
      <c r="D131" s="508">
        <v>0.9173</v>
      </c>
      <c r="E131" s="500"/>
      <c r="F131" s="13" t="s">
        <v>275</v>
      </c>
      <c r="G131" s="13" t="s">
        <v>179</v>
      </c>
      <c r="H131" s="14" t="s">
        <v>25</v>
      </c>
      <c r="I131" s="14">
        <v>1.0</v>
      </c>
      <c r="J131" s="14">
        <v>220.0</v>
      </c>
      <c r="K131" s="13">
        <v>3400.0</v>
      </c>
      <c r="L131" s="13">
        <v>400.0</v>
      </c>
      <c r="M131" s="13">
        <v>3800.0</v>
      </c>
    </row>
    <row r="132" ht="20.25" customHeight="1">
      <c r="A132" s="29"/>
      <c r="B132" s="29"/>
      <c r="C132" s="29"/>
      <c r="D132" s="29"/>
      <c r="E132" s="29"/>
      <c r="F132" s="29"/>
      <c r="G132" s="29"/>
      <c r="H132" s="14" t="s">
        <v>18</v>
      </c>
      <c r="I132" s="14">
        <v>2.0</v>
      </c>
      <c r="J132" s="14">
        <v>180.0</v>
      </c>
      <c r="K132" s="29"/>
      <c r="L132" s="29"/>
      <c r="M132" s="29"/>
    </row>
    <row r="133" ht="20.25" customHeight="1">
      <c r="A133" s="57"/>
      <c r="B133" s="57"/>
      <c r="C133" s="57"/>
      <c r="D133" s="57"/>
      <c r="E133" s="57"/>
      <c r="F133" s="57"/>
      <c r="G133" s="57"/>
      <c r="H133" s="14" t="s">
        <v>18</v>
      </c>
      <c r="I133" s="14">
        <v>4.0</v>
      </c>
      <c r="J133" s="14">
        <v>200.0</v>
      </c>
      <c r="K133" s="57"/>
      <c r="L133" s="57"/>
      <c r="M133" s="57"/>
    </row>
    <row r="134" ht="20.25" customHeight="1">
      <c r="A134" s="29"/>
      <c r="B134" s="29"/>
      <c r="C134" s="29"/>
      <c r="D134" s="29"/>
      <c r="E134" s="29"/>
      <c r="F134" s="29"/>
      <c r="G134" s="29"/>
      <c r="H134" s="14" t="s">
        <v>18</v>
      </c>
      <c r="I134" s="14">
        <v>2.0</v>
      </c>
      <c r="J134" s="14">
        <v>235.0</v>
      </c>
      <c r="K134" s="29"/>
      <c r="L134" s="29"/>
      <c r="M134" s="29"/>
    </row>
    <row r="135" ht="20.25" customHeight="1">
      <c r="A135" s="58"/>
      <c r="B135" s="58"/>
      <c r="C135" s="58"/>
      <c r="D135" s="58"/>
      <c r="E135" s="58"/>
      <c r="F135" s="58"/>
      <c r="G135" s="58"/>
      <c r="H135" s="14" t="s">
        <v>18</v>
      </c>
      <c r="I135" s="14">
        <v>10.0</v>
      </c>
      <c r="J135" s="14">
        <v>155.0</v>
      </c>
      <c r="K135" s="58"/>
      <c r="L135" s="58"/>
      <c r="M135" s="58"/>
    </row>
    <row r="136" ht="20.25" customHeight="1">
      <c r="A136" s="8">
        <v>46237.0</v>
      </c>
      <c r="B136" s="25" t="s">
        <v>110</v>
      </c>
      <c r="C136" s="13">
        <v>515.0</v>
      </c>
      <c r="D136" s="508">
        <v>0.9792</v>
      </c>
      <c r="E136" s="13"/>
      <c r="F136" s="13" t="s">
        <v>275</v>
      </c>
      <c r="G136" s="13" t="s">
        <v>179</v>
      </c>
      <c r="H136" s="14" t="s">
        <v>25</v>
      </c>
      <c r="I136" s="14">
        <v>1.0</v>
      </c>
      <c r="J136" s="14">
        <v>220.0</v>
      </c>
      <c r="K136" s="13">
        <v>3460.0</v>
      </c>
      <c r="L136" s="13">
        <v>400.0</v>
      </c>
      <c r="M136" s="13">
        <v>3860.0</v>
      </c>
    </row>
    <row r="137" ht="20.25" customHeight="1">
      <c r="A137" s="57"/>
      <c r="B137" s="57"/>
      <c r="C137" s="57"/>
      <c r="D137" s="57"/>
      <c r="E137" s="57"/>
      <c r="F137" s="57"/>
      <c r="G137" s="57"/>
      <c r="H137" s="14" t="s">
        <v>18</v>
      </c>
      <c r="I137" s="14">
        <v>14.0</v>
      </c>
      <c r="J137" s="14">
        <v>150.0</v>
      </c>
      <c r="K137" s="57"/>
      <c r="L137" s="57"/>
      <c r="M137" s="57"/>
    </row>
    <row r="138" ht="20.25" customHeight="1">
      <c r="A138" s="29"/>
      <c r="B138" s="29"/>
      <c r="C138" s="29"/>
      <c r="D138" s="29"/>
      <c r="E138" s="29"/>
      <c r="F138" s="29"/>
      <c r="G138" s="29"/>
      <c r="H138" s="14" t="s">
        <v>18</v>
      </c>
      <c r="I138" s="14">
        <v>2.0</v>
      </c>
      <c r="J138" s="14">
        <v>170.0</v>
      </c>
      <c r="K138" s="29"/>
      <c r="L138" s="29"/>
      <c r="M138" s="29"/>
    </row>
    <row r="139" ht="20.25" customHeight="1">
      <c r="A139" s="57"/>
      <c r="B139" s="57"/>
      <c r="C139" s="57"/>
      <c r="D139" s="57"/>
      <c r="E139" s="57"/>
      <c r="F139" s="57"/>
      <c r="G139" s="57"/>
      <c r="H139" s="14" t="s">
        <v>18</v>
      </c>
      <c r="I139" s="14">
        <v>4.0</v>
      </c>
      <c r="J139" s="14">
        <v>200.0</v>
      </c>
      <c r="K139" s="57"/>
      <c r="L139" s="57"/>
      <c r="M139" s="57"/>
    </row>
    <row r="140" ht="20.25" customHeight="1">
      <c r="A140" s="20"/>
      <c r="B140" s="20"/>
      <c r="C140" s="20"/>
      <c r="D140" s="20"/>
      <c r="E140" s="20"/>
      <c r="F140" s="20"/>
      <c r="G140" s="20"/>
      <c r="H140" s="14" t="s">
        <v>18</v>
      </c>
      <c r="I140" s="14"/>
      <c r="J140" s="14"/>
      <c r="K140" s="20"/>
      <c r="L140" s="20"/>
      <c r="M140" s="20"/>
    </row>
    <row r="141" ht="20.25" customHeight="1">
      <c r="A141" s="8">
        <v>46237.0</v>
      </c>
      <c r="B141" s="25" t="s">
        <v>279</v>
      </c>
      <c r="C141" s="483">
        <v>510.0</v>
      </c>
      <c r="D141" s="508">
        <v>1.3672</v>
      </c>
      <c r="E141" s="500"/>
      <c r="F141" s="522" t="s">
        <v>334</v>
      </c>
      <c r="G141" s="13" t="s">
        <v>179</v>
      </c>
      <c r="H141" s="13" t="s">
        <v>18</v>
      </c>
      <c r="I141" s="13">
        <v>14.0</v>
      </c>
      <c r="J141" s="512"/>
      <c r="K141" s="13">
        <v>2000.0</v>
      </c>
      <c r="L141" s="512"/>
      <c r="M141" s="13">
        <f>D141*K141</f>
        <v>2734.4</v>
      </c>
    </row>
    <row r="142" ht="14.25" customHeight="1">
      <c r="A142" s="20"/>
      <c r="B142" s="20"/>
      <c r="C142" s="20"/>
      <c r="D142" s="20"/>
      <c r="E142" s="20"/>
      <c r="F142" s="20"/>
      <c r="G142" s="20"/>
      <c r="H142" s="20"/>
      <c r="I142" s="20"/>
      <c r="J142" s="20"/>
      <c r="K142" s="20"/>
      <c r="L142" s="20"/>
      <c r="M142" s="20"/>
    </row>
    <row r="143" ht="20.25" customHeight="1">
      <c r="A143" s="69">
        <v>46238.0</v>
      </c>
      <c r="B143" s="25" t="s">
        <v>110</v>
      </c>
      <c r="C143" s="13">
        <v>514.0</v>
      </c>
      <c r="D143" s="508">
        <v>0.8003</v>
      </c>
      <c r="E143" s="13"/>
      <c r="F143" s="13" t="s">
        <v>275</v>
      </c>
      <c r="G143" s="13" t="s">
        <v>179</v>
      </c>
      <c r="H143" s="14" t="s">
        <v>25</v>
      </c>
      <c r="I143" s="14">
        <v>1.0</v>
      </c>
      <c r="J143" s="14">
        <v>220.0</v>
      </c>
      <c r="K143" s="13">
        <f>I143*J143+I144*J144+I145*J145+I146*J146+I147*J147</f>
        <v>3010</v>
      </c>
      <c r="L143" s="13">
        <v>400.0</v>
      </c>
      <c r="M143" s="13">
        <f>L143+K143</f>
        <v>3410</v>
      </c>
    </row>
    <row r="144" ht="20.25" customHeight="1">
      <c r="A144" s="29"/>
      <c r="B144" s="29"/>
      <c r="C144" s="29"/>
      <c r="D144" s="29"/>
      <c r="E144" s="29"/>
      <c r="F144" s="29"/>
      <c r="G144" s="29"/>
      <c r="H144" s="14" t="s">
        <v>18</v>
      </c>
      <c r="I144" s="14">
        <v>4.0</v>
      </c>
      <c r="J144" s="14">
        <v>200.0</v>
      </c>
      <c r="K144" s="29"/>
      <c r="L144" s="29"/>
      <c r="M144" s="29"/>
    </row>
    <row r="145" ht="20.25" customHeight="1">
      <c r="A145" s="57"/>
      <c r="B145" s="57"/>
      <c r="C145" s="57"/>
      <c r="D145" s="57"/>
      <c r="E145" s="57"/>
      <c r="F145" s="57"/>
      <c r="G145" s="57"/>
      <c r="H145" s="14" t="s">
        <v>18</v>
      </c>
      <c r="I145" s="14">
        <v>2.0</v>
      </c>
      <c r="J145" s="14">
        <v>180.0</v>
      </c>
      <c r="K145" s="57"/>
      <c r="L145" s="57"/>
      <c r="M145" s="57"/>
    </row>
    <row r="146" ht="20.25" customHeight="1">
      <c r="A146" s="29"/>
      <c r="B146" s="29"/>
      <c r="C146" s="29"/>
      <c r="D146" s="29"/>
      <c r="E146" s="29"/>
      <c r="F146" s="29"/>
      <c r="G146" s="29"/>
      <c r="H146" s="14" t="s">
        <v>18</v>
      </c>
      <c r="I146" s="14">
        <v>1.0</v>
      </c>
      <c r="J146" s="14">
        <v>235.0</v>
      </c>
      <c r="K146" s="29"/>
      <c r="L146" s="29"/>
      <c r="M146" s="29"/>
    </row>
    <row r="147" ht="20.25" customHeight="1">
      <c r="A147" s="58"/>
      <c r="B147" s="58"/>
      <c r="C147" s="58"/>
      <c r="D147" s="58"/>
      <c r="E147" s="58"/>
      <c r="F147" s="58"/>
      <c r="G147" s="58"/>
      <c r="H147" s="14" t="s">
        <v>18</v>
      </c>
      <c r="I147" s="14">
        <v>9.0</v>
      </c>
      <c r="J147" s="14">
        <v>155.0</v>
      </c>
      <c r="K147" s="58"/>
      <c r="L147" s="58"/>
      <c r="M147" s="58"/>
    </row>
    <row r="148" ht="20.25" customHeight="1">
      <c r="A148" s="69">
        <v>46239.0</v>
      </c>
      <c r="B148" s="25" t="s">
        <v>22</v>
      </c>
      <c r="C148" s="13">
        <v>514.0</v>
      </c>
      <c r="D148" s="508">
        <v>0.885</v>
      </c>
      <c r="E148" s="13" t="s">
        <v>309</v>
      </c>
      <c r="F148" s="13" t="s">
        <v>42</v>
      </c>
      <c r="G148" s="14" t="s">
        <v>17</v>
      </c>
      <c r="H148" s="14" t="s">
        <v>25</v>
      </c>
      <c r="I148" s="14">
        <v>1.0</v>
      </c>
      <c r="J148" s="14">
        <v>120.0</v>
      </c>
      <c r="K148" s="13">
        <f>I148*J148+I149*J149</f>
        <v>1620</v>
      </c>
      <c r="L148" s="13">
        <f>(I148+I149)*25</f>
        <v>400</v>
      </c>
      <c r="M148" s="13">
        <f>L148+K148</f>
        <v>2020</v>
      </c>
    </row>
    <row r="149" ht="20.25" customHeight="1">
      <c r="A149" s="58"/>
      <c r="B149" s="58"/>
      <c r="C149" s="58"/>
      <c r="D149" s="58"/>
      <c r="E149" s="58"/>
      <c r="F149" s="58"/>
      <c r="G149" s="14" t="s">
        <v>17</v>
      </c>
      <c r="H149" s="14" t="s">
        <v>18</v>
      </c>
      <c r="I149" s="14">
        <v>15.0</v>
      </c>
      <c r="J149" s="14">
        <v>100.0</v>
      </c>
      <c r="K149" s="58"/>
      <c r="L149" s="58"/>
      <c r="M149" s="58"/>
    </row>
    <row r="150" ht="20.25" customHeight="1">
      <c r="A150" s="69">
        <v>46239.0</v>
      </c>
      <c r="B150" s="25" t="s">
        <v>110</v>
      </c>
      <c r="C150" s="13">
        <v>513.0</v>
      </c>
      <c r="D150" s="508">
        <v>0.8003</v>
      </c>
      <c r="E150" s="13"/>
      <c r="F150" s="13" t="s">
        <v>275</v>
      </c>
      <c r="G150" s="13" t="s">
        <v>179</v>
      </c>
      <c r="H150" s="14" t="s">
        <v>25</v>
      </c>
      <c r="I150" s="14">
        <v>1.0</v>
      </c>
      <c r="J150" s="14">
        <v>220.0</v>
      </c>
      <c r="K150" s="13">
        <f>I150*J150+I151*J151+I152*J152+I153*J153+I154*J154+I155*J155</f>
        <v>3580</v>
      </c>
      <c r="L150" s="13">
        <v>400.0</v>
      </c>
      <c r="M150" s="13">
        <f>L150+K150</f>
        <v>3980</v>
      </c>
    </row>
    <row r="151" ht="20.25" customHeight="1">
      <c r="A151" s="57"/>
      <c r="B151" s="57"/>
      <c r="C151" s="57"/>
      <c r="D151" s="57"/>
      <c r="E151" s="57"/>
      <c r="F151" s="57"/>
      <c r="G151" s="57"/>
      <c r="H151" s="14" t="s">
        <v>18</v>
      </c>
      <c r="I151" s="14">
        <v>4.0</v>
      </c>
      <c r="J151" s="14">
        <v>200.0</v>
      </c>
      <c r="K151" s="57"/>
      <c r="L151" s="57"/>
      <c r="M151" s="57"/>
    </row>
    <row r="152" ht="20.25" customHeight="1">
      <c r="A152" s="29"/>
      <c r="B152" s="29"/>
      <c r="C152" s="29"/>
      <c r="D152" s="29"/>
      <c r="E152" s="29"/>
      <c r="F152" s="29"/>
      <c r="G152" s="29"/>
      <c r="H152" s="14" t="s">
        <v>18</v>
      </c>
      <c r="I152" s="14">
        <v>2.0</v>
      </c>
      <c r="J152" s="14">
        <v>230.0</v>
      </c>
      <c r="K152" s="29"/>
      <c r="L152" s="29"/>
      <c r="M152" s="29"/>
    </row>
    <row r="153" ht="20.25" customHeight="1">
      <c r="A153" s="57"/>
      <c r="B153" s="57"/>
      <c r="C153" s="57"/>
      <c r="D153" s="57"/>
      <c r="E153" s="57"/>
      <c r="F153" s="57"/>
      <c r="G153" s="57"/>
      <c r="H153" s="14" t="s">
        <v>18</v>
      </c>
      <c r="I153" s="14">
        <v>5.0</v>
      </c>
      <c r="J153" s="14">
        <v>210.0</v>
      </c>
      <c r="K153" s="57"/>
      <c r="L153" s="57"/>
      <c r="M153" s="57"/>
    </row>
    <row r="154" ht="20.25" customHeight="1">
      <c r="A154" s="29"/>
      <c r="B154" s="29"/>
      <c r="C154" s="29"/>
      <c r="D154" s="29"/>
      <c r="E154" s="29"/>
      <c r="F154" s="29"/>
      <c r="G154" s="29"/>
      <c r="H154" s="14" t="s">
        <v>18</v>
      </c>
      <c r="I154" s="14">
        <v>5.0</v>
      </c>
      <c r="J154" s="14">
        <v>110.0</v>
      </c>
      <c r="K154" s="29"/>
      <c r="L154" s="29"/>
      <c r="M154" s="29"/>
    </row>
    <row r="155" ht="20.25" customHeight="1">
      <c r="A155" s="58"/>
      <c r="B155" s="58"/>
      <c r="C155" s="58"/>
      <c r="D155" s="58"/>
      <c r="E155" s="58"/>
      <c r="F155" s="58"/>
      <c r="G155" s="58"/>
      <c r="H155" s="14"/>
      <c r="I155" s="14">
        <v>5.0</v>
      </c>
      <c r="J155" s="14">
        <v>100.0</v>
      </c>
      <c r="K155" s="58"/>
      <c r="L155" s="58"/>
      <c r="M155" s="58"/>
    </row>
    <row r="156" ht="20.25" customHeight="1">
      <c r="A156" s="69">
        <v>46240.0</v>
      </c>
      <c r="B156" s="25" t="s">
        <v>110</v>
      </c>
      <c r="C156" s="13">
        <v>513.0</v>
      </c>
      <c r="D156" s="613">
        <f t="array" ref="D156">IFERROR(_xlfn.XLOOKUP(C156,Code!A:A,Code!B:B),"")</f>
        <v>0.88</v>
      </c>
      <c r="E156" s="13" t="s">
        <v>309</v>
      </c>
      <c r="F156" s="13" t="s">
        <v>42</v>
      </c>
      <c r="G156" s="14" t="s">
        <v>17</v>
      </c>
      <c r="H156" s="14" t="s">
        <v>25</v>
      </c>
      <c r="I156" s="14">
        <v>1.0</v>
      </c>
      <c r="J156" s="14">
        <v>120.0</v>
      </c>
      <c r="K156" s="13">
        <f>I156*J156+I157*J157</f>
        <v>1420</v>
      </c>
      <c r="L156" s="13">
        <f>(I156+I157)*25</f>
        <v>350</v>
      </c>
      <c r="M156" s="13">
        <f>L156+K156</f>
        <v>1770</v>
      </c>
    </row>
    <row r="157" ht="20.25" customHeight="1">
      <c r="A157" s="58"/>
      <c r="B157" s="58"/>
      <c r="C157" s="58"/>
      <c r="D157" s="58"/>
      <c r="E157" s="58"/>
      <c r="F157" s="58"/>
      <c r="G157" s="14" t="s">
        <v>17</v>
      </c>
      <c r="H157" s="14" t="s">
        <v>18</v>
      </c>
      <c r="I157" s="14">
        <v>13.0</v>
      </c>
      <c r="J157" s="14">
        <v>100.0</v>
      </c>
      <c r="K157" s="58"/>
      <c r="L157" s="58"/>
      <c r="M157" s="58"/>
    </row>
    <row r="158" ht="20.25" customHeight="1">
      <c r="A158" s="8">
        <v>46240.0</v>
      </c>
      <c r="B158" s="25" t="s">
        <v>279</v>
      </c>
      <c r="C158" s="13">
        <v>516.0</v>
      </c>
      <c r="D158" s="613">
        <f t="array" ref="D158">IFERROR(_xlfn.XLOOKUP(C158,Code!A:A,Code!B:B),"")</f>
        <v>0.73</v>
      </c>
      <c r="E158" s="500"/>
      <c r="F158" s="522" t="s">
        <v>343</v>
      </c>
      <c r="G158" s="13" t="s">
        <v>179</v>
      </c>
      <c r="H158" s="13" t="s">
        <v>18</v>
      </c>
      <c r="I158" s="13">
        <v>11.0</v>
      </c>
      <c r="J158" s="512"/>
      <c r="K158" s="13">
        <v>2000.0</v>
      </c>
      <c r="L158" s="512"/>
      <c r="M158" s="512">
        <f>K158*D158</f>
        <v>1460</v>
      </c>
    </row>
    <row r="159" ht="20.25" customHeight="1">
      <c r="A159" s="58"/>
      <c r="B159" s="58"/>
      <c r="C159" s="58"/>
      <c r="D159" s="58"/>
      <c r="E159" s="58"/>
      <c r="F159" s="58"/>
      <c r="G159" s="58"/>
      <c r="H159" s="58"/>
      <c r="I159" s="58"/>
      <c r="J159" s="58"/>
      <c r="K159" s="58"/>
      <c r="L159" s="58"/>
      <c r="M159" s="58"/>
    </row>
    <row r="160" ht="20.25" customHeight="1">
      <c r="A160" s="8">
        <v>46240.0</v>
      </c>
      <c r="B160" s="25" t="s">
        <v>110</v>
      </c>
      <c r="C160" s="13">
        <v>518.0</v>
      </c>
      <c r="D160" s="613">
        <f t="array" ref="D160">IFERROR(_xlfn.XLOOKUP(C160,Code!A:A,Code!B:B),"")</f>
        <v>1.16</v>
      </c>
      <c r="E160" s="500"/>
      <c r="F160" s="13" t="s">
        <v>275</v>
      </c>
      <c r="G160" s="13" t="s">
        <v>179</v>
      </c>
      <c r="H160" s="14" t="s">
        <v>25</v>
      </c>
      <c r="I160" s="14">
        <v>1.0</v>
      </c>
      <c r="J160" s="14">
        <v>220.0</v>
      </c>
      <c r="K160" s="512">
        <f>I160*J160+I161*J161+I162*J162+I163*J163+I164*J164</f>
        <v>4860</v>
      </c>
      <c r="L160" s="13">
        <v>400.0</v>
      </c>
      <c r="M160" s="512">
        <f>K160+L160</f>
        <v>5260</v>
      </c>
    </row>
    <row r="161" ht="20.25" customHeight="1">
      <c r="A161" s="57"/>
      <c r="B161" s="57"/>
      <c r="C161" s="57"/>
      <c r="D161" s="57"/>
      <c r="E161" s="57"/>
      <c r="F161" s="57"/>
      <c r="G161" s="57"/>
      <c r="H161" s="14" t="s">
        <v>18</v>
      </c>
      <c r="I161" s="14">
        <v>16.0</v>
      </c>
      <c r="J161" s="14">
        <v>200.0</v>
      </c>
      <c r="K161" s="57"/>
      <c r="L161" s="57"/>
      <c r="M161" s="57"/>
    </row>
    <row r="162" ht="20.25" customHeight="1">
      <c r="A162" s="29"/>
      <c r="B162" s="29"/>
      <c r="C162" s="29"/>
      <c r="D162" s="29"/>
      <c r="E162" s="29"/>
      <c r="F162" s="29"/>
      <c r="G162" s="29"/>
      <c r="H162" s="14" t="s">
        <v>18</v>
      </c>
      <c r="I162" s="14">
        <v>3.0</v>
      </c>
      <c r="J162" s="14">
        <v>300.0</v>
      </c>
      <c r="K162" s="29"/>
      <c r="L162" s="29"/>
      <c r="M162" s="29"/>
    </row>
    <row r="163" ht="20.25" customHeight="1">
      <c r="A163" s="57"/>
      <c r="B163" s="57"/>
      <c r="C163" s="57"/>
      <c r="D163" s="57"/>
      <c r="E163" s="57"/>
      <c r="F163" s="57"/>
      <c r="G163" s="57"/>
      <c r="H163" s="14" t="s">
        <v>18</v>
      </c>
      <c r="I163" s="14">
        <v>1.0</v>
      </c>
      <c r="J163" s="14">
        <v>220.0</v>
      </c>
      <c r="K163" s="57"/>
      <c r="L163" s="57"/>
      <c r="M163" s="57"/>
    </row>
    <row r="164" ht="20.25" customHeight="1">
      <c r="A164" s="20"/>
      <c r="B164" s="20"/>
      <c r="C164" s="20"/>
      <c r="D164" s="20"/>
      <c r="E164" s="20"/>
      <c r="F164" s="20"/>
      <c r="G164" s="20"/>
      <c r="H164" s="14" t="s">
        <v>18</v>
      </c>
      <c r="I164" s="14">
        <v>1.0</v>
      </c>
      <c r="J164" s="14">
        <v>320.0</v>
      </c>
      <c r="K164" s="20"/>
      <c r="L164" s="20"/>
      <c r="M164" s="20"/>
    </row>
    <row r="165" ht="20.25" customHeight="1">
      <c r="A165" s="69">
        <v>46241.0</v>
      </c>
      <c r="B165" s="25" t="s">
        <v>110</v>
      </c>
      <c r="C165" s="13">
        <v>518.0</v>
      </c>
      <c r="D165" s="613">
        <f t="array" ref="D165">IFERROR(_xlfn.XLOOKUP(C165,Code!A:A,Code!B:B),"")</f>
        <v>1.16</v>
      </c>
      <c r="E165" s="13" t="s">
        <v>309</v>
      </c>
      <c r="F165" s="13" t="s">
        <v>42</v>
      </c>
      <c r="G165" s="14" t="s">
        <v>17</v>
      </c>
      <c r="H165" s="14" t="s">
        <v>25</v>
      </c>
      <c r="I165" s="14">
        <v>1.0</v>
      </c>
      <c r="J165" s="14">
        <v>120.0</v>
      </c>
      <c r="K165" s="13">
        <f>I165*J165+I166*J166</f>
        <v>1620</v>
      </c>
      <c r="L165" s="13">
        <f>(I165+I166)*25</f>
        <v>400</v>
      </c>
      <c r="M165" s="13">
        <f>L165+K165</f>
        <v>2020</v>
      </c>
    </row>
    <row r="166" ht="20.25" customHeight="1">
      <c r="A166" s="20"/>
      <c r="B166" s="20"/>
      <c r="C166" s="20"/>
      <c r="D166" s="20"/>
      <c r="E166" s="20"/>
      <c r="F166" s="20"/>
      <c r="G166" s="14" t="s">
        <v>17</v>
      </c>
      <c r="H166" s="14" t="s">
        <v>18</v>
      </c>
      <c r="I166" s="14">
        <v>15.0</v>
      </c>
      <c r="J166" s="14">
        <v>100.0</v>
      </c>
      <c r="K166" s="20"/>
      <c r="L166" s="20"/>
      <c r="M166" s="20"/>
    </row>
    <row r="167" ht="20.25" customHeight="1">
      <c r="A167" s="69">
        <v>46241.0</v>
      </c>
      <c r="B167" s="25" t="s">
        <v>279</v>
      </c>
      <c r="C167" s="13">
        <v>517.0</v>
      </c>
      <c r="D167" s="613">
        <f t="array" ref="D167">IFERROR(_xlfn.XLOOKUP(C167,Code!A:A,Code!B:B),"")</f>
        <v>0.92</v>
      </c>
      <c r="E167" s="500"/>
      <c r="F167" s="522" t="s">
        <v>349</v>
      </c>
      <c r="G167" s="13" t="s">
        <v>179</v>
      </c>
      <c r="H167" s="13" t="s">
        <v>18</v>
      </c>
      <c r="I167" s="13">
        <v>11.0</v>
      </c>
      <c r="J167" s="512"/>
      <c r="K167" s="13">
        <v>2000.0</v>
      </c>
      <c r="L167" s="512"/>
      <c r="M167" s="512">
        <f>K167*D167</f>
        <v>1840</v>
      </c>
    </row>
    <row r="168" ht="20.25" customHeight="1">
      <c r="A168" s="20"/>
      <c r="B168" s="20"/>
      <c r="C168" s="20"/>
      <c r="D168" s="20"/>
      <c r="E168" s="20"/>
      <c r="F168" s="20"/>
      <c r="G168" s="20"/>
      <c r="H168" s="20"/>
      <c r="I168" s="20"/>
      <c r="J168" s="20"/>
      <c r="K168" s="20"/>
      <c r="L168" s="20"/>
      <c r="M168" s="20"/>
    </row>
    <row r="169" ht="21.0" customHeight="1">
      <c r="A169" s="69">
        <v>46241.0</v>
      </c>
      <c r="B169" s="25" t="s">
        <v>110</v>
      </c>
      <c r="C169" s="13">
        <v>519.0</v>
      </c>
      <c r="D169" s="613">
        <f t="array" ref="D169">IFERROR(_xlfn.XLOOKUP(C169,Code!A:A,Code!B:B),"")</f>
        <v>0.87</v>
      </c>
      <c r="E169" s="500"/>
      <c r="F169" s="13" t="s">
        <v>275</v>
      </c>
      <c r="G169" s="13" t="s">
        <v>179</v>
      </c>
      <c r="H169" s="14" t="s">
        <v>25</v>
      </c>
      <c r="I169" s="165">
        <v>1.0</v>
      </c>
      <c r="J169" s="165">
        <v>220.0</v>
      </c>
      <c r="K169" s="620">
        <f>I169*J169+I170*J170+I171*J171+I172*J172+I173*J173+I174*J174</f>
        <v>3460</v>
      </c>
      <c r="L169" s="484">
        <v>400.0</v>
      </c>
      <c r="M169" s="620">
        <f>L169+K169</f>
        <v>3860</v>
      </c>
    </row>
    <row r="170" ht="20.25" customHeight="1">
      <c r="A170" s="29"/>
      <c r="B170" s="29"/>
      <c r="C170" s="29"/>
      <c r="D170" s="29"/>
      <c r="E170" s="29"/>
      <c r="F170" s="29"/>
      <c r="G170" s="29"/>
      <c r="H170" s="14" t="s">
        <v>18</v>
      </c>
      <c r="I170" s="165">
        <v>4.0</v>
      </c>
      <c r="J170" s="177">
        <v>250.0</v>
      </c>
      <c r="K170" s="29"/>
      <c r="L170" s="29"/>
      <c r="M170" s="29"/>
    </row>
    <row r="171" ht="20.25" customHeight="1">
      <c r="A171" s="57"/>
      <c r="B171" s="57"/>
      <c r="C171" s="57"/>
      <c r="D171" s="57"/>
      <c r="E171" s="57"/>
      <c r="F171" s="57"/>
      <c r="G171" s="57"/>
      <c r="H171" s="14" t="s">
        <v>18</v>
      </c>
      <c r="I171" s="165">
        <v>2.0</v>
      </c>
      <c r="J171" s="177">
        <v>220.0</v>
      </c>
      <c r="K171" s="57"/>
      <c r="L171" s="57"/>
      <c r="M171" s="57"/>
    </row>
    <row r="172" ht="20.25" customHeight="1">
      <c r="A172" s="29"/>
      <c r="B172" s="29"/>
      <c r="C172" s="29"/>
      <c r="D172" s="29"/>
      <c r="E172" s="29"/>
      <c r="F172" s="29"/>
      <c r="G172" s="29"/>
      <c r="H172" s="14" t="s">
        <v>18</v>
      </c>
      <c r="I172" s="165">
        <v>5.0</v>
      </c>
      <c r="J172" s="177">
        <v>150.0</v>
      </c>
      <c r="K172" s="29"/>
      <c r="L172" s="29"/>
      <c r="M172" s="29"/>
    </row>
    <row r="173" ht="20.25" customHeight="1">
      <c r="A173" s="57"/>
      <c r="B173" s="57"/>
      <c r="C173" s="57"/>
      <c r="D173" s="57"/>
      <c r="E173" s="57"/>
      <c r="F173" s="57"/>
      <c r="G173" s="57"/>
      <c r="H173" s="14"/>
      <c r="I173" s="165">
        <v>5.0</v>
      </c>
      <c r="J173" s="165">
        <v>110.0</v>
      </c>
      <c r="K173" s="57"/>
      <c r="L173" s="57"/>
      <c r="M173" s="57"/>
    </row>
    <row r="174" ht="20.25" customHeight="1">
      <c r="A174" s="20"/>
      <c r="B174" s="20"/>
      <c r="C174" s="20"/>
      <c r="D174" s="20"/>
      <c r="E174" s="20"/>
      <c r="F174" s="20"/>
      <c r="G174" s="20"/>
      <c r="H174" s="14" t="s">
        <v>18</v>
      </c>
      <c r="I174" s="165">
        <v>5.0</v>
      </c>
      <c r="J174" s="165">
        <v>100.0</v>
      </c>
      <c r="K174" s="20"/>
      <c r="L174" s="20"/>
      <c r="M174" s="20"/>
    </row>
    <row r="175" ht="20.25" customHeight="1">
      <c r="A175" s="69">
        <v>46242.0</v>
      </c>
      <c r="B175" s="25" t="s">
        <v>110</v>
      </c>
      <c r="C175" s="13">
        <v>519.0</v>
      </c>
      <c r="D175" s="613">
        <f t="array" ref="D175">IFERROR(_xlfn.XLOOKUP(C175,Code!A:A,Code!B:B),"")</f>
        <v>0.87</v>
      </c>
      <c r="E175" s="13" t="s">
        <v>309</v>
      </c>
      <c r="F175" s="13" t="s">
        <v>42</v>
      </c>
      <c r="G175" s="14" t="s">
        <v>17</v>
      </c>
      <c r="H175" s="14" t="s">
        <v>25</v>
      </c>
      <c r="I175" s="14">
        <v>1.0</v>
      </c>
      <c r="J175" s="14">
        <v>120.0</v>
      </c>
      <c r="K175" s="13">
        <f>I175*J175+I176*J176</f>
        <v>1720</v>
      </c>
      <c r="L175" s="13">
        <f>(I175+I176)*25</f>
        <v>425</v>
      </c>
      <c r="M175" s="13">
        <f>L175+K175</f>
        <v>2145</v>
      </c>
    </row>
    <row r="176" ht="20.25" customHeight="1">
      <c r="A176" s="20"/>
      <c r="B176" s="20"/>
      <c r="C176" s="20"/>
      <c r="D176" s="20"/>
      <c r="E176" s="20"/>
      <c r="F176" s="20"/>
      <c r="G176" s="14" t="s">
        <v>17</v>
      </c>
      <c r="H176" s="14" t="s">
        <v>18</v>
      </c>
      <c r="I176" s="14">
        <v>16.0</v>
      </c>
      <c r="J176" s="14">
        <v>100.0</v>
      </c>
      <c r="K176" s="20"/>
      <c r="L176" s="20"/>
      <c r="M176" s="20"/>
    </row>
    <row r="177" ht="20.25" customHeight="1">
      <c r="A177" s="69">
        <v>46242.0</v>
      </c>
      <c r="B177" s="25" t="s">
        <v>279</v>
      </c>
      <c r="C177" s="14">
        <v>514.0</v>
      </c>
      <c r="D177" s="623">
        <f t="array" ref="D177">IFERROR(_xlfn.XLOOKUP(C177,Code!A:A,Code!B:B),"")</f>
        <v>0.8</v>
      </c>
      <c r="E177" s="500"/>
      <c r="F177" s="522" t="s">
        <v>354</v>
      </c>
      <c r="G177" s="13" t="s">
        <v>179</v>
      </c>
      <c r="H177" s="13" t="s">
        <v>18</v>
      </c>
      <c r="I177" s="13">
        <v>18.0</v>
      </c>
      <c r="J177" s="512"/>
      <c r="K177" s="13">
        <v>2000.0</v>
      </c>
      <c r="L177" s="512"/>
      <c r="M177" s="512">
        <f>K177*(D177+D178)</f>
        <v>3560</v>
      </c>
    </row>
    <row r="178" ht="20.25" customHeight="1">
      <c r="A178" s="20"/>
      <c r="B178" s="20"/>
      <c r="C178" s="14">
        <v>515.0</v>
      </c>
      <c r="D178" s="623">
        <f t="array" ref="D178">IFERROR(_xlfn.XLOOKUP(C178,Code!A:A,Code!B:B),"")</f>
        <v>0.98</v>
      </c>
      <c r="E178" s="20"/>
      <c r="F178" s="20"/>
      <c r="G178" s="20"/>
      <c r="H178" s="20"/>
      <c r="I178" s="20"/>
      <c r="J178" s="20"/>
      <c r="K178" s="20"/>
      <c r="L178" s="20"/>
      <c r="M178" s="20"/>
    </row>
    <row r="179" ht="20.25" customHeight="1">
      <c r="A179" s="69">
        <v>46242.0</v>
      </c>
      <c r="B179" s="25" t="s">
        <v>110</v>
      </c>
      <c r="C179" s="13">
        <v>520.0</v>
      </c>
      <c r="D179" s="613">
        <f t="array" ref="D179">IFERROR(_xlfn.XLOOKUP(C179,Code!A:A,Code!B:B),"")</f>
        <v>0.89</v>
      </c>
      <c r="E179" s="500"/>
      <c r="F179" s="13" t="s">
        <v>275</v>
      </c>
      <c r="G179" s="13" t="s">
        <v>179</v>
      </c>
      <c r="H179" s="14" t="s">
        <v>25</v>
      </c>
      <c r="I179" s="14">
        <v>1.0</v>
      </c>
      <c r="J179" s="14">
        <v>220.0</v>
      </c>
      <c r="K179" s="512">
        <f>I179*J179+I180*J180+I181*J181+I182*J182+I183*J183</f>
        <v>2240</v>
      </c>
      <c r="L179" s="13">
        <v>400.0</v>
      </c>
      <c r="M179" s="512">
        <f>L179+K179</f>
        <v>2640</v>
      </c>
    </row>
    <row r="180" ht="20.25" customHeight="1">
      <c r="A180" s="29"/>
      <c r="B180" s="29"/>
      <c r="C180" s="29"/>
      <c r="D180" s="29"/>
      <c r="E180" s="29"/>
      <c r="F180" s="29"/>
      <c r="G180" s="29"/>
      <c r="H180" s="14" t="s">
        <v>18</v>
      </c>
      <c r="I180" s="14">
        <v>3.0</v>
      </c>
      <c r="J180" s="14">
        <v>100.0</v>
      </c>
      <c r="K180" s="29"/>
      <c r="L180" s="29"/>
      <c r="M180" s="29"/>
    </row>
    <row r="181" ht="20.25" customHeight="1">
      <c r="A181" s="57"/>
      <c r="B181" s="57"/>
      <c r="C181" s="57"/>
      <c r="D181" s="57"/>
      <c r="E181" s="57"/>
      <c r="F181" s="57"/>
      <c r="G181" s="57"/>
      <c r="H181" s="14" t="s">
        <v>18</v>
      </c>
      <c r="I181" s="14">
        <v>2.0</v>
      </c>
      <c r="J181" s="14">
        <v>120.0</v>
      </c>
      <c r="K181" s="57"/>
      <c r="L181" s="57"/>
      <c r="M181" s="57"/>
    </row>
    <row r="182" ht="20.25" customHeight="1">
      <c r="A182" s="29"/>
      <c r="B182" s="29"/>
      <c r="C182" s="29"/>
      <c r="D182" s="29"/>
      <c r="E182" s="29"/>
      <c r="F182" s="29"/>
      <c r="G182" s="29"/>
      <c r="H182" s="14" t="s">
        <v>18</v>
      </c>
      <c r="I182" s="14">
        <v>12.0</v>
      </c>
      <c r="J182" s="14">
        <v>100.0</v>
      </c>
      <c r="K182" s="29"/>
      <c r="L182" s="29"/>
      <c r="M182" s="29"/>
    </row>
    <row r="183" ht="20.25" customHeight="1">
      <c r="A183" s="58"/>
      <c r="B183" s="58"/>
      <c r="C183" s="58"/>
      <c r="D183" s="58"/>
      <c r="E183" s="58"/>
      <c r="F183" s="58"/>
      <c r="G183" s="58"/>
      <c r="H183" s="14" t="s">
        <v>18</v>
      </c>
      <c r="I183" s="14">
        <v>2.0</v>
      </c>
      <c r="J183" s="14">
        <v>140.0</v>
      </c>
      <c r="K183" s="58"/>
      <c r="L183" s="58"/>
      <c r="M183" s="58"/>
    </row>
    <row r="184" ht="20.25" customHeight="1">
      <c r="A184" s="69">
        <v>46244.0</v>
      </c>
      <c r="B184" s="25" t="s">
        <v>110</v>
      </c>
      <c r="C184" s="13">
        <v>519.0</v>
      </c>
      <c r="D184" s="613">
        <f t="array" ref="D184">IFERROR(_xlfn.XLOOKUP(C184,Code!A:A,Code!B:B),"")</f>
        <v>0.87</v>
      </c>
      <c r="E184" s="13" t="s">
        <v>309</v>
      </c>
      <c r="F184" s="13" t="s">
        <v>42</v>
      </c>
      <c r="G184" s="14" t="s">
        <v>17</v>
      </c>
      <c r="H184" s="14" t="s">
        <v>25</v>
      </c>
      <c r="I184" s="14">
        <v>1.0</v>
      </c>
      <c r="J184" s="14">
        <v>120.0</v>
      </c>
      <c r="K184" s="13">
        <f>I184*J184+I185*J185</f>
        <v>1720</v>
      </c>
      <c r="L184" s="13">
        <f>(I184+I185)*25</f>
        <v>425</v>
      </c>
      <c r="M184" s="13">
        <f>L184+K184</f>
        <v>2145</v>
      </c>
    </row>
    <row r="185" ht="20.25" customHeight="1">
      <c r="A185" s="58"/>
      <c r="B185" s="58"/>
      <c r="C185" s="58"/>
      <c r="D185" s="58"/>
      <c r="E185" s="58"/>
      <c r="F185" s="58"/>
      <c r="G185" s="14" t="s">
        <v>17</v>
      </c>
      <c r="H185" s="14" t="s">
        <v>18</v>
      </c>
      <c r="I185" s="14">
        <v>16.0</v>
      </c>
      <c r="J185" s="14">
        <v>100.0</v>
      </c>
      <c r="K185" s="58"/>
      <c r="L185" s="58"/>
      <c r="M185" s="58"/>
    </row>
    <row r="186" ht="20.25" customHeight="1">
      <c r="A186" s="69">
        <v>46244.0</v>
      </c>
      <c r="B186" s="25" t="s">
        <v>279</v>
      </c>
      <c r="C186" s="14">
        <v>512.0</v>
      </c>
      <c r="D186" s="623">
        <f t="array" ref="D186">IFERROR(_xlfn.XLOOKUP(C186,Code!A:A,Code!B:B),"")</f>
        <v>0.94</v>
      </c>
      <c r="E186" s="500"/>
      <c r="F186" s="522" t="s">
        <v>365</v>
      </c>
      <c r="G186" s="13" t="s">
        <v>179</v>
      </c>
      <c r="H186" s="13" t="s">
        <v>18</v>
      </c>
      <c r="I186" s="13">
        <v>16.0</v>
      </c>
      <c r="J186" s="512"/>
      <c r="K186" s="13">
        <v>2000.0</v>
      </c>
      <c r="L186" s="512"/>
      <c r="M186" s="512">
        <f>K186*(D186+D187)</f>
        <v>3640</v>
      </c>
    </row>
    <row r="187" ht="20.25" customHeight="1">
      <c r="A187" s="58"/>
      <c r="B187" s="58"/>
      <c r="C187" s="14">
        <v>513.0</v>
      </c>
      <c r="D187" s="623">
        <f t="array" ref="D187">IFERROR(_xlfn.XLOOKUP(C187,Code!A:A,Code!B:B),"")</f>
        <v>0.88</v>
      </c>
      <c r="E187" s="58"/>
      <c r="F187" s="58"/>
      <c r="G187" s="58"/>
      <c r="H187" s="58"/>
      <c r="I187" s="58"/>
      <c r="J187" s="58"/>
      <c r="K187" s="58"/>
      <c r="L187" s="58"/>
      <c r="M187" s="58"/>
    </row>
    <row r="188" ht="20.25" customHeight="1">
      <c r="A188" s="394">
        <v>46245.0</v>
      </c>
      <c r="B188" s="27" t="s">
        <v>279</v>
      </c>
      <c r="C188" s="14">
        <v>519.0</v>
      </c>
      <c r="D188" s="623">
        <f t="array" ref="D188">IFERROR(_xlfn.XLOOKUP(C188,Code!A:A,Code!B:B),"")</f>
        <v>0.87</v>
      </c>
      <c r="E188" s="638"/>
      <c r="F188" s="14" t="s">
        <v>371</v>
      </c>
      <c r="G188" s="14" t="s">
        <v>179</v>
      </c>
      <c r="H188" s="14" t="s">
        <v>18</v>
      </c>
      <c r="I188" s="14">
        <v>14.0</v>
      </c>
      <c r="J188" s="640"/>
      <c r="K188" s="14">
        <v>2000.0</v>
      </c>
      <c r="L188" s="640"/>
      <c r="M188" s="640">
        <f>K188*D188</f>
        <v>1740</v>
      </c>
    </row>
    <row r="189" ht="20.25" customHeight="1">
      <c r="A189" s="69">
        <v>46245.0</v>
      </c>
      <c r="B189" s="25" t="s">
        <v>110</v>
      </c>
      <c r="C189" s="13">
        <v>520.0</v>
      </c>
      <c r="D189" s="613">
        <f t="array" ref="D189">IFERROR(_xlfn.XLOOKUP(C189,Code!A:A,Code!B:B),"")</f>
        <v>0.89</v>
      </c>
      <c r="E189" s="13" t="s">
        <v>309</v>
      </c>
      <c r="F189" s="13" t="s">
        <v>42</v>
      </c>
      <c r="G189" s="14" t="s">
        <v>17</v>
      </c>
      <c r="H189" s="14" t="s">
        <v>25</v>
      </c>
      <c r="I189" s="14">
        <v>1.0</v>
      </c>
      <c r="J189" s="14">
        <v>120.0</v>
      </c>
      <c r="K189" s="13">
        <f>I189*J189+I190*J190</f>
        <v>1720</v>
      </c>
      <c r="L189" s="13">
        <f>(I189+I190)*25</f>
        <v>425</v>
      </c>
      <c r="M189" s="13">
        <f>L189+K189</f>
        <v>2145</v>
      </c>
    </row>
    <row r="190" ht="20.25" customHeight="1">
      <c r="A190" s="20"/>
      <c r="B190" s="20"/>
      <c r="C190" s="20"/>
      <c r="D190" s="20"/>
      <c r="E190" s="20"/>
      <c r="F190" s="20"/>
      <c r="G190" s="14" t="s">
        <v>17</v>
      </c>
      <c r="H190" s="14" t="s">
        <v>18</v>
      </c>
      <c r="I190" s="14">
        <v>16.0</v>
      </c>
      <c r="J190" s="14">
        <v>100.0</v>
      </c>
      <c r="K190" s="20"/>
      <c r="L190" s="20"/>
      <c r="M190" s="20"/>
    </row>
    <row r="191" ht="20.25" customHeight="1">
      <c r="A191" s="69">
        <v>46245.0</v>
      </c>
      <c r="B191" s="25" t="s">
        <v>110</v>
      </c>
      <c r="C191" s="13">
        <v>520.0</v>
      </c>
      <c r="D191" s="613">
        <f t="array" ref="D191">IFERROR(_xlfn.XLOOKUP(C191,Code!A:A,Code!B:B),"")</f>
        <v>0.89</v>
      </c>
      <c r="E191" s="500"/>
      <c r="F191" s="13" t="s">
        <v>275</v>
      </c>
      <c r="G191" s="13" t="s">
        <v>179</v>
      </c>
      <c r="H191" s="14" t="s">
        <v>25</v>
      </c>
      <c r="I191" s="14">
        <v>1.0</v>
      </c>
      <c r="J191" s="14">
        <v>220.0</v>
      </c>
      <c r="K191" s="13">
        <f>I191*J191+I192*J192+I193*J193</f>
        <v>1380</v>
      </c>
      <c r="L191" s="13">
        <v>400.0</v>
      </c>
      <c r="M191" s="512">
        <f>L191+K191</f>
        <v>1780</v>
      </c>
    </row>
    <row r="192" ht="20.25" customHeight="1">
      <c r="A192" s="29"/>
      <c r="B192" s="29"/>
      <c r="C192" s="29"/>
      <c r="D192" s="29"/>
      <c r="E192" s="29"/>
      <c r="F192" s="29"/>
      <c r="G192" s="29"/>
      <c r="H192" s="14" t="s">
        <v>18</v>
      </c>
      <c r="I192" s="14">
        <v>6.0</v>
      </c>
      <c r="J192" s="14">
        <v>100.0</v>
      </c>
      <c r="K192" s="29"/>
      <c r="L192" s="29"/>
      <c r="M192" s="29"/>
    </row>
    <row r="193" ht="20.25" customHeight="1">
      <c r="A193" s="58"/>
      <c r="B193" s="58"/>
      <c r="C193" s="58"/>
      <c r="D193" s="58"/>
      <c r="E193" s="58"/>
      <c r="F193" s="58"/>
      <c r="G193" s="58"/>
      <c r="H193" s="14" t="s">
        <v>18</v>
      </c>
      <c r="I193" s="14">
        <v>8.0</v>
      </c>
      <c r="J193" s="14">
        <v>70.0</v>
      </c>
      <c r="K193" s="58"/>
      <c r="L193" s="58"/>
      <c r="M193" s="58"/>
    </row>
    <row r="194" ht="20.25" customHeight="1">
      <c r="A194" s="69">
        <v>46246.0</v>
      </c>
      <c r="B194" s="25" t="s">
        <v>110</v>
      </c>
      <c r="C194" s="13">
        <v>520.0</v>
      </c>
      <c r="D194" s="613">
        <f t="array" ref="D194">IFERROR(_xlfn.XLOOKUP(C194,Code!A:A,Code!B:B),"")</f>
        <v>0.89</v>
      </c>
      <c r="E194" s="13" t="s">
        <v>309</v>
      </c>
      <c r="F194" s="13" t="s">
        <v>42</v>
      </c>
      <c r="G194" s="14" t="s">
        <v>17</v>
      </c>
      <c r="H194" s="14" t="s">
        <v>25</v>
      </c>
      <c r="I194" s="14">
        <v>1.0</v>
      </c>
      <c r="J194" s="14">
        <v>120.0</v>
      </c>
      <c r="K194" s="13">
        <f>I194*J194+I195*J195</f>
        <v>1720</v>
      </c>
      <c r="L194" s="13">
        <f>(I194+I195)*25</f>
        <v>425</v>
      </c>
      <c r="M194" s="13">
        <f>L194+K194</f>
        <v>2145</v>
      </c>
    </row>
    <row r="195" ht="20.25" customHeight="1">
      <c r="A195" s="58"/>
      <c r="B195" s="58"/>
      <c r="C195" s="58"/>
      <c r="D195" s="58"/>
      <c r="E195" s="58"/>
      <c r="F195" s="58"/>
      <c r="G195" s="14" t="s">
        <v>17</v>
      </c>
      <c r="H195" s="14" t="s">
        <v>18</v>
      </c>
      <c r="I195" s="14">
        <v>16.0</v>
      </c>
      <c r="J195" s="14">
        <v>100.0</v>
      </c>
      <c r="K195" s="58"/>
      <c r="L195" s="58"/>
      <c r="M195" s="58"/>
    </row>
    <row r="196" ht="20.25" customHeight="1">
      <c r="A196" s="69">
        <v>46247.0</v>
      </c>
      <c r="B196" s="25" t="s">
        <v>110</v>
      </c>
      <c r="C196" s="13">
        <v>520.0</v>
      </c>
      <c r="D196" s="613">
        <f t="array" ref="D196">IFERROR(_xlfn.XLOOKUP(C196,Code!A:A,Code!B:B),"")</f>
        <v>0.89</v>
      </c>
      <c r="E196" s="13" t="s">
        <v>309</v>
      </c>
      <c r="F196" s="13" t="s">
        <v>42</v>
      </c>
      <c r="G196" s="14" t="s">
        <v>17</v>
      </c>
      <c r="H196" s="14" t="s">
        <v>25</v>
      </c>
      <c r="I196" s="14">
        <v>1.0</v>
      </c>
      <c r="J196" s="14">
        <v>120.0</v>
      </c>
      <c r="K196" s="13">
        <f>I196*J196+I197*J197</f>
        <v>1820</v>
      </c>
      <c r="L196" s="13">
        <f>(I196+I197)*25</f>
        <v>450</v>
      </c>
      <c r="M196" s="13">
        <f>L196+K196</f>
        <v>2270</v>
      </c>
    </row>
    <row r="197" ht="20.25" customHeight="1">
      <c r="A197" s="58"/>
      <c r="B197" s="58"/>
      <c r="C197" s="58"/>
      <c r="D197" s="58"/>
      <c r="E197" s="58"/>
      <c r="F197" s="58"/>
      <c r="G197" s="14" t="s">
        <v>17</v>
      </c>
      <c r="H197" s="14" t="s">
        <v>18</v>
      </c>
      <c r="I197" s="14">
        <v>17.0</v>
      </c>
      <c r="J197" s="14">
        <v>100.0</v>
      </c>
      <c r="K197" s="58"/>
      <c r="L197" s="58"/>
      <c r="M197" s="58"/>
    </row>
    <row r="198" ht="31.5" customHeight="1">
      <c r="A198" s="394">
        <v>46247.0</v>
      </c>
      <c r="B198" s="27" t="s">
        <v>279</v>
      </c>
      <c r="C198" s="14">
        <v>518.0</v>
      </c>
      <c r="D198" s="165">
        <f t="array" ref="D198">IFERROR(_xlfn.XLOOKUP(C198,Code!A:A,Code!B:B),"")</f>
        <v>1.16</v>
      </c>
      <c r="E198" s="638"/>
      <c r="F198" s="14" t="s">
        <v>378</v>
      </c>
      <c r="G198" s="14" t="s">
        <v>179</v>
      </c>
      <c r="H198" s="14" t="s">
        <v>18</v>
      </c>
      <c r="I198" s="14">
        <v>14.0</v>
      </c>
      <c r="J198" s="640"/>
      <c r="K198" s="14">
        <v>2000.0</v>
      </c>
      <c r="L198" s="640"/>
      <c r="M198" s="640">
        <f t="shared" ref="M198:M199" si="2">K198*D198</f>
        <v>2320</v>
      </c>
    </row>
    <row r="199" ht="27.75" customHeight="1">
      <c r="A199" s="642">
        <v>46249.0</v>
      </c>
      <c r="B199" s="27" t="s">
        <v>279</v>
      </c>
      <c r="C199" s="14">
        <v>520.0</v>
      </c>
      <c r="D199" s="165">
        <f t="array" ref="D199">IFERROR(_xlfn.XLOOKUP(C199,Code!A:A,Code!B:B),"")</f>
        <v>0.89</v>
      </c>
      <c r="E199" s="638"/>
      <c r="F199" s="14" t="s">
        <v>379</v>
      </c>
      <c r="G199" s="14" t="s">
        <v>179</v>
      </c>
      <c r="H199" s="14" t="s">
        <v>18</v>
      </c>
      <c r="I199" s="14">
        <v>10.0</v>
      </c>
      <c r="J199" s="640"/>
      <c r="K199" s="14">
        <v>2000.0</v>
      </c>
      <c r="L199" s="640"/>
      <c r="M199" s="640">
        <f t="shared" si="2"/>
        <v>1780</v>
      </c>
    </row>
    <row r="200" ht="20.25" customHeight="1">
      <c r="A200" s="393"/>
      <c r="B200" s="31"/>
      <c r="C200" s="22"/>
      <c r="D200" s="165"/>
      <c r="E200" s="643"/>
      <c r="F200" s="22"/>
      <c r="G200" s="22"/>
      <c r="H200" s="22"/>
      <c r="I200" s="644"/>
      <c r="J200" s="644"/>
      <c r="K200" s="644"/>
      <c r="L200" s="644"/>
      <c r="M200" s="644"/>
    </row>
    <row r="201" ht="20.25" customHeight="1">
      <c r="A201" s="394"/>
      <c r="B201" s="27"/>
      <c r="C201" s="14"/>
      <c r="D201" s="165"/>
      <c r="E201" s="638"/>
      <c r="F201" s="14"/>
      <c r="G201" s="14"/>
      <c r="H201" s="14"/>
      <c r="I201" s="640"/>
      <c r="J201" s="640"/>
      <c r="K201" s="640"/>
      <c r="L201" s="640"/>
      <c r="M201" s="640"/>
    </row>
    <row r="202" ht="20.25" customHeight="1">
      <c r="A202" s="393"/>
      <c r="B202" s="31"/>
      <c r="C202" s="22"/>
      <c r="D202" s="165"/>
      <c r="E202" s="643"/>
      <c r="F202" s="22"/>
      <c r="G202" s="22"/>
      <c r="H202" s="22"/>
      <c r="I202" s="644"/>
      <c r="J202" s="644"/>
      <c r="K202" s="644"/>
      <c r="L202" s="644"/>
      <c r="M202" s="644"/>
    </row>
    <row r="203" ht="20.25" customHeight="1">
      <c r="A203" s="394"/>
      <c r="B203" s="27"/>
      <c r="C203" s="14"/>
      <c r="D203" s="165"/>
      <c r="E203" s="638"/>
      <c r="F203" s="14"/>
      <c r="G203" s="14"/>
      <c r="H203" s="14"/>
      <c r="I203" s="640"/>
      <c r="J203" s="640"/>
      <c r="K203" s="640"/>
      <c r="L203" s="640"/>
      <c r="M203" s="640"/>
    </row>
    <row r="204" ht="20.25" customHeight="1">
      <c r="A204" s="393"/>
      <c r="B204" s="31"/>
      <c r="C204" s="22"/>
      <c r="D204" s="165"/>
      <c r="E204" s="643"/>
      <c r="F204" s="22"/>
      <c r="G204" s="22"/>
      <c r="H204" s="22"/>
      <c r="I204" s="644"/>
      <c r="J204" s="644"/>
      <c r="K204" s="644"/>
      <c r="L204" s="644"/>
      <c r="M204" s="644"/>
    </row>
    <row r="205" ht="20.25" customHeight="1">
      <c r="A205" s="394"/>
      <c r="B205" s="27"/>
      <c r="C205" s="14"/>
      <c r="D205" s="165"/>
      <c r="E205" s="638"/>
      <c r="F205" s="14"/>
      <c r="G205" s="14"/>
      <c r="H205" s="14"/>
      <c r="I205" s="640"/>
      <c r="J205" s="640"/>
      <c r="K205" s="640"/>
      <c r="L205" s="640"/>
      <c r="M205" s="640"/>
    </row>
    <row r="206" ht="20.25" customHeight="1">
      <c r="A206" s="393"/>
      <c r="B206" s="31"/>
      <c r="C206" s="22"/>
      <c r="D206" s="165"/>
      <c r="E206" s="643"/>
      <c r="F206" s="22"/>
      <c r="G206" s="22"/>
      <c r="H206" s="22"/>
      <c r="I206" s="644"/>
      <c r="J206" s="644"/>
      <c r="K206" s="644"/>
      <c r="L206" s="644"/>
      <c r="M206" s="644"/>
    </row>
    <row r="207" ht="20.25" customHeight="1">
      <c r="A207" s="394"/>
      <c r="B207" s="27"/>
      <c r="C207" s="14"/>
      <c r="D207" s="165"/>
      <c r="E207" s="638"/>
      <c r="F207" s="14"/>
      <c r="G207" s="14"/>
      <c r="H207" s="14"/>
      <c r="I207" s="640"/>
      <c r="J207" s="640"/>
      <c r="K207" s="640"/>
      <c r="L207" s="640"/>
      <c r="M207" s="640"/>
    </row>
    <row r="208" ht="20.25" customHeight="1">
      <c r="A208" s="393"/>
      <c r="B208" s="31"/>
      <c r="C208" s="22"/>
      <c r="D208" s="165"/>
      <c r="E208" s="643"/>
      <c r="F208" s="22"/>
      <c r="G208" s="22"/>
      <c r="H208" s="22"/>
      <c r="I208" s="644"/>
      <c r="J208" s="644"/>
      <c r="K208" s="644"/>
      <c r="L208" s="644"/>
      <c r="M208" s="644"/>
    </row>
    <row r="209" ht="20.25" customHeight="1">
      <c r="A209" s="394"/>
      <c r="B209" s="27"/>
      <c r="C209" s="14"/>
      <c r="D209" s="165"/>
      <c r="E209" s="638"/>
      <c r="F209" s="14"/>
      <c r="G209" s="14"/>
      <c r="H209" s="14"/>
      <c r="I209" s="640"/>
      <c r="J209" s="640"/>
      <c r="K209" s="640"/>
      <c r="L209" s="640"/>
      <c r="M209" s="640"/>
    </row>
    <row r="210" ht="20.25" customHeight="1">
      <c r="A210" s="393"/>
      <c r="B210" s="31"/>
      <c r="C210" s="22"/>
      <c r="D210" s="165"/>
      <c r="E210" s="643"/>
      <c r="F210" s="22"/>
      <c r="G210" s="22"/>
      <c r="H210" s="22"/>
      <c r="I210" s="644"/>
      <c r="J210" s="644"/>
      <c r="K210" s="644"/>
      <c r="L210" s="644"/>
      <c r="M210" s="644"/>
    </row>
    <row r="211" ht="20.25" customHeight="1">
      <c r="A211" s="394"/>
      <c r="B211" s="27"/>
      <c r="C211" s="14"/>
      <c r="D211" s="165"/>
      <c r="E211" s="638"/>
      <c r="F211" s="14"/>
      <c r="G211" s="14"/>
      <c r="H211" s="14"/>
      <c r="I211" s="640"/>
      <c r="J211" s="640"/>
      <c r="K211" s="640"/>
      <c r="L211" s="640"/>
      <c r="M211" s="640"/>
    </row>
    <row r="212" ht="20.25" customHeight="1">
      <c r="A212" s="393"/>
      <c r="B212" s="31"/>
      <c r="C212" s="22"/>
      <c r="D212" s="165"/>
      <c r="E212" s="643"/>
      <c r="F212" s="22"/>
      <c r="G212" s="22"/>
      <c r="H212" s="22"/>
      <c r="I212" s="644"/>
      <c r="J212" s="644"/>
      <c r="K212" s="644"/>
      <c r="L212" s="644"/>
      <c r="M212" s="644"/>
    </row>
    <row r="213" ht="20.25" customHeight="1">
      <c r="A213" s="394"/>
      <c r="B213" s="27"/>
      <c r="C213" s="14"/>
      <c r="D213" s="165"/>
      <c r="E213" s="638"/>
      <c r="F213" s="14"/>
      <c r="G213" s="14"/>
      <c r="H213" s="14"/>
      <c r="I213" s="640"/>
      <c r="J213" s="640"/>
      <c r="K213" s="640"/>
      <c r="L213" s="640"/>
      <c r="M213" s="640"/>
    </row>
    <row r="214" ht="20.25" customHeight="1">
      <c r="A214" s="393"/>
      <c r="B214" s="31"/>
      <c r="C214" s="22"/>
      <c r="D214" s="165"/>
      <c r="E214" s="643"/>
      <c r="F214" s="22"/>
      <c r="G214" s="22"/>
      <c r="H214" s="22"/>
      <c r="I214" s="644"/>
      <c r="J214" s="644"/>
      <c r="K214" s="644"/>
      <c r="L214" s="644"/>
      <c r="M214" s="644"/>
    </row>
    <row r="215" ht="20.25" customHeight="1">
      <c r="A215" s="394"/>
      <c r="B215" s="27"/>
      <c r="C215" s="14"/>
      <c r="D215" s="165"/>
      <c r="E215" s="638"/>
      <c r="F215" s="14"/>
      <c r="G215" s="14"/>
      <c r="H215" s="14"/>
      <c r="I215" s="640"/>
      <c r="J215" s="640"/>
      <c r="K215" s="640"/>
      <c r="L215" s="640"/>
      <c r="M215" s="640"/>
    </row>
    <row r="216" ht="20.25" customHeight="1">
      <c r="A216" s="393"/>
      <c r="B216" s="31"/>
      <c r="C216" s="22"/>
      <c r="D216" s="165"/>
      <c r="E216" s="643"/>
      <c r="F216" s="22"/>
      <c r="G216" s="22"/>
      <c r="H216" s="22"/>
      <c r="I216" s="644"/>
      <c r="J216" s="644"/>
      <c r="K216" s="644"/>
      <c r="L216" s="644"/>
      <c r="M216" s="644"/>
    </row>
    <row r="217" ht="20.25" customHeight="1">
      <c r="A217" s="394"/>
      <c r="B217" s="27"/>
      <c r="C217" s="14"/>
      <c r="D217" s="165"/>
      <c r="E217" s="638"/>
      <c r="F217" s="14"/>
      <c r="G217" s="14"/>
      <c r="H217" s="14"/>
      <c r="I217" s="640"/>
      <c r="J217" s="640"/>
      <c r="K217" s="640"/>
      <c r="L217" s="640"/>
      <c r="M217" s="640"/>
    </row>
    <row r="218" ht="20.25" customHeight="1">
      <c r="A218" s="393"/>
      <c r="B218" s="31"/>
      <c r="C218" s="22"/>
      <c r="D218" s="165"/>
      <c r="E218" s="643"/>
      <c r="F218" s="22"/>
      <c r="G218" s="22"/>
      <c r="H218" s="22"/>
      <c r="I218" s="644"/>
      <c r="J218" s="644"/>
      <c r="K218" s="644"/>
      <c r="L218" s="644"/>
      <c r="M218" s="644"/>
    </row>
    <row r="219" ht="20.25" customHeight="1">
      <c r="A219" s="394"/>
      <c r="B219" s="27"/>
      <c r="C219" s="14"/>
      <c r="D219" s="165"/>
      <c r="E219" s="638"/>
      <c r="F219" s="14"/>
      <c r="G219" s="14"/>
      <c r="H219" s="14"/>
      <c r="I219" s="640"/>
      <c r="J219" s="640"/>
      <c r="K219" s="640"/>
      <c r="L219" s="640"/>
      <c r="M219" s="640"/>
    </row>
    <row r="220" ht="20.25" customHeight="1">
      <c r="A220" s="393"/>
      <c r="B220" s="31"/>
      <c r="C220" s="22"/>
      <c r="D220" s="165"/>
      <c r="E220" s="643"/>
      <c r="F220" s="22"/>
      <c r="G220" s="22"/>
      <c r="H220" s="22"/>
      <c r="I220" s="644"/>
      <c r="J220" s="644"/>
      <c r="K220" s="644"/>
      <c r="L220" s="644"/>
      <c r="M220" s="644"/>
    </row>
    <row r="221" ht="20.25" customHeight="1">
      <c r="A221" s="394"/>
      <c r="B221" s="27"/>
      <c r="C221" s="14"/>
      <c r="D221" s="165"/>
      <c r="E221" s="638"/>
      <c r="F221" s="14"/>
      <c r="G221" s="14"/>
      <c r="H221" s="14"/>
      <c r="I221" s="640"/>
      <c r="J221" s="640"/>
      <c r="K221" s="640"/>
      <c r="L221" s="640"/>
      <c r="M221" s="640"/>
    </row>
    <row r="222" ht="20.25" customHeight="1">
      <c r="A222" s="393"/>
      <c r="B222" s="31"/>
      <c r="C222" s="22"/>
      <c r="D222" s="165"/>
      <c r="E222" s="643"/>
      <c r="F222" s="22"/>
      <c r="G222" s="22"/>
      <c r="H222" s="22"/>
      <c r="I222" s="644"/>
      <c r="J222" s="644"/>
      <c r="K222" s="644"/>
      <c r="L222" s="644"/>
      <c r="M222" s="644"/>
    </row>
    <row r="223" ht="20.25" customHeight="1">
      <c r="A223" s="394"/>
      <c r="B223" s="27"/>
      <c r="C223" s="14"/>
      <c r="D223" s="165"/>
      <c r="E223" s="638"/>
      <c r="F223" s="14"/>
      <c r="G223" s="14"/>
      <c r="H223" s="14"/>
      <c r="I223" s="640"/>
      <c r="J223" s="640"/>
      <c r="K223" s="640"/>
      <c r="L223" s="640"/>
      <c r="M223" s="640"/>
    </row>
    <row r="224" ht="20.25" customHeight="1">
      <c r="A224" s="393"/>
      <c r="B224" s="31"/>
      <c r="C224" s="22"/>
      <c r="D224" s="165"/>
      <c r="E224" s="643"/>
      <c r="F224" s="22"/>
      <c r="G224" s="22"/>
      <c r="H224" s="22"/>
      <c r="I224" s="644"/>
      <c r="J224" s="644"/>
      <c r="K224" s="644"/>
      <c r="L224" s="644"/>
      <c r="M224" s="644"/>
    </row>
    <row r="225" ht="20.25" customHeight="1">
      <c r="A225" s="394"/>
      <c r="B225" s="27"/>
      <c r="C225" s="14"/>
      <c r="D225" s="165"/>
      <c r="E225" s="638"/>
      <c r="F225" s="14"/>
      <c r="G225" s="14"/>
      <c r="H225" s="14"/>
      <c r="I225" s="640"/>
      <c r="J225" s="640"/>
      <c r="K225" s="640"/>
      <c r="L225" s="640"/>
      <c r="M225" s="640"/>
    </row>
    <row r="226" ht="20.25" customHeight="1">
      <c r="A226" s="393"/>
      <c r="B226" s="31"/>
      <c r="C226" s="22"/>
      <c r="D226" s="165"/>
      <c r="E226" s="643"/>
      <c r="F226" s="22"/>
      <c r="G226" s="22"/>
      <c r="H226" s="22"/>
      <c r="I226" s="644"/>
      <c r="J226" s="644"/>
      <c r="K226" s="644"/>
      <c r="L226" s="644"/>
      <c r="M226" s="644"/>
    </row>
    <row r="227" ht="20.25" customHeight="1">
      <c r="A227" s="394"/>
      <c r="B227" s="27"/>
      <c r="C227" s="14"/>
      <c r="D227" s="165"/>
      <c r="E227" s="638"/>
      <c r="F227" s="14"/>
      <c r="G227" s="14"/>
      <c r="H227" s="14"/>
      <c r="I227" s="640"/>
      <c r="J227" s="640"/>
      <c r="K227" s="640"/>
      <c r="L227" s="640"/>
      <c r="M227" s="640"/>
    </row>
    <row r="228" ht="20.25" customHeight="1">
      <c r="A228" s="393"/>
      <c r="B228" s="31"/>
      <c r="C228" s="22"/>
      <c r="D228" s="165"/>
      <c r="E228" s="643"/>
      <c r="F228" s="22"/>
      <c r="G228" s="22"/>
      <c r="H228" s="22"/>
      <c r="I228" s="644"/>
      <c r="J228" s="644"/>
      <c r="K228" s="644"/>
      <c r="L228" s="644"/>
      <c r="M228" s="644"/>
    </row>
    <row r="229" ht="20.25" customHeight="1">
      <c r="A229" s="394"/>
      <c r="B229" s="27"/>
      <c r="C229" s="14"/>
      <c r="D229" s="165"/>
      <c r="E229" s="638"/>
      <c r="F229" s="14"/>
      <c r="G229" s="14"/>
      <c r="H229" s="14"/>
      <c r="I229" s="640"/>
      <c r="J229" s="640"/>
      <c r="K229" s="640"/>
      <c r="L229" s="640"/>
      <c r="M229" s="640"/>
    </row>
    <row r="230" ht="20.25" customHeight="1">
      <c r="A230" s="393"/>
      <c r="B230" s="31"/>
      <c r="C230" s="22"/>
      <c r="D230" s="165"/>
      <c r="E230" s="643"/>
      <c r="F230" s="22"/>
      <c r="G230" s="22"/>
      <c r="H230" s="22"/>
      <c r="I230" s="644"/>
      <c r="J230" s="644"/>
      <c r="K230" s="644"/>
      <c r="L230" s="644"/>
      <c r="M230" s="644"/>
    </row>
    <row r="231" ht="20.25" customHeight="1">
      <c r="A231" s="394"/>
      <c r="B231" s="27"/>
      <c r="C231" s="14"/>
      <c r="D231" s="165"/>
      <c r="E231" s="638"/>
      <c r="F231" s="14"/>
      <c r="G231" s="14"/>
      <c r="H231" s="14"/>
      <c r="I231" s="640"/>
      <c r="J231" s="640"/>
      <c r="K231" s="640"/>
      <c r="L231" s="640"/>
      <c r="M231" s="640"/>
    </row>
    <row r="232" ht="20.25" customHeight="1">
      <c r="A232" s="393"/>
      <c r="B232" s="31"/>
      <c r="C232" s="22"/>
      <c r="D232" s="165"/>
      <c r="E232" s="643"/>
      <c r="F232" s="22"/>
      <c r="G232" s="22"/>
      <c r="H232" s="22"/>
      <c r="I232" s="644"/>
      <c r="J232" s="644"/>
      <c r="K232" s="644"/>
      <c r="L232" s="644"/>
      <c r="M232" s="644"/>
    </row>
    <row r="233" ht="20.25" customHeight="1">
      <c r="A233" s="394"/>
      <c r="B233" s="27"/>
      <c r="C233" s="14"/>
      <c r="D233" s="165"/>
      <c r="E233" s="638"/>
      <c r="F233" s="14"/>
      <c r="G233" s="14"/>
      <c r="H233" s="14"/>
      <c r="I233" s="640"/>
      <c r="J233" s="640"/>
      <c r="K233" s="640"/>
      <c r="L233" s="640"/>
      <c r="M233" s="640"/>
    </row>
    <row r="234" ht="20.25" customHeight="1">
      <c r="A234" s="393"/>
      <c r="B234" s="31"/>
      <c r="C234" s="22"/>
      <c r="D234" s="165"/>
      <c r="E234" s="643"/>
      <c r="F234" s="22"/>
      <c r="G234" s="22"/>
      <c r="H234" s="22"/>
      <c r="I234" s="644"/>
      <c r="J234" s="644"/>
      <c r="K234" s="644"/>
      <c r="L234" s="644"/>
      <c r="M234" s="644"/>
    </row>
    <row r="235" ht="20.25" customHeight="1">
      <c r="A235" s="394"/>
      <c r="B235" s="27"/>
      <c r="C235" s="14"/>
      <c r="D235" s="165"/>
      <c r="E235" s="638"/>
      <c r="F235" s="14"/>
      <c r="G235" s="14"/>
      <c r="H235" s="14"/>
      <c r="I235" s="640"/>
      <c r="J235" s="640"/>
      <c r="K235" s="640"/>
      <c r="L235" s="640"/>
      <c r="M235" s="640"/>
    </row>
    <row r="236" ht="20.25" customHeight="1">
      <c r="A236" s="393"/>
      <c r="B236" s="31"/>
      <c r="C236" s="22"/>
      <c r="D236" s="165"/>
      <c r="E236" s="643"/>
      <c r="F236" s="22"/>
      <c r="G236" s="22"/>
      <c r="H236" s="22"/>
      <c r="I236" s="644"/>
      <c r="J236" s="644"/>
      <c r="K236" s="644"/>
      <c r="L236" s="644"/>
      <c r="M236" s="644"/>
    </row>
    <row r="237" ht="20.25" customHeight="1">
      <c r="A237" s="394"/>
      <c r="B237" s="27"/>
      <c r="C237" s="14"/>
      <c r="D237" s="165"/>
      <c r="E237" s="638"/>
      <c r="F237" s="14"/>
      <c r="G237" s="14"/>
      <c r="H237" s="14"/>
      <c r="I237" s="640"/>
      <c r="J237" s="640"/>
      <c r="K237" s="640"/>
      <c r="L237" s="640"/>
      <c r="M237" s="640"/>
    </row>
    <row r="238" ht="20.25" customHeight="1">
      <c r="A238" s="393"/>
      <c r="B238" s="31"/>
      <c r="C238" s="22"/>
      <c r="D238" s="165"/>
      <c r="E238" s="643"/>
      <c r="F238" s="22"/>
      <c r="G238" s="22"/>
      <c r="H238" s="22"/>
      <c r="I238" s="644"/>
      <c r="J238" s="644"/>
      <c r="K238" s="644"/>
      <c r="L238" s="644"/>
      <c r="M238" s="644"/>
    </row>
    <row r="239" ht="20.25" customHeight="1">
      <c r="A239" s="394"/>
      <c r="B239" s="27"/>
      <c r="C239" s="14"/>
      <c r="D239" s="165"/>
      <c r="E239" s="638"/>
      <c r="F239" s="14"/>
      <c r="G239" s="14"/>
      <c r="H239" s="14"/>
      <c r="I239" s="640"/>
      <c r="J239" s="640"/>
      <c r="K239" s="640"/>
      <c r="L239" s="640"/>
      <c r="M239" s="640"/>
    </row>
    <row r="240" ht="20.25" customHeight="1">
      <c r="A240" s="393"/>
      <c r="B240" s="31"/>
      <c r="C240" s="22"/>
      <c r="D240" s="165"/>
      <c r="E240" s="643"/>
      <c r="F240" s="22"/>
      <c r="G240" s="22"/>
      <c r="H240" s="22"/>
      <c r="I240" s="644"/>
      <c r="J240" s="644"/>
      <c r="K240" s="644"/>
      <c r="L240" s="644"/>
      <c r="M240" s="644"/>
    </row>
    <row r="241" ht="20.25" customHeight="1">
      <c r="A241" s="394"/>
      <c r="B241" s="27"/>
      <c r="C241" s="14"/>
      <c r="D241" s="165"/>
      <c r="E241" s="638"/>
      <c r="F241" s="14"/>
      <c r="G241" s="14"/>
      <c r="H241" s="14"/>
      <c r="I241" s="640"/>
      <c r="J241" s="640"/>
      <c r="K241" s="640"/>
      <c r="L241" s="640"/>
      <c r="M241" s="640"/>
    </row>
    <row r="242" ht="20.25" customHeight="1">
      <c r="A242" s="393"/>
      <c r="B242" s="31"/>
      <c r="C242" s="22"/>
      <c r="D242" s="165"/>
      <c r="E242" s="643"/>
      <c r="F242" s="22"/>
      <c r="G242" s="22"/>
      <c r="H242" s="22"/>
      <c r="I242" s="644"/>
      <c r="J242" s="644"/>
      <c r="K242" s="644"/>
      <c r="L242" s="644"/>
      <c r="M242" s="644"/>
    </row>
    <row r="243" ht="20.25" customHeight="1">
      <c r="A243" s="394"/>
      <c r="B243" s="27"/>
      <c r="C243" s="14"/>
      <c r="D243" s="165"/>
      <c r="E243" s="638"/>
      <c r="F243" s="14"/>
      <c r="G243" s="14"/>
      <c r="H243" s="14"/>
      <c r="I243" s="640"/>
      <c r="J243" s="640"/>
      <c r="K243" s="640"/>
      <c r="L243" s="640"/>
      <c r="M243" s="640"/>
    </row>
    <row r="244" ht="20.25" customHeight="1">
      <c r="A244" s="393"/>
      <c r="B244" s="31"/>
      <c r="C244" s="22"/>
      <c r="D244" s="165"/>
      <c r="E244" s="643"/>
      <c r="F244" s="22"/>
      <c r="G244" s="22"/>
      <c r="H244" s="22"/>
      <c r="I244" s="644"/>
      <c r="J244" s="644"/>
      <c r="K244" s="644"/>
      <c r="L244" s="644"/>
      <c r="M244" s="644"/>
    </row>
    <row r="245" ht="20.25" customHeight="1">
      <c r="A245" s="394"/>
      <c r="B245" s="27"/>
      <c r="C245" s="14"/>
      <c r="D245" s="165"/>
      <c r="E245" s="638"/>
      <c r="F245" s="14"/>
      <c r="G245" s="14"/>
      <c r="H245" s="14"/>
      <c r="I245" s="640"/>
      <c r="J245" s="640"/>
      <c r="K245" s="640"/>
      <c r="L245" s="640"/>
      <c r="M245" s="640"/>
    </row>
    <row r="246" ht="20.25" customHeight="1">
      <c r="A246" s="393"/>
      <c r="B246" s="31"/>
      <c r="C246" s="22"/>
      <c r="D246" s="165"/>
      <c r="E246" s="643"/>
      <c r="F246" s="22"/>
      <c r="G246" s="22"/>
      <c r="H246" s="22"/>
      <c r="I246" s="644"/>
      <c r="J246" s="644"/>
      <c r="K246" s="644"/>
      <c r="L246" s="644"/>
      <c r="M246" s="644"/>
    </row>
    <row r="247" ht="20.25" customHeight="1">
      <c r="A247" s="394"/>
      <c r="B247" s="27"/>
      <c r="C247" s="14"/>
      <c r="D247" s="165"/>
      <c r="E247" s="638"/>
      <c r="F247" s="14"/>
      <c r="G247" s="14"/>
      <c r="H247" s="14"/>
      <c r="I247" s="640"/>
      <c r="J247" s="640"/>
      <c r="K247" s="640"/>
      <c r="L247" s="640"/>
      <c r="M247" s="640"/>
    </row>
    <row r="248" ht="20.25" customHeight="1">
      <c r="A248" s="393"/>
      <c r="B248" s="31"/>
      <c r="C248" s="22"/>
      <c r="D248" s="165"/>
      <c r="E248" s="643"/>
      <c r="F248" s="22"/>
      <c r="G248" s="22"/>
      <c r="H248" s="22"/>
      <c r="I248" s="644"/>
      <c r="J248" s="644"/>
      <c r="K248" s="644"/>
      <c r="L248" s="644"/>
      <c r="M248" s="644"/>
    </row>
    <row r="249" ht="20.25" customHeight="1">
      <c r="A249" s="394"/>
      <c r="B249" s="27"/>
      <c r="C249" s="14"/>
      <c r="D249" s="165"/>
      <c r="E249" s="638"/>
      <c r="F249" s="14"/>
      <c r="G249" s="14"/>
      <c r="H249" s="14"/>
      <c r="I249" s="640"/>
      <c r="J249" s="640"/>
      <c r="K249" s="640"/>
      <c r="L249" s="640"/>
      <c r="M249" s="640"/>
    </row>
    <row r="250" ht="20.25" customHeight="1">
      <c r="A250" s="393"/>
      <c r="B250" s="31"/>
      <c r="C250" s="22"/>
      <c r="D250" s="165"/>
      <c r="E250" s="643"/>
      <c r="F250" s="22"/>
      <c r="G250" s="22"/>
      <c r="H250" s="22"/>
      <c r="I250" s="644"/>
      <c r="J250" s="644"/>
      <c r="K250" s="644"/>
      <c r="L250" s="644"/>
      <c r="M250" s="644"/>
    </row>
    <row r="251" ht="20.25" customHeight="1">
      <c r="A251" s="394"/>
      <c r="B251" s="27"/>
      <c r="C251" s="14"/>
      <c r="D251" s="165"/>
      <c r="E251" s="638"/>
      <c r="F251" s="14"/>
      <c r="G251" s="14"/>
      <c r="H251" s="14"/>
      <c r="I251" s="640"/>
      <c r="J251" s="640"/>
      <c r="K251" s="640"/>
      <c r="L251" s="640"/>
      <c r="M251" s="640"/>
    </row>
    <row r="252" ht="20.25" customHeight="1">
      <c r="A252" s="393"/>
      <c r="B252" s="31"/>
      <c r="C252" s="22"/>
      <c r="D252" s="165"/>
      <c r="E252" s="643"/>
      <c r="F252" s="22"/>
      <c r="G252" s="22"/>
      <c r="H252" s="22"/>
      <c r="I252" s="644"/>
      <c r="J252" s="644"/>
      <c r="K252" s="644"/>
      <c r="L252" s="644"/>
      <c r="M252" s="644"/>
    </row>
    <row r="253" ht="20.25" customHeight="1">
      <c r="A253" s="394"/>
      <c r="B253" s="27"/>
      <c r="C253" s="14"/>
      <c r="D253" s="165"/>
      <c r="E253" s="638"/>
      <c r="F253" s="14"/>
      <c r="G253" s="14"/>
      <c r="H253" s="14"/>
      <c r="I253" s="640"/>
      <c r="J253" s="640"/>
      <c r="K253" s="640"/>
      <c r="L253" s="640"/>
      <c r="M253" s="640"/>
    </row>
    <row r="254" ht="20.25" customHeight="1">
      <c r="A254" s="393"/>
      <c r="B254" s="31"/>
      <c r="C254" s="22"/>
      <c r="D254" s="165"/>
      <c r="E254" s="643"/>
      <c r="F254" s="22"/>
      <c r="G254" s="22"/>
      <c r="H254" s="22"/>
      <c r="I254" s="644"/>
      <c r="J254" s="644"/>
      <c r="K254" s="644"/>
      <c r="L254" s="644"/>
      <c r="M254" s="644"/>
    </row>
    <row r="255" ht="20.25" customHeight="1">
      <c r="A255" s="394"/>
      <c r="B255" s="27"/>
      <c r="C255" s="14"/>
      <c r="D255" s="165"/>
      <c r="E255" s="638"/>
      <c r="F255" s="14"/>
      <c r="G255" s="14"/>
      <c r="H255" s="14"/>
      <c r="I255" s="640"/>
      <c r="J255" s="640"/>
      <c r="K255" s="640"/>
      <c r="L255" s="640"/>
      <c r="M255" s="640"/>
    </row>
    <row r="256" ht="20.25" customHeight="1">
      <c r="A256" s="393"/>
      <c r="B256" s="31"/>
      <c r="C256" s="22"/>
      <c r="D256" s="165"/>
      <c r="E256" s="643"/>
      <c r="F256" s="22"/>
      <c r="G256" s="22"/>
      <c r="H256" s="22"/>
      <c r="I256" s="644"/>
      <c r="J256" s="644"/>
      <c r="K256" s="644"/>
      <c r="L256" s="644"/>
      <c r="M256" s="644"/>
    </row>
    <row r="257" ht="20.25" customHeight="1">
      <c r="A257" s="394"/>
      <c r="B257" s="27"/>
      <c r="C257" s="14"/>
      <c r="D257" s="165"/>
      <c r="E257" s="638"/>
      <c r="F257" s="14"/>
      <c r="G257" s="14"/>
      <c r="H257" s="14"/>
      <c r="I257" s="640"/>
      <c r="J257" s="640"/>
      <c r="K257" s="640"/>
      <c r="L257" s="640"/>
      <c r="M257" s="640"/>
    </row>
    <row r="258" ht="20.25" customHeight="1">
      <c r="A258" s="393"/>
      <c r="B258" s="31"/>
      <c r="C258" s="22"/>
      <c r="D258" s="165"/>
      <c r="E258" s="643"/>
      <c r="F258" s="22"/>
      <c r="G258" s="22"/>
      <c r="H258" s="22"/>
      <c r="I258" s="644"/>
      <c r="J258" s="644"/>
      <c r="K258" s="644"/>
      <c r="L258" s="644"/>
      <c r="M258" s="644"/>
    </row>
    <row r="259" ht="20.25" customHeight="1">
      <c r="A259" s="394"/>
      <c r="B259" s="27"/>
      <c r="C259" s="14"/>
      <c r="D259" s="165"/>
      <c r="E259" s="638"/>
      <c r="F259" s="14"/>
      <c r="G259" s="14"/>
      <c r="H259" s="14"/>
      <c r="I259" s="640"/>
      <c r="J259" s="640"/>
      <c r="K259" s="640"/>
      <c r="L259" s="640"/>
      <c r="M259" s="640"/>
    </row>
    <row r="260" ht="20.25" customHeight="1">
      <c r="A260" s="393"/>
      <c r="B260" s="31"/>
      <c r="C260" s="22"/>
      <c r="D260" s="165"/>
      <c r="E260" s="643"/>
      <c r="F260" s="22"/>
      <c r="G260" s="22"/>
      <c r="H260" s="22"/>
      <c r="I260" s="644"/>
      <c r="J260" s="644"/>
      <c r="K260" s="644"/>
      <c r="L260" s="644"/>
      <c r="M260" s="644"/>
    </row>
    <row r="261" ht="20.25" customHeight="1">
      <c r="A261" s="394"/>
      <c r="B261" s="27"/>
      <c r="C261" s="14"/>
      <c r="D261" s="165"/>
      <c r="E261" s="638"/>
      <c r="F261" s="14"/>
      <c r="G261" s="14"/>
      <c r="H261" s="14"/>
      <c r="I261" s="640"/>
      <c r="J261" s="640"/>
      <c r="K261" s="640"/>
      <c r="L261" s="640"/>
      <c r="M261" s="640"/>
    </row>
    <row r="262" ht="20.25" customHeight="1">
      <c r="A262" s="393"/>
      <c r="B262" s="31"/>
      <c r="C262" s="22"/>
      <c r="D262" s="165"/>
      <c r="E262" s="643"/>
      <c r="F262" s="22"/>
      <c r="G262" s="22"/>
      <c r="H262" s="22"/>
      <c r="I262" s="644"/>
      <c r="J262" s="644"/>
      <c r="K262" s="644"/>
      <c r="L262" s="644"/>
      <c r="M262" s="644"/>
    </row>
    <row r="263" ht="20.25" customHeight="1">
      <c r="A263" s="394"/>
      <c r="B263" s="27"/>
      <c r="C263" s="14"/>
      <c r="D263" s="165"/>
      <c r="E263" s="638"/>
      <c r="F263" s="14"/>
      <c r="G263" s="14"/>
      <c r="H263" s="14"/>
      <c r="I263" s="640"/>
      <c r="J263" s="640"/>
      <c r="K263" s="640"/>
      <c r="L263" s="640"/>
      <c r="M263" s="640"/>
    </row>
    <row r="264" ht="20.25" customHeight="1">
      <c r="A264" s="393"/>
      <c r="B264" s="31"/>
      <c r="C264" s="22"/>
      <c r="D264" s="165"/>
      <c r="E264" s="643"/>
      <c r="F264" s="22"/>
      <c r="G264" s="22"/>
      <c r="H264" s="22"/>
      <c r="I264" s="644"/>
      <c r="J264" s="644"/>
      <c r="K264" s="644"/>
      <c r="L264" s="644"/>
      <c r="M264" s="644"/>
    </row>
    <row r="265" ht="20.25" customHeight="1">
      <c r="A265" s="394"/>
      <c r="B265" s="27"/>
      <c r="C265" s="14"/>
      <c r="D265" s="165"/>
      <c r="E265" s="638"/>
      <c r="F265" s="14"/>
      <c r="G265" s="14"/>
      <c r="H265" s="14"/>
      <c r="I265" s="640"/>
      <c r="J265" s="640"/>
      <c r="K265" s="640"/>
      <c r="L265" s="640"/>
      <c r="M265" s="640"/>
    </row>
    <row r="266" ht="20.25" customHeight="1">
      <c r="A266" s="393"/>
      <c r="B266" s="31"/>
      <c r="C266" s="22"/>
      <c r="D266" s="165"/>
      <c r="E266" s="643"/>
      <c r="F266" s="22"/>
      <c r="G266" s="22"/>
      <c r="H266" s="22"/>
      <c r="I266" s="644"/>
      <c r="J266" s="644"/>
      <c r="K266" s="644"/>
      <c r="L266" s="644"/>
      <c r="M266" s="644"/>
    </row>
    <row r="267" ht="20.25" customHeight="1">
      <c r="A267" s="394"/>
      <c r="B267" s="27"/>
      <c r="C267" s="14"/>
      <c r="D267" s="165"/>
      <c r="E267" s="638"/>
      <c r="F267" s="14"/>
      <c r="G267" s="14"/>
      <c r="H267" s="14"/>
      <c r="I267" s="640"/>
      <c r="J267" s="640"/>
      <c r="K267" s="640"/>
      <c r="L267" s="640"/>
      <c r="M267" s="640"/>
    </row>
    <row r="268" ht="20.25" customHeight="1">
      <c r="A268" s="393"/>
      <c r="B268" s="31"/>
      <c r="C268" s="22"/>
      <c r="D268" s="165"/>
      <c r="E268" s="643"/>
      <c r="F268" s="22"/>
      <c r="G268" s="22"/>
      <c r="H268" s="22"/>
      <c r="I268" s="644"/>
      <c r="J268" s="644"/>
      <c r="K268" s="644"/>
      <c r="L268" s="644"/>
      <c r="M268" s="644"/>
    </row>
    <row r="269" ht="20.25" customHeight="1">
      <c r="A269" s="394"/>
      <c r="B269" s="27"/>
      <c r="C269" s="14"/>
      <c r="D269" s="165"/>
      <c r="E269" s="638"/>
      <c r="F269" s="14"/>
      <c r="G269" s="14"/>
      <c r="H269" s="14"/>
      <c r="I269" s="640"/>
      <c r="J269" s="640"/>
      <c r="K269" s="640"/>
      <c r="L269" s="640"/>
      <c r="M269" s="640"/>
    </row>
    <row r="270" ht="20.25" customHeight="1">
      <c r="A270" s="393"/>
      <c r="B270" s="31"/>
      <c r="C270" s="22"/>
      <c r="D270" s="165"/>
      <c r="E270" s="643"/>
      <c r="F270" s="22"/>
      <c r="G270" s="22"/>
      <c r="H270" s="22"/>
      <c r="I270" s="644"/>
      <c r="J270" s="644"/>
      <c r="K270" s="644"/>
      <c r="L270" s="644"/>
      <c r="M270" s="644"/>
    </row>
    <row r="271" ht="20.25" customHeight="1">
      <c r="A271" s="394"/>
      <c r="B271" s="27"/>
      <c r="C271" s="14"/>
      <c r="D271" s="165"/>
      <c r="E271" s="638"/>
      <c r="F271" s="14"/>
      <c r="G271" s="14"/>
      <c r="H271" s="14"/>
      <c r="I271" s="640"/>
      <c r="J271" s="640"/>
      <c r="K271" s="640"/>
      <c r="L271" s="640"/>
      <c r="M271" s="640"/>
    </row>
    <row r="272" ht="20.25" customHeight="1">
      <c r="A272" s="393"/>
      <c r="B272" s="31"/>
      <c r="C272" s="22"/>
      <c r="D272" s="165"/>
      <c r="E272" s="643"/>
      <c r="F272" s="22"/>
      <c r="G272" s="22"/>
      <c r="H272" s="22"/>
      <c r="I272" s="644"/>
      <c r="J272" s="644"/>
      <c r="K272" s="644"/>
      <c r="L272" s="644"/>
      <c r="M272" s="644"/>
    </row>
    <row r="273" ht="20.25" customHeight="1">
      <c r="A273" s="394"/>
      <c r="B273" s="27"/>
      <c r="C273" s="14"/>
      <c r="D273" s="165"/>
      <c r="E273" s="638"/>
      <c r="F273" s="14"/>
      <c r="G273" s="14"/>
      <c r="H273" s="14"/>
      <c r="I273" s="640"/>
      <c r="J273" s="640"/>
      <c r="K273" s="640"/>
      <c r="L273" s="640"/>
      <c r="M273" s="640"/>
    </row>
    <row r="274" ht="20.25" customHeight="1">
      <c r="A274" s="393"/>
      <c r="B274" s="31"/>
      <c r="C274" s="22"/>
      <c r="D274" s="165"/>
      <c r="E274" s="643"/>
      <c r="F274" s="22"/>
      <c r="G274" s="22"/>
      <c r="H274" s="22"/>
      <c r="I274" s="644"/>
      <c r="J274" s="644"/>
      <c r="K274" s="644"/>
      <c r="L274" s="644"/>
      <c r="M274" s="644"/>
    </row>
    <row r="275" ht="20.25" customHeight="1">
      <c r="A275" s="394"/>
      <c r="B275" s="27"/>
      <c r="C275" s="14"/>
      <c r="D275" s="165"/>
      <c r="E275" s="638"/>
      <c r="F275" s="14"/>
      <c r="G275" s="14"/>
      <c r="H275" s="14"/>
      <c r="I275" s="640"/>
      <c r="J275" s="640"/>
      <c r="K275" s="640"/>
      <c r="L275" s="640"/>
      <c r="M275" s="640"/>
    </row>
    <row r="276" ht="20.25" customHeight="1">
      <c r="A276" s="393"/>
      <c r="B276" s="31"/>
      <c r="C276" s="22"/>
      <c r="D276" s="165"/>
      <c r="E276" s="643"/>
      <c r="F276" s="22"/>
      <c r="G276" s="22"/>
      <c r="H276" s="22"/>
      <c r="I276" s="644"/>
      <c r="J276" s="644"/>
      <c r="K276" s="644"/>
      <c r="L276" s="644"/>
      <c r="M276" s="644"/>
    </row>
    <row r="277" ht="20.25" customHeight="1">
      <c r="A277" s="394"/>
      <c r="B277" s="27"/>
      <c r="C277" s="14"/>
      <c r="D277" s="165"/>
      <c r="E277" s="638"/>
      <c r="F277" s="14"/>
      <c r="G277" s="14"/>
      <c r="H277" s="14"/>
      <c r="I277" s="640"/>
      <c r="J277" s="640"/>
      <c r="K277" s="640"/>
      <c r="L277" s="640"/>
      <c r="M277" s="640"/>
    </row>
    <row r="278" ht="20.25" customHeight="1">
      <c r="A278" s="393"/>
      <c r="B278" s="31"/>
      <c r="C278" s="22"/>
      <c r="D278" s="165"/>
      <c r="E278" s="643"/>
      <c r="F278" s="22"/>
      <c r="G278" s="22"/>
      <c r="H278" s="22"/>
      <c r="I278" s="644"/>
      <c r="J278" s="644"/>
      <c r="K278" s="644"/>
      <c r="L278" s="644"/>
      <c r="M278" s="644"/>
    </row>
    <row r="279" ht="20.25" customHeight="1">
      <c r="A279" s="394"/>
      <c r="B279" s="27"/>
      <c r="C279" s="14"/>
      <c r="D279" s="165"/>
      <c r="E279" s="638"/>
      <c r="F279" s="14"/>
      <c r="G279" s="14"/>
      <c r="H279" s="14"/>
      <c r="I279" s="640"/>
      <c r="J279" s="640"/>
      <c r="K279" s="640"/>
      <c r="L279" s="640"/>
      <c r="M279" s="640"/>
    </row>
    <row r="280" ht="20.25" customHeight="1">
      <c r="A280" s="393"/>
      <c r="B280" s="31"/>
      <c r="C280" s="22"/>
      <c r="D280" s="165"/>
      <c r="E280" s="643"/>
      <c r="F280" s="22"/>
      <c r="G280" s="22"/>
      <c r="H280" s="22"/>
      <c r="I280" s="644"/>
      <c r="J280" s="644"/>
      <c r="K280" s="644"/>
      <c r="L280" s="644"/>
      <c r="M280" s="644"/>
    </row>
    <row r="281" ht="20.25" customHeight="1">
      <c r="A281" s="394"/>
      <c r="B281" s="27"/>
      <c r="C281" s="14"/>
      <c r="D281" s="165"/>
      <c r="E281" s="638"/>
      <c r="F281" s="14"/>
      <c r="G281" s="14"/>
      <c r="H281" s="14"/>
      <c r="I281" s="640"/>
      <c r="J281" s="640"/>
      <c r="K281" s="640"/>
      <c r="L281" s="640"/>
      <c r="M281" s="640"/>
    </row>
    <row r="282" ht="20.25" customHeight="1">
      <c r="A282" s="393"/>
      <c r="B282" s="31"/>
      <c r="C282" s="22"/>
      <c r="D282" s="165"/>
      <c r="E282" s="643"/>
      <c r="F282" s="22"/>
      <c r="G282" s="22"/>
      <c r="H282" s="22"/>
      <c r="I282" s="644"/>
      <c r="J282" s="644"/>
      <c r="K282" s="644"/>
      <c r="L282" s="644"/>
      <c r="M282" s="644"/>
    </row>
    <row r="283" ht="20.25" customHeight="1">
      <c r="A283" s="394"/>
      <c r="B283" s="27"/>
      <c r="C283" s="14"/>
      <c r="D283" s="165"/>
      <c r="E283" s="638"/>
      <c r="F283" s="14"/>
      <c r="G283" s="14"/>
      <c r="H283" s="14"/>
      <c r="I283" s="640"/>
      <c r="J283" s="640"/>
      <c r="K283" s="640"/>
      <c r="L283" s="640"/>
      <c r="M283" s="640"/>
    </row>
    <row r="284" ht="20.25" customHeight="1">
      <c r="A284" s="393"/>
      <c r="B284" s="31"/>
      <c r="C284" s="22"/>
      <c r="D284" s="165"/>
      <c r="E284" s="643"/>
      <c r="F284" s="22"/>
      <c r="G284" s="22"/>
      <c r="H284" s="22"/>
      <c r="I284" s="644"/>
      <c r="J284" s="644"/>
      <c r="K284" s="644"/>
      <c r="L284" s="644"/>
      <c r="M284" s="644"/>
    </row>
    <row r="285" ht="20.25" customHeight="1">
      <c r="A285" s="394"/>
      <c r="B285" s="27"/>
      <c r="C285" s="14"/>
      <c r="D285" s="165"/>
      <c r="E285" s="638"/>
      <c r="F285" s="14"/>
      <c r="G285" s="14"/>
      <c r="H285" s="14"/>
      <c r="I285" s="640"/>
      <c r="J285" s="640"/>
      <c r="K285" s="640"/>
      <c r="L285" s="640"/>
      <c r="M285" s="640"/>
    </row>
    <row r="286" ht="20.25" customHeight="1">
      <c r="A286" s="393"/>
      <c r="B286" s="31"/>
      <c r="C286" s="22"/>
      <c r="D286" s="165"/>
      <c r="E286" s="643"/>
      <c r="F286" s="22"/>
      <c r="G286" s="22"/>
      <c r="H286" s="22"/>
      <c r="I286" s="644"/>
      <c r="J286" s="644"/>
      <c r="K286" s="644"/>
      <c r="L286" s="644"/>
      <c r="M286" s="644"/>
    </row>
    <row r="287" ht="20.25" customHeight="1">
      <c r="A287" s="394"/>
      <c r="B287" s="27"/>
      <c r="C287" s="14"/>
      <c r="D287" s="165"/>
      <c r="E287" s="638"/>
      <c r="F287" s="14"/>
      <c r="G287" s="14"/>
      <c r="H287" s="14"/>
      <c r="I287" s="640"/>
      <c r="J287" s="640"/>
      <c r="K287" s="640"/>
      <c r="L287" s="640"/>
      <c r="M287" s="640"/>
    </row>
    <row r="288" ht="20.25" customHeight="1">
      <c r="A288" s="393"/>
      <c r="B288" s="31"/>
      <c r="C288" s="22"/>
      <c r="D288" s="165"/>
      <c r="E288" s="643"/>
      <c r="F288" s="22"/>
      <c r="G288" s="22"/>
      <c r="H288" s="22"/>
      <c r="I288" s="644"/>
      <c r="J288" s="644"/>
      <c r="K288" s="644"/>
      <c r="L288" s="644"/>
      <c r="M288" s="644"/>
    </row>
    <row r="289" ht="20.25" customHeight="1">
      <c r="A289" s="394"/>
      <c r="B289" s="27"/>
      <c r="C289" s="14"/>
      <c r="D289" s="165"/>
      <c r="E289" s="638"/>
      <c r="F289" s="14"/>
      <c r="G289" s="14"/>
      <c r="H289" s="14"/>
      <c r="I289" s="640"/>
      <c r="J289" s="640"/>
      <c r="K289" s="640"/>
      <c r="L289" s="640"/>
      <c r="M289" s="640"/>
    </row>
    <row r="290" ht="20.25" customHeight="1">
      <c r="A290" s="393"/>
      <c r="B290" s="31"/>
      <c r="C290" s="22"/>
      <c r="D290" s="165"/>
      <c r="E290" s="643"/>
      <c r="F290" s="22"/>
      <c r="G290" s="22"/>
      <c r="H290" s="22"/>
      <c r="I290" s="644"/>
      <c r="J290" s="644"/>
      <c r="K290" s="644"/>
      <c r="L290" s="644"/>
      <c r="M290" s="644"/>
    </row>
    <row r="291" ht="20.25" customHeight="1">
      <c r="A291" s="394"/>
      <c r="B291" s="27"/>
      <c r="C291" s="14"/>
      <c r="D291" s="165"/>
      <c r="E291" s="638"/>
      <c r="F291" s="14"/>
      <c r="G291" s="14"/>
      <c r="H291" s="14"/>
      <c r="I291" s="640"/>
      <c r="J291" s="640"/>
      <c r="K291" s="640"/>
      <c r="L291" s="640"/>
      <c r="M291" s="640"/>
    </row>
    <row r="292" ht="20.25" customHeight="1">
      <c r="A292" s="393"/>
      <c r="B292" s="31"/>
      <c r="C292" s="22"/>
      <c r="D292" s="165"/>
      <c r="E292" s="643"/>
      <c r="F292" s="22"/>
      <c r="G292" s="22"/>
      <c r="H292" s="22"/>
      <c r="I292" s="644"/>
      <c r="J292" s="644"/>
      <c r="K292" s="644"/>
      <c r="L292" s="644"/>
      <c r="M292" s="644"/>
    </row>
    <row r="293" ht="20.25" customHeight="1">
      <c r="A293" s="394"/>
      <c r="B293" s="27"/>
      <c r="C293" s="14"/>
      <c r="D293" s="165"/>
      <c r="E293" s="638"/>
      <c r="F293" s="14"/>
      <c r="G293" s="14"/>
      <c r="H293" s="14"/>
      <c r="I293" s="640"/>
      <c r="J293" s="640"/>
      <c r="K293" s="640"/>
      <c r="L293" s="640"/>
      <c r="M293" s="640"/>
    </row>
    <row r="294" ht="20.25" customHeight="1">
      <c r="A294" s="393"/>
      <c r="B294" s="31"/>
      <c r="C294" s="22"/>
      <c r="D294" s="165"/>
      <c r="E294" s="643"/>
      <c r="F294" s="22"/>
      <c r="G294" s="22"/>
      <c r="H294" s="22"/>
      <c r="I294" s="644"/>
      <c r="J294" s="644"/>
      <c r="K294" s="644"/>
      <c r="L294" s="644"/>
      <c r="M294" s="644"/>
    </row>
    <row r="295" ht="20.25" customHeight="1">
      <c r="A295" s="394"/>
      <c r="B295" s="27"/>
      <c r="C295" s="14"/>
      <c r="D295" s="165"/>
      <c r="E295" s="638"/>
      <c r="F295" s="14"/>
      <c r="G295" s="14"/>
      <c r="H295" s="14"/>
      <c r="I295" s="640"/>
      <c r="J295" s="640"/>
      <c r="K295" s="640"/>
      <c r="L295" s="640"/>
      <c r="M295" s="640"/>
    </row>
    <row r="296" ht="20.25" customHeight="1">
      <c r="A296" s="393"/>
      <c r="B296" s="31"/>
      <c r="C296" s="22"/>
      <c r="D296" s="165"/>
      <c r="E296" s="643"/>
      <c r="F296" s="22"/>
      <c r="G296" s="22"/>
      <c r="H296" s="22"/>
      <c r="I296" s="644"/>
      <c r="J296" s="644"/>
      <c r="K296" s="644"/>
      <c r="L296" s="644"/>
      <c r="M296" s="644"/>
    </row>
    <row r="297" ht="20.25" customHeight="1">
      <c r="A297" s="394"/>
      <c r="B297" s="27"/>
      <c r="C297" s="14"/>
      <c r="D297" s="165"/>
      <c r="E297" s="638"/>
      <c r="F297" s="14"/>
      <c r="G297" s="14"/>
      <c r="H297" s="14"/>
      <c r="I297" s="640"/>
      <c r="J297" s="640"/>
      <c r="K297" s="640"/>
      <c r="L297" s="640"/>
      <c r="M297" s="640"/>
    </row>
    <row r="298" ht="20.25" customHeight="1">
      <c r="A298" s="393"/>
      <c r="B298" s="31"/>
      <c r="C298" s="22"/>
      <c r="D298" s="165"/>
      <c r="E298" s="643"/>
      <c r="F298" s="22"/>
      <c r="G298" s="22"/>
      <c r="H298" s="22"/>
      <c r="I298" s="644"/>
      <c r="J298" s="644"/>
      <c r="K298" s="644"/>
      <c r="L298" s="644"/>
      <c r="M298" s="644"/>
    </row>
    <row r="299" ht="20.25" customHeight="1">
      <c r="A299" s="394"/>
      <c r="B299" s="27"/>
      <c r="C299" s="14"/>
      <c r="D299" s="165"/>
      <c r="E299" s="638"/>
      <c r="F299" s="14"/>
      <c r="G299" s="14"/>
      <c r="H299" s="14"/>
      <c r="I299" s="640"/>
      <c r="J299" s="640"/>
      <c r="K299" s="640"/>
      <c r="L299" s="640"/>
      <c r="M299" s="640"/>
    </row>
    <row r="300" ht="20.25" customHeight="1">
      <c r="A300" s="393"/>
      <c r="B300" s="31"/>
      <c r="C300" s="22"/>
      <c r="D300" s="165"/>
      <c r="E300" s="643"/>
      <c r="F300" s="22"/>
      <c r="G300" s="22"/>
      <c r="H300" s="22"/>
      <c r="I300" s="644"/>
      <c r="J300" s="644"/>
      <c r="K300" s="644"/>
      <c r="L300" s="644"/>
      <c r="M300" s="644"/>
    </row>
    <row r="301" ht="20.25" customHeight="1">
      <c r="A301" s="394"/>
      <c r="B301" s="27"/>
      <c r="C301" s="14"/>
      <c r="D301" s="165"/>
      <c r="E301" s="638"/>
      <c r="F301" s="14"/>
      <c r="G301" s="14"/>
      <c r="H301" s="14"/>
      <c r="I301" s="640"/>
      <c r="J301" s="640"/>
      <c r="K301" s="640"/>
      <c r="L301" s="640"/>
      <c r="M301" s="640"/>
    </row>
    <row r="302" ht="20.25" customHeight="1">
      <c r="A302" s="393"/>
      <c r="B302" s="31"/>
      <c r="C302" s="22"/>
      <c r="D302" s="165"/>
      <c r="E302" s="643"/>
      <c r="F302" s="22"/>
      <c r="G302" s="22"/>
      <c r="H302" s="22"/>
      <c r="I302" s="644"/>
      <c r="J302" s="644"/>
      <c r="K302" s="644"/>
      <c r="L302" s="644"/>
      <c r="M302" s="644"/>
    </row>
    <row r="303" ht="20.25" customHeight="1">
      <c r="A303" s="394"/>
      <c r="B303" s="27"/>
      <c r="C303" s="14"/>
      <c r="D303" s="165"/>
      <c r="E303" s="638"/>
      <c r="F303" s="14"/>
      <c r="G303" s="14"/>
      <c r="H303" s="14"/>
      <c r="I303" s="640"/>
      <c r="J303" s="640"/>
      <c r="K303" s="640"/>
      <c r="L303" s="640"/>
      <c r="M303" s="640"/>
    </row>
    <row r="304" ht="20.25" customHeight="1">
      <c r="A304" s="393"/>
      <c r="B304" s="31"/>
      <c r="C304" s="22"/>
      <c r="D304" s="165"/>
      <c r="E304" s="643"/>
      <c r="F304" s="22"/>
      <c r="G304" s="22"/>
      <c r="H304" s="22"/>
      <c r="I304" s="644"/>
      <c r="J304" s="644"/>
      <c r="K304" s="644"/>
      <c r="L304" s="644"/>
      <c r="M304" s="644"/>
    </row>
    <row r="305" ht="20.25" customHeight="1">
      <c r="A305" s="394"/>
      <c r="B305" s="27"/>
      <c r="C305" s="14"/>
      <c r="D305" s="165"/>
      <c r="E305" s="638"/>
      <c r="F305" s="14"/>
      <c r="G305" s="14"/>
      <c r="H305" s="14"/>
      <c r="I305" s="640"/>
      <c r="J305" s="640"/>
      <c r="K305" s="640"/>
      <c r="L305" s="640"/>
      <c r="M305" s="640"/>
    </row>
    <row r="306" ht="20.25" customHeight="1">
      <c r="A306" s="393"/>
      <c r="B306" s="31"/>
      <c r="C306" s="22"/>
      <c r="D306" s="165"/>
      <c r="E306" s="643"/>
      <c r="F306" s="22"/>
      <c r="G306" s="22"/>
      <c r="H306" s="22"/>
      <c r="I306" s="644"/>
      <c r="J306" s="644"/>
      <c r="K306" s="644"/>
      <c r="L306" s="644"/>
      <c r="M306" s="644"/>
    </row>
    <row r="307" ht="20.25" customHeight="1">
      <c r="A307" s="394"/>
      <c r="B307" s="27"/>
      <c r="C307" s="14"/>
      <c r="D307" s="165"/>
      <c r="E307" s="638"/>
      <c r="F307" s="14"/>
      <c r="G307" s="14"/>
      <c r="H307" s="14"/>
      <c r="I307" s="640"/>
      <c r="J307" s="640"/>
      <c r="K307" s="640"/>
      <c r="L307" s="640"/>
      <c r="M307" s="640"/>
    </row>
    <row r="308" ht="20.25" customHeight="1">
      <c r="A308" s="393"/>
      <c r="B308" s="31"/>
      <c r="C308" s="22"/>
      <c r="D308" s="165"/>
      <c r="E308" s="643"/>
      <c r="F308" s="22"/>
      <c r="G308" s="22"/>
      <c r="H308" s="22"/>
      <c r="I308" s="644"/>
      <c r="J308" s="644"/>
      <c r="K308" s="644"/>
      <c r="L308" s="644"/>
      <c r="M308" s="644"/>
    </row>
    <row r="309" ht="20.25" customHeight="1">
      <c r="A309" s="394"/>
      <c r="B309" s="27"/>
      <c r="C309" s="14"/>
      <c r="D309" s="165"/>
      <c r="E309" s="638"/>
      <c r="F309" s="14"/>
      <c r="G309" s="14"/>
      <c r="H309" s="14"/>
      <c r="I309" s="640"/>
      <c r="J309" s="640"/>
      <c r="K309" s="640"/>
      <c r="L309" s="640"/>
      <c r="M309" s="640"/>
    </row>
    <row r="310" ht="20.25" customHeight="1">
      <c r="A310" s="393"/>
      <c r="B310" s="31"/>
      <c r="C310" s="22"/>
      <c r="D310" s="165"/>
      <c r="E310" s="643"/>
      <c r="F310" s="22"/>
      <c r="G310" s="22"/>
      <c r="H310" s="22"/>
      <c r="I310" s="644"/>
      <c r="J310" s="644"/>
      <c r="K310" s="644"/>
      <c r="L310" s="644"/>
      <c r="M310" s="644"/>
    </row>
    <row r="311" ht="20.25" customHeight="1">
      <c r="A311" s="394"/>
      <c r="B311" s="27"/>
      <c r="C311" s="14"/>
      <c r="D311" s="165"/>
      <c r="E311" s="638"/>
      <c r="F311" s="14"/>
      <c r="G311" s="14"/>
      <c r="H311" s="14"/>
      <c r="I311" s="640"/>
      <c r="J311" s="640"/>
      <c r="K311" s="640"/>
      <c r="L311" s="640"/>
      <c r="M311" s="640"/>
    </row>
    <row r="312" ht="20.25" customHeight="1">
      <c r="A312" s="393"/>
      <c r="B312" s="31"/>
      <c r="C312" s="22"/>
      <c r="D312" s="165"/>
      <c r="E312" s="643"/>
      <c r="F312" s="22"/>
      <c r="G312" s="22"/>
      <c r="H312" s="22"/>
      <c r="I312" s="644"/>
      <c r="J312" s="644"/>
      <c r="K312" s="644"/>
      <c r="L312" s="644"/>
      <c r="M312" s="644"/>
    </row>
    <row r="313" ht="20.25" customHeight="1">
      <c r="A313" s="394"/>
      <c r="B313" s="27"/>
      <c r="C313" s="14"/>
      <c r="D313" s="165"/>
      <c r="E313" s="638"/>
      <c r="F313" s="14"/>
      <c r="G313" s="14"/>
      <c r="H313" s="14"/>
      <c r="I313" s="640"/>
      <c r="J313" s="640"/>
      <c r="K313" s="640"/>
      <c r="L313" s="640"/>
      <c r="M313" s="640"/>
    </row>
    <row r="314" ht="20.25" customHeight="1">
      <c r="A314" s="393"/>
      <c r="B314" s="31"/>
      <c r="C314" s="22"/>
      <c r="D314" s="165"/>
      <c r="E314" s="643"/>
      <c r="F314" s="22"/>
      <c r="G314" s="22"/>
      <c r="H314" s="22"/>
      <c r="I314" s="644"/>
      <c r="J314" s="644"/>
      <c r="K314" s="644"/>
      <c r="L314" s="644"/>
      <c r="M314" s="644"/>
    </row>
    <row r="315" ht="20.25" customHeight="1">
      <c r="A315" s="394"/>
      <c r="B315" s="27"/>
      <c r="C315" s="14"/>
      <c r="D315" s="165"/>
      <c r="E315" s="638"/>
      <c r="F315" s="14"/>
      <c r="G315" s="14"/>
      <c r="H315" s="14"/>
      <c r="I315" s="640"/>
      <c r="J315" s="640"/>
      <c r="K315" s="640"/>
      <c r="L315" s="640"/>
      <c r="M315" s="640"/>
    </row>
    <row r="316" ht="20.25" customHeight="1">
      <c r="A316" s="393"/>
      <c r="B316" s="31"/>
      <c r="C316" s="22"/>
      <c r="D316" s="165"/>
      <c r="E316" s="643"/>
      <c r="F316" s="22"/>
      <c r="G316" s="22"/>
      <c r="H316" s="22"/>
      <c r="I316" s="644"/>
      <c r="J316" s="644"/>
      <c r="K316" s="644"/>
      <c r="L316" s="644"/>
      <c r="M316" s="644"/>
    </row>
    <row r="317" ht="20.25" customHeight="1">
      <c r="A317" s="394"/>
      <c r="B317" s="27"/>
      <c r="C317" s="14"/>
      <c r="D317" s="165"/>
      <c r="E317" s="638"/>
      <c r="F317" s="14"/>
      <c r="G317" s="14"/>
      <c r="H317" s="14"/>
      <c r="I317" s="640"/>
      <c r="J317" s="640"/>
      <c r="K317" s="640"/>
      <c r="L317" s="640"/>
      <c r="M317" s="640"/>
    </row>
    <row r="318" ht="20.25" customHeight="1">
      <c r="A318" s="393"/>
      <c r="B318" s="31"/>
      <c r="C318" s="22"/>
      <c r="D318" s="165"/>
      <c r="E318" s="643"/>
      <c r="F318" s="22"/>
      <c r="G318" s="22"/>
      <c r="H318" s="22"/>
      <c r="I318" s="644"/>
      <c r="J318" s="644"/>
      <c r="K318" s="644"/>
      <c r="L318" s="644"/>
      <c r="M318" s="644"/>
    </row>
    <row r="319" ht="20.25" customHeight="1">
      <c r="A319" s="394"/>
      <c r="B319" s="27"/>
      <c r="C319" s="14"/>
      <c r="D319" s="165"/>
      <c r="E319" s="638"/>
      <c r="F319" s="14"/>
      <c r="G319" s="14"/>
      <c r="H319" s="14"/>
      <c r="I319" s="640"/>
      <c r="J319" s="640"/>
      <c r="K319" s="640"/>
      <c r="L319" s="640"/>
      <c r="M319" s="640"/>
    </row>
    <row r="320" ht="20.25" customHeight="1">
      <c r="A320" s="393"/>
      <c r="B320" s="31"/>
      <c r="C320" s="22"/>
      <c r="D320" s="165"/>
      <c r="E320" s="643"/>
      <c r="F320" s="22"/>
      <c r="G320" s="22"/>
      <c r="H320" s="22"/>
      <c r="I320" s="644"/>
      <c r="J320" s="644"/>
      <c r="K320" s="644"/>
      <c r="L320" s="644"/>
      <c r="M320" s="644"/>
    </row>
    <row r="321" ht="20.25" customHeight="1">
      <c r="A321" s="394"/>
      <c r="B321" s="27"/>
      <c r="C321" s="14"/>
      <c r="D321" s="165"/>
      <c r="E321" s="638"/>
      <c r="F321" s="14"/>
      <c r="G321" s="14"/>
      <c r="H321" s="14"/>
      <c r="I321" s="640"/>
      <c r="J321" s="640"/>
      <c r="K321" s="640"/>
      <c r="L321" s="640"/>
      <c r="M321" s="640"/>
    </row>
    <row r="322" ht="20.25" customHeight="1">
      <c r="A322" s="393"/>
      <c r="B322" s="31"/>
      <c r="C322" s="22"/>
      <c r="D322" s="165"/>
      <c r="E322" s="643"/>
      <c r="F322" s="22"/>
      <c r="G322" s="22"/>
      <c r="H322" s="22"/>
      <c r="I322" s="644"/>
      <c r="J322" s="644"/>
      <c r="K322" s="644"/>
      <c r="L322" s="644"/>
      <c r="M322" s="644"/>
    </row>
    <row r="323" ht="20.25" customHeight="1">
      <c r="A323" s="394"/>
      <c r="B323" s="27"/>
      <c r="C323" s="14"/>
      <c r="D323" s="165"/>
      <c r="E323" s="638"/>
      <c r="F323" s="14"/>
      <c r="G323" s="14"/>
      <c r="H323" s="14"/>
      <c r="I323" s="640"/>
      <c r="J323" s="640"/>
      <c r="K323" s="640"/>
      <c r="L323" s="640"/>
      <c r="M323" s="640"/>
    </row>
    <row r="324" ht="20.25" customHeight="1">
      <c r="A324" s="393"/>
      <c r="B324" s="31"/>
      <c r="C324" s="22"/>
      <c r="D324" s="165"/>
      <c r="E324" s="643"/>
      <c r="F324" s="22"/>
      <c r="G324" s="22"/>
      <c r="H324" s="22"/>
      <c r="I324" s="644"/>
      <c r="J324" s="644"/>
      <c r="K324" s="644"/>
      <c r="L324" s="644"/>
      <c r="M324" s="644"/>
    </row>
    <row r="325" ht="20.25" customHeight="1">
      <c r="A325" s="394"/>
      <c r="B325" s="27"/>
      <c r="C325" s="14"/>
      <c r="D325" s="165"/>
      <c r="E325" s="638"/>
      <c r="F325" s="14"/>
      <c r="G325" s="14"/>
      <c r="H325" s="14"/>
      <c r="I325" s="640"/>
      <c r="J325" s="640"/>
      <c r="K325" s="640"/>
      <c r="L325" s="640"/>
      <c r="M325" s="640"/>
    </row>
    <row r="326" ht="20.25" customHeight="1">
      <c r="A326" s="393"/>
      <c r="B326" s="31"/>
      <c r="C326" s="22"/>
      <c r="D326" s="165"/>
      <c r="E326" s="643"/>
      <c r="F326" s="22"/>
      <c r="G326" s="22"/>
      <c r="H326" s="22"/>
      <c r="I326" s="644"/>
      <c r="J326" s="644"/>
      <c r="K326" s="644"/>
      <c r="L326" s="644"/>
      <c r="M326" s="644"/>
    </row>
    <row r="327" ht="20.25" customHeight="1">
      <c r="A327" s="394"/>
      <c r="B327" s="27"/>
      <c r="C327" s="14"/>
      <c r="D327" s="165"/>
      <c r="E327" s="638"/>
      <c r="F327" s="14"/>
      <c r="G327" s="14"/>
      <c r="H327" s="14"/>
      <c r="I327" s="640"/>
      <c r="J327" s="640"/>
      <c r="K327" s="640"/>
      <c r="L327" s="640"/>
      <c r="M327" s="640"/>
    </row>
    <row r="328" ht="20.25" customHeight="1">
      <c r="A328" s="393"/>
      <c r="B328" s="31"/>
      <c r="C328" s="22"/>
      <c r="D328" s="165"/>
      <c r="E328" s="643"/>
      <c r="F328" s="22"/>
      <c r="G328" s="22"/>
      <c r="H328" s="22"/>
      <c r="I328" s="644"/>
      <c r="J328" s="644"/>
      <c r="K328" s="644"/>
      <c r="L328" s="644"/>
      <c r="M328" s="644"/>
    </row>
    <row r="329" ht="20.25" customHeight="1">
      <c r="A329" s="394"/>
      <c r="B329" s="27"/>
      <c r="C329" s="14"/>
      <c r="D329" s="165"/>
      <c r="E329" s="638"/>
      <c r="F329" s="14"/>
      <c r="G329" s="14"/>
      <c r="H329" s="14"/>
      <c r="I329" s="640"/>
      <c r="J329" s="640"/>
      <c r="K329" s="640"/>
      <c r="L329" s="640"/>
      <c r="M329" s="640"/>
    </row>
    <row r="330" ht="20.25" customHeight="1">
      <c r="A330" s="393"/>
      <c r="B330" s="31"/>
      <c r="C330" s="22"/>
      <c r="D330" s="165"/>
      <c r="E330" s="643"/>
      <c r="F330" s="22"/>
      <c r="G330" s="22"/>
      <c r="H330" s="22"/>
      <c r="I330" s="644"/>
      <c r="J330" s="644"/>
      <c r="K330" s="644"/>
      <c r="L330" s="644"/>
      <c r="M330" s="644"/>
    </row>
    <row r="331" ht="20.25" customHeight="1">
      <c r="A331" s="394"/>
      <c r="B331" s="27"/>
      <c r="C331" s="14"/>
      <c r="D331" s="165"/>
      <c r="E331" s="638"/>
      <c r="F331" s="14"/>
      <c r="G331" s="14"/>
      <c r="H331" s="14"/>
      <c r="I331" s="640"/>
      <c r="J331" s="640"/>
      <c r="K331" s="640"/>
      <c r="L331" s="640"/>
      <c r="M331" s="640"/>
    </row>
    <row r="332" ht="20.25" customHeight="1">
      <c r="A332" s="393"/>
      <c r="B332" s="31"/>
      <c r="C332" s="22"/>
      <c r="D332" s="165"/>
      <c r="E332" s="643"/>
      <c r="F332" s="22"/>
      <c r="G332" s="22"/>
      <c r="H332" s="22"/>
      <c r="I332" s="644"/>
      <c r="J332" s="644"/>
      <c r="K332" s="644"/>
      <c r="L332" s="644"/>
      <c r="M332" s="644"/>
    </row>
    <row r="333" ht="20.25" customHeight="1">
      <c r="A333" s="394"/>
      <c r="B333" s="27"/>
      <c r="C333" s="14"/>
      <c r="D333" s="165"/>
      <c r="E333" s="638"/>
      <c r="F333" s="14"/>
      <c r="G333" s="14"/>
      <c r="H333" s="14"/>
      <c r="I333" s="640"/>
      <c r="J333" s="640"/>
      <c r="K333" s="640"/>
      <c r="L333" s="640"/>
      <c r="M333" s="640"/>
    </row>
    <row r="334" ht="20.25" customHeight="1">
      <c r="A334" s="393"/>
      <c r="B334" s="31"/>
      <c r="C334" s="22"/>
      <c r="D334" s="165"/>
      <c r="E334" s="643"/>
      <c r="F334" s="22"/>
      <c r="G334" s="22"/>
      <c r="H334" s="22"/>
      <c r="I334" s="644"/>
      <c r="J334" s="644"/>
      <c r="K334" s="644"/>
      <c r="L334" s="644"/>
      <c r="M334" s="644"/>
    </row>
    <row r="335" ht="20.25" customHeight="1">
      <c r="A335" s="394"/>
      <c r="B335" s="27"/>
      <c r="C335" s="14"/>
      <c r="D335" s="165"/>
      <c r="E335" s="638"/>
      <c r="F335" s="14"/>
      <c r="G335" s="14"/>
      <c r="H335" s="14"/>
      <c r="I335" s="640"/>
      <c r="J335" s="640"/>
      <c r="K335" s="640"/>
      <c r="L335" s="640"/>
      <c r="M335" s="640"/>
    </row>
    <row r="336" ht="20.25" customHeight="1">
      <c r="A336" s="393"/>
      <c r="B336" s="31"/>
      <c r="C336" s="22"/>
      <c r="D336" s="165"/>
      <c r="E336" s="643"/>
      <c r="F336" s="22"/>
      <c r="G336" s="22"/>
      <c r="H336" s="22"/>
      <c r="I336" s="644"/>
      <c r="J336" s="644"/>
      <c r="K336" s="644"/>
      <c r="L336" s="644"/>
      <c r="M336" s="644"/>
    </row>
    <row r="337" ht="20.25" customHeight="1">
      <c r="A337" s="394"/>
      <c r="B337" s="27"/>
      <c r="C337" s="14"/>
      <c r="D337" s="165"/>
      <c r="E337" s="638"/>
      <c r="F337" s="14"/>
      <c r="G337" s="14"/>
      <c r="H337" s="14"/>
      <c r="I337" s="640"/>
      <c r="J337" s="640"/>
      <c r="K337" s="640"/>
      <c r="L337" s="640"/>
      <c r="M337" s="640"/>
    </row>
    <row r="338" ht="20.25" customHeight="1">
      <c r="A338" s="393"/>
      <c r="B338" s="31"/>
      <c r="C338" s="22"/>
      <c r="D338" s="165"/>
      <c r="E338" s="643"/>
      <c r="F338" s="22"/>
      <c r="G338" s="22"/>
      <c r="H338" s="22"/>
      <c r="I338" s="644"/>
      <c r="J338" s="644"/>
      <c r="K338" s="644"/>
      <c r="L338" s="644"/>
      <c r="M338" s="644"/>
    </row>
    <row r="339" ht="20.25" customHeight="1">
      <c r="A339" s="394"/>
      <c r="B339" s="27"/>
      <c r="C339" s="14"/>
      <c r="D339" s="165"/>
      <c r="E339" s="638"/>
      <c r="F339" s="14"/>
      <c r="G339" s="14"/>
      <c r="H339" s="14"/>
      <c r="I339" s="640"/>
      <c r="J339" s="640"/>
      <c r="K339" s="640"/>
      <c r="L339" s="640"/>
      <c r="M339" s="640"/>
    </row>
    <row r="340" ht="20.25" customHeight="1">
      <c r="A340" s="393"/>
      <c r="B340" s="31"/>
      <c r="C340" s="22"/>
      <c r="D340" s="165"/>
      <c r="E340" s="643"/>
      <c r="F340" s="22"/>
      <c r="G340" s="22"/>
      <c r="H340" s="22"/>
      <c r="I340" s="644"/>
      <c r="J340" s="644"/>
      <c r="K340" s="644"/>
      <c r="L340" s="644"/>
      <c r="M340" s="644"/>
    </row>
    <row r="341" ht="20.25" customHeight="1">
      <c r="A341" s="394"/>
      <c r="B341" s="27"/>
      <c r="C341" s="14"/>
      <c r="D341" s="165"/>
      <c r="E341" s="638"/>
      <c r="F341" s="14"/>
      <c r="G341" s="14"/>
      <c r="H341" s="14"/>
      <c r="I341" s="640"/>
      <c r="J341" s="640"/>
      <c r="K341" s="640"/>
      <c r="L341" s="640"/>
      <c r="M341" s="640"/>
    </row>
    <row r="342" ht="20.25" customHeight="1">
      <c r="A342" s="393"/>
      <c r="B342" s="31"/>
      <c r="C342" s="22"/>
      <c r="D342" s="165"/>
      <c r="E342" s="643"/>
      <c r="F342" s="22"/>
      <c r="G342" s="22"/>
      <c r="H342" s="22"/>
      <c r="I342" s="644"/>
      <c r="J342" s="644"/>
      <c r="K342" s="644"/>
      <c r="L342" s="644"/>
      <c r="M342" s="644"/>
    </row>
    <row r="343" ht="20.25" customHeight="1">
      <c r="A343" s="394"/>
      <c r="B343" s="27"/>
      <c r="C343" s="14"/>
      <c r="D343" s="165"/>
      <c r="E343" s="638"/>
      <c r="F343" s="14"/>
      <c r="G343" s="14"/>
      <c r="H343" s="14"/>
      <c r="I343" s="640"/>
      <c r="J343" s="640"/>
      <c r="K343" s="640"/>
      <c r="L343" s="640"/>
      <c r="M343" s="640"/>
    </row>
    <row r="344" ht="20.25" customHeight="1">
      <c r="A344" s="393"/>
      <c r="B344" s="31"/>
      <c r="C344" s="22"/>
      <c r="D344" s="165"/>
      <c r="E344" s="643"/>
      <c r="F344" s="22"/>
      <c r="G344" s="22"/>
      <c r="H344" s="22"/>
      <c r="I344" s="644"/>
      <c r="J344" s="644"/>
      <c r="K344" s="644"/>
      <c r="L344" s="644"/>
      <c r="M344" s="644"/>
    </row>
    <row r="345" ht="20.25" customHeight="1">
      <c r="A345" s="394"/>
      <c r="B345" s="27"/>
      <c r="C345" s="14"/>
      <c r="D345" s="165"/>
      <c r="E345" s="638"/>
      <c r="F345" s="14"/>
      <c r="G345" s="14"/>
      <c r="H345" s="14"/>
      <c r="I345" s="640"/>
      <c r="J345" s="640"/>
      <c r="K345" s="640"/>
      <c r="L345" s="640"/>
      <c r="M345" s="640"/>
    </row>
    <row r="346" ht="20.25" customHeight="1">
      <c r="A346" s="393"/>
      <c r="B346" s="31"/>
      <c r="C346" s="22"/>
      <c r="D346" s="165"/>
      <c r="E346" s="643"/>
      <c r="F346" s="22"/>
      <c r="G346" s="22"/>
      <c r="H346" s="22"/>
      <c r="I346" s="644"/>
      <c r="J346" s="644"/>
      <c r="K346" s="644"/>
      <c r="L346" s="644"/>
      <c r="M346" s="644"/>
    </row>
    <row r="347" ht="20.25" customHeight="1">
      <c r="A347" s="394"/>
      <c r="B347" s="27"/>
      <c r="C347" s="14"/>
      <c r="D347" s="165"/>
      <c r="E347" s="638"/>
      <c r="F347" s="14"/>
      <c r="G347" s="14"/>
      <c r="H347" s="14"/>
      <c r="I347" s="640"/>
      <c r="J347" s="640"/>
      <c r="K347" s="640"/>
      <c r="L347" s="640"/>
      <c r="M347" s="640"/>
    </row>
    <row r="348" ht="20.25" customHeight="1">
      <c r="A348" s="393"/>
      <c r="B348" s="31"/>
      <c r="C348" s="22"/>
      <c r="D348" s="165"/>
      <c r="E348" s="643"/>
      <c r="F348" s="22"/>
      <c r="G348" s="22"/>
      <c r="H348" s="22"/>
      <c r="I348" s="644"/>
      <c r="J348" s="644"/>
      <c r="K348" s="644"/>
      <c r="L348" s="644"/>
      <c r="M348" s="644"/>
    </row>
    <row r="349" ht="20.25" customHeight="1">
      <c r="A349" s="394"/>
      <c r="B349" s="27"/>
      <c r="C349" s="14"/>
      <c r="D349" s="165"/>
      <c r="E349" s="638"/>
      <c r="F349" s="14"/>
      <c r="G349" s="14"/>
      <c r="H349" s="14"/>
      <c r="I349" s="640"/>
      <c r="J349" s="640"/>
      <c r="K349" s="640"/>
      <c r="L349" s="640"/>
      <c r="M349" s="640"/>
    </row>
    <row r="350" ht="20.25" customHeight="1">
      <c r="A350" s="393"/>
      <c r="B350" s="31"/>
      <c r="C350" s="22"/>
      <c r="D350" s="165"/>
      <c r="E350" s="643"/>
      <c r="F350" s="22"/>
      <c r="G350" s="22"/>
      <c r="H350" s="22"/>
      <c r="I350" s="644"/>
      <c r="J350" s="644"/>
      <c r="K350" s="644"/>
      <c r="L350" s="644"/>
      <c r="M350" s="644"/>
    </row>
    <row r="351" ht="20.25" customHeight="1">
      <c r="A351" s="394"/>
      <c r="B351" s="27"/>
      <c r="C351" s="14"/>
      <c r="D351" s="165"/>
      <c r="E351" s="638"/>
      <c r="F351" s="14"/>
      <c r="G351" s="14"/>
      <c r="H351" s="14"/>
      <c r="I351" s="640"/>
      <c r="J351" s="640"/>
      <c r="K351" s="640"/>
      <c r="L351" s="640"/>
      <c r="M351" s="640"/>
    </row>
    <row r="352" ht="20.25" customHeight="1">
      <c r="A352" s="393"/>
      <c r="B352" s="31"/>
      <c r="C352" s="22"/>
      <c r="D352" s="165"/>
      <c r="E352" s="643"/>
      <c r="F352" s="22"/>
      <c r="G352" s="22"/>
      <c r="H352" s="22"/>
      <c r="I352" s="644"/>
      <c r="J352" s="644"/>
      <c r="K352" s="644"/>
      <c r="L352" s="644"/>
      <c r="M352" s="644"/>
    </row>
    <row r="353" ht="20.25" customHeight="1">
      <c r="A353" s="394"/>
      <c r="B353" s="27"/>
      <c r="C353" s="14"/>
      <c r="D353" s="165"/>
      <c r="E353" s="638"/>
      <c r="F353" s="14"/>
      <c r="G353" s="14"/>
      <c r="H353" s="14"/>
      <c r="I353" s="640"/>
      <c r="J353" s="640"/>
      <c r="K353" s="640"/>
      <c r="L353" s="640"/>
      <c r="M353" s="640"/>
    </row>
    <row r="354" ht="20.25" customHeight="1">
      <c r="A354" s="393"/>
      <c r="B354" s="31"/>
      <c r="C354" s="22"/>
      <c r="D354" s="165"/>
      <c r="E354" s="643"/>
      <c r="F354" s="22"/>
      <c r="G354" s="22"/>
      <c r="H354" s="22"/>
      <c r="I354" s="644"/>
      <c r="J354" s="644"/>
      <c r="K354" s="644"/>
      <c r="L354" s="644"/>
      <c r="M354" s="644"/>
    </row>
    <row r="355" ht="20.25" customHeight="1">
      <c r="A355" s="394"/>
      <c r="B355" s="27"/>
      <c r="C355" s="14"/>
      <c r="D355" s="165"/>
      <c r="E355" s="638"/>
      <c r="F355" s="14"/>
      <c r="G355" s="14"/>
      <c r="H355" s="14"/>
      <c r="I355" s="640"/>
      <c r="J355" s="640"/>
      <c r="K355" s="640"/>
      <c r="L355" s="640"/>
      <c r="M355" s="640"/>
    </row>
    <row r="356" ht="20.25" customHeight="1">
      <c r="A356" s="393"/>
      <c r="B356" s="31"/>
      <c r="C356" s="22"/>
      <c r="D356" s="165"/>
      <c r="E356" s="643"/>
      <c r="F356" s="22"/>
      <c r="G356" s="22"/>
      <c r="H356" s="22"/>
      <c r="I356" s="644"/>
      <c r="J356" s="644"/>
      <c r="K356" s="644"/>
      <c r="L356" s="644"/>
      <c r="M356" s="644"/>
    </row>
    <row r="357" ht="20.25" customHeight="1">
      <c r="A357" s="394"/>
      <c r="B357" s="27"/>
      <c r="C357" s="14"/>
      <c r="D357" s="165"/>
      <c r="E357" s="638"/>
      <c r="F357" s="14"/>
      <c r="G357" s="14"/>
      <c r="H357" s="14"/>
      <c r="I357" s="640"/>
      <c r="J357" s="640"/>
      <c r="K357" s="640"/>
      <c r="L357" s="640"/>
      <c r="M357" s="640"/>
    </row>
    <row r="358" ht="20.25" customHeight="1">
      <c r="A358" s="393"/>
      <c r="B358" s="31"/>
      <c r="C358" s="22"/>
      <c r="D358" s="165"/>
      <c r="E358" s="643"/>
      <c r="F358" s="22"/>
      <c r="G358" s="22"/>
      <c r="H358" s="22"/>
      <c r="I358" s="644"/>
      <c r="J358" s="644"/>
      <c r="K358" s="644"/>
      <c r="L358" s="644"/>
      <c r="M358" s="644"/>
    </row>
    <row r="359" ht="20.25" customHeight="1">
      <c r="A359" s="394"/>
      <c r="B359" s="27"/>
      <c r="C359" s="14"/>
      <c r="D359" s="165"/>
      <c r="E359" s="638"/>
      <c r="F359" s="14"/>
      <c r="G359" s="14"/>
      <c r="H359" s="14"/>
      <c r="I359" s="640"/>
      <c r="J359" s="640"/>
      <c r="K359" s="640"/>
      <c r="L359" s="640"/>
      <c r="M359" s="640"/>
    </row>
    <row r="360" ht="20.25" customHeight="1">
      <c r="A360" s="393"/>
      <c r="B360" s="31"/>
      <c r="C360" s="22"/>
      <c r="D360" s="165"/>
      <c r="E360" s="643"/>
      <c r="F360" s="22"/>
      <c r="G360" s="22"/>
      <c r="H360" s="22"/>
      <c r="I360" s="644"/>
      <c r="J360" s="644"/>
      <c r="K360" s="644"/>
      <c r="L360" s="644"/>
      <c r="M360" s="644"/>
    </row>
    <row r="361" ht="20.25" customHeight="1">
      <c r="A361" s="394"/>
      <c r="B361" s="27"/>
      <c r="C361" s="14"/>
      <c r="D361" s="165"/>
      <c r="E361" s="638"/>
      <c r="F361" s="14"/>
      <c r="G361" s="14"/>
      <c r="H361" s="14"/>
      <c r="I361" s="640"/>
      <c r="J361" s="640"/>
      <c r="K361" s="640"/>
      <c r="L361" s="640"/>
      <c r="M361" s="640"/>
    </row>
    <row r="362" ht="20.25" customHeight="1">
      <c r="A362" s="393"/>
      <c r="B362" s="31"/>
      <c r="C362" s="22"/>
      <c r="D362" s="165"/>
      <c r="E362" s="643"/>
      <c r="F362" s="22"/>
      <c r="G362" s="22"/>
      <c r="H362" s="22"/>
      <c r="I362" s="644"/>
      <c r="J362" s="644"/>
      <c r="K362" s="644"/>
      <c r="L362" s="644"/>
      <c r="M362" s="644"/>
    </row>
    <row r="363" ht="20.25" customHeight="1">
      <c r="A363" s="394"/>
      <c r="B363" s="27"/>
      <c r="C363" s="14"/>
      <c r="D363" s="165"/>
      <c r="E363" s="638"/>
      <c r="F363" s="14"/>
      <c r="G363" s="14"/>
      <c r="H363" s="14"/>
      <c r="I363" s="640"/>
      <c r="J363" s="640"/>
      <c r="K363" s="640"/>
      <c r="L363" s="640"/>
      <c r="M363" s="640"/>
    </row>
    <row r="364" ht="20.25" customHeight="1">
      <c r="A364" s="393"/>
      <c r="B364" s="31"/>
      <c r="C364" s="22"/>
      <c r="D364" s="165"/>
      <c r="E364" s="643"/>
      <c r="F364" s="22"/>
      <c r="G364" s="22"/>
      <c r="H364" s="22"/>
      <c r="I364" s="644"/>
      <c r="J364" s="644"/>
      <c r="K364" s="644"/>
      <c r="L364" s="644"/>
      <c r="M364" s="644"/>
    </row>
    <row r="365" ht="20.25" customHeight="1">
      <c r="A365" s="394"/>
      <c r="B365" s="27"/>
      <c r="C365" s="14"/>
      <c r="D365" s="165"/>
      <c r="E365" s="638"/>
      <c r="F365" s="14"/>
      <c r="G365" s="14"/>
      <c r="H365" s="14"/>
      <c r="I365" s="640"/>
      <c r="J365" s="640"/>
      <c r="K365" s="640"/>
      <c r="L365" s="640"/>
      <c r="M365" s="640"/>
    </row>
    <row r="366" ht="20.25" customHeight="1">
      <c r="A366" s="393"/>
      <c r="B366" s="31"/>
      <c r="C366" s="22"/>
      <c r="D366" s="165"/>
      <c r="E366" s="643"/>
      <c r="F366" s="22"/>
      <c r="G366" s="22"/>
      <c r="H366" s="22"/>
      <c r="I366" s="644"/>
      <c r="J366" s="644"/>
      <c r="K366" s="644"/>
      <c r="L366" s="644"/>
      <c r="M366" s="644"/>
    </row>
    <row r="367" ht="20.25" customHeight="1">
      <c r="A367" s="394"/>
      <c r="B367" s="27"/>
      <c r="C367" s="14"/>
      <c r="D367" s="165"/>
      <c r="E367" s="638"/>
      <c r="F367" s="14"/>
      <c r="G367" s="14"/>
      <c r="H367" s="14"/>
      <c r="I367" s="640"/>
      <c r="J367" s="640"/>
      <c r="K367" s="640"/>
      <c r="L367" s="640"/>
      <c r="M367" s="640"/>
    </row>
    <row r="368" ht="20.25" customHeight="1">
      <c r="A368" s="393"/>
      <c r="B368" s="31"/>
      <c r="C368" s="22"/>
      <c r="D368" s="165"/>
      <c r="E368" s="643"/>
      <c r="F368" s="22"/>
      <c r="G368" s="22"/>
      <c r="H368" s="22"/>
      <c r="I368" s="644"/>
      <c r="J368" s="644"/>
      <c r="K368" s="644"/>
      <c r="L368" s="644"/>
      <c r="M368" s="644"/>
    </row>
    <row r="369" ht="20.25" customHeight="1">
      <c r="A369" s="394"/>
      <c r="B369" s="27"/>
      <c r="C369" s="14"/>
      <c r="D369" s="165"/>
      <c r="E369" s="638"/>
      <c r="F369" s="14"/>
      <c r="G369" s="14"/>
      <c r="H369" s="14"/>
      <c r="I369" s="640"/>
      <c r="J369" s="640"/>
      <c r="K369" s="640"/>
      <c r="L369" s="640"/>
      <c r="M369" s="640"/>
    </row>
    <row r="370" ht="20.25" customHeight="1">
      <c r="A370" s="393"/>
      <c r="B370" s="31"/>
      <c r="C370" s="22"/>
      <c r="D370" s="165"/>
      <c r="E370" s="643"/>
      <c r="F370" s="22"/>
      <c r="G370" s="22"/>
      <c r="H370" s="22"/>
      <c r="I370" s="644"/>
      <c r="J370" s="644"/>
      <c r="K370" s="644"/>
      <c r="L370" s="644"/>
      <c r="M370" s="644"/>
    </row>
    <row r="371" ht="20.25" customHeight="1">
      <c r="A371" s="394"/>
      <c r="B371" s="27"/>
      <c r="C371" s="14"/>
      <c r="D371" s="165"/>
      <c r="E371" s="638"/>
      <c r="F371" s="14"/>
      <c r="G371" s="14"/>
      <c r="H371" s="14"/>
      <c r="I371" s="640"/>
      <c r="J371" s="640"/>
      <c r="K371" s="640"/>
      <c r="L371" s="640"/>
      <c r="M371" s="640"/>
    </row>
    <row r="372" ht="20.25" customHeight="1">
      <c r="A372" s="393"/>
      <c r="B372" s="31"/>
      <c r="C372" s="22"/>
      <c r="D372" s="165"/>
      <c r="E372" s="643"/>
      <c r="F372" s="22"/>
      <c r="G372" s="22"/>
      <c r="H372" s="22"/>
      <c r="I372" s="644"/>
      <c r="J372" s="644"/>
      <c r="K372" s="644"/>
      <c r="L372" s="644"/>
      <c r="M372" s="644"/>
    </row>
    <row r="373" ht="20.25" customHeight="1">
      <c r="A373" s="394"/>
      <c r="B373" s="27"/>
      <c r="C373" s="14"/>
      <c r="D373" s="165"/>
      <c r="E373" s="638"/>
      <c r="F373" s="14"/>
      <c r="G373" s="14"/>
      <c r="H373" s="14"/>
      <c r="I373" s="640"/>
      <c r="J373" s="640"/>
      <c r="K373" s="640"/>
      <c r="L373" s="640"/>
      <c r="M373" s="640"/>
    </row>
    <row r="374" ht="20.25" customHeight="1">
      <c r="A374" s="393"/>
      <c r="B374" s="31"/>
      <c r="C374" s="22"/>
      <c r="D374" s="165"/>
      <c r="E374" s="643"/>
      <c r="F374" s="22"/>
      <c r="G374" s="22"/>
      <c r="H374" s="22"/>
      <c r="I374" s="644"/>
      <c r="J374" s="644"/>
      <c r="K374" s="644"/>
      <c r="L374" s="644"/>
      <c r="M374" s="644"/>
    </row>
    <row r="375" ht="20.25" customHeight="1">
      <c r="A375" s="394"/>
      <c r="B375" s="27"/>
      <c r="C375" s="14"/>
      <c r="D375" s="165"/>
      <c r="E375" s="638"/>
      <c r="F375" s="14"/>
      <c r="G375" s="14"/>
      <c r="H375" s="14"/>
      <c r="I375" s="640"/>
      <c r="J375" s="640"/>
      <c r="K375" s="640"/>
      <c r="L375" s="640"/>
      <c r="M375" s="640"/>
    </row>
    <row r="376" ht="20.25" customHeight="1">
      <c r="A376" s="393"/>
      <c r="B376" s="31"/>
      <c r="C376" s="22"/>
      <c r="D376" s="165"/>
      <c r="E376" s="643"/>
      <c r="F376" s="22"/>
      <c r="G376" s="22"/>
      <c r="H376" s="22"/>
      <c r="I376" s="644"/>
      <c r="J376" s="644"/>
      <c r="K376" s="644"/>
      <c r="L376" s="644"/>
      <c r="M376" s="644"/>
    </row>
    <row r="377" ht="20.25" customHeight="1">
      <c r="A377" s="394"/>
      <c r="B377" s="27"/>
      <c r="C377" s="14"/>
      <c r="D377" s="165"/>
      <c r="E377" s="638"/>
      <c r="F377" s="14"/>
      <c r="G377" s="14"/>
      <c r="H377" s="14"/>
      <c r="I377" s="640"/>
      <c r="J377" s="640"/>
      <c r="K377" s="640"/>
      <c r="L377" s="640"/>
      <c r="M377" s="640"/>
    </row>
    <row r="378" ht="20.25" customHeight="1">
      <c r="A378" s="393"/>
      <c r="B378" s="31"/>
      <c r="C378" s="22"/>
      <c r="D378" s="165"/>
      <c r="E378" s="643"/>
      <c r="F378" s="22"/>
      <c r="G378" s="22"/>
      <c r="H378" s="22"/>
      <c r="I378" s="644"/>
      <c r="J378" s="644"/>
      <c r="K378" s="644"/>
      <c r="L378" s="644"/>
      <c r="M378" s="644"/>
    </row>
    <row r="379" ht="20.25" customHeight="1">
      <c r="A379" s="394"/>
      <c r="B379" s="27"/>
      <c r="C379" s="14"/>
      <c r="D379" s="165"/>
      <c r="E379" s="638"/>
      <c r="F379" s="14"/>
      <c r="G379" s="14"/>
      <c r="H379" s="14"/>
      <c r="I379" s="640"/>
      <c r="J379" s="640"/>
      <c r="K379" s="640"/>
      <c r="L379" s="640"/>
      <c r="M379" s="640"/>
    </row>
    <row r="380" ht="20.25" customHeight="1">
      <c r="A380" s="393"/>
      <c r="B380" s="31"/>
      <c r="C380" s="22"/>
      <c r="D380" s="165"/>
      <c r="E380" s="643"/>
      <c r="F380" s="22"/>
      <c r="G380" s="22"/>
      <c r="H380" s="22"/>
      <c r="I380" s="644"/>
      <c r="J380" s="644"/>
      <c r="K380" s="644"/>
      <c r="L380" s="644"/>
      <c r="M380" s="644"/>
    </row>
    <row r="381" ht="20.25" customHeight="1">
      <c r="A381" s="394"/>
      <c r="B381" s="27"/>
      <c r="C381" s="14"/>
      <c r="D381" s="165"/>
      <c r="E381" s="638"/>
      <c r="F381" s="14"/>
      <c r="G381" s="14"/>
      <c r="H381" s="14"/>
      <c r="I381" s="640"/>
      <c r="J381" s="640"/>
      <c r="K381" s="640"/>
      <c r="L381" s="640"/>
      <c r="M381" s="640"/>
    </row>
    <row r="382" ht="20.25" customHeight="1">
      <c r="A382" s="393"/>
      <c r="B382" s="31"/>
      <c r="C382" s="22"/>
      <c r="D382" s="165"/>
      <c r="E382" s="643"/>
      <c r="F382" s="22"/>
      <c r="G382" s="22"/>
      <c r="H382" s="22"/>
      <c r="I382" s="644"/>
      <c r="J382" s="644"/>
      <c r="K382" s="644"/>
      <c r="L382" s="644"/>
      <c r="M382" s="644"/>
    </row>
    <row r="383" ht="20.25" customHeight="1">
      <c r="A383" s="394"/>
      <c r="B383" s="27"/>
      <c r="C383" s="14"/>
      <c r="D383" s="165"/>
      <c r="E383" s="638"/>
      <c r="F383" s="14"/>
      <c r="G383" s="14"/>
      <c r="H383" s="14"/>
      <c r="I383" s="640"/>
      <c r="J383" s="640"/>
      <c r="K383" s="640"/>
      <c r="L383" s="640"/>
      <c r="M383" s="640"/>
    </row>
    <row r="384" ht="20.25" customHeight="1">
      <c r="A384" s="393"/>
      <c r="B384" s="31"/>
      <c r="C384" s="22"/>
      <c r="D384" s="165"/>
      <c r="E384" s="643"/>
      <c r="F384" s="22"/>
      <c r="G384" s="22"/>
      <c r="H384" s="22"/>
      <c r="I384" s="644"/>
      <c r="J384" s="644"/>
      <c r="K384" s="644"/>
      <c r="L384" s="644"/>
      <c r="M384" s="644"/>
    </row>
    <row r="385" ht="20.25" customHeight="1">
      <c r="A385" s="394"/>
      <c r="B385" s="27"/>
      <c r="C385" s="14"/>
      <c r="D385" s="165"/>
      <c r="E385" s="638"/>
      <c r="F385" s="14"/>
      <c r="G385" s="14"/>
      <c r="H385" s="14"/>
      <c r="I385" s="640"/>
      <c r="J385" s="640"/>
      <c r="K385" s="640"/>
      <c r="L385" s="640"/>
      <c r="M385" s="640"/>
    </row>
    <row r="386" ht="20.25" customHeight="1">
      <c r="A386" s="393"/>
      <c r="B386" s="31"/>
      <c r="C386" s="22"/>
      <c r="D386" s="165"/>
      <c r="E386" s="643"/>
      <c r="F386" s="22"/>
      <c r="G386" s="22"/>
      <c r="H386" s="22"/>
      <c r="I386" s="644"/>
      <c r="J386" s="644"/>
      <c r="K386" s="644"/>
      <c r="L386" s="644"/>
      <c r="M386" s="644"/>
    </row>
    <row r="387" ht="20.25" customHeight="1">
      <c r="A387" s="394"/>
      <c r="B387" s="27"/>
      <c r="C387" s="14"/>
      <c r="D387" s="165"/>
      <c r="E387" s="638"/>
      <c r="F387" s="14"/>
      <c r="G387" s="14"/>
      <c r="H387" s="14"/>
      <c r="I387" s="640"/>
      <c r="J387" s="640"/>
      <c r="K387" s="640"/>
      <c r="L387" s="640"/>
      <c r="M387" s="640"/>
    </row>
    <row r="388" ht="20.25" customHeight="1">
      <c r="A388" s="393"/>
      <c r="B388" s="31"/>
      <c r="C388" s="22"/>
      <c r="D388" s="165"/>
      <c r="E388" s="643"/>
      <c r="F388" s="22"/>
      <c r="G388" s="22"/>
      <c r="H388" s="22"/>
      <c r="I388" s="644"/>
      <c r="J388" s="644"/>
      <c r="K388" s="644"/>
      <c r="L388" s="644"/>
      <c r="M388" s="644"/>
    </row>
    <row r="389" ht="20.25" customHeight="1">
      <c r="A389" s="394"/>
      <c r="B389" s="27"/>
      <c r="C389" s="14"/>
      <c r="D389" s="165"/>
      <c r="E389" s="638"/>
      <c r="F389" s="14"/>
      <c r="G389" s="14"/>
      <c r="H389" s="14"/>
      <c r="I389" s="640"/>
      <c r="J389" s="640"/>
      <c r="K389" s="640"/>
      <c r="L389" s="640"/>
      <c r="M389" s="640"/>
    </row>
    <row r="390" ht="20.25" customHeight="1">
      <c r="A390" s="393"/>
      <c r="B390" s="31"/>
      <c r="C390" s="22"/>
      <c r="D390" s="165"/>
      <c r="E390" s="643"/>
      <c r="F390" s="22"/>
      <c r="G390" s="22"/>
      <c r="H390" s="22"/>
      <c r="I390" s="644"/>
      <c r="J390" s="644"/>
      <c r="K390" s="644"/>
      <c r="L390" s="644"/>
      <c r="M390" s="644"/>
    </row>
    <row r="391" ht="20.25" customHeight="1">
      <c r="A391" s="394"/>
      <c r="B391" s="27"/>
      <c r="C391" s="14"/>
      <c r="D391" s="165"/>
      <c r="E391" s="638"/>
      <c r="F391" s="14"/>
      <c r="G391" s="14"/>
      <c r="H391" s="14"/>
      <c r="I391" s="640"/>
      <c r="J391" s="640"/>
      <c r="K391" s="640"/>
      <c r="L391" s="640"/>
      <c r="M391" s="640"/>
    </row>
    <row r="392" ht="20.25" customHeight="1">
      <c r="A392" s="393"/>
      <c r="B392" s="31"/>
      <c r="C392" s="22"/>
      <c r="D392" s="165"/>
      <c r="E392" s="643"/>
      <c r="F392" s="22"/>
      <c r="G392" s="22"/>
      <c r="H392" s="22"/>
      <c r="I392" s="644"/>
      <c r="J392" s="644"/>
      <c r="K392" s="644"/>
      <c r="L392" s="644"/>
      <c r="M392" s="644"/>
    </row>
    <row r="393" ht="20.25" customHeight="1">
      <c r="A393" s="394"/>
      <c r="B393" s="27"/>
      <c r="C393" s="14"/>
      <c r="D393" s="165"/>
      <c r="E393" s="638"/>
      <c r="F393" s="14"/>
      <c r="G393" s="14"/>
      <c r="H393" s="14"/>
      <c r="I393" s="640"/>
      <c r="J393" s="640"/>
      <c r="K393" s="640"/>
      <c r="L393" s="640"/>
      <c r="M393" s="640"/>
    </row>
    <row r="394" ht="20.25" customHeight="1">
      <c r="A394" s="393"/>
      <c r="B394" s="31"/>
      <c r="C394" s="22"/>
      <c r="D394" s="165"/>
      <c r="E394" s="643"/>
      <c r="F394" s="22"/>
      <c r="G394" s="22"/>
      <c r="H394" s="22"/>
      <c r="I394" s="644"/>
      <c r="J394" s="644"/>
      <c r="K394" s="644"/>
      <c r="L394" s="644"/>
      <c r="M394" s="644"/>
    </row>
    <row r="395" ht="20.25" customHeight="1">
      <c r="A395" s="394"/>
      <c r="B395" s="27"/>
      <c r="C395" s="14"/>
      <c r="D395" s="165"/>
      <c r="E395" s="638"/>
      <c r="F395" s="14"/>
      <c r="G395" s="14"/>
      <c r="H395" s="14"/>
      <c r="I395" s="640"/>
      <c r="J395" s="640"/>
      <c r="K395" s="640"/>
      <c r="L395" s="640"/>
      <c r="M395" s="640"/>
    </row>
    <row r="396" ht="20.25" customHeight="1">
      <c r="A396" s="393"/>
      <c r="B396" s="31"/>
      <c r="C396" s="22"/>
      <c r="D396" s="165"/>
      <c r="E396" s="643"/>
      <c r="F396" s="22"/>
      <c r="G396" s="22"/>
      <c r="H396" s="22"/>
      <c r="I396" s="644"/>
      <c r="J396" s="644"/>
      <c r="K396" s="644"/>
      <c r="L396" s="644"/>
      <c r="M396" s="644"/>
    </row>
    <row r="397" ht="20.25" customHeight="1">
      <c r="A397" s="394"/>
      <c r="B397" s="27"/>
      <c r="C397" s="14"/>
      <c r="D397" s="165"/>
      <c r="E397" s="638"/>
      <c r="F397" s="14"/>
      <c r="G397" s="14"/>
      <c r="H397" s="14"/>
      <c r="I397" s="640"/>
      <c r="J397" s="640"/>
      <c r="K397" s="640"/>
      <c r="L397" s="640"/>
      <c r="M397" s="640"/>
    </row>
    <row r="398" ht="20.25" customHeight="1">
      <c r="A398" s="393"/>
      <c r="B398" s="31"/>
      <c r="C398" s="22"/>
      <c r="D398" s="165"/>
      <c r="E398" s="643"/>
      <c r="F398" s="22"/>
      <c r="G398" s="22"/>
      <c r="H398" s="22"/>
      <c r="I398" s="644"/>
      <c r="J398" s="644"/>
      <c r="K398" s="644"/>
      <c r="L398" s="644"/>
      <c r="M398" s="644"/>
    </row>
    <row r="399" ht="20.25" customHeight="1">
      <c r="A399" s="394"/>
      <c r="B399" s="27"/>
      <c r="C399" s="14"/>
      <c r="D399" s="165"/>
      <c r="E399" s="638"/>
      <c r="F399" s="14"/>
      <c r="G399" s="14"/>
      <c r="H399" s="14"/>
      <c r="I399" s="640"/>
      <c r="J399" s="640"/>
      <c r="K399" s="640"/>
      <c r="L399" s="640"/>
      <c r="M399" s="640"/>
    </row>
    <row r="400" ht="20.25" customHeight="1">
      <c r="A400" s="393"/>
      <c r="B400" s="31"/>
      <c r="C400" s="22"/>
      <c r="D400" s="165"/>
      <c r="E400" s="643"/>
      <c r="F400" s="22"/>
      <c r="G400" s="22"/>
      <c r="H400" s="22"/>
      <c r="I400" s="644"/>
      <c r="J400" s="644"/>
      <c r="K400" s="644"/>
      <c r="L400" s="644"/>
      <c r="M400" s="644"/>
    </row>
    <row r="401" ht="20.25" customHeight="1">
      <c r="A401" s="394"/>
      <c r="B401" s="27"/>
      <c r="C401" s="14"/>
      <c r="D401" s="165"/>
      <c r="E401" s="638"/>
      <c r="F401" s="14"/>
      <c r="G401" s="14"/>
      <c r="H401" s="14"/>
      <c r="I401" s="640"/>
      <c r="J401" s="640"/>
      <c r="K401" s="640"/>
      <c r="L401" s="640"/>
      <c r="M401" s="640"/>
    </row>
    <row r="402" ht="20.25" customHeight="1">
      <c r="A402" s="393"/>
      <c r="B402" s="31"/>
      <c r="C402" s="22"/>
      <c r="D402" s="165"/>
      <c r="E402" s="643"/>
      <c r="F402" s="22"/>
      <c r="G402" s="22"/>
      <c r="H402" s="22"/>
      <c r="I402" s="644"/>
      <c r="J402" s="644"/>
      <c r="K402" s="644"/>
      <c r="L402" s="644"/>
      <c r="M402" s="644"/>
    </row>
    <row r="403" ht="20.25" customHeight="1">
      <c r="A403" s="394"/>
      <c r="B403" s="27"/>
      <c r="C403" s="14"/>
      <c r="D403" s="165"/>
      <c r="E403" s="638"/>
      <c r="F403" s="14"/>
      <c r="G403" s="14"/>
      <c r="H403" s="14"/>
      <c r="I403" s="640"/>
      <c r="J403" s="640"/>
      <c r="K403" s="640"/>
      <c r="L403" s="640"/>
      <c r="M403" s="640"/>
    </row>
    <row r="404" ht="20.25" customHeight="1">
      <c r="A404" s="393"/>
      <c r="B404" s="31"/>
      <c r="C404" s="22"/>
      <c r="D404" s="165"/>
      <c r="E404" s="643"/>
      <c r="F404" s="22"/>
      <c r="G404" s="22"/>
      <c r="H404" s="22"/>
      <c r="I404" s="644"/>
      <c r="J404" s="644"/>
      <c r="K404" s="644"/>
      <c r="L404" s="644"/>
      <c r="M404" s="644"/>
    </row>
    <row r="405" ht="20.25" customHeight="1">
      <c r="A405" s="394"/>
      <c r="B405" s="27"/>
      <c r="C405" s="14"/>
      <c r="D405" s="165"/>
      <c r="E405" s="638"/>
      <c r="F405" s="14"/>
      <c r="G405" s="14"/>
      <c r="H405" s="14"/>
      <c r="I405" s="640"/>
      <c r="J405" s="640"/>
      <c r="K405" s="640"/>
      <c r="L405" s="640"/>
      <c r="M405" s="640"/>
    </row>
    <row r="406" ht="20.25" customHeight="1">
      <c r="A406" s="393"/>
      <c r="B406" s="31"/>
      <c r="C406" s="22"/>
      <c r="D406" s="165"/>
      <c r="E406" s="643"/>
      <c r="F406" s="22"/>
      <c r="G406" s="22"/>
      <c r="H406" s="22"/>
      <c r="I406" s="644"/>
      <c r="J406" s="644"/>
      <c r="K406" s="644"/>
      <c r="L406" s="644"/>
      <c r="M406" s="644"/>
    </row>
    <row r="407" ht="20.25" customHeight="1">
      <c r="A407" s="394"/>
      <c r="B407" s="27"/>
      <c r="C407" s="14"/>
      <c r="D407" s="165"/>
      <c r="E407" s="638"/>
      <c r="F407" s="14"/>
      <c r="G407" s="14"/>
      <c r="H407" s="14"/>
      <c r="I407" s="640"/>
      <c r="J407" s="640"/>
      <c r="K407" s="640"/>
      <c r="L407" s="640"/>
      <c r="M407" s="640"/>
    </row>
    <row r="408" ht="20.25" customHeight="1">
      <c r="A408" s="393"/>
      <c r="B408" s="31"/>
      <c r="C408" s="22"/>
      <c r="D408" s="165"/>
      <c r="E408" s="643"/>
      <c r="F408" s="22"/>
      <c r="G408" s="22"/>
      <c r="H408" s="22"/>
      <c r="I408" s="644"/>
      <c r="J408" s="644"/>
      <c r="K408" s="644"/>
      <c r="L408" s="644"/>
      <c r="M408" s="644"/>
    </row>
    <row r="409" ht="20.25" customHeight="1">
      <c r="A409" s="394"/>
      <c r="B409" s="27"/>
      <c r="C409" s="14"/>
      <c r="D409" s="165"/>
      <c r="E409" s="638"/>
      <c r="F409" s="14"/>
      <c r="G409" s="14"/>
      <c r="H409" s="14"/>
      <c r="I409" s="640"/>
      <c r="J409" s="640"/>
      <c r="K409" s="640"/>
      <c r="L409" s="640"/>
      <c r="M409" s="640"/>
    </row>
    <row r="410" ht="20.25" customHeight="1">
      <c r="A410" s="393"/>
      <c r="B410" s="31"/>
      <c r="C410" s="22"/>
      <c r="D410" s="165"/>
      <c r="E410" s="643"/>
      <c r="F410" s="22"/>
      <c r="G410" s="22"/>
      <c r="H410" s="22"/>
      <c r="I410" s="644"/>
      <c r="J410" s="644"/>
      <c r="K410" s="644"/>
      <c r="L410" s="644"/>
      <c r="M410" s="644"/>
    </row>
    <row r="411" ht="20.25" customHeight="1">
      <c r="A411" s="394"/>
      <c r="B411" s="27"/>
      <c r="C411" s="14"/>
      <c r="D411" s="165"/>
      <c r="E411" s="638"/>
      <c r="F411" s="14"/>
      <c r="G411" s="14"/>
      <c r="H411" s="14"/>
      <c r="I411" s="640"/>
      <c r="J411" s="640"/>
      <c r="K411" s="640"/>
      <c r="L411" s="640"/>
      <c r="M411" s="640"/>
    </row>
    <row r="412" ht="20.25" customHeight="1">
      <c r="A412" s="393"/>
      <c r="B412" s="31"/>
      <c r="C412" s="22"/>
      <c r="D412" s="165"/>
      <c r="E412" s="643"/>
      <c r="F412" s="22"/>
      <c r="G412" s="22"/>
      <c r="H412" s="22"/>
      <c r="I412" s="644"/>
      <c r="J412" s="644"/>
      <c r="K412" s="644"/>
      <c r="L412" s="644"/>
      <c r="M412" s="644"/>
    </row>
    <row r="413" ht="20.25" customHeight="1">
      <c r="A413" s="394"/>
      <c r="B413" s="27"/>
      <c r="C413" s="14"/>
      <c r="D413" s="165"/>
      <c r="E413" s="638"/>
      <c r="F413" s="14"/>
      <c r="G413" s="14"/>
      <c r="H413" s="14"/>
      <c r="I413" s="640"/>
      <c r="J413" s="640"/>
      <c r="K413" s="640"/>
      <c r="L413" s="640"/>
      <c r="M413" s="640"/>
    </row>
    <row r="414" ht="20.25" customHeight="1">
      <c r="A414" s="393"/>
      <c r="B414" s="31"/>
      <c r="C414" s="22"/>
      <c r="D414" s="165"/>
      <c r="E414" s="643"/>
      <c r="F414" s="22"/>
      <c r="G414" s="22"/>
      <c r="H414" s="22"/>
      <c r="I414" s="644"/>
      <c r="J414" s="644"/>
      <c r="K414" s="644"/>
      <c r="L414" s="644"/>
      <c r="M414" s="644"/>
    </row>
    <row r="415" ht="20.25" customHeight="1">
      <c r="A415" s="394"/>
      <c r="B415" s="27"/>
      <c r="C415" s="14"/>
      <c r="D415" s="165"/>
      <c r="E415" s="638"/>
      <c r="F415" s="14"/>
      <c r="G415" s="14"/>
      <c r="H415" s="14"/>
      <c r="I415" s="640"/>
      <c r="J415" s="640"/>
      <c r="K415" s="640"/>
      <c r="L415" s="640"/>
      <c r="M415" s="640"/>
    </row>
    <row r="416" ht="20.25" customHeight="1">
      <c r="A416" s="393"/>
      <c r="B416" s="31"/>
      <c r="C416" s="22"/>
      <c r="D416" s="165"/>
      <c r="E416" s="643"/>
      <c r="F416" s="22"/>
      <c r="G416" s="22"/>
      <c r="H416" s="22"/>
      <c r="I416" s="644"/>
      <c r="J416" s="644"/>
      <c r="K416" s="644"/>
      <c r="L416" s="644"/>
      <c r="M416" s="644"/>
    </row>
    <row r="417" ht="20.25" customHeight="1">
      <c r="A417" s="394"/>
      <c r="B417" s="27"/>
      <c r="C417" s="14"/>
      <c r="D417" s="165"/>
      <c r="E417" s="638"/>
      <c r="F417" s="14"/>
      <c r="G417" s="14"/>
      <c r="H417" s="14"/>
      <c r="I417" s="640"/>
      <c r="J417" s="640"/>
      <c r="K417" s="640"/>
      <c r="L417" s="640"/>
      <c r="M417" s="640"/>
    </row>
    <row r="418" ht="20.25" customHeight="1">
      <c r="A418" s="393"/>
      <c r="B418" s="31"/>
      <c r="C418" s="22"/>
      <c r="D418" s="165"/>
      <c r="E418" s="643"/>
      <c r="F418" s="22"/>
      <c r="G418" s="22"/>
      <c r="H418" s="22"/>
      <c r="I418" s="644"/>
      <c r="J418" s="644"/>
      <c r="K418" s="644"/>
      <c r="L418" s="644"/>
      <c r="M418" s="644"/>
    </row>
    <row r="419" ht="20.25" customHeight="1">
      <c r="A419" s="394"/>
      <c r="B419" s="27"/>
      <c r="C419" s="14"/>
      <c r="D419" s="165"/>
      <c r="E419" s="638"/>
      <c r="F419" s="14"/>
      <c r="G419" s="14"/>
      <c r="H419" s="14"/>
      <c r="I419" s="640"/>
      <c r="J419" s="640"/>
      <c r="K419" s="640"/>
      <c r="L419" s="640"/>
      <c r="M419" s="640"/>
    </row>
    <row r="420" ht="20.25" customHeight="1">
      <c r="A420" s="393"/>
      <c r="B420" s="31"/>
      <c r="C420" s="22"/>
      <c r="D420" s="165"/>
      <c r="E420" s="643"/>
      <c r="F420" s="22"/>
      <c r="G420" s="22"/>
      <c r="H420" s="22"/>
      <c r="I420" s="644"/>
      <c r="J420" s="644"/>
      <c r="K420" s="644"/>
      <c r="L420" s="644"/>
      <c r="M420" s="644"/>
    </row>
    <row r="421" ht="20.25" customHeight="1">
      <c r="A421" s="394"/>
      <c r="B421" s="27"/>
      <c r="C421" s="14"/>
      <c r="D421" s="165"/>
      <c r="E421" s="638"/>
      <c r="F421" s="14"/>
      <c r="G421" s="14"/>
      <c r="H421" s="14"/>
      <c r="I421" s="640"/>
      <c r="J421" s="640"/>
      <c r="K421" s="640"/>
      <c r="L421" s="640"/>
      <c r="M421" s="640"/>
    </row>
    <row r="422" ht="20.25" customHeight="1">
      <c r="A422" s="393"/>
      <c r="B422" s="31"/>
      <c r="C422" s="22"/>
      <c r="D422" s="165"/>
      <c r="E422" s="643"/>
      <c r="F422" s="22"/>
      <c r="G422" s="22"/>
      <c r="H422" s="22"/>
      <c r="I422" s="644"/>
      <c r="J422" s="644"/>
      <c r="K422" s="644"/>
      <c r="L422" s="644"/>
      <c r="M422" s="644"/>
    </row>
    <row r="423" ht="20.25" customHeight="1">
      <c r="A423" s="394"/>
      <c r="B423" s="27"/>
      <c r="C423" s="14"/>
      <c r="D423" s="165"/>
      <c r="E423" s="638"/>
      <c r="F423" s="14"/>
      <c r="G423" s="14"/>
      <c r="H423" s="14"/>
      <c r="I423" s="640"/>
      <c r="J423" s="640"/>
      <c r="K423" s="640"/>
      <c r="L423" s="640"/>
      <c r="M423" s="640"/>
    </row>
    <row r="424" ht="20.25" customHeight="1">
      <c r="A424" s="393"/>
      <c r="B424" s="31"/>
      <c r="C424" s="22"/>
      <c r="D424" s="165"/>
      <c r="E424" s="643"/>
      <c r="F424" s="22"/>
      <c r="G424" s="22"/>
      <c r="H424" s="22"/>
      <c r="I424" s="644"/>
      <c r="J424" s="644"/>
      <c r="K424" s="644"/>
      <c r="L424" s="644"/>
      <c r="M424" s="644"/>
    </row>
    <row r="425" ht="20.25" customHeight="1">
      <c r="A425" s="394"/>
      <c r="B425" s="27"/>
      <c r="C425" s="14"/>
      <c r="D425" s="165"/>
      <c r="E425" s="638"/>
      <c r="F425" s="14"/>
      <c r="G425" s="14"/>
      <c r="H425" s="14"/>
      <c r="I425" s="640"/>
      <c r="J425" s="640"/>
      <c r="K425" s="640"/>
      <c r="L425" s="640"/>
      <c r="M425" s="640"/>
    </row>
    <row r="426" ht="20.25" customHeight="1">
      <c r="A426" s="393"/>
      <c r="B426" s="31"/>
      <c r="C426" s="22"/>
      <c r="D426" s="165"/>
      <c r="E426" s="643"/>
      <c r="F426" s="22"/>
      <c r="G426" s="22"/>
      <c r="H426" s="22"/>
      <c r="I426" s="644"/>
      <c r="J426" s="644"/>
      <c r="K426" s="644"/>
      <c r="L426" s="644"/>
      <c r="M426" s="644"/>
    </row>
    <row r="427" ht="20.25" customHeight="1">
      <c r="A427" s="394"/>
      <c r="B427" s="27"/>
      <c r="C427" s="14"/>
      <c r="D427" s="165"/>
      <c r="E427" s="638"/>
      <c r="F427" s="14"/>
      <c r="G427" s="14"/>
      <c r="H427" s="14"/>
      <c r="I427" s="640"/>
      <c r="J427" s="640"/>
      <c r="K427" s="640"/>
      <c r="L427" s="640"/>
      <c r="M427" s="640"/>
    </row>
    <row r="428" ht="20.25" customHeight="1">
      <c r="A428" s="393"/>
      <c r="B428" s="31"/>
      <c r="C428" s="22"/>
      <c r="D428" s="165"/>
      <c r="E428" s="643"/>
      <c r="F428" s="22"/>
      <c r="G428" s="22"/>
      <c r="H428" s="22"/>
      <c r="I428" s="644"/>
      <c r="J428" s="644"/>
      <c r="K428" s="644"/>
      <c r="L428" s="644"/>
      <c r="M428" s="644"/>
    </row>
    <row r="429" ht="20.25" customHeight="1">
      <c r="A429" s="394"/>
      <c r="B429" s="27"/>
      <c r="C429" s="14"/>
      <c r="D429" s="165"/>
      <c r="E429" s="638"/>
      <c r="F429" s="14"/>
      <c r="G429" s="14"/>
      <c r="H429" s="14"/>
      <c r="I429" s="640"/>
      <c r="J429" s="640"/>
      <c r="K429" s="640"/>
      <c r="L429" s="640"/>
      <c r="M429" s="640"/>
    </row>
    <row r="430" ht="20.25" customHeight="1">
      <c r="A430" s="393"/>
      <c r="B430" s="31"/>
      <c r="C430" s="22"/>
      <c r="D430" s="165"/>
      <c r="E430" s="643"/>
      <c r="F430" s="22"/>
      <c r="G430" s="22"/>
      <c r="H430" s="22"/>
      <c r="I430" s="644"/>
      <c r="J430" s="644"/>
      <c r="K430" s="644"/>
      <c r="L430" s="644"/>
      <c r="M430" s="644"/>
    </row>
    <row r="431" ht="20.25" customHeight="1">
      <c r="A431" s="394"/>
      <c r="B431" s="27"/>
      <c r="C431" s="14"/>
      <c r="D431" s="165"/>
      <c r="E431" s="638"/>
      <c r="F431" s="14"/>
      <c r="G431" s="14"/>
      <c r="H431" s="14"/>
      <c r="I431" s="640"/>
      <c r="J431" s="640"/>
      <c r="K431" s="640"/>
      <c r="L431" s="640"/>
      <c r="M431" s="640"/>
    </row>
    <row r="432" ht="20.25" customHeight="1">
      <c r="A432" s="393"/>
      <c r="B432" s="31"/>
      <c r="C432" s="22"/>
      <c r="D432" s="165"/>
      <c r="E432" s="643"/>
      <c r="F432" s="22"/>
      <c r="G432" s="22"/>
      <c r="H432" s="22"/>
      <c r="I432" s="644"/>
      <c r="J432" s="644"/>
      <c r="K432" s="644"/>
      <c r="L432" s="644"/>
      <c r="M432" s="644"/>
    </row>
    <row r="433" ht="20.25" customHeight="1">
      <c r="A433" s="394"/>
      <c r="B433" s="27"/>
      <c r="C433" s="14"/>
      <c r="D433" s="165"/>
      <c r="E433" s="638"/>
      <c r="F433" s="14"/>
      <c r="G433" s="14"/>
      <c r="H433" s="14"/>
      <c r="I433" s="640"/>
      <c r="J433" s="640"/>
      <c r="K433" s="640"/>
      <c r="L433" s="640"/>
      <c r="M433" s="640"/>
    </row>
    <row r="434" ht="20.25" customHeight="1">
      <c r="A434" s="393"/>
      <c r="B434" s="31"/>
      <c r="C434" s="22"/>
      <c r="D434" s="165"/>
      <c r="E434" s="643"/>
      <c r="F434" s="22"/>
      <c r="G434" s="22"/>
      <c r="H434" s="22"/>
      <c r="I434" s="644"/>
      <c r="J434" s="644"/>
      <c r="K434" s="644"/>
      <c r="L434" s="644"/>
      <c r="M434" s="644"/>
    </row>
    <row r="435" ht="20.25" customHeight="1">
      <c r="A435" s="394"/>
      <c r="B435" s="27"/>
      <c r="C435" s="14"/>
      <c r="D435" s="165"/>
      <c r="E435" s="638"/>
      <c r="F435" s="14"/>
      <c r="G435" s="14"/>
      <c r="H435" s="14"/>
      <c r="I435" s="640"/>
      <c r="J435" s="640"/>
      <c r="K435" s="640"/>
      <c r="L435" s="640"/>
      <c r="M435" s="640"/>
    </row>
    <row r="436" ht="20.25" customHeight="1">
      <c r="A436" s="393"/>
      <c r="B436" s="31"/>
      <c r="C436" s="22"/>
      <c r="D436" s="165"/>
      <c r="E436" s="643"/>
      <c r="F436" s="22"/>
      <c r="G436" s="22"/>
      <c r="H436" s="22"/>
      <c r="I436" s="644"/>
      <c r="J436" s="644"/>
      <c r="K436" s="644"/>
      <c r="L436" s="644"/>
      <c r="M436" s="644"/>
    </row>
    <row r="437" ht="20.25" customHeight="1">
      <c r="A437" s="394"/>
      <c r="B437" s="27"/>
      <c r="C437" s="14"/>
      <c r="D437" s="165"/>
      <c r="E437" s="638"/>
      <c r="F437" s="14"/>
      <c r="G437" s="14"/>
      <c r="H437" s="14"/>
      <c r="I437" s="640"/>
      <c r="J437" s="640"/>
      <c r="K437" s="640"/>
      <c r="L437" s="640"/>
      <c r="M437" s="640"/>
    </row>
    <row r="438" ht="20.25" customHeight="1">
      <c r="A438" s="393"/>
      <c r="B438" s="31"/>
      <c r="C438" s="22"/>
      <c r="D438" s="165"/>
      <c r="E438" s="643"/>
      <c r="F438" s="22"/>
      <c r="G438" s="22"/>
      <c r="H438" s="22"/>
      <c r="I438" s="644"/>
      <c r="J438" s="644"/>
      <c r="K438" s="644"/>
      <c r="L438" s="644"/>
      <c r="M438" s="644"/>
    </row>
    <row r="439" ht="20.25" customHeight="1">
      <c r="A439" s="394"/>
      <c r="B439" s="27"/>
      <c r="C439" s="14"/>
      <c r="D439" s="165"/>
      <c r="E439" s="638"/>
      <c r="F439" s="14"/>
      <c r="G439" s="14"/>
      <c r="H439" s="14"/>
      <c r="I439" s="640"/>
      <c r="J439" s="640"/>
      <c r="K439" s="640"/>
      <c r="L439" s="640"/>
      <c r="M439" s="640"/>
    </row>
    <row r="440" ht="20.25" customHeight="1">
      <c r="A440" s="393"/>
      <c r="B440" s="31"/>
      <c r="C440" s="22"/>
      <c r="D440" s="165"/>
      <c r="E440" s="643"/>
      <c r="F440" s="22"/>
      <c r="G440" s="22"/>
      <c r="H440" s="22"/>
      <c r="I440" s="644"/>
      <c r="J440" s="644"/>
      <c r="K440" s="644"/>
      <c r="L440" s="644"/>
      <c r="M440" s="644"/>
    </row>
    <row r="441" ht="20.25" customHeight="1">
      <c r="A441" s="394"/>
      <c r="B441" s="27"/>
      <c r="C441" s="14"/>
      <c r="D441" s="165"/>
      <c r="E441" s="638"/>
      <c r="F441" s="14"/>
      <c r="G441" s="14"/>
      <c r="H441" s="14"/>
      <c r="I441" s="640"/>
      <c r="J441" s="640"/>
      <c r="K441" s="640"/>
      <c r="L441" s="640"/>
      <c r="M441" s="640"/>
    </row>
    <row r="442" ht="20.25" customHeight="1">
      <c r="A442" s="393"/>
      <c r="B442" s="31"/>
      <c r="C442" s="22"/>
      <c r="D442" s="165"/>
      <c r="E442" s="643"/>
      <c r="F442" s="22"/>
      <c r="G442" s="22"/>
      <c r="H442" s="22"/>
      <c r="I442" s="644"/>
      <c r="J442" s="644"/>
      <c r="K442" s="644"/>
      <c r="L442" s="644"/>
      <c r="M442" s="644"/>
    </row>
    <row r="443" ht="20.25" customHeight="1">
      <c r="A443" s="394"/>
      <c r="B443" s="27"/>
      <c r="C443" s="14"/>
      <c r="D443" s="165"/>
      <c r="E443" s="638"/>
      <c r="F443" s="14"/>
      <c r="G443" s="14"/>
      <c r="H443" s="14"/>
      <c r="I443" s="640"/>
      <c r="J443" s="640"/>
      <c r="K443" s="640"/>
      <c r="L443" s="640"/>
      <c r="M443" s="640"/>
    </row>
    <row r="444" ht="20.25" customHeight="1">
      <c r="A444" s="393"/>
      <c r="B444" s="31"/>
      <c r="C444" s="22"/>
      <c r="D444" s="165"/>
      <c r="E444" s="643"/>
      <c r="F444" s="22"/>
      <c r="G444" s="22"/>
      <c r="H444" s="22"/>
      <c r="I444" s="644"/>
      <c r="J444" s="644"/>
      <c r="K444" s="644"/>
      <c r="L444" s="644"/>
      <c r="M444" s="644"/>
    </row>
    <row r="445" ht="20.25" customHeight="1">
      <c r="A445" s="394"/>
      <c r="B445" s="27"/>
      <c r="C445" s="14"/>
      <c r="D445" s="165"/>
      <c r="E445" s="638"/>
      <c r="F445" s="14"/>
      <c r="G445" s="14"/>
      <c r="H445" s="14"/>
      <c r="I445" s="640"/>
      <c r="J445" s="640"/>
      <c r="K445" s="640"/>
      <c r="L445" s="640"/>
      <c r="M445" s="640"/>
    </row>
    <row r="446" ht="20.25" customHeight="1">
      <c r="A446" s="393"/>
      <c r="B446" s="31"/>
      <c r="C446" s="22"/>
      <c r="D446" s="165"/>
      <c r="E446" s="643"/>
      <c r="F446" s="22"/>
      <c r="G446" s="22"/>
      <c r="H446" s="22"/>
      <c r="I446" s="644"/>
      <c r="J446" s="644"/>
      <c r="K446" s="644"/>
      <c r="L446" s="644"/>
      <c r="M446" s="644"/>
    </row>
    <row r="447" ht="20.25" customHeight="1">
      <c r="A447" s="394"/>
      <c r="B447" s="27"/>
      <c r="C447" s="14"/>
      <c r="D447" s="165"/>
      <c r="E447" s="638"/>
      <c r="F447" s="14"/>
      <c r="G447" s="14"/>
      <c r="H447" s="14"/>
      <c r="I447" s="640"/>
      <c r="J447" s="640"/>
      <c r="K447" s="640"/>
      <c r="L447" s="640"/>
      <c r="M447" s="640"/>
    </row>
    <row r="448" ht="20.25" customHeight="1">
      <c r="A448" s="393"/>
      <c r="B448" s="31"/>
      <c r="C448" s="22"/>
      <c r="D448" s="165"/>
      <c r="E448" s="643"/>
      <c r="F448" s="22"/>
      <c r="G448" s="22"/>
      <c r="H448" s="22"/>
      <c r="I448" s="644"/>
      <c r="J448" s="644"/>
      <c r="K448" s="644"/>
      <c r="L448" s="644"/>
      <c r="M448" s="644"/>
    </row>
    <row r="449" ht="20.25" customHeight="1">
      <c r="A449" s="394"/>
      <c r="B449" s="27"/>
      <c r="C449" s="14"/>
      <c r="D449" s="165"/>
      <c r="E449" s="638"/>
      <c r="F449" s="14"/>
      <c r="G449" s="14"/>
      <c r="H449" s="14"/>
      <c r="I449" s="640"/>
      <c r="J449" s="640"/>
      <c r="K449" s="640"/>
      <c r="L449" s="640"/>
      <c r="M449" s="640"/>
    </row>
    <row r="450" ht="20.25" customHeight="1">
      <c r="A450" s="393"/>
      <c r="B450" s="31"/>
      <c r="C450" s="22"/>
      <c r="D450" s="165"/>
      <c r="E450" s="643"/>
      <c r="F450" s="22"/>
      <c r="G450" s="22"/>
      <c r="H450" s="22"/>
      <c r="I450" s="644"/>
      <c r="J450" s="644"/>
      <c r="K450" s="644"/>
      <c r="L450" s="644"/>
      <c r="M450" s="644"/>
    </row>
    <row r="451" ht="20.25" customHeight="1">
      <c r="A451" s="394"/>
      <c r="B451" s="27"/>
      <c r="C451" s="14"/>
      <c r="D451" s="165"/>
      <c r="E451" s="638"/>
      <c r="F451" s="14"/>
      <c r="G451" s="14"/>
      <c r="H451" s="14"/>
      <c r="I451" s="640"/>
      <c r="J451" s="640"/>
      <c r="K451" s="640"/>
      <c r="L451" s="640"/>
      <c r="M451" s="640"/>
    </row>
    <row r="452" ht="20.25" customHeight="1">
      <c r="A452" s="393"/>
      <c r="B452" s="31"/>
      <c r="C452" s="22"/>
      <c r="D452" s="165"/>
      <c r="E452" s="643"/>
      <c r="F452" s="22"/>
      <c r="G452" s="22"/>
      <c r="H452" s="22"/>
      <c r="I452" s="644"/>
      <c r="J452" s="644"/>
      <c r="K452" s="644"/>
      <c r="L452" s="644"/>
      <c r="M452" s="644"/>
    </row>
    <row r="453" ht="20.25" customHeight="1">
      <c r="A453" s="394"/>
      <c r="B453" s="27"/>
      <c r="C453" s="14"/>
      <c r="D453" s="165"/>
      <c r="E453" s="638"/>
      <c r="F453" s="14"/>
      <c r="G453" s="14"/>
      <c r="H453" s="14"/>
      <c r="I453" s="640"/>
      <c r="J453" s="640"/>
      <c r="K453" s="640"/>
      <c r="L453" s="640"/>
      <c r="M453" s="640"/>
    </row>
    <row r="454" ht="20.25" customHeight="1">
      <c r="A454" s="393"/>
      <c r="B454" s="31"/>
      <c r="C454" s="22"/>
      <c r="D454" s="165"/>
      <c r="E454" s="643"/>
      <c r="F454" s="22"/>
      <c r="G454" s="22"/>
      <c r="H454" s="22"/>
      <c r="I454" s="644"/>
      <c r="J454" s="644"/>
      <c r="K454" s="644"/>
      <c r="L454" s="644"/>
      <c r="M454" s="644"/>
    </row>
    <row r="455" ht="20.25" customHeight="1">
      <c r="A455" s="394"/>
      <c r="B455" s="27"/>
      <c r="C455" s="14"/>
      <c r="D455" s="165"/>
      <c r="E455" s="638"/>
      <c r="F455" s="14"/>
      <c r="G455" s="14"/>
      <c r="H455" s="14"/>
      <c r="I455" s="640"/>
      <c r="J455" s="640"/>
      <c r="K455" s="640"/>
      <c r="L455" s="640"/>
      <c r="M455" s="640"/>
    </row>
    <row r="456" ht="20.25" customHeight="1">
      <c r="A456" s="393"/>
      <c r="B456" s="31"/>
      <c r="C456" s="22"/>
      <c r="D456" s="165"/>
      <c r="E456" s="643"/>
      <c r="F456" s="22"/>
      <c r="G456" s="22"/>
      <c r="H456" s="22"/>
      <c r="I456" s="644"/>
      <c r="J456" s="644"/>
      <c r="K456" s="644"/>
      <c r="L456" s="644"/>
      <c r="M456" s="644"/>
    </row>
    <row r="457" ht="20.25" customHeight="1">
      <c r="A457" s="394"/>
      <c r="B457" s="27"/>
      <c r="C457" s="14"/>
      <c r="D457" s="165"/>
      <c r="E457" s="638"/>
      <c r="F457" s="14"/>
      <c r="G457" s="14"/>
      <c r="H457" s="14"/>
      <c r="I457" s="640"/>
      <c r="J457" s="640"/>
      <c r="K457" s="640"/>
      <c r="L457" s="640"/>
      <c r="M457" s="640"/>
    </row>
    <row r="458" ht="20.25" customHeight="1">
      <c r="A458" s="393"/>
      <c r="B458" s="31"/>
      <c r="C458" s="22"/>
      <c r="D458" s="165"/>
      <c r="E458" s="643"/>
      <c r="F458" s="22"/>
      <c r="G458" s="22"/>
      <c r="H458" s="22"/>
      <c r="I458" s="644"/>
      <c r="J458" s="644"/>
      <c r="K458" s="644"/>
      <c r="L458" s="644"/>
      <c r="M458" s="644"/>
    </row>
    <row r="459" ht="20.25" customHeight="1">
      <c r="A459" s="394"/>
      <c r="B459" s="27"/>
      <c r="C459" s="14"/>
      <c r="D459" s="165"/>
      <c r="E459" s="638"/>
      <c r="F459" s="14"/>
      <c r="G459" s="14"/>
      <c r="H459" s="14"/>
      <c r="I459" s="640"/>
      <c r="J459" s="640"/>
      <c r="K459" s="640"/>
      <c r="L459" s="640"/>
      <c r="M459" s="640"/>
    </row>
    <row r="460" ht="20.25" customHeight="1">
      <c r="A460" s="393"/>
      <c r="B460" s="31"/>
      <c r="C460" s="22"/>
      <c r="D460" s="165"/>
      <c r="E460" s="643"/>
      <c r="F460" s="22"/>
      <c r="G460" s="22"/>
      <c r="H460" s="22"/>
      <c r="I460" s="644"/>
      <c r="J460" s="644"/>
      <c r="K460" s="644"/>
      <c r="L460" s="644"/>
      <c r="M460" s="644"/>
    </row>
    <row r="461" ht="20.25" customHeight="1">
      <c r="A461" s="394"/>
      <c r="B461" s="27"/>
      <c r="C461" s="14"/>
      <c r="D461" s="165"/>
      <c r="E461" s="638"/>
      <c r="F461" s="14"/>
      <c r="G461" s="14"/>
      <c r="H461" s="14"/>
      <c r="I461" s="640"/>
      <c r="J461" s="640"/>
      <c r="K461" s="640"/>
      <c r="L461" s="640"/>
      <c r="M461" s="640"/>
    </row>
    <row r="462" ht="20.25" customHeight="1">
      <c r="A462" s="393"/>
      <c r="B462" s="31"/>
      <c r="C462" s="22"/>
      <c r="D462" s="165"/>
      <c r="E462" s="643"/>
      <c r="F462" s="22"/>
      <c r="G462" s="22"/>
      <c r="H462" s="22"/>
      <c r="I462" s="644"/>
      <c r="J462" s="644"/>
      <c r="K462" s="644"/>
      <c r="L462" s="644"/>
      <c r="M462" s="644"/>
    </row>
    <row r="463" ht="20.25" customHeight="1">
      <c r="A463" s="394"/>
      <c r="B463" s="27"/>
      <c r="C463" s="14"/>
      <c r="D463" s="165"/>
      <c r="E463" s="638"/>
      <c r="F463" s="14"/>
      <c r="G463" s="14"/>
      <c r="H463" s="14"/>
      <c r="I463" s="640"/>
      <c r="J463" s="640"/>
      <c r="K463" s="640"/>
      <c r="L463" s="640"/>
      <c r="M463" s="640"/>
    </row>
    <row r="464" ht="20.25" customHeight="1">
      <c r="A464" s="393"/>
      <c r="B464" s="31"/>
      <c r="C464" s="22"/>
      <c r="D464" s="165"/>
      <c r="E464" s="643"/>
      <c r="F464" s="22"/>
      <c r="G464" s="22"/>
      <c r="H464" s="22"/>
      <c r="I464" s="644"/>
      <c r="J464" s="644"/>
      <c r="K464" s="644"/>
      <c r="L464" s="644"/>
      <c r="M464" s="644"/>
    </row>
    <row r="465" ht="20.25" customHeight="1">
      <c r="A465" s="394"/>
      <c r="B465" s="27"/>
      <c r="C465" s="14"/>
      <c r="D465" s="165"/>
      <c r="E465" s="638"/>
      <c r="F465" s="14"/>
      <c r="G465" s="14"/>
      <c r="H465" s="14"/>
      <c r="I465" s="640"/>
      <c r="J465" s="640"/>
      <c r="K465" s="640"/>
      <c r="L465" s="640"/>
      <c r="M465" s="640"/>
    </row>
    <row r="466" ht="20.25" customHeight="1">
      <c r="A466" s="393"/>
      <c r="B466" s="31"/>
      <c r="C466" s="22"/>
      <c r="D466" s="165"/>
      <c r="E466" s="643"/>
      <c r="F466" s="22"/>
      <c r="G466" s="22"/>
      <c r="H466" s="22"/>
      <c r="I466" s="644"/>
      <c r="J466" s="644"/>
      <c r="K466" s="644"/>
      <c r="L466" s="644"/>
      <c r="M466" s="644"/>
    </row>
    <row r="467" ht="20.25" customHeight="1">
      <c r="A467" s="394"/>
      <c r="B467" s="27"/>
      <c r="C467" s="14"/>
      <c r="D467" s="165"/>
      <c r="E467" s="638"/>
      <c r="F467" s="14"/>
      <c r="G467" s="14"/>
      <c r="H467" s="14"/>
      <c r="I467" s="640"/>
      <c r="J467" s="640"/>
      <c r="K467" s="640"/>
      <c r="L467" s="640"/>
      <c r="M467" s="640"/>
    </row>
    <row r="468" ht="20.25" customHeight="1">
      <c r="A468" s="393"/>
      <c r="B468" s="31"/>
      <c r="C468" s="22"/>
      <c r="D468" s="165"/>
      <c r="E468" s="643"/>
      <c r="F468" s="22"/>
      <c r="G468" s="22"/>
      <c r="H468" s="22"/>
      <c r="I468" s="644"/>
      <c r="J468" s="644"/>
      <c r="K468" s="644"/>
      <c r="L468" s="644"/>
      <c r="M468" s="644"/>
    </row>
    <row r="469" ht="20.25" customHeight="1">
      <c r="A469" s="394"/>
      <c r="B469" s="27"/>
      <c r="C469" s="14"/>
      <c r="D469" s="165"/>
      <c r="E469" s="638"/>
      <c r="F469" s="14"/>
      <c r="G469" s="14"/>
      <c r="H469" s="14"/>
      <c r="I469" s="640"/>
      <c r="J469" s="640"/>
      <c r="K469" s="640"/>
      <c r="L469" s="640"/>
      <c r="M469" s="640"/>
    </row>
    <row r="470" ht="20.25" customHeight="1">
      <c r="A470" s="393"/>
      <c r="B470" s="31"/>
      <c r="C470" s="22"/>
      <c r="D470" s="165"/>
      <c r="E470" s="643"/>
      <c r="F470" s="22"/>
      <c r="G470" s="22"/>
      <c r="H470" s="22"/>
      <c r="I470" s="644"/>
      <c r="J470" s="644"/>
      <c r="K470" s="644"/>
      <c r="L470" s="644"/>
      <c r="M470" s="644"/>
    </row>
    <row r="471" ht="20.25" customHeight="1">
      <c r="A471" s="394"/>
      <c r="B471" s="27"/>
      <c r="C471" s="14"/>
      <c r="D471" s="165"/>
      <c r="E471" s="638"/>
      <c r="F471" s="14"/>
      <c r="G471" s="14"/>
      <c r="H471" s="14"/>
      <c r="I471" s="640"/>
      <c r="J471" s="640"/>
      <c r="K471" s="640"/>
      <c r="L471" s="640"/>
      <c r="M471" s="640"/>
    </row>
    <row r="472" ht="20.25" customHeight="1">
      <c r="A472" s="393"/>
      <c r="B472" s="31"/>
      <c r="C472" s="22"/>
      <c r="D472" s="165"/>
      <c r="E472" s="643"/>
      <c r="F472" s="22"/>
      <c r="G472" s="22"/>
      <c r="H472" s="22"/>
      <c r="I472" s="644"/>
      <c r="J472" s="644"/>
      <c r="K472" s="644"/>
      <c r="L472" s="644"/>
      <c r="M472" s="644"/>
    </row>
    <row r="473" ht="20.25" customHeight="1">
      <c r="A473" s="394"/>
      <c r="B473" s="27"/>
      <c r="C473" s="14"/>
      <c r="D473" s="165"/>
      <c r="E473" s="638"/>
      <c r="F473" s="14"/>
      <c r="G473" s="14"/>
      <c r="H473" s="14"/>
      <c r="I473" s="640"/>
      <c r="J473" s="640"/>
      <c r="K473" s="640"/>
      <c r="L473" s="640"/>
      <c r="M473" s="640"/>
    </row>
    <row r="474" ht="20.25" customHeight="1">
      <c r="A474" s="393"/>
      <c r="B474" s="31"/>
      <c r="C474" s="22"/>
      <c r="D474" s="165"/>
      <c r="E474" s="643"/>
      <c r="F474" s="22"/>
      <c r="G474" s="22"/>
      <c r="H474" s="22"/>
      <c r="I474" s="644"/>
      <c r="J474" s="644"/>
      <c r="K474" s="644"/>
      <c r="L474" s="644"/>
      <c r="M474" s="644"/>
    </row>
    <row r="475" ht="20.25" customHeight="1">
      <c r="A475" s="394"/>
      <c r="B475" s="27"/>
      <c r="C475" s="14"/>
      <c r="D475" s="165"/>
      <c r="E475" s="638"/>
      <c r="F475" s="14"/>
      <c r="G475" s="14"/>
      <c r="H475" s="14"/>
      <c r="I475" s="640"/>
      <c r="J475" s="640"/>
      <c r="K475" s="640"/>
      <c r="L475" s="640"/>
      <c r="M475" s="640"/>
    </row>
    <row r="476" ht="20.25" customHeight="1">
      <c r="A476" s="393"/>
      <c r="B476" s="31"/>
      <c r="C476" s="22"/>
      <c r="D476" s="165"/>
      <c r="E476" s="643"/>
      <c r="F476" s="22"/>
      <c r="G476" s="22"/>
      <c r="H476" s="22"/>
      <c r="I476" s="644"/>
      <c r="J476" s="644"/>
      <c r="K476" s="644"/>
      <c r="L476" s="644"/>
      <c r="M476" s="644"/>
    </row>
    <row r="477" ht="20.25" customHeight="1">
      <c r="A477" s="394"/>
      <c r="B477" s="27"/>
      <c r="C477" s="14"/>
      <c r="D477" s="165"/>
      <c r="E477" s="638"/>
      <c r="F477" s="14"/>
      <c r="G477" s="14"/>
      <c r="H477" s="14"/>
      <c r="I477" s="640"/>
      <c r="J477" s="640"/>
      <c r="K477" s="640"/>
      <c r="L477" s="640"/>
      <c r="M477" s="640"/>
    </row>
    <row r="478" ht="20.25" customHeight="1">
      <c r="A478" s="393"/>
      <c r="B478" s="31"/>
      <c r="C478" s="22"/>
      <c r="D478" s="165"/>
      <c r="E478" s="643"/>
      <c r="F478" s="22"/>
      <c r="G478" s="22"/>
      <c r="H478" s="22"/>
      <c r="I478" s="644"/>
      <c r="J478" s="644"/>
      <c r="K478" s="644"/>
      <c r="L478" s="644"/>
      <c r="M478" s="644"/>
    </row>
    <row r="479" ht="20.25" customHeight="1">
      <c r="A479" s="394"/>
      <c r="B479" s="27"/>
      <c r="C479" s="14"/>
      <c r="D479" s="165"/>
      <c r="E479" s="638"/>
      <c r="F479" s="14"/>
      <c r="G479" s="14"/>
      <c r="H479" s="14"/>
      <c r="I479" s="640"/>
      <c r="J479" s="640"/>
      <c r="K479" s="640"/>
      <c r="L479" s="640"/>
      <c r="M479" s="640"/>
    </row>
    <row r="480" ht="20.25" customHeight="1">
      <c r="A480" s="393"/>
      <c r="B480" s="31"/>
      <c r="C480" s="22"/>
      <c r="D480" s="165"/>
      <c r="E480" s="643"/>
      <c r="F480" s="22"/>
      <c r="G480" s="22"/>
      <c r="H480" s="22"/>
      <c r="I480" s="644"/>
      <c r="J480" s="644"/>
      <c r="K480" s="644"/>
      <c r="L480" s="644"/>
      <c r="M480" s="644"/>
    </row>
    <row r="481" ht="20.25" customHeight="1">
      <c r="A481" s="394"/>
      <c r="B481" s="27"/>
      <c r="C481" s="14"/>
      <c r="D481" s="165"/>
      <c r="E481" s="638"/>
      <c r="F481" s="14"/>
      <c r="G481" s="14"/>
      <c r="H481" s="14"/>
      <c r="I481" s="640"/>
      <c r="J481" s="640"/>
      <c r="K481" s="640"/>
      <c r="L481" s="640"/>
      <c r="M481" s="640"/>
    </row>
    <row r="482" ht="20.25" customHeight="1">
      <c r="A482" s="393"/>
      <c r="B482" s="31"/>
      <c r="C482" s="22"/>
      <c r="D482" s="165"/>
      <c r="E482" s="643"/>
      <c r="F482" s="22"/>
      <c r="G482" s="22"/>
      <c r="H482" s="22"/>
      <c r="I482" s="644"/>
      <c r="J482" s="644"/>
      <c r="K482" s="644"/>
      <c r="L482" s="644"/>
      <c r="M482" s="644"/>
    </row>
    <row r="483" ht="20.25" customHeight="1">
      <c r="A483" s="394"/>
      <c r="B483" s="27"/>
      <c r="C483" s="14"/>
      <c r="D483" s="165"/>
      <c r="E483" s="638"/>
      <c r="F483" s="14"/>
      <c r="G483" s="14"/>
      <c r="H483" s="14"/>
      <c r="I483" s="640"/>
      <c r="J483" s="640"/>
      <c r="K483" s="640"/>
      <c r="L483" s="640"/>
      <c r="M483" s="640"/>
    </row>
    <row r="484" ht="20.25" customHeight="1">
      <c r="A484" s="393"/>
      <c r="B484" s="31"/>
      <c r="C484" s="22"/>
      <c r="D484" s="165"/>
      <c r="E484" s="643"/>
      <c r="F484" s="22"/>
      <c r="G484" s="22"/>
      <c r="H484" s="22"/>
      <c r="I484" s="644"/>
      <c r="J484" s="644"/>
      <c r="K484" s="644"/>
      <c r="L484" s="644"/>
      <c r="M484" s="644"/>
    </row>
    <row r="485" ht="20.25" customHeight="1">
      <c r="A485" s="394"/>
      <c r="B485" s="27"/>
      <c r="C485" s="14"/>
      <c r="D485" s="165"/>
      <c r="E485" s="638"/>
      <c r="F485" s="14"/>
      <c r="G485" s="14"/>
      <c r="H485" s="14"/>
      <c r="I485" s="640"/>
      <c r="J485" s="640"/>
      <c r="K485" s="640"/>
      <c r="L485" s="640"/>
      <c r="M485" s="640"/>
    </row>
    <row r="486" ht="20.25" customHeight="1">
      <c r="A486" s="393"/>
      <c r="B486" s="31"/>
      <c r="C486" s="22"/>
      <c r="D486" s="165"/>
      <c r="E486" s="643"/>
      <c r="F486" s="22"/>
      <c r="G486" s="22"/>
      <c r="H486" s="22"/>
      <c r="I486" s="644"/>
      <c r="J486" s="644"/>
      <c r="K486" s="644"/>
      <c r="L486" s="644"/>
      <c r="M486" s="644"/>
    </row>
    <row r="487" ht="20.25" customHeight="1">
      <c r="A487" s="394"/>
      <c r="B487" s="27"/>
      <c r="C487" s="14"/>
      <c r="D487" s="165"/>
      <c r="E487" s="638"/>
      <c r="F487" s="14"/>
      <c r="G487" s="14"/>
      <c r="H487" s="14"/>
      <c r="I487" s="640"/>
      <c r="J487" s="640"/>
      <c r="K487" s="640"/>
      <c r="L487" s="640"/>
      <c r="M487" s="640"/>
    </row>
    <row r="488" ht="20.25" customHeight="1">
      <c r="A488" s="393"/>
      <c r="B488" s="31"/>
      <c r="C488" s="22"/>
      <c r="D488" s="165"/>
      <c r="E488" s="643"/>
      <c r="F488" s="22"/>
      <c r="G488" s="22"/>
      <c r="H488" s="22"/>
      <c r="I488" s="644"/>
      <c r="J488" s="644"/>
      <c r="K488" s="644"/>
      <c r="L488" s="644"/>
      <c r="M488" s="644"/>
    </row>
    <row r="489" ht="20.25" customHeight="1">
      <c r="A489" s="394"/>
      <c r="B489" s="27"/>
      <c r="C489" s="14"/>
      <c r="D489" s="165"/>
      <c r="E489" s="638"/>
      <c r="F489" s="14"/>
      <c r="G489" s="14"/>
      <c r="H489" s="14"/>
      <c r="I489" s="640"/>
      <c r="J489" s="640"/>
      <c r="K489" s="640"/>
      <c r="L489" s="640"/>
      <c r="M489" s="640"/>
    </row>
    <row r="490" ht="20.25" customHeight="1">
      <c r="A490" s="393"/>
      <c r="B490" s="31"/>
      <c r="C490" s="22"/>
      <c r="D490" s="165"/>
      <c r="E490" s="643"/>
      <c r="F490" s="22"/>
      <c r="G490" s="22"/>
      <c r="H490" s="22"/>
      <c r="I490" s="644"/>
      <c r="J490" s="644"/>
      <c r="K490" s="644"/>
      <c r="L490" s="644"/>
      <c r="M490" s="644"/>
    </row>
    <row r="491" ht="20.25" customHeight="1">
      <c r="A491" s="394"/>
      <c r="B491" s="27"/>
      <c r="C491" s="14"/>
      <c r="D491" s="165"/>
      <c r="E491" s="638"/>
      <c r="F491" s="14"/>
      <c r="G491" s="14"/>
      <c r="H491" s="14"/>
      <c r="I491" s="640"/>
      <c r="J491" s="640"/>
      <c r="K491" s="640"/>
      <c r="L491" s="640"/>
      <c r="M491" s="640"/>
    </row>
    <row r="492" ht="20.25" customHeight="1">
      <c r="A492" s="393"/>
      <c r="B492" s="31"/>
      <c r="C492" s="22"/>
      <c r="D492" s="165"/>
      <c r="E492" s="643"/>
      <c r="F492" s="22"/>
      <c r="G492" s="22"/>
      <c r="H492" s="22"/>
      <c r="I492" s="644"/>
      <c r="J492" s="644"/>
      <c r="K492" s="644"/>
      <c r="L492" s="644"/>
      <c r="M492" s="644"/>
    </row>
    <row r="493" ht="20.25" customHeight="1">
      <c r="A493" s="394"/>
      <c r="B493" s="27"/>
      <c r="C493" s="14"/>
      <c r="D493" s="165"/>
      <c r="E493" s="638"/>
      <c r="F493" s="14"/>
      <c r="G493" s="14"/>
      <c r="H493" s="14"/>
      <c r="I493" s="640"/>
      <c r="J493" s="640"/>
      <c r="K493" s="640"/>
      <c r="L493" s="640"/>
      <c r="M493" s="640"/>
    </row>
    <row r="494" ht="20.25" customHeight="1">
      <c r="A494" s="393"/>
      <c r="B494" s="31"/>
      <c r="C494" s="22"/>
      <c r="D494" s="165"/>
      <c r="E494" s="643"/>
      <c r="F494" s="22"/>
      <c r="G494" s="22"/>
      <c r="H494" s="22"/>
      <c r="I494" s="644"/>
      <c r="J494" s="644"/>
      <c r="K494" s="644"/>
      <c r="L494" s="644"/>
      <c r="M494" s="644"/>
    </row>
    <row r="495" ht="20.25" customHeight="1">
      <c r="A495" s="394"/>
      <c r="B495" s="27"/>
      <c r="C495" s="14"/>
      <c r="D495" s="165"/>
      <c r="E495" s="638"/>
      <c r="F495" s="14"/>
      <c r="G495" s="14"/>
      <c r="H495" s="14"/>
      <c r="I495" s="640"/>
      <c r="J495" s="640"/>
      <c r="K495" s="640"/>
      <c r="L495" s="640"/>
      <c r="M495" s="640"/>
    </row>
    <row r="496" ht="20.25" customHeight="1">
      <c r="A496" s="393"/>
      <c r="B496" s="31"/>
      <c r="C496" s="22"/>
      <c r="D496" s="165"/>
      <c r="E496" s="643"/>
      <c r="F496" s="22"/>
      <c r="G496" s="22"/>
      <c r="H496" s="22"/>
      <c r="I496" s="644"/>
      <c r="J496" s="644"/>
      <c r="K496" s="644"/>
      <c r="L496" s="644"/>
      <c r="M496" s="644"/>
    </row>
    <row r="497" ht="20.25" customHeight="1">
      <c r="A497" s="394"/>
      <c r="B497" s="27"/>
      <c r="C497" s="14"/>
      <c r="D497" s="165"/>
      <c r="E497" s="638"/>
      <c r="F497" s="14"/>
      <c r="G497" s="14"/>
      <c r="H497" s="14"/>
      <c r="I497" s="640"/>
      <c r="J497" s="640"/>
      <c r="K497" s="640"/>
      <c r="L497" s="640"/>
      <c r="M497" s="640"/>
    </row>
    <row r="498" ht="20.25" customHeight="1">
      <c r="A498" s="393"/>
      <c r="B498" s="31"/>
      <c r="C498" s="22"/>
      <c r="D498" s="165"/>
      <c r="E498" s="643"/>
      <c r="F498" s="22"/>
      <c r="G498" s="22"/>
      <c r="H498" s="22"/>
      <c r="I498" s="644"/>
      <c r="J498" s="644"/>
      <c r="K498" s="644"/>
      <c r="L498" s="644"/>
      <c r="M498" s="644"/>
    </row>
    <row r="499" ht="20.25" customHeight="1">
      <c r="A499" s="394"/>
      <c r="B499" s="27"/>
      <c r="C499" s="14"/>
      <c r="D499" s="165"/>
      <c r="E499" s="638"/>
      <c r="F499" s="14"/>
      <c r="G499" s="14"/>
      <c r="H499" s="14"/>
      <c r="I499" s="640"/>
      <c r="J499" s="640"/>
      <c r="K499" s="640"/>
      <c r="L499" s="640"/>
      <c r="M499" s="640"/>
    </row>
    <row r="500" ht="20.25" customHeight="1">
      <c r="A500" s="393"/>
      <c r="B500" s="31"/>
      <c r="C500" s="22"/>
      <c r="D500" s="165"/>
      <c r="E500" s="643"/>
      <c r="F500" s="22"/>
      <c r="G500" s="22"/>
      <c r="H500" s="22"/>
      <c r="I500" s="644"/>
      <c r="J500" s="644"/>
      <c r="K500" s="644"/>
      <c r="L500" s="644"/>
      <c r="M500" s="644"/>
    </row>
    <row r="501" ht="20.25" customHeight="1">
      <c r="A501" s="394"/>
      <c r="B501" s="27"/>
      <c r="C501" s="14"/>
      <c r="D501" s="165"/>
      <c r="E501" s="638"/>
      <c r="F501" s="14"/>
      <c r="G501" s="14"/>
      <c r="H501" s="14"/>
      <c r="I501" s="640"/>
      <c r="J501" s="640"/>
      <c r="K501" s="640"/>
      <c r="L501" s="640"/>
      <c r="M501" s="640"/>
    </row>
    <row r="502" ht="20.25" customHeight="1">
      <c r="A502" s="393"/>
      <c r="B502" s="31"/>
      <c r="C502" s="22"/>
      <c r="D502" s="165"/>
      <c r="E502" s="643"/>
      <c r="F502" s="22"/>
      <c r="G502" s="22"/>
      <c r="H502" s="22"/>
      <c r="I502" s="644"/>
      <c r="J502" s="644"/>
      <c r="K502" s="644"/>
      <c r="L502" s="644"/>
      <c r="M502" s="644"/>
    </row>
    <row r="503" ht="20.25" customHeight="1">
      <c r="A503" s="394"/>
      <c r="B503" s="27"/>
      <c r="C503" s="14"/>
      <c r="D503" s="165"/>
      <c r="E503" s="638"/>
      <c r="F503" s="14"/>
      <c r="G503" s="14"/>
      <c r="H503" s="14"/>
      <c r="I503" s="640"/>
      <c r="J503" s="640"/>
      <c r="K503" s="640"/>
      <c r="L503" s="640"/>
      <c r="M503" s="640"/>
    </row>
    <row r="504" ht="20.25" customHeight="1">
      <c r="A504" s="393"/>
      <c r="B504" s="31"/>
      <c r="C504" s="22"/>
      <c r="D504" s="165"/>
      <c r="E504" s="643"/>
      <c r="F504" s="22"/>
      <c r="G504" s="22"/>
      <c r="H504" s="22"/>
      <c r="I504" s="644"/>
      <c r="J504" s="644"/>
      <c r="K504" s="644"/>
      <c r="L504" s="644"/>
      <c r="M504" s="644"/>
    </row>
    <row r="505" ht="20.25" customHeight="1">
      <c r="A505" s="394"/>
      <c r="B505" s="27"/>
      <c r="C505" s="14"/>
      <c r="D505" s="165"/>
      <c r="E505" s="638"/>
      <c r="F505" s="14"/>
      <c r="G505" s="14"/>
      <c r="H505" s="14"/>
      <c r="I505" s="640"/>
      <c r="J505" s="640"/>
      <c r="K505" s="640"/>
      <c r="L505" s="640"/>
      <c r="M505" s="640"/>
    </row>
    <row r="506" ht="20.25" customHeight="1">
      <c r="A506" s="393"/>
      <c r="B506" s="31"/>
      <c r="C506" s="22"/>
      <c r="D506" s="165"/>
      <c r="E506" s="643"/>
      <c r="F506" s="22"/>
      <c r="G506" s="22"/>
      <c r="H506" s="22"/>
      <c r="I506" s="644"/>
      <c r="J506" s="644"/>
      <c r="K506" s="644"/>
      <c r="L506" s="644"/>
      <c r="M506" s="644"/>
    </row>
    <row r="507" ht="20.25" customHeight="1">
      <c r="A507" s="394"/>
      <c r="B507" s="27"/>
      <c r="C507" s="14"/>
      <c r="D507" s="165"/>
      <c r="E507" s="638"/>
      <c r="F507" s="14"/>
      <c r="G507" s="14"/>
      <c r="H507" s="14"/>
      <c r="I507" s="640"/>
      <c r="J507" s="640"/>
      <c r="K507" s="640"/>
      <c r="L507" s="640"/>
      <c r="M507" s="640"/>
    </row>
    <row r="508" ht="20.25" customHeight="1">
      <c r="A508" s="393"/>
      <c r="B508" s="31"/>
      <c r="C508" s="22"/>
      <c r="D508" s="165"/>
      <c r="E508" s="643"/>
      <c r="F508" s="22"/>
      <c r="G508" s="22"/>
      <c r="H508" s="22"/>
      <c r="I508" s="644"/>
      <c r="J508" s="644"/>
      <c r="K508" s="644"/>
      <c r="L508" s="644"/>
      <c r="M508" s="644"/>
    </row>
    <row r="509" ht="20.25" customHeight="1">
      <c r="A509" s="394"/>
      <c r="B509" s="27"/>
      <c r="C509" s="14"/>
      <c r="D509" s="165"/>
      <c r="E509" s="638"/>
      <c r="F509" s="14"/>
      <c r="G509" s="14"/>
      <c r="H509" s="14"/>
      <c r="I509" s="640"/>
      <c r="J509" s="640"/>
      <c r="K509" s="640"/>
      <c r="L509" s="640"/>
      <c r="M509" s="640"/>
    </row>
    <row r="510" ht="20.25" customHeight="1">
      <c r="A510" s="393"/>
      <c r="B510" s="31"/>
      <c r="C510" s="22"/>
      <c r="D510" s="165"/>
      <c r="E510" s="643"/>
      <c r="F510" s="22"/>
      <c r="G510" s="22"/>
      <c r="H510" s="22"/>
      <c r="I510" s="644"/>
      <c r="J510" s="644"/>
      <c r="K510" s="644"/>
      <c r="L510" s="644"/>
      <c r="M510" s="644"/>
    </row>
    <row r="511" ht="20.25" customHeight="1">
      <c r="A511" s="394"/>
      <c r="B511" s="27"/>
      <c r="C511" s="14"/>
      <c r="D511" s="165"/>
      <c r="E511" s="638"/>
      <c r="F511" s="14"/>
      <c r="G511" s="14"/>
      <c r="H511" s="14"/>
      <c r="I511" s="640"/>
      <c r="J511" s="640"/>
      <c r="K511" s="640"/>
      <c r="L511" s="640"/>
      <c r="M511" s="640"/>
    </row>
    <row r="512" ht="20.25" customHeight="1">
      <c r="A512" s="393"/>
      <c r="B512" s="31"/>
      <c r="C512" s="22"/>
      <c r="D512" s="165"/>
      <c r="E512" s="643"/>
      <c r="F512" s="22"/>
      <c r="G512" s="22"/>
      <c r="H512" s="22"/>
      <c r="I512" s="644"/>
      <c r="J512" s="644"/>
      <c r="K512" s="644"/>
      <c r="L512" s="644"/>
      <c r="M512" s="644"/>
    </row>
    <row r="513" ht="20.25" customHeight="1">
      <c r="A513" s="394"/>
      <c r="B513" s="27"/>
      <c r="C513" s="14"/>
      <c r="D513" s="165"/>
      <c r="E513" s="638"/>
      <c r="F513" s="14"/>
      <c r="G513" s="14"/>
      <c r="H513" s="14"/>
      <c r="I513" s="640"/>
      <c r="J513" s="640"/>
      <c r="K513" s="640"/>
      <c r="L513" s="640"/>
      <c r="M513" s="640"/>
    </row>
    <row r="514" ht="20.25" customHeight="1">
      <c r="A514" s="393"/>
      <c r="B514" s="31"/>
      <c r="C514" s="22"/>
      <c r="D514" s="165"/>
      <c r="E514" s="643"/>
      <c r="F514" s="22"/>
      <c r="G514" s="22"/>
      <c r="H514" s="22"/>
      <c r="I514" s="644"/>
      <c r="J514" s="644"/>
      <c r="K514" s="644"/>
      <c r="L514" s="644"/>
      <c r="M514" s="644"/>
    </row>
    <row r="515" ht="20.25" customHeight="1">
      <c r="A515" s="394"/>
      <c r="B515" s="27"/>
      <c r="C515" s="14"/>
      <c r="D515" s="165"/>
      <c r="E515" s="638"/>
      <c r="F515" s="14"/>
      <c r="G515" s="14"/>
      <c r="H515" s="14"/>
      <c r="I515" s="640"/>
      <c r="J515" s="640"/>
      <c r="K515" s="640"/>
      <c r="L515" s="640"/>
      <c r="M515" s="640"/>
    </row>
    <row r="516" ht="20.25" customHeight="1">
      <c r="A516" s="393"/>
      <c r="B516" s="31"/>
      <c r="C516" s="22"/>
      <c r="D516" s="165"/>
      <c r="E516" s="643"/>
      <c r="F516" s="22"/>
      <c r="G516" s="22"/>
      <c r="H516" s="22"/>
      <c r="I516" s="644"/>
      <c r="J516" s="644"/>
      <c r="K516" s="644"/>
      <c r="L516" s="644"/>
      <c r="M516" s="644"/>
    </row>
    <row r="517" ht="20.25" customHeight="1">
      <c r="A517" s="394"/>
      <c r="B517" s="27"/>
      <c r="C517" s="14"/>
      <c r="D517" s="165"/>
      <c r="E517" s="638"/>
      <c r="F517" s="14"/>
      <c r="G517" s="14"/>
      <c r="H517" s="14"/>
      <c r="I517" s="640"/>
      <c r="J517" s="640"/>
      <c r="K517" s="640"/>
      <c r="L517" s="640"/>
      <c r="M517" s="640"/>
    </row>
    <row r="518" ht="20.25" customHeight="1">
      <c r="A518" s="393"/>
      <c r="B518" s="31"/>
      <c r="C518" s="22"/>
      <c r="D518" s="165"/>
      <c r="E518" s="643"/>
      <c r="F518" s="22"/>
      <c r="G518" s="22"/>
      <c r="H518" s="22"/>
      <c r="I518" s="644"/>
      <c r="J518" s="644"/>
      <c r="K518" s="644"/>
      <c r="L518" s="644"/>
      <c r="M518" s="644"/>
    </row>
    <row r="519" ht="20.25" customHeight="1">
      <c r="A519" s="394"/>
      <c r="B519" s="27"/>
      <c r="C519" s="14"/>
      <c r="D519" s="165"/>
      <c r="E519" s="638"/>
      <c r="F519" s="14"/>
      <c r="G519" s="14"/>
      <c r="H519" s="14"/>
      <c r="I519" s="640"/>
      <c r="J519" s="640"/>
      <c r="K519" s="640"/>
      <c r="L519" s="640"/>
      <c r="M519" s="640"/>
    </row>
    <row r="520" ht="20.25" customHeight="1">
      <c r="A520" s="393"/>
      <c r="B520" s="31"/>
      <c r="C520" s="22"/>
      <c r="D520" s="165"/>
      <c r="E520" s="643"/>
      <c r="F520" s="22"/>
      <c r="G520" s="22"/>
      <c r="H520" s="22"/>
      <c r="I520" s="644"/>
      <c r="J520" s="644"/>
      <c r="K520" s="644"/>
      <c r="L520" s="644"/>
      <c r="M520" s="644"/>
    </row>
    <row r="521" ht="20.25" customHeight="1">
      <c r="A521" s="394"/>
      <c r="B521" s="27"/>
      <c r="C521" s="14"/>
      <c r="D521" s="165"/>
      <c r="E521" s="638"/>
      <c r="F521" s="14"/>
      <c r="G521" s="14"/>
      <c r="H521" s="14"/>
      <c r="I521" s="640"/>
      <c r="J521" s="640"/>
      <c r="K521" s="640"/>
      <c r="L521" s="640"/>
      <c r="M521" s="640"/>
    </row>
    <row r="522" ht="20.25" customHeight="1">
      <c r="A522" s="393"/>
      <c r="B522" s="31"/>
      <c r="C522" s="22"/>
      <c r="D522" s="165"/>
      <c r="E522" s="643"/>
      <c r="F522" s="22"/>
      <c r="G522" s="22"/>
      <c r="H522" s="22"/>
      <c r="I522" s="644"/>
      <c r="J522" s="644"/>
      <c r="K522" s="644"/>
      <c r="L522" s="644"/>
      <c r="M522" s="644"/>
    </row>
    <row r="523" ht="20.25" customHeight="1">
      <c r="A523" s="394"/>
      <c r="B523" s="27"/>
      <c r="C523" s="14"/>
      <c r="D523" s="165"/>
      <c r="E523" s="638"/>
      <c r="F523" s="14"/>
      <c r="G523" s="14"/>
      <c r="H523" s="14"/>
      <c r="I523" s="640"/>
      <c r="J523" s="640"/>
      <c r="K523" s="640"/>
      <c r="L523" s="640"/>
      <c r="M523" s="640"/>
    </row>
    <row r="524" ht="20.25" customHeight="1">
      <c r="A524" s="393"/>
      <c r="B524" s="31"/>
      <c r="C524" s="22"/>
      <c r="D524" s="165"/>
      <c r="E524" s="643"/>
      <c r="F524" s="22"/>
      <c r="G524" s="22"/>
      <c r="H524" s="22"/>
      <c r="I524" s="644"/>
      <c r="J524" s="644"/>
      <c r="K524" s="644"/>
      <c r="L524" s="644"/>
      <c r="M524" s="644"/>
    </row>
    <row r="525" ht="20.25" customHeight="1">
      <c r="A525" s="394"/>
      <c r="B525" s="27"/>
      <c r="C525" s="14"/>
      <c r="D525" s="165"/>
      <c r="E525" s="638"/>
      <c r="F525" s="14"/>
      <c r="G525" s="14"/>
      <c r="H525" s="14"/>
      <c r="I525" s="640"/>
      <c r="J525" s="640"/>
      <c r="K525" s="640"/>
      <c r="L525" s="640"/>
      <c r="M525" s="640"/>
    </row>
    <row r="526" ht="20.25" customHeight="1">
      <c r="A526" s="393"/>
      <c r="B526" s="31"/>
      <c r="C526" s="22"/>
      <c r="D526" s="165"/>
      <c r="E526" s="643"/>
      <c r="F526" s="22"/>
      <c r="G526" s="22"/>
      <c r="H526" s="22"/>
      <c r="I526" s="644"/>
      <c r="J526" s="644"/>
      <c r="K526" s="644"/>
      <c r="L526" s="644"/>
      <c r="M526" s="644"/>
    </row>
    <row r="527" ht="20.25" customHeight="1">
      <c r="A527" s="394"/>
      <c r="B527" s="27"/>
      <c r="C527" s="14"/>
      <c r="D527" s="165"/>
      <c r="E527" s="638"/>
      <c r="F527" s="14"/>
      <c r="G527" s="14"/>
      <c r="H527" s="14"/>
      <c r="I527" s="640"/>
      <c r="J527" s="640"/>
      <c r="K527" s="640"/>
      <c r="L527" s="640"/>
      <c r="M527" s="640"/>
    </row>
    <row r="528" ht="20.25" customHeight="1">
      <c r="A528" s="393"/>
      <c r="B528" s="31"/>
      <c r="C528" s="22"/>
      <c r="D528" s="165"/>
      <c r="E528" s="643"/>
      <c r="F528" s="22"/>
      <c r="G528" s="22"/>
      <c r="H528" s="22"/>
      <c r="I528" s="644"/>
      <c r="J528" s="644"/>
      <c r="K528" s="644"/>
      <c r="L528" s="644"/>
      <c r="M528" s="644"/>
    </row>
    <row r="529" ht="20.25" customHeight="1">
      <c r="A529" s="394"/>
      <c r="B529" s="27"/>
      <c r="C529" s="14"/>
      <c r="D529" s="165"/>
      <c r="E529" s="638"/>
      <c r="F529" s="14"/>
      <c r="G529" s="14"/>
      <c r="H529" s="14"/>
      <c r="I529" s="640"/>
      <c r="J529" s="640"/>
      <c r="K529" s="640"/>
      <c r="L529" s="640"/>
      <c r="M529" s="640"/>
    </row>
    <row r="530" ht="20.25" customHeight="1">
      <c r="A530" s="393"/>
      <c r="B530" s="31"/>
      <c r="C530" s="22"/>
      <c r="D530" s="165"/>
      <c r="E530" s="643"/>
      <c r="F530" s="22"/>
      <c r="G530" s="22"/>
      <c r="H530" s="22"/>
      <c r="I530" s="644"/>
      <c r="J530" s="644"/>
      <c r="K530" s="644"/>
      <c r="L530" s="644"/>
      <c r="M530" s="644"/>
    </row>
    <row r="531" ht="20.25" customHeight="1">
      <c r="A531" s="394"/>
      <c r="B531" s="27"/>
      <c r="C531" s="14"/>
      <c r="D531" s="165"/>
      <c r="E531" s="638"/>
      <c r="F531" s="14"/>
      <c r="G531" s="14"/>
      <c r="H531" s="14"/>
      <c r="I531" s="640"/>
      <c r="J531" s="640"/>
      <c r="K531" s="640"/>
      <c r="L531" s="640"/>
      <c r="M531" s="640"/>
    </row>
    <row r="532" ht="20.25" customHeight="1">
      <c r="A532" s="393"/>
      <c r="B532" s="31"/>
      <c r="C532" s="22"/>
      <c r="D532" s="165"/>
      <c r="E532" s="643"/>
      <c r="F532" s="22"/>
      <c r="G532" s="22"/>
      <c r="H532" s="22"/>
      <c r="I532" s="644"/>
      <c r="J532" s="644"/>
      <c r="K532" s="644"/>
      <c r="L532" s="644"/>
      <c r="M532" s="644"/>
    </row>
    <row r="533" ht="20.25" customHeight="1">
      <c r="A533" s="394"/>
      <c r="B533" s="27"/>
      <c r="C533" s="14"/>
      <c r="D533" s="165"/>
      <c r="E533" s="638"/>
      <c r="F533" s="14"/>
      <c r="G533" s="14"/>
      <c r="H533" s="14"/>
      <c r="I533" s="640"/>
      <c r="J533" s="640"/>
      <c r="K533" s="640"/>
      <c r="L533" s="640"/>
      <c r="M533" s="640"/>
    </row>
    <row r="534" ht="20.25" customHeight="1">
      <c r="A534" s="393"/>
      <c r="B534" s="31"/>
      <c r="C534" s="22"/>
      <c r="D534" s="165"/>
      <c r="E534" s="643"/>
      <c r="F534" s="22"/>
      <c r="G534" s="22"/>
      <c r="H534" s="22"/>
      <c r="I534" s="644"/>
      <c r="J534" s="644"/>
      <c r="K534" s="644"/>
      <c r="L534" s="644"/>
      <c r="M534" s="644"/>
    </row>
    <row r="535" ht="20.25" customHeight="1">
      <c r="A535" s="394"/>
      <c r="B535" s="27"/>
      <c r="C535" s="14"/>
      <c r="D535" s="165"/>
      <c r="E535" s="638"/>
      <c r="F535" s="14"/>
      <c r="G535" s="14"/>
      <c r="H535" s="14"/>
      <c r="I535" s="640"/>
      <c r="J535" s="640"/>
      <c r="K535" s="640"/>
      <c r="L535" s="640"/>
      <c r="M535" s="640"/>
    </row>
    <row r="536" ht="20.25" customHeight="1">
      <c r="A536" s="393"/>
      <c r="B536" s="31"/>
      <c r="C536" s="22"/>
      <c r="D536" s="165"/>
      <c r="E536" s="643"/>
      <c r="F536" s="22"/>
      <c r="G536" s="22"/>
      <c r="H536" s="22"/>
      <c r="I536" s="644"/>
      <c r="J536" s="644"/>
      <c r="K536" s="644"/>
      <c r="L536" s="644"/>
      <c r="M536" s="644"/>
    </row>
    <row r="537" ht="20.25" customHeight="1">
      <c r="A537" s="394"/>
      <c r="B537" s="27"/>
      <c r="C537" s="14"/>
      <c r="D537" s="165"/>
      <c r="E537" s="638"/>
      <c r="F537" s="14"/>
      <c r="G537" s="14"/>
      <c r="H537" s="14"/>
      <c r="I537" s="640"/>
      <c r="J537" s="640"/>
      <c r="K537" s="640"/>
      <c r="L537" s="640"/>
      <c r="M537" s="640"/>
    </row>
    <row r="538" ht="20.25" customHeight="1">
      <c r="A538" s="393"/>
      <c r="B538" s="31"/>
      <c r="C538" s="22"/>
      <c r="D538" s="165"/>
      <c r="E538" s="643"/>
      <c r="F538" s="22"/>
      <c r="G538" s="22"/>
      <c r="H538" s="22"/>
      <c r="I538" s="644"/>
      <c r="J538" s="644"/>
      <c r="K538" s="644"/>
      <c r="L538" s="644"/>
      <c r="M538" s="644"/>
    </row>
    <row r="539" ht="20.25" customHeight="1">
      <c r="A539" s="394"/>
      <c r="B539" s="27"/>
      <c r="C539" s="14"/>
      <c r="D539" s="165"/>
      <c r="E539" s="638"/>
      <c r="F539" s="14"/>
      <c r="G539" s="14"/>
      <c r="H539" s="14"/>
      <c r="I539" s="640"/>
      <c r="J539" s="640"/>
      <c r="K539" s="640"/>
      <c r="L539" s="640"/>
      <c r="M539" s="640"/>
    </row>
    <row r="540" ht="20.25" customHeight="1">
      <c r="A540" s="393"/>
      <c r="B540" s="31"/>
      <c r="C540" s="22"/>
      <c r="D540" s="165"/>
      <c r="E540" s="643"/>
      <c r="F540" s="22"/>
      <c r="G540" s="22"/>
      <c r="H540" s="22"/>
      <c r="I540" s="644"/>
      <c r="J540" s="644"/>
      <c r="K540" s="644"/>
      <c r="L540" s="644"/>
      <c r="M540" s="644"/>
    </row>
    <row r="541" ht="20.25" customHeight="1">
      <c r="A541" s="394"/>
      <c r="B541" s="27"/>
      <c r="C541" s="14"/>
      <c r="D541" s="165"/>
      <c r="E541" s="638"/>
      <c r="F541" s="14"/>
      <c r="G541" s="14"/>
      <c r="H541" s="14"/>
      <c r="I541" s="640"/>
      <c r="J541" s="640"/>
      <c r="K541" s="640"/>
      <c r="L541" s="640"/>
      <c r="M541" s="640"/>
    </row>
    <row r="542" ht="20.25" customHeight="1">
      <c r="A542" s="393"/>
      <c r="B542" s="31"/>
      <c r="C542" s="22"/>
      <c r="D542" s="165"/>
      <c r="E542" s="643"/>
      <c r="F542" s="22"/>
      <c r="G542" s="22"/>
      <c r="H542" s="22"/>
      <c r="I542" s="644"/>
      <c r="J542" s="644"/>
      <c r="K542" s="644"/>
      <c r="L542" s="644"/>
      <c r="M542" s="644"/>
    </row>
    <row r="543" ht="20.25" customHeight="1">
      <c r="A543" s="394"/>
      <c r="B543" s="27"/>
      <c r="C543" s="14"/>
      <c r="D543" s="165"/>
      <c r="E543" s="638"/>
      <c r="F543" s="14"/>
      <c r="G543" s="14"/>
      <c r="H543" s="14"/>
      <c r="I543" s="640"/>
      <c r="J543" s="640"/>
      <c r="K543" s="640"/>
      <c r="L543" s="640"/>
      <c r="M543" s="640"/>
    </row>
    <row r="544" ht="20.25" customHeight="1">
      <c r="A544" s="393"/>
      <c r="B544" s="31"/>
      <c r="C544" s="22"/>
      <c r="D544" s="165"/>
      <c r="E544" s="643"/>
      <c r="F544" s="22"/>
      <c r="G544" s="22"/>
      <c r="H544" s="22"/>
      <c r="I544" s="644"/>
      <c r="J544" s="644"/>
      <c r="K544" s="644"/>
      <c r="L544" s="644"/>
      <c r="M544" s="644"/>
    </row>
    <row r="545" ht="20.25" customHeight="1">
      <c r="A545" s="394"/>
      <c r="B545" s="27"/>
      <c r="C545" s="14"/>
      <c r="D545" s="165"/>
      <c r="E545" s="638"/>
      <c r="F545" s="14"/>
      <c r="G545" s="14"/>
      <c r="H545" s="14"/>
      <c r="I545" s="640"/>
      <c r="J545" s="640"/>
      <c r="K545" s="640"/>
      <c r="L545" s="640"/>
      <c r="M545" s="640"/>
    </row>
    <row r="546" ht="20.25" customHeight="1">
      <c r="A546" s="393"/>
      <c r="B546" s="31"/>
      <c r="C546" s="22"/>
      <c r="D546" s="165"/>
      <c r="E546" s="643"/>
      <c r="F546" s="22"/>
      <c r="G546" s="22"/>
      <c r="H546" s="22"/>
      <c r="I546" s="644"/>
      <c r="J546" s="644"/>
      <c r="K546" s="644"/>
      <c r="L546" s="644"/>
      <c r="M546" s="644"/>
    </row>
    <row r="547" ht="20.25" customHeight="1">
      <c r="A547" s="394"/>
      <c r="B547" s="27"/>
      <c r="C547" s="14"/>
      <c r="D547" s="165"/>
      <c r="E547" s="638"/>
      <c r="F547" s="14"/>
      <c r="G547" s="14"/>
      <c r="H547" s="14"/>
      <c r="I547" s="640"/>
      <c r="J547" s="640"/>
      <c r="K547" s="640"/>
      <c r="L547" s="640"/>
      <c r="M547" s="640"/>
    </row>
    <row r="548" ht="20.25" customHeight="1">
      <c r="A548" s="393"/>
      <c r="B548" s="31"/>
      <c r="C548" s="22"/>
      <c r="D548" s="165"/>
      <c r="E548" s="643"/>
      <c r="F548" s="22"/>
      <c r="G548" s="22"/>
      <c r="H548" s="22"/>
      <c r="I548" s="644"/>
      <c r="J548" s="644"/>
      <c r="K548" s="644"/>
      <c r="L548" s="644"/>
      <c r="M548" s="644"/>
    </row>
    <row r="549" ht="20.25" customHeight="1">
      <c r="A549" s="394"/>
      <c r="B549" s="27"/>
      <c r="C549" s="14"/>
      <c r="D549" s="165"/>
      <c r="E549" s="638"/>
      <c r="F549" s="14"/>
      <c r="G549" s="14"/>
      <c r="H549" s="14"/>
      <c r="I549" s="640"/>
      <c r="J549" s="640"/>
      <c r="K549" s="640"/>
      <c r="L549" s="640"/>
      <c r="M549" s="640"/>
    </row>
    <row r="550" ht="20.25" customHeight="1">
      <c r="A550" s="393"/>
      <c r="B550" s="31"/>
      <c r="C550" s="22"/>
      <c r="D550" s="165"/>
      <c r="E550" s="643"/>
      <c r="F550" s="22"/>
      <c r="G550" s="22"/>
      <c r="H550" s="22"/>
      <c r="I550" s="644"/>
      <c r="J550" s="644"/>
      <c r="K550" s="644"/>
      <c r="L550" s="644"/>
      <c r="M550" s="644"/>
    </row>
    <row r="551" ht="20.25" customHeight="1">
      <c r="A551" s="394"/>
      <c r="B551" s="27"/>
      <c r="C551" s="14"/>
      <c r="D551" s="165"/>
      <c r="E551" s="638"/>
      <c r="F551" s="14"/>
      <c r="G551" s="14"/>
      <c r="H551" s="14"/>
      <c r="I551" s="640"/>
      <c r="J551" s="640"/>
      <c r="K551" s="640"/>
      <c r="L551" s="640"/>
      <c r="M551" s="640"/>
    </row>
    <row r="552" ht="20.25" customHeight="1">
      <c r="A552" s="393"/>
      <c r="B552" s="31"/>
      <c r="C552" s="22"/>
      <c r="D552" s="165"/>
      <c r="E552" s="643"/>
      <c r="F552" s="22"/>
      <c r="G552" s="22"/>
      <c r="H552" s="22"/>
      <c r="I552" s="644"/>
      <c r="J552" s="644"/>
      <c r="K552" s="644"/>
      <c r="L552" s="644"/>
      <c r="M552" s="644"/>
    </row>
    <row r="553" ht="20.25" customHeight="1">
      <c r="A553" s="394"/>
      <c r="B553" s="27"/>
      <c r="C553" s="14"/>
      <c r="D553" s="165"/>
      <c r="E553" s="638"/>
      <c r="F553" s="14"/>
      <c r="G553" s="14"/>
      <c r="H553" s="14"/>
      <c r="I553" s="640"/>
      <c r="J553" s="640"/>
      <c r="K553" s="640"/>
      <c r="L553" s="640"/>
      <c r="M553" s="640"/>
    </row>
    <row r="554" ht="20.25" customHeight="1">
      <c r="A554" s="393"/>
      <c r="B554" s="31"/>
      <c r="C554" s="22"/>
      <c r="D554" s="165"/>
      <c r="E554" s="643"/>
      <c r="F554" s="22"/>
      <c r="G554" s="22"/>
      <c r="H554" s="22"/>
      <c r="I554" s="644"/>
      <c r="J554" s="644"/>
      <c r="K554" s="644"/>
      <c r="L554" s="644"/>
      <c r="M554" s="644"/>
    </row>
    <row r="555" ht="20.25" customHeight="1">
      <c r="A555" s="394"/>
      <c r="B555" s="27"/>
      <c r="C555" s="14"/>
      <c r="D555" s="165"/>
      <c r="E555" s="638"/>
      <c r="F555" s="14"/>
      <c r="G555" s="14"/>
      <c r="H555" s="14"/>
      <c r="I555" s="640"/>
      <c r="J555" s="640"/>
      <c r="K555" s="640"/>
      <c r="L555" s="640"/>
      <c r="M555" s="640"/>
    </row>
    <row r="556" ht="20.25" customHeight="1">
      <c r="A556" s="393"/>
      <c r="B556" s="31"/>
      <c r="C556" s="22"/>
      <c r="D556" s="165"/>
      <c r="E556" s="643"/>
      <c r="F556" s="22"/>
      <c r="G556" s="22"/>
      <c r="H556" s="22"/>
      <c r="I556" s="644"/>
      <c r="J556" s="644"/>
      <c r="K556" s="644"/>
      <c r="L556" s="644"/>
      <c r="M556" s="644"/>
    </row>
    <row r="557" ht="20.25" customHeight="1">
      <c r="A557" s="394"/>
      <c r="B557" s="27"/>
      <c r="C557" s="14"/>
      <c r="D557" s="165"/>
      <c r="E557" s="638"/>
      <c r="F557" s="14"/>
      <c r="G557" s="14"/>
      <c r="H557" s="14"/>
      <c r="I557" s="640"/>
      <c r="J557" s="640"/>
      <c r="K557" s="640"/>
      <c r="L557" s="640"/>
      <c r="M557" s="640"/>
    </row>
    <row r="558" ht="20.25" customHeight="1">
      <c r="A558" s="393"/>
      <c r="B558" s="31"/>
      <c r="C558" s="22"/>
      <c r="D558" s="165"/>
      <c r="E558" s="643"/>
      <c r="F558" s="22"/>
      <c r="G558" s="22"/>
      <c r="H558" s="22"/>
      <c r="I558" s="644"/>
      <c r="J558" s="644"/>
      <c r="K558" s="644"/>
      <c r="L558" s="644"/>
      <c r="M558" s="644"/>
    </row>
    <row r="559" ht="20.25" customHeight="1">
      <c r="A559" s="394"/>
      <c r="B559" s="27"/>
      <c r="C559" s="14"/>
      <c r="D559" s="165"/>
      <c r="E559" s="638"/>
      <c r="F559" s="14"/>
      <c r="G559" s="14"/>
      <c r="H559" s="14"/>
      <c r="I559" s="640"/>
      <c r="J559" s="640"/>
      <c r="K559" s="640"/>
      <c r="L559" s="640"/>
      <c r="M559" s="640"/>
    </row>
    <row r="560" ht="20.25" customHeight="1">
      <c r="A560" s="393"/>
      <c r="B560" s="31"/>
      <c r="C560" s="22"/>
      <c r="D560" s="165"/>
      <c r="E560" s="643"/>
      <c r="F560" s="22"/>
      <c r="G560" s="22"/>
      <c r="H560" s="22"/>
      <c r="I560" s="644"/>
      <c r="J560" s="644"/>
      <c r="K560" s="644"/>
      <c r="L560" s="644"/>
      <c r="M560" s="644"/>
    </row>
    <row r="561" ht="20.25" customHeight="1">
      <c r="A561" s="394"/>
      <c r="B561" s="27"/>
      <c r="C561" s="14"/>
      <c r="D561" s="165"/>
      <c r="E561" s="638"/>
      <c r="F561" s="14"/>
      <c r="G561" s="14"/>
      <c r="H561" s="14"/>
      <c r="I561" s="640"/>
      <c r="J561" s="640"/>
      <c r="K561" s="640"/>
      <c r="L561" s="640"/>
      <c r="M561" s="640"/>
    </row>
    <row r="562" ht="20.25" customHeight="1">
      <c r="A562" s="393"/>
      <c r="B562" s="31"/>
      <c r="C562" s="22"/>
      <c r="D562" s="165"/>
      <c r="E562" s="643"/>
      <c r="F562" s="22"/>
      <c r="G562" s="22"/>
      <c r="H562" s="22"/>
      <c r="I562" s="644"/>
      <c r="J562" s="644"/>
      <c r="K562" s="644"/>
      <c r="L562" s="644"/>
      <c r="M562" s="644"/>
    </row>
    <row r="563" ht="20.25" customHeight="1">
      <c r="A563" s="394"/>
      <c r="B563" s="27"/>
      <c r="C563" s="14"/>
      <c r="D563" s="165"/>
      <c r="E563" s="638"/>
      <c r="F563" s="14"/>
      <c r="G563" s="14"/>
      <c r="H563" s="14"/>
      <c r="I563" s="640"/>
      <c r="J563" s="640"/>
      <c r="K563" s="640"/>
      <c r="L563" s="640"/>
      <c r="M563" s="640"/>
    </row>
    <row r="564" ht="20.25" customHeight="1">
      <c r="A564" s="393"/>
      <c r="B564" s="31"/>
      <c r="C564" s="22"/>
      <c r="D564" s="165"/>
      <c r="E564" s="643"/>
      <c r="F564" s="22"/>
      <c r="G564" s="22"/>
      <c r="H564" s="22"/>
      <c r="I564" s="644"/>
      <c r="J564" s="644"/>
      <c r="K564" s="644"/>
      <c r="L564" s="644"/>
      <c r="M564" s="644"/>
    </row>
    <row r="565" ht="20.25" customHeight="1">
      <c r="A565" s="394"/>
      <c r="B565" s="27"/>
      <c r="C565" s="14"/>
      <c r="D565" s="165"/>
      <c r="E565" s="638"/>
      <c r="F565" s="14"/>
      <c r="G565" s="14"/>
      <c r="H565" s="14"/>
      <c r="I565" s="640"/>
      <c r="J565" s="640"/>
      <c r="K565" s="640"/>
      <c r="L565" s="640"/>
      <c r="M565" s="640"/>
    </row>
    <row r="566" ht="20.25" customHeight="1">
      <c r="A566" s="393"/>
      <c r="B566" s="31"/>
      <c r="C566" s="22"/>
      <c r="D566" s="165"/>
      <c r="E566" s="643"/>
      <c r="F566" s="22"/>
      <c r="G566" s="22"/>
      <c r="H566" s="22"/>
      <c r="I566" s="644"/>
      <c r="J566" s="644"/>
      <c r="K566" s="644"/>
      <c r="L566" s="644"/>
      <c r="M566" s="644"/>
    </row>
    <row r="567" ht="20.25" customHeight="1">
      <c r="A567" s="394"/>
      <c r="B567" s="27"/>
      <c r="C567" s="14"/>
      <c r="D567" s="165"/>
      <c r="E567" s="638"/>
      <c r="F567" s="14"/>
      <c r="G567" s="14"/>
      <c r="H567" s="14"/>
      <c r="I567" s="640"/>
      <c r="J567" s="640"/>
      <c r="K567" s="640"/>
      <c r="L567" s="640"/>
      <c r="M567" s="640"/>
    </row>
    <row r="568" ht="20.25" customHeight="1">
      <c r="A568" s="393"/>
      <c r="B568" s="31"/>
      <c r="C568" s="22"/>
      <c r="D568" s="165"/>
      <c r="E568" s="643"/>
      <c r="F568" s="22"/>
      <c r="G568" s="22"/>
      <c r="H568" s="22"/>
      <c r="I568" s="644"/>
      <c r="J568" s="644"/>
      <c r="K568" s="644"/>
      <c r="L568" s="644"/>
      <c r="M568" s="644"/>
    </row>
    <row r="569" ht="20.25" customHeight="1">
      <c r="A569" s="394"/>
      <c r="B569" s="27"/>
      <c r="C569" s="14"/>
      <c r="D569" s="165"/>
      <c r="E569" s="638"/>
      <c r="F569" s="14"/>
      <c r="G569" s="14"/>
      <c r="H569" s="14"/>
      <c r="I569" s="640"/>
      <c r="J569" s="640"/>
      <c r="K569" s="640"/>
      <c r="L569" s="640"/>
      <c r="M569" s="640"/>
    </row>
    <row r="570" ht="20.25" customHeight="1">
      <c r="A570" s="393"/>
      <c r="B570" s="31"/>
      <c r="C570" s="22"/>
      <c r="D570" s="165"/>
      <c r="E570" s="643"/>
      <c r="F570" s="22"/>
      <c r="G570" s="22"/>
      <c r="H570" s="22"/>
      <c r="I570" s="644"/>
      <c r="J570" s="644"/>
      <c r="K570" s="644"/>
      <c r="L570" s="644"/>
      <c r="M570" s="644"/>
    </row>
    <row r="571" ht="20.25" customHeight="1">
      <c r="A571" s="394"/>
      <c r="B571" s="27"/>
      <c r="C571" s="14"/>
      <c r="D571" s="165"/>
      <c r="E571" s="638"/>
      <c r="F571" s="14"/>
      <c r="G571" s="14"/>
      <c r="H571" s="14"/>
      <c r="I571" s="640"/>
      <c r="J571" s="640"/>
      <c r="K571" s="640"/>
      <c r="L571" s="640"/>
      <c r="M571" s="640"/>
    </row>
    <row r="572" ht="20.25" customHeight="1">
      <c r="A572" s="393"/>
      <c r="B572" s="31"/>
      <c r="C572" s="22"/>
      <c r="D572" s="165"/>
      <c r="E572" s="643"/>
      <c r="F572" s="22"/>
      <c r="G572" s="22"/>
      <c r="H572" s="22"/>
      <c r="I572" s="644"/>
      <c r="J572" s="644"/>
      <c r="K572" s="644"/>
      <c r="L572" s="644"/>
      <c r="M572" s="644"/>
    </row>
    <row r="573" ht="20.25" customHeight="1">
      <c r="A573" s="394"/>
      <c r="B573" s="27"/>
      <c r="C573" s="14"/>
      <c r="D573" s="165"/>
      <c r="E573" s="638"/>
      <c r="F573" s="14"/>
      <c r="G573" s="14"/>
      <c r="H573" s="14"/>
      <c r="I573" s="640"/>
      <c r="J573" s="640"/>
      <c r="K573" s="640"/>
      <c r="L573" s="640"/>
      <c r="M573" s="640"/>
    </row>
    <row r="574" ht="20.25" customHeight="1">
      <c r="A574" s="393"/>
      <c r="B574" s="31"/>
      <c r="C574" s="22"/>
      <c r="D574" s="165"/>
      <c r="E574" s="643"/>
      <c r="F574" s="22"/>
      <c r="G574" s="22"/>
      <c r="H574" s="22"/>
      <c r="I574" s="644"/>
      <c r="J574" s="644"/>
      <c r="K574" s="644"/>
      <c r="L574" s="644"/>
      <c r="M574" s="644"/>
    </row>
    <row r="575" ht="20.25" customHeight="1">
      <c r="A575" s="394"/>
      <c r="B575" s="27"/>
      <c r="C575" s="14"/>
      <c r="D575" s="165"/>
      <c r="E575" s="638"/>
      <c r="F575" s="14"/>
      <c r="G575" s="14"/>
      <c r="H575" s="14"/>
      <c r="I575" s="640"/>
      <c r="J575" s="640"/>
      <c r="K575" s="640"/>
      <c r="L575" s="640"/>
      <c r="M575" s="640"/>
    </row>
    <row r="576" ht="20.25" customHeight="1">
      <c r="A576" s="393"/>
      <c r="B576" s="31"/>
      <c r="C576" s="22"/>
      <c r="D576" s="165"/>
      <c r="E576" s="643"/>
      <c r="F576" s="22"/>
      <c r="G576" s="22"/>
      <c r="H576" s="22"/>
      <c r="I576" s="644"/>
      <c r="J576" s="644"/>
      <c r="K576" s="644"/>
      <c r="L576" s="644"/>
      <c r="M576" s="644"/>
    </row>
    <row r="577" ht="20.25" customHeight="1">
      <c r="A577" s="394"/>
      <c r="B577" s="27"/>
      <c r="C577" s="14"/>
      <c r="D577" s="165"/>
      <c r="E577" s="638"/>
      <c r="F577" s="14"/>
      <c r="G577" s="14"/>
      <c r="H577" s="14"/>
      <c r="I577" s="640"/>
      <c r="J577" s="640"/>
      <c r="K577" s="640"/>
      <c r="L577" s="640"/>
      <c r="M577" s="640"/>
    </row>
    <row r="578" ht="20.25" customHeight="1">
      <c r="A578" s="393"/>
      <c r="B578" s="31"/>
      <c r="C578" s="22"/>
      <c r="D578" s="165"/>
      <c r="E578" s="643"/>
      <c r="F578" s="22"/>
      <c r="G578" s="22"/>
      <c r="H578" s="22"/>
      <c r="I578" s="644"/>
      <c r="J578" s="644"/>
      <c r="K578" s="644"/>
      <c r="L578" s="644"/>
      <c r="M578" s="644"/>
    </row>
    <row r="579" ht="20.25" customHeight="1">
      <c r="A579" s="394"/>
      <c r="B579" s="27"/>
      <c r="C579" s="14"/>
      <c r="D579" s="165"/>
      <c r="E579" s="638"/>
      <c r="F579" s="14"/>
      <c r="G579" s="14"/>
      <c r="H579" s="14"/>
      <c r="I579" s="640"/>
      <c r="J579" s="640"/>
      <c r="K579" s="640"/>
      <c r="L579" s="640"/>
      <c r="M579" s="640"/>
    </row>
    <row r="580" ht="20.25" customHeight="1">
      <c r="A580" s="393"/>
      <c r="B580" s="31"/>
      <c r="C580" s="22"/>
      <c r="D580" s="165"/>
      <c r="E580" s="643"/>
      <c r="F580" s="22"/>
      <c r="G580" s="22"/>
      <c r="H580" s="22"/>
      <c r="I580" s="644"/>
      <c r="J580" s="644"/>
      <c r="K580" s="644"/>
      <c r="L580" s="644"/>
      <c r="M580" s="644"/>
    </row>
    <row r="581" ht="20.25" customHeight="1">
      <c r="A581" s="394"/>
      <c r="B581" s="27"/>
      <c r="C581" s="14"/>
      <c r="D581" s="165"/>
      <c r="E581" s="638"/>
      <c r="F581" s="14"/>
      <c r="G581" s="14"/>
      <c r="H581" s="14"/>
      <c r="I581" s="640"/>
      <c r="J581" s="640"/>
      <c r="K581" s="640"/>
      <c r="L581" s="640"/>
      <c r="M581" s="640"/>
    </row>
    <row r="582" ht="20.25" customHeight="1">
      <c r="A582" s="393"/>
      <c r="B582" s="31"/>
      <c r="C582" s="22"/>
      <c r="D582" s="165"/>
      <c r="E582" s="643"/>
      <c r="F582" s="22"/>
      <c r="G582" s="22"/>
      <c r="H582" s="22"/>
      <c r="I582" s="644"/>
      <c r="J582" s="644"/>
      <c r="K582" s="644"/>
      <c r="L582" s="644"/>
      <c r="M582" s="644"/>
    </row>
    <row r="583" ht="20.25" customHeight="1">
      <c r="A583" s="394"/>
      <c r="B583" s="27"/>
      <c r="C583" s="14"/>
      <c r="D583" s="165"/>
      <c r="E583" s="638"/>
      <c r="F583" s="14"/>
      <c r="G583" s="14"/>
      <c r="H583" s="14"/>
      <c r="I583" s="640"/>
      <c r="J583" s="640"/>
      <c r="K583" s="640"/>
      <c r="L583" s="640"/>
      <c r="M583" s="640"/>
    </row>
    <row r="584" ht="20.25" customHeight="1">
      <c r="A584" s="393"/>
      <c r="B584" s="31"/>
      <c r="C584" s="22"/>
      <c r="D584" s="165"/>
      <c r="E584" s="643"/>
      <c r="F584" s="22"/>
      <c r="G584" s="22"/>
      <c r="H584" s="22"/>
      <c r="I584" s="644"/>
      <c r="J584" s="644"/>
      <c r="K584" s="644"/>
      <c r="L584" s="644"/>
      <c r="M584" s="644"/>
    </row>
    <row r="585" ht="20.25" customHeight="1">
      <c r="A585" s="394"/>
      <c r="B585" s="27"/>
      <c r="C585" s="14"/>
      <c r="D585" s="165"/>
      <c r="E585" s="638"/>
      <c r="F585" s="14"/>
      <c r="G585" s="14"/>
      <c r="H585" s="14"/>
      <c r="I585" s="640"/>
      <c r="J585" s="640"/>
      <c r="K585" s="640"/>
      <c r="L585" s="640"/>
      <c r="M585" s="640"/>
    </row>
    <row r="586" ht="20.25" customHeight="1">
      <c r="A586" s="393"/>
      <c r="B586" s="31"/>
      <c r="C586" s="22"/>
      <c r="D586" s="165"/>
      <c r="E586" s="643"/>
      <c r="F586" s="22"/>
      <c r="G586" s="22"/>
      <c r="H586" s="22"/>
      <c r="I586" s="644"/>
      <c r="J586" s="644"/>
      <c r="K586" s="644"/>
      <c r="L586" s="644"/>
      <c r="M586" s="644"/>
    </row>
    <row r="587" ht="20.25" customHeight="1">
      <c r="A587" s="394"/>
      <c r="B587" s="27"/>
      <c r="C587" s="14"/>
      <c r="D587" s="165"/>
      <c r="E587" s="638"/>
      <c r="F587" s="14"/>
      <c r="G587" s="14"/>
      <c r="H587" s="14"/>
      <c r="I587" s="640"/>
      <c r="J587" s="640"/>
      <c r="K587" s="640"/>
      <c r="L587" s="640"/>
      <c r="M587" s="640"/>
    </row>
    <row r="588" ht="20.25" customHeight="1">
      <c r="A588" s="393"/>
      <c r="B588" s="31"/>
      <c r="C588" s="22"/>
      <c r="D588" s="165"/>
      <c r="E588" s="643"/>
      <c r="F588" s="22"/>
      <c r="G588" s="22"/>
      <c r="H588" s="22"/>
      <c r="I588" s="644"/>
      <c r="J588" s="644"/>
      <c r="K588" s="644"/>
      <c r="L588" s="644"/>
      <c r="M588" s="644"/>
    </row>
    <row r="589" ht="20.25" customHeight="1">
      <c r="A589" s="394"/>
      <c r="B589" s="27"/>
      <c r="C589" s="14"/>
      <c r="D589" s="165"/>
      <c r="E589" s="638"/>
      <c r="F589" s="14"/>
      <c r="G589" s="14"/>
      <c r="H589" s="14"/>
      <c r="I589" s="640"/>
      <c r="J589" s="640"/>
      <c r="K589" s="640"/>
      <c r="L589" s="640"/>
      <c r="M589" s="640"/>
    </row>
    <row r="590" ht="20.25" customHeight="1">
      <c r="A590" s="393"/>
      <c r="B590" s="31"/>
      <c r="C590" s="22"/>
      <c r="D590" s="165"/>
      <c r="E590" s="643"/>
      <c r="F590" s="22"/>
      <c r="G590" s="22"/>
      <c r="H590" s="22"/>
      <c r="I590" s="644"/>
      <c r="J590" s="644"/>
      <c r="K590" s="644"/>
      <c r="L590" s="644"/>
      <c r="M590" s="644"/>
    </row>
    <row r="591" ht="20.25" customHeight="1">
      <c r="A591" s="394"/>
      <c r="B591" s="27"/>
      <c r="C591" s="14"/>
      <c r="D591" s="165"/>
      <c r="E591" s="638"/>
      <c r="F591" s="14"/>
      <c r="G591" s="14"/>
      <c r="H591" s="14"/>
      <c r="I591" s="640"/>
      <c r="J591" s="640"/>
      <c r="K591" s="640"/>
      <c r="L591" s="640"/>
      <c r="M591" s="640"/>
    </row>
    <row r="592" ht="20.25" customHeight="1">
      <c r="A592" s="393"/>
      <c r="B592" s="31"/>
      <c r="C592" s="22"/>
      <c r="D592" s="165"/>
      <c r="E592" s="643"/>
      <c r="F592" s="22"/>
      <c r="G592" s="22"/>
      <c r="H592" s="22"/>
      <c r="I592" s="644"/>
      <c r="J592" s="644"/>
      <c r="K592" s="644"/>
      <c r="L592" s="644"/>
      <c r="M592" s="644"/>
    </row>
    <row r="593" ht="20.25" customHeight="1">
      <c r="A593" s="394"/>
      <c r="B593" s="27"/>
      <c r="C593" s="14"/>
      <c r="D593" s="165"/>
      <c r="E593" s="638"/>
      <c r="F593" s="14"/>
      <c r="G593" s="14"/>
      <c r="H593" s="14"/>
      <c r="I593" s="640"/>
      <c r="J593" s="640"/>
      <c r="K593" s="640"/>
      <c r="L593" s="640"/>
      <c r="M593" s="640"/>
    </row>
    <row r="594" ht="20.25" customHeight="1">
      <c r="A594" s="393"/>
      <c r="B594" s="31"/>
      <c r="C594" s="22"/>
      <c r="D594" s="165"/>
      <c r="E594" s="643"/>
      <c r="F594" s="22"/>
      <c r="G594" s="22"/>
      <c r="H594" s="22"/>
      <c r="I594" s="644"/>
      <c r="J594" s="644"/>
      <c r="K594" s="644"/>
      <c r="L594" s="644"/>
      <c r="M594" s="644"/>
    </row>
    <row r="595" ht="20.25" customHeight="1">
      <c r="A595" s="394"/>
      <c r="B595" s="27"/>
      <c r="C595" s="14"/>
      <c r="D595" s="165"/>
      <c r="E595" s="638"/>
      <c r="F595" s="14"/>
      <c r="G595" s="14"/>
      <c r="H595" s="14"/>
      <c r="I595" s="640"/>
      <c r="J595" s="640"/>
      <c r="K595" s="640"/>
      <c r="L595" s="640"/>
      <c r="M595" s="640"/>
    </row>
    <row r="596" ht="20.25" customHeight="1">
      <c r="A596" s="393"/>
      <c r="B596" s="31"/>
      <c r="C596" s="22"/>
      <c r="D596" s="165"/>
      <c r="E596" s="643"/>
      <c r="F596" s="22"/>
      <c r="G596" s="22"/>
      <c r="H596" s="22"/>
      <c r="I596" s="644"/>
      <c r="J596" s="644"/>
      <c r="K596" s="644"/>
      <c r="L596" s="644"/>
      <c r="M596" s="644"/>
    </row>
    <row r="597" ht="20.25" customHeight="1">
      <c r="A597" s="394"/>
      <c r="B597" s="27"/>
      <c r="C597" s="14"/>
      <c r="D597" s="165"/>
      <c r="E597" s="638"/>
      <c r="F597" s="14"/>
      <c r="G597" s="14"/>
      <c r="H597" s="14"/>
      <c r="I597" s="640"/>
      <c r="J597" s="640"/>
      <c r="K597" s="640"/>
      <c r="L597" s="640"/>
      <c r="M597" s="640"/>
    </row>
    <row r="598" ht="20.25" customHeight="1">
      <c r="A598" s="393"/>
      <c r="B598" s="31"/>
      <c r="C598" s="22"/>
      <c r="D598" s="165"/>
      <c r="E598" s="643"/>
      <c r="F598" s="22"/>
      <c r="G598" s="22"/>
      <c r="H598" s="22"/>
      <c r="I598" s="644"/>
      <c r="J598" s="644"/>
      <c r="K598" s="644"/>
      <c r="L598" s="644"/>
      <c r="M598" s="644"/>
    </row>
    <row r="599" ht="20.25" customHeight="1">
      <c r="A599" s="394"/>
      <c r="B599" s="27"/>
      <c r="C599" s="14"/>
      <c r="D599" s="165"/>
      <c r="E599" s="638"/>
      <c r="F599" s="14"/>
      <c r="G599" s="14"/>
      <c r="H599" s="14"/>
      <c r="I599" s="640"/>
      <c r="J599" s="640"/>
      <c r="K599" s="640"/>
      <c r="L599" s="640"/>
      <c r="M599" s="640"/>
    </row>
    <row r="600" ht="20.25" customHeight="1">
      <c r="A600" s="393"/>
      <c r="B600" s="31"/>
      <c r="C600" s="22"/>
      <c r="D600" s="165"/>
      <c r="E600" s="643"/>
      <c r="F600" s="22"/>
      <c r="G600" s="22"/>
      <c r="H600" s="22"/>
      <c r="I600" s="644"/>
      <c r="J600" s="644"/>
      <c r="K600" s="644"/>
      <c r="L600" s="644"/>
      <c r="M600" s="644"/>
    </row>
    <row r="601" ht="20.25" customHeight="1">
      <c r="A601" s="394"/>
      <c r="B601" s="27"/>
      <c r="C601" s="14"/>
      <c r="D601" s="165"/>
      <c r="E601" s="638"/>
      <c r="F601" s="14"/>
      <c r="G601" s="14"/>
      <c r="H601" s="14"/>
      <c r="I601" s="640"/>
      <c r="J601" s="640"/>
      <c r="K601" s="640"/>
      <c r="L601" s="640"/>
      <c r="M601" s="640"/>
    </row>
    <row r="602" ht="20.25" customHeight="1">
      <c r="A602" s="393"/>
      <c r="B602" s="31"/>
      <c r="C602" s="22"/>
      <c r="D602" s="165"/>
      <c r="E602" s="643"/>
      <c r="F602" s="22"/>
      <c r="G602" s="22"/>
      <c r="H602" s="22"/>
      <c r="I602" s="644"/>
      <c r="J602" s="644"/>
      <c r="K602" s="644"/>
      <c r="L602" s="644"/>
      <c r="M602" s="644"/>
    </row>
    <row r="603" ht="20.25" customHeight="1">
      <c r="A603" s="394"/>
      <c r="B603" s="27"/>
      <c r="C603" s="14"/>
      <c r="D603" s="165"/>
      <c r="E603" s="638"/>
      <c r="F603" s="14"/>
      <c r="G603" s="14"/>
      <c r="H603" s="14"/>
      <c r="I603" s="640"/>
      <c r="J603" s="640"/>
      <c r="K603" s="640"/>
      <c r="L603" s="640"/>
      <c r="M603" s="640"/>
    </row>
    <row r="604" ht="20.25" customHeight="1">
      <c r="A604" s="393"/>
      <c r="B604" s="31"/>
      <c r="C604" s="22"/>
      <c r="D604" s="165"/>
      <c r="E604" s="643"/>
      <c r="F604" s="22"/>
      <c r="G604" s="22"/>
      <c r="H604" s="22"/>
      <c r="I604" s="644"/>
      <c r="J604" s="644"/>
      <c r="K604" s="644"/>
      <c r="L604" s="644"/>
      <c r="M604" s="644"/>
    </row>
    <row r="605" ht="20.25" customHeight="1">
      <c r="A605" s="394"/>
      <c r="B605" s="27"/>
      <c r="C605" s="14"/>
      <c r="D605" s="165"/>
      <c r="E605" s="638"/>
      <c r="F605" s="14"/>
      <c r="G605" s="14"/>
      <c r="H605" s="14"/>
      <c r="I605" s="640"/>
      <c r="J605" s="640"/>
      <c r="K605" s="640"/>
      <c r="L605" s="640"/>
      <c r="M605" s="640"/>
    </row>
    <row r="606" ht="20.25" customHeight="1">
      <c r="A606" s="393"/>
      <c r="B606" s="31"/>
      <c r="C606" s="22"/>
      <c r="D606" s="165"/>
      <c r="E606" s="643"/>
      <c r="F606" s="22"/>
      <c r="G606" s="22"/>
      <c r="H606" s="22"/>
      <c r="I606" s="644"/>
      <c r="J606" s="644"/>
      <c r="K606" s="644"/>
      <c r="L606" s="644"/>
      <c r="M606" s="644"/>
    </row>
    <row r="607" ht="20.25" customHeight="1">
      <c r="A607" s="394"/>
      <c r="B607" s="27"/>
      <c r="C607" s="14"/>
      <c r="D607" s="165"/>
      <c r="E607" s="638"/>
      <c r="F607" s="14"/>
      <c r="G607" s="14"/>
      <c r="H607" s="14"/>
      <c r="I607" s="640"/>
      <c r="J607" s="640"/>
      <c r="K607" s="640"/>
      <c r="L607" s="640"/>
      <c r="M607" s="640"/>
    </row>
    <row r="608" ht="20.25" customHeight="1">
      <c r="A608" s="393"/>
      <c r="B608" s="31"/>
      <c r="C608" s="22"/>
      <c r="D608" s="165"/>
      <c r="E608" s="643"/>
      <c r="F608" s="22"/>
      <c r="G608" s="22"/>
      <c r="H608" s="22"/>
      <c r="I608" s="644"/>
      <c r="J608" s="644"/>
      <c r="K608" s="644"/>
      <c r="L608" s="644"/>
      <c r="M608" s="644"/>
    </row>
    <row r="609" ht="20.25" customHeight="1">
      <c r="A609" s="394"/>
      <c r="B609" s="27"/>
      <c r="C609" s="14"/>
      <c r="D609" s="165"/>
      <c r="E609" s="638"/>
      <c r="F609" s="14"/>
      <c r="G609" s="14"/>
      <c r="H609" s="14"/>
      <c r="I609" s="640"/>
      <c r="J609" s="640"/>
      <c r="K609" s="640"/>
      <c r="L609" s="640"/>
      <c r="M609" s="640"/>
    </row>
    <row r="610" ht="20.25" customHeight="1">
      <c r="A610" s="393"/>
      <c r="B610" s="31"/>
      <c r="C610" s="22"/>
      <c r="D610" s="165"/>
      <c r="E610" s="643"/>
      <c r="F610" s="22"/>
      <c r="G610" s="22"/>
      <c r="H610" s="22"/>
      <c r="I610" s="644"/>
      <c r="J610" s="644"/>
      <c r="K610" s="644"/>
      <c r="L610" s="644"/>
      <c r="M610" s="644"/>
    </row>
    <row r="611" ht="20.25" customHeight="1">
      <c r="A611" s="394"/>
      <c r="B611" s="27"/>
      <c r="C611" s="14"/>
      <c r="D611" s="165"/>
      <c r="E611" s="638"/>
      <c r="F611" s="14"/>
      <c r="G611" s="14"/>
      <c r="H611" s="14"/>
      <c r="I611" s="640"/>
      <c r="J611" s="640"/>
      <c r="K611" s="640"/>
      <c r="L611" s="640"/>
      <c r="M611" s="640"/>
    </row>
    <row r="612" ht="20.25" customHeight="1">
      <c r="A612" s="393"/>
      <c r="B612" s="31"/>
      <c r="C612" s="22"/>
      <c r="D612" s="165"/>
      <c r="E612" s="643"/>
      <c r="F612" s="22"/>
      <c r="G612" s="22"/>
      <c r="H612" s="22"/>
      <c r="I612" s="644"/>
      <c r="J612" s="644"/>
      <c r="K612" s="644"/>
      <c r="L612" s="644"/>
      <c r="M612" s="644"/>
    </row>
    <row r="613" ht="20.25" customHeight="1">
      <c r="A613" s="394"/>
      <c r="B613" s="27"/>
      <c r="C613" s="14"/>
      <c r="D613" s="165"/>
      <c r="E613" s="638"/>
      <c r="F613" s="14"/>
      <c r="G613" s="14"/>
      <c r="H613" s="14"/>
      <c r="I613" s="640"/>
      <c r="J613" s="640"/>
      <c r="K613" s="640"/>
      <c r="L613" s="640"/>
      <c r="M613" s="640"/>
    </row>
    <row r="614" ht="20.25" customHeight="1">
      <c r="A614" s="393"/>
      <c r="B614" s="31"/>
      <c r="C614" s="22"/>
      <c r="D614" s="165"/>
      <c r="E614" s="643"/>
      <c r="F614" s="22"/>
      <c r="G614" s="22"/>
      <c r="H614" s="22"/>
      <c r="I614" s="644"/>
      <c r="J614" s="644"/>
      <c r="K614" s="644"/>
      <c r="L614" s="644"/>
      <c r="M614" s="644"/>
    </row>
    <row r="615" ht="20.25" customHeight="1">
      <c r="A615" s="394"/>
      <c r="B615" s="27"/>
      <c r="C615" s="14"/>
      <c r="D615" s="165"/>
      <c r="E615" s="638"/>
      <c r="F615" s="14"/>
      <c r="G615" s="14"/>
      <c r="H615" s="14"/>
      <c r="I615" s="640"/>
      <c r="J615" s="640"/>
      <c r="K615" s="640"/>
      <c r="L615" s="640"/>
      <c r="M615" s="640"/>
    </row>
    <row r="616" ht="20.25" customHeight="1">
      <c r="A616" s="393"/>
      <c r="B616" s="31"/>
      <c r="C616" s="22"/>
      <c r="D616" s="165"/>
      <c r="E616" s="643"/>
      <c r="F616" s="22"/>
      <c r="G616" s="22"/>
      <c r="H616" s="22"/>
      <c r="I616" s="644"/>
      <c r="J616" s="644"/>
      <c r="K616" s="644"/>
      <c r="L616" s="644"/>
      <c r="M616" s="644"/>
    </row>
    <row r="617" ht="20.25" customHeight="1">
      <c r="A617" s="394"/>
      <c r="B617" s="27"/>
      <c r="C617" s="14"/>
      <c r="D617" s="165"/>
      <c r="E617" s="638"/>
      <c r="F617" s="14"/>
      <c r="G617" s="14"/>
      <c r="H617" s="14"/>
      <c r="I617" s="640"/>
      <c r="J617" s="640"/>
      <c r="K617" s="640"/>
      <c r="L617" s="640"/>
      <c r="M617" s="640"/>
    </row>
    <row r="618" ht="20.25" customHeight="1">
      <c r="A618" s="393"/>
      <c r="B618" s="31"/>
      <c r="C618" s="22"/>
      <c r="D618" s="165"/>
      <c r="E618" s="643"/>
      <c r="F618" s="22"/>
      <c r="G618" s="22"/>
      <c r="H618" s="22"/>
      <c r="I618" s="644"/>
      <c r="J618" s="644"/>
      <c r="K618" s="644"/>
      <c r="L618" s="644"/>
      <c r="M618" s="644"/>
    </row>
    <row r="619" ht="20.25" customHeight="1">
      <c r="A619" s="394"/>
      <c r="B619" s="27"/>
      <c r="C619" s="14"/>
      <c r="D619" s="165"/>
      <c r="E619" s="638"/>
      <c r="F619" s="14"/>
      <c r="G619" s="14"/>
      <c r="H619" s="14"/>
      <c r="I619" s="640"/>
      <c r="J619" s="640"/>
      <c r="K619" s="640"/>
      <c r="L619" s="640"/>
      <c r="M619" s="640"/>
    </row>
    <row r="620" ht="20.25" customHeight="1">
      <c r="A620" s="393"/>
      <c r="B620" s="31"/>
      <c r="C620" s="22"/>
      <c r="D620" s="165"/>
      <c r="E620" s="643"/>
      <c r="F620" s="22"/>
      <c r="G620" s="22"/>
      <c r="H620" s="22"/>
      <c r="I620" s="644"/>
      <c r="J620" s="644"/>
      <c r="K620" s="644"/>
      <c r="L620" s="644"/>
      <c r="M620" s="644"/>
    </row>
    <row r="621" ht="20.25" customHeight="1">
      <c r="A621" s="394"/>
      <c r="B621" s="27"/>
      <c r="C621" s="14"/>
      <c r="D621" s="165"/>
      <c r="E621" s="638"/>
      <c r="F621" s="14"/>
      <c r="G621" s="14"/>
      <c r="H621" s="14"/>
      <c r="I621" s="640"/>
      <c r="J621" s="640"/>
      <c r="K621" s="640"/>
      <c r="L621" s="640"/>
      <c r="M621" s="640"/>
    </row>
    <row r="622" ht="20.25" customHeight="1">
      <c r="A622" s="393"/>
      <c r="B622" s="31"/>
      <c r="C622" s="22"/>
      <c r="D622" s="165"/>
      <c r="E622" s="643"/>
      <c r="F622" s="22"/>
      <c r="G622" s="22"/>
      <c r="H622" s="22"/>
      <c r="I622" s="644"/>
      <c r="J622" s="644"/>
      <c r="K622" s="644"/>
      <c r="L622" s="644"/>
      <c r="M622" s="644"/>
    </row>
    <row r="623" ht="20.25" customHeight="1">
      <c r="A623" s="394"/>
      <c r="B623" s="27"/>
      <c r="C623" s="14"/>
      <c r="D623" s="165"/>
      <c r="E623" s="638"/>
      <c r="F623" s="14"/>
      <c r="G623" s="14"/>
      <c r="H623" s="14"/>
      <c r="I623" s="640"/>
      <c r="J623" s="640"/>
      <c r="K623" s="640"/>
      <c r="L623" s="640"/>
      <c r="M623" s="640"/>
    </row>
    <row r="624" ht="20.25" customHeight="1">
      <c r="A624" s="393"/>
      <c r="B624" s="31"/>
      <c r="C624" s="22"/>
      <c r="D624" s="165"/>
      <c r="E624" s="643"/>
      <c r="F624" s="22"/>
      <c r="G624" s="22"/>
      <c r="H624" s="22"/>
      <c r="I624" s="644"/>
      <c r="J624" s="644"/>
      <c r="K624" s="644"/>
      <c r="L624" s="644"/>
      <c r="M624" s="644"/>
    </row>
    <row r="625" ht="20.25" customHeight="1">
      <c r="A625" s="394"/>
      <c r="B625" s="27"/>
      <c r="C625" s="14"/>
      <c r="D625" s="165"/>
      <c r="E625" s="638"/>
      <c r="F625" s="14"/>
      <c r="G625" s="14"/>
      <c r="H625" s="14"/>
      <c r="I625" s="640"/>
      <c r="J625" s="640"/>
      <c r="K625" s="640"/>
      <c r="L625" s="640"/>
      <c r="M625" s="640"/>
    </row>
    <row r="626" ht="20.25" customHeight="1">
      <c r="A626" s="393"/>
      <c r="B626" s="31"/>
      <c r="C626" s="22"/>
      <c r="D626" s="165"/>
      <c r="E626" s="643"/>
      <c r="F626" s="22"/>
      <c r="G626" s="22"/>
      <c r="H626" s="22"/>
      <c r="I626" s="644"/>
      <c r="J626" s="644"/>
      <c r="K626" s="644"/>
      <c r="L626" s="644"/>
      <c r="M626" s="644"/>
    </row>
    <row r="627" ht="20.25" customHeight="1">
      <c r="A627" s="394"/>
      <c r="B627" s="27"/>
      <c r="C627" s="14"/>
      <c r="D627" s="165"/>
      <c r="E627" s="638"/>
      <c r="F627" s="14"/>
      <c r="G627" s="14"/>
      <c r="H627" s="14"/>
      <c r="I627" s="640"/>
      <c r="J627" s="640"/>
      <c r="K627" s="640"/>
      <c r="L627" s="640"/>
      <c r="M627" s="640"/>
    </row>
    <row r="628" ht="20.25" customHeight="1">
      <c r="A628" s="393"/>
      <c r="B628" s="31"/>
      <c r="C628" s="22"/>
      <c r="D628" s="165"/>
      <c r="E628" s="643"/>
      <c r="F628" s="22"/>
      <c r="G628" s="22"/>
      <c r="H628" s="22"/>
      <c r="I628" s="644"/>
      <c r="J628" s="644"/>
      <c r="K628" s="644"/>
      <c r="L628" s="644"/>
      <c r="M628" s="644"/>
    </row>
    <row r="629" ht="20.25" customHeight="1">
      <c r="A629" s="394"/>
      <c r="B629" s="27"/>
      <c r="C629" s="14"/>
      <c r="D629" s="165"/>
      <c r="E629" s="638"/>
      <c r="F629" s="14"/>
      <c r="G629" s="14"/>
      <c r="H629" s="14"/>
      <c r="I629" s="640"/>
      <c r="J629" s="640"/>
      <c r="K629" s="640"/>
      <c r="L629" s="640"/>
      <c r="M629" s="640"/>
    </row>
    <row r="630" ht="20.25" customHeight="1">
      <c r="A630" s="393"/>
      <c r="B630" s="31"/>
      <c r="C630" s="22"/>
      <c r="D630" s="165"/>
      <c r="E630" s="643"/>
      <c r="F630" s="22"/>
      <c r="G630" s="22"/>
      <c r="H630" s="22"/>
      <c r="I630" s="644"/>
      <c r="J630" s="644"/>
      <c r="K630" s="644"/>
      <c r="L630" s="644"/>
      <c r="M630" s="644"/>
    </row>
    <row r="631" ht="20.25" customHeight="1">
      <c r="A631" s="394"/>
      <c r="B631" s="27"/>
      <c r="C631" s="14"/>
      <c r="D631" s="165"/>
      <c r="E631" s="638"/>
      <c r="F631" s="14"/>
      <c r="G631" s="14"/>
      <c r="H631" s="14"/>
      <c r="I631" s="640"/>
      <c r="J631" s="640"/>
      <c r="K631" s="640"/>
      <c r="L631" s="640"/>
      <c r="M631" s="640"/>
    </row>
    <row r="632" ht="20.25" customHeight="1">
      <c r="A632" s="393"/>
      <c r="B632" s="31"/>
      <c r="C632" s="22"/>
      <c r="D632" s="165"/>
      <c r="E632" s="643"/>
      <c r="F632" s="22"/>
      <c r="G632" s="22"/>
      <c r="H632" s="22"/>
      <c r="I632" s="644"/>
      <c r="J632" s="644"/>
      <c r="K632" s="644"/>
      <c r="L632" s="644"/>
      <c r="M632" s="644"/>
    </row>
    <row r="633" ht="20.25" customHeight="1">
      <c r="A633" s="394"/>
      <c r="B633" s="27"/>
      <c r="C633" s="14"/>
      <c r="D633" s="165"/>
      <c r="E633" s="638"/>
      <c r="F633" s="14"/>
      <c r="G633" s="14"/>
      <c r="H633" s="14"/>
      <c r="I633" s="640"/>
      <c r="J633" s="640"/>
      <c r="K633" s="640"/>
      <c r="L633" s="640"/>
      <c r="M633" s="640"/>
    </row>
    <row r="634" ht="20.25" customHeight="1">
      <c r="A634" s="393"/>
      <c r="B634" s="31"/>
      <c r="C634" s="22"/>
      <c r="D634" s="165"/>
      <c r="E634" s="643"/>
      <c r="F634" s="22"/>
      <c r="G634" s="22"/>
      <c r="H634" s="22"/>
      <c r="I634" s="644"/>
      <c r="J634" s="644"/>
      <c r="K634" s="644"/>
      <c r="L634" s="644"/>
      <c r="M634" s="644"/>
    </row>
    <row r="635" ht="20.25" customHeight="1">
      <c r="A635" s="394"/>
      <c r="B635" s="27"/>
      <c r="C635" s="14"/>
      <c r="D635" s="165"/>
      <c r="E635" s="638"/>
      <c r="F635" s="14"/>
      <c r="G635" s="14"/>
      <c r="H635" s="14"/>
      <c r="I635" s="640"/>
      <c r="J635" s="640"/>
      <c r="K635" s="640"/>
      <c r="L635" s="640"/>
      <c r="M635" s="640"/>
    </row>
    <row r="636" ht="20.25" customHeight="1">
      <c r="A636" s="393"/>
      <c r="B636" s="31"/>
      <c r="C636" s="22"/>
      <c r="D636" s="165"/>
      <c r="E636" s="643"/>
      <c r="F636" s="22"/>
      <c r="G636" s="22"/>
      <c r="H636" s="22"/>
      <c r="I636" s="644"/>
      <c r="J636" s="644"/>
      <c r="K636" s="644"/>
      <c r="L636" s="644"/>
      <c r="M636" s="644"/>
    </row>
    <row r="637" ht="20.25" customHeight="1">
      <c r="A637" s="394"/>
      <c r="B637" s="27"/>
      <c r="C637" s="14"/>
      <c r="D637" s="165"/>
      <c r="E637" s="638"/>
      <c r="F637" s="14"/>
      <c r="G637" s="14"/>
      <c r="H637" s="14"/>
      <c r="I637" s="640"/>
      <c r="J637" s="640"/>
      <c r="K637" s="640"/>
      <c r="L637" s="640"/>
      <c r="M637" s="640"/>
    </row>
    <row r="638" ht="20.25" customHeight="1">
      <c r="A638" s="393"/>
      <c r="B638" s="31"/>
      <c r="C638" s="22"/>
      <c r="D638" s="165"/>
      <c r="E638" s="643"/>
      <c r="F638" s="22"/>
      <c r="G638" s="22"/>
      <c r="H638" s="22"/>
      <c r="I638" s="644"/>
      <c r="J638" s="644"/>
      <c r="K638" s="644"/>
      <c r="L638" s="644"/>
      <c r="M638" s="644"/>
    </row>
    <row r="639" ht="20.25" customHeight="1">
      <c r="A639" s="394"/>
      <c r="B639" s="27"/>
      <c r="C639" s="14"/>
      <c r="D639" s="165"/>
      <c r="E639" s="638"/>
      <c r="F639" s="14"/>
      <c r="G639" s="14"/>
      <c r="H639" s="14"/>
      <c r="I639" s="640"/>
      <c r="J639" s="640"/>
      <c r="K639" s="640"/>
      <c r="L639" s="640"/>
      <c r="M639" s="640"/>
    </row>
    <row r="640" ht="20.25" customHeight="1">
      <c r="A640" s="393"/>
      <c r="B640" s="31"/>
      <c r="C640" s="22"/>
      <c r="D640" s="165"/>
      <c r="E640" s="643"/>
      <c r="F640" s="22"/>
      <c r="G640" s="22"/>
      <c r="H640" s="22"/>
      <c r="I640" s="644"/>
      <c r="J640" s="644"/>
      <c r="K640" s="644"/>
      <c r="L640" s="644"/>
      <c r="M640" s="644"/>
    </row>
    <row r="641" ht="20.25" customHeight="1">
      <c r="A641" s="394"/>
      <c r="B641" s="27"/>
      <c r="C641" s="14"/>
      <c r="D641" s="165"/>
      <c r="E641" s="638"/>
      <c r="F641" s="14"/>
      <c r="G641" s="14"/>
      <c r="H641" s="14"/>
      <c r="I641" s="640"/>
      <c r="J641" s="640"/>
      <c r="K641" s="640"/>
      <c r="L641" s="640"/>
      <c r="M641" s="640"/>
    </row>
    <row r="642" ht="20.25" customHeight="1">
      <c r="A642" s="393"/>
      <c r="B642" s="31"/>
      <c r="C642" s="22"/>
      <c r="D642" s="165"/>
      <c r="E642" s="643"/>
      <c r="F642" s="22"/>
      <c r="G642" s="22"/>
      <c r="H642" s="22"/>
      <c r="I642" s="644"/>
      <c r="J642" s="644"/>
      <c r="K642" s="644"/>
      <c r="L642" s="644"/>
      <c r="M642" s="644"/>
    </row>
    <row r="643" ht="20.25" customHeight="1">
      <c r="A643" s="394"/>
      <c r="B643" s="27"/>
      <c r="C643" s="14"/>
      <c r="D643" s="165"/>
      <c r="E643" s="638"/>
      <c r="F643" s="14"/>
      <c r="G643" s="14"/>
      <c r="H643" s="14"/>
      <c r="I643" s="640"/>
      <c r="J643" s="640"/>
      <c r="K643" s="640"/>
      <c r="L643" s="640"/>
      <c r="M643" s="640"/>
    </row>
    <row r="644" ht="20.25" customHeight="1">
      <c r="A644" s="393"/>
      <c r="B644" s="31"/>
      <c r="C644" s="22"/>
      <c r="D644" s="165"/>
      <c r="E644" s="643"/>
      <c r="F644" s="22"/>
      <c r="G644" s="22"/>
      <c r="H644" s="22"/>
      <c r="I644" s="644"/>
      <c r="J644" s="644"/>
      <c r="K644" s="644"/>
      <c r="L644" s="644"/>
      <c r="M644" s="644"/>
    </row>
    <row r="645" ht="20.25" customHeight="1">
      <c r="A645" s="394"/>
      <c r="B645" s="27"/>
      <c r="C645" s="14"/>
      <c r="D645" s="165"/>
      <c r="E645" s="638"/>
      <c r="F645" s="14"/>
      <c r="G645" s="14"/>
      <c r="H645" s="14"/>
      <c r="I645" s="640"/>
      <c r="J645" s="640"/>
      <c r="K645" s="640"/>
      <c r="L645" s="640"/>
      <c r="M645" s="640"/>
    </row>
    <row r="646" ht="20.25" customHeight="1">
      <c r="A646" s="393"/>
      <c r="B646" s="31"/>
      <c r="C646" s="22"/>
      <c r="D646" s="165"/>
      <c r="E646" s="643"/>
      <c r="F646" s="22"/>
      <c r="G646" s="22"/>
      <c r="H646" s="22"/>
      <c r="I646" s="644"/>
      <c r="J646" s="644"/>
      <c r="K646" s="644"/>
      <c r="L646" s="644"/>
      <c r="M646" s="644"/>
    </row>
    <row r="647" ht="20.25" customHeight="1">
      <c r="A647" s="394"/>
      <c r="B647" s="27"/>
      <c r="C647" s="14"/>
      <c r="D647" s="165"/>
      <c r="E647" s="638"/>
      <c r="F647" s="14"/>
      <c r="G647" s="14"/>
      <c r="H647" s="14"/>
      <c r="I647" s="640"/>
      <c r="J647" s="640"/>
      <c r="K647" s="640"/>
      <c r="L647" s="640"/>
      <c r="M647" s="640"/>
    </row>
    <row r="648" ht="20.25" customHeight="1">
      <c r="A648" s="393"/>
      <c r="B648" s="31"/>
      <c r="C648" s="22"/>
      <c r="D648" s="165"/>
      <c r="E648" s="643"/>
      <c r="F648" s="22"/>
      <c r="G648" s="22"/>
      <c r="H648" s="22"/>
      <c r="I648" s="644"/>
      <c r="J648" s="644"/>
      <c r="K648" s="644"/>
      <c r="L648" s="644"/>
      <c r="M648" s="644"/>
    </row>
    <row r="649" ht="20.25" customHeight="1">
      <c r="A649" s="394"/>
      <c r="B649" s="27"/>
      <c r="C649" s="14"/>
      <c r="D649" s="165"/>
      <c r="E649" s="638"/>
      <c r="F649" s="14"/>
      <c r="G649" s="14"/>
      <c r="H649" s="14"/>
      <c r="I649" s="640"/>
      <c r="J649" s="640"/>
      <c r="K649" s="640"/>
      <c r="L649" s="640"/>
      <c r="M649" s="640"/>
    </row>
    <row r="650" ht="20.25" customHeight="1">
      <c r="A650" s="393"/>
      <c r="B650" s="31"/>
      <c r="C650" s="22"/>
      <c r="D650" s="165"/>
      <c r="E650" s="643"/>
      <c r="F650" s="22"/>
      <c r="G650" s="22"/>
      <c r="H650" s="22"/>
      <c r="I650" s="644"/>
      <c r="J650" s="644"/>
      <c r="K650" s="644"/>
      <c r="L650" s="644"/>
      <c r="M650" s="644"/>
    </row>
    <row r="651" ht="20.25" customHeight="1">
      <c r="A651" s="394"/>
      <c r="B651" s="27"/>
      <c r="C651" s="14"/>
      <c r="D651" s="165"/>
      <c r="E651" s="638"/>
      <c r="F651" s="14"/>
      <c r="G651" s="14"/>
      <c r="H651" s="14"/>
      <c r="I651" s="640"/>
      <c r="J651" s="640"/>
      <c r="K651" s="640"/>
      <c r="L651" s="640"/>
      <c r="M651" s="640"/>
    </row>
    <row r="652" ht="20.25" customHeight="1">
      <c r="A652" s="393"/>
      <c r="B652" s="31"/>
      <c r="C652" s="22"/>
      <c r="D652" s="165"/>
      <c r="E652" s="643"/>
      <c r="F652" s="22"/>
      <c r="G652" s="22"/>
      <c r="H652" s="22"/>
      <c r="I652" s="644"/>
      <c r="J652" s="644"/>
      <c r="K652" s="644"/>
      <c r="L652" s="644"/>
      <c r="M652" s="644"/>
    </row>
    <row r="653" ht="20.25" customHeight="1">
      <c r="A653" s="394"/>
      <c r="B653" s="27"/>
      <c r="C653" s="14"/>
      <c r="D653" s="165"/>
      <c r="E653" s="638"/>
      <c r="F653" s="14"/>
      <c r="G653" s="14"/>
      <c r="H653" s="14"/>
      <c r="I653" s="640"/>
      <c r="J653" s="640"/>
      <c r="K653" s="640"/>
      <c r="L653" s="640"/>
      <c r="M653" s="640"/>
    </row>
    <row r="654" ht="20.25" customHeight="1">
      <c r="A654" s="393"/>
      <c r="B654" s="31"/>
      <c r="C654" s="22"/>
      <c r="D654" s="165"/>
      <c r="E654" s="643"/>
      <c r="F654" s="22"/>
      <c r="G654" s="22"/>
      <c r="H654" s="22"/>
      <c r="I654" s="644"/>
      <c r="J654" s="644"/>
      <c r="K654" s="644"/>
      <c r="L654" s="644"/>
      <c r="M654" s="644"/>
    </row>
    <row r="655" ht="20.25" customHeight="1">
      <c r="A655" s="394"/>
      <c r="B655" s="27"/>
      <c r="C655" s="14"/>
      <c r="D655" s="165"/>
      <c r="E655" s="638"/>
      <c r="F655" s="14"/>
      <c r="G655" s="14"/>
      <c r="H655" s="14"/>
      <c r="I655" s="640"/>
      <c r="J655" s="640"/>
      <c r="K655" s="640"/>
      <c r="L655" s="640"/>
      <c r="M655" s="640"/>
    </row>
    <row r="656" ht="20.25" customHeight="1">
      <c r="A656" s="393"/>
      <c r="B656" s="31"/>
      <c r="C656" s="22"/>
      <c r="D656" s="165"/>
      <c r="E656" s="643"/>
      <c r="F656" s="22"/>
      <c r="G656" s="22"/>
      <c r="H656" s="22"/>
      <c r="I656" s="644"/>
      <c r="J656" s="644"/>
      <c r="K656" s="644"/>
      <c r="L656" s="644"/>
      <c r="M656" s="644"/>
    </row>
    <row r="657" ht="20.25" customHeight="1">
      <c r="A657" s="394"/>
      <c r="B657" s="27"/>
      <c r="C657" s="14"/>
      <c r="D657" s="165"/>
      <c r="E657" s="638"/>
      <c r="F657" s="14"/>
      <c r="G657" s="14"/>
      <c r="H657" s="14"/>
      <c r="I657" s="640"/>
      <c r="J657" s="640"/>
      <c r="K657" s="640"/>
      <c r="L657" s="640"/>
      <c r="M657" s="640"/>
    </row>
    <row r="658" ht="20.25" customHeight="1">
      <c r="A658" s="393"/>
      <c r="B658" s="31"/>
      <c r="C658" s="22"/>
      <c r="D658" s="165"/>
      <c r="E658" s="643"/>
      <c r="F658" s="22"/>
      <c r="G658" s="22"/>
      <c r="H658" s="22"/>
      <c r="I658" s="644"/>
      <c r="J658" s="644"/>
      <c r="K658" s="644"/>
      <c r="L658" s="644"/>
      <c r="M658" s="644"/>
    </row>
    <row r="659" ht="20.25" customHeight="1">
      <c r="A659" s="394"/>
      <c r="B659" s="27"/>
      <c r="C659" s="14"/>
      <c r="D659" s="165"/>
      <c r="E659" s="638"/>
      <c r="F659" s="14"/>
      <c r="G659" s="14"/>
      <c r="H659" s="14"/>
      <c r="I659" s="640"/>
      <c r="J659" s="640"/>
      <c r="K659" s="640"/>
      <c r="L659" s="640"/>
      <c r="M659" s="640"/>
    </row>
    <row r="660" ht="20.25" customHeight="1">
      <c r="A660" s="393"/>
      <c r="B660" s="31"/>
      <c r="C660" s="22"/>
      <c r="D660" s="165"/>
      <c r="E660" s="643"/>
      <c r="F660" s="22"/>
      <c r="G660" s="22"/>
      <c r="H660" s="22"/>
      <c r="I660" s="644"/>
      <c r="J660" s="644"/>
      <c r="K660" s="644"/>
      <c r="L660" s="644"/>
      <c r="M660" s="644"/>
    </row>
    <row r="661" ht="20.25" customHeight="1">
      <c r="A661" s="394"/>
      <c r="B661" s="27"/>
      <c r="C661" s="14"/>
      <c r="D661" s="165"/>
      <c r="E661" s="638"/>
      <c r="F661" s="14"/>
      <c r="G661" s="14"/>
      <c r="H661" s="14"/>
      <c r="I661" s="640"/>
      <c r="J661" s="640"/>
      <c r="K661" s="640"/>
      <c r="L661" s="640"/>
      <c r="M661" s="640"/>
    </row>
    <row r="662" ht="20.25" customHeight="1">
      <c r="A662" s="393"/>
      <c r="B662" s="31"/>
      <c r="C662" s="22"/>
      <c r="D662" s="165"/>
      <c r="E662" s="643"/>
      <c r="F662" s="22"/>
      <c r="G662" s="22"/>
      <c r="H662" s="22"/>
      <c r="I662" s="644"/>
      <c r="J662" s="644"/>
      <c r="K662" s="644"/>
      <c r="L662" s="644"/>
      <c r="M662" s="644"/>
    </row>
    <row r="663" ht="20.25" customHeight="1">
      <c r="A663" s="394"/>
      <c r="B663" s="27"/>
      <c r="C663" s="14"/>
      <c r="D663" s="165"/>
      <c r="E663" s="638"/>
      <c r="F663" s="14"/>
      <c r="G663" s="14"/>
      <c r="H663" s="14"/>
      <c r="I663" s="640"/>
      <c r="J663" s="640"/>
      <c r="K663" s="640"/>
      <c r="L663" s="640"/>
      <c r="M663" s="640"/>
    </row>
    <row r="664" ht="20.25" customHeight="1">
      <c r="A664" s="393"/>
      <c r="B664" s="31"/>
      <c r="C664" s="22"/>
      <c r="D664" s="165"/>
      <c r="E664" s="643"/>
      <c r="F664" s="22"/>
      <c r="G664" s="22"/>
      <c r="H664" s="22"/>
      <c r="I664" s="644"/>
      <c r="J664" s="644"/>
      <c r="K664" s="644"/>
      <c r="L664" s="644"/>
      <c r="M664" s="644"/>
    </row>
    <row r="665" ht="20.25" customHeight="1">
      <c r="A665" s="394"/>
      <c r="B665" s="27"/>
      <c r="C665" s="14"/>
      <c r="D665" s="165"/>
      <c r="E665" s="638"/>
      <c r="F665" s="14"/>
      <c r="G665" s="14"/>
      <c r="H665" s="14"/>
      <c r="I665" s="640"/>
      <c r="J665" s="640"/>
      <c r="K665" s="640"/>
      <c r="L665" s="640"/>
      <c r="M665" s="640"/>
    </row>
    <row r="666" ht="20.25" customHeight="1">
      <c r="A666" s="393"/>
      <c r="B666" s="31"/>
      <c r="C666" s="22"/>
      <c r="D666" s="165"/>
      <c r="E666" s="643"/>
      <c r="F666" s="22"/>
      <c r="G666" s="22"/>
      <c r="H666" s="22"/>
      <c r="I666" s="644"/>
      <c r="J666" s="644"/>
      <c r="K666" s="644"/>
      <c r="L666" s="644"/>
      <c r="M666" s="644"/>
    </row>
    <row r="667" ht="20.25" customHeight="1">
      <c r="A667" s="394"/>
      <c r="B667" s="27"/>
      <c r="C667" s="14"/>
      <c r="D667" s="165"/>
      <c r="E667" s="638"/>
      <c r="F667" s="14"/>
      <c r="G667" s="14"/>
      <c r="H667" s="14"/>
      <c r="I667" s="640"/>
      <c r="J667" s="640"/>
      <c r="K667" s="640"/>
      <c r="L667" s="640"/>
      <c r="M667" s="640"/>
    </row>
    <row r="668" ht="20.25" customHeight="1">
      <c r="A668" s="393"/>
      <c r="B668" s="31"/>
      <c r="C668" s="22"/>
      <c r="D668" s="165"/>
      <c r="E668" s="643"/>
      <c r="F668" s="22"/>
      <c r="G668" s="22"/>
      <c r="H668" s="22"/>
      <c r="I668" s="644"/>
      <c r="J668" s="644"/>
      <c r="K668" s="644"/>
      <c r="L668" s="644"/>
      <c r="M668" s="644"/>
    </row>
    <row r="669" ht="20.25" customHeight="1">
      <c r="A669" s="394"/>
      <c r="B669" s="27"/>
      <c r="C669" s="14"/>
      <c r="D669" s="165"/>
      <c r="E669" s="638"/>
      <c r="F669" s="14"/>
      <c r="G669" s="14"/>
      <c r="H669" s="14"/>
      <c r="I669" s="640"/>
      <c r="J669" s="640"/>
      <c r="K669" s="640"/>
      <c r="L669" s="640"/>
      <c r="M669" s="640"/>
    </row>
    <row r="670" ht="20.25" customHeight="1">
      <c r="A670" s="393"/>
      <c r="B670" s="31"/>
      <c r="C670" s="22"/>
      <c r="D670" s="165"/>
      <c r="E670" s="643"/>
      <c r="F670" s="22"/>
      <c r="G670" s="22"/>
      <c r="H670" s="22"/>
      <c r="I670" s="644"/>
      <c r="J670" s="644"/>
      <c r="K670" s="644"/>
      <c r="L670" s="644"/>
      <c r="M670" s="644"/>
    </row>
    <row r="671" ht="20.25" customHeight="1">
      <c r="A671" s="394"/>
      <c r="B671" s="27"/>
      <c r="C671" s="14"/>
      <c r="D671" s="165"/>
      <c r="E671" s="638"/>
      <c r="F671" s="14"/>
      <c r="G671" s="14"/>
      <c r="H671" s="14"/>
      <c r="I671" s="640"/>
      <c r="J671" s="640"/>
      <c r="K671" s="640"/>
      <c r="L671" s="640"/>
      <c r="M671" s="640"/>
    </row>
    <row r="672" ht="20.25" customHeight="1">
      <c r="A672" s="393"/>
      <c r="B672" s="31"/>
      <c r="C672" s="22"/>
      <c r="D672" s="165"/>
      <c r="E672" s="643"/>
      <c r="F672" s="22"/>
      <c r="G672" s="22"/>
      <c r="H672" s="22"/>
      <c r="I672" s="644"/>
      <c r="J672" s="644"/>
      <c r="K672" s="644"/>
      <c r="L672" s="644"/>
      <c r="M672" s="644"/>
    </row>
    <row r="673" ht="20.25" customHeight="1">
      <c r="A673" s="394"/>
      <c r="B673" s="27"/>
      <c r="C673" s="14"/>
      <c r="D673" s="165"/>
      <c r="E673" s="638"/>
      <c r="F673" s="14"/>
      <c r="G673" s="14"/>
      <c r="H673" s="14"/>
      <c r="I673" s="640"/>
      <c r="J673" s="640"/>
      <c r="K673" s="640"/>
      <c r="L673" s="640"/>
      <c r="M673" s="640"/>
    </row>
    <row r="674" ht="20.25" customHeight="1">
      <c r="A674" s="393"/>
      <c r="B674" s="31"/>
      <c r="C674" s="22"/>
      <c r="D674" s="165"/>
      <c r="E674" s="643"/>
      <c r="F674" s="22"/>
      <c r="G674" s="22"/>
      <c r="H674" s="22"/>
      <c r="I674" s="644"/>
      <c r="J674" s="644"/>
      <c r="K674" s="644"/>
      <c r="L674" s="644"/>
      <c r="M674" s="644"/>
    </row>
    <row r="675" ht="20.25" customHeight="1">
      <c r="A675" s="394"/>
      <c r="B675" s="27"/>
      <c r="C675" s="14"/>
      <c r="D675" s="165"/>
      <c r="E675" s="638"/>
      <c r="F675" s="14"/>
      <c r="G675" s="14"/>
      <c r="H675" s="14"/>
      <c r="I675" s="640"/>
      <c r="J675" s="640"/>
      <c r="K675" s="640"/>
      <c r="L675" s="640"/>
      <c r="M675" s="640"/>
    </row>
    <row r="676" ht="20.25" customHeight="1">
      <c r="A676" s="393"/>
      <c r="B676" s="31"/>
      <c r="C676" s="22"/>
      <c r="D676" s="165"/>
      <c r="E676" s="643"/>
      <c r="F676" s="22"/>
      <c r="G676" s="22"/>
      <c r="H676" s="22"/>
      <c r="I676" s="644"/>
      <c r="J676" s="644"/>
      <c r="K676" s="644"/>
      <c r="L676" s="644"/>
      <c r="M676" s="644"/>
    </row>
    <row r="677" ht="20.25" customHeight="1">
      <c r="A677" s="394"/>
      <c r="B677" s="27"/>
      <c r="C677" s="14"/>
      <c r="D677" s="165"/>
      <c r="E677" s="638"/>
      <c r="F677" s="14"/>
      <c r="G677" s="14"/>
      <c r="H677" s="14"/>
      <c r="I677" s="640"/>
      <c r="J677" s="640"/>
      <c r="K677" s="640"/>
      <c r="L677" s="640"/>
      <c r="M677" s="640"/>
    </row>
    <row r="678" ht="20.25" customHeight="1">
      <c r="A678" s="393"/>
      <c r="B678" s="31"/>
      <c r="C678" s="22"/>
      <c r="D678" s="165"/>
      <c r="E678" s="643"/>
      <c r="F678" s="22"/>
      <c r="G678" s="22"/>
      <c r="H678" s="22"/>
      <c r="I678" s="644"/>
      <c r="J678" s="644"/>
      <c r="K678" s="644"/>
      <c r="L678" s="644"/>
      <c r="M678" s="644"/>
    </row>
    <row r="679" ht="20.25" customHeight="1">
      <c r="A679" s="394"/>
      <c r="B679" s="27"/>
      <c r="C679" s="14"/>
      <c r="D679" s="165"/>
      <c r="E679" s="638"/>
      <c r="F679" s="14"/>
      <c r="G679" s="14"/>
      <c r="H679" s="14"/>
      <c r="I679" s="640"/>
      <c r="J679" s="640"/>
      <c r="K679" s="640"/>
      <c r="L679" s="640"/>
      <c r="M679" s="640"/>
    </row>
    <row r="680" ht="20.25" customHeight="1">
      <c r="A680" s="393"/>
      <c r="B680" s="31"/>
      <c r="C680" s="22"/>
      <c r="D680" s="165"/>
      <c r="E680" s="643"/>
      <c r="F680" s="22"/>
      <c r="G680" s="22"/>
      <c r="H680" s="22"/>
      <c r="I680" s="644"/>
      <c r="J680" s="644"/>
      <c r="K680" s="644"/>
      <c r="L680" s="644"/>
      <c r="M680" s="644"/>
    </row>
    <row r="681" ht="20.25" customHeight="1">
      <c r="A681" s="394"/>
      <c r="B681" s="27"/>
      <c r="C681" s="14"/>
      <c r="D681" s="165"/>
      <c r="E681" s="638"/>
      <c r="F681" s="14"/>
      <c r="G681" s="14"/>
      <c r="H681" s="14"/>
      <c r="I681" s="640"/>
      <c r="J681" s="640"/>
      <c r="K681" s="640"/>
      <c r="L681" s="640"/>
      <c r="M681" s="640"/>
    </row>
    <row r="682" ht="20.25" customHeight="1">
      <c r="A682" s="393"/>
      <c r="B682" s="31"/>
      <c r="C682" s="22"/>
      <c r="D682" s="165"/>
      <c r="E682" s="643"/>
      <c r="F682" s="22"/>
      <c r="G682" s="22"/>
      <c r="H682" s="22"/>
      <c r="I682" s="644"/>
      <c r="J682" s="644"/>
      <c r="K682" s="644"/>
      <c r="L682" s="644"/>
      <c r="M682" s="644"/>
    </row>
    <row r="683" ht="20.25" customHeight="1">
      <c r="A683" s="394"/>
      <c r="B683" s="27"/>
      <c r="C683" s="14"/>
      <c r="D683" s="165"/>
      <c r="E683" s="638"/>
      <c r="F683" s="14"/>
      <c r="G683" s="14"/>
      <c r="H683" s="14"/>
      <c r="I683" s="640"/>
      <c r="J683" s="640"/>
      <c r="K683" s="640"/>
      <c r="L683" s="640"/>
      <c r="M683" s="640"/>
    </row>
    <row r="684" ht="20.25" customHeight="1">
      <c r="A684" s="393"/>
      <c r="B684" s="31"/>
      <c r="C684" s="22"/>
      <c r="D684" s="165"/>
      <c r="E684" s="643"/>
      <c r="F684" s="22"/>
      <c r="G684" s="22"/>
      <c r="H684" s="22"/>
      <c r="I684" s="644"/>
      <c r="J684" s="644"/>
      <c r="K684" s="644"/>
      <c r="L684" s="644"/>
      <c r="M684" s="644"/>
    </row>
    <row r="685" ht="20.25" customHeight="1">
      <c r="A685" s="394"/>
      <c r="B685" s="27"/>
      <c r="C685" s="14"/>
      <c r="D685" s="165"/>
      <c r="E685" s="638"/>
      <c r="F685" s="14"/>
      <c r="G685" s="14"/>
      <c r="H685" s="14"/>
      <c r="I685" s="640"/>
      <c r="J685" s="640"/>
      <c r="K685" s="640"/>
      <c r="L685" s="640"/>
      <c r="M685" s="640"/>
    </row>
    <row r="686" ht="20.25" customHeight="1">
      <c r="A686" s="393"/>
      <c r="B686" s="31"/>
      <c r="C686" s="22"/>
      <c r="D686" s="165"/>
      <c r="E686" s="643"/>
      <c r="F686" s="22"/>
      <c r="G686" s="22"/>
      <c r="H686" s="22"/>
      <c r="I686" s="644"/>
      <c r="J686" s="644"/>
      <c r="K686" s="644"/>
      <c r="L686" s="644"/>
      <c r="M686" s="644"/>
    </row>
    <row r="687" ht="20.25" customHeight="1">
      <c r="A687" s="394"/>
      <c r="B687" s="27"/>
      <c r="C687" s="14"/>
      <c r="D687" s="165"/>
      <c r="E687" s="638"/>
      <c r="F687" s="14"/>
      <c r="G687" s="14"/>
      <c r="H687" s="14"/>
      <c r="I687" s="640"/>
      <c r="J687" s="640"/>
      <c r="K687" s="640"/>
      <c r="L687" s="640"/>
      <c r="M687" s="640"/>
    </row>
    <row r="688" ht="20.25" customHeight="1">
      <c r="A688" s="393"/>
      <c r="B688" s="31"/>
      <c r="C688" s="22"/>
      <c r="D688" s="165"/>
      <c r="E688" s="643"/>
      <c r="F688" s="22"/>
      <c r="G688" s="22"/>
      <c r="H688" s="22"/>
      <c r="I688" s="644"/>
      <c r="J688" s="644"/>
      <c r="K688" s="644"/>
      <c r="L688" s="644"/>
      <c r="M688" s="644"/>
    </row>
    <row r="689" ht="20.25" customHeight="1">
      <c r="A689" s="394"/>
      <c r="B689" s="27"/>
      <c r="C689" s="14"/>
      <c r="D689" s="165"/>
      <c r="E689" s="638"/>
      <c r="F689" s="14"/>
      <c r="G689" s="14"/>
      <c r="H689" s="14"/>
      <c r="I689" s="640"/>
      <c r="J689" s="640"/>
      <c r="K689" s="640"/>
      <c r="L689" s="640"/>
      <c r="M689" s="640"/>
    </row>
    <row r="690" ht="20.25" customHeight="1">
      <c r="A690" s="393"/>
      <c r="B690" s="31"/>
      <c r="C690" s="22"/>
      <c r="D690" s="165"/>
      <c r="E690" s="643"/>
      <c r="F690" s="22"/>
      <c r="G690" s="22"/>
      <c r="H690" s="22"/>
      <c r="I690" s="644"/>
      <c r="J690" s="644"/>
      <c r="K690" s="644"/>
      <c r="L690" s="644"/>
      <c r="M690" s="644"/>
    </row>
    <row r="691" ht="20.25" customHeight="1">
      <c r="A691" s="394"/>
      <c r="B691" s="27"/>
      <c r="C691" s="14"/>
      <c r="D691" s="165"/>
      <c r="E691" s="638"/>
      <c r="F691" s="14"/>
      <c r="G691" s="14"/>
      <c r="H691" s="14"/>
      <c r="I691" s="640"/>
      <c r="J691" s="640"/>
      <c r="K691" s="640"/>
      <c r="L691" s="640"/>
      <c r="M691" s="640"/>
    </row>
    <row r="692" ht="20.25" customHeight="1">
      <c r="A692" s="393"/>
      <c r="B692" s="31"/>
      <c r="C692" s="22"/>
      <c r="D692" s="165"/>
      <c r="E692" s="643"/>
      <c r="F692" s="22"/>
      <c r="G692" s="22"/>
      <c r="H692" s="22"/>
      <c r="I692" s="644"/>
      <c r="J692" s="644"/>
      <c r="K692" s="644"/>
      <c r="L692" s="644"/>
      <c r="M692" s="644"/>
    </row>
    <row r="693" ht="20.25" customHeight="1">
      <c r="A693" s="394"/>
      <c r="B693" s="27"/>
      <c r="C693" s="14"/>
      <c r="D693" s="165"/>
      <c r="E693" s="638"/>
      <c r="F693" s="14"/>
      <c r="G693" s="14"/>
      <c r="H693" s="14"/>
      <c r="I693" s="640"/>
      <c r="J693" s="640"/>
      <c r="K693" s="640"/>
      <c r="L693" s="640"/>
      <c r="M693" s="640"/>
    </row>
    <row r="694" ht="20.25" customHeight="1">
      <c r="A694" s="393"/>
      <c r="B694" s="31"/>
      <c r="C694" s="22"/>
      <c r="D694" s="165"/>
      <c r="E694" s="643"/>
      <c r="F694" s="22"/>
      <c r="G694" s="22"/>
      <c r="H694" s="22"/>
      <c r="I694" s="644"/>
      <c r="J694" s="644"/>
      <c r="K694" s="644"/>
      <c r="L694" s="644"/>
      <c r="M694" s="644"/>
    </row>
    <row r="695" ht="20.25" customHeight="1">
      <c r="A695" s="394"/>
      <c r="B695" s="27"/>
      <c r="C695" s="14"/>
      <c r="D695" s="165"/>
      <c r="E695" s="638"/>
      <c r="F695" s="14"/>
      <c r="G695" s="14"/>
      <c r="H695" s="14"/>
      <c r="I695" s="640"/>
      <c r="J695" s="640"/>
      <c r="K695" s="640"/>
      <c r="L695" s="640"/>
      <c r="M695" s="640"/>
    </row>
    <row r="696" ht="20.25" customHeight="1">
      <c r="A696" s="393"/>
      <c r="B696" s="31"/>
      <c r="C696" s="22"/>
      <c r="D696" s="165"/>
      <c r="E696" s="643"/>
      <c r="F696" s="22"/>
      <c r="G696" s="22"/>
      <c r="H696" s="22"/>
      <c r="I696" s="644"/>
      <c r="J696" s="644"/>
      <c r="K696" s="644"/>
      <c r="L696" s="644"/>
      <c r="M696" s="644"/>
    </row>
    <row r="697" ht="20.25" customHeight="1">
      <c r="A697" s="394"/>
      <c r="B697" s="27"/>
      <c r="C697" s="14"/>
      <c r="D697" s="165"/>
      <c r="E697" s="638"/>
      <c r="F697" s="14"/>
      <c r="G697" s="14"/>
      <c r="H697" s="14"/>
      <c r="I697" s="640"/>
      <c r="J697" s="640"/>
      <c r="K697" s="640"/>
      <c r="L697" s="640"/>
      <c r="M697" s="640"/>
    </row>
    <row r="698" ht="20.25" customHeight="1">
      <c r="A698" s="393"/>
      <c r="B698" s="31"/>
      <c r="C698" s="22"/>
      <c r="D698" s="165"/>
      <c r="E698" s="643"/>
      <c r="F698" s="22"/>
      <c r="G698" s="22"/>
      <c r="H698" s="22"/>
      <c r="I698" s="644"/>
      <c r="J698" s="644"/>
      <c r="K698" s="644"/>
      <c r="L698" s="644"/>
      <c r="M698" s="644"/>
    </row>
    <row r="699" ht="20.25" customHeight="1">
      <c r="A699" s="394"/>
      <c r="B699" s="27"/>
      <c r="C699" s="14"/>
      <c r="D699" s="165"/>
      <c r="E699" s="638"/>
      <c r="F699" s="14"/>
      <c r="G699" s="14"/>
      <c r="H699" s="14"/>
      <c r="I699" s="640"/>
      <c r="J699" s="640"/>
      <c r="K699" s="640"/>
      <c r="L699" s="640"/>
      <c r="M699" s="640"/>
    </row>
    <row r="700" ht="20.25" customHeight="1">
      <c r="A700" s="393"/>
      <c r="B700" s="31"/>
      <c r="C700" s="22"/>
      <c r="D700" s="165"/>
      <c r="E700" s="643"/>
      <c r="F700" s="22"/>
      <c r="G700" s="22"/>
      <c r="H700" s="22"/>
      <c r="I700" s="644"/>
      <c r="J700" s="644"/>
      <c r="K700" s="644"/>
      <c r="L700" s="644"/>
      <c r="M700" s="644"/>
    </row>
    <row r="701" ht="20.25" customHeight="1">
      <c r="A701" s="394"/>
      <c r="B701" s="27"/>
      <c r="C701" s="14"/>
      <c r="D701" s="165"/>
      <c r="E701" s="638"/>
      <c r="F701" s="14"/>
      <c r="G701" s="14"/>
      <c r="H701" s="14"/>
      <c r="I701" s="640"/>
      <c r="J701" s="640"/>
      <c r="K701" s="640"/>
      <c r="L701" s="640"/>
      <c r="M701" s="640"/>
    </row>
    <row r="702" ht="20.25" customHeight="1">
      <c r="A702" s="393"/>
      <c r="B702" s="31"/>
      <c r="C702" s="22"/>
      <c r="D702" s="165"/>
      <c r="E702" s="643"/>
      <c r="F702" s="22"/>
      <c r="G702" s="22"/>
      <c r="H702" s="22"/>
      <c r="I702" s="644"/>
      <c r="J702" s="644"/>
      <c r="K702" s="644"/>
      <c r="L702" s="644"/>
      <c r="M702" s="644"/>
    </row>
    <row r="703" ht="20.25" customHeight="1">
      <c r="A703" s="394"/>
      <c r="B703" s="27"/>
      <c r="C703" s="14"/>
      <c r="D703" s="165"/>
      <c r="E703" s="638"/>
      <c r="F703" s="14"/>
      <c r="G703" s="14"/>
      <c r="H703" s="14"/>
      <c r="I703" s="640"/>
      <c r="J703" s="640"/>
      <c r="K703" s="640"/>
      <c r="L703" s="640"/>
      <c r="M703" s="640"/>
    </row>
    <row r="704" ht="20.25" customHeight="1">
      <c r="A704" s="393"/>
      <c r="B704" s="31"/>
      <c r="C704" s="22"/>
      <c r="D704" s="165"/>
      <c r="E704" s="643"/>
      <c r="F704" s="22"/>
      <c r="G704" s="22"/>
      <c r="H704" s="22"/>
      <c r="I704" s="644"/>
      <c r="J704" s="644"/>
      <c r="K704" s="644"/>
      <c r="L704" s="644"/>
      <c r="M704" s="644"/>
    </row>
    <row r="705" ht="20.25" customHeight="1">
      <c r="A705" s="394"/>
      <c r="B705" s="27"/>
      <c r="C705" s="14"/>
      <c r="D705" s="165"/>
      <c r="E705" s="638"/>
      <c r="F705" s="14"/>
      <c r="G705" s="14"/>
      <c r="H705" s="14"/>
      <c r="I705" s="640"/>
      <c r="J705" s="640"/>
      <c r="K705" s="640"/>
      <c r="L705" s="640"/>
      <c r="M705" s="640"/>
    </row>
    <row r="706" ht="20.25" customHeight="1">
      <c r="A706" s="393"/>
      <c r="B706" s="31"/>
      <c r="C706" s="22"/>
      <c r="D706" s="165"/>
      <c r="E706" s="643"/>
      <c r="F706" s="22"/>
      <c r="G706" s="22"/>
      <c r="H706" s="22"/>
      <c r="I706" s="644"/>
      <c r="J706" s="644"/>
      <c r="K706" s="644"/>
      <c r="L706" s="644"/>
      <c r="M706" s="644"/>
    </row>
    <row r="707" ht="20.25" customHeight="1">
      <c r="A707" s="394"/>
      <c r="B707" s="27"/>
      <c r="C707" s="14"/>
      <c r="D707" s="165"/>
      <c r="E707" s="638"/>
      <c r="F707" s="14"/>
      <c r="G707" s="14"/>
      <c r="H707" s="14"/>
      <c r="I707" s="640"/>
      <c r="J707" s="640"/>
      <c r="K707" s="640"/>
      <c r="L707" s="640"/>
      <c r="M707" s="640"/>
    </row>
    <row r="708" ht="20.25" customHeight="1">
      <c r="A708" s="393"/>
      <c r="B708" s="31"/>
      <c r="C708" s="22"/>
      <c r="D708" s="165"/>
      <c r="E708" s="643"/>
      <c r="F708" s="22"/>
      <c r="G708" s="22"/>
      <c r="H708" s="22"/>
      <c r="I708" s="644"/>
      <c r="J708" s="644"/>
      <c r="K708" s="644"/>
      <c r="L708" s="644"/>
      <c r="M708" s="644"/>
    </row>
    <row r="709" ht="20.25" customHeight="1">
      <c r="A709" s="394"/>
      <c r="B709" s="27"/>
      <c r="C709" s="14"/>
      <c r="D709" s="165"/>
      <c r="E709" s="638"/>
      <c r="F709" s="14"/>
      <c r="G709" s="14"/>
      <c r="H709" s="14"/>
      <c r="I709" s="640"/>
      <c r="J709" s="640"/>
      <c r="K709" s="640"/>
      <c r="L709" s="640"/>
      <c r="M709" s="640"/>
    </row>
    <row r="710" ht="20.25" customHeight="1">
      <c r="A710" s="393"/>
      <c r="B710" s="31"/>
      <c r="C710" s="22"/>
      <c r="D710" s="165"/>
      <c r="E710" s="643"/>
      <c r="F710" s="22"/>
      <c r="G710" s="22"/>
      <c r="H710" s="22"/>
      <c r="I710" s="644"/>
      <c r="J710" s="644"/>
      <c r="K710" s="644"/>
      <c r="L710" s="644"/>
      <c r="M710" s="644"/>
    </row>
    <row r="711" ht="20.25" customHeight="1">
      <c r="A711" s="394"/>
      <c r="B711" s="27"/>
      <c r="C711" s="14"/>
      <c r="D711" s="165"/>
      <c r="E711" s="638"/>
      <c r="F711" s="14"/>
      <c r="G711" s="14"/>
      <c r="H711" s="14"/>
      <c r="I711" s="640"/>
      <c r="J711" s="640"/>
      <c r="K711" s="640"/>
      <c r="L711" s="640"/>
      <c r="M711" s="640"/>
    </row>
    <row r="712" ht="20.25" customHeight="1">
      <c r="A712" s="393"/>
      <c r="B712" s="31"/>
      <c r="C712" s="22"/>
      <c r="D712" s="165"/>
      <c r="E712" s="643"/>
      <c r="F712" s="22"/>
      <c r="G712" s="22"/>
      <c r="H712" s="22"/>
      <c r="I712" s="644"/>
      <c r="J712" s="644"/>
      <c r="K712" s="644"/>
      <c r="L712" s="644"/>
      <c r="M712" s="644"/>
    </row>
    <row r="713" ht="20.25" customHeight="1">
      <c r="A713" s="394"/>
      <c r="B713" s="27"/>
      <c r="C713" s="14"/>
      <c r="D713" s="165"/>
      <c r="E713" s="638"/>
      <c r="F713" s="14"/>
      <c r="G713" s="14"/>
      <c r="H713" s="14"/>
      <c r="I713" s="640"/>
      <c r="J713" s="640"/>
      <c r="K713" s="640"/>
      <c r="L713" s="640"/>
      <c r="M713" s="640"/>
    </row>
    <row r="714" ht="20.25" customHeight="1">
      <c r="A714" s="393"/>
      <c r="B714" s="31"/>
      <c r="C714" s="22"/>
      <c r="D714" s="165"/>
      <c r="E714" s="643"/>
      <c r="F714" s="22"/>
      <c r="G714" s="22"/>
      <c r="H714" s="22"/>
      <c r="I714" s="644"/>
      <c r="J714" s="644"/>
      <c r="K714" s="644"/>
      <c r="L714" s="644"/>
      <c r="M714" s="644"/>
    </row>
    <row r="715" ht="20.25" customHeight="1">
      <c r="A715" s="394"/>
      <c r="B715" s="27"/>
      <c r="C715" s="14"/>
      <c r="D715" s="165"/>
      <c r="E715" s="638"/>
      <c r="F715" s="14"/>
      <c r="G715" s="14"/>
      <c r="H715" s="14"/>
      <c r="I715" s="640"/>
      <c r="J715" s="640"/>
      <c r="K715" s="640"/>
      <c r="L715" s="640"/>
      <c r="M715" s="640"/>
    </row>
    <row r="716" ht="20.25" customHeight="1">
      <c r="A716" s="393"/>
      <c r="B716" s="31"/>
      <c r="C716" s="22"/>
      <c r="D716" s="165"/>
      <c r="E716" s="643"/>
      <c r="F716" s="22"/>
      <c r="G716" s="22"/>
      <c r="H716" s="22"/>
      <c r="I716" s="644"/>
      <c r="J716" s="644"/>
      <c r="K716" s="644"/>
      <c r="L716" s="644"/>
      <c r="M716" s="644"/>
    </row>
    <row r="717" ht="20.25" customHeight="1">
      <c r="A717" s="394"/>
      <c r="B717" s="27"/>
      <c r="C717" s="14"/>
      <c r="D717" s="165"/>
      <c r="E717" s="638"/>
      <c r="F717" s="14"/>
      <c r="G717" s="14"/>
      <c r="H717" s="14"/>
      <c r="I717" s="640"/>
      <c r="J717" s="640"/>
      <c r="K717" s="640"/>
      <c r="L717" s="640"/>
      <c r="M717" s="640"/>
    </row>
    <row r="718" ht="20.25" customHeight="1">
      <c r="A718" s="393"/>
      <c r="B718" s="31"/>
      <c r="C718" s="22"/>
      <c r="D718" s="165"/>
      <c r="E718" s="643"/>
      <c r="F718" s="22"/>
      <c r="G718" s="22"/>
      <c r="H718" s="22"/>
      <c r="I718" s="644"/>
      <c r="J718" s="644"/>
      <c r="K718" s="644"/>
      <c r="L718" s="644"/>
      <c r="M718" s="644"/>
    </row>
    <row r="719" ht="20.25" customHeight="1">
      <c r="A719" s="394"/>
      <c r="B719" s="27"/>
      <c r="C719" s="14"/>
      <c r="D719" s="165"/>
      <c r="E719" s="638"/>
      <c r="F719" s="14"/>
      <c r="G719" s="14"/>
      <c r="H719" s="14"/>
      <c r="I719" s="640"/>
      <c r="J719" s="640"/>
      <c r="K719" s="640"/>
      <c r="L719" s="640"/>
      <c r="M719" s="640"/>
    </row>
    <row r="720" ht="20.25" customHeight="1">
      <c r="A720" s="393"/>
      <c r="B720" s="31"/>
      <c r="C720" s="22"/>
      <c r="D720" s="165"/>
      <c r="E720" s="643"/>
      <c r="F720" s="22"/>
      <c r="G720" s="22"/>
      <c r="H720" s="22"/>
      <c r="I720" s="644"/>
      <c r="J720" s="644"/>
      <c r="K720" s="644"/>
      <c r="L720" s="644"/>
      <c r="M720" s="644"/>
    </row>
    <row r="721" ht="20.25" customHeight="1">
      <c r="A721" s="394"/>
      <c r="B721" s="27"/>
      <c r="C721" s="14"/>
      <c r="D721" s="165"/>
      <c r="E721" s="638"/>
      <c r="F721" s="14"/>
      <c r="G721" s="14"/>
      <c r="H721" s="14"/>
      <c r="I721" s="640"/>
      <c r="J721" s="640"/>
      <c r="K721" s="640"/>
      <c r="L721" s="640"/>
      <c r="M721" s="640"/>
    </row>
    <row r="722" ht="20.25" customHeight="1">
      <c r="A722" s="393"/>
      <c r="B722" s="31"/>
      <c r="C722" s="22"/>
      <c r="D722" s="165"/>
      <c r="E722" s="643"/>
      <c r="F722" s="22"/>
      <c r="G722" s="22"/>
      <c r="H722" s="22"/>
      <c r="I722" s="644"/>
      <c r="J722" s="644"/>
      <c r="K722" s="644"/>
      <c r="L722" s="644"/>
      <c r="M722" s="644"/>
    </row>
    <row r="723" ht="20.25" customHeight="1">
      <c r="A723" s="394"/>
      <c r="B723" s="27"/>
      <c r="C723" s="14"/>
      <c r="D723" s="165"/>
      <c r="E723" s="638"/>
      <c r="F723" s="14"/>
      <c r="G723" s="14"/>
      <c r="H723" s="14"/>
      <c r="I723" s="640"/>
      <c r="J723" s="640"/>
      <c r="K723" s="640"/>
      <c r="L723" s="640"/>
      <c r="M723" s="640"/>
    </row>
    <row r="724" ht="20.25" customHeight="1">
      <c r="A724" s="393"/>
      <c r="B724" s="31"/>
      <c r="C724" s="22"/>
      <c r="D724" s="165"/>
      <c r="E724" s="643"/>
      <c r="F724" s="22"/>
      <c r="G724" s="22"/>
      <c r="H724" s="22"/>
      <c r="I724" s="644"/>
      <c r="J724" s="644"/>
      <c r="K724" s="644"/>
      <c r="L724" s="644"/>
      <c r="M724" s="644"/>
    </row>
    <row r="725" ht="20.25" customHeight="1">
      <c r="A725" s="394"/>
      <c r="B725" s="27"/>
      <c r="C725" s="14"/>
      <c r="D725" s="165"/>
      <c r="E725" s="638"/>
      <c r="F725" s="14"/>
      <c r="G725" s="14"/>
      <c r="H725" s="14"/>
      <c r="I725" s="640"/>
      <c r="J725" s="640"/>
      <c r="K725" s="640"/>
      <c r="L725" s="640"/>
      <c r="M725" s="640"/>
    </row>
    <row r="726" ht="20.25" customHeight="1">
      <c r="A726" s="393"/>
      <c r="B726" s="31"/>
      <c r="C726" s="22"/>
      <c r="D726" s="165"/>
      <c r="E726" s="643"/>
      <c r="F726" s="22"/>
      <c r="G726" s="22"/>
      <c r="H726" s="22"/>
      <c r="I726" s="644"/>
      <c r="J726" s="644"/>
      <c r="K726" s="644"/>
      <c r="L726" s="644"/>
      <c r="M726" s="644"/>
    </row>
    <row r="727" ht="20.25" customHeight="1">
      <c r="A727" s="394"/>
      <c r="B727" s="27"/>
      <c r="C727" s="14"/>
      <c r="D727" s="165"/>
      <c r="E727" s="638"/>
      <c r="F727" s="14"/>
      <c r="G727" s="14"/>
      <c r="H727" s="14"/>
      <c r="I727" s="640"/>
      <c r="J727" s="640"/>
      <c r="K727" s="640"/>
      <c r="L727" s="640"/>
      <c r="M727" s="640"/>
    </row>
    <row r="728" ht="20.25" customHeight="1">
      <c r="A728" s="393"/>
      <c r="B728" s="31"/>
      <c r="C728" s="22"/>
      <c r="D728" s="165"/>
      <c r="E728" s="643"/>
      <c r="F728" s="22"/>
      <c r="G728" s="22"/>
      <c r="H728" s="22"/>
      <c r="I728" s="644"/>
      <c r="J728" s="644"/>
      <c r="K728" s="644"/>
      <c r="L728" s="644"/>
      <c r="M728" s="644"/>
    </row>
    <row r="729" ht="20.25" customHeight="1">
      <c r="A729" s="394"/>
      <c r="B729" s="27"/>
      <c r="C729" s="14"/>
      <c r="D729" s="165"/>
      <c r="E729" s="638"/>
      <c r="F729" s="14"/>
      <c r="G729" s="14"/>
      <c r="H729" s="14"/>
      <c r="I729" s="640"/>
      <c r="J729" s="640"/>
      <c r="K729" s="640"/>
      <c r="L729" s="640"/>
      <c r="M729" s="640"/>
    </row>
    <row r="730" ht="20.25" customHeight="1">
      <c r="A730" s="393"/>
      <c r="B730" s="31"/>
      <c r="C730" s="22"/>
      <c r="D730" s="165"/>
      <c r="E730" s="643"/>
      <c r="F730" s="22"/>
      <c r="G730" s="22"/>
      <c r="H730" s="22"/>
      <c r="I730" s="644"/>
      <c r="J730" s="644"/>
      <c r="K730" s="644"/>
      <c r="L730" s="644"/>
      <c r="M730" s="644"/>
    </row>
    <row r="731" ht="20.25" customHeight="1">
      <c r="A731" s="394"/>
      <c r="B731" s="27"/>
      <c r="C731" s="14"/>
      <c r="D731" s="165"/>
      <c r="E731" s="638"/>
      <c r="F731" s="14"/>
      <c r="G731" s="14"/>
      <c r="H731" s="14"/>
      <c r="I731" s="640"/>
      <c r="J731" s="640"/>
      <c r="K731" s="640"/>
      <c r="L731" s="640"/>
      <c r="M731" s="640"/>
    </row>
    <row r="732" ht="20.25" customHeight="1">
      <c r="A732" s="393"/>
      <c r="B732" s="31"/>
      <c r="C732" s="22"/>
      <c r="D732" s="165"/>
      <c r="E732" s="643"/>
      <c r="F732" s="22"/>
      <c r="G732" s="22"/>
      <c r="H732" s="22"/>
      <c r="I732" s="644"/>
      <c r="J732" s="644"/>
      <c r="K732" s="644"/>
      <c r="L732" s="644"/>
      <c r="M732" s="644"/>
    </row>
    <row r="733" ht="20.25" customHeight="1">
      <c r="A733" s="394"/>
      <c r="B733" s="27"/>
      <c r="C733" s="14"/>
      <c r="D733" s="165"/>
      <c r="E733" s="638"/>
      <c r="F733" s="14"/>
      <c r="G733" s="14"/>
      <c r="H733" s="14"/>
      <c r="I733" s="640"/>
      <c r="J733" s="640"/>
      <c r="K733" s="640"/>
      <c r="L733" s="640"/>
      <c r="M733" s="640"/>
    </row>
    <row r="734" ht="20.25" customHeight="1">
      <c r="A734" s="393"/>
      <c r="B734" s="31"/>
      <c r="C734" s="22"/>
      <c r="D734" s="165"/>
      <c r="E734" s="643"/>
      <c r="F734" s="22"/>
      <c r="G734" s="22"/>
      <c r="H734" s="22"/>
      <c r="I734" s="644"/>
      <c r="J734" s="644"/>
      <c r="K734" s="644"/>
      <c r="L734" s="644"/>
      <c r="M734" s="644"/>
    </row>
    <row r="735" ht="20.25" customHeight="1">
      <c r="A735" s="394"/>
      <c r="B735" s="27"/>
      <c r="C735" s="14"/>
      <c r="D735" s="165"/>
      <c r="E735" s="638"/>
      <c r="F735" s="14"/>
      <c r="G735" s="14"/>
      <c r="H735" s="14"/>
      <c r="I735" s="640"/>
      <c r="J735" s="640"/>
      <c r="K735" s="640"/>
      <c r="L735" s="640"/>
      <c r="M735" s="640"/>
    </row>
    <row r="736" ht="20.25" customHeight="1">
      <c r="A736" s="393"/>
      <c r="B736" s="31"/>
      <c r="C736" s="22"/>
      <c r="D736" s="165"/>
      <c r="E736" s="643"/>
      <c r="F736" s="22"/>
      <c r="G736" s="22"/>
      <c r="H736" s="22"/>
      <c r="I736" s="644"/>
      <c r="J736" s="644"/>
      <c r="K736" s="644"/>
      <c r="L736" s="644"/>
      <c r="M736" s="644"/>
    </row>
    <row r="737" ht="20.25" customHeight="1">
      <c r="A737" s="394"/>
      <c r="B737" s="27"/>
      <c r="C737" s="14"/>
      <c r="D737" s="165"/>
      <c r="E737" s="638"/>
      <c r="F737" s="14"/>
      <c r="G737" s="14"/>
      <c r="H737" s="14"/>
      <c r="I737" s="640"/>
      <c r="J737" s="640"/>
      <c r="K737" s="640"/>
      <c r="L737" s="640"/>
      <c r="M737" s="640"/>
    </row>
    <row r="738" ht="20.25" customHeight="1">
      <c r="A738" s="393"/>
      <c r="B738" s="31"/>
      <c r="C738" s="22"/>
      <c r="D738" s="165"/>
      <c r="E738" s="643"/>
      <c r="F738" s="22"/>
      <c r="G738" s="22"/>
      <c r="H738" s="22"/>
      <c r="I738" s="644"/>
      <c r="J738" s="644"/>
      <c r="K738" s="644"/>
      <c r="L738" s="644"/>
      <c r="M738" s="644"/>
    </row>
    <row r="739" ht="20.25" customHeight="1">
      <c r="A739" s="394"/>
      <c r="B739" s="27"/>
      <c r="C739" s="14"/>
      <c r="D739" s="165"/>
      <c r="E739" s="638"/>
      <c r="F739" s="14"/>
      <c r="G739" s="14"/>
      <c r="H739" s="14"/>
      <c r="I739" s="640"/>
      <c r="J739" s="640"/>
      <c r="K739" s="640"/>
      <c r="L739" s="640"/>
      <c r="M739" s="640"/>
    </row>
    <row r="740" ht="20.25" customHeight="1">
      <c r="A740" s="393"/>
      <c r="B740" s="31"/>
      <c r="C740" s="22"/>
      <c r="D740" s="165"/>
      <c r="E740" s="643"/>
      <c r="F740" s="22"/>
      <c r="G740" s="22"/>
      <c r="H740" s="22"/>
      <c r="I740" s="644"/>
      <c r="J740" s="644"/>
      <c r="K740" s="644"/>
      <c r="L740" s="644"/>
      <c r="M740" s="644"/>
    </row>
    <row r="741" ht="20.25" customHeight="1">
      <c r="A741" s="394"/>
      <c r="B741" s="27"/>
      <c r="C741" s="14"/>
      <c r="D741" s="165"/>
      <c r="E741" s="638"/>
      <c r="F741" s="14"/>
      <c r="G741" s="14"/>
      <c r="H741" s="14"/>
      <c r="I741" s="640"/>
      <c r="J741" s="640"/>
      <c r="K741" s="640"/>
      <c r="L741" s="640"/>
      <c r="M741" s="640"/>
    </row>
    <row r="742" ht="20.25" customHeight="1">
      <c r="A742" s="393"/>
      <c r="B742" s="31"/>
      <c r="C742" s="22"/>
      <c r="D742" s="165"/>
      <c r="E742" s="643"/>
      <c r="F742" s="22"/>
      <c r="G742" s="22"/>
      <c r="H742" s="22"/>
      <c r="I742" s="644"/>
      <c r="J742" s="644"/>
      <c r="K742" s="644"/>
      <c r="L742" s="644"/>
      <c r="M742" s="644"/>
    </row>
    <row r="743" ht="20.25" customHeight="1">
      <c r="A743" s="394"/>
      <c r="B743" s="27"/>
      <c r="C743" s="14"/>
      <c r="D743" s="165"/>
      <c r="E743" s="638"/>
      <c r="F743" s="14"/>
      <c r="G743" s="14"/>
      <c r="H743" s="14"/>
      <c r="I743" s="640"/>
      <c r="J743" s="640"/>
      <c r="K743" s="640"/>
      <c r="L743" s="640"/>
      <c r="M743" s="640"/>
    </row>
    <row r="744" ht="20.25" customHeight="1">
      <c r="A744" s="393"/>
      <c r="B744" s="31"/>
      <c r="C744" s="22"/>
      <c r="D744" s="165"/>
      <c r="E744" s="643"/>
      <c r="F744" s="22"/>
      <c r="G744" s="22"/>
      <c r="H744" s="22"/>
      <c r="I744" s="644"/>
      <c r="J744" s="644"/>
      <c r="K744" s="644"/>
      <c r="L744" s="644"/>
      <c r="M744" s="644"/>
    </row>
    <row r="745" ht="20.25" customHeight="1">
      <c r="A745" s="394"/>
      <c r="B745" s="27"/>
      <c r="C745" s="14"/>
      <c r="D745" s="165"/>
      <c r="E745" s="638"/>
      <c r="F745" s="14"/>
      <c r="G745" s="14"/>
      <c r="H745" s="14"/>
      <c r="I745" s="640"/>
      <c r="J745" s="640"/>
      <c r="K745" s="640"/>
      <c r="L745" s="640"/>
      <c r="M745" s="640"/>
    </row>
    <row r="746" ht="20.25" customHeight="1">
      <c r="A746" s="393"/>
      <c r="B746" s="31"/>
      <c r="C746" s="22"/>
      <c r="D746" s="165"/>
      <c r="E746" s="643"/>
      <c r="F746" s="22"/>
      <c r="G746" s="22"/>
      <c r="H746" s="22"/>
      <c r="I746" s="644"/>
      <c r="J746" s="644"/>
      <c r="K746" s="644"/>
      <c r="L746" s="644"/>
      <c r="M746" s="644"/>
    </row>
    <row r="747" ht="20.25" customHeight="1">
      <c r="A747" s="394"/>
      <c r="B747" s="27"/>
      <c r="C747" s="14"/>
      <c r="D747" s="165"/>
      <c r="E747" s="638"/>
      <c r="F747" s="14"/>
      <c r="G747" s="14"/>
      <c r="H747" s="14"/>
      <c r="I747" s="640"/>
      <c r="J747" s="640"/>
      <c r="K747" s="640"/>
      <c r="L747" s="640"/>
      <c r="M747" s="640"/>
    </row>
    <row r="748" ht="20.25" customHeight="1">
      <c r="A748" s="393"/>
      <c r="B748" s="31"/>
      <c r="C748" s="22"/>
      <c r="D748" s="165"/>
      <c r="E748" s="643"/>
      <c r="F748" s="22"/>
      <c r="G748" s="22"/>
      <c r="H748" s="22"/>
      <c r="I748" s="644"/>
      <c r="J748" s="644"/>
      <c r="K748" s="644"/>
      <c r="L748" s="644"/>
      <c r="M748" s="644"/>
    </row>
    <row r="749" ht="20.25" customHeight="1">
      <c r="A749" s="394"/>
      <c r="B749" s="27"/>
      <c r="C749" s="14"/>
      <c r="D749" s="165"/>
      <c r="E749" s="638"/>
      <c r="F749" s="14"/>
      <c r="G749" s="14"/>
      <c r="H749" s="14"/>
      <c r="I749" s="640"/>
      <c r="J749" s="640"/>
      <c r="K749" s="640"/>
      <c r="L749" s="640"/>
      <c r="M749" s="640"/>
    </row>
    <row r="750" ht="20.25" customHeight="1">
      <c r="A750" s="393"/>
      <c r="B750" s="31"/>
      <c r="C750" s="22"/>
      <c r="D750" s="165"/>
      <c r="E750" s="643"/>
      <c r="F750" s="22"/>
      <c r="G750" s="22"/>
      <c r="H750" s="22"/>
      <c r="I750" s="644"/>
      <c r="J750" s="644"/>
      <c r="K750" s="644"/>
      <c r="L750" s="644"/>
      <c r="M750" s="644"/>
    </row>
    <row r="751" ht="20.25" customHeight="1">
      <c r="A751" s="394"/>
      <c r="B751" s="27"/>
      <c r="C751" s="14"/>
      <c r="D751" s="165"/>
      <c r="E751" s="638"/>
      <c r="F751" s="14"/>
      <c r="G751" s="14"/>
      <c r="H751" s="14"/>
      <c r="I751" s="640"/>
      <c r="J751" s="640"/>
      <c r="K751" s="640"/>
      <c r="L751" s="640"/>
      <c r="M751" s="640"/>
    </row>
    <row r="752" ht="20.25" customHeight="1">
      <c r="A752" s="393"/>
      <c r="B752" s="31"/>
      <c r="C752" s="22"/>
      <c r="D752" s="165"/>
      <c r="E752" s="643"/>
      <c r="F752" s="22"/>
      <c r="G752" s="22"/>
      <c r="H752" s="22"/>
      <c r="I752" s="644"/>
      <c r="J752" s="644"/>
      <c r="K752" s="644"/>
      <c r="L752" s="644"/>
      <c r="M752" s="644"/>
    </row>
    <row r="753" ht="20.25" customHeight="1">
      <c r="A753" s="394"/>
      <c r="B753" s="27"/>
      <c r="C753" s="14"/>
      <c r="D753" s="165"/>
      <c r="E753" s="638"/>
      <c r="F753" s="14"/>
      <c r="G753" s="14"/>
      <c r="H753" s="14"/>
      <c r="I753" s="640"/>
      <c r="J753" s="640"/>
      <c r="K753" s="640"/>
      <c r="L753" s="640"/>
      <c r="M753" s="640"/>
    </row>
    <row r="754" ht="20.25" customHeight="1">
      <c r="A754" s="393"/>
      <c r="B754" s="31"/>
      <c r="C754" s="22"/>
      <c r="D754" s="165"/>
      <c r="E754" s="643"/>
      <c r="F754" s="22"/>
      <c r="G754" s="22"/>
      <c r="H754" s="22"/>
      <c r="I754" s="644"/>
      <c r="J754" s="644"/>
      <c r="K754" s="644"/>
      <c r="L754" s="644"/>
      <c r="M754" s="644"/>
    </row>
    <row r="755" ht="20.25" customHeight="1">
      <c r="A755" s="394"/>
      <c r="B755" s="27"/>
      <c r="C755" s="14"/>
      <c r="D755" s="165"/>
      <c r="E755" s="638"/>
      <c r="F755" s="14"/>
      <c r="G755" s="14"/>
      <c r="H755" s="14"/>
      <c r="I755" s="640"/>
      <c r="J755" s="640"/>
      <c r="K755" s="640"/>
      <c r="L755" s="640"/>
      <c r="M755" s="640"/>
    </row>
    <row r="756" ht="20.25" customHeight="1">
      <c r="A756" s="393"/>
      <c r="B756" s="31"/>
      <c r="C756" s="22"/>
      <c r="D756" s="165"/>
      <c r="E756" s="643"/>
      <c r="F756" s="22"/>
      <c r="G756" s="22"/>
      <c r="H756" s="22"/>
      <c r="I756" s="644"/>
      <c r="J756" s="644"/>
      <c r="K756" s="644"/>
      <c r="L756" s="644"/>
      <c r="M756" s="644"/>
    </row>
    <row r="757" ht="20.25" customHeight="1">
      <c r="A757" s="394"/>
      <c r="B757" s="27"/>
      <c r="C757" s="14"/>
      <c r="D757" s="165"/>
      <c r="E757" s="638"/>
      <c r="F757" s="14"/>
      <c r="G757" s="14"/>
      <c r="H757" s="14"/>
      <c r="I757" s="640"/>
      <c r="J757" s="640"/>
      <c r="K757" s="640"/>
      <c r="L757" s="640"/>
      <c r="M757" s="640"/>
    </row>
    <row r="758" ht="20.25" customHeight="1">
      <c r="A758" s="393"/>
      <c r="B758" s="31"/>
      <c r="C758" s="22"/>
      <c r="D758" s="165"/>
      <c r="E758" s="643"/>
      <c r="F758" s="22"/>
      <c r="G758" s="22"/>
      <c r="H758" s="22"/>
      <c r="I758" s="644"/>
      <c r="J758" s="644"/>
      <c r="K758" s="644"/>
      <c r="L758" s="644"/>
      <c r="M758" s="644"/>
    </row>
    <row r="759" ht="20.25" customHeight="1">
      <c r="A759" s="394"/>
      <c r="B759" s="27"/>
      <c r="C759" s="14"/>
      <c r="D759" s="165"/>
      <c r="E759" s="638"/>
      <c r="F759" s="14"/>
      <c r="G759" s="14"/>
      <c r="H759" s="14"/>
      <c r="I759" s="640"/>
      <c r="J759" s="640"/>
      <c r="K759" s="640"/>
      <c r="L759" s="640"/>
      <c r="M759" s="640"/>
    </row>
    <row r="760" ht="20.25" customHeight="1">
      <c r="A760" s="393"/>
      <c r="B760" s="31"/>
      <c r="C760" s="22"/>
      <c r="D760" s="165"/>
      <c r="E760" s="643"/>
      <c r="F760" s="22"/>
      <c r="G760" s="22"/>
      <c r="H760" s="22"/>
      <c r="I760" s="644"/>
      <c r="J760" s="644"/>
      <c r="K760" s="644"/>
      <c r="L760" s="644"/>
      <c r="M760" s="644"/>
    </row>
    <row r="761" ht="20.25" customHeight="1">
      <c r="A761" s="394"/>
      <c r="B761" s="27"/>
      <c r="C761" s="14"/>
      <c r="D761" s="165"/>
      <c r="E761" s="638"/>
      <c r="F761" s="14"/>
      <c r="G761" s="14"/>
      <c r="H761" s="14"/>
      <c r="I761" s="640"/>
      <c r="J761" s="640"/>
      <c r="K761" s="640"/>
      <c r="L761" s="640"/>
      <c r="M761" s="640"/>
    </row>
    <row r="762" ht="20.25" customHeight="1">
      <c r="A762" s="393"/>
      <c r="B762" s="31"/>
      <c r="C762" s="22"/>
      <c r="D762" s="165"/>
      <c r="E762" s="643"/>
      <c r="F762" s="22"/>
      <c r="G762" s="22"/>
      <c r="H762" s="22"/>
      <c r="I762" s="644"/>
      <c r="J762" s="644"/>
      <c r="K762" s="644"/>
      <c r="L762" s="644"/>
      <c r="M762" s="644"/>
    </row>
    <row r="763" ht="20.25" customHeight="1">
      <c r="A763" s="394"/>
      <c r="B763" s="27"/>
      <c r="C763" s="14"/>
      <c r="D763" s="165"/>
      <c r="E763" s="638"/>
      <c r="F763" s="14"/>
      <c r="G763" s="14"/>
      <c r="H763" s="14"/>
      <c r="I763" s="640"/>
      <c r="J763" s="640"/>
      <c r="K763" s="640"/>
      <c r="L763" s="640"/>
      <c r="M763" s="640"/>
    </row>
    <row r="764" ht="20.25" customHeight="1">
      <c r="A764" s="393"/>
      <c r="B764" s="31"/>
      <c r="C764" s="22"/>
      <c r="D764" s="165"/>
      <c r="E764" s="643"/>
      <c r="F764" s="22"/>
      <c r="G764" s="22"/>
      <c r="H764" s="22"/>
      <c r="I764" s="644"/>
      <c r="J764" s="644"/>
      <c r="K764" s="644"/>
      <c r="L764" s="644"/>
      <c r="M764" s="644"/>
    </row>
    <row r="765" ht="20.25" customHeight="1">
      <c r="A765" s="394"/>
      <c r="B765" s="27"/>
      <c r="C765" s="14"/>
      <c r="D765" s="165"/>
      <c r="E765" s="638"/>
      <c r="F765" s="14"/>
      <c r="G765" s="14"/>
      <c r="H765" s="14"/>
      <c r="I765" s="640"/>
      <c r="J765" s="640"/>
      <c r="K765" s="640"/>
      <c r="L765" s="640"/>
      <c r="M765" s="640"/>
    </row>
    <row r="766" ht="20.25" customHeight="1">
      <c r="A766" s="393"/>
      <c r="B766" s="31"/>
      <c r="C766" s="22"/>
      <c r="D766" s="165"/>
      <c r="E766" s="643"/>
      <c r="F766" s="22"/>
      <c r="G766" s="22"/>
      <c r="H766" s="22"/>
      <c r="I766" s="644"/>
      <c r="J766" s="644"/>
      <c r="K766" s="644"/>
      <c r="L766" s="644"/>
      <c r="M766" s="644"/>
    </row>
    <row r="767" ht="20.25" customHeight="1">
      <c r="A767" s="394"/>
      <c r="B767" s="27"/>
      <c r="C767" s="14"/>
      <c r="D767" s="165"/>
      <c r="E767" s="638"/>
      <c r="F767" s="14"/>
      <c r="G767" s="14"/>
      <c r="H767" s="14"/>
      <c r="I767" s="640"/>
      <c r="J767" s="640"/>
      <c r="K767" s="640"/>
      <c r="L767" s="640"/>
      <c r="M767" s="640"/>
    </row>
    <row r="768" ht="20.25" customHeight="1">
      <c r="A768" s="393"/>
      <c r="B768" s="31"/>
      <c r="C768" s="22"/>
      <c r="D768" s="165"/>
      <c r="E768" s="643"/>
      <c r="F768" s="22"/>
      <c r="G768" s="22"/>
      <c r="H768" s="22"/>
      <c r="I768" s="644"/>
      <c r="J768" s="644"/>
      <c r="K768" s="644"/>
      <c r="L768" s="644"/>
      <c r="M768" s="644"/>
    </row>
    <row r="769" ht="20.25" customHeight="1">
      <c r="A769" s="394"/>
      <c r="B769" s="27"/>
      <c r="C769" s="14"/>
      <c r="D769" s="165"/>
      <c r="E769" s="638"/>
      <c r="F769" s="14"/>
      <c r="G769" s="14"/>
      <c r="H769" s="14"/>
      <c r="I769" s="640"/>
      <c r="J769" s="640"/>
      <c r="K769" s="640"/>
      <c r="L769" s="640"/>
      <c r="M769" s="640"/>
    </row>
    <row r="770" ht="20.25" customHeight="1">
      <c r="A770" s="393"/>
      <c r="B770" s="31"/>
      <c r="C770" s="22"/>
      <c r="D770" s="165"/>
      <c r="E770" s="643"/>
      <c r="F770" s="22"/>
      <c r="G770" s="22"/>
      <c r="H770" s="22"/>
      <c r="I770" s="644"/>
      <c r="J770" s="644"/>
      <c r="K770" s="644"/>
      <c r="L770" s="644"/>
      <c r="M770" s="644"/>
    </row>
    <row r="771" ht="20.25" customHeight="1">
      <c r="A771" s="394"/>
      <c r="B771" s="27"/>
      <c r="C771" s="14"/>
      <c r="D771" s="165"/>
      <c r="E771" s="638"/>
      <c r="F771" s="14"/>
      <c r="G771" s="14"/>
      <c r="H771" s="14"/>
      <c r="I771" s="640"/>
      <c r="J771" s="640"/>
      <c r="K771" s="640"/>
      <c r="L771" s="640"/>
      <c r="M771" s="640"/>
    </row>
    <row r="772" ht="20.25" customHeight="1">
      <c r="A772" s="393"/>
      <c r="B772" s="31"/>
      <c r="C772" s="22"/>
      <c r="D772" s="165"/>
      <c r="E772" s="643"/>
      <c r="F772" s="22"/>
      <c r="G772" s="22"/>
      <c r="H772" s="22"/>
      <c r="I772" s="644"/>
      <c r="J772" s="644"/>
      <c r="K772" s="644"/>
      <c r="L772" s="644"/>
      <c r="M772" s="644"/>
    </row>
    <row r="773" ht="20.25" customHeight="1">
      <c r="A773" s="394"/>
      <c r="B773" s="27"/>
      <c r="C773" s="14"/>
      <c r="D773" s="165"/>
      <c r="E773" s="638"/>
      <c r="F773" s="14"/>
      <c r="G773" s="14"/>
      <c r="H773" s="14"/>
      <c r="I773" s="640"/>
      <c r="J773" s="640"/>
      <c r="K773" s="640"/>
      <c r="L773" s="640"/>
      <c r="M773" s="640"/>
    </row>
    <row r="774" ht="20.25" customHeight="1">
      <c r="A774" s="393"/>
      <c r="B774" s="31"/>
      <c r="C774" s="22"/>
      <c r="D774" s="165"/>
      <c r="E774" s="643"/>
      <c r="F774" s="22"/>
      <c r="G774" s="22"/>
      <c r="H774" s="22"/>
      <c r="I774" s="644"/>
      <c r="J774" s="644"/>
      <c r="K774" s="644"/>
      <c r="L774" s="644"/>
      <c r="M774" s="644"/>
    </row>
    <row r="775" ht="20.25" customHeight="1">
      <c r="A775" s="394"/>
      <c r="B775" s="27"/>
      <c r="C775" s="14"/>
      <c r="D775" s="165"/>
      <c r="E775" s="638"/>
      <c r="F775" s="14"/>
      <c r="G775" s="14"/>
      <c r="H775" s="14"/>
      <c r="I775" s="640"/>
      <c r="J775" s="640"/>
      <c r="K775" s="640"/>
      <c r="L775" s="640"/>
      <c r="M775" s="640"/>
    </row>
    <row r="776" ht="20.25" customHeight="1">
      <c r="A776" s="393"/>
      <c r="B776" s="31"/>
      <c r="C776" s="22"/>
      <c r="D776" s="165"/>
      <c r="E776" s="643"/>
      <c r="F776" s="22"/>
      <c r="G776" s="22"/>
      <c r="H776" s="22"/>
      <c r="I776" s="644"/>
      <c r="J776" s="644"/>
      <c r="K776" s="644"/>
      <c r="L776" s="644"/>
      <c r="M776" s="644"/>
    </row>
    <row r="777" ht="20.25" customHeight="1">
      <c r="A777" s="394"/>
      <c r="B777" s="27"/>
      <c r="C777" s="14"/>
      <c r="D777" s="165"/>
      <c r="E777" s="638"/>
      <c r="F777" s="14"/>
      <c r="G777" s="14"/>
      <c r="H777" s="14"/>
      <c r="I777" s="640"/>
      <c r="J777" s="640"/>
      <c r="K777" s="640"/>
      <c r="L777" s="640"/>
      <c r="M777" s="640"/>
    </row>
    <row r="778" ht="20.25" customHeight="1">
      <c r="A778" s="393"/>
      <c r="B778" s="31"/>
      <c r="C778" s="22"/>
      <c r="D778" s="165"/>
      <c r="E778" s="643"/>
      <c r="F778" s="22"/>
      <c r="G778" s="22"/>
      <c r="H778" s="22"/>
      <c r="I778" s="644"/>
      <c r="J778" s="644"/>
      <c r="K778" s="644"/>
      <c r="L778" s="644"/>
      <c r="M778" s="644"/>
    </row>
    <row r="779" ht="20.25" customHeight="1">
      <c r="A779" s="394"/>
      <c r="B779" s="27"/>
      <c r="C779" s="14"/>
      <c r="D779" s="165"/>
      <c r="E779" s="638"/>
      <c r="F779" s="14"/>
      <c r="G779" s="14"/>
      <c r="H779" s="14"/>
      <c r="I779" s="640"/>
      <c r="J779" s="640"/>
      <c r="K779" s="640"/>
      <c r="L779" s="640"/>
      <c r="M779" s="640"/>
    </row>
    <row r="780" ht="20.25" customHeight="1">
      <c r="A780" s="393"/>
      <c r="B780" s="31"/>
      <c r="C780" s="22"/>
      <c r="D780" s="165"/>
      <c r="E780" s="643"/>
      <c r="F780" s="22"/>
      <c r="G780" s="22"/>
      <c r="H780" s="22"/>
      <c r="I780" s="644"/>
      <c r="J780" s="644"/>
      <c r="K780" s="644"/>
      <c r="L780" s="644"/>
      <c r="M780" s="644"/>
    </row>
    <row r="781" ht="20.25" customHeight="1">
      <c r="A781" s="394"/>
      <c r="B781" s="27"/>
      <c r="C781" s="14"/>
      <c r="D781" s="165"/>
      <c r="E781" s="638"/>
      <c r="F781" s="14"/>
      <c r="G781" s="14"/>
      <c r="H781" s="14"/>
      <c r="I781" s="640"/>
      <c r="J781" s="640"/>
      <c r="K781" s="640"/>
      <c r="L781" s="640"/>
      <c r="M781" s="640"/>
    </row>
    <row r="782" ht="20.25" customHeight="1">
      <c r="A782" s="393"/>
      <c r="B782" s="31"/>
      <c r="C782" s="22"/>
      <c r="D782" s="165"/>
      <c r="E782" s="643"/>
      <c r="F782" s="22"/>
      <c r="G782" s="22"/>
      <c r="H782" s="22"/>
      <c r="I782" s="644"/>
      <c r="J782" s="644"/>
      <c r="K782" s="644"/>
      <c r="L782" s="644"/>
      <c r="M782" s="644"/>
    </row>
    <row r="783" ht="20.25" customHeight="1">
      <c r="A783" s="394"/>
      <c r="B783" s="27"/>
      <c r="C783" s="14"/>
      <c r="D783" s="165"/>
      <c r="E783" s="638"/>
      <c r="F783" s="14"/>
      <c r="G783" s="14"/>
      <c r="H783" s="14"/>
      <c r="I783" s="640"/>
      <c r="J783" s="640"/>
      <c r="K783" s="640"/>
      <c r="L783" s="640"/>
      <c r="M783" s="640"/>
    </row>
    <row r="784" ht="20.25" customHeight="1">
      <c r="A784" s="393"/>
      <c r="B784" s="31"/>
      <c r="C784" s="22"/>
      <c r="D784" s="165"/>
      <c r="E784" s="643"/>
      <c r="F784" s="22"/>
      <c r="G784" s="22"/>
      <c r="H784" s="22"/>
      <c r="I784" s="644"/>
      <c r="J784" s="644"/>
      <c r="K784" s="644"/>
      <c r="L784" s="644"/>
      <c r="M784" s="644"/>
    </row>
    <row r="785" ht="20.25" customHeight="1">
      <c r="A785" s="394"/>
      <c r="B785" s="27"/>
      <c r="C785" s="14"/>
      <c r="D785" s="165"/>
      <c r="E785" s="638"/>
      <c r="F785" s="14"/>
      <c r="G785" s="14"/>
      <c r="H785" s="14"/>
      <c r="I785" s="640"/>
      <c r="J785" s="640"/>
      <c r="K785" s="640"/>
      <c r="L785" s="640"/>
      <c r="M785" s="640"/>
    </row>
    <row r="786" ht="20.25" customHeight="1">
      <c r="A786" s="393"/>
      <c r="B786" s="31"/>
      <c r="C786" s="22"/>
      <c r="D786" s="165"/>
      <c r="E786" s="643"/>
      <c r="F786" s="22"/>
      <c r="G786" s="22"/>
      <c r="H786" s="22"/>
      <c r="I786" s="644"/>
      <c r="J786" s="644"/>
      <c r="K786" s="644"/>
      <c r="L786" s="644"/>
      <c r="M786" s="644"/>
    </row>
    <row r="787" ht="20.25" customHeight="1">
      <c r="A787" s="394"/>
      <c r="B787" s="27"/>
      <c r="C787" s="14"/>
      <c r="D787" s="165"/>
      <c r="E787" s="638"/>
      <c r="F787" s="14"/>
      <c r="G787" s="14"/>
      <c r="H787" s="14"/>
      <c r="I787" s="640"/>
      <c r="J787" s="640"/>
      <c r="K787" s="640"/>
      <c r="L787" s="640"/>
      <c r="M787" s="640"/>
    </row>
    <row r="788" ht="20.25" customHeight="1">
      <c r="A788" s="393"/>
      <c r="B788" s="31"/>
      <c r="C788" s="22"/>
      <c r="D788" s="165"/>
      <c r="E788" s="643"/>
      <c r="F788" s="22"/>
      <c r="G788" s="22"/>
      <c r="H788" s="22"/>
      <c r="I788" s="644"/>
      <c r="J788" s="644"/>
      <c r="K788" s="644"/>
      <c r="L788" s="644"/>
      <c r="M788" s="644"/>
    </row>
    <row r="789" ht="20.25" customHeight="1">
      <c r="A789" s="394"/>
      <c r="B789" s="27"/>
      <c r="C789" s="14"/>
      <c r="D789" s="165"/>
      <c r="E789" s="638"/>
      <c r="F789" s="14"/>
      <c r="G789" s="14"/>
      <c r="H789" s="14"/>
      <c r="I789" s="640"/>
      <c r="J789" s="640"/>
      <c r="K789" s="640"/>
      <c r="L789" s="640"/>
      <c r="M789" s="640"/>
    </row>
    <row r="790" ht="20.25" customHeight="1">
      <c r="A790" s="393"/>
      <c r="B790" s="31"/>
      <c r="C790" s="22"/>
      <c r="D790" s="165"/>
      <c r="E790" s="643"/>
      <c r="F790" s="22"/>
      <c r="G790" s="22"/>
      <c r="H790" s="22"/>
      <c r="I790" s="644"/>
      <c r="J790" s="644"/>
      <c r="K790" s="644"/>
      <c r="L790" s="644"/>
      <c r="M790" s="644"/>
    </row>
    <row r="791" ht="20.25" customHeight="1">
      <c r="A791" s="394"/>
      <c r="B791" s="27"/>
      <c r="C791" s="14"/>
      <c r="D791" s="165"/>
      <c r="E791" s="638"/>
      <c r="F791" s="14"/>
      <c r="G791" s="14"/>
      <c r="H791" s="14"/>
      <c r="I791" s="640"/>
      <c r="J791" s="640"/>
      <c r="K791" s="640"/>
      <c r="L791" s="640"/>
      <c r="M791" s="640"/>
    </row>
    <row r="792" ht="20.25" customHeight="1">
      <c r="A792" s="393"/>
      <c r="B792" s="31"/>
      <c r="C792" s="22"/>
      <c r="D792" s="165"/>
      <c r="E792" s="643"/>
      <c r="F792" s="22"/>
      <c r="G792" s="22"/>
      <c r="H792" s="22"/>
      <c r="I792" s="644"/>
      <c r="J792" s="644"/>
      <c r="K792" s="644"/>
      <c r="L792" s="644"/>
      <c r="M792" s="644"/>
    </row>
    <row r="793" ht="20.25" customHeight="1">
      <c r="A793" s="394"/>
      <c r="B793" s="27"/>
      <c r="C793" s="14"/>
      <c r="D793" s="165"/>
      <c r="E793" s="638"/>
      <c r="F793" s="14"/>
      <c r="G793" s="14"/>
      <c r="H793" s="14"/>
      <c r="I793" s="640"/>
      <c r="J793" s="640"/>
      <c r="K793" s="640"/>
      <c r="L793" s="640"/>
      <c r="M793" s="640"/>
    </row>
    <row r="794" ht="20.25" customHeight="1">
      <c r="A794" s="393"/>
      <c r="B794" s="31"/>
      <c r="C794" s="22"/>
      <c r="D794" s="165"/>
      <c r="E794" s="643"/>
      <c r="F794" s="22"/>
      <c r="G794" s="22"/>
      <c r="H794" s="22"/>
      <c r="I794" s="644"/>
      <c r="J794" s="644"/>
      <c r="K794" s="644"/>
      <c r="L794" s="644"/>
      <c r="M794" s="644"/>
    </row>
    <row r="795" ht="20.25" customHeight="1">
      <c r="A795" s="394"/>
      <c r="B795" s="27"/>
      <c r="C795" s="14"/>
      <c r="D795" s="165"/>
      <c r="E795" s="638"/>
      <c r="F795" s="14"/>
      <c r="G795" s="14"/>
      <c r="H795" s="14"/>
      <c r="I795" s="640"/>
      <c r="J795" s="640"/>
      <c r="K795" s="640"/>
      <c r="L795" s="640"/>
      <c r="M795" s="640"/>
    </row>
    <row r="796" ht="20.25" customHeight="1">
      <c r="A796" s="393"/>
      <c r="B796" s="31"/>
      <c r="C796" s="22"/>
      <c r="D796" s="165"/>
      <c r="E796" s="643"/>
      <c r="F796" s="22"/>
      <c r="G796" s="22"/>
      <c r="H796" s="22"/>
      <c r="I796" s="644"/>
      <c r="J796" s="644"/>
      <c r="K796" s="644"/>
      <c r="L796" s="644"/>
      <c r="M796" s="644"/>
    </row>
    <row r="797" ht="20.25" customHeight="1">
      <c r="A797" s="394"/>
      <c r="B797" s="27"/>
      <c r="C797" s="14"/>
      <c r="D797" s="165"/>
      <c r="E797" s="638"/>
      <c r="F797" s="14"/>
      <c r="G797" s="14"/>
      <c r="H797" s="14"/>
      <c r="I797" s="640"/>
      <c r="J797" s="640"/>
      <c r="K797" s="640"/>
      <c r="L797" s="640"/>
      <c r="M797" s="640"/>
    </row>
    <row r="798" ht="20.25" customHeight="1">
      <c r="A798" s="393"/>
      <c r="B798" s="31"/>
      <c r="C798" s="22"/>
      <c r="D798" s="165"/>
      <c r="E798" s="643"/>
      <c r="F798" s="22"/>
      <c r="G798" s="22"/>
      <c r="H798" s="22"/>
      <c r="I798" s="644"/>
      <c r="J798" s="644"/>
      <c r="K798" s="644"/>
      <c r="L798" s="644"/>
      <c r="M798" s="644"/>
    </row>
    <row r="799" ht="20.25" customHeight="1">
      <c r="A799" s="394"/>
      <c r="B799" s="27"/>
      <c r="C799" s="14"/>
      <c r="D799" s="165"/>
      <c r="E799" s="638"/>
      <c r="F799" s="14"/>
      <c r="G799" s="14"/>
      <c r="H799" s="14"/>
      <c r="I799" s="640"/>
      <c r="J799" s="640"/>
      <c r="K799" s="640"/>
      <c r="L799" s="640"/>
      <c r="M799" s="640"/>
    </row>
    <row r="800" ht="20.25" customHeight="1">
      <c r="A800" s="393"/>
      <c r="B800" s="31"/>
      <c r="C800" s="22"/>
      <c r="D800" s="165"/>
      <c r="E800" s="643"/>
      <c r="F800" s="22"/>
      <c r="G800" s="22"/>
      <c r="H800" s="22"/>
      <c r="I800" s="644"/>
      <c r="J800" s="644"/>
      <c r="K800" s="644"/>
      <c r="L800" s="644"/>
      <c r="M800" s="644"/>
    </row>
    <row r="801" ht="20.25" customHeight="1">
      <c r="A801" s="394"/>
      <c r="B801" s="27"/>
      <c r="C801" s="14"/>
      <c r="D801" s="165"/>
      <c r="E801" s="638"/>
      <c r="F801" s="14"/>
      <c r="G801" s="14"/>
      <c r="H801" s="14"/>
      <c r="I801" s="640"/>
      <c r="J801" s="640"/>
      <c r="K801" s="640"/>
      <c r="L801" s="640"/>
      <c r="M801" s="640"/>
    </row>
    <row r="802" ht="20.25" customHeight="1">
      <c r="A802" s="393"/>
      <c r="B802" s="31"/>
      <c r="C802" s="22"/>
      <c r="D802" s="165"/>
      <c r="E802" s="643"/>
      <c r="F802" s="22"/>
      <c r="G802" s="22"/>
      <c r="H802" s="22"/>
      <c r="I802" s="644"/>
      <c r="J802" s="644"/>
      <c r="K802" s="644"/>
      <c r="L802" s="644"/>
      <c r="M802" s="644"/>
    </row>
    <row r="803" ht="20.25" customHeight="1">
      <c r="A803" s="394"/>
      <c r="B803" s="27"/>
      <c r="C803" s="14"/>
      <c r="D803" s="165"/>
      <c r="E803" s="638"/>
      <c r="F803" s="14"/>
      <c r="G803" s="14"/>
      <c r="H803" s="14"/>
      <c r="I803" s="640"/>
      <c r="J803" s="640"/>
      <c r="K803" s="640"/>
      <c r="L803" s="640"/>
      <c r="M803" s="640"/>
    </row>
    <row r="804" ht="20.25" customHeight="1">
      <c r="A804" s="393"/>
      <c r="B804" s="31"/>
      <c r="C804" s="22"/>
      <c r="D804" s="165"/>
      <c r="E804" s="643"/>
      <c r="F804" s="22"/>
      <c r="G804" s="22"/>
      <c r="H804" s="22"/>
      <c r="I804" s="644"/>
      <c r="J804" s="644"/>
      <c r="K804" s="644"/>
      <c r="L804" s="644"/>
      <c r="M804" s="644"/>
    </row>
    <row r="805" ht="20.25" customHeight="1">
      <c r="A805" s="394"/>
      <c r="B805" s="27"/>
      <c r="C805" s="14"/>
      <c r="D805" s="165"/>
      <c r="E805" s="638"/>
      <c r="F805" s="14"/>
      <c r="G805" s="14"/>
      <c r="H805" s="14"/>
      <c r="I805" s="640"/>
      <c r="J805" s="640"/>
      <c r="K805" s="640"/>
      <c r="L805" s="640"/>
      <c r="M805" s="640"/>
    </row>
    <row r="806" ht="20.25" customHeight="1">
      <c r="A806" s="393"/>
      <c r="B806" s="31"/>
      <c r="C806" s="22"/>
      <c r="D806" s="165"/>
      <c r="E806" s="643"/>
      <c r="F806" s="22"/>
      <c r="G806" s="22"/>
      <c r="H806" s="22"/>
      <c r="I806" s="644"/>
      <c r="J806" s="644"/>
      <c r="K806" s="644"/>
      <c r="L806" s="644"/>
      <c r="M806" s="644"/>
    </row>
    <row r="807" ht="20.25" customHeight="1">
      <c r="A807" s="394"/>
      <c r="B807" s="27"/>
      <c r="C807" s="14"/>
      <c r="D807" s="165"/>
      <c r="E807" s="638"/>
      <c r="F807" s="14"/>
      <c r="G807" s="14"/>
      <c r="H807" s="14"/>
      <c r="I807" s="640"/>
      <c r="J807" s="640"/>
      <c r="K807" s="640"/>
      <c r="L807" s="640"/>
      <c r="M807" s="640"/>
    </row>
    <row r="808" ht="20.25" customHeight="1">
      <c r="A808" s="393"/>
      <c r="B808" s="31"/>
      <c r="C808" s="22"/>
      <c r="D808" s="165"/>
      <c r="E808" s="643"/>
      <c r="F808" s="22"/>
      <c r="G808" s="22"/>
      <c r="H808" s="22"/>
      <c r="I808" s="644"/>
      <c r="J808" s="644"/>
      <c r="K808" s="644"/>
      <c r="L808" s="644"/>
      <c r="M808" s="644"/>
    </row>
    <row r="809" ht="20.25" customHeight="1">
      <c r="A809" s="394"/>
      <c r="B809" s="27"/>
      <c r="C809" s="14"/>
      <c r="D809" s="165"/>
      <c r="E809" s="638"/>
      <c r="F809" s="14"/>
      <c r="G809" s="14"/>
      <c r="H809" s="14"/>
      <c r="I809" s="640"/>
      <c r="J809" s="640"/>
      <c r="K809" s="640"/>
      <c r="L809" s="640"/>
      <c r="M809" s="640"/>
    </row>
    <row r="810" ht="20.25" customHeight="1">
      <c r="A810" s="393"/>
      <c r="B810" s="31"/>
      <c r="C810" s="22"/>
      <c r="D810" s="165"/>
      <c r="E810" s="643"/>
      <c r="F810" s="22"/>
      <c r="G810" s="22"/>
      <c r="H810" s="22"/>
      <c r="I810" s="644"/>
      <c r="J810" s="644"/>
      <c r="K810" s="644"/>
      <c r="L810" s="644"/>
      <c r="M810" s="644"/>
    </row>
    <row r="811" ht="20.25" customHeight="1">
      <c r="A811" s="394"/>
      <c r="B811" s="27"/>
      <c r="C811" s="14"/>
      <c r="D811" s="165"/>
      <c r="E811" s="638"/>
      <c r="F811" s="14"/>
      <c r="G811" s="14"/>
      <c r="H811" s="14"/>
      <c r="I811" s="640"/>
      <c r="J811" s="640"/>
      <c r="K811" s="640"/>
      <c r="L811" s="640"/>
      <c r="M811" s="640"/>
    </row>
    <row r="812" ht="20.25" customHeight="1">
      <c r="A812" s="393"/>
      <c r="B812" s="31"/>
      <c r="C812" s="22"/>
      <c r="D812" s="165"/>
      <c r="E812" s="643"/>
      <c r="F812" s="22"/>
      <c r="G812" s="22"/>
      <c r="H812" s="22"/>
      <c r="I812" s="644"/>
      <c r="J812" s="644"/>
      <c r="K812" s="644"/>
      <c r="L812" s="644"/>
      <c r="M812" s="644"/>
    </row>
    <row r="813" ht="20.25" customHeight="1">
      <c r="A813" s="394"/>
      <c r="B813" s="27"/>
      <c r="C813" s="14"/>
      <c r="D813" s="165"/>
      <c r="E813" s="638"/>
      <c r="F813" s="14"/>
      <c r="G813" s="14"/>
      <c r="H813" s="14"/>
      <c r="I813" s="640"/>
      <c r="J813" s="640"/>
      <c r="K813" s="640"/>
      <c r="L813" s="640"/>
      <c r="M813" s="640"/>
    </row>
    <row r="814" ht="20.25" customHeight="1">
      <c r="A814" s="393"/>
      <c r="B814" s="31"/>
      <c r="C814" s="22"/>
      <c r="D814" s="165"/>
      <c r="E814" s="643"/>
      <c r="F814" s="22"/>
      <c r="G814" s="22"/>
      <c r="H814" s="22"/>
      <c r="I814" s="644"/>
      <c r="J814" s="644"/>
      <c r="K814" s="644"/>
      <c r="L814" s="644"/>
      <c r="M814" s="644"/>
    </row>
    <row r="815" ht="20.25" customHeight="1">
      <c r="A815" s="394"/>
      <c r="B815" s="27"/>
      <c r="C815" s="14"/>
      <c r="D815" s="165"/>
      <c r="E815" s="638"/>
      <c r="F815" s="14"/>
      <c r="G815" s="14"/>
      <c r="H815" s="14"/>
      <c r="I815" s="640"/>
      <c r="J815" s="640"/>
      <c r="K815" s="640"/>
      <c r="L815" s="640"/>
      <c r="M815" s="640"/>
    </row>
    <row r="816" ht="20.25" customHeight="1">
      <c r="A816" s="393"/>
      <c r="B816" s="31"/>
      <c r="C816" s="22"/>
      <c r="D816" s="165"/>
      <c r="E816" s="643"/>
      <c r="F816" s="22"/>
      <c r="G816" s="22"/>
      <c r="H816" s="22"/>
      <c r="I816" s="644"/>
      <c r="J816" s="644"/>
      <c r="K816" s="644"/>
      <c r="L816" s="644"/>
      <c r="M816" s="644"/>
    </row>
    <row r="817" ht="20.25" customHeight="1">
      <c r="A817" s="394"/>
      <c r="B817" s="27"/>
      <c r="C817" s="14"/>
      <c r="D817" s="165"/>
      <c r="E817" s="638"/>
      <c r="F817" s="14"/>
      <c r="G817" s="14"/>
      <c r="H817" s="14"/>
      <c r="I817" s="640"/>
      <c r="J817" s="640"/>
      <c r="K817" s="640"/>
      <c r="L817" s="640"/>
      <c r="M817" s="640"/>
    </row>
    <row r="818" ht="20.25" customHeight="1">
      <c r="A818" s="393"/>
      <c r="B818" s="31"/>
      <c r="C818" s="22"/>
      <c r="D818" s="165"/>
      <c r="E818" s="643"/>
      <c r="F818" s="22"/>
      <c r="G818" s="22"/>
      <c r="H818" s="22"/>
      <c r="I818" s="644"/>
      <c r="J818" s="644"/>
      <c r="K818" s="644"/>
      <c r="L818" s="644"/>
      <c r="M818" s="644"/>
    </row>
    <row r="819" ht="20.25" customHeight="1">
      <c r="A819" s="394"/>
      <c r="B819" s="27"/>
      <c r="C819" s="14"/>
      <c r="D819" s="165"/>
      <c r="E819" s="638"/>
      <c r="F819" s="14"/>
      <c r="G819" s="14"/>
      <c r="H819" s="14"/>
      <c r="I819" s="640"/>
      <c r="J819" s="640"/>
      <c r="K819" s="640"/>
      <c r="L819" s="640"/>
      <c r="M819" s="640"/>
    </row>
    <row r="820" ht="20.25" customHeight="1">
      <c r="A820" s="393"/>
      <c r="B820" s="31"/>
      <c r="C820" s="22"/>
      <c r="D820" s="165"/>
      <c r="E820" s="643"/>
      <c r="F820" s="22"/>
      <c r="G820" s="22"/>
      <c r="H820" s="22"/>
      <c r="I820" s="644"/>
      <c r="J820" s="644"/>
      <c r="K820" s="644"/>
      <c r="L820" s="644"/>
      <c r="M820" s="644"/>
    </row>
    <row r="821" ht="20.25" customHeight="1">
      <c r="A821" s="394"/>
      <c r="B821" s="27"/>
      <c r="C821" s="14"/>
      <c r="D821" s="165"/>
      <c r="E821" s="638"/>
      <c r="F821" s="14"/>
      <c r="G821" s="14"/>
      <c r="H821" s="14"/>
      <c r="I821" s="640"/>
      <c r="J821" s="640"/>
      <c r="K821" s="640"/>
      <c r="L821" s="640"/>
      <c r="M821" s="640"/>
    </row>
    <row r="822" ht="20.25" customHeight="1">
      <c r="A822" s="393"/>
      <c r="B822" s="31"/>
      <c r="C822" s="22"/>
      <c r="D822" s="165"/>
      <c r="E822" s="643"/>
      <c r="F822" s="22"/>
      <c r="G822" s="22"/>
      <c r="H822" s="22"/>
      <c r="I822" s="644"/>
      <c r="J822" s="644"/>
      <c r="K822" s="644"/>
      <c r="L822" s="644"/>
      <c r="M822" s="644"/>
    </row>
    <row r="823" ht="20.25" customHeight="1">
      <c r="A823" s="394"/>
      <c r="B823" s="27"/>
      <c r="C823" s="14"/>
      <c r="D823" s="165"/>
      <c r="E823" s="638"/>
      <c r="F823" s="14"/>
      <c r="G823" s="14"/>
      <c r="H823" s="14"/>
      <c r="I823" s="640"/>
      <c r="J823" s="640"/>
      <c r="K823" s="640"/>
      <c r="L823" s="640"/>
      <c r="M823" s="640"/>
    </row>
    <row r="824" ht="20.25" customHeight="1">
      <c r="A824" s="393"/>
      <c r="B824" s="31"/>
      <c r="C824" s="22"/>
      <c r="D824" s="165"/>
      <c r="E824" s="643"/>
      <c r="F824" s="22"/>
      <c r="G824" s="22"/>
      <c r="H824" s="22"/>
      <c r="I824" s="644"/>
      <c r="J824" s="644"/>
      <c r="K824" s="644"/>
      <c r="L824" s="644"/>
      <c r="M824" s="644"/>
    </row>
    <row r="825" ht="20.25" customHeight="1">
      <c r="A825" s="394"/>
      <c r="B825" s="27"/>
      <c r="C825" s="14"/>
      <c r="D825" s="165"/>
      <c r="E825" s="638"/>
      <c r="F825" s="14"/>
      <c r="G825" s="14"/>
      <c r="H825" s="14"/>
      <c r="I825" s="640"/>
      <c r="J825" s="640"/>
      <c r="K825" s="640"/>
      <c r="L825" s="640"/>
      <c r="M825" s="640"/>
    </row>
    <row r="826" ht="20.25" customHeight="1">
      <c r="A826" s="393"/>
      <c r="B826" s="31"/>
      <c r="C826" s="22"/>
      <c r="D826" s="165"/>
      <c r="E826" s="643"/>
      <c r="F826" s="22"/>
      <c r="G826" s="22"/>
      <c r="H826" s="22"/>
      <c r="I826" s="644"/>
      <c r="J826" s="644"/>
      <c r="K826" s="644"/>
      <c r="L826" s="644"/>
      <c r="M826" s="644"/>
    </row>
    <row r="827" ht="20.25" customHeight="1">
      <c r="A827" s="394"/>
      <c r="B827" s="27"/>
      <c r="C827" s="14"/>
      <c r="D827" s="165"/>
      <c r="E827" s="638"/>
      <c r="F827" s="14"/>
      <c r="G827" s="14"/>
      <c r="H827" s="14"/>
      <c r="I827" s="640"/>
      <c r="J827" s="640"/>
      <c r="K827" s="640"/>
      <c r="L827" s="640"/>
      <c r="M827" s="640"/>
    </row>
    <row r="828" ht="20.25" customHeight="1">
      <c r="A828" s="393"/>
      <c r="B828" s="31"/>
      <c r="C828" s="22"/>
      <c r="D828" s="165"/>
      <c r="E828" s="643"/>
      <c r="F828" s="22"/>
      <c r="G828" s="22"/>
      <c r="H828" s="22"/>
      <c r="I828" s="644"/>
      <c r="J828" s="644"/>
      <c r="K828" s="644"/>
      <c r="L828" s="644"/>
      <c r="M828" s="644"/>
    </row>
    <row r="829" ht="20.25" customHeight="1">
      <c r="A829" s="394"/>
      <c r="B829" s="27"/>
      <c r="C829" s="14"/>
      <c r="D829" s="165"/>
      <c r="E829" s="638"/>
      <c r="F829" s="14"/>
      <c r="G829" s="14"/>
      <c r="H829" s="14"/>
      <c r="I829" s="640"/>
      <c r="J829" s="640"/>
      <c r="K829" s="640"/>
      <c r="L829" s="640"/>
      <c r="M829" s="640"/>
    </row>
    <row r="830" ht="20.25" customHeight="1">
      <c r="A830" s="393"/>
      <c r="B830" s="31"/>
      <c r="C830" s="22"/>
      <c r="D830" s="165"/>
      <c r="E830" s="643"/>
      <c r="F830" s="22"/>
      <c r="G830" s="22"/>
      <c r="H830" s="22"/>
      <c r="I830" s="644"/>
      <c r="J830" s="644"/>
      <c r="K830" s="644"/>
      <c r="L830" s="644"/>
      <c r="M830" s="644"/>
    </row>
    <row r="831" ht="20.25" customHeight="1">
      <c r="A831" s="394"/>
      <c r="B831" s="27"/>
      <c r="C831" s="14"/>
      <c r="D831" s="165"/>
      <c r="E831" s="638"/>
      <c r="F831" s="14"/>
      <c r="G831" s="14"/>
      <c r="H831" s="14"/>
      <c r="I831" s="640"/>
      <c r="J831" s="640"/>
      <c r="K831" s="640"/>
      <c r="L831" s="640"/>
      <c r="M831" s="640"/>
    </row>
    <row r="832" ht="20.25" customHeight="1">
      <c r="A832" s="393"/>
      <c r="B832" s="31"/>
      <c r="C832" s="22"/>
      <c r="D832" s="165"/>
      <c r="E832" s="643"/>
      <c r="F832" s="22"/>
      <c r="G832" s="22"/>
      <c r="H832" s="22"/>
      <c r="I832" s="644"/>
      <c r="J832" s="644"/>
      <c r="K832" s="644"/>
      <c r="L832" s="644"/>
      <c r="M832" s="644"/>
    </row>
    <row r="833" ht="20.25" customHeight="1">
      <c r="A833" s="394"/>
      <c r="B833" s="27"/>
      <c r="C833" s="14"/>
      <c r="D833" s="165"/>
      <c r="E833" s="638"/>
      <c r="F833" s="14"/>
      <c r="G833" s="14"/>
      <c r="H833" s="14"/>
      <c r="I833" s="640"/>
      <c r="J833" s="640"/>
      <c r="K833" s="640"/>
      <c r="L833" s="640"/>
      <c r="M833" s="640"/>
    </row>
    <row r="834" ht="20.25" customHeight="1">
      <c r="A834" s="393"/>
      <c r="B834" s="31"/>
      <c r="C834" s="22"/>
      <c r="D834" s="165"/>
      <c r="E834" s="643"/>
      <c r="F834" s="22"/>
      <c r="G834" s="22"/>
      <c r="H834" s="22"/>
      <c r="I834" s="644"/>
      <c r="J834" s="644"/>
      <c r="K834" s="644"/>
      <c r="L834" s="644"/>
      <c r="M834" s="644"/>
    </row>
    <row r="835" ht="20.25" customHeight="1">
      <c r="A835" s="394"/>
      <c r="B835" s="27"/>
      <c r="C835" s="14"/>
      <c r="D835" s="165"/>
      <c r="E835" s="638"/>
      <c r="F835" s="14"/>
      <c r="G835" s="14"/>
      <c r="H835" s="14"/>
      <c r="I835" s="640"/>
      <c r="J835" s="640"/>
      <c r="K835" s="640"/>
      <c r="L835" s="640"/>
      <c r="M835" s="640"/>
    </row>
    <row r="836" ht="20.25" customHeight="1">
      <c r="A836" s="393"/>
      <c r="B836" s="31"/>
      <c r="C836" s="22"/>
      <c r="D836" s="165"/>
      <c r="E836" s="643"/>
      <c r="F836" s="22"/>
      <c r="G836" s="22"/>
      <c r="H836" s="22"/>
      <c r="I836" s="644"/>
      <c r="J836" s="644"/>
      <c r="K836" s="644"/>
      <c r="L836" s="644"/>
      <c r="M836" s="644"/>
    </row>
    <row r="837" ht="20.25" customHeight="1">
      <c r="A837" s="394"/>
      <c r="B837" s="27"/>
      <c r="C837" s="14"/>
      <c r="D837" s="165"/>
      <c r="E837" s="638"/>
      <c r="F837" s="14"/>
      <c r="G837" s="14"/>
      <c r="H837" s="14"/>
      <c r="I837" s="640"/>
      <c r="J837" s="640"/>
      <c r="K837" s="640"/>
      <c r="L837" s="640"/>
      <c r="M837" s="640"/>
    </row>
    <row r="838" ht="20.25" customHeight="1">
      <c r="A838" s="393"/>
      <c r="B838" s="31"/>
      <c r="C838" s="22"/>
      <c r="D838" s="165"/>
      <c r="E838" s="643"/>
      <c r="F838" s="22"/>
      <c r="G838" s="22"/>
      <c r="H838" s="22"/>
      <c r="I838" s="644"/>
      <c r="J838" s="644"/>
      <c r="K838" s="644"/>
      <c r="L838" s="644"/>
      <c r="M838" s="644"/>
    </row>
    <row r="839" ht="20.25" customHeight="1">
      <c r="A839" s="394"/>
      <c r="B839" s="27"/>
      <c r="C839" s="14"/>
      <c r="D839" s="165"/>
      <c r="E839" s="638"/>
      <c r="F839" s="14"/>
      <c r="G839" s="14"/>
      <c r="H839" s="14"/>
      <c r="I839" s="640"/>
      <c r="J839" s="640"/>
      <c r="K839" s="640"/>
      <c r="L839" s="640"/>
      <c r="M839" s="640"/>
    </row>
    <row r="840" ht="20.25" customHeight="1">
      <c r="A840" s="393"/>
      <c r="B840" s="31"/>
      <c r="C840" s="22"/>
      <c r="D840" s="165"/>
      <c r="E840" s="643"/>
      <c r="F840" s="22"/>
      <c r="G840" s="22"/>
      <c r="H840" s="22"/>
      <c r="I840" s="644"/>
      <c r="J840" s="644"/>
      <c r="K840" s="644"/>
      <c r="L840" s="644"/>
      <c r="M840" s="644"/>
    </row>
    <row r="841" ht="20.25" customHeight="1">
      <c r="A841" s="394"/>
      <c r="B841" s="27"/>
      <c r="C841" s="14"/>
      <c r="D841" s="165"/>
      <c r="E841" s="638"/>
      <c r="F841" s="14"/>
      <c r="G841" s="14"/>
      <c r="H841" s="14"/>
      <c r="I841" s="640"/>
      <c r="J841" s="640"/>
      <c r="K841" s="640"/>
      <c r="L841" s="640"/>
      <c r="M841" s="640"/>
    </row>
    <row r="842" ht="20.25" customHeight="1">
      <c r="A842" s="393"/>
      <c r="B842" s="31"/>
      <c r="C842" s="22"/>
      <c r="D842" s="165"/>
      <c r="E842" s="643"/>
      <c r="F842" s="22"/>
      <c r="G842" s="22"/>
      <c r="H842" s="22"/>
      <c r="I842" s="644"/>
      <c r="J842" s="644"/>
      <c r="K842" s="644"/>
      <c r="L842" s="644"/>
      <c r="M842" s="644"/>
    </row>
    <row r="843" ht="20.25" customHeight="1">
      <c r="A843" s="394"/>
      <c r="B843" s="27"/>
      <c r="C843" s="14"/>
      <c r="D843" s="165"/>
      <c r="E843" s="638"/>
      <c r="F843" s="14"/>
      <c r="G843" s="14"/>
      <c r="H843" s="14"/>
      <c r="I843" s="640"/>
      <c r="J843" s="640"/>
      <c r="K843" s="640"/>
      <c r="L843" s="640"/>
      <c r="M843" s="640"/>
    </row>
    <row r="844" ht="20.25" customHeight="1">
      <c r="A844" s="393"/>
      <c r="B844" s="31"/>
      <c r="C844" s="22"/>
      <c r="D844" s="165"/>
      <c r="E844" s="643"/>
      <c r="F844" s="22"/>
      <c r="G844" s="22"/>
      <c r="H844" s="22"/>
      <c r="I844" s="644"/>
      <c r="J844" s="644"/>
      <c r="K844" s="644"/>
      <c r="L844" s="644"/>
      <c r="M844" s="644"/>
    </row>
    <row r="845" ht="20.25" customHeight="1">
      <c r="A845" s="394"/>
      <c r="B845" s="27"/>
      <c r="C845" s="14"/>
      <c r="D845" s="165"/>
      <c r="E845" s="638"/>
      <c r="F845" s="14"/>
      <c r="G845" s="14"/>
      <c r="H845" s="14"/>
      <c r="I845" s="640"/>
      <c r="J845" s="640"/>
      <c r="K845" s="640"/>
      <c r="L845" s="640"/>
      <c r="M845" s="640"/>
    </row>
    <row r="846" ht="20.25" customHeight="1">
      <c r="A846" s="393"/>
      <c r="B846" s="31"/>
      <c r="C846" s="22"/>
      <c r="D846" s="165"/>
      <c r="E846" s="643"/>
      <c r="F846" s="22"/>
      <c r="G846" s="22"/>
      <c r="H846" s="22"/>
      <c r="I846" s="644"/>
      <c r="J846" s="644"/>
      <c r="K846" s="644"/>
      <c r="L846" s="644"/>
      <c r="M846" s="644"/>
    </row>
    <row r="847" ht="20.25" customHeight="1">
      <c r="A847" s="394"/>
      <c r="B847" s="27"/>
      <c r="C847" s="14"/>
      <c r="D847" s="165"/>
      <c r="E847" s="638"/>
      <c r="F847" s="14"/>
      <c r="G847" s="14"/>
      <c r="H847" s="14"/>
      <c r="I847" s="640"/>
      <c r="J847" s="640"/>
      <c r="K847" s="640"/>
      <c r="L847" s="640"/>
      <c r="M847" s="640"/>
    </row>
    <row r="848" ht="20.25" customHeight="1">
      <c r="A848" s="393"/>
      <c r="B848" s="31"/>
      <c r="C848" s="22"/>
      <c r="D848" s="165"/>
      <c r="E848" s="643"/>
      <c r="F848" s="22"/>
      <c r="G848" s="22"/>
      <c r="H848" s="22"/>
      <c r="I848" s="644"/>
      <c r="J848" s="644"/>
      <c r="K848" s="644"/>
      <c r="L848" s="644"/>
      <c r="M848" s="644"/>
    </row>
    <row r="849" ht="20.25" customHeight="1">
      <c r="A849" s="394"/>
      <c r="B849" s="27"/>
      <c r="C849" s="14"/>
      <c r="D849" s="165"/>
      <c r="E849" s="638"/>
      <c r="F849" s="14"/>
      <c r="G849" s="14"/>
      <c r="H849" s="14"/>
      <c r="I849" s="640"/>
      <c r="J849" s="640"/>
      <c r="K849" s="640"/>
      <c r="L849" s="640"/>
      <c r="M849" s="640"/>
    </row>
    <row r="850" ht="20.25" customHeight="1">
      <c r="A850" s="393"/>
      <c r="B850" s="31"/>
      <c r="C850" s="22"/>
      <c r="D850" s="165"/>
      <c r="E850" s="643"/>
      <c r="F850" s="22"/>
      <c r="G850" s="22"/>
      <c r="H850" s="22"/>
      <c r="I850" s="644"/>
      <c r="J850" s="644"/>
      <c r="K850" s="644"/>
      <c r="L850" s="644"/>
      <c r="M850" s="644"/>
    </row>
    <row r="851" ht="20.25" customHeight="1">
      <c r="A851" s="394"/>
      <c r="B851" s="27"/>
      <c r="C851" s="14"/>
      <c r="D851" s="165"/>
      <c r="E851" s="638"/>
      <c r="F851" s="14"/>
      <c r="G851" s="14"/>
      <c r="H851" s="14"/>
      <c r="I851" s="640"/>
      <c r="J851" s="640"/>
      <c r="K851" s="640"/>
      <c r="L851" s="640"/>
      <c r="M851" s="640"/>
    </row>
    <row r="852" ht="20.25" customHeight="1">
      <c r="A852" s="393"/>
      <c r="B852" s="31"/>
      <c r="C852" s="22"/>
      <c r="D852" s="165"/>
      <c r="E852" s="643"/>
      <c r="F852" s="22"/>
      <c r="G852" s="22"/>
      <c r="H852" s="22"/>
      <c r="I852" s="644"/>
      <c r="J852" s="644"/>
      <c r="K852" s="644"/>
      <c r="L852" s="644"/>
      <c r="M852" s="644"/>
    </row>
    <row r="853" ht="20.25" customHeight="1">
      <c r="A853" s="394"/>
      <c r="B853" s="27"/>
      <c r="C853" s="14"/>
      <c r="D853" s="165"/>
      <c r="E853" s="638"/>
      <c r="F853" s="14"/>
      <c r="G853" s="14"/>
      <c r="H853" s="14"/>
      <c r="I853" s="640"/>
      <c r="J853" s="640"/>
      <c r="K853" s="640"/>
      <c r="L853" s="640"/>
      <c r="M853" s="640"/>
    </row>
    <row r="854" ht="20.25" customHeight="1">
      <c r="A854" s="393"/>
      <c r="B854" s="31"/>
      <c r="C854" s="22"/>
      <c r="D854" s="165"/>
      <c r="E854" s="643"/>
      <c r="F854" s="22"/>
      <c r="G854" s="22"/>
      <c r="H854" s="22"/>
      <c r="I854" s="644"/>
      <c r="J854" s="644"/>
      <c r="K854" s="644"/>
      <c r="L854" s="644"/>
      <c r="M854" s="644"/>
    </row>
    <row r="855" ht="20.25" customHeight="1">
      <c r="A855" s="394"/>
      <c r="B855" s="27"/>
      <c r="C855" s="14"/>
      <c r="D855" s="165"/>
      <c r="E855" s="638"/>
      <c r="F855" s="14"/>
      <c r="G855" s="14"/>
      <c r="H855" s="14"/>
      <c r="I855" s="640"/>
      <c r="J855" s="640"/>
      <c r="K855" s="640"/>
      <c r="L855" s="640"/>
      <c r="M855" s="640"/>
    </row>
    <row r="856" ht="20.25" customHeight="1">
      <c r="A856" s="393"/>
      <c r="B856" s="31"/>
      <c r="C856" s="22"/>
      <c r="D856" s="165"/>
      <c r="E856" s="643"/>
      <c r="F856" s="22"/>
      <c r="G856" s="22"/>
      <c r="H856" s="22"/>
      <c r="I856" s="644"/>
      <c r="J856" s="644"/>
      <c r="K856" s="644"/>
      <c r="L856" s="644"/>
      <c r="M856" s="644"/>
    </row>
    <row r="857" ht="20.25" customHeight="1">
      <c r="A857" s="394"/>
      <c r="B857" s="27"/>
      <c r="C857" s="14"/>
      <c r="D857" s="165"/>
      <c r="E857" s="638"/>
      <c r="F857" s="14"/>
      <c r="G857" s="14"/>
      <c r="H857" s="14"/>
      <c r="I857" s="640"/>
      <c r="J857" s="640"/>
      <c r="K857" s="640"/>
      <c r="L857" s="640"/>
      <c r="M857" s="640"/>
    </row>
    <row r="858" ht="20.25" customHeight="1">
      <c r="A858" s="393"/>
      <c r="B858" s="31"/>
      <c r="C858" s="22"/>
      <c r="D858" s="165"/>
      <c r="E858" s="643"/>
      <c r="F858" s="22"/>
      <c r="G858" s="22"/>
      <c r="H858" s="22"/>
      <c r="I858" s="644"/>
      <c r="J858" s="644"/>
      <c r="K858" s="644"/>
      <c r="L858" s="644"/>
      <c r="M858" s="644"/>
    </row>
    <row r="859" ht="20.25" customHeight="1">
      <c r="A859" s="394"/>
      <c r="B859" s="27"/>
      <c r="C859" s="14"/>
      <c r="D859" s="165"/>
      <c r="E859" s="638"/>
      <c r="F859" s="14"/>
      <c r="G859" s="14"/>
      <c r="H859" s="14"/>
      <c r="I859" s="640"/>
      <c r="J859" s="640"/>
      <c r="K859" s="640"/>
      <c r="L859" s="640"/>
      <c r="M859" s="640"/>
    </row>
    <row r="860" ht="20.25" customHeight="1">
      <c r="A860" s="393"/>
      <c r="B860" s="31"/>
      <c r="C860" s="22"/>
      <c r="D860" s="165"/>
      <c r="E860" s="643"/>
      <c r="F860" s="22"/>
      <c r="G860" s="22"/>
      <c r="H860" s="22"/>
      <c r="I860" s="644"/>
      <c r="J860" s="644"/>
      <c r="K860" s="644"/>
      <c r="L860" s="644"/>
      <c r="M860" s="644"/>
    </row>
    <row r="861" ht="20.25" customHeight="1">
      <c r="A861" s="394"/>
      <c r="B861" s="27"/>
      <c r="C861" s="14"/>
      <c r="D861" s="165"/>
      <c r="E861" s="638"/>
      <c r="F861" s="14"/>
      <c r="G861" s="14"/>
      <c r="H861" s="14"/>
      <c r="I861" s="640"/>
      <c r="J861" s="640"/>
      <c r="K861" s="640"/>
      <c r="L861" s="640"/>
      <c r="M861" s="640"/>
    </row>
    <row r="862" ht="20.25" customHeight="1">
      <c r="A862" s="393"/>
      <c r="B862" s="31"/>
      <c r="C862" s="22"/>
      <c r="D862" s="165"/>
      <c r="E862" s="643"/>
      <c r="F862" s="22"/>
      <c r="G862" s="22"/>
      <c r="H862" s="22"/>
      <c r="I862" s="644"/>
      <c r="J862" s="644"/>
      <c r="K862" s="644"/>
      <c r="L862" s="644"/>
      <c r="M862" s="644"/>
    </row>
    <row r="863" ht="20.25" customHeight="1">
      <c r="A863" s="394"/>
      <c r="B863" s="27"/>
      <c r="C863" s="14"/>
      <c r="D863" s="165"/>
      <c r="E863" s="638"/>
      <c r="F863" s="14"/>
      <c r="G863" s="14"/>
      <c r="H863" s="14"/>
      <c r="I863" s="640"/>
      <c r="J863" s="640"/>
      <c r="K863" s="640"/>
      <c r="L863" s="640"/>
      <c r="M863" s="640"/>
    </row>
    <row r="864" ht="20.25" customHeight="1">
      <c r="A864" s="393"/>
      <c r="B864" s="31"/>
      <c r="C864" s="22"/>
      <c r="D864" s="165"/>
      <c r="E864" s="643"/>
      <c r="F864" s="22"/>
      <c r="G864" s="22"/>
      <c r="H864" s="22"/>
      <c r="I864" s="644"/>
      <c r="J864" s="644"/>
      <c r="K864" s="644"/>
      <c r="L864" s="644"/>
      <c r="M864" s="644"/>
    </row>
    <row r="865" ht="20.25" customHeight="1">
      <c r="A865" s="394"/>
      <c r="B865" s="27"/>
      <c r="C865" s="14"/>
      <c r="D865" s="165"/>
      <c r="E865" s="638"/>
      <c r="F865" s="14"/>
      <c r="G865" s="14"/>
      <c r="H865" s="14"/>
      <c r="I865" s="640"/>
      <c r="J865" s="640"/>
      <c r="K865" s="640"/>
      <c r="L865" s="640"/>
      <c r="M865" s="640"/>
    </row>
    <row r="866" ht="20.25" customHeight="1">
      <c r="A866" s="393"/>
      <c r="B866" s="31"/>
      <c r="C866" s="22"/>
      <c r="D866" s="165"/>
      <c r="E866" s="643"/>
      <c r="F866" s="22"/>
      <c r="G866" s="22"/>
      <c r="H866" s="22"/>
      <c r="I866" s="644"/>
      <c r="J866" s="644"/>
      <c r="K866" s="644"/>
      <c r="L866" s="644"/>
      <c r="M866" s="644"/>
    </row>
    <row r="867" ht="20.25" customHeight="1">
      <c r="A867" s="394"/>
      <c r="B867" s="27"/>
      <c r="C867" s="14"/>
      <c r="D867" s="165"/>
      <c r="E867" s="638"/>
      <c r="F867" s="14"/>
      <c r="G867" s="14"/>
      <c r="H867" s="14"/>
      <c r="I867" s="640"/>
      <c r="J867" s="640"/>
      <c r="K867" s="640"/>
      <c r="L867" s="640"/>
      <c r="M867" s="640"/>
    </row>
    <row r="868" ht="20.25" customHeight="1">
      <c r="A868" s="393"/>
      <c r="B868" s="31"/>
      <c r="C868" s="22"/>
      <c r="D868" s="165"/>
      <c r="E868" s="643"/>
      <c r="F868" s="22"/>
      <c r="G868" s="22"/>
      <c r="H868" s="22"/>
      <c r="I868" s="644"/>
      <c r="J868" s="644"/>
      <c r="K868" s="644"/>
      <c r="L868" s="644"/>
      <c r="M868" s="644"/>
    </row>
    <row r="869" ht="20.25" customHeight="1">
      <c r="A869" s="394"/>
      <c r="B869" s="27"/>
      <c r="C869" s="14"/>
      <c r="D869" s="165"/>
      <c r="E869" s="638"/>
      <c r="F869" s="14"/>
      <c r="G869" s="14"/>
      <c r="H869" s="14"/>
      <c r="I869" s="640"/>
      <c r="J869" s="640"/>
      <c r="K869" s="640"/>
      <c r="L869" s="640"/>
      <c r="M869" s="640"/>
    </row>
    <row r="870" ht="20.25" customHeight="1">
      <c r="A870" s="393"/>
      <c r="B870" s="31"/>
      <c r="C870" s="22"/>
      <c r="D870" s="165"/>
      <c r="E870" s="643"/>
      <c r="F870" s="22"/>
      <c r="G870" s="22"/>
      <c r="H870" s="22"/>
      <c r="I870" s="644"/>
      <c r="J870" s="644"/>
      <c r="K870" s="644"/>
      <c r="L870" s="644"/>
      <c r="M870" s="644"/>
    </row>
    <row r="871" ht="20.25" customHeight="1">
      <c r="A871" s="394"/>
      <c r="B871" s="27"/>
      <c r="C871" s="14"/>
      <c r="D871" s="165"/>
      <c r="E871" s="638"/>
      <c r="F871" s="14"/>
      <c r="G871" s="14"/>
      <c r="H871" s="14"/>
      <c r="I871" s="640"/>
      <c r="J871" s="640"/>
      <c r="K871" s="640"/>
      <c r="L871" s="640"/>
      <c r="M871" s="640"/>
    </row>
    <row r="872" ht="20.25" customHeight="1">
      <c r="A872" s="393"/>
      <c r="B872" s="31"/>
      <c r="C872" s="22"/>
      <c r="D872" s="165"/>
      <c r="E872" s="643"/>
      <c r="F872" s="22"/>
      <c r="G872" s="22"/>
      <c r="H872" s="22"/>
      <c r="I872" s="644"/>
      <c r="J872" s="644"/>
      <c r="K872" s="644"/>
      <c r="L872" s="644"/>
      <c r="M872" s="644"/>
    </row>
    <row r="873" ht="20.25" customHeight="1">
      <c r="A873" s="394"/>
      <c r="B873" s="27"/>
      <c r="C873" s="14"/>
      <c r="D873" s="165"/>
      <c r="E873" s="638"/>
      <c r="F873" s="14"/>
      <c r="G873" s="14"/>
      <c r="H873" s="14"/>
      <c r="I873" s="640"/>
      <c r="J873" s="640"/>
      <c r="K873" s="640"/>
      <c r="L873" s="640"/>
      <c r="M873" s="640"/>
    </row>
    <row r="874" ht="20.25" customHeight="1">
      <c r="A874" s="393"/>
      <c r="B874" s="31"/>
      <c r="C874" s="22"/>
      <c r="D874" s="165"/>
      <c r="E874" s="643"/>
      <c r="F874" s="22"/>
      <c r="G874" s="22"/>
      <c r="H874" s="22"/>
      <c r="I874" s="644"/>
      <c r="J874" s="644"/>
      <c r="K874" s="644"/>
      <c r="L874" s="644"/>
      <c r="M874" s="644"/>
    </row>
    <row r="875" ht="20.25" customHeight="1">
      <c r="A875" s="394"/>
      <c r="B875" s="27"/>
      <c r="C875" s="14"/>
      <c r="D875" s="165"/>
      <c r="E875" s="638"/>
      <c r="F875" s="14"/>
      <c r="G875" s="14"/>
      <c r="H875" s="14"/>
      <c r="I875" s="640"/>
      <c r="J875" s="640"/>
      <c r="K875" s="640"/>
      <c r="L875" s="640"/>
      <c r="M875" s="640"/>
    </row>
    <row r="876" ht="20.25" customHeight="1">
      <c r="A876" s="393"/>
      <c r="B876" s="31"/>
      <c r="C876" s="22"/>
      <c r="D876" s="165"/>
      <c r="E876" s="643"/>
      <c r="F876" s="22"/>
      <c r="G876" s="22"/>
      <c r="H876" s="22"/>
      <c r="I876" s="644"/>
      <c r="J876" s="644"/>
      <c r="K876" s="644"/>
      <c r="L876" s="644"/>
      <c r="M876" s="644"/>
    </row>
    <row r="877" ht="20.25" customHeight="1">
      <c r="A877" s="394"/>
      <c r="B877" s="27"/>
      <c r="C877" s="14"/>
      <c r="D877" s="165"/>
      <c r="E877" s="638"/>
      <c r="F877" s="14"/>
      <c r="G877" s="14"/>
      <c r="H877" s="14"/>
      <c r="I877" s="640"/>
      <c r="J877" s="640"/>
      <c r="K877" s="640"/>
      <c r="L877" s="640"/>
      <c r="M877" s="640"/>
    </row>
    <row r="878" ht="20.25" customHeight="1">
      <c r="A878" s="393"/>
      <c r="B878" s="31"/>
      <c r="C878" s="22"/>
      <c r="D878" s="165"/>
      <c r="E878" s="643"/>
      <c r="F878" s="22"/>
      <c r="G878" s="22"/>
      <c r="H878" s="22"/>
      <c r="I878" s="644"/>
      <c r="J878" s="644"/>
      <c r="K878" s="644"/>
      <c r="L878" s="644"/>
      <c r="M878" s="644"/>
    </row>
    <row r="879" ht="20.25" customHeight="1">
      <c r="A879" s="394"/>
      <c r="B879" s="27"/>
      <c r="C879" s="14"/>
      <c r="D879" s="165"/>
      <c r="E879" s="638"/>
      <c r="F879" s="14"/>
      <c r="G879" s="14"/>
      <c r="H879" s="14"/>
      <c r="I879" s="640"/>
      <c r="J879" s="640"/>
      <c r="K879" s="640"/>
      <c r="L879" s="640"/>
      <c r="M879" s="640"/>
    </row>
    <row r="880" ht="20.25" customHeight="1">
      <c r="A880" s="393"/>
      <c r="B880" s="31"/>
      <c r="C880" s="22"/>
      <c r="D880" s="165"/>
      <c r="E880" s="643"/>
      <c r="F880" s="22"/>
      <c r="G880" s="22"/>
      <c r="H880" s="22"/>
      <c r="I880" s="644"/>
      <c r="J880" s="644"/>
      <c r="K880" s="644"/>
      <c r="L880" s="644"/>
      <c r="M880" s="644"/>
    </row>
    <row r="881" ht="20.25" customHeight="1">
      <c r="A881" s="394"/>
      <c r="B881" s="27"/>
      <c r="C881" s="14"/>
      <c r="D881" s="165"/>
      <c r="E881" s="638"/>
      <c r="F881" s="14"/>
      <c r="G881" s="14"/>
      <c r="H881" s="14"/>
      <c r="I881" s="640"/>
      <c r="J881" s="640"/>
      <c r="K881" s="640"/>
      <c r="L881" s="640"/>
      <c r="M881" s="640"/>
    </row>
    <row r="882" ht="20.25" customHeight="1">
      <c r="A882" s="393"/>
      <c r="B882" s="31"/>
      <c r="C882" s="22"/>
      <c r="D882" s="165"/>
      <c r="E882" s="643"/>
      <c r="F882" s="22"/>
      <c r="G882" s="22"/>
      <c r="H882" s="22"/>
      <c r="I882" s="644"/>
      <c r="J882" s="644"/>
      <c r="K882" s="644"/>
      <c r="L882" s="644"/>
      <c r="M882" s="644"/>
    </row>
    <row r="883" ht="20.25" customHeight="1">
      <c r="A883" s="394"/>
      <c r="B883" s="27"/>
      <c r="C883" s="14"/>
      <c r="D883" s="165"/>
      <c r="E883" s="638"/>
      <c r="F883" s="14"/>
      <c r="G883" s="14"/>
      <c r="H883" s="14"/>
      <c r="I883" s="640"/>
      <c r="J883" s="640"/>
      <c r="K883" s="640"/>
      <c r="L883" s="640"/>
      <c r="M883" s="640"/>
    </row>
    <row r="884" ht="20.25" customHeight="1">
      <c r="A884" s="393"/>
      <c r="B884" s="31"/>
      <c r="C884" s="22"/>
      <c r="D884" s="165"/>
      <c r="E884" s="643"/>
      <c r="F884" s="22"/>
      <c r="G884" s="22"/>
      <c r="H884" s="22"/>
      <c r="I884" s="644"/>
      <c r="J884" s="644"/>
      <c r="K884" s="644"/>
      <c r="L884" s="644"/>
      <c r="M884" s="644"/>
    </row>
    <row r="885" ht="20.25" customHeight="1">
      <c r="A885" s="394"/>
      <c r="B885" s="27"/>
      <c r="C885" s="14"/>
      <c r="D885" s="165"/>
      <c r="E885" s="638"/>
      <c r="F885" s="14"/>
      <c r="G885" s="14"/>
      <c r="H885" s="14"/>
      <c r="I885" s="640"/>
      <c r="J885" s="640"/>
      <c r="K885" s="640"/>
      <c r="L885" s="640"/>
      <c r="M885" s="640"/>
    </row>
    <row r="886" ht="20.25" customHeight="1">
      <c r="A886" s="393"/>
      <c r="B886" s="31"/>
      <c r="C886" s="22"/>
      <c r="D886" s="165"/>
      <c r="E886" s="643"/>
      <c r="F886" s="22"/>
      <c r="G886" s="22"/>
      <c r="H886" s="22"/>
      <c r="I886" s="644"/>
      <c r="J886" s="644"/>
      <c r="K886" s="644"/>
      <c r="L886" s="644"/>
      <c r="M886" s="644"/>
    </row>
    <row r="887" ht="20.25" customHeight="1">
      <c r="A887" s="394"/>
      <c r="B887" s="27"/>
      <c r="C887" s="14"/>
      <c r="D887" s="165"/>
      <c r="E887" s="638"/>
      <c r="F887" s="14"/>
      <c r="G887" s="14"/>
      <c r="H887" s="14"/>
      <c r="I887" s="640"/>
      <c r="J887" s="640"/>
      <c r="K887" s="640"/>
      <c r="L887" s="640"/>
      <c r="M887" s="640"/>
    </row>
    <row r="888" ht="20.25" customHeight="1">
      <c r="A888" s="393"/>
      <c r="B888" s="31"/>
      <c r="C888" s="22"/>
      <c r="D888" s="165"/>
      <c r="E888" s="643"/>
      <c r="F888" s="22"/>
      <c r="G888" s="22"/>
      <c r="H888" s="22"/>
      <c r="I888" s="644"/>
      <c r="J888" s="644"/>
      <c r="K888" s="644"/>
      <c r="L888" s="644"/>
      <c r="M888" s="644"/>
    </row>
    <row r="889" ht="20.25" customHeight="1">
      <c r="A889" s="394"/>
      <c r="B889" s="27"/>
      <c r="C889" s="14"/>
      <c r="D889" s="165"/>
      <c r="E889" s="638"/>
      <c r="F889" s="14"/>
      <c r="G889" s="14"/>
      <c r="H889" s="14"/>
      <c r="I889" s="640"/>
      <c r="J889" s="640"/>
      <c r="K889" s="640"/>
      <c r="L889" s="640"/>
      <c r="M889" s="640"/>
    </row>
    <row r="890" ht="20.25" customHeight="1">
      <c r="A890" s="393"/>
      <c r="B890" s="31"/>
      <c r="C890" s="22"/>
      <c r="D890" s="165"/>
      <c r="E890" s="643"/>
      <c r="F890" s="22"/>
      <c r="G890" s="22"/>
      <c r="H890" s="22"/>
      <c r="I890" s="644"/>
      <c r="J890" s="644"/>
      <c r="K890" s="644"/>
      <c r="L890" s="644"/>
      <c r="M890" s="644"/>
    </row>
    <row r="891" ht="20.25" customHeight="1">
      <c r="A891" s="394"/>
      <c r="B891" s="27"/>
      <c r="C891" s="14"/>
      <c r="D891" s="165"/>
      <c r="E891" s="638"/>
      <c r="F891" s="14"/>
      <c r="G891" s="14"/>
      <c r="H891" s="14"/>
      <c r="I891" s="640"/>
      <c r="J891" s="640"/>
      <c r="K891" s="640"/>
      <c r="L891" s="640"/>
      <c r="M891" s="640"/>
    </row>
    <row r="892" ht="20.25" customHeight="1">
      <c r="A892" s="393"/>
      <c r="B892" s="31"/>
      <c r="C892" s="22"/>
      <c r="D892" s="165"/>
      <c r="E892" s="643"/>
      <c r="F892" s="22"/>
      <c r="G892" s="22"/>
      <c r="H892" s="22"/>
      <c r="I892" s="644"/>
      <c r="J892" s="644"/>
      <c r="K892" s="644"/>
      <c r="L892" s="644"/>
      <c r="M892" s="644"/>
    </row>
    <row r="893" ht="20.25" customHeight="1">
      <c r="A893" s="394"/>
      <c r="B893" s="27"/>
      <c r="C893" s="14"/>
      <c r="D893" s="165"/>
      <c r="E893" s="638"/>
      <c r="F893" s="14"/>
      <c r="G893" s="14"/>
      <c r="H893" s="14"/>
      <c r="I893" s="640"/>
      <c r="J893" s="640"/>
      <c r="K893" s="640"/>
      <c r="L893" s="640"/>
      <c r="M893" s="640"/>
    </row>
    <row r="894" ht="20.25" customHeight="1">
      <c r="A894" s="393"/>
      <c r="B894" s="31"/>
      <c r="C894" s="22"/>
      <c r="D894" s="165"/>
      <c r="E894" s="643"/>
      <c r="F894" s="22"/>
      <c r="G894" s="22"/>
      <c r="H894" s="22"/>
      <c r="I894" s="644"/>
      <c r="J894" s="644"/>
      <c r="K894" s="644"/>
      <c r="L894" s="644"/>
      <c r="M894" s="644"/>
    </row>
    <row r="895" ht="20.25" customHeight="1">
      <c r="A895" s="394"/>
      <c r="B895" s="27"/>
      <c r="C895" s="14"/>
      <c r="D895" s="165"/>
      <c r="E895" s="638"/>
      <c r="F895" s="14"/>
      <c r="G895" s="14"/>
      <c r="H895" s="14"/>
      <c r="I895" s="640"/>
      <c r="J895" s="640"/>
      <c r="K895" s="640"/>
      <c r="L895" s="640"/>
      <c r="M895" s="640"/>
    </row>
    <row r="896" ht="20.25" customHeight="1">
      <c r="A896" s="393"/>
      <c r="B896" s="31"/>
      <c r="C896" s="22"/>
      <c r="D896" s="165"/>
      <c r="E896" s="643"/>
      <c r="F896" s="22"/>
      <c r="G896" s="22"/>
      <c r="H896" s="22"/>
      <c r="I896" s="644"/>
      <c r="J896" s="644"/>
      <c r="K896" s="644"/>
      <c r="L896" s="644"/>
      <c r="M896" s="644"/>
    </row>
    <row r="897" ht="20.25" customHeight="1">
      <c r="A897" s="394"/>
      <c r="B897" s="27"/>
      <c r="C897" s="14"/>
      <c r="D897" s="165"/>
      <c r="E897" s="638"/>
      <c r="F897" s="14"/>
      <c r="G897" s="14"/>
      <c r="H897" s="14"/>
      <c r="I897" s="640"/>
      <c r="J897" s="640"/>
      <c r="K897" s="640"/>
      <c r="L897" s="640"/>
      <c r="M897" s="640"/>
    </row>
    <row r="898" ht="20.25" customHeight="1">
      <c r="A898" s="393"/>
      <c r="B898" s="31"/>
      <c r="C898" s="22"/>
      <c r="D898" s="165"/>
      <c r="E898" s="643"/>
      <c r="F898" s="22"/>
      <c r="G898" s="22"/>
      <c r="H898" s="22"/>
      <c r="I898" s="644"/>
      <c r="J898" s="644"/>
      <c r="K898" s="644"/>
      <c r="L898" s="644"/>
      <c r="M898" s="644"/>
    </row>
    <row r="899" ht="20.25" customHeight="1">
      <c r="A899" s="394"/>
      <c r="B899" s="27"/>
      <c r="C899" s="14"/>
      <c r="D899" s="165"/>
      <c r="E899" s="638"/>
      <c r="F899" s="14"/>
      <c r="G899" s="14"/>
      <c r="H899" s="14"/>
      <c r="I899" s="640"/>
      <c r="J899" s="640"/>
      <c r="K899" s="640"/>
      <c r="L899" s="640"/>
      <c r="M899" s="640"/>
    </row>
    <row r="900" ht="20.25" customHeight="1">
      <c r="A900" s="393"/>
      <c r="B900" s="31"/>
      <c r="C900" s="22"/>
      <c r="D900" s="165"/>
      <c r="E900" s="643"/>
      <c r="F900" s="22"/>
      <c r="G900" s="22"/>
      <c r="H900" s="22"/>
      <c r="I900" s="644"/>
      <c r="J900" s="644"/>
      <c r="K900" s="644"/>
      <c r="L900" s="644"/>
      <c r="M900" s="644"/>
    </row>
    <row r="901" ht="20.25" customHeight="1">
      <c r="A901" s="394"/>
      <c r="B901" s="27"/>
      <c r="C901" s="14"/>
      <c r="D901" s="165"/>
      <c r="E901" s="638"/>
      <c r="F901" s="14"/>
      <c r="G901" s="14"/>
      <c r="H901" s="14"/>
      <c r="I901" s="640"/>
      <c r="J901" s="640"/>
      <c r="K901" s="640"/>
      <c r="L901" s="640"/>
      <c r="M901" s="640"/>
    </row>
    <row r="902" ht="20.25" customHeight="1">
      <c r="A902" s="393"/>
      <c r="B902" s="31"/>
      <c r="C902" s="22"/>
      <c r="D902" s="165"/>
      <c r="E902" s="643"/>
      <c r="F902" s="22"/>
      <c r="G902" s="22"/>
      <c r="H902" s="22"/>
      <c r="I902" s="644"/>
      <c r="J902" s="644"/>
      <c r="K902" s="644"/>
      <c r="L902" s="644"/>
      <c r="M902" s="644"/>
    </row>
    <row r="903" ht="20.25" customHeight="1">
      <c r="A903" s="394"/>
      <c r="B903" s="27"/>
      <c r="C903" s="14"/>
      <c r="D903" s="165"/>
      <c r="E903" s="638"/>
      <c r="F903" s="14"/>
      <c r="G903" s="14"/>
      <c r="H903" s="14"/>
      <c r="I903" s="640"/>
      <c r="J903" s="640"/>
      <c r="K903" s="640"/>
      <c r="L903" s="640"/>
      <c r="M903" s="640"/>
    </row>
    <row r="904" ht="20.25" customHeight="1">
      <c r="A904" s="393"/>
      <c r="B904" s="31"/>
      <c r="C904" s="22"/>
      <c r="D904" s="165"/>
      <c r="E904" s="643"/>
      <c r="F904" s="22"/>
      <c r="G904" s="22"/>
      <c r="H904" s="22"/>
      <c r="I904" s="644"/>
      <c r="J904" s="644"/>
      <c r="K904" s="644"/>
      <c r="L904" s="644"/>
      <c r="M904" s="644"/>
    </row>
    <row r="905" ht="20.25" customHeight="1">
      <c r="A905" s="394"/>
      <c r="B905" s="27"/>
      <c r="C905" s="14"/>
      <c r="D905" s="165"/>
      <c r="E905" s="638"/>
      <c r="F905" s="14"/>
      <c r="G905" s="14"/>
      <c r="H905" s="14"/>
      <c r="I905" s="640"/>
      <c r="J905" s="640"/>
      <c r="K905" s="640"/>
      <c r="L905" s="640"/>
      <c r="M905" s="640"/>
    </row>
    <row r="906" ht="20.25" customHeight="1">
      <c r="A906" s="393"/>
      <c r="B906" s="31"/>
      <c r="C906" s="22"/>
      <c r="D906" s="165"/>
      <c r="E906" s="643"/>
      <c r="F906" s="22"/>
      <c r="G906" s="22"/>
      <c r="H906" s="22"/>
      <c r="I906" s="644"/>
      <c r="J906" s="644"/>
      <c r="K906" s="644"/>
      <c r="L906" s="644"/>
      <c r="M906" s="644"/>
    </row>
    <row r="907" ht="20.25" customHeight="1">
      <c r="A907" s="394"/>
      <c r="B907" s="27"/>
      <c r="C907" s="14"/>
      <c r="D907" s="165"/>
      <c r="E907" s="638"/>
      <c r="F907" s="14"/>
      <c r="G907" s="14"/>
      <c r="H907" s="14"/>
      <c r="I907" s="640"/>
      <c r="J907" s="640"/>
      <c r="K907" s="640"/>
      <c r="L907" s="640"/>
      <c r="M907" s="640"/>
    </row>
    <row r="908" ht="20.25" customHeight="1">
      <c r="A908" s="393"/>
      <c r="B908" s="31"/>
      <c r="C908" s="22"/>
      <c r="D908" s="165"/>
      <c r="E908" s="643"/>
      <c r="F908" s="22"/>
      <c r="G908" s="22"/>
      <c r="H908" s="22"/>
      <c r="I908" s="644"/>
      <c r="J908" s="644"/>
      <c r="K908" s="644"/>
      <c r="L908" s="644"/>
      <c r="M908" s="644"/>
    </row>
    <row r="909" ht="20.25" customHeight="1">
      <c r="A909" s="394"/>
      <c r="B909" s="27"/>
      <c r="C909" s="14"/>
      <c r="D909" s="165"/>
      <c r="E909" s="638"/>
      <c r="F909" s="14"/>
      <c r="G909" s="14"/>
      <c r="H909" s="14"/>
      <c r="I909" s="640"/>
      <c r="J909" s="640"/>
      <c r="K909" s="640"/>
      <c r="L909" s="640"/>
      <c r="M909" s="640"/>
    </row>
    <row r="910" ht="20.25" customHeight="1">
      <c r="A910" s="393"/>
      <c r="B910" s="31"/>
      <c r="C910" s="22"/>
      <c r="D910" s="165"/>
      <c r="E910" s="643"/>
      <c r="F910" s="22"/>
      <c r="G910" s="22"/>
      <c r="H910" s="22"/>
      <c r="I910" s="644"/>
      <c r="J910" s="644"/>
      <c r="K910" s="644"/>
      <c r="L910" s="644"/>
      <c r="M910" s="644"/>
    </row>
    <row r="911" ht="20.25" customHeight="1">
      <c r="A911" s="394"/>
      <c r="B911" s="27"/>
      <c r="C911" s="14"/>
      <c r="D911" s="165"/>
      <c r="E911" s="638"/>
      <c r="F911" s="14"/>
      <c r="G911" s="14"/>
      <c r="H911" s="14"/>
      <c r="I911" s="640"/>
      <c r="J911" s="640"/>
      <c r="K911" s="640"/>
      <c r="L911" s="640"/>
      <c r="M911" s="640"/>
    </row>
    <row r="912" ht="20.25" customHeight="1">
      <c r="A912" s="393"/>
      <c r="B912" s="31"/>
      <c r="C912" s="22"/>
      <c r="D912" s="165"/>
      <c r="E912" s="643"/>
      <c r="F912" s="22"/>
      <c r="G912" s="22"/>
      <c r="H912" s="22"/>
      <c r="I912" s="644"/>
      <c r="J912" s="644"/>
      <c r="K912" s="644"/>
      <c r="L912" s="644"/>
      <c r="M912" s="644"/>
    </row>
    <row r="913" ht="20.25" customHeight="1">
      <c r="A913" s="394"/>
      <c r="B913" s="27"/>
      <c r="C913" s="14"/>
      <c r="D913" s="165"/>
      <c r="E913" s="638"/>
      <c r="F913" s="14"/>
      <c r="G913" s="14"/>
      <c r="H913" s="14"/>
      <c r="I913" s="640"/>
      <c r="J913" s="640"/>
      <c r="K913" s="640"/>
      <c r="L913" s="640"/>
      <c r="M913" s="640"/>
    </row>
    <row r="914" ht="20.25" customHeight="1">
      <c r="A914" s="393"/>
      <c r="B914" s="31"/>
      <c r="C914" s="22"/>
      <c r="D914" s="165"/>
      <c r="E914" s="643"/>
      <c r="F914" s="22"/>
      <c r="G914" s="22"/>
      <c r="H914" s="22"/>
      <c r="I914" s="644"/>
      <c r="J914" s="644"/>
      <c r="K914" s="644"/>
      <c r="L914" s="644"/>
      <c r="M914" s="644"/>
    </row>
    <row r="915" ht="20.25" customHeight="1">
      <c r="A915" s="394"/>
      <c r="B915" s="27"/>
      <c r="C915" s="14"/>
      <c r="D915" s="165"/>
      <c r="E915" s="638"/>
      <c r="F915" s="14"/>
      <c r="G915" s="14"/>
      <c r="H915" s="14"/>
      <c r="I915" s="640"/>
      <c r="J915" s="640"/>
      <c r="K915" s="640"/>
      <c r="L915" s="640"/>
      <c r="M915" s="640"/>
    </row>
    <row r="916" ht="20.25" customHeight="1">
      <c r="A916" s="393"/>
      <c r="B916" s="31"/>
      <c r="C916" s="22"/>
      <c r="D916" s="165"/>
      <c r="E916" s="643"/>
      <c r="F916" s="22"/>
      <c r="G916" s="22"/>
      <c r="H916" s="22"/>
      <c r="I916" s="644"/>
      <c r="J916" s="644"/>
      <c r="K916" s="644"/>
      <c r="L916" s="644"/>
      <c r="M916" s="644"/>
    </row>
    <row r="917" ht="20.25" customHeight="1">
      <c r="A917" s="394"/>
      <c r="B917" s="27"/>
      <c r="C917" s="14"/>
      <c r="D917" s="165"/>
      <c r="E917" s="638"/>
      <c r="F917" s="14"/>
      <c r="G917" s="14"/>
      <c r="H917" s="14"/>
      <c r="I917" s="640"/>
      <c r="J917" s="640"/>
      <c r="K917" s="640"/>
      <c r="L917" s="640"/>
      <c r="M917" s="640"/>
    </row>
    <row r="918" ht="20.25" customHeight="1">
      <c r="A918" s="393"/>
      <c r="B918" s="31"/>
      <c r="C918" s="22"/>
      <c r="D918" s="165"/>
      <c r="E918" s="643"/>
      <c r="F918" s="22"/>
      <c r="G918" s="22"/>
      <c r="H918" s="22"/>
      <c r="I918" s="644"/>
      <c r="J918" s="644"/>
      <c r="K918" s="644"/>
      <c r="L918" s="644"/>
      <c r="M918" s="644"/>
    </row>
    <row r="919" ht="20.25" customHeight="1">
      <c r="A919" s="394"/>
      <c r="B919" s="27"/>
      <c r="C919" s="14"/>
      <c r="D919" s="165"/>
      <c r="E919" s="638"/>
      <c r="F919" s="14"/>
      <c r="G919" s="14"/>
      <c r="H919" s="14"/>
      <c r="I919" s="640"/>
      <c r="J919" s="640"/>
      <c r="K919" s="640"/>
      <c r="L919" s="640"/>
      <c r="M919" s="640"/>
    </row>
    <row r="920" ht="20.25" customHeight="1">
      <c r="A920" s="393"/>
      <c r="B920" s="31"/>
      <c r="C920" s="22"/>
      <c r="D920" s="165"/>
      <c r="E920" s="643"/>
      <c r="F920" s="22"/>
      <c r="G920" s="22"/>
      <c r="H920" s="22"/>
      <c r="I920" s="644"/>
      <c r="J920" s="644"/>
      <c r="K920" s="644"/>
      <c r="L920" s="644"/>
      <c r="M920" s="644"/>
    </row>
    <row r="921" ht="20.25" customHeight="1">
      <c r="A921" s="394"/>
      <c r="B921" s="27"/>
      <c r="C921" s="14"/>
      <c r="D921" s="165"/>
      <c r="E921" s="638"/>
      <c r="F921" s="14"/>
      <c r="G921" s="14"/>
      <c r="H921" s="14"/>
      <c r="I921" s="640"/>
      <c r="J921" s="640"/>
      <c r="K921" s="640"/>
      <c r="L921" s="640"/>
      <c r="M921" s="640"/>
    </row>
    <row r="922" ht="20.25" customHeight="1">
      <c r="A922" s="393"/>
      <c r="B922" s="31"/>
      <c r="C922" s="22"/>
      <c r="D922" s="165"/>
      <c r="E922" s="643"/>
      <c r="F922" s="22"/>
      <c r="G922" s="22"/>
      <c r="H922" s="22"/>
      <c r="I922" s="644"/>
      <c r="J922" s="644"/>
      <c r="K922" s="644"/>
      <c r="L922" s="644"/>
      <c r="M922" s="644"/>
    </row>
    <row r="923" ht="20.25" customHeight="1">
      <c r="A923" s="394"/>
      <c r="B923" s="27"/>
      <c r="C923" s="14"/>
      <c r="D923" s="165"/>
      <c r="E923" s="638"/>
      <c r="F923" s="14"/>
      <c r="G923" s="14"/>
      <c r="H923" s="14"/>
      <c r="I923" s="640"/>
      <c r="J923" s="640"/>
      <c r="K923" s="640"/>
      <c r="L923" s="640"/>
      <c r="M923" s="640"/>
    </row>
    <row r="924" ht="20.25" customHeight="1">
      <c r="A924" s="393"/>
      <c r="B924" s="31"/>
      <c r="C924" s="22"/>
      <c r="D924" s="165"/>
      <c r="E924" s="643"/>
      <c r="F924" s="22"/>
      <c r="G924" s="22"/>
      <c r="H924" s="22"/>
      <c r="I924" s="644"/>
      <c r="J924" s="644"/>
      <c r="K924" s="644"/>
      <c r="L924" s="644"/>
      <c r="M924" s="644"/>
    </row>
    <row r="925" ht="20.25" customHeight="1">
      <c r="A925" s="394"/>
      <c r="B925" s="27"/>
      <c r="C925" s="14"/>
      <c r="D925" s="165"/>
      <c r="E925" s="638"/>
      <c r="F925" s="14"/>
      <c r="G925" s="14"/>
      <c r="H925" s="14"/>
      <c r="I925" s="640"/>
      <c r="J925" s="640"/>
      <c r="K925" s="640"/>
      <c r="L925" s="640"/>
      <c r="M925" s="640"/>
    </row>
    <row r="926" ht="20.25" customHeight="1">
      <c r="A926" s="393"/>
      <c r="B926" s="31"/>
      <c r="C926" s="22"/>
      <c r="D926" s="165"/>
      <c r="E926" s="643"/>
      <c r="F926" s="22"/>
      <c r="G926" s="22"/>
      <c r="H926" s="22"/>
      <c r="I926" s="644"/>
      <c r="J926" s="644"/>
      <c r="K926" s="644"/>
      <c r="L926" s="644"/>
      <c r="M926" s="644"/>
    </row>
    <row r="927" ht="20.25" customHeight="1">
      <c r="A927" s="394"/>
      <c r="B927" s="27"/>
      <c r="C927" s="14"/>
      <c r="D927" s="165"/>
      <c r="E927" s="638"/>
      <c r="F927" s="14"/>
      <c r="G927" s="14"/>
      <c r="H927" s="14"/>
      <c r="I927" s="640"/>
      <c r="J927" s="640"/>
      <c r="K927" s="640"/>
      <c r="L927" s="640"/>
      <c r="M927" s="640"/>
    </row>
    <row r="928" ht="20.25" customHeight="1">
      <c r="A928" s="393"/>
      <c r="B928" s="31"/>
      <c r="C928" s="22"/>
      <c r="D928" s="165"/>
      <c r="E928" s="643"/>
      <c r="F928" s="22"/>
      <c r="G928" s="22"/>
      <c r="H928" s="22"/>
      <c r="I928" s="644"/>
      <c r="J928" s="644"/>
      <c r="K928" s="644"/>
      <c r="L928" s="644"/>
      <c r="M928" s="644"/>
    </row>
    <row r="929" ht="20.25" customHeight="1">
      <c r="A929" s="394"/>
      <c r="B929" s="27"/>
      <c r="C929" s="14"/>
      <c r="D929" s="165"/>
      <c r="E929" s="638"/>
      <c r="F929" s="14"/>
      <c r="G929" s="14"/>
      <c r="H929" s="14"/>
      <c r="I929" s="640"/>
      <c r="J929" s="640"/>
      <c r="K929" s="640"/>
      <c r="L929" s="640"/>
      <c r="M929" s="640"/>
    </row>
    <row r="930" ht="20.25" customHeight="1">
      <c r="A930" s="393"/>
      <c r="B930" s="31"/>
      <c r="C930" s="22"/>
      <c r="D930" s="165"/>
      <c r="E930" s="643"/>
      <c r="F930" s="22"/>
      <c r="G930" s="22"/>
      <c r="H930" s="22"/>
      <c r="I930" s="644"/>
      <c r="J930" s="644"/>
      <c r="K930" s="644"/>
      <c r="L930" s="644"/>
      <c r="M930" s="644"/>
    </row>
    <row r="931" ht="20.25" customHeight="1">
      <c r="A931" s="394"/>
      <c r="B931" s="27"/>
      <c r="C931" s="14"/>
      <c r="D931" s="165"/>
      <c r="E931" s="638"/>
      <c r="F931" s="14"/>
      <c r="G931" s="14"/>
      <c r="H931" s="14"/>
      <c r="I931" s="640"/>
      <c r="J931" s="640"/>
      <c r="K931" s="640"/>
      <c r="L931" s="640"/>
      <c r="M931" s="640"/>
    </row>
    <row r="932" ht="20.25" customHeight="1">
      <c r="A932" s="393"/>
      <c r="B932" s="31"/>
      <c r="C932" s="22"/>
      <c r="D932" s="165"/>
      <c r="E932" s="643"/>
      <c r="F932" s="22"/>
      <c r="G932" s="22"/>
      <c r="H932" s="22"/>
      <c r="I932" s="644"/>
      <c r="J932" s="644"/>
      <c r="K932" s="644"/>
      <c r="L932" s="644"/>
      <c r="M932" s="644"/>
    </row>
    <row r="933" ht="20.25" customHeight="1">
      <c r="A933" s="394"/>
      <c r="B933" s="27"/>
      <c r="C933" s="14"/>
      <c r="D933" s="165"/>
      <c r="E933" s="638"/>
      <c r="F933" s="14"/>
      <c r="G933" s="14"/>
      <c r="H933" s="14"/>
      <c r="I933" s="640"/>
      <c r="J933" s="640"/>
      <c r="K933" s="640"/>
      <c r="L933" s="640"/>
      <c r="M933" s="640"/>
    </row>
    <row r="934" ht="20.25" customHeight="1">
      <c r="A934" s="393"/>
      <c r="B934" s="31"/>
      <c r="C934" s="22"/>
      <c r="D934" s="165"/>
      <c r="E934" s="643"/>
      <c r="F934" s="22"/>
      <c r="G934" s="22"/>
      <c r="H934" s="22"/>
      <c r="I934" s="644"/>
      <c r="J934" s="644"/>
      <c r="K934" s="644"/>
      <c r="L934" s="644"/>
      <c r="M934" s="644"/>
    </row>
    <row r="935" ht="20.25" customHeight="1">
      <c r="A935" s="394"/>
      <c r="B935" s="27"/>
      <c r="C935" s="14"/>
      <c r="D935" s="165"/>
      <c r="E935" s="638"/>
      <c r="F935" s="14"/>
      <c r="G935" s="14"/>
      <c r="H935" s="14"/>
      <c r="I935" s="640"/>
      <c r="J935" s="640"/>
      <c r="K935" s="640"/>
      <c r="L935" s="640"/>
      <c r="M935" s="640"/>
    </row>
    <row r="936" ht="20.25" customHeight="1">
      <c r="A936" s="393"/>
      <c r="B936" s="31"/>
      <c r="C936" s="22"/>
      <c r="D936" s="165"/>
      <c r="E936" s="643"/>
      <c r="F936" s="22"/>
      <c r="G936" s="22"/>
      <c r="H936" s="22"/>
      <c r="I936" s="644"/>
      <c r="J936" s="644"/>
      <c r="K936" s="644"/>
      <c r="L936" s="644"/>
      <c r="M936" s="644"/>
    </row>
    <row r="937" ht="20.25" customHeight="1">
      <c r="A937" s="394"/>
      <c r="B937" s="27"/>
      <c r="C937" s="14"/>
      <c r="D937" s="165"/>
      <c r="E937" s="638"/>
      <c r="F937" s="14"/>
      <c r="G937" s="14"/>
      <c r="H937" s="14"/>
      <c r="I937" s="640"/>
      <c r="J937" s="640"/>
      <c r="K937" s="640"/>
      <c r="L937" s="640"/>
      <c r="M937" s="640"/>
    </row>
    <row r="938" ht="20.25" customHeight="1">
      <c r="A938" s="393"/>
      <c r="B938" s="31"/>
      <c r="C938" s="22"/>
      <c r="D938" s="165"/>
      <c r="E938" s="643"/>
      <c r="F938" s="22"/>
      <c r="G938" s="22"/>
      <c r="H938" s="22"/>
      <c r="I938" s="644"/>
      <c r="J938" s="644"/>
      <c r="K938" s="644"/>
      <c r="L938" s="644"/>
      <c r="M938" s="644"/>
    </row>
    <row r="939" ht="20.25" customHeight="1">
      <c r="A939" s="394"/>
      <c r="B939" s="27"/>
      <c r="C939" s="14"/>
      <c r="D939" s="165"/>
      <c r="E939" s="638"/>
      <c r="F939" s="14"/>
      <c r="G939" s="14"/>
      <c r="H939" s="14"/>
      <c r="I939" s="640"/>
      <c r="J939" s="640"/>
      <c r="K939" s="640"/>
      <c r="L939" s="640"/>
      <c r="M939" s="640"/>
    </row>
    <row r="940" ht="20.25" customHeight="1">
      <c r="A940" s="393"/>
      <c r="B940" s="31"/>
      <c r="C940" s="22"/>
      <c r="D940" s="165"/>
      <c r="E940" s="643"/>
      <c r="F940" s="22"/>
      <c r="G940" s="22"/>
      <c r="H940" s="22"/>
      <c r="I940" s="644"/>
      <c r="J940" s="644"/>
      <c r="K940" s="644"/>
      <c r="L940" s="644"/>
      <c r="M940" s="644"/>
    </row>
    <row r="941" ht="20.25" customHeight="1">
      <c r="A941" s="394"/>
      <c r="B941" s="27"/>
      <c r="C941" s="14"/>
      <c r="D941" s="165"/>
      <c r="E941" s="638"/>
      <c r="F941" s="14"/>
      <c r="G941" s="14"/>
      <c r="H941" s="14"/>
      <c r="I941" s="640"/>
      <c r="J941" s="640"/>
      <c r="K941" s="640"/>
      <c r="L941" s="640"/>
      <c r="M941" s="640"/>
    </row>
    <row r="942" ht="20.25" customHeight="1">
      <c r="A942" s="393"/>
      <c r="B942" s="31"/>
      <c r="C942" s="22"/>
      <c r="D942" s="165"/>
      <c r="E942" s="643"/>
      <c r="F942" s="22"/>
      <c r="G942" s="22"/>
      <c r="H942" s="22"/>
      <c r="I942" s="644"/>
      <c r="J942" s="644"/>
      <c r="K942" s="644"/>
      <c r="L942" s="644"/>
      <c r="M942" s="644"/>
    </row>
    <row r="943" ht="20.25" customHeight="1">
      <c r="A943" s="394"/>
      <c r="B943" s="27"/>
      <c r="C943" s="14"/>
      <c r="D943" s="165"/>
      <c r="E943" s="638"/>
      <c r="F943" s="14"/>
      <c r="G943" s="14"/>
      <c r="H943" s="14"/>
      <c r="I943" s="640"/>
      <c r="J943" s="640"/>
      <c r="K943" s="640"/>
      <c r="L943" s="640"/>
      <c r="M943" s="640"/>
    </row>
    <row r="944" ht="20.25" customHeight="1">
      <c r="A944" s="393"/>
      <c r="B944" s="31"/>
      <c r="C944" s="22"/>
      <c r="D944" s="165"/>
      <c r="E944" s="643"/>
      <c r="F944" s="22"/>
      <c r="G944" s="22"/>
      <c r="H944" s="22"/>
      <c r="I944" s="644"/>
      <c r="J944" s="644"/>
      <c r="K944" s="644"/>
      <c r="L944" s="644"/>
      <c r="M944" s="644"/>
    </row>
    <row r="945" ht="20.25" customHeight="1">
      <c r="A945" s="394"/>
      <c r="B945" s="27"/>
      <c r="C945" s="14"/>
      <c r="D945" s="165"/>
      <c r="E945" s="638"/>
      <c r="F945" s="14"/>
      <c r="G945" s="14"/>
      <c r="H945" s="14"/>
      <c r="I945" s="640"/>
      <c r="J945" s="640"/>
      <c r="K945" s="640"/>
      <c r="L945" s="640"/>
      <c r="M945" s="640"/>
    </row>
    <row r="946" ht="20.25" customHeight="1">
      <c r="A946" s="393"/>
      <c r="B946" s="31"/>
      <c r="C946" s="22"/>
      <c r="D946" s="165"/>
      <c r="E946" s="643"/>
      <c r="F946" s="22"/>
      <c r="G946" s="22"/>
      <c r="H946" s="22"/>
      <c r="I946" s="644"/>
      <c r="J946" s="644"/>
      <c r="K946" s="644"/>
      <c r="L946" s="644"/>
      <c r="M946" s="644"/>
    </row>
    <row r="947" ht="20.25" customHeight="1">
      <c r="A947" s="394"/>
      <c r="B947" s="27"/>
      <c r="C947" s="14"/>
      <c r="D947" s="165"/>
      <c r="E947" s="638"/>
      <c r="F947" s="14"/>
      <c r="G947" s="14"/>
      <c r="H947" s="14"/>
      <c r="I947" s="640"/>
      <c r="J947" s="640"/>
      <c r="K947" s="640"/>
      <c r="L947" s="640"/>
      <c r="M947" s="640"/>
    </row>
    <row r="948" ht="20.25" customHeight="1">
      <c r="A948" s="393"/>
      <c r="B948" s="31"/>
      <c r="C948" s="22"/>
      <c r="D948" s="165"/>
      <c r="E948" s="643"/>
      <c r="F948" s="22"/>
      <c r="G948" s="22"/>
      <c r="H948" s="22"/>
      <c r="I948" s="644"/>
      <c r="J948" s="644"/>
      <c r="K948" s="644"/>
      <c r="L948" s="644"/>
      <c r="M948" s="644"/>
    </row>
    <row r="949" ht="20.25" customHeight="1">
      <c r="A949" s="394"/>
      <c r="B949" s="27"/>
      <c r="C949" s="14"/>
      <c r="D949" s="165"/>
      <c r="E949" s="638"/>
      <c r="F949" s="14"/>
      <c r="G949" s="14"/>
      <c r="H949" s="14"/>
      <c r="I949" s="640"/>
      <c r="J949" s="640"/>
      <c r="K949" s="640"/>
      <c r="L949" s="640"/>
      <c r="M949" s="640"/>
    </row>
    <row r="950" ht="20.25" customHeight="1">
      <c r="A950" s="393"/>
      <c r="B950" s="31"/>
      <c r="C950" s="22"/>
      <c r="D950" s="165"/>
      <c r="E950" s="643"/>
      <c r="F950" s="22"/>
      <c r="G950" s="22"/>
      <c r="H950" s="22"/>
      <c r="I950" s="644"/>
      <c r="J950" s="644"/>
      <c r="K950" s="644"/>
      <c r="L950" s="644"/>
      <c r="M950" s="644"/>
    </row>
    <row r="951" ht="20.25" customHeight="1">
      <c r="A951" s="394"/>
      <c r="B951" s="27"/>
      <c r="C951" s="14"/>
      <c r="D951" s="165"/>
      <c r="E951" s="638"/>
      <c r="F951" s="14"/>
      <c r="G951" s="14"/>
      <c r="H951" s="14"/>
      <c r="I951" s="640"/>
      <c r="J951" s="640"/>
      <c r="K951" s="640"/>
      <c r="L951" s="640"/>
      <c r="M951" s="640"/>
    </row>
    <row r="952" ht="20.25" customHeight="1">
      <c r="A952" s="393"/>
      <c r="B952" s="31"/>
      <c r="C952" s="22"/>
      <c r="D952" s="165"/>
      <c r="E952" s="643"/>
      <c r="F952" s="22"/>
      <c r="G952" s="22"/>
      <c r="H952" s="22"/>
      <c r="I952" s="644"/>
      <c r="J952" s="644"/>
      <c r="K952" s="644"/>
      <c r="L952" s="644"/>
      <c r="M952" s="644"/>
    </row>
    <row r="953" ht="20.25" customHeight="1">
      <c r="A953" s="394"/>
      <c r="B953" s="27"/>
      <c r="C953" s="14"/>
      <c r="D953" s="165"/>
      <c r="E953" s="638"/>
      <c r="F953" s="14"/>
      <c r="G953" s="14"/>
      <c r="H953" s="14"/>
      <c r="I953" s="640"/>
      <c r="J953" s="640"/>
      <c r="K953" s="640"/>
      <c r="L953" s="640"/>
      <c r="M953" s="640"/>
    </row>
    <row r="954" ht="20.25" customHeight="1">
      <c r="A954" s="393"/>
      <c r="B954" s="31"/>
      <c r="C954" s="22"/>
      <c r="D954" s="165"/>
      <c r="E954" s="643"/>
      <c r="F954" s="22"/>
      <c r="G954" s="22"/>
      <c r="H954" s="22"/>
      <c r="I954" s="644"/>
      <c r="J954" s="644"/>
      <c r="K954" s="644"/>
      <c r="L954" s="644"/>
      <c r="M954" s="644"/>
    </row>
    <row r="955" ht="20.25" customHeight="1">
      <c r="A955" s="394"/>
      <c r="B955" s="27"/>
      <c r="C955" s="14"/>
      <c r="D955" s="165"/>
      <c r="E955" s="638"/>
      <c r="F955" s="14"/>
      <c r="G955" s="14"/>
      <c r="H955" s="14"/>
      <c r="I955" s="640"/>
      <c r="J955" s="640"/>
      <c r="K955" s="640"/>
      <c r="L955" s="640"/>
      <c r="M955" s="640"/>
    </row>
    <row r="956" ht="20.25" customHeight="1">
      <c r="A956" s="393"/>
      <c r="B956" s="31"/>
      <c r="C956" s="22"/>
      <c r="D956" s="165"/>
      <c r="E956" s="643"/>
      <c r="F956" s="22"/>
      <c r="G956" s="22"/>
      <c r="H956" s="22"/>
      <c r="I956" s="644"/>
      <c r="J956" s="644"/>
      <c r="K956" s="644"/>
      <c r="L956" s="644"/>
      <c r="M956" s="644"/>
    </row>
    <row r="957" ht="20.25" customHeight="1">
      <c r="A957" s="394"/>
      <c r="B957" s="27"/>
      <c r="C957" s="14"/>
      <c r="D957" s="165"/>
      <c r="E957" s="638"/>
      <c r="F957" s="14"/>
      <c r="G957" s="14"/>
      <c r="H957" s="14"/>
      <c r="I957" s="640"/>
      <c r="J957" s="640"/>
      <c r="K957" s="640"/>
      <c r="L957" s="640"/>
      <c r="M957" s="640"/>
    </row>
    <row r="958" ht="20.25" customHeight="1">
      <c r="A958" s="393"/>
      <c r="B958" s="31"/>
      <c r="C958" s="22"/>
      <c r="D958" s="165"/>
      <c r="E958" s="643"/>
      <c r="F958" s="22"/>
      <c r="G958" s="22"/>
      <c r="H958" s="22"/>
      <c r="I958" s="644"/>
      <c r="J958" s="644"/>
      <c r="K958" s="644"/>
      <c r="L958" s="644"/>
      <c r="M958" s="644"/>
    </row>
    <row r="959" ht="20.25" customHeight="1">
      <c r="A959" s="394"/>
      <c r="B959" s="27"/>
      <c r="C959" s="14"/>
      <c r="D959" s="165"/>
      <c r="E959" s="638"/>
      <c r="F959" s="14"/>
      <c r="G959" s="14"/>
      <c r="H959" s="14"/>
      <c r="I959" s="640"/>
      <c r="J959" s="640"/>
      <c r="K959" s="640"/>
      <c r="L959" s="640"/>
      <c r="M959" s="640"/>
    </row>
    <row r="960" ht="20.25" customHeight="1">
      <c r="A960" s="393"/>
      <c r="B960" s="31"/>
      <c r="C960" s="22"/>
      <c r="D960" s="165"/>
      <c r="E960" s="643"/>
      <c r="F960" s="22"/>
      <c r="G960" s="22"/>
      <c r="H960" s="22"/>
      <c r="I960" s="644"/>
      <c r="J960" s="644"/>
      <c r="K960" s="644"/>
      <c r="L960" s="644"/>
      <c r="M960" s="644"/>
    </row>
    <row r="961" ht="20.25" customHeight="1">
      <c r="A961" s="394"/>
      <c r="B961" s="27"/>
      <c r="C961" s="14"/>
      <c r="D961" s="165"/>
      <c r="E961" s="638"/>
      <c r="F961" s="14"/>
      <c r="G961" s="14"/>
      <c r="H961" s="14"/>
      <c r="I961" s="640"/>
      <c r="J961" s="640"/>
      <c r="K961" s="640"/>
      <c r="L961" s="640"/>
      <c r="M961" s="640"/>
    </row>
    <row r="962" ht="20.25" customHeight="1">
      <c r="A962" s="393"/>
      <c r="B962" s="31"/>
      <c r="C962" s="22"/>
      <c r="D962" s="165"/>
      <c r="E962" s="643"/>
      <c r="F962" s="22"/>
      <c r="G962" s="22"/>
      <c r="H962" s="22"/>
      <c r="I962" s="644"/>
      <c r="J962" s="644"/>
      <c r="K962" s="644"/>
      <c r="L962" s="644"/>
      <c r="M962" s="644"/>
    </row>
    <row r="963" ht="20.25" customHeight="1">
      <c r="A963" s="394"/>
      <c r="B963" s="27"/>
      <c r="C963" s="14"/>
      <c r="D963" s="165"/>
      <c r="E963" s="638"/>
      <c r="F963" s="14"/>
      <c r="G963" s="14"/>
      <c r="H963" s="14"/>
      <c r="I963" s="640"/>
      <c r="J963" s="640"/>
      <c r="K963" s="640"/>
      <c r="L963" s="640"/>
      <c r="M963" s="640"/>
    </row>
    <row r="964" ht="20.25" customHeight="1">
      <c r="A964" s="393"/>
      <c r="B964" s="31"/>
      <c r="C964" s="22"/>
      <c r="D964" s="165"/>
      <c r="E964" s="643"/>
      <c r="F964" s="22"/>
      <c r="G964" s="22"/>
      <c r="H964" s="22"/>
      <c r="I964" s="644"/>
      <c r="J964" s="644"/>
      <c r="K964" s="644"/>
      <c r="L964" s="644"/>
      <c r="M964" s="644"/>
    </row>
    <row r="965" ht="20.25" customHeight="1">
      <c r="A965" s="394"/>
      <c r="B965" s="27"/>
      <c r="C965" s="14"/>
      <c r="D965" s="165"/>
      <c r="E965" s="638"/>
      <c r="F965" s="14"/>
      <c r="G965" s="14"/>
      <c r="H965" s="14"/>
      <c r="I965" s="640"/>
      <c r="J965" s="640"/>
      <c r="K965" s="640"/>
      <c r="L965" s="640"/>
      <c r="M965" s="640"/>
    </row>
    <row r="966" ht="20.25" customHeight="1">
      <c r="A966" s="393"/>
      <c r="B966" s="31"/>
      <c r="C966" s="22"/>
      <c r="D966" s="165"/>
      <c r="E966" s="643"/>
      <c r="F966" s="22"/>
      <c r="G966" s="22"/>
      <c r="H966" s="22"/>
      <c r="I966" s="644"/>
      <c r="J966" s="644"/>
      <c r="K966" s="644"/>
      <c r="L966" s="644"/>
      <c r="M966" s="644"/>
    </row>
    <row r="967" ht="20.25" customHeight="1">
      <c r="A967" s="394"/>
      <c r="B967" s="27"/>
      <c r="C967" s="14"/>
      <c r="D967" s="165"/>
      <c r="E967" s="638"/>
      <c r="F967" s="14"/>
      <c r="G967" s="14"/>
      <c r="H967" s="14"/>
      <c r="I967" s="640"/>
      <c r="J967" s="640"/>
      <c r="K967" s="640"/>
      <c r="L967" s="640"/>
      <c r="M967" s="640"/>
    </row>
    <row r="968" ht="20.25" customHeight="1">
      <c r="A968" s="393"/>
      <c r="B968" s="31"/>
      <c r="C968" s="22"/>
      <c r="D968" s="165"/>
      <c r="E968" s="643"/>
      <c r="F968" s="22"/>
      <c r="G968" s="22"/>
      <c r="H968" s="22"/>
      <c r="I968" s="644"/>
      <c r="J968" s="644"/>
      <c r="K968" s="644"/>
      <c r="L968" s="644"/>
      <c r="M968" s="644"/>
    </row>
    <row r="969" ht="20.25" customHeight="1">
      <c r="A969" s="394"/>
      <c r="B969" s="27"/>
      <c r="C969" s="14"/>
      <c r="D969" s="165"/>
      <c r="E969" s="638"/>
      <c r="F969" s="14"/>
      <c r="G969" s="14"/>
      <c r="H969" s="14"/>
      <c r="I969" s="640"/>
      <c r="J969" s="640"/>
      <c r="K969" s="640"/>
      <c r="L969" s="640"/>
      <c r="M969" s="640"/>
    </row>
    <row r="970" ht="20.25" customHeight="1">
      <c r="A970" s="393"/>
      <c r="B970" s="31"/>
      <c r="C970" s="22"/>
      <c r="D970" s="165"/>
      <c r="E970" s="643"/>
      <c r="F970" s="22"/>
      <c r="G970" s="22"/>
      <c r="H970" s="22"/>
      <c r="I970" s="644"/>
      <c r="J970" s="644"/>
      <c r="K970" s="644"/>
      <c r="L970" s="644"/>
      <c r="M970" s="644"/>
    </row>
    <row r="971" ht="20.25" customHeight="1">
      <c r="A971" s="394"/>
      <c r="B971" s="27"/>
      <c r="C971" s="14"/>
      <c r="D971" s="165"/>
      <c r="E971" s="638"/>
      <c r="F971" s="14"/>
      <c r="G971" s="14"/>
      <c r="H971" s="14"/>
      <c r="I971" s="640"/>
      <c r="J971" s="640"/>
      <c r="K971" s="640"/>
      <c r="L971" s="640"/>
      <c r="M971" s="640"/>
    </row>
    <row r="972" ht="20.25" customHeight="1">
      <c r="A972" s="393"/>
      <c r="B972" s="31"/>
      <c r="C972" s="22"/>
      <c r="D972" s="165"/>
      <c r="E972" s="643"/>
      <c r="F972" s="22"/>
      <c r="G972" s="22"/>
      <c r="H972" s="22"/>
      <c r="I972" s="644"/>
      <c r="J972" s="644"/>
      <c r="K972" s="644"/>
      <c r="L972" s="644"/>
      <c r="M972" s="644"/>
    </row>
    <row r="973" ht="20.25" customHeight="1">
      <c r="A973" s="394"/>
      <c r="B973" s="27"/>
      <c r="C973" s="14"/>
      <c r="D973" s="165"/>
      <c r="E973" s="638"/>
      <c r="F973" s="14"/>
      <c r="G973" s="14"/>
      <c r="H973" s="14"/>
      <c r="I973" s="640"/>
      <c r="J973" s="640"/>
      <c r="K973" s="640"/>
      <c r="L973" s="640"/>
      <c r="M973" s="640"/>
    </row>
    <row r="974" ht="20.25" customHeight="1">
      <c r="A974" s="393"/>
      <c r="B974" s="31"/>
      <c r="C974" s="22"/>
      <c r="D974" s="165"/>
      <c r="E974" s="643"/>
      <c r="F974" s="22"/>
      <c r="G974" s="22"/>
      <c r="H974" s="22"/>
      <c r="I974" s="644"/>
      <c r="J974" s="644"/>
      <c r="K974" s="644"/>
      <c r="L974" s="644"/>
      <c r="M974" s="644"/>
    </row>
    <row r="975" ht="20.25" customHeight="1">
      <c r="A975" s="394"/>
      <c r="B975" s="27"/>
      <c r="C975" s="14"/>
      <c r="D975" s="165"/>
      <c r="E975" s="638"/>
      <c r="F975" s="14"/>
      <c r="G975" s="14"/>
      <c r="H975" s="14"/>
      <c r="I975" s="640"/>
      <c r="J975" s="640"/>
      <c r="K975" s="640"/>
      <c r="L975" s="640"/>
      <c r="M975" s="640"/>
    </row>
    <row r="976" ht="20.25" customHeight="1">
      <c r="A976" s="393"/>
      <c r="B976" s="31"/>
      <c r="C976" s="22"/>
      <c r="D976" s="165"/>
      <c r="E976" s="643"/>
      <c r="F976" s="22"/>
      <c r="G976" s="22"/>
      <c r="H976" s="22"/>
      <c r="I976" s="644"/>
      <c r="J976" s="644"/>
      <c r="K976" s="644"/>
      <c r="L976" s="644"/>
      <c r="M976" s="644"/>
    </row>
    <row r="977" ht="20.25" customHeight="1">
      <c r="A977" s="394"/>
      <c r="B977" s="27"/>
      <c r="C977" s="14"/>
      <c r="D977" s="165"/>
      <c r="E977" s="638"/>
      <c r="F977" s="14"/>
      <c r="G977" s="14"/>
      <c r="H977" s="14"/>
      <c r="I977" s="640"/>
      <c r="J977" s="640"/>
      <c r="K977" s="640"/>
      <c r="L977" s="640"/>
      <c r="M977" s="640"/>
    </row>
    <row r="978" ht="20.25" customHeight="1">
      <c r="A978" s="393"/>
      <c r="B978" s="31"/>
      <c r="C978" s="22"/>
      <c r="D978" s="165"/>
      <c r="E978" s="643"/>
      <c r="F978" s="22"/>
      <c r="G978" s="22"/>
      <c r="H978" s="22"/>
      <c r="I978" s="644"/>
      <c r="J978" s="644"/>
      <c r="K978" s="644"/>
      <c r="L978" s="644"/>
      <c r="M978" s="644"/>
    </row>
    <row r="979" ht="20.25" customHeight="1">
      <c r="A979" s="394"/>
      <c r="B979" s="27"/>
      <c r="C979" s="14"/>
      <c r="D979" s="165"/>
      <c r="E979" s="638"/>
      <c r="F979" s="14"/>
      <c r="G979" s="14"/>
      <c r="H979" s="14"/>
      <c r="I979" s="640"/>
      <c r="J979" s="640"/>
      <c r="K979" s="640"/>
      <c r="L979" s="640"/>
      <c r="M979" s="640"/>
    </row>
    <row r="980" ht="20.25" customHeight="1">
      <c r="A980" s="393"/>
      <c r="B980" s="31"/>
      <c r="C980" s="22"/>
      <c r="D980" s="165"/>
      <c r="E980" s="643"/>
      <c r="F980" s="22"/>
      <c r="G980" s="22"/>
      <c r="H980" s="22"/>
      <c r="I980" s="644"/>
      <c r="J980" s="644"/>
      <c r="K980" s="644"/>
      <c r="L980" s="644"/>
      <c r="M980" s="644"/>
    </row>
    <row r="981" ht="20.25" customHeight="1">
      <c r="A981" s="394"/>
      <c r="B981" s="27"/>
      <c r="C981" s="14"/>
      <c r="D981" s="165"/>
      <c r="E981" s="638"/>
      <c r="F981" s="14"/>
      <c r="G981" s="14"/>
      <c r="H981" s="14"/>
      <c r="I981" s="640"/>
      <c r="J981" s="640"/>
      <c r="K981" s="640"/>
      <c r="L981" s="640"/>
      <c r="M981" s="640"/>
    </row>
    <row r="982" ht="20.25" customHeight="1">
      <c r="A982" s="393"/>
      <c r="B982" s="31"/>
      <c r="C982" s="22"/>
      <c r="D982" s="165"/>
      <c r="E982" s="643"/>
      <c r="F982" s="22"/>
      <c r="G982" s="22"/>
      <c r="H982" s="22"/>
      <c r="I982" s="644"/>
      <c r="J982" s="644"/>
      <c r="K982" s="644"/>
      <c r="L982" s="644"/>
      <c r="M982" s="644"/>
    </row>
    <row r="983" ht="20.25" customHeight="1">
      <c r="A983" s="394"/>
      <c r="B983" s="27"/>
      <c r="C983" s="14"/>
      <c r="D983" s="165"/>
      <c r="E983" s="638"/>
      <c r="F983" s="14"/>
      <c r="G983" s="14"/>
      <c r="H983" s="14"/>
      <c r="I983" s="640"/>
      <c r="J983" s="640"/>
      <c r="K983" s="640"/>
      <c r="L983" s="640"/>
      <c r="M983" s="640"/>
    </row>
    <row r="984" ht="20.25" customHeight="1">
      <c r="A984" s="393"/>
      <c r="B984" s="31"/>
      <c r="C984" s="22"/>
      <c r="D984" s="165"/>
      <c r="E984" s="643"/>
      <c r="F984" s="22"/>
      <c r="G984" s="22"/>
      <c r="H984" s="22"/>
      <c r="I984" s="644"/>
      <c r="J984" s="644"/>
      <c r="K984" s="644"/>
      <c r="L984" s="644"/>
      <c r="M984" s="644"/>
    </row>
    <row r="985" ht="20.25" customHeight="1">
      <c r="A985" s="394"/>
      <c r="B985" s="27"/>
      <c r="C985" s="14"/>
      <c r="D985" s="165"/>
      <c r="E985" s="638"/>
      <c r="F985" s="14"/>
      <c r="G985" s="14"/>
      <c r="H985" s="14"/>
      <c r="I985" s="640"/>
      <c r="J985" s="640"/>
      <c r="K985" s="640"/>
      <c r="L985" s="640"/>
      <c r="M985" s="640"/>
    </row>
    <row r="986" ht="20.25" customHeight="1">
      <c r="A986" s="393"/>
      <c r="B986" s="31"/>
      <c r="C986" s="22"/>
      <c r="D986" s="165"/>
      <c r="E986" s="643"/>
      <c r="F986" s="22"/>
      <c r="G986" s="22"/>
      <c r="H986" s="22"/>
      <c r="I986" s="644"/>
      <c r="J986" s="644"/>
      <c r="K986" s="644"/>
      <c r="L986" s="644"/>
      <c r="M986" s="644"/>
    </row>
    <row r="987" ht="20.25" customHeight="1">
      <c r="A987" s="394"/>
      <c r="B987" s="27"/>
      <c r="C987" s="14"/>
      <c r="D987" s="165"/>
      <c r="E987" s="638"/>
      <c r="F987" s="14"/>
      <c r="G987" s="14"/>
      <c r="H987" s="14"/>
      <c r="I987" s="640"/>
      <c r="J987" s="640"/>
      <c r="K987" s="640"/>
      <c r="L987" s="640"/>
      <c r="M987" s="640"/>
    </row>
    <row r="988" ht="20.25" customHeight="1">
      <c r="A988" s="393"/>
      <c r="B988" s="31"/>
      <c r="C988" s="22"/>
      <c r="D988" s="165"/>
      <c r="E988" s="643"/>
      <c r="F988" s="22"/>
      <c r="G988" s="22"/>
      <c r="H988" s="22"/>
      <c r="I988" s="644"/>
      <c r="J988" s="644"/>
      <c r="K988" s="644"/>
      <c r="L988" s="644"/>
      <c r="M988" s="644"/>
    </row>
    <row r="989" ht="20.25" customHeight="1">
      <c r="A989" s="394"/>
      <c r="B989" s="27"/>
      <c r="C989" s="14"/>
      <c r="D989" s="165"/>
      <c r="E989" s="638"/>
      <c r="F989" s="14"/>
      <c r="G989" s="14"/>
      <c r="H989" s="14"/>
      <c r="I989" s="640"/>
      <c r="J989" s="640"/>
      <c r="K989" s="640"/>
      <c r="L989" s="640"/>
      <c r="M989" s="640"/>
    </row>
    <row r="990" ht="20.25" customHeight="1">
      <c r="A990" s="393"/>
      <c r="B990" s="31"/>
      <c r="C990" s="22"/>
      <c r="D990" s="165"/>
      <c r="E990" s="643"/>
      <c r="F990" s="22"/>
      <c r="G990" s="22"/>
      <c r="H990" s="22"/>
      <c r="I990" s="644"/>
      <c r="J990" s="644"/>
      <c r="K990" s="644"/>
      <c r="L990" s="644"/>
      <c r="M990" s="644"/>
    </row>
    <row r="991" ht="20.25" customHeight="1">
      <c r="A991" s="394"/>
      <c r="B991" s="27"/>
      <c r="C991" s="14"/>
      <c r="D991" s="165"/>
      <c r="E991" s="638"/>
      <c r="F991" s="14"/>
      <c r="G991" s="14"/>
      <c r="H991" s="14"/>
      <c r="I991" s="640"/>
      <c r="J991" s="640"/>
      <c r="K991" s="640"/>
      <c r="L991" s="640"/>
      <c r="M991" s="640"/>
    </row>
    <row r="992" ht="20.25" customHeight="1">
      <c r="A992" s="393"/>
      <c r="B992" s="31"/>
      <c r="C992" s="22"/>
      <c r="D992" s="165"/>
      <c r="E992" s="643"/>
      <c r="F992" s="22"/>
      <c r="G992" s="22"/>
      <c r="H992" s="22"/>
      <c r="I992" s="644"/>
      <c r="J992" s="644"/>
      <c r="K992" s="644"/>
      <c r="L992" s="644"/>
      <c r="M992" s="644"/>
    </row>
    <row r="993" ht="20.25" customHeight="1">
      <c r="A993" s="394"/>
      <c r="B993" s="27"/>
      <c r="C993" s="14"/>
      <c r="D993" s="165"/>
      <c r="E993" s="638"/>
      <c r="F993" s="14"/>
      <c r="G993" s="14"/>
      <c r="H993" s="14"/>
      <c r="I993" s="640"/>
      <c r="J993" s="640"/>
      <c r="K993" s="640"/>
      <c r="L993" s="640"/>
      <c r="M993" s="640"/>
    </row>
    <row r="994" ht="20.25" customHeight="1">
      <c r="A994" s="393"/>
      <c r="B994" s="31"/>
      <c r="C994" s="22"/>
      <c r="D994" s="165"/>
      <c r="E994" s="643"/>
      <c r="F994" s="22"/>
      <c r="G994" s="22"/>
      <c r="H994" s="22"/>
      <c r="I994" s="644"/>
      <c r="J994" s="644"/>
      <c r="K994" s="644"/>
      <c r="L994" s="644"/>
      <c r="M994" s="644"/>
    </row>
    <row r="995" ht="20.25" customHeight="1">
      <c r="A995" s="394"/>
      <c r="B995" s="27"/>
      <c r="C995" s="14"/>
      <c r="D995" s="165"/>
      <c r="E995" s="638"/>
      <c r="F995" s="14"/>
      <c r="G995" s="14"/>
      <c r="H995" s="14"/>
      <c r="I995" s="640"/>
      <c r="J995" s="640"/>
      <c r="K995" s="640"/>
      <c r="L995" s="640"/>
      <c r="M995" s="640"/>
    </row>
    <row r="996" ht="20.25" customHeight="1">
      <c r="A996" s="393"/>
      <c r="B996" s="31"/>
      <c r="C996" s="22"/>
      <c r="D996" s="165"/>
      <c r="E996" s="643"/>
      <c r="F996" s="22"/>
      <c r="G996" s="22"/>
      <c r="H996" s="22"/>
      <c r="I996" s="644"/>
      <c r="J996" s="644"/>
      <c r="K996" s="644"/>
      <c r="L996" s="644"/>
      <c r="M996" s="644"/>
    </row>
    <row r="997" ht="20.25" customHeight="1">
      <c r="A997" s="394"/>
      <c r="B997" s="27"/>
      <c r="C997" s="14"/>
      <c r="D997" s="165"/>
      <c r="E997" s="638"/>
      <c r="F997" s="14"/>
      <c r="G997" s="14"/>
      <c r="H997" s="14"/>
      <c r="I997" s="640"/>
      <c r="J997" s="640"/>
      <c r="K997" s="640"/>
      <c r="L997" s="640"/>
      <c r="M997" s="640"/>
    </row>
    <row r="998" ht="20.25" customHeight="1">
      <c r="A998" s="393"/>
      <c r="B998" s="31"/>
      <c r="C998" s="22"/>
      <c r="D998" s="165"/>
      <c r="E998" s="643"/>
      <c r="F998" s="22"/>
      <c r="G998" s="22"/>
      <c r="H998" s="22"/>
      <c r="I998" s="644"/>
      <c r="J998" s="644"/>
      <c r="K998" s="644"/>
      <c r="L998" s="644"/>
      <c r="M998" s="644"/>
    </row>
    <row r="999" ht="20.25" customHeight="1">
      <c r="A999" s="394"/>
      <c r="B999" s="27"/>
      <c r="C999" s="14"/>
      <c r="D999" s="165"/>
      <c r="E999" s="638"/>
      <c r="F999" s="14"/>
      <c r="G999" s="14"/>
      <c r="H999" s="14"/>
      <c r="I999" s="640"/>
      <c r="J999" s="640"/>
      <c r="K999" s="640"/>
      <c r="L999" s="640"/>
      <c r="M999" s="640"/>
    </row>
    <row r="1000" ht="20.25" customHeight="1">
      <c r="A1000" s="393"/>
      <c r="B1000" s="31"/>
      <c r="C1000" s="22"/>
      <c r="D1000" s="165"/>
      <c r="E1000" s="643"/>
      <c r="F1000" s="22"/>
      <c r="G1000" s="22"/>
      <c r="H1000" s="22"/>
      <c r="I1000" s="644"/>
      <c r="J1000" s="644"/>
      <c r="K1000" s="644"/>
      <c r="L1000" s="644"/>
      <c r="M1000" s="644"/>
    </row>
    <row r="1001" ht="20.25" customHeight="1">
      <c r="A1001" s="394"/>
      <c r="B1001" s="27"/>
      <c r="C1001" s="14"/>
      <c r="D1001" s="165"/>
      <c r="E1001" s="638"/>
      <c r="F1001" s="14"/>
      <c r="G1001" s="14"/>
      <c r="H1001" s="14"/>
      <c r="I1001" s="640"/>
      <c r="J1001" s="640"/>
      <c r="K1001" s="640"/>
      <c r="L1001" s="640"/>
      <c r="M1001" s="640"/>
    </row>
    <row r="1002" ht="20.25" customHeight="1">
      <c r="A1002" s="393"/>
      <c r="B1002" s="31"/>
      <c r="C1002" s="22"/>
      <c r="D1002" s="165"/>
      <c r="E1002" s="643"/>
      <c r="F1002" s="22"/>
      <c r="G1002" s="22"/>
      <c r="H1002" s="22"/>
      <c r="I1002" s="644"/>
      <c r="J1002" s="644"/>
      <c r="K1002" s="644"/>
      <c r="L1002" s="644"/>
      <c r="M1002" s="644"/>
    </row>
    <row r="1003" ht="20.25" customHeight="1">
      <c r="A1003" s="394"/>
      <c r="B1003" s="27"/>
      <c r="C1003" s="14"/>
      <c r="D1003" s="165"/>
      <c r="E1003" s="638"/>
      <c r="F1003" s="14"/>
      <c r="G1003" s="14"/>
      <c r="H1003" s="14"/>
      <c r="I1003" s="640"/>
      <c r="J1003" s="640"/>
      <c r="K1003" s="640"/>
      <c r="L1003" s="640"/>
      <c r="M1003" s="640"/>
    </row>
    <row r="1004" ht="20.25" customHeight="1">
      <c r="A1004" s="393"/>
      <c r="B1004" s="31"/>
      <c r="C1004" s="22"/>
      <c r="D1004" s="165"/>
      <c r="E1004" s="643"/>
      <c r="F1004" s="22"/>
      <c r="G1004" s="22"/>
      <c r="H1004" s="22"/>
      <c r="I1004" s="644"/>
      <c r="J1004" s="644"/>
      <c r="K1004" s="644"/>
      <c r="L1004" s="644"/>
      <c r="M1004" s="644"/>
    </row>
    <row r="1005" ht="20.25" customHeight="1">
      <c r="A1005" s="394"/>
      <c r="B1005" s="27"/>
      <c r="C1005" s="14"/>
      <c r="D1005" s="165"/>
      <c r="E1005" s="638"/>
      <c r="F1005" s="14"/>
      <c r="G1005" s="14"/>
      <c r="H1005" s="14"/>
      <c r="I1005" s="640"/>
      <c r="J1005" s="640"/>
      <c r="K1005" s="640"/>
      <c r="L1005" s="640"/>
      <c r="M1005" s="640"/>
    </row>
    <row r="1006" ht="20.25" customHeight="1">
      <c r="A1006" s="393"/>
      <c r="B1006" s="31"/>
      <c r="C1006" s="22"/>
      <c r="D1006" s="165"/>
      <c r="E1006" s="643"/>
      <c r="F1006" s="22"/>
      <c r="G1006" s="22"/>
      <c r="H1006" s="22"/>
      <c r="I1006" s="644"/>
      <c r="J1006" s="644"/>
      <c r="K1006" s="644"/>
      <c r="L1006" s="644"/>
      <c r="M1006" s="644"/>
    </row>
    <row r="1007" ht="20.25" customHeight="1">
      <c r="A1007" s="394"/>
      <c r="B1007" s="27"/>
      <c r="C1007" s="14"/>
      <c r="D1007" s="165"/>
      <c r="E1007" s="638"/>
      <c r="F1007" s="14"/>
      <c r="G1007" s="14"/>
      <c r="H1007" s="14"/>
      <c r="I1007" s="640"/>
      <c r="J1007" s="640"/>
      <c r="K1007" s="640"/>
      <c r="L1007" s="640"/>
      <c r="M1007" s="640"/>
    </row>
    <row r="1008" ht="20.25" customHeight="1">
      <c r="A1008" s="393"/>
      <c r="B1008" s="31"/>
      <c r="C1008" s="22"/>
      <c r="D1008" s="165"/>
      <c r="E1008" s="643"/>
      <c r="F1008" s="22"/>
      <c r="G1008" s="22"/>
      <c r="H1008" s="22"/>
      <c r="I1008" s="644"/>
      <c r="J1008" s="644"/>
      <c r="K1008" s="644"/>
      <c r="L1008" s="644"/>
      <c r="M1008" s="644"/>
    </row>
    <row r="1009" ht="20.25" customHeight="1">
      <c r="A1009" s="394"/>
      <c r="B1009" s="27"/>
      <c r="C1009" s="14"/>
      <c r="D1009" s="165"/>
      <c r="E1009" s="638"/>
      <c r="F1009" s="14"/>
      <c r="G1009" s="14"/>
      <c r="H1009" s="14"/>
      <c r="I1009" s="640"/>
      <c r="J1009" s="640"/>
      <c r="K1009" s="640"/>
      <c r="L1009" s="640"/>
      <c r="M1009" s="640"/>
    </row>
    <row r="1010" ht="20.25" customHeight="1">
      <c r="A1010" s="393"/>
      <c r="B1010" s="31"/>
      <c r="C1010" s="22"/>
      <c r="D1010" s="165"/>
      <c r="E1010" s="643"/>
      <c r="F1010" s="22"/>
      <c r="G1010" s="22"/>
      <c r="H1010" s="22"/>
      <c r="I1010" s="644"/>
      <c r="J1010" s="644"/>
      <c r="K1010" s="644"/>
      <c r="L1010" s="644"/>
      <c r="M1010" s="644"/>
    </row>
    <row r="1011" ht="20.25" customHeight="1">
      <c r="A1011" s="394"/>
      <c r="B1011" s="27"/>
      <c r="C1011" s="14"/>
      <c r="D1011" s="165"/>
      <c r="E1011" s="638"/>
      <c r="F1011" s="14"/>
      <c r="G1011" s="14"/>
      <c r="H1011" s="14"/>
      <c r="I1011" s="640"/>
      <c r="J1011" s="640"/>
      <c r="K1011" s="640"/>
      <c r="L1011" s="640"/>
      <c r="M1011" s="640"/>
    </row>
    <row r="1012" ht="20.25" customHeight="1">
      <c r="A1012" s="393"/>
      <c r="B1012" s="31"/>
      <c r="C1012" s="22"/>
      <c r="D1012" s="165"/>
      <c r="E1012" s="643"/>
      <c r="F1012" s="22"/>
      <c r="G1012" s="22"/>
      <c r="H1012" s="22"/>
      <c r="I1012" s="644"/>
      <c r="J1012" s="644"/>
      <c r="K1012" s="644"/>
      <c r="L1012" s="644"/>
      <c r="M1012" s="644"/>
    </row>
    <row r="1013" ht="20.25" customHeight="1">
      <c r="A1013" s="394"/>
      <c r="B1013" s="27"/>
      <c r="C1013" s="14"/>
      <c r="D1013" s="165"/>
      <c r="E1013" s="638"/>
      <c r="F1013" s="14"/>
      <c r="G1013" s="14"/>
      <c r="H1013" s="14"/>
      <c r="I1013" s="640"/>
      <c r="J1013" s="640"/>
      <c r="K1013" s="640"/>
      <c r="L1013" s="640"/>
      <c r="M1013" s="640"/>
    </row>
    <row r="1014" ht="20.25" customHeight="1">
      <c r="A1014" s="393"/>
      <c r="B1014" s="31"/>
      <c r="C1014" s="22"/>
      <c r="D1014" s="165"/>
      <c r="E1014" s="643"/>
      <c r="F1014" s="22"/>
      <c r="G1014" s="22"/>
      <c r="H1014" s="22"/>
      <c r="I1014" s="644"/>
      <c r="J1014" s="644"/>
      <c r="K1014" s="644"/>
      <c r="L1014" s="644"/>
      <c r="M1014" s="644"/>
    </row>
    <row r="1015" ht="20.25" customHeight="1">
      <c r="A1015" s="394"/>
      <c r="B1015" s="27"/>
      <c r="C1015" s="14"/>
      <c r="D1015" s="165"/>
      <c r="E1015" s="638"/>
      <c r="F1015" s="14"/>
      <c r="G1015" s="14"/>
      <c r="H1015" s="14"/>
      <c r="I1015" s="640"/>
      <c r="J1015" s="640"/>
      <c r="K1015" s="640"/>
      <c r="L1015" s="640"/>
      <c r="M1015" s="640"/>
    </row>
    <row r="1016" ht="20.25" customHeight="1">
      <c r="A1016" s="393"/>
      <c r="B1016" s="31"/>
      <c r="C1016" s="22"/>
      <c r="D1016" s="165"/>
      <c r="E1016" s="643"/>
      <c r="F1016" s="22"/>
      <c r="G1016" s="22"/>
      <c r="H1016" s="22"/>
      <c r="I1016" s="644"/>
      <c r="J1016" s="644"/>
      <c r="K1016" s="644"/>
      <c r="L1016" s="644"/>
      <c r="M1016" s="644"/>
    </row>
    <row r="1017" ht="20.25" customHeight="1">
      <c r="A1017" s="394"/>
      <c r="B1017" s="27"/>
      <c r="C1017" s="14"/>
      <c r="D1017" s="165"/>
      <c r="E1017" s="638"/>
      <c r="F1017" s="14"/>
      <c r="G1017" s="14"/>
      <c r="H1017" s="14"/>
      <c r="I1017" s="640"/>
      <c r="J1017" s="640"/>
      <c r="K1017" s="640"/>
      <c r="L1017" s="640"/>
      <c r="M1017" s="640"/>
    </row>
    <row r="1018" ht="20.25" customHeight="1">
      <c r="A1018" s="393"/>
      <c r="B1018" s="31"/>
      <c r="C1018" s="22"/>
      <c r="D1018" s="165"/>
      <c r="E1018" s="643"/>
      <c r="F1018" s="22"/>
      <c r="G1018" s="22"/>
      <c r="H1018" s="22"/>
      <c r="I1018" s="644"/>
      <c r="J1018" s="644"/>
      <c r="K1018" s="644"/>
      <c r="L1018" s="644"/>
      <c r="M1018" s="644"/>
    </row>
    <row r="1019" ht="20.25" customHeight="1">
      <c r="A1019" s="394"/>
      <c r="B1019" s="27"/>
      <c r="C1019" s="14"/>
      <c r="D1019" s="165"/>
      <c r="E1019" s="638"/>
      <c r="F1019" s="14"/>
      <c r="G1019" s="14"/>
      <c r="H1019" s="14"/>
      <c r="I1019" s="640"/>
      <c r="J1019" s="640"/>
      <c r="K1019" s="640"/>
      <c r="L1019" s="640"/>
      <c r="M1019" s="640"/>
    </row>
    <row r="1020" ht="20.25" customHeight="1">
      <c r="A1020" s="393"/>
      <c r="B1020" s="31"/>
      <c r="C1020" s="22"/>
      <c r="D1020" s="165"/>
      <c r="E1020" s="643"/>
      <c r="F1020" s="22"/>
      <c r="G1020" s="22"/>
      <c r="H1020" s="22"/>
      <c r="I1020" s="644"/>
      <c r="J1020" s="644"/>
      <c r="K1020" s="644"/>
      <c r="L1020" s="644"/>
      <c r="M1020" s="644"/>
    </row>
    <row r="1021" ht="20.25" customHeight="1">
      <c r="A1021" s="394"/>
      <c r="B1021" s="27"/>
      <c r="C1021" s="14"/>
      <c r="D1021" s="165"/>
      <c r="E1021" s="638"/>
      <c r="F1021" s="14"/>
      <c r="G1021" s="14"/>
      <c r="H1021" s="14"/>
      <c r="I1021" s="640"/>
      <c r="J1021" s="640"/>
      <c r="K1021" s="640"/>
      <c r="L1021" s="640"/>
      <c r="M1021" s="640"/>
    </row>
    <row r="1022" ht="20.25" customHeight="1">
      <c r="A1022" s="393"/>
      <c r="B1022" s="31"/>
      <c r="C1022" s="22"/>
      <c r="D1022" s="165"/>
      <c r="E1022" s="643"/>
      <c r="F1022" s="22"/>
      <c r="G1022" s="22"/>
      <c r="H1022" s="22"/>
      <c r="I1022" s="644"/>
      <c r="J1022" s="644"/>
      <c r="K1022" s="644"/>
      <c r="L1022" s="644"/>
      <c r="M1022" s="644"/>
    </row>
    <row r="1023" ht="20.25" customHeight="1">
      <c r="A1023" s="394"/>
      <c r="B1023" s="27"/>
      <c r="C1023" s="14"/>
      <c r="D1023" s="165"/>
      <c r="E1023" s="638"/>
      <c r="F1023" s="14"/>
      <c r="G1023" s="14"/>
      <c r="H1023" s="14"/>
      <c r="I1023" s="640"/>
      <c r="J1023" s="640"/>
      <c r="K1023" s="640"/>
      <c r="L1023" s="640"/>
      <c r="M1023" s="640"/>
    </row>
    <row r="1024" ht="20.25" customHeight="1">
      <c r="A1024" s="393"/>
      <c r="B1024" s="31"/>
      <c r="C1024" s="22"/>
      <c r="D1024" s="165"/>
      <c r="E1024" s="643"/>
      <c r="F1024" s="22"/>
      <c r="G1024" s="22"/>
      <c r="H1024" s="22"/>
      <c r="I1024" s="644"/>
      <c r="J1024" s="644"/>
      <c r="K1024" s="644"/>
      <c r="L1024" s="644"/>
      <c r="M1024" s="644"/>
    </row>
    <row r="1025" ht="20.25" customHeight="1">
      <c r="A1025" s="394"/>
      <c r="B1025" s="27"/>
      <c r="C1025" s="14"/>
      <c r="D1025" s="165"/>
      <c r="E1025" s="638"/>
      <c r="F1025" s="14"/>
      <c r="G1025" s="14"/>
      <c r="H1025" s="14"/>
      <c r="I1025" s="640"/>
      <c r="J1025" s="640"/>
      <c r="K1025" s="640"/>
      <c r="L1025" s="640"/>
      <c r="M1025" s="640"/>
    </row>
    <row r="1026" ht="20.25" customHeight="1">
      <c r="A1026" s="393"/>
      <c r="B1026" s="31"/>
      <c r="C1026" s="22"/>
      <c r="D1026" s="165"/>
      <c r="E1026" s="643"/>
      <c r="F1026" s="22"/>
      <c r="G1026" s="22"/>
      <c r="H1026" s="22"/>
      <c r="I1026" s="644"/>
      <c r="J1026" s="644"/>
      <c r="K1026" s="644"/>
      <c r="L1026" s="644"/>
      <c r="M1026" s="644"/>
    </row>
    <row r="1027" ht="20.25" customHeight="1">
      <c r="A1027" s="394"/>
      <c r="B1027" s="27"/>
      <c r="C1027" s="14"/>
      <c r="D1027" s="165"/>
      <c r="E1027" s="638"/>
      <c r="F1027" s="14"/>
      <c r="G1027" s="14"/>
      <c r="H1027" s="14"/>
      <c r="I1027" s="640"/>
      <c r="J1027" s="640"/>
      <c r="K1027" s="640"/>
      <c r="L1027" s="640"/>
      <c r="M1027" s="640"/>
    </row>
    <row r="1028" ht="20.25" customHeight="1">
      <c r="A1028" s="393"/>
      <c r="B1028" s="31"/>
      <c r="C1028" s="22"/>
      <c r="D1028" s="165"/>
      <c r="E1028" s="643"/>
      <c r="F1028" s="22"/>
      <c r="G1028" s="22"/>
      <c r="H1028" s="22"/>
      <c r="I1028" s="644"/>
      <c r="J1028" s="644"/>
      <c r="K1028" s="644"/>
      <c r="L1028" s="644"/>
      <c r="M1028" s="644"/>
    </row>
    <row r="1029" ht="20.25" customHeight="1">
      <c r="A1029" s="394"/>
      <c r="B1029" s="27"/>
      <c r="C1029" s="14"/>
      <c r="D1029" s="165"/>
      <c r="E1029" s="638"/>
      <c r="F1029" s="14"/>
      <c r="G1029" s="14"/>
      <c r="H1029" s="14"/>
      <c r="I1029" s="640"/>
      <c r="J1029" s="640"/>
      <c r="K1029" s="640"/>
      <c r="L1029" s="640"/>
      <c r="M1029" s="640"/>
    </row>
    <row r="1030" ht="20.25" customHeight="1">
      <c r="A1030" s="393"/>
      <c r="B1030" s="31"/>
      <c r="C1030" s="22"/>
      <c r="D1030" s="165"/>
      <c r="E1030" s="643"/>
      <c r="F1030" s="22"/>
      <c r="G1030" s="22"/>
      <c r="H1030" s="22"/>
      <c r="I1030" s="644"/>
      <c r="J1030" s="644"/>
      <c r="K1030" s="644"/>
      <c r="L1030" s="644"/>
      <c r="M1030" s="644"/>
    </row>
    <row r="1031" ht="20.25" customHeight="1">
      <c r="A1031" s="394"/>
      <c r="B1031" s="27"/>
      <c r="C1031" s="14"/>
      <c r="D1031" s="165"/>
      <c r="E1031" s="638"/>
      <c r="F1031" s="14"/>
      <c r="G1031" s="14"/>
      <c r="H1031" s="14"/>
      <c r="I1031" s="640"/>
      <c r="J1031" s="640"/>
      <c r="K1031" s="640"/>
      <c r="L1031" s="640"/>
      <c r="M1031" s="640"/>
    </row>
    <row r="1032" ht="20.25" customHeight="1">
      <c r="A1032" s="393"/>
      <c r="B1032" s="31"/>
      <c r="C1032" s="22"/>
      <c r="D1032" s="165"/>
      <c r="E1032" s="643"/>
      <c r="F1032" s="22"/>
      <c r="G1032" s="22"/>
      <c r="H1032" s="22"/>
      <c r="I1032" s="644"/>
      <c r="J1032" s="644"/>
      <c r="K1032" s="644"/>
      <c r="L1032" s="644"/>
      <c r="M1032" s="644"/>
    </row>
    <row r="1033" ht="20.25" customHeight="1">
      <c r="A1033" s="394"/>
      <c r="B1033" s="27"/>
      <c r="C1033" s="14"/>
      <c r="D1033" s="165"/>
      <c r="E1033" s="638"/>
      <c r="F1033" s="14"/>
      <c r="G1033" s="14"/>
      <c r="H1033" s="14"/>
      <c r="I1033" s="640"/>
      <c r="J1033" s="640"/>
      <c r="K1033" s="640"/>
      <c r="L1033" s="640"/>
      <c r="M1033" s="640"/>
    </row>
    <row r="1034" ht="20.25" customHeight="1">
      <c r="A1034" s="393"/>
      <c r="B1034" s="31"/>
      <c r="C1034" s="22"/>
      <c r="D1034" s="165"/>
      <c r="E1034" s="643"/>
      <c r="F1034" s="22"/>
      <c r="G1034" s="22"/>
      <c r="H1034" s="22"/>
      <c r="I1034" s="644"/>
      <c r="J1034" s="644"/>
      <c r="K1034" s="644"/>
      <c r="L1034" s="644"/>
      <c r="M1034" s="644"/>
    </row>
    <row r="1035" ht="20.25" customHeight="1">
      <c r="A1035" s="394"/>
      <c r="B1035" s="27"/>
      <c r="C1035" s="14"/>
      <c r="D1035" s="165"/>
      <c r="E1035" s="638"/>
      <c r="F1035" s="14"/>
      <c r="G1035" s="14"/>
      <c r="H1035" s="14"/>
      <c r="I1035" s="640"/>
      <c r="J1035" s="640"/>
      <c r="K1035" s="640"/>
      <c r="L1035" s="640"/>
      <c r="M1035" s="640"/>
    </row>
    <row r="1036" ht="20.25" customHeight="1">
      <c r="A1036" s="393"/>
      <c r="B1036" s="31"/>
      <c r="C1036" s="22"/>
      <c r="D1036" s="165"/>
      <c r="E1036" s="643"/>
      <c r="F1036" s="22"/>
      <c r="G1036" s="22"/>
      <c r="H1036" s="22"/>
      <c r="I1036" s="644"/>
      <c r="J1036" s="644"/>
      <c r="K1036" s="644"/>
      <c r="L1036" s="644"/>
      <c r="M1036" s="644"/>
    </row>
    <row r="1037" ht="20.25" customHeight="1">
      <c r="A1037" s="394"/>
      <c r="B1037" s="27"/>
      <c r="C1037" s="14"/>
      <c r="D1037" s="165"/>
      <c r="E1037" s="638"/>
      <c r="F1037" s="14"/>
      <c r="G1037" s="14"/>
      <c r="H1037" s="14"/>
      <c r="I1037" s="640"/>
      <c r="J1037" s="640"/>
      <c r="K1037" s="640"/>
      <c r="L1037" s="640"/>
      <c r="M1037" s="640"/>
    </row>
    <row r="1038" ht="20.25" customHeight="1">
      <c r="A1038" s="393"/>
      <c r="B1038" s="31"/>
      <c r="C1038" s="22"/>
      <c r="D1038" s="165"/>
      <c r="E1038" s="643"/>
      <c r="F1038" s="22"/>
      <c r="G1038" s="22"/>
      <c r="H1038" s="22"/>
      <c r="I1038" s="644"/>
      <c r="J1038" s="644"/>
      <c r="K1038" s="644"/>
      <c r="L1038" s="644"/>
      <c r="M1038" s="644"/>
    </row>
    <row r="1039" ht="20.25" customHeight="1">
      <c r="A1039" s="394"/>
      <c r="B1039" s="27"/>
      <c r="C1039" s="14"/>
      <c r="D1039" s="165"/>
      <c r="E1039" s="638"/>
      <c r="F1039" s="14"/>
      <c r="G1039" s="14"/>
      <c r="H1039" s="14"/>
      <c r="I1039" s="640"/>
      <c r="J1039" s="640"/>
      <c r="K1039" s="640"/>
      <c r="L1039" s="640"/>
      <c r="M1039" s="640"/>
    </row>
    <row r="1040" ht="20.25" customHeight="1">
      <c r="A1040" s="393"/>
      <c r="B1040" s="31"/>
      <c r="C1040" s="22"/>
      <c r="D1040" s="165"/>
      <c r="E1040" s="643"/>
      <c r="F1040" s="22"/>
      <c r="G1040" s="22"/>
      <c r="H1040" s="22"/>
      <c r="I1040" s="644"/>
      <c r="J1040" s="644"/>
      <c r="K1040" s="644"/>
      <c r="L1040" s="644"/>
      <c r="M1040" s="644"/>
    </row>
    <row r="1041" ht="20.25" customHeight="1">
      <c r="A1041" s="394"/>
      <c r="B1041" s="27"/>
      <c r="C1041" s="14"/>
      <c r="D1041" s="165"/>
      <c r="E1041" s="638"/>
      <c r="F1041" s="14"/>
      <c r="G1041" s="14"/>
      <c r="H1041" s="14"/>
      <c r="I1041" s="640"/>
      <c r="J1041" s="640"/>
      <c r="K1041" s="640"/>
      <c r="L1041" s="640"/>
      <c r="M1041" s="640"/>
    </row>
    <row r="1042" ht="20.25" customHeight="1">
      <c r="A1042" s="393"/>
      <c r="B1042" s="31"/>
      <c r="C1042" s="22"/>
      <c r="D1042" s="165"/>
      <c r="E1042" s="643"/>
      <c r="F1042" s="22"/>
      <c r="G1042" s="22"/>
      <c r="H1042" s="22"/>
      <c r="I1042" s="644"/>
      <c r="J1042" s="644"/>
      <c r="K1042" s="644"/>
      <c r="L1042" s="644"/>
      <c r="M1042" s="644"/>
    </row>
    <row r="1043" ht="20.25" customHeight="1">
      <c r="A1043" s="394"/>
      <c r="B1043" s="27"/>
      <c r="C1043" s="14"/>
      <c r="D1043" s="165"/>
      <c r="E1043" s="638"/>
      <c r="F1043" s="14"/>
      <c r="G1043" s="14"/>
      <c r="H1043" s="14"/>
      <c r="I1043" s="640"/>
      <c r="J1043" s="640"/>
      <c r="K1043" s="640"/>
      <c r="L1043" s="640"/>
      <c r="M1043" s="640"/>
    </row>
    <row r="1044" ht="20.25" customHeight="1">
      <c r="A1044" s="393"/>
      <c r="B1044" s="31"/>
      <c r="C1044" s="22"/>
      <c r="D1044" s="165"/>
      <c r="E1044" s="643"/>
      <c r="F1044" s="22"/>
      <c r="G1044" s="22"/>
      <c r="H1044" s="22"/>
      <c r="I1044" s="644"/>
      <c r="J1044" s="644"/>
      <c r="K1044" s="644"/>
      <c r="L1044" s="644"/>
      <c r="M1044" s="644"/>
    </row>
    <row r="1045" ht="20.25" customHeight="1">
      <c r="A1045" s="394"/>
      <c r="B1045" s="27"/>
      <c r="C1045" s="14"/>
      <c r="D1045" s="165"/>
      <c r="E1045" s="638"/>
      <c r="F1045" s="14"/>
      <c r="G1045" s="14"/>
      <c r="H1045" s="14"/>
      <c r="I1045" s="640"/>
      <c r="J1045" s="640"/>
      <c r="K1045" s="640"/>
      <c r="L1045" s="640"/>
      <c r="M1045" s="640"/>
    </row>
    <row r="1046" ht="20.25" customHeight="1">
      <c r="A1046" s="393"/>
      <c r="B1046" s="31"/>
      <c r="C1046" s="22"/>
      <c r="D1046" s="165"/>
      <c r="E1046" s="643"/>
      <c r="F1046" s="22"/>
      <c r="G1046" s="22"/>
      <c r="H1046" s="22"/>
      <c r="I1046" s="644"/>
      <c r="J1046" s="644"/>
      <c r="K1046" s="644"/>
      <c r="L1046" s="644"/>
      <c r="M1046" s="644"/>
    </row>
    <row r="1047" ht="20.25" customHeight="1">
      <c r="A1047" s="394"/>
      <c r="B1047" s="27"/>
      <c r="C1047" s="14"/>
      <c r="D1047" s="165"/>
      <c r="E1047" s="638"/>
      <c r="F1047" s="14"/>
      <c r="G1047" s="14"/>
      <c r="H1047" s="14"/>
      <c r="I1047" s="640"/>
      <c r="J1047" s="640"/>
      <c r="K1047" s="640"/>
      <c r="L1047" s="640"/>
      <c r="M1047" s="640"/>
    </row>
    <row r="1048" ht="20.25" customHeight="1">
      <c r="A1048" s="393"/>
      <c r="B1048" s="31"/>
      <c r="C1048" s="22"/>
      <c r="D1048" s="165"/>
      <c r="E1048" s="643"/>
      <c r="F1048" s="22"/>
      <c r="G1048" s="22"/>
      <c r="H1048" s="22"/>
      <c r="I1048" s="644"/>
      <c r="J1048" s="644"/>
      <c r="K1048" s="644"/>
      <c r="L1048" s="644"/>
      <c r="M1048" s="644"/>
    </row>
    <row r="1049" ht="20.25" customHeight="1">
      <c r="A1049" s="394"/>
      <c r="B1049" s="27"/>
      <c r="C1049" s="14"/>
      <c r="D1049" s="165"/>
      <c r="E1049" s="638"/>
      <c r="F1049" s="14"/>
      <c r="G1049" s="14"/>
      <c r="H1049" s="14"/>
      <c r="I1049" s="640"/>
      <c r="J1049" s="640"/>
      <c r="K1049" s="640"/>
      <c r="L1049" s="640"/>
      <c r="M1049" s="640"/>
    </row>
    <row r="1050" ht="20.25" customHeight="1">
      <c r="A1050" s="393"/>
      <c r="B1050" s="31"/>
      <c r="C1050" s="22"/>
      <c r="D1050" s="165"/>
      <c r="E1050" s="643"/>
      <c r="F1050" s="22"/>
      <c r="G1050" s="22"/>
      <c r="H1050" s="22"/>
      <c r="I1050" s="644"/>
      <c r="J1050" s="644"/>
      <c r="K1050" s="644"/>
      <c r="L1050" s="644"/>
      <c r="M1050" s="644"/>
    </row>
    <row r="1051" ht="20.25" customHeight="1">
      <c r="A1051" s="394"/>
      <c r="B1051" s="27"/>
      <c r="C1051" s="14"/>
      <c r="D1051" s="165"/>
      <c r="E1051" s="638"/>
      <c r="F1051" s="14"/>
      <c r="G1051" s="14"/>
      <c r="H1051" s="14"/>
      <c r="I1051" s="640"/>
      <c r="J1051" s="640"/>
      <c r="K1051" s="640"/>
      <c r="L1051" s="640"/>
      <c r="M1051" s="640"/>
    </row>
    <row r="1052" ht="20.25" customHeight="1">
      <c r="A1052" s="393"/>
      <c r="B1052" s="31"/>
      <c r="C1052" s="22"/>
      <c r="D1052" s="165"/>
      <c r="E1052" s="643"/>
      <c r="F1052" s="22"/>
      <c r="G1052" s="22"/>
      <c r="H1052" s="22"/>
      <c r="I1052" s="644"/>
      <c r="J1052" s="644"/>
      <c r="K1052" s="644"/>
      <c r="L1052" s="644"/>
      <c r="M1052" s="644"/>
    </row>
    <row r="1053" ht="20.25" customHeight="1">
      <c r="A1053" s="394"/>
      <c r="B1053" s="27"/>
      <c r="C1053" s="14"/>
      <c r="D1053" s="165"/>
      <c r="E1053" s="638"/>
      <c r="F1053" s="14"/>
      <c r="G1053" s="14"/>
      <c r="H1053" s="14"/>
      <c r="I1053" s="640"/>
      <c r="J1053" s="640"/>
      <c r="K1053" s="640"/>
      <c r="L1053" s="640"/>
      <c r="M1053" s="640"/>
    </row>
    <row r="1054" ht="20.25" customHeight="1">
      <c r="A1054" s="393"/>
      <c r="B1054" s="31"/>
      <c r="C1054" s="22"/>
      <c r="D1054" s="165"/>
      <c r="E1054" s="643"/>
      <c r="F1054" s="22"/>
      <c r="G1054" s="22"/>
      <c r="H1054" s="22"/>
      <c r="I1054" s="644"/>
      <c r="J1054" s="644"/>
      <c r="K1054" s="644"/>
      <c r="L1054" s="644"/>
      <c r="M1054" s="644"/>
    </row>
    <row r="1055" ht="20.25" customHeight="1">
      <c r="A1055" s="394"/>
      <c r="B1055" s="27"/>
      <c r="C1055" s="14"/>
      <c r="D1055" s="165"/>
      <c r="E1055" s="638"/>
      <c r="F1055" s="14"/>
      <c r="G1055" s="14"/>
      <c r="H1055" s="14"/>
      <c r="I1055" s="640"/>
      <c r="J1055" s="640"/>
      <c r="K1055" s="640"/>
      <c r="L1055" s="640"/>
      <c r="M1055" s="640"/>
    </row>
    <row r="1056" ht="20.25" customHeight="1">
      <c r="A1056" s="393"/>
      <c r="B1056" s="31"/>
      <c r="C1056" s="22"/>
      <c r="D1056" s="165"/>
      <c r="E1056" s="643"/>
      <c r="F1056" s="22"/>
      <c r="G1056" s="22"/>
      <c r="H1056" s="22"/>
      <c r="I1056" s="644"/>
      <c r="J1056" s="644"/>
      <c r="K1056" s="644"/>
      <c r="L1056" s="644"/>
      <c r="M1056" s="644"/>
    </row>
    <row r="1057" ht="20.25" customHeight="1">
      <c r="A1057" s="394"/>
      <c r="B1057" s="27"/>
      <c r="C1057" s="14"/>
      <c r="D1057" s="165"/>
      <c r="E1057" s="638"/>
      <c r="F1057" s="14"/>
      <c r="G1057" s="14"/>
      <c r="H1057" s="14"/>
      <c r="I1057" s="640"/>
      <c r="J1057" s="640"/>
      <c r="K1057" s="640"/>
      <c r="L1057" s="640"/>
      <c r="M1057" s="640"/>
    </row>
    <row r="1058" ht="20.25" customHeight="1">
      <c r="A1058" s="393"/>
      <c r="B1058" s="31"/>
      <c r="C1058" s="22"/>
      <c r="D1058" s="165"/>
      <c r="E1058" s="643"/>
      <c r="F1058" s="22"/>
      <c r="G1058" s="22"/>
      <c r="H1058" s="22"/>
      <c r="I1058" s="644"/>
      <c r="J1058" s="644"/>
      <c r="K1058" s="644"/>
      <c r="L1058" s="644"/>
      <c r="M1058" s="644"/>
    </row>
    <row r="1059" ht="20.25" customHeight="1">
      <c r="A1059" s="394"/>
      <c r="B1059" s="27"/>
      <c r="C1059" s="14"/>
      <c r="D1059" s="165"/>
      <c r="E1059" s="638"/>
      <c r="F1059" s="14"/>
      <c r="G1059" s="14"/>
      <c r="H1059" s="14"/>
      <c r="I1059" s="640"/>
      <c r="J1059" s="640"/>
      <c r="K1059" s="640"/>
      <c r="L1059" s="640"/>
      <c r="M1059" s="640"/>
    </row>
    <row r="1060" ht="20.25" customHeight="1">
      <c r="A1060" s="393"/>
      <c r="B1060" s="31"/>
      <c r="C1060" s="22"/>
      <c r="D1060" s="165"/>
      <c r="E1060" s="643"/>
      <c r="F1060" s="22"/>
      <c r="G1060" s="22"/>
      <c r="H1060" s="22"/>
      <c r="I1060" s="644"/>
      <c r="J1060" s="644"/>
      <c r="K1060" s="644"/>
      <c r="L1060" s="644"/>
      <c r="M1060" s="644"/>
    </row>
    <row r="1061" ht="20.25" customHeight="1">
      <c r="A1061" s="394"/>
      <c r="B1061" s="27"/>
      <c r="C1061" s="14"/>
      <c r="D1061" s="165"/>
      <c r="E1061" s="638"/>
      <c r="F1061" s="14"/>
      <c r="G1061" s="14"/>
      <c r="H1061" s="14"/>
      <c r="I1061" s="640"/>
      <c r="J1061" s="640"/>
      <c r="K1061" s="640"/>
      <c r="L1061" s="640"/>
      <c r="M1061" s="640"/>
    </row>
    <row r="1062" ht="20.25" customHeight="1">
      <c r="A1062" s="393"/>
      <c r="B1062" s="31"/>
      <c r="C1062" s="22"/>
      <c r="D1062" s="165"/>
      <c r="E1062" s="643"/>
      <c r="F1062" s="22"/>
      <c r="G1062" s="22"/>
      <c r="H1062" s="22"/>
      <c r="I1062" s="644"/>
      <c r="J1062" s="644"/>
      <c r="K1062" s="644"/>
      <c r="L1062" s="644"/>
      <c r="M1062" s="644"/>
    </row>
    <row r="1063" ht="20.25" customHeight="1">
      <c r="A1063" s="394"/>
      <c r="B1063" s="27"/>
      <c r="C1063" s="14"/>
      <c r="D1063" s="165"/>
      <c r="E1063" s="638"/>
      <c r="F1063" s="14"/>
      <c r="G1063" s="14"/>
      <c r="H1063" s="14"/>
      <c r="I1063" s="640"/>
      <c r="J1063" s="640"/>
      <c r="K1063" s="640"/>
      <c r="L1063" s="640"/>
      <c r="M1063" s="640"/>
    </row>
    <row r="1064" ht="20.25" customHeight="1">
      <c r="A1064" s="393"/>
      <c r="B1064" s="31"/>
      <c r="C1064" s="22"/>
      <c r="D1064" s="165"/>
      <c r="E1064" s="643"/>
      <c r="F1064" s="22"/>
      <c r="G1064" s="22"/>
      <c r="H1064" s="22"/>
      <c r="I1064" s="644"/>
      <c r="J1064" s="644"/>
      <c r="K1064" s="644"/>
      <c r="L1064" s="644"/>
      <c r="M1064" s="644"/>
    </row>
    <row r="1065" ht="20.25" customHeight="1">
      <c r="A1065" s="394"/>
      <c r="B1065" s="27"/>
      <c r="C1065" s="14"/>
      <c r="D1065" s="165"/>
      <c r="E1065" s="638"/>
      <c r="F1065" s="14"/>
      <c r="G1065" s="14"/>
      <c r="H1065" s="14"/>
      <c r="I1065" s="640"/>
      <c r="J1065" s="640"/>
      <c r="K1065" s="640"/>
      <c r="L1065" s="640"/>
      <c r="M1065" s="640"/>
    </row>
    <row r="1066" ht="20.25" customHeight="1">
      <c r="A1066" s="393"/>
      <c r="B1066" s="31"/>
      <c r="C1066" s="22"/>
      <c r="D1066" s="165"/>
      <c r="E1066" s="643"/>
      <c r="F1066" s="22"/>
      <c r="G1066" s="22"/>
      <c r="H1066" s="22"/>
      <c r="I1066" s="644"/>
      <c r="J1066" s="644"/>
      <c r="K1066" s="644"/>
      <c r="L1066" s="644"/>
      <c r="M1066" s="644"/>
    </row>
    <row r="1067" ht="20.25" customHeight="1">
      <c r="A1067" s="394"/>
      <c r="B1067" s="27"/>
      <c r="C1067" s="14"/>
      <c r="D1067" s="165"/>
      <c r="E1067" s="638"/>
      <c r="F1067" s="14"/>
      <c r="G1067" s="14"/>
      <c r="H1067" s="14"/>
      <c r="I1067" s="640"/>
      <c r="J1067" s="640"/>
      <c r="K1067" s="640"/>
      <c r="L1067" s="640"/>
      <c r="M1067" s="640"/>
    </row>
    <row r="1068" ht="20.25" customHeight="1">
      <c r="A1068" s="393"/>
      <c r="B1068" s="31"/>
      <c r="C1068" s="22"/>
      <c r="D1068" s="165"/>
      <c r="E1068" s="643"/>
      <c r="F1068" s="22"/>
      <c r="G1068" s="22"/>
      <c r="H1068" s="22"/>
      <c r="I1068" s="644"/>
      <c r="J1068" s="644"/>
      <c r="K1068" s="644"/>
      <c r="L1068" s="644"/>
      <c r="M1068" s="644"/>
    </row>
    <row r="1069" ht="20.25" customHeight="1">
      <c r="A1069" s="394"/>
      <c r="B1069" s="27"/>
      <c r="C1069" s="14"/>
      <c r="D1069" s="165"/>
      <c r="E1069" s="638"/>
      <c r="F1069" s="14"/>
      <c r="G1069" s="14"/>
      <c r="H1069" s="14"/>
      <c r="I1069" s="640"/>
      <c r="J1069" s="640"/>
      <c r="K1069" s="640"/>
      <c r="L1069" s="640"/>
      <c r="M1069" s="640"/>
    </row>
    <row r="1070" ht="20.25" customHeight="1">
      <c r="A1070" s="393"/>
      <c r="B1070" s="31"/>
      <c r="C1070" s="22"/>
      <c r="D1070" s="165"/>
      <c r="E1070" s="643"/>
      <c r="F1070" s="22"/>
      <c r="G1070" s="22"/>
      <c r="H1070" s="22"/>
      <c r="I1070" s="644"/>
      <c r="J1070" s="644"/>
      <c r="K1070" s="644"/>
      <c r="L1070" s="644"/>
      <c r="M1070" s="644"/>
    </row>
    <row r="1071" ht="20.25" customHeight="1">
      <c r="A1071" s="394"/>
      <c r="B1071" s="27"/>
      <c r="C1071" s="14"/>
      <c r="D1071" s="165"/>
      <c r="E1071" s="638"/>
      <c r="F1071" s="14"/>
      <c r="G1071" s="14"/>
      <c r="H1071" s="14"/>
      <c r="I1071" s="640"/>
      <c r="J1071" s="640"/>
      <c r="K1071" s="640"/>
      <c r="L1071" s="640"/>
      <c r="M1071" s="640"/>
    </row>
    <row r="1072" ht="20.25" customHeight="1">
      <c r="A1072" s="393"/>
      <c r="B1072" s="31"/>
      <c r="C1072" s="22"/>
      <c r="D1072" s="165"/>
      <c r="E1072" s="643"/>
      <c r="F1072" s="22"/>
      <c r="G1072" s="22"/>
      <c r="H1072" s="22"/>
      <c r="I1072" s="644"/>
      <c r="J1072" s="644"/>
      <c r="K1072" s="644"/>
      <c r="L1072" s="644"/>
      <c r="M1072" s="644"/>
    </row>
    <row r="1073" ht="20.25" customHeight="1">
      <c r="A1073" s="394"/>
      <c r="B1073" s="27"/>
      <c r="C1073" s="14"/>
      <c r="D1073" s="165"/>
      <c r="E1073" s="638"/>
      <c r="F1073" s="14"/>
      <c r="G1073" s="14"/>
      <c r="H1073" s="14"/>
      <c r="I1073" s="640"/>
      <c r="J1073" s="640"/>
      <c r="K1073" s="640"/>
      <c r="L1073" s="640"/>
      <c r="M1073" s="640"/>
    </row>
    <row r="1074" ht="20.25" customHeight="1">
      <c r="A1074" s="393"/>
      <c r="B1074" s="31"/>
      <c r="C1074" s="22"/>
      <c r="D1074" s="165"/>
      <c r="E1074" s="643"/>
      <c r="F1074" s="22"/>
      <c r="G1074" s="22"/>
      <c r="H1074" s="22"/>
      <c r="I1074" s="644"/>
      <c r="J1074" s="644"/>
      <c r="K1074" s="644"/>
      <c r="L1074" s="644"/>
      <c r="M1074" s="644"/>
    </row>
    <row r="1075" ht="20.25" customHeight="1">
      <c r="A1075" s="394"/>
      <c r="B1075" s="27"/>
      <c r="C1075" s="14"/>
      <c r="D1075" s="165"/>
      <c r="E1075" s="638"/>
      <c r="F1075" s="14"/>
      <c r="G1075" s="14"/>
      <c r="H1075" s="14"/>
      <c r="I1075" s="640"/>
      <c r="J1075" s="640"/>
      <c r="K1075" s="640"/>
      <c r="L1075" s="640"/>
      <c r="M1075" s="640"/>
    </row>
    <row r="1076" ht="20.25" customHeight="1">
      <c r="A1076" s="393"/>
      <c r="B1076" s="31"/>
      <c r="C1076" s="22"/>
      <c r="D1076" s="165"/>
      <c r="E1076" s="643"/>
      <c r="F1076" s="22"/>
      <c r="G1076" s="22"/>
      <c r="H1076" s="22"/>
      <c r="I1076" s="644"/>
      <c r="J1076" s="644"/>
      <c r="K1076" s="644"/>
      <c r="L1076" s="644"/>
      <c r="M1076" s="644"/>
    </row>
    <row r="1077" ht="20.25" customHeight="1">
      <c r="A1077" s="394"/>
      <c r="B1077" s="27"/>
      <c r="C1077" s="14"/>
      <c r="D1077" s="165"/>
      <c r="E1077" s="638"/>
      <c r="F1077" s="14"/>
      <c r="G1077" s="14"/>
      <c r="H1077" s="14"/>
      <c r="I1077" s="640"/>
      <c r="J1077" s="640"/>
      <c r="K1077" s="640"/>
      <c r="L1077" s="640"/>
      <c r="M1077" s="640"/>
    </row>
    <row r="1078" ht="20.25" customHeight="1">
      <c r="A1078" s="393"/>
      <c r="B1078" s="31"/>
      <c r="C1078" s="22"/>
      <c r="D1078" s="165"/>
      <c r="E1078" s="643"/>
      <c r="F1078" s="22"/>
      <c r="G1078" s="22"/>
      <c r="H1078" s="22"/>
      <c r="I1078" s="644"/>
      <c r="J1078" s="644"/>
      <c r="K1078" s="644"/>
      <c r="L1078" s="644"/>
      <c r="M1078" s="644"/>
    </row>
    <row r="1079" ht="20.25" customHeight="1">
      <c r="A1079" s="394"/>
      <c r="B1079" s="27"/>
      <c r="C1079" s="14"/>
      <c r="D1079" s="165"/>
      <c r="E1079" s="638"/>
      <c r="F1079" s="14"/>
      <c r="G1079" s="14"/>
      <c r="H1079" s="14"/>
      <c r="I1079" s="640"/>
      <c r="J1079" s="640"/>
      <c r="K1079" s="640"/>
      <c r="L1079" s="640"/>
      <c r="M1079" s="640"/>
    </row>
    <row r="1080" ht="20.25" customHeight="1">
      <c r="A1080" s="393"/>
      <c r="B1080" s="31"/>
      <c r="C1080" s="22"/>
      <c r="D1080" s="165"/>
      <c r="E1080" s="643"/>
      <c r="F1080" s="22"/>
      <c r="G1080" s="22"/>
      <c r="H1080" s="22"/>
      <c r="I1080" s="644"/>
      <c r="J1080" s="644"/>
      <c r="K1080" s="644"/>
      <c r="L1080" s="644"/>
      <c r="M1080" s="644"/>
    </row>
    <row r="1081" ht="20.25" customHeight="1">
      <c r="A1081" s="394"/>
      <c r="B1081" s="27"/>
      <c r="C1081" s="14"/>
      <c r="D1081" s="165"/>
      <c r="E1081" s="638"/>
      <c r="F1081" s="14"/>
      <c r="G1081" s="14"/>
      <c r="H1081" s="14"/>
      <c r="I1081" s="640"/>
      <c r="J1081" s="640"/>
      <c r="K1081" s="640"/>
      <c r="L1081" s="640"/>
      <c r="M1081" s="640"/>
    </row>
    <row r="1082" ht="20.25" customHeight="1">
      <c r="A1082" s="393"/>
      <c r="B1082" s="31"/>
      <c r="C1082" s="22"/>
      <c r="D1082" s="165"/>
      <c r="E1082" s="643"/>
      <c r="F1082" s="22"/>
      <c r="G1082" s="22"/>
      <c r="H1082" s="22"/>
      <c r="I1082" s="644"/>
      <c r="J1082" s="644"/>
      <c r="K1082" s="644"/>
      <c r="L1082" s="644"/>
      <c r="M1082" s="644"/>
    </row>
    <row r="1083" ht="20.25" customHeight="1">
      <c r="A1083" s="394"/>
      <c r="B1083" s="27"/>
      <c r="C1083" s="14"/>
      <c r="D1083" s="165"/>
      <c r="E1083" s="638"/>
      <c r="F1083" s="14"/>
      <c r="G1083" s="14"/>
      <c r="H1083" s="14"/>
      <c r="I1083" s="640"/>
      <c r="J1083" s="640"/>
      <c r="K1083" s="640"/>
      <c r="L1083" s="640"/>
      <c r="M1083" s="640"/>
    </row>
    <row r="1084" ht="20.25" customHeight="1">
      <c r="A1084" s="393"/>
      <c r="B1084" s="31"/>
      <c r="C1084" s="22"/>
      <c r="D1084" s="165"/>
      <c r="E1084" s="643"/>
      <c r="F1084" s="22"/>
      <c r="G1084" s="22"/>
      <c r="H1084" s="22"/>
      <c r="I1084" s="644"/>
      <c r="J1084" s="644"/>
      <c r="K1084" s="644"/>
      <c r="L1084" s="644"/>
      <c r="M1084" s="644"/>
    </row>
    <row r="1085" ht="20.25" customHeight="1">
      <c r="A1085" s="394"/>
      <c r="B1085" s="27"/>
      <c r="C1085" s="14"/>
      <c r="D1085" s="165"/>
      <c r="E1085" s="638"/>
      <c r="F1085" s="14"/>
      <c r="G1085" s="14"/>
      <c r="H1085" s="14"/>
      <c r="I1085" s="640"/>
      <c r="J1085" s="640"/>
      <c r="K1085" s="640"/>
      <c r="L1085" s="640"/>
      <c r="M1085" s="640"/>
    </row>
    <row r="1086" ht="20.25" customHeight="1">
      <c r="A1086" s="393"/>
      <c r="B1086" s="31"/>
      <c r="C1086" s="22"/>
      <c r="D1086" s="165"/>
      <c r="E1086" s="643"/>
      <c r="F1086" s="22"/>
      <c r="G1086" s="22"/>
      <c r="H1086" s="22"/>
      <c r="I1086" s="644"/>
      <c r="J1086" s="644"/>
      <c r="K1086" s="644"/>
      <c r="L1086" s="644"/>
      <c r="M1086" s="644"/>
    </row>
    <row r="1087" ht="20.25" customHeight="1">
      <c r="A1087" s="394"/>
      <c r="B1087" s="27"/>
      <c r="C1087" s="14"/>
      <c r="D1087" s="165"/>
      <c r="E1087" s="638"/>
      <c r="F1087" s="14"/>
      <c r="G1087" s="14"/>
      <c r="H1087" s="14"/>
      <c r="I1087" s="640"/>
      <c r="J1087" s="640"/>
      <c r="K1087" s="640"/>
      <c r="L1087" s="640"/>
      <c r="M1087" s="640"/>
    </row>
    <row r="1088" ht="20.25" customHeight="1">
      <c r="A1088" s="393"/>
      <c r="B1088" s="31"/>
      <c r="C1088" s="22"/>
      <c r="D1088" s="165"/>
      <c r="E1088" s="643"/>
      <c r="F1088" s="22"/>
      <c r="G1088" s="22"/>
      <c r="H1088" s="22"/>
      <c r="I1088" s="644"/>
      <c r="J1088" s="644"/>
      <c r="K1088" s="644"/>
      <c r="L1088" s="644"/>
      <c r="M1088" s="644"/>
    </row>
    <row r="1089" ht="20.25" customHeight="1">
      <c r="A1089" s="394"/>
      <c r="B1089" s="27"/>
      <c r="C1089" s="14"/>
      <c r="D1089" s="165"/>
      <c r="E1089" s="638"/>
      <c r="F1089" s="14"/>
      <c r="G1089" s="14"/>
      <c r="H1089" s="14"/>
      <c r="I1089" s="640"/>
      <c r="J1089" s="640"/>
      <c r="K1089" s="640"/>
      <c r="L1089" s="640"/>
      <c r="M1089" s="640"/>
    </row>
    <row r="1090" ht="20.25" customHeight="1">
      <c r="A1090" s="393"/>
      <c r="B1090" s="31"/>
      <c r="C1090" s="22"/>
      <c r="D1090" s="165"/>
      <c r="E1090" s="643"/>
      <c r="F1090" s="22"/>
      <c r="G1090" s="22"/>
      <c r="H1090" s="22"/>
      <c r="I1090" s="644"/>
      <c r="J1090" s="644"/>
      <c r="K1090" s="644"/>
      <c r="L1090" s="644"/>
      <c r="M1090" s="644"/>
    </row>
    <row r="1091" ht="20.25" customHeight="1">
      <c r="A1091" s="394"/>
      <c r="B1091" s="27"/>
      <c r="C1091" s="14"/>
      <c r="D1091" s="165"/>
      <c r="E1091" s="638"/>
      <c r="F1091" s="14"/>
      <c r="G1091" s="14"/>
      <c r="H1091" s="14"/>
      <c r="I1091" s="640"/>
      <c r="J1091" s="640"/>
      <c r="K1091" s="640"/>
      <c r="L1091" s="640"/>
      <c r="M1091" s="640"/>
    </row>
    <row r="1092" ht="20.25" customHeight="1">
      <c r="A1092" s="393"/>
      <c r="B1092" s="31"/>
      <c r="C1092" s="22"/>
      <c r="D1092" s="165"/>
      <c r="E1092" s="643"/>
      <c r="F1092" s="22"/>
      <c r="G1092" s="22"/>
      <c r="H1092" s="22"/>
      <c r="I1092" s="644"/>
      <c r="J1092" s="644"/>
      <c r="K1092" s="644"/>
      <c r="L1092" s="644"/>
      <c r="M1092" s="644"/>
    </row>
    <row r="1093" ht="20.25" customHeight="1">
      <c r="A1093" s="394"/>
      <c r="B1093" s="27"/>
      <c r="C1093" s="14"/>
      <c r="D1093" s="165"/>
      <c r="E1093" s="638"/>
      <c r="F1093" s="14"/>
      <c r="G1093" s="14"/>
      <c r="H1093" s="14"/>
      <c r="I1093" s="640"/>
      <c r="J1093" s="640"/>
      <c r="K1093" s="640"/>
      <c r="L1093" s="640"/>
      <c r="M1093" s="640"/>
    </row>
    <row r="1094" ht="20.25" customHeight="1">
      <c r="A1094" s="393"/>
      <c r="B1094" s="31"/>
      <c r="C1094" s="22"/>
      <c r="D1094" s="165"/>
      <c r="E1094" s="643"/>
      <c r="F1094" s="22"/>
      <c r="G1094" s="22"/>
      <c r="H1094" s="22"/>
      <c r="I1094" s="644"/>
      <c r="J1094" s="644"/>
      <c r="K1094" s="644"/>
      <c r="L1094" s="644"/>
      <c r="M1094" s="644"/>
    </row>
    <row r="1095" ht="20.25" customHeight="1">
      <c r="A1095" s="394"/>
      <c r="B1095" s="27"/>
      <c r="C1095" s="14"/>
      <c r="D1095" s="165"/>
      <c r="E1095" s="638"/>
      <c r="F1095" s="14"/>
      <c r="G1095" s="14"/>
      <c r="H1095" s="14"/>
      <c r="I1095" s="640"/>
      <c r="J1095" s="640"/>
      <c r="K1095" s="640"/>
      <c r="L1095" s="640"/>
      <c r="M1095" s="640"/>
    </row>
    <row r="1096" ht="20.25" customHeight="1">
      <c r="A1096" s="393"/>
      <c r="B1096" s="31"/>
      <c r="C1096" s="22"/>
      <c r="D1096" s="165"/>
      <c r="E1096" s="643"/>
      <c r="F1096" s="22"/>
      <c r="G1096" s="22"/>
      <c r="H1096" s="22"/>
      <c r="I1096" s="644"/>
      <c r="J1096" s="644"/>
      <c r="K1096" s="644"/>
      <c r="L1096" s="644"/>
      <c r="M1096" s="644"/>
    </row>
    <row r="1097" ht="20.25" customHeight="1">
      <c r="A1097" s="394"/>
      <c r="B1097" s="27"/>
      <c r="C1097" s="14"/>
      <c r="D1097" s="165"/>
      <c r="E1097" s="638"/>
      <c r="F1097" s="14"/>
      <c r="G1097" s="14"/>
      <c r="H1097" s="14"/>
      <c r="I1097" s="640"/>
      <c r="J1097" s="640"/>
      <c r="K1097" s="640"/>
      <c r="L1097" s="640"/>
      <c r="M1097" s="640"/>
    </row>
    <row r="1098" ht="20.25" customHeight="1">
      <c r="A1098" s="393"/>
      <c r="B1098" s="31"/>
      <c r="C1098" s="22"/>
      <c r="D1098" s="165"/>
      <c r="E1098" s="643"/>
      <c r="F1098" s="22"/>
      <c r="G1098" s="22"/>
      <c r="H1098" s="22"/>
      <c r="I1098" s="644"/>
      <c r="J1098" s="644"/>
      <c r="K1098" s="644"/>
      <c r="L1098" s="644"/>
      <c r="M1098" s="644"/>
    </row>
    <row r="1099" ht="20.25" customHeight="1">
      <c r="A1099" s="394"/>
      <c r="B1099" s="27"/>
      <c r="C1099" s="14"/>
      <c r="D1099" s="165"/>
      <c r="E1099" s="638"/>
      <c r="F1099" s="14"/>
      <c r="G1099" s="14"/>
      <c r="H1099" s="14"/>
      <c r="I1099" s="640"/>
      <c r="J1099" s="640"/>
      <c r="K1099" s="640"/>
      <c r="L1099" s="640"/>
      <c r="M1099" s="640"/>
    </row>
    <row r="1100" ht="20.25" customHeight="1">
      <c r="A1100" s="393"/>
      <c r="B1100" s="31"/>
      <c r="C1100" s="22"/>
      <c r="D1100" s="165"/>
      <c r="E1100" s="643"/>
      <c r="F1100" s="22"/>
      <c r="G1100" s="22"/>
      <c r="H1100" s="22"/>
      <c r="I1100" s="644"/>
      <c r="J1100" s="644"/>
      <c r="K1100" s="644"/>
      <c r="L1100" s="644"/>
      <c r="M1100" s="644"/>
    </row>
    <row r="1101" ht="20.25" customHeight="1">
      <c r="A1101" s="394"/>
      <c r="B1101" s="27"/>
      <c r="C1101" s="14"/>
      <c r="D1101" s="165"/>
      <c r="E1101" s="638"/>
      <c r="F1101" s="14"/>
      <c r="G1101" s="14"/>
      <c r="H1101" s="14"/>
      <c r="I1101" s="640"/>
      <c r="J1101" s="640"/>
      <c r="K1101" s="640"/>
      <c r="L1101" s="640"/>
      <c r="M1101" s="640"/>
    </row>
    <row r="1102" ht="20.25" customHeight="1">
      <c r="A1102" s="393"/>
      <c r="B1102" s="31"/>
      <c r="C1102" s="22"/>
      <c r="D1102" s="165"/>
      <c r="E1102" s="643"/>
      <c r="F1102" s="22"/>
      <c r="G1102" s="22"/>
      <c r="H1102" s="22"/>
      <c r="I1102" s="644"/>
      <c r="J1102" s="644"/>
      <c r="K1102" s="644"/>
      <c r="L1102" s="644"/>
      <c r="M1102" s="644"/>
    </row>
    <row r="1103" ht="20.25" customHeight="1">
      <c r="A1103" s="394"/>
      <c r="B1103" s="27"/>
      <c r="C1103" s="14"/>
      <c r="D1103" s="165"/>
      <c r="E1103" s="638"/>
      <c r="F1103" s="14"/>
      <c r="G1103" s="14"/>
      <c r="H1103" s="14"/>
      <c r="I1103" s="640"/>
      <c r="J1103" s="640"/>
      <c r="K1103" s="640"/>
      <c r="L1103" s="640"/>
      <c r="M1103" s="640"/>
    </row>
    <row r="1104" ht="20.25" customHeight="1">
      <c r="A1104" s="393"/>
      <c r="B1104" s="31"/>
      <c r="C1104" s="22"/>
      <c r="D1104" s="165"/>
      <c r="E1104" s="643"/>
      <c r="F1104" s="22"/>
      <c r="G1104" s="22"/>
      <c r="H1104" s="22"/>
      <c r="I1104" s="644"/>
      <c r="J1104" s="644"/>
      <c r="K1104" s="644"/>
      <c r="L1104" s="644"/>
      <c r="M1104" s="644"/>
    </row>
    <row r="1105" ht="20.25" customHeight="1">
      <c r="A1105" s="394"/>
      <c r="B1105" s="27"/>
      <c r="C1105" s="14"/>
      <c r="D1105" s="165"/>
      <c r="E1105" s="638"/>
      <c r="F1105" s="14"/>
      <c r="G1105" s="14"/>
      <c r="H1105" s="14"/>
      <c r="I1105" s="640"/>
      <c r="J1105" s="640"/>
      <c r="K1105" s="640"/>
      <c r="L1105" s="640"/>
      <c r="M1105" s="640"/>
    </row>
    <row r="1106" ht="20.25" customHeight="1">
      <c r="A1106" s="393"/>
      <c r="B1106" s="31"/>
      <c r="C1106" s="22"/>
      <c r="D1106" s="165"/>
      <c r="E1106" s="643"/>
      <c r="F1106" s="22"/>
      <c r="G1106" s="22"/>
      <c r="H1106" s="22"/>
      <c r="I1106" s="644"/>
      <c r="J1106" s="644"/>
      <c r="K1106" s="644"/>
      <c r="L1106" s="644"/>
      <c r="M1106" s="644"/>
    </row>
    <row r="1107" ht="20.25" customHeight="1">
      <c r="A1107" s="394"/>
      <c r="B1107" s="27"/>
      <c r="C1107" s="14"/>
      <c r="D1107" s="165"/>
      <c r="E1107" s="638"/>
      <c r="F1107" s="14"/>
      <c r="G1107" s="14"/>
      <c r="H1107" s="14"/>
      <c r="I1107" s="640"/>
      <c r="J1107" s="640"/>
      <c r="K1107" s="640"/>
      <c r="L1107" s="640"/>
      <c r="M1107" s="640"/>
    </row>
    <row r="1108" ht="20.25" customHeight="1">
      <c r="A1108" s="393"/>
      <c r="B1108" s="31"/>
      <c r="C1108" s="22"/>
      <c r="D1108" s="165"/>
      <c r="E1108" s="643"/>
      <c r="F1108" s="22"/>
      <c r="G1108" s="22"/>
      <c r="H1108" s="22"/>
      <c r="I1108" s="644"/>
      <c r="J1108" s="644"/>
      <c r="K1108" s="644"/>
      <c r="L1108" s="644"/>
      <c r="M1108" s="644"/>
    </row>
    <row r="1109" ht="20.25" customHeight="1">
      <c r="A1109" s="394"/>
      <c r="B1109" s="27"/>
      <c r="C1109" s="14"/>
      <c r="D1109" s="165"/>
      <c r="E1109" s="638"/>
      <c r="F1109" s="14"/>
      <c r="G1109" s="14"/>
      <c r="H1109" s="14"/>
      <c r="I1109" s="640"/>
      <c r="J1109" s="640"/>
      <c r="K1109" s="640"/>
      <c r="L1109" s="640"/>
      <c r="M1109" s="640"/>
    </row>
    <row r="1110" ht="20.25" customHeight="1">
      <c r="A1110" s="393"/>
      <c r="B1110" s="31"/>
      <c r="C1110" s="22"/>
      <c r="D1110" s="165"/>
      <c r="E1110" s="643"/>
      <c r="F1110" s="22"/>
      <c r="G1110" s="22"/>
      <c r="H1110" s="22"/>
      <c r="I1110" s="644"/>
      <c r="J1110" s="644"/>
      <c r="K1110" s="644"/>
      <c r="L1110" s="644"/>
      <c r="M1110" s="644"/>
    </row>
    <row r="1111" ht="20.25" customHeight="1">
      <c r="A1111" s="394"/>
      <c r="B1111" s="27"/>
      <c r="C1111" s="14"/>
      <c r="D1111" s="165"/>
      <c r="E1111" s="638"/>
      <c r="F1111" s="14"/>
      <c r="G1111" s="14"/>
      <c r="H1111" s="14"/>
      <c r="I1111" s="640"/>
      <c r="J1111" s="640"/>
      <c r="K1111" s="640"/>
      <c r="L1111" s="640"/>
      <c r="M1111" s="640"/>
    </row>
    <row r="1112" ht="20.25" customHeight="1">
      <c r="A1112" s="393"/>
      <c r="B1112" s="31"/>
      <c r="C1112" s="22"/>
      <c r="D1112" s="165"/>
      <c r="E1112" s="643"/>
      <c r="F1112" s="22"/>
      <c r="G1112" s="22"/>
      <c r="H1112" s="22"/>
      <c r="I1112" s="644"/>
      <c r="J1112" s="644"/>
      <c r="K1112" s="644"/>
      <c r="L1112" s="644"/>
      <c r="M1112" s="644"/>
    </row>
    <row r="1113" ht="20.25" customHeight="1">
      <c r="A1113" s="394"/>
      <c r="B1113" s="27"/>
      <c r="C1113" s="14"/>
      <c r="D1113" s="165"/>
      <c r="E1113" s="638"/>
      <c r="F1113" s="14"/>
      <c r="G1113" s="14"/>
      <c r="H1113" s="14"/>
      <c r="I1113" s="640"/>
      <c r="J1113" s="640"/>
      <c r="K1113" s="640"/>
      <c r="L1113" s="640"/>
      <c r="M1113" s="640"/>
    </row>
    <row r="1114" ht="20.25" customHeight="1">
      <c r="A1114" s="393"/>
      <c r="B1114" s="31"/>
      <c r="C1114" s="22"/>
      <c r="D1114" s="165"/>
      <c r="E1114" s="643"/>
      <c r="F1114" s="22"/>
      <c r="G1114" s="22"/>
      <c r="H1114" s="22"/>
      <c r="I1114" s="644"/>
      <c r="J1114" s="644"/>
      <c r="K1114" s="644"/>
      <c r="L1114" s="644"/>
      <c r="M1114" s="644"/>
    </row>
    <row r="1115" ht="20.25" customHeight="1">
      <c r="A1115" s="394"/>
      <c r="B1115" s="27"/>
      <c r="C1115" s="14"/>
      <c r="D1115" s="165"/>
      <c r="E1115" s="638"/>
      <c r="F1115" s="14"/>
      <c r="G1115" s="14"/>
      <c r="H1115" s="14"/>
      <c r="I1115" s="640"/>
      <c r="J1115" s="640"/>
      <c r="K1115" s="640"/>
      <c r="L1115" s="640"/>
      <c r="M1115" s="640"/>
    </row>
    <row r="1116" ht="20.25" customHeight="1">
      <c r="A1116" s="393"/>
      <c r="B1116" s="31"/>
      <c r="C1116" s="22"/>
      <c r="D1116" s="165"/>
      <c r="E1116" s="643"/>
      <c r="F1116" s="22"/>
      <c r="G1116" s="22"/>
      <c r="H1116" s="22"/>
      <c r="I1116" s="644"/>
      <c r="J1116" s="644"/>
      <c r="K1116" s="644"/>
      <c r="L1116" s="644"/>
      <c r="M1116" s="644"/>
    </row>
    <row r="1117" ht="20.25" customHeight="1">
      <c r="A1117" s="394"/>
      <c r="B1117" s="27"/>
      <c r="C1117" s="14"/>
      <c r="D1117" s="165"/>
      <c r="E1117" s="638"/>
      <c r="F1117" s="14"/>
      <c r="G1117" s="14"/>
      <c r="H1117" s="14"/>
      <c r="I1117" s="640"/>
      <c r="J1117" s="640"/>
      <c r="K1117" s="640"/>
      <c r="L1117" s="640"/>
      <c r="M1117" s="640"/>
    </row>
    <row r="1118" ht="20.25" customHeight="1">
      <c r="A1118" s="393"/>
      <c r="B1118" s="31"/>
      <c r="C1118" s="22"/>
      <c r="D1118" s="165"/>
      <c r="E1118" s="643"/>
      <c r="F1118" s="22"/>
      <c r="G1118" s="22"/>
      <c r="H1118" s="22"/>
      <c r="I1118" s="644"/>
      <c r="J1118" s="644"/>
      <c r="K1118" s="644"/>
      <c r="L1118" s="644"/>
      <c r="M1118" s="644"/>
    </row>
    <row r="1119" ht="20.25" customHeight="1">
      <c r="A1119" s="394"/>
      <c r="B1119" s="27"/>
      <c r="C1119" s="14"/>
      <c r="D1119" s="165"/>
      <c r="E1119" s="638"/>
      <c r="F1119" s="14"/>
      <c r="G1119" s="14"/>
      <c r="H1119" s="14"/>
      <c r="I1119" s="640"/>
      <c r="J1119" s="640"/>
      <c r="K1119" s="640"/>
      <c r="L1119" s="640"/>
      <c r="M1119" s="640"/>
    </row>
    <row r="1120" ht="20.25" customHeight="1">
      <c r="A1120" s="393"/>
      <c r="B1120" s="31"/>
      <c r="C1120" s="22"/>
      <c r="D1120" s="165"/>
      <c r="E1120" s="643"/>
      <c r="F1120" s="22"/>
      <c r="G1120" s="22"/>
      <c r="H1120" s="22"/>
      <c r="I1120" s="644"/>
      <c r="J1120" s="644"/>
      <c r="K1120" s="644"/>
      <c r="L1120" s="644"/>
      <c r="M1120" s="644"/>
    </row>
    <row r="1121" ht="20.25" customHeight="1">
      <c r="A1121" s="394"/>
      <c r="B1121" s="27"/>
      <c r="C1121" s="14"/>
      <c r="D1121" s="165"/>
      <c r="E1121" s="638"/>
      <c r="F1121" s="14"/>
      <c r="G1121" s="14"/>
      <c r="H1121" s="14"/>
      <c r="I1121" s="640"/>
      <c r="J1121" s="640"/>
      <c r="K1121" s="640"/>
      <c r="L1121" s="640"/>
      <c r="M1121" s="640"/>
    </row>
    <row r="1122" ht="20.25" customHeight="1">
      <c r="A1122" s="393"/>
      <c r="B1122" s="31"/>
      <c r="C1122" s="22"/>
      <c r="D1122" s="165"/>
      <c r="E1122" s="643"/>
      <c r="F1122" s="22"/>
      <c r="G1122" s="22"/>
      <c r="H1122" s="22"/>
      <c r="I1122" s="644"/>
      <c r="J1122" s="644"/>
      <c r="K1122" s="644"/>
      <c r="L1122" s="644"/>
      <c r="M1122" s="644"/>
    </row>
    <row r="1123" ht="20.25" customHeight="1">
      <c r="A1123" s="394"/>
      <c r="B1123" s="27"/>
      <c r="C1123" s="14"/>
      <c r="D1123" s="165"/>
      <c r="E1123" s="638"/>
      <c r="F1123" s="14"/>
      <c r="G1123" s="14"/>
      <c r="H1123" s="14"/>
      <c r="I1123" s="640"/>
      <c r="J1123" s="640"/>
      <c r="K1123" s="640"/>
      <c r="L1123" s="640"/>
      <c r="M1123" s="640"/>
    </row>
    <row r="1124" ht="20.25" customHeight="1">
      <c r="A1124" s="393"/>
      <c r="B1124" s="31"/>
      <c r="C1124" s="22"/>
      <c r="D1124" s="165"/>
      <c r="E1124" s="643"/>
      <c r="F1124" s="22"/>
      <c r="G1124" s="22"/>
      <c r="H1124" s="22"/>
      <c r="I1124" s="644"/>
      <c r="J1124" s="644"/>
      <c r="K1124" s="644"/>
      <c r="L1124" s="644"/>
      <c r="M1124" s="644"/>
    </row>
    <row r="1125" ht="20.25" customHeight="1">
      <c r="A1125" s="394"/>
      <c r="B1125" s="27"/>
      <c r="C1125" s="14"/>
      <c r="D1125" s="165"/>
      <c r="E1125" s="638"/>
      <c r="F1125" s="14"/>
      <c r="G1125" s="14"/>
      <c r="H1125" s="14"/>
      <c r="I1125" s="640"/>
      <c r="J1125" s="640"/>
      <c r="K1125" s="640"/>
      <c r="L1125" s="640"/>
      <c r="M1125" s="640"/>
    </row>
    <row r="1126" ht="20.25" customHeight="1">
      <c r="A1126" s="393"/>
      <c r="B1126" s="31"/>
      <c r="C1126" s="22"/>
      <c r="D1126" s="165"/>
      <c r="E1126" s="643"/>
      <c r="F1126" s="22"/>
      <c r="G1126" s="22"/>
      <c r="H1126" s="22"/>
      <c r="I1126" s="644"/>
      <c r="J1126" s="644"/>
      <c r="K1126" s="644"/>
      <c r="L1126" s="644"/>
      <c r="M1126" s="644"/>
    </row>
    <row r="1127" ht="20.25" customHeight="1">
      <c r="A1127" s="394"/>
      <c r="B1127" s="27"/>
      <c r="C1127" s="14"/>
      <c r="D1127" s="165"/>
      <c r="E1127" s="638"/>
      <c r="F1127" s="14"/>
      <c r="G1127" s="14"/>
      <c r="H1127" s="14"/>
      <c r="I1127" s="640"/>
      <c r="J1127" s="640"/>
      <c r="K1127" s="640"/>
      <c r="L1127" s="640"/>
      <c r="M1127" s="640"/>
    </row>
    <row r="1128" ht="20.25" customHeight="1">
      <c r="A1128" s="393"/>
      <c r="B1128" s="31"/>
      <c r="C1128" s="22"/>
      <c r="D1128" s="165"/>
      <c r="E1128" s="643"/>
      <c r="F1128" s="22"/>
      <c r="G1128" s="22"/>
      <c r="H1128" s="22"/>
      <c r="I1128" s="644"/>
      <c r="J1128" s="644"/>
      <c r="K1128" s="644"/>
      <c r="L1128" s="644"/>
      <c r="M1128" s="644"/>
    </row>
    <row r="1129" ht="20.25" customHeight="1">
      <c r="A1129" s="394"/>
      <c r="B1129" s="27"/>
      <c r="C1129" s="14"/>
      <c r="D1129" s="165"/>
      <c r="E1129" s="638"/>
      <c r="F1129" s="14"/>
      <c r="G1129" s="14"/>
      <c r="H1129" s="14"/>
      <c r="I1129" s="640"/>
      <c r="J1129" s="640"/>
      <c r="K1129" s="640"/>
      <c r="L1129" s="640"/>
      <c r="M1129" s="640"/>
    </row>
    <row r="1130" ht="20.25" customHeight="1">
      <c r="A1130" s="393"/>
      <c r="B1130" s="31"/>
      <c r="C1130" s="22"/>
      <c r="D1130" s="165"/>
      <c r="E1130" s="643"/>
      <c r="F1130" s="22"/>
      <c r="G1130" s="22"/>
      <c r="H1130" s="22"/>
      <c r="I1130" s="644"/>
      <c r="J1130" s="644"/>
      <c r="K1130" s="644"/>
      <c r="L1130" s="644"/>
      <c r="M1130" s="644"/>
    </row>
    <row r="1131" ht="20.25" customHeight="1">
      <c r="A1131" s="394"/>
      <c r="B1131" s="27"/>
      <c r="C1131" s="14"/>
      <c r="D1131" s="165"/>
      <c r="E1131" s="638"/>
      <c r="F1131" s="14"/>
      <c r="G1131" s="14"/>
      <c r="H1131" s="14"/>
      <c r="I1131" s="640"/>
      <c r="J1131" s="640"/>
      <c r="K1131" s="640"/>
      <c r="L1131" s="640"/>
      <c r="M1131" s="640"/>
    </row>
    <row r="1132" ht="20.25" customHeight="1">
      <c r="A1132" s="393"/>
      <c r="B1132" s="31"/>
      <c r="C1132" s="22"/>
      <c r="D1132" s="165"/>
      <c r="E1132" s="643"/>
      <c r="F1132" s="22"/>
      <c r="G1132" s="22"/>
      <c r="H1132" s="22"/>
      <c r="I1132" s="644"/>
      <c r="J1132" s="644"/>
      <c r="K1132" s="644"/>
      <c r="L1132" s="644"/>
      <c r="M1132" s="644"/>
    </row>
    <row r="1133" ht="20.25" customHeight="1">
      <c r="A1133" s="394"/>
      <c r="B1133" s="27"/>
      <c r="C1133" s="14"/>
      <c r="D1133" s="165"/>
      <c r="E1133" s="638"/>
      <c r="F1133" s="14"/>
      <c r="G1133" s="14"/>
      <c r="H1133" s="14"/>
      <c r="I1133" s="640"/>
      <c r="J1133" s="640"/>
      <c r="K1133" s="640"/>
      <c r="L1133" s="640"/>
      <c r="M1133" s="640"/>
    </row>
    <row r="1134" ht="20.25" customHeight="1">
      <c r="A1134" s="393"/>
      <c r="B1134" s="31"/>
      <c r="C1134" s="22"/>
      <c r="D1134" s="165"/>
      <c r="E1134" s="643"/>
      <c r="F1134" s="22"/>
      <c r="G1134" s="22"/>
      <c r="H1134" s="22"/>
      <c r="I1134" s="644"/>
      <c r="J1134" s="644"/>
      <c r="K1134" s="644"/>
      <c r="L1134" s="644"/>
      <c r="M1134" s="644"/>
    </row>
    <row r="1135" ht="20.25" customHeight="1">
      <c r="A1135" s="394"/>
      <c r="B1135" s="27"/>
      <c r="C1135" s="14"/>
      <c r="D1135" s="165"/>
      <c r="E1135" s="638"/>
      <c r="F1135" s="14"/>
      <c r="G1135" s="14"/>
      <c r="H1135" s="14"/>
      <c r="I1135" s="640"/>
      <c r="J1135" s="640"/>
      <c r="K1135" s="640"/>
      <c r="L1135" s="640"/>
      <c r="M1135" s="640"/>
    </row>
    <row r="1136" ht="20.25" customHeight="1">
      <c r="A1136" s="393"/>
      <c r="B1136" s="31"/>
      <c r="C1136" s="22"/>
      <c r="D1136" s="165"/>
      <c r="E1136" s="643"/>
      <c r="F1136" s="22"/>
      <c r="G1136" s="22"/>
      <c r="H1136" s="22"/>
      <c r="I1136" s="644"/>
      <c r="J1136" s="644"/>
      <c r="K1136" s="644"/>
      <c r="L1136" s="644"/>
      <c r="M1136" s="644"/>
    </row>
    <row r="1137" ht="20.25" customHeight="1">
      <c r="A1137" s="394"/>
      <c r="B1137" s="27"/>
      <c r="C1137" s="14"/>
      <c r="D1137" s="165"/>
      <c r="E1137" s="638"/>
      <c r="F1137" s="14"/>
      <c r="G1137" s="14"/>
      <c r="H1137" s="14"/>
      <c r="I1137" s="640"/>
      <c r="J1137" s="640"/>
      <c r="K1137" s="640"/>
      <c r="L1137" s="640"/>
      <c r="M1137" s="640"/>
    </row>
  </sheetData>
  <mergeCells count="590">
    <mergeCell ref="L94:L99"/>
    <mergeCell ref="M94:M99"/>
    <mergeCell ref="K82:K87"/>
    <mergeCell ref="L82:L87"/>
    <mergeCell ref="M82:M87"/>
    <mergeCell ref="K88:K93"/>
    <mergeCell ref="L88:L93"/>
    <mergeCell ref="M88:M93"/>
    <mergeCell ref="K94:K99"/>
    <mergeCell ref="L17:L18"/>
    <mergeCell ref="M17:M18"/>
    <mergeCell ref="L19:L20"/>
    <mergeCell ref="M19:M20"/>
    <mergeCell ref="L21:L22"/>
    <mergeCell ref="M21:M22"/>
    <mergeCell ref="M23:M24"/>
    <mergeCell ref="L23:L24"/>
    <mergeCell ref="L25:L26"/>
    <mergeCell ref="L27:L28"/>
    <mergeCell ref="L29:L30"/>
    <mergeCell ref="M29:M30"/>
    <mergeCell ref="L31:L32"/>
    <mergeCell ref="M31:M32"/>
    <mergeCell ref="L33:L34"/>
    <mergeCell ref="M33:M34"/>
    <mergeCell ref="L35:L36"/>
    <mergeCell ref="M35:M36"/>
    <mergeCell ref="L37:L38"/>
    <mergeCell ref="M37:M38"/>
    <mergeCell ref="M39:M40"/>
    <mergeCell ref="L39:L40"/>
    <mergeCell ref="K41:K44"/>
    <mergeCell ref="L41:L44"/>
    <mergeCell ref="M41:M44"/>
    <mergeCell ref="K45:K48"/>
    <mergeCell ref="L45:L48"/>
    <mergeCell ref="M45:M48"/>
    <mergeCell ref="L60:L66"/>
    <mergeCell ref="M60:M66"/>
    <mergeCell ref="K49:K52"/>
    <mergeCell ref="L49:L52"/>
    <mergeCell ref="M49:M52"/>
    <mergeCell ref="K53:K59"/>
    <mergeCell ref="L53:L59"/>
    <mergeCell ref="M53:M59"/>
    <mergeCell ref="K60:K66"/>
    <mergeCell ref="K100:K101"/>
    <mergeCell ref="L100:L101"/>
    <mergeCell ref="M100:M101"/>
    <mergeCell ref="F94:F99"/>
    <mergeCell ref="G94:G99"/>
    <mergeCell ref="E82:E87"/>
    <mergeCell ref="F82:F87"/>
    <mergeCell ref="G82:G87"/>
    <mergeCell ref="E88:E93"/>
    <mergeCell ref="F88:F93"/>
    <mergeCell ref="G88:G93"/>
    <mergeCell ref="E94:E99"/>
    <mergeCell ref="F35:F36"/>
    <mergeCell ref="F37:F38"/>
    <mergeCell ref="E39:E40"/>
    <mergeCell ref="F39:F40"/>
    <mergeCell ref="E41:E44"/>
    <mergeCell ref="F41:F44"/>
    <mergeCell ref="G41:G44"/>
    <mergeCell ref="F67:F74"/>
    <mergeCell ref="G67:G74"/>
    <mergeCell ref="E45:E48"/>
    <mergeCell ref="F45:F48"/>
    <mergeCell ref="G45:G48"/>
    <mergeCell ref="G49:G52"/>
    <mergeCell ref="G53:G59"/>
    <mergeCell ref="G60:G66"/>
    <mergeCell ref="E67:E74"/>
    <mergeCell ref="I80:I81"/>
    <mergeCell ref="J80:J81"/>
    <mergeCell ref="E75:E79"/>
    <mergeCell ref="F75:F79"/>
    <mergeCell ref="G75:G79"/>
    <mergeCell ref="E80:E81"/>
    <mergeCell ref="F80:F81"/>
    <mergeCell ref="G80:G81"/>
    <mergeCell ref="H80:H81"/>
    <mergeCell ref="E100:E101"/>
    <mergeCell ref="F100:F101"/>
    <mergeCell ref="G100:G101"/>
    <mergeCell ref="H100:H101"/>
    <mergeCell ref="I100:I101"/>
    <mergeCell ref="J100:J101"/>
    <mergeCell ref="F104:F105"/>
    <mergeCell ref="G104:G105"/>
    <mergeCell ref="J104:J105"/>
    <mergeCell ref="E125:E128"/>
    <mergeCell ref="E129:E130"/>
    <mergeCell ref="F129:F130"/>
    <mergeCell ref="G129:G130"/>
    <mergeCell ref="H129:H130"/>
    <mergeCell ref="I129:I130"/>
    <mergeCell ref="J129:J130"/>
    <mergeCell ref="K129:K130"/>
    <mergeCell ref="L129:L130"/>
    <mergeCell ref="M129:M130"/>
    <mergeCell ref="E118:E119"/>
    <mergeCell ref="F118:F119"/>
    <mergeCell ref="E120:E124"/>
    <mergeCell ref="F120:F124"/>
    <mergeCell ref="G120:G124"/>
    <mergeCell ref="F125:F128"/>
    <mergeCell ref="G125:G128"/>
    <mergeCell ref="J112:J113"/>
    <mergeCell ref="K112:K113"/>
    <mergeCell ref="L112:L113"/>
    <mergeCell ref="M112:M113"/>
    <mergeCell ref="E110:E111"/>
    <mergeCell ref="F110:F111"/>
    <mergeCell ref="E112:E113"/>
    <mergeCell ref="F112:F113"/>
    <mergeCell ref="G112:G113"/>
    <mergeCell ref="H112:H113"/>
    <mergeCell ref="I112:I113"/>
    <mergeCell ref="L114:L115"/>
    <mergeCell ref="M114:M115"/>
    <mergeCell ref="E114:E115"/>
    <mergeCell ref="F114:F115"/>
    <mergeCell ref="G114:G115"/>
    <mergeCell ref="H114:H115"/>
    <mergeCell ref="I114:I115"/>
    <mergeCell ref="J114:J115"/>
    <mergeCell ref="K114:K115"/>
    <mergeCell ref="E116:E117"/>
    <mergeCell ref="F116:F117"/>
    <mergeCell ref="G116:G117"/>
    <mergeCell ref="H116:H117"/>
    <mergeCell ref="I116:I117"/>
    <mergeCell ref="J116:J117"/>
    <mergeCell ref="K116:K117"/>
    <mergeCell ref="K120:K124"/>
    <mergeCell ref="K125:K128"/>
    <mergeCell ref="L125:L128"/>
    <mergeCell ref="M125:M128"/>
    <mergeCell ref="L116:L117"/>
    <mergeCell ref="M116:M117"/>
    <mergeCell ref="K118:K119"/>
    <mergeCell ref="L118:L119"/>
    <mergeCell ref="M118:M119"/>
    <mergeCell ref="L120:L124"/>
    <mergeCell ref="M120:M124"/>
    <mergeCell ref="A143:A147"/>
    <mergeCell ref="A148:A149"/>
    <mergeCell ref="A150:A155"/>
    <mergeCell ref="A125:A128"/>
    <mergeCell ref="A129:A130"/>
    <mergeCell ref="A131:A135"/>
    <mergeCell ref="A136:A140"/>
    <mergeCell ref="A141:A142"/>
    <mergeCell ref="B141:B142"/>
    <mergeCell ref="B143:B147"/>
    <mergeCell ref="C141:C142"/>
    <mergeCell ref="D141:D142"/>
    <mergeCell ref="C143:C147"/>
    <mergeCell ref="D143:D147"/>
    <mergeCell ref="C148:C149"/>
    <mergeCell ref="D148:D149"/>
    <mergeCell ref="D150:D155"/>
    <mergeCell ref="C150:C155"/>
    <mergeCell ref="C156:C157"/>
    <mergeCell ref="C158:C159"/>
    <mergeCell ref="C160:C164"/>
    <mergeCell ref="D160:D164"/>
    <mergeCell ref="C165:C166"/>
    <mergeCell ref="D165:D166"/>
    <mergeCell ref="C179:C183"/>
    <mergeCell ref="C184:C185"/>
    <mergeCell ref="C189:C190"/>
    <mergeCell ref="C191:C193"/>
    <mergeCell ref="C194:C195"/>
    <mergeCell ref="C196:C197"/>
    <mergeCell ref="D184:D185"/>
    <mergeCell ref="D189:D190"/>
    <mergeCell ref="D191:D193"/>
    <mergeCell ref="D194:D195"/>
    <mergeCell ref="D196:D197"/>
    <mergeCell ref="C167:C168"/>
    <mergeCell ref="D167:D168"/>
    <mergeCell ref="C169:C174"/>
    <mergeCell ref="D169:D174"/>
    <mergeCell ref="C175:C176"/>
    <mergeCell ref="D175:D176"/>
    <mergeCell ref="D179:D183"/>
    <mergeCell ref="B37:B38"/>
    <mergeCell ref="B39:B40"/>
    <mergeCell ref="B41:B44"/>
    <mergeCell ref="C41:C44"/>
    <mergeCell ref="B45:B48"/>
    <mergeCell ref="C45:C48"/>
    <mergeCell ref="B49:B52"/>
    <mergeCell ref="B53:B59"/>
    <mergeCell ref="C53:C59"/>
    <mergeCell ref="C67:C74"/>
    <mergeCell ref="D67:D74"/>
    <mergeCell ref="C75:C79"/>
    <mergeCell ref="D75:D79"/>
    <mergeCell ref="D80:D81"/>
    <mergeCell ref="C80:C81"/>
    <mergeCell ref="C82:C87"/>
    <mergeCell ref="D82:D87"/>
    <mergeCell ref="C88:C93"/>
    <mergeCell ref="D88:D93"/>
    <mergeCell ref="C94:C99"/>
    <mergeCell ref="D94:D99"/>
    <mergeCell ref="C100:C101"/>
    <mergeCell ref="D100:D101"/>
    <mergeCell ref="C102:C103"/>
    <mergeCell ref="D102:D103"/>
    <mergeCell ref="C104:C105"/>
    <mergeCell ref="D104:D105"/>
    <mergeCell ref="D106:D107"/>
    <mergeCell ref="D108:D109"/>
    <mergeCell ref="D110:D111"/>
    <mergeCell ref="D112:D113"/>
    <mergeCell ref="D114:D115"/>
    <mergeCell ref="D116:D117"/>
    <mergeCell ref="D118:D119"/>
    <mergeCell ref="D120:D124"/>
    <mergeCell ref="C106:C107"/>
    <mergeCell ref="C108:C109"/>
    <mergeCell ref="C112:C113"/>
    <mergeCell ref="C114:C115"/>
    <mergeCell ref="C116:C117"/>
    <mergeCell ref="C120:C124"/>
    <mergeCell ref="C125:C128"/>
    <mergeCell ref="D156:D157"/>
    <mergeCell ref="D158:D159"/>
    <mergeCell ref="A160:A164"/>
    <mergeCell ref="A165:A166"/>
    <mergeCell ref="A167:A168"/>
    <mergeCell ref="B148:B149"/>
    <mergeCell ref="B150:B155"/>
    <mergeCell ref="A156:A157"/>
    <mergeCell ref="B156:B157"/>
    <mergeCell ref="A158:A159"/>
    <mergeCell ref="B158:B159"/>
    <mergeCell ref="B160:B164"/>
    <mergeCell ref="B165:B166"/>
    <mergeCell ref="B167:B168"/>
    <mergeCell ref="A169:A174"/>
    <mergeCell ref="B169:B174"/>
    <mergeCell ref="A175:A176"/>
    <mergeCell ref="B175:B176"/>
    <mergeCell ref="B177:B178"/>
    <mergeCell ref="A177:A178"/>
    <mergeCell ref="A179:A183"/>
    <mergeCell ref="B179:B183"/>
    <mergeCell ref="A184:A185"/>
    <mergeCell ref="B184:B185"/>
    <mergeCell ref="A186:A187"/>
    <mergeCell ref="B186:B187"/>
    <mergeCell ref="A29:A30"/>
    <mergeCell ref="B29:B30"/>
    <mergeCell ref="A31:A32"/>
    <mergeCell ref="B31:B32"/>
    <mergeCell ref="A33:A34"/>
    <mergeCell ref="B33:B34"/>
    <mergeCell ref="B35:B36"/>
    <mergeCell ref="A35:A36"/>
    <mergeCell ref="A37:A38"/>
    <mergeCell ref="A39:A40"/>
    <mergeCell ref="A41:A44"/>
    <mergeCell ref="A45:A48"/>
    <mergeCell ref="A49:A52"/>
    <mergeCell ref="A53:A59"/>
    <mergeCell ref="A67:A74"/>
    <mergeCell ref="B67:B74"/>
    <mergeCell ref="A75:A79"/>
    <mergeCell ref="B75:B79"/>
    <mergeCell ref="A80:A81"/>
    <mergeCell ref="B80:B81"/>
    <mergeCell ref="B82:B87"/>
    <mergeCell ref="A82:A87"/>
    <mergeCell ref="A88:A93"/>
    <mergeCell ref="A94:A99"/>
    <mergeCell ref="A100:A101"/>
    <mergeCell ref="A102:A103"/>
    <mergeCell ref="A104:A105"/>
    <mergeCell ref="A106:A107"/>
    <mergeCell ref="B88:B93"/>
    <mergeCell ref="B94:B99"/>
    <mergeCell ref="B100:B101"/>
    <mergeCell ref="B102:B103"/>
    <mergeCell ref="B104:B105"/>
    <mergeCell ref="B106:B107"/>
    <mergeCell ref="B108:B109"/>
    <mergeCell ref="A108:A109"/>
    <mergeCell ref="A110:A111"/>
    <mergeCell ref="A112:A113"/>
    <mergeCell ref="A114:A115"/>
    <mergeCell ref="A116:A117"/>
    <mergeCell ref="A118:A119"/>
    <mergeCell ref="A120:A124"/>
    <mergeCell ref="A189:A190"/>
    <mergeCell ref="B189:B190"/>
    <mergeCell ref="A191:A193"/>
    <mergeCell ref="B191:B193"/>
    <mergeCell ref="A194:A195"/>
    <mergeCell ref="B194:B195"/>
    <mergeCell ref="A196:A197"/>
    <mergeCell ref="B196:B197"/>
    <mergeCell ref="L158:L159"/>
    <mergeCell ref="M158:M159"/>
    <mergeCell ref="K150:K155"/>
    <mergeCell ref="L150:L155"/>
    <mergeCell ref="M150:M155"/>
    <mergeCell ref="K156:K157"/>
    <mergeCell ref="L156:L157"/>
    <mergeCell ref="M156:M157"/>
    <mergeCell ref="K158:K159"/>
    <mergeCell ref="L80:L81"/>
    <mergeCell ref="M80:M81"/>
    <mergeCell ref="K67:K74"/>
    <mergeCell ref="L67:L74"/>
    <mergeCell ref="M67:M74"/>
    <mergeCell ref="K75:K79"/>
    <mergeCell ref="L75:L79"/>
    <mergeCell ref="M75:M79"/>
    <mergeCell ref="K80:K81"/>
    <mergeCell ref="L136:L140"/>
    <mergeCell ref="M136:M140"/>
    <mergeCell ref="K102:K103"/>
    <mergeCell ref="L102:L103"/>
    <mergeCell ref="M102:M103"/>
    <mergeCell ref="K131:K135"/>
    <mergeCell ref="L131:L135"/>
    <mergeCell ref="M131:M135"/>
    <mergeCell ref="K136:K140"/>
    <mergeCell ref="L148:L149"/>
    <mergeCell ref="M148:M149"/>
    <mergeCell ref="K141:K142"/>
    <mergeCell ref="L141:L142"/>
    <mergeCell ref="M141:M142"/>
    <mergeCell ref="K143:K147"/>
    <mergeCell ref="L143:L147"/>
    <mergeCell ref="M143:M147"/>
    <mergeCell ref="K148:K149"/>
    <mergeCell ref="K169:K174"/>
    <mergeCell ref="L169:L174"/>
    <mergeCell ref="M169:M174"/>
    <mergeCell ref="A11:A12"/>
    <mergeCell ref="B11:B12"/>
    <mergeCell ref="D11:D12"/>
    <mergeCell ref="E11:E12"/>
    <mergeCell ref="F11:F12"/>
    <mergeCell ref="L11:L12"/>
    <mergeCell ref="M11:M12"/>
    <mergeCell ref="A1:B5"/>
    <mergeCell ref="C1:F4"/>
    <mergeCell ref="A9:A10"/>
    <mergeCell ref="B9:B10"/>
    <mergeCell ref="C9:C10"/>
    <mergeCell ref="D9:D10"/>
    <mergeCell ref="E9:F10"/>
    <mergeCell ref="A13:A14"/>
    <mergeCell ref="B13:B14"/>
    <mergeCell ref="D13:D14"/>
    <mergeCell ref="E13:E14"/>
    <mergeCell ref="F13:F14"/>
    <mergeCell ref="L13:L14"/>
    <mergeCell ref="M13:M14"/>
    <mergeCell ref="D15:D16"/>
    <mergeCell ref="D17:D18"/>
    <mergeCell ref="A15:A16"/>
    <mergeCell ref="B15:B16"/>
    <mergeCell ref="E15:E16"/>
    <mergeCell ref="F15:F16"/>
    <mergeCell ref="L15:L16"/>
    <mergeCell ref="M15:M16"/>
    <mergeCell ref="A17:A18"/>
    <mergeCell ref="A23:A24"/>
    <mergeCell ref="B23:B24"/>
    <mergeCell ref="C23:C24"/>
    <mergeCell ref="D23:D24"/>
    <mergeCell ref="E23:E24"/>
    <mergeCell ref="F23:F24"/>
    <mergeCell ref="M25:M26"/>
    <mergeCell ref="M27:M28"/>
    <mergeCell ref="E33:E34"/>
    <mergeCell ref="E35:E36"/>
    <mergeCell ref="E37:E38"/>
    <mergeCell ref="E27:E28"/>
    <mergeCell ref="F27:F28"/>
    <mergeCell ref="E29:E30"/>
    <mergeCell ref="F29:F30"/>
    <mergeCell ref="E31:E32"/>
    <mergeCell ref="F31:F32"/>
    <mergeCell ref="F33:F34"/>
    <mergeCell ref="E17:E18"/>
    <mergeCell ref="F17:F18"/>
    <mergeCell ref="B19:B20"/>
    <mergeCell ref="C19:C20"/>
    <mergeCell ref="D19:D20"/>
    <mergeCell ref="E19:E20"/>
    <mergeCell ref="F19:F20"/>
    <mergeCell ref="A19:A20"/>
    <mergeCell ref="A21:A22"/>
    <mergeCell ref="B21:B22"/>
    <mergeCell ref="C21:C22"/>
    <mergeCell ref="D21:D22"/>
    <mergeCell ref="E21:E22"/>
    <mergeCell ref="F21:F22"/>
    <mergeCell ref="A25:A26"/>
    <mergeCell ref="B25:B26"/>
    <mergeCell ref="C25:C26"/>
    <mergeCell ref="E25:E26"/>
    <mergeCell ref="F25:F26"/>
    <mergeCell ref="A27:A28"/>
    <mergeCell ref="B27:B28"/>
    <mergeCell ref="C49:C52"/>
    <mergeCell ref="E49:E52"/>
    <mergeCell ref="F49:F52"/>
    <mergeCell ref="D39:D40"/>
    <mergeCell ref="D53:D59"/>
    <mergeCell ref="E53:E59"/>
    <mergeCell ref="F53:F59"/>
    <mergeCell ref="D25:D26"/>
    <mergeCell ref="D27:D28"/>
    <mergeCell ref="D29:D30"/>
    <mergeCell ref="D31:D32"/>
    <mergeCell ref="D33:D34"/>
    <mergeCell ref="D35:D36"/>
    <mergeCell ref="D37:D38"/>
    <mergeCell ref="A60:A66"/>
    <mergeCell ref="B60:B66"/>
    <mergeCell ref="C60:C66"/>
    <mergeCell ref="D60:D66"/>
    <mergeCell ref="E60:E66"/>
    <mergeCell ref="F60:F66"/>
    <mergeCell ref="H104:H105"/>
    <mergeCell ref="I104:I105"/>
    <mergeCell ref="K104:K105"/>
    <mergeCell ref="L104:L105"/>
    <mergeCell ref="M104:M105"/>
    <mergeCell ref="E102:E103"/>
    <mergeCell ref="F102:F103"/>
    <mergeCell ref="G102:G103"/>
    <mergeCell ref="H102:H103"/>
    <mergeCell ref="I102:I103"/>
    <mergeCell ref="J102:J103"/>
    <mergeCell ref="E104:E105"/>
    <mergeCell ref="L106:L107"/>
    <mergeCell ref="M106:M107"/>
    <mergeCell ref="E106:E107"/>
    <mergeCell ref="F106:F107"/>
    <mergeCell ref="G106:G107"/>
    <mergeCell ref="H106:H107"/>
    <mergeCell ref="I106:I107"/>
    <mergeCell ref="J106:J107"/>
    <mergeCell ref="K106:K107"/>
    <mergeCell ref="L108:L109"/>
    <mergeCell ref="M108:M109"/>
    <mergeCell ref="K110:K111"/>
    <mergeCell ref="L110:L111"/>
    <mergeCell ref="M110:M111"/>
    <mergeCell ref="E108:E109"/>
    <mergeCell ref="F108:F109"/>
    <mergeCell ref="G108:G109"/>
    <mergeCell ref="H108:H109"/>
    <mergeCell ref="I108:I109"/>
    <mergeCell ref="J108:J109"/>
    <mergeCell ref="K108:K109"/>
    <mergeCell ref="B131:B135"/>
    <mergeCell ref="B136:B140"/>
    <mergeCell ref="B110:B111"/>
    <mergeCell ref="B112:B113"/>
    <mergeCell ref="B114:B115"/>
    <mergeCell ref="B116:B117"/>
    <mergeCell ref="B120:B124"/>
    <mergeCell ref="B125:B128"/>
    <mergeCell ref="B129:B130"/>
    <mergeCell ref="L167:L168"/>
    <mergeCell ref="M167:M168"/>
    <mergeCell ref="K160:K164"/>
    <mergeCell ref="L160:L164"/>
    <mergeCell ref="M160:M164"/>
    <mergeCell ref="K165:K166"/>
    <mergeCell ref="L165:L166"/>
    <mergeCell ref="M165:M166"/>
    <mergeCell ref="K167:K168"/>
    <mergeCell ref="L179:L183"/>
    <mergeCell ref="M179:M183"/>
    <mergeCell ref="K175:K176"/>
    <mergeCell ref="L175:L176"/>
    <mergeCell ref="M175:M176"/>
    <mergeCell ref="K177:K178"/>
    <mergeCell ref="L177:L178"/>
    <mergeCell ref="M177:M178"/>
    <mergeCell ref="K179:K183"/>
    <mergeCell ref="L189:L190"/>
    <mergeCell ref="M189:M190"/>
    <mergeCell ref="K184:K185"/>
    <mergeCell ref="L184:L185"/>
    <mergeCell ref="M184:M185"/>
    <mergeCell ref="K186:K187"/>
    <mergeCell ref="L186:L187"/>
    <mergeCell ref="M186:M187"/>
    <mergeCell ref="K189:K190"/>
    <mergeCell ref="L196:L197"/>
    <mergeCell ref="M196:M197"/>
    <mergeCell ref="K191:K193"/>
    <mergeCell ref="L191:L193"/>
    <mergeCell ref="M191:M193"/>
    <mergeCell ref="K194:K195"/>
    <mergeCell ref="L194:L195"/>
    <mergeCell ref="M194:M195"/>
    <mergeCell ref="K196:K197"/>
    <mergeCell ref="E160:E164"/>
    <mergeCell ref="F160:F164"/>
    <mergeCell ref="G160:G164"/>
    <mergeCell ref="E165:E166"/>
    <mergeCell ref="F165:F166"/>
    <mergeCell ref="E167:E168"/>
    <mergeCell ref="F167:F168"/>
    <mergeCell ref="E169:E174"/>
    <mergeCell ref="F169:F174"/>
    <mergeCell ref="G169:G174"/>
    <mergeCell ref="E175:E176"/>
    <mergeCell ref="F175:F176"/>
    <mergeCell ref="E177:E178"/>
    <mergeCell ref="F177:F178"/>
    <mergeCell ref="G186:G187"/>
    <mergeCell ref="H186:H187"/>
    <mergeCell ref="I186:I187"/>
    <mergeCell ref="J186:J187"/>
    <mergeCell ref="E179:E183"/>
    <mergeCell ref="F179:F183"/>
    <mergeCell ref="G179:G183"/>
    <mergeCell ref="E184:E185"/>
    <mergeCell ref="F184:F185"/>
    <mergeCell ref="E186:E187"/>
    <mergeCell ref="F186:F187"/>
    <mergeCell ref="E196:E197"/>
    <mergeCell ref="F196:F197"/>
    <mergeCell ref="E189:E190"/>
    <mergeCell ref="F189:F190"/>
    <mergeCell ref="E191:E193"/>
    <mergeCell ref="F191:F193"/>
    <mergeCell ref="G191:G193"/>
    <mergeCell ref="E194:E195"/>
    <mergeCell ref="F194:F195"/>
    <mergeCell ref="D125:D128"/>
    <mergeCell ref="D129:D130"/>
    <mergeCell ref="D131:D135"/>
    <mergeCell ref="E131:E135"/>
    <mergeCell ref="F131:F135"/>
    <mergeCell ref="G131:G135"/>
    <mergeCell ref="C129:C130"/>
    <mergeCell ref="C131:C135"/>
    <mergeCell ref="C136:C140"/>
    <mergeCell ref="D136:D140"/>
    <mergeCell ref="E136:E140"/>
    <mergeCell ref="F136:F140"/>
    <mergeCell ref="G136:G140"/>
    <mergeCell ref="E141:E142"/>
    <mergeCell ref="F141:F142"/>
    <mergeCell ref="G141:G142"/>
    <mergeCell ref="H141:H142"/>
    <mergeCell ref="I141:I142"/>
    <mergeCell ref="J141:J142"/>
    <mergeCell ref="E143:E147"/>
    <mergeCell ref="E156:E157"/>
    <mergeCell ref="F156:F157"/>
    <mergeCell ref="E158:E159"/>
    <mergeCell ref="F158:F159"/>
    <mergeCell ref="G158:G159"/>
    <mergeCell ref="H158:H159"/>
    <mergeCell ref="I158:I159"/>
    <mergeCell ref="J158:J159"/>
    <mergeCell ref="F143:F147"/>
    <mergeCell ref="G143:G147"/>
    <mergeCell ref="E148:E149"/>
    <mergeCell ref="F148:F149"/>
    <mergeCell ref="E150:E155"/>
    <mergeCell ref="F150:F155"/>
    <mergeCell ref="G150:G155"/>
    <mergeCell ref="G167:G168"/>
    <mergeCell ref="H167:H168"/>
    <mergeCell ref="I167:I168"/>
    <mergeCell ref="J167:J168"/>
    <mergeCell ref="G177:G178"/>
    <mergeCell ref="H177:H178"/>
    <mergeCell ref="I177:I178"/>
    <mergeCell ref="J177:J178"/>
  </mergeCells>
  <dataValidations>
    <dataValidation type="list" allowBlank="1" showErrorMessage="1" sqref="H9:H80 H82:H100 H102 H104 H106 H108 H110:H112 H114 H116 H118:H129 H131:H141 H143:H158 H160:H167 H169:H177 H179:H186 H188:H1137">
      <formula1>"Caporale,ouvrier"</formula1>
    </dataValidation>
    <dataValidation type="list" allowBlank="1" showErrorMessage="1" sqref="B9 B11 B13 B15 B17:B19 B21 B23 B25 B27 B29 B31 B33 B35 B37 B39 B41 B45 B49 B53 B60 B67 B75 B80 B82 B88 B94 B100 B102 B104 B106 B108 B110 B112 B114 B116 B118:B120 B125 B129 B131 B136 B141 B143 B148 B150 B156 B158 B160 B165 B167 B169 B175 B177 B179 B184 B186 B188:B189 B191 B194 B196 B198:B1137">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C9 C11:C19 C21 C23 C25 C27:C41 C45 C49 C53 C60 C67 C75 C80 C82 C88 C94 C100 C102 C104 C106 C108 C110:C112 C114 C116 C118:C120 C125 C129 C131 C136 C141 C143 C148 C150 C156 C158 C160 C165 C167 C169 C175 C177:C179 C184 C186:C189 C191 C194 C196 C198:C1137">
      <formula1>"501,502,503,504,505,506,507,508,509,510,511,512,513,514,515,516,517,518,519,520"</formula1>
    </dataValidation>
    <dataValidation type="list" allowBlank="1" showErrorMessage="1" sqref="G9:G41 G45 G49 G53 G60 G67 G75 G80 G82 G88 G94 G100 G102 G104 G106 G108 G110:G112 G114 G116 G118:G120 G125 G129 G131 G136 G141 G143 G148:G150 G156:G158 G160 G165:G167 G169 G175:G177 G179 G184:G186 G188:G191 G194:G1137">
      <formula1>"HE,JRS "</formula1>
    </dataValidation>
  </dataValidations>
  <printOptions gridLines="1" horizontalCentered="1"/>
  <pageMargins bottom="0.0" footer="0.0" header="0.0" left="0.0" right="0.0" top="0.0"/>
  <pageSetup cellComments="atEnd" orientation="portrait" pageOrder="overThenDown" paperHeight="21.65354330708661in" paperWidth="11.811023622047244i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11.13"/>
    <col customWidth="1" min="2" max="2" width="17.13"/>
    <col customWidth="1" min="3" max="3" width="9.0"/>
    <col customWidth="1" min="4" max="4" width="6.5"/>
    <col customWidth="1" min="5" max="5" width="12.38"/>
    <col customWidth="1" min="6" max="6" width="13.88"/>
    <col customWidth="1" min="7" max="7" width="9.5"/>
    <col customWidth="1" min="8" max="8" width="10.75"/>
    <col customWidth="1" min="9" max="9" width="9.25"/>
    <col customWidth="1" min="10" max="10" width="13.38"/>
    <col customWidth="1" min="11" max="11" width="17.75"/>
    <col customWidth="1" min="12" max="12" width="27.75"/>
    <col customWidth="1" min="13" max="13" width="8.5"/>
    <col customWidth="1" min="14" max="14" width="14.5"/>
    <col customWidth="1" min="15" max="15" width="19.88"/>
  </cols>
  <sheetData>
    <row r="1" ht="24.75" customHeight="1">
      <c r="A1" s="523"/>
      <c r="B1" s="45"/>
      <c r="F1" s="525"/>
      <c r="G1" s="525"/>
      <c r="H1" s="525"/>
      <c r="I1" s="525"/>
      <c r="J1" s="525"/>
      <c r="K1" s="526"/>
      <c r="L1" s="527"/>
      <c r="M1" s="525"/>
      <c r="N1" s="525"/>
      <c r="O1" s="528"/>
    </row>
    <row r="2" ht="24.75" customHeight="1">
      <c r="A2" s="49"/>
      <c r="B2" s="51"/>
      <c r="F2" s="529"/>
      <c r="G2" s="529"/>
      <c r="H2" s="529"/>
      <c r="I2" s="529"/>
      <c r="J2" s="529"/>
      <c r="K2" s="530"/>
      <c r="L2" s="531"/>
      <c r="M2" s="529"/>
      <c r="N2" s="529"/>
      <c r="O2" s="532"/>
    </row>
    <row r="3" ht="24.75" customHeight="1">
      <c r="A3" s="12"/>
      <c r="C3" s="533"/>
      <c r="D3" s="529"/>
      <c r="E3" s="529"/>
      <c r="F3" s="529"/>
      <c r="G3" s="529"/>
      <c r="H3" s="534" t="s">
        <v>306</v>
      </c>
      <c r="I3" s="44"/>
      <c r="J3" s="45"/>
      <c r="K3" s="530"/>
      <c r="L3" s="531"/>
      <c r="M3" s="529"/>
      <c r="N3" s="529"/>
      <c r="O3" s="532"/>
    </row>
    <row r="4" ht="24.75" customHeight="1">
      <c r="A4" s="12"/>
      <c r="C4" s="533"/>
      <c r="D4" s="529"/>
      <c r="E4" s="529"/>
      <c r="F4" s="529"/>
      <c r="G4" s="529"/>
      <c r="H4" s="49"/>
      <c r="I4" s="50"/>
      <c r="J4" s="51"/>
      <c r="K4" s="530"/>
      <c r="L4" s="531"/>
      <c r="M4" s="529"/>
      <c r="N4" s="529"/>
      <c r="O4" s="532"/>
    </row>
    <row r="5" ht="24.75" customHeight="1">
      <c r="A5" s="535"/>
      <c r="B5" s="536"/>
      <c r="C5" s="537"/>
      <c r="D5" s="538"/>
      <c r="E5" s="538"/>
      <c r="F5" s="538"/>
      <c r="G5" s="538"/>
      <c r="H5" s="538"/>
      <c r="I5" s="538"/>
      <c r="J5" s="538"/>
      <c r="K5" s="539"/>
      <c r="L5" s="540"/>
      <c r="M5" s="538"/>
      <c r="N5" s="538"/>
      <c r="O5" s="541"/>
    </row>
    <row r="6" ht="24.75" customHeight="1">
      <c r="A6" s="542" t="s">
        <v>1</v>
      </c>
      <c r="B6" s="542" t="s">
        <v>2</v>
      </c>
      <c r="C6" s="542" t="s">
        <v>3</v>
      </c>
      <c r="D6" s="542" t="s">
        <v>4</v>
      </c>
      <c r="E6" s="7" t="s">
        <v>7</v>
      </c>
      <c r="F6" s="6" t="s">
        <v>8</v>
      </c>
      <c r="G6" s="542" t="s">
        <v>310</v>
      </c>
      <c r="H6" s="544" t="s">
        <v>311</v>
      </c>
      <c r="I6" s="542" t="s">
        <v>312</v>
      </c>
      <c r="J6" s="542" t="s">
        <v>313</v>
      </c>
      <c r="K6" s="545" t="s">
        <v>5</v>
      </c>
      <c r="L6" s="92" t="s">
        <v>6</v>
      </c>
      <c r="M6" s="542" t="s">
        <v>9</v>
      </c>
      <c r="N6" s="544" t="s">
        <v>314</v>
      </c>
      <c r="O6" s="548" t="s">
        <v>315</v>
      </c>
    </row>
    <row r="7" ht="24.75" customHeight="1">
      <c r="A7" s="549">
        <v>46118.0</v>
      </c>
      <c r="B7" s="550" t="s">
        <v>279</v>
      </c>
      <c r="C7" s="387">
        <v>613.0</v>
      </c>
      <c r="D7" s="377">
        <v>0.96</v>
      </c>
      <c r="E7" s="551" t="s">
        <v>317</v>
      </c>
      <c r="F7" s="551" t="s">
        <v>318</v>
      </c>
      <c r="G7" s="551">
        <v>100.0</v>
      </c>
      <c r="H7" s="553">
        <v>10.0</v>
      </c>
      <c r="I7" s="554">
        <v>1.0</v>
      </c>
      <c r="J7" s="555">
        <f t="shared" ref="J7:J40" si="1">G7*H7</f>
        <v>1000</v>
      </c>
      <c r="K7" s="556" t="s">
        <v>15</v>
      </c>
      <c r="L7" s="557"/>
      <c r="M7" s="558">
        <v>10.0</v>
      </c>
      <c r="N7" s="558">
        <f t="shared" ref="N7:N8" si="2">H7*20</f>
        <v>200</v>
      </c>
      <c r="O7" s="558">
        <f t="shared" ref="O7:O8" si="3">J7+N7</f>
        <v>1200</v>
      </c>
    </row>
    <row r="8" ht="24.75" customHeight="1">
      <c r="A8" s="559">
        <v>46119.0</v>
      </c>
      <c r="B8" s="550" t="s">
        <v>279</v>
      </c>
      <c r="C8" s="384">
        <v>617.0</v>
      </c>
      <c r="D8" s="377">
        <v>0.94</v>
      </c>
      <c r="E8" s="560" t="s">
        <v>317</v>
      </c>
      <c r="F8" s="560" t="s">
        <v>318</v>
      </c>
      <c r="G8" s="560">
        <v>100.0</v>
      </c>
      <c r="H8" s="561">
        <v>11.0</v>
      </c>
      <c r="I8" s="562">
        <v>1.0</v>
      </c>
      <c r="J8" s="555">
        <f t="shared" si="1"/>
        <v>1100</v>
      </c>
      <c r="K8" s="563" t="s">
        <v>15</v>
      </c>
      <c r="L8" s="564"/>
      <c r="M8" s="565">
        <v>11.0</v>
      </c>
      <c r="N8" s="565">
        <f t="shared" si="2"/>
        <v>220</v>
      </c>
      <c r="O8" s="565">
        <f t="shared" si="3"/>
        <v>1320</v>
      </c>
    </row>
    <row r="9" ht="24.75" customHeight="1">
      <c r="A9" s="566">
        <v>46120.0</v>
      </c>
      <c r="B9" s="567" t="s">
        <v>110</v>
      </c>
      <c r="C9" s="23">
        <v>605.0</v>
      </c>
      <c r="D9" s="21">
        <v>0.97</v>
      </c>
      <c r="E9" s="551" t="s">
        <v>317</v>
      </c>
      <c r="F9" s="551" t="s">
        <v>318</v>
      </c>
      <c r="G9" s="551">
        <v>125.0</v>
      </c>
      <c r="H9" s="553">
        <v>2.0</v>
      </c>
      <c r="I9" s="568">
        <v>0.8</v>
      </c>
      <c r="J9" s="555">
        <f t="shared" si="1"/>
        <v>250</v>
      </c>
      <c r="K9" s="569" t="s">
        <v>41</v>
      </c>
      <c r="L9" s="557"/>
      <c r="M9" s="570">
        <v>17.0</v>
      </c>
      <c r="N9" s="570">
        <v>400.0</v>
      </c>
      <c r="O9" s="570">
        <f>J9+J10+J11+N9</f>
        <v>2400</v>
      </c>
    </row>
    <row r="10" ht="24.75" customHeight="1">
      <c r="A10" s="29"/>
      <c r="B10" s="29"/>
      <c r="C10" s="29"/>
      <c r="D10" s="29"/>
      <c r="E10" s="560" t="s">
        <v>317</v>
      </c>
      <c r="F10" s="560" t="s">
        <v>318</v>
      </c>
      <c r="G10" s="560">
        <v>150.0</v>
      </c>
      <c r="H10" s="561">
        <v>5.0</v>
      </c>
      <c r="I10" s="29"/>
      <c r="J10" s="555">
        <f t="shared" si="1"/>
        <v>750</v>
      </c>
      <c r="K10" s="29"/>
      <c r="L10" s="564"/>
      <c r="M10" s="29"/>
      <c r="N10" s="29"/>
      <c r="O10" s="29"/>
    </row>
    <row r="11" ht="24.75" customHeight="1">
      <c r="A11" s="58"/>
      <c r="B11" s="58"/>
      <c r="C11" s="58"/>
      <c r="D11" s="58"/>
      <c r="E11" s="551" t="s">
        <v>317</v>
      </c>
      <c r="F11" s="551" t="s">
        <v>318</v>
      </c>
      <c r="G11" s="551">
        <v>100.0</v>
      </c>
      <c r="H11" s="553">
        <v>10.0</v>
      </c>
      <c r="I11" s="58"/>
      <c r="J11" s="555">
        <f t="shared" si="1"/>
        <v>1000</v>
      </c>
      <c r="K11" s="58"/>
      <c r="L11" s="557"/>
      <c r="M11" s="58"/>
      <c r="N11" s="58"/>
      <c r="O11" s="58"/>
    </row>
    <row r="12" ht="24.75" customHeight="1">
      <c r="A12" s="571">
        <v>46121.0</v>
      </c>
      <c r="B12" s="572" t="s">
        <v>110</v>
      </c>
      <c r="C12" s="573">
        <v>605.0</v>
      </c>
      <c r="D12" s="574">
        <f t="array" ref="D12">IFERROR(_xlfn.XLOOKUP(C12,Code!A:A,Code!B:B),"")</f>
        <v>0.97</v>
      </c>
      <c r="E12" s="560" t="s">
        <v>317</v>
      </c>
      <c r="F12" s="560" t="s">
        <v>318</v>
      </c>
      <c r="G12" s="575">
        <v>200.0</v>
      </c>
      <c r="H12" s="576">
        <v>5.0</v>
      </c>
      <c r="I12" s="562">
        <v>1.0</v>
      </c>
      <c r="J12" s="577">
        <f t="shared" si="1"/>
        <v>1000</v>
      </c>
      <c r="K12" s="578" t="s">
        <v>41</v>
      </c>
      <c r="L12" s="579"/>
      <c r="M12" s="580">
        <v>5.0</v>
      </c>
      <c r="N12" s="581">
        <v>400.0</v>
      </c>
      <c r="O12" s="581">
        <f>J12+J13+J14+J15+J16+J17+N12+N13</f>
        <v>2980</v>
      </c>
    </row>
    <row r="13" ht="24.75" customHeight="1">
      <c r="A13" s="566">
        <v>46121.0</v>
      </c>
      <c r="B13" s="567" t="s">
        <v>110</v>
      </c>
      <c r="C13" s="23">
        <v>620.0</v>
      </c>
      <c r="D13" s="33">
        <f t="array" ref="D13">IFERROR(_xlfn.XLOOKUP(C13,Code!A:A,Code!B:B),"")</f>
        <v>0.96</v>
      </c>
      <c r="E13" s="551" t="s">
        <v>317</v>
      </c>
      <c r="F13" s="551" t="s">
        <v>318</v>
      </c>
      <c r="G13" s="582">
        <v>150.0</v>
      </c>
      <c r="H13" s="553">
        <v>4.0</v>
      </c>
      <c r="I13" s="568">
        <v>0.5</v>
      </c>
      <c r="J13" s="555">
        <f t="shared" si="1"/>
        <v>600</v>
      </c>
      <c r="K13" s="57"/>
      <c r="L13" s="583"/>
      <c r="M13" s="570">
        <v>15.0</v>
      </c>
      <c r="N13" s="57"/>
      <c r="O13" s="57"/>
    </row>
    <row r="14" ht="24.75" customHeight="1">
      <c r="A14" s="29"/>
      <c r="B14" s="29"/>
      <c r="C14" s="29"/>
      <c r="D14" s="29"/>
      <c r="E14" s="560" t="s">
        <v>317</v>
      </c>
      <c r="F14" s="560" t="s">
        <v>318</v>
      </c>
      <c r="G14" s="584">
        <v>50.0</v>
      </c>
      <c r="H14" s="561">
        <v>3.0</v>
      </c>
      <c r="I14" s="29"/>
      <c r="J14" s="555">
        <f t="shared" si="1"/>
        <v>150</v>
      </c>
      <c r="K14" s="29"/>
      <c r="L14" s="579"/>
      <c r="M14" s="29"/>
      <c r="N14" s="29"/>
      <c r="O14" s="29"/>
    </row>
    <row r="15" ht="24.75" customHeight="1">
      <c r="A15" s="57"/>
      <c r="B15" s="57"/>
      <c r="C15" s="57"/>
      <c r="D15" s="57"/>
      <c r="E15" s="551" t="s">
        <v>317</v>
      </c>
      <c r="F15" s="551" t="s">
        <v>318</v>
      </c>
      <c r="G15" s="582">
        <v>120.0</v>
      </c>
      <c r="H15" s="553">
        <v>1.0</v>
      </c>
      <c r="I15" s="57"/>
      <c r="J15" s="555">
        <f t="shared" si="1"/>
        <v>120</v>
      </c>
      <c r="K15" s="57"/>
      <c r="L15" s="583"/>
      <c r="M15" s="57"/>
      <c r="N15" s="57"/>
      <c r="O15" s="57"/>
    </row>
    <row r="16" ht="24.75" customHeight="1">
      <c r="A16" s="29"/>
      <c r="B16" s="29"/>
      <c r="C16" s="29"/>
      <c r="D16" s="29"/>
      <c r="E16" s="560" t="s">
        <v>317</v>
      </c>
      <c r="F16" s="560" t="s">
        <v>318</v>
      </c>
      <c r="G16" s="584">
        <v>110.0</v>
      </c>
      <c r="H16" s="561">
        <v>1.0</v>
      </c>
      <c r="I16" s="29"/>
      <c r="J16" s="555">
        <f t="shared" si="1"/>
        <v>110</v>
      </c>
      <c r="K16" s="29"/>
      <c r="L16" s="579"/>
      <c r="M16" s="29"/>
      <c r="N16" s="29"/>
      <c r="O16" s="29"/>
    </row>
    <row r="17" ht="24.75" customHeight="1">
      <c r="A17" s="58"/>
      <c r="B17" s="58"/>
      <c r="C17" s="58"/>
      <c r="D17" s="58"/>
      <c r="E17" s="551" t="s">
        <v>317</v>
      </c>
      <c r="F17" s="551" t="s">
        <v>318</v>
      </c>
      <c r="G17" s="582">
        <v>100.0</v>
      </c>
      <c r="H17" s="553">
        <v>6.0</v>
      </c>
      <c r="I17" s="58"/>
      <c r="J17" s="555">
        <f t="shared" si="1"/>
        <v>600</v>
      </c>
      <c r="K17" s="58"/>
      <c r="L17" s="583"/>
      <c r="M17" s="58"/>
      <c r="N17" s="58"/>
      <c r="O17" s="58"/>
    </row>
    <row r="18" ht="24.75" customHeight="1">
      <c r="A18" s="585">
        <v>46121.0</v>
      </c>
      <c r="B18" s="567" t="s">
        <v>110</v>
      </c>
      <c r="C18" s="79">
        <v>609.0</v>
      </c>
      <c r="D18" s="33">
        <f t="array" ref="D18">IFERROR(_xlfn.XLOOKUP(C18,Code!A:A,Code!B:B),"")</f>
        <v>0.96</v>
      </c>
      <c r="E18" s="560" t="s">
        <v>317</v>
      </c>
      <c r="F18" s="560" t="s">
        <v>318</v>
      </c>
      <c r="G18" s="584">
        <v>200.0</v>
      </c>
      <c r="H18" s="561">
        <v>2.0</v>
      </c>
      <c r="I18" s="586">
        <v>0.4</v>
      </c>
      <c r="J18" s="555">
        <f t="shared" si="1"/>
        <v>400</v>
      </c>
      <c r="K18" s="587" t="s">
        <v>329</v>
      </c>
      <c r="L18" s="564"/>
      <c r="M18" s="588">
        <v>13.0</v>
      </c>
      <c r="N18" s="588">
        <f>13*36</f>
        <v>468</v>
      </c>
      <c r="O18" s="588">
        <f>N18+J18+J19+J20</f>
        <v>2068</v>
      </c>
    </row>
    <row r="19" ht="24.75" customHeight="1">
      <c r="A19" s="57"/>
      <c r="B19" s="57"/>
      <c r="C19" s="57"/>
      <c r="D19" s="57"/>
      <c r="E19" s="551" t="s">
        <v>317</v>
      </c>
      <c r="F19" s="551" t="s">
        <v>318</v>
      </c>
      <c r="G19" s="582">
        <v>100.0</v>
      </c>
      <c r="H19" s="553">
        <v>9.0</v>
      </c>
      <c r="I19" s="57"/>
      <c r="J19" s="555">
        <f t="shared" si="1"/>
        <v>900</v>
      </c>
      <c r="K19" s="57"/>
      <c r="L19" s="557"/>
      <c r="M19" s="57"/>
      <c r="N19" s="57"/>
      <c r="O19" s="57"/>
    </row>
    <row r="20" ht="24.75" customHeight="1">
      <c r="A20" s="20"/>
      <c r="B20" s="20"/>
      <c r="C20" s="20"/>
      <c r="D20" s="20"/>
      <c r="E20" s="560" t="s">
        <v>317</v>
      </c>
      <c r="F20" s="560" t="s">
        <v>318</v>
      </c>
      <c r="G20" s="584">
        <v>150.0</v>
      </c>
      <c r="H20" s="561">
        <v>2.0</v>
      </c>
      <c r="I20" s="20"/>
      <c r="J20" s="555">
        <f t="shared" si="1"/>
        <v>300</v>
      </c>
      <c r="K20" s="20"/>
      <c r="L20" s="564"/>
      <c r="M20" s="20"/>
      <c r="N20" s="20"/>
      <c r="O20" s="20"/>
    </row>
    <row r="21" ht="24.75" customHeight="1">
      <c r="A21" s="589">
        <v>46122.0</v>
      </c>
      <c r="B21" s="590" t="s">
        <v>102</v>
      </c>
      <c r="C21" s="591">
        <v>618.0</v>
      </c>
      <c r="D21" s="592">
        <f t="array" ref="D21">IFERROR(_xlfn.XLOOKUP(C21,Code!A:A,Code!B:B),"")</f>
        <v>0.96</v>
      </c>
      <c r="E21" s="551" t="s">
        <v>317</v>
      </c>
      <c r="F21" s="551" t="s">
        <v>318</v>
      </c>
      <c r="G21" s="555">
        <v>120.0</v>
      </c>
      <c r="H21" s="593">
        <v>2.0</v>
      </c>
      <c r="I21" s="594">
        <v>0.75</v>
      </c>
      <c r="J21" s="555">
        <f t="shared" si="1"/>
        <v>240</v>
      </c>
      <c r="K21" s="522" t="s">
        <v>331</v>
      </c>
      <c r="L21" s="595"/>
      <c r="M21" s="596">
        <v>5.0</v>
      </c>
      <c r="N21" s="597" t="s">
        <v>331</v>
      </c>
      <c r="O21" s="598">
        <f>J21+J22</f>
        <v>600</v>
      </c>
    </row>
    <row r="22" ht="24.75" customHeight="1">
      <c r="A22" s="20"/>
      <c r="B22" s="20"/>
      <c r="C22" s="599">
        <v>619.0</v>
      </c>
      <c r="D22" s="592">
        <f t="array" ref="D22">IFERROR(_xlfn.XLOOKUP(C22,Code!A:A,Code!B:B),"")</f>
        <v>0.96</v>
      </c>
      <c r="E22" s="560" t="s">
        <v>317</v>
      </c>
      <c r="F22" s="560" t="s">
        <v>318</v>
      </c>
      <c r="G22" s="600">
        <v>120.0</v>
      </c>
      <c r="H22" s="601">
        <v>3.0</v>
      </c>
      <c r="I22" s="602">
        <v>1.0</v>
      </c>
      <c r="J22" s="555">
        <f t="shared" si="1"/>
        <v>360</v>
      </c>
      <c r="K22" s="20"/>
      <c r="L22" s="603"/>
      <c r="M22" s="20"/>
      <c r="N22" s="20"/>
      <c r="O22" s="20"/>
    </row>
    <row r="23" ht="24.75" customHeight="1">
      <c r="A23" s="589">
        <v>46123.0</v>
      </c>
      <c r="B23" s="590" t="s">
        <v>110</v>
      </c>
      <c r="C23" s="604">
        <v>609.0</v>
      </c>
      <c r="D23" s="605">
        <f t="array" ref="D23">IFERROR(_xlfn.XLOOKUP(C23,Code!A:A,Code!B:B),"")</f>
        <v>0.96</v>
      </c>
      <c r="E23" s="551" t="s">
        <v>317</v>
      </c>
      <c r="F23" s="551" t="s">
        <v>318</v>
      </c>
      <c r="G23" s="555">
        <v>60.0</v>
      </c>
      <c r="H23" s="593">
        <v>5.0</v>
      </c>
      <c r="I23" s="606">
        <v>0.99</v>
      </c>
      <c r="J23" s="555">
        <f t="shared" si="1"/>
        <v>300</v>
      </c>
      <c r="K23" s="569" t="s">
        <v>41</v>
      </c>
      <c r="L23" s="557"/>
      <c r="M23" s="598">
        <v>18.0</v>
      </c>
      <c r="N23" s="598">
        <v>400.0</v>
      </c>
      <c r="O23" s="607">
        <f>J23+J24+J25+J26+J27+J28+J29+N23</f>
        <v>2610</v>
      </c>
    </row>
    <row r="24" ht="24.75" customHeight="1">
      <c r="A24" s="29"/>
      <c r="B24" s="29"/>
      <c r="C24" s="29"/>
      <c r="D24" s="29"/>
      <c r="E24" s="560" t="s">
        <v>317</v>
      </c>
      <c r="F24" s="560" t="s">
        <v>318</v>
      </c>
      <c r="G24" s="584">
        <v>120.0</v>
      </c>
      <c r="H24" s="561">
        <v>3.0</v>
      </c>
      <c r="I24" s="29"/>
      <c r="J24" s="600">
        <f t="shared" si="1"/>
        <v>360</v>
      </c>
      <c r="K24" s="29"/>
      <c r="L24" s="564"/>
      <c r="M24" s="29"/>
      <c r="N24" s="29"/>
      <c r="O24" s="29"/>
    </row>
    <row r="25" ht="24.75" customHeight="1">
      <c r="A25" s="57"/>
      <c r="B25" s="57"/>
      <c r="C25" s="57"/>
      <c r="D25" s="57"/>
      <c r="E25" s="551" t="s">
        <v>317</v>
      </c>
      <c r="F25" s="551" t="s">
        <v>318</v>
      </c>
      <c r="G25" s="582">
        <v>130.0</v>
      </c>
      <c r="H25" s="553">
        <v>1.0</v>
      </c>
      <c r="I25" s="57"/>
      <c r="J25" s="555">
        <f t="shared" si="1"/>
        <v>130</v>
      </c>
      <c r="K25" s="57"/>
      <c r="L25" s="557"/>
      <c r="M25" s="57"/>
      <c r="N25" s="57"/>
      <c r="O25" s="57"/>
    </row>
    <row r="26" ht="24.75" customHeight="1">
      <c r="A26" s="29"/>
      <c r="B26" s="29"/>
      <c r="C26" s="29"/>
      <c r="D26" s="29"/>
      <c r="E26" s="560" t="s">
        <v>317</v>
      </c>
      <c r="F26" s="560" t="s">
        <v>318</v>
      </c>
      <c r="G26" s="584">
        <v>140.0</v>
      </c>
      <c r="H26" s="561">
        <v>1.0</v>
      </c>
      <c r="I26" s="29"/>
      <c r="J26" s="600">
        <f t="shared" si="1"/>
        <v>140</v>
      </c>
      <c r="K26" s="29"/>
      <c r="L26" s="564"/>
      <c r="M26" s="29"/>
      <c r="N26" s="29"/>
      <c r="O26" s="29"/>
    </row>
    <row r="27" ht="24.75" customHeight="1">
      <c r="A27" s="57"/>
      <c r="B27" s="57"/>
      <c r="C27" s="57"/>
      <c r="D27" s="57"/>
      <c r="E27" s="551" t="s">
        <v>317</v>
      </c>
      <c r="F27" s="551" t="s">
        <v>318</v>
      </c>
      <c r="G27" s="582">
        <v>150.0</v>
      </c>
      <c r="H27" s="553">
        <v>6.0</v>
      </c>
      <c r="I27" s="57"/>
      <c r="J27" s="555">
        <f t="shared" si="1"/>
        <v>900</v>
      </c>
      <c r="K27" s="57"/>
      <c r="L27" s="557"/>
      <c r="M27" s="57"/>
      <c r="N27" s="57"/>
      <c r="O27" s="57"/>
    </row>
    <row r="28" ht="24.75" customHeight="1">
      <c r="A28" s="29"/>
      <c r="B28" s="29"/>
      <c r="C28" s="29"/>
      <c r="D28" s="29"/>
      <c r="E28" s="560" t="s">
        <v>317</v>
      </c>
      <c r="F28" s="560" t="s">
        <v>318</v>
      </c>
      <c r="G28" s="584">
        <v>180.0</v>
      </c>
      <c r="H28" s="561">
        <v>1.0</v>
      </c>
      <c r="I28" s="29"/>
      <c r="J28" s="600">
        <f t="shared" si="1"/>
        <v>180</v>
      </c>
      <c r="K28" s="29"/>
      <c r="L28" s="564"/>
      <c r="M28" s="29"/>
      <c r="N28" s="29"/>
      <c r="O28" s="29"/>
    </row>
    <row r="29" ht="24.75" customHeight="1">
      <c r="A29" s="58"/>
      <c r="B29" s="58"/>
      <c r="C29" s="58"/>
      <c r="D29" s="58"/>
      <c r="E29" s="551" t="s">
        <v>317</v>
      </c>
      <c r="F29" s="551" t="s">
        <v>318</v>
      </c>
      <c r="G29" s="582">
        <v>200.0</v>
      </c>
      <c r="H29" s="553">
        <v>1.0</v>
      </c>
      <c r="I29" s="58"/>
      <c r="J29" s="555">
        <f t="shared" si="1"/>
        <v>200</v>
      </c>
      <c r="K29" s="58"/>
      <c r="L29" s="557"/>
      <c r="M29" s="58"/>
      <c r="N29" s="58"/>
      <c r="O29" s="58"/>
    </row>
    <row r="30" ht="24.75" customHeight="1">
      <c r="A30" s="585">
        <v>46124.0</v>
      </c>
      <c r="B30" s="567" t="s">
        <v>110</v>
      </c>
      <c r="C30" s="37">
        <v>609.0</v>
      </c>
      <c r="D30" s="608">
        <f t="array" ref="D30">IFERROR(_xlfn.XLOOKUP(C30,Code!A:A,Code!B:B),"")</f>
        <v>0.96</v>
      </c>
      <c r="E30" s="560" t="s">
        <v>317</v>
      </c>
      <c r="F30" s="560" t="s">
        <v>318</v>
      </c>
      <c r="G30" s="584">
        <v>150.0</v>
      </c>
      <c r="H30" s="561">
        <v>1.0</v>
      </c>
      <c r="I30" s="602">
        <v>1.0</v>
      </c>
      <c r="J30" s="584">
        <f t="shared" si="1"/>
        <v>150</v>
      </c>
      <c r="K30" s="587" t="s">
        <v>41</v>
      </c>
      <c r="L30" s="564"/>
      <c r="M30" s="584">
        <v>1.0</v>
      </c>
      <c r="N30" s="609">
        <v>400.0</v>
      </c>
      <c r="O30" s="588">
        <f>J30+J31+J32+J33+J34+J35+J36+J37+J38+J39+J40+J41+J42+N30+N31+N36</f>
        <v>4640</v>
      </c>
    </row>
    <row r="31" ht="24.75" customHeight="1">
      <c r="A31" s="57"/>
      <c r="B31" s="57"/>
      <c r="C31" s="23">
        <v>610.0</v>
      </c>
      <c r="D31" s="33">
        <f t="array" ref="D31">IFERROR(_xlfn.XLOOKUP(C31,Code!A:A,Code!B:B),"")</f>
        <v>0.56</v>
      </c>
      <c r="E31" s="551" t="s">
        <v>317</v>
      </c>
      <c r="F31" s="551" t="s">
        <v>318</v>
      </c>
      <c r="G31" s="582">
        <v>135.0</v>
      </c>
      <c r="H31" s="553">
        <v>2.0</v>
      </c>
      <c r="I31" s="568">
        <v>1.0</v>
      </c>
      <c r="J31" s="582">
        <f t="shared" si="1"/>
        <v>270</v>
      </c>
      <c r="K31" s="57"/>
      <c r="L31" s="557"/>
      <c r="M31" s="610">
        <v>11.0</v>
      </c>
      <c r="N31" s="57"/>
      <c r="O31" s="57"/>
    </row>
    <row r="32" ht="24.75" customHeight="1">
      <c r="A32" s="29"/>
      <c r="B32" s="29"/>
      <c r="C32" s="29"/>
      <c r="D32" s="29"/>
      <c r="E32" s="560" t="s">
        <v>317</v>
      </c>
      <c r="F32" s="560" t="s">
        <v>318</v>
      </c>
      <c r="G32" s="584">
        <v>200.0</v>
      </c>
      <c r="H32" s="561">
        <v>2.0</v>
      </c>
      <c r="I32" s="29"/>
      <c r="J32" s="584">
        <f t="shared" si="1"/>
        <v>400</v>
      </c>
      <c r="K32" s="29"/>
      <c r="L32" s="564"/>
      <c r="M32" s="29"/>
      <c r="N32" s="29"/>
      <c r="O32" s="29"/>
    </row>
    <row r="33" ht="24.75" customHeight="1">
      <c r="A33" s="57"/>
      <c r="B33" s="57"/>
      <c r="C33" s="57"/>
      <c r="D33" s="57"/>
      <c r="E33" s="551" t="s">
        <v>317</v>
      </c>
      <c r="F33" s="551" t="s">
        <v>318</v>
      </c>
      <c r="G33" s="582">
        <v>120.0</v>
      </c>
      <c r="H33" s="553">
        <v>3.0</v>
      </c>
      <c r="I33" s="57"/>
      <c r="J33" s="582">
        <f t="shared" si="1"/>
        <v>360</v>
      </c>
      <c r="K33" s="57"/>
      <c r="L33" s="557"/>
      <c r="M33" s="57"/>
      <c r="N33" s="57"/>
      <c r="O33" s="57"/>
    </row>
    <row r="34" ht="24.75" customHeight="1">
      <c r="A34" s="29"/>
      <c r="B34" s="29"/>
      <c r="C34" s="29"/>
      <c r="D34" s="29"/>
      <c r="E34" s="560" t="s">
        <v>317</v>
      </c>
      <c r="F34" s="560" t="s">
        <v>318</v>
      </c>
      <c r="G34" s="584">
        <v>280.0</v>
      </c>
      <c r="H34" s="561">
        <v>1.0</v>
      </c>
      <c r="I34" s="29"/>
      <c r="J34" s="584">
        <f t="shared" si="1"/>
        <v>280</v>
      </c>
      <c r="K34" s="29"/>
      <c r="L34" s="564"/>
      <c r="M34" s="29"/>
      <c r="N34" s="29"/>
      <c r="O34" s="29"/>
    </row>
    <row r="35" ht="24.75" customHeight="1">
      <c r="A35" s="57"/>
      <c r="B35" s="57"/>
      <c r="C35" s="58"/>
      <c r="D35" s="58"/>
      <c r="E35" s="551" t="s">
        <v>317</v>
      </c>
      <c r="F35" s="551" t="s">
        <v>318</v>
      </c>
      <c r="G35" s="582">
        <v>170.0</v>
      </c>
      <c r="H35" s="553">
        <v>3.0</v>
      </c>
      <c r="I35" s="58"/>
      <c r="J35" s="582">
        <f t="shared" si="1"/>
        <v>510</v>
      </c>
      <c r="K35" s="57"/>
      <c r="L35" s="557"/>
      <c r="M35" s="58"/>
      <c r="N35" s="57"/>
      <c r="O35" s="57"/>
    </row>
    <row r="36" ht="24.75" customHeight="1">
      <c r="A36" s="29"/>
      <c r="B36" s="29"/>
      <c r="C36" s="79">
        <v>611.0</v>
      </c>
      <c r="D36" s="33">
        <v>0.92</v>
      </c>
      <c r="E36" s="560" t="s">
        <v>317</v>
      </c>
      <c r="F36" s="560" t="s">
        <v>318</v>
      </c>
      <c r="G36" s="584">
        <v>60.0</v>
      </c>
      <c r="H36" s="561">
        <v>1.0</v>
      </c>
      <c r="I36" s="586">
        <v>0.5</v>
      </c>
      <c r="J36" s="584">
        <f t="shared" si="1"/>
        <v>60</v>
      </c>
      <c r="K36" s="29"/>
      <c r="L36" s="564"/>
      <c r="M36" s="609">
        <v>12.0</v>
      </c>
      <c r="N36" s="29"/>
      <c r="O36" s="29"/>
    </row>
    <row r="37" ht="24.75" customHeight="1">
      <c r="A37" s="57"/>
      <c r="B37" s="57"/>
      <c r="C37" s="57"/>
      <c r="D37" s="57"/>
      <c r="E37" s="551" t="s">
        <v>317</v>
      </c>
      <c r="F37" s="551" t="s">
        <v>318</v>
      </c>
      <c r="G37" s="582">
        <v>300.0</v>
      </c>
      <c r="H37" s="553">
        <v>2.0</v>
      </c>
      <c r="I37" s="57"/>
      <c r="J37" s="582">
        <f t="shared" si="1"/>
        <v>600</v>
      </c>
      <c r="K37" s="57"/>
      <c r="L37" s="557"/>
      <c r="M37" s="57"/>
      <c r="N37" s="57"/>
      <c r="O37" s="57"/>
    </row>
    <row r="38" ht="24.75" customHeight="1">
      <c r="A38" s="29"/>
      <c r="B38" s="29"/>
      <c r="C38" s="29"/>
      <c r="D38" s="29"/>
      <c r="E38" s="560" t="s">
        <v>317</v>
      </c>
      <c r="F38" s="560" t="s">
        <v>318</v>
      </c>
      <c r="G38" s="584">
        <v>80.0</v>
      </c>
      <c r="H38" s="561">
        <v>1.0</v>
      </c>
      <c r="I38" s="29"/>
      <c r="J38" s="584">
        <f t="shared" si="1"/>
        <v>80</v>
      </c>
      <c r="K38" s="29"/>
      <c r="L38" s="564"/>
      <c r="M38" s="29"/>
      <c r="N38" s="29"/>
      <c r="O38" s="29"/>
    </row>
    <row r="39" ht="24.75" customHeight="1">
      <c r="A39" s="57"/>
      <c r="B39" s="57"/>
      <c r="C39" s="57"/>
      <c r="D39" s="57"/>
      <c r="E39" s="551" t="s">
        <v>317</v>
      </c>
      <c r="F39" s="551" t="s">
        <v>318</v>
      </c>
      <c r="G39" s="582">
        <v>220.0</v>
      </c>
      <c r="H39" s="553">
        <v>1.0</v>
      </c>
      <c r="I39" s="57"/>
      <c r="J39" s="582">
        <f t="shared" si="1"/>
        <v>220</v>
      </c>
      <c r="K39" s="57"/>
      <c r="L39" s="557"/>
      <c r="M39" s="57"/>
      <c r="N39" s="57"/>
      <c r="O39" s="57"/>
    </row>
    <row r="40" ht="24.75" customHeight="1">
      <c r="A40" s="29"/>
      <c r="B40" s="29"/>
      <c r="C40" s="29"/>
      <c r="D40" s="29"/>
      <c r="E40" s="560" t="s">
        <v>317</v>
      </c>
      <c r="F40" s="560" t="s">
        <v>318</v>
      </c>
      <c r="G40" s="584">
        <v>110.0</v>
      </c>
      <c r="H40" s="561">
        <v>1.0</v>
      </c>
      <c r="I40" s="29"/>
      <c r="J40" s="584">
        <f t="shared" si="1"/>
        <v>110</v>
      </c>
      <c r="K40" s="29"/>
      <c r="L40" s="564"/>
      <c r="M40" s="29"/>
      <c r="N40" s="29"/>
      <c r="O40" s="29"/>
    </row>
    <row r="41" ht="24.75" customHeight="1">
      <c r="A41" s="57"/>
      <c r="B41" s="57"/>
      <c r="C41" s="57"/>
      <c r="D41" s="57"/>
      <c r="E41" s="551" t="s">
        <v>317</v>
      </c>
      <c r="F41" s="551" t="s">
        <v>318</v>
      </c>
      <c r="G41" s="582">
        <v>240.0</v>
      </c>
      <c r="H41" s="553">
        <v>2.0</v>
      </c>
      <c r="I41" s="57"/>
      <c r="J41" s="582">
        <v>480.0</v>
      </c>
      <c r="K41" s="57"/>
      <c r="L41" s="557"/>
      <c r="M41" s="57"/>
      <c r="N41" s="57"/>
      <c r="O41" s="57"/>
    </row>
    <row r="42" ht="24.75" customHeight="1">
      <c r="A42" s="20"/>
      <c r="B42" s="20"/>
      <c r="C42" s="20"/>
      <c r="D42" s="20"/>
      <c r="E42" s="560" t="s">
        <v>317</v>
      </c>
      <c r="F42" s="560" t="s">
        <v>318</v>
      </c>
      <c r="G42" s="584">
        <v>180.0</v>
      </c>
      <c r="H42" s="561">
        <v>4.0</v>
      </c>
      <c r="I42" s="20"/>
      <c r="J42" s="584">
        <v>720.0</v>
      </c>
      <c r="K42" s="20"/>
      <c r="L42" s="564"/>
      <c r="M42" s="20"/>
      <c r="N42" s="20"/>
      <c r="O42" s="20"/>
    </row>
    <row r="43" ht="24.75" customHeight="1">
      <c r="A43" s="566">
        <v>46125.0</v>
      </c>
      <c r="B43" s="567" t="s">
        <v>110</v>
      </c>
      <c r="C43" s="23">
        <v>611.0</v>
      </c>
      <c r="D43" s="612">
        <f t="array" ref="D43">IFERROR(_xlfn.XLOOKUP(C43,Code!A:A,Code!B:B),"")</f>
        <v>0.92</v>
      </c>
      <c r="E43" s="551" t="s">
        <v>317</v>
      </c>
      <c r="F43" s="551" t="s">
        <v>318</v>
      </c>
      <c r="G43" s="582">
        <v>120.0</v>
      </c>
      <c r="H43" s="553">
        <v>3.0</v>
      </c>
      <c r="I43" s="568">
        <v>1.0</v>
      </c>
      <c r="J43" s="582">
        <f t="shared" ref="J43:J82" si="4">G43*H43</f>
        <v>360</v>
      </c>
      <c r="K43" s="569" t="s">
        <v>41</v>
      </c>
      <c r="L43" s="557"/>
      <c r="M43" s="610">
        <v>11.0</v>
      </c>
      <c r="N43" s="610">
        <v>400.0</v>
      </c>
      <c r="O43" s="570">
        <f>J43+J44+J45+J46+J47+J48+N43</f>
        <v>2110</v>
      </c>
    </row>
    <row r="44" ht="24.75" customHeight="1">
      <c r="A44" s="29"/>
      <c r="B44" s="29"/>
      <c r="C44" s="29"/>
      <c r="D44" s="29"/>
      <c r="E44" s="560" t="s">
        <v>317</v>
      </c>
      <c r="F44" s="560" t="s">
        <v>318</v>
      </c>
      <c r="G44" s="584">
        <v>130.0</v>
      </c>
      <c r="H44" s="561">
        <v>1.0</v>
      </c>
      <c r="I44" s="29"/>
      <c r="J44" s="584">
        <f t="shared" si="4"/>
        <v>130</v>
      </c>
      <c r="K44" s="29"/>
      <c r="L44" s="564"/>
      <c r="M44" s="29"/>
      <c r="N44" s="29"/>
      <c r="O44" s="29"/>
    </row>
    <row r="45" ht="24.75" customHeight="1">
      <c r="A45" s="57"/>
      <c r="B45" s="57"/>
      <c r="C45" s="57"/>
      <c r="D45" s="57"/>
      <c r="E45" s="551" t="s">
        <v>317</v>
      </c>
      <c r="F45" s="551" t="s">
        <v>318</v>
      </c>
      <c r="G45" s="582">
        <v>150.0</v>
      </c>
      <c r="H45" s="553">
        <v>3.0</v>
      </c>
      <c r="I45" s="57"/>
      <c r="J45" s="582">
        <f t="shared" si="4"/>
        <v>450</v>
      </c>
      <c r="K45" s="57"/>
      <c r="L45" s="557"/>
      <c r="M45" s="57"/>
      <c r="N45" s="57"/>
      <c r="O45" s="57"/>
    </row>
    <row r="46" ht="24.75" customHeight="1">
      <c r="A46" s="29"/>
      <c r="B46" s="29"/>
      <c r="C46" s="29"/>
      <c r="D46" s="29"/>
      <c r="E46" s="560" t="s">
        <v>317</v>
      </c>
      <c r="F46" s="560" t="s">
        <v>318</v>
      </c>
      <c r="G46" s="584">
        <v>170.0</v>
      </c>
      <c r="H46" s="561">
        <v>1.0</v>
      </c>
      <c r="I46" s="29"/>
      <c r="J46" s="584">
        <f t="shared" si="4"/>
        <v>170</v>
      </c>
      <c r="K46" s="29"/>
      <c r="L46" s="564"/>
      <c r="M46" s="29"/>
      <c r="N46" s="29"/>
      <c r="O46" s="29"/>
    </row>
    <row r="47" ht="24.75" customHeight="1">
      <c r="A47" s="57"/>
      <c r="B47" s="57"/>
      <c r="C47" s="57"/>
      <c r="D47" s="57"/>
      <c r="E47" s="551" t="s">
        <v>317</v>
      </c>
      <c r="F47" s="551" t="s">
        <v>318</v>
      </c>
      <c r="G47" s="582">
        <v>180.0</v>
      </c>
      <c r="H47" s="553">
        <v>2.0</v>
      </c>
      <c r="I47" s="57"/>
      <c r="J47" s="582">
        <f t="shared" si="4"/>
        <v>360</v>
      </c>
      <c r="K47" s="57"/>
      <c r="L47" s="557"/>
      <c r="M47" s="57"/>
      <c r="N47" s="57"/>
      <c r="O47" s="57"/>
    </row>
    <row r="48" ht="24.75" customHeight="1">
      <c r="A48" s="20"/>
      <c r="B48" s="20"/>
      <c r="C48" s="20"/>
      <c r="D48" s="20"/>
      <c r="E48" s="560" t="s">
        <v>317</v>
      </c>
      <c r="F48" s="560" t="s">
        <v>318</v>
      </c>
      <c r="G48" s="584">
        <v>240.0</v>
      </c>
      <c r="H48" s="561">
        <v>1.0</v>
      </c>
      <c r="I48" s="20"/>
      <c r="J48" s="584">
        <f t="shared" si="4"/>
        <v>240</v>
      </c>
      <c r="K48" s="20"/>
      <c r="L48" s="564"/>
      <c r="M48" s="20"/>
      <c r="N48" s="20"/>
      <c r="O48" s="20"/>
    </row>
    <row r="49" ht="24.75" customHeight="1">
      <c r="A49" s="566">
        <v>46126.0</v>
      </c>
      <c r="B49" s="567" t="s">
        <v>110</v>
      </c>
      <c r="C49" s="23">
        <v>620.0</v>
      </c>
      <c r="D49" s="612">
        <f t="array" ref="D49">IFERROR(_xlfn.XLOOKUP(C49,Code!A:A,Code!B:B),"")</f>
        <v>0.96</v>
      </c>
      <c r="E49" s="551" t="s">
        <v>317</v>
      </c>
      <c r="F49" s="551" t="s">
        <v>318</v>
      </c>
      <c r="G49" s="582">
        <v>100.0</v>
      </c>
      <c r="H49" s="553">
        <v>16.0</v>
      </c>
      <c r="I49" s="568">
        <v>1.0</v>
      </c>
      <c r="J49" s="582">
        <f t="shared" si="4"/>
        <v>1600</v>
      </c>
      <c r="K49" s="569" t="s">
        <v>41</v>
      </c>
      <c r="L49" s="557"/>
      <c r="M49" s="610">
        <v>19.0</v>
      </c>
      <c r="N49" s="610">
        <v>400.0</v>
      </c>
      <c r="O49" s="570">
        <f>J49+J50+J51+J52+N49</f>
        <v>2520</v>
      </c>
    </row>
    <row r="50" ht="24.75" customHeight="1">
      <c r="A50" s="29"/>
      <c r="B50" s="29"/>
      <c r="C50" s="29"/>
      <c r="D50" s="29"/>
      <c r="E50" s="560" t="s">
        <v>317</v>
      </c>
      <c r="F50" s="560" t="s">
        <v>318</v>
      </c>
      <c r="G50" s="584">
        <v>250.0</v>
      </c>
      <c r="H50" s="561">
        <v>1.0</v>
      </c>
      <c r="I50" s="29"/>
      <c r="J50" s="584">
        <f t="shared" si="4"/>
        <v>250</v>
      </c>
      <c r="K50" s="29"/>
      <c r="L50" s="564"/>
      <c r="M50" s="29"/>
      <c r="N50" s="29"/>
      <c r="O50" s="29"/>
    </row>
    <row r="51" ht="24.75" customHeight="1">
      <c r="A51" s="57"/>
      <c r="B51" s="57"/>
      <c r="C51" s="57"/>
      <c r="D51" s="57"/>
      <c r="E51" s="551" t="s">
        <v>317</v>
      </c>
      <c r="F51" s="551" t="s">
        <v>318</v>
      </c>
      <c r="G51" s="582">
        <v>150.0</v>
      </c>
      <c r="H51" s="553">
        <v>1.0</v>
      </c>
      <c r="I51" s="57"/>
      <c r="J51" s="582">
        <f t="shared" si="4"/>
        <v>150</v>
      </c>
      <c r="K51" s="57"/>
      <c r="L51" s="557"/>
      <c r="M51" s="57"/>
      <c r="N51" s="57"/>
      <c r="O51" s="57"/>
    </row>
    <row r="52" ht="24.75" customHeight="1">
      <c r="A52" s="20"/>
      <c r="B52" s="20"/>
      <c r="C52" s="20"/>
      <c r="D52" s="20"/>
      <c r="E52" s="560" t="s">
        <v>317</v>
      </c>
      <c r="F52" s="560" t="s">
        <v>318</v>
      </c>
      <c r="G52" s="584">
        <v>120.0</v>
      </c>
      <c r="H52" s="561">
        <v>1.0</v>
      </c>
      <c r="I52" s="20"/>
      <c r="J52" s="584">
        <f t="shared" si="4"/>
        <v>120</v>
      </c>
      <c r="K52" s="20"/>
      <c r="L52" s="564"/>
      <c r="M52" s="20"/>
      <c r="N52" s="20"/>
      <c r="O52" s="20"/>
    </row>
    <row r="53" ht="24.75" customHeight="1">
      <c r="A53" s="566">
        <v>46127.0</v>
      </c>
      <c r="B53" s="567" t="s">
        <v>110</v>
      </c>
      <c r="C53" s="23">
        <v>612.0</v>
      </c>
      <c r="D53" s="612">
        <f t="array" ref="D53">IFERROR(_xlfn.XLOOKUP(C53,Code!A:A,Code!B:B),"")</f>
        <v>0.96</v>
      </c>
      <c r="E53" s="551" t="s">
        <v>317</v>
      </c>
      <c r="F53" s="551" t="s">
        <v>318</v>
      </c>
      <c r="G53" s="582">
        <v>90.0</v>
      </c>
      <c r="H53" s="553">
        <v>1.0</v>
      </c>
      <c r="I53" s="568">
        <v>0.9</v>
      </c>
      <c r="J53" s="582">
        <f t="shared" si="4"/>
        <v>90</v>
      </c>
      <c r="K53" s="569" t="s">
        <v>41</v>
      </c>
      <c r="L53" s="557"/>
      <c r="M53" s="610">
        <v>22.0</v>
      </c>
      <c r="N53" s="610">
        <v>400.0</v>
      </c>
      <c r="O53" s="570">
        <f>J53+J54+J55+J56+J57+J58+J59+J60+N53</f>
        <v>3720</v>
      </c>
    </row>
    <row r="54" ht="24.75" customHeight="1">
      <c r="A54" s="29"/>
      <c r="B54" s="29"/>
      <c r="C54" s="29"/>
      <c r="D54" s="29"/>
      <c r="E54" s="560" t="s">
        <v>317</v>
      </c>
      <c r="F54" s="560" t="s">
        <v>318</v>
      </c>
      <c r="G54" s="584">
        <v>100.0</v>
      </c>
      <c r="H54" s="561">
        <v>1.0</v>
      </c>
      <c r="I54" s="29"/>
      <c r="J54" s="584">
        <f t="shared" si="4"/>
        <v>100</v>
      </c>
      <c r="K54" s="29"/>
      <c r="L54" s="564"/>
      <c r="M54" s="29"/>
      <c r="N54" s="29"/>
      <c r="O54" s="29"/>
    </row>
    <row r="55" ht="24.75" customHeight="1">
      <c r="A55" s="57"/>
      <c r="B55" s="57"/>
      <c r="C55" s="57"/>
      <c r="D55" s="57"/>
      <c r="E55" s="551" t="s">
        <v>317</v>
      </c>
      <c r="F55" s="551" t="s">
        <v>318</v>
      </c>
      <c r="G55" s="582">
        <v>110.0</v>
      </c>
      <c r="H55" s="553">
        <v>1.0</v>
      </c>
      <c r="I55" s="57"/>
      <c r="J55" s="582">
        <f t="shared" si="4"/>
        <v>110</v>
      </c>
      <c r="K55" s="57"/>
      <c r="L55" s="557"/>
      <c r="M55" s="57"/>
      <c r="N55" s="57"/>
      <c r="O55" s="57"/>
    </row>
    <row r="56" ht="24.75" customHeight="1">
      <c r="A56" s="29"/>
      <c r="B56" s="29"/>
      <c r="C56" s="29"/>
      <c r="D56" s="29"/>
      <c r="E56" s="560" t="s">
        <v>317</v>
      </c>
      <c r="F56" s="560" t="s">
        <v>318</v>
      </c>
      <c r="G56" s="584">
        <v>120.0</v>
      </c>
      <c r="H56" s="561">
        <v>9.0</v>
      </c>
      <c r="I56" s="29"/>
      <c r="J56" s="584">
        <f t="shared" si="4"/>
        <v>1080</v>
      </c>
      <c r="K56" s="29"/>
      <c r="L56" s="564"/>
      <c r="M56" s="29"/>
      <c r="N56" s="29"/>
      <c r="O56" s="29"/>
    </row>
    <row r="57" ht="24.75" customHeight="1">
      <c r="A57" s="57"/>
      <c r="B57" s="57"/>
      <c r="C57" s="57"/>
      <c r="D57" s="57"/>
      <c r="E57" s="551" t="s">
        <v>317</v>
      </c>
      <c r="F57" s="551" t="s">
        <v>318</v>
      </c>
      <c r="G57" s="582">
        <v>150.0</v>
      </c>
      <c r="H57" s="553">
        <v>2.0</v>
      </c>
      <c r="I57" s="57"/>
      <c r="J57" s="582">
        <f t="shared" si="4"/>
        <v>300</v>
      </c>
      <c r="K57" s="57"/>
      <c r="L57" s="557"/>
      <c r="M57" s="57"/>
      <c r="N57" s="57"/>
      <c r="O57" s="57"/>
    </row>
    <row r="58" ht="24.75" customHeight="1">
      <c r="A58" s="29"/>
      <c r="B58" s="29"/>
      <c r="C58" s="29"/>
      <c r="D58" s="29"/>
      <c r="E58" s="560" t="s">
        <v>317</v>
      </c>
      <c r="F58" s="560" t="s">
        <v>318</v>
      </c>
      <c r="G58" s="584">
        <v>180.0</v>
      </c>
      <c r="H58" s="561">
        <v>2.0</v>
      </c>
      <c r="I58" s="29"/>
      <c r="J58" s="584">
        <f t="shared" si="4"/>
        <v>360</v>
      </c>
      <c r="K58" s="29"/>
      <c r="L58" s="564"/>
      <c r="M58" s="29"/>
      <c r="N58" s="29"/>
      <c r="O58" s="29"/>
    </row>
    <row r="59" ht="24.75" customHeight="1">
      <c r="A59" s="57"/>
      <c r="B59" s="57"/>
      <c r="C59" s="57"/>
      <c r="D59" s="57"/>
      <c r="E59" s="551" t="s">
        <v>317</v>
      </c>
      <c r="F59" s="551" t="s">
        <v>318</v>
      </c>
      <c r="G59" s="582">
        <v>200.0</v>
      </c>
      <c r="H59" s="553">
        <v>4.0</v>
      </c>
      <c r="I59" s="57"/>
      <c r="J59" s="582">
        <f t="shared" si="4"/>
        <v>800</v>
      </c>
      <c r="K59" s="57"/>
      <c r="L59" s="557"/>
      <c r="M59" s="57"/>
      <c r="N59" s="57"/>
      <c r="O59" s="57"/>
    </row>
    <row r="60" ht="24.75" customHeight="1">
      <c r="A60" s="20"/>
      <c r="B60" s="20"/>
      <c r="C60" s="20"/>
      <c r="D60" s="20"/>
      <c r="E60" s="560" t="s">
        <v>317</v>
      </c>
      <c r="F60" s="560" t="s">
        <v>318</v>
      </c>
      <c r="G60" s="584">
        <v>240.0</v>
      </c>
      <c r="H60" s="561">
        <v>2.0</v>
      </c>
      <c r="I60" s="20"/>
      <c r="J60" s="584">
        <f t="shared" si="4"/>
        <v>480</v>
      </c>
      <c r="K60" s="20"/>
      <c r="L60" s="564"/>
      <c r="M60" s="20"/>
      <c r="N60" s="20"/>
      <c r="O60" s="20"/>
    </row>
    <row r="61" ht="24.75" customHeight="1">
      <c r="A61" s="566">
        <v>46128.0</v>
      </c>
      <c r="B61" s="567" t="s">
        <v>110</v>
      </c>
      <c r="C61" s="35">
        <v>612.0</v>
      </c>
      <c r="D61" s="574">
        <f t="array" ref="D61">IFERROR(_xlfn.XLOOKUP(C61,Code!A:A,Code!B:B),"")</f>
        <v>0.96</v>
      </c>
      <c r="E61" s="551" t="s">
        <v>317</v>
      </c>
      <c r="F61" s="551" t="s">
        <v>318</v>
      </c>
      <c r="G61" s="582">
        <v>120.0</v>
      </c>
      <c r="H61" s="553">
        <v>4.0</v>
      </c>
      <c r="I61" s="594">
        <v>1.0</v>
      </c>
      <c r="J61" s="582">
        <f t="shared" si="4"/>
        <v>480</v>
      </c>
      <c r="K61" s="569" t="s">
        <v>41</v>
      </c>
      <c r="L61" s="619"/>
      <c r="M61" s="610">
        <v>4.0</v>
      </c>
      <c r="N61" s="610">
        <v>400.0</v>
      </c>
      <c r="O61" s="570">
        <f>J61+J62+J63+J64+J65+J66+J67+J68+J69+J70+J71+N61</f>
        <v>4765</v>
      </c>
    </row>
    <row r="62" ht="24.75" customHeight="1">
      <c r="A62" s="29"/>
      <c r="B62" s="29"/>
      <c r="C62" s="79">
        <v>618.0</v>
      </c>
      <c r="D62" s="612">
        <f t="array" ref="D62">IFERROR(_xlfn.XLOOKUP(C62,Code!A:A,Code!B:B),"")</f>
        <v>0.96</v>
      </c>
      <c r="E62" s="560" t="s">
        <v>317</v>
      </c>
      <c r="F62" s="560" t="s">
        <v>318</v>
      </c>
      <c r="G62" s="584">
        <v>120.0</v>
      </c>
      <c r="H62" s="561">
        <v>1.0</v>
      </c>
      <c r="I62" s="586">
        <v>0.95</v>
      </c>
      <c r="J62" s="584">
        <f t="shared" si="4"/>
        <v>120</v>
      </c>
      <c r="K62" s="29"/>
      <c r="L62" s="564"/>
      <c r="M62" s="609">
        <v>18.0</v>
      </c>
      <c r="N62" s="29"/>
      <c r="O62" s="29"/>
    </row>
    <row r="63" ht="24.75" customHeight="1">
      <c r="A63" s="57"/>
      <c r="B63" s="57"/>
      <c r="C63" s="57"/>
      <c r="D63" s="57"/>
      <c r="E63" s="551" t="s">
        <v>317</v>
      </c>
      <c r="F63" s="551" t="s">
        <v>318</v>
      </c>
      <c r="G63" s="582">
        <v>330.0</v>
      </c>
      <c r="H63" s="553">
        <v>1.0</v>
      </c>
      <c r="I63" s="57"/>
      <c r="J63" s="582">
        <f t="shared" si="4"/>
        <v>330</v>
      </c>
      <c r="K63" s="57"/>
      <c r="L63" s="557"/>
      <c r="M63" s="57"/>
      <c r="N63" s="57"/>
      <c r="O63" s="57"/>
    </row>
    <row r="64" ht="24.75" customHeight="1">
      <c r="A64" s="29"/>
      <c r="B64" s="29"/>
      <c r="C64" s="29"/>
      <c r="D64" s="29"/>
      <c r="E64" s="560" t="s">
        <v>317</v>
      </c>
      <c r="F64" s="560" t="s">
        <v>318</v>
      </c>
      <c r="G64" s="584">
        <v>250.0</v>
      </c>
      <c r="H64" s="561">
        <v>1.0</v>
      </c>
      <c r="I64" s="29"/>
      <c r="J64" s="584">
        <f t="shared" si="4"/>
        <v>250</v>
      </c>
      <c r="K64" s="29"/>
      <c r="L64" s="564"/>
      <c r="M64" s="29"/>
      <c r="N64" s="29"/>
      <c r="O64" s="29"/>
    </row>
    <row r="65" ht="24.75" customHeight="1">
      <c r="A65" s="57"/>
      <c r="B65" s="57"/>
      <c r="C65" s="57"/>
      <c r="D65" s="57"/>
      <c r="E65" s="551" t="s">
        <v>317</v>
      </c>
      <c r="F65" s="551" t="s">
        <v>318</v>
      </c>
      <c r="G65" s="582">
        <v>180.0</v>
      </c>
      <c r="H65" s="553">
        <v>5.0</v>
      </c>
      <c r="I65" s="57"/>
      <c r="J65" s="582">
        <f t="shared" si="4"/>
        <v>900</v>
      </c>
      <c r="K65" s="57"/>
      <c r="L65" s="557"/>
      <c r="M65" s="57"/>
      <c r="N65" s="57"/>
      <c r="O65" s="57"/>
    </row>
    <row r="66" ht="24.75" customHeight="1">
      <c r="A66" s="29"/>
      <c r="B66" s="29"/>
      <c r="C66" s="29"/>
      <c r="D66" s="29"/>
      <c r="E66" s="560" t="s">
        <v>317</v>
      </c>
      <c r="F66" s="560" t="s">
        <v>318</v>
      </c>
      <c r="G66" s="584">
        <v>300.0</v>
      </c>
      <c r="H66" s="561">
        <v>3.0</v>
      </c>
      <c r="I66" s="29"/>
      <c r="J66" s="584">
        <f t="shared" si="4"/>
        <v>900</v>
      </c>
      <c r="K66" s="29"/>
      <c r="L66" s="564"/>
      <c r="M66" s="29"/>
      <c r="N66" s="29"/>
      <c r="O66" s="29"/>
    </row>
    <row r="67" ht="24.75" customHeight="1">
      <c r="A67" s="57"/>
      <c r="B67" s="57"/>
      <c r="C67" s="57"/>
      <c r="D67" s="57"/>
      <c r="E67" s="551" t="s">
        <v>317</v>
      </c>
      <c r="F67" s="551" t="s">
        <v>318</v>
      </c>
      <c r="G67" s="582">
        <v>205.0</v>
      </c>
      <c r="H67" s="553">
        <v>1.0</v>
      </c>
      <c r="I67" s="57"/>
      <c r="J67" s="582">
        <f t="shared" si="4"/>
        <v>205</v>
      </c>
      <c r="K67" s="57"/>
      <c r="L67" s="557"/>
      <c r="M67" s="57"/>
      <c r="N67" s="57"/>
      <c r="O67" s="57"/>
    </row>
    <row r="68" ht="24.75" customHeight="1">
      <c r="A68" s="29"/>
      <c r="B68" s="29"/>
      <c r="C68" s="29"/>
      <c r="D68" s="29"/>
      <c r="E68" s="560" t="s">
        <v>317</v>
      </c>
      <c r="F68" s="560" t="s">
        <v>318</v>
      </c>
      <c r="G68" s="584">
        <v>150.0</v>
      </c>
      <c r="H68" s="561">
        <v>1.0</v>
      </c>
      <c r="I68" s="29"/>
      <c r="J68" s="584">
        <f t="shared" si="4"/>
        <v>150</v>
      </c>
      <c r="K68" s="29"/>
      <c r="L68" s="564"/>
      <c r="M68" s="29"/>
      <c r="N68" s="29"/>
      <c r="O68" s="29"/>
    </row>
    <row r="69" ht="24.75" customHeight="1">
      <c r="A69" s="57"/>
      <c r="B69" s="57"/>
      <c r="C69" s="57"/>
      <c r="D69" s="57"/>
      <c r="E69" s="551" t="s">
        <v>317</v>
      </c>
      <c r="F69" s="551" t="s">
        <v>318</v>
      </c>
      <c r="G69" s="582">
        <v>200.0</v>
      </c>
      <c r="H69" s="553">
        <v>3.0</v>
      </c>
      <c r="I69" s="57"/>
      <c r="J69" s="582">
        <f t="shared" si="4"/>
        <v>600</v>
      </c>
      <c r="K69" s="57"/>
      <c r="L69" s="557"/>
      <c r="M69" s="57"/>
      <c r="N69" s="57"/>
      <c r="O69" s="57"/>
    </row>
    <row r="70" ht="24.75" customHeight="1">
      <c r="A70" s="29"/>
      <c r="B70" s="29"/>
      <c r="C70" s="29"/>
      <c r="D70" s="29"/>
      <c r="E70" s="560" t="s">
        <v>317</v>
      </c>
      <c r="F70" s="560" t="s">
        <v>318</v>
      </c>
      <c r="G70" s="584">
        <v>220.0</v>
      </c>
      <c r="H70" s="561">
        <v>1.0</v>
      </c>
      <c r="I70" s="29"/>
      <c r="J70" s="584">
        <f t="shared" si="4"/>
        <v>220</v>
      </c>
      <c r="K70" s="29"/>
      <c r="L70" s="564"/>
      <c r="M70" s="29"/>
      <c r="N70" s="29"/>
      <c r="O70" s="29"/>
    </row>
    <row r="71" ht="24.75" customHeight="1">
      <c r="A71" s="58"/>
      <c r="B71" s="58"/>
      <c r="C71" s="58"/>
      <c r="D71" s="58"/>
      <c r="E71" s="551" t="s">
        <v>317</v>
      </c>
      <c r="F71" s="551" t="s">
        <v>318</v>
      </c>
      <c r="G71" s="582">
        <v>210.0</v>
      </c>
      <c r="H71" s="553">
        <v>1.0</v>
      </c>
      <c r="I71" s="58"/>
      <c r="J71" s="582">
        <f t="shared" si="4"/>
        <v>210</v>
      </c>
      <c r="K71" s="58"/>
      <c r="L71" s="557"/>
      <c r="M71" s="58"/>
      <c r="N71" s="58"/>
      <c r="O71" s="58"/>
    </row>
    <row r="72" ht="24.75" customHeight="1">
      <c r="A72" s="585">
        <v>46129.0</v>
      </c>
      <c r="B72" s="590" t="s">
        <v>110</v>
      </c>
      <c r="C72" s="37">
        <v>618.0</v>
      </c>
      <c r="D72" s="574">
        <f t="array" ref="D72">IFERROR(_xlfn.XLOOKUP(C72,Code!A:A,Code!B:B),"")</f>
        <v>0.96</v>
      </c>
      <c r="E72" s="560" t="s">
        <v>317</v>
      </c>
      <c r="F72" s="560" t="s">
        <v>318</v>
      </c>
      <c r="G72" s="584">
        <v>150.0</v>
      </c>
      <c r="H72" s="561">
        <v>2.0</v>
      </c>
      <c r="I72" s="602">
        <v>1.0</v>
      </c>
      <c r="J72" s="584">
        <f t="shared" si="4"/>
        <v>300</v>
      </c>
      <c r="K72" s="587" t="s">
        <v>41</v>
      </c>
      <c r="L72" s="621"/>
      <c r="M72" s="609">
        <v>1.0</v>
      </c>
      <c r="N72" s="609">
        <v>400.0</v>
      </c>
      <c r="O72" s="588">
        <f>J72+J73+J74+J75+J76+J77+J78+J79+J80+J81+J82+N72</f>
        <v>4540</v>
      </c>
    </row>
    <row r="73" ht="24.75" customHeight="1">
      <c r="A73" s="57"/>
      <c r="B73" s="57"/>
      <c r="C73" s="23">
        <v>619.0</v>
      </c>
      <c r="D73" s="622">
        <v>0.96</v>
      </c>
      <c r="E73" s="551" t="s">
        <v>317</v>
      </c>
      <c r="F73" s="551" t="s">
        <v>318</v>
      </c>
      <c r="G73" s="582">
        <v>250.0</v>
      </c>
      <c r="H73" s="553">
        <v>1.0</v>
      </c>
      <c r="I73" s="568">
        <v>1.0</v>
      </c>
      <c r="J73" s="582">
        <f t="shared" si="4"/>
        <v>250</v>
      </c>
      <c r="K73" s="57"/>
      <c r="L73" s="557"/>
      <c r="M73" s="610">
        <v>18.0</v>
      </c>
      <c r="N73" s="57"/>
      <c r="O73" s="57"/>
    </row>
    <row r="74" ht="24.75" customHeight="1">
      <c r="A74" s="29"/>
      <c r="B74" s="29"/>
      <c r="C74" s="29"/>
      <c r="D74" s="29"/>
      <c r="E74" s="560" t="s">
        <v>317</v>
      </c>
      <c r="F74" s="560" t="s">
        <v>318</v>
      </c>
      <c r="G74" s="584">
        <v>390.0</v>
      </c>
      <c r="H74" s="561">
        <v>1.0</v>
      </c>
      <c r="I74" s="29"/>
      <c r="J74" s="584">
        <f t="shared" si="4"/>
        <v>390</v>
      </c>
      <c r="K74" s="29"/>
      <c r="L74" s="564"/>
      <c r="M74" s="29"/>
      <c r="N74" s="29"/>
      <c r="O74" s="29"/>
    </row>
    <row r="75" ht="24.75" customHeight="1">
      <c r="A75" s="57"/>
      <c r="B75" s="57"/>
      <c r="C75" s="57"/>
      <c r="D75" s="57"/>
      <c r="E75" s="551" t="s">
        <v>317</v>
      </c>
      <c r="F75" s="551" t="s">
        <v>318</v>
      </c>
      <c r="G75" s="582">
        <v>240.0</v>
      </c>
      <c r="H75" s="553">
        <v>4.0</v>
      </c>
      <c r="I75" s="57"/>
      <c r="J75" s="582">
        <f t="shared" si="4"/>
        <v>960</v>
      </c>
      <c r="K75" s="57"/>
      <c r="L75" s="557"/>
      <c r="M75" s="57"/>
      <c r="N75" s="57"/>
      <c r="O75" s="57"/>
    </row>
    <row r="76" ht="24.75" customHeight="1">
      <c r="A76" s="29"/>
      <c r="B76" s="29"/>
      <c r="C76" s="29"/>
      <c r="D76" s="29"/>
      <c r="E76" s="560" t="s">
        <v>317</v>
      </c>
      <c r="F76" s="560" t="s">
        <v>318</v>
      </c>
      <c r="G76" s="584">
        <v>300.0</v>
      </c>
      <c r="H76" s="561">
        <v>1.0</v>
      </c>
      <c r="I76" s="29"/>
      <c r="J76" s="584">
        <f t="shared" si="4"/>
        <v>300</v>
      </c>
      <c r="K76" s="29"/>
      <c r="L76" s="564"/>
      <c r="M76" s="29"/>
      <c r="N76" s="29"/>
      <c r="O76" s="29"/>
    </row>
    <row r="77" ht="24.75" customHeight="1">
      <c r="A77" s="57"/>
      <c r="B77" s="57"/>
      <c r="C77" s="57"/>
      <c r="D77" s="57"/>
      <c r="E77" s="551" t="s">
        <v>317</v>
      </c>
      <c r="F77" s="551" t="s">
        <v>318</v>
      </c>
      <c r="G77" s="582">
        <v>270.0</v>
      </c>
      <c r="H77" s="553">
        <v>1.0</v>
      </c>
      <c r="I77" s="57"/>
      <c r="J77" s="582">
        <f t="shared" si="4"/>
        <v>270</v>
      </c>
      <c r="K77" s="57"/>
      <c r="L77" s="557"/>
      <c r="M77" s="57"/>
      <c r="N77" s="57"/>
      <c r="O77" s="57"/>
    </row>
    <row r="78" ht="24.75" customHeight="1">
      <c r="A78" s="29"/>
      <c r="B78" s="29"/>
      <c r="C78" s="29"/>
      <c r="D78" s="29"/>
      <c r="E78" s="560" t="s">
        <v>317</v>
      </c>
      <c r="F78" s="560" t="s">
        <v>318</v>
      </c>
      <c r="G78" s="584">
        <v>150.0</v>
      </c>
      <c r="H78" s="561">
        <v>2.0</v>
      </c>
      <c r="I78" s="29"/>
      <c r="J78" s="584">
        <f t="shared" si="4"/>
        <v>300</v>
      </c>
      <c r="K78" s="29"/>
      <c r="L78" s="564"/>
      <c r="M78" s="29"/>
      <c r="N78" s="29"/>
      <c r="O78" s="29"/>
    </row>
    <row r="79" ht="24.75" customHeight="1">
      <c r="A79" s="57"/>
      <c r="B79" s="57"/>
      <c r="C79" s="57"/>
      <c r="D79" s="57"/>
      <c r="E79" s="551" t="s">
        <v>317</v>
      </c>
      <c r="F79" s="551" t="s">
        <v>318</v>
      </c>
      <c r="G79" s="582">
        <v>180.0</v>
      </c>
      <c r="H79" s="553">
        <v>1.0</v>
      </c>
      <c r="I79" s="57"/>
      <c r="J79" s="582">
        <f t="shared" si="4"/>
        <v>180</v>
      </c>
      <c r="K79" s="57"/>
      <c r="L79" s="557"/>
      <c r="M79" s="57"/>
      <c r="N79" s="57"/>
      <c r="O79" s="57"/>
    </row>
    <row r="80" ht="24.75" customHeight="1">
      <c r="A80" s="29"/>
      <c r="B80" s="29"/>
      <c r="C80" s="29"/>
      <c r="D80" s="29"/>
      <c r="E80" s="560" t="s">
        <v>317</v>
      </c>
      <c r="F80" s="560" t="s">
        <v>318</v>
      </c>
      <c r="G80" s="584">
        <v>160.0</v>
      </c>
      <c r="H80" s="561">
        <v>1.0</v>
      </c>
      <c r="I80" s="29"/>
      <c r="J80" s="584">
        <f t="shared" si="4"/>
        <v>160</v>
      </c>
      <c r="K80" s="29"/>
      <c r="L80" s="564"/>
      <c r="M80" s="29"/>
      <c r="N80" s="29"/>
      <c r="O80" s="29"/>
    </row>
    <row r="81" ht="24.75" customHeight="1">
      <c r="A81" s="57"/>
      <c r="B81" s="57"/>
      <c r="C81" s="57"/>
      <c r="D81" s="57"/>
      <c r="E81" s="551" t="s">
        <v>317</v>
      </c>
      <c r="F81" s="551" t="s">
        <v>318</v>
      </c>
      <c r="G81" s="582">
        <v>200.0</v>
      </c>
      <c r="H81" s="553">
        <v>4.0</v>
      </c>
      <c r="I81" s="57"/>
      <c r="J81" s="582">
        <f t="shared" si="4"/>
        <v>800</v>
      </c>
      <c r="K81" s="57"/>
      <c r="L81" s="557"/>
      <c r="M81" s="57"/>
      <c r="N81" s="57"/>
      <c r="O81" s="57"/>
    </row>
    <row r="82" ht="24.75" customHeight="1">
      <c r="A82" s="20"/>
      <c r="B82" s="20"/>
      <c r="C82" s="20"/>
      <c r="D82" s="20"/>
      <c r="E82" s="560" t="s">
        <v>317</v>
      </c>
      <c r="F82" s="560" t="s">
        <v>318</v>
      </c>
      <c r="G82" s="584">
        <v>230.0</v>
      </c>
      <c r="H82" s="561">
        <v>1.0</v>
      </c>
      <c r="I82" s="20"/>
      <c r="J82" s="584">
        <f t="shared" si="4"/>
        <v>230</v>
      </c>
      <c r="K82" s="20"/>
      <c r="L82" s="564"/>
      <c r="M82" s="20"/>
      <c r="N82" s="20"/>
      <c r="O82" s="20"/>
    </row>
    <row r="83" ht="24.75" customHeight="1">
      <c r="A83" s="625"/>
      <c r="J83" s="626">
        <f>SUM(J7:J82)</f>
        <v>30985</v>
      </c>
      <c r="K83" s="627"/>
      <c r="L83" s="628"/>
      <c r="M83" s="626">
        <f t="shared" ref="M83:O83" si="5">SUM(M7:M82)</f>
        <v>211</v>
      </c>
      <c r="N83" s="626">
        <f t="shared" si="5"/>
        <v>4488</v>
      </c>
      <c r="O83" s="626">
        <f t="shared" si="5"/>
        <v>35473</v>
      </c>
    </row>
    <row r="84" ht="24.75" customHeight="1">
      <c r="A84" s="629">
        <v>46179.0</v>
      </c>
      <c r="B84" s="630" t="s">
        <v>45</v>
      </c>
      <c r="C84" s="23">
        <v>612.0</v>
      </c>
      <c r="D84" s="622">
        <v>0.96</v>
      </c>
      <c r="E84" s="551" t="s">
        <v>317</v>
      </c>
      <c r="F84" s="551" t="s">
        <v>318</v>
      </c>
      <c r="G84" s="582">
        <v>100.0</v>
      </c>
      <c r="H84" s="553">
        <v>12.0</v>
      </c>
      <c r="I84" s="568"/>
      <c r="J84" s="582">
        <f t="shared" ref="J84:J105" si="6">G84*H84</f>
        <v>1200</v>
      </c>
      <c r="K84" s="522" t="s">
        <v>356</v>
      </c>
      <c r="L84" s="631" t="s">
        <v>357</v>
      </c>
      <c r="M84" s="610">
        <v>17.0</v>
      </c>
      <c r="N84" s="610">
        <f>17*30</f>
        <v>510</v>
      </c>
      <c r="O84" s="570">
        <f>J84+J85+J86+J87+N84</f>
        <v>2114.5</v>
      </c>
    </row>
    <row r="85" ht="24.75" customHeight="1">
      <c r="A85" s="57"/>
      <c r="B85" s="57"/>
      <c r="C85" s="57"/>
      <c r="D85" s="57"/>
      <c r="E85" s="551" t="s">
        <v>317</v>
      </c>
      <c r="F85" s="551" t="s">
        <v>318</v>
      </c>
      <c r="G85" s="632">
        <v>67.0</v>
      </c>
      <c r="H85" s="633">
        <v>3.0</v>
      </c>
      <c r="I85" s="57"/>
      <c r="J85" s="582">
        <f t="shared" si="6"/>
        <v>201</v>
      </c>
      <c r="K85" s="57"/>
      <c r="L85" s="57"/>
      <c r="M85" s="57"/>
      <c r="N85" s="57"/>
      <c r="O85" s="57"/>
    </row>
    <row r="86" ht="24.75" customHeight="1">
      <c r="A86" s="29"/>
      <c r="B86" s="29"/>
      <c r="C86" s="29"/>
      <c r="D86" s="29"/>
      <c r="E86" s="551" t="s">
        <v>317</v>
      </c>
      <c r="F86" s="551" t="s">
        <v>318</v>
      </c>
      <c r="G86" s="632">
        <v>83.5</v>
      </c>
      <c r="H86" s="633">
        <v>1.0</v>
      </c>
      <c r="I86" s="29"/>
      <c r="J86" s="582">
        <f t="shared" si="6"/>
        <v>83.5</v>
      </c>
      <c r="K86" s="29"/>
      <c r="L86" s="29"/>
      <c r="M86" s="29"/>
      <c r="N86" s="29"/>
      <c r="O86" s="29"/>
    </row>
    <row r="87" ht="24.75" customHeight="1">
      <c r="A87" s="58"/>
      <c r="B87" s="58"/>
      <c r="C87" s="58"/>
      <c r="D87" s="58"/>
      <c r="E87" s="551" t="s">
        <v>317</v>
      </c>
      <c r="F87" s="551" t="s">
        <v>25</v>
      </c>
      <c r="G87" s="582">
        <v>120.0</v>
      </c>
      <c r="H87" s="553">
        <v>1.0</v>
      </c>
      <c r="I87" s="58"/>
      <c r="J87" s="582">
        <f t="shared" si="6"/>
        <v>120</v>
      </c>
      <c r="K87" s="58"/>
      <c r="L87" s="58"/>
      <c r="M87" s="58"/>
      <c r="N87" s="58"/>
      <c r="O87" s="58"/>
    </row>
    <row r="88" ht="24.75" customHeight="1">
      <c r="A88" s="566">
        <v>46180.0</v>
      </c>
      <c r="B88" s="567" t="s">
        <v>45</v>
      </c>
      <c r="C88" s="23">
        <v>612.0</v>
      </c>
      <c r="D88" s="622">
        <v>0.96</v>
      </c>
      <c r="E88" s="551" t="s">
        <v>317</v>
      </c>
      <c r="F88" s="551" t="s">
        <v>318</v>
      </c>
      <c r="G88" s="582">
        <v>100.0</v>
      </c>
      <c r="H88" s="553">
        <v>9.0</v>
      </c>
      <c r="I88" s="594"/>
      <c r="J88" s="582">
        <f t="shared" si="6"/>
        <v>900</v>
      </c>
      <c r="K88" s="569" t="s">
        <v>356</v>
      </c>
      <c r="L88" s="619" t="s">
        <v>361</v>
      </c>
      <c r="M88" s="610">
        <v>12.0</v>
      </c>
      <c r="N88" s="610">
        <f>12*30</f>
        <v>360</v>
      </c>
      <c r="O88" s="570">
        <f>J88+J89+J90+N88</f>
        <v>1480</v>
      </c>
    </row>
    <row r="89" ht="24.75" customHeight="1">
      <c r="A89" s="57"/>
      <c r="B89" s="57"/>
      <c r="C89" s="57"/>
      <c r="D89" s="57"/>
      <c r="E89" s="551" t="s">
        <v>317</v>
      </c>
      <c r="F89" s="551" t="s">
        <v>318</v>
      </c>
      <c r="G89" s="634">
        <v>50.0</v>
      </c>
      <c r="H89" s="635">
        <v>2.0</v>
      </c>
      <c r="I89" s="594"/>
      <c r="J89" s="582">
        <f t="shared" si="6"/>
        <v>100</v>
      </c>
      <c r="K89" s="57"/>
      <c r="L89" s="57"/>
      <c r="M89" s="57"/>
      <c r="N89" s="57"/>
      <c r="O89" s="57"/>
    </row>
    <row r="90" ht="24.75" customHeight="1">
      <c r="A90" s="20"/>
      <c r="B90" s="20"/>
      <c r="C90" s="20"/>
      <c r="D90" s="20"/>
      <c r="E90" s="551" t="s">
        <v>317</v>
      </c>
      <c r="F90" s="551" t="s">
        <v>25</v>
      </c>
      <c r="G90" s="582">
        <v>120.0</v>
      </c>
      <c r="H90" s="553">
        <v>1.0</v>
      </c>
      <c r="I90" s="594"/>
      <c r="J90" s="582">
        <f t="shared" si="6"/>
        <v>120</v>
      </c>
      <c r="K90" s="20"/>
      <c r="L90" s="20"/>
      <c r="M90" s="20"/>
      <c r="N90" s="20"/>
      <c r="O90" s="20"/>
    </row>
    <row r="91" ht="24.75" customHeight="1">
      <c r="A91" s="566">
        <v>46181.0</v>
      </c>
      <c r="B91" s="567" t="s">
        <v>45</v>
      </c>
      <c r="C91" s="23">
        <v>611.0</v>
      </c>
      <c r="D91" s="622">
        <v>0.96</v>
      </c>
      <c r="E91" s="551" t="s">
        <v>317</v>
      </c>
      <c r="F91" s="551" t="s">
        <v>318</v>
      </c>
      <c r="G91" s="582">
        <v>100.0</v>
      </c>
      <c r="H91" s="553">
        <v>9.0</v>
      </c>
      <c r="I91" s="594"/>
      <c r="J91" s="582">
        <f t="shared" si="6"/>
        <v>900</v>
      </c>
      <c r="K91" s="569" t="s">
        <v>356</v>
      </c>
      <c r="L91" s="619" t="s">
        <v>366</v>
      </c>
      <c r="M91" s="610">
        <v>10.0</v>
      </c>
      <c r="N91" s="610">
        <f>M91*30</f>
        <v>300</v>
      </c>
      <c r="O91" s="570">
        <f>J91+J92+N91</f>
        <v>1320</v>
      </c>
    </row>
    <row r="92" ht="24.75" customHeight="1">
      <c r="A92" s="29"/>
      <c r="B92" s="20"/>
      <c r="C92" s="20"/>
      <c r="D92" s="20"/>
      <c r="E92" s="551" t="s">
        <v>317</v>
      </c>
      <c r="F92" s="551" t="s">
        <v>25</v>
      </c>
      <c r="G92" s="582">
        <v>120.0</v>
      </c>
      <c r="H92" s="553">
        <v>1.0</v>
      </c>
      <c r="I92" s="594"/>
      <c r="J92" s="582">
        <f t="shared" si="6"/>
        <v>120</v>
      </c>
      <c r="K92" s="20"/>
      <c r="L92" s="20"/>
      <c r="M92" s="20"/>
      <c r="N92" s="20"/>
      <c r="O92" s="20"/>
    </row>
    <row r="93" ht="24.75" customHeight="1">
      <c r="A93" s="566">
        <v>46181.0</v>
      </c>
      <c r="B93" s="567" t="s">
        <v>45</v>
      </c>
      <c r="C93" s="23">
        <v>622.0</v>
      </c>
      <c r="D93" s="622">
        <v>0.96</v>
      </c>
      <c r="E93" s="551" t="s">
        <v>317</v>
      </c>
      <c r="F93" s="551" t="s">
        <v>318</v>
      </c>
      <c r="G93" s="582">
        <v>100.0</v>
      </c>
      <c r="H93" s="553">
        <v>23.0</v>
      </c>
      <c r="I93" s="594"/>
      <c r="J93" s="582">
        <f t="shared" si="6"/>
        <v>2300</v>
      </c>
      <c r="K93" s="569" t="s">
        <v>368</v>
      </c>
      <c r="L93" s="639" t="s">
        <v>370</v>
      </c>
      <c r="M93" s="610">
        <v>24.0</v>
      </c>
      <c r="N93" s="610"/>
      <c r="O93" s="607"/>
    </row>
    <row r="94" ht="24.75" customHeight="1">
      <c r="A94" s="29"/>
      <c r="B94" s="20"/>
      <c r="C94" s="20"/>
      <c r="D94" s="20"/>
      <c r="E94" s="551" t="s">
        <v>317</v>
      </c>
      <c r="F94" s="551" t="s">
        <v>25</v>
      </c>
      <c r="G94" s="582">
        <v>120.0</v>
      </c>
      <c r="H94" s="553">
        <v>1.0</v>
      </c>
      <c r="I94" s="594"/>
      <c r="J94" s="582">
        <f t="shared" si="6"/>
        <v>120</v>
      </c>
      <c r="K94" s="20"/>
      <c r="L94" s="20"/>
      <c r="M94" s="20"/>
      <c r="N94" s="20"/>
      <c r="O94" s="20"/>
    </row>
    <row r="95" ht="24.75" customHeight="1">
      <c r="A95" s="566">
        <v>46182.0</v>
      </c>
      <c r="B95" s="567" t="s">
        <v>45</v>
      </c>
      <c r="C95" s="387">
        <v>616.0</v>
      </c>
      <c r="D95" s="641"/>
      <c r="E95" s="551" t="s">
        <v>317</v>
      </c>
      <c r="F95" s="551" t="s">
        <v>318</v>
      </c>
      <c r="G95" s="582">
        <v>100.0</v>
      </c>
      <c r="H95" s="553">
        <v>3.0</v>
      </c>
      <c r="I95" s="594"/>
      <c r="J95" s="582">
        <f t="shared" si="6"/>
        <v>300</v>
      </c>
      <c r="K95" s="569" t="s">
        <v>368</v>
      </c>
      <c r="L95" s="619" t="s">
        <v>370</v>
      </c>
      <c r="M95" s="610">
        <v>22.0</v>
      </c>
      <c r="N95" s="610"/>
      <c r="O95" s="607"/>
    </row>
    <row r="96" ht="24.75" customHeight="1">
      <c r="A96" s="29"/>
      <c r="B96" s="29"/>
      <c r="C96" s="79">
        <v>617.0</v>
      </c>
      <c r="D96" s="622"/>
      <c r="E96" s="560" t="s">
        <v>317</v>
      </c>
      <c r="F96" s="560" t="s">
        <v>318</v>
      </c>
      <c r="G96" s="584">
        <v>100.0</v>
      </c>
      <c r="H96" s="561">
        <v>18.0</v>
      </c>
      <c r="I96" s="602"/>
      <c r="J96" s="584">
        <f t="shared" si="6"/>
        <v>1800</v>
      </c>
      <c r="K96" s="29"/>
      <c r="L96" s="29"/>
      <c r="M96" s="29"/>
      <c r="N96" s="29"/>
      <c r="O96" s="29"/>
    </row>
    <row r="97" ht="24.75" customHeight="1">
      <c r="A97" s="57"/>
      <c r="B97" s="58"/>
      <c r="C97" s="58"/>
      <c r="D97" s="58"/>
      <c r="E97" s="551" t="s">
        <v>317</v>
      </c>
      <c r="F97" s="551" t="s">
        <v>25</v>
      </c>
      <c r="G97" s="582">
        <v>120.0</v>
      </c>
      <c r="H97" s="553">
        <v>1.0</v>
      </c>
      <c r="I97" s="594"/>
      <c r="J97" s="582">
        <f t="shared" si="6"/>
        <v>120</v>
      </c>
      <c r="K97" s="58"/>
      <c r="L97" s="58"/>
      <c r="M97" s="58"/>
      <c r="N97" s="58"/>
      <c r="O97" s="58"/>
    </row>
    <row r="98" ht="24.75" customHeight="1">
      <c r="A98" s="585">
        <v>46182.0</v>
      </c>
      <c r="B98" s="567" t="s">
        <v>45</v>
      </c>
      <c r="C98" s="384">
        <v>615.0</v>
      </c>
      <c r="D98" s="622"/>
      <c r="E98" s="560" t="s">
        <v>317</v>
      </c>
      <c r="F98" s="560" t="s">
        <v>318</v>
      </c>
      <c r="G98" s="584">
        <v>100.0</v>
      </c>
      <c r="H98" s="561">
        <v>6.0</v>
      </c>
      <c r="I98" s="602"/>
      <c r="J98" s="584">
        <f t="shared" si="6"/>
        <v>600</v>
      </c>
      <c r="K98" s="587" t="s">
        <v>356</v>
      </c>
      <c r="L98" s="621" t="s">
        <v>375</v>
      </c>
      <c r="M98" s="609">
        <v>23.0</v>
      </c>
      <c r="N98" s="609">
        <f>M98*30</f>
        <v>690</v>
      </c>
      <c r="O98" s="588">
        <f>J98+J99+J100+N98</f>
        <v>3010</v>
      </c>
    </row>
    <row r="99" ht="24.75" customHeight="1">
      <c r="A99" s="57"/>
      <c r="B99" s="57"/>
      <c r="C99" s="387">
        <v>614.0</v>
      </c>
      <c r="D99" s="622">
        <v>0.96</v>
      </c>
      <c r="E99" s="551" t="s">
        <v>317</v>
      </c>
      <c r="F99" s="551" t="s">
        <v>318</v>
      </c>
      <c r="G99" s="582">
        <v>100.0</v>
      </c>
      <c r="H99" s="553">
        <v>16.0</v>
      </c>
      <c r="I99" s="594"/>
      <c r="J99" s="582">
        <f t="shared" si="6"/>
        <v>1600</v>
      </c>
      <c r="K99" s="57"/>
      <c r="L99" s="57"/>
      <c r="M99" s="57"/>
      <c r="N99" s="57"/>
      <c r="O99" s="57"/>
    </row>
    <row r="100" ht="24.75" customHeight="1">
      <c r="A100" s="29"/>
      <c r="B100" s="20"/>
      <c r="C100" s="384">
        <v>614.0</v>
      </c>
      <c r="D100" s="20"/>
      <c r="E100" s="560" t="s">
        <v>317</v>
      </c>
      <c r="F100" s="560" t="s">
        <v>25</v>
      </c>
      <c r="G100" s="584">
        <v>120.0</v>
      </c>
      <c r="H100" s="561">
        <v>1.0</v>
      </c>
      <c r="I100" s="602"/>
      <c r="J100" s="584">
        <f t="shared" si="6"/>
        <v>120</v>
      </c>
      <c r="K100" s="20"/>
      <c r="L100" s="20"/>
      <c r="M100" s="20"/>
      <c r="N100" s="20"/>
      <c r="O100" s="20"/>
    </row>
    <row r="101" ht="24.75" customHeight="1">
      <c r="A101" s="566">
        <v>46183.0</v>
      </c>
      <c r="B101" s="567" t="s">
        <v>45</v>
      </c>
      <c r="C101" s="387">
        <v>615.0</v>
      </c>
      <c r="D101" s="641"/>
      <c r="E101" s="551" t="s">
        <v>317</v>
      </c>
      <c r="F101" s="551" t="s">
        <v>318</v>
      </c>
      <c r="G101" s="582">
        <v>100.0</v>
      </c>
      <c r="H101" s="553">
        <v>9.0</v>
      </c>
      <c r="I101" s="594"/>
      <c r="J101" s="582">
        <f t="shared" si="6"/>
        <v>900</v>
      </c>
      <c r="K101" s="569" t="s">
        <v>368</v>
      </c>
      <c r="L101" s="619" t="s">
        <v>370</v>
      </c>
      <c r="M101" s="610">
        <v>23.0</v>
      </c>
      <c r="N101" s="610"/>
      <c r="O101" s="607"/>
    </row>
    <row r="102" ht="24.75" customHeight="1">
      <c r="A102" s="29"/>
      <c r="B102" s="29"/>
      <c r="C102" s="384">
        <v>616.0</v>
      </c>
      <c r="D102" s="641"/>
      <c r="E102" s="560" t="s">
        <v>317</v>
      </c>
      <c r="F102" s="560" t="s">
        <v>318</v>
      </c>
      <c r="G102" s="584">
        <v>100.0</v>
      </c>
      <c r="H102" s="561">
        <v>13.0</v>
      </c>
      <c r="I102" s="602"/>
      <c r="J102" s="584">
        <f t="shared" si="6"/>
        <v>1300</v>
      </c>
      <c r="K102" s="29"/>
      <c r="L102" s="29"/>
      <c r="M102" s="29"/>
      <c r="N102" s="29"/>
      <c r="O102" s="29"/>
    </row>
    <row r="103" ht="24.75" customHeight="1">
      <c r="A103" s="57"/>
      <c r="B103" s="58"/>
      <c r="C103" s="387">
        <v>616.0</v>
      </c>
      <c r="D103" s="641"/>
      <c r="E103" s="551" t="s">
        <v>317</v>
      </c>
      <c r="F103" s="551" t="s">
        <v>25</v>
      </c>
      <c r="G103" s="582">
        <v>120.0</v>
      </c>
      <c r="H103" s="553">
        <v>1.0</v>
      </c>
      <c r="I103" s="594"/>
      <c r="J103" s="582">
        <f t="shared" si="6"/>
        <v>120</v>
      </c>
      <c r="K103" s="58"/>
      <c r="L103" s="58"/>
      <c r="M103" s="58"/>
      <c r="N103" s="58"/>
      <c r="O103" s="58"/>
    </row>
    <row r="104" ht="24.75" customHeight="1">
      <c r="A104" s="585">
        <v>46183.0</v>
      </c>
      <c r="B104" s="567" t="s">
        <v>45</v>
      </c>
      <c r="C104" s="384">
        <v>624.0</v>
      </c>
      <c r="D104" s="641"/>
      <c r="E104" s="560" t="s">
        <v>317</v>
      </c>
      <c r="F104" s="560" t="s">
        <v>318</v>
      </c>
      <c r="G104" s="584">
        <v>100.0</v>
      </c>
      <c r="H104" s="561">
        <v>4.0</v>
      </c>
      <c r="I104" s="602"/>
      <c r="J104" s="584">
        <f t="shared" si="6"/>
        <v>400</v>
      </c>
      <c r="K104" s="587" t="s">
        <v>356</v>
      </c>
      <c r="L104" s="621" t="s">
        <v>375</v>
      </c>
      <c r="M104" s="609">
        <v>17.0</v>
      </c>
      <c r="N104" s="609">
        <f>17*30</f>
        <v>510</v>
      </c>
      <c r="O104" s="588">
        <f>J104+J105+J106+N104</f>
        <v>2230</v>
      </c>
    </row>
    <row r="105" ht="24.75" customHeight="1">
      <c r="A105" s="57"/>
      <c r="B105" s="57"/>
      <c r="C105" s="387">
        <v>621.0</v>
      </c>
      <c r="D105" s="641"/>
      <c r="E105" s="551" t="s">
        <v>317</v>
      </c>
      <c r="F105" s="551" t="s">
        <v>318</v>
      </c>
      <c r="G105" s="582">
        <v>100.0</v>
      </c>
      <c r="H105" s="553">
        <v>12.0</v>
      </c>
      <c r="I105" s="594"/>
      <c r="J105" s="582">
        <f t="shared" si="6"/>
        <v>1200</v>
      </c>
      <c r="K105" s="57"/>
      <c r="L105" s="57"/>
      <c r="M105" s="57"/>
      <c r="N105" s="57"/>
      <c r="O105" s="57"/>
    </row>
    <row r="106" ht="24.75" customHeight="1">
      <c r="A106" s="29"/>
      <c r="B106" s="20"/>
      <c r="C106" s="384">
        <v>621.0</v>
      </c>
      <c r="D106" s="645"/>
      <c r="E106" s="560" t="s">
        <v>317</v>
      </c>
      <c r="F106" s="560" t="s">
        <v>25</v>
      </c>
      <c r="G106" s="584">
        <v>120.0</v>
      </c>
      <c r="H106" s="561">
        <v>1.0</v>
      </c>
      <c r="I106" s="602"/>
      <c r="J106" s="584">
        <v>120.0</v>
      </c>
      <c r="K106" s="20"/>
      <c r="L106" s="20"/>
      <c r="M106" s="20"/>
      <c r="N106" s="20"/>
      <c r="O106" s="20"/>
    </row>
    <row r="107" ht="24.75" customHeight="1">
      <c r="A107" s="589">
        <v>46184.0</v>
      </c>
      <c r="B107" s="590" t="s">
        <v>45</v>
      </c>
      <c r="C107" s="604">
        <v>604.0</v>
      </c>
      <c r="D107" s="646"/>
      <c r="E107" s="555" t="s">
        <v>317</v>
      </c>
      <c r="F107" s="555" t="s">
        <v>318</v>
      </c>
      <c r="G107" s="555">
        <v>100.0</v>
      </c>
      <c r="H107" s="593">
        <v>19.0</v>
      </c>
      <c r="I107" s="647"/>
      <c r="J107" s="555">
        <f t="shared" ref="J107:J128" si="7">G107*H107</f>
        <v>1900</v>
      </c>
      <c r="K107" s="569" t="s">
        <v>368</v>
      </c>
      <c r="L107" s="619" t="s">
        <v>370</v>
      </c>
      <c r="M107" s="598">
        <v>21.0</v>
      </c>
      <c r="N107" s="598"/>
      <c r="O107" s="607"/>
    </row>
    <row r="108" ht="24.75" customHeight="1">
      <c r="A108" s="29"/>
      <c r="B108" s="29"/>
      <c r="C108" s="29"/>
      <c r="D108" s="646"/>
      <c r="E108" s="600" t="s">
        <v>317</v>
      </c>
      <c r="F108" s="600" t="s">
        <v>318</v>
      </c>
      <c r="G108" s="648">
        <v>62.5</v>
      </c>
      <c r="H108" s="649">
        <v>1.0</v>
      </c>
      <c r="I108" s="650"/>
      <c r="J108" s="600">
        <f t="shared" si="7"/>
        <v>62.5</v>
      </c>
      <c r="K108" s="29"/>
      <c r="L108" s="29"/>
      <c r="M108" s="29"/>
      <c r="N108" s="29"/>
      <c r="O108" s="29"/>
    </row>
    <row r="109" ht="24.75" customHeight="1">
      <c r="A109" s="58"/>
      <c r="B109" s="58"/>
      <c r="C109" s="58"/>
      <c r="D109" s="646"/>
      <c r="E109" s="555" t="s">
        <v>317</v>
      </c>
      <c r="F109" s="555" t="s">
        <v>25</v>
      </c>
      <c r="G109" s="555">
        <v>120.0</v>
      </c>
      <c r="H109" s="593">
        <v>1.0</v>
      </c>
      <c r="I109" s="647"/>
      <c r="J109" s="555">
        <f t="shared" si="7"/>
        <v>120</v>
      </c>
      <c r="K109" s="58"/>
      <c r="L109" s="58"/>
      <c r="M109" s="58"/>
      <c r="N109" s="58"/>
      <c r="O109" s="58"/>
    </row>
    <row r="110" ht="24.75" customHeight="1">
      <c r="A110" s="651">
        <v>46184.0</v>
      </c>
      <c r="B110" s="590" t="s">
        <v>45</v>
      </c>
      <c r="C110" s="652">
        <v>605.0</v>
      </c>
      <c r="D110" s="646"/>
      <c r="E110" s="600" t="s">
        <v>317</v>
      </c>
      <c r="F110" s="600" t="s">
        <v>318</v>
      </c>
      <c r="G110" s="600">
        <v>100.0</v>
      </c>
      <c r="H110" s="601">
        <v>18.0</v>
      </c>
      <c r="I110" s="650"/>
      <c r="J110" s="600">
        <f t="shared" si="7"/>
        <v>1800</v>
      </c>
      <c r="K110" s="587" t="s">
        <v>356</v>
      </c>
      <c r="L110" s="621" t="s">
        <v>375</v>
      </c>
      <c r="M110" s="653">
        <v>19.0</v>
      </c>
      <c r="N110" s="653">
        <f>19*30</f>
        <v>570</v>
      </c>
      <c r="O110" s="653">
        <f>J110+J111+N110</f>
        <v>2490</v>
      </c>
    </row>
    <row r="111" ht="24.75" customHeight="1">
      <c r="A111" s="58"/>
      <c r="B111" s="58"/>
      <c r="C111" s="58"/>
      <c r="D111" s="654"/>
      <c r="E111" s="555" t="s">
        <v>317</v>
      </c>
      <c r="F111" s="555" t="s">
        <v>25</v>
      </c>
      <c r="G111" s="555">
        <v>120.0</v>
      </c>
      <c r="H111" s="593">
        <v>1.0</v>
      </c>
      <c r="I111" s="647"/>
      <c r="J111" s="555">
        <f t="shared" si="7"/>
        <v>120</v>
      </c>
      <c r="K111" s="58"/>
      <c r="L111" s="58"/>
      <c r="M111" s="58"/>
      <c r="N111" s="58"/>
      <c r="O111" s="58"/>
    </row>
    <row r="112" ht="24.75" customHeight="1">
      <c r="A112" s="655">
        <v>46185.0</v>
      </c>
      <c r="B112" s="590" t="s">
        <v>45</v>
      </c>
      <c r="C112" s="652">
        <v>604.0</v>
      </c>
      <c r="D112" s="646"/>
      <c r="E112" s="600" t="s">
        <v>317</v>
      </c>
      <c r="F112" s="600" t="s">
        <v>318</v>
      </c>
      <c r="G112" s="600">
        <v>100.0</v>
      </c>
      <c r="H112" s="601">
        <v>21.0</v>
      </c>
      <c r="I112" s="650"/>
      <c r="J112" s="600">
        <f t="shared" si="7"/>
        <v>2100</v>
      </c>
      <c r="K112" s="587" t="s">
        <v>368</v>
      </c>
      <c r="L112" s="621" t="s">
        <v>370</v>
      </c>
      <c r="M112" s="653">
        <v>22.0</v>
      </c>
      <c r="N112" s="653"/>
      <c r="O112" s="656"/>
    </row>
    <row r="113" ht="24.75" customHeight="1">
      <c r="A113" s="57"/>
      <c r="B113" s="58"/>
      <c r="C113" s="58"/>
      <c r="D113" s="646"/>
      <c r="E113" s="555" t="s">
        <v>317</v>
      </c>
      <c r="F113" s="555" t="s">
        <v>25</v>
      </c>
      <c r="G113" s="555">
        <v>120.0</v>
      </c>
      <c r="H113" s="593">
        <v>1.0</v>
      </c>
      <c r="I113" s="647"/>
      <c r="J113" s="555">
        <f t="shared" si="7"/>
        <v>120</v>
      </c>
      <c r="K113" s="58"/>
      <c r="L113" s="58"/>
      <c r="M113" s="58"/>
      <c r="N113" s="58"/>
      <c r="O113" s="58"/>
    </row>
    <row r="114" ht="24.75" customHeight="1">
      <c r="A114" s="655">
        <v>46185.0</v>
      </c>
      <c r="B114" s="590" t="s">
        <v>45</v>
      </c>
      <c r="C114" s="652">
        <v>605.0</v>
      </c>
      <c r="D114" s="646"/>
      <c r="E114" s="600" t="s">
        <v>317</v>
      </c>
      <c r="F114" s="600" t="s">
        <v>318</v>
      </c>
      <c r="G114" s="600">
        <v>100.0</v>
      </c>
      <c r="H114" s="601">
        <v>15.0</v>
      </c>
      <c r="I114" s="650"/>
      <c r="J114" s="600">
        <f t="shared" si="7"/>
        <v>1500</v>
      </c>
      <c r="K114" s="587" t="s">
        <v>356</v>
      </c>
      <c r="L114" s="621" t="s">
        <v>375</v>
      </c>
      <c r="M114" s="653">
        <v>16.0</v>
      </c>
      <c r="N114" s="653">
        <f>M114*30</f>
        <v>480</v>
      </c>
      <c r="O114" s="653">
        <f>J114+J115+N114</f>
        <v>2100</v>
      </c>
    </row>
    <row r="115" ht="24.75" customHeight="1">
      <c r="A115" s="57"/>
      <c r="B115" s="58"/>
      <c r="C115" s="58"/>
      <c r="D115" s="646"/>
      <c r="E115" s="555" t="s">
        <v>317</v>
      </c>
      <c r="F115" s="555" t="s">
        <v>25</v>
      </c>
      <c r="G115" s="555">
        <v>120.0</v>
      </c>
      <c r="H115" s="593">
        <v>1.0</v>
      </c>
      <c r="I115" s="647"/>
      <c r="J115" s="555">
        <f t="shared" si="7"/>
        <v>120</v>
      </c>
      <c r="K115" s="58"/>
      <c r="L115" s="58"/>
      <c r="M115" s="58"/>
      <c r="N115" s="58"/>
      <c r="O115" s="58"/>
    </row>
    <row r="116" ht="24.75" customHeight="1">
      <c r="A116" s="655">
        <v>46186.0</v>
      </c>
      <c r="B116" s="590" t="s">
        <v>45</v>
      </c>
      <c r="C116" s="652">
        <v>604.0</v>
      </c>
      <c r="D116" s="646"/>
      <c r="E116" s="600" t="s">
        <v>317</v>
      </c>
      <c r="F116" s="600" t="s">
        <v>318</v>
      </c>
      <c r="G116" s="600">
        <v>100.0</v>
      </c>
      <c r="H116" s="601">
        <v>20.0</v>
      </c>
      <c r="I116" s="650"/>
      <c r="J116" s="600">
        <f t="shared" si="7"/>
        <v>2000</v>
      </c>
      <c r="K116" s="587" t="s">
        <v>368</v>
      </c>
      <c r="L116" s="621" t="s">
        <v>370</v>
      </c>
      <c r="M116" s="653">
        <v>21.0</v>
      </c>
      <c r="N116" s="653"/>
      <c r="O116" s="656"/>
    </row>
    <row r="117" ht="24.75" customHeight="1">
      <c r="A117" s="57"/>
      <c r="B117" s="58"/>
      <c r="C117" s="58"/>
      <c r="D117" s="646"/>
      <c r="E117" s="555" t="s">
        <v>317</v>
      </c>
      <c r="F117" s="555" t="s">
        <v>25</v>
      </c>
      <c r="G117" s="555">
        <v>120.0</v>
      </c>
      <c r="H117" s="593">
        <v>1.0</v>
      </c>
      <c r="I117" s="647"/>
      <c r="J117" s="555">
        <f t="shared" si="7"/>
        <v>120</v>
      </c>
      <c r="K117" s="58"/>
      <c r="L117" s="58"/>
      <c r="M117" s="58"/>
      <c r="N117" s="58"/>
      <c r="O117" s="58"/>
    </row>
    <row r="118" ht="24.75" customHeight="1">
      <c r="A118" s="655">
        <v>46186.0</v>
      </c>
      <c r="B118" s="590" t="s">
        <v>45</v>
      </c>
      <c r="C118" s="652">
        <v>605.0</v>
      </c>
      <c r="D118" s="646"/>
      <c r="E118" s="600" t="s">
        <v>317</v>
      </c>
      <c r="F118" s="600" t="s">
        <v>318</v>
      </c>
      <c r="G118" s="600">
        <v>100.0</v>
      </c>
      <c r="H118" s="601">
        <v>15.0</v>
      </c>
      <c r="I118" s="650"/>
      <c r="J118" s="600">
        <f t="shared" si="7"/>
        <v>1500</v>
      </c>
      <c r="K118" s="587" t="s">
        <v>356</v>
      </c>
      <c r="L118" s="621" t="s">
        <v>375</v>
      </c>
      <c r="M118" s="653">
        <v>16.0</v>
      </c>
      <c r="N118" s="653">
        <f>M118*30</f>
        <v>480</v>
      </c>
      <c r="O118" s="653">
        <f>J118+J119+N118</f>
        <v>2100</v>
      </c>
    </row>
    <row r="119" ht="24.75" customHeight="1">
      <c r="A119" s="58"/>
      <c r="B119" s="58"/>
      <c r="C119" s="58"/>
      <c r="D119" s="646"/>
      <c r="E119" s="555" t="s">
        <v>317</v>
      </c>
      <c r="F119" s="555" t="s">
        <v>25</v>
      </c>
      <c r="G119" s="555">
        <v>120.0</v>
      </c>
      <c r="H119" s="593">
        <v>1.0</v>
      </c>
      <c r="I119" s="647"/>
      <c r="J119" s="555">
        <f t="shared" si="7"/>
        <v>120</v>
      </c>
      <c r="K119" s="58"/>
      <c r="L119" s="58"/>
      <c r="M119" s="58"/>
      <c r="N119" s="58"/>
      <c r="O119" s="58"/>
    </row>
    <row r="120" ht="24.75" customHeight="1">
      <c r="A120" s="655">
        <v>46187.0</v>
      </c>
      <c r="B120" s="590" t="s">
        <v>45</v>
      </c>
      <c r="C120" s="79">
        <v>611.0</v>
      </c>
      <c r="D120" s="622">
        <v>0.96</v>
      </c>
      <c r="E120" s="560" t="s">
        <v>317</v>
      </c>
      <c r="F120" s="560" t="s">
        <v>318</v>
      </c>
      <c r="G120" s="584">
        <v>100.0</v>
      </c>
      <c r="H120" s="561">
        <v>19.0</v>
      </c>
      <c r="I120" s="602"/>
      <c r="J120" s="600">
        <f t="shared" si="7"/>
        <v>1900</v>
      </c>
      <c r="K120" s="587" t="s">
        <v>356</v>
      </c>
      <c r="L120" s="621" t="s">
        <v>375</v>
      </c>
      <c r="M120" s="609">
        <v>20.0</v>
      </c>
      <c r="N120" s="653">
        <f>M120*30</f>
        <v>600</v>
      </c>
      <c r="O120" s="653">
        <f>J120+J121+N120</f>
        <v>2620</v>
      </c>
    </row>
    <row r="121" ht="24.75" customHeight="1">
      <c r="A121" s="57"/>
      <c r="B121" s="58"/>
      <c r="C121" s="58"/>
      <c r="D121" s="58"/>
      <c r="E121" s="551" t="s">
        <v>317</v>
      </c>
      <c r="F121" s="551" t="s">
        <v>25</v>
      </c>
      <c r="G121" s="582">
        <v>120.0</v>
      </c>
      <c r="H121" s="553">
        <v>1.0</v>
      </c>
      <c r="I121" s="594"/>
      <c r="J121" s="555">
        <f t="shared" si="7"/>
        <v>120</v>
      </c>
      <c r="K121" s="58"/>
      <c r="L121" s="58"/>
      <c r="M121" s="58"/>
      <c r="N121" s="58"/>
      <c r="O121" s="58"/>
    </row>
    <row r="122" ht="24.75" customHeight="1">
      <c r="A122" s="655">
        <v>46187.0</v>
      </c>
      <c r="B122" s="590" t="s">
        <v>45</v>
      </c>
      <c r="C122" s="79">
        <v>609.0</v>
      </c>
      <c r="D122" s="641">
        <v>0.96</v>
      </c>
      <c r="E122" s="560" t="s">
        <v>317</v>
      </c>
      <c r="F122" s="560" t="s">
        <v>318</v>
      </c>
      <c r="G122" s="584">
        <v>100.0</v>
      </c>
      <c r="H122" s="561">
        <v>20.0</v>
      </c>
      <c r="I122" s="602"/>
      <c r="J122" s="600">
        <f t="shared" si="7"/>
        <v>2000</v>
      </c>
      <c r="K122" s="587" t="s">
        <v>368</v>
      </c>
      <c r="L122" s="621" t="s">
        <v>370</v>
      </c>
      <c r="M122" s="653">
        <v>21.0</v>
      </c>
      <c r="N122" s="609"/>
      <c r="O122" s="656"/>
    </row>
    <row r="123" ht="24.75" customHeight="1">
      <c r="A123" s="57"/>
      <c r="B123" s="58"/>
      <c r="C123" s="657">
        <v>612.0</v>
      </c>
      <c r="D123" s="641">
        <v>0.96</v>
      </c>
      <c r="E123" s="551" t="s">
        <v>317</v>
      </c>
      <c r="F123" s="551" t="s">
        <v>25</v>
      </c>
      <c r="G123" s="582">
        <v>120.0</v>
      </c>
      <c r="H123" s="553">
        <v>1.0</v>
      </c>
      <c r="I123" s="553" t="s">
        <v>389</v>
      </c>
      <c r="J123" s="555">
        <f t="shared" si="7"/>
        <v>120</v>
      </c>
      <c r="K123" s="58"/>
      <c r="L123" s="58"/>
      <c r="M123" s="58"/>
      <c r="N123" s="58"/>
      <c r="O123" s="58"/>
    </row>
    <row r="124" ht="24.75" customHeight="1">
      <c r="A124" s="585">
        <v>46188.0</v>
      </c>
      <c r="B124" s="567" t="s">
        <v>45</v>
      </c>
      <c r="C124" s="79">
        <v>611.0</v>
      </c>
      <c r="D124" s="622">
        <v>0.96</v>
      </c>
      <c r="E124" s="560" t="s">
        <v>317</v>
      </c>
      <c r="F124" s="560" t="s">
        <v>318</v>
      </c>
      <c r="G124" s="584">
        <v>100.0</v>
      </c>
      <c r="H124" s="561">
        <v>14.0</v>
      </c>
      <c r="I124" s="602"/>
      <c r="J124" s="584">
        <f t="shared" si="7"/>
        <v>1400</v>
      </c>
      <c r="K124" s="587" t="s">
        <v>356</v>
      </c>
      <c r="L124" s="621" t="s">
        <v>375</v>
      </c>
      <c r="M124" s="609">
        <v>15.0</v>
      </c>
      <c r="N124" s="609">
        <f>M124*30</f>
        <v>450</v>
      </c>
      <c r="O124" s="588">
        <f>J124+J125+N124</f>
        <v>1970</v>
      </c>
    </row>
    <row r="125" ht="24.75" customHeight="1">
      <c r="A125" s="57"/>
      <c r="B125" s="58"/>
      <c r="C125" s="58"/>
      <c r="D125" s="58"/>
      <c r="E125" s="551" t="s">
        <v>317</v>
      </c>
      <c r="F125" s="551" t="s">
        <v>25</v>
      </c>
      <c r="G125" s="582">
        <v>120.0</v>
      </c>
      <c r="H125" s="553">
        <v>1.0</v>
      </c>
      <c r="I125" s="594"/>
      <c r="J125" s="582">
        <f t="shared" si="7"/>
        <v>120</v>
      </c>
      <c r="K125" s="58"/>
      <c r="L125" s="58"/>
      <c r="M125" s="58"/>
      <c r="N125" s="58"/>
      <c r="O125" s="58"/>
    </row>
    <row r="126" ht="24.75" customHeight="1">
      <c r="A126" s="585">
        <v>46188.0</v>
      </c>
      <c r="B126" s="567" t="s">
        <v>45</v>
      </c>
      <c r="C126" s="79">
        <v>612.0</v>
      </c>
      <c r="D126" s="622">
        <v>0.96</v>
      </c>
      <c r="E126" s="560" t="s">
        <v>317</v>
      </c>
      <c r="F126" s="560" t="s">
        <v>318</v>
      </c>
      <c r="G126" s="584">
        <v>100.0</v>
      </c>
      <c r="H126" s="561">
        <v>19.0</v>
      </c>
      <c r="I126" s="602"/>
      <c r="J126" s="584">
        <f t="shared" si="7"/>
        <v>1900</v>
      </c>
      <c r="K126" s="587" t="s">
        <v>368</v>
      </c>
      <c r="L126" s="621" t="s">
        <v>370</v>
      </c>
      <c r="M126" s="609">
        <v>20.0</v>
      </c>
      <c r="N126" s="609"/>
      <c r="O126" s="656"/>
    </row>
    <row r="127" ht="24.75" customHeight="1">
      <c r="A127" s="57"/>
      <c r="B127" s="58"/>
      <c r="C127" s="58"/>
      <c r="D127" s="58"/>
      <c r="E127" s="551" t="s">
        <v>317</v>
      </c>
      <c r="F127" s="551" t="s">
        <v>25</v>
      </c>
      <c r="G127" s="582">
        <v>120.0</v>
      </c>
      <c r="H127" s="553">
        <v>1.0</v>
      </c>
      <c r="I127" s="658">
        <v>165.75</v>
      </c>
      <c r="J127" s="582">
        <f t="shared" si="7"/>
        <v>120</v>
      </c>
      <c r="K127" s="58"/>
      <c r="L127" s="58"/>
      <c r="M127" s="58"/>
      <c r="N127" s="58"/>
      <c r="O127" s="58"/>
    </row>
    <row r="128" ht="24.75" customHeight="1">
      <c r="A128" s="585">
        <v>46189.0</v>
      </c>
      <c r="B128" s="567" t="s">
        <v>45</v>
      </c>
      <c r="C128" s="79">
        <v>610.0</v>
      </c>
      <c r="D128" s="622"/>
      <c r="E128" s="560" t="s">
        <v>317</v>
      </c>
      <c r="F128" s="560" t="s">
        <v>318</v>
      </c>
      <c r="G128" s="584">
        <v>100.0</v>
      </c>
      <c r="H128" s="561">
        <v>20.0</v>
      </c>
      <c r="I128" s="586"/>
      <c r="J128" s="584">
        <f t="shared" si="7"/>
        <v>2000</v>
      </c>
      <c r="K128" s="587" t="s">
        <v>368</v>
      </c>
      <c r="L128" s="621" t="s">
        <v>370</v>
      </c>
      <c r="M128" s="609">
        <v>21.0</v>
      </c>
      <c r="N128" s="609"/>
      <c r="O128" s="656"/>
    </row>
    <row r="129" ht="24.75" customHeight="1">
      <c r="A129" s="57"/>
      <c r="B129" s="58"/>
      <c r="C129" s="58"/>
      <c r="D129" s="58"/>
      <c r="E129" s="551" t="s">
        <v>317</v>
      </c>
      <c r="F129" s="551" t="s">
        <v>25</v>
      </c>
      <c r="G129" s="582">
        <v>120.0</v>
      </c>
      <c r="H129" s="553">
        <v>1.0</v>
      </c>
      <c r="I129" s="58"/>
      <c r="J129" s="582">
        <v>120.0</v>
      </c>
      <c r="K129" s="58"/>
      <c r="L129" s="58"/>
      <c r="M129" s="58"/>
      <c r="N129" s="58"/>
      <c r="O129" s="58"/>
    </row>
    <row r="130" ht="24.75" customHeight="1">
      <c r="A130" s="585">
        <v>46189.0</v>
      </c>
      <c r="B130" s="567" t="s">
        <v>45</v>
      </c>
      <c r="C130" s="79">
        <v>614.0</v>
      </c>
      <c r="D130" s="622"/>
      <c r="E130" s="560" t="s">
        <v>317</v>
      </c>
      <c r="F130" s="560" t="s">
        <v>318</v>
      </c>
      <c r="G130" s="584">
        <v>100.0</v>
      </c>
      <c r="H130" s="561">
        <v>17.0</v>
      </c>
      <c r="I130" s="586"/>
      <c r="J130" s="584">
        <f t="shared" ref="J130:J131" si="8">G130*H130</f>
        <v>1700</v>
      </c>
      <c r="K130" s="587" t="s">
        <v>356</v>
      </c>
      <c r="L130" s="621" t="s">
        <v>375</v>
      </c>
      <c r="M130" s="609">
        <v>18.0</v>
      </c>
      <c r="N130" s="609">
        <f>M130*30</f>
        <v>540</v>
      </c>
      <c r="O130" s="656">
        <f>J130+J131+N130</f>
        <v>2360</v>
      </c>
    </row>
    <row r="131" ht="24.75" customHeight="1">
      <c r="A131" s="57"/>
      <c r="B131" s="58"/>
      <c r="C131" s="58"/>
      <c r="D131" s="58"/>
      <c r="E131" s="551" t="s">
        <v>317</v>
      </c>
      <c r="F131" s="551" t="s">
        <v>25</v>
      </c>
      <c r="G131" s="582">
        <v>120.0</v>
      </c>
      <c r="H131" s="553">
        <v>1.0</v>
      </c>
      <c r="I131" s="58"/>
      <c r="J131" s="582">
        <f t="shared" si="8"/>
        <v>120</v>
      </c>
      <c r="K131" s="58"/>
      <c r="L131" s="58"/>
      <c r="M131" s="58"/>
      <c r="N131" s="58"/>
      <c r="O131" s="58"/>
    </row>
    <row r="132" ht="24.75" customHeight="1">
      <c r="A132" s="585">
        <v>46190.0</v>
      </c>
      <c r="B132" s="567" t="s">
        <v>45</v>
      </c>
      <c r="C132" s="384">
        <v>616.0</v>
      </c>
      <c r="D132" s="641"/>
      <c r="E132" s="560" t="s">
        <v>317</v>
      </c>
      <c r="F132" s="560" t="s">
        <v>318</v>
      </c>
      <c r="G132" s="584">
        <v>100.0</v>
      </c>
      <c r="H132" s="561">
        <v>20.0</v>
      </c>
      <c r="I132" s="602"/>
      <c r="J132" s="584">
        <v>2000.0</v>
      </c>
      <c r="K132" s="587" t="s">
        <v>368</v>
      </c>
      <c r="L132" s="621" t="s">
        <v>370</v>
      </c>
      <c r="M132" s="609">
        <v>21.0</v>
      </c>
      <c r="N132" s="609"/>
      <c r="O132" s="656"/>
    </row>
    <row r="133" ht="24.75" customHeight="1">
      <c r="A133" s="57"/>
      <c r="B133" s="58"/>
      <c r="C133" s="661"/>
      <c r="D133" s="645"/>
      <c r="E133" s="551" t="s">
        <v>317</v>
      </c>
      <c r="F133" s="551" t="s">
        <v>25</v>
      </c>
      <c r="G133" s="582">
        <v>120.0</v>
      </c>
      <c r="H133" s="553">
        <v>1.0</v>
      </c>
      <c r="I133" s="662"/>
      <c r="J133" s="582">
        <v>120.0</v>
      </c>
      <c r="K133" s="58"/>
      <c r="L133" s="58"/>
      <c r="M133" s="58"/>
      <c r="N133" s="58"/>
      <c r="O133" s="58"/>
    </row>
    <row r="134" ht="24.75" customHeight="1">
      <c r="A134" s="585">
        <v>46190.0</v>
      </c>
      <c r="B134" s="567" t="s">
        <v>45</v>
      </c>
      <c r="C134" s="384">
        <v>617.0</v>
      </c>
      <c r="D134" s="641"/>
      <c r="E134" s="560" t="s">
        <v>317</v>
      </c>
      <c r="F134" s="560" t="s">
        <v>318</v>
      </c>
      <c r="G134" s="584">
        <v>100.0</v>
      </c>
      <c r="H134" s="561">
        <v>17.0</v>
      </c>
      <c r="I134" s="602"/>
      <c r="J134" s="584">
        <v>1700.0</v>
      </c>
      <c r="K134" s="587" t="s">
        <v>356</v>
      </c>
      <c r="L134" s="621" t="s">
        <v>375</v>
      </c>
      <c r="M134" s="609">
        <v>18.0</v>
      </c>
      <c r="N134" s="609">
        <v>540.0</v>
      </c>
      <c r="O134" s="656">
        <v>2360.0</v>
      </c>
    </row>
    <row r="135" ht="24.75" customHeight="1">
      <c r="A135" s="57"/>
      <c r="B135" s="58"/>
      <c r="C135" s="661"/>
      <c r="D135" s="645"/>
      <c r="E135" s="551" t="s">
        <v>317</v>
      </c>
      <c r="F135" s="551" t="s">
        <v>25</v>
      </c>
      <c r="G135" s="582">
        <v>120.0</v>
      </c>
      <c r="H135" s="553">
        <v>1.0</v>
      </c>
      <c r="I135" s="662"/>
      <c r="J135" s="582">
        <v>120.0</v>
      </c>
      <c r="K135" s="58"/>
      <c r="L135" s="58"/>
      <c r="M135" s="58"/>
      <c r="N135" s="58"/>
      <c r="O135" s="58"/>
    </row>
    <row r="136" ht="24.75" customHeight="1">
      <c r="A136" s="585">
        <v>46191.0</v>
      </c>
      <c r="B136" s="567" t="s">
        <v>45</v>
      </c>
      <c r="C136" s="384">
        <v>618.0</v>
      </c>
      <c r="D136" s="641"/>
      <c r="E136" s="560" t="s">
        <v>317</v>
      </c>
      <c r="F136" s="560" t="s">
        <v>318</v>
      </c>
      <c r="G136" s="584">
        <v>100.0</v>
      </c>
      <c r="H136" s="561">
        <v>20.0</v>
      </c>
      <c r="I136" s="602"/>
      <c r="J136" s="584">
        <v>2000.0</v>
      </c>
      <c r="K136" s="587" t="s">
        <v>368</v>
      </c>
      <c r="L136" s="621" t="s">
        <v>370</v>
      </c>
      <c r="M136" s="609">
        <v>21.0</v>
      </c>
      <c r="N136" s="609"/>
      <c r="O136" s="656"/>
    </row>
    <row r="137" ht="24.75" customHeight="1">
      <c r="A137" s="58"/>
      <c r="B137" s="58"/>
      <c r="C137" s="387">
        <v>622.0</v>
      </c>
      <c r="D137" s="645"/>
      <c r="E137" s="551" t="s">
        <v>317</v>
      </c>
      <c r="F137" s="551" t="s">
        <v>25</v>
      </c>
      <c r="G137" s="582">
        <v>120.0</v>
      </c>
      <c r="H137" s="553">
        <v>1.0</v>
      </c>
      <c r="I137" s="662"/>
      <c r="J137" s="582">
        <v>120.0</v>
      </c>
      <c r="K137" s="58"/>
      <c r="L137" s="58"/>
      <c r="M137" s="58"/>
      <c r="N137" s="58"/>
      <c r="O137" s="58"/>
    </row>
    <row r="138" ht="24.75" customHeight="1">
      <c r="A138" s="585">
        <v>46191.0</v>
      </c>
      <c r="B138" s="567" t="s">
        <v>45</v>
      </c>
      <c r="C138" s="79">
        <v>617.0</v>
      </c>
      <c r="D138" s="622"/>
      <c r="E138" s="560" t="s">
        <v>317</v>
      </c>
      <c r="F138" s="560" t="s">
        <v>318</v>
      </c>
      <c r="G138" s="584">
        <v>100.0</v>
      </c>
      <c r="H138" s="561">
        <v>20.0</v>
      </c>
      <c r="I138" s="602"/>
      <c r="J138" s="584">
        <f t="shared" ref="J138:J149" si="9">G138*H138</f>
        <v>2000</v>
      </c>
      <c r="K138" s="587" t="s">
        <v>356</v>
      </c>
      <c r="L138" s="621" t="s">
        <v>375</v>
      </c>
      <c r="M138" s="609">
        <v>21.0</v>
      </c>
      <c r="N138" s="609">
        <f>M138*30</f>
        <v>630</v>
      </c>
      <c r="O138" s="656">
        <f>J138+J139+N138</f>
        <v>2750</v>
      </c>
    </row>
    <row r="139" ht="24.75" customHeight="1">
      <c r="A139" s="58"/>
      <c r="B139" s="58"/>
      <c r="C139" s="657">
        <v>619.0</v>
      </c>
      <c r="D139" s="58"/>
      <c r="E139" s="551" t="s">
        <v>317</v>
      </c>
      <c r="F139" s="551" t="s">
        <v>25</v>
      </c>
      <c r="G139" s="582">
        <v>120.0</v>
      </c>
      <c r="H139" s="553">
        <v>1.0</v>
      </c>
      <c r="I139" s="662"/>
      <c r="J139" s="582">
        <f t="shared" si="9"/>
        <v>120</v>
      </c>
      <c r="K139" s="58"/>
      <c r="L139" s="58"/>
      <c r="M139" s="58"/>
      <c r="N139" s="58"/>
      <c r="O139" s="58"/>
    </row>
    <row r="140" ht="24.75" customHeight="1">
      <c r="A140" s="585">
        <v>46192.0</v>
      </c>
      <c r="B140" s="567" t="s">
        <v>45</v>
      </c>
      <c r="C140" s="79">
        <v>618.0</v>
      </c>
      <c r="D140" s="641"/>
      <c r="E140" s="560" t="s">
        <v>317</v>
      </c>
      <c r="F140" s="560" t="s">
        <v>318</v>
      </c>
      <c r="G140" s="584">
        <v>100.0</v>
      </c>
      <c r="H140" s="561">
        <v>20.0</v>
      </c>
      <c r="I140" s="602"/>
      <c r="J140" s="584">
        <f t="shared" si="9"/>
        <v>2000</v>
      </c>
      <c r="K140" s="587" t="s">
        <v>368</v>
      </c>
      <c r="L140" s="621" t="s">
        <v>370</v>
      </c>
      <c r="M140" s="609">
        <v>21.0</v>
      </c>
      <c r="N140" s="609"/>
      <c r="O140" s="588"/>
    </row>
    <row r="141" ht="24.75" customHeight="1">
      <c r="A141" s="58"/>
      <c r="B141" s="58"/>
      <c r="C141" s="58"/>
      <c r="D141" s="645"/>
      <c r="E141" s="551" t="s">
        <v>317</v>
      </c>
      <c r="F141" s="551" t="s">
        <v>25</v>
      </c>
      <c r="G141" s="582">
        <v>120.0</v>
      </c>
      <c r="H141" s="553">
        <v>1.0</v>
      </c>
      <c r="I141" s="662"/>
      <c r="J141" s="582">
        <f t="shared" si="9"/>
        <v>120</v>
      </c>
      <c r="K141" s="58"/>
      <c r="L141" s="58"/>
      <c r="M141" s="58"/>
      <c r="N141" s="58"/>
      <c r="O141" s="58"/>
    </row>
    <row r="142" ht="24.75" customHeight="1">
      <c r="A142" s="585">
        <v>46192.0</v>
      </c>
      <c r="B142" s="567" t="s">
        <v>45</v>
      </c>
      <c r="C142" s="79">
        <v>619.0</v>
      </c>
      <c r="D142" s="641"/>
      <c r="E142" s="560" t="s">
        <v>317</v>
      </c>
      <c r="F142" s="560" t="s">
        <v>318</v>
      </c>
      <c r="G142" s="584">
        <v>100.0</v>
      </c>
      <c r="H142" s="561">
        <v>19.0</v>
      </c>
      <c r="I142" s="602"/>
      <c r="J142" s="584">
        <f t="shared" si="9"/>
        <v>1900</v>
      </c>
      <c r="K142" s="587" t="s">
        <v>356</v>
      </c>
      <c r="L142" s="621" t="s">
        <v>375</v>
      </c>
      <c r="M142" s="609">
        <v>20.0</v>
      </c>
      <c r="N142" s="609">
        <f>M142*30</f>
        <v>600</v>
      </c>
      <c r="O142" s="588">
        <f>J142+J143+N142</f>
        <v>2620</v>
      </c>
    </row>
    <row r="143" ht="24.75" customHeight="1">
      <c r="A143" s="58"/>
      <c r="B143" s="58"/>
      <c r="C143" s="58"/>
      <c r="D143" s="645"/>
      <c r="E143" s="551" t="s">
        <v>317</v>
      </c>
      <c r="F143" s="551" t="s">
        <v>25</v>
      </c>
      <c r="G143" s="582">
        <v>120.0</v>
      </c>
      <c r="H143" s="553">
        <v>1.0</v>
      </c>
      <c r="I143" s="662"/>
      <c r="J143" s="582">
        <f t="shared" si="9"/>
        <v>120</v>
      </c>
      <c r="K143" s="58"/>
      <c r="L143" s="58"/>
      <c r="M143" s="58"/>
      <c r="N143" s="58"/>
      <c r="O143" s="58"/>
    </row>
    <row r="144" ht="24.75" customHeight="1">
      <c r="A144" s="585">
        <v>46193.0</v>
      </c>
      <c r="B144" s="567" t="s">
        <v>45</v>
      </c>
      <c r="C144" s="79">
        <v>619.0</v>
      </c>
      <c r="D144" s="641"/>
      <c r="E144" s="656" t="s">
        <v>317</v>
      </c>
      <c r="F144" s="560" t="s">
        <v>318</v>
      </c>
      <c r="G144" s="584">
        <v>100.0</v>
      </c>
      <c r="H144" s="561">
        <v>20.0</v>
      </c>
      <c r="I144" s="602"/>
      <c r="J144" s="584">
        <f t="shared" si="9"/>
        <v>2000</v>
      </c>
      <c r="K144" s="587" t="s">
        <v>356</v>
      </c>
      <c r="L144" s="621" t="s">
        <v>375</v>
      </c>
      <c r="M144" s="609">
        <v>21.0</v>
      </c>
      <c r="N144" s="609">
        <f>M144*30</f>
        <v>630</v>
      </c>
      <c r="O144" s="588">
        <f>J144+J145+N144</f>
        <v>2750</v>
      </c>
    </row>
    <row r="145" ht="24.75" customHeight="1">
      <c r="A145" s="58"/>
      <c r="B145" s="58"/>
      <c r="C145" s="657">
        <v>621.0</v>
      </c>
      <c r="D145" s="645"/>
      <c r="E145" s="58"/>
      <c r="F145" s="551" t="s">
        <v>25</v>
      </c>
      <c r="G145" s="582">
        <v>120.0</v>
      </c>
      <c r="H145" s="553">
        <v>1.0</v>
      </c>
      <c r="I145" s="662"/>
      <c r="J145" s="582">
        <f t="shared" si="9"/>
        <v>120</v>
      </c>
      <c r="K145" s="58"/>
      <c r="L145" s="58"/>
      <c r="M145" s="58"/>
      <c r="N145" s="58"/>
      <c r="O145" s="58"/>
    </row>
    <row r="146" ht="24.75" customHeight="1">
      <c r="A146" s="666">
        <v>46193.0</v>
      </c>
      <c r="B146" s="173" t="s">
        <v>45</v>
      </c>
      <c r="C146" s="128">
        <v>614.0</v>
      </c>
      <c r="D146" s="115"/>
      <c r="E146" s="667" t="s">
        <v>317</v>
      </c>
      <c r="F146" s="667" t="s">
        <v>318</v>
      </c>
      <c r="G146" s="668">
        <v>100.0</v>
      </c>
      <c r="H146" s="669">
        <v>20.0</v>
      </c>
      <c r="I146" s="670"/>
      <c r="J146" s="668">
        <f t="shared" si="9"/>
        <v>2000</v>
      </c>
      <c r="K146" s="587" t="s">
        <v>368</v>
      </c>
      <c r="L146" s="621" t="s">
        <v>370</v>
      </c>
      <c r="M146" s="671">
        <v>21.0</v>
      </c>
      <c r="N146" s="672"/>
      <c r="O146" s="673"/>
    </row>
    <row r="147" ht="24.75" customHeight="1">
      <c r="A147" s="58"/>
      <c r="B147" s="58"/>
      <c r="C147" s="674">
        <v>620.0</v>
      </c>
      <c r="D147" s="124"/>
      <c r="E147" s="675" t="s">
        <v>317</v>
      </c>
      <c r="F147" s="675" t="s">
        <v>25</v>
      </c>
      <c r="G147" s="676">
        <v>120.0</v>
      </c>
      <c r="H147" s="677">
        <v>1.0</v>
      </c>
      <c r="I147" s="678"/>
      <c r="J147" s="676">
        <f t="shared" si="9"/>
        <v>120</v>
      </c>
      <c r="K147" s="58"/>
      <c r="L147" s="58"/>
      <c r="M147" s="58"/>
      <c r="N147" s="58"/>
      <c r="O147" s="58"/>
    </row>
    <row r="148" ht="24.75" customHeight="1">
      <c r="A148" s="585">
        <v>46195.0</v>
      </c>
      <c r="B148" s="567" t="s">
        <v>45</v>
      </c>
      <c r="C148" s="79">
        <v>621.0</v>
      </c>
      <c r="D148" s="641"/>
      <c r="E148" s="560" t="s">
        <v>317</v>
      </c>
      <c r="F148" s="560" t="s">
        <v>318</v>
      </c>
      <c r="G148" s="584">
        <v>100.0</v>
      </c>
      <c r="H148" s="561">
        <v>18.0</v>
      </c>
      <c r="I148" s="602"/>
      <c r="J148" s="584">
        <f t="shared" si="9"/>
        <v>1800</v>
      </c>
      <c r="K148" s="587" t="s">
        <v>356</v>
      </c>
      <c r="L148" s="621" t="s">
        <v>375</v>
      </c>
      <c r="M148" s="609">
        <v>19.0</v>
      </c>
      <c r="N148" s="609">
        <f>M148*30</f>
        <v>570</v>
      </c>
      <c r="O148" s="588">
        <f>J148+J149+N148</f>
        <v>2490</v>
      </c>
    </row>
    <row r="149" ht="24.75" customHeight="1">
      <c r="A149" s="58"/>
      <c r="B149" s="58"/>
      <c r="C149" s="657">
        <v>624.0</v>
      </c>
      <c r="D149" s="645"/>
      <c r="E149" s="551" t="s">
        <v>317</v>
      </c>
      <c r="F149" s="551" t="s">
        <v>25</v>
      </c>
      <c r="G149" s="582">
        <v>120.0</v>
      </c>
      <c r="H149" s="553">
        <v>1.0</v>
      </c>
      <c r="I149" s="662"/>
      <c r="J149" s="582">
        <f t="shared" si="9"/>
        <v>120</v>
      </c>
      <c r="K149" s="58"/>
      <c r="L149" s="58"/>
      <c r="M149" s="58"/>
      <c r="N149" s="58"/>
      <c r="O149" s="58"/>
    </row>
    <row r="150" ht="24.75" customHeight="1">
      <c r="A150" s="585">
        <v>46195.0</v>
      </c>
      <c r="B150" s="567" t="s">
        <v>45</v>
      </c>
      <c r="C150" s="79">
        <v>620.0</v>
      </c>
      <c r="D150" s="679"/>
      <c r="E150" s="680" t="s">
        <v>317</v>
      </c>
      <c r="F150" s="680" t="s">
        <v>318</v>
      </c>
      <c r="G150" s="681">
        <v>100.0</v>
      </c>
      <c r="H150" s="561">
        <v>20.0</v>
      </c>
      <c r="I150" s="682"/>
      <c r="J150" s="681">
        <v>2000.0</v>
      </c>
      <c r="K150" s="587" t="s">
        <v>368</v>
      </c>
      <c r="L150" s="621" t="s">
        <v>370</v>
      </c>
      <c r="M150" s="609">
        <v>21.0</v>
      </c>
      <c r="N150" s="683"/>
      <c r="O150" s="684"/>
    </row>
    <row r="151" ht="24.75" customHeight="1">
      <c r="A151" s="58"/>
      <c r="B151" s="58"/>
      <c r="C151" s="657">
        <v>604.0</v>
      </c>
      <c r="D151" s="679"/>
      <c r="E151" s="685" t="s">
        <v>317</v>
      </c>
      <c r="F151" s="685" t="s">
        <v>25</v>
      </c>
      <c r="G151" s="686">
        <v>120.0</v>
      </c>
      <c r="H151" s="687">
        <v>1.0</v>
      </c>
      <c r="I151" s="688"/>
      <c r="J151" s="686">
        <v>120.0</v>
      </c>
      <c r="K151" s="58"/>
      <c r="L151" s="58"/>
      <c r="M151" s="58"/>
      <c r="N151" s="58"/>
      <c r="O151" s="58"/>
    </row>
    <row r="152" ht="24.75" customHeight="1">
      <c r="A152" s="585">
        <v>46196.0</v>
      </c>
      <c r="B152" s="567" t="s">
        <v>45</v>
      </c>
      <c r="C152" s="79">
        <v>601.0</v>
      </c>
      <c r="D152" s="641"/>
      <c r="E152" s="560" t="s">
        <v>317</v>
      </c>
      <c r="F152" s="560" t="s">
        <v>318</v>
      </c>
      <c r="G152" s="584">
        <v>100.0</v>
      </c>
      <c r="H152" s="561">
        <v>17.0</v>
      </c>
      <c r="I152" s="602"/>
      <c r="J152" s="584">
        <f t="shared" ref="J152:J153" si="10">G152*H152</f>
        <v>1700</v>
      </c>
      <c r="K152" s="587" t="s">
        <v>356</v>
      </c>
      <c r="L152" s="621" t="s">
        <v>375</v>
      </c>
      <c r="M152" s="609">
        <v>18.0</v>
      </c>
      <c r="N152" s="609">
        <f>M152*30</f>
        <v>540</v>
      </c>
      <c r="O152" s="588">
        <f>J152+J153+N152</f>
        <v>2360</v>
      </c>
    </row>
    <row r="153" ht="24.75" customHeight="1">
      <c r="A153" s="58"/>
      <c r="B153" s="58"/>
      <c r="C153" s="58"/>
      <c r="D153" s="645"/>
      <c r="E153" s="551" t="s">
        <v>317</v>
      </c>
      <c r="F153" s="551" t="s">
        <v>25</v>
      </c>
      <c r="G153" s="582">
        <v>120.0</v>
      </c>
      <c r="H153" s="553">
        <v>1.0</v>
      </c>
      <c r="I153" s="662"/>
      <c r="J153" s="582">
        <f t="shared" si="10"/>
        <v>120</v>
      </c>
      <c r="K153" s="58"/>
      <c r="L153" s="58"/>
      <c r="M153" s="58"/>
      <c r="N153" s="58"/>
      <c r="O153" s="58"/>
    </row>
    <row r="154" ht="24.75" customHeight="1">
      <c r="A154" s="585">
        <v>46196.0</v>
      </c>
      <c r="B154" s="567" t="s">
        <v>45</v>
      </c>
      <c r="C154" s="79">
        <v>615.0</v>
      </c>
      <c r="D154" s="679"/>
      <c r="E154" s="680" t="s">
        <v>317</v>
      </c>
      <c r="F154" s="680" t="s">
        <v>318</v>
      </c>
      <c r="G154" s="681">
        <v>100.0</v>
      </c>
      <c r="H154" s="561">
        <v>20.0</v>
      </c>
      <c r="I154" s="682"/>
      <c r="J154" s="681">
        <v>2000.0</v>
      </c>
      <c r="K154" s="587" t="s">
        <v>368</v>
      </c>
      <c r="L154" s="621" t="s">
        <v>370</v>
      </c>
      <c r="M154" s="609">
        <v>21.0</v>
      </c>
      <c r="N154" s="609"/>
      <c r="O154" s="588"/>
    </row>
    <row r="155" ht="24.75" customHeight="1">
      <c r="A155" s="58"/>
      <c r="B155" s="58"/>
      <c r="C155" s="657">
        <v>602.0</v>
      </c>
      <c r="D155" s="679"/>
      <c r="E155" s="685" t="s">
        <v>317</v>
      </c>
      <c r="F155" s="685" t="s">
        <v>25</v>
      </c>
      <c r="G155" s="686">
        <v>120.0</v>
      </c>
      <c r="H155" s="687">
        <v>1.0</v>
      </c>
      <c r="I155" s="688"/>
      <c r="J155" s="686">
        <v>120.0</v>
      </c>
      <c r="K155" s="58"/>
      <c r="L155" s="58"/>
      <c r="M155" s="58"/>
      <c r="N155" s="58"/>
      <c r="O155" s="58"/>
    </row>
    <row r="156" ht="24.75" customHeight="1">
      <c r="A156" s="585">
        <v>46197.0</v>
      </c>
      <c r="B156" s="567" t="s">
        <v>45</v>
      </c>
      <c r="C156" s="79">
        <v>601.0</v>
      </c>
      <c r="D156" s="641"/>
      <c r="E156" s="560" t="s">
        <v>317</v>
      </c>
      <c r="F156" s="560" t="s">
        <v>318</v>
      </c>
      <c r="G156" s="584">
        <v>100.0</v>
      </c>
      <c r="H156" s="561">
        <v>18.0</v>
      </c>
      <c r="I156" s="602"/>
      <c r="J156" s="584">
        <f t="shared" ref="J156:J186" si="11">G156*H156</f>
        <v>1800</v>
      </c>
      <c r="K156" s="587" t="s">
        <v>356</v>
      </c>
      <c r="L156" s="621" t="s">
        <v>375</v>
      </c>
      <c r="M156" s="609">
        <v>19.0</v>
      </c>
      <c r="N156" s="609">
        <f>M156*30</f>
        <v>570</v>
      </c>
      <c r="O156" s="588">
        <f>J156+J157+N156</f>
        <v>2490</v>
      </c>
    </row>
    <row r="157" ht="24.75" customHeight="1">
      <c r="A157" s="58"/>
      <c r="B157" s="58"/>
      <c r="C157" s="58"/>
      <c r="D157" s="645"/>
      <c r="E157" s="551" t="s">
        <v>317</v>
      </c>
      <c r="F157" s="551" t="s">
        <v>25</v>
      </c>
      <c r="G157" s="582">
        <v>120.0</v>
      </c>
      <c r="H157" s="553">
        <v>1.0</v>
      </c>
      <c r="I157" s="662"/>
      <c r="J157" s="582">
        <f t="shared" si="11"/>
        <v>120</v>
      </c>
      <c r="K157" s="58"/>
      <c r="L157" s="58"/>
      <c r="M157" s="58"/>
      <c r="N157" s="58"/>
      <c r="O157" s="58"/>
    </row>
    <row r="158" ht="24.75" customHeight="1">
      <c r="A158" s="585">
        <v>46197.0</v>
      </c>
      <c r="B158" s="567" t="s">
        <v>45</v>
      </c>
      <c r="C158" s="79">
        <v>602.0</v>
      </c>
      <c r="D158" s="679"/>
      <c r="E158" s="680" t="s">
        <v>317</v>
      </c>
      <c r="F158" s="680" t="s">
        <v>318</v>
      </c>
      <c r="G158" s="681">
        <v>100.0</v>
      </c>
      <c r="H158" s="561">
        <v>20.0</v>
      </c>
      <c r="I158" s="682"/>
      <c r="J158" s="584">
        <f t="shared" si="11"/>
        <v>2000</v>
      </c>
      <c r="K158" s="587" t="s">
        <v>368</v>
      </c>
      <c r="L158" s="621" t="s">
        <v>370</v>
      </c>
      <c r="M158" s="609">
        <v>21.0</v>
      </c>
      <c r="N158" s="609"/>
      <c r="O158" s="588"/>
    </row>
    <row r="159" ht="24.75" customHeight="1">
      <c r="A159" s="58"/>
      <c r="B159" s="58"/>
      <c r="C159" s="58"/>
      <c r="D159" s="679"/>
      <c r="E159" s="685" t="s">
        <v>317</v>
      </c>
      <c r="F159" s="685" t="s">
        <v>25</v>
      </c>
      <c r="G159" s="686">
        <v>120.0</v>
      </c>
      <c r="H159" s="687">
        <v>1.0</v>
      </c>
      <c r="I159" s="688"/>
      <c r="J159" s="582">
        <f t="shared" si="11"/>
        <v>120</v>
      </c>
      <c r="K159" s="58"/>
      <c r="L159" s="58"/>
      <c r="M159" s="58"/>
      <c r="N159" s="58"/>
      <c r="O159" s="58"/>
    </row>
    <row r="160" ht="24.75" customHeight="1">
      <c r="A160" s="585">
        <v>46198.0</v>
      </c>
      <c r="B160" s="567" t="s">
        <v>45</v>
      </c>
      <c r="C160" s="79">
        <v>601.0</v>
      </c>
      <c r="D160" s="641"/>
      <c r="E160" s="560" t="s">
        <v>317</v>
      </c>
      <c r="F160" s="560" t="s">
        <v>318</v>
      </c>
      <c r="G160" s="584">
        <v>100.0</v>
      </c>
      <c r="H160" s="561">
        <v>19.0</v>
      </c>
      <c r="I160" s="602"/>
      <c r="J160" s="584">
        <f t="shared" si="11"/>
        <v>1900</v>
      </c>
      <c r="K160" s="587" t="s">
        <v>356</v>
      </c>
      <c r="L160" s="621" t="s">
        <v>375</v>
      </c>
      <c r="M160" s="609">
        <v>20.0</v>
      </c>
      <c r="N160" s="609">
        <f>M160*30</f>
        <v>600</v>
      </c>
      <c r="O160" s="588">
        <f>J160+J161+N160</f>
        <v>2620</v>
      </c>
    </row>
    <row r="161" ht="24.75" customHeight="1">
      <c r="A161" s="58"/>
      <c r="B161" s="58"/>
      <c r="C161" s="657">
        <v>605.0</v>
      </c>
      <c r="D161" s="645"/>
      <c r="E161" s="551" t="s">
        <v>317</v>
      </c>
      <c r="F161" s="551" t="s">
        <v>25</v>
      </c>
      <c r="G161" s="582">
        <v>120.0</v>
      </c>
      <c r="H161" s="553">
        <v>1.0</v>
      </c>
      <c r="I161" s="662"/>
      <c r="J161" s="582">
        <f t="shared" si="11"/>
        <v>120</v>
      </c>
      <c r="K161" s="58"/>
      <c r="L161" s="58"/>
      <c r="M161" s="58"/>
      <c r="N161" s="58"/>
      <c r="O161" s="58"/>
    </row>
    <row r="162" ht="24.75" customHeight="1">
      <c r="A162" s="585">
        <v>46198.0</v>
      </c>
      <c r="B162" s="567" t="s">
        <v>45</v>
      </c>
      <c r="C162" s="79">
        <v>602.0</v>
      </c>
      <c r="D162" s="679"/>
      <c r="E162" s="680" t="s">
        <v>317</v>
      </c>
      <c r="F162" s="680" t="s">
        <v>318</v>
      </c>
      <c r="G162" s="681">
        <v>100.0</v>
      </c>
      <c r="H162" s="561">
        <v>20.0</v>
      </c>
      <c r="I162" s="682"/>
      <c r="J162" s="584">
        <f t="shared" si="11"/>
        <v>2000</v>
      </c>
      <c r="K162" s="587" t="s">
        <v>368</v>
      </c>
      <c r="L162" s="621" t="s">
        <v>370</v>
      </c>
      <c r="M162" s="609">
        <v>21.0</v>
      </c>
      <c r="N162" s="609"/>
      <c r="O162" s="588"/>
    </row>
    <row r="163" ht="24.75" customHeight="1">
      <c r="A163" s="58"/>
      <c r="B163" s="58"/>
      <c r="C163" s="657">
        <v>606.0</v>
      </c>
      <c r="D163" s="679"/>
      <c r="E163" s="685" t="s">
        <v>317</v>
      </c>
      <c r="F163" s="685" t="s">
        <v>25</v>
      </c>
      <c r="G163" s="686">
        <v>120.0</v>
      </c>
      <c r="H163" s="687">
        <v>1.0</v>
      </c>
      <c r="I163" s="688"/>
      <c r="J163" s="582">
        <f t="shared" si="11"/>
        <v>120</v>
      </c>
      <c r="K163" s="58"/>
      <c r="L163" s="58"/>
      <c r="M163" s="58"/>
      <c r="N163" s="58"/>
      <c r="O163" s="58"/>
    </row>
    <row r="164" ht="24.75" customHeight="1">
      <c r="A164" s="585">
        <v>46199.0</v>
      </c>
      <c r="B164" s="567" t="s">
        <v>45</v>
      </c>
      <c r="C164" s="79">
        <v>605.0</v>
      </c>
      <c r="D164" s="641"/>
      <c r="E164" s="560" t="s">
        <v>317</v>
      </c>
      <c r="F164" s="560" t="s">
        <v>318</v>
      </c>
      <c r="G164" s="584">
        <v>100.0</v>
      </c>
      <c r="H164" s="561">
        <v>17.0</v>
      </c>
      <c r="I164" s="602"/>
      <c r="J164" s="584">
        <f t="shared" si="11"/>
        <v>1700</v>
      </c>
      <c r="K164" s="587" t="s">
        <v>356</v>
      </c>
      <c r="L164" s="621" t="s">
        <v>375</v>
      </c>
      <c r="M164" s="609">
        <v>18.0</v>
      </c>
      <c r="N164" s="609">
        <f>M164*30</f>
        <v>540</v>
      </c>
      <c r="O164" s="588">
        <f>J164+J165+N164</f>
        <v>2360</v>
      </c>
    </row>
    <row r="165" ht="24.75" customHeight="1">
      <c r="A165" s="58"/>
      <c r="B165" s="58"/>
      <c r="C165" s="58"/>
      <c r="D165" s="645"/>
      <c r="E165" s="551" t="s">
        <v>317</v>
      </c>
      <c r="F165" s="551" t="s">
        <v>25</v>
      </c>
      <c r="G165" s="582">
        <v>120.0</v>
      </c>
      <c r="H165" s="553">
        <v>1.0</v>
      </c>
      <c r="I165" s="662"/>
      <c r="J165" s="582">
        <f t="shared" si="11"/>
        <v>120</v>
      </c>
      <c r="K165" s="58"/>
      <c r="L165" s="58"/>
      <c r="M165" s="58"/>
      <c r="N165" s="58"/>
      <c r="O165" s="58"/>
    </row>
    <row r="166" ht="24.75" customHeight="1">
      <c r="A166" s="585">
        <v>46199.0</v>
      </c>
      <c r="B166" s="567" t="s">
        <v>45</v>
      </c>
      <c r="C166" s="79">
        <v>606.0</v>
      </c>
      <c r="D166" s="679"/>
      <c r="E166" s="680" t="s">
        <v>317</v>
      </c>
      <c r="F166" s="680" t="s">
        <v>318</v>
      </c>
      <c r="G166" s="681">
        <v>100.0</v>
      </c>
      <c r="H166" s="561">
        <v>20.0</v>
      </c>
      <c r="I166" s="682"/>
      <c r="J166" s="584">
        <f t="shared" si="11"/>
        <v>2000</v>
      </c>
      <c r="K166" s="587" t="s">
        <v>368</v>
      </c>
      <c r="L166" s="621" t="s">
        <v>370</v>
      </c>
      <c r="M166" s="609">
        <v>21.0</v>
      </c>
      <c r="N166" s="609"/>
      <c r="O166" s="588"/>
    </row>
    <row r="167" ht="24.75" customHeight="1">
      <c r="A167" s="58"/>
      <c r="B167" s="58"/>
      <c r="C167" s="58"/>
      <c r="D167" s="679"/>
      <c r="E167" s="685" t="s">
        <v>317</v>
      </c>
      <c r="F167" s="685" t="s">
        <v>25</v>
      </c>
      <c r="G167" s="686">
        <v>120.0</v>
      </c>
      <c r="H167" s="687">
        <v>1.0</v>
      </c>
      <c r="I167" s="688"/>
      <c r="J167" s="582">
        <f t="shared" si="11"/>
        <v>120</v>
      </c>
      <c r="K167" s="58"/>
      <c r="L167" s="58"/>
      <c r="M167" s="58"/>
      <c r="N167" s="58"/>
      <c r="O167" s="58"/>
    </row>
    <row r="168" ht="24.75" customHeight="1">
      <c r="A168" s="585">
        <v>46200.0</v>
      </c>
      <c r="B168" s="567" t="s">
        <v>45</v>
      </c>
      <c r="C168" s="79">
        <v>605.0</v>
      </c>
      <c r="D168" s="641"/>
      <c r="E168" s="560" t="s">
        <v>317</v>
      </c>
      <c r="F168" s="560" t="s">
        <v>318</v>
      </c>
      <c r="G168" s="584">
        <v>100.0</v>
      </c>
      <c r="H168" s="561">
        <v>18.0</v>
      </c>
      <c r="I168" s="602"/>
      <c r="J168" s="584">
        <f t="shared" si="11"/>
        <v>1800</v>
      </c>
      <c r="K168" s="587" t="s">
        <v>356</v>
      </c>
      <c r="L168" s="621" t="s">
        <v>375</v>
      </c>
      <c r="M168" s="609">
        <v>19.0</v>
      </c>
      <c r="N168" s="609">
        <f>M168*30</f>
        <v>570</v>
      </c>
      <c r="O168" s="588">
        <f>J168+J169+N168</f>
        <v>2490</v>
      </c>
    </row>
    <row r="169" ht="24.75" customHeight="1">
      <c r="A169" s="58"/>
      <c r="B169" s="58"/>
      <c r="C169" s="58"/>
      <c r="D169" s="645"/>
      <c r="E169" s="551" t="s">
        <v>317</v>
      </c>
      <c r="F169" s="551" t="s">
        <v>25</v>
      </c>
      <c r="G169" s="582">
        <v>120.0</v>
      </c>
      <c r="H169" s="553">
        <v>1.0</v>
      </c>
      <c r="I169" s="662"/>
      <c r="J169" s="582">
        <f t="shared" si="11"/>
        <v>120</v>
      </c>
      <c r="K169" s="58"/>
      <c r="L169" s="58"/>
      <c r="M169" s="58"/>
      <c r="N169" s="58"/>
      <c r="O169" s="58"/>
    </row>
    <row r="170" ht="24.75" customHeight="1">
      <c r="A170" s="585">
        <v>46200.0</v>
      </c>
      <c r="B170" s="567" t="s">
        <v>45</v>
      </c>
      <c r="C170" s="79">
        <v>603.0</v>
      </c>
      <c r="D170" s="679"/>
      <c r="E170" s="680" t="s">
        <v>317</v>
      </c>
      <c r="F170" s="680" t="s">
        <v>318</v>
      </c>
      <c r="G170" s="681">
        <v>100.0</v>
      </c>
      <c r="H170" s="561">
        <v>20.0</v>
      </c>
      <c r="I170" s="682"/>
      <c r="J170" s="584">
        <f t="shared" si="11"/>
        <v>2000</v>
      </c>
      <c r="K170" s="587" t="s">
        <v>368</v>
      </c>
      <c r="L170" s="621" t="s">
        <v>370</v>
      </c>
      <c r="M170" s="609">
        <v>21.0</v>
      </c>
      <c r="N170" s="609"/>
      <c r="O170" s="588"/>
    </row>
    <row r="171" ht="24.75" customHeight="1">
      <c r="A171" s="58"/>
      <c r="B171" s="58"/>
      <c r="C171" s="58"/>
      <c r="D171" s="679"/>
      <c r="E171" s="685" t="s">
        <v>317</v>
      </c>
      <c r="F171" s="685" t="s">
        <v>25</v>
      </c>
      <c r="G171" s="686">
        <v>120.0</v>
      </c>
      <c r="H171" s="687">
        <v>1.0</v>
      </c>
      <c r="I171" s="688"/>
      <c r="J171" s="582">
        <f t="shared" si="11"/>
        <v>120</v>
      </c>
      <c r="K171" s="58"/>
      <c r="L171" s="58"/>
      <c r="M171" s="58"/>
      <c r="N171" s="58"/>
      <c r="O171" s="58"/>
    </row>
    <row r="172" ht="24.75" customHeight="1">
      <c r="A172" s="585">
        <v>46202.0</v>
      </c>
      <c r="B172" s="567" t="s">
        <v>45</v>
      </c>
      <c r="C172" s="79">
        <v>624.0</v>
      </c>
      <c r="D172" s="641"/>
      <c r="E172" s="560" t="s">
        <v>317</v>
      </c>
      <c r="F172" s="560" t="s">
        <v>318</v>
      </c>
      <c r="G172" s="584">
        <v>100.0</v>
      </c>
      <c r="H172" s="561">
        <v>20.0</v>
      </c>
      <c r="I172" s="602"/>
      <c r="J172" s="584">
        <f t="shared" si="11"/>
        <v>2000</v>
      </c>
      <c r="K172" s="587" t="s">
        <v>356</v>
      </c>
      <c r="L172" s="621" t="s">
        <v>375</v>
      </c>
      <c r="M172" s="609">
        <v>21.0</v>
      </c>
      <c r="N172" s="609">
        <f>M172*30</f>
        <v>630</v>
      </c>
      <c r="O172" s="588">
        <f>J172+J173+N172</f>
        <v>2750</v>
      </c>
    </row>
    <row r="173" ht="24.75" customHeight="1">
      <c r="A173" s="58"/>
      <c r="B173" s="58"/>
      <c r="C173" s="58"/>
      <c r="D173" s="645"/>
      <c r="E173" s="551" t="s">
        <v>317</v>
      </c>
      <c r="F173" s="551" t="s">
        <v>25</v>
      </c>
      <c r="G173" s="582">
        <v>120.0</v>
      </c>
      <c r="H173" s="553">
        <v>1.0</v>
      </c>
      <c r="I173" s="662"/>
      <c r="J173" s="582">
        <f t="shared" si="11"/>
        <v>120</v>
      </c>
      <c r="K173" s="58"/>
      <c r="L173" s="58"/>
      <c r="M173" s="58"/>
      <c r="N173" s="58"/>
      <c r="O173" s="58"/>
    </row>
    <row r="174" ht="24.75" customHeight="1">
      <c r="A174" s="585">
        <v>46202.0</v>
      </c>
      <c r="B174" s="567" t="s">
        <v>45</v>
      </c>
      <c r="C174" s="79">
        <v>603.0</v>
      </c>
      <c r="D174" s="679"/>
      <c r="E174" s="680" t="s">
        <v>317</v>
      </c>
      <c r="F174" s="680" t="s">
        <v>318</v>
      </c>
      <c r="G174" s="681">
        <v>100.0</v>
      </c>
      <c r="H174" s="561">
        <v>20.0</v>
      </c>
      <c r="I174" s="682"/>
      <c r="J174" s="584">
        <f t="shared" si="11"/>
        <v>2000</v>
      </c>
      <c r="K174" s="587" t="s">
        <v>368</v>
      </c>
      <c r="L174" s="621" t="s">
        <v>370</v>
      </c>
      <c r="M174" s="609">
        <v>21.0</v>
      </c>
      <c r="N174" s="609"/>
      <c r="O174" s="588"/>
    </row>
    <row r="175" ht="24.75" customHeight="1">
      <c r="A175" s="58"/>
      <c r="B175" s="58"/>
      <c r="C175" s="58"/>
      <c r="D175" s="679"/>
      <c r="E175" s="685" t="s">
        <v>317</v>
      </c>
      <c r="F175" s="685" t="s">
        <v>25</v>
      </c>
      <c r="G175" s="686">
        <v>120.0</v>
      </c>
      <c r="H175" s="687">
        <v>1.0</v>
      </c>
      <c r="I175" s="688"/>
      <c r="J175" s="582">
        <f t="shared" si="11"/>
        <v>120</v>
      </c>
      <c r="K175" s="58"/>
      <c r="L175" s="58"/>
      <c r="M175" s="58"/>
      <c r="N175" s="58"/>
      <c r="O175" s="58"/>
    </row>
    <row r="176" ht="24.75" customHeight="1">
      <c r="A176" s="585">
        <v>46203.0</v>
      </c>
      <c r="B176" s="567" t="s">
        <v>45</v>
      </c>
      <c r="C176" s="79">
        <v>623.0</v>
      </c>
      <c r="D176" s="641"/>
      <c r="E176" s="560" t="s">
        <v>317</v>
      </c>
      <c r="F176" s="560" t="s">
        <v>318</v>
      </c>
      <c r="G176" s="584">
        <v>100.0</v>
      </c>
      <c r="H176" s="561">
        <v>16.0</v>
      </c>
      <c r="I176" s="602"/>
      <c r="J176" s="584">
        <f t="shared" si="11"/>
        <v>1600</v>
      </c>
      <c r="K176" s="587" t="s">
        <v>356</v>
      </c>
      <c r="L176" s="621" t="s">
        <v>375</v>
      </c>
      <c r="M176" s="609">
        <v>17.0</v>
      </c>
      <c r="N176" s="609">
        <f>M176*30</f>
        <v>510</v>
      </c>
      <c r="O176" s="588">
        <f>J176+J177+N176</f>
        <v>2230</v>
      </c>
    </row>
    <row r="177" ht="24.75" customHeight="1">
      <c r="A177" s="58"/>
      <c r="B177" s="58"/>
      <c r="C177" s="58"/>
      <c r="D177" s="641"/>
      <c r="E177" s="551" t="s">
        <v>317</v>
      </c>
      <c r="F177" s="551" t="s">
        <v>25</v>
      </c>
      <c r="G177" s="582">
        <v>120.0</v>
      </c>
      <c r="H177" s="553">
        <v>1.0</v>
      </c>
      <c r="I177" s="594"/>
      <c r="J177" s="582">
        <f t="shared" si="11"/>
        <v>120</v>
      </c>
      <c r="K177" s="58"/>
      <c r="L177" s="58"/>
      <c r="M177" s="58"/>
      <c r="N177" s="58"/>
      <c r="O177" s="58"/>
    </row>
    <row r="178" ht="24.75" customHeight="1">
      <c r="A178" s="585">
        <v>46203.0</v>
      </c>
      <c r="B178" s="567" t="s">
        <v>45</v>
      </c>
      <c r="C178" s="79">
        <v>603.0</v>
      </c>
      <c r="D178" s="641"/>
      <c r="E178" s="560" t="s">
        <v>317</v>
      </c>
      <c r="F178" s="560" t="s">
        <v>318</v>
      </c>
      <c r="G178" s="584">
        <v>100.0</v>
      </c>
      <c r="H178" s="561">
        <v>19.0</v>
      </c>
      <c r="I178" s="602"/>
      <c r="J178" s="584">
        <f t="shared" si="11"/>
        <v>1900</v>
      </c>
      <c r="K178" s="587" t="s">
        <v>368</v>
      </c>
      <c r="L178" s="621" t="s">
        <v>370</v>
      </c>
      <c r="M178" s="609">
        <v>20.0</v>
      </c>
      <c r="N178" s="609"/>
      <c r="O178" s="588"/>
    </row>
    <row r="179" ht="24.75" customHeight="1">
      <c r="A179" s="58"/>
      <c r="B179" s="58"/>
      <c r="C179" s="58"/>
      <c r="D179" s="641"/>
      <c r="E179" s="551" t="s">
        <v>317</v>
      </c>
      <c r="F179" s="551" t="s">
        <v>25</v>
      </c>
      <c r="G179" s="582">
        <v>120.0</v>
      </c>
      <c r="H179" s="553">
        <v>1.0</v>
      </c>
      <c r="I179" s="594"/>
      <c r="J179" s="582">
        <f t="shared" si="11"/>
        <v>120</v>
      </c>
      <c r="K179" s="58"/>
      <c r="L179" s="58"/>
      <c r="M179" s="58"/>
      <c r="N179" s="58"/>
      <c r="O179" s="58"/>
    </row>
    <row r="180" ht="24.75" customHeight="1">
      <c r="A180" s="585">
        <v>46204.0</v>
      </c>
      <c r="B180" s="173" t="s">
        <v>45</v>
      </c>
      <c r="C180" s="79">
        <v>621.0</v>
      </c>
      <c r="D180" s="689"/>
      <c r="E180" s="680" t="s">
        <v>317</v>
      </c>
      <c r="F180" s="680" t="s">
        <v>318</v>
      </c>
      <c r="G180" s="681">
        <v>100.0</v>
      </c>
      <c r="H180" s="561">
        <v>18.0</v>
      </c>
      <c r="I180" s="682"/>
      <c r="J180" s="681">
        <f t="shared" si="11"/>
        <v>1800</v>
      </c>
      <c r="K180" s="690" t="s">
        <v>356</v>
      </c>
      <c r="L180" s="691" t="s">
        <v>375</v>
      </c>
      <c r="M180" s="609">
        <v>19.0</v>
      </c>
      <c r="N180" s="683">
        <f>M180*30</f>
        <v>570</v>
      </c>
      <c r="O180" s="684">
        <f>J180+J181+N180</f>
        <v>2490</v>
      </c>
    </row>
    <row r="181" ht="24.75" customHeight="1">
      <c r="A181" s="58"/>
      <c r="B181" s="58"/>
      <c r="C181" s="58"/>
      <c r="D181" s="679"/>
      <c r="E181" s="685" t="s">
        <v>317</v>
      </c>
      <c r="F181" s="685" t="s">
        <v>25</v>
      </c>
      <c r="G181" s="686">
        <v>120.0</v>
      </c>
      <c r="H181" s="687">
        <v>1.0</v>
      </c>
      <c r="I181" s="688"/>
      <c r="J181" s="686">
        <f t="shared" si="11"/>
        <v>120</v>
      </c>
      <c r="K181" s="58"/>
      <c r="L181" s="58"/>
      <c r="M181" s="58"/>
      <c r="N181" s="58"/>
      <c r="O181" s="58"/>
    </row>
    <row r="182" ht="24.75" customHeight="1">
      <c r="A182" s="585">
        <v>46204.0</v>
      </c>
      <c r="B182" s="173" t="s">
        <v>45</v>
      </c>
      <c r="C182" s="79">
        <v>602.0</v>
      </c>
      <c r="D182" s="689"/>
      <c r="E182" s="680" t="s">
        <v>317</v>
      </c>
      <c r="F182" s="680" t="s">
        <v>318</v>
      </c>
      <c r="G182" s="681">
        <v>100.0</v>
      </c>
      <c r="H182" s="692">
        <v>19.0</v>
      </c>
      <c r="I182" s="682"/>
      <c r="J182" s="681">
        <f t="shared" si="11"/>
        <v>1900</v>
      </c>
      <c r="K182" s="690" t="s">
        <v>368</v>
      </c>
      <c r="L182" s="691" t="s">
        <v>370</v>
      </c>
      <c r="M182" s="609">
        <v>20.0</v>
      </c>
      <c r="N182" s="683"/>
      <c r="O182" s="684"/>
    </row>
    <row r="183" ht="24.75" customHeight="1">
      <c r="A183" s="58"/>
      <c r="B183" s="58"/>
      <c r="C183" s="58"/>
      <c r="D183" s="679"/>
      <c r="E183" s="685" t="s">
        <v>317</v>
      </c>
      <c r="F183" s="685" t="s">
        <v>25</v>
      </c>
      <c r="G183" s="686">
        <v>120.0</v>
      </c>
      <c r="H183" s="687">
        <v>1.0</v>
      </c>
      <c r="I183" s="688"/>
      <c r="J183" s="686">
        <f t="shared" si="11"/>
        <v>120</v>
      </c>
      <c r="K183" s="58"/>
      <c r="L183" s="58"/>
      <c r="M183" s="58"/>
      <c r="N183" s="58"/>
      <c r="O183" s="58"/>
    </row>
    <row r="184" ht="24.75" customHeight="1">
      <c r="A184" s="585">
        <v>46205.0</v>
      </c>
      <c r="B184" s="173" t="s">
        <v>45</v>
      </c>
      <c r="C184" s="79">
        <v>611.0</v>
      </c>
      <c r="D184" s="689"/>
      <c r="E184" s="680" t="s">
        <v>317</v>
      </c>
      <c r="F184" s="680" t="s">
        <v>318</v>
      </c>
      <c r="G184" s="681">
        <v>100.0</v>
      </c>
      <c r="H184" s="561">
        <v>20.0</v>
      </c>
      <c r="I184" s="682"/>
      <c r="J184" s="681">
        <f t="shared" si="11"/>
        <v>2000</v>
      </c>
      <c r="K184" s="690" t="s">
        <v>356</v>
      </c>
      <c r="L184" s="691" t="s">
        <v>375</v>
      </c>
      <c r="M184" s="609">
        <v>21.0</v>
      </c>
      <c r="N184" s="683">
        <f>M184*30</f>
        <v>630</v>
      </c>
      <c r="O184" s="684">
        <f>J184+J185+N184</f>
        <v>2750</v>
      </c>
    </row>
    <row r="185" ht="24.75" customHeight="1">
      <c r="A185" s="58"/>
      <c r="B185" s="58"/>
      <c r="C185" s="58"/>
      <c r="D185" s="679"/>
      <c r="E185" s="685" t="s">
        <v>317</v>
      </c>
      <c r="F185" s="685" t="s">
        <v>25</v>
      </c>
      <c r="G185" s="686">
        <v>120.0</v>
      </c>
      <c r="H185" s="687">
        <v>1.0</v>
      </c>
      <c r="I185" s="688"/>
      <c r="J185" s="686">
        <f t="shared" si="11"/>
        <v>120</v>
      </c>
      <c r="K185" s="58"/>
      <c r="L185" s="58"/>
      <c r="M185" s="58"/>
      <c r="N185" s="58"/>
      <c r="O185" s="58"/>
    </row>
    <row r="186" ht="24.75" customHeight="1">
      <c r="A186" s="585">
        <v>46205.0</v>
      </c>
      <c r="B186" s="173" t="s">
        <v>45</v>
      </c>
      <c r="C186" s="79">
        <v>601.0</v>
      </c>
      <c r="D186" s="689"/>
      <c r="E186" s="680" t="s">
        <v>317</v>
      </c>
      <c r="F186" s="680" t="s">
        <v>318</v>
      </c>
      <c r="G186" s="681">
        <v>100.0</v>
      </c>
      <c r="H186" s="561">
        <v>20.0</v>
      </c>
      <c r="I186" s="682"/>
      <c r="J186" s="681">
        <f t="shared" si="11"/>
        <v>2000</v>
      </c>
      <c r="K186" s="690" t="s">
        <v>368</v>
      </c>
      <c r="L186" s="691" t="s">
        <v>370</v>
      </c>
      <c r="M186" s="609">
        <v>21.0</v>
      </c>
      <c r="N186" s="683"/>
      <c r="O186" s="684"/>
    </row>
    <row r="187" ht="24.75" customHeight="1">
      <c r="A187" s="58"/>
      <c r="B187" s="58"/>
      <c r="C187" s="58"/>
      <c r="D187" s="679"/>
      <c r="E187" s="685" t="s">
        <v>317</v>
      </c>
      <c r="F187" s="685" t="s">
        <v>25</v>
      </c>
      <c r="G187" s="686">
        <v>120.0</v>
      </c>
      <c r="H187" s="687">
        <v>1.0</v>
      </c>
      <c r="I187" s="688"/>
      <c r="J187" s="686">
        <v>120.0</v>
      </c>
      <c r="K187" s="58"/>
      <c r="L187" s="58"/>
      <c r="M187" s="58"/>
      <c r="N187" s="58"/>
      <c r="O187" s="58"/>
    </row>
    <row r="188" ht="24.75" customHeight="1">
      <c r="A188" s="585">
        <v>46206.0</v>
      </c>
      <c r="B188" s="173" t="s">
        <v>45</v>
      </c>
      <c r="C188" s="79">
        <v>612.0</v>
      </c>
      <c r="D188" s="689"/>
      <c r="E188" s="680" t="s">
        <v>317</v>
      </c>
      <c r="F188" s="680" t="s">
        <v>318</v>
      </c>
      <c r="G188" s="681">
        <v>100.0</v>
      </c>
      <c r="H188" s="561">
        <v>15.0</v>
      </c>
      <c r="I188" s="682"/>
      <c r="J188" s="681">
        <f>G188*H188</f>
        <v>1500</v>
      </c>
      <c r="K188" s="690" t="s">
        <v>356</v>
      </c>
      <c r="L188" s="691" t="s">
        <v>375</v>
      </c>
      <c r="M188" s="609">
        <v>16.0</v>
      </c>
      <c r="N188" s="683">
        <f>M188*30</f>
        <v>480</v>
      </c>
      <c r="O188" s="684">
        <f>J188+J189+N188</f>
        <v>2100</v>
      </c>
    </row>
    <row r="189" ht="24.75" customHeight="1">
      <c r="A189" s="58"/>
      <c r="B189" s="58"/>
      <c r="C189" s="58"/>
      <c r="D189" s="679"/>
      <c r="E189" s="685" t="s">
        <v>317</v>
      </c>
      <c r="F189" s="685" t="s">
        <v>25</v>
      </c>
      <c r="G189" s="686">
        <v>120.0</v>
      </c>
      <c r="H189" s="687">
        <v>1.0</v>
      </c>
      <c r="I189" s="688"/>
      <c r="J189" s="686">
        <v>120.0</v>
      </c>
      <c r="K189" s="58"/>
      <c r="L189" s="58"/>
      <c r="M189" s="58"/>
      <c r="N189" s="58"/>
      <c r="O189" s="58"/>
    </row>
    <row r="190" ht="24.75" customHeight="1">
      <c r="A190" s="585">
        <v>46206.0</v>
      </c>
      <c r="B190" s="173" t="s">
        <v>45</v>
      </c>
      <c r="C190" s="79">
        <v>603.0</v>
      </c>
      <c r="D190" s="689"/>
      <c r="E190" s="680" t="s">
        <v>317</v>
      </c>
      <c r="F190" s="680" t="s">
        <v>318</v>
      </c>
      <c r="G190" s="681">
        <v>100.0</v>
      </c>
      <c r="H190" s="692">
        <v>20.0</v>
      </c>
      <c r="I190" s="682"/>
      <c r="J190" s="681">
        <v>2000.0</v>
      </c>
      <c r="K190" s="690" t="s">
        <v>368</v>
      </c>
      <c r="L190" s="691" t="s">
        <v>370</v>
      </c>
      <c r="M190" s="683">
        <v>21.0</v>
      </c>
      <c r="N190" s="683"/>
      <c r="O190" s="684"/>
    </row>
    <row r="191" ht="24.75" customHeight="1">
      <c r="A191" s="58"/>
      <c r="B191" s="58"/>
      <c r="C191" s="58"/>
      <c r="D191" s="679"/>
      <c r="E191" s="685" t="s">
        <v>317</v>
      </c>
      <c r="F191" s="685" t="s">
        <v>25</v>
      </c>
      <c r="G191" s="686">
        <v>120.0</v>
      </c>
      <c r="H191" s="687">
        <v>1.0</v>
      </c>
      <c r="I191" s="688"/>
      <c r="J191" s="686">
        <v>120.0</v>
      </c>
      <c r="K191" s="58"/>
      <c r="L191" s="58"/>
      <c r="M191" s="58"/>
      <c r="N191" s="58"/>
      <c r="O191" s="58"/>
    </row>
    <row r="192" ht="24.75" customHeight="1">
      <c r="A192" s="585">
        <v>46207.0</v>
      </c>
      <c r="B192" s="173" t="s">
        <v>45</v>
      </c>
      <c r="C192" s="693">
        <v>612.0</v>
      </c>
      <c r="D192" s="689"/>
      <c r="E192" s="680" t="s">
        <v>317</v>
      </c>
      <c r="F192" s="680" t="s">
        <v>318</v>
      </c>
      <c r="G192" s="681">
        <v>100.0</v>
      </c>
      <c r="H192" s="692">
        <v>15.0</v>
      </c>
      <c r="I192" s="682"/>
      <c r="J192" s="681">
        <v>1500.0</v>
      </c>
      <c r="K192" s="690" t="s">
        <v>356</v>
      </c>
      <c r="L192" s="691" t="s">
        <v>375</v>
      </c>
      <c r="M192" s="683">
        <v>16.0</v>
      </c>
      <c r="N192" s="683">
        <v>480.0</v>
      </c>
      <c r="O192" s="684">
        <v>2100.0</v>
      </c>
    </row>
    <row r="193" ht="24.75" customHeight="1">
      <c r="A193" s="58"/>
      <c r="B193" s="58"/>
      <c r="C193" s="58"/>
      <c r="D193" s="679"/>
      <c r="E193" s="685" t="s">
        <v>317</v>
      </c>
      <c r="F193" s="685" t="s">
        <v>25</v>
      </c>
      <c r="G193" s="686">
        <v>120.0</v>
      </c>
      <c r="H193" s="687">
        <v>1.0</v>
      </c>
      <c r="I193" s="688"/>
      <c r="J193" s="686">
        <v>120.0</v>
      </c>
      <c r="K193" s="58"/>
      <c r="L193" s="58"/>
      <c r="M193" s="58"/>
      <c r="N193" s="58"/>
      <c r="O193" s="58"/>
    </row>
    <row r="194" ht="24.75" customHeight="1">
      <c r="A194" s="585">
        <v>46207.0</v>
      </c>
      <c r="B194" s="173" t="s">
        <v>45</v>
      </c>
      <c r="C194" s="79">
        <v>604.0</v>
      </c>
      <c r="D194" s="689"/>
      <c r="E194" s="680" t="s">
        <v>317</v>
      </c>
      <c r="F194" s="680" t="s">
        <v>318</v>
      </c>
      <c r="G194" s="681">
        <v>100.0</v>
      </c>
      <c r="H194" s="692">
        <v>20.0</v>
      </c>
      <c r="I194" s="682"/>
      <c r="J194" s="681">
        <v>2000.0</v>
      </c>
      <c r="K194" s="690" t="s">
        <v>368</v>
      </c>
      <c r="L194" s="691" t="s">
        <v>370</v>
      </c>
      <c r="M194" s="683">
        <v>21.0</v>
      </c>
      <c r="N194" s="683"/>
      <c r="O194" s="684"/>
    </row>
    <row r="195" ht="24.75" customHeight="1">
      <c r="A195" s="58"/>
      <c r="B195" s="58"/>
      <c r="C195" s="58"/>
      <c r="D195" s="679"/>
      <c r="E195" s="685" t="s">
        <v>317</v>
      </c>
      <c r="F195" s="685" t="s">
        <v>25</v>
      </c>
      <c r="G195" s="686">
        <v>120.0</v>
      </c>
      <c r="H195" s="687">
        <v>1.0</v>
      </c>
      <c r="I195" s="688"/>
      <c r="J195" s="686">
        <v>120.0</v>
      </c>
      <c r="K195" s="58"/>
      <c r="L195" s="58"/>
      <c r="M195" s="58"/>
      <c r="N195" s="58"/>
      <c r="O195" s="58"/>
    </row>
    <row r="196" ht="24.75" customHeight="1">
      <c r="A196" s="585">
        <v>46209.0</v>
      </c>
      <c r="B196" s="694" t="s">
        <v>40</v>
      </c>
      <c r="C196" s="79">
        <v>611.0</v>
      </c>
      <c r="D196" s="689"/>
      <c r="E196" s="680" t="s">
        <v>317</v>
      </c>
      <c r="F196" s="680" t="s">
        <v>318</v>
      </c>
      <c r="G196" s="681">
        <v>100.0</v>
      </c>
      <c r="H196" s="561">
        <v>17.0</v>
      </c>
      <c r="I196" s="682"/>
      <c r="J196" s="681">
        <f t="shared" ref="J196:J200" si="12">G196*H196</f>
        <v>1700</v>
      </c>
      <c r="K196" s="690" t="s">
        <v>356</v>
      </c>
      <c r="L196" s="691" t="s">
        <v>375</v>
      </c>
      <c r="M196" s="609">
        <v>18.0</v>
      </c>
      <c r="N196" s="683">
        <f>M196*30</f>
        <v>540</v>
      </c>
      <c r="O196" s="684">
        <f>J196+J197+N196</f>
        <v>2360</v>
      </c>
    </row>
    <row r="197" ht="24.75" customHeight="1">
      <c r="A197" s="58"/>
      <c r="B197" s="58"/>
      <c r="C197" s="657">
        <v>609.0</v>
      </c>
      <c r="D197" s="679"/>
      <c r="E197" s="685" t="s">
        <v>317</v>
      </c>
      <c r="F197" s="685" t="s">
        <v>25</v>
      </c>
      <c r="G197" s="686">
        <v>120.0</v>
      </c>
      <c r="H197" s="687">
        <v>1.0</v>
      </c>
      <c r="I197" s="688"/>
      <c r="J197" s="686">
        <f t="shared" si="12"/>
        <v>120</v>
      </c>
      <c r="K197" s="58"/>
      <c r="L197" s="58"/>
      <c r="M197" s="58"/>
      <c r="N197" s="58"/>
      <c r="O197" s="58"/>
    </row>
    <row r="198" ht="24.75" customHeight="1">
      <c r="A198" s="585">
        <v>46210.0</v>
      </c>
      <c r="B198" s="694" t="s">
        <v>40</v>
      </c>
      <c r="C198" s="79">
        <v>609.0</v>
      </c>
      <c r="D198" s="689"/>
      <c r="E198" s="560" t="s">
        <v>317</v>
      </c>
      <c r="F198" s="560" t="s">
        <v>318</v>
      </c>
      <c r="G198" s="584">
        <v>100.0</v>
      </c>
      <c r="H198" s="561">
        <v>14.0</v>
      </c>
      <c r="I198" s="682"/>
      <c r="J198" s="681">
        <f t="shared" si="12"/>
        <v>1400</v>
      </c>
      <c r="K198" s="690" t="s">
        <v>356</v>
      </c>
      <c r="L198" s="691" t="s">
        <v>375</v>
      </c>
      <c r="M198" s="609">
        <v>15.0</v>
      </c>
      <c r="N198" s="683">
        <f>M198*30</f>
        <v>450</v>
      </c>
      <c r="O198" s="684">
        <f>J198+J199+N198</f>
        <v>1970</v>
      </c>
    </row>
    <row r="199" ht="24.75" customHeight="1">
      <c r="A199" s="58"/>
      <c r="B199" s="58"/>
      <c r="C199" s="58"/>
      <c r="D199" s="679"/>
      <c r="E199" s="551" t="s">
        <v>317</v>
      </c>
      <c r="F199" s="551" t="s">
        <v>25</v>
      </c>
      <c r="G199" s="582">
        <v>120.0</v>
      </c>
      <c r="H199" s="553">
        <v>1.0</v>
      </c>
      <c r="I199" s="688"/>
      <c r="J199" s="686">
        <f t="shared" si="12"/>
        <v>120</v>
      </c>
      <c r="K199" s="58"/>
      <c r="L199" s="58"/>
      <c r="M199" s="58"/>
      <c r="N199" s="58"/>
      <c r="O199" s="58"/>
    </row>
    <row r="200" ht="24.75" customHeight="1">
      <c r="A200" s="585">
        <v>46211.0</v>
      </c>
      <c r="B200" s="173" t="s">
        <v>40</v>
      </c>
      <c r="C200" s="79">
        <v>610.0</v>
      </c>
      <c r="D200" s="689"/>
      <c r="E200" s="680" t="s">
        <v>317</v>
      </c>
      <c r="F200" s="680" t="s">
        <v>318</v>
      </c>
      <c r="G200" s="681">
        <v>100.0</v>
      </c>
      <c r="H200" s="561">
        <v>17.0</v>
      </c>
      <c r="I200" s="682"/>
      <c r="J200" s="681">
        <f t="shared" si="12"/>
        <v>1700</v>
      </c>
      <c r="K200" s="690" t="s">
        <v>356</v>
      </c>
      <c r="L200" s="691" t="s">
        <v>375</v>
      </c>
      <c r="M200" s="609">
        <v>18.0</v>
      </c>
      <c r="N200" s="683">
        <f>M200*30</f>
        <v>540</v>
      </c>
      <c r="O200" s="684">
        <f>J200+J201+N200</f>
        <v>2360</v>
      </c>
    </row>
    <row r="201" ht="24.75" customHeight="1">
      <c r="A201" s="58"/>
      <c r="B201" s="58"/>
      <c r="C201" s="58"/>
      <c r="D201" s="679"/>
      <c r="E201" s="685" t="s">
        <v>317</v>
      </c>
      <c r="F201" s="685" t="s">
        <v>25</v>
      </c>
      <c r="G201" s="686">
        <v>120.0</v>
      </c>
      <c r="H201" s="687">
        <v>1.0</v>
      </c>
      <c r="I201" s="688"/>
      <c r="J201" s="686">
        <v>120.0</v>
      </c>
      <c r="K201" s="58"/>
      <c r="L201" s="58"/>
      <c r="M201" s="58"/>
      <c r="N201" s="58"/>
      <c r="O201" s="58"/>
    </row>
    <row r="202" ht="24.75" customHeight="1">
      <c r="A202" s="585">
        <v>46212.0</v>
      </c>
      <c r="B202" s="173" t="s">
        <v>40</v>
      </c>
      <c r="C202" s="79">
        <v>614.0</v>
      </c>
      <c r="D202" s="641"/>
      <c r="E202" s="560" t="s">
        <v>317</v>
      </c>
      <c r="F202" s="560" t="s">
        <v>318</v>
      </c>
      <c r="G202" s="584">
        <v>100.0</v>
      </c>
      <c r="H202" s="561">
        <v>19.0</v>
      </c>
      <c r="I202" s="602"/>
      <c r="J202" s="584">
        <f t="shared" ref="J202:J212" si="13">G202*H202</f>
        <v>1900</v>
      </c>
      <c r="K202" s="690" t="s">
        <v>356</v>
      </c>
      <c r="L202" s="691" t="s">
        <v>375</v>
      </c>
      <c r="M202" s="609">
        <v>20.0</v>
      </c>
      <c r="N202" s="683">
        <f>M202*30</f>
        <v>600</v>
      </c>
      <c r="O202" s="684">
        <f>J202+J203+N202</f>
        <v>2620</v>
      </c>
    </row>
    <row r="203" ht="24.75" customHeight="1">
      <c r="A203" s="58"/>
      <c r="B203" s="58"/>
      <c r="C203" s="657">
        <v>615.0</v>
      </c>
      <c r="D203" s="641"/>
      <c r="E203" s="551" t="s">
        <v>317</v>
      </c>
      <c r="F203" s="551" t="s">
        <v>25</v>
      </c>
      <c r="G203" s="582">
        <v>120.0</v>
      </c>
      <c r="H203" s="553">
        <v>1.0</v>
      </c>
      <c r="I203" s="594"/>
      <c r="J203" s="582">
        <f t="shared" si="13"/>
        <v>120</v>
      </c>
      <c r="K203" s="58"/>
      <c r="L203" s="58"/>
      <c r="M203" s="58"/>
      <c r="N203" s="58"/>
      <c r="O203" s="58"/>
    </row>
    <row r="204" ht="24.75" customHeight="1">
      <c r="A204" s="585">
        <v>46213.0</v>
      </c>
      <c r="B204" s="173" t="s">
        <v>40</v>
      </c>
      <c r="C204" s="79">
        <v>607.0</v>
      </c>
      <c r="D204" s="689"/>
      <c r="E204" s="680" t="s">
        <v>317</v>
      </c>
      <c r="F204" s="680" t="s">
        <v>318</v>
      </c>
      <c r="G204" s="681">
        <v>100.0</v>
      </c>
      <c r="H204" s="561">
        <v>14.0</v>
      </c>
      <c r="I204" s="682"/>
      <c r="J204" s="681">
        <f t="shared" si="13"/>
        <v>1400</v>
      </c>
      <c r="K204" s="690" t="s">
        <v>356</v>
      </c>
      <c r="L204" s="691" t="s">
        <v>375</v>
      </c>
      <c r="M204" s="609">
        <v>19.0</v>
      </c>
      <c r="N204" s="683">
        <f>M204*30</f>
        <v>570</v>
      </c>
      <c r="O204" s="684">
        <f>J204+J205+J206+N204</f>
        <v>2490</v>
      </c>
    </row>
    <row r="205" ht="24.75" customHeight="1">
      <c r="A205" s="57"/>
      <c r="B205" s="57"/>
      <c r="C205" s="57"/>
      <c r="D205" s="679"/>
      <c r="E205" s="551" t="s">
        <v>317</v>
      </c>
      <c r="F205" s="551" t="s">
        <v>25</v>
      </c>
      <c r="G205" s="582">
        <v>120.0</v>
      </c>
      <c r="H205" s="553">
        <v>1.0</v>
      </c>
      <c r="I205" s="688"/>
      <c r="J205" s="686">
        <f t="shared" si="13"/>
        <v>120</v>
      </c>
      <c r="K205" s="57"/>
      <c r="L205" s="57"/>
      <c r="M205" s="57"/>
      <c r="N205" s="57"/>
      <c r="O205" s="57"/>
    </row>
    <row r="206" ht="24.75" customHeight="1">
      <c r="A206" s="20"/>
      <c r="B206" s="695" t="s">
        <v>428</v>
      </c>
      <c r="C206" s="20"/>
      <c r="D206" s="689"/>
      <c r="E206" s="680" t="s">
        <v>317</v>
      </c>
      <c r="F206" s="560" t="s">
        <v>318</v>
      </c>
      <c r="G206" s="584">
        <v>100.0</v>
      </c>
      <c r="H206" s="561">
        <v>4.0</v>
      </c>
      <c r="I206" s="682"/>
      <c r="J206" s="681">
        <f t="shared" si="13"/>
        <v>400</v>
      </c>
      <c r="K206" s="20"/>
      <c r="L206" s="20"/>
      <c r="M206" s="20"/>
      <c r="N206" s="20"/>
      <c r="O206" s="20"/>
    </row>
    <row r="207" ht="24.75" customHeight="1">
      <c r="A207" s="566">
        <v>46214.0</v>
      </c>
      <c r="B207" s="168" t="s">
        <v>40</v>
      </c>
      <c r="C207" s="23">
        <v>613.0</v>
      </c>
      <c r="D207" s="679"/>
      <c r="E207" s="685" t="s">
        <v>317</v>
      </c>
      <c r="F207" s="685" t="s">
        <v>318</v>
      </c>
      <c r="G207" s="686">
        <v>100.0</v>
      </c>
      <c r="H207" s="553">
        <v>13.0</v>
      </c>
      <c r="I207" s="688"/>
      <c r="J207" s="686">
        <f t="shared" si="13"/>
        <v>1300</v>
      </c>
      <c r="K207" s="698" t="s">
        <v>356</v>
      </c>
      <c r="L207" s="700" t="s">
        <v>375</v>
      </c>
      <c r="M207" s="610">
        <v>17.0</v>
      </c>
      <c r="N207" s="703">
        <f>M207*30</f>
        <v>510</v>
      </c>
      <c r="O207" s="704">
        <f>J207+J208+J209+N207</f>
        <v>2230</v>
      </c>
    </row>
    <row r="208" ht="24.75" customHeight="1">
      <c r="A208" s="29"/>
      <c r="B208" s="29"/>
      <c r="C208" s="29"/>
      <c r="D208" s="689"/>
      <c r="E208" s="680" t="s">
        <v>317</v>
      </c>
      <c r="F208" s="680" t="s">
        <v>25</v>
      </c>
      <c r="G208" s="681">
        <v>120.0</v>
      </c>
      <c r="H208" s="692">
        <v>1.0</v>
      </c>
      <c r="I208" s="682"/>
      <c r="J208" s="681">
        <f t="shared" si="13"/>
        <v>120</v>
      </c>
      <c r="K208" s="29"/>
      <c r="L208" s="29"/>
      <c r="M208" s="29"/>
      <c r="N208" s="29"/>
      <c r="O208" s="29"/>
    </row>
    <row r="209" ht="24.75" customHeight="1">
      <c r="A209" s="58"/>
      <c r="B209" s="705" t="s">
        <v>51</v>
      </c>
      <c r="C209" s="58"/>
      <c r="D209" s="679"/>
      <c r="E209" s="685" t="s">
        <v>317</v>
      </c>
      <c r="F209" s="685" t="s">
        <v>318</v>
      </c>
      <c r="G209" s="686">
        <v>100.0</v>
      </c>
      <c r="H209" s="553">
        <v>3.0</v>
      </c>
      <c r="I209" s="688"/>
      <c r="J209" s="686">
        <f t="shared" si="13"/>
        <v>300</v>
      </c>
      <c r="K209" s="58"/>
      <c r="L209" s="58"/>
      <c r="M209" s="58"/>
      <c r="N209" s="58"/>
      <c r="O209" s="58"/>
    </row>
    <row r="210" ht="24.75" customHeight="1">
      <c r="A210" s="585">
        <v>46216.0</v>
      </c>
      <c r="B210" s="694" t="s">
        <v>45</v>
      </c>
      <c r="C210" s="79">
        <v>617.0</v>
      </c>
      <c r="D210" s="689"/>
      <c r="E210" s="680" t="s">
        <v>317</v>
      </c>
      <c r="F210" s="680" t="s">
        <v>318</v>
      </c>
      <c r="G210" s="681">
        <v>100.0</v>
      </c>
      <c r="H210" s="561">
        <v>16.0</v>
      </c>
      <c r="I210" s="682"/>
      <c r="J210" s="681">
        <f t="shared" si="13"/>
        <v>1600</v>
      </c>
      <c r="K210" s="690" t="s">
        <v>356</v>
      </c>
      <c r="L210" s="691" t="s">
        <v>375</v>
      </c>
      <c r="M210" s="609">
        <v>17.0</v>
      </c>
      <c r="N210" s="683">
        <f>M210*30</f>
        <v>510</v>
      </c>
      <c r="O210" s="684">
        <f>J210+J211+N210</f>
        <v>2230</v>
      </c>
    </row>
    <row r="211" ht="24.75" customHeight="1">
      <c r="A211" s="58"/>
      <c r="B211" s="58"/>
      <c r="C211" s="657">
        <v>617.0</v>
      </c>
      <c r="D211" s="679"/>
      <c r="E211" s="685" t="s">
        <v>317</v>
      </c>
      <c r="F211" s="685" t="s">
        <v>25</v>
      </c>
      <c r="G211" s="686">
        <v>120.0</v>
      </c>
      <c r="H211" s="687">
        <v>1.0</v>
      </c>
      <c r="I211" s="688"/>
      <c r="J211" s="686">
        <f t="shared" si="13"/>
        <v>120</v>
      </c>
      <c r="K211" s="58"/>
      <c r="L211" s="58"/>
      <c r="M211" s="58"/>
      <c r="N211" s="58"/>
      <c r="O211" s="58"/>
    </row>
    <row r="212" ht="24.75" customHeight="1">
      <c r="A212" s="585">
        <v>46217.0</v>
      </c>
      <c r="B212" s="173" t="s">
        <v>45</v>
      </c>
      <c r="C212" s="693">
        <v>617.0</v>
      </c>
      <c r="D212" s="689"/>
      <c r="E212" s="680" t="s">
        <v>317</v>
      </c>
      <c r="F212" s="680" t="s">
        <v>318</v>
      </c>
      <c r="G212" s="681">
        <v>100.0</v>
      </c>
      <c r="H212" s="561">
        <v>13.0</v>
      </c>
      <c r="I212" s="682"/>
      <c r="J212" s="681">
        <f t="shared" si="13"/>
        <v>1300</v>
      </c>
      <c r="K212" s="690" t="s">
        <v>356</v>
      </c>
      <c r="L212" s="691" t="s">
        <v>375</v>
      </c>
      <c r="M212" s="609">
        <v>14.0</v>
      </c>
      <c r="N212" s="683">
        <f>M212*30</f>
        <v>420</v>
      </c>
      <c r="O212" s="684">
        <f>J212+J213+N212</f>
        <v>1840</v>
      </c>
    </row>
    <row r="213" ht="24.75" customHeight="1">
      <c r="A213" s="58"/>
      <c r="B213" s="58"/>
      <c r="C213" s="706">
        <v>617.0</v>
      </c>
      <c r="D213" s="679"/>
      <c r="E213" s="685" t="s">
        <v>317</v>
      </c>
      <c r="F213" s="685" t="s">
        <v>25</v>
      </c>
      <c r="G213" s="686">
        <v>120.0</v>
      </c>
      <c r="H213" s="687">
        <v>1.0</v>
      </c>
      <c r="I213" s="688"/>
      <c r="J213" s="686">
        <v>120.0</v>
      </c>
      <c r="K213" s="58"/>
      <c r="L213" s="58"/>
      <c r="M213" s="58"/>
      <c r="N213" s="58"/>
      <c r="O213" s="58"/>
    </row>
    <row r="214" ht="24.75" customHeight="1">
      <c r="A214" s="585">
        <v>46218.0</v>
      </c>
      <c r="B214" s="173" t="s">
        <v>45</v>
      </c>
      <c r="C214" s="79">
        <v>616.0</v>
      </c>
      <c r="D214" s="689"/>
      <c r="E214" s="680" t="s">
        <v>317</v>
      </c>
      <c r="F214" s="680" t="s">
        <v>318</v>
      </c>
      <c r="G214" s="681">
        <v>100.0</v>
      </c>
      <c r="H214" s="561">
        <v>16.0</v>
      </c>
      <c r="I214" s="682"/>
      <c r="J214" s="681">
        <f>G214*H214</f>
        <v>1600</v>
      </c>
      <c r="K214" s="690" t="s">
        <v>356</v>
      </c>
      <c r="L214" s="691" t="s">
        <v>375</v>
      </c>
      <c r="M214" s="609">
        <v>17.0</v>
      </c>
      <c r="N214" s="683">
        <f>M214*30</f>
        <v>510</v>
      </c>
      <c r="O214" s="684">
        <f>J214+J215+N214</f>
        <v>2230</v>
      </c>
    </row>
    <row r="215" ht="24.75" customHeight="1">
      <c r="A215" s="58"/>
      <c r="B215" s="58"/>
      <c r="C215" s="58"/>
      <c r="D215" s="679"/>
      <c r="E215" s="685" t="s">
        <v>317</v>
      </c>
      <c r="F215" s="685" t="s">
        <v>25</v>
      </c>
      <c r="G215" s="686">
        <v>120.0</v>
      </c>
      <c r="H215" s="687">
        <v>1.0</v>
      </c>
      <c r="I215" s="688"/>
      <c r="J215" s="686">
        <v>120.0</v>
      </c>
      <c r="K215" s="58"/>
      <c r="L215" s="58"/>
      <c r="M215" s="58"/>
      <c r="N215" s="58"/>
      <c r="O215" s="58"/>
    </row>
    <row r="216" ht="24.75" customHeight="1">
      <c r="A216" s="585">
        <v>46219.0</v>
      </c>
      <c r="B216" s="173" t="s">
        <v>45</v>
      </c>
      <c r="C216" s="79">
        <v>615.0</v>
      </c>
      <c r="D216" s="689"/>
      <c r="E216" s="680" t="s">
        <v>317</v>
      </c>
      <c r="F216" s="680" t="s">
        <v>318</v>
      </c>
      <c r="G216" s="681">
        <v>100.0</v>
      </c>
      <c r="H216" s="692">
        <v>16.0</v>
      </c>
      <c r="I216" s="682"/>
      <c r="J216" s="681">
        <v>1600.0</v>
      </c>
      <c r="K216" s="690" t="s">
        <v>356</v>
      </c>
      <c r="L216" s="691" t="s">
        <v>375</v>
      </c>
      <c r="M216" s="683">
        <v>17.0</v>
      </c>
      <c r="N216" s="683">
        <v>510.0</v>
      </c>
      <c r="O216" s="684">
        <v>2230.0</v>
      </c>
    </row>
    <row r="217" ht="24.75" customHeight="1">
      <c r="A217" s="58"/>
      <c r="B217" s="58"/>
      <c r="C217" s="58"/>
      <c r="D217" s="679"/>
      <c r="E217" s="685" t="s">
        <v>317</v>
      </c>
      <c r="F217" s="685" t="s">
        <v>25</v>
      </c>
      <c r="G217" s="686">
        <v>120.0</v>
      </c>
      <c r="H217" s="687">
        <v>1.0</v>
      </c>
      <c r="I217" s="688"/>
      <c r="J217" s="686">
        <v>120.0</v>
      </c>
      <c r="K217" s="58"/>
      <c r="L217" s="58"/>
      <c r="M217" s="58"/>
      <c r="N217" s="58"/>
      <c r="O217" s="58"/>
    </row>
    <row r="218" ht="24.75" customHeight="1">
      <c r="A218" s="585">
        <v>46220.0</v>
      </c>
      <c r="B218" s="173" t="s">
        <v>45</v>
      </c>
      <c r="C218" s="79">
        <v>609.0</v>
      </c>
      <c r="D218" s="689"/>
      <c r="E218" s="680" t="s">
        <v>317</v>
      </c>
      <c r="F218" s="680" t="s">
        <v>318</v>
      </c>
      <c r="G218" s="681">
        <v>100.0</v>
      </c>
      <c r="H218" s="561">
        <v>18.0</v>
      </c>
      <c r="I218" s="682"/>
      <c r="J218" s="681">
        <f>H218*G218</f>
        <v>1800</v>
      </c>
      <c r="K218" s="690" t="s">
        <v>356</v>
      </c>
      <c r="L218" s="691" t="s">
        <v>375</v>
      </c>
      <c r="M218" s="609">
        <v>19.0</v>
      </c>
      <c r="N218" s="683">
        <f>M218*30</f>
        <v>570</v>
      </c>
      <c r="O218" s="684">
        <f>J218+J219+N218</f>
        <v>2490</v>
      </c>
    </row>
    <row r="219" ht="24.75" customHeight="1">
      <c r="A219" s="58"/>
      <c r="B219" s="58"/>
      <c r="C219" s="58"/>
      <c r="D219" s="679"/>
      <c r="E219" s="685" t="s">
        <v>317</v>
      </c>
      <c r="F219" s="685" t="s">
        <v>25</v>
      </c>
      <c r="G219" s="686">
        <v>120.0</v>
      </c>
      <c r="H219" s="687">
        <v>1.0</v>
      </c>
      <c r="I219" s="688"/>
      <c r="J219" s="686">
        <v>120.0</v>
      </c>
      <c r="K219" s="58"/>
      <c r="L219" s="58"/>
      <c r="M219" s="58"/>
      <c r="N219" s="58"/>
      <c r="O219" s="58"/>
    </row>
    <row r="220" ht="24.75" customHeight="1">
      <c r="A220" s="585">
        <v>46221.0</v>
      </c>
      <c r="B220" s="173" t="s">
        <v>45</v>
      </c>
      <c r="C220" s="79">
        <v>610.0</v>
      </c>
      <c r="D220" s="689"/>
      <c r="E220" s="680" t="s">
        <v>317</v>
      </c>
      <c r="F220" s="680" t="s">
        <v>318</v>
      </c>
      <c r="G220" s="681">
        <v>100.0</v>
      </c>
      <c r="H220" s="561">
        <v>14.0</v>
      </c>
      <c r="I220" s="682"/>
      <c r="J220" s="681">
        <f t="shared" ref="J220:J221" si="14">H220*G220</f>
        <v>1400</v>
      </c>
      <c r="K220" s="690" t="s">
        <v>356</v>
      </c>
      <c r="L220" s="691" t="s">
        <v>375</v>
      </c>
      <c r="M220" s="609">
        <v>15.0</v>
      </c>
      <c r="N220" s="683">
        <f>M220*30</f>
        <v>450</v>
      </c>
      <c r="O220" s="684">
        <f>J220+J221+N220</f>
        <v>1970</v>
      </c>
    </row>
    <row r="221" ht="24.75" customHeight="1">
      <c r="A221" s="58"/>
      <c r="B221" s="58"/>
      <c r="C221" s="58"/>
      <c r="D221" s="679"/>
      <c r="E221" s="685" t="s">
        <v>317</v>
      </c>
      <c r="F221" s="685" t="s">
        <v>25</v>
      </c>
      <c r="G221" s="686">
        <v>120.0</v>
      </c>
      <c r="H221" s="687">
        <v>1.0</v>
      </c>
      <c r="I221" s="688"/>
      <c r="J221" s="686">
        <f t="shared" si="14"/>
        <v>120</v>
      </c>
      <c r="K221" s="58"/>
      <c r="L221" s="58"/>
      <c r="M221" s="58"/>
      <c r="N221" s="58"/>
      <c r="O221" s="58"/>
    </row>
    <row r="222" ht="24.75" customHeight="1">
      <c r="A222" s="585">
        <v>46223.0</v>
      </c>
      <c r="B222" s="173" t="s">
        <v>45</v>
      </c>
      <c r="C222" s="79">
        <v>605.0</v>
      </c>
      <c r="D222" s="689"/>
      <c r="E222" s="680" t="s">
        <v>317</v>
      </c>
      <c r="F222" s="680" t="s">
        <v>318</v>
      </c>
      <c r="G222" s="681">
        <v>100.0</v>
      </c>
      <c r="H222" s="561">
        <v>18.0</v>
      </c>
      <c r="I222" s="682"/>
      <c r="J222" s="681">
        <f t="shared" ref="J222:J230" si="15">G222*H222</f>
        <v>1800</v>
      </c>
      <c r="K222" s="690" t="s">
        <v>356</v>
      </c>
      <c r="L222" s="691" t="s">
        <v>375</v>
      </c>
      <c r="M222" s="609">
        <v>19.0</v>
      </c>
      <c r="N222" s="683">
        <f>M222*30</f>
        <v>570</v>
      </c>
      <c r="O222" s="684">
        <f>J222+J223+N222</f>
        <v>2490</v>
      </c>
    </row>
    <row r="223" ht="24.75" customHeight="1">
      <c r="A223" s="58"/>
      <c r="B223" s="58"/>
      <c r="C223" s="58"/>
      <c r="D223" s="679"/>
      <c r="E223" s="685" t="s">
        <v>317</v>
      </c>
      <c r="F223" s="685" t="s">
        <v>25</v>
      </c>
      <c r="G223" s="686">
        <v>120.0</v>
      </c>
      <c r="H223" s="687">
        <v>1.0</v>
      </c>
      <c r="I223" s="688"/>
      <c r="J223" s="686">
        <f t="shared" si="15"/>
        <v>120</v>
      </c>
      <c r="K223" s="58"/>
      <c r="L223" s="58"/>
      <c r="M223" s="58"/>
      <c r="N223" s="58"/>
      <c r="O223" s="58"/>
    </row>
    <row r="224" ht="24.75" customHeight="1">
      <c r="A224" s="585">
        <v>46224.0</v>
      </c>
      <c r="B224" s="173" t="s">
        <v>45</v>
      </c>
      <c r="C224" s="79">
        <v>604.0</v>
      </c>
      <c r="D224" s="689"/>
      <c r="E224" s="680" t="s">
        <v>317</v>
      </c>
      <c r="F224" s="680" t="s">
        <v>318</v>
      </c>
      <c r="G224" s="681">
        <v>100.0</v>
      </c>
      <c r="H224" s="561">
        <v>17.0</v>
      </c>
      <c r="I224" s="682"/>
      <c r="J224" s="681">
        <f t="shared" si="15"/>
        <v>1700</v>
      </c>
      <c r="K224" s="690" t="s">
        <v>356</v>
      </c>
      <c r="L224" s="691" t="s">
        <v>375</v>
      </c>
      <c r="M224" s="609">
        <v>18.0</v>
      </c>
      <c r="N224" s="683">
        <f>M224*30</f>
        <v>540</v>
      </c>
      <c r="O224" s="684">
        <f>J224+J225+N224</f>
        <v>2360</v>
      </c>
    </row>
    <row r="225" ht="24.75" customHeight="1">
      <c r="A225" s="58"/>
      <c r="B225" s="58"/>
      <c r="C225" s="58"/>
      <c r="D225" s="679"/>
      <c r="E225" s="685" t="s">
        <v>317</v>
      </c>
      <c r="F225" s="685" t="s">
        <v>25</v>
      </c>
      <c r="G225" s="686">
        <v>120.0</v>
      </c>
      <c r="H225" s="687">
        <v>1.0</v>
      </c>
      <c r="I225" s="688"/>
      <c r="J225" s="686">
        <f t="shared" si="15"/>
        <v>120</v>
      </c>
      <c r="K225" s="58"/>
      <c r="L225" s="58"/>
      <c r="M225" s="58"/>
      <c r="N225" s="58"/>
      <c r="O225" s="58"/>
    </row>
    <row r="226" ht="24.75" customHeight="1">
      <c r="A226" s="585">
        <v>46225.0</v>
      </c>
      <c r="B226" s="173" t="s">
        <v>45</v>
      </c>
      <c r="C226" s="693">
        <v>604.0</v>
      </c>
      <c r="D226" s="689"/>
      <c r="E226" s="680" t="s">
        <v>317</v>
      </c>
      <c r="F226" s="680" t="s">
        <v>318</v>
      </c>
      <c r="G226" s="681">
        <v>100.0</v>
      </c>
      <c r="H226" s="561">
        <v>14.0</v>
      </c>
      <c r="I226" s="682"/>
      <c r="J226" s="681">
        <f t="shared" si="15"/>
        <v>1400</v>
      </c>
      <c r="K226" s="690" t="s">
        <v>356</v>
      </c>
      <c r="L226" s="691" t="s">
        <v>375</v>
      </c>
      <c r="M226" s="609">
        <v>15.0</v>
      </c>
      <c r="N226" s="683">
        <f>M226*30</f>
        <v>450</v>
      </c>
      <c r="O226" s="684">
        <f>J226+J227+N226</f>
        <v>1970</v>
      </c>
    </row>
    <row r="227" ht="24.75" customHeight="1">
      <c r="A227" s="58"/>
      <c r="B227" s="58"/>
      <c r="C227" s="58"/>
      <c r="D227" s="679"/>
      <c r="E227" s="685" t="s">
        <v>317</v>
      </c>
      <c r="F227" s="685" t="s">
        <v>25</v>
      </c>
      <c r="G227" s="686">
        <v>120.0</v>
      </c>
      <c r="H227" s="687">
        <v>1.0</v>
      </c>
      <c r="I227" s="688"/>
      <c r="J227" s="686">
        <f t="shared" si="15"/>
        <v>120</v>
      </c>
      <c r="K227" s="58"/>
      <c r="L227" s="58"/>
      <c r="M227" s="58"/>
      <c r="N227" s="58"/>
      <c r="O227" s="58"/>
    </row>
    <row r="228" ht="24.75" customHeight="1">
      <c r="A228" s="585">
        <v>46226.0</v>
      </c>
      <c r="B228" s="694" t="s">
        <v>21</v>
      </c>
      <c r="C228" s="693">
        <v>604.0</v>
      </c>
      <c r="D228" s="689"/>
      <c r="E228" s="680" t="s">
        <v>317</v>
      </c>
      <c r="F228" s="680" t="s">
        <v>318</v>
      </c>
      <c r="G228" s="681">
        <v>100.0</v>
      </c>
      <c r="H228" s="561">
        <v>17.0</v>
      </c>
      <c r="I228" s="682"/>
      <c r="J228" s="681">
        <f t="shared" si="15"/>
        <v>1700</v>
      </c>
      <c r="K228" s="690" t="s">
        <v>356</v>
      </c>
      <c r="L228" s="691" t="s">
        <v>375</v>
      </c>
      <c r="M228" s="609">
        <v>18.0</v>
      </c>
      <c r="N228" s="683">
        <f>M228*30</f>
        <v>540</v>
      </c>
      <c r="O228" s="684">
        <f>J228+J229+N228</f>
        <v>2360</v>
      </c>
    </row>
    <row r="229" ht="24.75" customHeight="1">
      <c r="A229" s="58"/>
      <c r="B229" s="58"/>
      <c r="C229" s="58"/>
      <c r="D229" s="679"/>
      <c r="E229" s="685" t="s">
        <v>317</v>
      </c>
      <c r="F229" s="685" t="s">
        <v>25</v>
      </c>
      <c r="G229" s="686">
        <v>120.0</v>
      </c>
      <c r="H229" s="687">
        <v>1.0</v>
      </c>
      <c r="I229" s="688"/>
      <c r="J229" s="686">
        <f t="shared" si="15"/>
        <v>120</v>
      </c>
      <c r="K229" s="58"/>
      <c r="L229" s="58"/>
      <c r="M229" s="58"/>
      <c r="N229" s="58"/>
      <c r="O229" s="58"/>
    </row>
    <row r="230" ht="24.75" customHeight="1">
      <c r="A230" s="585">
        <v>46227.0</v>
      </c>
      <c r="B230" s="173" t="s">
        <v>21</v>
      </c>
      <c r="C230" s="693">
        <v>604.0</v>
      </c>
      <c r="D230" s="689"/>
      <c r="E230" s="680" t="s">
        <v>317</v>
      </c>
      <c r="F230" s="680" t="s">
        <v>318</v>
      </c>
      <c r="G230" s="681">
        <v>100.0</v>
      </c>
      <c r="H230" s="561">
        <v>16.0</v>
      </c>
      <c r="I230" s="682"/>
      <c r="J230" s="681">
        <f t="shared" si="15"/>
        <v>1600</v>
      </c>
      <c r="K230" s="690" t="s">
        <v>356</v>
      </c>
      <c r="L230" s="691" t="s">
        <v>375</v>
      </c>
      <c r="M230" s="609">
        <v>17.0</v>
      </c>
      <c r="N230" s="683">
        <f>M230*30</f>
        <v>510</v>
      </c>
      <c r="O230" s="684">
        <f>J230+J231+N230</f>
        <v>2230</v>
      </c>
    </row>
    <row r="231" ht="24.75" customHeight="1">
      <c r="A231" s="58"/>
      <c r="B231" s="58"/>
      <c r="C231" s="58"/>
      <c r="D231" s="679"/>
      <c r="E231" s="685" t="s">
        <v>317</v>
      </c>
      <c r="F231" s="685" t="s">
        <v>25</v>
      </c>
      <c r="G231" s="686">
        <v>120.0</v>
      </c>
      <c r="H231" s="687">
        <v>1.0</v>
      </c>
      <c r="I231" s="688"/>
      <c r="J231" s="686">
        <v>120.0</v>
      </c>
      <c r="K231" s="58"/>
      <c r="L231" s="58"/>
      <c r="M231" s="58"/>
      <c r="N231" s="58"/>
      <c r="O231" s="58"/>
    </row>
    <row r="232" ht="20.25" customHeight="1">
      <c r="A232" s="585">
        <v>46227.0</v>
      </c>
      <c r="B232" s="173" t="s">
        <v>21</v>
      </c>
      <c r="C232" s="183">
        <v>613.0</v>
      </c>
      <c r="D232" s="130"/>
      <c r="E232" s="680" t="s">
        <v>317</v>
      </c>
      <c r="F232" s="680" t="s">
        <v>318</v>
      </c>
      <c r="G232" s="584">
        <v>100.0</v>
      </c>
      <c r="H232" s="22">
        <v>19.0</v>
      </c>
      <c r="I232" s="112"/>
      <c r="J232" s="681"/>
      <c r="K232" s="587" t="s">
        <v>23</v>
      </c>
      <c r="L232" s="707" t="s">
        <v>28</v>
      </c>
      <c r="M232" s="78">
        <v>20.0</v>
      </c>
      <c r="N232" s="609"/>
      <c r="O232" s="588"/>
    </row>
    <row r="233" ht="20.25" customHeight="1">
      <c r="A233" s="58"/>
      <c r="B233" s="58"/>
      <c r="C233" s="57"/>
      <c r="D233" s="120"/>
      <c r="E233" s="685" t="s">
        <v>317</v>
      </c>
      <c r="F233" s="685" t="s">
        <v>25</v>
      </c>
      <c r="G233" s="582">
        <v>120.0</v>
      </c>
      <c r="H233" s="14">
        <v>1.0</v>
      </c>
      <c r="I233" s="181"/>
      <c r="J233" s="686"/>
      <c r="K233" s="58"/>
      <c r="L233" s="58"/>
      <c r="M233" s="58"/>
      <c r="N233" s="58"/>
      <c r="O233" s="58"/>
    </row>
    <row r="234" ht="24.75" customHeight="1">
      <c r="A234" s="585">
        <v>46228.0</v>
      </c>
      <c r="B234" s="694" t="s">
        <v>45</v>
      </c>
      <c r="C234" s="79">
        <v>602.0</v>
      </c>
      <c r="D234" s="689"/>
      <c r="E234" s="680" t="s">
        <v>317</v>
      </c>
      <c r="F234" s="680" t="s">
        <v>318</v>
      </c>
      <c r="G234" s="681">
        <v>100.0</v>
      </c>
      <c r="H234" s="561">
        <v>16.0</v>
      </c>
      <c r="I234" s="682"/>
      <c r="J234" s="681">
        <f>G234*H234</f>
        <v>1600</v>
      </c>
      <c r="K234" s="690" t="s">
        <v>356</v>
      </c>
      <c r="L234" s="691" t="s">
        <v>375</v>
      </c>
      <c r="M234" s="609">
        <v>17.0</v>
      </c>
      <c r="N234" s="683">
        <f>M234*30</f>
        <v>510</v>
      </c>
      <c r="O234" s="684">
        <f>J234+J235+N234</f>
        <v>2230</v>
      </c>
    </row>
    <row r="235" ht="24.75" customHeight="1">
      <c r="A235" s="58"/>
      <c r="B235" s="58"/>
      <c r="C235" s="58"/>
      <c r="D235" s="679"/>
      <c r="E235" s="685" t="s">
        <v>317</v>
      </c>
      <c r="F235" s="685" t="s">
        <v>25</v>
      </c>
      <c r="G235" s="686">
        <v>120.0</v>
      </c>
      <c r="H235" s="687">
        <v>1.0</v>
      </c>
      <c r="I235" s="688"/>
      <c r="J235" s="686">
        <v>120.0</v>
      </c>
      <c r="K235" s="58"/>
      <c r="L235" s="58"/>
      <c r="M235" s="58"/>
      <c r="N235" s="58"/>
      <c r="O235" s="58"/>
    </row>
    <row r="236" ht="20.25" customHeight="1">
      <c r="A236" s="585">
        <v>46228.0</v>
      </c>
      <c r="B236" s="173" t="s">
        <v>21</v>
      </c>
      <c r="C236" s="183">
        <v>622.0</v>
      </c>
      <c r="D236" s="130"/>
      <c r="E236" s="680" t="s">
        <v>317</v>
      </c>
      <c r="F236" s="680" t="s">
        <v>318</v>
      </c>
      <c r="G236" s="584">
        <v>100.0</v>
      </c>
      <c r="H236" s="22">
        <v>19.0</v>
      </c>
      <c r="I236" s="112"/>
      <c r="J236" s="681"/>
      <c r="K236" s="587" t="s">
        <v>23</v>
      </c>
      <c r="L236" s="707" t="s">
        <v>28</v>
      </c>
      <c r="M236" s="78">
        <v>20.0</v>
      </c>
      <c r="N236" s="609"/>
      <c r="O236" s="588"/>
    </row>
    <row r="237" ht="20.25" customHeight="1">
      <c r="A237" s="58"/>
      <c r="B237" s="58"/>
      <c r="C237" s="57"/>
      <c r="D237" s="120"/>
      <c r="E237" s="685" t="s">
        <v>317</v>
      </c>
      <c r="F237" s="685" t="s">
        <v>25</v>
      </c>
      <c r="G237" s="582">
        <v>120.0</v>
      </c>
      <c r="H237" s="14">
        <v>1.0</v>
      </c>
      <c r="I237" s="181"/>
      <c r="J237" s="686"/>
      <c r="K237" s="58"/>
      <c r="L237" s="58"/>
      <c r="M237" s="58"/>
      <c r="N237" s="58"/>
      <c r="O237" s="58"/>
    </row>
    <row r="238" ht="24.75" customHeight="1">
      <c r="A238" s="585">
        <v>46229.0</v>
      </c>
      <c r="B238" s="694" t="s">
        <v>45</v>
      </c>
      <c r="C238" s="79">
        <v>602.0</v>
      </c>
      <c r="D238" s="689"/>
      <c r="E238" s="680" t="s">
        <v>317</v>
      </c>
      <c r="F238" s="680" t="s">
        <v>318</v>
      </c>
      <c r="G238" s="681">
        <v>100.0</v>
      </c>
      <c r="H238" s="561">
        <v>19.0</v>
      </c>
      <c r="I238" s="682"/>
      <c r="J238" s="681">
        <f>G238*H238</f>
        <v>1900</v>
      </c>
      <c r="K238" s="690" t="s">
        <v>356</v>
      </c>
      <c r="L238" s="691" t="s">
        <v>375</v>
      </c>
      <c r="M238" s="609">
        <v>20.0</v>
      </c>
      <c r="N238" s="683">
        <f>M238*30</f>
        <v>600</v>
      </c>
      <c r="O238" s="684">
        <f>J238+J239+N238</f>
        <v>2620</v>
      </c>
    </row>
    <row r="239" ht="24.75" customHeight="1">
      <c r="A239" s="58"/>
      <c r="B239" s="58"/>
      <c r="C239" s="58"/>
      <c r="D239" s="679"/>
      <c r="E239" s="685" t="s">
        <v>317</v>
      </c>
      <c r="F239" s="685" t="s">
        <v>25</v>
      </c>
      <c r="G239" s="686">
        <v>120.0</v>
      </c>
      <c r="H239" s="687">
        <v>1.0</v>
      </c>
      <c r="I239" s="688"/>
      <c r="J239" s="686">
        <v>120.0</v>
      </c>
      <c r="K239" s="58"/>
      <c r="L239" s="58"/>
      <c r="M239" s="58"/>
      <c r="N239" s="58"/>
      <c r="O239" s="58"/>
    </row>
    <row r="240" ht="24.75" customHeight="1">
      <c r="A240" s="585">
        <v>46229.0</v>
      </c>
      <c r="B240" s="694" t="s">
        <v>45</v>
      </c>
      <c r="C240" s="183">
        <v>622.0</v>
      </c>
      <c r="D240" s="130"/>
      <c r="E240" s="680" t="s">
        <v>317</v>
      </c>
      <c r="F240" s="680" t="s">
        <v>318</v>
      </c>
      <c r="G240" s="584">
        <v>100.0</v>
      </c>
      <c r="H240" s="22">
        <v>17.0</v>
      </c>
      <c r="I240" s="112"/>
      <c r="J240" s="681"/>
      <c r="K240" s="587" t="s">
        <v>23</v>
      </c>
      <c r="L240" s="707" t="s">
        <v>28</v>
      </c>
      <c r="M240" s="78">
        <v>18.0</v>
      </c>
      <c r="N240" s="609"/>
      <c r="O240" s="588"/>
    </row>
    <row r="241" ht="24.75" customHeight="1">
      <c r="A241" s="58"/>
      <c r="B241" s="58"/>
      <c r="C241" s="57"/>
      <c r="D241" s="120"/>
      <c r="E241" s="685" t="s">
        <v>317</v>
      </c>
      <c r="F241" s="685" t="s">
        <v>25</v>
      </c>
      <c r="G241" s="582">
        <v>120.0</v>
      </c>
      <c r="H241" s="14">
        <v>1.0</v>
      </c>
      <c r="I241" s="181"/>
      <c r="J241" s="686"/>
      <c r="K241" s="58"/>
      <c r="L241" s="58"/>
      <c r="M241" s="58"/>
      <c r="N241" s="58"/>
      <c r="O241" s="58"/>
    </row>
    <row r="242" ht="24.75" customHeight="1">
      <c r="A242" s="585">
        <v>46230.0</v>
      </c>
      <c r="B242" s="173" t="s">
        <v>45</v>
      </c>
      <c r="C242" s="79">
        <v>604.0</v>
      </c>
      <c r="D242" s="689"/>
      <c r="E242" s="680" t="s">
        <v>317</v>
      </c>
      <c r="F242" s="680" t="s">
        <v>318</v>
      </c>
      <c r="G242" s="681">
        <v>100.0</v>
      </c>
      <c r="H242" s="561">
        <v>14.0</v>
      </c>
      <c r="I242" s="682"/>
      <c r="J242" s="681">
        <f t="shared" ref="J242:J243" si="16">G242*H242</f>
        <v>1400</v>
      </c>
      <c r="K242" s="690" t="s">
        <v>356</v>
      </c>
      <c r="L242" s="691" t="s">
        <v>375</v>
      </c>
      <c r="M242" s="609">
        <v>15.0</v>
      </c>
      <c r="N242" s="683">
        <f>M242*30</f>
        <v>450</v>
      </c>
      <c r="O242" s="684">
        <f>J242+J243+N242</f>
        <v>1970</v>
      </c>
    </row>
    <row r="243" ht="24.75" customHeight="1">
      <c r="A243" s="58"/>
      <c r="B243" s="58"/>
      <c r="C243" s="58"/>
      <c r="D243" s="679"/>
      <c r="E243" s="685" t="s">
        <v>317</v>
      </c>
      <c r="F243" s="685" t="s">
        <v>25</v>
      </c>
      <c r="G243" s="686">
        <v>120.0</v>
      </c>
      <c r="H243" s="687">
        <v>1.0</v>
      </c>
      <c r="I243" s="688"/>
      <c r="J243" s="686">
        <f t="shared" si="16"/>
        <v>120</v>
      </c>
      <c r="K243" s="58"/>
      <c r="L243" s="58"/>
      <c r="M243" s="58"/>
      <c r="N243" s="58"/>
      <c r="O243" s="58"/>
    </row>
    <row r="244" ht="24.75" customHeight="1">
      <c r="A244" s="585">
        <v>46230.0</v>
      </c>
      <c r="B244" s="173" t="s">
        <v>45</v>
      </c>
      <c r="C244" s="708">
        <v>622.0</v>
      </c>
      <c r="D244" s="130"/>
      <c r="E244" s="680" t="s">
        <v>317</v>
      </c>
      <c r="F244" s="680" t="s">
        <v>318</v>
      </c>
      <c r="G244" s="681">
        <v>100.0</v>
      </c>
      <c r="H244" s="22">
        <v>20.0</v>
      </c>
      <c r="I244" s="112"/>
      <c r="J244" s="681"/>
      <c r="K244" s="690" t="s">
        <v>23</v>
      </c>
      <c r="L244" s="709" t="s">
        <v>28</v>
      </c>
      <c r="M244" s="78">
        <v>21.0</v>
      </c>
      <c r="N244" s="683"/>
      <c r="O244" s="684"/>
    </row>
    <row r="245" ht="24.75" customHeight="1">
      <c r="A245" s="58"/>
      <c r="B245" s="58"/>
      <c r="C245" s="57"/>
      <c r="D245" s="120"/>
      <c r="E245" s="685" t="s">
        <v>317</v>
      </c>
      <c r="F245" s="685" t="s">
        <v>25</v>
      </c>
      <c r="G245" s="686">
        <v>120.0</v>
      </c>
      <c r="H245" s="710">
        <v>1.0</v>
      </c>
      <c r="I245" s="122"/>
      <c r="J245" s="686"/>
      <c r="K245" s="58"/>
      <c r="L245" s="58"/>
      <c r="M245" s="58"/>
      <c r="N245" s="58"/>
      <c r="O245" s="58"/>
    </row>
    <row r="246" ht="24.75" customHeight="1">
      <c r="A246" s="585">
        <v>46231.0</v>
      </c>
      <c r="B246" s="694" t="s">
        <v>21</v>
      </c>
      <c r="C246" s="79">
        <v>601.0</v>
      </c>
      <c r="D246" s="689"/>
      <c r="E246" s="680" t="s">
        <v>317</v>
      </c>
      <c r="F246" s="680" t="s">
        <v>318</v>
      </c>
      <c r="G246" s="681">
        <v>100.0</v>
      </c>
      <c r="H246" s="561">
        <v>12.0</v>
      </c>
      <c r="I246" s="682"/>
      <c r="J246" s="681">
        <f t="shared" ref="J246:J247" si="17">H246*G246</f>
        <v>1200</v>
      </c>
      <c r="K246" s="690" t="s">
        <v>356</v>
      </c>
      <c r="L246" s="691" t="s">
        <v>375</v>
      </c>
      <c r="M246" s="609">
        <v>13.0</v>
      </c>
      <c r="N246" s="683">
        <f>M246*30</f>
        <v>390</v>
      </c>
      <c r="O246" s="684">
        <f>J246+J247+N246</f>
        <v>1710</v>
      </c>
    </row>
    <row r="247" ht="24.75" customHeight="1">
      <c r="A247" s="58"/>
      <c r="B247" s="58"/>
      <c r="C247" s="58"/>
      <c r="D247" s="679"/>
      <c r="E247" s="685" t="s">
        <v>317</v>
      </c>
      <c r="F247" s="685" t="s">
        <v>25</v>
      </c>
      <c r="G247" s="686">
        <v>120.0</v>
      </c>
      <c r="H247" s="687">
        <v>1.0</v>
      </c>
      <c r="I247" s="688"/>
      <c r="J247" s="686">
        <f t="shared" si="17"/>
        <v>120</v>
      </c>
      <c r="K247" s="58"/>
      <c r="L247" s="58"/>
      <c r="M247" s="58"/>
      <c r="N247" s="58"/>
      <c r="O247" s="58"/>
    </row>
    <row r="248" ht="24.75" customHeight="1">
      <c r="A248" s="585">
        <v>46231.0</v>
      </c>
      <c r="B248" s="173" t="s">
        <v>45</v>
      </c>
      <c r="C248" s="183">
        <v>618.0</v>
      </c>
      <c r="D248" s="130"/>
      <c r="E248" s="680" t="s">
        <v>317</v>
      </c>
      <c r="F248" s="680" t="s">
        <v>318</v>
      </c>
      <c r="G248" s="681">
        <v>100.0</v>
      </c>
      <c r="H248" s="711">
        <v>20.0</v>
      </c>
      <c r="I248" s="112"/>
      <c r="J248" s="681"/>
      <c r="K248" s="690" t="s">
        <v>23</v>
      </c>
      <c r="L248" s="709" t="s">
        <v>28</v>
      </c>
      <c r="M248" s="63">
        <v>21.0</v>
      </c>
      <c r="N248" s="683"/>
      <c r="O248" s="684"/>
    </row>
    <row r="249" ht="24.75" customHeight="1">
      <c r="A249" s="58"/>
      <c r="B249" s="58"/>
      <c r="C249" s="57"/>
      <c r="D249" s="120"/>
      <c r="E249" s="685" t="s">
        <v>317</v>
      </c>
      <c r="F249" s="685" t="s">
        <v>25</v>
      </c>
      <c r="G249" s="686">
        <v>120.0</v>
      </c>
      <c r="H249" s="710">
        <v>1.0</v>
      </c>
      <c r="I249" s="122"/>
      <c r="J249" s="686"/>
      <c r="K249" s="58"/>
      <c r="L249" s="58"/>
      <c r="M249" s="58"/>
      <c r="N249" s="58"/>
      <c r="O249" s="58"/>
    </row>
    <row r="250" ht="24.75" customHeight="1">
      <c r="A250" s="585">
        <v>46232.0</v>
      </c>
      <c r="B250" s="694" t="s">
        <v>21</v>
      </c>
      <c r="C250" s="79">
        <v>601.0</v>
      </c>
      <c r="D250" s="689"/>
      <c r="E250" s="680" t="s">
        <v>317</v>
      </c>
      <c r="F250" s="680" t="s">
        <v>318</v>
      </c>
      <c r="G250" s="681">
        <v>100.0</v>
      </c>
      <c r="H250" s="553">
        <v>16.0</v>
      </c>
      <c r="I250" s="682"/>
      <c r="J250" s="681">
        <f t="shared" ref="J250:J251" si="18">H250*G250</f>
        <v>1600</v>
      </c>
      <c r="K250" s="690" t="s">
        <v>356</v>
      </c>
      <c r="L250" s="691" t="s">
        <v>375</v>
      </c>
      <c r="M250" s="609">
        <v>17.0</v>
      </c>
      <c r="N250" s="683">
        <f>M250*30</f>
        <v>510</v>
      </c>
      <c r="O250" s="684">
        <f>J250+J251+N250</f>
        <v>2230</v>
      </c>
    </row>
    <row r="251" ht="22.5" customHeight="1">
      <c r="A251" s="58"/>
      <c r="B251" s="58"/>
      <c r="C251" s="58"/>
      <c r="D251" s="679"/>
      <c r="E251" s="685" t="s">
        <v>317</v>
      </c>
      <c r="F251" s="685" t="s">
        <v>25</v>
      </c>
      <c r="G251" s="686">
        <v>120.0</v>
      </c>
      <c r="H251" s="687">
        <v>1.0</v>
      </c>
      <c r="I251" s="688"/>
      <c r="J251" s="686">
        <f t="shared" si="18"/>
        <v>120</v>
      </c>
      <c r="K251" s="58"/>
      <c r="L251" s="58"/>
      <c r="M251" s="58"/>
      <c r="N251" s="58"/>
      <c r="O251" s="58"/>
    </row>
    <row r="252" ht="24.75" customHeight="1">
      <c r="A252" s="585">
        <v>46232.0</v>
      </c>
      <c r="B252" s="173" t="s">
        <v>45</v>
      </c>
      <c r="C252" s="183">
        <v>618.0</v>
      </c>
      <c r="D252" s="130"/>
      <c r="E252" s="680" t="s">
        <v>317</v>
      </c>
      <c r="F252" s="680" t="s">
        <v>318</v>
      </c>
      <c r="G252" s="681">
        <v>100.0</v>
      </c>
      <c r="H252" s="22">
        <v>21.0</v>
      </c>
      <c r="I252" s="112"/>
      <c r="J252" s="681"/>
      <c r="K252" s="690" t="s">
        <v>23</v>
      </c>
      <c r="L252" s="709" t="s">
        <v>28</v>
      </c>
      <c r="M252" s="78">
        <v>22.0</v>
      </c>
      <c r="N252" s="683"/>
      <c r="O252" s="684"/>
    </row>
    <row r="253" ht="24.75" customHeight="1">
      <c r="A253" s="58"/>
      <c r="B253" s="58"/>
      <c r="C253" s="57"/>
      <c r="D253" s="120"/>
      <c r="E253" s="685" t="s">
        <v>317</v>
      </c>
      <c r="F253" s="685" t="s">
        <v>25</v>
      </c>
      <c r="G253" s="686">
        <v>120.0</v>
      </c>
      <c r="H253" s="710">
        <v>1.0</v>
      </c>
      <c r="I253" s="122"/>
      <c r="J253" s="686"/>
      <c r="K253" s="58"/>
      <c r="L253" s="58"/>
      <c r="M253" s="58"/>
      <c r="N253" s="58"/>
      <c r="O253" s="58"/>
    </row>
    <row r="254" ht="24.75" customHeight="1">
      <c r="A254" s="585">
        <v>46233.0</v>
      </c>
      <c r="B254" s="694" t="s">
        <v>21</v>
      </c>
      <c r="C254" s="79">
        <v>602.0</v>
      </c>
      <c r="D254" s="689"/>
      <c r="E254" s="680" t="s">
        <v>317</v>
      </c>
      <c r="F254" s="680" t="s">
        <v>318</v>
      </c>
      <c r="G254" s="681">
        <v>100.0</v>
      </c>
      <c r="H254" s="553">
        <v>15.0</v>
      </c>
      <c r="I254" s="682"/>
      <c r="J254" s="681">
        <f t="shared" ref="J254:J255" si="19">H254*G254</f>
        <v>1500</v>
      </c>
      <c r="K254" s="690" t="s">
        <v>356</v>
      </c>
      <c r="L254" s="691" t="s">
        <v>375</v>
      </c>
      <c r="M254" s="609">
        <v>16.0</v>
      </c>
      <c r="N254" s="683">
        <f>M254*30</f>
        <v>480</v>
      </c>
      <c r="O254" s="684">
        <f>J254+J255+N254</f>
        <v>2100</v>
      </c>
    </row>
    <row r="255" ht="24.75" customHeight="1">
      <c r="A255" s="58"/>
      <c r="B255" s="58"/>
      <c r="C255" s="58"/>
      <c r="D255" s="679"/>
      <c r="E255" s="685" t="s">
        <v>317</v>
      </c>
      <c r="F255" s="685" t="s">
        <v>25</v>
      </c>
      <c r="G255" s="686">
        <v>120.0</v>
      </c>
      <c r="H255" s="687">
        <v>1.0</v>
      </c>
      <c r="I255" s="688"/>
      <c r="J255" s="686">
        <f t="shared" si="19"/>
        <v>120</v>
      </c>
      <c r="K255" s="58"/>
      <c r="L255" s="58"/>
      <c r="M255" s="58"/>
      <c r="N255" s="58"/>
      <c r="O255" s="58"/>
    </row>
    <row r="256" ht="24.75" customHeight="1">
      <c r="A256" s="585">
        <v>46233.0</v>
      </c>
      <c r="B256" s="694" t="s">
        <v>21</v>
      </c>
      <c r="C256" s="183">
        <v>603.0</v>
      </c>
      <c r="D256" s="130"/>
      <c r="E256" s="680" t="s">
        <v>317</v>
      </c>
      <c r="F256" s="680" t="s">
        <v>318</v>
      </c>
      <c r="G256" s="681">
        <v>100.0</v>
      </c>
      <c r="H256" s="22">
        <v>19.0</v>
      </c>
      <c r="I256" s="112"/>
      <c r="J256" s="681"/>
      <c r="K256" s="690" t="s">
        <v>23</v>
      </c>
      <c r="L256" s="709" t="s">
        <v>28</v>
      </c>
      <c r="M256" s="78">
        <v>20.0</v>
      </c>
      <c r="N256" s="683"/>
      <c r="O256" s="684"/>
    </row>
    <row r="257" ht="24.75" customHeight="1">
      <c r="A257" s="58"/>
      <c r="B257" s="58"/>
      <c r="C257" s="57"/>
      <c r="D257" s="120"/>
      <c r="E257" s="685" t="s">
        <v>317</v>
      </c>
      <c r="F257" s="685" t="s">
        <v>25</v>
      </c>
      <c r="G257" s="686">
        <v>120.0</v>
      </c>
      <c r="H257" s="710">
        <v>1.0</v>
      </c>
      <c r="I257" s="122"/>
      <c r="J257" s="686"/>
      <c r="K257" s="58"/>
      <c r="L257" s="58"/>
      <c r="M257" s="58"/>
      <c r="N257" s="58"/>
      <c r="O257" s="58"/>
    </row>
    <row r="258" ht="24.75" customHeight="1">
      <c r="A258" s="585">
        <v>46234.0</v>
      </c>
      <c r="B258" s="694" t="s">
        <v>21</v>
      </c>
      <c r="C258" s="79">
        <v>602.0</v>
      </c>
      <c r="D258" s="689"/>
      <c r="E258" s="680" t="s">
        <v>317</v>
      </c>
      <c r="F258" s="680" t="s">
        <v>318</v>
      </c>
      <c r="G258" s="681">
        <v>100.0</v>
      </c>
      <c r="H258" s="553">
        <v>17.0</v>
      </c>
      <c r="I258" s="682"/>
      <c r="J258" s="681">
        <f t="shared" ref="J258:J259" si="20">H258*G258</f>
        <v>1700</v>
      </c>
      <c r="K258" s="690" t="s">
        <v>356</v>
      </c>
      <c r="L258" s="691" t="s">
        <v>375</v>
      </c>
      <c r="M258" s="609">
        <v>18.0</v>
      </c>
      <c r="N258" s="683">
        <f>M258*30</f>
        <v>540</v>
      </c>
      <c r="O258" s="684">
        <f>J258+J259+N258</f>
        <v>2360</v>
      </c>
    </row>
    <row r="259" ht="24.75" customHeight="1">
      <c r="A259" s="58"/>
      <c r="B259" s="58"/>
      <c r="C259" s="58"/>
      <c r="D259" s="679"/>
      <c r="E259" s="685" t="s">
        <v>317</v>
      </c>
      <c r="F259" s="685" t="s">
        <v>25</v>
      </c>
      <c r="G259" s="686">
        <v>120.0</v>
      </c>
      <c r="H259" s="687">
        <v>1.0</v>
      </c>
      <c r="I259" s="688"/>
      <c r="J259" s="686">
        <f t="shared" si="20"/>
        <v>120</v>
      </c>
      <c r="K259" s="58"/>
      <c r="L259" s="58"/>
      <c r="M259" s="58"/>
      <c r="N259" s="58"/>
      <c r="O259" s="58"/>
    </row>
    <row r="260" ht="24.75" customHeight="1">
      <c r="A260" s="585">
        <v>46234.0</v>
      </c>
      <c r="B260" s="694" t="s">
        <v>21</v>
      </c>
      <c r="C260" s="183">
        <v>603.0</v>
      </c>
      <c r="D260" s="130"/>
      <c r="E260" s="680" t="s">
        <v>317</v>
      </c>
      <c r="F260" s="680" t="s">
        <v>318</v>
      </c>
      <c r="G260" s="681">
        <v>100.0</v>
      </c>
      <c r="H260" s="22">
        <v>16.0</v>
      </c>
      <c r="I260" s="112"/>
      <c r="J260" s="681"/>
      <c r="K260" s="690" t="s">
        <v>23</v>
      </c>
      <c r="L260" s="709" t="s">
        <v>28</v>
      </c>
      <c r="M260" s="78">
        <v>17.0</v>
      </c>
      <c r="N260" s="683"/>
      <c r="O260" s="684"/>
    </row>
    <row r="261" ht="24.75" customHeight="1">
      <c r="A261" s="58"/>
      <c r="B261" s="58"/>
      <c r="C261" s="57"/>
      <c r="D261" s="120"/>
      <c r="E261" s="685" t="s">
        <v>317</v>
      </c>
      <c r="F261" s="685" t="s">
        <v>25</v>
      </c>
      <c r="G261" s="686">
        <v>120.0</v>
      </c>
      <c r="H261" s="710">
        <v>1.0</v>
      </c>
      <c r="I261" s="122"/>
      <c r="J261" s="686"/>
      <c r="K261" s="58"/>
      <c r="L261" s="58"/>
      <c r="M261" s="58"/>
      <c r="N261" s="58"/>
      <c r="O261" s="58"/>
    </row>
    <row r="262" ht="24.75" customHeight="1">
      <c r="A262" s="585">
        <v>46235.0</v>
      </c>
      <c r="B262" s="694" t="s">
        <v>21</v>
      </c>
      <c r="C262" s="183">
        <v>603.0</v>
      </c>
      <c r="D262" s="130"/>
      <c r="E262" s="680" t="s">
        <v>317</v>
      </c>
      <c r="F262" s="680" t="s">
        <v>318</v>
      </c>
      <c r="G262" s="681">
        <v>100.0</v>
      </c>
      <c r="H262" s="22">
        <v>19.0</v>
      </c>
      <c r="I262" s="112"/>
      <c r="J262" s="681"/>
      <c r="K262" s="690" t="s">
        <v>23</v>
      </c>
      <c r="L262" s="709" t="s">
        <v>28</v>
      </c>
      <c r="M262" s="78">
        <v>20.0</v>
      </c>
      <c r="N262" s="683"/>
      <c r="O262" s="684"/>
    </row>
    <row r="263" ht="24.75" customHeight="1">
      <c r="A263" s="58"/>
      <c r="B263" s="58"/>
      <c r="C263" s="57"/>
      <c r="D263" s="120"/>
      <c r="E263" s="685" t="s">
        <v>317</v>
      </c>
      <c r="F263" s="685" t="s">
        <v>25</v>
      </c>
      <c r="G263" s="686">
        <v>120.0</v>
      </c>
      <c r="H263" s="710">
        <v>1.0</v>
      </c>
      <c r="I263" s="122"/>
      <c r="J263" s="686"/>
      <c r="K263" s="58"/>
      <c r="L263" s="58"/>
      <c r="M263" s="58"/>
      <c r="N263" s="58"/>
      <c r="O263" s="58"/>
    </row>
    <row r="264" ht="24.75" customHeight="1">
      <c r="A264" s="585">
        <v>46236.0</v>
      </c>
      <c r="B264" s="694" t="s">
        <v>21</v>
      </c>
      <c r="C264" s="79">
        <v>602.0</v>
      </c>
      <c r="D264" s="689"/>
      <c r="E264" s="680" t="s">
        <v>317</v>
      </c>
      <c r="F264" s="680" t="s">
        <v>318</v>
      </c>
      <c r="G264" s="681">
        <v>100.0</v>
      </c>
      <c r="H264" s="553">
        <v>18.0</v>
      </c>
      <c r="I264" s="682"/>
      <c r="J264" s="681">
        <f t="shared" ref="J264:J265" si="21">H264*G264</f>
        <v>1800</v>
      </c>
      <c r="K264" s="690" t="s">
        <v>356</v>
      </c>
      <c r="L264" s="691" t="s">
        <v>375</v>
      </c>
      <c r="M264" s="609">
        <v>19.0</v>
      </c>
      <c r="N264" s="683">
        <f>M264*30</f>
        <v>570</v>
      </c>
      <c r="O264" s="684">
        <f>J264+J265+N264</f>
        <v>2490</v>
      </c>
    </row>
    <row r="265" ht="24.75" customHeight="1">
      <c r="A265" s="58"/>
      <c r="B265" s="58"/>
      <c r="C265" s="58"/>
      <c r="D265" s="679"/>
      <c r="E265" s="685" t="s">
        <v>317</v>
      </c>
      <c r="F265" s="685" t="s">
        <v>25</v>
      </c>
      <c r="G265" s="686">
        <v>120.0</v>
      </c>
      <c r="H265" s="687">
        <v>1.0</v>
      </c>
      <c r="I265" s="688"/>
      <c r="J265" s="686">
        <f t="shared" si="21"/>
        <v>120</v>
      </c>
      <c r="K265" s="58"/>
      <c r="L265" s="58"/>
      <c r="M265" s="58"/>
      <c r="N265" s="58"/>
      <c r="O265" s="58"/>
    </row>
    <row r="266" ht="24.75" customHeight="1">
      <c r="A266" s="585">
        <v>46236.0</v>
      </c>
      <c r="B266" s="694" t="s">
        <v>40</v>
      </c>
      <c r="C266" s="183">
        <v>603.0</v>
      </c>
      <c r="D266" s="130"/>
      <c r="E266" s="680" t="s">
        <v>317</v>
      </c>
      <c r="F266" s="680" t="s">
        <v>318</v>
      </c>
      <c r="G266" s="681">
        <v>100.0</v>
      </c>
      <c r="H266" s="22">
        <v>19.0</v>
      </c>
      <c r="I266" s="112"/>
      <c r="J266" s="681"/>
      <c r="K266" s="690" t="s">
        <v>23</v>
      </c>
      <c r="L266" s="709" t="s">
        <v>28</v>
      </c>
      <c r="M266" s="78">
        <v>20.0</v>
      </c>
      <c r="N266" s="683"/>
      <c r="O266" s="684"/>
    </row>
    <row r="267" ht="24.75" customHeight="1">
      <c r="A267" s="58"/>
      <c r="B267" s="58"/>
      <c r="C267" s="57"/>
      <c r="D267" s="120"/>
      <c r="E267" s="685" t="s">
        <v>317</v>
      </c>
      <c r="F267" s="685" t="s">
        <v>25</v>
      </c>
      <c r="G267" s="686">
        <v>120.0</v>
      </c>
      <c r="H267" s="710">
        <v>1.0</v>
      </c>
      <c r="I267" s="122"/>
      <c r="J267" s="686"/>
      <c r="K267" s="58"/>
      <c r="L267" s="58"/>
      <c r="M267" s="58"/>
      <c r="N267" s="58"/>
      <c r="O267" s="58"/>
    </row>
    <row r="268" ht="24.75" customHeight="1">
      <c r="A268" s="585">
        <v>46237.0</v>
      </c>
      <c r="B268" s="694" t="s">
        <v>21</v>
      </c>
      <c r="C268" s="79">
        <v>604.0</v>
      </c>
      <c r="D268" s="689"/>
      <c r="E268" s="680" t="s">
        <v>317</v>
      </c>
      <c r="F268" s="680" t="s">
        <v>318</v>
      </c>
      <c r="G268" s="681">
        <v>100.0</v>
      </c>
      <c r="H268" s="553">
        <v>19.0</v>
      </c>
      <c r="I268" s="682"/>
      <c r="J268" s="681">
        <f t="shared" ref="J268:J269" si="22">H268*G268</f>
        <v>1900</v>
      </c>
      <c r="K268" s="690" t="s">
        <v>356</v>
      </c>
      <c r="L268" s="691" t="s">
        <v>375</v>
      </c>
      <c r="M268" s="609">
        <v>20.0</v>
      </c>
      <c r="N268" s="683">
        <f>M268*30</f>
        <v>600</v>
      </c>
      <c r="O268" s="684">
        <f>J268+J269+N268</f>
        <v>2620</v>
      </c>
    </row>
    <row r="269" ht="24.75" customHeight="1">
      <c r="A269" s="58"/>
      <c r="B269" s="58"/>
      <c r="C269" s="58"/>
      <c r="D269" s="679"/>
      <c r="E269" s="685" t="s">
        <v>317</v>
      </c>
      <c r="F269" s="685" t="s">
        <v>25</v>
      </c>
      <c r="G269" s="686">
        <v>120.0</v>
      </c>
      <c r="H269" s="687">
        <v>1.0</v>
      </c>
      <c r="I269" s="688"/>
      <c r="J269" s="686">
        <f t="shared" si="22"/>
        <v>120</v>
      </c>
      <c r="K269" s="58"/>
      <c r="L269" s="58"/>
      <c r="M269" s="58"/>
      <c r="N269" s="58"/>
      <c r="O269" s="58"/>
    </row>
    <row r="270" ht="24.75" customHeight="1">
      <c r="A270" s="585">
        <v>46237.0</v>
      </c>
      <c r="B270" s="694" t="s">
        <v>40</v>
      </c>
      <c r="C270" s="183">
        <v>605.0</v>
      </c>
      <c r="D270" s="130"/>
      <c r="E270" s="680" t="s">
        <v>317</v>
      </c>
      <c r="F270" s="680" t="s">
        <v>318</v>
      </c>
      <c r="G270" s="681">
        <v>100.0</v>
      </c>
      <c r="H270" s="22">
        <v>20.0</v>
      </c>
      <c r="I270" s="112"/>
      <c r="J270" s="681"/>
      <c r="K270" s="690" t="s">
        <v>23</v>
      </c>
      <c r="L270" s="709" t="s">
        <v>28</v>
      </c>
      <c r="M270" s="78">
        <v>21.0</v>
      </c>
      <c r="N270" s="683"/>
      <c r="O270" s="684"/>
    </row>
    <row r="271" ht="24.75" customHeight="1">
      <c r="A271" s="58"/>
      <c r="B271" s="58"/>
      <c r="C271" s="57"/>
      <c r="D271" s="120"/>
      <c r="E271" s="685" t="s">
        <v>317</v>
      </c>
      <c r="F271" s="685" t="s">
        <v>25</v>
      </c>
      <c r="G271" s="686">
        <v>120.0</v>
      </c>
      <c r="H271" s="710">
        <v>1.0</v>
      </c>
      <c r="I271" s="122"/>
      <c r="J271" s="686"/>
      <c r="K271" s="58"/>
      <c r="L271" s="58"/>
      <c r="M271" s="58"/>
      <c r="N271" s="58"/>
      <c r="O271" s="58"/>
    </row>
    <row r="272" ht="24.75" customHeight="1">
      <c r="A272" s="585">
        <v>46238.0</v>
      </c>
      <c r="B272" s="694" t="s">
        <v>21</v>
      </c>
      <c r="C272" s="79">
        <v>604.0</v>
      </c>
      <c r="D272" s="689"/>
      <c r="E272" s="680" t="s">
        <v>317</v>
      </c>
      <c r="F272" s="680" t="s">
        <v>318</v>
      </c>
      <c r="G272" s="681">
        <v>100.0</v>
      </c>
      <c r="H272" s="553">
        <v>16.0</v>
      </c>
      <c r="I272" s="682"/>
      <c r="J272" s="681">
        <f t="shared" ref="J272:J273" si="23">H272*G272</f>
        <v>1600</v>
      </c>
      <c r="K272" s="690" t="s">
        <v>356</v>
      </c>
      <c r="L272" s="691" t="s">
        <v>375</v>
      </c>
      <c r="M272" s="609">
        <v>17.0</v>
      </c>
      <c r="N272" s="683">
        <f>M272*30</f>
        <v>510</v>
      </c>
      <c r="O272" s="684">
        <f>J272+J273+N272</f>
        <v>2230</v>
      </c>
    </row>
    <row r="273" ht="24.75" customHeight="1">
      <c r="A273" s="58"/>
      <c r="B273" s="58"/>
      <c r="C273" s="58"/>
      <c r="D273" s="679"/>
      <c r="E273" s="685" t="s">
        <v>317</v>
      </c>
      <c r="F273" s="685" t="s">
        <v>25</v>
      </c>
      <c r="G273" s="686">
        <v>120.0</v>
      </c>
      <c r="H273" s="687">
        <v>1.0</v>
      </c>
      <c r="I273" s="688"/>
      <c r="J273" s="686">
        <f t="shared" si="23"/>
        <v>120</v>
      </c>
      <c r="K273" s="58"/>
      <c r="L273" s="58"/>
      <c r="M273" s="58"/>
      <c r="N273" s="58"/>
      <c r="O273" s="58"/>
    </row>
    <row r="274" ht="24.75" customHeight="1">
      <c r="A274" s="585">
        <v>46238.0</v>
      </c>
      <c r="B274" s="694" t="s">
        <v>40</v>
      </c>
      <c r="C274" s="183">
        <v>605.0</v>
      </c>
      <c r="D274" s="130"/>
      <c r="E274" s="680" t="s">
        <v>317</v>
      </c>
      <c r="F274" s="680" t="s">
        <v>318</v>
      </c>
      <c r="G274" s="681">
        <v>100.0</v>
      </c>
      <c r="H274" s="22">
        <v>19.0</v>
      </c>
      <c r="I274" s="112"/>
      <c r="J274" s="681"/>
      <c r="K274" s="690" t="s">
        <v>23</v>
      </c>
      <c r="L274" s="709" t="s">
        <v>28</v>
      </c>
      <c r="M274" s="78">
        <v>20.0</v>
      </c>
      <c r="N274" s="683"/>
      <c r="O274" s="684"/>
    </row>
    <row r="275" ht="24.75" customHeight="1">
      <c r="A275" s="58"/>
      <c r="B275" s="58"/>
      <c r="C275" s="57"/>
      <c r="D275" s="120"/>
      <c r="E275" s="685" t="s">
        <v>317</v>
      </c>
      <c r="F275" s="685" t="s">
        <v>25</v>
      </c>
      <c r="G275" s="686">
        <v>120.0</v>
      </c>
      <c r="H275" s="710">
        <v>1.0</v>
      </c>
      <c r="I275" s="122"/>
      <c r="J275" s="686"/>
      <c r="K275" s="58"/>
      <c r="L275" s="58"/>
      <c r="M275" s="58"/>
      <c r="N275" s="58"/>
      <c r="O275" s="58"/>
    </row>
    <row r="276" ht="24.75" customHeight="1">
      <c r="A276" s="585">
        <v>46239.0</v>
      </c>
      <c r="B276" s="694" t="s">
        <v>21</v>
      </c>
      <c r="C276" s="79">
        <v>604.0</v>
      </c>
      <c r="D276" s="689"/>
      <c r="E276" s="680" t="s">
        <v>317</v>
      </c>
      <c r="F276" s="680" t="s">
        <v>318</v>
      </c>
      <c r="G276" s="681">
        <v>100.0</v>
      </c>
      <c r="H276" s="553">
        <v>19.0</v>
      </c>
      <c r="I276" s="682"/>
      <c r="J276" s="681">
        <f t="shared" ref="J276:J277" si="24">H276*G276</f>
        <v>1900</v>
      </c>
      <c r="K276" s="690" t="s">
        <v>356</v>
      </c>
      <c r="L276" s="691" t="s">
        <v>375</v>
      </c>
      <c r="M276" s="609">
        <v>20.0</v>
      </c>
      <c r="N276" s="683">
        <f>M276*30</f>
        <v>600</v>
      </c>
      <c r="O276" s="684">
        <f>J276+J277+N276</f>
        <v>2620</v>
      </c>
    </row>
    <row r="277" ht="31.5" customHeight="1">
      <c r="A277" s="58"/>
      <c r="B277" s="58"/>
      <c r="C277" s="58"/>
      <c r="D277" s="679"/>
      <c r="E277" s="685" t="s">
        <v>317</v>
      </c>
      <c r="F277" s="685" t="s">
        <v>25</v>
      </c>
      <c r="G277" s="686">
        <v>120.0</v>
      </c>
      <c r="H277" s="687">
        <v>1.0</v>
      </c>
      <c r="I277" s="688"/>
      <c r="J277" s="686">
        <f t="shared" si="24"/>
        <v>120</v>
      </c>
      <c r="K277" s="58"/>
      <c r="L277" s="58"/>
      <c r="M277" s="58"/>
      <c r="N277" s="58"/>
      <c r="O277" s="58"/>
    </row>
    <row r="278" ht="24.75" customHeight="1">
      <c r="A278" s="585">
        <v>46239.0</v>
      </c>
      <c r="B278" s="694" t="s">
        <v>40</v>
      </c>
      <c r="C278" s="183">
        <v>603.0</v>
      </c>
      <c r="D278" s="130"/>
      <c r="E278" s="680" t="s">
        <v>317</v>
      </c>
      <c r="F278" s="680" t="s">
        <v>318</v>
      </c>
      <c r="G278" s="681">
        <v>100.0</v>
      </c>
      <c r="H278" s="22">
        <v>19.0</v>
      </c>
      <c r="I278" s="112"/>
      <c r="J278" s="681"/>
      <c r="K278" s="690" t="s">
        <v>23</v>
      </c>
      <c r="L278" s="709" t="s">
        <v>28</v>
      </c>
      <c r="M278" s="78">
        <v>20.0</v>
      </c>
      <c r="N278" s="683"/>
      <c r="O278" s="684"/>
    </row>
    <row r="279" ht="24.75" customHeight="1">
      <c r="A279" s="58"/>
      <c r="B279" s="58"/>
      <c r="C279" s="57"/>
      <c r="D279" s="120"/>
      <c r="E279" s="685" t="s">
        <v>317</v>
      </c>
      <c r="F279" s="685" t="s">
        <v>25</v>
      </c>
      <c r="G279" s="686">
        <v>120.0</v>
      </c>
      <c r="H279" s="710">
        <v>1.0</v>
      </c>
      <c r="I279" s="122"/>
      <c r="J279" s="686"/>
      <c r="K279" s="58"/>
      <c r="L279" s="58"/>
      <c r="M279" s="58"/>
      <c r="N279" s="58"/>
      <c r="O279" s="58"/>
    </row>
    <row r="280" ht="24.75" customHeight="1">
      <c r="A280" s="585">
        <v>46240.0</v>
      </c>
      <c r="B280" s="694" t="s">
        <v>45</v>
      </c>
      <c r="C280" s="79">
        <v>606.0</v>
      </c>
      <c r="D280" s="689"/>
      <c r="E280" s="680" t="s">
        <v>317</v>
      </c>
      <c r="F280" s="680" t="s">
        <v>318</v>
      </c>
      <c r="G280" s="681">
        <v>100.0</v>
      </c>
      <c r="H280" s="553">
        <v>18.0</v>
      </c>
      <c r="I280" s="682"/>
      <c r="J280" s="681">
        <f t="shared" ref="J280:J281" si="25">H280*G280</f>
        <v>1800</v>
      </c>
      <c r="K280" s="690" t="s">
        <v>356</v>
      </c>
      <c r="L280" s="691" t="s">
        <v>375</v>
      </c>
      <c r="M280" s="609">
        <v>19.0</v>
      </c>
      <c r="N280" s="683">
        <f>M280*30</f>
        <v>570</v>
      </c>
      <c r="O280" s="684">
        <f>J280+J281+N280</f>
        <v>2490</v>
      </c>
    </row>
    <row r="281" ht="24.75" customHeight="1">
      <c r="A281" s="58"/>
      <c r="B281" s="58"/>
      <c r="C281" s="58"/>
      <c r="D281" s="679"/>
      <c r="E281" s="685" t="s">
        <v>317</v>
      </c>
      <c r="F281" s="685" t="s">
        <v>25</v>
      </c>
      <c r="G281" s="686">
        <v>120.0</v>
      </c>
      <c r="H281" s="687">
        <v>1.0</v>
      </c>
      <c r="I281" s="688"/>
      <c r="J281" s="686">
        <f t="shared" si="25"/>
        <v>120</v>
      </c>
      <c r="K281" s="58"/>
      <c r="L281" s="58"/>
      <c r="M281" s="58"/>
      <c r="N281" s="58"/>
      <c r="O281" s="58"/>
    </row>
    <row r="282" ht="24.75" customHeight="1">
      <c r="A282" s="585">
        <v>46240.0</v>
      </c>
      <c r="B282" s="694" t="s">
        <v>45</v>
      </c>
      <c r="C282" s="183">
        <v>608.0</v>
      </c>
      <c r="D282" s="130"/>
      <c r="E282" s="680" t="s">
        <v>317</v>
      </c>
      <c r="F282" s="680" t="s">
        <v>318</v>
      </c>
      <c r="G282" s="681">
        <v>100.0</v>
      </c>
      <c r="H282" s="22">
        <v>17.0</v>
      </c>
      <c r="I282" s="112"/>
      <c r="J282" s="681"/>
      <c r="K282" s="690" t="s">
        <v>23</v>
      </c>
      <c r="L282" s="709" t="s">
        <v>28</v>
      </c>
      <c r="M282" s="78">
        <v>17.0</v>
      </c>
      <c r="N282" s="683"/>
      <c r="O282" s="684"/>
    </row>
    <row r="283" ht="24.75" customHeight="1">
      <c r="A283" s="58"/>
      <c r="B283" s="58"/>
      <c r="C283" s="57"/>
      <c r="D283" s="120"/>
      <c r="E283" s="685" t="s">
        <v>317</v>
      </c>
      <c r="F283" s="685" t="s">
        <v>25</v>
      </c>
      <c r="G283" s="686">
        <v>120.0</v>
      </c>
      <c r="H283" s="710">
        <v>1.0</v>
      </c>
      <c r="I283" s="122"/>
      <c r="J283" s="686"/>
      <c r="K283" s="58"/>
      <c r="L283" s="58"/>
      <c r="M283" s="58"/>
      <c r="N283" s="58"/>
      <c r="O283" s="58"/>
    </row>
    <row r="284" ht="24.75" customHeight="1">
      <c r="A284" s="585">
        <v>46241.0</v>
      </c>
      <c r="B284" s="694" t="s">
        <v>45</v>
      </c>
      <c r="C284" s="79">
        <v>617.0</v>
      </c>
      <c r="D284" s="689"/>
      <c r="E284" s="680" t="s">
        <v>317</v>
      </c>
      <c r="F284" s="680" t="s">
        <v>318</v>
      </c>
      <c r="G284" s="681">
        <v>100.0</v>
      </c>
      <c r="H284" s="553">
        <v>20.0</v>
      </c>
      <c r="I284" s="682"/>
      <c r="J284" s="681">
        <f t="shared" ref="J284:J285" si="26">H284*G284</f>
        <v>2000</v>
      </c>
      <c r="K284" s="690" t="s">
        <v>356</v>
      </c>
      <c r="L284" s="691" t="s">
        <v>375</v>
      </c>
      <c r="M284" s="609">
        <v>21.0</v>
      </c>
      <c r="N284" s="683">
        <f>M284*30</f>
        <v>630</v>
      </c>
      <c r="O284" s="684">
        <f>J284+J285+N284</f>
        <v>2750</v>
      </c>
    </row>
    <row r="285" ht="24.75" customHeight="1">
      <c r="A285" s="58"/>
      <c r="B285" s="58"/>
      <c r="C285" s="58"/>
      <c r="D285" s="679"/>
      <c r="E285" s="685" t="s">
        <v>317</v>
      </c>
      <c r="F285" s="685" t="s">
        <v>25</v>
      </c>
      <c r="G285" s="686">
        <v>120.0</v>
      </c>
      <c r="H285" s="687">
        <v>1.0</v>
      </c>
      <c r="I285" s="688"/>
      <c r="J285" s="686">
        <f t="shared" si="26"/>
        <v>120</v>
      </c>
      <c r="K285" s="58"/>
      <c r="L285" s="58"/>
      <c r="M285" s="58"/>
      <c r="N285" s="58"/>
      <c r="O285" s="58"/>
    </row>
    <row r="286" ht="24.75" customHeight="1">
      <c r="A286" s="585">
        <v>46241.0</v>
      </c>
      <c r="B286" s="694" t="s">
        <v>45</v>
      </c>
      <c r="C286" s="183">
        <v>609.0</v>
      </c>
      <c r="D286" s="130"/>
      <c r="E286" s="680" t="s">
        <v>317</v>
      </c>
      <c r="F286" s="680" t="s">
        <v>318</v>
      </c>
      <c r="G286" s="681">
        <v>100.0</v>
      </c>
      <c r="H286" s="14">
        <v>18.0</v>
      </c>
      <c r="I286" s="112"/>
      <c r="J286" s="681"/>
      <c r="K286" s="690" t="s">
        <v>23</v>
      </c>
      <c r="L286" s="709" t="s">
        <v>28</v>
      </c>
      <c r="M286" s="21">
        <v>19.0</v>
      </c>
      <c r="N286" s="683"/>
      <c r="O286" s="684"/>
    </row>
    <row r="287" ht="24.75" customHeight="1">
      <c r="A287" s="58"/>
      <c r="B287" s="58"/>
      <c r="C287" s="57"/>
      <c r="D287" s="120"/>
      <c r="E287" s="685" t="s">
        <v>317</v>
      </c>
      <c r="F287" s="685" t="s">
        <v>25</v>
      </c>
      <c r="G287" s="686">
        <v>120.0</v>
      </c>
      <c r="H287" s="710">
        <v>1.0</v>
      </c>
      <c r="I287" s="122"/>
      <c r="J287" s="686"/>
      <c r="K287" s="58"/>
      <c r="L287" s="58"/>
      <c r="M287" s="58"/>
      <c r="N287" s="58"/>
      <c r="O287" s="58"/>
    </row>
    <row r="288" ht="40.5" customHeight="1">
      <c r="A288" s="712">
        <v>46241.0</v>
      </c>
      <c r="B288" s="713" t="s">
        <v>40</v>
      </c>
      <c r="C288" s="714">
        <v>613.0</v>
      </c>
      <c r="D288" s="715"/>
      <c r="E288" s="716" t="s">
        <v>317</v>
      </c>
      <c r="F288" s="716" t="s">
        <v>318</v>
      </c>
      <c r="G288" s="717">
        <v>100.0</v>
      </c>
      <c r="H288" s="718">
        <v>21.0</v>
      </c>
      <c r="I288" s="719"/>
      <c r="J288" s="717">
        <v>2000.0</v>
      </c>
      <c r="K288" s="720" t="s">
        <v>356</v>
      </c>
      <c r="L288" s="621" t="s">
        <v>429</v>
      </c>
      <c r="M288" s="721">
        <v>22.0</v>
      </c>
      <c r="N288" s="717"/>
      <c r="O288" s="717"/>
    </row>
    <row r="289" ht="40.5" customHeight="1">
      <c r="A289" s="58"/>
      <c r="B289" s="58"/>
      <c r="C289" s="58"/>
      <c r="D289" s="722"/>
      <c r="E289" s="716" t="s">
        <v>317</v>
      </c>
      <c r="F289" s="716" t="s">
        <v>25</v>
      </c>
      <c r="G289" s="716">
        <v>120.0</v>
      </c>
      <c r="H289" s="723">
        <v>1.0</v>
      </c>
      <c r="I289" s="724"/>
      <c r="J289" s="716">
        <v>120.0</v>
      </c>
      <c r="K289" s="725"/>
      <c r="L289" s="58"/>
      <c r="M289" s="58"/>
      <c r="N289" s="726"/>
      <c r="O289" s="726"/>
    </row>
    <row r="290" ht="24.75" customHeight="1">
      <c r="A290" s="585">
        <v>46242.0</v>
      </c>
      <c r="B290" s="694" t="s">
        <v>45</v>
      </c>
      <c r="C290" s="79">
        <v>616.0</v>
      </c>
      <c r="D290" s="689"/>
      <c r="E290" s="680" t="s">
        <v>317</v>
      </c>
      <c r="F290" s="680" t="s">
        <v>318</v>
      </c>
      <c r="G290" s="681">
        <v>100.0</v>
      </c>
      <c r="H290" s="553">
        <v>14.0</v>
      </c>
      <c r="I290" s="682"/>
      <c r="J290" s="681">
        <f t="shared" ref="J290:J291" si="27">H290*G290</f>
        <v>1400</v>
      </c>
      <c r="K290" s="690" t="s">
        <v>356</v>
      </c>
      <c r="L290" s="691" t="s">
        <v>375</v>
      </c>
      <c r="M290" s="609">
        <v>15.0</v>
      </c>
      <c r="N290" s="683">
        <f>M290*30</f>
        <v>450</v>
      </c>
      <c r="O290" s="684">
        <f>J290+J291+N290</f>
        <v>1970</v>
      </c>
    </row>
    <row r="291" ht="24.75" customHeight="1">
      <c r="A291" s="58"/>
      <c r="B291" s="58"/>
      <c r="C291" s="58"/>
      <c r="D291" s="679"/>
      <c r="E291" s="685" t="s">
        <v>317</v>
      </c>
      <c r="F291" s="685" t="s">
        <v>25</v>
      </c>
      <c r="G291" s="686">
        <v>120.0</v>
      </c>
      <c r="H291" s="687">
        <v>1.0</v>
      </c>
      <c r="I291" s="688"/>
      <c r="J291" s="686">
        <f t="shared" si="27"/>
        <v>120</v>
      </c>
      <c r="K291" s="58"/>
      <c r="L291" s="58"/>
      <c r="M291" s="58"/>
      <c r="N291" s="58"/>
      <c r="O291" s="58"/>
    </row>
    <row r="292" ht="24.75" customHeight="1">
      <c r="A292" s="585">
        <v>46242.0</v>
      </c>
      <c r="B292" s="694" t="s">
        <v>45</v>
      </c>
      <c r="C292" s="183">
        <v>620.0</v>
      </c>
      <c r="D292" s="130"/>
      <c r="E292" s="680" t="s">
        <v>317</v>
      </c>
      <c r="F292" s="680" t="s">
        <v>318</v>
      </c>
      <c r="G292" s="681">
        <v>100.0</v>
      </c>
      <c r="H292" s="22">
        <v>19.0</v>
      </c>
      <c r="I292" s="112"/>
      <c r="J292" s="681"/>
      <c r="K292" s="690" t="s">
        <v>23</v>
      </c>
      <c r="L292" s="709" t="s">
        <v>28</v>
      </c>
      <c r="M292" s="78">
        <v>20.0</v>
      </c>
      <c r="N292" s="683"/>
      <c r="O292" s="684"/>
    </row>
    <row r="293" ht="24.75" customHeight="1">
      <c r="A293" s="58"/>
      <c r="B293" s="58"/>
      <c r="C293" s="57"/>
      <c r="D293" s="120"/>
      <c r="E293" s="685" t="s">
        <v>317</v>
      </c>
      <c r="F293" s="685" t="s">
        <v>25</v>
      </c>
      <c r="G293" s="686">
        <v>120.0</v>
      </c>
      <c r="H293" s="710">
        <v>1.0</v>
      </c>
      <c r="I293" s="122"/>
      <c r="J293" s="686"/>
      <c r="K293" s="58"/>
      <c r="L293" s="58"/>
      <c r="M293" s="58"/>
      <c r="N293" s="58"/>
      <c r="O293" s="58"/>
    </row>
    <row r="294" ht="40.5" customHeight="1">
      <c r="A294" s="712">
        <v>46242.0</v>
      </c>
      <c r="B294" s="713" t="s">
        <v>40</v>
      </c>
      <c r="C294" s="714">
        <v>613.0</v>
      </c>
      <c r="D294" s="715"/>
      <c r="E294" s="716" t="s">
        <v>317</v>
      </c>
      <c r="F294" s="716" t="s">
        <v>318</v>
      </c>
      <c r="G294" s="717">
        <v>100.0</v>
      </c>
      <c r="H294" s="718">
        <v>22.0</v>
      </c>
      <c r="I294" s="719"/>
      <c r="J294" s="717">
        <v>2000.0</v>
      </c>
      <c r="K294" s="720" t="s">
        <v>356</v>
      </c>
      <c r="L294" s="621" t="s">
        <v>429</v>
      </c>
      <c r="M294" s="721">
        <v>23.0</v>
      </c>
      <c r="N294" s="717"/>
      <c r="O294" s="717"/>
    </row>
    <row r="295" ht="40.5" customHeight="1">
      <c r="A295" s="58"/>
      <c r="B295" s="58"/>
      <c r="C295" s="58"/>
      <c r="D295" s="722"/>
      <c r="E295" s="716" t="s">
        <v>317</v>
      </c>
      <c r="F295" s="716" t="s">
        <v>25</v>
      </c>
      <c r="G295" s="716">
        <v>120.0</v>
      </c>
      <c r="H295" s="723">
        <v>1.0</v>
      </c>
      <c r="I295" s="724"/>
      <c r="J295" s="716">
        <v>120.0</v>
      </c>
      <c r="K295" s="725"/>
      <c r="L295" s="58"/>
      <c r="M295" s="58"/>
      <c r="N295" s="726"/>
      <c r="O295" s="726"/>
    </row>
    <row r="296" ht="24.75" customHeight="1">
      <c r="A296" s="585">
        <v>46243.0</v>
      </c>
      <c r="B296" s="694" t="s">
        <v>45</v>
      </c>
      <c r="C296" s="79">
        <v>616.0</v>
      </c>
      <c r="D296" s="689"/>
      <c r="E296" s="680" t="s">
        <v>317</v>
      </c>
      <c r="F296" s="680" t="s">
        <v>318</v>
      </c>
      <c r="G296" s="681">
        <v>100.0</v>
      </c>
      <c r="H296" s="553">
        <v>18.0</v>
      </c>
      <c r="I296" s="682"/>
      <c r="J296" s="681">
        <f t="shared" ref="J296:J297" si="28">H296*G296</f>
        <v>1800</v>
      </c>
      <c r="K296" s="690" t="s">
        <v>356</v>
      </c>
      <c r="L296" s="691" t="s">
        <v>375</v>
      </c>
      <c r="M296" s="609">
        <v>19.0</v>
      </c>
      <c r="N296" s="683">
        <f>M296*30</f>
        <v>570</v>
      </c>
      <c r="O296" s="684">
        <f>J296+J297+N296</f>
        <v>2490</v>
      </c>
    </row>
    <row r="297" ht="24.75" customHeight="1">
      <c r="A297" s="58"/>
      <c r="B297" s="58"/>
      <c r="C297" s="58"/>
      <c r="D297" s="679"/>
      <c r="E297" s="685" t="s">
        <v>317</v>
      </c>
      <c r="F297" s="685" t="s">
        <v>25</v>
      </c>
      <c r="G297" s="686">
        <v>120.0</v>
      </c>
      <c r="H297" s="687">
        <v>1.0</v>
      </c>
      <c r="I297" s="688"/>
      <c r="J297" s="686">
        <f t="shared" si="28"/>
        <v>120</v>
      </c>
      <c r="K297" s="58"/>
      <c r="L297" s="58"/>
      <c r="M297" s="58"/>
      <c r="N297" s="58"/>
      <c r="O297" s="58"/>
    </row>
    <row r="298" ht="24.75" customHeight="1">
      <c r="A298" s="585">
        <v>46243.0</v>
      </c>
      <c r="B298" s="694" t="s">
        <v>45</v>
      </c>
      <c r="C298" s="183">
        <v>620.0</v>
      </c>
      <c r="D298" s="130"/>
      <c r="E298" s="680" t="s">
        <v>317</v>
      </c>
      <c r="F298" s="680" t="s">
        <v>318</v>
      </c>
      <c r="G298" s="681">
        <v>100.0</v>
      </c>
      <c r="H298" s="22">
        <v>19.0</v>
      </c>
      <c r="I298" s="112"/>
      <c r="J298" s="681"/>
      <c r="K298" s="690" t="s">
        <v>23</v>
      </c>
      <c r="L298" s="709" t="s">
        <v>28</v>
      </c>
      <c r="M298" s="78">
        <v>20.0</v>
      </c>
      <c r="N298" s="683"/>
      <c r="O298" s="684"/>
    </row>
    <row r="299" ht="24.75" customHeight="1">
      <c r="A299" s="58"/>
      <c r="B299" s="58"/>
      <c r="C299" s="57"/>
      <c r="D299" s="120"/>
      <c r="E299" s="685" t="s">
        <v>317</v>
      </c>
      <c r="F299" s="685" t="s">
        <v>25</v>
      </c>
      <c r="G299" s="686">
        <v>120.0</v>
      </c>
      <c r="H299" s="710">
        <v>1.0</v>
      </c>
      <c r="I299" s="122"/>
      <c r="J299" s="686"/>
      <c r="K299" s="58"/>
      <c r="L299" s="58"/>
      <c r="M299" s="58"/>
      <c r="N299" s="58"/>
      <c r="O299" s="58"/>
    </row>
    <row r="300" ht="40.5" customHeight="1">
      <c r="A300" s="712">
        <v>46243.0</v>
      </c>
      <c r="B300" s="713" t="s">
        <v>40</v>
      </c>
      <c r="C300" s="714">
        <v>613.0</v>
      </c>
      <c r="D300" s="715"/>
      <c r="E300" s="716" t="s">
        <v>317</v>
      </c>
      <c r="F300" s="716" t="s">
        <v>318</v>
      </c>
      <c r="G300" s="717">
        <v>100.0</v>
      </c>
      <c r="H300" s="718">
        <v>21.0</v>
      </c>
      <c r="I300" s="719"/>
      <c r="J300" s="717">
        <v>2000.0</v>
      </c>
      <c r="K300" s="720" t="s">
        <v>356</v>
      </c>
      <c r="L300" s="621" t="s">
        <v>429</v>
      </c>
      <c r="M300" s="721">
        <v>22.0</v>
      </c>
      <c r="N300" s="717"/>
      <c r="O300" s="717"/>
    </row>
    <row r="301" ht="40.5" customHeight="1">
      <c r="A301" s="58"/>
      <c r="B301" s="58"/>
      <c r="C301" s="58"/>
      <c r="D301" s="722"/>
      <c r="E301" s="716" t="s">
        <v>317</v>
      </c>
      <c r="F301" s="716" t="s">
        <v>25</v>
      </c>
      <c r="G301" s="716">
        <v>120.0</v>
      </c>
      <c r="H301" s="723">
        <v>1.0</v>
      </c>
      <c r="I301" s="724"/>
      <c r="J301" s="716">
        <v>120.0</v>
      </c>
      <c r="K301" s="725"/>
      <c r="L301" s="58"/>
      <c r="M301" s="58"/>
      <c r="N301" s="726"/>
      <c r="O301" s="726"/>
    </row>
    <row r="302" ht="24.75" customHeight="1">
      <c r="A302" s="585">
        <v>46244.0</v>
      </c>
      <c r="B302" s="694" t="s">
        <v>21</v>
      </c>
      <c r="C302" s="79">
        <v>604.0</v>
      </c>
      <c r="D302" s="689"/>
      <c r="E302" s="680" t="s">
        <v>317</v>
      </c>
      <c r="F302" s="680" t="s">
        <v>318</v>
      </c>
      <c r="G302" s="681">
        <v>100.0</v>
      </c>
      <c r="H302" s="553">
        <v>14.0</v>
      </c>
      <c r="I302" s="682"/>
      <c r="J302" s="681">
        <f t="shared" ref="J302:J303" si="29">H302*G302</f>
        <v>1400</v>
      </c>
      <c r="K302" s="690" t="s">
        <v>356</v>
      </c>
      <c r="L302" s="691" t="s">
        <v>375</v>
      </c>
      <c r="M302" s="609">
        <v>15.0</v>
      </c>
      <c r="N302" s="683">
        <f>M302*30</f>
        <v>450</v>
      </c>
      <c r="O302" s="684">
        <f>J302+J303+N302</f>
        <v>1970</v>
      </c>
    </row>
    <row r="303" ht="24.75" customHeight="1">
      <c r="A303" s="58"/>
      <c r="B303" s="58"/>
      <c r="C303" s="58"/>
      <c r="D303" s="679"/>
      <c r="E303" s="685" t="s">
        <v>317</v>
      </c>
      <c r="F303" s="685" t="s">
        <v>25</v>
      </c>
      <c r="G303" s="686">
        <v>120.0</v>
      </c>
      <c r="H303" s="687">
        <v>1.0</v>
      </c>
      <c r="I303" s="688"/>
      <c r="J303" s="686">
        <f t="shared" si="29"/>
        <v>120</v>
      </c>
      <c r="K303" s="58"/>
      <c r="L303" s="58"/>
      <c r="M303" s="58"/>
      <c r="N303" s="58"/>
      <c r="O303" s="58"/>
    </row>
    <row r="304" ht="24.75" customHeight="1">
      <c r="A304" s="585">
        <v>46244.0</v>
      </c>
      <c r="B304" s="694" t="s">
        <v>45</v>
      </c>
      <c r="C304" s="183">
        <v>614.0</v>
      </c>
      <c r="D304" s="130"/>
      <c r="E304" s="680" t="s">
        <v>317</v>
      </c>
      <c r="F304" s="680" t="s">
        <v>318</v>
      </c>
      <c r="G304" s="681">
        <v>100.0</v>
      </c>
      <c r="H304" s="22">
        <v>19.0</v>
      </c>
      <c r="I304" s="112"/>
      <c r="J304" s="681"/>
      <c r="K304" s="690" t="s">
        <v>23</v>
      </c>
      <c r="L304" s="709" t="s">
        <v>28</v>
      </c>
      <c r="M304" s="78">
        <v>20.0</v>
      </c>
      <c r="N304" s="683"/>
      <c r="O304" s="684"/>
    </row>
    <row r="305" ht="24.75" customHeight="1">
      <c r="A305" s="58"/>
      <c r="B305" s="58"/>
      <c r="C305" s="57"/>
      <c r="D305" s="120"/>
      <c r="E305" s="685" t="s">
        <v>317</v>
      </c>
      <c r="F305" s="685" t="s">
        <v>25</v>
      </c>
      <c r="G305" s="686">
        <v>120.0</v>
      </c>
      <c r="H305" s="710">
        <v>1.0</v>
      </c>
      <c r="I305" s="122"/>
      <c r="J305" s="686"/>
      <c r="K305" s="58"/>
      <c r="L305" s="58"/>
      <c r="M305" s="58"/>
      <c r="N305" s="58"/>
      <c r="O305" s="58"/>
    </row>
    <row r="306" ht="40.5" customHeight="1">
      <c r="A306" s="712">
        <v>46244.0</v>
      </c>
      <c r="B306" s="713" t="s">
        <v>40</v>
      </c>
      <c r="C306" s="714">
        <v>622.0</v>
      </c>
      <c r="D306" s="715"/>
      <c r="E306" s="716" t="s">
        <v>317</v>
      </c>
      <c r="F306" s="716" t="s">
        <v>318</v>
      </c>
      <c r="G306" s="717">
        <v>100.0</v>
      </c>
      <c r="H306" s="718">
        <v>21.0</v>
      </c>
      <c r="I306" s="719"/>
      <c r="J306" s="717">
        <v>2000.0</v>
      </c>
      <c r="K306" s="720" t="s">
        <v>356</v>
      </c>
      <c r="L306" s="621" t="s">
        <v>429</v>
      </c>
      <c r="M306" s="721">
        <v>22.0</v>
      </c>
      <c r="N306" s="717"/>
      <c r="O306" s="717"/>
    </row>
    <row r="307" ht="40.5" customHeight="1">
      <c r="A307" s="58"/>
      <c r="B307" s="58"/>
      <c r="C307" s="58"/>
      <c r="D307" s="722"/>
      <c r="E307" s="716" t="s">
        <v>317</v>
      </c>
      <c r="F307" s="716" t="s">
        <v>25</v>
      </c>
      <c r="G307" s="716">
        <v>120.0</v>
      </c>
      <c r="H307" s="723">
        <v>1.0</v>
      </c>
      <c r="I307" s="724"/>
      <c r="J307" s="716">
        <v>120.0</v>
      </c>
      <c r="K307" s="725"/>
      <c r="L307" s="58"/>
      <c r="M307" s="58"/>
      <c r="N307" s="726"/>
      <c r="O307" s="726"/>
    </row>
    <row r="308" ht="24.75" customHeight="1">
      <c r="A308" s="585">
        <v>46245.0</v>
      </c>
      <c r="B308" s="694" t="s">
        <v>21</v>
      </c>
      <c r="C308" s="79">
        <v>605.0</v>
      </c>
      <c r="D308" s="689"/>
      <c r="E308" s="680" t="s">
        <v>317</v>
      </c>
      <c r="F308" s="680" t="s">
        <v>318</v>
      </c>
      <c r="G308" s="681">
        <v>100.0</v>
      </c>
      <c r="H308" s="553">
        <v>16.0</v>
      </c>
      <c r="I308" s="682"/>
      <c r="J308" s="681">
        <f t="shared" ref="J308:J309" si="30">H308*G308</f>
        <v>1600</v>
      </c>
      <c r="K308" s="690" t="s">
        <v>356</v>
      </c>
      <c r="L308" s="691" t="s">
        <v>375</v>
      </c>
      <c r="M308" s="609">
        <v>17.0</v>
      </c>
      <c r="N308" s="683">
        <f>M308*30</f>
        <v>510</v>
      </c>
      <c r="O308" s="684">
        <f>J308+J309+N308</f>
        <v>2230</v>
      </c>
    </row>
    <row r="309" ht="24.75" customHeight="1">
      <c r="A309" s="58"/>
      <c r="B309" s="58"/>
      <c r="C309" s="58"/>
      <c r="D309" s="679"/>
      <c r="E309" s="685" t="s">
        <v>317</v>
      </c>
      <c r="F309" s="685" t="s">
        <v>25</v>
      </c>
      <c r="G309" s="686">
        <v>120.0</v>
      </c>
      <c r="H309" s="687">
        <v>1.0</v>
      </c>
      <c r="I309" s="688"/>
      <c r="J309" s="686">
        <f t="shared" si="30"/>
        <v>120</v>
      </c>
      <c r="K309" s="58"/>
      <c r="L309" s="58"/>
      <c r="M309" s="58"/>
      <c r="N309" s="58"/>
      <c r="O309" s="58"/>
    </row>
    <row r="310" ht="24.75" customHeight="1">
      <c r="A310" s="585">
        <v>46245.0</v>
      </c>
      <c r="B310" s="694" t="s">
        <v>45</v>
      </c>
      <c r="C310" s="183">
        <v>614.0</v>
      </c>
      <c r="D310" s="130"/>
      <c r="E310" s="680" t="s">
        <v>317</v>
      </c>
      <c r="F310" s="680" t="s">
        <v>318</v>
      </c>
      <c r="G310" s="681">
        <v>100.0</v>
      </c>
      <c r="H310" s="22">
        <v>22.0</v>
      </c>
      <c r="I310" s="112"/>
      <c r="J310" s="681"/>
      <c r="K310" s="690" t="s">
        <v>23</v>
      </c>
      <c r="L310" s="709" t="s">
        <v>28</v>
      </c>
      <c r="M310" s="78">
        <v>23.0</v>
      </c>
      <c r="N310" s="683"/>
      <c r="O310" s="684"/>
    </row>
    <row r="311" ht="24.75" customHeight="1">
      <c r="A311" s="58"/>
      <c r="B311" s="58"/>
      <c r="C311" s="57"/>
      <c r="D311" s="120"/>
      <c r="E311" s="685" t="s">
        <v>317</v>
      </c>
      <c r="F311" s="685" t="s">
        <v>25</v>
      </c>
      <c r="G311" s="686">
        <v>120.0</v>
      </c>
      <c r="H311" s="710">
        <v>1.0</v>
      </c>
      <c r="I311" s="122"/>
      <c r="J311" s="686"/>
      <c r="K311" s="58"/>
      <c r="L311" s="58"/>
      <c r="M311" s="58"/>
      <c r="N311" s="58"/>
      <c r="O311" s="58"/>
    </row>
    <row r="312" ht="40.5" customHeight="1">
      <c r="A312" s="712">
        <v>46245.0</v>
      </c>
      <c r="B312" s="713" t="s">
        <v>40</v>
      </c>
      <c r="C312" s="714">
        <v>615.0</v>
      </c>
      <c r="D312" s="715"/>
      <c r="E312" s="716" t="s">
        <v>317</v>
      </c>
      <c r="F312" s="716" t="s">
        <v>318</v>
      </c>
      <c r="G312" s="717">
        <v>100.0</v>
      </c>
      <c r="H312" s="718">
        <v>20.0</v>
      </c>
      <c r="I312" s="719"/>
      <c r="J312" s="717">
        <v>2000.0</v>
      </c>
      <c r="K312" s="720" t="s">
        <v>356</v>
      </c>
      <c r="L312" s="621" t="s">
        <v>429</v>
      </c>
      <c r="M312" s="721">
        <v>21.0</v>
      </c>
      <c r="N312" s="717"/>
      <c r="O312" s="717"/>
    </row>
    <row r="313" ht="40.5" customHeight="1">
      <c r="A313" s="58"/>
      <c r="B313" s="58"/>
      <c r="C313" s="58"/>
      <c r="D313" s="722"/>
      <c r="E313" s="716" t="s">
        <v>317</v>
      </c>
      <c r="F313" s="716" t="s">
        <v>25</v>
      </c>
      <c r="G313" s="716">
        <v>120.0</v>
      </c>
      <c r="H313" s="723">
        <v>1.0</v>
      </c>
      <c r="I313" s="724"/>
      <c r="J313" s="716">
        <v>120.0</v>
      </c>
      <c r="K313" s="725"/>
      <c r="L313" s="58"/>
      <c r="M313" s="58"/>
      <c r="N313" s="726"/>
      <c r="O313" s="726"/>
    </row>
    <row r="314" ht="24.75" customHeight="1">
      <c r="A314" s="585">
        <v>46246.0</v>
      </c>
      <c r="B314" s="694" t="s">
        <v>21</v>
      </c>
      <c r="C314" s="79">
        <v>603.0</v>
      </c>
      <c r="D314" s="689"/>
      <c r="E314" s="680" t="s">
        <v>317</v>
      </c>
      <c r="F314" s="680" t="s">
        <v>318</v>
      </c>
      <c r="G314" s="681">
        <v>100.0</v>
      </c>
      <c r="H314" s="553">
        <v>15.0</v>
      </c>
      <c r="I314" s="682"/>
      <c r="J314" s="681">
        <f t="shared" ref="J314:J315" si="31">H314*G314</f>
        <v>1500</v>
      </c>
      <c r="K314" s="690" t="s">
        <v>356</v>
      </c>
      <c r="L314" s="691" t="s">
        <v>375</v>
      </c>
      <c r="M314" s="609">
        <v>16.0</v>
      </c>
      <c r="N314" s="683">
        <f>M314*30</f>
        <v>480</v>
      </c>
      <c r="O314" s="684">
        <f>J314+J315+N314</f>
        <v>2100</v>
      </c>
    </row>
    <row r="315" ht="24.75" customHeight="1">
      <c r="A315" s="58"/>
      <c r="B315" s="58"/>
      <c r="C315" s="58"/>
      <c r="D315" s="679"/>
      <c r="E315" s="685" t="s">
        <v>317</v>
      </c>
      <c r="F315" s="685" t="s">
        <v>25</v>
      </c>
      <c r="G315" s="686">
        <v>120.0</v>
      </c>
      <c r="H315" s="687">
        <v>1.0</v>
      </c>
      <c r="I315" s="688"/>
      <c r="J315" s="686">
        <f t="shared" si="31"/>
        <v>120</v>
      </c>
      <c r="K315" s="58"/>
      <c r="L315" s="58"/>
      <c r="M315" s="58"/>
      <c r="N315" s="58"/>
      <c r="O315" s="58"/>
    </row>
    <row r="316" ht="24.75" customHeight="1">
      <c r="A316" s="585">
        <v>46246.0</v>
      </c>
      <c r="B316" s="694" t="s">
        <v>45</v>
      </c>
      <c r="C316" s="183">
        <v>614.0</v>
      </c>
      <c r="D316" s="130"/>
      <c r="E316" s="680" t="s">
        <v>317</v>
      </c>
      <c r="F316" s="680" t="s">
        <v>318</v>
      </c>
      <c r="G316" s="681">
        <v>100.0</v>
      </c>
      <c r="H316" s="22">
        <v>20.0</v>
      </c>
      <c r="I316" s="112"/>
      <c r="J316" s="681"/>
      <c r="K316" s="690" t="s">
        <v>23</v>
      </c>
      <c r="L316" s="709" t="s">
        <v>28</v>
      </c>
      <c r="M316" s="78">
        <v>21.0</v>
      </c>
      <c r="N316" s="683"/>
      <c r="O316" s="684"/>
    </row>
    <row r="317" ht="24.75" customHeight="1">
      <c r="A317" s="58"/>
      <c r="B317" s="58"/>
      <c r="C317" s="57"/>
      <c r="D317" s="120"/>
      <c r="E317" s="685" t="s">
        <v>317</v>
      </c>
      <c r="F317" s="685" t="s">
        <v>25</v>
      </c>
      <c r="G317" s="686">
        <v>120.0</v>
      </c>
      <c r="H317" s="710">
        <v>1.0</v>
      </c>
      <c r="I317" s="122"/>
      <c r="J317" s="686"/>
      <c r="K317" s="58"/>
      <c r="L317" s="58"/>
      <c r="M317" s="58"/>
      <c r="N317" s="58"/>
      <c r="O317" s="58"/>
    </row>
    <row r="318" ht="40.5" customHeight="1">
      <c r="A318" s="712">
        <v>46246.0</v>
      </c>
      <c r="B318" s="713" t="s">
        <v>40</v>
      </c>
      <c r="C318" s="714">
        <v>615.0</v>
      </c>
      <c r="D318" s="715"/>
      <c r="E318" s="716" t="s">
        <v>317</v>
      </c>
      <c r="F318" s="716" t="s">
        <v>318</v>
      </c>
      <c r="G318" s="717">
        <v>100.0</v>
      </c>
      <c r="H318" s="718">
        <v>19.0</v>
      </c>
      <c r="I318" s="719"/>
      <c r="J318" s="717">
        <v>2000.0</v>
      </c>
      <c r="K318" s="720" t="s">
        <v>356</v>
      </c>
      <c r="L318" s="621" t="s">
        <v>429</v>
      </c>
      <c r="M318" s="721">
        <v>20.0</v>
      </c>
      <c r="N318" s="717"/>
      <c r="O318" s="717"/>
    </row>
    <row r="319" ht="40.5" customHeight="1">
      <c r="A319" s="58"/>
      <c r="B319" s="58"/>
      <c r="C319" s="58"/>
      <c r="D319" s="722"/>
      <c r="E319" s="716" t="s">
        <v>317</v>
      </c>
      <c r="F319" s="716" t="s">
        <v>25</v>
      </c>
      <c r="G319" s="716">
        <v>120.0</v>
      </c>
      <c r="H319" s="723">
        <v>1.0</v>
      </c>
      <c r="I319" s="724"/>
      <c r="J319" s="716">
        <v>120.0</v>
      </c>
      <c r="K319" s="725"/>
      <c r="L319" s="58"/>
      <c r="M319" s="58"/>
      <c r="N319" s="726"/>
      <c r="O319" s="726"/>
    </row>
    <row r="320" ht="24.75" customHeight="1">
      <c r="A320" s="585">
        <v>46247.0</v>
      </c>
      <c r="B320" s="694" t="s">
        <v>21</v>
      </c>
      <c r="C320" s="79">
        <v>604.0</v>
      </c>
      <c r="D320" s="689"/>
      <c r="E320" s="680" t="s">
        <v>317</v>
      </c>
      <c r="F320" s="680" t="s">
        <v>318</v>
      </c>
      <c r="G320" s="681">
        <v>100.0</v>
      </c>
      <c r="H320" s="553">
        <v>8.0</v>
      </c>
      <c r="I320" s="682"/>
      <c r="J320" s="681">
        <f t="shared" ref="J320:J321" si="32">H320*G320</f>
        <v>800</v>
      </c>
      <c r="K320" s="690" t="s">
        <v>356</v>
      </c>
      <c r="L320" s="691" t="s">
        <v>375</v>
      </c>
      <c r="M320" s="609">
        <v>9.0</v>
      </c>
      <c r="N320" s="683">
        <f>M320*30</f>
        <v>270</v>
      </c>
      <c r="O320" s="684">
        <f>J320+J321+N320</f>
        <v>1190</v>
      </c>
    </row>
    <row r="321" ht="24.75" customHeight="1">
      <c r="A321" s="58"/>
      <c r="B321" s="58"/>
      <c r="C321" s="58"/>
      <c r="D321" s="679"/>
      <c r="E321" s="685" t="s">
        <v>317</v>
      </c>
      <c r="F321" s="685" t="s">
        <v>25</v>
      </c>
      <c r="G321" s="686">
        <v>120.0</v>
      </c>
      <c r="H321" s="687">
        <v>1.0</v>
      </c>
      <c r="I321" s="688"/>
      <c r="J321" s="686">
        <f t="shared" si="32"/>
        <v>120</v>
      </c>
      <c r="K321" s="58"/>
      <c r="L321" s="58"/>
      <c r="M321" s="58"/>
      <c r="N321" s="58"/>
      <c r="O321" s="58"/>
    </row>
    <row r="322" ht="24.75" customHeight="1">
      <c r="A322" s="585">
        <v>46247.0</v>
      </c>
      <c r="B322" s="694" t="s">
        <v>45</v>
      </c>
      <c r="C322" s="183">
        <v>614.0</v>
      </c>
      <c r="D322" s="130"/>
      <c r="E322" s="680" t="s">
        <v>317</v>
      </c>
      <c r="F322" s="680" t="s">
        <v>318</v>
      </c>
      <c r="G322" s="681">
        <v>100.0</v>
      </c>
      <c r="H322" s="22">
        <v>16.0</v>
      </c>
      <c r="I322" s="112"/>
      <c r="J322" s="681"/>
      <c r="K322" s="690" t="s">
        <v>23</v>
      </c>
      <c r="L322" s="709" t="s">
        <v>28</v>
      </c>
      <c r="M322" s="78">
        <v>17.0</v>
      </c>
      <c r="N322" s="683"/>
      <c r="O322" s="684"/>
    </row>
    <row r="323" ht="24.75" customHeight="1">
      <c r="A323" s="58"/>
      <c r="B323" s="58"/>
      <c r="C323" s="57"/>
      <c r="D323" s="120"/>
      <c r="E323" s="685" t="s">
        <v>317</v>
      </c>
      <c r="F323" s="685" t="s">
        <v>25</v>
      </c>
      <c r="G323" s="686">
        <v>120.0</v>
      </c>
      <c r="H323" s="710">
        <v>1.0</v>
      </c>
      <c r="I323" s="122"/>
      <c r="J323" s="686"/>
      <c r="K323" s="58"/>
      <c r="L323" s="58"/>
      <c r="M323" s="58"/>
      <c r="N323" s="58"/>
      <c r="O323" s="58"/>
    </row>
    <row r="324" ht="24.75" customHeight="1">
      <c r="A324" s="585">
        <v>46248.0</v>
      </c>
      <c r="B324" s="694" t="s">
        <v>21</v>
      </c>
      <c r="C324" s="79">
        <v>604.0</v>
      </c>
      <c r="D324" s="689"/>
      <c r="E324" s="680" t="s">
        <v>317</v>
      </c>
      <c r="F324" s="680" t="s">
        <v>318</v>
      </c>
      <c r="G324" s="681">
        <v>100.0</v>
      </c>
      <c r="H324" s="553">
        <v>11.0</v>
      </c>
      <c r="I324" s="682"/>
      <c r="J324" s="681">
        <f t="shared" ref="J324:J325" si="33">H324*G324</f>
        <v>1100</v>
      </c>
      <c r="K324" s="690" t="s">
        <v>356</v>
      </c>
      <c r="L324" s="691" t="s">
        <v>375</v>
      </c>
      <c r="M324" s="609">
        <v>12.0</v>
      </c>
      <c r="N324" s="683">
        <f>M324*30</f>
        <v>360</v>
      </c>
      <c r="O324" s="684">
        <f>J324+J325+N324</f>
        <v>1580</v>
      </c>
    </row>
    <row r="325" ht="24.75" customHeight="1">
      <c r="A325" s="58"/>
      <c r="B325" s="58"/>
      <c r="C325" s="58"/>
      <c r="D325" s="679"/>
      <c r="E325" s="685" t="s">
        <v>317</v>
      </c>
      <c r="F325" s="685" t="s">
        <v>25</v>
      </c>
      <c r="G325" s="686">
        <v>120.0</v>
      </c>
      <c r="H325" s="687">
        <v>1.0</v>
      </c>
      <c r="I325" s="688"/>
      <c r="J325" s="686">
        <f t="shared" si="33"/>
        <v>120</v>
      </c>
      <c r="K325" s="58"/>
      <c r="L325" s="58"/>
      <c r="M325" s="58"/>
      <c r="N325" s="58"/>
      <c r="O325" s="58"/>
    </row>
    <row r="326" ht="24.75" customHeight="1">
      <c r="A326" s="585">
        <v>46248.0</v>
      </c>
      <c r="B326" s="694" t="s">
        <v>45</v>
      </c>
      <c r="C326" s="183">
        <v>618.0</v>
      </c>
      <c r="D326" s="130"/>
      <c r="E326" s="680" t="s">
        <v>317</v>
      </c>
      <c r="F326" s="680" t="s">
        <v>318</v>
      </c>
      <c r="G326" s="681">
        <v>100.0</v>
      </c>
      <c r="H326" s="22">
        <v>20.0</v>
      </c>
      <c r="I326" s="112"/>
      <c r="J326" s="681"/>
      <c r="K326" s="690" t="s">
        <v>23</v>
      </c>
      <c r="L326" s="709" t="s">
        <v>28</v>
      </c>
      <c r="M326" s="78">
        <v>21.0</v>
      </c>
      <c r="N326" s="683"/>
      <c r="O326" s="684"/>
    </row>
    <row r="327" ht="24.75" customHeight="1">
      <c r="A327" s="58"/>
      <c r="B327" s="58"/>
      <c r="C327" s="57"/>
      <c r="D327" s="120"/>
      <c r="E327" s="685" t="s">
        <v>317</v>
      </c>
      <c r="F327" s="685" t="s">
        <v>25</v>
      </c>
      <c r="G327" s="686">
        <v>120.0</v>
      </c>
      <c r="H327" s="710">
        <v>1.0</v>
      </c>
      <c r="I327" s="122"/>
      <c r="J327" s="686"/>
      <c r="K327" s="58"/>
      <c r="L327" s="58"/>
      <c r="M327" s="58"/>
      <c r="N327" s="58"/>
      <c r="O327" s="58"/>
    </row>
    <row r="328" ht="24.75" customHeight="1">
      <c r="A328" s="585">
        <v>46249.0</v>
      </c>
      <c r="B328" s="694" t="s">
        <v>21</v>
      </c>
      <c r="C328" s="79">
        <v>605.0</v>
      </c>
      <c r="D328" s="689"/>
      <c r="E328" s="680" t="s">
        <v>317</v>
      </c>
      <c r="F328" s="680" t="s">
        <v>318</v>
      </c>
      <c r="G328" s="681">
        <v>100.0</v>
      </c>
      <c r="H328" s="553">
        <v>19.0</v>
      </c>
      <c r="I328" s="682"/>
      <c r="J328" s="681">
        <f t="shared" ref="J328:J329" si="34">H328*G328</f>
        <v>1900</v>
      </c>
      <c r="K328" s="690" t="s">
        <v>356</v>
      </c>
      <c r="L328" s="691" t="s">
        <v>375</v>
      </c>
      <c r="M328" s="609">
        <v>20.0</v>
      </c>
      <c r="N328" s="683">
        <f>M328*30</f>
        <v>600</v>
      </c>
      <c r="O328" s="684">
        <f>J328+J329+N328</f>
        <v>2620</v>
      </c>
    </row>
    <row r="329" ht="24.75" customHeight="1">
      <c r="A329" s="58"/>
      <c r="B329" s="58"/>
      <c r="C329" s="58"/>
      <c r="D329" s="679"/>
      <c r="E329" s="685" t="s">
        <v>317</v>
      </c>
      <c r="F329" s="685" t="s">
        <v>25</v>
      </c>
      <c r="G329" s="686">
        <v>120.0</v>
      </c>
      <c r="H329" s="687">
        <v>1.0</v>
      </c>
      <c r="I329" s="688"/>
      <c r="J329" s="686">
        <f t="shared" si="34"/>
        <v>120</v>
      </c>
      <c r="K329" s="58"/>
      <c r="L329" s="58"/>
      <c r="M329" s="58"/>
      <c r="N329" s="58"/>
      <c r="O329" s="58"/>
    </row>
    <row r="330" ht="24.75" customHeight="1">
      <c r="A330" s="585">
        <v>46249.0</v>
      </c>
      <c r="B330" s="694" t="s">
        <v>45</v>
      </c>
      <c r="C330" s="183">
        <v>603.0</v>
      </c>
      <c r="D330" s="130"/>
      <c r="E330" s="680" t="s">
        <v>317</v>
      </c>
      <c r="F330" s="680" t="s">
        <v>318</v>
      </c>
      <c r="G330" s="681">
        <v>100.0</v>
      </c>
      <c r="H330" s="22">
        <v>18.0</v>
      </c>
      <c r="I330" s="112"/>
      <c r="J330" s="681"/>
      <c r="K330" s="690" t="s">
        <v>23</v>
      </c>
      <c r="L330" s="709" t="s">
        <v>28</v>
      </c>
      <c r="M330" s="78">
        <v>19.0</v>
      </c>
      <c r="N330" s="683"/>
      <c r="O330" s="684"/>
    </row>
    <row r="331" ht="24.75" customHeight="1">
      <c r="A331" s="58"/>
      <c r="B331" s="58"/>
      <c r="C331" s="57"/>
      <c r="D331" s="120"/>
      <c r="E331" s="685" t="s">
        <v>317</v>
      </c>
      <c r="F331" s="685" t="s">
        <v>25</v>
      </c>
      <c r="G331" s="686">
        <v>120.0</v>
      </c>
      <c r="H331" s="710">
        <v>1.0</v>
      </c>
      <c r="I331" s="122"/>
      <c r="J331" s="686"/>
      <c r="K331" s="58"/>
      <c r="L331" s="58"/>
      <c r="M331" s="58"/>
      <c r="N331" s="58"/>
      <c r="O331" s="58"/>
    </row>
    <row r="332" ht="40.5" customHeight="1">
      <c r="A332" s="712">
        <v>46251.0</v>
      </c>
      <c r="B332" s="713" t="s">
        <v>40</v>
      </c>
      <c r="C332" s="714">
        <v>620.0</v>
      </c>
      <c r="D332" s="715"/>
      <c r="E332" s="716" t="s">
        <v>317</v>
      </c>
      <c r="F332" s="716" t="s">
        <v>318</v>
      </c>
      <c r="G332" s="717">
        <v>100.0</v>
      </c>
      <c r="H332" s="718">
        <v>20.0</v>
      </c>
      <c r="I332" s="719"/>
      <c r="J332" s="717">
        <v>2000.0</v>
      </c>
      <c r="K332" s="720" t="s">
        <v>356</v>
      </c>
      <c r="L332" s="621" t="s">
        <v>429</v>
      </c>
      <c r="M332" s="721">
        <v>21.0</v>
      </c>
      <c r="N332" s="717"/>
      <c r="O332" s="717"/>
    </row>
    <row r="333" ht="40.5" customHeight="1">
      <c r="A333" s="58"/>
      <c r="B333" s="58"/>
      <c r="C333" s="58"/>
      <c r="D333" s="722"/>
      <c r="E333" s="716" t="s">
        <v>317</v>
      </c>
      <c r="F333" s="716" t="s">
        <v>25</v>
      </c>
      <c r="G333" s="716">
        <v>120.0</v>
      </c>
      <c r="H333" s="723">
        <v>1.0</v>
      </c>
      <c r="I333" s="724"/>
      <c r="J333" s="716">
        <v>120.0</v>
      </c>
      <c r="K333" s="725"/>
      <c r="L333" s="58"/>
      <c r="M333" s="58"/>
      <c r="N333" s="726"/>
      <c r="O333" s="726"/>
    </row>
    <row r="334" ht="24.75" customHeight="1">
      <c r="A334" s="585">
        <v>46251.0</v>
      </c>
      <c r="B334" s="694" t="s">
        <v>21</v>
      </c>
      <c r="C334" s="79">
        <v>601.0</v>
      </c>
      <c r="D334" s="689"/>
      <c r="E334" s="680" t="s">
        <v>317</v>
      </c>
      <c r="F334" s="680" t="s">
        <v>318</v>
      </c>
      <c r="G334" s="681">
        <v>100.0</v>
      </c>
      <c r="H334" s="553">
        <v>19.0</v>
      </c>
      <c r="I334" s="682"/>
      <c r="J334" s="681">
        <f t="shared" ref="J334:J335" si="35">H334*G334</f>
        <v>1900</v>
      </c>
      <c r="K334" s="690" t="s">
        <v>356</v>
      </c>
      <c r="L334" s="691" t="s">
        <v>375</v>
      </c>
      <c r="M334" s="609">
        <v>20.0</v>
      </c>
      <c r="N334" s="683">
        <f>M334*30</f>
        <v>600</v>
      </c>
      <c r="O334" s="684">
        <f>J334+J335+N334</f>
        <v>2620</v>
      </c>
    </row>
    <row r="335" ht="24.75" customHeight="1">
      <c r="A335" s="58"/>
      <c r="B335" s="58"/>
      <c r="C335" s="58"/>
      <c r="D335" s="679"/>
      <c r="E335" s="685" t="s">
        <v>317</v>
      </c>
      <c r="F335" s="685" t="s">
        <v>25</v>
      </c>
      <c r="G335" s="686">
        <v>120.0</v>
      </c>
      <c r="H335" s="687">
        <v>1.0</v>
      </c>
      <c r="I335" s="688"/>
      <c r="J335" s="686">
        <f t="shared" si="35"/>
        <v>120</v>
      </c>
      <c r="K335" s="58"/>
      <c r="L335" s="58"/>
      <c r="M335" s="58"/>
      <c r="N335" s="58"/>
      <c r="O335" s="58"/>
    </row>
    <row r="336" ht="24.75" customHeight="1">
      <c r="A336" s="585">
        <v>46251.0</v>
      </c>
      <c r="B336" s="694" t="s">
        <v>45</v>
      </c>
      <c r="C336" s="183">
        <v>602.0</v>
      </c>
      <c r="D336" s="130"/>
      <c r="E336" s="680" t="s">
        <v>317</v>
      </c>
      <c r="F336" s="680" t="s">
        <v>318</v>
      </c>
      <c r="G336" s="681">
        <v>100.0</v>
      </c>
      <c r="H336" s="22">
        <v>18.0</v>
      </c>
      <c r="I336" s="112"/>
      <c r="J336" s="681"/>
      <c r="K336" s="690" t="s">
        <v>23</v>
      </c>
      <c r="L336" s="709" t="s">
        <v>28</v>
      </c>
      <c r="M336" s="78">
        <v>19.0</v>
      </c>
      <c r="N336" s="683"/>
      <c r="O336" s="684"/>
    </row>
    <row r="337" ht="24.75" customHeight="1">
      <c r="A337" s="58"/>
      <c r="B337" s="58"/>
      <c r="C337" s="57"/>
      <c r="D337" s="120"/>
      <c r="E337" s="685" t="s">
        <v>317</v>
      </c>
      <c r="F337" s="685" t="s">
        <v>25</v>
      </c>
      <c r="G337" s="686">
        <v>120.0</v>
      </c>
      <c r="H337" s="710">
        <v>1.0</v>
      </c>
      <c r="I337" s="122"/>
      <c r="J337" s="686"/>
      <c r="K337" s="58"/>
      <c r="L337" s="58"/>
      <c r="M337" s="58"/>
      <c r="N337" s="58"/>
      <c r="O337" s="58"/>
    </row>
    <row r="338" ht="24.75" customHeight="1">
      <c r="A338" s="666">
        <v>46251.0</v>
      </c>
      <c r="B338" s="78" t="s">
        <v>40</v>
      </c>
      <c r="C338" s="78">
        <v>612.0</v>
      </c>
      <c r="D338" s="63"/>
      <c r="E338" s="727" t="s">
        <v>317</v>
      </c>
      <c r="F338" s="727" t="s">
        <v>318</v>
      </c>
      <c r="G338" s="728">
        <v>100.0</v>
      </c>
      <c r="H338" s="170">
        <v>18.0</v>
      </c>
      <c r="I338" s="729"/>
      <c r="J338" s="730"/>
      <c r="K338" s="731" t="s">
        <v>430</v>
      </c>
      <c r="L338" s="732" t="s">
        <v>431</v>
      </c>
      <c r="M338" s="63">
        <v>19.0</v>
      </c>
      <c r="N338" s="63"/>
      <c r="O338" s="63"/>
    </row>
    <row r="339" ht="24.75" customHeight="1">
      <c r="A339" s="58"/>
      <c r="B339" s="58"/>
      <c r="C339" s="57"/>
      <c r="D339" s="33"/>
      <c r="E339" s="733" t="s">
        <v>317</v>
      </c>
      <c r="F339" s="733" t="s">
        <v>25</v>
      </c>
      <c r="G339" s="734">
        <v>120.0</v>
      </c>
      <c r="H339" s="165">
        <v>1.0</v>
      </c>
      <c r="I339" s="735"/>
      <c r="J339" s="377"/>
      <c r="K339" s="58"/>
      <c r="L339" s="58"/>
      <c r="M339" s="58"/>
      <c r="N339" s="58"/>
      <c r="O339" s="58"/>
    </row>
    <row r="340" ht="24.75" customHeight="1">
      <c r="A340" s="585">
        <v>46252.0</v>
      </c>
      <c r="B340" s="694" t="s">
        <v>21</v>
      </c>
      <c r="C340" s="79">
        <v>601.0</v>
      </c>
      <c r="D340" s="689"/>
      <c r="E340" s="680" t="s">
        <v>317</v>
      </c>
      <c r="F340" s="680" t="s">
        <v>318</v>
      </c>
      <c r="G340" s="681">
        <v>100.0</v>
      </c>
      <c r="H340" s="553">
        <v>19.0</v>
      </c>
      <c r="I340" s="682"/>
      <c r="J340" s="681">
        <f t="shared" ref="J340:J341" si="36">H340*G340</f>
        <v>1900</v>
      </c>
      <c r="K340" s="690" t="s">
        <v>356</v>
      </c>
      <c r="L340" s="691" t="s">
        <v>375</v>
      </c>
      <c r="M340" s="609">
        <v>20.0</v>
      </c>
      <c r="N340" s="683">
        <f>M340*30</f>
        <v>600</v>
      </c>
      <c r="O340" s="684">
        <f>J340+J341+N340</f>
        <v>2620</v>
      </c>
    </row>
    <row r="341" ht="24.75" customHeight="1">
      <c r="A341" s="58"/>
      <c r="B341" s="58"/>
      <c r="C341" s="58"/>
      <c r="D341" s="679"/>
      <c r="E341" s="685" t="s">
        <v>317</v>
      </c>
      <c r="F341" s="685" t="s">
        <v>25</v>
      </c>
      <c r="G341" s="686">
        <v>120.0</v>
      </c>
      <c r="H341" s="687">
        <v>1.0</v>
      </c>
      <c r="I341" s="688"/>
      <c r="J341" s="686">
        <f t="shared" si="36"/>
        <v>120</v>
      </c>
      <c r="K341" s="58"/>
      <c r="L341" s="58"/>
      <c r="M341" s="58"/>
      <c r="N341" s="58"/>
      <c r="O341" s="58"/>
    </row>
    <row r="342" ht="24.75" customHeight="1">
      <c r="A342" s="585">
        <v>46252.0</v>
      </c>
      <c r="B342" s="694" t="s">
        <v>45</v>
      </c>
      <c r="C342" s="183">
        <v>601.0</v>
      </c>
      <c r="D342" s="130"/>
      <c r="E342" s="680" t="s">
        <v>317</v>
      </c>
      <c r="F342" s="680" t="s">
        <v>318</v>
      </c>
      <c r="G342" s="681">
        <v>100.0</v>
      </c>
      <c r="H342" s="22">
        <v>18.5</v>
      </c>
      <c r="I342" s="112"/>
      <c r="J342" s="681"/>
      <c r="K342" s="690" t="s">
        <v>23</v>
      </c>
      <c r="L342" s="709" t="s">
        <v>28</v>
      </c>
      <c r="M342" s="78">
        <v>20.0</v>
      </c>
      <c r="N342" s="683"/>
      <c r="O342" s="684"/>
    </row>
    <row r="343" ht="24.75" customHeight="1">
      <c r="A343" s="58"/>
      <c r="B343" s="58"/>
      <c r="C343" s="57"/>
      <c r="D343" s="120"/>
      <c r="E343" s="685" t="s">
        <v>317</v>
      </c>
      <c r="F343" s="685" t="s">
        <v>25</v>
      </c>
      <c r="G343" s="686">
        <v>120.0</v>
      </c>
      <c r="H343" s="710">
        <v>1.0</v>
      </c>
      <c r="I343" s="122"/>
      <c r="J343" s="686"/>
      <c r="K343" s="58"/>
      <c r="L343" s="58"/>
      <c r="M343" s="58"/>
      <c r="N343" s="58"/>
      <c r="O343" s="58"/>
    </row>
    <row r="344" ht="24.75" customHeight="1">
      <c r="A344" s="666">
        <v>46252.0</v>
      </c>
      <c r="B344" s="78" t="s">
        <v>21</v>
      </c>
      <c r="C344" s="78">
        <v>624.0</v>
      </c>
      <c r="D344" s="730"/>
      <c r="E344" s="727" t="s">
        <v>317</v>
      </c>
      <c r="F344" s="727" t="s">
        <v>318</v>
      </c>
      <c r="G344" s="728">
        <v>100.0</v>
      </c>
      <c r="H344" s="171">
        <v>20.0</v>
      </c>
      <c r="I344" s="729"/>
      <c r="J344" s="730"/>
      <c r="K344" s="731" t="s">
        <v>430</v>
      </c>
      <c r="L344" s="732" t="s">
        <v>431</v>
      </c>
      <c r="M344" s="78">
        <v>21.0</v>
      </c>
      <c r="N344" s="63"/>
      <c r="O344" s="63"/>
    </row>
    <row r="345" ht="24.75" customHeight="1">
      <c r="A345" s="58"/>
      <c r="B345" s="58"/>
      <c r="C345" s="58"/>
      <c r="D345" s="377"/>
      <c r="E345" s="733" t="s">
        <v>317</v>
      </c>
      <c r="F345" s="733" t="s">
        <v>25</v>
      </c>
      <c r="G345" s="734">
        <v>120.0</v>
      </c>
      <c r="H345" s="165">
        <v>1.0</v>
      </c>
      <c r="I345" s="735"/>
      <c r="J345" s="377"/>
      <c r="K345" s="58"/>
      <c r="L345" s="58"/>
      <c r="M345" s="58"/>
      <c r="N345" s="58"/>
      <c r="O345" s="58"/>
    </row>
    <row r="346" ht="40.5" customHeight="1">
      <c r="A346" s="712">
        <v>46252.0</v>
      </c>
      <c r="B346" s="713" t="s">
        <v>40</v>
      </c>
      <c r="C346" s="714">
        <v>623.0</v>
      </c>
      <c r="D346" s="715"/>
      <c r="E346" s="716" t="s">
        <v>317</v>
      </c>
      <c r="F346" s="716" t="s">
        <v>318</v>
      </c>
      <c r="G346" s="717">
        <v>100.0</v>
      </c>
      <c r="H346" s="718">
        <v>20.0</v>
      </c>
      <c r="I346" s="719"/>
      <c r="J346" s="717">
        <v>2000.0</v>
      </c>
      <c r="K346" s="720" t="s">
        <v>356</v>
      </c>
      <c r="L346" s="621" t="s">
        <v>429</v>
      </c>
      <c r="M346" s="721">
        <v>21.0</v>
      </c>
      <c r="N346" s="717"/>
      <c r="O346" s="717"/>
    </row>
    <row r="347" ht="40.5" customHeight="1">
      <c r="A347" s="58"/>
      <c r="B347" s="58"/>
      <c r="C347" s="58"/>
      <c r="D347" s="722"/>
      <c r="E347" s="716" t="s">
        <v>317</v>
      </c>
      <c r="F347" s="716" t="s">
        <v>25</v>
      </c>
      <c r="G347" s="716">
        <v>120.0</v>
      </c>
      <c r="H347" s="723">
        <v>1.0</v>
      </c>
      <c r="I347" s="724"/>
      <c r="J347" s="716">
        <v>120.0</v>
      </c>
      <c r="K347" s="725"/>
      <c r="L347" s="58"/>
      <c r="M347" s="58"/>
      <c r="N347" s="726"/>
      <c r="O347" s="726"/>
    </row>
    <row r="348" ht="24.75" customHeight="1">
      <c r="A348" s="585">
        <v>46253.0</v>
      </c>
      <c r="B348" s="694" t="s">
        <v>21</v>
      </c>
      <c r="C348" s="79">
        <v>604.0</v>
      </c>
      <c r="D348" s="689"/>
      <c r="E348" s="680" t="s">
        <v>317</v>
      </c>
      <c r="F348" s="680" t="s">
        <v>318</v>
      </c>
      <c r="G348" s="681">
        <v>100.0</v>
      </c>
      <c r="H348" s="553">
        <v>17.0</v>
      </c>
      <c r="I348" s="682"/>
      <c r="J348" s="681">
        <f t="shared" ref="J348:J349" si="37">H348*G348</f>
        <v>1700</v>
      </c>
      <c r="K348" s="690" t="s">
        <v>356</v>
      </c>
      <c r="L348" s="691" t="s">
        <v>375</v>
      </c>
      <c r="M348" s="609">
        <v>18.0</v>
      </c>
      <c r="N348" s="683">
        <f>M348*30</f>
        <v>540</v>
      </c>
      <c r="O348" s="684">
        <f>J348+J349+N348</f>
        <v>2360</v>
      </c>
    </row>
    <row r="349" ht="24.75" customHeight="1">
      <c r="A349" s="58"/>
      <c r="B349" s="58"/>
      <c r="C349" s="58"/>
      <c r="D349" s="679"/>
      <c r="E349" s="685" t="s">
        <v>317</v>
      </c>
      <c r="F349" s="685" t="s">
        <v>25</v>
      </c>
      <c r="G349" s="686">
        <v>120.0</v>
      </c>
      <c r="H349" s="687">
        <v>1.0</v>
      </c>
      <c r="I349" s="688"/>
      <c r="J349" s="686">
        <f t="shared" si="37"/>
        <v>120</v>
      </c>
      <c r="K349" s="58"/>
      <c r="L349" s="58"/>
      <c r="M349" s="58"/>
      <c r="N349" s="58"/>
      <c r="O349" s="58"/>
    </row>
    <row r="350" ht="24.75" customHeight="1">
      <c r="A350" s="585">
        <v>46253.0</v>
      </c>
      <c r="B350" s="694" t="s">
        <v>45</v>
      </c>
      <c r="C350" s="183">
        <v>605.0</v>
      </c>
      <c r="D350" s="130"/>
      <c r="E350" s="680" t="s">
        <v>317</v>
      </c>
      <c r="F350" s="680" t="s">
        <v>318</v>
      </c>
      <c r="G350" s="681">
        <v>100.0</v>
      </c>
      <c r="H350" s="22">
        <v>18.0</v>
      </c>
      <c r="I350" s="112"/>
      <c r="J350" s="681"/>
      <c r="K350" s="690" t="s">
        <v>23</v>
      </c>
      <c r="L350" s="709" t="s">
        <v>28</v>
      </c>
      <c r="M350" s="78">
        <v>19.0</v>
      </c>
      <c r="N350" s="683"/>
      <c r="O350" s="684"/>
    </row>
    <row r="351" ht="24.75" customHeight="1">
      <c r="A351" s="58"/>
      <c r="B351" s="58"/>
      <c r="C351" s="57"/>
      <c r="D351" s="120"/>
      <c r="E351" s="685" t="s">
        <v>317</v>
      </c>
      <c r="F351" s="685" t="s">
        <v>25</v>
      </c>
      <c r="G351" s="686">
        <v>120.0</v>
      </c>
      <c r="H351" s="710">
        <v>1.0</v>
      </c>
      <c r="I351" s="122"/>
      <c r="J351" s="686"/>
      <c r="K351" s="58"/>
      <c r="L351" s="58"/>
      <c r="M351" s="58"/>
      <c r="N351" s="58"/>
      <c r="O351" s="58"/>
    </row>
    <row r="352" ht="24.75" customHeight="1">
      <c r="A352" s="666">
        <v>46253.0</v>
      </c>
      <c r="B352" s="78" t="s">
        <v>21</v>
      </c>
      <c r="C352" s="78">
        <v>618.0</v>
      </c>
      <c r="D352" s="730"/>
      <c r="E352" s="727" t="s">
        <v>317</v>
      </c>
      <c r="F352" s="727" t="s">
        <v>318</v>
      </c>
      <c r="G352" s="728">
        <v>100.0</v>
      </c>
      <c r="H352" s="171">
        <v>18.0</v>
      </c>
      <c r="I352" s="729"/>
      <c r="J352" s="730"/>
      <c r="K352" s="731" t="s">
        <v>430</v>
      </c>
      <c r="L352" s="732" t="s">
        <v>431</v>
      </c>
      <c r="M352" s="78">
        <v>19.0</v>
      </c>
      <c r="N352" s="63"/>
      <c r="O352" s="63"/>
    </row>
    <row r="353" ht="24.75" customHeight="1">
      <c r="A353" s="58"/>
      <c r="B353" s="58"/>
      <c r="C353" s="58"/>
      <c r="D353" s="377"/>
      <c r="E353" s="733" t="s">
        <v>317</v>
      </c>
      <c r="F353" s="733" t="s">
        <v>25</v>
      </c>
      <c r="G353" s="734">
        <v>120.0</v>
      </c>
      <c r="H353" s="165">
        <v>1.0</v>
      </c>
      <c r="I353" s="735"/>
      <c r="J353" s="377"/>
      <c r="K353" s="58"/>
      <c r="L353" s="58"/>
      <c r="M353" s="58"/>
      <c r="N353" s="58"/>
      <c r="O353" s="58"/>
    </row>
    <row r="354" ht="40.5" customHeight="1">
      <c r="A354" s="712">
        <v>46253.0</v>
      </c>
      <c r="B354" s="713" t="s">
        <v>40</v>
      </c>
      <c r="C354" s="714">
        <v>623.0</v>
      </c>
      <c r="D354" s="715"/>
      <c r="E354" s="716" t="s">
        <v>317</v>
      </c>
      <c r="F354" s="716" t="s">
        <v>318</v>
      </c>
      <c r="G354" s="717">
        <v>100.0</v>
      </c>
      <c r="H354" s="718">
        <v>20.0</v>
      </c>
      <c r="I354" s="719"/>
      <c r="J354" s="717">
        <v>2000.0</v>
      </c>
      <c r="K354" s="720" t="s">
        <v>356</v>
      </c>
      <c r="L354" s="621" t="s">
        <v>429</v>
      </c>
      <c r="M354" s="721">
        <v>21.0</v>
      </c>
      <c r="N354" s="717"/>
      <c r="O354" s="717"/>
    </row>
    <row r="355" ht="40.5" customHeight="1">
      <c r="A355" s="58"/>
      <c r="B355" s="58"/>
      <c r="C355" s="58"/>
      <c r="D355" s="722"/>
      <c r="E355" s="716" t="s">
        <v>317</v>
      </c>
      <c r="F355" s="716" t="s">
        <v>25</v>
      </c>
      <c r="G355" s="716">
        <v>120.0</v>
      </c>
      <c r="H355" s="723">
        <v>1.0</v>
      </c>
      <c r="I355" s="724"/>
      <c r="J355" s="716">
        <v>120.0</v>
      </c>
      <c r="K355" s="725"/>
      <c r="L355" s="58"/>
      <c r="M355" s="58"/>
      <c r="N355" s="726"/>
      <c r="O355" s="726"/>
    </row>
    <row r="356" ht="24.75" customHeight="1">
      <c r="A356" s="585">
        <v>46254.0</v>
      </c>
      <c r="B356" s="694" t="s">
        <v>21</v>
      </c>
      <c r="C356" s="79">
        <v>602.0</v>
      </c>
      <c r="D356" s="689"/>
      <c r="E356" s="680" t="s">
        <v>317</v>
      </c>
      <c r="F356" s="680" t="s">
        <v>318</v>
      </c>
      <c r="G356" s="681">
        <v>100.0</v>
      </c>
      <c r="H356" s="553">
        <v>18.0</v>
      </c>
      <c r="I356" s="682"/>
      <c r="J356" s="681">
        <f t="shared" ref="J356:J357" si="38">H356*G356</f>
        <v>1800</v>
      </c>
      <c r="K356" s="690" t="s">
        <v>356</v>
      </c>
      <c r="L356" s="691" t="s">
        <v>375</v>
      </c>
      <c r="M356" s="609">
        <v>19.0</v>
      </c>
      <c r="N356" s="683">
        <f>M356*30</f>
        <v>570</v>
      </c>
      <c r="O356" s="684">
        <f>J356+J357+N356</f>
        <v>2490</v>
      </c>
    </row>
    <row r="357" ht="24.75" customHeight="1">
      <c r="A357" s="58"/>
      <c r="B357" s="58"/>
      <c r="C357" s="58"/>
      <c r="D357" s="679"/>
      <c r="E357" s="685" t="s">
        <v>317</v>
      </c>
      <c r="F357" s="685" t="s">
        <v>25</v>
      </c>
      <c r="G357" s="686">
        <v>120.0</v>
      </c>
      <c r="H357" s="687">
        <v>1.0</v>
      </c>
      <c r="I357" s="688"/>
      <c r="J357" s="686">
        <f t="shared" si="38"/>
        <v>120</v>
      </c>
      <c r="K357" s="58"/>
      <c r="L357" s="58"/>
      <c r="M357" s="58"/>
      <c r="N357" s="58"/>
      <c r="O357" s="58"/>
    </row>
    <row r="358" ht="24.75" customHeight="1">
      <c r="A358" s="585">
        <v>46254.0</v>
      </c>
      <c r="B358" s="694" t="s">
        <v>45</v>
      </c>
      <c r="C358" s="183">
        <v>624.0</v>
      </c>
      <c r="D358" s="130"/>
      <c r="E358" s="680" t="s">
        <v>317</v>
      </c>
      <c r="F358" s="680" t="s">
        <v>318</v>
      </c>
      <c r="G358" s="681">
        <v>100.0</v>
      </c>
      <c r="H358" s="22">
        <v>20.0</v>
      </c>
      <c r="I358" s="112"/>
      <c r="J358" s="681"/>
      <c r="K358" s="690" t="s">
        <v>23</v>
      </c>
      <c r="L358" s="709" t="s">
        <v>28</v>
      </c>
      <c r="M358" s="78">
        <v>21.0</v>
      </c>
      <c r="N358" s="683"/>
      <c r="O358" s="684"/>
    </row>
    <row r="359" ht="24.75" customHeight="1">
      <c r="A359" s="58"/>
      <c r="B359" s="58"/>
      <c r="C359" s="57"/>
      <c r="D359" s="120"/>
      <c r="E359" s="685" t="s">
        <v>317</v>
      </c>
      <c r="F359" s="685" t="s">
        <v>25</v>
      </c>
      <c r="G359" s="686">
        <v>120.0</v>
      </c>
      <c r="H359" s="710">
        <v>1.0</v>
      </c>
      <c r="I359" s="122"/>
      <c r="J359" s="686"/>
      <c r="K359" s="58"/>
      <c r="L359" s="58"/>
      <c r="M359" s="58"/>
      <c r="N359" s="58"/>
      <c r="O359" s="58"/>
    </row>
    <row r="360" ht="24.75" customHeight="1">
      <c r="A360" s="666">
        <v>46254.0</v>
      </c>
      <c r="B360" s="78" t="s">
        <v>21</v>
      </c>
      <c r="C360" s="78">
        <v>620.0</v>
      </c>
      <c r="D360" s="730"/>
      <c r="E360" s="727" t="s">
        <v>317</v>
      </c>
      <c r="F360" s="727" t="s">
        <v>318</v>
      </c>
      <c r="G360" s="728">
        <v>100.0</v>
      </c>
      <c r="H360" s="171">
        <v>13.5</v>
      </c>
      <c r="I360" s="729"/>
      <c r="J360" s="730"/>
      <c r="K360" s="731" t="s">
        <v>430</v>
      </c>
      <c r="L360" s="732" t="s">
        <v>431</v>
      </c>
      <c r="M360" s="78">
        <v>15.0</v>
      </c>
      <c r="N360" s="63"/>
      <c r="O360" s="63"/>
    </row>
    <row r="361" ht="24.75" customHeight="1">
      <c r="A361" s="58"/>
      <c r="B361" s="58"/>
      <c r="C361" s="58"/>
      <c r="D361" s="377"/>
      <c r="E361" s="733" t="s">
        <v>317</v>
      </c>
      <c r="F361" s="733" t="s">
        <v>25</v>
      </c>
      <c r="G361" s="734">
        <v>120.0</v>
      </c>
      <c r="H361" s="165">
        <v>1.0</v>
      </c>
      <c r="I361" s="735"/>
      <c r="J361" s="377"/>
      <c r="K361" s="58"/>
      <c r="L361" s="58"/>
      <c r="M361" s="58"/>
      <c r="N361" s="58"/>
      <c r="O361" s="58"/>
    </row>
    <row r="362" ht="40.5" customHeight="1">
      <c r="A362" s="736">
        <v>46254.0</v>
      </c>
      <c r="B362" s="737" t="s">
        <v>21</v>
      </c>
      <c r="C362" s="737">
        <v>603.0</v>
      </c>
      <c r="D362" s="172"/>
      <c r="E362" s="738" t="s">
        <v>317</v>
      </c>
      <c r="F362" s="738" t="s">
        <v>318</v>
      </c>
      <c r="G362" s="738">
        <v>100.0</v>
      </c>
      <c r="H362" s="739">
        <v>21.0</v>
      </c>
      <c r="I362" s="740"/>
      <c r="J362" s="738">
        <v>2000.0</v>
      </c>
      <c r="K362" s="741" t="s">
        <v>356</v>
      </c>
      <c r="L362" s="742" t="s">
        <v>429</v>
      </c>
      <c r="M362" s="743">
        <v>22.0</v>
      </c>
      <c r="N362" s="172"/>
      <c r="O362" s="172"/>
    </row>
    <row r="363" ht="40.5" customHeight="1">
      <c r="A363" s="58"/>
      <c r="B363" s="58"/>
      <c r="C363" s="58"/>
      <c r="D363" s="744"/>
      <c r="E363" s="745" t="s">
        <v>317</v>
      </c>
      <c r="F363" s="745" t="s">
        <v>25</v>
      </c>
      <c r="G363" s="745">
        <v>120.0</v>
      </c>
      <c r="H363" s="746">
        <v>1.0</v>
      </c>
      <c r="I363" s="747"/>
      <c r="J363" s="745">
        <v>120.0</v>
      </c>
      <c r="K363" s="725"/>
      <c r="L363" s="58"/>
      <c r="M363" s="58"/>
      <c r="N363" s="744"/>
      <c r="O363" s="744"/>
    </row>
    <row r="364" ht="24.75" customHeight="1">
      <c r="A364" s="585">
        <v>46255.0</v>
      </c>
      <c r="B364" s="694" t="s">
        <v>21</v>
      </c>
      <c r="C364" s="79">
        <v>613.0</v>
      </c>
      <c r="D364" s="689"/>
      <c r="E364" s="680" t="s">
        <v>317</v>
      </c>
      <c r="F364" s="680" t="s">
        <v>318</v>
      </c>
      <c r="G364" s="681">
        <v>100.0</v>
      </c>
      <c r="H364" s="553">
        <v>16.0</v>
      </c>
      <c r="I364" s="682"/>
      <c r="J364" s="681">
        <f t="shared" ref="J364:J365" si="39">H364*G364</f>
        <v>1600</v>
      </c>
      <c r="K364" s="690" t="s">
        <v>356</v>
      </c>
      <c r="L364" s="691" t="s">
        <v>375</v>
      </c>
      <c r="M364" s="609">
        <v>17.0</v>
      </c>
      <c r="N364" s="683">
        <f>M364*30</f>
        <v>510</v>
      </c>
      <c r="O364" s="684">
        <f>J364+J365+N364</f>
        <v>2230</v>
      </c>
    </row>
    <row r="365" ht="24.75" customHeight="1">
      <c r="A365" s="58"/>
      <c r="B365" s="58"/>
      <c r="C365" s="58"/>
      <c r="D365" s="679"/>
      <c r="E365" s="685" t="s">
        <v>317</v>
      </c>
      <c r="F365" s="685" t="s">
        <v>25</v>
      </c>
      <c r="G365" s="686">
        <v>120.0</v>
      </c>
      <c r="H365" s="687">
        <v>1.0</v>
      </c>
      <c r="I365" s="688"/>
      <c r="J365" s="686">
        <f t="shared" si="39"/>
        <v>120</v>
      </c>
      <c r="K365" s="58"/>
      <c r="L365" s="58"/>
      <c r="M365" s="58"/>
      <c r="N365" s="58"/>
      <c r="O365" s="58"/>
    </row>
    <row r="366" ht="24.75" customHeight="1">
      <c r="A366" s="585">
        <v>46255.0</v>
      </c>
      <c r="B366" s="694" t="s">
        <v>45</v>
      </c>
      <c r="C366" s="183">
        <v>621.0</v>
      </c>
      <c r="D366" s="130"/>
      <c r="E366" s="680" t="s">
        <v>317</v>
      </c>
      <c r="F366" s="680" t="s">
        <v>318</v>
      </c>
      <c r="G366" s="681">
        <v>100.0</v>
      </c>
      <c r="H366" s="22">
        <v>20.0</v>
      </c>
      <c r="I366" s="112"/>
      <c r="J366" s="681"/>
      <c r="K366" s="690" t="s">
        <v>23</v>
      </c>
      <c r="L366" s="709" t="s">
        <v>28</v>
      </c>
      <c r="M366" s="78">
        <v>21.0</v>
      </c>
      <c r="N366" s="683"/>
      <c r="O366" s="684"/>
    </row>
    <row r="367" ht="24.75" customHeight="1">
      <c r="A367" s="58"/>
      <c r="B367" s="58"/>
      <c r="C367" s="57"/>
      <c r="D367" s="120"/>
      <c r="E367" s="685" t="s">
        <v>317</v>
      </c>
      <c r="F367" s="685" t="s">
        <v>25</v>
      </c>
      <c r="G367" s="686">
        <v>120.0</v>
      </c>
      <c r="H367" s="710">
        <v>1.0</v>
      </c>
      <c r="I367" s="122"/>
      <c r="J367" s="686"/>
      <c r="K367" s="58"/>
      <c r="L367" s="58"/>
      <c r="M367" s="58"/>
      <c r="N367" s="58"/>
      <c r="O367" s="58"/>
    </row>
    <row r="368" ht="24.75" customHeight="1">
      <c r="A368" s="666">
        <v>46255.0</v>
      </c>
      <c r="B368" s="78" t="s">
        <v>21</v>
      </c>
      <c r="C368" s="78">
        <v>613.0</v>
      </c>
      <c r="D368" s="730"/>
      <c r="E368" s="727" t="s">
        <v>317</v>
      </c>
      <c r="F368" s="727" t="s">
        <v>318</v>
      </c>
      <c r="G368" s="728">
        <v>100.0</v>
      </c>
      <c r="H368" s="171">
        <v>15.0</v>
      </c>
      <c r="I368" s="729"/>
      <c r="J368" s="730"/>
      <c r="K368" s="731" t="s">
        <v>430</v>
      </c>
      <c r="L368" s="732" t="s">
        <v>431</v>
      </c>
      <c r="M368" s="78">
        <v>16.0</v>
      </c>
      <c r="N368" s="63"/>
      <c r="O368" s="63"/>
    </row>
    <row r="369" ht="24.75" customHeight="1">
      <c r="A369" s="58"/>
      <c r="B369" s="58"/>
      <c r="C369" s="58"/>
      <c r="D369" s="377"/>
      <c r="E369" s="733" t="s">
        <v>317</v>
      </c>
      <c r="F369" s="733" t="s">
        <v>25</v>
      </c>
      <c r="G369" s="734">
        <v>120.0</v>
      </c>
      <c r="H369" s="165">
        <v>1.0</v>
      </c>
      <c r="I369" s="735"/>
      <c r="J369" s="377"/>
      <c r="K369" s="58"/>
      <c r="L369" s="58"/>
      <c r="M369" s="58"/>
      <c r="N369" s="58"/>
      <c r="O369" s="58"/>
    </row>
    <row r="370" ht="40.5" customHeight="1">
      <c r="A370" s="736">
        <v>46255.0</v>
      </c>
      <c r="B370" s="737" t="s">
        <v>45</v>
      </c>
      <c r="C370" s="737">
        <v>603.0</v>
      </c>
      <c r="D370" s="172"/>
      <c r="E370" s="738" t="s">
        <v>317</v>
      </c>
      <c r="F370" s="738" t="s">
        <v>318</v>
      </c>
      <c r="G370" s="738">
        <v>100.0</v>
      </c>
      <c r="H370" s="739">
        <v>20.0</v>
      </c>
      <c r="I370" s="740"/>
      <c r="J370" s="738">
        <v>2000.0</v>
      </c>
      <c r="K370" s="741" t="s">
        <v>356</v>
      </c>
      <c r="L370" s="742" t="s">
        <v>429</v>
      </c>
      <c r="M370" s="743">
        <v>21.0</v>
      </c>
      <c r="N370" s="172"/>
      <c r="O370" s="172"/>
    </row>
    <row r="371" ht="40.5" customHeight="1">
      <c r="A371" s="58"/>
      <c r="B371" s="58"/>
      <c r="C371" s="58"/>
      <c r="D371" s="744"/>
      <c r="E371" s="745" t="s">
        <v>317</v>
      </c>
      <c r="F371" s="745" t="s">
        <v>25</v>
      </c>
      <c r="G371" s="745">
        <v>120.0</v>
      </c>
      <c r="H371" s="746">
        <v>1.0</v>
      </c>
      <c r="I371" s="747"/>
      <c r="J371" s="745">
        <v>120.0</v>
      </c>
      <c r="K371" s="725"/>
      <c r="L371" s="58"/>
      <c r="M371" s="58"/>
      <c r="N371" s="744"/>
      <c r="O371" s="744"/>
    </row>
    <row r="372" ht="24.75" customHeight="1">
      <c r="A372" s="585">
        <v>46256.0</v>
      </c>
      <c r="B372" s="694" t="s">
        <v>30</v>
      </c>
      <c r="C372" s="79">
        <v>604.0</v>
      </c>
      <c r="D372" s="689"/>
      <c r="E372" s="680" t="s">
        <v>317</v>
      </c>
      <c r="F372" s="680" t="s">
        <v>318</v>
      </c>
      <c r="G372" s="681">
        <v>100.0</v>
      </c>
      <c r="H372" s="553">
        <v>16.0</v>
      </c>
      <c r="I372" s="682"/>
      <c r="J372" s="681">
        <f t="shared" ref="J372:J373" si="40">H372*G372</f>
        <v>1600</v>
      </c>
      <c r="K372" s="690" t="s">
        <v>356</v>
      </c>
      <c r="L372" s="691" t="s">
        <v>375</v>
      </c>
      <c r="M372" s="609">
        <v>17.0</v>
      </c>
      <c r="N372" s="683">
        <f>M372*30</f>
        <v>510</v>
      </c>
      <c r="O372" s="684">
        <f>J372+J373+N372</f>
        <v>2230</v>
      </c>
    </row>
    <row r="373" ht="24.75" customHeight="1">
      <c r="A373" s="58"/>
      <c r="B373" s="58"/>
      <c r="C373" s="58"/>
      <c r="D373" s="679"/>
      <c r="E373" s="685" t="s">
        <v>317</v>
      </c>
      <c r="F373" s="685" t="s">
        <v>25</v>
      </c>
      <c r="G373" s="686">
        <v>120.0</v>
      </c>
      <c r="H373" s="687">
        <v>1.0</v>
      </c>
      <c r="I373" s="688"/>
      <c r="J373" s="686">
        <f t="shared" si="40"/>
        <v>120</v>
      </c>
      <c r="K373" s="58"/>
      <c r="L373" s="58"/>
      <c r="M373" s="58"/>
      <c r="N373" s="58"/>
      <c r="O373" s="58"/>
    </row>
    <row r="374" ht="24.75" customHeight="1">
      <c r="A374" s="585">
        <v>46256.0</v>
      </c>
      <c r="B374" s="694" t="s">
        <v>45</v>
      </c>
      <c r="C374" s="183">
        <v>613.0</v>
      </c>
      <c r="D374" s="130"/>
      <c r="E374" s="680" t="s">
        <v>317</v>
      </c>
      <c r="F374" s="680" t="s">
        <v>318</v>
      </c>
      <c r="G374" s="681">
        <v>100.0</v>
      </c>
      <c r="H374" s="22">
        <v>20.0</v>
      </c>
      <c r="I374" s="112"/>
      <c r="J374" s="681"/>
      <c r="K374" s="690" t="s">
        <v>23</v>
      </c>
      <c r="L374" s="709" t="s">
        <v>28</v>
      </c>
      <c r="M374" s="78">
        <v>21.0</v>
      </c>
      <c r="N374" s="683"/>
      <c r="O374" s="684"/>
    </row>
    <row r="375" ht="24.75" customHeight="1">
      <c r="A375" s="58"/>
      <c r="B375" s="58"/>
      <c r="C375" s="57"/>
      <c r="D375" s="120"/>
      <c r="E375" s="685" t="s">
        <v>317</v>
      </c>
      <c r="F375" s="685" t="s">
        <v>25</v>
      </c>
      <c r="G375" s="686">
        <v>120.0</v>
      </c>
      <c r="H375" s="710">
        <v>1.0</v>
      </c>
      <c r="I375" s="122"/>
      <c r="J375" s="686"/>
      <c r="K375" s="58"/>
      <c r="L375" s="58"/>
      <c r="M375" s="58"/>
      <c r="N375" s="58"/>
      <c r="O375" s="58"/>
    </row>
    <row r="376" ht="24.75" customHeight="1">
      <c r="A376" s="666">
        <v>46256.0</v>
      </c>
      <c r="B376" s="78" t="s">
        <v>40</v>
      </c>
      <c r="C376" s="78">
        <v>618.0</v>
      </c>
      <c r="D376" s="730"/>
      <c r="E376" s="727" t="s">
        <v>317</v>
      </c>
      <c r="F376" s="727" t="s">
        <v>318</v>
      </c>
      <c r="G376" s="728">
        <v>100.0</v>
      </c>
      <c r="H376" s="171">
        <v>17.5</v>
      </c>
      <c r="I376" s="729"/>
      <c r="J376" s="730"/>
      <c r="K376" s="731" t="s">
        <v>430</v>
      </c>
      <c r="L376" s="732" t="s">
        <v>431</v>
      </c>
      <c r="M376" s="78">
        <v>19.0</v>
      </c>
      <c r="N376" s="63"/>
      <c r="O376" s="63"/>
    </row>
    <row r="377" ht="24.75" customHeight="1">
      <c r="A377" s="58"/>
      <c r="B377" s="58"/>
      <c r="C377" s="58"/>
      <c r="D377" s="377"/>
      <c r="E377" s="733" t="s">
        <v>317</v>
      </c>
      <c r="F377" s="733" t="s">
        <v>25</v>
      </c>
      <c r="G377" s="734">
        <v>120.0</v>
      </c>
      <c r="H377" s="177">
        <v>1.0</v>
      </c>
      <c r="I377" s="735"/>
      <c r="J377" s="377"/>
      <c r="K377" s="58"/>
      <c r="L377" s="58"/>
      <c r="M377" s="58"/>
      <c r="N377" s="58"/>
      <c r="O377" s="58"/>
    </row>
    <row r="378" ht="40.5" customHeight="1">
      <c r="A378" s="736">
        <v>46256.0</v>
      </c>
      <c r="B378" s="737" t="s">
        <v>21</v>
      </c>
      <c r="C378" s="737">
        <v>603.0</v>
      </c>
      <c r="D378" s="172"/>
      <c r="E378" s="738" t="s">
        <v>317</v>
      </c>
      <c r="F378" s="738" t="s">
        <v>318</v>
      </c>
      <c r="G378" s="738">
        <v>100.0</v>
      </c>
      <c r="H378" s="739">
        <v>21.0</v>
      </c>
      <c r="I378" s="740"/>
      <c r="J378" s="738">
        <v>2000.0</v>
      </c>
      <c r="K378" s="741" t="s">
        <v>356</v>
      </c>
      <c r="L378" s="742" t="s">
        <v>429</v>
      </c>
      <c r="M378" s="743">
        <v>22.0</v>
      </c>
      <c r="N378" s="172"/>
      <c r="O378" s="172"/>
    </row>
    <row r="379" ht="40.5" customHeight="1">
      <c r="A379" s="58"/>
      <c r="B379" s="58"/>
      <c r="C379" s="58"/>
      <c r="D379" s="744"/>
      <c r="E379" s="745" t="s">
        <v>317</v>
      </c>
      <c r="F379" s="745" t="s">
        <v>25</v>
      </c>
      <c r="G379" s="745">
        <v>120.0</v>
      </c>
      <c r="H379" s="746">
        <v>1.0</v>
      </c>
      <c r="I379" s="747"/>
      <c r="J379" s="745">
        <v>120.0</v>
      </c>
      <c r="K379" s="725"/>
      <c r="L379" s="58"/>
      <c r="M379" s="58"/>
      <c r="N379" s="744"/>
      <c r="O379" s="744"/>
    </row>
    <row r="380" ht="24.75" customHeight="1">
      <c r="A380" s="585">
        <v>46258.0</v>
      </c>
      <c r="B380" s="694" t="s">
        <v>30</v>
      </c>
      <c r="C380" s="79">
        <v>622.0</v>
      </c>
      <c r="D380" s="689"/>
      <c r="E380" s="680" t="s">
        <v>317</v>
      </c>
      <c r="F380" s="680" t="s">
        <v>318</v>
      </c>
      <c r="G380" s="681">
        <v>100.0</v>
      </c>
      <c r="H380" s="553">
        <v>18.0</v>
      </c>
      <c r="I380" s="682"/>
      <c r="J380" s="681">
        <f t="shared" ref="J380:J381" si="41">H380*G380</f>
        <v>1800</v>
      </c>
      <c r="K380" s="690" t="s">
        <v>356</v>
      </c>
      <c r="L380" s="691" t="s">
        <v>375</v>
      </c>
      <c r="M380" s="609">
        <v>19.0</v>
      </c>
      <c r="N380" s="683">
        <f>M380*30</f>
        <v>570</v>
      </c>
      <c r="O380" s="684">
        <f>J380+J381+N380</f>
        <v>2490</v>
      </c>
    </row>
    <row r="381" ht="24.75" customHeight="1">
      <c r="A381" s="58"/>
      <c r="B381" s="58"/>
      <c r="C381" s="58"/>
      <c r="D381" s="679"/>
      <c r="E381" s="685" t="s">
        <v>317</v>
      </c>
      <c r="F381" s="685" t="s">
        <v>25</v>
      </c>
      <c r="G381" s="686">
        <v>120.0</v>
      </c>
      <c r="H381" s="687">
        <v>1.0</v>
      </c>
      <c r="I381" s="688"/>
      <c r="J381" s="686">
        <f t="shared" si="41"/>
        <v>120</v>
      </c>
      <c r="K381" s="58"/>
      <c r="L381" s="58"/>
      <c r="M381" s="58"/>
      <c r="N381" s="58"/>
      <c r="O381" s="58"/>
    </row>
    <row r="382" ht="24.75" customHeight="1">
      <c r="A382" s="585">
        <v>46258.0</v>
      </c>
      <c r="B382" s="694" t="s">
        <v>21</v>
      </c>
      <c r="C382" s="183">
        <v>602.0</v>
      </c>
      <c r="D382" s="130"/>
      <c r="E382" s="680" t="s">
        <v>317</v>
      </c>
      <c r="F382" s="680" t="s">
        <v>318</v>
      </c>
      <c r="G382" s="681">
        <v>100.0</v>
      </c>
      <c r="H382" s="22">
        <v>18.0</v>
      </c>
      <c r="I382" s="112"/>
      <c r="J382" s="681"/>
      <c r="K382" s="690" t="s">
        <v>23</v>
      </c>
      <c r="L382" s="709" t="s">
        <v>28</v>
      </c>
      <c r="M382" s="78">
        <v>19.0</v>
      </c>
      <c r="N382" s="683"/>
      <c r="O382" s="684"/>
    </row>
    <row r="383" ht="24.75" customHeight="1">
      <c r="A383" s="58"/>
      <c r="B383" s="58"/>
      <c r="C383" s="57"/>
      <c r="D383" s="120"/>
      <c r="E383" s="685" t="s">
        <v>317</v>
      </c>
      <c r="F383" s="685" t="s">
        <v>25</v>
      </c>
      <c r="G383" s="686">
        <v>120.0</v>
      </c>
      <c r="H383" s="710">
        <v>1.0</v>
      </c>
      <c r="I383" s="122"/>
      <c r="J383" s="686"/>
      <c r="K383" s="58"/>
      <c r="L383" s="58"/>
      <c r="M383" s="58"/>
      <c r="N383" s="58"/>
      <c r="O383" s="58"/>
    </row>
    <row r="384" ht="24.75" customHeight="1">
      <c r="A384" s="666">
        <v>46258.0</v>
      </c>
      <c r="B384" s="78" t="s">
        <v>21</v>
      </c>
      <c r="C384" s="78">
        <v>623.0</v>
      </c>
      <c r="D384" s="730"/>
      <c r="E384" s="727" t="s">
        <v>317</v>
      </c>
      <c r="F384" s="727" t="s">
        <v>318</v>
      </c>
      <c r="G384" s="728">
        <v>100.0</v>
      </c>
      <c r="H384" s="171">
        <v>18.0</v>
      </c>
      <c r="I384" s="729"/>
      <c r="J384" s="730"/>
      <c r="K384" s="731" t="s">
        <v>430</v>
      </c>
      <c r="L384" s="732" t="s">
        <v>431</v>
      </c>
      <c r="M384" s="78">
        <v>19.0</v>
      </c>
      <c r="N384" s="63"/>
      <c r="O384" s="63"/>
    </row>
    <row r="385" ht="24.75" customHeight="1">
      <c r="A385" s="58"/>
      <c r="B385" s="58"/>
      <c r="C385" s="58"/>
      <c r="D385" s="377"/>
      <c r="E385" s="733" t="s">
        <v>317</v>
      </c>
      <c r="F385" s="733" t="s">
        <v>25</v>
      </c>
      <c r="G385" s="734">
        <v>120.0</v>
      </c>
      <c r="H385" s="177">
        <v>1.0</v>
      </c>
      <c r="I385" s="735"/>
      <c r="J385" s="377"/>
      <c r="K385" s="58"/>
      <c r="L385" s="58"/>
      <c r="M385" s="58"/>
      <c r="N385" s="58"/>
      <c r="O385" s="58"/>
    </row>
    <row r="386" ht="40.5" customHeight="1">
      <c r="A386" s="736">
        <v>46258.0</v>
      </c>
      <c r="B386" s="737" t="s">
        <v>40</v>
      </c>
      <c r="C386" s="737">
        <v>611.0</v>
      </c>
      <c r="D386" s="172"/>
      <c r="E386" s="738" t="s">
        <v>317</v>
      </c>
      <c r="F386" s="738" t="s">
        <v>318</v>
      </c>
      <c r="G386" s="738">
        <v>100.0</v>
      </c>
      <c r="H386" s="739">
        <v>22.0</v>
      </c>
      <c r="I386" s="740"/>
      <c r="J386" s="738">
        <v>2000.0</v>
      </c>
      <c r="K386" s="741" t="s">
        <v>356</v>
      </c>
      <c r="L386" s="742" t="s">
        <v>429</v>
      </c>
      <c r="M386" s="743">
        <v>23.0</v>
      </c>
      <c r="N386" s="172"/>
      <c r="O386" s="172"/>
    </row>
    <row r="387" ht="40.5" customHeight="1">
      <c r="A387" s="58"/>
      <c r="B387" s="58"/>
      <c r="C387" s="58"/>
      <c r="D387" s="744"/>
      <c r="E387" s="745" t="s">
        <v>317</v>
      </c>
      <c r="F387" s="745" t="s">
        <v>25</v>
      </c>
      <c r="G387" s="745">
        <v>120.0</v>
      </c>
      <c r="H387" s="746">
        <v>1.0</v>
      </c>
      <c r="I387" s="747"/>
      <c r="J387" s="745">
        <v>120.0</v>
      </c>
      <c r="K387" s="725"/>
      <c r="L387" s="58"/>
      <c r="M387" s="58"/>
      <c r="N387" s="744"/>
      <c r="O387" s="744"/>
    </row>
    <row r="388" ht="24.75" customHeight="1">
      <c r="A388" s="585">
        <v>46259.0</v>
      </c>
      <c r="B388" s="694" t="s">
        <v>21</v>
      </c>
      <c r="C388" s="79">
        <v>604.0</v>
      </c>
      <c r="D388" s="689"/>
      <c r="E388" s="680" t="s">
        <v>317</v>
      </c>
      <c r="F388" s="680" t="s">
        <v>318</v>
      </c>
      <c r="G388" s="681">
        <v>100.0</v>
      </c>
      <c r="H388" s="553">
        <v>19.0</v>
      </c>
      <c r="I388" s="682"/>
      <c r="J388" s="681">
        <f t="shared" ref="J388:J389" si="42">H388*G388</f>
        <v>1900</v>
      </c>
      <c r="K388" s="690" t="s">
        <v>356</v>
      </c>
      <c r="L388" s="691" t="s">
        <v>375</v>
      </c>
      <c r="M388" s="609">
        <v>20.0</v>
      </c>
      <c r="N388" s="683">
        <f>M388*30</f>
        <v>600</v>
      </c>
      <c r="O388" s="684">
        <f>J388+J389+N388</f>
        <v>2620</v>
      </c>
    </row>
    <row r="389" ht="24.75" customHeight="1">
      <c r="A389" s="58"/>
      <c r="B389" s="58"/>
      <c r="C389" s="58"/>
      <c r="D389" s="679"/>
      <c r="E389" s="685" t="s">
        <v>317</v>
      </c>
      <c r="F389" s="685" t="s">
        <v>25</v>
      </c>
      <c r="G389" s="686">
        <v>120.0</v>
      </c>
      <c r="H389" s="687">
        <v>1.0</v>
      </c>
      <c r="I389" s="688"/>
      <c r="J389" s="686">
        <f t="shared" si="42"/>
        <v>120</v>
      </c>
      <c r="K389" s="58"/>
      <c r="L389" s="58"/>
      <c r="M389" s="58"/>
      <c r="N389" s="58"/>
      <c r="O389" s="58"/>
    </row>
    <row r="390" ht="24.75" customHeight="1">
      <c r="A390" s="585">
        <v>46259.0</v>
      </c>
      <c r="B390" s="694" t="s">
        <v>21</v>
      </c>
      <c r="C390" s="183">
        <v>603.0</v>
      </c>
      <c r="D390" s="130"/>
      <c r="E390" s="680" t="s">
        <v>317</v>
      </c>
      <c r="F390" s="680" t="s">
        <v>318</v>
      </c>
      <c r="G390" s="681">
        <v>100.0</v>
      </c>
      <c r="H390" s="22">
        <v>19.0</v>
      </c>
      <c r="I390" s="112"/>
      <c r="J390" s="681"/>
      <c r="K390" s="690" t="s">
        <v>23</v>
      </c>
      <c r="L390" s="709" t="s">
        <v>28</v>
      </c>
      <c r="M390" s="78">
        <v>20.0</v>
      </c>
      <c r="N390" s="683"/>
      <c r="O390" s="684"/>
    </row>
    <row r="391" ht="24.75" customHeight="1">
      <c r="A391" s="58"/>
      <c r="B391" s="58"/>
      <c r="C391" s="57"/>
      <c r="D391" s="120"/>
      <c r="E391" s="685" t="s">
        <v>317</v>
      </c>
      <c r="F391" s="685" t="s">
        <v>25</v>
      </c>
      <c r="G391" s="686">
        <v>120.0</v>
      </c>
      <c r="H391" s="710">
        <v>1.0</v>
      </c>
      <c r="I391" s="122"/>
      <c r="J391" s="686"/>
      <c r="K391" s="58"/>
      <c r="L391" s="58"/>
      <c r="M391" s="58"/>
      <c r="N391" s="58"/>
      <c r="O391" s="58"/>
    </row>
    <row r="392" ht="24.75" customHeight="1">
      <c r="A392" s="666">
        <v>46259.0</v>
      </c>
      <c r="B392" s="78" t="s">
        <v>21</v>
      </c>
      <c r="C392" s="78">
        <v>624.0</v>
      </c>
      <c r="D392" s="730"/>
      <c r="E392" s="727" t="s">
        <v>317</v>
      </c>
      <c r="F392" s="727" t="s">
        <v>318</v>
      </c>
      <c r="G392" s="728">
        <v>100.0</v>
      </c>
      <c r="H392" s="171">
        <v>13.0</v>
      </c>
      <c r="I392" s="729"/>
      <c r="J392" s="730"/>
      <c r="K392" s="731" t="s">
        <v>430</v>
      </c>
      <c r="L392" s="732" t="s">
        <v>431</v>
      </c>
      <c r="M392" s="78">
        <v>13.0</v>
      </c>
      <c r="N392" s="63"/>
      <c r="O392" s="63"/>
    </row>
    <row r="393" ht="24.75" customHeight="1">
      <c r="A393" s="58"/>
      <c r="B393" s="58"/>
      <c r="C393" s="58"/>
      <c r="D393" s="377"/>
      <c r="E393" s="733" t="s">
        <v>317</v>
      </c>
      <c r="F393" s="733" t="s">
        <v>25</v>
      </c>
      <c r="G393" s="734">
        <v>120.0</v>
      </c>
      <c r="H393" s="177">
        <v>0.0</v>
      </c>
      <c r="I393" s="735"/>
      <c r="J393" s="377"/>
      <c r="K393" s="58"/>
      <c r="L393" s="58"/>
      <c r="M393" s="58"/>
      <c r="N393" s="58"/>
      <c r="O393" s="58"/>
    </row>
    <row r="394" ht="40.5" customHeight="1">
      <c r="A394" s="736">
        <v>46259.0</v>
      </c>
      <c r="B394" s="737" t="s">
        <v>40</v>
      </c>
      <c r="C394" s="737">
        <v>612.0</v>
      </c>
      <c r="D394" s="172"/>
      <c r="E394" s="738" t="s">
        <v>317</v>
      </c>
      <c r="F394" s="738" t="s">
        <v>318</v>
      </c>
      <c r="G394" s="738">
        <v>100.0</v>
      </c>
      <c r="H394" s="739">
        <v>19.0</v>
      </c>
      <c r="I394" s="740"/>
      <c r="J394" s="738">
        <v>2000.0</v>
      </c>
      <c r="K394" s="741" t="s">
        <v>356</v>
      </c>
      <c r="L394" s="742" t="s">
        <v>429</v>
      </c>
      <c r="M394" s="743">
        <v>20.0</v>
      </c>
      <c r="N394" s="172"/>
      <c r="O394" s="172"/>
    </row>
    <row r="395" ht="40.5" customHeight="1">
      <c r="A395" s="58"/>
      <c r="B395" s="58"/>
      <c r="C395" s="58"/>
      <c r="D395" s="744"/>
      <c r="E395" s="745" t="s">
        <v>317</v>
      </c>
      <c r="F395" s="745" t="s">
        <v>25</v>
      </c>
      <c r="G395" s="745">
        <v>120.0</v>
      </c>
      <c r="H395" s="746">
        <v>1.0</v>
      </c>
      <c r="I395" s="747"/>
      <c r="J395" s="745">
        <v>120.0</v>
      </c>
      <c r="K395" s="725"/>
      <c r="L395" s="58"/>
      <c r="M395" s="58"/>
      <c r="N395" s="744"/>
      <c r="O395" s="744"/>
    </row>
    <row r="396" ht="24.75" customHeight="1">
      <c r="A396" s="585">
        <v>46260.0</v>
      </c>
      <c r="B396" s="694" t="s">
        <v>21</v>
      </c>
      <c r="C396" s="79">
        <v>604.0</v>
      </c>
      <c r="D396" s="689"/>
      <c r="E396" s="680" t="s">
        <v>317</v>
      </c>
      <c r="F396" s="680" t="s">
        <v>318</v>
      </c>
      <c r="G396" s="681">
        <v>100.0</v>
      </c>
      <c r="H396" s="553">
        <v>18.0</v>
      </c>
      <c r="I396" s="682"/>
      <c r="J396" s="681">
        <f t="shared" ref="J396:J397" si="43">H396*G396</f>
        <v>1800</v>
      </c>
      <c r="K396" s="690" t="s">
        <v>356</v>
      </c>
      <c r="L396" s="691" t="s">
        <v>375</v>
      </c>
      <c r="M396" s="609">
        <v>19.0</v>
      </c>
      <c r="N396" s="683">
        <f>M396*30</f>
        <v>570</v>
      </c>
      <c r="O396" s="684">
        <f>J396+J397+N396</f>
        <v>2490</v>
      </c>
    </row>
    <row r="397" ht="24.75" customHeight="1">
      <c r="A397" s="58"/>
      <c r="B397" s="58"/>
      <c r="C397" s="58"/>
      <c r="D397" s="679"/>
      <c r="E397" s="685" t="s">
        <v>317</v>
      </c>
      <c r="F397" s="685" t="s">
        <v>25</v>
      </c>
      <c r="G397" s="686">
        <v>120.0</v>
      </c>
      <c r="H397" s="687">
        <v>1.0</v>
      </c>
      <c r="I397" s="688"/>
      <c r="J397" s="686">
        <f t="shared" si="43"/>
        <v>120</v>
      </c>
      <c r="K397" s="58"/>
      <c r="L397" s="58"/>
      <c r="M397" s="58"/>
      <c r="N397" s="58"/>
      <c r="O397" s="58"/>
    </row>
    <row r="398" ht="24.75" customHeight="1">
      <c r="A398" s="585">
        <v>46260.0</v>
      </c>
      <c r="B398" s="694" t="s">
        <v>21</v>
      </c>
      <c r="C398" s="183">
        <v>603.0</v>
      </c>
      <c r="D398" s="130"/>
      <c r="E398" s="680" t="s">
        <v>317</v>
      </c>
      <c r="F398" s="680" t="s">
        <v>318</v>
      </c>
      <c r="G398" s="681">
        <v>100.0</v>
      </c>
      <c r="H398" s="22">
        <v>18.0</v>
      </c>
      <c r="I398" s="112"/>
      <c r="J398" s="681"/>
      <c r="K398" s="690" t="s">
        <v>23</v>
      </c>
      <c r="L398" s="709" t="s">
        <v>28</v>
      </c>
      <c r="M398" s="78">
        <v>19.0</v>
      </c>
      <c r="N398" s="683"/>
      <c r="O398" s="684"/>
    </row>
    <row r="399" ht="24.75" customHeight="1">
      <c r="A399" s="58"/>
      <c r="B399" s="58"/>
      <c r="C399" s="57"/>
      <c r="D399" s="120"/>
      <c r="E399" s="685" t="s">
        <v>317</v>
      </c>
      <c r="F399" s="685" t="s">
        <v>25</v>
      </c>
      <c r="G399" s="686">
        <v>120.0</v>
      </c>
      <c r="H399" s="710">
        <v>1.0</v>
      </c>
      <c r="I399" s="122"/>
      <c r="J399" s="686"/>
      <c r="K399" s="58"/>
      <c r="L399" s="58"/>
      <c r="M399" s="58"/>
      <c r="N399" s="58"/>
      <c r="O399" s="58"/>
    </row>
    <row r="400" ht="40.5" customHeight="1">
      <c r="A400" s="736">
        <v>46260.0</v>
      </c>
      <c r="B400" s="737" t="s">
        <v>21</v>
      </c>
      <c r="C400" s="737">
        <v>602.0</v>
      </c>
      <c r="D400" s="172"/>
      <c r="E400" s="738" t="s">
        <v>317</v>
      </c>
      <c r="F400" s="738" t="s">
        <v>318</v>
      </c>
      <c r="G400" s="738">
        <v>100.0</v>
      </c>
      <c r="H400" s="739">
        <v>20.0</v>
      </c>
      <c r="I400" s="740"/>
      <c r="J400" s="738">
        <v>2000.0</v>
      </c>
      <c r="K400" s="741" t="s">
        <v>356</v>
      </c>
      <c r="L400" s="742" t="s">
        <v>429</v>
      </c>
      <c r="M400" s="743">
        <v>21.0</v>
      </c>
      <c r="N400" s="172"/>
      <c r="O400" s="172"/>
    </row>
    <row r="401" ht="40.5" customHeight="1">
      <c r="A401" s="58"/>
      <c r="B401" s="58"/>
      <c r="C401" s="58"/>
      <c r="D401" s="744"/>
      <c r="E401" s="745" t="s">
        <v>317</v>
      </c>
      <c r="F401" s="745" t="s">
        <v>25</v>
      </c>
      <c r="G401" s="745">
        <v>120.0</v>
      </c>
      <c r="H401" s="746">
        <v>1.0</v>
      </c>
      <c r="I401" s="747"/>
      <c r="J401" s="745">
        <v>120.0</v>
      </c>
      <c r="K401" s="725"/>
      <c r="L401" s="58"/>
      <c r="M401" s="58"/>
      <c r="N401" s="744"/>
      <c r="O401" s="744"/>
    </row>
    <row r="402" ht="24.75" customHeight="1">
      <c r="A402" s="666">
        <v>46260.0</v>
      </c>
      <c r="B402" s="78" t="s">
        <v>21</v>
      </c>
      <c r="C402" s="78">
        <v>621.0</v>
      </c>
      <c r="D402" s="730"/>
      <c r="E402" s="727" t="s">
        <v>317</v>
      </c>
      <c r="F402" s="727" t="s">
        <v>318</v>
      </c>
      <c r="G402" s="728">
        <v>100.0</v>
      </c>
      <c r="H402" s="171">
        <v>18.0</v>
      </c>
      <c r="I402" s="729"/>
      <c r="J402" s="730"/>
      <c r="K402" s="731" t="s">
        <v>430</v>
      </c>
      <c r="L402" s="732" t="s">
        <v>431</v>
      </c>
      <c r="M402" s="78">
        <v>19.0</v>
      </c>
      <c r="N402" s="63"/>
      <c r="O402" s="63"/>
    </row>
    <row r="403" ht="24.75" customHeight="1">
      <c r="A403" s="58"/>
      <c r="B403" s="58"/>
      <c r="C403" s="58"/>
      <c r="D403" s="377"/>
      <c r="E403" s="733" t="s">
        <v>317</v>
      </c>
      <c r="F403" s="733" t="s">
        <v>25</v>
      </c>
      <c r="G403" s="734">
        <v>120.0</v>
      </c>
      <c r="H403" s="177">
        <v>1.0</v>
      </c>
      <c r="I403" s="735"/>
      <c r="J403" s="377"/>
      <c r="K403" s="58"/>
      <c r="L403" s="58"/>
      <c r="M403" s="58"/>
      <c r="N403" s="58"/>
      <c r="O403" s="58"/>
    </row>
    <row r="404" ht="24.75" customHeight="1">
      <c r="A404" s="585">
        <v>46261.0</v>
      </c>
      <c r="B404" s="694" t="s">
        <v>21</v>
      </c>
      <c r="C404" s="79">
        <v>601.0</v>
      </c>
      <c r="D404" s="689"/>
      <c r="E404" s="680" t="s">
        <v>317</v>
      </c>
      <c r="F404" s="680" t="s">
        <v>318</v>
      </c>
      <c r="G404" s="681">
        <v>100.0</v>
      </c>
      <c r="H404" s="553">
        <v>22.0</v>
      </c>
      <c r="I404" s="682"/>
      <c r="J404" s="681">
        <f t="shared" ref="J404:J405" si="44">H404*G404</f>
        <v>2200</v>
      </c>
      <c r="K404" s="690" t="s">
        <v>356</v>
      </c>
      <c r="L404" s="691" t="s">
        <v>375</v>
      </c>
      <c r="M404" s="609">
        <v>23.0</v>
      </c>
      <c r="N404" s="683">
        <f>M404*30</f>
        <v>690</v>
      </c>
      <c r="O404" s="684">
        <f>J404+J405+N404</f>
        <v>3010</v>
      </c>
    </row>
    <row r="405" ht="24.75" customHeight="1">
      <c r="A405" s="58"/>
      <c r="B405" s="58"/>
      <c r="C405" s="58"/>
      <c r="D405" s="679"/>
      <c r="E405" s="685" t="s">
        <v>317</v>
      </c>
      <c r="F405" s="685" t="s">
        <v>25</v>
      </c>
      <c r="G405" s="686">
        <v>120.0</v>
      </c>
      <c r="H405" s="687">
        <v>1.0</v>
      </c>
      <c r="I405" s="688"/>
      <c r="J405" s="686">
        <f t="shared" si="44"/>
        <v>120</v>
      </c>
      <c r="K405" s="58"/>
      <c r="L405" s="58"/>
      <c r="M405" s="58"/>
      <c r="N405" s="58"/>
      <c r="O405" s="58"/>
    </row>
    <row r="406" ht="24.75" customHeight="1">
      <c r="A406" s="585">
        <v>46261.0</v>
      </c>
      <c r="B406" s="694" t="s">
        <v>45</v>
      </c>
      <c r="C406" s="183">
        <v>603.0</v>
      </c>
      <c r="D406" s="130"/>
      <c r="E406" s="680" t="s">
        <v>317</v>
      </c>
      <c r="F406" s="680" t="s">
        <v>318</v>
      </c>
      <c r="G406" s="681">
        <v>100.0</v>
      </c>
      <c r="H406" s="22">
        <v>19.0</v>
      </c>
      <c r="I406" s="112"/>
      <c r="J406" s="681"/>
      <c r="K406" s="690" t="s">
        <v>23</v>
      </c>
      <c r="L406" s="709" t="s">
        <v>28</v>
      </c>
      <c r="M406" s="78">
        <v>20.0</v>
      </c>
      <c r="N406" s="683"/>
      <c r="O406" s="684"/>
    </row>
    <row r="407" ht="24.75" customHeight="1">
      <c r="A407" s="58"/>
      <c r="B407" s="58"/>
      <c r="C407" s="57"/>
      <c r="D407" s="120"/>
      <c r="E407" s="685" t="s">
        <v>317</v>
      </c>
      <c r="F407" s="685" t="s">
        <v>25</v>
      </c>
      <c r="G407" s="686">
        <v>120.0</v>
      </c>
      <c r="H407" s="710">
        <v>1.0</v>
      </c>
      <c r="I407" s="122"/>
      <c r="J407" s="686"/>
      <c r="K407" s="58"/>
      <c r="L407" s="58"/>
      <c r="M407" s="58"/>
      <c r="N407" s="58"/>
      <c r="O407" s="58"/>
    </row>
    <row r="408" ht="40.5" customHeight="1">
      <c r="A408" s="736">
        <v>46261.0</v>
      </c>
      <c r="B408" s="737" t="s">
        <v>40</v>
      </c>
      <c r="C408" s="737">
        <v>621.0</v>
      </c>
      <c r="D408" s="172"/>
      <c r="E408" s="738" t="s">
        <v>317</v>
      </c>
      <c r="F408" s="738" t="s">
        <v>318</v>
      </c>
      <c r="G408" s="738">
        <v>100.0</v>
      </c>
      <c r="H408" s="739">
        <v>18.0</v>
      </c>
      <c r="I408" s="740"/>
      <c r="J408" s="738">
        <v>2000.0</v>
      </c>
      <c r="K408" s="741" t="s">
        <v>356</v>
      </c>
      <c r="L408" s="742" t="s">
        <v>429</v>
      </c>
      <c r="M408" s="743">
        <v>18.0</v>
      </c>
      <c r="N408" s="172"/>
      <c r="O408" s="172"/>
    </row>
    <row r="409" ht="40.5" customHeight="1">
      <c r="A409" s="58"/>
      <c r="B409" s="58"/>
      <c r="C409" s="58"/>
      <c r="D409" s="744"/>
      <c r="E409" s="745" t="s">
        <v>317</v>
      </c>
      <c r="F409" s="745" t="s">
        <v>25</v>
      </c>
      <c r="G409" s="745">
        <v>120.0</v>
      </c>
      <c r="H409" s="748">
        <v>0.0</v>
      </c>
      <c r="I409" s="747"/>
      <c r="J409" s="745">
        <v>120.0</v>
      </c>
      <c r="K409" s="725"/>
      <c r="L409" s="58"/>
      <c r="M409" s="58"/>
      <c r="N409" s="744"/>
      <c r="O409" s="744"/>
    </row>
    <row r="410" ht="24.75" customHeight="1">
      <c r="A410" s="666">
        <v>46261.0</v>
      </c>
      <c r="B410" s="78" t="s">
        <v>21</v>
      </c>
      <c r="C410" s="78">
        <v>621.0</v>
      </c>
      <c r="D410" s="730"/>
      <c r="E410" s="727" t="s">
        <v>317</v>
      </c>
      <c r="F410" s="727" t="s">
        <v>318</v>
      </c>
      <c r="G410" s="728">
        <v>100.0</v>
      </c>
      <c r="H410" s="171">
        <v>21.0</v>
      </c>
      <c r="I410" s="729"/>
      <c r="J410" s="730"/>
      <c r="K410" s="731" t="s">
        <v>430</v>
      </c>
      <c r="L410" s="732" t="s">
        <v>431</v>
      </c>
      <c r="M410" s="78">
        <v>21.0</v>
      </c>
      <c r="N410" s="63"/>
      <c r="O410" s="63"/>
    </row>
    <row r="411" ht="24.75" customHeight="1">
      <c r="A411" s="58"/>
      <c r="B411" s="58"/>
      <c r="C411" s="58"/>
      <c r="D411" s="377"/>
      <c r="E411" s="733" t="s">
        <v>317</v>
      </c>
      <c r="F411" s="733" t="s">
        <v>25</v>
      </c>
      <c r="G411" s="734">
        <v>120.0</v>
      </c>
      <c r="H411" s="177">
        <v>0.0</v>
      </c>
      <c r="I411" s="735"/>
      <c r="J411" s="377"/>
      <c r="K411" s="58"/>
      <c r="L411" s="58"/>
      <c r="M411" s="58"/>
      <c r="N411" s="58"/>
      <c r="O411" s="58"/>
    </row>
    <row r="412" ht="24.75" customHeight="1">
      <c r="A412" s="585">
        <v>46262.0</v>
      </c>
      <c r="B412" s="694" t="s">
        <v>45</v>
      </c>
      <c r="C412" s="79">
        <v>609.0</v>
      </c>
      <c r="D412" s="689"/>
      <c r="E412" s="680" t="s">
        <v>317</v>
      </c>
      <c r="F412" s="680" t="s">
        <v>318</v>
      </c>
      <c r="G412" s="681">
        <v>100.0</v>
      </c>
      <c r="H412" s="553">
        <v>18.0</v>
      </c>
      <c r="I412" s="682"/>
      <c r="J412" s="681">
        <f t="shared" ref="J412:J413" si="45">H412*G412</f>
        <v>1800</v>
      </c>
      <c r="K412" s="690" t="s">
        <v>356</v>
      </c>
      <c r="L412" s="691" t="s">
        <v>375</v>
      </c>
      <c r="M412" s="609">
        <v>19.0</v>
      </c>
      <c r="N412" s="683">
        <f>M412*30</f>
        <v>570</v>
      </c>
      <c r="O412" s="684">
        <f>J412+J413+N412</f>
        <v>2490</v>
      </c>
    </row>
    <row r="413" ht="24.75" customHeight="1">
      <c r="A413" s="58"/>
      <c r="B413" s="58"/>
      <c r="C413" s="58"/>
      <c r="D413" s="679"/>
      <c r="E413" s="685" t="s">
        <v>317</v>
      </c>
      <c r="F413" s="685" t="s">
        <v>25</v>
      </c>
      <c r="G413" s="686">
        <v>120.0</v>
      </c>
      <c r="H413" s="687">
        <v>1.0</v>
      </c>
      <c r="I413" s="688"/>
      <c r="J413" s="686">
        <f t="shared" si="45"/>
        <v>120</v>
      </c>
      <c r="K413" s="58"/>
      <c r="L413" s="58"/>
      <c r="M413" s="58"/>
      <c r="N413" s="58"/>
      <c r="O413" s="58"/>
    </row>
    <row r="414" ht="24.75" customHeight="1">
      <c r="A414" s="585">
        <v>46262.0</v>
      </c>
      <c r="B414" s="694" t="s">
        <v>45</v>
      </c>
      <c r="C414" s="183">
        <v>607.0</v>
      </c>
      <c r="D414" s="130"/>
      <c r="E414" s="680" t="s">
        <v>317</v>
      </c>
      <c r="F414" s="680" t="s">
        <v>318</v>
      </c>
      <c r="G414" s="681">
        <v>100.0</v>
      </c>
      <c r="H414" s="22">
        <v>19.0</v>
      </c>
      <c r="I414" s="112"/>
      <c r="J414" s="681"/>
      <c r="K414" s="690" t="s">
        <v>23</v>
      </c>
      <c r="L414" s="709" t="s">
        <v>28</v>
      </c>
      <c r="M414" s="78">
        <v>20.0</v>
      </c>
      <c r="N414" s="683"/>
      <c r="O414" s="684"/>
    </row>
    <row r="415" ht="24.75" customHeight="1">
      <c r="A415" s="58"/>
      <c r="B415" s="58"/>
      <c r="C415" s="57"/>
      <c r="D415" s="120"/>
      <c r="E415" s="685" t="s">
        <v>317</v>
      </c>
      <c r="F415" s="685" t="s">
        <v>25</v>
      </c>
      <c r="G415" s="686">
        <v>120.0</v>
      </c>
      <c r="H415" s="710">
        <v>1.0</v>
      </c>
      <c r="I415" s="122"/>
      <c r="J415" s="686"/>
      <c r="K415" s="58"/>
      <c r="L415" s="58"/>
      <c r="M415" s="58"/>
      <c r="N415" s="58"/>
      <c r="O415" s="58"/>
    </row>
    <row r="416" ht="40.5" customHeight="1">
      <c r="A416" s="736">
        <v>46262.0</v>
      </c>
      <c r="B416" s="737" t="s">
        <v>40</v>
      </c>
      <c r="C416" s="737">
        <v>621.0</v>
      </c>
      <c r="D416" s="172"/>
      <c r="E416" s="738" t="s">
        <v>317</v>
      </c>
      <c r="F416" s="738" t="s">
        <v>318</v>
      </c>
      <c r="G416" s="738">
        <v>100.0</v>
      </c>
      <c r="H416" s="739">
        <v>16.0</v>
      </c>
      <c r="I416" s="740"/>
      <c r="J416" s="738">
        <v>2000.0</v>
      </c>
      <c r="K416" s="741" t="s">
        <v>356</v>
      </c>
      <c r="L416" s="742" t="s">
        <v>429</v>
      </c>
      <c r="M416" s="743">
        <v>17.0</v>
      </c>
      <c r="N416" s="172"/>
      <c r="O416" s="172"/>
    </row>
    <row r="417" ht="40.5" customHeight="1">
      <c r="A417" s="58"/>
      <c r="B417" s="58"/>
      <c r="C417" s="58"/>
      <c r="D417" s="744"/>
      <c r="E417" s="745" t="s">
        <v>317</v>
      </c>
      <c r="F417" s="745" t="s">
        <v>25</v>
      </c>
      <c r="G417" s="745">
        <v>120.0</v>
      </c>
      <c r="H417" s="748">
        <v>1.0</v>
      </c>
      <c r="I417" s="747"/>
      <c r="J417" s="745">
        <v>120.0</v>
      </c>
      <c r="K417" s="725"/>
      <c r="L417" s="58"/>
      <c r="M417" s="58"/>
      <c r="N417" s="744"/>
      <c r="O417" s="744"/>
    </row>
    <row r="418" ht="24.75" customHeight="1">
      <c r="A418" s="666">
        <v>46262.0</v>
      </c>
      <c r="B418" s="78" t="s">
        <v>21</v>
      </c>
      <c r="C418" s="78">
        <v>619.0</v>
      </c>
      <c r="D418" s="730"/>
      <c r="E418" s="727" t="s">
        <v>317</v>
      </c>
      <c r="F418" s="727" t="s">
        <v>318</v>
      </c>
      <c r="G418" s="728">
        <v>100.0</v>
      </c>
      <c r="H418" s="171">
        <v>17.0</v>
      </c>
      <c r="I418" s="729"/>
      <c r="J418" s="730"/>
      <c r="K418" s="731" t="s">
        <v>430</v>
      </c>
      <c r="L418" s="732" t="s">
        <v>431</v>
      </c>
      <c r="M418" s="78">
        <v>17.0</v>
      </c>
      <c r="N418" s="63"/>
      <c r="O418" s="63"/>
    </row>
    <row r="419" ht="24.75" customHeight="1">
      <c r="A419" s="58"/>
      <c r="B419" s="58"/>
      <c r="C419" s="58"/>
      <c r="D419" s="377"/>
      <c r="E419" s="733" t="s">
        <v>317</v>
      </c>
      <c r="F419" s="733" t="s">
        <v>25</v>
      </c>
      <c r="G419" s="734">
        <v>120.0</v>
      </c>
      <c r="H419" s="177">
        <v>0.0</v>
      </c>
      <c r="I419" s="735"/>
      <c r="J419" s="377"/>
      <c r="K419" s="58"/>
      <c r="L419" s="58"/>
      <c r="M419" s="58"/>
      <c r="N419" s="58"/>
      <c r="O419" s="58"/>
    </row>
    <row r="420" ht="24.75" customHeight="1">
      <c r="A420" s="585">
        <v>46263.0</v>
      </c>
      <c r="B420" s="694" t="s">
        <v>21</v>
      </c>
      <c r="C420" s="79">
        <v>602.0</v>
      </c>
      <c r="D420" s="689"/>
      <c r="E420" s="680" t="s">
        <v>317</v>
      </c>
      <c r="F420" s="680" t="s">
        <v>318</v>
      </c>
      <c r="G420" s="681">
        <v>100.0</v>
      </c>
      <c r="H420" s="553">
        <v>15.0</v>
      </c>
      <c r="I420" s="682"/>
      <c r="J420" s="681">
        <f t="shared" ref="J420:J421" si="46">H420*G420</f>
        <v>1500</v>
      </c>
      <c r="K420" s="690" t="s">
        <v>356</v>
      </c>
      <c r="L420" s="691" t="s">
        <v>375</v>
      </c>
      <c r="M420" s="609">
        <v>16.0</v>
      </c>
      <c r="N420" s="683">
        <f>M420*30</f>
        <v>480</v>
      </c>
      <c r="O420" s="684">
        <f>J420+J421+N420</f>
        <v>2100</v>
      </c>
    </row>
    <row r="421" ht="24.75" customHeight="1">
      <c r="A421" s="58"/>
      <c r="B421" s="58"/>
      <c r="C421" s="58"/>
      <c r="D421" s="679"/>
      <c r="E421" s="685" t="s">
        <v>317</v>
      </c>
      <c r="F421" s="685" t="s">
        <v>25</v>
      </c>
      <c r="G421" s="686">
        <v>120.0</v>
      </c>
      <c r="H421" s="687">
        <v>1.0</v>
      </c>
      <c r="I421" s="688"/>
      <c r="J421" s="686">
        <f t="shared" si="46"/>
        <v>120</v>
      </c>
      <c r="K421" s="58"/>
      <c r="L421" s="58"/>
      <c r="M421" s="58"/>
      <c r="N421" s="58"/>
      <c r="O421" s="58"/>
    </row>
    <row r="422" ht="24.75" customHeight="1">
      <c r="A422" s="585">
        <v>46263.0</v>
      </c>
      <c r="B422" s="694" t="s">
        <v>45</v>
      </c>
      <c r="C422" s="183">
        <v>607.0</v>
      </c>
      <c r="D422" s="130"/>
      <c r="E422" s="680" t="s">
        <v>317</v>
      </c>
      <c r="F422" s="680" t="s">
        <v>318</v>
      </c>
      <c r="G422" s="681">
        <v>100.0</v>
      </c>
      <c r="H422" s="22">
        <v>20.0</v>
      </c>
      <c r="I422" s="112"/>
      <c r="J422" s="681"/>
      <c r="K422" s="690" t="s">
        <v>23</v>
      </c>
      <c r="L422" s="709" t="s">
        <v>28</v>
      </c>
      <c r="M422" s="78">
        <v>21.0</v>
      </c>
      <c r="N422" s="683"/>
      <c r="O422" s="684"/>
    </row>
    <row r="423" ht="24.75" customHeight="1">
      <c r="A423" s="58"/>
      <c r="B423" s="58"/>
      <c r="C423" s="57"/>
      <c r="D423" s="120"/>
      <c r="E423" s="685" t="s">
        <v>317</v>
      </c>
      <c r="F423" s="685" t="s">
        <v>25</v>
      </c>
      <c r="G423" s="686">
        <v>120.0</v>
      </c>
      <c r="H423" s="710">
        <v>1.0</v>
      </c>
      <c r="I423" s="122"/>
      <c r="J423" s="686"/>
      <c r="K423" s="58"/>
      <c r="L423" s="58"/>
      <c r="M423" s="58"/>
      <c r="N423" s="58"/>
      <c r="O423" s="58"/>
    </row>
    <row r="424" ht="24.75" customHeight="1">
      <c r="A424" s="666">
        <v>46263.0</v>
      </c>
      <c r="B424" s="78" t="s">
        <v>45</v>
      </c>
      <c r="C424" s="78">
        <v>612.0</v>
      </c>
      <c r="D424" s="730"/>
      <c r="E424" s="727" t="s">
        <v>317</v>
      </c>
      <c r="F424" s="727" t="s">
        <v>318</v>
      </c>
      <c r="G424" s="728">
        <v>100.0</v>
      </c>
      <c r="H424" s="171">
        <v>21.0</v>
      </c>
      <c r="I424" s="729"/>
      <c r="J424" s="730"/>
      <c r="K424" s="731" t="s">
        <v>430</v>
      </c>
      <c r="L424" s="732" t="s">
        <v>431</v>
      </c>
      <c r="M424" s="78">
        <v>21.0</v>
      </c>
      <c r="N424" s="63"/>
      <c r="O424" s="63"/>
    </row>
    <row r="425" ht="24.75" customHeight="1">
      <c r="A425" s="58"/>
      <c r="B425" s="58"/>
      <c r="C425" s="58"/>
      <c r="D425" s="377"/>
      <c r="E425" s="733" t="s">
        <v>317</v>
      </c>
      <c r="F425" s="733" t="s">
        <v>25</v>
      </c>
      <c r="G425" s="734">
        <v>120.0</v>
      </c>
      <c r="H425" s="177">
        <v>0.0</v>
      </c>
      <c r="I425" s="735"/>
      <c r="J425" s="377"/>
      <c r="K425" s="58"/>
      <c r="L425" s="58"/>
      <c r="M425" s="58"/>
      <c r="N425" s="58"/>
      <c r="O425" s="58"/>
    </row>
    <row r="426" ht="40.5" customHeight="1">
      <c r="A426" s="736">
        <v>46263.0</v>
      </c>
      <c r="B426" s="737" t="s">
        <v>40</v>
      </c>
      <c r="C426" s="737">
        <v>613.0</v>
      </c>
      <c r="D426" s="172"/>
      <c r="E426" s="738" t="s">
        <v>317</v>
      </c>
      <c r="F426" s="738" t="s">
        <v>318</v>
      </c>
      <c r="G426" s="738">
        <v>100.0</v>
      </c>
      <c r="H426" s="739">
        <v>44.0</v>
      </c>
      <c r="I426" s="740"/>
      <c r="J426" s="749">
        <v>4400.0</v>
      </c>
      <c r="K426" s="750" t="s">
        <v>430</v>
      </c>
      <c r="L426" s="751" t="s">
        <v>432</v>
      </c>
      <c r="M426" s="743">
        <v>44.0</v>
      </c>
      <c r="N426" s="172"/>
      <c r="O426" s="172"/>
    </row>
    <row r="427" ht="40.5" customHeight="1">
      <c r="A427" s="58"/>
      <c r="B427" s="58"/>
      <c r="C427" s="58"/>
      <c r="D427" s="744"/>
      <c r="E427" s="745" t="s">
        <v>317</v>
      </c>
      <c r="F427" s="745" t="s">
        <v>25</v>
      </c>
      <c r="G427" s="745"/>
      <c r="H427" s="748"/>
      <c r="I427" s="747"/>
      <c r="J427" s="745"/>
      <c r="K427" s="725"/>
      <c r="L427" s="58"/>
      <c r="M427" s="58"/>
      <c r="N427" s="744"/>
      <c r="O427" s="744"/>
    </row>
    <row r="428" ht="24.75" customHeight="1">
      <c r="A428" s="585">
        <v>46265.0</v>
      </c>
      <c r="B428" s="694" t="s">
        <v>21</v>
      </c>
      <c r="C428" s="79">
        <v>601.0</v>
      </c>
      <c r="D428" s="689"/>
      <c r="E428" s="680" t="s">
        <v>317</v>
      </c>
      <c r="F428" s="680" t="s">
        <v>318</v>
      </c>
      <c r="G428" s="681">
        <v>100.0</v>
      </c>
      <c r="H428" s="553">
        <v>19.0</v>
      </c>
      <c r="I428" s="682"/>
      <c r="J428" s="681">
        <f t="shared" ref="J428:J429" si="47">H428*G428</f>
        <v>1900</v>
      </c>
      <c r="K428" s="690" t="s">
        <v>356</v>
      </c>
      <c r="L428" s="691" t="s">
        <v>375</v>
      </c>
      <c r="M428" s="609">
        <v>20.0</v>
      </c>
      <c r="N428" s="683">
        <f>M428*30</f>
        <v>600</v>
      </c>
      <c r="O428" s="684">
        <f>J428+J429+N428</f>
        <v>2620</v>
      </c>
    </row>
    <row r="429" ht="24.75" customHeight="1">
      <c r="A429" s="58"/>
      <c r="B429" s="58"/>
      <c r="C429" s="58"/>
      <c r="D429" s="679"/>
      <c r="E429" s="685" t="s">
        <v>317</v>
      </c>
      <c r="F429" s="685" t="s">
        <v>25</v>
      </c>
      <c r="G429" s="686">
        <v>120.0</v>
      </c>
      <c r="H429" s="687">
        <v>1.0</v>
      </c>
      <c r="I429" s="688"/>
      <c r="J429" s="686">
        <f t="shared" si="47"/>
        <v>120</v>
      </c>
      <c r="K429" s="58"/>
      <c r="L429" s="58"/>
      <c r="M429" s="58"/>
      <c r="N429" s="58"/>
      <c r="O429" s="58"/>
    </row>
    <row r="430" ht="24.75" customHeight="1">
      <c r="A430" s="585">
        <v>46265.0</v>
      </c>
      <c r="B430" s="694" t="s">
        <v>45</v>
      </c>
      <c r="C430" s="183">
        <v>610.0</v>
      </c>
      <c r="D430" s="130"/>
      <c r="E430" s="680" t="s">
        <v>317</v>
      </c>
      <c r="F430" s="680" t="s">
        <v>318</v>
      </c>
      <c r="G430" s="681">
        <v>100.0</v>
      </c>
      <c r="H430" s="22">
        <v>17.0</v>
      </c>
      <c r="I430" s="112"/>
      <c r="J430" s="681"/>
      <c r="K430" s="690" t="s">
        <v>23</v>
      </c>
      <c r="L430" s="709" t="s">
        <v>28</v>
      </c>
      <c r="M430" s="78">
        <v>18.0</v>
      </c>
      <c r="N430" s="683"/>
      <c r="O430" s="684"/>
    </row>
    <row r="431" ht="24.75" customHeight="1">
      <c r="A431" s="58"/>
      <c r="B431" s="58"/>
      <c r="C431" s="57"/>
      <c r="D431" s="120"/>
      <c r="E431" s="685" t="s">
        <v>317</v>
      </c>
      <c r="F431" s="685" t="s">
        <v>25</v>
      </c>
      <c r="G431" s="686">
        <v>120.0</v>
      </c>
      <c r="H431" s="710">
        <v>1.0</v>
      </c>
      <c r="I431" s="122"/>
      <c r="J431" s="686"/>
      <c r="K431" s="58"/>
      <c r="L431" s="58"/>
      <c r="M431" s="58"/>
      <c r="N431" s="58"/>
      <c r="O431" s="58"/>
    </row>
    <row r="432" ht="24.75" customHeight="1">
      <c r="A432" s="666">
        <v>46265.0</v>
      </c>
      <c r="B432" s="694" t="s">
        <v>21</v>
      </c>
      <c r="C432" s="78">
        <v>619.0</v>
      </c>
      <c r="D432" s="730"/>
      <c r="E432" s="727" t="s">
        <v>317</v>
      </c>
      <c r="F432" s="727" t="s">
        <v>318</v>
      </c>
      <c r="G432" s="728">
        <v>100.0</v>
      </c>
      <c r="H432" s="171">
        <v>19.0</v>
      </c>
      <c r="I432" s="729"/>
      <c r="J432" s="730"/>
      <c r="K432" s="731" t="s">
        <v>430</v>
      </c>
      <c r="L432" s="732" t="s">
        <v>431</v>
      </c>
      <c r="M432" s="78">
        <v>19.0</v>
      </c>
      <c r="N432" s="63"/>
      <c r="O432" s="63"/>
    </row>
    <row r="433" ht="24.75" customHeight="1">
      <c r="A433" s="58"/>
      <c r="B433" s="58"/>
      <c r="C433" s="58"/>
      <c r="D433" s="377"/>
      <c r="E433" s="733" t="s">
        <v>317</v>
      </c>
      <c r="F433" s="733" t="s">
        <v>25</v>
      </c>
      <c r="G433" s="734">
        <v>120.0</v>
      </c>
      <c r="H433" s="177">
        <v>0.0</v>
      </c>
      <c r="I433" s="735"/>
      <c r="J433" s="377"/>
      <c r="K433" s="58"/>
      <c r="L433" s="58"/>
      <c r="M433" s="58"/>
      <c r="N433" s="58"/>
      <c r="O433" s="58"/>
    </row>
    <row r="434" ht="40.5" customHeight="1">
      <c r="A434" s="736">
        <v>46265.0</v>
      </c>
      <c r="B434" s="737" t="s">
        <v>40</v>
      </c>
      <c r="C434" s="737">
        <v>613.0</v>
      </c>
      <c r="D434" s="172"/>
      <c r="E434" s="738" t="s">
        <v>317</v>
      </c>
      <c r="F434" s="738" t="s">
        <v>318</v>
      </c>
      <c r="G434" s="738">
        <v>100.0</v>
      </c>
      <c r="H434" s="739">
        <v>26.0</v>
      </c>
      <c r="I434" s="740"/>
      <c r="J434" s="749">
        <v>2600.0</v>
      </c>
      <c r="K434" s="750" t="s">
        <v>430</v>
      </c>
      <c r="L434" s="751" t="s">
        <v>432</v>
      </c>
      <c r="M434" s="743">
        <v>26.0</v>
      </c>
      <c r="N434" s="172"/>
      <c r="O434" s="172"/>
    </row>
    <row r="435" ht="40.5" customHeight="1">
      <c r="A435" s="58"/>
      <c r="B435" s="58"/>
      <c r="C435" s="58"/>
      <c r="D435" s="744"/>
      <c r="E435" s="745" t="s">
        <v>317</v>
      </c>
      <c r="F435" s="745" t="s">
        <v>25</v>
      </c>
      <c r="G435" s="745"/>
      <c r="H435" s="748"/>
      <c r="I435" s="747"/>
      <c r="J435" s="745"/>
      <c r="K435" s="725"/>
      <c r="L435" s="58"/>
      <c r="M435" s="58"/>
      <c r="N435" s="744"/>
      <c r="O435" s="744"/>
    </row>
    <row r="436" ht="24.75" customHeight="1">
      <c r="A436" s="752">
        <v>46266.0</v>
      </c>
      <c r="B436" s="753" t="s">
        <v>30</v>
      </c>
      <c r="C436" s="754">
        <v>602.0</v>
      </c>
      <c r="D436" s="755"/>
      <c r="E436" s="756" t="s">
        <v>317</v>
      </c>
      <c r="F436" s="756" t="s">
        <v>318</v>
      </c>
      <c r="G436" s="757">
        <v>100.0</v>
      </c>
      <c r="H436" s="758">
        <v>18.0</v>
      </c>
      <c r="I436" s="759"/>
      <c r="J436" s="757">
        <f t="shared" ref="J436:J437" si="48">H436*G436</f>
        <v>1800</v>
      </c>
      <c r="K436" s="760" t="s">
        <v>356</v>
      </c>
      <c r="L436" s="761" t="s">
        <v>375</v>
      </c>
      <c r="M436" s="762">
        <v>19.0</v>
      </c>
      <c r="N436" s="763">
        <f>M436*30</f>
        <v>570</v>
      </c>
      <c r="O436" s="764">
        <f>J436+J437+N436</f>
        <v>2490</v>
      </c>
    </row>
    <row r="437" ht="24.75" customHeight="1">
      <c r="A437" s="58"/>
      <c r="B437" s="58"/>
      <c r="C437" s="58"/>
      <c r="D437" s="755"/>
      <c r="E437" s="756" t="s">
        <v>317</v>
      </c>
      <c r="F437" s="756" t="s">
        <v>25</v>
      </c>
      <c r="G437" s="757">
        <v>120.0</v>
      </c>
      <c r="H437" s="765">
        <v>1.0</v>
      </c>
      <c r="I437" s="759"/>
      <c r="J437" s="757">
        <f t="shared" si="48"/>
        <v>120</v>
      </c>
      <c r="K437" s="58"/>
      <c r="L437" s="58"/>
      <c r="M437" s="58"/>
      <c r="N437" s="58"/>
      <c r="O437" s="58"/>
    </row>
    <row r="438" ht="24.75" customHeight="1">
      <c r="A438" s="752">
        <v>46266.0</v>
      </c>
      <c r="B438" s="753" t="s">
        <v>45</v>
      </c>
      <c r="C438" s="766">
        <v>614.0</v>
      </c>
      <c r="D438" s="767"/>
      <c r="E438" s="756" t="s">
        <v>317</v>
      </c>
      <c r="F438" s="756" t="s">
        <v>318</v>
      </c>
      <c r="G438" s="757">
        <v>100.0</v>
      </c>
      <c r="H438" s="768">
        <v>17.0</v>
      </c>
      <c r="I438" s="769"/>
      <c r="J438" s="757"/>
      <c r="K438" s="760" t="s">
        <v>23</v>
      </c>
      <c r="L438" s="770" t="s">
        <v>28</v>
      </c>
      <c r="M438" s="771">
        <v>18.0</v>
      </c>
      <c r="N438" s="763"/>
      <c r="O438" s="764"/>
    </row>
    <row r="439" ht="24.75" customHeight="1">
      <c r="A439" s="58"/>
      <c r="B439" s="58"/>
      <c r="C439" s="57"/>
      <c r="D439" s="767"/>
      <c r="E439" s="756" t="s">
        <v>317</v>
      </c>
      <c r="F439" s="756" t="s">
        <v>25</v>
      </c>
      <c r="G439" s="757">
        <v>120.0</v>
      </c>
      <c r="H439" s="772">
        <v>1.0</v>
      </c>
      <c r="I439" s="769"/>
      <c r="J439" s="757"/>
      <c r="K439" s="58"/>
      <c r="L439" s="58"/>
      <c r="M439" s="58"/>
      <c r="N439" s="58"/>
      <c r="O439" s="58"/>
    </row>
    <row r="440" ht="24.75" customHeight="1">
      <c r="A440" s="773">
        <v>46266.0</v>
      </c>
      <c r="B440" s="753" t="s">
        <v>21</v>
      </c>
      <c r="C440" s="771">
        <v>606.0</v>
      </c>
      <c r="D440" s="774"/>
      <c r="E440" s="775" t="s">
        <v>317</v>
      </c>
      <c r="F440" s="775" t="s">
        <v>318</v>
      </c>
      <c r="G440" s="776">
        <v>100.0</v>
      </c>
      <c r="H440" s="777">
        <v>21.0</v>
      </c>
      <c r="I440" s="778"/>
      <c r="J440" s="774"/>
      <c r="K440" s="779" t="s">
        <v>430</v>
      </c>
      <c r="L440" s="780" t="s">
        <v>431</v>
      </c>
      <c r="M440" s="771">
        <v>21.0</v>
      </c>
      <c r="N440" s="781"/>
      <c r="O440" s="781"/>
    </row>
    <row r="441" ht="24.75" customHeight="1">
      <c r="A441" s="58"/>
      <c r="B441" s="58"/>
      <c r="C441" s="58"/>
      <c r="D441" s="774"/>
      <c r="E441" s="775" t="s">
        <v>317</v>
      </c>
      <c r="F441" s="775" t="s">
        <v>25</v>
      </c>
      <c r="G441" s="776">
        <v>120.0</v>
      </c>
      <c r="H441" s="777">
        <v>0.0</v>
      </c>
      <c r="I441" s="778"/>
      <c r="J441" s="774"/>
      <c r="K441" s="58"/>
      <c r="L441" s="58"/>
      <c r="M441" s="58"/>
      <c r="N441" s="58"/>
      <c r="O441" s="58"/>
    </row>
    <row r="442" ht="40.5" customHeight="1">
      <c r="A442" s="782">
        <v>46266.0</v>
      </c>
      <c r="B442" s="783" t="s">
        <v>40</v>
      </c>
      <c r="C442" s="783">
        <v>618.0</v>
      </c>
      <c r="D442" s="784"/>
      <c r="E442" s="785" t="s">
        <v>317</v>
      </c>
      <c r="F442" s="785" t="s">
        <v>318</v>
      </c>
      <c r="G442" s="785">
        <v>100.0</v>
      </c>
      <c r="H442" s="786">
        <v>29.0</v>
      </c>
      <c r="I442" s="787"/>
      <c r="J442" s="788">
        <v>2900.0</v>
      </c>
      <c r="K442" s="789" t="s">
        <v>430</v>
      </c>
      <c r="L442" s="779" t="s">
        <v>432</v>
      </c>
      <c r="M442" s="790">
        <v>31.0</v>
      </c>
      <c r="N442" s="784"/>
      <c r="O442" s="784"/>
    </row>
    <row r="443" ht="40.5" customHeight="1">
      <c r="A443" s="57"/>
      <c r="B443" s="57"/>
      <c r="C443" s="57"/>
      <c r="D443" s="791"/>
      <c r="E443" s="788" t="s">
        <v>317</v>
      </c>
      <c r="F443" s="788" t="s">
        <v>318</v>
      </c>
      <c r="G443" s="788">
        <v>81.25</v>
      </c>
      <c r="H443" s="786">
        <v>1.0</v>
      </c>
      <c r="I443" s="787"/>
      <c r="J443" s="785"/>
      <c r="K443" s="792"/>
      <c r="L443" s="57"/>
      <c r="M443" s="57"/>
      <c r="N443" s="791"/>
      <c r="O443" s="791"/>
    </row>
    <row r="444" ht="40.5" customHeight="1">
      <c r="A444" s="29"/>
      <c r="B444" s="29"/>
      <c r="C444" s="29"/>
      <c r="D444" s="791"/>
      <c r="E444" s="788" t="s">
        <v>317</v>
      </c>
      <c r="F444" s="788" t="s">
        <v>318</v>
      </c>
      <c r="G444" s="788">
        <v>93.75</v>
      </c>
      <c r="H444" s="786">
        <v>1.0</v>
      </c>
      <c r="I444" s="787"/>
      <c r="J444" s="785"/>
      <c r="K444" s="793"/>
      <c r="L444" s="29"/>
      <c r="M444" s="29"/>
      <c r="N444" s="791"/>
      <c r="O444" s="791"/>
    </row>
    <row r="445" ht="40.5" customHeight="1">
      <c r="A445" s="58"/>
      <c r="B445" s="58"/>
      <c r="C445" s="58"/>
      <c r="D445" s="791"/>
      <c r="E445" s="785" t="s">
        <v>317</v>
      </c>
      <c r="F445" s="785" t="s">
        <v>25</v>
      </c>
      <c r="G445" s="785"/>
      <c r="H445" s="786"/>
      <c r="I445" s="787"/>
      <c r="J445" s="785"/>
      <c r="K445" s="725"/>
      <c r="L445" s="58"/>
      <c r="M445" s="58"/>
      <c r="N445" s="791"/>
      <c r="O445" s="791"/>
    </row>
    <row r="446" ht="30.0" customHeight="1">
      <c r="A446" s="585">
        <v>46267.0</v>
      </c>
      <c r="B446" s="567" t="s">
        <v>21</v>
      </c>
      <c r="C446" s="79">
        <v>605.0</v>
      </c>
      <c r="D446" s="679"/>
      <c r="E446" s="680" t="s">
        <v>317</v>
      </c>
      <c r="F446" s="680" t="s">
        <v>318</v>
      </c>
      <c r="G446" s="681">
        <v>100.0</v>
      </c>
      <c r="H446" s="561">
        <v>19.0</v>
      </c>
      <c r="I446" s="682"/>
      <c r="J446" s="681">
        <f t="shared" ref="J446:J452" si="49">G446*H446</f>
        <v>1900</v>
      </c>
      <c r="K446" s="690" t="s">
        <v>356</v>
      </c>
      <c r="L446" s="691" t="s">
        <v>375</v>
      </c>
      <c r="M446" s="609">
        <v>20.0</v>
      </c>
      <c r="N446" s="683">
        <f>M446*30</f>
        <v>600</v>
      </c>
      <c r="O446" s="684">
        <f>J446+J447+N446</f>
        <v>2620</v>
      </c>
    </row>
    <row r="447" ht="30.0" customHeight="1">
      <c r="A447" s="58"/>
      <c r="B447" s="58"/>
      <c r="C447" s="58"/>
      <c r="D447" s="679"/>
      <c r="E447" s="685" t="s">
        <v>317</v>
      </c>
      <c r="F447" s="685" t="s">
        <v>25</v>
      </c>
      <c r="G447" s="686">
        <v>120.0</v>
      </c>
      <c r="H447" s="553">
        <v>1.0</v>
      </c>
      <c r="I447" s="688"/>
      <c r="J447" s="686">
        <f t="shared" si="49"/>
        <v>120</v>
      </c>
      <c r="K447" s="58"/>
      <c r="L447" s="58"/>
      <c r="M447" s="58"/>
      <c r="N447" s="58"/>
      <c r="O447" s="58"/>
    </row>
    <row r="448" ht="30.0" customHeight="1">
      <c r="A448" s="585">
        <v>46267.0</v>
      </c>
      <c r="B448" s="567" t="s">
        <v>45</v>
      </c>
      <c r="C448" s="79">
        <v>611.0</v>
      </c>
      <c r="D448" s="679"/>
      <c r="E448" s="680" t="s">
        <v>317</v>
      </c>
      <c r="F448" s="680" t="s">
        <v>318</v>
      </c>
      <c r="G448" s="681">
        <v>100.0</v>
      </c>
      <c r="H448" s="561">
        <v>18.0</v>
      </c>
      <c r="I448" s="692"/>
      <c r="J448" s="681">
        <f t="shared" si="49"/>
        <v>1800</v>
      </c>
      <c r="K448" s="690" t="s">
        <v>23</v>
      </c>
      <c r="L448" s="690" t="s">
        <v>28</v>
      </c>
      <c r="M448" s="609">
        <v>19.0</v>
      </c>
      <c r="N448" s="683"/>
      <c r="O448" s="683"/>
    </row>
    <row r="449" ht="30.0" customHeight="1">
      <c r="A449" s="58"/>
      <c r="B449" s="58"/>
      <c r="C449" s="58"/>
      <c r="D449" s="679"/>
      <c r="E449" s="685" t="s">
        <v>317</v>
      </c>
      <c r="F449" s="685" t="s">
        <v>25</v>
      </c>
      <c r="G449" s="686">
        <v>120.0</v>
      </c>
      <c r="H449" s="553">
        <v>1.0</v>
      </c>
      <c r="I449" s="687"/>
      <c r="J449" s="686">
        <f t="shared" si="49"/>
        <v>120</v>
      </c>
      <c r="K449" s="58"/>
      <c r="L449" s="58"/>
      <c r="M449" s="58"/>
      <c r="N449" s="58"/>
      <c r="O449" s="58"/>
    </row>
    <row r="450" ht="30.0" customHeight="1">
      <c r="A450" s="585">
        <v>46267.0</v>
      </c>
      <c r="B450" s="567" t="s">
        <v>21</v>
      </c>
      <c r="C450" s="79">
        <v>613.0</v>
      </c>
      <c r="D450" s="679"/>
      <c r="E450" s="680" t="s">
        <v>317</v>
      </c>
      <c r="F450" s="680" t="s">
        <v>318</v>
      </c>
      <c r="G450" s="681">
        <v>100.0</v>
      </c>
      <c r="H450" s="561">
        <v>20.0</v>
      </c>
      <c r="I450" s="682"/>
      <c r="J450" s="681">
        <f t="shared" si="49"/>
        <v>2000</v>
      </c>
      <c r="K450" s="587" t="s">
        <v>430</v>
      </c>
      <c r="L450" s="587" t="s">
        <v>431</v>
      </c>
      <c r="M450" s="609">
        <v>20.0</v>
      </c>
      <c r="N450" s="683"/>
      <c r="O450" s="683"/>
    </row>
    <row r="451" ht="30.0" customHeight="1">
      <c r="A451" s="58"/>
      <c r="B451" s="58"/>
      <c r="C451" s="58"/>
      <c r="D451" s="679"/>
      <c r="E451" s="685" t="s">
        <v>317</v>
      </c>
      <c r="F451" s="685" t="s">
        <v>25</v>
      </c>
      <c r="G451" s="686">
        <v>120.0</v>
      </c>
      <c r="H451" s="553">
        <v>0.0</v>
      </c>
      <c r="I451" s="688"/>
      <c r="J451" s="686">
        <f t="shared" si="49"/>
        <v>0</v>
      </c>
      <c r="K451" s="58"/>
      <c r="L451" s="58"/>
      <c r="M451" s="58"/>
      <c r="N451" s="58"/>
      <c r="O451" s="58"/>
    </row>
    <row r="452" ht="30.0" customHeight="1">
      <c r="A452" s="585">
        <v>46267.0</v>
      </c>
      <c r="B452" s="567" t="s">
        <v>40</v>
      </c>
      <c r="C452" s="79">
        <v>608.0</v>
      </c>
      <c r="D452" s="679"/>
      <c r="E452" s="680" t="s">
        <v>317</v>
      </c>
      <c r="F452" s="680" t="s">
        <v>318</v>
      </c>
      <c r="G452" s="681">
        <v>100.0</v>
      </c>
      <c r="H452" s="561">
        <v>31.0</v>
      </c>
      <c r="I452" s="682"/>
      <c r="J452" s="681">
        <f t="shared" si="49"/>
        <v>3100</v>
      </c>
      <c r="K452" s="587" t="s">
        <v>430</v>
      </c>
      <c r="L452" s="621" t="s">
        <v>432</v>
      </c>
      <c r="M452" s="609">
        <v>31.0</v>
      </c>
      <c r="N452" s="683"/>
      <c r="O452" s="683"/>
    </row>
    <row r="453" ht="30.0" customHeight="1">
      <c r="A453" s="58"/>
      <c r="B453" s="58"/>
      <c r="C453" s="58"/>
      <c r="D453" s="645"/>
      <c r="E453" s="685" t="s">
        <v>317</v>
      </c>
      <c r="F453" s="551" t="s">
        <v>25</v>
      </c>
      <c r="G453" s="582">
        <v>0.0</v>
      </c>
      <c r="H453" s="553">
        <v>0.0</v>
      </c>
      <c r="I453" s="688"/>
      <c r="J453" s="686">
        <f>G453</f>
        <v>0</v>
      </c>
      <c r="K453" s="58"/>
      <c r="L453" s="58"/>
      <c r="M453" s="58"/>
      <c r="N453" s="58"/>
      <c r="O453" s="58"/>
    </row>
    <row r="454" ht="30.0" customHeight="1">
      <c r="A454" s="752">
        <v>46268.0</v>
      </c>
      <c r="B454" s="753" t="s">
        <v>21</v>
      </c>
      <c r="C454" s="754">
        <v>603.0</v>
      </c>
      <c r="D454" s="755"/>
      <c r="E454" s="756" t="s">
        <v>317</v>
      </c>
      <c r="F454" s="756" t="s">
        <v>318</v>
      </c>
      <c r="G454" s="757">
        <v>100.0</v>
      </c>
      <c r="H454" s="758">
        <v>17.0</v>
      </c>
      <c r="I454" s="759"/>
      <c r="J454" s="757">
        <f t="shared" ref="J454:J479" si="50">G454*H454</f>
        <v>1700</v>
      </c>
      <c r="K454" s="760" t="s">
        <v>356</v>
      </c>
      <c r="L454" s="761" t="s">
        <v>375</v>
      </c>
      <c r="M454" s="762">
        <v>18.0</v>
      </c>
      <c r="N454" s="763">
        <f>M454*30</f>
        <v>540</v>
      </c>
      <c r="O454" s="764">
        <f>J454+J455+N454</f>
        <v>2360</v>
      </c>
    </row>
    <row r="455" ht="30.0" customHeight="1">
      <c r="A455" s="58"/>
      <c r="B455" s="58"/>
      <c r="C455" s="58"/>
      <c r="D455" s="755"/>
      <c r="E455" s="756" t="s">
        <v>317</v>
      </c>
      <c r="F455" s="756" t="s">
        <v>25</v>
      </c>
      <c r="G455" s="757">
        <v>120.0</v>
      </c>
      <c r="H455" s="758">
        <v>1.0</v>
      </c>
      <c r="I455" s="759"/>
      <c r="J455" s="757">
        <f t="shared" si="50"/>
        <v>120</v>
      </c>
      <c r="K455" s="58"/>
      <c r="L455" s="58"/>
      <c r="M455" s="58"/>
      <c r="N455" s="58"/>
      <c r="O455" s="58"/>
    </row>
    <row r="456" ht="30.0" customHeight="1">
      <c r="A456" s="752">
        <v>46268.0</v>
      </c>
      <c r="B456" s="753" t="s">
        <v>45</v>
      </c>
      <c r="C456" s="754">
        <v>613.0</v>
      </c>
      <c r="D456" s="755"/>
      <c r="E456" s="756" t="s">
        <v>317</v>
      </c>
      <c r="F456" s="756" t="s">
        <v>318</v>
      </c>
      <c r="G456" s="757">
        <v>100.0</v>
      </c>
      <c r="H456" s="758">
        <v>18.0</v>
      </c>
      <c r="I456" s="765"/>
      <c r="J456" s="757">
        <f t="shared" si="50"/>
        <v>1800</v>
      </c>
      <c r="K456" s="760" t="s">
        <v>23</v>
      </c>
      <c r="L456" s="760" t="s">
        <v>28</v>
      </c>
      <c r="M456" s="762">
        <v>19.0</v>
      </c>
      <c r="N456" s="763"/>
      <c r="O456" s="763"/>
    </row>
    <row r="457" ht="30.0" customHeight="1">
      <c r="A457" s="58"/>
      <c r="B457" s="58"/>
      <c r="C457" s="58"/>
      <c r="D457" s="755"/>
      <c r="E457" s="756" t="s">
        <v>317</v>
      </c>
      <c r="F457" s="756" t="s">
        <v>25</v>
      </c>
      <c r="G457" s="757">
        <v>120.0</v>
      </c>
      <c r="H457" s="758">
        <v>1.0</v>
      </c>
      <c r="I457" s="765"/>
      <c r="J457" s="757">
        <f t="shared" si="50"/>
        <v>120</v>
      </c>
      <c r="K457" s="58"/>
      <c r="L457" s="58"/>
      <c r="M457" s="58"/>
      <c r="N457" s="58"/>
      <c r="O457" s="58"/>
    </row>
    <row r="458" ht="30.0" customHeight="1">
      <c r="A458" s="752">
        <v>46268.0</v>
      </c>
      <c r="B458" s="753" t="s">
        <v>21</v>
      </c>
      <c r="C458" s="754">
        <v>622.0</v>
      </c>
      <c r="D458" s="755"/>
      <c r="E458" s="756" t="s">
        <v>317</v>
      </c>
      <c r="F458" s="756" t="s">
        <v>318</v>
      </c>
      <c r="G458" s="757">
        <v>100.0</v>
      </c>
      <c r="H458" s="758">
        <v>19.0</v>
      </c>
      <c r="I458" s="759"/>
      <c r="J458" s="757">
        <f t="shared" si="50"/>
        <v>1900</v>
      </c>
      <c r="K458" s="795" t="s">
        <v>430</v>
      </c>
      <c r="L458" s="795" t="s">
        <v>431</v>
      </c>
      <c r="M458" s="762">
        <v>19.0</v>
      </c>
      <c r="N458" s="763"/>
      <c r="O458" s="763"/>
    </row>
    <row r="459" ht="30.0" customHeight="1">
      <c r="A459" s="58"/>
      <c r="B459" s="58"/>
      <c r="C459" s="58"/>
      <c r="D459" s="755"/>
      <c r="E459" s="756" t="s">
        <v>317</v>
      </c>
      <c r="F459" s="756" t="s">
        <v>25</v>
      </c>
      <c r="G459" s="757">
        <v>120.0</v>
      </c>
      <c r="H459" s="758">
        <v>0.0</v>
      </c>
      <c r="I459" s="759"/>
      <c r="J459" s="757">
        <f t="shared" si="50"/>
        <v>0</v>
      </c>
      <c r="K459" s="58"/>
      <c r="L459" s="58"/>
      <c r="M459" s="58"/>
      <c r="N459" s="58"/>
      <c r="O459" s="58"/>
    </row>
    <row r="460" ht="30.0" customHeight="1">
      <c r="A460" s="585">
        <v>46269.0</v>
      </c>
      <c r="B460" s="173" t="s">
        <v>21</v>
      </c>
      <c r="C460" s="79">
        <v>602.0</v>
      </c>
      <c r="D460" s="689"/>
      <c r="E460" s="680" t="s">
        <v>317</v>
      </c>
      <c r="F460" s="680" t="s">
        <v>318</v>
      </c>
      <c r="G460" s="681">
        <v>100.0</v>
      </c>
      <c r="H460" s="561">
        <v>20.0</v>
      </c>
      <c r="I460" s="682"/>
      <c r="J460" s="681">
        <f t="shared" si="50"/>
        <v>2000</v>
      </c>
      <c r="K460" s="690" t="s">
        <v>356</v>
      </c>
      <c r="L460" s="691" t="s">
        <v>375</v>
      </c>
      <c r="M460" s="609">
        <v>21.0</v>
      </c>
      <c r="N460" s="683">
        <f>M460*30</f>
        <v>630</v>
      </c>
      <c r="O460" s="684">
        <f>J460+J461+N460</f>
        <v>2750</v>
      </c>
    </row>
    <row r="461" ht="30.0" customHeight="1">
      <c r="A461" s="58"/>
      <c r="B461" s="58"/>
      <c r="C461" s="58"/>
      <c r="D461" s="679"/>
      <c r="E461" s="685" t="s">
        <v>317</v>
      </c>
      <c r="F461" s="685" t="s">
        <v>25</v>
      </c>
      <c r="G461" s="686">
        <v>120.0</v>
      </c>
      <c r="H461" s="687">
        <v>1.0</v>
      </c>
      <c r="I461" s="688"/>
      <c r="J461" s="686">
        <f t="shared" si="50"/>
        <v>120</v>
      </c>
      <c r="K461" s="58"/>
      <c r="L461" s="58"/>
      <c r="M461" s="58"/>
      <c r="N461" s="58"/>
      <c r="O461" s="58"/>
    </row>
    <row r="462" ht="30.0" customHeight="1">
      <c r="A462" s="585">
        <v>46269.0</v>
      </c>
      <c r="B462" s="694" t="s">
        <v>21</v>
      </c>
      <c r="C462" s="79">
        <v>616.0</v>
      </c>
      <c r="D462" s="689"/>
      <c r="E462" s="680" t="s">
        <v>317</v>
      </c>
      <c r="F462" s="680" t="s">
        <v>318</v>
      </c>
      <c r="G462" s="681">
        <v>100.0</v>
      </c>
      <c r="H462" s="561">
        <v>20.0</v>
      </c>
      <c r="I462" s="692"/>
      <c r="J462" s="681">
        <f t="shared" si="50"/>
        <v>2000</v>
      </c>
      <c r="K462" s="690" t="s">
        <v>23</v>
      </c>
      <c r="L462" s="690" t="s">
        <v>28</v>
      </c>
      <c r="M462" s="609">
        <v>21.0</v>
      </c>
      <c r="N462" s="683"/>
      <c r="O462" s="683"/>
    </row>
    <row r="463" ht="30.0" customHeight="1">
      <c r="A463" s="58"/>
      <c r="B463" s="58"/>
      <c r="C463" s="58"/>
      <c r="D463" s="679"/>
      <c r="E463" s="685" t="s">
        <v>317</v>
      </c>
      <c r="F463" s="685" t="s">
        <v>25</v>
      </c>
      <c r="G463" s="686">
        <v>120.0</v>
      </c>
      <c r="H463" s="687">
        <v>1.0</v>
      </c>
      <c r="I463" s="687"/>
      <c r="J463" s="686">
        <f t="shared" si="50"/>
        <v>120</v>
      </c>
      <c r="K463" s="58"/>
      <c r="L463" s="58"/>
      <c r="M463" s="58"/>
      <c r="N463" s="58"/>
      <c r="O463" s="58"/>
    </row>
    <row r="464" ht="30.0" customHeight="1">
      <c r="A464" s="585">
        <v>46269.0</v>
      </c>
      <c r="B464" s="173" t="s">
        <v>21</v>
      </c>
      <c r="C464" s="79">
        <v>620.0</v>
      </c>
      <c r="D464" s="689"/>
      <c r="E464" s="680" t="s">
        <v>317</v>
      </c>
      <c r="F464" s="680" t="s">
        <v>318</v>
      </c>
      <c r="G464" s="681">
        <v>100.0</v>
      </c>
      <c r="H464" s="692">
        <v>19.0</v>
      </c>
      <c r="I464" s="682"/>
      <c r="J464" s="681">
        <f t="shared" si="50"/>
        <v>1900</v>
      </c>
      <c r="K464" s="690" t="s">
        <v>430</v>
      </c>
      <c r="L464" s="690" t="s">
        <v>431</v>
      </c>
      <c r="M464" s="683">
        <v>19.0</v>
      </c>
      <c r="N464" s="683"/>
      <c r="O464" s="683"/>
    </row>
    <row r="465" ht="30.0" customHeight="1">
      <c r="A465" s="58"/>
      <c r="B465" s="58"/>
      <c r="C465" s="58"/>
      <c r="D465" s="679"/>
      <c r="E465" s="685" t="s">
        <v>317</v>
      </c>
      <c r="F465" s="685" t="s">
        <v>25</v>
      </c>
      <c r="G465" s="686">
        <v>120.0</v>
      </c>
      <c r="H465" s="687">
        <v>0.0</v>
      </c>
      <c r="I465" s="688"/>
      <c r="J465" s="686">
        <f t="shared" si="50"/>
        <v>0</v>
      </c>
      <c r="K465" s="58"/>
      <c r="L465" s="58"/>
      <c r="M465" s="58"/>
      <c r="N465" s="58"/>
      <c r="O465" s="58"/>
    </row>
    <row r="466" ht="30.0" customHeight="1">
      <c r="A466" s="752">
        <v>46270.0</v>
      </c>
      <c r="B466" s="797" t="s">
        <v>21</v>
      </c>
      <c r="C466" s="754">
        <v>604.0</v>
      </c>
      <c r="D466" s="755"/>
      <c r="E466" s="756" t="s">
        <v>317</v>
      </c>
      <c r="F466" s="756" t="s">
        <v>318</v>
      </c>
      <c r="G466" s="757">
        <v>100.0</v>
      </c>
      <c r="H466" s="758">
        <v>16.0</v>
      </c>
      <c r="I466" s="759"/>
      <c r="J466" s="757">
        <f t="shared" si="50"/>
        <v>1600</v>
      </c>
      <c r="K466" s="760" t="s">
        <v>356</v>
      </c>
      <c r="L466" s="761" t="s">
        <v>375</v>
      </c>
      <c r="M466" s="762">
        <v>17.0</v>
      </c>
      <c r="N466" s="763">
        <f>M466*30</f>
        <v>510</v>
      </c>
      <c r="O466" s="764">
        <f>J466+J467+N466</f>
        <v>2230</v>
      </c>
    </row>
    <row r="467" ht="30.0" customHeight="1">
      <c r="A467" s="58"/>
      <c r="B467" s="58"/>
      <c r="C467" s="58"/>
      <c r="D467" s="755"/>
      <c r="E467" s="756" t="s">
        <v>317</v>
      </c>
      <c r="F467" s="756" t="s">
        <v>25</v>
      </c>
      <c r="G467" s="757">
        <v>120.0</v>
      </c>
      <c r="H467" s="765">
        <v>1.0</v>
      </c>
      <c r="I467" s="759"/>
      <c r="J467" s="757">
        <f t="shared" si="50"/>
        <v>120</v>
      </c>
      <c r="K467" s="58"/>
      <c r="L467" s="58"/>
      <c r="M467" s="58"/>
      <c r="N467" s="58"/>
      <c r="O467" s="58"/>
    </row>
    <row r="468" ht="30.0" customHeight="1">
      <c r="A468" s="752">
        <v>46270.0</v>
      </c>
      <c r="B468" s="797" t="s">
        <v>21</v>
      </c>
      <c r="C468" s="801">
        <v>616.0</v>
      </c>
      <c r="D468" s="755"/>
      <c r="E468" s="756" t="s">
        <v>317</v>
      </c>
      <c r="F468" s="756" t="s">
        <v>318</v>
      </c>
      <c r="G468" s="757">
        <v>100.0</v>
      </c>
      <c r="H468" s="765">
        <v>20.0</v>
      </c>
      <c r="I468" s="765"/>
      <c r="J468" s="757">
        <f t="shared" si="50"/>
        <v>2000</v>
      </c>
      <c r="K468" s="760" t="s">
        <v>23</v>
      </c>
      <c r="L468" s="760" t="s">
        <v>28</v>
      </c>
      <c r="M468" s="763">
        <v>21.0</v>
      </c>
      <c r="N468" s="763"/>
      <c r="O468" s="763"/>
    </row>
    <row r="469" ht="30.0" customHeight="1">
      <c r="A469" s="58"/>
      <c r="B469" s="58"/>
      <c r="C469" s="58"/>
      <c r="D469" s="755"/>
      <c r="E469" s="756" t="s">
        <v>317</v>
      </c>
      <c r="F469" s="756" t="s">
        <v>25</v>
      </c>
      <c r="G469" s="757">
        <v>120.0</v>
      </c>
      <c r="H469" s="765">
        <v>1.0</v>
      </c>
      <c r="I469" s="765"/>
      <c r="J469" s="757">
        <f t="shared" si="50"/>
        <v>120</v>
      </c>
      <c r="K469" s="58"/>
      <c r="L469" s="58"/>
      <c r="M469" s="58"/>
      <c r="N469" s="58"/>
      <c r="O469" s="58"/>
    </row>
    <row r="470" ht="30.0" customHeight="1">
      <c r="A470" s="752">
        <v>46270.0</v>
      </c>
      <c r="B470" s="797" t="s">
        <v>21</v>
      </c>
      <c r="C470" s="754">
        <v>623.0</v>
      </c>
      <c r="D470" s="755"/>
      <c r="E470" s="756" t="s">
        <v>317</v>
      </c>
      <c r="F470" s="756" t="s">
        <v>318</v>
      </c>
      <c r="G470" s="757">
        <v>100.0</v>
      </c>
      <c r="H470" s="758">
        <v>18.0</v>
      </c>
      <c r="I470" s="759"/>
      <c r="J470" s="757">
        <f t="shared" si="50"/>
        <v>1800</v>
      </c>
      <c r="K470" s="760" t="s">
        <v>430</v>
      </c>
      <c r="L470" s="760" t="s">
        <v>431</v>
      </c>
      <c r="M470" s="762">
        <v>18.0</v>
      </c>
      <c r="N470" s="763"/>
      <c r="O470" s="763"/>
    </row>
    <row r="471" ht="30.0" customHeight="1">
      <c r="A471" s="58"/>
      <c r="B471" s="58"/>
      <c r="C471" s="58"/>
      <c r="D471" s="755"/>
      <c r="E471" s="756" t="s">
        <v>317</v>
      </c>
      <c r="F471" s="756" t="s">
        <v>25</v>
      </c>
      <c r="G471" s="757">
        <v>120.0</v>
      </c>
      <c r="H471" s="765">
        <v>0.0</v>
      </c>
      <c r="I471" s="759"/>
      <c r="J471" s="757">
        <f t="shared" si="50"/>
        <v>0</v>
      </c>
      <c r="K471" s="58"/>
      <c r="L471" s="58"/>
      <c r="M471" s="58"/>
      <c r="N471" s="58"/>
      <c r="O471" s="58"/>
    </row>
    <row r="472" ht="24.75" customHeight="1">
      <c r="A472" s="566">
        <v>46272.0</v>
      </c>
      <c r="B472" s="168" t="s">
        <v>21</v>
      </c>
      <c r="C472" s="23">
        <v>605.0</v>
      </c>
      <c r="D472" s="679"/>
      <c r="E472" s="685" t="s">
        <v>317</v>
      </c>
      <c r="F472" s="685" t="s">
        <v>318</v>
      </c>
      <c r="G472" s="686">
        <v>100.0</v>
      </c>
      <c r="H472" s="553">
        <v>16.0</v>
      </c>
      <c r="I472" s="688"/>
      <c r="J472" s="686">
        <f t="shared" si="50"/>
        <v>1600</v>
      </c>
      <c r="K472" s="698" t="s">
        <v>356</v>
      </c>
      <c r="L472" s="700" t="s">
        <v>375</v>
      </c>
      <c r="M472" s="610">
        <v>17.0</v>
      </c>
      <c r="N472" s="703">
        <f>M472*30</f>
        <v>510</v>
      </c>
      <c r="O472" s="704">
        <f>J472+J473+N472</f>
        <v>2230</v>
      </c>
    </row>
    <row r="473" ht="24.75" customHeight="1">
      <c r="A473" s="58"/>
      <c r="B473" s="58"/>
      <c r="C473" s="58"/>
      <c r="D473" s="679"/>
      <c r="E473" s="685" t="s">
        <v>317</v>
      </c>
      <c r="F473" s="685" t="s">
        <v>25</v>
      </c>
      <c r="G473" s="686">
        <v>120.0</v>
      </c>
      <c r="H473" s="687">
        <v>1.0</v>
      </c>
      <c r="I473" s="688"/>
      <c r="J473" s="686">
        <f t="shared" si="50"/>
        <v>120</v>
      </c>
      <c r="K473" s="58"/>
      <c r="L473" s="58"/>
      <c r="M473" s="58"/>
      <c r="N473" s="58"/>
      <c r="O473" s="58"/>
    </row>
    <row r="474" ht="24.75" customHeight="1">
      <c r="A474" s="566">
        <v>46272.0</v>
      </c>
      <c r="B474" s="567" t="s">
        <v>21</v>
      </c>
      <c r="C474" s="387">
        <v>617.0</v>
      </c>
      <c r="D474" s="679"/>
      <c r="E474" s="685" t="s">
        <v>317</v>
      </c>
      <c r="F474" s="685" t="s">
        <v>318</v>
      </c>
      <c r="G474" s="686">
        <v>100.0</v>
      </c>
      <c r="H474" s="553">
        <v>14.0</v>
      </c>
      <c r="I474" s="687"/>
      <c r="J474" s="686">
        <f t="shared" si="50"/>
        <v>1400</v>
      </c>
      <c r="K474" s="698" t="s">
        <v>23</v>
      </c>
      <c r="L474" s="700" t="s">
        <v>28</v>
      </c>
      <c r="M474" s="610">
        <v>17.0</v>
      </c>
      <c r="N474" s="703"/>
      <c r="O474" s="704"/>
    </row>
    <row r="475" ht="24.75" customHeight="1">
      <c r="A475" s="57"/>
      <c r="B475" s="57"/>
      <c r="C475" s="387">
        <v>617.0</v>
      </c>
      <c r="D475" s="679"/>
      <c r="E475" s="685" t="s">
        <v>317</v>
      </c>
      <c r="F475" s="685" t="s">
        <v>318</v>
      </c>
      <c r="G475" s="582">
        <v>50.0</v>
      </c>
      <c r="H475" s="553">
        <v>1.0</v>
      </c>
      <c r="I475" s="687"/>
      <c r="J475" s="686">
        <f t="shared" si="50"/>
        <v>50</v>
      </c>
      <c r="K475" s="57"/>
      <c r="L475" s="57"/>
      <c r="M475" s="57"/>
      <c r="N475" s="57"/>
      <c r="O475" s="57"/>
    </row>
    <row r="476" ht="24.75" customHeight="1">
      <c r="A476" s="29"/>
      <c r="B476" s="29"/>
      <c r="C476" s="387">
        <v>607.0</v>
      </c>
      <c r="D476" s="679"/>
      <c r="E476" s="685" t="s">
        <v>317</v>
      </c>
      <c r="F476" s="685" t="s">
        <v>318</v>
      </c>
      <c r="G476" s="582">
        <v>81.25</v>
      </c>
      <c r="H476" s="553">
        <v>1.0</v>
      </c>
      <c r="I476" s="687"/>
      <c r="J476" s="686">
        <f t="shared" si="50"/>
        <v>81.25</v>
      </c>
      <c r="K476" s="29"/>
      <c r="L476" s="29"/>
      <c r="M476" s="29"/>
      <c r="N476" s="29"/>
      <c r="O476" s="29"/>
    </row>
    <row r="477" ht="24.75" customHeight="1">
      <c r="A477" s="58"/>
      <c r="B477" s="58"/>
      <c r="C477" s="387">
        <v>607.0</v>
      </c>
      <c r="D477" s="679"/>
      <c r="E477" s="685" t="s">
        <v>317</v>
      </c>
      <c r="F477" s="685" t="s">
        <v>25</v>
      </c>
      <c r="G477" s="686">
        <v>120.0</v>
      </c>
      <c r="H477" s="687">
        <v>1.0</v>
      </c>
      <c r="I477" s="687"/>
      <c r="J477" s="686">
        <f t="shared" si="50"/>
        <v>120</v>
      </c>
      <c r="K477" s="58"/>
      <c r="L477" s="58"/>
      <c r="M477" s="58"/>
      <c r="N477" s="58"/>
      <c r="O477" s="58"/>
    </row>
    <row r="478" ht="24.75" customHeight="1">
      <c r="A478" s="566">
        <v>46272.0</v>
      </c>
      <c r="B478" s="168" t="s">
        <v>21</v>
      </c>
      <c r="C478" s="387">
        <v>621.0</v>
      </c>
      <c r="D478" s="679"/>
      <c r="E478" s="685" t="s">
        <v>317</v>
      </c>
      <c r="F478" s="685" t="s">
        <v>318</v>
      </c>
      <c r="G478" s="686">
        <v>100.0</v>
      </c>
      <c r="H478" s="553">
        <v>14.0</v>
      </c>
      <c r="I478" s="688"/>
      <c r="J478" s="686">
        <f t="shared" si="50"/>
        <v>1400</v>
      </c>
      <c r="K478" s="698" t="s">
        <v>430</v>
      </c>
      <c r="L478" s="700" t="s">
        <v>431</v>
      </c>
      <c r="M478" s="610">
        <v>14.0</v>
      </c>
      <c r="N478" s="703"/>
      <c r="O478" s="704"/>
    </row>
    <row r="479" ht="24.75" customHeight="1">
      <c r="A479" s="58"/>
      <c r="B479" s="58"/>
      <c r="C479" s="661"/>
      <c r="D479" s="679"/>
      <c r="E479" s="685" t="s">
        <v>317</v>
      </c>
      <c r="F479" s="685" t="s">
        <v>25</v>
      </c>
      <c r="G479" s="686">
        <v>120.0</v>
      </c>
      <c r="H479" s="687">
        <v>0.0</v>
      </c>
      <c r="I479" s="688"/>
      <c r="J479" s="686">
        <f t="shared" si="50"/>
        <v>0</v>
      </c>
      <c r="K479" s="58"/>
      <c r="L479" s="58"/>
      <c r="M479" s="58"/>
      <c r="N479" s="58"/>
      <c r="O479" s="58"/>
    </row>
    <row r="480" ht="24.75" customHeight="1">
      <c r="A480" s="811"/>
      <c r="B480" s="812"/>
      <c r="C480" s="813"/>
      <c r="D480" s="814"/>
      <c r="E480" s="815"/>
      <c r="F480" s="815"/>
      <c r="G480" s="816"/>
      <c r="H480" s="817"/>
      <c r="I480" s="818"/>
      <c r="J480" s="816"/>
      <c r="K480" s="819"/>
      <c r="L480" s="820"/>
      <c r="M480" s="816"/>
      <c r="N480" s="816"/>
      <c r="O480" s="821"/>
    </row>
    <row r="481" ht="24.75" customHeight="1">
      <c r="A481" s="822"/>
      <c r="B481" s="812"/>
      <c r="C481" s="823"/>
      <c r="D481" s="814"/>
      <c r="E481" s="824"/>
      <c r="F481" s="824"/>
      <c r="G481" s="825"/>
      <c r="H481" s="826"/>
      <c r="I481" s="827"/>
      <c r="J481" s="825"/>
      <c r="K481" s="828"/>
      <c r="L481" s="829"/>
      <c r="N481" s="825"/>
      <c r="O481" s="830"/>
    </row>
    <row r="482" ht="24.75" customHeight="1">
      <c r="A482" s="811"/>
      <c r="B482" s="812"/>
      <c r="C482" s="813"/>
      <c r="D482" s="814"/>
      <c r="E482" s="815"/>
      <c r="F482" s="815"/>
      <c r="G482" s="816"/>
      <c r="H482" s="817"/>
      <c r="I482" s="818"/>
      <c r="J482" s="816"/>
      <c r="K482" s="819"/>
      <c r="L482" s="820"/>
      <c r="M482" s="816"/>
      <c r="N482" s="816"/>
      <c r="O482" s="821"/>
    </row>
    <row r="483" ht="24.75" customHeight="1">
      <c r="A483" s="822"/>
      <c r="B483" s="812"/>
      <c r="C483" s="823"/>
      <c r="D483" s="814"/>
      <c r="E483" s="824"/>
      <c r="F483" s="824"/>
      <c r="G483" s="825"/>
      <c r="H483" s="826"/>
      <c r="I483" s="827"/>
      <c r="J483" s="825"/>
      <c r="K483" s="828"/>
      <c r="L483" s="829"/>
      <c r="M483" s="825"/>
      <c r="N483" s="825"/>
      <c r="O483" s="830"/>
    </row>
    <row r="484" ht="24.75" customHeight="1">
      <c r="A484" s="811"/>
      <c r="B484" s="812"/>
      <c r="C484" s="813"/>
      <c r="D484" s="814"/>
      <c r="E484" s="815"/>
      <c r="F484" s="815"/>
      <c r="G484" s="816"/>
      <c r="H484" s="817"/>
      <c r="I484" s="818"/>
      <c r="J484" s="816"/>
      <c r="K484" s="819"/>
      <c r="L484" s="820"/>
      <c r="M484" s="816"/>
      <c r="N484" s="816"/>
      <c r="O484" s="821"/>
    </row>
    <row r="485" ht="24.75" customHeight="1">
      <c r="A485" s="822"/>
      <c r="B485" s="812"/>
      <c r="C485" s="823"/>
      <c r="D485" s="814"/>
      <c r="E485" s="824"/>
      <c r="F485" s="824"/>
      <c r="G485" s="825"/>
      <c r="H485" s="826"/>
      <c r="I485" s="827"/>
      <c r="J485" s="825"/>
      <c r="K485" s="828"/>
      <c r="L485" s="829"/>
      <c r="M485" s="825"/>
      <c r="N485" s="825"/>
      <c r="O485" s="830"/>
    </row>
    <row r="486" ht="24.75" customHeight="1">
      <c r="A486" s="811"/>
      <c r="B486" s="812"/>
      <c r="C486" s="813"/>
      <c r="D486" s="814"/>
      <c r="E486" s="815"/>
      <c r="F486" s="815"/>
      <c r="G486" s="816"/>
      <c r="H486" s="817"/>
      <c r="I486" s="818"/>
      <c r="J486" s="816"/>
      <c r="K486" s="819"/>
      <c r="L486" s="820"/>
      <c r="M486" s="816"/>
      <c r="N486" s="816"/>
      <c r="O486" s="821"/>
    </row>
    <row r="487" ht="24.75" customHeight="1">
      <c r="A487" s="822"/>
      <c r="B487" s="812"/>
      <c r="C487" s="823"/>
      <c r="D487" s="814"/>
      <c r="E487" s="824"/>
      <c r="F487" s="824"/>
      <c r="G487" s="825"/>
      <c r="H487" s="826"/>
      <c r="I487" s="827"/>
      <c r="J487" s="825"/>
      <c r="K487" s="828"/>
      <c r="L487" s="829"/>
      <c r="M487" s="825"/>
      <c r="N487" s="825"/>
      <c r="O487" s="830"/>
    </row>
    <row r="488" ht="24.75" customHeight="1">
      <c r="A488" s="811"/>
      <c r="B488" s="812"/>
      <c r="C488" s="813"/>
      <c r="D488" s="814"/>
      <c r="E488" s="815"/>
      <c r="F488" s="815"/>
      <c r="G488" s="816"/>
      <c r="H488" s="817"/>
      <c r="I488" s="818"/>
      <c r="J488" s="816"/>
      <c r="K488" s="819"/>
      <c r="L488" s="820"/>
      <c r="M488" s="816"/>
      <c r="N488" s="816"/>
      <c r="O488" s="821"/>
    </row>
    <row r="489" ht="24.75" customHeight="1">
      <c r="A489" s="822"/>
      <c r="B489" s="812"/>
      <c r="C489" s="823"/>
      <c r="D489" s="814"/>
      <c r="E489" s="824"/>
      <c r="F489" s="824"/>
      <c r="G489" s="825"/>
      <c r="H489" s="826"/>
      <c r="I489" s="827"/>
      <c r="J489" s="825"/>
      <c r="K489" s="828"/>
      <c r="L489" s="829"/>
      <c r="M489" s="825"/>
      <c r="N489" s="825"/>
      <c r="O489" s="830"/>
    </row>
    <row r="490" ht="24.75" customHeight="1">
      <c r="A490" s="811"/>
      <c r="B490" s="812"/>
      <c r="C490" s="813"/>
      <c r="D490" s="814"/>
      <c r="E490" s="815"/>
      <c r="F490" s="815"/>
      <c r="G490" s="816"/>
      <c r="H490" s="817"/>
      <c r="I490" s="818"/>
      <c r="J490" s="816"/>
      <c r="K490" s="819"/>
      <c r="L490" s="820"/>
      <c r="M490" s="816"/>
      <c r="N490" s="816"/>
      <c r="O490" s="821"/>
    </row>
    <row r="491" ht="24.75" customHeight="1">
      <c r="A491" s="822"/>
      <c r="B491" s="812"/>
      <c r="C491" s="823"/>
      <c r="D491" s="814"/>
      <c r="E491" s="824"/>
      <c r="F491" s="824"/>
      <c r="G491" s="825"/>
      <c r="H491" s="826"/>
      <c r="I491" s="827"/>
      <c r="J491" s="825"/>
      <c r="K491" s="828"/>
      <c r="L491" s="829"/>
      <c r="M491" s="825"/>
      <c r="N491" s="825"/>
      <c r="O491" s="830"/>
    </row>
    <row r="492" ht="24.75" customHeight="1">
      <c r="A492" s="811"/>
      <c r="B492" s="812"/>
      <c r="C492" s="813"/>
      <c r="D492" s="814"/>
      <c r="E492" s="815"/>
      <c r="F492" s="815"/>
      <c r="G492" s="816"/>
      <c r="H492" s="817"/>
      <c r="I492" s="818"/>
      <c r="J492" s="816"/>
      <c r="K492" s="819"/>
      <c r="L492" s="820"/>
      <c r="M492" s="816"/>
      <c r="N492" s="816"/>
      <c r="O492" s="821"/>
    </row>
    <row r="493" ht="24.75" customHeight="1">
      <c r="A493" s="822"/>
      <c r="B493" s="812"/>
      <c r="C493" s="823"/>
      <c r="D493" s="814"/>
      <c r="E493" s="824"/>
      <c r="F493" s="824"/>
      <c r="G493" s="825"/>
      <c r="H493" s="826"/>
      <c r="I493" s="827"/>
      <c r="J493" s="825"/>
      <c r="K493" s="828"/>
      <c r="L493" s="829"/>
      <c r="M493" s="825"/>
      <c r="N493" s="825"/>
      <c r="O493" s="830"/>
    </row>
    <row r="494" ht="24.75" customHeight="1">
      <c r="A494" s="811"/>
      <c r="B494" s="812"/>
      <c r="C494" s="813"/>
      <c r="D494" s="814"/>
      <c r="E494" s="815"/>
      <c r="F494" s="815"/>
      <c r="G494" s="816"/>
      <c r="H494" s="817"/>
      <c r="I494" s="818"/>
      <c r="J494" s="816"/>
      <c r="K494" s="819"/>
      <c r="L494" s="820"/>
      <c r="M494" s="816"/>
      <c r="N494" s="816"/>
      <c r="O494" s="821"/>
    </row>
    <row r="495" ht="24.75" customHeight="1">
      <c r="A495" s="822"/>
      <c r="B495" s="812"/>
      <c r="C495" s="823"/>
      <c r="D495" s="814"/>
      <c r="E495" s="824"/>
      <c r="F495" s="824"/>
      <c r="G495" s="825"/>
      <c r="H495" s="826"/>
      <c r="I495" s="827"/>
      <c r="J495" s="825"/>
      <c r="K495" s="828"/>
      <c r="L495" s="829"/>
      <c r="M495" s="825"/>
      <c r="N495" s="825"/>
      <c r="O495" s="830"/>
    </row>
    <row r="496" ht="24.75" customHeight="1">
      <c r="A496" s="811"/>
      <c r="B496" s="812"/>
      <c r="C496" s="813"/>
      <c r="D496" s="814"/>
      <c r="E496" s="815"/>
      <c r="F496" s="815"/>
      <c r="G496" s="816"/>
      <c r="H496" s="817"/>
      <c r="I496" s="818"/>
      <c r="J496" s="816"/>
      <c r="K496" s="819"/>
      <c r="L496" s="820"/>
      <c r="M496" s="816"/>
      <c r="N496" s="816"/>
      <c r="O496" s="821"/>
    </row>
    <row r="497" ht="24.75" customHeight="1">
      <c r="A497" s="822"/>
      <c r="B497" s="812"/>
      <c r="C497" s="823"/>
      <c r="D497" s="814"/>
      <c r="E497" s="824"/>
      <c r="F497" s="824"/>
      <c r="G497" s="825"/>
      <c r="H497" s="826"/>
      <c r="I497" s="827"/>
      <c r="J497" s="825"/>
      <c r="K497" s="828"/>
      <c r="L497" s="829"/>
      <c r="M497" s="825"/>
      <c r="N497" s="825"/>
      <c r="O497" s="830"/>
    </row>
    <row r="498" ht="24.75" customHeight="1">
      <c r="A498" s="811"/>
      <c r="B498" s="812"/>
      <c r="C498" s="813"/>
      <c r="D498" s="814"/>
      <c r="E498" s="815"/>
      <c r="F498" s="815"/>
      <c r="G498" s="816"/>
      <c r="H498" s="817"/>
      <c r="I498" s="818"/>
      <c r="J498" s="816"/>
      <c r="K498" s="819"/>
      <c r="L498" s="820"/>
      <c r="M498" s="816"/>
      <c r="N498" s="816"/>
      <c r="O498" s="821"/>
    </row>
    <row r="499" ht="24.75" customHeight="1">
      <c r="A499" s="822"/>
      <c r="B499" s="812"/>
      <c r="C499" s="823"/>
      <c r="D499" s="814"/>
      <c r="E499" s="824"/>
      <c r="F499" s="824"/>
      <c r="G499" s="825"/>
      <c r="H499" s="826"/>
      <c r="I499" s="827"/>
      <c r="J499" s="825"/>
      <c r="K499" s="828"/>
      <c r="L499" s="829"/>
      <c r="M499" s="825"/>
      <c r="N499" s="825"/>
      <c r="O499" s="830"/>
    </row>
    <row r="500" ht="24.75" customHeight="1">
      <c r="A500" s="811"/>
      <c r="B500" s="812"/>
      <c r="C500" s="813"/>
      <c r="D500" s="814"/>
      <c r="E500" s="815"/>
      <c r="F500" s="815"/>
      <c r="G500" s="816"/>
      <c r="H500" s="817"/>
      <c r="I500" s="818"/>
      <c r="J500" s="816"/>
      <c r="K500" s="819"/>
      <c r="L500" s="820"/>
      <c r="M500" s="816"/>
      <c r="N500" s="816"/>
      <c r="O500" s="821"/>
    </row>
    <row r="501" ht="24.75" customHeight="1">
      <c r="A501" s="822"/>
      <c r="B501" s="812"/>
      <c r="C501" s="823"/>
      <c r="D501" s="814"/>
      <c r="E501" s="824"/>
      <c r="F501" s="824"/>
      <c r="G501" s="825"/>
      <c r="H501" s="826"/>
      <c r="I501" s="827"/>
      <c r="J501" s="825"/>
      <c r="K501" s="828"/>
      <c r="L501" s="829"/>
      <c r="M501" s="825"/>
      <c r="N501" s="825"/>
      <c r="O501" s="830"/>
    </row>
    <row r="502" ht="24.75" customHeight="1">
      <c r="A502" s="811"/>
      <c r="B502" s="812"/>
      <c r="C502" s="813"/>
      <c r="D502" s="814"/>
      <c r="E502" s="815"/>
      <c r="F502" s="815"/>
      <c r="G502" s="816"/>
      <c r="H502" s="817"/>
      <c r="I502" s="818"/>
      <c r="J502" s="816"/>
      <c r="K502" s="819"/>
      <c r="L502" s="820"/>
      <c r="M502" s="816"/>
      <c r="N502" s="816"/>
      <c r="O502" s="821"/>
    </row>
    <row r="503" ht="24.75" customHeight="1">
      <c r="A503" s="822"/>
      <c r="B503" s="812"/>
      <c r="C503" s="823"/>
      <c r="D503" s="814"/>
      <c r="E503" s="824"/>
      <c r="F503" s="824"/>
      <c r="G503" s="825"/>
      <c r="H503" s="826"/>
      <c r="I503" s="827"/>
      <c r="J503" s="825"/>
      <c r="K503" s="828"/>
      <c r="L503" s="829"/>
      <c r="M503" s="825"/>
      <c r="N503" s="825"/>
      <c r="O503" s="830"/>
    </row>
    <row r="504" ht="24.75" customHeight="1">
      <c r="A504" s="811"/>
      <c r="B504" s="812"/>
      <c r="C504" s="813"/>
      <c r="D504" s="814"/>
      <c r="E504" s="815"/>
      <c r="F504" s="815"/>
      <c r="G504" s="816"/>
      <c r="H504" s="817"/>
      <c r="I504" s="818"/>
      <c r="J504" s="816"/>
      <c r="K504" s="819"/>
      <c r="L504" s="820"/>
      <c r="M504" s="816"/>
      <c r="N504" s="816"/>
      <c r="O504" s="821"/>
    </row>
    <row r="505" ht="24.75" customHeight="1">
      <c r="A505" s="822"/>
      <c r="B505" s="812"/>
      <c r="C505" s="823"/>
      <c r="D505" s="814"/>
      <c r="E505" s="824"/>
      <c r="F505" s="824"/>
      <c r="G505" s="825"/>
      <c r="H505" s="826"/>
      <c r="I505" s="827"/>
      <c r="J505" s="825"/>
      <c r="K505" s="828"/>
      <c r="L505" s="829"/>
      <c r="M505" s="825"/>
      <c r="N505" s="825"/>
      <c r="O505" s="830"/>
    </row>
    <row r="506" ht="24.75" customHeight="1">
      <c r="A506" s="811"/>
      <c r="B506" s="812"/>
      <c r="C506" s="813"/>
      <c r="D506" s="814"/>
      <c r="E506" s="815"/>
      <c r="F506" s="815"/>
      <c r="G506" s="816"/>
      <c r="H506" s="817"/>
      <c r="I506" s="818"/>
      <c r="J506" s="816"/>
      <c r="K506" s="819"/>
      <c r="L506" s="820"/>
      <c r="M506" s="816"/>
      <c r="N506" s="816"/>
      <c r="O506" s="821"/>
    </row>
    <row r="507" ht="24.75" customHeight="1">
      <c r="A507" s="822"/>
      <c r="B507" s="812"/>
      <c r="C507" s="823"/>
      <c r="D507" s="814"/>
      <c r="E507" s="824"/>
      <c r="F507" s="824"/>
      <c r="G507" s="825"/>
      <c r="H507" s="826"/>
      <c r="I507" s="827"/>
      <c r="J507" s="825"/>
      <c r="K507" s="828"/>
      <c r="L507" s="829"/>
      <c r="M507" s="825"/>
      <c r="N507" s="825"/>
      <c r="O507" s="830"/>
    </row>
    <row r="508" ht="24.75" customHeight="1">
      <c r="A508" s="811"/>
      <c r="B508" s="812"/>
      <c r="C508" s="813"/>
      <c r="D508" s="814"/>
      <c r="E508" s="815"/>
      <c r="F508" s="815"/>
      <c r="G508" s="816"/>
      <c r="H508" s="817"/>
      <c r="I508" s="818"/>
      <c r="J508" s="816"/>
      <c r="K508" s="819"/>
      <c r="L508" s="820"/>
      <c r="M508" s="816"/>
      <c r="N508" s="816"/>
      <c r="O508" s="821"/>
    </row>
    <row r="509" ht="24.75" customHeight="1">
      <c r="A509" s="822"/>
      <c r="B509" s="812"/>
      <c r="C509" s="823"/>
      <c r="D509" s="814"/>
      <c r="E509" s="824"/>
      <c r="F509" s="824"/>
      <c r="G509" s="825"/>
      <c r="H509" s="826"/>
      <c r="I509" s="827"/>
      <c r="J509" s="825"/>
      <c r="K509" s="828"/>
      <c r="L509" s="829"/>
      <c r="M509" s="825"/>
      <c r="N509" s="825"/>
      <c r="O509" s="830"/>
    </row>
    <row r="510" ht="24.75" customHeight="1">
      <c r="A510" s="811"/>
      <c r="B510" s="812"/>
      <c r="C510" s="813"/>
      <c r="D510" s="814"/>
      <c r="E510" s="815"/>
      <c r="F510" s="815"/>
      <c r="G510" s="816"/>
      <c r="H510" s="817"/>
      <c r="I510" s="818"/>
      <c r="J510" s="816"/>
      <c r="K510" s="819"/>
      <c r="L510" s="820"/>
      <c r="M510" s="816"/>
      <c r="N510" s="816"/>
      <c r="O510" s="821"/>
    </row>
    <row r="511" ht="24.75" customHeight="1">
      <c r="A511" s="822"/>
      <c r="B511" s="812"/>
      <c r="C511" s="823"/>
      <c r="D511" s="814"/>
      <c r="E511" s="824"/>
      <c r="F511" s="824"/>
      <c r="G511" s="825"/>
      <c r="H511" s="826"/>
      <c r="I511" s="827"/>
      <c r="J511" s="825"/>
      <c r="K511" s="828"/>
      <c r="L511" s="829"/>
      <c r="M511" s="825"/>
      <c r="N511" s="825"/>
      <c r="O511" s="830"/>
    </row>
    <row r="512" ht="24.75" customHeight="1">
      <c r="A512" s="811"/>
      <c r="B512" s="812"/>
      <c r="C512" s="813"/>
      <c r="D512" s="814"/>
      <c r="E512" s="815"/>
      <c r="F512" s="815"/>
      <c r="G512" s="816"/>
      <c r="H512" s="817"/>
      <c r="I512" s="818"/>
      <c r="J512" s="816"/>
      <c r="K512" s="819"/>
      <c r="L512" s="820"/>
      <c r="M512" s="816"/>
      <c r="N512" s="816"/>
      <c r="O512" s="821"/>
    </row>
    <row r="513" ht="24.75" customHeight="1">
      <c r="A513" s="822"/>
      <c r="B513" s="812"/>
      <c r="C513" s="823"/>
      <c r="D513" s="814"/>
      <c r="E513" s="824"/>
      <c r="F513" s="824"/>
      <c r="G513" s="825"/>
      <c r="H513" s="826"/>
      <c r="I513" s="827"/>
      <c r="J513" s="825"/>
      <c r="K513" s="828"/>
      <c r="L513" s="829"/>
      <c r="M513" s="825"/>
      <c r="N513" s="825"/>
      <c r="O513" s="830"/>
    </row>
    <row r="514" ht="24.75" customHeight="1">
      <c r="A514" s="811"/>
      <c r="B514" s="812"/>
      <c r="C514" s="813"/>
      <c r="D514" s="814"/>
      <c r="E514" s="815"/>
      <c r="F514" s="815"/>
      <c r="G514" s="816"/>
      <c r="H514" s="817"/>
      <c r="I514" s="818"/>
      <c r="J514" s="816"/>
      <c r="K514" s="819"/>
      <c r="L514" s="820"/>
      <c r="M514" s="816"/>
      <c r="N514" s="816"/>
      <c r="O514" s="821"/>
    </row>
    <row r="515" ht="24.75" customHeight="1">
      <c r="A515" s="822"/>
      <c r="B515" s="812"/>
      <c r="C515" s="823"/>
      <c r="D515" s="814"/>
      <c r="E515" s="824"/>
      <c r="F515" s="824"/>
      <c r="G515" s="825"/>
      <c r="H515" s="826"/>
      <c r="I515" s="827"/>
      <c r="J515" s="825"/>
      <c r="K515" s="828"/>
      <c r="L515" s="829"/>
      <c r="M515" s="825"/>
      <c r="N515" s="825"/>
      <c r="O515" s="830"/>
    </row>
    <row r="516" ht="24.75" customHeight="1">
      <c r="A516" s="811"/>
      <c r="B516" s="812"/>
      <c r="C516" s="813"/>
      <c r="D516" s="814"/>
      <c r="E516" s="815"/>
      <c r="F516" s="815"/>
      <c r="G516" s="816"/>
      <c r="H516" s="817"/>
      <c r="I516" s="818"/>
      <c r="J516" s="816"/>
      <c r="K516" s="819"/>
      <c r="L516" s="820"/>
      <c r="M516" s="816"/>
      <c r="N516" s="816"/>
      <c r="O516" s="821"/>
    </row>
    <row r="517" ht="24.75" customHeight="1">
      <c r="A517" s="822"/>
      <c r="B517" s="812"/>
      <c r="C517" s="823"/>
      <c r="D517" s="814"/>
      <c r="E517" s="824"/>
      <c r="F517" s="824"/>
      <c r="G517" s="825"/>
      <c r="H517" s="826"/>
      <c r="I517" s="827"/>
      <c r="J517" s="825"/>
      <c r="K517" s="828"/>
      <c r="L517" s="829"/>
      <c r="M517" s="825"/>
      <c r="N517" s="825"/>
      <c r="O517" s="830"/>
    </row>
    <row r="518" ht="24.75" customHeight="1">
      <c r="A518" s="811"/>
      <c r="B518" s="812"/>
      <c r="C518" s="813"/>
      <c r="D518" s="814"/>
      <c r="E518" s="815"/>
      <c r="F518" s="815"/>
      <c r="G518" s="816"/>
      <c r="H518" s="817"/>
      <c r="I518" s="818"/>
      <c r="J518" s="816"/>
      <c r="K518" s="819"/>
      <c r="L518" s="820"/>
      <c r="M518" s="816"/>
      <c r="N518" s="816"/>
      <c r="O518" s="821"/>
    </row>
    <row r="519" ht="24.75" customHeight="1">
      <c r="A519" s="822"/>
      <c r="B519" s="812"/>
      <c r="C519" s="823"/>
      <c r="D519" s="814"/>
      <c r="E519" s="824"/>
      <c r="F519" s="824"/>
      <c r="G519" s="825"/>
      <c r="H519" s="826"/>
      <c r="I519" s="827"/>
      <c r="J519" s="825"/>
      <c r="K519" s="828"/>
      <c r="L519" s="829"/>
      <c r="M519" s="825"/>
      <c r="N519" s="825"/>
      <c r="O519" s="830"/>
    </row>
    <row r="520" ht="24.75" customHeight="1">
      <c r="A520" s="811"/>
      <c r="B520" s="812"/>
      <c r="C520" s="813"/>
      <c r="D520" s="814"/>
      <c r="E520" s="815"/>
      <c r="F520" s="815"/>
      <c r="G520" s="816"/>
      <c r="H520" s="817"/>
      <c r="I520" s="818"/>
      <c r="J520" s="816"/>
      <c r="K520" s="819"/>
      <c r="L520" s="820"/>
      <c r="M520" s="816"/>
      <c r="N520" s="816"/>
      <c r="O520" s="821"/>
    </row>
    <row r="521" ht="24.75" customHeight="1">
      <c r="A521" s="822"/>
      <c r="B521" s="812"/>
      <c r="C521" s="823"/>
      <c r="D521" s="814"/>
      <c r="E521" s="824"/>
      <c r="F521" s="824"/>
      <c r="G521" s="825"/>
      <c r="H521" s="826"/>
      <c r="I521" s="827"/>
      <c r="J521" s="825"/>
      <c r="K521" s="828"/>
      <c r="L521" s="829"/>
      <c r="M521" s="825"/>
      <c r="N521" s="825"/>
      <c r="O521" s="830"/>
    </row>
    <row r="522" ht="24.75" customHeight="1">
      <c r="A522" s="811"/>
      <c r="B522" s="812"/>
      <c r="C522" s="813"/>
      <c r="D522" s="814"/>
      <c r="E522" s="815"/>
      <c r="F522" s="815"/>
      <c r="G522" s="816"/>
      <c r="H522" s="817"/>
      <c r="I522" s="818"/>
      <c r="J522" s="816"/>
      <c r="K522" s="819"/>
      <c r="L522" s="820"/>
      <c r="M522" s="816"/>
      <c r="N522" s="816"/>
      <c r="O522" s="821"/>
    </row>
    <row r="523" ht="24.75" customHeight="1">
      <c r="A523" s="822"/>
      <c r="B523" s="812"/>
      <c r="C523" s="823"/>
      <c r="D523" s="814"/>
      <c r="E523" s="824"/>
      <c r="F523" s="824"/>
      <c r="G523" s="825"/>
      <c r="H523" s="826"/>
      <c r="I523" s="827"/>
      <c r="J523" s="825"/>
      <c r="K523" s="828"/>
      <c r="L523" s="829"/>
      <c r="M523" s="825"/>
      <c r="N523" s="825"/>
      <c r="O523" s="830"/>
    </row>
    <row r="524" ht="24.75" customHeight="1">
      <c r="A524" s="811"/>
      <c r="B524" s="812"/>
      <c r="C524" s="813"/>
      <c r="D524" s="814"/>
      <c r="E524" s="815"/>
      <c r="F524" s="815"/>
      <c r="G524" s="816"/>
      <c r="H524" s="817"/>
      <c r="I524" s="818"/>
      <c r="J524" s="816"/>
      <c r="K524" s="819"/>
      <c r="L524" s="820"/>
      <c r="M524" s="816"/>
      <c r="N524" s="816"/>
      <c r="O524" s="821"/>
    </row>
    <row r="525" ht="24.75" customHeight="1">
      <c r="A525" s="822"/>
      <c r="B525" s="812"/>
      <c r="C525" s="823"/>
      <c r="D525" s="814"/>
      <c r="E525" s="824"/>
      <c r="F525" s="824"/>
      <c r="G525" s="825"/>
      <c r="H525" s="826"/>
      <c r="I525" s="827"/>
      <c r="J525" s="825"/>
      <c r="K525" s="828"/>
      <c r="L525" s="829"/>
      <c r="M525" s="825"/>
      <c r="N525" s="825"/>
      <c r="O525" s="830"/>
    </row>
    <row r="526" ht="24.75" customHeight="1">
      <c r="A526" s="811"/>
      <c r="B526" s="812"/>
      <c r="C526" s="813"/>
      <c r="D526" s="814"/>
      <c r="E526" s="815"/>
      <c r="F526" s="815"/>
      <c r="G526" s="816"/>
      <c r="H526" s="817"/>
      <c r="I526" s="818"/>
      <c r="J526" s="816"/>
      <c r="K526" s="819"/>
      <c r="L526" s="820"/>
      <c r="M526" s="816"/>
      <c r="N526" s="816"/>
      <c r="O526" s="821"/>
    </row>
    <row r="527" ht="24.75" customHeight="1">
      <c r="A527" s="822"/>
      <c r="B527" s="812"/>
      <c r="C527" s="823"/>
      <c r="D527" s="814"/>
      <c r="E527" s="824"/>
      <c r="F527" s="824"/>
      <c r="G527" s="825"/>
      <c r="H527" s="826"/>
      <c r="I527" s="827"/>
      <c r="J527" s="825"/>
      <c r="K527" s="828"/>
      <c r="L527" s="829"/>
      <c r="M527" s="825"/>
      <c r="N527" s="825"/>
      <c r="O527" s="830"/>
    </row>
    <row r="528" ht="24.75" customHeight="1">
      <c r="A528" s="811"/>
      <c r="B528" s="812"/>
      <c r="C528" s="813"/>
      <c r="D528" s="814"/>
      <c r="E528" s="815"/>
      <c r="F528" s="815"/>
      <c r="G528" s="816"/>
      <c r="H528" s="817"/>
      <c r="I528" s="818"/>
      <c r="J528" s="816"/>
      <c r="K528" s="819"/>
      <c r="L528" s="820"/>
      <c r="M528" s="816"/>
      <c r="N528" s="816"/>
      <c r="O528" s="821"/>
    </row>
    <row r="529" ht="24.75" customHeight="1">
      <c r="A529" s="822"/>
      <c r="B529" s="812"/>
      <c r="C529" s="823"/>
      <c r="D529" s="814"/>
      <c r="E529" s="824"/>
      <c r="F529" s="824"/>
      <c r="G529" s="825"/>
      <c r="H529" s="826"/>
      <c r="I529" s="827"/>
      <c r="J529" s="825"/>
      <c r="K529" s="828"/>
      <c r="L529" s="829"/>
      <c r="M529" s="825"/>
      <c r="N529" s="825"/>
      <c r="O529" s="830"/>
    </row>
    <row r="530" ht="24.75" customHeight="1">
      <c r="A530" s="811"/>
      <c r="B530" s="812"/>
      <c r="C530" s="813"/>
      <c r="D530" s="814"/>
      <c r="E530" s="815"/>
      <c r="F530" s="815"/>
      <c r="G530" s="816"/>
      <c r="H530" s="817"/>
      <c r="I530" s="818"/>
      <c r="J530" s="816"/>
      <c r="K530" s="819"/>
      <c r="L530" s="820"/>
      <c r="M530" s="816"/>
      <c r="N530" s="816"/>
      <c r="O530" s="821"/>
    </row>
    <row r="531" ht="24.75" customHeight="1">
      <c r="A531" s="822"/>
      <c r="B531" s="812"/>
      <c r="C531" s="823"/>
      <c r="D531" s="814"/>
      <c r="E531" s="824"/>
      <c r="F531" s="824"/>
      <c r="G531" s="825"/>
      <c r="H531" s="826"/>
      <c r="I531" s="827"/>
      <c r="J531" s="825"/>
      <c r="K531" s="828"/>
      <c r="L531" s="829"/>
      <c r="M531" s="825"/>
      <c r="N531" s="825"/>
      <c r="O531" s="830"/>
    </row>
    <row r="532" ht="24.75" customHeight="1">
      <c r="A532" s="811"/>
      <c r="B532" s="812"/>
      <c r="C532" s="813"/>
      <c r="D532" s="814"/>
      <c r="E532" s="815"/>
      <c r="F532" s="815"/>
      <c r="G532" s="816"/>
      <c r="H532" s="817"/>
      <c r="I532" s="818"/>
      <c r="J532" s="816"/>
      <c r="K532" s="819"/>
      <c r="L532" s="820"/>
      <c r="M532" s="816"/>
      <c r="N532" s="816"/>
      <c r="O532" s="821"/>
    </row>
    <row r="533" ht="24.75" customHeight="1">
      <c r="A533" s="822"/>
      <c r="B533" s="812"/>
      <c r="C533" s="823"/>
      <c r="D533" s="814"/>
      <c r="E533" s="824"/>
      <c r="F533" s="824"/>
      <c r="G533" s="825"/>
      <c r="H533" s="826"/>
      <c r="I533" s="827"/>
      <c r="J533" s="825"/>
      <c r="K533" s="828"/>
      <c r="L533" s="829"/>
      <c r="M533" s="825"/>
      <c r="N533" s="825"/>
      <c r="O533" s="830"/>
    </row>
    <row r="534" ht="24.75" customHeight="1">
      <c r="A534" s="811"/>
      <c r="B534" s="812"/>
      <c r="C534" s="813"/>
      <c r="D534" s="814"/>
      <c r="E534" s="815"/>
      <c r="F534" s="815"/>
      <c r="G534" s="816"/>
      <c r="H534" s="817"/>
      <c r="I534" s="818"/>
      <c r="J534" s="816"/>
      <c r="K534" s="819"/>
      <c r="L534" s="820"/>
      <c r="M534" s="816"/>
      <c r="N534" s="816"/>
      <c r="O534" s="821"/>
    </row>
    <row r="535" ht="24.75" customHeight="1">
      <c r="A535" s="822"/>
      <c r="B535" s="812"/>
      <c r="C535" s="823"/>
      <c r="D535" s="814"/>
      <c r="E535" s="824"/>
      <c r="F535" s="824"/>
      <c r="G535" s="825"/>
      <c r="H535" s="826"/>
      <c r="I535" s="827"/>
      <c r="J535" s="825"/>
      <c r="K535" s="828"/>
      <c r="L535" s="829"/>
      <c r="M535" s="825"/>
      <c r="N535" s="825"/>
      <c r="O535" s="830"/>
    </row>
    <row r="536" ht="24.75" customHeight="1">
      <c r="A536" s="811"/>
      <c r="B536" s="812"/>
      <c r="C536" s="813"/>
      <c r="D536" s="814"/>
      <c r="E536" s="815"/>
      <c r="F536" s="815"/>
      <c r="G536" s="816"/>
      <c r="H536" s="817"/>
      <c r="I536" s="818"/>
      <c r="J536" s="816"/>
      <c r="K536" s="819"/>
      <c r="L536" s="820"/>
      <c r="M536" s="816"/>
      <c r="N536" s="816"/>
      <c r="O536" s="821"/>
    </row>
    <row r="537" ht="24.75" customHeight="1">
      <c r="A537" s="822"/>
      <c r="B537" s="812"/>
      <c r="C537" s="823"/>
      <c r="D537" s="814"/>
      <c r="E537" s="824"/>
      <c r="F537" s="824"/>
      <c r="G537" s="825"/>
      <c r="H537" s="826"/>
      <c r="I537" s="827"/>
      <c r="J537" s="825"/>
      <c r="K537" s="828"/>
      <c r="L537" s="829"/>
      <c r="M537" s="825"/>
      <c r="N537" s="825"/>
      <c r="O537" s="830"/>
    </row>
    <row r="538" ht="24.75" customHeight="1">
      <c r="A538" s="811"/>
      <c r="B538" s="812"/>
      <c r="C538" s="813"/>
      <c r="D538" s="814"/>
      <c r="E538" s="815"/>
      <c r="F538" s="815"/>
      <c r="G538" s="816"/>
      <c r="H538" s="817"/>
      <c r="I538" s="818"/>
      <c r="J538" s="816"/>
      <c r="K538" s="819"/>
      <c r="L538" s="820"/>
      <c r="M538" s="816"/>
      <c r="N538" s="816"/>
      <c r="O538" s="821"/>
    </row>
    <row r="539" ht="24.75" customHeight="1">
      <c r="A539" s="822"/>
      <c r="B539" s="812"/>
      <c r="C539" s="823"/>
      <c r="D539" s="814"/>
      <c r="E539" s="824"/>
      <c r="F539" s="824"/>
      <c r="G539" s="825"/>
      <c r="H539" s="826"/>
      <c r="I539" s="827"/>
      <c r="J539" s="825"/>
      <c r="K539" s="828"/>
      <c r="L539" s="829"/>
      <c r="M539" s="825"/>
      <c r="N539" s="825"/>
      <c r="O539" s="830"/>
    </row>
    <row r="540" ht="24.75" customHeight="1">
      <c r="A540" s="811"/>
      <c r="B540" s="812"/>
      <c r="C540" s="813"/>
      <c r="D540" s="814"/>
      <c r="E540" s="815"/>
      <c r="F540" s="815"/>
      <c r="G540" s="816"/>
      <c r="H540" s="817"/>
      <c r="I540" s="818"/>
      <c r="J540" s="816"/>
      <c r="K540" s="819"/>
      <c r="L540" s="820"/>
      <c r="M540" s="816"/>
      <c r="N540" s="816"/>
      <c r="O540" s="821"/>
    </row>
    <row r="541" ht="24.75" customHeight="1">
      <c r="A541" s="822"/>
      <c r="B541" s="812"/>
      <c r="C541" s="823"/>
      <c r="D541" s="814"/>
      <c r="E541" s="824"/>
      <c r="F541" s="824"/>
      <c r="G541" s="825"/>
      <c r="H541" s="826"/>
      <c r="I541" s="827"/>
      <c r="J541" s="825"/>
      <c r="K541" s="828"/>
      <c r="L541" s="829"/>
      <c r="M541" s="825"/>
      <c r="N541" s="825"/>
      <c r="O541" s="830"/>
    </row>
    <row r="542" ht="24.75" customHeight="1">
      <c r="A542" s="811"/>
      <c r="B542" s="812"/>
      <c r="C542" s="813"/>
      <c r="D542" s="814"/>
      <c r="E542" s="815"/>
      <c r="F542" s="815"/>
      <c r="G542" s="816"/>
      <c r="H542" s="817"/>
      <c r="I542" s="818"/>
      <c r="J542" s="816"/>
      <c r="K542" s="819"/>
      <c r="L542" s="820"/>
      <c r="M542" s="816"/>
      <c r="N542" s="816"/>
      <c r="O542" s="821"/>
    </row>
    <row r="543" ht="24.75" customHeight="1">
      <c r="A543" s="822"/>
      <c r="B543" s="812"/>
      <c r="C543" s="823"/>
      <c r="D543" s="814"/>
      <c r="E543" s="824"/>
      <c r="F543" s="824"/>
      <c r="G543" s="825"/>
      <c r="H543" s="826"/>
      <c r="I543" s="827"/>
      <c r="J543" s="825"/>
      <c r="K543" s="828"/>
      <c r="L543" s="829"/>
      <c r="M543" s="825"/>
      <c r="N543" s="825"/>
      <c r="O543" s="830"/>
    </row>
    <row r="544" ht="24.75" customHeight="1">
      <c r="A544" s="811"/>
      <c r="B544" s="812"/>
      <c r="C544" s="813"/>
      <c r="D544" s="814"/>
      <c r="E544" s="815"/>
      <c r="F544" s="815"/>
      <c r="G544" s="816"/>
      <c r="H544" s="817"/>
      <c r="I544" s="818"/>
      <c r="J544" s="816"/>
      <c r="K544" s="819"/>
      <c r="L544" s="820"/>
      <c r="M544" s="816"/>
      <c r="N544" s="816"/>
      <c r="O544" s="821"/>
    </row>
    <row r="545" ht="24.75" customHeight="1">
      <c r="A545" s="822"/>
      <c r="B545" s="812"/>
      <c r="C545" s="823"/>
      <c r="D545" s="814"/>
      <c r="E545" s="824"/>
      <c r="F545" s="824"/>
      <c r="G545" s="825"/>
      <c r="H545" s="826"/>
      <c r="I545" s="827"/>
      <c r="J545" s="825"/>
      <c r="K545" s="828"/>
      <c r="L545" s="829"/>
      <c r="M545" s="825"/>
      <c r="N545" s="825"/>
      <c r="O545" s="830"/>
    </row>
    <row r="546" ht="24.75" customHeight="1">
      <c r="A546" s="811"/>
      <c r="B546" s="812"/>
      <c r="C546" s="813"/>
      <c r="D546" s="814"/>
      <c r="E546" s="815"/>
      <c r="F546" s="815"/>
      <c r="G546" s="816"/>
      <c r="H546" s="817"/>
      <c r="I546" s="818"/>
      <c r="J546" s="816"/>
      <c r="K546" s="819"/>
      <c r="L546" s="820"/>
      <c r="M546" s="816"/>
      <c r="N546" s="816"/>
      <c r="O546" s="821"/>
    </row>
    <row r="547" ht="24.75" customHeight="1">
      <c r="A547" s="822"/>
      <c r="B547" s="812"/>
      <c r="C547" s="823"/>
      <c r="D547" s="814"/>
      <c r="E547" s="824"/>
      <c r="F547" s="824"/>
      <c r="G547" s="825"/>
      <c r="H547" s="826"/>
      <c r="I547" s="827"/>
      <c r="J547" s="825"/>
      <c r="K547" s="828"/>
      <c r="L547" s="829"/>
      <c r="M547" s="825"/>
      <c r="N547" s="825"/>
      <c r="O547" s="830"/>
    </row>
    <row r="548" ht="24.75" customHeight="1">
      <c r="A548" s="811"/>
      <c r="B548" s="812"/>
      <c r="C548" s="813"/>
      <c r="D548" s="814"/>
      <c r="E548" s="815"/>
      <c r="F548" s="815"/>
      <c r="G548" s="816"/>
      <c r="H548" s="817"/>
      <c r="I548" s="818"/>
      <c r="J548" s="816"/>
      <c r="K548" s="819"/>
      <c r="L548" s="820"/>
      <c r="M548" s="816"/>
      <c r="N548" s="816"/>
      <c r="O548" s="821"/>
    </row>
    <row r="549" ht="24.75" customHeight="1">
      <c r="A549" s="822"/>
      <c r="B549" s="812"/>
      <c r="C549" s="823"/>
      <c r="D549" s="814"/>
      <c r="E549" s="824"/>
      <c r="F549" s="824"/>
      <c r="G549" s="825"/>
      <c r="H549" s="826"/>
      <c r="I549" s="827"/>
      <c r="J549" s="825"/>
      <c r="K549" s="828"/>
      <c r="L549" s="829"/>
      <c r="M549" s="825"/>
      <c r="N549" s="825"/>
      <c r="O549" s="830"/>
    </row>
    <row r="550" ht="24.75" customHeight="1">
      <c r="A550" s="811"/>
      <c r="B550" s="812"/>
      <c r="C550" s="813"/>
      <c r="D550" s="814"/>
      <c r="E550" s="815"/>
      <c r="F550" s="815"/>
      <c r="G550" s="816"/>
      <c r="H550" s="817"/>
      <c r="I550" s="818"/>
      <c r="J550" s="816"/>
      <c r="K550" s="819"/>
      <c r="L550" s="820"/>
      <c r="M550" s="816"/>
      <c r="N550" s="816"/>
      <c r="O550" s="821"/>
    </row>
    <row r="551" ht="24.75" customHeight="1">
      <c r="A551" s="822"/>
      <c r="B551" s="812"/>
      <c r="C551" s="823"/>
      <c r="D551" s="814"/>
      <c r="E551" s="824"/>
      <c r="F551" s="824"/>
      <c r="G551" s="825"/>
      <c r="H551" s="826"/>
      <c r="I551" s="827"/>
      <c r="J551" s="825"/>
      <c r="K551" s="828"/>
      <c r="L551" s="829"/>
      <c r="M551" s="825"/>
      <c r="N551" s="825"/>
      <c r="O551" s="830"/>
    </row>
    <row r="552" ht="24.75" customHeight="1">
      <c r="A552" s="811"/>
      <c r="B552" s="812"/>
      <c r="C552" s="813"/>
      <c r="D552" s="814"/>
      <c r="E552" s="815"/>
      <c r="F552" s="815"/>
      <c r="G552" s="816"/>
      <c r="H552" s="817"/>
      <c r="I552" s="818"/>
      <c r="J552" s="816"/>
      <c r="K552" s="819"/>
      <c r="L552" s="820"/>
      <c r="M552" s="816"/>
      <c r="N552" s="816"/>
      <c r="O552" s="821"/>
    </row>
    <row r="553" ht="24.75" customHeight="1">
      <c r="A553" s="822"/>
      <c r="B553" s="812"/>
      <c r="C553" s="823"/>
      <c r="D553" s="814"/>
      <c r="E553" s="824"/>
      <c r="F553" s="824"/>
      <c r="G553" s="825"/>
      <c r="H553" s="826"/>
      <c r="I553" s="827"/>
      <c r="J553" s="825"/>
      <c r="K553" s="828"/>
      <c r="L553" s="829"/>
      <c r="M553" s="825"/>
      <c r="N553" s="825"/>
      <c r="O553" s="830"/>
    </row>
    <row r="554" ht="24.75" customHeight="1">
      <c r="A554" s="811"/>
      <c r="B554" s="812"/>
      <c r="C554" s="813"/>
      <c r="D554" s="814"/>
      <c r="E554" s="815"/>
      <c r="F554" s="815"/>
      <c r="G554" s="816"/>
      <c r="H554" s="817"/>
      <c r="I554" s="818"/>
      <c r="J554" s="816"/>
      <c r="K554" s="819"/>
      <c r="L554" s="820"/>
      <c r="M554" s="816"/>
      <c r="N554" s="816"/>
      <c r="O554" s="821"/>
    </row>
    <row r="555" ht="24.75" customHeight="1">
      <c r="A555" s="822"/>
      <c r="B555" s="812"/>
      <c r="C555" s="823"/>
      <c r="D555" s="814"/>
      <c r="E555" s="824"/>
      <c r="F555" s="824"/>
      <c r="G555" s="825"/>
      <c r="H555" s="826"/>
      <c r="I555" s="827"/>
      <c r="J555" s="825"/>
      <c r="K555" s="828"/>
      <c r="L555" s="829"/>
      <c r="M555" s="825"/>
      <c r="N555" s="825"/>
      <c r="O555" s="830"/>
    </row>
    <row r="556" ht="24.75" customHeight="1">
      <c r="A556" s="811"/>
      <c r="B556" s="812"/>
      <c r="C556" s="813"/>
      <c r="D556" s="814"/>
      <c r="E556" s="815"/>
      <c r="F556" s="815"/>
      <c r="G556" s="816"/>
      <c r="H556" s="817"/>
      <c r="I556" s="818"/>
      <c r="J556" s="816"/>
      <c r="K556" s="819"/>
      <c r="L556" s="820"/>
      <c r="M556" s="816"/>
      <c r="N556" s="816"/>
      <c r="O556" s="821"/>
    </row>
    <row r="557" ht="24.75" customHeight="1">
      <c r="A557" s="822"/>
      <c r="B557" s="812"/>
      <c r="C557" s="823"/>
      <c r="D557" s="814"/>
      <c r="E557" s="824"/>
      <c r="F557" s="824"/>
      <c r="G557" s="825"/>
      <c r="H557" s="826"/>
      <c r="I557" s="827"/>
      <c r="J557" s="825"/>
      <c r="K557" s="828"/>
      <c r="L557" s="829"/>
      <c r="M557" s="825"/>
      <c r="N557" s="825"/>
      <c r="O557" s="830"/>
    </row>
    <row r="558" ht="24.75" customHeight="1">
      <c r="A558" s="811"/>
      <c r="B558" s="812"/>
      <c r="C558" s="813"/>
      <c r="D558" s="814"/>
      <c r="E558" s="815"/>
      <c r="F558" s="815"/>
      <c r="G558" s="816"/>
      <c r="H558" s="817"/>
      <c r="I558" s="818"/>
      <c r="J558" s="816"/>
      <c r="K558" s="819"/>
      <c r="L558" s="820"/>
      <c r="M558" s="816"/>
      <c r="N558" s="816"/>
      <c r="O558" s="821"/>
    </row>
    <row r="559" ht="24.75" customHeight="1">
      <c r="A559" s="822"/>
      <c r="B559" s="812"/>
      <c r="C559" s="823"/>
      <c r="D559" s="814"/>
      <c r="E559" s="824"/>
      <c r="F559" s="824"/>
      <c r="G559" s="825"/>
      <c r="H559" s="826"/>
      <c r="I559" s="827"/>
      <c r="J559" s="825"/>
      <c r="K559" s="828"/>
      <c r="L559" s="829"/>
      <c r="M559" s="825"/>
      <c r="N559" s="825"/>
      <c r="O559" s="830"/>
    </row>
    <row r="560" ht="24.75" customHeight="1">
      <c r="A560" s="811"/>
      <c r="B560" s="812"/>
      <c r="C560" s="813"/>
      <c r="D560" s="814"/>
      <c r="E560" s="815"/>
      <c r="F560" s="815"/>
      <c r="G560" s="816"/>
      <c r="H560" s="817"/>
      <c r="I560" s="818"/>
      <c r="J560" s="816"/>
      <c r="K560" s="819"/>
      <c r="L560" s="820"/>
      <c r="M560" s="816"/>
      <c r="N560" s="816"/>
      <c r="O560" s="821"/>
    </row>
    <row r="561" ht="24.75" customHeight="1">
      <c r="A561" s="822"/>
      <c r="B561" s="812"/>
      <c r="C561" s="823"/>
      <c r="D561" s="814"/>
      <c r="E561" s="824"/>
      <c r="F561" s="824"/>
      <c r="G561" s="825"/>
      <c r="H561" s="826"/>
      <c r="I561" s="827"/>
      <c r="J561" s="825"/>
      <c r="K561" s="828"/>
      <c r="L561" s="829"/>
      <c r="M561" s="825"/>
      <c r="N561" s="825"/>
      <c r="O561" s="830"/>
    </row>
    <row r="562" ht="24.75" customHeight="1">
      <c r="A562" s="811"/>
      <c r="B562" s="812"/>
      <c r="C562" s="813"/>
      <c r="D562" s="814"/>
      <c r="E562" s="815"/>
      <c r="F562" s="815"/>
      <c r="G562" s="816"/>
      <c r="H562" s="817"/>
      <c r="I562" s="818"/>
      <c r="J562" s="816"/>
      <c r="K562" s="819"/>
      <c r="L562" s="820"/>
      <c r="M562" s="816"/>
      <c r="N562" s="816"/>
      <c r="O562" s="821"/>
    </row>
    <row r="563" ht="24.75" customHeight="1">
      <c r="A563" s="822"/>
      <c r="B563" s="812"/>
      <c r="C563" s="823"/>
      <c r="D563" s="814"/>
      <c r="E563" s="824"/>
      <c r="F563" s="824"/>
      <c r="G563" s="825"/>
      <c r="H563" s="826"/>
      <c r="I563" s="827"/>
      <c r="J563" s="825"/>
      <c r="K563" s="828"/>
      <c r="L563" s="829"/>
      <c r="M563" s="825"/>
      <c r="N563" s="825"/>
      <c r="O563" s="830"/>
    </row>
    <row r="564" ht="24.75" customHeight="1">
      <c r="A564" s="811"/>
      <c r="B564" s="812"/>
      <c r="C564" s="813"/>
      <c r="D564" s="814"/>
      <c r="E564" s="815"/>
      <c r="F564" s="815"/>
      <c r="G564" s="816"/>
      <c r="H564" s="817"/>
      <c r="I564" s="818"/>
      <c r="J564" s="816"/>
      <c r="K564" s="819"/>
      <c r="L564" s="820"/>
      <c r="M564" s="816"/>
      <c r="N564" s="816"/>
      <c r="O564" s="821"/>
    </row>
    <row r="565" ht="24.75" customHeight="1">
      <c r="A565" s="822"/>
      <c r="B565" s="812"/>
      <c r="C565" s="823"/>
      <c r="D565" s="814"/>
      <c r="E565" s="824"/>
      <c r="F565" s="824"/>
      <c r="G565" s="825"/>
      <c r="H565" s="826"/>
      <c r="I565" s="827"/>
      <c r="J565" s="825"/>
      <c r="K565" s="828"/>
      <c r="L565" s="829"/>
      <c r="M565" s="825"/>
      <c r="N565" s="825"/>
      <c r="O565" s="830"/>
    </row>
    <row r="566" ht="24.75" customHeight="1">
      <c r="A566" s="811"/>
      <c r="B566" s="812"/>
      <c r="C566" s="813"/>
      <c r="D566" s="814"/>
      <c r="E566" s="815"/>
      <c r="F566" s="815"/>
      <c r="G566" s="816"/>
      <c r="H566" s="817"/>
      <c r="I566" s="818"/>
      <c r="J566" s="816"/>
      <c r="K566" s="819"/>
      <c r="L566" s="820"/>
      <c r="M566" s="816"/>
      <c r="N566" s="816"/>
      <c r="O566" s="821"/>
    </row>
    <row r="567" ht="24.75" customHeight="1">
      <c r="A567" s="822"/>
      <c r="B567" s="812"/>
      <c r="C567" s="823"/>
      <c r="D567" s="814"/>
      <c r="E567" s="824"/>
      <c r="F567" s="824"/>
      <c r="G567" s="825"/>
      <c r="H567" s="826"/>
      <c r="I567" s="827"/>
      <c r="J567" s="825"/>
      <c r="K567" s="828"/>
      <c r="L567" s="829"/>
      <c r="M567" s="825"/>
      <c r="N567" s="825"/>
      <c r="O567" s="830"/>
    </row>
    <row r="568" ht="24.75" customHeight="1">
      <c r="A568" s="811"/>
      <c r="B568" s="812"/>
      <c r="C568" s="813"/>
      <c r="D568" s="814"/>
      <c r="E568" s="815"/>
      <c r="F568" s="815"/>
      <c r="G568" s="816"/>
      <c r="H568" s="817"/>
      <c r="I568" s="818"/>
      <c r="J568" s="816"/>
      <c r="K568" s="819"/>
      <c r="L568" s="820"/>
      <c r="M568" s="816"/>
      <c r="N568" s="816"/>
      <c r="O568" s="821"/>
    </row>
    <row r="569" ht="24.75" customHeight="1">
      <c r="A569" s="822"/>
      <c r="B569" s="812"/>
      <c r="C569" s="823"/>
      <c r="D569" s="814"/>
      <c r="E569" s="824"/>
      <c r="F569" s="824"/>
      <c r="G569" s="825"/>
      <c r="H569" s="826"/>
      <c r="I569" s="827"/>
      <c r="J569" s="825"/>
      <c r="K569" s="828"/>
      <c r="L569" s="829"/>
      <c r="M569" s="825"/>
      <c r="N569" s="825"/>
      <c r="O569" s="830"/>
    </row>
    <row r="570" ht="24.75" customHeight="1">
      <c r="A570" s="811"/>
      <c r="B570" s="812"/>
      <c r="C570" s="813"/>
      <c r="D570" s="814"/>
      <c r="E570" s="815"/>
      <c r="F570" s="815"/>
      <c r="G570" s="816"/>
      <c r="H570" s="817"/>
      <c r="I570" s="818"/>
      <c r="J570" s="816"/>
      <c r="K570" s="819"/>
      <c r="L570" s="820"/>
      <c r="M570" s="816"/>
      <c r="N570" s="816"/>
      <c r="O570" s="821"/>
    </row>
    <row r="571" ht="24.75" customHeight="1">
      <c r="A571" s="822"/>
      <c r="B571" s="812"/>
      <c r="C571" s="823"/>
      <c r="D571" s="814"/>
      <c r="E571" s="824"/>
      <c r="F571" s="824"/>
      <c r="G571" s="825"/>
      <c r="H571" s="826"/>
      <c r="I571" s="827"/>
      <c r="J571" s="825"/>
      <c r="K571" s="828"/>
      <c r="L571" s="829"/>
      <c r="M571" s="825"/>
      <c r="N571" s="825"/>
      <c r="O571" s="830"/>
    </row>
    <row r="572" ht="24.75" customHeight="1">
      <c r="A572" s="811"/>
      <c r="B572" s="812"/>
      <c r="C572" s="813"/>
      <c r="D572" s="814"/>
      <c r="E572" s="815"/>
      <c r="F572" s="815"/>
      <c r="G572" s="816"/>
      <c r="H572" s="817"/>
      <c r="I572" s="818"/>
      <c r="J572" s="816"/>
      <c r="K572" s="819"/>
      <c r="L572" s="820"/>
      <c r="M572" s="816"/>
      <c r="N572" s="816"/>
      <c r="O572" s="821"/>
    </row>
    <row r="573" ht="24.75" customHeight="1">
      <c r="A573" s="822"/>
      <c r="B573" s="812"/>
      <c r="C573" s="823"/>
      <c r="D573" s="814"/>
      <c r="E573" s="824"/>
      <c r="F573" s="824"/>
      <c r="G573" s="825"/>
      <c r="H573" s="826"/>
      <c r="I573" s="827"/>
      <c r="J573" s="825"/>
      <c r="K573" s="828"/>
      <c r="L573" s="829"/>
      <c r="M573" s="825"/>
      <c r="N573" s="825"/>
      <c r="O573" s="830"/>
    </row>
    <row r="574" ht="24.75" customHeight="1">
      <c r="A574" s="811"/>
      <c r="B574" s="812"/>
      <c r="C574" s="813"/>
      <c r="D574" s="814"/>
      <c r="E574" s="815"/>
      <c r="F574" s="815"/>
      <c r="G574" s="816"/>
      <c r="H574" s="817"/>
      <c r="I574" s="818"/>
      <c r="J574" s="816"/>
      <c r="K574" s="819"/>
      <c r="L574" s="820"/>
      <c r="M574" s="816"/>
      <c r="N574" s="816"/>
      <c r="O574" s="821"/>
    </row>
    <row r="575" ht="24.75" customHeight="1">
      <c r="A575" s="822"/>
      <c r="B575" s="812"/>
      <c r="C575" s="823"/>
      <c r="D575" s="814"/>
      <c r="E575" s="824"/>
      <c r="F575" s="824"/>
      <c r="G575" s="825"/>
      <c r="H575" s="826"/>
      <c r="I575" s="827"/>
      <c r="J575" s="825"/>
      <c r="K575" s="828"/>
      <c r="L575" s="829"/>
      <c r="M575" s="825"/>
      <c r="N575" s="825"/>
      <c r="O575" s="830"/>
    </row>
    <row r="576" ht="24.75" customHeight="1">
      <c r="A576" s="811"/>
      <c r="B576" s="812"/>
      <c r="C576" s="813"/>
      <c r="D576" s="814"/>
      <c r="E576" s="815"/>
      <c r="F576" s="815"/>
      <c r="G576" s="816"/>
      <c r="H576" s="817"/>
      <c r="I576" s="818"/>
      <c r="J576" s="816"/>
      <c r="K576" s="819"/>
      <c r="L576" s="820"/>
      <c r="M576" s="816"/>
      <c r="N576" s="816"/>
      <c r="O576" s="821"/>
    </row>
    <row r="577" ht="24.75" customHeight="1">
      <c r="A577" s="822"/>
      <c r="B577" s="812"/>
      <c r="C577" s="823"/>
      <c r="D577" s="814"/>
      <c r="E577" s="824"/>
      <c r="F577" s="824"/>
      <c r="G577" s="825"/>
      <c r="H577" s="826"/>
      <c r="I577" s="827"/>
      <c r="J577" s="825"/>
      <c r="K577" s="828"/>
      <c r="L577" s="829"/>
      <c r="M577" s="825"/>
      <c r="N577" s="825"/>
      <c r="O577" s="830"/>
    </row>
    <row r="578" ht="24.75" customHeight="1">
      <c r="A578" s="811"/>
      <c r="B578" s="812"/>
      <c r="C578" s="813"/>
      <c r="D578" s="814"/>
      <c r="E578" s="815"/>
      <c r="F578" s="815"/>
      <c r="G578" s="816"/>
      <c r="H578" s="817"/>
      <c r="I578" s="818"/>
      <c r="J578" s="816"/>
      <c r="K578" s="819"/>
      <c r="L578" s="820"/>
      <c r="M578" s="816"/>
      <c r="N578" s="816"/>
      <c r="O578" s="821"/>
    </row>
    <row r="579" ht="24.75" customHeight="1">
      <c r="A579" s="822"/>
      <c r="B579" s="812"/>
      <c r="C579" s="823"/>
      <c r="D579" s="814"/>
      <c r="E579" s="824"/>
      <c r="F579" s="824"/>
      <c r="G579" s="825"/>
      <c r="H579" s="826"/>
      <c r="I579" s="827"/>
      <c r="J579" s="825"/>
      <c r="K579" s="828"/>
      <c r="L579" s="829"/>
      <c r="M579" s="825"/>
      <c r="N579" s="825"/>
      <c r="O579" s="830"/>
    </row>
    <row r="580" ht="24.75" customHeight="1">
      <c r="A580" s="811"/>
      <c r="B580" s="812"/>
      <c r="C580" s="813"/>
      <c r="D580" s="814"/>
      <c r="E580" s="815"/>
      <c r="F580" s="815"/>
      <c r="G580" s="816"/>
      <c r="H580" s="817"/>
      <c r="I580" s="818"/>
      <c r="J580" s="816"/>
      <c r="K580" s="819"/>
      <c r="L580" s="820"/>
      <c r="M580" s="816"/>
      <c r="N580" s="816"/>
      <c r="O580" s="821"/>
    </row>
    <row r="581" ht="24.75" customHeight="1">
      <c r="A581" s="822"/>
      <c r="B581" s="812"/>
      <c r="C581" s="823"/>
      <c r="D581" s="814"/>
      <c r="E581" s="824"/>
      <c r="F581" s="824"/>
      <c r="G581" s="825"/>
      <c r="H581" s="826"/>
      <c r="I581" s="827"/>
      <c r="J581" s="825"/>
      <c r="K581" s="828"/>
      <c r="L581" s="829"/>
      <c r="M581" s="825"/>
      <c r="N581" s="825"/>
      <c r="O581" s="830"/>
    </row>
    <row r="582" ht="24.75" customHeight="1">
      <c r="A582" s="811"/>
      <c r="B582" s="812"/>
      <c r="C582" s="813"/>
      <c r="D582" s="814"/>
      <c r="E582" s="815"/>
      <c r="F582" s="815"/>
      <c r="G582" s="816"/>
      <c r="H582" s="817"/>
      <c r="I582" s="818"/>
      <c r="J582" s="816"/>
      <c r="K582" s="819"/>
      <c r="L582" s="820"/>
      <c r="M582" s="816"/>
      <c r="N582" s="816"/>
      <c r="O582" s="821"/>
    </row>
    <row r="583" ht="24.75" customHeight="1">
      <c r="A583" s="822"/>
      <c r="B583" s="812"/>
      <c r="C583" s="823"/>
      <c r="D583" s="814"/>
      <c r="E583" s="824"/>
      <c r="F583" s="824"/>
      <c r="G583" s="825"/>
      <c r="H583" s="826"/>
      <c r="I583" s="827"/>
      <c r="J583" s="825"/>
      <c r="K583" s="828"/>
      <c r="L583" s="829"/>
      <c r="M583" s="825"/>
      <c r="N583" s="825"/>
      <c r="O583" s="830"/>
    </row>
    <row r="584" ht="24.75" customHeight="1">
      <c r="A584" s="811"/>
      <c r="B584" s="812"/>
      <c r="C584" s="813"/>
      <c r="D584" s="814"/>
      <c r="E584" s="815"/>
      <c r="F584" s="815"/>
      <c r="G584" s="816"/>
      <c r="H584" s="817"/>
      <c r="I584" s="818"/>
      <c r="J584" s="816"/>
      <c r="K584" s="819"/>
      <c r="L584" s="820"/>
      <c r="M584" s="816"/>
      <c r="N584" s="816"/>
      <c r="O584" s="821"/>
    </row>
    <row r="585" ht="24.75" customHeight="1">
      <c r="A585" s="822"/>
      <c r="B585" s="812"/>
      <c r="C585" s="823"/>
      <c r="D585" s="814"/>
      <c r="E585" s="824"/>
      <c r="F585" s="824"/>
      <c r="G585" s="825"/>
      <c r="H585" s="826"/>
      <c r="I585" s="827"/>
      <c r="J585" s="825"/>
      <c r="K585" s="828"/>
      <c r="L585" s="829"/>
      <c r="M585" s="825"/>
      <c r="N585" s="825"/>
      <c r="O585" s="830"/>
    </row>
    <row r="586" ht="24.75" customHeight="1">
      <c r="A586" s="811"/>
      <c r="B586" s="812"/>
      <c r="C586" s="813"/>
      <c r="D586" s="814"/>
      <c r="E586" s="815"/>
      <c r="F586" s="815"/>
      <c r="G586" s="816"/>
      <c r="H586" s="817"/>
      <c r="I586" s="818"/>
      <c r="J586" s="816"/>
      <c r="K586" s="819"/>
      <c r="L586" s="820"/>
      <c r="M586" s="816"/>
      <c r="N586" s="816"/>
      <c r="O586" s="821"/>
    </row>
    <row r="587" ht="24.75" customHeight="1">
      <c r="A587" s="822"/>
      <c r="B587" s="812"/>
      <c r="C587" s="823"/>
      <c r="D587" s="814"/>
      <c r="E587" s="824"/>
      <c r="F587" s="824"/>
      <c r="G587" s="825"/>
      <c r="H587" s="826"/>
      <c r="I587" s="827"/>
      <c r="J587" s="825"/>
      <c r="K587" s="828"/>
      <c r="L587" s="829"/>
      <c r="M587" s="825"/>
      <c r="N587" s="825"/>
      <c r="O587" s="830"/>
    </row>
    <row r="588" ht="24.75" customHeight="1">
      <c r="A588" s="811"/>
      <c r="B588" s="812"/>
      <c r="C588" s="813"/>
      <c r="D588" s="814"/>
      <c r="E588" s="815"/>
      <c r="F588" s="815"/>
      <c r="G588" s="816"/>
      <c r="H588" s="817"/>
      <c r="I588" s="818"/>
      <c r="J588" s="816"/>
      <c r="K588" s="819"/>
      <c r="L588" s="820"/>
      <c r="M588" s="816"/>
      <c r="N588" s="816"/>
      <c r="O588" s="821"/>
    </row>
    <row r="589" ht="24.75" customHeight="1">
      <c r="A589" s="822"/>
      <c r="B589" s="812"/>
      <c r="C589" s="823"/>
      <c r="D589" s="814"/>
      <c r="E589" s="824"/>
      <c r="F589" s="824"/>
      <c r="G589" s="825"/>
      <c r="H589" s="826"/>
      <c r="I589" s="827"/>
      <c r="J589" s="825"/>
      <c r="K589" s="828"/>
      <c r="L589" s="829"/>
      <c r="M589" s="825"/>
      <c r="N589" s="825"/>
      <c r="O589" s="830"/>
    </row>
    <row r="590" ht="24.75" customHeight="1">
      <c r="A590" s="811"/>
      <c r="B590" s="812"/>
      <c r="C590" s="813"/>
      <c r="D590" s="814"/>
      <c r="E590" s="815"/>
      <c r="F590" s="815"/>
      <c r="G590" s="816"/>
      <c r="H590" s="817"/>
      <c r="I590" s="818"/>
      <c r="J590" s="816"/>
      <c r="K590" s="819"/>
      <c r="L590" s="820"/>
      <c r="M590" s="816"/>
      <c r="N590" s="816"/>
      <c r="O590" s="821"/>
    </row>
    <row r="591" ht="24.75" customHeight="1">
      <c r="A591" s="822"/>
      <c r="B591" s="812"/>
      <c r="C591" s="823"/>
      <c r="D591" s="814"/>
      <c r="E591" s="824"/>
      <c r="F591" s="824"/>
      <c r="G591" s="825"/>
      <c r="H591" s="826"/>
      <c r="I591" s="827"/>
      <c r="J591" s="825"/>
      <c r="K591" s="828"/>
      <c r="L591" s="829"/>
      <c r="M591" s="825"/>
      <c r="N591" s="825"/>
      <c r="O591" s="830"/>
    </row>
    <row r="592" ht="24.75" customHeight="1">
      <c r="A592" s="811"/>
      <c r="B592" s="812"/>
      <c r="C592" s="813"/>
      <c r="D592" s="814"/>
      <c r="E592" s="815"/>
      <c r="F592" s="815"/>
      <c r="G592" s="816"/>
      <c r="H592" s="817"/>
      <c r="I592" s="818"/>
      <c r="J592" s="816"/>
      <c r="K592" s="819"/>
      <c r="L592" s="820"/>
      <c r="M592" s="816"/>
      <c r="N592" s="816"/>
      <c r="O592" s="821"/>
    </row>
    <row r="593" ht="24.75" customHeight="1">
      <c r="A593" s="822"/>
      <c r="B593" s="812"/>
      <c r="C593" s="823"/>
      <c r="D593" s="814"/>
      <c r="E593" s="824"/>
      <c r="F593" s="824"/>
      <c r="G593" s="825"/>
      <c r="H593" s="826"/>
      <c r="I593" s="827"/>
      <c r="J593" s="825"/>
      <c r="K593" s="828"/>
      <c r="L593" s="829"/>
      <c r="M593" s="825"/>
      <c r="N593" s="825"/>
      <c r="O593" s="830"/>
    </row>
    <row r="594" ht="24.75" customHeight="1">
      <c r="A594" s="811"/>
      <c r="B594" s="812"/>
      <c r="C594" s="813"/>
      <c r="D594" s="814"/>
      <c r="E594" s="815"/>
      <c r="F594" s="815"/>
      <c r="G594" s="816"/>
      <c r="H594" s="817"/>
      <c r="I594" s="818"/>
      <c r="J594" s="816"/>
      <c r="K594" s="819"/>
      <c r="L594" s="820"/>
      <c r="M594" s="816"/>
      <c r="N594" s="816"/>
      <c r="O594" s="821"/>
    </row>
    <row r="595" ht="24.75" customHeight="1">
      <c r="A595" s="822"/>
      <c r="B595" s="812"/>
      <c r="C595" s="823"/>
      <c r="D595" s="814"/>
      <c r="E595" s="824"/>
      <c r="F595" s="824"/>
      <c r="G595" s="825"/>
      <c r="H595" s="826"/>
      <c r="I595" s="827"/>
      <c r="J595" s="825"/>
      <c r="K595" s="828"/>
      <c r="L595" s="829"/>
      <c r="M595" s="825"/>
      <c r="N595" s="825"/>
      <c r="O595" s="830"/>
    </row>
    <row r="596" ht="24.75" customHeight="1">
      <c r="A596" s="811"/>
      <c r="B596" s="812"/>
      <c r="C596" s="813"/>
      <c r="D596" s="814"/>
      <c r="E596" s="815"/>
      <c r="F596" s="815"/>
      <c r="G596" s="816"/>
      <c r="H596" s="817"/>
      <c r="I596" s="818"/>
      <c r="J596" s="816"/>
      <c r="K596" s="819"/>
      <c r="L596" s="820"/>
      <c r="M596" s="816"/>
      <c r="N596" s="816"/>
      <c r="O596" s="821"/>
    </row>
    <row r="597" ht="24.75" customHeight="1">
      <c r="A597" s="822"/>
      <c r="B597" s="812"/>
      <c r="C597" s="823"/>
      <c r="D597" s="814"/>
      <c r="E597" s="824"/>
      <c r="F597" s="824"/>
      <c r="G597" s="825"/>
      <c r="H597" s="826"/>
      <c r="I597" s="827"/>
      <c r="J597" s="825"/>
      <c r="K597" s="828"/>
      <c r="L597" s="829"/>
      <c r="M597" s="825"/>
      <c r="N597" s="825"/>
      <c r="O597" s="830"/>
    </row>
    <row r="598" ht="24.75" customHeight="1">
      <c r="A598" s="811"/>
      <c r="B598" s="812"/>
      <c r="C598" s="813"/>
      <c r="D598" s="814"/>
      <c r="E598" s="815"/>
      <c r="F598" s="815"/>
      <c r="G598" s="816"/>
      <c r="H598" s="817"/>
      <c r="I598" s="818"/>
      <c r="J598" s="816"/>
      <c r="K598" s="819"/>
      <c r="L598" s="820"/>
      <c r="M598" s="816"/>
      <c r="N598" s="816"/>
      <c r="O598" s="821"/>
    </row>
    <row r="599" ht="24.75" customHeight="1">
      <c r="A599" s="822"/>
      <c r="B599" s="812"/>
      <c r="C599" s="823"/>
      <c r="D599" s="814"/>
      <c r="E599" s="824"/>
      <c r="F599" s="824"/>
      <c r="G599" s="825"/>
      <c r="H599" s="826"/>
      <c r="I599" s="827"/>
      <c r="J599" s="825"/>
      <c r="K599" s="828"/>
      <c r="L599" s="829"/>
      <c r="M599" s="825"/>
      <c r="N599" s="825"/>
      <c r="O599" s="830"/>
    </row>
    <row r="600" ht="24.75" customHeight="1">
      <c r="A600" s="811"/>
      <c r="B600" s="812"/>
      <c r="C600" s="813"/>
      <c r="D600" s="814"/>
      <c r="E600" s="815"/>
      <c r="F600" s="815"/>
      <c r="G600" s="816"/>
      <c r="H600" s="817"/>
      <c r="I600" s="818"/>
      <c r="J600" s="816"/>
      <c r="K600" s="819"/>
      <c r="L600" s="820"/>
      <c r="M600" s="816"/>
      <c r="N600" s="816"/>
      <c r="O600" s="821"/>
    </row>
    <row r="601" ht="24.75" customHeight="1">
      <c r="A601" s="822"/>
      <c r="B601" s="812"/>
      <c r="C601" s="823"/>
      <c r="D601" s="814"/>
      <c r="E601" s="824"/>
      <c r="F601" s="824"/>
      <c r="G601" s="825"/>
      <c r="H601" s="826"/>
      <c r="I601" s="827"/>
      <c r="J601" s="825"/>
      <c r="K601" s="828"/>
      <c r="L601" s="829"/>
      <c r="M601" s="825"/>
      <c r="N601" s="825"/>
      <c r="O601" s="830"/>
    </row>
    <row r="602" ht="24.75" customHeight="1">
      <c r="A602" s="811"/>
      <c r="B602" s="812"/>
      <c r="C602" s="813"/>
      <c r="D602" s="814"/>
      <c r="E602" s="815"/>
      <c r="F602" s="815"/>
      <c r="G602" s="816"/>
      <c r="H602" s="817"/>
      <c r="I602" s="818"/>
      <c r="J602" s="816"/>
      <c r="K602" s="819"/>
      <c r="L602" s="820"/>
      <c r="M602" s="816"/>
      <c r="N602" s="816"/>
      <c r="O602" s="821"/>
    </row>
    <row r="603" ht="24.75" customHeight="1">
      <c r="A603" s="822"/>
      <c r="B603" s="812"/>
      <c r="C603" s="823"/>
      <c r="D603" s="814"/>
      <c r="E603" s="824"/>
      <c r="F603" s="824"/>
      <c r="G603" s="825"/>
      <c r="H603" s="826"/>
      <c r="I603" s="827"/>
      <c r="J603" s="825"/>
      <c r="K603" s="828"/>
      <c r="L603" s="829"/>
      <c r="M603" s="825"/>
      <c r="N603" s="825"/>
      <c r="O603" s="830"/>
    </row>
    <row r="604" ht="24.75" customHeight="1">
      <c r="A604" s="811"/>
      <c r="B604" s="812"/>
      <c r="C604" s="813"/>
      <c r="D604" s="814"/>
      <c r="E604" s="815"/>
      <c r="F604" s="815"/>
      <c r="G604" s="816"/>
      <c r="H604" s="817"/>
      <c r="I604" s="818"/>
      <c r="J604" s="816"/>
      <c r="K604" s="819"/>
      <c r="L604" s="820"/>
      <c r="M604" s="816"/>
      <c r="N604" s="816"/>
      <c r="O604" s="821"/>
    </row>
    <row r="605" ht="24.75" customHeight="1">
      <c r="A605" s="822"/>
      <c r="B605" s="812"/>
      <c r="C605" s="823"/>
      <c r="D605" s="814"/>
      <c r="E605" s="824"/>
      <c r="F605" s="824"/>
      <c r="G605" s="825"/>
      <c r="H605" s="826"/>
      <c r="I605" s="827"/>
      <c r="J605" s="825"/>
      <c r="K605" s="828"/>
      <c r="L605" s="829"/>
      <c r="M605" s="825"/>
      <c r="N605" s="825"/>
      <c r="O605" s="830"/>
    </row>
    <row r="606" ht="24.75" customHeight="1">
      <c r="A606" s="811"/>
      <c r="B606" s="812"/>
      <c r="C606" s="813"/>
      <c r="D606" s="814"/>
      <c r="E606" s="815"/>
      <c r="F606" s="815"/>
      <c r="G606" s="816"/>
      <c r="H606" s="817"/>
      <c r="I606" s="818"/>
      <c r="J606" s="816"/>
      <c r="K606" s="819"/>
      <c r="L606" s="820"/>
      <c r="M606" s="816"/>
      <c r="N606" s="816"/>
      <c r="O606" s="821"/>
    </row>
    <row r="607" ht="24.75" customHeight="1">
      <c r="A607" s="822"/>
      <c r="B607" s="812"/>
      <c r="C607" s="823"/>
      <c r="D607" s="814"/>
      <c r="E607" s="824"/>
      <c r="F607" s="824"/>
      <c r="G607" s="825"/>
      <c r="H607" s="826"/>
      <c r="I607" s="827"/>
      <c r="J607" s="825"/>
      <c r="K607" s="828"/>
      <c r="L607" s="829"/>
      <c r="M607" s="825"/>
      <c r="N607" s="825"/>
      <c r="O607" s="830"/>
    </row>
    <row r="608" ht="24.75" customHeight="1">
      <c r="A608" s="811"/>
      <c r="B608" s="812"/>
      <c r="C608" s="813"/>
      <c r="D608" s="814"/>
      <c r="E608" s="815"/>
      <c r="F608" s="815"/>
      <c r="G608" s="816"/>
      <c r="H608" s="817"/>
      <c r="I608" s="818"/>
      <c r="J608" s="816"/>
      <c r="K608" s="819"/>
      <c r="L608" s="820"/>
      <c r="M608" s="816"/>
      <c r="N608" s="816"/>
      <c r="O608" s="821"/>
    </row>
    <row r="609" ht="24.75" customHeight="1">
      <c r="A609" s="822"/>
      <c r="B609" s="812"/>
      <c r="C609" s="823"/>
      <c r="D609" s="814"/>
      <c r="E609" s="824"/>
      <c r="F609" s="824"/>
      <c r="G609" s="825"/>
      <c r="H609" s="826"/>
      <c r="I609" s="827"/>
      <c r="J609" s="825"/>
      <c r="K609" s="828"/>
      <c r="L609" s="829"/>
      <c r="M609" s="825"/>
      <c r="N609" s="825"/>
      <c r="O609" s="830"/>
    </row>
    <row r="610" ht="24.75" customHeight="1">
      <c r="A610" s="811"/>
      <c r="B610" s="812"/>
      <c r="C610" s="813"/>
      <c r="D610" s="814"/>
      <c r="E610" s="815"/>
      <c r="F610" s="815"/>
      <c r="G610" s="816"/>
      <c r="H610" s="817"/>
      <c r="I610" s="818"/>
      <c r="J610" s="816"/>
      <c r="K610" s="819"/>
      <c r="L610" s="820"/>
      <c r="M610" s="816"/>
      <c r="N610" s="816"/>
      <c r="O610" s="821"/>
    </row>
    <row r="611" ht="24.75" customHeight="1">
      <c r="A611" s="822"/>
      <c r="B611" s="812"/>
      <c r="C611" s="823"/>
      <c r="D611" s="814"/>
      <c r="E611" s="824"/>
      <c r="F611" s="824"/>
      <c r="G611" s="825"/>
      <c r="H611" s="826"/>
      <c r="I611" s="827"/>
      <c r="J611" s="825"/>
      <c r="K611" s="828"/>
      <c r="L611" s="829"/>
      <c r="M611" s="825"/>
      <c r="N611" s="825"/>
      <c r="O611" s="830"/>
    </row>
    <row r="612" ht="24.75" customHeight="1">
      <c r="A612" s="811"/>
      <c r="B612" s="812"/>
      <c r="C612" s="813"/>
      <c r="D612" s="814"/>
      <c r="E612" s="815"/>
      <c r="F612" s="815"/>
      <c r="G612" s="816"/>
      <c r="H612" s="817"/>
      <c r="I612" s="818"/>
      <c r="J612" s="816"/>
      <c r="K612" s="819"/>
      <c r="L612" s="820"/>
      <c r="M612" s="816"/>
      <c r="N612" s="816"/>
      <c r="O612" s="821"/>
    </row>
    <row r="613" ht="24.75" customHeight="1">
      <c r="A613" s="822"/>
      <c r="B613" s="812"/>
      <c r="C613" s="823"/>
      <c r="D613" s="814"/>
      <c r="E613" s="824"/>
      <c r="F613" s="824"/>
      <c r="G613" s="825"/>
      <c r="H613" s="826"/>
      <c r="I613" s="827"/>
      <c r="J613" s="825"/>
      <c r="K613" s="828"/>
      <c r="L613" s="829"/>
      <c r="M613" s="825"/>
      <c r="N613" s="825"/>
      <c r="O613" s="830"/>
    </row>
    <row r="614" ht="24.75" customHeight="1">
      <c r="A614" s="811"/>
      <c r="B614" s="812"/>
      <c r="C614" s="813"/>
      <c r="D614" s="814"/>
      <c r="E614" s="815"/>
      <c r="F614" s="815"/>
      <c r="G614" s="816"/>
      <c r="H614" s="817"/>
      <c r="I614" s="818"/>
      <c r="J614" s="816"/>
      <c r="K614" s="819"/>
      <c r="L614" s="820"/>
      <c r="M614" s="816"/>
      <c r="N614" s="816"/>
      <c r="O614" s="821"/>
    </row>
    <row r="615" ht="24.75" customHeight="1">
      <c r="A615" s="822"/>
      <c r="B615" s="812"/>
      <c r="C615" s="823"/>
      <c r="D615" s="814"/>
      <c r="E615" s="824"/>
      <c r="F615" s="824"/>
      <c r="G615" s="825"/>
      <c r="H615" s="826"/>
      <c r="I615" s="827"/>
      <c r="J615" s="825"/>
      <c r="K615" s="828"/>
      <c r="L615" s="829"/>
      <c r="M615" s="825"/>
      <c r="N615" s="825"/>
      <c r="O615" s="830"/>
    </row>
    <row r="616" ht="24.75" customHeight="1">
      <c r="A616" s="811"/>
      <c r="B616" s="812"/>
      <c r="C616" s="813"/>
      <c r="D616" s="814"/>
      <c r="E616" s="815"/>
      <c r="F616" s="815"/>
      <c r="G616" s="816"/>
      <c r="H616" s="817"/>
      <c r="I616" s="818"/>
      <c r="J616" s="816"/>
      <c r="K616" s="819"/>
      <c r="L616" s="820"/>
      <c r="M616" s="816"/>
      <c r="N616" s="816"/>
      <c r="O616" s="821"/>
    </row>
    <row r="617" ht="24.75" customHeight="1">
      <c r="A617" s="822"/>
      <c r="B617" s="812"/>
      <c r="C617" s="823"/>
      <c r="D617" s="814"/>
      <c r="E617" s="824"/>
      <c r="F617" s="824"/>
      <c r="G617" s="825"/>
      <c r="H617" s="826"/>
      <c r="I617" s="827"/>
      <c r="J617" s="825"/>
      <c r="K617" s="828"/>
      <c r="L617" s="829"/>
      <c r="M617" s="825"/>
      <c r="N617" s="825"/>
      <c r="O617" s="830"/>
    </row>
    <row r="618" ht="24.75" customHeight="1">
      <c r="A618" s="811"/>
      <c r="B618" s="812"/>
      <c r="C618" s="813"/>
      <c r="D618" s="814"/>
      <c r="E618" s="815"/>
      <c r="F618" s="815"/>
      <c r="G618" s="816"/>
      <c r="H618" s="817"/>
      <c r="I618" s="818"/>
      <c r="J618" s="816"/>
      <c r="K618" s="819"/>
      <c r="L618" s="820"/>
      <c r="M618" s="816"/>
      <c r="N618" s="816"/>
      <c r="O618" s="821"/>
    </row>
    <row r="619" ht="24.75" customHeight="1">
      <c r="A619" s="822"/>
      <c r="B619" s="812"/>
      <c r="C619" s="823"/>
      <c r="D619" s="814"/>
      <c r="E619" s="824"/>
      <c r="F619" s="824"/>
      <c r="G619" s="825"/>
      <c r="H619" s="826"/>
      <c r="I619" s="827"/>
      <c r="J619" s="825"/>
      <c r="K619" s="828"/>
      <c r="L619" s="829"/>
      <c r="M619" s="825"/>
      <c r="N619" s="825"/>
      <c r="O619" s="830"/>
    </row>
    <row r="620" ht="24.75" customHeight="1">
      <c r="A620" s="811"/>
      <c r="B620" s="812"/>
      <c r="C620" s="813"/>
      <c r="D620" s="814"/>
      <c r="E620" s="815"/>
      <c r="F620" s="815"/>
      <c r="G620" s="816"/>
      <c r="H620" s="817"/>
      <c r="I620" s="818"/>
      <c r="J620" s="816"/>
      <c r="K620" s="819"/>
      <c r="L620" s="820"/>
      <c r="M620" s="816"/>
      <c r="N620" s="816"/>
      <c r="O620" s="821"/>
    </row>
    <row r="621" ht="24.75" customHeight="1">
      <c r="A621" s="822"/>
      <c r="B621" s="812"/>
      <c r="C621" s="823"/>
      <c r="D621" s="814"/>
      <c r="E621" s="824"/>
      <c r="F621" s="824"/>
      <c r="G621" s="825"/>
      <c r="H621" s="826"/>
      <c r="I621" s="827"/>
      <c r="J621" s="825"/>
      <c r="K621" s="828"/>
      <c r="L621" s="829"/>
      <c r="M621" s="825"/>
      <c r="N621" s="825"/>
      <c r="O621" s="830"/>
    </row>
    <row r="622" ht="24.75" customHeight="1">
      <c r="A622" s="811"/>
      <c r="B622" s="812"/>
      <c r="C622" s="813"/>
      <c r="D622" s="814"/>
      <c r="E622" s="815"/>
      <c r="F622" s="815"/>
      <c r="G622" s="816"/>
      <c r="H622" s="817"/>
      <c r="I622" s="818"/>
      <c r="J622" s="816"/>
      <c r="K622" s="819"/>
      <c r="L622" s="820"/>
      <c r="M622" s="816"/>
      <c r="N622" s="816"/>
      <c r="O622" s="821"/>
    </row>
    <row r="623" ht="24.75" customHeight="1">
      <c r="A623" s="822"/>
      <c r="B623" s="812"/>
      <c r="C623" s="823"/>
      <c r="D623" s="814"/>
      <c r="E623" s="824"/>
      <c r="F623" s="824"/>
      <c r="G623" s="825"/>
      <c r="H623" s="826"/>
      <c r="I623" s="827"/>
      <c r="J623" s="825"/>
      <c r="K623" s="828"/>
      <c r="L623" s="829"/>
      <c r="M623" s="825"/>
      <c r="N623" s="825"/>
      <c r="O623" s="830"/>
    </row>
    <row r="624" ht="24.75" customHeight="1">
      <c r="A624" s="811"/>
      <c r="B624" s="812"/>
      <c r="C624" s="813"/>
      <c r="D624" s="814"/>
      <c r="E624" s="815"/>
      <c r="F624" s="815"/>
      <c r="G624" s="816"/>
      <c r="H624" s="817"/>
      <c r="I624" s="818"/>
      <c r="J624" s="816"/>
      <c r="K624" s="819"/>
      <c r="L624" s="820"/>
      <c r="M624" s="816"/>
      <c r="N624" s="816"/>
      <c r="O624" s="821"/>
    </row>
    <row r="625" ht="24.75" customHeight="1">
      <c r="A625" s="822"/>
      <c r="B625" s="812"/>
      <c r="C625" s="823"/>
      <c r="D625" s="814"/>
      <c r="E625" s="824"/>
      <c r="F625" s="824"/>
      <c r="G625" s="825"/>
      <c r="H625" s="826"/>
      <c r="I625" s="827"/>
      <c r="J625" s="825"/>
      <c r="K625" s="828"/>
      <c r="L625" s="829"/>
      <c r="M625" s="825"/>
      <c r="N625" s="825"/>
      <c r="O625" s="830"/>
    </row>
    <row r="626" ht="24.75" customHeight="1">
      <c r="A626" s="811"/>
      <c r="B626" s="812"/>
      <c r="C626" s="813"/>
      <c r="D626" s="814"/>
      <c r="E626" s="815"/>
      <c r="F626" s="815"/>
      <c r="G626" s="816"/>
      <c r="H626" s="817"/>
      <c r="I626" s="818"/>
      <c r="J626" s="816"/>
      <c r="K626" s="819"/>
      <c r="L626" s="820"/>
      <c r="M626" s="816"/>
      <c r="N626" s="816"/>
      <c r="O626" s="821"/>
    </row>
    <row r="627" ht="24.75" customHeight="1">
      <c r="A627" s="822"/>
      <c r="B627" s="812"/>
      <c r="C627" s="823"/>
      <c r="D627" s="814"/>
      <c r="E627" s="824"/>
      <c r="F627" s="824"/>
      <c r="G627" s="825"/>
      <c r="H627" s="826"/>
      <c r="I627" s="827"/>
      <c r="J627" s="825"/>
      <c r="K627" s="828"/>
      <c r="L627" s="829"/>
      <c r="M627" s="825"/>
      <c r="N627" s="825"/>
      <c r="O627" s="830"/>
    </row>
    <row r="628" ht="24.75" customHeight="1">
      <c r="A628" s="811"/>
      <c r="B628" s="812"/>
      <c r="C628" s="813"/>
      <c r="D628" s="814"/>
      <c r="E628" s="815"/>
      <c r="F628" s="815"/>
      <c r="G628" s="816"/>
      <c r="H628" s="817"/>
      <c r="I628" s="818"/>
      <c r="J628" s="816"/>
      <c r="K628" s="819"/>
      <c r="L628" s="820"/>
      <c r="M628" s="816"/>
      <c r="N628" s="816"/>
      <c r="O628" s="821"/>
    </row>
    <row r="629" ht="24.75" customHeight="1">
      <c r="A629" s="822"/>
      <c r="B629" s="812"/>
      <c r="C629" s="823"/>
      <c r="D629" s="814"/>
      <c r="E629" s="824"/>
      <c r="F629" s="824"/>
      <c r="G629" s="825"/>
      <c r="H629" s="826"/>
      <c r="I629" s="827"/>
      <c r="J629" s="825"/>
      <c r="K629" s="828"/>
      <c r="L629" s="829"/>
      <c r="M629" s="825"/>
      <c r="N629" s="825"/>
      <c r="O629" s="830"/>
    </row>
    <row r="630" ht="24.75" customHeight="1">
      <c r="A630" s="811"/>
      <c r="B630" s="812"/>
      <c r="C630" s="813"/>
      <c r="D630" s="814"/>
      <c r="E630" s="815"/>
      <c r="F630" s="815"/>
      <c r="G630" s="816"/>
      <c r="H630" s="817"/>
      <c r="I630" s="818"/>
      <c r="J630" s="816"/>
      <c r="K630" s="819"/>
      <c r="L630" s="820"/>
      <c r="M630" s="816"/>
      <c r="N630" s="816"/>
      <c r="O630" s="821"/>
    </row>
    <row r="631" ht="24.75" customHeight="1">
      <c r="A631" s="822"/>
      <c r="B631" s="812"/>
      <c r="C631" s="823"/>
      <c r="D631" s="814"/>
      <c r="E631" s="824"/>
      <c r="F631" s="824"/>
      <c r="G631" s="825"/>
      <c r="H631" s="826"/>
      <c r="I631" s="827"/>
      <c r="J631" s="825"/>
      <c r="K631" s="828"/>
      <c r="L631" s="829"/>
      <c r="M631" s="825"/>
      <c r="N631" s="825"/>
      <c r="O631" s="830"/>
    </row>
    <row r="632" ht="24.75" customHeight="1">
      <c r="A632" s="811"/>
      <c r="B632" s="812"/>
      <c r="C632" s="813"/>
      <c r="D632" s="814"/>
      <c r="E632" s="815"/>
      <c r="F632" s="815"/>
      <c r="G632" s="816"/>
      <c r="H632" s="817"/>
      <c r="I632" s="818"/>
      <c r="J632" s="816"/>
      <c r="K632" s="819"/>
      <c r="L632" s="820"/>
      <c r="M632" s="816"/>
      <c r="N632" s="816"/>
      <c r="O632" s="821"/>
    </row>
    <row r="633" ht="24.75" customHeight="1">
      <c r="A633" s="822"/>
      <c r="B633" s="812"/>
      <c r="C633" s="823"/>
      <c r="D633" s="814"/>
      <c r="E633" s="824"/>
      <c r="F633" s="824"/>
      <c r="G633" s="825"/>
      <c r="H633" s="826"/>
      <c r="I633" s="827"/>
      <c r="J633" s="825"/>
      <c r="K633" s="828"/>
      <c r="L633" s="829"/>
      <c r="M633" s="825"/>
      <c r="N633" s="825"/>
      <c r="O633" s="830"/>
    </row>
    <row r="634" ht="24.75" customHeight="1">
      <c r="A634" s="811"/>
      <c r="B634" s="812"/>
      <c r="C634" s="813"/>
      <c r="D634" s="814"/>
      <c r="E634" s="815"/>
      <c r="F634" s="815"/>
      <c r="G634" s="816"/>
      <c r="H634" s="817"/>
      <c r="I634" s="818"/>
      <c r="J634" s="816"/>
      <c r="K634" s="819"/>
      <c r="L634" s="820"/>
      <c r="M634" s="816"/>
      <c r="N634" s="816"/>
      <c r="O634" s="821"/>
    </row>
    <row r="635" ht="24.75" customHeight="1">
      <c r="A635" s="822"/>
      <c r="B635" s="812"/>
      <c r="C635" s="823"/>
      <c r="D635" s="814"/>
      <c r="E635" s="824"/>
      <c r="F635" s="824"/>
      <c r="G635" s="825"/>
      <c r="H635" s="826"/>
      <c r="I635" s="827"/>
      <c r="J635" s="825"/>
      <c r="K635" s="828"/>
      <c r="L635" s="829"/>
      <c r="M635" s="825"/>
      <c r="N635" s="825"/>
      <c r="O635" s="830"/>
    </row>
    <row r="636" ht="24.75" customHeight="1">
      <c r="A636" s="811"/>
      <c r="B636" s="812"/>
      <c r="C636" s="813"/>
      <c r="D636" s="814"/>
      <c r="E636" s="815"/>
      <c r="F636" s="815"/>
      <c r="G636" s="816"/>
      <c r="H636" s="817"/>
      <c r="I636" s="818"/>
      <c r="J636" s="816"/>
      <c r="K636" s="819"/>
      <c r="L636" s="820"/>
      <c r="M636" s="816"/>
      <c r="N636" s="816"/>
      <c r="O636" s="821"/>
    </row>
    <row r="637" ht="24.75" customHeight="1">
      <c r="A637" s="822"/>
      <c r="B637" s="812"/>
      <c r="C637" s="823"/>
      <c r="D637" s="814"/>
      <c r="E637" s="824"/>
      <c r="F637" s="824"/>
      <c r="G637" s="825"/>
      <c r="H637" s="826"/>
      <c r="I637" s="827"/>
      <c r="J637" s="825"/>
      <c r="K637" s="828"/>
      <c r="L637" s="829"/>
      <c r="M637" s="825"/>
      <c r="N637" s="825"/>
      <c r="O637" s="830"/>
    </row>
    <row r="638" ht="24.75" customHeight="1">
      <c r="A638" s="811"/>
      <c r="B638" s="812"/>
      <c r="C638" s="813"/>
      <c r="D638" s="814"/>
      <c r="E638" s="815"/>
      <c r="F638" s="815"/>
      <c r="G638" s="816"/>
      <c r="H638" s="817"/>
      <c r="I638" s="818"/>
      <c r="J638" s="816"/>
      <c r="K638" s="819"/>
      <c r="L638" s="820"/>
      <c r="M638" s="816"/>
      <c r="N638" s="816"/>
      <c r="O638" s="821"/>
    </row>
    <row r="639" ht="24.75" customHeight="1">
      <c r="A639" s="822"/>
      <c r="B639" s="812"/>
      <c r="C639" s="823"/>
      <c r="D639" s="814"/>
      <c r="E639" s="824"/>
      <c r="F639" s="824"/>
      <c r="G639" s="825"/>
      <c r="H639" s="826"/>
      <c r="I639" s="827"/>
      <c r="J639" s="825"/>
      <c r="K639" s="828"/>
      <c r="L639" s="829"/>
      <c r="M639" s="825"/>
      <c r="N639" s="825"/>
      <c r="O639" s="830"/>
    </row>
    <row r="640" ht="24.75" customHeight="1">
      <c r="A640" s="811"/>
      <c r="B640" s="812"/>
      <c r="C640" s="813"/>
      <c r="D640" s="814"/>
      <c r="E640" s="815"/>
      <c r="F640" s="815"/>
      <c r="G640" s="816"/>
      <c r="H640" s="817"/>
      <c r="I640" s="818"/>
      <c r="J640" s="816"/>
      <c r="K640" s="819"/>
      <c r="L640" s="820"/>
      <c r="M640" s="816"/>
      <c r="N640" s="816"/>
      <c r="O640" s="821"/>
    </row>
    <row r="641" ht="24.75" customHeight="1">
      <c r="A641" s="822"/>
      <c r="B641" s="812"/>
      <c r="C641" s="823"/>
      <c r="D641" s="814"/>
      <c r="E641" s="824"/>
      <c r="F641" s="824"/>
      <c r="G641" s="825"/>
      <c r="H641" s="826"/>
      <c r="I641" s="827"/>
      <c r="J641" s="825"/>
      <c r="K641" s="828"/>
      <c r="L641" s="829"/>
      <c r="M641" s="825"/>
      <c r="N641" s="825"/>
      <c r="O641" s="830"/>
    </row>
    <row r="642" ht="24.75" customHeight="1">
      <c r="A642" s="811"/>
      <c r="B642" s="812"/>
      <c r="C642" s="813"/>
      <c r="D642" s="814"/>
      <c r="E642" s="815"/>
      <c r="F642" s="815"/>
      <c r="G642" s="816"/>
      <c r="H642" s="817"/>
      <c r="I642" s="818"/>
      <c r="J642" s="816"/>
      <c r="K642" s="819"/>
      <c r="L642" s="820"/>
      <c r="M642" s="816"/>
      <c r="N642" s="816"/>
      <c r="O642" s="821"/>
    </row>
    <row r="643" ht="24.75" customHeight="1">
      <c r="A643" s="822"/>
      <c r="B643" s="812"/>
      <c r="C643" s="823"/>
      <c r="D643" s="814"/>
      <c r="E643" s="824"/>
      <c r="F643" s="824"/>
      <c r="G643" s="825"/>
      <c r="H643" s="826"/>
      <c r="I643" s="827"/>
      <c r="J643" s="825"/>
      <c r="K643" s="828"/>
      <c r="L643" s="829"/>
      <c r="M643" s="825"/>
      <c r="N643" s="825"/>
      <c r="O643" s="830"/>
    </row>
    <row r="644" ht="24.75" customHeight="1">
      <c r="A644" s="811"/>
      <c r="B644" s="812"/>
      <c r="C644" s="813"/>
      <c r="D644" s="814"/>
      <c r="E644" s="815"/>
      <c r="F644" s="815"/>
      <c r="G644" s="816"/>
      <c r="H644" s="817"/>
      <c r="I644" s="818"/>
      <c r="J644" s="816"/>
      <c r="K644" s="819"/>
      <c r="L644" s="820"/>
      <c r="M644" s="816"/>
      <c r="N644" s="816"/>
      <c r="O644" s="821"/>
    </row>
    <row r="645" ht="24.75" customHeight="1">
      <c r="A645" s="822"/>
      <c r="B645" s="812"/>
      <c r="C645" s="823"/>
      <c r="D645" s="814"/>
      <c r="E645" s="824"/>
      <c r="F645" s="824"/>
      <c r="G645" s="825"/>
      <c r="H645" s="826"/>
      <c r="I645" s="827"/>
      <c r="J645" s="825"/>
      <c r="K645" s="828"/>
      <c r="L645" s="829"/>
      <c r="M645" s="825"/>
      <c r="N645" s="825"/>
      <c r="O645" s="830"/>
    </row>
    <row r="646" ht="24.75" customHeight="1">
      <c r="A646" s="811"/>
      <c r="B646" s="812"/>
      <c r="C646" s="813"/>
      <c r="D646" s="814"/>
      <c r="E646" s="815"/>
      <c r="F646" s="815"/>
      <c r="G646" s="816"/>
      <c r="H646" s="817"/>
      <c r="I646" s="818"/>
      <c r="J646" s="816"/>
      <c r="K646" s="819"/>
      <c r="L646" s="820"/>
      <c r="M646" s="816"/>
      <c r="N646" s="816"/>
      <c r="O646" s="821"/>
    </row>
    <row r="647" ht="24.75" customHeight="1">
      <c r="A647" s="822"/>
      <c r="B647" s="812"/>
      <c r="C647" s="823"/>
      <c r="D647" s="814"/>
      <c r="E647" s="824"/>
      <c r="F647" s="824"/>
      <c r="G647" s="825"/>
      <c r="H647" s="826"/>
      <c r="I647" s="827"/>
      <c r="J647" s="825"/>
      <c r="K647" s="828"/>
      <c r="L647" s="829"/>
      <c r="M647" s="825"/>
      <c r="N647" s="825"/>
      <c r="O647" s="830"/>
    </row>
    <row r="648" ht="24.75" customHeight="1">
      <c r="A648" s="811"/>
      <c r="B648" s="812"/>
      <c r="C648" s="813"/>
      <c r="D648" s="814"/>
      <c r="E648" s="815"/>
      <c r="F648" s="815"/>
      <c r="G648" s="816"/>
      <c r="H648" s="817"/>
      <c r="I648" s="818"/>
      <c r="J648" s="816"/>
      <c r="K648" s="819"/>
      <c r="L648" s="820"/>
      <c r="M648" s="816"/>
      <c r="N648" s="816"/>
      <c r="O648" s="821"/>
    </row>
    <row r="649" ht="24.75" customHeight="1">
      <c r="A649" s="822"/>
      <c r="B649" s="812"/>
      <c r="C649" s="823"/>
      <c r="D649" s="814"/>
      <c r="E649" s="824"/>
      <c r="F649" s="824"/>
      <c r="G649" s="825"/>
      <c r="H649" s="826"/>
      <c r="I649" s="827"/>
      <c r="J649" s="825"/>
      <c r="K649" s="828"/>
      <c r="L649" s="829"/>
      <c r="M649" s="825"/>
      <c r="N649" s="825"/>
      <c r="O649" s="830"/>
    </row>
    <row r="650" ht="24.75" customHeight="1">
      <c r="A650" s="811"/>
      <c r="B650" s="812"/>
      <c r="C650" s="813"/>
      <c r="D650" s="814"/>
      <c r="E650" s="815"/>
      <c r="F650" s="815"/>
      <c r="G650" s="816"/>
      <c r="H650" s="817"/>
      <c r="I650" s="818"/>
      <c r="J650" s="816"/>
      <c r="K650" s="819"/>
      <c r="L650" s="820"/>
      <c r="M650" s="816"/>
      <c r="N650" s="816"/>
      <c r="O650" s="821"/>
    </row>
    <row r="651" ht="24.75" customHeight="1">
      <c r="A651" s="822"/>
      <c r="B651" s="812"/>
      <c r="C651" s="823"/>
      <c r="D651" s="814"/>
      <c r="E651" s="824"/>
      <c r="F651" s="824"/>
      <c r="G651" s="825"/>
      <c r="H651" s="826"/>
      <c r="I651" s="827"/>
      <c r="J651" s="825"/>
      <c r="K651" s="828"/>
      <c r="L651" s="829"/>
      <c r="M651" s="825"/>
      <c r="N651" s="825"/>
      <c r="O651" s="830"/>
    </row>
    <row r="652" ht="24.75" customHeight="1">
      <c r="A652" s="811"/>
      <c r="B652" s="812"/>
      <c r="C652" s="813"/>
      <c r="D652" s="814"/>
      <c r="E652" s="815"/>
      <c r="F652" s="815"/>
      <c r="G652" s="816"/>
      <c r="H652" s="817"/>
      <c r="I652" s="818"/>
      <c r="J652" s="816"/>
      <c r="K652" s="819"/>
      <c r="L652" s="820"/>
      <c r="M652" s="816"/>
      <c r="N652" s="816"/>
      <c r="O652" s="821"/>
    </row>
    <row r="653" ht="24.75" customHeight="1">
      <c r="A653" s="822"/>
      <c r="B653" s="812"/>
      <c r="C653" s="823"/>
      <c r="D653" s="814"/>
      <c r="E653" s="824"/>
      <c r="F653" s="824"/>
      <c r="G653" s="825"/>
      <c r="H653" s="826"/>
      <c r="I653" s="827"/>
      <c r="J653" s="825"/>
      <c r="K653" s="828"/>
      <c r="L653" s="829"/>
      <c r="M653" s="825"/>
      <c r="N653" s="825"/>
      <c r="O653" s="830"/>
    </row>
    <row r="654" ht="24.75" customHeight="1">
      <c r="A654" s="811"/>
      <c r="B654" s="812"/>
      <c r="C654" s="813"/>
      <c r="D654" s="814"/>
      <c r="E654" s="815"/>
      <c r="F654" s="815"/>
      <c r="G654" s="816"/>
      <c r="H654" s="817"/>
      <c r="I654" s="818"/>
      <c r="J654" s="816"/>
      <c r="K654" s="819"/>
      <c r="L654" s="820"/>
      <c r="M654" s="816"/>
      <c r="N654" s="816"/>
      <c r="O654" s="821"/>
    </row>
    <row r="655" ht="24.75" customHeight="1">
      <c r="A655" s="822"/>
      <c r="B655" s="812"/>
      <c r="C655" s="823"/>
      <c r="D655" s="814"/>
      <c r="E655" s="824"/>
      <c r="F655" s="824"/>
      <c r="G655" s="825"/>
      <c r="H655" s="826"/>
      <c r="I655" s="827"/>
      <c r="J655" s="825"/>
      <c r="K655" s="828"/>
      <c r="L655" s="829"/>
      <c r="M655" s="825"/>
      <c r="N655" s="825"/>
      <c r="O655" s="830"/>
    </row>
    <row r="656" ht="24.75" customHeight="1">
      <c r="A656" s="811"/>
      <c r="B656" s="812"/>
      <c r="C656" s="813"/>
      <c r="D656" s="814"/>
      <c r="E656" s="815"/>
      <c r="F656" s="815"/>
      <c r="G656" s="816"/>
      <c r="H656" s="817"/>
      <c r="I656" s="818"/>
      <c r="J656" s="816"/>
      <c r="K656" s="819"/>
      <c r="L656" s="820"/>
      <c r="M656" s="816"/>
      <c r="N656" s="816"/>
      <c r="O656" s="821"/>
    </row>
    <row r="657" ht="24.75" customHeight="1">
      <c r="A657" s="822"/>
      <c r="B657" s="812"/>
      <c r="C657" s="823"/>
      <c r="D657" s="814"/>
      <c r="E657" s="824"/>
      <c r="F657" s="824"/>
      <c r="G657" s="825"/>
      <c r="H657" s="826"/>
      <c r="I657" s="827"/>
      <c r="J657" s="825"/>
      <c r="K657" s="828"/>
      <c r="L657" s="829"/>
      <c r="M657" s="825"/>
      <c r="N657" s="825"/>
      <c r="O657" s="830"/>
    </row>
    <row r="658" ht="24.75" customHeight="1">
      <c r="A658" s="811"/>
      <c r="B658" s="812"/>
      <c r="C658" s="813"/>
      <c r="D658" s="814"/>
      <c r="E658" s="815"/>
      <c r="F658" s="815"/>
      <c r="G658" s="816"/>
      <c r="H658" s="817"/>
      <c r="I658" s="818"/>
      <c r="J658" s="816"/>
      <c r="K658" s="819"/>
      <c r="L658" s="820"/>
      <c r="M658" s="816"/>
      <c r="N658" s="816"/>
      <c r="O658" s="821"/>
    </row>
    <row r="659" ht="24.75" customHeight="1">
      <c r="A659" s="822"/>
      <c r="B659" s="812"/>
      <c r="C659" s="823"/>
      <c r="D659" s="814"/>
      <c r="E659" s="824"/>
      <c r="F659" s="824"/>
      <c r="G659" s="825"/>
      <c r="H659" s="826"/>
      <c r="I659" s="827"/>
      <c r="J659" s="825"/>
      <c r="K659" s="828"/>
      <c r="L659" s="829"/>
      <c r="M659" s="825"/>
      <c r="N659" s="825"/>
      <c r="O659" s="830"/>
    </row>
    <row r="660" ht="24.75" customHeight="1">
      <c r="A660" s="811"/>
      <c r="B660" s="812"/>
      <c r="C660" s="813"/>
      <c r="D660" s="814"/>
      <c r="E660" s="815"/>
      <c r="F660" s="815"/>
      <c r="G660" s="816"/>
      <c r="H660" s="817"/>
      <c r="I660" s="818"/>
      <c r="J660" s="816"/>
      <c r="K660" s="819"/>
      <c r="L660" s="820"/>
      <c r="M660" s="816"/>
      <c r="N660" s="816"/>
      <c r="O660" s="821"/>
    </row>
    <row r="661" ht="24.75" customHeight="1">
      <c r="A661" s="822"/>
      <c r="B661" s="812"/>
      <c r="C661" s="823"/>
      <c r="D661" s="814"/>
      <c r="E661" s="824"/>
      <c r="F661" s="824"/>
      <c r="G661" s="825"/>
      <c r="H661" s="826"/>
      <c r="I661" s="827"/>
      <c r="J661" s="825"/>
      <c r="K661" s="828"/>
      <c r="L661" s="829"/>
      <c r="M661" s="825"/>
      <c r="N661" s="825"/>
      <c r="O661" s="830"/>
    </row>
    <row r="662" ht="24.75" customHeight="1">
      <c r="A662" s="811"/>
      <c r="B662" s="812"/>
      <c r="C662" s="813"/>
      <c r="D662" s="814"/>
      <c r="E662" s="815"/>
      <c r="F662" s="815"/>
      <c r="G662" s="816"/>
      <c r="H662" s="817"/>
      <c r="I662" s="818"/>
      <c r="J662" s="816"/>
      <c r="K662" s="819"/>
      <c r="L662" s="820"/>
      <c r="M662" s="816"/>
      <c r="N662" s="816"/>
      <c r="O662" s="821"/>
    </row>
    <row r="663" ht="24.75" customHeight="1">
      <c r="A663" s="822"/>
      <c r="B663" s="812"/>
      <c r="C663" s="823"/>
      <c r="D663" s="814"/>
      <c r="E663" s="824"/>
      <c r="F663" s="824"/>
      <c r="G663" s="825"/>
      <c r="H663" s="826"/>
      <c r="I663" s="827"/>
      <c r="J663" s="825"/>
      <c r="K663" s="828"/>
      <c r="L663" s="829"/>
      <c r="M663" s="825"/>
      <c r="N663" s="825"/>
      <c r="O663" s="830"/>
    </row>
    <row r="664" ht="24.75" customHeight="1">
      <c r="A664" s="811"/>
      <c r="B664" s="812"/>
      <c r="C664" s="813"/>
      <c r="D664" s="814"/>
      <c r="E664" s="815"/>
      <c r="F664" s="815"/>
      <c r="G664" s="816"/>
      <c r="H664" s="817"/>
      <c r="I664" s="818"/>
      <c r="J664" s="816"/>
      <c r="K664" s="819"/>
      <c r="L664" s="820"/>
      <c r="M664" s="816"/>
      <c r="N664" s="816"/>
      <c r="O664" s="821"/>
    </row>
    <row r="665" ht="24.75" customHeight="1">
      <c r="A665" s="822"/>
      <c r="B665" s="812"/>
      <c r="C665" s="823"/>
      <c r="D665" s="814"/>
      <c r="E665" s="824"/>
      <c r="F665" s="824"/>
      <c r="G665" s="825"/>
      <c r="H665" s="826"/>
      <c r="I665" s="827"/>
      <c r="J665" s="825"/>
      <c r="K665" s="828"/>
      <c r="L665" s="829"/>
      <c r="M665" s="825"/>
      <c r="N665" s="825"/>
      <c r="O665" s="830"/>
    </row>
    <row r="666" ht="24.75" customHeight="1">
      <c r="A666" s="811"/>
      <c r="B666" s="812"/>
      <c r="C666" s="813"/>
      <c r="D666" s="814"/>
      <c r="E666" s="815"/>
      <c r="F666" s="815"/>
      <c r="G666" s="816"/>
      <c r="H666" s="817"/>
      <c r="I666" s="818"/>
      <c r="J666" s="816"/>
      <c r="K666" s="819"/>
      <c r="L666" s="820"/>
      <c r="M666" s="816"/>
      <c r="N666" s="816"/>
      <c r="O666" s="821"/>
    </row>
    <row r="667" ht="24.75" customHeight="1">
      <c r="A667" s="822"/>
      <c r="B667" s="812"/>
      <c r="C667" s="823"/>
      <c r="D667" s="814"/>
      <c r="E667" s="824"/>
      <c r="F667" s="824"/>
      <c r="G667" s="825"/>
      <c r="H667" s="826"/>
      <c r="I667" s="827"/>
      <c r="J667" s="825"/>
      <c r="K667" s="828"/>
      <c r="L667" s="829"/>
      <c r="M667" s="825"/>
      <c r="N667" s="825"/>
      <c r="O667" s="830"/>
    </row>
    <row r="668" ht="24.75" customHeight="1">
      <c r="A668" s="811"/>
      <c r="B668" s="812"/>
      <c r="C668" s="813"/>
      <c r="D668" s="814"/>
      <c r="E668" s="815"/>
      <c r="F668" s="815"/>
      <c r="G668" s="816"/>
      <c r="H668" s="817"/>
      <c r="I668" s="818"/>
      <c r="J668" s="816"/>
      <c r="K668" s="819"/>
      <c r="L668" s="820"/>
      <c r="M668" s="816"/>
      <c r="N668" s="816"/>
      <c r="O668" s="821"/>
    </row>
    <row r="669" ht="24.75" customHeight="1">
      <c r="A669" s="822"/>
      <c r="B669" s="812"/>
      <c r="C669" s="823"/>
      <c r="D669" s="814"/>
      <c r="E669" s="824"/>
      <c r="F669" s="824"/>
      <c r="G669" s="825"/>
      <c r="H669" s="826"/>
      <c r="I669" s="827"/>
      <c r="J669" s="825"/>
      <c r="K669" s="828"/>
      <c r="L669" s="829"/>
      <c r="M669" s="825"/>
      <c r="N669" s="825"/>
      <c r="O669" s="830"/>
    </row>
    <row r="670" ht="24.75" customHeight="1">
      <c r="A670" s="811"/>
      <c r="B670" s="812"/>
      <c r="C670" s="813"/>
      <c r="D670" s="814"/>
      <c r="E670" s="815"/>
      <c r="F670" s="815"/>
      <c r="G670" s="816"/>
      <c r="H670" s="817"/>
      <c r="I670" s="818"/>
      <c r="J670" s="816"/>
      <c r="K670" s="819"/>
      <c r="L670" s="820"/>
      <c r="M670" s="816"/>
      <c r="N670" s="816"/>
      <c r="O670" s="821"/>
    </row>
    <row r="671" ht="24.75" customHeight="1">
      <c r="A671" s="822"/>
      <c r="B671" s="812"/>
      <c r="C671" s="823"/>
      <c r="D671" s="814"/>
      <c r="E671" s="824"/>
      <c r="F671" s="824"/>
      <c r="G671" s="825"/>
      <c r="H671" s="826"/>
      <c r="I671" s="827"/>
      <c r="J671" s="825"/>
      <c r="K671" s="828"/>
      <c r="L671" s="829"/>
      <c r="M671" s="825"/>
      <c r="N671" s="825"/>
      <c r="O671" s="830"/>
    </row>
    <row r="672" ht="24.75" customHeight="1">
      <c r="A672" s="811"/>
      <c r="B672" s="812"/>
      <c r="C672" s="813"/>
      <c r="D672" s="814"/>
      <c r="E672" s="815"/>
      <c r="F672" s="815"/>
      <c r="G672" s="816"/>
      <c r="H672" s="817"/>
      <c r="I672" s="818"/>
      <c r="J672" s="816"/>
      <c r="K672" s="819"/>
      <c r="L672" s="820"/>
      <c r="M672" s="816"/>
      <c r="N672" s="816"/>
      <c r="O672" s="821"/>
    </row>
    <row r="673" ht="24.75" customHeight="1">
      <c r="A673" s="822"/>
      <c r="B673" s="812"/>
      <c r="C673" s="823"/>
      <c r="D673" s="814"/>
      <c r="E673" s="824"/>
      <c r="F673" s="824"/>
      <c r="G673" s="825"/>
      <c r="H673" s="826"/>
      <c r="I673" s="827"/>
      <c r="J673" s="825"/>
      <c r="K673" s="828"/>
      <c r="L673" s="829"/>
      <c r="M673" s="825"/>
      <c r="N673" s="825"/>
      <c r="O673" s="830"/>
    </row>
    <row r="674" ht="24.75" customHeight="1">
      <c r="A674" s="811"/>
      <c r="B674" s="812"/>
      <c r="C674" s="813"/>
      <c r="D674" s="814"/>
      <c r="E674" s="815"/>
      <c r="F674" s="815"/>
      <c r="G674" s="816"/>
      <c r="H674" s="817"/>
      <c r="I674" s="818"/>
      <c r="J674" s="816"/>
      <c r="K674" s="819"/>
      <c r="L674" s="820"/>
      <c r="M674" s="816"/>
      <c r="N674" s="816"/>
      <c r="O674" s="821"/>
    </row>
    <row r="675" ht="24.75" customHeight="1">
      <c r="A675" s="822"/>
      <c r="B675" s="812"/>
      <c r="C675" s="823"/>
      <c r="D675" s="814"/>
      <c r="E675" s="824"/>
      <c r="F675" s="824"/>
      <c r="G675" s="825"/>
      <c r="H675" s="826"/>
      <c r="I675" s="827"/>
      <c r="J675" s="825"/>
      <c r="K675" s="828"/>
      <c r="L675" s="829"/>
      <c r="M675" s="825"/>
      <c r="N675" s="825"/>
      <c r="O675" s="830"/>
    </row>
    <row r="676" ht="24.75" customHeight="1">
      <c r="A676" s="811"/>
      <c r="B676" s="812"/>
      <c r="C676" s="813"/>
      <c r="D676" s="814"/>
      <c r="E676" s="815"/>
      <c r="F676" s="815"/>
      <c r="G676" s="816"/>
      <c r="H676" s="817"/>
      <c r="I676" s="818"/>
      <c r="J676" s="816"/>
      <c r="K676" s="819"/>
      <c r="L676" s="820"/>
      <c r="M676" s="816"/>
      <c r="N676" s="816"/>
      <c r="O676" s="821"/>
    </row>
    <row r="677" ht="24.75" customHeight="1">
      <c r="A677" s="822"/>
      <c r="B677" s="812"/>
      <c r="C677" s="823"/>
      <c r="D677" s="814"/>
      <c r="E677" s="824"/>
      <c r="F677" s="824"/>
      <c r="G677" s="825"/>
      <c r="H677" s="826"/>
      <c r="I677" s="827"/>
      <c r="J677" s="825"/>
      <c r="K677" s="828"/>
      <c r="L677" s="829"/>
      <c r="M677" s="825"/>
      <c r="N677" s="825"/>
      <c r="O677" s="830"/>
    </row>
    <row r="678" ht="24.75" customHeight="1">
      <c r="A678" s="811"/>
      <c r="B678" s="812"/>
      <c r="C678" s="813"/>
      <c r="D678" s="814"/>
      <c r="E678" s="815"/>
      <c r="F678" s="815"/>
      <c r="G678" s="816"/>
      <c r="H678" s="817"/>
      <c r="I678" s="818"/>
      <c r="J678" s="816"/>
      <c r="K678" s="819"/>
      <c r="L678" s="820"/>
      <c r="M678" s="816"/>
      <c r="N678" s="816"/>
      <c r="O678" s="821"/>
    </row>
    <row r="679" ht="24.75" customHeight="1">
      <c r="A679" s="822"/>
      <c r="B679" s="812"/>
      <c r="C679" s="823"/>
      <c r="D679" s="814"/>
      <c r="E679" s="824"/>
      <c r="F679" s="824"/>
      <c r="G679" s="825"/>
      <c r="H679" s="826"/>
      <c r="I679" s="827"/>
      <c r="J679" s="825"/>
      <c r="K679" s="828"/>
      <c r="L679" s="829"/>
      <c r="M679" s="825"/>
      <c r="N679" s="825"/>
      <c r="O679" s="830"/>
    </row>
    <row r="680" ht="24.75" customHeight="1">
      <c r="A680" s="811"/>
      <c r="B680" s="812"/>
      <c r="C680" s="813"/>
      <c r="D680" s="814"/>
      <c r="E680" s="815"/>
      <c r="F680" s="815"/>
      <c r="G680" s="816"/>
      <c r="H680" s="817"/>
      <c r="I680" s="818"/>
      <c r="J680" s="816"/>
      <c r="K680" s="819"/>
      <c r="L680" s="820"/>
      <c r="M680" s="816"/>
      <c r="N680" s="816"/>
      <c r="O680" s="821"/>
    </row>
    <row r="681" ht="24.75" customHeight="1">
      <c r="A681" s="822"/>
      <c r="B681" s="812"/>
      <c r="C681" s="823"/>
      <c r="D681" s="814"/>
      <c r="E681" s="824"/>
      <c r="F681" s="824"/>
      <c r="G681" s="825"/>
      <c r="H681" s="826"/>
      <c r="I681" s="827"/>
      <c r="J681" s="825"/>
      <c r="K681" s="828"/>
      <c r="L681" s="829"/>
      <c r="M681" s="825"/>
      <c r="N681" s="825"/>
      <c r="O681" s="830"/>
    </row>
    <row r="682" ht="24.75" customHeight="1">
      <c r="A682" s="811"/>
      <c r="B682" s="812"/>
      <c r="C682" s="813"/>
      <c r="D682" s="814"/>
      <c r="E682" s="815"/>
      <c r="F682" s="815"/>
      <c r="G682" s="816"/>
      <c r="H682" s="817"/>
      <c r="I682" s="818"/>
      <c r="J682" s="816"/>
      <c r="K682" s="819"/>
      <c r="L682" s="820"/>
      <c r="M682" s="816"/>
      <c r="N682" s="816"/>
      <c r="O682" s="821"/>
    </row>
    <row r="683" ht="24.75" customHeight="1">
      <c r="A683" s="822"/>
      <c r="B683" s="812"/>
      <c r="C683" s="823"/>
      <c r="D683" s="814"/>
      <c r="E683" s="824"/>
      <c r="F683" s="824"/>
      <c r="G683" s="825"/>
      <c r="H683" s="826"/>
      <c r="I683" s="827"/>
      <c r="J683" s="825"/>
      <c r="K683" s="828"/>
      <c r="L683" s="829"/>
      <c r="M683" s="825"/>
      <c r="N683" s="825"/>
      <c r="O683" s="830"/>
    </row>
    <row r="684" ht="24.75" customHeight="1">
      <c r="A684" s="811"/>
      <c r="B684" s="812"/>
      <c r="C684" s="813"/>
      <c r="D684" s="814"/>
      <c r="E684" s="815"/>
      <c r="F684" s="815"/>
      <c r="G684" s="816"/>
      <c r="H684" s="817"/>
      <c r="I684" s="818"/>
      <c r="J684" s="816"/>
      <c r="K684" s="819"/>
      <c r="L684" s="820"/>
      <c r="M684" s="816"/>
      <c r="N684" s="816"/>
      <c r="O684" s="821"/>
    </row>
    <row r="685" ht="24.75" customHeight="1">
      <c r="A685" s="822"/>
      <c r="B685" s="812"/>
      <c r="C685" s="823"/>
      <c r="D685" s="814"/>
      <c r="E685" s="824"/>
      <c r="F685" s="824"/>
      <c r="G685" s="825"/>
      <c r="H685" s="826"/>
      <c r="I685" s="827"/>
      <c r="J685" s="825"/>
      <c r="K685" s="828"/>
      <c r="L685" s="829"/>
      <c r="M685" s="825"/>
      <c r="N685" s="825"/>
      <c r="O685" s="830"/>
    </row>
    <row r="686" ht="24.75" customHeight="1">
      <c r="A686" s="811"/>
      <c r="B686" s="812"/>
      <c r="C686" s="813"/>
      <c r="D686" s="814"/>
      <c r="E686" s="815"/>
      <c r="F686" s="815"/>
      <c r="G686" s="816"/>
      <c r="H686" s="817"/>
      <c r="I686" s="818"/>
      <c r="J686" s="816"/>
      <c r="K686" s="819"/>
      <c r="L686" s="820"/>
      <c r="M686" s="816"/>
      <c r="N686" s="816"/>
      <c r="O686" s="821"/>
    </row>
    <row r="687" ht="24.75" customHeight="1">
      <c r="A687" s="822"/>
      <c r="B687" s="812"/>
      <c r="C687" s="823"/>
      <c r="D687" s="814"/>
      <c r="E687" s="824"/>
      <c r="F687" s="824"/>
      <c r="G687" s="825"/>
      <c r="H687" s="826"/>
      <c r="I687" s="827"/>
      <c r="J687" s="825"/>
      <c r="K687" s="828"/>
      <c r="L687" s="829"/>
      <c r="M687" s="825"/>
      <c r="N687" s="825"/>
      <c r="O687" s="830"/>
    </row>
    <row r="688" ht="24.75" customHeight="1">
      <c r="A688" s="811"/>
      <c r="B688" s="812"/>
      <c r="C688" s="813"/>
      <c r="D688" s="814"/>
      <c r="E688" s="815"/>
      <c r="F688" s="815"/>
      <c r="G688" s="816"/>
      <c r="H688" s="817"/>
      <c r="I688" s="818"/>
      <c r="J688" s="816"/>
      <c r="K688" s="819"/>
      <c r="L688" s="820"/>
      <c r="M688" s="816"/>
      <c r="N688" s="816"/>
      <c r="O688" s="821"/>
    </row>
    <row r="689" ht="24.75" customHeight="1">
      <c r="A689" s="822"/>
      <c r="B689" s="812"/>
      <c r="C689" s="823"/>
      <c r="D689" s="814"/>
      <c r="E689" s="824"/>
      <c r="F689" s="824"/>
      <c r="G689" s="825"/>
      <c r="H689" s="826"/>
      <c r="I689" s="827"/>
      <c r="J689" s="825"/>
      <c r="K689" s="828"/>
      <c r="L689" s="829"/>
      <c r="M689" s="825"/>
      <c r="N689" s="825"/>
      <c r="O689" s="830"/>
    </row>
    <row r="690" ht="24.75" customHeight="1">
      <c r="A690" s="811"/>
      <c r="B690" s="812"/>
      <c r="C690" s="813"/>
      <c r="D690" s="814"/>
      <c r="E690" s="815"/>
      <c r="F690" s="815"/>
      <c r="G690" s="816"/>
      <c r="H690" s="817"/>
      <c r="I690" s="818"/>
      <c r="J690" s="816"/>
      <c r="K690" s="819"/>
      <c r="L690" s="820"/>
      <c r="M690" s="816"/>
      <c r="N690" s="816"/>
      <c r="O690" s="821"/>
    </row>
    <row r="691" ht="24.75" customHeight="1">
      <c r="A691" s="822"/>
      <c r="B691" s="812"/>
      <c r="C691" s="823"/>
      <c r="D691" s="814"/>
      <c r="E691" s="824"/>
      <c r="F691" s="824"/>
      <c r="G691" s="825"/>
      <c r="H691" s="826"/>
      <c r="I691" s="827"/>
      <c r="J691" s="825"/>
      <c r="K691" s="828"/>
      <c r="L691" s="829"/>
      <c r="M691" s="825"/>
      <c r="N691" s="825"/>
      <c r="O691" s="830"/>
    </row>
    <row r="692" ht="24.75" customHeight="1">
      <c r="A692" s="811"/>
      <c r="B692" s="812"/>
      <c r="C692" s="813"/>
      <c r="D692" s="814"/>
      <c r="E692" s="815"/>
      <c r="F692" s="815"/>
      <c r="G692" s="816"/>
      <c r="H692" s="817"/>
      <c r="I692" s="818"/>
      <c r="J692" s="816"/>
      <c r="K692" s="819"/>
      <c r="L692" s="820"/>
      <c r="M692" s="816"/>
      <c r="N692" s="816"/>
      <c r="O692" s="821"/>
    </row>
    <row r="693" ht="24.75" customHeight="1">
      <c r="A693" s="822"/>
      <c r="B693" s="812"/>
      <c r="C693" s="823"/>
      <c r="D693" s="814"/>
      <c r="E693" s="824"/>
      <c r="F693" s="824"/>
      <c r="G693" s="825"/>
      <c r="H693" s="826"/>
      <c r="I693" s="827"/>
      <c r="J693" s="825"/>
      <c r="K693" s="828"/>
      <c r="L693" s="829"/>
      <c r="M693" s="825"/>
      <c r="N693" s="825"/>
      <c r="O693" s="830"/>
    </row>
    <row r="694" ht="24.75" customHeight="1">
      <c r="A694" s="811"/>
      <c r="B694" s="812"/>
      <c r="C694" s="813"/>
      <c r="D694" s="814"/>
      <c r="E694" s="815"/>
      <c r="F694" s="815"/>
      <c r="G694" s="816"/>
      <c r="H694" s="817"/>
      <c r="I694" s="818"/>
      <c r="J694" s="816"/>
      <c r="K694" s="819"/>
      <c r="L694" s="820"/>
      <c r="M694" s="816"/>
      <c r="N694" s="816"/>
      <c r="O694" s="821"/>
    </row>
    <row r="695" ht="24.75" customHeight="1">
      <c r="A695" s="822"/>
      <c r="B695" s="812"/>
      <c r="C695" s="823"/>
      <c r="D695" s="814"/>
      <c r="E695" s="824"/>
      <c r="F695" s="824"/>
      <c r="G695" s="825"/>
      <c r="H695" s="826"/>
      <c r="I695" s="827"/>
      <c r="J695" s="825"/>
      <c r="K695" s="828"/>
      <c r="L695" s="829"/>
      <c r="M695" s="825"/>
      <c r="N695" s="825"/>
      <c r="O695" s="830"/>
    </row>
    <row r="696" ht="24.75" customHeight="1">
      <c r="A696" s="811"/>
      <c r="B696" s="812"/>
      <c r="C696" s="813"/>
      <c r="D696" s="814"/>
      <c r="E696" s="815"/>
      <c r="F696" s="815"/>
      <c r="G696" s="816"/>
      <c r="H696" s="817"/>
      <c r="I696" s="818"/>
      <c r="J696" s="816"/>
      <c r="K696" s="819"/>
      <c r="L696" s="820"/>
      <c r="M696" s="816"/>
      <c r="N696" s="816"/>
      <c r="O696" s="821"/>
    </row>
    <row r="697" ht="24.75" customHeight="1">
      <c r="A697" s="822"/>
      <c r="B697" s="812"/>
      <c r="C697" s="823"/>
      <c r="D697" s="814"/>
      <c r="E697" s="824"/>
      <c r="F697" s="824"/>
      <c r="G697" s="825"/>
      <c r="H697" s="826"/>
      <c r="I697" s="827"/>
      <c r="J697" s="825"/>
      <c r="K697" s="828"/>
      <c r="L697" s="829"/>
      <c r="M697" s="825"/>
      <c r="N697" s="825"/>
      <c r="O697" s="830"/>
    </row>
    <row r="698" ht="24.75" customHeight="1">
      <c r="A698" s="811"/>
      <c r="B698" s="812"/>
      <c r="C698" s="813"/>
      <c r="D698" s="814"/>
      <c r="E698" s="815"/>
      <c r="F698" s="815"/>
      <c r="G698" s="816"/>
      <c r="H698" s="817"/>
      <c r="I698" s="818"/>
      <c r="J698" s="816"/>
      <c r="K698" s="819"/>
      <c r="L698" s="820"/>
      <c r="M698" s="816"/>
      <c r="N698" s="816"/>
      <c r="O698" s="821"/>
    </row>
    <row r="699" ht="24.75" customHeight="1">
      <c r="A699" s="822"/>
      <c r="B699" s="812"/>
      <c r="C699" s="823"/>
      <c r="D699" s="814"/>
      <c r="E699" s="824"/>
      <c r="F699" s="824"/>
      <c r="G699" s="825"/>
      <c r="H699" s="826"/>
      <c r="I699" s="827"/>
      <c r="J699" s="825"/>
      <c r="K699" s="828"/>
      <c r="L699" s="829"/>
      <c r="M699" s="825"/>
      <c r="N699" s="825"/>
      <c r="O699" s="830"/>
    </row>
    <row r="700" ht="24.75" customHeight="1">
      <c r="A700" s="811"/>
      <c r="B700" s="812"/>
      <c r="C700" s="813"/>
      <c r="D700" s="814"/>
      <c r="E700" s="815"/>
      <c r="F700" s="815"/>
      <c r="G700" s="816"/>
      <c r="H700" s="817"/>
      <c r="I700" s="818"/>
      <c r="J700" s="816"/>
      <c r="K700" s="819"/>
      <c r="L700" s="820"/>
      <c r="M700" s="816"/>
      <c r="N700" s="816"/>
      <c r="O700" s="821"/>
    </row>
    <row r="701" ht="24.75" customHeight="1">
      <c r="A701" s="822"/>
      <c r="B701" s="812"/>
      <c r="C701" s="823"/>
      <c r="D701" s="814"/>
      <c r="E701" s="824"/>
      <c r="F701" s="824"/>
      <c r="G701" s="825"/>
      <c r="H701" s="826"/>
      <c r="I701" s="827"/>
      <c r="J701" s="825"/>
      <c r="K701" s="828"/>
      <c r="L701" s="829"/>
      <c r="M701" s="825"/>
      <c r="N701" s="825"/>
      <c r="O701" s="830"/>
    </row>
    <row r="702" ht="24.75" customHeight="1">
      <c r="A702" s="811"/>
      <c r="B702" s="812"/>
      <c r="C702" s="813"/>
      <c r="D702" s="814"/>
      <c r="E702" s="815"/>
      <c r="F702" s="815"/>
      <c r="G702" s="816"/>
      <c r="H702" s="817"/>
      <c r="I702" s="818"/>
      <c r="J702" s="816"/>
      <c r="K702" s="819"/>
      <c r="L702" s="820"/>
      <c r="M702" s="816"/>
      <c r="N702" s="816"/>
      <c r="O702" s="821"/>
    </row>
    <row r="703" ht="24.75" customHeight="1">
      <c r="A703" s="822"/>
      <c r="B703" s="812"/>
      <c r="C703" s="823"/>
      <c r="D703" s="814"/>
      <c r="E703" s="824"/>
      <c r="F703" s="824"/>
      <c r="G703" s="825"/>
      <c r="H703" s="826"/>
      <c r="I703" s="827"/>
      <c r="J703" s="825"/>
      <c r="K703" s="828"/>
      <c r="L703" s="829"/>
      <c r="M703" s="825"/>
      <c r="N703" s="825"/>
      <c r="O703" s="830"/>
    </row>
    <row r="704" ht="24.75" customHeight="1">
      <c r="A704" s="811"/>
      <c r="B704" s="812"/>
      <c r="C704" s="813"/>
      <c r="D704" s="814"/>
      <c r="E704" s="815"/>
      <c r="F704" s="815"/>
      <c r="G704" s="816"/>
      <c r="H704" s="817"/>
      <c r="I704" s="818"/>
      <c r="J704" s="816"/>
      <c r="K704" s="819"/>
      <c r="L704" s="820"/>
      <c r="M704" s="816"/>
      <c r="N704" s="816"/>
      <c r="O704" s="821"/>
    </row>
    <row r="705" ht="24.75" customHeight="1">
      <c r="A705" s="822"/>
      <c r="B705" s="812"/>
      <c r="C705" s="823"/>
      <c r="D705" s="814"/>
      <c r="E705" s="824"/>
      <c r="F705" s="824"/>
      <c r="G705" s="825"/>
      <c r="H705" s="826"/>
      <c r="I705" s="827"/>
      <c r="J705" s="825"/>
      <c r="K705" s="828"/>
      <c r="L705" s="829"/>
      <c r="M705" s="825"/>
      <c r="N705" s="825"/>
      <c r="O705" s="830"/>
    </row>
    <row r="706" ht="24.75" customHeight="1">
      <c r="A706" s="811"/>
      <c r="B706" s="812"/>
      <c r="C706" s="813"/>
      <c r="D706" s="814"/>
      <c r="E706" s="815"/>
      <c r="F706" s="815"/>
      <c r="G706" s="816"/>
      <c r="H706" s="817"/>
      <c r="I706" s="818"/>
      <c r="J706" s="816"/>
      <c r="K706" s="819"/>
      <c r="L706" s="820"/>
      <c r="M706" s="816"/>
      <c r="N706" s="816"/>
      <c r="O706" s="821"/>
    </row>
    <row r="707" ht="24.75" customHeight="1">
      <c r="A707" s="822"/>
      <c r="B707" s="812"/>
      <c r="C707" s="823"/>
      <c r="D707" s="814"/>
      <c r="E707" s="824"/>
      <c r="F707" s="824"/>
      <c r="G707" s="825"/>
      <c r="H707" s="826"/>
      <c r="I707" s="827"/>
      <c r="J707" s="825"/>
      <c r="K707" s="828"/>
      <c r="L707" s="829"/>
      <c r="M707" s="825"/>
      <c r="N707" s="825"/>
      <c r="O707" s="830"/>
    </row>
    <row r="708" ht="24.75" customHeight="1">
      <c r="A708" s="811"/>
      <c r="B708" s="812"/>
      <c r="C708" s="813"/>
      <c r="D708" s="814"/>
      <c r="E708" s="815"/>
      <c r="F708" s="815"/>
      <c r="G708" s="816"/>
      <c r="H708" s="817"/>
      <c r="I708" s="818"/>
      <c r="J708" s="816"/>
      <c r="K708" s="819"/>
      <c r="L708" s="820"/>
      <c r="M708" s="816"/>
      <c r="N708" s="816"/>
      <c r="O708" s="821"/>
    </row>
    <row r="709" ht="24.75" customHeight="1">
      <c r="A709" s="822"/>
      <c r="B709" s="812"/>
      <c r="C709" s="823"/>
      <c r="D709" s="814"/>
      <c r="E709" s="824"/>
      <c r="F709" s="824"/>
      <c r="G709" s="825"/>
      <c r="H709" s="826"/>
      <c r="I709" s="827"/>
      <c r="J709" s="825"/>
      <c r="K709" s="828"/>
      <c r="L709" s="829"/>
      <c r="M709" s="825"/>
      <c r="N709" s="825"/>
      <c r="O709" s="830"/>
    </row>
    <row r="710" ht="24.75" customHeight="1">
      <c r="A710" s="811"/>
      <c r="B710" s="812"/>
      <c r="C710" s="813"/>
      <c r="D710" s="814"/>
      <c r="E710" s="815"/>
      <c r="F710" s="815"/>
      <c r="G710" s="816"/>
      <c r="H710" s="817"/>
      <c r="I710" s="818"/>
      <c r="J710" s="816"/>
      <c r="K710" s="819"/>
      <c r="L710" s="820"/>
      <c r="M710" s="816"/>
      <c r="N710" s="816"/>
      <c r="O710" s="821"/>
    </row>
    <row r="711" ht="24.75" customHeight="1">
      <c r="A711" s="822"/>
      <c r="B711" s="812"/>
      <c r="C711" s="823"/>
      <c r="D711" s="814"/>
      <c r="E711" s="824"/>
      <c r="F711" s="824"/>
      <c r="G711" s="825"/>
      <c r="H711" s="826"/>
      <c r="I711" s="827"/>
      <c r="J711" s="825"/>
      <c r="K711" s="828"/>
      <c r="L711" s="829"/>
      <c r="M711" s="825"/>
      <c r="N711" s="825"/>
      <c r="O711" s="830"/>
    </row>
    <row r="712" ht="24.75" customHeight="1">
      <c r="A712" s="811"/>
      <c r="B712" s="812"/>
      <c r="C712" s="813"/>
      <c r="D712" s="814"/>
      <c r="E712" s="815"/>
      <c r="F712" s="815"/>
      <c r="G712" s="816"/>
      <c r="H712" s="817"/>
      <c r="I712" s="818"/>
      <c r="J712" s="816"/>
      <c r="K712" s="819"/>
      <c r="L712" s="820"/>
      <c r="M712" s="816"/>
      <c r="N712" s="816"/>
      <c r="O712" s="821"/>
    </row>
    <row r="713" ht="24.75" customHeight="1">
      <c r="A713" s="822"/>
      <c r="B713" s="812"/>
      <c r="C713" s="823"/>
      <c r="D713" s="814"/>
      <c r="E713" s="824"/>
      <c r="F713" s="824"/>
      <c r="G713" s="825"/>
      <c r="H713" s="826"/>
      <c r="I713" s="827"/>
      <c r="J713" s="825"/>
      <c r="K713" s="828"/>
      <c r="L713" s="829"/>
      <c r="M713" s="825"/>
      <c r="N713" s="825"/>
      <c r="O713" s="830"/>
    </row>
    <row r="714" ht="24.75" customHeight="1">
      <c r="A714" s="811"/>
      <c r="B714" s="812"/>
      <c r="C714" s="813"/>
      <c r="D714" s="814"/>
      <c r="E714" s="815"/>
      <c r="F714" s="815"/>
      <c r="G714" s="816"/>
      <c r="H714" s="817"/>
      <c r="I714" s="818"/>
      <c r="J714" s="816"/>
      <c r="K714" s="819"/>
      <c r="L714" s="820"/>
      <c r="M714" s="816"/>
      <c r="N714" s="816"/>
      <c r="O714" s="821"/>
    </row>
    <row r="715" ht="24.75" customHeight="1">
      <c r="A715" s="822"/>
      <c r="B715" s="812"/>
      <c r="C715" s="823"/>
      <c r="D715" s="814"/>
      <c r="E715" s="824"/>
      <c r="F715" s="824"/>
      <c r="G715" s="825"/>
      <c r="H715" s="826"/>
      <c r="I715" s="827"/>
      <c r="J715" s="825"/>
      <c r="K715" s="828"/>
      <c r="L715" s="829"/>
      <c r="M715" s="825"/>
      <c r="N715" s="825"/>
      <c r="O715" s="830"/>
    </row>
    <row r="716" ht="24.75" customHeight="1">
      <c r="A716" s="811"/>
      <c r="B716" s="812"/>
      <c r="C716" s="813"/>
      <c r="D716" s="814"/>
      <c r="E716" s="815"/>
      <c r="F716" s="815"/>
      <c r="G716" s="816"/>
      <c r="H716" s="817"/>
      <c r="I716" s="818"/>
      <c r="J716" s="816"/>
      <c r="K716" s="819"/>
      <c r="L716" s="820"/>
      <c r="M716" s="816"/>
      <c r="N716" s="816"/>
      <c r="O716" s="821"/>
    </row>
    <row r="717" ht="24.75" customHeight="1">
      <c r="A717" s="822"/>
      <c r="B717" s="812"/>
      <c r="C717" s="823"/>
      <c r="D717" s="814"/>
      <c r="E717" s="824"/>
      <c r="F717" s="824"/>
      <c r="G717" s="825"/>
      <c r="H717" s="826"/>
      <c r="I717" s="827"/>
      <c r="J717" s="825"/>
      <c r="K717" s="828"/>
      <c r="L717" s="829"/>
      <c r="M717" s="825"/>
      <c r="N717" s="825"/>
      <c r="O717" s="830"/>
    </row>
    <row r="718" ht="24.75" customHeight="1">
      <c r="A718" s="811"/>
      <c r="B718" s="812"/>
      <c r="C718" s="813"/>
      <c r="D718" s="814"/>
      <c r="E718" s="815"/>
      <c r="F718" s="815"/>
      <c r="G718" s="816"/>
      <c r="H718" s="817"/>
      <c r="I718" s="818"/>
      <c r="J718" s="816"/>
      <c r="K718" s="819"/>
      <c r="L718" s="820"/>
      <c r="M718" s="816"/>
      <c r="N718" s="816"/>
      <c r="O718" s="821"/>
    </row>
    <row r="719" ht="24.75" customHeight="1">
      <c r="A719" s="822"/>
      <c r="B719" s="812"/>
      <c r="C719" s="823"/>
      <c r="D719" s="814"/>
      <c r="E719" s="824"/>
      <c r="F719" s="824"/>
      <c r="G719" s="825"/>
      <c r="H719" s="826"/>
      <c r="I719" s="827"/>
      <c r="J719" s="825"/>
      <c r="K719" s="828"/>
      <c r="L719" s="829"/>
      <c r="M719" s="825"/>
      <c r="N719" s="825"/>
      <c r="O719" s="830"/>
    </row>
    <row r="720" ht="24.75" customHeight="1">
      <c r="A720" s="811"/>
      <c r="B720" s="812"/>
      <c r="C720" s="813"/>
      <c r="D720" s="814"/>
      <c r="E720" s="815"/>
      <c r="F720" s="815"/>
      <c r="G720" s="816"/>
      <c r="H720" s="817"/>
      <c r="I720" s="818"/>
      <c r="J720" s="816"/>
      <c r="K720" s="819"/>
      <c r="L720" s="820"/>
      <c r="M720" s="816"/>
      <c r="N720" s="816"/>
      <c r="O720" s="821"/>
    </row>
    <row r="721" ht="24.75" customHeight="1">
      <c r="A721" s="822"/>
      <c r="B721" s="812"/>
      <c r="C721" s="823"/>
      <c r="D721" s="814"/>
      <c r="E721" s="824"/>
      <c r="F721" s="824"/>
      <c r="G721" s="825"/>
      <c r="H721" s="826"/>
      <c r="I721" s="827"/>
      <c r="J721" s="825"/>
      <c r="K721" s="828"/>
      <c r="L721" s="829"/>
      <c r="M721" s="825"/>
      <c r="N721" s="825"/>
      <c r="O721" s="830"/>
    </row>
    <row r="722" ht="24.75" customHeight="1">
      <c r="A722" s="811"/>
      <c r="B722" s="812"/>
      <c r="C722" s="813"/>
      <c r="D722" s="814"/>
      <c r="E722" s="815"/>
      <c r="F722" s="815"/>
      <c r="G722" s="816"/>
      <c r="H722" s="817"/>
      <c r="I722" s="818"/>
      <c r="J722" s="816"/>
      <c r="K722" s="819"/>
      <c r="L722" s="820"/>
      <c r="M722" s="816"/>
      <c r="N722" s="816"/>
      <c r="O722" s="821"/>
    </row>
    <row r="723" ht="24.75" customHeight="1">
      <c r="A723" s="822"/>
      <c r="B723" s="812"/>
      <c r="C723" s="823"/>
      <c r="D723" s="814"/>
      <c r="E723" s="824"/>
      <c r="F723" s="824"/>
      <c r="G723" s="825"/>
      <c r="H723" s="826"/>
      <c r="I723" s="827"/>
      <c r="J723" s="825"/>
      <c r="K723" s="828"/>
      <c r="L723" s="829"/>
      <c r="M723" s="825"/>
      <c r="N723" s="825"/>
      <c r="O723" s="830"/>
    </row>
    <row r="724" ht="24.75" customHeight="1">
      <c r="A724" s="811"/>
      <c r="B724" s="812"/>
      <c r="C724" s="813"/>
      <c r="D724" s="814"/>
      <c r="E724" s="815"/>
      <c r="F724" s="815"/>
      <c r="G724" s="816"/>
      <c r="H724" s="817"/>
      <c r="I724" s="818"/>
      <c r="J724" s="816"/>
      <c r="K724" s="819"/>
      <c r="L724" s="820"/>
      <c r="M724" s="816"/>
      <c r="N724" s="816"/>
      <c r="O724" s="821"/>
    </row>
    <row r="725" ht="24.75" customHeight="1">
      <c r="A725" s="822"/>
      <c r="B725" s="812"/>
      <c r="C725" s="823"/>
      <c r="D725" s="814"/>
      <c r="E725" s="824"/>
      <c r="F725" s="824"/>
      <c r="G725" s="825"/>
      <c r="H725" s="826"/>
      <c r="I725" s="827"/>
      <c r="J725" s="825"/>
      <c r="K725" s="828"/>
      <c r="L725" s="829"/>
      <c r="M725" s="825"/>
      <c r="N725" s="825"/>
      <c r="O725" s="830"/>
    </row>
    <row r="726" ht="24.75" customHeight="1">
      <c r="A726" s="811"/>
      <c r="B726" s="812"/>
      <c r="C726" s="813"/>
      <c r="D726" s="814"/>
      <c r="E726" s="815"/>
      <c r="F726" s="815"/>
      <c r="G726" s="816"/>
      <c r="H726" s="817"/>
      <c r="I726" s="818"/>
      <c r="J726" s="816"/>
      <c r="K726" s="819"/>
      <c r="L726" s="820"/>
      <c r="M726" s="816"/>
      <c r="N726" s="816"/>
      <c r="O726" s="821"/>
    </row>
    <row r="727" ht="24.75" customHeight="1">
      <c r="A727" s="822"/>
      <c r="B727" s="812"/>
      <c r="C727" s="823"/>
      <c r="D727" s="814"/>
      <c r="E727" s="824"/>
      <c r="F727" s="824"/>
      <c r="G727" s="825"/>
      <c r="H727" s="826"/>
      <c r="I727" s="827"/>
      <c r="J727" s="825"/>
      <c r="K727" s="828"/>
      <c r="L727" s="829"/>
      <c r="M727" s="825"/>
      <c r="N727" s="825"/>
      <c r="O727" s="830"/>
    </row>
    <row r="728" ht="24.75" customHeight="1">
      <c r="A728" s="811"/>
      <c r="B728" s="812"/>
      <c r="C728" s="813"/>
      <c r="D728" s="814"/>
      <c r="E728" s="815"/>
      <c r="F728" s="815"/>
      <c r="G728" s="816"/>
      <c r="H728" s="817"/>
      <c r="I728" s="818"/>
      <c r="J728" s="816"/>
      <c r="K728" s="819"/>
      <c r="L728" s="820"/>
      <c r="M728" s="816"/>
      <c r="N728" s="816"/>
      <c r="O728" s="821"/>
    </row>
    <row r="729" ht="24.75" customHeight="1">
      <c r="A729" s="822"/>
      <c r="B729" s="812"/>
      <c r="C729" s="823"/>
      <c r="D729" s="814"/>
      <c r="E729" s="824"/>
      <c r="F729" s="824"/>
      <c r="G729" s="825"/>
      <c r="H729" s="826"/>
      <c r="I729" s="827"/>
      <c r="J729" s="825"/>
      <c r="K729" s="828"/>
      <c r="L729" s="829"/>
      <c r="M729" s="825"/>
      <c r="N729" s="825"/>
      <c r="O729" s="830"/>
    </row>
    <row r="730" ht="24.75" customHeight="1">
      <c r="A730" s="811"/>
      <c r="B730" s="812"/>
      <c r="C730" s="813"/>
      <c r="D730" s="814"/>
      <c r="E730" s="815"/>
      <c r="F730" s="815"/>
      <c r="G730" s="816"/>
      <c r="H730" s="817"/>
      <c r="I730" s="818"/>
      <c r="J730" s="816"/>
      <c r="K730" s="819"/>
      <c r="L730" s="820"/>
      <c r="M730" s="816"/>
      <c r="N730" s="816"/>
      <c r="O730" s="821"/>
    </row>
    <row r="731" ht="24.75" customHeight="1">
      <c r="A731" s="822"/>
      <c r="B731" s="812"/>
      <c r="C731" s="823"/>
      <c r="D731" s="814"/>
      <c r="E731" s="824"/>
      <c r="F731" s="824"/>
      <c r="G731" s="825"/>
      <c r="H731" s="826"/>
      <c r="I731" s="827"/>
      <c r="J731" s="825"/>
      <c r="K731" s="828"/>
      <c r="L731" s="829"/>
      <c r="M731" s="825"/>
      <c r="N731" s="825"/>
      <c r="O731" s="830"/>
    </row>
    <row r="732" ht="24.75" customHeight="1">
      <c r="A732" s="811"/>
      <c r="B732" s="812"/>
      <c r="C732" s="813"/>
      <c r="D732" s="814"/>
      <c r="E732" s="815"/>
      <c r="F732" s="815"/>
      <c r="G732" s="816"/>
      <c r="H732" s="817"/>
      <c r="I732" s="818"/>
      <c r="J732" s="816"/>
      <c r="K732" s="819"/>
      <c r="L732" s="820"/>
      <c r="M732" s="816"/>
      <c r="N732" s="816"/>
      <c r="O732" s="821"/>
    </row>
    <row r="733" ht="24.75" customHeight="1">
      <c r="A733" s="822"/>
      <c r="B733" s="812"/>
      <c r="C733" s="823"/>
      <c r="D733" s="814"/>
      <c r="E733" s="824"/>
      <c r="F733" s="824"/>
      <c r="G733" s="825"/>
      <c r="H733" s="826"/>
      <c r="I733" s="827"/>
      <c r="J733" s="825"/>
      <c r="K733" s="828"/>
      <c r="L733" s="829"/>
      <c r="M733" s="825"/>
      <c r="N733" s="825"/>
      <c r="O733" s="830"/>
    </row>
    <row r="734" ht="24.75" customHeight="1">
      <c r="A734" s="811"/>
      <c r="B734" s="812"/>
      <c r="C734" s="813"/>
      <c r="D734" s="814"/>
      <c r="E734" s="815"/>
      <c r="F734" s="815"/>
      <c r="G734" s="816"/>
      <c r="H734" s="817"/>
      <c r="I734" s="818"/>
      <c r="J734" s="816"/>
      <c r="K734" s="819"/>
      <c r="L734" s="820"/>
      <c r="M734" s="816"/>
      <c r="N734" s="816"/>
      <c r="O734" s="821"/>
    </row>
    <row r="735" ht="24.75" customHeight="1">
      <c r="A735" s="822"/>
      <c r="B735" s="812"/>
      <c r="C735" s="823"/>
      <c r="D735" s="814"/>
      <c r="E735" s="824"/>
      <c r="F735" s="824"/>
      <c r="G735" s="825"/>
      <c r="H735" s="826"/>
      <c r="I735" s="827"/>
      <c r="J735" s="825"/>
      <c r="K735" s="828"/>
      <c r="L735" s="829"/>
      <c r="M735" s="825"/>
      <c r="N735" s="825"/>
      <c r="O735" s="830"/>
    </row>
    <row r="736" ht="24.75" customHeight="1">
      <c r="A736" s="811"/>
      <c r="B736" s="812"/>
      <c r="C736" s="813"/>
      <c r="D736" s="814"/>
      <c r="E736" s="815"/>
      <c r="F736" s="815"/>
      <c r="G736" s="816"/>
      <c r="H736" s="817"/>
      <c r="I736" s="818"/>
      <c r="J736" s="816"/>
      <c r="K736" s="819"/>
      <c r="L736" s="820"/>
      <c r="M736" s="816"/>
      <c r="N736" s="816"/>
      <c r="O736" s="821"/>
    </row>
    <row r="737" ht="24.75" customHeight="1">
      <c r="A737" s="822"/>
      <c r="B737" s="812"/>
      <c r="C737" s="823"/>
      <c r="D737" s="814"/>
      <c r="E737" s="824"/>
      <c r="F737" s="824"/>
      <c r="G737" s="825"/>
      <c r="H737" s="826"/>
      <c r="I737" s="827"/>
      <c r="J737" s="825"/>
      <c r="K737" s="828"/>
      <c r="L737" s="829"/>
      <c r="M737" s="825"/>
      <c r="N737" s="825"/>
      <c r="O737" s="830"/>
    </row>
    <row r="738" ht="24.75" customHeight="1">
      <c r="A738" s="811"/>
      <c r="B738" s="812"/>
      <c r="C738" s="813"/>
      <c r="D738" s="814"/>
      <c r="E738" s="815"/>
      <c r="F738" s="815"/>
      <c r="G738" s="816"/>
      <c r="H738" s="817"/>
      <c r="I738" s="818"/>
      <c r="J738" s="816"/>
      <c r="K738" s="819"/>
      <c r="L738" s="820"/>
      <c r="M738" s="816"/>
      <c r="N738" s="816"/>
      <c r="O738" s="821"/>
    </row>
    <row r="739" ht="24.75" customHeight="1">
      <c r="A739" s="822"/>
      <c r="B739" s="812"/>
      <c r="C739" s="823"/>
      <c r="D739" s="814"/>
      <c r="E739" s="824"/>
      <c r="F739" s="824"/>
      <c r="G739" s="825"/>
      <c r="H739" s="826"/>
      <c r="I739" s="827"/>
      <c r="J739" s="825"/>
      <c r="K739" s="828"/>
      <c r="L739" s="829"/>
      <c r="M739" s="825"/>
      <c r="N739" s="825"/>
      <c r="O739" s="830"/>
    </row>
    <row r="740" ht="24.75" customHeight="1">
      <c r="A740" s="811"/>
      <c r="B740" s="812"/>
      <c r="C740" s="813"/>
      <c r="D740" s="814"/>
      <c r="E740" s="815"/>
      <c r="F740" s="815"/>
      <c r="G740" s="816"/>
      <c r="H740" s="817"/>
      <c r="I740" s="818"/>
      <c r="J740" s="816"/>
      <c r="K740" s="819"/>
      <c r="L740" s="820"/>
      <c r="M740" s="816"/>
      <c r="N740" s="816"/>
      <c r="O740" s="821"/>
    </row>
    <row r="741" ht="24.75" customHeight="1">
      <c r="A741" s="822"/>
      <c r="B741" s="812"/>
      <c r="C741" s="823"/>
      <c r="D741" s="814"/>
      <c r="E741" s="824"/>
      <c r="F741" s="824"/>
      <c r="G741" s="825"/>
      <c r="H741" s="826"/>
      <c r="I741" s="827"/>
      <c r="J741" s="825"/>
      <c r="K741" s="828"/>
      <c r="L741" s="829"/>
      <c r="M741" s="825"/>
      <c r="N741" s="825"/>
      <c r="O741" s="830"/>
    </row>
    <row r="742" ht="24.75" customHeight="1">
      <c r="A742" s="811"/>
      <c r="B742" s="812"/>
      <c r="C742" s="813"/>
      <c r="D742" s="814"/>
      <c r="E742" s="815"/>
      <c r="F742" s="815"/>
      <c r="G742" s="816"/>
      <c r="H742" s="817"/>
      <c r="I742" s="818"/>
      <c r="J742" s="816"/>
      <c r="K742" s="819"/>
      <c r="L742" s="820"/>
      <c r="M742" s="816"/>
      <c r="N742" s="816"/>
      <c r="O742" s="821"/>
    </row>
    <row r="743" ht="24.75" customHeight="1">
      <c r="A743" s="822"/>
      <c r="B743" s="812"/>
      <c r="C743" s="823"/>
      <c r="D743" s="814"/>
      <c r="E743" s="824"/>
      <c r="F743" s="824"/>
      <c r="G743" s="825"/>
      <c r="H743" s="826"/>
      <c r="I743" s="827"/>
      <c r="J743" s="825"/>
      <c r="K743" s="828"/>
      <c r="L743" s="829"/>
      <c r="M743" s="825"/>
      <c r="N743" s="825"/>
      <c r="O743" s="830"/>
    </row>
    <row r="744" ht="24.75" customHeight="1">
      <c r="A744" s="811"/>
      <c r="B744" s="812"/>
      <c r="C744" s="813"/>
      <c r="D744" s="814"/>
      <c r="E744" s="815"/>
      <c r="F744" s="815"/>
      <c r="G744" s="816"/>
      <c r="H744" s="817"/>
      <c r="I744" s="818"/>
      <c r="J744" s="816"/>
      <c r="K744" s="819"/>
      <c r="L744" s="820"/>
      <c r="M744" s="816"/>
      <c r="N744" s="816"/>
      <c r="O744" s="821"/>
    </row>
    <row r="745" ht="24.75" customHeight="1">
      <c r="A745" s="822"/>
      <c r="B745" s="812"/>
      <c r="C745" s="823"/>
      <c r="D745" s="814"/>
      <c r="E745" s="824"/>
      <c r="F745" s="824"/>
      <c r="G745" s="825"/>
      <c r="H745" s="826"/>
      <c r="I745" s="827"/>
      <c r="J745" s="825"/>
      <c r="K745" s="828"/>
      <c r="L745" s="829"/>
      <c r="M745" s="825"/>
      <c r="N745" s="825"/>
      <c r="O745" s="830"/>
    </row>
    <row r="746" ht="24.75" customHeight="1">
      <c r="A746" s="811"/>
      <c r="B746" s="812"/>
      <c r="C746" s="813"/>
      <c r="D746" s="814"/>
      <c r="E746" s="815"/>
      <c r="F746" s="815"/>
      <c r="G746" s="816"/>
      <c r="H746" s="817"/>
      <c r="I746" s="818"/>
      <c r="J746" s="816"/>
      <c r="K746" s="819"/>
      <c r="L746" s="820"/>
      <c r="M746" s="816"/>
      <c r="N746" s="816"/>
      <c r="O746" s="821"/>
    </row>
    <row r="747" ht="24.75" customHeight="1">
      <c r="A747" s="822"/>
      <c r="B747" s="812"/>
      <c r="C747" s="823"/>
      <c r="D747" s="814"/>
      <c r="E747" s="824"/>
      <c r="F747" s="824"/>
      <c r="G747" s="825"/>
      <c r="H747" s="826"/>
      <c r="I747" s="827"/>
      <c r="J747" s="825"/>
      <c r="K747" s="828"/>
      <c r="L747" s="829"/>
      <c r="M747" s="825"/>
      <c r="N747" s="825"/>
      <c r="O747" s="830"/>
    </row>
    <row r="748" ht="24.75" customHeight="1">
      <c r="A748" s="811"/>
      <c r="B748" s="812"/>
      <c r="C748" s="813"/>
      <c r="D748" s="814"/>
      <c r="E748" s="815"/>
      <c r="F748" s="815"/>
      <c r="G748" s="816"/>
      <c r="H748" s="817"/>
      <c r="I748" s="818"/>
      <c r="J748" s="816"/>
      <c r="K748" s="819"/>
      <c r="L748" s="820"/>
      <c r="M748" s="816"/>
      <c r="N748" s="816"/>
      <c r="O748" s="821"/>
    </row>
    <row r="749" ht="24.75" customHeight="1">
      <c r="A749" s="822"/>
      <c r="B749" s="812"/>
      <c r="C749" s="823"/>
      <c r="D749" s="814"/>
      <c r="E749" s="824"/>
      <c r="F749" s="824"/>
      <c r="G749" s="825"/>
      <c r="H749" s="826"/>
      <c r="I749" s="827"/>
      <c r="J749" s="825"/>
      <c r="K749" s="828"/>
      <c r="L749" s="829"/>
      <c r="M749" s="825"/>
      <c r="N749" s="825"/>
      <c r="O749" s="830"/>
    </row>
    <row r="750" ht="24.75" customHeight="1">
      <c r="A750" s="811"/>
      <c r="B750" s="812"/>
      <c r="C750" s="813"/>
      <c r="D750" s="814"/>
      <c r="E750" s="815"/>
      <c r="F750" s="815"/>
      <c r="G750" s="816"/>
      <c r="H750" s="817"/>
      <c r="I750" s="818"/>
      <c r="J750" s="816"/>
      <c r="K750" s="819"/>
      <c r="L750" s="820"/>
      <c r="M750" s="816"/>
      <c r="N750" s="816"/>
      <c r="O750" s="821"/>
    </row>
    <row r="751" ht="24.75" customHeight="1">
      <c r="A751" s="822"/>
      <c r="B751" s="812"/>
      <c r="C751" s="823"/>
      <c r="D751" s="814"/>
      <c r="E751" s="824"/>
      <c r="F751" s="824"/>
      <c r="G751" s="825"/>
      <c r="H751" s="826"/>
      <c r="I751" s="827"/>
      <c r="J751" s="825"/>
      <c r="K751" s="828"/>
      <c r="L751" s="829"/>
      <c r="M751" s="825"/>
      <c r="N751" s="825"/>
      <c r="O751" s="830"/>
    </row>
    <row r="752" ht="24.75" customHeight="1">
      <c r="A752" s="811"/>
      <c r="B752" s="812"/>
      <c r="C752" s="813"/>
      <c r="D752" s="814"/>
      <c r="E752" s="815"/>
      <c r="F752" s="815"/>
      <c r="G752" s="816"/>
      <c r="H752" s="817"/>
      <c r="I752" s="818"/>
      <c r="J752" s="816"/>
      <c r="K752" s="819"/>
      <c r="L752" s="820"/>
      <c r="M752" s="816"/>
      <c r="N752" s="816"/>
      <c r="O752" s="821"/>
    </row>
    <row r="753" ht="24.75" customHeight="1">
      <c r="A753" s="822"/>
      <c r="B753" s="812"/>
      <c r="C753" s="823"/>
      <c r="D753" s="814"/>
      <c r="E753" s="824"/>
      <c r="F753" s="824"/>
      <c r="G753" s="825"/>
      <c r="H753" s="826"/>
      <c r="I753" s="827"/>
      <c r="J753" s="825"/>
      <c r="K753" s="828"/>
      <c r="L753" s="829"/>
      <c r="M753" s="825"/>
      <c r="N753" s="825"/>
      <c r="O753" s="830"/>
    </row>
    <row r="754" ht="24.75" customHeight="1">
      <c r="A754" s="811"/>
      <c r="B754" s="812"/>
      <c r="C754" s="813"/>
      <c r="D754" s="814"/>
      <c r="E754" s="815"/>
      <c r="F754" s="815"/>
      <c r="G754" s="816"/>
      <c r="H754" s="817"/>
      <c r="I754" s="818"/>
      <c r="J754" s="816"/>
      <c r="K754" s="819"/>
      <c r="L754" s="820"/>
      <c r="M754" s="816"/>
      <c r="N754" s="816"/>
      <c r="O754" s="821"/>
    </row>
    <row r="755" ht="24.75" customHeight="1">
      <c r="A755" s="822"/>
      <c r="B755" s="812"/>
      <c r="C755" s="823"/>
      <c r="D755" s="814"/>
      <c r="E755" s="824"/>
      <c r="F755" s="824"/>
      <c r="G755" s="825"/>
      <c r="H755" s="826"/>
      <c r="I755" s="827"/>
      <c r="J755" s="825"/>
      <c r="K755" s="828"/>
      <c r="L755" s="829"/>
      <c r="M755" s="825"/>
      <c r="N755" s="825"/>
      <c r="O755" s="830"/>
    </row>
    <row r="756" ht="24.75" customHeight="1">
      <c r="A756" s="811"/>
      <c r="B756" s="812"/>
      <c r="C756" s="813"/>
      <c r="D756" s="814"/>
      <c r="E756" s="815"/>
      <c r="F756" s="815"/>
      <c r="G756" s="816"/>
      <c r="H756" s="817"/>
      <c r="I756" s="818"/>
      <c r="J756" s="816"/>
      <c r="K756" s="819"/>
      <c r="L756" s="820"/>
      <c r="M756" s="816"/>
      <c r="N756" s="816"/>
      <c r="O756" s="821"/>
    </row>
    <row r="757" ht="24.75" customHeight="1">
      <c r="A757" s="822"/>
      <c r="B757" s="812"/>
      <c r="C757" s="823"/>
      <c r="D757" s="814"/>
      <c r="E757" s="824"/>
      <c r="F757" s="824"/>
      <c r="G757" s="825"/>
      <c r="H757" s="826"/>
      <c r="I757" s="827"/>
      <c r="J757" s="825"/>
      <c r="K757" s="828"/>
      <c r="L757" s="829"/>
      <c r="M757" s="825"/>
      <c r="N757" s="825"/>
      <c r="O757" s="830"/>
    </row>
    <row r="758" ht="24.75" customHeight="1">
      <c r="A758" s="811"/>
      <c r="B758" s="812"/>
      <c r="C758" s="813"/>
      <c r="D758" s="814"/>
      <c r="E758" s="815"/>
      <c r="F758" s="815"/>
      <c r="G758" s="816"/>
      <c r="H758" s="817"/>
      <c r="I758" s="818"/>
      <c r="J758" s="816"/>
      <c r="K758" s="819"/>
      <c r="L758" s="820"/>
      <c r="M758" s="816"/>
      <c r="N758" s="816"/>
      <c r="O758" s="821"/>
    </row>
    <row r="759" ht="24.75" customHeight="1">
      <c r="A759" s="822"/>
      <c r="B759" s="812"/>
      <c r="C759" s="823"/>
      <c r="D759" s="814"/>
      <c r="E759" s="824"/>
      <c r="F759" s="824"/>
      <c r="G759" s="825"/>
      <c r="H759" s="826"/>
      <c r="I759" s="827"/>
      <c r="J759" s="825"/>
      <c r="K759" s="828"/>
      <c r="L759" s="829"/>
      <c r="M759" s="825"/>
      <c r="N759" s="825"/>
      <c r="O759" s="830"/>
    </row>
    <row r="760" ht="24.75" customHeight="1">
      <c r="A760" s="811"/>
      <c r="B760" s="812"/>
      <c r="C760" s="813"/>
      <c r="D760" s="814"/>
      <c r="E760" s="815"/>
      <c r="F760" s="815"/>
      <c r="G760" s="816"/>
      <c r="H760" s="817"/>
      <c r="I760" s="818"/>
      <c r="J760" s="816"/>
      <c r="K760" s="819"/>
      <c r="L760" s="820"/>
      <c r="M760" s="816"/>
      <c r="N760" s="816"/>
      <c r="O760" s="821"/>
    </row>
    <row r="761" ht="24.75" customHeight="1">
      <c r="A761" s="822"/>
      <c r="B761" s="812"/>
      <c r="C761" s="823"/>
      <c r="D761" s="814"/>
      <c r="E761" s="824"/>
      <c r="F761" s="824"/>
      <c r="G761" s="825"/>
      <c r="H761" s="826"/>
      <c r="I761" s="827"/>
      <c r="J761" s="825"/>
      <c r="K761" s="828"/>
      <c r="L761" s="829"/>
      <c r="M761" s="825"/>
      <c r="N761" s="825"/>
      <c r="O761" s="830"/>
    </row>
    <row r="762" ht="24.75" customHeight="1">
      <c r="A762" s="811"/>
      <c r="B762" s="812"/>
      <c r="C762" s="813"/>
      <c r="D762" s="814"/>
      <c r="E762" s="815"/>
      <c r="F762" s="815"/>
      <c r="G762" s="816"/>
      <c r="H762" s="817"/>
      <c r="I762" s="818"/>
      <c r="J762" s="816"/>
      <c r="K762" s="819"/>
      <c r="L762" s="820"/>
      <c r="M762" s="816"/>
      <c r="N762" s="816"/>
      <c r="O762" s="821"/>
    </row>
    <row r="763" ht="24.75" customHeight="1">
      <c r="A763" s="822"/>
      <c r="B763" s="812"/>
      <c r="C763" s="823"/>
      <c r="D763" s="814"/>
      <c r="E763" s="824"/>
      <c r="F763" s="824"/>
      <c r="G763" s="825"/>
      <c r="H763" s="826"/>
      <c r="I763" s="827"/>
      <c r="J763" s="825"/>
      <c r="K763" s="828"/>
      <c r="L763" s="829"/>
      <c r="M763" s="825"/>
      <c r="N763" s="825"/>
      <c r="O763" s="830"/>
    </row>
    <row r="764" ht="24.75" customHeight="1">
      <c r="A764" s="811"/>
      <c r="B764" s="812"/>
      <c r="C764" s="813"/>
      <c r="D764" s="814"/>
      <c r="E764" s="815"/>
      <c r="F764" s="815"/>
      <c r="G764" s="816"/>
      <c r="H764" s="817"/>
      <c r="I764" s="818"/>
      <c r="J764" s="816"/>
      <c r="K764" s="819"/>
      <c r="L764" s="820"/>
      <c r="M764" s="816"/>
      <c r="N764" s="816"/>
      <c r="O764" s="821"/>
    </row>
    <row r="765" ht="24.75" customHeight="1">
      <c r="A765" s="822"/>
      <c r="B765" s="812"/>
      <c r="C765" s="823"/>
      <c r="D765" s="814"/>
      <c r="E765" s="824"/>
      <c r="F765" s="824"/>
      <c r="G765" s="825"/>
      <c r="H765" s="826"/>
      <c r="I765" s="827"/>
      <c r="J765" s="825"/>
      <c r="K765" s="828"/>
      <c r="L765" s="829"/>
      <c r="M765" s="825"/>
      <c r="N765" s="825"/>
      <c r="O765" s="830"/>
    </row>
    <row r="766" ht="24.75" customHeight="1">
      <c r="A766" s="811"/>
      <c r="B766" s="812"/>
      <c r="C766" s="813"/>
      <c r="D766" s="814"/>
      <c r="E766" s="815"/>
      <c r="F766" s="815"/>
      <c r="G766" s="816"/>
      <c r="H766" s="817"/>
      <c r="I766" s="818"/>
      <c r="J766" s="816"/>
      <c r="K766" s="819"/>
      <c r="L766" s="820"/>
      <c r="M766" s="816"/>
      <c r="N766" s="816"/>
      <c r="O766" s="821"/>
    </row>
    <row r="767" ht="24.75" customHeight="1">
      <c r="A767" s="822"/>
      <c r="B767" s="812"/>
      <c r="C767" s="823"/>
      <c r="D767" s="814"/>
      <c r="E767" s="824"/>
      <c r="F767" s="824"/>
      <c r="G767" s="825"/>
      <c r="H767" s="826"/>
      <c r="I767" s="827"/>
      <c r="J767" s="825"/>
      <c r="K767" s="828"/>
      <c r="L767" s="829"/>
      <c r="M767" s="825"/>
      <c r="N767" s="825"/>
      <c r="O767" s="830"/>
    </row>
    <row r="768" ht="24.75" customHeight="1">
      <c r="A768" s="811"/>
      <c r="B768" s="812"/>
      <c r="C768" s="813"/>
      <c r="D768" s="814"/>
      <c r="E768" s="815"/>
      <c r="F768" s="815"/>
      <c r="G768" s="816"/>
      <c r="H768" s="817"/>
      <c r="I768" s="818"/>
      <c r="J768" s="816"/>
      <c r="K768" s="819"/>
      <c r="L768" s="820"/>
      <c r="M768" s="816"/>
      <c r="N768" s="816"/>
      <c r="O768" s="821"/>
    </row>
    <row r="769" ht="24.75" customHeight="1">
      <c r="A769" s="822"/>
      <c r="B769" s="812"/>
      <c r="C769" s="823"/>
      <c r="D769" s="814"/>
      <c r="E769" s="824"/>
      <c r="F769" s="824"/>
      <c r="G769" s="825"/>
      <c r="H769" s="826"/>
      <c r="I769" s="827"/>
      <c r="J769" s="825"/>
      <c r="K769" s="828"/>
      <c r="L769" s="829"/>
      <c r="M769" s="825"/>
      <c r="N769" s="825"/>
      <c r="O769" s="830"/>
    </row>
    <row r="770" ht="24.75" customHeight="1">
      <c r="A770" s="811"/>
      <c r="B770" s="812"/>
      <c r="C770" s="813"/>
      <c r="D770" s="814"/>
      <c r="E770" s="815"/>
      <c r="F770" s="815"/>
      <c r="G770" s="816"/>
      <c r="H770" s="817"/>
      <c r="I770" s="818"/>
      <c r="J770" s="816"/>
      <c r="K770" s="819"/>
      <c r="L770" s="820"/>
      <c r="M770" s="816"/>
      <c r="N770" s="816"/>
      <c r="O770" s="821"/>
    </row>
    <row r="771" ht="24.75" customHeight="1">
      <c r="A771" s="822"/>
      <c r="B771" s="812"/>
      <c r="C771" s="823"/>
      <c r="D771" s="814"/>
      <c r="E771" s="824"/>
      <c r="F771" s="824"/>
      <c r="G771" s="825"/>
      <c r="H771" s="826"/>
      <c r="I771" s="827"/>
      <c r="J771" s="825"/>
      <c r="K771" s="828"/>
      <c r="L771" s="829"/>
      <c r="M771" s="825"/>
      <c r="N771" s="825"/>
      <c r="O771" s="830"/>
    </row>
    <row r="772" ht="24.75" customHeight="1">
      <c r="A772" s="811"/>
      <c r="B772" s="812"/>
      <c r="C772" s="813"/>
      <c r="D772" s="814"/>
      <c r="E772" s="815"/>
      <c r="F772" s="815"/>
      <c r="G772" s="816"/>
      <c r="H772" s="817"/>
      <c r="I772" s="818"/>
      <c r="J772" s="816"/>
      <c r="K772" s="819"/>
      <c r="L772" s="820"/>
      <c r="M772" s="816"/>
      <c r="N772" s="816"/>
      <c r="O772" s="821"/>
    </row>
    <row r="773" ht="24.75" customHeight="1">
      <c r="A773" s="822"/>
      <c r="B773" s="812"/>
      <c r="C773" s="823"/>
      <c r="D773" s="814"/>
      <c r="E773" s="824"/>
      <c r="F773" s="824"/>
      <c r="G773" s="825"/>
      <c r="H773" s="826"/>
      <c r="I773" s="827"/>
      <c r="J773" s="825"/>
      <c r="K773" s="828"/>
      <c r="L773" s="829"/>
      <c r="M773" s="825"/>
      <c r="N773" s="825"/>
      <c r="O773" s="830"/>
    </row>
    <row r="774" ht="24.75" customHeight="1">
      <c r="A774" s="811"/>
      <c r="B774" s="812"/>
      <c r="C774" s="813"/>
      <c r="D774" s="814"/>
      <c r="E774" s="815"/>
      <c r="F774" s="815"/>
      <c r="G774" s="816"/>
      <c r="H774" s="817"/>
      <c r="I774" s="818"/>
      <c r="J774" s="816"/>
      <c r="K774" s="819"/>
      <c r="L774" s="820"/>
      <c r="M774" s="816"/>
      <c r="N774" s="816"/>
      <c r="O774" s="821"/>
    </row>
    <row r="775" ht="24.75" customHeight="1">
      <c r="A775" s="822"/>
      <c r="B775" s="812"/>
      <c r="C775" s="823"/>
      <c r="D775" s="814"/>
      <c r="E775" s="824"/>
      <c r="F775" s="824"/>
      <c r="G775" s="825"/>
      <c r="H775" s="826"/>
      <c r="I775" s="827"/>
      <c r="J775" s="825"/>
      <c r="K775" s="828"/>
      <c r="L775" s="829"/>
      <c r="M775" s="825"/>
      <c r="N775" s="825"/>
      <c r="O775" s="830"/>
    </row>
    <row r="776" ht="24.75" customHeight="1">
      <c r="A776" s="811"/>
      <c r="B776" s="812"/>
      <c r="C776" s="813"/>
      <c r="D776" s="814"/>
      <c r="E776" s="815"/>
      <c r="F776" s="815"/>
      <c r="G776" s="816"/>
      <c r="H776" s="817"/>
      <c r="I776" s="818"/>
      <c r="J776" s="816"/>
      <c r="K776" s="819"/>
      <c r="L776" s="820"/>
      <c r="M776" s="816"/>
      <c r="N776" s="816"/>
      <c r="O776" s="821"/>
    </row>
    <row r="777" ht="24.75" customHeight="1">
      <c r="A777" s="822"/>
      <c r="B777" s="812"/>
      <c r="C777" s="823"/>
      <c r="D777" s="814"/>
      <c r="E777" s="824"/>
      <c r="F777" s="824"/>
      <c r="G777" s="825"/>
      <c r="H777" s="826"/>
      <c r="I777" s="827"/>
      <c r="J777" s="825"/>
      <c r="K777" s="828"/>
      <c r="L777" s="829"/>
      <c r="M777" s="825"/>
      <c r="N777" s="825"/>
      <c r="O777" s="830"/>
    </row>
    <row r="778" ht="24.75" customHeight="1">
      <c r="A778" s="811"/>
      <c r="B778" s="812"/>
      <c r="C778" s="813"/>
      <c r="D778" s="814"/>
      <c r="E778" s="815"/>
      <c r="F778" s="815"/>
      <c r="G778" s="816"/>
      <c r="H778" s="817"/>
      <c r="I778" s="818"/>
      <c r="J778" s="816"/>
      <c r="K778" s="819"/>
      <c r="L778" s="820"/>
      <c r="M778" s="816"/>
      <c r="N778" s="816"/>
      <c r="O778" s="821"/>
    </row>
    <row r="779" ht="24.75" customHeight="1">
      <c r="A779" s="822"/>
      <c r="B779" s="812"/>
      <c r="C779" s="823"/>
      <c r="D779" s="814"/>
      <c r="E779" s="824"/>
      <c r="F779" s="824"/>
      <c r="G779" s="825"/>
      <c r="H779" s="826"/>
      <c r="I779" s="827"/>
      <c r="J779" s="825"/>
      <c r="K779" s="828"/>
      <c r="L779" s="829"/>
      <c r="M779" s="825"/>
      <c r="N779" s="825"/>
      <c r="O779" s="830"/>
    </row>
    <row r="780" ht="24.75" customHeight="1">
      <c r="A780" s="811"/>
      <c r="B780" s="812"/>
      <c r="C780" s="813"/>
      <c r="D780" s="814"/>
      <c r="E780" s="815"/>
      <c r="F780" s="815"/>
      <c r="G780" s="816"/>
      <c r="H780" s="817"/>
      <c r="I780" s="818"/>
      <c r="J780" s="816"/>
      <c r="K780" s="819"/>
      <c r="L780" s="820"/>
      <c r="M780" s="816"/>
      <c r="N780" s="816"/>
      <c r="O780" s="821"/>
    </row>
    <row r="781" ht="24.75" customHeight="1">
      <c r="A781" s="822"/>
      <c r="B781" s="812"/>
      <c r="C781" s="823"/>
      <c r="D781" s="814"/>
      <c r="E781" s="824"/>
      <c r="F781" s="824"/>
      <c r="G781" s="825"/>
      <c r="H781" s="826"/>
      <c r="I781" s="827"/>
      <c r="J781" s="825"/>
      <c r="K781" s="828"/>
      <c r="L781" s="829"/>
      <c r="M781" s="825"/>
      <c r="N781" s="825"/>
      <c r="O781" s="830"/>
    </row>
    <row r="782" ht="24.75" customHeight="1">
      <c r="A782" s="811"/>
      <c r="B782" s="812"/>
      <c r="C782" s="813"/>
      <c r="D782" s="814"/>
      <c r="E782" s="815"/>
      <c r="F782" s="815"/>
      <c r="G782" s="816"/>
      <c r="H782" s="817"/>
      <c r="I782" s="818"/>
      <c r="J782" s="816"/>
      <c r="K782" s="819"/>
      <c r="L782" s="820"/>
      <c r="M782" s="816"/>
      <c r="N782" s="816"/>
      <c r="O782" s="821"/>
    </row>
    <row r="783" ht="24.75" customHeight="1">
      <c r="A783" s="822"/>
      <c r="B783" s="812"/>
      <c r="C783" s="823"/>
      <c r="D783" s="814"/>
      <c r="E783" s="824"/>
      <c r="F783" s="824"/>
      <c r="G783" s="825"/>
      <c r="H783" s="826"/>
      <c r="I783" s="827"/>
      <c r="J783" s="825"/>
      <c r="K783" s="828"/>
      <c r="L783" s="829"/>
      <c r="M783" s="825"/>
      <c r="N783" s="825"/>
      <c r="O783" s="830"/>
    </row>
    <row r="784" ht="24.75" customHeight="1">
      <c r="A784" s="811"/>
      <c r="B784" s="812"/>
      <c r="C784" s="813"/>
      <c r="D784" s="814"/>
      <c r="E784" s="815"/>
      <c r="F784" s="815"/>
      <c r="G784" s="816"/>
      <c r="H784" s="817"/>
      <c r="I784" s="818"/>
      <c r="J784" s="816"/>
      <c r="K784" s="819"/>
      <c r="L784" s="820"/>
      <c r="M784" s="816"/>
      <c r="N784" s="816"/>
      <c r="O784" s="821"/>
    </row>
    <row r="785" ht="24.75" customHeight="1">
      <c r="A785" s="822"/>
      <c r="B785" s="812"/>
      <c r="C785" s="823"/>
      <c r="D785" s="814"/>
      <c r="E785" s="824"/>
      <c r="F785" s="824"/>
      <c r="G785" s="825"/>
      <c r="H785" s="826"/>
      <c r="I785" s="827"/>
      <c r="J785" s="825"/>
      <c r="K785" s="828"/>
      <c r="L785" s="829"/>
      <c r="M785" s="825"/>
      <c r="N785" s="825"/>
      <c r="O785" s="830"/>
    </row>
    <row r="786" ht="24.75" customHeight="1">
      <c r="A786" s="811"/>
      <c r="B786" s="812"/>
      <c r="C786" s="813"/>
      <c r="D786" s="814"/>
      <c r="E786" s="815"/>
      <c r="F786" s="815"/>
      <c r="G786" s="816"/>
      <c r="H786" s="817"/>
      <c r="I786" s="818"/>
      <c r="J786" s="816"/>
      <c r="K786" s="819"/>
      <c r="L786" s="820"/>
      <c r="M786" s="816"/>
      <c r="N786" s="816"/>
      <c r="O786" s="821"/>
    </row>
    <row r="787" ht="24.75" customHeight="1">
      <c r="A787" s="822"/>
      <c r="B787" s="812"/>
      <c r="C787" s="823"/>
      <c r="D787" s="814"/>
      <c r="E787" s="824"/>
      <c r="F787" s="824"/>
      <c r="G787" s="825"/>
      <c r="H787" s="826"/>
      <c r="I787" s="827"/>
      <c r="J787" s="825"/>
      <c r="K787" s="828"/>
      <c r="L787" s="829"/>
      <c r="M787" s="825"/>
      <c r="N787" s="825"/>
      <c r="O787" s="830"/>
    </row>
    <row r="788" ht="24.75" customHeight="1">
      <c r="A788" s="811"/>
      <c r="B788" s="812"/>
      <c r="C788" s="813"/>
      <c r="D788" s="814"/>
      <c r="E788" s="815"/>
      <c r="F788" s="815"/>
      <c r="G788" s="816"/>
      <c r="H788" s="817"/>
      <c r="I788" s="818"/>
      <c r="J788" s="816"/>
      <c r="K788" s="819"/>
      <c r="L788" s="820"/>
      <c r="M788" s="816"/>
      <c r="N788" s="816"/>
      <c r="O788" s="821"/>
    </row>
    <row r="789" ht="24.75" customHeight="1">
      <c r="A789" s="822"/>
      <c r="B789" s="812"/>
      <c r="C789" s="823"/>
      <c r="D789" s="814"/>
      <c r="E789" s="824"/>
      <c r="F789" s="824"/>
      <c r="G789" s="825"/>
      <c r="H789" s="826"/>
      <c r="I789" s="827"/>
      <c r="J789" s="825"/>
      <c r="K789" s="828"/>
      <c r="L789" s="829"/>
      <c r="M789" s="825"/>
      <c r="N789" s="825"/>
      <c r="O789" s="830"/>
    </row>
    <row r="790" ht="24.75" customHeight="1">
      <c r="A790" s="811"/>
      <c r="B790" s="812"/>
      <c r="C790" s="813"/>
      <c r="D790" s="814"/>
      <c r="E790" s="815"/>
      <c r="F790" s="815"/>
      <c r="G790" s="816"/>
      <c r="H790" s="817"/>
      <c r="I790" s="818"/>
      <c r="J790" s="816"/>
      <c r="K790" s="819"/>
      <c r="L790" s="820"/>
      <c r="M790" s="816"/>
      <c r="N790" s="816"/>
      <c r="O790" s="821"/>
    </row>
    <row r="791" ht="24.75" customHeight="1">
      <c r="A791" s="822"/>
      <c r="B791" s="812"/>
      <c r="C791" s="823"/>
      <c r="D791" s="814"/>
      <c r="E791" s="824"/>
      <c r="F791" s="824"/>
      <c r="G791" s="825"/>
      <c r="H791" s="826"/>
      <c r="I791" s="827"/>
      <c r="J791" s="825"/>
      <c r="K791" s="828"/>
      <c r="L791" s="829"/>
      <c r="M791" s="825"/>
      <c r="N791" s="825"/>
      <c r="O791" s="830"/>
    </row>
    <row r="792" ht="24.75" customHeight="1">
      <c r="A792" s="811"/>
      <c r="B792" s="812"/>
      <c r="C792" s="813"/>
      <c r="D792" s="814"/>
      <c r="E792" s="815"/>
      <c r="F792" s="815"/>
      <c r="G792" s="816"/>
      <c r="H792" s="817"/>
      <c r="I792" s="818"/>
      <c r="J792" s="816"/>
      <c r="K792" s="819"/>
      <c r="L792" s="820"/>
      <c r="M792" s="816"/>
      <c r="N792" s="816"/>
      <c r="O792" s="821"/>
    </row>
    <row r="793" ht="24.75" customHeight="1">
      <c r="A793" s="822"/>
      <c r="B793" s="812"/>
      <c r="C793" s="823"/>
      <c r="D793" s="814"/>
      <c r="E793" s="824"/>
      <c r="F793" s="824"/>
      <c r="G793" s="825"/>
      <c r="H793" s="826"/>
      <c r="I793" s="827"/>
      <c r="J793" s="825"/>
      <c r="K793" s="828"/>
      <c r="L793" s="829"/>
      <c r="M793" s="825"/>
      <c r="N793" s="825"/>
      <c r="O793" s="830"/>
    </row>
    <row r="794" ht="24.75" customHeight="1">
      <c r="A794" s="811"/>
      <c r="B794" s="812"/>
      <c r="C794" s="813"/>
      <c r="D794" s="814"/>
      <c r="E794" s="815"/>
      <c r="F794" s="815"/>
      <c r="G794" s="816"/>
      <c r="H794" s="817"/>
      <c r="I794" s="818"/>
      <c r="J794" s="816"/>
      <c r="K794" s="819"/>
      <c r="L794" s="820"/>
      <c r="M794" s="816"/>
      <c r="N794" s="816"/>
      <c r="O794" s="821"/>
    </row>
    <row r="795" ht="24.75" customHeight="1">
      <c r="A795" s="822"/>
      <c r="B795" s="812"/>
      <c r="C795" s="823"/>
      <c r="D795" s="814"/>
      <c r="E795" s="824"/>
      <c r="F795" s="824"/>
      <c r="G795" s="825"/>
      <c r="H795" s="826"/>
      <c r="I795" s="827"/>
      <c r="J795" s="825"/>
      <c r="K795" s="828"/>
      <c r="L795" s="829"/>
      <c r="M795" s="825"/>
      <c r="N795" s="825"/>
      <c r="O795" s="830"/>
    </row>
    <row r="796" ht="24.75" customHeight="1">
      <c r="A796" s="811"/>
      <c r="B796" s="812"/>
      <c r="C796" s="813"/>
      <c r="D796" s="814"/>
      <c r="E796" s="815"/>
      <c r="F796" s="815"/>
      <c r="G796" s="816"/>
      <c r="H796" s="817"/>
      <c r="I796" s="818"/>
      <c r="J796" s="816"/>
      <c r="K796" s="819"/>
      <c r="L796" s="820"/>
      <c r="M796" s="816"/>
      <c r="N796" s="816"/>
      <c r="O796" s="821"/>
    </row>
    <row r="797" ht="24.75" customHeight="1">
      <c r="A797" s="822"/>
      <c r="B797" s="812"/>
      <c r="C797" s="823"/>
      <c r="D797" s="814"/>
      <c r="E797" s="824"/>
      <c r="F797" s="824"/>
      <c r="G797" s="825"/>
      <c r="H797" s="826"/>
      <c r="I797" s="827"/>
      <c r="J797" s="825"/>
      <c r="K797" s="828"/>
      <c r="L797" s="829"/>
      <c r="M797" s="825"/>
      <c r="N797" s="825"/>
      <c r="O797" s="830"/>
    </row>
    <row r="798" ht="24.75" customHeight="1">
      <c r="A798" s="811"/>
      <c r="B798" s="812"/>
      <c r="C798" s="813"/>
      <c r="D798" s="814"/>
      <c r="E798" s="815"/>
      <c r="F798" s="815"/>
      <c r="G798" s="816"/>
      <c r="H798" s="817"/>
      <c r="I798" s="818"/>
      <c r="J798" s="816"/>
      <c r="K798" s="819"/>
      <c r="L798" s="820"/>
      <c r="M798" s="816"/>
      <c r="N798" s="816"/>
      <c r="O798" s="821"/>
    </row>
    <row r="799" ht="24.75" customHeight="1">
      <c r="A799" s="822"/>
      <c r="B799" s="812"/>
      <c r="C799" s="823"/>
      <c r="D799" s="814"/>
      <c r="E799" s="824"/>
      <c r="F799" s="824"/>
      <c r="G799" s="825"/>
      <c r="H799" s="826"/>
      <c r="I799" s="827"/>
      <c r="J799" s="825"/>
      <c r="K799" s="828"/>
      <c r="L799" s="829"/>
      <c r="M799" s="825"/>
      <c r="N799" s="825"/>
      <c r="O799" s="830"/>
    </row>
    <row r="800" ht="24.75" customHeight="1">
      <c r="A800" s="811"/>
      <c r="B800" s="812"/>
      <c r="C800" s="813"/>
      <c r="D800" s="814"/>
      <c r="E800" s="815"/>
      <c r="F800" s="815"/>
      <c r="G800" s="816"/>
      <c r="H800" s="817"/>
      <c r="I800" s="818"/>
      <c r="J800" s="816"/>
      <c r="K800" s="819"/>
      <c r="L800" s="820"/>
      <c r="M800" s="816"/>
      <c r="N800" s="816"/>
      <c r="O800" s="821"/>
    </row>
    <row r="801" ht="24.75" customHeight="1">
      <c r="A801" s="822"/>
      <c r="B801" s="812"/>
      <c r="C801" s="823"/>
      <c r="D801" s="814"/>
      <c r="E801" s="824"/>
      <c r="F801" s="824"/>
      <c r="G801" s="825"/>
      <c r="H801" s="826"/>
      <c r="I801" s="827"/>
      <c r="J801" s="825"/>
      <c r="K801" s="828"/>
      <c r="L801" s="829"/>
      <c r="M801" s="825"/>
      <c r="N801" s="825"/>
      <c r="O801" s="830"/>
    </row>
    <row r="802" ht="24.75" customHeight="1">
      <c r="A802" s="811"/>
      <c r="B802" s="812"/>
      <c r="C802" s="813"/>
      <c r="D802" s="814"/>
      <c r="E802" s="815"/>
      <c r="F802" s="815"/>
      <c r="G802" s="816"/>
      <c r="H802" s="817"/>
      <c r="I802" s="818"/>
      <c r="J802" s="816"/>
      <c r="K802" s="819"/>
      <c r="L802" s="820"/>
      <c r="M802" s="816"/>
      <c r="N802" s="816"/>
      <c r="O802" s="821"/>
    </row>
    <row r="803" ht="24.75" customHeight="1">
      <c r="A803" s="822"/>
      <c r="B803" s="812"/>
      <c r="C803" s="823"/>
      <c r="D803" s="814"/>
      <c r="E803" s="824"/>
      <c r="F803" s="824"/>
      <c r="G803" s="825"/>
      <c r="H803" s="826"/>
      <c r="I803" s="827"/>
      <c r="J803" s="825"/>
      <c r="K803" s="828"/>
      <c r="L803" s="829"/>
      <c r="M803" s="825"/>
      <c r="N803" s="825"/>
      <c r="O803" s="830"/>
    </row>
    <row r="804" ht="24.75" customHeight="1">
      <c r="A804" s="811"/>
      <c r="B804" s="812"/>
      <c r="C804" s="813"/>
      <c r="D804" s="814"/>
      <c r="E804" s="815"/>
      <c r="F804" s="815"/>
      <c r="G804" s="816"/>
      <c r="H804" s="817"/>
      <c r="I804" s="818"/>
      <c r="J804" s="816"/>
      <c r="K804" s="819"/>
      <c r="L804" s="820"/>
      <c r="M804" s="816"/>
      <c r="N804" s="816"/>
      <c r="O804" s="821"/>
    </row>
    <row r="805" ht="24.75" customHeight="1">
      <c r="A805" s="822"/>
      <c r="B805" s="812"/>
      <c r="C805" s="823"/>
      <c r="D805" s="814"/>
      <c r="E805" s="824"/>
      <c r="F805" s="824"/>
      <c r="G805" s="825"/>
      <c r="H805" s="826"/>
      <c r="I805" s="827"/>
      <c r="J805" s="825"/>
      <c r="K805" s="828"/>
      <c r="L805" s="829"/>
      <c r="M805" s="825"/>
      <c r="N805" s="825"/>
      <c r="O805" s="830"/>
    </row>
    <row r="806" ht="24.75" customHeight="1">
      <c r="A806" s="811"/>
      <c r="B806" s="812"/>
      <c r="C806" s="813"/>
      <c r="D806" s="814"/>
      <c r="E806" s="815"/>
      <c r="F806" s="815"/>
      <c r="G806" s="816"/>
      <c r="H806" s="817"/>
      <c r="I806" s="818"/>
      <c r="J806" s="816"/>
      <c r="K806" s="819"/>
      <c r="L806" s="820"/>
      <c r="M806" s="816"/>
      <c r="N806" s="816"/>
      <c r="O806" s="821"/>
    </row>
    <row r="807" ht="24.75" customHeight="1">
      <c r="A807" s="822"/>
      <c r="B807" s="812"/>
      <c r="C807" s="823"/>
      <c r="D807" s="814"/>
      <c r="E807" s="824"/>
      <c r="F807" s="824"/>
      <c r="G807" s="825"/>
      <c r="H807" s="826"/>
      <c r="I807" s="827"/>
      <c r="J807" s="825"/>
      <c r="K807" s="828"/>
      <c r="L807" s="829"/>
      <c r="M807" s="825"/>
      <c r="N807" s="825"/>
      <c r="O807" s="830"/>
    </row>
    <row r="808" ht="24.75" customHeight="1">
      <c r="A808" s="811"/>
      <c r="B808" s="812"/>
      <c r="C808" s="813"/>
      <c r="D808" s="814"/>
      <c r="E808" s="815"/>
      <c r="F808" s="815"/>
      <c r="G808" s="816"/>
      <c r="H808" s="817"/>
      <c r="I808" s="818"/>
      <c r="J808" s="816"/>
      <c r="K808" s="819"/>
      <c r="L808" s="820"/>
      <c r="M808" s="816"/>
      <c r="N808" s="816"/>
      <c r="O808" s="821"/>
    </row>
    <row r="809" ht="24.75" customHeight="1">
      <c r="A809" s="822"/>
      <c r="B809" s="812"/>
      <c r="C809" s="823"/>
      <c r="D809" s="814"/>
      <c r="E809" s="824"/>
      <c r="F809" s="824"/>
      <c r="G809" s="825"/>
      <c r="H809" s="826"/>
      <c r="I809" s="827"/>
      <c r="J809" s="825"/>
      <c r="K809" s="828"/>
      <c r="L809" s="829"/>
      <c r="M809" s="825"/>
      <c r="N809" s="825"/>
      <c r="O809" s="830"/>
    </row>
    <row r="810" ht="24.75" customHeight="1">
      <c r="A810" s="811"/>
      <c r="B810" s="812"/>
      <c r="C810" s="813"/>
      <c r="D810" s="814"/>
      <c r="E810" s="815"/>
      <c r="F810" s="815"/>
      <c r="G810" s="816"/>
      <c r="H810" s="817"/>
      <c r="I810" s="818"/>
      <c r="J810" s="816"/>
      <c r="K810" s="819"/>
      <c r="L810" s="820"/>
      <c r="M810" s="816"/>
      <c r="N810" s="816"/>
      <c r="O810" s="821"/>
    </row>
    <row r="811" ht="24.75" customHeight="1">
      <c r="A811" s="822"/>
      <c r="B811" s="812"/>
      <c r="C811" s="823"/>
      <c r="D811" s="814"/>
      <c r="E811" s="824"/>
      <c r="F811" s="824"/>
      <c r="G811" s="825"/>
      <c r="H811" s="826"/>
      <c r="I811" s="827"/>
      <c r="J811" s="825"/>
      <c r="K811" s="828"/>
      <c r="L811" s="829"/>
      <c r="M811" s="825"/>
      <c r="N811" s="825"/>
      <c r="O811" s="830"/>
    </row>
    <row r="812" ht="24.75" customHeight="1">
      <c r="A812" s="811"/>
      <c r="B812" s="812"/>
      <c r="C812" s="813"/>
      <c r="D812" s="814"/>
      <c r="E812" s="815"/>
      <c r="F812" s="815"/>
      <c r="G812" s="816"/>
      <c r="H812" s="817"/>
      <c r="I812" s="818"/>
      <c r="J812" s="816"/>
      <c r="K812" s="819"/>
      <c r="L812" s="820"/>
      <c r="M812" s="816"/>
      <c r="N812" s="816"/>
      <c r="O812" s="821"/>
    </row>
    <row r="813" ht="24.75" customHeight="1">
      <c r="A813" s="822"/>
      <c r="B813" s="812"/>
      <c r="C813" s="823"/>
      <c r="D813" s="814"/>
      <c r="E813" s="824"/>
      <c r="F813" s="824"/>
      <c r="G813" s="825"/>
      <c r="H813" s="826"/>
      <c r="I813" s="827"/>
      <c r="J813" s="825"/>
      <c r="K813" s="828"/>
      <c r="L813" s="829"/>
      <c r="M813" s="825"/>
      <c r="N813" s="825"/>
      <c r="O813" s="830"/>
    </row>
    <row r="814" ht="24.75" customHeight="1">
      <c r="A814" s="811"/>
      <c r="B814" s="812"/>
      <c r="C814" s="813"/>
      <c r="D814" s="814"/>
      <c r="E814" s="815"/>
      <c r="F814" s="815"/>
      <c r="G814" s="816"/>
      <c r="H814" s="817"/>
      <c r="I814" s="818"/>
      <c r="J814" s="816"/>
      <c r="K814" s="819"/>
      <c r="L814" s="820"/>
      <c r="M814" s="816"/>
      <c r="N814" s="816"/>
      <c r="O814" s="821"/>
    </row>
    <row r="815" ht="24.75" customHeight="1">
      <c r="A815" s="822"/>
      <c r="B815" s="812"/>
      <c r="C815" s="823"/>
      <c r="D815" s="814"/>
      <c r="E815" s="824"/>
      <c r="F815" s="824"/>
      <c r="G815" s="825"/>
      <c r="H815" s="826"/>
      <c r="I815" s="827"/>
      <c r="J815" s="825"/>
      <c r="K815" s="828"/>
      <c r="L815" s="829"/>
      <c r="M815" s="825"/>
      <c r="N815" s="825"/>
      <c r="O815" s="830"/>
    </row>
    <row r="816" ht="24.75" customHeight="1">
      <c r="A816" s="811"/>
      <c r="B816" s="812"/>
      <c r="C816" s="813"/>
      <c r="D816" s="814"/>
      <c r="E816" s="815"/>
      <c r="F816" s="815"/>
      <c r="G816" s="816"/>
      <c r="H816" s="817"/>
      <c r="I816" s="818"/>
      <c r="J816" s="816"/>
      <c r="K816" s="819"/>
      <c r="L816" s="820"/>
      <c r="M816" s="816"/>
      <c r="N816" s="816"/>
      <c r="O816" s="821"/>
    </row>
    <row r="817" ht="24.75" customHeight="1">
      <c r="A817" s="822"/>
      <c r="B817" s="812"/>
      <c r="C817" s="823"/>
      <c r="D817" s="814"/>
      <c r="E817" s="824"/>
      <c r="F817" s="824"/>
      <c r="G817" s="825"/>
      <c r="H817" s="826"/>
      <c r="I817" s="827"/>
      <c r="J817" s="825"/>
      <c r="K817" s="828"/>
      <c r="L817" s="829"/>
      <c r="M817" s="825"/>
      <c r="N817" s="825"/>
      <c r="O817" s="830"/>
    </row>
    <row r="818" ht="24.75" customHeight="1">
      <c r="A818" s="811"/>
      <c r="B818" s="812"/>
      <c r="C818" s="813"/>
      <c r="D818" s="814"/>
      <c r="E818" s="815"/>
      <c r="F818" s="815"/>
      <c r="G818" s="816"/>
      <c r="H818" s="817"/>
      <c r="I818" s="818"/>
      <c r="J818" s="816"/>
      <c r="K818" s="819"/>
      <c r="L818" s="820"/>
      <c r="M818" s="816"/>
      <c r="N818" s="816"/>
      <c r="O818" s="821"/>
    </row>
    <row r="819" ht="24.75" customHeight="1">
      <c r="A819" s="822"/>
      <c r="B819" s="812"/>
      <c r="C819" s="823"/>
      <c r="D819" s="814"/>
      <c r="E819" s="824"/>
      <c r="F819" s="824"/>
      <c r="G819" s="825"/>
      <c r="H819" s="826"/>
      <c r="I819" s="827"/>
      <c r="J819" s="825"/>
      <c r="K819" s="828"/>
      <c r="L819" s="829"/>
      <c r="M819" s="825"/>
      <c r="N819" s="825"/>
      <c r="O819" s="830"/>
    </row>
    <row r="820" ht="24.75" customHeight="1">
      <c r="A820" s="811"/>
      <c r="B820" s="812"/>
      <c r="C820" s="813"/>
      <c r="D820" s="814"/>
      <c r="E820" s="815"/>
      <c r="F820" s="815"/>
      <c r="G820" s="816"/>
      <c r="H820" s="817"/>
      <c r="I820" s="818"/>
      <c r="J820" s="816"/>
      <c r="K820" s="819"/>
      <c r="L820" s="820"/>
      <c r="M820" s="816"/>
      <c r="N820" s="816"/>
      <c r="O820" s="821"/>
    </row>
    <row r="821" ht="24.75" customHeight="1">
      <c r="A821" s="822"/>
      <c r="B821" s="812"/>
      <c r="C821" s="823"/>
      <c r="D821" s="814"/>
      <c r="E821" s="824"/>
      <c r="F821" s="824"/>
      <c r="G821" s="825"/>
      <c r="H821" s="826"/>
      <c r="I821" s="827"/>
      <c r="J821" s="825"/>
      <c r="K821" s="828"/>
      <c r="L821" s="829"/>
      <c r="M821" s="825"/>
      <c r="N821" s="825"/>
      <c r="O821" s="830"/>
    </row>
    <row r="822" ht="24.75" customHeight="1">
      <c r="A822" s="811"/>
      <c r="B822" s="812"/>
      <c r="C822" s="813"/>
      <c r="D822" s="814"/>
      <c r="E822" s="815"/>
      <c r="F822" s="815"/>
      <c r="G822" s="816"/>
      <c r="H822" s="817"/>
      <c r="I822" s="818"/>
      <c r="J822" s="816"/>
      <c r="K822" s="819"/>
      <c r="L822" s="820"/>
      <c r="M822" s="816"/>
      <c r="N822" s="816"/>
      <c r="O822" s="821"/>
    </row>
    <row r="823" ht="24.75" customHeight="1">
      <c r="A823" s="822"/>
      <c r="B823" s="812"/>
      <c r="C823" s="823"/>
      <c r="D823" s="814"/>
      <c r="E823" s="824"/>
      <c r="F823" s="824"/>
      <c r="G823" s="825"/>
      <c r="H823" s="826"/>
      <c r="I823" s="827"/>
      <c r="J823" s="825"/>
      <c r="K823" s="828"/>
      <c r="L823" s="829"/>
      <c r="M823" s="825"/>
      <c r="N823" s="825"/>
      <c r="O823" s="830"/>
    </row>
    <row r="824" ht="24.75" customHeight="1">
      <c r="A824" s="811"/>
      <c r="B824" s="812"/>
      <c r="C824" s="813"/>
      <c r="D824" s="814"/>
      <c r="E824" s="815"/>
      <c r="F824" s="815"/>
      <c r="G824" s="816"/>
      <c r="H824" s="817"/>
      <c r="I824" s="818"/>
      <c r="J824" s="816"/>
      <c r="K824" s="819"/>
      <c r="L824" s="820"/>
      <c r="M824" s="816"/>
      <c r="N824" s="816"/>
      <c r="O824" s="821"/>
    </row>
    <row r="825" ht="24.75" customHeight="1">
      <c r="A825" s="822"/>
      <c r="B825" s="812"/>
      <c r="C825" s="823"/>
      <c r="D825" s="814"/>
      <c r="E825" s="824"/>
      <c r="F825" s="824"/>
      <c r="G825" s="825"/>
      <c r="H825" s="826"/>
      <c r="I825" s="827"/>
      <c r="J825" s="825"/>
      <c r="K825" s="828"/>
      <c r="L825" s="829"/>
      <c r="M825" s="825"/>
      <c r="N825" s="825"/>
      <c r="O825" s="830"/>
    </row>
    <row r="826" ht="24.75" customHeight="1">
      <c r="A826" s="811"/>
      <c r="B826" s="812"/>
      <c r="C826" s="813"/>
      <c r="D826" s="814"/>
      <c r="E826" s="815"/>
      <c r="F826" s="815"/>
      <c r="G826" s="816"/>
      <c r="H826" s="817"/>
      <c r="I826" s="818"/>
      <c r="J826" s="816"/>
      <c r="K826" s="819"/>
      <c r="L826" s="820"/>
      <c r="M826" s="816"/>
      <c r="N826" s="816"/>
      <c r="O826" s="821"/>
    </row>
    <row r="827" ht="24.75" customHeight="1">
      <c r="A827" s="822"/>
      <c r="B827" s="812"/>
      <c r="C827" s="823"/>
      <c r="D827" s="814"/>
      <c r="E827" s="824"/>
      <c r="F827" s="824"/>
      <c r="G827" s="825"/>
      <c r="H827" s="826"/>
      <c r="I827" s="827"/>
      <c r="J827" s="825"/>
      <c r="K827" s="828"/>
      <c r="L827" s="829"/>
      <c r="M827" s="825"/>
      <c r="N827" s="825"/>
      <c r="O827" s="830"/>
    </row>
    <row r="828" ht="24.75" customHeight="1">
      <c r="A828" s="811"/>
      <c r="B828" s="812"/>
      <c r="C828" s="813"/>
      <c r="D828" s="814"/>
      <c r="E828" s="815"/>
      <c r="F828" s="815"/>
      <c r="G828" s="816"/>
      <c r="H828" s="817"/>
      <c r="I828" s="818"/>
      <c r="J828" s="816"/>
      <c r="K828" s="819"/>
      <c r="L828" s="820"/>
      <c r="M828" s="816"/>
      <c r="N828" s="816"/>
      <c r="O828" s="821"/>
    </row>
    <row r="829" ht="24.75" customHeight="1">
      <c r="A829" s="822"/>
      <c r="B829" s="812"/>
      <c r="C829" s="823"/>
      <c r="D829" s="814"/>
      <c r="E829" s="824"/>
      <c r="F829" s="824"/>
      <c r="G829" s="825"/>
      <c r="H829" s="826"/>
      <c r="I829" s="827"/>
      <c r="J829" s="825"/>
      <c r="K829" s="828"/>
      <c r="L829" s="829"/>
      <c r="M829" s="825"/>
      <c r="N829" s="825"/>
      <c r="O829" s="830"/>
    </row>
    <row r="830" ht="24.75" customHeight="1">
      <c r="A830" s="811"/>
      <c r="B830" s="812"/>
      <c r="C830" s="813"/>
      <c r="D830" s="814"/>
      <c r="E830" s="815"/>
      <c r="F830" s="815"/>
      <c r="G830" s="816"/>
      <c r="H830" s="817"/>
      <c r="I830" s="818"/>
      <c r="J830" s="816"/>
      <c r="K830" s="819"/>
      <c r="L830" s="820"/>
      <c r="M830" s="816"/>
      <c r="N830" s="816"/>
      <c r="O830" s="821"/>
    </row>
    <row r="831" ht="24.75" customHeight="1">
      <c r="A831" s="822"/>
      <c r="B831" s="812"/>
      <c r="C831" s="823"/>
      <c r="D831" s="814"/>
      <c r="E831" s="824"/>
      <c r="F831" s="824"/>
      <c r="G831" s="825"/>
      <c r="H831" s="826"/>
      <c r="I831" s="827"/>
      <c r="J831" s="825"/>
      <c r="K831" s="828"/>
      <c r="L831" s="829"/>
      <c r="M831" s="825"/>
      <c r="N831" s="825"/>
      <c r="O831" s="830"/>
    </row>
    <row r="832" ht="24.75" customHeight="1">
      <c r="A832" s="811"/>
      <c r="B832" s="812"/>
      <c r="C832" s="813"/>
      <c r="D832" s="814"/>
      <c r="E832" s="815"/>
      <c r="F832" s="815"/>
      <c r="G832" s="816"/>
      <c r="H832" s="817"/>
      <c r="I832" s="818"/>
      <c r="J832" s="816"/>
      <c r="K832" s="819"/>
      <c r="L832" s="820"/>
      <c r="M832" s="816"/>
      <c r="N832" s="816"/>
      <c r="O832" s="821"/>
    </row>
    <row r="833" ht="24.75" customHeight="1">
      <c r="A833" s="822"/>
      <c r="B833" s="812"/>
      <c r="C833" s="823"/>
      <c r="D833" s="814"/>
      <c r="E833" s="824"/>
      <c r="F833" s="824"/>
      <c r="G833" s="825"/>
      <c r="H833" s="826"/>
      <c r="I833" s="827"/>
      <c r="J833" s="825"/>
      <c r="K833" s="828"/>
      <c r="L833" s="829"/>
      <c r="M833" s="825"/>
      <c r="N833" s="825"/>
      <c r="O833" s="830"/>
    </row>
    <row r="834" ht="24.75" customHeight="1">
      <c r="A834" s="811"/>
      <c r="B834" s="812"/>
      <c r="C834" s="813"/>
      <c r="D834" s="814"/>
      <c r="E834" s="815"/>
      <c r="F834" s="815"/>
      <c r="G834" s="816"/>
      <c r="H834" s="817"/>
      <c r="I834" s="818"/>
      <c r="J834" s="816"/>
      <c r="K834" s="819"/>
      <c r="L834" s="820"/>
      <c r="M834" s="816"/>
      <c r="N834" s="816"/>
      <c r="O834" s="821"/>
    </row>
    <row r="835" ht="24.75" customHeight="1">
      <c r="A835" s="822"/>
      <c r="B835" s="812"/>
      <c r="C835" s="823"/>
      <c r="D835" s="814"/>
      <c r="E835" s="824"/>
      <c r="F835" s="824"/>
      <c r="G835" s="825"/>
      <c r="H835" s="826"/>
      <c r="I835" s="827"/>
      <c r="J835" s="825"/>
      <c r="K835" s="828"/>
      <c r="L835" s="829"/>
      <c r="M835" s="825"/>
      <c r="N835" s="825"/>
      <c r="O835" s="830"/>
    </row>
    <row r="836" ht="24.75" customHeight="1">
      <c r="A836" s="811"/>
      <c r="B836" s="812"/>
      <c r="C836" s="813"/>
      <c r="D836" s="814"/>
      <c r="E836" s="815"/>
      <c r="F836" s="815"/>
      <c r="G836" s="816"/>
      <c r="H836" s="817"/>
      <c r="I836" s="818"/>
      <c r="J836" s="816"/>
      <c r="K836" s="819"/>
      <c r="L836" s="820"/>
      <c r="M836" s="816"/>
      <c r="N836" s="816"/>
      <c r="O836" s="821"/>
    </row>
    <row r="837" ht="24.75" customHeight="1">
      <c r="A837" s="822"/>
      <c r="B837" s="812"/>
      <c r="C837" s="823"/>
      <c r="D837" s="814"/>
      <c r="E837" s="824"/>
      <c r="F837" s="824"/>
      <c r="G837" s="825"/>
      <c r="H837" s="826"/>
      <c r="I837" s="827"/>
      <c r="J837" s="825"/>
      <c r="K837" s="828"/>
      <c r="L837" s="829"/>
      <c r="M837" s="825"/>
      <c r="N837" s="825"/>
      <c r="O837" s="830"/>
    </row>
    <row r="838" ht="24.75" customHeight="1">
      <c r="A838" s="811"/>
      <c r="B838" s="812"/>
      <c r="C838" s="813"/>
      <c r="D838" s="814"/>
      <c r="E838" s="815"/>
      <c r="F838" s="815"/>
      <c r="G838" s="816"/>
      <c r="H838" s="817"/>
      <c r="I838" s="818"/>
      <c r="J838" s="816"/>
      <c r="K838" s="819"/>
      <c r="L838" s="820"/>
      <c r="M838" s="816"/>
      <c r="N838" s="816"/>
      <c r="O838" s="821"/>
    </row>
    <row r="839" ht="24.75" customHeight="1">
      <c r="A839" s="822"/>
      <c r="B839" s="812"/>
      <c r="C839" s="823"/>
      <c r="D839" s="814"/>
      <c r="E839" s="824"/>
      <c r="F839" s="824"/>
      <c r="G839" s="825"/>
      <c r="H839" s="826"/>
      <c r="I839" s="827"/>
      <c r="J839" s="825"/>
      <c r="K839" s="828"/>
      <c r="L839" s="829"/>
      <c r="M839" s="825"/>
      <c r="N839" s="825"/>
      <c r="O839" s="830"/>
    </row>
    <row r="840" ht="24.75" customHeight="1">
      <c r="A840" s="811"/>
      <c r="B840" s="812"/>
      <c r="C840" s="813"/>
      <c r="D840" s="814"/>
      <c r="E840" s="815"/>
      <c r="F840" s="815"/>
      <c r="G840" s="816"/>
      <c r="H840" s="817"/>
      <c r="I840" s="818"/>
      <c r="J840" s="816"/>
      <c r="K840" s="819"/>
      <c r="L840" s="820"/>
      <c r="M840" s="816"/>
      <c r="N840" s="816"/>
      <c r="O840" s="821"/>
    </row>
    <row r="841" ht="24.75" customHeight="1">
      <c r="A841" s="822"/>
      <c r="B841" s="812"/>
      <c r="C841" s="823"/>
      <c r="D841" s="814"/>
      <c r="E841" s="824"/>
      <c r="F841" s="824"/>
      <c r="G841" s="825"/>
      <c r="H841" s="826"/>
      <c r="I841" s="827"/>
      <c r="J841" s="825"/>
      <c r="K841" s="828"/>
      <c r="L841" s="829"/>
      <c r="M841" s="825"/>
      <c r="N841" s="825"/>
      <c r="O841" s="830"/>
    </row>
    <row r="842" ht="24.75" customHeight="1">
      <c r="A842" s="811"/>
      <c r="B842" s="812"/>
      <c r="C842" s="813"/>
      <c r="D842" s="814"/>
      <c r="E842" s="815"/>
      <c r="F842" s="815"/>
      <c r="G842" s="816"/>
      <c r="H842" s="817"/>
      <c r="I842" s="818"/>
      <c r="J842" s="816"/>
      <c r="K842" s="819"/>
      <c r="L842" s="820"/>
      <c r="M842" s="816"/>
      <c r="N842" s="816"/>
      <c r="O842" s="821"/>
    </row>
    <row r="843" ht="24.75" customHeight="1">
      <c r="A843" s="822"/>
      <c r="B843" s="812"/>
      <c r="C843" s="823"/>
      <c r="D843" s="814"/>
      <c r="E843" s="824"/>
      <c r="F843" s="824"/>
      <c r="G843" s="825"/>
      <c r="H843" s="826"/>
      <c r="I843" s="827"/>
      <c r="J843" s="825"/>
      <c r="K843" s="828"/>
      <c r="L843" s="829"/>
      <c r="M843" s="825"/>
      <c r="N843" s="825"/>
      <c r="O843" s="830"/>
    </row>
    <row r="844" ht="24.75" customHeight="1">
      <c r="A844" s="811"/>
      <c r="B844" s="812"/>
      <c r="C844" s="813"/>
      <c r="D844" s="814"/>
      <c r="E844" s="815"/>
      <c r="F844" s="815"/>
      <c r="G844" s="816"/>
      <c r="H844" s="817"/>
      <c r="I844" s="818"/>
      <c r="J844" s="816"/>
      <c r="K844" s="819"/>
      <c r="L844" s="820"/>
      <c r="M844" s="816"/>
      <c r="N844" s="816"/>
      <c r="O844" s="821"/>
    </row>
    <row r="845" ht="24.75" customHeight="1">
      <c r="A845" s="822"/>
      <c r="B845" s="812"/>
      <c r="C845" s="823"/>
      <c r="D845" s="814"/>
      <c r="E845" s="824"/>
      <c r="F845" s="824"/>
      <c r="G845" s="825"/>
      <c r="H845" s="826"/>
      <c r="I845" s="827"/>
      <c r="J845" s="825"/>
      <c r="K845" s="828"/>
      <c r="L845" s="829"/>
      <c r="M845" s="825"/>
      <c r="N845" s="825"/>
      <c r="O845" s="830"/>
    </row>
    <row r="846" ht="24.75" customHeight="1">
      <c r="A846" s="811"/>
      <c r="B846" s="812"/>
      <c r="C846" s="813"/>
      <c r="D846" s="814"/>
      <c r="E846" s="815"/>
      <c r="F846" s="815"/>
      <c r="G846" s="816"/>
      <c r="H846" s="817"/>
      <c r="I846" s="818"/>
      <c r="J846" s="816"/>
      <c r="K846" s="819"/>
      <c r="L846" s="820"/>
      <c r="M846" s="816"/>
      <c r="N846" s="816"/>
      <c r="O846" s="821"/>
    </row>
    <row r="847" ht="24.75" customHeight="1">
      <c r="A847" s="822"/>
      <c r="B847" s="812"/>
      <c r="C847" s="823"/>
      <c r="D847" s="814"/>
      <c r="E847" s="824"/>
      <c r="F847" s="824"/>
      <c r="G847" s="825"/>
      <c r="H847" s="826"/>
      <c r="I847" s="827"/>
      <c r="J847" s="825"/>
      <c r="K847" s="828"/>
      <c r="L847" s="829"/>
      <c r="M847" s="825"/>
      <c r="N847" s="825"/>
      <c r="O847" s="830"/>
    </row>
    <row r="848" ht="24.75" customHeight="1">
      <c r="A848" s="811"/>
      <c r="B848" s="812"/>
      <c r="C848" s="813"/>
      <c r="D848" s="814"/>
      <c r="E848" s="815"/>
      <c r="F848" s="815"/>
      <c r="G848" s="816"/>
      <c r="H848" s="817"/>
      <c r="I848" s="818"/>
      <c r="J848" s="816"/>
      <c r="K848" s="819"/>
      <c r="L848" s="820"/>
      <c r="M848" s="816"/>
      <c r="N848" s="816"/>
      <c r="O848" s="821"/>
    </row>
    <row r="849" ht="24.75" customHeight="1">
      <c r="A849" s="822"/>
      <c r="B849" s="812"/>
      <c r="C849" s="823"/>
      <c r="D849" s="814"/>
      <c r="E849" s="824"/>
      <c r="F849" s="824"/>
      <c r="G849" s="825"/>
      <c r="H849" s="826"/>
      <c r="I849" s="827"/>
      <c r="J849" s="825"/>
      <c r="K849" s="828"/>
      <c r="L849" s="829"/>
      <c r="M849" s="825"/>
      <c r="N849" s="825"/>
      <c r="O849" s="830"/>
    </row>
    <row r="850" ht="24.75" customHeight="1">
      <c r="A850" s="811"/>
      <c r="B850" s="812"/>
      <c r="C850" s="813"/>
      <c r="D850" s="814"/>
      <c r="E850" s="815"/>
      <c r="F850" s="815"/>
      <c r="G850" s="816"/>
      <c r="H850" s="817"/>
      <c r="I850" s="818"/>
      <c r="J850" s="816"/>
      <c r="K850" s="819"/>
      <c r="L850" s="820"/>
      <c r="M850" s="816"/>
      <c r="N850" s="816"/>
      <c r="O850" s="821"/>
    </row>
    <row r="851" ht="24.75" customHeight="1">
      <c r="A851" s="822"/>
      <c r="B851" s="812"/>
      <c r="C851" s="823"/>
      <c r="D851" s="814"/>
      <c r="E851" s="824"/>
      <c r="F851" s="824"/>
      <c r="G851" s="825"/>
      <c r="H851" s="826"/>
      <c r="I851" s="827"/>
      <c r="J851" s="825"/>
      <c r="K851" s="828"/>
      <c r="L851" s="829"/>
      <c r="M851" s="825"/>
      <c r="N851" s="825"/>
      <c r="O851" s="830"/>
    </row>
    <row r="852" ht="24.75" customHeight="1">
      <c r="A852" s="811"/>
      <c r="B852" s="812"/>
      <c r="C852" s="813"/>
      <c r="D852" s="814"/>
      <c r="E852" s="815"/>
      <c r="F852" s="815"/>
      <c r="G852" s="816"/>
      <c r="H852" s="817"/>
      <c r="I852" s="818"/>
      <c r="J852" s="816"/>
      <c r="K852" s="819"/>
      <c r="L852" s="820"/>
      <c r="M852" s="816"/>
      <c r="N852" s="816"/>
      <c r="O852" s="821"/>
    </row>
    <row r="853" ht="24.75" customHeight="1">
      <c r="A853" s="822"/>
      <c r="B853" s="812"/>
      <c r="C853" s="823"/>
      <c r="D853" s="814"/>
      <c r="E853" s="824"/>
      <c r="F853" s="824"/>
      <c r="G853" s="825"/>
      <c r="H853" s="826"/>
      <c r="I853" s="827"/>
      <c r="J853" s="825"/>
      <c r="K853" s="828"/>
      <c r="L853" s="829"/>
      <c r="M853" s="825"/>
      <c r="N853" s="825"/>
      <c r="O853" s="830"/>
    </row>
    <row r="854" ht="24.75" customHeight="1">
      <c r="A854" s="811"/>
      <c r="B854" s="812"/>
      <c r="C854" s="813"/>
      <c r="D854" s="814"/>
      <c r="E854" s="815"/>
      <c r="F854" s="815"/>
      <c r="G854" s="816"/>
      <c r="H854" s="817"/>
      <c r="I854" s="818"/>
      <c r="J854" s="816"/>
      <c r="K854" s="819"/>
      <c r="L854" s="820"/>
      <c r="M854" s="816"/>
      <c r="N854" s="816"/>
      <c r="O854" s="821"/>
    </row>
    <row r="855" ht="24.75" customHeight="1">
      <c r="A855" s="822"/>
      <c r="B855" s="812"/>
      <c r="C855" s="823"/>
      <c r="D855" s="814"/>
      <c r="E855" s="824"/>
      <c r="F855" s="824"/>
      <c r="G855" s="825"/>
      <c r="H855" s="826"/>
      <c r="I855" s="827"/>
      <c r="J855" s="825"/>
      <c r="K855" s="828"/>
      <c r="L855" s="829"/>
      <c r="M855" s="825"/>
      <c r="N855" s="825"/>
      <c r="O855" s="830"/>
    </row>
    <row r="856" ht="24.75" customHeight="1">
      <c r="A856" s="811"/>
      <c r="B856" s="812"/>
      <c r="C856" s="813"/>
      <c r="D856" s="814"/>
      <c r="E856" s="815"/>
      <c r="F856" s="815"/>
      <c r="G856" s="816"/>
      <c r="H856" s="817"/>
      <c r="I856" s="818"/>
      <c r="J856" s="816"/>
      <c r="K856" s="819"/>
      <c r="L856" s="820"/>
      <c r="M856" s="816"/>
      <c r="N856" s="816"/>
      <c r="O856" s="821"/>
    </row>
    <row r="857" ht="24.75" customHeight="1">
      <c r="A857" s="822"/>
      <c r="B857" s="812"/>
      <c r="C857" s="823"/>
      <c r="D857" s="814"/>
      <c r="E857" s="824"/>
      <c r="F857" s="824"/>
      <c r="G857" s="825"/>
      <c r="H857" s="826"/>
      <c r="I857" s="827"/>
      <c r="J857" s="825"/>
      <c r="K857" s="828"/>
      <c r="L857" s="829"/>
      <c r="M857" s="825"/>
      <c r="N857" s="825"/>
      <c r="O857" s="830"/>
    </row>
    <row r="858" ht="24.75" customHeight="1">
      <c r="A858" s="811"/>
      <c r="B858" s="812"/>
      <c r="C858" s="813"/>
      <c r="D858" s="814"/>
      <c r="E858" s="815"/>
      <c r="F858" s="815"/>
      <c r="G858" s="816"/>
      <c r="H858" s="817"/>
      <c r="I858" s="818"/>
      <c r="J858" s="816"/>
      <c r="K858" s="819"/>
      <c r="L858" s="820"/>
      <c r="M858" s="816"/>
      <c r="N858" s="816"/>
      <c r="O858" s="821"/>
    </row>
    <row r="859" ht="24.75" customHeight="1">
      <c r="A859" s="822"/>
      <c r="B859" s="812"/>
      <c r="C859" s="823"/>
      <c r="D859" s="814"/>
      <c r="E859" s="824"/>
      <c r="F859" s="824"/>
      <c r="G859" s="825"/>
      <c r="H859" s="826"/>
      <c r="I859" s="827"/>
      <c r="J859" s="825"/>
      <c r="K859" s="828"/>
      <c r="L859" s="829"/>
      <c r="M859" s="825"/>
      <c r="N859" s="825"/>
      <c r="O859" s="830"/>
    </row>
    <row r="860" ht="24.75" customHeight="1">
      <c r="A860" s="811"/>
      <c r="B860" s="812"/>
      <c r="C860" s="813"/>
      <c r="D860" s="814"/>
      <c r="E860" s="815"/>
      <c r="F860" s="815"/>
      <c r="G860" s="816"/>
      <c r="H860" s="817"/>
      <c r="I860" s="818"/>
      <c r="J860" s="816"/>
      <c r="K860" s="819"/>
      <c r="L860" s="820"/>
      <c r="M860" s="816"/>
      <c r="N860" s="816"/>
      <c r="O860" s="821"/>
    </row>
    <row r="861" ht="24.75" customHeight="1">
      <c r="A861" s="822"/>
      <c r="B861" s="812"/>
      <c r="C861" s="823"/>
      <c r="D861" s="814"/>
      <c r="E861" s="824"/>
      <c r="F861" s="824"/>
      <c r="G861" s="825"/>
      <c r="H861" s="826"/>
      <c r="I861" s="827"/>
      <c r="J861" s="825"/>
      <c r="K861" s="828"/>
      <c r="L861" s="829"/>
      <c r="M861" s="825"/>
      <c r="N861" s="825"/>
      <c r="O861" s="830"/>
    </row>
    <row r="862" ht="24.75" customHeight="1">
      <c r="A862" s="811"/>
      <c r="B862" s="812"/>
      <c r="C862" s="813"/>
      <c r="D862" s="814"/>
      <c r="E862" s="815"/>
      <c r="F862" s="815"/>
      <c r="G862" s="816"/>
      <c r="H862" s="817"/>
      <c r="I862" s="818"/>
      <c r="J862" s="816"/>
      <c r="K862" s="819"/>
      <c r="L862" s="820"/>
      <c r="M862" s="816"/>
      <c r="N862" s="816"/>
      <c r="O862" s="821"/>
    </row>
    <row r="863" ht="24.75" customHeight="1">
      <c r="A863" s="822"/>
      <c r="B863" s="812"/>
      <c r="C863" s="823"/>
      <c r="D863" s="814"/>
      <c r="E863" s="824"/>
      <c r="F863" s="824"/>
      <c r="G863" s="825"/>
      <c r="H863" s="826"/>
      <c r="I863" s="827"/>
      <c r="J863" s="825"/>
      <c r="K863" s="828"/>
      <c r="L863" s="829"/>
      <c r="M863" s="825"/>
      <c r="N863" s="825"/>
      <c r="O863" s="830"/>
    </row>
    <row r="864" ht="24.75" customHeight="1">
      <c r="A864" s="811"/>
      <c r="B864" s="812"/>
      <c r="C864" s="813"/>
      <c r="D864" s="814"/>
      <c r="E864" s="815"/>
      <c r="F864" s="815"/>
      <c r="G864" s="816"/>
      <c r="H864" s="817"/>
      <c r="I864" s="818"/>
      <c r="J864" s="816"/>
      <c r="K864" s="819"/>
      <c r="L864" s="820"/>
      <c r="M864" s="816"/>
      <c r="N864" s="816"/>
      <c r="O864" s="821"/>
    </row>
    <row r="865" ht="24.75" customHeight="1">
      <c r="A865" s="822"/>
      <c r="B865" s="812"/>
      <c r="C865" s="823"/>
      <c r="D865" s="814"/>
      <c r="E865" s="824"/>
      <c r="F865" s="824"/>
      <c r="G865" s="825"/>
      <c r="H865" s="826"/>
      <c r="I865" s="827"/>
      <c r="J865" s="825"/>
      <c r="K865" s="828"/>
      <c r="L865" s="829"/>
      <c r="M865" s="825"/>
      <c r="N865" s="825"/>
      <c r="O865" s="830"/>
    </row>
    <row r="866" ht="24.75" customHeight="1">
      <c r="A866" s="811"/>
      <c r="B866" s="812"/>
      <c r="C866" s="813"/>
      <c r="D866" s="814"/>
      <c r="E866" s="815"/>
      <c r="F866" s="815"/>
      <c r="G866" s="816"/>
      <c r="H866" s="817"/>
      <c r="I866" s="818"/>
      <c r="J866" s="816"/>
      <c r="K866" s="819"/>
      <c r="L866" s="820"/>
      <c r="M866" s="816"/>
      <c r="N866" s="816"/>
      <c r="O866" s="821"/>
    </row>
    <row r="867" ht="24.75" customHeight="1">
      <c r="A867" s="822"/>
      <c r="B867" s="812"/>
      <c r="C867" s="823"/>
      <c r="D867" s="814"/>
      <c r="E867" s="824"/>
      <c r="F867" s="824"/>
      <c r="G867" s="825"/>
      <c r="H867" s="826"/>
      <c r="I867" s="827"/>
      <c r="J867" s="825"/>
      <c r="K867" s="828"/>
      <c r="L867" s="829"/>
      <c r="M867" s="825"/>
      <c r="N867" s="825"/>
      <c r="O867" s="830"/>
    </row>
    <row r="868" ht="24.75" customHeight="1">
      <c r="A868" s="811"/>
      <c r="B868" s="812"/>
      <c r="C868" s="813"/>
      <c r="D868" s="814"/>
      <c r="E868" s="815"/>
      <c r="F868" s="815"/>
      <c r="G868" s="816"/>
      <c r="H868" s="817"/>
      <c r="I868" s="818"/>
      <c r="J868" s="816"/>
      <c r="K868" s="819"/>
      <c r="L868" s="820"/>
      <c r="M868" s="816"/>
      <c r="N868" s="816"/>
      <c r="O868" s="821"/>
    </row>
    <row r="869" ht="24.75" customHeight="1">
      <c r="A869" s="822"/>
      <c r="B869" s="812"/>
      <c r="C869" s="823"/>
      <c r="D869" s="814"/>
      <c r="E869" s="824"/>
      <c r="F869" s="824"/>
      <c r="G869" s="825"/>
      <c r="H869" s="826"/>
      <c r="I869" s="827"/>
      <c r="J869" s="825"/>
      <c r="K869" s="828"/>
      <c r="L869" s="829"/>
      <c r="M869" s="825"/>
      <c r="N869" s="825"/>
      <c r="O869" s="830"/>
    </row>
    <row r="870" ht="24.75" customHeight="1">
      <c r="A870" s="811"/>
      <c r="B870" s="812"/>
      <c r="C870" s="813"/>
      <c r="D870" s="814"/>
      <c r="E870" s="815"/>
      <c r="F870" s="815"/>
      <c r="G870" s="816"/>
      <c r="H870" s="817"/>
      <c r="I870" s="818"/>
      <c r="J870" s="816"/>
      <c r="K870" s="819"/>
      <c r="L870" s="820"/>
      <c r="M870" s="816"/>
      <c r="N870" s="816"/>
      <c r="O870" s="821"/>
    </row>
    <row r="871" ht="24.75" customHeight="1">
      <c r="A871" s="822"/>
      <c r="B871" s="812"/>
      <c r="C871" s="823"/>
      <c r="D871" s="814"/>
      <c r="E871" s="824"/>
      <c r="F871" s="824"/>
      <c r="G871" s="825"/>
      <c r="H871" s="826"/>
      <c r="I871" s="827"/>
      <c r="J871" s="825"/>
      <c r="K871" s="828"/>
      <c r="L871" s="829"/>
      <c r="M871" s="825"/>
      <c r="N871" s="825"/>
      <c r="O871" s="830"/>
    </row>
    <row r="872" ht="24.75" customHeight="1">
      <c r="A872" s="811"/>
      <c r="B872" s="812"/>
      <c r="C872" s="813"/>
      <c r="D872" s="814"/>
      <c r="E872" s="815"/>
      <c r="F872" s="815"/>
      <c r="G872" s="816"/>
      <c r="H872" s="817"/>
      <c r="I872" s="818"/>
      <c r="J872" s="816"/>
      <c r="K872" s="819"/>
      <c r="L872" s="820"/>
      <c r="M872" s="816"/>
      <c r="N872" s="816"/>
      <c r="O872" s="821"/>
    </row>
    <row r="873" ht="24.75" customHeight="1">
      <c r="A873" s="822"/>
      <c r="B873" s="812"/>
      <c r="C873" s="823"/>
      <c r="D873" s="814"/>
      <c r="E873" s="824"/>
      <c r="F873" s="824"/>
      <c r="G873" s="825"/>
      <c r="H873" s="826"/>
      <c r="I873" s="827"/>
      <c r="J873" s="825"/>
      <c r="K873" s="828"/>
      <c r="L873" s="829"/>
      <c r="M873" s="825"/>
      <c r="N873" s="825"/>
      <c r="O873" s="830"/>
    </row>
    <row r="874" ht="24.75" customHeight="1">
      <c r="A874" s="811"/>
      <c r="B874" s="812"/>
      <c r="C874" s="813"/>
      <c r="D874" s="814"/>
      <c r="E874" s="815"/>
      <c r="F874" s="815"/>
      <c r="G874" s="816"/>
      <c r="H874" s="817"/>
      <c r="I874" s="818"/>
      <c r="J874" s="816"/>
      <c r="K874" s="819"/>
      <c r="L874" s="820"/>
      <c r="M874" s="816"/>
      <c r="N874" s="816"/>
      <c r="O874" s="821"/>
    </row>
    <row r="875" ht="24.75" customHeight="1">
      <c r="A875" s="822"/>
      <c r="B875" s="812"/>
      <c r="C875" s="823"/>
      <c r="D875" s="814"/>
      <c r="E875" s="824"/>
      <c r="F875" s="824"/>
      <c r="G875" s="825"/>
      <c r="H875" s="826"/>
      <c r="I875" s="827"/>
      <c r="J875" s="825"/>
      <c r="K875" s="828"/>
      <c r="L875" s="829"/>
      <c r="M875" s="825"/>
      <c r="N875" s="825"/>
      <c r="O875" s="830"/>
    </row>
    <row r="876" ht="24.75" customHeight="1">
      <c r="A876" s="811"/>
      <c r="B876" s="812"/>
      <c r="C876" s="813"/>
      <c r="D876" s="814"/>
      <c r="E876" s="815"/>
      <c r="F876" s="815"/>
      <c r="G876" s="816"/>
      <c r="H876" s="817"/>
      <c r="I876" s="818"/>
      <c r="J876" s="816"/>
      <c r="K876" s="819"/>
      <c r="L876" s="820"/>
      <c r="M876" s="816"/>
      <c r="N876" s="816"/>
      <c r="O876" s="821"/>
    </row>
    <row r="877" ht="24.75" customHeight="1">
      <c r="A877" s="822"/>
      <c r="B877" s="812"/>
      <c r="C877" s="823"/>
      <c r="D877" s="814"/>
      <c r="E877" s="824"/>
      <c r="F877" s="824"/>
      <c r="G877" s="825"/>
      <c r="H877" s="826"/>
      <c r="I877" s="827"/>
      <c r="J877" s="825"/>
      <c r="K877" s="828"/>
      <c r="L877" s="829"/>
      <c r="M877" s="825"/>
      <c r="N877" s="825"/>
      <c r="O877" s="830"/>
    </row>
    <row r="878" ht="24.75" customHeight="1">
      <c r="A878" s="811"/>
      <c r="B878" s="812"/>
      <c r="C878" s="813"/>
      <c r="D878" s="814"/>
      <c r="E878" s="815"/>
      <c r="F878" s="815"/>
      <c r="G878" s="816"/>
      <c r="H878" s="817"/>
      <c r="I878" s="818"/>
      <c r="J878" s="816"/>
      <c r="K878" s="819"/>
      <c r="L878" s="820"/>
      <c r="M878" s="816"/>
      <c r="N878" s="816"/>
      <c r="O878" s="821"/>
    </row>
    <row r="879" ht="24.75" customHeight="1">
      <c r="A879" s="822"/>
      <c r="B879" s="812"/>
      <c r="C879" s="823"/>
      <c r="D879" s="814"/>
      <c r="E879" s="824"/>
      <c r="F879" s="824"/>
      <c r="G879" s="825"/>
      <c r="H879" s="826"/>
      <c r="I879" s="827"/>
      <c r="J879" s="825"/>
      <c r="K879" s="828"/>
      <c r="L879" s="829"/>
      <c r="M879" s="825"/>
      <c r="N879" s="825"/>
      <c r="O879" s="830"/>
    </row>
    <row r="880" ht="24.75" customHeight="1">
      <c r="A880" s="811"/>
      <c r="B880" s="812"/>
      <c r="C880" s="813"/>
      <c r="D880" s="814"/>
      <c r="E880" s="815"/>
      <c r="F880" s="815"/>
      <c r="G880" s="816"/>
      <c r="H880" s="817"/>
      <c r="I880" s="818"/>
      <c r="J880" s="816"/>
      <c r="K880" s="819"/>
      <c r="L880" s="820"/>
      <c r="M880" s="816"/>
      <c r="N880" s="816"/>
      <c r="O880" s="821"/>
    </row>
    <row r="881" ht="24.75" customHeight="1">
      <c r="A881" s="822"/>
      <c r="B881" s="812"/>
      <c r="C881" s="823"/>
      <c r="D881" s="814"/>
      <c r="E881" s="824"/>
      <c r="F881" s="824"/>
      <c r="G881" s="825"/>
      <c r="H881" s="826"/>
      <c r="I881" s="827"/>
      <c r="J881" s="825"/>
      <c r="K881" s="828"/>
      <c r="L881" s="829"/>
      <c r="M881" s="825"/>
      <c r="N881" s="825"/>
      <c r="O881" s="830"/>
    </row>
    <row r="882" ht="24.75" customHeight="1">
      <c r="A882" s="811"/>
      <c r="B882" s="812"/>
      <c r="C882" s="813"/>
      <c r="D882" s="814"/>
      <c r="E882" s="815"/>
      <c r="F882" s="815"/>
      <c r="G882" s="816"/>
      <c r="H882" s="817"/>
      <c r="I882" s="818"/>
      <c r="J882" s="816"/>
      <c r="K882" s="819"/>
      <c r="L882" s="820"/>
      <c r="M882" s="816"/>
      <c r="N882" s="816"/>
      <c r="O882" s="821"/>
    </row>
    <row r="883" ht="24.75" customHeight="1">
      <c r="A883" s="822"/>
      <c r="B883" s="812"/>
      <c r="C883" s="823"/>
      <c r="D883" s="814"/>
      <c r="E883" s="824"/>
      <c r="F883" s="824"/>
      <c r="G883" s="825"/>
      <c r="H883" s="826"/>
      <c r="I883" s="827"/>
      <c r="J883" s="825"/>
      <c r="K883" s="828"/>
      <c r="L883" s="829"/>
      <c r="M883" s="825"/>
      <c r="N883" s="825"/>
      <c r="O883" s="830"/>
    </row>
    <row r="884" ht="24.75" customHeight="1">
      <c r="A884" s="811"/>
      <c r="B884" s="812"/>
      <c r="C884" s="813"/>
      <c r="D884" s="814"/>
      <c r="E884" s="815"/>
      <c r="F884" s="815"/>
      <c r="G884" s="816"/>
      <c r="H884" s="817"/>
      <c r="I884" s="818"/>
      <c r="J884" s="816"/>
      <c r="K884" s="819"/>
      <c r="L884" s="820"/>
      <c r="M884" s="816"/>
      <c r="N884" s="816"/>
      <c r="O884" s="821"/>
    </row>
    <row r="885" ht="24.75" customHeight="1">
      <c r="A885" s="822"/>
      <c r="B885" s="812"/>
      <c r="C885" s="823"/>
      <c r="D885" s="814"/>
      <c r="E885" s="824"/>
      <c r="F885" s="824"/>
      <c r="G885" s="825"/>
      <c r="H885" s="826"/>
      <c r="I885" s="827"/>
      <c r="J885" s="825"/>
      <c r="K885" s="828"/>
      <c r="L885" s="829"/>
      <c r="M885" s="825"/>
      <c r="N885" s="825"/>
      <c r="O885" s="830"/>
    </row>
    <row r="886" ht="24.75" customHeight="1">
      <c r="A886" s="811"/>
      <c r="B886" s="812"/>
      <c r="C886" s="813"/>
      <c r="D886" s="814"/>
      <c r="E886" s="815"/>
      <c r="F886" s="815"/>
      <c r="G886" s="816"/>
      <c r="H886" s="817"/>
      <c r="I886" s="818"/>
      <c r="J886" s="816"/>
      <c r="K886" s="819"/>
      <c r="L886" s="820"/>
      <c r="M886" s="816"/>
      <c r="N886" s="816"/>
      <c r="O886" s="821"/>
    </row>
    <row r="887" ht="24.75" customHeight="1">
      <c r="A887" s="822"/>
      <c r="B887" s="812"/>
      <c r="C887" s="823"/>
      <c r="D887" s="814"/>
      <c r="E887" s="824"/>
      <c r="F887" s="824"/>
      <c r="G887" s="825"/>
      <c r="H887" s="826"/>
      <c r="I887" s="827"/>
      <c r="J887" s="825"/>
      <c r="K887" s="828"/>
      <c r="L887" s="829"/>
      <c r="M887" s="825"/>
      <c r="N887" s="825"/>
      <c r="O887" s="830"/>
    </row>
    <row r="888" ht="24.75" customHeight="1">
      <c r="A888" s="811"/>
      <c r="B888" s="812"/>
      <c r="C888" s="813"/>
      <c r="D888" s="814"/>
      <c r="E888" s="815"/>
      <c r="F888" s="815"/>
      <c r="G888" s="816"/>
      <c r="H888" s="817"/>
      <c r="I888" s="818"/>
      <c r="J888" s="816"/>
      <c r="K888" s="819"/>
      <c r="L888" s="820"/>
      <c r="M888" s="816"/>
      <c r="N888" s="816"/>
      <c r="O888" s="821"/>
    </row>
    <row r="889" ht="24.75" customHeight="1">
      <c r="A889" s="822"/>
      <c r="B889" s="812"/>
      <c r="C889" s="823"/>
      <c r="D889" s="814"/>
      <c r="E889" s="824"/>
      <c r="F889" s="824"/>
      <c r="G889" s="825"/>
      <c r="H889" s="826"/>
      <c r="I889" s="827"/>
      <c r="J889" s="825"/>
      <c r="K889" s="828"/>
      <c r="L889" s="829"/>
      <c r="M889" s="825"/>
      <c r="N889" s="825"/>
      <c r="O889" s="830"/>
    </row>
    <row r="890" ht="24.75" customHeight="1">
      <c r="A890" s="811"/>
      <c r="B890" s="812"/>
      <c r="C890" s="813"/>
      <c r="D890" s="814"/>
      <c r="E890" s="815"/>
      <c r="F890" s="815"/>
      <c r="G890" s="816"/>
      <c r="H890" s="817"/>
      <c r="I890" s="818"/>
      <c r="J890" s="816"/>
      <c r="K890" s="819"/>
      <c r="L890" s="820"/>
      <c r="M890" s="816"/>
      <c r="N890" s="816"/>
      <c r="O890" s="821"/>
    </row>
    <row r="891" ht="24.75" customHeight="1">
      <c r="A891" s="822"/>
      <c r="B891" s="812"/>
      <c r="C891" s="823"/>
      <c r="D891" s="814"/>
      <c r="E891" s="824"/>
      <c r="F891" s="824"/>
      <c r="G891" s="825"/>
      <c r="H891" s="826"/>
      <c r="I891" s="827"/>
      <c r="J891" s="825"/>
      <c r="K891" s="828"/>
      <c r="L891" s="829"/>
      <c r="M891" s="825"/>
      <c r="N891" s="825"/>
      <c r="O891" s="830"/>
    </row>
    <row r="892" ht="24.75" customHeight="1">
      <c r="A892" s="811"/>
      <c r="B892" s="812"/>
      <c r="C892" s="813"/>
      <c r="D892" s="814"/>
      <c r="E892" s="815"/>
      <c r="F892" s="815"/>
      <c r="G892" s="816"/>
      <c r="H892" s="817"/>
      <c r="I892" s="818"/>
      <c r="J892" s="816"/>
      <c r="K892" s="819"/>
      <c r="L892" s="820"/>
      <c r="M892" s="816"/>
      <c r="N892" s="816"/>
      <c r="O892" s="821"/>
    </row>
    <row r="893" ht="24.75" customHeight="1">
      <c r="A893" s="822"/>
      <c r="B893" s="812"/>
      <c r="C893" s="823"/>
      <c r="D893" s="814"/>
      <c r="E893" s="824"/>
      <c r="F893" s="824"/>
      <c r="G893" s="825"/>
      <c r="H893" s="826"/>
      <c r="I893" s="827"/>
      <c r="J893" s="825"/>
      <c r="K893" s="828"/>
      <c r="L893" s="829"/>
      <c r="M893" s="825"/>
      <c r="N893" s="825"/>
      <c r="O893" s="830"/>
    </row>
    <row r="894" ht="24.75" customHeight="1">
      <c r="A894" s="811"/>
      <c r="B894" s="812"/>
      <c r="C894" s="813"/>
      <c r="D894" s="814"/>
      <c r="E894" s="815"/>
      <c r="F894" s="815"/>
      <c r="G894" s="816"/>
      <c r="H894" s="817"/>
      <c r="I894" s="818"/>
      <c r="J894" s="816"/>
      <c r="K894" s="819"/>
      <c r="L894" s="820"/>
      <c r="M894" s="816"/>
      <c r="N894" s="816"/>
      <c r="O894" s="821"/>
    </row>
    <row r="895" ht="24.75" customHeight="1">
      <c r="A895" s="822"/>
      <c r="B895" s="812"/>
      <c r="C895" s="823"/>
      <c r="D895" s="814"/>
      <c r="E895" s="824"/>
      <c r="F895" s="824"/>
      <c r="G895" s="825"/>
      <c r="H895" s="826"/>
      <c r="I895" s="827"/>
      <c r="J895" s="825"/>
      <c r="K895" s="828"/>
      <c r="L895" s="829"/>
      <c r="M895" s="825"/>
      <c r="N895" s="825"/>
      <c r="O895" s="830"/>
    </row>
    <row r="896" ht="24.75" customHeight="1">
      <c r="A896" s="811"/>
      <c r="B896" s="812"/>
      <c r="C896" s="813"/>
      <c r="D896" s="814"/>
      <c r="E896" s="815"/>
      <c r="F896" s="815"/>
      <c r="G896" s="816"/>
      <c r="H896" s="817"/>
      <c r="I896" s="818"/>
      <c r="J896" s="816"/>
      <c r="K896" s="819"/>
      <c r="L896" s="820"/>
      <c r="M896" s="816"/>
      <c r="N896" s="816"/>
      <c r="O896" s="821"/>
    </row>
    <row r="897" ht="24.75" customHeight="1">
      <c r="A897" s="822"/>
      <c r="B897" s="812"/>
      <c r="C897" s="823"/>
      <c r="D897" s="814"/>
      <c r="E897" s="824"/>
      <c r="F897" s="824"/>
      <c r="G897" s="825"/>
      <c r="H897" s="826"/>
      <c r="I897" s="827"/>
      <c r="J897" s="825"/>
      <c r="K897" s="828"/>
      <c r="L897" s="829"/>
      <c r="M897" s="825"/>
      <c r="N897" s="825"/>
      <c r="O897" s="830"/>
    </row>
    <row r="898" ht="24.75" customHeight="1">
      <c r="A898" s="811"/>
      <c r="B898" s="812"/>
      <c r="C898" s="813"/>
      <c r="D898" s="814"/>
      <c r="E898" s="815"/>
      <c r="F898" s="815"/>
      <c r="G898" s="816"/>
      <c r="H898" s="817"/>
      <c r="I898" s="818"/>
      <c r="J898" s="816"/>
      <c r="K898" s="819"/>
      <c r="L898" s="820"/>
      <c r="M898" s="816"/>
      <c r="N898" s="816"/>
      <c r="O898" s="821"/>
    </row>
    <row r="899" ht="24.75" customHeight="1">
      <c r="A899" s="822"/>
      <c r="B899" s="812"/>
      <c r="C899" s="823"/>
      <c r="D899" s="814"/>
      <c r="E899" s="824"/>
      <c r="F899" s="824"/>
      <c r="G899" s="825"/>
      <c r="H899" s="826"/>
      <c r="I899" s="827"/>
      <c r="J899" s="825"/>
      <c r="K899" s="828"/>
      <c r="L899" s="829"/>
      <c r="M899" s="825"/>
      <c r="N899" s="825"/>
      <c r="O899" s="830"/>
    </row>
    <row r="900" ht="24.75" customHeight="1">
      <c r="A900" s="811"/>
      <c r="B900" s="812"/>
      <c r="C900" s="813"/>
      <c r="D900" s="814"/>
      <c r="E900" s="815"/>
      <c r="F900" s="815"/>
      <c r="G900" s="816"/>
      <c r="H900" s="817"/>
      <c r="I900" s="818"/>
      <c r="J900" s="816"/>
      <c r="K900" s="819"/>
      <c r="L900" s="820"/>
      <c r="M900" s="816"/>
      <c r="N900" s="816"/>
      <c r="O900" s="821"/>
    </row>
    <row r="901" ht="24.75" customHeight="1">
      <c r="A901" s="822"/>
      <c r="B901" s="812"/>
      <c r="C901" s="823"/>
      <c r="D901" s="814"/>
      <c r="E901" s="824"/>
      <c r="F901" s="824"/>
      <c r="G901" s="825"/>
      <c r="H901" s="826"/>
      <c r="I901" s="827"/>
      <c r="J901" s="825"/>
      <c r="K901" s="828"/>
      <c r="L901" s="829"/>
      <c r="M901" s="825"/>
      <c r="N901" s="825"/>
      <c r="O901" s="830"/>
    </row>
    <row r="902" ht="24.75" customHeight="1">
      <c r="A902" s="811"/>
      <c r="B902" s="812"/>
      <c r="C902" s="813"/>
      <c r="D902" s="814"/>
      <c r="E902" s="815"/>
      <c r="F902" s="815"/>
      <c r="G902" s="816"/>
      <c r="H902" s="817"/>
      <c r="I902" s="818"/>
      <c r="J902" s="816"/>
      <c r="K902" s="819"/>
      <c r="L902" s="820"/>
      <c r="M902" s="816"/>
      <c r="N902" s="816"/>
      <c r="O902" s="821"/>
    </row>
    <row r="903" ht="24.75" customHeight="1">
      <c r="A903" s="822"/>
      <c r="B903" s="812"/>
      <c r="C903" s="823"/>
      <c r="D903" s="814"/>
      <c r="E903" s="824"/>
      <c r="F903" s="824"/>
      <c r="G903" s="825"/>
      <c r="H903" s="826"/>
      <c r="I903" s="827"/>
      <c r="J903" s="825"/>
      <c r="K903" s="828"/>
      <c r="L903" s="829"/>
      <c r="M903" s="825"/>
      <c r="N903" s="825"/>
      <c r="O903" s="830"/>
    </row>
    <row r="904" ht="24.75" customHeight="1">
      <c r="A904" s="811"/>
      <c r="B904" s="812"/>
      <c r="C904" s="813"/>
      <c r="D904" s="814"/>
      <c r="E904" s="815"/>
      <c r="F904" s="815"/>
      <c r="G904" s="816"/>
      <c r="H904" s="817"/>
      <c r="I904" s="818"/>
      <c r="J904" s="816"/>
      <c r="K904" s="819"/>
      <c r="L904" s="820"/>
      <c r="M904" s="816"/>
      <c r="N904" s="816"/>
      <c r="O904" s="821"/>
    </row>
    <row r="905" ht="24.75" customHeight="1">
      <c r="A905" s="822"/>
      <c r="B905" s="812"/>
      <c r="C905" s="823"/>
      <c r="D905" s="814"/>
      <c r="E905" s="824"/>
      <c r="F905" s="824"/>
      <c r="G905" s="825"/>
      <c r="H905" s="826"/>
      <c r="I905" s="827"/>
      <c r="J905" s="825"/>
      <c r="K905" s="828"/>
      <c r="L905" s="829"/>
      <c r="M905" s="825"/>
      <c r="N905" s="825"/>
      <c r="O905" s="830"/>
    </row>
    <row r="906" ht="24.75" customHeight="1">
      <c r="A906" s="811"/>
      <c r="B906" s="812"/>
      <c r="C906" s="813"/>
      <c r="D906" s="814"/>
      <c r="E906" s="815"/>
      <c r="F906" s="815"/>
      <c r="G906" s="816"/>
      <c r="H906" s="817"/>
      <c r="I906" s="818"/>
      <c r="J906" s="816"/>
      <c r="K906" s="819"/>
      <c r="L906" s="820"/>
      <c r="M906" s="816"/>
      <c r="N906" s="816"/>
      <c r="O906" s="821"/>
    </row>
    <row r="907" ht="24.75" customHeight="1">
      <c r="A907" s="822"/>
      <c r="B907" s="812"/>
      <c r="C907" s="823"/>
      <c r="D907" s="814"/>
      <c r="E907" s="824"/>
      <c r="F907" s="824"/>
      <c r="G907" s="825"/>
      <c r="H907" s="826"/>
      <c r="I907" s="827"/>
      <c r="J907" s="825"/>
      <c r="K907" s="828"/>
      <c r="L907" s="829"/>
      <c r="M907" s="825"/>
      <c r="N907" s="825"/>
      <c r="O907" s="830"/>
    </row>
    <row r="908" ht="24.75" customHeight="1">
      <c r="A908" s="811"/>
      <c r="B908" s="812"/>
      <c r="C908" s="813"/>
      <c r="D908" s="814"/>
      <c r="E908" s="815"/>
      <c r="F908" s="815"/>
      <c r="G908" s="816"/>
      <c r="H908" s="817"/>
      <c r="I908" s="818"/>
      <c r="J908" s="816"/>
      <c r="K908" s="819"/>
      <c r="L908" s="820"/>
      <c r="M908" s="816"/>
      <c r="N908" s="816"/>
      <c r="O908" s="821"/>
    </row>
    <row r="909" ht="24.75" customHeight="1">
      <c r="A909" s="822"/>
      <c r="B909" s="812"/>
      <c r="C909" s="823"/>
      <c r="D909" s="814"/>
      <c r="E909" s="824"/>
      <c r="F909" s="824"/>
      <c r="G909" s="825"/>
      <c r="H909" s="826"/>
      <c r="I909" s="827"/>
      <c r="J909" s="825"/>
      <c r="K909" s="828"/>
      <c r="L909" s="829"/>
      <c r="M909" s="825"/>
      <c r="N909" s="825"/>
      <c r="O909" s="830"/>
    </row>
    <row r="910" ht="24.75" customHeight="1">
      <c r="A910" s="811"/>
      <c r="B910" s="812"/>
      <c r="C910" s="813"/>
      <c r="D910" s="814"/>
      <c r="E910" s="815"/>
      <c r="F910" s="815"/>
      <c r="G910" s="816"/>
      <c r="H910" s="817"/>
      <c r="I910" s="818"/>
      <c r="J910" s="816"/>
      <c r="K910" s="819"/>
      <c r="L910" s="820"/>
      <c r="M910" s="816"/>
      <c r="N910" s="816"/>
      <c r="O910" s="821"/>
    </row>
    <row r="911" ht="24.75" customHeight="1">
      <c r="A911" s="822"/>
      <c r="B911" s="812"/>
      <c r="C911" s="823"/>
      <c r="D911" s="814"/>
      <c r="E911" s="824"/>
      <c r="F911" s="824"/>
      <c r="G911" s="825"/>
      <c r="H911" s="826"/>
      <c r="I911" s="827"/>
      <c r="J911" s="825"/>
      <c r="K911" s="828"/>
      <c r="L911" s="829"/>
      <c r="M911" s="825"/>
      <c r="N911" s="825"/>
      <c r="O911" s="830"/>
    </row>
    <row r="912" ht="24.75" customHeight="1">
      <c r="A912" s="811"/>
      <c r="B912" s="812"/>
      <c r="C912" s="813"/>
      <c r="D912" s="814"/>
      <c r="E912" s="815"/>
      <c r="F912" s="815"/>
      <c r="G912" s="816"/>
      <c r="H912" s="817"/>
      <c r="I912" s="818"/>
      <c r="J912" s="816"/>
      <c r="K912" s="819"/>
      <c r="L912" s="820"/>
      <c r="M912" s="816"/>
      <c r="N912" s="816"/>
      <c r="O912" s="821"/>
    </row>
    <row r="913" ht="24.75" customHeight="1">
      <c r="A913" s="822"/>
      <c r="B913" s="812"/>
      <c r="C913" s="823"/>
      <c r="D913" s="814"/>
      <c r="E913" s="824"/>
      <c r="F913" s="824"/>
      <c r="G913" s="825"/>
      <c r="H913" s="826"/>
      <c r="I913" s="827"/>
      <c r="J913" s="825"/>
      <c r="K913" s="828"/>
      <c r="L913" s="829"/>
      <c r="M913" s="825"/>
      <c r="N913" s="825"/>
      <c r="O913" s="830"/>
    </row>
    <row r="914" ht="24.75" customHeight="1">
      <c r="A914" s="811"/>
      <c r="B914" s="812"/>
      <c r="C914" s="813"/>
      <c r="D914" s="814"/>
      <c r="E914" s="815"/>
      <c r="F914" s="815"/>
      <c r="G914" s="816"/>
      <c r="H914" s="817"/>
      <c r="I914" s="818"/>
      <c r="J914" s="816"/>
      <c r="K914" s="819"/>
      <c r="L914" s="820"/>
      <c r="M914" s="816"/>
      <c r="N914" s="816"/>
      <c r="O914" s="821"/>
    </row>
    <row r="915" ht="24.75" customHeight="1">
      <c r="A915" s="822"/>
      <c r="B915" s="812"/>
      <c r="C915" s="823"/>
      <c r="D915" s="814"/>
      <c r="E915" s="824"/>
      <c r="F915" s="824"/>
      <c r="G915" s="825"/>
      <c r="H915" s="826"/>
      <c r="I915" s="827"/>
      <c r="J915" s="825"/>
      <c r="K915" s="828"/>
      <c r="L915" s="829"/>
      <c r="M915" s="825"/>
      <c r="N915" s="825"/>
      <c r="O915" s="830"/>
    </row>
    <row r="916" ht="24.75" customHeight="1">
      <c r="A916" s="811"/>
      <c r="B916" s="812"/>
      <c r="C916" s="813"/>
      <c r="D916" s="814"/>
      <c r="E916" s="815"/>
      <c r="F916" s="815"/>
      <c r="G916" s="816"/>
      <c r="H916" s="817"/>
      <c r="I916" s="818"/>
      <c r="J916" s="816"/>
      <c r="K916" s="819"/>
      <c r="L916" s="820"/>
      <c r="M916" s="816"/>
      <c r="N916" s="816"/>
      <c r="O916" s="821"/>
    </row>
    <row r="917" ht="24.75" customHeight="1">
      <c r="A917" s="822"/>
      <c r="B917" s="812"/>
      <c r="C917" s="823"/>
      <c r="D917" s="814"/>
      <c r="E917" s="824"/>
      <c r="F917" s="824"/>
      <c r="G917" s="825"/>
      <c r="H917" s="826"/>
      <c r="I917" s="827"/>
      <c r="J917" s="825"/>
      <c r="K917" s="828"/>
      <c r="L917" s="829"/>
      <c r="M917" s="825"/>
      <c r="N917" s="825"/>
      <c r="O917" s="830"/>
    </row>
    <row r="918" ht="24.75" customHeight="1">
      <c r="A918" s="811"/>
      <c r="B918" s="812"/>
      <c r="C918" s="813"/>
      <c r="D918" s="814"/>
      <c r="E918" s="815"/>
      <c r="F918" s="815"/>
      <c r="G918" s="816"/>
      <c r="H918" s="817"/>
      <c r="I918" s="818"/>
      <c r="J918" s="816"/>
      <c r="K918" s="819"/>
      <c r="L918" s="820"/>
      <c r="M918" s="816"/>
      <c r="N918" s="816"/>
      <c r="O918" s="821"/>
    </row>
    <row r="919" ht="24.75" customHeight="1">
      <c r="A919" s="822"/>
      <c r="B919" s="812"/>
      <c r="C919" s="823"/>
      <c r="D919" s="814"/>
      <c r="E919" s="824"/>
      <c r="F919" s="824"/>
      <c r="G919" s="825"/>
      <c r="H919" s="826"/>
      <c r="I919" s="827"/>
      <c r="J919" s="825"/>
      <c r="K919" s="828"/>
      <c r="L919" s="829"/>
      <c r="M919" s="825"/>
      <c r="N919" s="825"/>
      <c r="O919" s="830"/>
    </row>
    <row r="920" ht="24.75" customHeight="1">
      <c r="A920" s="811"/>
      <c r="B920" s="812"/>
      <c r="C920" s="813"/>
      <c r="D920" s="814"/>
      <c r="E920" s="815"/>
      <c r="F920" s="815"/>
      <c r="G920" s="816"/>
      <c r="H920" s="817"/>
      <c r="I920" s="818"/>
      <c r="J920" s="816"/>
      <c r="K920" s="819"/>
      <c r="L920" s="820"/>
      <c r="M920" s="816"/>
      <c r="N920" s="816"/>
      <c r="O920" s="821"/>
    </row>
    <row r="921" ht="24.75" customHeight="1">
      <c r="A921" s="822"/>
      <c r="B921" s="812"/>
      <c r="C921" s="823"/>
      <c r="D921" s="814"/>
      <c r="E921" s="824"/>
      <c r="F921" s="824"/>
      <c r="G921" s="825"/>
      <c r="H921" s="826"/>
      <c r="I921" s="827"/>
      <c r="J921" s="825"/>
      <c r="K921" s="828"/>
      <c r="L921" s="829"/>
      <c r="M921" s="825"/>
      <c r="N921" s="825"/>
      <c r="O921" s="830"/>
    </row>
    <row r="922" ht="24.75" customHeight="1">
      <c r="A922" s="811"/>
      <c r="B922" s="812"/>
      <c r="C922" s="813"/>
      <c r="D922" s="814"/>
      <c r="E922" s="815"/>
      <c r="F922" s="815"/>
      <c r="G922" s="816"/>
      <c r="H922" s="817"/>
      <c r="I922" s="818"/>
      <c r="J922" s="816"/>
      <c r="K922" s="819"/>
      <c r="L922" s="820"/>
      <c r="M922" s="816"/>
      <c r="N922" s="816"/>
      <c r="O922" s="821"/>
    </row>
    <row r="923" ht="24.75" customHeight="1">
      <c r="A923" s="822"/>
      <c r="B923" s="812"/>
      <c r="C923" s="823"/>
      <c r="D923" s="814"/>
      <c r="E923" s="824"/>
      <c r="F923" s="824"/>
      <c r="G923" s="825"/>
      <c r="H923" s="826"/>
      <c r="I923" s="827"/>
      <c r="J923" s="825"/>
      <c r="K923" s="828"/>
      <c r="L923" s="829"/>
      <c r="M923" s="825"/>
      <c r="N923" s="825"/>
      <c r="O923" s="830"/>
    </row>
    <row r="924" ht="24.75" customHeight="1">
      <c r="A924" s="811"/>
      <c r="B924" s="812"/>
      <c r="C924" s="813"/>
      <c r="D924" s="814"/>
      <c r="E924" s="815"/>
      <c r="F924" s="815"/>
      <c r="G924" s="816"/>
      <c r="H924" s="817"/>
      <c r="I924" s="818"/>
      <c r="J924" s="816"/>
      <c r="K924" s="819"/>
      <c r="L924" s="820"/>
      <c r="M924" s="816"/>
      <c r="N924" s="816"/>
      <c r="O924" s="821"/>
    </row>
    <row r="925" ht="24.75" customHeight="1">
      <c r="A925" s="822"/>
      <c r="B925" s="812"/>
      <c r="C925" s="823"/>
      <c r="D925" s="814"/>
      <c r="E925" s="824"/>
      <c r="F925" s="824"/>
      <c r="G925" s="825"/>
      <c r="H925" s="826"/>
      <c r="I925" s="827"/>
      <c r="J925" s="825"/>
      <c r="K925" s="828"/>
      <c r="L925" s="829"/>
      <c r="M925" s="825"/>
      <c r="N925" s="825"/>
      <c r="O925" s="830"/>
    </row>
    <row r="926" ht="24.75" customHeight="1">
      <c r="A926" s="811"/>
      <c r="B926" s="812"/>
      <c r="C926" s="813"/>
      <c r="D926" s="814"/>
      <c r="E926" s="815"/>
      <c r="F926" s="815"/>
      <c r="G926" s="816"/>
      <c r="H926" s="817"/>
      <c r="I926" s="818"/>
      <c r="J926" s="816"/>
      <c r="K926" s="819"/>
      <c r="L926" s="820"/>
      <c r="M926" s="816"/>
      <c r="N926" s="816"/>
      <c r="O926" s="821"/>
    </row>
    <row r="927" ht="24.75" customHeight="1">
      <c r="A927" s="822"/>
      <c r="B927" s="812"/>
      <c r="C927" s="823"/>
      <c r="D927" s="814"/>
      <c r="E927" s="824"/>
      <c r="F927" s="824"/>
      <c r="G927" s="825"/>
      <c r="H927" s="826"/>
      <c r="I927" s="827"/>
      <c r="J927" s="825"/>
      <c r="K927" s="828"/>
      <c r="L927" s="829"/>
      <c r="M927" s="825"/>
      <c r="N927" s="825"/>
      <c r="O927" s="830"/>
    </row>
    <row r="928" ht="24.75" customHeight="1">
      <c r="A928" s="811"/>
      <c r="B928" s="812"/>
      <c r="C928" s="813"/>
      <c r="D928" s="814"/>
      <c r="E928" s="815"/>
      <c r="F928" s="815"/>
      <c r="G928" s="816"/>
      <c r="H928" s="817"/>
      <c r="I928" s="818"/>
      <c r="J928" s="816"/>
      <c r="K928" s="819"/>
      <c r="L928" s="820"/>
      <c r="M928" s="816"/>
      <c r="N928" s="816"/>
      <c r="O928" s="821"/>
    </row>
    <row r="929" ht="24.75" customHeight="1">
      <c r="A929" s="822"/>
      <c r="B929" s="812"/>
      <c r="C929" s="823"/>
      <c r="D929" s="814"/>
      <c r="E929" s="824"/>
      <c r="F929" s="824"/>
      <c r="G929" s="825"/>
      <c r="H929" s="826"/>
      <c r="I929" s="827"/>
      <c r="J929" s="825"/>
      <c r="K929" s="828"/>
      <c r="L929" s="829"/>
      <c r="M929" s="825"/>
      <c r="N929" s="825"/>
      <c r="O929" s="830"/>
    </row>
    <row r="930" ht="24.75" customHeight="1">
      <c r="A930" s="811"/>
      <c r="B930" s="812"/>
      <c r="C930" s="813"/>
      <c r="D930" s="814"/>
      <c r="E930" s="815"/>
      <c r="F930" s="815"/>
      <c r="G930" s="816"/>
      <c r="H930" s="817"/>
      <c r="I930" s="818"/>
      <c r="J930" s="816"/>
      <c r="K930" s="819"/>
      <c r="L930" s="820"/>
      <c r="M930" s="816"/>
      <c r="N930" s="816"/>
      <c r="O930" s="821"/>
    </row>
    <row r="931" ht="24.75" customHeight="1">
      <c r="A931" s="822"/>
      <c r="B931" s="812"/>
      <c r="C931" s="823"/>
      <c r="D931" s="814"/>
      <c r="E931" s="824"/>
      <c r="F931" s="824"/>
      <c r="G931" s="825"/>
      <c r="H931" s="826"/>
      <c r="I931" s="827"/>
      <c r="J931" s="825"/>
      <c r="K931" s="828"/>
      <c r="L931" s="829"/>
      <c r="M931" s="825"/>
      <c r="N931" s="825"/>
      <c r="O931" s="830"/>
    </row>
    <row r="932" ht="24.75" customHeight="1">
      <c r="A932" s="811"/>
      <c r="B932" s="812"/>
      <c r="C932" s="813"/>
      <c r="D932" s="814"/>
      <c r="E932" s="815"/>
      <c r="F932" s="815"/>
      <c r="G932" s="816"/>
      <c r="H932" s="817"/>
      <c r="I932" s="818"/>
      <c r="J932" s="816"/>
      <c r="K932" s="819"/>
      <c r="L932" s="820"/>
      <c r="M932" s="816"/>
      <c r="N932" s="816"/>
      <c r="O932" s="821"/>
    </row>
    <row r="933" ht="24.75" customHeight="1">
      <c r="A933" s="822"/>
      <c r="B933" s="812"/>
      <c r="C933" s="823"/>
      <c r="D933" s="814"/>
      <c r="E933" s="824"/>
      <c r="F933" s="824"/>
      <c r="G933" s="825"/>
      <c r="H933" s="826"/>
      <c r="I933" s="827"/>
      <c r="J933" s="825"/>
      <c r="K933" s="828"/>
      <c r="L933" s="829"/>
      <c r="M933" s="825"/>
      <c r="N933" s="825"/>
      <c r="O933" s="830"/>
    </row>
    <row r="934" ht="24.75" customHeight="1">
      <c r="A934" s="811"/>
      <c r="B934" s="812"/>
      <c r="C934" s="813"/>
      <c r="D934" s="814"/>
      <c r="E934" s="815"/>
      <c r="F934" s="815"/>
      <c r="G934" s="816"/>
      <c r="H934" s="817"/>
      <c r="I934" s="818"/>
      <c r="J934" s="816"/>
      <c r="K934" s="819"/>
      <c r="L934" s="820"/>
      <c r="M934" s="816"/>
      <c r="N934" s="816"/>
      <c r="O934" s="821"/>
    </row>
    <row r="935" ht="24.75" customHeight="1">
      <c r="A935" s="822"/>
      <c r="B935" s="812"/>
      <c r="C935" s="823"/>
      <c r="D935" s="814"/>
      <c r="E935" s="824"/>
      <c r="F935" s="824"/>
      <c r="G935" s="825"/>
      <c r="H935" s="826"/>
      <c r="I935" s="827"/>
      <c r="J935" s="825"/>
      <c r="K935" s="828"/>
      <c r="L935" s="829"/>
      <c r="M935" s="825"/>
      <c r="N935" s="825"/>
      <c r="O935" s="830"/>
    </row>
    <row r="936" ht="24.75" customHeight="1">
      <c r="A936" s="811"/>
      <c r="B936" s="812"/>
      <c r="C936" s="813"/>
      <c r="D936" s="814"/>
      <c r="E936" s="815"/>
      <c r="F936" s="815"/>
      <c r="G936" s="816"/>
      <c r="H936" s="817"/>
      <c r="I936" s="818"/>
      <c r="J936" s="816"/>
      <c r="K936" s="819"/>
      <c r="L936" s="820"/>
      <c r="M936" s="816"/>
      <c r="N936" s="816"/>
      <c r="O936" s="821"/>
    </row>
    <row r="937" ht="24.75" customHeight="1">
      <c r="A937" s="822"/>
      <c r="B937" s="812"/>
      <c r="C937" s="823"/>
      <c r="D937" s="814"/>
      <c r="E937" s="824"/>
      <c r="F937" s="824"/>
      <c r="G937" s="825"/>
      <c r="H937" s="826"/>
      <c r="I937" s="827"/>
      <c r="J937" s="825"/>
      <c r="K937" s="828"/>
      <c r="L937" s="829"/>
      <c r="M937" s="825"/>
      <c r="N937" s="825"/>
      <c r="O937" s="830"/>
    </row>
    <row r="938" ht="24.75" customHeight="1">
      <c r="A938" s="811"/>
      <c r="B938" s="812"/>
      <c r="C938" s="813"/>
      <c r="D938" s="814"/>
      <c r="E938" s="815"/>
      <c r="F938" s="815"/>
      <c r="G938" s="816"/>
      <c r="H938" s="817"/>
      <c r="I938" s="818"/>
      <c r="J938" s="816"/>
      <c r="K938" s="819"/>
      <c r="L938" s="820"/>
      <c r="M938" s="816"/>
      <c r="N938" s="816"/>
      <c r="O938" s="821"/>
    </row>
    <row r="939" ht="24.75" customHeight="1">
      <c r="A939" s="822"/>
      <c r="B939" s="812"/>
      <c r="C939" s="823"/>
      <c r="D939" s="814"/>
      <c r="E939" s="824"/>
      <c r="F939" s="824"/>
      <c r="G939" s="825"/>
      <c r="H939" s="826"/>
      <c r="I939" s="827"/>
      <c r="J939" s="825"/>
      <c r="K939" s="828"/>
      <c r="L939" s="829"/>
      <c r="M939" s="825"/>
      <c r="N939" s="825"/>
      <c r="O939" s="830"/>
    </row>
    <row r="940" ht="24.75" customHeight="1">
      <c r="A940" s="811"/>
      <c r="B940" s="812"/>
      <c r="C940" s="813"/>
      <c r="D940" s="814"/>
      <c r="E940" s="815"/>
      <c r="F940" s="815"/>
      <c r="G940" s="816"/>
      <c r="H940" s="817"/>
      <c r="I940" s="818"/>
      <c r="J940" s="816"/>
      <c r="K940" s="819"/>
      <c r="L940" s="820"/>
      <c r="M940" s="816"/>
      <c r="N940" s="816"/>
      <c r="O940" s="821"/>
    </row>
    <row r="941" ht="24.75" customHeight="1">
      <c r="A941" s="822"/>
      <c r="B941" s="812"/>
      <c r="C941" s="823"/>
      <c r="D941" s="814"/>
      <c r="E941" s="824"/>
      <c r="F941" s="824"/>
      <c r="G941" s="825"/>
      <c r="H941" s="826"/>
      <c r="I941" s="827"/>
      <c r="J941" s="825"/>
      <c r="K941" s="828"/>
      <c r="L941" s="829"/>
      <c r="M941" s="825"/>
      <c r="N941" s="825"/>
      <c r="O941" s="830"/>
    </row>
    <row r="942" ht="24.75" customHeight="1">
      <c r="A942" s="811"/>
      <c r="B942" s="812"/>
      <c r="C942" s="813"/>
      <c r="D942" s="814"/>
      <c r="E942" s="815"/>
      <c r="F942" s="815"/>
      <c r="G942" s="816"/>
      <c r="H942" s="817"/>
      <c r="I942" s="818"/>
      <c r="J942" s="816"/>
      <c r="K942" s="819"/>
      <c r="L942" s="820"/>
      <c r="M942" s="816"/>
      <c r="N942" s="816"/>
      <c r="O942" s="821"/>
    </row>
    <row r="943" ht="24.75" customHeight="1">
      <c r="A943" s="822"/>
      <c r="B943" s="812"/>
      <c r="C943" s="823"/>
      <c r="D943" s="814"/>
      <c r="E943" s="824"/>
      <c r="F943" s="824"/>
      <c r="G943" s="825"/>
      <c r="H943" s="826"/>
      <c r="I943" s="827"/>
      <c r="J943" s="825"/>
      <c r="K943" s="828"/>
      <c r="L943" s="829"/>
      <c r="M943" s="825"/>
      <c r="N943" s="825"/>
      <c r="O943" s="830"/>
    </row>
    <row r="944" ht="24.75" customHeight="1">
      <c r="A944" s="811"/>
      <c r="B944" s="812"/>
      <c r="C944" s="813"/>
      <c r="D944" s="814"/>
      <c r="E944" s="815"/>
      <c r="F944" s="815"/>
      <c r="G944" s="816"/>
      <c r="H944" s="817"/>
      <c r="I944" s="818"/>
      <c r="J944" s="816"/>
      <c r="K944" s="819"/>
      <c r="L944" s="820"/>
      <c r="M944" s="816"/>
      <c r="N944" s="816"/>
      <c r="O944" s="821"/>
    </row>
    <row r="945" ht="24.75" customHeight="1">
      <c r="A945" s="822"/>
      <c r="B945" s="812"/>
      <c r="C945" s="823"/>
      <c r="D945" s="814"/>
      <c r="E945" s="824"/>
      <c r="F945" s="824"/>
      <c r="G945" s="825"/>
      <c r="H945" s="826"/>
      <c r="I945" s="827"/>
      <c r="J945" s="825"/>
      <c r="K945" s="828"/>
      <c r="L945" s="829"/>
      <c r="M945" s="825"/>
      <c r="N945" s="825"/>
      <c r="O945" s="830"/>
    </row>
    <row r="946" ht="24.75" customHeight="1">
      <c r="A946" s="811"/>
      <c r="B946" s="812"/>
      <c r="C946" s="813"/>
      <c r="D946" s="814"/>
      <c r="E946" s="815"/>
      <c r="F946" s="815"/>
      <c r="G946" s="816"/>
      <c r="H946" s="817"/>
      <c r="I946" s="818"/>
      <c r="J946" s="816"/>
      <c r="K946" s="819"/>
      <c r="L946" s="820"/>
      <c r="M946" s="816"/>
      <c r="N946" s="816"/>
      <c r="O946" s="821"/>
    </row>
    <row r="947" ht="24.75" customHeight="1">
      <c r="A947" s="822"/>
      <c r="B947" s="812"/>
      <c r="C947" s="823"/>
      <c r="D947" s="814"/>
      <c r="E947" s="824"/>
      <c r="F947" s="824"/>
      <c r="G947" s="825"/>
      <c r="H947" s="826"/>
      <c r="I947" s="827"/>
      <c r="J947" s="825"/>
      <c r="K947" s="828"/>
      <c r="L947" s="829"/>
      <c r="M947" s="825"/>
      <c r="N947" s="825"/>
      <c r="O947" s="830"/>
    </row>
    <row r="948" ht="24.75" customHeight="1">
      <c r="A948" s="811"/>
      <c r="B948" s="812"/>
      <c r="C948" s="813"/>
      <c r="D948" s="814"/>
      <c r="E948" s="815"/>
      <c r="F948" s="815"/>
      <c r="G948" s="816"/>
      <c r="H948" s="817"/>
      <c r="I948" s="818"/>
      <c r="J948" s="816"/>
      <c r="K948" s="819"/>
      <c r="L948" s="820"/>
      <c r="M948" s="816"/>
      <c r="N948" s="816"/>
      <c r="O948" s="821"/>
    </row>
    <row r="949" ht="24.75" customHeight="1">
      <c r="A949" s="822"/>
      <c r="B949" s="812"/>
      <c r="C949" s="823"/>
      <c r="D949" s="814"/>
      <c r="E949" s="824"/>
      <c r="F949" s="824"/>
      <c r="G949" s="825"/>
      <c r="H949" s="826"/>
      <c r="I949" s="827"/>
      <c r="J949" s="825"/>
      <c r="K949" s="828"/>
      <c r="L949" s="829"/>
      <c r="M949" s="825"/>
      <c r="N949" s="825"/>
      <c r="O949" s="830"/>
    </row>
    <row r="950" ht="24.75" customHeight="1">
      <c r="A950" s="811"/>
      <c r="B950" s="812"/>
      <c r="C950" s="813"/>
      <c r="D950" s="814"/>
      <c r="E950" s="815"/>
      <c r="F950" s="815"/>
      <c r="G950" s="816"/>
      <c r="H950" s="817"/>
      <c r="I950" s="818"/>
      <c r="J950" s="816"/>
      <c r="K950" s="819"/>
      <c r="L950" s="820"/>
      <c r="M950" s="816"/>
      <c r="N950" s="816"/>
      <c r="O950" s="821"/>
    </row>
    <row r="951" ht="24.75" customHeight="1">
      <c r="A951" s="822"/>
      <c r="B951" s="812"/>
      <c r="C951" s="823"/>
      <c r="D951" s="814"/>
      <c r="E951" s="824"/>
      <c r="F951" s="824"/>
      <c r="G951" s="825"/>
      <c r="H951" s="826"/>
      <c r="I951" s="827"/>
      <c r="J951" s="825"/>
      <c r="K951" s="828"/>
      <c r="L951" s="829"/>
      <c r="M951" s="825"/>
      <c r="N951" s="825"/>
      <c r="O951" s="830"/>
    </row>
    <row r="952" ht="24.75" customHeight="1">
      <c r="A952" s="811"/>
      <c r="B952" s="812"/>
      <c r="C952" s="813"/>
      <c r="D952" s="814"/>
      <c r="E952" s="815"/>
      <c r="F952" s="815"/>
      <c r="G952" s="816"/>
      <c r="H952" s="817"/>
      <c r="I952" s="818"/>
      <c r="J952" s="816"/>
      <c r="K952" s="819"/>
      <c r="L952" s="820"/>
      <c r="M952" s="816"/>
      <c r="N952" s="816"/>
      <c r="O952" s="821"/>
    </row>
    <row r="953" ht="24.75" customHeight="1">
      <c r="A953" s="822"/>
      <c r="B953" s="812"/>
      <c r="C953" s="823"/>
      <c r="D953" s="814"/>
      <c r="E953" s="824"/>
      <c r="F953" s="824"/>
      <c r="G953" s="825"/>
      <c r="H953" s="826"/>
      <c r="I953" s="827"/>
      <c r="J953" s="825"/>
      <c r="K953" s="828"/>
      <c r="L953" s="829"/>
      <c r="M953" s="825"/>
      <c r="N953" s="825"/>
      <c r="O953" s="830"/>
    </row>
    <row r="954" ht="24.75" customHeight="1">
      <c r="A954" s="811"/>
      <c r="B954" s="812"/>
      <c r="C954" s="813"/>
      <c r="D954" s="814"/>
      <c r="E954" s="815"/>
      <c r="F954" s="815"/>
      <c r="G954" s="816"/>
      <c r="H954" s="817"/>
      <c r="I954" s="818"/>
      <c r="J954" s="816"/>
      <c r="K954" s="819"/>
      <c r="L954" s="820"/>
      <c r="M954" s="816"/>
      <c r="N954" s="816"/>
      <c r="O954" s="821"/>
    </row>
    <row r="955" ht="24.75" customHeight="1">
      <c r="A955" s="822"/>
      <c r="B955" s="812"/>
      <c r="C955" s="823"/>
      <c r="D955" s="814"/>
      <c r="E955" s="824"/>
      <c r="F955" s="824"/>
      <c r="G955" s="825"/>
      <c r="H955" s="826"/>
      <c r="I955" s="827"/>
      <c r="J955" s="825"/>
      <c r="K955" s="828"/>
      <c r="L955" s="829"/>
      <c r="M955" s="825"/>
      <c r="N955" s="825"/>
      <c r="O955" s="830"/>
    </row>
    <row r="956" ht="24.75" customHeight="1">
      <c r="A956" s="811"/>
      <c r="B956" s="812"/>
      <c r="C956" s="813"/>
      <c r="D956" s="814"/>
      <c r="E956" s="815"/>
      <c r="F956" s="815"/>
      <c r="G956" s="816"/>
      <c r="H956" s="817"/>
      <c r="I956" s="818"/>
      <c r="J956" s="816"/>
      <c r="K956" s="819"/>
      <c r="L956" s="820"/>
      <c r="M956" s="816"/>
      <c r="N956" s="816"/>
      <c r="O956" s="821"/>
    </row>
    <row r="957" ht="24.75" customHeight="1">
      <c r="A957" s="822"/>
      <c r="B957" s="812"/>
      <c r="C957" s="823"/>
      <c r="D957" s="814"/>
      <c r="E957" s="824"/>
      <c r="F957" s="824"/>
      <c r="G957" s="825"/>
      <c r="H957" s="826"/>
      <c r="I957" s="827"/>
      <c r="J957" s="825"/>
      <c r="K957" s="828"/>
      <c r="L957" s="829"/>
      <c r="M957" s="825"/>
      <c r="N957" s="825"/>
      <c r="O957" s="830"/>
    </row>
    <row r="958" ht="24.75" customHeight="1">
      <c r="A958" s="811"/>
      <c r="B958" s="812"/>
      <c r="C958" s="813"/>
      <c r="D958" s="814"/>
      <c r="E958" s="815"/>
      <c r="F958" s="815"/>
      <c r="G958" s="816"/>
      <c r="H958" s="817"/>
      <c r="I958" s="818"/>
      <c r="J958" s="816"/>
      <c r="K958" s="819"/>
      <c r="L958" s="820"/>
      <c r="M958" s="816"/>
      <c r="N958" s="816"/>
      <c r="O958" s="821"/>
    </row>
    <row r="959" ht="24.75" customHeight="1">
      <c r="A959" s="822"/>
      <c r="B959" s="812"/>
      <c r="C959" s="823"/>
      <c r="D959" s="814"/>
      <c r="E959" s="824"/>
      <c r="F959" s="824"/>
      <c r="G959" s="825"/>
      <c r="H959" s="826"/>
      <c r="I959" s="827"/>
      <c r="J959" s="825"/>
      <c r="K959" s="828"/>
      <c r="L959" s="829"/>
      <c r="M959" s="825"/>
      <c r="N959" s="825"/>
      <c r="O959" s="830"/>
    </row>
    <row r="960" ht="24.75" customHeight="1">
      <c r="A960" s="811"/>
      <c r="B960" s="812"/>
      <c r="C960" s="813"/>
      <c r="D960" s="814"/>
      <c r="E960" s="815"/>
      <c r="F960" s="815"/>
      <c r="G960" s="816"/>
      <c r="H960" s="817"/>
      <c r="I960" s="818"/>
      <c r="J960" s="816"/>
      <c r="K960" s="819"/>
      <c r="L960" s="820"/>
      <c r="M960" s="816"/>
      <c r="N960" s="816"/>
      <c r="O960" s="821"/>
    </row>
    <row r="961" ht="24.75" customHeight="1">
      <c r="A961" s="822"/>
      <c r="B961" s="812"/>
      <c r="C961" s="823"/>
      <c r="D961" s="814"/>
      <c r="E961" s="824"/>
      <c r="F961" s="824"/>
      <c r="G961" s="825"/>
      <c r="H961" s="826"/>
      <c r="I961" s="827"/>
      <c r="J961" s="825"/>
      <c r="K961" s="828"/>
      <c r="L961" s="829"/>
      <c r="M961" s="825"/>
      <c r="N961" s="825"/>
      <c r="O961" s="830"/>
    </row>
    <row r="962" ht="24.75" customHeight="1">
      <c r="A962" s="811"/>
      <c r="B962" s="812"/>
      <c r="C962" s="813"/>
      <c r="D962" s="814"/>
      <c r="E962" s="815"/>
      <c r="F962" s="815"/>
      <c r="G962" s="816"/>
      <c r="H962" s="817"/>
      <c r="I962" s="818"/>
      <c r="J962" s="816"/>
      <c r="K962" s="819"/>
      <c r="L962" s="820"/>
      <c r="M962" s="816"/>
      <c r="N962" s="816"/>
      <c r="O962" s="821"/>
    </row>
    <row r="963" ht="24.75" customHeight="1">
      <c r="A963" s="822"/>
      <c r="B963" s="812"/>
      <c r="C963" s="823"/>
      <c r="D963" s="814"/>
      <c r="E963" s="824"/>
      <c r="F963" s="824"/>
      <c r="G963" s="825"/>
      <c r="H963" s="826"/>
      <c r="I963" s="827"/>
      <c r="J963" s="825"/>
      <c r="K963" s="828"/>
      <c r="L963" s="829"/>
      <c r="M963" s="825"/>
      <c r="N963" s="825"/>
      <c r="O963" s="830"/>
    </row>
    <row r="964" ht="24.75" customHeight="1">
      <c r="A964" s="811"/>
      <c r="B964" s="812"/>
      <c r="C964" s="813"/>
      <c r="D964" s="814"/>
      <c r="E964" s="815"/>
      <c r="F964" s="815"/>
      <c r="G964" s="816"/>
      <c r="H964" s="817"/>
      <c r="I964" s="818"/>
      <c r="J964" s="816"/>
      <c r="K964" s="819"/>
      <c r="L964" s="820"/>
      <c r="M964" s="816"/>
      <c r="N964" s="816"/>
      <c r="O964" s="821"/>
    </row>
    <row r="965" ht="24.75" customHeight="1">
      <c r="A965" s="822"/>
      <c r="B965" s="812"/>
      <c r="C965" s="823"/>
      <c r="D965" s="814"/>
      <c r="E965" s="824"/>
      <c r="F965" s="824"/>
      <c r="G965" s="825"/>
      <c r="H965" s="826"/>
      <c r="I965" s="827"/>
      <c r="J965" s="825"/>
      <c r="K965" s="828"/>
      <c r="L965" s="829"/>
      <c r="M965" s="825"/>
      <c r="N965" s="825"/>
      <c r="O965" s="830"/>
    </row>
    <row r="966" ht="24.75" customHeight="1">
      <c r="A966" s="811"/>
      <c r="B966" s="812"/>
      <c r="C966" s="813"/>
      <c r="D966" s="814"/>
      <c r="E966" s="815"/>
      <c r="F966" s="815"/>
      <c r="G966" s="816"/>
      <c r="H966" s="817"/>
      <c r="I966" s="818"/>
      <c r="J966" s="816"/>
      <c r="K966" s="819"/>
      <c r="L966" s="820"/>
      <c r="M966" s="816"/>
      <c r="N966" s="816"/>
      <c r="O966" s="821"/>
    </row>
    <row r="967" ht="24.75" customHeight="1">
      <c r="A967" s="822"/>
      <c r="B967" s="812"/>
      <c r="C967" s="823"/>
      <c r="D967" s="814"/>
      <c r="E967" s="824"/>
      <c r="F967" s="824"/>
      <c r="G967" s="825"/>
      <c r="H967" s="826"/>
      <c r="I967" s="827"/>
      <c r="J967" s="825"/>
      <c r="K967" s="828"/>
      <c r="L967" s="829"/>
      <c r="M967" s="825"/>
      <c r="N967" s="825"/>
      <c r="O967" s="830"/>
    </row>
    <row r="968" ht="24.75" customHeight="1">
      <c r="A968" s="811"/>
      <c r="B968" s="812"/>
      <c r="C968" s="813"/>
      <c r="D968" s="814"/>
      <c r="E968" s="815"/>
      <c r="F968" s="815"/>
      <c r="G968" s="816"/>
      <c r="H968" s="817"/>
      <c r="I968" s="818"/>
      <c r="J968" s="816"/>
      <c r="K968" s="819"/>
      <c r="L968" s="820"/>
      <c r="M968" s="816"/>
      <c r="N968" s="816"/>
      <c r="O968" s="821"/>
    </row>
    <row r="969" ht="24.75" customHeight="1">
      <c r="A969" s="822"/>
      <c r="B969" s="812"/>
      <c r="C969" s="823"/>
      <c r="D969" s="814"/>
      <c r="E969" s="824"/>
      <c r="F969" s="824"/>
      <c r="G969" s="825"/>
      <c r="H969" s="826"/>
      <c r="I969" s="827"/>
      <c r="J969" s="825"/>
      <c r="K969" s="828"/>
      <c r="L969" s="829"/>
      <c r="M969" s="825"/>
      <c r="N969" s="825"/>
      <c r="O969" s="830"/>
    </row>
    <row r="970" ht="24.75" customHeight="1">
      <c r="A970" s="811"/>
      <c r="B970" s="812"/>
      <c r="C970" s="813"/>
      <c r="D970" s="814"/>
      <c r="E970" s="815"/>
      <c r="F970" s="815"/>
      <c r="G970" s="816"/>
      <c r="H970" s="817"/>
      <c r="I970" s="818"/>
      <c r="J970" s="816"/>
      <c r="K970" s="819"/>
      <c r="L970" s="820"/>
      <c r="M970" s="816"/>
      <c r="N970" s="816"/>
      <c r="O970" s="821"/>
    </row>
    <row r="971" ht="24.75" customHeight="1">
      <c r="A971" s="822"/>
      <c r="B971" s="812"/>
      <c r="C971" s="823"/>
      <c r="D971" s="814"/>
      <c r="E971" s="824"/>
      <c r="F971" s="824"/>
      <c r="G971" s="825"/>
      <c r="H971" s="826"/>
      <c r="I971" s="827"/>
      <c r="J971" s="825"/>
      <c r="K971" s="828"/>
      <c r="L971" s="829"/>
      <c r="M971" s="825"/>
      <c r="N971" s="825"/>
      <c r="O971" s="830"/>
    </row>
    <row r="972" ht="24.75" customHeight="1">
      <c r="A972" s="811"/>
      <c r="B972" s="812"/>
      <c r="C972" s="813"/>
      <c r="D972" s="814"/>
      <c r="E972" s="815"/>
      <c r="F972" s="815"/>
      <c r="G972" s="816"/>
      <c r="H972" s="817"/>
      <c r="I972" s="818"/>
      <c r="J972" s="816"/>
      <c r="K972" s="819"/>
      <c r="L972" s="820"/>
      <c r="M972" s="816"/>
      <c r="N972" s="816"/>
      <c r="O972" s="821"/>
    </row>
    <row r="973" ht="24.75" customHeight="1">
      <c r="A973" s="822"/>
      <c r="B973" s="812"/>
      <c r="C973" s="823"/>
      <c r="D973" s="814"/>
      <c r="E973" s="824"/>
      <c r="F973" s="824"/>
      <c r="G973" s="825"/>
      <c r="H973" s="826"/>
      <c r="I973" s="827"/>
      <c r="J973" s="825"/>
      <c r="K973" s="828"/>
      <c r="L973" s="829"/>
      <c r="M973" s="825"/>
      <c r="N973" s="825"/>
      <c r="O973" s="830"/>
    </row>
    <row r="974" ht="24.75" customHeight="1">
      <c r="A974" s="811"/>
      <c r="B974" s="812"/>
      <c r="C974" s="813"/>
      <c r="D974" s="814"/>
      <c r="E974" s="815"/>
      <c r="F974" s="815"/>
      <c r="G974" s="816"/>
      <c r="H974" s="817"/>
      <c r="I974" s="818"/>
      <c r="J974" s="816"/>
      <c r="K974" s="819"/>
      <c r="L974" s="820"/>
      <c r="M974" s="816"/>
      <c r="N974" s="816"/>
      <c r="O974" s="821"/>
    </row>
    <row r="975" ht="24.75" customHeight="1">
      <c r="A975" s="822"/>
      <c r="B975" s="812"/>
      <c r="C975" s="823"/>
      <c r="D975" s="814"/>
      <c r="E975" s="824"/>
      <c r="F975" s="824"/>
      <c r="G975" s="825"/>
      <c r="H975" s="826"/>
      <c r="I975" s="827"/>
      <c r="J975" s="825"/>
      <c r="K975" s="828"/>
      <c r="L975" s="829"/>
      <c r="M975" s="825"/>
      <c r="N975" s="825"/>
      <c r="O975" s="830"/>
    </row>
    <row r="976" ht="24.75" customHeight="1">
      <c r="A976" s="811"/>
      <c r="B976" s="812"/>
      <c r="C976" s="813"/>
      <c r="D976" s="814"/>
      <c r="E976" s="815"/>
      <c r="F976" s="815"/>
      <c r="G976" s="816"/>
      <c r="H976" s="817"/>
      <c r="I976" s="818"/>
      <c r="J976" s="816"/>
      <c r="K976" s="819"/>
      <c r="L976" s="820"/>
      <c r="M976" s="816"/>
      <c r="N976" s="816"/>
      <c r="O976" s="821"/>
    </row>
    <row r="977" ht="24.75" customHeight="1">
      <c r="A977" s="822"/>
      <c r="B977" s="812"/>
      <c r="C977" s="823"/>
      <c r="D977" s="814"/>
      <c r="E977" s="824"/>
      <c r="F977" s="824"/>
      <c r="G977" s="825"/>
      <c r="H977" s="826"/>
      <c r="I977" s="827"/>
      <c r="J977" s="825"/>
      <c r="K977" s="828"/>
      <c r="L977" s="829"/>
      <c r="M977" s="825"/>
      <c r="N977" s="825"/>
      <c r="O977" s="830"/>
    </row>
    <row r="978" ht="24.75" customHeight="1">
      <c r="A978" s="811"/>
      <c r="B978" s="812"/>
      <c r="C978" s="813"/>
      <c r="D978" s="814"/>
      <c r="E978" s="815"/>
      <c r="F978" s="815"/>
      <c r="G978" s="816"/>
      <c r="H978" s="817"/>
      <c r="I978" s="818"/>
      <c r="J978" s="816"/>
      <c r="K978" s="819"/>
      <c r="L978" s="820"/>
      <c r="M978" s="816"/>
      <c r="N978" s="816"/>
      <c r="O978" s="821"/>
    </row>
    <row r="979" ht="24.75" customHeight="1">
      <c r="A979" s="822"/>
      <c r="B979" s="812"/>
      <c r="C979" s="823"/>
      <c r="D979" s="814"/>
      <c r="E979" s="824"/>
      <c r="F979" s="824"/>
      <c r="G979" s="825"/>
      <c r="H979" s="826"/>
      <c r="I979" s="827"/>
      <c r="J979" s="825"/>
      <c r="K979" s="828"/>
      <c r="L979" s="829"/>
      <c r="M979" s="825"/>
      <c r="N979" s="825"/>
      <c r="O979" s="830"/>
    </row>
    <row r="980" ht="24.75" customHeight="1">
      <c r="A980" s="811"/>
      <c r="B980" s="812"/>
      <c r="C980" s="813"/>
      <c r="D980" s="814"/>
      <c r="E980" s="815"/>
      <c r="F980" s="815"/>
      <c r="G980" s="816"/>
      <c r="H980" s="817"/>
      <c r="I980" s="818"/>
      <c r="J980" s="816"/>
      <c r="K980" s="819"/>
      <c r="L980" s="820"/>
      <c r="M980" s="816"/>
      <c r="N980" s="816"/>
      <c r="O980" s="821"/>
    </row>
    <row r="981" ht="24.75" customHeight="1">
      <c r="A981" s="822"/>
      <c r="B981" s="812"/>
      <c r="C981" s="823"/>
      <c r="D981" s="814"/>
      <c r="E981" s="824"/>
      <c r="F981" s="824"/>
      <c r="G981" s="825"/>
      <c r="H981" s="826"/>
      <c r="I981" s="827"/>
      <c r="J981" s="825"/>
      <c r="K981" s="828"/>
      <c r="L981" s="829"/>
      <c r="M981" s="825"/>
      <c r="N981" s="825"/>
      <c r="O981" s="830"/>
    </row>
    <row r="982" ht="24.75" customHeight="1">
      <c r="A982" s="811"/>
      <c r="B982" s="812"/>
      <c r="C982" s="813"/>
      <c r="D982" s="814"/>
      <c r="E982" s="815"/>
      <c r="F982" s="815"/>
      <c r="G982" s="816"/>
      <c r="H982" s="817"/>
      <c r="I982" s="818"/>
      <c r="J982" s="816"/>
      <c r="K982" s="819"/>
      <c r="L982" s="820"/>
      <c r="M982" s="816"/>
      <c r="N982" s="816"/>
      <c r="O982" s="821"/>
    </row>
    <row r="983" ht="24.75" customHeight="1">
      <c r="A983" s="822"/>
      <c r="B983" s="812"/>
      <c r="C983" s="823"/>
      <c r="D983" s="814"/>
      <c r="E983" s="824"/>
      <c r="F983" s="824"/>
      <c r="G983" s="825"/>
      <c r="H983" s="826"/>
      <c r="I983" s="827"/>
      <c r="J983" s="825"/>
      <c r="K983" s="828"/>
      <c r="L983" s="829"/>
      <c r="M983" s="825"/>
      <c r="N983" s="825"/>
      <c r="O983" s="830"/>
    </row>
    <row r="984" ht="24.75" customHeight="1">
      <c r="A984" s="811"/>
      <c r="B984" s="812"/>
      <c r="C984" s="813"/>
      <c r="D984" s="814"/>
      <c r="E984" s="815"/>
      <c r="F984" s="815"/>
      <c r="G984" s="816"/>
      <c r="H984" s="817"/>
      <c r="I984" s="818"/>
      <c r="J984" s="816"/>
      <c r="K984" s="819"/>
      <c r="L984" s="820"/>
      <c r="M984" s="816"/>
      <c r="N984" s="816"/>
      <c r="O984" s="821"/>
    </row>
    <row r="985" ht="24.75" customHeight="1">
      <c r="A985" s="822"/>
      <c r="B985" s="812"/>
      <c r="C985" s="823"/>
      <c r="D985" s="814"/>
      <c r="E985" s="824"/>
      <c r="F985" s="824"/>
      <c r="G985" s="825"/>
      <c r="H985" s="826"/>
      <c r="I985" s="827"/>
      <c r="J985" s="825"/>
      <c r="K985" s="828"/>
      <c r="L985" s="829"/>
      <c r="M985" s="825"/>
      <c r="N985" s="825"/>
      <c r="O985" s="830"/>
    </row>
    <row r="986" ht="24.75" customHeight="1">
      <c r="A986" s="811"/>
      <c r="B986" s="812"/>
      <c r="C986" s="813"/>
      <c r="D986" s="814"/>
      <c r="E986" s="815"/>
      <c r="F986" s="815"/>
      <c r="G986" s="816"/>
      <c r="H986" s="817"/>
      <c r="I986" s="818"/>
      <c r="J986" s="816"/>
      <c r="K986" s="819"/>
      <c r="L986" s="820"/>
      <c r="M986" s="816"/>
      <c r="N986" s="816"/>
      <c r="O986" s="821"/>
    </row>
    <row r="987" ht="24.75" customHeight="1">
      <c r="A987" s="822"/>
      <c r="B987" s="812"/>
      <c r="C987" s="823"/>
      <c r="D987" s="814"/>
      <c r="E987" s="824"/>
      <c r="F987" s="824"/>
      <c r="G987" s="825"/>
      <c r="H987" s="826"/>
      <c r="I987" s="827"/>
      <c r="J987" s="825"/>
      <c r="K987" s="828"/>
      <c r="L987" s="829"/>
      <c r="M987" s="825"/>
      <c r="N987" s="825"/>
      <c r="O987" s="830"/>
    </row>
    <row r="988" ht="24.75" customHeight="1">
      <c r="A988" s="811"/>
      <c r="B988" s="812"/>
      <c r="C988" s="813"/>
      <c r="D988" s="814"/>
      <c r="E988" s="815"/>
      <c r="F988" s="815"/>
      <c r="G988" s="816"/>
      <c r="H988" s="817"/>
      <c r="I988" s="818"/>
      <c r="J988" s="816"/>
      <c r="K988" s="819"/>
      <c r="L988" s="820"/>
      <c r="M988" s="816"/>
      <c r="N988" s="816"/>
      <c r="O988" s="821"/>
    </row>
    <row r="989" ht="24.75" customHeight="1">
      <c r="A989" s="822"/>
      <c r="B989" s="812"/>
      <c r="C989" s="823"/>
      <c r="D989" s="814"/>
      <c r="E989" s="824"/>
      <c r="F989" s="824"/>
      <c r="G989" s="825"/>
      <c r="H989" s="826"/>
      <c r="I989" s="827"/>
      <c r="J989" s="825"/>
      <c r="K989" s="828"/>
      <c r="L989" s="829"/>
      <c r="M989" s="825"/>
      <c r="N989" s="825"/>
      <c r="O989" s="830"/>
    </row>
    <row r="990" ht="24.75" customHeight="1">
      <c r="A990" s="811"/>
      <c r="B990" s="812"/>
      <c r="C990" s="813"/>
      <c r="D990" s="814"/>
      <c r="E990" s="815"/>
      <c r="F990" s="815"/>
      <c r="G990" s="816"/>
      <c r="H990" s="817"/>
      <c r="I990" s="818"/>
      <c r="J990" s="816"/>
      <c r="K990" s="819"/>
      <c r="L990" s="820"/>
      <c r="M990" s="816"/>
      <c r="N990" s="816"/>
      <c r="O990" s="821"/>
    </row>
    <row r="991" ht="24.75" customHeight="1">
      <c r="A991" s="822"/>
      <c r="B991" s="812"/>
      <c r="C991" s="823"/>
      <c r="D991" s="814"/>
      <c r="E991" s="824"/>
      <c r="F991" s="824"/>
      <c r="G991" s="825"/>
      <c r="H991" s="826"/>
      <c r="I991" s="827"/>
      <c r="J991" s="825"/>
      <c r="K991" s="828"/>
      <c r="L991" s="829"/>
      <c r="M991" s="825"/>
      <c r="N991" s="825"/>
      <c r="O991" s="830"/>
    </row>
    <row r="992" ht="24.75" customHeight="1">
      <c r="A992" s="811"/>
      <c r="B992" s="812"/>
      <c r="C992" s="813"/>
      <c r="D992" s="814"/>
      <c r="E992" s="815"/>
      <c r="F992" s="815"/>
      <c r="G992" s="816"/>
      <c r="H992" s="817"/>
      <c r="I992" s="818"/>
      <c r="J992" s="816"/>
      <c r="K992" s="819"/>
      <c r="L992" s="820"/>
      <c r="M992" s="816"/>
      <c r="N992" s="816"/>
      <c r="O992" s="821"/>
    </row>
    <row r="993" ht="24.75" customHeight="1">
      <c r="A993" s="822"/>
      <c r="B993" s="812"/>
      <c r="C993" s="823"/>
      <c r="D993" s="814"/>
      <c r="E993" s="824"/>
      <c r="F993" s="824"/>
      <c r="G993" s="825"/>
      <c r="H993" s="826"/>
      <c r="I993" s="827"/>
      <c r="J993" s="825"/>
      <c r="K993" s="828"/>
      <c r="L993" s="829"/>
      <c r="M993" s="825"/>
      <c r="N993" s="825"/>
      <c r="O993" s="830"/>
    </row>
    <row r="994" ht="24.75" customHeight="1">
      <c r="A994" s="811"/>
      <c r="B994" s="812"/>
      <c r="C994" s="813"/>
      <c r="D994" s="814"/>
      <c r="E994" s="815"/>
      <c r="F994" s="815"/>
      <c r="G994" s="816"/>
      <c r="H994" s="817"/>
      <c r="I994" s="818"/>
      <c r="J994" s="816"/>
      <c r="K994" s="819"/>
      <c r="L994" s="820"/>
      <c r="M994" s="816"/>
      <c r="N994" s="816"/>
      <c r="O994" s="821"/>
    </row>
    <row r="995" ht="24.75" customHeight="1">
      <c r="A995" s="822"/>
      <c r="B995" s="812"/>
      <c r="C995" s="823"/>
      <c r="D995" s="814"/>
      <c r="E995" s="824"/>
      <c r="F995" s="824"/>
      <c r="G995" s="825"/>
      <c r="H995" s="826"/>
      <c r="I995" s="827"/>
      <c r="J995" s="825"/>
      <c r="K995" s="828"/>
      <c r="L995" s="829"/>
      <c r="M995" s="825"/>
      <c r="N995" s="825"/>
      <c r="O995" s="830"/>
    </row>
    <row r="996" ht="24.75" customHeight="1">
      <c r="A996" s="811"/>
      <c r="B996" s="812"/>
      <c r="C996" s="813"/>
      <c r="D996" s="814"/>
      <c r="E996" s="815"/>
      <c r="F996" s="815"/>
      <c r="G996" s="816"/>
      <c r="H996" s="817"/>
      <c r="I996" s="818"/>
      <c r="J996" s="816"/>
      <c r="K996" s="819"/>
      <c r="L996" s="820"/>
      <c r="M996" s="816"/>
      <c r="N996" s="816"/>
      <c r="O996" s="821"/>
    </row>
    <row r="997" ht="24.75" customHeight="1">
      <c r="A997" s="822"/>
      <c r="B997" s="812"/>
      <c r="C997" s="823"/>
      <c r="D997" s="814"/>
      <c r="E997" s="824"/>
      <c r="F997" s="824"/>
      <c r="G997" s="825"/>
      <c r="H997" s="826"/>
      <c r="I997" s="827"/>
      <c r="J997" s="825"/>
      <c r="K997" s="828"/>
      <c r="L997" s="829"/>
      <c r="M997" s="825"/>
      <c r="N997" s="825"/>
      <c r="O997" s="830"/>
    </row>
    <row r="998" ht="24.75" customHeight="1">
      <c r="A998" s="811"/>
      <c r="B998" s="812"/>
      <c r="C998" s="813"/>
      <c r="D998" s="814"/>
      <c r="E998" s="815"/>
      <c r="F998" s="815"/>
      <c r="G998" s="816"/>
      <c r="H998" s="817"/>
      <c r="I998" s="818"/>
      <c r="J998" s="816"/>
      <c r="K998" s="819"/>
      <c r="L998" s="820"/>
      <c r="M998" s="816"/>
      <c r="N998" s="816"/>
      <c r="O998" s="821"/>
    </row>
    <row r="999" ht="24.75" customHeight="1">
      <c r="A999" s="822"/>
      <c r="B999" s="812"/>
      <c r="C999" s="823"/>
      <c r="D999" s="814"/>
      <c r="E999" s="824"/>
      <c r="F999" s="824"/>
      <c r="G999" s="825"/>
      <c r="H999" s="826"/>
      <c r="I999" s="827"/>
      <c r="J999" s="825"/>
      <c r="K999" s="828"/>
      <c r="L999" s="829"/>
      <c r="M999" s="825"/>
      <c r="N999" s="825"/>
      <c r="O999" s="830"/>
    </row>
    <row r="1000" ht="24.75" customHeight="1">
      <c r="A1000" s="811"/>
      <c r="B1000" s="812"/>
      <c r="C1000" s="813"/>
      <c r="D1000" s="814"/>
      <c r="E1000" s="815"/>
      <c r="F1000" s="815"/>
      <c r="G1000" s="816"/>
      <c r="H1000" s="817"/>
      <c r="I1000" s="818"/>
      <c r="J1000" s="816"/>
      <c r="K1000" s="819"/>
      <c r="L1000" s="820"/>
      <c r="M1000" s="816"/>
      <c r="N1000" s="816"/>
      <c r="O1000" s="821"/>
    </row>
    <row r="1001" ht="24.75" customHeight="1">
      <c r="A1001" s="822"/>
      <c r="B1001" s="812"/>
      <c r="C1001" s="823"/>
      <c r="D1001" s="814"/>
      <c r="E1001" s="824"/>
      <c r="F1001" s="824"/>
      <c r="G1001" s="825"/>
      <c r="H1001" s="826"/>
      <c r="I1001" s="827"/>
      <c r="J1001" s="825"/>
      <c r="K1001" s="828"/>
      <c r="L1001" s="829"/>
      <c r="M1001" s="825"/>
      <c r="N1001" s="825"/>
      <c r="O1001" s="830"/>
    </row>
    <row r="1002" ht="24.75" customHeight="1">
      <c r="A1002" s="811"/>
      <c r="B1002" s="812"/>
      <c r="C1002" s="813"/>
      <c r="D1002" s="814"/>
      <c r="E1002" s="815"/>
      <c r="F1002" s="815"/>
      <c r="G1002" s="816"/>
      <c r="H1002" s="817"/>
      <c r="I1002" s="818"/>
      <c r="J1002" s="816"/>
      <c r="K1002" s="819"/>
      <c r="L1002" s="820"/>
      <c r="M1002" s="816"/>
      <c r="N1002" s="816"/>
      <c r="O1002" s="821"/>
    </row>
    <row r="1003" ht="24.75" customHeight="1">
      <c r="A1003" s="822"/>
      <c r="B1003" s="812"/>
      <c r="C1003" s="823"/>
      <c r="D1003" s="814"/>
      <c r="E1003" s="824"/>
      <c r="F1003" s="824"/>
      <c r="G1003" s="825"/>
      <c r="H1003" s="826"/>
      <c r="I1003" s="827"/>
      <c r="J1003" s="825"/>
      <c r="K1003" s="828"/>
      <c r="L1003" s="829"/>
      <c r="M1003" s="825"/>
      <c r="N1003" s="825"/>
      <c r="O1003" s="830"/>
    </row>
    <row r="1004" ht="24.75" customHeight="1">
      <c r="A1004" s="811"/>
      <c r="B1004" s="812"/>
      <c r="C1004" s="813"/>
      <c r="D1004" s="814"/>
      <c r="E1004" s="815"/>
      <c r="F1004" s="815"/>
      <c r="G1004" s="816"/>
      <c r="H1004" s="817"/>
      <c r="I1004" s="818"/>
      <c r="J1004" s="816"/>
      <c r="K1004" s="819"/>
      <c r="L1004" s="820"/>
      <c r="M1004" s="816"/>
      <c r="N1004" s="816"/>
      <c r="O1004" s="821"/>
    </row>
    <row r="1005" ht="24.75" customHeight="1">
      <c r="A1005" s="822"/>
      <c r="B1005" s="812"/>
      <c r="C1005" s="823"/>
      <c r="D1005" s="814"/>
      <c r="E1005" s="824"/>
      <c r="F1005" s="824"/>
      <c r="G1005" s="825"/>
      <c r="H1005" s="826"/>
      <c r="I1005" s="827"/>
      <c r="J1005" s="825"/>
      <c r="K1005" s="828"/>
      <c r="L1005" s="829"/>
      <c r="M1005" s="825"/>
      <c r="N1005" s="825"/>
      <c r="O1005" s="830"/>
    </row>
    <row r="1006" ht="24.75" customHeight="1">
      <c r="A1006" s="811"/>
      <c r="B1006" s="812"/>
      <c r="C1006" s="813"/>
      <c r="D1006" s="814"/>
      <c r="E1006" s="815"/>
      <c r="F1006" s="815"/>
      <c r="G1006" s="816"/>
      <c r="H1006" s="817"/>
      <c r="I1006" s="818"/>
      <c r="J1006" s="816"/>
      <c r="K1006" s="819"/>
      <c r="L1006" s="820"/>
      <c r="M1006" s="816"/>
      <c r="N1006" s="816"/>
      <c r="O1006" s="821"/>
    </row>
    <row r="1007" ht="24.75" customHeight="1">
      <c r="A1007" s="822"/>
      <c r="B1007" s="812"/>
      <c r="C1007" s="823"/>
      <c r="D1007" s="814"/>
      <c r="E1007" s="824"/>
      <c r="F1007" s="824"/>
      <c r="G1007" s="825"/>
      <c r="H1007" s="826"/>
      <c r="I1007" s="827"/>
      <c r="J1007" s="825"/>
      <c r="K1007" s="828"/>
      <c r="L1007" s="829"/>
      <c r="M1007" s="825"/>
      <c r="N1007" s="825"/>
      <c r="O1007" s="830"/>
    </row>
    <row r="1008" ht="24.75" customHeight="1">
      <c r="A1008" s="811"/>
      <c r="B1008" s="812"/>
      <c r="C1008" s="813"/>
      <c r="D1008" s="814"/>
      <c r="E1008" s="815"/>
      <c r="F1008" s="815"/>
      <c r="G1008" s="816"/>
      <c r="H1008" s="817"/>
      <c r="I1008" s="818"/>
      <c r="J1008" s="816"/>
      <c r="K1008" s="819"/>
      <c r="L1008" s="820"/>
      <c r="M1008" s="816"/>
      <c r="N1008" s="816"/>
      <c r="O1008" s="821"/>
    </row>
    <row r="1009" ht="24.75" customHeight="1">
      <c r="A1009" s="822"/>
      <c r="B1009" s="812"/>
      <c r="C1009" s="823"/>
      <c r="D1009" s="814"/>
      <c r="E1009" s="824"/>
      <c r="F1009" s="824"/>
      <c r="G1009" s="825"/>
      <c r="H1009" s="826"/>
      <c r="I1009" s="827"/>
      <c r="J1009" s="825"/>
      <c r="K1009" s="828"/>
      <c r="L1009" s="829"/>
      <c r="M1009" s="825"/>
      <c r="N1009" s="825"/>
      <c r="O1009" s="830"/>
    </row>
    <row r="1010" ht="24.75" customHeight="1">
      <c r="A1010" s="811"/>
      <c r="B1010" s="812"/>
      <c r="C1010" s="813"/>
      <c r="D1010" s="814"/>
      <c r="E1010" s="815"/>
      <c r="F1010" s="815"/>
      <c r="G1010" s="816"/>
      <c r="H1010" s="817"/>
      <c r="I1010" s="818"/>
      <c r="J1010" s="816"/>
      <c r="K1010" s="819"/>
      <c r="L1010" s="820"/>
      <c r="M1010" s="816"/>
      <c r="N1010" s="816"/>
      <c r="O1010" s="821"/>
    </row>
    <row r="1011" ht="24.75" customHeight="1">
      <c r="A1011" s="822"/>
      <c r="B1011" s="812"/>
      <c r="C1011" s="823"/>
      <c r="D1011" s="814"/>
      <c r="E1011" s="824"/>
      <c r="F1011" s="824"/>
      <c r="G1011" s="825"/>
      <c r="H1011" s="826"/>
      <c r="I1011" s="827"/>
      <c r="J1011" s="825"/>
      <c r="K1011" s="828"/>
      <c r="L1011" s="829"/>
      <c r="M1011" s="825"/>
      <c r="N1011" s="825"/>
      <c r="O1011" s="830"/>
    </row>
    <row r="1012" ht="24.75" customHeight="1">
      <c r="A1012" s="811"/>
      <c r="B1012" s="812"/>
      <c r="C1012" s="813"/>
      <c r="D1012" s="814"/>
      <c r="E1012" s="815"/>
      <c r="F1012" s="815"/>
      <c r="G1012" s="816"/>
      <c r="H1012" s="817"/>
      <c r="I1012" s="818"/>
      <c r="J1012" s="816"/>
      <c r="K1012" s="819"/>
      <c r="L1012" s="820"/>
      <c r="M1012" s="816"/>
      <c r="N1012" s="816"/>
      <c r="O1012" s="821"/>
    </row>
    <row r="1013" ht="24.75" customHeight="1">
      <c r="A1013" s="822"/>
      <c r="B1013" s="812"/>
      <c r="C1013" s="823"/>
      <c r="D1013" s="814"/>
      <c r="E1013" s="824"/>
      <c r="F1013" s="824"/>
      <c r="G1013" s="825"/>
      <c r="H1013" s="826"/>
      <c r="I1013" s="827"/>
      <c r="J1013" s="825"/>
      <c r="K1013" s="828"/>
      <c r="L1013" s="829"/>
      <c r="M1013" s="825"/>
      <c r="N1013" s="825"/>
      <c r="O1013" s="830"/>
    </row>
    <row r="1014" ht="24.75" customHeight="1">
      <c r="A1014" s="811"/>
      <c r="B1014" s="812"/>
      <c r="C1014" s="813"/>
      <c r="D1014" s="814"/>
      <c r="E1014" s="815"/>
      <c r="F1014" s="815"/>
      <c r="G1014" s="816"/>
      <c r="H1014" s="817"/>
      <c r="I1014" s="818"/>
      <c r="J1014" s="816"/>
      <c r="K1014" s="819"/>
      <c r="L1014" s="820"/>
      <c r="M1014" s="816"/>
      <c r="N1014" s="816"/>
      <c r="O1014" s="821"/>
    </row>
    <row r="1015" ht="24.75" customHeight="1">
      <c r="A1015" s="822"/>
      <c r="B1015" s="812"/>
      <c r="C1015" s="823"/>
      <c r="D1015" s="814"/>
      <c r="E1015" s="824"/>
      <c r="F1015" s="824"/>
      <c r="G1015" s="825"/>
      <c r="H1015" s="826"/>
      <c r="I1015" s="827"/>
      <c r="J1015" s="825"/>
      <c r="K1015" s="828"/>
      <c r="L1015" s="829"/>
      <c r="M1015" s="825"/>
      <c r="N1015" s="825"/>
      <c r="O1015" s="830"/>
    </row>
    <row r="1016" ht="24.75" customHeight="1">
      <c r="A1016" s="811"/>
      <c r="B1016" s="812"/>
      <c r="C1016" s="813"/>
      <c r="D1016" s="814"/>
      <c r="E1016" s="815"/>
      <c r="F1016" s="815"/>
      <c r="G1016" s="816"/>
      <c r="H1016" s="817"/>
      <c r="I1016" s="818"/>
      <c r="J1016" s="816"/>
      <c r="K1016" s="819"/>
      <c r="L1016" s="820"/>
      <c r="M1016" s="816"/>
      <c r="N1016" s="816"/>
      <c r="O1016" s="821"/>
    </row>
    <row r="1017" ht="24.75" customHeight="1">
      <c r="A1017" s="822"/>
      <c r="B1017" s="812"/>
      <c r="C1017" s="823"/>
      <c r="D1017" s="814"/>
      <c r="E1017" s="824"/>
      <c r="F1017" s="824"/>
      <c r="G1017" s="825"/>
      <c r="H1017" s="826"/>
      <c r="I1017" s="827"/>
      <c r="J1017" s="825"/>
      <c r="K1017" s="828"/>
      <c r="L1017" s="829"/>
      <c r="M1017" s="825"/>
      <c r="N1017" s="825"/>
      <c r="O1017" s="830"/>
    </row>
    <row r="1018" ht="24.75" customHeight="1">
      <c r="A1018" s="811"/>
      <c r="B1018" s="812"/>
      <c r="C1018" s="813"/>
      <c r="D1018" s="814"/>
      <c r="E1018" s="815"/>
      <c r="F1018" s="815"/>
      <c r="G1018" s="816"/>
      <c r="H1018" s="817"/>
      <c r="I1018" s="818"/>
      <c r="J1018" s="816"/>
      <c r="K1018" s="819"/>
      <c r="L1018" s="820"/>
      <c r="M1018" s="816"/>
      <c r="N1018" s="816"/>
      <c r="O1018" s="821"/>
    </row>
    <row r="1019" ht="24.75" customHeight="1">
      <c r="A1019" s="822"/>
      <c r="B1019" s="812"/>
      <c r="C1019" s="823"/>
      <c r="D1019" s="814"/>
      <c r="E1019" s="824"/>
      <c r="F1019" s="824"/>
      <c r="G1019" s="825"/>
      <c r="H1019" s="826"/>
      <c r="I1019" s="827"/>
      <c r="J1019" s="825"/>
      <c r="K1019" s="828"/>
      <c r="L1019" s="829"/>
      <c r="M1019" s="825"/>
      <c r="N1019" s="825"/>
      <c r="O1019" s="830"/>
    </row>
    <row r="1020" ht="24.75" customHeight="1">
      <c r="A1020" s="811"/>
      <c r="B1020" s="812"/>
      <c r="C1020" s="813"/>
      <c r="D1020" s="814"/>
      <c r="E1020" s="815"/>
      <c r="F1020" s="815"/>
      <c r="G1020" s="816"/>
      <c r="H1020" s="817"/>
      <c r="I1020" s="818"/>
      <c r="J1020" s="816"/>
      <c r="K1020" s="819"/>
      <c r="L1020" s="820"/>
      <c r="M1020" s="816"/>
      <c r="N1020" s="816"/>
      <c r="O1020" s="821"/>
    </row>
    <row r="1021" ht="24.75" customHeight="1">
      <c r="A1021" s="822"/>
      <c r="B1021" s="812"/>
      <c r="C1021" s="823"/>
      <c r="D1021" s="814"/>
      <c r="E1021" s="824"/>
      <c r="F1021" s="824"/>
      <c r="G1021" s="825"/>
      <c r="H1021" s="826"/>
      <c r="I1021" s="827"/>
      <c r="J1021" s="825"/>
      <c r="K1021" s="828"/>
      <c r="L1021" s="829"/>
      <c r="M1021" s="825"/>
      <c r="N1021" s="825"/>
      <c r="O1021" s="830"/>
    </row>
    <row r="1022" ht="24.75" customHeight="1">
      <c r="A1022" s="811"/>
      <c r="B1022" s="812"/>
      <c r="C1022" s="813"/>
      <c r="D1022" s="814"/>
      <c r="E1022" s="815"/>
      <c r="F1022" s="815"/>
      <c r="G1022" s="816"/>
      <c r="H1022" s="817"/>
      <c r="I1022" s="818"/>
      <c r="J1022" s="816"/>
      <c r="K1022" s="819"/>
      <c r="L1022" s="820"/>
      <c r="M1022" s="816"/>
      <c r="N1022" s="816"/>
      <c r="O1022" s="821"/>
    </row>
    <row r="1023" ht="24.75" customHeight="1">
      <c r="A1023" s="822"/>
      <c r="B1023" s="812"/>
      <c r="C1023" s="823"/>
      <c r="D1023" s="814"/>
      <c r="E1023" s="824"/>
      <c r="F1023" s="824"/>
      <c r="G1023" s="825"/>
      <c r="H1023" s="826"/>
      <c r="I1023" s="827"/>
      <c r="J1023" s="825"/>
      <c r="K1023" s="828"/>
      <c r="L1023" s="829"/>
      <c r="M1023" s="825"/>
      <c r="N1023" s="825"/>
      <c r="O1023" s="830"/>
    </row>
    <row r="1024" ht="24.75" customHeight="1">
      <c r="A1024" s="811"/>
      <c r="B1024" s="812"/>
      <c r="C1024" s="813"/>
      <c r="D1024" s="814"/>
      <c r="E1024" s="815"/>
      <c r="F1024" s="815"/>
      <c r="G1024" s="816"/>
      <c r="H1024" s="817"/>
      <c r="I1024" s="818"/>
      <c r="J1024" s="816"/>
      <c r="K1024" s="819"/>
      <c r="L1024" s="820"/>
      <c r="M1024" s="816"/>
      <c r="N1024" s="816"/>
      <c r="O1024" s="821"/>
    </row>
    <row r="1025" ht="24.75" customHeight="1">
      <c r="A1025" s="822"/>
      <c r="B1025" s="812"/>
      <c r="C1025" s="823"/>
      <c r="D1025" s="814"/>
      <c r="E1025" s="824"/>
      <c r="F1025" s="824"/>
      <c r="G1025" s="825"/>
      <c r="H1025" s="826"/>
      <c r="I1025" s="827"/>
      <c r="J1025" s="825"/>
      <c r="K1025" s="828"/>
      <c r="L1025" s="829"/>
      <c r="M1025" s="825"/>
      <c r="N1025" s="825"/>
      <c r="O1025" s="830"/>
    </row>
    <row r="1026" ht="24.75" customHeight="1">
      <c r="A1026" s="811"/>
      <c r="B1026" s="812"/>
      <c r="C1026" s="813"/>
      <c r="D1026" s="814"/>
      <c r="E1026" s="815"/>
      <c r="F1026" s="815"/>
      <c r="G1026" s="816"/>
      <c r="H1026" s="817"/>
      <c r="I1026" s="818"/>
      <c r="J1026" s="816"/>
      <c r="K1026" s="819"/>
      <c r="L1026" s="820"/>
      <c r="M1026" s="816"/>
      <c r="N1026" s="816"/>
      <c r="O1026" s="821"/>
    </row>
    <row r="1027" ht="24.75" customHeight="1">
      <c r="A1027" s="822"/>
      <c r="B1027" s="812"/>
      <c r="C1027" s="823"/>
      <c r="D1027" s="814"/>
      <c r="E1027" s="824"/>
      <c r="F1027" s="824"/>
      <c r="G1027" s="825"/>
      <c r="H1027" s="826"/>
      <c r="I1027" s="827"/>
      <c r="J1027" s="825"/>
      <c r="K1027" s="828"/>
      <c r="L1027" s="829"/>
      <c r="M1027" s="825"/>
      <c r="N1027" s="825"/>
      <c r="O1027" s="830"/>
    </row>
    <row r="1028" ht="24.75" customHeight="1">
      <c r="A1028" s="811"/>
      <c r="B1028" s="812"/>
      <c r="C1028" s="813"/>
      <c r="D1028" s="814"/>
      <c r="E1028" s="815"/>
      <c r="F1028" s="815"/>
      <c r="G1028" s="816"/>
      <c r="H1028" s="817"/>
      <c r="I1028" s="818"/>
      <c r="J1028" s="816"/>
      <c r="K1028" s="819"/>
      <c r="L1028" s="820"/>
      <c r="M1028" s="816"/>
      <c r="N1028" s="816"/>
      <c r="O1028" s="821"/>
    </row>
    <row r="1029" ht="24.75" customHeight="1">
      <c r="A1029" s="822"/>
      <c r="B1029" s="812"/>
      <c r="C1029" s="823"/>
      <c r="D1029" s="814"/>
      <c r="E1029" s="824"/>
      <c r="F1029" s="824"/>
      <c r="G1029" s="825"/>
      <c r="H1029" s="826"/>
      <c r="I1029" s="827"/>
      <c r="J1029" s="825"/>
      <c r="K1029" s="828"/>
      <c r="L1029" s="829"/>
      <c r="M1029" s="825"/>
      <c r="N1029" s="825"/>
      <c r="O1029" s="830"/>
    </row>
    <row r="1030" ht="24.75" customHeight="1">
      <c r="A1030" s="811"/>
      <c r="B1030" s="812"/>
      <c r="C1030" s="813"/>
      <c r="D1030" s="814"/>
      <c r="E1030" s="815"/>
      <c r="F1030" s="815"/>
      <c r="G1030" s="816"/>
      <c r="H1030" s="817"/>
      <c r="I1030" s="818"/>
      <c r="J1030" s="816"/>
      <c r="K1030" s="819"/>
      <c r="L1030" s="820"/>
      <c r="M1030" s="816"/>
      <c r="N1030" s="816"/>
      <c r="O1030" s="821"/>
    </row>
    <row r="1031" ht="24.75" customHeight="1">
      <c r="A1031" s="822"/>
      <c r="B1031" s="812"/>
      <c r="C1031" s="823"/>
      <c r="D1031" s="814"/>
      <c r="E1031" s="824"/>
      <c r="F1031" s="824"/>
      <c r="G1031" s="825"/>
      <c r="H1031" s="826"/>
      <c r="I1031" s="827"/>
      <c r="J1031" s="825"/>
      <c r="K1031" s="828"/>
      <c r="L1031" s="829"/>
      <c r="M1031" s="825"/>
      <c r="N1031" s="825"/>
      <c r="O1031" s="830"/>
    </row>
    <row r="1032" ht="24.75" customHeight="1">
      <c r="A1032" s="811"/>
      <c r="B1032" s="812"/>
      <c r="C1032" s="813"/>
      <c r="D1032" s="814"/>
      <c r="E1032" s="815"/>
      <c r="F1032" s="815"/>
      <c r="G1032" s="816"/>
      <c r="H1032" s="817"/>
      <c r="I1032" s="818"/>
      <c r="J1032" s="816"/>
      <c r="K1032" s="819"/>
      <c r="L1032" s="820"/>
      <c r="M1032" s="816"/>
      <c r="N1032" s="816"/>
      <c r="O1032" s="821"/>
    </row>
    <row r="1033" ht="24.75" customHeight="1">
      <c r="A1033" s="822"/>
      <c r="B1033" s="812"/>
      <c r="C1033" s="823"/>
      <c r="D1033" s="814"/>
      <c r="E1033" s="824"/>
      <c r="F1033" s="824"/>
      <c r="G1033" s="825"/>
      <c r="H1033" s="826"/>
      <c r="I1033" s="827"/>
      <c r="J1033" s="825"/>
      <c r="K1033" s="828"/>
      <c r="L1033" s="829"/>
      <c r="M1033" s="825"/>
      <c r="N1033" s="825"/>
      <c r="O1033" s="830"/>
    </row>
    <row r="1034" ht="24.75" customHeight="1">
      <c r="A1034" s="811"/>
      <c r="B1034" s="812"/>
      <c r="C1034" s="813"/>
      <c r="D1034" s="814"/>
      <c r="E1034" s="815"/>
      <c r="F1034" s="815"/>
      <c r="G1034" s="816"/>
      <c r="H1034" s="817"/>
      <c r="I1034" s="818"/>
      <c r="J1034" s="816"/>
      <c r="K1034" s="819"/>
      <c r="L1034" s="820"/>
      <c r="M1034" s="816"/>
      <c r="N1034" s="816"/>
      <c r="O1034" s="821"/>
    </row>
    <row r="1035" ht="24.75" customHeight="1">
      <c r="A1035" s="822"/>
      <c r="B1035" s="812"/>
      <c r="C1035" s="823"/>
      <c r="D1035" s="814"/>
      <c r="E1035" s="824"/>
      <c r="F1035" s="824"/>
      <c r="G1035" s="825"/>
      <c r="H1035" s="826"/>
      <c r="I1035" s="827"/>
      <c r="J1035" s="825"/>
      <c r="K1035" s="828"/>
      <c r="L1035" s="829"/>
      <c r="M1035" s="825"/>
      <c r="N1035" s="825"/>
      <c r="O1035" s="830"/>
    </row>
    <row r="1036" ht="24.75" customHeight="1">
      <c r="A1036" s="811"/>
      <c r="B1036" s="812"/>
      <c r="C1036" s="813"/>
      <c r="D1036" s="814"/>
      <c r="E1036" s="815"/>
      <c r="F1036" s="815"/>
      <c r="G1036" s="816"/>
      <c r="H1036" s="817"/>
      <c r="I1036" s="818"/>
      <c r="J1036" s="816"/>
      <c r="K1036" s="819"/>
      <c r="L1036" s="820"/>
      <c r="M1036" s="816"/>
      <c r="N1036" s="816"/>
      <c r="O1036" s="821"/>
    </row>
    <row r="1037" ht="24.75" customHeight="1">
      <c r="A1037" s="822"/>
      <c r="B1037" s="812"/>
      <c r="C1037" s="823"/>
      <c r="D1037" s="814"/>
      <c r="E1037" s="824"/>
      <c r="F1037" s="824"/>
      <c r="G1037" s="825"/>
      <c r="H1037" s="826"/>
      <c r="I1037" s="827"/>
      <c r="J1037" s="825"/>
      <c r="K1037" s="828"/>
      <c r="L1037" s="829"/>
      <c r="M1037" s="825"/>
      <c r="N1037" s="825"/>
      <c r="O1037" s="830"/>
    </row>
    <row r="1038" ht="24.75" customHeight="1">
      <c r="A1038" s="811"/>
      <c r="B1038" s="812"/>
      <c r="C1038" s="813"/>
      <c r="D1038" s="814"/>
      <c r="E1038" s="815"/>
      <c r="F1038" s="815"/>
      <c r="G1038" s="816"/>
      <c r="H1038" s="817"/>
      <c r="I1038" s="818"/>
      <c r="J1038" s="816"/>
      <c r="K1038" s="819"/>
      <c r="L1038" s="820"/>
      <c r="M1038" s="816"/>
      <c r="N1038" s="816"/>
      <c r="O1038" s="821"/>
    </row>
    <row r="1039" ht="24.75" customHeight="1">
      <c r="A1039" s="822"/>
      <c r="B1039" s="812"/>
      <c r="C1039" s="823"/>
      <c r="D1039" s="814"/>
      <c r="E1039" s="824"/>
      <c r="F1039" s="824"/>
      <c r="G1039" s="825"/>
      <c r="H1039" s="826"/>
      <c r="I1039" s="827"/>
      <c r="J1039" s="825"/>
      <c r="K1039" s="828"/>
      <c r="L1039" s="829"/>
      <c r="M1039" s="825"/>
      <c r="N1039" s="825"/>
      <c r="O1039" s="830"/>
    </row>
    <row r="1040" ht="24.75" customHeight="1">
      <c r="A1040" s="811"/>
      <c r="B1040" s="812"/>
      <c r="C1040" s="813"/>
      <c r="D1040" s="814"/>
      <c r="E1040" s="815"/>
      <c r="F1040" s="815"/>
      <c r="G1040" s="816"/>
      <c r="H1040" s="817"/>
      <c r="I1040" s="818"/>
      <c r="J1040" s="816"/>
      <c r="K1040" s="819"/>
      <c r="L1040" s="820"/>
      <c r="M1040" s="816"/>
      <c r="N1040" s="816"/>
      <c r="O1040" s="821"/>
    </row>
    <row r="1041" ht="24.75" customHeight="1">
      <c r="A1041" s="822"/>
      <c r="B1041" s="812"/>
      <c r="C1041" s="823"/>
      <c r="D1041" s="814"/>
      <c r="E1041" s="824"/>
      <c r="F1041" s="824"/>
      <c r="G1041" s="825"/>
      <c r="H1041" s="826"/>
      <c r="I1041" s="827"/>
      <c r="J1041" s="825"/>
      <c r="K1041" s="828"/>
      <c r="L1041" s="829"/>
      <c r="M1041" s="825"/>
      <c r="N1041" s="825"/>
      <c r="O1041" s="830"/>
    </row>
    <row r="1042" ht="24.75" customHeight="1">
      <c r="A1042" s="811"/>
      <c r="B1042" s="812"/>
      <c r="C1042" s="813"/>
      <c r="D1042" s="814"/>
      <c r="E1042" s="815"/>
      <c r="F1042" s="815"/>
      <c r="G1042" s="816"/>
      <c r="H1042" s="817"/>
      <c r="I1042" s="818"/>
      <c r="J1042" s="816"/>
      <c r="K1042" s="819"/>
      <c r="L1042" s="820"/>
      <c r="M1042" s="816"/>
      <c r="N1042" s="816"/>
      <c r="O1042" s="821"/>
    </row>
    <row r="1043" ht="24.75" customHeight="1">
      <c r="A1043" s="822"/>
      <c r="B1043" s="812"/>
      <c r="C1043" s="823"/>
      <c r="D1043" s="814"/>
      <c r="E1043" s="824"/>
      <c r="F1043" s="824"/>
      <c r="G1043" s="825"/>
      <c r="H1043" s="826"/>
      <c r="I1043" s="827"/>
      <c r="J1043" s="825"/>
      <c r="K1043" s="828"/>
      <c r="L1043" s="829"/>
      <c r="M1043" s="825"/>
      <c r="N1043" s="825"/>
      <c r="O1043" s="830"/>
    </row>
    <row r="1044" ht="24.75" customHeight="1">
      <c r="A1044" s="811"/>
      <c r="B1044" s="812"/>
      <c r="C1044" s="813"/>
      <c r="D1044" s="814"/>
      <c r="E1044" s="815"/>
      <c r="F1044" s="815"/>
      <c r="G1044" s="816"/>
      <c r="H1044" s="817"/>
      <c r="I1044" s="818"/>
      <c r="J1044" s="816"/>
      <c r="K1044" s="819"/>
      <c r="L1044" s="820"/>
      <c r="M1044" s="816"/>
      <c r="N1044" s="816"/>
      <c r="O1044" s="821"/>
    </row>
    <row r="1045" ht="24.75" customHeight="1">
      <c r="A1045" s="822"/>
      <c r="B1045" s="812"/>
      <c r="C1045" s="823"/>
      <c r="D1045" s="814"/>
      <c r="E1045" s="824"/>
      <c r="F1045" s="824"/>
      <c r="G1045" s="825"/>
      <c r="H1045" s="826"/>
      <c r="I1045" s="827"/>
      <c r="J1045" s="825"/>
      <c r="K1045" s="828"/>
      <c r="L1045" s="829"/>
      <c r="M1045" s="825"/>
      <c r="N1045" s="825"/>
      <c r="O1045" s="830"/>
    </row>
    <row r="1046" ht="24.75" customHeight="1">
      <c r="A1046" s="811"/>
      <c r="B1046" s="812"/>
      <c r="C1046" s="813"/>
      <c r="D1046" s="814"/>
      <c r="E1046" s="815"/>
      <c r="F1046" s="815"/>
      <c r="G1046" s="816"/>
      <c r="H1046" s="817"/>
      <c r="I1046" s="818"/>
      <c r="J1046" s="816"/>
      <c r="K1046" s="819"/>
      <c r="L1046" s="820"/>
      <c r="M1046" s="816"/>
      <c r="N1046" s="816"/>
      <c r="O1046" s="821"/>
    </row>
    <row r="1047" ht="24.75" customHeight="1">
      <c r="A1047" s="822"/>
      <c r="B1047" s="812"/>
      <c r="C1047" s="823"/>
      <c r="D1047" s="814"/>
      <c r="E1047" s="824"/>
      <c r="F1047" s="824"/>
      <c r="G1047" s="825"/>
      <c r="H1047" s="826"/>
      <c r="I1047" s="827"/>
      <c r="J1047" s="825"/>
      <c r="K1047" s="828"/>
      <c r="L1047" s="829"/>
      <c r="M1047" s="825"/>
      <c r="N1047" s="825"/>
      <c r="O1047" s="830"/>
    </row>
    <row r="1048" ht="24.75" customHeight="1">
      <c r="A1048" s="811"/>
      <c r="B1048" s="812"/>
      <c r="C1048" s="813"/>
      <c r="D1048" s="814"/>
      <c r="E1048" s="815"/>
      <c r="F1048" s="815"/>
      <c r="G1048" s="816"/>
      <c r="H1048" s="817"/>
      <c r="I1048" s="818"/>
      <c r="J1048" s="816"/>
      <c r="K1048" s="819"/>
      <c r="L1048" s="820"/>
      <c r="M1048" s="816"/>
      <c r="N1048" s="816"/>
      <c r="O1048" s="821"/>
    </row>
    <row r="1049" ht="24.75" customHeight="1">
      <c r="A1049" s="822"/>
      <c r="B1049" s="812"/>
      <c r="C1049" s="823"/>
      <c r="D1049" s="814"/>
      <c r="E1049" s="824"/>
      <c r="F1049" s="824"/>
      <c r="G1049" s="825"/>
      <c r="H1049" s="826"/>
      <c r="I1049" s="827"/>
      <c r="J1049" s="825"/>
      <c r="K1049" s="828"/>
      <c r="L1049" s="829"/>
      <c r="M1049" s="825"/>
      <c r="N1049" s="825"/>
      <c r="O1049" s="830"/>
    </row>
    <row r="1050" ht="24.75" customHeight="1">
      <c r="A1050" s="811"/>
      <c r="B1050" s="812"/>
      <c r="C1050" s="813"/>
      <c r="D1050" s="814"/>
      <c r="E1050" s="815"/>
      <c r="F1050" s="815"/>
      <c r="G1050" s="816"/>
      <c r="H1050" s="817"/>
      <c r="I1050" s="818"/>
      <c r="J1050" s="816"/>
      <c r="K1050" s="819"/>
      <c r="L1050" s="820"/>
      <c r="M1050" s="816"/>
      <c r="N1050" s="816"/>
      <c r="O1050" s="821"/>
    </row>
    <row r="1051" ht="24.75" customHeight="1">
      <c r="A1051" s="822"/>
      <c r="B1051" s="812"/>
      <c r="C1051" s="823"/>
      <c r="D1051" s="814"/>
      <c r="E1051" s="824"/>
      <c r="F1051" s="824"/>
      <c r="G1051" s="825"/>
      <c r="H1051" s="826"/>
      <c r="I1051" s="827"/>
      <c r="J1051" s="825"/>
      <c r="K1051" s="828"/>
      <c r="L1051" s="829"/>
      <c r="M1051" s="825"/>
      <c r="N1051" s="825"/>
      <c r="O1051" s="830"/>
    </row>
    <row r="1052" ht="24.75" customHeight="1">
      <c r="A1052" s="811"/>
      <c r="B1052" s="812"/>
      <c r="C1052" s="813"/>
      <c r="D1052" s="814"/>
      <c r="E1052" s="815"/>
      <c r="F1052" s="815"/>
      <c r="G1052" s="816"/>
      <c r="H1052" s="817"/>
      <c r="I1052" s="818"/>
      <c r="J1052" s="816"/>
      <c r="K1052" s="819"/>
      <c r="L1052" s="820"/>
      <c r="M1052" s="816"/>
      <c r="N1052" s="816"/>
      <c r="O1052" s="821"/>
    </row>
    <row r="1053" ht="24.75" customHeight="1">
      <c r="A1053" s="822"/>
      <c r="B1053" s="812"/>
      <c r="C1053" s="823"/>
      <c r="D1053" s="814"/>
      <c r="E1053" s="824"/>
      <c r="F1053" s="824"/>
      <c r="G1053" s="825"/>
      <c r="H1053" s="826"/>
      <c r="I1053" s="827"/>
      <c r="J1053" s="825"/>
      <c r="K1053" s="828"/>
      <c r="L1053" s="829"/>
      <c r="M1053" s="825"/>
      <c r="N1053" s="825"/>
      <c r="O1053" s="830"/>
    </row>
    <row r="1054" ht="24.75" customHeight="1">
      <c r="A1054" s="811"/>
      <c r="B1054" s="812"/>
      <c r="C1054" s="813"/>
      <c r="D1054" s="814"/>
      <c r="E1054" s="815"/>
      <c r="F1054" s="815"/>
      <c r="G1054" s="816"/>
      <c r="H1054" s="817"/>
      <c r="I1054" s="818"/>
      <c r="J1054" s="816"/>
      <c r="K1054" s="819"/>
      <c r="L1054" s="820"/>
      <c r="M1054" s="816"/>
      <c r="N1054" s="816"/>
      <c r="O1054" s="821"/>
    </row>
    <row r="1055" ht="24.75" customHeight="1">
      <c r="A1055" s="822"/>
      <c r="B1055" s="812"/>
      <c r="C1055" s="823"/>
      <c r="D1055" s="814"/>
      <c r="E1055" s="824"/>
      <c r="F1055" s="824"/>
      <c r="G1055" s="825"/>
      <c r="H1055" s="826"/>
      <c r="I1055" s="827"/>
      <c r="J1055" s="825"/>
      <c r="K1055" s="828"/>
      <c r="L1055" s="829"/>
      <c r="M1055" s="825"/>
      <c r="N1055" s="825"/>
      <c r="O1055" s="830"/>
    </row>
    <row r="1056" ht="24.75" customHeight="1">
      <c r="A1056" s="811"/>
      <c r="B1056" s="812"/>
      <c r="C1056" s="813"/>
      <c r="D1056" s="814"/>
      <c r="E1056" s="815"/>
      <c r="F1056" s="815"/>
      <c r="G1056" s="816"/>
      <c r="H1056" s="817"/>
      <c r="I1056" s="818"/>
      <c r="J1056" s="816"/>
      <c r="K1056" s="819"/>
      <c r="L1056" s="820"/>
      <c r="M1056" s="816"/>
      <c r="N1056" s="816"/>
      <c r="O1056" s="821"/>
    </row>
    <row r="1057" ht="24.75" customHeight="1">
      <c r="A1057" s="822"/>
      <c r="B1057" s="812"/>
      <c r="C1057" s="823"/>
      <c r="D1057" s="814"/>
      <c r="E1057" s="824"/>
      <c r="F1057" s="824"/>
      <c r="G1057" s="825"/>
      <c r="H1057" s="826"/>
      <c r="I1057" s="827"/>
      <c r="J1057" s="825"/>
      <c r="K1057" s="828"/>
      <c r="L1057" s="829"/>
      <c r="M1057" s="825"/>
      <c r="N1057" s="825"/>
      <c r="O1057" s="830"/>
    </row>
    <row r="1058" ht="24.75" customHeight="1">
      <c r="A1058" s="811"/>
      <c r="B1058" s="812"/>
      <c r="C1058" s="813"/>
      <c r="D1058" s="814"/>
      <c r="E1058" s="815"/>
      <c r="F1058" s="815"/>
      <c r="G1058" s="816"/>
      <c r="H1058" s="817"/>
      <c r="I1058" s="818"/>
      <c r="J1058" s="816"/>
      <c r="K1058" s="819"/>
      <c r="L1058" s="820"/>
      <c r="M1058" s="816"/>
      <c r="N1058" s="816"/>
      <c r="O1058" s="821"/>
    </row>
    <row r="1059" ht="24.75" customHeight="1">
      <c r="A1059" s="822"/>
      <c r="B1059" s="812"/>
      <c r="C1059" s="823"/>
      <c r="D1059" s="814"/>
      <c r="E1059" s="824"/>
      <c r="F1059" s="824"/>
      <c r="G1059" s="825"/>
      <c r="H1059" s="826"/>
      <c r="I1059" s="827"/>
      <c r="J1059" s="825"/>
      <c r="K1059" s="828"/>
      <c r="L1059" s="829"/>
      <c r="M1059" s="825"/>
      <c r="N1059" s="825"/>
      <c r="O1059" s="830"/>
    </row>
    <row r="1060" ht="24.75" customHeight="1">
      <c r="A1060" s="811"/>
      <c r="B1060" s="812"/>
      <c r="C1060" s="813"/>
      <c r="D1060" s="814"/>
      <c r="E1060" s="815"/>
      <c r="F1060" s="815"/>
      <c r="G1060" s="816"/>
      <c r="H1060" s="817"/>
      <c r="I1060" s="818"/>
      <c r="J1060" s="816"/>
      <c r="K1060" s="819"/>
      <c r="L1060" s="820"/>
      <c r="M1060" s="816"/>
      <c r="N1060" s="816"/>
      <c r="O1060" s="821"/>
    </row>
    <row r="1061" ht="24.75" customHeight="1">
      <c r="A1061" s="822"/>
      <c r="B1061" s="812"/>
      <c r="C1061" s="823"/>
      <c r="D1061" s="814"/>
      <c r="E1061" s="824"/>
      <c r="F1061" s="824"/>
      <c r="G1061" s="825"/>
      <c r="H1061" s="826"/>
      <c r="I1061" s="827"/>
      <c r="J1061" s="825"/>
      <c r="K1061" s="828"/>
      <c r="L1061" s="829"/>
      <c r="M1061" s="825"/>
      <c r="N1061" s="825"/>
      <c r="O1061" s="830"/>
    </row>
    <row r="1062" ht="24.75" customHeight="1">
      <c r="A1062" s="811"/>
      <c r="B1062" s="812"/>
      <c r="C1062" s="813"/>
      <c r="D1062" s="814"/>
      <c r="E1062" s="815"/>
      <c r="F1062" s="815"/>
      <c r="G1062" s="816"/>
      <c r="H1062" s="817"/>
      <c r="I1062" s="818"/>
      <c r="J1062" s="816"/>
      <c r="K1062" s="819"/>
      <c r="L1062" s="820"/>
      <c r="M1062" s="816"/>
      <c r="N1062" s="816"/>
      <c r="O1062" s="821"/>
    </row>
    <row r="1063" ht="24.75" customHeight="1">
      <c r="A1063" s="822"/>
      <c r="B1063" s="812"/>
      <c r="C1063" s="823"/>
      <c r="D1063" s="814"/>
      <c r="E1063" s="824"/>
      <c r="F1063" s="824"/>
      <c r="G1063" s="825"/>
      <c r="H1063" s="826"/>
      <c r="I1063" s="827"/>
      <c r="J1063" s="825"/>
      <c r="K1063" s="828"/>
      <c r="L1063" s="829"/>
      <c r="M1063" s="825"/>
      <c r="N1063" s="825"/>
      <c r="O1063" s="830"/>
    </row>
    <row r="1064" ht="24.75" customHeight="1">
      <c r="A1064" s="811"/>
      <c r="B1064" s="812"/>
      <c r="C1064" s="813"/>
      <c r="D1064" s="814"/>
      <c r="E1064" s="815"/>
      <c r="F1064" s="815"/>
      <c r="G1064" s="816"/>
      <c r="H1064" s="817"/>
      <c r="I1064" s="818"/>
      <c r="J1064" s="816"/>
      <c r="K1064" s="819"/>
      <c r="L1064" s="820"/>
      <c r="M1064" s="816"/>
      <c r="N1064" s="816"/>
      <c r="O1064" s="821"/>
    </row>
    <row r="1065" ht="24.75" customHeight="1">
      <c r="A1065" s="822"/>
      <c r="B1065" s="812"/>
      <c r="C1065" s="823"/>
      <c r="D1065" s="814"/>
      <c r="E1065" s="824"/>
      <c r="F1065" s="824"/>
      <c r="G1065" s="825"/>
      <c r="H1065" s="826"/>
      <c r="I1065" s="827"/>
      <c r="J1065" s="825"/>
      <c r="K1065" s="828"/>
      <c r="L1065" s="829"/>
      <c r="M1065" s="825"/>
      <c r="N1065" s="825"/>
      <c r="O1065" s="830"/>
    </row>
    <row r="1066" ht="24.75" customHeight="1">
      <c r="A1066" s="811"/>
      <c r="B1066" s="812"/>
      <c r="C1066" s="813"/>
      <c r="D1066" s="814"/>
      <c r="E1066" s="815"/>
      <c r="F1066" s="815"/>
      <c r="G1066" s="816"/>
      <c r="H1066" s="817"/>
      <c r="I1066" s="818"/>
      <c r="J1066" s="816"/>
      <c r="K1066" s="819"/>
      <c r="L1066" s="820"/>
      <c r="M1066" s="816"/>
      <c r="N1066" s="816"/>
      <c r="O1066" s="821"/>
    </row>
    <row r="1067" ht="24.75" customHeight="1">
      <c r="A1067" s="822"/>
      <c r="B1067" s="812"/>
      <c r="C1067" s="823"/>
      <c r="D1067" s="814"/>
      <c r="E1067" s="824"/>
      <c r="F1067" s="824"/>
      <c r="G1067" s="825"/>
      <c r="H1067" s="826"/>
      <c r="I1067" s="827"/>
      <c r="J1067" s="825"/>
      <c r="K1067" s="828"/>
      <c r="L1067" s="829"/>
      <c r="M1067" s="825"/>
      <c r="N1067" s="825"/>
      <c r="O1067" s="830"/>
    </row>
    <row r="1068" ht="24.75" customHeight="1">
      <c r="A1068" s="811"/>
      <c r="B1068" s="812"/>
      <c r="C1068" s="813"/>
      <c r="D1068" s="814"/>
      <c r="E1068" s="815"/>
      <c r="F1068" s="815"/>
      <c r="G1068" s="816"/>
      <c r="H1068" s="817"/>
      <c r="I1068" s="818"/>
      <c r="J1068" s="816"/>
      <c r="K1068" s="819"/>
      <c r="L1068" s="820"/>
      <c r="M1068" s="816"/>
      <c r="N1068" s="816"/>
      <c r="O1068" s="821"/>
    </row>
    <row r="1069" ht="24.75" customHeight="1">
      <c r="A1069" s="822"/>
      <c r="B1069" s="812"/>
      <c r="C1069" s="823"/>
      <c r="D1069" s="814"/>
      <c r="E1069" s="824"/>
      <c r="F1069" s="824"/>
      <c r="G1069" s="825"/>
      <c r="H1069" s="826"/>
      <c r="I1069" s="827"/>
      <c r="J1069" s="825"/>
      <c r="K1069" s="828"/>
      <c r="L1069" s="829"/>
      <c r="M1069" s="825"/>
      <c r="N1069" s="825"/>
      <c r="O1069" s="830"/>
    </row>
    <row r="1070" ht="24.75" customHeight="1">
      <c r="A1070" s="811"/>
      <c r="B1070" s="812"/>
      <c r="C1070" s="813"/>
      <c r="D1070" s="814"/>
      <c r="E1070" s="815"/>
      <c r="F1070" s="815"/>
      <c r="G1070" s="816"/>
      <c r="H1070" s="817"/>
      <c r="I1070" s="818"/>
      <c r="J1070" s="816"/>
      <c r="K1070" s="819"/>
      <c r="L1070" s="820"/>
      <c r="M1070" s="816"/>
      <c r="N1070" s="816"/>
      <c r="O1070" s="821"/>
    </row>
    <row r="1071" ht="24.75" customHeight="1">
      <c r="A1071" s="822"/>
      <c r="B1071" s="812"/>
      <c r="C1071" s="823"/>
      <c r="D1071" s="814"/>
      <c r="E1071" s="824"/>
      <c r="F1071" s="824"/>
      <c r="G1071" s="825"/>
      <c r="H1071" s="826"/>
      <c r="I1071" s="827"/>
      <c r="J1071" s="825"/>
      <c r="K1071" s="828"/>
      <c r="L1071" s="829"/>
      <c r="M1071" s="825"/>
      <c r="N1071" s="825"/>
      <c r="O1071" s="830"/>
    </row>
    <row r="1072" ht="24.75" customHeight="1">
      <c r="A1072" s="811"/>
      <c r="B1072" s="812"/>
      <c r="C1072" s="813"/>
      <c r="D1072" s="814"/>
      <c r="E1072" s="815"/>
      <c r="F1072" s="815"/>
      <c r="G1072" s="816"/>
      <c r="H1072" s="817"/>
      <c r="I1072" s="818"/>
      <c r="J1072" s="816"/>
      <c r="K1072" s="819"/>
      <c r="L1072" s="820"/>
      <c r="M1072" s="816"/>
      <c r="N1072" s="816"/>
      <c r="O1072" s="821"/>
    </row>
    <row r="1073" ht="24.75" customHeight="1">
      <c r="A1073" s="822"/>
      <c r="B1073" s="812"/>
      <c r="C1073" s="823"/>
      <c r="D1073" s="814"/>
      <c r="E1073" s="824"/>
      <c r="F1073" s="824"/>
      <c r="G1073" s="825"/>
      <c r="H1073" s="826"/>
      <c r="I1073" s="827"/>
      <c r="J1073" s="825"/>
      <c r="K1073" s="828"/>
      <c r="L1073" s="829"/>
      <c r="M1073" s="825"/>
      <c r="N1073" s="825"/>
      <c r="O1073" s="830"/>
    </row>
    <row r="1074" ht="24.75" customHeight="1">
      <c r="A1074" s="811"/>
      <c r="B1074" s="812"/>
      <c r="C1074" s="813"/>
      <c r="D1074" s="814"/>
      <c r="E1074" s="815"/>
      <c r="F1074" s="815"/>
      <c r="G1074" s="816"/>
      <c r="H1074" s="817"/>
      <c r="I1074" s="818"/>
      <c r="J1074" s="816"/>
      <c r="K1074" s="819"/>
      <c r="L1074" s="820"/>
      <c r="M1074" s="816"/>
      <c r="N1074" s="816"/>
      <c r="O1074" s="821"/>
    </row>
    <row r="1075" ht="24.75" customHeight="1">
      <c r="A1075" s="822"/>
      <c r="B1075" s="812"/>
      <c r="C1075" s="823"/>
      <c r="D1075" s="814"/>
      <c r="E1075" s="824"/>
      <c r="F1075" s="824"/>
      <c r="G1075" s="825"/>
      <c r="H1075" s="826"/>
      <c r="I1075" s="827"/>
      <c r="J1075" s="825"/>
      <c r="K1075" s="828"/>
      <c r="L1075" s="829"/>
      <c r="M1075" s="825"/>
      <c r="N1075" s="825"/>
      <c r="O1075" s="830"/>
    </row>
    <row r="1076" ht="24.75" customHeight="1">
      <c r="A1076" s="811"/>
      <c r="B1076" s="812"/>
      <c r="C1076" s="813"/>
      <c r="D1076" s="814"/>
      <c r="E1076" s="815"/>
      <c r="F1076" s="815"/>
      <c r="G1076" s="816"/>
      <c r="H1076" s="817"/>
      <c r="I1076" s="818"/>
      <c r="J1076" s="816"/>
      <c r="K1076" s="819"/>
      <c r="L1076" s="820"/>
      <c r="M1076" s="816"/>
      <c r="N1076" s="816"/>
      <c r="O1076" s="821"/>
    </row>
    <row r="1077" ht="24.75" customHeight="1">
      <c r="A1077" s="822"/>
      <c r="B1077" s="812"/>
      <c r="C1077" s="823"/>
      <c r="D1077" s="814"/>
      <c r="E1077" s="824"/>
      <c r="F1077" s="824"/>
      <c r="G1077" s="825"/>
      <c r="H1077" s="826"/>
      <c r="I1077" s="827"/>
      <c r="J1077" s="825"/>
      <c r="K1077" s="828"/>
      <c r="L1077" s="829"/>
      <c r="M1077" s="825"/>
      <c r="N1077" s="825"/>
      <c r="O1077" s="830"/>
    </row>
    <row r="1078" ht="24.75" customHeight="1">
      <c r="A1078" s="811"/>
      <c r="B1078" s="812"/>
      <c r="C1078" s="813"/>
      <c r="D1078" s="814"/>
      <c r="E1078" s="815"/>
      <c r="F1078" s="815"/>
      <c r="G1078" s="816"/>
      <c r="H1078" s="817"/>
      <c r="I1078" s="818"/>
      <c r="J1078" s="816"/>
      <c r="K1078" s="819"/>
      <c r="L1078" s="820"/>
      <c r="M1078" s="816"/>
      <c r="N1078" s="816"/>
      <c r="O1078" s="821"/>
    </row>
    <row r="1079" ht="24.75" customHeight="1">
      <c r="A1079" s="822"/>
      <c r="B1079" s="812"/>
      <c r="C1079" s="823"/>
      <c r="D1079" s="814"/>
      <c r="E1079" s="824"/>
      <c r="F1079" s="824"/>
      <c r="G1079" s="825"/>
      <c r="H1079" s="826"/>
      <c r="I1079" s="827"/>
      <c r="J1079" s="825"/>
      <c r="K1079" s="828"/>
      <c r="L1079" s="829"/>
      <c r="M1079" s="825"/>
      <c r="N1079" s="825"/>
      <c r="O1079" s="830"/>
    </row>
    <row r="1080" ht="24.75" customHeight="1">
      <c r="A1080" s="811"/>
      <c r="B1080" s="812"/>
      <c r="C1080" s="813"/>
      <c r="D1080" s="814"/>
      <c r="E1080" s="815"/>
      <c r="F1080" s="815"/>
      <c r="G1080" s="816"/>
      <c r="H1080" s="817"/>
      <c r="I1080" s="818"/>
      <c r="J1080" s="816"/>
      <c r="K1080" s="819"/>
      <c r="L1080" s="820"/>
      <c r="M1080" s="816"/>
      <c r="N1080" s="816"/>
      <c r="O1080" s="821"/>
    </row>
    <row r="1081" ht="24.75" customHeight="1">
      <c r="A1081" s="822"/>
      <c r="B1081" s="812"/>
      <c r="C1081" s="823"/>
      <c r="D1081" s="814"/>
      <c r="E1081" s="824"/>
      <c r="F1081" s="824"/>
      <c r="G1081" s="825"/>
      <c r="H1081" s="826"/>
      <c r="I1081" s="827"/>
      <c r="J1081" s="825"/>
      <c r="K1081" s="828"/>
      <c r="L1081" s="829"/>
      <c r="M1081" s="825"/>
      <c r="N1081" s="825"/>
      <c r="O1081" s="830"/>
    </row>
    <row r="1082" ht="24.75" customHeight="1">
      <c r="A1082" s="811"/>
      <c r="B1082" s="812"/>
      <c r="C1082" s="813"/>
      <c r="D1082" s="814"/>
      <c r="E1082" s="815"/>
      <c r="F1082" s="815"/>
      <c r="G1082" s="816"/>
      <c r="H1082" s="817"/>
      <c r="I1082" s="818"/>
      <c r="J1082" s="816"/>
      <c r="K1082" s="819"/>
      <c r="L1082" s="820"/>
      <c r="M1082" s="816"/>
      <c r="N1082" s="816"/>
      <c r="O1082" s="821"/>
    </row>
    <row r="1083" ht="24.75" customHeight="1">
      <c r="A1083" s="822"/>
      <c r="B1083" s="812"/>
      <c r="C1083" s="823"/>
      <c r="D1083" s="814"/>
      <c r="E1083" s="824"/>
      <c r="F1083" s="824"/>
      <c r="G1083" s="825"/>
      <c r="H1083" s="826"/>
      <c r="I1083" s="827"/>
      <c r="J1083" s="825"/>
      <c r="K1083" s="828"/>
      <c r="L1083" s="829"/>
      <c r="M1083" s="825"/>
      <c r="N1083" s="825"/>
      <c r="O1083" s="830"/>
    </row>
    <row r="1084" ht="24.75" customHeight="1">
      <c r="A1084" s="811"/>
      <c r="B1084" s="812"/>
      <c r="C1084" s="813"/>
      <c r="D1084" s="814"/>
      <c r="E1084" s="815"/>
      <c r="F1084" s="815"/>
      <c r="G1084" s="816"/>
      <c r="H1084" s="817"/>
      <c r="I1084" s="818"/>
      <c r="J1084" s="816"/>
      <c r="K1084" s="819"/>
      <c r="L1084" s="820"/>
      <c r="M1084" s="816"/>
      <c r="N1084" s="816"/>
      <c r="O1084" s="821"/>
    </row>
    <row r="1085" ht="24.75" customHeight="1">
      <c r="A1085" s="822"/>
      <c r="B1085" s="812"/>
      <c r="C1085" s="823"/>
      <c r="D1085" s="814"/>
      <c r="E1085" s="824"/>
      <c r="F1085" s="824"/>
      <c r="G1085" s="825"/>
      <c r="H1085" s="826"/>
      <c r="I1085" s="827"/>
      <c r="J1085" s="825"/>
      <c r="K1085" s="828"/>
      <c r="L1085" s="829"/>
      <c r="M1085" s="825"/>
      <c r="N1085" s="825"/>
      <c r="O1085" s="830"/>
    </row>
    <row r="1086" ht="24.75" customHeight="1">
      <c r="A1086" s="811"/>
      <c r="B1086" s="812"/>
      <c r="C1086" s="813"/>
      <c r="D1086" s="814"/>
      <c r="E1086" s="815"/>
      <c r="F1086" s="815"/>
      <c r="G1086" s="816"/>
      <c r="H1086" s="817"/>
      <c r="I1086" s="818"/>
      <c r="J1086" s="816"/>
      <c r="K1086" s="819"/>
      <c r="L1086" s="820"/>
      <c r="M1086" s="816"/>
      <c r="N1086" s="816"/>
      <c r="O1086" s="821"/>
    </row>
  </sheetData>
  <mergeCells count="1587">
    <mergeCell ref="L202:L203"/>
    <mergeCell ref="M202:M203"/>
    <mergeCell ref="N202:N203"/>
    <mergeCell ref="O202:O203"/>
    <mergeCell ref="M204:M206"/>
    <mergeCell ref="N204:N206"/>
    <mergeCell ref="O204:O206"/>
    <mergeCell ref="L204:L206"/>
    <mergeCell ref="L207:L209"/>
    <mergeCell ref="M207:M209"/>
    <mergeCell ref="N207:N209"/>
    <mergeCell ref="O207:O209"/>
    <mergeCell ref="L210:L211"/>
    <mergeCell ref="M210:M211"/>
    <mergeCell ref="L178:L179"/>
    <mergeCell ref="M178:M179"/>
    <mergeCell ref="N178:N179"/>
    <mergeCell ref="O178:O179"/>
    <mergeCell ref="M180:M181"/>
    <mergeCell ref="N180:N181"/>
    <mergeCell ref="O180:O181"/>
    <mergeCell ref="L180:L181"/>
    <mergeCell ref="L182:L183"/>
    <mergeCell ref="M182:M183"/>
    <mergeCell ref="N182:N183"/>
    <mergeCell ref="O182:O183"/>
    <mergeCell ref="L184:L185"/>
    <mergeCell ref="M184:M185"/>
    <mergeCell ref="L194:L195"/>
    <mergeCell ref="M194:M195"/>
    <mergeCell ref="N194:N195"/>
    <mergeCell ref="O194:O195"/>
    <mergeCell ref="M196:M197"/>
    <mergeCell ref="N196:N197"/>
    <mergeCell ref="O196:O197"/>
    <mergeCell ref="N200:N201"/>
    <mergeCell ref="O200:O201"/>
    <mergeCell ref="L196:L197"/>
    <mergeCell ref="L198:L199"/>
    <mergeCell ref="M198:M199"/>
    <mergeCell ref="N198:N199"/>
    <mergeCell ref="O198:O199"/>
    <mergeCell ref="L200:L201"/>
    <mergeCell ref="M200:M201"/>
    <mergeCell ref="N210:N211"/>
    <mergeCell ref="O210:O211"/>
    <mergeCell ref="N218:N219"/>
    <mergeCell ref="O218:O219"/>
    <mergeCell ref="M126:M127"/>
    <mergeCell ref="N126:N127"/>
    <mergeCell ref="N122:N123"/>
    <mergeCell ref="O122:O123"/>
    <mergeCell ref="L124:L125"/>
    <mergeCell ref="M124:M125"/>
    <mergeCell ref="N124:N125"/>
    <mergeCell ref="O124:O125"/>
    <mergeCell ref="O126:O127"/>
    <mergeCell ref="N130:N131"/>
    <mergeCell ref="O130:O131"/>
    <mergeCell ref="L126:L127"/>
    <mergeCell ref="L128:L129"/>
    <mergeCell ref="M128:M129"/>
    <mergeCell ref="N128:N129"/>
    <mergeCell ref="O128:O129"/>
    <mergeCell ref="L130:L131"/>
    <mergeCell ref="M130:M131"/>
    <mergeCell ref="K49:K52"/>
    <mergeCell ref="K53:K60"/>
    <mergeCell ref="M53:M60"/>
    <mergeCell ref="N53:N60"/>
    <mergeCell ref="O53:O60"/>
    <mergeCell ref="N61:N71"/>
    <mergeCell ref="O61:O71"/>
    <mergeCell ref="M62:M71"/>
    <mergeCell ref="K61:K71"/>
    <mergeCell ref="I62:I71"/>
    <mergeCell ref="L84:L87"/>
    <mergeCell ref="M84:M87"/>
    <mergeCell ref="N84:N87"/>
    <mergeCell ref="O84:O87"/>
    <mergeCell ref="O88:O90"/>
    <mergeCell ref="N93:N94"/>
    <mergeCell ref="O93:O94"/>
    <mergeCell ref="L88:L90"/>
    <mergeCell ref="L91:L92"/>
    <mergeCell ref="M91:M92"/>
    <mergeCell ref="N91:N92"/>
    <mergeCell ref="O91:O92"/>
    <mergeCell ref="L93:L94"/>
    <mergeCell ref="M93:M94"/>
    <mergeCell ref="L95:L97"/>
    <mergeCell ref="M95:M97"/>
    <mergeCell ref="N95:N97"/>
    <mergeCell ref="O95:O97"/>
    <mergeCell ref="M98:M100"/>
    <mergeCell ref="N98:N100"/>
    <mergeCell ref="O98:O100"/>
    <mergeCell ref="N104:N106"/>
    <mergeCell ref="O104:O106"/>
    <mergeCell ref="N138:N139"/>
    <mergeCell ref="O138:O139"/>
    <mergeCell ref="L148:L149"/>
    <mergeCell ref="M148:M149"/>
    <mergeCell ref="N148:N149"/>
    <mergeCell ref="O148:O149"/>
    <mergeCell ref="M150:M151"/>
    <mergeCell ref="N150:N151"/>
    <mergeCell ref="O150:O151"/>
    <mergeCell ref="L150:L151"/>
    <mergeCell ref="L152:L153"/>
    <mergeCell ref="M152:M153"/>
    <mergeCell ref="N152:N153"/>
    <mergeCell ref="O152:O153"/>
    <mergeCell ref="L154:L155"/>
    <mergeCell ref="M154:M155"/>
    <mergeCell ref="I36:I42"/>
    <mergeCell ref="I43:I48"/>
    <mergeCell ref="I73:I82"/>
    <mergeCell ref="I84:I87"/>
    <mergeCell ref="K12:K17"/>
    <mergeCell ref="K18:K20"/>
    <mergeCell ref="K21:K22"/>
    <mergeCell ref="I23:I29"/>
    <mergeCell ref="K23:K29"/>
    <mergeCell ref="K30:K42"/>
    <mergeCell ref="I31:I35"/>
    <mergeCell ref="K43:K48"/>
    <mergeCell ref="K72:K82"/>
    <mergeCell ref="K84:K87"/>
    <mergeCell ref="K88:K90"/>
    <mergeCell ref="K91:K92"/>
    <mergeCell ref="K93:K94"/>
    <mergeCell ref="K95:K97"/>
    <mergeCell ref="K98:K100"/>
    <mergeCell ref="K101:K103"/>
    <mergeCell ref="K104:K106"/>
    <mergeCell ref="K107:K109"/>
    <mergeCell ref="K110:K111"/>
    <mergeCell ref="K112:K113"/>
    <mergeCell ref="K114:K115"/>
    <mergeCell ref="I128:I129"/>
    <mergeCell ref="I130:I131"/>
    <mergeCell ref="K116:K117"/>
    <mergeCell ref="K118:K119"/>
    <mergeCell ref="K120:K121"/>
    <mergeCell ref="K122:K123"/>
    <mergeCell ref="K124:K125"/>
    <mergeCell ref="K126:K127"/>
    <mergeCell ref="K128:K129"/>
    <mergeCell ref="K130:K131"/>
    <mergeCell ref="K132:K133"/>
    <mergeCell ref="K134:K135"/>
    <mergeCell ref="K136:K137"/>
    <mergeCell ref="K138:K139"/>
    <mergeCell ref="K140:K141"/>
    <mergeCell ref="K142:K143"/>
    <mergeCell ref="K258:K259"/>
    <mergeCell ref="K260:K261"/>
    <mergeCell ref="N260:N261"/>
    <mergeCell ref="O260:O261"/>
    <mergeCell ref="K244:K245"/>
    <mergeCell ref="K246:K247"/>
    <mergeCell ref="K248:K249"/>
    <mergeCell ref="K250:K251"/>
    <mergeCell ref="K252:K253"/>
    <mergeCell ref="K254:K255"/>
    <mergeCell ref="K256:K257"/>
    <mergeCell ref="K144:K145"/>
    <mergeCell ref="K146:K147"/>
    <mergeCell ref="K148:K149"/>
    <mergeCell ref="K150:K151"/>
    <mergeCell ref="K152:K153"/>
    <mergeCell ref="K154:K155"/>
    <mergeCell ref="K156:K157"/>
    <mergeCell ref="K158:K159"/>
    <mergeCell ref="K160:K161"/>
    <mergeCell ref="K162:K163"/>
    <mergeCell ref="K164:K165"/>
    <mergeCell ref="K166:K167"/>
    <mergeCell ref="K168:K169"/>
    <mergeCell ref="K170:K171"/>
    <mergeCell ref="K172:K173"/>
    <mergeCell ref="K174:K175"/>
    <mergeCell ref="K176:K177"/>
    <mergeCell ref="K178:K179"/>
    <mergeCell ref="K180:K181"/>
    <mergeCell ref="K182:K183"/>
    <mergeCell ref="K184:K185"/>
    <mergeCell ref="K186:K187"/>
    <mergeCell ref="K188:K189"/>
    <mergeCell ref="K190:K191"/>
    <mergeCell ref="K192:K193"/>
    <mergeCell ref="K194:K195"/>
    <mergeCell ref="K196:K197"/>
    <mergeCell ref="K198:K199"/>
    <mergeCell ref="K200:K201"/>
    <mergeCell ref="K202:K203"/>
    <mergeCell ref="K204:K206"/>
    <mergeCell ref="K207:K209"/>
    <mergeCell ref="K210:K211"/>
    <mergeCell ref="K212:K213"/>
    <mergeCell ref="K214:K215"/>
    <mergeCell ref="K216:K217"/>
    <mergeCell ref="K218:K219"/>
    <mergeCell ref="K220:K221"/>
    <mergeCell ref="K222:K223"/>
    <mergeCell ref="K224:K225"/>
    <mergeCell ref="K226:K227"/>
    <mergeCell ref="K228:K229"/>
    <mergeCell ref="K230:K231"/>
    <mergeCell ref="K232:K233"/>
    <mergeCell ref="K234:K235"/>
    <mergeCell ref="K236:K237"/>
    <mergeCell ref="K238:K239"/>
    <mergeCell ref="K240:K241"/>
    <mergeCell ref="K242:K243"/>
    <mergeCell ref="B278:B279"/>
    <mergeCell ref="C278:C279"/>
    <mergeCell ref="A274:A275"/>
    <mergeCell ref="B274:B275"/>
    <mergeCell ref="C274:C275"/>
    <mergeCell ref="A276:A277"/>
    <mergeCell ref="B276:B277"/>
    <mergeCell ref="C276:C277"/>
    <mergeCell ref="A278:A279"/>
    <mergeCell ref="B284:B285"/>
    <mergeCell ref="C284:C285"/>
    <mergeCell ref="A280:A281"/>
    <mergeCell ref="B280:B281"/>
    <mergeCell ref="C280:C281"/>
    <mergeCell ref="A282:A283"/>
    <mergeCell ref="B282:B283"/>
    <mergeCell ref="C282:C283"/>
    <mergeCell ref="A284:A285"/>
    <mergeCell ref="B290:B291"/>
    <mergeCell ref="C290:C291"/>
    <mergeCell ref="A286:A287"/>
    <mergeCell ref="B286:B287"/>
    <mergeCell ref="C286:C287"/>
    <mergeCell ref="A288:A289"/>
    <mergeCell ref="B288:B289"/>
    <mergeCell ref="C288:C289"/>
    <mergeCell ref="A290:A291"/>
    <mergeCell ref="B296:B297"/>
    <mergeCell ref="C296:C297"/>
    <mergeCell ref="A292:A293"/>
    <mergeCell ref="B292:B293"/>
    <mergeCell ref="C292:C293"/>
    <mergeCell ref="A294:A295"/>
    <mergeCell ref="B294:B295"/>
    <mergeCell ref="C294:C295"/>
    <mergeCell ref="A296:A297"/>
    <mergeCell ref="B302:B303"/>
    <mergeCell ref="C302:C303"/>
    <mergeCell ref="A298:A299"/>
    <mergeCell ref="B298:B299"/>
    <mergeCell ref="C298:C299"/>
    <mergeCell ref="A300:A301"/>
    <mergeCell ref="B300:B301"/>
    <mergeCell ref="C300:C301"/>
    <mergeCell ref="A302:A303"/>
    <mergeCell ref="B308:B309"/>
    <mergeCell ref="C308:C309"/>
    <mergeCell ref="A304:A305"/>
    <mergeCell ref="B304:B305"/>
    <mergeCell ref="C304:C305"/>
    <mergeCell ref="A306:A307"/>
    <mergeCell ref="B306:B307"/>
    <mergeCell ref="C306:C307"/>
    <mergeCell ref="A308:A309"/>
    <mergeCell ref="B314:B315"/>
    <mergeCell ref="C314:C315"/>
    <mergeCell ref="A310:A311"/>
    <mergeCell ref="B310:B311"/>
    <mergeCell ref="C310:C311"/>
    <mergeCell ref="A312:A313"/>
    <mergeCell ref="B312:B313"/>
    <mergeCell ref="C312:C313"/>
    <mergeCell ref="A314:A315"/>
    <mergeCell ref="B320:B321"/>
    <mergeCell ref="C320:C321"/>
    <mergeCell ref="A316:A317"/>
    <mergeCell ref="B316:B317"/>
    <mergeCell ref="C316:C317"/>
    <mergeCell ref="A318:A319"/>
    <mergeCell ref="B318:B319"/>
    <mergeCell ref="C318:C319"/>
    <mergeCell ref="A320:A321"/>
    <mergeCell ref="B326:B327"/>
    <mergeCell ref="C326:C327"/>
    <mergeCell ref="A322:A323"/>
    <mergeCell ref="B322:B323"/>
    <mergeCell ref="C322:C323"/>
    <mergeCell ref="A324:A325"/>
    <mergeCell ref="B324:B325"/>
    <mergeCell ref="C324:C325"/>
    <mergeCell ref="A326:A327"/>
    <mergeCell ref="B332:B333"/>
    <mergeCell ref="C332:C333"/>
    <mergeCell ref="A328:A329"/>
    <mergeCell ref="B328:B329"/>
    <mergeCell ref="C328:C329"/>
    <mergeCell ref="A330:A331"/>
    <mergeCell ref="B330:B331"/>
    <mergeCell ref="C330:C331"/>
    <mergeCell ref="A332:A333"/>
    <mergeCell ref="B338:B339"/>
    <mergeCell ref="C338:C339"/>
    <mergeCell ref="A334:A335"/>
    <mergeCell ref="B334:B335"/>
    <mergeCell ref="C334:C335"/>
    <mergeCell ref="A336:A337"/>
    <mergeCell ref="B336:B337"/>
    <mergeCell ref="C336:C337"/>
    <mergeCell ref="A338:A339"/>
    <mergeCell ref="B344:B345"/>
    <mergeCell ref="C344:C345"/>
    <mergeCell ref="A340:A341"/>
    <mergeCell ref="B340:B341"/>
    <mergeCell ref="C340:C341"/>
    <mergeCell ref="A342:A343"/>
    <mergeCell ref="B342:B343"/>
    <mergeCell ref="C342:C343"/>
    <mergeCell ref="A344:A345"/>
    <mergeCell ref="B350:B351"/>
    <mergeCell ref="C350:C351"/>
    <mergeCell ref="A346:A347"/>
    <mergeCell ref="B346:B347"/>
    <mergeCell ref="C346:C347"/>
    <mergeCell ref="A348:A349"/>
    <mergeCell ref="B348:B349"/>
    <mergeCell ref="C348:C349"/>
    <mergeCell ref="A350:A351"/>
    <mergeCell ref="B356:B357"/>
    <mergeCell ref="C356:C357"/>
    <mergeCell ref="A352:A353"/>
    <mergeCell ref="B352:B353"/>
    <mergeCell ref="C352:C353"/>
    <mergeCell ref="A354:A355"/>
    <mergeCell ref="B354:B355"/>
    <mergeCell ref="C354:C355"/>
    <mergeCell ref="A356:A357"/>
    <mergeCell ref="B362:B363"/>
    <mergeCell ref="C362:C363"/>
    <mergeCell ref="A358:A359"/>
    <mergeCell ref="B358:B359"/>
    <mergeCell ref="C358:C359"/>
    <mergeCell ref="A360:A361"/>
    <mergeCell ref="B360:B361"/>
    <mergeCell ref="C360:C361"/>
    <mergeCell ref="A362:A363"/>
    <mergeCell ref="B368:B369"/>
    <mergeCell ref="C368:C369"/>
    <mergeCell ref="A364:A365"/>
    <mergeCell ref="B364:B365"/>
    <mergeCell ref="C364:C365"/>
    <mergeCell ref="A366:A367"/>
    <mergeCell ref="B366:B367"/>
    <mergeCell ref="C366:C367"/>
    <mergeCell ref="A368:A369"/>
    <mergeCell ref="B374:B375"/>
    <mergeCell ref="C374:C375"/>
    <mergeCell ref="A370:A371"/>
    <mergeCell ref="B370:B371"/>
    <mergeCell ref="C370:C371"/>
    <mergeCell ref="A372:A373"/>
    <mergeCell ref="B372:B373"/>
    <mergeCell ref="C372:C373"/>
    <mergeCell ref="A374:A375"/>
    <mergeCell ref="B380:B381"/>
    <mergeCell ref="C380:C381"/>
    <mergeCell ref="A376:A377"/>
    <mergeCell ref="B376:B377"/>
    <mergeCell ref="C376:C377"/>
    <mergeCell ref="A378:A379"/>
    <mergeCell ref="B378:B379"/>
    <mergeCell ref="C378:C379"/>
    <mergeCell ref="A380:A381"/>
    <mergeCell ref="B386:B387"/>
    <mergeCell ref="C386:C387"/>
    <mergeCell ref="A382:A383"/>
    <mergeCell ref="B382:B383"/>
    <mergeCell ref="C382:C383"/>
    <mergeCell ref="A384:A385"/>
    <mergeCell ref="B384:B385"/>
    <mergeCell ref="C384:C385"/>
    <mergeCell ref="A386:A387"/>
    <mergeCell ref="B392:B393"/>
    <mergeCell ref="C392:C393"/>
    <mergeCell ref="A388:A389"/>
    <mergeCell ref="B388:B389"/>
    <mergeCell ref="C388:C389"/>
    <mergeCell ref="A390:A391"/>
    <mergeCell ref="B390:B391"/>
    <mergeCell ref="C390:C391"/>
    <mergeCell ref="A392:A393"/>
    <mergeCell ref="B398:B399"/>
    <mergeCell ref="C398:C399"/>
    <mergeCell ref="A394:A395"/>
    <mergeCell ref="B394:B395"/>
    <mergeCell ref="C394:C395"/>
    <mergeCell ref="A396:A397"/>
    <mergeCell ref="B396:B397"/>
    <mergeCell ref="C396:C397"/>
    <mergeCell ref="A398:A399"/>
    <mergeCell ref="B448:B449"/>
    <mergeCell ref="C448:C449"/>
    <mergeCell ref="A442:A445"/>
    <mergeCell ref="B442:B445"/>
    <mergeCell ref="C442:C445"/>
    <mergeCell ref="A446:A447"/>
    <mergeCell ref="B446:B447"/>
    <mergeCell ref="C446:C447"/>
    <mergeCell ref="A448:A449"/>
    <mergeCell ref="B454:B455"/>
    <mergeCell ref="C454:C455"/>
    <mergeCell ref="A450:A451"/>
    <mergeCell ref="B450:B451"/>
    <mergeCell ref="C450:C451"/>
    <mergeCell ref="A452:A453"/>
    <mergeCell ref="B452:B453"/>
    <mergeCell ref="C452:C453"/>
    <mergeCell ref="A454:A455"/>
    <mergeCell ref="B460:B461"/>
    <mergeCell ref="C460:C461"/>
    <mergeCell ref="A456:A457"/>
    <mergeCell ref="B456:B457"/>
    <mergeCell ref="C456:C457"/>
    <mergeCell ref="A458:A459"/>
    <mergeCell ref="B458:B459"/>
    <mergeCell ref="C458:C459"/>
    <mergeCell ref="A460:A461"/>
    <mergeCell ref="B466:B467"/>
    <mergeCell ref="C466:C467"/>
    <mergeCell ref="A462:A463"/>
    <mergeCell ref="B462:B463"/>
    <mergeCell ref="C462:C463"/>
    <mergeCell ref="A464:A465"/>
    <mergeCell ref="B464:B465"/>
    <mergeCell ref="C464:C465"/>
    <mergeCell ref="A466:A467"/>
    <mergeCell ref="B472:B473"/>
    <mergeCell ref="C472:C473"/>
    <mergeCell ref="A468:A469"/>
    <mergeCell ref="B468:B469"/>
    <mergeCell ref="C468:C469"/>
    <mergeCell ref="A470:A471"/>
    <mergeCell ref="B470:B471"/>
    <mergeCell ref="C470:C471"/>
    <mergeCell ref="A472:A473"/>
    <mergeCell ref="B230:B231"/>
    <mergeCell ref="C230:C231"/>
    <mergeCell ref="A226:A227"/>
    <mergeCell ref="B226:B227"/>
    <mergeCell ref="C226:C227"/>
    <mergeCell ref="A228:A229"/>
    <mergeCell ref="B228:B229"/>
    <mergeCell ref="C228:C229"/>
    <mergeCell ref="A230:A231"/>
    <mergeCell ref="B236:B237"/>
    <mergeCell ref="C236:C237"/>
    <mergeCell ref="A232:A233"/>
    <mergeCell ref="B232:B233"/>
    <mergeCell ref="C232:C233"/>
    <mergeCell ref="A234:A235"/>
    <mergeCell ref="B234:B235"/>
    <mergeCell ref="C234:C235"/>
    <mergeCell ref="A236:A237"/>
    <mergeCell ref="B242:B243"/>
    <mergeCell ref="C242:C243"/>
    <mergeCell ref="A238:A239"/>
    <mergeCell ref="B238:B239"/>
    <mergeCell ref="C238:C239"/>
    <mergeCell ref="A240:A241"/>
    <mergeCell ref="B240:B241"/>
    <mergeCell ref="C240:C241"/>
    <mergeCell ref="A242:A243"/>
    <mergeCell ref="A474:A477"/>
    <mergeCell ref="B474:B477"/>
    <mergeCell ref="A478:A479"/>
    <mergeCell ref="B478:B479"/>
    <mergeCell ref="B404:B405"/>
    <mergeCell ref="C404:C405"/>
    <mergeCell ref="A400:A401"/>
    <mergeCell ref="B400:B401"/>
    <mergeCell ref="C400:C401"/>
    <mergeCell ref="A402:A403"/>
    <mergeCell ref="B402:B403"/>
    <mergeCell ref="C402:C403"/>
    <mergeCell ref="A404:A405"/>
    <mergeCell ref="B410:B411"/>
    <mergeCell ref="C410:C411"/>
    <mergeCell ref="A406:A407"/>
    <mergeCell ref="B406:B407"/>
    <mergeCell ref="C406:C407"/>
    <mergeCell ref="A408:A409"/>
    <mergeCell ref="B408:B409"/>
    <mergeCell ref="C408:C409"/>
    <mergeCell ref="A410:A411"/>
    <mergeCell ref="B416:B417"/>
    <mergeCell ref="C416:C417"/>
    <mergeCell ref="A412:A413"/>
    <mergeCell ref="B412:B413"/>
    <mergeCell ref="C412:C413"/>
    <mergeCell ref="A414:A415"/>
    <mergeCell ref="B414:B415"/>
    <mergeCell ref="C414:C415"/>
    <mergeCell ref="A416:A417"/>
    <mergeCell ref="B422:B423"/>
    <mergeCell ref="C422:C423"/>
    <mergeCell ref="A418:A419"/>
    <mergeCell ref="B418:B419"/>
    <mergeCell ref="C418:C419"/>
    <mergeCell ref="A420:A421"/>
    <mergeCell ref="B420:B421"/>
    <mergeCell ref="C420:C421"/>
    <mergeCell ref="A422:A423"/>
    <mergeCell ref="B428:B429"/>
    <mergeCell ref="C428:C429"/>
    <mergeCell ref="A424:A425"/>
    <mergeCell ref="B424:B425"/>
    <mergeCell ref="C424:C425"/>
    <mergeCell ref="A426:A427"/>
    <mergeCell ref="B426:B427"/>
    <mergeCell ref="C426:C427"/>
    <mergeCell ref="A428:A429"/>
    <mergeCell ref="B434:B435"/>
    <mergeCell ref="C434:C435"/>
    <mergeCell ref="A430:A431"/>
    <mergeCell ref="B430:B431"/>
    <mergeCell ref="C430:C431"/>
    <mergeCell ref="A432:A433"/>
    <mergeCell ref="B432:B433"/>
    <mergeCell ref="C432:C433"/>
    <mergeCell ref="A434:A435"/>
    <mergeCell ref="B440:B441"/>
    <mergeCell ref="C440:C441"/>
    <mergeCell ref="A436:A437"/>
    <mergeCell ref="B436:B437"/>
    <mergeCell ref="C436:C437"/>
    <mergeCell ref="A438:A439"/>
    <mergeCell ref="B438:B439"/>
    <mergeCell ref="C438:C439"/>
    <mergeCell ref="A440:A441"/>
    <mergeCell ref="N336:N337"/>
    <mergeCell ref="O336:O337"/>
    <mergeCell ref="K332:K333"/>
    <mergeCell ref="K334:K335"/>
    <mergeCell ref="L334:L335"/>
    <mergeCell ref="M334:M335"/>
    <mergeCell ref="N334:N335"/>
    <mergeCell ref="O334:O335"/>
    <mergeCell ref="K336:K337"/>
    <mergeCell ref="L316:L317"/>
    <mergeCell ref="M316:M317"/>
    <mergeCell ref="K318:K319"/>
    <mergeCell ref="L318:L319"/>
    <mergeCell ref="M318:M319"/>
    <mergeCell ref="K320:K321"/>
    <mergeCell ref="L320:L321"/>
    <mergeCell ref="M324:M325"/>
    <mergeCell ref="N324:N325"/>
    <mergeCell ref="K322:K323"/>
    <mergeCell ref="L322:L323"/>
    <mergeCell ref="M322:M323"/>
    <mergeCell ref="N322:N323"/>
    <mergeCell ref="O322:O323"/>
    <mergeCell ref="L324:L325"/>
    <mergeCell ref="O324:O325"/>
    <mergeCell ref="N328:N329"/>
    <mergeCell ref="O328:O329"/>
    <mergeCell ref="N330:N331"/>
    <mergeCell ref="O330:O331"/>
    <mergeCell ref="K324:K325"/>
    <mergeCell ref="K326:K327"/>
    <mergeCell ref="L326:L327"/>
    <mergeCell ref="M326:M327"/>
    <mergeCell ref="N326:N327"/>
    <mergeCell ref="O326:O327"/>
    <mergeCell ref="K328:K329"/>
    <mergeCell ref="L328:L329"/>
    <mergeCell ref="M328:M329"/>
    <mergeCell ref="K330:K331"/>
    <mergeCell ref="L330:L331"/>
    <mergeCell ref="M330:M331"/>
    <mergeCell ref="L332:L333"/>
    <mergeCell ref="M332:M333"/>
    <mergeCell ref="L336:L337"/>
    <mergeCell ref="M336:M337"/>
    <mergeCell ref="K338:K339"/>
    <mergeCell ref="L338:L339"/>
    <mergeCell ref="M338:M339"/>
    <mergeCell ref="N338:N339"/>
    <mergeCell ref="O338:O339"/>
    <mergeCell ref="L228:L229"/>
    <mergeCell ref="M228:M229"/>
    <mergeCell ref="N228:N229"/>
    <mergeCell ref="O228:O229"/>
    <mergeCell ref="M230:M231"/>
    <mergeCell ref="N230:N231"/>
    <mergeCell ref="O230:O231"/>
    <mergeCell ref="L230:L231"/>
    <mergeCell ref="L232:L233"/>
    <mergeCell ref="M232:M233"/>
    <mergeCell ref="N232:N233"/>
    <mergeCell ref="O232:O233"/>
    <mergeCell ref="L234:L235"/>
    <mergeCell ref="M234:M235"/>
    <mergeCell ref="L244:L245"/>
    <mergeCell ref="M244:M245"/>
    <mergeCell ref="N244:N245"/>
    <mergeCell ref="O244:O245"/>
    <mergeCell ref="M246:M247"/>
    <mergeCell ref="N246:N247"/>
    <mergeCell ref="O246:O247"/>
    <mergeCell ref="N250:N251"/>
    <mergeCell ref="O250:O251"/>
    <mergeCell ref="L246:L247"/>
    <mergeCell ref="L248:L249"/>
    <mergeCell ref="M248:M249"/>
    <mergeCell ref="N248:N249"/>
    <mergeCell ref="O248:O249"/>
    <mergeCell ref="L250:L251"/>
    <mergeCell ref="M250:M251"/>
    <mergeCell ref="N258:N259"/>
    <mergeCell ref="O258:O259"/>
    <mergeCell ref="L260:L261"/>
    <mergeCell ref="M260:M261"/>
    <mergeCell ref="L252:L253"/>
    <mergeCell ref="M252:M253"/>
    <mergeCell ref="N252:N253"/>
    <mergeCell ref="O252:O253"/>
    <mergeCell ref="M254:M255"/>
    <mergeCell ref="N254:N255"/>
    <mergeCell ref="O254:O255"/>
    <mergeCell ref="L254:L255"/>
    <mergeCell ref="L256:L257"/>
    <mergeCell ref="M256:M257"/>
    <mergeCell ref="N256:N257"/>
    <mergeCell ref="O256:O257"/>
    <mergeCell ref="L258:L259"/>
    <mergeCell ref="M258:M259"/>
    <mergeCell ref="M264:M265"/>
    <mergeCell ref="N264:N265"/>
    <mergeCell ref="K262:K263"/>
    <mergeCell ref="L262:L263"/>
    <mergeCell ref="M262:M263"/>
    <mergeCell ref="N262:N263"/>
    <mergeCell ref="O262:O263"/>
    <mergeCell ref="L264:L265"/>
    <mergeCell ref="O264:O265"/>
    <mergeCell ref="N268:N269"/>
    <mergeCell ref="O268:O269"/>
    <mergeCell ref="N270:N271"/>
    <mergeCell ref="O270:O271"/>
    <mergeCell ref="N272:N273"/>
    <mergeCell ref="O272:O273"/>
    <mergeCell ref="K264:K265"/>
    <mergeCell ref="K266:K267"/>
    <mergeCell ref="L266:L267"/>
    <mergeCell ref="M266:M267"/>
    <mergeCell ref="N266:N267"/>
    <mergeCell ref="O266:O267"/>
    <mergeCell ref="K268:K269"/>
    <mergeCell ref="L268:L269"/>
    <mergeCell ref="M268:M269"/>
    <mergeCell ref="K270:K271"/>
    <mergeCell ref="L270:L271"/>
    <mergeCell ref="M270:M271"/>
    <mergeCell ref="L272:L273"/>
    <mergeCell ref="M272:M273"/>
    <mergeCell ref="N292:N293"/>
    <mergeCell ref="O292:O293"/>
    <mergeCell ref="K288:K289"/>
    <mergeCell ref="K290:K291"/>
    <mergeCell ref="L290:L291"/>
    <mergeCell ref="M290:M291"/>
    <mergeCell ref="N290:N291"/>
    <mergeCell ref="O290:O291"/>
    <mergeCell ref="K292:K293"/>
    <mergeCell ref="N276:N277"/>
    <mergeCell ref="O276:O277"/>
    <mergeCell ref="N278:N279"/>
    <mergeCell ref="O278:O279"/>
    <mergeCell ref="N280:N281"/>
    <mergeCell ref="O280:O281"/>
    <mergeCell ref="K272:K273"/>
    <mergeCell ref="K274:K275"/>
    <mergeCell ref="L274:L275"/>
    <mergeCell ref="M274:M275"/>
    <mergeCell ref="N274:N275"/>
    <mergeCell ref="O274:O275"/>
    <mergeCell ref="K276:K277"/>
    <mergeCell ref="L276:L277"/>
    <mergeCell ref="M276:M277"/>
    <mergeCell ref="K278:K279"/>
    <mergeCell ref="L278:L279"/>
    <mergeCell ref="M278:M279"/>
    <mergeCell ref="L280:L281"/>
    <mergeCell ref="M280:M281"/>
    <mergeCell ref="N284:N285"/>
    <mergeCell ref="O284:O285"/>
    <mergeCell ref="N286:N287"/>
    <mergeCell ref="O286:O287"/>
    <mergeCell ref="K280:K281"/>
    <mergeCell ref="K282:K283"/>
    <mergeCell ref="L282:L283"/>
    <mergeCell ref="M282:M283"/>
    <mergeCell ref="N282:N283"/>
    <mergeCell ref="O282:O283"/>
    <mergeCell ref="K284:K285"/>
    <mergeCell ref="L284:L285"/>
    <mergeCell ref="M284:M285"/>
    <mergeCell ref="K286:K287"/>
    <mergeCell ref="L286:L287"/>
    <mergeCell ref="M286:M287"/>
    <mergeCell ref="L288:L289"/>
    <mergeCell ref="M288:M289"/>
    <mergeCell ref="M296:M297"/>
    <mergeCell ref="N296:N297"/>
    <mergeCell ref="O296:O297"/>
    <mergeCell ref="K310:K311"/>
    <mergeCell ref="L310:L311"/>
    <mergeCell ref="M310:M311"/>
    <mergeCell ref="N310:N311"/>
    <mergeCell ref="O310:O311"/>
    <mergeCell ref="L312:L313"/>
    <mergeCell ref="M312:M313"/>
    <mergeCell ref="N316:N317"/>
    <mergeCell ref="O316:O317"/>
    <mergeCell ref="K312:K313"/>
    <mergeCell ref="K314:K315"/>
    <mergeCell ref="L314:L315"/>
    <mergeCell ref="M314:M315"/>
    <mergeCell ref="N314:N315"/>
    <mergeCell ref="O314:O315"/>
    <mergeCell ref="K316:K317"/>
    <mergeCell ref="L292:L293"/>
    <mergeCell ref="M292:M293"/>
    <mergeCell ref="K294:K295"/>
    <mergeCell ref="L294:L295"/>
    <mergeCell ref="M294:M295"/>
    <mergeCell ref="K296:K297"/>
    <mergeCell ref="L296:L297"/>
    <mergeCell ref="K298:K299"/>
    <mergeCell ref="L298:L299"/>
    <mergeCell ref="M298:M299"/>
    <mergeCell ref="N298:N299"/>
    <mergeCell ref="O298:O299"/>
    <mergeCell ref="L300:L301"/>
    <mergeCell ref="M300:M301"/>
    <mergeCell ref="N304:N305"/>
    <mergeCell ref="O304:O305"/>
    <mergeCell ref="K300:K301"/>
    <mergeCell ref="K302:K303"/>
    <mergeCell ref="L302:L303"/>
    <mergeCell ref="M302:M303"/>
    <mergeCell ref="N302:N303"/>
    <mergeCell ref="O302:O303"/>
    <mergeCell ref="K304:K305"/>
    <mergeCell ref="M308:M309"/>
    <mergeCell ref="N308:N309"/>
    <mergeCell ref="O308:O309"/>
    <mergeCell ref="L304:L305"/>
    <mergeCell ref="M304:M305"/>
    <mergeCell ref="K306:K307"/>
    <mergeCell ref="L306:L307"/>
    <mergeCell ref="M306:M307"/>
    <mergeCell ref="K308:K309"/>
    <mergeCell ref="L308:L309"/>
    <mergeCell ref="M320:M321"/>
    <mergeCell ref="N320:N321"/>
    <mergeCell ref="O320:O321"/>
    <mergeCell ref="M342:M343"/>
    <mergeCell ref="N342:N343"/>
    <mergeCell ref="K340:K341"/>
    <mergeCell ref="L340:L341"/>
    <mergeCell ref="M340:M341"/>
    <mergeCell ref="N340:N341"/>
    <mergeCell ref="O340:O341"/>
    <mergeCell ref="L342:L343"/>
    <mergeCell ref="O342:O343"/>
    <mergeCell ref="K342:K343"/>
    <mergeCell ref="K344:K345"/>
    <mergeCell ref="L344:L345"/>
    <mergeCell ref="M344:M345"/>
    <mergeCell ref="N344:N345"/>
    <mergeCell ref="O344:O345"/>
    <mergeCell ref="K346:K347"/>
    <mergeCell ref="L346:L347"/>
    <mergeCell ref="M346:M347"/>
    <mergeCell ref="K348:K349"/>
    <mergeCell ref="L348:L349"/>
    <mergeCell ref="M348:M349"/>
    <mergeCell ref="N348:N349"/>
    <mergeCell ref="O348:O349"/>
    <mergeCell ref="M352:M353"/>
    <mergeCell ref="N352:N353"/>
    <mergeCell ref="K350:K351"/>
    <mergeCell ref="L350:L351"/>
    <mergeCell ref="M350:M351"/>
    <mergeCell ref="N350:N351"/>
    <mergeCell ref="O350:O351"/>
    <mergeCell ref="L352:L353"/>
    <mergeCell ref="O352:O353"/>
    <mergeCell ref="N356:N357"/>
    <mergeCell ref="O356:O357"/>
    <mergeCell ref="N12:N17"/>
    <mergeCell ref="M13:M17"/>
    <mergeCell ref="M18:M20"/>
    <mergeCell ref="N18:N20"/>
    <mergeCell ref="M21:M22"/>
    <mergeCell ref="N21:N22"/>
    <mergeCell ref="O21:O22"/>
    <mergeCell ref="M23:M29"/>
    <mergeCell ref="O23:O29"/>
    <mergeCell ref="M43:M48"/>
    <mergeCell ref="M49:M52"/>
    <mergeCell ref="N49:N52"/>
    <mergeCell ref="O49:O52"/>
    <mergeCell ref="N72:N82"/>
    <mergeCell ref="O72:O82"/>
    <mergeCell ref="M73:M82"/>
    <mergeCell ref="N23:N29"/>
    <mergeCell ref="N30:N42"/>
    <mergeCell ref="O30:O42"/>
    <mergeCell ref="M31:M35"/>
    <mergeCell ref="M36:M42"/>
    <mergeCell ref="N43:N48"/>
    <mergeCell ref="O43:O48"/>
    <mergeCell ref="A1:B2"/>
    <mergeCell ref="H3:J4"/>
    <mergeCell ref="A9:A11"/>
    <mergeCell ref="B9:B11"/>
    <mergeCell ref="C9:C11"/>
    <mergeCell ref="D9:D11"/>
    <mergeCell ref="I9:I11"/>
    <mergeCell ref="K9:K11"/>
    <mergeCell ref="M9:M11"/>
    <mergeCell ref="N9:N11"/>
    <mergeCell ref="O9:O11"/>
    <mergeCell ref="O12:O17"/>
    <mergeCell ref="I13:I17"/>
    <mergeCell ref="I18:I20"/>
    <mergeCell ref="O18:O20"/>
    <mergeCell ref="A13:A17"/>
    <mergeCell ref="B13:B17"/>
    <mergeCell ref="C13:C17"/>
    <mergeCell ref="D13:D17"/>
    <mergeCell ref="B18:B20"/>
    <mergeCell ref="C18:C20"/>
    <mergeCell ref="D18:D20"/>
    <mergeCell ref="A18:A20"/>
    <mergeCell ref="A21:A22"/>
    <mergeCell ref="B21:B22"/>
    <mergeCell ref="A23:A29"/>
    <mergeCell ref="B23:B29"/>
    <mergeCell ref="C23:C29"/>
    <mergeCell ref="D23:D29"/>
    <mergeCell ref="B43:B48"/>
    <mergeCell ref="C43:C48"/>
    <mergeCell ref="B49:B52"/>
    <mergeCell ref="C49:C52"/>
    <mergeCell ref="D49:D52"/>
    <mergeCell ref="I49:I52"/>
    <mergeCell ref="I53:I60"/>
    <mergeCell ref="B61:B71"/>
    <mergeCell ref="C62:C71"/>
    <mergeCell ref="A83:I83"/>
    <mergeCell ref="M88:M90"/>
    <mergeCell ref="N88:N90"/>
    <mergeCell ref="L98:L100"/>
    <mergeCell ref="L101:L103"/>
    <mergeCell ref="M101:M103"/>
    <mergeCell ref="N101:N103"/>
    <mergeCell ref="O101:O103"/>
    <mergeCell ref="L104:L106"/>
    <mergeCell ref="M104:M106"/>
    <mergeCell ref="L107:L109"/>
    <mergeCell ref="M107:M109"/>
    <mergeCell ref="N107:N109"/>
    <mergeCell ref="O107:O109"/>
    <mergeCell ref="M110:M111"/>
    <mergeCell ref="N110:N111"/>
    <mergeCell ref="O110:O111"/>
    <mergeCell ref="B112:B113"/>
    <mergeCell ref="C112:C113"/>
    <mergeCell ref="A107:A109"/>
    <mergeCell ref="B107:B109"/>
    <mergeCell ref="C107:C109"/>
    <mergeCell ref="A110:A111"/>
    <mergeCell ref="B110:B111"/>
    <mergeCell ref="C110:C111"/>
    <mergeCell ref="A112:A113"/>
    <mergeCell ref="N114:N115"/>
    <mergeCell ref="O114:O115"/>
    <mergeCell ref="L110:L111"/>
    <mergeCell ref="L112:L113"/>
    <mergeCell ref="M112:M113"/>
    <mergeCell ref="N112:N113"/>
    <mergeCell ref="O112:O113"/>
    <mergeCell ref="L114:L115"/>
    <mergeCell ref="M114:M115"/>
    <mergeCell ref="L116:L117"/>
    <mergeCell ref="M116:M117"/>
    <mergeCell ref="N116:N117"/>
    <mergeCell ref="O116:O117"/>
    <mergeCell ref="M118:M119"/>
    <mergeCell ref="N118:N119"/>
    <mergeCell ref="O118:O119"/>
    <mergeCell ref="L118:L119"/>
    <mergeCell ref="L120:L121"/>
    <mergeCell ref="M120:M121"/>
    <mergeCell ref="N120:N121"/>
    <mergeCell ref="O120:O121"/>
    <mergeCell ref="L122:L123"/>
    <mergeCell ref="M122:M123"/>
    <mergeCell ref="L156:L157"/>
    <mergeCell ref="M156:M157"/>
    <mergeCell ref="N156:N157"/>
    <mergeCell ref="O156:O157"/>
    <mergeCell ref="M158:M159"/>
    <mergeCell ref="N158:N159"/>
    <mergeCell ref="O158:O159"/>
    <mergeCell ref="L158:L159"/>
    <mergeCell ref="L160:L161"/>
    <mergeCell ref="M160:M161"/>
    <mergeCell ref="N160:N161"/>
    <mergeCell ref="O160:O161"/>
    <mergeCell ref="L162:L163"/>
    <mergeCell ref="M162:M163"/>
    <mergeCell ref="L132:L133"/>
    <mergeCell ref="M132:M133"/>
    <mergeCell ref="N132:N133"/>
    <mergeCell ref="O132:O133"/>
    <mergeCell ref="M134:M135"/>
    <mergeCell ref="N134:N135"/>
    <mergeCell ref="O134:O135"/>
    <mergeCell ref="L134:L135"/>
    <mergeCell ref="L136:L137"/>
    <mergeCell ref="M136:M137"/>
    <mergeCell ref="N136:N137"/>
    <mergeCell ref="O136:O137"/>
    <mergeCell ref="L138:L139"/>
    <mergeCell ref="M138:M139"/>
    <mergeCell ref="L140:L141"/>
    <mergeCell ref="M140:M141"/>
    <mergeCell ref="N140:N141"/>
    <mergeCell ref="O140:O141"/>
    <mergeCell ref="M142:M143"/>
    <mergeCell ref="N142:N143"/>
    <mergeCell ref="O142:O143"/>
    <mergeCell ref="N146:N147"/>
    <mergeCell ref="O146:O147"/>
    <mergeCell ref="L142:L143"/>
    <mergeCell ref="L144:L145"/>
    <mergeCell ref="M144:M145"/>
    <mergeCell ref="N144:N145"/>
    <mergeCell ref="O144:O145"/>
    <mergeCell ref="L146:L147"/>
    <mergeCell ref="M146:M147"/>
    <mergeCell ref="N154:N155"/>
    <mergeCell ref="O154:O155"/>
    <mergeCell ref="L166:L167"/>
    <mergeCell ref="L168:L169"/>
    <mergeCell ref="M168:M169"/>
    <mergeCell ref="N168:N169"/>
    <mergeCell ref="O168:O169"/>
    <mergeCell ref="L186:L187"/>
    <mergeCell ref="M186:M187"/>
    <mergeCell ref="N186:N187"/>
    <mergeCell ref="O186:O187"/>
    <mergeCell ref="M188:M189"/>
    <mergeCell ref="N188:N189"/>
    <mergeCell ref="O188:O189"/>
    <mergeCell ref="L188:L189"/>
    <mergeCell ref="L190:L191"/>
    <mergeCell ref="M190:M191"/>
    <mergeCell ref="N190:N191"/>
    <mergeCell ref="O190:O191"/>
    <mergeCell ref="L192:L193"/>
    <mergeCell ref="M192:M193"/>
    <mergeCell ref="N162:N163"/>
    <mergeCell ref="O162:O163"/>
    <mergeCell ref="L164:L165"/>
    <mergeCell ref="M164:M165"/>
    <mergeCell ref="N164:N165"/>
    <mergeCell ref="O164:O165"/>
    <mergeCell ref="O166:O167"/>
    <mergeCell ref="M172:M173"/>
    <mergeCell ref="N172:N173"/>
    <mergeCell ref="M166:M167"/>
    <mergeCell ref="N166:N167"/>
    <mergeCell ref="L170:L171"/>
    <mergeCell ref="M170:M171"/>
    <mergeCell ref="N170:N171"/>
    <mergeCell ref="O170:O171"/>
    <mergeCell ref="O172:O173"/>
    <mergeCell ref="N176:N177"/>
    <mergeCell ref="O176:O177"/>
    <mergeCell ref="L172:L173"/>
    <mergeCell ref="L174:L175"/>
    <mergeCell ref="M174:M175"/>
    <mergeCell ref="N174:N175"/>
    <mergeCell ref="O174:O175"/>
    <mergeCell ref="L176:L177"/>
    <mergeCell ref="M176:M177"/>
    <mergeCell ref="N184:N185"/>
    <mergeCell ref="O184:O185"/>
    <mergeCell ref="N192:N193"/>
    <mergeCell ref="O192:O193"/>
    <mergeCell ref="A91:A92"/>
    <mergeCell ref="A93:A94"/>
    <mergeCell ref="B93:B94"/>
    <mergeCell ref="C93:C94"/>
    <mergeCell ref="D93:D94"/>
    <mergeCell ref="A95:A97"/>
    <mergeCell ref="B95:B97"/>
    <mergeCell ref="A98:A100"/>
    <mergeCell ref="B98:B100"/>
    <mergeCell ref="D99:D100"/>
    <mergeCell ref="A101:A103"/>
    <mergeCell ref="B101:B103"/>
    <mergeCell ref="A104:A106"/>
    <mergeCell ref="B104:B106"/>
    <mergeCell ref="B118:B119"/>
    <mergeCell ref="C118:C119"/>
    <mergeCell ref="A114:A115"/>
    <mergeCell ref="B114:B115"/>
    <mergeCell ref="C114:C115"/>
    <mergeCell ref="A116:A117"/>
    <mergeCell ref="B116:B117"/>
    <mergeCell ref="C116:C117"/>
    <mergeCell ref="A118:A119"/>
    <mergeCell ref="B124:B125"/>
    <mergeCell ref="C124:C125"/>
    <mergeCell ref="A120:A121"/>
    <mergeCell ref="B120:B121"/>
    <mergeCell ref="C120:C121"/>
    <mergeCell ref="D120:D121"/>
    <mergeCell ref="A122:A123"/>
    <mergeCell ref="B122:B123"/>
    <mergeCell ref="D124:D125"/>
    <mergeCell ref="C128:C129"/>
    <mergeCell ref="D128:D129"/>
    <mergeCell ref="A124:A125"/>
    <mergeCell ref="A126:A127"/>
    <mergeCell ref="B126:B127"/>
    <mergeCell ref="C126:C127"/>
    <mergeCell ref="D126:D127"/>
    <mergeCell ref="A128:A129"/>
    <mergeCell ref="B128:B129"/>
    <mergeCell ref="A130:A131"/>
    <mergeCell ref="B130:B131"/>
    <mergeCell ref="C130:C131"/>
    <mergeCell ref="D130:D131"/>
    <mergeCell ref="A132:A133"/>
    <mergeCell ref="B132:B133"/>
    <mergeCell ref="B134:B135"/>
    <mergeCell ref="A134:A135"/>
    <mergeCell ref="A136:A137"/>
    <mergeCell ref="B136:B137"/>
    <mergeCell ref="A138:A139"/>
    <mergeCell ref="B138:B139"/>
    <mergeCell ref="D138:D139"/>
    <mergeCell ref="A140:A141"/>
    <mergeCell ref="E144:E145"/>
    <mergeCell ref="A30:A42"/>
    <mergeCell ref="B30:B42"/>
    <mergeCell ref="C31:C35"/>
    <mergeCell ref="D31:D35"/>
    <mergeCell ref="C36:C42"/>
    <mergeCell ref="D36:D42"/>
    <mergeCell ref="D43:D48"/>
    <mergeCell ref="A43:A48"/>
    <mergeCell ref="A49:A52"/>
    <mergeCell ref="A53:A60"/>
    <mergeCell ref="B53:B60"/>
    <mergeCell ref="C53:C60"/>
    <mergeCell ref="D53:D60"/>
    <mergeCell ref="D62:D71"/>
    <mergeCell ref="C84:C87"/>
    <mergeCell ref="D84:D87"/>
    <mergeCell ref="A61:A71"/>
    <mergeCell ref="A72:A82"/>
    <mergeCell ref="B72:B82"/>
    <mergeCell ref="C73:C82"/>
    <mergeCell ref="D73:D82"/>
    <mergeCell ref="A84:A87"/>
    <mergeCell ref="B84:B87"/>
    <mergeCell ref="A88:A90"/>
    <mergeCell ref="B88:B90"/>
    <mergeCell ref="C88:C90"/>
    <mergeCell ref="D88:D90"/>
    <mergeCell ref="B91:B92"/>
    <mergeCell ref="C91:C92"/>
    <mergeCell ref="D91:D92"/>
    <mergeCell ref="C96:C97"/>
    <mergeCell ref="D96:D97"/>
    <mergeCell ref="B140:B141"/>
    <mergeCell ref="C140:C141"/>
    <mergeCell ref="A142:A143"/>
    <mergeCell ref="B142:B143"/>
    <mergeCell ref="C142:C143"/>
    <mergeCell ref="A144:A145"/>
    <mergeCell ref="B144:B145"/>
    <mergeCell ref="B152:B153"/>
    <mergeCell ref="C152:C153"/>
    <mergeCell ref="A146:A147"/>
    <mergeCell ref="B146:B147"/>
    <mergeCell ref="A148:A149"/>
    <mergeCell ref="B148:B149"/>
    <mergeCell ref="A150:A151"/>
    <mergeCell ref="B150:B151"/>
    <mergeCell ref="A152:A153"/>
    <mergeCell ref="A154:A155"/>
    <mergeCell ref="B154:B155"/>
    <mergeCell ref="A156:A157"/>
    <mergeCell ref="B156:B157"/>
    <mergeCell ref="C156:C157"/>
    <mergeCell ref="B158:B159"/>
    <mergeCell ref="C158:C159"/>
    <mergeCell ref="A158:A159"/>
    <mergeCell ref="A160:A161"/>
    <mergeCell ref="B160:B161"/>
    <mergeCell ref="A162:A163"/>
    <mergeCell ref="B162:B163"/>
    <mergeCell ref="B164:B165"/>
    <mergeCell ref="C164:C165"/>
    <mergeCell ref="A164:A165"/>
    <mergeCell ref="A166:A167"/>
    <mergeCell ref="B166:B167"/>
    <mergeCell ref="C166:C167"/>
    <mergeCell ref="A168:A169"/>
    <mergeCell ref="B168:B169"/>
    <mergeCell ref="C168:C169"/>
    <mergeCell ref="B174:B175"/>
    <mergeCell ref="C174:C175"/>
    <mergeCell ref="A170:A171"/>
    <mergeCell ref="B170:B171"/>
    <mergeCell ref="C170:C171"/>
    <mergeCell ref="A172:A173"/>
    <mergeCell ref="B172:B173"/>
    <mergeCell ref="C172:C173"/>
    <mergeCell ref="A174:A175"/>
    <mergeCell ref="L236:L237"/>
    <mergeCell ref="M236:M237"/>
    <mergeCell ref="N236:N237"/>
    <mergeCell ref="O236:O237"/>
    <mergeCell ref="M238:M239"/>
    <mergeCell ref="N238:N239"/>
    <mergeCell ref="O238:O239"/>
    <mergeCell ref="L238:L239"/>
    <mergeCell ref="L240:L241"/>
    <mergeCell ref="M240:M241"/>
    <mergeCell ref="N240:N241"/>
    <mergeCell ref="O240:O241"/>
    <mergeCell ref="L242:L243"/>
    <mergeCell ref="M242:M243"/>
    <mergeCell ref="L212:L213"/>
    <mergeCell ref="M212:M213"/>
    <mergeCell ref="N212:N213"/>
    <mergeCell ref="O212:O213"/>
    <mergeCell ref="M214:M215"/>
    <mergeCell ref="N214:N215"/>
    <mergeCell ref="O214:O215"/>
    <mergeCell ref="L214:L215"/>
    <mergeCell ref="L216:L217"/>
    <mergeCell ref="M216:M217"/>
    <mergeCell ref="N216:N217"/>
    <mergeCell ref="O216:O217"/>
    <mergeCell ref="L218:L219"/>
    <mergeCell ref="M218:M219"/>
    <mergeCell ref="L220:L221"/>
    <mergeCell ref="M220:M221"/>
    <mergeCell ref="N220:N221"/>
    <mergeCell ref="O220:O221"/>
    <mergeCell ref="M222:M223"/>
    <mergeCell ref="N222:N223"/>
    <mergeCell ref="O222:O223"/>
    <mergeCell ref="N226:N227"/>
    <mergeCell ref="O226:O227"/>
    <mergeCell ref="L222:L223"/>
    <mergeCell ref="L224:L225"/>
    <mergeCell ref="M224:M225"/>
    <mergeCell ref="N224:N225"/>
    <mergeCell ref="O224:O225"/>
    <mergeCell ref="L226:L227"/>
    <mergeCell ref="M226:M227"/>
    <mergeCell ref="N234:N235"/>
    <mergeCell ref="O234:O235"/>
    <mergeCell ref="N242:N243"/>
    <mergeCell ref="O242:O243"/>
    <mergeCell ref="B180:B181"/>
    <mergeCell ref="C180:C181"/>
    <mergeCell ref="A176:A177"/>
    <mergeCell ref="B176:B177"/>
    <mergeCell ref="C176:C177"/>
    <mergeCell ref="A178:A179"/>
    <mergeCell ref="B178:B179"/>
    <mergeCell ref="C178:C179"/>
    <mergeCell ref="A180:A181"/>
    <mergeCell ref="B186:B187"/>
    <mergeCell ref="C186:C187"/>
    <mergeCell ref="A182:A183"/>
    <mergeCell ref="B182:B183"/>
    <mergeCell ref="C182:C183"/>
    <mergeCell ref="A184:A185"/>
    <mergeCell ref="B184:B185"/>
    <mergeCell ref="C184:C185"/>
    <mergeCell ref="A186:A187"/>
    <mergeCell ref="B192:B193"/>
    <mergeCell ref="C192:C193"/>
    <mergeCell ref="A188:A189"/>
    <mergeCell ref="B188:B189"/>
    <mergeCell ref="C188:C189"/>
    <mergeCell ref="A190:A191"/>
    <mergeCell ref="B190:B191"/>
    <mergeCell ref="C190:C191"/>
    <mergeCell ref="A192:A193"/>
    <mergeCell ref="A194:A195"/>
    <mergeCell ref="B194:B195"/>
    <mergeCell ref="C194:C195"/>
    <mergeCell ref="A196:A197"/>
    <mergeCell ref="B196:B197"/>
    <mergeCell ref="B198:B199"/>
    <mergeCell ref="C198:C199"/>
    <mergeCell ref="B204:B205"/>
    <mergeCell ref="C204:C206"/>
    <mergeCell ref="A198:A199"/>
    <mergeCell ref="A200:A201"/>
    <mergeCell ref="B200:B201"/>
    <mergeCell ref="C200:C201"/>
    <mergeCell ref="A202:A203"/>
    <mergeCell ref="B202:B203"/>
    <mergeCell ref="A204:A206"/>
    <mergeCell ref="A207:A209"/>
    <mergeCell ref="B207:B208"/>
    <mergeCell ref="C207:C209"/>
    <mergeCell ref="A210:A211"/>
    <mergeCell ref="B210:B211"/>
    <mergeCell ref="A212:A213"/>
    <mergeCell ref="B212:B213"/>
    <mergeCell ref="B218:B219"/>
    <mergeCell ref="C218:C219"/>
    <mergeCell ref="A214:A215"/>
    <mergeCell ref="B214:B215"/>
    <mergeCell ref="C214:C215"/>
    <mergeCell ref="A216:A217"/>
    <mergeCell ref="B216:B217"/>
    <mergeCell ref="C216:C217"/>
    <mergeCell ref="A218:A219"/>
    <mergeCell ref="B224:B225"/>
    <mergeCell ref="C224:C225"/>
    <mergeCell ref="A220:A221"/>
    <mergeCell ref="B220:B221"/>
    <mergeCell ref="C220:C221"/>
    <mergeCell ref="A222:A223"/>
    <mergeCell ref="B222:B223"/>
    <mergeCell ref="C222:C223"/>
    <mergeCell ref="A224:A225"/>
    <mergeCell ref="B248:B249"/>
    <mergeCell ref="C248:C249"/>
    <mergeCell ref="A244:A245"/>
    <mergeCell ref="B244:B245"/>
    <mergeCell ref="C244:C245"/>
    <mergeCell ref="A246:A247"/>
    <mergeCell ref="B246:B247"/>
    <mergeCell ref="C246:C247"/>
    <mergeCell ref="A248:A249"/>
    <mergeCell ref="B254:B255"/>
    <mergeCell ref="C254:C255"/>
    <mergeCell ref="A250:A251"/>
    <mergeCell ref="B250:B251"/>
    <mergeCell ref="C250:C251"/>
    <mergeCell ref="A252:A253"/>
    <mergeCell ref="B252:B253"/>
    <mergeCell ref="C252:C253"/>
    <mergeCell ref="A254:A255"/>
    <mergeCell ref="B260:B261"/>
    <mergeCell ref="C260:C261"/>
    <mergeCell ref="A256:A257"/>
    <mergeCell ref="B256:B257"/>
    <mergeCell ref="C256:C257"/>
    <mergeCell ref="A258:A259"/>
    <mergeCell ref="B258:B259"/>
    <mergeCell ref="C258:C259"/>
    <mergeCell ref="A260:A261"/>
    <mergeCell ref="B266:B267"/>
    <mergeCell ref="C266:C267"/>
    <mergeCell ref="A262:A263"/>
    <mergeCell ref="B262:B263"/>
    <mergeCell ref="C262:C263"/>
    <mergeCell ref="A264:A265"/>
    <mergeCell ref="B264:B265"/>
    <mergeCell ref="C264:C265"/>
    <mergeCell ref="A266:A267"/>
    <mergeCell ref="B272:B273"/>
    <mergeCell ref="C272:C273"/>
    <mergeCell ref="A268:A269"/>
    <mergeCell ref="B268:B269"/>
    <mergeCell ref="C268:C269"/>
    <mergeCell ref="A270:A271"/>
    <mergeCell ref="B270:B271"/>
    <mergeCell ref="C270:C271"/>
    <mergeCell ref="A272:A273"/>
    <mergeCell ref="M432:M433"/>
    <mergeCell ref="N432:N433"/>
    <mergeCell ref="K430:K431"/>
    <mergeCell ref="L430:L431"/>
    <mergeCell ref="M430:M431"/>
    <mergeCell ref="N430:N431"/>
    <mergeCell ref="O430:O431"/>
    <mergeCell ref="L432:L433"/>
    <mergeCell ref="O432:O433"/>
    <mergeCell ref="L412:L413"/>
    <mergeCell ref="M412:M413"/>
    <mergeCell ref="K414:K415"/>
    <mergeCell ref="L414:L415"/>
    <mergeCell ref="M414:M415"/>
    <mergeCell ref="L416:L417"/>
    <mergeCell ref="M416:M417"/>
    <mergeCell ref="N420:N421"/>
    <mergeCell ref="O420:O421"/>
    <mergeCell ref="N422:N423"/>
    <mergeCell ref="O422:O423"/>
    <mergeCell ref="N424:N425"/>
    <mergeCell ref="O424:O425"/>
    <mergeCell ref="K416:K417"/>
    <mergeCell ref="K418:K419"/>
    <mergeCell ref="L418:L419"/>
    <mergeCell ref="M418:M419"/>
    <mergeCell ref="N418:N419"/>
    <mergeCell ref="O418:O419"/>
    <mergeCell ref="K420:K421"/>
    <mergeCell ref="L420:L421"/>
    <mergeCell ref="M420:M421"/>
    <mergeCell ref="K422:K423"/>
    <mergeCell ref="L422:L423"/>
    <mergeCell ref="M422:M423"/>
    <mergeCell ref="L424:L425"/>
    <mergeCell ref="M424:M425"/>
    <mergeCell ref="N428:N429"/>
    <mergeCell ref="O428:O429"/>
    <mergeCell ref="K424:K425"/>
    <mergeCell ref="K426:K427"/>
    <mergeCell ref="L426:L427"/>
    <mergeCell ref="M426:M427"/>
    <mergeCell ref="K428:K429"/>
    <mergeCell ref="L428:L429"/>
    <mergeCell ref="M428:M429"/>
    <mergeCell ref="N436:N437"/>
    <mergeCell ref="O436:O437"/>
    <mergeCell ref="K448:K449"/>
    <mergeCell ref="L448:L449"/>
    <mergeCell ref="M448:M449"/>
    <mergeCell ref="N448:N449"/>
    <mergeCell ref="O448:O449"/>
    <mergeCell ref="L450:L451"/>
    <mergeCell ref="O450:O451"/>
    <mergeCell ref="N454:N455"/>
    <mergeCell ref="O454:O455"/>
    <mergeCell ref="K450:K451"/>
    <mergeCell ref="K452:K453"/>
    <mergeCell ref="L452:L453"/>
    <mergeCell ref="M452:M453"/>
    <mergeCell ref="N452:N453"/>
    <mergeCell ref="O452:O453"/>
    <mergeCell ref="K454:K455"/>
    <mergeCell ref="K432:K433"/>
    <mergeCell ref="K434:K435"/>
    <mergeCell ref="L434:L435"/>
    <mergeCell ref="M434:M435"/>
    <mergeCell ref="K436:K437"/>
    <mergeCell ref="L436:L437"/>
    <mergeCell ref="M436:M437"/>
    <mergeCell ref="M440:M441"/>
    <mergeCell ref="N440:N441"/>
    <mergeCell ref="K438:K439"/>
    <mergeCell ref="L438:L439"/>
    <mergeCell ref="M438:M439"/>
    <mergeCell ref="N438:N439"/>
    <mergeCell ref="O438:O439"/>
    <mergeCell ref="L440:L441"/>
    <mergeCell ref="O440:O441"/>
    <mergeCell ref="N446:N447"/>
    <mergeCell ref="O446:O447"/>
    <mergeCell ref="K440:K441"/>
    <mergeCell ref="K442:K445"/>
    <mergeCell ref="L442:L445"/>
    <mergeCell ref="M442:M445"/>
    <mergeCell ref="K446:K447"/>
    <mergeCell ref="L446:L447"/>
    <mergeCell ref="M446:M447"/>
    <mergeCell ref="M450:M451"/>
    <mergeCell ref="N450:N451"/>
    <mergeCell ref="L454:L455"/>
    <mergeCell ref="M454:M455"/>
    <mergeCell ref="K456:K457"/>
    <mergeCell ref="L456:L457"/>
    <mergeCell ref="M456:M457"/>
    <mergeCell ref="N456:N457"/>
    <mergeCell ref="O456:O457"/>
    <mergeCell ref="K468:K469"/>
    <mergeCell ref="K470:K471"/>
    <mergeCell ref="L470:L471"/>
    <mergeCell ref="M470:M471"/>
    <mergeCell ref="N470:N471"/>
    <mergeCell ref="O470:O471"/>
    <mergeCell ref="K472:K473"/>
    <mergeCell ref="L472:L473"/>
    <mergeCell ref="M472:M473"/>
    <mergeCell ref="K474:K477"/>
    <mergeCell ref="L474:L477"/>
    <mergeCell ref="M474:M477"/>
    <mergeCell ref="N474:N477"/>
    <mergeCell ref="O474:O477"/>
    <mergeCell ref="M460:M461"/>
    <mergeCell ref="N460:N461"/>
    <mergeCell ref="K458:K459"/>
    <mergeCell ref="L458:L459"/>
    <mergeCell ref="M458:M459"/>
    <mergeCell ref="N458:N459"/>
    <mergeCell ref="O458:O459"/>
    <mergeCell ref="L460:L461"/>
    <mergeCell ref="O460:O461"/>
    <mergeCell ref="N464:N465"/>
    <mergeCell ref="O464:O465"/>
    <mergeCell ref="N466:N467"/>
    <mergeCell ref="O466:O467"/>
    <mergeCell ref="N468:N469"/>
    <mergeCell ref="O468:O469"/>
    <mergeCell ref="K460:K461"/>
    <mergeCell ref="K462:K463"/>
    <mergeCell ref="L462:L463"/>
    <mergeCell ref="M462:M463"/>
    <mergeCell ref="N462:N463"/>
    <mergeCell ref="O462:O463"/>
    <mergeCell ref="K464:K465"/>
    <mergeCell ref="L464:L465"/>
    <mergeCell ref="M464:M465"/>
    <mergeCell ref="K466:K467"/>
    <mergeCell ref="L466:L467"/>
    <mergeCell ref="M466:M467"/>
    <mergeCell ref="L468:L469"/>
    <mergeCell ref="M468:M469"/>
    <mergeCell ref="N472:N473"/>
    <mergeCell ref="O472:O473"/>
    <mergeCell ref="K478:K479"/>
    <mergeCell ref="L478:L479"/>
    <mergeCell ref="M478:M479"/>
    <mergeCell ref="N478:N479"/>
    <mergeCell ref="O478:O479"/>
    <mergeCell ref="M480:M481"/>
    <mergeCell ref="K366:K367"/>
    <mergeCell ref="L366:L367"/>
    <mergeCell ref="M366:M367"/>
    <mergeCell ref="N366:N367"/>
    <mergeCell ref="O366:O367"/>
    <mergeCell ref="L368:L369"/>
    <mergeCell ref="O368:O369"/>
    <mergeCell ref="K368:K369"/>
    <mergeCell ref="K370:K371"/>
    <mergeCell ref="L370:L371"/>
    <mergeCell ref="M370:M371"/>
    <mergeCell ref="K372:K373"/>
    <mergeCell ref="L372:L373"/>
    <mergeCell ref="M372:M373"/>
    <mergeCell ref="N372:N373"/>
    <mergeCell ref="O372:O373"/>
    <mergeCell ref="K374:K375"/>
    <mergeCell ref="L374:L375"/>
    <mergeCell ref="M374:M375"/>
    <mergeCell ref="N374:N375"/>
    <mergeCell ref="O374:O375"/>
    <mergeCell ref="K376:K377"/>
    <mergeCell ref="L376:L377"/>
    <mergeCell ref="M376:M377"/>
    <mergeCell ref="N376:N377"/>
    <mergeCell ref="O376:O377"/>
    <mergeCell ref="L378:L379"/>
    <mergeCell ref="M378:M379"/>
    <mergeCell ref="N382:N383"/>
    <mergeCell ref="O382:O383"/>
    <mergeCell ref="K378:K379"/>
    <mergeCell ref="K380:K381"/>
    <mergeCell ref="L380:L381"/>
    <mergeCell ref="M380:M381"/>
    <mergeCell ref="N380:N381"/>
    <mergeCell ref="O380:O381"/>
    <mergeCell ref="K382:K383"/>
    <mergeCell ref="L382:L383"/>
    <mergeCell ref="M382:M383"/>
    <mergeCell ref="K384:K385"/>
    <mergeCell ref="L384:L385"/>
    <mergeCell ref="M384:M385"/>
    <mergeCell ref="N384:N385"/>
    <mergeCell ref="O384:O385"/>
    <mergeCell ref="K386:K387"/>
    <mergeCell ref="L386:L387"/>
    <mergeCell ref="M386:M387"/>
    <mergeCell ref="L388:L389"/>
    <mergeCell ref="M388:M389"/>
    <mergeCell ref="N388:N389"/>
    <mergeCell ref="O388:O389"/>
    <mergeCell ref="N392:N393"/>
    <mergeCell ref="O392:O393"/>
    <mergeCell ref="K388:K389"/>
    <mergeCell ref="K390:K391"/>
    <mergeCell ref="L390:L391"/>
    <mergeCell ref="M390:M391"/>
    <mergeCell ref="N390:N391"/>
    <mergeCell ref="O390:O391"/>
    <mergeCell ref="K392:K393"/>
    <mergeCell ref="K352:K353"/>
    <mergeCell ref="K354:K355"/>
    <mergeCell ref="L354:L355"/>
    <mergeCell ref="M354:M355"/>
    <mergeCell ref="K356:K357"/>
    <mergeCell ref="L356:L357"/>
    <mergeCell ref="M356:M357"/>
    <mergeCell ref="M360:M361"/>
    <mergeCell ref="N360:N361"/>
    <mergeCell ref="K358:K359"/>
    <mergeCell ref="L358:L359"/>
    <mergeCell ref="M358:M359"/>
    <mergeCell ref="N358:N359"/>
    <mergeCell ref="O358:O359"/>
    <mergeCell ref="L360:L361"/>
    <mergeCell ref="O360:O361"/>
    <mergeCell ref="N364:N365"/>
    <mergeCell ref="O364:O365"/>
    <mergeCell ref="K360:K361"/>
    <mergeCell ref="K362:K363"/>
    <mergeCell ref="L362:L363"/>
    <mergeCell ref="M362:M363"/>
    <mergeCell ref="K364:K365"/>
    <mergeCell ref="L364:L365"/>
    <mergeCell ref="M364:M365"/>
    <mergeCell ref="M368:M369"/>
    <mergeCell ref="N368:N369"/>
    <mergeCell ref="M396:M397"/>
    <mergeCell ref="N396:N397"/>
    <mergeCell ref="O396:O397"/>
    <mergeCell ref="L392:L393"/>
    <mergeCell ref="M392:M393"/>
    <mergeCell ref="K394:K395"/>
    <mergeCell ref="L394:L395"/>
    <mergeCell ref="M394:M395"/>
    <mergeCell ref="K396:K397"/>
    <mergeCell ref="L396:L397"/>
    <mergeCell ref="K398:K399"/>
    <mergeCell ref="L398:L399"/>
    <mergeCell ref="M398:M399"/>
    <mergeCell ref="N398:N399"/>
    <mergeCell ref="O398:O399"/>
    <mergeCell ref="L400:L401"/>
    <mergeCell ref="M400:M401"/>
    <mergeCell ref="N404:N405"/>
    <mergeCell ref="O404:O405"/>
    <mergeCell ref="N406:N407"/>
    <mergeCell ref="O406:O407"/>
    <mergeCell ref="K400:K401"/>
    <mergeCell ref="K402:K403"/>
    <mergeCell ref="L402:L403"/>
    <mergeCell ref="M402:M403"/>
    <mergeCell ref="N402:N403"/>
    <mergeCell ref="O402:O403"/>
    <mergeCell ref="K404:K405"/>
    <mergeCell ref="L404:L405"/>
    <mergeCell ref="M404:M405"/>
    <mergeCell ref="K406:K407"/>
    <mergeCell ref="L406:L407"/>
    <mergeCell ref="M406:M407"/>
    <mergeCell ref="L408:L409"/>
    <mergeCell ref="M408:M409"/>
    <mergeCell ref="N412:N413"/>
    <mergeCell ref="O412:O413"/>
    <mergeCell ref="N414:N415"/>
    <mergeCell ref="O414:O415"/>
    <mergeCell ref="K408:K409"/>
    <mergeCell ref="K410:K411"/>
    <mergeCell ref="L410:L411"/>
    <mergeCell ref="M410:M411"/>
    <mergeCell ref="N410:N411"/>
    <mergeCell ref="O410:O411"/>
    <mergeCell ref="K412:K413"/>
  </mergeCells>
  <dataValidations>
    <dataValidation type="list" allowBlank="1" showErrorMessage="1" sqref="F7:F82 F84:F1086">
      <formula1>"Caporale,Ouvrier"</formula1>
    </dataValidation>
    <dataValidation type="list" allowBlank="1" showErrorMessage="1" sqref="C7:C9 C12:C13 C18 C21:C23 C30:C31 C36 C43 C49 C53 C61:C62 C72:C73 C84 C88 C91 C93 C95:C96 C98:C107 C110 C112 C114 C116 C118 C120 C122:C124 C126 C128 C130 C132:C140 C142 C144:C152 C154:C156 C158 C160:C164 C166 C168 C170 C172 C174 C176 C178 C180 C182 C184 C186 C188 C190 C192 C194 C196:C198 C200 C202:C204 C207 C210:C214 C216 C218 C220 C222 C224 C226 C228 C230 C232 C234 C236 C238 C240 C242 C244 C246 C248 C250 C252 C254 C256 C258 C260 C262 C264 C266 C268 C270 C272 C274 C276 C278 C280 C282 C284 C286 C290 C292 C296 C298 C302 C304 C308 C310 C314 C316 C320 C322 C324 C326 C328 C330 C334 C336 C338 C340 C342 C344 C348 C350 C352 C356 C358 C360 C362 C364 C366 C368 C370 C372 C374 C376 C378 C380 C382 C384 C386 C388 C390 C392 C394 C396 C398 C400 C402 C404 C406 C408 C410 C412 C414 C416 C418 C420 C422 C424 C426 C428 C430 C432 C434 C436 C438 C440 C442 C446 C448 C450 C452 C454 C456 C458 C460 C462 C464 C466 C468 C470 C472 C474:C1086">
      <formula1>"601,602,603,604,605,606,607,608,609,610,611,612,613,614,615,616,617,618,619,620,621,622,623,624"</formula1>
    </dataValidation>
    <dataValidation type="list" allowBlank="1" showErrorMessage="1" sqref="K7:L8 E7:E82 E84:E144 E146:E1086">
      <formula1>"JRS,HE"</formula1>
    </dataValidation>
    <dataValidation type="list" allowBlank="1" showErrorMessage="1" sqref="B7:B9 B12:B13 B18 B21 B23 B30 B43 B49 B53 B61 B72 B84 B88 B91 B93 B95 B98 B101 B104 B107 B110 B112 B114 B116 B118 B120 B122 B124 B126 B128 B130 B132 B134 B136 B138 B140 B142 B144 B146 B148 B150 B152 B154 B156 B158 B160 B162 B164 B166 B168 B170 B172 B174 B176 B178 B180 B182 B184 B186 B188 B190 B192 B194 B196 B198 B200 B202 B204 B206:B207 B209:B210 B212 B214 B216 B218 B220 B222 B224 B226 B228 B230 B232 B234 B236 B238 B240 B242 B244 B246 B248 B250 B252 B254 B256 B258 B260 B262 B264 B266 B268 B270 B272 B274 B276 B278 B280 B282 B284 B286 B288 B290 B292 B294 B296 B298 B300 B302 B304 B306 B308 B310 B312 B314 B316 B318 B320 B322 B324 B326 B328 B330 B332 B334 B336 B338 B340 B342 B344 B346 B348 B350 B352 B354 B356 B358 B360 B362 B364 B366 B368 B370 B372 B374 B376 B378 B380 B382 B384 B386 B388 B390 B392 B394 B396 B398 B400 B402 B404 B406 B408 B410 B412 B414 B416 B418 B420 B422 B424 B426 B428 B430 B432 B434 B436 B438 B440 B442 B446 B448 B450 B452 B454 B456 B458 B460 B462 B464 B466 B468 B470 B472 B474 B478 B480:B1086">
      <formula1>"ARRACHAGE/FAUCHAGE,AUTRES TRAVAUX,BILLONNAGE,CHARGE/DECHARGE,CHAULAGE,DECHAULAGE ,DÉSHERBAGES,ENTRETIEN SERRE,ETANCHIETE,IRRIGATION,NETTOYAGE ,NETTOYAGE FIN COMPAGNE,PALISSAGE ,PINCEMENT ,PLANTATION,RECOLTE,SELECTION,SUPPORT DE PALISSAGE ,TRAITEMENT ,VIRU"&amp;"S ET CONTROLE ,LES LACHE"</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794" t="s">
        <v>3</v>
      </c>
      <c r="B1" s="794" t="s">
        <v>433</v>
      </c>
    </row>
    <row r="2">
      <c r="A2" s="794">
        <v>101.0</v>
      </c>
      <c r="B2" s="794">
        <v>1.14</v>
      </c>
    </row>
    <row r="3">
      <c r="A3" s="794">
        <v>102.0</v>
      </c>
      <c r="B3" s="794">
        <v>1.23</v>
      </c>
    </row>
    <row r="4">
      <c r="A4" s="794">
        <v>103.0</v>
      </c>
      <c r="B4" s="794">
        <v>1.24</v>
      </c>
    </row>
    <row r="5">
      <c r="A5" s="794">
        <v>104.0</v>
      </c>
      <c r="B5" s="794">
        <v>0.95</v>
      </c>
    </row>
    <row r="6">
      <c r="A6" s="794">
        <v>105.0</v>
      </c>
      <c r="B6" s="794">
        <v>0.95</v>
      </c>
    </row>
    <row r="7">
      <c r="A7" s="794">
        <v>106.0</v>
      </c>
      <c r="B7" s="794">
        <v>0.73</v>
      </c>
    </row>
    <row r="8">
      <c r="A8" s="794">
        <v>107.0</v>
      </c>
      <c r="B8" s="794">
        <v>0.95</v>
      </c>
    </row>
    <row r="9">
      <c r="A9" s="794">
        <v>108.0</v>
      </c>
      <c r="B9" s="794">
        <v>0.95</v>
      </c>
    </row>
    <row r="10">
      <c r="A10" s="794">
        <v>109.0</v>
      </c>
      <c r="B10" s="794">
        <v>0.9</v>
      </c>
    </row>
    <row r="11">
      <c r="A11" s="794">
        <v>110.0</v>
      </c>
      <c r="B11" s="794">
        <v>0.96</v>
      </c>
    </row>
    <row r="12">
      <c r="A12" s="794">
        <v>111.0</v>
      </c>
      <c r="B12" s="794">
        <v>1.08</v>
      </c>
    </row>
    <row r="13">
      <c r="A13" s="794">
        <v>112.0</v>
      </c>
      <c r="B13" s="794">
        <v>0.96</v>
      </c>
    </row>
    <row r="14">
      <c r="A14" s="794">
        <v>113.0</v>
      </c>
      <c r="B14" s="794">
        <v>1.32</v>
      </c>
    </row>
    <row r="15">
      <c r="A15" s="794">
        <v>114.0</v>
      </c>
      <c r="B15" s="794">
        <v>0.95</v>
      </c>
    </row>
    <row r="16">
      <c r="A16" s="794">
        <v>115.0</v>
      </c>
      <c r="B16" s="794">
        <v>1.2</v>
      </c>
    </row>
    <row r="17">
      <c r="A17" s="794">
        <v>116.0</v>
      </c>
      <c r="B17" s="794">
        <v>0.95</v>
      </c>
    </row>
    <row r="18">
      <c r="A18" s="794">
        <v>117.0</v>
      </c>
      <c r="B18" s="794">
        <v>1.17</v>
      </c>
    </row>
    <row r="19">
      <c r="A19" s="794">
        <v>118.0</v>
      </c>
      <c r="B19" s="794">
        <v>0.95</v>
      </c>
    </row>
    <row r="20">
      <c r="A20" s="794">
        <v>119.0</v>
      </c>
      <c r="B20" s="794">
        <v>1.19</v>
      </c>
    </row>
    <row r="21">
      <c r="A21" s="794">
        <v>120.0</v>
      </c>
      <c r="B21" s="794">
        <v>0.55</v>
      </c>
    </row>
    <row r="22">
      <c r="A22" s="794">
        <v>121.0</v>
      </c>
      <c r="B22" s="794">
        <v>1.26</v>
      </c>
    </row>
    <row r="23">
      <c r="A23" s="794">
        <v>122.0</v>
      </c>
      <c r="B23" s="794">
        <v>0.23</v>
      </c>
    </row>
    <row r="24">
      <c r="A24" s="794">
        <v>123.0</v>
      </c>
      <c r="B24" s="794">
        <v>0.88</v>
      </c>
    </row>
    <row r="25">
      <c r="A25" s="794">
        <v>124.0</v>
      </c>
      <c r="B25" s="794">
        <v>0.95</v>
      </c>
    </row>
    <row r="26">
      <c r="A26" s="794">
        <v>125.0</v>
      </c>
      <c r="B26" s="794">
        <v>0.96</v>
      </c>
    </row>
    <row r="27">
      <c r="A27" s="794">
        <v>126.0</v>
      </c>
      <c r="B27" s="794">
        <v>0.95</v>
      </c>
    </row>
    <row r="28">
      <c r="A28" s="794">
        <v>127.0</v>
      </c>
      <c r="B28" s="794">
        <v>0.95</v>
      </c>
    </row>
    <row r="29">
      <c r="A29" s="794">
        <v>128.0</v>
      </c>
      <c r="B29" s="794">
        <v>0.96</v>
      </c>
    </row>
    <row r="30">
      <c r="A30" s="794">
        <v>129.0</v>
      </c>
      <c r="B30" s="794">
        <v>0.96</v>
      </c>
    </row>
    <row r="31">
      <c r="A31" s="794">
        <v>130.0</v>
      </c>
      <c r="B31" s="794">
        <v>0.96</v>
      </c>
    </row>
    <row r="32">
      <c r="A32" s="794">
        <v>131.0</v>
      </c>
      <c r="B32" s="794">
        <v>0.96</v>
      </c>
    </row>
    <row r="33">
      <c r="A33" s="794">
        <v>132.0</v>
      </c>
      <c r="B33" s="794">
        <v>0.95</v>
      </c>
    </row>
    <row r="34">
      <c r="A34" s="794">
        <v>133.0</v>
      </c>
      <c r="B34" s="794">
        <v>0.96</v>
      </c>
    </row>
    <row r="35">
      <c r="A35" s="794">
        <v>134.0</v>
      </c>
      <c r="B35" s="794">
        <v>0.96</v>
      </c>
    </row>
    <row r="36">
      <c r="A36" s="794">
        <v>135.0</v>
      </c>
      <c r="B36" s="794">
        <v>0.96</v>
      </c>
    </row>
    <row r="37">
      <c r="A37" s="794">
        <v>136.0</v>
      </c>
      <c r="B37" s="794">
        <v>0.96</v>
      </c>
    </row>
    <row r="38">
      <c r="A38" s="794">
        <v>137.0</v>
      </c>
      <c r="B38" s="794">
        <v>0.96</v>
      </c>
    </row>
    <row r="39">
      <c r="A39" s="794">
        <v>138.0</v>
      </c>
      <c r="B39" s="794">
        <v>1.05</v>
      </c>
    </row>
    <row r="40">
      <c r="A40" s="794">
        <v>201.0</v>
      </c>
      <c r="B40" s="794">
        <v>0.96</v>
      </c>
    </row>
    <row r="41">
      <c r="A41" s="794">
        <v>202.0</v>
      </c>
      <c r="B41" s="794">
        <v>1.03</v>
      </c>
    </row>
    <row r="42">
      <c r="A42" s="794">
        <v>203.0</v>
      </c>
      <c r="B42" s="794">
        <v>0.76</v>
      </c>
    </row>
    <row r="43">
      <c r="A43" s="794">
        <v>204.0</v>
      </c>
      <c r="B43" s="794">
        <v>0.97</v>
      </c>
    </row>
    <row r="44">
      <c r="A44" s="794">
        <v>205.0</v>
      </c>
      <c r="B44" s="794">
        <v>1.01</v>
      </c>
    </row>
    <row r="45">
      <c r="A45" s="794">
        <v>206.0</v>
      </c>
      <c r="B45" s="794">
        <v>1.02</v>
      </c>
    </row>
    <row r="46">
      <c r="A46" s="794">
        <v>207.0</v>
      </c>
      <c r="B46" s="794">
        <v>1.02</v>
      </c>
    </row>
    <row r="47">
      <c r="A47" s="794">
        <v>208.0</v>
      </c>
      <c r="B47" s="794">
        <v>1.02</v>
      </c>
    </row>
    <row r="48">
      <c r="A48" s="794">
        <v>209.0</v>
      </c>
      <c r="B48" s="794">
        <v>1.15</v>
      </c>
    </row>
    <row r="49">
      <c r="A49" s="794">
        <v>210.0</v>
      </c>
      <c r="B49" s="794">
        <v>0.74</v>
      </c>
    </row>
    <row r="50">
      <c r="A50" s="794">
        <v>211.0</v>
      </c>
      <c r="B50" s="794">
        <v>1.02</v>
      </c>
    </row>
    <row r="51">
      <c r="A51" s="794">
        <v>212.0</v>
      </c>
      <c r="B51" s="794">
        <v>1.02</v>
      </c>
    </row>
    <row r="52">
      <c r="A52" s="794">
        <v>213.0</v>
      </c>
      <c r="B52" s="794">
        <v>0.71</v>
      </c>
    </row>
    <row r="53">
      <c r="A53" s="794">
        <v>214.0</v>
      </c>
      <c r="B53" s="794">
        <v>1.01</v>
      </c>
    </row>
    <row r="54">
      <c r="A54" s="794">
        <v>215.0</v>
      </c>
      <c r="B54" s="794">
        <v>0.96</v>
      </c>
    </row>
    <row r="55">
      <c r="A55" s="794">
        <v>216.0</v>
      </c>
      <c r="B55" s="794">
        <v>0.48</v>
      </c>
    </row>
    <row r="56">
      <c r="A56" s="794">
        <v>217.0</v>
      </c>
      <c r="B56" s="794">
        <v>0.5</v>
      </c>
    </row>
    <row r="57">
      <c r="A57" s="794">
        <v>218.0</v>
      </c>
      <c r="B57" s="794">
        <v>0.27</v>
      </c>
    </row>
    <row r="58">
      <c r="A58" s="794">
        <v>301.0</v>
      </c>
      <c r="B58" s="794">
        <v>0.81</v>
      </c>
    </row>
    <row r="59">
      <c r="A59" s="794">
        <v>302.0</v>
      </c>
      <c r="B59" s="794">
        <v>0.79</v>
      </c>
    </row>
    <row r="60">
      <c r="A60" s="794">
        <v>303.0</v>
      </c>
      <c r="B60" s="794">
        <v>0.69</v>
      </c>
    </row>
    <row r="61">
      <c r="A61" s="794">
        <v>304.0</v>
      </c>
      <c r="B61" s="794">
        <v>0.71</v>
      </c>
    </row>
    <row r="62">
      <c r="A62" s="794">
        <v>305.0</v>
      </c>
      <c r="B62" s="794">
        <v>1.04</v>
      </c>
    </row>
    <row r="63">
      <c r="A63" s="794">
        <v>306.0</v>
      </c>
      <c r="B63" s="794">
        <v>0.95</v>
      </c>
    </row>
    <row r="64">
      <c r="A64" s="794">
        <v>307.0</v>
      </c>
      <c r="B64" s="794">
        <v>1.0</v>
      </c>
    </row>
    <row r="65">
      <c r="A65" s="794">
        <v>308.0</v>
      </c>
      <c r="B65" s="794">
        <v>1.29</v>
      </c>
    </row>
    <row r="66">
      <c r="A66" s="794">
        <v>309.0</v>
      </c>
      <c r="B66" s="794">
        <v>0.75</v>
      </c>
    </row>
    <row r="67">
      <c r="A67" s="794">
        <v>310.0</v>
      </c>
      <c r="B67" s="794">
        <v>0.96</v>
      </c>
    </row>
    <row r="68">
      <c r="A68" s="794">
        <v>311.0</v>
      </c>
      <c r="B68" s="794">
        <v>0.94</v>
      </c>
    </row>
    <row r="69">
      <c r="A69" s="794">
        <v>312.0</v>
      </c>
      <c r="B69" s="794">
        <v>1.27</v>
      </c>
    </row>
    <row r="70">
      <c r="A70" s="794">
        <v>313.0</v>
      </c>
      <c r="B70" s="794">
        <v>1.1</v>
      </c>
    </row>
    <row r="71">
      <c r="A71" s="794">
        <v>314.0</v>
      </c>
      <c r="B71" s="794">
        <v>1.13</v>
      </c>
    </row>
    <row r="72">
      <c r="A72" s="794">
        <v>315.0</v>
      </c>
      <c r="B72" s="794">
        <v>1.21</v>
      </c>
    </row>
    <row r="73">
      <c r="A73" s="794">
        <v>316.0</v>
      </c>
      <c r="B73" s="794">
        <v>1.11</v>
      </c>
    </row>
    <row r="74">
      <c r="A74" s="794">
        <v>317.0</v>
      </c>
      <c r="B74" s="794">
        <v>1.14</v>
      </c>
    </row>
    <row r="75">
      <c r="A75" s="794">
        <v>318.0</v>
      </c>
      <c r="B75" s="794">
        <v>1.19</v>
      </c>
    </row>
    <row r="76">
      <c r="A76" s="794">
        <v>319.0</v>
      </c>
      <c r="B76" s="794">
        <v>0.8</v>
      </c>
    </row>
    <row r="77">
      <c r="A77" s="794">
        <v>320.0</v>
      </c>
      <c r="B77" s="794">
        <v>0.64</v>
      </c>
    </row>
    <row r="78">
      <c r="A78" s="794">
        <v>321.0</v>
      </c>
      <c r="B78" s="794">
        <v>0.97</v>
      </c>
    </row>
    <row r="79">
      <c r="A79" s="794">
        <v>322.0</v>
      </c>
      <c r="B79" s="794">
        <v>1.0</v>
      </c>
    </row>
    <row r="80">
      <c r="A80" s="794">
        <v>323.0</v>
      </c>
      <c r="B80" s="794">
        <v>1.13</v>
      </c>
    </row>
    <row r="81">
      <c r="A81" s="794">
        <v>324.0</v>
      </c>
      <c r="B81" s="794">
        <v>0.87</v>
      </c>
    </row>
    <row r="82">
      <c r="A82" s="794">
        <v>325.0</v>
      </c>
      <c r="B82" s="794">
        <v>0.85</v>
      </c>
    </row>
    <row r="83">
      <c r="A83" s="794">
        <v>326.0</v>
      </c>
      <c r="B83" s="794">
        <v>0.63</v>
      </c>
    </row>
    <row r="84">
      <c r="A84" s="794">
        <v>327.0</v>
      </c>
      <c r="B84" s="794">
        <v>0.76</v>
      </c>
    </row>
    <row r="85">
      <c r="A85" s="794">
        <v>328.0</v>
      </c>
      <c r="B85" s="794">
        <v>0.87</v>
      </c>
    </row>
    <row r="86">
      <c r="A86" s="794">
        <v>401.0</v>
      </c>
      <c r="B86" s="794">
        <v>0.83</v>
      </c>
    </row>
    <row r="87">
      <c r="A87" s="794">
        <v>402.0</v>
      </c>
      <c r="B87" s="794">
        <v>0.82</v>
      </c>
    </row>
    <row r="88">
      <c r="A88" s="794">
        <v>403.0</v>
      </c>
      <c r="B88" s="794">
        <v>0.67</v>
      </c>
    </row>
    <row r="89">
      <c r="A89" s="794">
        <v>404.0</v>
      </c>
      <c r="B89" s="794">
        <v>0.67</v>
      </c>
    </row>
    <row r="90">
      <c r="A90" s="794">
        <v>405.0</v>
      </c>
      <c r="B90" s="794">
        <v>1.23</v>
      </c>
    </row>
    <row r="91">
      <c r="A91" s="794">
        <v>406.0</v>
      </c>
      <c r="B91" s="794">
        <v>1.1</v>
      </c>
    </row>
    <row r="92">
      <c r="A92" s="794">
        <v>407.0</v>
      </c>
      <c r="B92" s="794">
        <v>0.72</v>
      </c>
    </row>
    <row r="93">
      <c r="A93" s="794">
        <v>408.0</v>
      </c>
      <c r="B93" s="794">
        <v>1.06</v>
      </c>
    </row>
    <row r="94">
      <c r="A94" s="794">
        <v>409.0</v>
      </c>
      <c r="B94" s="794">
        <v>1.0</v>
      </c>
    </row>
    <row r="95">
      <c r="A95" s="794">
        <v>410.0</v>
      </c>
      <c r="B95" s="794">
        <v>0.67</v>
      </c>
    </row>
    <row r="96">
      <c r="A96" s="794">
        <v>411.0</v>
      </c>
      <c r="B96" s="794">
        <v>0.85</v>
      </c>
    </row>
    <row r="97">
      <c r="A97" s="794">
        <v>412.0</v>
      </c>
      <c r="B97" s="794">
        <v>1.56</v>
      </c>
    </row>
    <row r="98">
      <c r="A98" s="794">
        <v>413.0</v>
      </c>
      <c r="B98" s="794">
        <v>0.65</v>
      </c>
    </row>
    <row r="99">
      <c r="A99" s="794">
        <v>414.0</v>
      </c>
      <c r="B99" s="794">
        <v>1.26</v>
      </c>
    </row>
    <row r="100">
      <c r="A100" s="794">
        <v>415.0</v>
      </c>
      <c r="B100" s="794">
        <v>0.62</v>
      </c>
    </row>
    <row r="101">
      <c r="A101" s="794">
        <v>416.0</v>
      </c>
      <c r="B101" s="794">
        <v>0.96</v>
      </c>
    </row>
    <row r="102">
      <c r="A102" s="794">
        <v>417.0</v>
      </c>
      <c r="B102" s="794">
        <v>1.67</v>
      </c>
    </row>
    <row r="103">
      <c r="A103" s="794">
        <v>418.0</v>
      </c>
      <c r="B103" s="794">
        <v>1.32</v>
      </c>
    </row>
    <row r="104">
      <c r="A104" s="794">
        <v>419.0</v>
      </c>
      <c r="B104" s="794">
        <v>1.15</v>
      </c>
    </row>
    <row r="105">
      <c r="A105" s="794">
        <v>420.0</v>
      </c>
      <c r="B105" s="794">
        <v>1.41</v>
      </c>
    </row>
    <row r="106">
      <c r="A106" s="794">
        <v>421.0</v>
      </c>
      <c r="B106" s="794">
        <v>1.07</v>
      </c>
    </row>
    <row r="107">
      <c r="A107" s="794">
        <v>422.0</v>
      </c>
      <c r="B107" s="794">
        <v>1.24</v>
      </c>
    </row>
    <row r="108">
      <c r="A108" s="794">
        <v>423.0</v>
      </c>
      <c r="B108" s="794">
        <v>1.03</v>
      </c>
    </row>
    <row r="109">
      <c r="A109" s="794">
        <v>424.0</v>
      </c>
      <c r="B109" s="794">
        <v>0.93</v>
      </c>
    </row>
    <row r="110">
      <c r="A110" s="794">
        <v>425.0</v>
      </c>
      <c r="B110" s="794">
        <v>1.14</v>
      </c>
    </row>
    <row r="111">
      <c r="A111" s="794">
        <v>426.0</v>
      </c>
      <c r="B111" s="794">
        <v>1.05</v>
      </c>
    </row>
    <row r="112">
      <c r="A112" s="794">
        <v>427.0</v>
      </c>
      <c r="B112" s="794">
        <v>1.05</v>
      </c>
    </row>
    <row r="113">
      <c r="A113" s="794">
        <v>428.0</v>
      </c>
      <c r="B113" s="794">
        <v>1.04</v>
      </c>
    </row>
    <row r="114">
      <c r="A114" s="794">
        <v>501.0</v>
      </c>
      <c r="B114" s="794">
        <v>0.78</v>
      </c>
    </row>
    <row r="115">
      <c r="A115" s="794">
        <v>502.0</v>
      </c>
      <c r="B115" s="794">
        <v>0.81</v>
      </c>
    </row>
    <row r="116">
      <c r="A116" s="794">
        <v>503.0</v>
      </c>
      <c r="B116" s="794">
        <v>0.81</v>
      </c>
    </row>
    <row r="117">
      <c r="A117" s="794">
        <v>504.0</v>
      </c>
      <c r="B117" s="794">
        <v>1.04</v>
      </c>
    </row>
    <row r="118">
      <c r="A118" s="794">
        <v>505.0</v>
      </c>
      <c r="B118" s="794">
        <v>0.96</v>
      </c>
    </row>
    <row r="119">
      <c r="A119" s="794">
        <v>506.0</v>
      </c>
      <c r="B119" s="794">
        <v>0.96</v>
      </c>
    </row>
    <row r="120">
      <c r="A120" s="794">
        <v>507.0</v>
      </c>
      <c r="B120" s="794">
        <v>0.83</v>
      </c>
    </row>
    <row r="121">
      <c r="A121" s="794">
        <v>508.0</v>
      </c>
      <c r="B121" s="794">
        <v>1.01</v>
      </c>
    </row>
    <row r="122">
      <c r="A122" s="794">
        <v>509.0</v>
      </c>
      <c r="B122" s="794">
        <v>0.74</v>
      </c>
    </row>
    <row r="123">
      <c r="A123" s="794">
        <v>510.0</v>
      </c>
      <c r="B123" s="794">
        <v>1.37</v>
      </c>
    </row>
    <row r="124">
      <c r="A124" s="794">
        <v>511.0</v>
      </c>
      <c r="B124" s="794">
        <v>1.21</v>
      </c>
    </row>
    <row r="125">
      <c r="A125" s="794">
        <v>512.0</v>
      </c>
      <c r="B125" s="794">
        <v>0.94</v>
      </c>
    </row>
    <row r="126">
      <c r="A126" s="794">
        <v>513.0</v>
      </c>
      <c r="B126" s="794">
        <v>0.88</v>
      </c>
    </row>
    <row r="127">
      <c r="A127" s="794">
        <v>514.0</v>
      </c>
      <c r="B127" s="794">
        <v>0.8</v>
      </c>
    </row>
    <row r="128">
      <c r="A128" s="794">
        <v>515.0</v>
      </c>
      <c r="B128" s="794">
        <v>0.98</v>
      </c>
    </row>
    <row r="129">
      <c r="A129" s="794">
        <v>516.0</v>
      </c>
      <c r="B129" s="794">
        <v>0.73</v>
      </c>
    </row>
    <row r="130">
      <c r="A130" s="794">
        <v>517.0</v>
      </c>
      <c r="B130" s="794">
        <v>0.92</v>
      </c>
    </row>
    <row r="131">
      <c r="A131" s="794">
        <v>518.0</v>
      </c>
      <c r="B131" s="794">
        <v>1.16</v>
      </c>
    </row>
    <row r="132">
      <c r="A132" s="794">
        <v>519.0</v>
      </c>
      <c r="B132" s="794">
        <v>0.87</v>
      </c>
    </row>
    <row r="133">
      <c r="A133" s="794">
        <v>520.0</v>
      </c>
      <c r="B133" s="794">
        <v>0.89</v>
      </c>
    </row>
    <row r="134">
      <c r="A134" s="794">
        <v>601.0</v>
      </c>
      <c r="B134" s="794">
        <v>0.6</v>
      </c>
    </row>
    <row r="135">
      <c r="A135" s="794">
        <v>602.0</v>
      </c>
      <c r="B135" s="794">
        <v>0.6</v>
      </c>
    </row>
    <row r="136">
      <c r="A136" s="794">
        <v>603.0</v>
      </c>
      <c r="B136" s="794">
        <v>0.81</v>
      </c>
    </row>
    <row r="137">
      <c r="A137" s="794">
        <v>604.0</v>
      </c>
      <c r="B137" s="794">
        <v>0.94</v>
      </c>
    </row>
    <row r="138">
      <c r="A138" s="794">
        <v>605.0</v>
      </c>
      <c r="B138" s="794">
        <v>0.97</v>
      </c>
    </row>
    <row r="139">
      <c r="A139" s="794">
        <v>606.0</v>
      </c>
      <c r="B139" s="794">
        <v>0.36</v>
      </c>
    </row>
    <row r="140">
      <c r="A140" s="794">
        <v>607.0</v>
      </c>
      <c r="B140" s="794">
        <v>1.02</v>
      </c>
    </row>
    <row r="141">
      <c r="A141" s="794">
        <v>608.0</v>
      </c>
      <c r="B141" s="794">
        <v>0.97</v>
      </c>
    </row>
    <row r="142">
      <c r="A142" s="794">
        <v>609.0</v>
      </c>
      <c r="B142" s="794">
        <v>0.96</v>
      </c>
    </row>
    <row r="143">
      <c r="A143" s="794">
        <v>610.0</v>
      </c>
      <c r="B143" s="794">
        <v>0.56</v>
      </c>
    </row>
    <row r="144">
      <c r="A144" s="794">
        <v>611.0</v>
      </c>
      <c r="B144" s="794">
        <v>0.92</v>
      </c>
    </row>
    <row r="145">
      <c r="A145" s="794">
        <v>612.0</v>
      </c>
      <c r="B145" s="794">
        <v>0.96</v>
      </c>
    </row>
    <row r="146">
      <c r="A146" s="794">
        <v>613.0</v>
      </c>
      <c r="B146" s="794">
        <v>0.96</v>
      </c>
    </row>
    <row r="147">
      <c r="A147" s="794">
        <v>614.0</v>
      </c>
      <c r="B147" s="794">
        <v>0.96</v>
      </c>
    </row>
    <row r="148">
      <c r="A148" s="794">
        <v>615.0</v>
      </c>
      <c r="B148" s="794">
        <v>0.54</v>
      </c>
    </row>
    <row r="149">
      <c r="A149" s="794">
        <v>616.0</v>
      </c>
      <c r="B149" s="794">
        <v>0.61</v>
      </c>
    </row>
    <row r="150">
      <c r="A150" s="794">
        <v>617.0</v>
      </c>
      <c r="B150" s="794">
        <v>0.94</v>
      </c>
    </row>
    <row r="151">
      <c r="A151" s="794">
        <v>618.0</v>
      </c>
      <c r="B151" s="794">
        <v>0.96</v>
      </c>
    </row>
    <row r="152">
      <c r="A152" s="794">
        <v>619.0</v>
      </c>
      <c r="B152" s="794">
        <v>0.96</v>
      </c>
    </row>
    <row r="153">
      <c r="A153" s="794">
        <v>620.0</v>
      </c>
      <c r="B153" s="794">
        <v>0.96</v>
      </c>
    </row>
    <row r="154">
      <c r="A154" s="794">
        <v>621.0</v>
      </c>
      <c r="B154" s="794">
        <v>0.6</v>
      </c>
    </row>
    <row r="155">
      <c r="A155" s="794">
        <v>622.0</v>
      </c>
      <c r="B155" s="794">
        <v>0.96</v>
      </c>
    </row>
    <row r="156">
      <c r="A156" s="794">
        <v>623.0</v>
      </c>
      <c r="B156" s="794">
        <v>0.77</v>
      </c>
    </row>
    <row r="157">
      <c r="A157" s="794">
        <v>624.0</v>
      </c>
      <c r="B157" s="794">
        <v>0.48</v>
      </c>
    </row>
    <row r="158">
      <c r="A158" s="794">
        <v>701.0</v>
      </c>
      <c r="B158" s="794">
        <v>0.8672</v>
      </c>
    </row>
    <row r="159">
      <c r="A159" s="794">
        <v>702.0</v>
      </c>
      <c r="B159" s="794">
        <v>0.9585</v>
      </c>
    </row>
    <row r="160">
      <c r="A160" s="794">
        <v>703.0</v>
      </c>
      <c r="B160" s="794">
        <v>1.0074</v>
      </c>
    </row>
    <row r="161">
      <c r="A161" s="794">
        <v>704.0</v>
      </c>
      <c r="B161" s="794">
        <v>1.1826</v>
      </c>
    </row>
    <row r="162">
      <c r="A162" s="794">
        <v>705.0</v>
      </c>
      <c r="B162" s="794">
        <v>0.7592</v>
      </c>
    </row>
    <row r="163">
      <c r="A163" s="794">
        <v>706.0</v>
      </c>
      <c r="B163" s="794">
        <v>1.6433</v>
      </c>
    </row>
    <row r="164">
      <c r="A164" s="794">
        <v>707.0</v>
      </c>
      <c r="B164" s="794">
        <v>0.6875</v>
      </c>
    </row>
    <row r="165">
      <c r="A165" s="794">
        <v>708.0</v>
      </c>
      <c r="B165" s="794">
        <v>0.9269</v>
      </c>
    </row>
    <row r="166">
      <c r="A166" s="794">
        <v>709.0</v>
      </c>
      <c r="B166" s="794">
        <v>1.3356</v>
      </c>
    </row>
    <row r="167">
      <c r="A167" s="794">
        <v>710.0</v>
      </c>
      <c r="B167" s="794">
        <v>1.0179</v>
      </c>
    </row>
    <row r="168">
      <c r="A168" s="794">
        <v>711.0</v>
      </c>
      <c r="B168" s="794">
        <v>0.6673</v>
      </c>
    </row>
    <row r="169">
      <c r="A169" s="794">
        <v>712.0</v>
      </c>
      <c r="B169" s="794">
        <v>1.0716</v>
      </c>
    </row>
    <row r="170">
      <c r="A170" s="794">
        <v>713.0</v>
      </c>
      <c r="B170" s="794">
        <v>0.9542</v>
      </c>
    </row>
    <row r="171">
      <c r="A171" s="794">
        <v>714.0</v>
      </c>
      <c r="B171" s="794">
        <v>0.6449</v>
      </c>
    </row>
    <row r="172">
      <c r="A172" s="794">
        <v>715.0</v>
      </c>
      <c r="B172" s="794">
        <v>0.8913</v>
      </c>
    </row>
    <row r="173">
      <c r="A173" s="794">
        <v>716.0</v>
      </c>
      <c r="B173" s="794">
        <v>0.8559</v>
      </c>
    </row>
    <row r="174">
      <c r="A174" s="794">
        <v>717.0</v>
      </c>
      <c r="B174" s="794">
        <v>0.8834</v>
      </c>
    </row>
    <row r="175">
      <c r="A175" s="794">
        <v>718.0</v>
      </c>
      <c r="B175" s="794">
        <v>0.8827</v>
      </c>
    </row>
    <row r="176">
      <c r="A176" s="794">
        <v>801.0</v>
      </c>
      <c r="B176" s="794">
        <v>0.64</v>
      </c>
    </row>
    <row r="177">
      <c r="A177" s="794">
        <v>802.0</v>
      </c>
      <c r="B177" s="794">
        <v>0.75</v>
      </c>
    </row>
    <row r="178">
      <c r="A178" s="794">
        <v>803.0</v>
      </c>
      <c r="B178" s="794">
        <v>0.54</v>
      </c>
    </row>
    <row r="179">
      <c r="A179" s="794">
        <v>804.0</v>
      </c>
      <c r="B179" s="794">
        <v>1.15</v>
      </c>
    </row>
    <row r="180">
      <c r="A180" s="794">
        <v>805.0</v>
      </c>
      <c r="B180" s="794">
        <v>1.15</v>
      </c>
    </row>
    <row r="181">
      <c r="A181" s="794">
        <v>806.0</v>
      </c>
      <c r="B181" s="794">
        <v>1.15</v>
      </c>
    </row>
    <row r="182">
      <c r="A182" s="794">
        <v>807.0</v>
      </c>
      <c r="B182" s="794">
        <v>1.15</v>
      </c>
    </row>
    <row r="183">
      <c r="A183" s="794">
        <v>808.0</v>
      </c>
      <c r="B183" s="794">
        <v>1.15</v>
      </c>
    </row>
    <row r="184">
      <c r="A184" s="794">
        <v>809.0</v>
      </c>
      <c r="B184" s="794">
        <v>1.29</v>
      </c>
    </row>
    <row r="185">
      <c r="A185" s="794">
        <v>810.0</v>
      </c>
      <c r="B185" s="794">
        <v>0.59</v>
      </c>
    </row>
    <row r="186">
      <c r="A186" s="794">
        <v>811.0</v>
      </c>
      <c r="B186" s="794">
        <v>1.11</v>
      </c>
    </row>
    <row r="187">
      <c r="A187" s="794">
        <v>812.0</v>
      </c>
      <c r="B187" s="794">
        <v>1.13</v>
      </c>
    </row>
    <row r="188">
      <c r="A188" s="794">
        <v>813.0</v>
      </c>
      <c r="B188" s="794">
        <v>1.4</v>
      </c>
    </row>
    <row r="189">
      <c r="A189" s="794">
        <v>901.0</v>
      </c>
      <c r="B189" s="794">
        <v>1.02</v>
      </c>
    </row>
    <row r="190">
      <c r="A190" s="794">
        <v>902.0</v>
      </c>
      <c r="B190" s="794">
        <v>0.62</v>
      </c>
    </row>
    <row r="191">
      <c r="A191" s="794">
        <v>903.0</v>
      </c>
      <c r="B191" s="794">
        <v>0.81</v>
      </c>
    </row>
    <row r="192">
      <c r="A192" s="794">
        <v>904.0</v>
      </c>
      <c r="B192" s="794">
        <v>0.96</v>
      </c>
    </row>
    <row r="193">
      <c r="A193" s="794">
        <v>905.0</v>
      </c>
      <c r="B193" s="794">
        <v>0.91</v>
      </c>
    </row>
    <row r="194">
      <c r="A194" s="794">
        <v>906.0</v>
      </c>
      <c r="B194" s="794">
        <v>0.68</v>
      </c>
    </row>
    <row r="195">
      <c r="A195" s="794">
        <v>907.0</v>
      </c>
      <c r="B195" s="794">
        <v>0.64</v>
      </c>
    </row>
    <row r="196">
      <c r="A196" s="794">
        <v>908.0</v>
      </c>
      <c r="B196" s="794">
        <v>0.67</v>
      </c>
    </row>
    <row r="197">
      <c r="A197" s="794">
        <v>909.0</v>
      </c>
      <c r="B197" s="794">
        <v>0.72</v>
      </c>
    </row>
    <row r="198">
      <c r="A198" s="794">
        <v>910.0</v>
      </c>
      <c r="B198" s="794">
        <v>1.17</v>
      </c>
    </row>
    <row r="199">
      <c r="A199" s="794">
        <v>911.0</v>
      </c>
      <c r="B199" s="794">
        <v>0.6</v>
      </c>
    </row>
    <row r="200">
      <c r="A200" s="794">
        <v>912.0</v>
      </c>
      <c r="B200" s="794">
        <v>0.62</v>
      </c>
    </row>
    <row r="201">
      <c r="A201" s="794">
        <v>913.0</v>
      </c>
      <c r="B201" s="794">
        <v>0.41</v>
      </c>
    </row>
    <row r="202">
      <c r="A202" s="794">
        <v>914.0</v>
      </c>
      <c r="B202" s="794">
        <v>0.65</v>
      </c>
    </row>
    <row r="203">
      <c r="A203" s="794">
        <v>915.0</v>
      </c>
      <c r="B203" s="794">
        <v>0.56</v>
      </c>
    </row>
    <row r="204">
      <c r="A204" s="794">
        <v>916.0</v>
      </c>
      <c r="B204" s="794">
        <v>0.55</v>
      </c>
    </row>
    <row r="205">
      <c r="A205" s="794">
        <v>917.0</v>
      </c>
      <c r="B205" s="794">
        <v>0.48</v>
      </c>
    </row>
    <row r="206">
      <c r="A206" s="794">
        <v>918.0</v>
      </c>
      <c r="B206" s="794">
        <v>0.53</v>
      </c>
    </row>
    <row r="207">
      <c r="A207" s="794">
        <v>919.0</v>
      </c>
      <c r="B207" s="794">
        <v>0.58</v>
      </c>
    </row>
    <row r="208">
      <c r="A208" s="794">
        <v>920.0</v>
      </c>
      <c r="B208" s="794">
        <v>0.59</v>
      </c>
    </row>
    <row r="209">
      <c r="A209" s="794">
        <v>921.0</v>
      </c>
      <c r="B209" s="794">
        <v>0.64</v>
      </c>
    </row>
    <row r="210">
      <c r="A210" s="794">
        <v>1001.0</v>
      </c>
      <c r="B210" s="794">
        <v>0.94</v>
      </c>
    </row>
    <row r="211">
      <c r="A211" s="794">
        <v>1002.0</v>
      </c>
      <c r="B211" s="794">
        <v>0.99</v>
      </c>
    </row>
    <row r="212">
      <c r="A212" s="794">
        <v>1003.0</v>
      </c>
      <c r="B212" s="794">
        <v>1.26</v>
      </c>
    </row>
    <row r="213">
      <c r="A213" s="794">
        <v>1004.0</v>
      </c>
      <c r="B213" s="794">
        <v>1.52</v>
      </c>
    </row>
    <row r="214">
      <c r="A214" s="794">
        <v>1005.0</v>
      </c>
      <c r="B214" s="794">
        <v>1.11</v>
      </c>
    </row>
    <row r="215">
      <c r="A215" s="794">
        <v>1006.0</v>
      </c>
      <c r="B215" s="794">
        <v>1.17</v>
      </c>
    </row>
    <row r="216">
      <c r="A216" s="794">
        <v>1007.0</v>
      </c>
      <c r="B216" s="794">
        <v>0.7449</v>
      </c>
    </row>
    <row r="217">
      <c r="A217" s="794">
        <v>1101.0</v>
      </c>
      <c r="B217" s="794">
        <v>1.2</v>
      </c>
    </row>
    <row r="218">
      <c r="A218" s="794">
        <v>1102.0</v>
      </c>
      <c r="B218" s="794">
        <v>1.03</v>
      </c>
    </row>
    <row r="219">
      <c r="A219" s="794">
        <v>1103.0</v>
      </c>
      <c r="B219" s="794">
        <v>1.0</v>
      </c>
    </row>
    <row r="220">
      <c r="A220" s="794">
        <v>1104.0</v>
      </c>
      <c r="B220" s="794">
        <v>0.97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outlineLevelRow="1"/>
  <cols>
    <col customWidth="1" min="1" max="1" width="44.63"/>
    <col customWidth="1" min="2" max="2" width="33.25"/>
    <col customWidth="1" min="3" max="3" width="18.5"/>
  </cols>
  <sheetData>
    <row r="12">
      <c r="D12" s="794" t="s">
        <v>434</v>
      </c>
    </row>
    <row r="13">
      <c r="D13" s="794" t="s">
        <v>435</v>
      </c>
    </row>
    <row r="14">
      <c r="D14" s="796" t="s">
        <v>436</v>
      </c>
      <c r="E14" s="796" t="s">
        <v>437</v>
      </c>
      <c r="F14" s="796" t="s">
        <v>438</v>
      </c>
    </row>
    <row r="15">
      <c r="D15" s="796" t="s">
        <v>439</v>
      </c>
      <c r="E15" s="796">
        <v>481.0</v>
      </c>
      <c r="F15" s="798">
        <f t="shared" ref="F15:F16" si="1">E15*165.76</f>
        <v>79730.56</v>
      </c>
    </row>
    <row r="16">
      <c r="D16" s="796" t="s">
        <v>440</v>
      </c>
      <c r="E16" s="796">
        <v>41.0</v>
      </c>
      <c r="F16" s="798">
        <f t="shared" si="1"/>
        <v>6796.16</v>
      </c>
    </row>
    <row r="17">
      <c r="E17" s="794" t="s">
        <v>11</v>
      </c>
      <c r="F17" s="1">
        <f>SUM(F14:F16)</f>
        <v>86526.72</v>
      </c>
    </row>
    <row r="18">
      <c r="E18" s="794" t="s">
        <v>441</v>
      </c>
      <c r="F18" s="1">
        <f>F17-86526.72</f>
        <v>0</v>
      </c>
    </row>
    <row r="20">
      <c r="D20" s="794" t="s">
        <v>442</v>
      </c>
    </row>
    <row r="21">
      <c r="D21" s="796" t="s">
        <v>436</v>
      </c>
      <c r="E21" s="796" t="s">
        <v>437</v>
      </c>
      <c r="F21" s="796" t="s">
        <v>438</v>
      </c>
    </row>
    <row r="22">
      <c r="D22" s="796" t="s">
        <v>443</v>
      </c>
      <c r="E22" s="796">
        <v>103.0</v>
      </c>
      <c r="F22" s="798">
        <f t="shared" ref="F22:F26" si="2">E22*165.76</f>
        <v>17073.28</v>
      </c>
    </row>
    <row r="23">
      <c r="D23" s="796" t="s">
        <v>444</v>
      </c>
      <c r="E23" s="796">
        <v>300.0</v>
      </c>
      <c r="F23" s="798">
        <f t="shared" si="2"/>
        <v>49728</v>
      </c>
    </row>
    <row r="24">
      <c r="D24" s="796" t="s">
        <v>112</v>
      </c>
      <c r="E24" s="796">
        <v>559.0</v>
      </c>
      <c r="F24" s="798">
        <f t="shared" si="2"/>
        <v>92659.84</v>
      </c>
    </row>
    <row r="25">
      <c r="D25" s="796" t="s">
        <v>445</v>
      </c>
      <c r="E25" s="796">
        <v>62.0</v>
      </c>
      <c r="F25" s="798">
        <f t="shared" si="2"/>
        <v>10277.12</v>
      </c>
    </row>
    <row r="26">
      <c r="D26" s="799" t="s">
        <v>446</v>
      </c>
      <c r="E26" s="799">
        <v>13.0</v>
      </c>
      <c r="F26" s="798">
        <f t="shared" si="2"/>
        <v>2154.88</v>
      </c>
    </row>
    <row r="27">
      <c r="D27" s="800" t="s">
        <v>33</v>
      </c>
      <c r="E27" s="44"/>
      <c r="F27" s="798">
        <f>SUM(F22:F26)</f>
        <v>171893.12</v>
      </c>
    </row>
    <row r="28">
      <c r="D28" s="794" t="s">
        <v>447</v>
      </c>
      <c r="F28" s="798">
        <f>F27-171893.12</f>
        <v>0</v>
      </c>
    </row>
    <row r="149">
      <c r="A149" s="802"/>
      <c r="B149" s="802"/>
      <c r="C149" s="802"/>
      <c r="D149" s="802"/>
      <c r="E149" s="802"/>
      <c r="F149" s="802"/>
    </row>
    <row r="150">
      <c r="A150" s="803"/>
      <c r="B150" s="804"/>
      <c r="C150" s="804"/>
      <c r="D150" s="803"/>
      <c r="E150" s="803"/>
      <c r="F150" s="803"/>
      <c r="G150" s="805"/>
    </row>
    <row r="151">
      <c r="A151" s="803"/>
      <c r="B151" s="804"/>
      <c r="C151" s="804"/>
      <c r="D151" s="803"/>
      <c r="E151" s="803"/>
      <c r="F151" s="803"/>
      <c r="G151" s="805"/>
    </row>
    <row r="152">
      <c r="A152" s="803"/>
      <c r="B152" s="804"/>
      <c r="C152" s="804"/>
      <c r="D152" s="803"/>
      <c r="E152" s="803"/>
      <c r="F152" s="803"/>
      <c r="G152" s="805"/>
    </row>
    <row r="153">
      <c r="A153" s="803"/>
      <c r="B153" s="804"/>
      <c r="C153" s="804"/>
      <c r="D153" s="803"/>
      <c r="E153" s="803"/>
      <c r="F153" s="803"/>
      <c r="G153" s="805"/>
    </row>
    <row r="154">
      <c r="A154" s="803"/>
      <c r="B154" s="804"/>
      <c r="C154" s="804"/>
      <c r="D154" s="803"/>
      <c r="E154" s="803"/>
      <c r="F154" s="803"/>
      <c r="G154" s="805"/>
    </row>
    <row r="155">
      <c r="A155" s="803"/>
      <c r="B155" s="804"/>
      <c r="C155" s="804"/>
      <c r="D155" s="803"/>
      <c r="E155" s="803"/>
      <c r="F155" s="803"/>
      <c r="G155" s="805"/>
    </row>
    <row r="156">
      <c r="A156" s="803"/>
      <c r="B156" s="804"/>
      <c r="C156" s="804"/>
      <c r="D156" s="803"/>
      <c r="E156" s="803"/>
      <c r="F156" s="803"/>
      <c r="G156" s="805"/>
    </row>
    <row r="157">
      <c r="A157" s="803"/>
      <c r="B157" s="804"/>
      <c r="C157" s="804"/>
      <c r="D157" s="803"/>
      <c r="E157" s="803"/>
      <c r="F157" s="803"/>
      <c r="G157" s="805"/>
    </row>
    <row r="158">
      <c r="A158" s="803"/>
      <c r="B158" s="804"/>
      <c r="C158" s="804"/>
      <c r="D158" s="803"/>
      <c r="E158" s="803"/>
      <c r="F158" s="803"/>
      <c r="G158" s="805"/>
    </row>
    <row r="159">
      <c r="A159" s="803"/>
      <c r="B159" s="804"/>
      <c r="C159" s="804"/>
      <c r="D159" s="803"/>
      <c r="E159" s="803"/>
      <c r="F159" s="803"/>
      <c r="G159" s="805"/>
    </row>
    <row r="160">
      <c r="A160" s="803"/>
      <c r="B160" s="804"/>
      <c r="C160" s="804"/>
      <c r="D160" s="803"/>
      <c r="E160" s="803"/>
      <c r="F160" s="803"/>
      <c r="G160" s="805"/>
    </row>
    <row r="161">
      <c r="A161" s="803"/>
      <c r="B161" s="804"/>
      <c r="C161" s="804"/>
      <c r="D161" s="803"/>
      <c r="E161" s="803"/>
      <c r="F161" s="803"/>
      <c r="G161" s="805"/>
    </row>
    <row r="162">
      <c r="A162" s="803"/>
      <c r="B162" s="804"/>
      <c r="C162" s="804"/>
      <c r="D162" s="803"/>
      <c r="E162" s="803"/>
      <c r="F162" s="803"/>
      <c r="G162" s="805"/>
    </row>
    <row r="163">
      <c r="A163" s="803"/>
      <c r="B163" s="804"/>
      <c r="C163" s="804"/>
      <c r="D163" s="803"/>
      <c r="E163" s="803"/>
      <c r="F163" s="803"/>
      <c r="G163" s="805"/>
    </row>
    <row r="164">
      <c r="A164" s="803"/>
      <c r="B164" s="804"/>
      <c r="C164" s="804"/>
      <c r="D164" s="803"/>
      <c r="E164" s="803"/>
      <c r="F164" s="803"/>
      <c r="G164" s="805"/>
    </row>
    <row r="165">
      <c r="A165" s="803"/>
      <c r="B165" s="804"/>
      <c r="C165" s="804"/>
      <c r="D165" s="803"/>
      <c r="E165" s="803"/>
      <c r="F165" s="803"/>
      <c r="G165" s="805"/>
    </row>
    <row r="166">
      <c r="A166" s="803"/>
      <c r="B166" s="804"/>
      <c r="C166" s="804"/>
      <c r="D166" s="803"/>
      <c r="E166" s="803"/>
      <c r="F166" s="803"/>
      <c r="G166" s="805"/>
    </row>
    <row r="167">
      <c r="A167" s="803"/>
      <c r="B167" s="804"/>
      <c r="C167" s="804"/>
      <c r="D167" s="803"/>
      <c r="E167" s="803"/>
      <c r="F167" s="803"/>
      <c r="G167" s="805"/>
    </row>
    <row r="168">
      <c r="A168" s="803"/>
      <c r="B168" s="804"/>
      <c r="C168" s="804"/>
      <c r="D168" s="803"/>
      <c r="E168" s="803"/>
      <c r="F168" s="803"/>
      <c r="G168" s="805"/>
    </row>
    <row r="169">
      <c r="A169" s="803"/>
      <c r="B169" s="804"/>
      <c r="C169" s="804"/>
      <c r="D169" s="803"/>
      <c r="E169" s="803"/>
      <c r="F169" s="803"/>
      <c r="G169" s="805"/>
    </row>
    <row r="170">
      <c r="A170" s="803"/>
      <c r="B170" s="804"/>
      <c r="C170" s="804"/>
      <c r="D170" s="803"/>
      <c r="E170" s="803"/>
      <c r="F170" s="803"/>
      <c r="G170" s="805"/>
    </row>
    <row r="171">
      <c r="A171" s="803"/>
      <c r="B171" s="804"/>
      <c r="C171" s="804"/>
      <c r="D171" s="803"/>
      <c r="E171" s="803"/>
      <c r="F171" s="803"/>
      <c r="G171" s="805"/>
    </row>
    <row r="172">
      <c r="A172" s="803"/>
      <c r="B172" s="804"/>
      <c r="C172" s="804"/>
      <c r="D172" s="803"/>
      <c r="E172" s="803"/>
      <c r="F172" s="803"/>
      <c r="G172" s="805"/>
    </row>
    <row r="173">
      <c r="A173" s="803"/>
      <c r="B173" s="804"/>
      <c r="C173" s="804"/>
      <c r="D173" s="803"/>
      <c r="E173" s="803"/>
      <c r="F173" s="803"/>
      <c r="G173" s="805"/>
    </row>
    <row r="174">
      <c r="A174" s="803"/>
      <c r="B174" s="804"/>
      <c r="C174" s="804"/>
      <c r="D174" s="803"/>
      <c r="E174" s="803"/>
      <c r="F174" s="803"/>
      <c r="G174" s="805"/>
    </row>
    <row r="175">
      <c r="A175" s="803"/>
      <c r="B175" s="804"/>
      <c r="C175" s="804"/>
      <c r="D175" s="803"/>
      <c r="E175" s="803"/>
      <c r="F175" s="803"/>
      <c r="G175" s="805"/>
    </row>
    <row r="176">
      <c r="A176" s="803"/>
      <c r="B176" s="804"/>
      <c r="C176" s="804"/>
      <c r="D176" s="803"/>
      <c r="E176" s="803"/>
      <c r="F176" s="803"/>
      <c r="G176" s="805"/>
    </row>
    <row r="177">
      <c r="A177" s="803"/>
      <c r="B177" s="804"/>
      <c r="C177" s="804"/>
      <c r="D177" s="803"/>
      <c r="E177" s="803"/>
      <c r="F177" s="803"/>
      <c r="G177" s="805"/>
    </row>
    <row r="178">
      <c r="A178" s="803"/>
      <c r="B178" s="804"/>
      <c r="C178" s="804"/>
      <c r="D178" s="803"/>
      <c r="E178" s="803"/>
      <c r="F178" s="803"/>
      <c r="G178" s="805"/>
    </row>
    <row r="179">
      <c r="A179" s="803"/>
      <c r="B179" s="804"/>
      <c r="C179" s="804"/>
      <c r="D179" s="803"/>
      <c r="E179" s="803"/>
      <c r="F179" s="803"/>
      <c r="G179" s="805"/>
    </row>
    <row r="180">
      <c r="A180" s="803"/>
      <c r="B180" s="804"/>
      <c r="C180" s="804"/>
      <c r="D180" s="803"/>
      <c r="E180" s="803"/>
      <c r="F180" s="803"/>
      <c r="G180" s="805"/>
    </row>
    <row r="181">
      <c r="A181" s="803"/>
      <c r="B181" s="804"/>
      <c r="C181" s="804"/>
      <c r="D181" s="803"/>
      <c r="E181" s="803"/>
      <c r="F181" s="803"/>
      <c r="G181" s="805"/>
    </row>
    <row r="182">
      <c r="A182" s="803"/>
      <c r="B182" s="804"/>
      <c r="C182" s="804"/>
      <c r="D182" s="803"/>
      <c r="E182" s="803"/>
      <c r="F182" s="803"/>
      <c r="G182" s="805"/>
    </row>
    <row r="183">
      <c r="A183" s="803"/>
      <c r="B183" s="804"/>
      <c r="C183" s="804"/>
      <c r="D183" s="803"/>
      <c r="E183" s="803"/>
      <c r="F183" s="803"/>
      <c r="G183" s="805"/>
    </row>
    <row r="184">
      <c r="A184" s="803"/>
      <c r="B184" s="804"/>
      <c r="C184" s="804"/>
      <c r="D184" s="803"/>
      <c r="E184" s="803"/>
      <c r="F184" s="803"/>
      <c r="G184" s="805"/>
    </row>
    <row r="185">
      <c r="A185" s="803"/>
      <c r="B185" s="804"/>
      <c r="C185" s="804"/>
      <c r="D185" s="803"/>
      <c r="E185" s="803"/>
      <c r="F185" s="803"/>
      <c r="G185" s="805"/>
    </row>
    <row r="186">
      <c r="A186" s="803"/>
      <c r="B186" s="804"/>
      <c r="C186" s="804"/>
      <c r="D186" s="803"/>
      <c r="E186" s="803"/>
      <c r="F186" s="803"/>
      <c r="G186" s="805"/>
    </row>
    <row r="187">
      <c r="A187" s="803"/>
      <c r="B187" s="804"/>
      <c r="C187" s="804"/>
      <c r="D187" s="803"/>
      <c r="E187" s="803"/>
      <c r="F187" s="803"/>
      <c r="G187" s="805"/>
    </row>
    <row r="188">
      <c r="A188" s="803"/>
      <c r="B188" s="804"/>
      <c r="C188" s="804"/>
      <c r="D188" s="803"/>
      <c r="E188" s="803"/>
      <c r="F188" s="803"/>
      <c r="G188" s="805"/>
    </row>
    <row r="189">
      <c r="A189" s="803"/>
      <c r="B189" s="804"/>
      <c r="C189" s="804"/>
      <c r="D189" s="803"/>
      <c r="E189" s="803"/>
      <c r="F189" s="803"/>
      <c r="G189" s="805"/>
    </row>
    <row r="190">
      <c r="A190" s="803"/>
      <c r="B190" s="804"/>
      <c r="C190" s="804"/>
      <c r="D190" s="803"/>
      <c r="E190" s="803"/>
      <c r="F190" s="803"/>
      <c r="G190" s="805"/>
    </row>
    <row r="191">
      <c r="A191" s="803"/>
      <c r="B191" s="804"/>
      <c r="C191" s="804"/>
      <c r="D191" s="803"/>
      <c r="E191" s="803"/>
      <c r="F191" s="803"/>
      <c r="G191" s="805"/>
    </row>
    <row r="192">
      <c r="A192" s="803"/>
      <c r="B192" s="804"/>
      <c r="C192" s="804"/>
      <c r="D192" s="803"/>
      <c r="E192" s="803"/>
      <c r="F192" s="803"/>
      <c r="G192" s="805"/>
    </row>
    <row r="193">
      <c r="A193" s="803"/>
      <c r="B193" s="804"/>
      <c r="C193" s="804"/>
      <c r="D193" s="803"/>
      <c r="E193" s="803"/>
      <c r="F193" s="803"/>
      <c r="G193" s="805"/>
    </row>
    <row r="194">
      <c r="A194" s="803"/>
      <c r="B194" s="804"/>
      <c r="C194" s="804"/>
      <c r="D194" s="803"/>
      <c r="E194" s="803"/>
      <c r="F194" s="803"/>
      <c r="G194" s="805"/>
    </row>
    <row r="195">
      <c r="A195" s="803"/>
      <c r="B195" s="804"/>
      <c r="C195" s="804"/>
      <c r="D195" s="803"/>
      <c r="E195" s="803"/>
      <c r="F195" s="803"/>
      <c r="G195" s="805"/>
    </row>
    <row r="196">
      <c r="A196" s="803"/>
      <c r="B196" s="804"/>
      <c r="C196" s="804"/>
      <c r="D196" s="803"/>
      <c r="E196" s="803"/>
      <c r="F196" s="803"/>
      <c r="G196" s="805"/>
    </row>
    <row r="197">
      <c r="A197" s="803"/>
      <c r="B197" s="804"/>
      <c r="C197" s="804"/>
      <c r="D197" s="803"/>
      <c r="E197" s="803"/>
      <c r="F197" s="803"/>
      <c r="G197" s="805"/>
    </row>
    <row r="198">
      <c r="A198" s="803"/>
      <c r="B198" s="804"/>
      <c r="C198" s="804"/>
      <c r="D198" s="803"/>
      <c r="E198" s="803"/>
      <c r="F198" s="803"/>
      <c r="G198" s="805"/>
    </row>
    <row r="199">
      <c r="A199" s="803"/>
      <c r="B199" s="804"/>
      <c r="C199" s="804"/>
      <c r="D199" s="803"/>
      <c r="E199" s="803"/>
      <c r="F199" s="803"/>
      <c r="G199" s="805"/>
    </row>
    <row r="200">
      <c r="A200" s="803"/>
      <c r="B200" s="804"/>
      <c r="C200" s="804"/>
      <c r="D200" s="803"/>
      <c r="E200" s="803"/>
      <c r="F200" s="803"/>
      <c r="G200" s="805"/>
    </row>
    <row r="201">
      <c r="A201" s="803"/>
      <c r="B201" s="804"/>
      <c r="C201" s="804"/>
      <c r="D201" s="803"/>
      <c r="E201" s="803"/>
      <c r="F201" s="803"/>
      <c r="G201" s="805"/>
    </row>
    <row r="202">
      <c r="A202" s="803"/>
      <c r="B202" s="804"/>
      <c r="C202" s="804"/>
      <c r="D202" s="803"/>
      <c r="E202" s="803"/>
      <c r="F202" s="803"/>
      <c r="G202" s="805"/>
    </row>
    <row r="203">
      <c r="A203" s="803"/>
      <c r="B203" s="804"/>
      <c r="C203" s="804"/>
      <c r="D203" s="803"/>
      <c r="E203" s="803"/>
      <c r="F203" s="803"/>
      <c r="G203" s="805"/>
    </row>
    <row r="204">
      <c r="A204" s="803"/>
      <c r="B204" s="804"/>
      <c r="C204" s="804"/>
      <c r="D204" s="803"/>
      <c r="E204" s="803"/>
      <c r="F204" s="803"/>
      <c r="G204" s="805"/>
    </row>
    <row r="205">
      <c r="A205" s="803"/>
      <c r="B205" s="804"/>
      <c r="C205" s="804"/>
      <c r="D205" s="803"/>
      <c r="E205" s="803"/>
      <c r="F205" s="803"/>
      <c r="G205" s="805"/>
    </row>
    <row r="206">
      <c r="A206" s="803"/>
      <c r="B206" s="804"/>
      <c r="C206" s="804"/>
      <c r="D206" s="803"/>
      <c r="E206" s="803"/>
      <c r="F206" s="803"/>
      <c r="G206" s="805"/>
    </row>
    <row r="207">
      <c r="A207" s="803"/>
      <c r="B207" s="804"/>
      <c r="C207" s="804"/>
      <c r="D207" s="803"/>
      <c r="E207" s="803"/>
      <c r="F207" s="803"/>
      <c r="G207" s="805"/>
    </row>
    <row r="208">
      <c r="A208" s="803"/>
      <c r="B208" s="804"/>
      <c r="C208" s="804"/>
      <c r="D208" s="803"/>
      <c r="E208" s="803"/>
      <c r="F208" s="803"/>
      <c r="G208" s="805"/>
    </row>
    <row r="209">
      <c r="A209" s="803"/>
      <c r="B209" s="804"/>
      <c r="C209" s="804"/>
      <c r="D209" s="803"/>
      <c r="E209" s="803"/>
      <c r="F209" s="803"/>
      <c r="G209" s="805"/>
    </row>
    <row r="210">
      <c r="A210" s="803"/>
      <c r="B210" s="804"/>
      <c r="C210" s="804"/>
      <c r="D210" s="803"/>
      <c r="E210" s="803"/>
      <c r="F210" s="803"/>
      <c r="G210" s="805"/>
    </row>
    <row r="211">
      <c r="A211" s="803"/>
      <c r="B211" s="804"/>
      <c r="C211" s="804"/>
      <c r="D211" s="803"/>
      <c r="E211" s="803"/>
      <c r="F211" s="803"/>
      <c r="G211" s="805"/>
    </row>
    <row r="212">
      <c r="A212" s="803"/>
      <c r="B212" s="804"/>
      <c r="C212" s="804"/>
      <c r="D212" s="803"/>
      <c r="E212" s="803"/>
      <c r="F212" s="803"/>
      <c r="G212" s="805"/>
    </row>
    <row r="213">
      <c r="A213" s="803"/>
      <c r="B213" s="804"/>
      <c r="C213" s="804"/>
      <c r="D213" s="803"/>
      <c r="E213" s="803"/>
      <c r="F213" s="803"/>
      <c r="G213" s="805"/>
    </row>
    <row r="214">
      <c r="A214" s="803"/>
      <c r="B214" s="804"/>
      <c r="C214" s="804"/>
      <c r="D214" s="803"/>
      <c r="E214" s="803"/>
      <c r="F214" s="803"/>
      <c r="G214" s="805"/>
    </row>
    <row r="215">
      <c r="A215" s="803"/>
      <c r="B215" s="804"/>
      <c r="C215" s="804"/>
      <c r="D215" s="803"/>
      <c r="E215" s="803"/>
      <c r="F215" s="803"/>
      <c r="G215" s="805"/>
    </row>
    <row r="216">
      <c r="A216" s="803"/>
      <c r="B216" s="804"/>
      <c r="C216" s="804"/>
      <c r="D216" s="803"/>
      <c r="E216" s="803"/>
      <c r="F216" s="803"/>
      <c r="G216" s="805"/>
    </row>
    <row r="217">
      <c r="A217" s="803"/>
      <c r="B217" s="804"/>
      <c r="C217" s="804"/>
      <c r="D217" s="803"/>
      <c r="E217" s="803"/>
      <c r="F217" s="803"/>
      <c r="G217" s="805"/>
    </row>
    <row r="218">
      <c r="A218" s="803"/>
      <c r="B218" s="804"/>
      <c r="C218" s="804"/>
      <c r="D218" s="803"/>
      <c r="E218" s="803"/>
      <c r="F218" s="803"/>
      <c r="G218" s="805"/>
    </row>
    <row r="219">
      <c r="A219" s="803"/>
      <c r="B219" s="804"/>
      <c r="C219" s="804"/>
      <c r="D219" s="803"/>
      <c r="E219" s="803"/>
      <c r="F219" s="803"/>
      <c r="G219" s="805"/>
    </row>
    <row r="220">
      <c r="A220" s="803"/>
      <c r="B220" s="804"/>
      <c r="C220" s="804"/>
      <c r="D220" s="803"/>
      <c r="E220" s="803"/>
      <c r="F220" s="803"/>
      <c r="G220" s="805"/>
    </row>
    <row r="221">
      <c r="A221" s="803"/>
      <c r="B221" s="804"/>
      <c r="C221" s="804"/>
      <c r="D221" s="803"/>
      <c r="E221" s="803"/>
      <c r="F221" s="803"/>
      <c r="G221" s="805"/>
    </row>
    <row r="222">
      <c r="A222" s="803"/>
      <c r="B222" s="804"/>
      <c r="C222" s="804"/>
      <c r="D222" s="803"/>
      <c r="E222" s="803"/>
      <c r="F222" s="803"/>
      <c r="G222" s="805"/>
    </row>
    <row r="223">
      <c r="A223" s="803"/>
      <c r="B223" s="804"/>
      <c r="C223" s="804"/>
      <c r="D223" s="803"/>
      <c r="E223" s="803"/>
      <c r="F223" s="803"/>
      <c r="G223" s="805"/>
    </row>
    <row r="224">
      <c r="A224" s="803"/>
      <c r="B224" s="804"/>
      <c r="C224" s="804"/>
      <c r="D224" s="803"/>
      <c r="E224" s="803"/>
      <c r="F224" s="803"/>
      <c r="G224" s="805"/>
    </row>
    <row r="225">
      <c r="A225" s="803"/>
      <c r="B225" s="804"/>
      <c r="C225" s="804"/>
      <c r="D225" s="803"/>
      <c r="E225" s="803"/>
      <c r="F225" s="803"/>
      <c r="G225" s="805"/>
    </row>
    <row r="226">
      <c r="A226" s="803"/>
      <c r="B226" s="804"/>
      <c r="C226" s="804"/>
      <c r="D226" s="803"/>
      <c r="E226" s="803"/>
      <c r="F226" s="803"/>
      <c r="G226" s="805"/>
    </row>
    <row r="227">
      <c r="A227" s="803"/>
      <c r="B227" s="804"/>
      <c r="C227" s="804"/>
      <c r="D227" s="803"/>
      <c r="E227" s="803"/>
      <c r="F227" s="803"/>
      <c r="G227" s="805"/>
    </row>
    <row r="228">
      <c r="A228" s="803"/>
      <c r="B228" s="804"/>
      <c r="C228" s="804"/>
      <c r="D228" s="803"/>
      <c r="E228" s="803"/>
      <c r="F228" s="803"/>
      <c r="G228" s="805"/>
    </row>
    <row r="229">
      <c r="A229" s="803"/>
      <c r="B229" s="804"/>
      <c r="C229" s="804"/>
      <c r="D229" s="803"/>
      <c r="E229" s="803"/>
      <c r="F229" s="803"/>
      <c r="G229" s="805"/>
    </row>
    <row r="230">
      <c r="A230" s="803"/>
      <c r="B230" s="804"/>
      <c r="C230" s="804"/>
      <c r="D230" s="803"/>
      <c r="E230" s="803"/>
      <c r="F230" s="803"/>
      <c r="G230" s="805"/>
    </row>
    <row r="234">
      <c r="A234" s="807"/>
      <c r="B234" s="807"/>
      <c r="C234" s="807"/>
      <c r="D234" s="807"/>
    </row>
    <row r="235">
      <c r="A235" s="808"/>
      <c r="B235" s="809"/>
      <c r="C235" s="809"/>
      <c r="D235" s="810"/>
      <c r="M235" s="794" t="s">
        <v>449</v>
      </c>
      <c r="N235" s="794" t="s">
        <v>450</v>
      </c>
      <c r="O235" s="794" t="s">
        <v>451</v>
      </c>
      <c r="P235" s="794" t="s">
        <v>452</v>
      </c>
      <c r="Q235" s="794" t="s">
        <v>453</v>
      </c>
    </row>
    <row r="236">
      <c r="A236" s="808"/>
      <c r="B236" s="809"/>
      <c r="C236" s="809"/>
      <c r="D236" s="810"/>
      <c r="M236" s="794" t="s">
        <v>454</v>
      </c>
      <c r="N236" s="794" t="s">
        <v>454</v>
      </c>
      <c r="O236" s="794" t="s">
        <v>454</v>
      </c>
      <c r="P236" s="794" t="s">
        <v>454</v>
      </c>
      <c r="Q236" s="794" t="s">
        <v>454</v>
      </c>
    </row>
    <row r="237">
      <c r="A237" s="808"/>
      <c r="B237" s="809"/>
      <c r="C237" s="809"/>
      <c r="D237" s="810"/>
      <c r="M237" s="794" t="s">
        <v>455</v>
      </c>
      <c r="N237" s="794" t="s">
        <v>455</v>
      </c>
      <c r="O237" s="794" t="s">
        <v>455</v>
      </c>
      <c r="P237" s="794" t="s">
        <v>455</v>
      </c>
      <c r="Q237" s="794" t="s">
        <v>455</v>
      </c>
    </row>
    <row r="238">
      <c r="A238" s="808"/>
      <c r="B238" s="809"/>
      <c r="C238" s="809"/>
      <c r="D238" s="810"/>
      <c r="M238" s="794" t="s">
        <v>456</v>
      </c>
      <c r="N238" s="794" t="s">
        <v>456</v>
      </c>
      <c r="O238" s="794" t="s">
        <v>456</v>
      </c>
      <c r="P238" s="794" t="s">
        <v>456</v>
      </c>
      <c r="Q238" s="794" t="s">
        <v>456</v>
      </c>
    </row>
    <row r="239">
      <c r="A239" s="808"/>
      <c r="B239" s="809"/>
      <c r="C239" s="809"/>
      <c r="D239" s="810"/>
      <c r="M239" s="794" t="s">
        <v>457</v>
      </c>
      <c r="N239" s="794" t="s">
        <v>457</v>
      </c>
      <c r="P239" s="794" t="s">
        <v>457</v>
      </c>
      <c r="Q239" s="794" t="s">
        <v>457</v>
      </c>
    </row>
    <row r="240">
      <c r="A240" s="808"/>
      <c r="B240" s="809"/>
      <c r="C240" s="809"/>
      <c r="D240" s="810"/>
      <c r="M240" s="794" t="s">
        <v>458</v>
      </c>
      <c r="N240" s="794" t="s">
        <v>458</v>
      </c>
      <c r="O240" s="794" t="s">
        <v>458</v>
      </c>
      <c r="P240" s="794" t="s">
        <v>458</v>
      </c>
      <c r="Q240" s="794" t="s">
        <v>458</v>
      </c>
    </row>
    <row r="241">
      <c r="A241" s="808"/>
      <c r="B241" s="809"/>
      <c r="C241" s="809"/>
      <c r="D241" s="810"/>
      <c r="M241" s="794" t="s">
        <v>459</v>
      </c>
      <c r="N241" s="794" t="s">
        <v>459</v>
      </c>
      <c r="O241" s="794" t="s">
        <v>459</v>
      </c>
      <c r="P241" s="794" t="s">
        <v>459</v>
      </c>
      <c r="Q241" s="794" t="s">
        <v>459</v>
      </c>
    </row>
    <row r="242">
      <c r="A242" s="808"/>
      <c r="B242" s="809"/>
      <c r="C242" s="809"/>
      <c r="D242" s="810"/>
      <c r="M242" s="794" t="s">
        <v>461</v>
      </c>
      <c r="N242" s="794" t="s">
        <v>461</v>
      </c>
      <c r="O242" s="794" t="s">
        <v>461</v>
      </c>
      <c r="P242" s="794" t="s">
        <v>461</v>
      </c>
      <c r="Q242" s="794" t="s">
        <v>461</v>
      </c>
    </row>
    <row r="243">
      <c r="A243" s="808"/>
      <c r="B243" s="809"/>
      <c r="C243" s="809"/>
      <c r="D243" s="810"/>
      <c r="M243" s="794" t="s">
        <v>462</v>
      </c>
      <c r="N243" s="794" t="s">
        <v>462</v>
      </c>
      <c r="O243" s="794" t="s">
        <v>462</v>
      </c>
      <c r="P243" s="794" t="s">
        <v>462</v>
      </c>
      <c r="Q243" s="794" t="s">
        <v>462</v>
      </c>
    </row>
    <row r="244">
      <c r="A244" s="808"/>
      <c r="B244" s="809"/>
      <c r="C244" s="809"/>
      <c r="D244" s="810"/>
      <c r="M244" s="794" t="s">
        <v>463</v>
      </c>
      <c r="N244" s="794" t="s">
        <v>463</v>
      </c>
      <c r="O244" s="794" t="s">
        <v>463</v>
      </c>
      <c r="P244" s="794" t="s">
        <v>463</v>
      </c>
      <c r="Q244" s="794" t="s">
        <v>463</v>
      </c>
    </row>
    <row r="245">
      <c r="A245" s="808"/>
      <c r="B245" s="809"/>
      <c r="C245" s="809"/>
      <c r="D245" s="810"/>
      <c r="M245" s="794" t="s">
        <v>464</v>
      </c>
      <c r="N245" s="794" t="s">
        <v>464</v>
      </c>
      <c r="O245" s="794" t="s">
        <v>464</v>
      </c>
      <c r="P245" s="794" t="s">
        <v>464</v>
      </c>
      <c r="Q245" s="794" t="s">
        <v>464</v>
      </c>
    </row>
    <row r="246">
      <c r="A246" s="808"/>
      <c r="B246" s="809"/>
      <c r="C246" s="809"/>
      <c r="D246" s="810"/>
      <c r="M246" s="794" t="s">
        <v>465</v>
      </c>
      <c r="N246" s="794" t="s">
        <v>465</v>
      </c>
      <c r="O246" s="794" t="s">
        <v>465</v>
      </c>
      <c r="P246" s="794" t="s">
        <v>465</v>
      </c>
      <c r="Q246" s="794" t="s">
        <v>465</v>
      </c>
    </row>
    <row r="247">
      <c r="A247" s="808"/>
      <c r="B247" s="809"/>
      <c r="C247" s="809"/>
      <c r="D247" s="810"/>
      <c r="M247" s="794" t="s">
        <v>466</v>
      </c>
      <c r="N247" s="794" t="s">
        <v>466</v>
      </c>
      <c r="O247" s="794" t="s">
        <v>466</v>
      </c>
      <c r="P247" s="794" t="s">
        <v>466</v>
      </c>
      <c r="Q247" s="794" t="s">
        <v>466</v>
      </c>
    </row>
    <row r="248">
      <c r="A248" s="808"/>
      <c r="B248" s="809"/>
      <c r="C248" s="809"/>
      <c r="D248" s="810"/>
      <c r="M248" s="794" t="s">
        <v>467</v>
      </c>
      <c r="N248" s="794" t="s">
        <v>467</v>
      </c>
      <c r="O248" s="794" t="s">
        <v>467</v>
      </c>
      <c r="P248" s="794" t="s">
        <v>467</v>
      </c>
      <c r="Q248" s="794" t="s">
        <v>467</v>
      </c>
    </row>
    <row r="249">
      <c r="A249" s="808"/>
      <c r="B249" s="809"/>
      <c r="C249" s="809"/>
      <c r="D249" s="810"/>
      <c r="M249" s="794" t="s">
        <v>468</v>
      </c>
      <c r="N249" s="794" t="s">
        <v>468</v>
      </c>
      <c r="O249" s="794" t="s">
        <v>468</v>
      </c>
      <c r="P249" s="794" t="s">
        <v>468</v>
      </c>
      <c r="Q249" s="794" t="s">
        <v>468</v>
      </c>
    </row>
    <row r="250">
      <c r="A250" s="808"/>
      <c r="B250" s="809"/>
      <c r="C250" s="809"/>
      <c r="D250" s="810"/>
      <c r="M250" s="794" t="s">
        <v>469</v>
      </c>
      <c r="N250" s="794" t="s">
        <v>469</v>
      </c>
      <c r="O250" s="794" t="s">
        <v>469</v>
      </c>
      <c r="P250" s="794" t="s">
        <v>469</v>
      </c>
      <c r="Q250" s="794" t="s">
        <v>469</v>
      </c>
    </row>
    <row r="251">
      <c r="A251" s="808"/>
      <c r="B251" s="809"/>
      <c r="C251" s="809"/>
      <c r="D251" s="810"/>
      <c r="M251" s="794" t="s">
        <v>470</v>
      </c>
      <c r="N251" s="794" t="s">
        <v>470</v>
      </c>
      <c r="O251" s="794" t="s">
        <v>470</v>
      </c>
      <c r="P251" s="794" t="s">
        <v>470</v>
      </c>
      <c r="Q251" s="794" t="s">
        <v>470</v>
      </c>
    </row>
    <row r="252">
      <c r="A252" s="808"/>
      <c r="B252" s="809"/>
      <c r="C252" s="809"/>
      <c r="D252" s="810"/>
      <c r="M252" s="794" t="s">
        <v>471</v>
      </c>
      <c r="N252" s="794" t="s">
        <v>471</v>
      </c>
      <c r="O252" s="794" t="s">
        <v>471</v>
      </c>
      <c r="P252" s="794" t="s">
        <v>471</v>
      </c>
      <c r="Q252" s="794" t="s">
        <v>471</v>
      </c>
    </row>
    <row r="253">
      <c r="A253" s="808"/>
      <c r="B253" s="809"/>
      <c r="C253" s="809"/>
      <c r="D253" s="810"/>
      <c r="M253" s="794" t="s">
        <v>472</v>
      </c>
      <c r="N253" s="794" t="s">
        <v>472</v>
      </c>
      <c r="O253" s="794" t="s">
        <v>472</v>
      </c>
      <c r="P253" s="794" t="s">
        <v>472</v>
      </c>
      <c r="Q253" s="794" t="s">
        <v>472</v>
      </c>
    </row>
    <row r="254">
      <c r="A254" s="808"/>
      <c r="B254" s="809"/>
      <c r="C254" s="809"/>
      <c r="D254" s="810"/>
      <c r="M254" s="794" t="s">
        <v>473</v>
      </c>
      <c r="N254" s="794" t="s">
        <v>473</v>
      </c>
      <c r="O254" s="794" t="s">
        <v>473</v>
      </c>
      <c r="P254" s="794" t="s">
        <v>473</v>
      </c>
      <c r="Q254" s="794" t="s">
        <v>473</v>
      </c>
    </row>
    <row r="255">
      <c r="A255" s="808"/>
      <c r="B255" s="809"/>
      <c r="C255" s="809"/>
      <c r="D255" s="810"/>
      <c r="M255" s="794" t="s">
        <v>476</v>
      </c>
      <c r="N255" s="794" t="s">
        <v>476</v>
      </c>
      <c r="O255" s="794" t="s">
        <v>476</v>
      </c>
      <c r="P255" s="794" t="s">
        <v>476</v>
      </c>
      <c r="Q255" s="794" t="s">
        <v>476</v>
      </c>
    </row>
    <row r="256">
      <c r="A256" s="808"/>
      <c r="B256" s="809"/>
      <c r="C256" s="809"/>
      <c r="D256" s="810"/>
      <c r="M256" s="794" t="s">
        <v>477</v>
      </c>
      <c r="N256" s="794" t="s">
        <v>478</v>
      </c>
      <c r="P256" s="794" t="s">
        <v>478</v>
      </c>
      <c r="Q256" s="794" t="s">
        <v>478</v>
      </c>
    </row>
    <row r="257">
      <c r="A257" s="808"/>
      <c r="B257" s="809"/>
      <c r="C257" s="809"/>
      <c r="D257" s="810"/>
      <c r="M257" s="794" t="s">
        <v>479</v>
      </c>
      <c r="N257" s="794" t="s">
        <v>479</v>
      </c>
      <c r="O257" s="794" t="s">
        <v>479</v>
      </c>
      <c r="P257" s="794" t="s">
        <v>479</v>
      </c>
      <c r="Q257" s="794" t="s">
        <v>479</v>
      </c>
    </row>
    <row r="258">
      <c r="A258" s="808"/>
      <c r="B258" s="809"/>
      <c r="C258" s="809"/>
      <c r="D258" s="810"/>
      <c r="M258" s="794" t="s">
        <v>480</v>
      </c>
      <c r="N258" s="794" t="s">
        <v>480</v>
      </c>
      <c r="O258" s="794" t="s">
        <v>480</v>
      </c>
      <c r="P258" s="794" t="s">
        <v>480</v>
      </c>
      <c r="Q258" s="794" t="s">
        <v>480</v>
      </c>
    </row>
    <row r="259">
      <c r="A259" s="808"/>
      <c r="B259" s="809"/>
      <c r="C259" s="809"/>
      <c r="D259" s="810"/>
      <c r="M259" s="794" t="s">
        <v>481</v>
      </c>
      <c r="N259" s="794" t="s">
        <v>481</v>
      </c>
      <c r="O259" s="794" t="s">
        <v>481</v>
      </c>
      <c r="P259" s="794" t="s">
        <v>481</v>
      </c>
      <c r="Q259" s="794" t="s">
        <v>481</v>
      </c>
    </row>
    <row r="260">
      <c r="A260" s="808"/>
      <c r="B260" s="809"/>
      <c r="C260" s="809"/>
      <c r="D260" s="810"/>
      <c r="M260" s="794" t="s">
        <v>482</v>
      </c>
      <c r="N260" s="794" t="s">
        <v>482</v>
      </c>
      <c r="O260" s="794" t="s">
        <v>482</v>
      </c>
      <c r="P260" s="794" t="s">
        <v>482</v>
      </c>
      <c r="Q260" s="794" t="s">
        <v>482</v>
      </c>
    </row>
    <row r="261">
      <c r="A261" s="808"/>
      <c r="B261" s="809"/>
      <c r="C261" s="809"/>
      <c r="D261" s="810"/>
      <c r="M261" s="794" t="s">
        <v>483</v>
      </c>
      <c r="N261" s="794" t="s">
        <v>483</v>
      </c>
      <c r="O261" s="794" t="s">
        <v>483</v>
      </c>
      <c r="P261" s="794" t="s">
        <v>483</v>
      </c>
      <c r="Q261" s="794" t="s">
        <v>483</v>
      </c>
    </row>
    <row r="262">
      <c r="A262" s="808"/>
      <c r="B262" s="809"/>
      <c r="C262" s="809"/>
      <c r="D262" s="810"/>
      <c r="M262" s="794" t="s">
        <v>484</v>
      </c>
      <c r="N262" s="794" t="s">
        <v>484</v>
      </c>
      <c r="O262" s="794" t="s">
        <v>484</v>
      </c>
      <c r="P262" s="794" t="s">
        <v>484</v>
      </c>
      <c r="Q262" s="794" t="s">
        <v>484</v>
      </c>
    </row>
    <row r="263">
      <c r="A263" s="808"/>
      <c r="B263" s="809"/>
      <c r="C263" s="809"/>
      <c r="D263" s="810"/>
      <c r="M263" s="794" t="s">
        <v>485</v>
      </c>
      <c r="N263" s="794" t="s">
        <v>485</v>
      </c>
      <c r="O263" s="794" t="s">
        <v>485</v>
      </c>
      <c r="P263" s="794" t="s">
        <v>485</v>
      </c>
      <c r="Q263" s="794" t="s">
        <v>485</v>
      </c>
    </row>
    <row r="264">
      <c r="A264" s="808"/>
      <c r="B264" s="809"/>
      <c r="C264" s="809"/>
      <c r="D264" s="810"/>
      <c r="M264" s="794" t="s">
        <v>486</v>
      </c>
      <c r="N264" s="794" t="s">
        <v>486</v>
      </c>
      <c r="O264" s="794" t="s">
        <v>486</v>
      </c>
      <c r="P264" s="794" t="s">
        <v>486</v>
      </c>
      <c r="Q264" s="794" t="s">
        <v>486</v>
      </c>
    </row>
    <row r="265">
      <c r="A265" s="808"/>
      <c r="B265" s="809"/>
      <c r="C265" s="809"/>
      <c r="D265" s="810"/>
      <c r="M265" s="794" t="s">
        <v>487</v>
      </c>
      <c r="N265" s="794" t="s">
        <v>487</v>
      </c>
      <c r="O265" s="794" t="s">
        <v>487</v>
      </c>
      <c r="P265" s="794" t="s">
        <v>487</v>
      </c>
      <c r="Q265" s="794" t="s">
        <v>487</v>
      </c>
    </row>
    <row r="266">
      <c r="A266" s="808"/>
      <c r="B266" s="809"/>
      <c r="C266" s="809"/>
      <c r="D266" s="810"/>
      <c r="M266" s="794" t="s">
        <v>488</v>
      </c>
      <c r="N266" s="794" t="s">
        <v>488</v>
      </c>
      <c r="O266" s="794" t="s">
        <v>488</v>
      </c>
      <c r="P266" s="794" t="s">
        <v>488</v>
      </c>
      <c r="Q266" s="794" t="s">
        <v>488</v>
      </c>
    </row>
    <row r="267">
      <c r="A267" s="808"/>
      <c r="B267" s="809"/>
      <c r="C267" s="809"/>
      <c r="D267" s="810"/>
      <c r="M267" s="794" t="s">
        <v>489</v>
      </c>
      <c r="N267" s="794" t="s">
        <v>489</v>
      </c>
      <c r="O267" s="794" t="s">
        <v>489</v>
      </c>
      <c r="P267" s="794" t="s">
        <v>489</v>
      </c>
      <c r="Q267" s="794" t="s">
        <v>489</v>
      </c>
    </row>
    <row r="268">
      <c r="A268" s="808"/>
      <c r="B268" s="809"/>
      <c r="C268" s="809"/>
      <c r="D268" s="810"/>
      <c r="M268" s="794" t="s">
        <v>490</v>
      </c>
      <c r="N268" s="794" t="s">
        <v>490</v>
      </c>
      <c r="O268" s="794" t="s">
        <v>490</v>
      </c>
      <c r="P268" s="794" t="s">
        <v>490</v>
      </c>
      <c r="Q268" s="794" t="s">
        <v>490</v>
      </c>
    </row>
    <row r="269">
      <c r="A269" s="808"/>
      <c r="B269" s="809"/>
      <c r="C269" s="809"/>
      <c r="D269" s="810"/>
      <c r="M269" s="794" t="s">
        <v>491</v>
      </c>
      <c r="N269" s="794" t="s">
        <v>491</v>
      </c>
      <c r="O269" s="794" t="s">
        <v>491</v>
      </c>
      <c r="P269" s="794" t="s">
        <v>491</v>
      </c>
      <c r="Q269" s="794" t="s">
        <v>491</v>
      </c>
    </row>
    <row r="270">
      <c r="A270" s="808"/>
      <c r="B270" s="809"/>
      <c r="C270" s="809"/>
      <c r="D270" s="810"/>
      <c r="M270" s="794" t="s">
        <v>492</v>
      </c>
      <c r="N270" s="794" t="s">
        <v>492</v>
      </c>
      <c r="O270" s="794" t="s">
        <v>492</v>
      </c>
      <c r="P270" s="794" t="s">
        <v>492</v>
      </c>
      <c r="Q270" s="794" t="s">
        <v>492</v>
      </c>
    </row>
    <row r="271">
      <c r="A271" s="808"/>
      <c r="B271" s="809"/>
      <c r="C271" s="809"/>
      <c r="D271" s="810"/>
      <c r="M271" s="794" t="s">
        <v>493</v>
      </c>
      <c r="N271" s="794" t="s">
        <v>493</v>
      </c>
      <c r="O271" s="794" t="s">
        <v>493</v>
      </c>
      <c r="P271" s="794" t="s">
        <v>493</v>
      </c>
      <c r="Q271" s="794" t="s">
        <v>493</v>
      </c>
    </row>
    <row r="272">
      <c r="A272" s="808"/>
      <c r="B272" s="809"/>
      <c r="C272" s="809"/>
      <c r="D272" s="810"/>
      <c r="M272" s="794" t="s">
        <v>494</v>
      </c>
      <c r="N272" s="794" t="s">
        <v>494</v>
      </c>
      <c r="O272" s="794" t="s">
        <v>494</v>
      </c>
      <c r="P272" s="794" t="s">
        <v>494</v>
      </c>
      <c r="Q272" s="794" t="s">
        <v>494</v>
      </c>
    </row>
    <row r="273">
      <c r="A273" s="808"/>
      <c r="B273" s="809"/>
      <c r="C273" s="809"/>
      <c r="D273" s="810"/>
      <c r="M273" s="794" t="s">
        <v>495</v>
      </c>
      <c r="N273" s="794" t="s">
        <v>495</v>
      </c>
      <c r="O273" s="794" t="s">
        <v>495</v>
      </c>
      <c r="P273" s="794" t="s">
        <v>495</v>
      </c>
      <c r="Q273" s="794" t="s">
        <v>495</v>
      </c>
    </row>
    <row r="274">
      <c r="A274" s="808"/>
      <c r="B274" s="809"/>
      <c r="C274" s="809"/>
      <c r="D274" s="810"/>
      <c r="M274" s="794" t="s">
        <v>496</v>
      </c>
      <c r="N274" s="794" t="s">
        <v>496</v>
      </c>
      <c r="O274" s="794" t="s">
        <v>496</v>
      </c>
      <c r="P274" s="794" t="s">
        <v>496</v>
      </c>
      <c r="Q274" s="794" t="s">
        <v>496</v>
      </c>
    </row>
    <row r="275">
      <c r="A275" s="808"/>
      <c r="B275" s="809"/>
      <c r="C275" s="809"/>
      <c r="D275" s="810"/>
      <c r="M275" s="794" t="s">
        <v>497</v>
      </c>
      <c r="N275" s="794" t="s">
        <v>497</v>
      </c>
      <c r="O275" s="794" t="s">
        <v>497</v>
      </c>
      <c r="P275" s="794" t="s">
        <v>497</v>
      </c>
      <c r="Q275" s="794" t="s">
        <v>497</v>
      </c>
    </row>
    <row r="276">
      <c r="A276" s="808"/>
      <c r="B276" s="809"/>
      <c r="C276" s="809"/>
      <c r="D276" s="810"/>
      <c r="M276" s="794" t="s">
        <v>498</v>
      </c>
      <c r="N276" s="794" t="s">
        <v>498</v>
      </c>
      <c r="O276" s="794" t="s">
        <v>498</v>
      </c>
      <c r="P276" s="794" t="s">
        <v>498</v>
      </c>
      <c r="Q276" s="794" t="s">
        <v>498</v>
      </c>
    </row>
    <row r="277">
      <c r="A277" s="808"/>
      <c r="B277" s="809"/>
      <c r="C277" s="809"/>
      <c r="D277" s="810"/>
      <c r="M277" s="794" t="s">
        <v>499</v>
      </c>
      <c r="N277" s="794" t="s">
        <v>499</v>
      </c>
      <c r="O277" s="794" t="s">
        <v>499</v>
      </c>
      <c r="P277" s="794" t="s">
        <v>499</v>
      </c>
      <c r="Q277" s="794" t="s">
        <v>499</v>
      </c>
    </row>
    <row r="278">
      <c r="A278" s="808"/>
      <c r="B278" s="809"/>
      <c r="C278" s="809"/>
      <c r="D278" s="810"/>
      <c r="M278" s="794" t="s">
        <v>500</v>
      </c>
      <c r="N278" s="794" t="s">
        <v>500</v>
      </c>
      <c r="O278" s="794" t="s">
        <v>500</v>
      </c>
      <c r="P278" s="794" t="s">
        <v>500</v>
      </c>
      <c r="Q278" s="794" t="s">
        <v>500</v>
      </c>
    </row>
    <row r="279">
      <c r="A279" s="808"/>
      <c r="B279" s="809"/>
      <c r="C279" s="809"/>
      <c r="D279" s="810"/>
      <c r="M279" s="794" t="s">
        <v>501</v>
      </c>
      <c r="N279" s="794" t="s">
        <v>501</v>
      </c>
      <c r="O279" s="794" t="s">
        <v>501</v>
      </c>
      <c r="P279" s="794" t="s">
        <v>501</v>
      </c>
      <c r="Q279" s="794" t="s">
        <v>501</v>
      </c>
    </row>
    <row r="280">
      <c r="A280" s="808"/>
      <c r="B280" s="809"/>
      <c r="C280" s="809"/>
      <c r="D280" s="810"/>
      <c r="M280" s="794" t="s">
        <v>502</v>
      </c>
      <c r="N280" s="794" t="s">
        <v>502</v>
      </c>
      <c r="O280" s="794" t="s">
        <v>502</v>
      </c>
      <c r="P280" s="794" t="s">
        <v>502</v>
      </c>
      <c r="Q280" s="794" t="s">
        <v>502</v>
      </c>
    </row>
    <row r="281">
      <c r="A281" s="808"/>
      <c r="B281" s="809"/>
      <c r="C281" s="809"/>
      <c r="D281" s="810"/>
      <c r="M281" s="794" t="s">
        <v>503</v>
      </c>
      <c r="N281" s="794" t="s">
        <v>503</v>
      </c>
      <c r="O281" s="794" t="s">
        <v>503</v>
      </c>
      <c r="P281" s="794" t="s">
        <v>503</v>
      </c>
      <c r="Q281" s="794" t="s">
        <v>503</v>
      </c>
    </row>
    <row r="282">
      <c r="A282" s="808"/>
      <c r="B282" s="809"/>
      <c r="C282" s="809"/>
      <c r="D282" s="810"/>
      <c r="M282" s="794" t="s">
        <v>504</v>
      </c>
      <c r="N282" s="794" t="s">
        <v>504</v>
      </c>
      <c r="O282" s="794" t="s">
        <v>504</v>
      </c>
      <c r="P282" s="794" t="s">
        <v>504</v>
      </c>
      <c r="Q282" s="794" t="s">
        <v>504</v>
      </c>
    </row>
    <row r="283">
      <c r="A283" s="808"/>
      <c r="B283" s="809"/>
      <c r="C283" s="809"/>
      <c r="D283" s="810"/>
      <c r="M283" s="794" t="s">
        <v>505</v>
      </c>
      <c r="N283" s="794" t="s">
        <v>505</v>
      </c>
      <c r="P283" s="794" t="s">
        <v>506</v>
      </c>
      <c r="Q283" s="794" t="s">
        <v>507</v>
      </c>
    </row>
    <row r="284">
      <c r="A284" s="808"/>
      <c r="B284" s="809"/>
      <c r="C284" s="809"/>
      <c r="D284" s="810"/>
      <c r="M284" s="794" t="s">
        <v>508</v>
      </c>
      <c r="N284" s="794" t="s">
        <v>508</v>
      </c>
      <c r="O284" s="794" t="s">
        <v>508</v>
      </c>
      <c r="P284" s="794" t="s">
        <v>508</v>
      </c>
      <c r="Q284" s="794" t="s">
        <v>508</v>
      </c>
    </row>
    <row r="285">
      <c r="A285" s="808"/>
      <c r="B285" s="809"/>
      <c r="C285" s="809"/>
      <c r="D285" s="810"/>
      <c r="M285" s="794" t="s">
        <v>507</v>
      </c>
      <c r="N285" s="794" t="s">
        <v>507</v>
      </c>
      <c r="P285" s="794" t="s">
        <v>506</v>
      </c>
      <c r="Q285" s="794" t="s">
        <v>507</v>
      </c>
    </row>
    <row r="286">
      <c r="A286" s="808"/>
      <c r="B286" s="809"/>
      <c r="C286" s="809"/>
      <c r="D286" s="810"/>
      <c r="M286" s="794" t="s">
        <v>506</v>
      </c>
      <c r="N286" s="794" t="s">
        <v>506</v>
      </c>
      <c r="O286" s="794" t="e">
        <v>#N/A</v>
      </c>
      <c r="P286" s="794" t="s">
        <v>506</v>
      </c>
      <c r="Q286" s="794" t="s">
        <v>507</v>
      </c>
    </row>
    <row r="287">
      <c r="A287" s="808"/>
      <c r="B287" s="809"/>
      <c r="C287" s="809"/>
      <c r="D287" s="810"/>
      <c r="M287" s="794" t="s">
        <v>509</v>
      </c>
      <c r="N287" s="794" t="s">
        <v>509</v>
      </c>
      <c r="P287" s="794" t="s">
        <v>509</v>
      </c>
      <c r="Q287" s="794" t="s">
        <v>509</v>
      </c>
    </row>
    <row r="288">
      <c r="A288" s="808"/>
      <c r="B288" s="809"/>
      <c r="C288" s="809"/>
      <c r="D288" s="810"/>
      <c r="M288" s="794" t="s">
        <v>510</v>
      </c>
      <c r="N288" s="794" t="s">
        <v>510</v>
      </c>
      <c r="O288" s="794" t="s">
        <v>510</v>
      </c>
      <c r="P288" s="794" t="s">
        <v>510</v>
      </c>
      <c r="Q288" s="794" t="s">
        <v>510</v>
      </c>
    </row>
    <row r="289">
      <c r="A289" s="808"/>
      <c r="B289" s="809"/>
      <c r="C289" s="809"/>
      <c r="D289" s="810"/>
      <c r="M289" s="794" t="s">
        <v>511</v>
      </c>
      <c r="N289" s="794" t="s">
        <v>511</v>
      </c>
      <c r="P289" s="794" t="s">
        <v>511</v>
      </c>
      <c r="Q289" s="794" t="s">
        <v>511</v>
      </c>
    </row>
    <row r="290">
      <c r="A290" s="808"/>
      <c r="B290" s="809"/>
      <c r="C290" s="809"/>
      <c r="D290" s="810"/>
      <c r="M290" s="794" t="s">
        <v>512</v>
      </c>
      <c r="N290" s="794" t="s">
        <v>512</v>
      </c>
      <c r="O290" s="794" t="s">
        <v>512</v>
      </c>
      <c r="P290" s="794" t="s">
        <v>512</v>
      </c>
      <c r="Q290" s="794" t="s">
        <v>512</v>
      </c>
    </row>
    <row r="291">
      <c r="A291" s="808"/>
      <c r="B291" s="809"/>
      <c r="C291" s="809"/>
      <c r="D291" s="810"/>
      <c r="M291" s="794" t="s">
        <v>513</v>
      </c>
      <c r="N291" s="794" t="s">
        <v>513</v>
      </c>
      <c r="O291" s="794" t="s">
        <v>513</v>
      </c>
      <c r="P291" s="794" t="s">
        <v>513</v>
      </c>
      <c r="Q291" s="794" t="s">
        <v>513</v>
      </c>
    </row>
    <row r="292">
      <c r="A292" s="808"/>
      <c r="B292" s="809"/>
      <c r="C292" s="809"/>
      <c r="D292" s="810"/>
      <c r="M292" s="794" t="s">
        <v>514</v>
      </c>
      <c r="N292" s="794" t="s">
        <v>514</v>
      </c>
      <c r="O292" s="794" t="s">
        <v>514</v>
      </c>
      <c r="P292" s="794" t="s">
        <v>514</v>
      </c>
      <c r="Q292" s="794" t="s">
        <v>514</v>
      </c>
    </row>
    <row r="293">
      <c r="A293" s="808"/>
      <c r="B293" s="809"/>
      <c r="C293" s="809"/>
      <c r="D293" s="810"/>
      <c r="M293" s="794" t="s">
        <v>515</v>
      </c>
      <c r="N293" s="794" t="s">
        <v>515</v>
      </c>
      <c r="O293" s="794" t="s">
        <v>515</v>
      </c>
      <c r="P293" s="794" t="s">
        <v>515</v>
      </c>
      <c r="Q293" s="794" t="s">
        <v>515</v>
      </c>
    </row>
    <row r="294">
      <c r="A294" s="808"/>
      <c r="B294" s="809"/>
      <c r="C294" s="809"/>
      <c r="D294" s="810"/>
      <c r="M294" s="794" t="s">
        <v>516</v>
      </c>
      <c r="N294" s="794" t="s">
        <v>516</v>
      </c>
      <c r="P294" s="794" t="s">
        <v>517</v>
      </c>
      <c r="Q294" s="794" t="s">
        <v>517</v>
      </c>
    </row>
    <row r="295">
      <c r="A295" s="808"/>
      <c r="B295" s="809"/>
      <c r="C295" s="809"/>
      <c r="D295" s="810"/>
      <c r="M295" s="794" t="s">
        <v>517</v>
      </c>
      <c r="N295" s="794" t="s">
        <v>517</v>
      </c>
      <c r="O295" s="794" t="s">
        <v>517</v>
      </c>
      <c r="P295" s="794" t="s">
        <v>517</v>
      </c>
      <c r="Q295" s="794" t="s">
        <v>517</v>
      </c>
    </row>
    <row r="296">
      <c r="A296" s="808"/>
      <c r="B296" s="809"/>
      <c r="C296" s="809"/>
      <c r="D296" s="810"/>
      <c r="M296" s="794" t="s">
        <v>519</v>
      </c>
      <c r="N296" s="794" t="s">
        <v>519</v>
      </c>
      <c r="O296" s="794" t="s">
        <v>519</v>
      </c>
      <c r="P296" s="794" t="s">
        <v>519</v>
      </c>
      <c r="Q296" s="794" t="s">
        <v>519</v>
      </c>
    </row>
    <row r="297">
      <c r="A297" s="808"/>
      <c r="B297" s="809"/>
      <c r="C297" s="809"/>
      <c r="D297" s="810"/>
      <c r="M297" s="794" t="s">
        <v>520</v>
      </c>
      <c r="N297" s="794" t="s">
        <v>520</v>
      </c>
      <c r="O297" s="794" t="e">
        <v>#N/A</v>
      </c>
      <c r="P297" s="794" t="s">
        <v>520</v>
      </c>
      <c r="Q297" s="794" t="s">
        <v>519</v>
      </c>
    </row>
    <row r="298">
      <c r="A298" s="808"/>
      <c r="B298" s="809"/>
      <c r="C298" s="809"/>
      <c r="D298" s="810"/>
      <c r="P298" s="794" t="s">
        <v>456</v>
      </c>
      <c r="Q298" s="794" t="s">
        <v>456</v>
      </c>
    </row>
    <row r="299">
      <c r="A299" s="808"/>
      <c r="B299" s="809"/>
      <c r="C299" s="809"/>
      <c r="D299" s="810"/>
      <c r="P299" s="794" t="s">
        <v>517</v>
      </c>
      <c r="Q299" s="794" t="s">
        <v>517</v>
      </c>
    </row>
    <row r="300">
      <c r="A300" s="808"/>
      <c r="B300" s="809"/>
      <c r="C300" s="809"/>
      <c r="D300" s="810"/>
      <c r="M300" s="794" t="s">
        <v>478</v>
      </c>
      <c r="N300" s="794" t="s">
        <v>478</v>
      </c>
      <c r="O300" s="794" t="s">
        <v>478</v>
      </c>
      <c r="P300" s="794" t="s">
        <v>478</v>
      </c>
      <c r="Q300" s="794" t="s">
        <v>478</v>
      </c>
    </row>
    <row r="301">
      <c r="A301" s="808"/>
      <c r="B301" s="809"/>
      <c r="C301" s="809"/>
      <c r="D301" s="810"/>
      <c r="P301" s="794" t="s">
        <v>517</v>
      </c>
      <c r="Q301" s="794" t="s">
        <v>517</v>
      </c>
    </row>
    <row r="302">
      <c r="A302" s="808"/>
      <c r="B302" s="809"/>
      <c r="C302" s="809"/>
      <c r="D302" s="810"/>
      <c r="P302" s="794" t="s">
        <v>484</v>
      </c>
      <c r="Q302" s="794" t="s">
        <v>484</v>
      </c>
    </row>
    <row r="303">
      <c r="A303" s="808"/>
      <c r="B303" s="809"/>
      <c r="C303" s="809"/>
      <c r="D303" s="810"/>
      <c r="P303" s="794" t="s">
        <v>457</v>
      </c>
      <c r="Q303" s="794" t="s">
        <v>484</v>
      </c>
    </row>
    <row r="304">
      <c r="A304" s="808"/>
      <c r="B304" s="809"/>
      <c r="C304" s="809"/>
      <c r="D304" s="810"/>
      <c r="P304" s="794" t="s">
        <v>516</v>
      </c>
      <c r="Q304" s="794" t="s">
        <v>517</v>
      </c>
    </row>
    <row r="305">
      <c r="A305" s="808"/>
      <c r="B305" s="809"/>
      <c r="C305" s="809"/>
      <c r="D305" s="810"/>
      <c r="P305" s="794" t="s">
        <v>507</v>
      </c>
      <c r="Q305" s="794" t="s">
        <v>507</v>
      </c>
    </row>
    <row r="306">
      <c r="A306" s="808"/>
      <c r="B306" s="809"/>
      <c r="C306" s="809"/>
      <c r="D306" s="810"/>
      <c r="P306" s="794" t="s">
        <v>505</v>
      </c>
      <c r="Q306" s="794" t="s">
        <v>507</v>
      </c>
    </row>
    <row r="307">
      <c r="A307" s="808"/>
      <c r="B307" s="809"/>
      <c r="C307" s="809"/>
      <c r="D307" s="810"/>
      <c r="M307" s="794" t="s">
        <v>521</v>
      </c>
      <c r="N307" s="794" t="s">
        <v>521</v>
      </c>
      <c r="O307" s="794" t="s">
        <v>521</v>
      </c>
      <c r="P307" s="794" t="s">
        <v>521</v>
      </c>
      <c r="Q307" s="794" t="s">
        <v>521</v>
      </c>
    </row>
    <row r="308">
      <c r="A308" s="808"/>
      <c r="B308" s="809"/>
      <c r="C308" s="809"/>
      <c r="D308" s="810"/>
      <c r="M308" s="794" t="s">
        <v>522</v>
      </c>
      <c r="N308" s="794" t="s">
        <v>522</v>
      </c>
      <c r="O308" s="794" t="s">
        <v>522</v>
      </c>
      <c r="P308" s="794" t="s">
        <v>522</v>
      </c>
      <c r="Q308" s="794" t="s">
        <v>522</v>
      </c>
    </row>
    <row r="309">
      <c r="A309" s="808"/>
      <c r="B309" s="809"/>
      <c r="C309" s="809"/>
      <c r="D309" s="810"/>
      <c r="M309" s="794" t="s">
        <v>523</v>
      </c>
      <c r="N309" s="794" t="s">
        <v>523</v>
      </c>
      <c r="O309" s="794" t="s">
        <v>523</v>
      </c>
      <c r="P309" s="794" t="s">
        <v>523</v>
      </c>
      <c r="Q309" s="794" t="s">
        <v>523</v>
      </c>
    </row>
    <row r="310">
      <c r="A310" s="808"/>
      <c r="B310" s="809"/>
      <c r="C310" s="809"/>
      <c r="D310" s="810"/>
      <c r="M310" s="794" t="s">
        <v>524</v>
      </c>
      <c r="N310" s="794" t="s">
        <v>524</v>
      </c>
      <c r="O310" s="794" t="s">
        <v>524</v>
      </c>
      <c r="P310" s="794" t="s">
        <v>524</v>
      </c>
      <c r="Q310" s="794" t="s">
        <v>524</v>
      </c>
    </row>
    <row r="311">
      <c r="A311" s="808"/>
      <c r="B311" s="809"/>
      <c r="C311" s="809"/>
      <c r="D311" s="810"/>
      <c r="M311" s="794" t="s">
        <v>525</v>
      </c>
      <c r="P311" s="794" t="s">
        <v>525</v>
      </c>
      <c r="Q311" s="794" t="s">
        <v>525</v>
      </c>
    </row>
    <row r="312">
      <c r="A312" s="808"/>
      <c r="B312" s="809"/>
      <c r="C312" s="809"/>
      <c r="D312" s="810"/>
      <c r="M312" s="794" t="s">
        <v>526</v>
      </c>
      <c r="P312" s="794" t="s">
        <v>526</v>
      </c>
      <c r="Q312" s="794" t="s">
        <v>526</v>
      </c>
    </row>
    <row r="313">
      <c r="A313" s="808"/>
      <c r="B313" s="809"/>
      <c r="C313" s="809"/>
      <c r="D313" s="810"/>
      <c r="M313" s="794" t="s">
        <v>527</v>
      </c>
      <c r="P313" s="794" t="s">
        <v>527</v>
      </c>
      <c r="Q313" s="794" t="s">
        <v>527</v>
      </c>
    </row>
    <row r="314">
      <c r="A314" s="808"/>
      <c r="B314" s="809"/>
      <c r="C314" s="809"/>
      <c r="D314" s="810"/>
      <c r="M314" s="794" t="s">
        <v>528</v>
      </c>
      <c r="P314" s="794" t="s">
        <v>528</v>
      </c>
      <c r="Q314" s="794" t="s">
        <v>528</v>
      </c>
    </row>
    <row r="315">
      <c r="A315" s="808"/>
      <c r="B315" s="809"/>
      <c r="C315" s="809"/>
      <c r="D315" s="810"/>
      <c r="M315" s="794" t="s">
        <v>529</v>
      </c>
      <c r="P315" s="794" t="s">
        <v>529</v>
      </c>
      <c r="Q315" s="794" t="s">
        <v>529</v>
      </c>
    </row>
    <row r="316">
      <c r="A316" s="808"/>
      <c r="B316" s="809"/>
      <c r="C316" s="809"/>
      <c r="D316" s="810"/>
      <c r="M316" s="794" t="s">
        <v>530</v>
      </c>
      <c r="P316" s="794" t="s">
        <v>530</v>
      </c>
      <c r="Q316" s="794" t="s">
        <v>530</v>
      </c>
    </row>
    <row r="317">
      <c r="A317" s="808"/>
      <c r="B317" s="809"/>
      <c r="C317" s="809"/>
      <c r="D317" s="810"/>
      <c r="M317" s="794" t="s">
        <v>531</v>
      </c>
      <c r="P317" s="794" t="s">
        <v>531</v>
      </c>
      <c r="Q317" s="794" t="s">
        <v>531</v>
      </c>
    </row>
    <row r="318">
      <c r="A318" s="808"/>
      <c r="B318" s="809"/>
      <c r="C318" s="809"/>
      <c r="D318" s="810"/>
      <c r="M318" s="794" t="s">
        <v>532</v>
      </c>
      <c r="P318" s="794" t="s">
        <v>532</v>
      </c>
      <c r="Q318" s="794" t="s">
        <v>532</v>
      </c>
    </row>
    <row r="319">
      <c r="M319" s="794" t="s">
        <v>531</v>
      </c>
      <c r="P319" s="794" t="s">
        <v>531</v>
      </c>
      <c r="Q319" s="794" t="s">
        <v>531</v>
      </c>
    </row>
    <row r="320">
      <c r="M320" s="794" t="s">
        <v>533</v>
      </c>
      <c r="P320" s="794" t="s">
        <v>533</v>
      </c>
      <c r="Q320" s="794" t="s">
        <v>533</v>
      </c>
    </row>
    <row r="321">
      <c r="M321" s="794" t="s">
        <v>534</v>
      </c>
      <c r="P321" s="794" t="s">
        <v>534</v>
      </c>
      <c r="Q321" s="794" t="s">
        <v>534</v>
      </c>
    </row>
    <row r="322">
      <c r="M322" s="794" t="s">
        <v>535</v>
      </c>
      <c r="P322" s="794" t="s">
        <v>535</v>
      </c>
      <c r="Q322" s="794" t="s">
        <v>535</v>
      </c>
    </row>
    <row r="323">
      <c r="M323" s="794" t="s">
        <v>536</v>
      </c>
      <c r="P323" s="794" t="s">
        <v>536</v>
      </c>
      <c r="Q323" s="794" t="s">
        <v>536</v>
      </c>
    </row>
    <row r="324">
      <c r="M324" s="794" t="s">
        <v>537</v>
      </c>
      <c r="P324" s="794" t="s">
        <v>537</v>
      </c>
      <c r="Q324" s="794" t="s">
        <v>537</v>
      </c>
    </row>
    <row r="325">
      <c r="M325" s="794" t="s">
        <v>538</v>
      </c>
      <c r="P325" s="794" t="s">
        <v>538</v>
      </c>
      <c r="Q325" s="794" t="s">
        <v>538</v>
      </c>
    </row>
    <row r="326">
      <c r="M326" s="794" t="s">
        <v>539</v>
      </c>
      <c r="P326" s="794" t="s">
        <v>539</v>
      </c>
      <c r="Q326" s="794" t="s">
        <v>539</v>
      </c>
    </row>
    <row r="327">
      <c r="M327" s="794" t="s">
        <v>540</v>
      </c>
      <c r="P327" s="794" t="s">
        <v>540</v>
      </c>
      <c r="Q327" s="794" t="s">
        <v>540</v>
      </c>
    </row>
    <row r="328">
      <c r="M328" s="794" t="s">
        <v>541</v>
      </c>
      <c r="P328" s="794" t="s">
        <v>541</v>
      </c>
      <c r="Q328" s="794" t="s">
        <v>541</v>
      </c>
    </row>
    <row r="329">
      <c r="M329" s="794" t="s">
        <v>542</v>
      </c>
      <c r="P329" s="794" t="s">
        <v>542</v>
      </c>
      <c r="Q329" s="794" t="s">
        <v>542</v>
      </c>
    </row>
    <row r="330">
      <c r="M330" s="794" t="s">
        <v>543</v>
      </c>
      <c r="P330" s="794" t="s">
        <v>543</v>
      </c>
      <c r="Q330" s="794" t="s">
        <v>543</v>
      </c>
    </row>
    <row r="331">
      <c r="M331" s="794" t="s">
        <v>544</v>
      </c>
      <c r="P331" s="794" t="s">
        <v>544</v>
      </c>
      <c r="Q331" s="794" t="s">
        <v>544</v>
      </c>
    </row>
    <row r="332">
      <c r="M332" s="794" t="s">
        <v>545</v>
      </c>
      <c r="P332" s="794" t="s">
        <v>545</v>
      </c>
      <c r="Q332" s="794" t="s">
        <v>545</v>
      </c>
    </row>
    <row r="333">
      <c r="M333" s="794" t="s">
        <v>546</v>
      </c>
      <c r="P333" s="794" t="s">
        <v>546</v>
      </c>
      <c r="Q333" s="794" t="s">
        <v>546</v>
      </c>
    </row>
    <row r="334">
      <c r="M334" s="794" t="s">
        <v>547</v>
      </c>
      <c r="P334" s="794" t="s">
        <v>547</v>
      </c>
      <c r="Q334" s="794" t="s">
        <v>547</v>
      </c>
    </row>
    <row r="335">
      <c r="M335" s="794" t="s">
        <v>548</v>
      </c>
      <c r="P335" s="794" t="s">
        <v>548</v>
      </c>
      <c r="Q335" s="794" t="s">
        <v>548</v>
      </c>
    </row>
    <row r="336">
      <c r="M336" s="794" t="s">
        <v>549</v>
      </c>
      <c r="P336" s="794" t="s">
        <v>549</v>
      </c>
      <c r="Q336" s="794" t="s">
        <v>549</v>
      </c>
    </row>
    <row r="337">
      <c r="M337" s="794" t="s">
        <v>550</v>
      </c>
      <c r="P337" s="794" t="s">
        <v>550</v>
      </c>
      <c r="Q337" s="794" t="s">
        <v>550</v>
      </c>
    </row>
    <row r="338">
      <c r="M338" s="794" t="s">
        <v>551</v>
      </c>
      <c r="P338" s="794" t="s">
        <v>551</v>
      </c>
      <c r="Q338" s="794" t="s">
        <v>551</v>
      </c>
    </row>
    <row r="339">
      <c r="M339" s="794" t="s">
        <v>552</v>
      </c>
      <c r="P339" s="794" t="s">
        <v>552</v>
      </c>
      <c r="Q339" s="794" t="s">
        <v>552</v>
      </c>
    </row>
    <row r="340">
      <c r="M340" s="794" t="s">
        <v>553</v>
      </c>
      <c r="P340" s="794" t="s">
        <v>553</v>
      </c>
      <c r="Q340" s="794" t="s">
        <v>553</v>
      </c>
    </row>
    <row r="341">
      <c r="M341" s="794" t="s">
        <v>554</v>
      </c>
      <c r="P341" s="794" t="s">
        <v>554</v>
      </c>
      <c r="Q341" s="794" t="s">
        <v>554</v>
      </c>
    </row>
    <row r="342">
      <c r="M342" s="794" t="s">
        <v>549</v>
      </c>
      <c r="P342" s="794" t="s">
        <v>549</v>
      </c>
      <c r="Q342" s="794" t="s">
        <v>549</v>
      </c>
    </row>
    <row r="343">
      <c r="M343" s="794" t="s">
        <v>555</v>
      </c>
      <c r="P343" s="794" t="s">
        <v>555</v>
      </c>
      <c r="Q343" s="794" t="s">
        <v>555</v>
      </c>
    </row>
    <row r="344">
      <c r="M344" s="794" t="s">
        <v>556</v>
      </c>
      <c r="P344" s="794" t="s">
        <v>556</v>
      </c>
      <c r="Q344" s="794" t="s">
        <v>556</v>
      </c>
    </row>
  </sheetData>
  <mergeCells count="1">
    <mergeCell ref="D27:E27"/>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6.0" topLeftCell="A7" activePane="bottomLeft" state="frozen"/>
      <selection activeCell="B8" sqref="B8" pane="bottomLeft"/>
    </sheetView>
  </sheetViews>
  <sheetFormatPr customHeight="1" defaultColWidth="12.63" defaultRowHeight="15.75" outlineLevelRow="1"/>
  <cols>
    <col customWidth="1" min="1" max="1" width="16.63"/>
    <col customWidth="1" min="2" max="2" width="23.13"/>
    <col customWidth="1" min="3" max="3" width="10.63"/>
    <col customWidth="1" min="4" max="4" width="16.5"/>
    <col customWidth="1" min="5" max="5" width="20.0"/>
    <col customWidth="1" min="6" max="6" width="19.38"/>
  </cols>
  <sheetData>
    <row r="1">
      <c r="A1" s="1"/>
      <c r="C1" s="2" t="s">
        <v>448</v>
      </c>
    </row>
    <row r="4">
      <c r="A4" s="3"/>
      <c r="D4" s="4"/>
      <c r="F4" s="5"/>
    </row>
    <row r="5">
      <c r="A5" s="3"/>
      <c r="D5" s="4"/>
      <c r="F5" s="5"/>
    </row>
    <row r="6" ht="20.25" customHeight="1">
      <c r="A6" s="6" t="s">
        <v>1</v>
      </c>
      <c r="B6" s="6" t="s">
        <v>2</v>
      </c>
      <c r="C6" s="6" t="s">
        <v>3</v>
      </c>
      <c r="D6" s="6" t="s">
        <v>4</v>
      </c>
      <c r="E6" s="6" t="s">
        <v>5</v>
      </c>
      <c r="F6" s="6" t="s">
        <v>32</v>
      </c>
      <c r="G6" s="7" t="s">
        <v>7</v>
      </c>
      <c r="H6" s="6" t="s">
        <v>8</v>
      </c>
      <c r="I6" s="6" t="s">
        <v>9</v>
      </c>
      <c r="J6" s="6" t="s">
        <v>10</v>
      </c>
      <c r="K6" s="6" t="s">
        <v>11</v>
      </c>
      <c r="L6" s="6" t="s">
        <v>20</v>
      </c>
      <c r="M6" s="6" t="s">
        <v>12</v>
      </c>
    </row>
    <row r="7" ht="20.25" customHeight="1">
      <c r="A7" s="8">
        <v>46149.0</v>
      </c>
      <c r="B7" s="806" t="s">
        <v>22</v>
      </c>
      <c r="C7" s="35">
        <v>713.0</v>
      </c>
      <c r="D7" s="163">
        <f t="array" ref="D7">IFERROR(_xlfn.XLOOKUP(C7,Code!A:A,Code!B:B),"")</f>
        <v>0.9542</v>
      </c>
      <c r="E7" s="27" t="s">
        <v>460</v>
      </c>
      <c r="F7" s="14" t="s">
        <v>460</v>
      </c>
      <c r="G7" s="14" t="s">
        <v>17</v>
      </c>
      <c r="H7" s="14" t="s">
        <v>18</v>
      </c>
      <c r="I7" s="27">
        <v>4.0</v>
      </c>
      <c r="J7" s="27">
        <v>100.0</v>
      </c>
      <c r="K7" s="27">
        <v>400.0</v>
      </c>
      <c r="L7" s="27"/>
      <c r="M7" s="27"/>
    </row>
    <row r="8" ht="20.25" customHeight="1">
      <c r="A8" s="15">
        <v>46150.0</v>
      </c>
      <c r="B8" s="806" t="s">
        <v>122</v>
      </c>
      <c r="C8" s="37">
        <v>705.0</v>
      </c>
      <c r="D8" s="163">
        <f t="array" ref="D8">IFERROR(_xlfn.XLOOKUP(C8,Code!A:A,Code!B:B),"")</f>
        <v>0.7592</v>
      </c>
      <c r="E8" s="31" t="s">
        <v>474</v>
      </c>
      <c r="F8" s="22" t="s">
        <v>475</v>
      </c>
      <c r="G8" s="22" t="s">
        <v>17</v>
      </c>
      <c r="H8" s="22" t="s">
        <v>18</v>
      </c>
      <c r="I8" s="31">
        <v>1.0</v>
      </c>
      <c r="J8" s="31">
        <v>100.0</v>
      </c>
      <c r="K8" s="31">
        <v>100.0</v>
      </c>
      <c r="L8" s="64">
        <v>25.0</v>
      </c>
      <c r="M8" s="64">
        <v>275.0</v>
      </c>
    </row>
    <row r="9" ht="20.25" customHeight="1">
      <c r="A9" s="57"/>
      <c r="B9" s="806" t="s">
        <v>122</v>
      </c>
      <c r="C9" s="35">
        <v>706.0</v>
      </c>
      <c r="D9" s="163">
        <f t="array" ref="D9">IFERROR(_xlfn.XLOOKUP(C9,Code!A:A,Code!B:B),"")</f>
        <v>1.6433</v>
      </c>
      <c r="E9" s="27" t="s">
        <v>474</v>
      </c>
      <c r="F9" s="14" t="s">
        <v>475</v>
      </c>
      <c r="G9" s="14" t="s">
        <v>17</v>
      </c>
      <c r="H9" s="14" t="s">
        <v>18</v>
      </c>
      <c r="I9" s="27">
        <v>4.0</v>
      </c>
      <c r="J9" s="27">
        <v>100.0</v>
      </c>
      <c r="K9" s="27">
        <v>400.0</v>
      </c>
      <c r="L9" s="57"/>
      <c r="M9" s="57"/>
    </row>
    <row r="10" ht="20.25" customHeight="1">
      <c r="A10" s="29"/>
      <c r="B10" s="806" t="s">
        <v>122</v>
      </c>
      <c r="C10" s="37">
        <v>712.0</v>
      </c>
      <c r="D10" s="163">
        <f t="array" ref="D10">IFERROR(_xlfn.XLOOKUP(C10,Code!A:A,Code!B:B),"")</f>
        <v>1.0716</v>
      </c>
      <c r="E10" s="31" t="s">
        <v>474</v>
      </c>
      <c r="F10" s="22" t="s">
        <v>475</v>
      </c>
      <c r="G10" s="22" t="s">
        <v>17</v>
      </c>
      <c r="H10" s="22" t="s">
        <v>18</v>
      </c>
      <c r="I10" s="31">
        <v>4.0</v>
      </c>
      <c r="J10" s="31">
        <v>125.0</v>
      </c>
      <c r="K10" s="31">
        <v>500.0</v>
      </c>
      <c r="L10" s="29"/>
      <c r="M10" s="29"/>
    </row>
    <row r="11" ht="20.25" customHeight="1">
      <c r="A11" s="57"/>
      <c r="B11" s="806" t="s">
        <v>122</v>
      </c>
      <c r="C11" s="35">
        <v>714.0</v>
      </c>
      <c r="D11" s="163">
        <f t="array" ref="D11">IFERROR(_xlfn.XLOOKUP(C11,Code!A:A,Code!B:B),"")</f>
        <v>0.6449</v>
      </c>
      <c r="E11" s="27" t="s">
        <v>474</v>
      </c>
      <c r="F11" s="14" t="s">
        <v>475</v>
      </c>
      <c r="G11" s="14" t="s">
        <v>17</v>
      </c>
      <c r="H11" s="14" t="s">
        <v>18</v>
      </c>
      <c r="I11" s="27">
        <v>2.0</v>
      </c>
      <c r="J11" s="27">
        <v>150.0</v>
      </c>
      <c r="K11" s="27">
        <v>300.0</v>
      </c>
      <c r="L11" s="58"/>
      <c r="M11" s="58"/>
    </row>
    <row r="12" ht="20.25" customHeight="1">
      <c r="A12" s="15">
        <v>46162.0</v>
      </c>
      <c r="B12" s="806" t="s">
        <v>21</v>
      </c>
      <c r="C12" s="37">
        <v>703.0</v>
      </c>
      <c r="D12" s="163">
        <f t="array" ref="D12">IFERROR(_xlfn.XLOOKUP(C12,Code!A:A,Code!B:B),"")</f>
        <v>1.0074</v>
      </c>
      <c r="E12" s="31" t="s">
        <v>474</v>
      </c>
      <c r="F12" s="39" t="s">
        <v>518</v>
      </c>
      <c r="G12" s="22" t="s">
        <v>17</v>
      </c>
      <c r="H12" s="22" t="s">
        <v>18</v>
      </c>
      <c r="I12" s="31">
        <v>15.0</v>
      </c>
      <c r="J12" s="31">
        <v>100.0</v>
      </c>
      <c r="K12" s="31">
        <v>1500.0</v>
      </c>
      <c r="L12" s="31">
        <v>30.0</v>
      </c>
      <c r="M12" s="31">
        <v>450.0</v>
      </c>
    </row>
    <row r="13" ht="20.25" customHeight="1">
      <c r="A13" s="57"/>
      <c r="B13" s="806" t="s">
        <v>122</v>
      </c>
      <c r="C13" s="35">
        <v>703.0</v>
      </c>
      <c r="D13" s="163">
        <f t="array" ref="D13">IFERROR(_xlfn.XLOOKUP(C13,Code!A:A,Code!B:B),"")</f>
        <v>1.0074</v>
      </c>
      <c r="E13" s="27" t="s">
        <v>474</v>
      </c>
      <c r="F13" s="58"/>
      <c r="G13" s="14" t="s">
        <v>17</v>
      </c>
      <c r="H13" s="14" t="s">
        <v>25</v>
      </c>
      <c r="I13" s="27">
        <v>1.0</v>
      </c>
      <c r="J13" s="27">
        <v>120.0</v>
      </c>
      <c r="K13" s="27">
        <v>120.0</v>
      </c>
      <c r="L13" s="27">
        <v>30.0</v>
      </c>
      <c r="M13" s="27">
        <v>30.0</v>
      </c>
    </row>
    <row r="14" ht="20.25" customHeight="1">
      <c r="A14" s="15">
        <v>46163.0</v>
      </c>
      <c r="B14" s="806" t="s">
        <v>21</v>
      </c>
      <c r="C14" s="37">
        <v>703.0</v>
      </c>
      <c r="D14" s="163">
        <f t="array" ref="D14">IFERROR(_xlfn.XLOOKUP(C14,Code!A:A,Code!B:B),"")</f>
        <v>1.0074</v>
      </c>
      <c r="E14" s="31" t="s">
        <v>474</v>
      </c>
      <c r="F14" s="39" t="s">
        <v>518</v>
      </c>
      <c r="G14" s="22" t="s">
        <v>17</v>
      </c>
      <c r="H14" s="22" t="s">
        <v>18</v>
      </c>
      <c r="I14" s="31">
        <v>19.0</v>
      </c>
      <c r="J14" s="31">
        <v>100.0</v>
      </c>
      <c r="K14" s="31">
        <v>1900.0</v>
      </c>
      <c r="L14" s="31">
        <v>30.0</v>
      </c>
      <c r="M14" s="31">
        <v>570.0</v>
      </c>
    </row>
    <row r="15" ht="20.25" customHeight="1">
      <c r="A15" s="57"/>
      <c r="B15" s="806" t="s">
        <v>122</v>
      </c>
      <c r="C15" s="35">
        <v>703.0</v>
      </c>
      <c r="D15" s="163">
        <f t="array" ref="D15">IFERROR(_xlfn.XLOOKUP(C15,Code!A:A,Code!B:B),"")</f>
        <v>1.0074</v>
      </c>
      <c r="E15" s="27" t="s">
        <v>474</v>
      </c>
      <c r="F15" s="58"/>
      <c r="G15" s="14" t="s">
        <v>17</v>
      </c>
      <c r="H15" s="14" t="s">
        <v>25</v>
      </c>
      <c r="I15" s="27">
        <v>1.0</v>
      </c>
      <c r="J15" s="27">
        <v>120.0</v>
      </c>
      <c r="K15" s="27">
        <v>120.0</v>
      </c>
      <c r="L15" s="27">
        <v>30.0</v>
      </c>
      <c r="M15" s="27">
        <v>30.0</v>
      </c>
    </row>
    <row r="16" ht="20.25" customHeight="1">
      <c r="A16" s="15">
        <v>46164.0</v>
      </c>
      <c r="B16" s="806" t="s">
        <v>21</v>
      </c>
      <c r="C16" s="37">
        <v>705.0</v>
      </c>
      <c r="D16" s="163">
        <f t="array" ref="D16">IFERROR(_xlfn.XLOOKUP(C16,Code!A:A,Code!B:B),"")</f>
        <v>0.7592</v>
      </c>
      <c r="E16" s="31" t="s">
        <v>474</v>
      </c>
      <c r="F16" s="39" t="s">
        <v>518</v>
      </c>
      <c r="G16" s="22" t="s">
        <v>17</v>
      </c>
      <c r="H16" s="22" t="s">
        <v>18</v>
      </c>
      <c r="I16" s="31">
        <v>23.0</v>
      </c>
      <c r="J16" s="31">
        <v>100.0</v>
      </c>
      <c r="K16" s="31">
        <v>2300.0</v>
      </c>
      <c r="L16" s="31">
        <v>30.0</v>
      </c>
      <c r="M16" s="31">
        <v>690.0</v>
      </c>
    </row>
    <row r="17" ht="20.25" customHeight="1">
      <c r="A17" s="57"/>
      <c r="B17" s="806" t="s">
        <v>122</v>
      </c>
      <c r="C17" s="35">
        <v>705.0</v>
      </c>
      <c r="D17" s="163">
        <f t="array" ref="D17">IFERROR(_xlfn.XLOOKUP(C17,Code!A:A,Code!B:B),"")</f>
        <v>0.7592</v>
      </c>
      <c r="E17" s="27" t="s">
        <v>474</v>
      </c>
      <c r="F17" s="58"/>
      <c r="G17" s="14" t="s">
        <v>17</v>
      </c>
      <c r="H17" s="14" t="s">
        <v>25</v>
      </c>
      <c r="I17" s="27">
        <v>1.0</v>
      </c>
      <c r="J17" s="27">
        <v>120.0</v>
      </c>
      <c r="K17" s="27">
        <v>120.0</v>
      </c>
      <c r="L17" s="27">
        <v>30.0</v>
      </c>
      <c r="M17" s="27">
        <v>30.0</v>
      </c>
    </row>
    <row r="18" ht="20.25" customHeight="1">
      <c r="A18" s="29"/>
      <c r="B18" s="806" t="s">
        <v>21</v>
      </c>
      <c r="C18" s="37">
        <v>705.0</v>
      </c>
      <c r="D18" s="163">
        <f t="array" ref="D18">IFERROR(_xlfn.XLOOKUP(C18,Code!A:A,Code!B:B),"")</f>
        <v>0.7592</v>
      </c>
      <c r="E18" s="31" t="s">
        <v>474</v>
      </c>
      <c r="F18" s="39" t="s">
        <v>557</v>
      </c>
      <c r="G18" s="22" t="s">
        <v>17</v>
      </c>
      <c r="H18" s="22" t="s">
        <v>18</v>
      </c>
      <c r="I18" s="31">
        <v>16.0</v>
      </c>
      <c r="J18" s="31">
        <v>100.0</v>
      </c>
      <c r="K18" s="31">
        <v>1600.0</v>
      </c>
      <c r="L18" s="31">
        <v>25.0</v>
      </c>
      <c r="M18" s="31">
        <v>400.0</v>
      </c>
    </row>
    <row r="19" ht="20.25" customHeight="1">
      <c r="A19" s="57"/>
      <c r="B19" s="806" t="s">
        <v>122</v>
      </c>
      <c r="C19" s="35">
        <v>705.0</v>
      </c>
      <c r="D19" s="163">
        <f t="array" ref="D19">IFERROR(_xlfn.XLOOKUP(C19,Code!A:A,Code!B:B),"")</f>
        <v>0.7592</v>
      </c>
      <c r="E19" s="27" t="s">
        <v>474</v>
      </c>
      <c r="F19" s="58"/>
      <c r="G19" s="14" t="s">
        <v>17</v>
      </c>
      <c r="H19" s="14" t="s">
        <v>25</v>
      </c>
      <c r="I19" s="27">
        <v>1.0</v>
      </c>
      <c r="J19" s="27">
        <v>120.0</v>
      </c>
      <c r="K19" s="27">
        <v>120.0</v>
      </c>
      <c r="L19" s="27">
        <v>25.0</v>
      </c>
      <c r="M19" s="27">
        <v>25.0</v>
      </c>
    </row>
    <row r="20" ht="20.25" customHeight="1">
      <c r="A20" s="15">
        <v>46165.0</v>
      </c>
      <c r="B20" s="806" t="s">
        <v>21</v>
      </c>
      <c r="C20" s="37">
        <v>705.0</v>
      </c>
      <c r="D20" s="163">
        <f t="array" ref="D20">IFERROR(_xlfn.XLOOKUP(C20,Code!A:A,Code!B:B),"")</f>
        <v>0.7592</v>
      </c>
      <c r="E20" s="31" t="s">
        <v>474</v>
      </c>
      <c r="F20" s="39" t="s">
        <v>518</v>
      </c>
      <c r="G20" s="22" t="s">
        <v>17</v>
      </c>
      <c r="H20" s="22" t="s">
        <v>18</v>
      </c>
      <c r="I20" s="31">
        <v>17.0</v>
      </c>
      <c r="J20" s="31">
        <v>100.0</v>
      </c>
      <c r="K20" s="31">
        <v>1700.0</v>
      </c>
      <c r="L20" s="31">
        <v>30.0</v>
      </c>
      <c r="M20" s="31">
        <v>510.0</v>
      </c>
    </row>
    <row r="21" ht="20.25" customHeight="1">
      <c r="A21" s="57"/>
      <c r="B21" s="806" t="s">
        <v>122</v>
      </c>
      <c r="C21" s="35">
        <v>705.0</v>
      </c>
      <c r="D21" s="163">
        <f t="array" ref="D21">IFERROR(_xlfn.XLOOKUP(C21,Code!A:A,Code!B:B),"")</f>
        <v>0.7592</v>
      </c>
      <c r="E21" s="27" t="s">
        <v>474</v>
      </c>
      <c r="F21" s="58"/>
      <c r="G21" s="14" t="s">
        <v>17</v>
      </c>
      <c r="H21" s="14" t="s">
        <v>25</v>
      </c>
      <c r="I21" s="27">
        <v>1.0</v>
      </c>
      <c r="J21" s="27">
        <v>120.0</v>
      </c>
      <c r="K21" s="27">
        <v>120.0</v>
      </c>
      <c r="L21" s="27">
        <v>30.0</v>
      </c>
      <c r="M21" s="27">
        <v>30.0</v>
      </c>
    </row>
    <row r="22" ht="20.25" customHeight="1">
      <c r="A22" s="29"/>
      <c r="B22" s="806" t="s">
        <v>21</v>
      </c>
      <c r="C22" s="37">
        <v>705.0</v>
      </c>
      <c r="D22" s="163">
        <f t="array" ref="D22">IFERROR(_xlfn.XLOOKUP(C22,Code!A:A,Code!B:B),"")</f>
        <v>0.7592</v>
      </c>
      <c r="E22" s="31" t="s">
        <v>474</v>
      </c>
      <c r="F22" s="39" t="s">
        <v>557</v>
      </c>
      <c r="G22" s="22" t="s">
        <v>17</v>
      </c>
      <c r="H22" s="22" t="s">
        <v>18</v>
      </c>
      <c r="I22" s="31">
        <v>17.0</v>
      </c>
      <c r="J22" s="31">
        <v>100.0</v>
      </c>
      <c r="K22" s="31">
        <v>1700.0</v>
      </c>
      <c r="L22" s="31">
        <v>25.0</v>
      </c>
      <c r="M22" s="31">
        <v>425.0</v>
      </c>
    </row>
    <row r="23" ht="20.25" customHeight="1">
      <c r="A23" s="57"/>
      <c r="B23" s="806" t="s">
        <v>122</v>
      </c>
      <c r="C23" s="35">
        <v>705.0</v>
      </c>
      <c r="D23" s="163">
        <f t="array" ref="D23">IFERROR(_xlfn.XLOOKUP(C23,Code!A:A,Code!B:B),"")</f>
        <v>0.7592</v>
      </c>
      <c r="E23" s="27" t="s">
        <v>474</v>
      </c>
      <c r="F23" s="58"/>
      <c r="G23" s="14" t="s">
        <v>17</v>
      </c>
      <c r="H23" s="14" t="s">
        <v>25</v>
      </c>
      <c r="I23" s="27">
        <v>1.0</v>
      </c>
      <c r="J23" s="27">
        <v>1.0</v>
      </c>
      <c r="K23" s="27">
        <v>120.0</v>
      </c>
      <c r="L23" s="27">
        <v>25.0</v>
      </c>
      <c r="M23" s="27">
        <v>25.0</v>
      </c>
    </row>
    <row r="24" ht="20.25" customHeight="1">
      <c r="A24" s="29"/>
      <c r="B24" s="806" t="s">
        <v>21</v>
      </c>
      <c r="C24" s="37">
        <v>706.0</v>
      </c>
      <c r="D24" s="163">
        <f t="array" ref="D24">IFERROR(_xlfn.XLOOKUP(C24,Code!A:A,Code!B:B),"")</f>
        <v>1.6433</v>
      </c>
      <c r="E24" s="31" t="s">
        <v>558</v>
      </c>
      <c r="F24" s="39" t="s">
        <v>559</v>
      </c>
      <c r="G24" s="22" t="s">
        <v>17</v>
      </c>
      <c r="H24" s="22" t="s">
        <v>18</v>
      </c>
      <c r="I24" s="31">
        <v>1.0</v>
      </c>
      <c r="J24" s="31"/>
      <c r="K24" s="31"/>
      <c r="L24" s="31"/>
      <c r="M24" s="31"/>
    </row>
    <row r="25" ht="20.25" customHeight="1">
      <c r="A25" s="57"/>
      <c r="B25" s="806" t="s">
        <v>122</v>
      </c>
      <c r="C25" s="35">
        <v>706.0</v>
      </c>
      <c r="D25" s="163">
        <f t="array" ref="D25">IFERROR(_xlfn.XLOOKUP(C25,Code!A:A,Code!B:B),"")</f>
        <v>1.6433</v>
      </c>
      <c r="E25" s="27" t="s">
        <v>558</v>
      </c>
      <c r="F25" s="58"/>
      <c r="G25" s="14" t="s">
        <v>17</v>
      </c>
      <c r="H25" s="14" t="s">
        <v>25</v>
      </c>
      <c r="I25" s="27">
        <v>12.0</v>
      </c>
      <c r="J25" s="27"/>
      <c r="K25" s="27"/>
      <c r="L25" s="27"/>
      <c r="M25" s="27"/>
    </row>
    <row r="26" ht="20.25" customHeight="1">
      <c r="A26" s="15">
        <v>46166.0</v>
      </c>
      <c r="B26" s="806" t="s">
        <v>21</v>
      </c>
      <c r="C26" s="37">
        <v>707.0</v>
      </c>
      <c r="D26" s="163">
        <f t="array" ref="D26">IFERROR(_xlfn.XLOOKUP(C26,Code!A:A,Code!B:B),"")</f>
        <v>0.6875</v>
      </c>
      <c r="E26" s="64" t="s">
        <v>558</v>
      </c>
      <c r="F26" s="39" t="s">
        <v>559</v>
      </c>
      <c r="G26" s="22" t="s">
        <v>17</v>
      </c>
      <c r="H26" s="22" t="s">
        <v>18</v>
      </c>
      <c r="I26" s="31">
        <v>18.0</v>
      </c>
      <c r="J26" s="31"/>
      <c r="K26" s="31"/>
      <c r="L26" s="31"/>
      <c r="M26" s="31"/>
    </row>
    <row r="27" ht="20.25" customHeight="1">
      <c r="A27" s="57"/>
      <c r="B27" s="806" t="s">
        <v>51</v>
      </c>
      <c r="C27" s="35">
        <v>707.0</v>
      </c>
      <c r="D27" s="163">
        <f t="array" ref="D27">IFERROR(_xlfn.XLOOKUP(C27,Code!A:A,Code!B:B),"")</f>
        <v>0.6875</v>
      </c>
      <c r="E27" s="57"/>
      <c r="F27" s="57"/>
      <c r="G27" s="14" t="s">
        <v>17</v>
      </c>
      <c r="H27" s="14" t="s">
        <v>18</v>
      </c>
      <c r="I27" s="27">
        <v>1.0</v>
      </c>
      <c r="J27" s="27"/>
      <c r="K27" s="27"/>
      <c r="L27" s="27"/>
      <c r="M27" s="27"/>
    </row>
    <row r="28" ht="20.25" customHeight="1">
      <c r="A28" s="29"/>
      <c r="B28" s="806" t="s">
        <v>122</v>
      </c>
      <c r="C28" s="37">
        <v>707.0</v>
      </c>
      <c r="D28" s="163">
        <f t="array" ref="D28">IFERROR(_xlfn.XLOOKUP(C28,Code!A:A,Code!B:B),"")</f>
        <v>0.6875</v>
      </c>
      <c r="E28" s="20"/>
      <c r="F28" s="20"/>
      <c r="G28" s="22" t="s">
        <v>17</v>
      </c>
      <c r="H28" s="22" t="s">
        <v>25</v>
      </c>
      <c r="I28" s="31">
        <v>1.0</v>
      </c>
      <c r="J28" s="831"/>
      <c r="K28" s="831"/>
      <c r="L28" s="31"/>
      <c r="M28" s="31"/>
    </row>
    <row r="29" ht="20.25" customHeight="1">
      <c r="A29" s="57"/>
      <c r="B29" s="806" t="s">
        <v>21</v>
      </c>
      <c r="C29" s="35">
        <v>706.0</v>
      </c>
      <c r="D29" s="163">
        <f t="array" ref="D29">IFERROR(_xlfn.XLOOKUP(C29,Code!A:A,Code!B:B),"")</f>
        <v>1.6433</v>
      </c>
      <c r="E29" s="25" t="s">
        <v>474</v>
      </c>
      <c r="F29" s="13" t="s">
        <v>518</v>
      </c>
      <c r="G29" s="14" t="s">
        <v>17</v>
      </c>
      <c r="H29" s="14" t="s">
        <v>18</v>
      </c>
      <c r="I29" s="27">
        <v>29.0</v>
      </c>
      <c r="J29" s="27">
        <v>100.0</v>
      </c>
      <c r="K29" s="27">
        <f t="shared" ref="K29:K48" si="1">SUM(J29*I29)</f>
        <v>2900</v>
      </c>
      <c r="L29" s="27">
        <v>30.0</v>
      </c>
      <c r="M29" s="27">
        <f t="shared" ref="M29:M50" si="2">L29*I29</f>
        <v>870</v>
      </c>
    </row>
    <row r="30" ht="20.25" customHeight="1">
      <c r="A30" s="29"/>
      <c r="B30" s="806" t="s">
        <v>51</v>
      </c>
      <c r="C30" s="37">
        <v>706.0</v>
      </c>
      <c r="D30" s="163">
        <f t="array" ref="D30">IFERROR(_xlfn.XLOOKUP(C30,Code!A:A,Code!B:B),"")</f>
        <v>1.6433</v>
      </c>
      <c r="E30" s="29"/>
      <c r="F30" s="29"/>
      <c r="G30" s="22" t="s">
        <v>17</v>
      </c>
      <c r="H30" s="22" t="s">
        <v>18</v>
      </c>
      <c r="I30" s="31">
        <v>2.0</v>
      </c>
      <c r="J30" s="31">
        <v>100.0</v>
      </c>
      <c r="K30" s="31">
        <f t="shared" si="1"/>
        <v>200</v>
      </c>
      <c r="L30" s="31">
        <v>30.0</v>
      </c>
      <c r="M30" s="31">
        <f t="shared" si="2"/>
        <v>60</v>
      </c>
    </row>
    <row r="31" ht="20.25" customHeight="1">
      <c r="A31" s="57"/>
      <c r="B31" s="806" t="s">
        <v>122</v>
      </c>
      <c r="C31" s="35">
        <v>706.0</v>
      </c>
      <c r="D31" s="163">
        <f t="array" ref="D31">IFERROR(_xlfn.XLOOKUP(C31,Code!A:A,Code!B:B),"")</f>
        <v>1.6433</v>
      </c>
      <c r="E31" s="58"/>
      <c r="F31" s="58"/>
      <c r="G31" s="14" t="s">
        <v>17</v>
      </c>
      <c r="H31" s="14" t="s">
        <v>25</v>
      </c>
      <c r="I31" s="27">
        <v>1.0</v>
      </c>
      <c r="J31" s="27">
        <v>120.0</v>
      </c>
      <c r="K31" s="27">
        <f t="shared" si="1"/>
        <v>120</v>
      </c>
      <c r="L31" s="27">
        <v>30.0</v>
      </c>
      <c r="M31" s="27">
        <f t="shared" si="2"/>
        <v>30</v>
      </c>
    </row>
    <row r="32" ht="20.25" customHeight="1">
      <c r="A32" s="29"/>
      <c r="B32" s="806" t="s">
        <v>21</v>
      </c>
      <c r="C32" s="37">
        <v>706.0</v>
      </c>
      <c r="D32" s="163">
        <f t="array" ref="D32">IFERROR(_xlfn.XLOOKUP(C32,Code!A:A,Code!B:B),"")</f>
        <v>1.6433</v>
      </c>
      <c r="E32" s="64" t="s">
        <v>474</v>
      </c>
      <c r="F32" s="39" t="s">
        <v>557</v>
      </c>
      <c r="G32" s="22" t="s">
        <v>17</v>
      </c>
      <c r="H32" s="22" t="s">
        <v>18</v>
      </c>
      <c r="I32" s="31">
        <v>17.0</v>
      </c>
      <c r="J32" s="31">
        <v>100.0</v>
      </c>
      <c r="K32" s="31">
        <f t="shared" si="1"/>
        <v>1700</v>
      </c>
      <c r="L32" s="31">
        <v>25.0</v>
      </c>
      <c r="M32" s="31">
        <f t="shared" si="2"/>
        <v>425</v>
      </c>
    </row>
    <row r="33" ht="20.25" customHeight="1">
      <c r="A33" s="57"/>
      <c r="B33" s="806" t="s">
        <v>51</v>
      </c>
      <c r="C33" s="35">
        <v>706.0</v>
      </c>
      <c r="D33" s="163">
        <f t="array" ref="D33">IFERROR(_xlfn.XLOOKUP(C33,Code!A:A,Code!B:B),"")</f>
        <v>1.6433</v>
      </c>
      <c r="E33" s="57"/>
      <c r="F33" s="57"/>
      <c r="G33" s="14" t="s">
        <v>17</v>
      </c>
      <c r="H33" s="14" t="s">
        <v>18</v>
      </c>
      <c r="I33" s="27">
        <v>1.0</v>
      </c>
      <c r="J33" s="27">
        <v>100.0</v>
      </c>
      <c r="K33" s="27">
        <f t="shared" si="1"/>
        <v>100</v>
      </c>
      <c r="L33" s="27">
        <v>25.0</v>
      </c>
      <c r="M33" s="27">
        <f t="shared" si="2"/>
        <v>25</v>
      </c>
    </row>
    <row r="34" ht="20.25" customHeight="1">
      <c r="A34" s="20"/>
      <c r="B34" s="806" t="s">
        <v>122</v>
      </c>
      <c r="C34" s="832">
        <v>706.0</v>
      </c>
      <c r="D34" s="163">
        <f t="array" ref="D34">IFERROR(_xlfn.XLOOKUP(C34,Code!A:A,Code!B:B),"")</f>
        <v>1.6433</v>
      </c>
      <c r="E34" s="20"/>
      <c r="F34" s="20"/>
      <c r="G34" s="22" t="s">
        <v>17</v>
      </c>
      <c r="H34" s="22" t="s">
        <v>25</v>
      </c>
      <c r="I34" s="833">
        <v>1.0</v>
      </c>
      <c r="J34" s="31">
        <v>120.0</v>
      </c>
      <c r="K34" s="31">
        <f t="shared" si="1"/>
        <v>120</v>
      </c>
      <c r="L34" s="31">
        <v>25.0</v>
      </c>
      <c r="M34" s="31">
        <f t="shared" si="2"/>
        <v>25</v>
      </c>
    </row>
    <row r="35" ht="20.25" customHeight="1">
      <c r="A35" s="8">
        <v>46167.0</v>
      </c>
      <c r="B35" s="806" t="s">
        <v>21</v>
      </c>
      <c r="C35" s="35">
        <v>707.0</v>
      </c>
      <c r="D35" s="163">
        <f t="array" ref="D35">IFERROR(_xlfn.XLOOKUP(C35,Code!A:A,Code!B:B),"")</f>
        <v>0.6875</v>
      </c>
      <c r="E35" s="25" t="s">
        <v>474</v>
      </c>
      <c r="F35" s="834" t="s">
        <v>518</v>
      </c>
      <c r="G35" s="14" t="s">
        <v>17</v>
      </c>
      <c r="H35" s="14" t="s">
        <v>18</v>
      </c>
      <c r="I35" s="835">
        <v>14.0</v>
      </c>
      <c r="J35" s="27">
        <v>100.0</v>
      </c>
      <c r="K35" s="27">
        <f t="shared" si="1"/>
        <v>1400</v>
      </c>
      <c r="L35" s="27">
        <v>30.0</v>
      </c>
      <c r="M35" s="27">
        <f t="shared" si="2"/>
        <v>420</v>
      </c>
    </row>
    <row r="36" ht="20.25" customHeight="1">
      <c r="A36" s="29"/>
      <c r="B36" s="806" t="s">
        <v>51</v>
      </c>
      <c r="C36" s="37">
        <v>707.0</v>
      </c>
      <c r="D36" s="163">
        <f t="array" ref="D36">IFERROR(_xlfn.XLOOKUP(C36,Code!A:A,Code!B:B),"")</f>
        <v>0.6875</v>
      </c>
      <c r="E36" s="29"/>
      <c r="F36" s="29"/>
      <c r="G36" s="22" t="s">
        <v>17</v>
      </c>
      <c r="H36" s="22" t="s">
        <v>18</v>
      </c>
      <c r="I36" s="835">
        <v>1.0</v>
      </c>
      <c r="J36" s="31">
        <v>100.0</v>
      </c>
      <c r="K36" s="31">
        <f t="shared" si="1"/>
        <v>100</v>
      </c>
      <c r="L36" s="31">
        <v>30.0</v>
      </c>
      <c r="M36" s="31">
        <f t="shared" si="2"/>
        <v>30</v>
      </c>
    </row>
    <row r="37" ht="20.25" customHeight="1">
      <c r="A37" s="57"/>
      <c r="B37" s="806" t="s">
        <v>122</v>
      </c>
      <c r="C37" s="35">
        <v>707.0</v>
      </c>
      <c r="D37" s="163">
        <f t="array" ref="D37">IFERROR(_xlfn.XLOOKUP(C37,Code!A:A,Code!B:B),"")</f>
        <v>0.6875</v>
      </c>
      <c r="E37" s="58"/>
      <c r="F37" s="58"/>
      <c r="G37" s="14" t="s">
        <v>17</v>
      </c>
      <c r="H37" s="14" t="s">
        <v>25</v>
      </c>
      <c r="I37" s="835">
        <v>1.0</v>
      </c>
      <c r="J37" s="27">
        <v>120.0</v>
      </c>
      <c r="K37" s="27">
        <f t="shared" si="1"/>
        <v>120</v>
      </c>
      <c r="L37" s="27">
        <v>30.0</v>
      </c>
      <c r="M37" s="27">
        <f t="shared" si="2"/>
        <v>30</v>
      </c>
    </row>
    <row r="38" ht="20.25" customHeight="1">
      <c r="A38" s="29"/>
      <c r="B38" s="806" t="s">
        <v>21</v>
      </c>
      <c r="C38" s="37">
        <v>707.0</v>
      </c>
      <c r="D38" s="163">
        <f t="array" ref="D38">IFERROR(_xlfn.XLOOKUP(C38,Code!A:A,Code!B:B),"")</f>
        <v>0.6875</v>
      </c>
      <c r="E38" s="64" t="s">
        <v>558</v>
      </c>
      <c r="F38" s="39" t="s">
        <v>559</v>
      </c>
      <c r="G38" s="22" t="s">
        <v>17</v>
      </c>
      <c r="H38" s="22" t="s">
        <v>18</v>
      </c>
      <c r="I38" s="31">
        <v>18.0</v>
      </c>
      <c r="J38" s="31">
        <v>100.0</v>
      </c>
      <c r="K38" s="31">
        <f t="shared" si="1"/>
        <v>1800</v>
      </c>
      <c r="L38" s="31"/>
      <c r="M38" s="31">
        <f t="shared" si="2"/>
        <v>0</v>
      </c>
    </row>
    <row r="39" ht="20.25" customHeight="1">
      <c r="A39" s="57"/>
      <c r="B39" s="806" t="s">
        <v>51</v>
      </c>
      <c r="C39" s="35">
        <v>707.0</v>
      </c>
      <c r="D39" s="163">
        <f t="array" ref="D39">IFERROR(_xlfn.XLOOKUP(C39,Code!A:A,Code!B:B),"")</f>
        <v>0.6875</v>
      </c>
      <c r="E39" s="57"/>
      <c r="F39" s="57"/>
      <c r="G39" s="14" t="s">
        <v>17</v>
      </c>
      <c r="H39" s="14" t="s">
        <v>18</v>
      </c>
      <c r="I39" s="27">
        <v>1.0</v>
      </c>
      <c r="J39" s="27">
        <v>100.0</v>
      </c>
      <c r="K39" s="27">
        <f t="shared" si="1"/>
        <v>100</v>
      </c>
      <c r="L39" s="27"/>
      <c r="M39" s="27">
        <f t="shared" si="2"/>
        <v>0</v>
      </c>
    </row>
    <row r="40" ht="20.25" customHeight="1">
      <c r="A40" s="29"/>
      <c r="B40" s="806" t="s">
        <v>122</v>
      </c>
      <c r="C40" s="37">
        <v>707.0</v>
      </c>
      <c r="D40" s="163">
        <f t="array" ref="D40">IFERROR(_xlfn.XLOOKUP(C40,Code!A:A,Code!B:B),"")</f>
        <v>0.6875</v>
      </c>
      <c r="E40" s="20"/>
      <c r="F40" s="20"/>
      <c r="G40" s="22" t="s">
        <v>17</v>
      </c>
      <c r="H40" s="22" t="s">
        <v>25</v>
      </c>
      <c r="I40" s="31">
        <v>1.0</v>
      </c>
      <c r="J40" s="31">
        <v>120.0</v>
      </c>
      <c r="K40" s="31">
        <f t="shared" si="1"/>
        <v>120</v>
      </c>
      <c r="L40" s="31"/>
      <c r="M40" s="31">
        <f t="shared" si="2"/>
        <v>0</v>
      </c>
    </row>
    <row r="41" ht="20.25" customHeight="1">
      <c r="A41" s="57"/>
      <c r="B41" s="806" t="s">
        <v>21</v>
      </c>
      <c r="C41" s="35">
        <v>707.0</v>
      </c>
      <c r="D41" s="163">
        <f t="array" ref="D41">IFERROR(_xlfn.XLOOKUP(C41,Code!A:A,Code!B:B),"")</f>
        <v>0.6875</v>
      </c>
      <c r="E41" s="25" t="s">
        <v>558</v>
      </c>
      <c r="F41" s="834" t="s">
        <v>560</v>
      </c>
      <c r="G41" s="14" t="s">
        <v>17</v>
      </c>
      <c r="H41" s="14" t="s">
        <v>18</v>
      </c>
      <c r="I41" s="835">
        <v>18.0</v>
      </c>
      <c r="J41" s="27">
        <v>100.0</v>
      </c>
      <c r="K41" s="27">
        <f t="shared" si="1"/>
        <v>1800</v>
      </c>
      <c r="L41" s="27">
        <v>30.0</v>
      </c>
      <c r="M41" s="27">
        <f t="shared" si="2"/>
        <v>540</v>
      </c>
    </row>
    <row r="42" ht="20.25" customHeight="1">
      <c r="A42" s="29"/>
      <c r="B42" s="806" t="s">
        <v>51</v>
      </c>
      <c r="C42" s="37">
        <v>707.0</v>
      </c>
      <c r="D42" s="163">
        <f t="array" ref="D42">IFERROR(_xlfn.XLOOKUP(C42,Code!A:A,Code!B:B),"")</f>
        <v>0.6875</v>
      </c>
      <c r="E42" s="29"/>
      <c r="F42" s="29"/>
      <c r="G42" s="22" t="s">
        <v>17</v>
      </c>
      <c r="H42" s="22" t="s">
        <v>18</v>
      </c>
      <c r="I42" s="835">
        <v>0.0</v>
      </c>
      <c r="J42" s="31">
        <v>0.0</v>
      </c>
      <c r="K42" s="31">
        <f t="shared" si="1"/>
        <v>0</v>
      </c>
      <c r="L42" s="31">
        <v>0.0</v>
      </c>
      <c r="M42" s="31">
        <f t="shared" si="2"/>
        <v>0</v>
      </c>
    </row>
    <row r="43" ht="20.25" customHeight="1">
      <c r="A43" s="57"/>
      <c r="B43" s="806" t="s">
        <v>122</v>
      </c>
      <c r="C43" s="35">
        <v>707.0</v>
      </c>
      <c r="D43" s="163">
        <f t="array" ref="D43">IFERROR(_xlfn.XLOOKUP(C43,Code!A:A,Code!B:B),"")</f>
        <v>0.6875</v>
      </c>
      <c r="E43" s="58"/>
      <c r="F43" s="58"/>
      <c r="G43" s="14" t="s">
        <v>17</v>
      </c>
      <c r="H43" s="14" t="s">
        <v>25</v>
      </c>
      <c r="I43" s="835">
        <v>1.0</v>
      </c>
      <c r="J43" s="27">
        <v>120.0</v>
      </c>
      <c r="K43" s="27">
        <f t="shared" si="1"/>
        <v>120</v>
      </c>
      <c r="L43" s="27">
        <v>30.0</v>
      </c>
      <c r="M43" s="27">
        <f t="shared" si="2"/>
        <v>30</v>
      </c>
    </row>
    <row r="44" ht="20.25" customHeight="1">
      <c r="A44" s="29"/>
      <c r="B44" s="806" t="s">
        <v>21</v>
      </c>
      <c r="C44" s="37">
        <v>707.0</v>
      </c>
      <c r="D44" s="163">
        <f t="array" ref="D44">IFERROR(_xlfn.XLOOKUP(C44,Code!A:A,Code!B:B),"")</f>
        <v>0.6875</v>
      </c>
      <c r="E44" s="64" t="s">
        <v>558</v>
      </c>
      <c r="F44" s="39" t="s">
        <v>561</v>
      </c>
      <c r="G44" s="22" t="s">
        <v>17</v>
      </c>
      <c r="H44" s="22" t="s">
        <v>18</v>
      </c>
      <c r="I44" s="31">
        <v>17.0</v>
      </c>
      <c r="J44" s="31">
        <v>10.0</v>
      </c>
      <c r="K44" s="31">
        <f t="shared" si="1"/>
        <v>170</v>
      </c>
      <c r="L44" s="31"/>
      <c r="M44" s="31">
        <f t="shared" si="2"/>
        <v>0</v>
      </c>
    </row>
    <row r="45" ht="20.25" customHeight="1">
      <c r="A45" s="57"/>
      <c r="B45" s="806" t="s">
        <v>51</v>
      </c>
      <c r="C45" s="35">
        <v>707.0</v>
      </c>
      <c r="D45" s="163">
        <f t="array" ref="D45">IFERROR(_xlfn.XLOOKUP(C45,Code!A:A,Code!B:B),"")</f>
        <v>0.6875</v>
      </c>
      <c r="E45" s="57"/>
      <c r="F45" s="57"/>
      <c r="G45" s="14" t="s">
        <v>17</v>
      </c>
      <c r="H45" s="14" t="s">
        <v>18</v>
      </c>
      <c r="I45" s="27">
        <v>0.0</v>
      </c>
      <c r="J45" s="27">
        <v>0.0</v>
      </c>
      <c r="K45" s="27">
        <f t="shared" si="1"/>
        <v>0</v>
      </c>
      <c r="L45" s="27"/>
      <c r="M45" s="27">
        <f t="shared" si="2"/>
        <v>0</v>
      </c>
    </row>
    <row r="46" ht="20.25" customHeight="1">
      <c r="A46" s="29"/>
      <c r="B46" s="806" t="s">
        <v>122</v>
      </c>
      <c r="C46" s="37">
        <v>707.0</v>
      </c>
      <c r="D46" s="163">
        <f t="array" ref="D46">IFERROR(_xlfn.XLOOKUP(C46,Code!A:A,Code!B:B),"")</f>
        <v>0.6875</v>
      </c>
      <c r="E46" s="20"/>
      <c r="F46" s="20"/>
      <c r="G46" s="22" t="s">
        <v>17</v>
      </c>
      <c r="H46" s="22" t="s">
        <v>25</v>
      </c>
      <c r="I46" s="31">
        <v>1.0</v>
      </c>
      <c r="J46" s="31">
        <v>120.0</v>
      </c>
      <c r="K46" s="31">
        <f t="shared" si="1"/>
        <v>120</v>
      </c>
      <c r="L46" s="31"/>
      <c r="M46" s="31">
        <f t="shared" si="2"/>
        <v>0</v>
      </c>
    </row>
    <row r="47" ht="20.25" customHeight="1">
      <c r="A47" s="57"/>
      <c r="B47" s="806" t="s">
        <v>21</v>
      </c>
      <c r="C47" s="35">
        <v>706.0</v>
      </c>
      <c r="D47" s="163">
        <f t="array" ref="D47">IFERROR(_xlfn.XLOOKUP(C47,Code!A:A,Code!B:B),"")</f>
        <v>1.6433</v>
      </c>
      <c r="E47" s="25" t="s">
        <v>474</v>
      </c>
      <c r="F47" s="834" t="s">
        <v>557</v>
      </c>
      <c r="G47" s="14" t="s">
        <v>17</v>
      </c>
      <c r="H47" s="14" t="s">
        <v>18</v>
      </c>
      <c r="I47" s="835">
        <v>14.0</v>
      </c>
      <c r="J47" s="27">
        <v>100.0</v>
      </c>
      <c r="K47" s="27">
        <f t="shared" si="1"/>
        <v>1400</v>
      </c>
      <c r="L47" s="27">
        <v>25.0</v>
      </c>
      <c r="M47" s="27">
        <f t="shared" si="2"/>
        <v>350</v>
      </c>
    </row>
    <row r="48" ht="20.25" customHeight="1">
      <c r="A48" s="29"/>
      <c r="B48" s="806" t="s">
        <v>51</v>
      </c>
      <c r="C48" s="37">
        <v>706.0</v>
      </c>
      <c r="D48" s="163">
        <f t="array" ref="D48">IFERROR(_xlfn.XLOOKUP(C48,Code!A:A,Code!B:B),"")</f>
        <v>1.6433</v>
      </c>
      <c r="E48" s="29"/>
      <c r="F48" s="29"/>
      <c r="G48" s="22" t="s">
        <v>17</v>
      </c>
      <c r="H48" s="22" t="s">
        <v>18</v>
      </c>
      <c r="I48" s="835">
        <v>1.0</v>
      </c>
      <c r="J48" s="31">
        <v>100.0</v>
      </c>
      <c r="K48" s="31">
        <f t="shared" si="1"/>
        <v>100</v>
      </c>
      <c r="L48" s="31">
        <v>25.0</v>
      </c>
      <c r="M48" s="31">
        <f t="shared" si="2"/>
        <v>25</v>
      </c>
    </row>
    <row r="49" ht="20.25" customHeight="1">
      <c r="A49" s="58"/>
      <c r="B49" s="806" t="s">
        <v>122</v>
      </c>
      <c r="C49" s="35">
        <v>706.0</v>
      </c>
      <c r="D49" s="163">
        <f t="array" ref="D49">IFERROR(_xlfn.XLOOKUP(C49,Code!A:A,Code!B:B),"")</f>
        <v>1.6433</v>
      </c>
      <c r="E49" s="58"/>
      <c r="F49" s="58"/>
      <c r="G49" s="14" t="s">
        <v>17</v>
      </c>
      <c r="H49" s="14" t="s">
        <v>25</v>
      </c>
      <c r="I49" s="835">
        <v>1.0</v>
      </c>
      <c r="J49" s="27">
        <v>120.0</v>
      </c>
      <c r="K49" s="27">
        <v>100.0</v>
      </c>
      <c r="L49" s="27">
        <v>25.0</v>
      </c>
      <c r="M49" s="27">
        <f t="shared" si="2"/>
        <v>25</v>
      </c>
    </row>
    <row r="50" ht="20.25" customHeight="1">
      <c r="A50" s="15">
        <v>46170.0</v>
      </c>
      <c r="B50" s="21" t="s">
        <v>21</v>
      </c>
      <c r="C50" s="37">
        <v>713.0</v>
      </c>
      <c r="D50" s="858">
        <f t="array" ref="D50">IFERROR(_xlfn.XLOOKUP(C50,Code!A:A,Code!B:B),"")</f>
        <v>0.9542</v>
      </c>
      <c r="E50" s="64" t="s">
        <v>474</v>
      </c>
      <c r="F50" s="39" t="s">
        <v>518</v>
      </c>
      <c r="G50" s="39" t="s">
        <v>17</v>
      </c>
      <c r="H50" s="39" t="s">
        <v>18</v>
      </c>
      <c r="I50" s="64">
        <v>18.0</v>
      </c>
      <c r="J50" s="64">
        <v>100.0</v>
      </c>
      <c r="K50" s="64">
        <v>100.0</v>
      </c>
      <c r="L50" s="64">
        <v>30.0</v>
      </c>
      <c r="M50" s="64">
        <f t="shared" si="2"/>
        <v>540</v>
      </c>
    </row>
    <row r="51" ht="20.25" customHeight="1">
      <c r="A51" s="57"/>
      <c r="B51" s="58"/>
      <c r="C51" s="35">
        <v>718.0</v>
      </c>
      <c r="D51" s="176">
        <f t="array" ref="D51">IFERROR(_xlfn.XLOOKUP(C51,Code!A:A,Code!B:B),"")</f>
        <v>0.8827</v>
      </c>
      <c r="E51" s="57"/>
      <c r="F51" s="57"/>
      <c r="G51" s="58"/>
      <c r="H51" s="58"/>
      <c r="I51" s="58"/>
      <c r="J51" s="58"/>
      <c r="K51" s="58"/>
      <c r="L51" s="58"/>
      <c r="M51" s="58"/>
    </row>
    <row r="52" ht="20.25" customHeight="1">
      <c r="A52" s="29"/>
      <c r="B52" s="567" t="s">
        <v>51</v>
      </c>
      <c r="C52" s="37">
        <v>718.0</v>
      </c>
      <c r="D52" s="163">
        <f t="array" ref="D52">IFERROR(_xlfn.XLOOKUP(C52,Code!A:A,Code!B:B),"")</f>
        <v>0.8827</v>
      </c>
      <c r="E52" s="29"/>
      <c r="F52" s="29"/>
      <c r="G52" s="39" t="s">
        <v>17</v>
      </c>
      <c r="H52" s="39" t="s">
        <v>18</v>
      </c>
      <c r="I52" s="64">
        <v>1.0</v>
      </c>
      <c r="J52" s="64">
        <v>100.0</v>
      </c>
      <c r="K52" s="64">
        <f>SUM(J52*I52)</f>
        <v>100</v>
      </c>
      <c r="L52" s="64">
        <v>30.0</v>
      </c>
      <c r="M52" s="64">
        <f>L52*I52</f>
        <v>30</v>
      </c>
    </row>
    <row r="53" ht="20.25" customHeight="1">
      <c r="A53" s="57"/>
      <c r="B53" s="58"/>
      <c r="C53" s="35">
        <v>713.0</v>
      </c>
      <c r="D53" s="163">
        <f t="array" ref="D53">IFERROR(_xlfn.XLOOKUP(C53,Code!A:A,Code!B:B),"")</f>
        <v>0.9542</v>
      </c>
      <c r="E53" s="57"/>
      <c r="F53" s="57"/>
      <c r="G53" s="58"/>
      <c r="H53" s="58"/>
      <c r="I53" s="58"/>
      <c r="J53" s="58"/>
      <c r="K53" s="58"/>
      <c r="L53" s="58"/>
      <c r="M53" s="58"/>
    </row>
    <row r="54" ht="20.25" customHeight="1">
      <c r="A54" s="29"/>
      <c r="B54" s="567" t="s">
        <v>122</v>
      </c>
      <c r="C54" s="37">
        <v>718.0</v>
      </c>
      <c r="D54" s="163">
        <f t="array" ref="D54">IFERROR(_xlfn.XLOOKUP(C54,Code!A:A,Code!B:B),"")</f>
        <v>0.8827</v>
      </c>
      <c r="E54" s="29"/>
      <c r="F54" s="29"/>
      <c r="G54" s="39" t="s">
        <v>17</v>
      </c>
      <c r="H54" s="39" t="s">
        <v>25</v>
      </c>
      <c r="I54" s="64">
        <v>1.0</v>
      </c>
      <c r="J54" s="64">
        <v>120.0</v>
      </c>
      <c r="K54" s="64">
        <f>SUM(J54*I54)</f>
        <v>120</v>
      </c>
      <c r="L54" s="64">
        <v>30.0</v>
      </c>
      <c r="M54" s="64">
        <f>L54*I54</f>
        <v>30</v>
      </c>
    </row>
    <row r="55" ht="20.25" customHeight="1">
      <c r="A55" s="58"/>
      <c r="B55" s="58"/>
      <c r="C55" s="35">
        <v>713.0</v>
      </c>
      <c r="D55" s="163">
        <f t="array" ref="D55">IFERROR(_xlfn.XLOOKUP(C55,Code!A:A,Code!B:B),"")</f>
        <v>0.9542</v>
      </c>
      <c r="E55" s="58"/>
      <c r="F55" s="58"/>
      <c r="G55" s="58"/>
      <c r="H55" s="58"/>
      <c r="I55" s="58"/>
      <c r="J55" s="58"/>
      <c r="K55" s="58"/>
      <c r="L55" s="58"/>
      <c r="M55" s="58"/>
    </row>
    <row r="56" ht="20.25" customHeight="1">
      <c r="A56" s="15">
        <v>46171.0</v>
      </c>
      <c r="B56" s="806" t="s">
        <v>21</v>
      </c>
      <c r="C56" s="37">
        <v>702.0</v>
      </c>
      <c r="D56" s="163">
        <f t="array" ref="D56">IFERROR(_xlfn.XLOOKUP(C56,Code!A:A,Code!B:B),"")</f>
        <v>0.9585</v>
      </c>
      <c r="E56" s="64" t="s">
        <v>474</v>
      </c>
      <c r="F56" s="39" t="s">
        <v>557</v>
      </c>
      <c r="G56" s="39" t="s">
        <v>17</v>
      </c>
      <c r="H56" s="22" t="s">
        <v>18</v>
      </c>
      <c r="I56" s="31">
        <v>10.0</v>
      </c>
      <c r="J56" s="31">
        <v>100.0</v>
      </c>
      <c r="K56" s="31">
        <f t="shared" ref="K56:K61" si="3">SUM(J56*I56)</f>
        <v>1000</v>
      </c>
      <c r="L56" s="31">
        <v>25.0</v>
      </c>
      <c r="M56" s="64">
        <f t="shared" ref="M56:M61" si="4">L56*I56</f>
        <v>250</v>
      </c>
    </row>
    <row r="57" ht="20.25" customHeight="1">
      <c r="A57" s="57"/>
      <c r="B57" s="806" t="s">
        <v>51</v>
      </c>
      <c r="C57" s="35">
        <v>702.0</v>
      </c>
      <c r="D57" s="163">
        <f t="array" ref="D57">IFERROR(_xlfn.XLOOKUP(C57,Code!A:A,Code!B:B),"")</f>
        <v>0.9585</v>
      </c>
      <c r="E57" s="57"/>
      <c r="F57" s="57"/>
      <c r="G57" s="57"/>
      <c r="H57" s="14" t="s">
        <v>18</v>
      </c>
      <c r="I57" s="27">
        <v>1.0</v>
      </c>
      <c r="J57" s="27">
        <v>100.0</v>
      </c>
      <c r="K57" s="27">
        <f t="shared" si="3"/>
        <v>100</v>
      </c>
      <c r="L57" s="27">
        <v>25.0</v>
      </c>
      <c r="M57" s="25">
        <f t="shared" si="4"/>
        <v>25</v>
      </c>
    </row>
    <row r="58" ht="20.25" customHeight="1">
      <c r="A58" s="29"/>
      <c r="B58" s="806" t="s">
        <v>122</v>
      </c>
      <c r="C58" s="37">
        <v>702.0</v>
      </c>
      <c r="D58" s="163">
        <f t="array" ref="D58">IFERROR(_xlfn.XLOOKUP(C58,Code!A:A,Code!B:B),"")</f>
        <v>0.9585</v>
      </c>
      <c r="E58" s="20"/>
      <c r="F58" s="20"/>
      <c r="G58" s="20"/>
      <c r="H58" s="22" t="s">
        <v>25</v>
      </c>
      <c r="I58" s="31">
        <v>1.0</v>
      </c>
      <c r="J58" s="31">
        <v>120.0</v>
      </c>
      <c r="K58" s="31">
        <f t="shared" si="3"/>
        <v>120</v>
      </c>
      <c r="L58" s="31">
        <v>25.0</v>
      </c>
      <c r="M58" s="64">
        <f t="shared" si="4"/>
        <v>25</v>
      </c>
    </row>
    <row r="59" ht="20.25" customHeight="1">
      <c r="A59" s="57"/>
      <c r="B59" s="806" t="s">
        <v>21</v>
      </c>
      <c r="C59" s="35"/>
      <c r="D59" s="163" t="str">
        <f t="array" ref="D59">IFERROR(_xlfn.XLOOKUP(C59,Code!A:A,Code!B:B),"")</f>
        <v/>
      </c>
      <c r="E59" s="25" t="s">
        <v>474</v>
      </c>
      <c r="F59" s="13" t="s">
        <v>518</v>
      </c>
      <c r="G59" s="13" t="s">
        <v>17</v>
      </c>
      <c r="H59" s="14" t="s">
        <v>18</v>
      </c>
      <c r="I59" s="27">
        <v>18.0</v>
      </c>
      <c r="J59" s="27">
        <v>100.0</v>
      </c>
      <c r="K59" s="27">
        <f t="shared" si="3"/>
        <v>1800</v>
      </c>
      <c r="L59" s="27">
        <v>30.0</v>
      </c>
      <c r="M59" s="25">
        <f t="shared" si="4"/>
        <v>540</v>
      </c>
    </row>
    <row r="60" ht="20.25" customHeight="1">
      <c r="A60" s="29"/>
      <c r="B60" s="806" t="s">
        <v>51</v>
      </c>
      <c r="C60" s="37"/>
      <c r="D60" s="163" t="str">
        <f t="array" ref="D60">IFERROR(_xlfn.XLOOKUP(C60,Code!A:A,Code!B:B),"")</f>
        <v/>
      </c>
      <c r="E60" s="29"/>
      <c r="F60" s="29"/>
      <c r="G60" s="29"/>
      <c r="H60" s="22" t="s">
        <v>18</v>
      </c>
      <c r="I60" s="31">
        <v>1.0</v>
      </c>
      <c r="J60" s="31">
        <v>100.0</v>
      </c>
      <c r="K60" s="31">
        <f t="shared" si="3"/>
        <v>100</v>
      </c>
      <c r="L60" s="31">
        <v>30.0</v>
      </c>
      <c r="M60" s="64">
        <f t="shared" si="4"/>
        <v>30</v>
      </c>
    </row>
    <row r="61" ht="20.25" customHeight="1">
      <c r="A61" s="58"/>
      <c r="B61" s="806" t="s">
        <v>122</v>
      </c>
      <c r="C61" s="35"/>
      <c r="D61" s="163" t="str">
        <f t="array" ref="D61">IFERROR(_xlfn.XLOOKUP(C61,Code!A:A,Code!B:B),"")</f>
        <v/>
      </c>
      <c r="E61" s="58"/>
      <c r="F61" s="58"/>
      <c r="G61" s="58"/>
      <c r="H61" s="14" t="s">
        <v>25</v>
      </c>
      <c r="I61" s="27">
        <v>1.0</v>
      </c>
      <c r="J61" s="27">
        <v>120.0</v>
      </c>
      <c r="K61" s="27">
        <f t="shared" si="3"/>
        <v>120</v>
      </c>
      <c r="L61" s="27">
        <v>30.0</v>
      </c>
      <c r="M61" s="25">
        <f t="shared" si="4"/>
        <v>30</v>
      </c>
    </row>
    <row r="62" ht="20.25" customHeight="1">
      <c r="A62" s="15">
        <v>46172.0</v>
      </c>
      <c r="B62" s="806" t="s">
        <v>122</v>
      </c>
      <c r="C62" s="37">
        <v>702.0</v>
      </c>
      <c r="D62" s="163">
        <f t="array" ref="D62">IFERROR(_xlfn.XLOOKUP(C62,Code!A:A,Code!B:B),"")</f>
        <v>0.9585</v>
      </c>
      <c r="E62" s="64" t="s">
        <v>368</v>
      </c>
      <c r="F62" s="39" t="s">
        <v>578</v>
      </c>
      <c r="G62" s="39" t="s">
        <v>17</v>
      </c>
      <c r="H62" s="22" t="s">
        <v>25</v>
      </c>
      <c r="I62" s="31">
        <v>1.0</v>
      </c>
      <c r="J62" s="31">
        <v>120.0</v>
      </c>
      <c r="K62" s="31">
        <v>120.0</v>
      </c>
      <c r="L62" s="31">
        <v>30.0</v>
      </c>
      <c r="M62" s="31">
        <v>30.0</v>
      </c>
    </row>
    <row r="63" ht="20.25" customHeight="1">
      <c r="A63" s="57"/>
      <c r="B63" s="806" t="s">
        <v>21</v>
      </c>
      <c r="C63" s="35">
        <v>702.0</v>
      </c>
      <c r="D63" s="163">
        <f t="array" ref="D63">IFERROR(_xlfn.XLOOKUP(C63,Code!A:A,Code!B:B),"")</f>
        <v>0.9585</v>
      </c>
      <c r="E63" s="58"/>
      <c r="F63" s="58"/>
      <c r="G63" s="58"/>
      <c r="H63" s="14" t="s">
        <v>18</v>
      </c>
      <c r="I63" s="27">
        <v>13.0</v>
      </c>
      <c r="J63" s="27">
        <v>100.0</v>
      </c>
      <c r="K63" s="27">
        <v>1300.0</v>
      </c>
      <c r="L63" s="27">
        <v>30.0</v>
      </c>
      <c r="M63" s="27">
        <v>390.0</v>
      </c>
    </row>
    <row r="64" ht="20.25" customHeight="1">
      <c r="A64" s="29"/>
      <c r="B64" s="806" t="s">
        <v>122</v>
      </c>
      <c r="C64" s="37">
        <v>702.0</v>
      </c>
      <c r="D64" s="163">
        <f t="array" ref="D64">IFERROR(_xlfn.XLOOKUP(C64,Code!A:A,Code!B:B),"")</f>
        <v>0.9585</v>
      </c>
      <c r="E64" s="64" t="s">
        <v>368</v>
      </c>
      <c r="F64" s="39" t="s">
        <v>94</v>
      </c>
      <c r="G64" s="39" t="s">
        <v>17</v>
      </c>
      <c r="H64" s="22" t="s">
        <v>25</v>
      </c>
      <c r="I64" s="31">
        <v>1.0</v>
      </c>
      <c r="J64" s="31">
        <v>120.0</v>
      </c>
      <c r="K64" s="31">
        <v>120.0</v>
      </c>
      <c r="L64" s="31">
        <v>25.0</v>
      </c>
      <c r="M64" s="31">
        <v>25.0</v>
      </c>
    </row>
    <row r="65" ht="20.25" customHeight="1">
      <c r="A65" s="57"/>
      <c r="B65" s="806" t="s">
        <v>21</v>
      </c>
      <c r="C65" s="35">
        <v>702.0</v>
      </c>
      <c r="D65" s="163">
        <f t="array" ref="D65">IFERROR(_xlfn.XLOOKUP(C65,Code!A:A,Code!B:B),"")</f>
        <v>0.9585</v>
      </c>
      <c r="E65" s="58"/>
      <c r="F65" s="58"/>
      <c r="G65" s="58"/>
      <c r="H65" s="14" t="s">
        <v>18</v>
      </c>
      <c r="I65" s="27">
        <v>9.0</v>
      </c>
      <c r="J65" s="27">
        <v>100.0</v>
      </c>
      <c r="K65" s="27">
        <v>900.0</v>
      </c>
      <c r="L65" s="27">
        <v>25.0</v>
      </c>
      <c r="M65" s="27">
        <v>225.0</v>
      </c>
    </row>
    <row r="66" ht="20.25" customHeight="1">
      <c r="A66" s="29"/>
      <c r="B66" s="806" t="s">
        <v>122</v>
      </c>
      <c r="C66" s="37">
        <v>703.0</v>
      </c>
      <c r="D66" s="163">
        <f t="array" ref="D66">IFERROR(_xlfn.XLOOKUP(C66,Code!A:A,Code!B:B),"")</f>
        <v>1.0074</v>
      </c>
      <c r="E66" s="64" t="s">
        <v>368</v>
      </c>
      <c r="F66" s="39" t="s">
        <v>561</v>
      </c>
      <c r="G66" s="39" t="s">
        <v>17</v>
      </c>
      <c r="H66" s="22" t="s">
        <v>25</v>
      </c>
      <c r="I66" s="31">
        <v>1.0</v>
      </c>
      <c r="J66" s="31"/>
      <c r="K66" s="31"/>
      <c r="L66" s="31"/>
      <c r="M66" s="31"/>
    </row>
    <row r="67" ht="20.25" customHeight="1">
      <c r="A67" s="58"/>
      <c r="B67" s="806" t="s">
        <v>21</v>
      </c>
      <c r="C67" s="35">
        <v>703.0</v>
      </c>
      <c r="D67" s="163">
        <f t="array" ref="D67">IFERROR(_xlfn.XLOOKUP(C67,Code!A:A,Code!B:B),"")</f>
        <v>1.0074</v>
      </c>
      <c r="E67" s="58"/>
      <c r="F67" s="58"/>
      <c r="G67" s="58"/>
      <c r="H67" s="14" t="s">
        <v>18</v>
      </c>
      <c r="I67" s="27">
        <v>14.0</v>
      </c>
      <c r="J67" s="27"/>
      <c r="K67" s="27"/>
      <c r="L67" s="27"/>
      <c r="M67" s="27"/>
    </row>
    <row r="68" ht="20.25" customHeight="1">
      <c r="A68" s="15">
        <v>46173.0</v>
      </c>
      <c r="B68" s="806" t="s">
        <v>122</v>
      </c>
      <c r="C68" s="37">
        <v>704.0</v>
      </c>
      <c r="D68" s="163">
        <f t="array" ref="D68">IFERROR(_xlfn.XLOOKUP(C68,Code!A:A,Code!B:B),"")</f>
        <v>1.1826</v>
      </c>
      <c r="E68" s="64" t="s">
        <v>368</v>
      </c>
      <c r="F68" s="39" t="s">
        <v>82</v>
      </c>
      <c r="G68" s="39" t="s">
        <v>17</v>
      </c>
      <c r="H68" s="22" t="s">
        <v>25</v>
      </c>
      <c r="I68" s="31">
        <v>1.0</v>
      </c>
      <c r="J68" s="31">
        <v>120.0</v>
      </c>
      <c r="K68" s="31">
        <v>120.0</v>
      </c>
      <c r="L68" s="31">
        <v>30.0</v>
      </c>
      <c r="M68" s="31">
        <v>30.0</v>
      </c>
    </row>
    <row r="69" ht="20.25" customHeight="1">
      <c r="A69" s="57"/>
      <c r="B69" s="806" t="s">
        <v>21</v>
      </c>
      <c r="C69" s="35">
        <v>704.0</v>
      </c>
      <c r="D69" s="163">
        <f t="array" ref="D69">IFERROR(_xlfn.XLOOKUP(C69,Code!A:A,Code!B:B),"")</f>
        <v>1.1826</v>
      </c>
      <c r="E69" s="58"/>
      <c r="F69" s="58"/>
      <c r="G69" s="58"/>
      <c r="H69" s="14" t="s">
        <v>18</v>
      </c>
      <c r="I69" s="27">
        <v>20.0</v>
      </c>
      <c r="J69" s="27">
        <v>100.0</v>
      </c>
      <c r="K69" s="27">
        <v>2000.0</v>
      </c>
      <c r="L69" s="27">
        <v>30.0</v>
      </c>
      <c r="M69" s="27">
        <v>600.0</v>
      </c>
    </row>
    <row r="70" ht="20.25" customHeight="1">
      <c r="A70" s="29"/>
      <c r="B70" s="806" t="s">
        <v>122</v>
      </c>
      <c r="C70" s="37">
        <v>704.0</v>
      </c>
      <c r="D70" s="163">
        <f t="array" ref="D70">IFERROR(_xlfn.XLOOKUP(C70,Code!A:A,Code!B:B),"")</f>
        <v>1.1826</v>
      </c>
      <c r="E70" s="64" t="s">
        <v>368</v>
      </c>
      <c r="F70" s="39" t="s">
        <v>94</v>
      </c>
      <c r="G70" s="39" t="s">
        <v>17</v>
      </c>
      <c r="H70" s="22" t="s">
        <v>25</v>
      </c>
      <c r="I70" s="31">
        <v>1.0</v>
      </c>
      <c r="J70" s="31">
        <v>120.0</v>
      </c>
      <c r="K70" s="31">
        <v>120.0</v>
      </c>
      <c r="L70" s="31">
        <v>25.0</v>
      </c>
      <c r="M70" s="31">
        <v>25.0</v>
      </c>
    </row>
    <row r="71" ht="20.25" customHeight="1">
      <c r="A71" s="57"/>
      <c r="B71" s="806" t="s">
        <v>21</v>
      </c>
      <c r="C71" s="35">
        <v>704.0</v>
      </c>
      <c r="D71" s="163">
        <f t="array" ref="D71">IFERROR(_xlfn.XLOOKUP(C71,Code!A:A,Code!B:B),"")</f>
        <v>1.1826</v>
      </c>
      <c r="E71" s="58"/>
      <c r="F71" s="58"/>
      <c r="G71" s="58"/>
      <c r="H71" s="14" t="s">
        <v>18</v>
      </c>
      <c r="I71" s="27">
        <v>11.0</v>
      </c>
      <c r="J71" s="27">
        <v>100.0</v>
      </c>
      <c r="K71" s="27">
        <v>1100.0</v>
      </c>
      <c r="L71" s="27">
        <v>25.0</v>
      </c>
      <c r="M71" s="27">
        <v>275.0</v>
      </c>
    </row>
    <row r="72" ht="20.25" customHeight="1">
      <c r="A72" s="29"/>
      <c r="B72" s="806" t="s">
        <v>122</v>
      </c>
      <c r="C72" s="37">
        <v>705.0</v>
      </c>
      <c r="D72" s="163">
        <f t="array" ref="D72">IFERROR(_xlfn.XLOOKUP(C72,Code!A:A,Code!B:B),"")</f>
        <v>0.7592</v>
      </c>
      <c r="E72" s="64" t="s">
        <v>368</v>
      </c>
      <c r="F72" s="39" t="s">
        <v>561</v>
      </c>
      <c r="G72" s="39" t="s">
        <v>17</v>
      </c>
      <c r="H72" s="22" t="s">
        <v>25</v>
      </c>
      <c r="I72" s="31">
        <v>1.0</v>
      </c>
      <c r="J72" s="31"/>
      <c r="K72" s="31"/>
      <c r="L72" s="31"/>
      <c r="M72" s="31"/>
    </row>
    <row r="73" ht="20.25" customHeight="1">
      <c r="A73" s="58"/>
      <c r="B73" s="806" t="s">
        <v>21</v>
      </c>
      <c r="C73" s="35">
        <v>705.0</v>
      </c>
      <c r="D73" s="163">
        <f t="array" ref="D73">IFERROR(_xlfn.XLOOKUP(C73,Code!A:A,Code!B:B),"")</f>
        <v>0.7592</v>
      </c>
      <c r="E73" s="58"/>
      <c r="F73" s="58"/>
      <c r="G73" s="58"/>
      <c r="H73" s="14" t="s">
        <v>18</v>
      </c>
      <c r="I73" s="27">
        <v>16.0</v>
      </c>
      <c r="J73" s="27"/>
      <c r="K73" s="27"/>
      <c r="L73" s="27"/>
      <c r="M73" s="27"/>
    </row>
    <row r="74" ht="20.25" customHeight="1">
      <c r="A74" s="15">
        <v>46174.0</v>
      </c>
      <c r="B74" s="806" t="s">
        <v>122</v>
      </c>
      <c r="C74" s="37">
        <v>705.0</v>
      </c>
      <c r="D74" s="163">
        <f t="array" ref="D74">IFERROR(_xlfn.XLOOKUP(C74,Code!A:A,Code!B:B),"")</f>
        <v>0.7592</v>
      </c>
      <c r="E74" s="64" t="s">
        <v>368</v>
      </c>
      <c r="F74" s="39" t="s">
        <v>82</v>
      </c>
      <c r="G74" s="39" t="s">
        <v>17</v>
      </c>
      <c r="H74" s="22" t="s">
        <v>25</v>
      </c>
      <c r="I74" s="31">
        <v>1.0</v>
      </c>
      <c r="J74" s="31">
        <v>120.0</v>
      </c>
      <c r="K74" s="31">
        <v>120.0</v>
      </c>
      <c r="L74" s="31">
        <v>30.0</v>
      </c>
      <c r="M74" s="31">
        <v>30.0</v>
      </c>
    </row>
    <row r="75" ht="20.25" customHeight="1">
      <c r="A75" s="57"/>
      <c r="B75" s="806" t="s">
        <v>21</v>
      </c>
      <c r="C75" s="35">
        <v>705.0</v>
      </c>
      <c r="D75" s="163">
        <f t="array" ref="D75">IFERROR(_xlfn.XLOOKUP(C75,Code!A:A,Code!B:B),"")</f>
        <v>0.7592</v>
      </c>
      <c r="E75" s="58"/>
      <c r="F75" s="58"/>
      <c r="G75" s="58"/>
      <c r="H75" s="14" t="s">
        <v>18</v>
      </c>
      <c r="I75" s="27">
        <v>15.0</v>
      </c>
      <c r="J75" s="27">
        <v>100.0</v>
      </c>
      <c r="K75" s="27">
        <v>1500.0</v>
      </c>
      <c r="L75" s="27">
        <v>30.0</v>
      </c>
      <c r="M75" s="27">
        <v>450.0</v>
      </c>
    </row>
    <row r="76" ht="20.25" customHeight="1">
      <c r="A76" s="29"/>
      <c r="B76" s="806" t="s">
        <v>122</v>
      </c>
      <c r="C76" s="37">
        <v>705.0</v>
      </c>
      <c r="D76" s="163">
        <f t="array" ref="D76">IFERROR(_xlfn.XLOOKUP(C76,Code!A:A,Code!B:B),"")</f>
        <v>0.7592</v>
      </c>
      <c r="E76" s="64" t="s">
        <v>368</v>
      </c>
      <c r="F76" s="39" t="s">
        <v>561</v>
      </c>
      <c r="G76" s="39" t="s">
        <v>17</v>
      </c>
      <c r="H76" s="22" t="s">
        <v>25</v>
      </c>
      <c r="I76" s="31">
        <v>1.0</v>
      </c>
      <c r="J76" s="31"/>
      <c r="K76" s="31"/>
      <c r="L76" s="31"/>
      <c r="M76" s="31"/>
    </row>
    <row r="77" ht="20.25" customHeight="1">
      <c r="A77" s="57"/>
      <c r="B77" s="806" t="s">
        <v>21</v>
      </c>
      <c r="C77" s="35">
        <v>705.0</v>
      </c>
      <c r="D77" s="163">
        <f t="array" ref="D77">IFERROR(_xlfn.XLOOKUP(C77,Code!A:A,Code!B:B),"")</f>
        <v>0.7592</v>
      </c>
      <c r="E77" s="58"/>
      <c r="F77" s="58"/>
      <c r="G77" s="58"/>
      <c r="H77" s="14" t="s">
        <v>18</v>
      </c>
      <c r="I77" s="27">
        <v>15.0</v>
      </c>
      <c r="J77" s="27"/>
      <c r="K77" s="27"/>
      <c r="L77" s="27"/>
      <c r="M77" s="27"/>
    </row>
    <row r="78" ht="20.25" customHeight="1">
      <c r="A78" s="29"/>
      <c r="B78" s="806" t="s">
        <v>122</v>
      </c>
      <c r="C78" s="37">
        <v>705.0</v>
      </c>
      <c r="D78" s="163">
        <f t="array" ref="D78">IFERROR(_xlfn.XLOOKUP(C78,Code!A:A,Code!B:B),"")</f>
        <v>0.7592</v>
      </c>
      <c r="E78" s="64" t="s">
        <v>368</v>
      </c>
      <c r="F78" s="39" t="s">
        <v>94</v>
      </c>
      <c r="G78" s="39" t="s">
        <v>17</v>
      </c>
      <c r="H78" s="22" t="s">
        <v>25</v>
      </c>
      <c r="I78" s="31">
        <v>1.0</v>
      </c>
      <c r="J78" s="31">
        <v>120.0</v>
      </c>
      <c r="K78" s="31">
        <v>120.0</v>
      </c>
      <c r="L78" s="31">
        <v>25.0</v>
      </c>
      <c r="M78" s="31">
        <v>25.0</v>
      </c>
    </row>
    <row r="79" ht="20.25" customHeight="1">
      <c r="A79" s="58"/>
      <c r="B79" s="806" t="s">
        <v>21</v>
      </c>
      <c r="C79" s="35">
        <v>705.0</v>
      </c>
      <c r="D79" s="163">
        <f t="array" ref="D79">IFERROR(_xlfn.XLOOKUP(C79,Code!A:A,Code!B:B),"")</f>
        <v>0.7592</v>
      </c>
      <c r="E79" s="58"/>
      <c r="F79" s="58"/>
      <c r="G79" s="58"/>
      <c r="H79" s="14" t="s">
        <v>18</v>
      </c>
      <c r="I79" s="27">
        <v>10.0</v>
      </c>
      <c r="J79" s="27">
        <v>100.0</v>
      </c>
      <c r="K79" s="27">
        <v>1000.0</v>
      </c>
      <c r="L79" s="27">
        <v>25.0</v>
      </c>
      <c r="M79" s="27">
        <v>250.0</v>
      </c>
    </row>
    <row r="80" ht="20.25" customHeight="1">
      <c r="A80" s="15">
        <v>46175.0</v>
      </c>
      <c r="B80" s="806" t="s">
        <v>122</v>
      </c>
      <c r="C80" s="37">
        <v>706.0</v>
      </c>
      <c r="D80" s="163">
        <f t="array" ref="D80">IFERROR(_xlfn.XLOOKUP(C80,Code!A:A,Code!B:B),"")</f>
        <v>1.6433</v>
      </c>
      <c r="E80" s="64" t="s">
        <v>368</v>
      </c>
      <c r="F80" s="39" t="s">
        <v>82</v>
      </c>
      <c r="G80" s="39" t="s">
        <v>17</v>
      </c>
      <c r="H80" s="22" t="s">
        <v>25</v>
      </c>
      <c r="I80" s="31">
        <v>1.0</v>
      </c>
      <c r="J80" s="31">
        <v>120.0</v>
      </c>
      <c r="K80" s="31">
        <v>120.0</v>
      </c>
      <c r="L80" s="31">
        <v>30.0</v>
      </c>
      <c r="M80" s="31">
        <v>30.0</v>
      </c>
    </row>
    <row r="81" ht="20.25" customHeight="1">
      <c r="A81" s="57"/>
      <c r="B81" s="806" t="s">
        <v>21</v>
      </c>
      <c r="C81" s="35">
        <v>706.0</v>
      </c>
      <c r="D81" s="163">
        <f t="array" ref="D81">IFERROR(_xlfn.XLOOKUP(C81,Code!A:A,Code!B:B),"")</f>
        <v>1.6433</v>
      </c>
      <c r="E81" s="58"/>
      <c r="F81" s="58"/>
      <c r="G81" s="58"/>
      <c r="H81" s="14" t="s">
        <v>18</v>
      </c>
      <c r="I81" s="27">
        <v>16.0</v>
      </c>
      <c r="J81" s="27">
        <v>100.0</v>
      </c>
      <c r="K81" s="27">
        <v>1600.0</v>
      </c>
      <c r="L81" s="27">
        <v>30.0</v>
      </c>
      <c r="M81" s="27">
        <v>480.0</v>
      </c>
    </row>
    <row r="82" ht="20.25" customHeight="1">
      <c r="A82" s="29"/>
      <c r="B82" s="806" t="s">
        <v>122</v>
      </c>
      <c r="C82" s="37">
        <v>706.0</v>
      </c>
      <c r="D82" s="163">
        <f t="array" ref="D82">IFERROR(_xlfn.XLOOKUP(C82,Code!A:A,Code!B:B),"")</f>
        <v>1.6433</v>
      </c>
      <c r="E82" s="64" t="s">
        <v>368</v>
      </c>
      <c r="F82" s="39" t="s">
        <v>561</v>
      </c>
      <c r="G82" s="39" t="s">
        <v>17</v>
      </c>
      <c r="H82" s="22" t="s">
        <v>25</v>
      </c>
      <c r="I82" s="31">
        <v>1.0</v>
      </c>
      <c r="J82" s="31"/>
      <c r="K82" s="31"/>
      <c r="L82" s="31"/>
      <c r="M82" s="31"/>
    </row>
    <row r="83" ht="20.25" customHeight="1">
      <c r="A83" s="57"/>
      <c r="B83" s="806" t="s">
        <v>21</v>
      </c>
      <c r="C83" s="35">
        <v>706.0</v>
      </c>
      <c r="D83" s="163">
        <f t="array" ref="D83">IFERROR(_xlfn.XLOOKUP(C83,Code!A:A,Code!B:B),"")</f>
        <v>1.6433</v>
      </c>
      <c r="E83" s="58"/>
      <c r="F83" s="58"/>
      <c r="G83" s="58"/>
      <c r="H83" s="14" t="s">
        <v>18</v>
      </c>
      <c r="I83" s="27">
        <v>18.0</v>
      </c>
      <c r="J83" s="27"/>
      <c r="K83" s="27"/>
      <c r="L83" s="27"/>
      <c r="M83" s="27"/>
    </row>
    <row r="84" ht="20.25" customHeight="1">
      <c r="A84" s="29"/>
      <c r="B84" s="806" t="s">
        <v>122</v>
      </c>
      <c r="C84" s="37">
        <v>710.0</v>
      </c>
      <c r="D84" s="163">
        <f t="array" ref="D84">IFERROR(_xlfn.XLOOKUP(C84,Code!A:A,Code!B:B),"")</f>
        <v>1.0179</v>
      </c>
      <c r="E84" s="64" t="s">
        <v>368</v>
      </c>
      <c r="F84" s="39" t="s">
        <v>94</v>
      </c>
      <c r="G84" s="39" t="s">
        <v>17</v>
      </c>
      <c r="H84" s="22" t="s">
        <v>25</v>
      </c>
      <c r="I84" s="31">
        <v>1.0</v>
      </c>
      <c r="J84" s="31">
        <v>120.0</v>
      </c>
      <c r="K84" s="31">
        <v>120.0</v>
      </c>
      <c r="L84" s="31">
        <v>25.0</v>
      </c>
      <c r="M84" s="31">
        <v>25.0</v>
      </c>
    </row>
    <row r="85" ht="20.25" customHeight="1">
      <c r="A85" s="58"/>
      <c r="B85" s="806" t="s">
        <v>21</v>
      </c>
      <c r="C85" s="35">
        <v>710.0</v>
      </c>
      <c r="D85" s="163">
        <f t="array" ref="D85">IFERROR(_xlfn.XLOOKUP(C85,Code!A:A,Code!B:B),"")</f>
        <v>1.0179</v>
      </c>
      <c r="E85" s="58"/>
      <c r="F85" s="58"/>
      <c r="G85" s="58"/>
      <c r="H85" s="14" t="s">
        <v>18</v>
      </c>
      <c r="I85" s="27">
        <v>10.0</v>
      </c>
      <c r="J85" s="27">
        <v>100.0</v>
      </c>
      <c r="K85" s="27">
        <v>1000.0</v>
      </c>
      <c r="L85" s="27">
        <v>25.0</v>
      </c>
      <c r="M85" s="27">
        <v>250.0</v>
      </c>
    </row>
    <row r="86" ht="20.25" customHeight="1">
      <c r="A86" s="15">
        <v>46176.0</v>
      </c>
      <c r="B86" s="806" t="s">
        <v>122</v>
      </c>
      <c r="C86" s="37">
        <v>706.0</v>
      </c>
      <c r="D86" s="163">
        <f t="array" ref="D86">IFERROR(_xlfn.XLOOKUP(C86,Code!A:A,Code!B:B),"")</f>
        <v>1.6433</v>
      </c>
      <c r="E86" s="64" t="s">
        <v>368</v>
      </c>
      <c r="F86" s="39" t="s">
        <v>82</v>
      </c>
      <c r="G86" s="39" t="s">
        <v>17</v>
      </c>
      <c r="H86" s="22" t="s">
        <v>25</v>
      </c>
      <c r="I86" s="31">
        <v>1.0</v>
      </c>
      <c r="J86" s="31">
        <v>120.0</v>
      </c>
      <c r="K86" s="31">
        <v>120.0</v>
      </c>
      <c r="L86" s="31">
        <v>30.0</v>
      </c>
      <c r="M86" s="31">
        <v>30.0</v>
      </c>
    </row>
    <row r="87" ht="20.25" customHeight="1">
      <c r="A87" s="57"/>
      <c r="B87" s="806" t="s">
        <v>21</v>
      </c>
      <c r="C87" s="35">
        <v>706.0</v>
      </c>
      <c r="D87" s="163">
        <f t="array" ref="D87">IFERROR(_xlfn.XLOOKUP(C87,Code!A:A,Code!B:B),"")</f>
        <v>1.6433</v>
      </c>
      <c r="E87" s="58"/>
      <c r="F87" s="58"/>
      <c r="G87" s="58"/>
      <c r="H87" s="14" t="s">
        <v>18</v>
      </c>
      <c r="I87" s="27">
        <v>19.0</v>
      </c>
      <c r="J87" s="27">
        <v>100.0</v>
      </c>
      <c r="K87" s="27">
        <v>1900.0</v>
      </c>
      <c r="L87" s="27">
        <v>30.0</v>
      </c>
      <c r="M87" s="27">
        <v>570.0</v>
      </c>
    </row>
    <row r="88" ht="20.25" customHeight="1">
      <c r="A88" s="29"/>
      <c r="B88" s="806" t="s">
        <v>122</v>
      </c>
      <c r="C88" s="37">
        <v>706.0</v>
      </c>
      <c r="D88" s="163">
        <f t="array" ref="D88">IFERROR(_xlfn.XLOOKUP(C88,Code!A:A,Code!B:B),"")</f>
        <v>1.6433</v>
      </c>
      <c r="E88" s="64" t="s">
        <v>368</v>
      </c>
      <c r="F88" s="39" t="s">
        <v>561</v>
      </c>
      <c r="G88" s="39" t="s">
        <v>17</v>
      </c>
      <c r="H88" s="22" t="s">
        <v>25</v>
      </c>
      <c r="I88" s="31">
        <v>1.0</v>
      </c>
      <c r="J88" s="31"/>
      <c r="K88" s="31"/>
      <c r="L88" s="31"/>
      <c r="M88" s="31"/>
    </row>
    <row r="89" ht="20.25" customHeight="1">
      <c r="A89" s="57"/>
      <c r="B89" s="806" t="s">
        <v>21</v>
      </c>
      <c r="C89" s="35">
        <v>706.0</v>
      </c>
      <c r="D89" s="163">
        <f t="array" ref="D89">IFERROR(_xlfn.XLOOKUP(C89,Code!A:A,Code!B:B),"")</f>
        <v>1.6433</v>
      </c>
      <c r="E89" s="58"/>
      <c r="F89" s="58"/>
      <c r="G89" s="58"/>
      <c r="H89" s="14" t="s">
        <v>18</v>
      </c>
      <c r="I89" s="27">
        <v>17.0</v>
      </c>
      <c r="J89" s="27"/>
      <c r="K89" s="27"/>
      <c r="L89" s="27"/>
      <c r="M89" s="27"/>
    </row>
    <row r="90" ht="20.25" customHeight="1">
      <c r="A90" s="29"/>
      <c r="B90" s="806" t="s">
        <v>122</v>
      </c>
      <c r="C90" s="37">
        <v>706.0</v>
      </c>
      <c r="D90" s="163">
        <f t="array" ref="D90">IFERROR(_xlfn.XLOOKUP(C90,Code!A:A,Code!B:B),"")</f>
        <v>1.6433</v>
      </c>
      <c r="E90" s="64" t="s">
        <v>368</v>
      </c>
      <c r="F90" s="39" t="s">
        <v>94</v>
      </c>
      <c r="G90" s="39" t="s">
        <v>17</v>
      </c>
      <c r="H90" s="22" t="s">
        <v>25</v>
      </c>
      <c r="I90" s="31">
        <v>1.0</v>
      </c>
      <c r="J90" s="31">
        <v>120.0</v>
      </c>
      <c r="K90" s="31">
        <v>120.0</v>
      </c>
      <c r="L90" s="31">
        <v>25.0</v>
      </c>
      <c r="M90" s="31">
        <v>25.0</v>
      </c>
    </row>
    <row r="91" ht="20.25" customHeight="1">
      <c r="A91" s="58"/>
      <c r="B91" s="806" t="s">
        <v>21</v>
      </c>
      <c r="C91" s="35">
        <v>706.0</v>
      </c>
      <c r="D91" s="163">
        <f t="array" ref="D91">IFERROR(_xlfn.XLOOKUP(C91,Code!A:A,Code!B:B),"")</f>
        <v>1.6433</v>
      </c>
      <c r="E91" s="58"/>
      <c r="F91" s="58"/>
      <c r="G91" s="58"/>
      <c r="H91" s="14" t="s">
        <v>18</v>
      </c>
      <c r="I91" s="27">
        <v>12.0</v>
      </c>
      <c r="J91" s="27">
        <v>100.0</v>
      </c>
      <c r="K91" s="27">
        <v>1200.0</v>
      </c>
      <c r="L91" s="27">
        <v>25.0</v>
      </c>
      <c r="M91" s="27">
        <v>300.0</v>
      </c>
    </row>
    <row r="92" ht="20.25" customHeight="1">
      <c r="A92" s="8">
        <v>46177.0</v>
      </c>
      <c r="B92" s="806" t="s">
        <v>122</v>
      </c>
      <c r="C92" s="35">
        <v>708.0</v>
      </c>
      <c r="D92" s="163">
        <f t="array" ref="D92">IFERROR(_xlfn.XLOOKUP(C92,Code!A:A,Code!B:B),"")</f>
        <v>0.9269</v>
      </c>
      <c r="E92" s="25" t="s">
        <v>368</v>
      </c>
      <c r="F92" s="13" t="s">
        <v>82</v>
      </c>
      <c r="G92" s="13" t="s">
        <v>17</v>
      </c>
      <c r="H92" s="14" t="s">
        <v>25</v>
      </c>
      <c r="I92" s="27">
        <v>1.0</v>
      </c>
      <c r="J92" s="27">
        <v>120.0</v>
      </c>
      <c r="K92" s="27">
        <v>120.0</v>
      </c>
      <c r="L92" s="27">
        <v>30.0</v>
      </c>
      <c r="M92" s="27">
        <v>30.0</v>
      </c>
    </row>
    <row r="93" ht="20.25" customHeight="1">
      <c r="A93" s="57"/>
      <c r="B93" s="806" t="s">
        <v>21</v>
      </c>
      <c r="C93" s="35">
        <v>708.0</v>
      </c>
      <c r="D93" s="163">
        <f t="array" ref="D93">IFERROR(_xlfn.XLOOKUP(C93,Code!A:A,Code!B:B),"")</f>
        <v>0.9269</v>
      </c>
      <c r="E93" s="58"/>
      <c r="F93" s="58"/>
      <c r="G93" s="58"/>
      <c r="H93" s="14" t="s">
        <v>18</v>
      </c>
      <c r="I93" s="27">
        <v>18.0</v>
      </c>
      <c r="J93" s="27">
        <v>100.0</v>
      </c>
      <c r="K93" s="27">
        <v>1800.0</v>
      </c>
      <c r="L93" s="27">
        <v>30.0</v>
      </c>
      <c r="M93" s="27">
        <v>540.0</v>
      </c>
    </row>
    <row r="94" ht="20.25" customHeight="1">
      <c r="A94" s="29"/>
      <c r="B94" s="806" t="s">
        <v>122</v>
      </c>
      <c r="C94" s="35">
        <v>707.0</v>
      </c>
      <c r="D94" s="163">
        <f t="array" ref="D94">IFERROR(_xlfn.XLOOKUP(C94,Code!A:A,Code!B:B),"")</f>
        <v>0.6875</v>
      </c>
      <c r="E94" s="25" t="s">
        <v>368</v>
      </c>
      <c r="F94" s="13" t="s">
        <v>561</v>
      </c>
      <c r="G94" s="13" t="s">
        <v>17</v>
      </c>
      <c r="H94" s="14" t="s">
        <v>25</v>
      </c>
      <c r="I94" s="27">
        <v>1.0</v>
      </c>
      <c r="J94" s="27"/>
      <c r="K94" s="27"/>
      <c r="L94" s="27"/>
      <c r="M94" s="27"/>
    </row>
    <row r="95" ht="20.25" customHeight="1">
      <c r="A95" s="57"/>
      <c r="B95" s="806" t="s">
        <v>21</v>
      </c>
      <c r="C95" s="35">
        <v>707.0</v>
      </c>
      <c r="D95" s="163">
        <f t="array" ref="D95">IFERROR(_xlfn.XLOOKUP(C95,Code!A:A,Code!B:B),"")</f>
        <v>0.6875</v>
      </c>
      <c r="E95" s="58"/>
      <c r="F95" s="58"/>
      <c r="G95" s="58"/>
      <c r="H95" s="14" t="s">
        <v>18</v>
      </c>
      <c r="I95" s="27">
        <v>24.0</v>
      </c>
      <c r="J95" s="27"/>
      <c r="K95" s="27"/>
      <c r="L95" s="27"/>
      <c r="M95" s="27"/>
    </row>
    <row r="96" ht="20.25" customHeight="1">
      <c r="A96" s="29"/>
      <c r="B96" s="806" t="s">
        <v>122</v>
      </c>
      <c r="C96" s="35">
        <v>710.0</v>
      </c>
      <c r="D96" s="163">
        <f t="array" ref="D96">IFERROR(_xlfn.XLOOKUP(C96,Code!A:A,Code!B:B),"")</f>
        <v>1.0179</v>
      </c>
      <c r="E96" s="25" t="s">
        <v>368</v>
      </c>
      <c r="F96" s="13" t="s">
        <v>94</v>
      </c>
      <c r="G96" s="13" t="s">
        <v>17</v>
      </c>
      <c r="H96" s="14" t="s">
        <v>25</v>
      </c>
      <c r="I96" s="27">
        <v>1.0</v>
      </c>
      <c r="J96" s="27">
        <v>120.0</v>
      </c>
      <c r="K96" s="27">
        <v>120.0</v>
      </c>
      <c r="L96" s="27">
        <v>25.0</v>
      </c>
      <c r="M96" s="27">
        <v>25.0</v>
      </c>
    </row>
    <row r="97" ht="20.25" customHeight="1">
      <c r="A97" s="58"/>
      <c r="B97" s="806" t="s">
        <v>21</v>
      </c>
      <c r="C97" s="35">
        <v>710.0</v>
      </c>
      <c r="D97" s="163">
        <f t="array" ref="D97">IFERROR(_xlfn.XLOOKUP(C97,Code!A:A,Code!B:B),"")</f>
        <v>1.0179</v>
      </c>
      <c r="E97" s="58"/>
      <c r="F97" s="58"/>
      <c r="G97" s="58"/>
      <c r="H97" s="14" t="s">
        <v>18</v>
      </c>
      <c r="I97" s="27">
        <v>12.0</v>
      </c>
      <c r="J97" s="27">
        <v>100.0</v>
      </c>
      <c r="K97" s="27">
        <v>1200.0</v>
      </c>
      <c r="L97" s="27">
        <v>25.0</v>
      </c>
      <c r="M97" s="27">
        <v>300.0</v>
      </c>
    </row>
    <row r="98" ht="23.25" customHeight="1">
      <c r="A98" s="8">
        <v>46178.0</v>
      </c>
      <c r="B98" s="806" t="s">
        <v>122</v>
      </c>
      <c r="C98" s="35">
        <v>716.0</v>
      </c>
      <c r="D98" s="163">
        <f t="array" ref="D98">IFERROR(_xlfn.XLOOKUP(C98,Code!A:A,Code!B:B),"")</f>
        <v>0.8559</v>
      </c>
      <c r="E98" s="25" t="s">
        <v>368</v>
      </c>
      <c r="F98" s="13" t="s">
        <v>94</v>
      </c>
      <c r="G98" s="13" t="s">
        <v>17</v>
      </c>
      <c r="H98" s="14" t="s">
        <v>25</v>
      </c>
      <c r="I98" s="27">
        <v>1.0</v>
      </c>
      <c r="J98" s="27">
        <v>120.0</v>
      </c>
      <c r="K98" s="27">
        <v>120.0</v>
      </c>
      <c r="L98" s="27">
        <v>25.0</v>
      </c>
      <c r="M98" s="27">
        <v>25.0</v>
      </c>
    </row>
    <row r="99" ht="20.25" customHeight="1">
      <c r="A99" s="57"/>
      <c r="B99" s="806" t="s">
        <v>21</v>
      </c>
      <c r="C99" s="35">
        <v>716.0</v>
      </c>
      <c r="D99" s="163">
        <f t="array" ref="D99">IFERROR(_xlfn.XLOOKUP(C99,Code!A:A,Code!B:B),"")</f>
        <v>0.8559</v>
      </c>
      <c r="E99" s="58"/>
      <c r="F99" s="58"/>
      <c r="G99" s="58"/>
      <c r="H99" s="14" t="s">
        <v>18</v>
      </c>
      <c r="I99" s="27">
        <v>15.0</v>
      </c>
      <c r="J99" s="27">
        <v>100.0</v>
      </c>
      <c r="K99" s="27">
        <v>1500.0</v>
      </c>
      <c r="L99" s="27">
        <v>25.0</v>
      </c>
      <c r="M99" s="27">
        <v>375.0</v>
      </c>
    </row>
    <row r="100" ht="20.25" customHeight="1">
      <c r="A100" s="29"/>
      <c r="B100" s="806" t="s">
        <v>122</v>
      </c>
      <c r="C100" s="35">
        <v>701.0</v>
      </c>
      <c r="D100" s="163">
        <f t="array" ref="D100">IFERROR(_xlfn.XLOOKUP(C100,Code!A:A,Code!B:B),"")</f>
        <v>0.8672</v>
      </c>
      <c r="E100" s="25" t="s">
        <v>368</v>
      </c>
      <c r="F100" s="13" t="s">
        <v>561</v>
      </c>
      <c r="G100" s="13" t="s">
        <v>17</v>
      </c>
      <c r="H100" s="14" t="s">
        <v>25</v>
      </c>
      <c r="I100" s="27">
        <v>1.0</v>
      </c>
      <c r="J100" s="27"/>
      <c r="K100" s="27"/>
      <c r="L100" s="27"/>
      <c r="M100" s="27"/>
    </row>
    <row r="101" ht="20.25" customHeight="1">
      <c r="A101" s="57"/>
      <c r="B101" s="806" t="s">
        <v>21</v>
      </c>
      <c r="C101" s="35">
        <v>701.0</v>
      </c>
      <c r="D101" s="163">
        <f t="array" ref="D101">IFERROR(_xlfn.XLOOKUP(C101,Code!A:A,Code!B:B),"")</f>
        <v>0.8672</v>
      </c>
      <c r="E101" s="58"/>
      <c r="F101" s="58"/>
      <c r="G101" s="58"/>
      <c r="H101" s="14" t="s">
        <v>18</v>
      </c>
      <c r="I101" s="27">
        <v>19.0</v>
      </c>
      <c r="J101" s="27"/>
      <c r="K101" s="27"/>
      <c r="L101" s="27"/>
      <c r="M101" s="27"/>
    </row>
    <row r="102" ht="20.25" customHeight="1">
      <c r="A102" s="29"/>
      <c r="B102" s="806" t="s">
        <v>122</v>
      </c>
      <c r="C102" s="35">
        <v>708.0</v>
      </c>
      <c r="D102" s="163">
        <f t="array" ref="D102">IFERROR(_xlfn.XLOOKUP(C102,Code!A:A,Code!B:B),"")</f>
        <v>0.9269</v>
      </c>
      <c r="E102" s="25" t="s">
        <v>368</v>
      </c>
      <c r="F102" s="13" t="s">
        <v>82</v>
      </c>
      <c r="G102" s="13" t="s">
        <v>17</v>
      </c>
      <c r="H102" s="14" t="s">
        <v>25</v>
      </c>
      <c r="I102" s="27">
        <v>1.0</v>
      </c>
      <c r="J102" s="27">
        <v>120.0</v>
      </c>
      <c r="K102" s="27">
        <v>120.0</v>
      </c>
      <c r="L102" s="27">
        <v>30.0</v>
      </c>
      <c r="M102" s="27">
        <v>30.0</v>
      </c>
    </row>
    <row r="103" ht="20.25" customHeight="1">
      <c r="A103" s="58"/>
      <c r="B103" s="806" t="s">
        <v>21</v>
      </c>
      <c r="C103" s="35">
        <v>708.0</v>
      </c>
      <c r="D103" s="163">
        <f t="array" ref="D103">IFERROR(_xlfn.XLOOKUP(C103,Code!A:A,Code!B:B),"")</f>
        <v>0.9269</v>
      </c>
      <c r="E103" s="58"/>
      <c r="F103" s="58"/>
      <c r="G103" s="58"/>
      <c r="H103" s="14" t="s">
        <v>18</v>
      </c>
      <c r="I103" s="27">
        <v>19.0</v>
      </c>
      <c r="J103" s="27">
        <v>100.0</v>
      </c>
      <c r="K103" s="27">
        <v>1900.0</v>
      </c>
      <c r="L103" s="27">
        <v>30.0</v>
      </c>
      <c r="M103" s="27">
        <v>570.0</v>
      </c>
    </row>
    <row r="104" ht="20.25" customHeight="1">
      <c r="A104" s="8">
        <v>46179.0</v>
      </c>
      <c r="B104" s="806" t="s">
        <v>122</v>
      </c>
      <c r="C104" s="35">
        <v>701.0</v>
      </c>
      <c r="D104" s="163">
        <f t="array" ref="D104">IFERROR(_xlfn.XLOOKUP(C104,Code!A:A,Code!B:B),"")</f>
        <v>0.8672</v>
      </c>
      <c r="E104" s="25" t="s">
        <v>368</v>
      </c>
      <c r="F104" s="13" t="s">
        <v>82</v>
      </c>
      <c r="G104" s="13" t="s">
        <v>17</v>
      </c>
      <c r="H104" s="14" t="s">
        <v>25</v>
      </c>
      <c r="I104" s="27">
        <v>1.0</v>
      </c>
      <c r="J104" s="27">
        <v>120.0</v>
      </c>
      <c r="K104" s="27">
        <v>120.0</v>
      </c>
      <c r="L104" s="27">
        <v>30.0</v>
      </c>
      <c r="M104" s="27">
        <v>30.0</v>
      </c>
    </row>
    <row r="105" ht="20.25" customHeight="1">
      <c r="A105" s="57"/>
      <c r="B105" s="806" t="s">
        <v>21</v>
      </c>
      <c r="C105" s="35">
        <v>701.0</v>
      </c>
      <c r="D105" s="163">
        <f t="array" ref="D105">IFERROR(_xlfn.XLOOKUP(C105,Code!A:A,Code!B:B),"")</f>
        <v>0.8672</v>
      </c>
      <c r="E105" s="58"/>
      <c r="F105" s="58"/>
      <c r="G105" s="58"/>
      <c r="H105" s="14" t="s">
        <v>18</v>
      </c>
      <c r="I105" s="27">
        <v>21.0</v>
      </c>
      <c r="J105" s="27">
        <v>100.0</v>
      </c>
      <c r="K105" s="27">
        <v>2100.0</v>
      </c>
      <c r="L105" s="27">
        <v>30.0</v>
      </c>
      <c r="M105" s="27">
        <v>630.0</v>
      </c>
    </row>
    <row r="106" ht="20.25" customHeight="1">
      <c r="A106" s="29"/>
      <c r="B106" s="806" t="s">
        <v>122</v>
      </c>
      <c r="C106" s="35">
        <v>701.0</v>
      </c>
      <c r="D106" s="163">
        <f t="array" ref="D106">IFERROR(_xlfn.XLOOKUP(C106,Code!A:A,Code!B:B),"")</f>
        <v>0.8672</v>
      </c>
      <c r="E106" s="25" t="s">
        <v>368</v>
      </c>
      <c r="F106" s="13" t="s">
        <v>561</v>
      </c>
      <c r="G106" s="13" t="s">
        <v>17</v>
      </c>
      <c r="H106" s="14" t="s">
        <v>25</v>
      </c>
      <c r="I106" s="27">
        <v>1.0</v>
      </c>
      <c r="J106" s="27"/>
      <c r="K106" s="27"/>
      <c r="L106" s="27"/>
      <c r="M106" s="27"/>
    </row>
    <row r="107" ht="20.25" customHeight="1">
      <c r="A107" s="57"/>
      <c r="B107" s="806" t="s">
        <v>21</v>
      </c>
      <c r="C107" s="35">
        <v>701.0</v>
      </c>
      <c r="D107" s="163">
        <f t="array" ref="D107">IFERROR(_xlfn.XLOOKUP(C107,Code!A:A,Code!B:B),"")</f>
        <v>0.8672</v>
      </c>
      <c r="E107" s="57"/>
      <c r="F107" s="57"/>
      <c r="G107" s="57"/>
      <c r="H107" s="14" t="s">
        <v>18</v>
      </c>
      <c r="I107" s="27">
        <v>22.0</v>
      </c>
      <c r="J107" s="27"/>
      <c r="K107" s="27"/>
      <c r="L107" s="27"/>
      <c r="M107" s="27"/>
    </row>
    <row r="108" ht="20.25" customHeight="1">
      <c r="A108" s="29"/>
      <c r="B108" s="806" t="s">
        <v>22</v>
      </c>
      <c r="C108" s="35">
        <v>705.0</v>
      </c>
      <c r="D108" s="163">
        <f t="array" ref="D108">IFERROR(_xlfn.XLOOKUP(C108,Code!A:A,Code!B:B),"")</f>
        <v>0.7592</v>
      </c>
      <c r="E108" s="20"/>
      <c r="F108" s="20"/>
      <c r="G108" s="20"/>
      <c r="H108" s="14" t="s">
        <v>18</v>
      </c>
      <c r="I108" s="27">
        <v>2.0</v>
      </c>
      <c r="J108" s="27"/>
      <c r="K108" s="27"/>
      <c r="L108" s="27"/>
      <c r="M108" s="27"/>
    </row>
    <row r="109" ht="20.25" customHeight="1">
      <c r="A109" s="57"/>
      <c r="B109" s="806" t="s">
        <v>122</v>
      </c>
      <c r="C109" s="35">
        <v>716.0</v>
      </c>
      <c r="D109" s="163">
        <f t="array" ref="D109">IFERROR(_xlfn.XLOOKUP(C109,Code!A:A,Code!B:B),"")</f>
        <v>0.8559</v>
      </c>
      <c r="E109" s="25" t="s">
        <v>368</v>
      </c>
      <c r="F109" s="13" t="s">
        <v>94</v>
      </c>
      <c r="G109" s="13" t="s">
        <v>17</v>
      </c>
      <c r="H109" s="14" t="s">
        <v>25</v>
      </c>
      <c r="I109" s="27">
        <v>1.0</v>
      </c>
      <c r="J109" s="27">
        <v>120.0</v>
      </c>
      <c r="K109" s="27">
        <v>120.0</v>
      </c>
      <c r="L109" s="25">
        <v>25.0</v>
      </c>
      <c r="M109" s="27">
        <v>25.0</v>
      </c>
    </row>
    <row r="110" ht="20.25" customHeight="1">
      <c r="A110" s="20"/>
      <c r="B110" s="806" t="s">
        <v>21</v>
      </c>
      <c r="C110" s="35">
        <v>716.0</v>
      </c>
      <c r="D110" s="163">
        <f t="array" ref="D110">IFERROR(_xlfn.XLOOKUP(C110,Code!A:A,Code!B:B),"")</f>
        <v>0.8559</v>
      </c>
      <c r="E110" s="20"/>
      <c r="F110" s="20"/>
      <c r="G110" s="20"/>
      <c r="H110" s="14" t="s">
        <v>18</v>
      </c>
      <c r="I110" s="27">
        <v>11.0</v>
      </c>
      <c r="J110" s="27">
        <v>100.0</v>
      </c>
      <c r="K110" s="27">
        <v>1100.0</v>
      </c>
      <c r="L110" s="20"/>
      <c r="M110" s="27">
        <v>275.0</v>
      </c>
    </row>
    <row r="111" ht="20.25" customHeight="1">
      <c r="A111" s="8">
        <v>46180.0</v>
      </c>
      <c r="B111" s="806" t="s">
        <v>122</v>
      </c>
      <c r="C111" s="35">
        <v>703.0</v>
      </c>
      <c r="D111" s="163">
        <f t="array" ref="D111">IFERROR(_xlfn.XLOOKUP(C111,Code!A:A,Code!B:B),"")</f>
        <v>1.0074</v>
      </c>
      <c r="E111" s="25" t="s">
        <v>368</v>
      </c>
      <c r="F111" s="13" t="s">
        <v>593</v>
      </c>
      <c r="G111" s="13" t="s">
        <v>17</v>
      </c>
      <c r="H111" s="14" t="s">
        <v>25</v>
      </c>
      <c r="I111" s="27">
        <v>1.0</v>
      </c>
      <c r="J111" s="27"/>
      <c r="K111" s="27"/>
      <c r="L111" s="27"/>
      <c r="M111" s="27"/>
    </row>
    <row r="112" ht="20.25" customHeight="1">
      <c r="A112" s="29"/>
      <c r="B112" s="806" t="s">
        <v>21</v>
      </c>
      <c r="C112" s="35">
        <v>703.0</v>
      </c>
      <c r="D112" s="163">
        <f t="array" ref="D112">IFERROR(_xlfn.XLOOKUP(C112,Code!A:A,Code!B:B),"")</f>
        <v>1.0074</v>
      </c>
      <c r="E112" s="20"/>
      <c r="F112" s="20"/>
      <c r="G112" s="20"/>
      <c r="H112" s="14" t="s">
        <v>18</v>
      </c>
      <c r="I112" s="27">
        <v>27.0</v>
      </c>
      <c r="J112" s="27"/>
      <c r="K112" s="27"/>
      <c r="L112" s="27"/>
      <c r="M112" s="27"/>
    </row>
    <row r="113" ht="20.25" customHeight="1">
      <c r="A113" s="57"/>
      <c r="B113" s="806" t="s">
        <v>122</v>
      </c>
      <c r="C113" s="35">
        <v>716.0</v>
      </c>
      <c r="D113" s="163">
        <f t="array" ref="D113">IFERROR(_xlfn.XLOOKUP(C113,Code!A:A,Code!B:B),"")</f>
        <v>0.8559</v>
      </c>
      <c r="E113" s="25" t="s">
        <v>368</v>
      </c>
      <c r="F113" s="13" t="s">
        <v>94</v>
      </c>
      <c r="G113" s="13" t="s">
        <v>17</v>
      </c>
      <c r="H113" s="14" t="s">
        <v>25</v>
      </c>
      <c r="I113" s="27">
        <v>1.0</v>
      </c>
      <c r="J113" s="27">
        <v>120.0</v>
      </c>
      <c r="K113" s="27">
        <v>120.0</v>
      </c>
      <c r="L113" s="25">
        <v>25.0</v>
      </c>
      <c r="M113" s="25">
        <v>400.0</v>
      </c>
    </row>
    <row r="114" ht="20.25" customHeight="1">
      <c r="A114" s="29"/>
      <c r="B114" s="806" t="s">
        <v>21</v>
      </c>
      <c r="C114" s="35">
        <v>716.0</v>
      </c>
      <c r="D114" s="163">
        <f t="array" ref="D114">IFERROR(_xlfn.XLOOKUP(C114,Code!A:A,Code!B:B),"")</f>
        <v>0.8559</v>
      </c>
      <c r="E114" s="20"/>
      <c r="F114" s="20"/>
      <c r="G114" s="20"/>
      <c r="H114" s="14" t="s">
        <v>18</v>
      </c>
      <c r="I114" s="27">
        <v>15.0</v>
      </c>
      <c r="J114" s="27">
        <v>100.0</v>
      </c>
      <c r="K114" s="27">
        <v>1500.0</v>
      </c>
      <c r="L114" s="20"/>
      <c r="M114" s="20"/>
    </row>
    <row r="115" ht="20.25" customHeight="1">
      <c r="A115" s="57"/>
      <c r="B115" s="806" t="s">
        <v>122</v>
      </c>
      <c r="C115" s="35">
        <v>704.0</v>
      </c>
      <c r="D115" s="163">
        <f t="array" ref="D115">IFERROR(_xlfn.XLOOKUP(C115,Code!A:A,Code!B:B),"")</f>
        <v>1.1826</v>
      </c>
      <c r="E115" s="25" t="s">
        <v>368</v>
      </c>
      <c r="F115" s="13" t="s">
        <v>52</v>
      </c>
      <c r="G115" s="13" t="s">
        <v>17</v>
      </c>
      <c r="H115" s="14" t="s">
        <v>25</v>
      </c>
      <c r="I115" s="27">
        <v>1.0</v>
      </c>
      <c r="J115" s="27">
        <v>120.0</v>
      </c>
      <c r="K115" s="27">
        <v>120.0</v>
      </c>
      <c r="L115" s="25">
        <v>30.0</v>
      </c>
      <c r="M115" s="25">
        <v>750.0</v>
      </c>
    </row>
    <row r="116" ht="20.25" customHeight="1">
      <c r="A116" s="20"/>
      <c r="B116" s="806" t="s">
        <v>21</v>
      </c>
      <c r="C116" s="35">
        <v>704.0</v>
      </c>
      <c r="D116" s="163">
        <f t="array" ref="D116">IFERROR(_xlfn.XLOOKUP(C116,Code!A:A,Code!B:B),"")</f>
        <v>1.1826</v>
      </c>
      <c r="E116" s="20"/>
      <c r="F116" s="20"/>
      <c r="G116" s="20"/>
      <c r="H116" s="14" t="s">
        <v>18</v>
      </c>
      <c r="I116" s="27">
        <v>24.0</v>
      </c>
      <c r="J116" s="27">
        <v>100.0</v>
      </c>
      <c r="K116" s="27">
        <v>2400.0</v>
      </c>
      <c r="L116" s="20"/>
      <c r="M116" s="20"/>
    </row>
    <row r="117" ht="20.25" customHeight="1">
      <c r="A117" s="8">
        <v>46181.0</v>
      </c>
      <c r="B117" s="806" t="s">
        <v>122</v>
      </c>
      <c r="C117" s="35">
        <v>705.0</v>
      </c>
      <c r="D117" s="163">
        <f t="array" ref="D117">IFERROR(_xlfn.XLOOKUP(C117,Code!A:A,Code!B:B),"")</f>
        <v>0.7592</v>
      </c>
      <c r="E117" s="25" t="s">
        <v>368</v>
      </c>
      <c r="F117" s="13" t="s">
        <v>52</v>
      </c>
      <c r="G117" s="13" t="s">
        <v>17</v>
      </c>
      <c r="H117" s="14" t="s">
        <v>25</v>
      </c>
      <c r="I117" s="27">
        <v>1.0</v>
      </c>
      <c r="J117" s="27">
        <v>120.0</v>
      </c>
      <c r="K117" s="27">
        <v>120.0</v>
      </c>
      <c r="L117" s="25">
        <v>30.0</v>
      </c>
      <c r="M117" s="25">
        <v>600.0</v>
      </c>
    </row>
    <row r="118" ht="20.25" customHeight="1">
      <c r="A118" s="29"/>
      <c r="B118" s="806" t="s">
        <v>21</v>
      </c>
      <c r="C118" s="37">
        <v>705.0</v>
      </c>
      <c r="D118" s="163">
        <f t="array" ref="D118">IFERROR(_xlfn.XLOOKUP(C118,Code!A:A,Code!B:B),"")</f>
        <v>0.7592</v>
      </c>
      <c r="E118" s="20"/>
      <c r="F118" s="20"/>
      <c r="G118" s="20"/>
      <c r="H118" s="22" t="s">
        <v>18</v>
      </c>
      <c r="I118" s="31">
        <v>19.0</v>
      </c>
      <c r="J118" s="31">
        <v>100.0</v>
      </c>
      <c r="K118" s="31">
        <v>1900.0</v>
      </c>
      <c r="L118" s="20"/>
      <c r="M118" s="20"/>
    </row>
    <row r="119" ht="20.25" customHeight="1">
      <c r="A119" s="57"/>
      <c r="B119" s="806" t="s">
        <v>122</v>
      </c>
      <c r="C119" s="35">
        <v>705.0</v>
      </c>
      <c r="D119" s="163">
        <f t="array" ref="D119">IFERROR(_xlfn.XLOOKUP(C119,Code!A:A,Code!B:B),"")</f>
        <v>0.7592</v>
      </c>
      <c r="E119" s="25" t="s">
        <v>368</v>
      </c>
      <c r="F119" s="13" t="s">
        <v>94</v>
      </c>
      <c r="G119" s="13" t="s">
        <v>17</v>
      </c>
      <c r="H119" s="14" t="s">
        <v>25</v>
      </c>
      <c r="I119" s="27">
        <v>1.0</v>
      </c>
      <c r="J119" s="27">
        <v>120.0</v>
      </c>
      <c r="K119" s="27">
        <v>120.0</v>
      </c>
      <c r="L119" s="25">
        <v>25.0</v>
      </c>
      <c r="M119" s="25">
        <v>450.0</v>
      </c>
    </row>
    <row r="120" ht="20.25" customHeight="1">
      <c r="A120" s="20"/>
      <c r="B120" s="806" t="s">
        <v>21</v>
      </c>
      <c r="C120" s="37">
        <v>705.0</v>
      </c>
      <c r="D120" s="163">
        <f t="array" ref="D120">IFERROR(_xlfn.XLOOKUP(C120,Code!A:A,Code!B:B),"")</f>
        <v>0.7592</v>
      </c>
      <c r="E120" s="20"/>
      <c r="F120" s="20"/>
      <c r="G120" s="20"/>
      <c r="H120" s="22" t="s">
        <v>18</v>
      </c>
      <c r="I120" s="31">
        <v>17.0</v>
      </c>
      <c r="J120" s="31">
        <v>100.0</v>
      </c>
      <c r="K120" s="31">
        <v>1700.0</v>
      </c>
      <c r="L120" s="20"/>
      <c r="M120" s="20"/>
    </row>
    <row r="121" ht="20.25" customHeight="1">
      <c r="A121" s="8">
        <v>46182.0</v>
      </c>
      <c r="B121" s="806" t="s">
        <v>122</v>
      </c>
      <c r="C121" s="35">
        <v>706.0</v>
      </c>
      <c r="D121" s="163">
        <f t="array" ref="D121">IFERROR(_xlfn.XLOOKUP(C121,Code!A:A,Code!B:B),"")</f>
        <v>1.6433</v>
      </c>
      <c r="E121" s="25" t="s">
        <v>368</v>
      </c>
      <c r="F121" s="13" t="s">
        <v>94</v>
      </c>
      <c r="G121" s="13" t="s">
        <v>17</v>
      </c>
      <c r="H121" s="14" t="s">
        <v>25</v>
      </c>
      <c r="I121" s="27">
        <v>1.0</v>
      </c>
      <c r="J121" s="27">
        <v>120.0</v>
      </c>
      <c r="K121" s="27">
        <v>120.0</v>
      </c>
      <c r="L121" s="25">
        <v>25.0</v>
      </c>
      <c r="M121" s="25">
        <v>475.0</v>
      </c>
    </row>
    <row r="122" ht="20.25" customHeight="1">
      <c r="A122" s="29"/>
      <c r="B122" s="806" t="s">
        <v>21</v>
      </c>
      <c r="C122" s="37">
        <v>706.0</v>
      </c>
      <c r="D122" s="163">
        <f t="array" ref="D122">IFERROR(_xlfn.XLOOKUP(C122,Code!A:A,Code!B:B),"")</f>
        <v>1.6433</v>
      </c>
      <c r="E122" s="20"/>
      <c r="F122" s="20"/>
      <c r="G122" s="20"/>
      <c r="H122" s="22" t="s">
        <v>18</v>
      </c>
      <c r="I122" s="31">
        <v>18.0</v>
      </c>
      <c r="J122" s="31">
        <v>100.0</v>
      </c>
      <c r="K122" s="31">
        <v>1800.0</v>
      </c>
      <c r="L122" s="20"/>
      <c r="M122" s="20"/>
    </row>
    <row r="123" ht="20.25" customHeight="1">
      <c r="A123" s="57"/>
      <c r="B123" s="806" t="s">
        <v>122</v>
      </c>
      <c r="C123" s="35">
        <v>707.0</v>
      </c>
      <c r="D123" s="163">
        <f t="array" ref="D123">IFERROR(_xlfn.XLOOKUP(C123,Code!A:A,Code!B:B),"")</f>
        <v>0.6875</v>
      </c>
      <c r="E123" s="25" t="s">
        <v>368</v>
      </c>
      <c r="F123" s="13" t="s">
        <v>52</v>
      </c>
      <c r="G123" s="13" t="s">
        <v>17</v>
      </c>
      <c r="H123" s="14" t="s">
        <v>25</v>
      </c>
      <c r="I123" s="27">
        <v>1.0</v>
      </c>
      <c r="J123" s="27">
        <v>120.0</v>
      </c>
      <c r="K123" s="27">
        <v>120.0</v>
      </c>
      <c r="L123" s="25">
        <v>30.0</v>
      </c>
      <c r="M123" s="25">
        <v>570.0</v>
      </c>
    </row>
    <row r="124" ht="20.25" customHeight="1">
      <c r="A124" s="20"/>
      <c r="B124" s="806" t="s">
        <v>21</v>
      </c>
      <c r="C124" s="37">
        <v>707.0</v>
      </c>
      <c r="D124" s="163">
        <f t="array" ref="D124">IFERROR(_xlfn.XLOOKUP(C124,Code!A:A,Code!B:B),"")</f>
        <v>0.6875</v>
      </c>
      <c r="E124" s="20"/>
      <c r="F124" s="20"/>
      <c r="G124" s="20"/>
      <c r="H124" s="22" t="s">
        <v>18</v>
      </c>
      <c r="I124" s="31">
        <v>18.0</v>
      </c>
      <c r="J124" s="31">
        <v>100.0</v>
      </c>
      <c r="K124" s="31">
        <v>1800.0</v>
      </c>
      <c r="L124" s="20"/>
      <c r="M124" s="20"/>
    </row>
    <row r="125" ht="20.25" customHeight="1">
      <c r="A125" s="8">
        <v>46183.0</v>
      </c>
      <c r="B125" s="806" t="s">
        <v>122</v>
      </c>
      <c r="C125" s="35">
        <v>707.0</v>
      </c>
      <c r="D125" s="163">
        <f t="array" ref="D125">IFERROR(_xlfn.XLOOKUP(C125,Code!A:A,Code!B:B),"")</f>
        <v>0.6875</v>
      </c>
      <c r="E125" s="25" t="s">
        <v>368</v>
      </c>
      <c r="F125" s="13" t="s">
        <v>594</v>
      </c>
      <c r="G125" s="13" t="s">
        <v>17</v>
      </c>
      <c r="H125" s="14" t="s">
        <v>25</v>
      </c>
      <c r="I125" s="27">
        <v>1.0</v>
      </c>
      <c r="J125" s="27">
        <v>120.0</v>
      </c>
      <c r="K125" s="27">
        <v>120.0</v>
      </c>
      <c r="L125" s="25">
        <v>25.0</v>
      </c>
      <c r="M125" s="25">
        <v>350.0</v>
      </c>
    </row>
    <row r="126" ht="20.25" customHeight="1">
      <c r="A126" s="29"/>
      <c r="B126" s="806" t="s">
        <v>21</v>
      </c>
      <c r="C126" s="37">
        <v>707.0</v>
      </c>
      <c r="D126" s="163">
        <f t="array" ref="D126">IFERROR(_xlfn.XLOOKUP(C126,Code!A:A,Code!B:B),"")</f>
        <v>0.6875</v>
      </c>
      <c r="E126" s="29"/>
      <c r="F126" s="29"/>
      <c r="G126" s="29"/>
      <c r="H126" s="22" t="s">
        <v>18</v>
      </c>
      <c r="I126" s="31">
        <v>10.0</v>
      </c>
      <c r="J126" s="64">
        <v>100.0</v>
      </c>
      <c r="K126" s="64">
        <v>1300.0</v>
      </c>
      <c r="L126" s="29"/>
      <c r="M126" s="29"/>
    </row>
    <row r="127" ht="20.25" customHeight="1">
      <c r="A127" s="57"/>
      <c r="B127" s="806" t="s">
        <v>236</v>
      </c>
      <c r="C127" s="35">
        <v>706.0</v>
      </c>
      <c r="D127" s="163">
        <f t="array" ref="D127">IFERROR(_xlfn.XLOOKUP(C127,Code!A:A,Code!B:B),"")</f>
        <v>1.6433</v>
      </c>
      <c r="E127" s="58"/>
      <c r="F127" s="58"/>
      <c r="G127" s="58"/>
      <c r="H127" s="14" t="s">
        <v>18</v>
      </c>
      <c r="I127" s="27">
        <v>3.0</v>
      </c>
      <c r="J127" s="58"/>
      <c r="K127" s="58"/>
      <c r="L127" s="58"/>
      <c r="M127" s="58"/>
    </row>
    <row r="128" ht="20.25" customHeight="1">
      <c r="A128" s="29"/>
      <c r="B128" s="806" t="s">
        <v>21</v>
      </c>
      <c r="C128" s="37">
        <v>707.0</v>
      </c>
      <c r="D128" s="163">
        <f t="array" ref="D128">IFERROR(_xlfn.XLOOKUP(C128,Code!A:A,Code!B:B),"")</f>
        <v>0.6875</v>
      </c>
      <c r="E128" s="64" t="s">
        <v>368</v>
      </c>
      <c r="F128" s="39" t="s">
        <v>52</v>
      </c>
      <c r="G128" s="39" t="s">
        <v>17</v>
      </c>
      <c r="H128" s="22" t="s">
        <v>25</v>
      </c>
      <c r="I128" s="31">
        <v>1.0</v>
      </c>
      <c r="J128" s="31">
        <v>120.0</v>
      </c>
      <c r="K128" s="31">
        <v>120.0</v>
      </c>
      <c r="L128" s="64">
        <v>30.0</v>
      </c>
      <c r="M128" s="64">
        <v>600.0</v>
      </c>
    </row>
    <row r="129" ht="20.25" customHeight="1">
      <c r="A129" s="57"/>
      <c r="B129" s="806" t="s">
        <v>236</v>
      </c>
      <c r="C129" s="35">
        <v>707.0</v>
      </c>
      <c r="D129" s="163">
        <f t="array" ref="D129">IFERROR(_xlfn.XLOOKUP(C129,Code!A:A,Code!B:B),"")</f>
        <v>0.6875</v>
      </c>
      <c r="E129" s="57"/>
      <c r="F129" s="57"/>
      <c r="G129" s="57"/>
      <c r="H129" s="14" t="s">
        <v>18</v>
      </c>
      <c r="I129" s="27">
        <v>18.0</v>
      </c>
      <c r="J129" s="25">
        <v>100.0</v>
      </c>
      <c r="K129" s="25">
        <v>1900.0</v>
      </c>
      <c r="L129" s="57"/>
      <c r="M129" s="57"/>
    </row>
    <row r="130" ht="20.25" customHeight="1">
      <c r="A130" s="20"/>
      <c r="B130" s="806" t="s">
        <v>124</v>
      </c>
      <c r="C130" s="37">
        <v>701.0</v>
      </c>
      <c r="D130" s="163">
        <f t="array" ref="D130">IFERROR(_xlfn.XLOOKUP(C130,Code!A:A,Code!B:B),"")</f>
        <v>0.8672</v>
      </c>
      <c r="E130" s="20"/>
      <c r="F130" s="20"/>
      <c r="G130" s="20"/>
      <c r="H130" s="22" t="s">
        <v>18</v>
      </c>
      <c r="I130" s="31">
        <v>1.0</v>
      </c>
      <c r="J130" s="20"/>
      <c r="K130" s="20"/>
      <c r="L130" s="20"/>
      <c r="M130" s="20"/>
    </row>
    <row r="131" ht="20.25" customHeight="1">
      <c r="A131" s="8">
        <v>46184.0</v>
      </c>
      <c r="B131" s="806" t="s">
        <v>122</v>
      </c>
      <c r="C131" s="35">
        <v>701.0</v>
      </c>
      <c r="D131" s="163">
        <f t="array" ref="D131">IFERROR(_xlfn.XLOOKUP(C131,Code!A:A,Code!B:B),"")</f>
        <v>0.8672</v>
      </c>
      <c r="E131" s="25" t="s">
        <v>368</v>
      </c>
      <c r="F131" s="13" t="s">
        <v>52</v>
      </c>
      <c r="G131" s="13" t="s">
        <v>17</v>
      </c>
      <c r="H131" s="14" t="s">
        <v>25</v>
      </c>
      <c r="I131" s="27">
        <v>1.0</v>
      </c>
      <c r="J131" s="27">
        <v>120.0</v>
      </c>
      <c r="K131" s="27">
        <v>120.0</v>
      </c>
      <c r="L131" s="25">
        <v>30.0</v>
      </c>
      <c r="M131" s="25">
        <v>420.0</v>
      </c>
    </row>
    <row r="132" ht="20.25" customHeight="1">
      <c r="A132" s="29"/>
      <c r="B132" s="806" t="s">
        <v>21</v>
      </c>
      <c r="C132" s="37">
        <v>701.0</v>
      </c>
      <c r="D132" s="163">
        <f t="array" ref="D132">IFERROR(_xlfn.XLOOKUP(C132,Code!A:A,Code!B:B),"")</f>
        <v>0.8672</v>
      </c>
      <c r="E132" s="29"/>
      <c r="F132" s="29"/>
      <c r="G132" s="29"/>
      <c r="H132" s="22" t="s">
        <v>18</v>
      </c>
      <c r="I132" s="31">
        <v>11.0</v>
      </c>
      <c r="J132" s="31">
        <v>100.0</v>
      </c>
      <c r="K132" s="31">
        <v>1100.0</v>
      </c>
      <c r="L132" s="29"/>
      <c r="M132" s="29"/>
    </row>
    <row r="133" ht="20.25" customHeight="1">
      <c r="A133" s="57"/>
      <c r="B133" s="806" t="s">
        <v>124</v>
      </c>
      <c r="C133" s="35">
        <v>702.0</v>
      </c>
      <c r="D133" s="163">
        <f t="array" ref="D133">IFERROR(_xlfn.XLOOKUP(C133,Code!A:A,Code!B:B),"")</f>
        <v>0.9585</v>
      </c>
      <c r="E133" s="58"/>
      <c r="F133" s="58"/>
      <c r="G133" s="58"/>
      <c r="H133" s="14" t="s">
        <v>18</v>
      </c>
      <c r="I133" s="27">
        <v>2.0</v>
      </c>
      <c r="J133" s="27">
        <v>100.0</v>
      </c>
      <c r="K133" s="27">
        <v>200.0</v>
      </c>
      <c r="L133" s="58"/>
      <c r="M133" s="58"/>
    </row>
    <row r="134" ht="20.25" customHeight="1">
      <c r="A134" s="29"/>
      <c r="B134" s="806" t="s">
        <v>122</v>
      </c>
      <c r="C134" s="37">
        <v>701.0</v>
      </c>
      <c r="D134" s="163">
        <f t="array" ref="D134">IFERROR(_xlfn.XLOOKUP(C134,Code!A:A,Code!B:B),"")</f>
        <v>0.8672</v>
      </c>
      <c r="E134" s="64" t="s">
        <v>595</v>
      </c>
      <c r="F134" s="39" t="s">
        <v>596</v>
      </c>
      <c r="G134" s="39" t="s">
        <v>17</v>
      </c>
      <c r="H134" s="22" t="s">
        <v>25</v>
      </c>
      <c r="I134" s="31">
        <v>1.0</v>
      </c>
      <c r="J134" s="31">
        <v>120.0</v>
      </c>
      <c r="K134" s="31">
        <v>120.0</v>
      </c>
      <c r="L134" s="64">
        <v>25.0</v>
      </c>
      <c r="M134" s="64">
        <v>350.0</v>
      </c>
    </row>
    <row r="135" ht="20.25" customHeight="1">
      <c r="A135" s="58"/>
      <c r="B135" s="806" t="s">
        <v>21</v>
      </c>
      <c r="C135" s="35">
        <v>701.0</v>
      </c>
      <c r="D135" s="163">
        <f t="array" ref="D135">IFERROR(_xlfn.XLOOKUP(C135,Code!A:A,Code!B:B),"")</f>
        <v>0.8672</v>
      </c>
      <c r="E135" s="58"/>
      <c r="F135" s="58"/>
      <c r="G135" s="58"/>
      <c r="H135" s="14" t="s">
        <v>18</v>
      </c>
      <c r="I135" s="27">
        <v>13.0</v>
      </c>
      <c r="J135" s="27">
        <v>100.0</v>
      </c>
      <c r="K135" s="27">
        <v>1300.0</v>
      </c>
      <c r="L135" s="58"/>
      <c r="M135" s="58"/>
    </row>
    <row r="136" ht="20.25" customHeight="1">
      <c r="A136" s="15">
        <v>46185.0</v>
      </c>
      <c r="B136" s="806" t="s">
        <v>122</v>
      </c>
      <c r="C136" s="37">
        <v>704.0</v>
      </c>
      <c r="D136" s="163">
        <f t="array" ref="D136">IFERROR(_xlfn.XLOOKUP(C136,Code!A:A,Code!B:B),"")</f>
        <v>1.1826</v>
      </c>
      <c r="E136" s="64" t="s">
        <v>595</v>
      </c>
      <c r="F136" s="39" t="s">
        <v>596</v>
      </c>
      <c r="G136" s="39" t="s">
        <v>17</v>
      </c>
      <c r="H136" s="22" t="s">
        <v>25</v>
      </c>
      <c r="I136" s="31">
        <v>1.0</v>
      </c>
      <c r="J136" s="31">
        <v>120.0</v>
      </c>
      <c r="K136" s="31">
        <v>120.0</v>
      </c>
      <c r="L136" s="64">
        <v>25.0</v>
      </c>
      <c r="M136" s="64">
        <v>400.0</v>
      </c>
    </row>
    <row r="137" ht="20.25" customHeight="1">
      <c r="A137" s="58"/>
      <c r="B137" s="806" t="s">
        <v>21</v>
      </c>
      <c r="C137" s="35">
        <v>704.0</v>
      </c>
      <c r="D137" s="163">
        <f t="array" ref="D137">IFERROR(_xlfn.XLOOKUP(C137,Code!A:A,Code!B:B),"")</f>
        <v>1.1826</v>
      </c>
      <c r="E137" s="58"/>
      <c r="F137" s="58"/>
      <c r="G137" s="58"/>
      <c r="H137" s="14" t="s">
        <v>18</v>
      </c>
      <c r="I137" s="27">
        <v>15.0</v>
      </c>
      <c r="J137" s="27">
        <v>100.0</v>
      </c>
      <c r="K137" s="27">
        <v>1500.0</v>
      </c>
      <c r="L137" s="58"/>
      <c r="M137" s="58"/>
    </row>
    <row r="138" ht="20.25" customHeight="1">
      <c r="A138" s="15">
        <v>46186.0</v>
      </c>
      <c r="B138" s="806" t="s">
        <v>122</v>
      </c>
      <c r="C138" s="37">
        <v>705.0</v>
      </c>
      <c r="D138" s="163">
        <f t="array" ref="D138">IFERROR(_xlfn.XLOOKUP(C138,Code!A:A,Code!B:B),"")</f>
        <v>0.7592</v>
      </c>
      <c r="E138" s="64" t="s">
        <v>595</v>
      </c>
      <c r="F138" s="39" t="s">
        <v>596</v>
      </c>
      <c r="G138" s="39" t="s">
        <v>17</v>
      </c>
      <c r="H138" s="22" t="s">
        <v>25</v>
      </c>
      <c r="I138" s="31">
        <v>1.0</v>
      </c>
      <c r="J138" s="31">
        <v>120.0</v>
      </c>
      <c r="K138" s="31">
        <v>120.0</v>
      </c>
      <c r="L138" s="64">
        <v>25.0</v>
      </c>
      <c r="M138" s="64">
        <v>350.0</v>
      </c>
    </row>
    <row r="139" ht="20.25" customHeight="1">
      <c r="A139" s="58"/>
      <c r="B139" s="806" t="s">
        <v>21</v>
      </c>
      <c r="C139" s="35">
        <v>705.0</v>
      </c>
      <c r="D139" s="163">
        <f t="array" ref="D139">IFERROR(_xlfn.XLOOKUP(C139,Code!A:A,Code!B:B),"")</f>
        <v>0.7592</v>
      </c>
      <c r="E139" s="58"/>
      <c r="F139" s="58"/>
      <c r="G139" s="58"/>
      <c r="H139" s="14" t="s">
        <v>18</v>
      </c>
      <c r="I139" s="27">
        <v>13.0</v>
      </c>
      <c r="J139" s="27">
        <v>100.0</v>
      </c>
      <c r="K139" s="27">
        <v>1300.0</v>
      </c>
      <c r="L139" s="58"/>
      <c r="M139" s="58"/>
    </row>
    <row r="140" ht="20.25" customHeight="1">
      <c r="A140" s="15">
        <v>46187.0</v>
      </c>
      <c r="B140" s="806" t="s">
        <v>122</v>
      </c>
      <c r="C140" s="37">
        <v>703.0</v>
      </c>
      <c r="D140" s="163">
        <f t="array" ref="D140">IFERROR(_xlfn.XLOOKUP(C140,Code!A:A,Code!B:B),"")</f>
        <v>1.0074</v>
      </c>
      <c r="E140" s="64" t="s">
        <v>595</v>
      </c>
      <c r="F140" s="39" t="s">
        <v>596</v>
      </c>
      <c r="G140" s="39" t="s">
        <v>17</v>
      </c>
      <c r="H140" s="22" t="s">
        <v>25</v>
      </c>
      <c r="I140" s="31">
        <v>1.0</v>
      </c>
      <c r="J140" s="31">
        <v>120.0</v>
      </c>
      <c r="K140" s="31">
        <v>120.0</v>
      </c>
      <c r="L140" s="64">
        <v>25.0</v>
      </c>
      <c r="M140" s="64">
        <v>400.0</v>
      </c>
    </row>
    <row r="141" ht="20.25" customHeight="1">
      <c r="A141" s="58"/>
      <c r="B141" s="806" t="s">
        <v>22</v>
      </c>
      <c r="C141" s="35">
        <v>704.0</v>
      </c>
      <c r="D141" s="163">
        <f t="array" ref="D141">IFERROR(_xlfn.XLOOKUP(C141,Code!A:A,Code!B:B),"")</f>
        <v>1.1826</v>
      </c>
      <c r="E141" s="58"/>
      <c r="F141" s="58"/>
      <c r="G141" s="58"/>
      <c r="H141" s="14" t="s">
        <v>18</v>
      </c>
      <c r="I141" s="27">
        <v>15.0</v>
      </c>
      <c r="J141" s="27">
        <v>100.0</v>
      </c>
      <c r="K141" s="27">
        <v>1500.0</v>
      </c>
      <c r="L141" s="58"/>
      <c r="M141" s="58"/>
    </row>
    <row r="142" ht="20.25" customHeight="1">
      <c r="A142" s="15">
        <v>46188.0</v>
      </c>
      <c r="B142" s="806" t="s">
        <v>122</v>
      </c>
      <c r="C142" s="37">
        <v>717.0</v>
      </c>
      <c r="D142" s="163">
        <f t="array" ref="D142">IFERROR(_xlfn.XLOOKUP(C142,Code!A:A,Code!B:B),"")</f>
        <v>0.8834</v>
      </c>
      <c r="E142" s="64" t="s">
        <v>595</v>
      </c>
      <c r="F142" s="39" t="s">
        <v>596</v>
      </c>
      <c r="G142" s="39" t="s">
        <v>17</v>
      </c>
      <c r="H142" s="22" t="s">
        <v>25</v>
      </c>
      <c r="I142" s="31">
        <v>1.0</v>
      </c>
      <c r="J142" s="31">
        <v>120.0</v>
      </c>
      <c r="K142" s="31">
        <v>120.0</v>
      </c>
      <c r="L142" s="64">
        <v>25.0</v>
      </c>
      <c r="M142" s="64">
        <v>275.0</v>
      </c>
    </row>
    <row r="143" ht="20.25" customHeight="1">
      <c r="A143" s="58"/>
      <c r="B143" s="806" t="s">
        <v>21</v>
      </c>
      <c r="C143" s="35">
        <v>717.0</v>
      </c>
      <c r="D143" s="163">
        <f t="array" ref="D143">IFERROR(_xlfn.XLOOKUP(C143,Code!A:A,Code!B:B),"")</f>
        <v>0.8834</v>
      </c>
      <c r="E143" s="58"/>
      <c r="F143" s="58"/>
      <c r="G143" s="58"/>
      <c r="H143" s="14" t="s">
        <v>18</v>
      </c>
      <c r="I143" s="27">
        <v>10.0</v>
      </c>
      <c r="J143" s="27">
        <v>100.0</v>
      </c>
      <c r="K143" s="27">
        <v>1000.0</v>
      </c>
      <c r="L143" s="58"/>
      <c r="M143" s="58"/>
    </row>
    <row r="144" ht="20.25" customHeight="1">
      <c r="A144" s="15">
        <v>46189.0</v>
      </c>
      <c r="B144" s="806" t="s">
        <v>122</v>
      </c>
      <c r="C144" s="37">
        <v>717.0</v>
      </c>
      <c r="D144" s="163">
        <f t="array" ref="D144">IFERROR(_xlfn.XLOOKUP(C144,Code!A:A,Code!B:B),"")</f>
        <v>0.8834</v>
      </c>
      <c r="E144" s="64" t="s">
        <v>595</v>
      </c>
      <c r="F144" s="39" t="s">
        <v>596</v>
      </c>
      <c r="G144" s="39" t="s">
        <v>17</v>
      </c>
      <c r="H144" s="22" t="s">
        <v>25</v>
      </c>
      <c r="I144" s="31">
        <v>1.0</v>
      </c>
      <c r="J144" s="31">
        <v>120.0</v>
      </c>
      <c r="K144" s="31">
        <v>120.0</v>
      </c>
      <c r="L144" s="64">
        <v>25.0</v>
      </c>
      <c r="M144" s="64">
        <v>450.0</v>
      </c>
    </row>
    <row r="145" ht="20.25" customHeight="1">
      <c r="A145" s="58"/>
      <c r="B145" s="806" t="s">
        <v>21</v>
      </c>
      <c r="C145" s="35">
        <v>716.0</v>
      </c>
      <c r="D145" s="163">
        <f t="array" ref="D145">IFERROR(_xlfn.XLOOKUP(C145,Code!A:A,Code!B:B),"")</f>
        <v>0.8559</v>
      </c>
      <c r="E145" s="58"/>
      <c r="F145" s="58"/>
      <c r="G145" s="58"/>
      <c r="H145" s="14" t="s">
        <v>18</v>
      </c>
      <c r="I145" s="27">
        <v>17.0</v>
      </c>
      <c r="J145" s="27">
        <v>100.0</v>
      </c>
      <c r="K145" s="27">
        <v>1700.0</v>
      </c>
      <c r="L145" s="58"/>
      <c r="M145" s="58"/>
    </row>
    <row r="146" ht="20.25" customHeight="1">
      <c r="A146" s="15">
        <v>46190.0</v>
      </c>
      <c r="B146" s="806" t="s">
        <v>122</v>
      </c>
      <c r="C146" s="37">
        <v>716.0</v>
      </c>
      <c r="D146" s="163">
        <f t="array" ref="D146">IFERROR(_xlfn.XLOOKUP(C146,Code!A:A,Code!B:B),"")</f>
        <v>0.8559</v>
      </c>
      <c r="E146" s="64" t="s">
        <v>595</v>
      </c>
      <c r="F146" s="39" t="s">
        <v>596</v>
      </c>
      <c r="G146" s="39" t="s">
        <v>17</v>
      </c>
      <c r="H146" s="22" t="s">
        <v>25</v>
      </c>
      <c r="I146" s="31">
        <v>1.0</v>
      </c>
      <c r="J146" s="31">
        <v>120.0</v>
      </c>
      <c r="K146" s="31">
        <v>120.0</v>
      </c>
      <c r="L146" s="64">
        <v>25.0</v>
      </c>
      <c r="M146" s="64">
        <v>425.0</v>
      </c>
    </row>
    <row r="147" ht="20.25" customHeight="1">
      <c r="A147" s="58"/>
      <c r="B147" s="806" t="s">
        <v>21</v>
      </c>
      <c r="C147" s="35">
        <v>716.0</v>
      </c>
      <c r="D147" s="163">
        <f t="array" ref="D147">IFERROR(_xlfn.XLOOKUP(C147,Code!A:A,Code!B:B),"")</f>
        <v>0.8559</v>
      </c>
      <c r="E147" s="58"/>
      <c r="F147" s="58"/>
      <c r="G147" s="58"/>
      <c r="H147" s="14" t="s">
        <v>18</v>
      </c>
      <c r="I147" s="27">
        <v>16.0</v>
      </c>
      <c r="J147" s="27">
        <v>100.0</v>
      </c>
      <c r="K147" s="27">
        <v>1600.0</v>
      </c>
      <c r="L147" s="58"/>
      <c r="M147" s="58"/>
    </row>
    <row r="148" ht="20.25" customHeight="1">
      <c r="A148" s="15">
        <v>46191.0</v>
      </c>
      <c r="B148" s="806" t="s">
        <v>122</v>
      </c>
      <c r="C148" s="37">
        <v>715.0</v>
      </c>
      <c r="D148" s="163">
        <f t="array" ref="D148">IFERROR(_xlfn.XLOOKUP(C148,Code!A:A,Code!B:B),"")</f>
        <v>0.8913</v>
      </c>
      <c r="E148" s="64" t="s">
        <v>595</v>
      </c>
      <c r="F148" s="39" t="s">
        <v>596</v>
      </c>
      <c r="G148" s="39" t="s">
        <v>17</v>
      </c>
      <c r="H148" s="22" t="s">
        <v>25</v>
      </c>
      <c r="I148" s="31">
        <v>1.0</v>
      </c>
      <c r="J148" s="31">
        <v>120.0</v>
      </c>
      <c r="K148" s="31">
        <v>120.0</v>
      </c>
      <c r="L148" s="64">
        <v>25.0</v>
      </c>
      <c r="M148" s="64">
        <v>450.0</v>
      </c>
    </row>
    <row r="149" ht="20.25" customHeight="1">
      <c r="A149" s="57"/>
      <c r="B149" s="806" t="s">
        <v>21</v>
      </c>
      <c r="C149" s="35">
        <v>715.0</v>
      </c>
      <c r="D149" s="163">
        <f t="array" ref="D149">IFERROR(_xlfn.XLOOKUP(C149,Code!A:A,Code!B:B),"")</f>
        <v>0.8913</v>
      </c>
      <c r="E149" s="58"/>
      <c r="F149" s="58"/>
      <c r="G149" s="58"/>
      <c r="H149" s="14" t="s">
        <v>18</v>
      </c>
      <c r="I149" s="27">
        <v>17.0</v>
      </c>
      <c r="J149" s="27">
        <v>100.0</v>
      </c>
      <c r="K149" s="27">
        <v>1700.0</v>
      </c>
      <c r="L149" s="58"/>
      <c r="M149" s="58"/>
    </row>
    <row r="150" ht="20.25" customHeight="1">
      <c r="A150" s="29"/>
      <c r="B150" s="806" t="s">
        <v>122</v>
      </c>
      <c r="C150" s="37">
        <v>715.0</v>
      </c>
      <c r="D150" s="163">
        <f t="array" ref="D150">IFERROR(_xlfn.XLOOKUP(C150,Code!A:A,Code!B:B),"")</f>
        <v>0.8913</v>
      </c>
      <c r="E150" s="64" t="s">
        <v>595</v>
      </c>
      <c r="F150" s="39" t="s">
        <v>66</v>
      </c>
      <c r="G150" s="39" t="s">
        <v>17</v>
      </c>
      <c r="H150" s="22" t="s">
        <v>25</v>
      </c>
      <c r="I150" s="31">
        <v>1.0</v>
      </c>
      <c r="J150" s="31">
        <v>120.0</v>
      </c>
      <c r="K150" s="31">
        <v>120.0</v>
      </c>
      <c r="L150" s="64">
        <v>30.0</v>
      </c>
      <c r="M150" s="64">
        <v>660.0</v>
      </c>
    </row>
    <row r="151" ht="20.25" customHeight="1">
      <c r="A151" s="58"/>
      <c r="B151" s="806" t="s">
        <v>21</v>
      </c>
      <c r="C151" s="35">
        <v>715.0</v>
      </c>
      <c r="D151" s="163">
        <f t="array" ref="D151">IFERROR(_xlfn.XLOOKUP(C151,Code!A:A,Code!B:B),"")</f>
        <v>0.8913</v>
      </c>
      <c r="E151" s="58"/>
      <c r="F151" s="58"/>
      <c r="G151" s="58"/>
      <c r="H151" s="14" t="s">
        <v>18</v>
      </c>
      <c r="I151" s="27">
        <v>21.0</v>
      </c>
      <c r="J151" s="27">
        <v>100.0</v>
      </c>
      <c r="K151" s="27">
        <v>2100.0</v>
      </c>
      <c r="L151" s="58"/>
      <c r="M151" s="58"/>
    </row>
    <row r="152" ht="20.25" customHeight="1">
      <c r="A152" s="15">
        <v>46192.0</v>
      </c>
      <c r="B152" s="806" t="s">
        <v>122</v>
      </c>
      <c r="C152" s="37">
        <v>715.0</v>
      </c>
      <c r="D152" s="163">
        <f t="array" ref="D152">IFERROR(_xlfn.XLOOKUP(C152,Code!A:A,Code!B:B),"")</f>
        <v>0.8913</v>
      </c>
      <c r="E152" s="64" t="s">
        <v>595</v>
      </c>
      <c r="F152" s="39" t="s">
        <v>66</v>
      </c>
      <c r="G152" s="39" t="s">
        <v>17</v>
      </c>
      <c r="H152" s="22" t="s">
        <v>25</v>
      </c>
      <c r="I152" s="31">
        <v>1.0</v>
      </c>
      <c r="J152" s="31">
        <v>120.0</v>
      </c>
      <c r="K152" s="31">
        <v>120.0</v>
      </c>
      <c r="L152" s="64">
        <v>30.0</v>
      </c>
      <c r="M152" s="64">
        <v>510.0</v>
      </c>
    </row>
    <row r="153" ht="20.25" customHeight="1">
      <c r="A153" s="57"/>
      <c r="B153" s="806" t="s">
        <v>21</v>
      </c>
      <c r="C153" s="35">
        <v>715.0</v>
      </c>
      <c r="D153" s="163">
        <f t="array" ref="D153">IFERROR(_xlfn.XLOOKUP(C153,Code!A:A,Code!B:B),"")</f>
        <v>0.8913</v>
      </c>
      <c r="E153" s="58"/>
      <c r="F153" s="58"/>
      <c r="G153" s="58"/>
      <c r="H153" s="14" t="s">
        <v>18</v>
      </c>
      <c r="I153" s="27">
        <v>16.0</v>
      </c>
      <c r="J153" s="27">
        <v>100.0</v>
      </c>
      <c r="K153" s="27">
        <v>1600.0</v>
      </c>
      <c r="L153" s="58"/>
      <c r="M153" s="58"/>
    </row>
    <row r="154" ht="20.25" customHeight="1">
      <c r="A154" s="29"/>
      <c r="B154" s="806" t="s">
        <v>122</v>
      </c>
      <c r="C154" s="37">
        <v>715.0</v>
      </c>
      <c r="D154" s="163">
        <f t="array" ref="D154">IFERROR(_xlfn.XLOOKUP(C154,Code!A:A,Code!B:B),"")</f>
        <v>0.8913</v>
      </c>
      <c r="E154" s="64" t="s">
        <v>595</v>
      </c>
      <c r="F154" s="39" t="s">
        <v>94</v>
      </c>
      <c r="G154" s="39" t="s">
        <v>17</v>
      </c>
      <c r="H154" s="22" t="s">
        <v>25</v>
      </c>
      <c r="I154" s="31">
        <v>1.0</v>
      </c>
      <c r="J154" s="31">
        <v>120.0</v>
      </c>
      <c r="K154" s="31">
        <v>120.0</v>
      </c>
      <c r="L154" s="64">
        <v>25.0</v>
      </c>
      <c r="M154" s="64">
        <v>475.0</v>
      </c>
    </row>
    <row r="155" ht="20.25" customHeight="1">
      <c r="A155" s="58"/>
      <c r="B155" s="806" t="s">
        <v>21</v>
      </c>
      <c r="C155" s="35">
        <v>715.0</v>
      </c>
      <c r="D155" s="163">
        <f t="array" ref="D155">IFERROR(_xlfn.XLOOKUP(C155,Code!A:A,Code!B:B),"")</f>
        <v>0.8913</v>
      </c>
      <c r="E155" s="58"/>
      <c r="F155" s="58"/>
      <c r="G155" s="58"/>
      <c r="H155" s="14" t="s">
        <v>18</v>
      </c>
      <c r="I155" s="27">
        <v>18.0</v>
      </c>
      <c r="J155" s="27">
        <v>100.0</v>
      </c>
      <c r="K155" s="27">
        <v>1800.0</v>
      </c>
      <c r="L155" s="58"/>
      <c r="M155" s="58"/>
    </row>
    <row r="156" ht="20.25" customHeight="1">
      <c r="A156" s="15">
        <v>46193.0</v>
      </c>
      <c r="B156" s="806" t="s">
        <v>122</v>
      </c>
      <c r="C156" s="37">
        <v>713.0</v>
      </c>
      <c r="D156" s="163">
        <f t="array" ref="D156">IFERROR(_xlfn.XLOOKUP(C156,Code!A:A,Code!B:B),"")</f>
        <v>0.9542</v>
      </c>
      <c r="E156" s="64" t="s">
        <v>595</v>
      </c>
      <c r="F156" s="39" t="s">
        <v>518</v>
      </c>
      <c r="G156" s="39" t="s">
        <v>17</v>
      </c>
      <c r="H156" s="22" t="s">
        <v>25</v>
      </c>
      <c r="I156" s="31">
        <v>1.0</v>
      </c>
      <c r="J156" s="31">
        <v>120.0</v>
      </c>
      <c r="K156" s="31">
        <v>120.0</v>
      </c>
      <c r="L156" s="64">
        <v>30.0</v>
      </c>
      <c r="M156" s="64">
        <v>750.0</v>
      </c>
    </row>
    <row r="157" ht="20.25" customHeight="1">
      <c r="A157" s="57"/>
      <c r="B157" s="806" t="s">
        <v>21</v>
      </c>
      <c r="C157" s="35">
        <v>713.0</v>
      </c>
      <c r="D157" s="163">
        <f t="array" ref="D157">IFERROR(_xlfn.XLOOKUP(C157,Code!A:A,Code!B:B),"")</f>
        <v>0.9542</v>
      </c>
      <c r="E157" s="57"/>
      <c r="F157" s="57"/>
      <c r="G157" s="57"/>
      <c r="H157" s="14" t="s">
        <v>18</v>
      </c>
      <c r="I157" s="27">
        <v>23.0</v>
      </c>
      <c r="J157" s="25">
        <v>100.0</v>
      </c>
      <c r="K157" s="25">
        <v>2400.0</v>
      </c>
      <c r="L157" s="57"/>
      <c r="M157" s="57"/>
    </row>
    <row r="158" ht="20.25" customHeight="1">
      <c r="A158" s="29"/>
      <c r="B158" s="806" t="s">
        <v>124</v>
      </c>
      <c r="C158" s="37">
        <v>702.0</v>
      </c>
      <c r="D158" s="163">
        <f t="array" ref="D158">IFERROR(_xlfn.XLOOKUP(C158,Code!A:A,Code!B:B),"")</f>
        <v>0.9585</v>
      </c>
      <c r="E158" s="20"/>
      <c r="F158" s="20"/>
      <c r="G158" s="20"/>
      <c r="H158" s="22" t="s">
        <v>18</v>
      </c>
      <c r="I158" s="31">
        <v>1.0</v>
      </c>
      <c r="J158" s="20"/>
      <c r="K158" s="20"/>
      <c r="L158" s="20"/>
      <c r="M158" s="20"/>
    </row>
    <row r="159" ht="20.25" customHeight="1">
      <c r="A159" s="57"/>
      <c r="B159" s="806" t="s">
        <v>122</v>
      </c>
      <c r="C159" s="35">
        <v>718.0</v>
      </c>
      <c r="D159" s="163">
        <f t="array" ref="D159">IFERROR(_xlfn.XLOOKUP(C159,Code!A:A,Code!B:B),"")</f>
        <v>0.8827</v>
      </c>
      <c r="E159" s="25" t="s">
        <v>595</v>
      </c>
      <c r="F159" s="13" t="s">
        <v>557</v>
      </c>
      <c r="G159" s="13" t="s">
        <v>17</v>
      </c>
      <c r="H159" s="14" t="s">
        <v>25</v>
      </c>
      <c r="I159" s="27">
        <v>1.0</v>
      </c>
      <c r="J159" s="27">
        <v>120.0</v>
      </c>
      <c r="K159" s="27">
        <v>120.0</v>
      </c>
      <c r="L159" s="25">
        <v>25.0</v>
      </c>
      <c r="M159" s="25">
        <v>550.0</v>
      </c>
    </row>
    <row r="160" ht="20.25" customHeight="1">
      <c r="A160" s="20"/>
      <c r="B160" s="806" t="s">
        <v>21</v>
      </c>
      <c r="C160" s="37">
        <v>718.0</v>
      </c>
      <c r="D160" s="163">
        <f t="array" ref="D160">IFERROR(_xlfn.XLOOKUP(C160,Code!A:A,Code!B:B),"")</f>
        <v>0.8827</v>
      </c>
      <c r="E160" s="20"/>
      <c r="F160" s="20"/>
      <c r="G160" s="20"/>
      <c r="H160" s="22" t="s">
        <v>18</v>
      </c>
      <c r="I160" s="31">
        <v>21.0</v>
      </c>
      <c r="J160" s="31">
        <v>100.0</v>
      </c>
      <c r="K160" s="31">
        <v>2100.0</v>
      </c>
      <c r="L160" s="20"/>
      <c r="M160" s="20"/>
    </row>
    <row r="161" ht="20.25" customHeight="1">
      <c r="A161" s="8">
        <v>46195.0</v>
      </c>
      <c r="B161" s="806" t="s">
        <v>122</v>
      </c>
      <c r="C161" s="35">
        <v>718.0</v>
      </c>
      <c r="D161" s="163">
        <f t="array" ref="D161">IFERROR(_xlfn.XLOOKUP(C161,Code!A:A,Code!B:B),"")</f>
        <v>0.8827</v>
      </c>
      <c r="E161" s="25" t="s">
        <v>595</v>
      </c>
      <c r="F161" s="13" t="s">
        <v>597</v>
      </c>
      <c r="G161" s="13" t="s">
        <v>17</v>
      </c>
      <c r="H161" s="14" t="s">
        <v>25</v>
      </c>
      <c r="I161" s="27">
        <v>1.0</v>
      </c>
      <c r="J161" s="27">
        <v>120.0</v>
      </c>
      <c r="K161" s="27">
        <v>120.0</v>
      </c>
      <c r="L161" s="25">
        <v>30.0</v>
      </c>
      <c r="M161" s="25">
        <v>660.0</v>
      </c>
    </row>
    <row r="162" ht="20.25" customHeight="1">
      <c r="A162" s="29"/>
      <c r="B162" s="806" t="s">
        <v>21</v>
      </c>
      <c r="C162" s="37">
        <v>718.0</v>
      </c>
      <c r="D162" s="163">
        <f t="array" ref="D162">IFERROR(_xlfn.XLOOKUP(C162,Code!A:A,Code!B:B),"")</f>
        <v>0.8827</v>
      </c>
      <c r="E162" s="20"/>
      <c r="F162" s="20"/>
      <c r="G162" s="20"/>
      <c r="H162" s="22" t="s">
        <v>18</v>
      </c>
      <c r="I162" s="31">
        <v>21.0</v>
      </c>
      <c r="J162" s="31">
        <v>100.0</v>
      </c>
      <c r="K162" s="31">
        <v>2100.0</v>
      </c>
      <c r="L162" s="20"/>
      <c r="M162" s="20"/>
    </row>
    <row r="163" ht="20.25" customHeight="1">
      <c r="A163" s="57"/>
      <c r="B163" s="806" t="s">
        <v>122</v>
      </c>
      <c r="C163" s="35">
        <v>718.0</v>
      </c>
      <c r="D163" s="163">
        <f t="array" ref="D163">IFERROR(_xlfn.XLOOKUP(C163,Code!A:A,Code!B:B),"")</f>
        <v>0.8827</v>
      </c>
      <c r="E163" s="25" t="s">
        <v>595</v>
      </c>
      <c r="F163" s="13" t="s">
        <v>557</v>
      </c>
      <c r="G163" s="13" t="s">
        <v>17</v>
      </c>
      <c r="H163" s="14" t="s">
        <v>25</v>
      </c>
      <c r="I163" s="27">
        <v>1.0</v>
      </c>
      <c r="J163" s="27">
        <v>120.0</v>
      </c>
      <c r="K163" s="27">
        <v>120.0</v>
      </c>
      <c r="L163" s="25">
        <v>25.0</v>
      </c>
      <c r="M163" s="25">
        <v>500.0</v>
      </c>
    </row>
    <row r="164" ht="20.25" customHeight="1">
      <c r="A164" s="20"/>
      <c r="B164" s="806" t="s">
        <v>21</v>
      </c>
      <c r="C164" s="37">
        <v>718.0</v>
      </c>
      <c r="D164" s="163">
        <f t="array" ref="D164">IFERROR(_xlfn.XLOOKUP(C164,Code!A:A,Code!B:B),"")</f>
        <v>0.8827</v>
      </c>
      <c r="E164" s="20"/>
      <c r="F164" s="20"/>
      <c r="G164" s="20"/>
      <c r="H164" s="22" t="s">
        <v>18</v>
      </c>
      <c r="I164" s="31">
        <v>19.0</v>
      </c>
      <c r="J164" s="31">
        <v>100.0</v>
      </c>
      <c r="K164" s="31">
        <v>1900.0</v>
      </c>
      <c r="L164" s="20"/>
      <c r="M164" s="20"/>
    </row>
    <row r="165" ht="20.25" customHeight="1">
      <c r="A165" s="394"/>
      <c r="B165" s="163"/>
      <c r="C165" s="35"/>
      <c r="D165" s="163"/>
      <c r="E165" s="27"/>
      <c r="F165" s="14"/>
      <c r="G165" s="13" t="s">
        <v>17</v>
      </c>
      <c r="H165" s="14"/>
      <c r="I165" s="27"/>
      <c r="J165" s="27"/>
      <c r="K165" s="27"/>
      <c r="L165" s="27"/>
      <c r="M165" s="27"/>
    </row>
    <row r="166" ht="20.25" customHeight="1">
      <c r="A166" s="393"/>
      <c r="B166" s="163"/>
      <c r="C166" s="37"/>
      <c r="D166" s="163"/>
      <c r="E166" s="31"/>
      <c r="F166" s="22"/>
      <c r="G166" s="20"/>
      <c r="H166" s="22"/>
      <c r="I166" s="31"/>
      <c r="J166" s="31"/>
      <c r="K166" s="31"/>
      <c r="L166" s="31"/>
      <c r="M166" s="31"/>
    </row>
    <row r="167" ht="20.25" customHeight="1">
      <c r="A167" s="394"/>
      <c r="B167" s="163"/>
      <c r="C167" s="35"/>
      <c r="D167" s="163"/>
      <c r="E167" s="27"/>
      <c r="F167" s="14"/>
      <c r="G167" s="13" t="s">
        <v>17</v>
      </c>
      <c r="H167" s="14"/>
      <c r="I167" s="27"/>
      <c r="J167" s="27"/>
      <c r="K167" s="27"/>
      <c r="L167" s="27"/>
      <c r="M167" s="27"/>
    </row>
    <row r="168" ht="20.25" customHeight="1">
      <c r="A168" s="393"/>
      <c r="B168" s="163"/>
      <c r="C168" s="37"/>
      <c r="D168" s="163"/>
      <c r="E168" s="31"/>
      <c r="F168" s="22"/>
      <c r="G168" s="20"/>
      <c r="H168" s="22"/>
      <c r="I168" s="31"/>
      <c r="J168" s="31"/>
      <c r="K168" s="31"/>
      <c r="L168" s="31"/>
      <c r="M168" s="31"/>
    </row>
    <row r="169" ht="20.25" customHeight="1">
      <c r="A169" s="8">
        <v>46240.0</v>
      </c>
      <c r="B169" s="806" t="s">
        <v>122</v>
      </c>
      <c r="C169" s="35">
        <v>701.0</v>
      </c>
      <c r="D169" s="806">
        <v>0.87</v>
      </c>
      <c r="E169" s="25" t="s">
        <v>598</v>
      </c>
      <c r="F169" s="639" t="s">
        <v>599</v>
      </c>
      <c r="G169" s="14" t="s">
        <v>17</v>
      </c>
      <c r="H169" s="14" t="s">
        <v>25</v>
      </c>
      <c r="I169" s="27">
        <v>1.0</v>
      </c>
      <c r="J169" s="27">
        <v>200.0</v>
      </c>
      <c r="K169" s="27">
        <v>200.0</v>
      </c>
      <c r="L169" s="25">
        <v>400.0</v>
      </c>
      <c r="M169" s="25">
        <v>3829.0</v>
      </c>
    </row>
    <row r="170" ht="20.25" customHeight="1">
      <c r="A170" s="29"/>
      <c r="B170" s="806" t="s">
        <v>51</v>
      </c>
      <c r="C170" s="37">
        <v>701.0</v>
      </c>
      <c r="D170" s="806">
        <v>0.87</v>
      </c>
      <c r="E170" s="29"/>
      <c r="F170" s="29"/>
      <c r="G170" s="22" t="s">
        <v>17</v>
      </c>
      <c r="H170" s="22" t="s">
        <v>18</v>
      </c>
      <c r="I170" s="31">
        <v>5.0</v>
      </c>
      <c r="J170" s="31">
        <v>150.0</v>
      </c>
      <c r="K170" s="31">
        <v>750.0</v>
      </c>
      <c r="L170" s="29"/>
      <c r="M170" s="29"/>
    </row>
    <row r="171" ht="20.25" customHeight="1">
      <c r="A171" s="57"/>
      <c r="B171" s="806" t="s">
        <v>110</v>
      </c>
      <c r="C171" s="35">
        <v>701.0</v>
      </c>
      <c r="D171" s="806">
        <v>0.87</v>
      </c>
      <c r="E171" s="57"/>
      <c r="F171" s="57"/>
      <c r="G171" s="14" t="s">
        <v>17</v>
      </c>
      <c r="H171" s="14" t="s">
        <v>18</v>
      </c>
      <c r="I171" s="27">
        <v>8.0</v>
      </c>
      <c r="J171" s="27">
        <v>135.0</v>
      </c>
      <c r="K171" s="27">
        <v>1080.0</v>
      </c>
      <c r="L171" s="57"/>
      <c r="M171" s="57"/>
    </row>
    <row r="172" ht="20.25" customHeight="1">
      <c r="A172" s="29"/>
      <c r="B172" s="806" t="s">
        <v>110</v>
      </c>
      <c r="C172" s="37">
        <v>701.0</v>
      </c>
      <c r="D172" s="806">
        <v>0.87</v>
      </c>
      <c r="E172" s="29"/>
      <c r="F172" s="29"/>
      <c r="G172" s="22" t="s">
        <v>17</v>
      </c>
      <c r="H172" s="22" t="s">
        <v>18</v>
      </c>
      <c r="I172" s="31">
        <v>6.0</v>
      </c>
      <c r="J172" s="31">
        <v>158.0</v>
      </c>
      <c r="K172" s="31">
        <v>948.0</v>
      </c>
      <c r="L172" s="29"/>
      <c r="M172" s="29"/>
    </row>
    <row r="173" ht="20.25" customHeight="1">
      <c r="A173" s="57"/>
      <c r="B173" s="806" t="s">
        <v>110</v>
      </c>
      <c r="C173" s="35">
        <v>701.0</v>
      </c>
      <c r="D173" s="806">
        <v>0.87</v>
      </c>
      <c r="E173" s="57"/>
      <c r="F173" s="57"/>
      <c r="G173" s="14" t="s">
        <v>17</v>
      </c>
      <c r="H173" s="14" t="s">
        <v>18</v>
      </c>
      <c r="I173" s="27">
        <v>1.0</v>
      </c>
      <c r="J173" s="27">
        <v>204.0</v>
      </c>
      <c r="K173" s="27">
        <v>204.0</v>
      </c>
      <c r="L173" s="57"/>
      <c r="M173" s="57"/>
    </row>
    <row r="174" ht="20.25" customHeight="1">
      <c r="A174" s="20"/>
      <c r="B174" s="806" t="s">
        <v>110</v>
      </c>
      <c r="C174" s="37">
        <v>701.0</v>
      </c>
      <c r="D174" s="806">
        <v>0.87</v>
      </c>
      <c r="E174" s="20"/>
      <c r="F174" s="20"/>
      <c r="G174" s="22" t="s">
        <v>17</v>
      </c>
      <c r="H174" s="22" t="s">
        <v>18</v>
      </c>
      <c r="I174" s="31">
        <v>1.0</v>
      </c>
      <c r="J174" s="31">
        <v>247.0</v>
      </c>
      <c r="K174" s="31">
        <v>247.0</v>
      </c>
      <c r="L174" s="20"/>
      <c r="M174" s="20"/>
    </row>
    <row r="175" ht="20.25" customHeight="1">
      <c r="A175" s="8">
        <v>46241.0</v>
      </c>
      <c r="B175" s="806" t="s">
        <v>122</v>
      </c>
      <c r="C175" s="35">
        <v>702.0</v>
      </c>
      <c r="D175" s="806">
        <v>0.96</v>
      </c>
      <c r="E175" s="25" t="s">
        <v>598</v>
      </c>
      <c r="F175" s="639" t="s">
        <v>599</v>
      </c>
      <c r="G175" s="14" t="s">
        <v>17</v>
      </c>
      <c r="H175" s="14" t="s">
        <v>25</v>
      </c>
      <c r="I175" s="27">
        <v>1.0</v>
      </c>
      <c r="J175" s="27">
        <v>200.0</v>
      </c>
      <c r="K175" s="27">
        <v>200.0</v>
      </c>
      <c r="L175" s="25">
        <v>400.0</v>
      </c>
      <c r="M175" s="25">
        <v>5082.0</v>
      </c>
    </row>
    <row r="176" ht="20.25" customHeight="1">
      <c r="A176" s="29"/>
      <c r="B176" s="806" t="s">
        <v>51</v>
      </c>
      <c r="C176" s="37">
        <v>702.0</v>
      </c>
      <c r="D176" s="806">
        <v>0.96</v>
      </c>
      <c r="E176" s="29"/>
      <c r="F176" s="29"/>
      <c r="G176" s="22" t="s">
        <v>17</v>
      </c>
      <c r="H176" s="22" t="s">
        <v>18</v>
      </c>
      <c r="I176" s="31">
        <v>5.0</v>
      </c>
      <c r="J176" s="31">
        <v>170.0</v>
      </c>
      <c r="K176" s="31">
        <v>850.0</v>
      </c>
      <c r="L176" s="29"/>
      <c r="M176" s="29"/>
    </row>
    <row r="177" ht="20.25" customHeight="1">
      <c r="A177" s="57"/>
      <c r="B177" s="806" t="s">
        <v>110</v>
      </c>
      <c r="C177" s="35">
        <v>702.0</v>
      </c>
      <c r="D177" s="806">
        <v>0.96</v>
      </c>
      <c r="E177" s="57"/>
      <c r="F177" s="57"/>
      <c r="G177" s="14" t="s">
        <v>17</v>
      </c>
      <c r="H177" s="14" t="s">
        <v>18</v>
      </c>
      <c r="I177" s="27">
        <v>2.0</v>
      </c>
      <c r="J177" s="27">
        <v>216.0</v>
      </c>
      <c r="K177" s="27">
        <v>432.0</v>
      </c>
      <c r="L177" s="57"/>
      <c r="M177" s="57"/>
    </row>
    <row r="178" ht="20.25" customHeight="1">
      <c r="A178" s="29"/>
      <c r="B178" s="806" t="s">
        <v>110</v>
      </c>
      <c r="C178" s="37">
        <v>702.0</v>
      </c>
      <c r="D178" s="806">
        <v>0.96</v>
      </c>
      <c r="E178" s="29"/>
      <c r="F178" s="29"/>
      <c r="G178" s="22" t="s">
        <v>17</v>
      </c>
      <c r="H178" s="22" t="s">
        <v>18</v>
      </c>
      <c r="I178" s="31">
        <v>2.0</v>
      </c>
      <c r="J178" s="31">
        <v>186.0</v>
      </c>
      <c r="K178" s="31">
        <v>372.0</v>
      </c>
      <c r="L178" s="29"/>
      <c r="M178" s="29"/>
    </row>
    <row r="179" ht="20.25" customHeight="1">
      <c r="A179" s="57"/>
      <c r="B179" s="806" t="s">
        <v>110</v>
      </c>
      <c r="C179" s="35">
        <v>702.0</v>
      </c>
      <c r="D179" s="806">
        <v>0.96</v>
      </c>
      <c r="E179" s="57"/>
      <c r="F179" s="57"/>
      <c r="G179" s="14" t="s">
        <v>17</v>
      </c>
      <c r="H179" s="14" t="s">
        <v>18</v>
      </c>
      <c r="I179" s="27">
        <v>6.0</v>
      </c>
      <c r="J179" s="27">
        <v>203.0</v>
      </c>
      <c r="K179" s="27">
        <v>1218.0</v>
      </c>
      <c r="L179" s="57"/>
      <c r="M179" s="57"/>
    </row>
    <row r="180" ht="20.25" customHeight="1">
      <c r="A180" s="29"/>
      <c r="B180" s="806" t="s">
        <v>110</v>
      </c>
      <c r="C180" s="37">
        <v>702.0</v>
      </c>
      <c r="D180" s="806">
        <v>0.96</v>
      </c>
      <c r="E180" s="29"/>
      <c r="F180" s="29"/>
      <c r="G180" s="22" t="s">
        <v>17</v>
      </c>
      <c r="H180" s="22" t="s">
        <v>18</v>
      </c>
      <c r="I180" s="31">
        <v>1.0</v>
      </c>
      <c r="J180" s="31">
        <v>152.0</v>
      </c>
      <c r="K180" s="31">
        <v>152.0</v>
      </c>
      <c r="L180" s="29"/>
      <c r="M180" s="29"/>
    </row>
    <row r="181" ht="20.25" customHeight="1">
      <c r="A181" s="57"/>
      <c r="B181" s="806" t="s">
        <v>110</v>
      </c>
      <c r="C181" s="35">
        <v>702.0</v>
      </c>
      <c r="D181" s="806">
        <v>0.96</v>
      </c>
      <c r="E181" s="57"/>
      <c r="F181" s="57"/>
      <c r="G181" s="14" t="s">
        <v>17</v>
      </c>
      <c r="H181" s="14" t="s">
        <v>18</v>
      </c>
      <c r="I181" s="27">
        <v>5.0</v>
      </c>
      <c r="J181" s="27">
        <v>135.0</v>
      </c>
      <c r="K181" s="27">
        <v>675.0</v>
      </c>
      <c r="L181" s="57"/>
      <c r="M181" s="57"/>
    </row>
    <row r="182" ht="20.25" customHeight="1">
      <c r="A182" s="29"/>
      <c r="B182" s="806" t="s">
        <v>110</v>
      </c>
      <c r="C182" s="37">
        <v>702.0</v>
      </c>
      <c r="D182" s="806">
        <v>0.96</v>
      </c>
      <c r="E182" s="29"/>
      <c r="F182" s="29"/>
      <c r="G182" s="22" t="s">
        <v>17</v>
      </c>
      <c r="H182" s="22" t="s">
        <v>18</v>
      </c>
      <c r="I182" s="31">
        <v>1.0</v>
      </c>
      <c r="J182" s="31">
        <v>297.0</v>
      </c>
      <c r="K182" s="31">
        <v>297.0</v>
      </c>
      <c r="L182" s="29"/>
      <c r="M182" s="29"/>
    </row>
    <row r="183" ht="20.25" customHeight="1">
      <c r="A183" s="58"/>
      <c r="B183" s="806" t="s">
        <v>110</v>
      </c>
      <c r="C183" s="35">
        <v>702.0</v>
      </c>
      <c r="D183" s="806">
        <v>0.96</v>
      </c>
      <c r="E183" s="58"/>
      <c r="F183" s="58"/>
      <c r="G183" s="14" t="s">
        <v>17</v>
      </c>
      <c r="H183" s="14" t="s">
        <v>18</v>
      </c>
      <c r="I183" s="27">
        <v>3.0</v>
      </c>
      <c r="J183" s="27">
        <v>162.0</v>
      </c>
      <c r="K183" s="27">
        <v>486.0</v>
      </c>
      <c r="L183" s="58"/>
      <c r="M183" s="58"/>
    </row>
    <row r="184" ht="20.25" customHeight="1">
      <c r="A184" s="15">
        <v>46242.0</v>
      </c>
      <c r="B184" s="806" t="s">
        <v>122</v>
      </c>
      <c r="C184" s="37">
        <v>703.0</v>
      </c>
      <c r="D184" s="806">
        <v>1.01</v>
      </c>
      <c r="E184" s="64" t="s">
        <v>598</v>
      </c>
      <c r="F184" s="929" t="s">
        <v>599</v>
      </c>
      <c r="G184" s="22" t="s">
        <v>17</v>
      </c>
      <c r="H184" s="22" t="s">
        <v>25</v>
      </c>
      <c r="I184" s="31">
        <v>1.0</v>
      </c>
      <c r="J184" s="31">
        <v>200.0</v>
      </c>
      <c r="K184" s="31">
        <v>200.0</v>
      </c>
      <c r="L184" s="64">
        <v>400.0</v>
      </c>
      <c r="M184" s="64">
        <v>3915.0</v>
      </c>
    </row>
    <row r="185" ht="20.25" customHeight="1">
      <c r="A185" s="57"/>
      <c r="B185" s="806" t="s">
        <v>51</v>
      </c>
      <c r="C185" s="35">
        <v>703.0</v>
      </c>
      <c r="D185" s="806">
        <v>1.01</v>
      </c>
      <c r="E185" s="57"/>
      <c r="F185" s="57"/>
      <c r="G185" s="14" t="s">
        <v>17</v>
      </c>
      <c r="H185" s="14" t="s">
        <v>18</v>
      </c>
      <c r="I185" s="27">
        <v>5.0</v>
      </c>
      <c r="J185" s="27">
        <v>150.0</v>
      </c>
      <c r="K185" s="27">
        <v>750.0</v>
      </c>
      <c r="L185" s="57"/>
      <c r="M185" s="57"/>
    </row>
    <row r="186" ht="20.25" customHeight="1">
      <c r="A186" s="20"/>
      <c r="B186" s="806" t="s">
        <v>110</v>
      </c>
      <c r="C186" s="37">
        <v>703.0</v>
      </c>
      <c r="D186" s="806">
        <v>1.01</v>
      </c>
      <c r="E186" s="20"/>
      <c r="F186" s="20"/>
      <c r="G186" s="22" t="s">
        <v>17</v>
      </c>
      <c r="H186" s="22" t="s">
        <v>18</v>
      </c>
      <c r="I186" s="31">
        <v>19.0</v>
      </c>
      <c r="J186" s="31">
        <v>135.0</v>
      </c>
      <c r="K186" s="31">
        <v>2565.0</v>
      </c>
      <c r="L186" s="20"/>
      <c r="M186" s="20"/>
    </row>
    <row r="187" ht="20.25" customHeight="1">
      <c r="A187" s="8">
        <v>46244.0</v>
      </c>
      <c r="B187" s="806" t="s">
        <v>122</v>
      </c>
      <c r="C187" s="35">
        <v>704.0</v>
      </c>
      <c r="D187" s="806">
        <v>1.18</v>
      </c>
      <c r="E187" s="25" t="s">
        <v>598</v>
      </c>
      <c r="F187" s="639" t="s">
        <v>599</v>
      </c>
      <c r="G187" s="14" t="s">
        <v>17</v>
      </c>
      <c r="H187" s="14" t="s">
        <v>25</v>
      </c>
      <c r="I187" s="27">
        <v>1.0</v>
      </c>
      <c r="J187" s="27">
        <v>200.0</v>
      </c>
      <c r="K187" s="27">
        <v>200.0</v>
      </c>
      <c r="L187" s="25">
        <v>400.0</v>
      </c>
      <c r="M187" s="25">
        <v>4321.0</v>
      </c>
    </row>
    <row r="188" ht="20.25" customHeight="1">
      <c r="A188" s="29"/>
      <c r="B188" s="806" t="s">
        <v>51</v>
      </c>
      <c r="C188" s="37">
        <v>704.0</v>
      </c>
      <c r="D188" s="806">
        <v>1.18</v>
      </c>
      <c r="E188" s="29"/>
      <c r="F188" s="29"/>
      <c r="G188" s="22" t="s">
        <v>17</v>
      </c>
      <c r="H188" s="22" t="s">
        <v>18</v>
      </c>
      <c r="I188" s="31">
        <v>6.0</v>
      </c>
      <c r="J188" s="31">
        <v>150.0</v>
      </c>
      <c r="K188" s="31">
        <v>900.0</v>
      </c>
      <c r="L188" s="29"/>
      <c r="M188" s="29"/>
    </row>
    <row r="189" ht="20.25" customHeight="1">
      <c r="A189" s="57"/>
      <c r="B189" s="806" t="s">
        <v>110</v>
      </c>
      <c r="C189" s="35">
        <v>704.0</v>
      </c>
      <c r="D189" s="806">
        <v>1.18</v>
      </c>
      <c r="E189" s="57"/>
      <c r="F189" s="57"/>
      <c r="G189" s="14" t="s">
        <v>17</v>
      </c>
      <c r="H189" s="14" t="s">
        <v>18</v>
      </c>
      <c r="I189" s="27">
        <v>3.0</v>
      </c>
      <c r="J189" s="27">
        <v>181.0</v>
      </c>
      <c r="K189" s="27">
        <v>543.0</v>
      </c>
      <c r="L189" s="57"/>
      <c r="M189" s="57"/>
    </row>
    <row r="190" ht="20.25" customHeight="1">
      <c r="A190" s="29"/>
      <c r="B190" s="806" t="s">
        <v>110</v>
      </c>
      <c r="C190" s="37">
        <v>704.0</v>
      </c>
      <c r="D190" s="806">
        <v>1.18</v>
      </c>
      <c r="E190" s="29"/>
      <c r="F190" s="29"/>
      <c r="G190" s="22" t="s">
        <v>17</v>
      </c>
      <c r="H190" s="22" t="s">
        <v>18</v>
      </c>
      <c r="I190" s="31">
        <v>5.0</v>
      </c>
      <c r="J190" s="31">
        <v>158.0</v>
      </c>
      <c r="K190" s="31">
        <v>790.0</v>
      </c>
      <c r="L190" s="29"/>
      <c r="M190" s="29"/>
    </row>
    <row r="191" ht="20.25" customHeight="1">
      <c r="A191" s="57"/>
      <c r="B191" s="806" t="s">
        <v>110</v>
      </c>
      <c r="C191" s="35">
        <v>704.0</v>
      </c>
      <c r="D191" s="806">
        <v>1.18</v>
      </c>
      <c r="E191" s="57"/>
      <c r="F191" s="57"/>
      <c r="G191" s="14" t="s">
        <v>17</v>
      </c>
      <c r="H191" s="14" t="s">
        <v>18</v>
      </c>
      <c r="I191" s="27">
        <v>8.0</v>
      </c>
      <c r="J191" s="27">
        <v>135.0</v>
      </c>
      <c r="K191" s="27">
        <v>1080.0</v>
      </c>
      <c r="L191" s="57"/>
      <c r="M191" s="57"/>
    </row>
    <row r="192" ht="20.25" customHeight="1">
      <c r="A192" s="20"/>
      <c r="B192" s="806" t="s">
        <v>110</v>
      </c>
      <c r="C192" s="37">
        <v>704.0</v>
      </c>
      <c r="D192" s="806">
        <v>1.18</v>
      </c>
      <c r="E192" s="20"/>
      <c r="F192" s="20"/>
      <c r="G192" s="22" t="s">
        <v>17</v>
      </c>
      <c r="H192" s="22" t="s">
        <v>18</v>
      </c>
      <c r="I192" s="31">
        <v>2.0</v>
      </c>
      <c r="J192" s="31">
        <v>204.0</v>
      </c>
      <c r="K192" s="31">
        <v>408.0</v>
      </c>
      <c r="L192" s="20"/>
      <c r="M192" s="20"/>
    </row>
    <row r="193" ht="20.25" customHeight="1">
      <c r="A193" s="8">
        <v>46245.0</v>
      </c>
      <c r="B193" s="806" t="s">
        <v>122</v>
      </c>
      <c r="C193" s="35">
        <v>704.0</v>
      </c>
      <c r="D193" s="806">
        <v>1.18</v>
      </c>
      <c r="E193" s="25" t="s">
        <v>598</v>
      </c>
      <c r="F193" s="639" t="s">
        <v>599</v>
      </c>
      <c r="G193" s="14" t="s">
        <v>17</v>
      </c>
      <c r="H193" s="14" t="s">
        <v>25</v>
      </c>
      <c r="I193" s="27">
        <v>1.0</v>
      </c>
      <c r="J193" s="27">
        <v>200.0</v>
      </c>
      <c r="K193" s="27">
        <v>200.0</v>
      </c>
      <c r="L193" s="25">
        <v>400.0</v>
      </c>
      <c r="M193" s="25">
        <v>1725.0</v>
      </c>
    </row>
    <row r="194" ht="20.25" customHeight="1">
      <c r="A194" s="29"/>
      <c r="B194" s="806" t="s">
        <v>51</v>
      </c>
      <c r="C194" s="37">
        <v>704.0</v>
      </c>
      <c r="D194" s="806">
        <v>1.18</v>
      </c>
      <c r="E194" s="29"/>
      <c r="F194" s="29"/>
      <c r="G194" s="22" t="s">
        <v>17</v>
      </c>
      <c r="H194" s="22" t="s">
        <v>18</v>
      </c>
      <c r="I194" s="31">
        <v>3.0</v>
      </c>
      <c r="J194" s="31">
        <v>150.0</v>
      </c>
      <c r="K194" s="31">
        <v>450.0</v>
      </c>
      <c r="L194" s="29"/>
      <c r="M194" s="29"/>
    </row>
    <row r="195" ht="20.25" customHeight="1">
      <c r="A195" s="58"/>
      <c r="B195" s="806" t="s">
        <v>110</v>
      </c>
      <c r="C195" s="35">
        <v>704.0</v>
      </c>
      <c r="D195" s="806">
        <v>1.18</v>
      </c>
      <c r="E195" s="58"/>
      <c r="F195" s="58"/>
      <c r="G195" s="14" t="s">
        <v>17</v>
      </c>
      <c r="H195" s="14" t="s">
        <v>18</v>
      </c>
      <c r="I195" s="27">
        <v>5.0</v>
      </c>
      <c r="J195" s="27">
        <v>135.0</v>
      </c>
      <c r="K195" s="27">
        <v>675.0</v>
      </c>
      <c r="L195" s="58"/>
      <c r="M195" s="58"/>
    </row>
    <row r="196" ht="20.25" customHeight="1">
      <c r="A196" s="15">
        <v>46245.0</v>
      </c>
      <c r="B196" s="806" t="s">
        <v>110</v>
      </c>
      <c r="C196" s="37">
        <v>703.0</v>
      </c>
      <c r="D196" s="806">
        <v>1.01</v>
      </c>
      <c r="E196" s="64" t="s">
        <v>23</v>
      </c>
      <c r="F196" s="39" t="s">
        <v>600</v>
      </c>
      <c r="G196" s="22" t="s">
        <v>17</v>
      </c>
      <c r="H196" s="22" t="s">
        <v>18</v>
      </c>
      <c r="I196" s="31">
        <v>8.0</v>
      </c>
      <c r="J196" s="31">
        <v>100.0</v>
      </c>
      <c r="K196" s="31">
        <v>800.0</v>
      </c>
      <c r="L196" s="64">
        <v>30.0</v>
      </c>
      <c r="M196" s="64">
        <v>2230.0</v>
      </c>
    </row>
    <row r="197" ht="20.25" customHeight="1">
      <c r="A197" s="57"/>
      <c r="B197" s="930" t="s">
        <v>21</v>
      </c>
      <c r="C197" s="35">
        <v>706.0</v>
      </c>
      <c r="D197" s="806">
        <v>1.64</v>
      </c>
      <c r="E197" s="57"/>
      <c r="F197" s="57"/>
      <c r="G197" s="14" t="s">
        <v>17</v>
      </c>
      <c r="H197" s="14" t="s">
        <v>18</v>
      </c>
      <c r="I197" s="27">
        <v>8.0</v>
      </c>
      <c r="J197" s="27">
        <v>100.0</v>
      </c>
      <c r="K197" s="27">
        <v>800.0</v>
      </c>
      <c r="L197" s="57"/>
      <c r="M197" s="57"/>
    </row>
    <row r="198" ht="20.25" customHeight="1">
      <c r="A198" s="20"/>
      <c r="B198" s="20"/>
      <c r="C198" s="37">
        <v>706.0</v>
      </c>
      <c r="D198" s="806">
        <v>1.64</v>
      </c>
      <c r="E198" s="20"/>
      <c r="F198" s="20"/>
      <c r="G198" s="22" t="s">
        <v>17</v>
      </c>
      <c r="H198" s="22" t="s">
        <v>25</v>
      </c>
      <c r="I198" s="31">
        <v>1.0</v>
      </c>
      <c r="J198" s="31">
        <v>120.0</v>
      </c>
      <c r="K198" s="31">
        <v>120.0</v>
      </c>
      <c r="L198" s="20"/>
      <c r="M198" s="20"/>
    </row>
    <row r="199" ht="20.25" customHeight="1">
      <c r="A199" s="8">
        <v>46246.0</v>
      </c>
      <c r="B199" s="806" t="s">
        <v>110</v>
      </c>
      <c r="C199" s="35">
        <v>701.0</v>
      </c>
      <c r="D199" s="806">
        <v>0.87</v>
      </c>
      <c r="E199" s="25" t="s">
        <v>23</v>
      </c>
      <c r="F199" s="639" t="s">
        <v>601</v>
      </c>
      <c r="G199" s="14" t="s">
        <v>17</v>
      </c>
      <c r="H199" s="14" t="s">
        <v>18</v>
      </c>
      <c r="I199" s="27">
        <v>3.0</v>
      </c>
      <c r="J199" s="27">
        <v>100.0</v>
      </c>
      <c r="K199" s="27">
        <v>300.0</v>
      </c>
      <c r="L199" s="25">
        <v>30.0</v>
      </c>
      <c r="M199" s="25">
        <v>2360.0</v>
      </c>
    </row>
    <row r="200" ht="20.25" customHeight="1">
      <c r="A200" s="29"/>
      <c r="B200" s="21" t="s">
        <v>21</v>
      </c>
      <c r="C200" s="79">
        <v>706.0</v>
      </c>
      <c r="D200" s="806">
        <v>1.64</v>
      </c>
      <c r="E200" s="29"/>
      <c r="F200" s="29"/>
      <c r="G200" s="22" t="s">
        <v>17</v>
      </c>
      <c r="H200" s="22" t="s">
        <v>18</v>
      </c>
      <c r="I200" s="31">
        <v>14.0</v>
      </c>
      <c r="J200" s="31">
        <v>100.0</v>
      </c>
      <c r="K200" s="31">
        <v>1400.0</v>
      </c>
      <c r="L200" s="29"/>
      <c r="M200" s="29"/>
    </row>
    <row r="201" ht="20.25" customHeight="1">
      <c r="A201" s="58"/>
      <c r="B201" s="58"/>
      <c r="C201" s="58"/>
      <c r="D201" s="806">
        <v>1.64</v>
      </c>
      <c r="E201" s="58"/>
      <c r="F201" s="58"/>
      <c r="G201" s="14" t="s">
        <v>17</v>
      </c>
      <c r="H201" s="14" t="s">
        <v>25</v>
      </c>
      <c r="I201" s="27">
        <v>1.0</v>
      </c>
      <c r="J201" s="27">
        <v>120.0</v>
      </c>
      <c r="K201" s="27">
        <v>120.0</v>
      </c>
      <c r="L201" s="58"/>
      <c r="M201" s="58"/>
    </row>
    <row r="202" ht="20.25" customHeight="1">
      <c r="A202" s="15">
        <v>46247.0</v>
      </c>
      <c r="B202" s="806" t="s">
        <v>110</v>
      </c>
      <c r="C202" s="37">
        <v>703.0</v>
      </c>
      <c r="D202" s="806">
        <v>1.01</v>
      </c>
      <c r="E202" s="64" t="s">
        <v>23</v>
      </c>
      <c r="F202" s="929" t="s">
        <v>602</v>
      </c>
      <c r="G202" s="22" t="s">
        <v>17</v>
      </c>
      <c r="H202" s="22" t="s">
        <v>18</v>
      </c>
      <c r="I202" s="31">
        <v>4.0</v>
      </c>
      <c r="J202" s="31">
        <v>100.0</v>
      </c>
      <c r="K202" s="31">
        <v>400.0</v>
      </c>
      <c r="L202" s="64">
        <v>30.0</v>
      </c>
      <c r="M202" s="64">
        <v>2620.0</v>
      </c>
    </row>
    <row r="203" ht="20.25" customHeight="1">
      <c r="A203" s="57"/>
      <c r="B203" s="21" t="s">
        <v>21</v>
      </c>
      <c r="C203" s="40">
        <v>708.0</v>
      </c>
      <c r="D203" s="806">
        <v>0.93</v>
      </c>
      <c r="E203" s="57"/>
      <c r="F203" s="57"/>
      <c r="G203" s="14" t="s">
        <v>17</v>
      </c>
      <c r="H203" s="14" t="s">
        <v>25</v>
      </c>
      <c r="I203" s="27">
        <v>1.0</v>
      </c>
      <c r="J203" s="27">
        <v>120.0</v>
      </c>
      <c r="K203" s="27">
        <v>120.0</v>
      </c>
      <c r="L203" s="57"/>
      <c r="M203" s="57"/>
    </row>
    <row r="204" ht="20.25" customHeight="1">
      <c r="A204" s="20"/>
      <c r="B204" s="20"/>
      <c r="C204" s="20"/>
      <c r="D204" s="806">
        <v>0.93</v>
      </c>
      <c r="E204" s="20"/>
      <c r="F204" s="20"/>
      <c r="G204" s="22" t="s">
        <v>17</v>
      </c>
      <c r="H204" s="22" t="s">
        <v>18</v>
      </c>
      <c r="I204" s="31">
        <v>15.0</v>
      </c>
      <c r="J204" s="31">
        <v>100.0</v>
      </c>
      <c r="K204" s="31">
        <v>1500.0</v>
      </c>
      <c r="L204" s="20"/>
      <c r="M204" s="20"/>
    </row>
    <row r="205" ht="20.25" customHeight="1">
      <c r="A205" s="8">
        <v>46248.0</v>
      </c>
      <c r="B205" s="806" t="s">
        <v>110</v>
      </c>
      <c r="C205" s="35">
        <v>702.0</v>
      </c>
      <c r="D205" s="806">
        <v>0.96</v>
      </c>
      <c r="E205" s="25" t="s">
        <v>603</v>
      </c>
      <c r="F205" s="639" t="s">
        <v>604</v>
      </c>
      <c r="G205" s="14" t="s">
        <v>17</v>
      </c>
      <c r="H205" s="14" t="s">
        <v>18</v>
      </c>
      <c r="I205" s="27">
        <v>1.0</v>
      </c>
      <c r="J205" s="27">
        <v>100.0</v>
      </c>
      <c r="K205" s="27">
        <v>100.0</v>
      </c>
      <c r="L205" s="25">
        <v>30.0</v>
      </c>
      <c r="M205" s="25">
        <v>2750.0</v>
      </c>
    </row>
    <row r="206" ht="20.25" customHeight="1">
      <c r="A206" s="29"/>
      <c r="B206" s="21" t="s">
        <v>21</v>
      </c>
      <c r="C206" s="37">
        <v>706.0</v>
      </c>
      <c r="D206" s="806">
        <v>1.64</v>
      </c>
      <c r="E206" s="29"/>
      <c r="F206" s="29"/>
      <c r="G206" s="22" t="s">
        <v>17</v>
      </c>
      <c r="H206" s="22" t="s">
        <v>25</v>
      </c>
      <c r="I206" s="31">
        <v>1.0</v>
      </c>
      <c r="J206" s="31">
        <v>120.0</v>
      </c>
      <c r="K206" s="31">
        <v>120.0</v>
      </c>
      <c r="L206" s="29"/>
      <c r="M206" s="29"/>
    </row>
    <row r="207" ht="20.25" customHeight="1">
      <c r="A207" s="57"/>
      <c r="B207" s="57"/>
      <c r="C207" s="35">
        <v>705.0</v>
      </c>
      <c r="D207" s="806">
        <v>0.76</v>
      </c>
      <c r="E207" s="57"/>
      <c r="F207" s="57"/>
      <c r="G207" s="14" t="s">
        <v>17</v>
      </c>
      <c r="H207" s="14" t="s">
        <v>18</v>
      </c>
      <c r="I207" s="27">
        <v>14.0</v>
      </c>
      <c r="J207" s="27">
        <v>100.0</v>
      </c>
      <c r="K207" s="27">
        <v>1400.0</v>
      </c>
      <c r="L207" s="57"/>
      <c r="M207" s="57"/>
    </row>
    <row r="208" ht="20.25" customHeight="1">
      <c r="A208" s="20"/>
      <c r="B208" s="20"/>
      <c r="C208" s="37">
        <v>714.0</v>
      </c>
      <c r="D208" s="806">
        <v>0.64</v>
      </c>
      <c r="E208" s="20"/>
      <c r="F208" s="20"/>
      <c r="G208" s="22" t="s">
        <v>17</v>
      </c>
      <c r="H208" s="22" t="s">
        <v>18</v>
      </c>
      <c r="I208" s="31">
        <v>5.0</v>
      </c>
      <c r="J208" s="31">
        <v>100.0</v>
      </c>
      <c r="K208" s="31">
        <v>500.0</v>
      </c>
      <c r="L208" s="20"/>
      <c r="M208" s="20"/>
    </row>
    <row r="209" ht="20.25" customHeight="1">
      <c r="A209" s="8">
        <v>46249.0</v>
      </c>
      <c r="B209" s="806" t="s">
        <v>21</v>
      </c>
      <c r="C209" s="35">
        <v>717.0</v>
      </c>
      <c r="D209" s="806">
        <v>0.88</v>
      </c>
      <c r="E209" s="25" t="s">
        <v>23</v>
      </c>
      <c r="F209" s="639" t="s">
        <v>605</v>
      </c>
      <c r="G209" s="14" t="s">
        <v>17</v>
      </c>
      <c r="H209" s="14" t="s">
        <v>25</v>
      </c>
      <c r="I209" s="27">
        <v>1.0</v>
      </c>
      <c r="J209" s="27">
        <v>120.0</v>
      </c>
      <c r="K209" s="27">
        <v>120.0</v>
      </c>
      <c r="L209" s="25">
        <v>30.0</v>
      </c>
      <c r="M209" s="25">
        <v>2880.0</v>
      </c>
    </row>
    <row r="210" ht="20.25" customHeight="1">
      <c r="A210" s="29"/>
      <c r="B210" s="806" t="s">
        <v>21</v>
      </c>
      <c r="C210" s="37">
        <v>717.0</v>
      </c>
      <c r="D210" s="806">
        <v>0.88</v>
      </c>
      <c r="E210" s="29"/>
      <c r="F210" s="29"/>
      <c r="G210" s="22" t="s">
        <v>17</v>
      </c>
      <c r="H210" s="22" t="s">
        <v>18</v>
      </c>
      <c r="I210" s="31">
        <v>15.0</v>
      </c>
      <c r="J210" s="31">
        <v>100.0</v>
      </c>
      <c r="K210" s="31">
        <v>1500.0</v>
      </c>
      <c r="L210" s="29"/>
      <c r="M210" s="29"/>
    </row>
    <row r="211" ht="20.25" customHeight="1">
      <c r="A211" s="58"/>
      <c r="B211" s="806" t="s">
        <v>22</v>
      </c>
      <c r="C211" s="35">
        <v>702.0</v>
      </c>
      <c r="D211" s="806">
        <v>0.96</v>
      </c>
      <c r="E211" s="58"/>
      <c r="F211" s="58"/>
      <c r="G211" s="14" t="s">
        <v>17</v>
      </c>
      <c r="H211" s="14" t="s">
        <v>18</v>
      </c>
      <c r="I211" s="27">
        <v>6.0</v>
      </c>
      <c r="J211" s="27">
        <v>100.0</v>
      </c>
      <c r="K211" s="27">
        <v>600.0</v>
      </c>
      <c r="L211" s="58"/>
      <c r="M211" s="58"/>
    </row>
    <row r="212" ht="20.25" customHeight="1">
      <c r="A212" s="15">
        <v>46251.0</v>
      </c>
      <c r="B212" s="21" t="s">
        <v>21</v>
      </c>
      <c r="C212" s="37">
        <v>705.0</v>
      </c>
      <c r="D212" s="806">
        <v>0.76</v>
      </c>
      <c r="E212" s="64" t="s">
        <v>603</v>
      </c>
      <c r="F212" s="931" t="s">
        <v>604</v>
      </c>
      <c r="G212" s="22" t="s">
        <v>17</v>
      </c>
      <c r="H212" s="22" t="s">
        <v>25</v>
      </c>
      <c r="I212" s="31">
        <v>1.0</v>
      </c>
      <c r="J212" s="31">
        <v>120.0</v>
      </c>
      <c r="K212" s="31">
        <v>120.0</v>
      </c>
      <c r="L212" s="64">
        <v>30.0</v>
      </c>
      <c r="M212" s="64">
        <v>2750.0</v>
      </c>
    </row>
    <row r="213" ht="20.25" customHeight="1">
      <c r="A213" s="58"/>
      <c r="B213" s="58"/>
      <c r="C213" s="35">
        <v>705.0</v>
      </c>
      <c r="D213" s="806">
        <v>0.76</v>
      </c>
      <c r="E213" s="58"/>
      <c r="F213" s="58"/>
      <c r="G213" s="14" t="s">
        <v>17</v>
      </c>
      <c r="H213" s="14" t="s">
        <v>18</v>
      </c>
      <c r="I213" s="27">
        <v>20.0</v>
      </c>
      <c r="J213" s="27">
        <v>100.0</v>
      </c>
      <c r="K213" s="27">
        <v>2000.0</v>
      </c>
      <c r="L213" s="58"/>
      <c r="M213" s="58"/>
    </row>
    <row r="214" ht="20.25" customHeight="1">
      <c r="A214" s="15">
        <v>46252.0</v>
      </c>
      <c r="B214" s="806" t="s">
        <v>102</v>
      </c>
      <c r="C214" s="37">
        <v>706.0</v>
      </c>
      <c r="D214" s="806">
        <v>1.64</v>
      </c>
      <c r="E214" s="64" t="s">
        <v>558</v>
      </c>
      <c r="F214" s="929" t="s">
        <v>605</v>
      </c>
      <c r="G214" s="22" t="s">
        <v>17</v>
      </c>
      <c r="H214" s="22" t="s">
        <v>18</v>
      </c>
      <c r="I214" s="31">
        <v>6.0</v>
      </c>
      <c r="J214" s="31">
        <v>100.0</v>
      </c>
      <c r="K214" s="31">
        <v>600.0</v>
      </c>
      <c r="L214" s="64">
        <v>30.0</v>
      </c>
      <c r="M214" s="64">
        <v>2620.0</v>
      </c>
    </row>
    <row r="215" ht="20.25" customHeight="1">
      <c r="A215" s="57"/>
      <c r="B215" s="21" t="s">
        <v>21</v>
      </c>
      <c r="C215" s="35">
        <v>710.0</v>
      </c>
      <c r="D215" s="806">
        <v>1.02</v>
      </c>
      <c r="E215" s="57"/>
      <c r="F215" s="57"/>
      <c r="G215" s="14" t="s">
        <v>17</v>
      </c>
      <c r="H215" s="14" t="s">
        <v>25</v>
      </c>
      <c r="I215" s="27">
        <v>1.0</v>
      </c>
      <c r="J215" s="27">
        <v>120.0</v>
      </c>
      <c r="K215" s="27">
        <v>120.0</v>
      </c>
      <c r="L215" s="57"/>
      <c r="M215" s="57"/>
    </row>
    <row r="216" ht="20.25" customHeight="1">
      <c r="A216" s="20"/>
      <c r="B216" s="20"/>
      <c r="C216" s="37">
        <v>710.0</v>
      </c>
      <c r="D216" s="806">
        <v>1.02</v>
      </c>
      <c r="E216" s="20"/>
      <c r="F216" s="20"/>
      <c r="G216" s="22" t="s">
        <v>17</v>
      </c>
      <c r="H216" s="22" t="s">
        <v>18</v>
      </c>
      <c r="I216" s="31">
        <v>13.0</v>
      </c>
      <c r="J216" s="31">
        <v>100.0</v>
      </c>
      <c r="K216" s="31">
        <v>1300.0</v>
      </c>
      <c r="L216" s="20"/>
      <c r="M216" s="20"/>
    </row>
    <row r="217" ht="20.25" customHeight="1">
      <c r="A217" s="8">
        <v>46253.0</v>
      </c>
      <c r="B217" s="806" t="s">
        <v>102</v>
      </c>
      <c r="C217" s="35">
        <v>706.0</v>
      </c>
      <c r="D217" s="806">
        <v>1.64</v>
      </c>
      <c r="E217" s="25" t="s">
        <v>603</v>
      </c>
      <c r="F217" s="639" t="s">
        <v>604</v>
      </c>
      <c r="G217" s="14" t="s">
        <v>17</v>
      </c>
      <c r="H217" s="14" t="s">
        <v>18</v>
      </c>
      <c r="I217" s="27">
        <v>3.0</v>
      </c>
      <c r="J217" s="27">
        <v>100.0</v>
      </c>
      <c r="K217" s="27">
        <v>300.0</v>
      </c>
      <c r="L217" s="25">
        <v>30.0</v>
      </c>
      <c r="M217" s="25">
        <v>2750.0</v>
      </c>
    </row>
    <row r="218" ht="20.25" customHeight="1">
      <c r="A218" s="29"/>
      <c r="B218" s="21" t="s">
        <v>21</v>
      </c>
      <c r="C218" s="37">
        <v>710.0</v>
      </c>
      <c r="D218" s="806">
        <v>1.02</v>
      </c>
      <c r="E218" s="29"/>
      <c r="F218" s="29"/>
      <c r="G218" s="22" t="s">
        <v>17</v>
      </c>
      <c r="H218" s="22" t="s">
        <v>25</v>
      </c>
      <c r="I218" s="31">
        <v>1.0</v>
      </c>
      <c r="J218" s="31">
        <v>120.0</v>
      </c>
      <c r="K218" s="31">
        <v>120.0</v>
      </c>
      <c r="L218" s="29"/>
      <c r="M218" s="29"/>
    </row>
    <row r="219" ht="20.25" customHeight="1">
      <c r="A219" s="58"/>
      <c r="B219" s="58"/>
      <c r="C219" s="35">
        <v>710.0</v>
      </c>
      <c r="D219" s="806">
        <v>1.02</v>
      </c>
      <c r="E219" s="58"/>
      <c r="F219" s="58"/>
      <c r="G219" s="14" t="s">
        <v>17</v>
      </c>
      <c r="H219" s="14" t="s">
        <v>18</v>
      </c>
      <c r="I219" s="27">
        <v>17.0</v>
      </c>
      <c r="J219" s="27">
        <v>100.0</v>
      </c>
      <c r="K219" s="27">
        <v>1700.0</v>
      </c>
      <c r="L219" s="58"/>
      <c r="M219" s="58"/>
    </row>
    <row r="220" ht="20.25" customHeight="1">
      <c r="A220" s="15">
        <v>46254.0</v>
      </c>
      <c r="B220" s="21" t="s">
        <v>21</v>
      </c>
      <c r="C220" s="96">
        <v>710.0</v>
      </c>
      <c r="D220" s="21">
        <v>1.02</v>
      </c>
      <c r="E220" s="64" t="s">
        <v>603</v>
      </c>
      <c r="F220" s="929" t="s">
        <v>604</v>
      </c>
      <c r="G220" s="22" t="s">
        <v>17</v>
      </c>
      <c r="H220" s="22" t="s">
        <v>25</v>
      </c>
      <c r="I220" s="31">
        <v>1.0</v>
      </c>
      <c r="J220" s="31">
        <v>120.0</v>
      </c>
      <c r="K220" s="31">
        <v>120.0</v>
      </c>
      <c r="L220" s="64">
        <v>30.0</v>
      </c>
      <c r="M220" s="64">
        <v>2750.0</v>
      </c>
    </row>
    <row r="221" ht="20.25" customHeight="1">
      <c r="A221" s="58"/>
      <c r="B221" s="58"/>
      <c r="C221" s="58"/>
      <c r="D221" s="58"/>
      <c r="E221" s="58"/>
      <c r="F221" s="58"/>
      <c r="G221" s="14" t="s">
        <v>17</v>
      </c>
      <c r="H221" s="14" t="s">
        <v>18</v>
      </c>
      <c r="I221" s="27">
        <v>20.0</v>
      </c>
      <c r="J221" s="27">
        <v>100.0</v>
      </c>
      <c r="K221" s="27">
        <v>2000.0</v>
      </c>
      <c r="L221" s="58"/>
      <c r="M221" s="58"/>
    </row>
    <row r="222" ht="20.25" customHeight="1">
      <c r="A222" s="15">
        <v>46255.0</v>
      </c>
      <c r="B222" s="21" t="s">
        <v>21</v>
      </c>
      <c r="C222" s="96">
        <v>711.0</v>
      </c>
      <c r="D222" s="21">
        <v>0.67</v>
      </c>
      <c r="E222" s="64" t="s">
        <v>23</v>
      </c>
      <c r="F222" s="929" t="s">
        <v>606</v>
      </c>
      <c r="G222" s="22" t="s">
        <v>17</v>
      </c>
      <c r="H222" s="22" t="s">
        <v>25</v>
      </c>
      <c r="I222" s="31">
        <v>1.0</v>
      </c>
      <c r="J222" s="31">
        <v>120.0</v>
      </c>
      <c r="K222" s="31">
        <v>120.0</v>
      </c>
      <c r="L222" s="64">
        <v>30.0</v>
      </c>
      <c r="M222" s="64">
        <v>2620.0</v>
      </c>
    </row>
    <row r="223" ht="20.25" customHeight="1">
      <c r="A223" s="58"/>
      <c r="B223" s="58"/>
      <c r="C223" s="58"/>
      <c r="D223" s="58"/>
      <c r="E223" s="58"/>
      <c r="F223" s="58"/>
      <c r="G223" s="14" t="s">
        <v>17</v>
      </c>
      <c r="H223" s="14" t="s">
        <v>18</v>
      </c>
      <c r="I223" s="27">
        <v>19.0</v>
      </c>
      <c r="J223" s="27">
        <v>100.0</v>
      </c>
      <c r="K223" s="27">
        <v>1900.0</v>
      </c>
      <c r="L223" s="58"/>
      <c r="M223" s="58"/>
    </row>
    <row r="224" ht="20.25" customHeight="1">
      <c r="A224" s="15">
        <v>46256.0</v>
      </c>
      <c r="B224" s="21" t="s">
        <v>102</v>
      </c>
      <c r="C224" s="37">
        <v>705.0</v>
      </c>
      <c r="D224" s="806">
        <v>0.76</v>
      </c>
      <c r="E224" s="64" t="s">
        <v>23</v>
      </c>
      <c r="F224" s="929" t="s">
        <v>606</v>
      </c>
      <c r="G224" s="22" t="s">
        <v>17</v>
      </c>
      <c r="H224" s="22" t="s">
        <v>25</v>
      </c>
      <c r="I224" s="31">
        <v>1.0</v>
      </c>
      <c r="J224" s="31">
        <v>120.0</v>
      </c>
      <c r="K224" s="31">
        <v>120.0</v>
      </c>
      <c r="L224" s="64">
        <v>30.0</v>
      </c>
      <c r="M224" s="64">
        <v>2750.0</v>
      </c>
    </row>
    <row r="225" ht="20.25" customHeight="1">
      <c r="A225" s="58"/>
      <c r="B225" s="58"/>
      <c r="C225" s="35">
        <v>706.0</v>
      </c>
      <c r="D225" s="806">
        <v>1.64</v>
      </c>
      <c r="E225" s="58"/>
      <c r="F225" s="58"/>
      <c r="G225" s="14" t="s">
        <v>17</v>
      </c>
      <c r="H225" s="14" t="s">
        <v>18</v>
      </c>
      <c r="I225" s="27">
        <v>20.0</v>
      </c>
      <c r="J225" s="27">
        <v>100.0</v>
      </c>
      <c r="K225" s="27">
        <v>2000.0</v>
      </c>
      <c r="L225" s="58"/>
      <c r="M225" s="58"/>
    </row>
    <row r="226" ht="20.25" customHeight="1">
      <c r="A226" s="932" t="s">
        <v>607</v>
      </c>
      <c r="B226" s="806" t="s">
        <v>122</v>
      </c>
      <c r="C226" s="96">
        <v>706.0</v>
      </c>
      <c r="D226" s="933">
        <v>1.64</v>
      </c>
      <c r="E226" s="25" t="s">
        <v>598</v>
      </c>
      <c r="F226" s="934" t="s">
        <v>608</v>
      </c>
      <c r="G226" s="22" t="s">
        <v>17</v>
      </c>
      <c r="H226" s="22" t="s">
        <v>25</v>
      </c>
      <c r="I226" s="31">
        <v>2.0</v>
      </c>
      <c r="J226" s="31">
        <v>200.0</v>
      </c>
      <c r="K226" s="31">
        <v>400.0</v>
      </c>
      <c r="L226" s="64">
        <v>400.0</v>
      </c>
      <c r="M226" s="241">
        <v>4130.0</v>
      </c>
    </row>
    <row r="227" ht="20.25" customHeight="1">
      <c r="A227" s="57"/>
      <c r="B227" s="383" t="s">
        <v>51</v>
      </c>
      <c r="C227" s="58"/>
      <c r="D227" s="58"/>
      <c r="E227" s="57"/>
      <c r="F227" s="57"/>
      <c r="G227" s="14" t="s">
        <v>17</v>
      </c>
      <c r="H227" s="14" t="s">
        <v>18</v>
      </c>
      <c r="I227" s="27">
        <v>6.0</v>
      </c>
      <c r="J227" s="27">
        <v>150.0</v>
      </c>
      <c r="K227" s="27">
        <v>900.0</v>
      </c>
      <c r="L227" s="57"/>
      <c r="M227" s="57"/>
    </row>
    <row r="228" ht="20.25" customHeight="1">
      <c r="A228" s="20"/>
      <c r="B228" s="806" t="s">
        <v>110</v>
      </c>
      <c r="C228" s="37">
        <v>705.0</v>
      </c>
      <c r="D228" s="806">
        <v>0.76</v>
      </c>
      <c r="E228" s="20"/>
      <c r="F228" s="20"/>
      <c r="G228" s="22" t="s">
        <v>17</v>
      </c>
      <c r="H228" s="22" t="s">
        <v>18</v>
      </c>
      <c r="I228" s="31">
        <v>18.0</v>
      </c>
      <c r="J228" s="31">
        <v>135.0</v>
      </c>
      <c r="K228" s="31">
        <v>2430.0</v>
      </c>
      <c r="L228" s="20"/>
      <c r="M228" s="20"/>
    </row>
    <row r="229" ht="20.25" customHeight="1">
      <c r="A229" s="237">
        <v>46257.0</v>
      </c>
      <c r="B229" s="806" t="s">
        <v>122</v>
      </c>
      <c r="C229" s="35">
        <v>705.0</v>
      </c>
      <c r="D229" s="806">
        <v>0.76</v>
      </c>
      <c r="E229" s="25" t="s">
        <v>598</v>
      </c>
      <c r="F229" s="934" t="s">
        <v>608</v>
      </c>
      <c r="G229" s="14" t="s">
        <v>17</v>
      </c>
      <c r="H229" s="14" t="s">
        <v>25</v>
      </c>
      <c r="I229" s="27">
        <v>2.0</v>
      </c>
      <c r="J229" s="27">
        <v>200.0</v>
      </c>
      <c r="K229" s="27">
        <v>400.0</v>
      </c>
      <c r="L229" s="25">
        <v>400.0</v>
      </c>
      <c r="M229" s="241">
        <v>4130.0</v>
      </c>
    </row>
    <row r="230" ht="20.25" customHeight="1">
      <c r="A230" s="29"/>
      <c r="B230" s="806" t="s">
        <v>51</v>
      </c>
      <c r="C230" s="37">
        <v>706.0</v>
      </c>
      <c r="D230" s="806">
        <v>1.64</v>
      </c>
      <c r="E230" s="29"/>
      <c r="F230" s="29"/>
      <c r="G230" s="22" t="s">
        <v>17</v>
      </c>
      <c r="H230" s="22" t="s">
        <v>18</v>
      </c>
      <c r="I230" s="31">
        <v>6.0</v>
      </c>
      <c r="J230" s="31">
        <v>150.0</v>
      </c>
      <c r="K230" s="31">
        <v>900.0</v>
      </c>
      <c r="L230" s="29"/>
      <c r="M230" s="29"/>
    </row>
    <row r="231" ht="20.25" customHeight="1">
      <c r="A231" s="58"/>
      <c r="B231" s="806" t="s">
        <v>110</v>
      </c>
      <c r="C231" s="35">
        <v>705.0</v>
      </c>
      <c r="D231" s="806">
        <v>0.76</v>
      </c>
      <c r="E231" s="58"/>
      <c r="F231" s="58"/>
      <c r="G231" s="14" t="s">
        <v>17</v>
      </c>
      <c r="H231" s="14" t="s">
        <v>18</v>
      </c>
      <c r="I231" s="27">
        <v>18.0</v>
      </c>
      <c r="J231" s="27">
        <v>135.0</v>
      </c>
      <c r="K231" s="27">
        <v>2430.0</v>
      </c>
      <c r="L231" s="58"/>
      <c r="M231" s="58"/>
    </row>
    <row r="232" ht="20.25" customHeight="1">
      <c r="A232" s="391">
        <v>46257.0</v>
      </c>
      <c r="B232" s="806" t="s">
        <v>122</v>
      </c>
      <c r="C232" s="37">
        <v>707.0</v>
      </c>
      <c r="D232" s="806">
        <v>0.69</v>
      </c>
      <c r="E232" s="64" t="s">
        <v>23</v>
      </c>
      <c r="F232" s="929" t="s">
        <v>606</v>
      </c>
      <c r="G232" s="22" t="s">
        <v>17</v>
      </c>
      <c r="H232" s="22" t="s">
        <v>25</v>
      </c>
      <c r="I232" s="31">
        <v>1.0</v>
      </c>
      <c r="J232" s="31">
        <v>120.0</v>
      </c>
      <c r="K232" s="31">
        <v>120.0</v>
      </c>
      <c r="L232" s="64">
        <v>30.0</v>
      </c>
      <c r="M232" s="64">
        <v>2750.0</v>
      </c>
    </row>
    <row r="233" ht="20.25" customHeight="1">
      <c r="A233" s="58"/>
      <c r="B233" s="806" t="s">
        <v>102</v>
      </c>
      <c r="C233" s="35">
        <v>708.0</v>
      </c>
      <c r="D233" s="806">
        <v>0.93</v>
      </c>
      <c r="E233" s="58"/>
      <c r="F233" s="58"/>
      <c r="G233" s="14" t="s">
        <v>17</v>
      </c>
      <c r="H233" s="14" t="s">
        <v>18</v>
      </c>
      <c r="I233" s="27">
        <v>20.0</v>
      </c>
      <c r="J233" s="27">
        <v>100.0</v>
      </c>
      <c r="K233" s="27">
        <v>2000.0</v>
      </c>
      <c r="L233" s="58"/>
      <c r="M233" s="58"/>
    </row>
    <row r="234" ht="20.25" customHeight="1">
      <c r="A234" s="237">
        <v>46258.0</v>
      </c>
      <c r="B234" s="806" t="s">
        <v>122</v>
      </c>
      <c r="C234" s="37">
        <v>706.0</v>
      </c>
      <c r="D234" s="806">
        <v>1.64</v>
      </c>
      <c r="E234" s="935" t="s">
        <v>598</v>
      </c>
      <c r="F234" s="934" t="s">
        <v>608</v>
      </c>
      <c r="G234" s="22" t="s">
        <v>17</v>
      </c>
      <c r="H234" s="22" t="s">
        <v>25</v>
      </c>
      <c r="I234" s="31">
        <v>1.0</v>
      </c>
      <c r="J234" s="31">
        <v>200.0</v>
      </c>
      <c r="K234" s="31">
        <v>200.0</v>
      </c>
      <c r="L234" s="64">
        <v>400.0</v>
      </c>
      <c r="M234" s="241">
        <v>3987.0</v>
      </c>
    </row>
    <row r="235" ht="20.25" customHeight="1">
      <c r="A235" s="57"/>
      <c r="B235" s="806" t="s">
        <v>51</v>
      </c>
      <c r="C235" s="35">
        <v>708.0</v>
      </c>
      <c r="D235" s="806">
        <v>0.93</v>
      </c>
      <c r="E235" s="57"/>
      <c r="F235" s="57"/>
      <c r="G235" s="14" t="s">
        <v>17</v>
      </c>
      <c r="H235" s="14" t="s">
        <v>18</v>
      </c>
      <c r="I235" s="27">
        <v>6.0</v>
      </c>
      <c r="J235" s="27">
        <v>150.0</v>
      </c>
      <c r="K235" s="27">
        <v>900.0</v>
      </c>
      <c r="L235" s="57"/>
      <c r="M235" s="57"/>
    </row>
    <row r="236" ht="20.25" customHeight="1">
      <c r="A236" s="29"/>
      <c r="B236" s="806" t="s">
        <v>110</v>
      </c>
      <c r="C236" s="37">
        <v>706.0</v>
      </c>
      <c r="D236" s="806">
        <v>1.64</v>
      </c>
      <c r="E236" s="29"/>
      <c r="F236" s="29"/>
      <c r="G236" s="22" t="s">
        <v>17</v>
      </c>
      <c r="H236" s="22" t="s">
        <v>18</v>
      </c>
      <c r="I236" s="31">
        <v>13.0</v>
      </c>
      <c r="J236" s="31">
        <v>135.0</v>
      </c>
      <c r="K236" s="31">
        <v>1755.0</v>
      </c>
      <c r="L236" s="29"/>
      <c r="M236" s="29"/>
    </row>
    <row r="237" ht="20.25" customHeight="1">
      <c r="A237" s="57"/>
      <c r="B237" s="806" t="s">
        <v>110</v>
      </c>
      <c r="C237" s="35">
        <v>706.0</v>
      </c>
      <c r="D237" s="806"/>
      <c r="E237" s="57"/>
      <c r="F237" s="57"/>
      <c r="G237" s="14" t="s">
        <v>17</v>
      </c>
      <c r="H237" s="14" t="s">
        <v>18</v>
      </c>
      <c r="I237" s="27">
        <v>1.0</v>
      </c>
      <c r="J237" s="27">
        <v>145.0</v>
      </c>
      <c r="K237" s="27">
        <v>145.0</v>
      </c>
      <c r="L237" s="57"/>
      <c r="M237" s="57"/>
    </row>
    <row r="238" ht="20.25" customHeight="1">
      <c r="A238" s="29"/>
      <c r="B238" s="806" t="s">
        <v>110</v>
      </c>
      <c r="C238" s="37">
        <v>706.0</v>
      </c>
      <c r="D238" s="806"/>
      <c r="E238" s="29"/>
      <c r="F238" s="29"/>
      <c r="G238" s="22" t="s">
        <v>17</v>
      </c>
      <c r="H238" s="22" t="s">
        <v>18</v>
      </c>
      <c r="I238" s="31">
        <v>2.0</v>
      </c>
      <c r="J238" s="31">
        <v>203.0</v>
      </c>
      <c r="K238" s="31">
        <v>406.0</v>
      </c>
      <c r="L238" s="29"/>
      <c r="M238" s="29"/>
    </row>
    <row r="239" ht="20.25" customHeight="1">
      <c r="A239" s="58"/>
      <c r="B239" s="806" t="s">
        <v>110</v>
      </c>
      <c r="C239" s="35">
        <v>706.0</v>
      </c>
      <c r="D239" s="806"/>
      <c r="E239" s="58"/>
      <c r="F239" s="58"/>
      <c r="G239" s="14" t="s">
        <v>17</v>
      </c>
      <c r="H239" s="14" t="s">
        <v>18</v>
      </c>
      <c r="I239" s="27">
        <v>1.0</v>
      </c>
      <c r="J239" s="27">
        <v>181.0</v>
      </c>
      <c r="K239" s="27">
        <v>181.0</v>
      </c>
      <c r="L239" s="58"/>
      <c r="M239" s="58"/>
    </row>
    <row r="240" ht="20.25" customHeight="1">
      <c r="A240" s="15">
        <v>46258.0</v>
      </c>
      <c r="B240" s="806" t="s">
        <v>122</v>
      </c>
      <c r="C240" s="37">
        <v>710.0</v>
      </c>
      <c r="D240" s="806">
        <v>1.02</v>
      </c>
      <c r="E240" s="64" t="s">
        <v>23</v>
      </c>
      <c r="F240" s="929" t="s">
        <v>606</v>
      </c>
      <c r="G240" s="22" t="s">
        <v>17</v>
      </c>
      <c r="H240" s="22" t="s">
        <v>25</v>
      </c>
      <c r="I240" s="31">
        <v>1.0</v>
      </c>
      <c r="J240" s="31">
        <v>120.0</v>
      </c>
      <c r="K240" s="31">
        <v>120.0</v>
      </c>
      <c r="L240" s="64">
        <v>30.0</v>
      </c>
      <c r="M240" s="64">
        <v>2750.0</v>
      </c>
    </row>
    <row r="241" ht="20.25" customHeight="1">
      <c r="A241" s="58"/>
      <c r="B241" s="806" t="s">
        <v>21</v>
      </c>
      <c r="C241" s="35">
        <v>711.0</v>
      </c>
      <c r="D241" s="806">
        <v>0.67</v>
      </c>
      <c r="E241" s="58"/>
      <c r="F241" s="58"/>
      <c r="G241" s="14" t="s">
        <v>17</v>
      </c>
      <c r="H241" s="14" t="s">
        <v>18</v>
      </c>
      <c r="I241" s="27">
        <v>20.0</v>
      </c>
      <c r="J241" s="27">
        <v>100.0</v>
      </c>
      <c r="K241" s="27">
        <v>2000.0</v>
      </c>
      <c r="L241" s="58"/>
      <c r="M241" s="58"/>
    </row>
    <row r="242" ht="20.25" customHeight="1">
      <c r="A242" s="15">
        <v>46259.0</v>
      </c>
      <c r="B242" s="21" t="s">
        <v>21</v>
      </c>
      <c r="C242" s="37">
        <v>711.0</v>
      </c>
      <c r="D242" s="806">
        <v>0.67</v>
      </c>
      <c r="E242" s="64" t="s">
        <v>23</v>
      </c>
      <c r="F242" s="929" t="s">
        <v>606</v>
      </c>
      <c r="G242" s="22" t="s">
        <v>17</v>
      </c>
      <c r="H242" s="22" t="s">
        <v>25</v>
      </c>
      <c r="I242" s="31">
        <v>1.0</v>
      </c>
      <c r="J242" s="31">
        <v>120.0</v>
      </c>
      <c r="K242" s="31">
        <v>120.0</v>
      </c>
      <c r="L242" s="64">
        <v>30.0</v>
      </c>
      <c r="M242" s="64">
        <v>2620.0</v>
      </c>
    </row>
    <row r="243" ht="20.25" customHeight="1">
      <c r="A243" s="58"/>
      <c r="B243" s="58"/>
      <c r="C243" s="35">
        <v>714.0</v>
      </c>
      <c r="D243" s="806">
        <v>0.67</v>
      </c>
      <c r="E243" s="58"/>
      <c r="F243" s="58"/>
      <c r="G243" s="14" t="s">
        <v>17</v>
      </c>
      <c r="H243" s="14" t="s">
        <v>18</v>
      </c>
      <c r="I243" s="27">
        <v>19.0</v>
      </c>
      <c r="J243" s="27">
        <v>100.0</v>
      </c>
      <c r="K243" s="27">
        <v>1900.0</v>
      </c>
      <c r="L243" s="58"/>
      <c r="M243" s="58"/>
    </row>
    <row r="244" ht="20.25" customHeight="1">
      <c r="A244" s="237">
        <v>46259.0</v>
      </c>
      <c r="B244" s="806" t="s">
        <v>122</v>
      </c>
      <c r="C244" s="37">
        <v>708.0</v>
      </c>
      <c r="D244" s="806">
        <v>0.93</v>
      </c>
      <c r="E244" s="25" t="s">
        <v>598</v>
      </c>
      <c r="F244" s="934" t="s">
        <v>608</v>
      </c>
      <c r="G244" s="22" t="s">
        <v>17</v>
      </c>
      <c r="H244" s="22" t="s">
        <v>25</v>
      </c>
      <c r="I244" s="31">
        <v>1.0</v>
      </c>
      <c r="J244" s="31">
        <v>200.0</v>
      </c>
      <c r="K244" s="31">
        <v>200.0</v>
      </c>
      <c r="L244" s="64">
        <v>400.0</v>
      </c>
      <c r="M244" s="241">
        <v>4440.0</v>
      </c>
    </row>
    <row r="245" ht="20.25" customHeight="1">
      <c r="A245" s="57"/>
      <c r="B245" s="806" t="s">
        <v>51</v>
      </c>
      <c r="C245" s="35">
        <v>708.0</v>
      </c>
      <c r="D245" s="806">
        <v>0.93</v>
      </c>
      <c r="E245" s="57"/>
      <c r="F245" s="57"/>
      <c r="G245" s="14" t="s">
        <v>17</v>
      </c>
      <c r="H245" s="14" t="s">
        <v>18</v>
      </c>
      <c r="I245" s="27">
        <v>6.0</v>
      </c>
      <c r="J245" s="27">
        <v>150.0</v>
      </c>
      <c r="K245" s="27">
        <v>900.0</v>
      </c>
      <c r="L245" s="57"/>
      <c r="M245" s="57"/>
    </row>
    <row r="246" ht="20.25" customHeight="1">
      <c r="A246" s="29"/>
      <c r="B246" s="806" t="s">
        <v>110</v>
      </c>
      <c r="C246" s="37">
        <v>708.0</v>
      </c>
      <c r="D246" s="806">
        <v>0.93</v>
      </c>
      <c r="E246" s="29"/>
      <c r="F246" s="29"/>
      <c r="G246" s="22" t="s">
        <v>17</v>
      </c>
      <c r="H246" s="22" t="s">
        <v>18</v>
      </c>
      <c r="I246" s="31">
        <v>7.0</v>
      </c>
      <c r="J246" s="31">
        <v>169.0</v>
      </c>
      <c r="K246" s="31">
        <v>1183.0</v>
      </c>
      <c r="L246" s="29"/>
      <c r="M246" s="29"/>
    </row>
    <row r="247" ht="20.25" customHeight="1">
      <c r="A247" s="57"/>
      <c r="B247" s="806" t="s">
        <v>110</v>
      </c>
      <c r="C247" s="35">
        <v>708.0</v>
      </c>
      <c r="D247" s="806">
        <v>0.93</v>
      </c>
      <c r="E247" s="57"/>
      <c r="F247" s="57"/>
      <c r="G247" s="14" t="s">
        <v>17</v>
      </c>
      <c r="H247" s="14" t="s">
        <v>18</v>
      </c>
      <c r="I247" s="27">
        <v>7.0</v>
      </c>
      <c r="J247" s="27">
        <v>135.0</v>
      </c>
      <c r="K247" s="27">
        <v>945.0</v>
      </c>
      <c r="L247" s="57"/>
      <c r="M247" s="57"/>
    </row>
    <row r="248" ht="20.25" customHeight="1">
      <c r="A248" s="20"/>
      <c r="B248" s="806" t="s">
        <v>110</v>
      </c>
      <c r="C248" s="37">
        <v>708.0</v>
      </c>
      <c r="D248" s="806">
        <v>0.93</v>
      </c>
      <c r="E248" s="20"/>
      <c r="F248" s="20"/>
      <c r="G248" s="22" t="s">
        <v>17</v>
      </c>
      <c r="H248" s="22" t="s">
        <v>18</v>
      </c>
      <c r="I248" s="31">
        <v>4.0</v>
      </c>
      <c r="J248" s="31">
        <v>203.0</v>
      </c>
      <c r="K248" s="31">
        <v>812.0</v>
      </c>
      <c r="L248" s="20"/>
      <c r="M248" s="20"/>
    </row>
    <row r="249" ht="20.25" customHeight="1">
      <c r="A249" s="8">
        <v>46260.0</v>
      </c>
      <c r="B249" s="806" t="s">
        <v>21</v>
      </c>
      <c r="C249" s="35">
        <v>712.0</v>
      </c>
      <c r="D249" s="806">
        <v>1.07</v>
      </c>
      <c r="E249" s="25" t="s">
        <v>558</v>
      </c>
      <c r="F249" s="639" t="s">
        <v>606</v>
      </c>
      <c r="G249" s="14" t="s">
        <v>17</v>
      </c>
      <c r="H249" s="14" t="s">
        <v>25</v>
      </c>
      <c r="I249" s="27">
        <v>1.0</v>
      </c>
      <c r="J249" s="27">
        <v>120.0</v>
      </c>
      <c r="K249" s="27">
        <v>120.0</v>
      </c>
      <c r="L249" s="25">
        <v>30.0</v>
      </c>
      <c r="M249" s="25">
        <v>3200.0</v>
      </c>
    </row>
    <row r="250" ht="20.25" customHeight="1">
      <c r="A250" s="29"/>
      <c r="B250" s="806" t="s">
        <v>21</v>
      </c>
      <c r="C250" s="37">
        <v>712.0</v>
      </c>
      <c r="D250" s="806">
        <v>1.07</v>
      </c>
      <c r="E250" s="29"/>
      <c r="F250" s="29"/>
      <c r="G250" s="22" t="s">
        <v>17</v>
      </c>
      <c r="H250" s="22" t="s">
        <v>18</v>
      </c>
      <c r="I250" s="31">
        <v>18.0</v>
      </c>
      <c r="J250" s="31">
        <v>100.0</v>
      </c>
      <c r="K250" s="31">
        <v>1800.0</v>
      </c>
      <c r="L250" s="29"/>
      <c r="M250" s="29"/>
    </row>
    <row r="251" ht="20.25" customHeight="1">
      <c r="A251" s="57"/>
      <c r="B251" s="806" t="s">
        <v>102</v>
      </c>
      <c r="C251" s="35"/>
      <c r="D251" s="936"/>
      <c r="E251" s="57"/>
      <c r="F251" s="57"/>
      <c r="G251" s="14" t="s">
        <v>17</v>
      </c>
      <c r="H251" s="14" t="s">
        <v>18</v>
      </c>
      <c r="I251" s="27">
        <v>1.0</v>
      </c>
      <c r="J251" s="27">
        <v>150.0</v>
      </c>
      <c r="K251" s="27">
        <v>150.0</v>
      </c>
      <c r="L251" s="57"/>
      <c r="M251" s="57"/>
    </row>
    <row r="252" ht="20.25" customHeight="1">
      <c r="A252" s="20"/>
      <c r="B252" s="806" t="s">
        <v>102</v>
      </c>
      <c r="C252" s="37"/>
      <c r="D252" s="806"/>
      <c r="E252" s="20"/>
      <c r="F252" s="20"/>
      <c r="G252" s="22" t="s">
        <v>17</v>
      </c>
      <c r="H252" s="22" t="s">
        <v>18</v>
      </c>
      <c r="I252" s="31">
        <v>1.0</v>
      </c>
      <c r="J252" s="31">
        <v>200.0</v>
      </c>
      <c r="K252" s="31">
        <v>200.0</v>
      </c>
      <c r="L252" s="20"/>
      <c r="M252" s="20"/>
    </row>
    <row r="253" ht="20.25" customHeight="1">
      <c r="A253" s="237">
        <v>46260.0</v>
      </c>
      <c r="B253" s="806" t="s">
        <v>122</v>
      </c>
      <c r="C253" s="35">
        <v>707.0</v>
      </c>
      <c r="D253" s="937">
        <v>0.69</v>
      </c>
      <c r="E253" s="25" t="s">
        <v>598</v>
      </c>
      <c r="F253" s="934" t="s">
        <v>609</v>
      </c>
      <c r="G253" s="14" t="s">
        <v>17</v>
      </c>
      <c r="H253" s="14" t="s">
        <v>25</v>
      </c>
      <c r="I253" s="27">
        <v>1.0</v>
      </c>
      <c r="J253" s="27">
        <v>220.0</v>
      </c>
      <c r="K253" s="27">
        <v>220.0</v>
      </c>
      <c r="L253" s="25">
        <v>400.0</v>
      </c>
      <c r="M253" s="241">
        <v>4469.0</v>
      </c>
    </row>
    <row r="254" ht="20.25" customHeight="1">
      <c r="A254" s="29"/>
      <c r="B254" s="806" t="s">
        <v>51</v>
      </c>
      <c r="C254" s="37">
        <v>707.0</v>
      </c>
      <c r="D254" s="806">
        <v>0.69</v>
      </c>
      <c r="E254" s="29"/>
      <c r="F254" s="29"/>
      <c r="G254" s="22" t="s">
        <v>17</v>
      </c>
      <c r="H254" s="22" t="s">
        <v>18</v>
      </c>
      <c r="I254" s="31">
        <v>6.0</v>
      </c>
      <c r="J254" s="31">
        <v>150.0</v>
      </c>
      <c r="K254" s="31">
        <v>900.0</v>
      </c>
      <c r="L254" s="29"/>
      <c r="M254" s="29"/>
    </row>
    <row r="255" ht="20.25" customHeight="1">
      <c r="A255" s="57"/>
      <c r="B255" s="806" t="s">
        <v>110</v>
      </c>
      <c r="C255" s="35">
        <v>707.0</v>
      </c>
      <c r="D255" s="806">
        <v>0.69</v>
      </c>
      <c r="E255" s="57"/>
      <c r="F255" s="57"/>
      <c r="G255" s="14" t="s">
        <v>17</v>
      </c>
      <c r="H255" s="14" t="s">
        <v>18</v>
      </c>
      <c r="I255" s="27">
        <v>3.0</v>
      </c>
      <c r="J255" s="27">
        <v>203.0</v>
      </c>
      <c r="K255" s="27">
        <v>609.0</v>
      </c>
      <c r="L255" s="57"/>
      <c r="M255" s="57"/>
    </row>
    <row r="256" ht="20.25" customHeight="1">
      <c r="A256" s="29"/>
      <c r="B256" s="806" t="s">
        <v>110</v>
      </c>
      <c r="C256" s="37">
        <v>707.0</v>
      </c>
      <c r="D256" s="806">
        <v>0.69</v>
      </c>
      <c r="E256" s="29"/>
      <c r="F256" s="29"/>
      <c r="G256" s="22" t="s">
        <v>17</v>
      </c>
      <c r="H256" s="22" t="s">
        <v>18</v>
      </c>
      <c r="I256" s="31">
        <v>4.0</v>
      </c>
      <c r="J256" s="31">
        <v>169.0</v>
      </c>
      <c r="K256" s="31">
        <v>676.0</v>
      </c>
      <c r="L256" s="29"/>
      <c r="M256" s="29"/>
    </row>
    <row r="257" ht="20.25" customHeight="1">
      <c r="A257" s="57"/>
      <c r="B257" s="806" t="s">
        <v>110</v>
      </c>
      <c r="C257" s="35">
        <v>708.0</v>
      </c>
      <c r="D257" s="806">
        <v>0.93</v>
      </c>
      <c r="E257" s="57"/>
      <c r="F257" s="57"/>
      <c r="G257" s="14" t="s">
        <v>17</v>
      </c>
      <c r="H257" s="14" t="s">
        <v>18</v>
      </c>
      <c r="I257" s="27">
        <v>1.0</v>
      </c>
      <c r="J257" s="27">
        <v>162.0</v>
      </c>
      <c r="K257" s="27">
        <v>162.0</v>
      </c>
      <c r="L257" s="57"/>
      <c r="M257" s="57"/>
    </row>
    <row r="258" ht="20.25" customHeight="1">
      <c r="A258" s="29"/>
      <c r="B258" s="806" t="s">
        <v>110</v>
      </c>
      <c r="C258" s="37">
        <v>708.0</v>
      </c>
      <c r="D258" s="806">
        <v>0.93</v>
      </c>
      <c r="E258" s="29"/>
      <c r="F258" s="29"/>
      <c r="G258" s="22" t="s">
        <v>17</v>
      </c>
      <c r="H258" s="22" t="s">
        <v>18</v>
      </c>
      <c r="I258" s="31">
        <v>1.0</v>
      </c>
      <c r="J258" s="31">
        <v>152.0</v>
      </c>
      <c r="K258" s="31">
        <v>152.0</v>
      </c>
      <c r="L258" s="29"/>
      <c r="M258" s="29"/>
    </row>
    <row r="259" ht="20.25" customHeight="1">
      <c r="A259" s="58"/>
      <c r="B259" s="806" t="s">
        <v>110</v>
      </c>
      <c r="C259" s="35">
        <v>709.0</v>
      </c>
      <c r="D259" s="806">
        <v>1.34</v>
      </c>
      <c r="E259" s="58"/>
      <c r="F259" s="58"/>
      <c r="G259" s="14" t="s">
        <v>17</v>
      </c>
      <c r="H259" s="14" t="s">
        <v>18</v>
      </c>
      <c r="I259" s="27">
        <v>10.0</v>
      </c>
      <c r="J259" s="27">
        <v>135.0</v>
      </c>
      <c r="K259" s="27">
        <v>1350.0</v>
      </c>
      <c r="L259" s="58"/>
      <c r="M259" s="58"/>
    </row>
    <row r="260" ht="20.25" customHeight="1">
      <c r="A260" s="237">
        <v>46260.0</v>
      </c>
      <c r="B260" s="806" t="s">
        <v>122</v>
      </c>
      <c r="C260" s="37">
        <v>708.0</v>
      </c>
      <c r="D260" s="806">
        <v>0.93</v>
      </c>
      <c r="E260" s="25" t="s">
        <v>598</v>
      </c>
      <c r="F260" s="934" t="s">
        <v>610</v>
      </c>
      <c r="G260" s="22" t="s">
        <v>17</v>
      </c>
      <c r="H260" s="22" t="s">
        <v>18</v>
      </c>
      <c r="I260" s="31">
        <v>6.0</v>
      </c>
      <c r="J260" s="31">
        <v>150.0</v>
      </c>
      <c r="K260" s="31">
        <v>900.0</v>
      </c>
      <c r="L260" s="64">
        <v>400.0</v>
      </c>
      <c r="M260" s="241">
        <v>3190.0</v>
      </c>
    </row>
    <row r="261" ht="20.25" customHeight="1">
      <c r="A261" s="58"/>
      <c r="B261" s="806" t="s">
        <v>51</v>
      </c>
      <c r="C261" s="35">
        <v>708.0</v>
      </c>
      <c r="D261" s="806">
        <v>0.93</v>
      </c>
      <c r="E261" s="58"/>
      <c r="F261" s="58"/>
      <c r="G261" s="14" t="s">
        <v>17</v>
      </c>
      <c r="H261" s="14" t="s">
        <v>18</v>
      </c>
      <c r="I261" s="27">
        <v>14.0</v>
      </c>
      <c r="J261" s="27">
        <v>135.0</v>
      </c>
      <c r="K261" s="27">
        <v>1890.0</v>
      </c>
      <c r="L261" s="58"/>
      <c r="M261" s="58"/>
    </row>
    <row r="262" ht="20.25" customHeight="1">
      <c r="A262" s="15">
        <v>46261.0</v>
      </c>
      <c r="B262" s="806" t="s">
        <v>122</v>
      </c>
      <c r="C262" s="938">
        <v>718.0</v>
      </c>
      <c r="D262" s="131">
        <v>0.88</v>
      </c>
      <c r="E262" s="64" t="s">
        <v>23</v>
      </c>
      <c r="F262" s="929" t="s">
        <v>606</v>
      </c>
      <c r="G262" s="22" t="s">
        <v>17</v>
      </c>
      <c r="H262" s="22" t="s">
        <v>25</v>
      </c>
      <c r="I262" s="31">
        <v>1.0</v>
      </c>
      <c r="J262" s="31">
        <v>120.0</v>
      </c>
      <c r="K262" s="31">
        <v>120.0</v>
      </c>
      <c r="L262" s="64">
        <v>30.0</v>
      </c>
      <c r="M262" s="64">
        <v>2750.0</v>
      </c>
    </row>
    <row r="263" ht="20.25" customHeight="1">
      <c r="A263" s="58"/>
      <c r="B263" s="806" t="s">
        <v>21</v>
      </c>
      <c r="C263" s="59"/>
      <c r="D263" s="58"/>
      <c r="E263" s="58"/>
      <c r="F263" s="58"/>
      <c r="G263" s="14" t="s">
        <v>17</v>
      </c>
      <c r="H263" s="14" t="s">
        <v>18</v>
      </c>
      <c r="I263" s="27">
        <v>20.0</v>
      </c>
      <c r="J263" s="27">
        <v>100.0</v>
      </c>
      <c r="K263" s="27">
        <v>2000.0</v>
      </c>
      <c r="L263" s="58"/>
      <c r="M263" s="58"/>
    </row>
    <row r="264" ht="20.25" customHeight="1">
      <c r="A264" s="237">
        <v>46261.0</v>
      </c>
      <c r="B264" s="806" t="s">
        <v>122</v>
      </c>
      <c r="C264" s="37">
        <v>709.0</v>
      </c>
      <c r="D264" s="806">
        <v>1.34</v>
      </c>
      <c r="E264" s="64" t="s">
        <v>598</v>
      </c>
      <c r="F264" s="932" t="s">
        <v>611</v>
      </c>
      <c r="G264" s="22" t="s">
        <v>17</v>
      </c>
      <c r="H264" s="22" t="s">
        <v>25</v>
      </c>
      <c r="I264" s="31">
        <v>1.0</v>
      </c>
      <c r="J264" s="31">
        <v>150.0</v>
      </c>
      <c r="K264" s="31">
        <v>150.0</v>
      </c>
      <c r="L264" s="64">
        <v>400.0</v>
      </c>
      <c r="M264" s="241">
        <v>4249.0</v>
      </c>
    </row>
    <row r="265" ht="20.25" customHeight="1">
      <c r="A265" s="57"/>
      <c r="B265" s="806" t="s">
        <v>51</v>
      </c>
      <c r="C265" s="35">
        <v>709.0</v>
      </c>
      <c r="D265" s="806">
        <v>1.34</v>
      </c>
      <c r="E265" s="57"/>
      <c r="F265" s="57"/>
      <c r="G265" s="14" t="s">
        <v>17</v>
      </c>
      <c r="H265" s="14" t="s">
        <v>18</v>
      </c>
      <c r="I265" s="27">
        <v>6.0</v>
      </c>
      <c r="J265" s="27">
        <v>150.0</v>
      </c>
      <c r="K265" s="27">
        <v>900.0</v>
      </c>
      <c r="L265" s="57"/>
      <c r="M265" s="57"/>
    </row>
    <row r="266" ht="20.25" customHeight="1">
      <c r="A266" s="29"/>
      <c r="B266" s="806" t="s">
        <v>110</v>
      </c>
      <c r="C266" s="37">
        <v>709.0</v>
      </c>
      <c r="D266" s="806">
        <v>1.34</v>
      </c>
      <c r="E266" s="29"/>
      <c r="F266" s="29"/>
      <c r="G266" s="22" t="s">
        <v>17</v>
      </c>
      <c r="H266" s="22" t="s">
        <v>18</v>
      </c>
      <c r="I266" s="31">
        <v>10.0</v>
      </c>
      <c r="J266" s="31">
        <v>135.0</v>
      </c>
      <c r="K266" s="31">
        <v>1350.0</v>
      </c>
      <c r="L266" s="29"/>
      <c r="M266" s="29"/>
    </row>
    <row r="267" ht="20.25" customHeight="1">
      <c r="A267" s="58"/>
      <c r="B267" s="806" t="s">
        <v>110</v>
      </c>
      <c r="C267" s="35">
        <v>709.0</v>
      </c>
      <c r="D267" s="806">
        <v>1.34</v>
      </c>
      <c r="E267" s="58"/>
      <c r="F267" s="58"/>
      <c r="G267" s="14" t="s">
        <v>17</v>
      </c>
      <c r="H267" s="14" t="s">
        <v>18</v>
      </c>
      <c r="I267" s="27">
        <v>7.0</v>
      </c>
      <c r="J267" s="27">
        <v>207.0</v>
      </c>
      <c r="K267" s="27">
        <v>1449.0</v>
      </c>
      <c r="L267" s="58"/>
      <c r="M267" s="58"/>
    </row>
    <row r="268" ht="20.25" customHeight="1">
      <c r="A268" s="237">
        <v>46261.0</v>
      </c>
      <c r="B268" s="806" t="s">
        <v>122</v>
      </c>
      <c r="C268" s="37">
        <v>709.0</v>
      </c>
      <c r="D268" s="806">
        <v>1.34</v>
      </c>
      <c r="E268" s="64" t="s">
        <v>598</v>
      </c>
      <c r="F268" s="934" t="s">
        <v>612</v>
      </c>
      <c r="G268" s="22" t="s">
        <v>17</v>
      </c>
      <c r="H268" s="22" t="s">
        <v>25</v>
      </c>
      <c r="I268" s="31">
        <v>1.0</v>
      </c>
      <c r="J268" s="31">
        <v>150.0</v>
      </c>
      <c r="K268" s="31">
        <v>150.0</v>
      </c>
      <c r="L268" s="64">
        <v>400.0</v>
      </c>
      <c r="M268" s="241">
        <v>4389.0</v>
      </c>
    </row>
    <row r="269" ht="20.25" customHeight="1">
      <c r="A269" s="57"/>
      <c r="B269" s="806" t="s">
        <v>51</v>
      </c>
      <c r="C269" s="35">
        <v>709.0</v>
      </c>
      <c r="D269" s="806">
        <v>1.34</v>
      </c>
      <c r="E269" s="57"/>
      <c r="F269" s="57"/>
      <c r="G269" s="14" t="s">
        <v>17</v>
      </c>
      <c r="H269" s="14" t="s">
        <v>18</v>
      </c>
      <c r="I269" s="27">
        <v>6.0</v>
      </c>
      <c r="J269" s="27">
        <v>150.0</v>
      </c>
      <c r="K269" s="27">
        <v>900.0</v>
      </c>
      <c r="L269" s="57"/>
      <c r="M269" s="57"/>
    </row>
    <row r="270" ht="20.25" customHeight="1">
      <c r="A270" s="29"/>
      <c r="B270" s="806" t="s">
        <v>110</v>
      </c>
      <c r="C270" s="37">
        <v>710.0</v>
      </c>
      <c r="D270" s="806">
        <v>1.02</v>
      </c>
      <c r="E270" s="29"/>
      <c r="F270" s="29"/>
      <c r="G270" s="22" t="s">
        <v>17</v>
      </c>
      <c r="H270" s="22" t="s">
        <v>18</v>
      </c>
      <c r="I270" s="31">
        <v>5.0</v>
      </c>
      <c r="J270" s="31">
        <v>180.0</v>
      </c>
      <c r="K270" s="31">
        <v>900.0</v>
      </c>
      <c r="L270" s="29"/>
      <c r="M270" s="29"/>
    </row>
    <row r="271" ht="20.25" customHeight="1">
      <c r="A271" s="57"/>
      <c r="B271" s="806" t="s">
        <v>110</v>
      </c>
      <c r="C271" s="35">
        <v>710.0</v>
      </c>
      <c r="D271" s="806">
        <v>1.02</v>
      </c>
      <c r="E271" s="57"/>
      <c r="F271" s="57"/>
      <c r="G271" s="14" t="s">
        <v>17</v>
      </c>
      <c r="H271" s="14" t="s">
        <v>18</v>
      </c>
      <c r="I271" s="27">
        <v>1.0</v>
      </c>
      <c r="J271" s="27">
        <v>225.0</v>
      </c>
      <c r="K271" s="27">
        <v>225.0</v>
      </c>
      <c r="L271" s="57"/>
      <c r="M271" s="57"/>
    </row>
    <row r="272" ht="20.25" customHeight="1">
      <c r="A272" s="29"/>
      <c r="B272" s="806" t="s">
        <v>110</v>
      </c>
      <c r="C272" s="37">
        <v>710.0</v>
      </c>
      <c r="D272" s="806">
        <v>1.02</v>
      </c>
      <c r="E272" s="29"/>
      <c r="F272" s="29"/>
      <c r="G272" s="22" t="s">
        <v>17</v>
      </c>
      <c r="H272" s="22" t="s">
        <v>18</v>
      </c>
      <c r="I272" s="31">
        <v>1.0</v>
      </c>
      <c r="J272" s="31">
        <v>324.0</v>
      </c>
      <c r="K272" s="31">
        <v>324.0</v>
      </c>
      <c r="L272" s="29"/>
      <c r="M272" s="29"/>
    </row>
    <row r="273" ht="20.25" customHeight="1">
      <c r="A273" s="57"/>
      <c r="B273" s="806" t="s">
        <v>110</v>
      </c>
      <c r="C273" s="35">
        <v>710.0</v>
      </c>
      <c r="D273" s="806">
        <v>1.02</v>
      </c>
      <c r="E273" s="57"/>
      <c r="F273" s="57"/>
      <c r="G273" s="14" t="s">
        <v>17</v>
      </c>
      <c r="H273" s="14" t="s">
        <v>18</v>
      </c>
      <c r="I273" s="27">
        <v>2.0</v>
      </c>
      <c r="J273" s="27">
        <v>160.0</v>
      </c>
      <c r="K273" s="27">
        <v>320.0</v>
      </c>
      <c r="L273" s="57"/>
      <c r="M273" s="57"/>
    </row>
    <row r="274" ht="20.25" customHeight="1">
      <c r="A274" s="29"/>
      <c r="B274" s="806" t="s">
        <v>110</v>
      </c>
      <c r="C274" s="37">
        <v>710.0</v>
      </c>
      <c r="D274" s="806">
        <v>1.02</v>
      </c>
      <c r="E274" s="29"/>
      <c r="F274" s="29"/>
      <c r="G274" s="22" t="s">
        <v>17</v>
      </c>
      <c r="H274" s="22" t="s">
        <v>18</v>
      </c>
      <c r="I274" s="31">
        <v>6.0</v>
      </c>
      <c r="J274" s="31">
        <v>135.0</v>
      </c>
      <c r="K274" s="31">
        <v>810.0</v>
      </c>
      <c r="L274" s="29"/>
      <c r="M274" s="29"/>
    </row>
    <row r="275" ht="20.25" customHeight="1">
      <c r="A275" s="58"/>
      <c r="B275" s="806" t="s">
        <v>110</v>
      </c>
      <c r="C275" s="35">
        <v>710.0</v>
      </c>
      <c r="D275" s="806">
        <v>1.02</v>
      </c>
      <c r="E275" s="58"/>
      <c r="F275" s="58"/>
      <c r="G275" s="14" t="s">
        <v>17</v>
      </c>
      <c r="H275" s="14" t="s">
        <v>18</v>
      </c>
      <c r="I275" s="27">
        <v>1.0</v>
      </c>
      <c r="J275" s="27">
        <v>360.0</v>
      </c>
      <c r="K275" s="27">
        <v>360.0</v>
      </c>
      <c r="L275" s="58"/>
      <c r="M275" s="58"/>
    </row>
    <row r="276" ht="20.25" customHeight="1">
      <c r="A276" s="15">
        <v>46262.0</v>
      </c>
      <c r="B276" s="806" t="s">
        <v>122</v>
      </c>
      <c r="C276" s="37">
        <v>717.0</v>
      </c>
      <c r="D276" s="806">
        <v>0.88</v>
      </c>
      <c r="E276" s="64" t="s">
        <v>23</v>
      </c>
      <c r="F276" s="39" t="s">
        <v>604</v>
      </c>
      <c r="G276" s="22" t="s">
        <v>17</v>
      </c>
      <c r="H276" s="22" t="s">
        <v>25</v>
      </c>
      <c r="I276" s="31">
        <v>1.0</v>
      </c>
      <c r="J276" s="31">
        <v>120.0</v>
      </c>
      <c r="K276" s="31">
        <v>120.0</v>
      </c>
      <c r="L276" s="64">
        <v>30.0</v>
      </c>
      <c r="M276" s="64">
        <v>2100.0</v>
      </c>
    </row>
    <row r="277" ht="20.25" customHeight="1">
      <c r="A277" s="57"/>
      <c r="B277" s="806" t="s">
        <v>21</v>
      </c>
      <c r="C277" s="35">
        <v>717.0</v>
      </c>
      <c r="D277" s="806">
        <v>0.88</v>
      </c>
      <c r="E277" s="57"/>
      <c r="F277" s="57"/>
      <c r="G277" s="14" t="s">
        <v>17</v>
      </c>
      <c r="H277" s="14" t="s">
        <v>18</v>
      </c>
      <c r="I277" s="27">
        <v>4.0</v>
      </c>
      <c r="J277" s="27">
        <v>100.0</v>
      </c>
      <c r="K277" s="27">
        <v>400.0</v>
      </c>
      <c r="L277" s="57"/>
      <c r="M277" s="57"/>
    </row>
    <row r="278" ht="20.25" customHeight="1">
      <c r="A278" s="20"/>
      <c r="B278" s="806" t="s">
        <v>102</v>
      </c>
      <c r="C278" s="37">
        <v>714.0</v>
      </c>
      <c r="D278" s="806">
        <v>0.64</v>
      </c>
      <c r="E278" s="20"/>
      <c r="F278" s="20"/>
      <c r="G278" s="22" t="s">
        <v>17</v>
      </c>
      <c r="H278" s="22" t="s">
        <v>18</v>
      </c>
      <c r="I278" s="31">
        <v>11.0</v>
      </c>
      <c r="J278" s="31">
        <v>100.0</v>
      </c>
      <c r="K278" s="31">
        <v>1100.0</v>
      </c>
      <c r="L278" s="20"/>
      <c r="M278" s="20"/>
    </row>
    <row r="279" ht="20.25" customHeight="1">
      <c r="A279" s="237">
        <v>46262.0</v>
      </c>
      <c r="B279" s="806" t="s">
        <v>122</v>
      </c>
      <c r="C279" s="35">
        <v>711.0</v>
      </c>
      <c r="D279" s="806">
        <v>0.67</v>
      </c>
      <c r="E279" s="25" t="s">
        <v>598</v>
      </c>
      <c r="F279" s="932" t="s">
        <v>611</v>
      </c>
      <c r="G279" s="14" t="s">
        <v>17</v>
      </c>
      <c r="H279" s="14" t="s">
        <v>25</v>
      </c>
      <c r="I279" s="27">
        <v>1.0</v>
      </c>
      <c r="J279" s="27">
        <v>150.0</v>
      </c>
      <c r="K279" s="27">
        <v>150.0</v>
      </c>
      <c r="L279" s="25">
        <v>400.0</v>
      </c>
      <c r="M279" s="241">
        <v>3948.0</v>
      </c>
    </row>
    <row r="280" ht="20.25" customHeight="1">
      <c r="A280" s="29"/>
      <c r="B280" s="806" t="s">
        <v>51</v>
      </c>
      <c r="C280" s="37">
        <v>711.0</v>
      </c>
      <c r="D280" s="806">
        <v>0.67</v>
      </c>
      <c r="E280" s="29"/>
      <c r="F280" s="29"/>
      <c r="G280" s="22" t="s">
        <v>17</v>
      </c>
      <c r="H280" s="22" t="s">
        <v>18</v>
      </c>
      <c r="I280" s="31">
        <v>6.0</v>
      </c>
      <c r="J280" s="31">
        <v>150.0</v>
      </c>
      <c r="K280" s="31">
        <v>900.0</v>
      </c>
      <c r="L280" s="29"/>
      <c r="M280" s="29"/>
    </row>
    <row r="281" ht="20.25" customHeight="1">
      <c r="A281" s="57"/>
      <c r="B281" s="806" t="s">
        <v>110</v>
      </c>
      <c r="C281" s="35">
        <v>711.0</v>
      </c>
      <c r="D281" s="806">
        <v>0.67</v>
      </c>
      <c r="E281" s="57"/>
      <c r="F281" s="57"/>
      <c r="G281" s="14" t="s">
        <v>17</v>
      </c>
      <c r="H281" s="14" t="s">
        <v>18</v>
      </c>
      <c r="I281" s="27">
        <v>11.0</v>
      </c>
      <c r="J281" s="27">
        <v>135.0</v>
      </c>
      <c r="K281" s="27">
        <v>1485.0</v>
      </c>
      <c r="L281" s="57"/>
      <c r="M281" s="57"/>
    </row>
    <row r="282" ht="20.25" customHeight="1">
      <c r="A282" s="29"/>
      <c r="B282" s="806" t="s">
        <v>110</v>
      </c>
      <c r="C282" s="37">
        <v>711.0</v>
      </c>
      <c r="D282" s="806">
        <v>0.67</v>
      </c>
      <c r="E282" s="29"/>
      <c r="F282" s="29"/>
      <c r="G282" s="22" t="s">
        <v>17</v>
      </c>
      <c r="H282" s="22" t="s">
        <v>18</v>
      </c>
      <c r="I282" s="31">
        <v>1.0</v>
      </c>
      <c r="J282" s="31">
        <v>169.0</v>
      </c>
      <c r="K282" s="31">
        <v>169.0</v>
      </c>
      <c r="L282" s="29"/>
      <c r="M282" s="29"/>
    </row>
    <row r="283" ht="20.25" customHeight="1">
      <c r="A283" s="57"/>
      <c r="B283" s="806" t="s">
        <v>110</v>
      </c>
      <c r="C283" s="35">
        <v>711.0</v>
      </c>
      <c r="D283" s="806">
        <v>0.67</v>
      </c>
      <c r="E283" s="57"/>
      <c r="F283" s="57"/>
      <c r="G283" s="14" t="s">
        <v>17</v>
      </c>
      <c r="H283" s="14" t="s">
        <v>18</v>
      </c>
      <c r="I283" s="27">
        <v>2.0</v>
      </c>
      <c r="J283" s="27">
        <v>237.0</v>
      </c>
      <c r="K283" s="27">
        <v>474.0</v>
      </c>
      <c r="L283" s="57"/>
      <c r="M283" s="57"/>
    </row>
    <row r="284" ht="20.25" customHeight="1">
      <c r="A284" s="29"/>
      <c r="B284" s="806" t="s">
        <v>110</v>
      </c>
      <c r="C284" s="37">
        <v>711.0</v>
      </c>
      <c r="D284" s="806">
        <v>0.67</v>
      </c>
      <c r="E284" s="29"/>
      <c r="F284" s="29"/>
      <c r="G284" s="22" t="s">
        <v>17</v>
      </c>
      <c r="H284" s="22" t="s">
        <v>18</v>
      </c>
      <c r="I284" s="31">
        <v>1.0</v>
      </c>
      <c r="J284" s="31">
        <v>189.0</v>
      </c>
      <c r="K284" s="31">
        <v>189.0</v>
      </c>
      <c r="L284" s="29"/>
      <c r="M284" s="29"/>
    </row>
    <row r="285" ht="20.25" customHeight="1">
      <c r="A285" s="58"/>
      <c r="B285" s="806" t="s">
        <v>110</v>
      </c>
      <c r="C285" s="35">
        <v>711.0</v>
      </c>
      <c r="D285" s="806">
        <v>0.67</v>
      </c>
      <c r="E285" s="58"/>
      <c r="F285" s="58"/>
      <c r="G285" s="14" t="s">
        <v>17</v>
      </c>
      <c r="H285" s="14" t="s">
        <v>18</v>
      </c>
      <c r="I285" s="27">
        <v>1.0</v>
      </c>
      <c r="J285" s="27">
        <v>181.0</v>
      </c>
      <c r="K285" s="27">
        <v>181.0</v>
      </c>
      <c r="L285" s="58"/>
      <c r="M285" s="58"/>
    </row>
    <row r="286" ht="20.25" customHeight="1">
      <c r="A286" s="237">
        <v>46262.0</v>
      </c>
      <c r="B286" s="806" t="s">
        <v>122</v>
      </c>
      <c r="C286" s="37">
        <v>712.0</v>
      </c>
      <c r="D286" s="806">
        <v>1.07</v>
      </c>
      <c r="E286" s="64" t="s">
        <v>598</v>
      </c>
      <c r="F286" s="932" t="s">
        <v>613</v>
      </c>
      <c r="G286" s="22" t="s">
        <v>17</v>
      </c>
      <c r="H286" s="22" t="s">
        <v>25</v>
      </c>
      <c r="I286" s="31">
        <v>1.0</v>
      </c>
      <c r="J286" s="31">
        <v>150.0</v>
      </c>
      <c r="K286" s="31">
        <v>150.0</v>
      </c>
      <c r="L286" s="64">
        <v>400.0</v>
      </c>
      <c r="M286" s="241">
        <v>3610.0</v>
      </c>
    </row>
    <row r="287" ht="20.25" customHeight="1">
      <c r="A287" s="57"/>
      <c r="B287" s="806" t="s">
        <v>51</v>
      </c>
      <c r="C287" s="35">
        <v>712.0</v>
      </c>
      <c r="D287" s="806">
        <v>1.07</v>
      </c>
      <c r="E287" s="57"/>
      <c r="F287" s="57"/>
      <c r="G287" s="14" t="s">
        <v>17</v>
      </c>
      <c r="H287" s="14" t="s">
        <v>18</v>
      </c>
      <c r="I287" s="27">
        <v>6.0</v>
      </c>
      <c r="J287" s="27">
        <v>150.0</v>
      </c>
      <c r="K287" s="27">
        <v>900.0</v>
      </c>
      <c r="L287" s="57"/>
      <c r="M287" s="57"/>
    </row>
    <row r="288" ht="20.25" customHeight="1">
      <c r="A288" s="20"/>
      <c r="B288" s="806" t="s">
        <v>110</v>
      </c>
      <c r="C288" s="37">
        <v>712.0</v>
      </c>
      <c r="D288" s="806">
        <v>1.07</v>
      </c>
      <c r="E288" s="20"/>
      <c r="F288" s="20"/>
      <c r="G288" s="22" t="s">
        <v>17</v>
      </c>
      <c r="H288" s="22" t="s">
        <v>18</v>
      </c>
      <c r="I288" s="31">
        <v>16.0</v>
      </c>
      <c r="J288" s="31">
        <v>135.0</v>
      </c>
      <c r="K288" s="31">
        <v>2160.0</v>
      </c>
      <c r="L288" s="20"/>
      <c r="M288" s="20"/>
    </row>
    <row r="289" ht="20.25" customHeight="1">
      <c r="A289" s="8">
        <v>46263.0</v>
      </c>
      <c r="B289" s="806" t="s">
        <v>122</v>
      </c>
      <c r="C289" s="35">
        <v>710.0</v>
      </c>
      <c r="D289" s="806">
        <v>1.02</v>
      </c>
      <c r="E289" s="25" t="s">
        <v>23</v>
      </c>
      <c r="F289" s="13" t="s">
        <v>604</v>
      </c>
      <c r="G289" s="14" t="s">
        <v>17</v>
      </c>
      <c r="H289" s="14" t="s">
        <v>25</v>
      </c>
      <c r="I289" s="27">
        <v>1.0</v>
      </c>
      <c r="J289" s="27">
        <v>120.0</v>
      </c>
      <c r="K289" s="27">
        <v>120.0</v>
      </c>
      <c r="L289" s="25">
        <v>30.0</v>
      </c>
      <c r="M289" s="25">
        <v>2750.0</v>
      </c>
    </row>
    <row r="290" ht="20.25" customHeight="1">
      <c r="A290" s="29"/>
      <c r="B290" s="806" t="s">
        <v>102</v>
      </c>
      <c r="C290" s="37">
        <v>716.0</v>
      </c>
      <c r="D290" s="806">
        <v>0.86</v>
      </c>
      <c r="E290" s="29"/>
      <c r="F290" s="29"/>
      <c r="G290" s="22" t="s">
        <v>17</v>
      </c>
      <c r="H290" s="22" t="s">
        <v>18</v>
      </c>
      <c r="I290" s="31">
        <v>4.0</v>
      </c>
      <c r="J290" s="31">
        <v>100.0</v>
      </c>
      <c r="K290" s="31">
        <v>400.0</v>
      </c>
      <c r="L290" s="29"/>
      <c r="M290" s="29"/>
    </row>
    <row r="291" ht="20.25" customHeight="1">
      <c r="A291" s="58"/>
      <c r="B291" s="806" t="s">
        <v>22</v>
      </c>
      <c r="C291" s="35">
        <v>710.0</v>
      </c>
      <c r="D291" s="806">
        <v>1.02</v>
      </c>
      <c r="E291" s="58"/>
      <c r="F291" s="58"/>
      <c r="G291" s="14" t="s">
        <v>17</v>
      </c>
      <c r="H291" s="14" t="s">
        <v>18</v>
      </c>
      <c r="I291" s="27">
        <v>16.0</v>
      </c>
      <c r="J291" s="27">
        <v>100.0</v>
      </c>
      <c r="K291" s="27">
        <v>1600.0</v>
      </c>
      <c r="L291" s="58"/>
      <c r="M291" s="58"/>
    </row>
    <row r="292" ht="20.25" customHeight="1">
      <c r="A292" s="237">
        <v>46263.0</v>
      </c>
      <c r="B292" s="806" t="s">
        <v>122</v>
      </c>
      <c r="C292" s="37">
        <v>712.0</v>
      </c>
      <c r="D292" s="806">
        <v>1.07</v>
      </c>
      <c r="E292" s="64" t="s">
        <v>598</v>
      </c>
      <c r="F292" s="932" t="s">
        <v>614</v>
      </c>
      <c r="G292" s="22" t="s">
        <v>17</v>
      </c>
      <c r="H292" s="22" t="s">
        <v>25</v>
      </c>
      <c r="I292" s="31">
        <v>1.0</v>
      </c>
      <c r="J292" s="31">
        <v>150.0</v>
      </c>
      <c r="K292" s="31">
        <v>150.0</v>
      </c>
      <c r="L292" s="64">
        <v>400.0</v>
      </c>
      <c r="M292" s="241">
        <v>3644.0</v>
      </c>
    </row>
    <row r="293" ht="20.25" customHeight="1">
      <c r="A293" s="57"/>
      <c r="B293" s="806" t="s">
        <v>51</v>
      </c>
      <c r="C293" s="35">
        <v>712.0</v>
      </c>
      <c r="D293" s="806">
        <v>1.07</v>
      </c>
      <c r="E293" s="57"/>
      <c r="F293" s="57"/>
      <c r="G293" s="14" t="s">
        <v>17</v>
      </c>
      <c r="H293" s="14" t="s">
        <v>18</v>
      </c>
      <c r="I293" s="27">
        <v>6.0</v>
      </c>
      <c r="J293" s="27">
        <v>150.0</v>
      </c>
      <c r="K293" s="27">
        <v>900.0</v>
      </c>
      <c r="L293" s="57"/>
      <c r="M293" s="57"/>
    </row>
    <row r="294" ht="20.25" customHeight="1">
      <c r="A294" s="29"/>
      <c r="B294" s="806" t="s">
        <v>110</v>
      </c>
      <c r="C294" s="37">
        <v>712.0</v>
      </c>
      <c r="D294" s="806">
        <v>1.07</v>
      </c>
      <c r="E294" s="29"/>
      <c r="F294" s="29"/>
      <c r="G294" s="22" t="s">
        <v>17</v>
      </c>
      <c r="H294" s="22" t="s">
        <v>18</v>
      </c>
      <c r="I294" s="31">
        <v>15.0</v>
      </c>
      <c r="J294" s="31">
        <v>135.0</v>
      </c>
      <c r="K294" s="31">
        <v>2025.0</v>
      </c>
      <c r="L294" s="29"/>
      <c r="M294" s="29"/>
    </row>
    <row r="295" ht="20.25" customHeight="1">
      <c r="A295" s="58"/>
      <c r="B295" s="806" t="s">
        <v>110</v>
      </c>
      <c r="C295" s="35">
        <v>712.0</v>
      </c>
      <c r="D295" s="806">
        <v>1.07</v>
      </c>
      <c r="E295" s="58"/>
      <c r="F295" s="58"/>
      <c r="G295" s="14" t="s">
        <v>17</v>
      </c>
      <c r="H295" s="14" t="s">
        <v>18</v>
      </c>
      <c r="I295" s="27">
        <v>1.0</v>
      </c>
      <c r="J295" s="27">
        <v>169.0</v>
      </c>
      <c r="K295" s="27">
        <v>169.0</v>
      </c>
      <c r="L295" s="58"/>
      <c r="M295" s="58"/>
    </row>
    <row r="296" ht="20.25" customHeight="1">
      <c r="A296" s="237">
        <v>46263.0</v>
      </c>
      <c r="B296" s="806" t="s">
        <v>122</v>
      </c>
      <c r="C296" s="37">
        <v>714.0</v>
      </c>
      <c r="D296" s="806">
        <v>0.64</v>
      </c>
      <c r="E296" s="64" t="s">
        <v>598</v>
      </c>
      <c r="F296" s="932" t="s">
        <v>612</v>
      </c>
      <c r="G296" s="22" t="s">
        <v>17</v>
      </c>
      <c r="H296" s="22" t="s">
        <v>25</v>
      </c>
      <c r="I296" s="31">
        <v>1.0</v>
      </c>
      <c r="J296" s="31">
        <v>150.0</v>
      </c>
      <c r="K296" s="31">
        <v>150.0</v>
      </c>
      <c r="L296" s="64">
        <v>400.0</v>
      </c>
      <c r="M296" s="241">
        <v>3762.0</v>
      </c>
    </row>
    <row r="297" ht="20.25" customHeight="1">
      <c r="A297" s="57"/>
      <c r="B297" s="806" t="s">
        <v>51</v>
      </c>
      <c r="C297" s="35">
        <v>714.0</v>
      </c>
      <c r="D297" s="806">
        <v>0.64</v>
      </c>
      <c r="E297" s="57"/>
      <c r="F297" s="57"/>
      <c r="G297" s="14" t="s">
        <v>17</v>
      </c>
      <c r="H297" s="14" t="s">
        <v>18</v>
      </c>
      <c r="I297" s="27">
        <v>6.0</v>
      </c>
      <c r="J297" s="27">
        <v>150.0</v>
      </c>
      <c r="K297" s="27">
        <v>900.0</v>
      </c>
      <c r="L297" s="57"/>
      <c r="M297" s="57"/>
    </row>
    <row r="298" ht="20.25" customHeight="1">
      <c r="A298" s="29"/>
      <c r="B298" s="806" t="s">
        <v>110</v>
      </c>
      <c r="C298" s="37">
        <v>714.0</v>
      </c>
      <c r="D298" s="806">
        <v>0.64</v>
      </c>
      <c r="E298" s="29"/>
      <c r="F298" s="29"/>
      <c r="G298" s="22" t="s">
        <v>17</v>
      </c>
      <c r="H298" s="22" t="s">
        <v>18</v>
      </c>
      <c r="I298" s="31">
        <v>16.0</v>
      </c>
      <c r="J298" s="31">
        <v>135.0</v>
      </c>
      <c r="K298" s="31">
        <v>2160.0</v>
      </c>
      <c r="L298" s="29"/>
      <c r="M298" s="29"/>
    </row>
    <row r="299" ht="20.25" customHeight="1">
      <c r="A299" s="58"/>
      <c r="B299" s="806" t="s">
        <v>110</v>
      </c>
      <c r="C299" s="35">
        <v>714.0</v>
      </c>
      <c r="D299" s="806">
        <v>0.64</v>
      </c>
      <c r="E299" s="58"/>
      <c r="F299" s="58"/>
      <c r="G299" s="14" t="s">
        <v>17</v>
      </c>
      <c r="H299" s="14" t="s">
        <v>18</v>
      </c>
      <c r="I299" s="27">
        <v>1.0</v>
      </c>
      <c r="J299" s="27">
        <v>152.0</v>
      </c>
      <c r="K299" s="27">
        <v>152.0</v>
      </c>
      <c r="L299" s="58"/>
      <c r="M299" s="58"/>
    </row>
    <row r="300" ht="20.25" customHeight="1">
      <c r="A300" s="15">
        <v>46264.0</v>
      </c>
      <c r="B300" s="806" t="s">
        <v>122</v>
      </c>
      <c r="C300" s="37">
        <v>718.0</v>
      </c>
      <c r="D300" s="806">
        <v>0.88</v>
      </c>
      <c r="E300" s="64" t="s">
        <v>23</v>
      </c>
      <c r="F300" s="39" t="s">
        <v>604</v>
      </c>
      <c r="G300" s="22" t="s">
        <v>17</v>
      </c>
      <c r="H300" s="22" t="s">
        <v>25</v>
      </c>
      <c r="I300" s="31">
        <v>1.0</v>
      </c>
      <c r="J300" s="31">
        <v>120.0</v>
      </c>
      <c r="K300" s="31">
        <v>120.0</v>
      </c>
      <c r="L300" s="64">
        <v>30.0</v>
      </c>
      <c r="M300" s="64">
        <v>2750.0</v>
      </c>
    </row>
    <row r="301" ht="20.25" customHeight="1">
      <c r="A301" s="57"/>
      <c r="B301" s="806" t="s">
        <v>102</v>
      </c>
      <c r="C301" s="35">
        <v>718.0</v>
      </c>
      <c r="D301" s="806">
        <v>0.88</v>
      </c>
      <c r="E301" s="57"/>
      <c r="F301" s="57"/>
      <c r="G301" s="14" t="s">
        <v>17</v>
      </c>
      <c r="H301" s="14" t="s">
        <v>18</v>
      </c>
      <c r="I301" s="27">
        <v>16.0</v>
      </c>
      <c r="J301" s="27">
        <v>100.0</v>
      </c>
      <c r="K301" s="27">
        <v>1600.0</v>
      </c>
      <c r="L301" s="57"/>
      <c r="M301" s="57"/>
    </row>
    <row r="302" ht="20.25" customHeight="1">
      <c r="A302" s="29"/>
      <c r="B302" s="806" t="s">
        <v>102</v>
      </c>
      <c r="C302" s="37">
        <v>717.0</v>
      </c>
      <c r="D302" s="806">
        <v>0.88</v>
      </c>
      <c r="E302" s="29"/>
      <c r="F302" s="29"/>
      <c r="G302" s="22" t="s">
        <v>17</v>
      </c>
      <c r="H302" s="22" t="s">
        <v>18</v>
      </c>
      <c r="I302" s="31">
        <v>2.0</v>
      </c>
      <c r="J302" s="31">
        <v>100.0</v>
      </c>
      <c r="K302" s="31">
        <v>200.0</v>
      </c>
      <c r="L302" s="29"/>
      <c r="M302" s="29"/>
    </row>
    <row r="303" ht="20.25" customHeight="1">
      <c r="A303" s="58"/>
      <c r="B303" s="806" t="s">
        <v>102</v>
      </c>
      <c r="C303" s="35">
        <v>715.0</v>
      </c>
      <c r="D303" s="806">
        <v>0.89</v>
      </c>
      <c r="E303" s="58"/>
      <c r="F303" s="58"/>
      <c r="G303" s="14" t="s">
        <v>17</v>
      </c>
      <c r="H303" s="14" t="s">
        <v>18</v>
      </c>
      <c r="I303" s="27">
        <v>2.0</v>
      </c>
      <c r="J303" s="27">
        <v>100.0</v>
      </c>
      <c r="K303" s="27">
        <v>200.0</v>
      </c>
      <c r="L303" s="58"/>
      <c r="M303" s="58"/>
    </row>
    <row r="304" ht="20.25" customHeight="1">
      <c r="A304" s="15">
        <v>46265.0</v>
      </c>
      <c r="B304" s="806" t="s">
        <v>122</v>
      </c>
      <c r="C304" s="37">
        <v>715.0</v>
      </c>
      <c r="D304" s="163"/>
      <c r="E304" s="64" t="s">
        <v>23</v>
      </c>
      <c r="F304" s="39" t="s">
        <v>604</v>
      </c>
      <c r="G304" s="22" t="s">
        <v>17</v>
      </c>
      <c r="H304" s="22" t="s">
        <v>25</v>
      </c>
      <c r="I304" s="31">
        <v>1.0</v>
      </c>
      <c r="J304" s="31">
        <v>120.0</v>
      </c>
      <c r="K304" s="31">
        <v>120.0</v>
      </c>
      <c r="L304" s="64">
        <v>30.0</v>
      </c>
      <c r="M304" s="64">
        <v>2620.0</v>
      </c>
    </row>
    <row r="305" ht="20.25" customHeight="1">
      <c r="A305" s="57"/>
      <c r="B305" s="806" t="s">
        <v>102</v>
      </c>
      <c r="C305" s="35">
        <v>715.0</v>
      </c>
      <c r="D305" s="163"/>
      <c r="E305" s="57"/>
      <c r="F305" s="57"/>
      <c r="G305" s="14" t="s">
        <v>17</v>
      </c>
      <c r="H305" s="14" t="s">
        <v>18</v>
      </c>
      <c r="I305" s="27">
        <v>16.0</v>
      </c>
      <c r="J305" s="27">
        <v>100.0</v>
      </c>
      <c r="K305" s="27">
        <v>1600.0</v>
      </c>
      <c r="L305" s="57"/>
      <c r="M305" s="57"/>
    </row>
    <row r="306" ht="20.25" customHeight="1">
      <c r="A306" s="20"/>
      <c r="B306" s="806" t="s">
        <v>102</v>
      </c>
      <c r="C306" s="37">
        <v>716.0</v>
      </c>
      <c r="D306" s="163"/>
      <c r="E306" s="20"/>
      <c r="F306" s="20"/>
      <c r="G306" s="22" t="s">
        <v>17</v>
      </c>
      <c r="H306" s="22" t="s">
        <v>18</v>
      </c>
      <c r="I306" s="31">
        <v>3.0</v>
      </c>
      <c r="J306" s="31">
        <v>100.0</v>
      </c>
      <c r="K306" s="31">
        <v>300.0</v>
      </c>
      <c r="L306" s="20"/>
      <c r="M306" s="20"/>
    </row>
    <row r="307" ht="20.25" customHeight="1">
      <c r="A307" s="237">
        <v>46265.0</v>
      </c>
      <c r="B307" s="806" t="s">
        <v>122</v>
      </c>
      <c r="C307" s="35"/>
      <c r="D307" s="163"/>
      <c r="E307" s="25" t="s">
        <v>598</v>
      </c>
      <c r="F307" s="932" t="s">
        <v>614</v>
      </c>
      <c r="G307" s="14" t="s">
        <v>17</v>
      </c>
      <c r="H307" s="14" t="s">
        <v>25</v>
      </c>
      <c r="I307" s="27">
        <v>1.0</v>
      </c>
      <c r="J307" s="27">
        <v>150.0</v>
      </c>
      <c r="K307" s="27">
        <v>150.0</v>
      </c>
      <c r="L307" s="25">
        <v>400.0</v>
      </c>
      <c r="M307" s="241">
        <v>3660.0</v>
      </c>
    </row>
    <row r="308" ht="20.25" customHeight="1">
      <c r="A308" s="29"/>
      <c r="B308" s="806" t="s">
        <v>51</v>
      </c>
      <c r="C308" s="37"/>
      <c r="D308" s="163"/>
      <c r="E308" s="29"/>
      <c r="F308" s="29"/>
      <c r="G308" s="22" t="s">
        <v>17</v>
      </c>
      <c r="H308" s="22" t="s">
        <v>18</v>
      </c>
      <c r="I308" s="31">
        <v>6.0</v>
      </c>
      <c r="J308" s="31">
        <v>150.0</v>
      </c>
      <c r="K308" s="31">
        <v>900.0</v>
      </c>
      <c r="L308" s="29"/>
      <c r="M308" s="29"/>
    </row>
    <row r="309" ht="20.25" customHeight="1">
      <c r="A309" s="57"/>
      <c r="B309" s="806" t="s">
        <v>110</v>
      </c>
      <c r="C309" s="35"/>
      <c r="D309" s="163"/>
      <c r="E309" s="57"/>
      <c r="F309" s="57"/>
      <c r="G309" s="14" t="s">
        <v>17</v>
      </c>
      <c r="H309" s="14" t="s">
        <v>18</v>
      </c>
      <c r="I309" s="27">
        <v>15.0</v>
      </c>
      <c r="J309" s="27">
        <v>135.0</v>
      </c>
      <c r="K309" s="27">
        <v>2025.0</v>
      </c>
      <c r="L309" s="57"/>
      <c r="M309" s="57"/>
    </row>
    <row r="310" ht="20.25" customHeight="1">
      <c r="A310" s="20"/>
      <c r="B310" s="806" t="s">
        <v>110</v>
      </c>
      <c r="C310" s="37"/>
      <c r="D310" s="163"/>
      <c r="E310" s="20"/>
      <c r="F310" s="20"/>
      <c r="G310" s="22" t="s">
        <v>17</v>
      </c>
      <c r="H310" s="22" t="s">
        <v>18</v>
      </c>
      <c r="I310" s="31">
        <v>1.0</v>
      </c>
      <c r="J310" s="31">
        <v>185.0</v>
      </c>
      <c r="K310" s="31">
        <v>185.0</v>
      </c>
      <c r="L310" s="20"/>
      <c r="M310" s="20"/>
    </row>
    <row r="311" ht="20.25" customHeight="1">
      <c r="A311" s="237">
        <v>46265.0</v>
      </c>
      <c r="B311" s="806" t="s">
        <v>122</v>
      </c>
      <c r="C311" s="35"/>
      <c r="D311" s="163"/>
      <c r="E311" s="25" t="s">
        <v>598</v>
      </c>
      <c r="F311" s="932" t="s">
        <v>612</v>
      </c>
      <c r="G311" s="14" t="s">
        <v>17</v>
      </c>
      <c r="H311" s="14" t="s">
        <v>25</v>
      </c>
      <c r="I311" s="27">
        <v>1.0</v>
      </c>
      <c r="J311" s="27">
        <v>150.0</v>
      </c>
      <c r="K311" s="27">
        <v>150.0</v>
      </c>
      <c r="L311" s="25">
        <v>400.0</v>
      </c>
      <c r="M311" s="241">
        <v>3525.0</v>
      </c>
    </row>
    <row r="312" ht="20.25" customHeight="1">
      <c r="A312" s="29"/>
      <c r="B312" s="806" t="s">
        <v>51</v>
      </c>
      <c r="C312" s="37"/>
      <c r="D312" s="163"/>
      <c r="E312" s="29"/>
      <c r="F312" s="29"/>
      <c r="G312" s="22" t="s">
        <v>17</v>
      </c>
      <c r="H312" s="22" t="s">
        <v>18</v>
      </c>
      <c r="I312" s="31">
        <v>6.0</v>
      </c>
      <c r="J312" s="31">
        <v>150.0</v>
      </c>
      <c r="K312" s="31">
        <v>900.0</v>
      </c>
      <c r="L312" s="29"/>
      <c r="M312" s="29"/>
    </row>
    <row r="313" ht="20.25" customHeight="1">
      <c r="A313" s="57"/>
      <c r="B313" s="806" t="s">
        <v>110</v>
      </c>
      <c r="C313" s="35"/>
      <c r="D313" s="163"/>
      <c r="E313" s="57"/>
      <c r="F313" s="57"/>
      <c r="G313" s="14" t="s">
        <v>17</v>
      </c>
      <c r="H313" s="14" t="s">
        <v>18</v>
      </c>
      <c r="I313" s="27">
        <v>14.0</v>
      </c>
      <c r="J313" s="27">
        <v>135.0</v>
      </c>
      <c r="K313" s="27">
        <v>1890.0</v>
      </c>
      <c r="L313" s="57"/>
      <c r="M313" s="57"/>
    </row>
    <row r="314" ht="20.25" customHeight="1">
      <c r="A314" s="20"/>
      <c r="B314" s="806" t="s">
        <v>110</v>
      </c>
      <c r="C314" s="37"/>
      <c r="D314" s="163"/>
      <c r="E314" s="20"/>
      <c r="F314" s="20"/>
      <c r="G314" s="22" t="s">
        <v>17</v>
      </c>
      <c r="H314" s="22" t="s">
        <v>18</v>
      </c>
      <c r="I314" s="31">
        <v>1.0</v>
      </c>
      <c r="J314" s="31">
        <v>185.0</v>
      </c>
      <c r="K314" s="31">
        <v>185.0</v>
      </c>
      <c r="L314" s="20"/>
      <c r="M314" s="20"/>
    </row>
    <row r="315" ht="20.25" customHeight="1">
      <c r="A315" s="8">
        <v>46266.0</v>
      </c>
      <c r="B315" s="806" t="s">
        <v>122</v>
      </c>
      <c r="C315" s="35">
        <v>711.0</v>
      </c>
      <c r="D315" s="163"/>
      <c r="E315" s="25" t="s">
        <v>23</v>
      </c>
      <c r="F315" s="13" t="s">
        <v>615</v>
      </c>
      <c r="G315" s="14" t="s">
        <v>17</v>
      </c>
      <c r="H315" s="14" t="s">
        <v>25</v>
      </c>
      <c r="I315" s="27">
        <v>1.0</v>
      </c>
      <c r="J315" s="27">
        <v>120.0</v>
      </c>
      <c r="K315" s="27">
        <v>120.0</v>
      </c>
      <c r="L315" s="25">
        <v>30.0</v>
      </c>
      <c r="M315" s="25">
        <v>600.0</v>
      </c>
    </row>
    <row r="316" ht="20.25" customHeight="1">
      <c r="A316" s="20"/>
      <c r="B316" s="806" t="s">
        <v>102</v>
      </c>
      <c r="C316" s="37">
        <v>712.0</v>
      </c>
      <c r="D316" s="163"/>
      <c r="E316" s="20"/>
      <c r="F316" s="20"/>
      <c r="G316" s="22" t="s">
        <v>17</v>
      </c>
      <c r="H316" s="22" t="s">
        <v>18</v>
      </c>
      <c r="I316" s="31">
        <v>19.0</v>
      </c>
      <c r="J316" s="31">
        <v>100.0</v>
      </c>
      <c r="K316" s="31">
        <v>1900.0</v>
      </c>
      <c r="L316" s="20"/>
      <c r="M316" s="20"/>
    </row>
    <row r="317" ht="20.25" customHeight="1">
      <c r="A317" s="237">
        <v>46266.0</v>
      </c>
      <c r="B317" s="806" t="s">
        <v>122</v>
      </c>
      <c r="C317" s="35">
        <v>718.0</v>
      </c>
      <c r="D317" s="163"/>
      <c r="E317" s="25" t="s">
        <v>598</v>
      </c>
      <c r="F317" s="932" t="s">
        <v>614</v>
      </c>
      <c r="G317" s="14" t="s">
        <v>17</v>
      </c>
      <c r="H317" s="14" t="s">
        <v>25</v>
      </c>
      <c r="I317" s="27">
        <v>1.0</v>
      </c>
      <c r="J317" s="27">
        <v>150.0</v>
      </c>
      <c r="K317" s="27">
        <v>150.0</v>
      </c>
      <c r="L317" s="25">
        <v>400.0</v>
      </c>
      <c r="M317" s="241">
        <v>3923.0</v>
      </c>
    </row>
    <row r="318" ht="20.25" customHeight="1">
      <c r="A318" s="29"/>
      <c r="B318" s="806" t="s">
        <v>51</v>
      </c>
      <c r="C318" s="37">
        <v>718.0</v>
      </c>
      <c r="D318" s="163"/>
      <c r="E318" s="29"/>
      <c r="F318" s="29"/>
      <c r="G318" s="22" t="s">
        <v>17</v>
      </c>
      <c r="H318" s="22" t="s">
        <v>18</v>
      </c>
      <c r="I318" s="31">
        <v>6.0</v>
      </c>
      <c r="J318" s="31">
        <v>150.0</v>
      </c>
      <c r="K318" s="31">
        <v>900.0</v>
      </c>
      <c r="L318" s="29"/>
      <c r="M318" s="29"/>
    </row>
    <row r="319" ht="20.25" customHeight="1">
      <c r="A319" s="57"/>
      <c r="B319" s="806" t="s">
        <v>110</v>
      </c>
      <c r="C319" s="35">
        <v>718.0</v>
      </c>
      <c r="D319" s="163"/>
      <c r="E319" s="57"/>
      <c r="F319" s="57"/>
      <c r="G319" s="14" t="s">
        <v>17</v>
      </c>
      <c r="H319" s="14" t="s">
        <v>18</v>
      </c>
      <c r="I319" s="27">
        <v>17.0</v>
      </c>
      <c r="J319" s="27">
        <v>135.0</v>
      </c>
      <c r="K319" s="27">
        <v>2295.0</v>
      </c>
      <c r="L319" s="57"/>
      <c r="M319" s="57"/>
    </row>
    <row r="320" ht="20.25" customHeight="1">
      <c r="A320" s="20"/>
      <c r="B320" s="806" t="s">
        <v>110</v>
      </c>
      <c r="C320" s="37">
        <v>717.0</v>
      </c>
      <c r="D320" s="163"/>
      <c r="E320" s="20"/>
      <c r="F320" s="20"/>
      <c r="G320" s="22" t="s">
        <v>17</v>
      </c>
      <c r="H320" s="22" t="s">
        <v>18</v>
      </c>
      <c r="I320" s="31">
        <v>1.0</v>
      </c>
      <c r="J320" s="31">
        <v>178.0</v>
      </c>
      <c r="K320" s="31">
        <v>178.0</v>
      </c>
      <c r="L320" s="20"/>
      <c r="M320" s="20"/>
    </row>
    <row r="321" ht="20.25" customHeight="1">
      <c r="A321" s="237">
        <v>46266.0</v>
      </c>
      <c r="B321" s="806" t="s">
        <v>122</v>
      </c>
      <c r="C321" s="35">
        <v>717.0</v>
      </c>
      <c r="D321" s="163"/>
      <c r="E321" s="25" t="s">
        <v>598</v>
      </c>
      <c r="F321" s="932" t="s">
        <v>612</v>
      </c>
      <c r="G321" s="14" t="s">
        <v>17</v>
      </c>
      <c r="H321" s="14" t="s">
        <v>25</v>
      </c>
      <c r="I321" s="27">
        <v>1.0</v>
      </c>
      <c r="J321" s="27">
        <v>150.0</v>
      </c>
      <c r="K321" s="27">
        <v>150.0</v>
      </c>
      <c r="L321" s="25">
        <v>400.0</v>
      </c>
      <c r="M321" s="241">
        <v>4252.0</v>
      </c>
    </row>
    <row r="322" ht="20.25" customHeight="1">
      <c r="A322" s="29"/>
      <c r="B322" s="806" t="s">
        <v>51</v>
      </c>
      <c r="C322" s="37">
        <v>717.0</v>
      </c>
      <c r="D322" s="163"/>
      <c r="E322" s="29"/>
      <c r="F322" s="29"/>
      <c r="G322" s="22" t="s">
        <v>17</v>
      </c>
      <c r="H322" s="22" t="s">
        <v>18</v>
      </c>
      <c r="I322" s="31">
        <v>6.0</v>
      </c>
      <c r="J322" s="31">
        <v>150.0</v>
      </c>
      <c r="K322" s="31">
        <v>900.0</v>
      </c>
      <c r="L322" s="29"/>
      <c r="M322" s="29"/>
    </row>
    <row r="323" ht="20.25" customHeight="1">
      <c r="A323" s="57"/>
      <c r="B323" s="806" t="s">
        <v>110</v>
      </c>
      <c r="C323" s="35">
        <v>717.0</v>
      </c>
      <c r="D323" s="163"/>
      <c r="E323" s="57"/>
      <c r="F323" s="57"/>
      <c r="G323" s="14" t="s">
        <v>17</v>
      </c>
      <c r="H323" s="14" t="s">
        <v>18</v>
      </c>
      <c r="I323" s="27">
        <v>19.0</v>
      </c>
      <c r="J323" s="27">
        <v>135.0</v>
      </c>
      <c r="K323" s="27">
        <v>2565.0</v>
      </c>
      <c r="L323" s="57"/>
      <c r="M323" s="57"/>
    </row>
    <row r="324" ht="20.25" customHeight="1">
      <c r="A324" s="20"/>
      <c r="B324" s="806" t="s">
        <v>110</v>
      </c>
      <c r="C324" s="37">
        <v>716.0</v>
      </c>
      <c r="D324" s="163"/>
      <c r="E324" s="20"/>
      <c r="F324" s="20"/>
      <c r="G324" s="22" t="s">
        <v>17</v>
      </c>
      <c r="H324" s="22" t="s">
        <v>18</v>
      </c>
      <c r="I324" s="31">
        <v>1.0</v>
      </c>
      <c r="J324" s="31">
        <v>237.0</v>
      </c>
      <c r="K324" s="31">
        <v>237.0</v>
      </c>
      <c r="L324" s="20"/>
      <c r="M324" s="20"/>
    </row>
    <row r="325" ht="20.25" customHeight="1">
      <c r="A325" s="8">
        <v>46267.0</v>
      </c>
      <c r="B325" s="806" t="s">
        <v>122</v>
      </c>
      <c r="C325" s="35">
        <v>712.0</v>
      </c>
      <c r="D325" s="163"/>
      <c r="E325" s="25" t="s">
        <v>23</v>
      </c>
      <c r="F325" s="13" t="s">
        <v>615</v>
      </c>
      <c r="G325" s="14" t="s">
        <v>17</v>
      </c>
      <c r="H325" s="14" t="s">
        <v>25</v>
      </c>
      <c r="I325" s="27">
        <v>1.0</v>
      </c>
      <c r="J325" s="27">
        <v>120.0</v>
      </c>
      <c r="K325" s="27">
        <v>120.0</v>
      </c>
      <c r="L325" s="25">
        <v>30.0</v>
      </c>
      <c r="M325" s="25">
        <v>2750.0</v>
      </c>
    </row>
    <row r="326" ht="20.25" customHeight="1">
      <c r="A326" s="20"/>
      <c r="B326" s="806" t="s">
        <v>110</v>
      </c>
      <c r="C326" s="37">
        <v>714.0</v>
      </c>
      <c r="D326" s="163"/>
      <c r="E326" s="20"/>
      <c r="F326" s="20"/>
      <c r="G326" s="22" t="s">
        <v>17</v>
      </c>
      <c r="H326" s="22" t="s">
        <v>18</v>
      </c>
      <c r="I326" s="31">
        <v>20.0</v>
      </c>
      <c r="J326" s="31">
        <v>100.0</v>
      </c>
      <c r="K326" s="31">
        <v>2000.0</v>
      </c>
      <c r="L326" s="20"/>
      <c r="M326" s="20"/>
    </row>
    <row r="327" ht="20.25" customHeight="1">
      <c r="A327" s="237">
        <v>46267.0</v>
      </c>
      <c r="B327" s="806" t="s">
        <v>122</v>
      </c>
      <c r="C327" s="35">
        <v>717.0</v>
      </c>
      <c r="D327" s="163"/>
      <c r="E327" s="25" t="s">
        <v>598</v>
      </c>
      <c r="F327" s="932" t="s">
        <v>614</v>
      </c>
      <c r="G327" s="14" t="s">
        <v>17</v>
      </c>
      <c r="H327" s="14" t="s">
        <v>25</v>
      </c>
      <c r="I327" s="27">
        <v>1.0</v>
      </c>
      <c r="J327" s="27">
        <v>150.0</v>
      </c>
      <c r="K327" s="27">
        <v>150.0</v>
      </c>
      <c r="L327" s="25">
        <v>400.0</v>
      </c>
      <c r="M327" s="241">
        <v>3972.0</v>
      </c>
    </row>
    <row r="328" ht="20.25" customHeight="1">
      <c r="A328" s="29"/>
      <c r="B328" s="806" t="s">
        <v>51</v>
      </c>
      <c r="C328" s="37">
        <v>717.0</v>
      </c>
      <c r="D328" s="163"/>
      <c r="E328" s="29"/>
      <c r="F328" s="29"/>
      <c r="G328" s="22" t="s">
        <v>17</v>
      </c>
      <c r="H328" s="22" t="s">
        <v>18</v>
      </c>
      <c r="I328" s="31">
        <v>6.0</v>
      </c>
      <c r="J328" s="31">
        <v>150.0</v>
      </c>
      <c r="K328" s="31">
        <v>900.0</v>
      </c>
      <c r="L328" s="29"/>
      <c r="M328" s="29"/>
    </row>
    <row r="329" ht="20.25" customHeight="1">
      <c r="A329" s="57"/>
      <c r="B329" s="806" t="s">
        <v>110</v>
      </c>
      <c r="C329" s="35">
        <v>717.0</v>
      </c>
      <c r="D329" s="163"/>
      <c r="E329" s="57"/>
      <c r="F329" s="57"/>
      <c r="G329" s="14" t="s">
        <v>17</v>
      </c>
      <c r="H329" s="14" t="s">
        <v>18</v>
      </c>
      <c r="I329" s="27">
        <v>15.0</v>
      </c>
      <c r="J329" s="27">
        <v>135.0</v>
      </c>
      <c r="K329" s="27">
        <v>2025.0</v>
      </c>
      <c r="L329" s="57"/>
      <c r="M329" s="57"/>
    </row>
    <row r="330" ht="20.25" customHeight="1">
      <c r="A330" s="29"/>
      <c r="B330" s="806" t="s">
        <v>110</v>
      </c>
      <c r="C330" s="37">
        <v>716.0</v>
      </c>
      <c r="D330" s="163"/>
      <c r="E330" s="29"/>
      <c r="F330" s="29"/>
      <c r="G330" s="22" t="s">
        <v>17</v>
      </c>
      <c r="H330" s="22" t="s">
        <v>18</v>
      </c>
      <c r="I330" s="31">
        <v>1.0</v>
      </c>
      <c r="J330" s="31">
        <v>158.0</v>
      </c>
      <c r="K330" s="31">
        <v>158.0</v>
      </c>
      <c r="L330" s="29"/>
      <c r="M330" s="29"/>
    </row>
    <row r="331" ht="20.25" customHeight="1">
      <c r="A331" s="57"/>
      <c r="B331" s="806" t="s">
        <v>110</v>
      </c>
      <c r="C331" s="35">
        <v>716.0</v>
      </c>
      <c r="D331" s="163"/>
      <c r="E331" s="57"/>
      <c r="F331" s="57"/>
      <c r="G331" s="14" t="s">
        <v>17</v>
      </c>
      <c r="H331" s="14" t="s">
        <v>18</v>
      </c>
      <c r="I331" s="27">
        <v>1.0</v>
      </c>
      <c r="J331" s="27">
        <v>158.0</v>
      </c>
      <c r="K331" s="27">
        <v>158.0</v>
      </c>
      <c r="L331" s="57"/>
      <c r="M331" s="57"/>
    </row>
    <row r="332" ht="20.25" customHeight="1">
      <c r="A332" s="20"/>
      <c r="B332" s="806" t="s">
        <v>110</v>
      </c>
      <c r="C332" s="37">
        <v>716.0</v>
      </c>
      <c r="D332" s="163"/>
      <c r="E332" s="20"/>
      <c r="F332" s="20"/>
      <c r="G332" s="22" t="s">
        <v>17</v>
      </c>
      <c r="H332" s="22" t="s">
        <v>18</v>
      </c>
      <c r="I332" s="31">
        <v>1.0</v>
      </c>
      <c r="J332" s="31">
        <v>181.0</v>
      </c>
      <c r="K332" s="31">
        <v>181.0</v>
      </c>
      <c r="L332" s="20"/>
      <c r="M332" s="20"/>
    </row>
    <row r="333" ht="20.25" customHeight="1">
      <c r="A333" s="237">
        <v>46267.0</v>
      </c>
      <c r="B333" s="806" t="s">
        <v>122</v>
      </c>
      <c r="C333" s="35">
        <v>716.0</v>
      </c>
      <c r="D333" s="163"/>
      <c r="E333" s="25" t="s">
        <v>598</v>
      </c>
      <c r="F333" s="932" t="s">
        <v>614</v>
      </c>
      <c r="G333" s="14" t="s">
        <v>17</v>
      </c>
      <c r="H333" s="14" t="s">
        <v>25</v>
      </c>
      <c r="I333" s="27">
        <v>1.0</v>
      </c>
      <c r="J333" s="27">
        <v>150.0</v>
      </c>
      <c r="K333" s="27">
        <v>150.0</v>
      </c>
      <c r="L333" s="25">
        <v>400.0</v>
      </c>
      <c r="M333" s="241">
        <v>3070.0</v>
      </c>
    </row>
    <row r="334" ht="20.25" customHeight="1">
      <c r="A334" s="29"/>
      <c r="B334" s="806" t="s">
        <v>110</v>
      </c>
      <c r="C334" s="37">
        <v>716.0</v>
      </c>
      <c r="D334" s="163"/>
      <c r="E334" s="29"/>
      <c r="F334" s="29"/>
      <c r="G334" s="22" t="s">
        <v>17</v>
      </c>
      <c r="H334" s="22" t="s">
        <v>18</v>
      </c>
      <c r="I334" s="31">
        <v>6.0</v>
      </c>
      <c r="J334" s="31">
        <v>150.0</v>
      </c>
      <c r="K334" s="31">
        <v>900.0</v>
      </c>
      <c r="L334" s="29"/>
      <c r="M334" s="29"/>
    </row>
    <row r="335" ht="20.25" customHeight="1">
      <c r="A335" s="58"/>
      <c r="B335" s="806" t="s">
        <v>110</v>
      </c>
      <c r="C335" s="35">
        <v>716.0</v>
      </c>
      <c r="D335" s="163"/>
      <c r="E335" s="58"/>
      <c r="F335" s="58"/>
      <c r="G335" s="14" t="s">
        <v>17</v>
      </c>
      <c r="H335" s="14" t="s">
        <v>18</v>
      </c>
      <c r="I335" s="27">
        <v>12.0</v>
      </c>
      <c r="J335" s="27">
        <v>135.0</v>
      </c>
      <c r="K335" s="27">
        <v>1620.0</v>
      </c>
      <c r="L335" s="58"/>
      <c r="M335" s="58"/>
    </row>
    <row r="336" ht="20.25" customHeight="1">
      <c r="A336" s="15">
        <v>46268.0</v>
      </c>
      <c r="B336" s="806" t="s">
        <v>122</v>
      </c>
      <c r="C336" s="37">
        <v>717.0</v>
      </c>
      <c r="D336" s="163"/>
      <c r="E336" s="64" t="s">
        <v>603</v>
      </c>
      <c r="F336" s="39" t="s">
        <v>604</v>
      </c>
      <c r="G336" s="22" t="s">
        <v>17</v>
      </c>
      <c r="H336" s="22" t="s">
        <v>25</v>
      </c>
      <c r="I336" s="31">
        <v>1.0</v>
      </c>
      <c r="J336" s="31">
        <v>120.0</v>
      </c>
      <c r="K336" s="31">
        <v>120.0</v>
      </c>
      <c r="L336" s="64">
        <v>30.0</v>
      </c>
      <c r="M336" s="64">
        <v>2750.0</v>
      </c>
    </row>
    <row r="337" ht="20.25" customHeight="1">
      <c r="A337" s="58"/>
      <c r="B337" s="806" t="s">
        <v>110</v>
      </c>
      <c r="C337" s="35">
        <v>717.0</v>
      </c>
      <c r="D337" s="163"/>
      <c r="E337" s="58"/>
      <c r="F337" s="58"/>
      <c r="G337" s="14" t="s">
        <v>17</v>
      </c>
      <c r="H337" s="14" t="s">
        <v>18</v>
      </c>
      <c r="I337" s="27">
        <v>20.0</v>
      </c>
      <c r="J337" s="27">
        <v>100.0</v>
      </c>
      <c r="K337" s="27">
        <v>2000.0</v>
      </c>
      <c r="L337" s="58"/>
      <c r="M337" s="58"/>
    </row>
    <row r="338" ht="20.25" customHeight="1">
      <c r="A338" s="237">
        <v>46237.0</v>
      </c>
      <c r="B338" s="806" t="s">
        <v>122</v>
      </c>
      <c r="C338" s="37">
        <v>715.0</v>
      </c>
      <c r="D338" s="163"/>
      <c r="E338" s="64" t="s">
        <v>598</v>
      </c>
      <c r="F338" s="932" t="s">
        <v>614</v>
      </c>
      <c r="G338" s="22" t="s">
        <v>17</v>
      </c>
      <c r="H338" s="22" t="s">
        <v>25</v>
      </c>
      <c r="I338" s="31">
        <v>1.0</v>
      </c>
      <c r="J338" s="31">
        <v>200.0</v>
      </c>
      <c r="K338" s="31">
        <v>200.0</v>
      </c>
      <c r="L338" s="64">
        <v>400.0</v>
      </c>
      <c r="M338" s="241">
        <v>3880.0</v>
      </c>
    </row>
    <row r="339" ht="20.25" customHeight="1">
      <c r="A339" s="57"/>
      <c r="B339" s="806" t="s">
        <v>51</v>
      </c>
      <c r="C339" s="35">
        <v>715.0</v>
      </c>
      <c r="D339" s="163"/>
      <c r="E339" s="57"/>
      <c r="F339" s="57"/>
      <c r="G339" s="14" t="s">
        <v>17</v>
      </c>
      <c r="H339" s="14" t="s">
        <v>18</v>
      </c>
      <c r="I339" s="27">
        <v>6.0</v>
      </c>
      <c r="J339" s="27">
        <v>150.0</v>
      </c>
      <c r="K339" s="27">
        <v>900.0</v>
      </c>
      <c r="L339" s="57"/>
      <c r="M339" s="57"/>
    </row>
    <row r="340" ht="20.25" customHeight="1">
      <c r="A340" s="29"/>
      <c r="B340" s="806" t="s">
        <v>110</v>
      </c>
      <c r="C340" s="37">
        <v>715.0</v>
      </c>
      <c r="D340" s="163"/>
      <c r="E340" s="29"/>
      <c r="F340" s="29"/>
      <c r="G340" s="22" t="s">
        <v>17</v>
      </c>
      <c r="H340" s="22" t="s">
        <v>18</v>
      </c>
      <c r="I340" s="31">
        <v>14.0</v>
      </c>
      <c r="J340" s="31">
        <v>135.0</v>
      </c>
      <c r="K340" s="31">
        <v>1890.0</v>
      </c>
      <c r="L340" s="29"/>
      <c r="M340" s="29"/>
    </row>
    <row r="341" ht="20.25" customHeight="1">
      <c r="A341" s="57"/>
      <c r="B341" s="806" t="s">
        <v>110</v>
      </c>
      <c r="C341" s="35">
        <v>715.0</v>
      </c>
      <c r="D341" s="163"/>
      <c r="E341" s="57"/>
      <c r="F341" s="57"/>
      <c r="G341" s="14" t="s">
        <v>17</v>
      </c>
      <c r="H341" s="14" t="s">
        <v>18</v>
      </c>
      <c r="I341" s="27">
        <v>1.0</v>
      </c>
      <c r="J341" s="27">
        <v>152.0</v>
      </c>
      <c r="K341" s="27">
        <v>152.0</v>
      </c>
      <c r="L341" s="57"/>
      <c r="M341" s="57"/>
    </row>
    <row r="342" ht="20.25" customHeight="1">
      <c r="A342" s="20"/>
      <c r="B342" s="806" t="s">
        <v>110</v>
      </c>
      <c r="C342" s="37">
        <v>715.0</v>
      </c>
      <c r="D342" s="163"/>
      <c r="E342" s="20"/>
      <c r="F342" s="20"/>
      <c r="G342" s="22" t="s">
        <v>17</v>
      </c>
      <c r="H342" s="22" t="s">
        <v>18</v>
      </c>
      <c r="I342" s="31">
        <v>2.0</v>
      </c>
      <c r="J342" s="31">
        <v>169.0</v>
      </c>
      <c r="K342" s="31">
        <v>338.0</v>
      </c>
      <c r="L342" s="20"/>
      <c r="M342" s="20"/>
    </row>
    <row r="343" ht="20.25" customHeight="1">
      <c r="A343" s="8">
        <v>46238.0</v>
      </c>
      <c r="B343" s="806" t="s">
        <v>122</v>
      </c>
      <c r="C343" s="35">
        <v>716.0</v>
      </c>
      <c r="D343" s="163"/>
      <c r="E343" s="25" t="s">
        <v>603</v>
      </c>
      <c r="F343" s="13" t="s">
        <v>604</v>
      </c>
      <c r="G343" s="14" t="s">
        <v>17</v>
      </c>
      <c r="H343" s="14" t="s">
        <v>25</v>
      </c>
      <c r="I343" s="27">
        <v>1.0</v>
      </c>
      <c r="J343" s="27">
        <v>120.0</v>
      </c>
      <c r="K343" s="27">
        <v>120.0</v>
      </c>
      <c r="L343" s="25">
        <v>30.0</v>
      </c>
      <c r="M343" s="25">
        <v>2490.0</v>
      </c>
    </row>
    <row r="344" ht="20.25" customHeight="1">
      <c r="A344" s="20"/>
      <c r="B344" s="806" t="s">
        <v>110</v>
      </c>
      <c r="C344" s="37">
        <v>716.0</v>
      </c>
      <c r="D344" s="163"/>
      <c r="E344" s="20"/>
      <c r="F344" s="20"/>
      <c r="G344" s="22" t="s">
        <v>17</v>
      </c>
      <c r="H344" s="22" t="s">
        <v>18</v>
      </c>
      <c r="I344" s="31">
        <v>18.0</v>
      </c>
      <c r="J344" s="31">
        <v>100.0</v>
      </c>
      <c r="K344" s="31">
        <v>1800.0</v>
      </c>
      <c r="L344" s="20"/>
      <c r="M344" s="20"/>
    </row>
    <row r="345" ht="20.25" customHeight="1">
      <c r="A345" s="8">
        <v>46270.0</v>
      </c>
      <c r="B345" s="806" t="s">
        <v>122</v>
      </c>
      <c r="C345" s="35">
        <v>713.0</v>
      </c>
      <c r="D345" s="163"/>
      <c r="E345" s="25" t="s">
        <v>603</v>
      </c>
      <c r="F345" s="13" t="s">
        <v>604</v>
      </c>
      <c r="G345" s="14" t="s">
        <v>17</v>
      </c>
      <c r="H345" s="14" t="s">
        <v>25</v>
      </c>
      <c r="I345" s="27">
        <v>1.0</v>
      </c>
      <c r="J345" s="27">
        <v>120.0</v>
      </c>
      <c r="K345" s="27">
        <v>120.0</v>
      </c>
      <c r="L345" s="25">
        <v>30.0</v>
      </c>
      <c r="M345" s="25">
        <v>2750.0</v>
      </c>
    </row>
    <row r="346" ht="20.25" customHeight="1">
      <c r="A346" s="20"/>
      <c r="B346" s="806" t="s">
        <v>22</v>
      </c>
      <c r="C346" s="37">
        <v>713.0</v>
      </c>
      <c r="D346" s="163"/>
      <c r="E346" s="20"/>
      <c r="F346" s="20"/>
      <c r="G346" s="22" t="s">
        <v>17</v>
      </c>
      <c r="H346" s="22" t="s">
        <v>18</v>
      </c>
      <c r="I346" s="31">
        <v>20.0</v>
      </c>
      <c r="J346" s="31">
        <v>100.0</v>
      </c>
      <c r="K346" s="31">
        <v>2000.0</v>
      </c>
      <c r="L346" s="20"/>
      <c r="M346" s="20"/>
    </row>
    <row r="347" ht="20.25" customHeight="1">
      <c r="A347" s="394"/>
      <c r="B347" s="163"/>
      <c r="C347" s="35"/>
      <c r="D347" s="163"/>
      <c r="E347" s="27"/>
      <c r="F347" s="14"/>
      <c r="G347" s="14"/>
      <c r="H347" s="14"/>
      <c r="I347" s="27"/>
      <c r="J347" s="27"/>
      <c r="K347" s="27"/>
      <c r="L347" s="27"/>
      <c r="M347" s="27"/>
    </row>
    <row r="348" ht="20.25" customHeight="1">
      <c r="A348" s="393"/>
      <c r="B348" s="163"/>
      <c r="C348" s="37"/>
      <c r="D348" s="163"/>
      <c r="E348" s="31"/>
      <c r="F348" s="22"/>
      <c r="G348" s="22"/>
      <c r="H348" s="22"/>
      <c r="I348" s="31"/>
      <c r="J348" s="31"/>
      <c r="K348" s="31"/>
      <c r="L348" s="31"/>
      <c r="M348" s="31"/>
    </row>
    <row r="349" ht="20.25" customHeight="1">
      <c r="A349" s="394"/>
      <c r="B349" s="163"/>
      <c r="C349" s="35"/>
      <c r="D349" s="163"/>
      <c r="E349" s="27"/>
      <c r="F349" s="14"/>
      <c r="G349" s="14"/>
      <c r="H349" s="14"/>
      <c r="I349" s="27"/>
      <c r="J349" s="27"/>
      <c r="K349" s="27"/>
      <c r="L349" s="27"/>
      <c r="M349" s="27"/>
    </row>
    <row r="350" ht="20.25" customHeight="1">
      <c r="A350" s="393"/>
      <c r="B350" s="163"/>
      <c r="C350" s="37"/>
      <c r="D350" s="163"/>
      <c r="E350" s="31"/>
      <c r="F350" s="22"/>
      <c r="G350" s="22"/>
      <c r="H350" s="22"/>
      <c r="I350" s="31"/>
      <c r="J350" s="31"/>
      <c r="K350" s="31"/>
      <c r="L350" s="31"/>
      <c r="M350" s="31"/>
    </row>
    <row r="351" ht="20.25" customHeight="1">
      <c r="A351" s="394"/>
      <c r="B351" s="163"/>
      <c r="C351" s="35"/>
      <c r="D351" s="163"/>
      <c r="E351" s="27"/>
      <c r="F351" s="14"/>
      <c r="G351" s="14"/>
      <c r="H351" s="14"/>
      <c r="I351" s="27"/>
      <c r="J351" s="27"/>
      <c r="K351" s="27"/>
      <c r="L351" s="27"/>
      <c r="M351" s="27"/>
    </row>
    <row r="352" ht="20.25" customHeight="1">
      <c r="A352" s="393"/>
      <c r="B352" s="163"/>
      <c r="C352" s="37"/>
      <c r="D352" s="163"/>
      <c r="E352" s="31"/>
      <c r="F352" s="22"/>
      <c r="G352" s="22"/>
      <c r="H352" s="22"/>
      <c r="I352" s="31"/>
      <c r="J352" s="31"/>
      <c r="K352" s="31"/>
      <c r="L352" s="31"/>
      <c r="M352" s="31"/>
    </row>
    <row r="353" ht="20.25" customHeight="1">
      <c r="A353" s="394"/>
      <c r="B353" s="163"/>
      <c r="C353" s="35"/>
      <c r="D353" s="163"/>
      <c r="E353" s="27"/>
      <c r="F353" s="14"/>
      <c r="G353" s="14"/>
      <c r="H353" s="14"/>
      <c r="I353" s="27"/>
      <c r="J353" s="27"/>
      <c r="K353" s="27"/>
      <c r="L353" s="27"/>
      <c r="M353" s="27"/>
    </row>
    <row r="354" ht="20.25" customHeight="1">
      <c r="A354" s="393"/>
      <c r="B354" s="163"/>
      <c r="C354" s="37"/>
      <c r="D354" s="163"/>
      <c r="E354" s="31"/>
      <c r="F354" s="22"/>
      <c r="G354" s="22"/>
      <c r="H354" s="22"/>
      <c r="I354" s="31"/>
      <c r="J354" s="31"/>
      <c r="K354" s="31"/>
      <c r="L354" s="31"/>
      <c r="M354" s="31"/>
    </row>
    <row r="355" ht="20.25" customHeight="1">
      <c r="A355" s="394"/>
      <c r="B355" s="163"/>
      <c r="C355" s="35"/>
      <c r="D355" s="163"/>
      <c r="E355" s="27"/>
      <c r="F355" s="14"/>
      <c r="G355" s="14"/>
      <c r="H355" s="14"/>
      <c r="I355" s="27"/>
      <c r="J355" s="27"/>
      <c r="K355" s="27"/>
      <c r="L355" s="27"/>
      <c r="M355" s="27"/>
    </row>
    <row r="356" ht="20.25" customHeight="1">
      <c r="A356" s="393"/>
      <c r="B356" s="163"/>
      <c r="C356" s="37"/>
      <c r="D356" s="163"/>
      <c r="E356" s="31"/>
      <c r="F356" s="22"/>
      <c r="G356" s="22"/>
      <c r="H356" s="22"/>
      <c r="I356" s="31"/>
      <c r="J356" s="31"/>
      <c r="K356" s="31"/>
      <c r="L356" s="31"/>
      <c r="M356" s="31"/>
    </row>
    <row r="357" ht="20.25" customHeight="1">
      <c r="A357" s="394"/>
      <c r="B357" s="163"/>
      <c r="C357" s="35"/>
      <c r="D357" s="163"/>
      <c r="E357" s="27"/>
      <c r="F357" s="14"/>
      <c r="G357" s="14"/>
      <c r="H357" s="14"/>
      <c r="I357" s="27"/>
      <c r="J357" s="27"/>
      <c r="K357" s="27"/>
      <c r="L357" s="27"/>
      <c r="M357" s="27"/>
    </row>
    <row r="358" ht="20.25" customHeight="1">
      <c r="A358" s="939"/>
      <c r="B358" s="274"/>
      <c r="C358" s="832"/>
      <c r="D358" s="274"/>
      <c r="E358" s="833"/>
      <c r="F358" s="30"/>
      <c r="G358" s="30"/>
      <c r="H358" s="30"/>
      <c r="I358" s="833"/>
      <c r="J358" s="833"/>
      <c r="K358" s="833"/>
      <c r="L358" s="833"/>
      <c r="M358" s="833"/>
    </row>
    <row r="359" ht="20.25" customHeight="1">
      <c r="A359" s="940"/>
      <c r="B359" s="274"/>
      <c r="C359" s="937"/>
      <c r="D359" s="274"/>
      <c r="E359" s="941"/>
      <c r="F359" s="28"/>
      <c r="G359" s="28"/>
      <c r="H359" s="28"/>
      <c r="I359" s="941"/>
      <c r="J359" s="941"/>
      <c r="K359" s="941"/>
      <c r="L359" s="941"/>
      <c r="M359" s="941"/>
    </row>
    <row r="360" ht="20.25" customHeight="1">
      <c r="A360" s="939"/>
      <c r="B360" s="274"/>
      <c r="C360" s="832"/>
      <c r="D360" s="274"/>
      <c r="E360" s="833"/>
      <c r="F360" s="30"/>
      <c r="G360" s="30"/>
      <c r="H360" s="30"/>
      <c r="I360" s="833"/>
      <c r="J360" s="833"/>
      <c r="K360" s="833"/>
      <c r="L360" s="833"/>
      <c r="M360" s="833"/>
    </row>
    <row r="361" ht="20.25" customHeight="1">
      <c r="A361" s="940"/>
      <c r="B361" s="274"/>
      <c r="C361" s="937"/>
      <c r="D361" s="274"/>
      <c r="E361" s="941"/>
      <c r="F361" s="28"/>
      <c r="G361" s="28"/>
      <c r="H361" s="28"/>
      <c r="I361" s="941"/>
      <c r="J361" s="941"/>
      <c r="K361" s="941"/>
      <c r="L361" s="941"/>
      <c r="M361" s="941"/>
    </row>
    <row r="362" ht="20.25" customHeight="1">
      <c r="A362" s="939"/>
      <c r="B362" s="274"/>
      <c r="C362" s="832"/>
      <c r="D362" s="274"/>
      <c r="E362" s="833"/>
      <c r="F362" s="30"/>
      <c r="G362" s="30"/>
      <c r="H362" s="30"/>
      <c r="I362" s="833"/>
      <c r="J362" s="833"/>
      <c r="K362" s="833"/>
      <c r="L362" s="833"/>
      <c r="M362" s="833"/>
    </row>
    <row r="363" ht="20.25" customHeight="1">
      <c r="A363" s="940"/>
      <c r="B363" s="274"/>
      <c r="C363" s="937"/>
      <c r="D363" s="274"/>
      <c r="E363" s="941"/>
      <c r="F363" s="28"/>
      <c r="G363" s="28"/>
      <c r="H363" s="28"/>
      <c r="I363" s="941"/>
      <c r="J363" s="941"/>
      <c r="K363" s="941"/>
      <c r="L363" s="941"/>
      <c r="M363" s="941"/>
    </row>
    <row r="364" ht="20.25" customHeight="1">
      <c r="A364" s="939"/>
      <c r="B364" s="274"/>
      <c r="C364" s="832"/>
      <c r="D364" s="274"/>
      <c r="E364" s="833"/>
      <c r="F364" s="30"/>
      <c r="G364" s="30"/>
      <c r="H364" s="30"/>
      <c r="I364" s="833"/>
      <c r="J364" s="833"/>
      <c r="K364" s="833"/>
      <c r="L364" s="833"/>
      <c r="M364" s="833"/>
    </row>
    <row r="365" ht="20.25" customHeight="1">
      <c r="A365" s="940"/>
      <c r="B365" s="274"/>
      <c r="C365" s="937"/>
      <c r="D365" s="274"/>
      <c r="E365" s="941"/>
      <c r="F365" s="28"/>
      <c r="G365" s="28"/>
      <c r="H365" s="28"/>
      <c r="I365" s="941"/>
      <c r="J365" s="941"/>
      <c r="K365" s="941"/>
      <c r="L365" s="941"/>
      <c r="M365" s="941"/>
    </row>
    <row r="366" ht="20.25" customHeight="1">
      <c r="A366" s="939"/>
      <c r="B366" s="274"/>
      <c r="C366" s="832"/>
      <c r="D366" s="274"/>
      <c r="E366" s="833"/>
      <c r="F366" s="30"/>
      <c r="G366" s="30"/>
      <c r="H366" s="30"/>
      <c r="I366" s="833"/>
      <c r="J366" s="833"/>
      <c r="K366" s="833"/>
      <c r="L366" s="833"/>
      <c r="M366" s="833"/>
    </row>
    <row r="367" ht="20.25" customHeight="1">
      <c r="A367" s="940"/>
      <c r="B367" s="274"/>
      <c r="C367" s="937"/>
      <c r="D367" s="274"/>
      <c r="E367" s="941"/>
      <c r="F367" s="28"/>
      <c r="G367" s="28"/>
      <c r="H367" s="28"/>
      <c r="I367" s="941"/>
      <c r="J367" s="941"/>
      <c r="K367" s="941"/>
      <c r="L367" s="941"/>
      <c r="M367" s="941"/>
    </row>
    <row r="368" ht="20.25" customHeight="1">
      <c r="A368" s="939"/>
      <c r="B368" s="274"/>
      <c r="C368" s="832"/>
      <c r="D368" s="274"/>
      <c r="E368" s="833"/>
      <c r="F368" s="30"/>
      <c r="G368" s="30"/>
      <c r="H368" s="30"/>
      <c r="I368" s="833"/>
      <c r="J368" s="833"/>
      <c r="K368" s="833"/>
      <c r="L368" s="833"/>
      <c r="M368" s="833"/>
    </row>
    <row r="369" ht="20.25" customHeight="1">
      <c r="A369" s="940"/>
      <c r="B369" s="274"/>
      <c r="C369" s="937"/>
      <c r="D369" s="274"/>
      <c r="E369" s="941"/>
      <c r="F369" s="28"/>
      <c r="G369" s="28"/>
      <c r="H369" s="28"/>
      <c r="I369" s="941"/>
      <c r="J369" s="941"/>
      <c r="K369" s="941"/>
      <c r="L369" s="941"/>
      <c r="M369" s="941"/>
    </row>
    <row r="370" ht="20.25" customHeight="1">
      <c r="A370" s="939"/>
      <c r="B370" s="274"/>
      <c r="C370" s="832"/>
      <c r="D370" s="274"/>
      <c r="E370" s="833"/>
      <c r="F370" s="30"/>
      <c r="G370" s="30"/>
      <c r="H370" s="30"/>
      <c r="I370" s="833"/>
      <c r="J370" s="833"/>
      <c r="K370" s="833"/>
      <c r="L370" s="833"/>
      <c r="M370" s="833"/>
    </row>
    <row r="371" ht="20.25" customHeight="1">
      <c r="A371" s="940"/>
      <c r="B371" s="274"/>
      <c r="C371" s="937"/>
      <c r="D371" s="274"/>
      <c r="E371" s="941"/>
      <c r="F371" s="28"/>
      <c r="G371" s="28"/>
      <c r="H371" s="28"/>
      <c r="I371" s="941"/>
      <c r="J371" s="941"/>
      <c r="K371" s="941"/>
      <c r="L371" s="941"/>
      <c r="M371" s="941"/>
    </row>
    <row r="372" ht="20.25" customHeight="1">
      <c r="A372" s="939"/>
      <c r="B372" s="274"/>
      <c r="C372" s="832"/>
      <c r="D372" s="274"/>
      <c r="E372" s="833"/>
      <c r="F372" s="30"/>
      <c r="G372" s="30"/>
      <c r="H372" s="30"/>
      <c r="I372" s="833"/>
      <c r="J372" s="833"/>
      <c r="K372" s="833"/>
      <c r="L372" s="833"/>
      <c r="M372" s="833"/>
    </row>
    <row r="373" ht="20.25" customHeight="1">
      <c r="A373" s="940"/>
      <c r="B373" s="274"/>
      <c r="C373" s="937"/>
      <c r="D373" s="274"/>
      <c r="E373" s="941"/>
      <c r="F373" s="28"/>
      <c r="G373" s="28"/>
      <c r="H373" s="28"/>
      <c r="I373" s="941"/>
      <c r="J373" s="941"/>
      <c r="K373" s="941"/>
      <c r="L373" s="941"/>
      <c r="M373" s="941"/>
    </row>
    <row r="374" ht="20.25" customHeight="1">
      <c r="A374" s="939"/>
      <c r="B374" s="274"/>
      <c r="C374" s="832"/>
      <c r="D374" s="274"/>
      <c r="E374" s="833"/>
      <c r="F374" s="30"/>
      <c r="G374" s="30"/>
      <c r="H374" s="30"/>
      <c r="I374" s="833"/>
      <c r="J374" s="833"/>
      <c r="K374" s="833"/>
      <c r="L374" s="833"/>
      <c r="M374" s="833"/>
    </row>
    <row r="375" ht="20.25" customHeight="1">
      <c r="A375" s="940"/>
      <c r="B375" s="274"/>
      <c r="C375" s="937"/>
      <c r="D375" s="274"/>
      <c r="E375" s="941"/>
      <c r="F375" s="28"/>
      <c r="G375" s="28"/>
      <c r="H375" s="28"/>
      <c r="I375" s="941"/>
      <c r="J375" s="941"/>
      <c r="K375" s="941"/>
      <c r="L375" s="941"/>
      <c r="M375" s="941"/>
    </row>
    <row r="376" ht="20.25" customHeight="1">
      <c r="A376" s="939"/>
      <c r="B376" s="274"/>
      <c r="C376" s="832"/>
      <c r="D376" s="274"/>
      <c r="E376" s="833"/>
      <c r="F376" s="30"/>
      <c r="G376" s="30"/>
      <c r="H376" s="30"/>
      <c r="I376" s="833"/>
      <c r="J376" s="833"/>
      <c r="K376" s="833"/>
      <c r="L376" s="833"/>
      <c r="M376" s="833"/>
    </row>
    <row r="377" ht="20.25" customHeight="1">
      <c r="A377" s="940"/>
      <c r="B377" s="274"/>
      <c r="C377" s="937"/>
      <c r="D377" s="274"/>
      <c r="E377" s="941"/>
      <c r="F377" s="28"/>
      <c r="G377" s="28"/>
      <c r="H377" s="28"/>
      <c r="I377" s="941"/>
      <c r="J377" s="941"/>
      <c r="K377" s="941"/>
      <c r="L377" s="941"/>
      <c r="M377" s="941"/>
    </row>
    <row r="378" ht="20.25" customHeight="1">
      <c r="A378" s="939"/>
      <c r="B378" s="274"/>
      <c r="C378" s="832"/>
      <c r="D378" s="274"/>
      <c r="E378" s="833"/>
      <c r="F378" s="30"/>
      <c r="G378" s="30"/>
      <c r="H378" s="30"/>
      <c r="I378" s="833"/>
      <c r="J378" s="833"/>
      <c r="K378" s="833"/>
      <c r="L378" s="833"/>
      <c r="M378" s="833"/>
    </row>
    <row r="379" ht="20.25" customHeight="1">
      <c r="A379" s="940"/>
      <c r="B379" s="274"/>
      <c r="C379" s="937"/>
      <c r="D379" s="274"/>
      <c r="E379" s="941"/>
      <c r="F379" s="28"/>
      <c r="G379" s="28"/>
      <c r="H379" s="28"/>
      <c r="I379" s="941"/>
      <c r="J379" s="941"/>
      <c r="K379" s="941"/>
      <c r="L379" s="941"/>
      <c r="M379" s="941"/>
    </row>
    <row r="380" ht="20.25" customHeight="1">
      <c r="A380" s="939"/>
      <c r="B380" s="274"/>
      <c r="C380" s="832"/>
      <c r="D380" s="274"/>
      <c r="E380" s="833"/>
      <c r="F380" s="30"/>
      <c r="G380" s="30"/>
      <c r="H380" s="30"/>
      <c r="I380" s="833"/>
      <c r="J380" s="833"/>
      <c r="K380" s="833"/>
      <c r="L380" s="833"/>
      <c r="M380" s="833"/>
    </row>
    <row r="381" ht="20.25" customHeight="1">
      <c r="A381" s="940"/>
      <c r="B381" s="274"/>
      <c r="C381" s="937"/>
      <c r="D381" s="274"/>
      <c r="E381" s="941"/>
      <c r="F381" s="28"/>
      <c r="G381" s="28"/>
      <c r="H381" s="28"/>
      <c r="I381" s="941"/>
      <c r="J381" s="941"/>
      <c r="K381" s="941"/>
      <c r="L381" s="941"/>
      <c r="M381" s="941"/>
    </row>
    <row r="382" ht="20.25" customHeight="1">
      <c r="A382" s="939"/>
      <c r="B382" s="274"/>
      <c r="C382" s="832"/>
      <c r="D382" s="274"/>
      <c r="E382" s="833"/>
      <c r="F382" s="30"/>
      <c r="G382" s="30"/>
      <c r="H382" s="30"/>
      <c r="I382" s="833"/>
      <c r="J382" s="833"/>
      <c r="K382" s="833"/>
      <c r="L382" s="833"/>
      <c r="M382" s="833"/>
    </row>
    <row r="383" ht="20.25" customHeight="1">
      <c r="A383" s="940"/>
      <c r="B383" s="274"/>
      <c r="C383" s="937"/>
      <c r="D383" s="274"/>
      <c r="E383" s="941"/>
      <c r="F383" s="28"/>
      <c r="G383" s="28"/>
      <c r="H383" s="28"/>
      <c r="I383" s="941"/>
      <c r="J383" s="941"/>
      <c r="K383" s="941"/>
      <c r="L383" s="941"/>
      <c r="M383" s="941"/>
    </row>
    <row r="384" ht="20.25" customHeight="1">
      <c r="A384" s="939"/>
      <c r="B384" s="274"/>
      <c r="C384" s="832"/>
      <c r="D384" s="274"/>
      <c r="E384" s="833"/>
      <c r="F384" s="30"/>
      <c r="G384" s="30"/>
      <c r="H384" s="30"/>
      <c r="I384" s="833"/>
      <c r="J384" s="833"/>
      <c r="K384" s="833"/>
      <c r="L384" s="833"/>
      <c r="M384" s="833"/>
    </row>
    <row r="385" ht="20.25" customHeight="1">
      <c r="A385" s="940"/>
      <c r="B385" s="274"/>
      <c r="C385" s="937"/>
      <c r="D385" s="274"/>
      <c r="E385" s="941"/>
      <c r="F385" s="28"/>
      <c r="G385" s="28"/>
      <c r="H385" s="28"/>
      <c r="I385" s="941"/>
      <c r="J385" s="941"/>
      <c r="K385" s="941"/>
      <c r="L385" s="941"/>
      <c r="M385" s="941"/>
    </row>
    <row r="386" ht="20.25" customHeight="1">
      <c r="A386" s="939"/>
      <c r="B386" s="274"/>
      <c r="C386" s="832"/>
      <c r="D386" s="274"/>
      <c r="E386" s="833"/>
      <c r="F386" s="30"/>
      <c r="G386" s="30"/>
      <c r="H386" s="30"/>
      <c r="I386" s="833"/>
      <c r="J386" s="833"/>
      <c r="K386" s="833"/>
      <c r="L386" s="833"/>
      <c r="M386" s="833"/>
    </row>
    <row r="387" ht="20.25" customHeight="1">
      <c r="A387" s="940"/>
      <c r="B387" s="274"/>
      <c r="C387" s="937"/>
      <c r="D387" s="274"/>
      <c r="E387" s="941"/>
      <c r="F387" s="28"/>
      <c r="G387" s="28"/>
      <c r="H387" s="28"/>
      <c r="I387" s="941"/>
      <c r="J387" s="941"/>
      <c r="K387" s="941"/>
      <c r="L387" s="941"/>
      <c r="M387" s="941"/>
    </row>
    <row r="388" ht="20.25" customHeight="1">
      <c r="A388" s="939"/>
      <c r="B388" s="274"/>
      <c r="C388" s="832"/>
      <c r="D388" s="274"/>
      <c r="E388" s="833"/>
      <c r="F388" s="30"/>
      <c r="G388" s="30"/>
      <c r="H388" s="30"/>
      <c r="I388" s="833"/>
      <c r="J388" s="833"/>
      <c r="K388" s="833"/>
      <c r="L388" s="833"/>
      <c r="M388" s="833"/>
    </row>
    <row r="389" ht="20.25" customHeight="1">
      <c r="A389" s="940"/>
      <c r="B389" s="274"/>
      <c r="C389" s="937"/>
      <c r="D389" s="274"/>
      <c r="E389" s="941"/>
      <c r="F389" s="28"/>
      <c r="G389" s="28"/>
      <c r="H389" s="28"/>
      <c r="I389" s="941"/>
      <c r="J389" s="941"/>
      <c r="K389" s="941"/>
      <c r="L389" s="941"/>
      <c r="M389" s="941"/>
    </row>
    <row r="390" ht="20.25" customHeight="1">
      <c r="A390" s="939"/>
      <c r="B390" s="274"/>
      <c r="C390" s="832"/>
      <c r="D390" s="274"/>
      <c r="E390" s="833"/>
      <c r="F390" s="30"/>
      <c r="G390" s="30"/>
      <c r="H390" s="30"/>
      <c r="I390" s="833"/>
      <c r="J390" s="833"/>
      <c r="K390" s="833"/>
      <c r="L390" s="833"/>
      <c r="M390" s="833"/>
    </row>
    <row r="391" ht="20.25" customHeight="1">
      <c r="A391" s="940"/>
      <c r="B391" s="274"/>
      <c r="C391" s="937"/>
      <c r="D391" s="274"/>
      <c r="E391" s="941"/>
      <c r="F391" s="28"/>
      <c r="G391" s="28"/>
      <c r="H391" s="28"/>
      <c r="I391" s="941"/>
      <c r="J391" s="941"/>
      <c r="K391" s="941"/>
      <c r="L391" s="941"/>
      <c r="M391" s="941"/>
    </row>
    <row r="392" ht="20.25" customHeight="1">
      <c r="A392" s="939"/>
      <c r="B392" s="274"/>
      <c r="C392" s="832"/>
      <c r="D392" s="274"/>
      <c r="E392" s="833"/>
      <c r="F392" s="30"/>
      <c r="G392" s="30"/>
      <c r="H392" s="30"/>
      <c r="I392" s="833"/>
      <c r="J392" s="833"/>
      <c r="K392" s="833"/>
      <c r="L392" s="833"/>
      <c r="M392" s="833"/>
    </row>
    <row r="393" ht="20.25" customHeight="1">
      <c r="A393" s="940"/>
      <c r="B393" s="274"/>
      <c r="C393" s="937"/>
      <c r="D393" s="274"/>
      <c r="E393" s="941"/>
      <c r="F393" s="28"/>
      <c r="G393" s="28"/>
      <c r="H393" s="28"/>
      <c r="I393" s="941"/>
      <c r="J393" s="941"/>
      <c r="K393" s="941"/>
      <c r="L393" s="941"/>
      <c r="M393" s="941"/>
    </row>
    <row r="394" ht="20.25" customHeight="1">
      <c r="A394" s="939"/>
      <c r="B394" s="274"/>
      <c r="C394" s="832"/>
      <c r="D394" s="274"/>
      <c r="E394" s="833"/>
      <c r="F394" s="30"/>
      <c r="G394" s="30"/>
      <c r="H394" s="30"/>
      <c r="I394" s="833"/>
      <c r="J394" s="833"/>
      <c r="K394" s="833"/>
      <c r="L394" s="833"/>
      <c r="M394" s="833"/>
    </row>
    <row r="395" ht="20.25" customHeight="1">
      <c r="A395" s="940"/>
      <c r="B395" s="274"/>
      <c r="C395" s="937"/>
      <c r="D395" s="274"/>
      <c r="E395" s="941"/>
      <c r="F395" s="28"/>
      <c r="G395" s="28"/>
      <c r="H395" s="28"/>
      <c r="I395" s="941"/>
      <c r="J395" s="941"/>
      <c r="K395" s="941"/>
      <c r="L395" s="941"/>
      <c r="M395" s="941"/>
    </row>
    <row r="396" ht="20.25" customHeight="1">
      <c r="A396" s="939"/>
      <c r="B396" s="274"/>
      <c r="C396" s="832"/>
      <c r="D396" s="274"/>
      <c r="E396" s="833"/>
      <c r="F396" s="30"/>
      <c r="G396" s="30"/>
      <c r="H396" s="30"/>
      <c r="I396" s="833"/>
      <c r="J396" s="833"/>
      <c r="K396" s="833"/>
      <c r="L396" s="833"/>
      <c r="M396" s="833"/>
    </row>
    <row r="397" ht="20.25" customHeight="1">
      <c r="A397" s="940"/>
      <c r="B397" s="274"/>
      <c r="C397" s="937"/>
      <c r="D397" s="274"/>
      <c r="E397" s="941"/>
      <c r="F397" s="28"/>
      <c r="G397" s="28"/>
      <c r="H397" s="28"/>
      <c r="I397" s="941"/>
      <c r="J397" s="941"/>
      <c r="K397" s="941"/>
      <c r="L397" s="941"/>
      <c r="M397" s="941"/>
    </row>
    <row r="398" ht="20.25" customHeight="1">
      <c r="A398" s="939"/>
      <c r="B398" s="274"/>
      <c r="C398" s="832"/>
      <c r="D398" s="274"/>
      <c r="E398" s="833"/>
      <c r="F398" s="30"/>
      <c r="G398" s="30"/>
      <c r="H398" s="30"/>
      <c r="I398" s="833"/>
      <c r="J398" s="833"/>
      <c r="K398" s="833"/>
      <c r="L398" s="833"/>
      <c r="M398" s="833"/>
    </row>
    <row r="399" ht="20.25" customHeight="1">
      <c r="A399" s="940"/>
      <c r="B399" s="274"/>
      <c r="C399" s="937"/>
      <c r="D399" s="274"/>
      <c r="E399" s="941"/>
      <c r="F399" s="28"/>
      <c r="G399" s="28"/>
      <c r="H399" s="28"/>
      <c r="I399" s="941"/>
      <c r="J399" s="941"/>
      <c r="K399" s="941"/>
      <c r="L399" s="941"/>
      <c r="M399" s="941"/>
    </row>
    <row r="400" ht="20.25" customHeight="1">
      <c r="A400" s="939"/>
      <c r="B400" s="274"/>
      <c r="C400" s="832"/>
      <c r="D400" s="274"/>
      <c r="E400" s="833"/>
      <c r="F400" s="30"/>
      <c r="G400" s="30"/>
      <c r="H400" s="30"/>
      <c r="I400" s="833"/>
      <c r="J400" s="833"/>
      <c r="K400" s="833"/>
      <c r="L400" s="833"/>
      <c r="M400" s="833"/>
    </row>
    <row r="401" ht="20.25" customHeight="1">
      <c r="A401" s="940"/>
      <c r="B401" s="274"/>
      <c r="C401" s="937"/>
      <c r="D401" s="274"/>
      <c r="E401" s="941"/>
      <c r="F401" s="28"/>
      <c r="G401" s="28"/>
      <c r="H401" s="28"/>
      <c r="I401" s="941"/>
      <c r="J401" s="941"/>
      <c r="K401" s="941"/>
      <c r="L401" s="941"/>
      <c r="M401" s="941"/>
    </row>
    <row r="402" ht="20.25" customHeight="1">
      <c r="A402" s="939"/>
      <c r="B402" s="274"/>
      <c r="C402" s="832"/>
      <c r="D402" s="274"/>
      <c r="E402" s="833"/>
      <c r="F402" s="30"/>
      <c r="G402" s="30"/>
      <c r="H402" s="30"/>
      <c r="I402" s="833"/>
      <c r="J402" s="833"/>
      <c r="K402" s="833"/>
      <c r="L402" s="833"/>
      <c r="M402" s="833"/>
    </row>
    <row r="403" ht="20.25" customHeight="1">
      <c r="A403" s="940"/>
      <c r="B403" s="274"/>
      <c r="C403" s="937"/>
      <c r="D403" s="274"/>
      <c r="E403" s="941"/>
      <c r="F403" s="28"/>
      <c r="G403" s="28"/>
      <c r="H403" s="28"/>
      <c r="I403" s="941"/>
      <c r="J403" s="941"/>
      <c r="K403" s="941"/>
      <c r="L403" s="941"/>
      <c r="M403" s="941"/>
    </row>
    <row r="404" ht="20.25" customHeight="1">
      <c r="A404" s="939"/>
      <c r="B404" s="274"/>
      <c r="C404" s="832"/>
      <c r="D404" s="274"/>
      <c r="E404" s="833"/>
      <c r="F404" s="30"/>
      <c r="G404" s="30"/>
      <c r="H404" s="30"/>
      <c r="I404" s="833"/>
      <c r="J404" s="833"/>
      <c r="K404" s="833"/>
      <c r="L404" s="833"/>
      <c r="M404" s="833"/>
    </row>
    <row r="405" ht="20.25" customHeight="1">
      <c r="A405" s="940"/>
      <c r="B405" s="274"/>
      <c r="C405" s="937"/>
      <c r="D405" s="274"/>
      <c r="E405" s="941"/>
      <c r="F405" s="28"/>
      <c r="G405" s="28"/>
      <c r="H405" s="28"/>
      <c r="I405" s="941"/>
      <c r="J405" s="941"/>
      <c r="K405" s="941"/>
      <c r="L405" s="941"/>
      <c r="M405" s="941"/>
    </row>
    <row r="406" ht="20.25" customHeight="1">
      <c r="A406" s="939"/>
      <c r="B406" s="274"/>
      <c r="C406" s="832"/>
      <c r="D406" s="274"/>
      <c r="E406" s="833"/>
      <c r="F406" s="30"/>
      <c r="G406" s="30"/>
      <c r="H406" s="30"/>
      <c r="I406" s="833"/>
      <c r="J406" s="833"/>
      <c r="K406" s="833"/>
      <c r="L406" s="833"/>
      <c r="M406" s="833"/>
    </row>
    <row r="407" ht="20.25" customHeight="1">
      <c r="A407" s="940"/>
      <c r="B407" s="274"/>
      <c r="C407" s="937"/>
      <c r="D407" s="274"/>
      <c r="E407" s="941"/>
      <c r="F407" s="28"/>
      <c r="G407" s="28"/>
      <c r="H407" s="28"/>
      <c r="I407" s="941"/>
      <c r="J407" s="941"/>
      <c r="K407" s="941"/>
      <c r="L407" s="941"/>
      <c r="M407" s="941"/>
    </row>
    <row r="408" ht="20.25" customHeight="1">
      <c r="A408" s="939"/>
      <c r="B408" s="274"/>
      <c r="C408" s="832"/>
      <c r="D408" s="274"/>
      <c r="E408" s="833"/>
      <c r="F408" s="30"/>
      <c r="G408" s="30"/>
      <c r="H408" s="30"/>
      <c r="I408" s="833"/>
      <c r="J408" s="833"/>
      <c r="K408" s="833"/>
      <c r="L408" s="833"/>
      <c r="M408" s="833"/>
    </row>
    <row r="409" ht="20.25" customHeight="1">
      <c r="A409" s="940"/>
      <c r="B409" s="274"/>
      <c r="C409" s="937"/>
      <c r="D409" s="274"/>
      <c r="E409" s="941"/>
      <c r="F409" s="28"/>
      <c r="G409" s="28"/>
      <c r="H409" s="28"/>
      <c r="I409" s="941"/>
      <c r="J409" s="941"/>
      <c r="K409" s="941"/>
      <c r="L409" s="941"/>
      <c r="M409" s="941"/>
    </row>
    <row r="410" ht="20.25" customHeight="1">
      <c r="A410" s="939"/>
      <c r="B410" s="274"/>
      <c r="C410" s="832"/>
      <c r="D410" s="274"/>
      <c r="E410" s="833"/>
      <c r="F410" s="30"/>
      <c r="G410" s="30"/>
      <c r="H410" s="30"/>
      <c r="I410" s="833"/>
      <c r="J410" s="833"/>
      <c r="K410" s="833"/>
      <c r="L410" s="833"/>
      <c r="M410" s="833"/>
    </row>
    <row r="411" ht="20.25" customHeight="1">
      <c r="A411" s="940"/>
      <c r="B411" s="274"/>
      <c r="C411" s="937"/>
      <c r="D411" s="274"/>
      <c r="E411" s="941"/>
      <c r="F411" s="28"/>
      <c r="G411" s="28"/>
      <c r="H411" s="28"/>
      <c r="I411" s="941"/>
      <c r="J411" s="941"/>
      <c r="K411" s="941"/>
      <c r="L411" s="941"/>
      <c r="M411" s="941"/>
    </row>
    <row r="412" ht="20.25" customHeight="1">
      <c r="A412" s="939"/>
      <c r="B412" s="274"/>
      <c r="C412" s="832"/>
      <c r="D412" s="274"/>
      <c r="E412" s="833"/>
      <c r="F412" s="30"/>
      <c r="G412" s="30"/>
      <c r="H412" s="30"/>
      <c r="I412" s="833"/>
      <c r="J412" s="833"/>
      <c r="K412" s="833"/>
      <c r="L412" s="833"/>
      <c r="M412" s="833"/>
    </row>
    <row r="413" ht="20.25" customHeight="1">
      <c r="A413" s="940"/>
      <c r="B413" s="274"/>
      <c r="C413" s="937"/>
      <c r="D413" s="274"/>
      <c r="E413" s="941"/>
      <c r="F413" s="28"/>
      <c r="G413" s="28"/>
      <c r="H413" s="28"/>
      <c r="I413" s="941"/>
      <c r="J413" s="941"/>
      <c r="K413" s="941"/>
      <c r="L413" s="941"/>
      <c r="M413" s="941"/>
    </row>
    <row r="414" ht="20.25" customHeight="1">
      <c r="A414" s="939"/>
      <c r="B414" s="274"/>
      <c r="C414" s="832"/>
      <c r="D414" s="274"/>
      <c r="E414" s="833"/>
      <c r="F414" s="30"/>
      <c r="G414" s="30"/>
      <c r="H414" s="30"/>
      <c r="I414" s="833"/>
      <c r="J414" s="833"/>
      <c r="K414" s="833"/>
      <c r="L414" s="833"/>
      <c r="M414" s="833"/>
    </row>
    <row r="415" ht="20.25" customHeight="1">
      <c r="A415" s="940"/>
      <c r="B415" s="274"/>
      <c r="C415" s="937"/>
      <c r="D415" s="274"/>
      <c r="E415" s="941"/>
      <c r="F415" s="28"/>
      <c r="G415" s="28"/>
      <c r="H415" s="28"/>
      <c r="I415" s="941"/>
      <c r="J415" s="941"/>
      <c r="K415" s="941"/>
      <c r="L415" s="941"/>
      <c r="M415" s="941"/>
    </row>
    <row r="416" ht="20.25" customHeight="1">
      <c r="A416" s="939"/>
      <c r="B416" s="274"/>
      <c r="C416" s="832"/>
      <c r="D416" s="274"/>
      <c r="E416" s="833"/>
      <c r="F416" s="30"/>
      <c r="G416" s="30"/>
      <c r="H416" s="30"/>
      <c r="I416" s="833"/>
      <c r="J416" s="833"/>
      <c r="K416" s="833"/>
      <c r="L416" s="833"/>
      <c r="M416" s="833"/>
    </row>
    <row r="417" ht="20.25" customHeight="1">
      <c r="A417" s="940"/>
      <c r="B417" s="274"/>
      <c r="C417" s="937"/>
      <c r="D417" s="274"/>
      <c r="E417" s="941"/>
      <c r="F417" s="28"/>
      <c r="G417" s="28"/>
      <c r="H417" s="28"/>
      <c r="I417" s="941"/>
      <c r="J417" s="941"/>
      <c r="K417" s="941"/>
      <c r="L417" s="941"/>
      <c r="M417" s="941"/>
    </row>
    <row r="418" ht="20.25" customHeight="1">
      <c r="A418" s="939"/>
      <c r="B418" s="274"/>
      <c r="C418" s="832"/>
      <c r="D418" s="274"/>
      <c r="E418" s="833"/>
      <c r="F418" s="30"/>
      <c r="G418" s="30"/>
      <c r="H418" s="30"/>
      <c r="I418" s="833"/>
      <c r="J418" s="833"/>
      <c r="K418" s="833"/>
      <c r="L418" s="833"/>
      <c r="M418" s="833"/>
    </row>
    <row r="419" ht="20.25" customHeight="1">
      <c r="A419" s="940"/>
      <c r="B419" s="274"/>
      <c r="C419" s="937"/>
      <c r="D419" s="274"/>
      <c r="E419" s="941"/>
      <c r="F419" s="28"/>
      <c r="G419" s="28"/>
      <c r="H419" s="28"/>
      <c r="I419" s="941"/>
      <c r="J419" s="941"/>
      <c r="K419" s="941"/>
      <c r="L419" s="941"/>
      <c r="M419" s="941"/>
    </row>
    <row r="420" ht="20.25" customHeight="1">
      <c r="A420" s="939"/>
      <c r="B420" s="274"/>
      <c r="C420" s="832"/>
      <c r="D420" s="274"/>
      <c r="E420" s="833"/>
      <c r="F420" s="30"/>
      <c r="G420" s="30"/>
      <c r="H420" s="30"/>
      <c r="I420" s="833"/>
      <c r="J420" s="833"/>
      <c r="K420" s="833"/>
      <c r="L420" s="833"/>
      <c r="M420" s="833"/>
    </row>
    <row r="421" ht="20.25" customHeight="1">
      <c r="A421" s="940"/>
      <c r="B421" s="274"/>
      <c r="C421" s="937"/>
      <c r="D421" s="274"/>
      <c r="E421" s="941"/>
      <c r="F421" s="28"/>
      <c r="G421" s="28"/>
      <c r="H421" s="28"/>
      <c r="I421" s="941"/>
      <c r="J421" s="941"/>
      <c r="K421" s="941"/>
      <c r="L421" s="941"/>
      <c r="M421" s="941"/>
    </row>
    <row r="422" ht="20.25" customHeight="1">
      <c r="A422" s="939"/>
      <c r="B422" s="274"/>
      <c r="C422" s="832"/>
      <c r="D422" s="274"/>
      <c r="E422" s="833"/>
      <c r="F422" s="30"/>
      <c r="G422" s="30"/>
      <c r="H422" s="30"/>
      <c r="I422" s="833"/>
      <c r="J422" s="833"/>
      <c r="K422" s="833"/>
      <c r="L422" s="833"/>
      <c r="M422" s="833"/>
    </row>
    <row r="423" ht="20.25" customHeight="1">
      <c r="A423" s="940"/>
      <c r="B423" s="274"/>
      <c r="C423" s="937"/>
      <c r="D423" s="274"/>
      <c r="E423" s="941"/>
      <c r="F423" s="28"/>
      <c r="G423" s="28"/>
      <c r="H423" s="28"/>
      <c r="I423" s="941"/>
      <c r="J423" s="941"/>
      <c r="K423" s="941"/>
      <c r="L423" s="941"/>
      <c r="M423" s="941"/>
    </row>
    <row r="424" ht="20.25" customHeight="1">
      <c r="A424" s="939"/>
      <c r="B424" s="274"/>
      <c r="C424" s="832"/>
      <c r="D424" s="274"/>
      <c r="E424" s="833"/>
      <c r="F424" s="30"/>
      <c r="G424" s="30"/>
      <c r="H424" s="30"/>
      <c r="I424" s="833"/>
      <c r="J424" s="833"/>
      <c r="K424" s="833"/>
      <c r="L424" s="833"/>
      <c r="M424" s="833"/>
    </row>
    <row r="425" ht="20.25" customHeight="1">
      <c r="A425" s="940"/>
      <c r="B425" s="274"/>
      <c r="C425" s="937"/>
      <c r="D425" s="274"/>
      <c r="E425" s="941"/>
      <c r="F425" s="28"/>
      <c r="G425" s="28"/>
      <c r="H425" s="28"/>
      <c r="I425" s="941"/>
      <c r="J425" s="941"/>
      <c r="K425" s="941"/>
      <c r="L425" s="941"/>
      <c r="M425" s="941"/>
    </row>
    <row r="426" ht="20.25" customHeight="1">
      <c r="A426" s="939"/>
      <c r="B426" s="274"/>
      <c r="C426" s="832"/>
      <c r="D426" s="274"/>
      <c r="E426" s="833"/>
      <c r="F426" s="30"/>
      <c r="G426" s="30"/>
      <c r="H426" s="30"/>
      <c r="I426" s="833"/>
      <c r="J426" s="833"/>
      <c r="K426" s="833"/>
      <c r="L426" s="833"/>
      <c r="M426" s="833"/>
    </row>
    <row r="427" ht="20.25" customHeight="1">
      <c r="A427" s="940"/>
      <c r="B427" s="274"/>
      <c r="C427" s="937"/>
      <c r="D427" s="274"/>
      <c r="E427" s="941"/>
      <c r="F427" s="28"/>
      <c r="G427" s="28"/>
      <c r="H427" s="28"/>
      <c r="I427" s="941"/>
      <c r="J427" s="941"/>
      <c r="K427" s="941"/>
      <c r="L427" s="941"/>
      <c r="M427" s="941"/>
    </row>
    <row r="428" ht="20.25" customHeight="1">
      <c r="A428" s="939"/>
      <c r="B428" s="274"/>
      <c r="C428" s="832"/>
      <c r="D428" s="274"/>
      <c r="E428" s="833"/>
      <c r="F428" s="30"/>
      <c r="G428" s="30"/>
      <c r="H428" s="30"/>
      <c r="I428" s="833"/>
      <c r="J428" s="833"/>
      <c r="K428" s="833"/>
      <c r="L428" s="833"/>
      <c r="M428" s="833"/>
    </row>
    <row r="429" ht="20.25" customHeight="1">
      <c r="A429" s="940"/>
      <c r="B429" s="274"/>
      <c r="C429" s="937"/>
      <c r="D429" s="274"/>
      <c r="E429" s="941"/>
      <c r="F429" s="28"/>
      <c r="G429" s="28"/>
      <c r="H429" s="28"/>
      <c r="I429" s="941"/>
      <c r="J429" s="941"/>
      <c r="K429" s="941"/>
      <c r="L429" s="941"/>
      <c r="M429" s="941"/>
    </row>
    <row r="430" ht="20.25" customHeight="1">
      <c r="A430" s="939"/>
      <c r="B430" s="274"/>
      <c r="C430" s="832"/>
      <c r="D430" s="274"/>
      <c r="E430" s="833"/>
      <c r="F430" s="30"/>
      <c r="G430" s="30"/>
      <c r="H430" s="30"/>
      <c r="I430" s="833"/>
      <c r="J430" s="833"/>
      <c r="K430" s="833"/>
      <c r="L430" s="833"/>
      <c r="M430" s="833"/>
    </row>
    <row r="431" ht="20.25" customHeight="1">
      <c r="A431" s="940"/>
      <c r="B431" s="274"/>
      <c r="C431" s="937"/>
      <c r="D431" s="274"/>
      <c r="E431" s="941"/>
      <c r="F431" s="28"/>
      <c r="G431" s="28"/>
      <c r="H431" s="28"/>
      <c r="I431" s="941"/>
      <c r="J431" s="941"/>
      <c r="K431" s="941"/>
      <c r="L431" s="941"/>
      <c r="M431" s="941"/>
    </row>
    <row r="432" ht="20.25" customHeight="1">
      <c r="A432" s="939"/>
      <c r="B432" s="274"/>
      <c r="C432" s="832"/>
      <c r="D432" s="274"/>
      <c r="E432" s="833"/>
      <c r="F432" s="30"/>
      <c r="G432" s="30"/>
      <c r="H432" s="30"/>
      <c r="I432" s="833"/>
      <c r="J432" s="833"/>
      <c r="K432" s="833"/>
      <c r="L432" s="833"/>
      <c r="M432" s="833"/>
    </row>
    <row r="433" ht="20.25" customHeight="1">
      <c r="A433" s="940"/>
      <c r="B433" s="274"/>
      <c r="C433" s="937"/>
      <c r="D433" s="274"/>
      <c r="E433" s="941"/>
      <c r="F433" s="28"/>
      <c r="G433" s="28"/>
      <c r="H433" s="28"/>
      <c r="I433" s="941"/>
      <c r="J433" s="941"/>
      <c r="K433" s="941"/>
      <c r="L433" s="941"/>
      <c r="M433" s="941"/>
    </row>
    <row r="434" ht="20.25" customHeight="1">
      <c r="A434" s="939"/>
      <c r="B434" s="274"/>
      <c r="C434" s="832"/>
      <c r="D434" s="274"/>
      <c r="E434" s="833"/>
      <c r="F434" s="30"/>
      <c r="G434" s="30"/>
      <c r="H434" s="30"/>
      <c r="I434" s="833"/>
      <c r="J434" s="833"/>
      <c r="K434" s="833"/>
      <c r="L434" s="833"/>
      <c r="M434" s="833"/>
    </row>
    <row r="435" ht="20.25" customHeight="1">
      <c r="A435" s="940"/>
      <c r="B435" s="274"/>
      <c r="C435" s="937"/>
      <c r="D435" s="274"/>
      <c r="E435" s="941"/>
      <c r="F435" s="28"/>
      <c r="G435" s="28"/>
      <c r="H435" s="28"/>
      <c r="I435" s="941"/>
      <c r="J435" s="941"/>
      <c r="K435" s="941"/>
      <c r="L435" s="941"/>
      <c r="M435" s="941"/>
    </row>
    <row r="436" ht="20.25" customHeight="1">
      <c r="A436" s="939"/>
      <c r="B436" s="274"/>
      <c r="C436" s="832"/>
      <c r="D436" s="274"/>
      <c r="E436" s="833"/>
      <c r="F436" s="30"/>
      <c r="G436" s="30"/>
      <c r="H436" s="30"/>
      <c r="I436" s="833"/>
      <c r="J436" s="833"/>
      <c r="K436" s="833"/>
      <c r="L436" s="833"/>
      <c r="M436" s="833"/>
    </row>
    <row r="437" ht="20.25" customHeight="1">
      <c r="A437" s="940"/>
      <c r="B437" s="274"/>
      <c r="C437" s="937"/>
      <c r="D437" s="274"/>
      <c r="E437" s="941"/>
      <c r="F437" s="28"/>
      <c r="G437" s="28"/>
      <c r="H437" s="28"/>
      <c r="I437" s="941"/>
      <c r="J437" s="941"/>
      <c r="K437" s="941"/>
      <c r="L437" s="941"/>
      <c r="M437" s="941"/>
    </row>
    <row r="438" ht="20.25" customHeight="1">
      <c r="A438" s="939"/>
      <c r="B438" s="274"/>
      <c r="C438" s="832"/>
      <c r="D438" s="274"/>
      <c r="E438" s="833"/>
      <c r="F438" s="30"/>
      <c r="G438" s="30"/>
      <c r="H438" s="30"/>
      <c r="I438" s="833"/>
      <c r="J438" s="833"/>
      <c r="K438" s="833"/>
      <c r="L438" s="833"/>
      <c r="M438" s="833"/>
    </row>
    <row r="439" ht="20.25" customHeight="1">
      <c r="A439" s="940"/>
      <c r="B439" s="274"/>
      <c r="C439" s="937"/>
      <c r="D439" s="274"/>
      <c r="E439" s="941"/>
      <c r="F439" s="28"/>
      <c r="G439" s="28"/>
      <c r="H439" s="28"/>
      <c r="I439" s="941"/>
      <c r="J439" s="941"/>
      <c r="K439" s="941"/>
      <c r="L439" s="941"/>
      <c r="M439" s="941"/>
    </row>
    <row r="440" ht="20.25" customHeight="1">
      <c r="A440" s="939"/>
      <c r="B440" s="274"/>
      <c r="C440" s="832"/>
      <c r="D440" s="274"/>
      <c r="E440" s="833"/>
      <c r="F440" s="30"/>
      <c r="G440" s="30"/>
      <c r="H440" s="30"/>
      <c r="I440" s="833"/>
      <c r="J440" s="833"/>
      <c r="K440" s="833"/>
      <c r="L440" s="833"/>
      <c r="M440" s="833"/>
    </row>
    <row r="441" ht="20.25" customHeight="1">
      <c r="A441" s="940"/>
      <c r="B441" s="274"/>
      <c r="C441" s="937"/>
      <c r="D441" s="274"/>
      <c r="E441" s="941"/>
      <c r="F441" s="28"/>
      <c r="G441" s="28"/>
      <c r="H441" s="28"/>
      <c r="I441" s="941"/>
      <c r="J441" s="941"/>
      <c r="K441" s="941"/>
      <c r="L441" s="941"/>
      <c r="M441" s="941"/>
    </row>
    <row r="442" ht="20.25" customHeight="1">
      <c r="A442" s="939"/>
      <c r="B442" s="274"/>
      <c r="C442" s="832"/>
      <c r="D442" s="274"/>
      <c r="E442" s="833"/>
      <c r="F442" s="30"/>
      <c r="G442" s="30"/>
      <c r="H442" s="30"/>
      <c r="I442" s="833"/>
      <c r="J442" s="833"/>
      <c r="K442" s="833"/>
      <c r="L442" s="833"/>
      <c r="M442" s="833"/>
    </row>
    <row r="443" ht="20.25" customHeight="1">
      <c r="A443" s="940"/>
      <c r="B443" s="274"/>
      <c r="C443" s="937"/>
      <c r="D443" s="274"/>
      <c r="E443" s="941"/>
      <c r="F443" s="28"/>
      <c r="G443" s="28"/>
      <c r="H443" s="28"/>
      <c r="I443" s="941"/>
      <c r="J443" s="941"/>
      <c r="K443" s="941"/>
      <c r="L443" s="941"/>
      <c r="M443" s="941"/>
    </row>
    <row r="444" ht="20.25" customHeight="1">
      <c r="A444" s="939"/>
      <c r="B444" s="274"/>
      <c r="C444" s="832"/>
      <c r="D444" s="274"/>
      <c r="E444" s="833"/>
      <c r="F444" s="30"/>
      <c r="G444" s="30"/>
      <c r="H444" s="30"/>
      <c r="I444" s="833"/>
      <c r="J444" s="833"/>
      <c r="K444" s="833"/>
      <c r="L444" s="833"/>
      <c r="M444" s="833"/>
    </row>
    <row r="445" ht="20.25" customHeight="1">
      <c r="A445" s="940"/>
      <c r="B445" s="274"/>
      <c r="C445" s="937"/>
      <c r="D445" s="274"/>
      <c r="E445" s="941"/>
      <c r="F445" s="28"/>
      <c r="G445" s="28"/>
      <c r="H445" s="28"/>
      <c r="I445" s="941"/>
      <c r="J445" s="941"/>
      <c r="K445" s="941"/>
      <c r="L445" s="941"/>
      <c r="M445" s="941"/>
    </row>
    <row r="446" ht="20.25" customHeight="1">
      <c r="A446" s="939"/>
      <c r="B446" s="274"/>
      <c r="C446" s="832"/>
      <c r="D446" s="274"/>
      <c r="E446" s="833"/>
      <c r="F446" s="30"/>
      <c r="G446" s="30"/>
      <c r="H446" s="30"/>
      <c r="I446" s="833"/>
      <c r="J446" s="833"/>
      <c r="K446" s="833"/>
      <c r="L446" s="833"/>
      <c r="M446" s="833"/>
    </row>
    <row r="447" ht="20.25" customHeight="1">
      <c r="A447" s="940"/>
      <c r="B447" s="274"/>
      <c r="C447" s="937"/>
      <c r="D447" s="274"/>
      <c r="E447" s="941"/>
      <c r="F447" s="28"/>
      <c r="G447" s="28"/>
      <c r="H447" s="28"/>
      <c r="I447" s="941"/>
      <c r="J447" s="941"/>
      <c r="K447" s="941"/>
      <c r="L447" s="941"/>
      <c r="M447" s="941"/>
    </row>
    <row r="448" ht="20.25" customHeight="1">
      <c r="A448" s="939"/>
      <c r="B448" s="274"/>
      <c r="C448" s="832"/>
      <c r="D448" s="274"/>
      <c r="E448" s="833"/>
      <c r="F448" s="30"/>
      <c r="G448" s="30"/>
      <c r="H448" s="30"/>
      <c r="I448" s="833"/>
      <c r="J448" s="833"/>
      <c r="K448" s="833"/>
      <c r="L448" s="833"/>
      <c r="M448" s="833"/>
    </row>
    <row r="449" ht="20.25" customHeight="1">
      <c r="A449" s="940"/>
      <c r="B449" s="274"/>
      <c r="C449" s="937"/>
      <c r="D449" s="274"/>
      <c r="E449" s="941"/>
      <c r="F449" s="28"/>
      <c r="G449" s="28"/>
      <c r="H449" s="28"/>
      <c r="I449" s="941"/>
      <c r="J449" s="941"/>
      <c r="K449" s="941"/>
      <c r="L449" s="941"/>
      <c r="M449" s="941"/>
    </row>
    <row r="450" ht="20.25" customHeight="1">
      <c r="A450" s="939"/>
      <c r="B450" s="274"/>
      <c r="C450" s="832"/>
      <c r="D450" s="274"/>
      <c r="E450" s="833"/>
      <c r="F450" s="30"/>
      <c r="G450" s="30"/>
      <c r="H450" s="30"/>
      <c r="I450" s="833"/>
      <c r="J450" s="833"/>
      <c r="K450" s="833"/>
      <c r="L450" s="833"/>
      <c r="M450" s="833"/>
    </row>
    <row r="451" ht="20.25" customHeight="1">
      <c r="A451" s="940"/>
      <c r="B451" s="274"/>
      <c r="C451" s="937"/>
      <c r="D451" s="274"/>
      <c r="E451" s="941"/>
      <c r="F451" s="28"/>
      <c r="G451" s="28"/>
      <c r="H451" s="28"/>
      <c r="I451" s="941"/>
      <c r="J451" s="941"/>
      <c r="K451" s="941"/>
      <c r="L451" s="941"/>
      <c r="M451" s="941"/>
    </row>
    <row r="452" ht="20.25" customHeight="1">
      <c r="A452" s="939"/>
      <c r="B452" s="274"/>
      <c r="C452" s="832"/>
      <c r="D452" s="274"/>
      <c r="E452" s="833"/>
      <c r="F452" s="30"/>
      <c r="G452" s="30"/>
      <c r="H452" s="30"/>
      <c r="I452" s="833"/>
      <c r="J452" s="833"/>
      <c r="K452" s="833"/>
      <c r="L452" s="833"/>
      <c r="M452" s="833"/>
    </row>
    <row r="453" ht="20.25" customHeight="1">
      <c r="A453" s="940"/>
      <c r="B453" s="274"/>
      <c r="C453" s="937"/>
      <c r="D453" s="274"/>
      <c r="E453" s="941"/>
      <c r="F453" s="28"/>
      <c r="G453" s="28"/>
      <c r="H453" s="28"/>
      <c r="I453" s="941"/>
      <c r="J453" s="941"/>
      <c r="K453" s="941"/>
      <c r="L453" s="941"/>
      <c r="M453" s="941"/>
    </row>
    <row r="454" ht="20.25" customHeight="1">
      <c r="A454" s="939"/>
      <c r="B454" s="274"/>
      <c r="C454" s="832"/>
      <c r="D454" s="274"/>
      <c r="E454" s="833"/>
      <c r="F454" s="30"/>
      <c r="G454" s="30"/>
      <c r="H454" s="30"/>
      <c r="I454" s="833"/>
      <c r="J454" s="833"/>
      <c r="K454" s="833"/>
      <c r="L454" s="833"/>
      <c r="M454" s="833"/>
    </row>
    <row r="455" ht="20.25" customHeight="1">
      <c r="A455" s="940"/>
      <c r="B455" s="274"/>
      <c r="C455" s="937"/>
      <c r="D455" s="274"/>
      <c r="E455" s="941"/>
      <c r="F455" s="28"/>
      <c r="G455" s="28"/>
      <c r="H455" s="28"/>
      <c r="I455" s="941"/>
      <c r="J455" s="941"/>
      <c r="K455" s="941"/>
      <c r="L455" s="941"/>
      <c r="M455" s="941"/>
    </row>
    <row r="456" ht="20.25" customHeight="1">
      <c r="A456" s="939"/>
      <c r="B456" s="274"/>
      <c r="C456" s="832"/>
      <c r="D456" s="274"/>
      <c r="E456" s="833"/>
      <c r="F456" s="30"/>
      <c r="G456" s="30"/>
      <c r="H456" s="30"/>
      <c r="I456" s="833"/>
      <c r="J456" s="833"/>
      <c r="K456" s="833"/>
      <c r="L456" s="833"/>
      <c r="M456" s="833"/>
    </row>
    <row r="457" ht="20.25" customHeight="1">
      <c r="A457" s="940"/>
      <c r="B457" s="274"/>
      <c r="C457" s="937"/>
      <c r="D457" s="274"/>
      <c r="E457" s="941"/>
      <c r="F457" s="28"/>
      <c r="G457" s="28"/>
      <c r="H457" s="28"/>
      <c r="I457" s="941"/>
      <c r="J457" s="941"/>
      <c r="K457" s="941"/>
      <c r="L457" s="941"/>
      <c r="M457" s="941"/>
    </row>
    <row r="458" ht="20.25" customHeight="1">
      <c r="A458" s="939"/>
      <c r="B458" s="274"/>
      <c r="C458" s="832"/>
      <c r="D458" s="274"/>
      <c r="E458" s="833"/>
      <c r="F458" s="30"/>
      <c r="G458" s="30"/>
      <c r="H458" s="30"/>
      <c r="I458" s="833"/>
      <c r="J458" s="833"/>
      <c r="K458" s="833"/>
      <c r="L458" s="833"/>
      <c r="M458" s="833"/>
    </row>
    <row r="459" ht="20.25" customHeight="1">
      <c r="A459" s="940"/>
      <c r="B459" s="274"/>
      <c r="C459" s="937"/>
      <c r="D459" s="274"/>
      <c r="E459" s="941"/>
      <c r="F459" s="28"/>
      <c r="G459" s="28"/>
      <c r="H459" s="28"/>
      <c r="I459" s="941"/>
      <c r="J459" s="941"/>
      <c r="K459" s="941"/>
      <c r="L459" s="941"/>
      <c r="M459" s="941"/>
    </row>
    <row r="460" ht="20.25" customHeight="1">
      <c r="A460" s="939"/>
      <c r="B460" s="274"/>
      <c r="C460" s="832"/>
      <c r="D460" s="274"/>
      <c r="E460" s="833"/>
      <c r="F460" s="30"/>
      <c r="G460" s="30"/>
      <c r="H460" s="30"/>
      <c r="I460" s="833"/>
      <c r="J460" s="833"/>
      <c r="K460" s="833"/>
      <c r="L460" s="833"/>
      <c r="M460" s="833"/>
    </row>
    <row r="461" ht="20.25" customHeight="1">
      <c r="A461" s="940"/>
      <c r="B461" s="274"/>
      <c r="C461" s="937"/>
      <c r="D461" s="274"/>
      <c r="E461" s="941"/>
      <c r="F461" s="28"/>
      <c r="G461" s="28"/>
      <c r="H461" s="28"/>
      <c r="I461" s="941"/>
      <c r="J461" s="941"/>
      <c r="K461" s="941"/>
      <c r="L461" s="941"/>
      <c r="M461" s="941"/>
    </row>
    <row r="462" ht="20.25" customHeight="1">
      <c r="A462" s="939"/>
      <c r="B462" s="274"/>
      <c r="C462" s="832"/>
      <c r="D462" s="274"/>
      <c r="E462" s="833"/>
      <c r="F462" s="30"/>
      <c r="G462" s="30"/>
      <c r="H462" s="30"/>
      <c r="I462" s="833"/>
      <c r="J462" s="833"/>
      <c r="K462" s="833"/>
      <c r="L462" s="833"/>
      <c r="M462" s="833"/>
    </row>
    <row r="463" ht="20.25" customHeight="1">
      <c r="A463" s="940"/>
      <c r="B463" s="274"/>
      <c r="C463" s="937"/>
      <c r="D463" s="274"/>
      <c r="E463" s="941"/>
      <c r="F463" s="28"/>
      <c r="G463" s="28"/>
      <c r="H463" s="28"/>
      <c r="I463" s="941"/>
      <c r="J463" s="941"/>
      <c r="K463" s="941"/>
      <c r="L463" s="941"/>
      <c r="M463" s="941"/>
    </row>
    <row r="464" ht="20.25" customHeight="1">
      <c r="A464" s="939"/>
      <c r="B464" s="274"/>
      <c r="C464" s="832"/>
      <c r="D464" s="274"/>
      <c r="E464" s="833"/>
      <c r="F464" s="30"/>
      <c r="G464" s="30"/>
      <c r="H464" s="30"/>
      <c r="I464" s="833"/>
      <c r="J464" s="833"/>
      <c r="K464" s="833"/>
      <c r="L464" s="833"/>
      <c r="M464" s="833"/>
    </row>
    <row r="465" ht="20.25" customHeight="1">
      <c r="A465" s="940"/>
      <c r="B465" s="274"/>
      <c r="C465" s="937"/>
      <c r="D465" s="274"/>
      <c r="E465" s="941"/>
      <c r="F465" s="28"/>
      <c r="G465" s="28"/>
      <c r="H465" s="28"/>
      <c r="I465" s="941"/>
      <c r="J465" s="941"/>
      <c r="K465" s="941"/>
      <c r="L465" s="941"/>
      <c r="M465" s="941"/>
    </row>
    <row r="466" ht="20.25" customHeight="1">
      <c r="A466" s="939"/>
      <c r="B466" s="274"/>
      <c r="C466" s="832"/>
      <c r="D466" s="274"/>
      <c r="E466" s="833"/>
      <c r="F466" s="30"/>
      <c r="G466" s="30"/>
      <c r="H466" s="30"/>
      <c r="I466" s="833"/>
      <c r="J466" s="833"/>
      <c r="K466" s="833"/>
      <c r="L466" s="833"/>
      <c r="M466" s="833"/>
    </row>
    <row r="467" ht="20.25" customHeight="1">
      <c r="A467" s="940"/>
      <c r="B467" s="274"/>
      <c r="C467" s="937"/>
      <c r="D467" s="274"/>
      <c r="E467" s="941"/>
      <c r="F467" s="28"/>
      <c r="G467" s="28"/>
      <c r="H467" s="28"/>
      <c r="I467" s="941"/>
      <c r="J467" s="941"/>
      <c r="K467" s="941"/>
      <c r="L467" s="941"/>
      <c r="M467" s="941"/>
    </row>
    <row r="468" ht="20.25" customHeight="1">
      <c r="A468" s="939"/>
      <c r="B468" s="274"/>
      <c r="C468" s="832"/>
      <c r="D468" s="274"/>
      <c r="E468" s="833"/>
      <c r="F468" s="30"/>
      <c r="G468" s="30"/>
      <c r="H468" s="30"/>
      <c r="I468" s="833"/>
      <c r="J468" s="833"/>
      <c r="K468" s="833"/>
      <c r="L468" s="833"/>
      <c r="M468" s="833"/>
    </row>
    <row r="469" ht="20.25" customHeight="1">
      <c r="A469" s="940"/>
      <c r="B469" s="274"/>
      <c r="C469" s="937"/>
      <c r="D469" s="274"/>
      <c r="E469" s="941"/>
      <c r="F469" s="28"/>
      <c r="G469" s="28"/>
      <c r="H469" s="28"/>
      <c r="I469" s="941"/>
      <c r="J469" s="941"/>
      <c r="K469" s="941"/>
      <c r="L469" s="941"/>
      <c r="M469" s="941"/>
    </row>
    <row r="470" ht="20.25" customHeight="1">
      <c r="A470" s="939"/>
      <c r="B470" s="274"/>
      <c r="C470" s="832"/>
      <c r="D470" s="274"/>
      <c r="E470" s="833"/>
      <c r="F470" s="30"/>
      <c r="G470" s="30"/>
      <c r="H470" s="30"/>
      <c r="I470" s="833"/>
      <c r="J470" s="833"/>
      <c r="K470" s="833"/>
      <c r="L470" s="833"/>
      <c r="M470" s="833"/>
    </row>
    <row r="471" ht="20.25" customHeight="1">
      <c r="A471" s="940"/>
      <c r="B471" s="274"/>
      <c r="C471" s="937"/>
      <c r="D471" s="274"/>
      <c r="E471" s="941"/>
      <c r="F471" s="28"/>
      <c r="G471" s="28"/>
      <c r="H471" s="28"/>
      <c r="I471" s="941"/>
      <c r="J471" s="941"/>
      <c r="K471" s="941"/>
      <c r="L471" s="941"/>
      <c r="M471" s="941"/>
    </row>
    <row r="472" ht="20.25" customHeight="1">
      <c r="A472" s="939"/>
      <c r="B472" s="274"/>
      <c r="C472" s="832"/>
      <c r="D472" s="274"/>
      <c r="E472" s="833"/>
      <c r="F472" s="30"/>
      <c r="G472" s="30"/>
      <c r="H472" s="30"/>
      <c r="I472" s="833"/>
      <c r="J472" s="833"/>
      <c r="K472" s="833"/>
      <c r="L472" s="833"/>
      <c r="M472" s="833"/>
    </row>
    <row r="473" ht="20.25" customHeight="1">
      <c r="A473" s="940"/>
      <c r="B473" s="274"/>
      <c r="C473" s="937"/>
      <c r="D473" s="274"/>
      <c r="E473" s="941"/>
      <c r="F473" s="28"/>
      <c r="G473" s="28"/>
      <c r="H473" s="28"/>
      <c r="I473" s="941"/>
      <c r="J473" s="941"/>
      <c r="K473" s="941"/>
      <c r="L473" s="941"/>
      <c r="M473" s="941"/>
    </row>
    <row r="474" ht="20.25" customHeight="1">
      <c r="A474" s="939"/>
      <c r="B474" s="274"/>
      <c r="C474" s="832"/>
      <c r="D474" s="274"/>
      <c r="E474" s="833"/>
      <c r="F474" s="30"/>
      <c r="G474" s="30"/>
      <c r="H474" s="30"/>
      <c r="I474" s="833"/>
      <c r="J474" s="833"/>
      <c r="K474" s="833"/>
      <c r="L474" s="833"/>
      <c r="M474" s="833"/>
    </row>
    <row r="475" ht="20.25" customHeight="1">
      <c r="A475" s="940"/>
      <c r="B475" s="274"/>
      <c r="C475" s="937"/>
      <c r="D475" s="274"/>
      <c r="E475" s="941"/>
      <c r="F475" s="28"/>
      <c r="G475" s="28"/>
      <c r="H475" s="28"/>
      <c r="I475" s="941"/>
      <c r="J475" s="941"/>
      <c r="K475" s="941"/>
      <c r="L475" s="941"/>
      <c r="M475" s="941"/>
    </row>
    <row r="476" ht="20.25" customHeight="1">
      <c r="A476" s="939"/>
      <c r="B476" s="274"/>
      <c r="C476" s="832"/>
      <c r="D476" s="274"/>
      <c r="E476" s="833"/>
      <c r="F476" s="30"/>
      <c r="G476" s="30"/>
      <c r="H476" s="30"/>
      <c r="I476" s="833"/>
      <c r="J476" s="833"/>
      <c r="K476" s="833"/>
      <c r="L476" s="833"/>
      <c r="M476" s="833"/>
    </row>
    <row r="477" ht="20.25" customHeight="1">
      <c r="A477" s="940"/>
      <c r="B477" s="274"/>
      <c r="C477" s="937"/>
      <c r="D477" s="274"/>
      <c r="E477" s="941"/>
      <c r="F477" s="28"/>
      <c r="G477" s="28"/>
      <c r="H477" s="28"/>
      <c r="I477" s="941"/>
      <c r="J477" s="941"/>
      <c r="K477" s="941"/>
      <c r="L477" s="941"/>
      <c r="M477" s="941"/>
    </row>
    <row r="478" ht="20.25" customHeight="1">
      <c r="A478" s="939"/>
      <c r="B478" s="274"/>
      <c r="C478" s="832"/>
      <c r="D478" s="274"/>
      <c r="E478" s="833"/>
      <c r="F478" s="30"/>
      <c r="G478" s="30"/>
      <c r="H478" s="30"/>
      <c r="I478" s="833"/>
      <c r="J478" s="833"/>
      <c r="K478" s="833"/>
      <c r="L478" s="833"/>
      <c r="M478" s="833"/>
    </row>
    <row r="479" ht="20.25" customHeight="1">
      <c r="A479" s="940"/>
      <c r="B479" s="274"/>
      <c r="C479" s="937"/>
      <c r="D479" s="274"/>
      <c r="E479" s="941"/>
      <c r="F479" s="28"/>
      <c r="G479" s="28"/>
      <c r="H479" s="28"/>
      <c r="I479" s="941"/>
      <c r="J479" s="941"/>
      <c r="K479" s="941"/>
      <c r="L479" s="941"/>
      <c r="M479" s="941"/>
    </row>
    <row r="480" ht="20.25" customHeight="1">
      <c r="A480" s="939"/>
      <c r="B480" s="274"/>
      <c r="C480" s="832"/>
      <c r="D480" s="274"/>
      <c r="E480" s="833"/>
      <c r="F480" s="30"/>
      <c r="G480" s="30"/>
      <c r="H480" s="30"/>
      <c r="I480" s="833"/>
      <c r="J480" s="833"/>
      <c r="K480" s="833"/>
      <c r="L480" s="833"/>
      <c r="M480" s="833"/>
    </row>
    <row r="481" ht="20.25" customHeight="1">
      <c r="A481" s="940"/>
      <c r="B481" s="274"/>
      <c r="C481" s="937"/>
      <c r="D481" s="274"/>
      <c r="E481" s="941"/>
      <c r="F481" s="28"/>
      <c r="G481" s="28"/>
      <c r="H481" s="28"/>
      <c r="I481" s="941"/>
      <c r="J481" s="941"/>
      <c r="K481" s="941"/>
      <c r="L481" s="941"/>
      <c r="M481" s="941"/>
    </row>
    <row r="482" ht="20.25" customHeight="1">
      <c r="A482" s="939"/>
      <c r="B482" s="274"/>
      <c r="C482" s="832"/>
      <c r="D482" s="274"/>
      <c r="E482" s="833"/>
      <c r="F482" s="30"/>
      <c r="G482" s="30"/>
      <c r="H482" s="30"/>
      <c r="I482" s="833"/>
      <c r="J482" s="833"/>
      <c r="K482" s="833"/>
      <c r="L482" s="833"/>
      <c r="M482" s="833"/>
    </row>
    <row r="483" ht="20.25" customHeight="1">
      <c r="A483" s="940"/>
      <c r="B483" s="274"/>
      <c r="C483" s="937"/>
      <c r="D483" s="274"/>
      <c r="E483" s="941"/>
      <c r="F483" s="28"/>
      <c r="G483" s="28"/>
      <c r="H483" s="28"/>
      <c r="I483" s="941"/>
      <c r="J483" s="941"/>
      <c r="K483" s="941"/>
      <c r="L483" s="941"/>
      <c r="M483" s="941"/>
    </row>
    <row r="484" ht="20.25" customHeight="1">
      <c r="A484" s="939"/>
      <c r="B484" s="274"/>
      <c r="C484" s="832"/>
      <c r="D484" s="274"/>
      <c r="E484" s="833"/>
      <c r="F484" s="30"/>
      <c r="G484" s="30"/>
      <c r="H484" s="30"/>
      <c r="I484" s="833"/>
      <c r="J484" s="833"/>
      <c r="K484" s="833"/>
      <c r="L484" s="833"/>
      <c r="M484" s="833"/>
    </row>
    <row r="485" ht="20.25" customHeight="1">
      <c r="A485" s="940"/>
      <c r="B485" s="274"/>
      <c r="C485" s="937"/>
      <c r="D485" s="274"/>
      <c r="E485" s="941"/>
      <c r="F485" s="28"/>
      <c r="G485" s="28"/>
      <c r="H485" s="28"/>
      <c r="I485" s="941"/>
      <c r="J485" s="941"/>
      <c r="K485" s="941"/>
      <c r="L485" s="941"/>
      <c r="M485" s="941"/>
    </row>
    <row r="486" ht="20.25" customHeight="1">
      <c r="A486" s="939"/>
      <c r="B486" s="274"/>
      <c r="C486" s="832"/>
      <c r="D486" s="274"/>
      <c r="E486" s="833"/>
      <c r="F486" s="30"/>
      <c r="G486" s="30"/>
      <c r="H486" s="30"/>
      <c r="I486" s="833"/>
      <c r="J486" s="833"/>
      <c r="K486" s="833"/>
      <c r="L486" s="833"/>
      <c r="M486" s="833"/>
    </row>
    <row r="487" ht="20.25" customHeight="1">
      <c r="A487" s="940"/>
      <c r="B487" s="274"/>
      <c r="C487" s="937"/>
      <c r="D487" s="274"/>
      <c r="E487" s="941"/>
      <c r="F487" s="28"/>
      <c r="G487" s="28"/>
      <c r="H487" s="28"/>
      <c r="I487" s="941"/>
      <c r="J487" s="941"/>
      <c r="K487" s="941"/>
      <c r="L487" s="941"/>
      <c r="M487" s="941"/>
    </row>
    <row r="488" ht="20.25" customHeight="1">
      <c r="A488" s="939"/>
      <c r="B488" s="274"/>
      <c r="C488" s="832"/>
      <c r="D488" s="274"/>
      <c r="E488" s="833"/>
      <c r="F488" s="30"/>
      <c r="G488" s="30"/>
      <c r="H488" s="30"/>
      <c r="I488" s="833"/>
      <c r="J488" s="833"/>
      <c r="K488" s="833"/>
      <c r="L488" s="833"/>
      <c r="M488" s="833"/>
    </row>
    <row r="489" ht="20.25" customHeight="1">
      <c r="A489" s="940"/>
      <c r="B489" s="274"/>
      <c r="C489" s="937"/>
      <c r="D489" s="274"/>
      <c r="E489" s="941"/>
      <c r="F489" s="28"/>
      <c r="G489" s="28"/>
      <c r="H489" s="28"/>
      <c r="I489" s="941"/>
      <c r="J489" s="941"/>
      <c r="K489" s="941"/>
      <c r="L489" s="941"/>
      <c r="M489" s="941"/>
    </row>
    <row r="490" ht="20.25" customHeight="1">
      <c r="A490" s="939"/>
      <c r="B490" s="274"/>
      <c r="C490" s="832"/>
      <c r="D490" s="274"/>
      <c r="E490" s="833"/>
      <c r="F490" s="30"/>
      <c r="G490" s="30"/>
      <c r="H490" s="30"/>
      <c r="I490" s="833"/>
      <c r="J490" s="833"/>
      <c r="K490" s="833"/>
      <c r="L490" s="833"/>
      <c r="M490" s="833"/>
    </row>
    <row r="491" ht="20.25" customHeight="1">
      <c r="A491" s="940"/>
      <c r="B491" s="274"/>
      <c r="C491" s="937"/>
      <c r="D491" s="274"/>
      <c r="E491" s="941"/>
      <c r="F491" s="28"/>
      <c r="G491" s="28"/>
      <c r="H491" s="28"/>
      <c r="I491" s="941"/>
      <c r="J491" s="941"/>
      <c r="K491" s="941"/>
      <c r="L491" s="941"/>
      <c r="M491" s="941"/>
    </row>
    <row r="492" ht="20.25" customHeight="1">
      <c r="A492" s="939"/>
      <c r="B492" s="274"/>
      <c r="C492" s="832"/>
      <c r="D492" s="274"/>
      <c r="E492" s="833"/>
      <c r="F492" s="30"/>
      <c r="G492" s="30"/>
      <c r="H492" s="30"/>
      <c r="I492" s="833"/>
      <c r="J492" s="833"/>
      <c r="K492" s="833"/>
      <c r="L492" s="833"/>
      <c r="M492" s="833"/>
    </row>
    <row r="493" ht="20.25" customHeight="1">
      <c r="A493" s="940"/>
      <c r="B493" s="274"/>
      <c r="C493" s="937"/>
      <c r="D493" s="274"/>
      <c r="E493" s="941"/>
      <c r="F493" s="28"/>
      <c r="G493" s="28"/>
      <c r="H493" s="28"/>
      <c r="I493" s="941"/>
      <c r="J493" s="941"/>
      <c r="K493" s="941"/>
      <c r="L493" s="941"/>
      <c r="M493" s="941"/>
    </row>
    <row r="494" ht="20.25" customHeight="1">
      <c r="A494" s="939"/>
      <c r="B494" s="274"/>
      <c r="C494" s="832"/>
      <c r="D494" s="274"/>
      <c r="E494" s="833"/>
      <c r="F494" s="30"/>
      <c r="G494" s="30"/>
      <c r="H494" s="30"/>
      <c r="I494" s="833"/>
      <c r="J494" s="833"/>
      <c r="K494" s="833"/>
      <c r="L494" s="833"/>
      <c r="M494" s="833"/>
    </row>
    <row r="495" ht="20.25" customHeight="1">
      <c r="A495" s="940"/>
      <c r="B495" s="274"/>
      <c r="C495" s="937"/>
      <c r="D495" s="274"/>
      <c r="E495" s="941"/>
      <c r="F495" s="28"/>
      <c r="G495" s="28"/>
      <c r="H495" s="28"/>
      <c r="I495" s="941"/>
      <c r="J495" s="941"/>
      <c r="K495" s="941"/>
      <c r="L495" s="941"/>
      <c r="M495" s="941"/>
    </row>
    <row r="496" ht="20.25" customHeight="1">
      <c r="A496" s="939"/>
      <c r="B496" s="274"/>
      <c r="C496" s="832"/>
      <c r="D496" s="274"/>
      <c r="E496" s="833"/>
      <c r="F496" s="30"/>
      <c r="G496" s="30"/>
      <c r="H496" s="30"/>
      <c r="I496" s="833"/>
      <c r="J496" s="833"/>
      <c r="K496" s="833"/>
      <c r="L496" s="833"/>
      <c r="M496" s="833"/>
    </row>
    <row r="497" ht="20.25" customHeight="1">
      <c r="A497" s="940"/>
      <c r="B497" s="274"/>
      <c r="C497" s="937"/>
      <c r="D497" s="274"/>
      <c r="E497" s="941"/>
      <c r="F497" s="28"/>
      <c r="G497" s="28"/>
      <c r="H497" s="28"/>
      <c r="I497" s="941"/>
      <c r="J497" s="941"/>
      <c r="K497" s="941"/>
      <c r="L497" s="941"/>
      <c r="M497" s="941"/>
    </row>
    <row r="498" ht="20.25" customHeight="1">
      <c r="A498" s="939"/>
      <c r="B498" s="274"/>
      <c r="C498" s="832"/>
      <c r="D498" s="274"/>
      <c r="E498" s="833"/>
      <c r="F498" s="30"/>
      <c r="G498" s="30"/>
      <c r="H498" s="30"/>
      <c r="I498" s="833"/>
      <c r="J498" s="833"/>
      <c r="K498" s="833"/>
      <c r="L498" s="833"/>
      <c r="M498" s="833"/>
    </row>
    <row r="499" ht="20.25" customHeight="1">
      <c r="A499" s="940"/>
      <c r="B499" s="274"/>
      <c r="C499" s="937"/>
      <c r="D499" s="274"/>
      <c r="E499" s="941"/>
      <c r="F499" s="28"/>
      <c r="G499" s="28"/>
      <c r="H499" s="28"/>
      <c r="I499" s="941"/>
      <c r="J499" s="941"/>
      <c r="K499" s="941"/>
      <c r="L499" s="941"/>
      <c r="M499" s="941"/>
    </row>
    <row r="500" ht="20.25" customHeight="1">
      <c r="A500" s="939"/>
      <c r="B500" s="274"/>
      <c r="C500" s="832"/>
      <c r="D500" s="274"/>
      <c r="E500" s="833"/>
      <c r="F500" s="30"/>
      <c r="G500" s="30"/>
      <c r="H500" s="30"/>
      <c r="I500" s="833"/>
      <c r="J500" s="833"/>
      <c r="K500" s="833"/>
      <c r="L500" s="833"/>
      <c r="M500" s="833"/>
    </row>
    <row r="501" ht="20.25" customHeight="1">
      <c r="A501" s="940"/>
      <c r="B501" s="274"/>
      <c r="C501" s="937"/>
      <c r="D501" s="274"/>
      <c r="E501" s="941"/>
      <c r="F501" s="28"/>
      <c r="G501" s="28"/>
      <c r="H501" s="28"/>
      <c r="I501" s="941"/>
      <c r="J501" s="941"/>
      <c r="K501" s="941"/>
      <c r="L501" s="941"/>
      <c r="M501" s="941"/>
    </row>
    <row r="502" ht="20.25" customHeight="1">
      <c r="A502" s="939"/>
      <c r="B502" s="274"/>
      <c r="C502" s="832"/>
      <c r="D502" s="274"/>
      <c r="E502" s="833"/>
      <c r="F502" s="30"/>
      <c r="G502" s="30"/>
      <c r="H502" s="30"/>
      <c r="I502" s="833"/>
      <c r="J502" s="833"/>
      <c r="K502" s="833"/>
      <c r="L502" s="833"/>
      <c r="M502" s="833"/>
    </row>
    <row r="503" ht="20.25" customHeight="1">
      <c r="A503" s="940"/>
      <c r="B503" s="274"/>
      <c r="C503" s="937"/>
      <c r="D503" s="274"/>
      <c r="E503" s="941"/>
      <c r="F503" s="28"/>
      <c r="G503" s="28"/>
      <c r="H503" s="28"/>
      <c r="I503" s="941"/>
      <c r="J503" s="941"/>
      <c r="K503" s="941"/>
      <c r="L503" s="941"/>
      <c r="M503" s="941"/>
    </row>
    <row r="504" ht="20.25" customHeight="1">
      <c r="A504" s="939"/>
      <c r="B504" s="274"/>
      <c r="C504" s="832"/>
      <c r="D504" s="274"/>
      <c r="E504" s="833"/>
      <c r="F504" s="30"/>
      <c r="G504" s="30"/>
      <c r="H504" s="30"/>
      <c r="I504" s="833"/>
      <c r="J504" s="833"/>
      <c r="K504" s="833"/>
      <c r="L504" s="833"/>
      <c r="M504" s="833"/>
    </row>
    <row r="505" ht="20.25" customHeight="1">
      <c r="A505" s="940"/>
      <c r="B505" s="274"/>
      <c r="C505" s="937"/>
      <c r="D505" s="274"/>
      <c r="E505" s="941"/>
      <c r="F505" s="28"/>
      <c r="G505" s="28"/>
      <c r="H505" s="28"/>
      <c r="I505" s="941"/>
      <c r="J505" s="941"/>
      <c r="K505" s="941"/>
      <c r="L505" s="941"/>
      <c r="M505" s="941"/>
    </row>
    <row r="506" ht="20.25" customHeight="1">
      <c r="A506" s="939"/>
      <c r="B506" s="274"/>
      <c r="C506" s="832"/>
      <c r="D506" s="274"/>
      <c r="E506" s="833"/>
      <c r="F506" s="30"/>
      <c r="G506" s="30"/>
      <c r="H506" s="30"/>
      <c r="I506" s="833"/>
      <c r="J506" s="833"/>
      <c r="K506" s="833"/>
      <c r="L506" s="833"/>
      <c r="M506" s="833"/>
    </row>
    <row r="507" ht="20.25" customHeight="1">
      <c r="A507" s="940"/>
      <c r="B507" s="274"/>
      <c r="C507" s="937"/>
      <c r="D507" s="274"/>
      <c r="E507" s="941"/>
      <c r="F507" s="28"/>
      <c r="G507" s="28"/>
      <c r="H507" s="28"/>
      <c r="I507" s="941"/>
      <c r="J507" s="941"/>
      <c r="K507" s="941"/>
      <c r="L507" s="941"/>
      <c r="M507" s="941"/>
    </row>
    <row r="508" ht="20.25" customHeight="1">
      <c r="A508" s="939"/>
      <c r="B508" s="274"/>
      <c r="C508" s="832"/>
      <c r="D508" s="274"/>
      <c r="E508" s="833"/>
      <c r="F508" s="30"/>
      <c r="G508" s="30"/>
      <c r="H508" s="30"/>
      <c r="I508" s="833"/>
      <c r="J508" s="833"/>
      <c r="K508" s="833"/>
      <c r="L508" s="833"/>
      <c r="M508" s="833"/>
    </row>
    <row r="509" ht="20.25" customHeight="1">
      <c r="A509" s="940"/>
      <c r="B509" s="274"/>
      <c r="C509" s="937"/>
      <c r="D509" s="274"/>
      <c r="E509" s="941"/>
      <c r="F509" s="28"/>
      <c r="G509" s="28"/>
      <c r="H509" s="28"/>
      <c r="I509" s="941"/>
      <c r="J509" s="941"/>
      <c r="K509" s="941"/>
      <c r="L509" s="941"/>
      <c r="M509" s="941"/>
    </row>
    <row r="510" ht="20.25" customHeight="1">
      <c r="A510" s="939"/>
      <c r="B510" s="274"/>
      <c r="C510" s="832"/>
      <c r="D510" s="274"/>
      <c r="E510" s="833"/>
      <c r="F510" s="30"/>
      <c r="G510" s="30"/>
      <c r="H510" s="30"/>
      <c r="I510" s="833"/>
      <c r="J510" s="833"/>
      <c r="K510" s="833"/>
      <c r="L510" s="833"/>
      <c r="M510" s="833"/>
    </row>
    <row r="511" ht="20.25" customHeight="1">
      <c r="A511" s="940"/>
      <c r="B511" s="274"/>
      <c r="C511" s="937"/>
      <c r="D511" s="274"/>
      <c r="E511" s="941"/>
      <c r="F511" s="28"/>
      <c r="G511" s="28"/>
      <c r="H511" s="28"/>
      <c r="I511" s="941"/>
      <c r="J511" s="941"/>
      <c r="K511" s="941"/>
      <c r="L511" s="941"/>
      <c r="M511" s="941"/>
    </row>
    <row r="512" ht="20.25" customHeight="1">
      <c r="A512" s="939"/>
      <c r="B512" s="274"/>
      <c r="C512" s="832"/>
      <c r="D512" s="274"/>
      <c r="E512" s="833"/>
      <c r="F512" s="30"/>
      <c r="G512" s="30"/>
      <c r="H512" s="30"/>
      <c r="I512" s="833"/>
      <c r="J512" s="833"/>
      <c r="K512" s="833"/>
      <c r="L512" s="833"/>
      <c r="M512" s="833"/>
    </row>
    <row r="513" ht="20.25" customHeight="1">
      <c r="A513" s="940"/>
      <c r="B513" s="274"/>
      <c r="C513" s="937"/>
      <c r="D513" s="274"/>
      <c r="E513" s="941"/>
      <c r="F513" s="28"/>
      <c r="G513" s="28"/>
      <c r="H513" s="28"/>
      <c r="I513" s="941"/>
      <c r="J513" s="941"/>
      <c r="K513" s="941"/>
      <c r="L513" s="941"/>
      <c r="M513" s="941"/>
    </row>
    <row r="514" ht="20.25" customHeight="1">
      <c r="A514" s="939"/>
      <c r="B514" s="274"/>
      <c r="C514" s="832"/>
      <c r="D514" s="274"/>
      <c r="E514" s="833"/>
      <c r="F514" s="30"/>
      <c r="G514" s="30"/>
      <c r="H514" s="30"/>
      <c r="I514" s="833"/>
      <c r="J514" s="833"/>
      <c r="K514" s="833"/>
      <c r="L514" s="833"/>
      <c r="M514" s="833"/>
    </row>
    <row r="515" ht="20.25" customHeight="1">
      <c r="A515" s="940"/>
      <c r="B515" s="274"/>
      <c r="C515" s="937"/>
      <c r="D515" s="274"/>
      <c r="E515" s="941"/>
      <c r="F515" s="28"/>
      <c r="G515" s="28"/>
      <c r="H515" s="28"/>
      <c r="I515" s="941"/>
      <c r="J515" s="941"/>
      <c r="K515" s="941"/>
      <c r="L515" s="941"/>
      <c r="M515" s="941"/>
    </row>
    <row r="516" ht="20.25" customHeight="1">
      <c r="A516" s="939"/>
      <c r="B516" s="274"/>
      <c r="C516" s="832"/>
      <c r="D516" s="274"/>
      <c r="E516" s="833"/>
      <c r="F516" s="30"/>
      <c r="G516" s="30"/>
      <c r="H516" s="30"/>
      <c r="I516" s="833"/>
      <c r="J516" s="833"/>
      <c r="K516" s="833"/>
      <c r="L516" s="833"/>
      <c r="M516" s="833"/>
    </row>
    <row r="517" ht="20.25" customHeight="1">
      <c r="A517" s="940"/>
      <c r="B517" s="274"/>
      <c r="C517" s="937"/>
      <c r="D517" s="274"/>
      <c r="E517" s="941"/>
      <c r="F517" s="28"/>
      <c r="G517" s="28"/>
      <c r="H517" s="28"/>
      <c r="I517" s="941"/>
      <c r="J517" s="941"/>
      <c r="K517" s="941"/>
      <c r="L517" s="941"/>
      <c r="M517" s="941"/>
    </row>
    <row r="518" ht="20.25" customHeight="1">
      <c r="A518" s="939"/>
      <c r="B518" s="274"/>
      <c r="C518" s="832"/>
      <c r="D518" s="274"/>
      <c r="E518" s="833"/>
      <c r="F518" s="30"/>
      <c r="G518" s="30"/>
      <c r="H518" s="30"/>
      <c r="I518" s="833"/>
      <c r="J518" s="833"/>
      <c r="K518" s="833"/>
      <c r="L518" s="833"/>
      <c r="M518" s="833"/>
    </row>
    <row r="519" ht="20.25" customHeight="1">
      <c r="A519" s="940"/>
      <c r="B519" s="274"/>
      <c r="C519" s="937"/>
      <c r="D519" s="274"/>
      <c r="E519" s="941"/>
      <c r="F519" s="28"/>
      <c r="G519" s="28"/>
      <c r="H519" s="28"/>
      <c r="I519" s="941"/>
      <c r="J519" s="941"/>
      <c r="K519" s="941"/>
      <c r="L519" s="941"/>
      <c r="M519" s="941"/>
    </row>
    <row r="520" ht="20.25" customHeight="1">
      <c r="A520" s="939"/>
      <c r="B520" s="274"/>
      <c r="C520" s="832"/>
      <c r="D520" s="274"/>
      <c r="E520" s="833"/>
      <c r="F520" s="30"/>
      <c r="G520" s="30"/>
      <c r="H520" s="30"/>
      <c r="I520" s="833"/>
      <c r="J520" s="833"/>
      <c r="K520" s="833"/>
      <c r="L520" s="833"/>
      <c r="M520" s="833"/>
    </row>
    <row r="521" ht="20.25" customHeight="1">
      <c r="A521" s="940"/>
      <c r="B521" s="274"/>
      <c r="C521" s="937"/>
      <c r="D521" s="274"/>
      <c r="E521" s="941"/>
      <c r="F521" s="28"/>
      <c r="G521" s="28"/>
      <c r="H521" s="28"/>
      <c r="I521" s="941"/>
      <c r="J521" s="941"/>
      <c r="K521" s="941"/>
      <c r="L521" s="941"/>
      <c r="M521" s="941"/>
    </row>
    <row r="522" ht="20.25" customHeight="1">
      <c r="A522" s="939"/>
      <c r="B522" s="274"/>
      <c r="C522" s="832"/>
      <c r="D522" s="274"/>
      <c r="E522" s="833"/>
      <c r="F522" s="30"/>
      <c r="G522" s="30"/>
      <c r="H522" s="30"/>
      <c r="I522" s="833"/>
      <c r="J522" s="833"/>
      <c r="K522" s="833"/>
      <c r="L522" s="833"/>
      <c r="M522" s="833"/>
    </row>
    <row r="523" ht="20.25" customHeight="1">
      <c r="A523" s="940"/>
      <c r="B523" s="274"/>
      <c r="C523" s="937"/>
      <c r="D523" s="274"/>
      <c r="E523" s="941"/>
      <c r="F523" s="28"/>
      <c r="G523" s="28"/>
      <c r="H523" s="28"/>
      <c r="I523" s="941"/>
      <c r="J523" s="941"/>
      <c r="K523" s="941"/>
      <c r="L523" s="941"/>
      <c r="M523" s="941"/>
    </row>
    <row r="524" ht="20.25" customHeight="1">
      <c r="A524" s="939"/>
      <c r="B524" s="274"/>
      <c r="C524" s="832"/>
      <c r="D524" s="274"/>
      <c r="E524" s="833"/>
      <c r="F524" s="30"/>
      <c r="G524" s="30"/>
      <c r="H524" s="30"/>
      <c r="I524" s="833"/>
      <c r="J524" s="833"/>
      <c r="K524" s="833"/>
      <c r="L524" s="833"/>
      <c r="M524" s="833"/>
    </row>
    <row r="525" ht="20.25" customHeight="1">
      <c r="A525" s="940"/>
      <c r="B525" s="274"/>
      <c r="C525" s="937"/>
      <c r="D525" s="274"/>
      <c r="E525" s="941"/>
      <c r="F525" s="28"/>
      <c r="G525" s="28"/>
      <c r="H525" s="28"/>
      <c r="I525" s="941"/>
      <c r="J525" s="941"/>
      <c r="K525" s="941"/>
      <c r="L525" s="941"/>
      <c r="M525" s="941"/>
    </row>
    <row r="526" ht="20.25" customHeight="1">
      <c r="A526" s="939"/>
      <c r="B526" s="274"/>
      <c r="C526" s="832"/>
      <c r="D526" s="274"/>
      <c r="E526" s="833"/>
      <c r="F526" s="30"/>
      <c r="G526" s="30"/>
      <c r="H526" s="30"/>
      <c r="I526" s="833"/>
      <c r="J526" s="833"/>
      <c r="K526" s="833"/>
      <c r="L526" s="833"/>
      <c r="M526" s="833"/>
    </row>
    <row r="527" ht="20.25" customHeight="1">
      <c r="A527" s="940"/>
      <c r="B527" s="274"/>
      <c r="C527" s="937"/>
      <c r="D527" s="274"/>
      <c r="E527" s="941"/>
      <c r="F527" s="28"/>
      <c r="G527" s="28"/>
      <c r="H527" s="28"/>
      <c r="I527" s="941"/>
      <c r="J527" s="941"/>
      <c r="K527" s="941"/>
      <c r="L527" s="941"/>
      <c r="M527" s="941"/>
    </row>
    <row r="528" ht="20.25" customHeight="1">
      <c r="A528" s="939"/>
      <c r="B528" s="274"/>
      <c r="C528" s="832"/>
      <c r="D528" s="274"/>
      <c r="E528" s="833"/>
      <c r="F528" s="30"/>
      <c r="G528" s="30"/>
      <c r="H528" s="30"/>
      <c r="I528" s="833"/>
      <c r="J528" s="833"/>
      <c r="K528" s="833"/>
      <c r="L528" s="833"/>
      <c r="M528" s="833"/>
    </row>
    <row r="529" ht="20.25" customHeight="1">
      <c r="A529" s="940"/>
      <c r="B529" s="274"/>
      <c r="C529" s="937"/>
      <c r="D529" s="274"/>
      <c r="E529" s="941"/>
      <c r="F529" s="28"/>
      <c r="G529" s="28"/>
      <c r="H529" s="28"/>
      <c r="I529" s="941"/>
      <c r="J529" s="941"/>
      <c r="K529" s="941"/>
      <c r="L529" s="941"/>
      <c r="M529" s="941"/>
    </row>
    <row r="530" ht="20.25" customHeight="1">
      <c r="A530" s="939"/>
      <c r="B530" s="274"/>
      <c r="C530" s="832"/>
      <c r="D530" s="274"/>
      <c r="E530" s="833"/>
      <c r="F530" s="30"/>
      <c r="G530" s="30"/>
      <c r="H530" s="30"/>
      <c r="I530" s="833"/>
      <c r="J530" s="833"/>
      <c r="K530" s="833"/>
      <c r="L530" s="833"/>
      <c r="M530" s="833"/>
    </row>
    <row r="531" ht="20.25" customHeight="1">
      <c r="A531" s="940"/>
      <c r="B531" s="274"/>
      <c r="C531" s="937"/>
      <c r="D531" s="274"/>
      <c r="E531" s="941"/>
      <c r="F531" s="28"/>
      <c r="G531" s="28"/>
      <c r="H531" s="28"/>
      <c r="I531" s="941"/>
      <c r="J531" s="941"/>
      <c r="K531" s="941"/>
      <c r="L531" s="941"/>
      <c r="M531" s="941"/>
    </row>
    <row r="532" ht="20.25" customHeight="1">
      <c r="A532" s="939"/>
      <c r="B532" s="274"/>
      <c r="C532" s="832"/>
      <c r="D532" s="274"/>
      <c r="E532" s="833"/>
      <c r="F532" s="30"/>
      <c r="G532" s="30"/>
      <c r="H532" s="30"/>
      <c r="I532" s="833"/>
      <c r="J532" s="833"/>
      <c r="K532" s="833"/>
      <c r="L532" s="833"/>
      <c r="M532" s="833"/>
    </row>
    <row r="533" ht="20.25" customHeight="1">
      <c r="A533" s="940"/>
      <c r="B533" s="274"/>
      <c r="C533" s="937"/>
      <c r="D533" s="274"/>
      <c r="E533" s="941"/>
      <c r="F533" s="28"/>
      <c r="G533" s="28"/>
      <c r="H533" s="28"/>
      <c r="I533" s="941"/>
      <c r="J533" s="941"/>
      <c r="K533" s="941"/>
      <c r="L533" s="941"/>
      <c r="M533" s="941"/>
    </row>
    <row r="534" ht="20.25" customHeight="1">
      <c r="A534" s="939"/>
      <c r="B534" s="274"/>
      <c r="C534" s="832"/>
      <c r="D534" s="274"/>
      <c r="E534" s="833"/>
      <c r="F534" s="30"/>
      <c r="G534" s="30"/>
      <c r="H534" s="30"/>
      <c r="I534" s="833"/>
      <c r="J534" s="833"/>
      <c r="K534" s="833"/>
      <c r="L534" s="833"/>
      <c r="M534" s="833"/>
    </row>
    <row r="535" ht="20.25" customHeight="1">
      <c r="A535" s="940"/>
      <c r="B535" s="274"/>
      <c r="C535" s="937"/>
      <c r="D535" s="274"/>
      <c r="E535" s="941"/>
      <c r="F535" s="28"/>
      <c r="G535" s="28"/>
      <c r="H535" s="28"/>
      <c r="I535" s="941"/>
      <c r="J535" s="941"/>
      <c r="K535" s="941"/>
      <c r="L535" s="941"/>
      <c r="M535" s="941"/>
    </row>
    <row r="536" ht="20.25" customHeight="1">
      <c r="A536" s="939"/>
      <c r="B536" s="274"/>
      <c r="C536" s="832"/>
      <c r="D536" s="274"/>
      <c r="E536" s="833"/>
      <c r="F536" s="30"/>
      <c r="G536" s="30"/>
      <c r="H536" s="30"/>
      <c r="I536" s="833"/>
      <c r="J536" s="833"/>
      <c r="K536" s="833"/>
      <c r="L536" s="833"/>
      <c r="M536" s="833"/>
    </row>
    <row r="537" ht="20.25" customHeight="1">
      <c r="A537" s="940"/>
      <c r="B537" s="274"/>
      <c r="C537" s="937"/>
      <c r="D537" s="274"/>
      <c r="E537" s="941"/>
      <c r="F537" s="28"/>
      <c r="G537" s="28"/>
      <c r="H537" s="28"/>
      <c r="I537" s="941"/>
      <c r="J537" s="941"/>
      <c r="K537" s="941"/>
      <c r="L537" s="941"/>
      <c r="M537" s="941"/>
    </row>
    <row r="538" ht="20.25" customHeight="1">
      <c r="A538" s="939"/>
      <c r="B538" s="274"/>
      <c r="C538" s="832"/>
      <c r="D538" s="274"/>
      <c r="E538" s="833"/>
      <c r="F538" s="30"/>
      <c r="G538" s="30"/>
      <c r="H538" s="30"/>
      <c r="I538" s="833"/>
      <c r="J538" s="833"/>
      <c r="K538" s="833"/>
      <c r="L538" s="833"/>
      <c r="M538" s="833"/>
    </row>
    <row r="539" ht="20.25" customHeight="1">
      <c r="A539" s="940"/>
      <c r="B539" s="274"/>
      <c r="C539" s="937"/>
      <c r="D539" s="274"/>
      <c r="E539" s="941"/>
      <c r="F539" s="28"/>
      <c r="G539" s="28"/>
      <c r="H539" s="28"/>
      <c r="I539" s="941"/>
      <c r="J539" s="941"/>
      <c r="K539" s="941"/>
      <c r="L539" s="941"/>
      <c r="M539" s="941"/>
    </row>
    <row r="540" ht="20.25" customHeight="1">
      <c r="A540" s="939"/>
      <c r="B540" s="274"/>
      <c r="C540" s="832"/>
      <c r="D540" s="274"/>
      <c r="E540" s="833"/>
      <c r="F540" s="30"/>
      <c r="G540" s="30"/>
      <c r="H540" s="30"/>
      <c r="I540" s="833"/>
      <c r="J540" s="833"/>
      <c r="K540" s="833"/>
      <c r="L540" s="833"/>
      <c r="M540" s="833"/>
    </row>
    <row r="541" ht="20.25" customHeight="1">
      <c r="A541" s="940"/>
      <c r="B541" s="274"/>
      <c r="C541" s="937"/>
      <c r="D541" s="274"/>
      <c r="E541" s="941"/>
      <c r="F541" s="28"/>
      <c r="G541" s="28"/>
      <c r="H541" s="28"/>
      <c r="I541" s="941"/>
      <c r="J541" s="941"/>
      <c r="K541" s="941"/>
      <c r="L541" s="941"/>
      <c r="M541" s="941"/>
    </row>
    <row r="542" ht="20.25" customHeight="1">
      <c r="A542" s="939"/>
      <c r="B542" s="274"/>
      <c r="C542" s="832"/>
      <c r="D542" s="274"/>
      <c r="E542" s="833"/>
      <c r="F542" s="30"/>
      <c r="G542" s="30"/>
      <c r="H542" s="30"/>
      <c r="I542" s="833"/>
      <c r="J542" s="833"/>
      <c r="K542" s="833"/>
      <c r="L542" s="833"/>
      <c r="M542" s="833"/>
    </row>
    <row r="543" ht="20.25" customHeight="1">
      <c r="A543" s="940"/>
      <c r="B543" s="274"/>
      <c r="C543" s="937"/>
      <c r="D543" s="274"/>
      <c r="E543" s="941"/>
      <c r="F543" s="28"/>
      <c r="G543" s="28"/>
      <c r="H543" s="28"/>
      <c r="I543" s="941"/>
      <c r="J543" s="941"/>
      <c r="K543" s="941"/>
      <c r="L543" s="941"/>
      <c r="M543" s="941"/>
    </row>
    <row r="544" ht="20.25" customHeight="1">
      <c r="A544" s="939"/>
      <c r="B544" s="274"/>
      <c r="C544" s="832"/>
      <c r="D544" s="274"/>
      <c r="E544" s="833"/>
      <c r="F544" s="30"/>
      <c r="G544" s="30"/>
      <c r="H544" s="30"/>
      <c r="I544" s="833"/>
      <c r="J544" s="833"/>
      <c r="K544" s="833"/>
      <c r="L544" s="833"/>
      <c r="M544" s="833"/>
    </row>
    <row r="545" ht="20.25" customHeight="1">
      <c r="A545" s="940"/>
      <c r="B545" s="274"/>
      <c r="C545" s="937"/>
      <c r="D545" s="274"/>
      <c r="E545" s="941"/>
      <c r="F545" s="28"/>
      <c r="G545" s="28"/>
      <c r="H545" s="28"/>
      <c r="I545" s="941"/>
      <c r="J545" s="941"/>
      <c r="K545" s="941"/>
      <c r="L545" s="941"/>
      <c r="M545" s="941"/>
    </row>
    <row r="546" ht="20.25" customHeight="1">
      <c r="A546" s="939"/>
      <c r="B546" s="274"/>
      <c r="C546" s="832"/>
      <c r="D546" s="274"/>
      <c r="E546" s="833"/>
      <c r="F546" s="30"/>
      <c r="G546" s="30"/>
      <c r="H546" s="30"/>
      <c r="I546" s="833"/>
      <c r="J546" s="833"/>
      <c r="K546" s="833"/>
      <c r="L546" s="833"/>
      <c r="M546" s="833"/>
    </row>
    <row r="547" ht="20.25" customHeight="1">
      <c r="A547" s="940"/>
      <c r="B547" s="274"/>
      <c r="C547" s="937"/>
      <c r="D547" s="274"/>
      <c r="E547" s="941"/>
      <c r="F547" s="28"/>
      <c r="G547" s="28"/>
      <c r="H547" s="28"/>
      <c r="I547" s="941"/>
      <c r="J547" s="941"/>
      <c r="K547" s="941"/>
      <c r="L547" s="941"/>
      <c r="M547" s="941"/>
    </row>
    <row r="548" ht="20.25" customHeight="1">
      <c r="A548" s="939"/>
      <c r="B548" s="274"/>
      <c r="C548" s="832"/>
      <c r="D548" s="274"/>
      <c r="E548" s="833"/>
      <c r="F548" s="30"/>
      <c r="G548" s="30"/>
      <c r="H548" s="30"/>
      <c r="I548" s="833"/>
      <c r="J548" s="833"/>
      <c r="K548" s="833"/>
      <c r="L548" s="833"/>
      <c r="M548" s="833"/>
    </row>
    <row r="549" ht="20.25" customHeight="1">
      <c r="A549" s="940"/>
      <c r="B549" s="274"/>
      <c r="C549" s="937"/>
      <c r="D549" s="274"/>
      <c r="E549" s="941"/>
      <c r="F549" s="28"/>
      <c r="G549" s="28"/>
      <c r="H549" s="28"/>
      <c r="I549" s="941"/>
      <c r="J549" s="941"/>
      <c r="K549" s="941"/>
      <c r="L549" s="941"/>
      <c r="M549" s="941"/>
    </row>
    <row r="550" ht="20.25" customHeight="1">
      <c r="A550" s="939"/>
      <c r="B550" s="274"/>
      <c r="C550" s="832"/>
      <c r="D550" s="274"/>
      <c r="E550" s="833"/>
      <c r="F550" s="30"/>
      <c r="G550" s="30"/>
      <c r="H550" s="30"/>
      <c r="I550" s="833"/>
      <c r="J550" s="833"/>
      <c r="K550" s="833"/>
      <c r="L550" s="833"/>
      <c r="M550" s="833"/>
    </row>
    <row r="551" ht="20.25" customHeight="1">
      <c r="A551" s="940"/>
      <c r="B551" s="274"/>
      <c r="C551" s="937"/>
      <c r="D551" s="274"/>
      <c r="E551" s="941"/>
      <c r="F551" s="28"/>
      <c r="G551" s="28"/>
      <c r="H551" s="28"/>
      <c r="I551" s="941"/>
      <c r="J551" s="941"/>
      <c r="K551" s="941"/>
      <c r="L551" s="941"/>
      <c r="M551" s="941"/>
    </row>
    <row r="552" ht="20.25" customHeight="1">
      <c r="A552" s="939"/>
      <c r="B552" s="274"/>
      <c r="C552" s="832"/>
      <c r="D552" s="274"/>
      <c r="E552" s="833"/>
      <c r="F552" s="30"/>
      <c r="G552" s="30"/>
      <c r="H552" s="30"/>
      <c r="I552" s="833"/>
      <c r="J552" s="833"/>
      <c r="K552" s="833"/>
      <c r="L552" s="833"/>
      <c r="M552" s="833"/>
    </row>
    <row r="553" ht="20.25" customHeight="1">
      <c r="A553" s="940"/>
      <c r="B553" s="274"/>
      <c r="C553" s="937"/>
      <c r="D553" s="274"/>
      <c r="E553" s="941"/>
      <c r="F553" s="28"/>
      <c r="G553" s="28"/>
      <c r="H553" s="28"/>
      <c r="I553" s="941"/>
      <c r="J553" s="941"/>
      <c r="K553" s="941"/>
      <c r="L553" s="941"/>
      <c r="M553" s="941"/>
    </row>
    <row r="554" ht="20.25" customHeight="1">
      <c r="A554" s="939"/>
      <c r="B554" s="274"/>
      <c r="C554" s="832"/>
      <c r="D554" s="274"/>
      <c r="E554" s="833"/>
      <c r="F554" s="30"/>
      <c r="G554" s="30"/>
      <c r="H554" s="30"/>
      <c r="I554" s="833"/>
      <c r="J554" s="833"/>
      <c r="K554" s="833"/>
      <c r="L554" s="833"/>
      <c r="M554" s="833"/>
    </row>
    <row r="555" ht="20.25" customHeight="1">
      <c r="A555" s="940"/>
      <c r="B555" s="274"/>
      <c r="C555" s="937"/>
      <c r="D555" s="274"/>
      <c r="E555" s="941"/>
      <c r="F555" s="28"/>
      <c r="G555" s="28"/>
      <c r="H555" s="28"/>
      <c r="I555" s="941"/>
      <c r="J555" s="941"/>
      <c r="K555" s="941"/>
      <c r="L555" s="941"/>
      <c r="M555" s="941"/>
    </row>
    <row r="556" ht="20.25" customHeight="1">
      <c r="A556" s="939"/>
      <c r="B556" s="274"/>
      <c r="C556" s="832"/>
      <c r="D556" s="274"/>
      <c r="E556" s="833"/>
      <c r="F556" s="30"/>
      <c r="G556" s="30"/>
      <c r="H556" s="30"/>
      <c r="I556" s="833"/>
      <c r="J556" s="833"/>
      <c r="K556" s="833"/>
      <c r="L556" s="833"/>
      <c r="M556" s="833"/>
    </row>
    <row r="557" ht="20.25" customHeight="1">
      <c r="A557" s="940"/>
      <c r="B557" s="274"/>
      <c r="C557" s="937"/>
      <c r="D557" s="274"/>
      <c r="E557" s="941"/>
      <c r="F557" s="28"/>
      <c r="G557" s="28"/>
      <c r="H557" s="28"/>
      <c r="I557" s="941"/>
      <c r="J557" s="941"/>
      <c r="K557" s="941"/>
      <c r="L557" s="941"/>
      <c r="M557" s="941"/>
    </row>
    <row r="558" ht="20.25" customHeight="1">
      <c r="A558" s="939"/>
      <c r="B558" s="274"/>
      <c r="C558" s="832"/>
      <c r="D558" s="274"/>
      <c r="E558" s="833"/>
      <c r="F558" s="30"/>
      <c r="G558" s="30"/>
      <c r="H558" s="30"/>
      <c r="I558" s="833"/>
      <c r="J558" s="833"/>
      <c r="K558" s="833"/>
      <c r="L558" s="833"/>
      <c r="M558" s="833"/>
    </row>
    <row r="559" ht="20.25" customHeight="1">
      <c r="A559" s="940"/>
      <c r="B559" s="274"/>
      <c r="C559" s="937"/>
      <c r="D559" s="274"/>
      <c r="E559" s="941"/>
      <c r="F559" s="28"/>
      <c r="G559" s="28"/>
      <c r="H559" s="28"/>
      <c r="I559" s="941"/>
      <c r="J559" s="941"/>
      <c r="K559" s="941"/>
      <c r="L559" s="941"/>
      <c r="M559" s="941"/>
    </row>
    <row r="560" ht="20.25" customHeight="1">
      <c r="A560" s="939"/>
      <c r="B560" s="274"/>
      <c r="C560" s="832"/>
      <c r="D560" s="274"/>
      <c r="E560" s="833"/>
      <c r="F560" s="30"/>
      <c r="G560" s="30"/>
      <c r="H560" s="30"/>
      <c r="I560" s="833"/>
      <c r="J560" s="833"/>
      <c r="K560" s="833"/>
      <c r="L560" s="833"/>
      <c r="M560" s="833"/>
    </row>
    <row r="561" ht="20.25" customHeight="1">
      <c r="A561" s="940"/>
      <c r="B561" s="274"/>
      <c r="C561" s="937"/>
      <c r="D561" s="274"/>
      <c r="E561" s="941"/>
      <c r="F561" s="28"/>
      <c r="G561" s="28"/>
      <c r="H561" s="28"/>
      <c r="I561" s="941"/>
      <c r="J561" s="941"/>
      <c r="K561" s="941"/>
      <c r="L561" s="941"/>
      <c r="M561" s="941"/>
    </row>
    <row r="562" ht="20.25" customHeight="1">
      <c r="A562" s="939"/>
      <c r="B562" s="274"/>
      <c r="C562" s="832"/>
      <c r="D562" s="274"/>
      <c r="E562" s="833"/>
      <c r="F562" s="30"/>
      <c r="G562" s="30"/>
      <c r="H562" s="30"/>
      <c r="I562" s="833"/>
      <c r="J562" s="833"/>
      <c r="K562" s="833"/>
      <c r="L562" s="833"/>
      <c r="M562" s="833"/>
    </row>
    <row r="563" ht="20.25" customHeight="1">
      <c r="A563" s="940"/>
      <c r="B563" s="274"/>
      <c r="C563" s="937"/>
      <c r="D563" s="274"/>
      <c r="E563" s="941"/>
      <c r="F563" s="28"/>
      <c r="G563" s="28"/>
      <c r="H563" s="28"/>
      <c r="I563" s="941"/>
      <c r="J563" s="941"/>
      <c r="K563" s="941"/>
      <c r="L563" s="941"/>
      <c r="M563" s="941"/>
    </row>
    <row r="564" ht="20.25" customHeight="1">
      <c r="A564" s="939"/>
      <c r="B564" s="274"/>
      <c r="C564" s="832"/>
      <c r="D564" s="274"/>
      <c r="E564" s="833"/>
      <c r="F564" s="30"/>
      <c r="G564" s="30"/>
      <c r="H564" s="30"/>
      <c r="I564" s="833"/>
      <c r="J564" s="833"/>
      <c r="K564" s="833"/>
      <c r="L564" s="833"/>
      <c r="M564" s="833"/>
    </row>
    <row r="565" ht="20.25" customHeight="1">
      <c r="A565" s="940"/>
      <c r="B565" s="274"/>
      <c r="C565" s="937"/>
      <c r="D565" s="274"/>
      <c r="E565" s="941"/>
      <c r="F565" s="28"/>
      <c r="G565" s="28"/>
      <c r="H565" s="28"/>
      <c r="I565" s="941"/>
      <c r="J565" s="941"/>
      <c r="K565" s="941"/>
      <c r="L565" s="941"/>
      <c r="M565" s="941"/>
    </row>
    <row r="566" ht="20.25" customHeight="1">
      <c r="A566" s="939"/>
      <c r="B566" s="274"/>
      <c r="C566" s="832"/>
      <c r="D566" s="274"/>
      <c r="E566" s="833"/>
      <c r="F566" s="30"/>
      <c r="G566" s="30"/>
      <c r="H566" s="30"/>
      <c r="I566" s="833"/>
      <c r="J566" s="833"/>
      <c r="K566" s="833"/>
      <c r="L566" s="833"/>
      <c r="M566" s="833"/>
    </row>
    <row r="567" ht="20.25" customHeight="1">
      <c r="A567" s="940"/>
      <c r="B567" s="274"/>
      <c r="C567" s="937"/>
      <c r="D567" s="274"/>
      <c r="E567" s="941"/>
      <c r="F567" s="28"/>
      <c r="G567" s="28"/>
      <c r="H567" s="28"/>
      <c r="I567" s="941"/>
      <c r="J567" s="941"/>
      <c r="K567" s="941"/>
      <c r="L567" s="941"/>
      <c r="M567" s="941"/>
    </row>
    <row r="568" ht="20.25" customHeight="1">
      <c r="A568" s="939"/>
      <c r="B568" s="274"/>
      <c r="C568" s="832"/>
      <c r="D568" s="274"/>
      <c r="E568" s="833"/>
      <c r="F568" s="30"/>
      <c r="G568" s="30"/>
      <c r="H568" s="30"/>
      <c r="I568" s="833"/>
      <c r="J568" s="833"/>
      <c r="K568" s="833"/>
      <c r="L568" s="833"/>
      <c r="M568" s="833"/>
    </row>
    <row r="569" ht="20.25" customHeight="1">
      <c r="A569" s="940"/>
      <c r="B569" s="274"/>
      <c r="C569" s="937"/>
      <c r="D569" s="274"/>
      <c r="E569" s="941"/>
      <c r="F569" s="28"/>
      <c r="G569" s="28"/>
      <c r="H569" s="28"/>
      <c r="I569" s="941"/>
      <c r="J569" s="941"/>
      <c r="K569" s="941"/>
      <c r="L569" s="941"/>
      <c r="M569" s="941"/>
    </row>
    <row r="570" ht="20.25" customHeight="1">
      <c r="A570" s="939"/>
      <c r="B570" s="274"/>
      <c r="C570" s="832"/>
      <c r="D570" s="274"/>
      <c r="E570" s="833"/>
      <c r="F570" s="30"/>
      <c r="G570" s="30"/>
      <c r="H570" s="30"/>
      <c r="I570" s="833"/>
      <c r="J570" s="833"/>
      <c r="K570" s="833"/>
      <c r="L570" s="833"/>
      <c r="M570" s="833"/>
    </row>
    <row r="571" ht="20.25" customHeight="1">
      <c r="A571" s="940"/>
      <c r="B571" s="274"/>
      <c r="C571" s="937"/>
      <c r="D571" s="274"/>
      <c r="E571" s="941"/>
      <c r="F571" s="28"/>
      <c r="G571" s="28"/>
      <c r="H571" s="28"/>
      <c r="I571" s="941"/>
      <c r="J571" s="941"/>
      <c r="K571" s="941"/>
      <c r="L571" s="941"/>
      <c r="M571" s="941"/>
    </row>
    <row r="572" ht="20.25" customHeight="1">
      <c r="A572" s="939"/>
      <c r="B572" s="274"/>
      <c r="C572" s="832"/>
      <c r="D572" s="274"/>
      <c r="E572" s="833"/>
      <c r="F572" s="30"/>
      <c r="G572" s="30"/>
      <c r="H572" s="30"/>
      <c r="I572" s="833"/>
      <c r="J572" s="833"/>
      <c r="K572" s="833"/>
      <c r="L572" s="833"/>
      <c r="M572" s="833"/>
    </row>
    <row r="573" ht="20.25" customHeight="1">
      <c r="A573" s="940"/>
      <c r="B573" s="274"/>
      <c r="C573" s="937"/>
      <c r="D573" s="274"/>
      <c r="E573" s="941"/>
      <c r="F573" s="28"/>
      <c r="G573" s="28"/>
      <c r="H573" s="28"/>
      <c r="I573" s="941"/>
      <c r="J573" s="941"/>
      <c r="K573" s="941"/>
      <c r="L573" s="941"/>
      <c r="M573" s="941"/>
    </row>
    <row r="574" ht="20.25" customHeight="1">
      <c r="A574" s="939"/>
      <c r="B574" s="274"/>
      <c r="C574" s="832"/>
      <c r="D574" s="274"/>
      <c r="E574" s="833"/>
      <c r="F574" s="30"/>
      <c r="G574" s="30"/>
      <c r="H574" s="30"/>
      <c r="I574" s="833"/>
      <c r="J574" s="833"/>
      <c r="K574" s="833"/>
      <c r="L574" s="833"/>
      <c r="M574" s="833"/>
    </row>
    <row r="575" ht="20.25" customHeight="1">
      <c r="A575" s="940"/>
      <c r="B575" s="274"/>
      <c r="C575" s="937"/>
      <c r="D575" s="274"/>
      <c r="E575" s="941"/>
      <c r="F575" s="28"/>
      <c r="G575" s="28"/>
      <c r="H575" s="28"/>
      <c r="I575" s="941"/>
      <c r="J575" s="941"/>
      <c r="K575" s="941"/>
      <c r="L575" s="941"/>
      <c r="M575" s="941"/>
    </row>
    <row r="576" ht="20.25" customHeight="1">
      <c r="A576" s="939"/>
      <c r="B576" s="274"/>
      <c r="C576" s="832"/>
      <c r="D576" s="274"/>
      <c r="E576" s="833"/>
      <c r="F576" s="30"/>
      <c r="G576" s="30"/>
      <c r="H576" s="30"/>
      <c r="I576" s="833"/>
      <c r="J576" s="833"/>
      <c r="K576" s="833"/>
      <c r="L576" s="833"/>
      <c r="M576" s="833"/>
    </row>
    <row r="577" ht="20.25" customHeight="1">
      <c r="A577" s="940"/>
      <c r="B577" s="274"/>
      <c r="C577" s="937"/>
      <c r="D577" s="274"/>
      <c r="E577" s="941"/>
      <c r="F577" s="28"/>
      <c r="G577" s="28"/>
      <c r="H577" s="28"/>
      <c r="I577" s="941"/>
      <c r="J577" s="941"/>
      <c r="K577" s="941"/>
      <c r="L577" s="941"/>
      <c r="M577" s="941"/>
    </row>
    <row r="578" ht="20.25" customHeight="1">
      <c r="A578" s="939"/>
      <c r="B578" s="274"/>
      <c r="C578" s="832"/>
      <c r="D578" s="274"/>
      <c r="E578" s="833"/>
      <c r="F578" s="30"/>
      <c r="G578" s="30"/>
      <c r="H578" s="30"/>
      <c r="I578" s="833"/>
      <c r="J578" s="833"/>
      <c r="K578" s="833"/>
      <c r="L578" s="833"/>
      <c r="M578" s="833"/>
    </row>
    <row r="579" ht="20.25" customHeight="1">
      <c r="A579" s="940"/>
      <c r="B579" s="274"/>
      <c r="C579" s="937"/>
      <c r="D579" s="274"/>
      <c r="E579" s="941"/>
      <c r="F579" s="28"/>
      <c r="G579" s="28"/>
      <c r="H579" s="28"/>
      <c r="I579" s="941"/>
      <c r="J579" s="941"/>
      <c r="K579" s="941"/>
      <c r="L579" s="941"/>
      <c r="M579" s="941"/>
    </row>
    <row r="580" ht="20.25" customHeight="1">
      <c r="A580" s="939"/>
      <c r="B580" s="274"/>
      <c r="C580" s="832"/>
      <c r="D580" s="274"/>
      <c r="E580" s="833"/>
      <c r="F580" s="30"/>
      <c r="G580" s="30"/>
      <c r="H580" s="30"/>
      <c r="I580" s="833"/>
      <c r="J580" s="833"/>
      <c r="K580" s="833"/>
      <c r="L580" s="833"/>
      <c r="M580" s="833"/>
    </row>
    <row r="581" ht="20.25" customHeight="1">
      <c r="A581" s="940"/>
      <c r="B581" s="274"/>
      <c r="C581" s="937"/>
      <c r="D581" s="274"/>
      <c r="E581" s="941"/>
      <c r="F581" s="28"/>
      <c r="G581" s="28"/>
      <c r="H581" s="28"/>
      <c r="I581" s="941"/>
      <c r="J581" s="941"/>
      <c r="K581" s="941"/>
      <c r="L581" s="941"/>
      <c r="M581" s="941"/>
    </row>
    <row r="582" ht="20.25" customHeight="1">
      <c r="A582" s="939"/>
      <c r="B582" s="274"/>
      <c r="C582" s="832"/>
      <c r="D582" s="274"/>
      <c r="E582" s="833"/>
      <c r="F582" s="30"/>
      <c r="G582" s="30"/>
      <c r="H582" s="30"/>
      <c r="I582" s="833"/>
      <c r="J582" s="833"/>
      <c r="K582" s="833"/>
      <c r="L582" s="833"/>
      <c r="M582" s="833"/>
    </row>
    <row r="583" ht="20.25" customHeight="1">
      <c r="A583" s="940"/>
      <c r="B583" s="274"/>
      <c r="C583" s="937"/>
      <c r="D583" s="274"/>
      <c r="E583" s="941"/>
      <c r="F583" s="28"/>
      <c r="G583" s="28"/>
      <c r="H583" s="28"/>
      <c r="I583" s="941"/>
      <c r="J583" s="941"/>
      <c r="K583" s="941"/>
      <c r="L583" s="941"/>
      <c r="M583" s="941"/>
    </row>
    <row r="584" ht="20.25" customHeight="1">
      <c r="A584" s="939"/>
      <c r="B584" s="274"/>
      <c r="C584" s="832"/>
      <c r="D584" s="274"/>
      <c r="E584" s="833"/>
      <c r="F584" s="30"/>
      <c r="G584" s="30"/>
      <c r="H584" s="30"/>
      <c r="I584" s="833"/>
      <c r="J584" s="833"/>
      <c r="K584" s="833"/>
      <c r="L584" s="833"/>
      <c r="M584" s="833"/>
    </row>
    <row r="585" ht="20.25" customHeight="1">
      <c r="A585" s="940"/>
      <c r="B585" s="274"/>
      <c r="C585" s="937"/>
      <c r="D585" s="274"/>
      <c r="E585" s="941"/>
      <c r="F585" s="28"/>
      <c r="G585" s="28"/>
      <c r="H585" s="28"/>
      <c r="I585" s="941"/>
      <c r="J585" s="941"/>
      <c r="K585" s="941"/>
      <c r="L585" s="941"/>
      <c r="M585" s="941"/>
    </row>
    <row r="586" ht="20.25" customHeight="1">
      <c r="A586" s="939"/>
      <c r="B586" s="274"/>
      <c r="C586" s="832"/>
      <c r="D586" s="274"/>
      <c r="E586" s="833"/>
      <c r="F586" s="30"/>
      <c r="G586" s="30"/>
      <c r="H586" s="30"/>
      <c r="I586" s="833"/>
      <c r="J586" s="833"/>
      <c r="K586" s="833"/>
      <c r="L586" s="833"/>
      <c r="M586" s="833"/>
    </row>
    <row r="587" ht="20.25" customHeight="1">
      <c r="A587" s="940"/>
      <c r="B587" s="274"/>
      <c r="C587" s="937"/>
      <c r="D587" s="274"/>
      <c r="E587" s="941"/>
      <c r="F587" s="28"/>
      <c r="G587" s="28"/>
      <c r="H587" s="28"/>
      <c r="I587" s="941"/>
      <c r="J587" s="941"/>
      <c r="K587" s="941"/>
      <c r="L587" s="941"/>
      <c r="M587" s="941"/>
    </row>
    <row r="588" ht="20.25" customHeight="1">
      <c r="A588" s="939"/>
      <c r="B588" s="274"/>
      <c r="C588" s="832"/>
      <c r="D588" s="274"/>
      <c r="E588" s="833"/>
      <c r="F588" s="30"/>
      <c r="G588" s="30"/>
      <c r="H588" s="30"/>
      <c r="I588" s="833"/>
      <c r="J588" s="833"/>
      <c r="K588" s="833"/>
      <c r="L588" s="833"/>
      <c r="M588" s="833"/>
    </row>
    <row r="589" ht="20.25" customHeight="1">
      <c r="A589" s="940"/>
      <c r="B589" s="274"/>
      <c r="C589" s="937"/>
      <c r="D589" s="274"/>
      <c r="E589" s="941"/>
      <c r="F589" s="28"/>
      <c r="G589" s="28"/>
      <c r="H589" s="28"/>
      <c r="I589" s="941"/>
      <c r="J589" s="941"/>
      <c r="K589" s="941"/>
      <c r="L589" s="941"/>
      <c r="M589" s="941"/>
    </row>
    <row r="590" ht="20.25" customHeight="1">
      <c r="A590" s="939"/>
      <c r="B590" s="274"/>
      <c r="C590" s="832"/>
      <c r="D590" s="274"/>
      <c r="E590" s="833"/>
      <c r="F590" s="30"/>
      <c r="G590" s="30"/>
      <c r="H590" s="30"/>
      <c r="I590" s="833"/>
      <c r="J590" s="833"/>
      <c r="K590" s="833"/>
      <c r="L590" s="833"/>
      <c r="M590" s="833"/>
    </row>
    <row r="591" ht="20.25" customHeight="1">
      <c r="A591" s="940"/>
      <c r="B591" s="274"/>
      <c r="C591" s="937"/>
      <c r="D591" s="274"/>
      <c r="E591" s="941"/>
      <c r="F591" s="28"/>
      <c r="G591" s="28"/>
      <c r="H591" s="28"/>
      <c r="I591" s="941"/>
      <c r="J591" s="941"/>
      <c r="K591" s="941"/>
      <c r="L591" s="941"/>
      <c r="M591" s="941"/>
    </row>
    <row r="592" ht="20.25" customHeight="1">
      <c r="A592" s="939"/>
      <c r="B592" s="274"/>
      <c r="C592" s="832"/>
      <c r="D592" s="274"/>
      <c r="E592" s="833"/>
      <c r="F592" s="30"/>
      <c r="G592" s="30"/>
      <c r="H592" s="30"/>
      <c r="I592" s="833"/>
      <c r="J592" s="833"/>
      <c r="K592" s="833"/>
      <c r="L592" s="833"/>
      <c r="M592" s="833"/>
    </row>
    <row r="593" ht="20.25" customHeight="1">
      <c r="A593" s="940"/>
      <c r="B593" s="274"/>
      <c r="C593" s="937"/>
      <c r="D593" s="274"/>
      <c r="E593" s="941"/>
      <c r="F593" s="28"/>
      <c r="G593" s="28"/>
      <c r="H593" s="28"/>
      <c r="I593" s="941"/>
      <c r="J593" s="941"/>
      <c r="K593" s="941"/>
      <c r="L593" s="941"/>
      <c r="M593" s="941"/>
    </row>
    <row r="594" ht="20.25" customHeight="1">
      <c r="A594" s="939"/>
      <c r="B594" s="274"/>
      <c r="C594" s="832"/>
      <c r="D594" s="274"/>
      <c r="E594" s="833"/>
      <c r="F594" s="30"/>
      <c r="G594" s="30"/>
      <c r="H594" s="30"/>
      <c r="I594" s="833"/>
      <c r="J594" s="833"/>
      <c r="K594" s="833"/>
      <c r="L594" s="833"/>
      <c r="M594" s="833"/>
    </row>
    <row r="595" ht="20.25" customHeight="1">
      <c r="A595" s="940"/>
      <c r="B595" s="274"/>
      <c r="C595" s="937"/>
      <c r="D595" s="274"/>
      <c r="E595" s="941"/>
      <c r="F595" s="28"/>
      <c r="G595" s="28"/>
      <c r="H595" s="28"/>
      <c r="I595" s="941"/>
      <c r="J595" s="941"/>
      <c r="K595" s="941"/>
      <c r="L595" s="941"/>
      <c r="M595" s="941"/>
    </row>
    <row r="596" ht="20.25" customHeight="1">
      <c r="A596" s="939"/>
      <c r="B596" s="274"/>
      <c r="C596" s="832"/>
      <c r="D596" s="274"/>
      <c r="E596" s="833"/>
      <c r="F596" s="30"/>
      <c r="G596" s="30"/>
      <c r="H596" s="30"/>
      <c r="I596" s="833"/>
      <c r="J596" s="833"/>
      <c r="K596" s="833"/>
      <c r="L596" s="833"/>
      <c r="M596" s="833"/>
    </row>
    <row r="597" ht="20.25" customHeight="1">
      <c r="A597" s="940"/>
      <c r="B597" s="274"/>
      <c r="C597" s="937"/>
      <c r="D597" s="274"/>
      <c r="E597" s="941"/>
      <c r="F597" s="28"/>
      <c r="G597" s="28"/>
      <c r="H597" s="28"/>
      <c r="I597" s="941"/>
      <c r="J597" s="941"/>
      <c r="K597" s="941"/>
      <c r="L597" s="941"/>
      <c r="M597" s="941"/>
    </row>
    <row r="598" ht="20.25" customHeight="1">
      <c r="A598" s="939"/>
      <c r="B598" s="274"/>
      <c r="C598" s="832"/>
      <c r="D598" s="274"/>
      <c r="E598" s="833"/>
      <c r="F598" s="30"/>
      <c r="G598" s="30"/>
      <c r="H598" s="30"/>
      <c r="I598" s="833"/>
      <c r="J598" s="833"/>
      <c r="K598" s="833"/>
      <c r="L598" s="833"/>
      <c r="M598" s="833"/>
    </row>
    <row r="599" ht="20.25" customHeight="1">
      <c r="A599" s="940"/>
      <c r="B599" s="274"/>
      <c r="C599" s="937"/>
      <c r="D599" s="274"/>
      <c r="E599" s="941"/>
      <c r="F599" s="28"/>
      <c r="G599" s="28"/>
      <c r="H599" s="28"/>
      <c r="I599" s="941"/>
      <c r="J599" s="941"/>
      <c r="K599" s="941"/>
      <c r="L599" s="941"/>
      <c r="M599" s="941"/>
    </row>
    <row r="600" ht="20.25" customHeight="1">
      <c r="A600" s="939"/>
      <c r="B600" s="274"/>
      <c r="C600" s="832"/>
      <c r="D600" s="274"/>
      <c r="E600" s="833"/>
      <c r="F600" s="30"/>
      <c r="G600" s="30"/>
      <c r="H600" s="30"/>
      <c r="I600" s="833"/>
      <c r="J600" s="833"/>
      <c r="K600" s="833"/>
      <c r="L600" s="833"/>
      <c r="M600" s="833"/>
    </row>
    <row r="601" ht="20.25" customHeight="1">
      <c r="A601" s="940"/>
      <c r="B601" s="274"/>
      <c r="C601" s="937"/>
      <c r="D601" s="274"/>
      <c r="E601" s="941"/>
      <c r="F601" s="28"/>
      <c r="G601" s="28"/>
      <c r="H601" s="28"/>
      <c r="I601" s="941"/>
      <c r="J601" s="941"/>
      <c r="K601" s="941"/>
      <c r="L601" s="941"/>
      <c r="M601" s="941"/>
    </row>
    <row r="602" ht="20.25" customHeight="1">
      <c r="A602" s="939"/>
      <c r="B602" s="274"/>
      <c r="C602" s="832"/>
      <c r="D602" s="274"/>
      <c r="E602" s="833"/>
      <c r="F602" s="30"/>
      <c r="G602" s="30"/>
      <c r="H602" s="30"/>
      <c r="I602" s="833"/>
      <c r="J602" s="833"/>
      <c r="K602" s="833"/>
      <c r="L602" s="833"/>
      <c r="M602" s="833"/>
    </row>
    <row r="603" ht="20.25" customHeight="1">
      <c r="A603" s="940"/>
      <c r="B603" s="274"/>
      <c r="C603" s="937"/>
      <c r="D603" s="274"/>
      <c r="E603" s="941"/>
      <c r="F603" s="28"/>
      <c r="G603" s="28"/>
      <c r="H603" s="28"/>
      <c r="I603" s="941"/>
      <c r="J603" s="941"/>
      <c r="K603" s="941"/>
      <c r="L603" s="941"/>
      <c r="M603" s="941"/>
    </row>
    <row r="604" ht="20.25" customHeight="1">
      <c r="A604" s="939"/>
      <c r="B604" s="274"/>
      <c r="C604" s="832"/>
      <c r="D604" s="274"/>
      <c r="E604" s="833"/>
      <c r="F604" s="30"/>
      <c r="G604" s="30"/>
      <c r="H604" s="30"/>
      <c r="I604" s="833"/>
      <c r="J604" s="833"/>
      <c r="K604" s="833"/>
      <c r="L604" s="833"/>
      <c r="M604" s="833"/>
    </row>
    <row r="605" ht="20.25" customHeight="1">
      <c r="A605" s="940"/>
      <c r="B605" s="274"/>
      <c r="C605" s="937"/>
      <c r="D605" s="274"/>
      <c r="E605" s="941"/>
      <c r="F605" s="28"/>
      <c r="G605" s="28"/>
      <c r="H605" s="28"/>
      <c r="I605" s="941"/>
      <c r="J605" s="941"/>
      <c r="K605" s="941"/>
      <c r="L605" s="941"/>
      <c r="M605" s="941"/>
    </row>
    <row r="606" ht="20.25" customHeight="1">
      <c r="A606" s="939"/>
      <c r="B606" s="274"/>
      <c r="C606" s="832"/>
      <c r="D606" s="274"/>
      <c r="E606" s="833"/>
      <c r="F606" s="30"/>
      <c r="G606" s="30"/>
      <c r="H606" s="30"/>
      <c r="I606" s="833"/>
      <c r="J606" s="833"/>
      <c r="K606" s="833"/>
      <c r="L606" s="833"/>
      <c r="M606" s="833"/>
    </row>
    <row r="607" ht="20.25" customHeight="1">
      <c r="A607" s="940"/>
      <c r="B607" s="274"/>
      <c r="C607" s="937"/>
      <c r="D607" s="274"/>
      <c r="E607" s="941"/>
      <c r="F607" s="28"/>
      <c r="G607" s="28"/>
      <c r="H607" s="28"/>
      <c r="I607" s="941"/>
      <c r="J607" s="941"/>
      <c r="K607" s="941"/>
      <c r="L607" s="941"/>
      <c r="M607" s="941"/>
    </row>
    <row r="608" ht="20.25" customHeight="1">
      <c r="A608" s="939"/>
      <c r="B608" s="274"/>
      <c r="C608" s="832"/>
      <c r="D608" s="274"/>
      <c r="E608" s="833"/>
      <c r="F608" s="30"/>
      <c r="G608" s="30"/>
      <c r="H608" s="30"/>
      <c r="I608" s="833"/>
      <c r="J608" s="833"/>
      <c r="K608" s="833"/>
      <c r="L608" s="833"/>
      <c r="M608" s="833"/>
    </row>
    <row r="609" ht="20.25" customHeight="1">
      <c r="A609" s="940"/>
      <c r="B609" s="274"/>
      <c r="C609" s="937"/>
      <c r="D609" s="274"/>
      <c r="E609" s="941"/>
      <c r="F609" s="28"/>
      <c r="G609" s="28"/>
      <c r="H609" s="28"/>
      <c r="I609" s="941"/>
      <c r="J609" s="941"/>
      <c r="K609" s="941"/>
      <c r="L609" s="941"/>
      <c r="M609" s="941"/>
    </row>
    <row r="610" ht="20.25" customHeight="1">
      <c r="A610" s="939"/>
      <c r="B610" s="274"/>
      <c r="C610" s="832"/>
      <c r="D610" s="274"/>
      <c r="E610" s="833"/>
      <c r="F610" s="30"/>
      <c r="G610" s="30"/>
      <c r="H610" s="30"/>
      <c r="I610" s="833"/>
      <c r="J610" s="833"/>
      <c r="K610" s="833"/>
      <c r="L610" s="833"/>
      <c r="M610" s="833"/>
    </row>
    <row r="611" ht="20.25" customHeight="1">
      <c r="A611" s="940"/>
      <c r="B611" s="274"/>
      <c r="C611" s="937"/>
      <c r="D611" s="274"/>
      <c r="E611" s="941"/>
      <c r="F611" s="28"/>
      <c r="G611" s="28"/>
      <c r="H611" s="28"/>
      <c r="I611" s="941"/>
      <c r="J611" s="941"/>
      <c r="K611" s="941"/>
      <c r="L611" s="941"/>
      <c r="M611" s="941"/>
    </row>
    <row r="612" ht="20.25" customHeight="1">
      <c r="A612" s="939"/>
      <c r="B612" s="274"/>
      <c r="C612" s="832"/>
      <c r="D612" s="274"/>
      <c r="E612" s="833"/>
      <c r="F612" s="30"/>
      <c r="G612" s="30"/>
      <c r="H612" s="30"/>
      <c r="I612" s="833"/>
      <c r="J612" s="833"/>
      <c r="K612" s="833"/>
      <c r="L612" s="833"/>
      <c r="M612" s="833"/>
    </row>
    <row r="613" ht="20.25" customHeight="1">
      <c r="A613" s="940"/>
      <c r="B613" s="274"/>
      <c r="C613" s="937"/>
      <c r="D613" s="274"/>
      <c r="E613" s="941"/>
      <c r="F613" s="28"/>
      <c r="G613" s="28"/>
      <c r="H613" s="28"/>
      <c r="I613" s="941"/>
      <c r="J613" s="941"/>
      <c r="K613" s="941"/>
      <c r="L613" s="941"/>
      <c r="M613" s="941"/>
    </row>
    <row r="614" ht="20.25" customHeight="1">
      <c r="A614" s="939"/>
      <c r="B614" s="274"/>
      <c r="C614" s="832"/>
      <c r="D614" s="274"/>
      <c r="E614" s="833"/>
      <c r="F614" s="30"/>
      <c r="G614" s="30"/>
      <c r="H614" s="30"/>
      <c r="I614" s="833"/>
      <c r="J614" s="833"/>
      <c r="K614" s="833"/>
      <c r="L614" s="833"/>
      <c r="M614" s="833"/>
    </row>
    <row r="615" ht="20.25" customHeight="1">
      <c r="A615" s="940"/>
      <c r="B615" s="274"/>
      <c r="C615" s="937"/>
      <c r="D615" s="274"/>
      <c r="E615" s="941"/>
      <c r="F615" s="28"/>
      <c r="G615" s="28"/>
      <c r="H615" s="28"/>
      <c r="I615" s="941"/>
      <c r="J615" s="941"/>
      <c r="K615" s="941"/>
      <c r="L615" s="941"/>
      <c r="M615" s="941"/>
    </row>
    <row r="616" ht="20.25" customHeight="1">
      <c r="A616" s="939"/>
      <c r="B616" s="274"/>
      <c r="C616" s="832"/>
      <c r="D616" s="274"/>
      <c r="E616" s="833"/>
      <c r="F616" s="30"/>
      <c r="G616" s="30"/>
      <c r="H616" s="30"/>
      <c r="I616" s="833"/>
      <c r="J616" s="833"/>
      <c r="K616" s="833"/>
      <c r="L616" s="833"/>
      <c r="M616" s="833"/>
    </row>
    <row r="617" ht="20.25" customHeight="1">
      <c r="A617" s="940"/>
      <c r="B617" s="274"/>
      <c r="C617" s="937"/>
      <c r="D617" s="274"/>
      <c r="E617" s="941"/>
      <c r="F617" s="28"/>
      <c r="G617" s="28"/>
      <c r="H617" s="28"/>
      <c r="I617" s="941"/>
      <c r="J617" s="941"/>
      <c r="K617" s="941"/>
      <c r="L617" s="941"/>
      <c r="M617" s="941"/>
    </row>
    <row r="618" ht="20.25" customHeight="1">
      <c r="A618" s="939"/>
      <c r="B618" s="274"/>
      <c r="C618" s="832"/>
      <c r="D618" s="274"/>
      <c r="E618" s="833"/>
      <c r="F618" s="30"/>
      <c r="G618" s="30"/>
      <c r="H618" s="30"/>
      <c r="I618" s="833"/>
      <c r="J618" s="833"/>
      <c r="K618" s="833"/>
      <c r="L618" s="833"/>
      <c r="M618" s="833"/>
    </row>
    <row r="619" ht="20.25" customHeight="1">
      <c r="A619" s="940"/>
      <c r="B619" s="274"/>
      <c r="C619" s="937"/>
      <c r="D619" s="274"/>
      <c r="E619" s="941"/>
      <c r="F619" s="28"/>
      <c r="G619" s="28"/>
      <c r="H619" s="28"/>
      <c r="I619" s="941"/>
      <c r="J619" s="941"/>
      <c r="K619" s="941"/>
      <c r="L619" s="941"/>
      <c r="M619" s="941"/>
    </row>
    <row r="620" ht="20.25" customHeight="1">
      <c r="A620" s="939"/>
      <c r="B620" s="274"/>
      <c r="C620" s="832"/>
      <c r="D620" s="274"/>
      <c r="E620" s="833"/>
      <c r="F620" s="30"/>
      <c r="G620" s="30"/>
      <c r="H620" s="30"/>
      <c r="I620" s="833"/>
      <c r="J620" s="833"/>
      <c r="K620" s="833"/>
      <c r="L620" s="833"/>
      <c r="M620" s="833"/>
    </row>
    <row r="621" ht="20.25" customHeight="1">
      <c r="A621" s="940"/>
      <c r="B621" s="274"/>
      <c r="C621" s="937"/>
      <c r="D621" s="274"/>
      <c r="E621" s="941"/>
      <c r="F621" s="28"/>
      <c r="G621" s="28"/>
      <c r="H621" s="28"/>
      <c r="I621" s="941"/>
      <c r="J621" s="941"/>
      <c r="K621" s="941"/>
      <c r="L621" s="941"/>
      <c r="M621" s="941"/>
    </row>
    <row r="622" ht="20.25" customHeight="1">
      <c r="A622" s="939"/>
      <c r="B622" s="274"/>
      <c r="C622" s="832"/>
      <c r="D622" s="274"/>
      <c r="E622" s="833"/>
      <c r="F622" s="30"/>
      <c r="G622" s="30"/>
      <c r="H622" s="30"/>
      <c r="I622" s="833"/>
      <c r="J622" s="833"/>
      <c r="K622" s="833"/>
      <c r="L622" s="833"/>
      <c r="M622" s="833"/>
    </row>
    <row r="623" ht="20.25" customHeight="1">
      <c r="A623" s="940"/>
      <c r="B623" s="274"/>
      <c r="C623" s="937"/>
      <c r="D623" s="274"/>
      <c r="E623" s="941"/>
      <c r="F623" s="28"/>
      <c r="G623" s="28"/>
      <c r="H623" s="28"/>
      <c r="I623" s="941"/>
      <c r="J623" s="941"/>
      <c r="K623" s="941"/>
      <c r="L623" s="941"/>
      <c r="M623" s="941"/>
    </row>
    <row r="624" ht="20.25" customHeight="1">
      <c r="A624" s="939"/>
      <c r="B624" s="274"/>
      <c r="C624" s="832"/>
      <c r="D624" s="274"/>
      <c r="E624" s="833"/>
      <c r="F624" s="30"/>
      <c r="G624" s="30"/>
      <c r="H624" s="30"/>
      <c r="I624" s="833"/>
      <c r="J624" s="833"/>
      <c r="K624" s="833"/>
      <c r="L624" s="833"/>
      <c r="M624" s="833"/>
    </row>
    <row r="625" ht="20.25" customHeight="1">
      <c r="A625" s="940"/>
      <c r="B625" s="274"/>
      <c r="C625" s="937"/>
      <c r="D625" s="274"/>
      <c r="E625" s="941"/>
      <c r="F625" s="28"/>
      <c r="G625" s="28"/>
      <c r="H625" s="28"/>
      <c r="I625" s="941"/>
      <c r="J625" s="941"/>
      <c r="K625" s="941"/>
      <c r="L625" s="941"/>
      <c r="M625" s="941"/>
    </row>
    <row r="626" ht="20.25" customHeight="1">
      <c r="A626" s="939"/>
      <c r="B626" s="274"/>
      <c r="C626" s="832"/>
      <c r="D626" s="274"/>
      <c r="E626" s="833"/>
      <c r="F626" s="30"/>
      <c r="G626" s="30"/>
      <c r="H626" s="30"/>
      <c r="I626" s="833"/>
      <c r="J626" s="833"/>
      <c r="K626" s="833"/>
      <c r="L626" s="833"/>
      <c r="M626" s="833"/>
    </row>
    <row r="627" ht="20.25" customHeight="1">
      <c r="A627" s="940"/>
      <c r="B627" s="274"/>
      <c r="C627" s="937"/>
      <c r="D627" s="274"/>
      <c r="E627" s="941"/>
      <c r="F627" s="28"/>
      <c r="G627" s="28"/>
      <c r="H627" s="28"/>
      <c r="I627" s="941"/>
      <c r="J627" s="941"/>
      <c r="K627" s="941"/>
      <c r="L627" s="941"/>
      <c r="M627" s="941"/>
    </row>
    <row r="628" ht="20.25" customHeight="1">
      <c r="A628" s="939"/>
      <c r="B628" s="274"/>
      <c r="C628" s="832"/>
      <c r="D628" s="274"/>
      <c r="E628" s="833"/>
      <c r="F628" s="30"/>
      <c r="G628" s="30"/>
      <c r="H628" s="30"/>
      <c r="I628" s="833"/>
      <c r="J628" s="833"/>
      <c r="K628" s="833"/>
      <c r="L628" s="833"/>
      <c r="M628" s="833"/>
    </row>
    <row r="629" ht="20.25" customHeight="1">
      <c r="A629" s="940"/>
      <c r="B629" s="274"/>
      <c r="C629" s="937"/>
      <c r="D629" s="274"/>
      <c r="E629" s="941"/>
      <c r="F629" s="28"/>
      <c r="G629" s="28"/>
      <c r="H629" s="28"/>
      <c r="I629" s="941"/>
      <c r="J629" s="941"/>
      <c r="K629" s="941"/>
      <c r="L629" s="941"/>
      <c r="M629" s="941"/>
    </row>
    <row r="630" ht="20.25" customHeight="1">
      <c r="A630" s="939"/>
      <c r="B630" s="274"/>
      <c r="C630" s="832"/>
      <c r="D630" s="274"/>
      <c r="E630" s="833"/>
      <c r="F630" s="30"/>
      <c r="G630" s="30"/>
      <c r="H630" s="30"/>
      <c r="I630" s="833"/>
      <c r="J630" s="833"/>
      <c r="K630" s="833"/>
      <c r="L630" s="833"/>
      <c r="M630" s="833"/>
    </row>
    <row r="631" ht="20.25" customHeight="1">
      <c r="A631" s="940"/>
      <c r="B631" s="274"/>
      <c r="C631" s="937"/>
      <c r="D631" s="274"/>
      <c r="E631" s="941"/>
      <c r="F631" s="28"/>
      <c r="G631" s="28"/>
      <c r="H631" s="28"/>
      <c r="I631" s="941"/>
      <c r="J631" s="941"/>
      <c r="K631" s="941"/>
      <c r="L631" s="941"/>
      <c r="M631" s="941"/>
    </row>
    <row r="632" ht="20.25" customHeight="1">
      <c r="A632" s="939"/>
      <c r="B632" s="274"/>
      <c r="C632" s="832"/>
      <c r="D632" s="274"/>
      <c r="E632" s="833"/>
      <c r="F632" s="30"/>
      <c r="G632" s="30"/>
      <c r="H632" s="30"/>
      <c r="I632" s="833"/>
      <c r="J632" s="833"/>
      <c r="K632" s="833"/>
      <c r="L632" s="833"/>
      <c r="M632" s="833"/>
    </row>
    <row r="633" ht="20.25" customHeight="1">
      <c r="A633" s="940"/>
      <c r="B633" s="274"/>
      <c r="C633" s="937"/>
      <c r="D633" s="274"/>
      <c r="E633" s="941"/>
      <c r="F633" s="28"/>
      <c r="G633" s="28"/>
      <c r="H633" s="28"/>
      <c r="I633" s="941"/>
      <c r="J633" s="941"/>
      <c r="K633" s="941"/>
      <c r="L633" s="941"/>
      <c r="M633" s="941"/>
    </row>
    <row r="634" ht="20.25" customHeight="1">
      <c r="A634" s="939"/>
      <c r="B634" s="274"/>
      <c r="C634" s="832"/>
      <c r="D634" s="274"/>
      <c r="E634" s="833"/>
      <c r="F634" s="30"/>
      <c r="G634" s="30"/>
      <c r="H634" s="30"/>
      <c r="I634" s="833"/>
      <c r="J634" s="833"/>
      <c r="K634" s="833"/>
      <c r="L634" s="833"/>
      <c r="M634" s="833"/>
    </row>
    <row r="635" ht="20.25" customHeight="1">
      <c r="A635" s="940"/>
      <c r="B635" s="274"/>
      <c r="C635" s="937"/>
      <c r="D635" s="274"/>
      <c r="E635" s="941"/>
      <c r="F635" s="28"/>
      <c r="G635" s="28"/>
      <c r="H635" s="28"/>
      <c r="I635" s="941"/>
      <c r="J635" s="941"/>
      <c r="K635" s="941"/>
      <c r="L635" s="941"/>
      <c r="M635" s="941"/>
    </row>
    <row r="636" ht="20.25" customHeight="1">
      <c r="A636" s="939"/>
      <c r="B636" s="274"/>
      <c r="C636" s="832"/>
      <c r="D636" s="274"/>
      <c r="E636" s="833"/>
      <c r="F636" s="30"/>
      <c r="G636" s="30"/>
      <c r="H636" s="30"/>
      <c r="I636" s="833"/>
      <c r="J636" s="833"/>
      <c r="K636" s="833"/>
      <c r="L636" s="833"/>
      <c r="M636" s="833"/>
    </row>
    <row r="637" ht="20.25" customHeight="1">
      <c r="A637" s="940"/>
      <c r="B637" s="274"/>
      <c r="C637" s="937"/>
      <c r="D637" s="274"/>
      <c r="E637" s="941"/>
      <c r="F637" s="28"/>
      <c r="G637" s="28"/>
      <c r="H637" s="28"/>
      <c r="I637" s="941"/>
      <c r="J637" s="941"/>
      <c r="K637" s="941"/>
      <c r="L637" s="941"/>
      <c r="M637" s="941"/>
    </row>
    <row r="638" ht="20.25" customHeight="1">
      <c r="A638" s="939"/>
      <c r="B638" s="274"/>
      <c r="C638" s="832"/>
      <c r="D638" s="274"/>
      <c r="E638" s="833"/>
      <c r="F638" s="30"/>
      <c r="G638" s="30"/>
      <c r="H638" s="30"/>
      <c r="I638" s="833"/>
      <c r="J638" s="833"/>
      <c r="K638" s="833"/>
      <c r="L638" s="833"/>
      <c r="M638" s="833"/>
    </row>
    <row r="639" ht="20.25" customHeight="1">
      <c r="A639" s="940"/>
      <c r="B639" s="274"/>
      <c r="C639" s="937"/>
      <c r="D639" s="274"/>
      <c r="E639" s="941"/>
      <c r="F639" s="28"/>
      <c r="G639" s="28"/>
      <c r="H639" s="28"/>
      <c r="I639" s="941"/>
      <c r="J639" s="941"/>
      <c r="K639" s="941"/>
      <c r="L639" s="941"/>
      <c r="M639" s="941"/>
    </row>
    <row r="640" ht="20.25" customHeight="1">
      <c r="A640" s="939"/>
      <c r="B640" s="274"/>
      <c r="C640" s="832"/>
      <c r="D640" s="274"/>
      <c r="E640" s="833"/>
      <c r="F640" s="30"/>
      <c r="G640" s="30"/>
      <c r="H640" s="30"/>
      <c r="I640" s="833"/>
      <c r="J640" s="833"/>
      <c r="K640" s="833"/>
      <c r="L640" s="833"/>
      <c r="M640" s="833"/>
    </row>
    <row r="641" ht="20.25" customHeight="1">
      <c r="A641" s="940"/>
      <c r="B641" s="274"/>
      <c r="C641" s="937"/>
      <c r="D641" s="274"/>
      <c r="E641" s="941"/>
      <c r="F641" s="28"/>
      <c r="G641" s="28"/>
      <c r="H641" s="28"/>
      <c r="I641" s="941"/>
      <c r="J641" s="941"/>
      <c r="K641" s="941"/>
      <c r="L641" s="941"/>
      <c r="M641" s="941"/>
    </row>
    <row r="642" ht="20.25" customHeight="1">
      <c r="A642" s="939"/>
      <c r="B642" s="274"/>
      <c r="C642" s="832"/>
      <c r="D642" s="274"/>
      <c r="E642" s="833"/>
      <c r="F642" s="30"/>
      <c r="G642" s="30"/>
      <c r="H642" s="30"/>
      <c r="I642" s="833"/>
      <c r="J642" s="833"/>
      <c r="K642" s="833"/>
      <c r="L642" s="833"/>
      <c r="M642" s="833"/>
    </row>
    <row r="643" ht="20.25" customHeight="1">
      <c r="A643" s="940"/>
      <c r="B643" s="274"/>
      <c r="C643" s="937"/>
      <c r="D643" s="274"/>
      <c r="E643" s="941"/>
      <c r="F643" s="28"/>
      <c r="G643" s="28"/>
      <c r="H643" s="28"/>
      <c r="I643" s="941"/>
      <c r="J643" s="941"/>
      <c r="K643" s="941"/>
      <c r="L643" s="941"/>
      <c r="M643" s="941"/>
    </row>
    <row r="644" ht="20.25" customHeight="1">
      <c r="A644" s="939"/>
      <c r="B644" s="274"/>
      <c r="C644" s="832"/>
      <c r="D644" s="274"/>
      <c r="E644" s="833"/>
      <c r="F644" s="30"/>
      <c r="G644" s="30"/>
      <c r="H644" s="30"/>
      <c r="I644" s="833"/>
      <c r="J644" s="833"/>
      <c r="K644" s="833"/>
      <c r="L644" s="833"/>
      <c r="M644" s="833"/>
    </row>
    <row r="645" ht="20.25" customHeight="1">
      <c r="A645" s="940"/>
      <c r="B645" s="274"/>
      <c r="C645" s="937"/>
      <c r="D645" s="274"/>
      <c r="E645" s="941"/>
      <c r="F645" s="28"/>
      <c r="G645" s="28"/>
      <c r="H645" s="28"/>
      <c r="I645" s="941"/>
      <c r="J645" s="941"/>
      <c r="K645" s="941"/>
      <c r="L645" s="941"/>
      <c r="M645" s="941"/>
    </row>
    <row r="646" ht="20.25" customHeight="1">
      <c r="A646" s="939"/>
      <c r="B646" s="274"/>
      <c r="C646" s="832"/>
      <c r="D646" s="274"/>
      <c r="E646" s="833"/>
      <c r="F646" s="30"/>
      <c r="G646" s="30"/>
      <c r="H646" s="30"/>
      <c r="I646" s="833"/>
      <c r="J646" s="833"/>
      <c r="K646" s="833"/>
      <c r="L646" s="833"/>
      <c r="M646" s="833"/>
    </row>
    <row r="647" ht="20.25" customHeight="1">
      <c r="A647" s="940"/>
      <c r="B647" s="274"/>
      <c r="C647" s="937"/>
      <c r="D647" s="274"/>
      <c r="E647" s="941"/>
      <c r="F647" s="28"/>
      <c r="G647" s="28"/>
      <c r="H647" s="28"/>
      <c r="I647" s="941"/>
      <c r="J647" s="941"/>
      <c r="K647" s="941"/>
      <c r="L647" s="941"/>
      <c r="M647" s="941"/>
    </row>
    <row r="648" ht="20.25" customHeight="1">
      <c r="A648" s="939"/>
      <c r="B648" s="274"/>
      <c r="C648" s="832"/>
      <c r="D648" s="274"/>
      <c r="E648" s="833"/>
      <c r="F648" s="30"/>
      <c r="G648" s="30"/>
      <c r="H648" s="30"/>
      <c r="I648" s="833"/>
      <c r="J648" s="833"/>
      <c r="K648" s="833"/>
      <c r="L648" s="833"/>
      <c r="M648" s="833"/>
    </row>
    <row r="649" ht="20.25" customHeight="1">
      <c r="A649" s="940"/>
      <c r="B649" s="274"/>
      <c r="C649" s="937"/>
      <c r="D649" s="274"/>
      <c r="E649" s="941"/>
      <c r="F649" s="28"/>
      <c r="G649" s="28"/>
      <c r="H649" s="28"/>
      <c r="I649" s="941"/>
      <c r="J649" s="941"/>
      <c r="K649" s="941"/>
      <c r="L649" s="941"/>
      <c r="M649" s="941"/>
    </row>
    <row r="650" ht="20.25" customHeight="1">
      <c r="A650" s="939"/>
      <c r="B650" s="274"/>
      <c r="C650" s="832"/>
      <c r="D650" s="274"/>
      <c r="E650" s="833"/>
      <c r="F650" s="30"/>
      <c r="G650" s="30"/>
      <c r="H650" s="30"/>
      <c r="I650" s="833"/>
      <c r="J650" s="833"/>
      <c r="K650" s="833"/>
      <c r="L650" s="833"/>
      <c r="M650" s="833"/>
    </row>
    <row r="651" ht="20.25" customHeight="1">
      <c r="A651" s="940"/>
      <c r="B651" s="274"/>
      <c r="C651" s="937"/>
      <c r="D651" s="274"/>
      <c r="E651" s="941"/>
      <c r="F651" s="28"/>
      <c r="G651" s="28"/>
      <c r="H651" s="28"/>
      <c r="I651" s="941"/>
      <c r="J651" s="941"/>
      <c r="K651" s="941"/>
      <c r="L651" s="941"/>
      <c r="M651" s="941"/>
    </row>
    <row r="652" ht="20.25" customHeight="1">
      <c r="A652" s="939"/>
      <c r="B652" s="274"/>
      <c r="C652" s="832"/>
      <c r="D652" s="274"/>
      <c r="E652" s="833"/>
      <c r="F652" s="30"/>
      <c r="G652" s="30"/>
      <c r="H652" s="30"/>
      <c r="I652" s="833"/>
      <c r="J652" s="833"/>
      <c r="K652" s="833"/>
      <c r="L652" s="833"/>
      <c r="M652" s="833"/>
    </row>
    <row r="653" ht="20.25" customHeight="1">
      <c r="A653" s="940"/>
      <c r="B653" s="274"/>
      <c r="C653" s="937"/>
      <c r="D653" s="274"/>
      <c r="E653" s="941"/>
      <c r="F653" s="28"/>
      <c r="G653" s="28"/>
      <c r="H653" s="28"/>
      <c r="I653" s="941"/>
      <c r="J653" s="941"/>
      <c r="K653" s="941"/>
      <c r="L653" s="941"/>
      <c r="M653" s="941"/>
    </row>
    <row r="654" ht="20.25" customHeight="1">
      <c r="A654" s="939"/>
      <c r="B654" s="274"/>
      <c r="C654" s="832"/>
      <c r="D654" s="274"/>
      <c r="E654" s="833"/>
      <c r="F654" s="30"/>
      <c r="G654" s="30"/>
      <c r="H654" s="30"/>
      <c r="I654" s="833"/>
      <c r="J654" s="833"/>
      <c r="K654" s="833"/>
      <c r="L654" s="833"/>
      <c r="M654" s="833"/>
    </row>
    <row r="655" ht="20.25" customHeight="1">
      <c r="A655" s="940"/>
      <c r="B655" s="274"/>
      <c r="C655" s="937"/>
      <c r="D655" s="274"/>
      <c r="E655" s="941"/>
      <c r="F655" s="28"/>
      <c r="G655" s="28"/>
      <c r="H655" s="28"/>
      <c r="I655" s="941"/>
      <c r="J655" s="941"/>
      <c r="K655" s="941"/>
      <c r="L655" s="941"/>
      <c r="M655" s="941"/>
    </row>
    <row r="656" ht="20.25" customHeight="1">
      <c r="A656" s="939"/>
      <c r="B656" s="274"/>
      <c r="C656" s="832"/>
      <c r="D656" s="274"/>
      <c r="E656" s="833"/>
      <c r="F656" s="30"/>
      <c r="G656" s="30"/>
      <c r="H656" s="30"/>
      <c r="I656" s="833"/>
      <c r="J656" s="833"/>
      <c r="K656" s="833"/>
      <c r="L656" s="833"/>
      <c r="M656" s="833"/>
    </row>
    <row r="657" ht="20.25" customHeight="1">
      <c r="A657" s="940"/>
      <c r="B657" s="274"/>
      <c r="C657" s="937"/>
      <c r="D657" s="274"/>
      <c r="E657" s="941"/>
      <c r="F657" s="28"/>
      <c r="G657" s="28"/>
      <c r="H657" s="28"/>
      <c r="I657" s="941"/>
      <c r="J657" s="941"/>
      <c r="K657" s="941"/>
      <c r="L657" s="941"/>
      <c r="M657" s="941"/>
    </row>
    <row r="658" ht="20.25" customHeight="1">
      <c r="A658" s="939"/>
      <c r="B658" s="274"/>
      <c r="C658" s="832"/>
      <c r="D658" s="274"/>
      <c r="E658" s="833"/>
      <c r="F658" s="30"/>
      <c r="G658" s="30"/>
      <c r="H658" s="30"/>
      <c r="I658" s="833"/>
      <c r="J658" s="833"/>
      <c r="K658" s="833"/>
      <c r="L658" s="833"/>
      <c r="M658" s="833"/>
    </row>
    <row r="659" ht="20.25" customHeight="1">
      <c r="A659" s="940"/>
      <c r="B659" s="274"/>
      <c r="C659" s="937"/>
      <c r="D659" s="274"/>
      <c r="E659" s="941"/>
      <c r="F659" s="28"/>
      <c r="G659" s="28"/>
      <c r="H659" s="28"/>
      <c r="I659" s="941"/>
      <c r="J659" s="941"/>
      <c r="K659" s="941"/>
      <c r="L659" s="941"/>
      <c r="M659" s="941"/>
    </row>
    <row r="660" ht="20.25" customHeight="1">
      <c r="A660" s="939"/>
      <c r="B660" s="274"/>
      <c r="C660" s="832"/>
      <c r="D660" s="274"/>
      <c r="E660" s="833"/>
      <c r="F660" s="30"/>
      <c r="G660" s="30"/>
      <c r="H660" s="30"/>
      <c r="I660" s="833"/>
      <c r="J660" s="833"/>
      <c r="K660" s="833"/>
      <c r="L660" s="833"/>
      <c r="M660" s="833"/>
    </row>
    <row r="661" ht="20.25" customHeight="1">
      <c r="A661" s="940"/>
      <c r="B661" s="274"/>
      <c r="C661" s="937"/>
      <c r="D661" s="274"/>
      <c r="E661" s="941"/>
      <c r="F661" s="28"/>
      <c r="G661" s="28"/>
      <c r="H661" s="28"/>
      <c r="I661" s="941"/>
      <c r="J661" s="941"/>
      <c r="K661" s="941"/>
      <c r="L661" s="941"/>
      <c r="M661" s="941"/>
    </row>
    <row r="662" ht="20.25" customHeight="1">
      <c r="A662" s="939"/>
      <c r="B662" s="274"/>
      <c r="C662" s="832"/>
      <c r="D662" s="274"/>
      <c r="E662" s="833"/>
      <c r="F662" s="30"/>
      <c r="G662" s="30"/>
      <c r="H662" s="30"/>
      <c r="I662" s="833"/>
      <c r="J662" s="833"/>
      <c r="K662" s="833"/>
      <c r="L662" s="833"/>
      <c r="M662" s="833"/>
    </row>
    <row r="663" ht="20.25" customHeight="1">
      <c r="A663" s="940"/>
      <c r="B663" s="274"/>
      <c r="C663" s="937"/>
      <c r="D663" s="274"/>
      <c r="E663" s="941"/>
      <c r="F663" s="28"/>
      <c r="G663" s="28"/>
      <c r="H663" s="28"/>
      <c r="I663" s="941"/>
      <c r="J663" s="941"/>
      <c r="K663" s="941"/>
      <c r="L663" s="941"/>
      <c r="M663" s="941"/>
    </row>
    <row r="664" ht="20.25" customHeight="1">
      <c r="A664" s="939"/>
      <c r="B664" s="274"/>
      <c r="C664" s="832"/>
      <c r="D664" s="274"/>
      <c r="E664" s="833"/>
      <c r="F664" s="30"/>
      <c r="G664" s="30"/>
      <c r="H664" s="30"/>
      <c r="I664" s="833"/>
      <c r="J664" s="833"/>
      <c r="K664" s="833"/>
      <c r="L664" s="833"/>
      <c r="M664" s="833"/>
    </row>
    <row r="665" ht="20.25" customHeight="1">
      <c r="A665" s="940"/>
      <c r="B665" s="274"/>
      <c r="C665" s="937"/>
      <c r="D665" s="274"/>
      <c r="E665" s="941"/>
      <c r="F665" s="28"/>
      <c r="G665" s="28"/>
      <c r="H665" s="28"/>
      <c r="I665" s="941"/>
      <c r="J665" s="941"/>
      <c r="K665" s="941"/>
      <c r="L665" s="941"/>
      <c r="M665" s="941"/>
    </row>
    <row r="666" ht="20.25" customHeight="1">
      <c r="A666" s="939"/>
      <c r="B666" s="274"/>
      <c r="C666" s="832"/>
      <c r="D666" s="274"/>
      <c r="E666" s="833"/>
      <c r="F666" s="30"/>
      <c r="G666" s="30"/>
      <c r="H666" s="30"/>
      <c r="I666" s="833"/>
      <c r="J666" s="833"/>
      <c r="K666" s="833"/>
      <c r="L666" s="833"/>
      <c r="M666" s="833"/>
    </row>
    <row r="667" ht="20.25" customHeight="1">
      <c r="A667" s="940"/>
      <c r="B667" s="274"/>
      <c r="C667" s="937"/>
      <c r="D667" s="274"/>
      <c r="E667" s="941"/>
      <c r="F667" s="28"/>
      <c r="G667" s="28"/>
      <c r="H667" s="28"/>
      <c r="I667" s="941"/>
      <c r="J667" s="941"/>
      <c r="K667" s="941"/>
      <c r="L667" s="941"/>
      <c r="M667" s="941"/>
    </row>
    <row r="668" ht="20.25" customHeight="1">
      <c r="A668" s="939"/>
      <c r="B668" s="274"/>
      <c r="C668" s="832"/>
      <c r="D668" s="274"/>
      <c r="E668" s="833"/>
      <c r="F668" s="30"/>
      <c r="G668" s="30"/>
      <c r="H668" s="30"/>
      <c r="I668" s="833"/>
      <c r="J668" s="833"/>
      <c r="K668" s="833"/>
      <c r="L668" s="833"/>
      <c r="M668" s="833"/>
    </row>
    <row r="669" ht="20.25" customHeight="1">
      <c r="A669" s="940"/>
      <c r="B669" s="274"/>
      <c r="C669" s="937"/>
      <c r="D669" s="274"/>
      <c r="E669" s="941"/>
      <c r="F669" s="28"/>
      <c r="G669" s="28"/>
      <c r="H669" s="28"/>
      <c r="I669" s="941"/>
      <c r="J669" s="941"/>
      <c r="K669" s="941"/>
      <c r="L669" s="941"/>
      <c r="M669" s="941"/>
    </row>
    <row r="670" ht="20.25" customHeight="1">
      <c r="A670" s="939"/>
      <c r="B670" s="274"/>
      <c r="C670" s="832"/>
      <c r="D670" s="274"/>
      <c r="E670" s="833"/>
      <c r="F670" s="30"/>
      <c r="G670" s="30"/>
      <c r="H670" s="30"/>
      <c r="I670" s="833"/>
      <c r="J670" s="833"/>
      <c r="K670" s="833"/>
      <c r="L670" s="833"/>
      <c r="M670" s="833"/>
    </row>
    <row r="671" ht="20.25" customHeight="1">
      <c r="A671" s="940"/>
      <c r="B671" s="274"/>
      <c r="C671" s="937"/>
      <c r="D671" s="274"/>
      <c r="E671" s="941"/>
      <c r="F671" s="28"/>
      <c r="G671" s="28"/>
      <c r="H671" s="28"/>
      <c r="I671" s="941"/>
      <c r="J671" s="941"/>
      <c r="K671" s="941"/>
      <c r="L671" s="941"/>
      <c r="M671" s="941"/>
    </row>
    <row r="672" ht="20.25" customHeight="1">
      <c r="A672" s="939"/>
      <c r="B672" s="274"/>
      <c r="C672" s="832"/>
      <c r="D672" s="274"/>
      <c r="E672" s="833"/>
      <c r="F672" s="30"/>
      <c r="G672" s="30"/>
      <c r="H672" s="30"/>
      <c r="I672" s="833"/>
      <c r="J672" s="833"/>
      <c r="K672" s="833"/>
      <c r="L672" s="833"/>
      <c r="M672" s="833"/>
    </row>
    <row r="673" ht="20.25" customHeight="1">
      <c r="A673" s="940"/>
      <c r="B673" s="274"/>
      <c r="C673" s="937"/>
      <c r="D673" s="274"/>
      <c r="E673" s="941"/>
      <c r="F673" s="28"/>
      <c r="G673" s="28"/>
      <c r="H673" s="28"/>
      <c r="I673" s="941"/>
      <c r="J673" s="941"/>
      <c r="K673" s="941"/>
      <c r="L673" s="941"/>
      <c r="M673" s="941"/>
    </row>
    <row r="674" ht="20.25" customHeight="1">
      <c r="A674" s="939"/>
      <c r="B674" s="274"/>
      <c r="C674" s="832"/>
      <c r="D674" s="274"/>
      <c r="E674" s="833"/>
      <c r="F674" s="30"/>
      <c r="G674" s="30"/>
      <c r="H674" s="30"/>
      <c r="I674" s="833"/>
      <c r="J674" s="833"/>
      <c r="K674" s="833"/>
      <c r="L674" s="833"/>
      <c r="M674" s="833"/>
    </row>
    <row r="675" ht="20.25" customHeight="1">
      <c r="A675" s="940"/>
      <c r="B675" s="274"/>
      <c r="C675" s="937"/>
      <c r="D675" s="274"/>
      <c r="E675" s="941"/>
      <c r="F675" s="28"/>
      <c r="G675" s="28"/>
      <c r="H675" s="28"/>
      <c r="I675" s="941"/>
      <c r="J675" s="941"/>
      <c r="K675" s="941"/>
      <c r="L675" s="941"/>
      <c r="M675" s="941"/>
    </row>
    <row r="676" ht="20.25" customHeight="1">
      <c r="A676" s="939"/>
      <c r="B676" s="274"/>
      <c r="C676" s="832"/>
      <c r="D676" s="274"/>
      <c r="E676" s="833"/>
      <c r="F676" s="30"/>
      <c r="G676" s="30"/>
      <c r="H676" s="30"/>
      <c r="I676" s="833"/>
      <c r="J676" s="833"/>
      <c r="K676" s="833"/>
      <c r="L676" s="833"/>
      <c r="M676" s="833"/>
    </row>
    <row r="677" ht="20.25" customHeight="1">
      <c r="A677" s="940"/>
      <c r="B677" s="274"/>
      <c r="C677" s="937"/>
      <c r="D677" s="274"/>
      <c r="E677" s="941"/>
      <c r="F677" s="28"/>
      <c r="G677" s="28"/>
      <c r="H677" s="28"/>
      <c r="I677" s="941"/>
      <c r="J677" s="941"/>
      <c r="K677" s="941"/>
      <c r="L677" s="941"/>
      <c r="M677" s="941"/>
    </row>
    <row r="678" ht="20.25" customHeight="1">
      <c r="A678" s="939"/>
      <c r="B678" s="274"/>
      <c r="C678" s="832"/>
      <c r="D678" s="274"/>
      <c r="E678" s="833"/>
      <c r="F678" s="30"/>
      <c r="G678" s="30"/>
      <c r="H678" s="30"/>
      <c r="I678" s="833"/>
      <c r="J678" s="833"/>
      <c r="K678" s="833"/>
      <c r="L678" s="833"/>
      <c r="M678" s="833"/>
    </row>
    <row r="679" ht="20.25" customHeight="1">
      <c r="A679" s="940"/>
      <c r="B679" s="274"/>
      <c r="C679" s="937"/>
      <c r="D679" s="274"/>
      <c r="E679" s="941"/>
      <c r="F679" s="28"/>
      <c r="G679" s="28"/>
      <c r="H679" s="28"/>
      <c r="I679" s="941"/>
      <c r="J679" s="941"/>
      <c r="K679" s="941"/>
      <c r="L679" s="941"/>
      <c r="M679" s="941"/>
    </row>
    <row r="680" ht="20.25" customHeight="1">
      <c r="A680" s="939"/>
      <c r="B680" s="274"/>
      <c r="C680" s="832"/>
      <c r="D680" s="274"/>
      <c r="E680" s="833"/>
      <c r="F680" s="30"/>
      <c r="G680" s="30"/>
      <c r="H680" s="30"/>
      <c r="I680" s="833"/>
      <c r="J680" s="833"/>
      <c r="K680" s="833"/>
      <c r="L680" s="833"/>
      <c r="M680" s="833"/>
    </row>
    <row r="681" ht="20.25" customHeight="1">
      <c r="A681" s="940"/>
      <c r="B681" s="274"/>
      <c r="C681" s="937"/>
      <c r="D681" s="274"/>
      <c r="E681" s="941"/>
      <c r="F681" s="28"/>
      <c r="G681" s="28"/>
      <c r="H681" s="28"/>
      <c r="I681" s="941"/>
      <c r="J681" s="941"/>
      <c r="K681" s="941"/>
      <c r="L681" s="941"/>
      <c r="M681" s="941"/>
    </row>
    <row r="682" ht="20.25" customHeight="1">
      <c r="A682" s="939"/>
      <c r="B682" s="274"/>
      <c r="C682" s="832"/>
      <c r="D682" s="274"/>
      <c r="E682" s="833"/>
      <c r="F682" s="30"/>
      <c r="G682" s="30"/>
      <c r="H682" s="30"/>
      <c r="I682" s="833"/>
      <c r="J682" s="833"/>
      <c r="K682" s="833"/>
      <c r="L682" s="833"/>
      <c r="M682" s="833"/>
    </row>
    <row r="683" ht="20.25" customHeight="1">
      <c r="A683" s="940"/>
      <c r="B683" s="274"/>
      <c r="C683" s="937"/>
      <c r="D683" s="274"/>
      <c r="E683" s="941"/>
      <c r="F683" s="28"/>
      <c r="G683" s="28"/>
      <c r="H683" s="28"/>
      <c r="I683" s="941"/>
      <c r="J683" s="941"/>
      <c r="K683" s="941"/>
      <c r="L683" s="941"/>
      <c r="M683" s="941"/>
    </row>
    <row r="684" ht="20.25" customHeight="1">
      <c r="A684" s="939"/>
      <c r="B684" s="274"/>
      <c r="C684" s="832"/>
      <c r="D684" s="274"/>
      <c r="E684" s="833"/>
      <c r="F684" s="30"/>
      <c r="G684" s="30"/>
      <c r="H684" s="30"/>
      <c r="I684" s="833"/>
      <c r="J684" s="833"/>
      <c r="K684" s="833"/>
      <c r="L684" s="833"/>
      <c r="M684" s="833"/>
    </row>
    <row r="685" ht="20.25" customHeight="1">
      <c r="A685" s="940"/>
      <c r="B685" s="274"/>
      <c r="C685" s="937"/>
      <c r="D685" s="274"/>
      <c r="E685" s="941"/>
      <c r="F685" s="28"/>
      <c r="G685" s="28"/>
      <c r="H685" s="28"/>
      <c r="I685" s="941"/>
      <c r="J685" s="941"/>
      <c r="K685" s="941"/>
      <c r="L685" s="941"/>
      <c r="M685" s="941"/>
    </row>
    <row r="686" ht="20.25" customHeight="1">
      <c r="A686" s="939"/>
      <c r="B686" s="274"/>
      <c r="C686" s="832"/>
      <c r="D686" s="274"/>
      <c r="E686" s="833"/>
      <c r="F686" s="30"/>
      <c r="G686" s="30"/>
      <c r="H686" s="30"/>
      <c r="I686" s="833"/>
      <c r="J686" s="833"/>
      <c r="K686" s="833"/>
      <c r="L686" s="833"/>
      <c r="M686" s="833"/>
    </row>
    <row r="687" ht="20.25" customHeight="1">
      <c r="A687" s="940"/>
      <c r="B687" s="274"/>
      <c r="C687" s="937"/>
      <c r="D687" s="274"/>
      <c r="E687" s="941"/>
      <c r="F687" s="28"/>
      <c r="G687" s="28"/>
      <c r="H687" s="28"/>
      <c r="I687" s="941"/>
      <c r="J687" s="941"/>
      <c r="K687" s="941"/>
      <c r="L687" s="941"/>
      <c r="M687" s="941"/>
    </row>
    <row r="688" ht="20.25" customHeight="1">
      <c r="A688" s="939"/>
      <c r="B688" s="274"/>
      <c r="C688" s="832"/>
      <c r="D688" s="274"/>
      <c r="E688" s="833"/>
      <c r="F688" s="30"/>
      <c r="G688" s="30"/>
      <c r="H688" s="30"/>
      <c r="I688" s="833"/>
      <c r="J688" s="833"/>
      <c r="K688" s="833"/>
      <c r="L688" s="833"/>
      <c r="M688" s="833"/>
    </row>
    <row r="689" ht="20.25" customHeight="1">
      <c r="A689" s="940"/>
      <c r="B689" s="274"/>
      <c r="C689" s="937"/>
      <c r="D689" s="274"/>
      <c r="E689" s="941"/>
      <c r="F689" s="28"/>
      <c r="G689" s="28"/>
      <c r="H689" s="28"/>
      <c r="I689" s="941"/>
      <c r="J689" s="941"/>
      <c r="K689" s="941"/>
      <c r="L689" s="941"/>
      <c r="M689" s="941"/>
    </row>
    <row r="690" ht="20.25" customHeight="1">
      <c r="A690" s="939"/>
      <c r="B690" s="274"/>
      <c r="C690" s="832"/>
      <c r="D690" s="274"/>
      <c r="E690" s="833"/>
      <c r="F690" s="30"/>
      <c r="G690" s="30"/>
      <c r="H690" s="30"/>
      <c r="I690" s="833"/>
      <c r="J690" s="833"/>
      <c r="K690" s="833"/>
      <c r="L690" s="833"/>
      <c r="M690" s="833"/>
    </row>
    <row r="691" ht="20.25" customHeight="1">
      <c r="A691" s="940"/>
      <c r="B691" s="274"/>
      <c r="C691" s="937"/>
      <c r="D691" s="274"/>
      <c r="E691" s="941"/>
      <c r="F691" s="28"/>
      <c r="G691" s="28"/>
      <c r="H691" s="28"/>
      <c r="I691" s="941"/>
      <c r="J691" s="941"/>
      <c r="K691" s="941"/>
      <c r="L691" s="941"/>
      <c r="M691" s="941"/>
    </row>
    <row r="692" ht="20.25" customHeight="1">
      <c r="A692" s="939"/>
      <c r="B692" s="274"/>
      <c r="C692" s="832"/>
      <c r="D692" s="274"/>
      <c r="E692" s="833"/>
      <c r="F692" s="30"/>
      <c r="G692" s="30"/>
      <c r="H692" s="30"/>
      <c r="I692" s="833"/>
      <c r="J692" s="833"/>
      <c r="K692" s="833"/>
      <c r="L692" s="833"/>
      <c r="M692" s="833"/>
    </row>
    <row r="693" ht="20.25" customHeight="1">
      <c r="A693" s="940"/>
      <c r="B693" s="274"/>
      <c r="C693" s="937"/>
      <c r="D693" s="274"/>
      <c r="E693" s="941"/>
      <c r="F693" s="28"/>
      <c r="G693" s="28"/>
      <c r="H693" s="28"/>
      <c r="I693" s="941"/>
      <c r="J693" s="941"/>
      <c r="K693" s="941"/>
      <c r="L693" s="941"/>
      <c r="M693" s="941"/>
    </row>
    <row r="694" ht="20.25" customHeight="1">
      <c r="A694" s="939"/>
      <c r="B694" s="274"/>
      <c r="C694" s="832"/>
      <c r="D694" s="274"/>
      <c r="E694" s="833"/>
      <c r="F694" s="30"/>
      <c r="G694" s="30"/>
      <c r="H694" s="30"/>
      <c r="I694" s="833"/>
      <c r="J694" s="833"/>
      <c r="K694" s="833"/>
      <c r="L694" s="833"/>
      <c r="M694" s="833"/>
    </row>
    <row r="695" ht="20.25" customHeight="1">
      <c r="A695" s="940"/>
      <c r="B695" s="274"/>
      <c r="C695" s="937"/>
      <c r="D695" s="274"/>
      <c r="E695" s="941"/>
      <c r="F695" s="28"/>
      <c r="G695" s="28"/>
      <c r="H695" s="28"/>
      <c r="I695" s="941"/>
      <c r="J695" s="941"/>
      <c r="K695" s="941"/>
      <c r="L695" s="941"/>
      <c r="M695" s="941"/>
    </row>
    <row r="696" ht="20.25" customHeight="1">
      <c r="A696" s="939"/>
      <c r="B696" s="274"/>
      <c r="C696" s="832"/>
      <c r="D696" s="274"/>
      <c r="E696" s="833"/>
      <c r="F696" s="30"/>
      <c r="G696" s="30"/>
      <c r="H696" s="30"/>
      <c r="I696" s="833"/>
      <c r="J696" s="833"/>
      <c r="K696" s="833"/>
      <c r="L696" s="833"/>
      <c r="M696" s="833"/>
    </row>
    <row r="697" ht="20.25" customHeight="1">
      <c r="A697" s="940"/>
      <c r="B697" s="274"/>
      <c r="C697" s="937"/>
      <c r="D697" s="274"/>
      <c r="E697" s="941"/>
      <c r="F697" s="28"/>
      <c r="G697" s="28"/>
      <c r="H697" s="28"/>
      <c r="I697" s="941"/>
      <c r="J697" s="941"/>
      <c r="K697" s="941"/>
      <c r="L697" s="941"/>
      <c r="M697" s="941"/>
    </row>
    <row r="698" ht="20.25" customHeight="1">
      <c r="A698" s="939"/>
      <c r="B698" s="274"/>
      <c r="C698" s="832"/>
      <c r="D698" s="274"/>
      <c r="E698" s="833"/>
      <c r="F698" s="30"/>
      <c r="G698" s="30"/>
      <c r="H698" s="30"/>
      <c r="I698" s="833"/>
      <c r="J698" s="833"/>
      <c r="K698" s="833"/>
      <c r="L698" s="833"/>
      <c r="M698" s="833"/>
    </row>
    <row r="699" ht="20.25" customHeight="1">
      <c r="A699" s="940"/>
      <c r="B699" s="274"/>
      <c r="C699" s="937"/>
      <c r="D699" s="274"/>
      <c r="E699" s="941"/>
      <c r="F699" s="28"/>
      <c r="G699" s="28"/>
      <c r="H699" s="28"/>
      <c r="I699" s="941"/>
      <c r="J699" s="941"/>
      <c r="K699" s="941"/>
      <c r="L699" s="941"/>
      <c r="M699" s="941"/>
    </row>
    <row r="700" ht="20.25" customHeight="1">
      <c r="A700" s="939"/>
      <c r="B700" s="274"/>
      <c r="C700" s="832"/>
      <c r="D700" s="274"/>
      <c r="E700" s="833"/>
      <c r="F700" s="30"/>
      <c r="G700" s="30"/>
      <c r="H700" s="30"/>
      <c r="I700" s="833"/>
      <c r="J700" s="833"/>
      <c r="K700" s="833"/>
      <c r="L700" s="833"/>
      <c r="M700" s="833"/>
    </row>
    <row r="701" ht="20.25" customHeight="1">
      <c r="A701" s="940"/>
      <c r="B701" s="274"/>
      <c r="C701" s="937"/>
      <c r="D701" s="274"/>
      <c r="E701" s="941"/>
      <c r="F701" s="28"/>
      <c r="G701" s="28"/>
      <c r="H701" s="28"/>
      <c r="I701" s="941"/>
      <c r="J701" s="941"/>
      <c r="K701" s="941"/>
      <c r="L701" s="941"/>
      <c r="M701" s="941"/>
    </row>
    <row r="702" ht="20.25" customHeight="1">
      <c r="A702" s="939"/>
      <c r="B702" s="274"/>
      <c r="C702" s="832"/>
      <c r="D702" s="274"/>
      <c r="E702" s="833"/>
      <c r="F702" s="30"/>
      <c r="G702" s="30"/>
      <c r="H702" s="30"/>
      <c r="I702" s="833"/>
      <c r="J702" s="833"/>
      <c r="K702" s="833"/>
      <c r="L702" s="833"/>
      <c r="M702" s="833"/>
    </row>
    <row r="703" ht="20.25" customHeight="1">
      <c r="A703" s="940"/>
      <c r="B703" s="274"/>
      <c r="C703" s="937"/>
      <c r="D703" s="274"/>
      <c r="E703" s="941"/>
      <c r="F703" s="28"/>
      <c r="G703" s="28"/>
      <c r="H703" s="28"/>
      <c r="I703" s="941"/>
      <c r="J703" s="941"/>
      <c r="K703" s="941"/>
      <c r="L703" s="941"/>
      <c r="M703" s="941"/>
    </row>
    <row r="704" ht="20.25" customHeight="1">
      <c r="A704" s="939"/>
      <c r="B704" s="274"/>
      <c r="C704" s="832"/>
      <c r="D704" s="274"/>
      <c r="E704" s="833"/>
      <c r="F704" s="30"/>
      <c r="G704" s="30"/>
      <c r="H704" s="30"/>
      <c r="I704" s="833"/>
      <c r="J704" s="833"/>
      <c r="K704" s="833"/>
      <c r="L704" s="833"/>
      <c r="M704" s="833"/>
    </row>
    <row r="705" ht="20.25" customHeight="1">
      <c r="A705" s="940"/>
      <c r="B705" s="274"/>
      <c r="C705" s="937"/>
      <c r="D705" s="274"/>
      <c r="E705" s="941"/>
      <c r="F705" s="28"/>
      <c r="G705" s="28"/>
      <c r="H705" s="28"/>
      <c r="I705" s="941"/>
      <c r="J705" s="941"/>
      <c r="K705" s="941"/>
      <c r="L705" s="941"/>
      <c r="M705" s="941"/>
    </row>
    <row r="706" ht="20.25" customHeight="1">
      <c r="A706" s="939"/>
      <c r="B706" s="274"/>
      <c r="C706" s="832"/>
      <c r="D706" s="274"/>
      <c r="E706" s="833"/>
      <c r="F706" s="30"/>
      <c r="G706" s="30"/>
      <c r="H706" s="30"/>
      <c r="I706" s="833"/>
      <c r="J706" s="833"/>
      <c r="K706" s="833"/>
      <c r="L706" s="833"/>
      <c r="M706" s="833"/>
    </row>
    <row r="707" ht="20.25" customHeight="1">
      <c r="A707" s="940"/>
      <c r="B707" s="274"/>
      <c r="C707" s="937"/>
      <c r="D707" s="274"/>
      <c r="E707" s="941"/>
      <c r="F707" s="28"/>
      <c r="G707" s="28"/>
      <c r="H707" s="28"/>
      <c r="I707" s="941"/>
      <c r="J707" s="941"/>
      <c r="K707" s="941"/>
      <c r="L707" s="941"/>
      <c r="M707" s="941"/>
    </row>
    <row r="708" ht="20.25" customHeight="1">
      <c r="A708" s="939"/>
      <c r="B708" s="274"/>
      <c r="C708" s="832"/>
      <c r="D708" s="274"/>
      <c r="E708" s="833"/>
      <c r="F708" s="30"/>
      <c r="G708" s="30"/>
      <c r="H708" s="30"/>
      <c r="I708" s="833"/>
      <c r="J708" s="833"/>
      <c r="K708" s="833"/>
      <c r="L708" s="833"/>
      <c r="M708" s="833"/>
    </row>
    <row r="709" ht="20.25" customHeight="1">
      <c r="A709" s="940"/>
      <c r="B709" s="274"/>
      <c r="C709" s="937"/>
      <c r="D709" s="274"/>
      <c r="E709" s="941"/>
      <c r="F709" s="28"/>
      <c r="G709" s="28"/>
      <c r="H709" s="28"/>
      <c r="I709" s="941"/>
      <c r="J709" s="941"/>
      <c r="K709" s="941"/>
      <c r="L709" s="941"/>
      <c r="M709" s="941"/>
    </row>
    <row r="710" ht="20.25" customHeight="1">
      <c r="A710" s="939"/>
      <c r="B710" s="274"/>
      <c r="C710" s="832"/>
      <c r="D710" s="274"/>
      <c r="E710" s="833"/>
      <c r="F710" s="30"/>
      <c r="G710" s="30"/>
      <c r="H710" s="30"/>
      <c r="I710" s="833"/>
      <c r="J710" s="833"/>
      <c r="K710" s="833"/>
      <c r="L710" s="833"/>
      <c r="M710" s="833"/>
    </row>
    <row r="711" ht="20.25" customHeight="1">
      <c r="A711" s="940"/>
      <c r="B711" s="274"/>
      <c r="C711" s="937"/>
      <c r="D711" s="274"/>
      <c r="E711" s="941"/>
      <c r="F711" s="28"/>
      <c r="G711" s="28"/>
      <c r="H711" s="28"/>
      <c r="I711" s="941"/>
      <c r="J711" s="941"/>
      <c r="K711" s="941"/>
      <c r="L711" s="941"/>
      <c r="M711" s="941"/>
    </row>
    <row r="712" ht="20.25" customHeight="1">
      <c r="A712" s="939"/>
      <c r="B712" s="274"/>
      <c r="C712" s="832"/>
      <c r="D712" s="274"/>
      <c r="E712" s="833"/>
      <c r="F712" s="30"/>
      <c r="G712" s="30"/>
      <c r="H712" s="30"/>
      <c r="I712" s="833"/>
      <c r="J712" s="833"/>
      <c r="K712" s="833"/>
      <c r="L712" s="833"/>
      <c r="M712" s="833"/>
    </row>
    <row r="713" ht="20.25" customHeight="1">
      <c r="A713" s="940"/>
      <c r="B713" s="274"/>
      <c r="C713" s="937"/>
      <c r="D713" s="274"/>
      <c r="E713" s="941"/>
      <c r="F713" s="28"/>
      <c r="G713" s="28"/>
      <c r="H713" s="28"/>
      <c r="I713" s="941"/>
      <c r="J713" s="941"/>
      <c r="K713" s="941"/>
      <c r="L713" s="941"/>
      <c r="M713" s="941"/>
    </row>
    <row r="714" ht="20.25" customHeight="1">
      <c r="A714" s="939"/>
      <c r="B714" s="274"/>
      <c r="C714" s="832"/>
      <c r="D714" s="274"/>
      <c r="E714" s="833"/>
      <c r="F714" s="30"/>
      <c r="G714" s="30"/>
      <c r="H714" s="30"/>
      <c r="I714" s="833"/>
      <c r="J714" s="833"/>
      <c r="K714" s="833"/>
      <c r="L714" s="833"/>
      <c r="M714" s="833"/>
    </row>
    <row r="715" ht="20.25" customHeight="1">
      <c r="A715" s="940"/>
      <c r="B715" s="274"/>
      <c r="C715" s="937"/>
      <c r="D715" s="274"/>
      <c r="E715" s="941"/>
      <c r="F715" s="28"/>
      <c r="G715" s="28"/>
      <c r="H715" s="28"/>
      <c r="I715" s="941"/>
      <c r="J715" s="941"/>
      <c r="K715" s="941"/>
      <c r="L715" s="941"/>
      <c r="M715" s="941"/>
    </row>
    <row r="716" ht="20.25" customHeight="1">
      <c r="A716" s="939"/>
      <c r="B716" s="274"/>
      <c r="C716" s="832"/>
      <c r="D716" s="274"/>
      <c r="E716" s="833"/>
      <c r="F716" s="30"/>
      <c r="G716" s="30"/>
      <c r="H716" s="30"/>
      <c r="I716" s="833"/>
      <c r="J716" s="833"/>
      <c r="K716" s="833"/>
      <c r="L716" s="833"/>
      <c r="M716" s="833"/>
    </row>
    <row r="717" ht="20.25" customHeight="1">
      <c r="A717" s="940"/>
      <c r="B717" s="274"/>
      <c r="C717" s="937"/>
      <c r="D717" s="274"/>
      <c r="E717" s="941"/>
      <c r="F717" s="28"/>
      <c r="G717" s="28"/>
      <c r="H717" s="28"/>
      <c r="I717" s="941"/>
      <c r="J717" s="941"/>
      <c r="K717" s="941"/>
      <c r="L717" s="941"/>
      <c r="M717" s="941"/>
    </row>
    <row r="718" ht="20.25" customHeight="1">
      <c r="A718" s="939"/>
      <c r="B718" s="274"/>
      <c r="C718" s="832"/>
      <c r="D718" s="274"/>
      <c r="E718" s="833"/>
      <c r="F718" s="30"/>
      <c r="G718" s="30"/>
      <c r="H718" s="30"/>
      <c r="I718" s="833"/>
      <c r="J718" s="833"/>
      <c r="K718" s="833"/>
      <c r="L718" s="833"/>
      <c r="M718" s="833"/>
    </row>
    <row r="719" ht="20.25" customHeight="1">
      <c r="A719" s="940"/>
      <c r="B719" s="274"/>
      <c r="C719" s="937"/>
      <c r="D719" s="274"/>
      <c r="E719" s="941"/>
      <c r="F719" s="28"/>
      <c r="G719" s="28"/>
      <c r="H719" s="28"/>
      <c r="I719" s="941"/>
      <c r="J719" s="941"/>
      <c r="K719" s="941"/>
      <c r="L719" s="941"/>
      <c r="M719" s="941"/>
    </row>
    <row r="720" ht="20.25" customHeight="1">
      <c r="A720" s="939"/>
      <c r="B720" s="274"/>
      <c r="C720" s="832"/>
      <c r="D720" s="274"/>
      <c r="E720" s="833"/>
      <c r="F720" s="30"/>
      <c r="G720" s="30"/>
      <c r="H720" s="30"/>
      <c r="I720" s="833"/>
      <c r="J720" s="833"/>
      <c r="K720" s="833"/>
      <c r="L720" s="833"/>
      <c r="M720" s="833"/>
    </row>
    <row r="721" ht="20.25" customHeight="1">
      <c r="A721" s="940"/>
      <c r="B721" s="274"/>
      <c r="C721" s="937"/>
      <c r="D721" s="274"/>
      <c r="E721" s="941"/>
      <c r="F721" s="28"/>
      <c r="G721" s="28"/>
      <c r="H721" s="28"/>
      <c r="I721" s="941"/>
      <c r="J721" s="941"/>
      <c r="K721" s="941"/>
      <c r="L721" s="941"/>
      <c r="M721" s="941"/>
    </row>
    <row r="722" ht="20.25" customHeight="1">
      <c r="A722" s="939"/>
      <c r="B722" s="274"/>
      <c r="C722" s="832"/>
      <c r="D722" s="274"/>
      <c r="E722" s="833"/>
      <c r="F722" s="30"/>
      <c r="G722" s="30"/>
      <c r="H722" s="30"/>
      <c r="I722" s="833"/>
      <c r="J722" s="833"/>
      <c r="K722" s="833"/>
      <c r="L722" s="833"/>
      <c r="M722" s="833"/>
    </row>
    <row r="723" ht="20.25" customHeight="1">
      <c r="A723" s="940"/>
      <c r="B723" s="274"/>
      <c r="C723" s="937"/>
      <c r="D723" s="274"/>
      <c r="E723" s="941"/>
      <c r="F723" s="28"/>
      <c r="G723" s="28"/>
      <c r="H723" s="28"/>
      <c r="I723" s="941"/>
      <c r="J723" s="941"/>
      <c r="K723" s="941"/>
      <c r="L723" s="941"/>
      <c r="M723" s="941"/>
    </row>
    <row r="724" ht="20.25" customHeight="1">
      <c r="A724" s="939"/>
      <c r="B724" s="274"/>
      <c r="C724" s="832"/>
      <c r="D724" s="274"/>
      <c r="E724" s="833"/>
      <c r="F724" s="30"/>
      <c r="G724" s="30"/>
      <c r="H724" s="30"/>
      <c r="I724" s="833"/>
      <c r="J724" s="833"/>
      <c r="K724" s="833"/>
      <c r="L724" s="833"/>
      <c r="M724" s="833"/>
    </row>
    <row r="725" ht="20.25" customHeight="1">
      <c r="A725" s="940"/>
      <c r="B725" s="274"/>
      <c r="C725" s="937"/>
      <c r="D725" s="274"/>
      <c r="E725" s="941"/>
      <c r="F725" s="28"/>
      <c r="G725" s="28"/>
      <c r="H725" s="28"/>
      <c r="I725" s="941"/>
      <c r="J725" s="941"/>
      <c r="K725" s="941"/>
      <c r="L725" s="941"/>
      <c r="M725" s="941"/>
    </row>
    <row r="726" ht="20.25" customHeight="1">
      <c r="A726" s="939"/>
      <c r="B726" s="274"/>
      <c r="C726" s="832"/>
      <c r="D726" s="274"/>
      <c r="E726" s="833"/>
      <c r="F726" s="30"/>
      <c r="G726" s="30"/>
      <c r="H726" s="30"/>
      <c r="I726" s="833"/>
      <c r="J726" s="833"/>
      <c r="K726" s="833"/>
      <c r="L726" s="833"/>
      <c r="M726" s="833"/>
    </row>
    <row r="727" ht="20.25" customHeight="1">
      <c r="A727" s="940"/>
      <c r="B727" s="274"/>
      <c r="C727" s="937"/>
      <c r="D727" s="274"/>
      <c r="E727" s="941"/>
      <c r="F727" s="28"/>
      <c r="G727" s="28"/>
      <c r="H727" s="28"/>
      <c r="I727" s="941"/>
      <c r="J727" s="941"/>
      <c r="K727" s="941"/>
      <c r="L727" s="941"/>
      <c r="M727" s="941"/>
    </row>
    <row r="728" ht="20.25" customHeight="1">
      <c r="A728" s="939"/>
      <c r="B728" s="274"/>
      <c r="C728" s="832"/>
      <c r="D728" s="274"/>
      <c r="E728" s="833"/>
      <c r="F728" s="30"/>
      <c r="G728" s="30"/>
      <c r="H728" s="30"/>
      <c r="I728" s="833"/>
      <c r="J728" s="833"/>
      <c r="K728" s="833"/>
      <c r="L728" s="833"/>
      <c r="M728" s="833"/>
    </row>
    <row r="729" ht="20.25" customHeight="1">
      <c r="A729" s="940"/>
      <c r="B729" s="274"/>
      <c r="C729" s="937"/>
      <c r="D729" s="274"/>
      <c r="E729" s="941"/>
      <c r="F729" s="28"/>
      <c r="G729" s="28"/>
      <c r="H729" s="28"/>
      <c r="I729" s="941"/>
      <c r="J729" s="941"/>
      <c r="K729" s="941"/>
      <c r="L729" s="941"/>
      <c r="M729" s="941"/>
    </row>
    <row r="730" ht="20.25" customHeight="1">
      <c r="A730" s="939"/>
      <c r="B730" s="274"/>
      <c r="C730" s="832"/>
      <c r="D730" s="274"/>
      <c r="E730" s="833"/>
      <c r="F730" s="30"/>
      <c r="G730" s="30"/>
      <c r="H730" s="30"/>
      <c r="I730" s="833"/>
      <c r="J730" s="833"/>
      <c r="K730" s="833"/>
      <c r="L730" s="833"/>
      <c r="M730" s="833"/>
    </row>
    <row r="731" ht="20.25" customHeight="1">
      <c r="A731" s="940"/>
      <c r="B731" s="274"/>
      <c r="C731" s="937"/>
      <c r="D731" s="274"/>
      <c r="E731" s="941"/>
      <c r="F731" s="28"/>
      <c r="G731" s="28"/>
      <c r="H731" s="28"/>
      <c r="I731" s="941"/>
      <c r="J731" s="941"/>
      <c r="K731" s="941"/>
      <c r="L731" s="941"/>
      <c r="M731" s="941"/>
    </row>
    <row r="732" ht="20.25" customHeight="1">
      <c r="A732" s="939"/>
      <c r="B732" s="274"/>
      <c r="C732" s="832"/>
      <c r="D732" s="274"/>
      <c r="E732" s="833"/>
      <c r="F732" s="30"/>
      <c r="G732" s="30"/>
      <c r="H732" s="30"/>
      <c r="I732" s="833"/>
      <c r="J732" s="833"/>
      <c r="K732" s="833"/>
      <c r="L732" s="833"/>
      <c r="M732" s="833"/>
    </row>
    <row r="733" ht="20.25" customHeight="1">
      <c r="A733" s="940"/>
      <c r="B733" s="274"/>
      <c r="C733" s="937"/>
      <c r="D733" s="274"/>
      <c r="E733" s="941"/>
      <c r="F733" s="28"/>
      <c r="G733" s="28"/>
      <c r="H733" s="28"/>
      <c r="I733" s="941"/>
      <c r="J733" s="941"/>
      <c r="K733" s="941"/>
      <c r="L733" s="941"/>
      <c r="M733" s="941"/>
    </row>
    <row r="734" ht="20.25" customHeight="1">
      <c r="A734" s="939"/>
      <c r="B734" s="274"/>
      <c r="C734" s="832"/>
      <c r="D734" s="274"/>
      <c r="E734" s="833"/>
      <c r="F734" s="30"/>
      <c r="G734" s="30"/>
      <c r="H734" s="30"/>
      <c r="I734" s="833"/>
      <c r="J734" s="833"/>
      <c r="K734" s="833"/>
      <c r="L734" s="833"/>
      <c r="M734" s="833"/>
    </row>
    <row r="735" ht="20.25" customHeight="1">
      <c r="A735" s="940"/>
      <c r="B735" s="274"/>
      <c r="C735" s="937"/>
      <c r="D735" s="274"/>
      <c r="E735" s="941"/>
      <c r="F735" s="28"/>
      <c r="G735" s="28"/>
      <c r="H735" s="28"/>
      <c r="I735" s="941"/>
      <c r="J735" s="941"/>
      <c r="K735" s="941"/>
      <c r="L735" s="941"/>
      <c r="M735" s="941"/>
    </row>
    <row r="736" ht="20.25" customHeight="1">
      <c r="A736" s="939"/>
      <c r="B736" s="274"/>
      <c r="C736" s="832"/>
      <c r="D736" s="274"/>
      <c r="E736" s="833"/>
      <c r="F736" s="30"/>
      <c r="G736" s="30"/>
      <c r="H736" s="30"/>
      <c r="I736" s="833"/>
      <c r="J736" s="833"/>
      <c r="K736" s="833"/>
      <c r="L736" s="833"/>
      <c r="M736" s="833"/>
    </row>
    <row r="737" ht="20.25" customHeight="1">
      <c r="A737" s="940"/>
      <c r="B737" s="274"/>
      <c r="C737" s="937"/>
      <c r="D737" s="274"/>
      <c r="E737" s="941"/>
      <c r="F737" s="28"/>
      <c r="G737" s="28"/>
      <c r="H737" s="28"/>
      <c r="I737" s="941"/>
      <c r="J737" s="941"/>
      <c r="K737" s="941"/>
      <c r="L737" s="941"/>
      <c r="M737" s="941"/>
    </row>
    <row r="738" ht="20.25" customHeight="1">
      <c r="A738" s="939"/>
      <c r="B738" s="274"/>
      <c r="C738" s="832"/>
      <c r="D738" s="274"/>
      <c r="E738" s="833"/>
      <c r="F738" s="30"/>
      <c r="G738" s="30"/>
      <c r="H738" s="30"/>
      <c r="I738" s="833"/>
      <c r="J738" s="833"/>
      <c r="K738" s="833"/>
      <c r="L738" s="833"/>
      <c r="M738" s="833"/>
    </row>
    <row r="739" ht="20.25" customHeight="1">
      <c r="A739" s="940"/>
      <c r="B739" s="274"/>
      <c r="C739" s="937"/>
      <c r="D739" s="274"/>
      <c r="E739" s="941"/>
      <c r="F739" s="28"/>
      <c r="G739" s="28"/>
      <c r="H739" s="28"/>
      <c r="I739" s="941"/>
      <c r="J739" s="941"/>
      <c r="K739" s="941"/>
      <c r="L739" s="941"/>
      <c r="M739" s="941"/>
    </row>
    <row r="740" ht="20.25" customHeight="1">
      <c r="A740" s="939"/>
      <c r="B740" s="274"/>
      <c r="C740" s="832"/>
      <c r="D740" s="274"/>
      <c r="E740" s="833"/>
      <c r="F740" s="30"/>
      <c r="G740" s="30"/>
      <c r="H740" s="30"/>
      <c r="I740" s="833"/>
      <c r="J740" s="833"/>
      <c r="K740" s="833"/>
      <c r="L740" s="833"/>
      <c r="M740" s="833"/>
    </row>
    <row r="741" ht="20.25" customHeight="1">
      <c r="A741" s="940"/>
      <c r="B741" s="274"/>
      <c r="C741" s="937"/>
      <c r="D741" s="274"/>
      <c r="E741" s="941"/>
      <c r="F741" s="28"/>
      <c r="G741" s="28"/>
      <c r="H741" s="28"/>
      <c r="I741" s="941"/>
      <c r="J741" s="941"/>
      <c r="K741" s="941"/>
      <c r="L741" s="941"/>
      <c r="M741" s="941"/>
    </row>
    <row r="742" ht="20.25" customHeight="1">
      <c r="A742" s="939"/>
      <c r="B742" s="274"/>
      <c r="C742" s="832"/>
      <c r="D742" s="274"/>
      <c r="E742" s="833"/>
      <c r="F742" s="30"/>
      <c r="G742" s="30"/>
      <c r="H742" s="30"/>
      <c r="I742" s="833"/>
      <c r="J742" s="833"/>
      <c r="K742" s="833"/>
      <c r="L742" s="833"/>
      <c r="M742" s="833"/>
    </row>
    <row r="743" ht="20.25" customHeight="1">
      <c r="A743" s="940"/>
      <c r="B743" s="274"/>
      <c r="C743" s="937"/>
      <c r="D743" s="274"/>
      <c r="E743" s="941"/>
      <c r="F743" s="28"/>
      <c r="G743" s="28"/>
      <c r="H743" s="28"/>
      <c r="I743" s="941"/>
      <c r="J743" s="941"/>
      <c r="K743" s="941"/>
      <c r="L743" s="941"/>
      <c r="M743" s="941"/>
    </row>
    <row r="744" ht="20.25" customHeight="1">
      <c r="A744" s="939"/>
      <c r="B744" s="274"/>
      <c r="C744" s="832"/>
      <c r="D744" s="274"/>
      <c r="E744" s="833"/>
      <c r="F744" s="30"/>
      <c r="G744" s="30"/>
      <c r="H744" s="30"/>
      <c r="I744" s="833"/>
      <c r="J744" s="833"/>
      <c r="K744" s="833"/>
      <c r="L744" s="833"/>
      <c r="M744" s="833"/>
    </row>
    <row r="745" ht="20.25" customHeight="1">
      <c r="A745" s="940"/>
      <c r="B745" s="274"/>
      <c r="C745" s="937"/>
      <c r="D745" s="274"/>
      <c r="E745" s="941"/>
      <c r="F745" s="28"/>
      <c r="G745" s="28"/>
      <c r="H745" s="28"/>
      <c r="I745" s="941"/>
      <c r="J745" s="941"/>
      <c r="K745" s="941"/>
      <c r="L745" s="941"/>
      <c r="M745" s="941"/>
    </row>
    <row r="746" ht="20.25" customHeight="1">
      <c r="A746" s="939"/>
      <c r="B746" s="274"/>
      <c r="C746" s="832"/>
      <c r="D746" s="274"/>
      <c r="E746" s="833"/>
      <c r="F746" s="30"/>
      <c r="G746" s="30"/>
      <c r="H746" s="30"/>
      <c r="I746" s="833"/>
      <c r="J746" s="833"/>
      <c r="K746" s="833"/>
      <c r="L746" s="833"/>
      <c r="M746" s="833"/>
    </row>
    <row r="747" ht="20.25" customHeight="1">
      <c r="A747" s="940"/>
      <c r="B747" s="274"/>
      <c r="C747" s="937"/>
      <c r="D747" s="274"/>
      <c r="E747" s="941"/>
      <c r="F747" s="28"/>
      <c r="G747" s="28"/>
      <c r="H747" s="28"/>
      <c r="I747" s="941"/>
      <c r="J747" s="941"/>
      <c r="K747" s="941"/>
      <c r="L747" s="941"/>
      <c r="M747" s="941"/>
    </row>
    <row r="748" ht="20.25" customHeight="1">
      <c r="A748" s="939"/>
      <c r="B748" s="274"/>
      <c r="C748" s="832"/>
      <c r="D748" s="274"/>
      <c r="E748" s="833"/>
      <c r="F748" s="30"/>
      <c r="G748" s="30"/>
      <c r="H748" s="30"/>
      <c r="I748" s="833"/>
      <c r="J748" s="833"/>
      <c r="K748" s="833"/>
      <c r="L748" s="833"/>
      <c r="M748" s="833"/>
    </row>
    <row r="749" ht="20.25" customHeight="1">
      <c r="A749" s="940"/>
      <c r="B749" s="274"/>
      <c r="C749" s="937"/>
      <c r="D749" s="274"/>
      <c r="E749" s="941"/>
      <c r="F749" s="28"/>
      <c r="G749" s="28"/>
      <c r="H749" s="28"/>
      <c r="I749" s="941"/>
      <c r="J749" s="941"/>
      <c r="K749" s="941"/>
      <c r="L749" s="941"/>
      <c r="M749" s="941"/>
    </row>
    <row r="750" ht="20.25" customHeight="1">
      <c r="A750" s="939"/>
      <c r="B750" s="274"/>
      <c r="C750" s="832"/>
      <c r="D750" s="274"/>
      <c r="E750" s="833"/>
      <c r="F750" s="30"/>
      <c r="G750" s="30"/>
      <c r="H750" s="30"/>
      <c r="I750" s="833"/>
      <c r="J750" s="833"/>
      <c r="K750" s="833"/>
      <c r="L750" s="833"/>
      <c r="M750" s="833"/>
    </row>
    <row r="751" ht="20.25" customHeight="1">
      <c r="A751" s="940"/>
      <c r="B751" s="274"/>
      <c r="C751" s="937"/>
      <c r="D751" s="274"/>
      <c r="E751" s="941"/>
      <c r="F751" s="28"/>
      <c r="G751" s="28"/>
      <c r="H751" s="28"/>
      <c r="I751" s="941"/>
      <c r="J751" s="941"/>
      <c r="K751" s="941"/>
      <c r="L751" s="941"/>
      <c r="M751" s="941"/>
    </row>
    <row r="752" ht="20.25" customHeight="1">
      <c r="A752" s="939"/>
      <c r="B752" s="274"/>
      <c r="C752" s="832"/>
      <c r="D752" s="274"/>
      <c r="E752" s="833"/>
      <c r="F752" s="30"/>
      <c r="G752" s="30"/>
      <c r="H752" s="30"/>
      <c r="I752" s="833"/>
      <c r="J752" s="833"/>
      <c r="K752" s="833"/>
      <c r="L752" s="833"/>
      <c r="M752" s="833"/>
    </row>
    <row r="753" ht="20.25" customHeight="1">
      <c r="A753" s="940"/>
      <c r="B753" s="274"/>
      <c r="C753" s="937"/>
      <c r="D753" s="274"/>
      <c r="E753" s="941"/>
      <c r="F753" s="28"/>
      <c r="G753" s="28"/>
      <c r="H753" s="28"/>
      <c r="I753" s="941"/>
      <c r="J753" s="941"/>
      <c r="K753" s="941"/>
      <c r="L753" s="941"/>
      <c r="M753" s="941"/>
    </row>
    <row r="754" ht="20.25" customHeight="1">
      <c r="A754" s="939"/>
      <c r="B754" s="274"/>
      <c r="C754" s="832"/>
      <c r="D754" s="274"/>
      <c r="E754" s="833"/>
      <c r="F754" s="30"/>
      <c r="G754" s="30"/>
      <c r="H754" s="30"/>
      <c r="I754" s="833"/>
      <c r="J754" s="833"/>
      <c r="K754" s="833"/>
      <c r="L754" s="833"/>
      <c r="M754" s="833"/>
    </row>
    <row r="755" ht="20.25" customHeight="1">
      <c r="A755" s="940"/>
      <c r="B755" s="274"/>
      <c r="C755" s="937"/>
      <c r="D755" s="274"/>
      <c r="E755" s="941"/>
      <c r="F755" s="28"/>
      <c r="G755" s="28"/>
      <c r="H755" s="28"/>
      <c r="I755" s="941"/>
      <c r="J755" s="941"/>
      <c r="K755" s="941"/>
      <c r="L755" s="941"/>
      <c r="M755" s="941"/>
    </row>
    <row r="756" ht="20.25" customHeight="1">
      <c r="A756" s="939"/>
      <c r="B756" s="274"/>
      <c r="C756" s="832"/>
      <c r="D756" s="274"/>
      <c r="E756" s="833"/>
      <c r="F756" s="30"/>
      <c r="G756" s="30"/>
      <c r="H756" s="30"/>
      <c r="I756" s="833"/>
      <c r="J756" s="833"/>
      <c r="K756" s="833"/>
      <c r="L756" s="833"/>
      <c r="M756" s="833"/>
    </row>
    <row r="757" ht="20.25" customHeight="1">
      <c r="A757" s="940"/>
      <c r="B757" s="274"/>
      <c r="C757" s="937"/>
      <c r="D757" s="274"/>
      <c r="E757" s="941"/>
      <c r="F757" s="28"/>
      <c r="G757" s="28"/>
      <c r="H757" s="28"/>
      <c r="I757" s="941"/>
      <c r="J757" s="941"/>
      <c r="K757" s="941"/>
      <c r="L757" s="941"/>
      <c r="M757" s="941"/>
    </row>
    <row r="758" ht="20.25" customHeight="1">
      <c r="A758" s="939"/>
      <c r="B758" s="274"/>
      <c r="C758" s="832"/>
      <c r="D758" s="274"/>
      <c r="E758" s="833"/>
      <c r="F758" s="30"/>
      <c r="G758" s="30"/>
      <c r="H758" s="30"/>
      <c r="I758" s="833"/>
      <c r="J758" s="833"/>
      <c r="K758" s="833"/>
      <c r="L758" s="833"/>
      <c r="M758" s="833"/>
    </row>
    <row r="759" ht="20.25" customHeight="1">
      <c r="A759" s="940"/>
      <c r="B759" s="274"/>
      <c r="C759" s="937"/>
      <c r="D759" s="274"/>
      <c r="E759" s="941"/>
      <c r="F759" s="28"/>
      <c r="G759" s="28"/>
      <c r="H759" s="28"/>
      <c r="I759" s="941"/>
      <c r="J759" s="941"/>
      <c r="K759" s="941"/>
      <c r="L759" s="941"/>
      <c r="M759" s="941"/>
    </row>
    <row r="760" ht="20.25" customHeight="1">
      <c r="A760" s="939"/>
      <c r="B760" s="274"/>
      <c r="C760" s="832"/>
      <c r="D760" s="274"/>
      <c r="E760" s="833"/>
      <c r="F760" s="30"/>
      <c r="G760" s="30"/>
      <c r="H760" s="30"/>
      <c r="I760" s="833"/>
      <c r="J760" s="833"/>
      <c r="K760" s="833"/>
      <c r="L760" s="833"/>
      <c r="M760" s="833"/>
    </row>
    <row r="761" ht="20.25" customHeight="1">
      <c r="A761" s="940"/>
      <c r="B761" s="274"/>
      <c r="C761" s="937"/>
      <c r="D761" s="274"/>
      <c r="E761" s="941"/>
      <c r="F761" s="28"/>
      <c r="G761" s="28"/>
      <c r="H761" s="28"/>
      <c r="I761" s="941"/>
      <c r="J761" s="941"/>
      <c r="K761" s="941"/>
      <c r="L761" s="941"/>
      <c r="M761" s="941"/>
    </row>
    <row r="762" ht="20.25" customHeight="1">
      <c r="A762" s="939"/>
      <c r="B762" s="274"/>
      <c r="C762" s="832"/>
      <c r="D762" s="274"/>
      <c r="E762" s="833"/>
      <c r="F762" s="30"/>
      <c r="G762" s="30"/>
      <c r="H762" s="30"/>
      <c r="I762" s="833"/>
      <c r="J762" s="833"/>
      <c r="K762" s="833"/>
      <c r="L762" s="833"/>
      <c r="M762" s="833"/>
    </row>
    <row r="763" ht="20.25" customHeight="1">
      <c r="A763" s="940"/>
      <c r="B763" s="274"/>
      <c r="C763" s="937"/>
      <c r="D763" s="274"/>
      <c r="E763" s="941"/>
      <c r="F763" s="28"/>
      <c r="G763" s="28"/>
      <c r="H763" s="28"/>
      <c r="I763" s="941"/>
      <c r="J763" s="941"/>
      <c r="K763" s="941"/>
      <c r="L763" s="941"/>
      <c r="M763" s="941"/>
    </row>
    <row r="764" ht="20.25" customHeight="1">
      <c r="A764" s="939"/>
      <c r="B764" s="274"/>
      <c r="C764" s="832"/>
      <c r="D764" s="274"/>
      <c r="E764" s="833"/>
      <c r="F764" s="30"/>
      <c r="G764" s="30"/>
      <c r="H764" s="30"/>
      <c r="I764" s="833"/>
      <c r="J764" s="833"/>
      <c r="K764" s="833"/>
      <c r="L764" s="833"/>
      <c r="M764" s="833"/>
    </row>
    <row r="765" ht="20.25" customHeight="1">
      <c r="A765" s="940"/>
      <c r="B765" s="274"/>
      <c r="C765" s="937"/>
      <c r="D765" s="274"/>
      <c r="E765" s="941"/>
      <c r="F765" s="28"/>
      <c r="G765" s="28"/>
      <c r="H765" s="28"/>
      <c r="I765" s="941"/>
      <c r="J765" s="941"/>
      <c r="K765" s="941"/>
      <c r="L765" s="941"/>
      <c r="M765" s="941"/>
    </row>
    <row r="766" ht="20.25" customHeight="1">
      <c r="A766" s="939"/>
      <c r="B766" s="274"/>
      <c r="C766" s="832"/>
      <c r="D766" s="274"/>
      <c r="E766" s="833"/>
      <c r="F766" s="30"/>
      <c r="G766" s="30"/>
      <c r="H766" s="30"/>
      <c r="I766" s="833"/>
      <c r="J766" s="833"/>
      <c r="K766" s="833"/>
      <c r="L766" s="833"/>
      <c r="M766" s="833"/>
    </row>
    <row r="767" ht="20.25" customHeight="1">
      <c r="A767" s="940"/>
      <c r="B767" s="274"/>
      <c r="C767" s="937"/>
      <c r="D767" s="274"/>
      <c r="E767" s="941"/>
      <c r="F767" s="28"/>
      <c r="G767" s="28"/>
      <c r="H767" s="28"/>
      <c r="I767" s="941"/>
      <c r="J767" s="941"/>
      <c r="K767" s="941"/>
      <c r="L767" s="941"/>
      <c r="M767" s="941"/>
    </row>
    <row r="768" ht="20.25" customHeight="1">
      <c r="A768" s="939"/>
      <c r="B768" s="274"/>
      <c r="C768" s="832"/>
      <c r="D768" s="274"/>
      <c r="E768" s="833"/>
      <c r="F768" s="30"/>
      <c r="G768" s="30"/>
      <c r="H768" s="30"/>
      <c r="I768" s="833"/>
      <c r="J768" s="833"/>
      <c r="K768" s="833"/>
      <c r="L768" s="833"/>
      <c r="M768" s="833"/>
    </row>
    <row r="769" ht="20.25" customHeight="1">
      <c r="A769" s="940"/>
      <c r="B769" s="274"/>
      <c r="C769" s="937"/>
      <c r="D769" s="274"/>
      <c r="E769" s="941"/>
      <c r="F769" s="28"/>
      <c r="G769" s="28"/>
      <c r="H769" s="28"/>
      <c r="I769" s="941"/>
      <c r="J769" s="941"/>
      <c r="K769" s="941"/>
      <c r="L769" s="941"/>
      <c r="M769" s="941"/>
    </row>
    <row r="770" ht="20.25" customHeight="1">
      <c r="A770" s="939"/>
      <c r="B770" s="274"/>
      <c r="C770" s="832"/>
      <c r="D770" s="274"/>
      <c r="E770" s="833"/>
      <c r="F770" s="30"/>
      <c r="G770" s="30"/>
      <c r="H770" s="30"/>
      <c r="I770" s="833"/>
      <c r="J770" s="833"/>
      <c r="K770" s="833"/>
      <c r="L770" s="833"/>
      <c r="M770" s="833"/>
    </row>
    <row r="771" ht="20.25" customHeight="1">
      <c r="A771" s="940"/>
      <c r="B771" s="274"/>
      <c r="C771" s="937"/>
      <c r="D771" s="274"/>
      <c r="E771" s="941"/>
      <c r="F771" s="28"/>
      <c r="G771" s="28"/>
      <c r="H771" s="28"/>
      <c r="I771" s="941"/>
      <c r="J771" s="941"/>
      <c r="K771" s="941"/>
      <c r="L771" s="941"/>
      <c r="M771" s="941"/>
    </row>
    <row r="772" ht="20.25" customHeight="1">
      <c r="A772" s="939"/>
      <c r="B772" s="274"/>
      <c r="C772" s="832"/>
      <c r="D772" s="274"/>
      <c r="E772" s="833"/>
      <c r="F772" s="30"/>
      <c r="G772" s="30"/>
      <c r="H772" s="30"/>
      <c r="I772" s="833"/>
      <c r="J772" s="833"/>
      <c r="K772" s="833"/>
      <c r="L772" s="833"/>
      <c r="M772" s="833"/>
    </row>
    <row r="773" ht="20.25" customHeight="1">
      <c r="A773" s="940"/>
      <c r="B773" s="274"/>
      <c r="C773" s="937"/>
      <c r="D773" s="274"/>
      <c r="E773" s="941"/>
      <c r="F773" s="28"/>
      <c r="G773" s="28"/>
      <c r="H773" s="28"/>
      <c r="I773" s="941"/>
      <c r="J773" s="941"/>
      <c r="K773" s="941"/>
      <c r="L773" s="941"/>
      <c r="M773" s="941"/>
    </row>
    <row r="774" ht="20.25" customHeight="1">
      <c r="A774" s="939"/>
      <c r="B774" s="274"/>
      <c r="C774" s="832"/>
      <c r="D774" s="274"/>
      <c r="E774" s="833"/>
      <c r="F774" s="30"/>
      <c r="G774" s="30"/>
      <c r="H774" s="30"/>
      <c r="I774" s="833"/>
      <c r="J774" s="833"/>
      <c r="K774" s="833"/>
      <c r="L774" s="833"/>
      <c r="M774" s="833"/>
    </row>
    <row r="775" ht="20.25" customHeight="1">
      <c r="A775" s="940"/>
      <c r="B775" s="274"/>
      <c r="C775" s="937"/>
      <c r="D775" s="274"/>
      <c r="E775" s="941"/>
      <c r="F775" s="28"/>
      <c r="G775" s="28"/>
      <c r="H775" s="28"/>
      <c r="I775" s="941"/>
      <c r="J775" s="941"/>
      <c r="K775" s="941"/>
      <c r="L775" s="941"/>
      <c r="M775" s="941"/>
    </row>
    <row r="776" ht="20.25" customHeight="1">
      <c r="A776" s="939"/>
      <c r="B776" s="274"/>
      <c r="C776" s="832"/>
      <c r="D776" s="274"/>
      <c r="E776" s="833"/>
      <c r="F776" s="30"/>
      <c r="G776" s="30"/>
      <c r="H776" s="30"/>
      <c r="I776" s="833"/>
      <c r="J776" s="833"/>
      <c r="K776" s="833"/>
      <c r="L776" s="833"/>
      <c r="M776" s="833"/>
    </row>
    <row r="777" ht="20.25" customHeight="1">
      <c r="A777" s="940"/>
      <c r="B777" s="274"/>
      <c r="C777" s="937"/>
      <c r="D777" s="274"/>
      <c r="E777" s="941"/>
      <c r="F777" s="28"/>
      <c r="G777" s="28"/>
      <c r="H777" s="28"/>
      <c r="I777" s="941"/>
      <c r="J777" s="941"/>
      <c r="K777" s="941"/>
      <c r="L777" s="941"/>
      <c r="M777" s="941"/>
    </row>
    <row r="778" ht="20.25" customHeight="1">
      <c r="A778" s="939"/>
      <c r="B778" s="274"/>
      <c r="C778" s="832"/>
      <c r="D778" s="274"/>
      <c r="E778" s="833"/>
      <c r="F778" s="30"/>
      <c r="G778" s="30"/>
      <c r="H778" s="30"/>
      <c r="I778" s="833"/>
      <c r="J778" s="833"/>
      <c r="K778" s="833"/>
      <c r="L778" s="833"/>
      <c r="M778" s="833"/>
    </row>
    <row r="779" ht="20.25" customHeight="1">
      <c r="A779" s="940"/>
      <c r="B779" s="274"/>
      <c r="C779" s="937"/>
      <c r="D779" s="274"/>
      <c r="E779" s="941"/>
      <c r="F779" s="28"/>
      <c r="G779" s="28"/>
      <c r="H779" s="28"/>
      <c r="I779" s="941"/>
      <c r="J779" s="941"/>
      <c r="K779" s="941"/>
      <c r="L779" s="941"/>
      <c r="M779" s="941"/>
    </row>
    <row r="780" ht="20.25" customHeight="1">
      <c r="A780" s="939"/>
      <c r="B780" s="274"/>
      <c r="C780" s="832"/>
      <c r="D780" s="274"/>
      <c r="E780" s="833"/>
      <c r="F780" s="30"/>
      <c r="G780" s="30"/>
      <c r="H780" s="30"/>
      <c r="I780" s="833"/>
      <c r="J780" s="833"/>
      <c r="K780" s="833"/>
      <c r="L780" s="833"/>
      <c r="M780" s="833"/>
    </row>
    <row r="781" ht="20.25" customHeight="1">
      <c r="A781" s="940"/>
      <c r="B781" s="274"/>
      <c r="C781" s="937"/>
      <c r="D781" s="274"/>
      <c r="E781" s="941"/>
      <c r="F781" s="28"/>
      <c r="G781" s="28"/>
      <c r="H781" s="28"/>
      <c r="I781" s="941"/>
      <c r="J781" s="941"/>
      <c r="K781" s="941"/>
      <c r="L781" s="941"/>
      <c r="M781" s="941"/>
    </row>
    <row r="782" ht="20.25" customHeight="1">
      <c r="A782" s="939"/>
      <c r="B782" s="274"/>
      <c r="C782" s="832"/>
      <c r="D782" s="274"/>
      <c r="E782" s="833"/>
      <c r="F782" s="30"/>
      <c r="G782" s="30"/>
      <c r="H782" s="30"/>
      <c r="I782" s="833"/>
      <c r="J782" s="833"/>
      <c r="K782" s="833"/>
      <c r="L782" s="833"/>
      <c r="M782" s="833"/>
    </row>
    <row r="783" ht="20.25" customHeight="1">
      <c r="A783" s="940"/>
      <c r="B783" s="274"/>
      <c r="C783" s="937"/>
      <c r="D783" s="274"/>
      <c r="E783" s="941"/>
      <c r="F783" s="28"/>
      <c r="G783" s="28"/>
      <c r="H783" s="28"/>
      <c r="I783" s="941"/>
      <c r="J783" s="941"/>
      <c r="K783" s="941"/>
      <c r="L783" s="941"/>
      <c r="M783" s="941"/>
    </row>
    <row r="784" ht="20.25" customHeight="1">
      <c r="A784" s="939"/>
      <c r="B784" s="274"/>
      <c r="C784" s="832"/>
      <c r="D784" s="274"/>
      <c r="E784" s="833"/>
      <c r="F784" s="30"/>
      <c r="G784" s="30"/>
      <c r="H784" s="30"/>
      <c r="I784" s="833"/>
      <c r="J784" s="833"/>
      <c r="K784" s="833"/>
      <c r="L784" s="833"/>
      <c r="M784" s="833"/>
    </row>
    <row r="785" ht="20.25" customHeight="1">
      <c r="A785" s="940"/>
      <c r="B785" s="274"/>
      <c r="C785" s="937"/>
      <c r="D785" s="274"/>
      <c r="E785" s="941"/>
      <c r="F785" s="28"/>
      <c r="G785" s="28"/>
      <c r="H785" s="28"/>
      <c r="I785" s="941"/>
      <c r="J785" s="941"/>
      <c r="K785" s="941"/>
      <c r="L785" s="941"/>
      <c r="M785" s="941"/>
    </row>
    <row r="786" ht="20.25" customHeight="1">
      <c r="A786" s="939"/>
      <c r="B786" s="274"/>
      <c r="C786" s="832"/>
      <c r="D786" s="274"/>
      <c r="E786" s="833"/>
      <c r="F786" s="30"/>
      <c r="G786" s="30"/>
      <c r="H786" s="30"/>
      <c r="I786" s="833"/>
      <c r="J786" s="833"/>
      <c r="K786" s="833"/>
      <c r="L786" s="833"/>
      <c r="M786" s="833"/>
    </row>
    <row r="787" ht="20.25" customHeight="1">
      <c r="A787" s="940"/>
      <c r="B787" s="274"/>
      <c r="C787" s="937"/>
      <c r="D787" s="274"/>
      <c r="E787" s="941"/>
      <c r="F787" s="28"/>
      <c r="G787" s="28"/>
      <c r="H787" s="28"/>
      <c r="I787" s="941"/>
      <c r="J787" s="941"/>
      <c r="K787" s="941"/>
      <c r="L787" s="941"/>
      <c r="M787" s="941"/>
    </row>
    <row r="788" ht="20.25" customHeight="1">
      <c r="A788" s="939"/>
      <c r="B788" s="274"/>
      <c r="C788" s="832"/>
      <c r="D788" s="274"/>
      <c r="E788" s="833"/>
      <c r="F788" s="30"/>
      <c r="G788" s="30"/>
      <c r="H788" s="30"/>
      <c r="I788" s="833"/>
      <c r="J788" s="833"/>
      <c r="K788" s="833"/>
      <c r="L788" s="833"/>
      <c r="M788" s="833"/>
    </row>
    <row r="789" ht="20.25" customHeight="1">
      <c r="A789" s="940"/>
      <c r="B789" s="274"/>
      <c r="C789" s="937"/>
      <c r="D789" s="274"/>
      <c r="E789" s="941"/>
      <c r="F789" s="28"/>
      <c r="G789" s="28"/>
      <c r="H789" s="28"/>
      <c r="I789" s="941"/>
      <c r="J789" s="941"/>
      <c r="K789" s="941"/>
      <c r="L789" s="941"/>
      <c r="M789" s="941"/>
    </row>
    <row r="790" ht="20.25" customHeight="1">
      <c r="A790" s="939"/>
      <c r="B790" s="274"/>
      <c r="C790" s="832"/>
      <c r="D790" s="274"/>
      <c r="E790" s="833"/>
      <c r="F790" s="30"/>
      <c r="G790" s="30"/>
      <c r="H790" s="30"/>
      <c r="I790" s="833"/>
      <c r="J790" s="833"/>
      <c r="K790" s="833"/>
      <c r="L790" s="833"/>
      <c r="M790" s="833"/>
    </row>
    <row r="791" ht="20.25" customHeight="1">
      <c r="A791" s="940"/>
      <c r="B791" s="274"/>
      <c r="C791" s="937"/>
      <c r="D791" s="274"/>
      <c r="E791" s="941"/>
      <c r="F791" s="28"/>
      <c r="G791" s="28"/>
      <c r="H791" s="28"/>
      <c r="I791" s="941"/>
      <c r="J791" s="941"/>
      <c r="K791" s="941"/>
      <c r="L791" s="941"/>
      <c r="M791" s="941"/>
    </row>
    <row r="792" ht="20.25" customHeight="1">
      <c r="A792" s="939"/>
      <c r="B792" s="274"/>
      <c r="C792" s="832"/>
      <c r="D792" s="274"/>
      <c r="E792" s="833"/>
      <c r="F792" s="30"/>
      <c r="G792" s="30"/>
      <c r="H792" s="30"/>
      <c r="I792" s="833"/>
      <c r="J792" s="833"/>
      <c r="K792" s="833"/>
      <c r="L792" s="833"/>
      <c r="M792" s="833"/>
    </row>
    <row r="793" ht="20.25" customHeight="1">
      <c r="A793" s="940"/>
      <c r="B793" s="274"/>
      <c r="C793" s="937"/>
      <c r="D793" s="274"/>
      <c r="E793" s="941"/>
      <c r="F793" s="28"/>
      <c r="G793" s="28"/>
      <c r="H793" s="28"/>
      <c r="I793" s="941"/>
      <c r="J793" s="941"/>
      <c r="K793" s="941"/>
      <c r="L793" s="941"/>
      <c r="M793" s="941"/>
    </row>
    <row r="794" ht="20.25" customHeight="1">
      <c r="A794" s="939"/>
      <c r="B794" s="274"/>
      <c r="C794" s="832"/>
      <c r="D794" s="274"/>
      <c r="E794" s="833"/>
      <c r="F794" s="30"/>
      <c r="G794" s="30"/>
      <c r="H794" s="30"/>
      <c r="I794" s="833"/>
      <c r="J794" s="833"/>
      <c r="K794" s="833"/>
      <c r="L794" s="833"/>
      <c r="M794" s="833"/>
    </row>
    <row r="795" ht="20.25" customHeight="1">
      <c r="A795" s="940"/>
      <c r="B795" s="274"/>
      <c r="C795" s="937"/>
      <c r="D795" s="274"/>
      <c r="E795" s="941"/>
      <c r="F795" s="28"/>
      <c r="G795" s="28"/>
      <c r="H795" s="28"/>
      <c r="I795" s="941"/>
      <c r="J795" s="941"/>
      <c r="K795" s="941"/>
      <c r="L795" s="941"/>
      <c r="M795" s="941"/>
    </row>
    <row r="796" ht="20.25" customHeight="1">
      <c r="A796" s="939"/>
      <c r="B796" s="274"/>
      <c r="C796" s="832"/>
      <c r="D796" s="274"/>
      <c r="E796" s="833"/>
      <c r="F796" s="30"/>
      <c r="G796" s="30"/>
      <c r="H796" s="30"/>
      <c r="I796" s="833"/>
      <c r="J796" s="833"/>
      <c r="K796" s="833"/>
      <c r="L796" s="833"/>
      <c r="M796" s="833"/>
    </row>
    <row r="797" ht="20.25" customHeight="1">
      <c r="A797" s="940"/>
      <c r="B797" s="274"/>
      <c r="C797" s="937"/>
      <c r="D797" s="274"/>
      <c r="E797" s="941"/>
      <c r="F797" s="28"/>
      <c r="G797" s="28"/>
      <c r="H797" s="28"/>
      <c r="I797" s="941"/>
      <c r="J797" s="941"/>
      <c r="K797" s="941"/>
      <c r="L797" s="941"/>
      <c r="M797" s="941"/>
    </row>
    <row r="798" ht="20.25" customHeight="1">
      <c r="A798" s="939"/>
      <c r="B798" s="274"/>
      <c r="C798" s="832"/>
      <c r="D798" s="274"/>
      <c r="E798" s="833"/>
      <c r="F798" s="30"/>
      <c r="G798" s="30"/>
      <c r="H798" s="30"/>
      <c r="I798" s="833"/>
      <c r="J798" s="833"/>
      <c r="K798" s="833"/>
      <c r="L798" s="833"/>
      <c r="M798" s="833"/>
    </row>
    <row r="799" ht="20.25" customHeight="1">
      <c r="A799" s="940"/>
      <c r="B799" s="274"/>
      <c r="C799" s="937"/>
      <c r="D799" s="274"/>
      <c r="E799" s="941"/>
      <c r="F799" s="28"/>
      <c r="G799" s="28"/>
      <c r="H799" s="28"/>
      <c r="I799" s="941"/>
      <c r="J799" s="941"/>
      <c r="K799" s="941"/>
      <c r="L799" s="941"/>
      <c r="M799" s="941"/>
    </row>
    <row r="800" ht="20.25" customHeight="1">
      <c r="A800" s="939"/>
      <c r="B800" s="274"/>
      <c r="C800" s="832"/>
      <c r="D800" s="274"/>
      <c r="E800" s="833"/>
      <c r="F800" s="30"/>
      <c r="G800" s="30"/>
      <c r="H800" s="30"/>
      <c r="I800" s="833"/>
      <c r="J800" s="833"/>
      <c r="K800" s="833"/>
      <c r="L800" s="833"/>
      <c r="M800" s="833"/>
    </row>
    <row r="801" ht="20.25" customHeight="1">
      <c r="A801" s="940"/>
      <c r="B801" s="274"/>
      <c r="C801" s="937"/>
      <c r="D801" s="274"/>
      <c r="E801" s="941"/>
      <c r="F801" s="28"/>
      <c r="G801" s="28"/>
      <c r="H801" s="28"/>
      <c r="I801" s="941"/>
      <c r="J801" s="941"/>
      <c r="K801" s="941"/>
      <c r="L801" s="941"/>
      <c r="M801" s="941"/>
    </row>
    <row r="802" ht="20.25" customHeight="1">
      <c r="A802" s="939"/>
      <c r="B802" s="274"/>
      <c r="C802" s="832"/>
      <c r="D802" s="274"/>
      <c r="E802" s="833"/>
      <c r="F802" s="30"/>
      <c r="G802" s="30"/>
      <c r="H802" s="30"/>
      <c r="I802" s="833"/>
      <c r="J802" s="833"/>
      <c r="K802" s="833"/>
      <c r="L802" s="833"/>
      <c r="M802" s="833"/>
    </row>
    <row r="803" ht="20.25" customHeight="1">
      <c r="A803" s="940"/>
      <c r="B803" s="274"/>
      <c r="C803" s="937"/>
      <c r="D803" s="274"/>
      <c r="E803" s="941"/>
      <c r="F803" s="28"/>
      <c r="G803" s="28"/>
      <c r="H803" s="28"/>
      <c r="I803" s="941"/>
      <c r="J803" s="941"/>
      <c r="K803" s="941"/>
      <c r="L803" s="941"/>
      <c r="M803" s="941"/>
    </row>
    <row r="804" ht="20.25" customHeight="1">
      <c r="A804" s="939"/>
      <c r="B804" s="274"/>
      <c r="C804" s="832"/>
      <c r="D804" s="274"/>
      <c r="E804" s="833"/>
      <c r="F804" s="30"/>
      <c r="G804" s="30"/>
      <c r="H804" s="30"/>
      <c r="I804" s="833"/>
      <c r="J804" s="833"/>
      <c r="K804" s="833"/>
      <c r="L804" s="833"/>
      <c r="M804" s="833"/>
    </row>
    <row r="805" ht="20.25" customHeight="1">
      <c r="A805" s="940"/>
      <c r="B805" s="274"/>
      <c r="C805" s="937"/>
      <c r="D805" s="274"/>
      <c r="E805" s="941"/>
      <c r="F805" s="28"/>
      <c r="G805" s="28"/>
      <c r="H805" s="28"/>
      <c r="I805" s="941"/>
      <c r="J805" s="941"/>
      <c r="K805" s="941"/>
      <c r="L805" s="941"/>
      <c r="M805" s="941"/>
    </row>
    <row r="806" ht="20.25" customHeight="1">
      <c r="A806" s="939"/>
      <c r="B806" s="274"/>
      <c r="C806" s="832"/>
      <c r="D806" s="274"/>
      <c r="E806" s="833"/>
      <c r="F806" s="30"/>
      <c r="G806" s="30"/>
      <c r="H806" s="30"/>
      <c r="I806" s="833"/>
      <c r="J806" s="833"/>
      <c r="K806" s="833"/>
      <c r="L806" s="833"/>
      <c r="M806" s="833"/>
    </row>
    <row r="807" ht="20.25" customHeight="1">
      <c r="A807" s="940"/>
      <c r="B807" s="274"/>
      <c r="C807" s="937"/>
      <c r="D807" s="274"/>
      <c r="E807" s="941"/>
      <c r="F807" s="28"/>
      <c r="G807" s="28"/>
      <c r="H807" s="28"/>
      <c r="I807" s="941"/>
      <c r="J807" s="941"/>
      <c r="K807" s="941"/>
      <c r="L807" s="941"/>
      <c r="M807" s="941"/>
    </row>
    <row r="808" ht="20.25" customHeight="1">
      <c r="A808" s="939"/>
      <c r="B808" s="274"/>
      <c r="C808" s="832"/>
      <c r="D808" s="274"/>
      <c r="E808" s="833"/>
      <c r="F808" s="30"/>
      <c r="G808" s="30"/>
      <c r="H808" s="30"/>
      <c r="I808" s="833"/>
      <c r="J808" s="833"/>
      <c r="K808" s="833"/>
      <c r="L808" s="833"/>
      <c r="M808" s="833"/>
    </row>
    <row r="809" ht="20.25" customHeight="1">
      <c r="A809" s="940"/>
      <c r="B809" s="274"/>
      <c r="C809" s="937"/>
      <c r="D809" s="274"/>
      <c r="E809" s="941"/>
      <c r="F809" s="28"/>
      <c r="G809" s="28"/>
      <c r="H809" s="28"/>
      <c r="I809" s="941"/>
      <c r="J809" s="941"/>
      <c r="K809" s="941"/>
      <c r="L809" s="941"/>
      <c r="M809" s="941"/>
    </row>
    <row r="810" ht="20.25" customHeight="1">
      <c r="A810" s="939"/>
      <c r="B810" s="274"/>
      <c r="C810" s="832"/>
      <c r="D810" s="274"/>
      <c r="E810" s="833"/>
      <c r="F810" s="30"/>
      <c r="G810" s="30"/>
      <c r="H810" s="30"/>
      <c r="I810" s="833"/>
      <c r="J810" s="833"/>
      <c r="K810" s="833"/>
      <c r="L810" s="833"/>
      <c r="M810" s="833"/>
    </row>
    <row r="811" ht="20.25" customHeight="1">
      <c r="A811" s="940"/>
      <c r="B811" s="274"/>
      <c r="C811" s="937"/>
      <c r="D811" s="274"/>
      <c r="E811" s="941"/>
      <c r="F811" s="28"/>
      <c r="G811" s="28"/>
      <c r="H811" s="28"/>
      <c r="I811" s="941"/>
      <c r="J811" s="941"/>
      <c r="K811" s="941"/>
      <c r="L811" s="941"/>
      <c r="M811" s="941"/>
    </row>
    <row r="812" ht="20.25" customHeight="1">
      <c r="A812" s="939"/>
      <c r="B812" s="274"/>
      <c r="C812" s="832"/>
      <c r="D812" s="274"/>
      <c r="E812" s="833"/>
      <c r="F812" s="30"/>
      <c r="G812" s="30"/>
      <c r="H812" s="30"/>
      <c r="I812" s="833"/>
      <c r="J812" s="833"/>
      <c r="K812" s="833"/>
      <c r="L812" s="833"/>
      <c r="M812" s="833"/>
    </row>
    <row r="813" ht="20.25" customHeight="1">
      <c r="A813" s="940"/>
      <c r="B813" s="274"/>
      <c r="C813" s="937"/>
      <c r="D813" s="274"/>
      <c r="E813" s="941"/>
      <c r="F813" s="28"/>
      <c r="G813" s="28"/>
      <c r="H813" s="28"/>
      <c r="I813" s="941"/>
      <c r="J813" s="941"/>
      <c r="K813" s="941"/>
      <c r="L813" s="941"/>
      <c r="M813" s="941"/>
    </row>
    <row r="814" ht="20.25" customHeight="1">
      <c r="A814" s="939"/>
      <c r="B814" s="274"/>
      <c r="C814" s="832"/>
      <c r="D814" s="274"/>
      <c r="E814" s="833"/>
      <c r="F814" s="30"/>
      <c r="G814" s="30"/>
      <c r="H814" s="30"/>
      <c r="I814" s="833"/>
      <c r="J814" s="833"/>
      <c r="K814" s="833"/>
      <c r="L814" s="833"/>
      <c r="M814" s="833"/>
    </row>
    <row r="815" ht="20.25" customHeight="1">
      <c r="A815" s="940"/>
      <c r="B815" s="274"/>
      <c r="C815" s="937"/>
      <c r="D815" s="274"/>
      <c r="E815" s="941"/>
      <c r="F815" s="28"/>
      <c r="G815" s="28"/>
      <c r="H815" s="28"/>
      <c r="I815" s="941"/>
      <c r="J815" s="941"/>
      <c r="K815" s="941"/>
      <c r="L815" s="941"/>
      <c r="M815" s="941"/>
    </row>
    <row r="816" ht="20.25" customHeight="1">
      <c r="A816" s="939"/>
      <c r="B816" s="274"/>
      <c r="C816" s="832"/>
      <c r="D816" s="274"/>
      <c r="E816" s="833"/>
      <c r="F816" s="30"/>
      <c r="G816" s="30"/>
      <c r="H816" s="30"/>
      <c r="I816" s="833"/>
      <c r="J816" s="833"/>
      <c r="K816" s="833"/>
      <c r="L816" s="833"/>
      <c r="M816" s="833"/>
    </row>
    <row r="817" ht="20.25" customHeight="1">
      <c r="A817" s="940"/>
      <c r="B817" s="274"/>
      <c r="C817" s="937"/>
      <c r="D817" s="274"/>
      <c r="E817" s="941"/>
      <c r="F817" s="28"/>
      <c r="G817" s="28"/>
      <c r="H817" s="28"/>
      <c r="I817" s="941"/>
      <c r="J817" s="941"/>
      <c r="K817" s="941"/>
      <c r="L817" s="941"/>
      <c r="M817" s="941"/>
    </row>
    <row r="818" ht="20.25" customHeight="1">
      <c r="A818" s="939"/>
      <c r="B818" s="274"/>
      <c r="C818" s="832"/>
      <c r="D818" s="274"/>
      <c r="E818" s="833"/>
      <c r="F818" s="30"/>
      <c r="G818" s="30"/>
      <c r="H818" s="30"/>
      <c r="I818" s="833"/>
      <c r="J818" s="833"/>
      <c r="K818" s="833"/>
      <c r="L818" s="833"/>
      <c r="M818" s="833"/>
    </row>
    <row r="819" ht="20.25" customHeight="1">
      <c r="A819" s="940"/>
      <c r="B819" s="274"/>
      <c r="C819" s="937"/>
      <c r="D819" s="274"/>
      <c r="E819" s="941"/>
      <c r="F819" s="28"/>
      <c r="G819" s="28"/>
      <c r="H819" s="28"/>
      <c r="I819" s="941"/>
      <c r="J819" s="941"/>
      <c r="K819" s="941"/>
      <c r="L819" s="941"/>
      <c r="M819" s="941"/>
    </row>
    <row r="820" ht="20.25" customHeight="1">
      <c r="A820" s="939"/>
      <c r="B820" s="274"/>
      <c r="C820" s="832"/>
      <c r="D820" s="274"/>
      <c r="E820" s="833"/>
      <c r="F820" s="30"/>
      <c r="G820" s="30"/>
      <c r="H820" s="30"/>
      <c r="I820" s="833"/>
      <c r="J820" s="833"/>
      <c r="K820" s="833"/>
      <c r="L820" s="833"/>
      <c r="M820" s="833"/>
    </row>
    <row r="821" ht="20.25" customHeight="1">
      <c r="A821" s="940"/>
      <c r="B821" s="274"/>
      <c r="C821" s="937"/>
      <c r="D821" s="274"/>
      <c r="E821" s="941"/>
      <c r="F821" s="28"/>
      <c r="G821" s="28"/>
      <c r="H821" s="28"/>
      <c r="I821" s="941"/>
      <c r="J821" s="941"/>
      <c r="K821" s="941"/>
      <c r="L821" s="941"/>
      <c r="M821" s="941"/>
    </row>
    <row r="822" ht="20.25" customHeight="1">
      <c r="A822" s="939"/>
      <c r="B822" s="274"/>
      <c r="C822" s="832"/>
      <c r="D822" s="274"/>
      <c r="E822" s="833"/>
      <c r="F822" s="30"/>
      <c r="G822" s="30"/>
      <c r="H822" s="30"/>
      <c r="I822" s="833"/>
      <c r="J822" s="833"/>
      <c r="K822" s="833"/>
      <c r="L822" s="833"/>
      <c r="M822" s="833"/>
    </row>
    <row r="823" ht="20.25" customHeight="1">
      <c r="A823" s="940"/>
      <c r="B823" s="274"/>
      <c r="C823" s="937"/>
      <c r="D823" s="274"/>
      <c r="E823" s="941"/>
      <c r="F823" s="28"/>
      <c r="G823" s="28"/>
      <c r="H823" s="28"/>
      <c r="I823" s="941"/>
      <c r="J823" s="941"/>
      <c r="K823" s="941"/>
      <c r="L823" s="941"/>
      <c r="M823" s="941"/>
    </row>
    <row r="824" ht="20.25" customHeight="1">
      <c r="A824" s="939"/>
      <c r="B824" s="274"/>
      <c r="C824" s="832"/>
      <c r="D824" s="274"/>
      <c r="E824" s="833"/>
      <c r="F824" s="30"/>
      <c r="G824" s="30"/>
      <c r="H824" s="30"/>
      <c r="I824" s="833"/>
      <c r="J824" s="833"/>
      <c r="K824" s="833"/>
      <c r="L824" s="833"/>
      <c r="M824" s="833"/>
    </row>
    <row r="825" ht="20.25" customHeight="1">
      <c r="A825" s="940"/>
      <c r="B825" s="274"/>
      <c r="C825" s="937"/>
      <c r="D825" s="274"/>
      <c r="E825" s="941"/>
      <c r="F825" s="28"/>
      <c r="G825" s="28"/>
      <c r="H825" s="28"/>
      <c r="I825" s="941"/>
      <c r="J825" s="941"/>
      <c r="K825" s="941"/>
      <c r="L825" s="941"/>
      <c r="M825" s="941"/>
    </row>
    <row r="826" ht="20.25" customHeight="1">
      <c r="A826" s="939"/>
      <c r="B826" s="274"/>
      <c r="C826" s="832"/>
      <c r="D826" s="274"/>
      <c r="E826" s="833"/>
      <c r="F826" s="30"/>
      <c r="G826" s="30"/>
      <c r="H826" s="30"/>
      <c r="I826" s="833"/>
      <c r="J826" s="833"/>
      <c r="K826" s="833"/>
      <c r="L826" s="833"/>
      <c r="M826" s="833"/>
    </row>
    <row r="827" ht="20.25" customHeight="1">
      <c r="A827" s="940"/>
      <c r="B827" s="274"/>
      <c r="C827" s="937"/>
      <c r="D827" s="274"/>
      <c r="E827" s="941"/>
      <c r="F827" s="28"/>
      <c r="G827" s="28"/>
      <c r="H827" s="28"/>
      <c r="I827" s="941"/>
      <c r="J827" s="941"/>
      <c r="K827" s="941"/>
      <c r="L827" s="941"/>
      <c r="M827" s="941"/>
    </row>
    <row r="828" ht="20.25" customHeight="1">
      <c r="A828" s="939"/>
      <c r="B828" s="274"/>
      <c r="C828" s="832"/>
      <c r="D828" s="274"/>
      <c r="E828" s="833"/>
      <c r="F828" s="30"/>
      <c r="G828" s="30"/>
      <c r="H828" s="30"/>
      <c r="I828" s="833"/>
      <c r="J828" s="833"/>
      <c r="K828" s="833"/>
      <c r="L828" s="833"/>
      <c r="M828" s="833"/>
    </row>
    <row r="829" ht="20.25" customHeight="1">
      <c r="A829" s="940"/>
      <c r="B829" s="274"/>
      <c r="C829" s="937"/>
      <c r="D829" s="274"/>
      <c r="E829" s="941"/>
      <c r="F829" s="28"/>
      <c r="G829" s="28"/>
      <c r="H829" s="28"/>
      <c r="I829" s="941"/>
      <c r="J829" s="941"/>
      <c r="K829" s="941"/>
      <c r="L829" s="941"/>
      <c r="M829" s="941"/>
    </row>
    <row r="830" ht="20.25" customHeight="1">
      <c r="A830" s="939"/>
      <c r="B830" s="274"/>
      <c r="C830" s="832"/>
      <c r="D830" s="274"/>
      <c r="E830" s="833"/>
      <c r="F830" s="30"/>
      <c r="G830" s="30"/>
      <c r="H830" s="30"/>
      <c r="I830" s="833"/>
      <c r="J830" s="833"/>
      <c r="K830" s="833"/>
      <c r="L830" s="833"/>
      <c r="M830" s="833"/>
    </row>
    <row r="831" ht="20.25" customHeight="1">
      <c r="A831" s="940"/>
      <c r="B831" s="274"/>
      <c r="C831" s="937"/>
      <c r="D831" s="274"/>
      <c r="E831" s="941"/>
      <c r="F831" s="28"/>
      <c r="G831" s="28"/>
      <c r="H831" s="28"/>
      <c r="I831" s="941"/>
      <c r="J831" s="941"/>
      <c r="K831" s="941"/>
      <c r="L831" s="941"/>
      <c r="M831" s="941"/>
    </row>
    <row r="832" ht="20.25" customHeight="1">
      <c r="A832" s="939"/>
      <c r="B832" s="274"/>
      <c r="C832" s="832"/>
      <c r="D832" s="274"/>
      <c r="E832" s="833"/>
      <c r="F832" s="30"/>
      <c r="G832" s="30"/>
      <c r="H832" s="30"/>
      <c r="I832" s="833"/>
      <c r="J832" s="833"/>
      <c r="K832" s="833"/>
      <c r="L832" s="833"/>
      <c r="M832" s="833"/>
    </row>
    <row r="833" ht="20.25" customHeight="1">
      <c r="A833" s="940"/>
      <c r="B833" s="274"/>
      <c r="C833" s="937"/>
      <c r="D833" s="274"/>
      <c r="E833" s="941"/>
      <c r="F833" s="28"/>
      <c r="G833" s="28"/>
      <c r="H833" s="28"/>
      <c r="I833" s="941"/>
      <c r="J833" s="941"/>
      <c r="K833" s="941"/>
      <c r="L833" s="941"/>
      <c r="M833" s="941"/>
    </row>
    <row r="834" ht="20.25" customHeight="1">
      <c r="A834" s="939"/>
      <c r="B834" s="274"/>
      <c r="C834" s="832"/>
      <c r="D834" s="274"/>
      <c r="E834" s="833"/>
      <c r="F834" s="30"/>
      <c r="G834" s="30"/>
      <c r="H834" s="30"/>
      <c r="I834" s="833"/>
      <c r="J834" s="833"/>
      <c r="K834" s="833"/>
      <c r="L834" s="833"/>
      <c r="M834" s="833"/>
    </row>
    <row r="835" ht="20.25" customHeight="1">
      <c r="A835" s="940"/>
      <c r="B835" s="274"/>
      <c r="C835" s="937"/>
      <c r="D835" s="274"/>
      <c r="E835" s="941"/>
      <c r="F835" s="28"/>
      <c r="G835" s="28"/>
      <c r="H835" s="28"/>
      <c r="I835" s="941"/>
      <c r="J835" s="941"/>
      <c r="K835" s="941"/>
      <c r="L835" s="941"/>
      <c r="M835" s="941"/>
    </row>
    <row r="836" ht="20.25" customHeight="1">
      <c r="A836" s="939"/>
      <c r="B836" s="274"/>
      <c r="C836" s="832"/>
      <c r="D836" s="274"/>
      <c r="E836" s="833"/>
      <c r="F836" s="30"/>
      <c r="G836" s="30"/>
      <c r="H836" s="30"/>
      <c r="I836" s="833"/>
      <c r="J836" s="833"/>
      <c r="K836" s="833"/>
      <c r="L836" s="833"/>
      <c r="M836" s="833"/>
    </row>
    <row r="837" ht="20.25" customHeight="1">
      <c r="A837" s="940"/>
      <c r="B837" s="274"/>
      <c r="C837" s="937"/>
      <c r="D837" s="274"/>
      <c r="E837" s="941"/>
      <c r="F837" s="28"/>
      <c r="G837" s="28"/>
      <c r="H837" s="28"/>
      <c r="I837" s="941"/>
      <c r="J837" s="941"/>
      <c r="K837" s="941"/>
      <c r="L837" s="941"/>
      <c r="M837" s="941"/>
    </row>
    <row r="838" ht="20.25" customHeight="1">
      <c r="A838" s="939"/>
      <c r="B838" s="274"/>
      <c r="C838" s="832"/>
      <c r="D838" s="274"/>
      <c r="E838" s="833"/>
      <c r="F838" s="30"/>
      <c r="G838" s="30"/>
      <c r="H838" s="30"/>
      <c r="I838" s="833"/>
      <c r="J838" s="833"/>
      <c r="K838" s="833"/>
      <c r="L838" s="833"/>
      <c r="M838" s="833"/>
    </row>
    <row r="839" ht="20.25" customHeight="1">
      <c r="A839" s="940"/>
      <c r="B839" s="274"/>
      <c r="C839" s="937"/>
      <c r="D839" s="274"/>
      <c r="E839" s="941"/>
      <c r="F839" s="28"/>
      <c r="G839" s="28"/>
      <c r="H839" s="28"/>
      <c r="I839" s="941"/>
      <c r="J839" s="941"/>
      <c r="K839" s="941"/>
      <c r="L839" s="941"/>
      <c r="M839" s="941"/>
    </row>
    <row r="840" ht="20.25" customHeight="1">
      <c r="A840" s="939"/>
      <c r="B840" s="274"/>
      <c r="C840" s="832"/>
      <c r="D840" s="274"/>
      <c r="E840" s="833"/>
      <c r="F840" s="30"/>
      <c r="G840" s="30"/>
      <c r="H840" s="30"/>
      <c r="I840" s="833"/>
      <c r="J840" s="833"/>
      <c r="K840" s="833"/>
      <c r="L840" s="833"/>
      <c r="M840" s="833"/>
    </row>
    <row r="841" ht="20.25" customHeight="1">
      <c r="A841" s="940"/>
      <c r="B841" s="274"/>
      <c r="C841" s="937"/>
      <c r="D841" s="274"/>
      <c r="E841" s="941"/>
      <c r="F841" s="28"/>
      <c r="G841" s="28"/>
      <c r="H841" s="28"/>
      <c r="I841" s="941"/>
      <c r="J841" s="941"/>
      <c r="K841" s="941"/>
      <c r="L841" s="941"/>
      <c r="M841" s="941"/>
    </row>
    <row r="842" ht="20.25" customHeight="1">
      <c r="A842" s="939"/>
      <c r="B842" s="274"/>
      <c r="C842" s="832"/>
      <c r="D842" s="274"/>
      <c r="E842" s="833"/>
      <c r="F842" s="30"/>
      <c r="G842" s="30"/>
      <c r="H842" s="30"/>
      <c r="I842" s="833"/>
      <c r="J842" s="833"/>
      <c r="K842" s="833"/>
      <c r="L842" s="833"/>
      <c r="M842" s="833"/>
    </row>
    <row r="843" ht="20.25" customHeight="1">
      <c r="A843" s="940"/>
      <c r="B843" s="274"/>
      <c r="C843" s="937"/>
      <c r="D843" s="274"/>
      <c r="E843" s="941"/>
      <c r="F843" s="28"/>
      <c r="G843" s="28"/>
      <c r="H843" s="28"/>
      <c r="I843" s="941"/>
      <c r="J843" s="941"/>
      <c r="K843" s="941"/>
      <c r="L843" s="941"/>
      <c r="M843" s="941"/>
    </row>
    <row r="844" ht="20.25" customHeight="1">
      <c r="A844" s="939"/>
      <c r="B844" s="274"/>
      <c r="C844" s="832"/>
      <c r="D844" s="274"/>
      <c r="E844" s="833"/>
      <c r="F844" s="30"/>
      <c r="G844" s="30"/>
      <c r="H844" s="30"/>
      <c r="I844" s="833"/>
      <c r="J844" s="833"/>
      <c r="K844" s="833"/>
      <c r="L844" s="833"/>
      <c r="M844" s="833"/>
    </row>
    <row r="845" ht="20.25" customHeight="1">
      <c r="A845" s="940"/>
      <c r="B845" s="274"/>
      <c r="C845" s="937"/>
      <c r="D845" s="274"/>
      <c r="E845" s="941"/>
      <c r="F845" s="28"/>
      <c r="G845" s="28"/>
      <c r="H845" s="28"/>
      <c r="I845" s="941"/>
      <c r="J845" s="941"/>
      <c r="K845" s="941"/>
      <c r="L845" s="941"/>
      <c r="M845" s="941"/>
    </row>
    <row r="846" ht="20.25" customHeight="1">
      <c r="A846" s="939"/>
      <c r="B846" s="274"/>
      <c r="C846" s="832"/>
      <c r="D846" s="274"/>
      <c r="E846" s="833"/>
      <c r="F846" s="30"/>
      <c r="G846" s="30"/>
      <c r="H846" s="30"/>
      <c r="I846" s="833"/>
      <c r="J846" s="833"/>
      <c r="K846" s="833"/>
      <c r="L846" s="833"/>
      <c r="M846" s="833"/>
    </row>
    <row r="847" ht="20.25" customHeight="1">
      <c r="A847" s="940"/>
      <c r="B847" s="274"/>
      <c r="C847" s="937"/>
      <c r="D847" s="274"/>
      <c r="E847" s="941"/>
      <c r="F847" s="28"/>
      <c r="G847" s="28"/>
      <c r="H847" s="28"/>
      <c r="I847" s="941"/>
      <c r="J847" s="941"/>
      <c r="K847" s="941"/>
      <c r="L847" s="941"/>
      <c r="M847" s="941"/>
    </row>
    <row r="848" ht="20.25" customHeight="1">
      <c r="A848" s="939"/>
      <c r="B848" s="274"/>
      <c r="C848" s="832"/>
      <c r="D848" s="274"/>
      <c r="E848" s="833"/>
      <c r="F848" s="30"/>
      <c r="G848" s="30"/>
      <c r="H848" s="30"/>
      <c r="I848" s="833"/>
      <c r="J848" s="833"/>
      <c r="K848" s="833"/>
      <c r="L848" s="833"/>
      <c r="M848" s="833"/>
    </row>
    <row r="849" ht="20.25" customHeight="1">
      <c r="A849" s="940"/>
      <c r="B849" s="274"/>
      <c r="C849" s="937"/>
      <c r="D849" s="274"/>
      <c r="E849" s="941"/>
      <c r="F849" s="28"/>
      <c r="G849" s="28"/>
      <c r="H849" s="28"/>
      <c r="I849" s="941"/>
      <c r="J849" s="941"/>
      <c r="K849" s="941"/>
      <c r="L849" s="941"/>
      <c r="M849" s="941"/>
    </row>
    <row r="850" ht="20.25" customHeight="1">
      <c r="A850" s="939"/>
      <c r="B850" s="274"/>
      <c r="C850" s="832"/>
      <c r="D850" s="274"/>
      <c r="E850" s="833"/>
      <c r="F850" s="30"/>
      <c r="G850" s="30"/>
      <c r="H850" s="30"/>
      <c r="I850" s="833"/>
      <c r="J850" s="833"/>
      <c r="K850" s="833"/>
      <c r="L850" s="833"/>
      <c r="M850" s="833"/>
    </row>
    <row r="851" ht="20.25" customHeight="1">
      <c r="A851" s="940"/>
      <c r="B851" s="274"/>
      <c r="C851" s="937"/>
      <c r="D851" s="274"/>
      <c r="E851" s="941"/>
      <c r="F851" s="28"/>
      <c r="G851" s="28"/>
      <c r="H851" s="28"/>
      <c r="I851" s="941"/>
      <c r="J851" s="941"/>
      <c r="K851" s="941"/>
      <c r="L851" s="941"/>
      <c r="M851" s="941"/>
    </row>
    <row r="852" ht="20.25" customHeight="1">
      <c r="A852" s="939"/>
      <c r="B852" s="274"/>
      <c r="C852" s="832"/>
      <c r="D852" s="274"/>
      <c r="E852" s="833"/>
      <c r="F852" s="30"/>
      <c r="G852" s="30"/>
      <c r="H852" s="30"/>
      <c r="I852" s="833"/>
      <c r="J852" s="833"/>
      <c r="K852" s="833"/>
      <c r="L852" s="833"/>
      <c r="M852" s="833"/>
    </row>
    <row r="853" ht="20.25" customHeight="1">
      <c r="A853" s="940"/>
      <c r="B853" s="274"/>
      <c r="C853" s="937"/>
      <c r="D853" s="274"/>
      <c r="E853" s="941"/>
      <c r="F853" s="28"/>
      <c r="G853" s="28"/>
      <c r="H853" s="28"/>
      <c r="I853" s="941"/>
      <c r="J853" s="941"/>
      <c r="K853" s="941"/>
      <c r="L853" s="941"/>
      <c r="M853" s="941"/>
    </row>
    <row r="854" ht="20.25" customHeight="1">
      <c r="A854" s="939"/>
      <c r="B854" s="274"/>
      <c r="C854" s="832"/>
      <c r="D854" s="274"/>
      <c r="E854" s="833"/>
      <c r="F854" s="30"/>
      <c r="G854" s="30"/>
      <c r="H854" s="30"/>
      <c r="I854" s="833"/>
      <c r="J854" s="833"/>
      <c r="K854" s="833"/>
      <c r="L854" s="833"/>
      <c r="M854" s="833"/>
    </row>
    <row r="855" ht="20.25" customHeight="1">
      <c r="A855" s="940"/>
      <c r="B855" s="274"/>
      <c r="C855" s="937"/>
      <c r="D855" s="274"/>
      <c r="E855" s="941"/>
      <c r="F855" s="28"/>
      <c r="G855" s="28"/>
      <c r="H855" s="28"/>
      <c r="I855" s="941"/>
      <c r="J855" s="941"/>
      <c r="K855" s="941"/>
      <c r="L855" s="941"/>
      <c r="M855" s="941"/>
    </row>
    <row r="856" ht="20.25" customHeight="1">
      <c r="A856" s="939"/>
      <c r="B856" s="274"/>
      <c r="C856" s="832"/>
      <c r="D856" s="274"/>
      <c r="E856" s="833"/>
      <c r="F856" s="30"/>
      <c r="G856" s="30"/>
      <c r="H856" s="30"/>
      <c r="I856" s="833"/>
      <c r="J856" s="833"/>
      <c r="K856" s="833"/>
      <c r="L856" s="833"/>
      <c r="M856" s="833"/>
    </row>
    <row r="857" ht="20.25" customHeight="1">
      <c r="A857" s="940"/>
      <c r="B857" s="274"/>
      <c r="C857" s="937"/>
      <c r="D857" s="274"/>
      <c r="E857" s="941"/>
      <c r="F857" s="28"/>
      <c r="G857" s="28"/>
      <c r="H857" s="28"/>
      <c r="I857" s="941"/>
      <c r="J857" s="941"/>
      <c r="K857" s="941"/>
      <c r="L857" s="941"/>
      <c r="M857" s="941"/>
    </row>
    <row r="858" ht="20.25" customHeight="1">
      <c r="A858" s="939"/>
      <c r="B858" s="274"/>
      <c r="C858" s="832"/>
      <c r="D858" s="274"/>
      <c r="E858" s="833"/>
      <c r="F858" s="30"/>
      <c r="G858" s="30"/>
      <c r="H858" s="30"/>
      <c r="I858" s="833"/>
      <c r="J858" s="833"/>
      <c r="K858" s="833"/>
      <c r="L858" s="833"/>
      <c r="M858" s="833"/>
    </row>
    <row r="859" ht="20.25" customHeight="1">
      <c r="A859" s="940"/>
      <c r="B859" s="274"/>
      <c r="C859" s="937"/>
      <c r="D859" s="274"/>
      <c r="E859" s="941"/>
      <c r="F859" s="28"/>
      <c r="G859" s="28"/>
      <c r="H859" s="28"/>
      <c r="I859" s="941"/>
      <c r="J859" s="941"/>
      <c r="K859" s="941"/>
      <c r="L859" s="941"/>
      <c r="M859" s="941"/>
    </row>
    <row r="860" ht="20.25" customHeight="1">
      <c r="A860" s="939"/>
      <c r="B860" s="274"/>
      <c r="C860" s="832"/>
      <c r="D860" s="274"/>
      <c r="E860" s="833"/>
      <c r="F860" s="30"/>
      <c r="G860" s="30"/>
      <c r="H860" s="30"/>
      <c r="I860" s="833"/>
      <c r="J860" s="833"/>
      <c r="K860" s="833"/>
      <c r="L860" s="833"/>
      <c r="M860" s="833"/>
    </row>
    <row r="861" ht="20.25" customHeight="1">
      <c r="A861" s="940"/>
      <c r="B861" s="274"/>
      <c r="C861" s="937"/>
      <c r="D861" s="274"/>
      <c r="E861" s="941"/>
      <c r="F861" s="28"/>
      <c r="G861" s="28"/>
      <c r="H861" s="28"/>
      <c r="I861" s="941"/>
      <c r="J861" s="941"/>
      <c r="K861" s="941"/>
      <c r="L861" s="941"/>
      <c r="M861" s="941"/>
    </row>
    <row r="862" ht="20.25" customHeight="1">
      <c r="A862" s="939"/>
      <c r="B862" s="274"/>
      <c r="C862" s="832"/>
      <c r="D862" s="274"/>
      <c r="E862" s="833"/>
      <c r="F862" s="30"/>
      <c r="G862" s="30"/>
      <c r="H862" s="30"/>
      <c r="I862" s="833"/>
      <c r="J862" s="833"/>
      <c r="K862" s="833"/>
      <c r="L862" s="833"/>
      <c r="M862" s="833"/>
    </row>
    <row r="863" ht="20.25" customHeight="1">
      <c r="A863" s="940"/>
      <c r="B863" s="274"/>
      <c r="C863" s="937"/>
      <c r="D863" s="274"/>
      <c r="E863" s="941"/>
      <c r="F863" s="28"/>
      <c r="G863" s="28"/>
      <c r="H863" s="28"/>
      <c r="I863" s="941"/>
      <c r="J863" s="941"/>
      <c r="K863" s="941"/>
      <c r="L863" s="941"/>
      <c r="M863" s="941"/>
    </row>
    <row r="864" ht="20.25" customHeight="1">
      <c r="A864" s="939"/>
      <c r="B864" s="274"/>
      <c r="C864" s="832"/>
      <c r="D864" s="274"/>
      <c r="E864" s="833"/>
      <c r="F864" s="30"/>
      <c r="G864" s="30"/>
      <c r="H864" s="30"/>
      <c r="I864" s="833"/>
      <c r="J864" s="833"/>
      <c r="K864" s="833"/>
      <c r="L864" s="833"/>
      <c r="M864" s="833"/>
    </row>
    <row r="865" ht="20.25" customHeight="1">
      <c r="A865" s="940"/>
      <c r="B865" s="274"/>
      <c r="C865" s="937"/>
      <c r="D865" s="274"/>
      <c r="E865" s="941"/>
      <c r="F865" s="28"/>
      <c r="G865" s="28"/>
      <c r="H865" s="28"/>
      <c r="I865" s="941"/>
      <c r="J865" s="941"/>
      <c r="K865" s="941"/>
      <c r="L865" s="941"/>
      <c r="M865" s="941"/>
    </row>
    <row r="866" ht="20.25" customHeight="1">
      <c r="A866" s="939"/>
      <c r="B866" s="274"/>
      <c r="C866" s="832"/>
      <c r="D866" s="274"/>
      <c r="E866" s="833"/>
      <c r="F866" s="30"/>
      <c r="G866" s="30"/>
      <c r="H866" s="30"/>
      <c r="I866" s="833"/>
      <c r="J866" s="833"/>
      <c r="K866" s="833"/>
      <c r="L866" s="833"/>
      <c r="M866" s="833"/>
    </row>
    <row r="867" ht="20.25" customHeight="1">
      <c r="A867" s="940"/>
      <c r="B867" s="274"/>
      <c r="C867" s="937"/>
      <c r="D867" s="274"/>
      <c r="E867" s="941"/>
      <c r="F867" s="28"/>
      <c r="G867" s="28"/>
      <c r="H867" s="28"/>
      <c r="I867" s="941"/>
      <c r="J867" s="941"/>
      <c r="K867" s="941"/>
      <c r="L867" s="941"/>
      <c r="M867" s="941"/>
    </row>
    <row r="868" ht="20.25" customHeight="1">
      <c r="A868" s="939"/>
      <c r="B868" s="274"/>
      <c r="C868" s="832"/>
      <c r="D868" s="274"/>
      <c r="E868" s="833"/>
      <c r="F868" s="30"/>
      <c r="G868" s="30"/>
      <c r="H868" s="30"/>
      <c r="I868" s="833"/>
      <c r="J868" s="833"/>
      <c r="K868" s="833"/>
      <c r="L868" s="833"/>
      <c r="M868" s="833"/>
    </row>
    <row r="869" ht="20.25" customHeight="1">
      <c r="A869" s="940"/>
      <c r="B869" s="274"/>
      <c r="C869" s="937"/>
      <c r="D869" s="274"/>
      <c r="E869" s="941"/>
      <c r="F869" s="28"/>
      <c r="G869" s="28"/>
      <c r="H869" s="28"/>
      <c r="I869" s="941"/>
      <c r="J869" s="941"/>
      <c r="K869" s="941"/>
      <c r="L869" s="941"/>
      <c r="M869" s="941"/>
    </row>
    <row r="870" ht="20.25" customHeight="1">
      <c r="A870" s="939"/>
      <c r="B870" s="274"/>
      <c r="C870" s="832"/>
      <c r="D870" s="274"/>
      <c r="E870" s="833"/>
      <c r="F870" s="30"/>
      <c r="G870" s="30"/>
      <c r="H870" s="30"/>
      <c r="I870" s="833"/>
      <c r="J870" s="833"/>
      <c r="K870" s="833"/>
      <c r="L870" s="833"/>
      <c r="M870" s="833"/>
    </row>
    <row r="871" ht="20.25" customHeight="1">
      <c r="A871" s="940"/>
      <c r="B871" s="274"/>
      <c r="C871" s="937"/>
      <c r="D871" s="274"/>
      <c r="E871" s="941"/>
      <c r="F871" s="28"/>
      <c r="G871" s="28"/>
      <c r="H871" s="28"/>
      <c r="I871" s="941"/>
      <c r="J871" s="941"/>
      <c r="K871" s="941"/>
      <c r="L871" s="941"/>
      <c r="M871" s="941"/>
    </row>
    <row r="872" ht="20.25" customHeight="1">
      <c r="A872" s="939"/>
      <c r="B872" s="274"/>
      <c r="C872" s="832"/>
      <c r="D872" s="274"/>
      <c r="E872" s="833"/>
      <c r="F872" s="30"/>
      <c r="G872" s="30"/>
      <c r="H872" s="30"/>
      <c r="I872" s="833"/>
      <c r="J872" s="833"/>
      <c r="K872" s="833"/>
      <c r="L872" s="833"/>
      <c r="M872" s="833"/>
    </row>
    <row r="873" ht="20.25" customHeight="1">
      <c r="A873" s="940"/>
      <c r="B873" s="274"/>
      <c r="C873" s="937"/>
      <c r="D873" s="274"/>
      <c r="E873" s="941"/>
      <c r="F873" s="28"/>
      <c r="G873" s="28"/>
      <c r="H873" s="28"/>
      <c r="I873" s="941"/>
      <c r="J873" s="941"/>
      <c r="K873" s="941"/>
      <c r="L873" s="941"/>
      <c r="M873" s="941"/>
    </row>
    <row r="874" ht="20.25" customHeight="1">
      <c r="A874" s="939"/>
      <c r="B874" s="274"/>
      <c r="C874" s="832"/>
      <c r="D874" s="274"/>
      <c r="E874" s="833"/>
      <c r="F874" s="30"/>
      <c r="G874" s="30"/>
      <c r="H874" s="30"/>
      <c r="I874" s="833"/>
      <c r="J874" s="833"/>
      <c r="K874" s="833"/>
      <c r="L874" s="833"/>
      <c r="M874" s="833"/>
    </row>
    <row r="875" ht="20.25" customHeight="1">
      <c r="A875" s="940"/>
      <c r="B875" s="274"/>
      <c r="C875" s="937"/>
      <c r="D875" s="274"/>
      <c r="E875" s="941"/>
      <c r="F875" s="28"/>
      <c r="G875" s="28"/>
      <c r="H875" s="28"/>
      <c r="I875" s="941"/>
      <c r="J875" s="941"/>
      <c r="K875" s="941"/>
      <c r="L875" s="941"/>
      <c r="M875" s="941"/>
    </row>
    <row r="876" ht="20.25" customHeight="1">
      <c r="A876" s="939"/>
      <c r="B876" s="274"/>
      <c r="C876" s="832"/>
      <c r="D876" s="274"/>
      <c r="E876" s="833"/>
      <c r="F876" s="30"/>
      <c r="G876" s="30"/>
      <c r="H876" s="30"/>
      <c r="I876" s="833"/>
      <c r="J876" s="833"/>
      <c r="K876" s="833"/>
      <c r="L876" s="833"/>
      <c r="M876" s="833"/>
    </row>
    <row r="877" ht="20.25" customHeight="1">
      <c r="A877" s="940"/>
      <c r="B877" s="274"/>
      <c r="C877" s="937"/>
      <c r="D877" s="274"/>
      <c r="E877" s="941"/>
      <c r="F877" s="28"/>
      <c r="G877" s="28"/>
      <c r="H877" s="28"/>
      <c r="I877" s="941"/>
      <c r="J877" s="941"/>
      <c r="K877" s="941"/>
      <c r="L877" s="941"/>
      <c r="M877" s="941"/>
    </row>
    <row r="878" ht="20.25" customHeight="1">
      <c r="A878" s="939"/>
      <c r="B878" s="274"/>
      <c r="C878" s="832"/>
      <c r="D878" s="274"/>
      <c r="E878" s="833"/>
      <c r="F878" s="30"/>
      <c r="G878" s="30"/>
      <c r="H878" s="30"/>
      <c r="I878" s="833"/>
      <c r="J878" s="833"/>
      <c r="K878" s="833"/>
      <c r="L878" s="833"/>
      <c r="M878" s="833"/>
    </row>
    <row r="879" ht="20.25" customHeight="1">
      <c r="A879" s="940"/>
      <c r="B879" s="274"/>
      <c r="C879" s="937"/>
      <c r="D879" s="274"/>
      <c r="E879" s="941"/>
      <c r="F879" s="28"/>
      <c r="G879" s="28"/>
      <c r="H879" s="28"/>
      <c r="I879" s="941"/>
      <c r="J879" s="941"/>
      <c r="K879" s="941"/>
      <c r="L879" s="941"/>
      <c r="M879" s="941"/>
    </row>
    <row r="880" ht="20.25" customHeight="1">
      <c r="A880" s="939"/>
      <c r="B880" s="274"/>
      <c r="C880" s="832"/>
      <c r="D880" s="274"/>
      <c r="E880" s="833"/>
      <c r="F880" s="30"/>
      <c r="G880" s="30"/>
      <c r="H880" s="30"/>
      <c r="I880" s="833"/>
      <c r="J880" s="833"/>
      <c r="K880" s="833"/>
      <c r="L880" s="833"/>
      <c r="M880" s="833"/>
    </row>
    <row r="881" ht="20.25" customHeight="1">
      <c r="A881" s="940"/>
      <c r="B881" s="274"/>
      <c r="C881" s="937"/>
      <c r="D881" s="274"/>
      <c r="E881" s="941"/>
      <c r="F881" s="28"/>
      <c r="G881" s="28"/>
      <c r="H881" s="28"/>
      <c r="I881" s="941"/>
      <c r="J881" s="941"/>
      <c r="K881" s="941"/>
      <c r="L881" s="941"/>
      <c r="M881" s="941"/>
    </row>
    <row r="882" ht="20.25" customHeight="1">
      <c r="A882" s="939"/>
      <c r="B882" s="274"/>
      <c r="C882" s="832"/>
      <c r="D882" s="274"/>
      <c r="E882" s="833"/>
      <c r="F882" s="30"/>
      <c r="G882" s="30"/>
      <c r="H882" s="30"/>
      <c r="I882" s="833"/>
      <c r="J882" s="833"/>
      <c r="K882" s="833"/>
      <c r="L882" s="833"/>
      <c r="M882" s="833"/>
    </row>
    <row r="883" ht="20.25" customHeight="1">
      <c r="A883" s="940"/>
      <c r="B883" s="274"/>
      <c r="C883" s="937"/>
      <c r="D883" s="274"/>
      <c r="E883" s="941"/>
      <c r="F883" s="28"/>
      <c r="G883" s="28"/>
      <c r="H883" s="28"/>
      <c r="I883" s="941"/>
      <c r="J883" s="941"/>
      <c r="K883" s="941"/>
      <c r="L883" s="941"/>
      <c r="M883" s="941"/>
    </row>
    <row r="884" ht="20.25" customHeight="1">
      <c r="A884" s="939"/>
      <c r="B884" s="274"/>
      <c r="C884" s="832"/>
      <c r="D884" s="274"/>
      <c r="E884" s="833"/>
      <c r="F884" s="30"/>
      <c r="G884" s="30"/>
      <c r="H884" s="30"/>
      <c r="I884" s="833"/>
      <c r="J884" s="833"/>
      <c r="K884" s="833"/>
      <c r="L884" s="833"/>
      <c r="M884" s="833"/>
    </row>
    <row r="885" ht="20.25" customHeight="1">
      <c r="A885" s="940"/>
      <c r="B885" s="274"/>
      <c r="C885" s="937"/>
      <c r="D885" s="274"/>
      <c r="E885" s="941"/>
      <c r="F885" s="28"/>
      <c r="G885" s="28"/>
      <c r="H885" s="28"/>
      <c r="I885" s="941"/>
      <c r="J885" s="941"/>
      <c r="K885" s="941"/>
      <c r="L885" s="941"/>
      <c r="M885" s="941"/>
    </row>
    <row r="886" ht="20.25" customHeight="1">
      <c r="A886" s="939"/>
      <c r="B886" s="274"/>
      <c r="C886" s="832"/>
      <c r="D886" s="274"/>
      <c r="E886" s="833"/>
      <c r="F886" s="30"/>
      <c r="G886" s="30"/>
      <c r="H886" s="30"/>
      <c r="I886" s="833"/>
      <c r="J886" s="833"/>
      <c r="K886" s="833"/>
      <c r="L886" s="833"/>
      <c r="M886" s="833"/>
    </row>
    <row r="887" ht="20.25" customHeight="1">
      <c r="A887" s="940"/>
      <c r="B887" s="274"/>
      <c r="C887" s="937"/>
      <c r="D887" s="274"/>
      <c r="E887" s="941"/>
      <c r="F887" s="28"/>
      <c r="G887" s="28"/>
      <c r="H887" s="28"/>
      <c r="I887" s="941"/>
      <c r="J887" s="941"/>
      <c r="K887" s="941"/>
      <c r="L887" s="941"/>
      <c r="M887" s="941"/>
    </row>
    <row r="888" ht="20.25" customHeight="1">
      <c r="A888" s="939"/>
      <c r="B888" s="274"/>
      <c r="C888" s="832"/>
      <c r="D888" s="274"/>
      <c r="E888" s="833"/>
      <c r="F888" s="30"/>
      <c r="G888" s="30"/>
      <c r="H888" s="30"/>
      <c r="I888" s="833"/>
      <c r="J888" s="833"/>
      <c r="K888" s="833"/>
      <c r="L888" s="833"/>
      <c r="M888" s="833"/>
    </row>
    <row r="889" ht="20.25" customHeight="1">
      <c r="A889" s="940"/>
      <c r="B889" s="274"/>
      <c r="C889" s="937"/>
      <c r="D889" s="274"/>
      <c r="E889" s="941"/>
      <c r="F889" s="28"/>
      <c r="G889" s="28"/>
      <c r="H889" s="28"/>
      <c r="I889" s="941"/>
      <c r="J889" s="941"/>
      <c r="K889" s="941"/>
      <c r="L889" s="941"/>
      <c r="M889" s="941"/>
    </row>
    <row r="890" ht="20.25" customHeight="1">
      <c r="A890" s="939"/>
      <c r="B890" s="274"/>
      <c r="C890" s="832"/>
      <c r="D890" s="274"/>
      <c r="E890" s="833"/>
      <c r="F890" s="30"/>
      <c r="G890" s="30"/>
      <c r="H890" s="30"/>
      <c r="I890" s="833"/>
      <c r="J890" s="833"/>
      <c r="K890" s="833"/>
      <c r="L890" s="833"/>
      <c r="M890" s="833"/>
    </row>
    <row r="891" ht="20.25" customHeight="1">
      <c r="A891" s="940"/>
      <c r="B891" s="274"/>
      <c r="C891" s="937"/>
      <c r="D891" s="274"/>
      <c r="E891" s="941"/>
      <c r="F891" s="28"/>
      <c r="G891" s="28"/>
      <c r="H891" s="28"/>
      <c r="I891" s="941"/>
      <c r="J891" s="941"/>
      <c r="K891" s="941"/>
      <c r="L891" s="941"/>
      <c r="M891" s="941"/>
    </row>
    <row r="892" ht="20.25" customHeight="1">
      <c r="A892" s="939"/>
      <c r="B892" s="274"/>
      <c r="C892" s="832"/>
      <c r="D892" s="274"/>
      <c r="E892" s="833"/>
      <c r="F892" s="30"/>
      <c r="G892" s="30"/>
      <c r="H892" s="30"/>
      <c r="I892" s="833"/>
      <c r="J892" s="833"/>
      <c r="K892" s="833"/>
      <c r="L892" s="833"/>
      <c r="M892" s="833"/>
    </row>
    <row r="893" ht="20.25" customHeight="1">
      <c r="A893" s="940"/>
      <c r="B893" s="274"/>
      <c r="C893" s="937"/>
      <c r="D893" s="274"/>
      <c r="E893" s="941"/>
      <c r="F893" s="28"/>
      <c r="G893" s="28"/>
      <c r="H893" s="28"/>
      <c r="I893" s="941"/>
      <c r="J893" s="941"/>
      <c r="K893" s="941"/>
      <c r="L893" s="941"/>
      <c r="M893" s="941"/>
    </row>
    <row r="894" ht="20.25" customHeight="1">
      <c r="A894" s="939"/>
      <c r="B894" s="274"/>
      <c r="C894" s="832"/>
      <c r="D894" s="274"/>
      <c r="E894" s="833"/>
      <c r="F894" s="30"/>
      <c r="G894" s="30"/>
      <c r="H894" s="30"/>
      <c r="I894" s="833"/>
      <c r="J894" s="833"/>
      <c r="K894" s="833"/>
      <c r="L894" s="833"/>
      <c r="M894" s="833"/>
    </row>
    <row r="895" ht="20.25" customHeight="1">
      <c r="A895" s="940"/>
      <c r="B895" s="274"/>
      <c r="C895" s="937"/>
      <c r="D895" s="274"/>
      <c r="E895" s="941"/>
      <c r="F895" s="28"/>
      <c r="G895" s="28"/>
      <c r="H895" s="28"/>
      <c r="I895" s="941"/>
      <c r="J895" s="941"/>
      <c r="K895" s="941"/>
      <c r="L895" s="941"/>
      <c r="M895" s="941"/>
    </row>
    <row r="896" ht="20.25" customHeight="1">
      <c r="A896" s="939"/>
      <c r="B896" s="274"/>
      <c r="C896" s="832"/>
      <c r="D896" s="274"/>
      <c r="E896" s="833"/>
      <c r="F896" s="30"/>
      <c r="G896" s="30"/>
      <c r="H896" s="30"/>
      <c r="I896" s="833"/>
      <c r="J896" s="833"/>
      <c r="K896" s="833"/>
      <c r="L896" s="833"/>
      <c r="M896" s="833"/>
    </row>
    <row r="897" ht="20.25" customHeight="1">
      <c r="A897" s="940"/>
      <c r="B897" s="274"/>
      <c r="C897" s="937"/>
      <c r="D897" s="274"/>
      <c r="E897" s="941"/>
      <c r="F897" s="28"/>
      <c r="G897" s="28"/>
      <c r="H897" s="28"/>
      <c r="I897" s="941"/>
      <c r="J897" s="941"/>
      <c r="K897" s="941"/>
      <c r="L897" s="941"/>
      <c r="M897" s="941"/>
    </row>
    <row r="898" ht="20.25" customHeight="1">
      <c r="A898" s="939"/>
      <c r="B898" s="274"/>
      <c r="C898" s="832"/>
      <c r="D898" s="274"/>
      <c r="E898" s="833"/>
      <c r="F898" s="30"/>
      <c r="G898" s="30"/>
      <c r="H898" s="30"/>
      <c r="I898" s="833"/>
      <c r="J898" s="833"/>
      <c r="K898" s="833"/>
      <c r="L898" s="833"/>
      <c r="M898" s="833"/>
    </row>
    <row r="899" ht="20.25" customHeight="1">
      <c r="A899" s="940"/>
      <c r="B899" s="274"/>
      <c r="C899" s="937"/>
      <c r="D899" s="274"/>
      <c r="E899" s="941"/>
      <c r="F899" s="28"/>
      <c r="G899" s="28"/>
      <c r="H899" s="28"/>
      <c r="I899" s="941"/>
      <c r="J899" s="941"/>
      <c r="K899" s="941"/>
      <c r="L899" s="941"/>
      <c r="M899" s="941"/>
    </row>
    <row r="900" ht="20.25" customHeight="1">
      <c r="A900" s="939"/>
      <c r="B900" s="274"/>
      <c r="C900" s="832"/>
      <c r="D900" s="274"/>
      <c r="E900" s="833"/>
      <c r="F900" s="30"/>
      <c r="G900" s="30"/>
      <c r="H900" s="30"/>
      <c r="I900" s="833"/>
      <c r="J900" s="833"/>
      <c r="K900" s="833"/>
      <c r="L900" s="833"/>
      <c r="M900" s="833"/>
    </row>
    <row r="901" ht="20.25" customHeight="1">
      <c r="A901" s="940"/>
      <c r="B901" s="274"/>
      <c r="C901" s="937"/>
      <c r="D901" s="274"/>
      <c r="E901" s="941"/>
      <c r="F901" s="28"/>
      <c r="G901" s="28"/>
      <c r="H901" s="28"/>
      <c r="I901" s="941"/>
      <c r="J901" s="941"/>
      <c r="K901" s="941"/>
      <c r="L901" s="941"/>
      <c r="M901" s="941"/>
    </row>
    <row r="902" ht="20.25" customHeight="1">
      <c r="A902" s="939"/>
      <c r="B902" s="274"/>
      <c r="C902" s="832"/>
      <c r="D902" s="274"/>
      <c r="E902" s="833"/>
      <c r="F902" s="30"/>
      <c r="G902" s="30"/>
      <c r="H902" s="30"/>
      <c r="I902" s="833"/>
      <c r="J902" s="833"/>
      <c r="K902" s="833"/>
      <c r="L902" s="833"/>
      <c r="M902" s="833"/>
    </row>
    <row r="903" ht="20.25" customHeight="1">
      <c r="A903" s="940"/>
      <c r="B903" s="274"/>
      <c r="C903" s="937"/>
      <c r="D903" s="274"/>
      <c r="E903" s="941"/>
      <c r="F903" s="28"/>
      <c r="G903" s="28"/>
      <c r="H903" s="28"/>
      <c r="I903" s="941"/>
      <c r="J903" s="941"/>
      <c r="K903" s="941"/>
      <c r="L903" s="941"/>
      <c r="M903" s="941"/>
    </row>
    <row r="904" ht="20.25" customHeight="1">
      <c r="A904" s="939"/>
      <c r="B904" s="274"/>
      <c r="C904" s="832"/>
      <c r="D904" s="274"/>
      <c r="E904" s="833"/>
      <c r="F904" s="30"/>
      <c r="G904" s="30"/>
      <c r="H904" s="30"/>
      <c r="I904" s="833"/>
      <c r="J904" s="833"/>
      <c r="K904" s="833"/>
      <c r="L904" s="833"/>
      <c r="M904" s="833"/>
    </row>
    <row r="905" ht="20.25" customHeight="1">
      <c r="A905" s="940"/>
      <c r="B905" s="274"/>
      <c r="C905" s="937"/>
      <c r="D905" s="274"/>
      <c r="E905" s="941"/>
      <c r="F905" s="28"/>
      <c r="G905" s="28"/>
      <c r="H905" s="28"/>
      <c r="I905" s="941"/>
      <c r="J905" s="941"/>
      <c r="K905" s="941"/>
      <c r="L905" s="941"/>
      <c r="M905" s="941"/>
    </row>
    <row r="906" ht="20.25" customHeight="1">
      <c r="A906" s="939"/>
      <c r="B906" s="274"/>
      <c r="C906" s="832"/>
      <c r="D906" s="274"/>
      <c r="E906" s="833"/>
      <c r="F906" s="30"/>
      <c r="G906" s="30"/>
      <c r="H906" s="30"/>
      <c r="I906" s="833"/>
      <c r="J906" s="833"/>
      <c r="K906" s="833"/>
      <c r="L906" s="833"/>
      <c r="M906" s="833"/>
    </row>
    <row r="907" ht="20.25" customHeight="1">
      <c r="A907" s="940"/>
      <c r="B907" s="274"/>
      <c r="C907" s="937"/>
      <c r="D907" s="274"/>
      <c r="E907" s="941"/>
      <c r="F907" s="28"/>
      <c r="G907" s="28"/>
      <c r="H907" s="28"/>
      <c r="I907" s="941"/>
      <c r="J907" s="941"/>
      <c r="K907" s="941"/>
      <c r="L907" s="941"/>
      <c r="M907" s="941"/>
    </row>
    <row r="908" ht="20.25" customHeight="1">
      <c r="A908" s="939"/>
      <c r="B908" s="274"/>
      <c r="C908" s="832"/>
      <c r="D908" s="274"/>
      <c r="E908" s="833"/>
      <c r="F908" s="30"/>
      <c r="G908" s="30"/>
      <c r="H908" s="30"/>
      <c r="I908" s="833"/>
      <c r="J908" s="833"/>
      <c r="K908" s="833"/>
      <c r="L908" s="833"/>
      <c r="M908" s="833"/>
    </row>
    <row r="909" ht="20.25" customHeight="1">
      <c r="A909" s="940"/>
      <c r="B909" s="274"/>
      <c r="C909" s="937"/>
      <c r="D909" s="274"/>
      <c r="E909" s="941"/>
      <c r="F909" s="28"/>
      <c r="G909" s="28"/>
      <c r="H909" s="28"/>
      <c r="I909" s="941"/>
      <c r="J909" s="941"/>
      <c r="K909" s="941"/>
      <c r="L909" s="941"/>
      <c r="M909" s="941"/>
    </row>
    <row r="910" ht="20.25" customHeight="1">
      <c r="A910" s="939"/>
      <c r="B910" s="274"/>
      <c r="C910" s="832"/>
      <c r="D910" s="274"/>
      <c r="E910" s="833"/>
      <c r="F910" s="30"/>
      <c r="G910" s="30"/>
      <c r="H910" s="30"/>
      <c r="I910" s="833"/>
      <c r="J910" s="833"/>
      <c r="K910" s="833"/>
      <c r="L910" s="833"/>
      <c r="M910" s="833"/>
    </row>
    <row r="911" ht="20.25" customHeight="1">
      <c r="A911" s="940"/>
      <c r="B911" s="274"/>
      <c r="C911" s="937"/>
      <c r="D911" s="274"/>
      <c r="E911" s="941"/>
      <c r="F911" s="28"/>
      <c r="G911" s="28"/>
      <c r="H911" s="28"/>
      <c r="I911" s="941"/>
      <c r="J911" s="941"/>
      <c r="K911" s="941"/>
      <c r="L911" s="941"/>
      <c r="M911" s="941"/>
    </row>
    <row r="912" ht="20.25" customHeight="1">
      <c r="A912" s="939"/>
      <c r="B912" s="274"/>
      <c r="C912" s="832"/>
      <c r="D912" s="274"/>
      <c r="E912" s="833"/>
      <c r="F912" s="30"/>
      <c r="G912" s="30"/>
      <c r="H912" s="30"/>
      <c r="I912" s="833"/>
      <c r="J912" s="833"/>
      <c r="K912" s="833"/>
      <c r="L912" s="833"/>
      <c r="M912" s="833"/>
    </row>
    <row r="913" ht="20.25" customHeight="1">
      <c r="A913" s="940"/>
      <c r="B913" s="274"/>
      <c r="C913" s="937"/>
      <c r="D913" s="274"/>
      <c r="E913" s="941"/>
      <c r="F913" s="28"/>
      <c r="G913" s="28"/>
      <c r="H913" s="28"/>
      <c r="I913" s="941"/>
      <c r="J913" s="941"/>
      <c r="K913" s="941"/>
      <c r="L913" s="941"/>
      <c r="M913" s="941"/>
    </row>
    <row r="914" ht="20.25" customHeight="1">
      <c r="A914" s="939"/>
      <c r="B914" s="274"/>
      <c r="C914" s="832"/>
      <c r="D914" s="274"/>
      <c r="E914" s="833"/>
      <c r="F914" s="30"/>
      <c r="G914" s="30"/>
      <c r="H914" s="30"/>
      <c r="I914" s="833"/>
      <c r="J914" s="833"/>
      <c r="K914" s="833"/>
      <c r="L914" s="833"/>
      <c r="M914" s="833"/>
    </row>
    <row r="915" ht="20.25" customHeight="1">
      <c r="A915" s="940"/>
      <c r="B915" s="274"/>
      <c r="C915" s="937"/>
      <c r="D915" s="274"/>
      <c r="E915" s="941"/>
      <c r="F915" s="28"/>
      <c r="G915" s="28"/>
      <c r="H915" s="28"/>
      <c r="I915" s="941"/>
      <c r="J915" s="941"/>
      <c r="K915" s="941"/>
      <c r="L915" s="941"/>
      <c r="M915" s="941"/>
    </row>
    <row r="916" ht="20.25" customHeight="1">
      <c r="A916" s="939"/>
      <c r="B916" s="274"/>
      <c r="C916" s="832"/>
      <c r="D916" s="274"/>
      <c r="E916" s="833"/>
      <c r="F916" s="30"/>
      <c r="G916" s="30"/>
      <c r="H916" s="30"/>
      <c r="I916" s="833"/>
      <c r="J916" s="833"/>
      <c r="K916" s="833"/>
      <c r="L916" s="833"/>
      <c r="M916" s="833"/>
    </row>
    <row r="917" ht="20.25" customHeight="1">
      <c r="A917" s="940"/>
      <c r="B917" s="274"/>
      <c r="C917" s="937"/>
      <c r="D917" s="274"/>
      <c r="E917" s="941"/>
      <c r="F917" s="28"/>
      <c r="G917" s="28"/>
      <c r="H917" s="28"/>
      <c r="I917" s="941"/>
      <c r="J917" s="941"/>
      <c r="K917" s="941"/>
      <c r="L917" s="941"/>
      <c r="M917" s="941"/>
    </row>
    <row r="918" ht="20.25" customHeight="1">
      <c r="A918" s="939"/>
      <c r="B918" s="274"/>
      <c r="C918" s="832"/>
      <c r="D918" s="274"/>
      <c r="E918" s="833"/>
      <c r="F918" s="30"/>
      <c r="G918" s="30"/>
      <c r="H918" s="30"/>
      <c r="I918" s="833"/>
      <c r="J918" s="833"/>
      <c r="K918" s="833"/>
      <c r="L918" s="833"/>
      <c r="M918" s="833"/>
    </row>
    <row r="919" ht="20.25" customHeight="1">
      <c r="A919" s="940"/>
      <c r="B919" s="274"/>
      <c r="C919" s="937"/>
      <c r="D919" s="274"/>
      <c r="E919" s="941"/>
      <c r="F919" s="28"/>
      <c r="G919" s="28"/>
      <c r="H919" s="28"/>
      <c r="I919" s="941"/>
      <c r="J919" s="941"/>
      <c r="K919" s="941"/>
      <c r="L919" s="941"/>
      <c r="M919" s="941"/>
    </row>
    <row r="920" ht="20.25" customHeight="1">
      <c r="A920" s="939"/>
      <c r="B920" s="274"/>
      <c r="C920" s="832"/>
      <c r="D920" s="274"/>
      <c r="E920" s="833"/>
      <c r="F920" s="30"/>
      <c r="G920" s="30"/>
      <c r="H920" s="30"/>
      <c r="I920" s="833"/>
      <c r="J920" s="833"/>
      <c r="K920" s="833"/>
      <c r="L920" s="833"/>
      <c r="M920" s="833"/>
    </row>
    <row r="921" ht="20.25" customHeight="1">
      <c r="A921" s="940"/>
      <c r="B921" s="274"/>
      <c r="C921" s="937"/>
      <c r="D921" s="274"/>
      <c r="E921" s="941"/>
      <c r="F921" s="28"/>
      <c r="G921" s="28"/>
      <c r="H921" s="28"/>
      <c r="I921" s="941"/>
      <c r="J921" s="941"/>
      <c r="K921" s="941"/>
      <c r="L921" s="941"/>
      <c r="M921" s="941"/>
    </row>
    <row r="922" ht="20.25" customHeight="1">
      <c r="A922" s="939"/>
      <c r="B922" s="274"/>
      <c r="C922" s="832"/>
      <c r="D922" s="274"/>
      <c r="E922" s="833"/>
      <c r="F922" s="30"/>
      <c r="G922" s="30"/>
      <c r="H922" s="30"/>
      <c r="I922" s="833"/>
      <c r="J922" s="833"/>
      <c r="K922" s="833"/>
      <c r="L922" s="833"/>
      <c r="M922" s="833"/>
    </row>
    <row r="923" ht="20.25" customHeight="1">
      <c r="A923" s="940"/>
      <c r="B923" s="274"/>
      <c r="C923" s="937"/>
      <c r="D923" s="274"/>
      <c r="E923" s="941"/>
      <c r="F923" s="28"/>
      <c r="G923" s="28"/>
      <c r="H923" s="28"/>
      <c r="I923" s="941"/>
      <c r="J923" s="941"/>
      <c r="K923" s="941"/>
      <c r="L923" s="941"/>
      <c r="M923" s="941"/>
    </row>
    <row r="924" ht="20.25" customHeight="1">
      <c r="A924" s="939"/>
      <c r="B924" s="274"/>
      <c r="C924" s="832"/>
      <c r="D924" s="274"/>
      <c r="E924" s="833"/>
      <c r="F924" s="30"/>
      <c r="G924" s="30"/>
      <c r="H924" s="30"/>
      <c r="I924" s="833"/>
      <c r="J924" s="833"/>
      <c r="K924" s="833"/>
      <c r="L924" s="833"/>
      <c r="M924" s="833"/>
    </row>
    <row r="925" ht="20.25" customHeight="1">
      <c r="A925" s="940"/>
      <c r="B925" s="274"/>
      <c r="C925" s="937"/>
      <c r="D925" s="274"/>
      <c r="E925" s="941"/>
      <c r="F925" s="28"/>
      <c r="G925" s="28"/>
      <c r="H925" s="28"/>
      <c r="I925" s="941"/>
      <c r="J925" s="941"/>
      <c r="K925" s="941"/>
      <c r="L925" s="941"/>
      <c r="M925" s="941"/>
    </row>
    <row r="926" ht="20.25" customHeight="1">
      <c r="A926" s="939"/>
      <c r="B926" s="274"/>
      <c r="C926" s="832"/>
      <c r="D926" s="274"/>
      <c r="E926" s="833"/>
      <c r="F926" s="30"/>
      <c r="G926" s="30"/>
      <c r="H926" s="30"/>
      <c r="I926" s="833"/>
      <c r="J926" s="833"/>
      <c r="K926" s="833"/>
      <c r="L926" s="833"/>
      <c r="M926" s="833"/>
    </row>
    <row r="927" ht="20.25" customHeight="1">
      <c r="A927" s="940"/>
      <c r="B927" s="274"/>
      <c r="C927" s="937"/>
      <c r="D927" s="274"/>
      <c r="E927" s="941"/>
      <c r="F927" s="28"/>
      <c r="G927" s="28"/>
      <c r="H927" s="28"/>
      <c r="I927" s="941"/>
      <c r="J927" s="941"/>
      <c r="K927" s="941"/>
      <c r="L927" s="941"/>
      <c r="M927" s="941"/>
    </row>
    <row r="928" ht="20.25" customHeight="1">
      <c r="A928" s="939"/>
      <c r="B928" s="274"/>
      <c r="C928" s="832"/>
      <c r="D928" s="274"/>
      <c r="E928" s="833"/>
      <c r="F928" s="30"/>
      <c r="G928" s="30"/>
      <c r="H928" s="30"/>
      <c r="I928" s="833"/>
      <c r="J928" s="833"/>
      <c r="K928" s="833"/>
      <c r="L928" s="833"/>
      <c r="M928" s="833"/>
    </row>
    <row r="929" ht="20.25" customHeight="1">
      <c r="A929" s="940"/>
      <c r="B929" s="274"/>
      <c r="C929" s="937"/>
      <c r="D929" s="274"/>
      <c r="E929" s="941"/>
      <c r="F929" s="28"/>
      <c r="G929" s="28"/>
      <c r="H929" s="28"/>
      <c r="I929" s="941"/>
      <c r="J929" s="941"/>
      <c r="K929" s="941"/>
      <c r="L929" s="941"/>
      <c r="M929" s="941"/>
    </row>
    <row r="930" ht="20.25" customHeight="1">
      <c r="A930" s="939"/>
      <c r="B930" s="274"/>
      <c r="C930" s="832"/>
      <c r="D930" s="274"/>
      <c r="E930" s="833"/>
      <c r="F930" s="30"/>
      <c r="G930" s="30"/>
      <c r="H930" s="30"/>
      <c r="I930" s="833"/>
      <c r="J930" s="833"/>
      <c r="K930" s="833"/>
      <c r="L930" s="833"/>
      <c r="M930" s="833"/>
    </row>
    <row r="931" ht="20.25" customHeight="1">
      <c r="A931" s="940"/>
      <c r="B931" s="274"/>
      <c r="C931" s="937"/>
      <c r="D931" s="274"/>
      <c r="E931" s="941"/>
      <c r="F931" s="28"/>
      <c r="G931" s="28"/>
      <c r="H931" s="28"/>
      <c r="I931" s="941"/>
      <c r="J931" s="941"/>
      <c r="K931" s="941"/>
      <c r="L931" s="941"/>
      <c r="M931" s="941"/>
    </row>
    <row r="932" ht="20.25" customHeight="1">
      <c r="A932" s="939"/>
      <c r="B932" s="274"/>
      <c r="C932" s="832"/>
      <c r="D932" s="274"/>
      <c r="E932" s="833"/>
      <c r="F932" s="30"/>
      <c r="G932" s="30"/>
      <c r="H932" s="30"/>
      <c r="I932" s="833"/>
      <c r="J932" s="833"/>
      <c r="K932" s="833"/>
      <c r="L932" s="833"/>
      <c r="M932" s="833"/>
    </row>
    <row r="933" ht="20.25" customHeight="1">
      <c r="A933" s="940"/>
      <c r="B933" s="274"/>
      <c r="C933" s="937"/>
      <c r="D933" s="274"/>
      <c r="E933" s="941"/>
      <c r="F933" s="28"/>
      <c r="G933" s="28"/>
      <c r="H933" s="28"/>
      <c r="I933" s="941"/>
      <c r="J933" s="941"/>
      <c r="K933" s="941"/>
      <c r="L933" s="941"/>
      <c r="M933" s="941"/>
    </row>
    <row r="934" ht="20.25" customHeight="1">
      <c r="A934" s="939"/>
      <c r="B934" s="274"/>
      <c r="C934" s="832"/>
      <c r="D934" s="274"/>
      <c r="E934" s="833"/>
      <c r="F934" s="30"/>
      <c r="G934" s="30"/>
      <c r="H934" s="30"/>
      <c r="I934" s="833"/>
      <c r="J934" s="833"/>
      <c r="K934" s="833"/>
      <c r="L934" s="833"/>
      <c r="M934" s="833"/>
    </row>
    <row r="935" ht="20.25" customHeight="1">
      <c r="A935" s="940"/>
      <c r="B935" s="274"/>
      <c r="C935" s="937"/>
      <c r="D935" s="274"/>
      <c r="E935" s="941"/>
      <c r="F935" s="28"/>
      <c r="G935" s="28"/>
      <c r="H935" s="28"/>
      <c r="I935" s="941"/>
      <c r="J935" s="941"/>
      <c r="K935" s="941"/>
      <c r="L935" s="941"/>
      <c r="M935" s="941"/>
    </row>
    <row r="936" ht="20.25" customHeight="1">
      <c r="A936" s="939"/>
      <c r="B936" s="274"/>
      <c r="C936" s="832"/>
      <c r="D936" s="274"/>
      <c r="E936" s="833"/>
      <c r="F936" s="30"/>
      <c r="G936" s="30"/>
      <c r="H936" s="30"/>
      <c r="I936" s="833"/>
      <c r="J936" s="833"/>
      <c r="K936" s="833"/>
      <c r="L936" s="833"/>
      <c r="M936" s="833"/>
    </row>
    <row r="937" ht="20.25" customHeight="1">
      <c r="A937" s="940"/>
      <c r="B937" s="274"/>
      <c r="C937" s="937"/>
      <c r="D937" s="274"/>
      <c r="E937" s="941"/>
      <c r="F937" s="28"/>
      <c r="G937" s="28"/>
      <c r="H937" s="28"/>
      <c r="I937" s="941"/>
      <c r="J937" s="941"/>
      <c r="K937" s="941"/>
      <c r="L937" s="941"/>
      <c r="M937" s="941"/>
    </row>
    <row r="938" ht="20.25" customHeight="1">
      <c r="A938" s="939"/>
      <c r="B938" s="274"/>
      <c r="C938" s="832"/>
      <c r="D938" s="274"/>
      <c r="E938" s="833"/>
      <c r="F938" s="30"/>
      <c r="G938" s="30"/>
      <c r="H938" s="30"/>
      <c r="I938" s="833"/>
      <c r="J938" s="833"/>
      <c r="K938" s="833"/>
      <c r="L938" s="833"/>
      <c r="M938" s="833"/>
    </row>
    <row r="939" ht="20.25" customHeight="1">
      <c r="A939" s="940"/>
      <c r="B939" s="274"/>
      <c r="C939" s="937"/>
      <c r="D939" s="274"/>
      <c r="E939" s="941"/>
      <c r="F939" s="28"/>
      <c r="G939" s="28"/>
      <c r="H939" s="28"/>
      <c r="I939" s="941"/>
      <c r="J939" s="941"/>
      <c r="K939" s="941"/>
      <c r="L939" s="941"/>
      <c r="M939" s="941"/>
    </row>
    <row r="940" ht="20.25" customHeight="1">
      <c r="A940" s="939"/>
      <c r="B940" s="274"/>
      <c r="C940" s="832"/>
      <c r="D940" s="274"/>
      <c r="E940" s="833"/>
      <c r="F940" s="30"/>
      <c r="G940" s="30"/>
      <c r="H940" s="30"/>
      <c r="I940" s="833"/>
      <c r="J940" s="833"/>
      <c r="K940" s="833"/>
      <c r="L940" s="833"/>
      <c r="M940" s="833"/>
    </row>
    <row r="941" ht="20.25" customHeight="1">
      <c r="A941" s="940"/>
      <c r="B941" s="274"/>
      <c r="C941" s="937"/>
      <c r="D941" s="274"/>
      <c r="E941" s="941"/>
      <c r="F941" s="28"/>
      <c r="G941" s="28"/>
      <c r="H941" s="28"/>
      <c r="I941" s="941"/>
      <c r="J941" s="941"/>
      <c r="K941" s="941"/>
      <c r="L941" s="941"/>
      <c r="M941" s="941"/>
    </row>
    <row r="942" ht="20.25" customHeight="1">
      <c r="A942" s="939"/>
      <c r="B942" s="274"/>
      <c r="C942" s="832"/>
      <c r="D942" s="274"/>
      <c r="E942" s="833"/>
      <c r="F942" s="30"/>
      <c r="G942" s="30"/>
      <c r="H942" s="30"/>
      <c r="I942" s="833"/>
      <c r="J942" s="833"/>
      <c r="K942" s="833"/>
      <c r="L942" s="833"/>
      <c r="M942" s="833"/>
    </row>
    <row r="943" ht="20.25" customHeight="1">
      <c r="A943" s="940"/>
      <c r="B943" s="274"/>
      <c r="C943" s="937"/>
      <c r="D943" s="274"/>
      <c r="E943" s="941"/>
      <c r="F943" s="28"/>
      <c r="G943" s="28"/>
      <c r="H943" s="28"/>
      <c r="I943" s="941"/>
      <c r="J943" s="941"/>
      <c r="K943" s="941"/>
      <c r="L943" s="941"/>
      <c r="M943" s="941"/>
    </row>
    <row r="944" ht="20.25" customHeight="1">
      <c r="A944" s="939"/>
      <c r="B944" s="274"/>
      <c r="C944" s="832"/>
      <c r="D944" s="274"/>
      <c r="E944" s="833"/>
      <c r="F944" s="30"/>
      <c r="G944" s="30"/>
      <c r="H944" s="30"/>
      <c r="I944" s="833"/>
      <c r="J944" s="833"/>
      <c r="K944" s="833"/>
      <c r="L944" s="833"/>
      <c r="M944" s="833"/>
    </row>
    <row r="945" ht="20.25" customHeight="1">
      <c r="A945" s="940"/>
      <c r="B945" s="274"/>
      <c r="C945" s="937"/>
      <c r="D945" s="274"/>
      <c r="E945" s="941"/>
      <c r="F945" s="28"/>
      <c r="G945" s="28"/>
      <c r="H945" s="28"/>
      <c r="I945" s="941"/>
      <c r="J945" s="941"/>
      <c r="K945" s="941"/>
      <c r="L945" s="941"/>
      <c r="M945" s="941"/>
    </row>
    <row r="946" ht="20.25" customHeight="1">
      <c r="A946" s="939"/>
      <c r="B946" s="274"/>
      <c r="C946" s="832"/>
      <c r="D946" s="274"/>
      <c r="E946" s="833"/>
      <c r="F946" s="30"/>
      <c r="G946" s="30"/>
      <c r="H946" s="30"/>
      <c r="I946" s="833"/>
      <c r="J946" s="833"/>
      <c r="K946" s="833"/>
      <c r="L946" s="833"/>
      <c r="M946" s="833"/>
    </row>
    <row r="947" ht="20.25" customHeight="1">
      <c r="A947" s="940"/>
      <c r="B947" s="274"/>
      <c r="C947" s="937"/>
      <c r="D947" s="274"/>
      <c r="E947" s="941"/>
      <c r="F947" s="28"/>
      <c r="G947" s="28"/>
      <c r="H947" s="28"/>
      <c r="I947" s="941"/>
      <c r="J947" s="941"/>
      <c r="K947" s="941"/>
      <c r="L947" s="941"/>
      <c r="M947" s="941"/>
    </row>
    <row r="948" ht="20.25" customHeight="1">
      <c r="A948" s="939"/>
      <c r="B948" s="274"/>
      <c r="C948" s="832"/>
      <c r="D948" s="274"/>
      <c r="E948" s="833"/>
      <c r="F948" s="30"/>
      <c r="G948" s="30"/>
      <c r="H948" s="30"/>
      <c r="I948" s="833"/>
      <c r="J948" s="833"/>
      <c r="K948" s="833"/>
      <c r="L948" s="833"/>
      <c r="M948" s="833"/>
    </row>
    <row r="949" ht="20.25" customHeight="1">
      <c r="A949" s="940"/>
      <c r="B949" s="274"/>
      <c r="C949" s="937"/>
      <c r="D949" s="274"/>
      <c r="E949" s="941"/>
      <c r="F949" s="28"/>
      <c r="G949" s="28"/>
      <c r="H949" s="28"/>
      <c r="I949" s="941"/>
      <c r="J949" s="941"/>
      <c r="K949" s="941"/>
      <c r="L949" s="941"/>
      <c r="M949" s="941"/>
    </row>
    <row r="950" ht="20.25" customHeight="1">
      <c r="A950" s="939"/>
      <c r="B950" s="274"/>
      <c r="C950" s="832"/>
      <c r="D950" s="274"/>
      <c r="E950" s="833"/>
      <c r="F950" s="30"/>
      <c r="G950" s="30"/>
      <c r="H950" s="30"/>
      <c r="I950" s="833"/>
      <c r="J950" s="833"/>
      <c r="K950" s="833"/>
      <c r="L950" s="833"/>
      <c r="M950" s="833"/>
    </row>
    <row r="951" ht="20.25" customHeight="1">
      <c r="A951" s="940"/>
      <c r="B951" s="274"/>
      <c r="C951" s="937"/>
      <c r="D951" s="274"/>
      <c r="E951" s="941"/>
      <c r="F951" s="28"/>
      <c r="G951" s="28"/>
      <c r="H951" s="28"/>
      <c r="I951" s="941"/>
      <c r="J951" s="941"/>
      <c r="K951" s="941"/>
      <c r="L951" s="941"/>
      <c r="M951" s="941"/>
    </row>
    <row r="952" ht="20.25" customHeight="1">
      <c r="A952" s="939"/>
      <c r="B952" s="274"/>
      <c r="C952" s="832"/>
      <c r="D952" s="274"/>
      <c r="E952" s="833"/>
      <c r="F952" s="30"/>
      <c r="G952" s="30"/>
      <c r="H952" s="30"/>
      <c r="I952" s="833"/>
      <c r="J952" s="833"/>
      <c r="K952" s="833"/>
      <c r="L952" s="833"/>
      <c r="M952" s="833"/>
    </row>
    <row r="953" ht="20.25" customHeight="1">
      <c r="A953" s="940"/>
      <c r="B953" s="274"/>
      <c r="C953" s="937"/>
      <c r="D953" s="274"/>
      <c r="E953" s="941"/>
      <c r="F953" s="28"/>
      <c r="G953" s="28"/>
      <c r="H953" s="28"/>
      <c r="I953" s="941"/>
      <c r="J953" s="941"/>
      <c r="K953" s="941"/>
      <c r="L953" s="941"/>
      <c r="M953" s="941"/>
    </row>
    <row r="954" ht="20.25" customHeight="1">
      <c r="A954" s="939"/>
      <c r="B954" s="274"/>
      <c r="C954" s="832"/>
      <c r="D954" s="274"/>
      <c r="E954" s="833"/>
      <c r="F954" s="30"/>
      <c r="G954" s="30"/>
      <c r="H954" s="30"/>
      <c r="I954" s="833"/>
      <c r="J954" s="833"/>
      <c r="K954" s="833"/>
      <c r="L954" s="833"/>
      <c r="M954" s="833"/>
    </row>
    <row r="955" ht="20.25" customHeight="1">
      <c r="A955" s="940"/>
      <c r="B955" s="274"/>
      <c r="C955" s="937"/>
      <c r="D955" s="274"/>
      <c r="E955" s="941"/>
      <c r="F955" s="28"/>
      <c r="G955" s="28"/>
      <c r="H955" s="28"/>
      <c r="I955" s="941"/>
      <c r="J955" s="941"/>
      <c r="K955" s="941"/>
      <c r="L955" s="941"/>
      <c r="M955" s="941"/>
    </row>
    <row r="956" ht="20.25" customHeight="1">
      <c r="A956" s="939"/>
      <c r="B956" s="274"/>
      <c r="C956" s="832"/>
      <c r="D956" s="274"/>
      <c r="E956" s="833"/>
      <c r="F956" s="30"/>
      <c r="G956" s="30"/>
      <c r="H956" s="30"/>
      <c r="I956" s="833"/>
      <c r="J956" s="833"/>
      <c r="K956" s="833"/>
      <c r="L956" s="833"/>
      <c r="M956" s="833"/>
    </row>
    <row r="957" ht="20.25" customHeight="1">
      <c r="A957" s="940"/>
      <c r="B957" s="274"/>
      <c r="C957" s="937"/>
      <c r="D957" s="274"/>
      <c r="E957" s="941"/>
      <c r="F957" s="28"/>
      <c r="G957" s="28"/>
      <c r="H957" s="28"/>
      <c r="I957" s="941"/>
      <c r="J957" s="941"/>
      <c r="K957" s="941"/>
      <c r="L957" s="941"/>
      <c r="M957" s="941"/>
    </row>
    <row r="958" ht="20.25" customHeight="1">
      <c r="A958" s="939"/>
      <c r="B958" s="274"/>
      <c r="C958" s="832"/>
      <c r="D958" s="274"/>
      <c r="E958" s="833"/>
      <c r="F958" s="30"/>
      <c r="G958" s="30"/>
      <c r="H958" s="30"/>
      <c r="I958" s="833"/>
      <c r="J958" s="833"/>
      <c r="K958" s="833"/>
      <c r="L958" s="833"/>
      <c r="M958" s="833"/>
    </row>
    <row r="959" ht="20.25" customHeight="1">
      <c r="A959" s="940"/>
      <c r="B959" s="274"/>
      <c r="C959" s="937"/>
      <c r="D959" s="274"/>
      <c r="E959" s="941"/>
      <c r="F959" s="28"/>
      <c r="G959" s="28"/>
      <c r="H959" s="28"/>
      <c r="I959" s="941"/>
      <c r="J959" s="941"/>
      <c r="K959" s="941"/>
      <c r="L959" s="941"/>
      <c r="M959" s="941"/>
    </row>
    <row r="960" ht="20.25" customHeight="1">
      <c r="A960" s="939"/>
      <c r="B960" s="274"/>
      <c r="C960" s="832"/>
      <c r="D960" s="274"/>
      <c r="E960" s="833"/>
      <c r="F960" s="30"/>
      <c r="G960" s="30"/>
      <c r="H960" s="30"/>
      <c r="I960" s="833"/>
      <c r="J960" s="833"/>
      <c r="K960" s="833"/>
      <c r="L960" s="833"/>
      <c r="M960" s="833"/>
    </row>
    <row r="961" ht="20.25" customHeight="1">
      <c r="A961" s="940"/>
      <c r="B961" s="274"/>
      <c r="C961" s="937"/>
      <c r="D961" s="274"/>
      <c r="E961" s="941"/>
      <c r="F961" s="28"/>
      <c r="G961" s="28"/>
      <c r="H961" s="28"/>
      <c r="I961" s="941"/>
      <c r="J961" s="941"/>
      <c r="K961" s="941"/>
      <c r="L961" s="941"/>
      <c r="M961" s="941"/>
    </row>
    <row r="962" ht="20.25" customHeight="1">
      <c r="A962" s="939"/>
      <c r="B962" s="274"/>
      <c r="C962" s="832"/>
      <c r="D962" s="274"/>
      <c r="E962" s="833"/>
      <c r="F962" s="30"/>
      <c r="G962" s="30"/>
      <c r="H962" s="30"/>
      <c r="I962" s="833"/>
      <c r="J962" s="833"/>
      <c r="K962" s="833"/>
      <c r="L962" s="833"/>
      <c r="M962" s="833"/>
    </row>
    <row r="963" ht="20.25" customHeight="1">
      <c r="A963" s="940"/>
      <c r="B963" s="274"/>
      <c r="C963" s="937"/>
      <c r="D963" s="274"/>
      <c r="E963" s="941"/>
      <c r="F963" s="28"/>
      <c r="G963" s="28"/>
      <c r="H963" s="28"/>
      <c r="I963" s="941"/>
      <c r="J963" s="941"/>
      <c r="K963" s="941"/>
      <c r="L963" s="941"/>
      <c r="M963" s="941"/>
    </row>
    <row r="964" ht="20.25" customHeight="1">
      <c r="A964" s="939"/>
      <c r="B964" s="274"/>
      <c r="C964" s="832"/>
      <c r="D964" s="274"/>
      <c r="E964" s="833"/>
      <c r="F964" s="30"/>
      <c r="G964" s="30"/>
      <c r="H964" s="30"/>
      <c r="I964" s="833"/>
      <c r="J964" s="833"/>
      <c r="K964" s="833"/>
      <c r="L964" s="833"/>
      <c r="M964" s="833"/>
    </row>
    <row r="965" ht="20.25" customHeight="1">
      <c r="A965" s="940"/>
      <c r="B965" s="274"/>
      <c r="C965" s="937"/>
      <c r="D965" s="274"/>
      <c r="E965" s="941"/>
      <c r="F965" s="28"/>
      <c r="G965" s="28"/>
      <c r="H965" s="28"/>
      <c r="I965" s="941"/>
      <c r="J965" s="941"/>
      <c r="K965" s="941"/>
      <c r="L965" s="941"/>
      <c r="M965" s="941"/>
    </row>
    <row r="966" ht="20.25" customHeight="1">
      <c r="A966" s="939"/>
      <c r="B966" s="274"/>
      <c r="C966" s="832"/>
      <c r="D966" s="274"/>
      <c r="E966" s="833"/>
      <c r="F966" s="30"/>
      <c r="G966" s="30"/>
      <c r="H966" s="30"/>
      <c r="I966" s="833"/>
      <c r="J966" s="833"/>
      <c r="K966" s="833"/>
      <c r="L966" s="833"/>
      <c r="M966" s="833"/>
    </row>
    <row r="967" ht="20.25" customHeight="1">
      <c r="A967" s="940"/>
      <c r="B967" s="274"/>
      <c r="C967" s="937"/>
      <c r="D967" s="274"/>
      <c r="E967" s="941"/>
      <c r="F967" s="28"/>
      <c r="G967" s="28"/>
      <c r="H967" s="28"/>
      <c r="I967" s="941"/>
      <c r="J967" s="941"/>
      <c r="K967" s="941"/>
      <c r="L967" s="941"/>
      <c r="M967" s="941"/>
    </row>
    <row r="968" ht="20.25" customHeight="1">
      <c r="A968" s="939"/>
      <c r="B968" s="274"/>
      <c r="C968" s="832"/>
      <c r="D968" s="274"/>
      <c r="E968" s="833"/>
      <c r="F968" s="30"/>
      <c r="G968" s="30"/>
      <c r="H968" s="30"/>
      <c r="I968" s="833"/>
      <c r="J968" s="833"/>
      <c r="K968" s="833"/>
      <c r="L968" s="833"/>
      <c r="M968" s="833"/>
    </row>
    <row r="969" ht="20.25" customHeight="1">
      <c r="A969" s="940"/>
      <c r="B969" s="274"/>
      <c r="C969" s="937"/>
      <c r="D969" s="274"/>
      <c r="E969" s="941"/>
      <c r="F969" s="28"/>
      <c r="G969" s="28"/>
      <c r="H969" s="28"/>
      <c r="I969" s="941"/>
      <c r="J969" s="941"/>
      <c r="K969" s="941"/>
      <c r="L969" s="941"/>
      <c r="M969" s="941"/>
    </row>
    <row r="970" ht="20.25" customHeight="1">
      <c r="A970" s="939"/>
      <c r="B970" s="274"/>
      <c r="C970" s="832"/>
      <c r="D970" s="274"/>
      <c r="E970" s="833"/>
      <c r="F970" s="30"/>
      <c r="G970" s="30"/>
      <c r="H970" s="30"/>
      <c r="I970" s="833"/>
      <c r="J970" s="833"/>
      <c r="K970" s="833"/>
      <c r="L970" s="833"/>
      <c r="M970" s="833"/>
    </row>
    <row r="971" ht="20.25" customHeight="1">
      <c r="A971" s="940"/>
      <c r="B971" s="274"/>
      <c r="C971" s="937"/>
      <c r="D971" s="274"/>
      <c r="E971" s="941"/>
      <c r="F971" s="28"/>
      <c r="G971" s="28"/>
      <c r="H971" s="28"/>
      <c r="I971" s="941"/>
      <c r="J971" s="941"/>
      <c r="K971" s="941"/>
      <c r="L971" s="941"/>
      <c r="M971" s="941"/>
    </row>
    <row r="972" ht="20.25" customHeight="1">
      <c r="A972" s="939"/>
      <c r="B972" s="274"/>
      <c r="C972" s="832"/>
      <c r="D972" s="274"/>
      <c r="E972" s="833"/>
      <c r="F972" s="30"/>
      <c r="G972" s="30"/>
      <c r="H972" s="30"/>
      <c r="I972" s="833"/>
      <c r="J972" s="833"/>
      <c r="K972" s="833"/>
      <c r="L972" s="833"/>
      <c r="M972" s="833"/>
    </row>
    <row r="973" ht="20.25" customHeight="1">
      <c r="A973" s="940"/>
      <c r="B973" s="274"/>
      <c r="C973" s="937"/>
      <c r="D973" s="274"/>
      <c r="E973" s="941"/>
      <c r="F973" s="28"/>
      <c r="G973" s="28"/>
      <c r="H973" s="28"/>
      <c r="I973" s="941"/>
      <c r="J973" s="941"/>
      <c r="K973" s="941"/>
      <c r="L973" s="941"/>
      <c r="M973" s="941"/>
    </row>
    <row r="974" ht="20.25" customHeight="1">
      <c r="A974" s="939"/>
      <c r="B974" s="274"/>
      <c r="C974" s="832"/>
      <c r="D974" s="274"/>
      <c r="E974" s="833"/>
      <c r="F974" s="30"/>
      <c r="G974" s="30"/>
      <c r="H974" s="30"/>
      <c r="I974" s="833"/>
      <c r="J974" s="833"/>
      <c r="K974" s="833"/>
      <c r="L974" s="833"/>
      <c r="M974" s="833"/>
    </row>
    <row r="975" ht="20.25" customHeight="1">
      <c r="A975" s="940"/>
      <c r="B975" s="274"/>
      <c r="C975" s="937"/>
      <c r="D975" s="274"/>
      <c r="E975" s="941"/>
      <c r="F975" s="28"/>
      <c r="G975" s="28"/>
      <c r="H975" s="28"/>
      <c r="I975" s="941"/>
      <c r="J975" s="941"/>
      <c r="K975" s="941"/>
      <c r="L975" s="941"/>
      <c r="M975" s="941"/>
    </row>
    <row r="976" ht="20.25" customHeight="1">
      <c r="A976" s="939"/>
      <c r="B976" s="274"/>
      <c r="C976" s="832"/>
      <c r="D976" s="274"/>
      <c r="E976" s="833"/>
      <c r="F976" s="30"/>
      <c r="G976" s="30"/>
      <c r="H976" s="30"/>
      <c r="I976" s="833"/>
      <c r="J976" s="833"/>
      <c r="K976" s="833"/>
      <c r="L976" s="833"/>
      <c r="M976" s="833"/>
    </row>
    <row r="977" ht="20.25" customHeight="1">
      <c r="A977" s="940"/>
      <c r="B977" s="274"/>
      <c r="C977" s="937"/>
      <c r="D977" s="274"/>
      <c r="E977" s="941"/>
      <c r="F977" s="28"/>
      <c r="G977" s="28"/>
      <c r="H977" s="28"/>
      <c r="I977" s="941"/>
      <c r="J977" s="941"/>
      <c r="K977" s="941"/>
      <c r="L977" s="941"/>
      <c r="M977" s="941"/>
    </row>
    <row r="978" ht="20.25" customHeight="1">
      <c r="A978" s="939"/>
      <c r="B978" s="274"/>
      <c r="C978" s="832"/>
      <c r="D978" s="274"/>
      <c r="E978" s="833"/>
      <c r="F978" s="30"/>
      <c r="G978" s="30"/>
      <c r="H978" s="30"/>
      <c r="I978" s="833"/>
      <c r="J978" s="833"/>
      <c r="K978" s="833"/>
      <c r="L978" s="833"/>
      <c r="M978" s="833"/>
    </row>
    <row r="979" ht="20.25" customHeight="1">
      <c r="A979" s="940"/>
      <c r="B979" s="274"/>
      <c r="C979" s="937"/>
      <c r="D979" s="274"/>
      <c r="E979" s="941"/>
      <c r="F979" s="28"/>
      <c r="G979" s="28"/>
      <c r="H979" s="28"/>
      <c r="I979" s="941"/>
      <c r="J979" s="941"/>
      <c r="K979" s="941"/>
      <c r="L979" s="941"/>
      <c r="M979" s="941"/>
    </row>
    <row r="980" ht="20.25" customHeight="1">
      <c r="A980" s="939"/>
      <c r="B980" s="274"/>
      <c r="C980" s="832"/>
      <c r="D980" s="274"/>
      <c r="E980" s="833"/>
      <c r="F980" s="30"/>
      <c r="G980" s="30"/>
      <c r="H980" s="30"/>
      <c r="I980" s="833"/>
      <c r="J980" s="833"/>
      <c r="K980" s="833"/>
      <c r="L980" s="833"/>
      <c r="M980" s="833"/>
    </row>
    <row r="981" ht="20.25" customHeight="1">
      <c r="A981" s="940"/>
      <c r="B981" s="274"/>
      <c r="C981" s="937"/>
      <c r="D981" s="274"/>
      <c r="E981" s="941"/>
      <c r="F981" s="28"/>
      <c r="G981" s="28"/>
      <c r="H981" s="28"/>
      <c r="I981" s="941"/>
      <c r="J981" s="941"/>
      <c r="K981" s="941"/>
      <c r="L981" s="941"/>
      <c r="M981" s="941"/>
    </row>
    <row r="982" ht="20.25" customHeight="1">
      <c r="A982" s="939"/>
      <c r="B982" s="274"/>
      <c r="C982" s="832"/>
      <c r="D982" s="274"/>
      <c r="E982" s="833"/>
      <c r="F982" s="30"/>
      <c r="G982" s="30"/>
      <c r="H982" s="30"/>
      <c r="I982" s="833"/>
      <c r="J982" s="833"/>
      <c r="K982" s="833"/>
      <c r="L982" s="833"/>
      <c r="M982" s="833"/>
    </row>
    <row r="983" ht="20.25" customHeight="1">
      <c r="A983" s="940"/>
      <c r="B983" s="274"/>
      <c r="C983" s="937"/>
      <c r="D983" s="274"/>
      <c r="E983" s="941"/>
      <c r="F983" s="28"/>
      <c r="G983" s="28"/>
      <c r="H983" s="28"/>
      <c r="I983" s="941"/>
      <c r="J983" s="941"/>
      <c r="K983" s="941"/>
      <c r="L983" s="941"/>
      <c r="M983" s="941"/>
    </row>
    <row r="984" ht="20.25" customHeight="1">
      <c r="A984" s="939"/>
      <c r="B984" s="274"/>
      <c r="C984" s="832"/>
      <c r="D984" s="274"/>
      <c r="E984" s="833"/>
      <c r="F984" s="30"/>
      <c r="G984" s="30"/>
      <c r="H984" s="30"/>
      <c r="I984" s="833"/>
      <c r="J984" s="833"/>
      <c r="K984" s="833"/>
      <c r="L984" s="833"/>
      <c r="M984" s="833"/>
    </row>
    <row r="985" ht="20.25" customHeight="1">
      <c r="A985" s="940"/>
      <c r="B985" s="274"/>
      <c r="C985" s="937"/>
      <c r="D985" s="274"/>
      <c r="E985" s="941"/>
      <c r="F985" s="28"/>
      <c r="G985" s="28"/>
      <c r="H985" s="28"/>
      <c r="I985" s="941"/>
      <c r="J985" s="941"/>
      <c r="K985" s="941"/>
      <c r="L985" s="941"/>
      <c r="M985" s="941"/>
    </row>
    <row r="986" ht="20.25" customHeight="1">
      <c r="A986" s="939"/>
      <c r="B986" s="274"/>
      <c r="C986" s="832"/>
      <c r="D986" s="274"/>
      <c r="E986" s="833"/>
      <c r="F986" s="30"/>
      <c r="G986" s="30"/>
      <c r="H986" s="30"/>
      <c r="I986" s="833"/>
      <c r="J986" s="833"/>
      <c r="K986" s="833"/>
      <c r="L986" s="833"/>
      <c r="M986" s="833"/>
    </row>
    <row r="987" ht="20.25" customHeight="1">
      <c r="A987" s="940"/>
      <c r="B987" s="274"/>
      <c r="C987" s="937"/>
      <c r="D987" s="274"/>
      <c r="E987" s="941"/>
      <c r="F987" s="28"/>
      <c r="G987" s="28"/>
      <c r="H987" s="28"/>
      <c r="I987" s="941"/>
      <c r="J987" s="941"/>
      <c r="K987" s="941"/>
      <c r="L987" s="941"/>
      <c r="M987" s="941"/>
    </row>
    <row r="988" ht="20.25" customHeight="1">
      <c r="A988" s="939"/>
      <c r="B988" s="274"/>
      <c r="C988" s="832"/>
      <c r="D988" s="274"/>
      <c r="E988" s="833"/>
      <c r="F988" s="30"/>
      <c r="G988" s="30"/>
      <c r="H988" s="30"/>
      <c r="I988" s="833"/>
      <c r="J988" s="833"/>
      <c r="K988" s="833"/>
      <c r="L988" s="833"/>
      <c r="M988" s="833"/>
    </row>
    <row r="989" ht="20.25" customHeight="1">
      <c r="A989" s="940"/>
      <c r="B989" s="274"/>
      <c r="C989" s="937"/>
      <c r="D989" s="274"/>
      <c r="E989" s="941"/>
      <c r="F989" s="28"/>
      <c r="G989" s="28"/>
      <c r="H989" s="28"/>
      <c r="I989" s="941"/>
      <c r="J989" s="941"/>
      <c r="K989" s="941"/>
      <c r="L989" s="941"/>
      <c r="M989" s="941"/>
    </row>
    <row r="990" ht="20.25" customHeight="1">
      <c r="A990" s="939"/>
      <c r="B990" s="274"/>
      <c r="C990" s="832"/>
      <c r="D990" s="274"/>
      <c r="E990" s="833"/>
      <c r="F990" s="30"/>
      <c r="G990" s="30"/>
      <c r="H990" s="30"/>
      <c r="I990" s="833"/>
      <c r="J990" s="833"/>
      <c r="K990" s="833"/>
      <c r="L990" s="833"/>
      <c r="M990" s="833"/>
    </row>
    <row r="991" ht="20.25" customHeight="1">
      <c r="A991" s="940"/>
      <c r="B991" s="274"/>
      <c r="C991" s="937"/>
      <c r="D991" s="274"/>
      <c r="E991" s="941"/>
      <c r="F991" s="28"/>
      <c r="G991" s="28"/>
      <c r="H991" s="28"/>
      <c r="I991" s="941"/>
      <c r="J991" s="941"/>
      <c r="K991" s="941"/>
      <c r="L991" s="941"/>
      <c r="M991" s="941"/>
    </row>
    <row r="992" ht="20.25" customHeight="1">
      <c r="A992" s="939"/>
      <c r="B992" s="274"/>
      <c r="C992" s="832"/>
      <c r="D992" s="274"/>
      <c r="E992" s="833"/>
      <c r="F992" s="30"/>
      <c r="G992" s="30"/>
      <c r="H992" s="30"/>
      <c r="I992" s="833"/>
      <c r="J992" s="833"/>
      <c r="K992" s="833"/>
      <c r="L992" s="833"/>
      <c r="M992" s="833"/>
    </row>
    <row r="993" ht="20.25" customHeight="1">
      <c r="A993" s="940"/>
      <c r="B993" s="274"/>
      <c r="C993" s="937"/>
      <c r="D993" s="274"/>
      <c r="E993" s="941"/>
      <c r="F993" s="28"/>
      <c r="G993" s="28"/>
      <c r="H993" s="28"/>
      <c r="I993" s="941"/>
      <c r="J993" s="941"/>
      <c r="K993" s="941"/>
      <c r="L993" s="941"/>
      <c r="M993" s="941"/>
    </row>
    <row r="994" ht="20.25" customHeight="1">
      <c r="A994" s="939"/>
      <c r="B994" s="274"/>
      <c r="C994" s="832"/>
      <c r="D994" s="274"/>
      <c r="E994" s="833"/>
      <c r="F994" s="30"/>
      <c r="G994" s="30"/>
      <c r="H994" s="30"/>
      <c r="I994" s="833"/>
      <c r="J994" s="833"/>
      <c r="K994" s="833"/>
      <c r="L994" s="833"/>
      <c r="M994" s="833"/>
    </row>
    <row r="995" ht="20.25" customHeight="1">
      <c r="A995" s="940"/>
      <c r="B995" s="274"/>
      <c r="C995" s="937"/>
      <c r="D995" s="274"/>
      <c r="E995" s="941"/>
      <c r="F995" s="28"/>
      <c r="G995" s="28"/>
      <c r="H995" s="28"/>
      <c r="I995" s="941"/>
      <c r="J995" s="941"/>
      <c r="K995" s="941"/>
      <c r="L995" s="941"/>
      <c r="M995" s="941"/>
    </row>
  </sheetData>
  <customSheetViews>
    <customSheetView guid="{4CE8AB37-0520-42BA-8B62-6D68A99C8242}" filter="1" showAutoFilter="1">
      <autoFilter ref="$I$54:$I$107"/>
    </customSheetView>
  </customSheetViews>
  <mergeCells count="561">
    <mergeCell ref="A1:B3"/>
    <mergeCell ref="C1:F3"/>
    <mergeCell ref="A8:A11"/>
    <mergeCell ref="L8:L11"/>
    <mergeCell ref="M8:M11"/>
    <mergeCell ref="A12:A13"/>
    <mergeCell ref="A14:A15"/>
    <mergeCell ref="F22:F23"/>
    <mergeCell ref="F24:F25"/>
    <mergeCell ref="F20:F21"/>
    <mergeCell ref="E26:E28"/>
    <mergeCell ref="F26:F28"/>
    <mergeCell ref="E29:E31"/>
    <mergeCell ref="F29:F31"/>
    <mergeCell ref="E32:E34"/>
    <mergeCell ref="F32:F34"/>
    <mergeCell ref="E38:E40"/>
    <mergeCell ref="F38:F40"/>
    <mergeCell ref="E41:E43"/>
    <mergeCell ref="F41:F43"/>
    <mergeCell ref="F18:F19"/>
    <mergeCell ref="E35:E37"/>
    <mergeCell ref="F35:F37"/>
    <mergeCell ref="F12:F13"/>
    <mergeCell ref="F14:F15"/>
    <mergeCell ref="A16:A19"/>
    <mergeCell ref="F16:F17"/>
    <mergeCell ref="A20:A25"/>
    <mergeCell ref="A26:A34"/>
    <mergeCell ref="A35:A49"/>
    <mergeCell ref="J50:J51"/>
    <mergeCell ref="K50:K51"/>
    <mergeCell ref="L50:L51"/>
    <mergeCell ref="M50:M51"/>
    <mergeCell ref="G52:G53"/>
    <mergeCell ref="H52:H53"/>
    <mergeCell ref="J52:J53"/>
    <mergeCell ref="K52:K53"/>
    <mergeCell ref="L52:L53"/>
    <mergeCell ref="M52:M53"/>
    <mergeCell ref="H54:H55"/>
    <mergeCell ref="I54:I55"/>
    <mergeCell ref="J54:J55"/>
    <mergeCell ref="K54:K55"/>
    <mergeCell ref="L54:L55"/>
    <mergeCell ref="M54:M55"/>
    <mergeCell ref="A74:A79"/>
    <mergeCell ref="A80:A85"/>
    <mergeCell ref="E84:E85"/>
    <mergeCell ref="F84:F85"/>
    <mergeCell ref="G84:G85"/>
    <mergeCell ref="F86:F87"/>
    <mergeCell ref="G86:G87"/>
    <mergeCell ref="E86:E87"/>
    <mergeCell ref="E88:E89"/>
    <mergeCell ref="F88:F89"/>
    <mergeCell ref="G88:G89"/>
    <mergeCell ref="E90:E91"/>
    <mergeCell ref="F90:F91"/>
    <mergeCell ref="G90:G91"/>
    <mergeCell ref="F136:F137"/>
    <mergeCell ref="G136:G137"/>
    <mergeCell ref="E131:E133"/>
    <mergeCell ref="F131:F133"/>
    <mergeCell ref="G131:G133"/>
    <mergeCell ref="E134:E135"/>
    <mergeCell ref="F134:F135"/>
    <mergeCell ref="G134:G135"/>
    <mergeCell ref="E136:E137"/>
    <mergeCell ref="E115:E116"/>
    <mergeCell ref="F115:F116"/>
    <mergeCell ref="G115:G116"/>
    <mergeCell ref="M115:M116"/>
    <mergeCell ref="F117:F118"/>
    <mergeCell ref="G117:G118"/>
    <mergeCell ref="M117:M118"/>
    <mergeCell ref="E117:E118"/>
    <mergeCell ref="E119:E120"/>
    <mergeCell ref="F119:F120"/>
    <mergeCell ref="G119:G120"/>
    <mergeCell ref="E121:E122"/>
    <mergeCell ref="F121:F122"/>
    <mergeCell ref="G121:G122"/>
    <mergeCell ref="L123:L124"/>
    <mergeCell ref="L125:L127"/>
    <mergeCell ref="M125:M127"/>
    <mergeCell ref="J126:J127"/>
    <mergeCell ref="K126:K127"/>
    <mergeCell ref="F128:F130"/>
    <mergeCell ref="G128:G130"/>
    <mergeCell ref="L115:L116"/>
    <mergeCell ref="L117:L118"/>
    <mergeCell ref="L119:L120"/>
    <mergeCell ref="M119:M120"/>
    <mergeCell ref="L121:L122"/>
    <mergeCell ref="M121:M122"/>
    <mergeCell ref="M123:M124"/>
    <mergeCell ref="E123:E124"/>
    <mergeCell ref="F123:F124"/>
    <mergeCell ref="G123:G124"/>
    <mergeCell ref="E125:E127"/>
    <mergeCell ref="F125:F127"/>
    <mergeCell ref="G125:G127"/>
    <mergeCell ref="E128:E130"/>
    <mergeCell ref="L134:L135"/>
    <mergeCell ref="L136:L137"/>
    <mergeCell ref="M136:M137"/>
    <mergeCell ref="L128:L130"/>
    <mergeCell ref="M128:M130"/>
    <mergeCell ref="J129:J130"/>
    <mergeCell ref="K129:K130"/>
    <mergeCell ref="L131:L133"/>
    <mergeCell ref="M131:M133"/>
    <mergeCell ref="M134:M135"/>
    <mergeCell ref="F154:F155"/>
    <mergeCell ref="G154:G155"/>
    <mergeCell ref="E150:E151"/>
    <mergeCell ref="F150:F151"/>
    <mergeCell ref="G150:G151"/>
    <mergeCell ref="E152:E153"/>
    <mergeCell ref="F152:F153"/>
    <mergeCell ref="G152:G153"/>
    <mergeCell ref="E154:E155"/>
    <mergeCell ref="F82:F83"/>
    <mergeCell ref="G82:G83"/>
    <mergeCell ref="E78:E79"/>
    <mergeCell ref="F78:F79"/>
    <mergeCell ref="G78:G79"/>
    <mergeCell ref="E80:E81"/>
    <mergeCell ref="F80:F81"/>
    <mergeCell ref="G80:G81"/>
    <mergeCell ref="E82:E83"/>
    <mergeCell ref="F142:F143"/>
    <mergeCell ref="G142:G143"/>
    <mergeCell ref="E138:E139"/>
    <mergeCell ref="F138:F139"/>
    <mergeCell ref="G138:G139"/>
    <mergeCell ref="E140:E141"/>
    <mergeCell ref="F140:F141"/>
    <mergeCell ref="G140:G141"/>
    <mergeCell ref="E142:E143"/>
    <mergeCell ref="F148:F149"/>
    <mergeCell ref="G148:G149"/>
    <mergeCell ref="E144:E145"/>
    <mergeCell ref="F144:F145"/>
    <mergeCell ref="G144:G145"/>
    <mergeCell ref="E146:E147"/>
    <mergeCell ref="F146:F147"/>
    <mergeCell ref="G146:G147"/>
    <mergeCell ref="E148:E149"/>
    <mergeCell ref="E156:E158"/>
    <mergeCell ref="F156:F158"/>
    <mergeCell ref="G156:G158"/>
    <mergeCell ref="G165:G166"/>
    <mergeCell ref="G167:G168"/>
    <mergeCell ref="M202:M204"/>
    <mergeCell ref="M205:M208"/>
    <mergeCell ref="M169:M174"/>
    <mergeCell ref="M175:M183"/>
    <mergeCell ref="M184:M186"/>
    <mergeCell ref="M187:M192"/>
    <mergeCell ref="M193:M195"/>
    <mergeCell ref="M196:M198"/>
    <mergeCell ref="M199:M201"/>
    <mergeCell ref="L142:L143"/>
    <mergeCell ref="M142:M143"/>
    <mergeCell ref="L144:L145"/>
    <mergeCell ref="M144:M145"/>
    <mergeCell ref="L146:L147"/>
    <mergeCell ref="M146:M147"/>
    <mergeCell ref="M148:M149"/>
    <mergeCell ref="L148:L149"/>
    <mergeCell ref="L150:L151"/>
    <mergeCell ref="L152:L153"/>
    <mergeCell ref="L154:L155"/>
    <mergeCell ref="L156:L158"/>
    <mergeCell ref="J157:J158"/>
    <mergeCell ref="K157:K158"/>
    <mergeCell ref="F163:F164"/>
    <mergeCell ref="G163:G164"/>
    <mergeCell ref="E159:E160"/>
    <mergeCell ref="F159:F160"/>
    <mergeCell ref="G159:G160"/>
    <mergeCell ref="E161:E162"/>
    <mergeCell ref="F161:F162"/>
    <mergeCell ref="G161:G162"/>
    <mergeCell ref="E163:E164"/>
    <mergeCell ref="M150:M151"/>
    <mergeCell ref="M152:M153"/>
    <mergeCell ref="M154:M155"/>
    <mergeCell ref="M156:M158"/>
    <mergeCell ref="M159:M160"/>
    <mergeCell ref="M161:M162"/>
    <mergeCell ref="M163:M164"/>
    <mergeCell ref="L193:L195"/>
    <mergeCell ref="L196:L198"/>
    <mergeCell ref="L199:L201"/>
    <mergeCell ref="L202:L204"/>
    <mergeCell ref="L205:L208"/>
    <mergeCell ref="L159:L160"/>
    <mergeCell ref="L161:L162"/>
    <mergeCell ref="L163:L164"/>
    <mergeCell ref="L169:L174"/>
    <mergeCell ref="L175:L183"/>
    <mergeCell ref="L184:L186"/>
    <mergeCell ref="L187:L192"/>
    <mergeCell ref="E212:E213"/>
    <mergeCell ref="E214:E216"/>
    <mergeCell ref="F214:F216"/>
    <mergeCell ref="E217:E219"/>
    <mergeCell ref="F217:F219"/>
    <mergeCell ref="C220:C221"/>
    <mergeCell ref="D220:D221"/>
    <mergeCell ref="C222:C223"/>
    <mergeCell ref="D222:D223"/>
    <mergeCell ref="F222:F223"/>
    <mergeCell ref="F224:F225"/>
    <mergeCell ref="C226:C227"/>
    <mergeCell ref="D226:D227"/>
    <mergeCell ref="F226:F228"/>
    <mergeCell ref="E169:E174"/>
    <mergeCell ref="F169:F174"/>
    <mergeCell ref="E175:E183"/>
    <mergeCell ref="F175:F183"/>
    <mergeCell ref="E184:E186"/>
    <mergeCell ref="F184:F186"/>
    <mergeCell ref="F187:F192"/>
    <mergeCell ref="F193:F195"/>
    <mergeCell ref="F196:F198"/>
    <mergeCell ref="F199:F201"/>
    <mergeCell ref="C200:C201"/>
    <mergeCell ref="F202:F204"/>
    <mergeCell ref="C203:C204"/>
    <mergeCell ref="F205:F208"/>
    <mergeCell ref="E187:E192"/>
    <mergeCell ref="E193:E195"/>
    <mergeCell ref="E196:E198"/>
    <mergeCell ref="E199:E201"/>
    <mergeCell ref="E202:E204"/>
    <mergeCell ref="E205:E208"/>
    <mergeCell ref="E209:E211"/>
    <mergeCell ref="F209:F211"/>
    <mergeCell ref="L209:L211"/>
    <mergeCell ref="M209:M211"/>
    <mergeCell ref="F212:F213"/>
    <mergeCell ref="L212:L213"/>
    <mergeCell ref="M212:M213"/>
    <mergeCell ref="M214:M216"/>
    <mergeCell ref="E220:E221"/>
    <mergeCell ref="F220:F221"/>
    <mergeCell ref="E224:E225"/>
    <mergeCell ref="E226:E228"/>
    <mergeCell ref="L226:L228"/>
    <mergeCell ref="M226:M228"/>
    <mergeCell ref="L229:L231"/>
    <mergeCell ref="M229:M231"/>
    <mergeCell ref="E222:E223"/>
    <mergeCell ref="E229:E231"/>
    <mergeCell ref="F229:F231"/>
    <mergeCell ref="E249:E252"/>
    <mergeCell ref="F249:F252"/>
    <mergeCell ref="E253:E259"/>
    <mergeCell ref="F253:F259"/>
    <mergeCell ref="E260:E261"/>
    <mergeCell ref="F260:F261"/>
    <mergeCell ref="F262:F263"/>
    <mergeCell ref="E262:E263"/>
    <mergeCell ref="E264:E267"/>
    <mergeCell ref="F264:F267"/>
    <mergeCell ref="E268:E275"/>
    <mergeCell ref="F268:F275"/>
    <mergeCell ref="E276:E278"/>
    <mergeCell ref="F276:F278"/>
    <mergeCell ref="L214:L216"/>
    <mergeCell ref="L217:L219"/>
    <mergeCell ref="M217:M219"/>
    <mergeCell ref="L220:L221"/>
    <mergeCell ref="M220:M221"/>
    <mergeCell ref="L222:L223"/>
    <mergeCell ref="M222:M223"/>
    <mergeCell ref="L224:L225"/>
    <mergeCell ref="M224:M225"/>
    <mergeCell ref="E232:E233"/>
    <mergeCell ref="F232:F233"/>
    <mergeCell ref="M232:M233"/>
    <mergeCell ref="F234:F239"/>
    <mergeCell ref="M234:M239"/>
    <mergeCell ref="E234:E239"/>
    <mergeCell ref="E240:E241"/>
    <mergeCell ref="F240:F241"/>
    <mergeCell ref="E242:E243"/>
    <mergeCell ref="F242:F243"/>
    <mergeCell ref="E244:E248"/>
    <mergeCell ref="F244:F248"/>
    <mergeCell ref="M249:M252"/>
    <mergeCell ref="M253:M259"/>
    <mergeCell ref="M260:M261"/>
    <mergeCell ref="M262:M263"/>
    <mergeCell ref="M264:M267"/>
    <mergeCell ref="M268:M275"/>
    <mergeCell ref="M276:M278"/>
    <mergeCell ref="M279:M285"/>
    <mergeCell ref="L232:L233"/>
    <mergeCell ref="L234:L239"/>
    <mergeCell ref="L240:L241"/>
    <mergeCell ref="M240:M241"/>
    <mergeCell ref="L242:L243"/>
    <mergeCell ref="M242:M243"/>
    <mergeCell ref="M244:M248"/>
    <mergeCell ref="E279:E285"/>
    <mergeCell ref="F279:F285"/>
    <mergeCell ref="L276:L278"/>
    <mergeCell ref="L279:L285"/>
    <mergeCell ref="L244:L248"/>
    <mergeCell ref="L249:L252"/>
    <mergeCell ref="L253:L259"/>
    <mergeCell ref="L260:L261"/>
    <mergeCell ref="L262:L263"/>
    <mergeCell ref="L264:L267"/>
    <mergeCell ref="L268:L275"/>
    <mergeCell ref="A264:A267"/>
    <mergeCell ref="A268:A275"/>
    <mergeCell ref="A276:A278"/>
    <mergeCell ref="A279:A285"/>
    <mergeCell ref="A286:A288"/>
    <mergeCell ref="A289:A291"/>
    <mergeCell ref="A292:A295"/>
    <mergeCell ref="A321:A324"/>
    <mergeCell ref="A325:A326"/>
    <mergeCell ref="A327:A332"/>
    <mergeCell ref="A333:A335"/>
    <mergeCell ref="A336:A337"/>
    <mergeCell ref="A338:A342"/>
    <mergeCell ref="A343:A344"/>
    <mergeCell ref="A345:A346"/>
    <mergeCell ref="A296:A299"/>
    <mergeCell ref="A300:A303"/>
    <mergeCell ref="A304:A306"/>
    <mergeCell ref="A307:A310"/>
    <mergeCell ref="A311:A314"/>
    <mergeCell ref="A315:A316"/>
    <mergeCell ref="A317:A320"/>
    <mergeCell ref="L325:L326"/>
    <mergeCell ref="L327:L332"/>
    <mergeCell ref="L343:L344"/>
    <mergeCell ref="L345:L346"/>
    <mergeCell ref="L300:L303"/>
    <mergeCell ref="L304:L306"/>
    <mergeCell ref="L307:L310"/>
    <mergeCell ref="L311:L314"/>
    <mergeCell ref="L315:L316"/>
    <mergeCell ref="L317:L320"/>
    <mergeCell ref="L321:L324"/>
    <mergeCell ref="E338:E342"/>
    <mergeCell ref="E343:E344"/>
    <mergeCell ref="E345:E346"/>
    <mergeCell ref="F343:F344"/>
    <mergeCell ref="F345:F346"/>
    <mergeCell ref="E327:E332"/>
    <mergeCell ref="F327:F332"/>
    <mergeCell ref="E333:E335"/>
    <mergeCell ref="F333:F335"/>
    <mergeCell ref="E336:E337"/>
    <mergeCell ref="F336:F337"/>
    <mergeCell ref="F338:F342"/>
    <mergeCell ref="A214:A216"/>
    <mergeCell ref="B215:B216"/>
    <mergeCell ref="A217:A219"/>
    <mergeCell ref="B218:B219"/>
    <mergeCell ref="A220:A221"/>
    <mergeCell ref="B220:B221"/>
    <mergeCell ref="B222:B223"/>
    <mergeCell ref="B224:B225"/>
    <mergeCell ref="A222:A223"/>
    <mergeCell ref="A224:A225"/>
    <mergeCell ref="A226:A228"/>
    <mergeCell ref="A229:A231"/>
    <mergeCell ref="A232:A233"/>
    <mergeCell ref="A234:A239"/>
    <mergeCell ref="A240:A241"/>
    <mergeCell ref="C262:C263"/>
    <mergeCell ref="D262:D263"/>
    <mergeCell ref="E286:E288"/>
    <mergeCell ref="F286:F288"/>
    <mergeCell ref="M286:M288"/>
    <mergeCell ref="F289:F291"/>
    <mergeCell ref="M289:M291"/>
    <mergeCell ref="L286:L288"/>
    <mergeCell ref="L289:L291"/>
    <mergeCell ref="L292:L295"/>
    <mergeCell ref="M292:M295"/>
    <mergeCell ref="L296:L299"/>
    <mergeCell ref="M296:M299"/>
    <mergeCell ref="M300:M303"/>
    <mergeCell ref="E315:E316"/>
    <mergeCell ref="E317:E320"/>
    <mergeCell ref="F317:F320"/>
    <mergeCell ref="E321:E324"/>
    <mergeCell ref="F321:F324"/>
    <mergeCell ref="E325:E326"/>
    <mergeCell ref="F325:F326"/>
    <mergeCell ref="M304:M306"/>
    <mergeCell ref="M307:M310"/>
    <mergeCell ref="M311:M314"/>
    <mergeCell ref="M315:M316"/>
    <mergeCell ref="M317:M320"/>
    <mergeCell ref="M321:M324"/>
    <mergeCell ref="M325:M326"/>
    <mergeCell ref="M343:M344"/>
    <mergeCell ref="M345:M346"/>
    <mergeCell ref="M327:M332"/>
    <mergeCell ref="L333:L335"/>
    <mergeCell ref="M333:M335"/>
    <mergeCell ref="L336:L337"/>
    <mergeCell ref="M336:M337"/>
    <mergeCell ref="L338:L342"/>
    <mergeCell ref="M338:M342"/>
    <mergeCell ref="G50:G51"/>
    <mergeCell ref="G54:G55"/>
    <mergeCell ref="E47:E49"/>
    <mergeCell ref="F47:F49"/>
    <mergeCell ref="E50:E55"/>
    <mergeCell ref="F50:F55"/>
    <mergeCell ref="H50:H51"/>
    <mergeCell ref="I50:I51"/>
    <mergeCell ref="I52:I53"/>
    <mergeCell ref="E44:E46"/>
    <mergeCell ref="F44:F46"/>
    <mergeCell ref="E56:E58"/>
    <mergeCell ref="F56:F58"/>
    <mergeCell ref="G56:G58"/>
    <mergeCell ref="F59:F61"/>
    <mergeCell ref="G59:G61"/>
    <mergeCell ref="E59:E61"/>
    <mergeCell ref="E62:E63"/>
    <mergeCell ref="F62:F63"/>
    <mergeCell ref="G62:G63"/>
    <mergeCell ref="E64:E65"/>
    <mergeCell ref="F64:F65"/>
    <mergeCell ref="G64:G65"/>
    <mergeCell ref="F70:F71"/>
    <mergeCell ref="G70:G71"/>
    <mergeCell ref="E66:E67"/>
    <mergeCell ref="F66:F67"/>
    <mergeCell ref="G66:G67"/>
    <mergeCell ref="E68:E69"/>
    <mergeCell ref="F68:F69"/>
    <mergeCell ref="G68:G69"/>
    <mergeCell ref="E70:E71"/>
    <mergeCell ref="F76:F77"/>
    <mergeCell ref="G76:G77"/>
    <mergeCell ref="E72:E73"/>
    <mergeCell ref="F72:F73"/>
    <mergeCell ref="G72:G73"/>
    <mergeCell ref="E74:E75"/>
    <mergeCell ref="F74:F75"/>
    <mergeCell ref="G74:G75"/>
    <mergeCell ref="E76:E77"/>
    <mergeCell ref="F96:F97"/>
    <mergeCell ref="G96:G97"/>
    <mergeCell ref="E92:E93"/>
    <mergeCell ref="F92:F93"/>
    <mergeCell ref="G92:G93"/>
    <mergeCell ref="E94:E95"/>
    <mergeCell ref="F94:F95"/>
    <mergeCell ref="G94:G95"/>
    <mergeCell ref="E96:E97"/>
    <mergeCell ref="F102:F103"/>
    <mergeCell ref="G102:G103"/>
    <mergeCell ref="E98:E99"/>
    <mergeCell ref="F98:F99"/>
    <mergeCell ref="G98:G99"/>
    <mergeCell ref="E100:E101"/>
    <mergeCell ref="F100:F101"/>
    <mergeCell ref="G100:G101"/>
    <mergeCell ref="E102:E103"/>
    <mergeCell ref="E111:E112"/>
    <mergeCell ref="F111:F112"/>
    <mergeCell ref="G111:G112"/>
    <mergeCell ref="E113:E114"/>
    <mergeCell ref="F113:F114"/>
    <mergeCell ref="G113:G114"/>
    <mergeCell ref="L113:L114"/>
    <mergeCell ref="M113:M114"/>
    <mergeCell ref="E104:E105"/>
    <mergeCell ref="F104:F105"/>
    <mergeCell ref="G104:G105"/>
    <mergeCell ref="E106:E108"/>
    <mergeCell ref="F106:F108"/>
    <mergeCell ref="G106:G108"/>
    <mergeCell ref="E109:E110"/>
    <mergeCell ref="F109:F110"/>
    <mergeCell ref="G109:G110"/>
    <mergeCell ref="L109:L110"/>
    <mergeCell ref="L138:L139"/>
    <mergeCell ref="M138:M139"/>
    <mergeCell ref="L140:L141"/>
    <mergeCell ref="M140:M141"/>
    <mergeCell ref="A50:A55"/>
    <mergeCell ref="B50:B51"/>
    <mergeCell ref="B52:B53"/>
    <mergeCell ref="B54:B55"/>
    <mergeCell ref="A56:A61"/>
    <mergeCell ref="A62:A67"/>
    <mergeCell ref="A68:A73"/>
    <mergeCell ref="A86:A91"/>
    <mergeCell ref="A92:A97"/>
    <mergeCell ref="A98:A103"/>
    <mergeCell ref="A104:A110"/>
    <mergeCell ref="A111:A116"/>
    <mergeCell ref="A117:A120"/>
    <mergeCell ref="A121:A124"/>
    <mergeCell ref="A125:A130"/>
    <mergeCell ref="A131:A135"/>
    <mergeCell ref="A136:A137"/>
    <mergeCell ref="A138:A139"/>
    <mergeCell ref="A140:A141"/>
    <mergeCell ref="A142:A143"/>
    <mergeCell ref="A144:A145"/>
    <mergeCell ref="A146:A147"/>
    <mergeCell ref="A148:A151"/>
    <mergeCell ref="A152:A155"/>
    <mergeCell ref="A156:A160"/>
    <mergeCell ref="A161:A164"/>
    <mergeCell ref="A169:A174"/>
    <mergeCell ref="A175:A183"/>
    <mergeCell ref="A184:A186"/>
    <mergeCell ref="A187:A192"/>
    <mergeCell ref="A193:A195"/>
    <mergeCell ref="A196:A198"/>
    <mergeCell ref="B197:B198"/>
    <mergeCell ref="A199:A201"/>
    <mergeCell ref="B200:B201"/>
    <mergeCell ref="A202:A204"/>
    <mergeCell ref="B203:B204"/>
    <mergeCell ref="A205:A208"/>
    <mergeCell ref="B206:B208"/>
    <mergeCell ref="A209:A211"/>
    <mergeCell ref="A212:A213"/>
    <mergeCell ref="B212:B213"/>
    <mergeCell ref="A242:A243"/>
    <mergeCell ref="B242:B243"/>
    <mergeCell ref="A244:A248"/>
    <mergeCell ref="A249:A252"/>
    <mergeCell ref="A253:A259"/>
    <mergeCell ref="A260:A261"/>
    <mergeCell ref="A262:A263"/>
    <mergeCell ref="E289:E291"/>
    <mergeCell ref="E292:E295"/>
    <mergeCell ref="F292:F295"/>
    <mergeCell ref="E296:E299"/>
    <mergeCell ref="F296:F299"/>
    <mergeCell ref="E300:E303"/>
    <mergeCell ref="F300:F303"/>
    <mergeCell ref="E304:E306"/>
    <mergeCell ref="F304:F306"/>
    <mergeCell ref="E307:E310"/>
    <mergeCell ref="F307:F310"/>
    <mergeCell ref="E311:E314"/>
    <mergeCell ref="F311:F314"/>
    <mergeCell ref="F315:F316"/>
  </mergeCells>
  <dataValidations>
    <dataValidation type="list" allowBlank="1" showErrorMessage="1" sqref="B7:B50 B52 B54 B56:B197 B199:B200 B202:B203 B205:B206 B209:B212 B214:B215 B217:B218 B220 B222 B224 B226:B242 B244:B995">
      <formula1>"ARRACHAGE/FAUCHAGE,AUTRES TRAVAUX,BILLONNAGE,CHARGE/DECHARGE,CHAULAGE,DECHAULAGE ,DÉSHERBAGES,ENTRETIEN SERRE,ETANCHIETE,IRRIGATION,NETTOYAGE ,NETTOYAGE FIN COMPAGNE,PALISSAGE ,PINCEMENT ,PLANTATION,RECOLTE,SELECTION,SUPPORT DE PALISSAGE ,TRAITEMENT ,VIRU"&amp;"S ET CONTROLE "</formula1>
    </dataValidation>
    <dataValidation type="list" allowBlank="1" showErrorMessage="1" sqref="C7:C200 C202:C203 C205:C220 C222 C224:C226 C228:C261 C264:C995">
      <formula1>"701,702,703,704,705,706,707,708,709,710,711,712,713,714,715,716,717,718"</formula1>
    </dataValidation>
    <dataValidation type="list" allowBlank="1" showErrorMessage="1" sqref="H7:H50 H52 H54 H56:H995">
      <formula1>"Caporale,ouvrier"</formula1>
    </dataValidation>
    <dataValidation type="list" allowBlank="1" showErrorMessage="1" sqref="G7:G50 G52 G54 G56 G59 G62 G64 G66 G68 G70 G72 G74 G76 G78 G80 G82 G84 G86 G88 G90 G92 G94 G96 G98 G100 G102 G104 G106 G109 G111 G113 G115 G117 G119 G121 G123 G125 G128 G131 G134 G136 G138 G140 G142 G144 G146 G148 G150 G152 G154 G156 G159 G161 G163 G165 G167 G169:G995">
      <formula1>"HE,JRS "</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Row="1"/>
  <cols>
    <col customWidth="1" min="1" max="1" width="16.63"/>
    <col customWidth="1" min="2" max="2" width="26.13"/>
    <col customWidth="1" min="3" max="3" width="10.63"/>
    <col customWidth="1" min="4" max="4" width="8.5"/>
    <col customWidth="1" min="5" max="5" width="19.75"/>
    <col customWidth="1" min="6" max="6" width="12.13"/>
    <col customWidth="1" min="7" max="7" width="9.25"/>
    <col customWidth="1" min="8" max="8" width="10.63"/>
    <col customWidth="1" min="9" max="9" width="16.25"/>
    <col customWidth="1" min="10" max="10" width="11.13"/>
    <col customWidth="1" min="11" max="11" width="12.0"/>
    <col customWidth="1" min="12" max="12" width="14.75"/>
    <col customWidth="1" min="13" max="16" width="12.38"/>
    <col customWidth="1" min="17" max="17" width="13.75"/>
  </cols>
  <sheetData>
    <row r="1" ht="15.75" customHeight="1">
      <c r="A1" s="836"/>
      <c r="B1" s="837"/>
      <c r="C1" s="838" t="s">
        <v>562</v>
      </c>
      <c r="D1" s="839"/>
      <c r="E1" s="839"/>
      <c r="F1" s="839"/>
      <c r="G1" s="839"/>
      <c r="H1" s="839"/>
      <c r="I1" s="839"/>
      <c r="J1" s="839"/>
      <c r="K1" s="839"/>
      <c r="L1" s="839"/>
      <c r="M1" s="837"/>
      <c r="N1" s="838"/>
      <c r="O1" s="839"/>
      <c r="P1" s="837"/>
      <c r="Q1" s="2"/>
    </row>
    <row r="2" ht="15.75" customHeight="1">
      <c r="A2" s="840"/>
      <c r="B2" s="841"/>
      <c r="C2" s="840"/>
      <c r="D2" s="842"/>
      <c r="E2" s="842"/>
      <c r="F2" s="842"/>
      <c r="G2" s="842"/>
      <c r="H2" s="842"/>
      <c r="I2" s="842"/>
      <c r="J2" s="842"/>
      <c r="K2" s="842"/>
      <c r="L2" s="842"/>
      <c r="M2" s="841"/>
      <c r="N2" s="840"/>
      <c r="O2" s="842"/>
      <c r="P2" s="841"/>
      <c r="Q2" s="2"/>
    </row>
    <row r="3" ht="24.75" customHeight="1">
      <c r="A3" s="843" t="s">
        <v>1</v>
      </c>
      <c r="B3" s="843" t="s">
        <v>2</v>
      </c>
      <c r="C3" s="843" t="s">
        <v>3</v>
      </c>
      <c r="D3" s="843" t="s">
        <v>4</v>
      </c>
      <c r="E3" s="843" t="s">
        <v>19</v>
      </c>
      <c r="F3" s="843" t="s">
        <v>563</v>
      </c>
      <c r="G3" s="843" t="s">
        <v>310</v>
      </c>
      <c r="H3" s="844" t="s">
        <v>311</v>
      </c>
      <c r="I3" s="844" t="s">
        <v>564</v>
      </c>
      <c r="J3" s="843" t="s">
        <v>312</v>
      </c>
      <c r="K3" s="843" t="s">
        <v>313</v>
      </c>
      <c r="L3" s="844" t="s">
        <v>5</v>
      </c>
      <c r="M3" s="843" t="s">
        <v>9</v>
      </c>
      <c r="N3" s="845" t="s">
        <v>565</v>
      </c>
      <c r="O3" s="843" t="s">
        <v>314</v>
      </c>
      <c r="P3" s="846" t="s">
        <v>566</v>
      </c>
      <c r="Q3" s="847" t="s">
        <v>567</v>
      </c>
    </row>
    <row r="4" ht="18.75" customHeight="1">
      <c r="A4" s="848">
        <v>46113.0</v>
      </c>
      <c r="B4" s="849" t="s">
        <v>110</v>
      </c>
      <c r="C4" s="850">
        <v>807.0</v>
      </c>
      <c r="D4" s="849"/>
      <c r="E4" s="851"/>
      <c r="F4" s="851" t="s">
        <v>317</v>
      </c>
      <c r="G4" s="851">
        <v>110.0</v>
      </c>
      <c r="H4" s="852">
        <v>17.0</v>
      </c>
      <c r="I4" s="852" t="s">
        <v>568</v>
      </c>
      <c r="J4" s="853">
        <v>1.0</v>
      </c>
      <c r="K4" s="854">
        <v>1870.0</v>
      </c>
      <c r="L4" s="855" t="s">
        <v>41</v>
      </c>
      <c r="M4" s="856">
        <v>18.0</v>
      </c>
      <c r="N4" s="856" t="s">
        <v>569</v>
      </c>
      <c r="O4" s="857">
        <v>400.0</v>
      </c>
      <c r="P4" s="856">
        <v>2400.0</v>
      </c>
      <c r="Q4" s="856" t="s">
        <v>570</v>
      </c>
    </row>
    <row r="5" ht="18.75" customHeight="1">
      <c r="A5" s="212"/>
      <c r="B5" s="212"/>
      <c r="C5" s="212"/>
      <c r="D5" s="212"/>
      <c r="E5" s="851"/>
      <c r="F5" s="851" t="s">
        <v>317</v>
      </c>
      <c r="G5" s="851">
        <v>130.0</v>
      </c>
      <c r="H5" s="852">
        <v>1.0</v>
      </c>
      <c r="I5" s="852" t="s">
        <v>571</v>
      </c>
      <c r="J5" s="212"/>
      <c r="K5" s="854">
        <v>130.0</v>
      </c>
      <c r="L5" s="212"/>
      <c r="M5" s="212"/>
      <c r="N5" s="212"/>
      <c r="O5" s="223"/>
      <c r="P5" s="212"/>
      <c r="Q5" s="212"/>
    </row>
    <row r="6" ht="20.25" customHeight="1">
      <c r="A6" s="859">
        <v>46115.0</v>
      </c>
      <c r="B6" s="860" t="s">
        <v>110</v>
      </c>
      <c r="C6" s="861">
        <v>807.0</v>
      </c>
      <c r="D6" s="862"/>
      <c r="E6" s="851"/>
      <c r="F6" s="851" t="s">
        <v>317</v>
      </c>
      <c r="G6" s="863">
        <v>100.0</v>
      </c>
      <c r="H6" s="864">
        <v>11.0</v>
      </c>
      <c r="I6" s="852" t="s">
        <v>568</v>
      </c>
      <c r="J6" s="865">
        <v>1.0</v>
      </c>
      <c r="K6" s="866">
        <v>1100.0</v>
      </c>
      <c r="L6" s="867" t="s">
        <v>41</v>
      </c>
      <c r="M6" s="868">
        <v>12.0</v>
      </c>
      <c r="N6" s="868" t="s">
        <v>569</v>
      </c>
      <c r="O6" s="869">
        <v>400.0</v>
      </c>
      <c r="P6" s="868">
        <v>1662.0</v>
      </c>
      <c r="Q6" s="868" t="s">
        <v>570</v>
      </c>
    </row>
    <row r="7" ht="20.25" customHeight="1">
      <c r="A7" s="235"/>
      <c r="B7" s="235"/>
      <c r="C7" s="235"/>
      <c r="D7" s="235"/>
      <c r="E7" s="851"/>
      <c r="F7" s="851" t="s">
        <v>317</v>
      </c>
      <c r="G7" s="863">
        <v>100.0</v>
      </c>
      <c r="H7" s="864">
        <v>1.0</v>
      </c>
      <c r="I7" s="852" t="s">
        <v>571</v>
      </c>
      <c r="J7" s="235"/>
      <c r="K7" s="866">
        <v>100.0</v>
      </c>
      <c r="L7" s="235"/>
      <c r="M7" s="235"/>
      <c r="N7" s="235"/>
      <c r="O7" s="217"/>
      <c r="P7" s="235"/>
      <c r="Q7" s="235"/>
    </row>
    <row r="8" ht="20.25" customHeight="1">
      <c r="A8" s="236"/>
      <c r="B8" s="236"/>
      <c r="C8" s="236"/>
      <c r="D8" s="236"/>
      <c r="E8" s="851"/>
      <c r="F8" s="851" t="s">
        <v>317</v>
      </c>
      <c r="G8" s="863">
        <v>62.0</v>
      </c>
      <c r="H8" s="864">
        <v>1.0</v>
      </c>
      <c r="I8" s="852" t="s">
        <v>568</v>
      </c>
      <c r="J8" s="236"/>
      <c r="K8" s="866">
        <v>62.0</v>
      </c>
      <c r="L8" s="236"/>
      <c r="M8" s="236"/>
      <c r="N8" s="236"/>
      <c r="O8" s="219"/>
      <c r="P8" s="236"/>
      <c r="Q8" s="236"/>
    </row>
    <row r="9" ht="20.25" customHeight="1">
      <c r="A9" s="848">
        <v>46116.0</v>
      </c>
      <c r="B9" s="849" t="s">
        <v>110</v>
      </c>
      <c r="C9" s="850">
        <v>807.0</v>
      </c>
      <c r="D9" s="870"/>
      <c r="E9" s="851"/>
      <c r="F9" s="851" t="s">
        <v>317</v>
      </c>
      <c r="G9" s="871">
        <v>100.0</v>
      </c>
      <c r="H9" s="852">
        <v>12.0</v>
      </c>
      <c r="I9" s="852" t="s">
        <v>568</v>
      </c>
      <c r="J9" s="872">
        <v>1.0</v>
      </c>
      <c r="K9" s="854">
        <v>1200.0</v>
      </c>
      <c r="L9" s="867" t="s">
        <v>41</v>
      </c>
      <c r="M9" s="856">
        <v>13.0</v>
      </c>
      <c r="N9" s="868" t="s">
        <v>569</v>
      </c>
      <c r="O9" s="869">
        <v>400.0</v>
      </c>
      <c r="P9" s="868">
        <v>1700.0</v>
      </c>
      <c r="Q9" s="868" t="s">
        <v>570</v>
      </c>
    </row>
    <row r="10" ht="20.25" customHeight="1">
      <c r="A10" s="236"/>
      <c r="B10" s="236"/>
      <c r="C10" s="236"/>
      <c r="D10" s="870"/>
      <c r="E10" s="851"/>
      <c r="F10" s="851" t="s">
        <v>317</v>
      </c>
      <c r="G10" s="871">
        <v>100.0</v>
      </c>
      <c r="H10" s="852">
        <v>1.0</v>
      </c>
      <c r="I10" s="852" t="s">
        <v>571</v>
      </c>
      <c r="J10" s="872">
        <v>1.0</v>
      </c>
      <c r="K10" s="854">
        <v>100.0</v>
      </c>
      <c r="L10" s="236"/>
      <c r="M10" s="236"/>
      <c r="N10" s="236"/>
      <c r="O10" s="219"/>
      <c r="P10" s="236"/>
      <c r="Q10" s="236"/>
    </row>
    <row r="11" ht="20.25" customHeight="1">
      <c r="A11" s="848">
        <v>46117.0</v>
      </c>
      <c r="B11" s="849" t="s">
        <v>110</v>
      </c>
      <c r="C11" s="873">
        <v>813.0</v>
      </c>
      <c r="D11" s="874"/>
      <c r="E11" s="851"/>
      <c r="F11" s="851" t="s">
        <v>317</v>
      </c>
      <c r="G11" s="871">
        <v>120.0</v>
      </c>
      <c r="H11" s="852">
        <v>3.0</v>
      </c>
      <c r="I11" s="852" t="s">
        <v>568</v>
      </c>
      <c r="J11" s="853">
        <v>1.0</v>
      </c>
      <c r="K11" s="854">
        <v>360.0</v>
      </c>
      <c r="L11" s="855" t="s">
        <v>41</v>
      </c>
      <c r="M11" s="856">
        <v>12.0</v>
      </c>
      <c r="N11" s="868" t="s">
        <v>569</v>
      </c>
      <c r="O11" s="857">
        <v>400.0</v>
      </c>
      <c r="P11" s="856">
        <v>1800.0</v>
      </c>
      <c r="Q11" s="856" t="s">
        <v>570</v>
      </c>
    </row>
    <row r="12" ht="20.25" customHeight="1">
      <c r="A12" s="210"/>
      <c r="B12" s="210"/>
      <c r="C12" s="210"/>
      <c r="D12" s="210"/>
      <c r="E12" s="851"/>
      <c r="F12" s="851" t="s">
        <v>317</v>
      </c>
      <c r="G12" s="871">
        <v>110.0</v>
      </c>
      <c r="H12" s="852">
        <v>1.0</v>
      </c>
      <c r="I12" s="852" t="s">
        <v>568</v>
      </c>
      <c r="J12" s="210"/>
      <c r="K12" s="854">
        <v>110.0</v>
      </c>
      <c r="L12" s="210"/>
      <c r="M12" s="210"/>
      <c r="N12" s="210"/>
      <c r="O12" s="222"/>
      <c r="P12" s="210"/>
      <c r="Q12" s="210"/>
    </row>
    <row r="13" ht="20.25" customHeight="1">
      <c r="A13" s="235"/>
      <c r="B13" s="235"/>
      <c r="C13" s="235"/>
      <c r="D13" s="235"/>
      <c r="E13" s="851"/>
      <c r="F13" s="851" t="s">
        <v>317</v>
      </c>
      <c r="G13" s="871">
        <v>230.0</v>
      </c>
      <c r="H13" s="852">
        <v>1.0</v>
      </c>
      <c r="I13" s="852" t="s">
        <v>568</v>
      </c>
      <c r="J13" s="235"/>
      <c r="K13" s="854">
        <v>230.0</v>
      </c>
      <c r="L13" s="235"/>
      <c r="M13" s="235"/>
      <c r="N13" s="235"/>
      <c r="O13" s="217"/>
      <c r="P13" s="235"/>
      <c r="Q13" s="235"/>
    </row>
    <row r="14" ht="20.25" customHeight="1">
      <c r="A14" s="236"/>
      <c r="B14" s="236"/>
      <c r="C14" s="236"/>
      <c r="D14" s="236"/>
      <c r="E14" s="851"/>
      <c r="F14" s="851" t="s">
        <v>317</v>
      </c>
      <c r="G14" s="871">
        <v>100.0</v>
      </c>
      <c r="H14" s="852">
        <v>7.0</v>
      </c>
      <c r="I14" s="852" t="s">
        <v>568</v>
      </c>
      <c r="J14" s="236"/>
      <c r="K14" s="854">
        <v>700.0</v>
      </c>
      <c r="L14" s="236"/>
      <c r="M14" s="236"/>
      <c r="N14" s="236"/>
      <c r="O14" s="219"/>
      <c r="P14" s="236"/>
      <c r="Q14" s="236"/>
    </row>
    <row r="15" ht="20.25" customHeight="1">
      <c r="A15" s="875">
        <v>46118.0</v>
      </c>
      <c r="B15" s="876" t="s">
        <v>110</v>
      </c>
      <c r="C15" s="873">
        <v>813.0</v>
      </c>
      <c r="D15" s="877"/>
      <c r="E15" s="851"/>
      <c r="F15" s="851" t="s">
        <v>317</v>
      </c>
      <c r="G15" s="854">
        <v>200.0</v>
      </c>
      <c r="H15" s="878">
        <v>5.0</v>
      </c>
      <c r="I15" s="852" t="s">
        <v>568</v>
      </c>
      <c r="J15" s="853">
        <v>1.0</v>
      </c>
      <c r="K15" s="854">
        <v>1000.0</v>
      </c>
      <c r="L15" s="879" t="s">
        <v>41</v>
      </c>
      <c r="M15" s="880">
        <v>14.0</v>
      </c>
      <c r="N15" s="868" t="s">
        <v>569</v>
      </c>
      <c r="O15" s="881">
        <v>400.0</v>
      </c>
      <c r="P15" s="882">
        <v>2500.0</v>
      </c>
      <c r="Q15" s="882" t="s">
        <v>570</v>
      </c>
    </row>
    <row r="16" ht="20.25" customHeight="1">
      <c r="A16" s="210"/>
      <c r="B16" s="210"/>
      <c r="C16" s="210"/>
      <c r="D16" s="210"/>
      <c r="E16" s="851"/>
      <c r="F16" s="851" t="s">
        <v>317</v>
      </c>
      <c r="G16" s="854">
        <v>150.0</v>
      </c>
      <c r="H16" s="878">
        <v>2.0</v>
      </c>
      <c r="I16" s="852" t="s">
        <v>568</v>
      </c>
      <c r="J16" s="210"/>
      <c r="K16" s="854">
        <v>300.0</v>
      </c>
      <c r="L16" s="210"/>
      <c r="M16" s="210"/>
      <c r="N16" s="210"/>
      <c r="O16" s="222"/>
      <c r="P16" s="210"/>
      <c r="Q16" s="210"/>
    </row>
    <row r="17" ht="20.25" customHeight="1">
      <c r="A17" s="235"/>
      <c r="B17" s="235"/>
      <c r="C17" s="235"/>
      <c r="D17" s="235"/>
      <c r="E17" s="851"/>
      <c r="F17" s="851" t="s">
        <v>317</v>
      </c>
      <c r="G17" s="854">
        <v>100.0</v>
      </c>
      <c r="H17" s="878">
        <v>2.0</v>
      </c>
      <c r="I17" s="852" t="s">
        <v>568</v>
      </c>
      <c r="J17" s="235"/>
      <c r="K17" s="854">
        <v>200.0</v>
      </c>
      <c r="L17" s="235"/>
      <c r="M17" s="235"/>
      <c r="N17" s="235"/>
      <c r="O17" s="217"/>
      <c r="P17" s="235"/>
      <c r="Q17" s="235"/>
    </row>
    <row r="18" ht="20.25" customHeight="1">
      <c r="A18" s="236"/>
      <c r="B18" s="236"/>
      <c r="C18" s="236"/>
      <c r="D18" s="236"/>
      <c r="E18" s="851"/>
      <c r="F18" s="851" t="s">
        <v>317</v>
      </c>
      <c r="G18" s="854">
        <v>120.0</v>
      </c>
      <c r="H18" s="878">
        <v>5.0</v>
      </c>
      <c r="I18" s="852" t="s">
        <v>568</v>
      </c>
      <c r="J18" s="236"/>
      <c r="K18" s="854">
        <v>600.0</v>
      </c>
      <c r="L18" s="236"/>
      <c r="M18" s="236"/>
      <c r="N18" s="236"/>
      <c r="O18" s="219"/>
      <c r="P18" s="236"/>
      <c r="Q18" s="236"/>
    </row>
    <row r="19" ht="18.75" customHeight="1">
      <c r="A19" s="875">
        <v>46119.0</v>
      </c>
      <c r="B19" s="876" t="s">
        <v>110</v>
      </c>
      <c r="C19" s="873">
        <v>813.0</v>
      </c>
      <c r="D19" s="877"/>
      <c r="E19" s="851"/>
      <c r="F19" s="851" t="s">
        <v>317</v>
      </c>
      <c r="G19" s="854">
        <v>100.0</v>
      </c>
      <c r="H19" s="878">
        <v>5.0</v>
      </c>
      <c r="I19" s="852" t="s">
        <v>568</v>
      </c>
      <c r="J19" s="883">
        <v>1.0</v>
      </c>
      <c r="K19" s="854">
        <v>500.0</v>
      </c>
      <c r="L19" s="882" t="s">
        <v>41</v>
      </c>
      <c r="M19" s="882">
        <v>6.0</v>
      </c>
      <c r="N19" s="868" t="s">
        <v>569</v>
      </c>
      <c r="O19" s="884">
        <v>400.0</v>
      </c>
      <c r="P19" s="855">
        <v>1020.0</v>
      </c>
      <c r="Q19" s="855" t="s">
        <v>570</v>
      </c>
    </row>
    <row r="20" ht="18.75" customHeight="1">
      <c r="A20" s="236"/>
      <c r="B20" s="236"/>
      <c r="C20" s="236"/>
      <c r="D20" s="236"/>
      <c r="E20" s="851"/>
      <c r="F20" s="851" t="s">
        <v>317</v>
      </c>
      <c r="G20" s="871">
        <v>120.0</v>
      </c>
      <c r="H20" s="852">
        <v>1.0</v>
      </c>
      <c r="I20" s="852" t="s">
        <v>568</v>
      </c>
      <c r="J20" s="236"/>
      <c r="K20" s="854">
        <v>120.0</v>
      </c>
      <c r="L20" s="236"/>
      <c r="M20" s="236"/>
      <c r="N20" s="236"/>
      <c r="O20" s="219"/>
      <c r="P20" s="236"/>
      <c r="Q20" s="236"/>
    </row>
    <row r="21" ht="17.25" customHeight="1">
      <c r="A21" s="848">
        <v>46125.0</v>
      </c>
      <c r="B21" s="849" t="s">
        <v>572</v>
      </c>
      <c r="C21" s="850">
        <v>805.0</v>
      </c>
      <c r="D21" s="885"/>
      <c r="E21" s="851"/>
      <c r="F21" s="851" t="s">
        <v>317</v>
      </c>
      <c r="G21" s="871">
        <v>100.0</v>
      </c>
      <c r="H21" s="852">
        <v>11.0</v>
      </c>
      <c r="I21" s="852" t="s">
        <v>568</v>
      </c>
      <c r="J21" s="886">
        <v>1.0</v>
      </c>
      <c r="K21" s="871">
        <v>1100.0</v>
      </c>
      <c r="L21" s="882" t="s">
        <v>573</v>
      </c>
      <c r="M21" s="887">
        <v>12.0</v>
      </c>
      <c r="N21" s="887" t="s">
        <v>574</v>
      </c>
      <c r="O21" s="888">
        <v>300.0</v>
      </c>
      <c r="P21" s="856">
        <v>1520.0</v>
      </c>
      <c r="Q21" s="856" t="s">
        <v>570</v>
      </c>
    </row>
    <row r="22" ht="17.25" customHeight="1">
      <c r="A22" s="236"/>
      <c r="B22" s="236"/>
      <c r="C22" s="236"/>
      <c r="D22" s="236"/>
      <c r="E22" s="851"/>
      <c r="F22" s="851" t="s">
        <v>317</v>
      </c>
      <c r="G22" s="871">
        <v>120.0</v>
      </c>
      <c r="H22" s="852">
        <v>1.0</v>
      </c>
      <c r="I22" s="852" t="s">
        <v>571</v>
      </c>
      <c r="J22" s="236"/>
      <c r="K22" s="871">
        <v>120.0</v>
      </c>
      <c r="L22" s="236"/>
      <c r="M22" s="236"/>
      <c r="N22" s="236"/>
      <c r="O22" s="219"/>
      <c r="P22" s="236"/>
      <c r="Q22" s="236"/>
    </row>
    <row r="23" ht="18.75" customHeight="1">
      <c r="A23" s="889">
        <v>46130.0</v>
      </c>
      <c r="B23" s="890" t="s">
        <v>572</v>
      </c>
      <c r="C23" s="891">
        <v>807.0</v>
      </c>
      <c r="D23" s="870"/>
      <c r="E23" s="851"/>
      <c r="F23" s="851" t="s">
        <v>317</v>
      </c>
      <c r="G23" s="892">
        <v>120.0</v>
      </c>
      <c r="H23" s="893">
        <v>10.0</v>
      </c>
      <c r="I23" s="852" t="s">
        <v>568</v>
      </c>
      <c r="J23" s="894">
        <v>1.0</v>
      </c>
      <c r="K23" s="892">
        <v>1200.0</v>
      </c>
      <c r="L23" s="895" t="s">
        <v>41</v>
      </c>
      <c r="M23" s="896">
        <v>19.0</v>
      </c>
      <c r="N23" s="868" t="s">
        <v>569</v>
      </c>
      <c r="O23" s="897">
        <v>400.0</v>
      </c>
      <c r="P23" s="898">
        <v>2530.0</v>
      </c>
      <c r="Q23" s="898" t="s">
        <v>570</v>
      </c>
    </row>
    <row r="24" ht="18.75" customHeight="1">
      <c r="A24" s="899">
        <v>46130.0</v>
      </c>
      <c r="B24" s="890" t="s">
        <v>575</v>
      </c>
      <c r="C24" s="210"/>
      <c r="D24" s="870"/>
      <c r="E24" s="851"/>
      <c r="F24" s="851" t="s">
        <v>317</v>
      </c>
      <c r="G24" s="871">
        <v>130.0</v>
      </c>
      <c r="H24" s="852">
        <v>1.0</v>
      </c>
      <c r="I24" s="852" t="s">
        <v>568</v>
      </c>
      <c r="J24" s="872">
        <v>1.0</v>
      </c>
      <c r="K24" s="871">
        <v>130.0</v>
      </c>
      <c r="L24" s="210"/>
      <c r="M24" s="210"/>
      <c r="N24" s="210"/>
      <c r="O24" s="222"/>
      <c r="P24" s="210"/>
      <c r="Q24" s="210"/>
    </row>
    <row r="25" ht="18.75" customHeight="1">
      <c r="A25" s="889">
        <v>46130.0</v>
      </c>
      <c r="B25" s="890" t="s">
        <v>575</v>
      </c>
      <c r="C25" s="212"/>
      <c r="D25" s="870"/>
      <c r="E25" s="851"/>
      <c r="F25" s="851" t="s">
        <v>317</v>
      </c>
      <c r="G25" s="892">
        <v>100.0</v>
      </c>
      <c r="H25" s="893">
        <v>8.0</v>
      </c>
      <c r="I25" s="852" t="s">
        <v>568</v>
      </c>
      <c r="J25" s="894">
        <v>1.0</v>
      </c>
      <c r="K25" s="892">
        <v>800.0</v>
      </c>
      <c r="L25" s="212"/>
      <c r="M25" s="212"/>
      <c r="N25" s="212"/>
      <c r="O25" s="223"/>
      <c r="P25" s="212"/>
      <c r="Q25" s="212"/>
    </row>
    <row r="26" ht="18.75" customHeight="1">
      <c r="A26" s="899">
        <v>46130.0</v>
      </c>
      <c r="B26" s="890" t="s">
        <v>575</v>
      </c>
      <c r="C26" s="852">
        <v>806.0</v>
      </c>
      <c r="D26" s="870"/>
      <c r="E26" s="851"/>
      <c r="F26" s="851" t="s">
        <v>317</v>
      </c>
      <c r="G26" s="871">
        <v>100.0</v>
      </c>
      <c r="H26" s="852">
        <v>3.0</v>
      </c>
      <c r="I26" s="852" t="s">
        <v>568</v>
      </c>
      <c r="J26" s="872">
        <v>1.0</v>
      </c>
      <c r="K26" s="871">
        <v>300.0</v>
      </c>
      <c r="L26" s="900" t="s">
        <v>576</v>
      </c>
      <c r="M26" s="871">
        <v>0.0</v>
      </c>
      <c r="N26" s="871" t="s">
        <v>577</v>
      </c>
      <c r="O26" s="901">
        <v>0.0</v>
      </c>
      <c r="P26" s="902">
        <v>300.0</v>
      </c>
      <c r="Q26" s="902" t="s">
        <v>570</v>
      </c>
    </row>
    <row r="27" ht="18.75" customHeight="1">
      <c r="A27" s="889">
        <v>46131.0</v>
      </c>
      <c r="B27" s="890" t="s">
        <v>575</v>
      </c>
      <c r="C27" s="893">
        <v>809.0</v>
      </c>
      <c r="D27" s="870"/>
      <c r="E27" s="851"/>
      <c r="F27" s="851" t="s">
        <v>317</v>
      </c>
      <c r="G27" s="892">
        <v>120.0</v>
      </c>
      <c r="H27" s="893">
        <v>5.0</v>
      </c>
      <c r="I27" s="852" t="s">
        <v>568</v>
      </c>
      <c r="J27" s="894">
        <v>1.0</v>
      </c>
      <c r="K27" s="892">
        <v>600.0</v>
      </c>
      <c r="L27" s="895" t="s">
        <v>41</v>
      </c>
      <c r="M27" s="896">
        <v>13.0</v>
      </c>
      <c r="N27" s="868" t="s">
        <v>569</v>
      </c>
      <c r="O27" s="897">
        <v>400.0</v>
      </c>
      <c r="P27" s="898">
        <v>2300.0</v>
      </c>
      <c r="Q27" s="898" t="s">
        <v>570</v>
      </c>
    </row>
    <row r="28" ht="18.75" customHeight="1">
      <c r="A28" s="899">
        <v>46131.0</v>
      </c>
      <c r="B28" s="890" t="s">
        <v>575</v>
      </c>
      <c r="C28" s="852">
        <v>809.0</v>
      </c>
      <c r="D28" s="870"/>
      <c r="E28" s="851"/>
      <c r="F28" s="851" t="s">
        <v>317</v>
      </c>
      <c r="G28" s="871">
        <v>150.0</v>
      </c>
      <c r="H28" s="852">
        <v>2.0</v>
      </c>
      <c r="I28" s="852" t="s">
        <v>568</v>
      </c>
      <c r="J28" s="872">
        <v>1.0</v>
      </c>
      <c r="K28" s="871">
        <v>300.0</v>
      </c>
      <c r="L28" s="210"/>
      <c r="M28" s="210"/>
      <c r="N28" s="210"/>
      <c r="O28" s="222"/>
      <c r="P28" s="210"/>
      <c r="Q28" s="210"/>
    </row>
    <row r="29" ht="18.75" customHeight="1">
      <c r="A29" s="889">
        <v>46131.0</v>
      </c>
      <c r="B29" s="890" t="s">
        <v>572</v>
      </c>
      <c r="C29" s="893">
        <v>809.0</v>
      </c>
      <c r="D29" s="870"/>
      <c r="E29" s="851"/>
      <c r="F29" s="851" t="s">
        <v>317</v>
      </c>
      <c r="G29" s="892">
        <v>170.0</v>
      </c>
      <c r="H29" s="893">
        <v>5.0</v>
      </c>
      <c r="I29" s="852" t="s">
        <v>568</v>
      </c>
      <c r="J29" s="894">
        <v>1.0</v>
      </c>
      <c r="K29" s="892">
        <v>850.0</v>
      </c>
      <c r="L29" s="235"/>
      <c r="M29" s="235"/>
      <c r="N29" s="235"/>
      <c r="O29" s="217"/>
      <c r="P29" s="235"/>
      <c r="Q29" s="235"/>
    </row>
    <row r="30" ht="18.75" customHeight="1">
      <c r="A30" s="899">
        <v>46131.0</v>
      </c>
      <c r="B30" s="890" t="s">
        <v>572</v>
      </c>
      <c r="C30" s="852">
        <v>809.0</v>
      </c>
      <c r="D30" s="870"/>
      <c r="E30" s="851"/>
      <c r="F30" s="851" t="s">
        <v>317</v>
      </c>
      <c r="G30" s="871">
        <v>150.0</v>
      </c>
      <c r="H30" s="852">
        <v>1.0</v>
      </c>
      <c r="I30" s="852" t="s">
        <v>568</v>
      </c>
      <c r="J30" s="872">
        <v>1.0</v>
      </c>
      <c r="K30" s="871">
        <v>150.0</v>
      </c>
      <c r="L30" s="236"/>
      <c r="M30" s="236"/>
      <c r="N30" s="236"/>
      <c r="O30" s="219"/>
      <c r="P30" s="236"/>
      <c r="Q30" s="236"/>
    </row>
    <row r="31" ht="18.75" customHeight="1">
      <c r="A31" s="899">
        <v>46132.0</v>
      </c>
      <c r="B31" s="890" t="s">
        <v>575</v>
      </c>
      <c r="C31" s="852">
        <v>809.0</v>
      </c>
      <c r="D31" s="870"/>
      <c r="E31" s="851"/>
      <c r="F31" s="851" t="s">
        <v>317</v>
      </c>
      <c r="G31" s="871">
        <v>100.0</v>
      </c>
      <c r="H31" s="852">
        <v>13.0</v>
      </c>
      <c r="I31" s="852" t="s">
        <v>568</v>
      </c>
      <c r="J31" s="872">
        <v>1.0</v>
      </c>
      <c r="K31" s="871">
        <v>1300.0</v>
      </c>
      <c r="L31" s="855" t="s">
        <v>573</v>
      </c>
      <c r="M31" s="887">
        <v>17.0</v>
      </c>
      <c r="N31" s="887" t="s">
        <v>579</v>
      </c>
      <c r="O31" s="888">
        <v>425.0</v>
      </c>
      <c r="P31" s="856">
        <v>2095.0</v>
      </c>
      <c r="Q31" s="856" t="s">
        <v>570</v>
      </c>
    </row>
    <row r="32" ht="18.75" customHeight="1">
      <c r="A32" s="899">
        <v>46132.0</v>
      </c>
      <c r="B32" s="890" t="s">
        <v>575</v>
      </c>
      <c r="C32" s="852">
        <v>809.0</v>
      </c>
      <c r="D32" s="870"/>
      <c r="E32" s="851"/>
      <c r="F32" s="851" t="s">
        <v>317</v>
      </c>
      <c r="G32" s="871">
        <v>50.0</v>
      </c>
      <c r="H32" s="852">
        <v>1.0</v>
      </c>
      <c r="I32" s="852" t="s">
        <v>568</v>
      </c>
      <c r="J32" s="872">
        <v>0.5</v>
      </c>
      <c r="K32" s="871">
        <v>50.0</v>
      </c>
      <c r="L32" s="210"/>
      <c r="M32" s="210"/>
      <c r="N32" s="210"/>
      <c r="O32" s="222"/>
      <c r="P32" s="210"/>
      <c r="Q32" s="210"/>
    </row>
    <row r="33" ht="18.75" customHeight="1">
      <c r="A33" s="899">
        <v>46132.0</v>
      </c>
      <c r="B33" s="890" t="s">
        <v>572</v>
      </c>
      <c r="C33" s="852">
        <v>809.0</v>
      </c>
      <c r="D33" s="870"/>
      <c r="E33" s="851"/>
      <c r="F33" s="851" t="s">
        <v>317</v>
      </c>
      <c r="G33" s="871">
        <v>100.0</v>
      </c>
      <c r="H33" s="852">
        <v>2.0</v>
      </c>
      <c r="I33" s="852" t="s">
        <v>568</v>
      </c>
      <c r="J33" s="872">
        <v>1.0</v>
      </c>
      <c r="K33" s="871">
        <v>200.0</v>
      </c>
      <c r="L33" s="235"/>
      <c r="M33" s="235"/>
      <c r="N33" s="235"/>
      <c r="O33" s="217"/>
      <c r="P33" s="235"/>
      <c r="Q33" s="235"/>
    </row>
    <row r="34" ht="18.75" customHeight="1">
      <c r="A34" s="899">
        <v>46132.0</v>
      </c>
      <c r="B34" s="890" t="s">
        <v>575</v>
      </c>
      <c r="C34" s="852">
        <v>809.0</v>
      </c>
      <c r="D34" s="870"/>
      <c r="E34" s="851"/>
      <c r="F34" s="851" t="s">
        <v>317</v>
      </c>
      <c r="G34" s="871">
        <v>120.0</v>
      </c>
      <c r="H34" s="852">
        <v>1.0</v>
      </c>
      <c r="I34" s="852" t="s">
        <v>571</v>
      </c>
      <c r="J34" s="872">
        <v>1.0</v>
      </c>
      <c r="K34" s="871">
        <v>120.0</v>
      </c>
      <c r="L34" s="236"/>
      <c r="M34" s="236"/>
      <c r="N34" s="236"/>
      <c r="O34" s="219"/>
      <c r="P34" s="236"/>
      <c r="Q34" s="236"/>
    </row>
    <row r="35" ht="18.75" customHeight="1">
      <c r="A35" s="848">
        <v>46132.0</v>
      </c>
      <c r="B35" s="849" t="s">
        <v>572</v>
      </c>
      <c r="C35" s="850">
        <v>811.0</v>
      </c>
      <c r="D35" s="870"/>
      <c r="E35" s="851"/>
      <c r="F35" s="851" t="s">
        <v>317</v>
      </c>
      <c r="G35" s="871">
        <v>165.0</v>
      </c>
      <c r="H35" s="852">
        <v>5.0</v>
      </c>
      <c r="I35" s="852" t="s">
        <v>568</v>
      </c>
      <c r="J35" s="872">
        <v>1.0</v>
      </c>
      <c r="K35" s="871">
        <v>825.0</v>
      </c>
      <c r="L35" s="855" t="s">
        <v>41</v>
      </c>
      <c r="M35" s="887">
        <v>20.0</v>
      </c>
      <c r="N35" s="887" t="s">
        <v>569</v>
      </c>
      <c r="O35" s="888">
        <v>400.0</v>
      </c>
      <c r="P35" s="856">
        <v>3282.0</v>
      </c>
      <c r="Q35" s="856" t="s">
        <v>570</v>
      </c>
    </row>
    <row r="36" ht="18.75" customHeight="1">
      <c r="A36" s="236"/>
      <c r="B36" s="236"/>
      <c r="C36" s="236"/>
      <c r="D36" s="870"/>
      <c r="E36" s="851"/>
      <c r="F36" s="851" t="s">
        <v>317</v>
      </c>
      <c r="G36" s="871">
        <v>175.0</v>
      </c>
      <c r="H36" s="852">
        <v>1.0</v>
      </c>
      <c r="I36" s="852" t="s">
        <v>568</v>
      </c>
      <c r="J36" s="872">
        <v>1.0</v>
      </c>
      <c r="K36" s="871">
        <v>175.0</v>
      </c>
      <c r="L36" s="210"/>
      <c r="M36" s="210"/>
      <c r="N36" s="210"/>
      <c r="O36" s="222"/>
      <c r="P36" s="210"/>
      <c r="Q36" s="210"/>
    </row>
    <row r="37" ht="19.5" customHeight="1">
      <c r="A37" s="848">
        <v>46132.0</v>
      </c>
      <c r="B37" s="849" t="s">
        <v>575</v>
      </c>
      <c r="C37" s="850">
        <v>811.0</v>
      </c>
      <c r="D37" s="870"/>
      <c r="E37" s="851"/>
      <c r="F37" s="851" t="s">
        <v>317</v>
      </c>
      <c r="G37" s="871">
        <v>120.0</v>
      </c>
      <c r="H37" s="852">
        <v>7.0</v>
      </c>
      <c r="I37" s="852" t="s">
        <v>568</v>
      </c>
      <c r="J37" s="872">
        <v>1.0</v>
      </c>
      <c r="K37" s="871">
        <v>840.0</v>
      </c>
      <c r="L37" s="235"/>
      <c r="M37" s="235"/>
      <c r="N37" s="235"/>
      <c r="O37" s="217"/>
      <c r="P37" s="235"/>
      <c r="Q37" s="235"/>
    </row>
    <row r="38" ht="19.5" customHeight="1">
      <c r="A38" s="210"/>
      <c r="B38" s="210"/>
      <c r="C38" s="210"/>
      <c r="D38" s="870"/>
      <c r="E38" s="851"/>
      <c r="F38" s="851" t="s">
        <v>317</v>
      </c>
      <c r="G38" s="871">
        <v>150.0</v>
      </c>
      <c r="H38" s="852">
        <v>2.0</v>
      </c>
      <c r="I38" s="852" t="s">
        <v>568</v>
      </c>
      <c r="J38" s="872">
        <v>1.0</v>
      </c>
      <c r="K38" s="871">
        <v>300.0</v>
      </c>
      <c r="L38" s="210"/>
      <c r="M38" s="210"/>
      <c r="N38" s="210"/>
      <c r="O38" s="222"/>
      <c r="P38" s="210"/>
      <c r="Q38" s="210"/>
    </row>
    <row r="39" ht="19.5" customHeight="1">
      <c r="A39" s="235"/>
      <c r="B39" s="235"/>
      <c r="C39" s="235"/>
      <c r="D39" s="870"/>
      <c r="E39" s="851"/>
      <c r="F39" s="851" t="s">
        <v>317</v>
      </c>
      <c r="G39" s="871">
        <v>165.0</v>
      </c>
      <c r="H39" s="852">
        <v>1.0</v>
      </c>
      <c r="I39" s="852" t="s">
        <v>568</v>
      </c>
      <c r="J39" s="872">
        <v>1.0</v>
      </c>
      <c r="K39" s="871">
        <v>165.0</v>
      </c>
      <c r="L39" s="235"/>
      <c r="M39" s="235"/>
      <c r="N39" s="235"/>
      <c r="O39" s="217"/>
      <c r="P39" s="235"/>
      <c r="Q39" s="235"/>
    </row>
    <row r="40" ht="19.5" customHeight="1">
      <c r="A40" s="210"/>
      <c r="B40" s="210"/>
      <c r="C40" s="210"/>
      <c r="D40" s="870"/>
      <c r="E40" s="851"/>
      <c r="F40" s="851" t="s">
        <v>317</v>
      </c>
      <c r="G40" s="871">
        <v>127.0</v>
      </c>
      <c r="H40" s="852">
        <v>1.0</v>
      </c>
      <c r="I40" s="852" t="s">
        <v>568</v>
      </c>
      <c r="J40" s="872">
        <v>1.0</v>
      </c>
      <c r="K40" s="871">
        <v>127.0</v>
      </c>
      <c r="L40" s="210"/>
      <c r="M40" s="210"/>
      <c r="N40" s="210"/>
      <c r="O40" s="222"/>
      <c r="P40" s="210"/>
      <c r="Q40" s="210"/>
    </row>
    <row r="41" ht="19.5" customHeight="1">
      <c r="A41" s="212"/>
      <c r="B41" s="212"/>
      <c r="C41" s="212"/>
      <c r="D41" s="870"/>
      <c r="E41" s="851"/>
      <c r="F41" s="851" t="s">
        <v>317</v>
      </c>
      <c r="G41" s="871">
        <v>150.0</v>
      </c>
      <c r="H41" s="852">
        <v>3.0</v>
      </c>
      <c r="I41" s="852" t="s">
        <v>571</v>
      </c>
      <c r="J41" s="872">
        <v>1.0</v>
      </c>
      <c r="K41" s="871">
        <v>450.0</v>
      </c>
      <c r="L41" s="212"/>
      <c r="M41" s="212"/>
      <c r="N41" s="212"/>
      <c r="O41" s="223"/>
      <c r="P41" s="212"/>
      <c r="Q41" s="212"/>
    </row>
    <row r="42" ht="18.75" customHeight="1">
      <c r="A42" s="899">
        <v>46133.0</v>
      </c>
      <c r="B42" s="890" t="s">
        <v>572</v>
      </c>
      <c r="C42" s="852">
        <v>809.0</v>
      </c>
      <c r="D42" s="870"/>
      <c r="E42" s="851"/>
      <c r="F42" s="851" t="s">
        <v>317</v>
      </c>
      <c r="G42" s="871">
        <v>100.0</v>
      </c>
      <c r="H42" s="852">
        <v>10.0</v>
      </c>
      <c r="I42" s="852" t="s">
        <v>568</v>
      </c>
      <c r="J42" s="872">
        <v>1.0</v>
      </c>
      <c r="K42" s="871">
        <v>1000.0</v>
      </c>
      <c r="L42" s="882" t="s">
        <v>580</v>
      </c>
      <c r="M42" s="887">
        <v>25.0</v>
      </c>
      <c r="N42" s="887" t="s">
        <v>581</v>
      </c>
      <c r="O42" s="888">
        <v>625.0</v>
      </c>
      <c r="P42" s="856">
        <v>3145.0</v>
      </c>
      <c r="Q42" s="856" t="s">
        <v>570</v>
      </c>
    </row>
    <row r="43" ht="18.75" customHeight="1">
      <c r="A43" s="899">
        <v>46133.0</v>
      </c>
      <c r="B43" s="890" t="s">
        <v>572</v>
      </c>
      <c r="C43" s="852">
        <v>811.0</v>
      </c>
      <c r="D43" s="870"/>
      <c r="E43" s="851"/>
      <c r="F43" s="851" t="s">
        <v>317</v>
      </c>
      <c r="G43" s="871">
        <v>100.0</v>
      </c>
      <c r="H43" s="852">
        <v>14.0</v>
      </c>
      <c r="I43" s="852" t="s">
        <v>568</v>
      </c>
      <c r="J43" s="872">
        <v>1.0</v>
      </c>
      <c r="K43" s="871">
        <v>1400.0</v>
      </c>
      <c r="L43" s="235"/>
      <c r="M43" s="235"/>
      <c r="N43" s="235"/>
      <c r="O43" s="217"/>
      <c r="P43" s="235"/>
      <c r="Q43" s="235"/>
    </row>
    <row r="44" ht="18.75" customHeight="1">
      <c r="A44" s="899">
        <v>46133.0</v>
      </c>
      <c r="B44" s="890" t="s">
        <v>572</v>
      </c>
      <c r="C44" s="852">
        <v>811.0</v>
      </c>
      <c r="D44" s="870"/>
      <c r="E44" s="851"/>
      <c r="F44" s="851" t="s">
        <v>317</v>
      </c>
      <c r="G44" s="871">
        <v>120.0</v>
      </c>
      <c r="H44" s="852">
        <v>1.0</v>
      </c>
      <c r="I44" s="852" t="s">
        <v>571</v>
      </c>
      <c r="J44" s="872">
        <v>1.0</v>
      </c>
      <c r="K44" s="871">
        <v>120.0</v>
      </c>
      <c r="L44" s="236"/>
      <c r="M44" s="236"/>
      <c r="N44" s="236"/>
      <c r="O44" s="219"/>
      <c r="P44" s="236"/>
      <c r="Q44" s="236"/>
    </row>
    <row r="45" ht="18.75" customHeight="1">
      <c r="A45" s="899">
        <v>46133.0</v>
      </c>
      <c r="B45" s="890" t="s">
        <v>572</v>
      </c>
      <c r="C45" s="852">
        <v>810.0</v>
      </c>
      <c r="D45" s="870"/>
      <c r="E45" s="851"/>
      <c r="F45" s="851" t="s">
        <v>317</v>
      </c>
      <c r="G45" s="871">
        <v>150.0</v>
      </c>
      <c r="H45" s="852">
        <v>4.0</v>
      </c>
      <c r="I45" s="852" t="s">
        <v>568</v>
      </c>
      <c r="J45" s="872">
        <v>1.0</v>
      </c>
      <c r="K45" s="871">
        <v>600.0</v>
      </c>
      <c r="L45" s="855" t="s">
        <v>41</v>
      </c>
      <c r="M45" s="887">
        <v>20.0</v>
      </c>
      <c r="N45" s="887" t="s">
        <v>569</v>
      </c>
      <c r="O45" s="888">
        <v>400.0</v>
      </c>
      <c r="P45" s="856">
        <v>3010.0</v>
      </c>
      <c r="Q45" s="856" t="s">
        <v>570</v>
      </c>
    </row>
    <row r="46" ht="18.75" customHeight="1">
      <c r="A46" s="899">
        <v>46133.0</v>
      </c>
      <c r="B46" s="890" t="s">
        <v>575</v>
      </c>
      <c r="C46" s="852">
        <v>803.0</v>
      </c>
      <c r="D46" s="870"/>
      <c r="E46" s="851"/>
      <c r="F46" s="851" t="s">
        <v>317</v>
      </c>
      <c r="G46" s="871">
        <v>130.0</v>
      </c>
      <c r="H46" s="852">
        <v>2.0</v>
      </c>
      <c r="I46" s="852" t="s">
        <v>568</v>
      </c>
      <c r="J46" s="872">
        <v>1.0</v>
      </c>
      <c r="K46" s="871">
        <v>260.0</v>
      </c>
      <c r="L46" s="210"/>
      <c r="M46" s="210"/>
      <c r="N46" s="210"/>
      <c r="O46" s="222"/>
      <c r="P46" s="210"/>
      <c r="Q46" s="210"/>
    </row>
    <row r="47" ht="18.75" customHeight="1">
      <c r="A47" s="899">
        <v>46133.0</v>
      </c>
      <c r="B47" s="849" t="s">
        <v>572</v>
      </c>
      <c r="C47" s="850">
        <v>803.0</v>
      </c>
      <c r="D47" s="870"/>
      <c r="E47" s="851"/>
      <c r="F47" s="851" t="s">
        <v>317</v>
      </c>
      <c r="G47" s="871">
        <v>130.0</v>
      </c>
      <c r="H47" s="852">
        <v>4.0</v>
      </c>
      <c r="I47" s="852" t="s">
        <v>568</v>
      </c>
      <c r="J47" s="872">
        <v>1.0</v>
      </c>
      <c r="K47" s="871">
        <v>520.0</v>
      </c>
      <c r="L47" s="235"/>
      <c r="M47" s="235"/>
      <c r="N47" s="235"/>
      <c r="O47" s="217"/>
      <c r="P47" s="235"/>
      <c r="Q47" s="235"/>
    </row>
    <row r="48" ht="18.75" customHeight="1">
      <c r="A48" s="899">
        <v>46133.0</v>
      </c>
      <c r="B48" s="236"/>
      <c r="C48" s="236"/>
      <c r="D48" s="870"/>
      <c r="E48" s="851"/>
      <c r="F48" s="851" t="s">
        <v>317</v>
      </c>
      <c r="G48" s="871">
        <v>150.0</v>
      </c>
      <c r="H48" s="852">
        <v>1.0</v>
      </c>
      <c r="I48" s="852" t="s">
        <v>571</v>
      </c>
      <c r="J48" s="872">
        <v>1.0</v>
      </c>
      <c r="K48" s="871">
        <v>150.0</v>
      </c>
      <c r="L48" s="210"/>
      <c r="M48" s="210"/>
      <c r="N48" s="210"/>
      <c r="O48" s="222"/>
      <c r="P48" s="210"/>
      <c r="Q48" s="210"/>
    </row>
    <row r="49" ht="18.75" customHeight="1">
      <c r="A49" s="899">
        <v>46133.0</v>
      </c>
      <c r="B49" s="890" t="s">
        <v>582</v>
      </c>
      <c r="C49" s="852">
        <v>812.0</v>
      </c>
      <c r="D49" s="870"/>
      <c r="E49" s="851"/>
      <c r="F49" s="851" t="s">
        <v>317</v>
      </c>
      <c r="G49" s="871">
        <v>120.0</v>
      </c>
      <c r="H49" s="852">
        <v>9.0</v>
      </c>
      <c r="I49" s="852" t="s">
        <v>568</v>
      </c>
      <c r="J49" s="872">
        <v>1.0</v>
      </c>
      <c r="K49" s="871">
        <v>1080.0</v>
      </c>
      <c r="L49" s="212"/>
      <c r="M49" s="212"/>
      <c r="N49" s="212"/>
      <c r="O49" s="223"/>
      <c r="P49" s="212"/>
      <c r="Q49" s="212"/>
    </row>
    <row r="50" ht="18.75" customHeight="1">
      <c r="A50" s="899">
        <v>46134.0</v>
      </c>
      <c r="B50" s="890" t="s">
        <v>575</v>
      </c>
      <c r="C50" s="852" t="s">
        <v>583</v>
      </c>
      <c r="D50" s="870"/>
      <c r="E50" s="851"/>
      <c r="F50" s="851" t="s">
        <v>317</v>
      </c>
      <c r="G50" s="871">
        <v>100.0</v>
      </c>
      <c r="H50" s="852">
        <v>19.0</v>
      </c>
      <c r="I50" s="852" t="s">
        <v>568</v>
      </c>
      <c r="J50" s="872">
        <v>1.0</v>
      </c>
      <c r="K50" s="871">
        <v>1900.0</v>
      </c>
      <c r="L50" s="855" t="s">
        <v>573</v>
      </c>
      <c r="M50" s="887">
        <v>26.0</v>
      </c>
      <c r="N50" s="887" t="s">
        <v>584</v>
      </c>
      <c r="O50" s="888">
        <v>650.0</v>
      </c>
      <c r="P50" s="856">
        <v>3270.0</v>
      </c>
      <c r="Q50" s="856" t="s">
        <v>570</v>
      </c>
    </row>
    <row r="51" ht="18.75" customHeight="1">
      <c r="A51" s="899">
        <v>46134.0</v>
      </c>
      <c r="B51" s="890" t="s">
        <v>575</v>
      </c>
      <c r="C51" s="852">
        <v>808.0</v>
      </c>
      <c r="D51" s="870"/>
      <c r="E51" s="851"/>
      <c r="F51" s="851" t="s">
        <v>317</v>
      </c>
      <c r="G51" s="871">
        <v>100.0</v>
      </c>
      <c r="H51" s="852">
        <v>6.0</v>
      </c>
      <c r="I51" s="852" t="s">
        <v>568</v>
      </c>
      <c r="J51" s="872">
        <v>1.0</v>
      </c>
      <c r="K51" s="871">
        <v>600.0</v>
      </c>
      <c r="L51" s="235"/>
      <c r="M51" s="235"/>
      <c r="N51" s="235"/>
      <c r="O51" s="217"/>
      <c r="P51" s="235"/>
      <c r="Q51" s="235"/>
    </row>
    <row r="52" ht="18.75" customHeight="1">
      <c r="A52" s="899">
        <v>46134.0</v>
      </c>
      <c r="B52" s="890" t="s">
        <v>575</v>
      </c>
      <c r="C52" s="852" t="s">
        <v>583</v>
      </c>
      <c r="D52" s="870"/>
      <c r="E52" s="851"/>
      <c r="F52" s="851" t="s">
        <v>317</v>
      </c>
      <c r="G52" s="871">
        <v>120.0</v>
      </c>
      <c r="H52" s="852">
        <v>1.0</v>
      </c>
      <c r="I52" s="852" t="s">
        <v>571</v>
      </c>
      <c r="J52" s="872">
        <v>1.0</v>
      </c>
      <c r="K52" s="871">
        <v>120.0</v>
      </c>
      <c r="L52" s="236"/>
      <c r="M52" s="236"/>
      <c r="N52" s="236"/>
      <c r="O52" s="219"/>
      <c r="P52" s="236"/>
      <c r="Q52" s="236"/>
    </row>
    <row r="53" ht="18.75" customHeight="1">
      <c r="A53" s="899">
        <v>46134.0</v>
      </c>
      <c r="B53" s="890" t="s">
        <v>575</v>
      </c>
      <c r="C53" s="852">
        <v>807.0</v>
      </c>
      <c r="D53" s="870"/>
      <c r="E53" s="851"/>
      <c r="F53" s="851"/>
      <c r="G53" s="871">
        <v>150.0</v>
      </c>
      <c r="H53" s="852">
        <v>6.0</v>
      </c>
      <c r="I53" s="852" t="s">
        <v>568</v>
      </c>
      <c r="J53" s="872">
        <v>1.0</v>
      </c>
      <c r="K53" s="871">
        <v>900.0</v>
      </c>
      <c r="L53" s="855" t="s">
        <v>41</v>
      </c>
      <c r="M53" s="887">
        <v>19.0</v>
      </c>
      <c r="N53" s="887" t="s">
        <v>569</v>
      </c>
      <c r="O53" s="888">
        <v>400.0</v>
      </c>
      <c r="P53" s="856">
        <v>2806.0</v>
      </c>
      <c r="Q53" s="856" t="s">
        <v>570</v>
      </c>
    </row>
    <row r="54" ht="18.75" customHeight="1">
      <c r="A54" s="899">
        <v>46134.0</v>
      </c>
      <c r="B54" s="890" t="s">
        <v>575</v>
      </c>
      <c r="C54" s="852">
        <v>813.0</v>
      </c>
      <c r="D54" s="870"/>
      <c r="E54" s="851"/>
      <c r="F54" s="851" t="s">
        <v>317</v>
      </c>
      <c r="G54" s="871">
        <v>120.0</v>
      </c>
      <c r="H54" s="852">
        <v>10.0</v>
      </c>
      <c r="I54" s="852" t="s">
        <v>568</v>
      </c>
      <c r="J54" s="872">
        <v>1.0</v>
      </c>
      <c r="K54" s="871">
        <v>1200.0</v>
      </c>
      <c r="L54" s="210"/>
      <c r="M54" s="210"/>
      <c r="N54" s="210"/>
      <c r="O54" s="222"/>
      <c r="P54" s="210"/>
      <c r="Q54" s="210"/>
    </row>
    <row r="55" ht="18.75" customHeight="1">
      <c r="A55" s="899">
        <v>46134.0</v>
      </c>
      <c r="B55" s="890" t="s">
        <v>575</v>
      </c>
      <c r="C55" s="852">
        <v>808.0</v>
      </c>
      <c r="D55" s="870"/>
      <c r="E55" s="851"/>
      <c r="F55" s="851" t="s">
        <v>317</v>
      </c>
      <c r="G55" s="871">
        <v>140.0</v>
      </c>
      <c r="H55" s="852">
        <v>1.0</v>
      </c>
      <c r="I55" s="852" t="s">
        <v>568</v>
      </c>
      <c r="J55" s="872">
        <v>1.0</v>
      </c>
      <c r="K55" s="871">
        <v>140.0</v>
      </c>
      <c r="L55" s="235"/>
      <c r="M55" s="235"/>
      <c r="N55" s="235"/>
      <c r="O55" s="217"/>
      <c r="P55" s="235"/>
      <c r="Q55" s="235"/>
    </row>
    <row r="56" ht="18.75" customHeight="1">
      <c r="A56" s="899">
        <v>46134.0</v>
      </c>
      <c r="B56" s="890" t="s">
        <v>582</v>
      </c>
      <c r="C56" s="852">
        <v>813.0</v>
      </c>
      <c r="D56" s="870"/>
      <c r="E56" s="851"/>
      <c r="F56" s="851" t="s">
        <v>317</v>
      </c>
      <c r="G56" s="871">
        <v>50.0</v>
      </c>
      <c r="H56" s="852">
        <v>1.0</v>
      </c>
      <c r="I56" s="852" t="s">
        <v>568</v>
      </c>
      <c r="J56" s="872">
        <v>1.0</v>
      </c>
      <c r="K56" s="871">
        <v>50.0</v>
      </c>
      <c r="L56" s="210"/>
      <c r="M56" s="210"/>
      <c r="N56" s="210"/>
      <c r="O56" s="222"/>
      <c r="P56" s="210"/>
      <c r="Q56" s="210"/>
    </row>
    <row r="57" ht="18.75" customHeight="1">
      <c r="A57" s="899">
        <v>46134.0</v>
      </c>
      <c r="B57" s="890" t="s">
        <v>575</v>
      </c>
      <c r="C57" s="852">
        <v>807.0</v>
      </c>
      <c r="D57" s="870"/>
      <c r="E57" s="851"/>
      <c r="F57" s="851" t="s">
        <v>317</v>
      </c>
      <c r="G57" s="871">
        <v>116.0</v>
      </c>
      <c r="H57" s="852">
        <v>1.0</v>
      </c>
      <c r="I57" s="852" t="s">
        <v>568</v>
      </c>
      <c r="J57" s="872">
        <v>1.0</v>
      </c>
      <c r="K57" s="871">
        <v>116.0</v>
      </c>
      <c r="L57" s="212"/>
      <c r="M57" s="212"/>
      <c r="N57" s="212"/>
      <c r="O57" s="223"/>
      <c r="P57" s="212"/>
      <c r="Q57" s="212"/>
    </row>
    <row r="58" ht="18.75" customHeight="1">
      <c r="A58" s="903">
        <v>46135.0</v>
      </c>
      <c r="B58" s="890" t="s">
        <v>582</v>
      </c>
      <c r="C58" s="852">
        <v>813.0</v>
      </c>
      <c r="D58" s="870"/>
      <c r="E58" s="851"/>
      <c r="F58" s="851" t="s">
        <v>317</v>
      </c>
      <c r="G58" s="871">
        <v>180.0</v>
      </c>
      <c r="H58" s="852">
        <v>2.0</v>
      </c>
      <c r="I58" s="852" t="s">
        <v>568</v>
      </c>
      <c r="J58" s="872">
        <v>1.0</v>
      </c>
      <c r="K58" s="871" t="s">
        <v>389</v>
      </c>
      <c r="L58" s="855" t="s">
        <v>41</v>
      </c>
      <c r="M58" s="887">
        <v>18.0</v>
      </c>
      <c r="N58" s="887" t="s">
        <v>569</v>
      </c>
      <c r="O58" s="888">
        <v>400.0</v>
      </c>
      <c r="P58" s="856">
        <v>3401.0</v>
      </c>
      <c r="Q58" s="856" t="s">
        <v>570</v>
      </c>
    </row>
    <row r="59" ht="18.75" customHeight="1">
      <c r="A59" s="903">
        <v>46135.0</v>
      </c>
      <c r="B59" s="890" t="s">
        <v>572</v>
      </c>
      <c r="C59" s="852">
        <v>811.0</v>
      </c>
      <c r="D59" s="870"/>
      <c r="E59" s="851"/>
      <c r="F59" s="851" t="s">
        <v>317</v>
      </c>
      <c r="G59" s="871">
        <v>200.0</v>
      </c>
      <c r="H59" s="852">
        <v>2.0</v>
      </c>
      <c r="I59" s="852" t="s">
        <v>568</v>
      </c>
      <c r="J59" s="872">
        <v>1.0</v>
      </c>
      <c r="K59" s="871">
        <v>400.0</v>
      </c>
      <c r="L59" s="235"/>
      <c r="M59" s="235"/>
      <c r="N59" s="235"/>
      <c r="O59" s="217"/>
      <c r="P59" s="235"/>
      <c r="Q59" s="235"/>
    </row>
    <row r="60" ht="18.75" customHeight="1">
      <c r="A60" s="903">
        <v>46135.0</v>
      </c>
      <c r="B60" s="890" t="s">
        <v>575</v>
      </c>
      <c r="C60" s="852">
        <v>804.0</v>
      </c>
      <c r="D60" s="870"/>
      <c r="E60" s="851"/>
      <c r="F60" s="851" t="s">
        <v>317</v>
      </c>
      <c r="G60" s="871">
        <v>241.0</v>
      </c>
      <c r="H60" s="852">
        <v>1.0</v>
      </c>
      <c r="I60" s="852" t="s">
        <v>568</v>
      </c>
      <c r="J60" s="872">
        <v>1.0</v>
      </c>
      <c r="K60" s="871">
        <v>241.0</v>
      </c>
      <c r="L60" s="210"/>
      <c r="M60" s="210"/>
      <c r="N60" s="210"/>
      <c r="O60" s="222"/>
      <c r="P60" s="210"/>
      <c r="Q60" s="210"/>
    </row>
    <row r="61" ht="18.75" customHeight="1">
      <c r="A61" s="903">
        <v>46135.0</v>
      </c>
      <c r="B61" s="890" t="s">
        <v>585</v>
      </c>
      <c r="C61" s="852">
        <v>809.0</v>
      </c>
      <c r="D61" s="870"/>
      <c r="E61" s="851"/>
      <c r="F61" s="851" t="s">
        <v>317</v>
      </c>
      <c r="G61" s="871">
        <v>160.0</v>
      </c>
      <c r="H61" s="852">
        <v>3.0</v>
      </c>
      <c r="I61" s="852" t="s">
        <v>568</v>
      </c>
      <c r="J61" s="872">
        <v>1.0</v>
      </c>
      <c r="K61" s="871">
        <v>480.0</v>
      </c>
      <c r="L61" s="235"/>
      <c r="M61" s="235"/>
      <c r="N61" s="235"/>
      <c r="O61" s="217"/>
      <c r="P61" s="235"/>
      <c r="Q61" s="235"/>
    </row>
    <row r="62" ht="18.75" customHeight="1">
      <c r="A62" s="903">
        <v>46135.0</v>
      </c>
      <c r="B62" s="890" t="s">
        <v>572</v>
      </c>
      <c r="C62" s="852">
        <v>812.0</v>
      </c>
      <c r="D62" s="870"/>
      <c r="E62" s="851"/>
      <c r="F62" s="851" t="s">
        <v>317</v>
      </c>
      <c r="G62" s="871">
        <v>132.5</v>
      </c>
      <c r="H62" s="852">
        <v>4.0</v>
      </c>
      <c r="I62" s="852" t="s">
        <v>568</v>
      </c>
      <c r="J62" s="872">
        <v>1.0</v>
      </c>
      <c r="K62" s="871">
        <v>530.0</v>
      </c>
      <c r="L62" s="210"/>
      <c r="M62" s="210"/>
      <c r="N62" s="210"/>
      <c r="O62" s="222"/>
      <c r="P62" s="210"/>
      <c r="Q62" s="210"/>
    </row>
    <row r="63" ht="18.75" customHeight="1">
      <c r="A63" s="903">
        <v>46135.0</v>
      </c>
      <c r="B63" s="890" t="s">
        <v>585</v>
      </c>
      <c r="C63" s="852">
        <v>808.0</v>
      </c>
      <c r="D63" s="870"/>
      <c r="E63" s="851"/>
      <c r="F63" s="851" t="s">
        <v>317</v>
      </c>
      <c r="G63" s="871">
        <v>190.0</v>
      </c>
      <c r="H63" s="852">
        <v>4.0</v>
      </c>
      <c r="I63" s="852" t="s">
        <v>568</v>
      </c>
      <c r="J63" s="872">
        <v>1.0</v>
      </c>
      <c r="K63" s="871">
        <v>760.0</v>
      </c>
      <c r="L63" s="235"/>
      <c r="M63" s="235"/>
      <c r="N63" s="235"/>
      <c r="O63" s="217"/>
      <c r="P63" s="235"/>
      <c r="Q63" s="235"/>
    </row>
    <row r="64" ht="18.75" customHeight="1">
      <c r="A64" s="903">
        <v>46135.0</v>
      </c>
      <c r="B64" s="890" t="s">
        <v>585</v>
      </c>
      <c r="C64" s="852">
        <v>804.0</v>
      </c>
      <c r="D64" s="870"/>
      <c r="E64" s="851"/>
      <c r="F64" s="851" t="s">
        <v>317</v>
      </c>
      <c r="G64" s="871">
        <v>115.0</v>
      </c>
      <c r="H64" s="852">
        <v>2.0</v>
      </c>
      <c r="I64" s="852" t="s">
        <v>568</v>
      </c>
      <c r="J64" s="872">
        <v>1.0</v>
      </c>
      <c r="K64" s="871">
        <v>230.0</v>
      </c>
      <c r="L64" s="236"/>
      <c r="M64" s="236"/>
      <c r="N64" s="236"/>
      <c r="O64" s="219"/>
      <c r="P64" s="236"/>
      <c r="Q64" s="236"/>
    </row>
    <row r="65" ht="18.75" customHeight="1">
      <c r="A65" s="899">
        <v>46136.0</v>
      </c>
      <c r="B65" s="849" t="s">
        <v>585</v>
      </c>
      <c r="C65" s="850">
        <v>804.0</v>
      </c>
      <c r="D65" s="870"/>
      <c r="E65" s="851"/>
      <c r="F65" s="851" t="s">
        <v>317</v>
      </c>
      <c r="G65" s="871">
        <v>100.0</v>
      </c>
      <c r="H65" s="852">
        <v>1.0</v>
      </c>
      <c r="I65" s="852" t="s">
        <v>568</v>
      </c>
      <c r="J65" s="872">
        <v>1.0</v>
      </c>
      <c r="K65" s="871">
        <v>100.0</v>
      </c>
      <c r="L65" s="855" t="s">
        <v>41</v>
      </c>
      <c r="M65" s="887">
        <v>17.0</v>
      </c>
      <c r="N65" s="887" t="s">
        <v>586</v>
      </c>
      <c r="O65" s="888">
        <v>400.0</v>
      </c>
      <c r="P65" s="856">
        <v>3126.0</v>
      </c>
      <c r="Q65" s="856" t="s">
        <v>570</v>
      </c>
    </row>
    <row r="66" ht="18.75" customHeight="1">
      <c r="A66" s="899">
        <v>46136.0</v>
      </c>
      <c r="B66" s="210"/>
      <c r="C66" s="210"/>
      <c r="D66" s="870"/>
      <c r="E66" s="851"/>
      <c r="F66" s="851" t="s">
        <v>317</v>
      </c>
      <c r="G66" s="871">
        <v>116.0</v>
      </c>
      <c r="H66" s="852">
        <v>1.0</v>
      </c>
      <c r="I66" s="852" t="s">
        <v>568</v>
      </c>
      <c r="J66" s="872">
        <v>1.0</v>
      </c>
      <c r="K66" s="871">
        <v>116.0</v>
      </c>
      <c r="L66" s="210"/>
      <c r="M66" s="210"/>
      <c r="N66" s="210"/>
      <c r="O66" s="222"/>
      <c r="P66" s="210"/>
      <c r="Q66" s="210"/>
    </row>
    <row r="67" ht="18.75" customHeight="1">
      <c r="A67" s="899">
        <v>46136.0</v>
      </c>
      <c r="B67" s="235"/>
      <c r="C67" s="235"/>
      <c r="D67" s="870"/>
      <c r="E67" s="851"/>
      <c r="F67" s="851" t="s">
        <v>317</v>
      </c>
      <c r="G67" s="871">
        <v>170.0</v>
      </c>
      <c r="H67" s="852">
        <v>1.0</v>
      </c>
      <c r="I67" s="852" t="s">
        <v>568</v>
      </c>
      <c r="J67" s="872">
        <v>1.0</v>
      </c>
      <c r="K67" s="871">
        <v>170.0</v>
      </c>
      <c r="L67" s="235"/>
      <c r="M67" s="235"/>
      <c r="N67" s="235"/>
      <c r="O67" s="217"/>
      <c r="P67" s="235"/>
      <c r="Q67" s="235"/>
    </row>
    <row r="68" ht="18.75" customHeight="1">
      <c r="A68" s="899">
        <v>46136.0</v>
      </c>
      <c r="B68" s="236"/>
      <c r="C68" s="236"/>
      <c r="D68" s="870"/>
      <c r="E68" s="851"/>
      <c r="F68" s="851" t="s">
        <v>317</v>
      </c>
      <c r="G68" s="871">
        <v>270.0</v>
      </c>
      <c r="H68" s="852">
        <v>1.0</v>
      </c>
      <c r="I68" s="852" t="s">
        <v>568</v>
      </c>
      <c r="J68" s="872">
        <v>1.0</v>
      </c>
      <c r="K68" s="871">
        <v>270.0</v>
      </c>
      <c r="L68" s="210"/>
      <c r="M68" s="210"/>
      <c r="N68" s="210"/>
      <c r="O68" s="222"/>
      <c r="P68" s="210"/>
      <c r="Q68" s="210"/>
    </row>
    <row r="69" ht="18.75" customHeight="1">
      <c r="A69" s="899">
        <v>46136.0</v>
      </c>
      <c r="B69" s="890" t="s">
        <v>585</v>
      </c>
      <c r="C69" s="852">
        <v>811.0</v>
      </c>
      <c r="D69" s="870"/>
      <c r="E69" s="851"/>
      <c r="F69" s="851" t="s">
        <v>317</v>
      </c>
      <c r="G69" s="871">
        <v>240.0</v>
      </c>
      <c r="H69" s="852">
        <v>3.0</v>
      </c>
      <c r="I69" s="852" t="s">
        <v>568</v>
      </c>
      <c r="J69" s="872">
        <v>1.0</v>
      </c>
      <c r="K69" s="871">
        <v>720.0</v>
      </c>
      <c r="L69" s="235"/>
      <c r="M69" s="235"/>
      <c r="N69" s="235"/>
      <c r="O69" s="217"/>
      <c r="P69" s="235"/>
      <c r="Q69" s="235"/>
    </row>
    <row r="70" ht="18.75" customHeight="1">
      <c r="A70" s="899">
        <v>46136.0</v>
      </c>
      <c r="B70" s="890" t="s">
        <v>575</v>
      </c>
      <c r="C70" s="890">
        <v>812.0</v>
      </c>
      <c r="D70" s="870"/>
      <c r="E70" s="851"/>
      <c r="F70" s="851" t="s">
        <v>317</v>
      </c>
      <c r="G70" s="871">
        <v>120.0</v>
      </c>
      <c r="H70" s="852">
        <v>6.0</v>
      </c>
      <c r="I70" s="852" t="s">
        <v>568</v>
      </c>
      <c r="J70" s="872">
        <v>1.0</v>
      </c>
      <c r="K70" s="871">
        <v>720.0</v>
      </c>
      <c r="L70" s="210"/>
      <c r="M70" s="210"/>
      <c r="N70" s="210"/>
      <c r="O70" s="222"/>
      <c r="P70" s="210"/>
      <c r="Q70" s="210"/>
    </row>
    <row r="71" ht="18.75" customHeight="1">
      <c r="A71" s="899">
        <v>46136.0</v>
      </c>
      <c r="B71" s="849" t="s">
        <v>587</v>
      </c>
      <c r="C71" s="849">
        <v>811.0</v>
      </c>
      <c r="D71" s="870"/>
      <c r="E71" s="851"/>
      <c r="F71" s="851" t="s">
        <v>317</v>
      </c>
      <c r="G71" s="871">
        <v>150.0</v>
      </c>
      <c r="H71" s="852">
        <v>1.0</v>
      </c>
      <c r="I71" s="852" t="s">
        <v>568</v>
      </c>
      <c r="J71" s="872">
        <v>1.0</v>
      </c>
      <c r="K71" s="871">
        <v>150.0</v>
      </c>
      <c r="L71" s="235"/>
      <c r="M71" s="235"/>
      <c r="N71" s="235"/>
      <c r="O71" s="217"/>
      <c r="P71" s="235"/>
      <c r="Q71" s="235"/>
    </row>
    <row r="72" ht="18.75" customHeight="1">
      <c r="A72" s="899">
        <v>46136.0</v>
      </c>
      <c r="B72" s="236"/>
      <c r="C72" s="236"/>
      <c r="D72" s="870"/>
      <c r="E72" s="851"/>
      <c r="F72" s="851" t="s">
        <v>317</v>
      </c>
      <c r="G72" s="871">
        <v>144.0</v>
      </c>
      <c r="H72" s="852">
        <v>1.0</v>
      </c>
      <c r="I72" s="852" t="s">
        <v>568</v>
      </c>
      <c r="J72" s="872">
        <v>1.0</v>
      </c>
      <c r="K72" s="871">
        <v>144.0</v>
      </c>
      <c r="L72" s="210"/>
      <c r="M72" s="210"/>
      <c r="N72" s="210"/>
      <c r="O72" s="222"/>
      <c r="P72" s="210"/>
      <c r="Q72" s="210"/>
    </row>
    <row r="73" ht="18.75" customHeight="1">
      <c r="A73" s="899">
        <v>46136.0</v>
      </c>
      <c r="B73" s="849" t="s">
        <v>575</v>
      </c>
      <c r="C73" s="849">
        <v>812.0</v>
      </c>
      <c r="D73" s="870"/>
      <c r="E73" s="851"/>
      <c r="F73" s="851" t="s">
        <v>317</v>
      </c>
      <c r="G73" s="871">
        <v>156.0</v>
      </c>
      <c r="H73" s="852">
        <v>1.0</v>
      </c>
      <c r="I73" s="852" t="s">
        <v>568</v>
      </c>
      <c r="J73" s="872">
        <v>1.0</v>
      </c>
      <c r="K73" s="871">
        <v>156.0</v>
      </c>
      <c r="L73" s="235"/>
      <c r="M73" s="235"/>
      <c r="N73" s="235"/>
      <c r="O73" s="217"/>
      <c r="P73" s="235"/>
      <c r="Q73" s="235"/>
    </row>
    <row r="74" ht="22.5" customHeight="1">
      <c r="A74" s="899">
        <v>46136.0</v>
      </c>
      <c r="B74" s="236"/>
      <c r="C74" s="236"/>
      <c r="D74" s="870"/>
      <c r="E74" s="851"/>
      <c r="F74" s="851" t="s">
        <v>317</v>
      </c>
      <c r="G74" s="871">
        <v>180.0</v>
      </c>
      <c r="H74" s="852">
        <v>1.0</v>
      </c>
      <c r="I74" s="852" t="s">
        <v>568</v>
      </c>
      <c r="J74" s="872">
        <v>1.0</v>
      </c>
      <c r="K74" s="871">
        <v>180.0</v>
      </c>
      <c r="L74" s="236"/>
      <c r="M74" s="236"/>
      <c r="N74" s="236"/>
      <c r="O74" s="219"/>
      <c r="P74" s="236"/>
      <c r="Q74" s="236"/>
    </row>
    <row r="75" ht="22.5" customHeight="1">
      <c r="A75" s="899">
        <v>46137.0</v>
      </c>
      <c r="B75" s="890" t="s">
        <v>585</v>
      </c>
      <c r="C75" s="890">
        <v>809.0</v>
      </c>
      <c r="D75" s="870"/>
      <c r="E75" s="851"/>
      <c r="F75" s="851" t="s">
        <v>317</v>
      </c>
      <c r="G75" s="871">
        <v>200.0</v>
      </c>
      <c r="H75" s="852">
        <v>2.0</v>
      </c>
      <c r="I75" s="852" t="s">
        <v>568</v>
      </c>
      <c r="J75" s="872">
        <v>1.0</v>
      </c>
      <c r="K75" s="871">
        <v>400.0</v>
      </c>
      <c r="L75" s="855" t="s">
        <v>41</v>
      </c>
      <c r="M75" s="887">
        <v>18.0</v>
      </c>
      <c r="N75" s="887" t="s">
        <v>569</v>
      </c>
      <c r="O75" s="888">
        <v>400.0</v>
      </c>
      <c r="P75" s="856">
        <v>3260.0</v>
      </c>
      <c r="Q75" s="856" t="s">
        <v>570</v>
      </c>
    </row>
    <row r="76" ht="22.5" customHeight="1">
      <c r="A76" s="899">
        <v>46137.0</v>
      </c>
      <c r="B76" s="849" t="s">
        <v>575</v>
      </c>
      <c r="C76" s="852">
        <v>809.0</v>
      </c>
      <c r="D76" s="870"/>
      <c r="E76" s="851"/>
      <c r="F76" s="851" t="s">
        <v>317</v>
      </c>
      <c r="G76" s="871">
        <v>150.0</v>
      </c>
      <c r="H76" s="852">
        <v>2.0</v>
      </c>
      <c r="I76" s="852" t="s">
        <v>568</v>
      </c>
      <c r="J76" s="872">
        <v>1.0</v>
      </c>
      <c r="K76" s="871">
        <v>300.0</v>
      </c>
      <c r="L76" s="210"/>
      <c r="M76" s="210"/>
      <c r="N76" s="210"/>
      <c r="O76" s="222"/>
      <c r="P76" s="210"/>
      <c r="Q76" s="210"/>
    </row>
    <row r="77" ht="22.5" customHeight="1">
      <c r="A77" s="899">
        <v>46137.0</v>
      </c>
      <c r="B77" s="235"/>
      <c r="C77" s="850">
        <v>812.0</v>
      </c>
      <c r="D77" s="870"/>
      <c r="E77" s="851"/>
      <c r="F77" s="851" t="s">
        <v>317</v>
      </c>
      <c r="G77" s="871">
        <v>120.0</v>
      </c>
      <c r="H77" s="852">
        <v>4.0</v>
      </c>
      <c r="I77" s="852" t="s">
        <v>568</v>
      </c>
      <c r="J77" s="872">
        <v>1.0</v>
      </c>
      <c r="K77" s="871">
        <v>480.0</v>
      </c>
      <c r="L77" s="235"/>
      <c r="M77" s="235"/>
      <c r="N77" s="235"/>
      <c r="O77" s="217"/>
      <c r="P77" s="235"/>
      <c r="Q77" s="235"/>
    </row>
    <row r="78" ht="22.5" customHeight="1">
      <c r="A78" s="899">
        <v>46137.0</v>
      </c>
      <c r="B78" s="236"/>
      <c r="C78" s="210"/>
      <c r="D78" s="870"/>
      <c r="E78" s="851"/>
      <c r="F78" s="851" t="s">
        <v>317</v>
      </c>
      <c r="G78" s="871">
        <v>144.0</v>
      </c>
      <c r="H78" s="852">
        <v>1.0</v>
      </c>
      <c r="I78" s="852" t="s">
        <v>568</v>
      </c>
      <c r="J78" s="872">
        <v>1.0</v>
      </c>
      <c r="K78" s="871">
        <v>144.0</v>
      </c>
      <c r="L78" s="210"/>
      <c r="M78" s="210"/>
      <c r="N78" s="210"/>
      <c r="O78" s="222"/>
      <c r="P78" s="210"/>
      <c r="Q78" s="210"/>
    </row>
    <row r="79" ht="22.5" customHeight="1">
      <c r="A79" s="899">
        <v>46137.0</v>
      </c>
      <c r="B79" s="849" t="s">
        <v>575</v>
      </c>
      <c r="C79" s="212"/>
      <c r="D79" s="870"/>
      <c r="E79" s="851"/>
      <c r="F79" s="851" t="s">
        <v>317</v>
      </c>
      <c r="G79" s="871">
        <v>136.0</v>
      </c>
      <c r="H79" s="852">
        <v>1.0</v>
      </c>
      <c r="I79" s="852" t="s">
        <v>568</v>
      </c>
      <c r="J79" s="872">
        <v>1.0</v>
      </c>
      <c r="K79" s="871">
        <v>136.0</v>
      </c>
      <c r="L79" s="235"/>
      <c r="M79" s="235"/>
      <c r="N79" s="235"/>
      <c r="O79" s="217"/>
      <c r="P79" s="235"/>
      <c r="Q79" s="235"/>
    </row>
    <row r="80" ht="26.25" customHeight="1">
      <c r="A80" s="899">
        <v>46137.0</v>
      </c>
      <c r="B80" s="236"/>
      <c r="C80" s="852">
        <v>813.0</v>
      </c>
      <c r="D80" s="870"/>
      <c r="E80" s="851"/>
      <c r="F80" s="851" t="s">
        <v>317</v>
      </c>
      <c r="G80" s="871">
        <v>140.0</v>
      </c>
      <c r="H80" s="852">
        <v>10.0</v>
      </c>
      <c r="I80" s="852" t="s">
        <v>568</v>
      </c>
      <c r="J80" s="872">
        <v>1.0</v>
      </c>
      <c r="K80" s="871">
        <v>1400.0</v>
      </c>
      <c r="L80" s="236"/>
      <c r="M80" s="236"/>
      <c r="N80" s="236"/>
      <c r="O80" s="219"/>
      <c r="P80" s="236"/>
      <c r="Q80" s="236"/>
    </row>
    <row r="81" ht="23.25" customHeight="1">
      <c r="A81" s="904">
        <v>46138.0</v>
      </c>
      <c r="B81" s="905" t="s">
        <v>585</v>
      </c>
      <c r="C81" s="906">
        <v>809.0</v>
      </c>
      <c r="D81" s="907"/>
      <c r="E81" s="851"/>
      <c r="F81" s="851" t="s">
        <v>317</v>
      </c>
      <c r="G81" s="908">
        <v>156.0</v>
      </c>
      <c r="H81" s="909">
        <v>1.0</v>
      </c>
      <c r="I81" s="852" t="s">
        <v>568</v>
      </c>
      <c r="J81" s="872">
        <v>1.0</v>
      </c>
      <c r="K81" s="908">
        <v>156.0</v>
      </c>
      <c r="L81" s="910" t="s">
        <v>41</v>
      </c>
      <c r="M81" s="856">
        <v>20.0</v>
      </c>
      <c r="N81" s="856" t="s">
        <v>569</v>
      </c>
      <c r="O81" s="856">
        <v>400.0</v>
      </c>
      <c r="P81" s="911">
        <v>3360.0</v>
      </c>
      <c r="Q81" s="911"/>
    </row>
    <row r="82" ht="23.25" customHeight="1">
      <c r="A82" s="210"/>
      <c r="B82" s="210"/>
      <c r="C82" s="210"/>
      <c r="D82" s="907"/>
      <c r="E82" s="851"/>
      <c r="F82" s="851" t="s">
        <v>317</v>
      </c>
      <c r="G82" s="908">
        <v>150.0</v>
      </c>
      <c r="H82" s="909">
        <v>2.0</v>
      </c>
      <c r="I82" s="852" t="s">
        <v>568</v>
      </c>
      <c r="J82" s="872">
        <v>1.0</v>
      </c>
      <c r="K82" s="908">
        <v>300.0</v>
      </c>
      <c r="L82" s="210"/>
      <c r="M82" s="210"/>
      <c r="N82" s="210"/>
      <c r="O82" s="210"/>
      <c r="P82" s="210"/>
      <c r="Q82" s="210"/>
    </row>
    <row r="83" ht="23.25" customHeight="1">
      <c r="A83" s="235"/>
      <c r="B83" s="235"/>
      <c r="C83" s="235"/>
      <c r="D83" s="907"/>
      <c r="E83" s="851"/>
      <c r="F83" s="851" t="s">
        <v>317</v>
      </c>
      <c r="G83" s="908">
        <v>100.0</v>
      </c>
      <c r="H83" s="909">
        <v>3.0</v>
      </c>
      <c r="I83" s="852" t="s">
        <v>568</v>
      </c>
      <c r="J83" s="872">
        <v>1.0</v>
      </c>
      <c r="K83" s="908">
        <v>300.0</v>
      </c>
      <c r="L83" s="235"/>
      <c r="M83" s="235"/>
      <c r="N83" s="235"/>
      <c r="O83" s="235"/>
      <c r="P83" s="235"/>
      <c r="Q83" s="235"/>
    </row>
    <row r="84" ht="23.25" customHeight="1">
      <c r="A84" s="210"/>
      <c r="B84" s="210"/>
      <c r="C84" s="210"/>
      <c r="D84" s="907"/>
      <c r="E84" s="851"/>
      <c r="F84" s="851" t="s">
        <v>317</v>
      </c>
      <c r="G84" s="908">
        <v>110.0</v>
      </c>
      <c r="H84" s="909">
        <v>1.0</v>
      </c>
      <c r="I84" s="852" t="s">
        <v>568</v>
      </c>
      <c r="J84" s="872">
        <v>1.0</v>
      </c>
      <c r="K84" s="908">
        <v>110.0</v>
      </c>
      <c r="L84" s="210"/>
      <c r="M84" s="210"/>
      <c r="N84" s="210"/>
      <c r="O84" s="210"/>
      <c r="P84" s="210"/>
      <c r="Q84" s="210"/>
    </row>
    <row r="85" ht="23.25" customHeight="1">
      <c r="A85" s="235"/>
      <c r="B85" s="212"/>
      <c r="C85" s="212"/>
      <c r="D85" s="907"/>
      <c r="E85" s="851"/>
      <c r="F85" s="851" t="s">
        <v>317</v>
      </c>
      <c r="G85" s="908">
        <v>170.0</v>
      </c>
      <c r="H85" s="909">
        <v>2.0</v>
      </c>
      <c r="I85" s="852" t="s">
        <v>568</v>
      </c>
      <c r="J85" s="872">
        <v>1.0</v>
      </c>
      <c r="K85" s="908">
        <v>340.0</v>
      </c>
      <c r="L85" s="235"/>
      <c r="M85" s="235"/>
      <c r="N85" s="235"/>
      <c r="O85" s="235"/>
      <c r="P85" s="235"/>
      <c r="Q85" s="235"/>
    </row>
    <row r="86" ht="23.25" customHeight="1">
      <c r="A86" s="210"/>
      <c r="B86" s="905" t="s">
        <v>575</v>
      </c>
      <c r="C86" s="906">
        <v>813.0</v>
      </c>
      <c r="D86" s="907"/>
      <c r="E86" s="851"/>
      <c r="F86" s="851" t="s">
        <v>317</v>
      </c>
      <c r="G86" s="908">
        <v>164.0</v>
      </c>
      <c r="H86" s="909">
        <v>2.0</v>
      </c>
      <c r="I86" s="852" t="s">
        <v>568</v>
      </c>
      <c r="J86" s="872">
        <v>1.0</v>
      </c>
      <c r="K86" s="908">
        <v>328.0</v>
      </c>
      <c r="L86" s="210"/>
      <c r="M86" s="210"/>
      <c r="N86" s="210"/>
      <c r="O86" s="210"/>
      <c r="P86" s="210"/>
      <c r="Q86" s="210"/>
    </row>
    <row r="87" ht="23.25" customHeight="1">
      <c r="A87" s="235"/>
      <c r="B87" s="235"/>
      <c r="C87" s="235"/>
      <c r="D87" s="907"/>
      <c r="E87" s="851"/>
      <c r="F87" s="851" t="s">
        <v>317</v>
      </c>
      <c r="G87" s="908">
        <v>208.0</v>
      </c>
      <c r="H87" s="909">
        <v>1.0</v>
      </c>
      <c r="I87" s="852" t="s">
        <v>568</v>
      </c>
      <c r="J87" s="872">
        <v>1.0</v>
      </c>
      <c r="K87" s="908">
        <v>208.0</v>
      </c>
      <c r="L87" s="235"/>
      <c r="M87" s="235"/>
      <c r="N87" s="235"/>
      <c r="O87" s="235"/>
      <c r="P87" s="235"/>
      <c r="Q87" s="235"/>
    </row>
    <row r="88" ht="23.25" customHeight="1">
      <c r="A88" s="210"/>
      <c r="B88" s="210"/>
      <c r="C88" s="210"/>
      <c r="D88" s="907"/>
      <c r="E88" s="851"/>
      <c r="F88" s="851" t="s">
        <v>317</v>
      </c>
      <c r="G88" s="908">
        <v>120.0</v>
      </c>
      <c r="H88" s="909">
        <v>2.0</v>
      </c>
      <c r="I88" s="852" t="s">
        <v>568</v>
      </c>
      <c r="J88" s="872">
        <v>1.0</v>
      </c>
      <c r="K88" s="908">
        <v>240.0</v>
      </c>
      <c r="L88" s="210"/>
      <c r="M88" s="210"/>
      <c r="N88" s="210"/>
      <c r="O88" s="210"/>
      <c r="P88" s="210"/>
      <c r="Q88" s="210"/>
    </row>
    <row r="89" ht="23.25" customHeight="1">
      <c r="A89" s="235"/>
      <c r="B89" s="235"/>
      <c r="C89" s="235"/>
      <c r="D89" s="907"/>
      <c r="E89" s="851"/>
      <c r="F89" s="851" t="s">
        <v>317</v>
      </c>
      <c r="G89" s="908">
        <v>134.0</v>
      </c>
      <c r="H89" s="909">
        <v>1.0</v>
      </c>
      <c r="I89" s="852" t="s">
        <v>568</v>
      </c>
      <c r="J89" s="872">
        <v>1.0</v>
      </c>
      <c r="K89" s="908">
        <v>134.0</v>
      </c>
      <c r="L89" s="235"/>
      <c r="M89" s="235"/>
      <c r="N89" s="235"/>
      <c r="O89" s="235"/>
      <c r="P89" s="235"/>
      <c r="Q89" s="235"/>
    </row>
    <row r="90" ht="23.25" customHeight="1">
      <c r="A90" s="210"/>
      <c r="B90" s="210"/>
      <c r="C90" s="210"/>
      <c r="D90" s="907"/>
      <c r="E90" s="851"/>
      <c r="F90" s="851" t="s">
        <v>317</v>
      </c>
      <c r="G90" s="908">
        <v>160.0</v>
      </c>
      <c r="H90" s="909">
        <v>3.0</v>
      </c>
      <c r="I90" s="852" t="s">
        <v>568</v>
      </c>
      <c r="J90" s="872">
        <v>1.0</v>
      </c>
      <c r="K90" s="908">
        <v>480.0</v>
      </c>
      <c r="L90" s="210"/>
      <c r="M90" s="210"/>
      <c r="N90" s="210"/>
      <c r="O90" s="210"/>
      <c r="P90" s="210"/>
      <c r="Q90" s="210"/>
    </row>
    <row r="91" ht="23.25" customHeight="1">
      <c r="A91" s="235"/>
      <c r="B91" s="235"/>
      <c r="C91" s="235"/>
      <c r="D91" s="907"/>
      <c r="E91" s="851"/>
      <c r="F91" s="851" t="s">
        <v>317</v>
      </c>
      <c r="G91" s="908">
        <v>180.0</v>
      </c>
      <c r="H91" s="909">
        <v>1.0</v>
      </c>
      <c r="I91" s="852" t="s">
        <v>568</v>
      </c>
      <c r="J91" s="872">
        <v>1.0</v>
      </c>
      <c r="K91" s="908">
        <v>180.0</v>
      </c>
      <c r="L91" s="235"/>
      <c r="M91" s="235"/>
      <c r="N91" s="235"/>
      <c r="O91" s="235"/>
      <c r="P91" s="235"/>
      <c r="Q91" s="235"/>
    </row>
    <row r="92" ht="23.25" customHeight="1">
      <c r="A92" s="236"/>
      <c r="B92" s="236"/>
      <c r="C92" s="236"/>
      <c r="D92" s="907"/>
      <c r="E92" s="851"/>
      <c r="F92" s="851" t="s">
        <v>317</v>
      </c>
      <c r="G92" s="908">
        <v>184.0</v>
      </c>
      <c r="H92" s="909">
        <v>1.0</v>
      </c>
      <c r="I92" s="852" t="s">
        <v>568</v>
      </c>
      <c r="J92" s="872">
        <v>1.0</v>
      </c>
      <c r="K92" s="908">
        <v>184.0</v>
      </c>
      <c r="L92" s="236"/>
      <c r="M92" s="236"/>
      <c r="N92" s="236"/>
      <c r="O92" s="236"/>
      <c r="P92" s="236"/>
      <c r="Q92" s="236"/>
    </row>
    <row r="93" ht="23.25" customHeight="1">
      <c r="A93" s="904">
        <v>46139.0</v>
      </c>
      <c r="B93" s="905" t="s">
        <v>585</v>
      </c>
      <c r="C93" s="909">
        <v>812.0</v>
      </c>
      <c r="D93" s="907"/>
      <c r="E93" s="851"/>
      <c r="F93" s="851" t="s">
        <v>317</v>
      </c>
      <c r="G93" s="908">
        <v>200.0</v>
      </c>
      <c r="H93" s="909">
        <v>3.0</v>
      </c>
      <c r="I93" s="852" t="s">
        <v>568</v>
      </c>
      <c r="J93" s="872">
        <v>1.0</v>
      </c>
      <c r="K93" s="908">
        <v>600.0</v>
      </c>
      <c r="L93" s="910" t="s">
        <v>41</v>
      </c>
      <c r="M93" s="856">
        <v>17.0</v>
      </c>
      <c r="N93" s="856" t="s">
        <v>569</v>
      </c>
      <c r="O93" s="856">
        <v>400.0</v>
      </c>
      <c r="P93" s="912">
        <v>3172.0</v>
      </c>
      <c r="Q93" s="913"/>
    </row>
    <row r="94" ht="23.25" customHeight="1">
      <c r="A94" s="210"/>
      <c r="B94" s="210"/>
      <c r="C94" s="906">
        <v>813.0</v>
      </c>
      <c r="D94" s="907"/>
      <c r="E94" s="851"/>
      <c r="F94" s="851" t="s">
        <v>317</v>
      </c>
      <c r="G94" s="908">
        <v>150.0</v>
      </c>
      <c r="H94" s="909">
        <v>7.0</v>
      </c>
      <c r="I94" s="852" t="s">
        <v>568</v>
      </c>
      <c r="J94" s="872">
        <v>1.0</v>
      </c>
      <c r="K94" s="908">
        <v>1050.0</v>
      </c>
      <c r="L94" s="210"/>
      <c r="M94" s="210"/>
      <c r="N94" s="210"/>
      <c r="O94" s="210"/>
      <c r="P94" s="210"/>
      <c r="Q94" s="210"/>
    </row>
    <row r="95" ht="23.25" customHeight="1">
      <c r="A95" s="235"/>
      <c r="B95" s="235"/>
      <c r="C95" s="212"/>
      <c r="D95" s="907"/>
      <c r="E95" s="851"/>
      <c r="F95" s="851" t="s">
        <v>317</v>
      </c>
      <c r="G95" s="908">
        <v>170.0</v>
      </c>
      <c r="H95" s="909">
        <v>1.0</v>
      </c>
      <c r="I95" s="852" t="s">
        <v>568</v>
      </c>
      <c r="J95" s="872">
        <v>1.0</v>
      </c>
      <c r="K95" s="908">
        <v>170.0</v>
      </c>
      <c r="L95" s="235"/>
      <c r="M95" s="235"/>
      <c r="N95" s="235"/>
      <c r="O95" s="235"/>
      <c r="P95" s="235"/>
      <c r="Q95" s="235"/>
    </row>
    <row r="96" ht="23.25" customHeight="1">
      <c r="A96" s="210"/>
      <c r="B96" s="210"/>
      <c r="C96" s="906">
        <v>812.0</v>
      </c>
      <c r="D96" s="907"/>
      <c r="E96" s="851"/>
      <c r="F96" s="851" t="s">
        <v>317</v>
      </c>
      <c r="G96" s="908">
        <v>120.0</v>
      </c>
      <c r="H96" s="909">
        <v>1.0</v>
      </c>
      <c r="I96" s="852" t="s">
        <v>568</v>
      </c>
      <c r="J96" s="872">
        <v>1.0</v>
      </c>
      <c r="K96" s="908">
        <v>120.0</v>
      </c>
      <c r="L96" s="210"/>
      <c r="M96" s="210"/>
      <c r="N96" s="210"/>
      <c r="O96" s="210"/>
      <c r="P96" s="210"/>
      <c r="Q96" s="210"/>
    </row>
    <row r="97" ht="23.25" customHeight="1">
      <c r="A97" s="235"/>
      <c r="B97" s="235"/>
      <c r="C97" s="235"/>
      <c r="D97" s="907"/>
      <c r="E97" s="851"/>
      <c r="F97" s="851" t="s">
        <v>317</v>
      </c>
      <c r="G97" s="908">
        <v>144.0</v>
      </c>
      <c r="H97" s="909">
        <v>2.0</v>
      </c>
      <c r="I97" s="852" t="s">
        <v>568</v>
      </c>
      <c r="J97" s="872">
        <v>1.0</v>
      </c>
      <c r="K97" s="908">
        <v>288.0</v>
      </c>
      <c r="L97" s="235"/>
      <c r="M97" s="235"/>
      <c r="N97" s="235"/>
      <c r="O97" s="235"/>
      <c r="P97" s="235"/>
      <c r="Q97" s="235"/>
    </row>
    <row r="98" ht="23.25" customHeight="1">
      <c r="A98" s="210"/>
      <c r="B98" s="210"/>
      <c r="C98" s="210"/>
      <c r="D98" s="914"/>
      <c r="E98" s="855"/>
      <c r="F98" s="851" t="s">
        <v>317</v>
      </c>
      <c r="G98" s="915">
        <v>208.0</v>
      </c>
      <c r="H98" s="906">
        <v>1.0</v>
      </c>
      <c r="I98" s="852" t="s">
        <v>568</v>
      </c>
      <c r="J98" s="872">
        <v>1.0</v>
      </c>
      <c r="K98" s="915">
        <v>208.0</v>
      </c>
      <c r="L98" s="210"/>
      <c r="M98" s="210"/>
      <c r="N98" s="210"/>
      <c r="O98" s="210"/>
      <c r="P98" s="210"/>
      <c r="Q98" s="210"/>
    </row>
    <row r="99" ht="23.25" customHeight="1">
      <c r="A99" s="235"/>
      <c r="B99" s="235"/>
      <c r="C99" s="235"/>
      <c r="D99" s="907"/>
      <c r="E99" s="851"/>
      <c r="F99" s="851" t="s">
        <v>317</v>
      </c>
      <c r="G99" s="908">
        <v>184.0</v>
      </c>
      <c r="H99" s="909">
        <v>1.0</v>
      </c>
      <c r="I99" s="852" t="s">
        <v>568</v>
      </c>
      <c r="J99" s="872">
        <v>1.0</v>
      </c>
      <c r="K99" s="908">
        <v>184.0</v>
      </c>
      <c r="L99" s="235"/>
      <c r="M99" s="235"/>
      <c r="N99" s="235"/>
      <c r="O99" s="235"/>
      <c r="P99" s="235"/>
      <c r="Q99" s="235"/>
    </row>
    <row r="100" ht="23.25" customHeight="1">
      <c r="A100" s="236"/>
      <c r="B100" s="236"/>
      <c r="C100" s="236"/>
      <c r="D100" s="907"/>
      <c r="E100" s="851"/>
      <c r="F100" s="851" t="s">
        <v>317</v>
      </c>
      <c r="G100" s="908">
        <v>152.0</v>
      </c>
      <c r="H100" s="909">
        <v>1.0</v>
      </c>
      <c r="I100" s="852" t="s">
        <v>568</v>
      </c>
      <c r="J100" s="872">
        <v>1.0</v>
      </c>
      <c r="K100" s="908">
        <v>152.0</v>
      </c>
      <c r="L100" s="236"/>
      <c r="M100" s="236"/>
      <c r="N100" s="236"/>
      <c r="O100" s="236"/>
      <c r="P100" s="236"/>
      <c r="Q100" s="236"/>
    </row>
    <row r="101" ht="13.5" customHeight="1">
      <c r="A101" s="916"/>
      <c r="B101" s="917"/>
      <c r="C101" s="918"/>
      <c r="D101" s="919"/>
      <c r="E101" s="920"/>
      <c r="F101" s="920"/>
      <c r="G101" s="920"/>
      <c r="H101" s="918"/>
      <c r="I101" s="918"/>
      <c r="J101" s="921"/>
      <c r="K101" s="920"/>
      <c r="L101" s="922"/>
      <c r="M101" s="920"/>
      <c r="N101" s="920"/>
      <c r="O101" s="920"/>
      <c r="P101" s="923"/>
      <c r="Q101" s="923"/>
    </row>
    <row r="102" ht="33.0" customHeight="1">
      <c r="A102" s="566">
        <v>46176.0</v>
      </c>
      <c r="B102" s="21" t="s">
        <v>26</v>
      </c>
      <c r="C102" s="40">
        <v>810.0</v>
      </c>
      <c r="D102" s="377"/>
      <c r="E102" s="72" t="s">
        <v>588</v>
      </c>
      <c r="F102" s="11" t="s">
        <v>317</v>
      </c>
      <c r="G102" s="582"/>
      <c r="H102" s="553">
        <v>9.0</v>
      </c>
      <c r="I102" s="14" t="s">
        <v>568</v>
      </c>
      <c r="J102" s="924">
        <v>1.0</v>
      </c>
      <c r="K102" s="582"/>
      <c r="L102" s="607" t="s">
        <v>23</v>
      </c>
      <c r="M102" s="610">
        <v>10.0</v>
      </c>
      <c r="N102" s="610"/>
      <c r="O102" s="610"/>
      <c r="P102" s="570"/>
      <c r="Q102" s="570"/>
    </row>
    <row r="103" ht="33.0" customHeight="1">
      <c r="A103" s="20"/>
      <c r="B103" s="20"/>
      <c r="C103" s="20"/>
      <c r="D103" s="377"/>
      <c r="E103" s="20"/>
      <c r="F103" s="11" t="s">
        <v>317</v>
      </c>
      <c r="G103" s="584"/>
      <c r="H103" s="561">
        <v>1.0</v>
      </c>
      <c r="I103" s="14" t="s">
        <v>571</v>
      </c>
      <c r="J103" s="924">
        <v>1.0</v>
      </c>
      <c r="K103" s="584"/>
      <c r="L103" s="20"/>
      <c r="M103" s="20"/>
      <c r="N103" s="20"/>
      <c r="O103" s="20"/>
      <c r="P103" s="20"/>
      <c r="Q103" s="20"/>
    </row>
    <row r="104" ht="33.0" customHeight="1">
      <c r="A104" s="566">
        <v>46178.0</v>
      </c>
      <c r="B104" s="21" t="s">
        <v>26</v>
      </c>
      <c r="C104" s="40">
        <v>813.0</v>
      </c>
      <c r="D104" s="33"/>
      <c r="E104" s="72" t="s">
        <v>588</v>
      </c>
      <c r="F104" s="11" t="s">
        <v>317</v>
      </c>
      <c r="G104" s="582"/>
      <c r="H104" s="553">
        <v>15.0</v>
      </c>
      <c r="I104" s="14" t="s">
        <v>568</v>
      </c>
      <c r="J104" s="924">
        <v>1.0</v>
      </c>
      <c r="K104" s="582"/>
      <c r="L104" s="607" t="s">
        <v>23</v>
      </c>
      <c r="M104" s="610">
        <v>16.0</v>
      </c>
      <c r="N104" s="610"/>
      <c r="O104" s="610"/>
      <c r="P104" s="570"/>
      <c r="Q104" s="570"/>
    </row>
    <row r="105" ht="33.0" customHeight="1">
      <c r="A105" s="20"/>
      <c r="B105" s="20"/>
      <c r="C105" s="20"/>
      <c r="D105" s="20"/>
      <c r="E105" s="20"/>
      <c r="F105" s="11" t="s">
        <v>317</v>
      </c>
      <c r="G105" s="584"/>
      <c r="H105" s="561">
        <v>1.0</v>
      </c>
      <c r="I105" s="14" t="s">
        <v>571</v>
      </c>
      <c r="J105" s="924">
        <v>1.0</v>
      </c>
      <c r="K105" s="584"/>
      <c r="L105" s="20"/>
      <c r="M105" s="20"/>
      <c r="N105" s="20"/>
      <c r="O105" s="20"/>
      <c r="P105" s="20"/>
      <c r="Q105" s="20"/>
    </row>
    <row r="106" ht="33.0" customHeight="1">
      <c r="A106" s="566">
        <v>46179.0</v>
      </c>
      <c r="B106" s="21" t="s">
        <v>26</v>
      </c>
      <c r="C106" s="40">
        <v>811.0</v>
      </c>
      <c r="D106" s="33"/>
      <c r="E106" s="72" t="s">
        <v>588</v>
      </c>
      <c r="F106" s="11" t="s">
        <v>317</v>
      </c>
      <c r="G106" s="582"/>
      <c r="H106" s="553">
        <v>1.0</v>
      </c>
      <c r="I106" s="14" t="s">
        <v>571</v>
      </c>
      <c r="J106" s="924">
        <v>1.0</v>
      </c>
      <c r="K106" s="582"/>
      <c r="L106" s="607" t="s">
        <v>23</v>
      </c>
      <c r="M106" s="610">
        <v>17.0</v>
      </c>
      <c r="N106" s="610"/>
      <c r="O106" s="610"/>
      <c r="P106" s="570"/>
      <c r="Q106" s="570"/>
    </row>
    <row r="107" ht="33.0" customHeight="1">
      <c r="A107" s="20"/>
      <c r="B107" s="20"/>
      <c r="C107" s="20"/>
      <c r="D107" s="20"/>
      <c r="E107" s="20"/>
      <c r="F107" s="11" t="s">
        <v>317</v>
      </c>
      <c r="G107" s="584"/>
      <c r="H107" s="561">
        <v>16.0</v>
      </c>
      <c r="I107" s="14" t="s">
        <v>568</v>
      </c>
      <c r="J107" s="924">
        <v>1.0</v>
      </c>
      <c r="K107" s="584"/>
      <c r="L107" s="20"/>
      <c r="M107" s="20"/>
      <c r="N107" s="20"/>
      <c r="O107" s="20"/>
      <c r="P107" s="20"/>
      <c r="Q107" s="20"/>
    </row>
    <row r="108" ht="33.0" customHeight="1">
      <c r="A108" s="566">
        <v>46180.0</v>
      </c>
      <c r="B108" s="21" t="s">
        <v>26</v>
      </c>
      <c r="C108" s="40">
        <v>811.0</v>
      </c>
      <c r="D108" s="33"/>
      <c r="E108" s="72" t="s">
        <v>588</v>
      </c>
      <c r="F108" s="11" t="s">
        <v>317</v>
      </c>
      <c r="G108" s="582"/>
      <c r="H108" s="553">
        <v>1.0</v>
      </c>
      <c r="I108" s="14" t="s">
        <v>568</v>
      </c>
      <c r="J108" s="924">
        <v>1.0</v>
      </c>
      <c r="K108" s="582"/>
      <c r="L108" s="607" t="s">
        <v>23</v>
      </c>
      <c r="M108" s="610">
        <v>25.0</v>
      </c>
      <c r="N108" s="610"/>
      <c r="O108" s="610"/>
      <c r="P108" s="570"/>
      <c r="Q108" s="570"/>
    </row>
    <row r="109" ht="33.0" customHeight="1">
      <c r="A109" s="20"/>
      <c r="B109" s="20"/>
      <c r="C109" s="20"/>
      <c r="D109" s="20"/>
      <c r="E109" s="20"/>
      <c r="F109" s="11" t="s">
        <v>317</v>
      </c>
      <c r="G109" s="584"/>
      <c r="H109" s="561">
        <v>24.0</v>
      </c>
      <c r="I109" s="14" t="s">
        <v>568</v>
      </c>
      <c r="J109" s="924">
        <v>1.0</v>
      </c>
      <c r="K109" s="584"/>
      <c r="L109" s="20"/>
      <c r="M109" s="20"/>
      <c r="N109" s="20"/>
      <c r="O109" s="20"/>
      <c r="P109" s="20"/>
      <c r="Q109" s="20"/>
    </row>
    <row r="110" ht="33.0" customHeight="1">
      <c r="A110" s="566">
        <v>46272.0</v>
      </c>
      <c r="B110" s="21" t="s">
        <v>589</v>
      </c>
      <c r="C110" s="40">
        <v>813.0</v>
      </c>
      <c r="D110" s="33"/>
      <c r="E110" s="610" t="s">
        <v>590</v>
      </c>
      <c r="F110" s="11" t="s">
        <v>317</v>
      </c>
      <c r="G110" s="582">
        <v>105.0</v>
      </c>
      <c r="H110" s="553">
        <v>1.0</v>
      </c>
      <c r="I110" s="14" t="s">
        <v>571</v>
      </c>
      <c r="J110" s="924">
        <v>1.0</v>
      </c>
      <c r="K110" s="582">
        <v>105.0</v>
      </c>
      <c r="L110" s="607" t="s">
        <v>23</v>
      </c>
      <c r="M110" s="610">
        <v>21.0</v>
      </c>
      <c r="N110" s="610">
        <v>30.0</v>
      </c>
      <c r="O110" s="610">
        <v>630.0</v>
      </c>
      <c r="P110" s="570">
        <v>2485.0</v>
      </c>
      <c r="Q110" s="558"/>
    </row>
    <row r="111" ht="33.0" customHeight="1">
      <c r="A111" s="29"/>
      <c r="B111" s="29"/>
      <c r="C111" s="29"/>
      <c r="D111" s="29"/>
      <c r="E111" s="20"/>
      <c r="F111" s="11" t="s">
        <v>317</v>
      </c>
      <c r="G111" s="584">
        <v>87.5</v>
      </c>
      <c r="H111" s="561">
        <v>20.0</v>
      </c>
      <c r="I111" s="14" t="s">
        <v>568</v>
      </c>
      <c r="J111" s="924">
        <v>1.0</v>
      </c>
      <c r="K111" s="584">
        <v>1750.0</v>
      </c>
      <c r="L111" s="20"/>
      <c r="M111" s="20"/>
      <c r="N111" s="20"/>
      <c r="O111" s="20"/>
      <c r="P111" s="20"/>
      <c r="Q111" s="565"/>
    </row>
    <row r="112" ht="33.0" customHeight="1">
      <c r="A112" s="58"/>
      <c r="B112" s="58"/>
      <c r="C112" s="58"/>
      <c r="D112" s="58"/>
      <c r="E112" s="925" t="s">
        <v>591</v>
      </c>
      <c r="F112" s="11" t="s">
        <v>317</v>
      </c>
      <c r="G112" s="582">
        <v>87.5</v>
      </c>
      <c r="H112" s="553">
        <v>6.0</v>
      </c>
      <c r="I112" s="14" t="s">
        <v>568</v>
      </c>
      <c r="J112" s="924">
        <v>1.0</v>
      </c>
      <c r="K112" s="582">
        <v>525.0</v>
      </c>
      <c r="L112" s="551" t="s">
        <v>592</v>
      </c>
      <c r="M112" s="582">
        <v>6.0</v>
      </c>
      <c r="N112" s="582">
        <v>39.0</v>
      </c>
      <c r="O112" s="582">
        <v>234.0</v>
      </c>
      <c r="P112" s="926">
        <v>759.0</v>
      </c>
      <c r="Q112" s="558"/>
    </row>
    <row r="113" ht="33.0" customHeight="1">
      <c r="A113" s="559"/>
      <c r="B113" s="383"/>
      <c r="C113" s="561"/>
      <c r="D113" s="377"/>
      <c r="E113" s="584"/>
      <c r="F113" s="584"/>
      <c r="G113" s="584"/>
      <c r="H113" s="561"/>
      <c r="I113" s="561"/>
      <c r="J113" s="602"/>
      <c r="K113" s="584"/>
      <c r="L113" s="560"/>
      <c r="M113" s="584"/>
      <c r="N113" s="584"/>
      <c r="O113" s="584"/>
      <c r="P113" s="565"/>
      <c r="Q113" s="565"/>
    </row>
    <row r="114" ht="33.0" customHeight="1">
      <c r="A114" s="549"/>
      <c r="B114" s="383"/>
      <c r="C114" s="553"/>
      <c r="D114" s="377"/>
      <c r="E114" s="582"/>
      <c r="F114" s="582"/>
      <c r="G114" s="582"/>
      <c r="H114" s="553"/>
      <c r="I114" s="553"/>
      <c r="J114" s="594"/>
      <c r="K114" s="582"/>
      <c r="L114" s="551"/>
      <c r="M114" s="582"/>
      <c r="N114" s="582"/>
      <c r="O114" s="582"/>
      <c r="P114" s="558"/>
      <c r="Q114" s="558"/>
    </row>
    <row r="115" ht="33.0" customHeight="1">
      <c r="A115" s="559"/>
      <c r="B115" s="383"/>
      <c r="C115" s="561"/>
      <c r="D115" s="377"/>
      <c r="E115" s="584"/>
      <c r="F115" s="584"/>
      <c r="G115" s="584"/>
      <c r="H115" s="561"/>
      <c r="I115" s="561"/>
      <c r="J115" s="602"/>
      <c r="K115" s="584"/>
      <c r="L115" s="560"/>
      <c r="M115" s="584"/>
      <c r="N115" s="584"/>
      <c r="O115" s="584"/>
      <c r="P115" s="565"/>
      <c r="Q115" s="565"/>
    </row>
    <row r="116" ht="33.0" customHeight="1">
      <c r="A116" s="549"/>
      <c r="B116" s="383"/>
      <c r="C116" s="553"/>
      <c r="D116" s="377"/>
      <c r="E116" s="582"/>
      <c r="F116" s="582"/>
      <c r="G116" s="582"/>
      <c r="H116" s="553"/>
      <c r="I116" s="553"/>
      <c r="J116" s="594"/>
      <c r="K116" s="582"/>
      <c r="L116" s="551"/>
      <c r="M116" s="582"/>
      <c r="N116" s="582"/>
      <c r="O116" s="582"/>
      <c r="P116" s="558"/>
      <c r="Q116" s="558"/>
    </row>
    <row r="117" ht="33.0" customHeight="1">
      <c r="A117" s="559"/>
      <c r="B117" s="383"/>
      <c r="C117" s="561"/>
      <c r="D117" s="377"/>
      <c r="E117" s="584"/>
      <c r="F117" s="584"/>
      <c r="G117" s="584"/>
      <c r="H117" s="561"/>
      <c r="I117" s="561"/>
      <c r="J117" s="602"/>
      <c r="K117" s="584"/>
      <c r="L117" s="560"/>
      <c r="M117" s="584"/>
      <c r="N117" s="584"/>
      <c r="O117" s="584"/>
      <c r="P117" s="565"/>
      <c r="Q117" s="565"/>
    </row>
    <row r="118" ht="33.0" customHeight="1">
      <c r="A118" s="549"/>
      <c r="B118" s="383"/>
      <c r="C118" s="553"/>
      <c r="D118" s="377"/>
      <c r="E118" s="582"/>
      <c r="F118" s="582"/>
      <c r="G118" s="582"/>
      <c r="H118" s="553"/>
      <c r="I118" s="553"/>
      <c r="J118" s="594"/>
      <c r="K118" s="582"/>
      <c r="L118" s="551"/>
      <c r="M118" s="582"/>
      <c r="N118" s="582"/>
      <c r="O118" s="582"/>
      <c r="P118" s="558"/>
      <c r="Q118" s="558"/>
    </row>
    <row r="119" ht="33.0" customHeight="1">
      <c r="A119" s="559"/>
      <c r="B119" s="383"/>
      <c r="C119" s="561"/>
      <c r="D119" s="377"/>
      <c r="E119" s="584"/>
      <c r="F119" s="584"/>
      <c r="G119" s="584"/>
      <c r="H119" s="561"/>
      <c r="I119" s="561"/>
      <c r="J119" s="602"/>
      <c r="K119" s="584"/>
      <c r="L119" s="560"/>
      <c r="M119" s="584"/>
      <c r="N119" s="584"/>
      <c r="O119" s="584"/>
      <c r="P119" s="565"/>
      <c r="Q119" s="565"/>
    </row>
    <row r="120" ht="33.0" customHeight="1">
      <c r="A120" s="549"/>
      <c r="B120" s="383"/>
      <c r="C120" s="553"/>
      <c r="D120" s="377"/>
      <c r="E120" s="582"/>
      <c r="F120" s="582"/>
      <c r="G120" s="582"/>
      <c r="H120" s="553"/>
      <c r="I120" s="553"/>
      <c r="J120" s="594"/>
      <c r="K120" s="582"/>
      <c r="L120" s="551"/>
      <c r="M120" s="582"/>
      <c r="N120" s="582"/>
      <c r="O120" s="582"/>
      <c r="P120" s="558"/>
      <c r="Q120" s="558"/>
    </row>
    <row r="121" ht="33.0" customHeight="1">
      <c r="A121" s="559"/>
      <c r="B121" s="383"/>
      <c r="C121" s="561"/>
      <c r="D121" s="377"/>
      <c r="E121" s="584"/>
      <c r="F121" s="584"/>
      <c r="G121" s="584"/>
      <c r="H121" s="561"/>
      <c r="I121" s="561"/>
      <c r="J121" s="602"/>
      <c r="K121" s="584"/>
      <c r="L121" s="560"/>
      <c r="M121" s="584"/>
      <c r="N121" s="584"/>
      <c r="O121" s="584"/>
      <c r="P121" s="565"/>
      <c r="Q121" s="565"/>
    </row>
    <row r="122" ht="33.0" customHeight="1">
      <c r="A122" s="549"/>
      <c r="B122" s="383"/>
      <c r="C122" s="553"/>
      <c r="D122" s="377"/>
      <c r="E122" s="582"/>
      <c r="F122" s="582"/>
      <c r="G122" s="582"/>
      <c r="H122" s="553"/>
      <c r="I122" s="553"/>
      <c r="J122" s="594"/>
      <c r="K122" s="582"/>
      <c r="L122" s="551"/>
      <c r="M122" s="582"/>
      <c r="N122" s="582"/>
      <c r="O122" s="582"/>
      <c r="P122" s="558"/>
      <c r="Q122" s="558"/>
    </row>
    <row r="123" ht="33.0" customHeight="1">
      <c r="A123" s="559"/>
      <c r="B123" s="383"/>
      <c r="C123" s="561"/>
      <c r="D123" s="377"/>
      <c r="E123" s="584"/>
      <c r="F123" s="584"/>
      <c r="G123" s="584"/>
      <c r="H123" s="561"/>
      <c r="I123" s="561"/>
      <c r="J123" s="602"/>
      <c r="K123" s="584"/>
      <c r="L123" s="560"/>
      <c r="M123" s="584"/>
      <c r="N123" s="584"/>
      <c r="O123" s="584"/>
      <c r="P123" s="565"/>
      <c r="Q123" s="565"/>
    </row>
    <row r="124" ht="33.0" customHeight="1">
      <c r="A124" s="549"/>
      <c r="B124" s="383"/>
      <c r="C124" s="553"/>
      <c r="D124" s="377"/>
      <c r="E124" s="582"/>
      <c r="F124" s="582"/>
      <c r="G124" s="582"/>
      <c r="H124" s="553"/>
      <c r="I124" s="553"/>
      <c r="J124" s="594"/>
      <c r="K124" s="582"/>
      <c r="L124" s="551"/>
      <c r="M124" s="582"/>
      <c r="N124" s="582"/>
      <c r="O124" s="582"/>
      <c r="P124" s="558"/>
      <c r="Q124" s="558"/>
    </row>
    <row r="125" ht="33.0" customHeight="1">
      <c r="A125" s="559"/>
      <c r="B125" s="383"/>
      <c r="C125" s="561"/>
      <c r="D125" s="377"/>
      <c r="E125" s="584"/>
      <c r="F125" s="584"/>
      <c r="G125" s="584"/>
      <c r="H125" s="561"/>
      <c r="I125" s="561"/>
      <c r="J125" s="602"/>
      <c r="K125" s="584"/>
      <c r="L125" s="560"/>
      <c r="M125" s="584"/>
      <c r="N125" s="584"/>
      <c r="O125" s="584"/>
      <c r="P125" s="565"/>
      <c r="Q125" s="565"/>
    </row>
    <row r="126" ht="33.0" customHeight="1">
      <c r="A126" s="549"/>
      <c r="B126" s="383"/>
      <c r="C126" s="553"/>
      <c r="D126" s="377"/>
      <c r="E126" s="582"/>
      <c r="F126" s="582"/>
      <c r="G126" s="582"/>
      <c r="H126" s="553"/>
      <c r="I126" s="553"/>
      <c r="J126" s="594"/>
      <c r="K126" s="582"/>
      <c r="L126" s="551"/>
      <c r="M126" s="582"/>
      <c r="N126" s="582"/>
      <c r="O126" s="582"/>
      <c r="P126" s="558"/>
      <c r="Q126" s="558"/>
    </row>
    <row r="127" ht="33.0" customHeight="1">
      <c r="A127" s="559"/>
      <c r="B127" s="383"/>
      <c r="C127" s="561"/>
      <c r="D127" s="377"/>
      <c r="E127" s="584"/>
      <c r="F127" s="584"/>
      <c r="G127" s="584"/>
      <c r="H127" s="561"/>
      <c r="I127" s="561"/>
      <c r="J127" s="602"/>
      <c r="K127" s="584"/>
      <c r="L127" s="560"/>
      <c r="M127" s="584"/>
      <c r="N127" s="584"/>
      <c r="O127" s="584"/>
      <c r="P127" s="565"/>
      <c r="Q127" s="565"/>
    </row>
    <row r="128" ht="33.0" customHeight="1">
      <c r="A128" s="549"/>
      <c r="B128" s="383"/>
      <c r="C128" s="553"/>
      <c r="D128" s="377"/>
      <c r="E128" s="582"/>
      <c r="F128" s="582"/>
      <c r="G128" s="582"/>
      <c r="H128" s="553"/>
      <c r="I128" s="553"/>
      <c r="J128" s="594"/>
      <c r="K128" s="582"/>
      <c r="L128" s="551"/>
      <c r="M128" s="582"/>
      <c r="N128" s="582"/>
      <c r="O128" s="582"/>
      <c r="P128" s="558"/>
      <c r="Q128" s="558"/>
    </row>
    <row r="129" ht="33.0" customHeight="1">
      <c r="A129" s="559"/>
      <c r="B129" s="383"/>
      <c r="C129" s="561"/>
      <c r="D129" s="377"/>
      <c r="E129" s="584"/>
      <c r="F129" s="584"/>
      <c r="G129" s="584"/>
      <c r="H129" s="561"/>
      <c r="I129" s="561"/>
      <c r="J129" s="602"/>
      <c r="K129" s="584"/>
      <c r="L129" s="560"/>
      <c r="M129" s="584"/>
      <c r="N129" s="584"/>
      <c r="O129" s="584"/>
      <c r="P129" s="565"/>
      <c r="Q129" s="565"/>
    </row>
    <row r="130" ht="33.0" customHeight="1">
      <c r="A130" s="549"/>
      <c r="B130" s="383"/>
      <c r="C130" s="553"/>
      <c r="D130" s="377"/>
      <c r="E130" s="582"/>
      <c r="F130" s="582"/>
      <c r="G130" s="582"/>
      <c r="H130" s="553"/>
      <c r="I130" s="553"/>
      <c r="J130" s="594"/>
      <c r="K130" s="582"/>
      <c r="L130" s="551"/>
      <c r="M130" s="582"/>
      <c r="N130" s="582"/>
      <c r="O130" s="582"/>
      <c r="P130" s="558"/>
      <c r="Q130" s="558"/>
    </row>
    <row r="131" ht="33.0" customHeight="1">
      <c r="A131" s="559"/>
      <c r="B131" s="383"/>
      <c r="C131" s="561"/>
      <c r="D131" s="377"/>
      <c r="E131" s="584"/>
      <c r="F131" s="584"/>
      <c r="G131" s="584"/>
      <c r="H131" s="561"/>
      <c r="I131" s="561"/>
      <c r="J131" s="602"/>
      <c r="K131" s="584"/>
      <c r="L131" s="560"/>
      <c r="M131" s="584"/>
      <c r="N131" s="584"/>
      <c r="O131" s="584"/>
      <c r="P131" s="565"/>
      <c r="Q131" s="565"/>
    </row>
    <row r="132" ht="33.0" customHeight="1">
      <c r="A132" s="549"/>
      <c r="B132" s="383"/>
      <c r="C132" s="553"/>
      <c r="D132" s="377"/>
      <c r="E132" s="582"/>
      <c r="F132" s="582"/>
      <c r="G132" s="582"/>
      <c r="H132" s="553"/>
      <c r="I132" s="553"/>
      <c r="J132" s="594"/>
      <c r="K132" s="582"/>
      <c r="L132" s="551"/>
      <c r="M132" s="582"/>
      <c r="N132" s="582"/>
      <c r="O132" s="582"/>
      <c r="P132" s="558"/>
      <c r="Q132" s="558"/>
    </row>
    <row r="133" ht="33.0" customHeight="1">
      <c r="A133" s="559"/>
      <c r="B133" s="383"/>
      <c r="C133" s="561"/>
      <c r="D133" s="377"/>
      <c r="E133" s="584"/>
      <c r="F133" s="584"/>
      <c r="G133" s="584"/>
      <c r="H133" s="561"/>
      <c r="I133" s="561"/>
      <c r="J133" s="602"/>
      <c r="K133" s="584"/>
      <c r="L133" s="560"/>
      <c r="M133" s="584"/>
      <c r="N133" s="584"/>
      <c r="O133" s="584"/>
      <c r="P133" s="565"/>
      <c r="Q133" s="565"/>
    </row>
    <row r="134" ht="33.0" customHeight="1">
      <c r="A134" s="549"/>
      <c r="B134" s="383"/>
      <c r="C134" s="553"/>
      <c r="D134" s="377"/>
      <c r="E134" s="582"/>
      <c r="F134" s="582"/>
      <c r="G134" s="582"/>
      <c r="H134" s="553"/>
      <c r="I134" s="553"/>
      <c r="J134" s="594"/>
      <c r="K134" s="582"/>
      <c r="L134" s="551"/>
      <c r="M134" s="582"/>
      <c r="N134" s="582"/>
      <c r="O134" s="582"/>
      <c r="P134" s="558"/>
      <c r="Q134" s="558"/>
    </row>
    <row r="135" ht="33.0" customHeight="1">
      <c r="A135" s="559"/>
      <c r="B135" s="383"/>
      <c r="C135" s="561"/>
      <c r="D135" s="377"/>
      <c r="E135" s="584"/>
      <c r="F135" s="584"/>
      <c r="G135" s="584"/>
      <c r="H135" s="561"/>
      <c r="I135" s="561"/>
      <c r="J135" s="602"/>
      <c r="K135" s="584"/>
      <c r="L135" s="560"/>
      <c r="M135" s="584"/>
      <c r="N135" s="584"/>
      <c r="O135" s="584"/>
      <c r="P135" s="565"/>
      <c r="Q135" s="565"/>
    </row>
    <row r="136" ht="33.0" customHeight="1">
      <c r="A136" s="549"/>
      <c r="B136" s="383"/>
      <c r="C136" s="553"/>
      <c r="D136" s="377"/>
      <c r="E136" s="582"/>
      <c r="F136" s="582"/>
      <c r="G136" s="582"/>
      <c r="H136" s="553"/>
      <c r="I136" s="553"/>
      <c r="J136" s="594"/>
      <c r="K136" s="582"/>
      <c r="L136" s="551"/>
      <c r="M136" s="582"/>
      <c r="N136" s="582"/>
      <c r="O136" s="582"/>
      <c r="P136" s="558"/>
      <c r="Q136" s="558"/>
    </row>
    <row r="137" ht="33.0" customHeight="1">
      <c r="A137" s="559"/>
      <c r="B137" s="383"/>
      <c r="C137" s="561"/>
      <c r="D137" s="377"/>
      <c r="E137" s="584"/>
      <c r="F137" s="584"/>
      <c r="G137" s="584"/>
      <c r="H137" s="561"/>
      <c r="I137" s="561"/>
      <c r="J137" s="602"/>
      <c r="K137" s="584"/>
      <c r="L137" s="560"/>
      <c r="M137" s="584"/>
      <c r="N137" s="584"/>
      <c r="O137" s="584"/>
      <c r="P137" s="565"/>
      <c r="Q137" s="565"/>
    </row>
    <row r="138" ht="33.0" customHeight="1">
      <c r="A138" s="549"/>
      <c r="B138" s="383"/>
      <c r="C138" s="553"/>
      <c r="D138" s="377"/>
      <c r="E138" s="582"/>
      <c r="F138" s="582"/>
      <c r="G138" s="582"/>
      <c r="H138" s="553"/>
      <c r="I138" s="553"/>
      <c r="J138" s="594"/>
      <c r="K138" s="582"/>
      <c r="L138" s="551"/>
      <c r="M138" s="582"/>
      <c r="N138" s="582"/>
      <c r="O138" s="582"/>
      <c r="P138" s="558"/>
      <c r="Q138" s="558"/>
    </row>
    <row r="139" ht="33.0" customHeight="1">
      <c r="A139" s="559"/>
      <c r="B139" s="383"/>
      <c r="C139" s="561"/>
      <c r="D139" s="377"/>
      <c r="E139" s="584"/>
      <c r="F139" s="584"/>
      <c r="G139" s="584"/>
      <c r="H139" s="561"/>
      <c r="I139" s="561"/>
      <c r="J139" s="602"/>
      <c r="K139" s="584"/>
      <c r="L139" s="560"/>
      <c r="M139" s="584"/>
      <c r="N139" s="584"/>
      <c r="O139" s="584"/>
      <c r="P139" s="565"/>
      <c r="Q139" s="565"/>
    </row>
    <row r="140" ht="33.0" customHeight="1">
      <c r="A140" s="549"/>
      <c r="B140" s="383"/>
      <c r="C140" s="553"/>
      <c r="D140" s="377"/>
      <c r="E140" s="582"/>
      <c r="F140" s="582"/>
      <c r="G140" s="582"/>
      <c r="H140" s="553"/>
      <c r="I140" s="553"/>
      <c r="J140" s="594"/>
      <c r="K140" s="582"/>
      <c r="L140" s="551"/>
      <c r="M140" s="582"/>
      <c r="N140" s="582"/>
      <c r="O140" s="582"/>
      <c r="P140" s="558"/>
      <c r="Q140" s="558"/>
    </row>
    <row r="141" ht="33.0" customHeight="1">
      <c r="A141" s="559"/>
      <c r="B141" s="383"/>
      <c r="C141" s="561"/>
      <c r="D141" s="377"/>
      <c r="E141" s="584"/>
      <c r="F141" s="584"/>
      <c r="G141" s="584"/>
      <c r="H141" s="561"/>
      <c r="I141" s="561"/>
      <c r="J141" s="602"/>
      <c r="K141" s="584"/>
      <c r="L141" s="560"/>
      <c r="M141" s="584"/>
      <c r="N141" s="584"/>
      <c r="O141" s="584"/>
      <c r="P141" s="565"/>
      <c r="Q141" s="565"/>
    </row>
    <row r="142" ht="33.0" customHeight="1">
      <c r="A142" s="549"/>
      <c r="B142" s="383"/>
      <c r="C142" s="553"/>
      <c r="D142" s="377"/>
      <c r="E142" s="582"/>
      <c r="F142" s="582"/>
      <c r="G142" s="582"/>
      <c r="H142" s="553"/>
      <c r="I142" s="553"/>
      <c r="J142" s="594"/>
      <c r="K142" s="582"/>
      <c r="L142" s="551"/>
      <c r="M142" s="582"/>
      <c r="N142" s="582"/>
      <c r="O142" s="582"/>
      <c r="P142" s="558"/>
      <c r="Q142" s="558"/>
    </row>
    <row r="143" ht="33.0" customHeight="1">
      <c r="A143" s="559"/>
      <c r="B143" s="383"/>
      <c r="C143" s="561"/>
      <c r="D143" s="377"/>
      <c r="E143" s="584"/>
      <c r="F143" s="584"/>
      <c r="G143" s="584"/>
      <c r="H143" s="561"/>
      <c r="I143" s="561"/>
      <c r="J143" s="602"/>
      <c r="K143" s="584"/>
      <c r="L143" s="560"/>
      <c r="M143" s="584"/>
      <c r="N143" s="584"/>
      <c r="O143" s="584"/>
      <c r="P143" s="565"/>
      <c r="Q143" s="565"/>
    </row>
    <row r="144" ht="33.0" customHeight="1">
      <c r="A144" s="549"/>
      <c r="B144" s="383"/>
      <c r="C144" s="553"/>
      <c r="D144" s="377"/>
      <c r="E144" s="582"/>
      <c r="F144" s="582"/>
      <c r="G144" s="582"/>
      <c r="H144" s="553"/>
      <c r="I144" s="553"/>
      <c r="J144" s="594"/>
      <c r="K144" s="582"/>
      <c r="L144" s="551"/>
      <c r="M144" s="582"/>
      <c r="N144" s="582"/>
      <c r="O144" s="582"/>
      <c r="P144" s="558"/>
      <c r="Q144" s="558"/>
    </row>
    <row r="145" ht="33.0" customHeight="1">
      <c r="A145" s="559"/>
      <c r="B145" s="383"/>
      <c r="C145" s="561"/>
      <c r="D145" s="377"/>
      <c r="E145" s="584"/>
      <c r="F145" s="584"/>
      <c r="G145" s="584"/>
      <c r="H145" s="561"/>
      <c r="I145" s="561"/>
      <c r="J145" s="602"/>
      <c r="K145" s="584"/>
      <c r="L145" s="560"/>
      <c r="M145" s="584"/>
      <c r="N145" s="584"/>
      <c r="O145" s="584"/>
      <c r="P145" s="565"/>
      <c r="Q145" s="565"/>
    </row>
    <row r="146" ht="33.0" customHeight="1">
      <c r="A146" s="549"/>
      <c r="B146" s="383"/>
      <c r="C146" s="553"/>
      <c r="D146" s="377"/>
      <c r="E146" s="582"/>
      <c r="F146" s="582"/>
      <c r="G146" s="582"/>
      <c r="H146" s="553"/>
      <c r="I146" s="553"/>
      <c r="J146" s="594"/>
      <c r="K146" s="582"/>
      <c r="L146" s="551"/>
      <c r="M146" s="582"/>
      <c r="N146" s="582"/>
      <c r="O146" s="582"/>
      <c r="P146" s="558"/>
      <c r="Q146" s="558"/>
    </row>
    <row r="147" ht="33.0" customHeight="1">
      <c r="A147" s="559"/>
      <c r="B147" s="383"/>
      <c r="C147" s="561"/>
      <c r="D147" s="377"/>
      <c r="E147" s="584"/>
      <c r="F147" s="584"/>
      <c r="G147" s="584"/>
      <c r="H147" s="561"/>
      <c r="I147" s="561"/>
      <c r="J147" s="602"/>
      <c r="K147" s="584"/>
      <c r="L147" s="560"/>
      <c r="M147" s="584"/>
      <c r="N147" s="584"/>
      <c r="O147" s="584"/>
      <c r="P147" s="565"/>
      <c r="Q147" s="565"/>
    </row>
    <row r="148" ht="33.0" customHeight="1">
      <c r="A148" s="549"/>
      <c r="B148" s="383"/>
      <c r="C148" s="553"/>
      <c r="D148" s="377"/>
      <c r="E148" s="582"/>
      <c r="F148" s="582"/>
      <c r="G148" s="582"/>
      <c r="H148" s="553"/>
      <c r="I148" s="553"/>
      <c r="J148" s="594"/>
      <c r="K148" s="582"/>
      <c r="L148" s="551"/>
      <c r="M148" s="582"/>
      <c r="N148" s="582"/>
      <c r="O148" s="582"/>
      <c r="P148" s="558"/>
      <c r="Q148" s="558"/>
    </row>
    <row r="149" ht="33.0" customHeight="1">
      <c r="A149" s="559"/>
      <c r="B149" s="383"/>
      <c r="C149" s="561"/>
      <c r="D149" s="377"/>
      <c r="E149" s="584"/>
      <c r="F149" s="584"/>
      <c r="G149" s="584"/>
      <c r="H149" s="561"/>
      <c r="I149" s="561"/>
      <c r="J149" s="602"/>
      <c r="K149" s="584"/>
      <c r="L149" s="560"/>
      <c r="M149" s="584"/>
      <c r="N149" s="584"/>
      <c r="O149" s="584"/>
      <c r="P149" s="565"/>
      <c r="Q149" s="565"/>
    </row>
    <row r="150" ht="33.0" customHeight="1">
      <c r="A150" s="549"/>
      <c r="B150" s="383"/>
      <c r="C150" s="553"/>
      <c r="D150" s="377"/>
      <c r="E150" s="582"/>
      <c r="F150" s="582"/>
      <c r="G150" s="582"/>
      <c r="H150" s="553"/>
      <c r="I150" s="553"/>
      <c r="J150" s="594"/>
      <c r="K150" s="582"/>
      <c r="L150" s="551"/>
      <c r="M150" s="582"/>
      <c r="N150" s="582"/>
      <c r="O150" s="582"/>
      <c r="P150" s="558"/>
      <c r="Q150" s="558"/>
    </row>
    <row r="151" ht="33.0" customHeight="1">
      <c r="A151" s="559"/>
      <c r="B151" s="383"/>
      <c r="C151" s="561"/>
      <c r="D151" s="377"/>
      <c r="E151" s="584"/>
      <c r="F151" s="584"/>
      <c r="G151" s="584"/>
      <c r="H151" s="561"/>
      <c r="I151" s="561"/>
      <c r="J151" s="602"/>
      <c r="K151" s="584"/>
      <c r="L151" s="560"/>
      <c r="M151" s="584"/>
      <c r="N151" s="584"/>
      <c r="O151" s="584"/>
      <c r="P151" s="565"/>
      <c r="Q151" s="565"/>
    </row>
    <row r="152" ht="33.0" customHeight="1">
      <c r="A152" s="549"/>
      <c r="B152" s="383"/>
      <c r="C152" s="553"/>
      <c r="D152" s="377"/>
      <c r="E152" s="582"/>
      <c r="F152" s="582"/>
      <c r="G152" s="582"/>
      <c r="H152" s="553"/>
      <c r="I152" s="553"/>
      <c r="J152" s="594"/>
      <c r="K152" s="582"/>
      <c r="L152" s="551"/>
      <c r="M152" s="582"/>
      <c r="N152" s="582"/>
      <c r="O152" s="582"/>
      <c r="P152" s="558"/>
      <c r="Q152" s="558"/>
    </row>
    <row r="153" ht="33.0" customHeight="1">
      <c r="A153" s="559"/>
      <c r="B153" s="383"/>
      <c r="C153" s="561"/>
      <c r="D153" s="377"/>
      <c r="E153" s="584"/>
      <c r="F153" s="584"/>
      <c r="G153" s="584"/>
      <c r="H153" s="561"/>
      <c r="I153" s="561"/>
      <c r="J153" s="602"/>
      <c r="K153" s="584"/>
      <c r="L153" s="560"/>
      <c r="M153" s="584"/>
      <c r="N153" s="584"/>
      <c r="O153" s="584"/>
      <c r="P153" s="565"/>
      <c r="Q153" s="565"/>
    </row>
    <row r="154" ht="33.0" customHeight="1">
      <c r="A154" s="549"/>
      <c r="B154" s="383"/>
      <c r="C154" s="553"/>
      <c r="D154" s="377"/>
      <c r="E154" s="582"/>
      <c r="F154" s="582"/>
      <c r="G154" s="582"/>
      <c r="H154" s="553"/>
      <c r="I154" s="553"/>
      <c r="J154" s="594"/>
      <c r="K154" s="582"/>
      <c r="L154" s="551"/>
      <c r="M154" s="582"/>
      <c r="N154" s="582"/>
      <c r="O154" s="582"/>
      <c r="P154" s="558"/>
      <c r="Q154" s="558"/>
    </row>
    <row r="155" ht="33.0" customHeight="1">
      <c r="A155" s="559"/>
      <c r="B155" s="383"/>
      <c r="C155" s="561"/>
      <c r="D155" s="377"/>
      <c r="E155" s="584"/>
      <c r="F155" s="584"/>
      <c r="G155" s="584"/>
      <c r="H155" s="561"/>
      <c r="I155" s="561"/>
      <c r="J155" s="602"/>
      <c r="K155" s="584"/>
      <c r="L155" s="560"/>
      <c r="M155" s="584"/>
      <c r="N155" s="584"/>
      <c r="O155" s="584"/>
      <c r="P155" s="565"/>
      <c r="Q155" s="565"/>
    </row>
    <row r="156" ht="33.0" customHeight="1">
      <c r="A156" s="549"/>
      <c r="B156" s="383"/>
      <c r="C156" s="553"/>
      <c r="D156" s="377"/>
      <c r="E156" s="582"/>
      <c r="F156" s="582"/>
      <c r="G156" s="582"/>
      <c r="H156" s="553"/>
      <c r="I156" s="553"/>
      <c r="J156" s="594"/>
      <c r="K156" s="582"/>
      <c r="L156" s="551"/>
      <c r="M156" s="582"/>
      <c r="N156" s="582"/>
      <c r="O156" s="582"/>
      <c r="P156" s="558"/>
      <c r="Q156" s="558"/>
    </row>
    <row r="157" ht="33.0" customHeight="1">
      <c r="A157" s="559"/>
      <c r="B157" s="383"/>
      <c r="C157" s="561"/>
      <c r="D157" s="377"/>
      <c r="E157" s="584"/>
      <c r="F157" s="584"/>
      <c r="G157" s="584"/>
      <c r="H157" s="561"/>
      <c r="I157" s="561"/>
      <c r="J157" s="602"/>
      <c r="K157" s="584"/>
      <c r="L157" s="560"/>
      <c r="M157" s="584"/>
      <c r="N157" s="584"/>
      <c r="O157" s="584"/>
      <c r="P157" s="565"/>
      <c r="Q157" s="565"/>
    </row>
    <row r="158" ht="33.0" customHeight="1">
      <c r="A158" s="549"/>
      <c r="B158" s="383"/>
      <c r="C158" s="553"/>
      <c r="D158" s="377"/>
      <c r="E158" s="582"/>
      <c r="F158" s="582"/>
      <c r="G158" s="582"/>
      <c r="H158" s="553"/>
      <c r="I158" s="553"/>
      <c r="J158" s="594"/>
      <c r="K158" s="582"/>
      <c r="L158" s="551"/>
      <c r="M158" s="582"/>
      <c r="N158" s="582"/>
      <c r="O158" s="582"/>
      <c r="P158" s="558"/>
      <c r="Q158" s="558"/>
    </row>
    <row r="159" ht="33.0" customHeight="1">
      <c r="A159" s="559"/>
      <c r="B159" s="383"/>
      <c r="C159" s="561"/>
      <c r="D159" s="377"/>
      <c r="E159" s="584"/>
      <c r="F159" s="584"/>
      <c r="G159" s="584"/>
      <c r="H159" s="561"/>
      <c r="I159" s="561"/>
      <c r="J159" s="602"/>
      <c r="K159" s="584"/>
      <c r="L159" s="560"/>
      <c r="M159" s="584"/>
      <c r="N159" s="584"/>
      <c r="O159" s="584"/>
      <c r="P159" s="565"/>
      <c r="Q159" s="565"/>
    </row>
    <row r="160" ht="33.0" customHeight="1">
      <c r="A160" s="549"/>
      <c r="B160" s="383"/>
      <c r="C160" s="553"/>
      <c r="D160" s="377"/>
      <c r="E160" s="582"/>
      <c r="F160" s="582"/>
      <c r="G160" s="582"/>
      <c r="H160" s="553"/>
      <c r="I160" s="553"/>
      <c r="J160" s="594"/>
      <c r="K160" s="582"/>
      <c r="L160" s="551"/>
      <c r="M160" s="582"/>
      <c r="N160" s="582"/>
      <c r="O160" s="582"/>
      <c r="P160" s="558"/>
      <c r="Q160" s="558"/>
    </row>
    <row r="161" ht="33.0" customHeight="1">
      <c r="A161" s="559"/>
      <c r="B161" s="383"/>
      <c r="C161" s="561"/>
      <c r="D161" s="377"/>
      <c r="E161" s="584"/>
      <c r="F161" s="584"/>
      <c r="G161" s="584"/>
      <c r="H161" s="561"/>
      <c r="I161" s="561"/>
      <c r="J161" s="602"/>
      <c r="K161" s="584"/>
      <c r="L161" s="560"/>
      <c r="M161" s="584"/>
      <c r="N161" s="584"/>
      <c r="O161" s="584"/>
      <c r="P161" s="565"/>
      <c r="Q161" s="565"/>
    </row>
    <row r="162" ht="33.0" customHeight="1">
      <c r="A162" s="549"/>
      <c r="B162" s="383"/>
      <c r="C162" s="553"/>
      <c r="D162" s="377"/>
      <c r="E162" s="582"/>
      <c r="F162" s="582"/>
      <c r="G162" s="582"/>
      <c r="H162" s="553"/>
      <c r="I162" s="553"/>
      <c r="J162" s="594"/>
      <c r="K162" s="582"/>
      <c r="L162" s="551"/>
      <c r="M162" s="582"/>
      <c r="N162" s="582"/>
      <c r="O162" s="582"/>
      <c r="P162" s="558"/>
      <c r="Q162" s="558"/>
    </row>
    <row r="163" ht="33.0" customHeight="1">
      <c r="A163" s="559"/>
      <c r="B163" s="383"/>
      <c r="C163" s="561"/>
      <c r="D163" s="377"/>
      <c r="E163" s="584"/>
      <c r="F163" s="584"/>
      <c r="G163" s="584"/>
      <c r="H163" s="561"/>
      <c r="I163" s="561"/>
      <c r="J163" s="602"/>
      <c r="K163" s="584"/>
      <c r="L163" s="560"/>
      <c r="M163" s="584"/>
      <c r="N163" s="584"/>
      <c r="O163" s="584"/>
      <c r="P163" s="565"/>
      <c r="Q163" s="565"/>
    </row>
    <row r="164" ht="33.0" customHeight="1">
      <c r="A164" s="549"/>
      <c r="B164" s="383"/>
      <c r="C164" s="553"/>
      <c r="D164" s="377"/>
      <c r="E164" s="582"/>
      <c r="F164" s="582"/>
      <c r="G164" s="582"/>
      <c r="H164" s="553"/>
      <c r="I164" s="553"/>
      <c r="J164" s="594"/>
      <c r="K164" s="582"/>
      <c r="L164" s="551"/>
      <c r="M164" s="582"/>
      <c r="N164" s="582"/>
      <c r="O164" s="582"/>
      <c r="P164" s="558"/>
      <c r="Q164" s="558"/>
    </row>
    <row r="165" ht="33.0" customHeight="1">
      <c r="A165" s="811"/>
      <c r="B165" s="927"/>
      <c r="C165" s="817"/>
      <c r="D165" s="928"/>
      <c r="E165" s="816"/>
      <c r="F165" s="816"/>
      <c r="G165" s="816"/>
      <c r="H165" s="817"/>
      <c r="I165" s="817"/>
      <c r="J165" s="818"/>
      <c r="K165" s="816"/>
      <c r="L165" s="815"/>
      <c r="M165" s="816"/>
      <c r="N165" s="816"/>
      <c r="O165" s="816"/>
      <c r="P165" s="821"/>
      <c r="Q165" s="821"/>
    </row>
    <row r="166" ht="33.0" customHeight="1">
      <c r="A166" s="822"/>
      <c r="B166" s="927"/>
      <c r="C166" s="826"/>
      <c r="D166" s="928"/>
      <c r="E166" s="825"/>
      <c r="F166" s="825"/>
      <c r="G166" s="825"/>
      <c r="H166" s="826"/>
      <c r="I166" s="826"/>
      <c r="J166" s="827"/>
      <c r="K166" s="825"/>
      <c r="L166" s="824"/>
      <c r="M166" s="825"/>
      <c r="N166" s="825"/>
      <c r="O166" s="825"/>
      <c r="P166" s="830"/>
      <c r="Q166" s="830"/>
    </row>
    <row r="167" ht="33.0" customHeight="1">
      <c r="A167" s="811"/>
      <c r="B167" s="927"/>
      <c r="C167" s="817"/>
      <c r="D167" s="928"/>
      <c r="E167" s="816"/>
      <c r="F167" s="816"/>
      <c r="G167" s="816"/>
      <c r="H167" s="817"/>
      <c r="I167" s="817"/>
      <c r="J167" s="818"/>
      <c r="K167" s="816"/>
      <c r="L167" s="815"/>
      <c r="M167" s="816"/>
      <c r="N167" s="816"/>
      <c r="O167" s="816"/>
      <c r="P167" s="821"/>
      <c r="Q167" s="821"/>
    </row>
    <row r="168" ht="33.0" customHeight="1">
      <c r="A168" s="822"/>
      <c r="B168" s="927"/>
      <c r="C168" s="826"/>
      <c r="D168" s="928"/>
      <c r="E168" s="825"/>
      <c r="F168" s="825"/>
      <c r="G168" s="825"/>
      <c r="H168" s="826"/>
      <c r="I168" s="826"/>
      <c r="J168" s="827"/>
      <c r="K168" s="825"/>
      <c r="L168" s="824"/>
      <c r="M168" s="825"/>
      <c r="N168" s="825"/>
      <c r="O168" s="825"/>
      <c r="P168" s="830"/>
      <c r="Q168" s="830"/>
    </row>
    <row r="169" ht="33.0" customHeight="1">
      <c r="A169" s="811"/>
      <c r="B169" s="927"/>
      <c r="C169" s="817"/>
      <c r="D169" s="928"/>
      <c r="E169" s="816"/>
      <c r="F169" s="816"/>
      <c r="G169" s="816"/>
      <c r="H169" s="817"/>
      <c r="I169" s="817"/>
      <c r="J169" s="818"/>
      <c r="K169" s="816"/>
      <c r="L169" s="815"/>
      <c r="M169" s="816"/>
      <c r="N169" s="816"/>
      <c r="O169" s="816"/>
      <c r="P169" s="821"/>
      <c r="Q169" s="821"/>
    </row>
    <row r="170" ht="33.0" customHeight="1">
      <c r="A170" s="822"/>
      <c r="B170" s="927"/>
      <c r="C170" s="826"/>
      <c r="D170" s="928"/>
      <c r="E170" s="825"/>
      <c r="F170" s="825"/>
      <c r="G170" s="825"/>
      <c r="H170" s="826"/>
      <c r="I170" s="826"/>
      <c r="J170" s="827"/>
      <c r="K170" s="825"/>
      <c r="L170" s="824"/>
      <c r="M170" s="825"/>
      <c r="N170" s="825"/>
      <c r="O170" s="825"/>
      <c r="P170" s="830"/>
      <c r="Q170" s="830"/>
    </row>
    <row r="171" ht="33.0" customHeight="1">
      <c r="A171" s="811"/>
      <c r="B171" s="927"/>
      <c r="C171" s="817"/>
      <c r="D171" s="928"/>
      <c r="E171" s="816"/>
      <c r="F171" s="816"/>
      <c r="G171" s="816"/>
      <c r="H171" s="817"/>
      <c r="I171" s="817"/>
      <c r="J171" s="818"/>
      <c r="K171" s="816"/>
      <c r="L171" s="815"/>
      <c r="M171" s="816"/>
      <c r="N171" s="816"/>
      <c r="O171" s="816"/>
      <c r="P171" s="821"/>
      <c r="Q171" s="821"/>
    </row>
    <row r="172" ht="33.0" customHeight="1">
      <c r="A172" s="822"/>
      <c r="B172" s="927"/>
      <c r="C172" s="826"/>
      <c r="D172" s="928"/>
      <c r="E172" s="825"/>
      <c r="F172" s="825"/>
      <c r="G172" s="825"/>
      <c r="H172" s="826"/>
      <c r="I172" s="826"/>
      <c r="J172" s="827"/>
      <c r="K172" s="825"/>
      <c r="L172" s="824"/>
      <c r="M172" s="825"/>
      <c r="N172" s="825"/>
      <c r="O172" s="825"/>
      <c r="P172" s="830"/>
      <c r="Q172" s="830"/>
    </row>
    <row r="173" ht="33.0" customHeight="1">
      <c r="A173" s="811"/>
      <c r="B173" s="927"/>
      <c r="C173" s="817"/>
      <c r="D173" s="928"/>
      <c r="E173" s="816"/>
      <c r="F173" s="816"/>
      <c r="G173" s="816"/>
      <c r="H173" s="817"/>
      <c r="I173" s="817"/>
      <c r="J173" s="818"/>
      <c r="K173" s="816"/>
      <c r="L173" s="815"/>
      <c r="M173" s="816"/>
      <c r="N173" s="816"/>
      <c r="O173" s="816"/>
      <c r="P173" s="821"/>
      <c r="Q173" s="821"/>
    </row>
    <row r="174" ht="33.0" customHeight="1">
      <c r="A174" s="822"/>
      <c r="B174" s="927"/>
      <c r="C174" s="826"/>
      <c r="D174" s="928"/>
      <c r="E174" s="825"/>
      <c r="F174" s="825"/>
      <c r="G174" s="825"/>
      <c r="H174" s="826"/>
      <c r="I174" s="826"/>
      <c r="J174" s="827"/>
      <c r="K174" s="825"/>
      <c r="L174" s="824"/>
      <c r="M174" s="825"/>
      <c r="N174" s="825"/>
      <c r="O174" s="825"/>
      <c r="P174" s="830"/>
      <c r="Q174" s="830"/>
    </row>
    <row r="175" ht="33.0" customHeight="1">
      <c r="A175" s="811"/>
      <c r="B175" s="927"/>
      <c r="C175" s="817"/>
      <c r="D175" s="928"/>
      <c r="E175" s="816"/>
      <c r="F175" s="816"/>
      <c r="G175" s="816"/>
      <c r="H175" s="817"/>
      <c r="I175" s="817"/>
      <c r="J175" s="818"/>
      <c r="K175" s="816"/>
      <c r="L175" s="815"/>
      <c r="M175" s="816"/>
      <c r="N175" s="816"/>
      <c r="O175" s="816"/>
      <c r="P175" s="821"/>
      <c r="Q175" s="821"/>
    </row>
    <row r="176" ht="33.0" customHeight="1">
      <c r="A176" s="822"/>
      <c r="B176" s="927"/>
      <c r="C176" s="826"/>
      <c r="D176" s="928"/>
      <c r="E176" s="825"/>
      <c r="F176" s="825"/>
      <c r="G176" s="825"/>
      <c r="H176" s="826"/>
      <c r="I176" s="826"/>
      <c r="J176" s="827"/>
      <c r="K176" s="825"/>
      <c r="L176" s="824"/>
      <c r="M176" s="825"/>
      <c r="N176" s="825"/>
      <c r="O176" s="825"/>
      <c r="P176" s="830"/>
      <c r="Q176" s="830"/>
    </row>
    <row r="177" ht="33.0" customHeight="1">
      <c r="A177" s="811"/>
      <c r="B177" s="927"/>
      <c r="C177" s="817"/>
      <c r="D177" s="928"/>
      <c r="E177" s="816"/>
      <c r="F177" s="816"/>
      <c r="G177" s="816"/>
      <c r="H177" s="817"/>
      <c r="I177" s="817"/>
      <c r="J177" s="818"/>
      <c r="K177" s="816"/>
      <c r="L177" s="815"/>
      <c r="M177" s="816"/>
      <c r="N177" s="816"/>
      <c r="O177" s="816"/>
      <c r="P177" s="821"/>
      <c r="Q177" s="821"/>
    </row>
    <row r="178" ht="33.0" customHeight="1">
      <c r="A178" s="822"/>
      <c r="B178" s="927"/>
      <c r="C178" s="826"/>
      <c r="D178" s="928"/>
      <c r="E178" s="825"/>
      <c r="F178" s="825"/>
      <c r="G178" s="825"/>
      <c r="H178" s="826"/>
      <c r="I178" s="826"/>
      <c r="J178" s="827"/>
      <c r="K178" s="825"/>
      <c r="L178" s="824"/>
      <c r="M178" s="825"/>
      <c r="N178" s="825"/>
      <c r="O178" s="825"/>
      <c r="P178" s="830"/>
      <c r="Q178" s="830"/>
    </row>
    <row r="179" ht="33.0" customHeight="1">
      <c r="A179" s="811"/>
      <c r="B179" s="927"/>
      <c r="C179" s="817"/>
      <c r="D179" s="928"/>
      <c r="E179" s="816"/>
      <c r="F179" s="816"/>
      <c r="G179" s="816"/>
      <c r="H179" s="817"/>
      <c r="I179" s="817"/>
      <c r="J179" s="818"/>
      <c r="K179" s="816"/>
      <c r="L179" s="815"/>
      <c r="M179" s="816"/>
      <c r="N179" s="816"/>
      <c r="O179" s="816"/>
      <c r="P179" s="821"/>
      <c r="Q179" s="821"/>
    </row>
    <row r="180" ht="33.0" customHeight="1">
      <c r="A180" s="822"/>
      <c r="B180" s="927"/>
      <c r="C180" s="826"/>
      <c r="D180" s="928"/>
      <c r="E180" s="825"/>
      <c r="F180" s="825"/>
      <c r="G180" s="825"/>
      <c r="H180" s="826"/>
      <c r="I180" s="826"/>
      <c r="J180" s="827"/>
      <c r="K180" s="825"/>
      <c r="L180" s="824"/>
      <c r="M180" s="825"/>
      <c r="N180" s="825"/>
      <c r="O180" s="825"/>
      <c r="P180" s="830"/>
      <c r="Q180" s="830"/>
    </row>
    <row r="181" ht="33.0" customHeight="1">
      <c r="A181" s="811"/>
      <c r="B181" s="927"/>
      <c r="C181" s="817"/>
      <c r="D181" s="928"/>
      <c r="E181" s="816"/>
      <c r="F181" s="816"/>
      <c r="G181" s="816"/>
      <c r="H181" s="817"/>
      <c r="I181" s="817"/>
      <c r="J181" s="818"/>
      <c r="K181" s="816"/>
      <c r="L181" s="815"/>
      <c r="M181" s="816"/>
      <c r="N181" s="816"/>
      <c r="O181" s="816"/>
      <c r="P181" s="821"/>
      <c r="Q181" s="821"/>
    </row>
    <row r="182" ht="33.0" customHeight="1">
      <c r="A182" s="822"/>
      <c r="B182" s="927"/>
      <c r="C182" s="826"/>
      <c r="D182" s="928"/>
      <c r="E182" s="825"/>
      <c r="F182" s="825"/>
      <c r="G182" s="825"/>
      <c r="H182" s="826"/>
      <c r="I182" s="826"/>
      <c r="J182" s="827"/>
      <c r="K182" s="825"/>
      <c r="L182" s="824"/>
      <c r="M182" s="825"/>
      <c r="N182" s="825"/>
      <c r="O182" s="825"/>
      <c r="P182" s="830"/>
      <c r="Q182" s="830"/>
    </row>
    <row r="183" ht="33.0" customHeight="1">
      <c r="A183" s="811"/>
      <c r="B183" s="927"/>
      <c r="C183" s="817"/>
      <c r="D183" s="928"/>
      <c r="E183" s="816"/>
      <c r="F183" s="816"/>
      <c r="G183" s="816"/>
      <c r="H183" s="817"/>
      <c r="I183" s="817"/>
      <c r="J183" s="818"/>
      <c r="K183" s="816"/>
      <c r="L183" s="815"/>
      <c r="M183" s="816"/>
      <c r="N183" s="816"/>
      <c r="O183" s="816"/>
      <c r="P183" s="821"/>
      <c r="Q183" s="821"/>
    </row>
    <row r="184" ht="33.0" customHeight="1">
      <c r="A184" s="822"/>
      <c r="B184" s="927"/>
      <c r="C184" s="826"/>
      <c r="D184" s="928"/>
      <c r="E184" s="825"/>
      <c r="F184" s="825"/>
      <c r="G184" s="825"/>
      <c r="H184" s="826"/>
      <c r="I184" s="826"/>
      <c r="J184" s="827"/>
      <c r="K184" s="825"/>
      <c r="L184" s="824"/>
      <c r="M184" s="825"/>
      <c r="N184" s="825"/>
      <c r="O184" s="825"/>
      <c r="P184" s="830"/>
      <c r="Q184" s="830"/>
    </row>
    <row r="185" ht="33.0" customHeight="1">
      <c r="A185" s="811"/>
      <c r="B185" s="927"/>
      <c r="C185" s="817"/>
      <c r="D185" s="928"/>
      <c r="E185" s="816"/>
      <c r="F185" s="816"/>
      <c r="G185" s="816"/>
      <c r="H185" s="817"/>
      <c r="I185" s="817"/>
      <c r="J185" s="818"/>
      <c r="K185" s="816"/>
      <c r="L185" s="815"/>
      <c r="M185" s="816"/>
      <c r="N185" s="816"/>
      <c r="O185" s="816"/>
      <c r="P185" s="821"/>
      <c r="Q185" s="821"/>
    </row>
    <row r="186" ht="33.0" customHeight="1">
      <c r="A186" s="822"/>
      <c r="B186" s="927"/>
      <c r="C186" s="826"/>
      <c r="D186" s="928"/>
      <c r="E186" s="825"/>
      <c r="F186" s="825"/>
      <c r="G186" s="825"/>
      <c r="H186" s="826"/>
      <c r="I186" s="826"/>
      <c r="J186" s="827"/>
      <c r="K186" s="825"/>
      <c r="L186" s="824"/>
      <c r="M186" s="825"/>
      <c r="N186" s="825"/>
      <c r="O186" s="825"/>
      <c r="P186" s="830"/>
      <c r="Q186" s="830"/>
    </row>
    <row r="187" ht="33.0" customHeight="1">
      <c r="A187" s="811"/>
      <c r="B187" s="927"/>
      <c r="C187" s="817"/>
      <c r="D187" s="928"/>
      <c r="E187" s="816"/>
      <c r="F187" s="816"/>
      <c r="G187" s="816"/>
      <c r="H187" s="817"/>
      <c r="I187" s="817"/>
      <c r="J187" s="818"/>
      <c r="K187" s="816"/>
      <c r="L187" s="815"/>
      <c r="M187" s="816"/>
      <c r="N187" s="816"/>
      <c r="O187" s="816"/>
      <c r="P187" s="821"/>
      <c r="Q187" s="821"/>
    </row>
    <row r="188" ht="33.0" customHeight="1">
      <c r="A188" s="822"/>
      <c r="B188" s="927"/>
      <c r="C188" s="826"/>
      <c r="D188" s="928"/>
      <c r="E188" s="825"/>
      <c r="F188" s="825"/>
      <c r="G188" s="825"/>
      <c r="H188" s="826"/>
      <c r="I188" s="826"/>
      <c r="J188" s="827"/>
      <c r="K188" s="825"/>
      <c r="L188" s="824"/>
      <c r="M188" s="825"/>
      <c r="N188" s="825"/>
      <c r="O188" s="825"/>
      <c r="P188" s="830"/>
      <c r="Q188" s="830"/>
    </row>
    <row r="189" ht="33.0" customHeight="1">
      <c r="A189" s="811"/>
      <c r="B189" s="927"/>
      <c r="C189" s="817"/>
      <c r="D189" s="928"/>
      <c r="E189" s="816"/>
      <c r="F189" s="816"/>
      <c r="G189" s="816"/>
      <c r="H189" s="817"/>
      <c r="I189" s="817"/>
      <c r="J189" s="818"/>
      <c r="K189" s="816"/>
      <c r="L189" s="815"/>
      <c r="M189" s="816"/>
      <c r="N189" s="816"/>
      <c r="O189" s="816"/>
      <c r="P189" s="821"/>
      <c r="Q189" s="821"/>
    </row>
    <row r="190" ht="33.0" customHeight="1">
      <c r="A190" s="822"/>
      <c r="B190" s="927"/>
      <c r="C190" s="826"/>
      <c r="D190" s="928"/>
      <c r="E190" s="825"/>
      <c r="F190" s="825"/>
      <c r="G190" s="825"/>
      <c r="H190" s="826"/>
      <c r="I190" s="826"/>
      <c r="J190" s="827"/>
      <c r="K190" s="825"/>
      <c r="L190" s="824"/>
      <c r="M190" s="825"/>
      <c r="N190" s="825"/>
      <c r="O190" s="825"/>
      <c r="P190" s="830"/>
      <c r="Q190" s="830"/>
    </row>
    <row r="191" ht="33.0" customHeight="1">
      <c r="A191" s="811"/>
      <c r="B191" s="927"/>
      <c r="C191" s="817"/>
      <c r="D191" s="928"/>
      <c r="E191" s="816"/>
      <c r="F191" s="816"/>
      <c r="G191" s="816"/>
      <c r="H191" s="817"/>
      <c r="I191" s="817"/>
      <c r="J191" s="818"/>
      <c r="K191" s="816"/>
      <c r="L191" s="815"/>
      <c r="M191" s="816"/>
      <c r="N191" s="816"/>
      <c r="O191" s="816"/>
      <c r="P191" s="821"/>
      <c r="Q191" s="821"/>
    </row>
    <row r="192" ht="33.0" customHeight="1">
      <c r="A192" s="822"/>
      <c r="B192" s="927"/>
      <c r="C192" s="826"/>
      <c r="D192" s="928"/>
      <c r="E192" s="825"/>
      <c r="F192" s="825"/>
      <c r="G192" s="825"/>
      <c r="H192" s="826"/>
      <c r="I192" s="826"/>
      <c r="J192" s="827"/>
      <c r="K192" s="825"/>
      <c r="L192" s="824"/>
      <c r="M192" s="825"/>
      <c r="N192" s="825"/>
      <c r="O192" s="825"/>
      <c r="P192" s="830"/>
      <c r="Q192" s="830"/>
    </row>
    <row r="193" ht="33.0" customHeight="1">
      <c r="A193" s="811"/>
      <c r="B193" s="927"/>
      <c r="C193" s="817"/>
      <c r="D193" s="928"/>
      <c r="E193" s="816"/>
      <c r="F193" s="816"/>
      <c r="G193" s="816"/>
      <c r="H193" s="817"/>
      <c r="I193" s="817"/>
      <c r="J193" s="818"/>
      <c r="K193" s="816"/>
      <c r="L193" s="815"/>
      <c r="M193" s="816"/>
      <c r="N193" s="816"/>
      <c r="O193" s="816"/>
      <c r="P193" s="821"/>
      <c r="Q193" s="821"/>
    </row>
    <row r="194" ht="33.0" customHeight="1">
      <c r="A194" s="822"/>
      <c r="B194" s="927"/>
      <c r="C194" s="826"/>
      <c r="D194" s="928"/>
      <c r="E194" s="825"/>
      <c r="F194" s="825"/>
      <c r="G194" s="825"/>
      <c r="H194" s="826"/>
      <c r="I194" s="826"/>
      <c r="J194" s="827"/>
      <c r="K194" s="825"/>
      <c r="L194" s="824"/>
      <c r="M194" s="825"/>
      <c r="N194" s="825"/>
      <c r="O194" s="825"/>
      <c r="P194" s="830"/>
      <c r="Q194" s="830"/>
    </row>
    <row r="195" ht="33.0" customHeight="1">
      <c r="A195" s="811"/>
      <c r="B195" s="927"/>
      <c r="C195" s="817"/>
      <c r="D195" s="928"/>
      <c r="E195" s="816"/>
      <c r="F195" s="816"/>
      <c r="G195" s="816"/>
      <c r="H195" s="817"/>
      <c r="I195" s="817"/>
      <c r="J195" s="818"/>
      <c r="K195" s="816"/>
      <c r="L195" s="815"/>
      <c r="M195" s="816"/>
      <c r="N195" s="816"/>
      <c r="O195" s="816"/>
      <c r="P195" s="821"/>
      <c r="Q195" s="821"/>
    </row>
    <row r="196" ht="33.0" customHeight="1">
      <c r="A196" s="822"/>
      <c r="B196" s="927"/>
      <c r="C196" s="826"/>
      <c r="D196" s="928"/>
      <c r="E196" s="825"/>
      <c r="F196" s="825"/>
      <c r="G196" s="825"/>
      <c r="H196" s="826"/>
      <c r="I196" s="826"/>
      <c r="J196" s="827"/>
      <c r="K196" s="825"/>
      <c r="L196" s="824"/>
      <c r="M196" s="825"/>
      <c r="N196" s="825"/>
      <c r="O196" s="825"/>
      <c r="P196" s="830"/>
      <c r="Q196" s="830"/>
    </row>
    <row r="197" ht="33.0" customHeight="1">
      <c r="A197" s="811"/>
      <c r="B197" s="927"/>
      <c r="C197" s="817"/>
      <c r="D197" s="928"/>
      <c r="E197" s="816"/>
      <c r="F197" s="816"/>
      <c r="G197" s="816"/>
      <c r="H197" s="817"/>
      <c r="I197" s="817"/>
      <c r="J197" s="818"/>
      <c r="K197" s="816"/>
      <c r="L197" s="815"/>
      <c r="M197" s="816"/>
      <c r="N197" s="816"/>
      <c r="O197" s="816"/>
      <c r="P197" s="821"/>
      <c r="Q197" s="821"/>
    </row>
    <row r="198" ht="33.0" customHeight="1">
      <c r="A198" s="822"/>
      <c r="B198" s="927"/>
      <c r="C198" s="826"/>
      <c r="D198" s="928"/>
      <c r="E198" s="825"/>
      <c r="F198" s="825"/>
      <c r="G198" s="825"/>
      <c r="H198" s="826"/>
      <c r="I198" s="826"/>
      <c r="J198" s="827"/>
      <c r="K198" s="825"/>
      <c r="L198" s="824"/>
      <c r="M198" s="825"/>
      <c r="N198" s="825"/>
      <c r="O198" s="825"/>
      <c r="P198" s="830"/>
      <c r="Q198" s="830"/>
    </row>
    <row r="199" ht="33.0" customHeight="1">
      <c r="A199" s="811"/>
      <c r="B199" s="927"/>
      <c r="C199" s="817"/>
      <c r="D199" s="928"/>
      <c r="E199" s="816"/>
      <c r="F199" s="816"/>
      <c r="G199" s="816"/>
      <c r="H199" s="817"/>
      <c r="I199" s="817"/>
      <c r="J199" s="818"/>
      <c r="K199" s="816"/>
      <c r="L199" s="815"/>
      <c r="M199" s="816"/>
      <c r="N199" s="816"/>
      <c r="O199" s="816"/>
      <c r="P199" s="821"/>
      <c r="Q199" s="821"/>
    </row>
    <row r="200" ht="33.0" customHeight="1">
      <c r="A200" s="822"/>
      <c r="B200" s="927"/>
      <c r="C200" s="826"/>
      <c r="D200" s="928"/>
      <c r="E200" s="825"/>
      <c r="F200" s="825"/>
      <c r="G200" s="825"/>
      <c r="H200" s="826"/>
      <c r="I200" s="826"/>
      <c r="J200" s="827"/>
      <c r="K200" s="825"/>
      <c r="L200" s="824"/>
      <c r="M200" s="825"/>
      <c r="N200" s="825"/>
      <c r="O200" s="825"/>
      <c r="P200" s="830"/>
      <c r="Q200" s="830"/>
    </row>
    <row r="201" ht="33.0" customHeight="1">
      <c r="A201" s="811"/>
      <c r="B201" s="927"/>
      <c r="C201" s="817"/>
      <c r="D201" s="928"/>
      <c r="E201" s="816"/>
      <c r="F201" s="816"/>
      <c r="G201" s="816"/>
      <c r="H201" s="817"/>
      <c r="I201" s="817"/>
      <c r="J201" s="818"/>
      <c r="K201" s="816"/>
      <c r="L201" s="815"/>
      <c r="M201" s="816"/>
      <c r="N201" s="816"/>
      <c r="O201" s="816"/>
      <c r="P201" s="821"/>
      <c r="Q201" s="821"/>
    </row>
    <row r="202" ht="33.0" customHeight="1">
      <c r="A202" s="822"/>
      <c r="B202" s="927"/>
      <c r="C202" s="826"/>
      <c r="D202" s="928"/>
      <c r="E202" s="825"/>
      <c r="F202" s="825"/>
      <c r="G202" s="825"/>
      <c r="H202" s="826"/>
      <c r="I202" s="826"/>
      <c r="J202" s="827"/>
      <c r="K202" s="825"/>
      <c r="L202" s="824"/>
      <c r="M202" s="825"/>
      <c r="N202" s="825"/>
      <c r="O202" s="825"/>
      <c r="P202" s="830"/>
      <c r="Q202" s="830"/>
    </row>
    <row r="203" ht="33.0" customHeight="1">
      <c r="A203" s="811"/>
      <c r="B203" s="927"/>
      <c r="C203" s="817"/>
      <c r="D203" s="928"/>
      <c r="E203" s="816"/>
      <c r="F203" s="816"/>
      <c r="G203" s="816"/>
      <c r="H203" s="817"/>
      <c r="I203" s="817"/>
      <c r="J203" s="818"/>
      <c r="K203" s="816"/>
      <c r="L203" s="815"/>
      <c r="M203" s="816"/>
      <c r="N203" s="816"/>
      <c r="O203" s="816"/>
      <c r="P203" s="821"/>
      <c r="Q203" s="821"/>
    </row>
    <row r="204" ht="33.0" customHeight="1">
      <c r="A204" s="822"/>
      <c r="B204" s="927"/>
      <c r="C204" s="826"/>
      <c r="D204" s="928"/>
      <c r="E204" s="825"/>
      <c r="F204" s="825"/>
      <c r="G204" s="825"/>
      <c r="H204" s="826"/>
      <c r="I204" s="826"/>
      <c r="J204" s="827"/>
      <c r="K204" s="825"/>
      <c r="L204" s="824"/>
      <c r="M204" s="825"/>
      <c r="N204" s="825"/>
      <c r="O204" s="825"/>
      <c r="P204" s="830"/>
      <c r="Q204" s="830"/>
    </row>
    <row r="205" ht="33.0" customHeight="1">
      <c r="A205" s="811"/>
      <c r="B205" s="927"/>
      <c r="C205" s="817"/>
      <c r="D205" s="928"/>
      <c r="E205" s="816"/>
      <c r="F205" s="816"/>
      <c r="G205" s="816"/>
      <c r="H205" s="817"/>
      <c r="I205" s="817"/>
      <c r="J205" s="818"/>
      <c r="K205" s="816"/>
      <c r="L205" s="815"/>
      <c r="M205" s="816"/>
      <c r="N205" s="816"/>
      <c r="O205" s="816"/>
      <c r="P205" s="821"/>
      <c r="Q205" s="821"/>
    </row>
    <row r="206" ht="33.0" customHeight="1">
      <c r="A206" s="822"/>
      <c r="B206" s="927"/>
      <c r="C206" s="826"/>
      <c r="D206" s="928"/>
      <c r="E206" s="825"/>
      <c r="F206" s="825"/>
      <c r="G206" s="825"/>
      <c r="H206" s="826"/>
      <c r="I206" s="826"/>
      <c r="J206" s="827"/>
      <c r="K206" s="825"/>
      <c r="L206" s="824"/>
      <c r="M206" s="825"/>
      <c r="N206" s="825"/>
      <c r="O206" s="825"/>
      <c r="P206" s="830"/>
      <c r="Q206" s="830"/>
    </row>
    <row r="207" ht="33.0" customHeight="1">
      <c r="A207" s="811"/>
      <c r="B207" s="927"/>
      <c r="C207" s="817"/>
      <c r="D207" s="928"/>
      <c r="E207" s="816"/>
      <c r="F207" s="816"/>
      <c r="G207" s="816"/>
      <c r="H207" s="817"/>
      <c r="I207" s="817"/>
      <c r="J207" s="818"/>
      <c r="K207" s="816"/>
      <c r="L207" s="815"/>
      <c r="M207" s="816"/>
      <c r="N207" s="816"/>
      <c r="O207" s="816"/>
      <c r="P207" s="821"/>
      <c r="Q207" s="821"/>
    </row>
    <row r="208" ht="33.0" customHeight="1">
      <c r="A208" s="822"/>
      <c r="B208" s="927"/>
      <c r="C208" s="826"/>
      <c r="D208" s="928"/>
      <c r="E208" s="825"/>
      <c r="F208" s="825"/>
      <c r="G208" s="825"/>
      <c r="H208" s="826"/>
      <c r="I208" s="826"/>
      <c r="J208" s="827"/>
      <c r="K208" s="825"/>
      <c r="L208" s="824"/>
      <c r="M208" s="825"/>
      <c r="N208" s="825"/>
      <c r="O208" s="825"/>
      <c r="P208" s="830"/>
      <c r="Q208" s="830"/>
    </row>
    <row r="209" ht="33.0" customHeight="1">
      <c r="A209" s="811"/>
      <c r="B209" s="927"/>
      <c r="C209" s="817"/>
      <c r="D209" s="928"/>
      <c r="E209" s="816"/>
      <c r="F209" s="816"/>
      <c r="G209" s="816"/>
      <c r="H209" s="817"/>
      <c r="I209" s="817"/>
      <c r="J209" s="818"/>
      <c r="K209" s="816"/>
      <c r="L209" s="815"/>
      <c r="M209" s="816"/>
      <c r="N209" s="816"/>
      <c r="O209" s="816"/>
      <c r="P209" s="821"/>
      <c r="Q209" s="821"/>
    </row>
    <row r="210" ht="33.0" customHeight="1">
      <c r="A210" s="822"/>
      <c r="B210" s="927"/>
      <c r="C210" s="826"/>
      <c r="D210" s="928"/>
      <c r="E210" s="825"/>
      <c r="F210" s="825"/>
      <c r="G210" s="825"/>
      <c r="H210" s="826"/>
      <c r="I210" s="826"/>
      <c r="J210" s="827"/>
      <c r="K210" s="825"/>
      <c r="L210" s="824"/>
      <c r="M210" s="825"/>
      <c r="N210" s="825"/>
      <c r="O210" s="825"/>
      <c r="P210" s="830"/>
      <c r="Q210" s="830"/>
    </row>
    <row r="211" ht="33.0" customHeight="1">
      <c r="A211" s="811"/>
      <c r="B211" s="927"/>
      <c r="C211" s="817"/>
      <c r="D211" s="928"/>
      <c r="E211" s="816"/>
      <c r="F211" s="816"/>
      <c r="G211" s="816"/>
      <c r="H211" s="817"/>
      <c r="I211" s="817"/>
      <c r="J211" s="818"/>
      <c r="K211" s="816"/>
      <c r="L211" s="815"/>
      <c r="M211" s="816"/>
      <c r="N211" s="816"/>
      <c r="O211" s="816"/>
      <c r="P211" s="821"/>
      <c r="Q211" s="821"/>
    </row>
    <row r="212" ht="33.0" customHeight="1">
      <c r="A212" s="822"/>
      <c r="B212" s="927"/>
      <c r="C212" s="826"/>
      <c r="D212" s="928"/>
      <c r="E212" s="825"/>
      <c r="F212" s="825"/>
      <c r="G212" s="825"/>
      <c r="H212" s="826"/>
      <c r="I212" s="826"/>
      <c r="J212" s="827"/>
      <c r="K212" s="825"/>
      <c r="L212" s="824"/>
      <c r="M212" s="825"/>
      <c r="N212" s="825"/>
      <c r="O212" s="825"/>
      <c r="P212" s="830"/>
      <c r="Q212" s="830"/>
    </row>
    <row r="213" ht="33.0" customHeight="1">
      <c r="A213" s="811"/>
      <c r="B213" s="927"/>
      <c r="C213" s="817"/>
      <c r="D213" s="928"/>
      <c r="E213" s="816"/>
      <c r="F213" s="816"/>
      <c r="G213" s="816"/>
      <c r="H213" s="817"/>
      <c r="I213" s="817"/>
      <c r="J213" s="818"/>
      <c r="K213" s="816"/>
      <c r="L213" s="815"/>
      <c r="M213" s="816"/>
      <c r="N213" s="816"/>
      <c r="O213" s="816"/>
      <c r="P213" s="821"/>
      <c r="Q213" s="821"/>
    </row>
    <row r="214" ht="33.0" customHeight="1">
      <c r="A214" s="822"/>
      <c r="B214" s="927"/>
      <c r="C214" s="826"/>
      <c r="D214" s="928"/>
      <c r="E214" s="825"/>
      <c r="F214" s="825"/>
      <c r="G214" s="825"/>
      <c r="H214" s="826"/>
      <c r="I214" s="826"/>
      <c r="J214" s="827"/>
      <c r="K214" s="825"/>
      <c r="L214" s="824"/>
      <c r="M214" s="825"/>
      <c r="N214" s="825"/>
      <c r="O214" s="825"/>
      <c r="P214" s="830"/>
      <c r="Q214" s="830"/>
    </row>
    <row r="215" ht="33.0" customHeight="1">
      <c r="A215" s="811"/>
      <c r="B215" s="927"/>
      <c r="C215" s="817"/>
      <c r="D215" s="928"/>
      <c r="E215" s="816"/>
      <c r="F215" s="816"/>
      <c r="G215" s="816"/>
      <c r="H215" s="817"/>
      <c r="I215" s="817"/>
      <c r="J215" s="818"/>
      <c r="K215" s="816"/>
      <c r="L215" s="815"/>
      <c r="M215" s="816"/>
      <c r="N215" s="816"/>
      <c r="O215" s="816"/>
      <c r="P215" s="821"/>
      <c r="Q215" s="821"/>
    </row>
    <row r="216" ht="33.0" customHeight="1">
      <c r="A216" s="822"/>
      <c r="B216" s="927"/>
      <c r="C216" s="826"/>
      <c r="D216" s="928"/>
      <c r="E216" s="825"/>
      <c r="F216" s="825"/>
      <c r="G216" s="825"/>
      <c r="H216" s="826"/>
      <c r="I216" s="826"/>
      <c r="J216" s="827"/>
      <c r="K216" s="825"/>
      <c r="L216" s="824"/>
      <c r="M216" s="825"/>
      <c r="N216" s="825"/>
      <c r="O216" s="825"/>
      <c r="P216" s="830"/>
      <c r="Q216" s="830"/>
    </row>
    <row r="217" ht="33.0" customHeight="1">
      <c r="A217" s="811"/>
      <c r="B217" s="927"/>
      <c r="C217" s="817"/>
      <c r="D217" s="928"/>
      <c r="E217" s="816"/>
      <c r="F217" s="816"/>
      <c r="G217" s="816"/>
      <c r="H217" s="817"/>
      <c r="I217" s="817"/>
      <c r="J217" s="818"/>
      <c r="K217" s="816"/>
      <c r="L217" s="815"/>
      <c r="M217" s="816"/>
      <c r="N217" s="816"/>
      <c r="O217" s="816"/>
      <c r="P217" s="821"/>
      <c r="Q217" s="821"/>
    </row>
    <row r="218" ht="33.0" customHeight="1">
      <c r="A218" s="822"/>
      <c r="B218" s="927"/>
      <c r="C218" s="826"/>
      <c r="D218" s="928"/>
      <c r="E218" s="825"/>
      <c r="F218" s="825"/>
      <c r="G218" s="825"/>
      <c r="H218" s="826"/>
      <c r="I218" s="826"/>
      <c r="J218" s="827"/>
      <c r="K218" s="825"/>
      <c r="L218" s="824"/>
      <c r="M218" s="825"/>
      <c r="N218" s="825"/>
      <c r="O218" s="825"/>
      <c r="P218" s="830"/>
      <c r="Q218" s="830"/>
    </row>
    <row r="219" ht="33.0" customHeight="1">
      <c r="A219" s="811"/>
      <c r="B219" s="927"/>
      <c r="C219" s="817"/>
      <c r="D219" s="928"/>
      <c r="E219" s="816"/>
      <c r="F219" s="816"/>
      <c r="G219" s="816"/>
      <c r="H219" s="817"/>
      <c r="I219" s="817"/>
      <c r="J219" s="818"/>
      <c r="K219" s="816"/>
      <c r="L219" s="815"/>
      <c r="M219" s="816"/>
      <c r="N219" s="816"/>
      <c r="O219" s="816"/>
      <c r="P219" s="821"/>
      <c r="Q219" s="821"/>
    </row>
    <row r="220" ht="33.0" customHeight="1">
      <c r="A220" s="822"/>
      <c r="B220" s="927"/>
      <c r="C220" s="826"/>
      <c r="D220" s="928"/>
      <c r="E220" s="825"/>
      <c r="F220" s="825"/>
      <c r="G220" s="825"/>
      <c r="H220" s="826"/>
      <c r="I220" s="826"/>
      <c r="J220" s="827"/>
      <c r="K220" s="825"/>
      <c r="L220" s="824"/>
      <c r="M220" s="825"/>
      <c r="N220" s="825"/>
      <c r="O220" s="825"/>
      <c r="P220" s="830"/>
      <c r="Q220" s="830"/>
    </row>
    <row r="221" ht="33.0" customHeight="1">
      <c r="A221" s="811"/>
      <c r="B221" s="927"/>
      <c r="C221" s="817"/>
      <c r="D221" s="928"/>
      <c r="E221" s="816"/>
      <c r="F221" s="816"/>
      <c r="G221" s="816"/>
      <c r="H221" s="817"/>
      <c r="I221" s="817"/>
      <c r="J221" s="818"/>
      <c r="K221" s="816"/>
      <c r="L221" s="815"/>
      <c r="M221" s="816"/>
      <c r="N221" s="816"/>
      <c r="O221" s="816"/>
      <c r="P221" s="821"/>
      <c r="Q221" s="821"/>
    </row>
    <row r="222" ht="33.0" customHeight="1">
      <c r="A222" s="822"/>
      <c r="B222" s="927"/>
      <c r="C222" s="826"/>
      <c r="D222" s="928"/>
      <c r="E222" s="825"/>
      <c r="F222" s="825"/>
      <c r="G222" s="825"/>
      <c r="H222" s="826"/>
      <c r="I222" s="826"/>
      <c r="J222" s="827"/>
      <c r="K222" s="825"/>
      <c r="L222" s="824"/>
      <c r="M222" s="825"/>
      <c r="N222" s="825"/>
      <c r="O222" s="825"/>
      <c r="P222" s="830"/>
      <c r="Q222" s="830"/>
    </row>
    <row r="223" ht="33.0" customHeight="1">
      <c r="A223" s="811"/>
      <c r="B223" s="927"/>
      <c r="C223" s="817"/>
      <c r="D223" s="928"/>
      <c r="E223" s="816"/>
      <c r="F223" s="816"/>
      <c r="G223" s="816"/>
      <c r="H223" s="817"/>
      <c r="I223" s="817"/>
      <c r="J223" s="818"/>
      <c r="K223" s="816"/>
      <c r="L223" s="815"/>
      <c r="M223" s="816"/>
      <c r="N223" s="816"/>
      <c r="O223" s="816"/>
      <c r="P223" s="821"/>
      <c r="Q223" s="821"/>
    </row>
    <row r="224" ht="33.0" customHeight="1">
      <c r="A224" s="822"/>
      <c r="B224" s="927"/>
      <c r="C224" s="826"/>
      <c r="D224" s="928"/>
      <c r="E224" s="825"/>
      <c r="F224" s="825"/>
      <c r="G224" s="825"/>
      <c r="H224" s="826"/>
      <c r="I224" s="826"/>
      <c r="J224" s="827"/>
      <c r="K224" s="825"/>
      <c r="L224" s="824"/>
      <c r="M224" s="825"/>
      <c r="N224" s="825"/>
      <c r="O224" s="825"/>
      <c r="P224" s="830"/>
      <c r="Q224" s="830"/>
    </row>
    <row r="225" ht="33.0" customHeight="1">
      <c r="A225" s="811"/>
      <c r="B225" s="927"/>
      <c r="C225" s="817"/>
      <c r="D225" s="928"/>
      <c r="E225" s="816"/>
      <c r="F225" s="816"/>
      <c r="G225" s="816"/>
      <c r="H225" s="817"/>
      <c r="I225" s="817"/>
      <c r="J225" s="818"/>
      <c r="K225" s="816"/>
      <c r="L225" s="815"/>
      <c r="M225" s="816"/>
      <c r="N225" s="816"/>
      <c r="O225" s="816"/>
      <c r="P225" s="821"/>
      <c r="Q225" s="821"/>
    </row>
    <row r="226" ht="33.0" customHeight="1">
      <c r="A226" s="822"/>
      <c r="B226" s="927"/>
      <c r="C226" s="826"/>
      <c r="D226" s="928"/>
      <c r="E226" s="825"/>
      <c r="F226" s="825"/>
      <c r="G226" s="825"/>
      <c r="H226" s="826"/>
      <c r="I226" s="826"/>
      <c r="J226" s="827"/>
      <c r="K226" s="825"/>
      <c r="L226" s="824"/>
      <c r="M226" s="825"/>
      <c r="N226" s="825"/>
      <c r="O226" s="825"/>
      <c r="P226" s="830"/>
      <c r="Q226" s="830"/>
    </row>
    <row r="227" ht="33.0" customHeight="1">
      <c r="A227" s="811"/>
      <c r="B227" s="927"/>
      <c r="C227" s="817"/>
      <c r="D227" s="928"/>
      <c r="E227" s="816"/>
      <c r="F227" s="816"/>
      <c r="G227" s="816"/>
      <c r="H227" s="817"/>
      <c r="I227" s="817"/>
      <c r="J227" s="818"/>
      <c r="K227" s="816"/>
      <c r="L227" s="815"/>
      <c r="M227" s="816"/>
      <c r="N227" s="816"/>
      <c r="O227" s="816"/>
      <c r="P227" s="821"/>
      <c r="Q227" s="821"/>
    </row>
    <row r="228" ht="33.0" customHeight="1">
      <c r="A228" s="822"/>
      <c r="B228" s="927"/>
      <c r="C228" s="826"/>
      <c r="D228" s="928"/>
      <c r="E228" s="825"/>
      <c r="F228" s="825"/>
      <c r="G228" s="825"/>
      <c r="H228" s="826"/>
      <c r="I228" s="826"/>
      <c r="J228" s="827"/>
      <c r="K228" s="825"/>
      <c r="L228" s="824"/>
      <c r="M228" s="825"/>
      <c r="N228" s="825"/>
      <c r="O228" s="825"/>
      <c r="P228" s="830"/>
      <c r="Q228" s="830"/>
    </row>
    <row r="229" ht="33.0" customHeight="1">
      <c r="A229" s="811"/>
      <c r="B229" s="927"/>
      <c r="C229" s="817"/>
      <c r="D229" s="928"/>
      <c r="E229" s="816"/>
      <c r="F229" s="816"/>
      <c r="G229" s="816"/>
      <c r="H229" s="817"/>
      <c r="I229" s="817"/>
      <c r="J229" s="818"/>
      <c r="K229" s="816"/>
      <c r="L229" s="815"/>
      <c r="M229" s="816"/>
      <c r="N229" s="816"/>
      <c r="O229" s="816"/>
      <c r="P229" s="821"/>
      <c r="Q229" s="821"/>
    </row>
    <row r="230" ht="33.0" customHeight="1">
      <c r="A230" s="822"/>
      <c r="B230" s="927"/>
      <c r="C230" s="826"/>
      <c r="D230" s="928"/>
      <c r="E230" s="825"/>
      <c r="F230" s="825"/>
      <c r="G230" s="825"/>
      <c r="H230" s="826"/>
      <c r="I230" s="826"/>
      <c r="J230" s="827"/>
      <c r="K230" s="825"/>
      <c r="L230" s="824"/>
      <c r="M230" s="825"/>
      <c r="N230" s="825"/>
      <c r="O230" s="825"/>
      <c r="P230" s="830"/>
      <c r="Q230" s="830"/>
    </row>
    <row r="231" ht="33.0" customHeight="1">
      <c r="A231" s="811"/>
      <c r="B231" s="927"/>
      <c r="C231" s="817"/>
      <c r="D231" s="928"/>
      <c r="E231" s="816"/>
      <c r="F231" s="816"/>
      <c r="G231" s="816"/>
      <c r="H231" s="817"/>
      <c r="I231" s="817"/>
      <c r="J231" s="818"/>
      <c r="K231" s="816"/>
      <c r="L231" s="815"/>
      <c r="M231" s="816"/>
      <c r="N231" s="816"/>
      <c r="O231" s="816"/>
      <c r="P231" s="821"/>
      <c r="Q231" s="821"/>
    </row>
    <row r="232" ht="33.0" customHeight="1">
      <c r="A232" s="822"/>
      <c r="B232" s="927"/>
      <c r="C232" s="826"/>
      <c r="D232" s="928"/>
      <c r="E232" s="825"/>
      <c r="F232" s="825"/>
      <c r="G232" s="825"/>
      <c r="H232" s="826"/>
      <c r="I232" s="826"/>
      <c r="J232" s="827"/>
      <c r="K232" s="825"/>
      <c r="L232" s="824"/>
      <c r="M232" s="825"/>
      <c r="N232" s="825"/>
      <c r="O232" s="825"/>
      <c r="P232" s="830"/>
      <c r="Q232" s="830"/>
    </row>
    <row r="233" ht="33.0" customHeight="1">
      <c r="A233" s="811"/>
      <c r="B233" s="927"/>
      <c r="C233" s="817"/>
      <c r="D233" s="928"/>
      <c r="E233" s="816"/>
      <c r="F233" s="816"/>
      <c r="G233" s="816"/>
      <c r="H233" s="817"/>
      <c r="I233" s="817"/>
      <c r="J233" s="818"/>
      <c r="K233" s="816"/>
      <c r="L233" s="815"/>
      <c r="M233" s="816"/>
      <c r="N233" s="816"/>
      <c r="O233" s="816"/>
      <c r="P233" s="821"/>
      <c r="Q233" s="821"/>
    </row>
    <row r="234" ht="33.0" customHeight="1">
      <c r="A234" s="822"/>
      <c r="B234" s="927"/>
      <c r="C234" s="826"/>
      <c r="D234" s="928"/>
      <c r="E234" s="825"/>
      <c r="F234" s="825"/>
      <c r="G234" s="825"/>
      <c r="H234" s="826"/>
      <c r="I234" s="826"/>
      <c r="J234" s="827"/>
      <c r="K234" s="825"/>
      <c r="L234" s="824"/>
      <c r="M234" s="825"/>
      <c r="N234" s="825"/>
      <c r="O234" s="825"/>
      <c r="P234" s="830"/>
      <c r="Q234" s="830"/>
    </row>
    <row r="235" ht="33.0" customHeight="1">
      <c r="A235" s="811"/>
      <c r="B235" s="927"/>
      <c r="C235" s="817"/>
      <c r="D235" s="928"/>
      <c r="E235" s="816"/>
      <c r="F235" s="816"/>
      <c r="G235" s="816"/>
      <c r="H235" s="817"/>
      <c r="I235" s="817"/>
      <c r="J235" s="818"/>
      <c r="K235" s="816"/>
      <c r="L235" s="815"/>
      <c r="M235" s="816"/>
      <c r="N235" s="816"/>
      <c r="O235" s="816"/>
      <c r="P235" s="821"/>
      <c r="Q235" s="821"/>
    </row>
    <row r="236" ht="33.0" customHeight="1">
      <c r="A236" s="822"/>
      <c r="B236" s="927"/>
      <c r="C236" s="826"/>
      <c r="D236" s="928"/>
      <c r="E236" s="825"/>
      <c r="F236" s="825"/>
      <c r="G236" s="825"/>
      <c r="H236" s="826"/>
      <c r="I236" s="826"/>
      <c r="J236" s="827"/>
      <c r="K236" s="825"/>
      <c r="L236" s="824"/>
      <c r="M236" s="825"/>
      <c r="N236" s="825"/>
      <c r="O236" s="825"/>
      <c r="P236" s="830"/>
      <c r="Q236" s="830"/>
    </row>
    <row r="237" ht="33.0" customHeight="1">
      <c r="A237" s="811"/>
      <c r="B237" s="927"/>
      <c r="C237" s="817"/>
      <c r="D237" s="928"/>
      <c r="E237" s="816"/>
      <c r="F237" s="816"/>
      <c r="G237" s="816"/>
      <c r="H237" s="817"/>
      <c r="I237" s="817"/>
      <c r="J237" s="818"/>
      <c r="K237" s="816"/>
      <c r="L237" s="815"/>
      <c r="M237" s="816"/>
      <c r="N237" s="816"/>
      <c r="O237" s="816"/>
      <c r="P237" s="821"/>
      <c r="Q237" s="821"/>
    </row>
    <row r="238" ht="33.0" customHeight="1">
      <c r="A238" s="822"/>
      <c r="B238" s="927"/>
      <c r="C238" s="826"/>
      <c r="D238" s="928"/>
      <c r="E238" s="825"/>
      <c r="F238" s="825"/>
      <c r="G238" s="825"/>
      <c r="H238" s="826"/>
      <c r="I238" s="826"/>
      <c r="J238" s="827"/>
      <c r="K238" s="825"/>
      <c r="L238" s="824"/>
      <c r="M238" s="825"/>
      <c r="N238" s="825"/>
      <c r="O238" s="825"/>
      <c r="P238" s="830"/>
      <c r="Q238" s="830"/>
    </row>
    <row r="239" ht="33.0" customHeight="1">
      <c r="A239" s="811"/>
      <c r="B239" s="927"/>
      <c r="C239" s="817"/>
      <c r="D239" s="928"/>
      <c r="E239" s="816"/>
      <c r="F239" s="816"/>
      <c r="G239" s="816"/>
      <c r="H239" s="817"/>
      <c r="I239" s="817"/>
      <c r="J239" s="818"/>
      <c r="K239" s="816"/>
      <c r="L239" s="815"/>
      <c r="M239" s="816"/>
      <c r="N239" s="816"/>
      <c r="O239" s="816"/>
      <c r="P239" s="821"/>
      <c r="Q239" s="821"/>
    </row>
    <row r="240" ht="33.0" customHeight="1">
      <c r="A240" s="822"/>
      <c r="B240" s="927"/>
      <c r="C240" s="826"/>
      <c r="D240" s="928"/>
      <c r="E240" s="825"/>
      <c r="F240" s="825"/>
      <c r="G240" s="825"/>
      <c r="H240" s="826"/>
      <c r="I240" s="826"/>
      <c r="J240" s="827"/>
      <c r="K240" s="825"/>
      <c r="L240" s="824"/>
      <c r="M240" s="825"/>
      <c r="N240" s="825"/>
      <c r="O240" s="825"/>
      <c r="P240" s="830"/>
      <c r="Q240" s="830"/>
    </row>
    <row r="241" ht="33.0" customHeight="1">
      <c r="A241" s="811"/>
      <c r="B241" s="927"/>
      <c r="C241" s="817"/>
      <c r="D241" s="928"/>
      <c r="E241" s="816"/>
      <c r="F241" s="816"/>
      <c r="G241" s="816"/>
      <c r="H241" s="817"/>
      <c r="I241" s="817"/>
      <c r="J241" s="818"/>
      <c r="K241" s="816"/>
      <c r="L241" s="815"/>
      <c r="M241" s="816"/>
      <c r="N241" s="816"/>
      <c r="O241" s="816"/>
      <c r="P241" s="821"/>
      <c r="Q241" s="821"/>
    </row>
    <row r="242" ht="33.0" customHeight="1">
      <c r="A242" s="822"/>
      <c r="B242" s="927"/>
      <c r="C242" s="826"/>
      <c r="D242" s="928"/>
      <c r="E242" s="825"/>
      <c r="F242" s="825"/>
      <c r="G242" s="825"/>
      <c r="H242" s="826"/>
      <c r="I242" s="826"/>
      <c r="J242" s="827"/>
      <c r="K242" s="825"/>
      <c r="L242" s="824"/>
      <c r="M242" s="825"/>
      <c r="N242" s="825"/>
      <c r="O242" s="825"/>
      <c r="P242" s="830"/>
      <c r="Q242" s="830"/>
    </row>
    <row r="243" ht="33.0" customHeight="1">
      <c r="A243" s="811"/>
      <c r="B243" s="927"/>
      <c r="C243" s="817"/>
      <c r="D243" s="928"/>
      <c r="E243" s="816"/>
      <c r="F243" s="816"/>
      <c r="G243" s="816"/>
      <c r="H243" s="817"/>
      <c r="I243" s="817"/>
      <c r="J243" s="818"/>
      <c r="K243" s="816"/>
      <c r="L243" s="815"/>
      <c r="M243" s="816"/>
      <c r="N243" s="816"/>
      <c r="O243" s="816"/>
      <c r="P243" s="821"/>
      <c r="Q243" s="821"/>
    </row>
    <row r="244" ht="33.0" customHeight="1">
      <c r="A244" s="822"/>
      <c r="B244" s="927"/>
      <c r="C244" s="826"/>
      <c r="D244" s="928"/>
      <c r="E244" s="825"/>
      <c r="F244" s="825"/>
      <c r="G244" s="825"/>
      <c r="H244" s="826"/>
      <c r="I244" s="826"/>
      <c r="J244" s="827"/>
      <c r="K244" s="825"/>
      <c r="L244" s="824"/>
      <c r="M244" s="825"/>
      <c r="N244" s="825"/>
      <c r="O244" s="825"/>
      <c r="P244" s="830"/>
      <c r="Q244" s="830"/>
    </row>
    <row r="245" ht="33.0" customHeight="1">
      <c r="A245" s="811"/>
      <c r="B245" s="927"/>
      <c r="C245" s="817"/>
      <c r="D245" s="928"/>
      <c r="E245" s="816"/>
      <c r="F245" s="816"/>
      <c r="G245" s="816"/>
      <c r="H245" s="817"/>
      <c r="I245" s="817"/>
      <c r="J245" s="818"/>
      <c r="K245" s="816"/>
      <c r="L245" s="815"/>
      <c r="M245" s="816"/>
      <c r="N245" s="816"/>
      <c r="O245" s="816"/>
      <c r="P245" s="821"/>
      <c r="Q245" s="821"/>
    </row>
    <row r="246" ht="33.0" customHeight="1">
      <c r="A246" s="822"/>
      <c r="B246" s="927"/>
      <c r="C246" s="826"/>
      <c r="D246" s="928"/>
      <c r="E246" s="825"/>
      <c r="F246" s="825"/>
      <c r="G246" s="825"/>
      <c r="H246" s="826"/>
      <c r="I246" s="826"/>
      <c r="J246" s="827"/>
      <c r="K246" s="825"/>
      <c r="L246" s="824"/>
      <c r="M246" s="825"/>
      <c r="N246" s="825"/>
      <c r="O246" s="825"/>
      <c r="P246" s="830"/>
      <c r="Q246" s="830"/>
    </row>
    <row r="247" ht="33.0" customHeight="1">
      <c r="A247" s="811"/>
      <c r="B247" s="927"/>
      <c r="C247" s="817"/>
      <c r="D247" s="928"/>
      <c r="E247" s="816"/>
      <c r="F247" s="816"/>
      <c r="G247" s="816"/>
      <c r="H247" s="817"/>
      <c r="I247" s="817"/>
      <c r="J247" s="818"/>
      <c r="K247" s="816"/>
      <c r="L247" s="815"/>
      <c r="M247" s="816"/>
      <c r="N247" s="816"/>
      <c r="O247" s="816"/>
      <c r="P247" s="821"/>
      <c r="Q247" s="821"/>
    </row>
    <row r="248" ht="33.0" customHeight="1">
      <c r="A248" s="822"/>
      <c r="B248" s="927"/>
      <c r="C248" s="826"/>
      <c r="D248" s="928"/>
      <c r="E248" s="825"/>
      <c r="F248" s="825"/>
      <c r="G248" s="825"/>
      <c r="H248" s="826"/>
      <c r="I248" s="826"/>
      <c r="J248" s="827"/>
      <c r="K248" s="825"/>
      <c r="L248" s="824"/>
      <c r="M248" s="825"/>
      <c r="N248" s="825"/>
      <c r="O248" s="825"/>
      <c r="P248" s="830"/>
      <c r="Q248" s="830"/>
    </row>
    <row r="249" ht="33.0" customHeight="1">
      <c r="A249" s="811"/>
      <c r="B249" s="927"/>
      <c r="C249" s="817"/>
      <c r="D249" s="928"/>
      <c r="E249" s="816"/>
      <c r="F249" s="816"/>
      <c r="G249" s="816"/>
      <c r="H249" s="817"/>
      <c r="I249" s="817"/>
      <c r="J249" s="818"/>
      <c r="K249" s="816"/>
      <c r="L249" s="815"/>
      <c r="M249" s="816"/>
      <c r="N249" s="816"/>
      <c r="O249" s="816"/>
      <c r="P249" s="821"/>
      <c r="Q249" s="821"/>
    </row>
    <row r="250" ht="33.0" customHeight="1">
      <c r="A250" s="822"/>
      <c r="B250" s="927"/>
      <c r="C250" s="826"/>
      <c r="D250" s="928"/>
      <c r="E250" s="825"/>
      <c r="F250" s="825"/>
      <c r="G250" s="825"/>
      <c r="H250" s="826"/>
      <c r="I250" s="826"/>
      <c r="J250" s="827"/>
      <c r="K250" s="825"/>
      <c r="L250" s="824"/>
      <c r="M250" s="825"/>
      <c r="N250" s="825"/>
      <c r="O250" s="825"/>
      <c r="P250" s="830"/>
      <c r="Q250" s="830"/>
    </row>
    <row r="251" ht="33.0" customHeight="1">
      <c r="A251" s="811"/>
      <c r="B251" s="927"/>
      <c r="C251" s="817"/>
      <c r="D251" s="928"/>
      <c r="E251" s="816"/>
      <c r="F251" s="816"/>
      <c r="G251" s="816"/>
      <c r="H251" s="817"/>
      <c r="I251" s="817"/>
      <c r="J251" s="818"/>
      <c r="K251" s="816"/>
      <c r="L251" s="815"/>
      <c r="M251" s="816"/>
      <c r="N251" s="816"/>
      <c r="O251" s="816"/>
      <c r="P251" s="821"/>
      <c r="Q251" s="821"/>
    </row>
    <row r="252" ht="33.0" customHeight="1">
      <c r="A252" s="822"/>
      <c r="B252" s="927"/>
      <c r="C252" s="826"/>
      <c r="D252" s="928"/>
      <c r="E252" s="825"/>
      <c r="F252" s="825"/>
      <c r="G252" s="825"/>
      <c r="H252" s="826"/>
      <c r="I252" s="826"/>
      <c r="J252" s="827"/>
      <c r="K252" s="825"/>
      <c r="L252" s="824"/>
      <c r="M252" s="825"/>
      <c r="N252" s="825"/>
      <c r="O252" s="825"/>
      <c r="P252" s="830"/>
      <c r="Q252" s="830"/>
    </row>
    <row r="253" ht="33.0" customHeight="1">
      <c r="A253" s="811"/>
      <c r="B253" s="927"/>
      <c r="C253" s="817"/>
      <c r="D253" s="928"/>
      <c r="E253" s="816"/>
      <c r="F253" s="816"/>
      <c r="G253" s="816"/>
      <c r="H253" s="817"/>
      <c r="I253" s="817"/>
      <c r="J253" s="818"/>
      <c r="K253" s="816"/>
      <c r="L253" s="815"/>
      <c r="M253" s="816"/>
      <c r="N253" s="816"/>
      <c r="O253" s="816"/>
      <c r="P253" s="821"/>
      <c r="Q253" s="821"/>
    </row>
    <row r="254" ht="33.0" customHeight="1">
      <c r="A254" s="822"/>
      <c r="B254" s="927"/>
      <c r="C254" s="826"/>
      <c r="D254" s="928"/>
      <c r="E254" s="825"/>
      <c r="F254" s="825"/>
      <c r="G254" s="825"/>
      <c r="H254" s="826"/>
      <c r="I254" s="826"/>
      <c r="J254" s="827"/>
      <c r="K254" s="825"/>
      <c r="L254" s="824"/>
      <c r="M254" s="825"/>
      <c r="N254" s="825"/>
      <c r="O254" s="825"/>
      <c r="P254" s="830"/>
      <c r="Q254" s="830"/>
    </row>
    <row r="255" ht="33.0" customHeight="1">
      <c r="A255" s="811"/>
      <c r="B255" s="927"/>
      <c r="C255" s="817"/>
      <c r="D255" s="928"/>
      <c r="E255" s="816"/>
      <c r="F255" s="816"/>
      <c r="G255" s="816"/>
      <c r="H255" s="817"/>
      <c r="I255" s="817"/>
      <c r="J255" s="818"/>
      <c r="K255" s="816"/>
      <c r="L255" s="815"/>
      <c r="M255" s="816"/>
      <c r="N255" s="816"/>
      <c r="O255" s="816"/>
      <c r="P255" s="821"/>
      <c r="Q255" s="821"/>
    </row>
    <row r="256" ht="33.0" customHeight="1">
      <c r="A256" s="822"/>
      <c r="B256" s="927"/>
      <c r="C256" s="826"/>
      <c r="D256" s="928"/>
      <c r="E256" s="825"/>
      <c r="F256" s="825"/>
      <c r="G256" s="825"/>
      <c r="H256" s="826"/>
      <c r="I256" s="826"/>
      <c r="J256" s="827"/>
      <c r="K256" s="825"/>
      <c r="L256" s="824"/>
      <c r="M256" s="825"/>
      <c r="N256" s="825"/>
      <c r="O256" s="825"/>
      <c r="P256" s="830"/>
      <c r="Q256" s="830"/>
    </row>
    <row r="257" ht="33.0" customHeight="1">
      <c r="A257" s="811"/>
      <c r="B257" s="927"/>
      <c r="C257" s="817"/>
      <c r="D257" s="928"/>
      <c r="E257" s="816"/>
      <c r="F257" s="816"/>
      <c r="G257" s="816"/>
      <c r="H257" s="817"/>
      <c r="I257" s="817"/>
      <c r="J257" s="818"/>
      <c r="K257" s="816"/>
      <c r="L257" s="815"/>
      <c r="M257" s="816"/>
      <c r="N257" s="816"/>
      <c r="O257" s="816"/>
      <c r="P257" s="821"/>
      <c r="Q257" s="821"/>
    </row>
    <row r="258" ht="33.0" customHeight="1">
      <c r="A258" s="822"/>
      <c r="B258" s="927"/>
      <c r="C258" s="826"/>
      <c r="D258" s="928"/>
      <c r="E258" s="825"/>
      <c r="F258" s="825"/>
      <c r="G258" s="825"/>
      <c r="H258" s="826"/>
      <c r="I258" s="826"/>
      <c r="J258" s="827"/>
      <c r="K258" s="825"/>
      <c r="L258" s="824"/>
      <c r="M258" s="825"/>
      <c r="N258" s="825"/>
      <c r="O258" s="825"/>
      <c r="P258" s="830"/>
      <c r="Q258" s="830"/>
    </row>
    <row r="259" ht="33.0" customHeight="1">
      <c r="A259" s="811"/>
      <c r="B259" s="927"/>
      <c r="C259" s="817"/>
      <c r="D259" s="928"/>
      <c r="E259" s="816"/>
      <c r="F259" s="816"/>
      <c r="G259" s="816"/>
      <c r="H259" s="817"/>
      <c r="I259" s="817"/>
      <c r="J259" s="818"/>
      <c r="K259" s="816"/>
      <c r="L259" s="815"/>
      <c r="M259" s="816"/>
      <c r="N259" s="816"/>
      <c r="O259" s="816"/>
      <c r="P259" s="821"/>
      <c r="Q259" s="821"/>
    </row>
    <row r="260" ht="33.0" customHeight="1">
      <c r="A260" s="822"/>
      <c r="B260" s="927"/>
      <c r="C260" s="826"/>
      <c r="D260" s="928"/>
      <c r="E260" s="825"/>
      <c r="F260" s="825"/>
      <c r="G260" s="825"/>
      <c r="H260" s="826"/>
      <c r="I260" s="826"/>
      <c r="J260" s="827"/>
      <c r="K260" s="825"/>
      <c r="L260" s="824"/>
      <c r="M260" s="825"/>
      <c r="N260" s="825"/>
      <c r="O260" s="825"/>
      <c r="P260" s="830"/>
      <c r="Q260" s="830"/>
    </row>
    <row r="261" ht="33.0" customHeight="1">
      <c r="A261" s="811"/>
      <c r="B261" s="927"/>
      <c r="C261" s="817"/>
      <c r="D261" s="928"/>
      <c r="E261" s="816"/>
      <c r="F261" s="816"/>
      <c r="G261" s="816"/>
      <c r="H261" s="817"/>
      <c r="I261" s="817"/>
      <c r="J261" s="818"/>
      <c r="K261" s="816"/>
      <c r="L261" s="815"/>
      <c r="M261" s="816"/>
      <c r="N261" s="816"/>
      <c r="O261" s="816"/>
      <c r="P261" s="821"/>
      <c r="Q261" s="821"/>
    </row>
    <row r="262" ht="33.0" customHeight="1">
      <c r="A262" s="822"/>
      <c r="B262" s="927"/>
      <c r="C262" s="826"/>
      <c r="D262" s="928"/>
      <c r="E262" s="825"/>
      <c r="F262" s="825"/>
      <c r="G262" s="825"/>
      <c r="H262" s="826"/>
      <c r="I262" s="826"/>
      <c r="J262" s="827"/>
      <c r="K262" s="825"/>
      <c r="L262" s="824"/>
      <c r="M262" s="825"/>
      <c r="N262" s="825"/>
      <c r="O262" s="825"/>
      <c r="P262" s="830"/>
      <c r="Q262" s="830"/>
    </row>
    <row r="263" ht="33.0" customHeight="1">
      <c r="A263" s="811"/>
      <c r="B263" s="927"/>
      <c r="C263" s="817"/>
      <c r="D263" s="928"/>
      <c r="E263" s="816"/>
      <c r="F263" s="816"/>
      <c r="G263" s="816"/>
      <c r="H263" s="817"/>
      <c r="I263" s="817"/>
      <c r="J263" s="818"/>
      <c r="K263" s="816"/>
      <c r="L263" s="815"/>
      <c r="M263" s="816"/>
      <c r="N263" s="816"/>
      <c r="O263" s="816"/>
      <c r="P263" s="821"/>
      <c r="Q263" s="821"/>
    </row>
    <row r="264" ht="33.0" customHeight="1">
      <c r="A264" s="822"/>
      <c r="B264" s="927"/>
      <c r="C264" s="826"/>
      <c r="D264" s="928"/>
      <c r="E264" s="825"/>
      <c r="F264" s="825"/>
      <c r="G264" s="825"/>
      <c r="H264" s="826"/>
      <c r="I264" s="826"/>
      <c r="J264" s="827"/>
      <c r="K264" s="825"/>
      <c r="L264" s="824"/>
      <c r="M264" s="825"/>
      <c r="N264" s="825"/>
      <c r="O264" s="825"/>
      <c r="P264" s="830"/>
      <c r="Q264" s="830"/>
    </row>
    <row r="265" ht="33.0" customHeight="1">
      <c r="A265" s="811"/>
      <c r="B265" s="927"/>
      <c r="C265" s="817"/>
      <c r="D265" s="928"/>
      <c r="E265" s="816"/>
      <c r="F265" s="816"/>
      <c r="G265" s="816"/>
      <c r="H265" s="817"/>
      <c r="I265" s="817"/>
      <c r="J265" s="818"/>
      <c r="K265" s="816"/>
      <c r="L265" s="815"/>
      <c r="M265" s="816"/>
      <c r="N265" s="816"/>
      <c r="O265" s="816"/>
      <c r="P265" s="821"/>
      <c r="Q265" s="821"/>
    </row>
    <row r="266" ht="33.0" customHeight="1">
      <c r="A266" s="822"/>
      <c r="B266" s="927"/>
      <c r="C266" s="826"/>
      <c r="D266" s="928"/>
      <c r="E266" s="825"/>
      <c r="F266" s="825"/>
      <c r="G266" s="825"/>
      <c r="H266" s="826"/>
      <c r="I266" s="826"/>
      <c r="J266" s="827"/>
      <c r="K266" s="825"/>
      <c r="L266" s="824"/>
      <c r="M266" s="825"/>
      <c r="N266" s="825"/>
      <c r="O266" s="825"/>
      <c r="P266" s="830"/>
      <c r="Q266" s="830"/>
    </row>
    <row r="267" ht="33.0" customHeight="1">
      <c r="A267" s="811"/>
      <c r="B267" s="927"/>
      <c r="C267" s="817"/>
      <c r="D267" s="928"/>
      <c r="E267" s="816"/>
      <c r="F267" s="816"/>
      <c r="G267" s="816"/>
      <c r="H267" s="817"/>
      <c r="I267" s="817"/>
      <c r="J267" s="818"/>
      <c r="K267" s="816"/>
      <c r="L267" s="815"/>
      <c r="M267" s="816"/>
      <c r="N267" s="816"/>
      <c r="O267" s="816"/>
      <c r="P267" s="821"/>
      <c r="Q267" s="821"/>
    </row>
    <row r="268" ht="33.0" customHeight="1">
      <c r="A268" s="822"/>
      <c r="B268" s="927"/>
      <c r="C268" s="826"/>
      <c r="D268" s="928"/>
      <c r="E268" s="825"/>
      <c r="F268" s="825"/>
      <c r="G268" s="825"/>
      <c r="H268" s="826"/>
      <c r="I268" s="826"/>
      <c r="J268" s="827"/>
      <c r="K268" s="825"/>
      <c r="L268" s="824"/>
      <c r="M268" s="825"/>
      <c r="N268" s="825"/>
      <c r="O268" s="825"/>
      <c r="P268" s="830"/>
      <c r="Q268" s="830"/>
    </row>
    <row r="269" ht="33.0" customHeight="1">
      <c r="A269" s="811"/>
      <c r="B269" s="927"/>
      <c r="C269" s="817"/>
      <c r="D269" s="928"/>
      <c r="E269" s="816"/>
      <c r="F269" s="816"/>
      <c r="G269" s="816"/>
      <c r="H269" s="817"/>
      <c r="I269" s="817"/>
      <c r="J269" s="818"/>
      <c r="K269" s="816"/>
      <c r="L269" s="815"/>
      <c r="M269" s="816"/>
      <c r="N269" s="816"/>
      <c r="O269" s="816"/>
      <c r="P269" s="821"/>
      <c r="Q269" s="821"/>
    </row>
    <row r="270" ht="33.0" customHeight="1">
      <c r="A270" s="822"/>
      <c r="B270" s="927"/>
      <c r="C270" s="826"/>
      <c r="D270" s="928"/>
      <c r="E270" s="825"/>
      <c r="F270" s="825"/>
      <c r="G270" s="825"/>
      <c r="H270" s="826"/>
      <c r="I270" s="826"/>
      <c r="J270" s="827"/>
      <c r="K270" s="825"/>
      <c r="L270" s="824"/>
      <c r="M270" s="825"/>
      <c r="N270" s="825"/>
      <c r="O270" s="825"/>
      <c r="P270" s="830"/>
      <c r="Q270" s="830"/>
    </row>
    <row r="271" ht="33.0" customHeight="1">
      <c r="A271" s="811"/>
      <c r="B271" s="927"/>
      <c r="C271" s="817"/>
      <c r="D271" s="928"/>
      <c r="E271" s="816"/>
      <c r="F271" s="816"/>
      <c r="G271" s="816"/>
      <c r="H271" s="817"/>
      <c r="I271" s="817"/>
      <c r="J271" s="818"/>
      <c r="K271" s="816"/>
      <c r="L271" s="815"/>
      <c r="M271" s="816"/>
      <c r="N271" s="816"/>
      <c r="O271" s="816"/>
      <c r="P271" s="821"/>
      <c r="Q271" s="821"/>
    </row>
    <row r="272" ht="33.0" customHeight="1">
      <c r="A272" s="822"/>
      <c r="B272" s="927"/>
      <c r="C272" s="826"/>
      <c r="D272" s="928"/>
      <c r="E272" s="825"/>
      <c r="F272" s="825"/>
      <c r="G272" s="825"/>
      <c r="H272" s="826"/>
      <c r="I272" s="826"/>
      <c r="J272" s="827"/>
      <c r="K272" s="825"/>
      <c r="L272" s="824"/>
      <c r="M272" s="825"/>
      <c r="N272" s="825"/>
      <c r="O272" s="825"/>
      <c r="P272" s="830"/>
      <c r="Q272" s="830"/>
    </row>
    <row r="273" ht="33.0" customHeight="1">
      <c r="A273" s="811"/>
      <c r="B273" s="927"/>
      <c r="C273" s="817"/>
      <c r="D273" s="928"/>
      <c r="E273" s="816"/>
      <c r="F273" s="816"/>
      <c r="G273" s="816"/>
      <c r="H273" s="817"/>
      <c r="I273" s="817"/>
      <c r="J273" s="818"/>
      <c r="K273" s="816"/>
      <c r="L273" s="815"/>
      <c r="M273" s="816"/>
      <c r="N273" s="816"/>
      <c r="O273" s="816"/>
      <c r="P273" s="821"/>
      <c r="Q273" s="821"/>
    </row>
    <row r="274" ht="33.0" customHeight="1">
      <c r="A274" s="822"/>
      <c r="B274" s="927"/>
      <c r="C274" s="826"/>
      <c r="D274" s="928"/>
      <c r="E274" s="825"/>
      <c r="F274" s="825"/>
      <c r="G274" s="825"/>
      <c r="H274" s="826"/>
      <c r="I274" s="826"/>
      <c r="J274" s="827"/>
      <c r="K274" s="825"/>
      <c r="L274" s="824"/>
      <c r="M274" s="825"/>
      <c r="N274" s="825"/>
      <c r="O274" s="825"/>
      <c r="P274" s="830"/>
      <c r="Q274" s="830"/>
    </row>
    <row r="275" ht="33.0" customHeight="1">
      <c r="A275" s="811"/>
      <c r="B275" s="927"/>
      <c r="C275" s="817"/>
      <c r="D275" s="928"/>
      <c r="E275" s="816"/>
      <c r="F275" s="816"/>
      <c r="G275" s="816"/>
      <c r="H275" s="817"/>
      <c r="I275" s="817"/>
      <c r="J275" s="818"/>
      <c r="K275" s="816"/>
      <c r="L275" s="815"/>
      <c r="M275" s="816"/>
      <c r="N275" s="816"/>
      <c r="O275" s="816"/>
      <c r="P275" s="821"/>
      <c r="Q275" s="821"/>
    </row>
    <row r="276" ht="33.0" customHeight="1">
      <c r="A276" s="822"/>
      <c r="B276" s="927"/>
      <c r="C276" s="826"/>
      <c r="D276" s="928"/>
      <c r="E276" s="825"/>
      <c r="F276" s="825"/>
      <c r="G276" s="825"/>
      <c r="H276" s="826"/>
      <c r="I276" s="826"/>
      <c r="J276" s="827"/>
      <c r="K276" s="825"/>
      <c r="L276" s="824"/>
      <c r="M276" s="825"/>
      <c r="N276" s="825"/>
      <c r="O276" s="825"/>
      <c r="P276" s="830"/>
      <c r="Q276" s="830"/>
    </row>
    <row r="277" ht="33.0" customHeight="1">
      <c r="A277" s="811"/>
      <c r="B277" s="927"/>
      <c r="C277" s="817"/>
      <c r="D277" s="928"/>
      <c r="E277" s="816"/>
      <c r="F277" s="816"/>
      <c r="G277" s="816"/>
      <c r="H277" s="817"/>
      <c r="I277" s="817"/>
      <c r="J277" s="818"/>
      <c r="K277" s="816"/>
      <c r="L277" s="815"/>
      <c r="M277" s="816"/>
      <c r="N277" s="816"/>
      <c r="O277" s="816"/>
      <c r="P277" s="821"/>
      <c r="Q277" s="821"/>
    </row>
    <row r="278" ht="33.0" customHeight="1">
      <c r="A278" s="822"/>
      <c r="B278" s="927"/>
      <c r="C278" s="826"/>
      <c r="D278" s="928"/>
      <c r="E278" s="825"/>
      <c r="F278" s="825"/>
      <c r="G278" s="825"/>
      <c r="H278" s="826"/>
      <c r="I278" s="826"/>
      <c r="J278" s="827"/>
      <c r="K278" s="825"/>
      <c r="L278" s="824"/>
      <c r="M278" s="825"/>
      <c r="N278" s="825"/>
      <c r="O278" s="825"/>
      <c r="P278" s="830"/>
      <c r="Q278" s="830"/>
    </row>
    <row r="279" ht="33.0" customHeight="1">
      <c r="A279" s="811"/>
      <c r="B279" s="927"/>
      <c r="C279" s="817"/>
      <c r="D279" s="928"/>
      <c r="E279" s="816"/>
      <c r="F279" s="816"/>
      <c r="G279" s="816"/>
      <c r="H279" s="817"/>
      <c r="I279" s="817"/>
      <c r="J279" s="818"/>
      <c r="K279" s="816"/>
      <c r="L279" s="815"/>
      <c r="M279" s="816"/>
      <c r="N279" s="816"/>
      <c r="O279" s="816"/>
      <c r="P279" s="821"/>
      <c r="Q279" s="821"/>
    </row>
    <row r="280" ht="33.0" customHeight="1">
      <c r="A280" s="822"/>
      <c r="B280" s="927"/>
      <c r="C280" s="826"/>
      <c r="D280" s="928"/>
      <c r="E280" s="825"/>
      <c r="F280" s="825"/>
      <c r="G280" s="825"/>
      <c r="H280" s="826"/>
      <c r="I280" s="826"/>
      <c r="J280" s="827"/>
      <c r="K280" s="825"/>
      <c r="L280" s="824"/>
      <c r="M280" s="825"/>
      <c r="N280" s="825"/>
      <c r="O280" s="825"/>
      <c r="P280" s="830"/>
      <c r="Q280" s="830"/>
    </row>
    <row r="281" ht="33.0" customHeight="1">
      <c r="A281" s="811"/>
      <c r="B281" s="927"/>
      <c r="C281" s="817"/>
      <c r="D281" s="928"/>
      <c r="E281" s="816"/>
      <c r="F281" s="816"/>
      <c r="G281" s="816"/>
      <c r="H281" s="817"/>
      <c r="I281" s="817"/>
      <c r="J281" s="818"/>
      <c r="K281" s="816"/>
      <c r="L281" s="815"/>
      <c r="M281" s="816"/>
      <c r="N281" s="816"/>
      <c r="O281" s="816"/>
      <c r="P281" s="821"/>
      <c r="Q281" s="821"/>
    </row>
    <row r="282" ht="33.0" customHeight="1">
      <c r="A282" s="822"/>
      <c r="B282" s="927"/>
      <c r="C282" s="826"/>
      <c r="D282" s="928"/>
      <c r="E282" s="825"/>
      <c r="F282" s="825"/>
      <c r="G282" s="825"/>
      <c r="H282" s="826"/>
      <c r="I282" s="826"/>
      <c r="J282" s="827"/>
      <c r="K282" s="825"/>
      <c r="L282" s="824"/>
      <c r="M282" s="825"/>
      <c r="N282" s="825"/>
      <c r="O282" s="825"/>
      <c r="P282" s="830"/>
      <c r="Q282" s="830"/>
    </row>
    <row r="283" ht="33.0" customHeight="1">
      <c r="A283" s="811"/>
      <c r="B283" s="927"/>
      <c r="C283" s="817"/>
      <c r="D283" s="928"/>
      <c r="E283" s="816"/>
      <c r="F283" s="816"/>
      <c r="G283" s="816"/>
      <c r="H283" s="817"/>
      <c r="I283" s="817"/>
      <c r="J283" s="818"/>
      <c r="K283" s="816"/>
      <c r="L283" s="815"/>
      <c r="M283" s="816"/>
      <c r="N283" s="816"/>
      <c r="O283" s="816"/>
      <c r="P283" s="821"/>
      <c r="Q283" s="821"/>
    </row>
    <row r="284" ht="33.0" customHeight="1">
      <c r="A284" s="822"/>
      <c r="B284" s="927"/>
      <c r="C284" s="826"/>
      <c r="D284" s="928"/>
      <c r="E284" s="825"/>
      <c r="F284" s="825"/>
      <c r="G284" s="825"/>
      <c r="H284" s="826"/>
      <c r="I284" s="826"/>
      <c r="J284" s="827"/>
      <c r="K284" s="825"/>
      <c r="L284" s="824"/>
      <c r="M284" s="825"/>
      <c r="N284" s="825"/>
      <c r="O284" s="825"/>
      <c r="P284" s="830"/>
      <c r="Q284" s="830"/>
    </row>
    <row r="285" ht="33.0" customHeight="1">
      <c r="A285" s="811"/>
      <c r="B285" s="927"/>
      <c r="C285" s="817"/>
      <c r="D285" s="928"/>
      <c r="E285" s="816"/>
      <c r="F285" s="816"/>
      <c r="G285" s="816"/>
      <c r="H285" s="817"/>
      <c r="I285" s="817"/>
      <c r="J285" s="818"/>
      <c r="K285" s="816"/>
      <c r="L285" s="815"/>
      <c r="M285" s="816"/>
      <c r="N285" s="816"/>
      <c r="O285" s="816"/>
      <c r="P285" s="821"/>
      <c r="Q285" s="821"/>
    </row>
    <row r="286" ht="33.0" customHeight="1">
      <c r="A286" s="822"/>
      <c r="B286" s="927"/>
      <c r="C286" s="826"/>
      <c r="D286" s="928"/>
      <c r="E286" s="825"/>
      <c r="F286" s="825"/>
      <c r="G286" s="825"/>
      <c r="H286" s="826"/>
      <c r="I286" s="826"/>
      <c r="J286" s="827"/>
      <c r="K286" s="825"/>
      <c r="L286" s="824"/>
      <c r="M286" s="825"/>
      <c r="N286" s="825"/>
      <c r="O286" s="825"/>
      <c r="P286" s="830"/>
      <c r="Q286" s="830"/>
    </row>
    <row r="287" ht="33.0" customHeight="1">
      <c r="A287" s="811"/>
      <c r="B287" s="927"/>
      <c r="C287" s="817"/>
      <c r="D287" s="928"/>
      <c r="E287" s="816"/>
      <c r="F287" s="816"/>
      <c r="G287" s="816"/>
      <c r="H287" s="817"/>
      <c r="I287" s="817"/>
      <c r="J287" s="818"/>
      <c r="K287" s="816"/>
      <c r="L287" s="815"/>
      <c r="M287" s="816"/>
      <c r="N287" s="816"/>
      <c r="O287" s="816"/>
      <c r="P287" s="821"/>
      <c r="Q287" s="821"/>
    </row>
    <row r="288" ht="33.0" customHeight="1">
      <c r="A288" s="822"/>
      <c r="B288" s="927"/>
      <c r="C288" s="826"/>
      <c r="D288" s="928"/>
      <c r="E288" s="825"/>
      <c r="F288" s="825"/>
      <c r="G288" s="825"/>
      <c r="H288" s="826"/>
      <c r="I288" s="826"/>
      <c r="J288" s="827"/>
      <c r="K288" s="825"/>
      <c r="L288" s="824"/>
      <c r="M288" s="825"/>
      <c r="N288" s="825"/>
      <c r="O288" s="825"/>
      <c r="P288" s="830"/>
      <c r="Q288" s="830"/>
    </row>
    <row r="289" ht="33.0" customHeight="1">
      <c r="A289" s="811"/>
      <c r="B289" s="927"/>
      <c r="C289" s="817"/>
      <c r="D289" s="928"/>
      <c r="E289" s="816"/>
      <c r="F289" s="816"/>
      <c r="G289" s="816"/>
      <c r="H289" s="817"/>
      <c r="I289" s="817"/>
      <c r="J289" s="818"/>
      <c r="K289" s="816"/>
      <c r="L289" s="815"/>
      <c r="M289" s="816"/>
      <c r="N289" s="816"/>
      <c r="O289" s="816"/>
      <c r="P289" s="821"/>
      <c r="Q289" s="821"/>
    </row>
    <row r="290" ht="33.0" customHeight="1">
      <c r="A290" s="822"/>
      <c r="B290" s="927"/>
      <c r="C290" s="826"/>
      <c r="D290" s="928"/>
      <c r="E290" s="825"/>
      <c r="F290" s="825"/>
      <c r="G290" s="825"/>
      <c r="H290" s="826"/>
      <c r="I290" s="826"/>
      <c r="J290" s="827"/>
      <c r="K290" s="825"/>
      <c r="L290" s="824"/>
      <c r="M290" s="825"/>
      <c r="N290" s="825"/>
      <c r="O290" s="825"/>
      <c r="P290" s="830"/>
      <c r="Q290" s="830"/>
    </row>
    <row r="291" ht="33.0" customHeight="1">
      <c r="A291" s="811"/>
      <c r="B291" s="927"/>
      <c r="C291" s="817"/>
      <c r="D291" s="928"/>
      <c r="E291" s="816"/>
      <c r="F291" s="816"/>
      <c r="G291" s="816"/>
      <c r="H291" s="817"/>
      <c r="I291" s="817"/>
      <c r="J291" s="818"/>
      <c r="K291" s="816"/>
      <c r="L291" s="815"/>
      <c r="M291" s="816"/>
      <c r="N291" s="816"/>
      <c r="O291" s="816"/>
      <c r="P291" s="821"/>
      <c r="Q291" s="821"/>
    </row>
    <row r="292" ht="33.0" customHeight="1">
      <c r="A292" s="822"/>
      <c r="B292" s="927"/>
      <c r="C292" s="826"/>
      <c r="D292" s="928"/>
      <c r="E292" s="825"/>
      <c r="F292" s="825"/>
      <c r="G292" s="825"/>
      <c r="H292" s="826"/>
      <c r="I292" s="826"/>
      <c r="J292" s="827"/>
      <c r="K292" s="825"/>
      <c r="L292" s="824"/>
      <c r="M292" s="825"/>
      <c r="N292" s="825"/>
      <c r="O292" s="825"/>
      <c r="P292" s="830"/>
      <c r="Q292" s="830"/>
    </row>
    <row r="293" ht="33.0" customHeight="1">
      <c r="A293" s="811"/>
      <c r="B293" s="927"/>
      <c r="C293" s="817"/>
      <c r="D293" s="928"/>
      <c r="E293" s="816"/>
      <c r="F293" s="816"/>
      <c r="G293" s="816"/>
      <c r="H293" s="817"/>
      <c r="I293" s="817"/>
      <c r="J293" s="818"/>
      <c r="K293" s="816"/>
      <c r="L293" s="815"/>
      <c r="M293" s="816"/>
      <c r="N293" s="816"/>
      <c r="O293" s="816"/>
      <c r="P293" s="821"/>
      <c r="Q293" s="821"/>
    </row>
    <row r="294" ht="33.0" customHeight="1">
      <c r="A294" s="822"/>
      <c r="B294" s="927"/>
      <c r="C294" s="826"/>
      <c r="D294" s="928"/>
      <c r="E294" s="825"/>
      <c r="F294" s="825"/>
      <c r="G294" s="825"/>
      <c r="H294" s="826"/>
      <c r="I294" s="826"/>
      <c r="J294" s="827"/>
      <c r="K294" s="825"/>
      <c r="L294" s="824"/>
      <c r="M294" s="825"/>
      <c r="N294" s="825"/>
      <c r="O294" s="825"/>
      <c r="P294" s="830"/>
      <c r="Q294" s="830"/>
    </row>
    <row r="295" ht="33.0" customHeight="1">
      <c r="A295" s="811"/>
      <c r="B295" s="927"/>
      <c r="C295" s="817"/>
      <c r="D295" s="928"/>
      <c r="E295" s="816"/>
      <c r="F295" s="816"/>
      <c r="G295" s="816"/>
      <c r="H295" s="817"/>
      <c r="I295" s="817"/>
      <c r="J295" s="818"/>
      <c r="K295" s="816"/>
      <c r="L295" s="815"/>
      <c r="M295" s="816"/>
      <c r="N295" s="816"/>
      <c r="O295" s="816"/>
      <c r="P295" s="821"/>
      <c r="Q295" s="821"/>
    </row>
    <row r="296" ht="33.0" customHeight="1">
      <c r="A296" s="822"/>
      <c r="B296" s="927"/>
      <c r="C296" s="826"/>
      <c r="D296" s="928"/>
      <c r="E296" s="825"/>
      <c r="F296" s="825"/>
      <c r="G296" s="825"/>
      <c r="H296" s="826"/>
      <c r="I296" s="826"/>
      <c r="J296" s="827"/>
      <c r="K296" s="825"/>
      <c r="L296" s="824"/>
      <c r="M296" s="825"/>
      <c r="N296" s="825"/>
      <c r="O296" s="825"/>
      <c r="P296" s="830"/>
      <c r="Q296" s="830"/>
    </row>
    <row r="297" ht="33.0" customHeight="1">
      <c r="A297" s="811"/>
      <c r="B297" s="927"/>
      <c r="C297" s="817"/>
      <c r="D297" s="928"/>
      <c r="E297" s="816"/>
      <c r="F297" s="816"/>
      <c r="G297" s="816"/>
      <c r="H297" s="817"/>
      <c r="I297" s="817"/>
      <c r="J297" s="818"/>
      <c r="K297" s="816"/>
      <c r="L297" s="815"/>
      <c r="M297" s="816"/>
      <c r="N297" s="816"/>
      <c r="O297" s="816"/>
      <c r="P297" s="821"/>
      <c r="Q297" s="821"/>
    </row>
    <row r="298" ht="33.0" customHeight="1">
      <c r="A298" s="822"/>
      <c r="B298" s="927"/>
      <c r="C298" s="826"/>
      <c r="D298" s="928"/>
      <c r="E298" s="825"/>
      <c r="F298" s="825"/>
      <c r="G298" s="825"/>
      <c r="H298" s="826"/>
      <c r="I298" s="826"/>
      <c r="J298" s="827"/>
      <c r="K298" s="825"/>
      <c r="L298" s="824"/>
      <c r="M298" s="825"/>
      <c r="N298" s="825"/>
      <c r="O298" s="825"/>
      <c r="P298" s="830"/>
      <c r="Q298" s="830"/>
    </row>
    <row r="299" ht="33.0" customHeight="1">
      <c r="A299" s="811"/>
      <c r="B299" s="927"/>
      <c r="C299" s="817"/>
      <c r="D299" s="928"/>
      <c r="E299" s="816"/>
      <c r="F299" s="816"/>
      <c r="G299" s="816"/>
      <c r="H299" s="817"/>
      <c r="I299" s="817"/>
      <c r="J299" s="818"/>
      <c r="K299" s="816"/>
      <c r="L299" s="815"/>
      <c r="M299" s="816"/>
      <c r="N299" s="816"/>
      <c r="O299" s="816"/>
      <c r="P299" s="821"/>
      <c r="Q299" s="821"/>
    </row>
    <row r="300" ht="33.0" customHeight="1">
      <c r="A300" s="822"/>
      <c r="B300" s="927"/>
      <c r="C300" s="826"/>
      <c r="D300" s="928"/>
      <c r="E300" s="825"/>
      <c r="F300" s="825"/>
      <c r="G300" s="825"/>
      <c r="H300" s="826"/>
      <c r="I300" s="826"/>
      <c r="J300" s="827"/>
      <c r="K300" s="825"/>
      <c r="L300" s="824"/>
      <c r="M300" s="825"/>
      <c r="N300" s="825"/>
      <c r="O300" s="825"/>
      <c r="P300" s="830"/>
      <c r="Q300" s="830"/>
    </row>
    <row r="301" ht="33.0" customHeight="1">
      <c r="A301" s="811"/>
      <c r="B301" s="927"/>
      <c r="C301" s="817"/>
      <c r="D301" s="928"/>
      <c r="E301" s="816"/>
      <c r="F301" s="816"/>
      <c r="G301" s="816"/>
      <c r="H301" s="817"/>
      <c r="I301" s="817"/>
      <c r="J301" s="818"/>
      <c r="K301" s="816"/>
      <c r="L301" s="815"/>
      <c r="M301" s="816"/>
      <c r="N301" s="816"/>
      <c r="O301" s="816"/>
      <c r="P301" s="821"/>
      <c r="Q301" s="821"/>
    </row>
    <row r="302" ht="33.0" customHeight="1">
      <c r="A302" s="822"/>
      <c r="B302" s="927"/>
      <c r="C302" s="826"/>
      <c r="D302" s="928"/>
      <c r="E302" s="825"/>
      <c r="F302" s="825"/>
      <c r="G302" s="825"/>
      <c r="H302" s="826"/>
      <c r="I302" s="826"/>
      <c r="J302" s="827"/>
      <c r="K302" s="825"/>
      <c r="L302" s="824"/>
      <c r="M302" s="825"/>
      <c r="N302" s="825"/>
      <c r="O302" s="825"/>
      <c r="P302" s="830"/>
      <c r="Q302" s="830"/>
    </row>
    <row r="303" ht="33.0" customHeight="1">
      <c r="A303" s="811"/>
      <c r="B303" s="927"/>
      <c r="C303" s="817"/>
      <c r="D303" s="928"/>
      <c r="E303" s="816"/>
      <c r="F303" s="816"/>
      <c r="G303" s="816"/>
      <c r="H303" s="817"/>
      <c r="I303" s="817"/>
      <c r="J303" s="818"/>
      <c r="K303" s="816"/>
      <c r="L303" s="815"/>
      <c r="M303" s="816"/>
      <c r="N303" s="816"/>
      <c r="O303" s="816"/>
      <c r="P303" s="821"/>
      <c r="Q303" s="821"/>
    </row>
    <row r="304" ht="33.0" customHeight="1">
      <c r="A304" s="822"/>
      <c r="B304" s="927"/>
      <c r="C304" s="826"/>
      <c r="D304" s="928"/>
      <c r="E304" s="825"/>
      <c r="F304" s="825"/>
      <c r="G304" s="825"/>
      <c r="H304" s="826"/>
      <c r="I304" s="826"/>
      <c r="J304" s="827"/>
      <c r="K304" s="825"/>
      <c r="L304" s="824"/>
      <c r="M304" s="825"/>
      <c r="N304" s="825"/>
      <c r="O304" s="825"/>
      <c r="P304" s="830"/>
      <c r="Q304" s="830"/>
    </row>
    <row r="305" ht="33.0" customHeight="1">
      <c r="A305" s="811"/>
      <c r="B305" s="927"/>
      <c r="C305" s="817"/>
      <c r="D305" s="928"/>
      <c r="E305" s="816"/>
      <c r="F305" s="816"/>
      <c r="G305" s="816"/>
      <c r="H305" s="817"/>
      <c r="I305" s="817"/>
      <c r="J305" s="818"/>
      <c r="K305" s="816"/>
      <c r="L305" s="815"/>
      <c r="M305" s="816"/>
      <c r="N305" s="816"/>
      <c r="O305" s="816"/>
      <c r="P305" s="821"/>
      <c r="Q305" s="821"/>
    </row>
    <row r="306" ht="33.0" customHeight="1">
      <c r="A306" s="822"/>
      <c r="B306" s="927"/>
      <c r="C306" s="826"/>
      <c r="D306" s="928"/>
      <c r="E306" s="825"/>
      <c r="F306" s="825"/>
      <c r="G306" s="825"/>
      <c r="H306" s="826"/>
      <c r="I306" s="826"/>
      <c r="J306" s="827"/>
      <c r="K306" s="825"/>
      <c r="L306" s="824"/>
      <c r="M306" s="825"/>
      <c r="N306" s="825"/>
      <c r="O306" s="825"/>
      <c r="P306" s="830"/>
      <c r="Q306" s="830"/>
    </row>
    <row r="307" ht="33.0" customHeight="1">
      <c r="A307" s="811"/>
      <c r="B307" s="927"/>
      <c r="C307" s="817"/>
      <c r="D307" s="928"/>
      <c r="E307" s="816"/>
      <c r="F307" s="816"/>
      <c r="G307" s="816"/>
      <c r="H307" s="817"/>
      <c r="I307" s="817"/>
      <c r="J307" s="818"/>
      <c r="K307" s="816"/>
      <c r="L307" s="815"/>
      <c r="M307" s="816"/>
      <c r="N307" s="816"/>
      <c r="O307" s="816"/>
      <c r="P307" s="821"/>
      <c r="Q307" s="821"/>
    </row>
    <row r="308" ht="33.0" customHeight="1">
      <c r="A308" s="822"/>
      <c r="B308" s="927"/>
      <c r="C308" s="826"/>
      <c r="D308" s="928"/>
      <c r="E308" s="825"/>
      <c r="F308" s="825"/>
      <c r="G308" s="825"/>
      <c r="H308" s="826"/>
      <c r="I308" s="826"/>
      <c r="J308" s="827"/>
      <c r="K308" s="825"/>
      <c r="L308" s="824"/>
      <c r="M308" s="825"/>
      <c r="N308" s="825"/>
      <c r="O308" s="825"/>
      <c r="P308" s="830"/>
      <c r="Q308" s="830"/>
    </row>
    <row r="309" ht="33.0" customHeight="1">
      <c r="A309" s="811"/>
      <c r="B309" s="927"/>
      <c r="C309" s="817"/>
      <c r="D309" s="928"/>
      <c r="E309" s="816"/>
      <c r="F309" s="816"/>
      <c r="G309" s="816"/>
      <c r="H309" s="817"/>
      <c r="I309" s="817"/>
      <c r="J309" s="818"/>
      <c r="K309" s="816"/>
      <c r="L309" s="815"/>
      <c r="M309" s="816"/>
      <c r="N309" s="816"/>
      <c r="O309" s="816"/>
      <c r="P309" s="821"/>
      <c r="Q309" s="821"/>
    </row>
    <row r="310" ht="33.0" customHeight="1">
      <c r="A310" s="822"/>
      <c r="B310" s="927"/>
      <c r="C310" s="826"/>
      <c r="D310" s="928"/>
      <c r="E310" s="825"/>
      <c r="F310" s="825"/>
      <c r="G310" s="825"/>
      <c r="H310" s="826"/>
      <c r="I310" s="826"/>
      <c r="J310" s="827"/>
      <c r="K310" s="825"/>
      <c r="L310" s="824"/>
      <c r="M310" s="825"/>
      <c r="N310" s="825"/>
      <c r="O310" s="825"/>
      <c r="P310" s="830"/>
      <c r="Q310" s="830"/>
    </row>
    <row r="311" ht="33.0" customHeight="1">
      <c r="A311" s="811"/>
      <c r="B311" s="927"/>
      <c r="C311" s="817"/>
      <c r="D311" s="928"/>
      <c r="E311" s="816"/>
      <c r="F311" s="816"/>
      <c r="G311" s="816"/>
      <c r="H311" s="817"/>
      <c r="I311" s="817"/>
      <c r="J311" s="818"/>
      <c r="K311" s="816"/>
      <c r="L311" s="815"/>
      <c r="M311" s="816"/>
      <c r="N311" s="816"/>
      <c r="O311" s="816"/>
      <c r="P311" s="821"/>
      <c r="Q311" s="821"/>
    </row>
    <row r="312" ht="33.0" customHeight="1">
      <c r="A312" s="822"/>
      <c r="B312" s="927"/>
      <c r="C312" s="826"/>
      <c r="D312" s="928"/>
      <c r="E312" s="825"/>
      <c r="F312" s="825"/>
      <c r="G312" s="825"/>
      <c r="H312" s="826"/>
      <c r="I312" s="826"/>
      <c r="J312" s="827"/>
      <c r="K312" s="825"/>
      <c r="L312" s="824"/>
      <c r="M312" s="825"/>
      <c r="N312" s="825"/>
      <c r="O312" s="825"/>
      <c r="P312" s="830"/>
      <c r="Q312" s="830"/>
    </row>
    <row r="313" ht="33.0" customHeight="1">
      <c r="A313" s="811"/>
      <c r="B313" s="927"/>
      <c r="C313" s="817"/>
      <c r="D313" s="928"/>
      <c r="E313" s="816"/>
      <c r="F313" s="816"/>
      <c r="G313" s="816"/>
      <c r="H313" s="817"/>
      <c r="I313" s="817"/>
      <c r="J313" s="818"/>
      <c r="K313" s="816"/>
      <c r="L313" s="815"/>
      <c r="M313" s="816"/>
      <c r="N313" s="816"/>
      <c r="O313" s="816"/>
      <c r="P313" s="821"/>
      <c r="Q313" s="821"/>
    </row>
    <row r="314" ht="33.0" customHeight="1">
      <c r="A314" s="822"/>
      <c r="B314" s="927"/>
      <c r="C314" s="826"/>
      <c r="D314" s="928"/>
      <c r="E314" s="825"/>
      <c r="F314" s="825"/>
      <c r="G314" s="825"/>
      <c r="H314" s="826"/>
      <c r="I314" s="826"/>
      <c r="J314" s="827"/>
      <c r="K314" s="825"/>
      <c r="L314" s="824"/>
      <c r="M314" s="825"/>
      <c r="N314" s="825"/>
      <c r="O314" s="825"/>
      <c r="P314" s="830"/>
      <c r="Q314" s="830"/>
    </row>
    <row r="315" ht="33.0" customHeight="1">
      <c r="A315" s="811"/>
      <c r="B315" s="927"/>
      <c r="C315" s="817"/>
      <c r="D315" s="928"/>
      <c r="E315" s="816"/>
      <c r="F315" s="816"/>
      <c r="G315" s="816"/>
      <c r="H315" s="817"/>
      <c r="I315" s="817"/>
      <c r="J315" s="818"/>
      <c r="K315" s="816"/>
      <c r="L315" s="815"/>
      <c r="M315" s="816"/>
      <c r="N315" s="816"/>
      <c r="O315" s="816"/>
      <c r="P315" s="821"/>
      <c r="Q315" s="821"/>
    </row>
    <row r="316" ht="33.0" customHeight="1">
      <c r="A316" s="822"/>
      <c r="B316" s="927"/>
      <c r="C316" s="826"/>
      <c r="D316" s="928"/>
      <c r="E316" s="825"/>
      <c r="F316" s="825"/>
      <c r="G316" s="825"/>
      <c r="H316" s="826"/>
      <c r="I316" s="826"/>
      <c r="J316" s="827"/>
      <c r="K316" s="825"/>
      <c r="L316" s="824"/>
      <c r="M316" s="825"/>
      <c r="N316" s="825"/>
      <c r="O316" s="825"/>
      <c r="P316" s="830"/>
      <c r="Q316" s="830"/>
    </row>
    <row r="317" ht="33.0" customHeight="1">
      <c r="A317" s="811"/>
      <c r="B317" s="927"/>
      <c r="C317" s="817"/>
      <c r="D317" s="928"/>
      <c r="E317" s="816"/>
      <c r="F317" s="816"/>
      <c r="G317" s="816"/>
      <c r="H317" s="817"/>
      <c r="I317" s="817"/>
      <c r="J317" s="818"/>
      <c r="K317" s="816"/>
      <c r="L317" s="815"/>
      <c r="M317" s="816"/>
      <c r="N317" s="816"/>
      <c r="O317" s="816"/>
      <c r="P317" s="821"/>
      <c r="Q317" s="821"/>
    </row>
    <row r="318" ht="33.0" customHeight="1">
      <c r="A318" s="822"/>
      <c r="B318" s="927"/>
      <c r="C318" s="826"/>
      <c r="D318" s="928"/>
      <c r="E318" s="825"/>
      <c r="F318" s="825"/>
      <c r="G318" s="825"/>
      <c r="H318" s="826"/>
      <c r="I318" s="826"/>
      <c r="J318" s="827"/>
      <c r="K318" s="825"/>
      <c r="L318" s="824"/>
      <c r="M318" s="825"/>
      <c r="N318" s="825"/>
      <c r="O318" s="825"/>
      <c r="P318" s="830"/>
      <c r="Q318" s="830"/>
    </row>
    <row r="319" ht="33.0" customHeight="1">
      <c r="A319" s="811"/>
      <c r="B319" s="927"/>
      <c r="C319" s="817"/>
      <c r="D319" s="928"/>
      <c r="E319" s="816"/>
      <c r="F319" s="816"/>
      <c r="G319" s="816"/>
      <c r="H319" s="817"/>
      <c r="I319" s="817"/>
      <c r="J319" s="818"/>
      <c r="K319" s="816"/>
      <c r="L319" s="815"/>
      <c r="M319" s="816"/>
      <c r="N319" s="816"/>
      <c r="O319" s="816"/>
      <c r="P319" s="821"/>
      <c r="Q319" s="821"/>
    </row>
    <row r="320" ht="33.0" customHeight="1">
      <c r="A320" s="822"/>
      <c r="B320" s="927"/>
      <c r="C320" s="826"/>
      <c r="D320" s="928"/>
      <c r="E320" s="825"/>
      <c r="F320" s="825"/>
      <c r="G320" s="825"/>
      <c r="H320" s="826"/>
      <c r="I320" s="826"/>
      <c r="J320" s="827"/>
      <c r="K320" s="825"/>
      <c r="L320" s="824"/>
      <c r="M320" s="825"/>
      <c r="N320" s="825"/>
      <c r="O320" s="825"/>
      <c r="P320" s="830"/>
      <c r="Q320" s="830"/>
    </row>
    <row r="321" ht="33.0" customHeight="1">
      <c r="A321" s="811"/>
      <c r="B321" s="927"/>
      <c r="C321" s="817"/>
      <c r="D321" s="928"/>
      <c r="E321" s="816"/>
      <c r="F321" s="816"/>
      <c r="G321" s="816"/>
      <c r="H321" s="817"/>
      <c r="I321" s="817"/>
      <c r="J321" s="818"/>
      <c r="K321" s="816"/>
      <c r="L321" s="815"/>
      <c r="M321" s="816"/>
      <c r="N321" s="816"/>
      <c r="O321" s="816"/>
      <c r="P321" s="821"/>
      <c r="Q321" s="821"/>
    </row>
    <row r="322" ht="33.0" customHeight="1">
      <c r="A322" s="822"/>
      <c r="B322" s="927"/>
      <c r="C322" s="826"/>
      <c r="D322" s="928"/>
      <c r="E322" s="825"/>
      <c r="F322" s="825"/>
      <c r="G322" s="825"/>
      <c r="H322" s="826"/>
      <c r="I322" s="826"/>
      <c r="J322" s="827"/>
      <c r="K322" s="825"/>
      <c r="L322" s="824"/>
      <c r="M322" s="825"/>
      <c r="N322" s="825"/>
      <c r="O322" s="825"/>
      <c r="P322" s="830"/>
      <c r="Q322" s="830"/>
    </row>
    <row r="323" ht="33.0" customHeight="1">
      <c r="A323" s="811"/>
      <c r="B323" s="927"/>
      <c r="C323" s="817"/>
      <c r="D323" s="928"/>
      <c r="E323" s="816"/>
      <c r="F323" s="816"/>
      <c r="G323" s="816"/>
      <c r="H323" s="817"/>
      <c r="I323" s="817"/>
      <c r="J323" s="818"/>
      <c r="K323" s="816"/>
      <c r="L323" s="815"/>
      <c r="M323" s="816"/>
      <c r="N323" s="816"/>
      <c r="O323" s="816"/>
      <c r="P323" s="821"/>
      <c r="Q323" s="821"/>
    </row>
    <row r="324" ht="33.0" customHeight="1">
      <c r="A324" s="822"/>
      <c r="B324" s="927"/>
      <c r="C324" s="826"/>
      <c r="D324" s="928"/>
      <c r="E324" s="825"/>
      <c r="F324" s="825"/>
      <c r="G324" s="825"/>
      <c r="H324" s="826"/>
      <c r="I324" s="826"/>
      <c r="J324" s="827"/>
      <c r="K324" s="825"/>
      <c r="L324" s="824"/>
      <c r="M324" s="825"/>
      <c r="N324" s="825"/>
      <c r="O324" s="825"/>
      <c r="P324" s="830"/>
      <c r="Q324" s="830"/>
    </row>
    <row r="325" ht="33.0" customHeight="1">
      <c r="A325" s="811"/>
      <c r="B325" s="927"/>
      <c r="C325" s="817"/>
      <c r="D325" s="928"/>
      <c r="E325" s="816"/>
      <c r="F325" s="816"/>
      <c r="G325" s="816"/>
      <c r="H325" s="817"/>
      <c r="I325" s="817"/>
      <c r="J325" s="818"/>
      <c r="K325" s="816"/>
      <c r="L325" s="815"/>
      <c r="M325" s="816"/>
      <c r="N325" s="816"/>
      <c r="O325" s="816"/>
      <c r="P325" s="821"/>
      <c r="Q325" s="821"/>
    </row>
    <row r="326" ht="33.0" customHeight="1">
      <c r="A326" s="822"/>
      <c r="B326" s="927"/>
      <c r="C326" s="826"/>
      <c r="D326" s="928"/>
      <c r="E326" s="825"/>
      <c r="F326" s="825"/>
      <c r="G326" s="825"/>
      <c r="H326" s="826"/>
      <c r="I326" s="826"/>
      <c r="J326" s="827"/>
      <c r="K326" s="825"/>
      <c r="L326" s="824"/>
      <c r="M326" s="825"/>
      <c r="N326" s="825"/>
      <c r="O326" s="825"/>
      <c r="P326" s="830"/>
      <c r="Q326" s="830"/>
    </row>
    <row r="327" ht="33.0" customHeight="1">
      <c r="A327" s="811"/>
      <c r="B327" s="927"/>
      <c r="C327" s="817"/>
      <c r="D327" s="928"/>
      <c r="E327" s="816"/>
      <c r="F327" s="816"/>
      <c r="G327" s="816"/>
      <c r="H327" s="817"/>
      <c r="I327" s="817"/>
      <c r="J327" s="818"/>
      <c r="K327" s="816"/>
      <c r="L327" s="815"/>
      <c r="M327" s="816"/>
      <c r="N327" s="816"/>
      <c r="O327" s="816"/>
      <c r="P327" s="821"/>
      <c r="Q327" s="821"/>
    </row>
    <row r="328" ht="33.0" customHeight="1">
      <c r="A328" s="822"/>
      <c r="B328" s="927"/>
      <c r="C328" s="826"/>
      <c r="D328" s="928"/>
      <c r="E328" s="825"/>
      <c r="F328" s="825"/>
      <c r="G328" s="825"/>
      <c r="H328" s="826"/>
      <c r="I328" s="826"/>
      <c r="J328" s="827"/>
      <c r="K328" s="825"/>
      <c r="L328" s="824"/>
      <c r="M328" s="825"/>
      <c r="N328" s="825"/>
      <c r="O328" s="825"/>
      <c r="P328" s="830"/>
      <c r="Q328" s="830"/>
    </row>
    <row r="329" ht="33.0" customHeight="1">
      <c r="A329" s="811"/>
      <c r="B329" s="927"/>
      <c r="C329" s="817"/>
      <c r="D329" s="928"/>
      <c r="E329" s="816"/>
      <c r="F329" s="816"/>
      <c r="G329" s="816"/>
      <c r="H329" s="817"/>
      <c r="I329" s="817"/>
      <c r="J329" s="818"/>
      <c r="K329" s="816"/>
      <c r="L329" s="815"/>
      <c r="M329" s="816"/>
      <c r="N329" s="816"/>
      <c r="O329" s="816"/>
      <c r="P329" s="821"/>
      <c r="Q329" s="821"/>
    </row>
    <row r="330" ht="33.0" customHeight="1">
      <c r="A330" s="822"/>
      <c r="B330" s="927"/>
      <c r="C330" s="826"/>
      <c r="D330" s="928"/>
      <c r="E330" s="825"/>
      <c r="F330" s="825"/>
      <c r="G330" s="825"/>
      <c r="H330" s="826"/>
      <c r="I330" s="826"/>
      <c r="J330" s="827"/>
      <c r="K330" s="825"/>
      <c r="L330" s="824"/>
      <c r="M330" s="825"/>
      <c r="N330" s="825"/>
      <c r="O330" s="825"/>
      <c r="P330" s="830"/>
      <c r="Q330" s="830"/>
    </row>
    <row r="331" ht="33.0" customHeight="1">
      <c r="A331" s="811"/>
      <c r="B331" s="927"/>
      <c r="C331" s="817"/>
      <c r="D331" s="928"/>
      <c r="E331" s="816"/>
      <c r="F331" s="816"/>
      <c r="G331" s="816"/>
      <c r="H331" s="817"/>
      <c r="I331" s="817"/>
      <c r="J331" s="818"/>
      <c r="K331" s="816"/>
      <c r="L331" s="815"/>
      <c r="M331" s="816"/>
      <c r="N331" s="816"/>
      <c r="O331" s="816"/>
      <c r="P331" s="821"/>
      <c r="Q331" s="821"/>
    </row>
    <row r="332" ht="33.0" customHeight="1">
      <c r="A332" s="822"/>
      <c r="B332" s="927"/>
      <c r="C332" s="826"/>
      <c r="D332" s="928"/>
      <c r="E332" s="825"/>
      <c r="F332" s="825"/>
      <c r="G332" s="825"/>
      <c r="H332" s="826"/>
      <c r="I332" s="826"/>
      <c r="J332" s="827"/>
      <c r="K332" s="825"/>
      <c r="L332" s="824"/>
      <c r="M332" s="825"/>
      <c r="N332" s="825"/>
      <c r="O332" s="825"/>
      <c r="P332" s="830"/>
      <c r="Q332" s="830"/>
    </row>
    <row r="333" ht="33.0" customHeight="1">
      <c r="A333" s="811"/>
      <c r="B333" s="927"/>
      <c r="C333" s="817"/>
      <c r="D333" s="928"/>
      <c r="E333" s="816"/>
      <c r="F333" s="816"/>
      <c r="G333" s="816"/>
      <c r="H333" s="817"/>
      <c r="I333" s="817"/>
      <c r="J333" s="818"/>
      <c r="K333" s="816"/>
      <c r="L333" s="815"/>
      <c r="M333" s="816"/>
      <c r="N333" s="816"/>
      <c r="O333" s="816"/>
      <c r="P333" s="821"/>
      <c r="Q333" s="821"/>
    </row>
    <row r="334" ht="33.0" customHeight="1">
      <c r="A334" s="822"/>
      <c r="B334" s="927"/>
      <c r="C334" s="826"/>
      <c r="D334" s="928"/>
      <c r="E334" s="825"/>
      <c r="F334" s="825"/>
      <c r="G334" s="825"/>
      <c r="H334" s="826"/>
      <c r="I334" s="826"/>
      <c r="J334" s="827"/>
      <c r="K334" s="825"/>
      <c r="L334" s="824"/>
      <c r="M334" s="825"/>
      <c r="N334" s="825"/>
      <c r="O334" s="825"/>
      <c r="P334" s="830"/>
      <c r="Q334" s="830"/>
    </row>
    <row r="335" ht="33.0" customHeight="1">
      <c r="A335" s="811"/>
      <c r="B335" s="927"/>
      <c r="C335" s="817"/>
      <c r="D335" s="928"/>
      <c r="E335" s="816"/>
      <c r="F335" s="816"/>
      <c r="G335" s="816"/>
      <c r="H335" s="817"/>
      <c r="I335" s="817"/>
      <c r="J335" s="818"/>
      <c r="K335" s="816"/>
      <c r="L335" s="815"/>
      <c r="M335" s="816"/>
      <c r="N335" s="816"/>
      <c r="O335" s="816"/>
      <c r="P335" s="821"/>
      <c r="Q335" s="821"/>
    </row>
    <row r="336" ht="33.0" customHeight="1">
      <c r="A336" s="822"/>
      <c r="B336" s="927"/>
      <c r="C336" s="826"/>
      <c r="D336" s="928"/>
      <c r="E336" s="825"/>
      <c r="F336" s="825"/>
      <c r="G336" s="825"/>
      <c r="H336" s="826"/>
      <c r="I336" s="826"/>
      <c r="J336" s="827"/>
      <c r="K336" s="825"/>
      <c r="L336" s="824"/>
      <c r="M336" s="825"/>
      <c r="N336" s="825"/>
      <c r="O336" s="825"/>
      <c r="P336" s="830"/>
      <c r="Q336" s="830"/>
    </row>
    <row r="337" ht="33.0" customHeight="1">
      <c r="A337" s="811"/>
      <c r="B337" s="927"/>
      <c r="C337" s="817"/>
      <c r="D337" s="928"/>
      <c r="E337" s="816"/>
      <c r="F337" s="816"/>
      <c r="G337" s="816"/>
      <c r="H337" s="817"/>
      <c r="I337" s="817"/>
      <c r="J337" s="818"/>
      <c r="K337" s="816"/>
      <c r="L337" s="815"/>
      <c r="M337" s="816"/>
      <c r="N337" s="816"/>
      <c r="O337" s="816"/>
      <c r="P337" s="821"/>
      <c r="Q337" s="821"/>
    </row>
    <row r="338" ht="33.0" customHeight="1">
      <c r="A338" s="822"/>
      <c r="B338" s="927"/>
      <c r="C338" s="826"/>
      <c r="D338" s="928"/>
      <c r="E338" s="825"/>
      <c r="F338" s="825"/>
      <c r="G338" s="825"/>
      <c r="H338" s="826"/>
      <c r="I338" s="826"/>
      <c r="J338" s="827"/>
      <c r="K338" s="825"/>
      <c r="L338" s="824"/>
      <c r="M338" s="825"/>
      <c r="N338" s="825"/>
      <c r="O338" s="825"/>
      <c r="P338" s="830"/>
      <c r="Q338" s="830"/>
    </row>
    <row r="339" ht="33.0" customHeight="1">
      <c r="A339" s="811"/>
      <c r="B339" s="927"/>
      <c r="C339" s="817"/>
      <c r="D339" s="928"/>
      <c r="E339" s="816"/>
      <c r="F339" s="816"/>
      <c r="G339" s="816"/>
      <c r="H339" s="817"/>
      <c r="I339" s="817"/>
      <c r="J339" s="818"/>
      <c r="K339" s="816"/>
      <c r="L339" s="815"/>
      <c r="M339" s="816"/>
      <c r="N339" s="816"/>
      <c r="O339" s="816"/>
      <c r="P339" s="821"/>
      <c r="Q339" s="821"/>
    </row>
    <row r="340" ht="33.0" customHeight="1">
      <c r="A340" s="822"/>
      <c r="B340" s="927"/>
      <c r="C340" s="826"/>
      <c r="D340" s="928"/>
      <c r="E340" s="825"/>
      <c r="F340" s="825"/>
      <c r="G340" s="825"/>
      <c r="H340" s="826"/>
      <c r="I340" s="826"/>
      <c r="J340" s="827"/>
      <c r="K340" s="825"/>
      <c r="L340" s="824"/>
      <c r="M340" s="825"/>
      <c r="N340" s="825"/>
      <c r="O340" s="825"/>
      <c r="P340" s="830"/>
      <c r="Q340" s="830"/>
    </row>
    <row r="341" ht="33.0" customHeight="1">
      <c r="A341" s="811"/>
      <c r="B341" s="927"/>
      <c r="C341" s="817"/>
      <c r="D341" s="928"/>
      <c r="E341" s="816"/>
      <c r="F341" s="816"/>
      <c r="G341" s="816"/>
      <c r="H341" s="817"/>
      <c r="I341" s="817"/>
      <c r="J341" s="818"/>
      <c r="K341" s="816"/>
      <c r="L341" s="815"/>
      <c r="M341" s="816"/>
      <c r="N341" s="816"/>
      <c r="O341" s="816"/>
      <c r="P341" s="821"/>
      <c r="Q341" s="821"/>
    </row>
    <row r="342" ht="33.0" customHeight="1">
      <c r="A342" s="822"/>
      <c r="B342" s="927"/>
      <c r="C342" s="826"/>
      <c r="D342" s="928"/>
      <c r="E342" s="825"/>
      <c r="F342" s="825"/>
      <c r="G342" s="825"/>
      <c r="H342" s="826"/>
      <c r="I342" s="826"/>
      <c r="J342" s="827"/>
      <c r="K342" s="825"/>
      <c r="L342" s="824"/>
      <c r="M342" s="825"/>
      <c r="N342" s="825"/>
      <c r="O342" s="825"/>
      <c r="P342" s="830"/>
      <c r="Q342" s="830"/>
    </row>
    <row r="343" ht="33.0" customHeight="1">
      <c r="A343" s="811"/>
      <c r="B343" s="927"/>
      <c r="C343" s="817"/>
      <c r="D343" s="928"/>
      <c r="E343" s="816"/>
      <c r="F343" s="816"/>
      <c r="G343" s="816"/>
      <c r="H343" s="817"/>
      <c r="I343" s="817"/>
      <c r="J343" s="818"/>
      <c r="K343" s="816"/>
      <c r="L343" s="815"/>
      <c r="M343" s="816"/>
      <c r="N343" s="816"/>
      <c r="O343" s="816"/>
      <c r="P343" s="821"/>
      <c r="Q343" s="821"/>
    </row>
    <row r="344" ht="33.0" customHeight="1">
      <c r="A344" s="822"/>
      <c r="B344" s="927"/>
      <c r="C344" s="826"/>
      <c r="D344" s="928"/>
      <c r="E344" s="825"/>
      <c r="F344" s="825"/>
      <c r="G344" s="825"/>
      <c r="H344" s="826"/>
      <c r="I344" s="826"/>
      <c r="J344" s="827"/>
      <c r="K344" s="825"/>
      <c r="L344" s="824"/>
      <c r="M344" s="825"/>
      <c r="N344" s="825"/>
      <c r="O344" s="825"/>
      <c r="P344" s="830"/>
      <c r="Q344" s="830"/>
    </row>
    <row r="345" ht="33.0" customHeight="1">
      <c r="A345" s="811"/>
      <c r="B345" s="927"/>
      <c r="C345" s="817"/>
      <c r="D345" s="928"/>
      <c r="E345" s="816"/>
      <c r="F345" s="816"/>
      <c r="G345" s="816"/>
      <c r="H345" s="817"/>
      <c r="I345" s="817"/>
      <c r="J345" s="818"/>
      <c r="K345" s="816"/>
      <c r="L345" s="815"/>
      <c r="M345" s="816"/>
      <c r="N345" s="816"/>
      <c r="O345" s="816"/>
      <c r="P345" s="821"/>
      <c r="Q345" s="821"/>
    </row>
    <row r="346" ht="33.0" customHeight="1">
      <c r="A346" s="822"/>
      <c r="B346" s="927"/>
      <c r="C346" s="826"/>
      <c r="D346" s="928"/>
      <c r="E346" s="825"/>
      <c r="F346" s="825"/>
      <c r="G346" s="825"/>
      <c r="H346" s="826"/>
      <c r="I346" s="826"/>
      <c r="J346" s="827"/>
      <c r="K346" s="825"/>
      <c r="L346" s="824"/>
      <c r="M346" s="825"/>
      <c r="N346" s="825"/>
      <c r="O346" s="825"/>
      <c r="P346" s="830"/>
      <c r="Q346" s="830"/>
    </row>
    <row r="347" ht="33.0" customHeight="1">
      <c r="A347" s="811"/>
      <c r="B347" s="927"/>
      <c r="C347" s="817"/>
      <c r="D347" s="928"/>
      <c r="E347" s="816"/>
      <c r="F347" s="816"/>
      <c r="G347" s="816"/>
      <c r="H347" s="817"/>
      <c r="I347" s="817"/>
      <c r="J347" s="818"/>
      <c r="K347" s="816"/>
      <c r="L347" s="815"/>
      <c r="M347" s="816"/>
      <c r="N347" s="816"/>
      <c r="O347" s="816"/>
      <c r="P347" s="821"/>
      <c r="Q347" s="821"/>
    </row>
    <row r="348" ht="33.0" customHeight="1">
      <c r="A348" s="822"/>
      <c r="B348" s="927"/>
      <c r="C348" s="826"/>
      <c r="D348" s="928"/>
      <c r="E348" s="825"/>
      <c r="F348" s="825"/>
      <c r="G348" s="825"/>
      <c r="H348" s="826"/>
      <c r="I348" s="826"/>
      <c r="J348" s="827"/>
      <c r="K348" s="825"/>
      <c r="L348" s="824"/>
      <c r="M348" s="825"/>
      <c r="N348" s="825"/>
      <c r="O348" s="825"/>
      <c r="P348" s="830"/>
      <c r="Q348" s="830"/>
    </row>
    <row r="349" ht="33.0" customHeight="1">
      <c r="A349" s="811"/>
      <c r="B349" s="927"/>
      <c r="C349" s="817"/>
      <c r="D349" s="928"/>
      <c r="E349" s="816"/>
      <c r="F349" s="816"/>
      <c r="G349" s="816"/>
      <c r="H349" s="817"/>
      <c r="I349" s="817"/>
      <c r="J349" s="818"/>
      <c r="K349" s="816"/>
      <c r="L349" s="815"/>
      <c r="M349" s="816"/>
      <c r="N349" s="816"/>
      <c r="O349" s="816"/>
      <c r="P349" s="821"/>
      <c r="Q349" s="821"/>
    </row>
    <row r="350" ht="33.0" customHeight="1">
      <c r="A350" s="822"/>
      <c r="B350" s="927"/>
      <c r="C350" s="826"/>
      <c r="D350" s="928"/>
      <c r="E350" s="825"/>
      <c r="F350" s="825"/>
      <c r="G350" s="825"/>
      <c r="H350" s="826"/>
      <c r="I350" s="826"/>
      <c r="J350" s="827"/>
      <c r="K350" s="825"/>
      <c r="L350" s="824"/>
      <c r="M350" s="825"/>
      <c r="N350" s="825"/>
      <c r="O350" s="825"/>
      <c r="P350" s="830"/>
      <c r="Q350" s="830"/>
    </row>
    <row r="351" ht="33.0" customHeight="1">
      <c r="A351" s="811"/>
      <c r="B351" s="927"/>
      <c r="C351" s="817"/>
      <c r="D351" s="928"/>
      <c r="E351" s="816"/>
      <c r="F351" s="816"/>
      <c r="G351" s="816"/>
      <c r="H351" s="817"/>
      <c r="I351" s="817"/>
      <c r="J351" s="818"/>
      <c r="K351" s="816"/>
      <c r="L351" s="815"/>
      <c r="M351" s="816"/>
      <c r="N351" s="816"/>
      <c r="O351" s="816"/>
      <c r="P351" s="821"/>
      <c r="Q351" s="821"/>
    </row>
    <row r="352" ht="33.0" customHeight="1">
      <c r="A352" s="822"/>
      <c r="B352" s="927"/>
      <c r="C352" s="826"/>
      <c r="D352" s="928"/>
      <c r="E352" s="825"/>
      <c r="F352" s="825"/>
      <c r="G352" s="825"/>
      <c r="H352" s="826"/>
      <c r="I352" s="826"/>
      <c r="J352" s="827"/>
      <c r="K352" s="825"/>
      <c r="L352" s="824"/>
      <c r="M352" s="825"/>
      <c r="N352" s="825"/>
      <c r="O352" s="825"/>
      <c r="P352" s="830"/>
      <c r="Q352" s="830"/>
    </row>
    <row r="353" ht="33.0" customHeight="1">
      <c r="A353" s="811"/>
      <c r="B353" s="927"/>
      <c r="C353" s="817"/>
      <c r="D353" s="928"/>
      <c r="E353" s="816"/>
      <c r="F353" s="816"/>
      <c r="G353" s="816"/>
      <c r="H353" s="817"/>
      <c r="I353" s="817"/>
      <c r="J353" s="818"/>
      <c r="K353" s="816"/>
      <c r="L353" s="815"/>
      <c r="M353" s="816"/>
      <c r="N353" s="816"/>
      <c r="O353" s="816"/>
      <c r="P353" s="821"/>
      <c r="Q353" s="821"/>
    </row>
    <row r="354" ht="33.0" customHeight="1">
      <c r="A354" s="822"/>
      <c r="B354" s="927"/>
      <c r="C354" s="826"/>
      <c r="D354" s="928"/>
      <c r="E354" s="825"/>
      <c r="F354" s="825"/>
      <c r="G354" s="825"/>
      <c r="H354" s="826"/>
      <c r="I354" s="826"/>
      <c r="J354" s="827"/>
      <c r="K354" s="825"/>
      <c r="L354" s="824"/>
      <c r="M354" s="825"/>
      <c r="N354" s="825"/>
      <c r="O354" s="825"/>
      <c r="P354" s="830"/>
      <c r="Q354" s="830"/>
    </row>
    <row r="355" ht="33.0" customHeight="1">
      <c r="A355" s="811"/>
      <c r="B355" s="927"/>
      <c r="C355" s="817"/>
      <c r="D355" s="928"/>
      <c r="E355" s="816"/>
      <c r="F355" s="816"/>
      <c r="G355" s="816"/>
      <c r="H355" s="817"/>
      <c r="I355" s="817"/>
      <c r="J355" s="818"/>
      <c r="K355" s="816"/>
      <c r="L355" s="815"/>
      <c r="M355" s="816"/>
      <c r="N355" s="816"/>
      <c r="O355" s="816"/>
      <c r="P355" s="821"/>
      <c r="Q355" s="821"/>
    </row>
    <row r="356" ht="33.0" customHeight="1">
      <c r="A356" s="822"/>
      <c r="B356" s="927"/>
      <c r="C356" s="826"/>
      <c r="D356" s="928"/>
      <c r="E356" s="825"/>
      <c r="F356" s="825"/>
      <c r="G356" s="825"/>
      <c r="H356" s="826"/>
      <c r="I356" s="826"/>
      <c r="J356" s="827"/>
      <c r="K356" s="825"/>
      <c r="L356" s="824"/>
      <c r="M356" s="825"/>
      <c r="N356" s="825"/>
      <c r="O356" s="825"/>
      <c r="P356" s="830"/>
      <c r="Q356" s="830"/>
    </row>
    <row r="357" ht="33.0" customHeight="1">
      <c r="A357" s="811"/>
      <c r="B357" s="927"/>
      <c r="C357" s="817"/>
      <c r="D357" s="928"/>
      <c r="E357" s="816"/>
      <c r="F357" s="816"/>
      <c r="G357" s="816"/>
      <c r="H357" s="817"/>
      <c r="I357" s="817"/>
      <c r="J357" s="818"/>
      <c r="K357" s="816"/>
      <c r="L357" s="815"/>
      <c r="M357" s="816"/>
      <c r="N357" s="816"/>
      <c r="O357" s="816"/>
      <c r="P357" s="821"/>
      <c r="Q357" s="821"/>
    </row>
    <row r="358" ht="33.0" customHeight="1">
      <c r="A358" s="822"/>
      <c r="B358" s="927"/>
      <c r="C358" s="826"/>
      <c r="D358" s="928"/>
      <c r="E358" s="825"/>
      <c r="F358" s="825"/>
      <c r="G358" s="825"/>
      <c r="H358" s="826"/>
      <c r="I358" s="826"/>
      <c r="J358" s="827"/>
      <c r="K358" s="825"/>
      <c r="L358" s="824"/>
      <c r="M358" s="825"/>
      <c r="N358" s="825"/>
      <c r="O358" s="825"/>
      <c r="P358" s="830"/>
      <c r="Q358" s="830"/>
    </row>
    <row r="359" ht="33.0" customHeight="1">
      <c r="A359" s="811"/>
      <c r="B359" s="927"/>
      <c r="C359" s="817"/>
      <c r="D359" s="928"/>
      <c r="E359" s="816"/>
      <c r="F359" s="816"/>
      <c r="G359" s="816"/>
      <c r="H359" s="817"/>
      <c r="I359" s="817"/>
      <c r="J359" s="818"/>
      <c r="K359" s="816"/>
      <c r="L359" s="815"/>
      <c r="M359" s="816"/>
      <c r="N359" s="816"/>
      <c r="O359" s="816"/>
      <c r="P359" s="821"/>
      <c r="Q359" s="821"/>
    </row>
    <row r="360" ht="33.0" customHeight="1">
      <c r="A360" s="822"/>
      <c r="B360" s="927"/>
      <c r="C360" s="826"/>
      <c r="D360" s="928"/>
      <c r="E360" s="825"/>
      <c r="F360" s="825"/>
      <c r="G360" s="825"/>
      <c r="H360" s="826"/>
      <c r="I360" s="826"/>
      <c r="J360" s="827"/>
      <c r="K360" s="825"/>
      <c r="L360" s="824"/>
      <c r="M360" s="825"/>
      <c r="N360" s="825"/>
      <c r="O360" s="825"/>
      <c r="P360" s="830"/>
      <c r="Q360" s="830"/>
    </row>
    <row r="361" ht="33.0" customHeight="1">
      <c r="A361" s="811"/>
      <c r="B361" s="927"/>
      <c r="C361" s="817"/>
      <c r="D361" s="928"/>
      <c r="E361" s="816"/>
      <c r="F361" s="816"/>
      <c r="G361" s="816"/>
      <c r="H361" s="817"/>
      <c r="I361" s="817"/>
      <c r="J361" s="818"/>
      <c r="K361" s="816"/>
      <c r="L361" s="815"/>
      <c r="M361" s="816"/>
      <c r="N361" s="816"/>
      <c r="O361" s="816"/>
      <c r="P361" s="821"/>
      <c r="Q361" s="821"/>
    </row>
    <row r="362" ht="33.0" customHeight="1">
      <c r="A362" s="822"/>
      <c r="B362" s="927"/>
      <c r="C362" s="826"/>
      <c r="D362" s="928"/>
      <c r="E362" s="825"/>
      <c r="F362" s="825"/>
      <c r="G362" s="825"/>
      <c r="H362" s="826"/>
      <c r="I362" s="826"/>
      <c r="J362" s="827"/>
      <c r="K362" s="825"/>
      <c r="L362" s="824"/>
      <c r="M362" s="825"/>
      <c r="N362" s="825"/>
      <c r="O362" s="825"/>
      <c r="P362" s="830"/>
      <c r="Q362" s="830"/>
    </row>
    <row r="363" ht="33.0" customHeight="1">
      <c r="A363" s="811"/>
      <c r="B363" s="927"/>
      <c r="C363" s="817"/>
      <c r="D363" s="928"/>
      <c r="E363" s="816"/>
      <c r="F363" s="816"/>
      <c r="G363" s="816"/>
      <c r="H363" s="817"/>
      <c r="I363" s="817"/>
      <c r="J363" s="818"/>
      <c r="K363" s="816"/>
      <c r="L363" s="815"/>
      <c r="M363" s="816"/>
      <c r="N363" s="816"/>
      <c r="O363" s="816"/>
      <c r="P363" s="821"/>
      <c r="Q363" s="821"/>
    </row>
    <row r="364" ht="33.0" customHeight="1">
      <c r="A364" s="822"/>
      <c r="B364" s="927"/>
      <c r="C364" s="826"/>
      <c r="D364" s="928"/>
      <c r="E364" s="825"/>
      <c r="F364" s="825"/>
      <c r="G364" s="825"/>
      <c r="H364" s="826"/>
      <c r="I364" s="826"/>
      <c r="J364" s="827"/>
      <c r="K364" s="825"/>
      <c r="L364" s="824"/>
      <c r="M364" s="825"/>
      <c r="N364" s="825"/>
      <c r="O364" s="825"/>
      <c r="P364" s="830"/>
      <c r="Q364" s="830"/>
    </row>
    <row r="365" ht="33.0" customHeight="1">
      <c r="A365" s="811"/>
      <c r="B365" s="927"/>
      <c r="C365" s="817"/>
      <c r="D365" s="928"/>
      <c r="E365" s="816"/>
      <c r="F365" s="816"/>
      <c r="G365" s="816"/>
      <c r="H365" s="817"/>
      <c r="I365" s="817"/>
      <c r="J365" s="818"/>
      <c r="K365" s="816"/>
      <c r="L365" s="815"/>
      <c r="M365" s="816"/>
      <c r="N365" s="816"/>
      <c r="O365" s="816"/>
      <c r="P365" s="821"/>
      <c r="Q365" s="821"/>
    </row>
    <row r="366" ht="33.0" customHeight="1">
      <c r="A366" s="822"/>
      <c r="B366" s="927"/>
      <c r="C366" s="826"/>
      <c r="D366" s="928"/>
      <c r="E366" s="825"/>
      <c r="F366" s="825"/>
      <c r="G366" s="825"/>
      <c r="H366" s="826"/>
      <c r="I366" s="826"/>
      <c r="J366" s="827"/>
      <c r="K366" s="825"/>
      <c r="L366" s="824"/>
      <c r="M366" s="825"/>
      <c r="N366" s="825"/>
      <c r="O366" s="825"/>
      <c r="P366" s="830"/>
      <c r="Q366" s="830"/>
    </row>
    <row r="367" ht="33.0" customHeight="1">
      <c r="A367" s="811"/>
      <c r="B367" s="927"/>
      <c r="C367" s="817"/>
      <c r="D367" s="928"/>
      <c r="E367" s="816"/>
      <c r="F367" s="816"/>
      <c r="G367" s="816"/>
      <c r="H367" s="817"/>
      <c r="I367" s="817"/>
      <c r="J367" s="818"/>
      <c r="K367" s="816"/>
      <c r="L367" s="815"/>
      <c r="M367" s="816"/>
      <c r="N367" s="816"/>
      <c r="O367" s="816"/>
      <c r="P367" s="821"/>
      <c r="Q367" s="821"/>
    </row>
    <row r="368" ht="33.0" customHeight="1">
      <c r="A368" s="822"/>
      <c r="B368" s="927"/>
      <c r="C368" s="826"/>
      <c r="D368" s="928"/>
      <c r="E368" s="825"/>
      <c r="F368" s="825"/>
      <c r="G368" s="825"/>
      <c r="H368" s="826"/>
      <c r="I368" s="826"/>
      <c r="J368" s="827"/>
      <c r="K368" s="825"/>
      <c r="L368" s="824"/>
      <c r="M368" s="825"/>
      <c r="N368" s="825"/>
      <c r="O368" s="825"/>
      <c r="P368" s="830"/>
      <c r="Q368" s="830"/>
    </row>
    <row r="369" ht="33.0" customHeight="1">
      <c r="A369" s="811"/>
      <c r="B369" s="927"/>
      <c r="C369" s="817"/>
      <c r="D369" s="928"/>
      <c r="E369" s="816"/>
      <c r="F369" s="816"/>
      <c r="G369" s="816"/>
      <c r="H369" s="817"/>
      <c r="I369" s="817"/>
      <c r="J369" s="818"/>
      <c r="K369" s="816"/>
      <c r="L369" s="815"/>
      <c r="M369" s="816"/>
      <c r="N369" s="816"/>
      <c r="O369" s="816"/>
      <c r="P369" s="821"/>
      <c r="Q369" s="821"/>
    </row>
    <row r="370" ht="33.0" customHeight="1">
      <c r="A370" s="822"/>
      <c r="B370" s="927"/>
      <c r="C370" s="826"/>
      <c r="D370" s="928"/>
      <c r="E370" s="825"/>
      <c r="F370" s="825"/>
      <c r="G370" s="825"/>
      <c r="H370" s="826"/>
      <c r="I370" s="826"/>
      <c r="J370" s="827"/>
      <c r="K370" s="825"/>
      <c r="L370" s="824"/>
      <c r="M370" s="825"/>
      <c r="N370" s="825"/>
      <c r="O370" s="825"/>
      <c r="P370" s="830"/>
      <c r="Q370" s="830"/>
    </row>
    <row r="371" ht="33.0" customHeight="1">
      <c r="A371" s="811"/>
      <c r="B371" s="927"/>
      <c r="C371" s="817"/>
      <c r="D371" s="928"/>
      <c r="E371" s="816"/>
      <c r="F371" s="816"/>
      <c r="G371" s="816"/>
      <c r="H371" s="817"/>
      <c r="I371" s="817"/>
      <c r="J371" s="818"/>
      <c r="K371" s="816"/>
      <c r="L371" s="815"/>
      <c r="M371" s="816"/>
      <c r="N371" s="816"/>
      <c r="O371" s="816"/>
      <c r="P371" s="821"/>
      <c r="Q371" s="821"/>
    </row>
    <row r="372" ht="33.0" customHeight="1">
      <c r="A372" s="822"/>
      <c r="B372" s="927"/>
      <c r="C372" s="826"/>
      <c r="D372" s="928"/>
      <c r="E372" s="825"/>
      <c r="F372" s="825"/>
      <c r="G372" s="825"/>
      <c r="H372" s="826"/>
      <c r="I372" s="826"/>
      <c r="J372" s="827"/>
      <c r="K372" s="825"/>
      <c r="L372" s="824"/>
      <c r="M372" s="825"/>
      <c r="N372" s="825"/>
      <c r="O372" s="825"/>
      <c r="P372" s="830"/>
      <c r="Q372" s="830"/>
    </row>
    <row r="373" ht="33.0" customHeight="1">
      <c r="A373" s="811"/>
      <c r="B373" s="927"/>
      <c r="C373" s="817"/>
      <c r="D373" s="928"/>
      <c r="E373" s="816"/>
      <c r="F373" s="816"/>
      <c r="G373" s="816"/>
      <c r="H373" s="817"/>
      <c r="I373" s="817"/>
      <c r="J373" s="818"/>
      <c r="K373" s="816"/>
      <c r="L373" s="815"/>
      <c r="M373" s="816"/>
      <c r="N373" s="816"/>
      <c r="O373" s="816"/>
      <c r="P373" s="821"/>
      <c r="Q373" s="821"/>
    </row>
    <row r="374" ht="33.0" customHeight="1">
      <c r="A374" s="822"/>
      <c r="B374" s="927"/>
      <c r="C374" s="826"/>
      <c r="D374" s="928"/>
      <c r="E374" s="825"/>
      <c r="F374" s="825"/>
      <c r="G374" s="825"/>
      <c r="H374" s="826"/>
      <c r="I374" s="826"/>
      <c r="J374" s="827"/>
      <c r="K374" s="825"/>
      <c r="L374" s="824"/>
      <c r="M374" s="825"/>
      <c r="N374" s="825"/>
      <c r="O374" s="825"/>
      <c r="P374" s="830"/>
      <c r="Q374" s="830"/>
    </row>
    <row r="375" ht="33.0" customHeight="1">
      <c r="A375" s="811"/>
      <c r="B375" s="927"/>
      <c r="C375" s="817"/>
      <c r="D375" s="928"/>
      <c r="E375" s="816"/>
      <c r="F375" s="816"/>
      <c r="G375" s="816"/>
      <c r="H375" s="817"/>
      <c r="I375" s="817"/>
      <c r="J375" s="818"/>
      <c r="K375" s="816"/>
      <c r="L375" s="815"/>
      <c r="M375" s="816"/>
      <c r="N375" s="816"/>
      <c r="O375" s="816"/>
      <c r="P375" s="821"/>
      <c r="Q375" s="821"/>
    </row>
    <row r="376" ht="33.0" customHeight="1">
      <c r="A376" s="822"/>
      <c r="B376" s="927"/>
      <c r="C376" s="826"/>
      <c r="D376" s="928"/>
      <c r="E376" s="825"/>
      <c r="F376" s="825"/>
      <c r="G376" s="825"/>
      <c r="H376" s="826"/>
      <c r="I376" s="826"/>
      <c r="J376" s="827"/>
      <c r="K376" s="825"/>
      <c r="L376" s="824"/>
      <c r="M376" s="825"/>
      <c r="N376" s="825"/>
      <c r="O376" s="825"/>
      <c r="P376" s="830"/>
      <c r="Q376" s="830"/>
    </row>
    <row r="377" ht="33.0" customHeight="1">
      <c r="A377" s="811"/>
      <c r="B377" s="927"/>
      <c r="C377" s="817"/>
      <c r="D377" s="928"/>
      <c r="E377" s="816"/>
      <c r="F377" s="816"/>
      <c r="G377" s="816"/>
      <c r="H377" s="817"/>
      <c r="I377" s="817"/>
      <c r="J377" s="818"/>
      <c r="K377" s="816"/>
      <c r="L377" s="815"/>
      <c r="M377" s="816"/>
      <c r="N377" s="816"/>
      <c r="O377" s="816"/>
      <c r="P377" s="821"/>
      <c r="Q377" s="821"/>
    </row>
    <row r="378" ht="33.0" customHeight="1">
      <c r="A378" s="822"/>
      <c r="B378" s="927"/>
      <c r="C378" s="826"/>
      <c r="D378" s="928"/>
      <c r="E378" s="825"/>
      <c r="F378" s="825"/>
      <c r="G378" s="825"/>
      <c r="H378" s="826"/>
      <c r="I378" s="826"/>
      <c r="J378" s="827"/>
      <c r="K378" s="825"/>
      <c r="L378" s="824"/>
      <c r="M378" s="825"/>
      <c r="N378" s="825"/>
      <c r="O378" s="825"/>
      <c r="P378" s="830"/>
      <c r="Q378" s="830"/>
    </row>
    <row r="379" ht="33.0" customHeight="1">
      <c r="A379" s="811"/>
      <c r="B379" s="927"/>
      <c r="C379" s="817"/>
      <c r="D379" s="928"/>
      <c r="E379" s="816"/>
      <c r="F379" s="816"/>
      <c r="G379" s="816"/>
      <c r="H379" s="817"/>
      <c r="I379" s="817"/>
      <c r="J379" s="818"/>
      <c r="K379" s="816"/>
      <c r="L379" s="815"/>
      <c r="M379" s="816"/>
      <c r="N379" s="816"/>
      <c r="O379" s="816"/>
      <c r="P379" s="821"/>
      <c r="Q379" s="821"/>
    </row>
    <row r="380" ht="33.0" customHeight="1">
      <c r="A380" s="822"/>
      <c r="B380" s="927"/>
      <c r="C380" s="826"/>
      <c r="D380" s="928"/>
      <c r="E380" s="825"/>
      <c r="F380" s="825"/>
      <c r="G380" s="825"/>
      <c r="H380" s="826"/>
      <c r="I380" s="826"/>
      <c r="J380" s="827"/>
      <c r="K380" s="825"/>
      <c r="L380" s="824"/>
      <c r="M380" s="825"/>
      <c r="N380" s="825"/>
      <c r="O380" s="825"/>
      <c r="P380" s="830"/>
      <c r="Q380" s="830"/>
    </row>
    <row r="381" ht="33.0" customHeight="1">
      <c r="A381" s="811"/>
      <c r="B381" s="927"/>
      <c r="C381" s="817"/>
      <c r="D381" s="928"/>
      <c r="E381" s="816"/>
      <c r="F381" s="816"/>
      <c r="G381" s="816"/>
      <c r="H381" s="817"/>
      <c r="I381" s="817"/>
      <c r="J381" s="818"/>
      <c r="K381" s="816"/>
      <c r="L381" s="815"/>
      <c r="M381" s="816"/>
      <c r="N381" s="816"/>
      <c r="O381" s="816"/>
      <c r="P381" s="821"/>
      <c r="Q381" s="821"/>
    </row>
    <row r="382" ht="33.0" customHeight="1">
      <c r="A382" s="822"/>
      <c r="B382" s="927"/>
      <c r="C382" s="826"/>
      <c r="D382" s="928"/>
      <c r="E382" s="825"/>
      <c r="F382" s="825"/>
      <c r="G382" s="825"/>
      <c r="H382" s="826"/>
      <c r="I382" s="826"/>
      <c r="J382" s="827"/>
      <c r="K382" s="825"/>
      <c r="L382" s="824"/>
      <c r="M382" s="825"/>
      <c r="N382" s="825"/>
      <c r="O382" s="825"/>
      <c r="P382" s="830"/>
      <c r="Q382" s="830"/>
    </row>
    <row r="383" ht="33.0" customHeight="1">
      <c r="A383" s="811"/>
      <c r="B383" s="927"/>
      <c r="C383" s="817"/>
      <c r="D383" s="928"/>
      <c r="E383" s="816"/>
      <c r="F383" s="816"/>
      <c r="G383" s="816"/>
      <c r="H383" s="817"/>
      <c r="I383" s="817"/>
      <c r="J383" s="818"/>
      <c r="K383" s="816"/>
      <c r="L383" s="815"/>
      <c r="M383" s="816"/>
      <c r="N383" s="816"/>
      <c r="O383" s="816"/>
      <c r="P383" s="821"/>
      <c r="Q383" s="821"/>
    </row>
    <row r="384" ht="33.0" customHeight="1">
      <c r="A384" s="822"/>
      <c r="B384" s="927"/>
      <c r="C384" s="826"/>
      <c r="D384" s="928"/>
      <c r="E384" s="825"/>
      <c r="F384" s="825"/>
      <c r="G384" s="825"/>
      <c r="H384" s="826"/>
      <c r="I384" s="826"/>
      <c r="J384" s="827"/>
      <c r="K384" s="825"/>
      <c r="L384" s="824"/>
      <c r="M384" s="825"/>
      <c r="N384" s="825"/>
      <c r="O384" s="825"/>
      <c r="P384" s="830"/>
      <c r="Q384" s="830"/>
    </row>
    <row r="385" ht="33.0" customHeight="1">
      <c r="A385" s="811"/>
      <c r="B385" s="927"/>
      <c r="C385" s="817"/>
      <c r="D385" s="928"/>
      <c r="E385" s="816"/>
      <c r="F385" s="816"/>
      <c r="G385" s="816"/>
      <c r="H385" s="817"/>
      <c r="I385" s="817"/>
      <c r="J385" s="818"/>
      <c r="K385" s="816"/>
      <c r="L385" s="815"/>
      <c r="M385" s="816"/>
      <c r="N385" s="816"/>
      <c r="O385" s="816"/>
      <c r="P385" s="821"/>
      <c r="Q385" s="821"/>
    </row>
    <row r="386" ht="33.0" customHeight="1">
      <c r="A386" s="822"/>
      <c r="B386" s="927"/>
      <c r="C386" s="826"/>
      <c r="D386" s="928"/>
      <c r="E386" s="825"/>
      <c r="F386" s="825"/>
      <c r="G386" s="825"/>
      <c r="H386" s="826"/>
      <c r="I386" s="826"/>
      <c r="J386" s="827"/>
      <c r="K386" s="825"/>
      <c r="L386" s="824"/>
      <c r="M386" s="825"/>
      <c r="N386" s="825"/>
      <c r="O386" s="825"/>
      <c r="P386" s="830"/>
      <c r="Q386" s="830"/>
    </row>
    <row r="387" ht="33.0" customHeight="1">
      <c r="A387" s="811"/>
      <c r="B387" s="927"/>
      <c r="C387" s="817"/>
      <c r="D387" s="928"/>
      <c r="E387" s="816"/>
      <c r="F387" s="816"/>
      <c r="G387" s="816"/>
      <c r="H387" s="817"/>
      <c r="I387" s="817"/>
      <c r="J387" s="818"/>
      <c r="K387" s="816"/>
      <c r="L387" s="815"/>
      <c r="M387" s="816"/>
      <c r="N387" s="816"/>
      <c r="O387" s="816"/>
      <c r="P387" s="821"/>
      <c r="Q387" s="821"/>
    </row>
    <row r="388" ht="33.0" customHeight="1">
      <c r="A388" s="822"/>
      <c r="B388" s="927"/>
      <c r="C388" s="826"/>
      <c r="D388" s="928"/>
      <c r="E388" s="825"/>
      <c r="F388" s="825"/>
      <c r="G388" s="825"/>
      <c r="H388" s="826"/>
      <c r="I388" s="826"/>
      <c r="J388" s="827"/>
      <c r="K388" s="825"/>
      <c r="L388" s="824"/>
      <c r="M388" s="825"/>
      <c r="N388" s="825"/>
      <c r="O388" s="825"/>
      <c r="P388" s="830"/>
      <c r="Q388" s="830"/>
    </row>
    <row r="389" ht="33.0" customHeight="1">
      <c r="A389" s="811"/>
      <c r="B389" s="927"/>
      <c r="C389" s="817"/>
      <c r="D389" s="928"/>
      <c r="E389" s="816"/>
      <c r="F389" s="816"/>
      <c r="G389" s="816"/>
      <c r="H389" s="817"/>
      <c r="I389" s="817"/>
      <c r="J389" s="818"/>
      <c r="K389" s="816"/>
      <c r="L389" s="815"/>
      <c r="M389" s="816"/>
      <c r="N389" s="816"/>
      <c r="O389" s="816"/>
      <c r="P389" s="821"/>
      <c r="Q389" s="821"/>
    </row>
    <row r="390" ht="33.0" customHeight="1">
      <c r="A390" s="822"/>
      <c r="B390" s="927"/>
      <c r="C390" s="826"/>
      <c r="D390" s="928"/>
      <c r="E390" s="825"/>
      <c r="F390" s="825"/>
      <c r="G390" s="825"/>
      <c r="H390" s="826"/>
      <c r="I390" s="826"/>
      <c r="J390" s="827"/>
      <c r="K390" s="825"/>
      <c r="L390" s="824"/>
      <c r="M390" s="825"/>
      <c r="N390" s="825"/>
      <c r="O390" s="825"/>
      <c r="P390" s="830"/>
      <c r="Q390" s="830"/>
    </row>
    <row r="391" ht="33.0" customHeight="1">
      <c r="A391" s="811"/>
      <c r="B391" s="927"/>
      <c r="C391" s="817"/>
      <c r="D391" s="928"/>
      <c r="E391" s="816"/>
      <c r="F391" s="816"/>
      <c r="G391" s="816"/>
      <c r="H391" s="817"/>
      <c r="I391" s="817"/>
      <c r="J391" s="818"/>
      <c r="K391" s="816"/>
      <c r="L391" s="815"/>
      <c r="M391" s="816"/>
      <c r="N391" s="816"/>
      <c r="O391" s="816"/>
      <c r="P391" s="821"/>
      <c r="Q391" s="821"/>
    </row>
    <row r="392" ht="33.0" customHeight="1">
      <c r="A392" s="822"/>
      <c r="B392" s="927"/>
      <c r="C392" s="826"/>
      <c r="D392" s="928"/>
      <c r="E392" s="825"/>
      <c r="F392" s="825"/>
      <c r="G392" s="825"/>
      <c r="H392" s="826"/>
      <c r="I392" s="826"/>
      <c r="J392" s="827"/>
      <c r="K392" s="825"/>
      <c r="L392" s="824"/>
      <c r="M392" s="825"/>
      <c r="N392" s="825"/>
      <c r="O392" s="825"/>
      <c r="P392" s="830"/>
      <c r="Q392" s="830"/>
    </row>
    <row r="393" ht="33.0" customHeight="1">
      <c r="A393" s="811"/>
      <c r="B393" s="927"/>
      <c r="C393" s="817"/>
      <c r="D393" s="928"/>
      <c r="E393" s="816"/>
      <c r="F393" s="816"/>
      <c r="G393" s="816"/>
      <c r="H393" s="817"/>
      <c r="I393" s="817"/>
      <c r="J393" s="818"/>
      <c r="K393" s="816"/>
      <c r="L393" s="815"/>
      <c r="M393" s="816"/>
      <c r="N393" s="816"/>
      <c r="O393" s="816"/>
      <c r="P393" s="821"/>
      <c r="Q393" s="821"/>
    </row>
    <row r="394" ht="33.0" customHeight="1">
      <c r="A394" s="822"/>
      <c r="B394" s="927"/>
      <c r="C394" s="826"/>
      <c r="D394" s="928"/>
      <c r="E394" s="825"/>
      <c r="F394" s="825"/>
      <c r="G394" s="825"/>
      <c r="H394" s="826"/>
      <c r="I394" s="826"/>
      <c r="J394" s="827"/>
      <c r="K394" s="825"/>
      <c r="L394" s="824"/>
      <c r="M394" s="825"/>
      <c r="N394" s="825"/>
      <c r="O394" s="825"/>
      <c r="P394" s="830"/>
      <c r="Q394" s="830"/>
    </row>
    <row r="395" ht="33.0" customHeight="1">
      <c r="A395" s="811"/>
      <c r="B395" s="927"/>
      <c r="C395" s="817"/>
      <c r="D395" s="928"/>
      <c r="E395" s="816"/>
      <c r="F395" s="816"/>
      <c r="G395" s="816"/>
      <c r="H395" s="817"/>
      <c r="I395" s="817"/>
      <c r="J395" s="818"/>
      <c r="K395" s="816"/>
      <c r="L395" s="815"/>
      <c r="M395" s="816"/>
      <c r="N395" s="816"/>
      <c r="O395" s="816"/>
      <c r="P395" s="821"/>
      <c r="Q395" s="821"/>
    </row>
    <row r="396" ht="33.0" customHeight="1">
      <c r="A396" s="822"/>
      <c r="B396" s="927"/>
      <c r="C396" s="826"/>
      <c r="D396" s="928"/>
      <c r="E396" s="825"/>
      <c r="F396" s="825"/>
      <c r="G396" s="825"/>
      <c r="H396" s="826"/>
      <c r="I396" s="826"/>
      <c r="J396" s="827"/>
      <c r="K396" s="825"/>
      <c r="L396" s="824"/>
      <c r="M396" s="825"/>
      <c r="N396" s="825"/>
      <c r="O396" s="825"/>
      <c r="P396" s="830"/>
      <c r="Q396" s="830"/>
    </row>
    <row r="397" ht="33.0" customHeight="1">
      <c r="A397" s="811"/>
      <c r="B397" s="927"/>
      <c r="C397" s="817"/>
      <c r="D397" s="928"/>
      <c r="E397" s="816"/>
      <c r="F397" s="816"/>
      <c r="G397" s="816"/>
      <c r="H397" s="817"/>
      <c r="I397" s="817"/>
      <c r="J397" s="818"/>
      <c r="K397" s="816"/>
      <c r="L397" s="815"/>
      <c r="M397" s="816"/>
      <c r="N397" s="816"/>
      <c r="O397" s="816"/>
      <c r="P397" s="821"/>
      <c r="Q397" s="821"/>
    </row>
    <row r="398" ht="33.0" customHeight="1">
      <c r="A398" s="822"/>
      <c r="B398" s="927"/>
      <c r="C398" s="826"/>
      <c r="D398" s="928"/>
      <c r="E398" s="825"/>
      <c r="F398" s="825"/>
      <c r="G398" s="825"/>
      <c r="H398" s="826"/>
      <c r="I398" s="826"/>
      <c r="J398" s="827"/>
      <c r="K398" s="825"/>
      <c r="L398" s="824"/>
      <c r="M398" s="825"/>
      <c r="N398" s="825"/>
      <c r="O398" s="825"/>
      <c r="P398" s="830"/>
      <c r="Q398" s="830"/>
    </row>
    <row r="399" ht="33.0" customHeight="1">
      <c r="A399" s="811"/>
      <c r="B399" s="927"/>
      <c r="C399" s="817"/>
      <c r="D399" s="928"/>
      <c r="E399" s="816"/>
      <c r="F399" s="816"/>
      <c r="G399" s="816"/>
      <c r="H399" s="817"/>
      <c r="I399" s="817"/>
      <c r="J399" s="818"/>
      <c r="K399" s="816"/>
      <c r="L399" s="815"/>
      <c r="M399" s="816"/>
      <c r="N399" s="816"/>
      <c r="O399" s="816"/>
      <c r="P399" s="821"/>
      <c r="Q399" s="821"/>
    </row>
    <row r="400" ht="33.0" customHeight="1">
      <c r="A400" s="822"/>
      <c r="B400" s="927"/>
      <c r="C400" s="826"/>
      <c r="D400" s="928"/>
      <c r="E400" s="825"/>
      <c r="F400" s="825"/>
      <c r="G400" s="825"/>
      <c r="H400" s="826"/>
      <c r="I400" s="826"/>
      <c r="J400" s="827"/>
      <c r="K400" s="825"/>
      <c r="L400" s="824"/>
      <c r="M400" s="825"/>
      <c r="N400" s="825"/>
      <c r="O400" s="825"/>
      <c r="P400" s="830"/>
      <c r="Q400" s="830"/>
    </row>
    <row r="401" ht="33.0" customHeight="1">
      <c r="A401" s="811"/>
      <c r="B401" s="927"/>
      <c r="C401" s="817"/>
      <c r="D401" s="928"/>
      <c r="E401" s="816"/>
      <c r="F401" s="816"/>
      <c r="G401" s="816"/>
      <c r="H401" s="817"/>
      <c r="I401" s="817"/>
      <c r="J401" s="818"/>
      <c r="K401" s="816"/>
      <c r="L401" s="815"/>
      <c r="M401" s="816"/>
      <c r="N401" s="816"/>
      <c r="O401" s="816"/>
      <c r="P401" s="821"/>
      <c r="Q401" s="821"/>
    </row>
    <row r="402" ht="33.0" customHeight="1">
      <c r="A402" s="822"/>
      <c r="B402" s="927"/>
      <c r="C402" s="826"/>
      <c r="D402" s="928"/>
      <c r="E402" s="825"/>
      <c r="F402" s="825"/>
      <c r="G402" s="825"/>
      <c r="H402" s="826"/>
      <c r="I402" s="826"/>
      <c r="J402" s="827"/>
      <c r="K402" s="825"/>
      <c r="L402" s="824"/>
      <c r="M402" s="825"/>
      <c r="N402" s="825"/>
      <c r="O402" s="825"/>
      <c r="P402" s="830"/>
      <c r="Q402" s="830"/>
    </row>
    <row r="403" ht="33.0" customHeight="1">
      <c r="A403" s="811"/>
      <c r="B403" s="927"/>
      <c r="C403" s="817"/>
      <c r="D403" s="928"/>
      <c r="E403" s="816"/>
      <c r="F403" s="816"/>
      <c r="G403" s="816"/>
      <c r="H403" s="817"/>
      <c r="I403" s="817"/>
      <c r="J403" s="818"/>
      <c r="K403" s="816"/>
      <c r="L403" s="815"/>
      <c r="M403" s="816"/>
      <c r="N403" s="816"/>
      <c r="O403" s="816"/>
      <c r="P403" s="821"/>
      <c r="Q403" s="821"/>
    </row>
    <row r="404" ht="33.0" customHeight="1">
      <c r="A404" s="822"/>
      <c r="B404" s="927"/>
      <c r="C404" s="826"/>
      <c r="D404" s="928"/>
      <c r="E404" s="825"/>
      <c r="F404" s="825"/>
      <c r="G404" s="825"/>
      <c r="H404" s="826"/>
      <c r="I404" s="826"/>
      <c r="J404" s="827"/>
      <c r="K404" s="825"/>
      <c r="L404" s="824"/>
      <c r="M404" s="825"/>
      <c r="N404" s="825"/>
      <c r="O404" s="825"/>
      <c r="P404" s="830"/>
      <c r="Q404" s="830"/>
    </row>
    <row r="405" ht="33.0" customHeight="1">
      <c r="A405" s="811"/>
      <c r="B405" s="927"/>
      <c r="C405" s="817"/>
      <c r="D405" s="928"/>
      <c r="E405" s="816"/>
      <c r="F405" s="816"/>
      <c r="G405" s="816"/>
      <c r="H405" s="817"/>
      <c r="I405" s="817"/>
      <c r="J405" s="818"/>
      <c r="K405" s="816"/>
      <c r="L405" s="815"/>
      <c r="M405" s="816"/>
      <c r="N405" s="816"/>
      <c r="O405" s="816"/>
      <c r="P405" s="821"/>
      <c r="Q405" s="821"/>
    </row>
    <row r="406" ht="33.0" customHeight="1">
      <c r="A406" s="822"/>
      <c r="B406" s="927"/>
      <c r="C406" s="826"/>
      <c r="D406" s="928"/>
      <c r="E406" s="825"/>
      <c r="F406" s="825"/>
      <c r="G406" s="825"/>
      <c r="H406" s="826"/>
      <c r="I406" s="826"/>
      <c r="J406" s="827"/>
      <c r="K406" s="825"/>
      <c r="L406" s="824"/>
      <c r="M406" s="825"/>
      <c r="N406" s="825"/>
      <c r="O406" s="825"/>
      <c r="P406" s="830"/>
      <c r="Q406" s="830"/>
    </row>
    <row r="407" ht="33.0" customHeight="1">
      <c r="A407" s="811"/>
      <c r="B407" s="927"/>
      <c r="C407" s="817"/>
      <c r="D407" s="928"/>
      <c r="E407" s="816"/>
      <c r="F407" s="816"/>
      <c r="G407" s="816"/>
      <c r="H407" s="817"/>
      <c r="I407" s="817"/>
      <c r="J407" s="818"/>
      <c r="K407" s="816"/>
      <c r="L407" s="815"/>
      <c r="M407" s="816"/>
      <c r="N407" s="816"/>
      <c r="O407" s="816"/>
      <c r="P407" s="821"/>
      <c r="Q407" s="821"/>
    </row>
    <row r="408" ht="33.0" customHeight="1">
      <c r="A408" s="822"/>
      <c r="B408" s="927"/>
      <c r="C408" s="826"/>
      <c r="D408" s="928"/>
      <c r="E408" s="825"/>
      <c r="F408" s="825"/>
      <c r="G408" s="825"/>
      <c r="H408" s="826"/>
      <c r="I408" s="826"/>
      <c r="J408" s="827"/>
      <c r="K408" s="825"/>
      <c r="L408" s="824"/>
      <c r="M408" s="825"/>
      <c r="N408" s="825"/>
      <c r="O408" s="825"/>
      <c r="P408" s="830"/>
      <c r="Q408" s="830"/>
    </row>
    <row r="409" ht="33.0" customHeight="1">
      <c r="A409" s="811"/>
      <c r="B409" s="927"/>
      <c r="C409" s="817"/>
      <c r="D409" s="928"/>
      <c r="E409" s="816"/>
      <c r="F409" s="816"/>
      <c r="G409" s="816"/>
      <c r="H409" s="817"/>
      <c r="I409" s="817"/>
      <c r="J409" s="818"/>
      <c r="K409" s="816"/>
      <c r="L409" s="815"/>
      <c r="M409" s="816"/>
      <c r="N409" s="816"/>
      <c r="O409" s="816"/>
      <c r="P409" s="821"/>
      <c r="Q409" s="821"/>
    </row>
    <row r="410" ht="33.0" customHeight="1">
      <c r="A410" s="822"/>
      <c r="B410" s="927"/>
      <c r="C410" s="826"/>
      <c r="D410" s="928"/>
      <c r="E410" s="825"/>
      <c r="F410" s="825"/>
      <c r="G410" s="825"/>
      <c r="H410" s="826"/>
      <c r="I410" s="826"/>
      <c r="J410" s="827"/>
      <c r="K410" s="825"/>
      <c r="L410" s="824"/>
      <c r="M410" s="825"/>
      <c r="N410" s="825"/>
      <c r="O410" s="825"/>
      <c r="P410" s="830"/>
      <c r="Q410" s="830"/>
    </row>
    <row r="411" ht="33.0" customHeight="1">
      <c r="A411" s="811"/>
      <c r="B411" s="927"/>
      <c r="C411" s="817"/>
      <c r="D411" s="928"/>
      <c r="E411" s="816"/>
      <c r="F411" s="816"/>
      <c r="G411" s="816"/>
      <c r="H411" s="817"/>
      <c r="I411" s="817"/>
      <c r="J411" s="818"/>
      <c r="K411" s="816"/>
      <c r="L411" s="815"/>
      <c r="M411" s="816"/>
      <c r="N411" s="816"/>
      <c r="O411" s="816"/>
      <c r="P411" s="821"/>
      <c r="Q411" s="821"/>
    </row>
    <row r="412" ht="33.0" customHeight="1">
      <c r="A412" s="822"/>
      <c r="B412" s="927"/>
      <c r="C412" s="826"/>
      <c r="D412" s="928"/>
      <c r="E412" s="825"/>
      <c r="F412" s="825"/>
      <c r="G412" s="825"/>
      <c r="H412" s="826"/>
      <c r="I412" s="826"/>
      <c r="J412" s="827"/>
      <c r="K412" s="825"/>
      <c r="L412" s="824"/>
      <c r="M412" s="825"/>
      <c r="N412" s="825"/>
      <c r="O412" s="825"/>
      <c r="P412" s="830"/>
      <c r="Q412" s="830"/>
    </row>
    <row r="413" ht="33.0" customHeight="1">
      <c r="A413" s="811"/>
      <c r="B413" s="927"/>
      <c r="C413" s="817"/>
      <c r="D413" s="928"/>
      <c r="E413" s="816"/>
      <c r="F413" s="816"/>
      <c r="G413" s="816"/>
      <c r="H413" s="817"/>
      <c r="I413" s="817"/>
      <c r="J413" s="818"/>
      <c r="K413" s="816"/>
      <c r="L413" s="815"/>
      <c r="M413" s="816"/>
      <c r="N413" s="816"/>
      <c r="O413" s="816"/>
      <c r="P413" s="821"/>
      <c r="Q413" s="821"/>
    </row>
    <row r="414" ht="33.0" customHeight="1">
      <c r="A414" s="822"/>
      <c r="B414" s="927"/>
      <c r="C414" s="826"/>
      <c r="D414" s="928"/>
      <c r="E414" s="825"/>
      <c r="F414" s="825"/>
      <c r="G414" s="825"/>
      <c r="H414" s="826"/>
      <c r="I414" s="826"/>
      <c r="J414" s="827"/>
      <c r="K414" s="825"/>
      <c r="L414" s="824"/>
      <c r="M414" s="825"/>
      <c r="N414" s="825"/>
      <c r="O414" s="825"/>
      <c r="P414" s="830"/>
      <c r="Q414" s="830"/>
    </row>
    <row r="415" ht="33.0" customHeight="1">
      <c r="A415" s="811"/>
      <c r="B415" s="927"/>
      <c r="C415" s="817"/>
      <c r="D415" s="928"/>
      <c r="E415" s="816"/>
      <c r="F415" s="816"/>
      <c r="G415" s="816"/>
      <c r="H415" s="817"/>
      <c r="I415" s="817"/>
      <c r="J415" s="818"/>
      <c r="K415" s="816"/>
      <c r="L415" s="815"/>
      <c r="M415" s="816"/>
      <c r="N415" s="816"/>
      <c r="O415" s="816"/>
      <c r="P415" s="821"/>
      <c r="Q415" s="821"/>
    </row>
    <row r="416" ht="33.0" customHeight="1">
      <c r="A416" s="822"/>
      <c r="B416" s="927"/>
      <c r="C416" s="826"/>
      <c r="D416" s="928"/>
      <c r="E416" s="825"/>
      <c r="F416" s="825"/>
      <c r="G416" s="825"/>
      <c r="H416" s="826"/>
      <c r="I416" s="826"/>
      <c r="J416" s="827"/>
      <c r="K416" s="825"/>
      <c r="L416" s="824"/>
      <c r="M416" s="825"/>
      <c r="N416" s="825"/>
      <c r="O416" s="825"/>
      <c r="P416" s="830"/>
      <c r="Q416" s="830"/>
    </row>
    <row r="417" ht="33.0" customHeight="1">
      <c r="A417" s="811"/>
      <c r="B417" s="927"/>
      <c r="C417" s="817"/>
      <c r="D417" s="928"/>
      <c r="E417" s="816"/>
      <c r="F417" s="816"/>
      <c r="G417" s="816"/>
      <c r="H417" s="817"/>
      <c r="I417" s="817"/>
      <c r="J417" s="818"/>
      <c r="K417" s="816"/>
      <c r="L417" s="815"/>
      <c r="M417" s="816"/>
      <c r="N417" s="816"/>
      <c r="O417" s="816"/>
      <c r="P417" s="821"/>
      <c r="Q417" s="821"/>
    </row>
    <row r="418" ht="33.0" customHeight="1">
      <c r="A418" s="822"/>
      <c r="B418" s="927"/>
      <c r="C418" s="826"/>
      <c r="D418" s="928"/>
      <c r="E418" s="825"/>
      <c r="F418" s="825"/>
      <c r="G418" s="825"/>
      <c r="H418" s="826"/>
      <c r="I418" s="826"/>
      <c r="J418" s="827"/>
      <c r="K418" s="825"/>
      <c r="L418" s="824"/>
      <c r="M418" s="825"/>
      <c r="N418" s="825"/>
      <c r="O418" s="825"/>
      <c r="P418" s="830"/>
      <c r="Q418" s="830"/>
    </row>
    <row r="419" ht="33.0" customHeight="1">
      <c r="A419" s="811"/>
      <c r="B419" s="927"/>
      <c r="C419" s="817"/>
      <c r="D419" s="928"/>
      <c r="E419" s="816"/>
      <c r="F419" s="816"/>
      <c r="G419" s="816"/>
      <c r="H419" s="817"/>
      <c r="I419" s="817"/>
      <c r="J419" s="818"/>
      <c r="K419" s="816"/>
      <c r="L419" s="815"/>
      <c r="M419" s="816"/>
      <c r="N419" s="816"/>
      <c r="O419" s="816"/>
      <c r="P419" s="821"/>
      <c r="Q419" s="821"/>
    </row>
    <row r="420" ht="33.0" customHeight="1">
      <c r="A420" s="822"/>
      <c r="B420" s="927"/>
      <c r="C420" s="826"/>
      <c r="D420" s="928"/>
      <c r="E420" s="825"/>
      <c r="F420" s="825"/>
      <c r="G420" s="825"/>
      <c r="H420" s="826"/>
      <c r="I420" s="826"/>
      <c r="J420" s="827"/>
      <c r="K420" s="825"/>
      <c r="L420" s="824"/>
      <c r="M420" s="825"/>
      <c r="N420" s="825"/>
      <c r="O420" s="825"/>
      <c r="P420" s="830"/>
      <c r="Q420" s="830"/>
    </row>
    <row r="421" ht="33.0" customHeight="1">
      <c r="A421" s="811"/>
      <c r="B421" s="927"/>
      <c r="C421" s="817"/>
      <c r="D421" s="928"/>
      <c r="E421" s="816"/>
      <c r="F421" s="816"/>
      <c r="G421" s="816"/>
      <c r="H421" s="817"/>
      <c r="I421" s="817"/>
      <c r="J421" s="818"/>
      <c r="K421" s="816"/>
      <c r="L421" s="815"/>
      <c r="M421" s="816"/>
      <c r="N421" s="816"/>
      <c r="O421" s="816"/>
      <c r="P421" s="821"/>
      <c r="Q421" s="821"/>
    </row>
    <row r="422" ht="33.0" customHeight="1">
      <c r="A422" s="822"/>
      <c r="B422" s="927"/>
      <c r="C422" s="826"/>
      <c r="D422" s="928"/>
      <c r="E422" s="825"/>
      <c r="F422" s="825"/>
      <c r="G422" s="825"/>
      <c r="H422" s="826"/>
      <c r="I422" s="826"/>
      <c r="J422" s="827"/>
      <c r="K422" s="825"/>
      <c r="L422" s="824"/>
      <c r="M422" s="825"/>
      <c r="N422" s="825"/>
      <c r="O422" s="825"/>
      <c r="P422" s="830"/>
      <c r="Q422" s="830"/>
    </row>
    <row r="423" ht="33.0" customHeight="1">
      <c r="A423" s="811"/>
      <c r="B423" s="927"/>
      <c r="C423" s="817"/>
      <c r="D423" s="928"/>
      <c r="E423" s="816"/>
      <c r="F423" s="816"/>
      <c r="G423" s="816"/>
      <c r="H423" s="817"/>
      <c r="I423" s="817"/>
      <c r="J423" s="818"/>
      <c r="K423" s="816"/>
      <c r="L423" s="815"/>
      <c r="M423" s="816"/>
      <c r="N423" s="816"/>
      <c r="O423" s="816"/>
      <c r="P423" s="821"/>
      <c r="Q423" s="821"/>
    </row>
    <row r="424" ht="33.0" customHeight="1">
      <c r="A424" s="822"/>
      <c r="B424" s="927"/>
      <c r="C424" s="826"/>
      <c r="D424" s="928"/>
      <c r="E424" s="825"/>
      <c r="F424" s="825"/>
      <c r="G424" s="825"/>
      <c r="H424" s="826"/>
      <c r="I424" s="826"/>
      <c r="J424" s="827"/>
      <c r="K424" s="825"/>
      <c r="L424" s="824"/>
      <c r="M424" s="825"/>
      <c r="N424" s="825"/>
      <c r="O424" s="825"/>
      <c r="P424" s="830"/>
      <c r="Q424" s="830"/>
    </row>
    <row r="425" ht="33.0" customHeight="1">
      <c r="A425" s="811"/>
      <c r="B425" s="927"/>
      <c r="C425" s="817"/>
      <c r="D425" s="928"/>
      <c r="E425" s="816"/>
      <c r="F425" s="816"/>
      <c r="G425" s="816"/>
      <c r="H425" s="817"/>
      <c r="I425" s="817"/>
      <c r="J425" s="818"/>
      <c r="K425" s="816"/>
      <c r="L425" s="815"/>
      <c r="M425" s="816"/>
      <c r="N425" s="816"/>
      <c r="O425" s="816"/>
      <c r="P425" s="821"/>
      <c r="Q425" s="821"/>
    </row>
    <row r="426" ht="33.0" customHeight="1">
      <c r="A426" s="822"/>
      <c r="B426" s="927"/>
      <c r="C426" s="826"/>
      <c r="D426" s="928"/>
      <c r="E426" s="825"/>
      <c r="F426" s="825"/>
      <c r="G426" s="825"/>
      <c r="H426" s="826"/>
      <c r="I426" s="826"/>
      <c r="J426" s="827"/>
      <c r="K426" s="825"/>
      <c r="L426" s="824"/>
      <c r="M426" s="825"/>
      <c r="N426" s="825"/>
      <c r="O426" s="825"/>
      <c r="P426" s="830"/>
      <c r="Q426" s="830"/>
    </row>
    <row r="427" ht="33.0" customHeight="1">
      <c r="A427" s="811"/>
      <c r="B427" s="927"/>
      <c r="C427" s="817"/>
      <c r="D427" s="928"/>
      <c r="E427" s="816"/>
      <c r="F427" s="816"/>
      <c r="G427" s="816"/>
      <c r="H427" s="817"/>
      <c r="I427" s="817"/>
      <c r="J427" s="818"/>
      <c r="K427" s="816"/>
      <c r="L427" s="815"/>
      <c r="M427" s="816"/>
      <c r="N427" s="816"/>
      <c r="O427" s="816"/>
      <c r="P427" s="821"/>
      <c r="Q427" s="821"/>
    </row>
    <row r="428" ht="33.0" customHeight="1">
      <c r="A428" s="822"/>
      <c r="B428" s="927"/>
      <c r="C428" s="826"/>
      <c r="D428" s="928"/>
      <c r="E428" s="825"/>
      <c r="F428" s="825"/>
      <c r="G428" s="825"/>
      <c r="H428" s="826"/>
      <c r="I428" s="826"/>
      <c r="J428" s="827"/>
      <c r="K428" s="825"/>
      <c r="L428" s="824"/>
      <c r="M428" s="825"/>
      <c r="N428" s="825"/>
      <c r="O428" s="825"/>
      <c r="P428" s="830"/>
      <c r="Q428" s="830"/>
    </row>
    <row r="429" ht="33.0" customHeight="1">
      <c r="A429" s="811"/>
      <c r="B429" s="927"/>
      <c r="C429" s="817"/>
      <c r="D429" s="928"/>
      <c r="E429" s="816"/>
      <c r="F429" s="816"/>
      <c r="G429" s="816"/>
      <c r="H429" s="817"/>
      <c r="I429" s="817"/>
      <c r="J429" s="818"/>
      <c r="K429" s="816"/>
      <c r="L429" s="815"/>
      <c r="M429" s="816"/>
      <c r="N429" s="816"/>
      <c r="O429" s="816"/>
      <c r="P429" s="821"/>
      <c r="Q429" s="821"/>
    </row>
    <row r="430" ht="33.0" customHeight="1">
      <c r="A430" s="822"/>
      <c r="B430" s="927"/>
      <c r="C430" s="826"/>
      <c r="D430" s="928"/>
      <c r="E430" s="825"/>
      <c r="F430" s="825"/>
      <c r="G430" s="825"/>
      <c r="H430" s="826"/>
      <c r="I430" s="826"/>
      <c r="J430" s="827"/>
      <c r="K430" s="825"/>
      <c r="L430" s="824"/>
      <c r="M430" s="825"/>
      <c r="N430" s="825"/>
      <c r="O430" s="825"/>
      <c r="P430" s="830"/>
      <c r="Q430" s="830"/>
    </row>
    <row r="431" ht="33.0" customHeight="1">
      <c r="A431" s="811"/>
      <c r="B431" s="927"/>
      <c r="C431" s="817"/>
      <c r="D431" s="928"/>
      <c r="E431" s="816"/>
      <c r="F431" s="816"/>
      <c r="G431" s="816"/>
      <c r="H431" s="817"/>
      <c r="I431" s="817"/>
      <c r="J431" s="818"/>
      <c r="K431" s="816"/>
      <c r="L431" s="815"/>
      <c r="M431" s="816"/>
      <c r="N431" s="816"/>
      <c r="O431" s="816"/>
      <c r="P431" s="821"/>
      <c r="Q431" s="821"/>
    </row>
    <row r="432" ht="33.0" customHeight="1">
      <c r="A432" s="822"/>
      <c r="B432" s="927"/>
      <c r="C432" s="826"/>
      <c r="D432" s="928"/>
      <c r="E432" s="825"/>
      <c r="F432" s="825"/>
      <c r="G432" s="825"/>
      <c r="H432" s="826"/>
      <c r="I432" s="826"/>
      <c r="J432" s="827"/>
      <c r="K432" s="825"/>
      <c r="L432" s="824"/>
      <c r="M432" s="825"/>
      <c r="N432" s="825"/>
      <c r="O432" s="825"/>
      <c r="P432" s="830"/>
      <c r="Q432" s="830"/>
    </row>
    <row r="433" ht="33.0" customHeight="1">
      <c r="A433" s="811"/>
      <c r="B433" s="927"/>
      <c r="C433" s="817"/>
      <c r="D433" s="928"/>
      <c r="E433" s="816"/>
      <c r="F433" s="816"/>
      <c r="G433" s="816"/>
      <c r="H433" s="817"/>
      <c r="I433" s="817"/>
      <c r="J433" s="818"/>
      <c r="K433" s="816"/>
      <c r="L433" s="815"/>
      <c r="M433" s="816"/>
      <c r="N433" s="816"/>
      <c r="O433" s="816"/>
      <c r="P433" s="821"/>
      <c r="Q433" s="821"/>
    </row>
    <row r="434" ht="33.0" customHeight="1">
      <c r="A434" s="822"/>
      <c r="B434" s="927"/>
      <c r="C434" s="826"/>
      <c r="D434" s="928"/>
      <c r="E434" s="825"/>
      <c r="F434" s="825"/>
      <c r="G434" s="825"/>
      <c r="H434" s="826"/>
      <c r="I434" s="826"/>
      <c r="J434" s="827"/>
      <c r="K434" s="825"/>
      <c r="L434" s="824"/>
      <c r="M434" s="825"/>
      <c r="N434" s="825"/>
      <c r="O434" s="825"/>
      <c r="P434" s="830"/>
      <c r="Q434" s="830"/>
    </row>
    <row r="435" ht="33.0" customHeight="1">
      <c r="A435" s="811"/>
      <c r="B435" s="927"/>
      <c r="C435" s="817"/>
      <c r="D435" s="928"/>
      <c r="E435" s="816"/>
      <c r="F435" s="816"/>
      <c r="G435" s="816"/>
      <c r="H435" s="817"/>
      <c r="I435" s="817"/>
      <c r="J435" s="818"/>
      <c r="K435" s="816"/>
      <c r="L435" s="815"/>
      <c r="M435" s="816"/>
      <c r="N435" s="816"/>
      <c r="O435" s="816"/>
      <c r="P435" s="821"/>
      <c r="Q435" s="821"/>
    </row>
    <row r="436" ht="33.0" customHeight="1">
      <c r="A436" s="822"/>
      <c r="B436" s="927"/>
      <c r="C436" s="826"/>
      <c r="D436" s="928"/>
      <c r="E436" s="825"/>
      <c r="F436" s="825"/>
      <c r="G436" s="825"/>
      <c r="H436" s="826"/>
      <c r="I436" s="826"/>
      <c r="J436" s="827"/>
      <c r="K436" s="825"/>
      <c r="L436" s="824"/>
      <c r="M436" s="825"/>
      <c r="N436" s="825"/>
      <c r="O436" s="825"/>
      <c r="P436" s="830"/>
      <c r="Q436" s="830"/>
    </row>
    <row r="437" ht="33.0" customHeight="1">
      <c r="A437" s="811"/>
      <c r="B437" s="927"/>
      <c r="C437" s="817"/>
      <c r="D437" s="928"/>
      <c r="E437" s="816"/>
      <c r="F437" s="816"/>
      <c r="G437" s="816"/>
      <c r="H437" s="817"/>
      <c r="I437" s="817"/>
      <c r="J437" s="818"/>
      <c r="K437" s="816"/>
      <c r="L437" s="815"/>
      <c r="M437" s="816"/>
      <c r="N437" s="816"/>
      <c r="O437" s="816"/>
      <c r="P437" s="821"/>
      <c r="Q437" s="821"/>
    </row>
    <row r="438" ht="33.0" customHeight="1">
      <c r="A438" s="822"/>
      <c r="B438" s="927"/>
      <c r="C438" s="826"/>
      <c r="D438" s="928"/>
      <c r="E438" s="825"/>
      <c r="F438" s="825"/>
      <c r="G438" s="825"/>
      <c r="H438" s="826"/>
      <c r="I438" s="826"/>
      <c r="J438" s="827"/>
      <c r="K438" s="825"/>
      <c r="L438" s="824"/>
      <c r="M438" s="825"/>
      <c r="N438" s="825"/>
      <c r="O438" s="825"/>
      <c r="P438" s="830"/>
      <c r="Q438" s="830"/>
    </row>
    <row r="439" ht="33.0" customHeight="1">
      <c r="A439" s="811"/>
      <c r="B439" s="927"/>
      <c r="C439" s="817"/>
      <c r="D439" s="928"/>
      <c r="E439" s="816"/>
      <c r="F439" s="816"/>
      <c r="G439" s="816"/>
      <c r="H439" s="817"/>
      <c r="I439" s="817"/>
      <c r="J439" s="818"/>
      <c r="K439" s="816"/>
      <c r="L439" s="815"/>
      <c r="M439" s="816"/>
      <c r="N439" s="816"/>
      <c r="O439" s="816"/>
      <c r="P439" s="821"/>
      <c r="Q439" s="821"/>
    </row>
    <row r="440" ht="33.0" customHeight="1">
      <c r="A440" s="822"/>
      <c r="B440" s="927"/>
      <c r="C440" s="826"/>
      <c r="D440" s="928"/>
      <c r="E440" s="825"/>
      <c r="F440" s="825"/>
      <c r="G440" s="825"/>
      <c r="H440" s="826"/>
      <c r="I440" s="826"/>
      <c r="J440" s="827"/>
      <c r="K440" s="825"/>
      <c r="L440" s="824"/>
      <c r="M440" s="825"/>
      <c r="N440" s="825"/>
      <c r="O440" s="825"/>
      <c r="P440" s="830"/>
      <c r="Q440" s="830"/>
    </row>
    <row r="441" ht="33.0" customHeight="1">
      <c r="A441" s="811"/>
      <c r="B441" s="927"/>
      <c r="C441" s="817"/>
      <c r="D441" s="928"/>
      <c r="E441" s="816"/>
      <c r="F441" s="816"/>
      <c r="G441" s="816"/>
      <c r="H441" s="817"/>
      <c r="I441" s="817"/>
      <c r="J441" s="818"/>
      <c r="K441" s="816"/>
      <c r="L441" s="815"/>
      <c r="M441" s="816"/>
      <c r="N441" s="816"/>
      <c r="O441" s="816"/>
      <c r="P441" s="821"/>
      <c r="Q441" s="821"/>
    </row>
    <row r="442" ht="33.0" customHeight="1">
      <c r="A442" s="822"/>
      <c r="B442" s="927"/>
      <c r="C442" s="826"/>
      <c r="D442" s="928"/>
      <c r="E442" s="825"/>
      <c r="F442" s="825"/>
      <c r="G442" s="825"/>
      <c r="H442" s="826"/>
      <c r="I442" s="826"/>
      <c r="J442" s="827"/>
      <c r="K442" s="825"/>
      <c r="L442" s="824"/>
      <c r="M442" s="825"/>
      <c r="N442" s="825"/>
      <c r="O442" s="825"/>
      <c r="P442" s="830"/>
      <c r="Q442" s="830"/>
    </row>
    <row r="443" ht="33.0" customHeight="1">
      <c r="A443" s="811"/>
      <c r="B443" s="927"/>
      <c r="C443" s="817"/>
      <c r="D443" s="928"/>
      <c r="E443" s="816"/>
      <c r="F443" s="816"/>
      <c r="G443" s="816"/>
      <c r="H443" s="817"/>
      <c r="I443" s="817"/>
      <c r="J443" s="818"/>
      <c r="K443" s="816"/>
      <c r="L443" s="815"/>
      <c r="M443" s="816"/>
      <c r="N443" s="816"/>
      <c r="O443" s="816"/>
      <c r="P443" s="821"/>
      <c r="Q443" s="821"/>
    </row>
    <row r="444" ht="33.0" customHeight="1">
      <c r="A444" s="822"/>
      <c r="B444" s="927"/>
      <c r="C444" s="826"/>
      <c r="D444" s="928"/>
      <c r="E444" s="825"/>
      <c r="F444" s="825"/>
      <c r="G444" s="825"/>
      <c r="H444" s="826"/>
      <c r="I444" s="826"/>
      <c r="J444" s="827"/>
      <c r="K444" s="825"/>
      <c r="L444" s="824"/>
      <c r="M444" s="825"/>
      <c r="N444" s="825"/>
      <c r="O444" s="825"/>
      <c r="P444" s="830"/>
      <c r="Q444" s="830"/>
    </row>
    <row r="445" ht="33.0" customHeight="1">
      <c r="A445" s="811"/>
      <c r="B445" s="927"/>
      <c r="C445" s="817"/>
      <c r="D445" s="928"/>
      <c r="E445" s="816"/>
      <c r="F445" s="816"/>
      <c r="G445" s="816"/>
      <c r="H445" s="817"/>
      <c r="I445" s="817"/>
      <c r="J445" s="818"/>
      <c r="K445" s="816"/>
      <c r="L445" s="815"/>
      <c r="M445" s="816"/>
      <c r="N445" s="816"/>
      <c r="O445" s="816"/>
      <c r="P445" s="821"/>
      <c r="Q445" s="821"/>
    </row>
    <row r="446" ht="33.0" customHeight="1">
      <c r="A446" s="822"/>
      <c r="B446" s="927"/>
      <c r="C446" s="826"/>
      <c r="D446" s="928"/>
      <c r="E446" s="825"/>
      <c r="F446" s="825"/>
      <c r="G446" s="825"/>
      <c r="H446" s="826"/>
      <c r="I446" s="826"/>
      <c r="J446" s="827"/>
      <c r="K446" s="825"/>
      <c r="L446" s="824"/>
      <c r="M446" s="825"/>
      <c r="N446" s="825"/>
      <c r="O446" s="825"/>
      <c r="P446" s="830"/>
      <c r="Q446" s="830"/>
    </row>
    <row r="447" ht="33.0" customHeight="1">
      <c r="A447" s="811"/>
      <c r="B447" s="927"/>
      <c r="C447" s="817"/>
      <c r="D447" s="928"/>
      <c r="E447" s="816"/>
      <c r="F447" s="816"/>
      <c r="G447" s="816"/>
      <c r="H447" s="817"/>
      <c r="I447" s="817"/>
      <c r="J447" s="818"/>
      <c r="K447" s="816"/>
      <c r="L447" s="815"/>
      <c r="M447" s="816"/>
      <c r="N447" s="816"/>
      <c r="O447" s="816"/>
      <c r="P447" s="821"/>
      <c r="Q447" s="821"/>
    </row>
    <row r="448" ht="33.0" customHeight="1">
      <c r="A448" s="822"/>
      <c r="B448" s="927"/>
      <c r="C448" s="826"/>
      <c r="D448" s="928"/>
      <c r="E448" s="825"/>
      <c r="F448" s="825"/>
      <c r="G448" s="825"/>
      <c r="H448" s="826"/>
      <c r="I448" s="826"/>
      <c r="J448" s="827"/>
      <c r="K448" s="825"/>
      <c r="L448" s="824"/>
      <c r="M448" s="825"/>
      <c r="N448" s="825"/>
      <c r="O448" s="825"/>
      <c r="P448" s="830"/>
      <c r="Q448" s="830"/>
    </row>
    <row r="449" ht="33.0" customHeight="1">
      <c r="A449" s="811"/>
      <c r="B449" s="927"/>
      <c r="C449" s="817"/>
      <c r="D449" s="928"/>
      <c r="E449" s="816"/>
      <c r="F449" s="816"/>
      <c r="G449" s="816"/>
      <c r="H449" s="817"/>
      <c r="I449" s="817"/>
      <c r="J449" s="818"/>
      <c r="K449" s="816"/>
      <c r="L449" s="815"/>
      <c r="M449" s="816"/>
      <c r="N449" s="816"/>
      <c r="O449" s="816"/>
      <c r="P449" s="821"/>
      <c r="Q449" s="821"/>
    </row>
    <row r="450" ht="33.0" customHeight="1">
      <c r="A450" s="822"/>
      <c r="B450" s="927"/>
      <c r="C450" s="826"/>
      <c r="D450" s="928"/>
      <c r="E450" s="825"/>
      <c r="F450" s="825"/>
      <c r="G450" s="825"/>
      <c r="H450" s="826"/>
      <c r="I450" s="826"/>
      <c r="J450" s="827"/>
      <c r="K450" s="825"/>
      <c r="L450" s="824"/>
      <c r="M450" s="825"/>
      <c r="N450" s="825"/>
      <c r="O450" s="825"/>
      <c r="P450" s="830"/>
      <c r="Q450" s="830"/>
    </row>
    <row r="451" ht="33.0" customHeight="1">
      <c r="A451" s="811"/>
      <c r="B451" s="927"/>
      <c r="C451" s="817"/>
      <c r="D451" s="928"/>
      <c r="E451" s="816"/>
      <c r="F451" s="816"/>
      <c r="G451" s="816"/>
      <c r="H451" s="817"/>
      <c r="I451" s="817"/>
      <c r="J451" s="818"/>
      <c r="K451" s="816"/>
      <c r="L451" s="815"/>
      <c r="M451" s="816"/>
      <c r="N451" s="816"/>
      <c r="O451" s="816"/>
      <c r="P451" s="821"/>
      <c r="Q451" s="821"/>
    </row>
    <row r="452" ht="33.0" customHeight="1">
      <c r="A452" s="822"/>
      <c r="B452" s="927"/>
      <c r="C452" s="826"/>
      <c r="D452" s="928"/>
      <c r="E452" s="825"/>
      <c r="F452" s="825"/>
      <c r="G452" s="825"/>
      <c r="H452" s="826"/>
      <c r="I452" s="826"/>
      <c r="J452" s="827"/>
      <c r="K452" s="825"/>
      <c r="L452" s="824"/>
      <c r="M452" s="825"/>
      <c r="N452" s="825"/>
      <c r="O452" s="825"/>
      <c r="P452" s="830"/>
      <c r="Q452" s="830"/>
    </row>
    <row r="453" ht="33.0" customHeight="1">
      <c r="A453" s="811"/>
      <c r="B453" s="927"/>
      <c r="C453" s="817"/>
      <c r="D453" s="928"/>
      <c r="E453" s="816"/>
      <c r="F453" s="816"/>
      <c r="G453" s="816"/>
      <c r="H453" s="817"/>
      <c r="I453" s="817"/>
      <c r="J453" s="818"/>
      <c r="K453" s="816"/>
      <c r="L453" s="815"/>
      <c r="M453" s="816"/>
      <c r="N453" s="816"/>
      <c r="O453" s="816"/>
      <c r="P453" s="821"/>
      <c r="Q453" s="821"/>
    </row>
    <row r="454" ht="33.0" customHeight="1">
      <c r="A454" s="822"/>
      <c r="B454" s="927"/>
      <c r="C454" s="826"/>
      <c r="D454" s="928"/>
      <c r="E454" s="825"/>
      <c r="F454" s="825"/>
      <c r="G454" s="825"/>
      <c r="H454" s="826"/>
      <c r="I454" s="826"/>
      <c r="J454" s="827"/>
      <c r="K454" s="825"/>
      <c r="L454" s="824"/>
      <c r="M454" s="825"/>
      <c r="N454" s="825"/>
      <c r="O454" s="825"/>
      <c r="P454" s="830"/>
      <c r="Q454" s="830"/>
    </row>
    <row r="455" ht="33.0" customHeight="1">
      <c r="A455" s="811"/>
      <c r="B455" s="927"/>
      <c r="C455" s="817"/>
      <c r="D455" s="928"/>
      <c r="E455" s="816"/>
      <c r="F455" s="816"/>
      <c r="G455" s="816"/>
      <c r="H455" s="817"/>
      <c r="I455" s="817"/>
      <c r="J455" s="818"/>
      <c r="K455" s="816"/>
      <c r="L455" s="815"/>
      <c r="M455" s="816"/>
      <c r="N455" s="816"/>
      <c r="O455" s="816"/>
      <c r="P455" s="821"/>
      <c r="Q455" s="821"/>
    </row>
    <row r="456" ht="33.0" customHeight="1">
      <c r="A456" s="822"/>
      <c r="B456" s="927"/>
      <c r="C456" s="826"/>
      <c r="D456" s="928"/>
      <c r="E456" s="825"/>
      <c r="F456" s="825"/>
      <c r="G456" s="825"/>
      <c r="H456" s="826"/>
      <c r="I456" s="826"/>
      <c r="J456" s="827"/>
      <c r="K456" s="825"/>
      <c r="L456" s="824"/>
      <c r="M456" s="825"/>
      <c r="N456" s="825"/>
      <c r="O456" s="825"/>
      <c r="P456" s="830"/>
      <c r="Q456" s="830"/>
    </row>
    <row r="457" ht="33.0" customHeight="1">
      <c r="A457" s="811"/>
      <c r="B457" s="927"/>
      <c r="C457" s="817"/>
      <c r="D457" s="928"/>
      <c r="E457" s="816"/>
      <c r="F457" s="816"/>
      <c r="G457" s="816"/>
      <c r="H457" s="817"/>
      <c r="I457" s="817"/>
      <c r="J457" s="818"/>
      <c r="K457" s="816"/>
      <c r="L457" s="815"/>
      <c r="M457" s="816"/>
      <c r="N457" s="816"/>
      <c r="O457" s="816"/>
      <c r="P457" s="821"/>
      <c r="Q457" s="821"/>
    </row>
    <row r="458" ht="33.0" customHeight="1">
      <c r="A458" s="822"/>
      <c r="B458" s="927"/>
      <c r="C458" s="826"/>
      <c r="D458" s="928"/>
      <c r="E458" s="825"/>
      <c r="F458" s="825"/>
      <c r="G458" s="825"/>
      <c r="H458" s="826"/>
      <c r="I458" s="826"/>
      <c r="J458" s="827"/>
      <c r="K458" s="825"/>
      <c r="L458" s="824"/>
      <c r="M458" s="825"/>
      <c r="N458" s="825"/>
      <c r="O458" s="825"/>
      <c r="P458" s="830"/>
      <c r="Q458" s="830"/>
    </row>
    <row r="459" ht="33.0" customHeight="1">
      <c r="A459" s="811"/>
      <c r="B459" s="927"/>
      <c r="C459" s="817"/>
      <c r="D459" s="928"/>
      <c r="E459" s="816"/>
      <c r="F459" s="816"/>
      <c r="G459" s="816"/>
      <c r="H459" s="817"/>
      <c r="I459" s="817"/>
      <c r="J459" s="818"/>
      <c r="K459" s="816"/>
      <c r="L459" s="815"/>
      <c r="M459" s="816"/>
      <c r="N459" s="816"/>
      <c r="O459" s="816"/>
      <c r="P459" s="821"/>
      <c r="Q459" s="821"/>
    </row>
    <row r="460" ht="33.0" customHeight="1">
      <c r="A460" s="822"/>
      <c r="B460" s="927"/>
      <c r="C460" s="826"/>
      <c r="D460" s="928"/>
      <c r="E460" s="825"/>
      <c r="F460" s="825"/>
      <c r="G460" s="825"/>
      <c r="H460" s="826"/>
      <c r="I460" s="826"/>
      <c r="J460" s="827"/>
      <c r="K460" s="825"/>
      <c r="L460" s="824"/>
      <c r="M460" s="825"/>
      <c r="N460" s="825"/>
      <c r="O460" s="825"/>
      <c r="P460" s="830"/>
      <c r="Q460" s="830"/>
    </row>
    <row r="461" ht="33.0" customHeight="1">
      <c r="A461" s="811"/>
      <c r="B461" s="927"/>
      <c r="C461" s="817"/>
      <c r="D461" s="928"/>
      <c r="E461" s="816"/>
      <c r="F461" s="816"/>
      <c r="G461" s="816"/>
      <c r="H461" s="817"/>
      <c r="I461" s="817"/>
      <c r="J461" s="818"/>
      <c r="K461" s="816"/>
      <c r="L461" s="815"/>
      <c r="M461" s="816"/>
      <c r="N461" s="816"/>
      <c r="O461" s="816"/>
      <c r="P461" s="821"/>
      <c r="Q461" s="821"/>
    </row>
    <row r="462" ht="33.0" customHeight="1">
      <c r="A462" s="822"/>
      <c r="B462" s="927"/>
      <c r="C462" s="826"/>
      <c r="D462" s="928"/>
      <c r="E462" s="825"/>
      <c r="F462" s="825"/>
      <c r="G462" s="825"/>
      <c r="H462" s="826"/>
      <c r="I462" s="826"/>
      <c r="J462" s="827"/>
      <c r="K462" s="825"/>
      <c r="L462" s="824"/>
      <c r="M462" s="825"/>
      <c r="N462" s="825"/>
      <c r="O462" s="825"/>
      <c r="P462" s="830"/>
      <c r="Q462" s="830"/>
    </row>
    <row r="463" ht="33.0" customHeight="1">
      <c r="A463" s="811"/>
      <c r="B463" s="927"/>
      <c r="C463" s="817"/>
      <c r="D463" s="928"/>
      <c r="E463" s="816"/>
      <c r="F463" s="816"/>
      <c r="G463" s="816"/>
      <c r="H463" s="817"/>
      <c r="I463" s="817"/>
      <c r="J463" s="818"/>
      <c r="K463" s="816"/>
      <c r="L463" s="815"/>
      <c r="M463" s="816"/>
      <c r="N463" s="816"/>
      <c r="O463" s="816"/>
      <c r="P463" s="821"/>
      <c r="Q463" s="821"/>
    </row>
    <row r="464" ht="33.0" customHeight="1">
      <c r="A464" s="822"/>
      <c r="B464" s="927"/>
      <c r="C464" s="826"/>
      <c r="D464" s="928"/>
      <c r="E464" s="825"/>
      <c r="F464" s="825"/>
      <c r="G464" s="825"/>
      <c r="H464" s="826"/>
      <c r="I464" s="826"/>
      <c r="J464" s="827"/>
      <c r="K464" s="825"/>
      <c r="L464" s="824"/>
      <c r="M464" s="825"/>
      <c r="N464" s="825"/>
      <c r="O464" s="825"/>
      <c r="P464" s="830"/>
      <c r="Q464" s="830"/>
    </row>
    <row r="465" ht="33.0" customHeight="1">
      <c r="A465" s="811"/>
      <c r="B465" s="927"/>
      <c r="C465" s="817"/>
      <c r="D465" s="928"/>
      <c r="E465" s="816"/>
      <c r="F465" s="816"/>
      <c r="G465" s="816"/>
      <c r="H465" s="817"/>
      <c r="I465" s="817"/>
      <c r="J465" s="818"/>
      <c r="K465" s="816"/>
      <c r="L465" s="815"/>
      <c r="M465" s="816"/>
      <c r="N465" s="816"/>
      <c r="O465" s="816"/>
      <c r="P465" s="821"/>
      <c r="Q465" s="821"/>
    </row>
    <row r="466" ht="33.0" customHeight="1">
      <c r="A466" s="822"/>
      <c r="B466" s="927"/>
      <c r="C466" s="826"/>
      <c r="D466" s="928"/>
      <c r="E466" s="825"/>
      <c r="F466" s="825"/>
      <c r="G466" s="825"/>
      <c r="H466" s="826"/>
      <c r="I466" s="826"/>
      <c r="J466" s="827"/>
      <c r="K466" s="825"/>
      <c r="L466" s="824"/>
      <c r="M466" s="825"/>
      <c r="N466" s="825"/>
      <c r="O466" s="825"/>
      <c r="P466" s="830"/>
      <c r="Q466" s="830"/>
    </row>
    <row r="467" ht="33.0" customHeight="1">
      <c r="A467" s="811"/>
      <c r="B467" s="927"/>
      <c r="C467" s="817"/>
      <c r="D467" s="928"/>
      <c r="E467" s="816"/>
      <c r="F467" s="816"/>
      <c r="G467" s="816"/>
      <c r="H467" s="817"/>
      <c r="I467" s="817"/>
      <c r="J467" s="818"/>
      <c r="K467" s="816"/>
      <c r="L467" s="815"/>
      <c r="M467" s="816"/>
      <c r="N467" s="816"/>
      <c r="O467" s="816"/>
      <c r="P467" s="821"/>
      <c r="Q467" s="821"/>
    </row>
    <row r="468" ht="33.0" customHeight="1">
      <c r="A468" s="822"/>
      <c r="B468" s="927"/>
      <c r="C468" s="826"/>
      <c r="D468" s="928"/>
      <c r="E468" s="825"/>
      <c r="F468" s="825"/>
      <c r="G468" s="825"/>
      <c r="H468" s="826"/>
      <c r="I468" s="826"/>
      <c r="J468" s="827"/>
      <c r="K468" s="825"/>
      <c r="L468" s="824"/>
      <c r="M468" s="825"/>
      <c r="N468" s="825"/>
      <c r="O468" s="825"/>
      <c r="P468" s="830"/>
      <c r="Q468" s="830"/>
    </row>
    <row r="469" ht="33.0" customHeight="1">
      <c r="A469" s="811"/>
      <c r="B469" s="927"/>
      <c r="C469" s="817"/>
      <c r="D469" s="928"/>
      <c r="E469" s="816"/>
      <c r="F469" s="816"/>
      <c r="G469" s="816"/>
      <c r="H469" s="817"/>
      <c r="I469" s="817"/>
      <c r="J469" s="818"/>
      <c r="K469" s="816"/>
      <c r="L469" s="815"/>
      <c r="M469" s="816"/>
      <c r="N469" s="816"/>
      <c r="O469" s="816"/>
      <c r="P469" s="821"/>
      <c r="Q469" s="821"/>
    </row>
    <row r="470" ht="33.0" customHeight="1">
      <c r="A470" s="822"/>
      <c r="B470" s="927"/>
      <c r="C470" s="826"/>
      <c r="D470" s="928"/>
      <c r="E470" s="825"/>
      <c r="F470" s="825"/>
      <c r="G470" s="825"/>
      <c r="H470" s="826"/>
      <c r="I470" s="826"/>
      <c r="J470" s="827"/>
      <c r="K470" s="825"/>
      <c r="L470" s="824"/>
      <c r="M470" s="825"/>
      <c r="N470" s="825"/>
      <c r="O470" s="825"/>
      <c r="P470" s="830"/>
      <c r="Q470" s="830"/>
    </row>
    <row r="471" ht="33.0" customHeight="1">
      <c r="A471" s="811"/>
      <c r="B471" s="927"/>
      <c r="C471" s="817"/>
      <c r="D471" s="928"/>
      <c r="E471" s="816"/>
      <c r="F471" s="816"/>
      <c r="G471" s="816"/>
      <c r="H471" s="817"/>
      <c r="I471" s="817"/>
      <c r="J471" s="818"/>
      <c r="K471" s="816"/>
      <c r="L471" s="815"/>
      <c r="M471" s="816"/>
      <c r="N471" s="816"/>
      <c r="O471" s="816"/>
      <c r="P471" s="821"/>
      <c r="Q471" s="821"/>
    </row>
    <row r="472" ht="33.0" customHeight="1">
      <c r="A472" s="822"/>
      <c r="B472" s="927"/>
      <c r="C472" s="826"/>
      <c r="D472" s="928"/>
      <c r="E472" s="825"/>
      <c r="F472" s="825"/>
      <c r="G472" s="825"/>
      <c r="H472" s="826"/>
      <c r="I472" s="826"/>
      <c r="J472" s="827"/>
      <c r="K472" s="825"/>
      <c r="L472" s="824"/>
      <c r="M472" s="825"/>
      <c r="N472" s="825"/>
      <c r="O472" s="825"/>
      <c r="P472" s="830"/>
      <c r="Q472" s="830"/>
    </row>
    <row r="473" ht="33.0" customHeight="1">
      <c r="A473" s="811"/>
      <c r="B473" s="927"/>
      <c r="C473" s="817"/>
      <c r="D473" s="928"/>
      <c r="E473" s="816"/>
      <c r="F473" s="816"/>
      <c r="G473" s="816"/>
      <c r="H473" s="817"/>
      <c r="I473" s="817"/>
      <c r="J473" s="818"/>
      <c r="K473" s="816"/>
      <c r="L473" s="815"/>
      <c r="M473" s="816"/>
      <c r="N473" s="816"/>
      <c r="O473" s="816"/>
      <c r="P473" s="821"/>
      <c r="Q473" s="821"/>
    </row>
    <row r="474" ht="33.0" customHeight="1">
      <c r="A474" s="822"/>
      <c r="B474" s="927"/>
      <c r="C474" s="826"/>
      <c r="D474" s="928"/>
      <c r="E474" s="825"/>
      <c r="F474" s="825"/>
      <c r="G474" s="825"/>
      <c r="H474" s="826"/>
      <c r="I474" s="826"/>
      <c r="J474" s="827"/>
      <c r="K474" s="825"/>
      <c r="L474" s="824"/>
      <c r="M474" s="825"/>
      <c r="N474" s="825"/>
      <c r="O474" s="825"/>
      <c r="P474" s="830"/>
      <c r="Q474" s="830"/>
    </row>
    <row r="475" ht="33.0" customHeight="1">
      <c r="A475" s="811"/>
      <c r="B475" s="927"/>
      <c r="C475" s="817"/>
      <c r="D475" s="928"/>
      <c r="E475" s="816"/>
      <c r="F475" s="816"/>
      <c r="G475" s="816"/>
      <c r="H475" s="817"/>
      <c r="I475" s="817"/>
      <c r="J475" s="818"/>
      <c r="K475" s="816"/>
      <c r="L475" s="815"/>
      <c r="M475" s="816"/>
      <c r="N475" s="816"/>
      <c r="O475" s="816"/>
      <c r="P475" s="821"/>
      <c r="Q475" s="821"/>
    </row>
    <row r="476" ht="33.0" customHeight="1">
      <c r="A476" s="822"/>
      <c r="B476" s="927"/>
      <c r="C476" s="826"/>
      <c r="D476" s="928"/>
      <c r="E476" s="825"/>
      <c r="F476" s="825"/>
      <c r="G476" s="825"/>
      <c r="H476" s="826"/>
      <c r="I476" s="826"/>
      <c r="J476" s="827"/>
      <c r="K476" s="825"/>
      <c r="L476" s="824"/>
      <c r="M476" s="825"/>
      <c r="N476" s="825"/>
      <c r="O476" s="825"/>
      <c r="P476" s="830"/>
      <c r="Q476" s="830"/>
    </row>
    <row r="477" ht="33.0" customHeight="1">
      <c r="A477" s="811"/>
      <c r="B477" s="927"/>
      <c r="C477" s="817"/>
      <c r="D477" s="928"/>
      <c r="E477" s="816"/>
      <c r="F477" s="816"/>
      <c r="G477" s="816"/>
      <c r="H477" s="817"/>
      <c r="I477" s="817"/>
      <c r="J477" s="818"/>
      <c r="K477" s="816"/>
      <c r="L477" s="815"/>
      <c r="M477" s="816"/>
      <c r="N477" s="816"/>
      <c r="O477" s="816"/>
      <c r="P477" s="821"/>
      <c r="Q477" s="821"/>
    </row>
    <row r="478" ht="33.0" customHeight="1">
      <c r="A478" s="822"/>
      <c r="B478" s="927"/>
      <c r="C478" s="826"/>
      <c r="D478" s="928"/>
      <c r="E478" s="825"/>
      <c r="F478" s="825"/>
      <c r="G478" s="825"/>
      <c r="H478" s="826"/>
      <c r="I478" s="826"/>
      <c r="J478" s="827"/>
      <c r="K478" s="825"/>
      <c r="L478" s="824"/>
      <c r="M478" s="825"/>
      <c r="N478" s="825"/>
      <c r="O478" s="825"/>
      <c r="P478" s="830"/>
      <c r="Q478" s="830"/>
    </row>
    <row r="479" ht="33.0" customHeight="1">
      <c r="A479" s="811"/>
      <c r="B479" s="927"/>
      <c r="C479" s="817"/>
      <c r="D479" s="928"/>
      <c r="E479" s="816"/>
      <c r="F479" s="816"/>
      <c r="G479" s="816"/>
      <c r="H479" s="817"/>
      <c r="I479" s="817"/>
      <c r="J479" s="818"/>
      <c r="K479" s="816"/>
      <c r="L479" s="815"/>
      <c r="M479" s="816"/>
      <c r="N479" s="816"/>
      <c r="O479" s="816"/>
      <c r="P479" s="821"/>
      <c r="Q479" s="821"/>
    </row>
    <row r="480" ht="33.0" customHeight="1">
      <c r="A480" s="822"/>
      <c r="B480" s="927"/>
      <c r="C480" s="826"/>
      <c r="D480" s="928"/>
      <c r="E480" s="825"/>
      <c r="F480" s="825"/>
      <c r="G480" s="825"/>
      <c r="H480" s="826"/>
      <c r="I480" s="826"/>
      <c r="J480" s="827"/>
      <c r="K480" s="825"/>
      <c r="L480" s="824"/>
      <c r="M480" s="825"/>
      <c r="N480" s="825"/>
      <c r="O480" s="825"/>
      <c r="P480" s="830"/>
      <c r="Q480" s="830"/>
    </row>
    <row r="481" ht="33.0" customHeight="1">
      <c r="A481" s="811"/>
      <c r="B481" s="927"/>
      <c r="C481" s="817"/>
      <c r="D481" s="928"/>
      <c r="E481" s="816"/>
      <c r="F481" s="816"/>
      <c r="G481" s="816"/>
      <c r="H481" s="817"/>
      <c r="I481" s="817"/>
      <c r="J481" s="818"/>
      <c r="K481" s="816"/>
      <c r="L481" s="815"/>
      <c r="M481" s="816"/>
      <c r="N481" s="816"/>
      <c r="O481" s="816"/>
      <c r="P481" s="821"/>
      <c r="Q481" s="821"/>
    </row>
    <row r="482" ht="33.0" customHeight="1">
      <c r="A482" s="822"/>
      <c r="B482" s="927"/>
      <c r="C482" s="826"/>
      <c r="D482" s="928"/>
      <c r="E482" s="825"/>
      <c r="F482" s="825"/>
      <c r="G482" s="825"/>
      <c r="H482" s="826"/>
      <c r="I482" s="826"/>
      <c r="J482" s="827"/>
      <c r="K482" s="825"/>
      <c r="L482" s="824"/>
      <c r="M482" s="825"/>
      <c r="N482" s="825"/>
      <c r="O482" s="825"/>
      <c r="P482" s="830"/>
      <c r="Q482" s="830"/>
    </row>
    <row r="483" ht="33.0" customHeight="1">
      <c r="A483" s="811"/>
      <c r="B483" s="927"/>
      <c r="C483" s="817"/>
      <c r="D483" s="928"/>
      <c r="E483" s="816"/>
      <c r="F483" s="816"/>
      <c r="G483" s="816"/>
      <c r="H483" s="817"/>
      <c r="I483" s="817"/>
      <c r="J483" s="818"/>
      <c r="K483" s="816"/>
      <c r="L483" s="815"/>
      <c r="M483" s="816"/>
      <c r="N483" s="816"/>
      <c r="O483" s="816"/>
      <c r="P483" s="821"/>
      <c r="Q483" s="821"/>
    </row>
    <row r="484" ht="33.0" customHeight="1">
      <c r="A484" s="822"/>
      <c r="B484" s="927"/>
      <c r="C484" s="826"/>
      <c r="D484" s="928"/>
      <c r="E484" s="825"/>
      <c r="F484" s="825"/>
      <c r="G484" s="825"/>
      <c r="H484" s="826"/>
      <c r="I484" s="826"/>
      <c r="J484" s="827"/>
      <c r="K484" s="825"/>
      <c r="L484" s="824"/>
      <c r="M484" s="825"/>
      <c r="N484" s="825"/>
      <c r="O484" s="825"/>
      <c r="P484" s="830"/>
      <c r="Q484" s="830"/>
    </row>
    <row r="485" ht="33.0" customHeight="1">
      <c r="A485" s="811"/>
      <c r="B485" s="927"/>
      <c r="C485" s="817"/>
      <c r="D485" s="928"/>
      <c r="E485" s="816"/>
      <c r="F485" s="816"/>
      <c r="G485" s="816"/>
      <c r="H485" s="817"/>
      <c r="I485" s="817"/>
      <c r="J485" s="818"/>
      <c r="K485" s="816"/>
      <c r="L485" s="815"/>
      <c r="M485" s="816"/>
      <c r="N485" s="816"/>
      <c r="O485" s="816"/>
      <c r="P485" s="821"/>
      <c r="Q485" s="821"/>
    </row>
    <row r="486" ht="33.0" customHeight="1">
      <c r="A486" s="822"/>
      <c r="B486" s="927"/>
      <c r="C486" s="826"/>
      <c r="D486" s="928"/>
      <c r="E486" s="825"/>
      <c r="F486" s="825"/>
      <c r="G486" s="825"/>
      <c r="H486" s="826"/>
      <c r="I486" s="826"/>
      <c r="J486" s="827"/>
      <c r="K486" s="825"/>
      <c r="L486" s="824"/>
      <c r="M486" s="825"/>
      <c r="N486" s="825"/>
      <c r="O486" s="825"/>
      <c r="P486" s="830"/>
      <c r="Q486" s="830"/>
    </row>
    <row r="487" ht="33.0" customHeight="1">
      <c r="A487" s="811"/>
      <c r="B487" s="927"/>
      <c r="C487" s="817"/>
      <c r="D487" s="928"/>
      <c r="E487" s="816"/>
      <c r="F487" s="816"/>
      <c r="G487" s="816"/>
      <c r="H487" s="817"/>
      <c r="I487" s="817"/>
      <c r="J487" s="818"/>
      <c r="K487" s="816"/>
      <c r="L487" s="815"/>
      <c r="M487" s="816"/>
      <c r="N487" s="816"/>
      <c r="O487" s="816"/>
      <c r="P487" s="821"/>
      <c r="Q487" s="821"/>
    </row>
    <row r="488" ht="33.0" customHeight="1">
      <c r="A488" s="822"/>
      <c r="B488" s="927"/>
      <c r="C488" s="826"/>
      <c r="D488" s="928"/>
      <c r="E488" s="825"/>
      <c r="F488" s="825"/>
      <c r="G488" s="825"/>
      <c r="H488" s="826"/>
      <c r="I488" s="826"/>
      <c r="J488" s="827"/>
      <c r="K488" s="825"/>
      <c r="L488" s="824"/>
      <c r="M488" s="825"/>
      <c r="N488" s="825"/>
      <c r="O488" s="825"/>
      <c r="P488" s="830"/>
      <c r="Q488" s="830"/>
    </row>
    <row r="489" ht="33.0" customHeight="1">
      <c r="A489" s="811"/>
      <c r="B489" s="927"/>
      <c r="C489" s="817"/>
      <c r="D489" s="928"/>
      <c r="E489" s="816"/>
      <c r="F489" s="816"/>
      <c r="G489" s="816"/>
      <c r="H489" s="817"/>
      <c r="I489" s="817"/>
      <c r="J489" s="818"/>
      <c r="K489" s="816"/>
      <c r="L489" s="815"/>
      <c r="M489" s="816"/>
      <c r="N489" s="816"/>
      <c r="O489" s="816"/>
      <c r="P489" s="821"/>
      <c r="Q489" s="821"/>
    </row>
    <row r="490" ht="33.0" customHeight="1">
      <c r="A490" s="822"/>
      <c r="B490" s="927"/>
      <c r="C490" s="826"/>
      <c r="D490" s="928"/>
      <c r="E490" s="825"/>
      <c r="F490" s="825"/>
      <c r="G490" s="825"/>
      <c r="H490" s="826"/>
      <c r="I490" s="826"/>
      <c r="J490" s="827"/>
      <c r="K490" s="825"/>
      <c r="L490" s="824"/>
      <c r="M490" s="825"/>
      <c r="N490" s="825"/>
      <c r="O490" s="825"/>
      <c r="P490" s="830"/>
      <c r="Q490" s="830"/>
    </row>
    <row r="491" ht="33.0" customHeight="1">
      <c r="A491" s="811"/>
      <c r="B491" s="927"/>
      <c r="C491" s="817"/>
      <c r="D491" s="928"/>
      <c r="E491" s="816"/>
      <c r="F491" s="816"/>
      <c r="G491" s="816"/>
      <c r="H491" s="817"/>
      <c r="I491" s="817"/>
      <c r="J491" s="818"/>
      <c r="K491" s="816"/>
      <c r="L491" s="815"/>
      <c r="M491" s="816"/>
      <c r="N491" s="816"/>
      <c r="O491" s="816"/>
      <c r="P491" s="821"/>
      <c r="Q491" s="821"/>
    </row>
    <row r="492" ht="33.0" customHeight="1">
      <c r="A492" s="822"/>
      <c r="B492" s="927"/>
      <c r="C492" s="826"/>
      <c r="D492" s="928"/>
      <c r="E492" s="825"/>
      <c r="F492" s="825"/>
      <c r="G492" s="825"/>
      <c r="H492" s="826"/>
      <c r="I492" s="826"/>
      <c r="J492" s="827"/>
      <c r="K492" s="825"/>
      <c r="L492" s="824"/>
      <c r="M492" s="825"/>
      <c r="N492" s="825"/>
      <c r="O492" s="825"/>
      <c r="P492" s="830"/>
      <c r="Q492" s="830"/>
    </row>
    <row r="493" ht="33.0" customHeight="1">
      <c r="A493" s="811"/>
      <c r="B493" s="927"/>
      <c r="C493" s="817"/>
      <c r="D493" s="928"/>
      <c r="E493" s="816"/>
      <c r="F493" s="816"/>
      <c r="G493" s="816"/>
      <c r="H493" s="817"/>
      <c r="I493" s="817"/>
      <c r="J493" s="818"/>
      <c r="K493" s="816"/>
      <c r="L493" s="815"/>
      <c r="M493" s="816"/>
      <c r="N493" s="816"/>
      <c r="O493" s="816"/>
      <c r="P493" s="821"/>
      <c r="Q493" s="821"/>
    </row>
    <row r="494" ht="33.0" customHeight="1">
      <c r="A494" s="822"/>
      <c r="B494" s="927"/>
      <c r="C494" s="826"/>
      <c r="D494" s="928"/>
      <c r="E494" s="825"/>
      <c r="F494" s="825"/>
      <c r="G494" s="825"/>
      <c r="H494" s="826"/>
      <c r="I494" s="826"/>
      <c r="J494" s="827"/>
      <c r="K494" s="825"/>
      <c r="L494" s="824"/>
      <c r="M494" s="825"/>
      <c r="N494" s="825"/>
      <c r="O494" s="825"/>
      <c r="P494" s="830"/>
      <c r="Q494" s="830"/>
    </row>
    <row r="495" ht="33.0" customHeight="1">
      <c r="A495" s="811"/>
      <c r="B495" s="927"/>
      <c r="C495" s="817"/>
      <c r="D495" s="928"/>
      <c r="E495" s="816"/>
      <c r="F495" s="816"/>
      <c r="G495" s="816"/>
      <c r="H495" s="817"/>
      <c r="I495" s="817"/>
      <c r="J495" s="818"/>
      <c r="K495" s="816"/>
      <c r="L495" s="815"/>
      <c r="M495" s="816"/>
      <c r="N495" s="816"/>
      <c r="O495" s="816"/>
      <c r="P495" s="821"/>
      <c r="Q495" s="821"/>
    </row>
    <row r="496" ht="33.0" customHeight="1">
      <c r="A496" s="822"/>
      <c r="B496" s="927"/>
      <c r="C496" s="826"/>
      <c r="D496" s="928"/>
      <c r="E496" s="825"/>
      <c r="F496" s="825"/>
      <c r="G496" s="825"/>
      <c r="H496" s="826"/>
      <c r="I496" s="826"/>
      <c r="J496" s="827"/>
      <c r="K496" s="825"/>
      <c r="L496" s="824"/>
      <c r="M496" s="825"/>
      <c r="N496" s="825"/>
      <c r="O496" s="825"/>
      <c r="P496" s="830"/>
      <c r="Q496" s="830"/>
    </row>
    <row r="497" ht="33.0" customHeight="1">
      <c r="A497" s="811"/>
      <c r="B497" s="927"/>
      <c r="C497" s="817"/>
      <c r="D497" s="928"/>
      <c r="E497" s="816"/>
      <c r="F497" s="816"/>
      <c r="G497" s="816"/>
      <c r="H497" s="817"/>
      <c r="I497" s="817"/>
      <c r="J497" s="818"/>
      <c r="K497" s="816"/>
      <c r="L497" s="815"/>
      <c r="M497" s="816"/>
      <c r="N497" s="816"/>
      <c r="O497" s="816"/>
      <c r="P497" s="821"/>
      <c r="Q497" s="821"/>
    </row>
    <row r="498" ht="33.0" customHeight="1">
      <c r="A498" s="822"/>
      <c r="B498" s="927"/>
      <c r="C498" s="826"/>
      <c r="D498" s="928"/>
      <c r="E498" s="825"/>
      <c r="F498" s="825"/>
      <c r="G498" s="825"/>
      <c r="H498" s="826"/>
      <c r="I498" s="826"/>
      <c r="J498" s="827"/>
      <c r="K498" s="825"/>
      <c r="L498" s="824"/>
      <c r="M498" s="825"/>
      <c r="N498" s="825"/>
      <c r="O498" s="825"/>
      <c r="P498" s="830"/>
      <c r="Q498" s="830"/>
    </row>
    <row r="499" ht="33.0" customHeight="1">
      <c r="A499" s="811"/>
      <c r="B499" s="927"/>
      <c r="C499" s="817"/>
      <c r="D499" s="928"/>
      <c r="E499" s="816"/>
      <c r="F499" s="816"/>
      <c r="G499" s="816"/>
      <c r="H499" s="817"/>
      <c r="I499" s="817"/>
      <c r="J499" s="818"/>
      <c r="K499" s="816"/>
      <c r="L499" s="815"/>
      <c r="M499" s="816"/>
      <c r="N499" s="816"/>
      <c r="O499" s="816"/>
      <c r="P499" s="821"/>
      <c r="Q499" s="821"/>
    </row>
    <row r="500" ht="33.0" customHeight="1">
      <c r="A500" s="822"/>
      <c r="B500" s="927"/>
      <c r="C500" s="826"/>
      <c r="D500" s="928"/>
      <c r="E500" s="825"/>
      <c r="F500" s="825"/>
      <c r="G500" s="825"/>
      <c r="H500" s="826"/>
      <c r="I500" s="826"/>
      <c r="J500" s="827"/>
      <c r="K500" s="825"/>
      <c r="L500" s="824"/>
      <c r="M500" s="825"/>
      <c r="N500" s="825"/>
      <c r="O500" s="825"/>
      <c r="P500" s="830"/>
      <c r="Q500" s="830"/>
    </row>
    <row r="501" ht="33.0" customHeight="1">
      <c r="A501" s="811"/>
      <c r="B501" s="927"/>
      <c r="C501" s="817"/>
      <c r="D501" s="928"/>
      <c r="E501" s="816"/>
      <c r="F501" s="816"/>
      <c r="G501" s="816"/>
      <c r="H501" s="817"/>
      <c r="I501" s="817"/>
      <c r="J501" s="818"/>
      <c r="K501" s="816"/>
      <c r="L501" s="815"/>
      <c r="M501" s="816"/>
      <c r="N501" s="816"/>
      <c r="O501" s="816"/>
      <c r="P501" s="821"/>
      <c r="Q501" s="821"/>
    </row>
    <row r="502" ht="33.0" customHeight="1">
      <c r="A502" s="822"/>
      <c r="B502" s="927"/>
      <c r="C502" s="826"/>
      <c r="D502" s="928"/>
      <c r="E502" s="825"/>
      <c r="F502" s="825"/>
      <c r="G502" s="825"/>
      <c r="H502" s="826"/>
      <c r="I502" s="826"/>
      <c r="J502" s="827"/>
      <c r="K502" s="825"/>
      <c r="L502" s="824"/>
      <c r="M502" s="825"/>
      <c r="N502" s="825"/>
      <c r="O502" s="825"/>
      <c r="P502" s="830"/>
      <c r="Q502" s="830"/>
    </row>
    <row r="503" ht="33.0" customHeight="1">
      <c r="A503" s="811"/>
      <c r="B503" s="927"/>
      <c r="C503" s="817"/>
      <c r="D503" s="928"/>
      <c r="E503" s="816"/>
      <c r="F503" s="816"/>
      <c r="G503" s="816"/>
      <c r="H503" s="817"/>
      <c r="I503" s="817"/>
      <c r="J503" s="818"/>
      <c r="K503" s="816"/>
      <c r="L503" s="815"/>
      <c r="M503" s="816"/>
      <c r="N503" s="816"/>
      <c r="O503" s="816"/>
      <c r="P503" s="821"/>
      <c r="Q503" s="821"/>
    </row>
    <row r="504" ht="33.0" customHeight="1">
      <c r="A504" s="822"/>
      <c r="B504" s="927"/>
      <c r="C504" s="826"/>
      <c r="D504" s="928"/>
      <c r="E504" s="825"/>
      <c r="F504" s="825"/>
      <c r="G504" s="825"/>
      <c r="H504" s="826"/>
      <c r="I504" s="826"/>
      <c r="J504" s="827"/>
      <c r="K504" s="825"/>
      <c r="L504" s="824"/>
      <c r="M504" s="825"/>
      <c r="N504" s="825"/>
      <c r="O504" s="825"/>
      <c r="P504" s="830"/>
      <c r="Q504" s="830"/>
    </row>
    <row r="505" ht="33.0" customHeight="1">
      <c r="A505" s="811"/>
      <c r="B505" s="927"/>
      <c r="C505" s="817"/>
      <c r="D505" s="928"/>
      <c r="E505" s="816"/>
      <c r="F505" s="816"/>
      <c r="G505" s="816"/>
      <c r="H505" s="817"/>
      <c r="I505" s="817"/>
      <c r="J505" s="818"/>
      <c r="K505" s="816"/>
      <c r="L505" s="815"/>
      <c r="M505" s="816"/>
      <c r="N505" s="816"/>
      <c r="O505" s="816"/>
      <c r="P505" s="821"/>
      <c r="Q505" s="821"/>
    </row>
    <row r="506" ht="33.0" customHeight="1">
      <c r="A506" s="822"/>
      <c r="B506" s="927"/>
      <c r="C506" s="826"/>
      <c r="D506" s="928"/>
      <c r="E506" s="825"/>
      <c r="F506" s="825"/>
      <c r="G506" s="825"/>
      <c r="H506" s="826"/>
      <c r="I506" s="826"/>
      <c r="J506" s="827"/>
      <c r="K506" s="825"/>
      <c r="L506" s="824"/>
      <c r="M506" s="825"/>
      <c r="N506" s="825"/>
      <c r="O506" s="825"/>
      <c r="P506" s="830"/>
      <c r="Q506" s="830"/>
    </row>
    <row r="507" ht="33.0" customHeight="1">
      <c r="A507" s="811"/>
      <c r="B507" s="927"/>
      <c r="C507" s="817"/>
      <c r="D507" s="928"/>
      <c r="E507" s="816"/>
      <c r="F507" s="816"/>
      <c r="G507" s="816"/>
      <c r="H507" s="817"/>
      <c r="I507" s="817"/>
      <c r="J507" s="818"/>
      <c r="K507" s="816"/>
      <c r="L507" s="815"/>
      <c r="M507" s="816"/>
      <c r="N507" s="816"/>
      <c r="O507" s="816"/>
      <c r="P507" s="821"/>
      <c r="Q507" s="821"/>
    </row>
    <row r="508" ht="33.0" customHeight="1">
      <c r="A508" s="822"/>
      <c r="B508" s="927"/>
      <c r="C508" s="826"/>
      <c r="D508" s="928"/>
      <c r="E508" s="825"/>
      <c r="F508" s="825"/>
      <c r="G508" s="825"/>
      <c r="H508" s="826"/>
      <c r="I508" s="826"/>
      <c r="J508" s="827"/>
      <c r="K508" s="825"/>
      <c r="L508" s="824"/>
      <c r="M508" s="825"/>
      <c r="N508" s="825"/>
      <c r="O508" s="825"/>
      <c r="P508" s="830"/>
      <c r="Q508" s="830"/>
    </row>
    <row r="509" ht="33.0" customHeight="1">
      <c r="A509" s="811"/>
      <c r="B509" s="927"/>
      <c r="C509" s="817"/>
      <c r="D509" s="928"/>
      <c r="E509" s="816"/>
      <c r="F509" s="816"/>
      <c r="G509" s="816"/>
      <c r="H509" s="817"/>
      <c r="I509" s="817"/>
      <c r="J509" s="818"/>
      <c r="K509" s="816"/>
      <c r="L509" s="815"/>
      <c r="M509" s="816"/>
      <c r="N509" s="816"/>
      <c r="O509" s="816"/>
      <c r="P509" s="821"/>
      <c r="Q509" s="821"/>
    </row>
    <row r="510" ht="33.0" customHeight="1">
      <c r="A510" s="822"/>
      <c r="B510" s="927"/>
      <c r="C510" s="826"/>
      <c r="D510" s="928"/>
      <c r="E510" s="825"/>
      <c r="F510" s="825"/>
      <c r="G510" s="825"/>
      <c r="H510" s="826"/>
      <c r="I510" s="826"/>
      <c r="J510" s="827"/>
      <c r="K510" s="825"/>
      <c r="L510" s="824"/>
      <c r="M510" s="825"/>
      <c r="N510" s="825"/>
      <c r="O510" s="825"/>
      <c r="P510" s="830"/>
      <c r="Q510" s="830"/>
    </row>
    <row r="511" ht="33.0" customHeight="1">
      <c r="A511" s="811"/>
      <c r="B511" s="927"/>
      <c r="C511" s="817"/>
      <c r="D511" s="928"/>
      <c r="E511" s="816"/>
      <c r="F511" s="816"/>
      <c r="G511" s="816"/>
      <c r="H511" s="817"/>
      <c r="I511" s="817"/>
      <c r="J511" s="818"/>
      <c r="K511" s="816"/>
      <c r="L511" s="815"/>
      <c r="M511" s="816"/>
      <c r="N511" s="816"/>
      <c r="O511" s="816"/>
      <c r="P511" s="821"/>
      <c r="Q511" s="821"/>
    </row>
    <row r="512" ht="33.0" customHeight="1">
      <c r="A512" s="822"/>
      <c r="B512" s="927"/>
      <c r="C512" s="826"/>
      <c r="D512" s="928"/>
      <c r="E512" s="825"/>
      <c r="F512" s="825"/>
      <c r="G512" s="825"/>
      <c r="H512" s="826"/>
      <c r="I512" s="826"/>
      <c r="J512" s="827"/>
      <c r="K512" s="825"/>
      <c r="L512" s="824"/>
      <c r="M512" s="825"/>
      <c r="N512" s="825"/>
      <c r="O512" s="825"/>
      <c r="P512" s="830"/>
      <c r="Q512" s="830"/>
    </row>
    <row r="513" ht="33.0" customHeight="1">
      <c r="A513" s="811"/>
      <c r="B513" s="927"/>
      <c r="C513" s="817"/>
      <c r="D513" s="928"/>
      <c r="E513" s="816"/>
      <c r="F513" s="816"/>
      <c r="G513" s="816"/>
      <c r="H513" s="817"/>
      <c r="I513" s="817"/>
      <c r="J513" s="818"/>
      <c r="K513" s="816"/>
      <c r="L513" s="815"/>
      <c r="M513" s="816"/>
      <c r="N513" s="816"/>
      <c r="O513" s="816"/>
      <c r="P513" s="821"/>
      <c r="Q513" s="821"/>
    </row>
    <row r="514" ht="33.0" customHeight="1">
      <c r="A514" s="822"/>
      <c r="B514" s="927"/>
      <c r="C514" s="826"/>
      <c r="D514" s="928"/>
      <c r="E514" s="825"/>
      <c r="F514" s="825"/>
      <c r="G514" s="825"/>
      <c r="H514" s="826"/>
      <c r="I514" s="826"/>
      <c r="J514" s="827"/>
      <c r="K514" s="825"/>
      <c r="L514" s="824"/>
      <c r="M514" s="825"/>
      <c r="N514" s="825"/>
      <c r="O514" s="825"/>
      <c r="P514" s="830"/>
      <c r="Q514" s="830"/>
    </row>
    <row r="515" ht="33.0" customHeight="1">
      <c r="A515" s="811"/>
      <c r="B515" s="927"/>
      <c r="C515" s="817"/>
      <c r="D515" s="928"/>
      <c r="E515" s="816"/>
      <c r="F515" s="816"/>
      <c r="G515" s="816"/>
      <c r="H515" s="817"/>
      <c r="I515" s="817"/>
      <c r="J515" s="818"/>
      <c r="K515" s="816"/>
      <c r="L515" s="815"/>
      <c r="M515" s="816"/>
      <c r="N515" s="816"/>
      <c r="O515" s="816"/>
      <c r="P515" s="821"/>
      <c r="Q515" s="821"/>
    </row>
    <row r="516" ht="33.0" customHeight="1">
      <c r="A516" s="822"/>
      <c r="B516" s="927"/>
      <c r="C516" s="826"/>
      <c r="D516" s="928"/>
      <c r="E516" s="825"/>
      <c r="F516" s="825"/>
      <c r="G516" s="825"/>
      <c r="H516" s="826"/>
      <c r="I516" s="826"/>
      <c r="J516" s="827"/>
      <c r="K516" s="825"/>
      <c r="L516" s="824"/>
      <c r="M516" s="825"/>
      <c r="N516" s="825"/>
      <c r="O516" s="825"/>
      <c r="P516" s="830"/>
      <c r="Q516" s="830"/>
    </row>
    <row r="517" ht="33.0" customHeight="1">
      <c r="A517" s="811"/>
      <c r="B517" s="927"/>
      <c r="C517" s="817"/>
      <c r="D517" s="928"/>
      <c r="E517" s="816"/>
      <c r="F517" s="816"/>
      <c r="G517" s="816"/>
      <c r="H517" s="817"/>
      <c r="I517" s="817"/>
      <c r="J517" s="818"/>
      <c r="K517" s="816"/>
      <c r="L517" s="815"/>
      <c r="M517" s="816"/>
      <c r="N517" s="816"/>
      <c r="O517" s="816"/>
      <c r="P517" s="821"/>
      <c r="Q517" s="821"/>
    </row>
    <row r="518" ht="33.0" customHeight="1">
      <c r="A518" s="822"/>
      <c r="B518" s="927"/>
      <c r="C518" s="826"/>
      <c r="D518" s="928"/>
      <c r="E518" s="825"/>
      <c r="F518" s="825"/>
      <c r="G518" s="825"/>
      <c r="H518" s="826"/>
      <c r="I518" s="826"/>
      <c r="J518" s="827"/>
      <c r="K518" s="825"/>
      <c r="L518" s="824"/>
      <c r="M518" s="825"/>
      <c r="N518" s="825"/>
      <c r="O518" s="825"/>
      <c r="P518" s="830"/>
      <c r="Q518" s="830"/>
    </row>
    <row r="519" ht="33.0" customHeight="1">
      <c r="A519" s="811"/>
      <c r="B519" s="927"/>
      <c r="C519" s="817"/>
      <c r="D519" s="928"/>
      <c r="E519" s="816"/>
      <c r="F519" s="816"/>
      <c r="G519" s="816"/>
      <c r="H519" s="817"/>
      <c r="I519" s="817"/>
      <c r="J519" s="818"/>
      <c r="K519" s="816"/>
      <c r="L519" s="815"/>
      <c r="M519" s="816"/>
      <c r="N519" s="816"/>
      <c r="O519" s="816"/>
      <c r="P519" s="821"/>
      <c r="Q519" s="821"/>
    </row>
    <row r="520" ht="33.0" customHeight="1">
      <c r="A520" s="822"/>
      <c r="B520" s="927"/>
      <c r="C520" s="826"/>
      <c r="D520" s="928"/>
      <c r="E520" s="825"/>
      <c r="F520" s="825"/>
      <c r="G520" s="825"/>
      <c r="H520" s="826"/>
      <c r="I520" s="826"/>
      <c r="J520" s="827"/>
      <c r="K520" s="825"/>
      <c r="L520" s="824"/>
      <c r="M520" s="825"/>
      <c r="N520" s="825"/>
      <c r="O520" s="825"/>
      <c r="P520" s="830"/>
      <c r="Q520" s="830"/>
    </row>
    <row r="521" ht="33.0" customHeight="1">
      <c r="A521" s="811"/>
      <c r="B521" s="927"/>
      <c r="C521" s="817"/>
      <c r="D521" s="928"/>
      <c r="E521" s="816"/>
      <c r="F521" s="816"/>
      <c r="G521" s="816"/>
      <c r="H521" s="817"/>
      <c r="I521" s="817"/>
      <c r="J521" s="818"/>
      <c r="K521" s="816"/>
      <c r="L521" s="815"/>
      <c r="M521" s="816"/>
      <c r="N521" s="816"/>
      <c r="O521" s="816"/>
      <c r="P521" s="821"/>
      <c r="Q521" s="821"/>
    </row>
    <row r="522" ht="33.0" customHeight="1">
      <c r="A522" s="822"/>
      <c r="B522" s="927"/>
      <c r="C522" s="826"/>
      <c r="D522" s="928"/>
      <c r="E522" s="825"/>
      <c r="F522" s="825"/>
      <c r="G522" s="825"/>
      <c r="H522" s="826"/>
      <c r="I522" s="826"/>
      <c r="J522" s="827"/>
      <c r="K522" s="825"/>
      <c r="L522" s="824"/>
      <c r="M522" s="825"/>
      <c r="N522" s="825"/>
      <c r="O522" s="825"/>
      <c r="P522" s="830"/>
      <c r="Q522" s="830"/>
    </row>
    <row r="523" ht="33.0" customHeight="1">
      <c r="A523" s="811"/>
      <c r="B523" s="927"/>
      <c r="C523" s="817"/>
      <c r="D523" s="928"/>
      <c r="E523" s="816"/>
      <c r="F523" s="816"/>
      <c r="G523" s="816"/>
      <c r="H523" s="817"/>
      <c r="I523" s="817"/>
      <c r="J523" s="818"/>
      <c r="K523" s="816"/>
      <c r="L523" s="815"/>
      <c r="M523" s="816"/>
      <c r="N523" s="816"/>
      <c r="O523" s="816"/>
      <c r="P523" s="821"/>
      <c r="Q523" s="821"/>
    </row>
    <row r="524" ht="33.0" customHeight="1">
      <c r="A524" s="822"/>
      <c r="B524" s="927"/>
      <c r="C524" s="826"/>
      <c r="D524" s="928"/>
      <c r="E524" s="825"/>
      <c r="F524" s="825"/>
      <c r="G524" s="825"/>
      <c r="H524" s="826"/>
      <c r="I524" s="826"/>
      <c r="J524" s="827"/>
      <c r="K524" s="825"/>
      <c r="L524" s="824"/>
      <c r="M524" s="825"/>
      <c r="N524" s="825"/>
      <c r="O524" s="825"/>
      <c r="P524" s="830"/>
      <c r="Q524" s="830"/>
    </row>
    <row r="525" ht="33.0" customHeight="1">
      <c r="A525" s="811"/>
      <c r="B525" s="927"/>
      <c r="C525" s="817"/>
      <c r="D525" s="928"/>
      <c r="E525" s="816"/>
      <c r="F525" s="816"/>
      <c r="G525" s="816"/>
      <c r="H525" s="817"/>
      <c r="I525" s="817"/>
      <c r="J525" s="818"/>
      <c r="K525" s="816"/>
      <c r="L525" s="815"/>
      <c r="M525" s="816"/>
      <c r="N525" s="816"/>
      <c r="O525" s="816"/>
      <c r="P525" s="821"/>
      <c r="Q525" s="821"/>
    </row>
    <row r="526" ht="33.0" customHeight="1">
      <c r="A526" s="822"/>
      <c r="B526" s="927"/>
      <c r="C526" s="826"/>
      <c r="D526" s="928"/>
      <c r="E526" s="825"/>
      <c r="F526" s="825"/>
      <c r="G526" s="825"/>
      <c r="H526" s="826"/>
      <c r="I526" s="826"/>
      <c r="J526" s="827"/>
      <c r="K526" s="825"/>
      <c r="L526" s="824"/>
      <c r="M526" s="825"/>
      <c r="N526" s="825"/>
      <c r="O526" s="825"/>
      <c r="P526" s="830"/>
      <c r="Q526" s="830"/>
    </row>
    <row r="527" ht="33.0" customHeight="1">
      <c r="A527" s="811"/>
      <c r="B527" s="927"/>
      <c r="C527" s="817"/>
      <c r="D527" s="928"/>
      <c r="E527" s="816"/>
      <c r="F527" s="816"/>
      <c r="G527" s="816"/>
      <c r="H527" s="817"/>
      <c r="I527" s="817"/>
      <c r="J527" s="818"/>
      <c r="K527" s="816"/>
      <c r="L527" s="815"/>
      <c r="M527" s="816"/>
      <c r="N527" s="816"/>
      <c r="O527" s="816"/>
      <c r="P527" s="821"/>
      <c r="Q527" s="821"/>
    </row>
    <row r="528" ht="33.0" customHeight="1">
      <c r="A528" s="822"/>
      <c r="B528" s="927"/>
      <c r="C528" s="826"/>
      <c r="D528" s="928"/>
      <c r="E528" s="825"/>
      <c r="F528" s="825"/>
      <c r="G528" s="825"/>
      <c r="H528" s="826"/>
      <c r="I528" s="826"/>
      <c r="J528" s="827"/>
      <c r="K528" s="825"/>
      <c r="L528" s="824"/>
      <c r="M528" s="825"/>
      <c r="N528" s="825"/>
      <c r="O528" s="825"/>
      <c r="P528" s="830"/>
      <c r="Q528" s="830"/>
    </row>
    <row r="529" ht="33.0" customHeight="1">
      <c r="A529" s="811"/>
      <c r="B529" s="927"/>
      <c r="C529" s="817"/>
      <c r="D529" s="928"/>
      <c r="E529" s="816"/>
      <c r="F529" s="816"/>
      <c r="G529" s="816"/>
      <c r="H529" s="817"/>
      <c r="I529" s="817"/>
      <c r="J529" s="818"/>
      <c r="K529" s="816"/>
      <c r="L529" s="815"/>
      <c r="M529" s="816"/>
      <c r="N529" s="816"/>
      <c r="O529" s="816"/>
      <c r="P529" s="821"/>
      <c r="Q529" s="821"/>
    </row>
    <row r="530" ht="33.0" customHeight="1">
      <c r="A530" s="822"/>
      <c r="B530" s="927"/>
      <c r="C530" s="826"/>
      <c r="D530" s="928"/>
      <c r="E530" s="825"/>
      <c r="F530" s="825"/>
      <c r="G530" s="825"/>
      <c r="H530" s="826"/>
      <c r="I530" s="826"/>
      <c r="J530" s="827"/>
      <c r="K530" s="825"/>
      <c r="L530" s="824"/>
      <c r="M530" s="825"/>
      <c r="N530" s="825"/>
      <c r="O530" s="825"/>
      <c r="P530" s="830"/>
      <c r="Q530" s="830"/>
    </row>
    <row r="531" ht="33.0" customHeight="1">
      <c r="A531" s="811"/>
      <c r="B531" s="927"/>
      <c r="C531" s="817"/>
      <c r="D531" s="928"/>
      <c r="E531" s="816"/>
      <c r="F531" s="816"/>
      <c r="G531" s="816"/>
      <c r="H531" s="817"/>
      <c r="I531" s="817"/>
      <c r="J531" s="818"/>
      <c r="K531" s="816"/>
      <c r="L531" s="815"/>
      <c r="M531" s="816"/>
      <c r="N531" s="816"/>
      <c r="O531" s="816"/>
      <c r="P531" s="821"/>
      <c r="Q531" s="821"/>
    </row>
    <row r="532" ht="33.0" customHeight="1">
      <c r="A532" s="822"/>
      <c r="B532" s="927"/>
      <c r="C532" s="826"/>
      <c r="D532" s="928"/>
      <c r="E532" s="825"/>
      <c r="F532" s="825"/>
      <c r="G532" s="825"/>
      <c r="H532" s="826"/>
      <c r="I532" s="826"/>
      <c r="J532" s="827"/>
      <c r="K532" s="825"/>
      <c r="L532" s="824"/>
      <c r="M532" s="825"/>
      <c r="N532" s="825"/>
      <c r="O532" s="825"/>
      <c r="P532" s="830"/>
      <c r="Q532" s="830"/>
    </row>
    <row r="533" ht="33.0" customHeight="1">
      <c r="A533" s="811"/>
      <c r="B533" s="927"/>
      <c r="C533" s="817"/>
      <c r="D533" s="928"/>
      <c r="E533" s="816"/>
      <c r="F533" s="816"/>
      <c r="G533" s="816"/>
      <c r="H533" s="817"/>
      <c r="I533" s="817"/>
      <c r="J533" s="818"/>
      <c r="K533" s="816"/>
      <c r="L533" s="815"/>
      <c r="M533" s="816"/>
      <c r="N533" s="816"/>
      <c r="O533" s="816"/>
      <c r="P533" s="821"/>
      <c r="Q533" s="821"/>
    </row>
    <row r="534" ht="33.0" customHeight="1">
      <c r="A534" s="822"/>
      <c r="B534" s="927"/>
      <c r="C534" s="826"/>
      <c r="D534" s="928"/>
      <c r="E534" s="825"/>
      <c r="F534" s="825"/>
      <c r="G534" s="825"/>
      <c r="H534" s="826"/>
      <c r="I534" s="826"/>
      <c r="J534" s="827"/>
      <c r="K534" s="825"/>
      <c r="L534" s="824"/>
      <c r="M534" s="825"/>
      <c r="N534" s="825"/>
      <c r="O534" s="825"/>
      <c r="P534" s="830"/>
      <c r="Q534" s="830"/>
    </row>
    <row r="535" ht="33.0" customHeight="1">
      <c r="A535" s="811"/>
      <c r="B535" s="927"/>
      <c r="C535" s="817"/>
      <c r="D535" s="928"/>
      <c r="E535" s="816"/>
      <c r="F535" s="816"/>
      <c r="G535" s="816"/>
      <c r="H535" s="817"/>
      <c r="I535" s="817"/>
      <c r="J535" s="818"/>
      <c r="K535" s="816"/>
      <c r="L535" s="815"/>
      <c r="M535" s="816"/>
      <c r="N535" s="816"/>
      <c r="O535" s="816"/>
      <c r="P535" s="821"/>
      <c r="Q535" s="821"/>
    </row>
    <row r="536" ht="33.0" customHeight="1">
      <c r="A536" s="822"/>
      <c r="B536" s="927"/>
      <c r="C536" s="826"/>
      <c r="D536" s="928"/>
      <c r="E536" s="825"/>
      <c r="F536" s="825"/>
      <c r="G536" s="825"/>
      <c r="H536" s="826"/>
      <c r="I536" s="826"/>
      <c r="J536" s="827"/>
      <c r="K536" s="825"/>
      <c r="L536" s="824"/>
      <c r="M536" s="825"/>
      <c r="N536" s="825"/>
      <c r="O536" s="825"/>
      <c r="P536" s="830"/>
      <c r="Q536" s="830"/>
    </row>
    <row r="537" ht="33.0" customHeight="1">
      <c r="A537" s="811"/>
      <c r="B537" s="927"/>
      <c r="C537" s="817"/>
      <c r="D537" s="928"/>
      <c r="E537" s="816"/>
      <c r="F537" s="816"/>
      <c r="G537" s="816"/>
      <c r="H537" s="817"/>
      <c r="I537" s="817"/>
      <c r="J537" s="818"/>
      <c r="K537" s="816"/>
      <c r="L537" s="815"/>
      <c r="M537" s="816"/>
      <c r="N537" s="816"/>
      <c r="O537" s="816"/>
      <c r="P537" s="821"/>
      <c r="Q537" s="821"/>
    </row>
    <row r="538" ht="33.0" customHeight="1">
      <c r="A538" s="822"/>
      <c r="B538" s="927"/>
      <c r="C538" s="826"/>
      <c r="D538" s="928"/>
      <c r="E538" s="825"/>
      <c r="F538" s="825"/>
      <c r="G538" s="825"/>
      <c r="H538" s="826"/>
      <c r="I538" s="826"/>
      <c r="J538" s="827"/>
      <c r="K538" s="825"/>
      <c r="L538" s="824"/>
      <c r="M538" s="825"/>
      <c r="N538" s="825"/>
      <c r="O538" s="825"/>
      <c r="P538" s="830"/>
      <c r="Q538" s="830"/>
    </row>
    <row r="539" ht="33.0" customHeight="1">
      <c r="A539" s="811"/>
      <c r="B539" s="927"/>
      <c r="C539" s="817"/>
      <c r="D539" s="928"/>
      <c r="E539" s="816"/>
      <c r="F539" s="816"/>
      <c r="G539" s="816"/>
      <c r="H539" s="817"/>
      <c r="I539" s="817"/>
      <c r="J539" s="818"/>
      <c r="K539" s="816"/>
      <c r="L539" s="815"/>
      <c r="M539" s="816"/>
      <c r="N539" s="816"/>
      <c r="O539" s="816"/>
      <c r="P539" s="821"/>
      <c r="Q539" s="821"/>
    </row>
    <row r="540" ht="33.0" customHeight="1">
      <c r="A540" s="822"/>
      <c r="B540" s="927"/>
      <c r="C540" s="826"/>
      <c r="D540" s="928"/>
      <c r="E540" s="825"/>
      <c r="F540" s="825"/>
      <c r="G540" s="825"/>
      <c r="H540" s="826"/>
      <c r="I540" s="826"/>
      <c r="J540" s="827"/>
      <c r="K540" s="825"/>
      <c r="L540" s="824"/>
      <c r="M540" s="825"/>
      <c r="N540" s="825"/>
      <c r="O540" s="825"/>
      <c r="P540" s="830"/>
      <c r="Q540" s="830"/>
    </row>
    <row r="541" ht="33.0" customHeight="1">
      <c r="A541" s="811"/>
      <c r="B541" s="927"/>
      <c r="C541" s="817"/>
      <c r="D541" s="928"/>
      <c r="E541" s="816"/>
      <c r="F541" s="816"/>
      <c r="G541" s="816"/>
      <c r="H541" s="817"/>
      <c r="I541" s="817"/>
      <c r="J541" s="818"/>
      <c r="K541" s="816"/>
      <c r="L541" s="815"/>
      <c r="M541" s="816"/>
      <c r="N541" s="816"/>
      <c r="O541" s="816"/>
      <c r="P541" s="821"/>
      <c r="Q541" s="821"/>
    </row>
    <row r="542" ht="33.0" customHeight="1">
      <c r="A542" s="822"/>
      <c r="B542" s="927"/>
      <c r="C542" s="826"/>
      <c r="D542" s="928"/>
      <c r="E542" s="825"/>
      <c r="F542" s="825"/>
      <c r="G542" s="825"/>
      <c r="H542" s="826"/>
      <c r="I542" s="826"/>
      <c r="J542" s="827"/>
      <c r="K542" s="825"/>
      <c r="L542" s="824"/>
      <c r="M542" s="825"/>
      <c r="N542" s="825"/>
      <c r="O542" s="825"/>
      <c r="P542" s="830"/>
      <c r="Q542" s="830"/>
    </row>
    <row r="543" ht="33.0" customHeight="1">
      <c r="A543" s="811"/>
      <c r="B543" s="927"/>
      <c r="C543" s="817"/>
      <c r="D543" s="928"/>
      <c r="E543" s="816"/>
      <c r="F543" s="816"/>
      <c r="G543" s="816"/>
      <c r="H543" s="817"/>
      <c r="I543" s="817"/>
      <c r="J543" s="818"/>
      <c r="K543" s="816"/>
      <c r="L543" s="815"/>
      <c r="M543" s="816"/>
      <c r="N543" s="816"/>
      <c r="O543" s="816"/>
      <c r="P543" s="821"/>
      <c r="Q543" s="821"/>
    </row>
    <row r="544" ht="33.0" customHeight="1">
      <c r="A544" s="822"/>
      <c r="B544" s="927"/>
      <c r="C544" s="826"/>
      <c r="D544" s="928"/>
      <c r="E544" s="825"/>
      <c r="F544" s="825"/>
      <c r="G544" s="825"/>
      <c r="H544" s="826"/>
      <c r="I544" s="826"/>
      <c r="J544" s="827"/>
      <c r="K544" s="825"/>
      <c r="L544" s="824"/>
      <c r="M544" s="825"/>
      <c r="N544" s="825"/>
      <c r="O544" s="825"/>
      <c r="P544" s="830"/>
      <c r="Q544" s="830"/>
    </row>
    <row r="545" ht="33.0" customHeight="1">
      <c r="A545" s="811"/>
      <c r="B545" s="927"/>
      <c r="C545" s="817"/>
      <c r="D545" s="928"/>
      <c r="E545" s="816"/>
      <c r="F545" s="816"/>
      <c r="G545" s="816"/>
      <c r="H545" s="817"/>
      <c r="I545" s="817"/>
      <c r="J545" s="818"/>
      <c r="K545" s="816"/>
      <c r="L545" s="815"/>
      <c r="M545" s="816"/>
      <c r="N545" s="816"/>
      <c r="O545" s="816"/>
      <c r="P545" s="821"/>
      <c r="Q545" s="821"/>
    </row>
    <row r="546" ht="33.0" customHeight="1">
      <c r="A546" s="822"/>
      <c r="B546" s="927"/>
      <c r="C546" s="826"/>
      <c r="D546" s="928"/>
      <c r="E546" s="825"/>
      <c r="F546" s="825"/>
      <c r="G546" s="825"/>
      <c r="H546" s="826"/>
      <c r="I546" s="826"/>
      <c r="J546" s="827"/>
      <c r="K546" s="825"/>
      <c r="L546" s="824"/>
      <c r="M546" s="825"/>
      <c r="N546" s="825"/>
      <c r="O546" s="825"/>
      <c r="P546" s="830"/>
      <c r="Q546" s="830"/>
    </row>
    <row r="547" ht="33.0" customHeight="1">
      <c r="A547" s="811"/>
      <c r="B547" s="927"/>
      <c r="C547" s="817"/>
      <c r="D547" s="928"/>
      <c r="E547" s="816"/>
      <c r="F547" s="816"/>
      <c r="G547" s="816"/>
      <c r="H547" s="817"/>
      <c r="I547" s="817"/>
      <c r="J547" s="818"/>
      <c r="K547" s="816"/>
      <c r="L547" s="815"/>
      <c r="M547" s="816"/>
      <c r="N547" s="816"/>
      <c r="O547" s="816"/>
      <c r="P547" s="821"/>
      <c r="Q547" s="821"/>
    </row>
    <row r="548" ht="33.0" customHeight="1">
      <c r="A548" s="822"/>
      <c r="B548" s="927"/>
      <c r="C548" s="826"/>
      <c r="D548" s="928"/>
      <c r="E548" s="825"/>
      <c r="F548" s="825"/>
      <c r="G548" s="825"/>
      <c r="H548" s="826"/>
      <c r="I548" s="826"/>
      <c r="J548" s="827"/>
      <c r="K548" s="825"/>
      <c r="L548" s="824"/>
      <c r="M548" s="825"/>
      <c r="N548" s="825"/>
      <c r="O548" s="825"/>
      <c r="P548" s="830"/>
      <c r="Q548" s="830"/>
    </row>
    <row r="549" ht="33.0" customHeight="1">
      <c r="A549" s="811"/>
      <c r="B549" s="927"/>
      <c r="C549" s="817"/>
      <c r="D549" s="928"/>
      <c r="E549" s="816"/>
      <c r="F549" s="816"/>
      <c r="G549" s="816"/>
      <c r="H549" s="817"/>
      <c r="I549" s="817"/>
      <c r="J549" s="818"/>
      <c r="K549" s="816"/>
      <c r="L549" s="815"/>
      <c r="M549" s="816"/>
      <c r="N549" s="816"/>
      <c r="O549" s="816"/>
      <c r="P549" s="821"/>
      <c r="Q549" s="821"/>
    </row>
    <row r="550" ht="33.0" customHeight="1">
      <c r="A550" s="822"/>
      <c r="B550" s="927"/>
      <c r="C550" s="826"/>
      <c r="D550" s="928"/>
      <c r="E550" s="825"/>
      <c r="F550" s="825"/>
      <c r="G550" s="825"/>
      <c r="H550" s="826"/>
      <c r="I550" s="826"/>
      <c r="J550" s="827"/>
      <c r="K550" s="825"/>
      <c r="L550" s="824"/>
      <c r="M550" s="825"/>
      <c r="N550" s="825"/>
      <c r="O550" s="825"/>
      <c r="P550" s="830"/>
      <c r="Q550" s="830"/>
    </row>
    <row r="551" ht="33.0" customHeight="1">
      <c r="A551" s="811"/>
      <c r="B551" s="927"/>
      <c r="C551" s="817"/>
      <c r="D551" s="928"/>
      <c r="E551" s="816"/>
      <c r="F551" s="816"/>
      <c r="G551" s="816"/>
      <c r="H551" s="817"/>
      <c r="I551" s="817"/>
      <c r="J551" s="818"/>
      <c r="K551" s="816"/>
      <c r="L551" s="815"/>
      <c r="M551" s="816"/>
      <c r="N551" s="816"/>
      <c r="O551" s="816"/>
      <c r="P551" s="821"/>
      <c r="Q551" s="821"/>
    </row>
    <row r="552" ht="33.0" customHeight="1">
      <c r="A552" s="822"/>
      <c r="B552" s="927"/>
      <c r="C552" s="826"/>
      <c r="D552" s="928"/>
      <c r="E552" s="825"/>
      <c r="F552" s="825"/>
      <c r="G552" s="825"/>
      <c r="H552" s="826"/>
      <c r="I552" s="826"/>
      <c r="J552" s="827"/>
      <c r="K552" s="825"/>
      <c r="L552" s="824"/>
      <c r="M552" s="825"/>
      <c r="N552" s="825"/>
      <c r="O552" s="825"/>
      <c r="P552" s="830"/>
      <c r="Q552" s="830"/>
    </row>
    <row r="553" ht="33.0" customHeight="1">
      <c r="A553" s="811"/>
      <c r="B553" s="927"/>
      <c r="C553" s="817"/>
      <c r="D553" s="928"/>
      <c r="E553" s="816"/>
      <c r="F553" s="816"/>
      <c r="G553" s="816"/>
      <c r="H553" s="817"/>
      <c r="I553" s="817"/>
      <c r="J553" s="818"/>
      <c r="K553" s="816"/>
      <c r="L553" s="815"/>
      <c r="M553" s="816"/>
      <c r="N553" s="816"/>
      <c r="O553" s="816"/>
      <c r="P553" s="821"/>
      <c r="Q553" s="821"/>
    </row>
    <row r="554" ht="33.0" customHeight="1">
      <c r="A554" s="822"/>
      <c r="B554" s="927"/>
      <c r="C554" s="826"/>
      <c r="D554" s="928"/>
      <c r="E554" s="825"/>
      <c r="F554" s="825"/>
      <c r="G554" s="825"/>
      <c r="H554" s="826"/>
      <c r="I554" s="826"/>
      <c r="J554" s="827"/>
      <c r="K554" s="825"/>
      <c r="L554" s="824"/>
      <c r="M554" s="825"/>
      <c r="N554" s="825"/>
      <c r="O554" s="825"/>
      <c r="P554" s="830"/>
      <c r="Q554" s="830"/>
    </row>
    <row r="555" ht="33.0" customHeight="1">
      <c r="A555" s="811"/>
      <c r="B555" s="927"/>
      <c r="C555" s="817"/>
      <c r="D555" s="928"/>
      <c r="E555" s="816"/>
      <c r="F555" s="816"/>
      <c r="G555" s="816"/>
      <c r="H555" s="817"/>
      <c r="I555" s="817"/>
      <c r="J555" s="818"/>
      <c r="K555" s="816"/>
      <c r="L555" s="815"/>
      <c r="M555" s="816"/>
      <c r="N555" s="816"/>
      <c r="O555" s="816"/>
      <c r="P555" s="821"/>
      <c r="Q555" s="821"/>
    </row>
    <row r="556" ht="33.0" customHeight="1">
      <c r="A556" s="822"/>
      <c r="B556" s="927"/>
      <c r="C556" s="826"/>
      <c r="D556" s="928"/>
      <c r="E556" s="825"/>
      <c r="F556" s="825"/>
      <c r="G556" s="825"/>
      <c r="H556" s="826"/>
      <c r="I556" s="826"/>
      <c r="J556" s="827"/>
      <c r="K556" s="825"/>
      <c r="L556" s="824"/>
      <c r="M556" s="825"/>
      <c r="N556" s="825"/>
      <c r="O556" s="825"/>
      <c r="P556" s="830"/>
      <c r="Q556" s="830"/>
    </row>
    <row r="557" ht="33.0" customHeight="1">
      <c r="A557" s="811"/>
      <c r="B557" s="927"/>
      <c r="C557" s="817"/>
      <c r="D557" s="928"/>
      <c r="E557" s="816"/>
      <c r="F557" s="816"/>
      <c r="G557" s="816"/>
      <c r="H557" s="817"/>
      <c r="I557" s="817"/>
      <c r="J557" s="818"/>
      <c r="K557" s="816"/>
      <c r="L557" s="815"/>
      <c r="M557" s="816"/>
      <c r="N557" s="816"/>
      <c r="O557" s="816"/>
      <c r="P557" s="821"/>
      <c r="Q557" s="821"/>
    </row>
    <row r="558" ht="33.0" customHeight="1">
      <c r="A558" s="822"/>
      <c r="B558" s="927"/>
      <c r="C558" s="826"/>
      <c r="D558" s="928"/>
      <c r="E558" s="825"/>
      <c r="F558" s="825"/>
      <c r="G558" s="825"/>
      <c r="H558" s="826"/>
      <c r="I558" s="826"/>
      <c r="J558" s="827"/>
      <c r="K558" s="825"/>
      <c r="L558" s="824"/>
      <c r="M558" s="825"/>
      <c r="N558" s="825"/>
      <c r="O558" s="825"/>
      <c r="P558" s="830"/>
      <c r="Q558" s="830"/>
    </row>
    <row r="559" ht="33.0" customHeight="1">
      <c r="A559" s="811"/>
      <c r="B559" s="927"/>
      <c r="C559" s="817"/>
      <c r="D559" s="928"/>
      <c r="E559" s="816"/>
      <c r="F559" s="816"/>
      <c r="G559" s="816"/>
      <c r="H559" s="817"/>
      <c r="I559" s="817"/>
      <c r="J559" s="818"/>
      <c r="K559" s="816"/>
      <c r="L559" s="815"/>
      <c r="M559" s="816"/>
      <c r="N559" s="816"/>
      <c r="O559" s="816"/>
      <c r="P559" s="821"/>
      <c r="Q559" s="821"/>
    </row>
    <row r="560" ht="33.0" customHeight="1">
      <c r="A560" s="822"/>
      <c r="B560" s="927"/>
      <c r="C560" s="826"/>
      <c r="D560" s="928"/>
      <c r="E560" s="825"/>
      <c r="F560" s="825"/>
      <c r="G560" s="825"/>
      <c r="H560" s="826"/>
      <c r="I560" s="826"/>
      <c r="J560" s="827"/>
      <c r="K560" s="825"/>
      <c r="L560" s="824"/>
      <c r="M560" s="825"/>
      <c r="N560" s="825"/>
      <c r="O560" s="825"/>
      <c r="P560" s="830"/>
      <c r="Q560" s="830"/>
    </row>
    <row r="561" ht="33.0" customHeight="1">
      <c r="A561" s="811"/>
      <c r="B561" s="927"/>
      <c r="C561" s="817"/>
      <c r="D561" s="928"/>
      <c r="E561" s="816"/>
      <c r="F561" s="816"/>
      <c r="G561" s="816"/>
      <c r="H561" s="817"/>
      <c r="I561" s="817"/>
      <c r="J561" s="818"/>
      <c r="K561" s="816"/>
      <c r="L561" s="815"/>
      <c r="M561" s="816"/>
      <c r="N561" s="816"/>
      <c r="O561" s="816"/>
      <c r="P561" s="821"/>
      <c r="Q561" s="821"/>
    </row>
    <row r="562" ht="33.0" customHeight="1">
      <c r="A562" s="822"/>
      <c r="B562" s="927"/>
      <c r="C562" s="826"/>
      <c r="D562" s="928"/>
      <c r="E562" s="825"/>
      <c r="F562" s="825"/>
      <c r="G562" s="825"/>
      <c r="H562" s="826"/>
      <c r="I562" s="826"/>
      <c r="J562" s="827"/>
      <c r="K562" s="825"/>
      <c r="L562" s="824"/>
      <c r="M562" s="825"/>
      <c r="N562" s="825"/>
      <c r="O562" s="825"/>
      <c r="P562" s="830"/>
      <c r="Q562" s="830"/>
    </row>
    <row r="563" ht="33.0" customHeight="1">
      <c r="A563" s="811"/>
      <c r="B563" s="927"/>
      <c r="C563" s="817"/>
      <c r="D563" s="928"/>
      <c r="E563" s="816"/>
      <c r="F563" s="816"/>
      <c r="G563" s="816"/>
      <c r="H563" s="817"/>
      <c r="I563" s="817"/>
      <c r="J563" s="818"/>
      <c r="K563" s="816"/>
      <c r="L563" s="815"/>
      <c r="M563" s="816"/>
      <c r="N563" s="816"/>
      <c r="O563" s="816"/>
      <c r="P563" s="821"/>
      <c r="Q563" s="821"/>
    </row>
    <row r="564" ht="33.0" customHeight="1">
      <c r="A564" s="822"/>
      <c r="B564" s="927"/>
      <c r="C564" s="826"/>
      <c r="D564" s="928"/>
      <c r="E564" s="825"/>
      <c r="F564" s="825"/>
      <c r="G564" s="825"/>
      <c r="H564" s="826"/>
      <c r="I564" s="826"/>
      <c r="J564" s="827"/>
      <c r="K564" s="825"/>
      <c r="L564" s="824"/>
      <c r="M564" s="825"/>
      <c r="N564" s="825"/>
      <c r="O564" s="825"/>
      <c r="P564" s="830"/>
      <c r="Q564" s="830"/>
    </row>
    <row r="565" ht="33.0" customHeight="1">
      <c r="A565" s="811"/>
      <c r="B565" s="927"/>
      <c r="C565" s="817"/>
      <c r="D565" s="928"/>
      <c r="E565" s="816"/>
      <c r="F565" s="816"/>
      <c r="G565" s="816"/>
      <c r="H565" s="817"/>
      <c r="I565" s="817"/>
      <c r="J565" s="818"/>
      <c r="K565" s="816"/>
      <c r="L565" s="815"/>
      <c r="M565" s="816"/>
      <c r="N565" s="816"/>
      <c r="O565" s="816"/>
      <c r="P565" s="821"/>
      <c r="Q565" s="821"/>
    </row>
    <row r="566" ht="33.0" customHeight="1">
      <c r="A566" s="822"/>
      <c r="B566" s="927"/>
      <c r="C566" s="826"/>
      <c r="D566" s="928"/>
      <c r="E566" s="825"/>
      <c r="F566" s="825"/>
      <c r="G566" s="825"/>
      <c r="H566" s="826"/>
      <c r="I566" s="826"/>
      <c r="J566" s="827"/>
      <c r="K566" s="825"/>
      <c r="L566" s="824"/>
      <c r="M566" s="825"/>
      <c r="N566" s="825"/>
      <c r="O566" s="825"/>
      <c r="P566" s="830"/>
      <c r="Q566" s="830"/>
    </row>
    <row r="567" ht="33.0" customHeight="1">
      <c r="A567" s="811"/>
      <c r="B567" s="927"/>
      <c r="C567" s="817"/>
      <c r="D567" s="928"/>
      <c r="E567" s="816"/>
      <c r="F567" s="816"/>
      <c r="G567" s="816"/>
      <c r="H567" s="817"/>
      <c r="I567" s="817"/>
      <c r="J567" s="818"/>
      <c r="K567" s="816"/>
      <c r="L567" s="815"/>
      <c r="M567" s="816"/>
      <c r="N567" s="816"/>
      <c r="O567" s="816"/>
      <c r="P567" s="821"/>
      <c r="Q567" s="821"/>
    </row>
    <row r="568" ht="33.0" customHeight="1">
      <c r="A568" s="822"/>
      <c r="B568" s="927"/>
      <c r="C568" s="826"/>
      <c r="D568" s="928"/>
      <c r="E568" s="825"/>
      <c r="F568" s="825"/>
      <c r="G568" s="825"/>
      <c r="H568" s="826"/>
      <c r="I568" s="826"/>
      <c r="J568" s="827"/>
      <c r="K568" s="825"/>
      <c r="L568" s="824"/>
      <c r="M568" s="825"/>
      <c r="N568" s="825"/>
      <c r="O568" s="825"/>
      <c r="P568" s="830"/>
      <c r="Q568" s="830"/>
    </row>
    <row r="569" ht="33.0" customHeight="1">
      <c r="A569" s="811"/>
      <c r="B569" s="927"/>
      <c r="C569" s="817"/>
      <c r="D569" s="928"/>
      <c r="E569" s="816"/>
      <c r="F569" s="816"/>
      <c r="G569" s="816"/>
      <c r="H569" s="817"/>
      <c r="I569" s="817"/>
      <c r="J569" s="818"/>
      <c r="K569" s="816"/>
      <c r="L569" s="815"/>
      <c r="M569" s="816"/>
      <c r="N569" s="816"/>
      <c r="O569" s="816"/>
      <c r="P569" s="821"/>
      <c r="Q569" s="821"/>
    </row>
    <row r="570" ht="33.0" customHeight="1">
      <c r="A570" s="822"/>
      <c r="B570" s="927"/>
      <c r="C570" s="826"/>
      <c r="D570" s="928"/>
      <c r="E570" s="825"/>
      <c r="F570" s="825"/>
      <c r="G570" s="825"/>
      <c r="H570" s="826"/>
      <c r="I570" s="826"/>
      <c r="J570" s="827"/>
      <c r="K570" s="825"/>
      <c r="L570" s="824"/>
      <c r="M570" s="825"/>
      <c r="N570" s="825"/>
      <c r="O570" s="825"/>
      <c r="P570" s="830"/>
      <c r="Q570" s="830"/>
    </row>
    <row r="571" ht="33.0" customHeight="1">
      <c r="A571" s="811"/>
      <c r="B571" s="927"/>
      <c r="C571" s="817"/>
      <c r="D571" s="928"/>
      <c r="E571" s="816"/>
      <c r="F571" s="816"/>
      <c r="G571" s="816"/>
      <c r="H571" s="817"/>
      <c r="I571" s="817"/>
      <c r="J571" s="818"/>
      <c r="K571" s="816"/>
      <c r="L571" s="815"/>
      <c r="M571" s="816"/>
      <c r="N571" s="816"/>
      <c r="O571" s="816"/>
      <c r="P571" s="821"/>
      <c r="Q571" s="821"/>
    </row>
    <row r="572" ht="33.0" customHeight="1">
      <c r="A572" s="822"/>
      <c r="B572" s="927"/>
      <c r="C572" s="826"/>
      <c r="D572" s="928"/>
      <c r="E572" s="825"/>
      <c r="F572" s="825"/>
      <c r="G572" s="825"/>
      <c r="H572" s="826"/>
      <c r="I572" s="826"/>
      <c r="J572" s="827"/>
      <c r="K572" s="825"/>
      <c r="L572" s="824"/>
      <c r="M572" s="825"/>
      <c r="N572" s="825"/>
      <c r="O572" s="825"/>
      <c r="P572" s="830"/>
      <c r="Q572" s="830"/>
    </row>
    <row r="573" ht="33.0" customHeight="1">
      <c r="A573" s="811"/>
      <c r="B573" s="927"/>
      <c r="C573" s="817"/>
      <c r="D573" s="928"/>
      <c r="E573" s="816"/>
      <c r="F573" s="816"/>
      <c r="G573" s="816"/>
      <c r="H573" s="817"/>
      <c r="I573" s="817"/>
      <c r="J573" s="818"/>
      <c r="K573" s="816"/>
      <c r="L573" s="815"/>
      <c r="M573" s="816"/>
      <c r="N573" s="816"/>
      <c r="O573" s="816"/>
      <c r="P573" s="821"/>
      <c r="Q573" s="821"/>
    </row>
    <row r="574" ht="33.0" customHeight="1">
      <c r="A574" s="822"/>
      <c r="B574" s="927"/>
      <c r="C574" s="826"/>
      <c r="D574" s="928"/>
      <c r="E574" s="825"/>
      <c r="F574" s="825"/>
      <c r="G574" s="825"/>
      <c r="H574" s="826"/>
      <c r="I574" s="826"/>
      <c r="J574" s="827"/>
      <c r="K574" s="825"/>
      <c r="L574" s="824"/>
      <c r="M574" s="825"/>
      <c r="N574" s="825"/>
      <c r="O574" s="825"/>
      <c r="P574" s="830"/>
      <c r="Q574" s="830"/>
    </row>
    <row r="575" ht="33.0" customHeight="1">
      <c r="A575" s="811"/>
      <c r="B575" s="927"/>
      <c r="C575" s="817"/>
      <c r="D575" s="928"/>
      <c r="E575" s="816"/>
      <c r="F575" s="816"/>
      <c r="G575" s="816"/>
      <c r="H575" s="817"/>
      <c r="I575" s="817"/>
      <c r="J575" s="818"/>
      <c r="K575" s="816"/>
      <c r="L575" s="815"/>
      <c r="M575" s="816"/>
      <c r="N575" s="816"/>
      <c r="O575" s="816"/>
      <c r="P575" s="821"/>
      <c r="Q575" s="821"/>
    </row>
    <row r="576" ht="33.0" customHeight="1">
      <c r="A576" s="822"/>
      <c r="B576" s="927"/>
      <c r="C576" s="826"/>
      <c r="D576" s="928"/>
      <c r="E576" s="825"/>
      <c r="F576" s="825"/>
      <c r="G576" s="825"/>
      <c r="H576" s="826"/>
      <c r="I576" s="826"/>
      <c r="J576" s="827"/>
      <c r="K576" s="825"/>
      <c r="L576" s="824"/>
      <c r="M576" s="825"/>
      <c r="N576" s="825"/>
      <c r="O576" s="825"/>
      <c r="P576" s="830"/>
      <c r="Q576" s="830"/>
    </row>
    <row r="577" ht="33.0" customHeight="1">
      <c r="A577" s="811"/>
      <c r="B577" s="927"/>
      <c r="C577" s="817"/>
      <c r="D577" s="928"/>
      <c r="E577" s="816"/>
      <c r="F577" s="816"/>
      <c r="G577" s="816"/>
      <c r="H577" s="817"/>
      <c r="I577" s="817"/>
      <c r="J577" s="818"/>
      <c r="K577" s="816"/>
      <c r="L577" s="815"/>
      <c r="M577" s="816"/>
      <c r="N577" s="816"/>
      <c r="O577" s="816"/>
      <c r="P577" s="821"/>
      <c r="Q577" s="821"/>
    </row>
    <row r="578" ht="33.0" customHeight="1">
      <c r="A578" s="822"/>
      <c r="B578" s="927"/>
      <c r="C578" s="826"/>
      <c r="D578" s="928"/>
      <c r="E578" s="825"/>
      <c r="F578" s="825"/>
      <c r="G578" s="825"/>
      <c r="H578" s="826"/>
      <c r="I578" s="826"/>
      <c r="J578" s="827"/>
      <c r="K578" s="825"/>
      <c r="L578" s="824"/>
      <c r="M578" s="825"/>
      <c r="N578" s="825"/>
      <c r="O578" s="825"/>
      <c r="P578" s="830"/>
      <c r="Q578" s="830"/>
    </row>
    <row r="579" ht="33.0" customHeight="1">
      <c r="A579" s="811"/>
      <c r="B579" s="927"/>
      <c r="C579" s="817"/>
      <c r="D579" s="928"/>
      <c r="E579" s="816"/>
      <c r="F579" s="816"/>
      <c r="G579" s="816"/>
      <c r="H579" s="817"/>
      <c r="I579" s="817"/>
      <c r="J579" s="818"/>
      <c r="K579" s="816"/>
      <c r="L579" s="815"/>
      <c r="M579" s="816"/>
      <c r="N579" s="816"/>
      <c r="O579" s="816"/>
      <c r="P579" s="821"/>
      <c r="Q579" s="821"/>
    </row>
    <row r="580" ht="33.0" customHeight="1">
      <c r="A580" s="822"/>
      <c r="B580" s="927"/>
      <c r="C580" s="826"/>
      <c r="D580" s="928"/>
      <c r="E580" s="825"/>
      <c r="F580" s="825"/>
      <c r="G580" s="825"/>
      <c r="H580" s="826"/>
      <c r="I580" s="826"/>
      <c r="J580" s="827"/>
      <c r="K580" s="825"/>
      <c r="L580" s="824"/>
      <c r="M580" s="825"/>
      <c r="N580" s="825"/>
      <c r="O580" s="825"/>
      <c r="P580" s="830"/>
      <c r="Q580" s="830"/>
    </row>
    <row r="581" ht="33.0" customHeight="1">
      <c r="A581" s="811"/>
      <c r="B581" s="927"/>
      <c r="C581" s="817"/>
      <c r="D581" s="928"/>
      <c r="E581" s="816"/>
      <c r="F581" s="816"/>
      <c r="G581" s="816"/>
      <c r="H581" s="817"/>
      <c r="I581" s="817"/>
      <c r="J581" s="818"/>
      <c r="K581" s="816"/>
      <c r="L581" s="815"/>
      <c r="M581" s="816"/>
      <c r="N581" s="816"/>
      <c r="O581" s="816"/>
      <c r="P581" s="821"/>
      <c r="Q581" s="821"/>
    </row>
    <row r="582" ht="33.0" customHeight="1">
      <c r="A582" s="822"/>
      <c r="B582" s="927"/>
      <c r="C582" s="826"/>
      <c r="D582" s="928"/>
      <c r="E582" s="825"/>
      <c r="F582" s="825"/>
      <c r="G582" s="825"/>
      <c r="H582" s="826"/>
      <c r="I582" s="826"/>
      <c r="J582" s="827"/>
      <c r="K582" s="825"/>
      <c r="L582" s="824"/>
      <c r="M582" s="825"/>
      <c r="N582" s="825"/>
      <c r="O582" s="825"/>
      <c r="P582" s="830"/>
      <c r="Q582" s="830"/>
    </row>
    <row r="583" ht="33.0" customHeight="1">
      <c r="A583" s="811"/>
      <c r="B583" s="927"/>
      <c r="C583" s="817"/>
      <c r="D583" s="928"/>
      <c r="E583" s="816"/>
      <c r="F583" s="816"/>
      <c r="G583" s="816"/>
      <c r="H583" s="817"/>
      <c r="I583" s="817"/>
      <c r="J583" s="818"/>
      <c r="K583" s="816"/>
      <c r="L583" s="815"/>
      <c r="M583" s="816"/>
      <c r="N583" s="816"/>
      <c r="O583" s="816"/>
      <c r="P583" s="821"/>
      <c r="Q583" s="821"/>
    </row>
    <row r="584" ht="33.0" customHeight="1">
      <c r="A584" s="822"/>
      <c r="B584" s="927"/>
      <c r="C584" s="826"/>
      <c r="D584" s="928"/>
      <c r="E584" s="825"/>
      <c r="F584" s="825"/>
      <c r="G584" s="825"/>
      <c r="H584" s="826"/>
      <c r="I584" s="826"/>
      <c r="J584" s="827"/>
      <c r="K584" s="825"/>
      <c r="L584" s="824"/>
      <c r="M584" s="825"/>
      <c r="N584" s="825"/>
      <c r="O584" s="825"/>
      <c r="P584" s="830"/>
      <c r="Q584" s="830"/>
    </row>
    <row r="585" ht="33.0" customHeight="1">
      <c r="A585" s="811"/>
      <c r="B585" s="927"/>
      <c r="C585" s="817"/>
      <c r="D585" s="928"/>
      <c r="E585" s="816"/>
      <c r="F585" s="816"/>
      <c r="G585" s="816"/>
      <c r="H585" s="817"/>
      <c r="I585" s="817"/>
      <c r="J585" s="818"/>
      <c r="K585" s="816"/>
      <c r="L585" s="815"/>
      <c r="M585" s="816"/>
      <c r="N585" s="816"/>
      <c r="O585" s="816"/>
      <c r="P585" s="821"/>
      <c r="Q585" s="821"/>
    </row>
    <row r="586" ht="33.0" customHeight="1">
      <c r="A586" s="822"/>
      <c r="B586" s="927"/>
      <c r="C586" s="826"/>
      <c r="D586" s="928"/>
      <c r="E586" s="825"/>
      <c r="F586" s="825"/>
      <c r="G586" s="825"/>
      <c r="H586" s="826"/>
      <c r="I586" s="826"/>
      <c r="J586" s="827"/>
      <c r="K586" s="825"/>
      <c r="L586" s="824"/>
      <c r="M586" s="825"/>
      <c r="N586" s="825"/>
      <c r="O586" s="825"/>
      <c r="P586" s="830"/>
      <c r="Q586" s="830"/>
    </row>
    <row r="587" ht="33.0" customHeight="1">
      <c r="A587" s="811"/>
      <c r="B587" s="927"/>
      <c r="C587" s="817"/>
      <c r="D587" s="928"/>
      <c r="E587" s="816"/>
      <c r="F587" s="816"/>
      <c r="G587" s="816"/>
      <c r="H587" s="817"/>
      <c r="I587" s="817"/>
      <c r="J587" s="818"/>
      <c r="K587" s="816"/>
      <c r="L587" s="815"/>
      <c r="M587" s="816"/>
      <c r="N587" s="816"/>
      <c r="O587" s="816"/>
      <c r="P587" s="821"/>
      <c r="Q587" s="821"/>
    </row>
    <row r="588" ht="33.0" customHeight="1">
      <c r="A588" s="822"/>
      <c r="B588" s="927"/>
      <c r="C588" s="826"/>
      <c r="D588" s="928"/>
      <c r="E588" s="825"/>
      <c r="F588" s="825"/>
      <c r="G588" s="825"/>
      <c r="H588" s="826"/>
      <c r="I588" s="826"/>
      <c r="J588" s="827"/>
      <c r="K588" s="825"/>
      <c r="L588" s="824"/>
      <c r="M588" s="825"/>
      <c r="N588" s="825"/>
      <c r="O588" s="825"/>
      <c r="P588" s="830"/>
      <c r="Q588" s="830"/>
    </row>
    <row r="589" ht="33.0" customHeight="1">
      <c r="A589" s="811"/>
      <c r="B589" s="927"/>
      <c r="C589" s="817"/>
      <c r="D589" s="928"/>
      <c r="E589" s="816"/>
      <c r="F589" s="816"/>
      <c r="G589" s="816"/>
      <c r="H589" s="817"/>
      <c r="I589" s="817"/>
      <c r="J589" s="818"/>
      <c r="K589" s="816"/>
      <c r="L589" s="815"/>
      <c r="M589" s="816"/>
      <c r="N589" s="816"/>
      <c r="O589" s="816"/>
      <c r="P589" s="821"/>
      <c r="Q589" s="821"/>
    </row>
    <row r="590" ht="33.0" customHeight="1">
      <c r="A590" s="822"/>
      <c r="B590" s="927"/>
      <c r="C590" s="826"/>
      <c r="D590" s="928"/>
      <c r="E590" s="825"/>
      <c r="F590" s="825"/>
      <c r="G590" s="825"/>
      <c r="H590" s="826"/>
      <c r="I590" s="826"/>
      <c r="J590" s="827"/>
      <c r="K590" s="825"/>
      <c r="L590" s="824"/>
      <c r="M590" s="825"/>
      <c r="N590" s="825"/>
      <c r="O590" s="825"/>
      <c r="P590" s="830"/>
      <c r="Q590" s="830"/>
    </row>
    <row r="591" ht="33.0" customHeight="1">
      <c r="A591" s="811"/>
      <c r="B591" s="927"/>
      <c r="C591" s="817"/>
      <c r="D591" s="928"/>
      <c r="E591" s="816"/>
      <c r="F591" s="816"/>
      <c r="G591" s="816"/>
      <c r="H591" s="817"/>
      <c r="I591" s="817"/>
      <c r="J591" s="818"/>
      <c r="K591" s="816"/>
      <c r="L591" s="815"/>
      <c r="M591" s="816"/>
      <c r="N591" s="816"/>
      <c r="O591" s="816"/>
      <c r="P591" s="821"/>
      <c r="Q591" s="821"/>
    </row>
    <row r="592" ht="33.0" customHeight="1">
      <c r="A592" s="822"/>
      <c r="B592" s="927"/>
      <c r="C592" s="826"/>
      <c r="D592" s="928"/>
      <c r="E592" s="825"/>
      <c r="F592" s="825"/>
      <c r="G592" s="825"/>
      <c r="H592" s="826"/>
      <c r="I592" s="826"/>
      <c r="J592" s="827"/>
      <c r="K592" s="825"/>
      <c r="L592" s="824"/>
      <c r="M592" s="825"/>
      <c r="N592" s="825"/>
      <c r="O592" s="825"/>
      <c r="P592" s="830"/>
      <c r="Q592" s="830"/>
    </row>
    <row r="593" ht="33.0" customHeight="1">
      <c r="A593" s="811"/>
      <c r="B593" s="927"/>
      <c r="C593" s="817"/>
      <c r="D593" s="928"/>
      <c r="E593" s="816"/>
      <c r="F593" s="816"/>
      <c r="G593" s="816"/>
      <c r="H593" s="817"/>
      <c r="I593" s="817"/>
      <c r="J593" s="818"/>
      <c r="K593" s="816"/>
      <c r="L593" s="815"/>
      <c r="M593" s="816"/>
      <c r="N593" s="816"/>
      <c r="O593" s="816"/>
      <c r="P593" s="821"/>
      <c r="Q593" s="821"/>
    </row>
    <row r="594" ht="33.0" customHeight="1">
      <c r="A594" s="822"/>
      <c r="B594" s="927"/>
      <c r="C594" s="826"/>
      <c r="D594" s="928"/>
      <c r="E594" s="825"/>
      <c r="F594" s="825"/>
      <c r="G594" s="825"/>
      <c r="H594" s="826"/>
      <c r="I594" s="826"/>
      <c r="J594" s="827"/>
      <c r="K594" s="825"/>
      <c r="L594" s="824"/>
      <c r="M594" s="825"/>
      <c r="N594" s="825"/>
      <c r="O594" s="825"/>
      <c r="P594" s="830"/>
      <c r="Q594" s="830"/>
    </row>
    <row r="595" ht="33.0" customHeight="1">
      <c r="A595" s="811"/>
      <c r="B595" s="927"/>
      <c r="C595" s="817"/>
      <c r="D595" s="928"/>
      <c r="E595" s="816"/>
      <c r="F595" s="816"/>
      <c r="G595" s="816"/>
      <c r="H595" s="817"/>
      <c r="I595" s="817"/>
      <c r="J595" s="818"/>
      <c r="K595" s="816"/>
      <c r="L595" s="815"/>
      <c r="M595" s="816"/>
      <c r="N595" s="816"/>
      <c r="O595" s="816"/>
      <c r="P595" s="821"/>
      <c r="Q595" s="821"/>
    </row>
    <row r="596" ht="33.0" customHeight="1">
      <c r="A596" s="822"/>
      <c r="B596" s="927"/>
      <c r="C596" s="826"/>
      <c r="D596" s="928"/>
      <c r="E596" s="825"/>
      <c r="F596" s="825"/>
      <c r="G596" s="825"/>
      <c r="H596" s="826"/>
      <c r="I596" s="826"/>
      <c r="J596" s="827"/>
      <c r="K596" s="825"/>
      <c r="L596" s="824"/>
      <c r="M596" s="825"/>
      <c r="N596" s="825"/>
      <c r="O596" s="825"/>
      <c r="P596" s="830"/>
      <c r="Q596" s="830"/>
    </row>
    <row r="597" ht="33.0" customHeight="1">
      <c r="A597" s="811"/>
      <c r="B597" s="927"/>
      <c r="C597" s="817"/>
      <c r="D597" s="928"/>
      <c r="E597" s="816"/>
      <c r="F597" s="816"/>
      <c r="G597" s="816"/>
      <c r="H597" s="817"/>
      <c r="I597" s="817"/>
      <c r="J597" s="818"/>
      <c r="K597" s="816"/>
      <c r="L597" s="815"/>
      <c r="M597" s="816"/>
      <c r="N597" s="816"/>
      <c r="O597" s="816"/>
      <c r="P597" s="821"/>
      <c r="Q597" s="821"/>
    </row>
    <row r="598" ht="33.0" customHeight="1">
      <c r="A598" s="822"/>
      <c r="B598" s="927"/>
      <c r="C598" s="826"/>
      <c r="D598" s="928"/>
      <c r="E598" s="825"/>
      <c r="F598" s="825"/>
      <c r="G598" s="825"/>
      <c r="H598" s="826"/>
      <c r="I598" s="826"/>
      <c r="J598" s="827"/>
      <c r="K598" s="825"/>
      <c r="L598" s="824"/>
      <c r="M598" s="825"/>
      <c r="N598" s="825"/>
      <c r="O598" s="825"/>
      <c r="P598" s="830"/>
      <c r="Q598" s="830"/>
    </row>
    <row r="599" ht="33.0" customHeight="1">
      <c r="A599" s="811"/>
      <c r="B599" s="927"/>
      <c r="C599" s="817"/>
      <c r="D599" s="928"/>
      <c r="E599" s="816"/>
      <c r="F599" s="816"/>
      <c r="G599" s="816"/>
      <c r="H599" s="817"/>
      <c r="I599" s="817"/>
      <c r="J599" s="818"/>
      <c r="K599" s="816"/>
      <c r="L599" s="815"/>
      <c r="M599" s="816"/>
      <c r="N599" s="816"/>
      <c r="O599" s="816"/>
      <c r="P599" s="821"/>
      <c r="Q599" s="821"/>
    </row>
    <row r="600" ht="33.0" customHeight="1">
      <c r="A600" s="822"/>
      <c r="B600" s="927"/>
      <c r="C600" s="826"/>
      <c r="D600" s="928"/>
      <c r="E600" s="825"/>
      <c r="F600" s="825"/>
      <c r="G600" s="825"/>
      <c r="H600" s="826"/>
      <c r="I600" s="826"/>
      <c r="J600" s="827"/>
      <c r="K600" s="825"/>
      <c r="L600" s="824"/>
      <c r="M600" s="825"/>
      <c r="N600" s="825"/>
      <c r="O600" s="825"/>
      <c r="P600" s="830"/>
      <c r="Q600" s="830"/>
    </row>
    <row r="601" ht="33.0" customHeight="1">
      <c r="A601" s="811"/>
      <c r="B601" s="927"/>
      <c r="C601" s="817"/>
      <c r="D601" s="928"/>
      <c r="E601" s="816"/>
      <c r="F601" s="816"/>
      <c r="G601" s="816"/>
      <c r="H601" s="817"/>
      <c r="I601" s="817"/>
      <c r="J601" s="818"/>
      <c r="K601" s="816"/>
      <c r="L601" s="815"/>
      <c r="M601" s="816"/>
      <c r="N601" s="816"/>
      <c r="O601" s="816"/>
      <c r="P601" s="821"/>
      <c r="Q601" s="821"/>
    </row>
    <row r="602" ht="33.0" customHeight="1">
      <c r="A602" s="822"/>
      <c r="B602" s="927"/>
      <c r="C602" s="826"/>
      <c r="D602" s="928"/>
      <c r="E602" s="825"/>
      <c r="F602" s="825"/>
      <c r="G602" s="825"/>
      <c r="H602" s="826"/>
      <c r="I602" s="826"/>
      <c r="J602" s="827"/>
      <c r="K602" s="825"/>
      <c r="L602" s="824"/>
      <c r="M602" s="825"/>
      <c r="N602" s="825"/>
      <c r="O602" s="825"/>
      <c r="P602" s="830"/>
      <c r="Q602" s="830"/>
    </row>
    <row r="603" ht="33.0" customHeight="1">
      <c r="A603" s="811"/>
      <c r="B603" s="927"/>
      <c r="C603" s="817"/>
      <c r="D603" s="928"/>
      <c r="E603" s="816"/>
      <c r="F603" s="816"/>
      <c r="G603" s="816"/>
      <c r="H603" s="817"/>
      <c r="I603" s="817"/>
      <c r="J603" s="818"/>
      <c r="K603" s="816"/>
      <c r="L603" s="815"/>
      <c r="M603" s="816"/>
      <c r="N603" s="816"/>
      <c r="O603" s="816"/>
      <c r="P603" s="821"/>
      <c r="Q603" s="821"/>
    </row>
    <row r="604" ht="33.0" customHeight="1">
      <c r="A604" s="822"/>
      <c r="B604" s="927"/>
      <c r="C604" s="826"/>
      <c r="D604" s="928"/>
      <c r="E604" s="825"/>
      <c r="F604" s="825"/>
      <c r="G604" s="825"/>
      <c r="H604" s="826"/>
      <c r="I604" s="826"/>
      <c r="J604" s="827"/>
      <c r="K604" s="825"/>
      <c r="L604" s="824"/>
      <c r="M604" s="825"/>
      <c r="N604" s="825"/>
      <c r="O604" s="825"/>
      <c r="P604" s="830"/>
      <c r="Q604" s="830"/>
    </row>
    <row r="605" ht="33.0" customHeight="1">
      <c r="A605" s="811"/>
      <c r="B605" s="927"/>
      <c r="C605" s="817"/>
      <c r="D605" s="928"/>
      <c r="E605" s="816"/>
      <c r="F605" s="816"/>
      <c r="G605" s="816"/>
      <c r="H605" s="817"/>
      <c r="I605" s="817"/>
      <c r="J605" s="818"/>
      <c r="K605" s="816"/>
      <c r="L605" s="815"/>
      <c r="M605" s="816"/>
      <c r="N605" s="816"/>
      <c r="O605" s="816"/>
      <c r="P605" s="821"/>
      <c r="Q605" s="821"/>
    </row>
    <row r="606" ht="33.0" customHeight="1">
      <c r="A606" s="822"/>
      <c r="B606" s="927"/>
      <c r="C606" s="826"/>
      <c r="D606" s="928"/>
      <c r="E606" s="825"/>
      <c r="F606" s="825"/>
      <c r="G606" s="825"/>
      <c r="H606" s="826"/>
      <c r="I606" s="826"/>
      <c r="J606" s="827"/>
      <c r="K606" s="825"/>
      <c r="L606" s="824"/>
      <c r="M606" s="825"/>
      <c r="N606" s="825"/>
      <c r="O606" s="825"/>
      <c r="P606" s="830"/>
      <c r="Q606" s="830"/>
    </row>
    <row r="607" ht="33.0" customHeight="1">
      <c r="A607" s="811"/>
      <c r="B607" s="927"/>
      <c r="C607" s="817"/>
      <c r="D607" s="928"/>
      <c r="E607" s="816"/>
      <c r="F607" s="816"/>
      <c r="G607" s="816"/>
      <c r="H607" s="817"/>
      <c r="I607" s="817"/>
      <c r="J607" s="818"/>
      <c r="K607" s="816"/>
      <c r="L607" s="815"/>
      <c r="M607" s="816"/>
      <c r="N607" s="816"/>
      <c r="O607" s="816"/>
      <c r="P607" s="821"/>
      <c r="Q607" s="821"/>
    </row>
    <row r="608" ht="33.0" customHeight="1">
      <c r="A608" s="822"/>
      <c r="B608" s="927"/>
      <c r="C608" s="826"/>
      <c r="D608" s="928"/>
      <c r="E608" s="825"/>
      <c r="F608" s="825"/>
      <c r="G608" s="825"/>
      <c r="H608" s="826"/>
      <c r="I608" s="826"/>
      <c r="J608" s="827"/>
      <c r="K608" s="825"/>
      <c r="L608" s="824"/>
      <c r="M608" s="825"/>
      <c r="N608" s="825"/>
      <c r="O608" s="825"/>
      <c r="P608" s="830"/>
      <c r="Q608" s="830"/>
    </row>
    <row r="609" ht="33.0" customHeight="1">
      <c r="A609" s="811"/>
      <c r="B609" s="927"/>
      <c r="C609" s="817"/>
      <c r="D609" s="928"/>
      <c r="E609" s="816"/>
      <c r="F609" s="816"/>
      <c r="G609" s="816"/>
      <c r="H609" s="817"/>
      <c r="I609" s="817"/>
      <c r="J609" s="818"/>
      <c r="K609" s="816"/>
      <c r="L609" s="815"/>
      <c r="M609" s="816"/>
      <c r="N609" s="816"/>
      <c r="O609" s="816"/>
      <c r="P609" s="821"/>
      <c r="Q609" s="821"/>
    </row>
    <row r="610" ht="33.0" customHeight="1">
      <c r="A610" s="822"/>
      <c r="B610" s="927"/>
      <c r="C610" s="826"/>
      <c r="D610" s="928"/>
      <c r="E610" s="825"/>
      <c r="F610" s="825"/>
      <c r="G610" s="825"/>
      <c r="H610" s="826"/>
      <c r="I610" s="826"/>
      <c r="J610" s="827"/>
      <c r="K610" s="825"/>
      <c r="L610" s="824"/>
      <c r="M610" s="825"/>
      <c r="N610" s="825"/>
      <c r="O610" s="825"/>
      <c r="P610" s="830"/>
      <c r="Q610" s="830"/>
    </row>
    <row r="611" ht="33.0" customHeight="1">
      <c r="A611" s="811"/>
      <c r="B611" s="927"/>
      <c r="C611" s="817"/>
      <c r="D611" s="928"/>
      <c r="E611" s="816"/>
      <c r="F611" s="816"/>
      <c r="G611" s="816"/>
      <c r="H611" s="817"/>
      <c r="I611" s="817"/>
      <c r="J611" s="818"/>
      <c r="K611" s="816"/>
      <c r="L611" s="815"/>
      <c r="M611" s="816"/>
      <c r="N611" s="816"/>
      <c r="O611" s="816"/>
      <c r="P611" s="821"/>
      <c r="Q611" s="821"/>
    </row>
    <row r="612" ht="33.0" customHeight="1">
      <c r="A612" s="822"/>
      <c r="B612" s="927"/>
      <c r="C612" s="826"/>
      <c r="D612" s="928"/>
      <c r="E612" s="825"/>
      <c r="F612" s="825"/>
      <c r="G612" s="825"/>
      <c r="H612" s="826"/>
      <c r="I612" s="826"/>
      <c r="J612" s="827"/>
      <c r="K612" s="825"/>
      <c r="L612" s="824"/>
      <c r="M612" s="825"/>
      <c r="N612" s="825"/>
      <c r="O612" s="825"/>
      <c r="P612" s="830"/>
      <c r="Q612" s="830"/>
    </row>
    <row r="613" ht="33.0" customHeight="1">
      <c r="A613" s="811"/>
      <c r="B613" s="927"/>
      <c r="C613" s="817"/>
      <c r="D613" s="928"/>
      <c r="E613" s="816"/>
      <c r="F613" s="816"/>
      <c r="G613" s="816"/>
      <c r="H613" s="817"/>
      <c r="I613" s="817"/>
      <c r="J613" s="818"/>
      <c r="K613" s="816"/>
      <c r="L613" s="815"/>
      <c r="M613" s="816"/>
      <c r="N613" s="816"/>
      <c r="O613" s="816"/>
      <c r="P613" s="821"/>
      <c r="Q613" s="821"/>
    </row>
    <row r="614" ht="33.0" customHeight="1">
      <c r="A614" s="822"/>
      <c r="B614" s="927"/>
      <c r="C614" s="826"/>
      <c r="D614" s="928"/>
      <c r="E614" s="825"/>
      <c r="F614" s="825"/>
      <c r="G614" s="825"/>
      <c r="H614" s="826"/>
      <c r="I614" s="826"/>
      <c r="J614" s="827"/>
      <c r="K614" s="825"/>
      <c r="L614" s="824"/>
      <c r="M614" s="825"/>
      <c r="N614" s="825"/>
      <c r="O614" s="825"/>
      <c r="P614" s="830"/>
      <c r="Q614" s="830"/>
    </row>
    <row r="615" ht="33.0" customHeight="1">
      <c r="A615" s="811"/>
      <c r="B615" s="927"/>
      <c r="C615" s="817"/>
      <c r="D615" s="928"/>
      <c r="E615" s="816"/>
      <c r="F615" s="816"/>
      <c r="G615" s="816"/>
      <c r="H615" s="817"/>
      <c r="I615" s="817"/>
      <c r="J615" s="818"/>
      <c r="K615" s="816"/>
      <c r="L615" s="815"/>
      <c r="M615" s="816"/>
      <c r="N615" s="816"/>
      <c r="O615" s="816"/>
      <c r="P615" s="821"/>
      <c r="Q615" s="821"/>
    </row>
    <row r="616" ht="33.0" customHeight="1">
      <c r="A616" s="822"/>
      <c r="B616" s="927"/>
      <c r="C616" s="826"/>
      <c r="D616" s="928"/>
      <c r="E616" s="825"/>
      <c r="F616" s="825"/>
      <c r="G616" s="825"/>
      <c r="H616" s="826"/>
      <c r="I616" s="826"/>
      <c r="J616" s="827"/>
      <c r="K616" s="825"/>
      <c r="L616" s="824"/>
      <c r="M616" s="825"/>
      <c r="N616" s="825"/>
      <c r="O616" s="825"/>
      <c r="P616" s="830"/>
      <c r="Q616" s="830"/>
    </row>
    <row r="617" ht="33.0" customHeight="1">
      <c r="A617" s="811"/>
      <c r="B617" s="927"/>
      <c r="C617" s="817"/>
      <c r="D617" s="928"/>
      <c r="E617" s="816"/>
      <c r="F617" s="816"/>
      <c r="G617" s="816"/>
      <c r="H617" s="817"/>
      <c r="I617" s="817"/>
      <c r="J617" s="818"/>
      <c r="K617" s="816"/>
      <c r="L617" s="815"/>
      <c r="M617" s="816"/>
      <c r="N617" s="816"/>
      <c r="O617" s="816"/>
      <c r="P617" s="821"/>
      <c r="Q617" s="821"/>
    </row>
    <row r="618" ht="33.0" customHeight="1">
      <c r="A618" s="822"/>
      <c r="B618" s="927"/>
      <c r="C618" s="826"/>
      <c r="D618" s="928"/>
      <c r="E618" s="825"/>
      <c r="F618" s="825"/>
      <c r="G618" s="825"/>
      <c r="H618" s="826"/>
      <c r="I618" s="826"/>
      <c r="J618" s="827"/>
      <c r="K618" s="825"/>
      <c r="L618" s="824"/>
      <c r="M618" s="825"/>
      <c r="N618" s="825"/>
      <c r="O618" s="825"/>
      <c r="P618" s="830"/>
      <c r="Q618" s="830"/>
    </row>
    <row r="619" ht="33.0" customHeight="1">
      <c r="A619" s="811"/>
      <c r="B619" s="927"/>
      <c r="C619" s="817"/>
      <c r="D619" s="928"/>
      <c r="E619" s="816"/>
      <c r="F619" s="816"/>
      <c r="G619" s="816"/>
      <c r="H619" s="817"/>
      <c r="I619" s="817"/>
      <c r="J619" s="818"/>
      <c r="K619" s="816"/>
      <c r="L619" s="815"/>
      <c r="M619" s="816"/>
      <c r="N619" s="816"/>
      <c r="O619" s="816"/>
      <c r="P619" s="821"/>
      <c r="Q619" s="821"/>
    </row>
    <row r="620" ht="33.0" customHeight="1">
      <c r="A620" s="822"/>
      <c r="B620" s="927"/>
      <c r="C620" s="826"/>
      <c r="D620" s="928"/>
      <c r="E620" s="825"/>
      <c r="F620" s="825"/>
      <c r="G620" s="825"/>
      <c r="H620" s="826"/>
      <c r="I620" s="826"/>
      <c r="J620" s="827"/>
      <c r="K620" s="825"/>
      <c r="L620" s="824"/>
      <c r="M620" s="825"/>
      <c r="N620" s="825"/>
      <c r="O620" s="825"/>
      <c r="P620" s="830"/>
      <c r="Q620" s="830"/>
    </row>
    <row r="621" ht="33.0" customHeight="1">
      <c r="A621" s="811"/>
      <c r="B621" s="927"/>
      <c r="C621" s="817"/>
      <c r="D621" s="928"/>
      <c r="E621" s="816"/>
      <c r="F621" s="816"/>
      <c r="G621" s="816"/>
      <c r="H621" s="817"/>
      <c r="I621" s="817"/>
      <c r="J621" s="818"/>
      <c r="K621" s="816"/>
      <c r="L621" s="815"/>
      <c r="M621" s="816"/>
      <c r="N621" s="816"/>
      <c r="O621" s="816"/>
      <c r="P621" s="821"/>
      <c r="Q621" s="821"/>
    </row>
    <row r="622" ht="33.0" customHeight="1">
      <c r="A622" s="822"/>
      <c r="B622" s="927"/>
      <c r="C622" s="826"/>
      <c r="D622" s="928"/>
      <c r="E622" s="825"/>
      <c r="F622" s="825"/>
      <c r="G622" s="825"/>
      <c r="H622" s="826"/>
      <c r="I622" s="826"/>
      <c r="J622" s="827"/>
      <c r="K622" s="825"/>
      <c r="L622" s="824"/>
      <c r="M622" s="825"/>
      <c r="N622" s="825"/>
      <c r="O622" s="825"/>
      <c r="P622" s="830"/>
      <c r="Q622" s="830"/>
    </row>
    <row r="623" ht="33.0" customHeight="1">
      <c r="A623" s="811"/>
      <c r="B623" s="927"/>
      <c r="C623" s="817"/>
      <c r="D623" s="928"/>
      <c r="E623" s="816"/>
      <c r="F623" s="816"/>
      <c r="G623" s="816"/>
      <c r="H623" s="817"/>
      <c r="I623" s="817"/>
      <c r="J623" s="818"/>
      <c r="K623" s="816"/>
      <c r="L623" s="815"/>
      <c r="M623" s="816"/>
      <c r="N623" s="816"/>
      <c r="O623" s="816"/>
      <c r="P623" s="821"/>
      <c r="Q623" s="821"/>
    </row>
    <row r="624" ht="33.0" customHeight="1">
      <c r="A624" s="822"/>
      <c r="B624" s="927"/>
      <c r="C624" s="826"/>
      <c r="D624" s="928"/>
      <c r="E624" s="825"/>
      <c r="F624" s="825"/>
      <c r="G624" s="825"/>
      <c r="H624" s="826"/>
      <c r="I624" s="826"/>
      <c r="J624" s="827"/>
      <c r="K624" s="825"/>
      <c r="L624" s="824"/>
      <c r="M624" s="825"/>
      <c r="N624" s="825"/>
      <c r="O624" s="825"/>
      <c r="P624" s="830"/>
      <c r="Q624" s="830"/>
    </row>
    <row r="625" ht="33.0" customHeight="1">
      <c r="A625" s="811"/>
      <c r="B625" s="927"/>
      <c r="C625" s="817"/>
      <c r="D625" s="928"/>
      <c r="E625" s="816"/>
      <c r="F625" s="816"/>
      <c r="G625" s="816"/>
      <c r="H625" s="817"/>
      <c r="I625" s="817"/>
      <c r="J625" s="818"/>
      <c r="K625" s="816"/>
      <c r="L625" s="815"/>
      <c r="M625" s="816"/>
      <c r="N625" s="816"/>
      <c r="O625" s="816"/>
      <c r="P625" s="821"/>
      <c r="Q625" s="821"/>
    </row>
    <row r="626" ht="33.0" customHeight="1">
      <c r="A626" s="822"/>
      <c r="B626" s="927"/>
      <c r="C626" s="826"/>
      <c r="D626" s="928"/>
      <c r="E626" s="825"/>
      <c r="F626" s="825"/>
      <c r="G626" s="825"/>
      <c r="H626" s="826"/>
      <c r="I626" s="826"/>
      <c r="J626" s="827"/>
      <c r="K626" s="825"/>
      <c r="L626" s="824"/>
      <c r="M626" s="825"/>
      <c r="N626" s="825"/>
      <c r="O626" s="825"/>
      <c r="P626" s="830"/>
      <c r="Q626" s="830"/>
    </row>
    <row r="627" ht="33.0" customHeight="1">
      <c r="A627" s="811"/>
      <c r="B627" s="927"/>
      <c r="C627" s="817"/>
      <c r="D627" s="928"/>
      <c r="E627" s="816"/>
      <c r="F627" s="816"/>
      <c r="G627" s="816"/>
      <c r="H627" s="817"/>
      <c r="I627" s="817"/>
      <c r="J627" s="818"/>
      <c r="K627" s="816"/>
      <c r="L627" s="815"/>
      <c r="M627" s="816"/>
      <c r="N627" s="816"/>
      <c r="O627" s="816"/>
      <c r="P627" s="821"/>
      <c r="Q627" s="821"/>
    </row>
    <row r="628" ht="33.0" customHeight="1">
      <c r="A628" s="822"/>
      <c r="B628" s="927"/>
      <c r="C628" s="826"/>
      <c r="D628" s="928"/>
      <c r="E628" s="825"/>
      <c r="F628" s="825"/>
      <c r="G628" s="825"/>
      <c r="H628" s="826"/>
      <c r="I628" s="826"/>
      <c r="J628" s="827"/>
      <c r="K628" s="825"/>
      <c r="L628" s="824"/>
      <c r="M628" s="825"/>
      <c r="N628" s="825"/>
      <c r="O628" s="825"/>
      <c r="P628" s="830"/>
      <c r="Q628" s="830"/>
    </row>
    <row r="629" ht="33.0" customHeight="1">
      <c r="A629" s="811"/>
      <c r="B629" s="927"/>
      <c r="C629" s="817"/>
      <c r="D629" s="928"/>
      <c r="E629" s="816"/>
      <c r="F629" s="816"/>
      <c r="G629" s="816"/>
      <c r="H629" s="817"/>
      <c r="I629" s="817"/>
      <c r="J629" s="818"/>
      <c r="K629" s="816"/>
      <c r="L629" s="815"/>
      <c r="M629" s="816"/>
      <c r="N629" s="816"/>
      <c r="O629" s="816"/>
      <c r="P629" s="821"/>
      <c r="Q629" s="821"/>
    </row>
    <row r="630" ht="33.0" customHeight="1">
      <c r="A630" s="822"/>
      <c r="B630" s="927"/>
      <c r="C630" s="826"/>
      <c r="D630" s="928"/>
      <c r="E630" s="825"/>
      <c r="F630" s="825"/>
      <c r="G630" s="825"/>
      <c r="H630" s="826"/>
      <c r="I630" s="826"/>
      <c r="J630" s="827"/>
      <c r="K630" s="825"/>
      <c r="L630" s="824"/>
      <c r="M630" s="825"/>
      <c r="N630" s="825"/>
      <c r="O630" s="825"/>
      <c r="P630" s="830"/>
      <c r="Q630" s="830"/>
    </row>
    <row r="631" ht="33.0" customHeight="1">
      <c r="A631" s="811"/>
      <c r="B631" s="927"/>
      <c r="C631" s="817"/>
      <c r="D631" s="928"/>
      <c r="E631" s="816"/>
      <c r="F631" s="816"/>
      <c r="G631" s="816"/>
      <c r="H631" s="817"/>
      <c r="I631" s="817"/>
      <c r="J631" s="818"/>
      <c r="K631" s="816"/>
      <c r="L631" s="815"/>
      <c r="M631" s="816"/>
      <c r="N631" s="816"/>
      <c r="O631" s="816"/>
      <c r="P631" s="821"/>
      <c r="Q631" s="821"/>
    </row>
    <row r="632" ht="33.0" customHeight="1">
      <c r="A632" s="822"/>
      <c r="B632" s="927"/>
      <c r="C632" s="826"/>
      <c r="D632" s="928"/>
      <c r="E632" s="825"/>
      <c r="F632" s="825"/>
      <c r="G632" s="825"/>
      <c r="H632" s="826"/>
      <c r="I632" s="826"/>
      <c r="J632" s="827"/>
      <c r="K632" s="825"/>
      <c r="L632" s="824"/>
      <c r="M632" s="825"/>
      <c r="N632" s="825"/>
      <c r="O632" s="825"/>
      <c r="P632" s="830"/>
      <c r="Q632" s="830"/>
    </row>
    <row r="633" ht="33.0" customHeight="1">
      <c r="A633" s="811"/>
      <c r="B633" s="927"/>
      <c r="C633" s="817"/>
      <c r="D633" s="928"/>
      <c r="E633" s="816"/>
      <c r="F633" s="816"/>
      <c r="G633" s="816"/>
      <c r="H633" s="817"/>
      <c r="I633" s="817"/>
      <c r="J633" s="818"/>
      <c r="K633" s="816"/>
      <c r="L633" s="815"/>
      <c r="M633" s="816"/>
      <c r="N633" s="816"/>
      <c r="O633" s="816"/>
      <c r="P633" s="821"/>
      <c r="Q633" s="821"/>
    </row>
    <row r="634" ht="33.0" customHeight="1">
      <c r="A634" s="822"/>
      <c r="B634" s="927"/>
      <c r="C634" s="826"/>
      <c r="D634" s="928"/>
      <c r="E634" s="825"/>
      <c r="F634" s="825"/>
      <c r="G634" s="825"/>
      <c r="H634" s="826"/>
      <c r="I634" s="826"/>
      <c r="J634" s="827"/>
      <c r="K634" s="825"/>
      <c r="L634" s="824"/>
      <c r="M634" s="825"/>
      <c r="N634" s="825"/>
      <c r="O634" s="825"/>
      <c r="P634" s="830"/>
      <c r="Q634" s="830"/>
    </row>
    <row r="635" ht="33.0" customHeight="1">
      <c r="A635" s="811"/>
      <c r="B635" s="927"/>
      <c r="C635" s="817"/>
      <c r="D635" s="928"/>
      <c r="E635" s="816"/>
      <c r="F635" s="816"/>
      <c r="G635" s="816"/>
      <c r="H635" s="817"/>
      <c r="I635" s="817"/>
      <c r="J635" s="818"/>
      <c r="K635" s="816"/>
      <c r="L635" s="815"/>
      <c r="M635" s="816"/>
      <c r="N635" s="816"/>
      <c r="O635" s="816"/>
      <c r="P635" s="821"/>
      <c r="Q635" s="821"/>
    </row>
    <row r="636" ht="33.0" customHeight="1">
      <c r="A636" s="822"/>
      <c r="B636" s="927"/>
      <c r="C636" s="826"/>
      <c r="D636" s="928"/>
      <c r="E636" s="825"/>
      <c r="F636" s="825"/>
      <c r="G636" s="825"/>
      <c r="H636" s="826"/>
      <c r="I636" s="826"/>
      <c r="J636" s="827"/>
      <c r="K636" s="825"/>
      <c r="L636" s="824"/>
      <c r="M636" s="825"/>
      <c r="N636" s="825"/>
      <c r="O636" s="825"/>
      <c r="P636" s="830"/>
      <c r="Q636" s="830"/>
    </row>
    <row r="637" ht="33.0" customHeight="1">
      <c r="A637" s="811"/>
      <c r="B637" s="927"/>
      <c r="C637" s="817"/>
      <c r="D637" s="928"/>
      <c r="E637" s="816"/>
      <c r="F637" s="816"/>
      <c r="G637" s="816"/>
      <c r="H637" s="817"/>
      <c r="I637" s="817"/>
      <c r="J637" s="818"/>
      <c r="K637" s="816"/>
      <c r="L637" s="815"/>
      <c r="M637" s="816"/>
      <c r="N637" s="816"/>
      <c r="O637" s="816"/>
      <c r="P637" s="821"/>
      <c r="Q637" s="821"/>
    </row>
    <row r="638" ht="33.0" customHeight="1">
      <c r="A638" s="822"/>
      <c r="B638" s="927"/>
      <c r="C638" s="826"/>
      <c r="D638" s="928"/>
      <c r="E638" s="825"/>
      <c r="F638" s="825"/>
      <c r="G638" s="825"/>
      <c r="H638" s="826"/>
      <c r="I638" s="826"/>
      <c r="J638" s="827"/>
      <c r="K638" s="825"/>
      <c r="L638" s="824"/>
      <c r="M638" s="825"/>
      <c r="N638" s="825"/>
      <c r="O638" s="825"/>
      <c r="P638" s="830"/>
      <c r="Q638" s="830"/>
    </row>
    <row r="639" ht="33.0" customHeight="1">
      <c r="A639" s="811"/>
      <c r="B639" s="927"/>
      <c r="C639" s="817"/>
      <c r="D639" s="928"/>
      <c r="E639" s="816"/>
      <c r="F639" s="816"/>
      <c r="G639" s="816"/>
      <c r="H639" s="817"/>
      <c r="I639" s="817"/>
      <c r="J639" s="818"/>
      <c r="K639" s="816"/>
      <c r="L639" s="815"/>
      <c r="M639" s="816"/>
      <c r="N639" s="816"/>
      <c r="O639" s="816"/>
      <c r="P639" s="821"/>
      <c r="Q639" s="821"/>
    </row>
    <row r="640" ht="33.0" customHeight="1">
      <c r="A640" s="822"/>
      <c r="B640" s="927"/>
      <c r="C640" s="826"/>
      <c r="D640" s="928"/>
      <c r="E640" s="825"/>
      <c r="F640" s="825"/>
      <c r="G640" s="825"/>
      <c r="H640" s="826"/>
      <c r="I640" s="826"/>
      <c r="J640" s="827"/>
      <c r="K640" s="825"/>
      <c r="L640" s="824"/>
      <c r="M640" s="825"/>
      <c r="N640" s="825"/>
      <c r="O640" s="825"/>
      <c r="P640" s="830"/>
      <c r="Q640" s="830"/>
    </row>
    <row r="641" ht="33.0" customHeight="1">
      <c r="A641" s="811"/>
      <c r="B641" s="927"/>
      <c r="C641" s="817"/>
      <c r="D641" s="928"/>
      <c r="E641" s="816"/>
      <c r="F641" s="816"/>
      <c r="G641" s="816"/>
      <c r="H641" s="817"/>
      <c r="I641" s="817"/>
      <c r="J641" s="818"/>
      <c r="K641" s="816"/>
      <c r="L641" s="815"/>
      <c r="M641" s="816"/>
      <c r="N641" s="816"/>
      <c r="O641" s="816"/>
      <c r="P641" s="821"/>
      <c r="Q641" s="821"/>
    </row>
    <row r="642" ht="33.0" customHeight="1">
      <c r="A642" s="822"/>
      <c r="B642" s="927"/>
      <c r="C642" s="826"/>
      <c r="D642" s="928"/>
      <c r="E642" s="825"/>
      <c r="F642" s="825"/>
      <c r="G642" s="825"/>
      <c r="H642" s="826"/>
      <c r="I642" s="826"/>
      <c r="J642" s="827"/>
      <c r="K642" s="825"/>
      <c r="L642" s="824"/>
      <c r="M642" s="825"/>
      <c r="N642" s="825"/>
      <c r="O642" s="825"/>
      <c r="P642" s="830"/>
      <c r="Q642" s="830"/>
    </row>
    <row r="643" ht="33.0" customHeight="1">
      <c r="A643" s="811"/>
      <c r="B643" s="927"/>
      <c r="C643" s="817"/>
      <c r="D643" s="928"/>
      <c r="E643" s="816"/>
      <c r="F643" s="816"/>
      <c r="G643" s="816"/>
      <c r="H643" s="817"/>
      <c r="I643" s="817"/>
      <c r="J643" s="818"/>
      <c r="K643" s="816"/>
      <c r="L643" s="815"/>
      <c r="M643" s="816"/>
      <c r="N643" s="816"/>
      <c r="O643" s="816"/>
      <c r="P643" s="821"/>
      <c r="Q643" s="821"/>
    </row>
    <row r="644" ht="33.0" customHeight="1">
      <c r="A644" s="822"/>
      <c r="B644" s="927"/>
      <c r="C644" s="826"/>
      <c r="D644" s="928"/>
      <c r="E644" s="825"/>
      <c r="F644" s="825"/>
      <c r="G644" s="825"/>
      <c r="H644" s="826"/>
      <c r="I644" s="826"/>
      <c r="J644" s="827"/>
      <c r="K644" s="825"/>
      <c r="L644" s="824"/>
      <c r="M644" s="825"/>
      <c r="N644" s="825"/>
      <c r="O644" s="825"/>
      <c r="P644" s="830"/>
      <c r="Q644" s="830"/>
    </row>
    <row r="645" ht="33.0" customHeight="1">
      <c r="A645" s="811"/>
      <c r="B645" s="927"/>
      <c r="C645" s="817"/>
      <c r="D645" s="928"/>
      <c r="E645" s="816"/>
      <c r="F645" s="816"/>
      <c r="G645" s="816"/>
      <c r="H645" s="817"/>
      <c r="I645" s="817"/>
      <c r="J645" s="818"/>
      <c r="K645" s="816"/>
      <c r="L645" s="815"/>
      <c r="M645" s="816"/>
      <c r="N645" s="816"/>
      <c r="O645" s="816"/>
      <c r="P645" s="821"/>
      <c r="Q645" s="821"/>
    </row>
    <row r="646" ht="33.0" customHeight="1">
      <c r="A646" s="822"/>
      <c r="B646" s="927"/>
      <c r="C646" s="826"/>
      <c r="D646" s="928"/>
      <c r="E646" s="825"/>
      <c r="F646" s="825"/>
      <c r="G646" s="825"/>
      <c r="H646" s="826"/>
      <c r="I646" s="826"/>
      <c r="J646" s="827"/>
      <c r="K646" s="825"/>
      <c r="L646" s="824"/>
      <c r="M646" s="825"/>
      <c r="N646" s="825"/>
      <c r="O646" s="825"/>
      <c r="P646" s="830"/>
      <c r="Q646" s="830"/>
    </row>
    <row r="647" ht="33.0" customHeight="1">
      <c r="A647" s="811"/>
      <c r="B647" s="927"/>
      <c r="C647" s="817"/>
      <c r="D647" s="928"/>
      <c r="E647" s="816"/>
      <c r="F647" s="816"/>
      <c r="G647" s="816"/>
      <c r="H647" s="817"/>
      <c r="I647" s="817"/>
      <c r="J647" s="818"/>
      <c r="K647" s="816"/>
      <c r="L647" s="815"/>
      <c r="M647" s="816"/>
      <c r="N647" s="816"/>
      <c r="O647" s="816"/>
      <c r="P647" s="821"/>
      <c r="Q647" s="821"/>
    </row>
    <row r="648" ht="33.0" customHeight="1">
      <c r="A648" s="822"/>
      <c r="B648" s="927"/>
      <c r="C648" s="826"/>
      <c r="D648" s="928"/>
      <c r="E648" s="825"/>
      <c r="F648" s="825"/>
      <c r="G648" s="825"/>
      <c r="H648" s="826"/>
      <c r="I648" s="826"/>
      <c r="J648" s="827"/>
      <c r="K648" s="825"/>
      <c r="L648" s="824"/>
      <c r="M648" s="825"/>
      <c r="N648" s="825"/>
      <c r="O648" s="825"/>
      <c r="P648" s="830"/>
      <c r="Q648" s="830"/>
    </row>
    <row r="649" ht="33.0" customHeight="1">
      <c r="A649" s="811"/>
      <c r="B649" s="927"/>
      <c r="C649" s="817"/>
      <c r="D649" s="928"/>
      <c r="E649" s="816"/>
      <c r="F649" s="816"/>
      <c r="G649" s="816"/>
      <c r="H649" s="817"/>
      <c r="I649" s="817"/>
      <c r="J649" s="818"/>
      <c r="K649" s="816"/>
      <c r="L649" s="815"/>
      <c r="M649" s="816"/>
      <c r="N649" s="816"/>
      <c r="O649" s="816"/>
      <c r="P649" s="821"/>
      <c r="Q649" s="821"/>
    </row>
    <row r="650" ht="33.0" customHeight="1">
      <c r="A650" s="822"/>
      <c r="B650" s="927"/>
      <c r="C650" s="826"/>
      <c r="D650" s="928"/>
      <c r="E650" s="825"/>
      <c r="F650" s="825"/>
      <c r="G650" s="825"/>
      <c r="H650" s="826"/>
      <c r="I650" s="826"/>
      <c r="J650" s="827"/>
      <c r="K650" s="825"/>
      <c r="L650" s="824"/>
      <c r="M650" s="825"/>
      <c r="N650" s="825"/>
      <c r="O650" s="825"/>
      <c r="P650" s="830"/>
      <c r="Q650" s="830"/>
    </row>
    <row r="651" ht="33.0" customHeight="1">
      <c r="A651" s="811"/>
      <c r="B651" s="927"/>
      <c r="C651" s="817"/>
      <c r="D651" s="928"/>
      <c r="E651" s="816"/>
      <c r="F651" s="816"/>
      <c r="G651" s="816"/>
      <c r="H651" s="817"/>
      <c r="I651" s="817"/>
      <c r="J651" s="818"/>
      <c r="K651" s="816"/>
      <c r="L651" s="815"/>
      <c r="M651" s="816"/>
      <c r="N651" s="816"/>
      <c r="O651" s="816"/>
      <c r="P651" s="821"/>
      <c r="Q651" s="821"/>
    </row>
    <row r="652" ht="33.0" customHeight="1">
      <c r="A652" s="822"/>
      <c r="B652" s="927"/>
      <c r="C652" s="826"/>
      <c r="D652" s="928"/>
      <c r="E652" s="825"/>
      <c r="F652" s="825"/>
      <c r="G652" s="825"/>
      <c r="H652" s="826"/>
      <c r="I652" s="826"/>
      <c r="J652" s="827"/>
      <c r="K652" s="825"/>
      <c r="L652" s="824"/>
      <c r="M652" s="825"/>
      <c r="N652" s="825"/>
      <c r="O652" s="825"/>
      <c r="P652" s="830"/>
      <c r="Q652" s="830"/>
    </row>
    <row r="653" ht="33.0" customHeight="1">
      <c r="A653" s="811"/>
      <c r="B653" s="927"/>
      <c r="C653" s="817"/>
      <c r="D653" s="928"/>
      <c r="E653" s="816"/>
      <c r="F653" s="816"/>
      <c r="G653" s="816"/>
      <c r="H653" s="817"/>
      <c r="I653" s="817"/>
      <c r="J653" s="818"/>
      <c r="K653" s="816"/>
      <c r="L653" s="815"/>
      <c r="M653" s="816"/>
      <c r="N653" s="816"/>
      <c r="O653" s="816"/>
      <c r="P653" s="821"/>
      <c r="Q653" s="821"/>
    </row>
    <row r="654" ht="33.0" customHeight="1">
      <c r="A654" s="822"/>
      <c r="B654" s="927"/>
      <c r="C654" s="826"/>
      <c r="D654" s="928"/>
      <c r="E654" s="825"/>
      <c r="F654" s="825"/>
      <c r="G654" s="825"/>
      <c r="H654" s="826"/>
      <c r="I654" s="826"/>
      <c r="J654" s="827"/>
      <c r="K654" s="825"/>
      <c r="L654" s="824"/>
      <c r="M654" s="825"/>
      <c r="N654" s="825"/>
      <c r="O654" s="825"/>
      <c r="P654" s="830"/>
      <c r="Q654" s="830"/>
    </row>
    <row r="655" ht="33.0" customHeight="1">
      <c r="A655" s="811"/>
      <c r="B655" s="927"/>
      <c r="C655" s="817"/>
      <c r="D655" s="928"/>
      <c r="E655" s="816"/>
      <c r="F655" s="816"/>
      <c r="G655" s="816"/>
      <c r="H655" s="817"/>
      <c r="I655" s="817"/>
      <c r="J655" s="818"/>
      <c r="K655" s="816"/>
      <c r="L655" s="815"/>
      <c r="M655" s="816"/>
      <c r="N655" s="816"/>
      <c r="O655" s="816"/>
      <c r="P655" s="821"/>
      <c r="Q655" s="821"/>
    </row>
    <row r="656" ht="33.0" customHeight="1">
      <c r="A656" s="822"/>
      <c r="B656" s="927"/>
      <c r="C656" s="826"/>
      <c r="D656" s="928"/>
      <c r="E656" s="825"/>
      <c r="F656" s="825"/>
      <c r="G656" s="825"/>
      <c r="H656" s="826"/>
      <c r="I656" s="826"/>
      <c r="J656" s="827"/>
      <c r="K656" s="825"/>
      <c r="L656" s="824"/>
      <c r="M656" s="825"/>
      <c r="N656" s="825"/>
      <c r="O656" s="825"/>
      <c r="P656" s="830"/>
      <c r="Q656" s="830"/>
    </row>
    <row r="657" ht="33.0" customHeight="1">
      <c r="A657" s="811"/>
      <c r="B657" s="927"/>
      <c r="C657" s="817"/>
      <c r="D657" s="928"/>
      <c r="E657" s="816"/>
      <c r="F657" s="816"/>
      <c r="G657" s="816"/>
      <c r="H657" s="817"/>
      <c r="I657" s="817"/>
      <c r="J657" s="818"/>
      <c r="K657" s="816"/>
      <c r="L657" s="815"/>
      <c r="M657" s="816"/>
      <c r="N657" s="816"/>
      <c r="O657" s="816"/>
      <c r="P657" s="821"/>
      <c r="Q657" s="821"/>
    </row>
    <row r="658" ht="33.0" customHeight="1">
      <c r="A658" s="822"/>
      <c r="B658" s="927"/>
      <c r="C658" s="826"/>
      <c r="D658" s="928"/>
      <c r="E658" s="825"/>
      <c r="F658" s="825"/>
      <c r="G658" s="825"/>
      <c r="H658" s="826"/>
      <c r="I658" s="826"/>
      <c r="J658" s="827"/>
      <c r="K658" s="825"/>
      <c r="L658" s="824"/>
      <c r="M658" s="825"/>
      <c r="N658" s="825"/>
      <c r="O658" s="825"/>
      <c r="P658" s="830"/>
      <c r="Q658" s="830"/>
    </row>
    <row r="659" ht="33.0" customHeight="1">
      <c r="A659" s="811"/>
      <c r="B659" s="927"/>
      <c r="C659" s="817"/>
      <c r="D659" s="928"/>
      <c r="E659" s="816"/>
      <c r="F659" s="816"/>
      <c r="G659" s="816"/>
      <c r="H659" s="817"/>
      <c r="I659" s="817"/>
      <c r="J659" s="818"/>
      <c r="K659" s="816"/>
      <c r="L659" s="815"/>
      <c r="M659" s="816"/>
      <c r="N659" s="816"/>
      <c r="O659" s="816"/>
      <c r="P659" s="821"/>
      <c r="Q659" s="821"/>
    </row>
    <row r="660" ht="33.0" customHeight="1">
      <c r="A660" s="822"/>
      <c r="B660" s="927"/>
      <c r="C660" s="826"/>
      <c r="D660" s="928"/>
      <c r="E660" s="825"/>
      <c r="F660" s="825"/>
      <c r="G660" s="825"/>
      <c r="H660" s="826"/>
      <c r="I660" s="826"/>
      <c r="J660" s="827"/>
      <c r="K660" s="825"/>
      <c r="L660" s="824"/>
      <c r="M660" s="825"/>
      <c r="N660" s="825"/>
      <c r="O660" s="825"/>
      <c r="P660" s="830"/>
      <c r="Q660" s="830"/>
    </row>
    <row r="661" ht="33.0" customHeight="1">
      <c r="A661" s="811"/>
      <c r="B661" s="927"/>
      <c r="C661" s="817"/>
      <c r="D661" s="928"/>
      <c r="E661" s="816"/>
      <c r="F661" s="816"/>
      <c r="G661" s="816"/>
      <c r="H661" s="817"/>
      <c r="I661" s="817"/>
      <c r="J661" s="818"/>
      <c r="K661" s="816"/>
      <c r="L661" s="815"/>
      <c r="M661" s="816"/>
      <c r="N661" s="816"/>
      <c r="O661" s="816"/>
      <c r="P661" s="821"/>
      <c r="Q661" s="821"/>
    </row>
    <row r="662" ht="33.0" customHeight="1">
      <c r="A662" s="822"/>
      <c r="B662" s="927"/>
      <c r="C662" s="826"/>
      <c r="D662" s="928"/>
      <c r="E662" s="825"/>
      <c r="F662" s="825"/>
      <c r="G662" s="825"/>
      <c r="H662" s="826"/>
      <c r="I662" s="826"/>
      <c r="J662" s="827"/>
      <c r="K662" s="825"/>
      <c r="L662" s="824"/>
      <c r="M662" s="825"/>
      <c r="N662" s="825"/>
      <c r="O662" s="825"/>
      <c r="P662" s="830"/>
      <c r="Q662" s="830"/>
    </row>
    <row r="663" ht="33.0" customHeight="1">
      <c r="A663" s="811"/>
      <c r="B663" s="927"/>
      <c r="C663" s="817"/>
      <c r="D663" s="928"/>
      <c r="E663" s="816"/>
      <c r="F663" s="816"/>
      <c r="G663" s="816"/>
      <c r="H663" s="817"/>
      <c r="I663" s="817"/>
      <c r="J663" s="818"/>
      <c r="K663" s="816"/>
      <c r="L663" s="815"/>
      <c r="M663" s="816"/>
      <c r="N663" s="816"/>
      <c r="O663" s="816"/>
      <c r="P663" s="821"/>
      <c r="Q663" s="821"/>
    </row>
    <row r="664" ht="33.0" customHeight="1">
      <c r="A664" s="822"/>
      <c r="B664" s="927"/>
      <c r="C664" s="826"/>
      <c r="D664" s="928"/>
      <c r="E664" s="825"/>
      <c r="F664" s="825"/>
      <c r="G664" s="825"/>
      <c r="H664" s="826"/>
      <c r="I664" s="826"/>
      <c r="J664" s="827"/>
      <c r="K664" s="825"/>
      <c r="L664" s="824"/>
      <c r="M664" s="825"/>
      <c r="N664" s="825"/>
      <c r="O664" s="825"/>
      <c r="P664" s="830"/>
      <c r="Q664" s="830"/>
    </row>
    <row r="665" ht="33.0" customHeight="1">
      <c r="A665" s="811"/>
      <c r="B665" s="927"/>
      <c r="C665" s="817"/>
      <c r="D665" s="928"/>
      <c r="E665" s="816"/>
      <c r="F665" s="816"/>
      <c r="G665" s="816"/>
      <c r="H665" s="817"/>
      <c r="I665" s="817"/>
      <c r="J665" s="818"/>
      <c r="K665" s="816"/>
      <c r="L665" s="815"/>
      <c r="M665" s="816"/>
      <c r="N665" s="816"/>
      <c r="O665" s="816"/>
      <c r="P665" s="821"/>
      <c r="Q665" s="821"/>
    </row>
    <row r="666" ht="33.0" customHeight="1">
      <c r="A666" s="822"/>
      <c r="B666" s="927"/>
      <c r="C666" s="826"/>
      <c r="D666" s="928"/>
      <c r="E666" s="825"/>
      <c r="F666" s="825"/>
      <c r="G666" s="825"/>
      <c r="H666" s="826"/>
      <c r="I666" s="826"/>
      <c r="J666" s="827"/>
      <c r="K666" s="825"/>
      <c r="L666" s="824"/>
      <c r="M666" s="825"/>
      <c r="N666" s="825"/>
      <c r="O666" s="825"/>
      <c r="P666" s="830"/>
      <c r="Q666" s="830"/>
    </row>
    <row r="667" ht="33.0" customHeight="1">
      <c r="A667" s="811"/>
      <c r="B667" s="927"/>
      <c r="C667" s="817"/>
      <c r="D667" s="928"/>
      <c r="E667" s="816"/>
      <c r="F667" s="816"/>
      <c r="G667" s="816"/>
      <c r="H667" s="817"/>
      <c r="I667" s="817"/>
      <c r="J667" s="818"/>
      <c r="K667" s="816"/>
      <c r="L667" s="815"/>
      <c r="M667" s="816"/>
      <c r="N667" s="816"/>
      <c r="O667" s="816"/>
      <c r="P667" s="821"/>
      <c r="Q667" s="821"/>
    </row>
    <row r="668" ht="33.0" customHeight="1">
      <c r="A668" s="822"/>
      <c r="B668" s="927"/>
      <c r="C668" s="826"/>
      <c r="D668" s="928"/>
      <c r="E668" s="825"/>
      <c r="F668" s="825"/>
      <c r="G668" s="825"/>
      <c r="H668" s="826"/>
      <c r="I668" s="826"/>
      <c r="J668" s="827"/>
      <c r="K668" s="825"/>
      <c r="L668" s="824"/>
      <c r="M668" s="825"/>
      <c r="N668" s="825"/>
      <c r="O668" s="825"/>
      <c r="P668" s="830"/>
      <c r="Q668" s="830"/>
    </row>
    <row r="669" ht="33.0" customHeight="1">
      <c r="A669" s="811"/>
      <c r="B669" s="927"/>
      <c r="C669" s="817"/>
      <c r="D669" s="928"/>
      <c r="E669" s="816"/>
      <c r="F669" s="816"/>
      <c r="G669" s="816"/>
      <c r="H669" s="817"/>
      <c r="I669" s="817"/>
      <c r="J669" s="818"/>
      <c r="K669" s="816"/>
      <c r="L669" s="815"/>
      <c r="M669" s="816"/>
      <c r="N669" s="816"/>
      <c r="O669" s="816"/>
      <c r="P669" s="821"/>
      <c r="Q669" s="821"/>
    </row>
    <row r="670" ht="33.0" customHeight="1">
      <c r="A670" s="822"/>
      <c r="B670" s="927"/>
      <c r="C670" s="826"/>
      <c r="D670" s="928"/>
      <c r="E670" s="825"/>
      <c r="F670" s="825"/>
      <c r="G670" s="825"/>
      <c r="H670" s="826"/>
      <c r="I670" s="826"/>
      <c r="J670" s="827"/>
      <c r="K670" s="825"/>
      <c r="L670" s="824"/>
      <c r="M670" s="825"/>
      <c r="N670" s="825"/>
      <c r="O670" s="825"/>
      <c r="P670" s="830"/>
      <c r="Q670" s="830"/>
    </row>
    <row r="671" ht="33.0" customHeight="1">
      <c r="A671" s="811"/>
      <c r="B671" s="927"/>
      <c r="C671" s="817"/>
      <c r="D671" s="928"/>
      <c r="E671" s="816"/>
      <c r="F671" s="816"/>
      <c r="G671" s="816"/>
      <c r="H671" s="817"/>
      <c r="I671" s="817"/>
      <c r="J671" s="818"/>
      <c r="K671" s="816"/>
      <c r="L671" s="815"/>
      <c r="M671" s="816"/>
      <c r="N671" s="816"/>
      <c r="O671" s="816"/>
      <c r="P671" s="821"/>
      <c r="Q671" s="821"/>
    </row>
    <row r="672" ht="33.0" customHeight="1">
      <c r="A672" s="822"/>
      <c r="B672" s="927"/>
      <c r="C672" s="826"/>
      <c r="D672" s="928"/>
      <c r="E672" s="825"/>
      <c r="F672" s="825"/>
      <c r="G672" s="825"/>
      <c r="H672" s="826"/>
      <c r="I672" s="826"/>
      <c r="J672" s="827"/>
      <c r="K672" s="825"/>
      <c r="L672" s="824"/>
      <c r="M672" s="825"/>
      <c r="N672" s="825"/>
      <c r="O672" s="825"/>
      <c r="P672" s="830"/>
      <c r="Q672" s="830"/>
    </row>
    <row r="673" ht="33.0" customHeight="1">
      <c r="A673" s="811"/>
      <c r="B673" s="927"/>
      <c r="C673" s="817"/>
      <c r="D673" s="928"/>
      <c r="E673" s="816"/>
      <c r="F673" s="816"/>
      <c r="G673" s="816"/>
      <c r="H673" s="817"/>
      <c r="I673" s="817"/>
      <c r="J673" s="818"/>
      <c r="K673" s="816"/>
      <c r="L673" s="815"/>
      <c r="M673" s="816"/>
      <c r="N673" s="816"/>
      <c r="O673" s="816"/>
      <c r="P673" s="821"/>
      <c r="Q673" s="821"/>
    </row>
    <row r="674" ht="33.0" customHeight="1">
      <c r="A674" s="822"/>
      <c r="B674" s="927"/>
      <c r="C674" s="826"/>
      <c r="D674" s="928"/>
      <c r="E674" s="825"/>
      <c r="F674" s="825"/>
      <c r="G674" s="825"/>
      <c r="H674" s="826"/>
      <c r="I674" s="826"/>
      <c r="J674" s="827"/>
      <c r="K674" s="825"/>
      <c r="L674" s="824"/>
      <c r="M674" s="825"/>
      <c r="N674" s="825"/>
      <c r="O674" s="825"/>
      <c r="P674" s="830"/>
      <c r="Q674" s="830"/>
    </row>
    <row r="675" ht="33.0" customHeight="1">
      <c r="A675" s="811"/>
      <c r="B675" s="927"/>
      <c r="C675" s="817"/>
      <c r="D675" s="928"/>
      <c r="E675" s="816"/>
      <c r="F675" s="816"/>
      <c r="G675" s="816"/>
      <c r="H675" s="817"/>
      <c r="I675" s="817"/>
      <c r="J675" s="818"/>
      <c r="K675" s="816"/>
      <c r="L675" s="815"/>
      <c r="M675" s="816"/>
      <c r="N675" s="816"/>
      <c r="O675" s="816"/>
      <c r="P675" s="821"/>
      <c r="Q675" s="821"/>
    </row>
    <row r="676" ht="33.0" customHeight="1">
      <c r="A676" s="822"/>
      <c r="B676" s="927"/>
      <c r="C676" s="826"/>
      <c r="D676" s="928"/>
      <c r="E676" s="825"/>
      <c r="F676" s="825"/>
      <c r="G676" s="825"/>
      <c r="H676" s="826"/>
      <c r="I676" s="826"/>
      <c r="J676" s="827"/>
      <c r="K676" s="825"/>
      <c r="L676" s="824"/>
      <c r="M676" s="825"/>
      <c r="N676" s="825"/>
      <c r="O676" s="825"/>
      <c r="P676" s="830"/>
      <c r="Q676" s="830"/>
    </row>
    <row r="677" ht="33.0" customHeight="1">
      <c r="A677" s="811"/>
      <c r="B677" s="927"/>
      <c r="C677" s="817"/>
      <c r="D677" s="928"/>
      <c r="E677" s="816"/>
      <c r="F677" s="816"/>
      <c r="G677" s="816"/>
      <c r="H677" s="817"/>
      <c r="I677" s="817"/>
      <c r="J677" s="818"/>
      <c r="K677" s="816"/>
      <c r="L677" s="815"/>
      <c r="M677" s="816"/>
      <c r="N677" s="816"/>
      <c r="O677" s="816"/>
      <c r="P677" s="821"/>
      <c r="Q677" s="821"/>
    </row>
    <row r="678" ht="33.0" customHeight="1">
      <c r="A678" s="822"/>
      <c r="B678" s="927"/>
      <c r="C678" s="826"/>
      <c r="D678" s="928"/>
      <c r="E678" s="825"/>
      <c r="F678" s="825"/>
      <c r="G678" s="825"/>
      <c r="H678" s="826"/>
      <c r="I678" s="826"/>
      <c r="J678" s="827"/>
      <c r="K678" s="825"/>
      <c r="L678" s="824"/>
      <c r="M678" s="825"/>
      <c r="N678" s="825"/>
      <c r="O678" s="825"/>
      <c r="P678" s="830"/>
      <c r="Q678" s="830"/>
    </row>
    <row r="679" ht="33.0" customHeight="1">
      <c r="A679" s="811"/>
      <c r="B679" s="927"/>
      <c r="C679" s="817"/>
      <c r="D679" s="928"/>
      <c r="E679" s="816"/>
      <c r="F679" s="816"/>
      <c r="G679" s="816"/>
      <c r="H679" s="817"/>
      <c r="I679" s="817"/>
      <c r="J679" s="818"/>
      <c r="K679" s="816"/>
      <c r="L679" s="815"/>
      <c r="M679" s="816"/>
      <c r="N679" s="816"/>
      <c r="O679" s="816"/>
      <c r="P679" s="821"/>
      <c r="Q679" s="821"/>
    </row>
    <row r="680" ht="33.0" customHeight="1">
      <c r="A680" s="822"/>
      <c r="B680" s="927"/>
      <c r="C680" s="826"/>
      <c r="D680" s="928"/>
      <c r="E680" s="825"/>
      <c r="F680" s="825"/>
      <c r="G680" s="825"/>
      <c r="H680" s="826"/>
      <c r="I680" s="826"/>
      <c r="J680" s="827"/>
      <c r="K680" s="825"/>
      <c r="L680" s="824"/>
      <c r="M680" s="825"/>
      <c r="N680" s="825"/>
      <c r="O680" s="825"/>
      <c r="P680" s="830"/>
      <c r="Q680" s="830"/>
    </row>
    <row r="681" ht="33.0" customHeight="1">
      <c r="A681" s="811"/>
      <c r="B681" s="927"/>
      <c r="C681" s="817"/>
      <c r="D681" s="928"/>
      <c r="E681" s="816"/>
      <c r="F681" s="816"/>
      <c r="G681" s="816"/>
      <c r="H681" s="817"/>
      <c r="I681" s="817"/>
      <c r="J681" s="818"/>
      <c r="K681" s="816"/>
      <c r="L681" s="815"/>
      <c r="M681" s="816"/>
      <c r="N681" s="816"/>
      <c r="O681" s="816"/>
      <c r="P681" s="821"/>
      <c r="Q681" s="821"/>
    </row>
    <row r="682" ht="33.0" customHeight="1">
      <c r="A682" s="822"/>
      <c r="B682" s="927"/>
      <c r="C682" s="826"/>
      <c r="D682" s="928"/>
      <c r="E682" s="825"/>
      <c r="F682" s="825"/>
      <c r="G682" s="825"/>
      <c r="H682" s="826"/>
      <c r="I682" s="826"/>
      <c r="J682" s="827"/>
      <c r="K682" s="825"/>
      <c r="L682" s="824"/>
      <c r="M682" s="825"/>
      <c r="N682" s="825"/>
      <c r="O682" s="825"/>
      <c r="P682" s="830"/>
      <c r="Q682" s="830"/>
    </row>
    <row r="683" ht="33.0" customHeight="1">
      <c r="A683" s="811"/>
      <c r="B683" s="927"/>
      <c r="C683" s="817"/>
      <c r="D683" s="928"/>
      <c r="E683" s="816"/>
      <c r="F683" s="816"/>
      <c r="G683" s="816"/>
      <c r="H683" s="817"/>
      <c r="I683" s="817"/>
      <c r="J683" s="818"/>
      <c r="K683" s="816"/>
      <c r="L683" s="815"/>
      <c r="M683" s="816"/>
      <c r="N683" s="816"/>
      <c r="O683" s="816"/>
      <c r="P683" s="821"/>
      <c r="Q683" s="821"/>
    </row>
    <row r="684" ht="33.0" customHeight="1">
      <c r="A684" s="822"/>
      <c r="B684" s="927"/>
      <c r="C684" s="826"/>
      <c r="D684" s="928"/>
      <c r="E684" s="825"/>
      <c r="F684" s="825"/>
      <c r="G684" s="825"/>
      <c r="H684" s="826"/>
      <c r="I684" s="826"/>
      <c r="J684" s="827"/>
      <c r="K684" s="825"/>
      <c r="L684" s="824"/>
      <c r="M684" s="825"/>
      <c r="N684" s="825"/>
      <c r="O684" s="825"/>
      <c r="P684" s="830"/>
      <c r="Q684" s="830"/>
    </row>
    <row r="685" ht="33.0" customHeight="1">
      <c r="A685" s="811"/>
      <c r="B685" s="927"/>
      <c r="C685" s="817"/>
      <c r="D685" s="928"/>
      <c r="E685" s="816"/>
      <c r="F685" s="816"/>
      <c r="G685" s="816"/>
      <c r="H685" s="817"/>
      <c r="I685" s="817"/>
      <c r="J685" s="818"/>
      <c r="K685" s="816"/>
      <c r="L685" s="815"/>
      <c r="M685" s="816"/>
      <c r="N685" s="816"/>
      <c r="O685" s="816"/>
      <c r="P685" s="821"/>
      <c r="Q685" s="821"/>
    </row>
    <row r="686" ht="33.0" customHeight="1">
      <c r="A686" s="822"/>
      <c r="B686" s="927"/>
      <c r="C686" s="826"/>
      <c r="D686" s="928"/>
      <c r="E686" s="825"/>
      <c r="F686" s="825"/>
      <c r="G686" s="825"/>
      <c r="H686" s="826"/>
      <c r="I686" s="826"/>
      <c r="J686" s="827"/>
      <c r="K686" s="825"/>
      <c r="L686" s="824"/>
      <c r="M686" s="825"/>
      <c r="N686" s="825"/>
      <c r="O686" s="825"/>
      <c r="P686" s="830"/>
      <c r="Q686" s="830"/>
    </row>
    <row r="687" ht="33.0" customHeight="1">
      <c r="A687" s="811"/>
      <c r="B687" s="927"/>
      <c r="C687" s="817"/>
      <c r="D687" s="928"/>
      <c r="E687" s="816"/>
      <c r="F687" s="816"/>
      <c r="G687" s="816"/>
      <c r="H687" s="817"/>
      <c r="I687" s="817"/>
      <c r="J687" s="818"/>
      <c r="K687" s="816"/>
      <c r="L687" s="815"/>
      <c r="M687" s="816"/>
      <c r="N687" s="816"/>
      <c r="O687" s="816"/>
      <c r="P687" s="821"/>
      <c r="Q687" s="821"/>
    </row>
    <row r="688" ht="33.0" customHeight="1">
      <c r="A688" s="822"/>
      <c r="B688" s="927"/>
      <c r="C688" s="826"/>
      <c r="D688" s="928"/>
      <c r="E688" s="825"/>
      <c r="F688" s="825"/>
      <c r="G688" s="825"/>
      <c r="H688" s="826"/>
      <c r="I688" s="826"/>
      <c r="J688" s="827"/>
      <c r="K688" s="825"/>
      <c r="L688" s="824"/>
      <c r="M688" s="825"/>
      <c r="N688" s="825"/>
      <c r="O688" s="825"/>
      <c r="P688" s="830"/>
      <c r="Q688" s="830"/>
    </row>
    <row r="689" ht="33.0" customHeight="1">
      <c r="A689" s="811"/>
      <c r="B689" s="927"/>
      <c r="C689" s="817"/>
      <c r="D689" s="928"/>
      <c r="E689" s="816"/>
      <c r="F689" s="816"/>
      <c r="G689" s="816"/>
      <c r="H689" s="817"/>
      <c r="I689" s="817"/>
      <c r="J689" s="818"/>
      <c r="K689" s="816"/>
      <c r="L689" s="815"/>
      <c r="M689" s="816"/>
      <c r="N689" s="816"/>
      <c r="O689" s="816"/>
      <c r="P689" s="821"/>
      <c r="Q689" s="821"/>
    </row>
    <row r="690" ht="33.0" customHeight="1">
      <c r="A690" s="822"/>
      <c r="B690" s="927"/>
      <c r="C690" s="826"/>
      <c r="D690" s="928"/>
      <c r="E690" s="825"/>
      <c r="F690" s="825"/>
      <c r="G690" s="825"/>
      <c r="H690" s="826"/>
      <c r="I690" s="826"/>
      <c r="J690" s="827"/>
      <c r="K690" s="825"/>
      <c r="L690" s="824"/>
      <c r="M690" s="825"/>
      <c r="N690" s="825"/>
      <c r="O690" s="825"/>
      <c r="P690" s="830"/>
      <c r="Q690" s="830"/>
    </row>
    <row r="691" ht="33.0" customHeight="1">
      <c r="A691" s="811"/>
      <c r="B691" s="927"/>
      <c r="C691" s="817"/>
      <c r="D691" s="928"/>
      <c r="E691" s="816"/>
      <c r="F691" s="816"/>
      <c r="G691" s="816"/>
      <c r="H691" s="817"/>
      <c r="I691" s="817"/>
      <c r="J691" s="818"/>
      <c r="K691" s="816"/>
      <c r="L691" s="815"/>
      <c r="M691" s="816"/>
      <c r="N691" s="816"/>
      <c r="O691" s="816"/>
      <c r="P691" s="821"/>
      <c r="Q691" s="821"/>
    </row>
    <row r="692" ht="33.0" customHeight="1">
      <c r="A692" s="822"/>
      <c r="B692" s="927"/>
      <c r="C692" s="826"/>
      <c r="D692" s="928"/>
      <c r="E692" s="825"/>
      <c r="F692" s="825"/>
      <c r="G692" s="825"/>
      <c r="H692" s="826"/>
      <c r="I692" s="826"/>
      <c r="J692" s="827"/>
      <c r="K692" s="825"/>
      <c r="L692" s="824"/>
      <c r="M692" s="825"/>
      <c r="N692" s="825"/>
      <c r="O692" s="825"/>
      <c r="P692" s="830"/>
      <c r="Q692" s="830"/>
    </row>
    <row r="693" ht="33.0" customHeight="1">
      <c r="A693" s="811"/>
      <c r="B693" s="927"/>
      <c r="C693" s="817"/>
      <c r="D693" s="928"/>
      <c r="E693" s="816"/>
      <c r="F693" s="816"/>
      <c r="G693" s="816"/>
      <c r="H693" s="817"/>
      <c r="I693" s="817"/>
      <c r="J693" s="818"/>
      <c r="K693" s="816"/>
      <c r="L693" s="815"/>
      <c r="M693" s="816"/>
      <c r="N693" s="816"/>
      <c r="O693" s="816"/>
      <c r="P693" s="821"/>
      <c r="Q693" s="821"/>
    </row>
    <row r="694" ht="33.0" customHeight="1">
      <c r="A694" s="822"/>
      <c r="B694" s="927"/>
      <c r="C694" s="826"/>
      <c r="D694" s="928"/>
      <c r="E694" s="825"/>
      <c r="F694" s="825"/>
      <c r="G694" s="825"/>
      <c r="H694" s="826"/>
      <c r="I694" s="826"/>
      <c r="J694" s="827"/>
      <c r="K694" s="825"/>
      <c r="L694" s="824"/>
      <c r="M694" s="825"/>
      <c r="N694" s="825"/>
      <c r="O694" s="825"/>
      <c r="P694" s="830"/>
      <c r="Q694" s="830"/>
    </row>
    <row r="695" ht="33.0" customHeight="1">
      <c r="A695" s="811"/>
      <c r="B695" s="927"/>
      <c r="C695" s="817"/>
      <c r="D695" s="928"/>
      <c r="E695" s="816"/>
      <c r="F695" s="816"/>
      <c r="G695" s="816"/>
      <c r="H695" s="817"/>
      <c r="I695" s="817"/>
      <c r="J695" s="818"/>
      <c r="K695" s="816"/>
      <c r="L695" s="815"/>
      <c r="M695" s="816"/>
      <c r="N695" s="816"/>
      <c r="O695" s="816"/>
      <c r="P695" s="821"/>
      <c r="Q695" s="821"/>
    </row>
    <row r="696" ht="33.0" customHeight="1">
      <c r="A696" s="822"/>
      <c r="B696" s="927"/>
      <c r="C696" s="826"/>
      <c r="D696" s="928"/>
      <c r="E696" s="825"/>
      <c r="F696" s="825"/>
      <c r="G696" s="825"/>
      <c r="H696" s="826"/>
      <c r="I696" s="826"/>
      <c r="J696" s="827"/>
      <c r="K696" s="825"/>
      <c r="L696" s="824"/>
      <c r="M696" s="825"/>
      <c r="N696" s="825"/>
      <c r="O696" s="825"/>
      <c r="P696" s="830"/>
      <c r="Q696" s="830"/>
    </row>
    <row r="697" ht="33.0" customHeight="1">
      <c r="A697" s="811"/>
      <c r="B697" s="927"/>
      <c r="C697" s="817"/>
      <c r="D697" s="928"/>
      <c r="E697" s="816"/>
      <c r="F697" s="816"/>
      <c r="G697" s="816"/>
      <c r="H697" s="817"/>
      <c r="I697" s="817"/>
      <c r="J697" s="818"/>
      <c r="K697" s="816"/>
      <c r="L697" s="815"/>
      <c r="M697" s="816"/>
      <c r="N697" s="816"/>
      <c r="O697" s="816"/>
      <c r="P697" s="821"/>
      <c r="Q697" s="821"/>
    </row>
    <row r="698" ht="33.0" customHeight="1">
      <c r="A698" s="822"/>
      <c r="B698" s="927"/>
      <c r="C698" s="826"/>
      <c r="D698" s="928"/>
      <c r="E698" s="825"/>
      <c r="F698" s="825"/>
      <c r="G698" s="825"/>
      <c r="H698" s="826"/>
      <c r="I698" s="826"/>
      <c r="J698" s="827"/>
      <c r="K698" s="825"/>
      <c r="L698" s="824"/>
      <c r="M698" s="825"/>
      <c r="N698" s="825"/>
      <c r="O698" s="825"/>
      <c r="P698" s="830"/>
      <c r="Q698" s="830"/>
    </row>
    <row r="699" ht="33.0" customHeight="1">
      <c r="A699" s="811"/>
      <c r="B699" s="927"/>
      <c r="C699" s="817"/>
      <c r="D699" s="928"/>
      <c r="E699" s="816"/>
      <c r="F699" s="816"/>
      <c r="G699" s="816"/>
      <c r="H699" s="817"/>
      <c r="I699" s="817"/>
      <c r="J699" s="818"/>
      <c r="K699" s="816"/>
      <c r="L699" s="815"/>
      <c r="M699" s="816"/>
      <c r="N699" s="816"/>
      <c r="O699" s="816"/>
      <c r="P699" s="821"/>
      <c r="Q699" s="821"/>
    </row>
    <row r="700" ht="33.0" customHeight="1">
      <c r="A700" s="822"/>
      <c r="B700" s="927"/>
      <c r="C700" s="826"/>
      <c r="D700" s="928"/>
      <c r="E700" s="825"/>
      <c r="F700" s="825"/>
      <c r="G700" s="825"/>
      <c r="H700" s="826"/>
      <c r="I700" s="826"/>
      <c r="J700" s="827"/>
      <c r="K700" s="825"/>
      <c r="L700" s="824"/>
      <c r="M700" s="825"/>
      <c r="N700" s="825"/>
      <c r="O700" s="825"/>
      <c r="P700" s="830"/>
      <c r="Q700" s="830"/>
    </row>
    <row r="701" ht="33.0" customHeight="1">
      <c r="A701" s="811"/>
      <c r="B701" s="927"/>
      <c r="C701" s="817"/>
      <c r="D701" s="928"/>
      <c r="E701" s="816"/>
      <c r="F701" s="816"/>
      <c r="G701" s="816"/>
      <c r="H701" s="817"/>
      <c r="I701" s="817"/>
      <c r="J701" s="818"/>
      <c r="K701" s="816"/>
      <c r="L701" s="815"/>
      <c r="M701" s="816"/>
      <c r="N701" s="816"/>
      <c r="O701" s="816"/>
      <c r="P701" s="821"/>
      <c r="Q701" s="821"/>
    </row>
    <row r="702" ht="33.0" customHeight="1">
      <c r="A702" s="822"/>
      <c r="B702" s="927"/>
      <c r="C702" s="826"/>
      <c r="D702" s="928"/>
      <c r="E702" s="825"/>
      <c r="F702" s="825"/>
      <c r="G702" s="825"/>
      <c r="H702" s="826"/>
      <c r="I702" s="826"/>
      <c r="J702" s="827"/>
      <c r="K702" s="825"/>
      <c r="L702" s="824"/>
      <c r="M702" s="825"/>
      <c r="N702" s="825"/>
      <c r="O702" s="825"/>
      <c r="P702" s="830"/>
      <c r="Q702" s="830"/>
    </row>
    <row r="703" ht="33.0" customHeight="1">
      <c r="A703" s="811"/>
      <c r="B703" s="927"/>
      <c r="C703" s="817"/>
      <c r="D703" s="928"/>
      <c r="E703" s="816"/>
      <c r="F703" s="816"/>
      <c r="G703" s="816"/>
      <c r="H703" s="817"/>
      <c r="I703" s="817"/>
      <c r="J703" s="818"/>
      <c r="K703" s="816"/>
      <c r="L703" s="815"/>
      <c r="M703" s="816"/>
      <c r="N703" s="816"/>
      <c r="O703" s="816"/>
      <c r="P703" s="821"/>
      <c r="Q703" s="821"/>
    </row>
    <row r="704" ht="33.0" customHeight="1">
      <c r="A704" s="822"/>
      <c r="B704" s="927"/>
      <c r="C704" s="826"/>
      <c r="D704" s="928"/>
      <c r="E704" s="825"/>
      <c r="F704" s="825"/>
      <c r="G704" s="825"/>
      <c r="H704" s="826"/>
      <c r="I704" s="826"/>
      <c r="J704" s="827"/>
      <c r="K704" s="825"/>
      <c r="L704" s="824"/>
      <c r="M704" s="825"/>
      <c r="N704" s="825"/>
      <c r="O704" s="825"/>
      <c r="P704" s="830"/>
      <c r="Q704" s="830"/>
    </row>
    <row r="705" ht="33.0" customHeight="1">
      <c r="A705" s="811"/>
      <c r="B705" s="927"/>
      <c r="C705" s="817"/>
      <c r="D705" s="928"/>
      <c r="E705" s="816"/>
      <c r="F705" s="816"/>
      <c r="G705" s="816"/>
      <c r="H705" s="817"/>
      <c r="I705" s="817"/>
      <c r="J705" s="818"/>
      <c r="K705" s="816"/>
      <c r="L705" s="815"/>
      <c r="M705" s="816"/>
      <c r="N705" s="816"/>
      <c r="O705" s="816"/>
      <c r="P705" s="821"/>
      <c r="Q705" s="821"/>
    </row>
    <row r="706" ht="33.0" customHeight="1">
      <c r="A706" s="822"/>
      <c r="B706" s="927"/>
      <c r="C706" s="826"/>
      <c r="D706" s="928"/>
      <c r="E706" s="825"/>
      <c r="F706" s="825"/>
      <c r="G706" s="825"/>
      <c r="H706" s="826"/>
      <c r="I706" s="826"/>
      <c r="J706" s="827"/>
      <c r="K706" s="825"/>
      <c r="L706" s="824"/>
      <c r="M706" s="825"/>
      <c r="N706" s="825"/>
      <c r="O706" s="825"/>
      <c r="P706" s="830"/>
      <c r="Q706" s="830"/>
    </row>
    <row r="707" ht="33.0" customHeight="1">
      <c r="A707" s="811"/>
      <c r="B707" s="927"/>
      <c r="C707" s="817"/>
      <c r="D707" s="928"/>
      <c r="E707" s="816"/>
      <c r="F707" s="816"/>
      <c r="G707" s="816"/>
      <c r="H707" s="817"/>
      <c r="I707" s="817"/>
      <c r="J707" s="818"/>
      <c r="K707" s="816"/>
      <c r="L707" s="815"/>
      <c r="M707" s="816"/>
      <c r="N707" s="816"/>
      <c r="O707" s="816"/>
      <c r="P707" s="821"/>
      <c r="Q707" s="821"/>
    </row>
    <row r="708" ht="33.0" customHeight="1">
      <c r="A708" s="822"/>
      <c r="B708" s="927"/>
      <c r="C708" s="826"/>
      <c r="D708" s="928"/>
      <c r="E708" s="825"/>
      <c r="F708" s="825"/>
      <c r="G708" s="825"/>
      <c r="H708" s="826"/>
      <c r="I708" s="826"/>
      <c r="J708" s="827"/>
      <c r="K708" s="825"/>
      <c r="L708" s="824"/>
      <c r="M708" s="825"/>
      <c r="N708" s="825"/>
      <c r="O708" s="825"/>
      <c r="P708" s="830"/>
      <c r="Q708" s="830"/>
    </row>
    <row r="709" ht="33.0" customHeight="1">
      <c r="A709" s="811"/>
      <c r="B709" s="927"/>
      <c r="C709" s="817"/>
      <c r="D709" s="928"/>
      <c r="E709" s="816"/>
      <c r="F709" s="816"/>
      <c r="G709" s="816"/>
      <c r="H709" s="817"/>
      <c r="I709" s="817"/>
      <c r="J709" s="818"/>
      <c r="K709" s="816"/>
      <c r="L709" s="815"/>
      <c r="M709" s="816"/>
      <c r="N709" s="816"/>
      <c r="O709" s="816"/>
      <c r="P709" s="821"/>
      <c r="Q709" s="821"/>
    </row>
    <row r="710" ht="33.0" customHeight="1">
      <c r="A710" s="822"/>
      <c r="B710" s="927"/>
      <c r="C710" s="826"/>
      <c r="D710" s="928"/>
      <c r="E710" s="825"/>
      <c r="F710" s="825"/>
      <c r="G710" s="825"/>
      <c r="H710" s="826"/>
      <c r="I710" s="826"/>
      <c r="J710" s="827"/>
      <c r="K710" s="825"/>
      <c r="L710" s="824"/>
      <c r="M710" s="825"/>
      <c r="N710" s="825"/>
      <c r="O710" s="825"/>
      <c r="P710" s="830"/>
      <c r="Q710" s="830"/>
    </row>
    <row r="711" ht="33.0" customHeight="1">
      <c r="A711" s="811"/>
      <c r="B711" s="927"/>
      <c r="C711" s="817"/>
      <c r="D711" s="928"/>
      <c r="E711" s="816"/>
      <c r="F711" s="816"/>
      <c r="G711" s="816"/>
      <c r="H711" s="817"/>
      <c r="I711" s="817"/>
      <c r="J711" s="818"/>
      <c r="K711" s="816"/>
      <c r="L711" s="815"/>
      <c r="M711" s="816"/>
      <c r="N711" s="816"/>
      <c r="O711" s="816"/>
      <c r="P711" s="821"/>
      <c r="Q711" s="821"/>
    </row>
    <row r="712" ht="33.0" customHeight="1">
      <c r="A712" s="822"/>
      <c r="B712" s="927"/>
      <c r="C712" s="826"/>
      <c r="D712" s="928"/>
      <c r="E712" s="825"/>
      <c r="F712" s="825"/>
      <c r="G712" s="825"/>
      <c r="H712" s="826"/>
      <c r="I712" s="826"/>
      <c r="J712" s="827"/>
      <c r="K712" s="825"/>
      <c r="L712" s="824"/>
      <c r="M712" s="825"/>
      <c r="N712" s="825"/>
      <c r="O712" s="825"/>
      <c r="P712" s="830"/>
      <c r="Q712" s="830"/>
    </row>
    <row r="713" ht="33.0" customHeight="1">
      <c r="A713" s="811"/>
      <c r="B713" s="927"/>
      <c r="C713" s="817"/>
      <c r="D713" s="928"/>
      <c r="E713" s="816"/>
      <c r="F713" s="816"/>
      <c r="G713" s="816"/>
      <c r="H713" s="817"/>
      <c r="I713" s="817"/>
      <c r="J713" s="818"/>
      <c r="K713" s="816"/>
      <c r="L713" s="815"/>
      <c r="M713" s="816"/>
      <c r="N713" s="816"/>
      <c r="O713" s="816"/>
      <c r="P713" s="821"/>
      <c r="Q713" s="821"/>
    </row>
    <row r="714" ht="33.0" customHeight="1">
      <c r="A714" s="822"/>
      <c r="B714" s="927"/>
      <c r="C714" s="826"/>
      <c r="D714" s="928"/>
      <c r="E714" s="825"/>
      <c r="F714" s="825"/>
      <c r="G714" s="825"/>
      <c r="H714" s="826"/>
      <c r="I714" s="826"/>
      <c r="J714" s="827"/>
      <c r="K714" s="825"/>
      <c r="L714" s="824"/>
      <c r="M714" s="825"/>
      <c r="N714" s="825"/>
      <c r="O714" s="825"/>
      <c r="P714" s="830"/>
      <c r="Q714" s="830"/>
    </row>
    <row r="715" ht="33.0" customHeight="1">
      <c r="A715" s="811"/>
      <c r="B715" s="927"/>
      <c r="C715" s="817"/>
      <c r="D715" s="928"/>
      <c r="E715" s="816"/>
      <c r="F715" s="816"/>
      <c r="G715" s="816"/>
      <c r="H715" s="817"/>
      <c r="I715" s="817"/>
      <c r="J715" s="818"/>
      <c r="K715" s="816"/>
      <c r="L715" s="815"/>
      <c r="M715" s="816"/>
      <c r="N715" s="816"/>
      <c r="O715" s="816"/>
      <c r="P715" s="821"/>
      <c r="Q715" s="821"/>
    </row>
    <row r="716" ht="33.0" customHeight="1">
      <c r="A716" s="822"/>
      <c r="B716" s="927"/>
      <c r="C716" s="826"/>
      <c r="D716" s="928"/>
      <c r="E716" s="825"/>
      <c r="F716" s="825"/>
      <c r="G716" s="825"/>
      <c r="H716" s="826"/>
      <c r="I716" s="826"/>
      <c r="J716" s="827"/>
      <c r="K716" s="825"/>
      <c r="L716" s="824"/>
      <c r="M716" s="825"/>
      <c r="N716" s="825"/>
      <c r="O716" s="825"/>
      <c r="P716" s="830"/>
      <c r="Q716" s="830"/>
    </row>
    <row r="717" ht="33.0" customHeight="1">
      <c r="A717" s="811"/>
      <c r="B717" s="927"/>
      <c r="C717" s="817"/>
      <c r="D717" s="928"/>
      <c r="E717" s="816"/>
      <c r="F717" s="816"/>
      <c r="G717" s="816"/>
      <c r="H717" s="817"/>
      <c r="I717" s="817"/>
      <c r="J717" s="818"/>
      <c r="K717" s="816"/>
      <c r="L717" s="815"/>
      <c r="M717" s="816"/>
      <c r="N717" s="816"/>
      <c r="O717" s="816"/>
      <c r="P717" s="821"/>
      <c r="Q717" s="821"/>
    </row>
    <row r="718" ht="33.0" customHeight="1">
      <c r="A718" s="822"/>
      <c r="B718" s="927"/>
      <c r="C718" s="826"/>
      <c r="D718" s="928"/>
      <c r="E718" s="825"/>
      <c r="F718" s="825"/>
      <c r="G718" s="825"/>
      <c r="H718" s="826"/>
      <c r="I718" s="826"/>
      <c r="J718" s="827"/>
      <c r="K718" s="825"/>
      <c r="L718" s="824"/>
      <c r="M718" s="825"/>
      <c r="N718" s="825"/>
      <c r="O718" s="825"/>
      <c r="P718" s="830"/>
      <c r="Q718" s="830"/>
    </row>
    <row r="719" ht="33.0" customHeight="1">
      <c r="A719" s="811"/>
      <c r="B719" s="927"/>
      <c r="C719" s="817"/>
      <c r="D719" s="928"/>
      <c r="E719" s="816"/>
      <c r="F719" s="816"/>
      <c r="G719" s="816"/>
      <c r="H719" s="817"/>
      <c r="I719" s="817"/>
      <c r="J719" s="818"/>
      <c r="K719" s="816"/>
      <c r="L719" s="815"/>
      <c r="M719" s="816"/>
      <c r="N719" s="816"/>
      <c r="O719" s="816"/>
      <c r="P719" s="821"/>
      <c r="Q719" s="821"/>
    </row>
    <row r="720" ht="33.0" customHeight="1">
      <c r="A720" s="822"/>
      <c r="B720" s="927"/>
      <c r="C720" s="826"/>
      <c r="D720" s="928"/>
      <c r="E720" s="825"/>
      <c r="F720" s="825"/>
      <c r="G720" s="825"/>
      <c r="H720" s="826"/>
      <c r="I720" s="826"/>
      <c r="J720" s="827"/>
      <c r="K720" s="825"/>
      <c r="L720" s="824"/>
      <c r="M720" s="825"/>
      <c r="N720" s="825"/>
      <c r="O720" s="825"/>
      <c r="P720" s="830"/>
      <c r="Q720" s="830"/>
    </row>
    <row r="721" ht="33.0" customHeight="1">
      <c r="A721" s="811"/>
      <c r="B721" s="927"/>
      <c r="C721" s="817"/>
      <c r="D721" s="928"/>
      <c r="E721" s="816"/>
      <c r="F721" s="816"/>
      <c r="G721" s="816"/>
      <c r="H721" s="817"/>
      <c r="I721" s="817"/>
      <c r="J721" s="818"/>
      <c r="K721" s="816"/>
      <c r="L721" s="815"/>
      <c r="M721" s="816"/>
      <c r="N721" s="816"/>
      <c r="O721" s="816"/>
      <c r="P721" s="821"/>
      <c r="Q721" s="821"/>
    </row>
    <row r="722" ht="33.0" customHeight="1">
      <c r="A722" s="822"/>
      <c r="B722" s="927"/>
      <c r="C722" s="826"/>
      <c r="D722" s="928"/>
      <c r="E722" s="825"/>
      <c r="F722" s="825"/>
      <c r="G722" s="825"/>
      <c r="H722" s="826"/>
      <c r="I722" s="826"/>
      <c r="J722" s="827"/>
      <c r="K722" s="825"/>
      <c r="L722" s="824"/>
      <c r="M722" s="825"/>
      <c r="N722" s="825"/>
      <c r="O722" s="825"/>
      <c r="P722" s="830"/>
      <c r="Q722" s="830"/>
    </row>
    <row r="723" ht="33.0" customHeight="1">
      <c r="A723" s="811"/>
      <c r="B723" s="927"/>
      <c r="C723" s="817"/>
      <c r="D723" s="928"/>
      <c r="E723" s="816"/>
      <c r="F723" s="816"/>
      <c r="G723" s="816"/>
      <c r="H723" s="817"/>
      <c r="I723" s="817"/>
      <c r="J723" s="818"/>
      <c r="K723" s="816"/>
      <c r="L723" s="815"/>
      <c r="M723" s="816"/>
      <c r="N723" s="816"/>
      <c r="O723" s="816"/>
      <c r="P723" s="821"/>
      <c r="Q723" s="821"/>
    </row>
    <row r="724" ht="33.0" customHeight="1">
      <c r="A724" s="822"/>
      <c r="B724" s="927"/>
      <c r="C724" s="826"/>
      <c r="D724" s="928"/>
      <c r="E724" s="825"/>
      <c r="F724" s="825"/>
      <c r="G724" s="825"/>
      <c r="H724" s="826"/>
      <c r="I724" s="826"/>
      <c r="J724" s="827"/>
      <c r="K724" s="825"/>
      <c r="L724" s="824"/>
      <c r="M724" s="825"/>
      <c r="N724" s="825"/>
      <c r="O724" s="825"/>
      <c r="P724" s="830"/>
      <c r="Q724" s="830"/>
    </row>
    <row r="725" ht="33.0" customHeight="1">
      <c r="A725" s="811"/>
      <c r="B725" s="927"/>
      <c r="C725" s="817"/>
      <c r="D725" s="928"/>
      <c r="E725" s="816"/>
      <c r="F725" s="816"/>
      <c r="G725" s="816"/>
      <c r="H725" s="817"/>
      <c r="I725" s="817"/>
      <c r="J725" s="818"/>
      <c r="K725" s="816"/>
      <c r="L725" s="815"/>
      <c r="M725" s="816"/>
      <c r="N725" s="816"/>
      <c r="O725" s="816"/>
      <c r="P725" s="821"/>
      <c r="Q725" s="821"/>
    </row>
    <row r="726" ht="33.0" customHeight="1">
      <c r="A726" s="822"/>
      <c r="B726" s="927"/>
      <c r="C726" s="826"/>
      <c r="D726" s="928"/>
      <c r="E726" s="825"/>
      <c r="F726" s="825"/>
      <c r="G726" s="825"/>
      <c r="H726" s="826"/>
      <c r="I726" s="826"/>
      <c r="J726" s="827"/>
      <c r="K726" s="825"/>
      <c r="L726" s="824"/>
      <c r="M726" s="825"/>
      <c r="N726" s="825"/>
      <c r="O726" s="825"/>
      <c r="P726" s="830"/>
      <c r="Q726" s="830"/>
    </row>
    <row r="727" ht="33.0" customHeight="1">
      <c r="A727" s="811"/>
      <c r="B727" s="927"/>
      <c r="C727" s="817"/>
      <c r="D727" s="928"/>
      <c r="E727" s="816"/>
      <c r="F727" s="816"/>
      <c r="G727" s="816"/>
      <c r="H727" s="817"/>
      <c r="I727" s="817"/>
      <c r="J727" s="818"/>
      <c r="K727" s="816"/>
      <c r="L727" s="815"/>
      <c r="M727" s="816"/>
      <c r="N727" s="816"/>
      <c r="O727" s="816"/>
      <c r="P727" s="821"/>
      <c r="Q727" s="821"/>
    </row>
    <row r="728" ht="33.0" customHeight="1">
      <c r="A728" s="822"/>
      <c r="B728" s="927"/>
      <c r="C728" s="826"/>
      <c r="D728" s="928"/>
      <c r="E728" s="825"/>
      <c r="F728" s="825"/>
      <c r="G728" s="825"/>
      <c r="H728" s="826"/>
      <c r="I728" s="826"/>
      <c r="J728" s="827"/>
      <c r="K728" s="825"/>
      <c r="L728" s="824"/>
      <c r="M728" s="825"/>
      <c r="N728" s="825"/>
      <c r="O728" s="825"/>
      <c r="P728" s="830"/>
      <c r="Q728" s="830"/>
    </row>
    <row r="729" ht="33.0" customHeight="1">
      <c r="A729" s="811"/>
      <c r="B729" s="927"/>
      <c r="C729" s="817"/>
      <c r="D729" s="928"/>
      <c r="E729" s="816"/>
      <c r="F729" s="816"/>
      <c r="G729" s="816"/>
      <c r="H729" s="817"/>
      <c r="I729" s="817"/>
      <c r="J729" s="818"/>
      <c r="K729" s="816"/>
      <c r="L729" s="815"/>
      <c r="M729" s="816"/>
      <c r="N729" s="816"/>
      <c r="O729" s="816"/>
      <c r="P729" s="821"/>
      <c r="Q729" s="821"/>
    </row>
    <row r="730" ht="33.0" customHeight="1">
      <c r="A730" s="822"/>
      <c r="B730" s="927"/>
      <c r="C730" s="826"/>
      <c r="D730" s="928"/>
      <c r="E730" s="825"/>
      <c r="F730" s="825"/>
      <c r="G730" s="825"/>
      <c r="H730" s="826"/>
      <c r="I730" s="826"/>
      <c r="J730" s="827"/>
      <c r="K730" s="825"/>
      <c r="L730" s="824"/>
      <c r="M730" s="825"/>
      <c r="N730" s="825"/>
      <c r="O730" s="825"/>
      <c r="P730" s="830"/>
      <c r="Q730" s="830"/>
    </row>
    <row r="731" ht="33.0" customHeight="1">
      <c r="A731" s="811"/>
      <c r="B731" s="927"/>
      <c r="C731" s="817"/>
      <c r="D731" s="928"/>
      <c r="E731" s="816"/>
      <c r="F731" s="816"/>
      <c r="G731" s="816"/>
      <c r="H731" s="817"/>
      <c r="I731" s="817"/>
      <c r="J731" s="818"/>
      <c r="K731" s="816"/>
      <c r="L731" s="815"/>
      <c r="M731" s="816"/>
      <c r="N731" s="816"/>
      <c r="O731" s="816"/>
      <c r="P731" s="821"/>
      <c r="Q731" s="821"/>
    </row>
    <row r="732" ht="33.0" customHeight="1">
      <c r="A732" s="822"/>
      <c r="B732" s="927"/>
      <c r="C732" s="826"/>
      <c r="D732" s="928"/>
      <c r="E732" s="825"/>
      <c r="F732" s="825"/>
      <c r="G732" s="825"/>
      <c r="H732" s="826"/>
      <c r="I732" s="826"/>
      <c r="J732" s="827"/>
      <c r="K732" s="825"/>
      <c r="L732" s="824"/>
      <c r="M732" s="825"/>
      <c r="N732" s="825"/>
      <c r="O732" s="825"/>
      <c r="P732" s="830"/>
      <c r="Q732" s="830"/>
    </row>
    <row r="733" ht="33.0" customHeight="1">
      <c r="A733" s="811"/>
      <c r="B733" s="927"/>
      <c r="C733" s="817"/>
      <c r="D733" s="928"/>
      <c r="E733" s="816"/>
      <c r="F733" s="816"/>
      <c r="G733" s="816"/>
      <c r="H733" s="817"/>
      <c r="I733" s="817"/>
      <c r="J733" s="818"/>
      <c r="K733" s="816"/>
      <c r="L733" s="815"/>
      <c r="M733" s="816"/>
      <c r="N733" s="816"/>
      <c r="O733" s="816"/>
      <c r="P733" s="821"/>
      <c r="Q733" s="821"/>
    </row>
    <row r="734" ht="33.0" customHeight="1">
      <c r="A734" s="822"/>
      <c r="B734" s="927"/>
      <c r="C734" s="826"/>
      <c r="D734" s="928"/>
      <c r="E734" s="825"/>
      <c r="F734" s="825"/>
      <c r="G734" s="825"/>
      <c r="H734" s="826"/>
      <c r="I734" s="826"/>
      <c r="J734" s="827"/>
      <c r="K734" s="825"/>
      <c r="L734" s="824"/>
      <c r="M734" s="825"/>
      <c r="N734" s="825"/>
      <c r="O734" s="825"/>
      <c r="P734" s="830"/>
      <c r="Q734" s="830"/>
    </row>
    <row r="735" ht="33.0" customHeight="1">
      <c r="A735" s="811"/>
      <c r="B735" s="927"/>
      <c r="C735" s="817"/>
      <c r="D735" s="928"/>
      <c r="E735" s="816"/>
      <c r="F735" s="816"/>
      <c r="G735" s="816"/>
      <c r="H735" s="817"/>
      <c r="I735" s="817"/>
      <c r="J735" s="818"/>
      <c r="K735" s="816"/>
      <c r="L735" s="815"/>
      <c r="M735" s="816"/>
      <c r="N735" s="816"/>
      <c r="O735" s="816"/>
      <c r="P735" s="821"/>
      <c r="Q735" s="821"/>
    </row>
    <row r="736" ht="33.0" customHeight="1">
      <c r="A736" s="822"/>
      <c r="B736" s="927"/>
      <c r="C736" s="826"/>
      <c r="D736" s="928"/>
      <c r="E736" s="825"/>
      <c r="F736" s="825"/>
      <c r="G736" s="825"/>
      <c r="H736" s="826"/>
      <c r="I736" s="826"/>
      <c r="J736" s="827"/>
      <c r="K736" s="825"/>
      <c r="L736" s="824"/>
      <c r="M736" s="825"/>
      <c r="N736" s="825"/>
      <c r="O736" s="825"/>
      <c r="P736" s="830"/>
      <c r="Q736" s="830"/>
    </row>
    <row r="737" ht="33.0" customHeight="1">
      <c r="A737" s="811"/>
      <c r="B737" s="927"/>
      <c r="C737" s="817"/>
      <c r="D737" s="928"/>
      <c r="E737" s="816"/>
      <c r="F737" s="816"/>
      <c r="G737" s="816"/>
      <c r="H737" s="817"/>
      <c r="I737" s="817"/>
      <c r="J737" s="818"/>
      <c r="K737" s="816"/>
      <c r="L737" s="815"/>
      <c r="M737" s="816"/>
      <c r="N737" s="816"/>
      <c r="O737" s="816"/>
      <c r="P737" s="821"/>
      <c r="Q737" s="821"/>
    </row>
    <row r="738" ht="33.0" customHeight="1">
      <c r="A738" s="822"/>
      <c r="B738" s="927"/>
      <c r="C738" s="826"/>
      <c r="D738" s="928"/>
      <c r="E738" s="825"/>
      <c r="F738" s="825"/>
      <c r="G738" s="825"/>
      <c r="H738" s="826"/>
      <c r="I738" s="826"/>
      <c r="J738" s="827"/>
      <c r="K738" s="825"/>
      <c r="L738" s="824"/>
      <c r="M738" s="825"/>
      <c r="N738" s="825"/>
      <c r="O738" s="825"/>
      <c r="P738" s="830"/>
      <c r="Q738" s="830"/>
    </row>
    <row r="739" ht="33.0" customHeight="1">
      <c r="A739" s="811"/>
      <c r="B739" s="927"/>
      <c r="C739" s="817"/>
      <c r="D739" s="928"/>
      <c r="E739" s="816"/>
      <c r="F739" s="816"/>
      <c r="G739" s="816"/>
      <c r="H739" s="817"/>
      <c r="I739" s="817"/>
      <c r="J739" s="818"/>
      <c r="K739" s="816"/>
      <c r="L739" s="815"/>
      <c r="M739" s="816"/>
      <c r="N739" s="816"/>
      <c r="O739" s="816"/>
      <c r="P739" s="821"/>
      <c r="Q739" s="821"/>
    </row>
    <row r="740" ht="33.0" customHeight="1">
      <c r="A740" s="822"/>
      <c r="B740" s="927"/>
      <c r="C740" s="826"/>
      <c r="D740" s="928"/>
      <c r="E740" s="825"/>
      <c r="F740" s="825"/>
      <c r="G740" s="825"/>
      <c r="H740" s="826"/>
      <c r="I740" s="826"/>
      <c r="J740" s="827"/>
      <c r="K740" s="825"/>
      <c r="L740" s="824"/>
      <c r="M740" s="825"/>
      <c r="N740" s="825"/>
      <c r="O740" s="825"/>
      <c r="P740" s="830"/>
      <c r="Q740" s="830"/>
    </row>
    <row r="741" ht="33.0" customHeight="1">
      <c r="A741" s="811"/>
      <c r="B741" s="927"/>
      <c r="C741" s="817"/>
      <c r="D741" s="928"/>
      <c r="E741" s="816"/>
      <c r="F741" s="816"/>
      <c r="G741" s="816"/>
      <c r="H741" s="817"/>
      <c r="I741" s="817"/>
      <c r="J741" s="818"/>
      <c r="K741" s="816"/>
      <c r="L741" s="815"/>
      <c r="M741" s="816"/>
      <c r="N741" s="816"/>
      <c r="O741" s="816"/>
      <c r="P741" s="821"/>
      <c r="Q741" s="821"/>
    </row>
    <row r="742" ht="33.0" customHeight="1">
      <c r="A742" s="822"/>
      <c r="B742" s="927"/>
      <c r="C742" s="826"/>
      <c r="D742" s="928"/>
      <c r="E742" s="825"/>
      <c r="F742" s="825"/>
      <c r="G742" s="825"/>
      <c r="H742" s="826"/>
      <c r="I742" s="826"/>
      <c r="J742" s="827"/>
      <c r="K742" s="825"/>
      <c r="L742" s="824"/>
      <c r="M742" s="825"/>
      <c r="N742" s="825"/>
      <c r="O742" s="825"/>
      <c r="P742" s="830"/>
      <c r="Q742" s="830"/>
    </row>
    <row r="743" ht="33.0" customHeight="1">
      <c r="A743" s="811"/>
      <c r="B743" s="927"/>
      <c r="C743" s="817"/>
      <c r="D743" s="928"/>
      <c r="E743" s="816"/>
      <c r="F743" s="816"/>
      <c r="G743" s="816"/>
      <c r="H743" s="817"/>
      <c r="I743" s="817"/>
      <c r="J743" s="818"/>
      <c r="K743" s="816"/>
      <c r="L743" s="815"/>
      <c r="M743" s="816"/>
      <c r="N743" s="816"/>
      <c r="O743" s="816"/>
      <c r="P743" s="821"/>
      <c r="Q743" s="821"/>
    </row>
    <row r="744" ht="33.0" customHeight="1">
      <c r="A744" s="822"/>
      <c r="B744" s="927"/>
      <c r="C744" s="826"/>
      <c r="D744" s="928"/>
      <c r="E744" s="825"/>
      <c r="F744" s="825"/>
      <c r="G744" s="825"/>
      <c r="H744" s="826"/>
      <c r="I744" s="826"/>
      <c r="J744" s="827"/>
      <c r="K744" s="825"/>
      <c r="L744" s="824"/>
      <c r="M744" s="825"/>
      <c r="N744" s="825"/>
      <c r="O744" s="825"/>
      <c r="P744" s="830"/>
      <c r="Q744" s="830"/>
    </row>
    <row r="745" ht="33.0" customHeight="1">
      <c r="A745" s="811"/>
      <c r="B745" s="927"/>
      <c r="C745" s="817"/>
      <c r="D745" s="928"/>
      <c r="E745" s="816"/>
      <c r="F745" s="816"/>
      <c r="G745" s="816"/>
      <c r="H745" s="817"/>
      <c r="I745" s="817"/>
      <c r="J745" s="818"/>
      <c r="K745" s="816"/>
      <c r="L745" s="815"/>
      <c r="M745" s="816"/>
      <c r="N745" s="816"/>
      <c r="O745" s="816"/>
      <c r="P745" s="821"/>
      <c r="Q745" s="821"/>
    </row>
    <row r="746" ht="33.0" customHeight="1">
      <c r="A746" s="822"/>
      <c r="B746" s="927"/>
      <c r="C746" s="826"/>
      <c r="D746" s="928"/>
      <c r="E746" s="825"/>
      <c r="F746" s="825"/>
      <c r="G746" s="825"/>
      <c r="H746" s="826"/>
      <c r="I746" s="826"/>
      <c r="J746" s="827"/>
      <c r="K746" s="825"/>
      <c r="L746" s="824"/>
      <c r="M746" s="825"/>
      <c r="N746" s="825"/>
      <c r="O746" s="825"/>
      <c r="P746" s="830"/>
      <c r="Q746" s="830"/>
    </row>
    <row r="747" ht="33.0" customHeight="1">
      <c r="A747" s="811"/>
      <c r="B747" s="927"/>
      <c r="C747" s="817"/>
      <c r="D747" s="928"/>
      <c r="E747" s="816"/>
      <c r="F747" s="816"/>
      <c r="G747" s="816"/>
      <c r="H747" s="817"/>
      <c r="I747" s="817"/>
      <c r="J747" s="818"/>
      <c r="K747" s="816"/>
      <c r="L747" s="815"/>
      <c r="M747" s="816"/>
      <c r="N747" s="816"/>
      <c r="O747" s="816"/>
      <c r="P747" s="821"/>
      <c r="Q747" s="821"/>
    </row>
    <row r="748" ht="33.0" customHeight="1">
      <c r="A748" s="822"/>
      <c r="B748" s="927"/>
      <c r="C748" s="826"/>
      <c r="D748" s="928"/>
      <c r="E748" s="825"/>
      <c r="F748" s="825"/>
      <c r="G748" s="825"/>
      <c r="H748" s="826"/>
      <c r="I748" s="826"/>
      <c r="J748" s="827"/>
      <c r="K748" s="825"/>
      <c r="L748" s="824"/>
      <c r="M748" s="825"/>
      <c r="N748" s="825"/>
      <c r="O748" s="825"/>
      <c r="P748" s="830"/>
      <c r="Q748" s="830"/>
    </row>
    <row r="749" ht="33.0" customHeight="1">
      <c r="A749" s="811"/>
      <c r="B749" s="927"/>
      <c r="C749" s="817"/>
      <c r="D749" s="928"/>
      <c r="E749" s="816"/>
      <c r="F749" s="816"/>
      <c r="G749" s="816"/>
      <c r="H749" s="817"/>
      <c r="I749" s="817"/>
      <c r="J749" s="818"/>
      <c r="K749" s="816"/>
      <c r="L749" s="815"/>
      <c r="M749" s="816"/>
      <c r="N749" s="816"/>
      <c r="O749" s="816"/>
      <c r="P749" s="821"/>
      <c r="Q749" s="821"/>
    </row>
    <row r="750" ht="33.0" customHeight="1">
      <c r="A750" s="822"/>
      <c r="B750" s="927"/>
      <c r="C750" s="826"/>
      <c r="D750" s="928"/>
      <c r="E750" s="825"/>
      <c r="F750" s="825"/>
      <c r="G750" s="825"/>
      <c r="H750" s="826"/>
      <c r="I750" s="826"/>
      <c r="J750" s="827"/>
      <c r="K750" s="825"/>
      <c r="L750" s="824"/>
      <c r="M750" s="825"/>
      <c r="N750" s="825"/>
      <c r="O750" s="825"/>
      <c r="P750" s="830"/>
      <c r="Q750" s="830"/>
    </row>
    <row r="751" ht="33.0" customHeight="1">
      <c r="A751" s="811"/>
      <c r="B751" s="927"/>
      <c r="C751" s="817"/>
      <c r="D751" s="928"/>
      <c r="E751" s="816"/>
      <c r="F751" s="816"/>
      <c r="G751" s="816"/>
      <c r="H751" s="817"/>
      <c r="I751" s="817"/>
      <c r="J751" s="818"/>
      <c r="K751" s="816"/>
      <c r="L751" s="815"/>
      <c r="M751" s="816"/>
      <c r="N751" s="816"/>
      <c r="O751" s="816"/>
      <c r="P751" s="821"/>
      <c r="Q751" s="821"/>
    </row>
    <row r="752" ht="33.0" customHeight="1">
      <c r="A752" s="822"/>
      <c r="B752" s="927"/>
      <c r="C752" s="826"/>
      <c r="D752" s="928"/>
      <c r="E752" s="825"/>
      <c r="F752" s="825"/>
      <c r="G752" s="825"/>
      <c r="H752" s="826"/>
      <c r="I752" s="826"/>
      <c r="J752" s="827"/>
      <c r="K752" s="825"/>
      <c r="L752" s="824"/>
      <c r="M752" s="825"/>
      <c r="N752" s="825"/>
      <c r="O752" s="825"/>
      <c r="P752" s="830"/>
      <c r="Q752" s="830"/>
    </row>
    <row r="753" ht="33.0" customHeight="1">
      <c r="A753" s="811"/>
      <c r="B753" s="927"/>
      <c r="C753" s="817"/>
      <c r="D753" s="928"/>
      <c r="E753" s="816"/>
      <c r="F753" s="816"/>
      <c r="G753" s="816"/>
      <c r="H753" s="817"/>
      <c r="I753" s="817"/>
      <c r="J753" s="818"/>
      <c r="K753" s="816"/>
      <c r="L753" s="815"/>
      <c r="M753" s="816"/>
      <c r="N753" s="816"/>
      <c r="O753" s="816"/>
      <c r="P753" s="821"/>
      <c r="Q753" s="821"/>
    </row>
    <row r="754" ht="33.0" customHeight="1">
      <c r="A754" s="822"/>
      <c r="B754" s="927"/>
      <c r="C754" s="826"/>
      <c r="D754" s="928"/>
      <c r="E754" s="825"/>
      <c r="F754" s="825"/>
      <c r="G754" s="825"/>
      <c r="H754" s="826"/>
      <c r="I754" s="826"/>
      <c r="J754" s="827"/>
      <c r="K754" s="825"/>
      <c r="L754" s="824"/>
      <c r="M754" s="825"/>
      <c r="N754" s="825"/>
      <c r="O754" s="825"/>
      <c r="P754" s="830"/>
      <c r="Q754" s="830"/>
    </row>
    <row r="755" ht="33.0" customHeight="1">
      <c r="A755" s="811"/>
      <c r="B755" s="927"/>
      <c r="C755" s="817"/>
      <c r="D755" s="928"/>
      <c r="E755" s="816"/>
      <c r="F755" s="816"/>
      <c r="G755" s="816"/>
      <c r="H755" s="817"/>
      <c r="I755" s="817"/>
      <c r="J755" s="818"/>
      <c r="K755" s="816"/>
      <c r="L755" s="815"/>
      <c r="M755" s="816"/>
      <c r="N755" s="816"/>
      <c r="O755" s="816"/>
      <c r="P755" s="821"/>
      <c r="Q755" s="821"/>
    </row>
    <row r="756" ht="33.0" customHeight="1">
      <c r="A756" s="822"/>
      <c r="B756" s="927"/>
      <c r="C756" s="826"/>
      <c r="D756" s="928"/>
      <c r="E756" s="825"/>
      <c r="F756" s="825"/>
      <c r="G756" s="825"/>
      <c r="H756" s="826"/>
      <c r="I756" s="826"/>
      <c r="J756" s="827"/>
      <c r="K756" s="825"/>
      <c r="L756" s="824"/>
      <c r="M756" s="825"/>
      <c r="N756" s="825"/>
      <c r="O756" s="825"/>
      <c r="P756" s="830"/>
      <c r="Q756" s="830"/>
    </row>
    <row r="757" ht="33.0" customHeight="1">
      <c r="A757" s="811"/>
      <c r="B757" s="927"/>
      <c r="C757" s="817"/>
      <c r="D757" s="928"/>
      <c r="E757" s="816"/>
      <c r="F757" s="816"/>
      <c r="G757" s="816"/>
      <c r="H757" s="817"/>
      <c r="I757" s="817"/>
      <c r="J757" s="818"/>
      <c r="K757" s="816"/>
      <c r="L757" s="815"/>
      <c r="M757" s="816"/>
      <c r="N757" s="816"/>
      <c r="O757" s="816"/>
      <c r="P757" s="821"/>
      <c r="Q757" s="821"/>
    </row>
    <row r="758" ht="33.0" customHeight="1">
      <c r="A758" s="822"/>
      <c r="B758" s="927"/>
      <c r="C758" s="826"/>
      <c r="D758" s="928"/>
      <c r="E758" s="825"/>
      <c r="F758" s="825"/>
      <c r="G758" s="825"/>
      <c r="H758" s="826"/>
      <c r="I758" s="826"/>
      <c r="J758" s="827"/>
      <c r="K758" s="825"/>
      <c r="L758" s="824"/>
      <c r="M758" s="825"/>
      <c r="N758" s="825"/>
      <c r="O758" s="825"/>
      <c r="P758" s="830"/>
      <c r="Q758" s="830"/>
    </row>
    <row r="759" ht="33.0" customHeight="1">
      <c r="A759" s="811"/>
      <c r="B759" s="927"/>
      <c r="C759" s="817"/>
      <c r="D759" s="928"/>
      <c r="E759" s="816"/>
      <c r="F759" s="816"/>
      <c r="G759" s="816"/>
      <c r="H759" s="817"/>
      <c r="I759" s="817"/>
      <c r="J759" s="818"/>
      <c r="K759" s="816"/>
      <c r="L759" s="815"/>
      <c r="M759" s="816"/>
      <c r="N759" s="816"/>
      <c r="O759" s="816"/>
      <c r="P759" s="821"/>
      <c r="Q759" s="821"/>
    </row>
    <row r="760" ht="33.0" customHeight="1">
      <c r="A760" s="822"/>
      <c r="B760" s="927"/>
      <c r="C760" s="826"/>
      <c r="D760" s="928"/>
      <c r="E760" s="825"/>
      <c r="F760" s="825"/>
      <c r="G760" s="825"/>
      <c r="H760" s="826"/>
      <c r="I760" s="826"/>
      <c r="J760" s="827"/>
      <c r="K760" s="825"/>
      <c r="L760" s="824"/>
      <c r="M760" s="825"/>
      <c r="N760" s="825"/>
      <c r="O760" s="825"/>
      <c r="P760" s="830"/>
      <c r="Q760" s="830"/>
    </row>
    <row r="761" ht="33.0" customHeight="1">
      <c r="A761" s="811"/>
      <c r="B761" s="927"/>
      <c r="C761" s="817"/>
      <c r="D761" s="928"/>
      <c r="E761" s="816"/>
      <c r="F761" s="816"/>
      <c r="G761" s="816"/>
      <c r="H761" s="817"/>
      <c r="I761" s="817"/>
      <c r="J761" s="818"/>
      <c r="K761" s="816"/>
      <c r="L761" s="815"/>
      <c r="M761" s="816"/>
      <c r="N761" s="816"/>
      <c r="O761" s="816"/>
      <c r="P761" s="821"/>
      <c r="Q761" s="821"/>
    </row>
    <row r="762" ht="33.0" customHeight="1">
      <c r="A762" s="822"/>
      <c r="B762" s="927"/>
      <c r="C762" s="826"/>
      <c r="D762" s="928"/>
      <c r="E762" s="825"/>
      <c r="F762" s="825"/>
      <c r="G762" s="825"/>
      <c r="H762" s="826"/>
      <c r="I762" s="826"/>
      <c r="J762" s="827"/>
      <c r="K762" s="825"/>
      <c r="L762" s="824"/>
      <c r="M762" s="825"/>
      <c r="N762" s="825"/>
      <c r="O762" s="825"/>
      <c r="P762" s="830"/>
      <c r="Q762" s="830"/>
    </row>
    <row r="763" ht="33.0" customHeight="1">
      <c r="A763" s="811"/>
      <c r="B763" s="927"/>
      <c r="C763" s="817"/>
      <c r="D763" s="928"/>
      <c r="E763" s="816"/>
      <c r="F763" s="816"/>
      <c r="G763" s="816"/>
      <c r="H763" s="817"/>
      <c r="I763" s="817"/>
      <c r="J763" s="818"/>
      <c r="K763" s="816"/>
      <c r="L763" s="815"/>
      <c r="M763" s="816"/>
      <c r="N763" s="816"/>
      <c r="O763" s="816"/>
      <c r="P763" s="821"/>
      <c r="Q763" s="821"/>
    </row>
    <row r="764" ht="33.0" customHeight="1">
      <c r="A764" s="822"/>
      <c r="B764" s="927"/>
      <c r="C764" s="826"/>
      <c r="D764" s="928"/>
      <c r="E764" s="825"/>
      <c r="F764" s="825"/>
      <c r="G764" s="825"/>
      <c r="H764" s="826"/>
      <c r="I764" s="826"/>
      <c r="J764" s="827"/>
      <c r="K764" s="825"/>
      <c r="L764" s="824"/>
      <c r="M764" s="825"/>
      <c r="N764" s="825"/>
      <c r="O764" s="825"/>
      <c r="P764" s="830"/>
      <c r="Q764" s="830"/>
    </row>
    <row r="765" ht="33.0" customHeight="1">
      <c r="A765" s="811"/>
      <c r="B765" s="927"/>
      <c r="C765" s="817"/>
      <c r="D765" s="928"/>
      <c r="E765" s="816"/>
      <c r="F765" s="816"/>
      <c r="G765" s="816"/>
      <c r="H765" s="817"/>
      <c r="I765" s="817"/>
      <c r="J765" s="818"/>
      <c r="K765" s="816"/>
      <c r="L765" s="815"/>
      <c r="M765" s="816"/>
      <c r="N765" s="816"/>
      <c r="O765" s="816"/>
      <c r="P765" s="821"/>
      <c r="Q765" s="821"/>
    </row>
    <row r="766" ht="33.0" customHeight="1">
      <c r="A766" s="822"/>
      <c r="B766" s="927"/>
      <c r="C766" s="826"/>
      <c r="D766" s="928"/>
      <c r="E766" s="825"/>
      <c r="F766" s="825"/>
      <c r="G766" s="825"/>
      <c r="H766" s="826"/>
      <c r="I766" s="826"/>
      <c r="J766" s="827"/>
      <c r="K766" s="825"/>
      <c r="L766" s="824"/>
      <c r="M766" s="825"/>
      <c r="N766" s="825"/>
      <c r="O766" s="825"/>
      <c r="P766" s="830"/>
      <c r="Q766" s="830"/>
    </row>
    <row r="767" ht="33.0" customHeight="1">
      <c r="A767" s="811"/>
      <c r="B767" s="927"/>
      <c r="C767" s="817"/>
      <c r="D767" s="928"/>
      <c r="E767" s="816"/>
      <c r="F767" s="816"/>
      <c r="G767" s="816"/>
      <c r="H767" s="817"/>
      <c r="I767" s="817"/>
      <c r="J767" s="818"/>
      <c r="K767" s="816"/>
      <c r="L767" s="815"/>
      <c r="M767" s="816"/>
      <c r="N767" s="816"/>
      <c r="O767" s="816"/>
      <c r="P767" s="821"/>
      <c r="Q767" s="821"/>
    </row>
    <row r="768" ht="33.0" customHeight="1">
      <c r="A768" s="822"/>
      <c r="B768" s="927"/>
      <c r="C768" s="826"/>
      <c r="D768" s="928"/>
      <c r="E768" s="825"/>
      <c r="F768" s="825"/>
      <c r="G768" s="825"/>
      <c r="H768" s="826"/>
      <c r="I768" s="826"/>
      <c r="J768" s="827"/>
      <c r="K768" s="825"/>
      <c r="L768" s="824"/>
      <c r="M768" s="825"/>
      <c r="N768" s="825"/>
      <c r="O768" s="825"/>
      <c r="P768" s="830"/>
      <c r="Q768" s="830"/>
    </row>
    <row r="769" ht="33.0" customHeight="1">
      <c r="A769" s="811"/>
      <c r="B769" s="927"/>
      <c r="C769" s="817"/>
      <c r="D769" s="928"/>
      <c r="E769" s="816"/>
      <c r="F769" s="816"/>
      <c r="G769" s="816"/>
      <c r="H769" s="817"/>
      <c r="I769" s="817"/>
      <c r="J769" s="818"/>
      <c r="K769" s="816"/>
      <c r="L769" s="815"/>
      <c r="M769" s="816"/>
      <c r="N769" s="816"/>
      <c r="O769" s="816"/>
      <c r="P769" s="821"/>
      <c r="Q769" s="821"/>
    </row>
    <row r="770" ht="33.0" customHeight="1">
      <c r="A770" s="822"/>
      <c r="B770" s="927"/>
      <c r="C770" s="826"/>
      <c r="D770" s="928"/>
      <c r="E770" s="825"/>
      <c r="F770" s="825"/>
      <c r="G770" s="825"/>
      <c r="H770" s="826"/>
      <c r="I770" s="826"/>
      <c r="J770" s="827"/>
      <c r="K770" s="825"/>
      <c r="L770" s="824"/>
      <c r="M770" s="825"/>
      <c r="N770" s="825"/>
      <c r="O770" s="825"/>
      <c r="P770" s="830"/>
      <c r="Q770" s="830"/>
    </row>
    <row r="771" ht="33.0" customHeight="1">
      <c r="A771" s="811"/>
      <c r="B771" s="927"/>
      <c r="C771" s="817"/>
      <c r="D771" s="928"/>
      <c r="E771" s="816"/>
      <c r="F771" s="816"/>
      <c r="G771" s="816"/>
      <c r="H771" s="817"/>
      <c r="I771" s="817"/>
      <c r="J771" s="818"/>
      <c r="K771" s="816"/>
      <c r="L771" s="815"/>
      <c r="M771" s="816"/>
      <c r="N771" s="816"/>
      <c r="O771" s="816"/>
      <c r="P771" s="821"/>
      <c r="Q771" s="821"/>
    </row>
    <row r="772" ht="33.0" customHeight="1">
      <c r="A772" s="822"/>
      <c r="B772" s="927"/>
      <c r="C772" s="826"/>
      <c r="D772" s="928"/>
      <c r="E772" s="825"/>
      <c r="F772" s="825"/>
      <c r="G772" s="825"/>
      <c r="H772" s="826"/>
      <c r="I772" s="826"/>
      <c r="J772" s="827"/>
      <c r="K772" s="825"/>
      <c r="L772" s="824"/>
      <c r="M772" s="825"/>
      <c r="N772" s="825"/>
      <c r="O772" s="825"/>
      <c r="P772" s="830"/>
      <c r="Q772" s="830"/>
    </row>
    <row r="773" ht="33.0" customHeight="1">
      <c r="A773" s="811"/>
      <c r="B773" s="927"/>
      <c r="C773" s="817"/>
      <c r="D773" s="928"/>
      <c r="E773" s="816"/>
      <c r="F773" s="816"/>
      <c r="G773" s="816"/>
      <c r="H773" s="817"/>
      <c r="I773" s="817"/>
      <c r="J773" s="818"/>
      <c r="K773" s="816"/>
      <c r="L773" s="815"/>
      <c r="M773" s="816"/>
      <c r="N773" s="816"/>
      <c r="O773" s="816"/>
      <c r="P773" s="821"/>
      <c r="Q773" s="821"/>
    </row>
    <row r="774" ht="33.0" customHeight="1">
      <c r="A774" s="822"/>
      <c r="B774" s="927"/>
      <c r="C774" s="826"/>
      <c r="D774" s="928"/>
      <c r="E774" s="825"/>
      <c r="F774" s="825"/>
      <c r="G774" s="825"/>
      <c r="H774" s="826"/>
      <c r="I774" s="826"/>
      <c r="J774" s="827"/>
      <c r="K774" s="825"/>
      <c r="L774" s="824"/>
      <c r="M774" s="825"/>
      <c r="N774" s="825"/>
      <c r="O774" s="825"/>
      <c r="P774" s="830"/>
      <c r="Q774" s="830"/>
    </row>
    <row r="775" ht="33.0" customHeight="1">
      <c r="A775" s="811"/>
      <c r="B775" s="927"/>
      <c r="C775" s="817"/>
      <c r="D775" s="928"/>
      <c r="E775" s="816"/>
      <c r="F775" s="816"/>
      <c r="G775" s="816"/>
      <c r="H775" s="817"/>
      <c r="I775" s="817"/>
      <c r="J775" s="818"/>
      <c r="K775" s="816"/>
      <c r="L775" s="815"/>
      <c r="M775" s="816"/>
      <c r="N775" s="816"/>
      <c r="O775" s="816"/>
      <c r="P775" s="821"/>
      <c r="Q775" s="821"/>
    </row>
    <row r="776" ht="33.0" customHeight="1">
      <c r="A776" s="822"/>
      <c r="B776" s="927"/>
      <c r="C776" s="826"/>
      <c r="D776" s="928"/>
      <c r="E776" s="825"/>
      <c r="F776" s="825"/>
      <c r="G776" s="825"/>
      <c r="H776" s="826"/>
      <c r="I776" s="826"/>
      <c r="J776" s="827"/>
      <c r="K776" s="825"/>
      <c r="L776" s="824"/>
      <c r="M776" s="825"/>
      <c r="N776" s="825"/>
      <c r="O776" s="825"/>
      <c r="P776" s="830"/>
      <c r="Q776" s="830"/>
    </row>
    <row r="777" ht="33.0" customHeight="1">
      <c r="A777" s="811"/>
      <c r="B777" s="927"/>
      <c r="C777" s="817"/>
      <c r="D777" s="928"/>
      <c r="E777" s="816"/>
      <c r="F777" s="816"/>
      <c r="G777" s="816"/>
      <c r="H777" s="817"/>
      <c r="I777" s="817"/>
      <c r="J777" s="818"/>
      <c r="K777" s="816"/>
      <c r="L777" s="815"/>
      <c r="M777" s="816"/>
      <c r="N777" s="816"/>
      <c r="O777" s="816"/>
      <c r="P777" s="821"/>
      <c r="Q777" s="821"/>
    </row>
    <row r="778" ht="33.0" customHeight="1">
      <c r="A778" s="822"/>
      <c r="B778" s="927"/>
      <c r="C778" s="826"/>
      <c r="D778" s="928"/>
      <c r="E778" s="825"/>
      <c r="F778" s="825"/>
      <c r="G778" s="825"/>
      <c r="H778" s="826"/>
      <c r="I778" s="826"/>
      <c r="J778" s="827"/>
      <c r="K778" s="825"/>
      <c r="L778" s="824"/>
      <c r="M778" s="825"/>
      <c r="N778" s="825"/>
      <c r="O778" s="825"/>
      <c r="P778" s="830"/>
      <c r="Q778" s="830"/>
    </row>
    <row r="779" ht="33.0" customHeight="1">
      <c r="A779" s="811"/>
      <c r="B779" s="927"/>
      <c r="C779" s="817"/>
      <c r="D779" s="928"/>
      <c r="E779" s="816"/>
      <c r="F779" s="816"/>
      <c r="G779" s="816"/>
      <c r="H779" s="817"/>
      <c r="I779" s="817"/>
      <c r="J779" s="818"/>
      <c r="K779" s="816"/>
      <c r="L779" s="815"/>
      <c r="M779" s="816"/>
      <c r="N779" s="816"/>
      <c r="O779" s="816"/>
      <c r="P779" s="821"/>
      <c r="Q779" s="821"/>
    </row>
    <row r="780" ht="33.0" customHeight="1">
      <c r="A780" s="822"/>
      <c r="B780" s="927"/>
      <c r="C780" s="826"/>
      <c r="D780" s="928"/>
      <c r="E780" s="825"/>
      <c r="F780" s="825"/>
      <c r="G780" s="825"/>
      <c r="H780" s="826"/>
      <c r="I780" s="826"/>
      <c r="J780" s="827"/>
      <c r="K780" s="825"/>
      <c r="L780" s="824"/>
      <c r="M780" s="825"/>
      <c r="N780" s="825"/>
      <c r="O780" s="825"/>
      <c r="P780" s="830"/>
      <c r="Q780" s="830"/>
    </row>
    <row r="781" ht="33.0" customHeight="1">
      <c r="A781" s="811"/>
      <c r="B781" s="927"/>
      <c r="C781" s="817"/>
      <c r="D781" s="928"/>
      <c r="E781" s="816"/>
      <c r="F781" s="816"/>
      <c r="G781" s="816"/>
      <c r="H781" s="817"/>
      <c r="I781" s="817"/>
      <c r="J781" s="818"/>
      <c r="K781" s="816"/>
      <c r="L781" s="815"/>
      <c r="M781" s="816"/>
      <c r="N781" s="816"/>
      <c r="O781" s="816"/>
      <c r="P781" s="821"/>
      <c r="Q781" s="821"/>
    </row>
    <row r="782" ht="33.0" customHeight="1">
      <c r="A782" s="822"/>
      <c r="B782" s="927"/>
      <c r="C782" s="826"/>
      <c r="D782" s="928"/>
      <c r="E782" s="825"/>
      <c r="F782" s="825"/>
      <c r="G782" s="825"/>
      <c r="H782" s="826"/>
      <c r="I782" s="826"/>
      <c r="J782" s="827"/>
      <c r="K782" s="825"/>
      <c r="L782" s="824"/>
      <c r="M782" s="825"/>
      <c r="N782" s="825"/>
      <c r="O782" s="825"/>
      <c r="P782" s="830"/>
      <c r="Q782" s="830"/>
    </row>
    <row r="783" ht="33.0" customHeight="1">
      <c r="A783" s="811"/>
      <c r="B783" s="927"/>
      <c r="C783" s="817"/>
      <c r="D783" s="928"/>
      <c r="E783" s="816"/>
      <c r="F783" s="816"/>
      <c r="G783" s="816"/>
      <c r="H783" s="817"/>
      <c r="I783" s="817"/>
      <c r="J783" s="818"/>
      <c r="K783" s="816"/>
      <c r="L783" s="815"/>
      <c r="M783" s="816"/>
      <c r="N783" s="816"/>
      <c r="O783" s="816"/>
      <c r="P783" s="821"/>
      <c r="Q783" s="821"/>
    </row>
    <row r="784" ht="33.0" customHeight="1">
      <c r="A784" s="822"/>
      <c r="B784" s="927"/>
      <c r="C784" s="826"/>
      <c r="D784" s="928"/>
      <c r="E784" s="825"/>
      <c r="F784" s="825"/>
      <c r="G784" s="825"/>
      <c r="H784" s="826"/>
      <c r="I784" s="826"/>
      <c r="J784" s="827"/>
      <c r="K784" s="825"/>
      <c r="L784" s="824"/>
      <c r="M784" s="825"/>
      <c r="N784" s="825"/>
      <c r="O784" s="825"/>
      <c r="P784" s="830"/>
      <c r="Q784" s="830"/>
    </row>
    <row r="785" ht="33.0" customHeight="1">
      <c r="A785" s="811"/>
      <c r="B785" s="927"/>
      <c r="C785" s="817"/>
      <c r="D785" s="928"/>
      <c r="E785" s="816"/>
      <c r="F785" s="816"/>
      <c r="G785" s="816"/>
      <c r="H785" s="817"/>
      <c r="I785" s="817"/>
      <c r="J785" s="818"/>
      <c r="K785" s="816"/>
      <c r="L785" s="815"/>
      <c r="M785" s="816"/>
      <c r="N785" s="816"/>
      <c r="O785" s="816"/>
      <c r="P785" s="821"/>
      <c r="Q785" s="821"/>
    </row>
    <row r="786" ht="33.0" customHeight="1">
      <c r="A786" s="822"/>
      <c r="B786" s="927"/>
      <c r="C786" s="826"/>
      <c r="D786" s="928"/>
      <c r="E786" s="825"/>
      <c r="F786" s="825"/>
      <c r="G786" s="825"/>
      <c r="H786" s="826"/>
      <c r="I786" s="826"/>
      <c r="J786" s="827"/>
      <c r="K786" s="825"/>
      <c r="L786" s="824"/>
      <c r="M786" s="825"/>
      <c r="N786" s="825"/>
      <c r="O786" s="825"/>
      <c r="P786" s="830"/>
      <c r="Q786" s="830"/>
    </row>
    <row r="787" ht="33.0" customHeight="1">
      <c r="A787" s="811"/>
      <c r="B787" s="927"/>
      <c r="C787" s="817"/>
      <c r="D787" s="928"/>
      <c r="E787" s="816"/>
      <c r="F787" s="816"/>
      <c r="G787" s="816"/>
      <c r="H787" s="817"/>
      <c r="I787" s="817"/>
      <c r="J787" s="818"/>
      <c r="K787" s="816"/>
      <c r="L787" s="815"/>
      <c r="M787" s="816"/>
      <c r="N787" s="816"/>
      <c r="O787" s="816"/>
      <c r="P787" s="821"/>
      <c r="Q787" s="821"/>
    </row>
    <row r="788" ht="33.0" customHeight="1">
      <c r="A788" s="822"/>
      <c r="B788" s="927"/>
      <c r="C788" s="826"/>
      <c r="D788" s="928"/>
      <c r="E788" s="825"/>
      <c r="F788" s="825"/>
      <c r="G788" s="825"/>
      <c r="H788" s="826"/>
      <c r="I788" s="826"/>
      <c r="J788" s="827"/>
      <c r="K788" s="825"/>
      <c r="L788" s="824"/>
      <c r="M788" s="825"/>
      <c r="N788" s="825"/>
      <c r="O788" s="825"/>
      <c r="P788" s="830"/>
      <c r="Q788" s="830"/>
    </row>
    <row r="789" ht="33.0" customHeight="1">
      <c r="A789" s="811"/>
      <c r="B789" s="927"/>
      <c r="C789" s="817"/>
      <c r="D789" s="928"/>
      <c r="E789" s="816"/>
      <c r="F789" s="816"/>
      <c r="G789" s="816"/>
      <c r="H789" s="817"/>
      <c r="I789" s="817"/>
      <c r="J789" s="818"/>
      <c r="K789" s="816"/>
      <c r="L789" s="815"/>
      <c r="M789" s="816"/>
      <c r="N789" s="816"/>
      <c r="O789" s="816"/>
      <c r="P789" s="821"/>
      <c r="Q789" s="821"/>
    </row>
    <row r="790" ht="33.0" customHeight="1">
      <c r="A790" s="822"/>
      <c r="B790" s="927"/>
      <c r="C790" s="826"/>
      <c r="D790" s="928"/>
      <c r="E790" s="825"/>
      <c r="F790" s="825"/>
      <c r="G790" s="825"/>
      <c r="H790" s="826"/>
      <c r="I790" s="826"/>
      <c r="J790" s="827"/>
      <c r="K790" s="825"/>
      <c r="L790" s="824"/>
      <c r="M790" s="825"/>
      <c r="N790" s="825"/>
      <c r="O790" s="825"/>
      <c r="P790" s="830"/>
      <c r="Q790" s="830"/>
    </row>
    <row r="791" ht="33.0" customHeight="1">
      <c r="A791" s="811"/>
      <c r="B791" s="927"/>
      <c r="C791" s="817"/>
      <c r="D791" s="928"/>
      <c r="E791" s="816"/>
      <c r="F791" s="816"/>
      <c r="G791" s="816"/>
      <c r="H791" s="817"/>
      <c r="I791" s="817"/>
      <c r="J791" s="818"/>
      <c r="K791" s="816"/>
      <c r="L791" s="815"/>
      <c r="M791" s="816"/>
      <c r="N791" s="816"/>
      <c r="O791" s="816"/>
      <c r="P791" s="821"/>
      <c r="Q791" s="821"/>
    </row>
    <row r="792" ht="33.0" customHeight="1">
      <c r="A792" s="822"/>
      <c r="B792" s="927"/>
      <c r="C792" s="826"/>
      <c r="D792" s="928"/>
      <c r="E792" s="825"/>
      <c r="F792" s="825"/>
      <c r="G792" s="825"/>
      <c r="H792" s="826"/>
      <c r="I792" s="826"/>
      <c r="J792" s="827"/>
      <c r="K792" s="825"/>
      <c r="L792" s="824"/>
      <c r="M792" s="825"/>
      <c r="N792" s="825"/>
      <c r="O792" s="825"/>
      <c r="P792" s="830"/>
      <c r="Q792" s="830"/>
    </row>
    <row r="793" ht="33.0" customHeight="1">
      <c r="A793" s="811"/>
      <c r="B793" s="927"/>
      <c r="C793" s="817"/>
      <c r="D793" s="928"/>
      <c r="E793" s="816"/>
      <c r="F793" s="816"/>
      <c r="G793" s="816"/>
      <c r="H793" s="817"/>
      <c r="I793" s="817"/>
      <c r="J793" s="818"/>
      <c r="K793" s="816"/>
      <c r="L793" s="815"/>
      <c r="M793" s="816"/>
      <c r="N793" s="816"/>
      <c r="O793" s="816"/>
      <c r="P793" s="821"/>
      <c r="Q793" s="821"/>
    </row>
    <row r="794" ht="33.0" customHeight="1">
      <c r="A794" s="822"/>
      <c r="B794" s="927"/>
      <c r="C794" s="826"/>
      <c r="D794" s="928"/>
      <c r="E794" s="825"/>
      <c r="F794" s="825"/>
      <c r="G794" s="825"/>
      <c r="H794" s="826"/>
      <c r="I794" s="826"/>
      <c r="J794" s="827"/>
      <c r="K794" s="825"/>
      <c r="L794" s="824"/>
      <c r="M794" s="825"/>
      <c r="N794" s="825"/>
      <c r="O794" s="825"/>
      <c r="P794" s="830"/>
      <c r="Q794" s="830"/>
    </row>
    <row r="795" ht="33.0" customHeight="1">
      <c r="A795" s="811"/>
      <c r="B795" s="927"/>
      <c r="C795" s="817"/>
      <c r="D795" s="928"/>
      <c r="E795" s="816"/>
      <c r="F795" s="816"/>
      <c r="G795" s="816"/>
      <c r="H795" s="817"/>
      <c r="I795" s="817"/>
      <c r="J795" s="818"/>
      <c r="K795" s="816"/>
      <c r="L795" s="815"/>
      <c r="M795" s="816"/>
      <c r="N795" s="816"/>
      <c r="O795" s="816"/>
      <c r="P795" s="821"/>
      <c r="Q795" s="821"/>
    </row>
    <row r="796" ht="33.0" customHeight="1">
      <c r="A796" s="822"/>
      <c r="B796" s="927"/>
      <c r="C796" s="826"/>
      <c r="D796" s="928"/>
      <c r="E796" s="825"/>
      <c r="F796" s="825"/>
      <c r="G796" s="825"/>
      <c r="H796" s="826"/>
      <c r="I796" s="826"/>
      <c r="J796" s="827"/>
      <c r="K796" s="825"/>
      <c r="L796" s="824"/>
      <c r="M796" s="825"/>
      <c r="N796" s="825"/>
      <c r="O796" s="825"/>
      <c r="P796" s="830"/>
      <c r="Q796" s="830"/>
    </row>
    <row r="797" ht="33.0" customHeight="1">
      <c r="A797" s="811"/>
      <c r="B797" s="927"/>
      <c r="C797" s="817"/>
      <c r="D797" s="928"/>
      <c r="E797" s="816"/>
      <c r="F797" s="816"/>
      <c r="G797" s="816"/>
      <c r="H797" s="817"/>
      <c r="I797" s="817"/>
      <c r="J797" s="818"/>
      <c r="K797" s="816"/>
      <c r="L797" s="815"/>
      <c r="M797" s="816"/>
      <c r="N797" s="816"/>
      <c r="O797" s="816"/>
      <c r="P797" s="821"/>
      <c r="Q797" s="821"/>
    </row>
    <row r="798" ht="33.0" customHeight="1">
      <c r="A798" s="822"/>
      <c r="B798" s="927"/>
      <c r="C798" s="826"/>
      <c r="D798" s="928"/>
      <c r="E798" s="825"/>
      <c r="F798" s="825"/>
      <c r="G798" s="825"/>
      <c r="H798" s="826"/>
      <c r="I798" s="826"/>
      <c r="J798" s="827"/>
      <c r="K798" s="825"/>
      <c r="L798" s="824"/>
      <c r="M798" s="825"/>
      <c r="N798" s="825"/>
      <c r="O798" s="825"/>
      <c r="P798" s="830"/>
      <c r="Q798" s="830"/>
    </row>
    <row r="799" ht="33.0" customHeight="1">
      <c r="A799" s="811"/>
      <c r="B799" s="927"/>
      <c r="C799" s="817"/>
      <c r="D799" s="928"/>
      <c r="E799" s="816"/>
      <c r="F799" s="816"/>
      <c r="G799" s="816"/>
      <c r="H799" s="817"/>
      <c r="I799" s="817"/>
      <c r="J799" s="818"/>
      <c r="K799" s="816"/>
      <c r="L799" s="815"/>
      <c r="M799" s="816"/>
      <c r="N799" s="816"/>
      <c r="O799" s="816"/>
      <c r="P799" s="821"/>
      <c r="Q799" s="821"/>
    </row>
    <row r="800" ht="33.0" customHeight="1">
      <c r="A800" s="822"/>
      <c r="B800" s="927"/>
      <c r="C800" s="826"/>
      <c r="D800" s="928"/>
      <c r="E800" s="825"/>
      <c r="F800" s="825"/>
      <c r="G800" s="825"/>
      <c r="H800" s="826"/>
      <c r="I800" s="826"/>
      <c r="J800" s="827"/>
      <c r="K800" s="825"/>
      <c r="L800" s="824"/>
      <c r="M800" s="825"/>
      <c r="N800" s="825"/>
      <c r="O800" s="825"/>
      <c r="P800" s="830"/>
      <c r="Q800" s="830"/>
    </row>
    <row r="801" ht="33.0" customHeight="1">
      <c r="A801" s="811"/>
      <c r="B801" s="927"/>
      <c r="C801" s="817"/>
      <c r="D801" s="928"/>
      <c r="E801" s="816"/>
      <c r="F801" s="816"/>
      <c r="G801" s="816"/>
      <c r="H801" s="817"/>
      <c r="I801" s="817"/>
      <c r="J801" s="818"/>
      <c r="K801" s="816"/>
      <c r="L801" s="815"/>
      <c r="M801" s="816"/>
      <c r="N801" s="816"/>
      <c r="O801" s="816"/>
      <c r="P801" s="821"/>
      <c r="Q801" s="821"/>
    </row>
    <row r="802" ht="33.0" customHeight="1">
      <c r="A802" s="822"/>
      <c r="B802" s="927"/>
      <c r="C802" s="826"/>
      <c r="D802" s="928"/>
      <c r="E802" s="825"/>
      <c r="F802" s="825"/>
      <c r="G802" s="825"/>
      <c r="H802" s="826"/>
      <c r="I802" s="826"/>
      <c r="J802" s="827"/>
      <c r="K802" s="825"/>
      <c r="L802" s="824"/>
      <c r="M802" s="825"/>
      <c r="N802" s="825"/>
      <c r="O802" s="825"/>
      <c r="P802" s="830"/>
      <c r="Q802" s="830"/>
    </row>
    <row r="803" ht="33.0" customHeight="1">
      <c r="A803" s="811"/>
      <c r="B803" s="927"/>
      <c r="C803" s="817"/>
      <c r="D803" s="928"/>
      <c r="E803" s="816"/>
      <c r="F803" s="816"/>
      <c r="G803" s="816"/>
      <c r="H803" s="817"/>
      <c r="I803" s="817"/>
      <c r="J803" s="818"/>
      <c r="K803" s="816"/>
      <c r="L803" s="815"/>
      <c r="M803" s="816"/>
      <c r="N803" s="816"/>
      <c r="O803" s="816"/>
      <c r="P803" s="821"/>
      <c r="Q803" s="821"/>
    </row>
    <row r="804" ht="33.0" customHeight="1">
      <c r="A804" s="822"/>
      <c r="B804" s="927"/>
      <c r="C804" s="826"/>
      <c r="D804" s="928"/>
      <c r="E804" s="825"/>
      <c r="F804" s="825"/>
      <c r="G804" s="825"/>
      <c r="H804" s="826"/>
      <c r="I804" s="826"/>
      <c r="J804" s="827"/>
      <c r="K804" s="825"/>
      <c r="L804" s="824"/>
      <c r="M804" s="825"/>
      <c r="N804" s="825"/>
      <c r="O804" s="825"/>
      <c r="P804" s="830"/>
      <c r="Q804" s="830"/>
    </row>
    <row r="805" ht="33.0" customHeight="1">
      <c r="A805" s="811"/>
      <c r="B805" s="927"/>
      <c r="C805" s="817"/>
      <c r="D805" s="928"/>
      <c r="E805" s="816"/>
      <c r="F805" s="816"/>
      <c r="G805" s="816"/>
      <c r="H805" s="817"/>
      <c r="I805" s="817"/>
      <c r="J805" s="818"/>
      <c r="K805" s="816"/>
      <c r="L805" s="815"/>
      <c r="M805" s="816"/>
      <c r="N805" s="816"/>
      <c r="O805" s="816"/>
      <c r="P805" s="821"/>
      <c r="Q805" s="821"/>
    </row>
    <row r="806" ht="33.0" customHeight="1">
      <c r="A806" s="822"/>
      <c r="B806" s="927"/>
      <c r="C806" s="826"/>
      <c r="D806" s="928"/>
      <c r="E806" s="825"/>
      <c r="F806" s="825"/>
      <c r="G806" s="825"/>
      <c r="H806" s="826"/>
      <c r="I806" s="826"/>
      <c r="J806" s="827"/>
      <c r="K806" s="825"/>
      <c r="L806" s="824"/>
      <c r="M806" s="825"/>
      <c r="N806" s="825"/>
      <c r="O806" s="825"/>
      <c r="P806" s="830"/>
      <c r="Q806" s="830"/>
    </row>
    <row r="807" ht="33.0" customHeight="1">
      <c r="A807" s="811"/>
      <c r="B807" s="927"/>
      <c r="C807" s="817"/>
      <c r="D807" s="928"/>
      <c r="E807" s="816"/>
      <c r="F807" s="816"/>
      <c r="G807" s="816"/>
      <c r="H807" s="817"/>
      <c r="I807" s="817"/>
      <c r="J807" s="818"/>
      <c r="K807" s="816"/>
      <c r="L807" s="815"/>
      <c r="M807" s="816"/>
      <c r="N807" s="816"/>
      <c r="O807" s="816"/>
      <c r="P807" s="821"/>
      <c r="Q807" s="821"/>
    </row>
    <row r="808" ht="33.0" customHeight="1">
      <c r="A808" s="822"/>
      <c r="B808" s="927"/>
      <c r="C808" s="826"/>
      <c r="D808" s="928"/>
      <c r="E808" s="825"/>
      <c r="F808" s="825"/>
      <c r="G808" s="825"/>
      <c r="H808" s="826"/>
      <c r="I808" s="826"/>
      <c r="J808" s="827"/>
      <c r="K808" s="825"/>
      <c r="L808" s="824"/>
      <c r="M808" s="825"/>
      <c r="N808" s="825"/>
      <c r="O808" s="825"/>
      <c r="P808" s="830"/>
      <c r="Q808" s="830"/>
    </row>
    <row r="809" ht="33.0" customHeight="1">
      <c r="A809" s="811"/>
      <c r="B809" s="927"/>
      <c r="C809" s="817"/>
      <c r="D809" s="928"/>
      <c r="E809" s="816"/>
      <c r="F809" s="816"/>
      <c r="G809" s="816"/>
      <c r="H809" s="817"/>
      <c r="I809" s="817"/>
      <c r="J809" s="818"/>
      <c r="K809" s="816"/>
      <c r="L809" s="815"/>
      <c r="M809" s="816"/>
      <c r="N809" s="816"/>
      <c r="O809" s="816"/>
      <c r="P809" s="821"/>
      <c r="Q809" s="821"/>
    </row>
    <row r="810" ht="33.0" customHeight="1">
      <c r="A810" s="822"/>
      <c r="B810" s="927"/>
      <c r="C810" s="826"/>
      <c r="D810" s="928"/>
      <c r="E810" s="825"/>
      <c r="F810" s="825"/>
      <c r="G810" s="825"/>
      <c r="H810" s="826"/>
      <c r="I810" s="826"/>
      <c r="J810" s="827"/>
      <c r="K810" s="825"/>
      <c r="L810" s="824"/>
      <c r="M810" s="825"/>
      <c r="N810" s="825"/>
      <c r="O810" s="825"/>
      <c r="P810" s="830"/>
      <c r="Q810" s="830"/>
    </row>
    <row r="811" ht="33.0" customHeight="1">
      <c r="A811" s="811"/>
      <c r="B811" s="927"/>
      <c r="C811" s="817"/>
      <c r="D811" s="928"/>
      <c r="E811" s="816"/>
      <c r="F811" s="816"/>
      <c r="G811" s="816"/>
      <c r="H811" s="817"/>
      <c r="I811" s="817"/>
      <c r="J811" s="818"/>
      <c r="K811" s="816"/>
      <c r="L811" s="815"/>
      <c r="M811" s="816"/>
      <c r="N811" s="816"/>
      <c r="O811" s="816"/>
      <c r="P811" s="821"/>
      <c r="Q811" s="821"/>
    </row>
    <row r="812" ht="33.0" customHeight="1">
      <c r="A812" s="822"/>
      <c r="B812" s="927"/>
      <c r="C812" s="826"/>
      <c r="D812" s="928"/>
      <c r="E812" s="825"/>
      <c r="F812" s="825"/>
      <c r="G812" s="825"/>
      <c r="H812" s="826"/>
      <c r="I812" s="826"/>
      <c r="J812" s="827"/>
      <c r="K812" s="825"/>
      <c r="L812" s="824"/>
      <c r="M812" s="825"/>
      <c r="N812" s="825"/>
      <c r="O812" s="825"/>
      <c r="P812" s="830"/>
      <c r="Q812" s="830"/>
    </row>
    <row r="813" ht="33.0" customHeight="1">
      <c r="A813" s="811"/>
      <c r="B813" s="927"/>
      <c r="C813" s="817"/>
      <c r="D813" s="928"/>
      <c r="E813" s="816"/>
      <c r="F813" s="816"/>
      <c r="G813" s="816"/>
      <c r="H813" s="817"/>
      <c r="I813" s="817"/>
      <c r="J813" s="818"/>
      <c r="K813" s="816"/>
      <c r="L813" s="815"/>
      <c r="M813" s="816"/>
      <c r="N813" s="816"/>
      <c r="O813" s="816"/>
      <c r="P813" s="821"/>
      <c r="Q813" s="821"/>
    </row>
    <row r="814" ht="33.0" customHeight="1">
      <c r="A814" s="822"/>
      <c r="B814" s="927"/>
      <c r="C814" s="826"/>
      <c r="D814" s="928"/>
      <c r="E814" s="825"/>
      <c r="F814" s="825"/>
      <c r="G814" s="825"/>
      <c r="H814" s="826"/>
      <c r="I814" s="826"/>
      <c r="J814" s="827"/>
      <c r="K814" s="825"/>
      <c r="L814" s="824"/>
      <c r="M814" s="825"/>
      <c r="N814" s="825"/>
      <c r="O814" s="825"/>
      <c r="P814" s="830"/>
      <c r="Q814" s="830"/>
    </row>
    <row r="815" ht="33.0" customHeight="1">
      <c r="A815" s="811"/>
      <c r="B815" s="927"/>
      <c r="C815" s="817"/>
      <c r="D815" s="928"/>
      <c r="E815" s="816"/>
      <c r="F815" s="816"/>
      <c r="G815" s="816"/>
      <c r="H815" s="817"/>
      <c r="I815" s="817"/>
      <c r="J815" s="818"/>
      <c r="K815" s="816"/>
      <c r="L815" s="815"/>
      <c r="M815" s="816"/>
      <c r="N815" s="816"/>
      <c r="O815" s="816"/>
      <c r="P815" s="821"/>
      <c r="Q815" s="821"/>
    </row>
    <row r="816" ht="33.0" customHeight="1">
      <c r="A816" s="822"/>
      <c r="B816" s="927"/>
      <c r="C816" s="826"/>
      <c r="D816" s="928"/>
      <c r="E816" s="825"/>
      <c r="F816" s="825"/>
      <c r="G816" s="825"/>
      <c r="H816" s="826"/>
      <c r="I816" s="826"/>
      <c r="J816" s="827"/>
      <c r="K816" s="825"/>
      <c r="L816" s="824"/>
      <c r="M816" s="825"/>
      <c r="N816" s="825"/>
      <c r="O816" s="825"/>
      <c r="P816" s="830"/>
      <c r="Q816" s="830"/>
    </row>
    <row r="817" ht="33.0" customHeight="1">
      <c r="A817" s="811"/>
      <c r="B817" s="927"/>
      <c r="C817" s="817"/>
      <c r="D817" s="928"/>
      <c r="E817" s="816"/>
      <c r="F817" s="816"/>
      <c r="G817" s="816"/>
      <c r="H817" s="817"/>
      <c r="I817" s="817"/>
      <c r="J817" s="818"/>
      <c r="K817" s="816"/>
      <c r="L817" s="815"/>
      <c r="M817" s="816"/>
      <c r="N817" s="816"/>
      <c r="O817" s="816"/>
      <c r="P817" s="821"/>
      <c r="Q817" s="821"/>
    </row>
    <row r="818" ht="33.0" customHeight="1">
      <c r="A818" s="822"/>
      <c r="B818" s="927"/>
      <c r="C818" s="826"/>
      <c r="D818" s="928"/>
      <c r="E818" s="825"/>
      <c r="F818" s="825"/>
      <c r="G818" s="825"/>
      <c r="H818" s="826"/>
      <c r="I818" s="826"/>
      <c r="J818" s="827"/>
      <c r="K818" s="825"/>
      <c r="L818" s="824"/>
      <c r="M818" s="825"/>
      <c r="N818" s="825"/>
      <c r="O818" s="825"/>
      <c r="P818" s="830"/>
      <c r="Q818" s="830"/>
    </row>
    <row r="819" ht="33.0" customHeight="1">
      <c r="A819" s="811"/>
      <c r="B819" s="927"/>
      <c r="C819" s="817"/>
      <c r="D819" s="928"/>
      <c r="E819" s="816"/>
      <c r="F819" s="816"/>
      <c r="G819" s="816"/>
      <c r="H819" s="817"/>
      <c r="I819" s="817"/>
      <c r="J819" s="818"/>
      <c r="K819" s="816"/>
      <c r="L819" s="815"/>
      <c r="M819" s="816"/>
      <c r="N819" s="816"/>
      <c r="O819" s="816"/>
      <c r="P819" s="821"/>
      <c r="Q819" s="821"/>
    </row>
    <row r="820" ht="33.0" customHeight="1">
      <c r="A820" s="822"/>
      <c r="B820" s="927"/>
      <c r="C820" s="826"/>
      <c r="D820" s="928"/>
      <c r="E820" s="825"/>
      <c r="F820" s="825"/>
      <c r="G820" s="825"/>
      <c r="H820" s="826"/>
      <c r="I820" s="826"/>
      <c r="J820" s="827"/>
      <c r="K820" s="825"/>
      <c r="L820" s="824"/>
      <c r="M820" s="825"/>
      <c r="N820" s="825"/>
      <c r="O820" s="825"/>
      <c r="P820" s="830"/>
      <c r="Q820" s="830"/>
    </row>
    <row r="821" ht="33.0" customHeight="1">
      <c r="A821" s="811"/>
      <c r="B821" s="927"/>
      <c r="C821" s="817"/>
      <c r="D821" s="928"/>
      <c r="E821" s="816"/>
      <c r="F821" s="816"/>
      <c r="G821" s="816"/>
      <c r="H821" s="817"/>
      <c r="I821" s="817"/>
      <c r="J821" s="818"/>
      <c r="K821" s="816"/>
      <c r="L821" s="815"/>
      <c r="M821" s="816"/>
      <c r="N821" s="816"/>
      <c r="O821" s="816"/>
      <c r="P821" s="821"/>
      <c r="Q821" s="821"/>
    </row>
    <row r="822" ht="33.0" customHeight="1">
      <c r="A822" s="822"/>
      <c r="B822" s="927"/>
      <c r="C822" s="826"/>
      <c r="D822" s="928"/>
      <c r="E822" s="825"/>
      <c r="F822" s="825"/>
      <c r="G822" s="825"/>
      <c r="H822" s="826"/>
      <c r="I822" s="826"/>
      <c r="J822" s="827"/>
      <c r="K822" s="825"/>
      <c r="L822" s="824"/>
      <c r="M822" s="825"/>
      <c r="N822" s="825"/>
      <c r="O822" s="825"/>
      <c r="P822" s="830"/>
      <c r="Q822" s="830"/>
    </row>
    <row r="823" ht="33.0" customHeight="1">
      <c r="A823" s="811"/>
      <c r="B823" s="927"/>
      <c r="C823" s="817"/>
      <c r="D823" s="928"/>
      <c r="E823" s="816"/>
      <c r="F823" s="816"/>
      <c r="G823" s="816"/>
      <c r="H823" s="817"/>
      <c r="I823" s="817"/>
      <c r="J823" s="818"/>
      <c r="K823" s="816"/>
      <c r="L823" s="815"/>
      <c r="M823" s="816"/>
      <c r="N823" s="816"/>
      <c r="O823" s="816"/>
      <c r="P823" s="821"/>
      <c r="Q823" s="821"/>
    </row>
    <row r="824" ht="33.0" customHeight="1">
      <c r="A824" s="822"/>
      <c r="B824" s="927"/>
      <c r="C824" s="826"/>
      <c r="D824" s="928"/>
      <c r="E824" s="825"/>
      <c r="F824" s="825"/>
      <c r="G824" s="825"/>
      <c r="H824" s="826"/>
      <c r="I824" s="826"/>
      <c r="J824" s="827"/>
      <c r="K824" s="825"/>
      <c r="L824" s="824"/>
      <c r="M824" s="825"/>
      <c r="N824" s="825"/>
      <c r="O824" s="825"/>
      <c r="P824" s="830"/>
      <c r="Q824" s="830"/>
    </row>
    <row r="825" ht="33.0" customHeight="1">
      <c r="A825" s="811"/>
      <c r="B825" s="927"/>
      <c r="C825" s="817"/>
      <c r="D825" s="928"/>
      <c r="E825" s="816"/>
      <c r="F825" s="816"/>
      <c r="G825" s="816"/>
      <c r="H825" s="817"/>
      <c r="I825" s="817"/>
      <c r="J825" s="818"/>
      <c r="K825" s="816"/>
      <c r="L825" s="815"/>
      <c r="M825" s="816"/>
      <c r="N825" s="816"/>
      <c r="O825" s="816"/>
      <c r="P825" s="821"/>
      <c r="Q825" s="821"/>
    </row>
    <row r="826" ht="33.0" customHeight="1">
      <c r="A826" s="822"/>
      <c r="B826" s="927"/>
      <c r="C826" s="826"/>
      <c r="D826" s="928"/>
      <c r="E826" s="825"/>
      <c r="F826" s="825"/>
      <c r="G826" s="825"/>
      <c r="H826" s="826"/>
      <c r="I826" s="826"/>
      <c r="J826" s="827"/>
      <c r="K826" s="825"/>
      <c r="L826" s="824"/>
      <c r="M826" s="825"/>
      <c r="N826" s="825"/>
      <c r="O826" s="825"/>
      <c r="P826" s="830"/>
      <c r="Q826" s="830"/>
    </row>
    <row r="827" ht="33.0" customHeight="1">
      <c r="A827" s="811"/>
      <c r="B827" s="927"/>
      <c r="C827" s="817"/>
      <c r="D827" s="928"/>
      <c r="E827" s="816"/>
      <c r="F827" s="816"/>
      <c r="G827" s="816"/>
      <c r="H827" s="817"/>
      <c r="I827" s="817"/>
      <c r="J827" s="818"/>
      <c r="K827" s="816"/>
      <c r="L827" s="815"/>
      <c r="M827" s="816"/>
      <c r="N827" s="816"/>
      <c r="O827" s="816"/>
      <c r="P827" s="821"/>
      <c r="Q827" s="821"/>
    </row>
    <row r="828" ht="33.0" customHeight="1">
      <c r="A828" s="822"/>
      <c r="B828" s="927"/>
      <c r="C828" s="826"/>
      <c r="D828" s="928"/>
      <c r="E828" s="825"/>
      <c r="F828" s="825"/>
      <c r="G828" s="825"/>
      <c r="H828" s="826"/>
      <c r="I828" s="826"/>
      <c r="J828" s="827"/>
      <c r="K828" s="825"/>
      <c r="L828" s="824"/>
      <c r="M828" s="825"/>
      <c r="N828" s="825"/>
      <c r="O828" s="825"/>
      <c r="P828" s="830"/>
      <c r="Q828" s="830"/>
    </row>
    <row r="829" ht="33.0" customHeight="1">
      <c r="A829" s="811"/>
      <c r="B829" s="927"/>
      <c r="C829" s="817"/>
      <c r="D829" s="928"/>
      <c r="E829" s="816"/>
      <c r="F829" s="816"/>
      <c r="G829" s="816"/>
      <c r="H829" s="817"/>
      <c r="I829" s="817"/>
      <c r="J829" s="818"/>
      <c r="K829" s="816"/>
      <c r="L829" s="815"/>
      <c r="M829" s="816"/>
      <c r="N829" s="816"/>
      <c r="O829" s="816"/>
      <c r="P829" s="821"/>
      <c r="Q829" s="821"/>
    </row>
    <row r="830" ht="33.0" customHeight="1">
      <c r="A830" s="822"/>
      <c r="B830" s="927"/>
      <c r="C830" s="826"/>
      <c r="D830" s="928"/>
      <c r="E830" s="825"/>
      <c r="F830" s="825"/>
      <c r="G830" s="825"/>
      <c r="H830" s="826"/>
      <c r="I830" s="826"/>
      <c r="J830" s="827"/>
      <c r="K830" s="825"/>
      <c r="L830" s="824"/>
      <c r="M830" s="825"/>
      <c r="N830" s="825"/>
      <c r="O830" s="825"/>
      <c r="P830" s="830"/>
      <c r="Q830" s="830"/>
    </row>
    <row r="831" ht="33.0" customHeight="1">
      <c r="A831" s="811"/>
      <c r="B831" s="927"/>
      <c r="C831" s="817"/>
      <c r="D831" s="928"/>
      <c r="E831" s="816"/>
      <c r="F831" s="816"/>
      <c r="G831" s="816"/>
      <c r="H831" s="817"/>
      <c r="I831" s="817"/>
      <c r="J831" s="818"/>
      <c r="K831" s="816"/>
      <c r="L831" s="815"/>
      <c r="M831" s="816"/>
      <c r="N831" s="816"/>
      <c r="O831" s="816"/>
      <c r="P831" s="821"/>
      <c r="Q831" s="821"/>
    </row>
    <row r="832" ht="33.0" customHeight="1">
      <c r="A832" s="822"/>
      <c r="B832" s="927"/>
      <c r="C832" s="826"/>
      <c r="D832" s="928"/>
      <c r="E832" s="825"/>
      <c r="F832" s="825"/>
      <c r="G832" s="825"/>
      <c r="H832" s="826"/>
      <c r="I832" s="826"/>
      <c r="J832" s="827"/>
      <c r="K832" s="825"/>
      <c r="L832" s="824"/>
      <c r="M832" s="825"/>
      <c r="N832" s="825"/>
      <c r="O832" s="825"/>
      <c r="P832" s="830"/>
      <c r="Q832" s="830"/>
    </row>
    <row r="833" ht="33.0" customHeight="1">
      <c r="A833" s="811"/>
      <c r="B833" s="927"/>
      <c r="C833" s="817"/>
      <c r="D833" s="928"/>
      <c r="E833" s="816"/>
      <c r="F833" s="816"/>
      <c r="G833" s="816"/>
      <c r="H833" s="817"/>
      <c r="I833" s="817"/>
      <c r="J833" s="818"/>
      <c r="K833" s="816"/>
      <c r="L833" s="815"/>
      <c r="M833" s="816"/>
      <c r="N833" s="816"/>
      <c r="O833" s="816"/>
      <c r="P833" s="821"/>
      <c r="Q833" s="821"/>
    </row>
    <row r="834" ht="33.0" customHeight="1">
      <c r="A834" s="822"/>
      <c r="B834" s="927"/>
      <c r="C834" s="826"/>
      <c r="D834" s="928"/>
      <c r="E834" s="825"/>
      <c r="F834" s="825"/>
      <c r="G834" s="825"/>
      <c r="H834" s="826"/>
      <c r="I834" s="826"/>
      <c r="J834" s="827"/>
      <c r="K834" s="825"/>
      <c r="L834" s="824"/>
      <c r="M834" s="825"/>
      <c r="N834" s="825"/>
      <c r="O834" s="825"/>
      <c r="P834" s="830"/>
      <c r="Q834" s="830"/>
    </row>
    <row r="835" ht="33.0" customHeight="1">
      <c r="A835" s="811"/>
      <c r="B835" s="927"/>
      <c r="C835" s="817"/>
      <c r="D835" s="928"/>
      <c r="E835" s="816"/>
      <c r="F835" s="816"/>
      <c r="G835" s="816"/>
      <c r="H835" s="817"/>
      <c r="I835" s="817"/>
      <c r="J835" s="818"/>
      <c r="K835" s="816"/>
      <c r="L835" s="815"/>
      <c r="M835" s="816"/>
      <c r="N835" s="816"/>
      <c r="O835" s="816"/>
      <c r="P835" s="821"/>
      <c r="Q835" s="821"/>
    </row>
    <row r="836" ht="33.0" customHeight="1">
      <c r="A836" s="822"/>
      <c r="B836" s="927"/>
      <c r="C836" s="826"/>
      <c r="D836" s="928"/>
      <c r="E836" s="825"/>
      <c r="F836" s="825"/>
      <c r="G836" s="825"/>
      <c r="H836" s="826"/>
      <c r="I836" s="826"/>
      <c r="J836" s="827"/>
      <c r="K836" s="825"/>
      <c r="L836" s="824"/>
      <c r="M836" s="825"/>
      <c r="N836" s="825"/>
      <c r="O836" s="825"/>
      <c r="P836" s="830"/>
      <c r="Q836" s="830"/>
    </row>
    <row r="837" ht="33.0" customHeight="1">
      <c r="A837" s="811"/>
      <c r="B837" s="927"/>
      <c r="C837" s="817"/>
      <c r="D837" s="928"/>
      <c r="E837" s="816"/>
      <c r="F837" s="816"/>
      <c r="G837" s="816"/>
      <c r="H837" s="817"/>
      <c r="I837" s="817"/>
      <c r="J837" s="818"/>
      <c r="K837" s="816"/>
      <c r="L837" s="815"/>
      <c r="M837" s="816"/>
      <c r="N837" s="816"/>
      <c r="O837" s="816"/>
      <c r="P837" s="821"/>
      <c r="Q837" s="821"/>
    </row>
    <row r="838" ht="33.0" customHeight="1">
      <c r="A838" s="822"/>
      <c r="B838" s="927"/>
      <c r="C838" s="826"/>
      <c r="D838" s="928"/>
      <c r="E838" s="825"/>
      <c r="F838" s="825"/>
      <c r="G838" s="825"/>
      <c r="H838" s="826"/>
      <c r="I838" s="826"/>
      <c r="J838" s="827"/>
      <c r="K838" s="825"/>
      <c r="L838" s="824"/>
      <c r="M838" s="825"/>
      <c r="N838" s="825"/>
      <c r="O838" s="825"/>
      <c r="P838" s="830"/>
      <c r="Q838" s="830"/>
    </row>
    <row r="839" ht="33.0" customHeight="1">
      <c r="A839" s="811"/>
      <c r="B839" s="927"/>
      <c r="C839" s="817"/>
      <c r="D839" s="928"/>
      <c r="E839" s="816"/>
      <c r="F839" s="816"/>
      <c r="G839" s="816"/>
      <c r="H839" s="817"/>
      <c r="I839" s="817"/>
      <c r="J839" s="818"/>
      <c r="K839" s="816"/>
      <c r="L839" s="815"/>
      <c r="M839" s="816"/>
      <c r="N839" s="816"/>
      <c r="O839" s="816"/>
      <c r="P839" s="821"/>
      <c r="Q839" s="821"/>
    </row>
    <row r="840" ht="33.0" customHeight="1">
      <c r="A840" s="822"/>
      <c r="B840" s="927"/>
      <c r="C840" s="826"/>
      <c r="D840" s="928"/>
      <c r="E840" s="825"/>
      <c r="F840" s="825"/>
      <c r="G840" s="825"/>
      <c r="H840" s="826"/>
      <c r="I840" s="826"/>
      <c r="J840" s="827"/>
      <c r="K840" s="825"/>
      <c r="L840" s="824"/>
      <c r="M840" s="825"/>
      <c r="N840" s="825"/>
      <c r="O840" s="825"/>
      <c r="P840" s="830"/>
      <c r="Q840" s="830"/>
    </row>
    <row r="841" ht="33.0" customHeight="1">
      <c r="A841" s="811"/>
      <c r="B841" s="927"/>
      <c r="C841" s="817"/>
      <c r="D841" s="928"/>
      <c r="E841" s="816"/>
      <c r="F841" s="816"/>
      <c r="G841" s="816"/>
      <c r="H841" s="817"/>
      <c r="I841" s="817"/>
      <c r="J841" s="818"/>
      <c r="K841" s="816"/>
      <c r="L841" s="815"/>
      <c r="M841" s="816"/>
      <c r="N841" s="816"/>
      <c r="O841" s="816"/>
      <c r="P841" s="821"/>
      <c r="Q841" s="821"/>
    </row>
    <row r="842" ht="33.0" customHeight="1">
      <c r="A842" s="822"/>
      <c r="B842" s="927"/>
      <c r="C842" s="826"/>
      <c r="D842" s="928"/>
      <c r="E842" s="825"/>
      <c r="F842" s="825"/>
      <c r="G842" s="825"/>
      <c r="H842" s="826"/>
      <c r="I842" s="826"/>
      <c r="J842" s="827"/>
      <c r="K842" s="825"/>
      <c r="L842" s="824"/>
      <c r="M842" s="825"/>
      <c r="N842" s="825"/>
      <c r="O842" s="825"/>
      <c r="P842" s="830"/>
      <c r="Q842" s="830"/>
    </row>
    <row r="843" ht="33.0" customHeight="1">
      <c r="A843" s="811"/>
      <c r="B843" s="927"/>
      <c r="C843" s="817"/>
      <c r="D843" s="928"/>
      <c r="E843" s="816"/>
      <c r="F843" s="816"/>
      <c r="G843" s="816"/>
      <c r="H843" s="817"/>
      <c r="I843" s="817"/>
      <c r="J843" s="818"/>
      <c r="K843" s="816"/>
      <c r="L843" s="815"/>
      <c r="M843" s="816"/>
      <c r="N843" s="816"/>
      <c r="O843" s="816"/>
      <c r="P843" s="821"/>
      <c r="Q843" s="821"/>
    </row>
    <row r="844" ht="33.0" customHeight="1">
      <c r="A844" s="822"/>
      <c r="B844" s="927"/>
      <c r="C844" s="826"/>
      <c r="D844" s="928"/>
      <c r="E844" s="825"/>
      <c r="F844" s="825"/>
      <c r="G844" s="825"/>
      <c r="H844" s="826"/>
      <c r="I844" s="826"/>
      <c r="J844" s="827"/>
      <c r="K844" s="825"/>
      <c r="L844" s="824"/>
      <c r="M844" s="825"/>
      <c r="N844" s="825"/>
      <c r="O844" s="825"/>
      <c r="P844" s="830"/>
      <c r="Q844" s="830"/>
    </row>
    <row r="845" ht="33.0" customHeight="1">
      <c r="A845" s="811"/>
      <c r="B845" s="927"/>
      <c r="C845" s="817"/>
      <c r="D845" s="928"/>
      <c r="E845" s="816"/>
      <c r="F845" s="816"/>
      <c r="G845" s="816"/>
      <c r="H845" s="817"/>
      <c r="I845" s="817"/>
      <c r="J845" s="818"/>
      <c r="K845" s="816"/>
      <c r="L845" s="815"/>
      <c r="M845" s="816"/>
      <c r="N845" s="816"/>
      <c r="O845" s="816"/>
      <c r="P845" s="821"/>
      <c r="Q845" s="821"/>
    </row>
    <row r="846" ht="33.0" customHeight="1">
      <c r="A846" s="822"/>
      <c r="B846" s="927"/>
      <c r="C846" s="826"/>
      <c r="D846" s="928"/>
      <c r="E846" s="825"/>
      <c r="F846" s="825"/>
      <c r="G846" s="825"/>
      <c r="H846" s="826"/>
      <c r="I846" s="826"/>
      <c r="J846" s="827"/>
      <c r="K846" s="825"/>
      <c r="L846" s="824"/>
      <c r="M846" s="825"/>
      <c r="N846" s="825"/>
      <c r="O846" s="825"/>
      <c r="P846" s="830"/>
      <c r="Q846" s="830"/>
    </row>
    <row r="847" ht="33.0" customHeight="1">
      <c r="A847" s="811"/>
      <c r="B847" s="927"/>
      <c r="C847" s="817"/>
      <c r="D847" s="928"/>
      <c r="E847" s="816"/>
      <c r="F847" s="816"/>
      <c r="G847" s="816"/>
      <c r="H847" s="817"/>
      <c r="I847" s="817"/>
      <c r="J847" s="818"/>
      <c r="K847" s="816"/>
      <c r="L847" s="815"/>
      <c r="M847" s="816"/>
      <c r="N847" s="816"/>
      <c r="O847" s="816"/>
      <c r="P847" s="821"/>
      <c r="Q847" s="821"/>
    </row>
    <row r="848" ht="33.0" customHeight="1">
      <c r="A848" s="822"/>
      <c r="B848" s="927"/>
      <c r="C848" s="826"/>
      <c r="D848" s="928"/>
      <c r="E848" s="825"/>
      <c r="F848" s="825"/>
      <c r="G848" s="825"/>
      <c r="H848" s="826"/>
      <c r="I848" s="826"/>
      <c r="J848" s="827"/>
      <c r="K848" s="825"/>
      <c r="L848" s="824"/>
      <c r="M848" s="825"/>
      <c r="N848" s="825"/>
      <c r="O848" s="825"/>
      <c r="P848" s="830"/>
      <c r="Q848" s="830"/>
    </row>
    <row r="849" ht="33.0" customHeight="1">
      <c r="A849" s="811"/>
      <c r="B849" s="927"/>
      <c r="C849" s="817"/>
      <c r="D849" s="928"/>
      <c r="E849" s="816"/>
      <c r="F849" s="816"/>
      <c r="G849" s="816"/>
      <c r="H849" s="817"/>
      <c r="I849" s="817"/>
      <c r="J849" s="818"/>
      <c r="K849" s="816"/>
      <c r="L849" s="815"/>
      <c r="M849" s="816"/>
      <c r="N849" s="816"/>
      <c r="O849" s="816"/>
      <c r="P849" s="821"/>
      <c r="Q849" s="821"/>
    </row>
    <row r="850" ht="33.0" customHeight="1">
      <c r="A850" s="822"/>
      <c r="B850" s="927"/>
      <c r="C850" s="826"/>
      <c r="D850" s="928"/>
      <c r="E850" s="825"/>
      <c r="F850" s="825"/>
      <c r="G850" s="825"/>
      <c r="H850" s="826"/>
      <c r="I850" s="826"/>
      <c r="J850" s="827"/>
      <c r="K850" s="825"/>
      <c r="L850" s="824"/>
      <c r="M850" s="825"/>
      <c r="N850" s="825"/>
      <c r="O850" s="825"/>
      <c r="P850" s="830"/>
      <c r="Q850" s="830"/>
    </row>
    <row r="851" ht="33.0" customHeight="1">
      <c r="A851" s="811"/>
      <c r="B851" s="927"/>
      <c r="C851" s="817"/>
      <c r="D851" s="928"/>
      <c r="E851" s="816"/>
      <c r="F851" s="816"/>
      <c r="G851" s="816"/>
      <c r="H851" s="817"/>
      <c r="I851" s="817"/>
      <c r="J851" s="818"/>
      <c r="K851" s="816"/>
      <c r="L851" s="815"/>
      <c r="M851" s="816"/>
      <c r="N851" s="816"/>
      <c r="O851" s="816"/>
      <c r="P851" s="821"/>
      <c r="Q851" s="821"/>
    </row>
    <row r="852" ht="33.0" customHeight="1">
      <c r="A852" s="822"/>
      <c r="B852" s="927"/>
      <c r="C852" s="826"/>
      <c r="D852" s="928"/>
      <c r="E852" s="825"/>
      <c r="F852" s="825"/>
      <c r="G852" s="825"/>
      <c r="H852" s="826"/>
      <c r="I852" s="826"/>
      <c r="J852" s="827"/>
      <c r="K852" s="825"/>
      <c r="L852" s="824"/>
      <c r="M852" s="825"/>
      <c r="N852" s="825"/>
      <c r="O852" s="825"/>
      <c r="P852" s="830"/>
      <c r="Q852" s="830"/>
    </row>
    <row r="853" ht="33.0" customHeight="1">
      <c r="A853" s="811"/>
      <c r="B853" s="927"/>
      <c r="C853" s="817"/>
      <c r="D853" s="928"/>
      <c r="E853" s="816"/>
      <c r="F853" s="816"/>
      <c r="G853" s="816"/>
      <c r="H853" s="817"/>
      <c r="I853" s="817"/>
      <c r="J853" s="818"/>
      <c r="K853" s="816"/>
      <c r="L853" s="815"/>
      <c r="M853" s="816"/>
      <c r="N853" s="816"/>
      <c r="O853" s="816"/>
      <c r="P853" s="821"/>
      <c r="Q853" s="821"/>
    </row>
    <row r="854" ht="33.0" customHeight="1">
      <c r="A854" s="822"/>
      <c r="B854" s="927"/>
      <c r="C854" s="826"/>
      <c r="D854" s="928"/>
      <c r="E854" s="825"/>
      <c r="F854" s="825"/>
      <c r="G854" s="825"/>
      <c r="H854" s="826"/>
      <c r="I854" s="826"/>
      <c r="J854" s="827"/>
      <c r="K854" s="825"/>
      <c r="L854" s="824"/>
      <c r="M854" s="825"/>
      <c r="N854" s="825"/>
      <c r="O854" s="825"/>
      <c r="P854" s="830"/>
      <c r="Q854" s="830"/>
    </row>
    <row r="855" ht="33.0" customHeight="1">
      <c r="A855" s="811"/>
      <c r="B855" s="927"/>
      <c r="C855" s="817"/>
      <c r="D855" s="928"/>
      <c r="E855" s="816"/>
      <c r="F855" s="816"/>
      <c r="G855" s="816"/>
      <c r="H855" s="817"/>
      <c r="I855" s="817"/>
      <c r="J855" s="818"/>
      <c r="K855" s="816"/>
      <c r="L855" s="815"/>
      <c r="M855" s="816"/>
      <c r="N855" s="816"/>
      <c r="O855" s="816"/>
      <c r="P855" s="821"/>
      <c r="Q855" s="821"/>
    </row>
    <row r="856" ht="33.0" customHeight="1">
      <c r="A856" s="822"/>
      <c r="B856" s="927"/>
      <c r="C856" s="826"/>
      <c r="D856" s="928"/>
      <c r="E856" s="825"/>
      <c r="F856" s="825"/>
      <c r="G856" s="825"/>
      <c r="H856" s="826"/>
      <c r="I856" s="826"/>
      <c r="J856" s="827"/>
      <c r="K856" s="825"/>
      <c r="L856" s="824"/>
      <c r="M856" s="825"/>
      <c r="N856" s="825"/>
      <c r="O856" s="825"/>
      <c r="P856" s="830"/>
      <c r="Q856" s="830"/>
    </row>
    <row r="857" ht="33.0" customHeight="1">
      <c r="A857" s="811"/>
      <c r="B857" s="927"/>
      <c r="C857" s="817"/>
      <c r="D857" s="928"/>
      <c r="E857" s="816"/>
      <c r="F857" s="816"/>
      <c r="G857" s="816"/>
      <c r="H857" s="817"/>
      <c r="I857" s="817"/>
      <c r="J857" s="818"/>
      <c r="K857" s="816"/>
      <c r="L857" s="815"/>
      <c r="M857" s="816"/>
      <c r="N857" s="816"/>
      <c r="O857" s="816"/>
      <c r="P857" s="821"/>
      <c r="Q857" s="821"/>
    </row>
    <row r="858" ht="33.0" customHeight="1">
      <c r="A858" s="822"/>
      <c r="B858" s="927"/>
      <c r="C858" s="826"/>
      <c r="D858" s="928"/>
      <c r="E858" s="825"/>
      <c r="F858" s="825"/>
      <c r="G858" s="825"/>
      <c r="H858" s="826"/>
      <c r="I858" s="826"/>
      <c r="J858" s="827"/>
      <c r="K858" s="825"/>
      <c r="L858" s="824"/>
      <c r="M858" s="825"/>
      <c r="N858" s="825"/>
      <c r="O858" s="825"/>
      <c r="P858" s="830"/>
      <c r="Q858" s="830"/>
    </row>
    <row r="859" ht="33.0" customHeight="1">
      <c r="A859" s="811"/>
      <c r="B859" s="927"/>
      <c r="C859" s="817"/>
      <c r="D859" s="928"/>
      <c r="E859" s="816"/>
      <c r="F859" s="816"/>
      <c r="G859" s="816"/>
      <c r="H859" s="817"/>
      <c r="I859" s="817"/>
      <c r="J859" s="818"/>
      <c r="K859" s="816"/>
      <c r="L859" s="815"/>
      <c r="M859" s="816"/>
      <c r="N859" s="816"/>
      <c r="O859" s="816"/>
      <c r="P859" s="821"/>
      <c r="Q859" s="821"/>
    </row>
    <row r="860" ht="33.0" customHeight="1">
      <c r="A860" s="822"/>
      <c r="B860" s="927"/>
      <c r="C860" s="826"/>
      <c r="D860" s="928"/>
      <c r="E860" s="825"/>
      <c r="F860" s="825"/>
      <c r="G860" s="825"/>
      <c r="H860" s="826"/>
      <c r="I860" s="826"/>
      <c r="J860" s="827"/>
      <c r="K860" s="825"/>
      <c r="L860" s="824"/>
      <c r="M860" s="825"/>
      <c r="N860" s="825"/>
      <c r="O860" s="825"/>
      <c r="P860" s="830"/>
      <c r="Q860" s="830"/>
    </row>
    <row r="861" ht="33.0" customHeight="1">
      <c r="A861" s="811"/>
      <c r="B861" s="927"/>
      <c r="C861" s="817"/>
      <c r="D861" s="928"/>
      <c r="E861" s="816"/>
      <c r="F861" s="816"/>
      <c r="G861" s="816"/>
      <c r="H861" s="817"/>
      <c r="I861" s="817"/>
      <c r="J861" s="818"/>
      <c r="K861" s="816"/>
      <c r="L861" s="815"/>
      <c r="M861" s="816"/>
      <c r="N861" s="816"/>
      <c r="O861" s="816"/>
      <c r="P861" s="821"/>
      <c r="Q861" s="821"/>
    </row>
    <row r="862" ht="33.0" customHeight="1">
      <c r="A862" s="822"/>
      <c r="B862" s="927"/>
      <c r="C862" s="826"/>
      <c r="D862" s="928"/>
      <c r="E862" s="825"/>
      <c r="F862" s="825"/>
      <c r="G862" s="825"/>
      <c r="H862" s="826"/>
      <c r="I862" s="826"/>
      <c r="J862" s="827"/>
      <c r="K862" s="825"/>
      <c r="L862" s="824"/>
      <c r="M862" s="825"/>
      <c r="N862" s="825"/>
      <c r="O862" s="825"/>
      <c r="P862" s="830"/>
      <c r="Q862" s="830"/>
    </row>
    <row r="863" ht="33.0" customHeight="1">
      <c r="A863" s="811"/>
      <c r="B863" s="927"/>
      <c r="C863" s="817"/>
      <c r="D863" s="928"/>
      <c r="E863" s="816"/>
      <c r="F863" s="816"/>
      <c r="G863" s="816"/>
      <c r="H863" s="817"/>
      <c r="I863" s="817"/>
      <c r="J863" s="818"/>
      <c r="K863" s="816"/>
      <c r="L863" s="815"/>
      <c r="M863" s="816"/>
      <c r="N863" s="816"/>
      <c r="O863" s="816"/>
      <c r="P863" s="821"/>
      <c r="Q863" s="821"/>
    </row>
    <row r="864" ht="33.0" customHeight="1">
      <c r="A864" s="822"/>
      <c r="B864" s="927"/>
      <c r="C864" s="826"/>
      <c r="D864" s="928"/>
      <c r="E864" s="825"/>
      <c r="F864" s="825"/>
      <c r="G864" s="825"/>
      <c r="H864" s="826"/>
      <c r="I864" s="826"/>
      <c r="J864" s="827"/>
      <c r="K864" s="825"/>
      <c r="L864" s="824"/>
      <c r="M864" s="825"/>
      <c r="N864" s="825"/>
      <c r="O864" s="825"/>
      <c r="P864" s="830"/>
      <c r="Q864" s="830"/>
    </row>
    <row r="865" ht="33.0" customHeight="1">
      <c r="A865" s="811"/>
      <c r="B865" s="927"/>
      <c r="C865" s="817"/>
      <c r="D865" s="928"/>
      <c r="E865" s="816"/>
      <c r="F865" s="816"/>
      <c r="G865" s="816"/>
      <c r="H865" s="817"/>
      <c r="I865" s="817"/>
      <c r="J865" s="818"/>
      <c r="K865" s="816"/>
      <c r="L865" s="815"/>
      <c r="M865" s="816"/>
      <c r="N865" s="816"/>
      <c r="O865" s="816"/>
      <c r="P865" s="821"/>
      <c r="Q865" s="821"/>
    </row>
    <row r="866" ht="33.0" customHeight="1">
      <c r="A866" s="822"/>
      <c r="B866" s="927"/>
      <c r="C866" s="826"/>
      <c r="D866" s="928"/>
      <c r="E866" s="825"/>
      <c r="F866" s="825"/>
      <c r="G866" s="825"/>
      <c r="H866" s="826"/>
      <c r="I866" s="826"/>
      <c r="J866" s="827"/>
      <c r="K866" s="825"/>
      <c r="L866" s="824"/>
      <c r="M866" s="825"/>
      <c r="N866" s="825"/>
      <c r="O866" s="825"/>
      <c r="P866" s="830"/>
      <c r="Q866" s="830"/>
    </row>
    <row r="867" ht="33.0" customHeight="1">
      <c r="A867" s="811"/>
      <c r="B867" s="927"/>
      <c r="C867" s="817"/>
      <c r="D867" s="928"/>
      <c r="E867" s="816"/>
      <c r="F867" s="816"/>
      <c r="G867" s="816"/>
      <c r="H867" s="817"/>
      <c r="I867" s="817"/>
      <c r="J867" s="818"/>
      <c r="K867" s="816"/>
      <c r="L867" s="815"/>
      <c r="M867" s="816"/>
      <c r="N867" s="816"/>
      <c r="O867" s="816"/>
      <c r="P867" s="821"/>
      <c r="Q867" s="821"/>
    </row>
    <row r="868" ht="33.0" customHeight="1">
      <c r="A868" s="822"/>
      <c r="B868" s="927"/>
      <c r="C868" s="826"/>
      <c r="D868" s="928"/>
      <c r="E868" s="825"/>
      <c r="F868" s="825"/>
      <c r="G868" s="825"/>
      <c r="H868" s="826"/>
      <c r="I868" s="826"/>
      <c r="J868" s="827"/>
      <c r="K868" s="825"/>
      <c r="L868" s="824"/>
      <c r="M868" s="825"/>
      <c r="N868" s="825"/>
      <c r="O868" s="825"/>
      <c r="P868" s="830"/>
      <c r="Q868" s="830"/>
    </row>
    <row r="869" ht="33.0" customHeight="1">
      <c r="A869" s="811"/>
      <c r="B869" s="927"/>
      <c r="C869" s="817"/>
      <c r="D869" s="928"/>
      <c r="E869" s="816"/>
      <c r="F869" s="816"/>
      <c r="G869" s="816"/>
      <c r="H869" s="817"/>
      <c r="I869" s="817"/>
      <c r="J869" s="818"/>
      <c r="K869" s="816"/>
      <c r="L869" s="815"/>
      <c r="M869" s="816"/>
      <c r="N869" s="816"/>
      <c r="O869" s="816"/>
      <c r="P869" s="821"/>
      <c r="Q869" s="821"/>
    </row>
    <row r="870" ht="33.0" customHeight="1">
      <c r="A870" s="822"/>
      <c r="B870" s="927"/>
      <c r="C870" s="826"/>
      <c r="D870" s="928"/>
      <c r="E870" s="825"/>
      <c r="F870" s="825"/>
      <c r="G870" s="825"/>
      <c r="H870" s="826"/>
      <c r="I870" s="826"/>
      <c r="J870" s="827"/>
      <c r="K870" s="825"/>
      <c r="L870" s="824"/>
      <c r="M870" s="825"/>
      <c r="N870" s="825"/>
      <c r="O870" s="825"/>
      <c r="P870" s="830"/>
      <c r="Q870" s="830"/>
    </row>
    <row r="871" ht="33.0" customHeight="1">
      <c r="A871" s="811"/>
      <c r="B871" s="927"/>
      <c r="C871" s="817"/>
      <c r="D871" s="928"/>
      <c r="E871" s="816"/>
      <c r="F871" s="816"/>
      <c r="G871" s="816"/>
      <c r="H871" s="817"/>
      <c r="I871" s="817"/>
      <c r="J871" s="818"/>
      <c r="K871" s="816"/>
      <c r="L871" s="815"/>
      <c r="M871" s="816"/>
      <c r="N871" s="816"/>
      <c r="O871" s="816"/>
      <c r="P871" s="821"/>
      <c r="Q871" s="821"/>
    </row>
    <row r="872" ht="33.0" customHeight="1">
      <c r="A872" s="822"/>
      <c r="B872" s="927"/>
      <c r="C872" s="826"/>
      <c r="D872" s="928"/>
      <c r="E872" s="825"/>
      <c r="F872" s="825"/>
      <c r="G872" s="825"/>
      <c r="H872" s="826"/>
      <c r="I872" s="826"/>
      <c r="J872" s="827"/>
      <c r="K872" s="825"/>
      <c r="L872" s="824"/>
      <c r="M872" s="825"/>
      <c r="N872" s="825"/>
      <c r="O872" s="825"/>
      <c r="P872" s="830"/>
      <c r="Q872" s="830"/>
    </row>
    <row r="873" ht="33.0" customHeight="1">
      <c r="A873" s="811"/>
      <c r="B873" s="927"/>
      <c r="C873" s="817"/>
      <c r="D873" s="928"/>
      <c r="E873" s="816"/>
      <c r="F873" s="816"/>
      <c r="G873" s="816"/>
      <c r="H873" s="817"/>
      <c r="I873" s="817"/>
      <c r="J873" s="818"/>
      <c r="K873" s="816"/>
      <c r="L873" s="815"/>
      <c r="M873" s="816"/>
      <c r="N873" s="816"/>
      <c r="O873" s="816"/>
      <c r="P873" s="821"/>
      <c r="Q873" s="821"/>
    </row>
    <row r="874" ht="33.0" customHeight="1">
      <c r="A874" s="822"/>
      <c r="B874" s="927"/>
      <c r="C874" s="826"/>
      <c r="D874" s="928"/>
      <c r="E874" s="825"/>
      <c r="F874" s="825"/>
      <c r="G874" s="825"/>
      <c r="H874" s="826"/>
      <c r="I874" s="826"/>
      <c r="J874" s="827"/>
      <c r="K874" s="825"/>
      <c r="L874" s="824"/>
      <c r="M874" s="825"/>
      <c r="N874" s="825"/>
      <c r="O874" s="825"/>
      <c r="P874" s="830"/>
      <c r="Q874" s="830"/>
    </row>
    <row r="875" ht="33.0" customHeight="1">
      <c r="A875" s="811"/>
      <c r="B875" s="927"/>
      <c r="C875" s="817"/>
      <c r="D875" s="928"/>
      <c r="E875" s="816"/>
      <c r="F875" s="816"/>
      <c r="G875" s="816"/>
      <c r="H875" s="817"/>
      <c r="I875" s="817"/>
      <c r="J875" s="818"/>
      <c r="K875" s="816"/>
      <c r="L875" s="815"/>
      <c r="M875" s="816"/>
      <c r="N875" s="816"/>
      <c r="O875" s="816"/>
      <c r="P875" s="821"/>
      <c r="Q875" s="821"/>
    </row>
    <row r="876" ht="33.0" customHeight="1">
      <c r="A876" s="822"/>
      <c r="B876" s="927"/>
      <c r="C876" s="826"/>
      <c r="D876" s="928"/>
      <c r="E876" s="825"/>
      <c r="F876" s="825"/>
      <c r="G876" s="825"/>
      <c r="H876" s="826"/>
      <c r="I876" s="826"/>
      <c r="J876" s="827"/>
      <c r="K876" s="825"/>
      <c r="L876" s="824"/>
      <c r="M876" s="825"/>
      <c r="N876" s="825"/>
      <c r="O876" s="825"/>
      <c r="P876" s="830"/>
      <c r="Q876" s="830"/>
    </row>
    <row r="877" ht="33.0" customHeight="1">
      <c r="A877" s="811"/>
      <c r="B877" s="927"/>
      <c r="C877" s="817"/>
      <c r="D877" s="928"/>
      <c r="E877" s="816"/>
      <c r="F877" s="816"/>
      <c r="G877" s="816"/>
      <c r="H877" s="817"/>
      <c r="I877" s="817"/>
      <c r="J877" s="818"/>
      <c r="K877" s="816"/>
      <c r="L877" s="815"/>
      <c r="M877" s="816"/>
      <c r="N877" s="816"/>
      <c r="O877" s="816"/>
      <c r="P877" s="821"/>
      <c r="Q877" s="821"/>
    </row>
    <row r="878" ht="33.0" customHeight="1">
      <c r="A878" s="822"/>
      <c r="B878" s="927"/>
      <c r="C878" s="826"/>
      <c r="D878" s="928"/>
      <c r="E878" s="825"/>
      <c r="F878" s="825"/>
      <c r="G878" s="825"/>
      <c r="H878" s="826"/>
      <c r="I878" s="826"/>
      <c r="J878" s="827"/>
      <c r="K878" s="825"/>
      <c r="L878" s="824"/>
      <c r="M878" s="825"/>
      <c r="N878" s="825"/>
      <c r="O878" s="825"/>
      <c r="P878" s="830"/>
      <c r="Q878" s="830"/>
    </row>
    <row r="879" ht="33.0" customHeight="1">
      <c r="A879" s="811"/>
      <c r="B879" s="927"/>
      <c r="C879" s="817"/>
      <c r="D879" s="928"/>
      <c r="E879" s="816"/>
      <c r="F879" s="816"/>
      <c r="G879" s="816"/>
      <c r="H879" s="817"/>
      <c r="I879" s="817"/>
      <c r="J879" s="818"/>
      <c r="K879" s="816"/>
      <c r="L879" s="815"/>
      <c r="M879" s="816"/>
      <c r="N879" s="816"/>
      <c r="O879" s="816"/>
      <c r="P879" s="821"/>
      <c r="Q879" s="821"/>
    </row>
    <row r="880" ht="33.0" customHeight="1">
      <c r="A880" s="822"/>
      <c r="B880" s="927"/>
      <c r="C880" s="826"/>
      <c r="D880" s="928"/>
      <c r="E880" s="825"/>
      <c r="F880" s="825"/>
      <c r="G880" s="825"/>
      <c r="H880" s="826"/>
      <c r="I880" s="826"/>
      <c r="J880" s="827"/>
      <c r="K880" s="825"/>
      <c r="L880" s="824"/>
      <c r="M880" s="825"/>
      <c r="N880" s="825"/>
      <c r="O880" s="825"/>
      <c r="P880" s="830"/>
      <c r="Q880" s="830"/>
    </row>
    <row r="881" ht="33.0" customHeight="1">
      <c r="A881" s="811"/>
      <c r="B881" s="927"/>
      <c r="C881" s="817"/>
      <c r="D881" s="928"/>
      <c r="E881" s="816"/>
      <c r="F881" s="816"/>
      <c r="G881" s="816"/>
      <c r="H881" s="817"/>
      <c r="I881" s="817"/>
      <c r="J881" s="818"/>
      <c r="K881" s="816"/>
      <c r="L881" s="815"/>
      <c r="M881" s="816"/>
      <c r="N881" s="816"/>
      <c r="O881" s="816"/>
      <c r="P881" s="821"/>
      <c r="Q881" s="821"/>
    </row>
    <row r="882" ht="33.0" customHeight="1">
      <c r="A882" s="822"/>
      <c r="B882" s="927"/>
      <c r="C882" s="826"/>
      <c r="D882" s="928"/>
      <c r="E882" s="825"/>
      <c r="F882" s="825"/>
      <c r="G882" s="825"/>
      <c r="H882" s="826"/>
      <c r="I882" s="826"/>
      <c r="J882" s="827"/>
      <c r="K882" s="825"/>
      <c r="L882" s="824"/>
      <c r="M882" s="825"/>
      <c r="N882" s="825"/>
      <c r="O882" s="825"/>
      <c r="P882" s="830"/>
      <c r="Q882" s="830"/>
    </row>
    <row r="883" ht="33.0" customHeight="1">
      <c r="A883" s="811"/>
      <c r="B883" s="927"/>
      <c r="C883" s="817"/>
      <c r="D883" s="928"/>
      <c r="E883" s="816"/>
      <c r="F883" s="816"/>
      <c r="G883" s="816"/>
      <c r="H883" s="817"/>
      <c r="I883" s="817"/>
      <c r="J883" s="818"/>
      <c r="K883" s="816"/>
      <c r="L883" s="815"/>
      <c r="M883" s="816"/>
      <c r="N883" s="816"/>
      <c r="O883" s="816"/>
      <c r="P883" s="821"/>
      <c r="Q883" s="821"/>
    </row>
    <row r="884" ht="33.0" customHeight="1">
      <c r="A884" s="822"/>
      <c r="B884" s="927"/>
      <c r="C884" s="826"/>
      <c r="D884" s="928"/>
      <c r="E884" s="825"/>
      <c r="F884" s="825"/>
      <c r="G884" s="825"/>
      <c r="H884" s="826"/>
      <c r="I884" s="826"/>
      <c r="J884" s="827"/>
      <c r="K884" s="825"/>
      <c r="L884" s="824"/>
      <c r="M884" s="825"/>
      <c r="N884" s="825"/>
      <c r="O884" s="825"/>
      <c r="P884" s="830"/>
      <c r="Q884" s="830"/>
    </row>
    <row r="885" ht="33.0" customHeight="1">
      <c r="A885" s="811"/>
      <c r="B885" s="927"/>
      <c r="C885" s="817"/>
      <c r="D885" s="928"/>
      <c r="E885" s="816"/>
      <c r="F885" s="816"/>
      <c r="G885" s="816"/>
      <c r="H885" s="817"/>
      <c r="I885" s="817"/>
      <c r="J885" s="818"/>
      <c r="K885" s="816"/>
      <c r="L885" s="815"/>
      <c r="M885" s="816"/>
      <c r="N885" s="816"/>
      <c r="O885" s="816"/>
      <c r="P885" s="821"/>
      <c r="Q885" s="821"/>
    </row>
    <row r="886" ht="33.0" customHeight="1">
      <c r="A886" s="822"/>
      <c r="B886" s="927"/>
      <c r="C886" s="826"/>
      <c r="D886" s="928"/>
      <c r="E886" s="825"/>
      <c r="F886" s="825"/>
      <c r="G886" s="825"/>
      <c r="H886" s="826"/>
      <c r="I886" s="826"/>
      <c r="J886" s="827"/>
      <c r="K886" s="825"/>
      <c r="L886" s="824"/>
      <c r="M886" s="825"/>
      <c r="N886" s="825"/>
      <c r="O886" s="825"/>
      <c r="P886" s="830"/>
      <c r="Q886" s="830"/>
    </row>
    <row r="887" ht="33.0" customHeight="1">
      <c r="A887" s="811"/>
      <c r="B887" s="927"/>
      <c r="C887" s="817"/>
      <c r="D887" s="928"/>
      <c r="E887" s="816"/>
      <c r="F887" s="816"/>
      <c r="G887" s="816"/>
      <c r="H887" s="817"/>
      <c r="I887" s="817"/>
      <c r="J887" s="818"/>
      <c r="K887" s="816"/>
      <c r="L887" s="815"/>
      <c r="M887" s="816"/>
      <c r="N887" s="816"/>
      <c r="O887" s="816"/>
      <c r="P887" s="821"/>
      <c r="Q887" s="821"/>
    </row>
    <row r="888" ht="33.0" customHeight="1">
      <c r="A888" s="822"/>
      <c r="B888" s="927"/>
      <c r="C888" s="826"/>
      <c r="D888" s="928"/>
      <c r="E888" s="825"/>
      <c r="F888" s="825"/>
      <c r="G888" s="825"/>
      <c r="H888" s="826"/>
      <c r="I888" s="826"/>
      <c r="J888" s="827"/>
      <c r="K888" s="825"/>
      <c r="L888" s="824"/>
      <c r="M888" s="825"/>
      <c r="N888" s="825"/>
      <c r="O888" s="825"/>
      <c r="P888" s="830"/>
      <c r="Q888" s="830"/>
    </row>
    <row r="889" ht="33.0" customHeight="1">
      <c r="A889" s="811"/>
      <c r="B889" s="927"/>
      <c r="C889" s="817"/>
      <c r="D889" s="928"/>
      <c r="E889" s="816"/>
      <c r="F889" s="816"/>
      <c r="G889" s="816"/>
      <c r="H889" s="817"/>
      <c r="I889" s="817"/>
      <c r="J889" s="818"/>
      <c r="K889" s="816"/>
      <c r="L889" s="815"/>
      <c r="M889" s="816"/>
      <c r="N889" s="816"/>
      <c r="O889" s="816"/>
      <c r="P889" s="821"/>
      <c r="Q889" s="821"/>
    </row>
    <row r="890" ht="33.0" customHeight="1">
      <c r="A890" s="822"/>
      <c r="B890" s="927"/>
      <c r="C890" s="826"/>
      <c r="D890" s="928"/>
      <c r="E890" s="825"/>
      <c r="F890" s="825"/>
      <c r="G890" s="825"/>
      <c r="H890" s="826"/>
      <c r="I890" s="826"/>
      <c r="J890" s="827"/>
      <c r="K890" s="825"/>
      <c r="L890" s="824"/>
      <c r="M890" s="825"/>
      <c r="N890" s="825"/>
      <c r="O890" s="825"/>
      <c r="P890" s="830"/>
      <c r="Q890" s="830"/>
    </row>
    <row r="891" ht="33.0" customHeight="1">
      <c r="A891" s="811"/>
      <c r="B891" s="927"/>
      <c r="C891" s="817"/>
      <c r="D891" s="928"/>
      <c r="E891" s="816"/>
      <c r="F891" s="816"/>
      <c r="G891" s="816"/>
      <c r="H891" s="817"/>
      <c r="I891" s="817"/>
      <c r="J891" s="818"/>
      <c r="K891" s="816"/>
      <c r="L891" s="815"/>
      <c r="M891" s="816"/>
      <c r="N891" s="816"/>
      <c r="O891" s="816"/>
      <c r="P891" s="821"/>
      <c r="Q891" s="821"/>
    </row>
    <row r="892" ht="33.0" customHeight="1">
      <c r="A892" s="822"/>
      <c r="B892" s="927"/>
      <c r="C892" s="826"/>
      <c r="D892" s="928"/>
      <c r="E892" s="825"/>
      <c r="F892" s="825"/>
      <c r="G892" s="825"/>
      <c r="H892" s="826"/>
      <c r="I892" s="826"/>
      <c r="J892" s="827"/>
      <c r="K892" s="825"/>
      <c r="L892" s="824"/>
      <c r="M892" s="825"/>
      <c r="N892" s="825"/>
      <c r="O892" s="825"/>
      <c r="P892" s="830"/>
      <c r="Q892" s="830"/>
    </row>
    <row r="893" ht="33.0" customHeight="1">
      <c r="A893" s="811"/>
      <c r="B893" s="927"/>
      <c r="C893" s="817"/>
      <c r="D893" s="928"/>
      <c r="E893" s="816"/>
      <c r="F893" s="816"/>
      <c r="G893" s="816"/>
      <c r="H893" s="817"/>
      <c r="I893" s="817"/>
      <c r="J893" s="818"/>
      <c r="K893" s="816"/>
      <c r="L893" s="815"/>
      <c r="M893" s="816"/>
      <c r="N893" s="816"/>
      <c r="O893" s="816"/>
      <c r="P893" s="821"/>
      <c r="Q893" s="821"/>
    </row>
    <row r="894" ht="33.0" customHeight="1">
      <c r="A894" s="822"/>
      <c r="B894" s="927"/>
      <c r="C894" s="826"/>
      <c r="D894" s="928"/>
      <c r="E894" s="825"/>
      <c r="F894" s="825"/>
      <c r="G894" s="825"/>
      <c r="H894" s="826"/>
      <c r="I894" s="826"/>
      <c r="J894" s="827"/>
      <c r="K894" s="825"/>
      <c r="L894" s="824"/>
      <c r="M894" s="825"/>
      <c r="N894" s="825"/>
      <c r="O894" s="825"/>
      <c r="P894" s="830"/>
      <c r="Q894" s="830"/>
    </row>
    <row r="895" ht="33.0" customHeight="1">
      <c r="A895" s="811"/>
      <c r="B895" s="927"/>
      <c r="C895" s="817"/>
      <c r="D895" s="928"/>
      <c r="E895" s="816"/>
      <c r="F895" s="816"/>
      <c r="G895" s="816"/>
      <c r="H895" s="817"/>
      <c r="I895" s="817"/>
      <c r="J895" s="818"/>
      <c r="K895" s="816"/>
      <c r="L895" s="815"/>
      <c r="M895" s="816"/>
      <c r="N895" s="816"/>
      <c r="O895" s="816"/>
      <c r="P895" s="821"/>
      <c r="Q895" s="821"/>
    </row>
    <row r="896" ht="33.0" customHeight="1">
      <c r="A896" s="822"/>
      <c r="B896" s="927"/>
      <c r="C896" s="826"/>
      <c r="D896" s="928"/>
      <c r="E896" s="825"/>
      <c r="F896" s="825"/>
      <c r="G896" s="825"/>
      <c r="H896" s="826"/>
      <c r="I896" s="826"/>
      <c r="J896" s="827"/>
      <c r="K896" s="825"/>
      <c r="L896" s="824"/>
      <c r="M896" s="825"/>
      <c r="N896" s="825"/>
      <c r="O896" s="825"/>
      <c r="P896" s="830"/>
      <c r="Q896" s="830"/>
    </row>
    <row r="897" ht="33.0" customHeight="1">
      <c r="A897" s="811"/>
      <c r="B897" s="927"/>
      <c r="C897" s="817"/>
      <c r="D897" s="928"/>
      <c r="E897" s="816"/>
      <c r="F897" s="816"/>
      <c r="G897" s="816"/>
      <c r="H897" s="817"/>
      <c r="I897" s="817"/>
      <c r="J897" s="818"/>
      <c r="K897" s="816"/>
      <c r="L897" s="815"/>
      <c r="M897" s="816"/>
      <c r="N897" s="816"/>
      <c r="O897" s="816"/>
      <c r="P897" s="821"/>
      <c r="Q897" s="821"/>
    </row>
    <row r="898" ht="33.0" customHeight="1">
      <c r="A898" s="822"/>
      <c r="B898" s="927"/>
      <c r="C898" s="826"/>
      <c r="D898" s="928"/>
      <c r="E898" s="825"/>
      <c r="F898" s="825"/>
      <c r="G898" s="825"/>
      <c r="H898" s="826"/>
      <c r="I898" s="826"/>
      <c r="J898" s="827"/>
      <c r="K898" s="825"/>
      <c r="L898" s="824"/>
      <c r="M898" s="825"/>
      <c r="N898" s="825"/>
      <c r="O898" s="825"/>
      <c r="P898" s="830"/>
      <c r="Q898" s="830"/>
    </row>
    <row r="899" ht="33.0" customHeight="1">
      <c r="A899" s="811"/>
      <c r="B899" s="927"/>
      <c r="C899" s="817"/>
      <c r="D899" s="928"/>
      <c r="E899" s="816"/>
      <c r="F899" s="816"/>
      <c r="G899" s="816"/>
      <c r="H899" s="817"/>
      <c r="I899" s="817"/>
      <c r="J899" s="818"/>
      <c r="K899" s="816"/>
      <c r="L899" s="815"/>
      <c r="M899" s="816"/>
      <c r="N899" s="816"/>
      <c r="O899" s="816"/>
      <c r="P899" s="821"/>
      <c r="Q899" s="821"/>
    </row>
    <row r="900" ht="33.0" customHeight="1">
      <c r="A900" s="822"/>
      <c r="B900" s="927"/>
      <c r="C900" s="826"/>
      <c r="D900" s="928"/>
      <c r="E900" s="825"/>
      <c r="F900" s="825"/>
      <c r="G900" s="825"/>
      <c r="H900" s="826"/>
      <c r="I900" s="826"/>
      <c r="J900" s="827"/>
      <c r="K900" s="825"/>
      <c r="L900" s="824"/>
      <c r="M900" s="825"/>
      <c r="N900" s="825"/>
      <c r="O900" s="825"/>
      <c r="P900" s="830"/>
      <c r="Q900" s="830"/>
    </row>
    <row r="901" ht="33.0" customHeight="1">
      <c r="A901" s="811"/>
      <c r="B901" s="927"/>
      <c r="C901" s="817"/>
      <c r="D901" s="928"/>
      <c r="E901" s="816"/>
      <c r="F901" s="816"/>
      <c r="G901" s="816"/>
      <c r="H901" s="817"/>
      <c r="I901" s="817"/>
      <c r="J901" s="818"/>
      <c r="K901" s="816"/>
      <c r="L901" s="815"/>
      <c r="M901" s="816"/>
      <c r="N901" s="816"/>
      <c r="O901" s="816"/>
      <c r="P901" s="821"/>
      <c r="Q901" s="821"/>
    </row>
    <row r="902" ht="33.0" customHeight="1">
      <c r="A902" s="822"/>
      <c r="B902" s="927"/>
      <c r="C902" s="826"/>
      <c r="D902" s="928"/>
      <c r="E902" s="825"/>
      <c r="F902" s="825"/>
      <c r="G902" s="825"/>
      <c r="H902" s="826"/>
      <c r="I902" s="826"/>
      <c r="J902" s="827"/>
      <c r="K902" s="825"/>
      <c r="L902" s="824"/>
      <c r="M902" s="825"/>
      <c r="N902" s="825"/>
      <c r="O902" s="825"/>
      <c r="P902" s="830"/>
      <c r="Q902" s="830"/>
    </row>
    <row r="903" ht="33.0" customHeight="1">
      <c r="A903" s="811"/>
      <c r="B903" s="927"/>
      <c r="C903" s="817"/>
      <c r="D903" s="928"/>
      <c r="E903" s="816"/>
      <c r="F903" s="816"/>
      <c r="G903" s="816"/>
      <c r="H903" s="817"/>
      <c r="I903" s="817"/>
      <c r="J903" s="818"/>
      <c r="K903" s="816"/>
      <c r="L903" s="815"/>
      <c r="M903" s="816"/>
      <c r="N903" s="816"/>
      <c r="O903" s="816"/>
      <c r="P903" s="821"/>
      <c r="Q903" s="821"/>
    </row>
    <row r="904" ht="33.0" customHeight="1">
      <c r="A904" s="822"/>
      <c r="B904" s="927"/>
      <c r="C904" s="826"/>
      <c r="D904" s="928"/>
      <c r="E904" s="825"/>
      <c r="F904" s="825"/>
      <c r="G904" s="825"/>
      <c r="H904" s="826"/>
      <c r="I904" s="826"/>
      <c r="J904" s="827"/>
      <c r="K904" s="825"/>
      <c r="L904" s="824"/>
      <c r="M904" s="825"/>
      <c r="N904" s="825"/>
      <c r="O904" s="825"/>
      <c r="P904" s="830"/>
      <c r="Q904" s="830"/>
    </row>
    <row r="905" ht="33.0" customHeight="1">
      <c r="A905" s="811"/>
      <c r="B905" s="927"/>
      <c r="C905" s="817"/>
      <c r="D905" s="928"/>
      <c r="E905" s="816"/>
      <c r="F905" s="816"/>
      <c r="G905" s="816"/>
      <c r="H905" s="817"/>
      <c r="I905" s="817"/>
      <c r="J905" s="818"/>
      <c r="K905" s="816"/>
      <c r="L905" s="815"/>
      <c r="M905" s="816"/>
      <c r="N905" s="816"/>
      <c r="O905" s="816"/>
      <c r="P905" s="821"/>
      <c r="Q905" s="821"/>
    </row>
    <row r="906" ht="33.0" customHeight="1">
      <c r="A906" s="822"/>
      <c r="B906" s="927"/>
      <c r="C906" s="826"/>
      <c r="D906" s="928"/>
      <c r="E906" s="825"/>
      <c r="F906" s="825"/>
      <c r="G906" s="825"/>
      <c r="H906" s="826"/>
      <c r="I906" s="826"/>
      <c r="J906" s="827"/>
      <c r="K906" s="825"/>
      <c r="L906" s="824"/>
      <c r="M906" s="825"/>
      <c r="N906" s="825"/>
      <c r="O906" s="825"/>
      <c r="P906" s="830"/>
      <c r="Q906" s="830"/>
    </row>
    <row r="907" ht="33.0" customHeight="1">
      <c r="A907" s="811"/>
      <c r="B907" s="927"/>
      <c r="C907" s="817"/>
      <c r="D907" s="928"/>
      <c r="E907" s="816"/>
      <c r="F907" s="816"/>
      <c r="G907" s="816"/>
      <c r="H907" s="817"/>
      <c r="I907" s="817"/>
      <c r="J907" s="818"/>
      <c r="K907" s="816"/>
      <c r="L907" s="815"/>
      <c r="M907" s="816"/>
      <c r="N907" s="816"/>
      <c r="O907" s="816"/>
      <c r="P907" s="821"/>
      <c r="Q907" s="821"/>
    </row>
    <row r="908" ht="33.0" customHeight="1">
      <c r="A908" s="822"/>
      <c r="B908" s="927"/>
      <c r="C908" s="826"/>
      <c r="D908" s="928"/>
      <c r="E908" s="825"/>
      <c r="F908" s="825"/>
      <c r="G908" s="825"/>
      <c r="H908" s="826"/>
      <c r="I908" s="826"/>
      <c r="J908" s="827"/>
      <c r="K908" s="825"/>
      <c r="L908" s="824"/>
      <c r="M908" s="825"/>
      <c r="N908" s="825"/>
      <c r="O908" s="825"/>
      <c r="P908" s="830"/>
      <c r="Q908" s="830"/>
    </row>
    <row r="909" ht="33.0" customHeight="1">
      <c r="A909" s="811"/>
      <c r="B909" s="927"/>
      <c r="C909" s="817"/>
      <c r="D909" s="928"/>
      <c r="E909" s="816"/>
      <c r="F909" s="816"/>
      <c r="G909" s="816"/>
      <c r="H909" s="817"/>
      <c r="I909" s="817"/>
      <c r="J909" s="818"/>
      <c r="K909" s="816"/>
      <c r="L909" s="815"/>
      <c r="M909" s="816"/>
      <c r="N909" s="816"/>
      <c r="O909" s="816"/>
      <c r="P909" s="821"/>
      <c r="Q909" s="821"/>
    </row>
    <row r="910" ht="33.0" customHeight="1">
      <c r="A910" s="822"/>
      <c r="B910" s="927"/>
      <c r="C910" s="826"/>
      <c r="D910" s="928"/>
      <c r="E910" s="825"/>
      <c r="F910" s="825"/>
      <c r="G910" s="825"/>
      <c r="H910" s="826"/>
      <c r="I910" s="826"/>
      <c r="J910" s="827"/>
      <c r="K910" s="825"/>
      <c r="L910" s="824"/>
      <c r="M910" s="825"/>
      <c r="N910" s="825"/>
      <c r="O910" s="825"/>
      <c r="P910" s="830"/>
      <c r="Q910" s="830"/>
    </row>
    <row r="911" ht="33.0" customHeight="1">
      <c r="A911" s="811"/>
      <c r="B911" s="927"/>
      <c r="C911" s="817"/>
      <c r="D911" s="928"/>
      <c r="E911" s="816"/>
      <c r="F911" s="816"/>
      <c r="G911" s="816"/>
      <c r="H911" s="817"/>
      <c r="I911" s="817"/>
      <c r="J911" s="818"/>
      <c r="K911" s="816"/>
      <c r="L911" s="815"/>
      <c r="M911" s="816"/>
      <c r="N911" s="816"/>
      <c r="O911" s="816"/>
      <c r="P911" s="821"/>
      <c r="Q911" s="821"/>
    </row>
    <row r="912" ht="33.0" customHeight="1">
      <c r="A912" s="822"/>
      <c r="B912" s="927"/>
      <c r="C912" s="826"/>
      <c r="D912" s="928"/>
      <c r="E912" s="825"/>
      <c r="F912" s="825"/>
      <c r="G912" s="825"/>
      <c r="H912" s="826"/>
      <c r="I912" s="826"/>
      <c r="J912" s="827"/>
      <c r="K912" s="825"/>
      <c r="L912" s="824"/>
      <c r="M912" s="825"/>
      <c r="N912" s="825"/>
      <c r="O912" s="825"/>
      <c r="P912" s="830"/>
      <c r="Q912" s="830"/>
    </row>
    <row r="913" ht="33.0" customHeight="1">
      <c r="A913" s="811"/>
      <c r="B913" s="927"/>
      <c r="C913" s="817"/>
      <c r="D913" s="928"/>
      <c r="E913" s="816"/>
      <c r="F913" s="816"/>
      <c r="G913" s="816"/>
      <c r="H913" s="817"/>
      <c r="I913" s="817"/>
      <c r="J913" s="818"/>
      <c r="K913" s="816"/>
      <c r="L913" s="815"/>
      <c r="M913" s="816"/>
      <c r="N913" s="816"/>
      <c r="O913" s="816"/>
      <c r="P913" s="821"/>
      <c r="Q913" s="821"/>
    </row>
    <row r="914" ht="33.0" customHeight="1">
      <c r="A914" s="822"/>
      <c r="B914" s="927"/>
      <c r="C914" s="826"/>
      <c r="D914" s="928"/>
      <c r="E914" s="825"/>
      <c r="F914" s="825"/>
      <c r="G914" s="825"/>
      <c r="H914" s="826"/>
      <c r="I914" s="826"/>
      <c r="J914" s="827"/>
      <c r="K914" s="825"/>
      <c r="L914" s="824"/>
      <c r="M914" s="825"/>
      <c r="N914" s="825"/>
      <c r="O914" s="825"/>
      <c r="P914" s="830"/>
      <c r="Q914" s="830"/>
    </row>
    <row r="915" ht="33.0" customHeight="1">
      <c r="A915" s="811"/>
      <c r="B915" s="927"/>
      <c r="C915" s="817"/>
      <c r="D915" s="928"/>
      <c r="E915" s="816"/>
      <c r="F915" s="816"/>
      <c r="G915" s="816"/>
      <c r="H915" s="817"/>
      <c r="I915" s="817"/>
      <c r="J915" s="818"/>
      <c r="K915" s="816"/>
      <c r="L915" s="815"/>
      <c r="M915" s="816"/>
      <c r="N915" s="816"/>
      <c r="O915" s="816"/>
      <c r="P915" s="821"/>
      <c r="Q915" s="821"/>
    </row>
    <row r="916" ht="33.0" customHeight="1">
      <c r="A916" s="822"/>
      <c r="B916" s="927"/>
      <c r="C916" s="826"/>
      <c r="D916" s="928"/>
      <c r="E916" s="825"/>
      <c r="F916" s="825"/>
      <c r="G916" s="825"/>
      <c r="H916" s="826"/>
      <c r="I916" s="826"/>
      <c r="J916" s="827"/>
      <c r="K916" s="825"/>
      <c r="L916" s="824"/>
      <c r="M916" s="825"/>
      <c r="N916" s="825"/>
      <c r="O916" s="825"/>
      <c r="P916" s="830"/>
      <c r="Q916" s="830"/>
    </row>
    <row r="917" ht="33.0" customHeight="1">
      <c r="A917" s="811"/>
      <c r="B917" s="927"/>
      <c r="C917" s="817"/>
      <c r="D917" s="928"/>
      <c r="E917" s="816"/>
      <c r="F917" s="816"/>
      <c r="G917" s="816"/>
      <c r="H917" s="817"/>
      <c r="I917" s="817"/>
      <c r="J917" s="818"/>
      <c r="K917" s="816"/>
      <c r="L917" s="815"/>
      <c r="M917" s="816"/>
      <c r="N917" s="816"/>
      <c r="O917" s="816"/>
      <c r="P917" s="821"/>
      <c r="Q917" s="821"/>
    </row>
    <row r="918" ht="33.0" customHeight="1">
      <c r="A918" s="822"/>
      <c r="B918" s="927"/>
      <c r="C918" s="826"/>
      <c r="D918" s="928"/>
      <c r="E918" s="825"/>
      <c r="F918" s="825"/>
      <c r="G918" s="825"/>
      <c r="H918" s="826"/>
      <c r="I918" s="826"/>
      <c r="J918" s="827"/>
      <c r="K918" s="825"/>
      <c r="L918" s="824"/>
      <c r="M918" s="825"/>
      <c r="N918" s="825"/>
      <c r="O918" s="825"/>
      <c r="P918" s="830"/>
      <c r="Q918" s="830"/>
    </row>
    <row r="919" ht="33.0" customHeight="1">
      <c r="A919" s="811"/>
      <c r="B919" s="927"/>
      <c r="C919" s="817"/>
      <c r="D919" s="928"/>
      <c r="E919" s="816"/>
      <c r="F919" s="816"/>
      <c r="G919" s="816"/>
      <c r="H919" s="817"/>
      <c r="I919" s="817"/>
      <c r="J919" s="818"/>
      <c r="K919" s="816"/>
      <c r="L919" s="815"/>
      <c r="M919" s="816"/>
      <c r="N919" s="816"/>
      <c r="O919" s="816"/>
      <c r="P919" s="821"/>
      <c r="Q919" s="821"/>
    </row>
    <row r="920" ht="33.0" customHeight="1">
      <c r="A920" s="822"/>
      <c r="B920" s="927"/>
      <c r="C920" s="826"/>
      <c r="D920" s="928"/>
      <c r="E920" s="825"/>
      <c r="F920" s="825"/>
      <c r="G920" s="825"/>
      <c r="H920" s="826"/>
      <c r="I920" s="826"/>
      <c r="J920" s="827"/>
      <c r="K920" s="825"/>
      <c r="L920" s="824"/>
      <c r="M920" s="825"/>
      <c r="N920" s="825"/>
      <c r="O920" s="825"/>
      <c r="P920" s="830"/>
      <c r="Q920" s="830"/>
    </row>
    <row r="921" ht="33.0" customHeight="1">
      <c r="A921" s="811"/>
      <c r="B921" s="927"/>
      <c r="C921" s="817"/>
      <c r="D921" s="928"/>
      <c r="E921" s="816"/>
      <c r="F921" s="816"/>
      <c r="G921" s="816"/>
      <c r="H921" s="817"/>
      <c r="I921" s="817"/>
      <c r="J921" s="818"/>
      <c r="K921" s="816"/>
      <c r="L921" s="815"/>
      <c r="M921" s="816"/>
      <c r="N921" s="816"/>
      <c r="O921" s="816"/>
      <c r="P921" s="821"/>
      <c r="Q921" s="821"/>
    </row>
    <row r="922" ht="33.0" customHeight="1">
      <c r="A922" s="822"/>
      <c r="B922" s="927"/>
      <c r="C922" s="826"/>
      <c r="D922" s="928"/>
      <c r="E922" s="825"/>
      <c r="F922" s="825"/>
      <c r="G922" s="825"/>
      <c r="H922" s="826"/>
      <c r="I922" s="826"/>
      <c r="J922" s="827"/>
      <c r="K922" s="825"/>
      <c r="L922" s="824"/>
      <c r="M922" s="825"/>
      <c r="N922" s="825"/>
      <c r="O922" s="825"/>
      <c r="P922" s="830"/>
      <c r="Q922" s="830"/>
    </row>
    <row r="923" ht="33.0" customHeight="1">
      <c r="A923" s="811"/>
      <c r="B923" s="927"/>
      <c r="C923" s="817"/>
      <c r="D923" s="928"/>
      <c r="E923" s="816"/>
      <c r="F923" s="816"/>
      <c r="G923" s="816"/>
      <c r="H923" s="817"/>
      <c r="I923" s="817"/>
      <c r="J923" s="818"/>
      <c r="K923" s="816"/>
      <c r="L923" s="815"/>
      <c r="M923" s="816"/>
      <c r="N923" s="816"/>
      <c r="O923" s="816"/>
      <c r="P923" s="821"/>
      <c r="Q923" s="821"/>
    </row>
    <row r="924" ht="33.0" customHeight="1">
      <c r="A924" s="822"/>
      <c r="B924" s="927"/>
      <c r="C924" s="826"/>
      <c r="D924" s="928"/>
      <c r="E924" s="825"/>
      <c r="F924" s="825"/>
      <c r="G924" s="825"/>
      <c r="H924" s="826"/>
      <c r="I924" s="826"/>
      <c r="J924" s="827"/>
      <c r="K924" s="825"/>
      <c r="L924" s="824"/>
      <c r="M924" s="825"/>
      <c r="N924" s="825"/>
      <c r="O924" s="825"/>
      <c r="P924" s="830"/>
      <c r="Q924" s="830"/>
    </row>
    <row r="925" ht="33.0" customHeight="1">
      <c r="A925" s="811"/>
      <c r="B925" s="927"/>
      <c r="C925" s="817"/>
      <c r="D925" s="928"/>
      <c r="E925" s="816"/>
      <c r="F925" s="816"/>
      <c r="G925" s="816"/>
      <c r="H925" s="817"/>
      <c r="I925" s="817"/>
      <c r="J925" s="818"/>
      <c r="K925" s="816"/>
      <c r="L925" s="815"/>
      <c r="M925" s="816"/>
      <c r="N925" s="816"/>
      <c r="O925" s="816"/>
      <c r="P925" s="821"/>
      <c r="Q925" s="821"/>
    </row>
    <row r="926" ht="33.0" customHeight="1">
      <c r="A926" s="822"/>
      <c r="B926" s="927"/>
      <c r="C926" s="826"/>
      <c r="D926" s="928"/>
      <c r="E926" s="825"/>
      <c r="F926" s="825"/>
      <c r="G926" s="825"/>
      <c r="H926" s="826"/>
      <c r="I926" s="826"/>
      <c r="J926" s="827"/>
      <c r="K926" s="825"/>
      <c r="L926" s="824"/>
      <c r="M926" s="825"/>
      <c r="N926" s="825"/>
      <c r="O926" s="825"/>
      <c r="P926" s="830"/>
      <c r="Q926" s="830"/>
    </row>
    <row r="927" ht="33.0" customHeight="1">
      <c r="A927" s="811"/>
      <c r="B927" s="927"/>
      <c r="C927" s="817"/>
      <c r="D927" s="928"/>
      <c r="E927" s="816"/>
      <c r="F927" s="816"/>
      <c r="G927" s="816"/>
      <c r="H927" s="817"/>
      <c r="I927" s="817"/>
      <c r="J927" s="818"/>
      <c r="K927" s="816"/>
      <c r="L927" s="815"/>
      <c r="M927" s="816"/>
      <c r="N927" s="816"/>
      <c r="O927" s="816"/>
      <c r="P927" s="821"/>
      <c r="Q927" s="821"/>
    </row>
    <row r="928" ht="33.0" customHeight="1">
      <c r="A928" s="822"/>
      <c r="B928" s="927"/>
      <c r="C928" s="826"/>
      <c r="D928" s="928"/>
      <c r="E928" s="825"/>
      <c r="F928" s="825"/>
      <c r="G928" s="825"/>
      <c r="H928" s="826"/>
      <c r="I928" s="826"/>
      <c r="J928" s="827"/>
      <c r="K928" s="825"/>
      <c r="L928" s="824"/>
      <c r="M928" s="825"/>
      <c r="N928" s="825"/>
      <c r="O928" s="825"/>
      <c r="P928" s="830"/>
      <c r="Q928" s="830"/>
    </row>
    <row r="929" ht="33.0" customHeight="1">
      <c r="A929" s="811"/>
      <c r="B929" s="927"/>
      <c r="C929" s="817"/>
      <c r="D929" s="928"/>
      <c r="E929" s="816"/>
      <c r="F929" s="816"/>
      <c r="G929" s="816"/>
      <c r="H929" s="817"/>
      <c r="I929" s="817"/>
      <c r="J929" s="818"/>
      <c r="K929" s="816"/>
      <c r="L929" s="815"/>
      <c r="M929" s="816"/>
      <c r="N929" s="816"/>
      <c r="O929" s="816"/>
      <c r="P929" s="821"/>
      <c r="Q929" s="821"/>
    </row>
    <row r="930" ht="33.0" customHeight="1">
      <c r="A930" s="822"/>
      <c r="B930" s="927"/>
      <c r="C930" s="826"/>
      <c r="D930" s="928"/>
      <c r="E930" s="825"/>
      <c r="F930" s="825"/>
      <c r="G930" s="825"/>
      <c r="H930" s="826"/>
      <c r="I930" s="826"/>
      <c r="J930" s="827"/>
      <c r="K930" s="825"/>
      <c r="L930" s="824"/>
      <c r="M930" s="825"/>
      <c r="N930" s="825"/>
      <c r="O930" s="825"/>
      <c r="P930" s="830"/>
      <c r="Q930" s="830"/>
    </row>
    <row r="931" ht="33.0" customHeight="1">
      <c r="A931" s="811"/>
      <c r="B931" s="927"/>
      <c r="C931" s="817"/>
      <c r="D931" s="928"/>
      <c r="E931" s="816"/>
      <c r="F931" s="816"/>
      <c r="G931" s="816"/>
      <c r="H931" s="817"/>
      <c r="I931" s="817"/>
      <c r="J931" s="818"/>
      <c r="K931" s="816"/>
      <c r="L931" s="815"/>
      <c r="M931" s="816"/>
      <c r="N931" s="816"/>
      <c r="O931" s="816"/>
      <c r="P931" s="821"/>
      <c r="Q931" s="821"/>
    </row>
    <row r="932" ht="33.0" customHeight="1">
      <c r="A932" s="822"/>
      <c r="B932" s="927"/>
      <c r="C932" s="826"/>
      <c r="D932" s="928"/>
      <c r="E932" s="825"/>
      <c r="F932" s="825"/>
      <c r="G932" s="825"/>
      <c r="H932" s="826"/>
      <c r="I932" s="826"/>
      <c r="J932" s="827"/>
      <c r="K932" s="825"/>
      <c r="L932" s="824"/>
      <c r="M932" s="825"/>
      <c r="N932" s="825"/>
      <c r="O932" s="825"/>
      <c r="P932" s="830"/>
      <c r="Q932" s="830"/>
    </row>
    <row r="933" ht="33.0" customHeight="1">
      <c r="A933" s="811"/>
      <c r="B933" s="927"/>
      <c r="C933" s="817"/>
      <c r="D933" s="928"/>
      <c r="E933" s="816"/>
      <c r="F933" s="816"/>
      <c r="G933" s="816"/>
      <c r="H933" s="817"/>
      <c r="I933" s="817"/>
      <c r="J933" s="818"/>
      <c r="K933" s="816"/>
      <c r="L933" s="815"/>
      <c r="M933" s="816"/>
      <c r="N933" s="816"/>
      <c r="O933" s="816"/>
      <c r="P933" s="821"/>
      <c r="Q933" s="821"/>
    </row>
    <row r="934" ht="33.0" customHeight="1">
      <c r="A934" s="822"/>
      <c r="B934" s="927"/>
      <c r="C934" s="826"/>
      <c r="D934" s="928"/>
      <c r="E934" s="825"/>
      <c r="F934" s="825"/>
      <c r="G934" s="825"/>
      <c r="H934" s="826"/>
      <c r="I934" s="826"/>
      <c r="J934" s="827"/>
      <c r="K934" s="825"/>
      <c r="L934" s="824"/>
      <c r="M934" s="825"/>
      <c r="N934" s="825"/>
      <c r="O934" s="825"/>
      <c r="P934" s="830"/>
      <c r="Q934" s="830"/>
    </row>
    <row r="935" ht="33.0" customHeight="1">
      <c r="A935" s="811"/>
      <c r="B935" s="927"/>
      <c r="C935" s="817"/>
      <c r="D935" s="928"/>
      <c r="E935" s="816"/>
      <c r="F935" s="816"/>
      <c r="G935" s="816"/>
      <c r="H935" s="817"/>
      <c r="I935" s="817"/>
      <c r="J935" s="818"/>
      <c r="K935" s="816"/>
      <c r="L935" s="815"/>
      <c r="M935" s="816"/>
      <c r="N935" s="816"/>
      <c r="O935" s="816"/>
      <c r="P935" s="821"/>
      <c r="Q935" s="821"/>
    </row>
    <row r="936" ht="33.0" customHeight="1">
      <c r="A936" s="822"/>
      <c r="B936" s="927"/>
      <c r="C936" s="826"/>
      <c r="D936" s="928"/>
      <c r="E936" s="825"/>
      <c r="F936" s="825"/>
      <c r="G936" s="825"/>
      <c r="H936" s="826"/>
      <c r="I936" s="826"/>
      <c r="J936" s="827"/>
      <c r="K936" s="825"/>
      <c r="L936" s="824"/>
      <c r="M936" s="825"/>
      <c r="N936" s="825"/>
      <c r="O936" s="825"/>
      <c r="P936" s="830"/>
      <c r="Q936" s="830"/>
    </row>
    <row r="937" ht="33.0" customHeight="1">
      <c r="A937" s="811"/>
      <c r="B937" s="927"/>
      <c r="C937" s="817"/>
      <c r="D937" s="928"/>
      <c r="E937" s="816"/>
      <c r="F937" s="816"/>
      <c r="G937" s="816"/>
      <c r="H937" s="817"/>
      <c r="I937" s="817"/>
      <c r="J937" s="818"/>
      <c r="K937" s="816"/>
      <c r="L937" s="815"/>
      <c r="M937" s="816"/>
      <c r="N937" s="816"/>
      <c r="O937" s="816"/>
      <c r="P937" s="821"/>
      <c r="Q937" s="821"/>
    </row>
    <row r="938" ht="33.0" customHeight="1">
      <c r="A938" s="822"/>
      <c r="B938" s="927"/>
      <c r="C938" s="826"/>
      <c r="D938" s="928"/>
      <c r="E938" s="825"/>
      <c r="F938" s="825"/>
      <c r="G938" s="825"/>
      <c r="H938" s="826"/>
      <c r="I938" s="826"/>
      <c r="J938" s="827"/>
      <c r="K938" s="825"/>
      <c r="L938" s="824"/>
      <c r="M938" s="825"/>
      <c r="N938" s="825"/>
      <c r="O938" s="825"/>
      <c r="P938" s="830"/>
      <c r="Q938" s="830"/>
    </row>
    <row r="939" ht="33.0" customHeight="1">
      <c r="A939" s="811"/>
      <c r="B939" s="927"/>
      <c r="C939" s="817"/>
      <c r="D939" s="928"/>
      <c r="E939" s="816"/>
      <c r="F939" s="816"/>
      <c r="G939" s="816"/>
      <c r="H939" s="817"/>
      <c r="I939" s="817"/>
      <c r="J939" s="818"/>
      <c r="K939" s="816"/>
      <c r="L939" s="815"/>
      <c r="M939" s="816"/>
      <c r="N939" s="816"/>
      <c r="O939" s="816"/>
      <c r="P939" s="821"/>
      <c r="Q939" s="821"/>
    </row>
    <row r="940" ht="33.0" customHeight="1">
      <c r="A940" s="822"/>
      <c r="B940" s="927"/>
      <c r="C940" s="826"/>
      <c r="D940" s="928"/>
      <c r="E940" s="825"/>
      <c r="F940" s="825"/>
      <c r="G940" s="825"/>
      <c r="H940" s="826"/>
      <c r="I940" s="826"/>
      <c r="J940" s="827"/>
      <c r="K940" s="825"/>
      <c r="L940" s="824"/>
      <c r="M940" s="825"/>
      <c r="N940" s="825"/>
      <c r="O940" s="825"/>
      <c r="P940" s="830"/>
      <c r="Q940" s="830"/>
    </row>
    <row r="941" ht="33.0" customHeight="1">
      <c r="A941" s="811"/>
      <c r="B941" s="927"/>
      <c r="C941" s="817"/>
      <c r="D941" s="928"/>
      <c r="E941" s="816"/>
      <c r="F941" s="816"/>
      <c r="G941" s="816"/>
      <c r="H941" s="817"/>
      <c r="I941" s="817"/>
      <c r="J941" s="818"/>
      <c r="K941" s="816"/>
      <c r="L941" s="815"/>
      <c r="M941" s="816"/>
      <c r="N941" s="816"/>
      <c r="O941" s="816"/>
      <c r="P941" s="821"/>
      <c r="Q941" s="821"/>
    </row>
    <row r="942" ht="33.0" customHeight="1">
      <c r="A942" s="822"/>
      <c r="B942" s="927"/>
      <c r="C942" s="826"/>
      <c r="D942" s="928"/>
      <c r="E942" s="825"/>
      <c r="F942" s="825"/>
      <c r="G942" s="825"/>
      <c r="H942" s="826"/>
      <c r="I942" s="826"/>
      <c r="J942" s="827"/>
      <c r="K942" s="825"/>
      <c r="L942" s="824"/>
      <c r="M942" s="825"/>
      <c r="N942" s="825"/>
      <c r="O942" s="825"/>
      <c r="P942" s="830"/>
      <c r="Q942" s="830"/>
    </row>
    <row r="943" ht="33.0" customHeight="1">
      <c r="A943" s="811"/>
      <c r="B943" s="927"/>
      <c r="C943" s="817"/>
      <c r="D943" s="928"/>
      <c r="E943" s="816"/>
      <c r="F943" s="816"/>
      <c r="G943" s="816"/>
      <c r="H943" s="817"/>
      <c r="I943" s="817"/>
      <c r="J943" s="818"/>
      <c r="K943" s="816"/>
      <c r="L943" s="815"/>
      <c r="M943" s="816"/>
      <c r="N943" s="816"/>
      <c r="O943" s="816"/>
      <c r="P943" s="821"/>
      <c r="Q943" s="821"/>
    </row>
    <row r="944" ht="33.0" customHeight="1">
      <c r="A944" s="822"/>
      <c r="B944" s="927"/>
      <c r="C944" s="826"/>
      <c r="D944" s="928"/>
      <c r="E944" s="825"/>
      <c r="F944" s="825"/>
      <c r="G944" s="825"/>
      <c r="H944" s="826"/>
      <c r="I944" s="826"/>
      <c r="J944" s="827"/>
      <c r="K944" s="825"/>
      <c r="L944" s="824"/>
      <c r="M944" s="825"/>
      <c r="N944" s="825"/>
      <c r="O944" s="825"/>
      <c r="P944" s="830"/>
      <c r="Q944" s="830"/>
    </row>
    <row r="945" ht="33.0" customHeight="1">
      <c r="A945" s="811"/>
      <c r="B945" s="927"/>
      <c r="C945" s="817"/>
      <c r="D945" s="928"/>
      <c r="E945" s="816"/>
      <c r="F945" s="816"/>
      <c r="G945" s="816"/>
      <c r="H945" s="817"/>
      <c r="I945" s="817"/>
      <c r="J945" s="818"/>
      <c r="K945" s="816"/>
      <c r="L945" s="815"/>
      <c r="M945" s="816"/>
      <c r="N945" s="816"/>
      <c r="O945" s="816"/>
      <c r="P945" s="821"/>
      <c r="Q945" s="821"/>
    </row>
    <row r="946" ht="33.0" customHeight="1">
      <c r="A946" s="822"/>
      <c r="B946" s="927"/>
      <c r="C946" s="826"/>
      <c r="D946" s="928"/>
      <c r="E946" s="825"/>
      <c r="F946" s="825"/>
      <c r="G946" s="825"/>
      <c r="H946" s="826"/>
      <c r="I946" s="826"/>
      <c r="J946" s="827"/>
      <c r="K946" s="825"/>
      <c r="L946" s="824"/>
      <c r="M946" s="825"/>
      <c r="N946" s="825"/>
      <c r="O946" s="825"/>
      <c r="P946" s="830"/>
      <c r="Q946" s="830"/>
    </row>
    <row r="947" ht="33.0" customHeight="1">
      <c r="A947" s="811"/>
      <c r="B947" s="927"/>
      <c r="C947" s="817"/>
      <c r="D947" s="928"/>
      <c r="E947" s="816"/>
      <c r="F947" s="816"/>
      <c r="G947" s="816"/>
      <c r="H947" s="817"/>
      <c r="I947" s="817"/>
      <c r="J947" s="818"/>
      <c r="K947" s="816"/>
      <c r="L947" s="815"/>
      <c r="M947" s="816"/>
      <c r="N947" s="816"/>
      <c r="O947" s="816"/>
      <c r="P947" s="821"/>
      <c r="Q947" s="821"/>
    </row>
    <row r="948" ht="33.0" customHeight="1">
      <c r="A948" s="822"/>
      <c r="B948" s="927"/>
      <c r="C948" s="826"/>
      <c r="D948" s="928"/>
      <c r="E948" s="825"/>
      <c r="F948" s="825"/>
      <c r="G948" s="825"/>
      <c r="H948" s="826"/>
      <c r="I948" s="826"/>
      <c r="J948" s="827"/>
      <c r="K948" s="825"/>
      <c r="L948" s="824"/>
      <c r="M948" s="825"/>
      <c r="N948" s="825"/>
      <c r="O948" s="825"/>
      <c r="P948" s="830"/>
      <c r="Q948" s="830"/>
    </row>
    <row r="949" ht="33.0" customHeight="1">
      <c r="A949" s="811"/>
      <c r="B949" s="927"/>
      <c r="C949" s="817"/>
      <c r="D949" s="928"/>
      <c r="E949" s="816"/>
      <c r="F949" s="816"/>
      <c r="G949" s="816"/>
      <c r="H949" s="817"/>
      <c r="I949" s="817"/>
      <c r="J949" s="818"/>
      <c r="K949" s="816"/>
      <c r="L949" s="815"/>
      <c r="M949" s="816"/>
      <c r="N949" s="816"/>
      <c r="O949" s="816"/>
      <c r="P949" s="821"/>
      <c r="Q949" s="821"/>
    </row>
    <row r="950" ht="33.0" customHeight="1">
      <c r="A950" s="822"/>
      <c r="B950" s="927"/>
      <c r="C950" s="826"/>
      <c r="D950" s="928"/>
      <c r="E950" s="825"/>
      <c r="F950" s="825"/>
      <c r="G950" s="825"/>
      <c r="H950" s="826"/>
      <c r="I950" s="826"/>
      <c r="J950" s="827"/>
      <c r="K950" s="825"/>
      <c r="L950" s="824"/>
      <c r="M950" s="825"/>
      <c r="N950" s="825"/>
      <c r="O950" s="825"/>
      <c r="P950" s="830"/>
      <c r="Q950" s="830"/>
    </row>
    <row r="951" ht="33.0" customHeight="1">
      <c r="A951" s="811"/>
      <c r="B951" s="927"/>
      <c r="C951" s="817"/>
      <c r="D951" s="928"/>
      <c r="E951" s="816"/>
      <c r="F951" s="816"/>
      <c r="G951" s="816"/>
      <c r="H951" s="817"/>
      <c r="I951" s="817"/>
      <c r="J951" s="818"/>
      <c r="K951" s="816"/>
      <c r="L951" s="815"/>
      <c r="M951" s="816"/>
      <c r="N951" s="816"/>
      <c r="O951" s="816"/>
      <c r="P951" s="821"/>
      <c r="Q951" s="821"/>
    </row>
    <row r="952" ht="33.0" customHeight="1">
      <c r="A952" s="822"/>
      <c r="B952" s="927"/>
      <c r="C952" s="826"/>
      <c r="D952" s="928"/>
      <c r="E952" s="825"/>
      <c r="F952" s="825"/>
      <c r="G952" s="825"/>
      <c r="H952" s="826"/>
      <c r="I952" s="826"/>
      <c r="J952" s="827"/>
      <c r="K952" s="825"/>
      <c r="L952" s="824"/>
      <c r="M952" s="825"/>
      <c r="N952" s="825"/>
      <c r="O952" s="825"/>
      <c r="P952" s="830"/>
      <c r="Q952" s="830"/>
    </row>
    <row r="953" ht="33.0" customHeight="1">
      <c r="A953" s="811"/>
      <c r="B953" s="927"/>
      <c r="C953" s="817"/>
      <c r="D953" s="928"/>
      <c r="E953" s="816"/>
      <c r="F953" s="816"/>
      <c r="G953" s="816"/>
      <c r="H953" s="817"/>
      <c r="I953" s="817"/>
      <c r="J953" s="818"/>
      <c r="K953" s="816"/>
      <c r="L953" s="815"/>
      <c r="M953" s="816"/>
      <c r="N953" s="816"/>
      <c r="O953" s="816"/>
      <c r="P953" s="821"/>
      <c r="Q953" s="821"/>
    </row>
    <row r="954" ht="33.0" customHeight="1">
      <c r="A954" s="822"/>
      <c r="B954" s="927"/>
      <c r="C954" s="826"/>
      <c r="D954" s="928"/>
      <c r="E954" s="825"/>
      <c r="F954" s="825"/>
      <c r="G954" s="825"/>
      <c r="H954" s="826"/>
      <c r="I954" s="826"/>
      <c r="J954" s="827"/>
      <c r="K954" s="825"/>
      <c r="L954" s="824"/>
      <c r="M954" s="825"/>
      <c r="N954" s="825"/>
      <c r="O954" s="825"/>
      <c r="P954" s="830"/>
      <c r="Q954" s="830"/>
    </row>
    <row r="955" ht="33.0" customHeight="1">
      <c r="A955" s="811"/>
      <c r="B955" s="927"/>
      <c r="C955" s="817"/>
      <c r="D955" s="928"/>
      <c r="E955" s="816"/>
      <c r="F955" s="816"/>
      <c r="G955" s="816"/>
      <c r="H955" s="817"/>
      <c r="I955" s="817"/>
      <c r="J955" s="818"/>
      <c r="K955" s="816"/>
      <c r="L955" s="815"/>
      <c r="M955" s="816"/>
      <c r="N955" s="816"/>
      <c r="O955" s="816"/>
      <c r="P955" s="821"/>
      <c r="Q955" s="821"/>
    </row>
    <row r="956" ht="33.0" customHeight="1">
      <c r="A956" s="822"/>
      <c r="B956" s="927"/>
      <c r="C956" s="826"/>
      <c r="D956" s="928"/>
      <c r="E956" s="825"/>
      <c r="F956" s="825"/>
      <c r="G956" s="825"/>
      <c r="H956" s="826"/>
      <c r="I956" s="826"/>
      <c r="J956" s="827"/>
      <c r="K956" s="825"/>
      <c r="L956" s="824"/>
      <c r="M956" s="825"/>
      <c r="N956" s="825"/>
      <c r="O956" s="825"/>
      <c r="P956" s="830"/>
      <c r="Q956" s="830"/>
    </row>
    <row r="957" ht="33.0" customHeight="1">
      <c r="A957" s="811"/>
      <c r="B957" s="927"/>
      <c r="C957" s="817"/>
      <c r="D957" s="928"/>
      <c r="E957" s="816"/>
      <c r="F957" s="816"/>
      <c r="G957" s="816"/>
      <c r="H957" s="817"/>
      <c r="I957" s="817"/>
      <c r="J957" s="818"/>
      <c r="K957" s="816"/>
      <c r="L957" s="815"/>
      <c r="M957" s="816"/>
      <c r="N957" s="816"/>
      <c r="O957" s="816"/>
      <c r="P957" s="821"/>
      <c r="Q957" s="821"/>
    </row>
    <row r="958" ht="33.0" customHeight="1">
      <c r="A958" s="822"/>
      <c r="B958" s="927"/>
      <c r="C958" s="826"/>
      <c r="D958" s="928"/>
      <c r="E958" s="825"/>
      <c r="F958" s="825"/>
      <c r="G958" s="825"/>
      <c r="H958" s="826"/>
      <c r="I958" s="826"/>
      <c r="J958" s="827"/>
      <c r="K958" s="825"/>
      <c r="L958" s="824"/>
      <c r="M958" s="825"/>
      <c r="N958" s="825"/>
      <c r="O958" s="825"/>
      <c r="P958" s="830"/>
      <c r="Q958" s="830"/>
    </row>
    <row r="959" ht="33.0" customHeight="1">
      <c r="A959" s="811"/>
      <c r="B959" s="927"/>
      <c r="C959" s="817"/>
      <c r="D959" s="928"/>
      <c r="E959" s="816"/>
      <c r="F959" s="816"/>
      <c r="G959" s="816"/>
      <c r="H959" s="817"/>
      <c r="I959" s="817"/>
      <c r="J959" s="818"/>
      <c r="K959" s="816"/>
      <c r="L959" s="815"/>
      <c r="M959" s="816"/>
      <c r="N959" s="816"/>
      <c r="O959" s="816"/>
      <c r="P959" s="821"/>
      <c r="Q959" s="821"/>
    </row>
    <row r="960" ht="33.0" customHeight="1">
      <c r="A960" s="822"/>
      <c r="B960" s="927"/>
      <c r="C960" s="826"/>
      <c r="D960" s="928"/>
      <c r="E960" s="825"/>
      <c r="F960" s="825"/>
      <c r="G960" s="825"/>
      <c r="H960" s="826"/>
      <c r="I960" s="826"/>
      <c r="J960" s="827"/>
      <c r="K960" s="825"/>
      <c r="L960" s="824"/>
      <c r="M960" s="825"/>
      <c r="N960" s="825"/>
      <c r="O960" s="825"/>
      <c r="P960" s="830"/>
      <c r="Q960" s="830"/>
    </row>
    <row r="961" ht="33.0" customHeight="1">
      <c r="A961" s="811"/>
      <c r="B961" s="927"/>
      <c r="C961" s="817"/>
      <c r="D961" s="928"/>
      <c r="E961" s="816"/>
      <c r="F961" s="816"/>
      <c r="G961" s="816"/>
      <c r="H961" s="817"/>
      <c r="I961" s="817"/>
      <c r="J961" s="818"/>
      <c r="K961" s="816"/>
      <c r="L961" s="815"/>
      <c r="M961" s="816"/>
      <c r="N961" s="816"/>
      <c r="O961" s="816"/>
      <c r="P961" s="821"/>
      <c r="Q961" s="821"/>
    </row>
    <row r="962" ht="33.0" customHeight="1">
      <c r="A962" s="822"/>
      <c r="B962" s="927"/>
      <c r="C962" s="826"/>
      <c r="D962" s="928"/>
      <c r="E962" s="825"/>
      <c r="F962" s="825"/>
      <c r="G962" s="825"/>
      <c r="H962" s="826"/>
      <c r="I962" s="826"/>
      <c r="J962" s="827"/>
      <c r="K962" s="825"/>
      <c r="L962" s="824"/>
      <c r="M962" s="825"/>
      <c r="N962" s="825"/>
      <c r="O962" s="825"/>
      <c r="P962" s="830"/>
      <c r="Q962" s="830"/>
    </row>
    <row r="963" ht="33.0" customHeight="1">
      <c r="A963" s="811"/>
      <c r="B963" s="927"/>
      <c r="C963" s="817"/>
      <c r="D963" s="928"/>
      <c r="E963" s="816"/>
      <c r="F963" s="816"/>
      <c r="G963" s="816"/>
      <c r="H963" s="817"/>
      <c r="I963" s="817"/>
      <c r="J963" s="818"/>
      <c r="K963" s="816"/>
      <c r="L963" s="815"/>
      <c r="M963" s="816"/>
      <c r="N963" s="816"/>
      <c r="O963" s="816"/>
      <c r="P963" s="821"/>
      <c r="Q963" s="821"/>
    </row>
    <row r="964" ht="33.0" customHeight="1">
      <c r="A964" s="822"/>
      <c r="B964" s="927"/>
      <c r="C964" s="826"/>
      <c r="D964" s="928"/>
      <c r="E964" s="825"/>
      <c r="F964" s="825"/>
      <c r="G964" s="825"/>
      <c r="H964" s="826"/>
      <c r="I964" s="826"/>
      <c r="J964" s="827"/>
      <c r="K964" s="825"/>
      <c r="L964" s="824"/>
      <c r="M964" s="825"/>
      <c r="N964" s="825"/>
      <c r="O964" s="825"/>
      <c r="P964" s="830"/>
      <c r="Q964" s="830"/>
    </row>
    <row r="965" ht="33.0" customHeight="1">
      <c r="A965" s="811"/>
      <c r="B965" s="927"/>
      <c r="C965" s="817"/>
      <c r="D965" s="928"/>
      <c r="E965" s="816"/>
      <c r="F965" s="816"/>
      <c r="G965" s="816"/>
      <c r="H965" s="817"/>
      <c r="I965" s="817"/>
      <c r="J965" s="818"/>
      <c r="K965" s="816"/>
      <c r="L965" s="815"/>
      <c r="M965" s="816"/>
      <c r="N965" s="816"/>
      <c r="O965" s="816"/>
      <c r="P965" s="821"/>
      <c r="Q965" s="821"/>
    </row>
    <row r="966" ht="33.0" customHeight="1">
      <c r="A966" s="822"/>
      <c r="B966" s="927"/>
      <c r="C966" s="826"/>
      <c r="D966" s="928"/>
      <c r="E966" s="825"/>
      <c r="F966" s="825"/>
      <c r="G966" s="825"/>
      <c r="H966" s="826"/>
      <c r="I966" s="826"/>
      <c r="J966" s="827"/>
      <c r="K966" s="825"/>
      <c r="L966" s="824"/>
      <c r="M966" s="825"/>
      <c r="N966" s="825"/>
      <c r="O966" s="825"/>
      <c r="P966" s="830"/>
      <c r="Q966" s="830"/>
    </row>
    <row r="967" ht="33.0" customHeight="1">
      <c r="A967" s="811"/>
      <c r="B967" s="927"/>
      <c r="C967" s="817"/>
      <c r="D967" s="928"/>
      <c r="E967" s="816"/>
      <c r="F967" s="816"/>
      <c r="G967" s="816"/>
      <c r="H967" s="817"/>
      <c r="I967" s="817"/>
      <c r="J967" s="818"/>
      <c r="K967" s="816"/>
      <c r="L967" s="815"/>
      <c r="M967" s="816"/>
      <c r="N967" s="816"/>
      <c r="O967" s="816"/>
      <c r="P967" s="821"/>
      <c r="Q967" s="821"/>
    </row>
    <row r="968" ht="33.0" customHeight="1">
      <c r="A968" s="822"/>
      <c r="B968" s="927"/>
      <c r="C968" s="826"/>
      <c r="D968" s="928"/>
      <c r="E968" s="825"/>
      <c r="F968" s="825"/>
      <c r="G968" s="825"/>
      <c r="H968" s="826"/>
      <c r="I968" s="826"/>
      <c r="J968" s="827"/>
      <c r="K968" s="825"/>
      <c r="L968" s="824"/>
      <c r="M968" s="825"/>
      <c r="N968" s="825"/>
      <c r="O968" s="825"/>
      <c r="P968" s="830"/>
      <c r="Q968" s="830"/>
    </row>
    <row r="969" ht="33.0" customHeight="1">
      <c r="A969" s="811"/>
      <c r="B969" s="927"/>
      <c r="C969" s="817"/>
      <c r="D969" s="928"/>
      <c r="E969" s="816"/>
      <c r="F969" s="816"/>
      <c r="G969" s="816"/>
      <c r="H969" s="817"/>
      <c r="I969" s="817"/>
      <c r="J969" s="818"/>
      <c r="K969" s="816"/>
      <c r="L969" s="815"/>
      <c r="M969" s="816"/>
      <c r="N969" s="816"/>
      <c r="O969" s="816"/>
      <c r="P969" s="821"/>
      <c r="Q969" s="821"/>
    </row>
    <row r="970" ht="33.0" customHeight="1">
      <c r="A970" s="822"/>
      <c r="B970" s="927"/>
      <c r="C970" s="826"/>
      <c r="D970" s="928"/>
      <c r="E970" s="825"/>
      <c r="F970" s="825"/>
      <c r="G970" s="825"/>
      <c r="H970" s="826"/>
      <c r="I970" s="826"/>
      <c r="J970" s="827"/>
      <c r="K970" s="825"/>
      <c r="L970" s="824"/>
      <c r="M970" s="825"/>
      <c r="N970" s="825"/>
      <c r="O970" s="825"/>
      <c r="P970" s="830"/>
      <c r="Q970" s="830"/>
    </row>
    <row r="971" ht="33.0" customHeight="1">
      <c r="A971" s="811"/>
      <c r="B971" s="927"/>
      <c r="C971" s="817"/>
      <c r="D971" s="928"/>
      <c r="E971" s="816"/>
      <c r="F971" s="816"/>
      <c r="G971" s="816"/>
      <c r="H971" s="817"/>
      <c r="I971" s="817"/>
      <c r="J971" s="818"/>
      <c r="K971" s="816"/>
      <c r="L971" s="815"/>
      <c r="M971" s="816"/>
      <c r="N971" s="816"/>
      <c r="O971" s="816"/>
      <c r="P971" s="821"/>
      <c r="Q971" s="821"/>
    </row>
    <row r="972" ht="33.0" customHeight="1">
      <c r="A972" s="822"/>
      <c r="B972" s="927"/>
      <c r="C972" s="826"/>
      <c r="D972" s="928"/>
      <c r="E972" s="825"/>
      <c r="F972" s="825"/>
      <c r="G972" s="825"/>
      <c r="H972" s="826"/>
      <c r="I972" s="826"/>
      <c r="J972" s="827"/>
      <c r="K972" s="825"/>
      <c r="L972" s="824"/>
      <c r="M972" s="825"/>
      <c r="N972" s="825"/>
      <c r="O972" s="825"/>
      <c r="P972" s="830"/>
      <c r="Q972" s="830"/>
    </row>
    <row r="973" ht="33.0" customHeight="1">
      <c r="A973" s="811"/>
      <c r="B973" s="927"/>
      <c r="C973" s="817"/>
      <c r="D973" s="928"/>
      <c r="E973" s="816"/>
      <c r="F973" s="816"/>
      <c r="G973" s="816"/>
      <c r="H973" s="817"/>
      <c r="I973" s="817"/>
      <c r="J973" s="818"/>
      <c r="K973" s="816"/>
      <c r="L973" s="815"/>
      <c r="M973" s="816"/>
      <c r="N973" s="816"/>
      <c r="O973" s="816"/>
      <c r="P973" s="821"/>
      <c r="Q973" s="821"/>
    </row>
    <row r="974" ht="33.0" customHeight="1">
      <c r="A974" s="822"/>
      <c r="B974" s="927"/>
      <c r="C974" s="826"/>
      <c r="D974" s="928"/>
      <c r="E974" s="825"/>
      <c r="F974" s="825"/>
      <c r="G974" s="825"/>
      <c r="H974" s="826"/>
      <c r="I974" s="826"/>
      <c r="J974" s="827"/>
      <c r="K974" s="825"/>
      <c r="L974" s="824"/>
      <c r="M974" s="825"/>
      <c r="N974" s="825"/>
      <c r="O974" s="825"/>
      <c r="P974" s="830"/>
      <c r="Q974" s="830"/>
    </row>
    <row r="975" ht="33.0" customHeight="1">
      <c r="A975" s="811"/>
      <c r="B975" s="927"/>
      <c r="C975" s="817"/>
      <c r="D975" s="928"/>
      <c r="E975" s="816"/>
      <c r="F975" s="816"/>
      <c r="G975" s="816"/>
      <c r="H975" s="817"/>
      <c r="I975" s="817"/>
      <c r="J975" s="818"/>
      <c r="K975" s="816"/>
      <c r="L975" s="815"/>
      <c r="M975" s="816"/>
      <c r="N975" s="816"/>
      <c r="O975" s="816"/>
      <c r="P975" s="821"/>
      <c r="Q975" s="821"/>
    </row>
    <row r="976" ht="33.0" customHeight="1">
      <c r="A976" s="822"/>
      <c r="B976" s="927"/>
      <c r="C976" s="826"/>
      <c r="D976" s="928"/>
      <c r="E976" s="825"/>
      <c r="F976" s="825"/>
      <c r="G976" s="825"/>
      <c r="H976" s="826"/>
      <c r="I976" s="826"/>
      <c r="J976" s="827"/>
      <c r="K976" s="825"/>
      <c r="L976" s="824"/>
      <c r="M976" s="825"/>
      <c r="N976" s="825"/>
      <c r="O976" s="825"/>
      <c r="P976" s="830"/>
      <c r="Q976" s="830"/>
    </row>
    <row r="977" ht="33.0" customHeight="1">
      <c r="A977" s="811"/>
      <c r="B977" s="927"/>
      <c r="C977" s="817"/>
      <c r="D977" s="928"/>
      <c r="E977" s="816"/>
      <c r="F977" s="816"/>
      <c r="G977" s="816"/>
      <c r="H977" s="817"/>
      <c r="I977" s="817"/>
      <c r="J977" s="818"/>
      <c r="K977" s="816"/>
      <c r="L977" s="815"/>
      <c r="M977" s="816"/>
      <c r="N977" s="816"/>
      <c r="O977" s="816"/>
      <c r="P977" s="821"/>
      <c r="Q977" s="821"/>
    </row>
    <row r="978" ht="33.0" customHeight="1">
      <c r="A978" s="822"/>
      <c r="B978" s="927"/>
      <c r="C978" s="826"/>
      <c r="D978" s="928"/>
      <c r="E978" s="825"/>
      <c r="F978" s="825"/>
      <c r="G978" s="825"/>
      <c r="H978" s="826"/>
      <c r="I978" s="826"/>
      <c r="J978" s="827"/>
      <c r="K978" s="825"/>
      <c r="L978" s="824"/>
      <c r="M978" s="825"/>
      <c r="N978" s="825"/>
      <c r="O978" s="825"/>
      <c r="P978" s="830"/>
      <c r="Q978" s="830"/>
    </row>
    <row r="979" ht="33.0" customHeight="1">
      <c r="A979" s="811"/>
      <c r="B979" s="927"/>
      <c r="C979" s="817"/>
      <c r="D979" s="928"/>
      <c r="E979" s="816"/>
      <c r="F979" s="816"/>
      <c r="G979" s="816"/>
      <c r="H979" s="817"/>
      <c r="I979" s="817"/>
      <c r="J979" s="818"/>
      <c r="K979" s="816"/>
      <c r="L979" s="815"/>
      <c r="M979" s="816"/>
      <c r="N979" s="816"/>
      <c r="O979" s="816"/>
      <c r="P979" s="821"/>
      <c r="Q979" s="821"/>
    </row>
    <row r="980" ht="33.0" customHeight="1">
      <c r="A980" s="822"/>
      <c r="B980" s="927"/>
      <c r="C980" s="826"/>
      <c r="D980" s="928"/>
      <c r="E980" s="825"/>
      <c r="F980" s="825"/>
      <c r="G980" s="825"/>
      <c r="H980" s="826"/>
      <c r="I980" s="826"/>
      <c r="J980" s="827"/>
      <c r="K980" s="825"/>
      <c r="L980" s="824"/>
      <c r="M980" s="825"/>
      <c r="N980" s="825"/>
      <c r="O980" s="825"/>
      <c r="P980" s="830"/>
      <c r="Q980" s="830"/>
    </row>
    <row r="981" ht="33.0" customHeight="1">
      <c r="A981" s="811"/>
      <c r="B981" s="927"/>
      <c r="C981" s="817"/>
      <c r="D981" s="928"/>
      <c r="E981" s="816"/>
      <c r="F981" s="816"/>
      <c r="G981" s="816"/>
      <c r="H981" s="817"/>
      <c r="I981" s="817"/>
      <c r="J981" s="818"/>
      <c r="K981" s="816"/>
      <c r="L981" s="815"/>
      <c r="M981" s="816"/>
      <c r="N981" s="816"/>
      <c r="O981" s="816"/>
      <c r="P981" s="821"/>
      <c r="Q981" s="821"/>
    </row>
    <row r="982" ht="33.0" customHeight="1">
      <c r="A982" s="822"/>
      <c r="B982" s="927"/>
      <c r="C982" s="826"/>
      <c r="D982" s="928"/>
      <c r="E982" s="825"/>
      <c r="F982" s="825"/>
      <c r="G982" s="825"/>
      <c r="H982" s="826"/>
      <c r="I982" s="826"/>
      <c r="J982" s="827"/>
      <c r="K982" s="825"/>
      <c r="L982" s="824"/>
      <c r="M982" s="825"/>
      <c r="N982" s="825"/>
      <c r="O982" s="825"/>
      <c r="P982" s="830"/>
      <c r="Q982" s="830"/>
    </row>
    <row r="983" ht="33.0" customHeight="1">
      <c r="A983" s="811"/>
      <c r="B983" s="927"/>
      <c r="C983" s="817"/>
      <c r="D983" s="928"/>
      <c r="E983" s="816"/>
      <c r="F983" s="816"/>
      <c r="G983" s="816"/>
      <c r="H983" s="817"/>
      <c r="I983" s="817"/>
      <c r="J983" s="818"/>
      <c r="K983" s="816"/>
      <c r="L983" s="815"/>
      <c r="M983" s="816"/>
      <c r="N983" s="816"/>
      <c r="O983" s="816"/>
      <c r="P983" s="821"/>
      <c r="Q983" s="821"/>
    </row>
    <row r="984" ht="33.0" customHeight="1">
      <c r="A984" s="822"/>
      <c r="B984" s="927"/>
      <c r="C984" s="826"/>
      <c r="D984" s="928"/>
      <c r="E984" s="825"/>
      <c r="F984" s="825"/>
      <c r="G984" s="825"/>
      <c r="H984" s="826"/>
      <c r="I984" s="826"/>
      <c r="J984" s="827"/>
      <c r="K984" s="825"/>
      <c r="L984" s="824"/>
      <c r="M984" s="825"/>
      <c r="N984" s="825"/>
      <c r="O984" s="825"/>
      <c r="P984" s="830"/>
      <c r="Q984" s="830"/>
    </row>
    <row r="985" ht="33.0" customHeight="1">
      <c r="A985" s="811"/>
      <c r="B985" s="927"/>
      <c r="C985" s="817"/>
      <c r="D985" s="928"/>
      <c r="E985" s="816"/>
      <c r="F985" s="816"/>
      <c r="G985" s="816"/>
      <c r="H985" s="817"/>
      <c r="I985" s="817"/>
      <c r="J985" s="818"/>
      <c r="K985" s="816"/>
      <c r="L985" s="815"/>
      <c r="M985" s="816"/>
      <c r="N985" s="816"/>
      <c r="O985" s="816"/>
      <c r="P985" s="821"/>
      <c r="Q985" s="821"/>
    </row>
    <row r="986" ht="33.0" customHeight="1">
      <c r="A986" s="822"/>
      <c r="B986" s="927"/>
      <c r="C986" s="826"/>
      <c r="D986" s="928"/>
      <c r="E986" s="825"/>
      <c r="F986" s="825"/>
      <c r="G986" s="825"/>
      <c r="H986" s="826"/>
      <c r="I986" s="826"/>
      <c r="J986" s="827"/>
      <c r="K986" s="825"/>
      <c r="L986" s="824"/>
      <c r="M986" s="825"/>
      <c r="N986" s="825"/>
      <c r="O986" s="825"/>
      <c r="P986" s="830"/>
      <c r="Q986" s="830"/>
    </row>
    <row r="987" ht="33.0" customHeight="1">
      <c r="A987" s="811"/>
      <c r="B987" s="927"/>
      <c r="C987" s="817"/>
      <c r="D987" s="928"/>
      <c r="E987" s="816"/>
      <c r="F987" s="816"/>
      <c r="G987" s="816"/>
      <c r="H987" s="817"/>
      <c r="I987" s="817"/>
      <c r="J987" s="818"/>
      <c r="K987" s="816"/>
      <c r="L987" s="815"/>
      <c r="M987" s="816"/>
      <c r="N987" s="816"/>
      <c r="O987" s="816"/>
      <c r="P987" s="821"/>
      <c r="Q987" s="821"/>
    </row>
    <row r="988" ht="33.0" customHeight="1">
      <c r="A988" s="822"/>
      <c r="B988" s="927"/>
      <c r="C988" s="826"/>
      <c r="D988" s="928"/>
      <c r="E988" s="825"/>
      <c r="F988" s="825"/>
      <c r="G988" s="825"/>
      <c r="H988" s="826"/>
      <c r="I988" s="826"/>
      <c r="J988" s="827"/>
      <c r="K988" s="825"/>
      <c r="L988" s="824"/>
      <c r="M988" s="825"/>
      <c r="N988" s="825"/>
      <c r="O988" s="825"/>
      <c r="P988" s="830"/>
      <c r="Q988" s="830"/>
    </row>
    <row r="989" ht="33.0" customHeight="1">
      <c r="A989" s="811"/>
      <c r="B989" s="927"/>
      <c r="C989" s="817"/>
      <c r="D989" s="928"/>
      <c r="E989" s="816"/>
      <c r="F989" s="816"/>
      <c r="G989" s="816"/>
      <c r="H989" s="817"/>
      <c r="I989" s="817"/>
      <c r="J989" s="818"/>
      <c r="K989" s="816"/>
      <c r="L989" s="815"/>
      <c r="M989" s="816"/>
      <c r="N989" s="816"/>
      <c r="O989" s="816"/>
      <c r="P989" s="821"/>
      <c r="Q989" s="821"/>
    </row>
    <row r="990" ht="33.0" customHeight="1">
      <c r="A990" s="822"/>
      <c r="B990" s="927"/>
      <c r="C990" s="826"/>
      <c r="D990" s="928"/>
      <c r="E990" s="825"/>
      <c r="F990" s="825"/>
      <c r="G990" s="825"/>
      <c r="H990" s="826"/>
      <c r="I990" s="826"/>
      <c r="J990" s="827"/>
      <c r="K990" s="825"/>
      <c r="L990" s="824"/>
      <c r="M990" s="825"/>
      <c r="N990" s="825"/>
      <c r="O990" s="825"/>
      <c r="P990" s="830"/>
      <c r="Q990" s="830"/>
    </row>
    <row r="991" ht="33.0" customHeight="1">
      <c r="A991" s="811"/>
      <c r="B991" s="927"/>
      <c r="C991" s="817"/>
      <c r="D991" s="928"/>
      <c r="E991" s="816"/>
      <c r="F991" s="816"/>
      <c r="G991" s="816"/>
      <c r="H991" s="817"/>
      <c r="I991" s="817"/>
      <c r="J991" s="818"/>
      <c r="K991" s="816"/>
      <c r="L991" s="815"/>
      <c r="M991" s="816"/>
      <c r="N991" s="816"/>
      <c r="O991" s="816"/>
      <c r="P991" s="821"/>
      <c r="Q991" s="821"/>
    </row>
    <row r="992" ht="33.0" customHeight="1">
      <c r="A992" s="822"/>
      <c r="B992" s="927"/>
      <c r="C992" s="826"/>
      <c r="D992" s="928"/>
      <c r="E992" s="825"/>
      <c r="F992" s="825"/>
      <c r="G992" s="825"/>
      <c r="H992" s="826"/>
      <c r="I992" s="826"/>
      <c r="J992" s="827"/>
      <c r="K992" s="825"/>
      <c r="L992" s="824"/>
      <c r="M992" s="825"/>
      <c r="N992" s="825"/>
      <c r="O992" s="825"/>
      <c r="P992" s="830"/>
      <c r="Q992" s="830"/>
    </row>
    <row r="993" ht="33.0" customHeight="1">
      <c r="A993" s="811"/>
      <c r="B993" s="927"/>
      <c r="C993" s="817"/>
      <c r="D993" s="928"/>
      <c r="E993" s="816"/>
      <c r="F993" s="816"/>
      <c r="G993" s="816"/>
      <c r="H993" s="817"/>
      <c r="I993" s="817"/>
      <c r="J993" s="818"/>
      <c r="K993" s="816"/>
      <c r="L993" s="815"/>
      <c r="M993" s="816"/>
      <c r="N993" s="816"/>
      <c r="O993" s="816"/>
      <c r="P993" s="821"/>
      <c r="Q993" s="821"/>
    </row>
    <row r="994" ht="33.0" customHeight="1">
      <c r="A994" s="822"/>
      <c r="B994" s="927"/>
      <c r="C994" s="826"/>
      <c r="D994" s="928"/>
      <c r="E994" s="825"/>
      <c r="F994" s="825"/>
      <c r="G994" s="825"/>
      <c r="H994" s="826"/>
      <c r="I994" s="826"/>
      <c r="J994" s="827"/>
      <c r="K994" s="825"/>
      <c r="L994" s="824"/>
      <c r="M994" s="825"/>
      <c r="N994" s="825"/>
      <c r="O994" s="825"/>
      <c r="P994" s="830"/>
      <c r="Q994" s="830"/>
    </row>
    <row r="995" ht="33.0" customHeight="1">
      <c r="A995" s="811"/>
      <c r="B995" s="927"/>
      <c r="C995" s="817"/>
      <c r="D995" s="928"/>
      <c r="E995" s="816"/>
      <c r="F995" s="816"/>
      <c r="G995" s="816"/>
      <c r="H995" s="817"/>
      <c r="I995" s="817"/>
      <c r="J995" s="818"/>
      <c r="K995" s="816"/>
      <c r="L995" s="815"/>
      <c r="M995" s="816"/>
      <c r="N995" s="816"/>
      <c r="O995" s="816"/>
      <c r="P995" s="821"/>
      <c r="Q995" s="821"/>
    </row>
    <row r="996" ht="33.0" customHeight="1">
      <c r="A996" s="822"/>
      <c r="B996" s="927"/>
      <c r="C996" s="826"/>
      <c r="D996" s="928"/>
      <c r="E996" s="825"/>
      <c r="F996" s="825"/>
      <c r="G996" s="825"/>
      <c r="H996" s="826"/>
      <c r="I996" s="826"/>
      <c r="J996" s="827"/>
      <c r="K996" s="825"/>
      <c r="L996" s="824"/>
      <c r="M996" s="825"/>
      <c r="N996" s="825"/>
      <c r="O996" s="825"/>
      <c r="P996" s="830"/>
      <c r="Q996" s="830"/>
    </row>
    <row r="997" ht="33.0" customHeight="1">
      <c r="A997" s="811"/>
      <c r="B997" s="927"/>
      <c r="C997" s="817"/>
      <c r="D997" s="928"/>
      <c r="E997" s="816"/>
      <c r="F997" s="816"/>
      <c r="G997" s="816"/>
      <c r="H997" s="817"/>
      <c r="I997" s="817"/>
      <c r="J997" s="818"/>
      <c r="K997" s="816"/>
      <c r="L997" s="815"/>
      <c r="M997" s="816"/>
      <c r="N997" s="816"/>
      <c r="O997" s="816"/>
      <c r="P997" s="821"/>
      <c r="Q997" s="821"/>
    </row>
    <row r="998" ht="33.0" customHeight="1">
      <c r="A998" s="822"/>
      <c r="B998" s="927"/>
      <c r="C998" s="826"/>
      <c r="D998" s="928"/>
      <c r="E998" s="825"/>
      <c r="F998" s="825"/>
      <c r="G998" s="825"/>
      <c r="H998" s="826"/>
      <c r="I998" s="826"/>
      <c r="J998" s="827"/>
      <c r="K998" s="825"/>
      <c r="L998" s="824"/>
      <c r="M998" s="825"/>
      <c r="N998" s="825"/>
      <c r="O998" s="825"/>
      <c r="P998" s="830"/>
      <c r="Q998" s="830"/>
    </row>
    <row r="999" ht="33.0" customHeight="1">
      <c r="A999" s="811"/>
      <c r="B999" s="927"/>
      <c r="C999" s="817"/>
      <c r="D999" s="928"/>
      <c r="E999" s="816"/>
      <c r="F999" s="816"/>
      <c r="G999" s="816"/>
      <c r="H999" s="817"/>
      <c r="I999" s="817"/>
      <c r="J999" s="818"/>
      <c r="K999" s="816"/>
      <c r="L999" s="815"/>
      <c r="M999" s="816"/>
      <c r="N999" s="816"/>
      <c r="O999" s="816"/>
      <c r="P999" s="821"/>
      <c r="Q999" s="821"/>
    </row>
    <row r="1000" ht="33.0" customHeight="1">
      <c r="A1000" s="822"/>
      <c r="B1000" s="927"/>
      <c r="C1000" s="826"/>
      <c r="D1000" s="928"/>
      <c r="E1000" s="825"/>
      <c r="F1000" s="825"/>
      <c r="G1000" s="825"/>
      <c r="H1000" s="826"/>
      <c r="I1000" s="826"/>
      <c r="J1000" s="827"/>
      <c r="K1000" s="825"/>
      <c r="L1000" s="824"/>
      <c r="M1000" s="825"/>
      <c r="N1000" s="825"/>
      <c r="O1000" s="825"/>
      <c r="P1000" s="830"/>
      <c r="Q1000" s="830"/>
    </row>
    <row r="1001" ht="33.0" customHeight="1">
      <c r="A1001" s="811"/>
      <c r="B1001" s="927"/>
      <c r="C1001" s="817"/>
      <c r="D1001" s="928"/>
      <c r="E1001" s="816"/>
      <c r="F1001" s="816"/>
      <c r="G1001" s="816"/>
      <c r="H1001" s="817"/>
      <c r="I1001" s="817"/>
      <c r="J1001" s="818"/>
      <c r="K1001" s="816"/>
      <c r="L1001" s="815"/>
      <c r="M1001" s="816"/>
      <c r="N1001" s="816"/>
      <c r="O1001" s="816"/>
      <c r="P1001" s="821"/>
      <c r="Q1001" s="821"/>
    </row>
    <row r="1002" ht="33.0" customHeight="1">
      <c r="A1002" s="822"/>
      <c r="B1002" s="927"/>
      <c r="C1002" s="826"/>
      <c r="D1002" s="928"/>
      <c r="E1002" s="825"/>
      <c r="F1002" s="825"/>
      <c r="G1002" s="825"/>
      <c r="H1002" s="826"/>
      <c r="I1002" s="826"/>
      <c r="J1002" s="827"/>
      <c r="K1002" s="825"/>
      <c r="L1002" s="824"/>
      <c r="M1002" s="825"/>
      <c r="N1002" s="825"/>
      <c r="O1002" s="825"/>
      <c r="P1002" s="830"/>
      <c r="Q1002" s="830"/>
    </row>
    <row r="1003" ht="33.0" customHeight="1">
      <c r="A1003" s="811"/>
      <c r="B1003" s="927"/>
      <c r="C1003" s="817"/>
      <c r="D1003" s="928"/>
      <c r="E1003" s="816"/>
      <c r="F1003" s="816"/>
      <c r="G1003" s="816"/>
      <c r="H1003" s="817"/>
      <c r="I1003" s="817"/>
      <c r="J1003" s="818"/>
      <c r="K1003" s="816"/>
      <c r="L1003" s="815"/>
      <c r="M1003" s="816"/>
      <c r="N1003" s="816"/>
      <c r="O1003" s="816"/>
      <c r="P1003" s="821"/>
      <c r="Q1003" s="821"/>
    </row>
    <row r="1004" ht="33.0" customHeight="1">
      <c r="A1004" s="822"/>
      <c r="B1004" s="927"/>
      <c r="C1004" s="826"/>
      <c r="D1004" s="928"/>
      <c r="E1004" s="825"/>
      <c r="F1004" s="825"/>
      <c r="G1004" s="825"/>
      <c r="H1004" s="826"/>
      <c r="I1004" s="826"/>
      <c r="J1004" s="827"/>
      <c r="K1004" s="825"/>
      <c r="L1004" s="824"/>
      <c r="M1004" s="825"/>
      <c r="N1004" s="825"/>
      <c r="O1004" s="825"/>
      <c r="P1004" s="830"/>
      <c r="Q1004" s="830"/>
    </row>
    <row r="1005" ht="33.0" customHeight="1">
      <c r="A1005" s="811"/>
      <c r="B1005" s="927"/>
      <c r="C1005" s="817"/>
      <c r="D1005" s="928"/>
      <c r="E1005" s="816"/>
      <c r="F1005" s="816"/>
      <c r="G1005" s="816"/>
      <c r="H1005" s="817"/>
      <c r="I1005" s="817"/>
      <c r="J1005" s="818"/>
      <c r="K1005" s="816"/>
      <c r="L1005" s="815"/>
      <c r="M1005" s="816"/>
      <c r="N1005" s="816"/>
      <c r="O1005" s="816"/>
      <c r="P1005" s="821"/>
      <c r="Q1005" s="821"/>
    </row>
    <row r="1006" ht="33.0" customHeight="1">
      <c r="A1006" s="822"/>
      <c r="B1006" s="927"/>
      <c r="C1006" s="826"/>
      <c r="D1006" s="928"/>
      <c r="E1006" s="825"/>
      <c r="F1006" s="825"/>
      <c r="G1006" s="825"/>
      <c r="H1006" s="826"/>
      <c r="I1006" s="826"/>
      <c r="J1006" s="827"/>
      <c r="K1006" s="825"/>
      <c r="L1006" s="824"/>
      <c r="M1006" s="825"/>
      <c r="N1006" s="825"/>
      <c r="O1006" s="825"/>
      <c r="P1006" s="830"/>
      <c r="Q1006" s="830"/>
    </row>
    <row r="1007" ht="33.0" customHeight="1">
      <c r="A1007" s="811"/>
      <c r="B1007" s="927"/>
      <c r="C1007" s="817"/>
      <c r="D1007" s="928"/>
      <c r="E1007" s="816"/>
      <c r="F1007" s="816"/>
      <c r="G1007" s="816"/>
      <c r="H1007" s="817"/>
      <c r="I1007" s="817"/>
      <c r="J1007" s="818"/>
      <c r="K1007" s="816"/>
      <c r="L1007" s="815"/>
      <c r="M1007" s="816"/>
      <c r="N1007" s="816"/>
      <c r="O1007" s="816"/>
      <c r="P1007" s="821"/>
      <c r="Q1007" s="821"/>
    </row>
    <row r="1008" ht="33.0" customHeight="1">
      <c r="A1008" s="822"/>
      <c r="B1008" s="927"/>
      <c r="C1008" s="826"/>
      <c r="D1008" s="928"/>
      <c r="E1008" s="825"/>
      <c r="F1008" s="825"/>
      <c r="G1008" s="825"/>
      <c r="H1008" s="826"/>
      <c r="I1008" s="826"/>
      <c r="J1008" s="827"/>
      <c r="K1008" s="825"/>
      <c r="L1008" s="824"/>
      <c r="M1008" s="825"/>
      <c r="N1008" s="825"/>
      <c r="O1008" s="825"/>
      <c r="P1008" s="830"/>
      <c r="Q1008" s="830"/>
    </row>
    <row r="1009" ht="33.0" customHeight="1">
      <c r="A1009" s="811"/>
      <c r="B1009" s="927"/>
      <c r="C1009" s="817"/>
      <c r="D1009" s="928"/>
      <c r="E1009" s="816"/>
      <c r="F1009" s="816"/>
      <c r="G1009" s="816"/>
      <c r="H1009" s="817"/>
      <c r="I1009" s="817"/>
      <c r="J1009" s="818"/>
      <c r="K1009" s="816"/>
      <c r="L1009" s="815"/>
      <c r="M1009" s="816"/>
      <c r="N1009" s="816"/>
      <c r="O1009" s="816"/>
      <c r="P1009" s="821"/>
      <c r="Q1009" s="821"/>
    </row>
    <row r="1010" ht="33.0" customHeight="1">
      <c r="A1010" s="822"/>
      <c r="B1010" s="927"/>
      <c r="C1010" s="826"/>
      <c r="D1010" s="928"/>
      <c r="E1010" s="825"/>
      <c r="F1010" s="825"/>
      <c r="G1010" s="825"/>
      <c r="H1010" s="826"/>
      <c r="I1010" s="826"/>
      <c r="J1010" s="827"/>
      <c r="K1010" s="825"/>
      <c r="L1010" s="824"/>
      <c r="M1010" s="825"/>
      <c r="N1010" s="825"/>
      <c r="O1010" s="825"/>
      <c r="P1010" s="830"/>
      <c r="Q1010" s="830"/>
    </row>
    <row r="1011" ht="33.0" customHeight="1">
      <c r="A1011" s="811"/>
      <c r="B1011" s="927"/>
      <c r="C1011" s="817"/>
      <c r="D1011" s="928"/>
      <c r="E1011" s="816"/>
      <c r="F1011" s="816"/>
      <c r="G1011" s="816"/>
      <c r="H1011" s="817"/>
      <c r="I1011" s="817"/>
      <c r="J1011" s="818"/>
      <c r="K1011" s="816"/>
      <c r="L1011" s="815"/>
      <c r="M1011" s="816"/>
      <c r="N1011" s="816"/>
      <c r="O1011" s="816"/>
      <c r="P1011" s="821"/>
      <c r="Q1011" s="821"/>
    </row>
    <row r="1012" ht="33.0" customHeight="1">
      <c r="A1012" s="822"/>
      <c r="B1012" s="927"/>
      <c r="C1012" s="826"/>
      <c r="D1012" s="928"/>
      <c r="E1012" s="825"/>
      <c r="F1012" s="825"/>
      <c r="G1012" s="825"/>
      <c r="H1012" s="826"/>
      <c r="I1012" s="826"/>
      <c r="J1012" s="827"/>
      <c r="K1012" s="825"/>
      <c r="L1012" s="824"/>
      <c r="M1012" s="825"/>
      <c r="N1012" s="825"/>
      <c r="O1012" s="825"/>
      <c r="P1012" s="830"/>
      <c r="Q1012" s="830"/>
    </row>
    <row r="1013" ht="33.0" customHeight="1">
      <c r="A1013" s="811"/>
      <c r="B1013" s="927"/>
      <c r="C1013" s="817"/>
      <c r="D1013" s="928"/>
      <c r="E1013" s="816"/>
      <c r="F1013" s="816"/>
      <c r="G1013" s="816"/>
      <c r="H1013" s="817"/>
      <c r="I1013" s="817"/>
      <c r="J1013" s="818"/>
      <c r="K1013" s="816"/>
      <c r="L1013" s="815"/>
      <c r="M1013" s="816"/>
      <c r="N1013" s="816"/>
      <c r="O1013" s="816"/>
      <c r="P1013" s="821"/>
      <c r="Q1013" s="821"/>
    </row>
    <row r="1014" ht="33.0" customHeight="1">
      <c r="A1014" s="822"/>
      <c r="B1014" s="927"/>
      <c r="C1014" s="826"/>
      <c r="D1014" s="928"/>
      <c r="E1014" s="825"/>
      <c r="F1014" s="825"/>
      <c r="G1014" s="825"/>
      <c r="H1014" s="826"/>
      <c r="I1014" s="826"/>
      <c r="J1014" s="827"/>
      <c r="K1014" s="825"/>
      <c r="L1014" s="824"/>
      <c r="M1014" s="825"/>
      <c r="N1014" s="825"/>
      <c r="O1014" s="825"/>
      <c r="P1014" s="830"/>
      <c r="Q1014" s="830"/>
    </row>
    <row r="1015" ht="33.0" customHeight="1">
      <c r="A1015" s="811"/>
      <c r="B1015" s="927"/>
      <c r="C1015" s="817"/>
      <c r="D1015" s="928"/>
      <c r="E1015" s="816"/>
      <c r="F1015" s="816"/>
      <c r="G1015" s="816"/>
      <c r="H1015" s="817"/>
      <c r="I1015" s="817"/>
      <c r="J1015" s="818"/>
      <c r="K1015" s="816"/>
      <c r="L1015" s="815"/>
      <c r="M1015" s="816"/>
      <c r="N1015" s="816"/>
      <c r="O1015" s="816"/>
      <c r="P1015" s="821"/>
      <c r="Q1015" s="821"/>
    </row>
    <row r="1016" ht="33.0" customHeight="1">
      <c r="A1016" s="822"/>
      <c r="B1016" s="927"/>
      <c r="C1016" s="826"/>
      <c r="D1016" s="928"/>
      <c r="E1016" s="825"/>
      <c r="F1016" s="825"/>
      <c r="G1016" s="825"/>
      <c r="H1016" s="826"/>
      <c r="I1016" s="826"/>
      <c r="J1016" s="827"/>
      <c r="K1016" s="825"/>
      <c r="L1016" s="824"/>
      <c r="M1016" s="825"/>
      <c r="N1016" s="825"/>
      <c r="O1016" s="825"/>
      <c r="P1016" s="830"/>
      <c r="Q1016" s="830"/>
    </row>
    <row r="1017" ht="33.0" customHeight="1">
      <c r="A1017" s="811"/>
      <c r="B1017" s="927"/>
      <c r="C1017" s="817"/>
      <c r="D1017" s="928"/>
      <c r="E1017" s="816"/>
      <c r="F1017" s="816"/>
      <c r="G1017" s="816"/>
      <c r="H1017" s="817"/>
      <c r="I1017" s="817"/>
      <c r="J1017" s="818"/>
      <c r="K1017" s="816"/>
      <c r="L1017" s="815"/>
      <c r="M1017" s="816"/>
      <c r="N1017" s="816"/>
      <c r="O1017" s="816"/>
      <c r="P1017" s="821"/>
      <c r="Q1017" s="821"/>
    </row>
    <row r="1018" ht="33.0" customHeight="1">
      <c r="A1018" s="822"/>
      <c r="B1018" s="927"/>
      <c r="C1018" s="826"/>
      <c r="D1018" s="928"/>
      <c r="E1018" s="825"/>
      <c r="F1018" s="825"/>
      <c r="G1018" s="825"/>
      <c r="H1018" s="826"/>
      <c r="I1018" s="826"/>
      <c r="J1018" s="827"/>
      <c r="K1018" s="825"/>
      <c r="L1018" s="824"/>
      <c r="M1018" s="825"/>
      <c r="N1018" s="825"/>
      <c r="O1018" s="825"/>
      <c r="P1018" s="830"/>
      <c r="Q1018" s="830"/>
    </row>
    <row r="1019" ht="33.0" customHeight="1">
      <c r="A1019" s="811"/>
      <c r="B1019" s="927"/>
      <c r="C1019" s="817"/>
      <c r="D1019" s="928"/>
      <c r="E1019" s="816"/>
      <c r="F1019" s="816"/>
      <c r="G1019" s="816"/>
      <c r="H1019" s="817"/>
      <c r="I1019" s="817"/>
      <c r="J1019" s="818"/>
      <c r="K1019" s="816"/>
      <c r="L1019" s="815"/>
      <c r="M1019" s="816"/>
      <c r="N1019" s="816"/>
      <c r="O1019" s="816"/>
      <c r="P1019" s="821"/>
      <c r="Q1019" s="821"/>
    </row>
    <row r="1020" ht="33.0" customHeight="1">
      <c r="A1020" s="822"/>
      <c r="B1020" s="927"/>
      <c r="C1020" s="826"/>
      <c r="D1020" s="928"/>
      <c r="E1020" s="825"/>
      <c r="F1020" s="825"/>
      <c r="G1020" s="825"/>
      <c r="H1020" s="826"/>
      <c r="I1020" s="826"/>
      <c r="J1020" s="827"/>
      <c r="K1020" s="825"/>
      <c r="L1020" s="824"/>
      <c r="M1020" s="825"/>
      <c r="N1020" s="825"/>
      <c r="O1020" s="825"/>
      <c r="P1020" s="830"/>
      <c r="Q1020" s="830"/>
    </row>
    <row r="1021" ht="33.0" customHeight="1">
      <c r="A1021" s="811"/>
      <c r="B1021" s="927"/>
      <c r="C1021" s="817"/>
      <c r="D1021" s="928"/>
      <c r="E1021" s="816"/>
      <c r="F1021" s="816"/>
      <c r="G1021" s="816"/>
      <c r="H1021" s="817"/>
      <c r="I1021" s="817"/>
      <c r="J1021" s="818"/>
      <c r="K1021" s="816"/>
      <c r="L1021" s="815"/>
      <c r="M1021" s="816"/>
      <c r="N1021" s="816"/>
      <c r="O1021" s="816"/>
      <c r="P1021" s="821"/>
      <c r="Q1021" s="821"/>
    </row>
    <row r="1022" ht="33.0" customHeight="1">
      <c r="A1022" s="822"/>
      <c r="B1022" s="927"/>
      <c r="C1022" s="826"/>
      <c r="D1022" s="928"/>
      <c r="E1022" s="825"/>
      <c r="F1022" s="825"/>
      <c r="G1022" s="825"/>
      <c r="H1022" s="826"/>
      <c r="I1022" s="826"/>
      <c r="J1022" s="827"/>
      <c r="K1022" s="825"/>
      <c r="L1022" s="824"/>
      <c r="M1022" s="825"/>
      <c r="N1022" s="825"/>
      <c r="O1022" s="825"/>
      <c r="P1022" s="830"/>
      <c r="Q1022" s="830"/>
    </row>
    <row r="1023" ht="33.0" customHeight="1">
      <c r="A1023" s="811"/>
      <c r="B1023" s="927"/>
      <c r="C1023" s="817"/>
      <c r="D1023" s="928"/>
      <c r="E1023" s="816"/>
      <c r="F1023" s="816"/>
      <c r="G1023" s="816"/>
      <c r="H1023" s="817"/>
      <c r="I1023" s="817"/>
      <c r="J1023" s="818"/>
      <c r="K1023" s="816"/>
      <c r="L1023" s="815"/>
      <c r="M1023" s="816"/>
      <c r="N1023" s="816"/>
      <c r="O1023" s="816"/>
      <c r="P1023" s="821"/>
      <c r="Q1023" s="821"/>
    </row>
    <row r="1024" ht="33.0" customHeight="1">
      <c r="A1024" s="822"/>
      <c r="B1024" s="927"/>
      <c r="C1024" s="826"/>
      <c r="D1024" s="928"/>
      <c r="E1024" s="825"/>
      <c r="F1024" s="825"/>
      <c r="G1024" s="825"/>
      <c r="H1024" s="826"/>
      <c r="I1024" s="826"/>
      <c r="J1024" s="827"/>
      <c r="K1024" s="825"/>
      <c r="L1024" s="824"/>
      <c r="M1024" s="825"/>
      <c r="N1024" s="825"/>
      <c r="O1024" s="825"/>
      <c r="P1024" s="830"/>
      <c r="Q1024" s="830"/>
    </row>
    <row r="1025" ht="33.0" customHeight="1">
      <c r="A1025" s="811"/>
      <c r="B1025" s="927"/>
      <c r="C1025" s="817"/>
      <c r="D1025" s="928"/>
      <c r="E1025" s="816"/>
      <c r="F1025" s="816"/>
      <c r="G1025" s="816"/>
      <c r="H1025" s="817"/>
      <c r="I1025" s="817"/>
      <c r="J1025" s="818"/>
      <c r="K1025" s="816"/>
      <c r="L1025" s="815"/>
      <c r="M1025" s="816"/>
      <c r="N1025" s="816"/>
      <c r="O1025" s="816"/>
      <c r="P1025" s="821"/>
      <c r="Q1025" s="821"/>
    </row>
    <row r="1026" ht="33.0" customHeight="1">
      <c r="A1026" s="822"/>
      <c r="B1026" s="927"/>
      <c r="C1026" s="826"/>
      <c r="D1026" s="928"/>
      <c r="E1026" s="825"/>
      <c r="F1026" s="825"/>
      <c r="G1026" s="825"/>
      <c r="H1026" s="826"/>
      <c r="I1026" s="826"/>
      <c r="J1026" s="827"/>
      <c r="K1026" s="825"/>
      <c r="L1026" s="824"/>
      <c r="M1026" s="825"/>
      <c r="N1026" s="825"/>
      <c r="O1026" s="825"/>
      <c r="P1026" s="830"/>
      <c r="Q1026" s="830"/>
    </row>
    <row r="1027" ht="33.0" customHeight="1">
      <c r="A1027" s="811"/>
      <c r="B1027" s="927"/>
      <c r="C1027" s="817"/>
      <c r="D1027" s="928"/>
      <c r="E1027" s="816"/>
      <c r="F1027" s="816"/>
      <c r="G1027" s="816"/>
      <c r="H1027" s="817"/>
      <c r="I1027" s="817"/>
      <c r="J1027" s="818"/>
      <c r="K1027" s="816"/>
      <c r="L1027" s="815"/>
      <c r="M1027" s="816"/>
      <c r="N1027" s="816"/>
      <c r="O1027" s="816"/>
      <c r="P1027" s="821"/>
      <c r="Q1027" s="821"/>
    </row>
    <row r="1028" ht="33.0" customHeight="1">
      <c r="A1028" s="822"/>
      <c r="B1028" s="927"/>
      <c r="C1028" s="826"/>
      <c r="D1028" s="928"/>
      <c r="E1028" s="825"/>
      <c r="F1028" s="825"/>
      <c r="G1028" s="825"/>
      <c r="H1028" s="826"/>
      <c r="I1028" s="826"/>
      <c r="J1028" s="827"/>
      <c r="K1028" s="825"/>
      <c r="L1028" s="824"/>
      <c r="M1028" s="825"/>
      <c r="N1028" s="825"/>
      <c r="O1028" s="825"/>
      <c r="P1028" s="830"/>
      <c r="Q1028" s="830"/>
    </row>
    <row r="1029" ht="33.0" customHeight="1">
      <c r="A1029" s="811"/>
      <c r="B1029" s="927"/>
      <c r="C1029" s="817"/>
      <c r="D1029" s="928"/>
      <c r="E1029" s="816"/>
      <c r="F1029" s="816"/>
      <c r="G1029" s="816"/>
      <c r="H1029" s="817"/>
      <c r="I1029" s="817"/>
      <c r="J1029" s="818"/>
      <c r="K1029" s="816"/>
      <c r="L1029" s="815"/>
      <c r="M1029" s="816"/>
      <c r="N1029" s="816"/>
      <c r="O1029" s="816"/>
      <c r="P1029" s="821"/>
      <c r="Q1029" s="821"/>
    </row>
    <row r="1030" ht="33.0" customHeight="1">
      <c r="A1030" s="822"/>
      <c r="B1030" s="927"/>
      <c r="C1030" s="826"/>
      <c r="D1030" s="928"/>
      <c r="E1030" s="825"/>
      <c r="F1030" s="825"/>
      <c r="G1030" s="825"/>
      <c r="H1030" s="826"/>
      <c r="I1030" s="826"/>
      <c r="J1030" s="827"/>
      <c r="K1030" s="825"/>
      <c r="L1030" s="824"/>
      <c r="M1030" s="825"/>
      <c r="N1030" s="825"/>
      <c r="O1030" s="825"/>
      <c r="P1030" s="830"/>
      <c r="Q1030" s="830"/>
    </row>
    <row r="1031" ht="33.0" customHeight="1">
      <c r="A1031" s="811"/>
      <c r="B1031" s="927"/>
      <c r="C1031" s="817"/>
      <c r="D1031" s="928"/>
      <c r="E1031" s="816"/>
      <c r="F1031" s="816"/>
      <c r="G1031" s="816"/>
      <c r="H1031" s="817"/>
      <c r="I1031" s="817"/>
      <c r="J1031" s="818"/>
      <c r="K1031" s="816"/>
      <c r="L1031" s="815"/>
      <c r="M1031" s="816"/>
      <c r="N1031" s="816"/>
      <c r="O1031" s="816"/>
      <c r="P1031" s="821"/>
      <c r="Q1031" s="821"/>
    </row>
    <row r="1032" ht="33.0" customHeight="1">
      <c r="A1032" s="822"/>
      <c r="B1032" s="927"/>
      <c r="C1032" s="826"/>
      <c r="D1032" s="928"/>
      <c r="E1032" s="825"/>
      <c r="F1032" s="825"/>
      <c r="G1032" s="825"/>
      <c r="H1032" s="826"/>
      <c r="I1032" s="826"/>
      <c r="J1032" s="827"/>
      <c r="K1032" s="825"/>
      <c r="L1032" s="824"/>
      <c r="M1032" s="825"/>
      <c r="N1032" s="825"/>
      <c r="O1032" s="825"/>
      <c r="P1032" s="830"/>
      <c r="Q1032" s="830"/>
    </row>
    <row r="1033" ht="33.0" customHeight="1">
      <c r="A1033" s="811"/>
      <c r="B1033" s="927"/>
      <c r="C1033" s="817"/>
      <c r="D1033" s="928"/>
      <c r="E1033" s="816"/>
      <c r="F1033" s="816"/>
      <c r="G1033" s="816"/>
      <c r="H1033" s="817"/>
      <c r="I1033" s="817"/>
      <c r="J1033" s="818"/>
      <c r="K1033" s="816"/>
      <c r="L1033" s="815"/>
      <c r="M1033" s="816"/>
      <c r="N1033" s="816"/>
      <c r="O1033" s="816"/>
      <c r="P1033" s="821"/>
      <c r="Q1033" s="821"/>
    </row>
    <row r="1034" ht="33.0" customHeight="1">
      <c r="A1034" s="822"/>
      <c r="B1034" s="927"/>
      <c r="C1034" s="826"/>
      <c r="D1034" s="928"/>
      <c r="E1034" s="825"/>
      <c r="F1034" s="825"/>
      <c r="G1034" s="825"/>
      <c r="H1034" s="826"/>
      <c r="I1034" s="826"/>
      <c r="J1034" s="827"/>
      <c r="K1034" s="825"/>
      <c r="L1034" s="824"/>
      <c r="M1034" s="825"/>
      <c r="N1034" s="825"/>
      <c r="O1034" s="825"/>
      <c r="P1034" s="830"/>
      <c r="Q1034" s="830"/>
    </row>
    <row r="1035" ht="33.0" customHeight="1">
      <c r="A1035" s="811"/>
      <c r="B1035" s="927"/>
      <c r="C1035" s="817"/>
      <c r="D1035" s="928"/>
      <c r="E1035" s="816"/>
      <c r="F1035" s="816"/>
      <c r="G1035" s="816"/>
      <c r="H1035" s="817"/>
      <c r="I1035" s="817"/>
      <c r="J1035" s="818"/>
      <c r="K1035" s="816"/>
      <c r="L1035" s="815"/>
      <c r="M1035" s="816"/>
      <c r="N1035" s="816"/>
      <c r="O1035" s="816"/>
      <c r="P1035" s="821"/>
      <c r="Q1035" s="821"/>
    </row>
    <row r="1036" ht="33.0" customHeight="1">
      <c r="A1036" s="822"/>
      <c r="B1036" s="927"/>
      <c r="C1036" s="826"/>
      <c r="D1036" s="928"/>
      <c r="E1036" s="825"/>
      <c r="F1036" s="825"/>
      <c r="G1036" s="825"/>
      <c r="H1036" s="826"/>
      <c r="I1036" s="826"/>
      <c r="J1036" s="827"/>
      <c r="K1036" s="825"/>
      <c r="L1036" s="824"/>
      <c r="M1036" s="825"/>
      <c r="N1036" s="825"/>
      <c r="O1036" s="825"/>
      <c r="P1036" s="830"/>
      <c r="Q1036" s="830"/>
    </row>
    <row r="1037" ht="33.0" customHeight="1">
      <c r="A1037" s="811"/>
      <c r="B1037" s="927"/>
      <c r="C1037" s="817"/>
      <c r="D1037" s="928"/>
      <c r="E1037" s="816"/>
      <c r="F1037" s="816"/>
      <c r="G1037" s="816"/>
      <c r="H1037" s="817"/>
      <c r="I1037" s="817"/>
      <c r="J1037" s="818"/>
      <c r="K1037" s="816"/>
      <c r="L1037" s="815"/>
      <c r="M1037" s="816"/>
      <c r="N1037" s="816"/>
      <c r="O1037" s="816"/>
      <c r="P1037" s="821"/>
      <c r="Q1037" s="821"/>
    </row>
    <row r="1038" ht="33.0" customHeight="1">
      <c r="A1038" s="822"/>
      <c r="B1038" s="927"/>
      <c r="C1038" s="826"/>
      <c r="D1038" s="928"/>
      <c r="E1038" s="825"/>
      <c r="F1038" s="825"/>
      <c r="G1038" s="825"/>
      <c r="H1038" s="826"/>
      <c r="I1038" s="826"/>
      <c r="J1038" s="827"/>
      <c r="K1038" s="825"/>
      <c r="L1038" s="824"/>
      <c r="M1038" s="825"/>
      <c r="N1038" s="825"/>
      <c r="O1038" s="825"/>
      <c r="P1038" s="830"/>
      <c r="Q1038" s="830"/>
    </row>
  </sheetData>
  <mergeCells count="236">
    <mergeCell ref="M4:M5"/>
    <mergeCell ref="N4:N5"/>
    <mergeCell ref="O4:O5"/>
    <mergeCell ref="P4:P5"/>
    <mergeCell ref="Q4:Q5"/>
    <mergeCell ref="A1:B2"/>
    <mergeCell ref="C1:M2"/>
    <mergeCell ref="N1:P2"/>
    <mergeCell ref="A4:A5"/>
    <mergeCell ref="B4:B5"/>
    <mergeCell ref="C4:C5"/>
    <mergeCell ref="D4:D5"/>
    <mergeCell ref="P6:P8"/>
    <mergeCell ref="Q6:Q8"/>
    <mergeCell ref="L9:L10"/>
    <mergeCell ref="M9:M10"/>
    <mergeCell ref="N9:N10"/>
    <mergeCell ref="O9:O10"/>
    <mergeCell ref="P9:P10"/>
    <mergeCell ref="Q9:Q10"/>
    <mergeCell ref="J4:J5"/>
    <mergeCell ref="L4:L5"/>
    <mergeCell ref="J6:J8"/>
    <mergeCell ref="L6:L8"/>
    <mergeCell ref="M6:M8"/>
    <mergeCell ref="N6:N8"/>
    <mergeCell ref="O6:O8"/>
    <mergeCell ref="A6:A8"/>
    <mergeCell ref="B6:B8"/>
    <mergeCell ref="C6:C8"/>
    <mergeCell ref="D6:D8"/>
    <mergeCell ref="A9:A10"/>
    <mergeCell ref="B9:B10"/>
    <mergeCell ref="C9:C10"/>
    <mergeCell ref="N11:N14"/>
    <mergeCell ref="O11:O14"/>
    <mergeCell ref="P11:P14"/>
    <mergeCell ref="Q11:Q14"/>
    <mergeCell ref="A11:A14"/>
    <mergeCell ref="B11:B14"/>
    <mergeCell ref="C11:C14"/>
    <mergeCell ref="D11:D14"/>
    <mergeCell ref="J11:J14"/>
    <mergeCell ref="L11:L14"/>
    <mergeCell ref="M11:M14"/>
    <mergeCell ref="N15:N18"/>
    <mergeCell ref="O15:O18"/>
    <mergeCell ref="P15:P18"/>
    <mergeCell ref="Q15:Q18"/>
    <mergeCell ref="A15:A18"/>
    <mergeCell ref="B15:B18"/>
    <mergeCell ref="C15:C18"/>
    <mergeCell ref="D15:D18"/>
    <mergeCell ref="J15:J18"/>
    <mergeCell ref="L15:L18"/>
    <mergeCell ref="M15:M18"/>
    <mergeCell ref="N19:N20"/>
    <mergeCell ref="O19:O20"/>
    <mergeCell ref="P19:P20"/>
    <mergeCell ref="Q19:Q20"/>
    <mergeCell ref="A19:A20"/>
    <mergeCell ref="B19:B20"/>
    <mergeCell ref="C19:C20"/>
    <mergeCell ref="D19:D20"/>
    <mergeCell ref="J19:J20"/>
    <mergeCell ref="L19:L20"/>
    <mergeCell ref="M19:M20"/>
    <mergeCell ref="N21:N22"/>
    <mergeCell ref="O21:O22"/>
    <mergeCell ref="P21:P22"/>
    <mergeCell ref="Q21:Q22"/>
    <mergeCell ref="B47:B48"/>
    <mergeCell ref="B65:B68"/>
    <mergeCell ref="C65:C68"/>
    <mergeCell ref="B71:B72"/>
    <mergeCell ref="C71:C72"/>
    <mergeCell ref="B73:B74"/>
    <mergeCell ref="C73:C74"/>
    <mergeCell ref="A81:A92"/>
    <mergeCell ref="A93:A100"/>
    <mergeCell ref="A102:A103"/>
    <mergeCell ref="A104:A105"/>
    <mergeCell ref="A106:A107"/>
    <mergeCell ref="A108:A109"/>
    <mergeCell ref="A110:A112"/>
    <mergeCell ref="C86:C92"/>
    <mergeCell ref="C94:C95"/>
    <mergeCell ref="B93:B100"/>
    <mergeCell ref="B102:B103"/>
    <mergeCell ref="E102:E103"/>
    <mergeCell ref="B76:B78"/>
    <mergeCell ref="C77:C79"/>
    <mergeCell ref="B79:B80"/>
    <mergeCell ref="B81:B85"/>
    <mergeCell ref="C81:C85"/>
    <mergeCell ref="B86:B92"/>
    <mergeCell ref="C96:C100"/>
    <mergeCell ref="D106:D107"/>
    <mergeCell ref="E106:E107"/>
    <mergeCell ref="B108:B109"/>
    <mergeCell ref="C108:C109"/>
    <mergeCell ref="D108:D109"/>
    <mergeCell ref="E108:E109"/>
    <mergeCell ref="B110:B112"/>
    <mergeCell ref="C110:C112"/>
    <mergeCell ref="D110:D112"/>
    <mergeCell ref="E110:E111"/>
    <mergeCell ref="C102:C103"/>
    <mergeCell ref="B104:B105"/>
    <mergeCell ref="C104:C105"/>
    <mergeCell ref="D104:D105"/>
    <mergeCell ref="E104:E105"/>
    <mergeCell ref="B106:B107"/>
    <mergeCell ref="C106:C107"/>
    <mergeCell ref="M23:M25"/>
    <mergeCell ref="N23:N25"/>
    <mergeCell ref="O23:O25"/>
    <mergeCell ref="P23:P25"/>
    <mergeCell ref="Q23:Q25"/>
    <mergeCell ref="A21:A22"/>
    <mergeCell ref="B21:B22"/>
    <mergeCell ref="C21:C22"/>
    <mergeCell ref="D21:D22"/>
    <mergeCell ref="J21:J22"/>
    <mergeCell ref="M21:M22"/>
    <mergeCell ref="C23:C25"/>
    <mergeCell ref="L21:L22"/>
    <mergeCell ref="L23:L25"/>
    <mergeCell ref="M27:M30"/>
    <mergeCell ref="N27:N30"/>
    <mergeCell ref="O27:O30"/>
    <mergeCell ref="P27:P30"/>
    <mergeCell ref="Q27:Q30"/>
    <mergeCell ref="L27:L30"/>
    <mergeCell ref="L31:L34"/>
    <mergeCell ref="M31:M34"/>
    <mergeCell ref="N31:N34"/>
    <mergeCell ref="O31:O34"/>
    <mergeCell ref="P31:P34"/>
    <mergeCell ref="Q31:Q34"/>
    <mergeCell ref="O42:O44"/>
    <mergeCell ref="P42:P44"/>
    <mergeCell ref="L45:L49"/>
    <mergeCell ref="L50:L52"/>
    <mergeCell ref="M50:M52"/>
    <mergeCell ref="N50:N52"/>
    <mergeCell ref="O50:O52"/>
    <mergeCell ref="P50:P52"/>
    <mergeCell ref="Q50:Q52"/>
    <mergeCell ref="A35:A36"/>
    <mergeCell ref="B35:B36"/>
    <mergeCell ref="C35:C36"/>
    <mergeCell ref="A37:A41"/>
    <mergeCell ref="B37:B41"/>
    <mergeCell ref="C37:C41"/>
    <mergeCell ref="C47:C48"/>
    <mergeCell ref="O93:O100"/>
    <mergeCell ref="P93:P100"/>
    <mergeCell ref="L81:L92"/>
    <mergeCell ref="M81:M92"/>
    <mergeCell ref="N81:N92"/>
    <mergeCell ref="O81:O92"/>
    <mergeCell ref="P81:P92"/>
    <mergeCell ref="Q81:Q92"/>
    <mergeCell ref="L93:L100"/>
    <mergeCell ref="Q93:Q100"/>
    <mergeCell ref="M93:M100"/>
    <mergeCell ref="N93:N100"/>
    <mergeCell ref="M102:M103"/>
    <mergeCell ref="N102:N103"/>
    <mergeCell ref="O102:O103"/>
    <mergeCell ref="P102:P103"/>
    <mergeCell ref="Q102:Q103"/>
    <mergeCell ref="L102:L103"/>
    <mergeCell ref="L104:L105"/>
    <mergeCell ref="M104:M105"/>
    <mergeCell ref="N104:N105"/>
    <mergeCell ref="O104:O105"/>
    <mergeCell ref="P104:P105"/>
    <mergeCell ref="Q104:Q105"/>
    <mergeCell ref="O108:O109"/>
    <mergeCell ref="P108:P109"/>
    <mergeCell ref="L106:L107"/>
    <mergeCell ref="M106:M107"/>
    <mergeCell ref="N106:N107"/>
    <mergeCell ref="O106:O107"/>
    <mergeCell ref="P106:P107"/>
    <mergeCell ref="Q106:Q107"/>
    <mergeCell ref="L108:L109"/>
    <mergeCell ref="Q108:Q109"/>
    <mergeCell ref="L35:L41"/>
    <mergeCell ref="M35:M41"/>
    <mergeCell ref="N35:N41"/>
    <mergeCell ref="O35:O41"/>
    <mergeCell ref="P35:P41"/>
    <mergeCell ref="Q35:Q41"/>
    <mergeCell ref="L42:L44"/>
    <mergeCell ref="Q42:Q44"/>
    <mergeCell ref="M42:M44"/>
    <mergeCell ref="N42:N44"/>
    <mergeCell ref="M45:M49"/>
    <mergeCell ref="N45:N49"/>
    <mergeCell ref="O45:O49"/>
    <mergeCell ref="P45:P49"/>
    <mergeCell ref="Q45:Q49"/>
    <mergeCell ref="O58:O64"/>
    <mergeCell ref="P58:P64"/>
    <mergeCell ref="L53:L57"/>
    <mergeCell ref="M53:M57"/>
    <mergeCell ref="N53:N57"/>
    <mergeCell ref="O53:O57"/>
    <mergeCell ref="P53:P57"/>
    <mergeCell ref="Q53:Q57"/>
    <mergeCell ref="L58:L64"/>
    <mergeCell ref="Q58:Q64"/>
    <mergeCell ref="M58:M64"/>
    <mergeCell ref="N58:N64"/>
    <mergeCell ref="M65:M74"/>
    <mergeCell ref="N65:N74"/>
    <mergeCell ref="O65:O74"/>
    <mergeCell ref="P65:P74"/>
    <mergeCell ref="Q65:Q74"/>
    <mergeCell ref="L65:L74"/>
    <mergeCell ref="L75:L80"/>
    <mergeCell ref="M75:M80"/>
    <mergeCell ref="N75:N80"/>
    <mergeCell ref="O75:O80"/>
    <mergeCell ref="P75:P80"/>
    <mergeCell ref="Q75:Q80"/>
    <mergeCell ref="M108:M109"/>
    <mergeCell ref="N108:N109"/>
    <mergeCell ref="L110:L111"/>
    <mergeCell ref="M110:M111"/>
    <mergeCell ref="N110:N111"/>
    <mergeCell ref="O110:O111"/>
    <mergeCell ref="P110:P111"/>
  </mergeCells>
  <dataValidations>
    <dataValidation type="list" allowBlank="1" showErrorMessage="1" sqref="B4 B6 B9 B15 B19 B119:B1038">
      <formula1>"ARRACHAGE/FAUCHAGE,AUTRES TRAVAUX,BILLONNAGE,CHARGE/DECHARGE,CHAULAGE,DECHAULAGE ,DÉSHERBAGES,ENTRETIEN SERRE,ETANCHIETE,IRRIGATION,NETTOYAGE ,NETTOYAGE FIN COMPAGNE,PALISSAGE ,PINCEMENT ,PLANTATION,RECOLTE,SELECTION,SUPPORT DE PALISSAGE ,TRAITEMENT ,VIRU"&amp;"S ET CONTROLE "</formula1>
    </dataValidation>
    <dataValidation type="list" allowBlank="1" showErrorMessage="1" sqref="C4 C6 C9 C11 C15 C19 C21 C119:C1038">
      <formula1>"807,813,805"</formula1>
    </dataValidation>
    <dataValidation type="list" allowBlank="1" showErrorMessage="1" sqref="B21">
      <formula1>"FIBRE COCO DESTRIBUTION"</formula1>
    </dataValidation>
    <dataValidation type="list" allowBlank="1" showErrorMessage="1" sqref="E4:F100 F102:F112">
      <formula1>"JRS,HA"</formula1>
    </dataValidation>
    <dataValidation type="list" allowBlank="1" showErrorMessage="1" sqref="I4:I100 I102:I112">
      <formula1>"OUVRIER,CAPORALE"</formula1>
    </dataValidation>
  </dataValidations>
  <printOptions gridLines="1" horizontalCentered="1"/>
  <pageMargins bottom="0.0" footer="0.0" header="0.0" left="0.0" right="0.0" top="0.0"/>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75" outlineLevelRow="1"/>
  <cols>
    <col customWidth="1" min="1" max="1" width="15.38"/>
    <col customWidth="1" min="2" max="2" width="30.63"/>
    <col customWidth="1" min="3" max="3" width="9.63"/>
    <col customWidth="1" min="4" max="4" width="7.75"/>
    <col customWidth="1" min="5" max="5" width="25.63"/>
    <col customWidth="1" min="6" max="6" width="18.5"/>
    <col customWidth="1" min="7" max="7" width="16.25"/>
    <col customWidth="1" min="8" max="8" width="14.0"/>
    <col customWidth="1" min="9" max="9" width="11.0"/>
    <col customWidth="1" min="10" max="10" width="19.88"/>
    <col customWidth="1" min="11" max="11" width="28.13"/>
    <col customWidth="1" min="12" max="12" width="11.25"/>
    <col customWidth="1" min="13" max="13" width="16.75"/>
    <col customWidth="1" min="14" max="14" width="22.5"/>
    <col customWidth="1" min="15" max="15" width="25.5"/>
    <col customWidth="1" min="16" max="16" width="17.38"/>
  </cols>
  <sheetData>
    <row r="1">
      <c r="A1" s="942"/>
      <c r="C1" s="943" t="s">
        <v>616</v>
      </c>
      <c r="G1" s="943"/>
      <c r="H1" s="943"/>
      <c r="I1" s="943"/>
      <c r="J1" s="943"/>
      <c r="K1" s="943"/>
      <c r="L1" s="943"/>
      <c r="M1" s="944"/>
      <c r="N1" s="944"/>
      <c r="O1" s="944"/>
      <c r="P1" s="944"/>
      <c r="Q1" s="945"/>
      <c r="R1" s="945"/>
      <c r="S1" s="945"/>
      <c r="T1" s="945"/>
      <c r="U1" s="945"/>
      <c r="V1" s="945"/>
      <c r="W1" s="945"/>
      <c r="X1" s="945"/>
      <c r="Y1" s="945"/>
      <c r="Z1" s="945"/>
      <c r="AA1" s="945"/>
      <c r="AB1" s="945"/>
    </row>
    <row r="2">
      <c r="G2" s="943"/>
      <c r="H2" s="943"/>
      <c r="I2" s="943"/>
      <c r="J2" s="943"/>
      <c r="K2" s="943"/>
      <c r="L2" s="943"/>
      <c r="M2" s="944"/>
      <c r="N2" s="944"/>
      <c r="O2" s="944"/>
      <c r="P2" s="944"/>
      <c r="Q2" s="945"/>
      <c r="R2" s="945"/>
      <c r="S2" s="945"/>
      <c r="T2" s="945"/>
      <c r="U2" s="945"/>
      <c r="V2" s="945"/>
      <c r="W2" s="945"/>
      <c r="X2" s="945"/>
      <c r="Y2" s="945"/>
      <c r="Z2" s="945"/>
      <c r="AA2" s="945"/>
      <c r="AB2" s="945"/>
    </row>
    <row r="3" ht="22.5" customHeight="1">
      <c r="G3" s="944"/>
      <c r="H3" s="946" t="s">
        <v>617</v>
      </c>
      <c r="I3" s="947"/>
      <c r="J3" s="947"/>
      <c r="K3" s="947"/>
      <c r="L3" s="948"/>
      <c r="M3" s="949" t="s">
        <v>618</v>
      </c>
      <c r="N3" s="950"/>
      <c r="O3" s="951"/>
      <c r="P3" s="944"/>
      <c r="Q3" s="945"/>
      <c r="R3" s="945"/>
      <c r="S3" s="945"/>
      <c r="T3" s="945"/>
      <c r="U3" s="945"/>
      <c r="V3" s="945"/>
      <c r="W3" s="945"/>
      <c r="X3" s="945"/>
      <c r="Y3" s="945"/>
      <c r="Z3" s="945"/>
      <c r="AA3" s="945"/>
      <c r="AB3" s="945"/>
    </row>
    <row r="4" ht="22.5" customHeight="1">
      <c r="A4" s="942"/>
      <c r="B4" s="942"/>
      <c r="C4" s="943"/>
      <c r="D4" s="943"/>
      <c r="E4" s="943"/>
      <c r="F4" s="943"/>
      <c r="G4" s="944"/>
      <c r="H4" s="952"/>
      <c r="I4" s="953"/>
      <c r="J4" s="953"/>
      <c r="K4" s="953"/>
      <c r="L4" s="954"/>
      <c r="M4" s="955"/>
      <c r="N4" s="955"/>
      <c r="O4" s="949"/>
      <c r="P4" s="944"/>
      <c r="Q4" s="945"/>
      <c r="R4" s="945"/>
      <c r="S4" s="945"/>
      <c r="T4" s="945"/>
      <c r="U4" s="945"/>
      <c r="V4" s="945"/>
      <c r="W4" s="945"/>
      <c r="X4" s="945"/>
      <c r="Y4" s="945"/>
      <c r="Z4" s="945"/>
      <c r="AA4" s="945"/>
      <c r="AB4" s="945"/>
    </row>
    <row r="5" ht="20.25" customHeight="1">
      <c r="A5" s="956" t="s">
        <v>619</v>
      </c>
      <c r="B5" s="956" t="s">
        <v>2</v>
      </c>
      <c r="C5" s="956" t="s">
        <v>3</v>
      </c>
      <c r="D5" s="956" t="s">
        <v>4</v>
      </c>
      <c r="E5" s="956" t="s">
        <v>19</v>
      </c>
      <c r="F5" s="956" t="s">
        <v>620</v>
      </c>
      <c r="G5" s="957" t="s">
        <v>621</v>
      </c>
      <c r="H5" s="958" t="s">
        <v>622</v>
      </c>
      <c r="I5" s="959" t="s">
        <v>623</v>
      </c>
      <c r="J5" s="956" t="s">
        <v>624</v>
      </c>
      <c r="K5" s="956" t="s">
        <v>625</v>
      </c>
      <c r="L5" s="960" t="s">
        <v>626</v>
      </c>
      <c r="M5" s="961" t="s">
        <v>627</v>
      </c>
      <c r="N5" s="956" t="s">
        <v>628</v>
      </c>
      <c r="O5" s="962" t="s">
        <v>629</v>
      </c>
      <c r="P5" s="963" t="s">
        <v>630</v>
      </c>
      <c r="Q5" s="945"/>
      <c r="R5" s="945"/>
      <c r="S5" s="945"/>
      <c r="T5" s="945"/>
      <c r="U5" s="945"/>
      <c r="V5" s="945"/>
      <c r="W5" s="945"/>
      <c r="X5" s="945"/>
      <c r="Y5" s="945"/>
      <c r="Z5" s="945"/>
      <c r="AA5" s="945"/>
      <c r="AB5" s="945"/>
    </row>
    <row r="6" ht="20.25" customHeight="1">
      <c r="A6" s="964">
        <v>46177.0</v>
      </c>
      <c r="B6" s="965" t="s">
        <v>21</v>
      </c>
      <c r="C6" s="965">
        <v>906.0</v>
      </c>
      <c r="D6" s="966">
        <f t="array" ref="D6">IFERROR(_xlfn.XLOOKUP(C6,Code!A:A,Code!B:B),"")</f>
        <v>0.68</v>
      </c>
      <c r="E6" s="967" t="s">
        <v>631</v>
      </c>
      <c r="F6" s="965" t="s">
        <v>632</v>
      </c>
      <c r="G6" s="965" t="s">
        <v>317</v>
      </c>
      <c r="H6" s="965">
        <v>7.0</v>
      </c>
      <c r="I6" s="965">
        <v>1.0</v>
      </c>
      <c r="J6" s="965">
        <v>120.0</v>
      </c>
      <c r="K6" s="965">
        <v>100.0</v>
      </c>
      <c r="L6" s="965">
        <f>H6*K6+J6</f>
        <v>820</v>
      </c>
      <c r="M6" s="965" t="s">
        <v>633</v>
      </c>
      <c r="N6" s="965">
        <v>20.0</v>
      </c>
      <c r="O6" s="968">
        <f>(H6+I6)*N6</f>
        <v>160</v>
      </c>
      <c r="P6" s="969">
        <f>O6+L6</f>
        <v>980</v>
      </c>
      <c r="Q6" s="945"/>
      <c r="R6" s="945"/>
      <c r="S6" s="945"/>
      <c r="T6" s="945"/>
      <c r="U6" s="945"/>
      <c r="V6" s="945"/>
      <c r="W6" s="945"/>
      <c r="X6" s="945"/>
      <c r="Y6" s="945"/>
      <c r="Z6" s="945"/>
      <c r="AA6" s="945"/>
      <c r="AB6" s="945"/>
    </row>
    <row r="7" ht="20.25" customHeight="1">
      <c r="A7" s="964">
        <v>46177.0</v>
      </c>
      <c r="B7" s="965" t="s">
        <v>21</v>
      </c>
      <c r="C7" s="965">
        <v>907.0</v>
      </c>
      <c r="D7" s="966">
        <f t="array" ref="D7">IFERROR(_xlfn.XLOOKUP(C7,Code!A:A,Code!B:B),"")</f>
        <v>0.64</v>
      </c>
      <c r="E7" s="967" t="s">
        <v>634</v>
      </c>
      <c r="F7" s="965" t="s">
        <v>632</v>
      </c>
      <c r="G7" s="965"/>
      <c r="H7" s="965">
        <v>13.0</v>
      </c>
      <c r="I7" s="965">
        <v>1.0</v>
      </c>
      <c r="J7" s="965" t="s">
        <v>460</v>
      </c>
      <c r="K7" s="965" t="s">
        <v>460</v>
      </c>
      <c r="L7" s="965" t="s">
        <v>460</v>
      </c>
      <c r="M7" s="965"/>
      <c r="N7" s="965" t="s">
        <v>460</v>
      </c>
      <c r="O7" s="965" t="s">
        <v>460</v>
      </c>
      <c r="P7" s="965" t="s">
        <v>460</v>
      </c>
      <c r="Q7" s="945"/>
      <c r="R7" s="945"/>
      <c r="S7" s="945"/>
      <c r="T7" s="945"/>
      <c r="U7" s="945"/>
      <c r="V7" s="945"/>
      <c r="W7" s="945"/>
      <c r="X7" s="945"/>
      <c r="Y7" s="945"/>
      <c r="Z7" s="945"/>
      <c r="AA7" s="945"/>
      <c r="AB7" s="945"/>
    </row>
    <row r="8" ht="20.25" customHeight="1">
      <c r="A8" s="964">
        <v>46178.0</v>
      </c>
      <c r="B8" s="965" t="s">
        <v>21</v>
      </c>
      <c r="C8" s="965">
        <v>906.0</v>
      </c>
      <c r="D8" s="966">
        <f t="array" ref="D8">IFERROR(_xlfn.XLOOKUP(C8,Code!A:A,Code!B:B),"")</f>
        <v>0.68</v>
      </c>
      <c r="E8" s="967" t="s">
        <v>631</v>
      </c>
      <c r="F8" s="965" t="s">
        <v>632</v>
      </c>
      <c r="G8" s="965" t="s">
        <v>317</v>
      </c>
      <c r="H8" s="965">
        <v>8.0</v>
      </c>
      <c r="I8" s="965">
        <v>1.0</v>
      </c>
      <c r="J8" s="965">
        <v>120.0</v>
      </c>
      <c r="K8" s="965">
        <v>100.0</v>
      </c>
      <c r="L8" s="965">
        <f>H8*K8</f>
        <v>800</v>
      </c>
      <c r="M8" s="965" t="s">
        <v>633</v>
      </c>
      <c r="N8" s="965">
        <v>20.0</v>
      </c>
      <c r="O8" s="968">
        <f>N8*H8</f>
        <v>160</v>
      </c>
      <c r="P8" s="968">
        <f>O8+L8</f>
        <v>960</v>
      </c>
      <c r="Q8" s="945"/>
      <c r="R8" s="945"/>
      <c r="S8" s="945"/>
      <c r="T8" s="945"/>
      <c r="U8" s="945"/>
      <c r="V8" s="945"/>
      <c r="W8" s="945"/>
      <c r="X8" s="945"/>
      <c r="Y8" s="945"/>
      <c r="Z8" s="945"/>
      <c r="AA8" s="945"/>
      <c r="AB8" s="945"/>
    </row>
    <row r="9" ht="20.25" customHeight="1">
      <c r="A9" s="964">
        <v>46178.0</v>
      </c>
      <c r="B9" s="965" t="s">
        <v>21</v>
      </c>
      <c r="C9" s="965">
        <v>907.0</v>
      </c>
      <c r="D9" s="966">
        <f t="array" ref="D9">IFERROR(_xlfn.XLOOKUP(C9,Code!A:A,Code!B:B),"")</f>
        <v>0.64</v>
      </c>
      <c r="E9" s="967" t="s">
        <v>635</v>
      </c>
      <c r="F9" s="965" t="s">
        <v>632</v>
      </c>
      <c r="G9" s="965"/>
      <c r="H9" s="965">
        <v>17.0</v>
      </c>
      <c r="I9" s="965">
        <v>1.0</v>
      </c>
      <c r="J9" s="965" t="s">
        <v>460</v>
      </c>
      <c r="K9" s="965" t="s">
        <v>460</v>
      </c>
      <c r="L9" s="965" t="s">
        <v>460</v>
      </c>
      <c r="M9" s="965"/>
      <c r="N9" s="965" t="s">
        <v>460</v>
      </c>
      <c r="O9" s="965" t="s">
        <v>460</v>
      </c>
      <c r="P9" s="965" t="s">
        <v>460</v>
      </c>
      <c r="Q9" s="945"/>
      <c r="R9" s="945"/>
      <c r="S9" s="945"/>
      <c r="T9" s="945"/>
      <c r="U9" s="945"/>
      <c r="V9" s="945"/>
      <c r="W9" s="945"/>
      <c r="X9" s="945"/>
      <c r="Y9" s="945"/>
      <c r="Z9" s="945"/>
      <c r="AA9" s="945"/>
      <c r="AB9" s="945"/>
    </row>
    <row r="10" ht="20.25" customHeight="1">
      <c r="A10" s="964">
        <v>46178.0</v>
      </c>
      <c r="B10" s="965" t="s">
        <v>21</v>
      </c>
      <c r="C10" s="965">
        <v>910.0</v>
      </c>
      <c r="D10" s="966">
        <f t="array" ref="D10">IFERROR(_xlfn.XLOOKUP(C10,Code!A:A,Code!B:B),"")</f>
        <v>1.17</v>
      </c>
      <c r="E10" s="967" t="s">
        <v>636</v>
      </c>
      <c r="F10" s="965" t="s">
        <v>632</v>
      </c>
      <c r="G10" s="965"/>
      <c r="H10" s="965">
        <v>11.0</v>
      </c>
      <c r="I10" s="965">
        <v>1.0</v>
      </c>
      <c r="J10" s="965" t="s">
        <v>460</v>
      </c>
      <c r="K10" s="965" t="s">
        <v>460</v>
      </c>
      <c r="L10" s="965" t="s">
        <v>460</v>
      </c>
      <c r="M10" s="965"/>
      <c r="N10" s="965" t="s">
        <v>460</v>
      </c>
      <c r="O10" s="965" t="s">
        <v>460</v>
      </c>
      <c r="P10" s="965" t="s">
        <v>460</v>
      </c>
      <c r="Q10" s="945"/>
      <c r="R10" s="945"/>
      <c r="S10" s="945"/>
      <c r="T10" s="945"/>
      <c r="U10" s="945"/>
      <c r="V10" s="945"/>
      <c r="W10" s="945"/>
      <c r="X10" s="945"/>
      <c r="Y10" s="945"/>
      <c r="Z10" s="945"/>
      <c r="AA10" s="945"/>
      <c r="AB10" s="945"/>
    </row>
    <row r="11" ht="20.25" customHeight="1">
      <c r="A11" s="964">
        <v>46179.0</v>
      </c>
      <c r="B11" s="965" t="s">
        <v>21</v>
      </c>
      <c r="C11" s="965">
        <v>907.0</v>
      </c>
      <c r="D11" s="966">
        <f t="array" ref="D11">IFERROR(_xlfn.XLOOKUP(C11,Code!A:A,Code!B:B),"")</f>
        <v>0.64</v>
      </c>
      <c r="E11" s="967" t="s">
        <v>637</v>
      </c>
      <c r="F11" s="965" t="s">
        <v>632</v>
      </c>
      <c r="G11" s="965"/>
      <c r="H11" s="965">
        <v>18.0</v>
      </c>
      <c r="I11" s="965">
        <v>1.0</v>
      </c>
      <c r="J11" s="965" t="s">
        <v>460</v>
      </c>
      <c r="K11" s="965" t="s">
        <v>460</v>
      </c>
      <c r="L11" s="965" t="s">
        <v>460</v>
      </c>
      <c r="M11" s="965"/>
      <c r="N11" s="965" t="s">
        <v>460</v>
      </c>
      <c r="O11" s="965" t="s">
        <v>460</v>
      </c>
      <c r="P11" s="965" t="s">
        <v>460</v>
      </c>
      <c r="Q11" s="945"/>
      <c r="R11" s="945"/>
      <c r="S11" s="945"/>
      <c r="T11" s="945"/>
      <c r="U11" s="945"/>
      <c r="V11" s="945"/>
      <c r="W11" s="945"/>
      <c r="X11" s="945"/>
      <c r="Y11" s="945"/>
      <c r="Z11" s="945"/>
      <c r="AA11" s="945"/>
      <c r="AB11" s="945"/>
    </row>
    <row r="12" ht="20.25" customHeight="1">
      <c r="A12" s="964">
        <v>46179.0</v>
      </c>
      <c r="B12" s="965" t="s">
        <v>21</v>
      </c>
      <c r="C12" s="965">
        <v>910.0</v>
      </c>
      <c r="D12" s="966">
        <f t="array" ref="D12">IFERROR(_xlfn.XLOOKUP(C12,Code!A:A,Code!B:B),"")</f>
        <v>1.17</v>
      </c>
      <c r="E12" s="967" t="s">
        <v>638</v>
      </c>
      <c r="F12" s="965" t="s">
        <v>632</v>
      </c>
      <c r="G12" s="965"/>
      <c r="H12" s="965">
        <v>15.0</v>
      </c>
      <c r="I12" s="965">
        <v>1.0</v>
      </c>
      <c r="J12" s="965" t="s">
        <v>460</v>
      </c>
      <c r="K12" s="965" t="s">
        <v>460</v>
      </c>
      <c r="L12" s="965" t="s">
        <v>460</v>
      </c>
      <c r="M12" s="965"/>
      <c r="N12" s="965" t="s">
        <v>460</v>
      </c>
      <c r="O12" s="965" t="s">
        <v>460</v>
      </c>
      <c r="P12" s="965" t="s">
        <v>460</v>
      </c>
      <c r="Q12" s="945"/>
      <c r="R12" s="945"/>
      <c r="S12" s="945"/>
      <c r="T12" s="945"/>
      <c r="U12" s="945"/>
      <c r="V12" s="945"/>
      <c r="W12" s="945"/>
      <c r="X12" s="945"/>
      <c r="Y12" s="945"/>
      <c r="Z12" s="945"/>
      <c r="AA12" s="945"/>
      <c r="AB12" s="945"/>
    </row>
    <row r="13" ht="20.25" customHeight="1">
      <c r="A13" s="964">
        <v>46180.0</v>
      </c>
      <c r="B13" s="965" t="s">
        <v>21</v>
      </c>
      <c r="C13" s="965">
        <v>907.0</v>
      </c>
      <c r="D13" s="966">
        <f t="array" ref="D13">IFERROR(_xlfn.XLOOKUP(C13,Code!A:A,Code!B:B),"")</f>
        <v>0.64</v>
      </c>
      <c r="E13" s="967" t="s">
        <v>639</v>
      </c>
      <c r="F13" s="965" t="s">
        <v>632</v>
      </c>
      <c r="G13" s="965"/>
      <c r="H13" s="965">
        <v>18.0</v>
      </c>
      <c r="I13" s="965">
        <v>1.0</v>
      </c>
      <c r="J13" s="965" t="s">
        <v>460</v>
      </c>
      <c r="K13" s="965" t="s">
        <v>460</v>
      </c>
      <c r="L13" s="965" t="s">
        <v>460</v>
      </c>
      <c r="M13" s="965"/>
      <c r="N13" s="965" t="s">
        <v>460</v>
      </c>
      <c r="O13" s="965" t="s">
        <v>460</v>
      </c>
      <c r="P13" s="965" t="s">
        <v>460</v>
      </c>
      <c r="Q13" s="945"/>
      <c r="R13" s="945"/>
      <c r="S13" s="945"/>
      <c r="T13" s="945"/>
      <c r="U13" s="945"/>
      <c r="V13" s="945"/>
      <c r="W13" s="945"/>
      <c r="X13" s="945"/>
      <c r="Y13" s="945"/>
      <c r="Z13" s="945"/>
      <c r="AA13" s="945"/>
      <c r="AB13" s="945"/>
    </row>
    <row r="14" ht="20.25" customHeight="1">
      <c r="A14" s="964">
        <v>46180.0</v>
      </c>
      <c r="B14" s="965" t="s">
        <v>21</v>
      </c>
      <c r="C14" s="965">
        <v>906.0</v>
      </c>
      <c r="D14" s="966">
        <f t="array" ref="D14">IFERROR(_xlfn.XLOOKUP(C14,Code!A:A,Code!B:B),"")</f>
        <v>0.68</v>
      </c>
      <c r="E14" s="967" t="s">
        <v>640</v>
      </c>
      <c r="F14" s="965" t="s">
        <v>632</v>
      </c>
      <c r="G14" s="965"/>
      <c r="H14" s="965">
        <v>24.0</v>
      </c>
      <c r="I14" s="965">
        <v>1.0</v>
      </c>
      <c r="J14" s="965" t="s">
        <v>460</v>
      </c>
      <c r="K14" s="965" t="s">
        <v>460</v>
      </c>
      <c r="L14" s="965" t="s">
        <v>460</v>
      </c>
      <c r="M14" s="965"/>
      <c r="N14" s="965" t="s">
        <v>460</v>
      </c>
      <c r="O14" s="965" t="s">
        <v>460</v>
      </c>
      <c r="P14" s="965" t="s">
        <v>460</v>
      </c>
      <c r="Q14" s="945"/>
      <c r="R14" s="945"/>
      <c r="S14" s="945"/>
      <c r="T14" s="945"/>
      <c r="U14" s="945"/>
      <c r="V14" s="945"/>
      <c r="W14" s="945"/>
      <c r="X14" s="945"/>
      <c r="Y14" s="945"/>
      <c r="Z14" s="945"/>
      <c r="AA14" s="945"/>
      <c r="AB14" s="945"/>
    </row>
    <row r="15" ht="20.25" customHeight="1">
      <c r="A15" s="964">
        <v>46181.0</v>
      </c>
      <c r="B15" s="965" t="s">
        <v>21</v>
      </c>
      <c r="C15" s="965">
        <v>906.0</v>
      </c>
      <c r="D15" s="966">
        <f t="array" ref="D15">IFERROR(_xlfn.XLOOKUP(C15,Code!A:A,Code!B:B),"")</f>
        <v>0.68</v>
      </c>
      <c r="E15" s="967" t="s">
        <v>641</v>
      </c>
      <c r="F15" s="965" t="s">
        <v>632</v>
      </c>
      <c r="G15" s="965"/>
      <c r="H15" s="965">
        <v>19.0</v>
      </c>
      <c r="I15" s="965">
        <v>1.0</v>
      </c>
      <c r="J15" s="965" t="s">
        <v>460</v>
      </c>
      <c r="K15" s="965" t="s">
        <v>460</v>
      </c>
      <c r="L15" s="965" t="s">
        <v>460</v>
      </c>
      <c r="M15" s="965"/>
      <c r="N15" s="965" t="s">
        <v>460</v>
      </c>
      <c r="O15" s="965" t="s">
        <v>460</v>
      </c>
      <c r="P15" s="965" t="s">
        <v>460</v>
      </c>
      <c r="Q15" s="945"/>
      <c r="R15" s="945"/>
      <c r="S15" s="945"/>
      <c r="T15" s="945"/>
      <c r="U15" s="945"/>
      <c r="V15" s="945"/>
      <c r="W15" s="945"/>
      <c r="X15" s="945"/>
      <c r="Y15" s="945"/>
      <c r="Z15" s="945"/>
      <c r="AA15" s="945"/>
      <c r="AB15" s="945"/>
    </row>
    <row r="16" ht="20.25" customHeight="1">
      <c r="A16" s="964">
        <v>46181.0</v>
      </c>
      <c r="B16" s="965" t="s">
        <v>21</v>
      </c>
      <c r="C16" s="965">
        <v>912.0</v>
      </c>
      <c r="D16" s="966">
        <f t="array" ref="D16">IFERROR(_xlfn.XLOOKUP(C16,Code!A:A,Code!B:B),"")</f>
        <v>0.62</v>
      </c>
      <c r="E16" s="967" t="s">
        <v>642</v>
      </c>
      <c r="F16" s="965" t="s">
        <v>632</v>
      </c>
      <c r="G16" s="965"/>
      <c r="H16" s="965">
        <v>19.0</v>
      </c>
      <c r="I16" s="965">
        <v>1.0</v>
      </c>
      <c r="J16" s="965" t="s">
        <v>460</v>
      </c>
      <c r="K16" s="965" t="s">
        <v>460</v>
      </c>
      <c r="L16" s="965" t="s">
        <v>460</v>
      </c>
      <c r="M16" s="965"/>
      <c r="N16" s="965" t="s">
        <v>460</v>
      </c>
      <c r="O16" s="965" t="s">
        <v>460</v>
      </c>
      <c r="P16" s="965" t="s">
        <v>460</v>
      </c>
      <c r="Q16" s="945"/>
      <c r="R16" s="945"/>
      <c r="S16" s="945"/>
      <c r="T16" s="945"/>
      <c r="U16" s="945"/>
      <c r="V16" s="945"/>
      <c r="W16" s="945"/>
      <c r="X16" s="945"/>
      <c r="Y16" s="945"/>
      <c r="Z16" s="945"/>
      <c r="AA16" s="945"/>
      <c r="AB16" s="945"/>
    </row>
    <row r="17" ht="20.25" customHeight="1">
      <c r="A17" s="964">
        <v>46182.0</v>
      </c>
      <c r="B17" s="965" t="s">
        <v>21</v>
      </c>
      <c r="C17" s="965">
        <v>912.0</v>
      </c>
      <c r="D17" s="966">
        <f t="array" ref="D17">IFERROR(_xlfn.XLOOKUP(C17,Code!A:A,Code!B:B),"")</f>
        <v>0.62</v>
      </c>
      <c r="E17" s="967" t="s">
        <v>643</v>
      </c>
      <c r="F17" s="965" t="s">
        <v>632</v>
      </c>
      <c r="G17" s="965"/>
      <c r="H17" s="965">
        <v>18.0</v>
      </c>
      <c r="I17" s="965">
        <v>1.0</v>
      </c>
      <c r="J17" s="965" t="s">
        <v>460</v>
      </c>
      <c r="K17" s="965" t="s">
        <v>460</v>
      </c>
      <c r="L17" s="965" t="s">
        <v>460</v>
      </c>
      <c r="M17" s="965"/>
      <c r="N17" s="965" t="s">
        <v>460</v>
      </c>
      <c r="O17" s="965" t="s">
        <v>460</v>
      </c>
      <c r="P17" s="965" t="s">
        <v>460</v>
      </c>
      <c r="Q17" s="945"/>
      <c r="R17" s="945"/>
      <c r="S17" s="945"/>
      <c r="T17" s="945"/>
      <c r="U17" s="945"/>
      <c r="V17" s="945"/>
      <c r="W17" s="945"/>
      <c r="X17" s="945"/>
      <c r="Y17" s="945"/>
      <c r="Z17" s="945"/>
      <c r="AA17" s="945"/>
      <c r="AB17" s="945"/>
    </row>
    <row r="18" ht="20.25" customHeight="1">
      <c r="A18" s="964">
        <v>46183.0</v>
      </c>
      <c r="B18" s="965" t="s">
        <v>21</v>
      </c>
      <c r="C18" s="965">
        <v>904.0</v>
      </c>
      <c r="D18" s="966">
        <f t="array" ref="D18">IFERROR(_xlfn.XLOOKUP(C18,Code!A:A,Code!B:B),"")</f>
        <v>0.96</v>
      </c>
      <c r="E18" s="967" t="s">
        <v>644</v>
      </c>
      <c r="F18" s="965" t="s">
        <v>632</v>
      </c>
      <c r="G18" s="965"/>
      <c r="H18" s="965">
        <v>22.0</v>
      </c>
      <c r="I18" s="965">
        <v>1.0</v>
      </c>
      <c r="J18" s="965" t="s">
        <v>460</v>
      </c>
      <c r="K18" s="965" t="s">
        <v>460</v>
      </c>
      <c r="L18" s="965" t="s">
        <v>460</v>
      </c>
      <c r="M18" s="965"/>
      <c r="N18" s="965" t="s">
        <v>460</v>
      </c>
      <c r="O18" s="965" t="s">
        <v>460</v>
      </c>
      <c r="P18" s="965" t="s">
        <v>460</v>
      </c>
      <c r="Q18" s="945"/>
      <c r="R18" s="945"/>
      <c r="S18" s="945"/>
      <c r="T18" s="945"/>
      <c r="U18" s="945"/>
      <c r="V18" s="945"/>
      <c r="W18" s="945"/>
      <c r="X18" s="945"/>
      <c r="Y18" s="945"/>
      <c r="Z18" s="945"/>
      <c r="AA18" s="945"/>
      <c r="AB18" s="945"/>
    </row>
    <row r="19" ht="20.25" customHeight="1">
      <c r="A19" s="964">
        <v>46184.0</v>
      </c>
      <c r="B19" s="965" t="s">
        <v>21</v>
      </c>
      <c r="C19" s="965">
        <v>904.0</v>
      </c>
      <c r="D19" s="966">
        <f t="array" ref="D19">IFERROR(_xlfn.XLOOKUP(C19,Code!A:A,Code!B:B),"")</f>
        <v>0.96</v>
      </c>
      <c r="E19" s="967" t="s">
        <v>645</v>
      </c>
      <c r="F19" s="965" t="s">
        <v>632</v>
      </c>
      <c r="G19" s="965"/>
      <c r="H19" s="965">
        <v>24.0</v>
      </c>
      <c r="I19" s="965">
        <v>1.0</v>
      </c>
      <c r="J19" s="965" t="s">
        <v>460</v>
      </c>
      <c r="K19" s="965" t="s">
        <v>460</v>
      </c>
      <c r="L19" s="965" t="s">
        <v>460</v>
      </c>
      <c r="M19" s="965"/>
      <c r="N19" s="965" t="s">
        <v>460</v>
      </c>
      <c r="O19" s="965" t="s">
        <v>460</v>
      </c>
      <c r="P19" s="965" t="s">
        <v>460</v>
      </c>
      <c r="Q19" s="945"/>
      <c r="R19" s="945"/>
      <c r="S19" s="945"/>
      <c r="T19" s="945"/>
      <c r="U19" s="945"/>
      <c r="V19" s="945"/>
      <c r="W19" s="945"/>
      <c r="X19" s="945"/>
      <c r="Y19" s="945"/>
      <c r="Z19" s="945"/>
      <c r="AA19" s="945"/>
      <c r="AB19" s="945"/>
    </row>
    <row r="20" ht="20.25" customHeight="1">
      <c r="A20" s="964">
        <v>46185.0</v>
      </c>
      <c r="B20" s="965" t="s">
        <v>21</v>
      </c>
      <c r="C20" s="965">
        <v>903.0</v>
      </c>
      <c r="D20" s="966">
        <f t="array" ref="D20">IFERROR(_xlfn.XLOOKUP(C20,Code!A:A,Code!B:B),"")</f>
        <v>0.81</v>
      </c>
      <c r="E20" s="967" t="s">
        <v>646</v>
      </c>
      <c r="F20" s="965" t="s">
        <v>632</v>
      </c>
      <c r="G20" s="965"/>
      <c r="H20" s="965">
        <v>20.0</v>
      </c>
      <c r="I20" s="965">
        <v>1.0</v>
      </c>
      <c r="J20" s="965" t="s">
        <v>460</v>
      </c>
      <c r="K20" s="965" t="s">
        <v>460</v>
      </c>
      <c r="L20" s="965" t="s">
        <v>460</v>
      </c>
      <c r="M20" s="965"/>
      <c r="N20" s="965" t="s">
        <v>460</v>
      </c>
      <c r="O20" s="965" t="s">
        <v>460</v>
      </c>
      <c r="P20" s="965" t="s">
        <v>460</v>
      </c>
      <c r="Q20" s="945"/>
      <c r="R20" s="945"/>
      <c r="S20" s="945"/>
      <c r="T20" s="945"/>
      <c r="U20" s="945"/>
      <c r="V20" s="945"/>
      <c r="W20" s="945"/>
      <c r="X20" s="945"/>
      <c r="Y20" s="945"/>
      <c r="Z20" s="945"/>
      <c r="AA20" s="945"/>
      <c r="AB20" s="945"/>
    </row>
    <row r="21" ht="20.25" customHeight="1">
      <c r="A21" s="964">
        <v>46186.0</v>
      </c>
      <c r="B21" s="965" t="s">
        <v>21</v>
      </c>
      <c r="C21" s="965">
        <v>903.0</v>
      </c>
      <c r="D21" s="966">
        <f t="array" ref="D21">IFERROR(_xlfn.XLOOKUP(C21,Code!A:A,Code!B:B),"")</f>
        <v>0.81</v>
      </c>
      <c r="E21" s="967" t="s">
        <v>647</v>
      </c>
      <c r="F21" s="965" t="s">
        <v>632</v>
      </c>
      <c r="G21" s="965"/>
      <c r="H21" s="965">
        <v>18.0</v>
      </c>
      <c r="I21" s="965">
        <v>1.0</v>
      </c>
      <c r="J21" s="965" t="s">
        <v>460</v>
      </c>
      <c r="K21" s="965" t="s">
        <v>460</v>
      </c>
      <c r="L21" s="965" t="s">
        <v>460</v>
      </c>
      <c r="M21" s="965"/>
      <c r="N21" s="965" t="s">
        <v>460</v>
      </c>
      <c r="O21" s="965" t="s">
        <v>460</v>
      </c>
      <c r="P21" s="965" t="s">
        <v>460</v>
      </c>
      <c r="Q21" s="945"/>
      <c r="R21" s="945"/>
      <c r="S21" s="945"/>
      <c r="T21" s="945"/>
      <c r="U21" s="945"/>
      <c r="V21" s="945"/>
      <c r="W21" s="945"/>
      <c r="X21" s="945"/>
      <c r="Y21" s="945"/>
      <c r="Z21" s="945"/>
      <c r="AA21" s="945"/>
      <c r="AB21" s="945"/>
    </row>
    <row r="22" ht="20.25" customHeight="1">
      <c r="A22" s="964">
        <v>46188.0</v>
      </c>
      <c r="B22" s="965" t="s">
        <v>21</v>
      </c>
      <c r="C22" s="965">
        <v>902.0</v>
      </c>
      <c r="D22" s="966">
        <f t="array" ref="D22">IFERROR(_xlfn.XLOOKUP(C22,Code!A:A,Code!B:B),"")</f>
        <v>0.62</v>
      </c>
      <c r="E22" s="967" t="s">
        <v>648</v>
      </c>
      <c r="F22" s="965" t="s">
        <v>632</v>
      </c>
      <c r="G22" s="965"/>
      <c r="H22" s="965">
        <v>17.0</v>
      </c>
      <c r="I22" s="965">
        <v>1.0</v>
      </c>
      <c r="J22" s="965" t="s">
        <v>460</v>
      </c>
      <c r="K22" s="965" t="s">
        <v>460</v>
      </c>
      <c r="L22" s="965" t="s">
        <v>460</v>
      </c>
      <c r="M22" s="965"/>
      <c r="N22" s="965" t="s">
        <v>460</v>
      </c>
      <c r="O22" s="965" t="s">
        <v>460</v>
      </c>
      <c r="P22" s="965" t="s">
        <v>460</v>
      </c>
      <c r="Q22" s="945"/>
      <c r="R22" s="945"/>
      <c r="S22" s="945"/>
      <c r="T22" s="945"/>
      <c r="U22" s="945"/>
      <c r="V22" s="945"/>
      <c r="W22" s="945"/>
      <c r="X22" s="945"/>
      <c r="Y22" s="945"/>
      <c r="Z22" s="945"/>
      <c r="AA22" s="945"/>
      <c r="AB22" s="945"/>
    </row>
    <row r="23" ht="20.25" customHeight="1">
      <c r="A23" s="964">
        <v>46189.0</v>
      </c>
      <c r="B23" s="965" t="s">
        <v>21</v>
      </c>
      <c r="C23" s="965">
        <v>902.0</v>
      </c>
      <c r="D23" s="966">
        <f t="array" ref="D23">IFERROR(_xlfn.XLOOKUP(C23,Code!A:A,Code!B:B),"")</f>
        <v>0.62</v>
      </c>
      <c r="E23" s="967" t="s">
        <v>649</v>
      </c>
      <c r="F23" s="965" t="s">
        <v>632</v>
      </c>
      <c r="G23" s="965"/>
      <c r="H23" s="965">
        <v>19.0</v>
      </c>
      <c r="I23" s="965">
        <v>1.0</v>
      </c>
      <c r="J23" s="965" t="s">
        <v>460</v>
      </c>
      <c r="K23" s="965" t="s">
        <v>460</v>
      </c>
      <c r="L23" s="965" t="s">
        <v>460</v>
      </c>
      <c r="M23" s="965"/>
      <c r="N23" s="965" t="s">
        <v>460</v>
      </c>
      <c r="O23" s="965" t="s">
        <v>460</v>
      </c>
      <c r="P23" s="965" t="s">
        <v>460</v>
      </c>
      <c r="Q23" s="945"/>
      <c r="R23" s="945"/>
      <c r="S23" s="945"/>
      <c r="T23" s="945"/>
      <c r="U23" s="945"/>
      <c r="V23" s="945"/>
      <c r="W23" s="945"/>
      <c r="X23" s="945"/>
      <c r="Y23" s="945"/>
      <c r="Z23" s="945"/>
      <c r="AA23" s="945"/>
      <c r="AB23" s="945"/>
    </row>
    <row r="24" ht="20.25" customHeight="1">
      <c r="A24" s="964">
        <v>46190.0</v>
      </c>
      <c r="B24" s="965" t="s">
        <v>21</v>
      </c>
      <c r="C24" s="965">
        <v>905.0</v>
      </c>
      <c r="D24" s="966">
        <f t="array" ref="D24">IFERROR(_xlfn.XLOOKUP(C24,Code!A:A,Code!B:B),"")</f>
        <v>0.91</v>
      </c>
      <c r="E24" s="967" t="s">
        <v>650</v>
      </c>
      <c r="F24" s="965" t="s">
        <v>632</v>
      </c>
      <c r="G24" s="965"/>
      <c r="H24" s="965">
        <v>20.0</v>
      </c>
      <c r="I24" s="965">
        <v>1.0</v>
      </c>
      <c r="J24" s="965" t="s">
        <v>460</v>
      </c>
      <c r="K24" s="965" t="s">
        <v>460</v>
      </c>
      <c r="L24" s="965" t="s">
        <v>460</v>
      </c>
      <c r="M24" s="965"/>
      <c r="N24" s="965" t="s">
        <v>460</v>
      </c>
      <c r="O24" s="965" t="s">
        <v>460</v>
      </c>
      <c r="P24" s="965" t="s">
        <v>460</v>
      </c>
      <c r="Q24" s="945"/>
      <c r="R24" s="945"/>
      <c r="S24" s="945"/>
      <c r="T24" s="945"/>
      <c r="U24" s="945"/>
      <c r="V24" s="945"/>
      <c r="W24" s="945"/>
      <c r="X24" s="945"/>
      <c r="Y24" s="945"/>
      <c r="Z24" s="945"/>
      <c r="AA24" s="945"/>
      <c r="AB24" s="945"/>
    </row>
    <row r="25" ht="20.25" customHeight="1">
      <c r="A25" s="964">
        <v>46191.0</v>
      </c>
      <c r="B25" s="965" t="s">
        <v>21</v>
      </c>
      <c r="C25" s="965">
        <v>905.0</v>
      </c>
      <c r="D25" s="966">
        <f t="array" ref="D25">IFERROR(_xlfn.XLOOKUP(C25,Code!A:A,Code!B:B),"")</f>
        <v>0.91</v>
      </c>
      <c r="E25" s="967" t="s">
        <v>651</v>
      </c>
      <c r="F25" s="965" t="s">
        <v>632</v>
      </c>
      <c r="G25" s="965"/>
      <c r="H25" s="965">
        <v>19.0</v>
      </c>
      <c r="I25" s="965">
        <v>1.0</v>
      </c>
      <c r="J25" s="965" t="s">
        <v>460</v>
      </c>
      <c r="K25" s="965" t="s">
        <v>460</v>
      </c>
      <c r="L25" s="965" t="s">
        <v>460</v>
      </c>
      <c r="M25" s="965"/>
      <c r="N25" s="965" t="s">
        <v>460</v>
      </c>
      <c r="O25" s="965" t="s">
        <v>460</v>
      </c>
      <c r="P25" s="965" t="s">
        <v>460</v>
      </c>
      <c r="Q25" s="945"/>
      <c r="R25" s="945"/>
      <c r="S25" s="945"/>
      <c r="T25" s="945"/>
      <c r="U25" s="945"/>
      <c r="V25" s="945"/>
      <c r="W25" s="945"/>
      <c r="X25" s="945"/>
      <c r="Y25" s="945"/>
      <c r="Z25" s="945"/>
      <c r="AA25" s="945"/>
      <c r="AB25" s="945"/>
    </row>
    <row r="26" ht="20.25" customHeight="1">
      <c r="A26" s="964">
        <v>46192.0</v>
      </c>
      <c r="B26" s="965" t="s">
        <v>21</v>
      </c>
      <c r="C26" s="965">
        <v>901.0</v>
      </c>
      <c r="D26" s="966">
        <f t="array" ref="D26">IFERROR(_xlfn.XLOOKUP(C26,Code!A:A,Code!B:B),"")</f>
        <v>1.02</v>
      </c>
      <c r="E26" s="967" t="s">
        <v>652</v>
      </c>
      <c r="F26" s="965" t="s">
        <v>632</v>
      </c>
      <c r="G26" s="965"/>
      <c r="H26" s="965">
        <v>20.0</v>
      </c>
      <c r="I26" s="965">
        <v>1.0</v>
      </c>
      <c r="J26" s="965" t="s">
        <v>460</v>
      </c>
      <c r="K26" s="965" t="s">
        <v>460</v>
      </c>
      <c r="L26" s="965" t="s">
        <v>460</v>
      </c>
      <c r="M26" s="965"/>
      <c r="N26" s="965" t="s">
        <v>460</v>
      </c>
      <c r="O26" s="965" t="s">
        <v>460</v>
      </c>
      <c r="P26" s="965" t="s">
        <v>460</v>
      </c>
      <c r="Q26" s="945"/>
      <c r="R26" s="945"/>
      <c r="S26" s="945"/>
      <c r="T26" s="945"/>
      <c r="U26" s="945"/>
      <c r="V26" s="945"/>
      <c r="W26" s="945"/>
      <c r="X26" s="945"/>
      <c r="Y26" s="945"/>
      <c r="Z26" s="945"/>
      <c r="AA26" s="945"/>
      <c r="AB26" s="945"/>
    </row>
    <row r="27" ht="20.25" customHeight="1">
      <c r="A27" s="964">
        <v>46193.0</v>
      </c>
      <c r="B27" s="965" t="s">
        <v>21</v>
      </c>
      <c r="C27" s="965">
        <v>901.0</v>
      </c>
      <c r="D27" s="966">
        <f t="array" ref="D27">IFERROR(_xlfn.XLOOKUP(C27,Code!A:A,Code!B:B),"")</f>
        <v>1.02</v>
      </c>
      <c r="E27" s="967" t="s">
        <v>653</v>
      </c>
      <c r="F27" s="965" t="s">
        <v>632</v>
      </c>
      <c r="G27" s="965"/>
      <c r="H27" s="965">
        <v>20.0</v>
      </c>
      <c r="I27" s="965">
        <v>1.0</v>
      </c>
      <c r="J27" s="965" t="s">
        <v>460</v>
      </c>
      <c r="K27" s="965" t="s">
        <v>460</v>
      </c>
      <c r="L27" s="965" t="s">
        <v>460</v>
      </c>
      <c r="M27" s="965"/>
      <c r="N27" s="965" t="s">
        <v>460</v>
      </c>
      <c r="O27" s="965" t="s">
        <v>460</v>
      </c>
      <c r="P27" s="965" t="s">
        <v>460</v>
      </c>
      <c r="Q27" s="945"/>
      <c r="R27" s="945"/>
      <c r="S27" s="945"/>
      <c r="T27" s="945"/>
      <c r="U27" s="945"/>
      <c r="V27" s="945"/>
      <c r="W27" s="945"/>
      <c r="X27" s="945"/>
      <c r="Y27" s="945"/>
      <c r="Z27" s="945"/>
      <c r="AA27" s="945"/>
      <c r="AB27" s="945"/>
    </row>
    <row r="28" ht="20.25" customHeight="1">
      <c r="A28" s="964">
        <v>46195.0</v>
      </c>
      <c r="B28" s="965" t="s">
        <v>21</v>
      </c>
      <c r="C28" s="965">
        <v>901.0</v>
      </c>
      <c r="D28" s="966">
        <f t="array" ref="D28">IFERROR(_xlfn.XLOOKUP(C28,Code!A:A,Code!B:B),"")</f>
        <v>1.02</v>
      </c>
      <c r="E28" s="967" t="s">
        <v>654</v>
      </c>
      <c r="F28" s="965" t="s">
        <v>632</v>
      </c>
      <c r="G28" s="965"/>
      <c r="H28" s="965">
        <v>17.0</v>
      </c>
      <c r="I28" s="965">
        <v>1.0</v>
      </c>
      <c r="J28" s="965" t="s">
        <v>460</v>
      </c>
      <c r="K28" s="965" t="s">
        <v>460</v>
      </c>
      <c r="L28" s="965" t="s">
        <v>460</v>
      </c>
      <c r="M28" s="965"/>
      <c r="N28" s="965" t="s">
        <v>460</v>
      </c>
      <c r="O28" s="965" t="s">
        <v>460</v>
      </c>
      <c r="P28" s="965" t="s">
        <v>460</v>
      </c>
      <c r="Q28" s="945"/>
      <c r="R28" s="945"/>
      <c r="S28" s="945"/>
      <c r="T28" s="945"/>
      <c r="U28" s="945"/>
      <c r="V28" s="945"/>
      <c r="W28" s="945"/>
      <c r="X28" s="945"/>
      <c r="Y28" s="945"/>
      <c r="Z28" s="945"/>
      <c r="AA28" s="945"/>
      <c r="AB28" s="945"/>
    </row>
    <row r="29" ht="20.25" customHeight="1">
      <c r="A29" s="964">
        <v>46196.0</v>
      </c>
      <c r="B29" s="965" t="s">
        <v>21</v>
      </c>
      <c r="C29" s="965">
        <v>905.0</v>
      </c>
      <c r="D29" s="966">
        <f t="array" ref="D29">IFERROR(_xlfn.XLOOKUP(C29,Code!A:A,Code!B:B),"")</f>
        <v>0.91</v>
      </c>
      <c r="E29" s="967" t="s">
        <v>655</v>
      </c>
      <c r="F29" s="965" t="s">
        <v>632</v>
      </c>
      <c r="G29" s="965"/>
      <c r="H29" s="965">
        <v>17.0</v>
      </c>
      <c r="I29" s="965">
        <v>1.0</v>
      </c>
      <c r="J29" s="965" t="s">
        <v>460</v>
      </c>
      <c r="K29" s="965" t="s">
        <v>460</v>
      </c>
      <c r="L29" s="965" t="s">
        <v>460</v>
      </c>
      <c r="M29" s="965"/>
      <c r="N29" s="965" t="s">
        <v>460</v>
      </c>
      <c r="O29" s="965" t="s">
        <v>460</v>
      </c>
      <c r="P29" s="965" t="s">
        <v>460</v>
      </c>
      <c r="Q29" s="945"/>
      <c r="R29" s="945"/>
      <c r="S29" s="945"/>
      <c r="T29" s="945"/>
      <c r="U29" s="945"/>
      <c r="V29" s="945"/>
      <c r="W29" s="945"/>
      <c r="X29" s="945"/>
      <c r="Y29" s="945"/>
      <c r="Z29" s="945"/>
      <c r="AA29" s="945"/>
      <c r="AB29" s="945"/>
    </row>
    <row r="30" ht="20.25" customHeight="1">
      <c r="A30" s="964">
        <v>46197.0</v>
      </c>
      <c r="B30" s="965" t="s">
        <v>21</v>
      </c>
      <c r="C30" s="965">
        <v>904.0</v>
      </c>
      <c r="D30" s="966">
        <f t="array" ref="D30">IFERROR(_xlfn.XLOOKUP(C30,Code!A:A,Code!B:B),"")</f>
        <v>0.96</v>
      </c>
      <c r="E30" s="967" t="s">
        <v>656</v>
      </c>
      <c r="F30" s="965" t="s">
        <v>632</v>
      </c>
      <c r="G30" s="965"/>
      <c r="H30" s="965">
        <v>18.0</v>
      </c>
      <c r="I30" s="965">
        <v>1.0</v>
      </c>
      <c r="J30" s="965" t="s">
        <v>460</v>
      </c>
      <c r="K30" s="965" t="s">
        <v>460</v>
      </c>
      <c r="L30" s="965" t="s">
        <v>460</v>
      </c>
      <c r="M30" s="965"/>
      <c r="N30" s="965" t="s">
        <v>460</v>
      </c>
      <c r="O30" s="965" t="s">
        <v>460</v>
      </c>
      <c r="P30" s="965" t="s">
        <v>460</v>
      </c>
      <c r="Q30" s="945"/>
      <c r="R30" s="945"/>
      <c r="S30" s="945"/>
      <c r="T30" s="945"/>
      <c r="U30" s="945"/>
      <c r="V30" s="945"/>
      <c r="W30" s="945"/>
      <c r="X30" s="945"/>
      <c r="Y30" s="945"/>
      <c r="Z30" s="945"/>
      <c r="AA30" s="945"/>
      <c r="AB30" s="945"/>
    </row>
    <row r="31" ht="20.25" customHeight="1">
      <c r="A31" s="964">
        <v>46198.0</v>
      </c>
      <c r="B31" s="965" t="s">
        <v>21</v>
      </c>
      <c r="C31" s="965">
        <v>904.0</v>
      </c>
      <c r="D31" s="966">
        <f t="array" ref="D31">IFERROR(_xlfn.XLOOKUP(C31,Code!A:A,Code!B:B),"")</f>
        <v>0.96</v>
      </c>
      <c r="E31" s="967" t="s">
        <v>657</v>
      </c>
      <c r="F31" s="965" t="s">
        <v>632</v>
      </c>
      <c r="G31" s="965"/>
      <c r="H31" s="965">
        <v>19.0</v>
      </c>
      <c r="I31" s="965">
        <v>1.0</v>
      </c>
      <c r="J31" s="965" t="s">
        <v>460</v>
      </c>
      <c r="K31" s="965" t="s">
        <v>460</v>
      </c>
      <c r="L31" s="965" t="s">
        <v>460</v>
      </c>
      <c r="M31" s="965"/>
      <c r="N31" s="965" t="s">
        <v>460</v>
      </c>
      <c r="O31" s="965" t="s">
        <v>460</v>
      </c>
      <c r="P31" s="965" t="s">
        <v>460</v>
      </c>
      <c r="Q31" s="945"/>
      <c r="R31" s="945"/>
      <c r="S31" s="945"/>
      <c r="T31" s="945"/>
      <c r="U31" s="945"/>
      <c r="V31" s="945"/>
      <c r="W31" s="945"/>
      <c r="X31" s="945"/>
      <c r="Y31" s="945"/>
      <c r="Z31" s="945"/>
      <c r="AA31" s="945"/>
      <c r="AB31" s="945"/>
    </row>
    <row r="32" ht="20.25" customHeight="1">
      <c r="A32" s="964">
        <v>46199.0</v>
      </c>
      <c r="B32" s="965" t="s">
        <v>21</v>
      </c>
      <c r="C32" s="965">
        <v>903.0</v>
      </c>
      <c r="D32" s="966">
        <f t="array" ref="D32">IFERROR(_xlfn.XLOOKUP(C32,Code!A:A,Code!B:B),"")</f>
        <v>0.81</v>
      </c>
      <c r="E32" s="967" t="s">
        <v>658</v>
      </c>
      <c r="F32" s="965" t="s">
        <v>632</v>
      </c>
      <c r="G32" s="965"/>
      <c r="H32" s="965">
        <v>18.0</v>
      </c>
      <c r="I32" s="965">
        <v>1.0</v>
      </c>
      <c r="J32" s="965" t="s">
        <v>460</v>
      </c>
      <c r="K32" s="965" t="s">
        <v>460</v>
      </c>
      <c r="L32" s="965" t="s">
        <v>460</v>
      </c>
      <c r="M32" s="965"/>
      <c r="N32" s="965" t="s">
        <v>460</v>
      </c>
      <c r="O32" s="965" t="s">
        <v>460</v>
      </c>
      <c r="P32" s="965" t="s">
        <v>460</v>
      </c>
      <c r="Q32" s="945"/>
      <c r="R32" s="945"/>
      <c r="S32" s="945"/>
      <c r="T32" s="945"/>
      <c r="U32" s="945"/>
      <c r="V32" s="945"/>
      <c r="W32" s="945"/>
      <c r="X32" s="945"/>
      <c r="Y32" s="945"/>
      <c r="Z32" s="945"/>
      <c r="AA32" s="945"/>
      <c r="AB32" s="945"/>
    </row>
    <row r="33" ht="20.25" customHeight="1">
      <c r="A33" s="964">
        <v>46200.0</v>
      </c>
      <c r="B33" s="965" t="s">
        <v>21</v>
      </c>
      <c r="C33" s="965">
        <v>902.0</v>
      </c>
      <c r="D33" s="966">
        <f t="array" ref="D33">IFERROR(_xlfn.XLOOKUP(C33,Code!A:A,Code!B:B),"")</f>
        <v>0.62</v>
      </c>
      <c r="E33" s="967" t="s">
        <v>659</v>
      </c>
      <c r="F33" s="965" t="s">
        <v>632</v>
      </c>
      <c r="G33" s="965"/>
      <c r="H33" s="965">
        <v>20.0</v>
      </c>
      <c r="I33" s="965">
        <v>1.0</v>
      </c>
      <c r="J33" s="965" t="s">
        <v>460</v>
      </c>
      <c r="K33" s="965" t="s">
        <v>460</v>
      </c>
      <c r="L33" s="965" t="s">
        <v>460</v>
      </c>
      <c r="M33" s="965"/>
      <c r="N33" s="965" t="s">
        <v>460</v>
      </c>
      <c r="O33" s="965" t="s">
        <v>460</v>
      </c>
      <c r="P33" s="965" t="s">
        <v>460</v>
      </c>
      <c r="Q33" s="945"/>
      <c r="R33" s="945"/>
      <c r="S33" s="945"/>
      <c r="T33" s="945"/>
      <c r="U33" s="945"/>
      <c r="V33" s="945"/>
      <c r="W33" s="945"/>
      <c r="X33" s="945"/>
      <c r="Y33" s="945"/>
      <c r="Z33" s="945"/>
      <c r="AA33" s="945"/>
      <c r="AB33" s="945"/>
    </row>
    <row r="34" ht="20.25" customHeight="1">
      <c r="A34" s="964">
        <v>46202.0</v>
      </c>
      <c r="B34" s="965" t="s">
        <v>21</v>
      </c>
      <c r="C34" s="965">
        <v>901.0</v>
      </c>
      <c r="D34" s="966">
        <f t="array" ref="D34">IFERROR(_xlfn.XLOOKUP(C34,Code!A:A,Code!B:B),"")</f>
        <v>1.02</v>
      </c>
      <c r="E34" s="967" t="s">
        <v>660</v>
      </c>
      <c r="F34" s="965" t="s">
        <v>632</v>
      </c>
      <c r="G34" s="965"/>
      <c r="H34" s="965">
        <v>17.0</v>
      </c>
      <c r="I34" s="965">
        <v>1.0</v>
      </c>
      <c r="J34" s="965" t="s">
        <v>460</v>
      </c>
      <c r="K34" s="965" t="s">
        <v>460</v>
      </c>
      <c r="L34" s="965" t="s">
        <v>460</v>
      </c>
      <c r="M34" s="965"/>
      <c r="N34" s="965" t="s">
        <v>460</v>
      </c>
      <c r="O34" s="965" t="s">
        <v>460</v>
      </c>
      <c r="P34" s="965" t="s">
        <v>460</v>
      </c>
      <c r="Q34" s="945"/>
      <c r="R34" s="945"/>
      <c r="S34" s="945"/>
      <c r="T34" s="945"/>
      <c r="U34" s="945"/>
      <c r="V34" s="945"/>
      <c r="W34" s="945"/>
      <c r="X34" s="945"/>
      <c r="Y34" s="945"/>
      <c r="Z34" s="945"/>
      <c r="AA34" s="945"/>
      <c r="AB34" s="945"/>
    </row>
    <row r="35" ht="20.25" customHeight="1">
      <c r="A35" s="970">
        <v>46203.0</v>
      </c>
      <c r="B35" s="971" t="s">
        <v>21</v>
      </c>
      <c r="C35" s="971">
        <v>901.0</v>
      </c>
      <c r="D35" s="972">
        <f t="array" ref="D35">IFERROR(_xlfn.XLOOKUP(C35,Code!A:A,Code!B:B),"")</f>
        <v>1.02</v>
      </c>
      <c r="E35" s="973" t="s">
        <v>661</v>
      </c>
      <c r="F35" s="971" t="s">
        <v>632</v>
      </c>
      <c r="G35" s="971"/>
      <c r="H35" s="971">
        <v>17.0</v>
      </c>
      <c r="I35" s="971">
        <v>1.0</v>
      </c>
      <c r="J35" s="971" t="s">
        <v>460</v>
      </c>
      <c r="K35" s="971" t="s">
        <v>460</v>
      </c>
      <c r="L35" s="971" t="s">
        <v>460</v>
      </c>
      <c r="M35" s="971"/>
      <c r="N35" s="971" t="s">
        <v>460</v>
      </c>
      <c r="O35" s="971" t="s">
        <v>460</v>
      </c>
      <c r="P35" s="971" t="s">
        <v>460</v>
      </c>
      <c r="Q35" s="945"/>
      <c r="R35" s="945"/>
      <c r="S35" s="945"/>
      <c r="T35" s="945"/>
      <c r="U35" s="945"/>
      <c r="V35" s="945"/>
      <c r="W35" s="945"/>
      <c r="X35" s="945"/>
      <c r="Y35" s="945"/>
      <c r="Z35" s="945"/>
      <c r="AA35" s="945"/>
      <c r="AB35" s="945"/>
    </row>
    <row r="36" ht="20.25" customHeight="1">
      <c r="A36" s="974">
        <v>46212.0</v>
      </c>
      <c r="B36" s="975" t="s">
        <v>279</v>
      </c>
      <c r="C36" s="976">
        <v>914.0</v>
      </c>
      <c r="D36" s="977">
        <f t="array" ref="D36">IFERROR(_xlfn.XLOOKUP(C36,Code!A:A,Code!B:B),"")</f>
        <v>0.65</v>
      </c>
      <c r="E36" s="978" t="s">
        <v>662</v>
      </c>
      <c r="F36" s="976"/>
      <c r="G36" s="975" t="s">
        <v>663</v>
      </c>
      <c r="H36" s="975">
        <v>11.0</v>
      </c>
      <c r="I36" s="976"/>
      <c r="J36" s="976"/>
      <c r="K36" s="976"/>
      <c r="L36" s="976"/>
      <c r="M36" s="976"/>
      <c r="N36" s="976"/>
      <c r="O36" s="976"/>
      <c r="P36" s="976"/>
      <c r="Q36" s="945"/>
      <c r="R36" s="945"/>
      <c r="S36" s="945"/>
      <c r="T36" s="945"/>
      <c r="U36" s="945"/>
      <c r="V36" s="945"/>
      <c r="W36" s="945"/>
      <c r="X36" s="945"/>
      <c r="Y36" s="945"/>
      <c r="Z36" s="945"/>
      <c r="AA36" s="945"/>
      <c r="AB36" s="945"/>
    </row>
    <row r="37" ht="20.25" customHeight="1">
      <c r="A37" s="979"/>
      <c r="B37" s="979"/>
      <c r="C37" s="980">
        <v>915.0</v>
      </c>
      <c r="D37" s="981">
        <f t="array" ref="D37">IFERROR(_xlfn.XLOOKUP(C37,Code!A:A,Code!B:B),"")</f>
        <v>0.56</v>
      </c>
      <c r="E37" s="979"/>
      <c r="F37" s="980"/>
      <c r="G37" s="979"/>
      <c r="H37" s="979"/>
      <c r="I37" s="980"/>
      <c r="J37" s="980"/>
      <c r="K37" s="980"/>
      <c r="L37" s="971"/>
      <c r="M37" s="971"/>
      <c r="N37" s="971"/>
      <c r="O37" s="971"/>
      <c r="P37" s="971"/>
      <c r="Q37" s="945"/>
      <c r="R37" s="945"/>
      <c r="S37" s="945"/>
      <c r="T37" s="945"/>
      <c r="U37" s="945"/>
      <c r="V37" s="945"/>
      <c r="W37" s="945"/>
      <c r="X37" s="945"/>
      <c r="Y37" s="945"/>
      <c r="Z37" s="945"/>
      <c r="AA37" s="945"/>
      <c r="AB37" s="945"/>
    </row>
    <row r="38" ht="20.25" customHeight="1">
      <c r="A38" s="974">
        <v>46214.0</v>
      </c>
      <c r="B38" s="978" t="s">
        <v>110</v>
      </c>
      <c r="C38" s="975">
        <v>904.0</v>
      </c>
      <c r="D38" s="982">
        <f t="array" ref="D38">IFERROR(_xlfn.XLOOKUP(C38,Code!A:A,Code!B:B),"")</f>
        <v>0.96</v>
      </c>
      <c r="E38" s="978" t="s">
        <v>664</v>
      </c>
      <c r="F38" s="976"/>
      <c r="G38" s="976"/>
      <c r="H38" s="976">
        <v>5.0</v>
      </c>
      <c r="I38" s="976"/>
      <c r="J38" s="976"/>
      <c r="K38" s="976">
        <v>220.0</v>
      </c>
      <c r="L38" s="975">
        <f>H38*K38+H39*K39+H40*K40</f>
        <v>3060</v>
      </c>
      <c r="M38" s="983" t="s">
        <v>665</v>
      </c>
      <c r="N38" s="976"/>
      <c r="O38" s="975">
        <v>400.0</v>
      </c>
      <c r="P38" s="975">
        <f>O38+L38</f>
        <v>3460</v>
      </c>
      <c r="Q38" s="945"/>
      <c r="R38" s="945"/>
      <c r="S38" s="945"/>
      <c r="T38" s="945"/>
      <c r="U38" s="945"/>
      <c r="V38" s="945"/>
      <c r="W38" s="945"/>
      <c r="X38" s="945"/>
      <c r="Y38" s="945"/>
      <c r="Z38" s="945"/>
      <c r="AA38" s="945"/>
      <c r="AB38" s="945"/>
    </row>
    <row r="39" ht="20.25" customHeight="1">
      <c r="A39" s="984"/>
      <c r="B39" s="984"/>
      <c r="C39" s="984"/>
      <c r="D39" s="984"/>
      <c r="E39" s="984"/>
      <c r="F39" s="965"/>
      <c r="G39" s="965"/>
      <c r="H39" s="965">
        <v>5.0</v>
      </c>
      <c r="I39" s="965"/>
      <c r="J39" s="965"/>
      <c r="K39" s="965">
        <v>200.0</v>
      </c>
      <c r="L39" s="984"/>
      <c r="M39" s="985"/>
      <c r="N39" s="965"/>
      <c r="O39" s="984"/>
      <c r="P39" s="984"/>
      <c r="Q39" s="945"/>
      <c r="R39" s="945"/>
      <c r="S39" s="945"/>
      <c r="T39" s="945"/>
      <c r="U39" s="945"/>
      <c r="V39" s="945"/>
      <c r="W39" s="945"/>
      <c r="X39" s="945"/>
      <c r="Y39" s="945"/>
      <c r="Z39" s="945"/>
      <c r="AA39" s="945"/>
      <c r="AB39" s="945"/>
    </row>
    <row r="40" ht="20.25" customHeight="1">
      <c r="A40" s="986"/>
      <c r="B40" s="986"/>
      <c r="C40" s="986"/>
      <c r="D40" s="986"/>
      <c r="E40" s="986"/>
      <c r="F40" s="980"/>
      <c r="G40" s="980"/>
      <c r="H40" s="980">
        <v>4.0</v>
      </c>
      <c r="I40" s="980"/>
      <c r="J40" s="980"/>
      <c r="K40" s="980">
        <v>240.0</v>
      </c>
      <c r="L40" s="986"/>
      <c r="M40" s="987"/>
      <c r="N40" s="980"/>
      <c r="O40" s="986"/>
      <c r="P40" s="986"/>
      <c r="Q40" s="945"/>
      <c r="R40" s="945"/>
      <c r="S40" s="945"/>
      <c r="T40" s="945"/>
      <c r="U40" s="945"/>
      <c r="V40" s="945"/>
      <c r="W40" s="945"/>
      <c r="X40" s="945"/>
      <c r="Y40" s="945"/>
      <c r="Z40" s="945"/>
      <c r="AA40" s="945"/>
      <c r="AB40" s="945"/>
    </row>
    <row r="41" ht="20.25" customHeight="1">
      <c r="A41" s="988">
        <v>46215.0</v>
      </c>
      <c r="B41" s="989" t="s">
        <v>110</v>
      </c>
      <c r="C41" s="971">
        <v>910.0</v>
      </c>
      <c r="D41" s="972">
        <f t="array" ref="D41">IFERROR(_xlfn.XLOOKUP(C41,Code!A:A,Code!B:B),"")</f>
        <v>1.17</v>
      </c>
      <c r="E41" s="989" t="s">
        <v>666</v>
      </c>
      <c r="F41" s="990"/>
      <c r="G41" s="990"/>
      <c r="H41" s="990">
        <v>1.0</v>
      </c>
      <c r="I41" s="990"/>
      <c r="J41" s="990"/>
      <c r="K41" s="990">
        <v>220.0</v>
      </c>
      <c r="L41" s="975">
        <f>H41*K41+H42*K42+H43*K43</f>
        <v>2700</v>
      </c>
      <c r="M41" s="983" t="s">
        <v>665</v>
      </c>
      <c r="N41" s="990"/>
      <c r="O41" s="975">
        <v>400.0</v>
      </c>
      <c r="P41" s="975">
        <f>O41+L41</f>
        <v>3100</v>
      </c>
      <c r="Q41" s="945"/>
      <c r="R41" s="945"/>
      <c r="S41" s="945"/>
      <c r="T41" s="945"/>
      <c r="U41" s="945"/>
      <c r="V41" s="945"/>
      <c r="W41" s="945"/>
      <c r="X41" s="945"/>
      <c r="Y41" s="945"/>
      <c r="Z41" s="945"/>
      <c r="AA41" s="945"/>
      <c r="AB41" s="945"/>
    </row>
    <row r="42" ht="20.25" customHeight="1">
      <c r="A42" s="991"/>
      <c r="B42" s="991"/>
      <c r="C42" s="991"/>
      <c r="D42" s="991"/>
      <c r="E42" s="991"/>
      <c r="F42" s="965"/>
      <c r="G42" s="965"/>
      <c r="H42" s="965">
        <v>4.0</v>
      </c>
      <c r="I42" s="965"/>
      <c r="J42" s="965"/>
      <c r="K42" s="965">
        <v>200.0</v>
      </c>
      <c r="L42" s="991"/>
      <c r="M42" s="992"/>
      <c r="N42" s="965"/>
      <c r="O42" s="991"/>
      <c r="P42" s="991"/>
      <c r="Q42" s="945"/>
      <c r="R42" s="945"/>
      <c r="S42" s="945"/>
      <c r="T42" s="945"/>
      <c r="U42" s="945"/>
      <c r="V42" s="945"/>
      <c r="W42" s="945"/>
      <c r="X42" s="945"/>
      <c r="Y42" s="945"/>
      <c r="Z42" s="945"/>
      <c r="AA42" s="945"/>
      <c r="AB42" s="945"/>
    </row>
    <row r="43" ht="20.25" customHeight="1">
      <c r="A43" s="979"/>
      <c r="B43" s="979"/>
      <c r="C43" s="979"/>
      <c r="D43" s="979"/>
      <c r="E43" s="979"/>
      <c r="F43" s="980"/>
      <c r="G43" s="980"/>
      <c r="H43" s="980">
        <v>7.0</v>
      </c>
      <c r="I43" s="980"/>
      <c r="J43" s="980"/>
      <c r="K43" s="980">
        <v>240.0</v>
      </c>
      <c r="L43" s="979"/>
      <c r="M43" s="993"/>
      <c r="N43" s="980"/>
      <c r="O43" s="979"/>
      <c r="P43" s="979"/>
      <c r="Q43" s="945"/>
      <c r="R43" s="945"/>
      <c r="S43" s="945"/>
      <c r="T43" s="945"/>
      <c r="U43" s="945"/>
      <c r="V43" s="945"/>
      <c r="W43" s="945"/>
      <c r="X43" s="945"/>
      <c r="Y43" s="945"/>
      <c r="Z43" s="945"/>
      <c r="AA43" s="945"/>
      <c r="AB43" s="945"/>
    </row>
    <row r="44" ht="20.25" customHeight="1">
      <c r="A44" s="988">
        <v>46215.0</v>
      </c>
      <c r="B44" s="971" t="s">
        <v>279</v>
      </c>
      <c r="C44" s="994">
        <v>921.0</v>
      </c>
      <c r="D44" s="966">
        <f t="array" ref="D44">IFERROR(_xlfn.XLOOKUP(C44,Code!A:A,Code!B:B),"")</f>
        <v>0.64</v>
      </c>
      <c r="E44" s="973" t="s">
        <v>667</v>
      </c>
      <c r="F44" s="965"/>
      <c r="G44" s="971" t="s">
        <v>663</v>
      </c>
      <c r="H44" s="971">
        <v>7.0</v>
      </c>
      <c r="I44" s="965"/>
      <c r="J44" s="965"/>
      <c r="K44" s="965"/>
      <c r="L44" s="965"/>
      <c r="M44" s="990"/>
      <c r="N44" s="990"/>
      <c r="O44" s="965"/>
      <c r="P44" s="990"/>
      <c r="Q44" s="945"/>
      <c r="R44" s="945"/>
      <c r="S44" s="945"/>
      <c r="T44" s="945"/>
      <c r="U44" s="945"/>
      <c r="V44" s="945"/>
      <c r="W44" s="945"/>
      <c r="X44" s="945"/>
      <c r="Y44" s="945"/>
      <c r="Z44" s="945"/>
      <c r="AA44" s="945"/>
      <c r="AB44" s="945"/>
    </row>
    <row r="45" ht="20.25" customHeight="1">
      <c r="A45" s="995"/>
      <c r="B45" s="995"/>
      <c r="C45" s="996">
        <v>920.0</v>
      </c>
      <c r="D45" s="972">
        <f t="array" ref="D45">IFERROR(_xlfn.XLOOKUP(C45,Code!A:A,Code!B:B),"")</f>
        <v>0.59</v>
      </c>
      <c r="E45" s="995"/>
      <c r="F45" s="971"/>
      <c r="G45" s="995"/>
      <c r="H45" s="995"/>
      <c r="I45" s="971"/>
      <c r="J45" s="971"/>
      <c r="K45" s="971"/>
      <c r="L45" s="971"/>
      <c r="M45" s="971"/>
      <c r="N45" s="971"/>
      <c r="O45" s="971"/>
      <c r="P45" s="997"/>
      <c r="Q45" s="945"/>
      <c r="R45" s="945"/>
      <c r="S45" s="945"/>
      <c r="T45" s="945"/>
      <c r="U45" s="945"/>
      <c r="V45" s="945"/>
      <c r="W45" s="945"/>
      <c r="X45" s="945"/>
      <c r="Y45" s="945"/>
      <c r="Z45" s="945"/>
      <c r="AA45" s="945"/>
      <c r="AB45" s="945"/>
    </row>
    <row r="46" ht="20.25" customHeight="1">
      <c r="A46" s="974">
        <v>46216.0</v>
      </c>
      <c r="B46" s="997" t="s">
        <v>279</v>
      </c>
      <c r="C46" s="975">
        <v>905.0</v>
      </c>
      <c r="D46" s="982">
        <f t="array" ref="D46">IFERROR(_xlfn.XLOOKUP(C46,Code!A:A,Code!B:B),"")</f>
        <v>0.91</v>
      </c>
      <c r="E46" s="978" t="s">
        <v>668</v>
      </c>
      <c r="F46" s="975"/>
      <c r="G46" s="975" t="s">
        <v>663</v>
      </c>
      <c r="H46" s="975">
        <v>9.0</v>
      </c>
      <c r="I46" s="975"/>
      <c r="J46" s="975"/>
      <c r="K46" s="975"/>
      <c r="L46" s="975"/>
      <c r="M46" s="975"/>
      <c r="N46" s="975"/>
      <c r="O46" s="975"/>
      <c r="P46" s="975"/>
      <c r="Q46" s="945"/>
      <c r="R46" s="945"/>
      <c r="S46" s="945"/>
      <c r="T46" s="945"/>
      <c r="U46" s="945"/>
      <c r="V46" s="945"/>
      <c r="W46" s="945"/>
      <c r="X46" s="945"/>
      <c r="Y46" s="945"/>
      <c r="Z46" s="945"/>
      <c r="AA46" s="945"/>
      <c r="AB46" s="945"/>
    </row>
    <row r="47" ht="45.0" customHeight="1">
      <c r="A47" s="974">
        <v>46216.0</v>
      </c>
      <c r="B47" s="978" t="s">
        <v>110</v>
      </c>
      <c r="C47" s="976">
        <v>910.0</v>
      </c>
      <c r="D47" s="977">
        <f t="array" ref="D47">IFERROR(_xlfn.XLOOKUP(C47,Code!A:A,Code!B:B),"")</f>
        <v>1.17</v>
      </c>
      <c r="E47" s="978" t="s">
        <v>669</v>
      </c>
      <c r="F47" s="976"/>
      <c r="G47" s="976"/>
      <c r="H47" s="976">
        <v>1.0</v>
      </c>
      <c r="I47" s="976"/>
      <c r="J47" s="976"/>
      <c r="K47" s="998">
        <v>220.0</v>
      </c>
      <c r="L47" s="975">
        <f>H47*K47+H48*K48+H49*K49</f>
        <v>3340</v>
      </c>
      <c r="M47" s="999" t="s">
        <v>665</v>
      </c>
      <c r="N47" s="976"/>
      <c r="O47" s="975">
        <v>400.0</v>
      </c>
      <c r="P47" s="975">
        <f>O47+L47</f>
        <v>3740</v>
      </c>
      <c r="Q47" s="945"/>
      <c r="R47" s="945"/>
      <c r="S47" s="945"/>
      <c r="T47" s="945"/>
      <c r="U47" s="945"/>
      <c r="V47" s="945"/>
      <c r="W47" s="945"/>
      <c r="X47" s="945"/>
      <c r="Y47" s="945"/>
      <c r="Z47" s="945"/>
      <c r="AA47" s="945"/>
      <c r="AB47" s="945"/>
    </row>
    <row r="48" ht="20.25" customHeight="1">
      <c r="A48" s="991"/>
      <c r="B48" s="991"/>
      <c r="C48" s="971">
        <v>911.0</v>
      </c>
      <c r="D48" s="972">
        <f t="array" ref="D48">IFERROR(_xlfn.XLOOKUP(C48,Code!A:A,Code!B:B),"")</f>
        <v>0.6</v>
      </c>
      <c r="E48" s="991"/>
      <c r="F48" s="965"/>
      <c r="G48" s="965"/>
      <c r="H48" s="965">
        <v>6.0</v>
      </c>
      <c r="I48" s="965"/>
      <c r="J48" s="965"/>
      <c r="K48" s="1000">
        <v>200.0</v>
      </c>
      <c r="L48" s="991"/>
      <c r="N48" s="965"/>
      <c r="O48" s="991"/>
      <c r="P48" s="991"/>
      <c r="Q48" s="945"/>
      <c r="R48" s="945"/>
      <c r="S48" s="945"/>
      <c r="T48" s="945"/>
      <c r="U48" s="945"/>
      <c r="V48" s="945"/>
      <c r="W48" s="945"/>
      <c r="X48" s="945"/>
      <c r="Y48" s="945"/>
      <c r="Z48" s="945"/>
      <c r="AA48" s="945"/>
      <c r="AB48" s="945"/>
    </row>
    <row r="49" ht="20.25" customHeight="1">
      <c r="A49" s="979"/>
      <c r="B49" s="979"/>
      <c r="C49" s="979"/>
      <c r="D49" s="979"/>
      <c r="E49" s="979"/>
      <c r="F49" s="980"/>
      <c r="G49" s="980"/>
      <c r="H49" s="980">
        <v>8.0</v>
      </c>
      <c r="I49" s="980"/>
      <c r="J49" s="980"/>
      <c r="K49" s="980">
        <v>240.0</v>
      </c>
      <c r="L49" s="979"/>
      <c r="M49" s="1001"/>
      <c r="N49" s="980"/>
      <c r="O49" s="979"/>
      <c r="P49" s="979"/>
      <c r="Q49" s="945"/>
      <c r="R49" s="945"/>
      <c r="S49" s="945"/>
      <c r="T49" s="945"/>
      <c r="U49" s="945"/>
      <c r="V49" s="945"/>
      <c r="W49" s="945"/>
      <c r="X49" s="945"/>
      <c r="Y49" s="945"/>
      <c r="Z49" s="945"/>
      <c r="AA49" s="945"/>
      <c r="AB49" s="945"/>
    </row>
    <row r="50" ht="20.25" customHeight="1">
      <c r="A50" s="970">
        <v>46217.0</v>
      </c>
      <c r="B50" s="971" t="s">
        <v>279</v>
      </c>
      <c r="C50" s="965">
        <v>906.0</v>
      </c>
      <c r="D50" s="966">
        <f t="array" ref="D50">IFERROR(_xlfn.XLOOKUP(C50,Code!A:A,Code!B:B),"")</f>
        <v>0.68</v>
      </c>
      <c r="E50" s="973" t="s">
        <v>670</v>
      </c>
      <c r="F50" s="965"/>
      <c r="G50" s="971" t="s">
        <v>663</v>
      </c>
      <c r="H50" s="971">
        <v>8.0</v>
      </c>
      <c r="I50" s="965"/>
      <c r="J50" s="965"/>
      <c r="K50" s="965"/>
      <c r="L50" s="965"/>
      <c r="M50" s="990"/>
      <c r="N50" s="990"/>
      <c r="O50" s="965"/>
      <c r="P50" s="990"/>
      <c r="Q50" s="945"/>
      <c r="R50" s="945"/>
      <c r="S50" s="945"/>
      <c r="T50" s="945"/>
      <c r="U50" s="945"/>
      <c r="V50" s="945"/>
      <c r="W50" s="945"/>
      <c r="X50" s="945"/>
      <c r="Y50" s="945"/>
      <c r="Z50" s="945"/>
      <c r="AA50" s="945"/>
      <c r="AB50" s="945"/>
    </row>
    <row r="51" ht="20.25" customHeight="1">
      <c r="A51" s="995"/>
      <c r="B51" s="995"/>
      <c r="C51" s="971">
        <v>907.0</v>
      </c>
      <c r="D51" s="972">
        <f t="array" ref="D51">IFERROR(_xlfn.XLOOKUP(C51,Code!A:A,Code!B:B),"")</f>
        <v>0.64</v>
      </c>
      <c r="E51" s="995"/>
      <c r="F51" s="971"/>
      <c r="G51" s="995"/>
      <c r="H51" s="995"/>
      <c r="I51" s="971"/>
      <c r="J51" s="971"/>
      <c r="K51" s="971"/>
      <c r="L51" s="971"/>
      <c r="M51" s="971"/>
      <c r="N51" s="971"/>
      <c r="O51" s="971"/>
      <c r="P51" s="997"/>
      <c r="Q51" s="945"/>
      <c r="R51" s="945"/>
      <c r="S51" s="945"/>
      <c r="T51" s="945"/>
      <c r="U51" s="945"/>
      <c r="V51" s="945"/>
      <c r="W51" s="945"/>
      <c r="X51" s="945"/>
      <c r="Y51" s="945"/>
      <c r="Z51" s="945"/>
      <c r="AA51" s="945"/>
      <c r="AB51" s="945"/>
    </row>
    <row r="52" ht="20.25" customHeight="1">
      <c r="A52" s="974">
        <v>46217.0</v>
      </c>
      <c r="B52" s="975" t="s">
        <v>110</v>
      </c>
      <c r="C52" s="975">
        <v>911.0</v>
      </c>
      <c r="D52" s="977">
        <f t="array" ref="D52">IFERROR(_xlfn.XLOOKUP(C52,Code!A:A,Code!B:B),"")</f>
        <v>0.6</v>
      </c>
      <c r="E52" s="978" t="s">
        <v>671</v>
      </c>
      <c r="F52" s="975"/>
      <c r="G52" s="983"/>
      <c r="H52" s="976">
        <v>5.0</v>
      </c>
      <c r="I52" s="976"/>
      <c r="J52" s="976"/>
      <c r="K52" s="976">
        <v>200.0</v>
      </c>
      <c r="L52" s="975">
        <f>H52*K52+H53*K53+H54*K54+H55*K55</f>
        <v>2860</v>
      </c>
      <c r="M52" s="999" t="s">
        <v>665</v>
      </c>
      <c r="N52" s="976"/>
      <c r="O52" s="975">
        <v>400.0</v>
      </c>
      <c r="P52" s="975">
        <f>O52+L52</f>
        <v>3260</v>
      </c>
      <c r="Q52" s="945"/>
      <c r="R52" s="945"/>
      <c r="S52" s="945"/>
      <c r="T52" s="945"/>
      <c r="U52" s="945"/>
      <c r="V52" s="945"/>
      <c r="W52" s="945"/>
      <c r="X52" s="945"/>
      <c r="Y52" s="945"/>
      <c r="Z52" s="945"/>
      <c r="AA52" s="945"/>
      <c r="AB52" s="945"/>
    </row>
    <row r="53" ht="20.25" customHeight="1">
      <c r="A53" s="984"/>
      <c r="B53" s="984"/>
      <c r="C53" s="965">
        <v>912.0</v>
      </c>
      <c r="D53" s="966">
        <f t="array" ref="D53">IFERROR(_xlfn.XLOOKUP(C53,Code!A:A,Code!B:B),"")</f>
        <v>0.62</v>
      </c>
      <c r="E53" s="984"/>
      <c r="F53" s="965"/>
      <c r="G53" s="1000"/>
      <c r="H53" s="965">
        <v>3.0</v>
      </c>
      <c r="I53" s="965"/>
      <c r="J53" s="965"/>
      <c r="K53" s="965">
        <v>220.0</v>
      </c>
      <c r="L53" s="984"/>
      <c r="N53" s="965"/>
      <c r="O53" s="984"/>
      <c r="P53" s="984"/>
      <c r="Q53" s="945"/>
      <c r="R53" s="945"/>
      <c r="S53" s="945"/>
      <c r="T53" s="945"/>
      <c r="U53" s="945"/>
      <c r="V53" s="945"/>
      <c r="W53" s="945"/>
      <c r="X53" s="945"/>
      <c r="Y53" s="945"/>
      <c r="Z53" s="945"/>
      <c r="AA53" s="945"/>
      <c r="AB53" s="945"/>
    </row>
    <row r="54" ht="20.25" customHeight="1">
      <c r="A54" s="991"/>
      <c r="B54" s="991"/>
      <c r="C54" s="965"/>
      <c r="D54" s="966" t="str">
        <f t="array" ref="D54">IFERROR(_xlfn.XLOOKUP(C54,Code!A:A,Code!B:B),"")</f>
        <v/>
      </c>
      <c r="E54" s="991"/>
      <c r="F54" s="965"/>
      <c r="G54" s="965"/>
      <c r="H54" s="965">
        <v>3.0</v>
      </c>
      <c r="I54" s="965"/>
      <c r="J54" s="965"/>
      <c r="K54" s="965">
        <v>240.0</v>
      </c>
      <c r="L54" s="991"/>
      <c r="N54" s="965"/>
      <c r="O54" s="991"/>
      <c r="P54" s="991"/>
      <c r="Q54" s="945"/>
      <c r="R54" s="945"/>
      <c r="S54" s="945"/>
      <c r="T54" s="945"/>
      <c r="U54" s="945"/>
      <c r="V54" s="945"/>
      <c r="W54" s="945"/>
      <c r="X54" s="945"/>
      <c r="Y54" s="945"/>
      <c r="Z54" s="945"/>
      <c r="AA54" s="945"/>
      <c r="AB54" s="945"/>
    </row>
    <row r="55" ht="20.25" customHeight="1">
      <c r="A55" s="979"/>
      <c r="B55" s="979"/>
      <c r="C55" s="980"/>
      <c r="D55" s="981" t="str">
        <f t="array" ref="D55">IFERROR(_xlfn.XLOOKUP(C55,Code!A:A,Code!B:B),"")</f>
        <v/>
      </c>
      <c r="E55" s="979"/>
      <c r="F55" s="980"/>
      <c r="G55" s="980"/>
      <c r="H55" s="980">
        <v>4.0</v>
      </c>
      <c r="I55" s="980"/>
      <c r="J55" s="980"/>
      <c r="K55" s="980">
        <v>120.0</v>
      </c>
      <c r="L55" s="979"/>
      <c r="M55" s="1001"/>
      <c r="N55" s="980"/>
      <c r="O55" s="979"/>
      <c r="P55" s="979"/>
      <c r="Q55" s="945"/>
      <c r="R55" s="945"/>
      <c r="S55" s="945"/>
      <c r="T55" s="945"/>
      <c r="U55" s="945"/>
      <c r="V55" s="945"/>
      <c r="W55" s="945"/>
      <c r="X55" s="945"/>
      <c r="Y55" s="945"/>
      <c r="Z55" s="945"/>
      <c r="AA55" s="945"/>
      <c r="AB55" s="945"/>
    </row>
    <row r="56" ht="20.25" customHeight="1">
      <c r="A56" s="988">
        <v>46218.0</v>
      </c>
      <c r="B56" s="997" t="s">
        <v>279</v>
      </c>
      <c r="C56" s="990">
        <v>908.0</v>
      </c>
      <c r="D56" s="1002">
        <f t="array" ref="D56">IFERROR(_xlfn.XLOOKUP(C56,Code!A:A,Code!B:B),"")</f>
        <v>0.67</v>
      </c>
      <c r="E56" s="989" t="s">
        <v>672</v>
      </c>
      <c r="F56" s="990"/>
      <c r="G56" s="971" t="s">
        <v>663</v>
      </c>
      <c r="H56" s="997">
        <v>9.0</v>
      </c>
      <c r="I56" s="990"/>
      <c r="J56" s="990"/>
      <c r="K56" s="990"/>
      <c r="L56" s="990"/>
      <c r="M56" s="990"/>
      <c r="N56" s="990"/>
      <c r="O56" s="990"/>
      <c r="P56" s="990"/>
      <c r="Q56" s="945"/>
      <c r="R56" s="945"/>
      <c r="S56" s="945"/>
      <c r="T56" s="945"/>
      <c r="U56" s="945"/>
      <c r="V56" s="945"/>
      <c r="W56" s="945"/>
      <c r="X56" s="945"/>
      <c r="Y56" s="945"/>
      <c r="Z56" s="945"/>
      <c r="AA56" s="945"/>
      <c r="AB56" s="945"/>
    </row>
    <row r="57" ht="20.25" customHeight="1">
      <c r="A57" s="979"/>
      <c r="B57" s="979"/>
      <c r="C57" s="980">
        <v>909.0</v>
      </c>
      <c r="D57" s="981">
        <f t="array" ref="D57">IFERROR(_xlfn.XLOOKUP(C57,Code!A:A,Code!B:B),"")</f>
        <v>0.72</v>
      </c>
      <c r="E57" s="979"/>
      <c r="F57" s="980"/>
      <c r="G57" s="995"/>
      <c r="H57" s="979"/>
      <c r="I57" s="980"/>
      <c r="J57" s="980"/>
      <c r="K57" s="980"/>
      <c r="L57" s="980"/>
      <c r="M57" s="980"/>
      <c r="N57" s="980"/>
      <c r="O57" s="980"/>
      <c r="P57" s="980"/>
      <c r="Q57" s="945"/>
      <c r="R57" s="945"/>
      <c r="S57" s="945"/>
      <c r="T57" s="945"/>
      <c r="U57" s="945"/>
      <c r="V57" s="945"/>
      <c r="W57" s="945"/>
      <c r="X57" s="945"/>
      <c r="Y57" s="945"/>
      <c r="Z57" s="945"/>
      <c r="AA57" s="945"/>
      <c r="AB57" s="945"/>
    </row>
    <row r="58" ht="20.25" customHeight="1">
      <c r="A58" s="988">
        <v>46219.0</v>
      </c>
      <c r="B58" s="997" t="s">
        <v>279</v>
      </c>
      <c r="C58" s="990">
        <v>901.0</v>
      </c>
      <c r="D58" s="1002">
        <f t="array" ref="D58">IFERROR(_xlfn.XLOOKUP(C58,Code!A:A,Code!B:B),"")</f>
        <v>1.02</v>
      </c>
      <c r="E58" s="989" t="s">
        <v>673</v>
      </c>
      <c r="F58" s="990"/>
      <c r="G58" s="1003" t="s">
        <v>663</v>
      </c>
      <c r="H58" s="997">
        <v>9.0</v>
      </c>
      <c r="I58" s="990"/>
      <c r="J58" s="990"/>
      <c r="K58" s="990"/>
      <c r="L58" s="990"/>
      <c r="M58" s="990"/>
      <c r="N58" s="990"/>
      <c r="O58" s="990"/>
      <c r="P58" s="990"/>
      <c r="Q58" s="945"/>
      <c r="R58" s="945"/>
      <c r="S58" s="945"/>
      <c r="T58" s="945"/>
      <c r="U58" s="945"/>
      <c r="V58" s="945"/>
      <c r="W58" s="945"/>
      <c r="X58" s="945"/>
      <c r="Y58" s="945"/>
      <c r="Z58" s="945"/>
      <c r="AA58" s="945"/>
      <c r="AB58" s="945"/>
    </row>
    <row r="59" ht="20.25" customHeight="1">
      <c r="A59" s="979"/>
      <c r="B59" s="979"/>
      <c r="C59" s="980">
        <v>902.0</v>
      </c>
      <c r="D59" s="981">
        <f t="array" ref="D59">IFERROR(_xlfn.XLOOKUP(C59,Code!A:A,Code!B:B),"")</f>
        <v>0.62</v>
      </c>
      <c r="E59" s="979"/>
      <c r="F59" s="980"/>
      <c r="G59" s="995"/>
      <c r="H59" s="979"/>
      <c r="I59" s="980"/>
      <c r="J59" s="980"/>
      <c r="K59" s="980"/>
      <c r="L59" s="980"/>
      <c r="M59" s="980"/>
      <c r="N59" s="980"/>
      <c r="O59" s="980"/>
      <c r="P59" s="980"/>
      <c r="Q59" s="945"/>
      <c r="R59" s="945"/>
      <c r="S59" s="945"/>
      <c r="T59" s="945"/>
      <c r="U59" s="945"/>
      <c r="V59" s="945"/>
      <c r="W59" s="945"/>
      <c r="X59" s="945"/>
      <c r="Y59" s="945"/>
      <c r="Z59" s="945"/>
      <c r="AA59" s="945"/>
      <c r="AB59" s="945"/>
    </row>
    <row r="60" ht="20.25" customHeight="1">
      <c r="A60" s="988">
        <v>46220.0</v>
      </c>
      <c r="B60" s="997" t="s">
        <v>279</v>
      </c>
      <c r="C60" s="990">
        <v>903.0</v>
      </c>
      <c r="D60" s="1002">
        <f t="array" ref="D60">IFERROR(_xlfn.XLOOKUP(C60,Code!A:A,Code!B:B),"")</f>
        <v>0.81</v>
      </c>
      <c r="E60" s="989" t="s">
        <v>674</v>
      </c>
      <c r="F60" s="990"/>
      <c r="G60" s="1003" t="s">
        <v>663</v>
      </c>
      <c r="H60" s="997">
        <v>12.0</v>
      </c>
      <c r="I60" s="990"/>
      <c r="J60" s="990"/>
      <c r="K60" s="990"/>
      <c r="L60" s="990"/>
      <c r="M60" s="990"/>
      <c r="N60" s="990"/>
      <c r="O60" s="990"/>
      <c r="P60" s="990"/>
      <c r="Q60" s="945"/>
      <c r="R60" s="945"/>
      <c r="S60" s="945"/>
      <c r="T60" s="945"/>
      <c r="U60" s="945"/>
      <c r="V60" s="945"/>
      <c r="W60" s="945"/>
      <c r="X60" s="945"/>
      <c r="Y60" s="945"/>
      <c r="Z60" s="945"/>
      <c r="AA60" s="945"/>
      <c r="AB60" s="945"/>
    </row>
    <row r="61" ht="20.25" customHeight="1">
      <c r="A61" s="979"/>
      <c r="B61" s="979"/>
      <c r="C61" s="980">
        <v>904.0</v>
      </c>
      <c r="D61" s="981">
        <f t="array" ref="D61">IFERROR(_xlfn.XLOOKUP(C61,Code!A:A,Code!B:B),"")</f>
        <v>0.96</v>
      </c>
      <c r="E61" s="979"/>
      <c r="F61" s="980"/>
      <c r="G61" s="995"/>
      <c r="H61" s="979"/>
      <c r="I61" s="980"/>
      <c r="J61" s="980"/>
      <c r="K61" s="980"/>
      <c r="L61" s="980"/>
      <c r="M61" s="980"/>
      <c r="N61" s="980"/>
      <c r="O61" s="980"/>
      <c r="P61" s="980"/>
      <c r="Q61" s="945"/>
      <c r="R61" s="945"/>
      <c r="S61" s="945"/>
      <c r="T61" s="945"/>
      <c r="U61" s="945"/>
      <c r="V61" s="945"/>
      <c r="W61" s="945"/>
      <c r="X61" s="945"/>
      <c r="Y61" s="945"/>
      <c r="Z61" s="945"/>
      <c r="AA61" s="945"/>
      <c r="AB61" s="945"/>
    </row>
    <row r="62" ht="20.25" customHeight="1">
      <c r="A62" s="988">
        <v>46221.0</v>
      </c>
      <c r="B62" s="997" t="s">
        <v>279</v>
      </c>
      <c r="C62" s="990">
        <v>910.0</v>
      </c>
      <c r="D62" s="1002">
        <f t="array" ref="D62">IFERROR(_xlfn.XLOOKUP(C62,Code!A:A,Code!B:B),"")</f>
        <v>1.17</v>
      </c>
      <c r="E62" s="989" t="s">
        <v>675</v>
      </c>
      <c r="F62" s="990"/>
      <c r="G62" s="1004" t="s">
        <v>663</v>
      </c>
      <c r="H62" s="997">
        <v>12.0</v>
      </c>
      <c r="I62" s="990"/>
      <c r="J62" s="990"/>
      <c r="K62" s="990"/>
      <c r="L62" s="990"/>
      <c r="M62" s="990"/>
      <c r="N62" s="990"/>
      <c r="O62" s="990"/>
      <c r="P62" s="990"/>
      <c r="Q62" s="945"/>
      <c r="R62" s="945"/>
      <c r="S62" s="945"/>
      <c r="T62" s="945"/>
      <c r="U62" s="945"/>
      <c r="V62" s="945"/>
      <c r="W62" s="945"/>
      <c r="X62" s="945"/>
      <c r="Y62" s="945"/>
      <c r="Z62" s="945"/>
      <c r="AA62" s="945"/>
      <c r="AB62" s="945"/>
    </row>
    <row r="63" ht="20.25" customHeight="1">
      <c r="A63" s="979"/>
      <c r="B63" s="979"/>
      <c r="C63" s="980">
        <v>911.0</v>
      </c>
      <c r="D63" s="981">
        <f t="array" ref="D63">IFERROR(_xlfn.XLOOKUP(C63,Code!A:A,Code!B:B),"")</f>
        <v>0.6</v>
      </c>
      <c r="E63" s="979"/>
      <c r="F63" s="980"/>
      <c r="G63" s="995"/>
      <c r="H63" s="979"/>
      <c r="I63" s="980"/>
      <c r="J63" s="980"/>
      <c r="K63" s="980"/>
      <c r="L63" s="980"/>
      <c r="M63" s="980"/>
      <c r="N63" s="980"/>
      <c r="O63" s="980"/>
      <c r="P63" s="980"/>
      <c r="Q63" s="945"/>
      <c r="R63" s="945"/>
      <c r="S63" s="945"/>
      <c r="T63" s="945"/>
      <c r="U63" s="945"/>
      <c r="V63" s="945"/>
      <c r="W63" s="945"/>
      <c r="X63" s="945"/>
      <c r="Y63" s="945"/>
      <c r="Z63" s="945"/>
      <c r="AA63" s="945"/>
      <c r="AB63" s="945"/>
    </row>
    <row r="64" ht="20.25" customHeight="1">
      <c r="A64" s="988">
        <v>46222.0</v>
      </c>
      <c r="B64" s="997" t="s">
        <v>279</v>
      </c>
      <c r="C64" s="990">
        <v>912.0</v>
      </c>
      <c r="D64" s="1002">
        <f t="array" ref="D64">IFERROR(_xlfn.XLOOKUP(C64,Code!A:A,Code!B:B),"")</f>
        <v>0.62</v>
      </c>
      <c r="E64" s="989" t="s">
        <v>676</v>
      </c>
      <c r="F64" s="990"/>
      <c r="G64" s="1004" t="s">
        <v>663</v>
      </c>
      <c r="H64" s="997">
        <v>10.0</v>
      </c>
      <c r="I64" s="990"/>
      <c r="J64" s="990"/>
      <c r="K64" s="990"/>
      <c r="L64" s="990"/>
      <c r="M64" s="990"/>
      <c r="N64" s="990"/>
      <c r="O64" s="990"/>
      <c r="P64" s="990"/>
      <c r="Q64" s="945"/>
      <c r="R64" s="945"/>
      <c r="S64" s="945"/>
      <c r="T64" s="945"/>
      <c r="U64" s="945"/>
      <c r="V64" s="945"/>
      <c r="W64" s="945"/>
      <c r="X64" s="945"/>
      <c r="Y64" s="945"/>
      <c r="Z64" s="945"/>
      <c r="AA64" s="945"/>
      <c r="AB64" s="945"/>
    </row>
    <row r="65" ht="20.25" customHeight="1">
      <c r="A65" s="979"/>
      <c r="B65" s="979"/>
      <c r="C65" s="980">
        <v>913.0</v>
      </c>
      <c r="D65" s="972">
        <f t="array" ref="D65">IFERROR(_xlfn.XLOOKUP(C65,Code!A:A,Code!B:B),"")</f>
        <v>0.41</v>
      </c>
      <c r="E65" s="979"/>
      <c r="F65" s="980"/>
      <c r="G65" s="995"/>
      <c r="H65" s="979"/>
      <c r="I65" s="980"/>
      <c r="J65" s="980"/>
      <c r="K65" s="980"/>
      <c r="L65" s="980"/>
      <c r="M65" s="980"/>
      <c r="N65" s="980"/>
      <c r="O65" s="980"/>
      <c r="P65" s="980"/>
      <c r="Q65" s="945"/>
      <c r="R65" s="945"/>
      <c r="S65" s="945"/>
      <c r="T65" s="945"/>
      <c r="U65" s="945"/>
      <c r="V65" s="945"/>
      <c r="W65" s="945"/>
      <c r="X65" s="945"/>
      <c r="Y65" s="945"/>
      <c r="Z65" s="945"/>
      <c r="AA65" s="945"/>
      <c r="AB65" s="945"/>
    </row>
    <row r="66" ht="20.25" customHeight="1">
      <c r="A66" s="988">
        <v>46270.0</v>
      </c>
      <c r="B66" s="971" t="s">
        <v>677</v>
      </c>
      <c r="C66" s="1000">
        <v>919.0</v>
      </c>
      <c r="D66" s="966">
        <f t="array" ref="D66">IFERROR(_xlfn.XLOOKUP(C66,Code!A:A,Code!B:B),"")</f>
        <v>0.58</v>
      </c>
      <c r="E66" s="1005" t="s">
        <v>678</v>
      </c>
      <c r="F66" s="971" t="s">
        <v>558</v>
      </c>
      <c r="G66" s="971" t="s">
        <v>317</v>
      </c>
      <c r="H66" s="971">
        <v>17.0</v>
      </c>
      <c r="I66" s="971">
        <v>1.0</v>
      </c>
      <c r="J66" s="971">
        <v>120.0</v>
      </c>
      <c r="K66" s="971">
        <v>100.0</v>
      </c>
      <c r="L66" s="971">
        <v>1820.0</v>
      </c>
      <c r="M66" s="971" t="s">
        <v>633</v>
      </c>
      <c r="N66" s="971">
        <v>20.0</v>
      </c>
      <c r="O66" s="971">
        <v>360.0</v>
      </c>
      <c r="P66" s="971">
        <f>L66+O66</f>
        <v>2180</v>
      </c>
      <c r="Q66" s="945"/>
      <c r="R66" s="945"/>
      <c r="S66" s="945"/>
      <c r="T66" s="945"/>
      <c r="U66" s="945"/>
      <c r="V66" s="945"/>
      <c r="W66" s="945"/>
      <c r="X66" s="945"/>
      <c r="Y66" s="945"/>
      <c r="Z66" s="945"/>
      <c r="AA66" s="945"/>
      <c r="AB66" s="945"/>
    </row>
    <row r="67" ht="20.25" customHeight="1">
      <c r="A67" s="979"/>
      <c r="B67" s="979"/>
      <c r="C67" s="1006">
        <v>901.0</v>
      </c>
      <c r="D67" s="981">
        <f t="array" ref="D67">IFERROR(_xlfn.XLOOKUP(C67,Code!A:A,Code!B:B),"")</f>
        <v>1.02</v>
      </c>
      <c r="E67" s="1007"/>
      <c r="F67" s="979"/>
      <c r="G67" s="979"/>
      <c r="H67" s="979"/>
      <c r="I67" s="979"/>
      <c r="J67" s="979"/>
      <c r="K67" s="979"/>
      <c r="L67" s="979"/>
      <c r="M67" s="979"/>
      <c r="N67" s="979"/>
      <c r="O67" s="979"/>
      <c r="P67" s="979"/>
      <c r="Q67" s="945"/>
      <c r="R67" s="945"/>
      <c r="S67" s="945"/>
      <c r="T67" s="945"/>
      <c r="U67" s="945"/>
      <c r="V67" s="945"/>
      <c r="W67" s="945"/>
      <c r="X67" s="945"/>
      <c r="Y67" s="945"/>
      <c r="Z67" s="945"/>
      <c r="AA67" s="945"/>
      <c r="AB67" s="945"/>
    </row>
    <row r="68" ht="20.25" customHeight="1">
      <c r="A68" s="1008">
        <v>46272.0</v>
      </c>
      <c r="B68" s="1009" t="s">
        <v>30</v>
      </c>
      <c r="C68" s="1010">
        <v>909.0</v>
      </c>
      <c r="D68" s="1011">
        <f t="array" ref="D68">IFERROR(_xlfn.XLOOKUP(C68,Code!A:A,Code!B:B),"")</f>
        <v>0.72</v>
      </c>
      <c r="E68" s="1012" t="s">
        <v>678</v>
      </c>
      <c r="F68" s="1009" t="s">
        <v>558</v>
      </c>
      <c r="G68" s="1009" t="s">
        <v>317</v>
      </c>
      <c r="H68" s="1009">
        <v>16.0</v>
      </c>
      <c r="I68" s="1009">
        <v>1.0</v>
      </c>
      <c r="J68" s="1009">
        <v>120.0</v>
      </c>
      <c r="K68" s="1009">
        <v>100.0</v>
      </c>
      <c r="L68" s="1009">
        <v>1670.0</v>
      </c>
      <c r="M68" s="1009" t="s">
        <v>633</v>
      </c>
      <c r="N68" s="1009">
        <v>20.0</v>
      </c>
      <c r="O68" s="1009">
        <v>340.0</v>
      </c>
      <c r="P68" s="1009">
        <f>L68+O68</f>
        <v>2010</v>
      </c>
      <c r="Q68" s="1013"/>
      <c r="R68" s="1014"/>
      <c r="S68" s="1014"/>
      <c r="T68" s="1014"/>
      <c r="U68" s="1014"/>
      <c r="V68" s="1014"/>
      <c r="W68" s="1014"/>
      <c r="X68" s="1014"/>
      <c r="Y68" s="1014"/>
      <c r="Z68" s="1014"/>
      <c r="AA68" s="1014"/>
      <c r="AB68" s="1014"/>
    </row>
    <row r="69" ht="20.25" customHeight="1">
      <c r="A69" s="988">
        <v>46272.0</v>
      </c>
      <c r="B69" s="997" t="s">
        <v>22</v>
      </c>
      <c r="C69" s="1015">
        <v>918.0</v>
      </c>
      <c r="D69" s="1002">
        <f t="array" ref="D69">IFERROR(_xlfn.XLOOKUP(C69,Code!A:A,Code!B:B),"")</f>
        <v>0.53</v>
      </c>
      <c r="E69" s="989" t="s">
        <v>679</v>
      </c>
      <c r="F69" s="997" t="s">
        <v>558</v>
      </c>
      <c r="G69" s="997" t="s">
        <v>317</v>
      </c>
      <c r="H69" s="997">
        <v>9.0</v>
      </c>
      <c r="I69" s="990"/>
      <c r="J69" s="990"/>
      <c r="K69" s="997">
        <v>100.0</v>
      </c>
      <c r="L69" s="997">
        <v>900.0</v>
      </c>
      <c r="M69" s="997" t="s">
        <v>633</v>
      </c>
      <c r="N69" s="997">
        <v>30.0</v>
      </c>
      <c r="O69" s="997">
        <v>270.0</v>
      </c>
      <c r="P69" s="997">
        <v>1170.0</v>
      </c>
      <c r="Q69" s="945"/>
      <c r="R69" s="945"/>
      <c r="S69" s="945"/>
      <c r="T69" s="945"/>
      <c r="U69" s="945"/>
      <c r="V69" s="945"/>
      <c r="W69" s="945"/>
      <c r="X69" s="945"/>
      <c r="Y69" s="945"/>
      <c r="Z69" s="945"/>
      <c r="AA69" s="945"/>
      <c r="AB69" s="945"/>
    </row>
    <row r="70" ht="20.25" customHeight="1">
      <c r="A70" s="1016"/>
      <c r="B70" s="1016"/>
      <c r="C70" s="1000">
        <v>919.0</v>
      </c>
      <c r="D70" s="966">
        <f t="array" ref="D70">IFERROR(_xlfn.XLOOKUP(C70,Code!A:A,Code!B:B),"")</f>
        <v>0.58</v>
      </c>
      <c r="E70" s="1016"/>
      <c r="F70" s="1016"/>
      <c r="G70" s="1016"/>
      <c r="H70" s="1016"/>
      <c r="I70" s="965"/>
      <c r="J70" s="965"/>
      <c r="K70" s="1016"/>
      <c r="L70" s="1016"/>
      <c r="M70" s="1016"/>
      <c r="N70" s="1016"/>
      <c r="O70" s="1016"/>
      <c r="P70" s="1016"/>
      <c r="Q70" s="945"/>
      <c r="R70" s="945"/>
      <c r="S70" s="945"/>
      <c r="T70" s="945"/>
      <c r="U70" s="945"/>
      <c r="V70" s="945"/>
      <c r="W70" s="945"/>
      <c r="X70" s="945"/>
      <c r="Y70" s="945"/>
      <c r="Z70" s="945"/>
      <c r="AA70" s="945"/>
      <c r="AB70" s="945"/>
    </row>
    <row r="71" ht="20.25" customHeight="1">
      <c r="A71" s="964"/>
      <c r="B71" s="965"/>
      <c r="C71" s="1000"/>
      <c r="D71" s="966" t="str">
        <f t="array" ref="D71">IFERROR(_xlfn.XLOOKUP(C71,Code!A:A,Code!B:B),"")</f>
        <v/>
      </c>
      <c r="E71" s="1017"/>
      <c r="F71" s="965"/>
      <c r="G71" s="965"/>
      <c r="H71" s="965"/>
      <c r="I71" s="965"/>
      <c r="J71" s="965"/>
      <c r="K71" s="965"/>
      <c r="L71" s="965"/>
      <c r="M71" s="965"/>
      <c r="N71" s="965"/>
      <c r="O71" s="965"/>
      <c r="P71" s="965"/>
      <c r="Q71" s="945"/>
      <c r="R71" s="945"/>
      <c r="S71" s="945"/>
      <c r="T71" s="945"/>
      <c r="U71" s="945"/>
      <c r="V71" s="945"/>
      <c r="W71" s="945"/>
      <c r="X71" s="945"/>
      <c r="Y71" s="945"/>
      <c r="Z71" s="945"/>
      <c r="AA71" s="945"/>
      <c r="AB71" s="945"/>
    </row>
    <row r="72" ht="20.25" customHeight="1">
      <c r="A72" s="964"/>
      <c r="B72" s="965"/>
      <c r="C72" s="1000"/>
      <c r="D72" s="966" t="str">
        <f t="array" ref="D72">IFERROR(_xlfn.XLOOKUP(C72,Code!A:A,Code!B:B),"")</f>
        <v/>
      </c>
      <c r="E72" s="1017"/>
      <c r="F72" s="965"/>
      <c r="G72" s="965"/>
      <c r="H72" s="965"/>
      <c r="I72" s="965"/>
      <c r="J72" s="965"/>
      <c r="K72" s="965"/>
      <c r="L72" s="965"/>
      <c r="M72" s="965"/>
      <c r="N72" s="965"/>
      <c r="O72" s="965"/>
      <c r="P72" s="965"/>
      <c r="Q72" s="945"/>
      <c r="R72" s="945"/>
      <c r="S72" s="945"/>
      <c r="T72" s="945"/>
      <c r="U72" s="945"/>
      <c r="V72" s="945"/>
      <c r="W72" s="945"/>
      <c r="X72" s="945"/>
      <c r="Y72" s="945"/>
      <c r="Z72" s="945"/>
      <c r="AA72" s="945"/>
      <c r="AB72" s="945"/>
    </row>
    <row r="73" ht="20.25" customHeight="1">
      <c r="A73" s="964"/>
      <c r="B73" s="965"/>
      <c r="C73" s="1000"/>
      <c r="D73" s="966" t="str">
        <f t="array" ref="D73">IFERROR(_xlfn.XLOOKUP(C73,Code!A:A,Code!B:B),"")</f>
        <v/>
      </c>
      <c r="E73" s="1017"/>
      <c r="F73" s="965"/>
      <c r="G73" s="965"/>
      <c r="H73" s="965"/>
      <c r="I73" s="965"/>
      <c r="J73" s="965"/>
      <c r="K73" s="965"/>
      <c r="L73" s="965"/>
      <c r="M73" s="965"/>
      <c r="N73" s="965"/>
      <c r="O73" s="965"/>
      <c r="P73" s="965"/>
      <c r="Q73" s="945"/>
      <c r="R73" s="945"/>
      <c r="S73" s="945"/>
      <c r="T73" s="945"/>
      <c r="U73" s="945"/>
      <c r="V73" s="945"/>
      <c r="W73" s="945"/>
      <c r="X73" s="945"/>
      <c r="Y73" s="945"/>
      <c r="Z73" s="945"/>
      <c r="AA73" s="945"/>
      <c r="AB73" s="945"/>
    </row>
    <row r="74" ht="20.25" customHeight="1">
      <c r="A74" s="964"/>
      <c r="B74" s="965"/>
      <c r="C74" s="1000"/>
      <c r="D74" s="966" t="str">
        <f t="array" ref="D74">IFERROR(_xlfn.XLOOKUP(C74,Code!A:A,Code!B:B),"")</f>
        <v/>
      </c>
      <c r="E74" s="1017"/>
      <c r="F74" s="965"/>
      <c r="G74" s="965"/>
      <c r="H74" s="965"/>
      <c r="I74" s="965"/>
      <c r="J74" s="965"/>
      <c r="K74" s="965"/>
      <c r="L74" s="965"/>
      <c r="M74" s="965"/>
      <c r="N74" s="965"/>
      <c r="O74" s="965"/>
      <c r="P74" s="965"/>
      <c r="Q74" s="945"/>
      <c r="R74" s="945"/>
      <c r="S74" s="945"/>
      <c r="T74" s="945"/>
      <c r="U74" s="945"/>
      <c r="V74" s="945"/>
      <c r="W74" s="945"/>
      <c r="X74" s="945"/>
      <c r="Y74" s="945"/>
      <c r="Z74" s="945"/>
      <c r="AA74" s="945"/>
      <c r="AB74" s="945"/>
    </row>
    <row r="75" ht="20.25" customHeight="1">
      <c r="A75" s="964"/>
      <c r="B75" s="965"/>
      <c r="C75" s="1000"/>
      <c r="D75" s="966" t="str">
        <f t="array" ref="D75">IFERROR(_xlfn.XLOOKUP(C75,Code!A:A,Code!B:B),"")</f>
        <v/>
      </c>
      <c r="E75" s="1017"/>
      <c r="F75" s="965"/>
      <c r="G75" s="965"/>
      <c r="H75" s="965"/>
      <c r="I75" s="965"/>
      <c r="J75" s="965"/>
      <c r="K75" s="965"/>
      <c r="L75" s="965"/>
      <c r="M75" s="965"/>
      <c r="N75" s="965"/>
      <c r="O75" s="965"/>
      <c r="P75" s="965"/>
      <c r="Q75" s="945"/>
      <c r="R75" s="945"/>
      <c r="S75" s="945"/>
      <c r="T75" s="945"/>
      <c r="U75" s="945"/>
      <c r="V75" s="945"/>
      <c r="W75" s="945"/>
      <c r="X75" s="945"/>
      <c r="Y75" s="945"/>
      <c r="Z75" s="945"/>
      <c r="AA75" s="945"/>
      <c r="AB75" s="945"/>
    </row>
    <row r="76" ht="20.25" customHeight="1">
      <c r="A76" s="964"/>
      <c r="B76" s="965"/>
      <c r="C76" s="1000"/>
      <c r="D76" s="966" t="str">
        <f t="array" ref="D76">IFERROR(_xlfn.XLOOKUP(C76,Code!A:A,Code!B:B),"")</f>
        <v/>
      </c>
      <c r="E76" s="1017"/>
      <c r="F76" s="965"/>
      <c r="G76" s="965"/>
      <c r="H76" s="965"/>
      <c r="I76" s="965"/>
      <c r="J76" s="965"/>
      <c r="K76" s="965"/>
      <c r="L76" s="965"/>
      <c r="M76" s="965"/>
      <c r="N76" s="965"/>
      <c r="O76" s="965"/>
      <c r="P76" s="965"/>
      <c r="Q76" s="945"/>
      <c r="R76" s="945"/>
      <c r="S76" s="945"/>
      <c r="T76" s="945"/>
      <c r="U76" s="945"/>
      <c r="V76" s="945"/>
      <c r="W76" s="945"/>
      <c r="X76" s="945"/>
      <c r="Y76" s="945"/>
      <c r="Z76" s="945"/>
      <c r="AA76" s="945"/>
      <c r="AB76" s="945"/>
    </row>
    <row r="77" ht="20.25" customHeight="1">
      <c r="A77" s="964"/>
      <c r="B77" s="965"/>
      <c r="C77" s="1000"/>
      <c r="D77" s="966" t="str">
        <f t="array" ref="D77">IFERROR(_xlfn.XLOOKUP(C77,Code!A:A,Code!B:B),"")</f>
        <v/>
      </c>
      <c r="E77" s="1017"/>
      <c r="F77" s="965"/>
      <c r="G77" s="965"/>
      <c r="H77" s="965"/>
      <c r="I77" s="965"/>
      <c r="J77" s="965"/>
      <c r="K77" s="965"/>
      <c r="L77" s="965"/>
      <c r="M77" s="965"/>
      <c r="N77" s="965"/>
      <c r="O77" s="965"/>
      <c r="P77" s="965"/>
      <c r="Q77" s="945"/>
      <c r="R77" s="945"/>
      <c r="S77" s="945"/>
      <c r="T77" s="945"/>
      <c r="U77" s="945"/>
      <c r="V77" s="945"/>
      <c r="W77" s="945"/>
      <c r="X77" s="945"/>
      <c r="Y77" s="945"/>
      <c r="Z77" s="945"/>
      <c r="AA77" s="945"/>
      <c r="AB77" s="945"/>
    </row>
    <row r="78" ht="20.25" customHeight="1">
      <c r="A78" s="964"/>
      <c r="B78" s="965"/>
      <c r="C78" s="1000"/>
      <c r="D78" s="966"/>
      <c r="E78" s="1017"/>
      <c r="F78" s="965"/>
      <c r="G78" s="965"/>
      <c r="H78" s="965"/>
      <c r="I78" s="965"/>
      <c r="J78" s="965"/>
      <c r="K78" s="965"/>
      <c r="L78" s="965"/>
      <c r="M78" s="965"/>
      <c r="N78" s="965"/>
      <c r="O78" s="965"/>
      <c r="P78" s="965"/>
      <c r="Q78" s="945"/>
      <c r="R78" s="945"/>
      <c r="S78" s="945"/>
      <c r="T78" s="945"/>
      <c r="U78" s="945"/>
      <c r="V78" s="945"/>
      <c r="W78" s="945"/>
      <c r="X78" s="945"/>
      <c r="Y78" s="945"/>
      <c r="Z78" s="945"/>
      <c r="AA78" s="945"/>
      <c r="AB78" s="945"/>
    </row>
    <row r="79" ht="20.25" customHeight="1">
      <c r="A79" s="964"/>
      <c r="B79" s="965"/>
      <c r="C79" s="965"/>
      <c r="D79" s="1002"/>
      <c r="E79" s="967"/>
      <c r="F79" s="965"/>
      <c r="G79" s="965"/>
      <c r="H79" s="965"/>
      <c r="I79" s="965"/>
      <c r="J79" s="965"/>
      <c r="K79" s="965"/>
      <c r="L79" s="965"/>
      <c r="M79" s="965"/>
      <c r="N79" s="965"/>
      <c r="O79" s="965"/>
      <c r="P79" s="965"/>
      <c r="Q79" s="945"/>
      <c r="R79" s="945"/>
      <c r="S79" s="945"/>
      <c r="T79" s="945"/>
      <c r="U79" s="945"/>
      <c r="V79" s="945"/>
      <c r="W79" s="945"/>
      <c r="X79" s="945"/>
      <c r="Y79" s="945"/>
      <c r="Z79" s="945"/>
      <c r="AA79" s="945"/>
      <c r="AB79" s="945"/>
    </row>
    <row r="80" ht="20.25" customHeight="1">
      <c r="A80" s="964"/>
      <c r="B80" s="965"/>
      <c r="C80" s="965"/>
      <c r="D80" s="966"/>
      <c r="E80" s="967"/>
      <c r="F80" s="965"/>
      <c r="G80" s="965"/>
      <c r="H80" s="965"/>
      <c r="I80" s="965"/>
      <c r="J80" s="965"/>
      <c r="K80" s="965"/>
      <c r="L80" s="965"/>
      <c r="M80" s="965"/>
      <c r="N80" s="965"/>
      <c r="O80" s="965"/>
      <c r="P80" s="965"/>
      <c r="Q80" s="945"/>
      <c r="R80" s="945"/>
      <c r="S80" s="945"/>
      <c r="T80" s="945"/>
      <c r="U80" s="945"/>
      <c r="V80" s="945"/>
      <c r="W80" s="945"/>
      <c r="X80" s="945"/>
      <c r="Y80" s="945"/>
      <c r="Z80" s="945"/>
      <c r="AA80" s="945"/>
      <c r="AB80" s="945"/>
    </row>
    <row r="81" ht="20.25" customHeight="1">
      <c r="A81" s="964"/>
      <c r="B81" s="965"/>
      <c r="C81" s="965"/>
      <c r="D81" s="966"/>
      <c r="E81" s="967"/>
      <c r="F81" s="965"/>
      <c r="G81" s="965"/>
      <c r="H81" s="965"/>
      <c r="I81" s="965"/>
      <c r="J81" s="965"/>
      <c r="K81" s="965"/>
      <c r="L81" s="965"/>
      <c r="M81" s="965"/>
      <c r="N81" s="965"/>
      <c r="O81" s="965"/>
      <c r="P81" s="965"/>
      <c r="Q81" s="945"/>
      <c r="R81" s="945"/>
      <c r="S81" s="945"/>
      <c r="T81" s="945"/>
      <c r="U81" s="945"/>
      <c r="V81" s="945"/>
      <c r="W81" s="945"/>
      <c r="X81" s="945"/>
      <c r="Y81" s="945"/>
      <c r="Z81" s="945"/>
      <c r="AA81" s="945"/>
      <c r="AB81" s="945"/>
    </row>
    <row r="82" ht="20.25" customHeight="1">
      <c r="A82" s="964"/>
      <c r="B82" s="965"/>
      <c r="C82" s="965"/>
      <c r="D82" s="966"/>
      <c r="E82" s="967"/>
      <c r="F82" s="965"/>
      <c r="G82" s="965"/>
      <c r="H82" s="965"/>
      <c r="I82" s="965"/>
      <c r="J82" s="965"/>
      <c r="K82" s="965"/>
      <c r="L82" s="965"/>
      <c r="M82" s="965"/>
      <c r="N82" s="965"/>
      <c r="O82" s="965"/>
      <c r="P82" s="965"/>
      <c r="Q82" s="945"/>
      <c r="R82" s="945"/>
      <c r="S82" s="945"/>
      <c r="T82" s="945"/>
      <c r="U82" s="945"/>
      <c r="V82" s="945"/>
      <c r="W82" s="945"/>
      <c r="X82" s="945"/>
      <c r="Y82" s="945"/>
      <c r="Z82" s="945"/>
      <c r="AA82" s="945"/>
      <c r="AB82" s="945"/>
    </row>
    <row r="83" ht="20.25" customHeight="1">
      <c r="A83" s="964"/>
      <c r="B83" s="965"/>
      <c r="C83" s="965"/>
      <c r="D83" s="966"/>
      <c r="E83" s="967"/>
      <c r="F83" s="965"/>
      <c r="G83" s="965"/>
      <c r="H83" s="965"/>
      <c r="I83" s="965"/>
      <c r="J83" s="965"/>
      <c r="K83" s="965"/>
      <c r="L83" s="965"/>
      <c r="M83" s="965"/>
      <c r="N83" s="965"/>
      <c r="O83" s="965"/>
      <c r="P83" s="965"/>
      <c r="Q83" s="945"/>
      <c r="R83" s="945"/>
      <c r="S83" s="945"/>
      <c r="T83" s="945"/>
      <c r="U83" s="945"/>
      <c r="V83" s="945"/>
      <c r="W83" s="945"/>
      <c r="X83" s="945"/>
      <c r="Y83" s="945"/>
      <c r="Z83" s="945"/>
      <c r="AA83" s="945"/>
      <c r="AB83" s="945"/>
    </row>
    <row r="84" ht="20.25" customHeight="1">
      <c r="A84" s="964"/>
      <c r="B84" s="965"/>
      <c r="C84" s="965"/>
      <c r="D84" s="966"/>
      <c r="E84" s="967"/>
      <c r="F84" s="965"/>
      <c r="G84" s="965"/>
      <c r="H84" s="965"/>
      <c r="I84" s="965"/>
      <c r="J84" s="965"/>
      <c r="K84" s="965"/>
      <c r="L84" s="965"/>
      <c r="M84" s="965"/>
      <c r="N84" s="965"/>
      <c r="O84" s="965"/>
      <c r="P84" s="965"/>
      <c r="Q84" s="945"/>
      <c r="R84" s="945"/>
      <c r="S84" s="945"/>
      <c r="T84" s="945"/>
      <c r="U84" s="945"/>
      <c r="V84" s="945"/>
      <c r="W84" s="945"/>
      <c r="X84" s="945"/>
      <c r="Y84" s="945"/>
      <c r="Z84" s="945"/>
      <c r="AA84" s="945"/>
      <c r="AB84" s="945"/>
    </row>
    <row r="85" ht="20.25" customHeight="1">
      <c r="A85" s="964"/>
      <c r="B85" s="965"/>
      <c r="C85" s="965"/>
      <c r="D85" s="966"/>
      <c r="E85" s="967"/>
      <c r="F85" s="965"/>
      <c r="G85" s="965"/>
      <c r="H85" s="965"/>
      <c r="I85" s="965"/>
      <c r="J85" s="965"/>
      <c r="K85" s="965"/>
      <c r="L85" s="965"/>
      <c r="M85" s="965"/>
      <c r="N85" s="965"/>
      <c r="O85" s="965"/>
      <c r="P85" s="965"/>
      <c r="Q85" s="945"/>
      <c r="R85" s="945"/>
      <c r="S85" s="945"/>
      <c r="T85" s="945"/>
      <c r="U85" s="945"/>
      <c r="V85" s="945"/>
      <c r="W85" s="945"/>
      <c r="X85" s="945"/>
      <c r="Y85" s="945"/>
      <c r="Z85" s="945"/>
      <c r="AA85" s="945"/>
      <c r="AB85" s="945"/>
    </row>
    <row r="86" ht="20.25" customHeight="1">
      <c r="A86" s="964"/>
      <c r="B86" s="965"/>
      <c r="C86" s="965"/>
      <c r="D86" s="966"/>
      <c r="E86" s="967"/>
      <c r="F86" s="965"/>
      <c r="G86" s="965"/>
      <c r="H86" s="965"/>
      <c r="I86" s="965"/>
      <c r="J86" s="965"/>
      <c r="K86" s="965"/>
      <c r="L86" s="965"/>
      <c r="M86" s="965"/>
      <c r="N86" s="965"/>
      <c r="O86" s="965"/>
      <c r="P86" s="965"/>
      <c r="Q86" s="945"/>
      <c r="R86" s="945"/>
      <c r="S86" s="945"/>
      <c r="T86" s="945"/>
      <c r="U86" s="945"/>
      <c r="V86" s="945"/>
      <c r="W86" s="945"/>
      <c r="X86" s="945"/>
      <c r="Y86" s="945"/>
      <c r="Z86" s="945"/>
      <c r="AA86" s="945"/>
      <c r="AB86" s="945"/>
    </row>
    <row r="87" ht="20.25" customHeight="1">
      <c r="A87" s="964"/>
      <c r="B87" s="965"/>
      <c r="C87" s="965"/>
      <c r="D87" s="966"/>
      <c r="E87" s="967"/>
      <c r="F87" s="965"/>
      <c r="G87" s="965"/>
      <c r="H87" s="965"/>
      <c r="I87" s="965"/>
      <c r="J87" s="965"/>
      <c r="K87" s="965"/>
      <c r="L87" s="965"/>
      <c r="M87" s="965"/>
      <c r="N87" s="965"/>
      <c r="O87" s="965"/>
      <c r="P87" s="965"/>
      <c r="Q87" s="945"/>
      <c r="R87" s="945"/>
      <c r="S87" s="945"/>
      <c r="T87" s="945"/>
      <c r="U87" s="945"/>
      <c r="V87" s="945"/>
      <c r="W87" s="945"/>
      <c r="X87" s="945"/>
      <c r="Y87" s="945"/>
      <c r="Z87" s="945"/>
      <c r="AA87" s="945"/>
      <c r="AB87" s="945"/>
    </row>
    <row r="88" ht="20.25" customHeight="1">
      <c r="A88" s="964"/>
      <c r="B88" s="965"/>
      <c r="C88" s="965"/>
      <c r="D88" s="966"/>
      <c r="E88" s="967"/>
      <c r="F88" s="965"/>
      <c r="G88" s="965"/>
      <c r="H88" s="965"/>
      <c r="I88" s="965"/>
      <c r="J88" s="965"/>
      <c r="K88" s="965"/>
      <c r="L88" s="965"/>
      <c r="M88" s="965"/>
      <c r="N88" s="965"/>
      <c r="O88" s="965"/>
      <c r="P88" s="965"/>
      <c r="Q88" s="945"/>
      <c r="R88" s="945"/>
      <c r="S88" s="945"/>
      <c r="T88" s="945"/>
      <c r="U88" s="945"/>
      <c r="V88" s="945"/>
      <c r="W88" s="945"/>
      <c r="X88" s="945"/>
      <c r="Y88" s="945"/>
      <c r="Z88" s="945"/>
      <c r="AA88" s="945"/>
      <c r="AB88" s="945"/>
    </row>
    <row r="89" ht="20.25" customHeight="1">
      <c r="A89" s="964"/>
      <c r="B89" s="965"/>
      <c r="C89" s="965"/>
      <c r="D89" s="966"/>
      <c r="E89" s="967"/>
      <c r="F89" s="965"/>
      <c r="G89" s="965"/>
      <c r="H89" s="965"/>
      <c r="I89" s="965"/>
      <c r="J89" s="965"/>
      <c r="K89" s="965"/>
      <c r="L89" s="965"/>
      <c r="M89" s="965"/>
      <c r="N89" s="965"/>
      <c r="O89" s="965"/>
      <c r="P89" s="965"/>
      <c r="Q89" s="945"/>
      <c r="R89" s="945"/>
      <c r="S89" s="945"/>
      <c r="T89" s="945"/>
      <c r="U89" s="945"/>
      <c r="V89" s="945"/>
      <c r="W89" s="945"/>
      <c r="X89" s="945"/>
      <c r="Y89" s="945"/>
      <c r="Z89" s="945"/>
      <c r="AA89" s="945"/>
      <c r="AB89" s="945"/>
    </row>
    <row r="90" ht="20.25" customHeight="1">
      <c r="A90" s="964"/>
      <c r="B90" s="965"/>
      <c r="C90" s="965"/>
      <c r="D90" s="966"/>
      <c r="E90" s="967"/>
      <c r="F90" s="965"/>
      <c r="G90" s="965"/>
      <c r="H90" s="965"/>
      <c r="I90" s="965"/>
      <c r="J90" s="965"/>
      <c r="K90" s="965"/>
      <c r="L90" s="965"/>
      <c r="M90" s="965"/>
      <c r="N90" s="965"/>
      <c r="O90" s="965"/>
      <c r="P90" s="965"/>
      <c r="Q90" s="945"/>
      <c r="R90" s="945"/>
      <c r="S90" s="945"/>
      <c r="T90" s="945"/>
      <c r="U90" s="945"/>
      <c r="V90" s="945"/>
      <c r="W90" s="945"/>
      <c r="X90" s="945"/>
      <c r="Y90" s="945"/>
      <c r="Z90" s="945"/>
      <c r="AA90" s="945"/>
      <c r="AB90" s="945"/>
    </row>
    <row r="91" ht="20.25" customHeight="1">
      <c r="A91" s="964"/>
      <c r="B91" s="965"/>
      <c r="C91" s="965"/>
      <c r="D91" s="966"/>
      <c r="E91" s="967"/>
      <c r="F91" s="965"/>
      <c r="G91" s="965"/>
      <c r="H91" s="965"/>
      <c r="I91" s="965"/>
      <c r="J91" s="965"/>
      <c r="K91" s="965"/>
      <c r="L91" s="965"/>
      <c r="M91" s="965"/>
      <c r="N91" s="965"/>
      <c r="O91" s="965"/>
      <c r="P91" s="965"/>
      <c r="Q91" s="945"/>
      <c r="R91" s="945"/>
      <c r="S91" s="945"/>
      <c r="T91" s="945"/>
      <c r="U91" s="945"/>
      <c r="V91" s="945"/>
      <c r="W91" s="945"/>
      <c r="X91" s="945"/>
      <c r="Y91" s="945"/>
      <c r="Z91" s="945"/>
      <c r="AA91" s="945"/>
      <c r="AB91" s="945"/>
    </row>
    <row r="92" ht="20.25" customHeight="1">
      <c r="A92" s="964"/>
      <c r="B92" s="965"/>
      <c r="C92" s="965"/>
      <c r="D92" s="966"/>
      <c r="E92" s="967"/>
      <c r="F92" s="965"/>
      <c r="G92" s="965"/>
      <c r="H92" s="965"/>
      <c r="I92" s="965"/>
      <c r="J92" s="965"/>
      <c r="K92" s="965"/>
      <c r="L92" s="965"/>
      <c r="M92" s="965"/>
      <c r="N92" s="965"/>
      <c r="O92" s="965"/>
      <c r="P92" s="965"/>
      <c r="Q92" s="945"/>
      <c r="R92" s="945"/>
      <c r="S92" s="945"/>
      <c r="T92" s="945"/>
      <c r="U92" s="945"/>
      <c r="V92" s="945"/>
      <c r="W92" s="945"/>
      <c r="X92" s="945"/>
      <c r="Y92" s="945"/>
      <c r="Z92" s="945"/>
      <c r="AA92" s="945"/>
      <c r="AB92" s="945"/>
    </row>
    <row r="93" ht="20.25" customHeight="1">
      <c r="A93" s="964"/>
      <c r="B93" s="965"/>
      <c r="C93" s="965"/>
      <c r="D93" s="966"/>
      <c r="E93" s="967"/>
      <c r="F93" s="965"/>
      <c r="G93" s="965"/>
      <c r="H93" s="965"/>
      <c r="I93" s="965"/>
      <c r="J93" s="965"/>
      <c r="K93" s="965"/>
      <c r="L93" s="965"/>
      <c r="M93" s="965"/>
      <c r="N93" s="965"/>
      <c r="O93" s="965"/>
      <c r="P93" s="965"/>
      <c r="Q93" s="945"/>
      <c r="R93" s="945"/>
      <c r="S93" s="945"/>
      <c r="T93" s="945"/>
      <c r="U93" s="945"/>
      <c r="V93" s="945"/>
      <c r="W93" s="945"/>
      <c r="X93" s="945"/>
      <c r="Y93" s="945"/>
      <c r="Z93" s="945"/>
      <c r="AA93" s="945"/>
      <c r="AB93" s="945"/>
    </row>
    <row r="94" ht="20.25" customHeight="1">
      <c r="A94" s="964"/>
      <c r="B94" s="965"/>
      <c r="C94" s="965"/>
      <c r="D94" s="966"/>
      <c r="E94" s="967"/>
      <c r="F94" s="965"/>
      <c r="G94" s="965"/>
      <c r="H94" s="965"/>
      <c r="I94" s="965"/>
      <c r="J94" s="965"/>
      <c r="K94" s="965"/>
      <c r="L94" s="965"/>
      <c r="M94" s="965"/>
      <c r="N94" s="965"/>
      <c r="O94" s="965"/>
      <c r="P94" s="965"/>
      <c r="Q94" s="945"/>
      <c r="R94" s="945"/>
      <c r="S94" s="945"/>
      <c r="T94" s="945"/>
      <c r="U94" s="945"/>
      <c r="V94" s="945"/>
      <c r="W94" s="945"/>
      <c r="X94" s="945"/>
      <c r="Y94" s="945"/>
      <c r="Z94" s="945"/>
      <c r="AA94" s="945"/>
      <c r="AB94" s="945"/>
    </row>
    <row r="95" ht="20.25" customHeight="1">
      <c r="A95" s="964"/>
      <c r="B95" s="965"/>
      <c r="C95" s="965"/>
      <c r="D95" s="966"/>
      <c r="E95" s="967"/>
      <c r="F95" s="965"/>
      <c r="G95" s="965"/>
      <c r="H95" s="965"/>
      <c r="I95" s="965"/>
      <c r="J95" s="965"/>
      <c r="K95" s="965"/>
      <c r="L95" s="965"/>
      <c r="M95" s="965"/>
      <c r="N95" s="965"/>
      <c r="O95" s="965"/>
      <c r="P95" s="965"/>
      <c r="Q95" s="945"/>
      <c r="R95" s="945"/>
      <c r="S95" s="945"/>
      <c r="T95" s="945"/>
      <c r="U95" s="945"/>
      <c r="V95" s="945"/>
      <c r="W95" s="945"/>
      <c r="X95" s="945"/>
      <c r="Y95" s="945"/>
      <c r="Z95" s="945"/>
      <c r="AA95" s="945"/>
      <c r="AB95" s="945"/>
    </row>
    <row r="96" ht="20.25" customHeight="1">
      <c r="A96" s="964"/>
      <c r="B96" s="965"/>
      <c r="C96" s="965"/>
      <c r="D96" s="966"/>
      <c r="E96" s="967"/>
      <c r="F96" s="965"/>
      <c r="G96" s="965"/>
      <c r="H96" s="965"/>
      <c r="I96" s="965"/>
      <c r="J96" s="965"/>
      <c r="K96" s="965"/>
      <c r="L96" s="965"/>
      <c r="M96" s="965"/>
      <c r="N96" s="965"/>
      <c r="O96" s="965"/>
      <c r="P96" s="965"/>
      <c r="Q96" s="945"/>
      <c r="R96" s="945"/>
      <c r="S96" s="945"/>
      <c r="T96" s="945"/>
      <c r="U96" s="945"/>
      <c r="V96" s="945"/>
      <c r="W96" s="945"/>
      <c r="X96" s="945"/>
      <c r="Y96" s="945"/>
      <c r="Z96" s="945"/>
      <c r="AA96" s="945"/>
      <c r="AB96" s="945"/>
    </row>
    <row r="97" ht="20.25" customHeight="1">
      <c r="A97" s="964"/>
      <c r="B97" s="965"/>
      <c r="C97" s="965"/>
      <c r="D97" s="966"/>
      <c r="E97" s="967"/>
      <c r="F97" s="965"/>
      <c r="G97" s="965"/>
      <c r="H97" s="965"/>
      <c r="I97" s="965"/>
      <c r="J97" s="965"/>
      <c r="K97" s="965"/>
      <c r="L97" s="965"/>
      <c r="M97" s="965"/>
      <c r="N97" s="965"/>
      <c r="O97" s="965"/>
      <c r="P97" s="965"/>
      <c r="Q97" s="945"/>
      <c r="R97" s="945"/>
      <c r="S97" s="945"/>
      <c r="T97" s="945"/>
      <c r="U97" s="945"/>
      <c r="V97" s="945"/>
      <c r="W97" s="945"/>
      <c r="X97" s="945"/>
      <c r="Y97" s="945"/>
      <c r="Z97" s="945"/>
      <c r="AA97" s="945"/>
      <c r="AB97" s="945"/>
    </row>
    <row r="98" ht="20.25" customHeight="1">
      <c r="A98" s="964"/>
      <c r="B98" s="965"/>
      <c r="C98" s="965"/>
      <c r="D98" s="966"/>
      <c r="E98" s="967"/>
      <c r="F98" s="965"/>
      <c r="G98" s="965"/>
      <c r="H98" s="965"/>
      <c r="I98" s="965"/>
      <c r="J98" s="965"/>
      <c r="K98" s="965"/>
      <c r="L98" s="965"/>
      <c r="M98" s="965"/>
      <c r="N98" s="965"/>
      <c r="O98" s="965"/>
      <c r="P98" s="965"/>
      <c r="Q98" s="945"/>
      <c r="R98" s="945"/>
      <c r="S98" s="945"/>
      <c r="T98" s="945"/>
      <c r="U98" s="945"/>
      <c r="V98" s="945"/>
      <c r="W98" s="945"/>
      <c r="X98" s="945"/>
      <c r="Y98" s="945"/>
      <c r="Z98" s="945"/>
      <c r="AA98" s="945"/>
      <c r="AB98" s="945"/>
    </row>
    <row r="99" ht="20.25" customHeight="1">
      <c r="A99" s="964"/>
      <c r="B99" s="965"/>
      <c r="C99" s="965"/>
      <c r="D99" s="966"/>
      <c r="E99" s="967"/>
      <c r="F99" s="965"/>
      <c r="G99" s="965"/>
      <c r="H99" s="965"/>
      <c r="I99" s="965"/>
      <c r="J99" s="965"/>
      <c r="K99" s="965"/>
      <c r="L99" s="965"/>
      <c r="M99" s="965"/>
      <c r="N99" s="965"/>
      <c r="O99" s="965"/>
      <c r="P99" s="965"/>
      <c r="Q99" s="945"/>
      <c r="R99" s="945"/>
      <c r="S99" s="945"/>
      <c r="T99" s="945"/>
      <c r="U99" s="945"/>
      <c r="V99" s="945"/>
      <c r="W99" s="945"/>
      <c r="X99" s="945"/>
      <c r="Y99" s="945"/>
      <c r="Z99" s="945"/>
      <c r="AA99" s="945"/>
      <c r="AB99" s="945"/>
    </row>
    <row r="100" ht="20.25" customHeight="1">
      <c r="A100" s="964"/>
      <c r="B100" s="965"/>
      <c r="C100" s="965"/>
      <c r="D100" s="966"/>
      <c r="E100" s="967"/>
      <c r="F100" s="965"/>
      <c r="G100" s="965"/>
      <c r="H100" s="965"/>
      <c r="I100" s="965"/>
      <c r="J100" s="965"/>
      <c r="K100" s="965"/>
      <c r="L100" s="965"/>
      <c r="M100" s="965"/>
      <c r="N100" s="965"/>
      <c r="O100" s="965"/>
      <c r="P100" s="965"/>
      <c r="Q100" s="945"/>
      <c r="R100" s="945"/>
      <c r="S100" s="945"/>
      <c r="T100" s="945"/>
      <c r="U100" s="945"/>
      <c r="V100" s="945"/>
      <c r="W100" s="945"/>
      <c r="X100" s="945"/>
      <c r="Y100" s="945"/>
      <c r="Z100" s="945"/>
      <c r="AA100" s="945"/>
      <c r="AB100" s="945"/>
    </row>
    <row r="101" ht="20.25" customHeight="1">
      <c r="A101" s="964"/>
      <c r="B101" s="965"/>
      <c r="C101" s="965"/>
      <c r="D101" s="966"/>
      <c r="E101" s="967"/>
      <c r="F101" s="965"/>
      <c r="G101" s="965"/>
      <c r="H101" s="965"/>
      <c r="I101" s="965"/>
      <c r="J101" s="965"/>
      <c r="K101" s="965"/>
      <c r="L101" s="965"/>
      <c r="M101" s="965"/>
      <c r="N101" s="965"/>
      <c r="O101" s="965"/>
      <c r="P101" s="965"/>
      <c r="Q101" s="945"/>
      <c r="R101" s="945"/>
      <c r="S101" s="945"/>
      <c r="T101" s="945"/>
      <c r="U101" s="945"/>
      <c r="V101" s="945"/>
      <c r="W101" s="945"/>
      <c r="X101" s="945"/>
      <c r="Y101" s="945"/>
      <c r="Z101" s="945"/>
      <c r="AA101" s="945"/>
      <c r="AB101" s="945"/>
    </row>
    <row r="102" ht="20.25" customHeight="1">
      <c r="A102" s="964"/>
      <c r="B102" s="965"/>
      <c r="C102" s="965"/>
      <c r="D102" s="966"/>
      <c r="E102" s="967"/>
      <c r="F102" s="965"/>
      <c r="G102" s="965"/>
      <c r="H102" s="965"/>
      <c r="I102" s="965"/>
      <c r="J102" s="965"/>
      <c r="K102" s="965"/>
      <c r="L102" s="965"/>
      <c r="M102" s="965"/>
      <c r="N102" s="965"/>
      <c r="O102" s="965"/>
      <c r="P102" s="965"/>
      <c r="Q102" s="945"/>
      <c r="R102" s="945"/>
      <c r="S102" s="945"/>
      <c r="T102" s="945"/>
      <c r="U102" s="945"/>
      <c r="V102" s="945"/>
      <c r="W102" s="945"/>
      <c r="X102" s="945"/>
      <c r="Y102" s="945"/>
      <c r="Z102" s="945"/>
      <c r="AA102" s="945"/>
      <c r="AB102" s="945"/>
    </row>
    <row r="103" ht="20.25" customHeight="1">
      <c r="A103" s="964"/>
      <c r="B103" s="965"/>
      <c r="C103" s="965"/>
      <c r="D103" s="966"/>
      <c r="E103" s="967"/>
      <c r="F103" s="965"/>
      <c r="G103" s="965"/>
      <c r="H103" s="965"/>
      <c r="I103" s="965"/>
      <c r="J103" s="965"/>
      <c r="K103" s="965"/>
      <c r="L103" s="965"/>
      <c r="M103" s="965"/>
      <c r="N103" s="965"/>
      <c r="O103" s="965"/>
      <c r="P103" s="965"/>
      <c r="Q103" s="945"/>
      <c r="R103" s="945"/>
      <c r="S103" s="945"/>
      <c r="T103" s="945"/>
      <c r="U103" s="945"/>
      <c r="V103" s="945"/>
      <c r="W103" s="945"/>
      <c r="X103" s="945"/>
      <c r="Y103" s="945"/>
      <c r="Z103" s="945"/>
      <c r="AA103" s="945"/>
      <c r="AB103" s="945"/>
    </row>
    <row r="104" ht="20.25" customHeight="1">
      <c r="A104" s="964"/>
      <c r="B104" s="965"/>
      <c r="C104" s="965"/>
      <c r="D104" s="966"/>
      <c r="E104" s="967"/>
      <c r="F104" s="965"/>
      <c r="G104" s="965"/>
      <c r="H104" s="965"/>
      <c r="I104" s="965"/>
      <c r="J104" s="965"/>
      <c r="K104" s="965"/>
      <c r="L104" s="965"/>
      <c r="M104" s="965"/>
      <c r="N104" s="965"/>
      <c r="O104" s="965"/>
      <c r="P104" s="965"/>
      <c r="Q104" s="945"/>
      <c r="R104" s="945"/>
      <c r="S104" s="945"/>
      <c r="T104" s="945"/>
      <c r="U104" s="945"/>
      <c r="V104" s="945"/>
      <c r="W104" s="945"/>
      <c r="X104" s="945"/>
      <c r="Y104" s="945"/>
      <c r="Z104" s="945"/>
      <c r="AA104" s="945"/>
      <c r="AB104" s="945"/>
    </row>
    <row r="105" ht="20.25" customHeight="1">
      <c r="A105" s="964"/>
      <c r="B105" s="965"/>
      <c r="C105" s="965"/>
      <c r="D105" s="966"/>
      <c r="E105" s="967"/>
      <c r="F105" s="965"/>
      <c r="G105" s="965"/>
      <c r="H105" s="965"/>
      <c r="I105" s="965"/>
      <c r="J105" s="965"/>
      <c r="K105" s="965"/>
      <c r="L105" s="965"/>
      <c r="M105" s="965"/>
      <c r="N105" s="965"/>
      <c r="O105" s="965"/>
      <c r="P105" s="965"/>
      <c r="Q105" s="945"/>
      <c r="R105" s="945"/>
      <c r="S105" s="945"/>
      <c r="T105" s="945"/>
      <c r="U105" s="945"/>
      <c r="V105" s="945"/>
      <c r="W105" s="945"/>
      <c r="X105" s="945"/>
      <c r="Y105" s="945"/>
      <c r="Z105" s="945"/>
      <c r="AA105" s="945"/>
      <c r="AB105" s="945"/>
    </row>
    <row r="106" ht="20.25" customHeight="1">
      <c r="A106" s="964"/>
      <c r="B106" s="965"/>
      <c r="C106" s="965"/>
      <c r="D106" s="966"/>
      <c r="E106" s="967"/>
      <c r="F106" s="965"/>
      <c r="G106" s="965"/>
      <c r="H106" s="965"/>
      <c r="I106" s="965"/>
      <c r="J106" s="965"/>
      <c r="K106" s="965"/>
      <c r="L106" s="965"/>
      <c r="M106" s="965"/>
      <c r="N106" s="965"/>
      <c r="O106" s="965"/>
      <c r="P106" s="965"/>
      <c r="Q106" s="945"/>
      <c r="R106" s="945"/>
      <c r="S106" s="945"/>
      <c r="T106" s="945"/>
      <c r="U106" s="945"/>
      <c r="V106" s="945"/>
      <c r="W106" s="945"/>
      <c r="X106" s="945"/>
      <c r="Y106" s="945"/>
      <c r="Z106" s="945"/>
      <c r="AA106" s="945"/>
      <c r="AB106" s="945"/>
    </row>
    <row r="107" ht="20.25" customHeight="1">
      <c r="A107" s="964"/>
      <c r="B107" s="965"/>
      <c r="C107" s="965"/>
      <c r="D107" s="966"/>
      <c r="E107" s="967"/>
      <c r="F107" s="965"/>
      <c r="G107" s="965"/>
      <c r="H107" s="965"/>
      <c r="I107" s="965"/>
      <c r="J107" s="965"/>
      <c r="K107" s="965"/>
      <c r="L107" s="965"/>
      <c r="M107" s="965"/>
      <c r="N107" s="965"/>
      <c r="O107" s="965"/>
      <c r="P107" s="965"/>
      <c r="Q107" s="945"/>
      <c r="R107" s="945"/>
      <c r="S107" s="945"/>
      <c r="T107" s="945"/>
      <c r="U107" s="945"/>
      <c r="V107" s="945"/>
      <c r="W107" s="945"/>
      <c r="X107" s="945"/>
      <c r="Y107" s="945"/>
      <c r="Z107" s="945"/>
      <c r="AA107" s="945"/>
      <c r="AB107" s="945"/>
    </row>
    <row r="108" ht="20.25" customHeight="1">
      <c r="A108" s="964"/>
      <c r="B108" s="965"/>
      <c r="C108" s="965"/>
      <c r="D108" s="966"/>
      <c r="E108" s="967"/>
      <c r="F108" s="965"/>
      <c r="G108" s="965"/>
      <c r="H108" s="965"/>
      <c r="I108" s="965"/>
      <c r="J108" s="965"/>
      <c r="K108" s="965"/>
      <c r="L108" s="965"/>
      <c r="M108" s="965"/>
      <c r="N108" s="965"/>
      <c r="O108" s="965"/>
      <c r="P108" s="965"/>
      <c r="Q108" s="945"/>
      <c r="R108" s="945"/>
      <c r="S108" s="945"/>
      <c r="T108" s="945"/>
      <c r="U108" s="945"/>
      <c r="V108" s="945"/>
      <c r="W108" s="945"/>
      <c r="X108" s="945"/>
      <c r="Y108" s="945"/>
      <c r="Z108" s="945"/>
      <c r="AA108" s="945"/>
      <c r="AB108" s="945"/>
    </row>
    <row r="109" ht="20.25" customHeight="1">
      <c r="A109" s="964"/>
      <c r="B109" s="965"/>
      <c r="C109" s="965"/>
      <c r="D109" s="966"/>
      <c r="E109" s="967"/>
      <c r="F109" s="965"/>
      <c r="G109" s="965"/>
      <c r="H109" s="965"/>
      <c r="I109" s="965"/>
      <c r="J109" s="965"/>
      <c r="K109" s="965"/>
      <c r="L109" s="965"/>
      <c r="M109" s="965"/>
      <c r="N109" s="965"/>
      <c r="O109" s="965"/>
      <c r="P109" s="965"/>
      <c r="Q109" s="945"/>
      <c r="R109" s="945"/>
      <c r="S109" s="945"/>
      <c r="T109" s="945"/>
      <c r="U109" s="945"/>
      <c r="V109" s="945"/>
      <c r="W109" s="945"/>
      <c r="X109" s="945"/>
      <c r="Y109" s="945"/>
      <c r="Z109" s="945"/>
      <c r="AA109" s="945"/>
      <c r="AB109" s="945"/>
    </row>
    <row r="110" ht="20.25" customHeight="1">
      <c r="A110" s="964"/>
      <c r="B110" s="965"/>
      <c r="C110" s="965"/>
      <c r="D110" s="966"/>
      <c r="E110" s="967"/>
      <c r="F110" s="965"/>
      <c r="G110" s="965"/>
      <c r="H110" s="965"/>
      <c r="I110" s="965"/>
      <c r="J110" s="965"/>
      <c r="K110" s="965"/>
      <c r="L110" s="965"/>
      <c r="M110" s="965"/>
      <c r="N110" s="965"/>
      <c r="O110" s="965"/>
      <c r="P110" s="965"/>
      <c r="Q110" s="945"/>
      <c r="R110" s="945"/>
      <c r="S110" s="945"/>
      <c r="T110" s="945"/>
      <c r="U110" s="945"/>
      <c r="V110" s="945"/>
      <c r="W110" s="945"/>
      <c r="X110" s="945"/>
      <c r="Y110" s="945"/>
      <c r="Z110" s="945"/>
      <c r="AA110" s="945"/>
      <c r="AB110" s="945"/>
    </row>
    <row r="111" ht="20.25" customHeight="1">
      <c r="A111" s="964"/>
      <c r="B111" s="965"/>
      <c r="C111" s="965"/>
      <c r="D111" s="966"/>
      <c r="E111" s="967"/>
      <c r="F111" s="965"/>
      <c r="G111" s="965"/>
      <c r="H111" s="965"/>
      <c r="I111" s="965"/>
      <c r="J111" s="965"/>
      <c r="K111" s="965"/>
      <c r="L111" s="965"/>
      <c r="M111" s="965"/>
      <c r="N111" s="965"/>
      <c r="O111" s="965"/>
      <c r="P111" s="965"/>
      <c r="Q111" s="945"/>
      <c r="R111" s="945"/>
      <c r="S111" s="945"/>
      <c r="T111" s="945"/>
      <c r="U111" s="945"/>
      <c r="V111" s="945"/>
      <c r="W111" s="945"/>
      <c r="X111" s="945"/>
      <c r="Y111" s="945"/>
      <c r="Z111" s="945"/>
      <c r="AA111" s="945"/>
      <c r="AB111" s="945"/>
    </row>
    <row r="112" ht="20.25" customHeight="1">
      <c r="A112" s="964"/>
      <c r="B112" s="965"/>
      <c r="C112" s="965"/>
      <c r="D112" s="966"/>
      <c r="E112" s="967"/>
      <c r="F112" s="965"/>
      <c r="G112" s="965"/>
      <c r="H112" s="965"/>
      <c r="I112" s="965"/>
      <c r="J112" s="965"/>
      <c r="K112" s="965"/>
      <c r="L112" s="965"/>
      <c r="M112" s="965"/>
      <c r="N112" s="965"/>
      <c r="O112" s="965"/>
      <c r="P112" s="965"/>
      <c r="Q112" s="945"/>
      <c r="R112" s="945"/>
      <c r="S112" s="945"/>
      <c r="T112" s="945"/>
      <c r="U112" s="945"/>
      <c r="V112" s="945"/>
      <c r="W112" s="945"/>
      <c r="X112" s="945"/>
      <c r="Y112" s="945"/>
      <c r="Z112" s="945"/>
      <c r="AA112" s="945"/>
      <c r="AB112" s="945"/>
    </row>
    <row r="113" ht="20.25" customHeight="1">
      <c r="A113" s="964"/>
      <c r="B113" s="965"/>
      <c r="C113" s="965"/>
      <c r="D113" s="966"/>
      <c r="E113" s="967"/>
      <c r="F113" s="965"/>
      <c r="G113" s="965"/>
      <c r="H113" s="965"/>
      <c r="I113" s="965"/>
      <c r="J113" s="965"/>
      <c r="K113" s="965"/>
      <c r="L113" s="965"/>
      <c r="M113" s="965"/>
      <c r="N113" s="965"/>
      <c r="O113" s="965"/>
      <c r="P113" s="965"/>
      <c r="Q113" s="945"/>
      <c r="R113" s="945"/>
      <c r="S113" s="945"/>
      <c r="T113" s="945"/>
      <c r="U113" s="945"/>
      <c r="V113" s="945"/>
      <c r="W113" s="945"/>
      <c r="X113" s="945"/>
      <c r="Y113" s="945"/>
      <c r="Z113" s="945"/>
      <c r="AA113" s="945"/>
      <c r="AB113" s="945"/>
    </row>
    <row r="114" ht="20.25" customHeight="1">
      <c r="A114" s="964"/>
      <c r="B114" s="965"/>
      <c r="C114" s="965"/>
      <c r="D114" s="966"/>
      <c r="E114" s="967"/>
      <c r="F114" s="965"/>
      <c r="G114" s="965"/>
      <c r="H114" s="965"/>
      <c r="I114" s="965"/>
      <c r="J114" s="965"/>
      <c r="K114" s="965"/>
      <c r="L114" s="965"/>
      <c r="M114" s="965"/>
      <c r="N114" s="965"/>
      <c r="O114" s="965"/>
      <c r="P114" s="965"/>
      <c r="Q114" s="945"/>
      <c r="R114" s="945"/>
      <c r="S114" s="945"/>
      <c r="T114" s="945"/>
      <c r="U114" s="945"/>
      <c r="V114" s="945"/>
      <c r="W114" s="945"/>
      <c r="X114" s="945"/>
      <c r="Y114" s="945"/>
      <c r="Z114" s="945"/>
      <c r="AA114" s="945"/>
      <c r="AB114" s="945"/>
    </row>
    <row r="115" ht="20.25" customHeight="1">
      <c r="A115" s="964"/>
      <c r="B115" s="965"/>
      <c r="C115" s="965"/>
      <c r="D115" s="966"/>
      <c r="E115" s="967"/>
      <c r="F115" s="965"/>
      <c r="G115" s="965"/>
      <c r="H115" s="965"/>
      <c r="I115" s="965"/>
      <c r="J115" s="965"/>
      <c r="K115" s="965"/>
      <c r="L115" s="965"/>
      <c r="M115" s="965"/>
      <c r="N115" s="965"/>
      <c r="O115" s="965"/>
      <c r="P115" s="965"/>
      <c r="Q115" s="945"/>
      <c r="R115" s="945"/>
      <c r="S115" s="945"/>
      <c r="T115" s="945"/>
      <c r="U115" s="945"/>
      <c r="V115" s="945"/>
      <c r="W115" s="945"/>
      <c r="X115" s="945"/>
      <c r="Y115" s="945"/>
      <c r="Z115" s="945"/>
      <c r="AA115" s="945"/>
      <c r="AB115" s="945"/>
    </row>
    <row r="116" ht="20.25" customHeight="1">
      <c r="A116" s="964"/>
      <c r="B116" s="965"/>
      <c r="C116" s="965"/>
      <c r="D116" s="966"/>
      <c r="E116" s="967"/>
      <c r="F116" s="965"/>
      <c r="G116" s="965"/>
      <c r="H116" s="965"/>
      <c r="I116" s="965"/>
      <c r="J116" s="965"/>
      <c r="K116" s="965"/>
      <c r="L116" s="965"/>
      <c r="M116" s="965"/>
      <c r="N116" s="965"/>
      <c r="O116" s="965"/>
      <c r="P116" s="965"/>
      <c r="Q116" s="945"/>
      <c r="R116" s="945"/>
      <c r="S116" s="945"/>
      <c r="T116" s="945"/>
      <c r="U116" s="945"/>
      <c r="V116" s="945"/>
      <c r="W116" s="945"/>
      <c r="X116" s="945"/>
      <c r="Y116" s="945"/>
      <c r="Z116" s="945"/>
      <c r="AA116" s="945"/>
      <c r="AB116" s="945"/>
    </row>
    <row r="117" ht="20.25" customHeight="1">
      <c r="A117" s="964"/>
      <c r="B117" s="965"/>
      <c r="C117" s="965"/>
      <c r="D117" s="966"/>
      <c r="E117" s="967"/>
      <c r="F117" s="965"/>
      <c r="G117" s="965"/>
      <c r="H117" s="965"/>
      <c r="I117" s="965"/>
      <c r="J117" s="965"/>
      <c r="K117" s="965"/>
      <c r="L117" s="965"/>
      <c r="M117" s="965"/>
      <c r="N117" s="965"/>
      <c r="O117" s="965"/>
      <c r="P117" s="965"/>
      <c r="Q117" s="945"/>
      <c r="R117" s="945"/>
      <c r="S117" s="945"/>
      <c r="T117" s="945"/>
      <c r="U117" s="945"/>
      <c r="V117" s="945"/>
      <c r="W117" s="945"/>
      <c r="X117" s="945"/>
      <c r="Y117" s="945"/>
      <c r="Z117" s="945"/>
      <c r="AA117" s="945"/>
      <c r="AB117" s="945"/>
    </row>
    <row r="118" ht="20.25" customHeight="1">
      <c r="A118" s="964"/>
      <c r="B118" s="965"/>
      <c r="C118" s="965"/>
      <c r="D118" s="966"/>
      <c r="E118" s="967"/>
      <c r="F118" s="965"/>
      <c r="G118" s="965"/>
      <c r="H118" s="965"/>
      <c r="I118" s="965"/>
      <c r="J118" s="965"/>
      <c r="K118" s="965"/>
      <c r="L118" s="965"/>
      <c r="M118" s="965"/>
      <c r="N118" s="965"/>
      <c r="O118" s="965"/>
      <c r="P118" s="965"/>
      <c r="Q118" s="945"/>
      <c r="R118" s="945"/>
      <c r="S118" s="945"/>
      <c r="T118" s="945"/>
      <c r="U118" s="945"/>
      <c r="V118" s="945"/>
      <c r="W118" s="945"/>
      <c r="X118" s="945"/>
      <c r="Y118" s="945"/>
      <c r="Z118" s="945"/>
      <c r="AA118" s="945"/>
      <c r="AB118" s="945"/>
    </row>
    <row r="119" ht="20.25" customHeight="1">
      <c r="A119" s="964"/>
      <c r="B119" s="965"/>
      <c r="C119" s="965"/>
      <c r="D119" s="966"/>
      <c r="E119" s="967"/>
      <c r="F119" s="965"/>
      <c r="G119" s="965"/>
      <c r="H119" s="965"/>
      <c r="I119" s="965"/>
      <c r="J119" s="965"/>
      <c r="K119" s="965"/>
      <c r="L119" s="965"/>
      <c r="M119" s="965"/>
      <c r="N119" s="965"/>
      <c r="O119" s="965"/>
      <c r="P119" s="965"/>
      <c r="Q119" s="945"/>
      <c r="R119" s="945"/>
      <c r="S119" s="945"/>
      <c r="T119" s="945"/>
      <c r="U119" s="945"/>
      <c r="V119" s="945"/>
      <c r="W119" s="945"/>
      <c r="X119" s="945"/>
      <c r="Y119" s="945"/>
      <c r="Z119" s="945"/>
      <c r="AA119" s="945"/>
      <c r="AB119" s="945"/>
    </row>
    <row r="120" ht="20.25" customHeight="1">
      <c r="A120" s="964"/>
      <c r="B120" s="965"/>
      <c r="C120" s="965"/>
      <c r="D120" s="966"/>
      <c r="E120" s="967"/>
      <c r="F120" s="965"/>
      <c r="G120" s="965"/>
      <c r="H120" s="965"/>
      <c r="I120" s="965"/>
      <c r="J120" s="965"/>
      <c r="K120" s="965"/>
      <c r="L120" s="965"/>
      <c r="M120" s="965"/>
      <c r="N120" s="965"/>
      <c r="O120" s="965"/>
      <c r="P120" s="965"/>
      <c r="Q120" s="945"/>
      <c r="R120" s="945"/>
      <c r="S120" s="945"/>
      <c r="T120" s="945"/>
      <c r="U120" s="945"/>
      <c r="V120" s="945"/>
      <c r="W120" s="945"/>
      <c r="X120" s="945"/>
      <c r="Y120" s="945"/>
      <c r="Z120" s="945"/>
      <c r="AA120" s="945"/>
      <c r="AB120" s="945"/>
    </row>
    <row r="121" ht="20.25" customHeight="1">
      <c r="A121" s="964"/>
      <c r="B121" s="965"/>
      <c r="C121" s="965"/>
      <c r="D121" s="966"/>
      <c r="E121" s="967"/>
      <c r="F121" s="965"/>
      <c r="G121" s="965"/>
      <c r="H121" s="965"/>
      <c r="I121" s="965"/>
      <c r="J121" s="965"/>
      <c r="K121" s="965"/>
      <c r="L121" s="965"/>
      <c r="M121" s="965"/>
      <c r="N121" s="965"/>
      <c r="O121" s="965"/>
      <c r="P121" s="965"/>
      <c r="Q121" s="945"/>
      <c r="R121" s="945"/>
      <c r="S121" s="945"/>
      <c r="T121" s="945"/>
      <c r="U121" s="945"/>
      <c r="V121" s="945"/>
      <c r="W121" s="945"/>
      <c r="X121" s="945"/>
      <c r="Y121" s="945"/>
      <c r="Z121" s="945"/>
      <c r="AA121" s="945"/>
      <c r="AB121" s="945"/>
    </row>
    <row r="122" ht="20.25" customHeight="1">
      <c r="A122" s="964"/>
      <c r="B122" s="965"/>
      <c r="C122" s="965"/>
      <c r="D122" s="966"/>
      <c r="E122" s="967"/>
      <c r="F122" s="965"/>
      <c r="G122" s="965"/>
      <c r="H122" s="965"/>
      <c r="I122" s="965"/>
      <c r="J122" s="965"/>
      <c r="K122" s="965"/>
      <c r="L122" s="965"/>
      <c r="M122" s="965"/>
      <c r="N122" s="965"/>
      <c r="O122" s="965"/>
      <c r="P122" s="965"/>
      <c r="Q122" s="945"/>
      <c r="R122" s="945"/>
      <c r="S122" s="945"/>
      <c r="T122" s="945"/>
      <c r="U122" s="945"/>
      <c r="V122" s="945"/>
      <c r="W122" s="945"/>
      <c r="X122" s="945"/>
      <c r="Y122" s="945"/>
      <c r="Z122" s="945"/>
      <c r="AA122" s="945"/>
      <c r="AB122" s="945"/>
    </row>
    <row r="123" ht="20.25" customHeight="1">
      <c r="A123" s="964"/>
      <c r="B123" s="965"/>
      <c r="C123" s="965"/>
      <c r="D123" s="966"/>
      <c r="E123" s="967"/>
      <c r="F123" s="965"/>
      <c r="G123" s="965"/>
      <c r="H123" s="965"/>
      <c r="I123" s="965"/>
      <c r="J123" s="965"/>
      <c r="K123" s="965"/>
      <c r="L123" s="965"/>
      <c r="M123" s="965"/>
      <c r="N123" s="965"/>
      <c r="O123" s="965"/>
      <c r="P123" s="965"/>
      <c r="Q123" s="945"/>
      <c r="R123" s="945"/>
      <c r="S123" s="945"/>
      <c r="T123" s="945"/>
      <c r="U123" s="945"/>
      <c r="V123" s="945"/>
      <c r="W123" s="945"/>
      <c r="X123" s="945"/>
      <c r="Y123" s="945"/>
      <c r="Z123" s="945"/>
      <c r="AA123" s="945"/>
      <c r="AB123" s="945"/>
    </row>
    <row r="124" ht="20.25" customHeight="1">
      <c r="A124" s="964"/>
      <c r="B124" s="965"/>
      <c r="C124" s="965"/>
      <c r="D124" s="966"/>
      <c r="E124" s="967"/>
      <c r="F124" s="965"/>
      <c r="G124" s="965"/>
      <c r="H124" s="965"/>
      <c r="I124" s="965"/>
      <c r="J124" s="965"/>
      <c r="K124" s="965"/>
      <c r="L124" s="965"/>
      <c r="M124" s="965"/>
      <c r="N124" s="965"/>
      <c r="O124" s="965"/>
      <c r="P124" s="965"/>
      <c r="Q124" s="945"/>
      <c r="R124" s="945"/>
      <c r="S124" s="945"/>
      <c r="T124" s="945"/>
      <c r="U124" s="945"/>
      <c r="V124" s="945"/>
      <c r="W124" s="945"/>
      <c r="X124" s="945"/>
      <c r="Y124" s="945"/>
      <c r="Z124" s="945"/>
      <c r="AA124" s="945"/>
      <c r="AB124" s="945"/>
    </row>
    <row r="125" ht="20.25" customHeight="1">
      <c r="A125" s="964"/>
      <c r="B125" s="965"/>
      <c r="C125" s="965"/>
      <c r="D125" s="966"/>
      <c r="E125" s="967"/>
      <c r="F125" s="965"/>
      <c r="G125" s="965"/>
      <c r="H125" s="965"/>
      <c r="I125" s="965"/>
      <c r="J125" s="965"/>
      <c r="K125" s="965"/>
      <c r="L125" s="965"/>
      <c r="M125" s="965"/>
      <c r="N125" s="965"/>
      <c r="O125" s="965"/>
      <c r="P125" s="965"/>
      <c r="Q125" s="945"/>
      <c r="R125" s="945"/>
      <c r="S125" s="945"/>
      <c r="T125" s="945"/>
      <c r="U125" s="945"/>
      <c r="V125" s="945"/>
      <c r="W125" s="945"/>
      <c r="X125" s="945"/>
      <c r="Y125" s="945"/>
      <c r="Z125" s="945"/>
      <c r="AA125" s="945"/>
      <c r="AB125" s="945"/>
    </row>
    <row r="126" ht="20.25" customHeight="1">
      <c r="A126" s="964"/>
      <c r="B126" s="965"/>
      <c r="C126" s="965"/>
      <c r="D126" s="966"/>
      <c r="E126" s="967"/>
      <c r="F126" s="965"/>
      <c r="G126" s="965"/>
      <c r="H126" s="965"/>
      <c r="I126" s="965"/>
      <c r="J126" s="965"/>
      <c r="K126" s="965"/>
      <c r="L126" s="965"/>
      <c r="M126" s="965"/>
      <c r="N126" s="965"/>
      <c r="O126" s="965"/>
      <c r="P126" s="965"/>
      <c r="Q126" s="945"/>
      <c r="R126" s="945"/>
      <c r="S126" s="945"/>
      <c r="T126" s="945"/>
      <c r="U126" s="945"/>
      <c r="V126" s="945"/>
      <c r="W126" s="945"/>
      <c r="X126" s="945"/>
      <c r="Y126" s="945"/>
      <c r="Z126" s="945"/>
      <c r="AA126" s="945"/>
      <c r="AB126" s="945"/>
    </row>
    <row r="127" ht="20.25" customHeight="1">
      <c r="A127" s="964"/>
      <c r="B127" s="965"/>
      <c r="C127" s="965"/>
      <c r="D127" s="966"/>
      <c r="E127" s="967"/>
      <c r="F127" s="965"/>
      <c r="G127" s="965"/>
      <c r="H127" s="965"/>
      <c r="I127" s="965"/>
      <c r="J127" s="965"/>
      <c r="K127" s="965"/>
      <c r="L127" s="965"/>
      <c r="M127" s="965"/>
      <c r="N127" s="965"/>
      <c r="O127" s="965"/>
      <c r="P127" s="965"/>
      <c r="Q127" s="945"/>
      <c r="R127" s="945"/>
      <c r="S127" s="945"/>
      <c r="T127" s="945"/>
      <c r="U127" s="945"/>
      <c r="V127" s="945"/>
      <c r="W127" s="945"/>
      <c r="X127" s="945"/>
      <c r="Y127" s="945"/>
      <c r="Z127" s="945"/>
      <c r="AA127" s="945"/>
      <c r="AB127" s="945"/>
    </row>
    <row r="128" ht="20.25" customHeight="1">
      <c r="A128" s="964"/>
      <c r="B128" s="965"/>
      <c r="C128" s="965"/>
      <c r="D128" s="966"/>
      <c r="E128" s="967"/>
      <c r="F128" s="965"/>
      <c r="G128" s="965"/>
      <c r="H128" s="965"/>
      <c r="I128" s="965"/>
      <c r="J128" s="965"/>
      <c r="K128" s="965"/>
      <c r="L128" s="965"/>
      <c r="M128" s="965"/>
      <c r="N128" s="965"/>
      <c r="O128" s="965"/>
      <c r="P128" s="965"/>
      <c r="Q128" s="945"/>
      <c r="R128" s="945"/>
      <c r="S128" s="945"/>
      <c r="T128" s="945"/>
      <c r="U128" s="945"/>
      <c r="V128" s="945"/>
      <c r="W128" s="945"/>
      <c r="X128" s="945"/>
      <c r="Y128" s="945"/>
      <c r="Z128" s="945"/>
      <c r="AA128" s="945"/>
      <c r="AB128" s="945"/>
    </row>
    <row r="129" ht="20.25" customHeight="1">
      <c r="A129" s="964"/>
      <c r="B129" s="965"/>
      <c r="C129" s="965"/>
      <c r="D129" s="966"/>
      <c r="E129" s="967"/>
      <c r="F129" s="965"/>
      <c r="G129" s="965"/>
      <c r="H129" s="965"/>
      <c r="I129" s="965"/>
      <c r="J129" s="965"/>
      <c r="K129" s="965"/>
      <c r="L129" s="965"/>
      <c r="M129" s="965"/>
      <c r="N129" s="965"/>
      <c r="O129" s="965"/>
      <c r="P129" s="965"/>
      <c r="Q129" s="945"/>
      <c r="R129" s="945"/>
      <c r="S129" s="945"/>
      <c r="T129" s="945"/>
      <c r="U129" s="945"/>
      <c r="V129" s="945"/>
      <c r="W129" s="945"/>
      <c r="X129" s="945"/>
      <c r="Y129" s="945"/>
      <c r="Z129" s="945"/>
      <c r="AA129" s="945"/>
      <c r="AB129" s="945"/>
    </row>
    <row r="130" ht="20.25" customHeight="1">
      <c r="A130" s="964"/>
      <c r="B130" s="965"/>
      <c r="C130" s="965"/>
      <c r="D130" s="966"/>
      <c r="E130" s="967"/>
      <c r="F130" s="965"/>
      <c r="G130" s="965"/>
      <c r="H130" s="965"/>
      <c r="I130" s="965"/>
      <c r="J130" s="965"/>
      <c r="K130" s="965"/>
      <c r="L130" s="965"/>
      <c r="M130" s="965"/>
      <c r="N130" s="965"/>
      <c r="O130" s="965"/>
      <c r="P130" s="965"/>
      <c r="Q130" s="945"/>
      <c r="R130" s="945"/>
      <c r="S130" s="945"/>
      <c r="T130" s="945"/>
      <c r="U130" s="945"/>
      <c r="V130" s="945"/>
      <c r="W130" s="945"/>
      <c r="X130" s="945"/>
      <c r="Y130" s="945"/>
      <c r="Z130" s="945"/>
      <c r="AA130" s="945"/>
      <c r="AB130" s="945"/>
    </row>
    <row r="131" ht="20.25" customHeight="1">
      <c r="A131" s="964"/>
      <c r="B131" s="965"/>
      <c r="C131" s="965"/>
      <c r="D131" s="966"/>
      <c r="E131" s="967"/>
      <c r="F131" s="965"/>
      <c r="G131" s="965"/>
      <c r="H131" s="965"/>
      <c r="I131" s="965"/>
      <c r="J131" s="965"/>
      <c r="K131" s="965"/>
      <c r="L131" s="965"/>
      <c r="M131" s="965"/>
      <c r="N131" s="965"/>
      <c r="O131" s="965"/>
      <c r="P131" s="965"/>
      <c r="Q131" s="945"/>
      <c r="R131" s="945"/>
      <c r="S131" s="945"/>
      <c r="T131" s="945"/>
      <c r="U131" s="945"/>
      <c r="V131" s="945"/>
      <c r="W131" s="945"/>
      <c r="X131" s="945"/>
      <c r="Y131" s="945"/>
      <c r="Z131" s="945"/>
      <c r="AA131" s="945"/>
      <c r="AB131" s="945"/>
    </row>
    <row r="132" ht="20.25" customHeight="1">
      <c r="A132" s="964"/>
      <c r="B132" s="965"/>
      <c r="C132" s="965"/>
      <c r="D132" s="966"/>
      <c r="E132" s="967"/>
      <c r="F132" s="965"/>
      <c r="G132" s="965"/>
      <c r="H132" s="965"/>
      <c r="I132" s="965"/>
      <c r="J132" s="965"/>
      <c r="K132" s="965"/>
      <c r="L132" s="965"/>
      <c r="M132" s="965"/>
      <c r="N132" s="965"/>
      <c r="O132" s="965"/>
      <c r="P132" s="965"/>
      <c r="Q132" s="945"/>
      <c r="R132" s="945"/>
      <c r="S132" s="945"/>
      <c r="T132" s="945"/>
      <c r="U132" s="945"/>
      <c r="V132" s="945"/>
      <c r="W132" s="945"/>
      <c r="X132" s="945"/>
      <c r="Y132" s="945"/>
      <c r="Z132" s="945"/>
      <c r="AA132" s="945"/>
      <c r="AB132" s="945"/>
    </row>
    <row r="133" ht="20.25" customHeight="1">
      <c r="A133" s="964"/>
      <c r="B133" s="965"/>
      <c r="C133" s="965"/>
      <c r="D133" s="966"/>
      <c r="E133" s="967"/>
      <c r="F133" s="965"/>
      <c r="G133" s="965"/>
      <c r="H133" s="965"/>
      <c r="I133" s="965"/>
      <c r="J133" s="965"/>
      <c r="K133" s="965"/>
      <c r="L133" s="965"/>
      <c r="M133" s="965"/>
      <c r="N133" s="965"/>
      <c r="O133" s="965"/>
      <c r="P133" s="965"/>
      <c r="Q133" s="945"/>
      <c r="R133" s="945"/>
      <c r="S133" s="945"/>
      <c r="T133" s="945"/>
      <c r="U133" s="945"/>
      <c r="V133" s="945"/>
      <c r="W133" s="945"/>
      <c r="X133" s="945"/>
      <c r="Y133" s="945"/>
      <c r="Z133" s="945"/>
      <c r="AA133" s="945"/>
      <c r="AB133" s="945"/>
    </row>
    <row r="134" ht="20.25" customHeight="1">
      <c r="A134" s="964"/>
      <c r="B134" s="965"/>
      <c r="C134" s="965"/>
      <c r="D134" s="966"/>
      <c r="E134" s="967"/>
      <c r="F134" s="965"/>
      <c r="G134" s="965"/>
      <c r="H134" s="965"/>
      <c r="I134" s="965"/>
      <c r="J134" s="965"/>
      <c r="K134" s="965"/>
      <c r="L134" s="965"/>
      <c r="M134" s="965"/>
      <c r="N134" s="965"/>
      <c r="O134" s="965"/>
      <c r="P134" s="965"/>
      <c r="Q134" s="945"/>
      <c r="R134" s="945"/>
      <c r="S134" s="945"/>
      <c r="T134" s="945"/>
      <c r="U134" s="945"/>
      <c r="V134" s="945"/>
      <c r="W134" s="945"/>
      <c r="X134" s="945"/>
      <c r="Y134" s="945"/>
      <c r="Z134" s="945"/>
      <c r="AA134" s="945"/>
      <c r="AB134" s="945"/>
    </row>
    <row r="135" ht="20.25" customHeight="1">
      <c r="A135" s="964"/>
      <c r="B135" s="965"/>
      <c r="C135" s="965"/>
      <c r="D135" s="966"/>
      <c r="E135" s="967"/>
      <c r="F135" s="965"/>
      <c r="G135" s="965"/>
      <c r="H135" s="965"/>
      <c r="I135" s="965"/>
      <c r="J135" s="965"/>
      <c r="K135" s="965"/>
      <c r="L135" s="965"/>
      <c r="M135" s="965"/>
      <c r="N135" s="965"/>
      <c r="O135" s="965"/>
      <c r="P135" s="965"/>
      <c r="Q135" s="945"/>
      <c r="R135" s="945"/>
      <c r="S135" s="945"/>
      <c r="T135" s="945"/>
      <c r="U135" s="945"/>
      <c r="V135" s="945"/>
      <c r="W135" s="945"/>
      <c r="X135" s="945"/>
      <c r="Y135" s="945"/>
      <c r="Z135" s="945"/>
      <c r="AA135" s="945"/>
      <c r="AB135" s="945"/>
    </row>
    <row r="136" ht="20.25" customHeight="1">
      <c r="A136" s="964"/>
      <c r="B136" s="965"/>
      <c r="C136" s="965"/>
      <c r="D136" s="966"/>
      <c r="E136" s="967"/>
      <c r="F136" s="965"/>
      <c r="G136" s="965"/>
      <c r="H136" s="965"/>
      <c r="I136" s="965"/>
      <c r="J136" s="965"/>
      <c r="K136" s="965"/>
      <c r="L136" s="965"/>
      <c r="M136" s="965"/>
      <c r="N136" s="965"/>
      <c r="O136" s="965"/>
      <c r="P136" s="965"/>
      <c r="Q136" s="945"/>
      <c r="R136" s="945"/>
      <c r="S136" s="945"/>
      <c r="T136" s="945"/>
      <c r="U136" s="945"/>
      <c r="V136" s="945"/>
      <c r="W136" s="945"/>
      <c r="X136" s="945"/>
      <c r="Y136" s="945"/>
      <c r="Z136" s="945"/>
      <c r="AA136" s="945"/>
      <c r="AB136" s="945"/>
    </row>
    <row r="137" ht="20.25" customHeight="1">
      <c r="A137" s="964"/>
      <c r="B137" s="965"/>
      <c r="C137" s="965"/>
      <c r="D137" s="966"/>
      <c r="E137" s="967"/>
      <c r="F137" s="965"/>
      <c r="G137" s="965"/>
      <c r="H137" s="965"/>
      <c r="I137" s="965"/>
      <c r="J137" s="965"/>
      <c r="K137" s="965"/>
      <c r="L137" s="965"/>
      <c r="M137" s="965"/>
      <c r="N137" s="965"/>
      <c r="O137" s="965"/>
      <c r="P137" s="965"/>
      <c r="Q137" s="945"/>
      <c r="R137" s="945"/>
      <c r="S137" s="945"/>
      <c r="T137" s="945"/>
      <c r="U137" s="945"/>
      <c r="V137" s="945"/>
      <c r="W137" s="945"/>
      <c r="X137" s="945"/>
      <c r="Y137" s="945"/>
      <c r="Z137" s="945"/>
      <c r="AA137" s="945"/>
      <c r="AB137" s="945"/>
    </row>
    <row r="138" ht="20.25" customHeight="1">
      <c r="A138" s="964"/>
      <c r="B138" s="965"/>
      <c r="C138" s="965"/>
      <c r="D138" s="966"/>
      <c r="E138" s="967"/>
      <c r="F138" s="965"/>
      <c r="G138" s="965"/>
      <c r="H138" s="965"/>
      <c r="I138" s="965"/>
      <c r="J138" s="965"/>
      <c r="K138" s="965"/>
      <c r="L138" s="965"/>
      <c r="M138" s="965"/>
      <c r="N138" s="965"/>
      <c r="O138" s="965"/>
      <c r="P138" s="965"/>
      <c r="Q138" s="945"/>
      <c r="R138" s="945"/>
      <c r="S138" s="945"/>
      <c r="T138" s="945"/>
      <c r="U138" s="945"/>
      <c r="V138" s="945"/>
      <c r="W138" s="945"/>
      <c r="X138" s="945"/>
      <c r="Y138" s="945"/>
      <c r="Z138" s="945"/>
      <c r="AA138" s="945"/>
      <c r="AB138" s="945"/>
    </row>
    <row r="139" ht="20.25" customHeight="1">
      <c r="A139" s="964"/>
      <c r="B139" s="965"/>
      <c r="C139" s="965"/>
      <c r="D139" s="966"/>
      <c r="E139" s="967"/>
      <c r="F139" s="965"/>
      <c r="G139" s="965"/>
      <c r="H139" s="965"/>
      <c r="I139" s="965"/>
      <c r="J139" s="965"/>
      <c r="K139" s="965"/>
      <c r="L139" s="965"/>
      <c r="M139" s="965"/>
      <c r="N139" s="965"/>
      <c r="O139" s="965"/>
      <c r="P139" s="965"/>
      <c r="Q139" s="945"/>
      <c r="R139" s="945"/>
      <c r="S139" s="945"/>
      <c r="T139" s="945"/>
      <c r="U139" s="945"/>
      <c r="V139" s="945"/>
      <c r="W139" s="945"/>
      <c r="X139" s="945"/>
      <c r="Y139" s="945"/>
      <c r="Z139" s="945"/>
      <c r="AA139" s="945"/>
      <c r="AB139" s="945"/>
    </row>
    <row r="140" ht="20.25" customHeight="1">
      <c r="A140" s="964"/>
      <c r="B140" s="965"/>
      <c r="C140" s="965"/>
      <c r="D140" s="966"/>
      <c r="E140" s="967"/>
      <c r="F140" s="965"/>
      <c r="G140" s="965"/>
      <c r="H140" s="965"/>
      <c r="I140" s="965"/>
      <c r="J140" s="965"/>
      <c r="K140" s="965"/>
      <c r="L140" s="965"/>
      <c r="M140" s="965"/>
      <c r="N140" s="965"/>
      <c r="O140" s="965"/>
      <c r="P140" s="965"/>
      <c r="Q140" s="945"/>
      <c r="R140" s="945"/>
      <c r="S140" s="945"/>
      <c r="T140" s="945"/>
      <c r="U140" s="945"/>
      <c r="V140" s="945"/>
      <c r="W140" s="945"/>
      <c r="X140" s="945"/>
      <c r="Y140" s="945"/>
      <c r="Z140" s="945"/>
      <c r="AA140" s="945"/>
      <c r="AB140" s="945"/>
    </row>
    <row r="141" ht="20.25" customHeight="1">
      <c r="A141" s="964"/>
      <c r="B141" s="965"/>
      <c r="C141" s="965"/>
      <c r="D141" s="966"/>
      <c r="E141" s="967"/>
      <c r="F141" s="965"/>
      <c r="G141" s="965"/>
      <c r="H141" s="965"/>
      <c r="I141" s="965"/>
      <c r="J141" s="965"/>
      <c r="K141" s="965"/>
      <c r="L141" s="965"/>
      <c r="M141" s="965"/>
      <c r="N141" s="965"/>
      <c r="O141" s="965"/>
      <c r="P141" s="965"/>
      <c r="Q141" s="945"/>
      <c r="R141" s="945"/>
      <c r="S141" s="945"/>
      <c r="T141" s="945"/>
      <c r="U141" s="945"/>
      <c r="V141" s="945"/>
      <c r="W141" s="945"/>
      <c r="X141" s="945"/>
      <c r="Y141" s="945"/>
      <c r="Z141" s="945"/>
      <c r="AA141" s="945"/>
      <c r="AB141" s="945"/>
    </row>
    <row r="142" ht="20.25" customHeight="1">
      <c r="A142" s="964"/>
      <c r="B142" s="965"/>
      <c r="C142" s="965"/>
      <c r="D142" s="966"/>
      <c r="E142" s="967"/>
      <c r="F142" s="965"/>
      <c r="G142" s="965"/>
      <c r="H142" s="965"/>
      <c r="I142" s="965"/>
      <c r="J142" s="965"/>
      <c r="K142" s="965"/>
      <c r="L142" s="965"/>
      <c r="M142" s="965"/>
      <c r="N142" s="965"/>
      <c r="O142" s="965"/>
      <c r="P142" s="965"/>
      <c r="Q142" s="945"/>
      <c r="R142" s="945"/>
      <c r="S142" s="945"/>
      <c r="T142" s="945"/>
      <c r="U142" s="945"/>
      <c r="V142" s="945"/>
      <c r="W142" s="945"/>
      <c r="X142" s="945"/>
      <c r="Y142" s="945"/>
      <c r="Z142" s="945"/>
      <c r="AA142" s="945"/>
      <c r="AB142" s="945"/>
    </row>
    <row r="143" ht="20.25" customHeight="1">
      <c r="A143" s="964"/>
      <c r="B143" s="965"/>
      <c r="C143" s="965"/>
      <c r="D143" s="966"/>
      <c r="E143" s="967"/>
      <c r="F143" s="965"/>
      <c r="G143" s="965"/>
      <c r="H143" s="965"/>
      <c r="I143" s="965"/>
      <c r="J143" s="965"/>
      <c r="K143" s="965"/>
      <c r="L143" s="965"/>
      <c r="M143" s="965"/>
      <c r="N143" s="965"/>
      <c r="O143" s="965"/>
      <c r="P143" s="965"/>
      <c r="Q143" s="945"/>
      <c r="R143" s="945"/>
      <c r="S143" s="945"/>
      <c r="T143" s="945"/>
      <c r="U143" s="945"/>
      <c r="V143" s="945"/>
      <c r="W143" s="945"/>
      <c r="X143" s="945"/>
      <c r="Y143" s="945"/>
      <c r="Z143" s="945"/>
      <c r="AA143" s="945"/>
      <c r="AB143" s="945"/>
    </row>
    <row r="144" ht="20.25" customHeight="1">
      <c r="A144" s="964"/>
      <c r="B144" s="965"/>
      <c r="C144" s="965"/>
      <c r="D144" s="966"/>
      <c r="E144" s="967"/>
      <c r="F144" s="965"/>
      <c r="G144" s="965"/>
      <c r="H144" s="965"/>
      <c r="I144" s="965"/>
      <c r="J144" s="965"/>
      <c r="K144" s="965"/>
      <c r="L144" s="965"/>
      <c r="M144" s="965"/>
      <c r="N144" s="965"/>
      <c r="O144" s="965"/>
      <c r="P144" s="965"/>
      <c r="Q144" s="945"/>
      <c r="R144" s="945"/>
      <c r="S144" s="945"/>
      <c r="T144" s="945"/>
      <c r="U144" s="945"/>
      <c r="V144" s="945"/>
      <c r="W144" s="945"/>
      <c r="X144" s="945"/>
      <c r="Y144" s="945"/>
      <c r="Z144" s="945"/>
      <c r="AA144" s="945"/>
      <c r="AB144" s="945"/>
    </row>
    <row r="145" ht="20.25" customHeight="1">
      <c r="A145" s="964"/>
      <c r="B145" s="965"/>
      <c r="C145" s="965"/>
      <c r="D145" s="966"/>
      <c r="E145" s="967"/>
      <c r="F145" s="965"/>
      <c r="G145" s="965"/>
      <c r="H145" s="965"/>
      <c r="I145" s="965"/>
      <c r="J145" s="965"/>
      <c r="K145" s="965"/>
      <c r="L145" s="965"/>
      <c r="M145" s="965"/>
      <c r="N145" s="965"/>
      <c r="O145" s="965"/>
      <c r="P145" s="965"/>
      <c r="Q145" s="945"/>
      <c r="R145" s="945"/>
      <c r="S145" s="945"/>
      <c r="T145" s="945"/>
      <c r="U145" s="945"/>
      <c r="V145" s="945"/>
      <c r="W145" s="945"/>
      <c r="X145" s="945"/>
      <c r="Y145" s="945"/>
      <c r="Z145" s="945"/>
      <c r="AA145" s="945"/>
      <c r="AB145" s="945"/>
    </row>
    <row r="146" ht="20.25" customHeight="1">
      <c r="A146" s="964"/>
      <c r="B146" s="965"/>
      <c r="C146" s="965"/>
      <c r="D146" s="966"/>
      <c r="E146" s="967"/>
      <c r="F146" s="965"/>
      <c r="G146" s="965"/>
      <c r="H146" s="965"/>
      <c r="I146" s="965"/>
      <c r="J146" s="965"/>
      <c r="K146" s="965"/>
      <c r="L146" s="965"/>
      <c r="M146" s="965"/>
      <c r="N146" s="965"/>
      <c r="O146" s="965"/>
      <c r="P146" s="965"/>
      <c r="Q146" s="945"/>
      <c r="R146" s="945"/>
      <c r="S146" s="945"/>
      <c r="T146" s="945"/>
      <c r="U146" s="945"/>
      <c r="V146" s="945"/>
      <c r="W146" s="945"/>
      <c r="X146" s="945"/>
      <c r="Y146" s="945"/>
      <c r="Z146" s="945"/>
      <c r="AA146" s="945"/>
      <c r="AB146" s="945"/>
    </row>
    <row r="147" ht="20.25" customHeight="1">
      <c r="A147" s="964"/>
      <c r="B147" s="965"/>
      <c r="C147" s="965"/>
      <c r="D147" s="966"/>
      <c r="E147" s="967"/>
      <c r="F147" s="965"/>
      <c r="G147" s="965"/>
      <c r="H147" s="965"/>
      <c r="I147" s="965"/>
      <c r="J147" s="965"/>
      <c r="K147" s="965"/>
      <c r="L147" s="965"/>
      <c r="M147" s="965"/>
      <c r="N147" s="965"/>
      <c r="O147" s="965"/>
      <c r="P147" s="965"/>
      <c r="Q147" s="945"/>
      <c r="R147" s="945"/>
      <c r="S147" s="945"/>
      <c r="T147" s="945"/>
      <c r="U147" s="945"/>
      <c r="V147" s="945"/>
      <c r="W147" s="945"/>
      <c r="X147" s="945"/>
      <c r="Y147" s="945"/>
      <c r="Z147" s="945"/>
      <c r="AA147" s="945"/>
      <c r="AB147" s="945"/>
    </row>
    <row r="148" ht="20.25" customHeight="1">
      <c r="A148" s="964"/>
      <c r="B148" s="965"/>
      <c r="C148" s="965"/>
      <c r="D148" s="966"/>
      <c r="E148" s="967"/>
      <c r="F148" s="965"/>
      <c r="G148" s="965"/>
      <c r="H148" s="965"/>
      <c r="I148" s="965"/>
      <c r="J148" s="965"/>
      <c r="K148" s="965"/>
      <c r="L148" s="965"/>
      <c r="M148" s="965"/>
      <c r="N148" s="965"/>
      <c r="O148" s="965"/>
      <c r="P148" s="965"/>
      <c r="Q148" s="945"/>
      <c r="R148" s="945"/>
      <c r="S148" s="945"/>
      <c r="T148" s="945"/>
      <c r="U148" s="945"/>
      <c r="V148" s="945"/>
      <c r="W148" s="945"/>
      <c r="X148" s="945"/>
      <c r="Y148" s="945"/>
      <c r="Z148" s="945"/>
      <c r="AA148" s="945"/>
      <c r="AB148" s="945"/>
    </row>
    <row r="149" ht="20.25" customHeight="1">
      <c r="A149" s="964"/>
      <c r="B149" s="965"/>
      <c r="C149" s="965"/>
      <c r="D149" s="966"/>
      <c r="E149" s="967"/>
      <c r="F149" s="965"/>
      <c r="G149" s="965"/>
      <c r="H149" s="965"/>
      <c r="I149" s="965"/>
      <c r="J149" s="965"/>
      <c r="K149" s="965"/>
      <c r="L149" s="965"/>
      <c r="M149" s="965"/>
      <c r="N149" s="965"/>
      <c r="O149" s="965"/>
      <c r="P149" s="965"/>
      <c r="Q149" s="945"/>
      <c r="R149" s="945"/>
      <c r="S149" s="945"/>
      <c r="T149" s="945"/>
      <c r="U149" s="945"/>
      <c r="V149" s="945"/>
      <c r="W149" s="945"/>
      <c r="X149" s="945"/>
      <c r="Y149" s="945"/>
      <c r="Z149" s="945"/>
      <c r="AA149" s="945"/>
      <c r="AB149" s="945"/>
    </row>
    <row r="150" ht="20.25" customHeight="1">
      <c r="A150" s="964"/>
      <c r="B150" s="965"/>
      <c r="C150" s="965"/>
      <c r="D150" s="966"/>
      <c r="E150" s="967"/>
      <c r="F150" s="965"/>
      <c r="G150" s="965"/>
      <c r="H150" s="965"/>
      <c r="I150" s="965"/>
      <c r="J150" s="965"/>
      <c r="K150" s="965"/>
      <c r="L150" s="965"/>
      <c r="M150" s="965"/>
      <c r="N150" s="965"/>
      <c r="O150" s="965"/>
      <c r="P150" s="965"/>
      <c r="Q150" s="945"/>
      <c r="R150" s="945"/>
      <c r="S150" s="945"/>
      <c r="T150" s="945"/>
      <c r="U150" s="945"/>
      <c r="V150" s="945"/>
      <c r="W150" s="945"/>
      <c r="X150" s="945"/>
      <c r="Y150" s="945"/>
      <c r="Z150" s="945"/>
      <c r="AA150" s="945"/>
      <c r="AB150" s="945"/>
    </row>
    <row r="151" ht="20.25" customHeight="1">
      <c r="A151" s="964"/>
      <c r="B151" s="965"/>
      <c r="C151" s="965"/>
      <c r="D151" s="966"/>
      <c r="E151" s="967"/>
      <c r="F151" s="965"/>
      <c r="G151" s="965"/>
      <c r="H151" s="965"/>
      <c r="I151" s="965"/>
      <c r="J151" s="965"/>
      <c r="K151" s="965"/>
      <c r="L151" s="965"/>
      <c r="M151" s="965"/>
      <c r="N151" s="965"/>
      <c r="O151" s="965"/>
      <c r="P151" s="965"/>
      <c r="Q151" s="945"/>
      <c r="R151" s="945"/>
      <c r="S151" s="945"/>
      <c r="T151" s="945"/>
      <c r="U151" s="945"/>
      <c r="V151" s="945"/>
      <c r="W151" s="945"/>
      <c r="X151" s="945"/>
      <c r="Y151" s="945"/>
      <c r="Z151" s="945"/>
      <c r="AA151" s="945"/>
      <c r="AB151" s="945"/>
    </row>
    <row r="152" ht="20.25" customHeight="1">
      <c r="A152" s="964"/>
      <c r="B152" s="965"/>
      <c r="C152" s="965"/>
      <c r="D152" s="966"/>
      <c r="E152" s="967"/>
      <c r="F152" s="965"/>
      <c r="G152" s="965"/>
      <c r="H152" s="965"/>
      <c r="I152" s="965"/>
      <c r="J152" s="965"/>
      <c r="K152" s="965"/>
      <c r="L152" s="965"/>
      <c r="M152" s="965"/>
      <c r="N152" s="965"/>
      <c r="O152" s="965"/>
      <c r="P152" s="965"/>
      <c r="Q152" s="945"/>
      <c r="R152" s="945"/>
      <c r="S152" s="945"/>
      <c r="T152" s="945"/>
      <c r="U152" s="945"/>
      <c r="V152" s="945"/>
      <c r="W152" s="945"/>
      <c r="X152" s="945"/>
      <c r="Y152" s="945"/>
      <c r="Z152" s="945"/>
      <c r="AA152" s="945"/>
      <c r="AB152" s="945"/>
    </row>
    <row r="153" ht="20.25" customHeight="1">
      <c r="A153" s="964"/>
      <c r="B153" s="965"/>
      <c r="C153" s="965"/>
      <c r="D153" s="966"/>
      <c r="E153" s="967"/>
      <c r="F153" s="965"/>
      <c r="G153" s="965"/>
      <c r="H153" s="965"/>
      <c r="I153" s="965"/>
      <c r="J153" s="965"/>
      <c r="K153" s="965"/>
      <c r="L153" s="965"/>
      <c r="M153" s="965"/>
      <c r="N153" s="965"/>
      <c r="O153" s="965"/>
      <c r="P153" s="965"/>
      <c r="Q153" s="945"/>
      <c r="R153" s="945"/>
      <c r="S153" s="945"/>
      <c r="T153" s="945"/>
      <c r="U153" s="945"/>
      <c r="V153" s="945"/>
      <c r="W153" s="945"/>
      <c r="X153" s="945"/>
      <c r="Y153" s="945"/>
      <c r="Z153" s="945"/>
      <c r="AA153" s="945"/>
      <c r="AB153" s="945"/>
    </row>
    <row r="154" ht="20.25" customHeight="1">
      <c r="A154" s="964"/>
      <c r="B154" s="965"/>
      <c r="C154" s="965"/>
      <c r="D154" s="966"/>
      <c r="E154" s="967"/>
      <c r="F154" s="965"/>
      <c r="G154" s="965"/>
      <c r="H154" s="965"/>
      <c r="I154" s="965"/>
      <c r="J154" s="965"/>
      <c r="K154" s="965"/>
      <c r="L154" s="965"/>
      <c r="M154" s="965"/>
      <c r="N154" s="965"/>
      <c r="O154" s="965"/>
      <c r="P154" s="965"/>
      <c r="Q154" s="945"/>
      <c r="R154" s="945"/>
      <c r="S154" s="945"/>
      <c r="T154" s="945"/>
      <c r="U154" s="945"/>
      <c r="V154" s="945"/>
      <c r="W154" s="945"/>
      <c r="X154" s="945"/>
      <c r="Y154" s="945"/>
      <c r="Z154" s="945"/>
      <c r="AA154" s="945"/>
      <c r="AB154" s="945"/>
    </row>
    <row r="155" ht="20.25" customHeight="1">
      <c r="A155" s="964"/>
      <c r="B155" s="965"/>
      <c r="C155" s="965"/>
      <c r="D155" s="966"/>
      <c r="E155" s="967"/>
      <c r="F155" s="965"/>
      <c r="G155" s="965"/>
      <c r="H155" s="965"/>
      <c r="I155" s="965"/>
      <c r="J155" s="965"/>
      <c r="K155" s="965"/>
      <c r="L155" s="965"/>
      <c r="M155" s="965"/>
      <c r="N155" s="965"/>
      <c r="O155" s="965"/>
      <c r="P155" s="965"/>
      <c r="Q155" s="945"/>
      <c r="R155" s="945"/>
      <c r="S155" s="945"/>
      <c r="T155" s="945"/>
      <c r="U155" s="945"/>
      <c r="V155" s="945"/>
      <c r="W155" s="945"/>
      <c r="X155" s="945"/>
      <c r="Y155" s="945"/>
      <c r="Z155" s="945"/>
      <c r="AA155" s="945"/>
      <c r="AB155" s="945"/>
    </row>
    <row r="156" ht="20.25" customHeight="1">
      <c r="A156" s="964"/>
      <c r="B156" s="965"/>
      <c r="C156" s="965"/>
      <c r="D156" s="966"/>
      <c r="E156" s="967"/>
      <c r="F156" s="965"/>
      <c r="G156" s="965"/>
      <c r="H156" s="965"/>
      <c r="I156" s="965"/>
      <c r="J156" s="965"/>
      <c r="K156" s="965"/>
      <c r="L156" s="965"/>
      <c r="M156" s="965"/>
      <c r="N156" s="965"/>
      <c r="O156" s="965"/>
      <c r="P156" s="965"/>
      <c r="Q156" s="945"/>
      <c r="R156" s="945"/>
      <c r="S156" s="945"/>
      <c r="T156" s="945"/>
      <c r="U156" s="945"/>
      <c r="V156" s="945"/>
      <c r="W156" s="945"/>
      <c r="X156" s="945"/>
      <c r="Y156" s="945"/>
      <c r="Z156" s="945"/>
      <c r="AA156" s="945"/>
      <c r="AB156" s="945"/>
    </row>
    <row r="157" ht="20.25" customHeight="1">
      <c r="A157" s="964"/>
      <c r="B157" s="965"/>
      <c r="C157" s="965"/>
      <c r="D157" s="966"/>
      <c r="E157" s="967"/>
      <c r="F157" s="965"/>
      <c r="G157" s="965"/>
      <c r="H157" s="965"/>
      <c r="I157" s="965"/>
      <c r="J157" s="965"/>
      <c r="K157" s="965"/>
      <c r="L157" s="965"/>
      <c r="M157" s="965"/>
      <c r="N157" s="965"/>
      <c r="O157" s="965"/>
      <c r="P157" s="965"/>
      <c r="Q157" s="945"/>
      <c r="R157" s="945"/>
      <c r="S157" s="945"/>
      <c r="T157" s="945"/>
      <c r="U157" s="945"/>
      <c r="V157" s="945"/>
      <c r="W157" s="945"/>
      <c r="X157" s="945"/>
      <c r="Y157" s="945"/>
      <c r="Z157" s="945"/>
      <c r="AA157" s="945"/>
      <c r="AB157" s="945"/>
    </row>
    <row r="158" ht="20.25" customHeight="1">
      <c r="A158" s="964"/>
      <c r="B158" s="965"/>
      <c r="C158" s="965"/>
      <c r="D158" s="966"/>
      <c r="E158" s="967"/>
      <c r="F158" s="965"/>
      <c r="G158" s="965"/>
      <c r="H158" s="965"/>
      <c r="I158" s="965"/>
      <c r="J158" s="965"/>
      <c r="K158" s="965"/>
      <c r="L158" s="965"/>
      <c r="M158" s="965"/>
      <c r="N158" s="965"/>
      <c r="O158" s="965"/>
      <c r="P158" s="965"/>
      <c r="Q158" s="945"/>
      <c r="R158" s="945"/>
      <c r="S158" s="945"/>
      <c r="T158" s="945"/>
      <c r="U158" s="945"/>
      <c r="V158" s="945"/>
      <c r="W158" s="945"/>
      <c r="X158" s="945"/>
      <c r="Y158" s="945"/>
      <c r="Z158" s="945"/>
      <c r="AA158" s="945"/>
      <c r="AB158" s="945"/>
    </row>
    <row r="159" ht="20.25" customHeight="1">
      <c r="A159" s="964"/>
      <c r="B159" s="965"/>
      <c r="C159" s="965"/>
      <c r="D159" s="966"/>
      <c r="E159" s="967"/>
      <c r="F159" s="965"/>
      <c r="G159" s="965"/>
      <c r="H159" s="965"/>
      <c r="I159" s="965"/>
      <c r="J159" s="965"/>
      <c r="K159" s="965"/>
      <c r="L159" s="965"/>
      <c r="M159" s="965"/>
      <c r="N159" s="965"/>
      <c r="O159" s="965"/>
      <c r="P159" s="965"/>
      <c r="Q159" s="945"/>
      <c r="R159" s="945"/>
      <c r="S159" s="945"/>
      <c r="T159" s="945"/>
      <c r="U159" s="945"/>
      <c r="V159" s="945"/>
      <c r="W159" s="945"/>
      <c r="X159" s="945"/>
      <c r="Y159" s="945"/>
      <c r="Z159" s="945"/>
      <c r="AA159" s="945"/>
      <c r="AB159" s="945"/>
    </row>
    <row r="160" ht="20.25" customHeight="1">
      <c r="A160" s="964"/>
      <c r="B160" s="965"/>
      <c r="C160" s="965"/>
      <c r="D160" s="966"/>
      <c r="E160" s="967"/>
      <c r="F160" s="965"/>
      <c r="G160" s="965"/>
      <c r="H160" s="965"/>
      <c r="I160" s="965"/>
      <c r="J160" s="965"/>
      <c r="K160" s="965"/>
      <c r="L160" s="965"/>
      <c r="M160" s="965"/>
      <c r="N160" s="965"/>
      <c r="O160" s="965"/>
      <c r="P160" s="965"/>
      <c r="Q160" s="945"/>
      <c r="R160" s="945"/>
      <c r="S160" s="945"/>
      <c r="T160" s="945"/>
      <c r="U160" s="945"/>
      <c r="V160" s="945"/>
      <c r="W160" s="945"/>
      <c r="X160" s="945"/>
      <c r="Y160" s="945"/>
      <c r="Z160" s="945"/>
      <c r="AA160" s="945"/>
      <c r="AB160" s="945"/>
    </row>
    <row r="161" ht="20.25" customHeight="1">
      <c r="A161" s="964"/>
      <c r="B161" s="965"/>
      <c r="C161" s="965"/>
      <c r="D161" s="966"/>
      <c r="E161" s="967"/>
      <c r="F161" s="965"/>
      <c r="G161" s="965"/>
      <c r="H161" s="965"/>
      <c r="I161" s="965"/>
      <c r="J161" s="965"/>
      <c r="K161" s="965"/>
      <c r="L161" s="965"/>
      <c r="M161" s="965"/>
      <c r="N161" s="965"/>
      <c r="O161" s="965"/>
      <c r="P161" s="965"/>
      <c r="Q161" s="945"/>
      <c r="R161" s="945"/>
      <c r="S161" s="945"/>
      <c r="T161" s="945"/>
      <c r="U161" s="945"/>
      <c r="V161" s="945"/>
      <c r="W161" s="945"/>
      <c r="X161" s="945"/>
      <c r="Y161" s="945"/>
      <c r="Z161" s="945"/>
      <c r="AA161" s="945"/>
      <c r="AB161" s="945"/>
    </row>
    <row r="162" ht="20.25" customHeight="1">
      <c r="A162" s="964"/>
      <c r="B162" s="965"/>
      <c r="C162" s="965"/>
      <c r="D162" s="966"/>
      <c r="E162" s="967"/>
      <c r="F162" s="965"/>
      <c r="G162" s="965"/>
      <c r="H162" s="965"/>
      <c r="I162" s="965"/>
      <c r="J162" s="965"/>
      <c r="K162" s="965"/>
      <c r="L162" s="965"/>
      <c r="M162" s="965"/>
      <c r="N162" s="965"/>
      <c r="O162" s="965"/>
      <c r="P162" s="965"/>
      <c r="Q162" s="945"/>
      <c r="R162" s="945"/>
      <c r="S162" s="945"/>
      <c r="T162" s="945"/>
      <c r="U162" s="945"/>
      <c r="V162" s="945"/>
      <c r="W162" s="945"/>
      <c r="X162" s="945"/>
      <c r="Y162" s="945"/>
      <c r="Z162" s="945"/>
      <c r="AA162" s="945"/>
      <c r="AB162" s="945"/>
    </row>
    <row r="163" ht="20.25" customHeight="1">
      <c r="A163" s="964"/>
      <c r="B163" s="965"/>
      <c r="C163" s="965"/>
      <c r="D163" s="966"/>
      <c r="E163" s="967"/>
      <c r="F163" s="965"/>
      <c r="G163" s="965"/>
      <c r="H163" s="965"/>
      <c r="I163" s="965"/>
      <c r="J163" s="965"/>
      <c r="K163" s="965"/>
      <c r="L163" s="965"/>
      <c r="M163" s="965"/>
      <c r="N163" s="965"/>
      <c r="O163" s="965"/>
      <c r="P163" s="965"/>
      <c r="Q163" s="945"/>
      <c r="R163" s="945"/>
      <c r="S163" s="945"/>
      <c r="T163" s="945"/>
      <c r="U163" s="945"/>
      <c r="V163" s="945"/>
      <c r="W163" s="945"/>
      <c r="X163" s="945"/>
      <c r="Y163" s="945"/>
      <c r="Z163" s="945"/>
      <c r="AA163" s="945"/>
      <c r="AB163" s="945"/>
    </row>
    <row r="164" ht="20.25" customHeight="1">
      <c r="A164" s="964"/>
      <c r="B164" s="965"/>
      <c r="C164" s="965"/>
      <c r="D164" s="966"/>
      <c r="E164" s="967"/>
      <c r="F164" s="965"/>
      <c r="G164" s="965"/>
      <c r="H164" s="965"/>
      <c r="I164" s="965"/>
      <c r="J164" s="965"/>
      <c r="K164" s="965"/>
      <c r="L164" s="965"/>
      <c r="M164" s="965"/>
      <c r="N164" s="965"/>
      <c r="O164" s="965"/>
      <c r="P164" s="965"/>
      <c r="Q164" s="945"/>
      <c r="R164" s="945"/>
      <c r="S164" s="945"/>
      <c r="T164" s="945"/>
      <c r="U164" s="945"/>
      <c r="V164" s="945"/>
      <c r="W164" s="945"/>
      <c r="X164" s="945"/>
      <c r="Y164" s="945"/>
      <c r="Z164" s="945"/>
      <c r="AA164" s="945"/>
      <c r="AB164" s="945"/>
    </row>
    <row r="165" ht="20.25" customHeight="1">
      <c r="A165" s="964"/>
      <c r="B165" s="965"/>
      <c r="C165" s="965"/>
      <c r="D165" s="966"/>
      <c r="E165" s="967"/>
      <c r="F165" s="965"/>
      <c r="G165" s="965"/>
      <c r="H165" s="965"/>
      <c r="I165" s="965"/>
      <c r="J165" s="965"/>
      <c r="K165" s="965"/>
      <c r="L165" s="965"/>
      <c r="M165" s="965"/>
      <c r="N165" s="965"/>
      <c r="O165" s="965"/>
      <c r="P165" s="965"/>
      <c r="Q165" s="945"/>
      <c r="R165" s="945"/>
      <c r="S165" s="945"/>
      <c r="T165" s="945"/>
      <c r="U165" s="945"/>
      <c r="V165" s="945"/>
      <c r="W165" s="945"/>
      <c r="X165" s="945"/>
      <c r="Y165" s="945"/>
      <c r="Z165" s="945"/>
      <c r="AA165" s="945"/>
      <c r="AB165" s="945"/>
    </row>
    <row r="166" ht="20.25" customHeight="1">
      <c r="A166" s="964"/>
      <c r="B166" s="965"/>
      <c r="C166" s="965"/>
      <c r="D166" s="966"/>
      <c r="E166" s="967"/>
      <c r="F166" s="965"/>
      <c r="G166" s="965"/>
      <c r="H166" s="965"/>
      <c r="I166" s="965"/>
      <c r="J166" s="965"/>
      <c r="K166" s="965"/>
      <c r="L166" s="965"/>
      <c r="M166" s="965"/>
      <c r="N166" s="965"/>
      <c r="O166" s="965"/>
      <c r="P166" s="965"/>
      <c r="Q166" s="945"/>
      <c r="R166" s="945"/>
      <c r="S166" s="945"/>
      <c r="T166" s="945"/>
      <c r="U166" s="945"/>
      <c r="V166" s="945"/>
      <c r="W166" s="945"/>
      <c r="X166" s="945"/>
      <c r="Y166" s="945"/>
      <c r="Z166" s="945"/>
      <c r="AA166" s="945"/>
      <c r="AB166" s="945"/>
    </row>
    <row r="167" ht="20.25" customHeight="1">
      <c r="A167" s="964"/>
      <c r="B167" s="965"/>
      <c r="C167" s="965"/>
      <c r="D167" s="966"/>
      <c r="E167" s="967"/>
      <c r="F167" s="965"/>
      <c r="G167" s="965"/>
      <c r="H167" s="965"/>
      <c r="I167" s="965"/>
      <c r="J167" s="965"/>
      <c r="K167" s="965"/>
      <c r="L167" s="965"/>
      <c r="M167" s="965"/>
      <c r="N167" s="965"/>
      <c r="O167" s="965"/>
      <c r="P167" s="965"/>
      <c r="Q167" s="945"/>
      <c r="R167" s="945"/>
      <c r="S167" s="945"/>
      <c r="T167" s="945"/>
      <c r="U167" s="945"/>
      <c r="V167" s="945"/>
      <c r="W167" s="945"/>
      <c r="X167" s="945"/>
      <c r="Y167" s="945"/>
      <c r="Z167" s="945"/>
      <c r="AA167" s="945"/>
      <c r="AB167" s="945"/>
    </row>
    <row r="168" ht="20.25" customHeight="1">
      <c r="A168" s="964"/>
      <c r="B168" s="965"/>
      <c r="C168" s="965"/>
      <c r="D168" s="966"/>
      <c r="E168" s="967"/>
      <c r="F168" s="965"/>
      <c r="G168" s="965"/>
      <c r="H168" s="965"/>
      <c r="I168" s="965"/>
      <c r="J168" s="965"/>
      <c r="K168" s="965"/>
      <c r="L168" s="965"/>
      <c r="M168" s="965"/>
      <c r="N168" s="965"/>
      <c r="O168" s="965"/>
      <c r="P168" s="965"/>
      <c r="Q168" s="945"/>
      <c r="R168" s="945"/>
      <c r="S168" s="945"/>
      <c r="T168" s="945"/>
      <c r="U168" s="945"/>
      <c r="V168" s="945"/>
      <c r="W168" s="945"/>
      <c r="X168" s="945"/>
      <c r="Y168" s="945"/>
      <c r="Z168" s="945"/>
      <c r="AA168" s="945"/>
      <c r="AB168" s="945"/>
    </row>
    <row r="169" ht="20.25" customHeight="1">
      <c r="A169" s="964"/>
      <c r="B169" s="965"/>
      <c r="C169" s="965"/>
      <c r="D169" s="966"/>
      <c r="E169" s="967"/>
      <c r="F169" s="965"/>
      <c r="G169" s="965"/>
      <c r="H169" s="965"/>
      <c r="I169" s="965"/>
      <c r="J169" s="965"/>
      <c r="K169" s="965"/>
      <c r="L169" s="965"/>
      <c r="M169" s="965"/>
      <c r="N169" s="965"/>
      <c r="O169" s="965"/>
      <c r="P169" s="965"/>
      <c r="Q169" s="945"/>
      <c r="R169" s="945"/>
      <c r="S169" s="945"/>
      <c r="T169" s="945"/>
      <c r="U169" s="945"/>
      <c r="V169" s="945"/>
      <c r="W169" s="945"/>
      <c r="X169" s="945"/>
      <c r="Y169" s="945"/>
      <c r="Z169" s="945"/>
      <c r="AA169" s="945"/>
      <c r="AB169" s="945"/>
    </row>
    <row r="170" ht="20.25" customHeight="1">
      <c r="A170" s="964"/>
      <c r="B170" s="965"/>
      <c r="C170" s="965"/>
      <c r="D170" s="966"/>
      <c r="E170" s="967"/>
      <c r="F170" s="965"/>
      <c r="G170" s="965"/>
      <c r="H170" s="965"/>
      <c r="I170" s="965"/>
      <c r="J170" s="965"/>
      <c r="K170" s="965"/>
      <c r="L170" s="965"/>
      <c r="M170" s="965"/>
      <c r="N170" s="965"/>
      <c r="O170" s="965"/>
      <c r="P170" s="965"/>
      <c r="Q170" s="945"/>
      <c r="R170" s="945"/>
      <c r="S170" s="945"/>
      <c r="T170" s="945"/>
      <c r="U170" s="945"/>
      <c r="V170" s="945"/>
      <c r="W170" s="945"/>
      <c r="X170" s="945"/>
      <c r="Y170" s="945"/>
      <c r="Z170" s="945"/>
      <c r="AA170" s="945"/>
      <c r="AB170" s="945"/>
    </row>
    <row r="171" ht="20.25" customHeight="1">
      <c r="A171" s="964"/>
      <c r="B171" s="965"/>
      <c r="C171" s="965"/>
      <c r="D171" s="966"/>
      <c r="E171" s="967"/>
      <c r="F171" s="965"/>
      <c r="G171" s="965"/>
      <c r="H171" s="965"/>
      <c r="I171" s="965"/>
      <c r="J171" s="965"/>
      <c r="K171" s="965"/>
      <c r="L171" s="965"/>
      <c r="M171" s="965"/>
      <c r="N171" s="965"/>
      <c r="O171" s="965"/>
      <c r="P171" s="965"/>
      <c r="Q171" s="945"/>
      <c r="R171" s="945"/>
      <c r="S171" s="945"/>
      <c r="T171" s="945"/>
      <c r="U171" s="945"/>
      <c r="V171" s="945"/>
      <c r="W171" s="945"/>
      <c r="X171" s="945"/>
      <c r="Y171" s="945"/>
      <c r="Z171" s="945"/>
      <c r="AA171" s="945"/>
      <c r="AB171" s="945"/>
    </row>
    <row r="172" ht="20.25" customHeight="1">
      <c r="A172" s="964"/>
      <c r="B172" s="965"/>
      <c r="C172" s="965"/>
      <c r="D172" s="966"/>
      <c r="E172" s="967"/>
      <c r="F172" s="965"/>
      <c r="G172" s="965"/>
      <c r="H172" s="965"/>
      <c r="I172" s="965"/>
      <c r="J172" s="965"/>
      <c r="K172" s="965"/>
      <c r="L172" s="965"/>
      <c r="M172" s="965"/>
      <c r="N172" s="965"/>
      <c r="O172" s="965"/>
      <c r="P172" s="965"/>
      <c r="Q172" s="945"/>
      <c r="R172" s="945"/>
      <c r="S172" s="945"/>
      <c r="T172" s="945"/>
      <c r="U172" s="945"/>
      <c r="V172" s="945"/>
      <c r="W172" s="945"/>
      <c r="X172" s="945"/>
      <c r="Y172" s="945"/>
      <c r="Z172" s="945"/>
      <c r="AA172" s="945"/>
      <c r="AB172" s="945"/>
    </row>
    <row r="173" ht="20.25" customHeight="1">
      <c r="A173" s="964"/>
      <c r="B173" s="965"/>
      <c r="C173" s="965"/>
      <c r="D173" s="966"/>
      <c r="E173" s="967"/>
      <c r="F173" s="965"/>
      <c r="G173" s="965"/>
      <c r="H173" s="965"/>
      <c r="I173" s="965"/>
      <c r="J173" s="965"/>
      <c r="K173" s="965"/>
      <c r="L173" s="965"/>
      <c r="M173" s="965"/>
      <c r="N173" s="965"/>
      <c r="O173" s="965"/>
      <c r="P173" s="965"/>
      <c r="Q173" s="945"/>
      <c r="R173" s="945"/>
      <c r="S173" s="945"/>
      <c r="T173" s="945"/>
      <c r="U173" s="945"/>
      <c r="V173" s="945"/>
      <c r="W173" s="945"/>
      <c r="X173" s="945"/>
      <c r="Y173" s="945"/>
      <c r="Z173" s="945"/>
      <c r="AA173" s="945"/>
      <c r="AB173" s="945"/>
    </row>
    <row r="174" ht="20.25" customHeight="1">
      <c r="A174" s="964"/>
      <c r="B174" s="965"/>
      <c r="C174" s="965"/>
      <c r="D174" s="966"/>
      <c r="E174" s="967"/>
      <c r="F174" s="965"/>
      <c r="G174" s="965"/>
      <c r="H174" s="965"/>
      <c r="I174" s="965"/>
      <c r="J174" s="965"/>
      <c r="K174" s="965"/>
      <c r="L174" s="965"/>
      <c r="M174" s="965"/>
      <c r="N174" s="965"/>
      <c r="O174" s="965"/>
      <c r="P174" s="965"/>
      <c r="Q174" s="945"/>
      <c r="R174" s="945"/>
      <c r="S174" s="945"/>
      <c r="T174" s="945"/>
      <c r="U174" s="945"/>
      <c r="V174" s="945"/>
      <c r="W174" s="945"/>
      <c r="X174" s="945"/>
      <c r="Y174" s="945"/>
      <c r="Z174" s="945"/>
      <c r="AA174" s="945"/>
      <c r="AB174" s="945"/>
    </row>
    <row r="175" ht="20.25" customHeight="1">
      <c r="A175" s="964"/>
      <c r="B175" s="965"/>
      <c r="C175" s="965"/>
      <c r="D175" s="966"/>
      <c r="E175" s="967"/>
      <c r="F175" s="965"/>
      <c r="G175" s="965"/>
      <c r="H175" s="965"/>
      <c r="I175" s="965"/>
      <c r="J175" s="965"/>
      <c r="K175" s="965"/>
      <c r="L175" s="965"/>
      <c r="M175" s="965"/>
      <c r="N175" s="965"/>
      <c r="O175" s="965"/>
      <c r="P175" s="965"/>
      <c r="Q175" s="945"/>
      <c r="R175" s="945"/>
      <c r="S175" s="945"/>
      <c r="T175" s="945"/>
      <c r="U175" s="945"/>
      <c r="V175" s="945"/>
      <c r="W175" s="945"/>
      <c r="X175" s="945"/>
      <c r="Y175" s="945"/>
      <c r="Z175" s="945"/>
      <c r="AA175" s="945"/>
      <c r="AB175" s="945"/>
    </row>
    <row r="176" ht="20.25" customHeight="1">
      <c r="A176" s="964"/>
      <c r="B176" s="965"/>
      <c r="C176" s="965"/>
      <c r="D176" s="966"/>
      <c r="E176" s="967"/>
      <c r="F176" s="965"/>
      <c r="G176" s="965"/>
      <c r="H176" s="965"/>
      <c r="I176" s="965"/>
      <c r="J176" s="965"/>
      <c r="K176" s="965"/>
      <c r="L176" s="965"/>
      <c r="M176" s="965"/>
      <c r="N176" s="965"/>
      <c r="O176" s="965"/>
      <c r="P176" s="965"/>
      <c r="Q176" s="945"/>
      <c r="R176" s="945"/>
      <c r="S176" s="945"/>
      <c r="T176" s="945"/>
      <c r="U176" s="945"/>
      <c r="V176" s="945"/>
      <c r="W176" s="945"/>
      <c r="X176" s="945"/>
      <c r="Y176" s="945"/>
      <c r="Z176" s="945"/>
      <c r="AA176" s="945"/>
      <c r="AB176" s="945"/>
    </row>
    <row r="177" ht="20.25" customHeight="1">
      <c r="A177" s="964"/>
      <c r="B177" s="965"/>
      <c r="C177" s="965"/>
      <c r="D177" s="966"/>
      <c r="E177" s="967"/>
      <c r="F177" s="965"/>
      <c r="G177" s="965"/>
      <c r="H177" s="965"/>
      <c r="I177" s="965"/>
      <c r="J177" s="965"/>
      <c r="K177" s="965"/>
      <c r="L177" s="965"/>
      <c r="M177" s="965"/>
      <c r="N177" s="965"/>
      <c r="O177" s="965"/>
      <c r="P177" s="965"/>
      <c r="Q177" s="945"/>
      <c r="R177" s="945"/>
      <c r="S177" s="945"/>
      <c r="T177" s="945"/>
      <c r="U177" s="945"/>
      <c r="V177" s="945"/>
      <c r="W177" s="945"/>
      <c r="X177" s="945"/>
      <c r="Y177" s="945"/>
      <c r="Z177" s="945"/>
      <c r="AA177" s="945"/>
      <c r="AB177" s="945"/>
    </row>
    <row r="178" ht="20.25" customHeight="1">
      <c r="A178" s="964"/>
      <c r="B178" s="965"/>
      <c r="C178" s="965"/>
      <c r="D178" s="966"/>
      <c r="E178" s="967"/>
      <c r="F178" s="965"/>
      <c r="G178" s="965"/>
      <c r="H178" s="965"/>
      <c r="I178" s="965"/>
      <c r="J178" s="965"/>
      <c r="K178" s="965"/>
      <c r="L178" s="965"/>
      <c r="M178" s="965"/>
      <c r="N178" s="965"/>
      <c r="O178" s="965"/>
      <c r="P178" s="965"/>
      <c r="Q178" s="945"/>
      <c r="R178" s="945"/>
      <c r="S178" s="945"/>
      <c r="T178" s="945"/>
      <c r="U178" s="945"/>
      <c r="V178" s="945"/>
      <c r="W178" s="945"/>
      <c r="X178" s="945"/>
      <c r="Y178" s="945"/>
      <c r="Z178" s="945"/>
      <c r="AA178" s="945"/>
      <c r="AB178" s="945"/>
    </row>
    <row r="179" ht="20.25" customHeight="1">
      <c r="A179" s="964"/>
      <c r="B179" s="965"/>
      <c r="C179" s="965"/>
      <c r="D179" s="966"/>
      <c r="E179" s="967"/>
      <c r="F179" s="965"/>
      <c r="G179" s="965"/>
      <c r="H179" s="965"/>
      <c r="I179" s="965"/>
      <c r="J179" s="965"/>
      <c r="K179" s="965"/>
      <c r="L179" s="965"/>
      <c r="M179" s="965"/>
      <c r="N179" s="965"/>
      <c r="O179" s="965"/>
      <c r="P179" s="965"/>
      <c r="Q179" s="945"/>
      <c r="R179" s="945"/>
      <c r="S179" s="945"/>
      <c r="T179" s="945"/>
      <c r="U179" s="945"/>
      <c r="V179" s="945"/>
      <c r="W179" s="945"/>
      <c r="X179" s="945"/>
      <c r="Y179" s="945"/>
      <c r="Z179" s="945"/>
      <c r="AA179" s="945"/>
      <c r="AB179" s="945"/>
    </row>
    <row r="180" ht="20.25" customHeight="1">
      <c r="A180" s="964"/>
      <c r="B180" s="965"/>
      <c r="C180" s="965"/>
      <c r="D180" s="966"/>
      <c r="E180" s="967"/>
      <c r="F180" s="965"/>
      <c r="G180" s="965"/>
      <c r="H180" s="965"/>
      <c r="I180" s="965"/>
      <c r="J180" s="965"/>
      <c r="K180" s="965"/>
      <c r="L180" s="965"/>
      <c r="M180" s="965"/>
      <c r="N180" s="965"/>
      <c r="O180" s="965"/>
      <c r="P180" s="965"/>
      <c r="Q180" s="945"/>
      <c r="R180" s="945"/>
      <c r="S180" s="945"/>
      <c r="T180" s="945"/>
      <c r="U180" s="945"/>
      <c r="V180" s="945"/>
      <c r="W180" s="945"/>
      <c r="X180" s="945"/>
      <c r="Y180" s="945"/>
      <c r="Z180" s="945"/>
      <c r="AA180" s="945"/>
      <c r="AB180" s="945"/>
    </row>
    <row r="181" ht="20.25" customHeight="1">
      <c r="A181" s="964"/>
      <c r="B181" s="965"/>
      <c r="C181" s="965"/>
      <c r="D181" s="966"/>
      <c r="E181" s="967"/>
      <c r="F181" s="965"/>
      <c r="G181" s="965"/>
      <c r="H181" s="965"/>
      <c r="I181" s="965"/>
      <c r="J181" s="965"/>
      <c r="K181" s="965"/>
      <c r="L181" s="965"/>
      <c r="M181" s="965"/>
      <c r="N181" s="965"/>
      <c r="O181" s="965"/>
      <c r="P181" s="965"/>
      <c r="Q181" s="945"/>
      <c r="R181" s="945"/>
      <c r="S181" s="945"/>
      <c r="T181" s="945"/>
      <c r="U181" s="945"/>
      <c r="V181" s="945"/>
      <c r="W181" s="945"/>
      <c r="X181" s="945"/>
      <c r="Y181" s="945"/>
      <c r="Z181" s="945"/>
      <c r="AA181" s="945"/>
      <c r="AB181" s="945"/>
    </row>
    <row r="182" ht="20.25" customHeight="1">
      <c r="A182" s="964"/>
      <c r="B182" s="965"/>
      <c r="C182" s="965"/>
      <c r="D182" s="966"/>
      <c r="E182" s="967"/>
      <c r="F182" s="965"/>
      <c r="G182" s="965"/>
      <c r="H182" s="965"/>
      <c r="I182" s="965"/>
      <c r="J182" s="965"/>
      <c r="K182" s="965"/>
      <c r="L182" s="965"/>
      <c r="M182" s="965"/>
      <c r="N182" s="965"/>
      <c r="O182" s="965"/>
      <c r="P182" s="965"/>
      <c r="Q182" s="945"/>
      <c r="R182" s="945"/>
      <c r="S182" s="945"/>
      <c r="T182" s="945"/>
      <c r="U182" s="945"/>
      <c r="V182" s="945"/>
      <c r="W182" s="945"/>
      <c r="X182" s="945"/>
      <c r="Y182" s="945"/>
      <c r="Z182" s="945"/>
      <c r="AA182" s="945"/>
      <c r="AB182" s="945"/>
    </row>
    <row r="183" ht="20.25" customHeight="1">
      <c r="A183" s="964"/>
      <c r="B183" s="965"/>
      <c r="C183" s="965"/>
      <c r="D183" s="966"/>
      <c r="E183" s="967"/>
      <c r="F183" s="965"/>
      <c r="G183" s="965"/>
      <c r="H183" s="965"/>
      <c r="I183" s="965"/>
      <c r="J183" s="965"/>
      <c r="K183" s="965"/>
      <c r="L183" s="965"/>
      <c r="M183" s="965"/>
      <c r="N183" s="965"/>
      <c r="O183" s="965"/>
      <c r="P183" s="965"/>
      <c r="Q183" s="945"/>
      <c r="R183" s="945"/>
      <c r="S183" s="945"/>
      <c r="T183" s="945"/>
      <c r="U183" s="945"/>
      <c r="V183" s="945"/>
      <c r="W183" s="945"/>
      <c r="X183" s="945"/>
      <c r="Y183" s="945"/>
      <c r="Z183" s="945"/>
      <c r="AA183" s="945"/>
      <c r="AB183" s="945"/>
    </row>
    <row r="184" ht="20.25" customHeight="1">
      <c r="A184" s="964"/>
      <c r="B184" s="965"/>
      <c r="C184" s="965"/>
      <c r="D184" s="966"/>
      <c r="E184" s="967"/>
      <c r="F184" s="965"/>
      <c r="G184" s="965"/>
      <c r="H184" s="965"/>
      <c r="I184" s="965"/>
      <c r="J184" s="965"/>
      <c r="K184" s="965"/>
      <c r="L184" s="965"/>
      <c r="M184" s="965"/>
      <c r="N184" s="965"/>
      <c r="O184" s="965"/>
      <c r="P184" s="965"/>
      <c r="Q184" s="945"/>
      <c r="R184" s="945"/>
      <c r="S184" s="945"/>
      <c r="T184" s="945"/>
      <c r="U184" s="945"/>
      <c r="V184" s="945"/>
      <c r="W184" s="945"/>
      <c r="X184" s="945"/>
      <c r="Y184" s="945"/>
      <c r="Z184" s="945"/>
      <c r="AA184" s="945"/>
      <c r="AB184" s="945"/>
    </row>
    <row r="185" ht="20.25" customHeight="1">
      <c r="A185" s="964"/>
      <c r="B185" s="965"/>
      <c r="C185" s="965"/>
      <c r="D185" s="966"/>
      <c r="E185" s="967"/>
      <c r="F185" s="965"/>
      <c r="G185" s="965"/>
      <c r="H185" s="965"/>
      <c r="I185" s="965"/>
      <c r="J185" s="965"/>
      <c r="K185" s="965"/>
      <c r="L185" s="965"/>
      <c r="M185" s="965"/>
      <c r="N185" s="965"/>
      <c r="O185" s="965"/>
      <c r="P185" s="965"/>
      <c r="Q185" s="945"/>
      <c r="R185" s="945"/>
      <c r="S185" s="945"/>
      <c r="T185" s="945"/>
      <c r="U185" s="945"/>
      <c r="V185" s="945"/>
      <c r="W185" s="945"/>
      <c r="X185" s="945"/>
      <c r="Y185" s="945"/>
      <c r="Z185" s="945"/>
      <c r="AA185" s="945"/>
      <c r="AB185" s="945"/>
    </row>
    <row r="186" ht="20.25" customHeight="1">
      <c r="A186" s="964"/>
      <c r="B186" s="965"/>
      <c r="C186" s="965"/>
      <c r="D186" s="966"/>
      <c r="E186" s="967"/>
      <c r="F186" s="965"/>
      <c r="G186" s="965"/>
      <c r="H186" s="965"/>
      <c r="I186" s="965"/>
      <c r="J186" s="965"/>
      <c r="K186" s="965"/>
      <c r="L186" s="965"/>
      <c r="M186" s="965"/>
      <c r="N186" s="965"/>
      <c r="O186" s="965"/>
      <c r="P186" s="965"/>
      <c r="Q186" s="945"/>
      <c r="R186" s="945"/>
      <c r="S186" s="945"/>
      <c r="T186" s="945"/>
      <c r="U186" s="945"/>
      <c r="V186" s="945"/>
      <c r="W186" s="945"/>
      <c r="X186" s="945"/>
      <c r="Y186" s="945"/>
      <c r="Z186" s="945"/>
      <c r="AA186" s="945"/>
      <c r="AB186" s="945"/>
    </row>
    <row r="187" ht="20.25" customHeight="1">
      <c r="A187" s="964"/>
      <c r="B187" s="965"/>
      <c r="C187" s="965"/>
      <c r="D187" s="966"/>
      <c r="E187" s="967"/>
      <c r="F187" s="965"/>
      <c r="G187" s="965"/>
      <c r="H187" s="965"/>
      <c r="I187" s="965"/>
      <c r="J187" s="965"/>
      <c r="K187" s="965"/>
      <c r="L187" s="965"/>
      <c r="M187" s="965"/>
      <c r="N187" s="965"/>
      <c r="O187" s="965"/>
      <c r="P187" s="965"/>
      <c r="Q187" s="945"/>
      <c r="R187" s="945"/>
      <c r="S187" s="945"/>
      <c r="T187" s="945"/>
      <c r="U187" s="945"/>
      <c r="V187" s="945"/>
      <c r="W187" s="945"/>
      <c r="X187" s="945"/>
      <c r="Y187" s="945"/>
      <c r="Z187" s="945"/>
      <c r="AA187" s="945"/>
      <c r="AB187" s="945"/>
    </row>
    <row r="188" ht="20.25" customHeight="1">
      <c r="A188" s="964"/>
      <c r="B188" s="965"/>
      <c r="C188" s="965"/>
      <c r="D188" s="966"/>
      <c r="E188" s="967"/>
      <c r="F188" s="965"/>
      <c r="G188" s="965"/>
      <c r="H188" s="965"/>
      <c r="I188" s="965"/>
      <c r="J188" s="965"/>
      <c r="K188" s="965"/>
      <c r="L188" s="965"/>
      <c r="M188" s="965"/>
      <c r="N188" s="965"/>
      <c r="O188" s="965"/>
      <c r="P188" s="965"/>
      <c r="Q188" s="945"/>
      <c r="R188" s="945"/>
      <c r="S188" s="945"/>
      <c r="T188" s="945"/>
      <c r="U188" s="945"/>
      <c r="V188" s="945"/>
      <c r="W188" s="945"/>
      <c r="X188" s="945"/>
      <c r="Y188" s="945"/>
      <c r="Z188" s="945"/>
      <c r="AA188" s="945"/>
      <c r="AB188" s="945"/>
    </row>
    <row r="189" ht="20.25" customHeight="1">
      <c r="A189" s="964"/>
      <c r="B189" s="965"/>
      <c r="C189" s="965"/>
      <c r="D189" s="966"/>
      <c r="E189" s="967"/>
      <c r="F189" s="965"/>
      <c r="G189" s="965"/>
      <c r="H189" s="965"/>
      <c r="I189" s="965"/>
      <c r="J189" s="965"/>
      <c r="K189" s="965"/>
      <c r="L189" s="965"/>
      <c r="M189" s="965"/>
      <c r="N189" s="965"/>
      <c r="O189" s="965"/>
      <c r="P189" s="965"/>
      <c r="Q189" s="945"/>
      <c r="R189" s="945"/>
      <c r="S189" s="945"/>
      <c r="T189" s="945"/>
      <c r="U189" s="945"/>
      <c r="V189" s="945"/>
      <c r="W189" s="945"/>
      <c r="X189" s="945"/>
      <c r="Y189" s="945"/>
      <c r="Z189" s="945"/>
      <c r="AA189" s="945"/>
      <c r="AB189" s="945"/>
    </row>
    <row r="190" ht="20.25" customHeight="1">
      <c r="A190" s="964"/>
      <c r="B190" s="965"/>
      <c r="C190" s="965"/>
      <c r="D190" s="966"/>
      <c r="E190" s="967"/>
      <c r="F190" s="965"/>
      <c r="G190" s="965"/>
      <c r="H190" s="965"/>
      <c r="I190" s="965"/>
      <c r="J190" s="965"/>
      <c r="K190" s="965"/>
      <c r="L190" s="965"/>
      <c r="M190" s="965"/>
      <c r="N190" s="965"/>
      <c r="O190" s="965"/>
      <c r="P190" s="965"/>
      <c r="Q190" s="945"/>
      <c r="R190" s="945"/>
      <c r="S190" s="945"/>
      <c r="T190" s="945"/>
      <c r="U190" s="945"/>
      <c r="V190" s="945"/>
      <c r="W190" s="945"/>
      <c r="X190" s="945"/>
      <c r="Y190" s="945"/>
      <c r="Z190" s="945"/>
      <c r="AA190" s="945"/>
      <c r="AB190" s="945"/>
    </row>
    <row r="191" ht="20.25" customHeight="1">
      <c r="A191" s="964"/>
      <c r="B191" s="965"/>
      <c r="C191" s="965"/>
      <c r="D191" s="966"/>
      <c r="E191" s="967"/>
      <c r="F191" s="965"/>
      <c r="G191" s="965"/>
      <c r="H191" s="965"/>
      <c r="I191" s="965"/>
      <c r="J191" s="965"/>
      <c r="K191" s="965"/>
      <c r="L191" s="965"/>
      <c r="M191" s="965"/>
      <c r="N191" s="965"/>
      <c r="O191" s="965"/>
      <c r="P191" s="965"/>
      <c r="Q191" s="945"/>
      <c r="R191" s="945"/>
      <c r="S191" s="945"/>
      <c r="T191" s="945"/>
      <c r="U191" s="945"/>
      <c r="V191" s="945"/>
      <c r="W191" s="945"/>
      <c r="X191" s="945"/>
      <c r="Y191" s="945"/>
      <c r="Z191" s="945"/>
      <c r="AA191" s="945"/>
      <c r="AB191" s="945"/>
    </row>
    <row r="192" ht="20.25" customHeight="1">
      <c r="A192" s="964"/>
      <c r="B192" s="965"/>
      <c r="C192" s="965"/>
      <c r="D192" s="966"/>
      <c r="E192" s="967"/>
      <c r="F192" s="965"/>
      <c r="G192" s="965"/>
      <c r="H192" s="965"/>
      <c r="I192" s="965"/>
      <c r="J192" s="965"/>
      <c r="K192" s="965"/>
      <c r="L192" s="965"/>
      <c r="M192" s="965"/>
      <c r="N192" s="965"/>
      <c r="O192" s="965"/>
      <c r="P192" s="965"/>
      <c r="Q192" s="945"/>
      <c r="R192" s="945"/>
      <c r="S192" s="945"/>
      <c r="T192" s="945"/>
      <c r="U192" s="945"/>
      <c r="V192" s="945"/>
      <c r="W192" s="945"/>
      <c r="X192" s="945"/>
      <c r="Y192" s="945"/>
      <c r="Z192" s="945"/>
      <c r="AA192" s="945"/>
      <c r="AB192" s="945"/>
    </row>
    <row r="193" ht="20.25" customHeight="1">
      <c r="A193" s="964"/>
      <c r="B193" s="965"/>
      <c r="C193" s="965"/>
      <c r="D193" s="966"/>
      <c r="E193" s="967"/>
      <c r="F193" s="965"/>
      <c r="G193" s="965"/>
      <c r="H193" s="965"/>
      <c r="I193" s="965"/>
      <c r="J193" s="965"/>
      <c r="K193" s="965"/>
      <c r="L193" s="965"/>
      <c r="M193" s="965"/>
      <c r="N193" s="965"/>
      <c r="O193" s="965"/>
      <c r="P193" s="965"/>
      <c r="Q193" s="945"/>
      <c r="R193" s="945"/>
      <c r="S193" s="945"/>
      <c r="T193" s="945"/>
      <c r="U193" s="945"/>
      <c r="V193" s="945"/>
      <c r="W193" s="945"/>
      <c r="X193" s="945"/>
      <c r="Y193" s="945"/>
      <c r="Z193" s="945"/>
      <c r="AA193" s="945"/>
      <c r="AB193" s="945"/>
    </row>
    <row r="194" ht="20.25" customHeight="1">
      <c r="A194" s="964"/>
      <c r="B194" s="965"/>
      <c r="C194" s="965"/>
      <c r="D194" s="966"/>
      <c r="E194" s="967"/>
      <c r="F194" s="965"/>
      <c r="G194" s="965"/>
      <c r="H194" s="965"/>
      <c r="I194" s="965"/>
      <c r="J194" s="965"/>
      <c r="K194" s="965"/>
      <c r="L194" s="965"/>
      <c r="M194" s="965"/>
      <c r="N194" s="965"/>
      <c r="O194" s="965"/>
      <c r="P194" s="965"/>
      <c r="Q194" s="945"/>
      <c r="R194" s="945"/>
      <c r="S194" s="945"/>
      <c r="T194" s="945"/>
      <c r="U194" s="945"/>
      <c r="V194" s="945"/>
      <c r="W194" s="945"/>
      <c r="X194" s="945"/>
      <c r="Y194" s="945"/>
      <c r="Z194" s="945"/>
      <c r="AA194" s="945"/>
      <c r="AB194" s="945"/>
    </row>
    <row r="195" ht="20.25" customHeight="1">
      <c r="A195" s="964"/>
      <c r="B195" s="965"/>
      <c r="C195" s="965"/>
      <c r="D195" s="966"/>
      <c r="E195" s="967"/>
      <c r="F195" s="965"/>
      <c r="G195" s="965"/>
      <c r="H195" s="965"/>
      <c r="I195" s="965"/>
      <c r="J195" s="965"/>
      <c r="K195" s="965"/>
      <c r="L195" s="965"/>
      <c r="M195" s="965"/>
      <c r="N195" s="965"/>
      <c r="O195" s="965"/>
      <c r="P195" s="965"/>
      <c r="Q195" s="945"/>
      <c r="R195" s="945"/>
      <c r="S195" s="945"/>
      <c r="T195" s="945"/>
      <c r="U195" s="945"/>
      <c r="V195" s="945"/>
      <c r="W195" s="945"/>
      <c r="X195" s="945"/>
      <c r="Y195" s="945"/>
      <c r="Z195" s="945"/>
      <c r="AA195" s="945"/>
      <c r="AB195" s="945"/>
    </row>
    <row r="196" ht="20.25" customHeight="1">
      <c r="A196" s="964"/>
      <c r="B196" s="965"/>
      <c r="C196" s="965"/>
      <c r="D196" s="966"/>
      <c r="E196" s="967"/>
      <c r="F196" s="965"/>
      <c r="G196" s="965"/>
      <c r="H196" s="965"/>
      <c r="I196" s="965"/>
      <c r="J196" s="965"/>
      <c r="K196" s="965"/>
      <c r="L196" s="965"/>
      <c r="M196" s="965"/>
      <c r="N196" s="965"/>
      <c r="O196" s="965"/>
      <c r="P196" s="965"/>
      <c r="Q196" s="945"/>
      <c r="R196" s="945"/>
      <c r="S196" s="945"/>
      <c r="T196" s="945"/>
      <c r="U196" s="945"/>
      <c r="V196" s="945"/>
      <c r="W196" s="945"/>
      <c r="X196" s="945"/>
      <c r="Y196" s="945"/>
      <c r="Z196" s="945"/>
      <c r="AA196" s="945"/>
      <c r="AB196" s="945"/>
    </row>
    <row r="197" ht="20.25" customHeight="1">
      <c r="A197" s="964"/>
      <c r="B197" s="965"/>
      <c r="C197" s="965"/>
      <c r="D197" s="966"/>
      <c r="E197" s="967"/>
      <c r="F197" s="965"/>
      <c r="G197" s="965"/>
      <c r="H197" s="965"/>
      <c r="I197" s="965"/>
      <c r="J197" s="965"/>
      <c r="K197" s="965"/>
      <c r="L197" s="965"/>
      <c r="M197" s="965"/>
      <c r="N197" s="965"/>
      <c r="O197" s="965"/>
      <c r="P197" s="965"/>
      <c r="Q197" s="945"/>
      <c r="R197" s="945"/>
      <c r="S197" s="945"/>
      <c r="T197" s="945"/>
      <c r="U197" s="945"/>
      <c r="V197" s="945"/>
      <c r="W197" s="945"/>
      <c r="X197" s="945"/>
      <c r="Y197" s="945"/>
      <c r="Z197" s="945"/>
      <c r="AA197" s="945"/>
      <c r="AB197" s="945"/>
    </row>
    <row r="198" ht="20.25" customHeight="1">
      <c r="A198" s="964"/>
      <c r="B198" s="965"/>
      <c r="C198" s="965"/>
      <c r="D198" s="966"/>
      <c r="E198" s="967"/>
      <c r="F198" s="965"/>
      <c r="G198" s="965"/>
      <c r="H198" s="965"/>
      <c r="I198" s="965"/>
      <c r="J198" s="965"/>
      <c r="K198" s="965"/>
      <c r="L198" s="965"/>
      <c r="M198" s="965"/>
      <c r="N198" s="965"/>
      <c r="O198" s="965"/>
      <c r="P198" s="965"/>
      <c r="Q198" s="945"/>
      <c r="R198" s="945"/>
      <c r="S198" s="945"/>
      <c r="T198" s="945"/>
      <c r="U198" s="945"/>
      <c r="V198" s="945"/>
      <c r="W198" s="945"/>
      <c r="X198" s="945"/>
      <c r="Y198" s="945"/>
      <c r="Z198" s="945"/>
      <c r="AA198" s="945"/>
      <c r="AB198" s="945"/>
    </row>
    <row r="199" ht="20.25" customHeight="1">
      <c r="A199" s="964"/>
      <c r="B199" s="965"/>
      <c r="C199" s="965"/>
      <c r="D199" s="966"/>
      <c r="E199" s="967"/>
      <c r="F199" s="965"/>
      <c r="G199" s="965"/>
      <c r="H199" s="965"/>
      <c r="I199" s="965"/>
      <c r="J199" s="965"/>
      <c r="K199" s="965"/>
      <c r="L199" s="965"/>
      <c r="M199" s="965"/>
      <c r="N199" s="965"/>
      <c r="O199" s="965"/>
      <c r="P199" s="965"/>
      <c r="Q199" s="945"/>
      <c r="R199" s="945"/>
      <c r="S199" s="945"/>
      <c r="T199" s="945"/>
      <c r="U199" s="945"/>
      <c r="V199" s="945"/>
      <c r="W199" s="945"/>
      <c r="X199" s="945"/>
      <c r="Y199" s="945"/>
      <c r="Z199" s="945"/>
      <c r="AA199" s="945"/>
      <c r="AB199" s="945"/>
    </row>
    <row r="200" ht="20.25" customHeight="1">
      <c r="A200" s="964"/>
      <c r="B200" s="965"/>
      <c r="C200" s="965"/>
      <c r="D200" s="966"/>
      <c r="E200" s="967"/>
      <c r="F200" s="965"/>
      <c r="G200" s="965"/>
      <c r="H200" s="965"/>
      <c r="I200" s="965"/>
      <c r="J200" s="965"/>
      <c r="K200" s="965"/>
      <c r="L200" s="965"/>
      <c r="M200" s="965"/>
      <c r="N200" s="965"/>
      <c r="O200" s="965"/>
      <c r="P200" s="965"/>
      <c r="Q200" s="945"/>
      <c r="R200" s="945"/>
      <c r="S200" s="945"/>
      <c r="T200" s="945"/>
      <c r="U200" s="945"/>
      <c r="V200" s="945"/>
      <c r="W200" s="945"/>
      <c r="X200" s="945"/>
      <c r="Y200" s="945"/>
      <c r="Z200" s="945"/>
      <c r="AA200" s="945"/>
      <c r="AB200" s="945"/>
    </row>
    <row r="201" ht="20.25" customHeight="1">
      <c r="A201" s="964"/>
      <c r="B201" s="965"/>
      <c r="C201" s="965"/>
      <c r="D201" s="966"/>
      <c r="E201" s="967"/>
      <c r="F201" s="965"/>
      <c r="G201" s="965"/>
      <c r="H201" s="965"/>
      <c r="I201" s="965"/>
      <c r="J201" s="965"/>
      <c r="K201" s="965"/>
      <c r="L201" s="965"/>
      <c r="M201" s="965"/>
      <c r="N201" s="965"/>
      <c r="O201" s="965"/>
      <c r="P201" s="965"/>
      <c r="Q201" s="945"/>
      <c r="R201" s="945"/>
      <c r="S201" s="945"/>
      <c r="T201" s="945"/>
      <c r="U201" s="945"/>
      <c r="V201" s="945"/>
      <c r="W201" s="945"/>
      <c r="X201" s="945"/>
      <c r="Y201" s="945"/>
      <c r="Z201" s="945"/>
      <c r="AA201" s="945"/>
      <c r="AB201" s="945"/>
    </row>
    <row r="202" ht="20.25" customHeight="1">
      <c r="A202" s="964"/>
      <c r="B202" s="965"/>
      <c r="C202" s="965"/>
      <c r="D202" s="966"/>
      <c r="E202" s="967"/>
      <c r="F202" s="965"/>
      <c r="G202" s="965"/>
      <c r="H202" s="965"/>
      <c r="I202" s="965"/>
      <c r="J202" s="965"/>
      <c r="K202" s="965"/>
      <c r="L202" s="965"/>
      <c r="M202" s="965"/>
      <c r="N202" s="965"/>
      <c r="O202" s="965"/>
      <c r="P202" s="965"/>
      <c r="Q202" s="945"/>
      <c r="R202" s="945"/>
      <c r="S202" s="945"/>
      <c r="T202" s="945"/>
      <c r="U202" s="945"/>
      <c r="V202" s="945"/>
      <c r="W202" s="945"/>
      <c r="X202" s="945"/>
      <c r="Y202" s="945"/>
      <c r="Z202" s="945"/>
      <c r="AA202" s="945"/>
      <c r="AB202" s="945"/>
    </row>
    <row r="203" ht="20.25" customHeight="1">
      <c r="A203" s="964"/>
      <c r="B203" s="965"/>
      <c r="C203" s="965"/>
      <c r="D203" s="966"/>
      <c r="E203" s="967"/>
      <c r="F203" s="965"/>
      <c r="G203" s="965"/>
      <c r="H203" s="965"/>
      <c r="I203" s="965"/>
      <c r="J203" s="965"/>
      <c r="K203" s="965"/>
      <c r="L203" s="965"/>
      <c r="M203" s="965"/>
      <c r="N203" s="965"/>
      <c r="O203" s="965"/>
      <c r="P203" s="965"/>
      <c r="Q203" s="945"/>
      <c r="R203" s="945"/>
      <c r="S203" s="945"/>
      <c r="T203" s="945"/>
      <c r="U203" s="945"/>
      <c r="V203" s="945"/>
      <c r="W203" s="945"/>
      <c r="X203" s="945"/>
      <c r="Y203" s="945"/>
      <c r="Z203" s="945"/>
      <c r="AA203" s="945"/>
      <c r="AB203" s="945"/>
    </row>
    <row r="204" ht="20.25" customHeight="1">
      <c r="A204" s="964"/>
      <c r="B204" s="965"/>
      <c r="C204" s="965"/>
      <c r="D204" s="966"/>
      <c r="E204" s="967"/>
      <c r="F204" s="965"/>
      <c r="G204" s="965"/>
      <c r="H204" s="965"/>
      <c r="I204" s="965"/>
      <c r="J204" s="965"/>
      <c r="K204" s="965"/>
      <c r="L204" s="965"/>
      <c r="M204" s="965"/>
      <c r="N204" s="965"/>
      <c r="O204" s="965"/>
      <c r="P204" s="965"/>
      <c r="Q204" s="945"/>
      <c r="R204" s="945"/>
      <c r="S204" s="945"/>
      <c r="T204" s="945"/>
      <c r="U204" s="945"/>
      <c r="V204" s="945"/>
      <c r="W204" s="945"/>
      <c r="X204" s="945"/>
      <c r="Y204" s="945"/>
      <c r="Z204" s="945"/>
      <c r="AA204" s="945"/>
      <c r="AB204" s="945"/>
    </row>
    <row r="205" ht="20.25" customHeight="1">
      <c r="A205" s="964"/>
      <c r="B205" s="965"/>
      <c r="C205" s="965"/>
      <c r="D205" s="966"/>
      <c r="E205" s="967"/>
      <c r="F205" s="965"/>
      <c r="G205" s="965"/>
      <c r="H205" s="965"/>
      <c r="I205" s="965"/>
      <c r="J205" s="965"/>
      <c r="K205" s="965"/>
      <c r="L205" s="965"/>
      <c r="M205" s="965"/>
      <c r="N205" s="965"/>
      <c r="O205" s="965"/>
      <c r="P205" s="965"/>
      <c r="Q205" s="945"/>
      <c r="R205" s="945"/>
      <c r="S205" s="945"/>
      <c r="T205" s="945"/>
      <c r="U205" s="945"/>
      <c r="V205" s="945"/>
      <c r="W205" s="945"/>
      <c r="X205" s="945"/>
      <c r="Y205" s="945"/>
      <c r="Z205" s="945"/>
      <c r="AA205" s="945"/>
      <c r="AB205" s="945"/>
    </row>
    <row r="206" ht="20.25" customHeight="1">
      <c r="A206" s="964"/>
      <c r="B206" s="965"/>
      <c r="C206" s="965"/>
      <c r="D206" s="966"/>
      <c r="E206" s="967"/>
      <c r="F206" s="965"/>
      <c r="G206" s="965"/>
      <c r="H206" s="965"/>
      <c r="I206" s="965"/>
      <c r="J206" s="965"/>
      <c r="K206" s="965"/>
      <c r="L206" s="965"/>
      <c r="M206" s="965"/>
      <c r="N206" s="965"/>
      <c r="O206" s="965"/>
      <c r="P206" s="965"/>
      <c r="Q206" s="945"/>
      <c r="R206" s="945"/>
      <c r="S206" s="945"/>
      <c r="T206" s="945"/>
      <c r="U206" s="945"/>
      <c r="V206" s="945"/>
      <c r="W206" s="945"/>
      <c r="X206" s="945"/>
      <c r="Y206" s="945"/>
      <c r="Z206" s="945"/>
      <c r="AA206" s="945"/>
      <c r="AB206" s="945"/>
    </row>
    <row r="207" ht="20.25" customHeight="1">
      <c r="A207" s="964"/>
      <c r="B207" s="965"/>
      <c r="C207" s="965"/>
      <c r="D207" s="966"/>
      <c r="E207" s="967"/>
      <c r="F207" s="965"/>
      <c r="G207" s="965"/>
      <c r="H207" s="965"/>
      <c r="I207" s="965"/>
      <c r="J207" s="965"/>
      <c r="K207" s="965"/>
      <c r="L207" s="965"/>
      <c r="M207" s="965"/>
      <c r="N207" s="965"/>
      <c r="O207" s="965"/>
      <c r="P207" s="965"/>
      <c r="Q207" s="945"/>
      <c r="R207" s="945"/>
      <c r="S207" s="945"/>
      <c r="T207" s="945"/>
      <c r="U207" s="945"/>
      <c r="V207" s="945"/>
      <c r="W207" s="945"/>
      <c r="X207" s="945"/>
      <c r="Y207" s="945"/>
      <c r="Z207" s="945"/>
      <c r="AA207" s="945"/>
      <c r="AB207" s="945"/>
    </row>
    <row r="208" ht="20.25" customHeight="1">
      <c r="A208" s="964"/>
      <c r="B208" s="965"/>
      <c r="C208" s="965"/>
      <c r="D208" s="966"/>
      <c r="E208" s="967"/>
      <c r="F208" s="965"/>
      <c r="G208" s="965"/>
      <c r="H208" s="965"/>
      <c r="I208" s="965"/>
      <c r="J208" s="965"/>
      <c r="K208" s="965"/>
      <c r="L208" s="965"/>
      <c r="M208" s="965"/>
      <c r="N208" s="965"/>
      <c r="O208" s="965"/>
      <c r="P208" s="965"/>
      <c r="Q208" s="945"/>
      <c r="R208" s="945"/>
      <c r="S208" s="945"/>
      <c r="T208" s="945"/>
      <c r="U208" s="945"/>
      <c r="V208" s="945"/>
      <c r="W208" s="945"/>
      <c r="X208" s="945"/>
      <c r="Y208" s="945"/>
      <c r="Z208" s="945"/>
      <c r="AA208" s="945"/>
      <c r="AB208" s="945"/>
    </row>
    <row r="209" ht="20.25" customHeight="1">
      <c r="A209" s="964"/>
      <c r="B209" s="965"/>
      <c r="C209" s="965"/>
      <c r="D209" s="966"/>
      <c r="E209" s="967"/>
      <c r="F209" s="965"/>
      <c r="G209" s="965"/>
      <c r="H209" s="965"/>
      <c r="I209" s="965"/>
      <c r="J209" s="965"/>
      <c r="K209" s="965"/>
      <c r="L209" s="965"/>
      <c r="M209" s="965"/>
      <c r="N209" s="965"/>
      <c r="O209" s="965"/>
      <c r="P209" s="965"/>
      <c r="Q209" s="945"/>
      <c r="R209" s="945"/>
      <c r="S209" s="945"/>
      <c r="T209" s="945"/>
      <c r="U209" s="945"/>
      <c r="V209" s="945"/>
      <c r="W209" s="945"/>
      <c r="X209" s="945"/>
      <c r="Y209" s="945"/>
      <c r="Z209" s="945"/>
      <c r="AA209" s="945"/>
      <c r="AB209" s="945"/>
    </row>
    <row r="210" ht="20.25" customHeight="1">
      <c r="A210" s="964"/>
      <c r="B210" s="965"/>
      <c r="C210" s="965"/>
      <c r="D210" s="966"/>
      <c r="E210" s="967"/>
      <c r="F210" s="965"/>
      <c r="G210" s="965"/>
      <c r="H210" s="965"/>
      <c r="I210" s="965"/>
      <c r="J210" s="965"/>
      <c r="K210" s="965"/>
      <c r="L210" s="965"/>
      <c r="M210" s="965"/>
      <c r="N210" s="965"/>
      <c r="O210" s="965"/>
      <c r="P210" s="965"/>
      <c r="Q210" s="945"/>
      <c r="R210" s="945"/>
      <c r="S210" s="945"/>
      <c r="T210" s="945"/>
      <c r="U210" s="945"/>
      <c r="V210" s="945"/>
      <c r="W210" s="945"/>
      <c r="X210" s="945"/>
      <c r="Y210" s="945"/>
      <c r="Z210" s="945"/>
      <c r="AA210" s="945"/>
      <c r="AB210" s="945"/>
    </row>
    <row r="211" ht="20.25" customHeight="1">
      <c r="A211" s="964"/>
      <c r="B211" s="965"/>
      <c r="C211" s="965"/>
      <c r="D211" s="966"/>
      <c r="E211" s="967"/>
      <c r="F211" s="965"/>
      <c r="G211" s="965"/>
      <c r="H211" s="965"/>
      <c r="I211" s="965"/>
      <c r="J211" s="965"/>
      <c r="K211" s="965"/>
      <c r="L211" s="965"/>
      <c r="M211" s="965"/>
      <c r="N211" s="965"/>
      <c r="O211" s="965"/>
      <c r="P211" s="965"/>
      <c r="Q211" s="945"/>
      <c r="R211" s="945"/>
      <c r="S211" s="945"/>
      <c r="T211" s="945"/>
      <c r="U211" s="945"/>
      <c r="V211" s="945"/>
      <c r="W211" s="945"/>
      <c r="X211" s="945"/>
      <c r="Y211" s="945"/>
      <c r="Z211" s="945"/>
      <c r="AA211" s="945"/>
      <c r="AB211" s="945"/>
    </row>
    <row r="212" ht="20.25" customHeight="1">
      <c r="A212" s="964"/>
      <c r="B212" s="965"/>
      <c r="C212" s="965"/>
      <c r="D212" s="966"/>
      <c r="E212" s="967"/>
      <c r="F212" s="965"/>
      <c r="G212" s="965"/>
      <c r="H212" s="965"/>
      <c r="I212" s="965"/>
      <c r="J212" s="965"/>
      <c r="K212" s="965"/>
      <c r="L212" s="965"/>
      <c r="M212" s="965"/>
      <c r="N212" s="965"/>
      <c r="O212" s="965"/>
      <c r="P212" s="965"/>
      <c r="Q212" s="945"/>
      <c r="R212" s="945"/>
      <c r="S212" s="945"/>
      <c r="T212" s="945"/>
      <c r="U212" s="945"/>
      <c r="V212" s="945"/>
      <c r="W212" s="945"/>
      <c r="X212" s="945"/>
      <c r="Y212" s="945"/>
      <c r="Z212" s="945"/>
      <c r="AA212" s="945"/>
      <c r="AB212" s="945"/>
    </row>
    <row r="213" ht="20.25" customHeight="1">
      <c r="A213" s="964"/>
      <c r="B213" s="965"/>
      <c r="C213" s="965"/>
      <c r="D213" s="966"/>
      <c r="E213" s="967"/>
      <c r="F213" s="965"/>
      <c r="G213" s="965"/>
      <c r="H213" s="965"/>
      <c r="I213" s="965"/>
      <c r="J213" s="965"/>
      <c r="K213" s="965"/>
      <c r="L213" s="965"/>
      <c r="M213" s="965"/>
      <c r="N213" s="965"/>
      <c r="O213" s="965"/>
      <c r="P213" s="965"/>
      <c r="Q213" s="945"/>
      <c r="R213" s="945"/>
      <c r="S213" s="945"/>
      <c r="T213" s="945"/>
      <c r="U213" s="945"/>
      <c r="V213" s="945"/>
      <c r="W213" s="945"/>
      <c r="X213" s="945"/>
      <c r="Y213" s="945"/>
      <c r="Z213" s="945"/>
      <c r="AA213" s="945"/>
      <c r="AB213" s="945"/>
    </row>
    <row r="214" ht="20.25" customHeight="1">
      <c r="A214" s="964"/>
      <c r="B214" s="965"/>
      <c r="C214" s="965"/>
      <c r="D214" s="966"/>
      <c r="E214" s="967"/>
      <c r="F214" s="965"/>
      <c r="G214" s="965"/>
      <c r="H214" s="965"/>
      <c r="I214" s="965"/>
      <c r="J214" s="965"/>
      <c r="K214" s="965"/>
      <c r="L214" s="965"/>
      <c r="M214" s="965"/>
      <c r="N214" s="965"/>
      <c r="O214" s="965"/>
      <c r="P214" s="965"/>
      <c r="Q214" s="945"/>
      <c r="R214" s="945"/>
      <c r="S214" s="945"/>
      <c r="T214" s="945"/>
      <c r="U214" s="945"/>
      <c r="V214" s="945"/>
      <c r="W214" s="945"/>
      <c r="X214" s="945"/>
      <c r="Y214" s="945"/>
      <c r="Z214" s="945"/>
      <c r="AA214" s="945"/>
      <c r="AB214" s="945"/>
    </row>
    <row r="215" ht="20.25" customHeight="1">
      <c r="A215" s="964"/>
      <c r="B215" s="965"/>
      <c r="C215" s="965"/>
      <c r="D215" s="966"/>
      <c r="E215" s="967"/>
      <c r="F215" s="965"/>
      <c r="G215" s="965"/>
      <c r="H215" s="965"/>
      <c r="I215" s="965"/>
      <c r="J215" s="965"/>
      <c r="K215" s="965"/>
      <c r="L215" s="965"/>
      <c r="M215" s="965"/>
      <c r="N215" s="965"/>
      <c r="O215" s="965"/>
      <c r="P215" s="965"/>
      <c r="Q215" s="945"/>
      <c r="R215" s="945"/>
      <c r="S215" s="945"/>
      <c r="T215" s="945"/>
      <c r="U215" s="945"/>
      <c r="V215" s="945"/>
      <c r="W215" s="945"/>
      <c r="X215" s="945"/>
      <c r="Y215" s="945"/>
      <c r="Z215" s="945"/>
      <c r="AA215" s="945"/>
      <c r="AB215" s="945"/>
    </row>
    <row r="216" ht="20.25" customHeight="1">
      <c r="A216" s="964"/>
      <c r="B216" s="965"/>
      <c r="C216" s="965"/>
      <c r="D216" s="966"/>
      <c r="E216" s="967"/>
      <c r="F216" s="965"/>
      <c r="G216" s="965"/>
      <c r="H216" s="965"/>
      <c r="I216" s="965"/>
      <c r="J216" s="965"/>
      <c r="K216" s="965"/>
      <c r="L216" s="965"/>
      <c r="M216" s="965"/>
      <c r="N216" s="965"/>
      <c r="O216" s="965"/>
      <c r="P216" s="965"/>
      <c r="Q216" s="945"/>
      <c r="R216" s="945"/>
      <c r="S216" s="945"/>
      <c r="T216" s="945"/>
      <c r="U216" s="945"/>
      <c r="V216" s="945"/>
      <c r="W216" s="945"/>
      <c r="X216" s="945"/>
      <c r="Y216" s="945"/>
      <c r="Z216" s="945"/>
      <c r="AA216" s="945"/>
      <c r="AB216" s="945"/>
    </row>
    <row r="217" ht="20.25" customHeight="1">
      <c r="A217" s="964"/>
      <c r="B217" s="965"/>
      <c r="C217" s="965"/>
      <c r="D217" s="966"/>
      <c r="E217" s="967"/>
      <c r="F217" s="965"/>
      <c r="G217" s="965"/>
      <c r="H217" s="965"/>
      <c r="I217" s="965"/>
      <c r="J217" s="965"/>
      <c r="K217" s="965"/>
      <c r="L217" s="965"/>
      <c r="M217" s="965"/>
      <c r="N217" s="965"/>
      <c r="O217" s="965"/>
      <c r="P217" s="965"/>
      <c r="Q217" s="945"/>
      <c r="R217" s="945"/>
      <c r="S217" s="945"/>
      <c r="T217" s="945"/>
      <c r="U217" s="945"/>
      <c r="V217" s="945"/>
      <c r="W217" s="945"/>
      <c r="X217" s="945"/>
      <c r="Y217" s="945"/>
      <c r="Z217" s="945"/>
      <c r="AA217" s="945"/>
      <c r="AB217" s="945"/>
    </row>
    <row r="218" ht="20.25" customHeight="1">
      <c r="A218" s="964"/>
      <c r="B218" s="965"/>
      <c r="C218" s="965"/>
      <c r="D218" s="966"/>
      <c r="E218" s="967"/>
      <c r="F218" s="965"/>
      <c r="G218" s="965"/>
      <c r="H218" s="965"/>
      <c r="I218" s="965"/>
      <c r="J218" s="965"/>
      <c r="K218" s="965"/>
      <c r="L218" s="965"/>
      <c r="M218" s="965"/>
      <c r="N218" s="965"/>
      <c r="O218" s="965"/>
      <c r="P218" s="965"/>
      <c r="Q218" s="945"/>
      <c r="R218" s="945"/>
      <c r="S218" s="945"/>
      <c r="T218" s="945"/>
      <c r="U218" s="945"/>
      <c r="V218" s="945"/>
      <c r="W218" s="945"/>
      <c r="X218" s="945"/>
      <c r="Y218" s="945"/>
      <c r="Z218" s="945"/>
      <c r="AA218" s="945"/>
      <c r="AB218" s="945"/>
    </row>
    <row r="219" ht="20.25" customHeight="1">
      <c r="A219" s="964"/>
      <c r="B219" s="965"/>
      <c r="C219" s="965"/>
      <c r="D219" s="966"/>
      <c r="E219" s="967"/>
      <c r="F219" s="965"/>
      <c r="G219" s="965"/>
      <c r="H219" s="965"/>
      <c r="I219" s="965"/>
      <c r="J219" s="965"/>
      <c r="K219" s="965"/>
      <c r="L219" s="965"/>
      <c r="M219" s="965"/>
      <c r="N219" s="965"/>
      <c r="O219" s="965"/>
      <c r="P219" s="965"/>
      <c r="Q219" s="945"/>
      <c r="R219" s="945"/>
      <c r="S219" s="945"/>
      <c r="T219" s="945"/>
      <c r="U219" s="945"/>
      <c r="V219" s="945"/>
      <c r="W219" s="945"/>
      <c r="X219" s="945"/>
      <c r="Y219" s="945"/>
      <c r="Z219" s="945"/>
      <c r="AA219" s="945"/>
      <c r="AB219" s="945"/>
    </row>
    <row r="220" ht="20.25" customHeight="1">
      <c r="A220" s="964"/>
      <c r="B220" s="965"/>
      <c r="C220" s="965"/>
      <c r="D220" s="966"/>
      <c r="E220" s="967"/>
      <c r="F220" s="965"/>
      <c r="G220" s="965"/>
      <c r="H220" s="965"/>
      <c r="I220" s="965"/>
      <c r="J220" s="965"/>
      <c r="K220" s="965"/>
      <c r="L220" s="965"/>
      <c r="M220" s="965"/>
      <c r="N220" s="965"/>
      <c r="O220" s="965"/>
      <c r="P220" s="965"/>
      <c r="Q220" s="945"/>
      <c r="R220" s="945"/>
      <c r="S220" s="945"/>
      <c r="T220" s="945"/>
      <c r="U220" s="945"/>
      <c r="V220" s="945"/>
      <c r="W220" s="945"/>
      <c r="X220" s="945"/>
      <c r="Y220" s="945"/>
      <c r="Z220" s="945"/>
      <c r="AA220" s="945"/>
      <c r="AB220" s="945"/>
    </row>
    <row r="221" ht="20.25" customHeight="1">
      <c r="A221" s="964"/>
      <c r="B221" s="965"/>
      <c r="C221" s="965"/>
      <c r="D221" s="966"/>
      <c r="E221" s="967"/>
      <c r="F221" s="965"/>
      <c r="G221" s="965"/>
      <c r="H221" s="965"/>
      <c r="I221" s="965"/>
      <c r="J221" s="965"/>
      <c r="K221" s="965"/>
      <c r="L221" s="965"/>
      <c r="M221" s="965"/>
      <c r="N221" s="965"/>
      <c r="O221" s="965"/>
      <c r="P221" s="965"/>
      <c r="Q221" s="945"/>
      <c r="R221" s="945"/>
      <c r="S221" s="945"/>
      <c r="T221" s="945"/>
      <c r="U221" s="945"/>
      <c r="V221" s="945"/>
      <c r="W221" s="945"/>
      <c r="X221" s="945"/>
      <c r="Y221" s="945"/>
      <c r="Z221" s="945"/>
      <c r="AA221" s="945"/>
      <c r="AB221" s="945"/>
    </row>
    <row r="222" ht="20.25" customHeight="1">
      <c r="A222" s="964"/>
      <c r="B222" s="965"/>
      <c r="C222" s="965"/>
      <c r="D222" s="966"/>
      <c r="E222" s="967"/>
      <c r="F222" s="965"/>
      <c r="G222" s="965"/>
      <c r="H222" s="965"/>
      <c r="I222" s="965"/>
      <c r="J222" s="965"/>
      <c r="K222" s="965"/>
      <c r="L222" s="965"/>
      <c r="M222" s="965"/>
      <c r="N222" s="965"/>
      <c r="O222" s="965"/>
      <c r="P222" s="965"/>
      <c r="Q222" s="945"/>
      <c r="R222" s="945"/>
      <c r="S222" s="945"/>
      <c r="T222" s="945"/>
      <c r="U222" s="945"/>
      <c r="V222" s="945"/>
      <c r="W222" s="945"/>
      <c r="X222" s="945"/>
      <c r="Y222" s="945"/>
      <c r="Z222" s="945"/>
      <c r="AA222" s="945"/>
      <c r="AB222" s="945"/>
    </row>
    <row r="223" ht="20.25" customHeight="1">
      <c r="A223" s="964"/>
      <c r="B223" s="965"/>
      <c r="C223" s="965"/>
      <c r="D223" s="966"/>
      <c r="E223" s="967"/>
      <c r="F223" s="965"/>
      <c r="G223" s="965"/>
      <c r="H223" s="965"/>
      <c r="I223" s="965"/>
      <c r="J223" s="965"/>
      <c r="K223" s="965"/>
      <c r="L223" s="965"/>
      <c r="M223" s="965"/>
      <c r="N223" s="965"/>
      <c r="O223" s="965"/>
      <c r="P223" s="965"/>
      <c r="Q223" s="945"/>
      <c r="R223" s="945"/>
      <c r="S223" s="945"/>
      <c r="T223" s="945"/>
      <c r="U223" s="945"/>
      <c r="V223" s="945"/>
      <c r="W223" s="945"/>
      <c r="X223" s="945"/>
      <c r="Y223" s="945"/>
      <c r="Z223" s="945"/>
      <c r="AA223" s="945"/>
      <c r="AB223" s="945"/>
    </row>
    <row r="224" ht="20.25" customHeight="1">
      <c r="A224" s="964"/>
      <c r="B224" s="965"/>
      <c r="C224" s="965"/>
      <c r="D224" s="966"/>
      <c r="E224" s="967"/>
      <c r="F224" s="965"/>
      <c r="G224" s="965"/>
      <c r="H224" s="965"/>
      <c r="I224" s="965"/>
      <c r="J224" s="965"/>
      <c r="K224" s="965"/>
      <c r="L224" s="965"/>
      <c r="M224" s="965"/>
      <c r="N224" s="965"/>
      <c r="O224" s="965"/>
      <c r="P224" s="965"/>
      <c r="Q224" s="945"/>
      <c r="R224" s="945"/>
      <c r="S224" s="945"/>
      <c r="T224" s="945"/>
      <c r="U224" s="945"/>
      <c r="V224" s="945"/>
      <c r="W224" s="945"/>
      <c r="X224" s="945"/>
      <c r="Y224" s="945"/>
      <c r="Z224" s="945"/>
      <c r="AA224" s="945"/>
      <c r="AB224" s="945"/>
    </row>
    <row r="225" ht="20.25" customHeight="1">
      <c r="A225" s="964"/>
      <c r="B225" s="965"/>
      <c r="C225" s="965"/>
      <c r="D225" s="966"/>
      <c r="E225" s="967"/>
      <c r="F225" s="965"/>
      <c r="G225" s="965"/>
      <c r="H225" s="965"/>
      <c r="I225" s="965"/>
      <c r="J225" s="965"/>
      <c r="K225" s="965"/>
      <c r="L225" s="965"/>
      <c r="M225" s="965"/>
      <c r="N225" s="965"/>
      <c r="O225" s="965"/>
      <c r="P225" s="965"/>
      <c r="Q225" s="945"/>
      <c r="R225" s="945"/>
      <c r="S225" s="945"/>
      <c r="T225" s="945"/>
      <c r="U225" s="945"/>
      <c r="V225" s="945"/>
      <c r="W225" s="945"/>
      <c r="X225" s="945"/>
      <c r="Y225" s="945"/>
      <c r="Z225" s="945"/>
      <c r="AA225" s="945"/>
      <c r="AB225" s="945"/>
    </row>
    <row r="226" ht="20.25" customHeight="1">
      <c r="A226" s="964"/>
      <c r="B226" s="965"/>
      <c r="C226" s="965"/>
      <c r="D226" s="966"/>
      <c r="E226" s="967"/>
      <c r="F226" s="965"/>
      <c r="G226" s="965"/>
      <c r="H226" s="965"/>
      <c r="I226" s="965"/>
      <c r="J226" s="965"/>
      <c r="K226" s="965"/>
      <c r="L226" s="965"/>
      <c r="M226" s="965"/>
      <c r="N226" s="965"/>
      <c r="O226" s="965"/>
      <c r="P226" s="965"/>
      <c r="Q226" s="945"/>
      <c r="R226" s="945"/>
      <c r="S226" s="945"/>
      <c r="T226" s="945"/>
      <c r="U226" s="945"/>
      <c r="V226" s="945"/>
      <c r="W226" s="945"/>
      <c r="X226" s="945"/>
      <c r="Y226" s="945"/>
      <c r="Z226" s="945"/>
      <c r="AA226" s="945"/>
      <c r="AB226" s="945"/>
    </row>
    <row r="227" ht="20.25" customHeight="1">
      <c r="A227" s="964"/>
      <c r="B227" s="965"/>
      <c r="C227" s="965"/>
      <c r="D227" s="966"/>
      <c r="E227" s="967"/>
      <c r="F227" s="965"/>
      <c r="G227" s="965"/>
      <c r="H227" s="965"/>
      <c r="I227" s="965"/>
      <c r="J227" s="965"/>
      <c r="K227" s="965"/>
      <c r="L227" s="965"/>
      <c r="M227" s="965"/>
      <c r="N227" s="965"/>
      <c r="O227" s="965"/>
      <c r="P227" s="965"/>
      <c r="Q227" s="945"/>
      <c r="R227" s="945"/>
      <c r="S227" s="945"/>
      <c r="T227" s="945"/>
      <c r="U227" s="945"/>
      <c r="V227" s="945"/>
      <c r="W227" s="945"/>
      <c r="X227" s="945"/>
      <c r="Y227" s="945"/>
      <c r="Z227" s="945"/>
      <c r="AA227" s="945"/>
      <c r="AB227" s="945"/>
    </row>
    <row r="228" ht="20.25" customHeight="1">
      <c r="A228" s="964"/>
      <c r="B228" s="965"/>
      <c r="C228" s="965"/>
      <c r="D228" s="966"/>
      <c r="E228" s="967"/>
      <c r="F228" s="965"/>
      <c r="G228" s="965"/>
      <c r="H228" s="965"/>
      <c r="I228" s="965"/>
      <c r="J228" s="965"/>
      <c r="K228" s="965"/>
      <c r="L228" s="965"/>
      <c r="M228" s="965"/>
      <c r="N228" s="965"/>
      <c r="O228" s="965"/>
      <c r="P228" s="965"/>
      <c r="Q228" s="945"/>
      <c r="R228" s="945"/>
      <c r="S228" s="945"/>
      <c r="T228" s="945"/>
      <c r="U228" s="945"/>
      <c r="V228" s="945"/>
      <c r="W228" s="945"/>
      <c r="X228" s="945"/>
      <c r="Y228" s="945"/>
      <c r="Z228" s="945"/>
      <c r="AA228" s="945"/>
      <c r="AB228" s="945"/>
    </row>
    <row r="229" ht="20.25" customHeight="1">
      <c r="A229" s="964"/>
      <c r="B229" s="965"/>
      <c r="C229" s="965"/>
      <c r="D229" s="966"/>
      <c r="E229" s="967"/>
      <c r="F229" s="965"/>
      <c r="G229" s="965"/>
      <c r="H229" s="965"/>
      <c r="I229" s="965"/>
      <c r="J229" s="965"/>
      <c r="K229" s="965"/>
      <c r="L229" s="965"/>
      <c r="M229" s="965"/>
      <c r="N229" s="965"/>
      <c r="O229" s="965"/>
      <c r="P229" s="965"/>
      <c r="Q229" s="945"/>
      <c r="R229" s="945"/>
      <c r="S229" s="945"/>
      <c r="T229" s="945"/>
      <c r="U229" s="945"/>
      <c r="V229" s="945"/>
      <c r="W229" s="945"/>
      <c r="X229" s="945"/>
      <c r="Y229" s="945"/>
      <c r="Z229" s="945"/>
      <c r="AA229" s="945"/>
      <c r="AB229" s="945"/>
    </row>
    <row r="230" ht="20.25" customHeight="1">
      <c r="A230" s="964"/>
      <c r="B230" s="965"/>
      <c r="C230" s="965"/>
      <c r="D230" s="966"/>
      <c r="E230" s="967"/>
      <c r="F230" s="965"/>
      <c r="G230" s="965"/>
      <c r="H230" s="965"/>
      <c r="I230" s="965"/>
      <c r="J230" s="965"/>
      <c r="K230" s="965"/>
      <c r="L230" s="965"/>
      <c r="M230" s="965"/>
      <c r="N230" s="965"/>
      <c r="O230" s="965"/>
      <c r="P230" s="965"/>
      <c r="Q230" s="945"/>
      <c r="R230" s="945"/>
      <c r="S230" s="945"/>
      <c r="T230" s="945"/>
      <c r="U230" s="945"/>
      <c r="V230" s="945"/>
      <c r="W230" s="945"/>
      <c r="X230" s="945"/>
      <c r="Y230" s="945"/>
      <c r="Z230" s="945"/>
      <c r="AA230" s="945"/>
      <c r="AB230" s="945"/>
    </row>
    <row r="231" ht="20.25" customHeight="1">
      <c r="A231" s="964"/>
      <c r="B231" s="965"/>
      <c r="C231" s="965"/>
      <c r="D231" s="966"/>
      <c r="E231" s="967"/>
      <c r="F231" s="965"/>
      <c r="G231" s="965"/>
      <c r="H231" s="965"/>
      <c r="I231" s="965"/>
      <c r="J231" s="965"/>
      <c r="K231" s="965"/>
      <c r="L231" s="965"/>
      <c r="M231" s="965"/>
      <c r="N231" s="965"/>
      <c r="O231" s="965"/>
      <c r="P231" s="965"/>
      <c r="Q231" s="945"/>
      <c r="R231" s="945"/>
      <c r="S231" s="945"/>
      <c r="T231" s="945"/>
      <c r="U231" s="945"/>
      <c r="V231" s="945"/>
      <c r="W231" s="945"/>
      <c r="X231" s="945"/>
      <c r="Y231" s="945"/>
      <c r="Z231" s="945"/>
      <c r="AA231" s="945"/>
      <c r="AB231" s="945"/>
    </row>
    <row r="232" ht="20.25" customHeight="1">
      <c r="A232" s="964"/>
      <c r="B232" s="965"/>
      <c r="C232" s="965"/>
      <c r="D232" s="966"/>
      <c r="E232" s="967"/>
      <c r="F232" s="965"/>
      <c r="G232" s="965"/>
      <c r="H232" s="965"/>
      <c r="I232" s="965"/>
      <c r="J232" s="965"/>
      <c r="K232" s="965"/>
      <c r="L232" s="965"/>
      <c r="M232" s="965"/>
      <c r="N232" s="965"/>
      <c r="O232" s="965"/>
      <c r="P232" s="965"/>
      <c r="Q232" s="945"/>
      <c r="R232" s="945"/>
      <c r="S232" s="945"/>
      <c r="T232" s="945"/>
      <c r="U232" s="945"/>
      <c r="V232" s="945"/>
      <c r="W232" s="945"/>
      <c r="X232" s="945"/>
      <c r="Y232" s="945"/>
      <c r="Z232" s="945"/>
      <c r="AA232" s="945"/>
      <c r="AB232" s="945"/>
    </row>
    <row r="233" ht="20.25" customHeight="1">
      <c r="A233" s="964"/>
      <c r="B233" s="965"/>
      <c r="C233" s="965"/>
      <c r="D233" s="966"/>
      <c r="E233" s="967"/>
      <c r="F233" s="965"/>
      <c r="G233" s="965"/>
      <c r="H233" s="965"/>
      <c r="I233" s="965"/>
      <c r="J233" s="965"/>
      <c r="K233" s="965"/>
      <c r="L233" s="965"/>
      <c r="M233" s="965"/>
      <c r="N233" s="965"/>
      <c r="O233" s="965"/>
      <c r="P233" s="965"/>
      <c r="Q233" s="945"/>
      <c r="R233" s="945"/>
      <c r="S233" s="945"/>
      <c r="T233" s="945"/>
      <c r="U233" s="945"/>
      <c r="V233" s="945"/>
      <c r="W233" s="945"/>
      <c r="X233" s="945"/>
      <c r="Y233" s="945"/>
      <c r="Z233" s="945"/>
      <c r="AA233" s="945"/>
      <c r="AB233" s="945"/>
    </row>
    <row r="234" ht="20.25" customHeight="1">
      <c r="A234" s="964"/>
      <c r="B234" s="965"/>
      <c r="C234" s="965"/>
      <c r="D234" s="966"/>
      <c r="E234" s="967"/>
      <c r="F234" s="965"/>
      <c r="G234" s="965"/>
      <c r="H234" s="965"/>
      <c r="I234" s="965"/>
      <c r="J234" s="965"/>
      <c r="K234" s="965"/>
      <c r="L234" s="965"/>
      <c r="M234" s="965"/>
      <c r="N234" s="965"/>
      <c r="O234" s="965"/>
      <c r="P234" s="965"/>
      <c r="Q234" s="945"/>
      <c r="R234" s="945"/>
      <c r="S234" s="945"/>
      <c r="T234" s="945"/>
      <c r="U234" s="945"/>
      <c r="V234" s="945"/>
      <c r="W234" s="945"/>
      <c r="X234" s="945"/>
      <c r="Y234" s="945"/>
      <c r="Z234" s="945"/>
      <c r="AA234" s="945"/>
      <c r="AB234" s="945"/>
    </row>
    <row r="235" ht="20.25" customHeight="1">
      <c r="A235" s="964"/>
      <c r="B235" s="965"/>
      <c r="C235" s="965"/>
      <c r="D235" s="966"/>
      <c r="E235" s="967"/>
      <c r="F235" s="965"/>
      <c r="G235" s="965"/>
      <c r="H235" s="965"/>
      <c r="I235" s="965"/>
      <c r="J235" s="965"/>
      <c r="K235" s="965"/>
      <c r="L235" s="965"/>
      <c r="M235" s="965"/>
      <c r="N235" s="965"/>
      <c r="O235" s="965"/>
      <c r="P235" s="965"/>
      <c r="Q235" s="945"/>
      <c r="R235" s="945"/>
      <c r="S235" s="945"/>
      <c r="T235" s="945"/>
      <c r="U235" s="945"/>
      <c r="V235" s="945"/>
      <c r="W235" s="945"/>
      <c r="X235" s="945"/>
      <c r="Y235" s="945"/>
      <c r="Z235" s="945"/>
      <c r="AA235" s="945"/>
      <c r="AB235" s="945"/>
    </row>
    <row r="236" ht="20.25" customHeight="1">
      <c r="A236" s="964"/>
      <c r="B236" s="965"/>
      <c r="C236" s="965"/>
      <c r="D236" s="966"/>
      <c r="E236" s="967"/>
      <c r="F236" s="965"/>
      <c r="G236" s="965"/>
      <c r="H236" s="965"/>
      <c r="I236" s="965"/>
      <c r="J236" s="965"/>
      <c r="K236" s="965"/>
      <c r="L236" s="965"/>
      <c r="M236" s="965"/>
      <c r="N236" s="965"/>
      <c r="O236" s="965"/>
      <c r="P236" s="965"/>
      <c r="Q236" s="945"/>
      <c r="R236" s="945"/>
      <c r="S236" s="945"/>
      <c r="T236" s="945"/>
      <c r="U236" s="945"/>
      <c r="V236" s="945"/>
      <c r="W236" s="945"/>
      <c r="X236" s="945"/>
      <c r="Y236" s="945"/>
      <c r="Z236" s="945"/>
      <c r="AA236" s="945"/>
      <c r="AB236" s="945"/>
    </row>
    <row r="237" ht="20.25" customHeight="1">
      <c r="A237" s="964"/>
      <c r="B237" s="965"/>
      <c r="C237" s="965"/>
      <c r="D237" s="966"/>
      <c r="E237" s="967"/>
      <c r="F237" s="965"/>
      <c r="G237" s="965"/>
      <c r="H237" s="965"/>
      <c r="I237" s="965"/>
      <c r="J237" s="965"/>
      <c r="K237" s="965"/>
      <c r="L237" s="965"/>
      <c r="M237" s="965"/>
      <c r="N237" s="965"/>
      <c r="O237" s="965"/>
      <c r="P237" s="965"/>
      <c r="Q237" s="945"/>
      <c r="R237" s="945"/>
      <c r="S237" s="945"/>
      <c r="T237" s="945"/>
      <c r="U237" s="945"/>
      <c r="V237" s="945"/>
      <c r="W237" s="945"/>
      <c r="X237" s="945"/>
      <c r="Y237" s="945"/>
      <c r="Z237" s="945"/>
      <c r="AA237" s="945"/>
      <c r="AB237" s="945"/>
    </row>
    <row r="238" ht="20.25" customHeight="1">
      <c r="A238" s="964"/>
      <c r="B238" s="965"/>
      <c r="C238" s="965"/>
      <c r="D238" s="966"/>
      <c r="E238" s="967"/>
      <c r="F238" s="965"/>
      <c r="G238" s="965"/>
      <c r="H238" s="965"/>
      <c r="I238" s="965"/>
      <c r="J238" s="965"/>
      <c r="K238" s="965"/>
      <c r="L238" s="965"/>
      <c r="M238" s="965"/>
      <c r="N238" s="965"/>
      <c r="O238" s="965"/>
      <c r="P238" s="965"/>
      <c r="Q238" s="945"/>
      <c r="R238" s="945"/>
      <c r="S238" s="945"/>
      <c r="T238" s="945"/>
      <c r="U238" s="945"/>
      <c r="V238" s="945"/>
      <c r="W238" s="945"/>
      <c r="X238" s="945"/>
      <c r="Y238" s="945"/>
      <c r="Z238" s="945"/>
      <c r="AA238" s="945"/>
      <c r="AB238" s="945"/>
    </row>
    <row r="239" ht="20.25" customHeight="1">
      <c r="A239" s="964"/>
      <c r="B239" s="965"/>
      <c r="C239" s="965"/>
      <c r="D239" s="966"/>
      <c r="E239" s="967"/>
      <c r="F239" s="965"/>
      <c r="G239" s="965"/>
      <c r="H239" s="965"/>
      <c r="I239" s="965"/>
      <c r="J239" s="965"/>
      <c r="K239" s="965"/>
      <c r="L239" s="965"/>
      <c r="M239" s="965"/>
      <c r="N239" s="965"/>
      <c r="O239" s="965"/>
      <c r="P239" s="965"/>
      <c r="Q239" s="945"/>
      <c r="R239" s="945"/>
      <c r="S239" s="945"/>
      <c r="T239" s="945"/>
      <c r="U239" s="945"/>
      <c r="V239" s="945"/>
      <c r="W239" s="945"/>
      <c r="X239" s="945"/>
      <c r="Y239" s="945"/>
      <c r="Z239" s="945"/>
      <c r="AA239" s="945"/>
      <c r="AB239" s="945"/>
    </row>
    <row r="240" ht="20.25" customHeight="1">
      <c r="A240" s="964"/>
      <c r="B240" s="965"/>
      <c r="C240" s="965"/>
      <c r="D240" s="966"/>
      <c r="E240" s="967"/>
      <c r="F240" s="965"/>
      <c r="G240" s="965"/>
      <c r="H240" s="965"/>
      <c r="I240" s="965"/>
      <c r="J240" s="965"/>
      <c r="K240" s="965"/>
      <c r="L240" s="965"/>
      <c r="M240" s="965"/>
      <c r="N240" s="965"/>
      <c r="O240" s="965"/>
      <c r="P240" s="965"/>
      <c r="Q240" s="945"/>
      <c r="R240" s="945"/>
      <c r="S240" s="945"/>
      <c r="T240" s="945"/>
      <c r="U240" s="945"/>
      <c r="V240" s="945"/>
      <c r="W240" s="945"/>
      <c r="X240" s="945"/>
      <c r="Y240" s="945"/>
      <c r="Z240" s="945"/>
      <c r="AA240" s="945"/>
      <c r="AB240" s="945"/>
    </row>
    <row r="241" ht="20.25" customHeight="1">
      <c r="A241" s="964"/>
      <c r="B241" s="965"/>
      <c r="C241" s="965"/>
      <c r="D241" s="966"/>
      <c r="E241" s="967"/>
      <c r="F241" s="965"/>
      <c r="G241" s="965"/>
      <c r="H241" s="965"/>
      <c r="I241" s="965"/>
      <c r="J241" s="965"/>
      <c r="K241" s="965"/>
      <c r="L241" s="965"/>
      <c r="M241" s="965"/>
      <c r="N241" s="965"/>
      <c r="O241" s="965"/>
      <c r="P241" s="965"/>
      <c r="Q241" s="945"/>
      <c r="R241" s="945"/>
      <c r="S241" s="945"/>
      <c r="T241" s="945"/>
      <c r="U241" s="945"/>
      <c r="V241" s="945"/>
      <c r="W241" s="945"/>
      <c r="X241" s="945"/>
      <c r="Y241" s="945"/>
      <c r="Z241" s="945"/>
      <c r="AA241" s="945"/>
      <c r="AB241" s="945"/>
    </row>
    <row r="242" ht="20.25" customHeight="1">
      <c r="A242" s="964"/>
      <c r="B242" s="965"/>
      <c r="C242" s="965"/>
      <c r="D242" s="966"/>
      <c r="E242" s="967"/>
      <c r="F242" s="965"/>
      <c r="G242" s="965"/>
      <c r="H242" s="965"/>
      <c r="I242" s="965"/>
      <c r="J242" s="965"/>
      <c r="K242" s="965"/>
      <c r="L242" s="965"/>
      <c r="M242" s="965"/>
      <c r="N242" s="965"/>
      <c r="O242" s="965"/>
      <c r="P242" s="965"/>
      <c r="Q242" s="945"/>
      <c r="R242" s="945"/>
      <c r="S242" s="945"/>
      <c r="T242" s="945"/>
      <c r="U242" s="945"/>
      <c r="V242" s="945"/>
      <c r="W242" s="945"/>
      <c r="X242" s="945"/>
      <c r="Y242" s="945"/>
      <c r="Z242" s="945"/>
      <c r="AA242" s="945"/>
      <c r="AB242" s="945"/>
    </row>
    <row r="243" ht="20.25" customHeight="1">
      <c r="A243" s="964"/>
      <c r="B243" s="965"/>
      <c r="C243" s="965"/>
      <c r="D243" s="966"/>
      <c r="E243" s="967"/>
      <c r="F243" s="965"/>
      <c r="G243" s="965"/>
      <c r="H243" s="965"/>
      <c r="I243" s="965"/>
      <c r="J243" s="965"/>
      <c r="K243" s="965"/>
      <c r="L243" s="965"/>
      <c r="M243" s="965"/>
      <c r="N243" s="965"/>
      <c r="O243" s="965"/>
      <c r="P243" s="965"/>
      <c r="Q243" s="945"/>
      <c r="R243" s="945"/>
      <c r="S243" s="945"/>
      <c r="T243" s="945"/>
      <c r="U243" s="945"/>
      <c r="V243" s="945"/>
      <c r="W243" s="945"/>
      <c r="X243" s="945"/>
      <c r="Y243" s="945"/>
      <c r="Z243" s="945"/>
      <c r="AA243" s="945"/>
      <c r="AB243" s="945"/>
    </row>
    <row r="244" ht="20.25" customHeight="1">
      <c r="A244" s="964"/>
      <c r="B244" s="965"/>
      <c r="C244" s="965"/>
      <c r="D244" s="966"/>
      <c r="E244" s="967"/>
      <c r="F244" s="965"/>
      <c r="G244" s="965"/>
      <c r="H244" s="965"/>
      <c r="I244" s="965"/>
      <c r="J244" s="965"/>
      <c r="K244" s="965"/>
      <c r="L244" s="965"/>
      <c r="M244" s="965"/>
      <c r="N244" s="965"/>
      <c r="O244" s="965"/>
      <c r="P244" s="965"/>
      <c r="Q244" s="945"/>
      <c r="R244" s="945"/>
      <c r="S244" s="945"/>
      <c r="T244" s="945"/>
      <c r="U244" s="945"/>
      <c r="V244" s="945"/>
      <c r="W244" s="945"/>
      <c r="X244" s="945"/>
      <c r="Y244" s="945"/>
      <c r="Z244" s="945"/>
      <c r="AA244" s="945"/>
      <c r="AB244" s="945"/>
    </row>
    <row r="245" ht="20.25" customHeight="1">
      <c r="A245" s="964"/>
      <c r="B245" s="965"/>
      <c r="C245" s="965"/>
      <c r="D245" s="966"/>
      <c r="E245" s="967"/>
      <c r="F245" s="965"/>
      <c r="G245" s="965"/>
      <c r="H245" s="965"/>
      <c r="I245" s="965"/>
      <c r="J245" s="965"/>
      <c r="K245" s="965"/>
      <c r="L245" s="965"/>
      <c r="M245" s="965"/>
      <c r="N245" s="965"/>
      <c r="O245" s="965"/>
      <c r="P245" s="965"/>
      <c r="Q245" s="945"/>
      <c r="R245" s="945"/>
      <c r="S245" s="945"/>
      <c r="T245" s="945"/>
      <c r="U245" s="945"/>
      <c r="V245" s="945"/>
      <c r="W245" s="945"/>
      <c r="X245" s="945"/>
      <c r="Y245" s="945"/>
      <c r="Z245" s="945"/>
      <c r="AA245" s="945"/>
      <c r="AB245" s="945"/>
    </row>
    <row r="246" ht="20.25" customHeight="1">
      <c r="A246" s="964"/>
      <c r="B246" s="965"/>
      <c r="C246" s="965"/>
      <c r="D246" s="966"/>
      <c r="E246" s="967"/>
      <c r="F246" s="965"/>
      <c r="G246" s="965"/>
      <c r="H246" s="965"/>
      <c r="I246" s="965"/>
      <c r="J246" s="965"/>
      <c r="K246" s="965"/>
      <c r="L246" s="965"/>
      <c r="M246" s="965"/>
      <c r="N246" s="965"/>
      <c r="O246" s="965"/>
      <c r="P246" s="965"/>
      <c r="Q246" s="945"/>
      <c r="R246" s="945"/>
      <c r="S246" s="945"/>
      <c r="T246" s="945"/>
      <c r="U246" s="945"/>
      <c r="V246" s="945"/>
      <c r="W246" s="945"/>
      <c r="X246" s="945"/>
      <c r="Y246" s="945"/>
      <c r="Z246" s="945"/>
      <c r="AA246" s="945"/>
      <c r="AB246" s="945"/>
    </row>
    <row r="247" ht="20.25" customHeight="1">
      <c r="A247" s="964"/>
      <c r="B247" s="965"/>
      <c r="C247" s="965"/>
      <c r="D247" s="966"/>
      <c r="E247" s="967"/>
      <c r="F247" s="965"/>
      <c r="G247" s="965"/>
      <c r="H247" s="965"/>
      <c r="I247" s="965"/>
      <c r="J247" s="965"/>
      <c r="K247" s="965"/>
      <c r="L247" s="965"/>
      <c r="M247" s="965"/>
      <c r="N247" s="965"/>
      <c r="O247" s="965"/>
      <c r="P247" s="965"/>
      <c r="Q247" s="945"/>
      <c r="R247" s="945"/>
      <c r="S247" s="945"/>
      <c r="T247" s="945"/>
      <c r="U247" s="945"/>
      <c r="V247" s="945"/>
      <c r="W247" s="945"/>
      <c r="X247" s="945"/>
      <c r="Y247" s="945"/>
      <c r="Z247" s="945"/>
      <c r="AA247" s="945"/>
      <c r="AB247" s="945"/>
    </row>
    <row r="248" ht="20.25" customHeight="1">
      <c r="A248" s="964"/>
      <c r="B248" s="965"/>
      <c r="C248" s="965"/>
      <c r="D248" s="966"/>
      <c r="E248" s="967"/>
      <c r="F248" s="965"/>
      <c r="G248" s="965"/>
      <c r="H248" s="965"/>
      <c r="I248" s="965"/>
      <c r="J248" s="965"/>
      <c r="K248" s="965"/>
      <c r="L248" s="965"/>
      <c r="M248" s="965"/>
      <c r="N248" s="965"/>
      <c r="O248" s="965"/>
      <c r="P248" s="965"/>
      <c r="Q248" s="945"/>
      <c r="R248" s="945"/>
      <c r="S248" s="945"/>
      <c r="T248" s="945"/>
      <c r="U248" s="945"/>
      <c r="V248" s="945"/>
      <c r="W248" s="945"/>
      <c r="X248" s="945"/>
      <c r="Y248" s="945"/>
      <c r="Z248" s="945"/>
      <c r="AA248" s="945"/>
      <c r="AB248" s="945"/>
    </row>
    <row r="249" ht="20.25" customHeight="1">
      <c r="A249" s="964"/>
      <c r="B249" s="965"/>
      <c r="C249" s="965"/>
      <c r="D249" s="966"/>
      <c r="E249" s="967"/>
      <c r="F249" s="965"/>
      <c r="G249" s="965"/>
      <c r="H249" s="965"/>
      <c r="I249" s="965"/>
      <c r="J249" s="965"/>
      <c r="K249" s="965"/>
      <c r="L249" s="965"/>
      <c r="M249" s="965"/>
      <c r="N249" s="965"/>
      <c r="O249" s="965"/>
      <c r="P249" s="965"/>
      <c r="Q249" s="945"/>
      <c r="R249" s="945"/>
      <c r="S249" s="945"/>
      <c r="T249" s="945"/>
      <c r="U249" s="945"/>
      <c r="V249" s="945"/>
      <c r="W249" s="945"/>
      <c r="X249" s="945"/>
      <c r="Y249" s="945"/>
      <c r="Z249" s="945"/>
      <c r="AA249" s="945"/>
      <c r="AB249" s="945"/>
    </row>
    <row r="250" ht="20.25" customHeight="1">
      <c r="A250" s="964"/>
      <c r="B250" s="965"/>
      <c r="C250" s="965"/>
      <c r="D250" s="966"/>
      <c r="E250" s="967"/>
      <c r="F250" s="965"/>
      <c r="G250" s="965"/>
      <c r="H250" s="965"/>
      <c r="I250" s="965"/>
      <c r="J250" s="965"/>
      <c r="K250" s="965"/>
      <c r="L250" s="965"/>
      <c r="M250" s="965"/>
      <c r="N250" s="965"/>
      <c r="O250" s="965"/>
      <c r="P250" s="965"/>
      <c r="Q250" s="945"/>
      <c r="R250" s="945"/>
      <c r="S250" s="945"/>
      <c r="T250" s="945"/>
      <c r="U250" s="945"/>
      <c r="V250" s="945"/>
      <c r="W250" s="945"/>
      <c r="X250" s="945"/>
      <c r="Y250" s="945"/>
      <c r="Z250" s="945"/>
      <c r="AA250" s="945"/>
      <c r="AB250" s="945"/>
    </row>
    <row r="251" ht="20.25" customHeight="1">
      <c r="A251" s="964"/>
      <c r="B251" s="965"/>
      <c r="C251" s="965"/>
      <c r="D251" s="966"/>
      <c r="E251" s="967"/>
      <c r="F251" s="965"/>
      <c r="G251" s="965"/>
      <c r="H251" s="965"/>
      <c r="I251" s="965"/>
      <c r="J251" s="965"/>
      <c r="K251" s="965"/>
      <c r="L251" s="965"/>
      <c r="M251" s="965"/>
      <c r="N251" s="965"/>
      <c r="O251" s="965"/>
      <c r="P251" s="965"/>
      <c r="Q251" s="945"/>
      <c r="R251" s="945"/>
      <c r="S251" s="945"/>
      <c r="T251" s="945"/>
      <c r="U251" s="945"/>
      <c r="V251" s="945"/>
      <c r="W251" s="945"/>
      <c r="X251" s="945"/>
      <c r="Y251" s="945"/>
      <c r="Z251" s="945"/>
      <c r="AA251" s="945"/>
      <c r="AB251" s="945"/>
    </row>
    <row r="252" ht="20.25" customHeight="1">
      <c r="A252" s="964"/>
      <c r="B252" s="965"/>
      <c r="C252" s="965"/>
      <c r="D252" s="966"/>
      <c r="E252" s="967"/>
      <c r="F252" s="965"/>
      <c r="G252" s="965"/>
      <c r="H252" s="965"/>
      <c r="I252" s="965"/>
      <c r="J252" s="965"/>
      <c r="K252" s="965"/>
      <c r="L252" s="965"/>
      <c r="M252" s="965"/>
      <c r="N252" s="965"/>
      <c r="O252" s="965"/>
      <c r="P252" s="965"/>
      <c r="Q252" s="945"/>
      <c r="R252" s="945"/>
      <c r="S252" s="945"/>
      <c r="T252" s="945"/>
      <c r="U252" s="945"/>
      <c r="V252" s="945"/>
      <c r="W252" s="945"/>
      <c r="X252" s="945"/>
      <c r="Y252" s="945"/>
      <c r="Z252" s="945"/>
      <c r="AA252" s="945"/>
      <c r="AB252" s="945"/>
    </row>
    <row r="253" ht="20.25" customHeight="1">
      <c r="A253" s="964"/>
      <c r="B253" s="965"/>
      <c r="C253" s="965"/>
      <c r="D253" s="966"/>
      <c r="E253" s="967"/>
      <c r="F253" s="965"/>
      <c r="G253" s="965"/>
      <c r="H253" s="965"/>
      <c r="I253" s="965"/>
      <c r="J253" s="965"/>
      <c r="K253" s="965"/>
      <c r="L253" s="965"/>
      <c r="M253" s="965"/>
      <c r="N253" s="965"/>
      <c r="O253" s="965"/>
      <c r="P253" s="965"/>
      <c r="Q253" s="945"/>
      <c r="R253" s="945"/>
      <c r="S253" s="945"/>
      <c r="T253" s="945"/>
      <c r="U253" s="945"/>
      <c r="V253" s="945"/>
      <c r="W253" s="945"/>
      <c r="X253" s="945"/>
      <c r="Y253" s="945"/>
      <c r="Z253" s="945"/>
      <c r="AA253" s="945"/>
      <c r="AB253" s="945"/>
    </row>
    <row r="254" ht="20.25" customHeight="1">
      <c r="A254" s="964"/>
      <c r="B254" s="965"/>
      <c r="C254" s="965"/>
      <c r="D254" s="966"/>
      <c r="E254" s="967"/>
      <c r="F254" s="965"/>
      <c r="G254" s="965"/>
      <c r="H254" s="965"/>
      <c r="I254" s="965"/>
      <c r="J254" s="965"/>
      <c r="K254" s="965"/>
      <c r="L254" s="965"/>
      <c r="M254" s="965"/>
      <c r="N254" s="965"/>
      <c r="O254" s="965"/>
      <c r="P254" s="965"/>
      <c r="Q254" s="945"/>
      <c r="R254" s="945"/>
      <c r="S254" s="945"/>
      <c r="T254" s="945"/>
      <c r="U254" s="945"/>
      <c r="V254" s="945"/>
      <c r="W254" s="945"/>
      <c r="X254" s="945"/>
      <c r="Y254" s="945"/>
      <c r="Z254" s="945"/>
      <c r="AA254" s="945"/>
      <c r="AB254" s="945"/>
    </row>
    <row r="255" ht="20.25" customHeight="1">
      <c r="A255" s="964"/>
      <c r="B255" s="965"/>
      <c r="C255" s="965"/>
      <c r="D255" s="966"/>
      <c r="E255" s="967"/>
      <c r="F255" s="965"/>
      <c r="G255" s="965"/>
      <c r="H255" s="965"/>
      <c r="I255" s="965"/>
      <c r="J255" s="965"/>
      <c r="K255" s="965"/>
      <c r="L255" s="965"/>
      <c r="M255" s="965"/>
      <c r="N255" s="965"/>
      <c r="O255" s="965"/>
      <c r="P255" s="965"/>
      <c r="Q255" s="945"/>
      <c r="R255" s="945"/>
      <c r="S255" s="945"/>
      <c r="T255" s="945"/>
      <c r="U255" s="945"/>
      <c r="V255" s="945"/>
      <c r="W255" s="945"/>
      <c r="X255" s="945"/>
      <c r="Y255" s="945"/>
      <c r="Z255" s="945"/>
      <c r="AA255" s="945"/>
      <c r="AB255" s="945"/>
    </row>
    <row r="256" ht="20.25" customHeight="1">
      <c r="A256" s="964"/>
      <c r="B256" s="965"/>
      <c r="C256" s="965"/>
      <c r="D256" s="966"/>
      <c r="E256" s="967"/>
      <c r="F256" s="965"/>
      <c r="G256" s="965"/>
      <c r="H256" s="965"/>
      <c r="I256" s="965"/>
      <c r="J256" s="965"/>
      <c r="K256" s="965"/>
      <c r="L256" s="965"/>
      <c r="M256" s="965"/>
      <c r="N256" s="965"/>
      <c r="O256" s="965"/>
      <c r="P256" s="965"/>
      <c r="Q256" s="945"/>
      <c r="R256" s="945"/>
      <c r="S256" s="945"/>
      <c r="T256" s="945"/>
      <c r="U256" s="945"/>
      <c r="V256" s="945"/>
      <c r="W256" s="945"/>
      <c r="X256" s="945"/>
      <c r="Y256" s="945"/>
      <c r="Z256" s="945"/>
      <c r="AA256" s="945"/>
      <c r="AB256" s="945"/>
    </row>
    <row r="257" ht="20.25" customHeight="1">
      <c r="A257" s="964"/>
      <c r="B257" s="965"/>
      <c r="C257" s="965"/>
      <c r="D257" s="966"/>
      <c r="E257" s="967"/>
      <c r="F257" s="965"/>
      <c r="G257" s="965"/>
      <c r="H257" s="965"/>
      <c r="I257" s="965"/>
      <c r="J257" s="965"/>
      <c r="K257" s="965"/>
      <c r="L257" s="965"/>
      <c r="M257" s="965"/>
      <c r="N257" s="965"/>
      <c r="O257" s="965"/>
      <c r="P257" s="965"/>
      <c r="Q257" s="945"/>
      <c r="R257" s="945"/>
      <c r="S257" s="945"/>
      <c r="T257" s="945"/>
      <c r="U257" s="945"/>
      <c r="V257" s="945"/>
      <c r="W257" s="945"/>
      <c r="X257" s="945"/>
      <c r="Y257" s="945"/>
      <c r="Z257" s="945"/>
      <c r="AA257" s="945"/>
      <c r="AB257" s="945"/>
    </row>
    <row r="258" ht="20.25" customHeight="1">
      <c r="A258" s="964"/>
      <c r="B258" s="965"/>
      <c r="C258" s="965"/>
      <c r="D258" s="966"/>
      <c r="E258" s="967"/>
      <c r="F258" s="965"/>
      <c r="G258" s="965"/>
      <c r="H258" s="965"/>
      <c r="I258" s="965"/>
      <c r="J258" s="965"/>
      <c r="K258" s="965"/>
      <c r="L258" s="965"/>
      <c r="M258" s="965"/>
      <c r="N258" s="965"/>
      <c r="O258" s="965"/>
      <c r="P258" s="965"/>
      <c r="Q258" s="945"/>
      <c r="R258" s="945"/>
      <c r="S258" s="945"/>
      <c r="T258" s="945"/>
      <c r="U258" s="945"/>
      <c r="V258" s="945"/>
      <c r="W258" s="945"/>
      <c r="X258" s="945"/>
      <c r="Y258" s="945"/>
      <c r="Z258" s="945"/>
      <c r="AA258" s="945"/>
      <c r="AB258" s="945"/>
    </row>
    <row r="259" ht="20.25" customHeight="1">
      <c r="A259" s="964"/>
      <c r="B259" s="965"/>
      <c r="C259" s="965"/>
      <c r="D259" s="966"/>
      <c r="E259" s="967"/>
      <c r="F259" s="965"/>
      <c r="G259" s="965"/>
      <c r="H259" s="965"/>
      <c r="I259" s="965"/>
      <c r="J259" s="965"/>
      <c r="K259" s="965"/>
      <c r="L259" s="965"/>
      <c r="M259" s="965"/>
      <c r="N259" s="965"/>
      <c r="O259" s="965"/>
      <c r="P259" s="965"/>
      <c r="Q259" s="945"/>
      <c r="R259" s="945"/>
      <c r="S259" s="945"/>
      <c r="T259" s="945"/>
      <c r="U259" s="945"/>
      <c r="V259" s="945"/>
      <c r="W259" s="945"/>
      <c r="X259" s="945"/>
      <c r="Y259" s="945"/>
      <c r="Z259" s="945"/>
      <c r="AA259" s="945"/>
      <c r="AB259" s="945"/>
    </row>
    <row r="260" ht="20.25" customHeight="1">
      <c r="A260" s="964"/>
      <c r="B260" s="965"/>
      <c r="C260" s="965"/>
      <c r="D260" s="966"/>
      <c r="E260" s="967"/>
      <c r="F260" s="965"/>
      <c r="G260" s="965"/>
      <c r="H260" s="965"/>
      <c r="I260" s="965"/>
      <c r="J260" s="965"/>
      <c r="K260" s="965"/>
      <c r="L260" s="965"/>
      <c r="M260" s="965"/>
      <c r="N260" s="965"/>
      <c r="O260" s="965"/>
      <c r="P260" s="965"/>
      <c r="Q260" s="945"/>
      <c r="R260" s="945"/>
      <c r="S260" s="945"/>
      <c r="T260" s="945"/>
      <c r="U260" s="945"/>
      <c r="V260" s="945"/>
      <c r="W260" s="945"/>
      <c r="X260" s="945"/>
      <c r="Y260" s="945"/>
      <c r="Z260" s="945"/>
      <c r="AA260" s="945"/>
      <c r="AB260" s="945"/>
    </row>
    <row r="261" ht="20.25" customHeight="1">
      <c r="A261" s="964"/>
      <c r="B261" s="965"/>
      <c r="C261" s="965"/>
      <c r="D261" s="966"/>
      <c r="E261" s="967"/>
      <c r="F261" s="965"/>
      <c r="G261" s="965"/>
      <c r="H261" s="965"/>
      <c r="I261" s="965"/>
      <c r="J261" s="965"/>
      <c r="K261" s="965"/>
      <c r="L261" s="965"/>
      <c r="M261" s="965"/>
      <c r="N261" s="965"/>
      <c r="O261" s="965"/>
      <c r="P261" s="965"/>
      <c r="Q261" s="945"/>
      <c r="R261" s="945"/>
      <c r="S261" s="945"/>
      <c r="T261" s="945"/>
      <c r="U261" s="945"/>
      <c r="V261" s="945"/>
      <c r="W261" s="945"/>
      <c r="X261" s="945"/>
      <c r="Y261" s="945"/>
      <c r="Z261" s="945"/>
      <c r="AA261" s="945"/>
      <c r="AB261" s="945"/>
    </row>
    <row r="262" ht="20.25" customHeight="1">
      <c r="A262" s="964"/>
      <c r="B262" s="965"/>
      <c r="C262" s="965"/>
      <c r="D262" s="966"/>
      <c r="E262" s="967"/>
      <c r="F262" s="965"/>
      <c r="G262" s="965"/>
      <c r="H262" s="965"/>
      <c r="I262" s="965"/>
      <c r="J262" s="965"/>
      <c r="K262" s="965"/>
      <c r="L262" s="965"/>
      <c r="M262" s="965"/>
      <c r="N262" s="965"/>
      <c r="O262" s="965"/>
      <c r="P262" s="965"/>
      <c r="Q262" s="945"/>
      <c r="R262" s="945"/>
      <c r="S262" s="945"/>
      <c r="T262" s="945"/>
      <c r="U262" s="945"/>
      <c r="V262" s="945"/>
      <c r="W262" s="945"/>
      <c r="X262" s="945"/>
      <c r="Y262" s="945"/>
      <c r="Z262" s="945"/>
      <c r="AA262" s="945"/>
      <c r="AB262" s="945"/>
    </row>
    <row r="263" ht="20.25" customHeight="1">
      <c r="A263" s="964"/>
      <c r="B263" s="965"/>
      <c r="C263" s="965"/>
      <c r="D263" s="966"/>
      <c r="E263" s="967"/>
      <c r="F263" s="965"/>
      <c r="G263" s="965"/>
      <c r="H263" s="965"/>
      <c r="I263" s="965"/>
      <c r="J263" s="965"/>
      <c r="K263" s="965"/>
      <c r="L263" s="965"/>
      <c r="M263" s="965"/>
      <c r="N263" s="965"/>
      <c r="O263" s="965"/>
      <c r="P263" s="965"/>
      <c r="Q263" s="945"/>
      <c r="R263" s="945"/>
      <c r="S263" s="945"/>
      <c r="T263" s="945"/>
      <c r="U263" s="945"/>
      <c r="V263" s="945"/>
      <c r="W263" s="945"/>
      <c r="X263" s="945"/>
      <c r="Y263" s="945"/>
      <c r="Z263" s="945"/>
      <c r="AA263" s="945"/>
      <c r="AB263" s="945"/>
    </row>
    <row r="264" ht="20.25" customHeight="1">
      <c r="A264" s="964"/>
      <c r="B264" s="965"/>
      <c r="C264" s="965"/>
      <c r="D264" s="966"/>
      <c r="E264" s="967"/>
      <c r="F264" s="965"/>
      <c r="G264" s="965"/>
      <c r="H264" s="965"/>
      <c r="I264" s="965"/>
      <c r="J264" s="965"/>
      <c r="K264" s="965"/>
      <c r="L264" s="965"/>
      <c r="M264" s="965"/>
      <c r="N264" s="965"/>
      <c r="O264" s="965"/>
      <c r="P264" s="965"/>
      <c r="Q264" s="945"/>
      <c r="R264" s="945"/>
      <c r="S264" s="945"/>
      <c r="T264" s="945"/>
      <c r="U264" s="945"/>
      <c r="V264" s="945"/>
      <c r="W264" s="945"/>
      <c r="X264" s="945"/>
      <c r="Y264" s="945"/>
      <c r="Z264" s="945"/>
      <c r="AA264" s="945"/>
      <c r="AB264" s="945"/>
    </row>
    <row r="265" ht="20.25" customHeight="1">
      <c r="A265" s="964"/>
      <c r="B265" s="965"/>
      <c r="C265" s="965"/>
      <c r="D265" s="966"/>
      <c r="E265" s="967"/>
      <c r="F265" s="965"/>
      <c r="G265" s="965"/>
      <c r="H265" s="965"/>
      <c r="I265" s="965"/>
      <c r="J265" s="965"/>
      <c r="K265" s="965"/>
      <c r="L265" s="965"/>
      <c r="M265" s="965"/>
      <c r="N265" s="965"/>
      <c r="O265" s="965"/>
      <c r="P265" s="965"/>
      <c r="Q265" s="945"/>
      <c r="R265" s="945"/>
      <c r="S265" s="945"/>
      <c r="T265" s="945"/>
      <c r="U265" s="945"/>
      <c r="V265" s="945"/>
      <c r="W265" s="945"/>
      <c r="X265" s="945"/>
      <c r="Y265" s="945"/>
      <c r="Z265" s="945"/>
      <c r="AA265" s="945"/>
      <c r="AB265" s="945"/>
    </row>
    <row r="266" ht="20.25" customHeight="1">
      <c r="A266" s="964"/>
      <c r="B266" s="965"/>
      <c r="C266" s="965"/>
      <c r="D266" s="966"/>
      <c r="E266" s="967"/>
      <c r="F266" s="965"/>
      <c r="G266" s="965"/>
      <c r="H266" s="965"/>
      <c r="I266" s="965"/>
      <c r="J266" s="965"/>
      <c r="K266" s="965"/>
      <c r="L266" s="965"/>
      <c r="M266" s="965"/>
      <c r="N266" s="965"/>
      <c r="O266" s="965"/>
      <c r="P266" s="965"/>
      <c r="Q266" s="945"/>
      <c r="R266" s="945"/>
      <c r="S266" s="945"/>
      <c r="T266" s="945"/>
      <c r="U266" s="945"/>
      <c r="V266" s="945"/>
      <c r="W266" s="945"/>
      <c r="X266" s="945"/>
      <c r="Y266" s="945"/>
      <c r="Z266" s="945"/>
      <c r="AA266" s="945"/>
      <c r="AB266" s="945"/>
    </row>
    <row r="267" ht="20.25" customHeight="1">
      <c r="A267" s="964"/>
      <c r="B267" s="965"/>
      <c r="C267" s="965"/>
      <c r="D267" s="966"/>
      <c r="E267" s="967"/>
      <c r="F267" s="965"/>
      <c r="G267" s="965"/>
      <c r="H267" s="965"/>
      <c r="I267" s="965"/>
      <c r="J267" s="965"/>
      <c r="K267" s="965"/>
      <c r="L267" s="965"/>
      <c r="M267" s="965"/>
      <c r="N267" s="965"/>
      <c r="O267" s="965"/>
      <c r="P267" s="965"/>
      <c r="Q267" s="945"/>
      <c r="R267" s="945"/>
      <c r="S267" s="945"/>
      <c r="T267" s="945"/>
      <c r="U267" s="945"/>
      <c r="V267" s="945"/>
      <c r="W267" s="945"/>
      <c r="X267" s="945"/>
      <c r="Y267" s="945"/>
      <c r="Z267" s="945"/>
      <c r="AA267" s="945"/>
      <c r="AB267" s="945"/>
    </row>
    <row r="268" ht="20.25" customHeight="1">
      <c r="A268" s="964"/>
      <c r="B268" s="965"/>
      <c r="C268" s="965"/>
      <c r="D268" s="966"/>
      <c r="E268" s="967"/>
      <c r="F268" s="965"/>
      <c r="G268" s="965"/>
      <c r="H268" s="965"/>
      <c r="I268" s="965"/>
      <c r="J268" s="965"/>
      <c r="K268" s="965"/>
      <c r="L268" s="965"/>
      <c r="M268" s="965"/>
      <c r="N268" s="965"/>
      <c r="O268" s="965"/>
      <c r="P268" s="965"/>
      <c r="Q268" s="945"/>
      <c r="R268" s="945"/>
      <c r="S268" s="945"/>
      <c r="T268" s="945"/>
      <c r="U268" s="945"/>
      <c r="V268" s="945"/>
      <c r="W268" s="945"/>
      <c r="X268" s="945"/>
      <c r="Y268" s="945"/>
      <c r="Z268" s="945"/>
      <c r="AA268" s="945"/>
      <c r="AB268" s="945"/>
    </row>
    <row r="269" ht="20.25" customHeight="1">
      <c r="A269" s="964"/>
      <c r="B269" s="965"/>
      <c r="C269" s="965"/>
      <c r="D269" s="966"/>
      <c r="E269" s="967"/>
      <c r="F269" s="965"/>
      <c r="G269" s="965"/>
      <c r="H269" s="965"/>
      <c r="I269" s="965"/>
      <c r="J269" s="965"/>
      <c r="K269" s="965"/>
      <c r="L269" s="965"/>
      <c r="M269" s="965"/>
      <c r="N269" s="965"/>
      <c r="O269" s="965"/>
      <c r="P269" s="965"/>
      <c r="Q269" s="945"/>
      <c r="R269" s="945"/>
      <c r="S269" s="945"/>
      <c r="T269" s="945"/>
      <c r="U269" s="945"/>
      <c r="V269" s="945"/>
      <c r="W269" s="945"/>
      <c r="X269" s="945"/>
      <c r="Y269" s="945"/>
      <c r="Z269" s="945"/>
      <c r="AA269" s="945"/>
      <c r="AB269" s="945"/>
    </row>
    <row r="270" ht="20.25" customHeight="1">
      <c r="A270" s="964"/>
      <c r="B270" s="965"/>
      <c r="C270" s="965"/>
      <c r="D270" s="966"/>
      <c r="E270" s="967"/>
      <c r="F270" s="965"/>
      <c r="G270" s="965"/>
      <c r="H270" s="965"/>
      <c r="I270" s="965"/>
      <c r="J270" s="965"/>
      <c r="K270" s="965"/>
      <c r="L270" s="965"/>
      <c r="M270" s="965"/>
      <c r="N270" s="965"/>
      <c r="O270" s="965"/>
      <c r="P270" s="965"/>
      <c r="Q270" s="945"/>
      <c r="R270" s="945"/>
      <c r="S270" s="945"/>
      <c r="T270" s="945"/>
      <c r="U270" s="945"/>
      <c r="V270" s="945"/>
      <c r="W270" s="945"/>
      <c r="X270" s="945"/>
      <c r="Y270" s="945"/>
      <c r="Z270" s="945"/>
      <c r="AA270" s="945"/>
      <c r="AB270" s="945"/>
    </row>
    <row r="271" ht="20.25" customHeight="1">
      <c r="A271" s="964"/>
      <c r="B271" s="965"/>
      <c r="C271" s="965"/>
      <c r="D271" s="966"/>
      <c r="E271" s="967"/>
      <c r="F271" s="965"/>
      <c r="G271" s="965"/>
      <c r="H271" s="965"/>
      <c r="I271" s="965"/>
      <c r="J271" s="965"/>
      <c r="K271" s="965"/>
      <c r="L271" s="965"/>
      <c r="M271" s="965"/>
      <c r="N271" s="965"/>
      <c r="O271" s="965"/>
      <c r="P271" s="965"/>
      <c r="Q271" s="945"/>
      <c r="R271" s="945"/>
      <c r="S271" s="945"/>
      <c r="T271" s="945"/>
      <c r="U271" s="945"/>
      <c r="V271" s="945"/>
      <c r="W271" s="945"/>
      <c r="X271" s="945"/>
      <c r="Y271" s="945"/>
      <c r="Z271" s="945"/>
      <c r="AA271" s="945"/>
      <c r="AB271" s="945"/>
    </row>
    <row r="272" ht="20.25" customHeight="1">
      <c r="A272" s="964"/>
      <c r="B272" s="965"/>
      <c r="C272" s="965"/>
      <c r="D272" s="966"/>
      <c r="E272" s="967"/>
      <c r="F272" s="965"/>
      <c r="G272" s="965"/>
      <c r="H272" s="965"/>
      <c r="I272" s="965"/>
      <c r="J272" s="965"/>
      <c r="K272" s="965"/>
      <c r="L272" s="965"/>
      <c r="M272" s="965"/>
      <c r="N272" s="965"/>
      <c r="O272" s="965"/>
      <c r="P272" s="965"/>
      <c r="Q272" s="945"/>
      <c r="R272" s="945"/>
      <c r="S272" s="945"/>
      <c r="T272" s="945"/>
      <c r="U272" s="945"/>
      <c r="V272" s="945"/>
      <c r="W272" s="945"/>
      <c r="X272" s="945"/>
      <c r="Y272" s="945"/>
      <c r="Z272" s="945"/>
      <c r="AA272" s="945"/>
      <c r="AB272" s="945"/>
    </row>
    <row r="273" ht="20.25" customHeight="1">
      <c r="A273" s="964"/>
      <c r="B273" s="965"/>
      <c r="C273" s="965"/>
      <c r="D273" s="966"/>
      <c r="E273" s="967"/>
      <c r="F273" s="965"/>
      <c r="G273" s="965"/>
      <c r="H273" s="965"/>
      <c r="I273" s="965"/>
      <c r="J273" s="965"/>
      <c r="K273" s="965"/>
      <c r="L273" s="965"/>
      <c r="M273" s="965"/>
      <c r="N273" s="965"/>
      <c r="O273" s="965"/>
      <c r="P273" s="965"/>
      <c r="Q273" s="945"/>
      <c r="R273" s="945"/>
      <c r="S273" s="945"/>
      <c r="T273" s="945"/>
      <c r="U273" s="945"/>
      <c r="V273" s="945"/>
      <c r="W273" s="945"/>
      <c r="X273" s="945"/>
      <c r="Y273" s="945"/>
      <c r="Z273" s="945"/>
      <c r="AA273" s="945"/>
      <c r="AB273" s="945"/>
    </row>
    <row r="274" ht="20.25" customHeight="1">
      <c r="A274" s="964"/>
      <c r="B274" s="965"/>
      <c r="C274" s="965"/>
      <c r="D274" s="966"/>
      <c r="E274" s="967"/>
      <c r="F274" s="965"/>
      <c r="G274" s="965"/>
      <c r="H274" s="965"/>
      <c r="I274" s="965"/>
      <c r="J274" s="965"/>
      <c r="K274" s="965"/>
      <c r="L274" s="965"/>
      <c r="M274" s="965"/>
      <c r="N274" s="965"/>
      <c r="O274" s="965"/>
      <c r="P274" s="965"/>
      <c r="Q274" s="945"/>
      <c r="R274" s="945"/>
      <c r="S274" s="945"/>
      <c r="T274" s="945"/>
      <c r="U274" s="945"/>
      <c r="V274" s="945"/>
      <c r="W274" s="945"/>
      <c r="X274" s="945"/>
      <c r="Y274" s="945"/>
      <c r="Z274" s="945"/>
      <c r="AA274" s="945"/>
      <c r="AB274" s="945"/>
    </row>
    <row r="275" ht="20.25" customHeight="1">
      <c r="A275" s="964"/>
      <c r="B275" s="965"/>
      <c r="C275" s="965"/>
      <c r="D275" s="966"/>
      <c r="E275" s="967"/>
      <c r="F275" s="965"/>
      <c r="G275" s="965"/>
      <c r="H275" s="965"/>
      <c r="I275" s="965"/>
      <c r="J275" s="965"/>
      <c r="K275" s="965"/>
      <c r="L275" s="965"/>
      <c r="M275" s="965"/>
      <c r="N275" s="965"/>
      <c r="O275" s="965"/>
      <c r="P275" s="965"/>
      <c r="Q275" s="945"/>
      <c r="R275" s="945"/>
      <c r="S275" s="945"/>
      <c r="T275" s="945"/>
      <c r="U275" s="945"/>
      <c r="V275" s="945"/>
      <c r="W275" s="945"/>
      <c r="X275" s="945"/>
      <c r="Y275" s="945"/>
      <c r="Z275" s="945"/>
      <c r="AA275" s="945"/>
      <c r="AB275" s="945"/>
    </row>
    <row r="276" ht="20.25" customHeight="1">
      <c r="A276" s="964"/>
      <c r="B276" s="965"/>
      <c r="C276" s="965"/>
      <c r="D276" s="966"/>
      <c r="E276" s="967"/>
      <c r="F276" s="965"/>
      <c r="G276" s="965"/>
      <c r="H276" s="965"/>
      <c r="I276" s="965"/>
      <c r="J276" s="965"/>
      <c r="K276" s="965"/>
      <c r="L276" s="965"/>
      <c r="M276" s="965"/>
      <c r="N276" s="965"/>
      <c r="O276" s="965"/>
      <c r="P276" s="965"/>
      <c r="Q276" s="945"/>
      <c r="R276" s="945"/>
      <c r="S276" s="945"/>
      <c r="T276" s="945"/>
      <c r="U276" s="945"/>
      <c r="V276" s="945"/>
      <c r="W276" s="945"/>
      <c r="X276" s="945"/>
      <c r="Y276" s="945"/>
      <c r="Z276" s="945"/>
      <c r="AA276" s="945"/>
      <c r="AB276" s="945"/>
    </row>
    <row r="277" ht="20.25" customHeight="1">
      <c r="A277" s="964"/>
      <c r="B277" s="965"/>
      <c r="C277" s="965"/>
      <c r="D277" s="966"/>
      <c r="E277" s="967"/>
      <c r="F277" s="965"/>
      <c r="G277" s="965"/>
      <c r="H277" s="965"/>
      <c r="I277" s="965"/>
      <c r="J277" s="965"/>
      <c r="K277" s="965"/>
      <c r="L277" s="965"/>
      <c r="M277" s="965"/>
      <c r="N277" s="965"/>
      <c r="O277" s="965"/>
      <c r="P277" s="965"/>
      <c r="Q277" s="945"/>
      <c r="R277" s="945"/>
      <c r="S277" s="945"/>
      <c r="T277" s="945"/>
      <c r="U277" s="945"/>
      <c r="V277" s="945"/>
      <c r="W277" s="945"/>
      <c r="X277" s="945"/>
      <c r="Y277" s="945"/>
      <c r="Z277" s="945"/>
      <c r="AA277" s="945"/>
      <c r="AB277" s="945"/>
    </row>
    <row r="278" ht="20.25" customHeight="1">
      <c r="A278" s="964"/>
      <c r="B278" s="965"/>
      <c r="C278" s="965"/>
      <c r="D278" s="966"/>
      <c r="E278" s="967"/>
      <c r="F278" s="965"/>
      <c r="G278" s="965"/>
      <c r="H278" s="965"/>
      <c r="I278" s="965"/>
      <c r="J278" s="965"/>
      <c r="K278" s="965"/>
      <c r="L278" s="965"/>
      <c r="M278" s="965"/>
      <c r="N278" s="965"/>
      <c r="O278" s="965"/>
      <c r="P278" s="965"/>
      <c r="Q278" s="945"/>
      <c r="R278" s="945"/>
      <c r="S278" s="945"/>
      <c r="T278" s="945"/>
      <c r="U278" s="945"/>
      <c r="V278" s="945"/>
      <c r="W278" s="945"/>
      <c r="X278" s="945"/>
      <c r="Y278" s="945"/>
      <c r="Z278" s="945"/>
      <c r="AA278" s="945"/>
      <c r="AB278" s="945"/>
    </row>
    <row r="279" ht="20.25" customHeight="1">
      <c r="A279" s="964"/>
      <c r="B279" s="965"/>
      <c r="C279" s="965"/>
      <c r="D279" s="966"/>
      <c r="E279" s="967"/>
      <c r="F279" s="965"/>
      <c r="G279" s="965"/>
      <c r="H279" s="965"/>
      <c r="I279" s="965"/>
      <c r="J279" s="965"/>
      <c r="K279" s="965"/>
      <c r="L279" s="965"/>
      <c r="M279" s="965"/>
      <c r="N279" s="965"/>
      <c r="O279" s="965"/>
      <c r="P279" s="965"/>
      <c r="Q279" s="945"/>
      <c r="R279" s="945"/>
      <c r="S279" s="945"/>
      <c r="T279" s="945"/>
      <c r="U279" s="945"/>
      <c r="V279" s="945"/>
      <c r="W279" s="945"/>
      <c r="X279" s="945"/>
      <c r="Y279" s="945"/>
      <c r="Z279" s="945"/>
      <c r="AA279" s="945"/>
      <c r="AB279" s="945"/>
    </row>
    <row r="280" ht="20.25" customHeight="1">
      <c r="A280" s="964"/>
      <c r="B280" s="965"/>
      <c r="C280" s="965"/>
      <c r="D280" s="966"/>
      <c r="E280" s="967"/>
      <c r="F280" s="965"/>
      <c r="G280" s="965"/>
      <c r="H280" s="965"/>
      <c r="I280" s="965"/>
      <c r="J280" s="965"/>
      <c r="K280" s="965"/>
      <c r="L280" s="965"/>
      <c r="M280" s="965"/>
      <c r="N280" s="965"/>
      <c r="O280" s="965"/>
      <c r="P280" s="965"/>
      <c r="Q280" s="945"/>
      <c r="R280" s="945"/>
      <c r="S280" s="945"/>
      <c r="T280" s="945"/>
      <c r="U280" s="945"/>
      <c r="V280" s="945"/>
      <c r="W280" s="945"/>
      <c r="X280" s="945"/>
      <c r="Y280" s="945"/>
      <c r="Z280" s="945"/>
      <c r="AA280" s="945"/>
      <c r="AB280" s="945"/>
    </row>
    <row r="281" ht="20.25" customHeight="1">
      <c r="A281" s="964"/>
      <c r="B281" s="965"/>
      <c r="C281" s="965"/>
      <c r="D281" s="966"/>
      <c r="E281" s="967"/>
      <c r="F281" s="965"/>
      <c r="G281" s="965"/>
      <c r="H281" s="965"/>
      <c r="I281" s="965"/>
      <c r="J281" s="965"/>
      <c r="K281" s="965"/>
      <c r="L281" s="965"/>
      <c r="M281" s="965"/>
      <c r="N281" s="965"/>
      <c r="O281" s="965"/>
      <c r="P281" s="965"/>
      <c r="Q281" s="945"/>
      <c r="R281" s="945"/>
      <c r="S281" s="945"/>
      <c r="T281" s="945"/>
      <c r="U281" s="945"/>
      <c r="V281" s="945"/>
      <c r="W281" s="945"/>
      <c r="X281" s="945"/>
      <c r="Y281" s="945"/>
      <c r="Z281" s="945"/>
      <c r="AA281" s="945"/>
      <c r="AB281" s="945"/>
    </row>
    <row r="282" ht="20.25" customHeight="1">
      <c r="A282" s="964"/>
      <c r="B282" s="965"/>
      <c r="C282" s="965"/>
      <c r="D282" s="966"/>
      <c r="E282" s="967"/>
      <c r="F282" s="965"/>
      <c r="G282" s="965"/>
      <c r="H282" s="965"/>
      <c r="I282" s="965"/>
      <c r="J282" s="965"/>
      <c r="K282" s="965"/>
      <c r="L282" s="965"/>
      <c r="M282" s="965"/>
      <c r="N282" s="965"/>
      <c r="O282" s="965"/>
      <c r="P282" s="965"/>
      <c r="Q282" s="945"/>
      <c r="R282" s="945"/>
      <c r="S282" s="945"/>
      <c r="T282" s="945"/>
      <c r="U282" s="945"/>
      <c r="V282" s="945"/>
      <c r="W282" s="945"/>
      <c r="X282" s="945"/>
      <c r="Y282" s="945"/>
      <c r="Z282" s="945"/>
      <c r="AA282" s="945"/>
      <c r="AB282" s="945"/>
    </row>
    <row r="283" ht="20.25" customHeight="1">
      <c r="A283" s="964"/>
      <c r="B283" s="965"/>
      <c r="C283" s="965"/>
      <c r="D283" s="966"/>
      <c r="E283" s="967"/>
      <c r="F283" s="965"/>
      <c r="G283" s="965"/>
      <c r="H283" s="965"/>
      <c r="I283" s="965"/>
      <c r="J283" s="965"/>
      <c r="K283" s="965"/>
      <c r="L283" s="965"/>
      <c r="M283" s="965"/>
      <c r="N283" s="965"/>
      <c r="O283" s="965"/>
      <c r="P283" s="965"/>
      <c r="Q283" s="945"/>
      <c r="R283" s="945"/>
      <c r="S283" s="945"/>
      <c r="T283" s="945"/>
      <c r="U283" s="945"/>
      <c r="V283" s="945"/>
      <c r="W283" s="945"/>
      <c r="X283" s="945"/>
      <c r="Y283" s="945"/>
      <c r="Z283" s="945"/>
      <c r="AA283" s="945"/>
      <c r="AB283" s="945"/>
    </row>
    <row r="284" ht="20.25" customHeight="1">
      <c r="A284" s="964"/>
      <c r="B284" s="965"/>
      <c r="C284" s="965"/>
      <c r="D284" s="966"/>
      <c r="E284" s="967"/>
      <c r="F284" s="965"/>
      <c r="G284" s="965"/>
      <c r="H284" s="965"/>
      <c r="I284" s="965"/>
      <c r="J284" s="965"/>
      <c r="K284" s="965"/>
      <c r="L284" s="965"/>
      <c r="M284" s="965"/>
      <c r="N284" s="965"/>
      <c r="O284" s="965"/>
      <c r="P284" s="965"/>
      <c r="Q284" s="945"/>
      <c r="R284" s="945"/>
      <c r="S284" s="945"/>
      <c r="T284" s="945"/>
      <c r="U284" s="945"/>
      <c r="V284" s="945"/>
      <c r="W284" s="945"/>
      <c r="X284" s="945"/>
      <c r="Y284" s="945"/>
      <c r="Z284" s="945"/>
      <c r="AA284" s="945"/>
      <c r="AB284" s="945"/>
    </row>
    <row r="285" ht="20.25" customHeight="1">
      <c r="A285" s="964"/>
      <c r="B285" s="965"/>
      <c r="C285" s="965"/>
      <c r="D285" s="966"/>
      <c r="E285" s="967"/>
      <c r="F285" s="965"/>
      <c r="G285" s="965"/>
      <c r="H285" s="965"/>
      <c r="I285" s="965"/>
      <c r="J285" s="965"/>
      <c r="K285" s="965"/>
      <c r="L285" s="965"/>
      <c r="M285" s="965"/>
      <c r="N285" s="965"/>
      <c r="O285" s="965"/>
      <c r="P285" s="965"/>
      <c r="Q285" s="945"/>
      <c r="R285" s="945"/>
      <c r="S285" s="945"/>
      <c r="T285" s="945"/>
      <c r="U285" s="945"/>
      <c r="V285" s="945"/>
      <c r="W285" s="945"/>
      <c r="X285" s="945"/>
      <c r="Y285" s="945"/>
      <c r="Z285" s="945"/>
      <c r="AA285" s="945"/>
      <c r="AB285" s="945"/>
    </row>
    <row r="286" ht="20.25" customHeight="1">
      <c r="A286" s="964"/>
      <c r="B286" s="965"/>
      <c r="C286" s="965"/>
      <c r="D286" s="966"/>
      <c r="E286" s="967"/>
      <c r="F286" s="965"/>
      <c r="G286" s="965"/>
      <c r="H286" s="965"/>
      <c r="I286" s="965"/>
      <c r="J286" s="965"/>
      <c r="K286" s="965"/>
      <c r="L286" s="965"/>
      <c r="M286" s="965"/>
      <c r="N286" s="965"/>
      <c r="O286" s="965"/>
      <c r="P286" s="965"/>
      <c r="Q286" s="945"/>
      <c r="R286" s="945"/>
      <c r="S286" s="945"/>
      <c r="T286" s="945"/>
      <c r="U286" s="945"/>
      <c r="V286" s="945"/>
      <c r="W286" s="945"/>
      <c r="X286" s="945"/>
      <c r="Y286" s="945"/>
      <c r="Z286" s="945"/>
      <c r="AA286" s="945"/>
      <c r="AB286" s="945"/>
    </row>
    <row r="287" ht="20.25" customHeight="1">
      <c r="A287" s="964"/>
      <c r="B287" s="965"/>
      <c r="C287" s="965"/>
      <c r="D287" s="966"/>
      <c r="E287" s="967"/>
      <c r="F287" s="965"/>
      <c r="G287" s="965"/>
      <c r="H287" s="965"/>
      <c r="I287" s="965"/>
      <c r="J287" s="965"/>
      <c r="K287" s="965"/>
      <c r="L287" s="965"/>
      <c r="M287" s="965"/>
      <c r="N287" s="965"/>
      <c r="O287" s="965"/>
      <c r="P287" s="965"/>
      <c r="Q287" s="945"/>
      <c r="R287" s="945"/>
      <c r="S287" s="945"/>
      <c r="T287" s="945"/>
      <c r="U287" s="945"/>
      <c r="V287" s="945"/>
      <c r="W287" s="945"/>
      <c r="X287" s="945"/>
      <c r="Y287" s="945"/>
      <c r="Z287" s="945"/>
      <c r="AA287" s="945"/>
      <c r="AB287" s="945"/>
    </row>
    <row r="288" ht="20.25" customHeight="1">
      <c r="A288" s="964"/>
      <c r="B288" s="965"/>
      <c r="C288" s="965"/>
      <c r="D288" s="966"/>
      <c r="E288" s="967"/>
      <c r="F288" s="965"/>
      <c r="G288" s="965"/>
      <c r="H288" s="965"/>
      <c r="I288" s="965"/>
      <c r="J288" s="965"/>
      <c r="K288" s="965"/>
      <c r="L288" s="965"/>
      <c r="M288" s="965"/>
      <c r="N288" s="965"/>
      <c r="O288" s="965"/>
      <c r="P288" s="965"/>
      <c r="Q288" s="945"/>
      <c r="R288" s="945"/>
      <c r="S288" s="945"/>
      <c r="T288" s="945"/>
      <c r="U288" s="945"/>
      <c r="V288" s="945"/>
      <c r="W288" s="945"/>
      <c r="X288" s="945"/>
      <c r="Y288" s="945"/>
      <c r="Z288" s="945"/>
      <c r="AA288" s="945"/>
      <c r="AB288" s="945"/>
    </row>
    <row r="289" ht="20.25" customHeight="1">
      <c r="A289" s="964"/>
      <c r="B289" s="965"/>
      <c r="C289" s="965"/>
      <c r="D289" s="966"/>
      <c r="E289" s="967"/>
      <c r="F289" s="965"/>
      <c r="G289" s="965"/>
      <c r="H289" s="965"/>
      <c r="I289" s="965"/>
      <c r="J289" s="965"/>
      <c r="K289" s="965"/>
      <c r="L289" s="965"/>
      <c r="M289" s="965"/>
      <c r="N289" s="965"/>
      <c r="O289" s="965"/>
      <c r="P289" s="965"/>
      <c r="Q289" s="945"/>
      <c r="R289" s="945"/>
      <c r="S289" s="945"/>
      <c r="T289" s="945"/>
      <c r="U289" s="945"/>
      <c r="V289" s="945"/>
      <c r="W289" s="945"/>
      <c r="X289" s="945"/>
      <c r="Y289" s="945"/>
      <c r="Z289" s="945"/>
      <c r="AA289" s="945"/>
      <c r="AB289" s="945"/>
    </row>
    <row r="290" ht="20.25" customHeight="1">
      <c r="A290" s="964"/>
      <c r="B290" s="965"/>
      <c r="C290" s="965"/>
      <c r="D290" s="966"/>
      <c r="E290" s="967"/>
      <c r="F290" s="965"/>
      <c r="G290" s="965"/>
      <c r="H290" s="965"/>
      <c r="I290" s="965"/>
      <c r="J290" s="965"/>
      <c r="K290" s="965"/>
      <c r="L290" s="965"/>
      <c r="M290" s="965"/>
      <c r="N290" s="965"/>
      <c r="O290" s="965"/>
      <c r="P290" s="965"/>
      <c r="Q290" s="945"/>
      <c r="R290" s="945"/>
      <c r="S290" s="945"/>
      <c r="T290" s="945"/>
      <c r="U290" s="945"/>
      <c r="V290" s="945"/>
      <c r="W290" s="945"/>
      <c r="X290" s="945"/>
      <c r="Y290" s="945"/>
      <c r="Z290" s="945"/>
      <c r="AA290" s="945"/>
      <c r="AB290" s="945"/>
    </row>
    <row r="291" ht="20.25" customHeight="1">
      <c r="A291" s="964"/>
      <c r="B291" s="965"/>
      <c r="C291" s="965"/>
      <c r="D291" s="966"/>
      <c r="E291" s="967"/>
      <c r="F291" s="965"/>
      <c r="G291" s="965"/>
      <c r="H291" s="965"/>
      <c r="I291" s="965"/>
      <c r="J291" s="965"/>
      <c r="K291" s="965"/>
      <c r="L291" s="965"/>
      <c r="M291" s="965"/>
      <c r="N291" s="965"/>
      <c r="O291" s="965"/>
      <c r="P291" s="965"/>
      <c r="Q291" s="945"/>
      <c r="R291" s="945"/>
      <c r="S291" s="945"/>
      <c r="T291" s="945"/>
      <c r="U291" s="945"/>
      <c r="V291" s="945"/>
      <c r="W291" s="945"/>
      <c r="X291" s="945"/>
      <c r="Y291" s="945"/>
      <c r="Z291" s="945"/>
      <c r="AA291" s="945"/>
      <c r="AB291" s="945"/>
    </row>
    <row r="292" ht="20.25" customHeight="1">
      <c r="A292" s="964"/>
      <c r="B292" s="965"/>
      <c r="C292" s="965"/>
      <c r="D292" s="966"/>
      <c r="E292" s="967"/>
      <c r="F292" s="965"/>
      <c r="G292" s="965"/>
      <c r="H292" s="965"/>
      <c r="I292" s="965"/>
      <c r="J292" s="965"/>
      <c r="K292" s="965"/>
      <c r="L292" s="965"/>
      <c r="M292" s="965"/>
      <c r="N292" s="965"/>
      <c r="O292" s="965"/>
      <c r="P292" s="965"/>
      <c r="Q292" s="945"/>
      <c r="R292" s="945"/>
      <c r="S292" s="945"/>
      <c r="T292" s="945"/>
      <c r="U292" s="945"/>
      <c r="V292" s="945"/>
      <c r="W292" s="945"/>
      <c r="X292" s="945"/>
      <c r="Y292" s="945"/>
      <c r="Z292" s="945"/>
      <c r="AA292" s="945"/>
      <c r="AB292" s="945"/>
    </row>
    <row r="293" ht="20.25" customHeight="1">
      <c r="A293" s="964"/>
      <c r="B293" s="965"/>
      <c r="C293" s="965"/>
      <c r="D293" s="966"/>
      <c r="E293" s="967"/>
      <c r="F293" s="965"/>
      <c r="G293" s="965"/>
      <c r="H293" s="965"/>
      <c r="I293" s="965"/>
      <c r="J293" s="965"/>
      <c r="K293" s="965"/>
      <c r="L293" s="965"/>
      <c r="M293" s="965"/>
      <c r="N293" s="965"/>
      <c r="O293" s="965"/>
      <c r="P293" s="965"/>
      <c r="Q293" s="945"/>
      <c r="R293" s="945"/>
      <c r="S293" s="945"/>
      <c r="T293" s="945"/>
      <c r="U293" s="945"/>
      <c r="V293" s="945"/>
      <c r="W293" s="945"/>
      <c r="X293" s="945"/>
      <c r="Y293" s="945"/>
      <c r="Z293" s="945"/>
      <c r="AA293" s="945"/>
      <c r="AB293" s="945"/>
    </row>
    <row r="294" ht="20.25" customHeight="1">
      <c r="A294" s="964"/>
      <c r="B294" s="965"/>
      <c r="C294" s="965"/>
      <c r="D294" s="966"/>
      <c r="E294" s="967"/>
      <c r="F294" s="965"/>
      <c r="G294" s="965"/>
      <c r="H294" s="965"/>
      <c r="I294" s="965"/>
      <c r="J294" s="965"/>
      <c r="K294" s="965"/>
      <c r="L294" s="965"/>
      <c r="M294" s="965"/>
      <c r="N294" s="965"/>
      <c r="O294" s="965"/>
      <c r="P294" s="965"/>
      <c r="Q294" s="945"/>
      <c r="R294" s="945"/>
      <c r="S294" s="945"/>
      <c r="T294" s="945"/>
      <c r="U294" s="945"/>
      <c r="V294" s="945"/>
      <c r="W294" s="945"/>
      <c r="X294" s="945"/>
      <c r="Y294" s="945"/>
      <c r="Z294" s="945"/>
      <c r="AA294" s="945"/>
      <c r="AB294" s="945"/>
    </row>
    <row r="295" ht="20.25" customHeight="1">
      <c r="A295" s="964"/>
      <c r="B295" s="965"/>
      <c r="C295" s="965"/>
      <c r="D295" s="966"/>
      <c r="E295" s="967"/>
      <c r="F295" s="965"/>
      <c r="G295" s="965"/>
      <c r="H295" s="965"/>
      <c r="I295" s="965"/>
      <c r="J295" s="965"/>
      <c r="K295" s="965"/>
      <c r="L295" s="965"/>
      <c r="M295" s="965"/>
      <c r="N295" s="965"/>
      <c r="O295" s="965"/>
      <c r="P295" s="965"/>
      <c r="Q295" s="945"/>
      <c r="R295" s="945"/>
      <c r="S295" s="945"/>
      <c r="T295" s="945"/>
      <c r="U295" s="945"/>
      <c r="V295" s="945"/>
      <c r="W295" s="945"/>
      <c r="X295" s="945"/>
      <c r="Y295" s="945"/>
      <c r="Z295" s="945"/>
      <c r="AA295" s="945"/>
      <c r="AB295" s="945"/>
    </row>
    <row r="296" ht="20.25" customHeight="1">
      <c r="A296" s="964"/>
      <c r="B296" s="965"/>
      <c r="C296" s="965"/>
      <c r="D296" s="966"/>
      <c r="E296" s="967"/>
      <c r="F296" s="965"/>
      <c r="G296" s="965"/>
      <c r="H296" s="965"/>
      <c r="I296" s="965"/>
      <c r="J296" s="965"/>
      <c r="K296" s="965"/>
      <c r="L296" s="965"/>
      <c r="M296" s="965"/>
      <c r="N296" s="965"/>
      <c r="O296" s="965"/>
      <c r="P296" s="965"/>
      <c r="Q296" s="945"/>
      <c r="R296" s="945"/>
      <c r="S296" s="945"/>
      <c r="T296" s="945"/>
      <c r="U296" s="945"/>
      <c r="V296" s="945"/>
      <c r="W296" s="945"/>
      <c r="X296" s="945"/>
      <c r="Y296" s="945"/>
      <c r="Z296" s="945"/>
      <c r="AA296" s="945"/>
      <c r="AB296" s="945"/>
    </row>
    <row r="297" ht="20.25" customHeight="1">
      <c r="A297" s="964"/>
      <c r="B297" s="965"/>
      <c r="C297" s="965"/>
      <c r="D297" s="966"/>
      <c r="E297" s="967"/>
      <c r="F297" s="965"/>
      <c r="G297" s="965"/>
      <c r="H297" s="965"/>
      <c r="I297" s="965"/>
      <c r="J297" s="965"/>
      <c r="K297" s="965"/>
      <c r="L297" s="965"/>
      <c r="M297" s="965"/>
      <c r="N297" s="965"/>
      <c r="O297" s="965"/>
      <c r="P297" s="965"/>
      <c r="Q297" s="945"/>
      <c r="R297" s="945"/>
      <c r="S297" s="945"/>
      <c r="T297" s="945"/>
      <c r="U297" s="945"/>
      <c r="V297" s="945"/>
      <c r="W297" s="945"/>
      <c r="X297" s="945"/>
      <c r="Y297" s="945"/>
      <c r="Z297" s="945"/>
      <c r="AA297" s="945"/>
      <c r="AB297" s="945"/>
    </row>
    <row r="298" ht="20.25" customHeight="1">
      <c r="A298" s="964"/>
      <c r="B298" s="965"/>
      <c r="C298" s="965"/>
      <c r="D298" s="966"/>
      <c r="E298" s="967"/>
      <c r="F298" s="965"/>
      <c r="G298" s="965"/>
      <c r="H298" s="965"/>
      <c r="I298" s="965"/>
      <c r="J298" s="965"/>
      <c r="K298" s="965"/>
      <c r="L298" s="965"/>
      <c r="M298" s="965"/>
      <c r="N298" s="965"/>
      <c r="O298" s="965"/>
      <c r="P298" s="965"/>
      <c r="Q298" s="945"/>
      <c r="R298" s="945"/>
      <c r="S298" s="945"/>
      <c r="T298" s="945"/>
      <c r="U298" s="945"/>
      <c r="V298" s="945"/>
      <c r="W298" s="945"/>
      <c r="X298" s="945"/>
      <c r="Y298" s="945"/>
      <c r="Z298" s="945"/>
      <c r="AA298" s="945"/>
      <c r="AB298" s="945"/>
    </row>
    <row r="299" ht="20.25" customHeight="1">
      <c r="A299" s="964"/>
      <c r="B299" s="965"/>
      <c r="C299" s="965"/>
      <c r="D299" s="966"/>
      <c r="E299" s="967"/>
      <c r="F299" s="965"/>
      <c r="G299" s="965"/>
      <c r="H299" s="965"/>
      <c r="I299" s="965"/>
      <c r="J299" s="965"/>
      <c r="K299" s="965"/>
      <c r="L299" s="965"/>
      <c r="M299" s="965"/>
      <c r="N299" s="965"/>
      <c r="O299" s="965"/>
      <c r="P299" s="965"/>
      <c r="Q299" s="945"/>
      <c r="R299" s="945"/>
      <c r="S299" s="945"/>
      <c r="T299" s="945"/>
      <c r="U299" s="945"/>
      <c r="V299" s="945"/>
      <c r="W299" s="945"/>
      <c r="X299" s="945"/>
      <c r="Y299" s="945"/>
      <c r="Z299" s="945"/>
      <c r="AA299" s="945"/>
      <c r="AB299" s="945"/>
    </row>
    <row r="300" ht="20.25" customHeight="1">
      <c r="A300" s="964"/>
      <c r="B300" s="965"/>
      <c r="C300" s="965"/>
      <c r="D300" s="966"/>
      <c r="E300" s="967"/>
      <c r="F300" s="965"/>
      <c r="G300" s="965"/>
      <c r="H300" s="965"/>
      <c r="I300" s="965"/>
      <c r="J300" s="965"/>
      <c r="K300" s="965"/>
      <c r="L300" s="965"/>
      <c r="M300" s="965"/>
      <c r="N300" s="965"/>
      <c r="O300" s="965"/>
      <c r="P300" s="965"/>
      <c r="Q300" s="945"/>
      <c r="R300" s="945"/>
      <c r="S300" s="945"/>
      <c r="T300" s="945"/>
      <c r="U300" s="945"/>
      <c r="V300" s="945"/>
      <c r="W300" s="945"/>
      <c r="X300" s="945"/>
      <c r="Y300" s="945"/>
      <c r="Z300" s="945"/>
      <c r="AA300" s="945"/>
      <c r="AB300" s="945"/>
    </row>
    <row r="301" ht="20.25" customHeight="1">
      <c r="A301" s="964"/>
      <c r="B301" s="965"/>
      <c r="C301" s="965"/>
      <c r="D301" s="966"/>
      <c r="E301" s="967"/>
      <c r="F301" s="965"/>
      <c r="G301" s="965"/>
      <c r="H301" s="965"/>
      <c r="I301" s="965"/>
      <c r="J301" s="965"/>
      <c r="K301" s="965"/>
      <c r="L301" s="965"/>
      <c r="M301" s="965"/>
      <c r="N301" s="965"/>
      <c r="O301" s="965"/>
      <c r="P301" s="965"/>
      <c r="Q301" s="945"/>
      <c r="R301" s="945"/>
      <c r="S301" s="945"/>
      <c r="T301" s="945"/>
      <c r="U301" s="945"/>
      <c r="V301" s="945"/>
      <c r="W301" s="945"/>
      <c r="X301" s="945"/>
      <c r="Y301" s="945"/>
      <c r="Z301" s="945"/>
      <c r="AA301" s="945"/>
      <c r="AB301" s="945"/>
    </row>
    <row r="302" ht="20.25" customHeight="1">
      <c r="A302" s="964"/>
      <c r="B302" s="965"/>
      <c r="C302" s="965"/>
      <c r="D302" s="966"/>
      <c r="E302" s="967"/>
      <c r="F302" s="965"/>
      <c r="G302" s="965"/>
      <c r="H302" s="965"/>
      <c r="I302" s="965"/>
      <c r="J302" s="965"/>
      <c r="K302" s="965"/>
      <c r="L302" s="965"/>
      <c r="M302" s="965"/>
      <c r="N302" s="965"/>
      <c r="O302" s="965"/>
      <c r="P302" s="965"/>
      <c r="Q302" s="945"/>
      <c r="R302" s="945"/>
      <c r="S302" s="945"/>
      <c r="T302" s="945"/>
      <c r="U302" s="945"/>
      <c r="V302" s="945"/>
      <c r="W302" s="945"/>
      <c r="X302" s="945"/>
      <c r="Y302" s="945"/>
      <c r="Z302" s="945"/>
      <c r="AA302" s="945"/>
      <c r="AB302" s="945"/>
    </row>
    <row r="303" ht="20.25" customHeight="1">
      <c r="A303" s="964"/>
      <c r="B303" s="965"/>
      <c r="C303" s="965"/>
      <c r="D303" s="966"/>
      <c r="E303" s="967"/>
      <c r="F303" s="965"/>
      <c r="G303" s="965"/>
      <c r="H303" s="965"/>
      <c r="I303" s="965"/>
      <c r="J303" s="965"/>
      <c r="K303" s="965"/>
      <c r="L303" s="965"/>
      <c r="M303" s="965"/>
      <c r="N303" s="965"/>
      <c r="O303" s="965"/>
      <c r="P303" s="965"/>
      <c r="Q303" s="945"/>
      <c r="R303" s="945"/>
      <c r="S303" s="945"/>
      <c r="T303" s="945"/>
      <c r="U303" s="945"/>
      <c r="V303" s="945"/>
      <c r="W303" s="945"/>
      <c r="X303" s="945"/>
      <c r="Y303" s="945"/>
      <c r="Z303" s="945"/>
      <c r="AA303" s="945"/>
      <c r="AB303" s="945"/>
    </row>
    <row r="304" ht="20.25" customHeight="1">
      <c r="A304" s="964"/>
      <c r="B304" s="965"/>
      <c r="C304" s="965"/>
      <c r="D304" s="966"/>
      <c r="E304" s="967"/>
      <c r="F304" s="965"/>
      <c r="G304" s="965"/>
      <c r="H304" s="965"/>
      <c r="I304" s="965"/>
      <c r="J304" s="965"/>
      <c r="K304" s="965"/>
      <c r="L304" s="965"/>
      <c r="M304" s="965"/>
      <c r="N304" s="965"/>
      <c r="O304" s="965"/>
      <c r="P304" s="965"/>
      <c r="Q304" s="945"/>
      <c r="R304" s="945"/>
      <c r="S304" s="945"/>
      <c r="T304" s="945"/>
      <c r="U304" s="945"/>
      <c r="V304" s="945"/>
      <c r="W304" s="945"/>
      <c r="X304" s="945"/>
      <c r="Y304" s="945"/>
      <c r="Z304" s="945"/>
      <c r="AA304" s="945"/>
      <c r="AB304" s="945"/>
    </row>
    <row r="305" ht="20.25" customHeight="1">
      <c r="A305" s="964"/>
      <c r="B305" s="965"/>
      <c r="C305" s="965"/>
      <c r="D305" s="966"/>
      <c r="E305" s="967"/>
      <c r="F305" s="965"/>
      <c r="G305" s="965"/>
      <c r="H305" s="965"/>
      <c r="I305" s="965"/>
      <c r="J305" s="965"/>
      <c r="K305" s="965"/>
      <c r="L305" s="965"/>
      <c r="M305" s="965"/>
      <c r="N305" s="965"/>
      <c r="O305" s="965"/>
      <c r="P305" s="965"/>
      <c r="Q305" s="945"/>
      <c r="R305" s="945"/>
      <c r="S305" s="945"/>
      <c r="T305" s="945"/>
      <c r="U305" s="945"/>
      <c r="V305" s="945"/>
      <c r="W305" s="945"/>
      <c r="X305" s="945"/>
      <c r="Y305" s="945"/>
      <c r="Z305" s="945"/>
      <c r="AA305" s="945"/>
      <c r="AB305" s="945"/>
    </row>
    <row r="306" ht="20.25" customHeight="1">
      <c r="A306" s="964"/>
      <c r="B306" s="965"/>
      <c r="C306" s="965"/>
      <c r="D306" s="966"/>
      <c r="E306" s="967"/>
      <c r="F306" s="965"/>
      <c r="G306" s="965"/>
      <c r="H306" s="965"/>
      <c r="I306" s="965"/>
      <c r="J306" s="965"/>
      <c r="K306" s="965"/>
      <c r="L306" s="965"/>
      <c r="M306" s="965"/>
      <c r="N306" s="965"/>
      <c r="O306" s="965"/>
      <c r="P306" s="965"/>
      <c r="Q306" s="945"/>
      <c r="R306" s="945"/>
      <c r="S306" s="945"/>
      <c r="T306" s="945"/>
      <c r="U306" s="945"/>
      <c r="V306" s="945"/>
      <c r="W306" s="945"/>
      <c r="X306" s="945"/>
      <c r="Y306" s="945"/>
      <c r="Z306" s="945"/>
      <c r="AA306" s="945"/>
      <c r="AB306" s="945"/>
    </row>
    <row r="307" ht="20.25" customHeight="1">
      <c r="A307" s="964"/>
      <c r="B307" s="965"/>
      <c r="C307" s="965"/>
      <c r="D307" s="966"/>
      <c r="E307" s="967"/>
      <c r="F307" s="965"/>
      <c r="G307" s="965"/>
      <c r="H307" s="965"/>
      <c r="I307" s="965"/>
      <c r="J307" s="965"/>
      <c r="K307" s="965"/>
      <c r="L307" s="965"/>
      <c r="M307" s="965"/>
      <c r="N307" s="965"/>
      <c r="O307" s="965"/>
      <c r="P307" s="965"/>
      <c r="Q307" s="945"/>
      <c r="R307" s="945"/>
      <c r="S307" s="945"/>
      <c r="T307" s="945"/>
      <c r="U307" s="945"/>
      <c r="V307" s="945"/>
      <c r="W307" s="945"/>
      <c r="X307" s="945"/>
      <c r="Y307" s="945"/>
      <c r="Z307" s="945"/>
      <c r="AA307" s="945"/>
      <c r="AB307" s="945"/>
    </row>
    <row r="308" ht="20.25" customHeight="1">
      <c r="A308" s="964"/>
      <c r="B308" s="965"/>
      <c r="C308" s="965"/>
      <c r="D308" s="966"/>
      <c r="E308" s="967"/>
      <c r="F308" s="965"/>
      <c r="G308" s="965"/>
      <c r="H308" s="965"/>
      <c r="I308" s="965"/>
      <c r="J308" s="965"/>
      <c r="K308" s="965"/>
      <c r="L308" s="965"/>
      <c r="M308" s="965"/>
      <c r="N308" s="965"/>
      <c r="O308" s="965"/>
      <c r="P308" s="965"/>
      <c r="Q308" s="945"/>
      <c r="R308" s="945"/>
      <c r="S308" s="945"/>
      <c r="T308" s="945"/>
      <c r="U308" s="945"/>
      <c r="V308" s="945"/>
      <c r="W308" s="945"/>
      <c r="X308" s="945"/>
      <c r="Y308" s="945"/>
      <c r="Z308" s="945"/>
      <c r="AA308" s="945"/>
      <c r="AB308" s="945"/>
    </row>
    <row r="309" ht="20.25" customHeight="1">
      <c r="A309" s="964"/>
      <c r="B309" s="965"/>
      <c r="C309" s="965"/>
      <c r="D309" s="966"/>
      <c r="E309" s="967"/>
      <c r="F309" s="965"/>
      <c r="G309" s="965"/>
      <c r="H309" s="965"/>
      <c r="I309" s="965"/>
      <c r="J309" s="965"/>
      <c r="K309" s="965"/>
      <c r="L309" s="965"/>
      <c r="M309" s="965"/>
      <c r="N309" s="965"/>
      <c r="O309" s="965"/>
      <c r="P309" s="965"/>
      <c r="Q309" s="945"/>
      <c r="R309" s="945"/>
      <c r="S309" s="945"/>
      <c r="T309" s="945"/>
      <c r="U309" s="945"/>
      <c r="V309" s="945"/>
      <c r="W309" s="945"/>
      <c r="X309" s="945"/>
      <c r="Y309" s="945"/>
      <c r="Z309" s="945"/>
      <c r="AA309" s="945"/>
      <c r="AB309" s="945"/>
    </row>
    <row r="310" ht="20.25" customHeight="1">
      <c r="A310" s="964"/>
      <c r="B310" s="965"/>
      <c r="C310" s="965"/>
      <c r="D310" s="966"/>
      <c r="E310" s="967"/>
      <c r="F310" s="965"/>
      <c r="G310" s="965"/>
      <c r="H310" s="965"/>
      <c r="I310" s="965"/>
      <c r="J310" s="965"/>
      <c r="K310" s="965"/>
      <c r="L310" s="965"/>
      <c r="M310" s="965"/>
      <c r="N310" s="965"/>
      <c r="O310" s="965"/>
      <c r="P310" s="965"/>
      <c r="Q310" s="945"/>
      <c r="R310" s="945"/>
      <c r="S310" s="945"/>
      <c r="T310" s="945"/>
      <c r="U310" s="945"/>
      <c r="V310" s="945"/>
      <c r="W310" s="945"/>
      <c r="X310" s="945"/>
      <c r="Y310" s="945"/>
      <c r="Z310" s="945"/>
      <c r="AA310" s="945"/>
      <c r="AB310" s="945"/>
    </row>
    <row r="311" ht="20.25" customHeight="1">
      <c r="A311" s="964"/>
      <c r="B311" s="965"/>
      <c r="C311" s="965"/>
      <c r="D311" s="966"/>
      <c r="E311" s="967"/>
      <c r="F311" s="965"/>
      <c r="G311" s="965"/>
      <c r="H311" s="965"/>
      <c r="I311" s="965"/>
      <c r="J311" s="965"/>
      <c r="K311" s="965"/>
      <c r="L311" s="965"/>
      <c r="M311" s="965"/>
      <c r="N311" s="965"/>
      <c r="O311" s="965"/>
      <c r="P311" s="965"/>
      <c r="Q311" s="945"/>
      <c r="R311" s="945"/>
      <c r="S311" s="945"/>
      <c r="T311" s="945"/>
      <c r="U311" s="945"/>
      <c r="V311" s="945"/>
      <c r="W311" s="945"/>
      <c r="X311" s="945"/>
      <c r="Y311" s="945"/>
      <c r="Z311" s="945"/>
      <c r="AA311" s="945"/>
      <c r="AB311" s="945"/>
    </row>
    <row r="312" ht="20.25" customHeight="1">
      <c r="A312" s="964"/>
      <c r="B312" s="965"/>
      <c r="C312" s="965"/>
      <c r="D312" s="966"/>
      <c r="E312" s="967"/>
      <c r="F312" s="965"/>
      <c r="G312" s="965"/>
      <c r="H312" s="965"/>
      <c r="I312" s="965"/>
      <c r="J312" s="965"/>
      <c r="K312" s="965"/>
      <c r="L312" s="965"/>
      <c r="M312" s="965"/>
      <c r="N312" s="965"/>
      <c r="O312" s="965"/>
      <c r="P312" s="965"/>
      <c r="Q312" s="945"/>
      <c r="R312" s="945"/>
      <c r="S312" s="945"/>
      <c r="T312" s="945"/>
      <c r="U312" s="945"/>
      <c r="V312" s="945"/>
      <c r="W312" s="945"/>
      <c r="X312" s="945"/>
      <c r="Y312" s="945"/>
      <c r="Z312" s="945"/>
      <c r="AA312" s="945"/>
      <c r="AB312" s="945"/>
    </row>
    <row r="313" ht="20.25" customHeight="1">
      <c r="A313" s="964"/>
      <c r="B313" s="965"/>
      <c r="C313" s="965"/>
      <c r="D313" s="966"/>
      <c r="E313" s="967"/>
      <c r="F313" s="965"/>
      <c r="G313" s="965"/>
      <c r="H313" s="965"/>
      <c r="I313" s="965"/>
      <c r="J313" s="965"/>
      <c r="K313" s="965"/>
      <c r="L313" s="965"/>
      <c r="M313" s="965"/>
      <c r="N313" s="965"/>
      <c r="O313" s="965"/>
      <c r="P313" s="965"/>
      <c r="Q313" s="945"/>
      <c r="R313" s="945"/>
      <c r="S313" s="945"/>
      <c r="T313" s="945"/>
      <c r="U313" s="945"/>
      <c r="V313" s="945"/>
      <c r="W313" s="945"/>
      <c r="X313" s="945"/>
      <c r="Y313" s="945"/>
      <c r="Z313" s="945"/>
      <c r="AA313" s="945"/>
      <c r="AB313" s="945"/>
    </row>
    <row r="314" ht="20.25" customHeight="1">
      <c r="A314" s="964"/>
      <c r="B314" s="965"/>
      <c r="C314" s="965"/>
      <c r="D314" s="966"/>
      <c r="E314" s="967"/>
      <c r="F314" s="965"/>
      <c r="G314" s="965"/>
      <c r="H314" s="965"/>
      <c r="I314" s="965"/>
      <c r="J314" s="965"/>
      <c r="K314" s="965"/>
      <c r="L314" s="965"/>
      <c r="M314" s="965"/>
      <c r="N314" s="965"/>
      <c r="O314" s="965"/>
      <c r="P314" s="965"/>
      <c r="Q314" s="945"/>
      <c r="R314" s="945"/>
      <c r="S314" s="945"/>
      <c r="T314" s="945"/>
      <c r="U314" s="945"/>
      <c r="V314" s="945"/>
      <c r="W314" s="945"/>
      <c r="X314" s="945"/>
      <c r="Y314" s="945"/>
      <c r="Z314" s="945"/>
      <c r="AA314" s="945"/>
      <c r="AB314" s="945"/>
    </row>
    <row r="315" ht="20.25" customHeight="1">
      <c r="A315" s="964"/>
      <c r="B315" s="965"/>
      <c r="C315" s="965"/>
      <c r="D315" s="966"/>
      <c r="E315" s="967"/>
      <c r="F315" s="965"/>
      <c r="G315" s="965"/>
      <c r="H315" s="965"/>
      <c r="I315" s="965"/>
      <c r="J315" s="965"/>
      <c r="K315" s="965"/>
      <c r="L315" s="965"/>
      <c r="M315" s="965"/>
      <c r="N315" s="965"/>
      <c r="O315" s="965"/>
      <c r="P315" s="965"/>
      <c r="Q315" s="945"/>
      <c r="R315" s="945"/>
      <c r="S315" s="945"/>
      <c r="T315" s="945"/>
      <c r="U315" s="945"/>
      <c r="V315" s="945"/>
      <c r="W315" s="945"/>
      <c r="X315" s="945"/>
      <c r="Y315" s="945"/>
      <c r="Z315" s="945"/>
      <c r="AA315" s="945"/>
      <c r="AB315" s="945"/>
    </row>
    <row r="316" ht="20.25" customHeight="1">
      <c r="A316" s="964"/>
      <c r="B316" s="965"/>
      <c r="C316" s="965"/>
      <c r="D316" s="966"/>
      <c r="E316" s="967"/>
      <c r="F316" s="965"/>
      <c r="G316" s="965"/>
      <c r="H316" s="965"/>
      <c r="I316" s="965"/>
      <c r="J316" s="965"/>
      <c r="K316" s="965"/>
      <c r="L316" s="965"/>
      <c r="M316" s="965"/>
      <c r="N316" s="965"/>
      <c r="O316" s="965"/>
      <c r="P316" s="965"/>
      <c r="Q316" s="945"/>
      <c r="R316" s="945"/>
      <c r="S316" s="945"/>
      <c r="T316" s="945"/>
      <c r="U316" s="945"/>
      <c r="V316" s="945"/>
      <c r="W316" s="945"/>
      <c r="X316" s="945"/>
      <c r="Y316" s="945"/>
      <c r="Z316" s="945"/>
      <c r="AA316" s="945"/>
      <c r="AB316" s="945"/>
    </row>
    <row r="317" ht="20.25" customHeight="1">
      <c r="A317" s="964"/>
      <c r="B317" s="965"/>
      <c r="C317" s="965"/>
      <c r="D317" s="966"/>
      <c r="E317" s="967"/>
      <c r="F317" s="965"/>
      <c r="G317" s="965"/>
      <c r="H317" s="965"/>
      <c r="I317" s="965"/>
      <c r="J317" s="965"/>
      <c r="K317" s="965"/>
      <c r="L317" s="965"/>
      <c r="M317" s="965"/>
      <c r="N317" s="965"/>
      <c r="O317" s="965"/>
      <c r="P317" s="965"/>
      <c r="Q317" s="945"/>
      <c r="R317" s="945"/>
      <c r="S317" s="945"/>
      <c r="T317" s="945"/>
      <c r="U317" s="945"/>
      <c r="V317" s="945"/>
      <c r="W317" s="945"/>
      <c r="X317" s="945"/>
      <c r="Y317" s="945"/>
      <c r="Z317" s="945"/>
      <c r="AA317" s="945"/>
      <c r="AB317" s="945"/>
    </row>
    <row r="318" ht="20.25" customHeight="1">
      <c r="A318" s="964"/>
      <c r="B318" s="965"/>
      <c r="C318" s="965"/>
      <c r="D318" s="966"/>
      <c r="E318" s="967"/>
      <c r="F318" s="965"/>
      <c r="G318" s="965"/>
      <c r="H318" s="965"/>
      <c r="I318" s="965"/>
      <c r="J318" s="965"/>
      <c r="K318" s="965"/>
      <c r="L318" s="965"/>
      <c r="M318" s="965"/>
      <c r="N318" s="965"/>
      <c r="O318" s="965"/>
      <c r="P318" s="965"/>
      <c r="Q318" s="945"/>
      <c r="R318" s="945"/>
      <c r="S318" s="945"/>
      <c r="T318" s="945"/>
      <c r="U318" s="945"/>
      <c r="V318" s="945"/>
      <c r="W318" s="945"/>
      <c r="X318" s="945"/>
      <c r="Y318" s="945"/>
      <c r="Z318" s="945"/>
      <c r="AA318" s="945"/>
      <c r="AB318" s="945"/>
    </row>
    <row r="319" ht="20.25" customHeight="1">
      <c r="A319" s="964"/>
      <c r="B319" s="965"/>
      <c r="C319" s="965"/>
      <c r="D319" s="966"/>
      <c r="E319" s="967"/>
      <c r="F319" s="965"/>
      <c r="G319" s="965"/>
      <c r="H319" s="965"/>
      <c r="I319" s="965"/>
      <c r="J319" s="965"/>
      <c r="K319" s="965"/>
      <c r="L319" s="965"/>
      <c r="M319" s="965"/>
      <c r="N319" s="965"/>
      <c r="O319" s="965"/>
      <c r="P319" s="965"/>
      <c r="Q319" s="945"/>
      <c r="R319" s="945"/>
      <c r="S319" s="945"/>
      <c r="T319" s="945"/>
      <c r="U319" s="945"/>
      <c r="V319" s="945"/>
      <c r="W319" s="945"/>
      <c r="X319" s="945"/>
      <c r="Y319" s="945"/>
      <c r="Z319" s="945"/>
      <c r="AA319" s="945"/>
      <c r="AB319" s="945"/>
    </row>
    <row r="320" ht="20.25" customHeight="1">
      <c r="A320" s="964"/>
      <c r="B320" s="965"/>
      <c r="C320" s="965"/>
      <c r="D320" s="966"/>
      <c r="E320" s="967"/>
      <c r="F320" s="965"/>
      <c r="G320" s="965"/>
      <c r="H320" s="965"/>
      <c r="I320" s="965"/>
      <c r="J320" s="965"/>
      <c r="K320" s="965"/>
      <c r="L320" s="965"/>
      <c r="M320" s="965"/>
      <c r="N320" s="965"/>
      <c r="O320" s="965"/>
      <c r="P320" s="965"/>
      <c r="Q320" s="945"/>
      <c r="R320" s="945"/>
      <c r="S320" s="945"/>
      <c r="T320" s="945"/>
      <c r="U320" s="945"/>
      <c r="V320" s="945"/>
      <c r="W320" s="945"/>
      <c r="X320" s="945"/>
      <c r="Y320" s="945"/>
      <c r="Z320" s="945"/>
      <c r="AA320" s="945"/>
      <c r="AB320" s="945"/>
    </row>
    <row r="321" ht="20.25" customHeight="1">
      <c r="A321" s="964"/>
      <c r="B321" s="965"/>
      <c r="C321" s="965"/>
      <c r="D321" s="966"/>
      <c r="E321" s="967"/>
      <c r="F321" s="965"/>
      <c r="G321" s="965"/>
      <c r="H321" s="965"/>
      <c r="I321" s="965"/>
      <c r="J321" s="965"/>
      <c r="K321" s="965"/>
      <c r="L321" s="965"/>
      <c r="M321" s="965"/>
      <c r="N321" s="965"/>
      <c r="O321" s="965"/>
      <c r="P321" s="965"/>
      <c r="Q321" s="945"/>
      <c r="R321" s="945"/>
      <c r="S321" s="945"/>
      <c r="T321" s="945"/>
      <c r="U321" s="945"/>
      <c r="V321" s="945"/>
      <c r="W321" s="945"/>
      <c r="X321" s="945"/>
      <c r="Y321" s="945"/>
      <c r="Z321" s="945"/>
      <c r="AA321" s="945"/>
      <c r="AB321" s="945"/>
    </row>
    <row r="322" ht="20.25" customHeight="1">
      <c r="A322" s="964"/>
      <c r="B322" s="965"/>
      <c r="C322" s="965"/>
      <c r="D322" s="966"/>
      <c r="E322" s="967"/>
      <c r="F322" s="965"/>
      <c r="G322" s="965"/>
      <c r="H322" s="965"/>
      <c r="I322" s="965"/>
      <c r="J322" s="965"/>
      <c r="K322" s="965"/>
      <c r="L322" s="965"/>
      <c r="M322" s="965"/>
      <c r="N322" s="965"/>
      <c r="O322" s="965"/>
      <c r="P322" s="965"/>
      <c r="Q322" s="945"/>
      <c r="R322" s="945"/>
      <c r="S322" s="945"/>
      <c r="T322" s="945"/>
      <c r="U322" s="945"/>
      <c r="V322" s="945"/>
      <c r="W322" s="945"/>
      <c r="X322" s="945"/>
      <c r="Y322" s="945"/>
      <c r="Z322" s="945"/>
      <c r="AA322" s="945"/>
      <c r="AB322" s="945"/>
    </row>
    <row r="323" ht="20.25" customHeight="1">
      <c r="A323" s="964"/>
      <c r="B323" s="965"/>
      <c r="C323" s="965"/>
      <c r="D323" s="966"/>
      <c r="E323" s="967"/>
      <c r="F323" s="965"/>
      <c r="G323" s="965"/>
      <c r="H323" s="965"/>
      <c r="I323" s="965"/>
      <c r="J323" s="965"/>
      <c r="K323" s="965"/>
      <c r="L323" s="965"/>
      <c r="M323" s="965"/>
      <c r="N323" s="965"/>
      <c r="O323" s="965"/>
      <c r="P323" s="965"/>
      <c r="Q323" s="945"/>
      <c r="R323" s="945"/>
      <c r="S323" s="945"/>
      <c r="T323" s="945"/>
      <c r="U323" s="945"/>
      <c r="V323" s="945"/>
      <c r="W323" s="945"/>
      <c r="X323" s="945"/>
      <c r="Y323" s="945"/>
      <c r="Z323" s="945"/>
      <c r="AA323" s="945"/>
      <c r="AB323" s="945"/>
    </row>
    <row r="324" ht="20.25" customHeight="1">
      <c r="A324" s="964"/>
      <c r="B324" s="965"/>
      <c r="C324" s="965"/>
      <c r="D324" s="966"/>
      <c r="E324" s="967"/>
      <c r="F324" s="965"/>
      <c r="G324" s="965"/>
      <c r="H324" s="965"/>
      <c r="I324" s="965"/>
      <c r="J324" s="965"/>
      <c r="K324" s="965"/>
      <c r="L324" s="965"/>
      <c r="M324" s="965"/>
      <c r="N324" s="965"/>
      <c r="O324" s="965"/>
      <c r="P324" s="965"/>
      <c r="Q324" s="945"/>
      <c r="R324" s="945"/>
      <c r="S324" s="945"/>
      <c r="T324" s="945"/>
      <c r="U324" s="945"/>
      <c r="V324" s="945"/>
      <c r="W324" s="945"/>
      <c r="X324" s="945"/>
      <c r="Y324" s="945"/>
      <c r="Z324" s="945"/>
      <c r="AA324" s="945"/>
      <c r="AB324" s="945"/>
    </row>
    <row r="325" ht="20.25" customHeight="1">
      <c r="A325" s="964"/>
      <c r="B325" s="965"/>
      <c r="C325" s="965"/>
      <c r="D325" s="966"/>
      <c r="E325" s="967"/>
      <c r="F325" s="965"/>
      <c r="G325" s="965"/>
      <c r="H325" s="965"/>
      <c r="I325" s="965"/>
      <c r="J325" s="965"/>
      <c r="K325" s="965"/>
      <c r="L325" s="965"/>
      <c r="M325" s="965"/>
      <c r="N325" s="965"/>
      <c r="O325" s="965"/>
      <c r="P325" s="965"/>
      <c r="Q325" s="945"/>
      <c r="R325" s="945"/>
      <c r="S325" s="945"/>
      <c r="T325" s="945"/>
      <c r="U325" s="945"/>
      <c r="V325" s="945"/>
      <c r="W325" s="945"/>
      <c r="X325" s="945"/>
      <c r="Y325" s="945"/>
      <c r="Z325" s="945"/>
      <c r="AA325" s="945"/>
      <c r="AB325" s="945"/>
    </row>
    <row r="326" ht="20.25" customHeight="1">
      <c r="A326" s="964"/>
      <c r="B326" s="965"/>
      <c r="C326" s="965"/>
      <c r="D326" s="966"/>
      <c r="E326" s="967"/>
      <c r="F326" s="965"/>
      <c r="G326" s="965"/>
      <c r="H326" s="965"/>
      <c r="I326" s="965"/>
      <c r="J326" s="965"/>
      <c r="K326" s="965"/>
      <c r="L326" s="965"/>
      <c r="M326" s="965"/>
      <c r="N326" s="965"/>
      <c r="O326" s="965"/>
      <c r="P326" s="965"/>
      <c r="Q326" s="945"/>
      <c r="R326" s="945"/>
      <c r="S326" s="945"/>
      <c r="T326" s="945"/>
      <c r="U326" s="945"/>
      <c r="V326" s="945"/>
      <c r="W326" s="945"/>
      <c r="X326" s="945"/>
      <c r="Y326" s="945"/>
      <c r="Z326" s="945"/>
      <c r="AA326" s="945"/>
      <c r="AB326" s="945"/>
    </row>
    <row r="327" ht="20.25" customHeight="1">
      <c r="A327" s="964"/>
      <c r="B327" s="965"/>
      <c r="C327" s="965"/>
      <c r="D327" s="966"/>
      <c r="E327" s="967"/>
      <c r="F327" s="965"/>
      <c r="G327" s="965"/>
      <c r="H327" s="965"/>
      <c r="I327" s="965"/>
      <c r="J327" s="965"/>
      <c r="K327" s="965"/>
      <c r="L327" s="965"/>
      <c r="M327" s="965"/>
      <c r="N327" s="965"/>
      <c r="O327" s="965"/>
      <c r="P327" s="965"/>
      <c r="Q327" s="945"/>
      <c r="R327" s="945"/>
      <c r="S327" s="945"/>
      <c r="T327" s="945"/>
      <c r="U327" s="945"/>
      <c r="V327" s="945"/>
      <c r="W327" s="945"/>
      <c r="X327" s="945"/>
      <c r="Y327" s="945"/>
      <c r="Z327" s="945"/>
      <c r="AA327" s="945"/>
      <c r="AB327" s="945"/>
    </row>
    <row r="328" ht="20.25" customHeight="1">
      <c r="A328" s="964"/>
      <c r="B328" s="965"/>
      <c r="C328" s="965"/>
      <c r="D328" s="966"/>
      <c r="E328" s="967"/>
      <c r="F328" s="965"/>
      <c r="G328" s="965"/>
      <c r="H328" s="965"/>
      <c r="I328" s="965"/>
      <c r="J328" s="965"/>
      <c r="K328" s="965"/>
      <c r="L328" s="965"/>
      <c r="M328" s="965"/>
      <c r="N328" s="965"/>
      <c r="O328" s="965"/>
      <c r="P328" s="965"/>
      <c r="Q328" s="945"/>
      <c r="R328" s="945"/>
      <c r="S328" s="945"/>
      <c r="T328" s="945"/>
      <c r="U328" s="945"/>
      <c r="V328" s="945"/>
      <c r="W328" s="945"/>
      <c r="X328" s="945"/>
      <c r="Y328" s="945"/>
      <c r="Z328" s="945"/>
      <c r="AA328" s="945"/>
      <c r="AB328" s="945"/>
    </row>
    <row r="329" ht="20.25" customHeight="1">
      <c r="A329" s="964"/>
      <c r="B329" s="965"/>
      <c r="C329" s="965"/>
      <c r="D329" s="966"/>
      <c r="E329" s="967"/>
      <c r="F329" s="965"/>
      <c r="G329" s="965"/>
      <c r="H329" s="965"/>
      <c r="I329" s="965"/>
      <c r="J329" s="965"/>
      <c r="K329" s="965"/>
      <c r="L329" s="965"/>
      <c r="M329" s="965"/>
      <c r="N329" s="965"/>
      <c r="O329" s="965"/>
      <c r="P329" s="965"/>
      <c r="Q329" s="945"/>
      <c r="R329" s="945"/>
      <c r="S329" s="945"/>
      <c r="T329" s="945"/>
      <c r="U329" s="945"/>
      <c r="V329" s="945"/>
      <c r="W329" s="945"/>
      <c r="X329" s="945"/>
      <c r="Y329" s="945"/>
      <c r="Z329" s="945"/>
      <c r="AA329" s="945"/>
      <c r="AB329" s="945"/>
    </row>
    <row r="330" ht="20.25" customHeight="1">
      <c r="A330" s="964"/>
      <c r="B330" s="965"/>
      <c r="C330" s="965"/>
      <c r="D330" s="966"/>
      <c r="E330" s="967"/>
      <c r="F330" s="965"/>
      <c r="G330" s="965"/>
      <c r="H330" s="965"/>
      <c r="I330" s="965"/>
      <c r="J330" s="965"/>
      <c r="K330" s="965"/>
      <c r="L330" s="965"/>
      <c r="M330" s="965"/>
      <c r="N330" s="965"/>
      <c r="O330" s="965"/>
      <c r="P330" s="965"/>
      <c r="Q330" s="945"/>
      <c r="R330" s="945"/>
      <c r="S330" s="945"/>
      <c r="T330" s="945"/>
      <c r="U330" s="945"/>
      <c r="V330" s="945"/>
      <c r="W330" s="945"/>
      <c r="X330" s="945"/>
      <c r="Y330" s="945"/>
      <c r="Z330" s="945"/>
      <c r="AA330" s="945"/>
      <c r="AB330" s="945"/>
    </row>
    <row r="331" ht="20.25" customHeight="1">
      <c r="A331" s="964"/>
      <c r="B331" s="965"/>
      <c r="C331" s="965"/>
      <c r="D331" s="966"/>
      <c r="E331" s="967"/>
      <c r="F331" s="965"/>
      <c r="G331" s="965"/>
      <c r="H331" s="965"/>
      <c r="I331" s="965"/>
      <c r="J331" s="965"/>
      <c r="K331" s="965"/>
      <c r="L331" s="965"/>
      <c r="M331" s="965"/>
      <c r="N331" s="965"/>
      <c r="O331" s="965"/>
      <c r="P331" s="965"/>
      <c r="Q331" s="945"/>
      <c r="R331" s="945"/>
      <c r="S331" s="945"/>
      <c r="T331" s="945"/>
      <c r="U331" s="945"/>
      <c r="V331" s="945"/>
      <c r="W331" s="945"/>
      <c r="X331" s="945"/>
      <c r="Y331" s="945"/>
      <c r="Z331" s="945"/>
      <c r="AA331" s="945"/>
      <c r="AB331" s="945"/>
    </row>
    <row r="332" ht="20.25" customHeight="1">
      <c r="A332" s="964"/>
      <c r="B332" s="965"/>
      <c r="C332" s="965"/>
      <c r="D332" s="966"/>
      <c r="E332" s="967"/>
      <c r="F332" s="965"/>
      <c r="G332" s="965"/>
      <c r="H332" s="965"/>
      <c r="I332" s="965"/>
      <c r="J332" s="965"/>
      <c r="K332" s="965"/>
      <c r="L332" s="965"/>
      <c r="M332" s="965"/>
      <c r="N332" s="965"/>
      <c r="O332" s="965"/>
      <c r="P332" s="965"/>
      <c r="Q332" s="945"/>
      <c r="R332" s="945"/>
      <c r="S332" s="945"/>
      <c r="T332" s="945"/>
      <c r="U332" s="945"/>
      <c r="V332" s="945"/>
      <c r="W332" s="945"/>
      <c r="X332" s="945"/>
      <c r="Y332" s="945"/>
      <c r="Z332" s="945"/>
      <c r="AA332" s="945"/>
      <c r="AB332" s="945"/>
    </row>
    <row r="333" ht="20.25" customHeight="1">
      <c r="A333" s="964"/>
      <c r="B333" s="965"/>
      <c r="C333" s="965"/>
      <c r="D333" s="966"/>
      <c r="E333" s="967"/>
      <c r="F333" s="965"/>
      <c r="G333" s="965"/>
      <c r="H333" s="965"/>
      <c r="I333" s="965"/>
      <c r="J333" s="965"/>
      <c r="K333" s="965"/>
      <c r="L333" s="965"/>
      <c r="M333" s="965"/>
      <c r="N333" s="965"/>
      <c r="O333" s="965"/>
      <c r="P333" s="965"/>
      <c r="Q333" s="945"/>
      <c r="R333" s="945"/>
      <c r="S333" s="945"/>
      <c r="T333" s="945"/>
      <c r="U333" s="945"/>
      <c r="V333" s="945"/>
      <c r="W333" s="945"/>
      <c r="X333" s="945"/>
      <c r="Y333" s="945"/>
      <c r="Z333" s="945"/>
      <c r="AA333" s="945"/>
      <c r="AB333" s="945"/>
    </row>
    <row r="334" ht="20.25" customHeight="1">
      <c r="A334" s="964"/>
      <c r="B334" s="965"/>
      <c r="C334" s="965"/>
      <c r="D334" s="966"/>
      <c r="E334" s="967"/>
      <c r="F334" s="965"/>
      <c r="G334" s="965"/>
      <c r="H334" s="965"/>
      <c r="I334" s="965"/>
      <c r="J334" s="965"/>
      <c r="K334" s="965"/>
      <c r="L334" s="965"/>
      <c r="M334" s="965"/>
      <c r="N334" s="965"/>
      <c r="O334" s="965"/>
      <c r="P334" s="965"/>
      <c r="Q334" s="945"/>
      <c r="R334" s="945"/>
      <c r="S334" s="945"/>
      <c r="T334" s="945"/>
      <c r="U334" s="945"/>
      <c r="V334" s="945"/>
      <c r="W334" s="945"/>
      <c r="X334" s="945"/>
      <c r="Y334" s="945"/>
      <c r="Z334" s="945"/>
      <c r="AA334" s="945"/>
      <c r="AB334" s="945"/>
    </row>
    <row r="335" ht="20.25" customHeight="1">
      <c r="A335" s="964"/>
      <c r="B335" s="965"/>
      <c r="C335" s="965"/>
      <c r="D335" s="966"/>
      <c r="E335" s="967"/>
      <c r="F335" s="965"/>
      <c r="G335" s="965"/>
      <c r="H335" s="965"/>
      <c r="I335" s="965"/>
      <c r="J335" s="965"/>
      <c r="K335" s="965"/>
      <c r="L335" s="965"/>
      <c r="M335" s="965"/>
      <c r="N335" s="965"/>
      <c r="O335" s="965"/>
      <c r="P335" s="965"/>
      <c r="Q335" s="945"/>
      <c r="R335" s="945"/>
      <c r="S335" s="945"/>
      <c r="T335" s="945"/>
      <c r="U335" s="945"/>
      <c r="V335" s="945"/>
      <c r="W335" s="945"/>
      <c r="X335" s="945"/>
      <c r="Y335" s="945"/>
      <c r="Z335" s="945"/>
      <c r="AA335" s="945"/>
      <c r="AB335" s="945"/>
    </row>
    <row r="336" ht="20.25" customHeight="1">
      <c r="A336" s="964"/>
      <c r="B336" s="965"/>
      <c r="C336" s="965"/>
      <c r="D336" s="966"/>
      <c r="E336" s="967"/>
      <c r="F336" s="965"/>
      <c r="G336" s="965"/>
      <c r="H336" s="965"/>
      <c r="I336" s="965"/>
      <c r="J336" s="965"/>
      <c r="K336" s="965"/>
      <c r="L336" s="965"/>
      <c r="M336" s="965"/>
      <c r="N336" s="965"/>
      <c r="O336" s="965"/>
      <c r="P336" s="965"/>
      <c r="Q336" s="945"/>
      <c r="R336" s="945"/>
      <c r="S336" s="945"/>
      <c r="T336" s="945"/>
      <c r="U336" s="945"/>
      <c r="V336" s="945"/>
      <c r="W336" s="945"/>
      <c r="X336" s="945"/>
      <c r="Y336" s="945"/>
      <c r="Z336" s="945"/>
      <c r="AA336" s="945"/>
      <c r="AB336" s="945"/>
    </row>
    <row r="337" ht="20.25" customHeight="1">
      <c r="A337" s="964"/>
      <c r="B337" s="965"/>
      <c r="C337" s="965"/>
      <c r="D337" s="966"/>
      <c r="E337" s="967"/>
      <c r="F337" s="965"/>
      <c r="G337" s="965"/>
      <c r="H337" s="965"/>
      <c r="I337" s="965"/>
      <c r="J337" s="965"/>
      <c r="K337" s="965"/>
      <c r="L337" s="965"/>
      <c r="M337" s="965"/>
      <c r="N337" s="965"/>
      <c r="O337" s="965"/>
      <c r="P337" s="965"/>
      <c r="Q337" s="945"/>
      <c r="R337" s="945"/>
      <c r="S337" s="945"/>
      <c r="T337" s="945"/>
      <c r="U337" s="945"/>
      <c r="V337" s="945"/>
      <c r="W337" s="945"/>
      <c r="X337" s="945"/>
      <c r="Y337" s="945"/>
      <c r="Z337" s="945"/>
      <c r="AA337" s="945"/>
      <c r="AB337" s="945"/>
    </row>
    <row r="338" ht="20.25" customHeight="1">
      <c r="A338" s="964"/>
      <c r="B338" s="965"/>
      <c r="C338" s="965"/>
      <c r="D338" s="966"/>
      <c r="E338" s="967"/>
      <c r="F338" s="965"/>
      <c r="G338" s="965"/>
      <c r="H338" s="965"/>
      <c r="I338" s="965"/>
      <c r="J338" s="965"/>
      <c r="K338" s="965"/>
      <c r="L338" s="965"/>
      <c r="M338" s="965"/>
      <c r="N338" s="965"/>
      <c r="O338" s="965"/>
      <c r="P338" s="965"/>
      <c r="Q338" s="945"/>
      <c r="R338" s="945"/>
      <c r="S338" s="945"/>
      <c r="T338" s="945"/>
      <c r="U338" s="945"/>
      <c r="V338" s="945"/>
      <c r="W338" s="945"/>
      <c r="X338" s="945"/>
      <c r="Y338" s="945"/>
      <c r="Z338" s="945"/>
      <c r="AA338" s="945"/>
      <c r="AB338" s="945"/>
    </row>
    <row r="339" ht="20.25" customHeight="1">
      <c r="A339" s="964"/>
      <c r="B339" s="965"/>
      <c r="C339" s="965"/>
      <c r="D339" s="966"/>
      <c r="E339" s="967"/>
      <c r="F339" s="965"/>
      <c r="G339" s="965"/>
      <c r="H339" s="965"/>
      <c r="I339" s="965"/>
      <c r="J339" s="965"/>
      <c r="K339" s="965"/>
      <c r="L339" s="965"/>
      <c r="M339" s="965"/>
      <c r="N339" s="965"/>
      <c r="O339" s="965"/>
      <c r="P339" s="965"/>
      <c r="Q339" s="945"/>
      <c r="R339" s="945"/>
      <c r="S339" s="945"/>
      <c r="T339" s="945"/>
      <c r="U339" s="945"/>
      <c r="V339" s="945"/>
      <c r="W339" s="945"/>
      <c r="X339" s="945"/>
      <c r="Y339" s="945"/>
      <c r="Z339" s="945"/>
      <c r="AA339" s="945"/>
      <c r="AB339" s="945"/>
    </row>
    <row r="340" ht="20.25" customHeight="1">
      <c r="A340" s="964"/>
      <c r="B340" s="965"/>
      <c r="C340" s="965"/>
      <c r="D340" s="966"/>
      <c r="E340" s="967"/>
      <c r="F340" s="965"/>
      <c r="G340" s="965"/>
      <c r="H340" s="965"/>
      <c r="I340" s="965"/>
      <c r="J340" s="965"/>
      <c r="K340" s="965"/>
      <c r="L340" s="965"/>
      <c r="M340" s="965"/>
      <c r="N340" s="965"/>
      <c r="O340" s="965"/>
      <c r="P340" s="965"/>
      <c r="Q340" s="945"/>
      <c r="R340" s="945"/>
      <c r="S340" s="945"/>
      <c r="T340" s="945"/>
      <c r="U340" s="945"/>
      <c r="V340" s="945"/>
      <c r="W340" s="945"/>
      <c r="X340" s="945"/>
      <c r="Y340" s="945"/>
      <c r="Z340" s="945"/>
      <c r="AA340" s="945"/>
      <c r="AB340" s="945"/>
    </row>
    <row r="341" ht="20.25" customHeight="1">
      <c r="A341" s="964"/>
      <c r="B341" s="965"/>
      <c r="C341" s="965"/>
      <c r="D341" s="966"/>
      <c r="E341" s="967"/>
      <c r="F341" s="965"/>
      <c r="G341" s="965"/>
      <c r="H341" s="965"/>
      <c r="I341" s="965"/>
      <c r="J341" s="965"/>
      <c r="K341" s="965"/>
      <c r="L341" s="965"/>
      <c r="M341" s="965"/>
      <c r="N341" s="965"/>
      <c r="O341" s="965"/>
      <c r="P341" s="965"/>
      <c r="Q341" s="945"/>
      <c r="R341" s="945"/>
      <c r="S341" s="945"/>
      <c r="T341" s="945"/>
      <c r="U341" s="945"/>
      <c r="V341" s="945"/>
      <c r="W341" s="945"/>
      <c r="X341" s="945"/>
      <c r="Y341" s="945"/>
      <c r="Z341" s="945"/>
      <c r="AA341" s="945"/>
      <c r="AB341" s="945"/>
    </row>
    <row r="342" ht="20.25" customHeight="1">
      <c r="A342" s="964"/>
      <c r="B342" s="965"/>
      <c r="C342" s="965"/>
      <c r="D342" s="966"/>
      <c r="E342" s="967"/>
      <c r="F342" s="965"/>
      <c r="G342" s="965"/>
      <c r="H342" s="965"/>
      <c r="I342" s="965"/>
      <c r="J342" s="965"/>
      <c r="K342" s="965"/>
      <c r="L342" s="965"/>
      <c r="M342" s="965"/>
      <c r="N342" s="965"/>
      <c r="O342" s="965"/>
      <c r="P342" s="965"/>
      <c r="Q342" s="945"/>
      <c r="R342" s="945"/>
      <c r="S342" s="945"/>
      <c r="T342" s="945"/>
      <c r="U342" s="945"/>
      <c r="V342" s="945"/>
      <c r="W342" s="945"/>
      <c r="X342" s="945"/>
      <c r="Y342" s="945"/>
      <c r="Z342" s="945"/>
      <c r="AA342" s="945"/>
      <c r="AB342" s="945"/>
    </row>
    <row r="343" ht="20.25" customHeight="1">
      <c r="A343" s="964"/>
      <c r="B343" s="965"/>
      <c r="C343" s="965"/>
      <c r="D343" s="966"/>
      <c r="E343" s="967"/>
      <c r="F343" s="965"/>
      <c r="G343" s="965"/>
      <c r="H343" s="965"/>
      <c r="I343" s="965"/>
      <c r="J343" s="965"/>
      <c r="K343" s="965"/>
      <c r="L343" s="965"/>
      <c r="M343" s="965"/>
      <c r="N343" s="965"/>
      <c r="O343" s="965"/>
      <c r="P343" s="965"/>
      <c r="Q343" s="945"/>
      <c r="R343" s="945"/>
      <c r="S343" s="945"/>
      <c r="T343" s="945"/>
      <c r="U343" s="945"/>
      <c r="V343" s="945"/>
      <c r="W343" s="945"/>
      <c r="X343" s="945"/>
      <c r="Y343" s="945"/>
      <c r="Z343" s="945"/>
      <c r="AA343" s="945"/>
      <c r="AB343" s="945"/>
    </row>
    <row r="344" ht="20.25" customHeight="1">
      <c r="A344" s="964"/>
      <c r="B344" s="965"/>
      <c r="C344" s="965"/>
      <c r="D344" s="966"/>
      <c r="E344" s="967"/>
      <c r="F344" s="965"/>
      <c r="G344" s="965"/>
      <c r="H344" s="965"/>
      <c r="I344" s="965"/>
      <c r="J344" s="965"/>
      <c r="K344" s="965"/>
      <c r="L344" s="965"/>
      <c r="M344" s="965"/>
      <c r="N344" s="965"/>
      <c r="O344" s="965"/>
      <c r="P344" s="965"/>
      <c r="Q344" s="945"/>
      <c r="R344" s="945"/>
      <c r="S344" s="945"/>
      <c r="T344" s="945"/>
      <c r="U344" s="945"/>
      <c r="V344" s="945"/>
      <c r="W344" s="945"/>
      <c r="X344" s="945"/>
      <c r="Y344" s="945"/>
      <c r="Z344" s="945"/>
      <c r="AA344" s="945"/>
      <c r="AB344" s="945"/>
    </row>
    <row r="345" ht="20.25" customHeight="1">
      <c r="A345" s="964"/>
      <c r="B345" s="965"/>
      <c r="C345" s="965"/>
      <c r="D345" s="966"/>
      <c r="E345" s="967"/>
      <c r="F345" s="965"/>
      <c r="G345" s="965"/>
      <c r="H345" s="965"/>
      <c r="I345" s="965"/>
      <c r="J345" s="965"/>
      <c r="K345" s="965"/>
      <c r="L345" s="965"/>
      <c r="M345" s="965"/>
      <c r="N345" s="965"/>
      <c r="O345" s="965"/>
      <c r="P345" s="965"/>
      <c r="Q345" s="945"/>
      <c r="R345" s="945"/>
      <c r="S345" s="945"/>
      <c r="T345" s="945"/>
      <c r="U345" s="945"/>
      <c r="V345" s="945"/>
      <c r="W345" s="945"/>
      <c r="X345" s="945"/>
      <c r="Y345" s="945"/>
      <c r="Z345" s="945"/>
      <c r="AA345" s="945"/>
      <c r="AB345" s="945"/>
    </row>
    <row r="346" ht="20.25" customHeight="1">
      <c r="A346" s="964"/>
      <c r="B346" s="965"/>
      <c r="C346" s="965"/>
      <c r="D346" s="966"/>
      <c r="E346" s="967"/>
      <c r="F346" s="965"/>
      <c r="G346" s="965"/>
      <c r="H346" s="965"/>
      <c r="I346" s="965"/>
      <c r="J346" s="965"/>
      <c r="K346" s="965"/>
      <c r="L346" s="965"/>
      <c r="M346" s="965"/>
      <c r="N346" s="965"/>
      <c r="O346" s="965"/>
      <c r="P346" s="965"/>
      <c r="Q346" s="945"/>
      <c r="R346" s="945"/>
      <c r="S346" s="945"/>
      <c r="T346" s="945"/>
      <c r="U346" s="945"/>
      <c r="V346" s="945"/>
      <c r="W346" s="945"/>
      <c r="X346" s="945"/>
      <c r="Y346" s="945"/>
      <c r="Z346" s="945"/>
      <c r="AA346" s="945"/>
      <c r="AB346" s="945"/>
    </row>
    <row r="347" ht="20.25" customHeight="1">
      <c r="A347" s="964"/>
      <c r="B347" s="965"/>
      <c r="C347" s="965"/>
      <c r="D347" s="966"/>
      <c r="E347" s="967"/>
      <c r="F347" s="965"/>
      <c r="G347" s="965"/>
      <c r="H347" s="965"/>
      <c r="I347" s="965"/>
      <c r="J347" s="965"/>
      <c r="K347" s="965"/>
      <c r="L347" s="965"/>
      <c r="M347" s="965"/>
      <c r="N347" s="965"/>
      <c r="O347" s="965"/>
      <c r="P347" s="965"/>
      <c r="Q347" s="945"/>
      <c r="R347" s="945"/>
      <c r="S347" s="945"/>
      <c r="T347" s="945"/>
      <c r="U347" s="945"/>
      <c r="V347" s="945"/>
      <c r="W347" s="945"/>
      <c r="X347" s="945"/>
      <c r="Y347" s="945"/>
      <c r="Z347" s="945"/>
      <c r="AA347" s="945"/>
      <c r="AB347" s="945"/>
    </row>
    <row r="348" ht="20.25" customHeight="1">
      <c r="A348" s="964"/>
      <c r="B348" s="965"/>
      <c r="C348" s="965"/>
      <c r="D348" s="966"/>
      <c r="E348" s="967"/>
      <c r="F348" s="965"/>
      <c r="G348" s="965"/>
      <c r="H348" s="965"/>
      <c r="I348" s="965"/>
      <c r="J348" s="965"/>
      <c r="K348" s="965"/>
      <c r="L348" s="965"/>
      <c r="M348" s="965"/>
      <c r="N348" s="965"/>
      <c r="O348" s="965"/>
      <c r="P348" s="965"/>
      <c r="Q348" s="945"/>
      <c r="R348" s="945"/>
      <c r="S348" s="945"/>
      <c r="T348" s="945"/>
      <c r="U348" s="945"/>
      <c r="V348" s="945"/>
      <c r="W348" s="945"/>
      <c r="X348" s="945"/>
      <c r="Y348" s="945"/>
      <c r="Z348" s="945"/>
      <c r="AA348" s="945"/>
      <c r="AB348" s="945"/>
    </row>
    <row r="349" ht="20.25" customHeight="1">
      <c r="A349" s="964"/>
      <c r="B349" s="965"/>
      <c r="C349" s="965"/>
      <c r="D349" s="966"/>
      <c r="E349" s="967"/>
      <c r="F349" s="965"/>
      <c r="G349" s="965"/>
      <c r="H349" s="965"/>
      <c r="I349" s="965"/>
      <c r="J349" s="965"/>
      <c r="K349" s="965"/>
      <c r="L349" s="965"/>
      <c r="M349" s="965"/>
      <c r="N349" s="965"/>
      <c r="O349" s="965"/>
      <c r="P349" s="965"/>
      <c r="Q349" s="945"/>
      <c r="R349" s="945"/>
      <c r="S349" s="945"/>
      <c r="T349" s="945"/>
      <c r="U349" s="945"/>
      <c r="V349" s="945"/>
      <c r="W349" s="945"/>
      <c r="X349" s="945"/>
      <c r="Y349" s="945"/>
      <c r="Z349" s="945"/>
      <c r="AA349" s="945"/>
      <c r="AB349" s="945"/>
    </row>
    <row r="350" ht="20.25" customHeight="1">
      <c r="A350" s="964"/>
      <c r="B350" s="965"/>
      <c r="C350" s="965"/>
      <c r="D350" s="966"/>
      <c r="E350" s="967"/>
      <c r="F350" s="965"/>
      <c r="G350" s="965"/>
      <c r="H350" s="965"/>
      <c r="I350" s="965"/>
      <c r="J350" s="965"/>
      <c r="K350" s="965"/>
      <c r="L350" s="965"/>
      <c r="M350" s="965"/>
      <c r="N350" s="965"/>
      <c r="O350" s="965"/>
      <c r="P350" s="965"/>
      <c r="Q350" s="945"/>
      <c r="R350" s="945"/>
      <c r="S350" s="945"/>
      <c r="T350" s="945"/>
      <c r="U350" s="945"/>
      <c r="V350" s="945"/>
      <c r="W350" s="945"/>
      <c r="X350" s="945"/>
      <c r="Y350" s="945"/>
      <c r="Z350" s="945"/>
      <c r="AA350" s="945"/>
      <c r="AB350" s="945"/>
    </row>
    <row r="351" ht="20.25" customHeight="1">
      <c r="A351" s="964"/>
      <c r="B351" s="965"/>
      <c r="C351" s="965"/>
      <c r="D351" s="966"/>
      <c r="E351" s="967"/>
      <c r="F351" s="965"/>
      <c r="G351" s="965"/>
      <c r="H351" s="965"/>
      <c r="I351" s="965"/>
      <c r="J351" s="965"/>
      <c r="K351" s="965"/>
      <c r="L351" s="965"/>
      <c r="M351" s="965"/>
      <c r="N351" s="965"/>
      <c r="O351" s="965"/>
      <c r="P351" s="965"/>
      <c r="Q351" s="945"/>
      <c r="R351" s="945"/>
      <c r="S351" s="945"/>
      <c r="T351" s="945"/>
      <c r="U351" s="945"/>
      <c r="V351" s="945"/>
      <c r="W351" s="945"/>
      <c r="X351" s="945"/>
      <c r="Y351" s="945"/>
      <c r="Z351" s="945"/>
      <c r="AA351" s="945"/>
      <c r="AB351" s="945"/>
    </row>
    <row r="352" ht="20.25" customHeight="1">
      <c r="A352" s="964"/>
      <c r="B352" s="965"/>
      <c r="C352" s="965"/>
      <c r="D352" s="966"/>
      <c r="E352" s="967"/>
      <c r="F352" s="965"/>
      <c r="G352" s="965"/>
      <c r="H352" s="965"/>
      <c r="I352" s="965"/>
      <c r="J352" s="965"/>
      <c r="K352" s="965"/>
      <c r="L352" s="965"/>
      <c r="M352" s="965"/>
      <c r="N352" s="965"/>
      <c r="O352" s="965"/>
      <c r="P352" s="965"/>
      <c r="Q352" s="945"/>
      <c r="R352" s="945"/>
      <c r="S352" s="945"/>
      <c r="T352" s="945"/>
      <c r="U352" s="945"/>
      <c r="V352" s="945"/>
      <c r="W352" s="945"/>
      <c r="X352" s="945"/>
      <c r="Y352" s="945"/>
      <c r="Z352" s="945"/>
      <c r="AA352" s="945"/>
      <c r="AB352" s="945"/>
    </row>
    <row r="353" ht="20.25" customHeight="1">
      <c r="A353" s="964"/>
      <c r="B353" s="965"/>
      <c r="C353" s="965"/>
      <c r="D353" s="966"/>
      <c r="E353" s="967"/>
      <c r="F353" s="965"/>
      <c r="G353" s="965"/>
      <c r="H353" s="965"/>
      <c r="I353" s="965"/>
      <c r="J353" s="965"/>
      <c r="K353" s="965"/>
      <c r="L353" s="965"/>
      <c r="M353" s="965"/>
      <c r="N353" s="965"/>
      <c r="O353" s="965"/>
      <c r="P353" s="965"/>
      <c r="Q353" s="945"/>
      <c r="R353" s="945"/>
      <c r="S353" s="945"/>
      <c r="T353" s="945"/>
      <c r="U353" s="945"/>
      <c r="V353" s="945"/>
      <c r="W353" s="945"/>
      <c r="X353" s="945"/>
      <c r="Y353" s="945"/>
      <c r="Z353" s="945"/>
      <c r="AA353" s="945"/>
      <c r="AB353" s="945"/>
    </row>
    <row r="354" ht="20.25" customHeight="1">
      <c r="A354" s="964"/>
      <c r="B354" s="965"/>
      <c r="C354" s="965"/>
      <c r="D354" s="966"/>
      <c r="E354" s="967"/>
      <c r="F354" s="965"/>
      <c r="G354" s="965"/>
      <c r="H354" s="965"/>
      <c r="I354" s="965"/>
      <c r="J354" s="965"/>
      <c r="K354" s="965"/>
      <c r="L354" s="965"/>
      <c r="M354" s="965"/>
      <c r="N354" s="965"/>
      <c r="O354" s="965"/>
      <c r="P354" s="965"/>
      <c r="Q354" s="945"/>
      <c r="R354" s="945"/>
      <c r="S354" s="945"/>
      <c r="T354" s="945"/>
      <c r="U354" s="945"/>
      <c r="V354" s="945"/>
      <c r="W354" s="945"/>
      <c r="X354" s="945"/>
      <c r="Y354" s="945"/>
      <c r="Z354" s="945"/>
      <c r="AA354" s="945"/>
      <c r="AB354" s="945"/>
    </row>
    <row r="355" ht="20.25" customHeight="1">
      <c r="A355" s="964"/>
      <c r="B355" s="965"/>
      <c r="C355" s="965"/>
      <c r="D355" s="966"/>
      <c r="E355" s="967"/>
      <c r="F355" s="965"/>
      <c r="G355" s="965"/>
      <c r="H355" s="965"/>
      <c r="I355" s="965"/>
      <c r="J355" s="965"/>
      <c r="K355" s="965"/>
      <c r="L355" s="965"/>
      <c r="M355" s="965"/>
      <c r="N355" s="965"/>
      <c r="O355" s="965"/>
      <c r="P355" s="965"/>
      <c r="Q355" s="945"/>
      <c r="R355" s="945"/>
      <c r="S355" s="945"/>
      <c r="T355" s="945"/>
      <c r="U355" s="945"/>
      <c r="V355" s="945"/>
      <c r="W355" s="945"/>
      <c r="X355" s="945"/>
      <c r="Y355" s="945"/>
      <c r="Z355" s="945"/>
      <c r="AA355" s="945"/>
      <c r="AB355" s="945"/>
    </row>
    <row r="356" ht="20.25" customHeight="1">
      <c r="A356" s="964"/>
      <c r="B356" s="965"/>
      <c r="C356" s="965"/>
      <c r="D356" s="966"/>
      <c r="E356" s="967"/>
      <c r="F356" s="965"/>
      <c r="G356" s="965"/>
      <c r="H356" s="965"/>
      <c r="I356" s="965"/>
      <c r="J356" s="965"/>
      <c r="K356" s="965"/>
      <c r="L356" s="965"/>
      <c r="M356" s="965"/>
      <c r="N356" s="965"/>
      <c r="O356" s="965"/>
      <c r="P356" s="965"/>
      <c r="Q356" s="945"/>
      <c r="R356" s="945"/>
      <c r="S356" s="945"/>
      <c r="T356" s="945"/>
      <c r="U356" s="945"/>
      <c r="V356" s="945"/>
      <c r="W356" s="945"/>
      <c r="X356" s="945"/>
      <c r="Y356" s="945"/>
      <c r="Z356" s="945"/>
      <c r="AA356" s="945"/>
      <c r="AB356" s="945"/>
    </row>
    <row r="357" ht="20.25" customHeight="1">
      <c r="A357" s="964"/>
      <c r="B357" s="965"/>
      <c r="C357" s="965"/>
      <c r="D357" s="966"/>
      <c r="E357" s="967"/>
      <c r="F357" s="965"/>
      <c r="G357" s="965"/>
      <c r="H357" s="965"/>
      <c r="I357" s="965"/>
      <c r="J357" s="965"/>
      <c r="K357" s="965"/>
      <c r="L357" s="965"/>
      <c r="M357" s="965"/>
      <c r="N357" s="965"/>
      <c r="O357" s="965"/>
      <c r="P357" s="965"/>
      <c r="Q357" s="945"/>
      <c r="R357" s="945"/>
      <c r="S357" s="945"/>
      <c r="T357" s="945"/>
      <c r="U357" s="945"/>
      <c r="V357" s="945"/>
      <c r="W357" s="945"/>
      <c r="X357" s="945"/>
      <c r="Y357" s="945"/>
      <c r="Z357" s="945"/>
      <c r="AA357" s="945"/>
      <c r="AB357" s="945"/>
    </row>
    <row r="358" ht="20.25" customHeight="1">
      <c r="A358" s="964"/>
      <c r="B358" s="965"/>
      <c r="C358" s="965"/>
      <c r="D358" s="966"/>
      <c r="E358" s="967"/>
      <c r="F358" s="965"/>
      <c r="G358" s="965"/>
      <c r="H358" s="965"/>
      <c r="I358" s="965"/>
      <c r="J358" s="965"/>
      <c r="K358" s="965"/>
      <c r="L358" s="965"/>
      <c r="M358" s="965"/>
      <c r="N358" s="965"/>
      <c r="O358" s="965"/>
      <c r="P358" s="965"/>
      <c r="Q358" s="945"/>
      <c r="R358" s="945"/>
      <c r="S358" s="945"/>
      <c r="T358" s="945"/>
      <c r="U358" s="945"/>
      <c r="V358" s="945"/>
      <c r="W358" s="945"/>
      <c r="X358" s="945"/>
      <c r="Y358" s="945"/>
      <c r="Z358" s="945"/>
      <c r="AA358" s="945"/>
      <c r="AB358" s="945"/>
    </row>
    <row r="359" ht="20.25" customHeight="1">
      <c r="A359" s="964"/>
      <c r="B359" s="965"/>
      <c r="C359" s="965"/>
      <c r="D359" s="966"/>
      <c r="E359" s="967"/>
      <c r="F359" s="965"/>
      <c r="G359" s="965"/>
      <c r="H359" s="965"/>
      <c r="I359" s="965"/>
      <c r="J359" s="965"/>
      <c r="K359" s="965"/>
      <c r="L359" s="965"/>
      <c r="M359" s="965"/>
      <c r="N359" s="965"/>
      <c r="O359" s="965"/>
      <c r="P359" s="965"/>
      <c r="Q359" s="945"/>
      <c r="R359" s="945"/>
      <c r="S359" s="945"/>
      <c r="T359" s="945"/>
      <c r="U359" s="945"/>
      <c r="V359" s="945"/>
      <c r="W359" s="945"/>
      <c r="X359" s="945"/>
      <c r="Y359" s="945"/>
      <c r="Z359" s="945"/>
      <c r="AA359" s="945"/>
      <c r="AB359" s="945"/>
    </row>
    <row r="360" ht="20.25" customHeight="1">
      <c r="A360" s="964"/>
      <c r="B360" s="965"/>
      <c r="C360" s="965"/>
      <c r="D360" s="966"/>
      <c r="E360" s="967"/>
      <c r="F360" s="965"/>
      <c r="G360" s="965"/>
      <c r="H360" s="965"/>
      <c r="I360" s="965"/>
      <c r="J360" s="965"/>
      <c r="K360" s="965"/>
      <c r="L360" s="965"/>
      <c r="M360" s="965"/>
      <c r="N360" s="965"/>
      <c r="O360" s="965"/>
      <c r="P360" s="965"/>
      <c r="Q360" s="945"/>
      <c r="R360" s="945"/>
      <c r="S360" s="945"/>
      <c r="T360" s="945"/>
      <c r="U360" s="945"/>
      <c r="V360" s="945"/>
      <c r="W360" s="945"/>
      <c r="X360" s="945"/>
      <c r="Y360" s="945"/>
      <c r="Z360" s="945"/>
      <c r="AA360" s="945"/>
      <c r="AB360" s="945"/>
    </row>
    <row r="361" ht="20.25" customHeight="1">
      <c r="A361" s="964"/>
      <c r="B361" s="965"/>
      <c r="C361" s="965"/>
      <c r="D361" s="966"/>
      <c r="E361" s="967"/>
      <c r="F361" s="965"/>
      <c r="G361" s="965"/>
      <c r="H361" s="965"/>
      <c r="I361" s="965"/>
      <c r="J361" s="965"/>
      <c r="K361" s="965"/>
      <c r="L361" s="965"/>
      <c r="M361" s="965"/>
      <c r="N361" s="965"/>
      <c r="O361" s="965"/>
      <c r="P361" s="965"/>
      <c r="Q361" s="945"/>
      <c r="R361" s="945"/>
      <c r="S361" s="945"/>
      <c r="T361" s="945"/>
      <c r="U361" s="945"/>
      <c r="V361" s="945"/>
      <c r="W361" s="945"/>
      <c r="X361" s="945"/>
      <c r="Y361" s="945"/>
      <c r="Z361" s="945"/>
      <c r="AA361" s="945"/>
      <c r="AB361" s="945"/>
    </row>
    <row r="362" ht="20.25" customHeight="1">
      <c r="A362" s="964"/>
      <c r="B362" s="965"/>
      <c r="C362" s="965"/>
      <c r="D362" s="966"/>
      <c r="E362" s="967"/>
      <c r="F362" s="965"/>
      <c r="G362" s="965"/>
      <c r="H362" s="965"/>
      <c r="I362" s="965"/>
      <c r="J362" s="965"/>
      <c r="K362" s="965"/>
      <c r="L362" s="965"/>
      <c r="M362" s="965"/>
      <c r="N362" s="965"/>
      <c r="O362" s="965"/>
      <c r="P362" s="965"/>
      <c r="Q362" s="945"/>
      <c r="R362" s="945"/>
      <c r="S362" s="945"/>
      <c r="T362" s="945"/>
      <c r="U362" s="945"/>
      <c r="V362" s="945"/>
      <c r="W362" s="945"/>
      <c r="X362" s="945"/>
      <c r="Y362" s="945"/>
      <c r="Z362" s="945"/>
      <c r="AA362" s="945"/>
      <c r="AB362" s="945"/>
    </row>
    <row r="363" ht="20.25" customHeight="1">
      <c r="A363" s="964"/>
      <c r="B363" s="965"/>
      <c r="C363" s="965"/>
      <c r="D363" s="966"/>
      <c r="E363" s="967"/>
      <c r="F363" s="965"/>
      <c r="G363" s="965"/>
      <c r="H363" s="965"/>
      <c r="I363" s="965"/>
      <c r="J363" s="965"/>
      <c r="K363" s="965"/>
      <c r="L363" s="965"/>
      <c r="M363" s="965"/>
      <c r="N363" s="965"/>
      <c r="O363" s="965"/>
      <c r="P363" s="965"/>
      <c r="Q363" s="945"/>
      <c r="R363" s="945"/>
      <c r="S363" s="945"/>
      <c r="T363" s="945"/>
      <c r="U363" s="945"/>
      <c r="V363" s="945"/>
      <c r="W363" s="945"/>
      <c r="X363" s="945"/>
      <c r="Y363" s="945"/>
      <c r="Z363" s="945"/>
      <c r="AA363" s="945"/>
      <c r="AB363" s="945"/>
    </row>
    <row r="364" ht="20.25" customHeight="1">
      <c r="A364" s="964"/>
      <c r="B364" s="965"/>
      <c r="C364" s="965"/>
      <c r="D364" s="966"/>
      <c r="E364" s="967"/>
      <c r="F364" s="965"/>
      <c r="G364" s="965"/>
      <c r="H364" s="965"/>
      <c r="I364" s="965"/>
      <c r="J364" s="965"/>
      <c r="K364" s="965"/>
      <c r="L364" s="965"/>
      <c r="M364" s="965"/>
      <c r="N364" s="965"/>
      <c r="O364" s="965"/>
      <c r="P364" s="965"/>
      <c r="Q364" s="945"/>
      <c r="R364" s="945"/>
      <c r="S364" s="945"/>
      <c r="T364" s="945"/>
      <c r="U364" s="945"/>
      <c r="V364" s="945"/>
      <c r="W364" s="945"/>
      <c r="X364" s="945"/>
      <c r="Y364" s="945"/>
      <c r="Z364" s="945"/>
      <c r="AA364" s="945"/>
      <c r="AB364" s="945"/>
    </row>
    <row r="365" ht="20.25" customHeight="1">
      <c r="A365" s="964"/>
      <c r="B365" s="965"/>
      <c r="C365" s="965"/>
      <c r="D365" s="966"/>
      <c r="E365" s="967"/>
      <c r="F365" s="965"/>
      <c r="G365" s="965"/>
      <c r="H365" s="965"/>
      <c r="I365" s="965"/>
      <c r="J365" s="965"/>
      <c r="K365" s="965"/>
      <c r="L365" s="965"/>
      <c r="M365" s="965"/>
      <c r="N365" s="965"/>
      <c r="O365" s="965"/>
      <c r="P365" s="965"/>
      <c r="Q365" s="945"/>
      <c r="R365" s="945"/>
      <c r="S365" s="945"/>
      <c r="T365" s="945"/>
      <c r="U365" s="945"/>
      <c r="V365" s="945"/>
      <c r="W365" s="945"/>
      <c r="X365" s="945"/>
      <c r="Y365" s="945"/>
      <c r="Z365" s="945"/>
      <c r="AA365" s="945"/>
      <c r="AB365" s="945"/>
    </row>
    <row r="366" ht="20.25" customHeight="1">
      <c r="A366" s="964"/>
      <c r="B366" s="965"/>
      <c r="C366" s="965"/>
      <c r="D366" s="966"/>
      <c r="E366" s="967"/>
      <c r="F366" s="965"/>
      <c r="G366" s="965"/>
      <c r="H366" s="965"/>
      <c r="I366" s="965"/>
      <c r="J366" s="965"/>
      <c r="K366" s="965"/>
      <c r="L366" s="965"/>
      <c r="M366" s="965"/>
      <c r="N366" s="965"/>
      <c r="O366" s="965"/>
      <c r="P366" s="965"/>
      <c r="Q366" s="945"/>
      <c r="R366" s="945"/>
      <c r="S366" s="945"/>
      <c r="T366" s="945"/>
      <c r="U366" s="945"/>
      <c r="V366" s="945"/>
      <c r="W366" s="945"/>
      <c r="X366" s="945"/>
      <c r="Y366" s="945"/>
      <c r="Z366" s="945"/>
      <c r="AA366" s="945"/>
      <c r="AB366" s="945"/>
    </row>
    <row r="367" ht="20.25" customHeight="1">
      <c r="A367" s="964"/>
      <c r="B367" s="965"/>
      <c r="C367" s="965"/>
      <c r="D367" s="966"/>
      <c r="E367" s="967"/>
      <c r="F367" s="965"/>
      <c r="G367" s="965"/>
      <c r="H367" s="965"/>
      <c r="I367" s="965"/>
      <c r="J367" s="965"/>
      <c r="K367" s="965"/>
      <c r="L367" s="965"/>
      <c r="M367" s="965"/>
      <c r="N367" s="965"/>
      <c r="O367" s="965"/>
      <c r="P367" s="965"/>
      <c r="Q367" s="945"/>
      <c r="R367" s="945"/>
      <c r="S367" s="945"/>
      <c r="T367" s="945"/>
      <c r="U367" s="945"/>
      <c r="V367" s="945"/>
      <c r="W367" s="945"/>
      <c r="X367" s="945"/>
      <c r="Y367" s="945"/>
      <c r="Z367" s="945"/>
      <c r="AA367" s="945"/>
      <c r="AB367" s="945"/>
    </row>
    <row r="368" ht="20.25" customHeight="1">
      <c r="A368" s="964"/>
      <c r="B368" s="965"/>
      <c r="C368" s="965"/>
      <c r="D368" s="966"/>
      <c r="E368" s="967"/>
      <c r="F368" s="965"/>
      <c r="G368" s="965"/>
      <c r="H368" s="965"/>
      <c r="I368" s="965"/>
      <c r="J368" s="965"/>
      <c r="K368" s="965"/>
      <c r="L368" s="965"/>
      <c r="M368" s="965"/>
      <c r="N368" s="965"/>
      <c r="O368" s="965"/>
      <c r="P368" s="965"/>
      <c r="Q368" s="945"/>
      <c r="R368" s="945"/>
      <c r="S368" s="945"/>
      <c r="T368" s="945"/>
      <c r="U368" s="945"/>
      <c r="V368" s="945"/>
      <c r="W368" s="945"/>
      <c r="X368" s="945"/>
      <c r="Y368" s="945"/>
      <c r="Z368" s="945"/>
      <c r="AA368" s="945"/>
      <c r="AB368" s="945"/>
    </row>
    <row r="369" ht="20.25" customHeight="1">
      <c r="A369" s="964"/>
      <c r="B369" s="965"/>
      <c r="C369" s="965"/>
      <c r="D369" s="966"/>
      <c r="E369" s="967"/>
      <c r="F369" s="965"/>
      <c r="G369" s="965"/>
      <c r="H369" s="965"/>
      <c r="I369" s="965"/>
      <c r="J369" s="965"/>
      <c r="K369" s="965"/>
      <c r="L369" s="965"/>
      <c r="M369" s="965"/>
      <c r="N369" s="965"/>
      <c r="O369" s="965"/>
      <c r="P369" s="965"/>
      <c r="Q369" s="945"/>
      <c r="R369" s="945"/>
      <c r="S369" s="945"/>
      <c r="T369" s="945"/>
      <c r="U369" s="945"/>
      <c r="V369" s="945"/>
      <c r="W369" s="945"/>
      <c r="X369" s="945"/>
      <c r="Y369" s="945"/>
      <c r="Z369" s="945"/>
      <c r="AA369" s="945"/>
      <c r="AB369" s="945"/>
    </row>
    <row r="370" ht="20.25" customHeight="1">
      <c r="A370" s="964"/>
      <c r="B370" s="965"/>
      <c r="C370" s="965"/>
      <c r="D370" s="966"/>
      <c r="E370" s="967"/>
      <c r="F370" s="965"/>
      <c r="G370" s="965"/>
      <c r="H370" s="965"/>
      <c r="I370" s="965"/>
      <c r="J370" s="965"/>
      <c r="K370" s="965"/>
      <c r="L370" s="965"/>
      <c r="M370" s="965"/>
      <c r="N370" s="965"/>
      <c r="O370" s="965"/>
      <c r="P370" s="965"/>
      <c r="Q370" s="945"/>
      <c r="R370" s="945"/>
      <c r="S370" s="945"/>
      <c r="T370" s="945"/>
      <c r="U370" s="945"/>
      <c r="V370" s="945"/>
      <c r="W370" s="945"/>
      <c r="X370" s="945"/>
      <c r="Y370" s="945"/>
      <c r="Z370" s="945"/>
      <c r="AA370" s="945"/>
      <c r="AB370" s="945"/>
    </row>
    <row r="371" ht="20.25" customHeight="1">
      <c r="A371" s="964"/>
      <c r="B371" s="965"/>
      <c r="C371" s="965"/>
      <c r="D371" s="966"/>
      <c r="E371" s="967"/>
      <c r="F371" s="965"/>
      <c r="G371" s="965"/>
      <c r="H371" s="965"/>
      <c r="I371" s="965"/>
      <c r="J371" s="965"/>
      <c r="K371" s="965"/>
      <c r="L371" s="965"/>
      <c r="M371" s="965"/>
      <c r="N371" s="965"/>
      <c r="O371" s="965"/>
      <c r="P371" s="965"/>
      <c r="Q371" s="945"/>
      <c r="R371" s="945"/>
      <c r="S371" s="945"/>
      <c r="T371" s="945"/>
      <c r="U371" s="945"/>
      <c r="V371" s="945"/>
      <c r="W371" s="945"/>
      <c r="X371" s="945"/>
      <c r="Y371" s="945"/>
      <c r="Z371" s="945"/>
      <c r="AA371" s="945"/>
      <c r="AB371" s="945"/>
    </row>
    <row r="372" ht="20.25" customHeight="1">
      <c r="A372" s="964"/>
      <c r="B372" s="965"/>
      <c r="C372" s="965"/>
      <c r="D372" s="966"/>
      <c r="E372" s="967"/>
      <c r="F372" s="965"/>
      <c r="G372" s="965"/>
      <c r="H372" s="965"/>
      <c r="I372" s="965"/>
      <c r="J372" s="965"/>
      <c r="K372" s="965"/>
      <c r="L372" s="965"/>
      <c r="M372" s="965"/>
      <c r="N372" s="965"/>
      <c r="O372" s="965"/>
      <c r="P372" s="965"/>
      <c r="Q372" s="945"/>
      <c r="R372" s="945"/>
      <c r="S372" s="945"/>
      <c r="T372" s="945"/>
      <c r="U372" s="945"/>
      <c r="V372" s="945"/>
      <c r="W372" s="945"/>
      <c r="X372" s="945"/>
      <c r="Y372" s="945"/>
      <c r="Z372" s="945"/>
      <c r="AA372" s="945"/>
      <c r="AB372" s="945"/>
    </row>
    <row r="373" ht="20.25" customHeight="1">
      <c r="A373" s="964"/>
      <c r="B373" s="965"/>
      <c r="C373" s="965"/>
      <c r="D373" s="966"/>
      <c r="E373" s="967"/>
      <c r="F373" s="965"/>
      <c r="G373" s="965"/>
      <c r="H373" s="965"/>
      <c r="I373" s="965"/>
      <c r="J373" s="965"/>
      <c r="K373" s="965"/>
      <c r="L373" s="965"/>
      <c r="M373" s="965"/>
      <c r="N373" s="965"/>
      <c r="O373" s="965"/>
      <c r="P373" s="965"/>
      <c r="Q373" s="945"/>
      <c r="R373" s="945"/>
      <c r="S373" s="945"/>
      <c r="T373" s="945"/>
      <c r="U373" s="945"/>
      <c r="V373" s="945"/>
      <c r="W373" s="945"/>
      <c r="X373" s="945"/>
      <c r="Y373" s="945"/>
      <c r="Z373" s="945"/>
      <c r="AA373" s="945"/>
      <c r="AB373" s="945"/>
    </row>
    <row r="374" ht="20.25" customHeight="1">
      <c r="A374" s="964"/>
      <c r="B374" s="965"/>
      <c r="C374" s="965"/>
      <c r="D374" s="966"/>
      <c r="E374" s="967"/>
      <c r="F374" s="965"/>
      <c r="G374" s="965"/>
      <c r="H374" s="965"/>
      <c r="I374" s="965"/>
      <c r="J374" s="965"/>
      <c r="K374" s="965"/>
      <c r="L374" s="965"/>
      <c r="M374" s="965"/>
      <c r="N374" s="965"/>
      <c r="O374" s="965"/>
      <c r="P374" s="965"/>
      <c r="Q374" s="945"/>
      <c r="R374" s="945"/>
      <c r="S374" s="945"/>
      <c r="T374" s="945"/>
      <c r="U374" s="945"/>
      <c r="V374" s="945"/>
      <c r="W374" s="945"/>
      <c r="X374" s="945"/>
      <c r="Y374" s="945"/>
      <c r="Z374" s="945"/>
      <c r="AA374" s="945"/>
      <c r="AB374" s="945"/>
    </row>
    <row r="375" ht="20.25" customHeight="1">
      <c r="A375" s="964"/>
      <c r="B375" s="965"/>
      <c r="C375" s="965"/>
      <c r="D375" s="966"/>
      <c r="E375" s="967"/>
      <c r="F375" s="965"/>
      <c r="G375" s="965"/>
      <c r="H375" s="965"/>
      <c r="I375" s="965"/>
      <c r="J375" s="965"/>
      <c r="K375" s="965"/>
      <c r="L375" s="965"/>
      <c r="M375" s="965"/>
      <c r="N375" s="965"/>
      <c r="O375" s="965"/>
      <c r="P375" s="965"/>
      <c r="Q375" s="945"/>
      <c r="R375" s="945"/>
      <c r="S375" s="945"/>
      <c r="T375" s="945"/>
      <c r="U375" s="945"/>
      <c r="V375" s="945"/>
      <c r="W375" s="945"/>
      <c r="X375" s="945"/>
      <c r="Y375" s="945"/>
      <c r="Z375" s="945"/>
      <c r="AA375" s="945"/>
      <c r="AB375" s="945"/>
    </row>
    <row r="376" ht="20.25" customHeight="1">
      <c r="A376" s="964"/>
      <c r="B376" s="965"/>
      <c r="C376" s="965"/>
      <c r="D376" s="966"/>
      <c r="E376" s="967"/>
      <c r="F376" s="965"/>
      <c r="G376" s="965"/>
      <c r="H376" s="965"/>
      <c r="I376" s="965"/>
      <c r="J376" s="965"/>
      <c r="K376" s="965"/>
      <c r="L376" s="965"/>
      <c r="M376" s="965"/>
      <c r="N376" s="965"/>
      <c r="O376" s="965"/>
      <c r="P376" s="965"/>
      <c r="Q376" s="945"/>
      <c r="R376" s="945"/>
      <c r="S376" s="945"/>
      <c r="T376" s="945"/>
      <c r="U376" s="945"/>
      <c r="V376" s="945"/>
      <c r="W376" s="945"/>
      <c r="X376" s="945"/>
      <c r="Y376" s="945"/>
      <c r="Z376" s="945"/>
      <c r="AA376" s="945"/>
      <c r="AB376" s="945"/>
    </row>
    <row r="377" ht="20.25" customHeight="1">
      <c r="A377" s="964"/>
      <c r="B377" s="965"/>
      <c r="C377" s="965"/>
      <c r="D377" s="966"/>
      <c r="E377" s="967"/>
      <c r="F377" s="965"/>
      <c r="G377" s="965"/>
      <c r="H377" s="965"/>
      <c r="I377" s="965"/>
      <c r="J377" s="965"/>
      <c r="K377" s="965"/>
      <c r="L377" s="965"/>
      <c r="M377" s="965"/>
      <c r="N377" s="965"/>
      <c r="O377" s="965"/>
      <c r="P377" s="965"/>
      <c r="Q377" s="945"/>
      <c r="R377" s="945"/>
      <c r="S377" s="945"/>
      <c r="T377" s="945"/>
      <c r="U377" s="945"/>
      <c r="V377" s="945"/>
      <c r="W377" s="945"/>
      <c r="X377" s="945"/>
      <c r="Y377" s="945"/>
      <c r="Z377" s="945"/>
      <c r="AA377" s="945"/>
      <c r="AB377" s="945"/>
    </row>
    <row r="378" ht="20.25" customHeight="1">
      <c r="A378" s="964"/>
      <c r="B378" s="965"/>
      <c r="C378" s="965"/>
      <c r="D378" s="966"/>
      <c r="E378" s="967"/>
      <c r="F378" s="965"/>
      <c r="G378" s="965"/>
      <c r="H378" s="965"/>
      <c r="I378" s="965"/>
      <c r="J378" s="965"/>
      <c r="K378" s="965"/>
      <c r="L378" s="965"/>
      <c r="M378" s="965"/>
      <c r="N378" s="965"/>
      <c r="O378" s="965"/>
      <c r="P378" s="965"/>
      <c r="Q378" s="945"/>
      <c r="R378" s="945"/>
      <c r="S378" s="945"/>
      <c r="T378" s="945"/>
      <c r="U378" s="945"/>
      <c r="V378" s="945"/>
      <c r="W378" s="945"/>
      <c r="X378" s="945"/>
      <c r="Y378" s="945"/>
      <c r="Z378" s="945"/>
      <c r="AA378" s="945"/>
      <c r="AB378" s="945"/>
    </row>
    <row r="379" ht="20.25" customHeight="1">
      <c r="A379" s="964"/>
      <c r="B379" s="965"/>
      <c r="C379" s="965"/>
      <c r="D379" s="966"/>
      <c r="E379" s="967"/>
      <c r="F379" s="965"/>
      <c r="G379" s="965"/>
      <c r="H379" s="965"/>
      <c r="I379" s="965"/>
      <c r="J379" s="965"/>
      <c r="K379" s="965"/>
      <c r="L379" s="965"/>
      <c r="M379" s="965"/>
      <c r="N379" s="965"/>
      <c r="O379" s="965"/>
      <c r="P379" s="965"/>
      <c r="Q379" s="945"/>
      <c r="R379" s="945"/>
      <c r="S379" s="945"/>
      <c r="T379" s="945"/>
      <c r="U379" s="945"/>
      <c r="V379" s="945"/>
      <c r="W379" s="945"/>
      <c r="X379" s="945"/>
      <c r="Y379" s="945"/>
      <c r="Z379" s="945"/>
      <c r="AA379" s="945"/>
      <c r="AB379" s="945"/>
    </row>
    <row r="380" ht="20.25" customHeight="1">
      <c r="A380" s="964"/>
      <c r="B380" s="965"/>
      <c r="C380" s="965"/>
      <c r="D380" s="966"/>
      <c r="E380" s="967"/>
      <c r="F380" s="965"/>
      <c r="G380" s="965"/>
      <c r="H380" s="965"/>
      <c r="I380" s="965"/>
      <c r="J380" s="965"/>
      <c r="K380" s="965"/>
      <c r="L380" s="965"/>
      <c r="M380" s="965"/>
      <c r="N380" s="965"/>
      <c r="O380" s="965"/>
      <c r="P380" s="965"/>
      <c r="Q380" s="945"/>
      <c r="R380" s="945"/>
      <c r="S380" s="945"/>
      <c r="T380" s="945"/>
      <c r="U380" s="945"/>
      <c r="V380" s="945"/>
      <c r="W380" s="945"/>
      <c r="X380" s="945"/>
      <c r="Y380" s="945"/>
      <c r="Z380" s="945"/>
      <c r="AA380" s="945"/>
      <c r="AB380" s="945"/>
    </row>
    <row r="381" ht="20.25" customHeight="1">
      <c r="A381" s="964"/>
      <c r="B381" s="965"/>
      <c r="C381" s="965"/>
      <c r="D381" s="966"/>
      <c r="E381" s="967"/>
      <c r="F381" s="965"/>
      <c r="G381" s="965"/>
      <c r="H381" s="965"/>
      <c r="I381" s="965"/>
      <c r="J381" s="965"/>
      <c r="K381" s="965"/>
      <c r="L381" s="965"/>
      <c r="M381" s="965"/>
      <c r="N381" s="965"/>
      <c r="O381" s="965"/>
      <c r="P381" s="965"/>
      <c r="Q381" s="945"/>
      <c r="R381" s="945"/>
      <c r="S381" s="945"/>
      <c r="T381" s="945"/>
      <c r="U381" s="945"/>
      <c r="V381" s="945"/>
      <c r="W381" s="945"/>
      <c r="X381" s="945"/>
      <c r="Y381" s="945"/>
      <c r="Z381" s="945"/>
      <c r="AA381" s="945"/>
      <c r="AB381" s="945"/>
    </row>
    <row r="382" ht="20.25" customHeight="1">
      <c r="A382" s="964"/>
      <c r="B382" s="965"/>
      <c r="C382" s="965"/>
      <c r="D382" s="966"/>
      <c r="E382" s="967"/>
      <c r="F382" s="965"/>
      <c r="G382" s="965"/>
      <c r="H382" s="965"/>
      <c r="I382" s="965"/>
      <c r="J382" s="965"/>
      <c r="K382" s="965"/>
      <c r="L382" s="965"/>
      <c r="M382" s="965"/>
      <c r="N382" s="965"/>
      <c r="O382" s="965"/>
      <c r="P382" s="965"/>
      <c r="Q382" s="945"/>
      <c r="R382" s="945"/>
      <c r="S382" s="945"/>
      <c r="T382" s="945"/>
      <c r="U382" s="945"/>
      <c r="V382" s="945"/>
      <c r="W382" s="945"/>
      <c r="X382" s="945"/>
      <c r="Y382" s="945"/>
      <c r="Z382" s="945"/>
      <c r="AA382" s="945"/>
      <c r="AB382" s="945"/>
    </row>
    <row r="383" ht="20.25" customHeight="1">
      <c r="A383" s="964"/>
      <c r="B383" s="965"/>
      <c r="C383" s="965"/>
      <c r="D383" s="966"/>
      <c r="E383" s="967"/>
      <c r="F383" s="965"/>
      <c r="G383" s="965"/>
      <c r="H383" s="965"/>
      <c r="I383" s="965"/>
      <c r="J383" s="965"/>
      <c r="K383" s="965"/>
      <c r="L383" s="965"/>
      <c r="M383" s="965"/>
      <c r="N383" s="965"/>
      <c r="O383" s="965"/>
      <c r="P383" s="965"/>
      <c r="Q383" s="945"/>
      <c r="R383" s="945"/>
      <c r="S383" s="945"/>
      <c r="T383" s="945"/>
      <c r="U383" s="945"/>
      <c r="V383" s="945"/>
      <c r="W383" s="945"/>
      <c r="X383" s="945"/>
      <c r="Y383" s="945"/>
      <c r="Z383" s="945"/>
      <c r="AA383" s="945"/>
      <c r="AB383" s="945"/>
    </row>
    <row r="384" ht="20.25" customHeight="1">
      <c r="A384" s="964"/>
      <c r="B384" s="965"/>
      <c r="C384" s="965"/>
      <c r="D384" s="966"/>
      <c r="E384" s="967"/>
      <c r="F384" s="965"/>
      <c r="G384" s="965"/>
      <c r="H384" s="965"/>
      <c r="I384" s="965"/>
      <c r="J384" s="965"/>
      <c r="K384" s="965"/>
      <c r="L384" s="965"/>
      <c r="M384" s="965"/>
      <c r="N384" s="965"/>
      <c r="O384" s="965"/>
      <c r="P384" s="965"/>
      <c r="Q384" s="945"/>
      <c r="R384" s="945"/>
      <c r="S384" s="945"/>
      <c r="T384" s="945"/>
      <c r="U384" s="945"/>
      <c r="V384" s="945"/>
      <c r="W384" s="945"/>
      <c r="X384" s="945"/>
      <c r="Y384" s="945"/>
      <c r="Z384" s="945"/>
      <c r="AA384" s="945"/>
      <c r="AB384" s="945"/>
    </row>
    <row r="385" ht="20.25" customHeight="1">
      <c r="A385" s="964"/>
      <c r="B385" s="965"/>
      <c r="C385" s="965"/>
      <c r="D385" s="966"/>
      <c r="E385" s="967"/>
      <c r="F385" s="965"/>
      <c r="G385" s="965"/>
      <c r="H385" s="965"/>
      <c r="I385" s="965"/>
      <c r="J385" s="965"/>
      <c r="K385" s="965"/>
      <c r="L385" s="965"/>
      <c r="M385" s="965"/>
      <c r="N385" s="965"/>
      <c r="O385" s="965"/>
      <c r="P385" s="965"/>
      <c r="Q385" s="945"/>
      <c r="R385" s="945"/>
      <c r="S385" s="945"/>
      <c r="T385" s="945"/>
      <c r="U385" s="945"/>
      <c r="V385" s="945"/>
      <c r="W385" s="945"/>
      <c r="X385" s="945"/>
      <c r="Y385" s="945"/>
      <c r="Z385" s="945"/>
      <c r="AA385" s="945"/>
      <c r="AB385" s="945"/>
    </row>
    <row r="386" ht="20.25" customHeight="1">
      <c r="A386" s="964"/>
      <c r="B386" s="965"/>
      <c r="C386" s="965"/>
      <c r="D386" s="966"/>
      <c r="E386" s="967"/>
      <c r="F386" s="965"/>
      <c r="G386" s="965"/>
      <c r="H386" s="965"/>
      <c r="I386" s="965"/>
      <c r="J386" s="965"/>
      <c r="K386" s="965"/>
      <c r="L386" s="965"/>
      <c r="M386" s="965"/>
      <c r="N386" s="965"/>
      <c r="O386" s="965"/>
      <c r="P386" s="965"/>
      <c r="Q386" s="945"/>
      <c r="R386" s="945"/>
      <c r="S386" s="945"/>
      <c r="T386" s="945"/>
      <c r="U386" s="945"/>
      <c r="V386" s="945"/>
      <c r="W386" s="945"/>
      <c r="X386" s="945"/>
      <c r="Y386" s="945"/>
      <c r="Z386" s="945"/>
      <c r="AA386" s="945"/>
      <c r="AB386" s="945"/>
    </row>
    <row r="387" ht="20.25" customHeight="1">
      <c r="A387" s="964"/>
      <c r="B387" s="965"/>
      <c r="C387" s="965"/>
      <c r="D387" s="966"/>
      <c r="E387" s="967"/>
      <c r="F387" s="965"/>
      <c r="G387" s="965"/>
      <c r="H387" s="965"/>
      <c r="I387" s="965"/>
      <c r="J387" s="965"/>
      <c r="K387" s="965"/>
      <c r="L387" s="965"/>
      <c r="M387" s="965"/>
      <c r="N387" s="965"/>
      <c r="O387" s="965"/>
      <c r="P387" s="965"/>
      <c r="Q387" s="945"/>
      <c r="R387" s="945"/>
      <c r="S387" s="945"/>
      <c r="T387" s="945"/>
      <c r="U387" s="945"/>
      <c r="V387" s="945"/>
      <c r="W387" s="945"/>
      <c r="X387" s="945"/>
      <c r="Y387" s="945"/>
      <c r="Z387" s="945"/>
      <c r="AA387" s="945"/>
      <c r="AB387" s="945"/>
    </row>
    <row r="388" ht="20.25" customHeight="1">
      <c r="A388" s="964"/>
      <c r="B388" s="965"/>
      <c r="C388" s="965"/>
      <c r="D388" s="966"/>
      <c r="E388" s="967"/>
      <c r="F388" s="965"/>
      <c r="G388" s="965"/>
      <c r="H388" s="965"/>
      <c r="I388" s="965"/>
      <c r="J388" s="965"/>
      <c r="K388" s="965"/>
      <c r="L388" s="965"/>
      <c r="M388" s="965"/>
      <c r="N388" s="965"/>
      <c r="O388" s="965"/>
      <c r="P388" s="965"/>
      <c r="Q388" s="945"/>
      <c r="R388" s="945"/>
      <c r="S388" s="945"/>
      <c r="T388" s="945"/>
      <c r="U388" s="945"/>
      <c r="V388" s="945"/>
      <c r="W388" s="945"/>
      <c r="X388" s="945"/>
      <c r="Y388" s="945"/>
      <c r="Z388" s="945"/>
      <c r="AA388" s="945"/>
      <c r="AB388" s="945"/>
    </row>
    <row r="389" ht="20.25" customHeight="1">
      <c r="A389" s="964"/>
      <c r="B389" s="965"/>
      <c r="C389" s="965"/>
      <c r="D389" s="966"/>
      <c r="E389" s="967"/>
      <c r="F389" s="965"/>
      <c r="G389" s="965"/>
      <c r="H389" s="965"/>
      <c r="I389" s="965"/>
      <c r="J389" s="965"/>
      <c r="K389" s="965"/>
      <c r="L389" s="965"/>
      <c r="M389" s="965"/>
      <c r="N389" s="965"/>
      <c r="O389" s="965"/>
      <c r="P389" s="965"/>
      <c r="Q389" s="945"/>
      <c r="R389" s="945"/>
      <c r="S389" s="945"/>
      <c r="T389" s="945"/>
      <c r="U389" s="945"/>
      <c r="V389" s="945"/>
      <c r="W389" s="945"/>
      <c r="X389" s="945"/>
      <c r="Y389" s="945"/>
      <c r="Z389" s="945"/>
      <c r="AA389" s="945"/>
      <c r="AB389" s="945"/>
    </row>
    <row r="390" ht="20.25" customHeight="1">
      <c r="A390" s="964"/>
      <c r="B390" s="965"/>
      <c r="C390" s="965"/>
      <c r="D390" s="966"/>
      <c r="E390" s="967"/>
      <c r="F390" s="965"/>
      <c r="G390" s="965"/>
      <c r="H390" s="965"/>
      <c r="I390" s="965"/>
      <c r="J390" s="965"/>
      <c r="K390" s="965"/>
      <c r="L390" s="965"/>
      <c r="M390" s="965"/>
      <c r="N390" s="965"/>
      <c r="O390" s="965"/>
      <c r="P390" s="965"/>
      <c r="Q390" s="945"/>
      <c r="R390" s="945"/>
      <c r="S390" s="945"/>
      <c r="T390" s="945"/>
      <c r="U390" s="945"/>
      <c r="V390" s="945"/>
      <c r="W390" s="945"/>
      <c r="X390" s="945"/>
      <c r="Y390" s="945"/>
      <c r="Z390" s="945"/>
      <c r="AA390" s="945"/>
      <c r="AB390" s="945"/>
    </row>
    <row r="391" ht="20.25" customHeight="1">
      <c r="A391" s="964"/>
      <c r="B391" s="965"/>
      <c r="C391" s="965"/>
      <c r="D391" s="966"/>
      <c r="E391" s="967"/>
      <c r="F391" s="965"/>
      <c r="G391" s="965"/>
      <c r="H391" s="965"/>
      <c r="I391" s="965"/>
      <c r="J391" s="965"/>
      <c r="K391" s="965"/>
      <c r="L391" s="965"/>
      <c r="M391" s="965"/>
      <c r="N391" s="965"/>
      <c r="O391" s="965"/>
      <c r="P391" s="965"/>
      <c r="Q391" s="945"/>
      <c r="R391" s="945"/>
      <c r="S391" s="945"/>
      <c r="T391" s="945"/>
      <c r="U391" s="945"/>
      <c r="V391" s="945"/>
      <c r="W391" s="945"/>
      <c r="X391" s="945"/>
      <c r="Y391" s="945"/>
      <c r="Z391" s="945"/>
      <c r="AA391" s="945"/>
      <c r="AB391" s="945"/>
    </row>
    <row r="392" ht="20.25" customHeight="1">
      <c r="A392" s="964"/>
      <c r="B392" s="965"/>
      <c r="C392" s="965"/>
      <c r="D392" s="966"/>
      <c r="E392" s="967"/>
      <c r="F392" s="965"/>
      <c r="G392" s="965"/>
      <c r="H392" s="965"/>
      <c r="I392" s="965"/>
      <c r="J392" s="965"/>
      <c r="K392" s="965"/>
      <c r="L392" s="965"/>
      <c r="M392" s="965"/>
      <c r="N392" s="965"/>
      <c r="O392" s="965"/>
      <c r="P392" s="965"/>
      <c r="Q392" s="945"/>
      <c r="R392" s="945"/>
      <c r="S392" s="945"/>
      <c r="T392" s="945"/>
      <c r="U392" s="945"/>
      <c r="V392" s="945"/>
      <c r="W392" s="945"/>
      <c r="X392" s="945"/>
      <c r="Y392" s="945"/>
      <c r="Z392" s="945"/>
      <c r="AA392" s="945"/>
      <c r="AB392" s="945"/>
    </row>
    <row r="393" ht="20.25" customHeight="1">
      <c r="A393" s="964"/>
      <c r="B393" s="965"/>
      <c r="C393" s="965"/>
      <c r="D393" s="966"/>
      <c r="E393" s="967"/>
      <c r="F393" s="965"/>
      <c r="G393" s="965"/>
      <c r="H393" s="965"/>
      <c r="I393" s="965"/>
      <c r="J393" s="965"/>
      <c r="K393" s="965"/>
      <c r="L393" s="965"/>
      <c r="M393" s="965"/>
      <c r="N393" s="965"/>
      <c r="O393" s="965"/>
      <c r="P393" s="965"/>
      <c r="Q393" s="945"/>
      <c r="R393" s="945"/>
      <c r="S393" s="945"/>
      <c r="T393" s="945"/>
      <c r="U393" s="945"/>
      <c r="V393" s="945"/>
      <c r="W393" s="945"/>
      <c r="X393" s="945"/>
      <c r="Y393" s="945"/>
      <c r="Z393" s="945"/>
      <c r="AA393" s="945"/>
      <c r="AB393" s="945"/>
    </row>
    <row r="394" ht="20.25" customHeight="1">
      <c r="A394" s="964"/>
      <c r="B394" s="965"/>
      <c r="C394" s="965"/>
      <c r="D394" s="966"/>
      <c r="E394" s="967"/>
      <c r="F394" s="965"/>
      <c r="G394" s="965"/>
      <c r="H394" s="965"/>
      <c r="I394" s="965"/>
      <c r="J394" s="965"/>
      <c r="K394" s="965"/>
      <c r="L394" s="965"/>
      <c r="M394" s="965"/>
      <c r="N394" s="965"/>
      <c r="O394" s="965"/>
      <c r="P394" s="965"/>
      <c r="Q394" s="945"/>
      <c r="R394" s="945"/>
      <c r="S394" s="945"/>
      <c r="T394" s="945"/>
      <c r="U394" s="945"/>
      <c r="V394" s="945"/>
      <c r="W394" s="945"/>
      <c r="X394" s="945"/>
      <c r="Y394" s="945"/>
      <c r="Z394" s="945"/>
      <c r="AA394" s="945"/>
      <c r="AB394" s="945"/>
    </row>
    <row r="395" ht="20.25" customHeight="1">
      <c r="A395" s="964"/>
      <c r="B395" s="965"/>
      <c r="C395" s="965"/>
      <c r="D395" s="966"/>
      <c r="E395" s="967"/>
      <c r="F395" s="965"/>
      <c r="G395" s="965"/>
      <c r="H395" s="965"/>
      <c r="I395" s="965"/>
      <c r="J395" s="965"/>
      <c r="K395" s="965"/>
      <c r="L395" s="965"/>
      <c r="M395" s="965"/>
      <c r="N395" s="965"/>
      <c r="O395" s="965"/>
      <c r="P395" s="965"/>
      <c r="Q395" s="945"/>
      <c r="R395" s="945"/>
      <c r="S395" s="945"/>
      <c r="T395" s="945"/>
      <c r="U395" s="945"/>
      <c r="V395" s="945"/>
      <c r="W395" s="945"/>
      <c r="X395" s="945"/>
      <c r="Y395" s="945"/>
      <c r="Z395" s="945"/>
      <c r="AA395" s="945"/>
      <c r="AB395" s="945"/>
    </row>
    <row r="396" ht="20.25" customHeight="1">
      <c r="A396" s="964"/>
      <c r="B396" s="965"/>
      <c r="C396" s="965"/>
      <c r="D396" s="966"/>
      <c r="E396" s="967"/>
      <c r="F396" s="965"/>
      <c r="G396" s="965"/>
      <c r="H396" s="965"/>
      <c r="I396" s="965"/>
      <c r="J396" s="965"/>
      <c r="K396" s="965"/>
      <c r="L396" s="965"/>
      <c r="M396" s="965"/>
      <c r="N396" s="965"/>
      <c r="O396" s="965"/>
      <c r="P396" s="965"/>
      <c r="Q396" s="945"/>
      <c r="R396" s="945"/>
      <c r="S396" s="945"/>
      <c r="T396" s="945"/>
      <c r="U396" s="945"/>
      <c r="V396" s="945"/>
      <c r="W396" s="945"/>
      <c r="X396" s="945"/>
      <c r="Y396" s="945"/>
      <c r="Z396" s="945"/>
      <c r="AA396" s="945"/>
      <c r="AB396" s="945"/>
    </row>
    <row r="397" ht="20.25" customHeight="1">
      <c r="A397" s="964"/>
      <c r="B397" s="965"/>
      <c r="C397" s="965"/>
      <c r="D397" s="966"/>
      <c r="E397" s="967"/>
      <c r="F397" s="965"/>
      <c r="G397" s="965"/>
      <c r="H397" s="965"/>
      <c r="I397" s="965"/>
      <c r="J397" s="965"/>
      <c r="K397" s="965"/>
      <c r="L397" s="965"/>
      <c r="M397" s="965"/>
      <c r="N397" s="965"/>
      <c r="O397" s="965"/>
      <c r="P397" s="965"/>
      <c r="Q397" s="945"/>
      <c r="R397" s="945"/>
      <c r="S397" s="945"/>
      <c r="T397" s="945"/>
      <c r="U397" s="945"/>
      <c r="V397" s="945"/>
      <c r="W397" s="945"/>
      <c r="X397" s="945"/>
      <c r="Y397" s="945"/>
      <c r="Z397" s="945"/>
      <c r="AA397" s="945"/>
      <c r="AB397" s="945"/>
    </row>
    <row r="398" ht="20.25" customHeight="1">
      <c r="A398" s="964"/>
      <c r="B398" s="965"/>
      <c r="C398" s="965"/>
      <c r="D398" s="966"/>
      <c r="E398" s="967"/>
      <c r="F398" s="965"/>
      <c r="G398" s="965"/>
      <c r="H398" s="965"/>
      <c r="I398" s="965"/>
      <c r="J398" s="965"/>
      <c r="K398" s="965"/>
      <c r="L398" s="965"/>
      <c r="M398" s="965"/>
      <c r="N398" s="965"/>
      <c r="O398" s="965"/>
      <c r="P398" s="965"/>
      <c r="Q398" s="945"/>
      <c r="R398" s="945"/>
      <c r="S398" s="945"/>
      <c r="T398" s="945"/>
      <c r="U398" s="945"/>
      <c r="V398" s="945"/>
      <c r="W398" s="945"/>
      <c r="X398" s="945"/>
      <c r="Y398" s="945"/>
      <c r="Z398" s="945"/>
      <c r="AA398" s="945"/>
      <c r="AB398" s="945"/>
    </row>
    <row r="399" ht="20.25" customHeight="1">
      <c r="A399" s="964"/>
      <c r="B399" s="965"/>
      <c r="C399" s="965"/>
      <c r="D399" s="966"/>
      <c r="E399" s="967"/>
      <c r="F399" s="965"/>
      <c r="G399" s="965"/>
      <c r="H399" s="965"/>
      <c r="I399" s="965"/>
      <c r="J399" s="965"/>
      <c r="K399" s="965"/>
      <c r="L399" s="965"/>
      <c r="M399" s="965"/>
      <c r="N399" s="965"/>
      <c r="O399" s="965"/>
      <c r="P399" s="965"/>
      <c r="Q399" s="945"/>
      <c r="R399" s="945"/>
      <c r="S399" s="945"/>
      <c r="T399" s="945"/>
      <c r="U399" s="945"/>
      <c r="V399" s="945"/>
      <c r="W399" s="945"/>
      <c r="X399" s="945"/>
      <c r="Y399" s="945"/>
      <c r="Z399" s="945"/>
      <c r="AA399" s="945"/>
      <c r="AB399" s="945"/>
    </row>
    <row r="400" ht="20.25" customHeight="1">
      <c r="A400" s="964"/>
      <c r="B400" s="965"/>
      <c r="C400" s="965"/>
      <c r="D400" s="966"/>
      <c r="E400" s="967"/>
      <c r="F400" s="965"/>
      <c r="G400" s="965"/>
      <c r="H400" s="965"/>
      <c r="I400" s="965"/>
      <c r="J400" s="965"/>
      <c r="K400" s="965"/>
      <c r="L400" s="965"/>
      <c r="M400" s="965"/>
      <c r="N400" s="965"/>
      <c r="O400" s="965"/>
      <c r="P400" s="965"/>
      <c r="Q400" s="945"/>
      <c r="R400" s="945"/>
      <c r="S400" s="945"/>
      <c r="T400" s="945"/>
      <c r="U400" s="945"/>
      <c r="V400" s="945"/>
      <c r="W400" s="945"/>
      <c r="X400" s="945"/>
      <c r="Y400" s="945"/>
      <c r="Z400" s="945"/>
      <c r="AA400" s="945"/>
      <c r="AB400" s="945"/>
    </row>
    <row r="401" ht="20.25" customHeight="1">
      <c r="A401" s="964"/>
      <c r="B401" s="965"/>
      <c r="C401" s="965"/>
      <c r="D401" s="966"/>
      <c r="E401" s="967"/>
      <c r="F401" s="965"/>
      <c r="G401" s="965"/>
      <c r="H401" s="965"/>
      <c r="I401" s="965"/>
      <c r="J401" s="965"/>
      <c r="K401" s="965"/>
      <c r="L401" s="965"/>
      <c r="M401" s="965"/>
      <c r="N401" s="965"/>
      <c r="O401" s="965"/>
      <c r="P401" s="965"/>
      <c r="Q401" s="945"/>
      <c r="R401" s="945"/>
      <c r="S401" s="945"/>
      <c r="T401" s="945"/>
      <c r="U401" s="945"/>
      <c r="V401" s="945"/>
      <c r="W401" s="945"/>
      <c r="X401" s="945"/>
      <c r="Y401" s="945"/>
      <c r="Z401" s="945"/>
      <c r="AA401" s="945"/>
      <c r="AB401" s="945"/>
    </row>
    <row r="402" ht="20.25" customHeight="1">
      <c r="A402" s="964"/>
      <c r="B402" s="965"/>
      <c r="C402" s="965"/>
      <c r="D402" s="966"/>
      <c r="E402" s="967"/>
      <c r="F402" s="965"/>
      <c r="G402" s="965"/>
      <c r="H402" s="965"/>
      <c r="I402" s="965"/>
      <c r="J402" s="965"/>
      <c r="K402" s="965"/>
      <c r="L402" s="965"/>
      <c r="M402" s="965"/>
      <c r="N402" s="965"/>
      <c r="O402" s="965"/>
      <c r="P402" s="965"/>
      <c r="Q402" s="945"/>
      <c r="R402" s="945"/>
      <c r="S402" s="945"/>
      <c r="T402" s="945"/>
      <c r="U402" s="945"/>
      <c r="V402" s="945"/>
      <c r="W402" s="945"/>
      <c r="X402" s="945"/>
      <c r="Y402" s="945"/>
      <c r="Z402" s="945"/>
      <c r="AA402" s="945"/>
      <c r="AB402" s="945"/>
    </row>
    <row r="403" ht="20.25" customHeight="1">
      <c r="A403" s="964"/>
      <c r="B403" s="965"/>
      <c r="C403" s="965"/>
      <c r="D403" s="966"/>
      <c r="E403" s="967"/>
      <c r="F403" s="965"/>
      <c r="G403" s="965"/>
      <c r="H403" s="965"/>
      <c r="I403" s="965"/>
      <c r="J403" s="965"/>
      <c r="K403" s="965"/>
      <c r="L403" s="965"/>
      <c r="M403" s="965"/>
      <c r="N403" s="965"/>
      <c r="O403" s="965"/>
      <c r="P403" s="965"/>
      <c r="Q403" s="945"/>
      <c r="R403" s="945"/>
      <c r="S403" s="945"/>
      <c r="T403" s="945"/>
      <c r="U403" s="945"/>
      <c r="V403" s="945"/>
      <c r="W403" s="945"/>
      <c r="X403" s="945"/>
      <c r="Y403" s="945"/>
      <c r="Z403" s="945"/>
      <c r="AA403" s="945"/>
      <c r="AB403" s="945"/>
    </row>
    <row r="404" ht="20.25" customHeight="1">
      <c r="A404" s="964"/>
      <c r="B404" s="965"/>
      <c r="C404" s="965"/>
      <c r="D404" s="966"/>
      <c r="E404" s="967"/>
      <c r="F404" s="965"/>
      <c r="G404" s="965"/>
      <c r="H404" s="965"/>
      <c r="I404" s="965"/>
      <c r="J404" s="965"/>
      <c r="K404" s="965"/>
      <c r="L404" s="965"/>
      <c r="M404" s="965"/>
      <c r="N404" s="965"/>
      <c r="O404" s="965"/>
      <c r="P404" s="965"/>
      <c r="Q404" s="945"/>
      <c r="R404" s="945"/>
      <c r="S404" s="945"/>
      <c r="T404" s="945"/>
      <c r="U404" s="945"/>
      <c r="V404" s="945"/>
      <c r="W404" s="945"/>
      <c r="X404" s="945"/>
      <c r="Y404" s="945"/>
      <c r="Z404" s="945"/>
      <c r="AA404" s="945"/>
      <c r="AB404" s="945"/>
    </row>
    <row r="405" ht="20.25" customHeight="1">
      <c r="A405" s="964"/>
      <c r="B405" s="965"/>
      <c r="C405" s="965"/>
      <c r="D405" s="966"/>
      <c r="E405" s="967"/>
      <c r="F405" s="965"/>
      <c r="G405" s="965"/>
      <c r="H405" s="965"/>
      <c r="I405" s="965"/>
      <c r="J405" s="965"/>
      <c r="K405" s="965"/>
      <c r="L405" s="965"/>
      <c r="M405" s="965"/>
      <c r="N405" s="965"/>
      <c r="O405" s="965"/>
      <c r="P405" s="965"/>
      <c r="Q405" s="945"/>
      <c r="R405" s="945"/>
      <c r="S405" s="945"/>
      <c r="T405" s="945"/>
      <c r="U405" s="945"/>
      <c r="V405" s="945"/>
      <c r="W405" s="945"/>
      <c r="X405" s="945"/>
      <c r="Y405" s="945"/>
      <c r="Z405" s="945"/>
      <c r="AA405" s="945"/>
      <c r="AB405" s="945"/>
    </row>
    <row r="406" ht="20.25" customHeight="1">
      <c r="A406" s="964"/>
      <c r="B406" s="965"/>
      <c r="C406" s="965"/>
      <c r="D406" s="966"/>
      <c r="E406" s="967"/>
      <c r="F406" s="965"/>
      <c r="G406" s="965"/>
      <c r="H406" s="965"/>
      <c r="I406" s="965"/>
      <c r="J406" s="965"/>
      <c r="K406" s="965"/>
      <c r="L406" s="965"/>
      <c r="M406" s="965"/>
      <c r="N406" s="965"/>
      <c r="O406" s="965"/>
      <c r="P406" s="965"/>
      <c r="Q406" s="945"/>
      <c r="R406" s="945"/>
      <c r="S406" s="945"/>
      <c r="T406" s="945"/>
      <c r="U406" s="945"/>
      <c r="V406" s="945"/>
      <c r="W406" s="945"/>
      <c r="X406" s="945"/>
      <c r="Y406" s="945"/>
      <c r="Z406" s="945"/>
      <c r="AA406" s="945"/>
      <c r="AB406" s="945"/>
    </row>
    <row r="407" ht="20.25" customHeight="1">
      <c r="A407" s="964"/>
      <c r="B407" s="965"/>
      <c r="C407" s="965"/>
      <c r="D407" s="966"/>
      <c r="E407" s="967"/>
      <c r="F407" s="965"/>
      <c r="G407" s="965"/>
      <c r="H407" s="965"/>
      <c r="I407" s="965"/>
      <c r="J407" s="965"/>
      <c r="K407" s="965"/>
      <c r="L407" s="965"/>
      <c r="M407" s="965"/>
      <c r="N407" s="965"/>
      <c r="O407" s="965"/>
      <c r="P407" s="965"/>
      <c r="Q407" s="945"/>
      <c r="R407" s="945"/>
      <c r="S407" s="945"/>
      <c r="T407" s="945"/>
      <c r="U407" s="945"/>
      <c r="V407" s="945"/>
      <c r="W407" s="945"/>
      <c r="X407" s="945"/>
      <c r="Y407" s="945"/>
      <c r="Z407" s="945"/>
      <c r="AA407" s="945"/>
      <c r="AB407" s="945"/>
    </row>
    <row r="408" ht="20.25" customHeight="1">
      <c r="A408" s="964"/>
      <c r="B408" s="965"/>
      <c r="C408" s="965"/>
      <c r="D408" s="966"/>
      <c r="E408" s="967"/>
      <c r="F408" s="965"/>
      <c r="G408" s="965"/>
      <c r="H408" s="965"/>
      <c r="I408" s="965"/>
      <c r="J408" s="965"/>
      <c r="K408" s="965"/>
      <c r="L408" s="965"/>
      <c r="M408" s="965"/>
      <c r="N408" s="965"/>
      <c r="O408" s="965"/>
      <c r="P408" s="965"/>
      <c r="Q408" s="945"/>
      <c r="R408" s="945"/>
      <c r="S408" s="945"/>
      <c r="T408" s="945"/>
      <c r="U408" s="945"/>
      <c r="V408" s="945"/>
      <c r="W408" s="945"/>
      <c r="X408" s="945"/>
      <c r="Y408" s="945"/>
      <c r="Z408" s="945"/>
      <c r="AA408" s="945"/>
      <c r="AB408" s="945"/>
    </row>
    <row r="409" ht="20.25" customHeight="1">
      <c r="A409" s="964"/>
      <c r="B409" s="965"/>
      <c r="C409" s="965"/>
      <c r="D409" s="966"/>
      <c r="E409" s="967"/>
      <c r="F409" s="965"/>
      <c r="G409" s="965"/>
      <c r="H409" s="965"/>
      <c r="I409" s="965"/>
      <c r="J409" s="965"/>
      <c r="K409" s="965"/>
      <c r="L409" s="965"/>
      <c r="M409" s="965"/>
      <c r="N409" s="965"/>
      <c r="O409" s="965"/>
      <c r="P409" s="965"/>
      <c r="Q409" s="945"/>
      <c r="R409" s="945"/>
      <c r="S409" s="945"/>
      <c r="T409" s="945"/>
      <c r="U409" s="945"/>
      <c r="V409" s="945"/>
      <c r="W409" s="945"/>
      <c r="X409" s="945"/>
      <c r="Y409" s="945"/>
      <c r="Z409" s="945"/>
      <c r="AA409" s="945"/>
      <c r="AB409" s="945"/>
    </row>
    <row r="410" ht="20.25" customHeight="1">
      <c r="A410" s="964"/>
      <c r="B410" s="965"/>
      <c r="C410" s="965"/>
      <c r="D410" s="966"/>
      <c r="E410" s="967"/>
      <c r="F410" s="965"/>
      <c r="G410" s="965"/>
      <c r="H410" s="965"/>
      <c r="I410" s="965"/>
      <c r="J410" s="965"/>
      <c r="K410" s="965"/>
      <c r="L410" s="965"/>
      <c r="M410" s="965"/>
      <c r="N410" s="965"/>
      <c r="O410" s="965"/>
      <c r="P410" s="965"/>
      <c r="Q410" s="945"/>
      <c r="R410" s="945"/>
      <c r="S410" s="945"/>
      <c r="T410" s="945"/>
      <c r="U410" s="945"/>
      <c r="V410" s="945"/>
      <c r="W410" s="945"/>
      <c r="X410" s="945"/>
      <c r="Y410" s="945"/>
      <c r="Z410" s="945"/>
      <c r="AA410" s="945"/>
      <c r="AB410" s="945"/>
    </row>
    <row r="411" ht="20.25" customHeight="1">
      <c r="A411" s="964"/>
      <c r="B411" s="965"/>
      <c r="C411" s="965"/>
      <c r="D411" s="966"/>
      <c r="E411" s="967"/>
      <c r="F411" s="965"/>
      <c r="G411" s="965"/>
      <c r="H411" s="965"/>
      <c r="I411" s="965"/>
      <c r="J411" s="965"/>
      <c r="K411" s="965"/>
      <c r="L411" s="965"/>
      <c r="M411" s="965"/>
      <c r="N411" s="965"/>
      <c r="O411" s="965"/>
      <c r="P411" s="965"/>
      <c r="Q411" s="945"/>
      <c r="R411" s="945"/>
      <c r="S411" s="945"/>
      <c r="T411" s="945"/>
      <c r="U411" s="945"/>
      <c r="V411" s="945"/>
      <c r="W411" s="945"/>
      <c r="X411" s="945"/>
      <c r="Y411" s="945"/>
      <c r="Z411" s="945"/>
      <c r="AA411" s="945"/>
      <c r="AB411" s="945"/>
    </row>
    <row r="412" ht="20.25" customHeight="1">
      <c r="A412" s="964"/>
      <c r="B412" s="965"/>
      <c r="C412" s="965"/>
      <c r="D412" s="966"/>
      <c r="E412" s="967"/>
      <c r="F412" s="965"/>
      <c r="G412" s="965"/>
      <c r="H412" s="965"/>
      <c r="I412" s="965"/>
      <c r="J412" s="965"/>
      <c r="K412" s="965"/>
      <c r="L412" s="965"/>
      <c r="M412" s="965"/>
      <c r="N412" s="965"/>
      <c r="O412" s="965"/>
      <c r="P412" s="965"/>
      <c r="Q412" s="945"/>
      <c r="R412" s="945"/>
      <c r="S412" s="945"/>
      <c r="T412" s="945"/>
      <c r="U412" s="945"/>
      <c r="V412" s="945"/>
      <c r="W412" s="945"/>
      <c r="X412" s="945"/>
      <c r="Y412" s="945"/>
      <c r="Z412" s="945"/>
      <c r="AA412" s="945"/>
      <c r="AB412" s="945"/>
    </row>
    <row r="413" ht="20.25" customHeight="1">
      <c r="A413" s="964"/>
      <c r="B413" s="965"/>
      <c r="C413" s="965"/>
      <c r="D413" s="966"/>
      <c r="E413" s="967"/>
      <c r="F413" s="965"/>
      <c r="G413" s="965"/>
      <c r="H413" s="965"/>
      <c r="I413" s="965"/>
      <c r="J413" s="965"/>
      <c r="K413" s="965"/>
      <c r="L413" s="965"/>
      <c r="M413" s="965"/>
      <c r="N413" s="965"/>
      <c r="O413" s="965"/>
      <c r="P413" s="965"/>
      <c r="Q413" s="945"/>
      <c r="R413" s="945"/>
      <c r="S413" s="945"/>
      <c r="T413" s="945"/>
      <c r="U413" s="945"/>
      <c r="V413" s="945"/>
      <c r="W413" s="945"/>
      <c r="X413" s="945"/>
      <c r="Y413" s="945"/>
      <c r="Z413" s="945"/>
      <c r="AA413" s="945"/>
      <c r="AB413" s="945"/>
    </row>
    <row r="414" ht="20.25" customHeight="1">
      <c r="A414" s="964"/>
      <c r="B414" s="965"/>
      <c r="C414" s="965"/>
      <c r="D414" s="966"/>
      <c r="E414" s="967"/>
      <c r="F414" s="965"/>
      <c r="G414" s="965"/>
      <c r="H414" s="965"/>
      <c r="I414" s="965"/>
      <c r="J414" s="965"/>
      <c r="K414" s="965"/>
      <c r="L414" s="965"/>
      <c r="M414" s="965"/>
      <c r="N414" s="965"/>
      <c r="O414" s="965"/>
      <c r="P414" s="965"/>
      <c r="Q414" s="945"/>
      <c r="R414" s="945"/>
      <c r="S414" s="945"/>
      <c r="T414" s="945"/>
      <c r="U414" s="945"/>
      <c r="V414" s="945"/>
      <c r="W414" s="945"/>
      <c r="X414" s="945"/>
      <c r="Y414" s="945"/>
      <c r="Z414" s="945"/>
      <c r="AA414" s="945"/>
      <c r="AB414" s="945"/>
    </row>
    <row r="415" ht="20.25" customHeight="1">
      <c r="A415" s="964"/>
      <c r="B415" s="965"/>
      <c r="C415" s="965"/>
      <c r="D415" s="966"/>
      <c r="E415" s="967"/>
      <c r="F415" s="965"/>
      <c r="G415" s="965"/>
      <c r="H415" s="965"/>
      <c r="I415" s="965"/>
      <c r="J415" s="965"/>
      <c r="K415" s="965"/>
      <c r="L415" s="965"/>
      <c r="M415" s="965"/>
      <c r="N415" s="965"/>
      <c r="O415" s="965"/>
      <c r="P415" s="965"/>
      <c r="Q415" s="945"/>
      <c r="R415" s="945"/>
      <c r="S415" s="945"/>
      <c r="T415" s="945"/>
      <c r="U415" s="945"/>
      <c r="V415" s="945"/>
      <c r="W415" s="945"/>
      <c r="X415" s="945"/>
      <c r="Y415" s="945"/>
      <c r="Z415" s="945"/>
      <c r="AA415" s="945"/>
      <c r="AB415" s="945"/>
    </row>
    <row r="416" ht="20.25" customHeight="1">
      <c r="A416" s="964"/>
      <c r="B416" s="965"/>
      <c r="C416" s="965"/>
      <c r="D416" s="966"/>
      <c r="E416" s="967"/>
      <c r="F416" s="965"/>
      <c r="G416" s="965"/>
      <c r="H416" s="965"/>
      <c r="I416" s="965"/>
      <c r="J416" s="965"/>
      <c r="K416" s="965"/>
      <c r="L416" s="965"/>
      <c r="M416" s="965"/>
      <c r="N416" s="965"/>
      <c r="O416" s="965"/>
      <c r="P416" s="965"/>
      <c r="Q416" s="945"/>
      <c r="R416" s="945"/>
      <c r="S416" s="945"/>
      <c r="T416" s="945"/>
      <c r="U416" s="945"/>
      <c r="V416" s="945"/>
      <c r="W416" s="945"/>
      <c r="X416" s="945"/>
      <c r="Y416" s="945"/>
      <c r="Z416" s="945"/>
      <c r="AA416" s="945"/>
      <c r="AB416" s="945"/>
    </row>
    <row r="417" ht="20.25" customHeight="1">
      <c r="A417" s="964"/>
      <c r="B417" s="965"/>
      <c r="C417" s="965"/>
      <c r="D417" s="966"/>
      <c r="E417" s="967"/>
      <c r="F417" s="965"/>
      <c r="G417" s="965"/>
      <c r="H417" s="965"/>
      <c r="I417" s="965"/>
      <c r="J417" s="965"/>
      <c r="K417" s="965"/>
      <c r="L417" s="965"/>
      <c r="M417" s="965"/>
      <c r="N417" s="965"/>
      <c r="O417" s="965"/>
      <c r="P417" s="965"/>
      <c r="Q417" s="945"/>
      <c r="R417" s="945"/>
      <c r="S417" s="945"/>
      <c r="T417" s="945"/>
      <c r="U417" s="945"/>
      <c r="V417" s="945"/>
      <c r="W417" s="945"/>
      <c r="X417" s="945"/>
      <c r="Y417" s="945"/>
      <c r="Z417" s="945"/>
      <c r="AA417" s="945"/>
      <c r="AB417" s="945"/>
    </row>
    <row r="418" ht="20.25" customHeight="1">
      <c r="A418" s="964"/>
      <c r="B418" s="965"/>
      <c r="C418" s="965"/>
      <c r="D418" s="966"/>
      <c r="E418" s="967"/>
      <c r="F418" s="965"/>
      <c r="G418" s="965"/>
      <c r="H418" s="965"/>
      <c r="I418" s="965"/>
      <c r="J418" s="965"/>
      <c r="K418" s="965"/>
      <c r="L418" s="965"/>
      <c r="M418" s="965"/>
      <c r="N418" s="965"/>
      <c r="O418" s="965"/>
      <c r="P418" s="965"/>
      <c r="Q418" s="945"/>
      <c r="R418" s="945"/>
      <c r="S418" s="945"/>
      <c r="T418" s="945"/>
      <c r="U418" s="945"/>
      <c r="V418" s="945"/>
      <c r="W418" s="945"/>
      <c r="X418" s="945"/>
      <c r="Y418" s="945"/>
      <c r="Z418" s="945"/>
      <c r="AA418" s="945"/>
      <c r="AB418" s="945"/>
    </row>
    <row r="419" ht="20.25" customHeight="1">
      <c r="A419" s="964"/>
      <c r="B419" s="965"/>
      <c r="C419" s="965"/>
      <c r="D419" s="966"/>
      <c r="E419" s="967"/>
      <c r="F419" s="965"/>
      <c r="G419" s="965"/>
      <c r="H419" s="965"/>
      <c r="I419" s="965"/>
      <c r="J419" s="965"/>
      <c r="K419" s="965"/>
      <c r="L419" s="965"/>
      <c r="M419" s="965"/>
      <c r="N419" s="965"/>
      <c r="O419" s="965"/>
      <c r="P419" s="965"/>
      <c r="Q419" s="945"/>
      <c r="R419" s="945"/>
      <c r="S419" s="945"/>
      <c r="T419" s="945"/>
      <c r="U419" s="945"/>
      <c r="V419" s="945"/>
      <c r="W419" s="945"/>
      <c r="X419" s="945"/>
      <c r="Y419" s="945"/>
      <c r="Z419" s="945"/>
      <c r="AA419" s="945"/>
      <c r="AB419" s="945"/>
    </row>
    <row r="420" ht="20.25" customHeight="1">
      <c r="A420" s="964"/>
      <c r="B420" s="965"/>
      <c r="C420" s="965"/>
      <c r="D420" s="966"/>
      <c r="E420" s="967"/>
      <c r="F420" s="965"/>
      <c r="G420" s="965"/>
      <c r="H420" s="965"/>
      <c r="I420" s="965"/>
      <c r="J420" s="965"/>
      <c r="K420" s="965"/>
      <c r="L420" s="965"/>
      <c r="M420" s="965"/>
      <c r="N420" s="965"/>
      <c r="O420" s="965"/>
      <c r="P420" s="965"/>
      <c r="Q420" s="945"/>
      <c r="R420" s="945"/>
      <c r="S420" s="945"/>
      <c r="T420" s="945"/>
      <c r="U420" s="945"/>
      <c r="V420" s="945"/>
      <c r="W420" s="945"/>
      <c r="X420" s="945"/>
      <c r="Y420" s="945"/>
      <c r="Z420" s="945"/>
      <c r="AA420" s="945"/>
      <c r="AB420" s="945"/>
    </row>
    <row r="421" ht="20.25" customHeight="1">
      <c r="A421" s="964"/>
      <c r="B421" s="965"/>
      <c r="C421" s="965"/>
      <c r="D421" s="966"/>
      <c r="E421" s="967"/>
      <c r="F421" s="965"/>
      <c r="G421" s="965"/>
      <c r="H421" s="965"/>
      <c r="I421" s="965"/>
      <c r="J421" s="965"/>
      <c r="K421" s="965"/>
      <c r="L421" s="965"/>
      <c r="M421" s="965"/>
      <c r="N421" s="965"/>
      <c r="O421" s="965"/>
      <c r="P421" s="965"/>
      <c r="Q421" s="945"/>
      <c r="R421" s="945"/>
      <c r="S421" s="945"/>
      <c r="T421" s="945"/>
      <c r="U421" s="945"/>
      <c r="V421" s="945"/>
      <c r="W421" s="945"/>
      <c r="X421" s="945"/>
      <c r="Y421" s="945"/>
      <c r="Z421" s="945"/>
      <c r="AA421" s="945"/>
      <c r="AB421" s="945"/>
    </row>
    <row r="422" ht="20.25" customHeight="1">
      <c r="A422" s="964"/>
      <c r="B422" s="965"/>
      <c r="C422" s="965"/>
      <c r="D422" s="966"/>
      <c r="E422" s="967"/>
      <c r="F422" s="965"/>
      <c r="G422" s="965"/>
      <c r="H422" s="965"/>
      <c r="I422" s="965"/>
      <c r="J422" s="965"/>
      <c r="K422" s="965"/>
      <c r="L422" s="965"/>
      <c r="M422" s="965"/>
      <c r="N422" s="965"/>
      <c r="O422" s="965"/>
      <c r="P422" s="965"/>
      <c r="Q422" s="945"/>
      <c r="R422" s="945"/>
      <c r="S422" s="945"/>
      <c r="T422" s="945"/>
      <c r="U422" s="945"/>
      <c r="V422" s="945"/>
      <c r="W422" s="945"/>
      <c r="X422" s="945"/>
      <c r="Y422" s="945"/>
      <c r="Z422" s="945"/>
      <c r="AA422" s="945"/>
      <c r="AB422" s="945"/>
    </row>
    <row r="423" ht="20.25" customHeight="1">
      <c r="A423" s="964"/>
      <c r="B423" s="965"/>
      <c r="C423" s="965"/>
      <c r="D423" s="966"/>
      <c r="E423" s="967"/>
      <c r="F423" s="965"/>
      <c r="G423" s="965"/>
      <c r="H423" s="965"/>
      <c r="I423" s="965"/>
      <c r="J423" s="965"/>
      <c r="K423" s="965"/>
      <c r="L423" s="965"/>
      <c r="M423" s="965"/>
      <c r="N423" s="965"/>
      <c r="O423" s="965"/>
      <c r="P423" s="965"/>
      <c r="Q423" s="945"/>
      <c r="R423" s="945"/>
      <c r="S423" s="945"/>
      <c r="T423" s="945"/>
      <c r="U423" s="945"/>
      <c r="V423" s="945"/>
      <c r="W423" s="945"/>
      <c r="X423" s="945"/>
      <c r="Y423" s="945"/>
      <c r="Z423" s="945"/>
      <c r="AA423" s="945"/>
      <c r="AB423" s="945"/>
    </row>
    <row r="424" ht="20.25" customHeight="1">
      <c r="A424" s="964"/>
      <c r="B424" s="965"/>
      <c r="C424" s="965"/>
      <c r="D424" s="966"/>
      <c r="E424" s="967"/>
      <c r="F424" s="965"/>
      <c r="G424" s="965"/>
      <c r="H424" s="965"/>
      <c r="I424" s="965"/>
      <c r="J424" s="965"/>
      <c r="K424" s="965"/>
      <c r="L424" s="965"/>
      <c r="M424" s="965"/>
      <c r="N424" s="965"/>
      <c r="O424" s="965"/>
      <c r="P424" s="965"/>
      <c r="Q424" s="945"/>
      <c r="R424" s="945"/>
      <c r="S424" s="945"/>
      <c r="T424" s="945"/>
      <c r="U424" s="945"/>
      <c r="V424" s="945"/>
      <c r="W424" s="945"/>
      <c r="X424" s="945"/>
      <c r="Y424" s="945"/>
      <c r="Z424" s="945"/>
      <c r="AA424" s="945"/>
      <c r="AB424" s="945"/>
    </row>
    <row r="425" ht="20.25" customHeight="1">
      <c r="A425" s="964"/>
      <c r="B425" s="965"/>
      <c r="C425" s="965"/>
      <c r="D425" s="966"/>
      <c r="E425" s="967"/>
      <c r="F425" s="965"/>
      <c r="G425" s="965"/>
      <c r="H425" s="965"/>
      <c r="I425" s="965"/>
      <c r="J425" s="965"/>
      <c r="K425" s="965"/>
      <c r="L425" s="965"/>
      <c r="M425" s="965"/>
      <c r="N425" s="965"/>
      <c r="O425" s="965"/>
      <c r="P425" s="965"/>
      <c r="Q425" s="945"/>
      <c r="R425" s="945"/>
      <c r="S425" s="945"/>
      <c r="T425" s="945"/>
      <c r="U425" s="945"/>
      <c r="V425" s="945"/>
      <c r="W425" s="945"/>
      <c r="X425" s="945"/>
      <c r="Y425" s="945"/>
      <c r="Z425" s="945"/>
      <c r="AA425" s="945"/>
      <c r="AB425" s="945"/>
    </row>
    <row r="426" ht="20.25" customHeight="1">
      <c r="A426" s="964"/>
      <c r="B426" s="965"/>
      <c r="C426" s="965"/>
      <c r="D426" s="966"/>
      <c r="E426" s="967"/>
      <c r="F426" s="965"/>
      <c r="G426" s="965"/>
      <c r="H426" s="965"/>
      <c r="I426" s="965"/>
      <c r="J426" s="965"/>
      <c r="K426" s="965"/>
      <c r="L426" s="965"/>
      <c r="M426" s="965"/>
      <c r="N426" s="965"/>
      <c r="O426" s="965"/>
      <c r="P426" s="965"/>
      <c r="Q426" s="945"/>
      <c r="R426" s="945"/>
      <c r="S426" s="945"/>
      <c r="T426" s="945"/>
      <c r="U426" s="945"/>
      <c r="V426" s="945"/>
      <c r="W426" s="945"/>
      <c r="X426" s="945"/>
      <c r="Y426" s="945"/>
      <c r="Z426" s="945"/>
      <c r="AA426" s="945"/>
      <c r="AB426" s="945"/>
    </row>
    <row r="427" ht="20.25" customHeight="1">
      <c r="A427" s="964"/>
      <c r="B427" s="965"/>
      <c r="C427" s="965"/>
      <c r="D427" s="966"/>
      <c r="E427" s="967"/>
      <c r="F427" s="965"/>
      <c r="G427" s="965"/>
      <c r="H427" s="965"/>
      <c r="I427" s="965"/>
      <c r="J427" s="965"/>
      <c r="K427" s="965"/>
      <c r="L427" s="965"/>
      <c r="M427" s="965"/>
      <c r="N427" s="965"/>
      <c r="O427" s="965"/>
      <c r="P427" s="965"/>
      <c r="Q427" s="945"/>
      <c r="R427" s="945"/>
      <c r="S427" s="945"/>
      <c r="T427" s="945"/>
      <c r="U427" s="945"/>
      <c r="V427" s="945"/>
      <c r="W427" s="945"/>
      <c r="X427" s="945"/>
      <c r="Y427" s="945"/>
      <c r="Z427" s="945"/>
      <c r="AA427" s="945"/>
      <c r="AB427" s="945"/>
    </row>
    <row r="428" ht="20.25" customHeight="1">
      <c r="A428" s="964"/>
      <c r="B428" s="965"/>
      <c r="C428" s="965"/>
      <c r="D428" s="966"/>
      <c r="E428" s="967"/>
      <c r="F428" s="965"/>
      <c r="G428" s="965"/>
      <c r="H428" s="965"/>
      <c r="I428" s="965"/>
      <c r="J428" s="965"/>
      <c r="K428" s="965"/>
      <c r="L428" s="965"/>
      <c r="M428" s="965"/>
      <c r="N428" s="965"/>
      <c r="O428" s="965"/>
      <c r="P428" s="965"/>
      <c r="Q428" s="945"/>
      <c r="R428" s="945"/>
      <c r="S428" s="945"/>
      <c r="T428" s="945"/>
      <c r="U428" s="945"/>
      <c r="V428" s="945"/>
      <c r="W428" s="945"/>
      <c r="X428" s="945"/>
      <c r="Y428" s="945"/>
      <c r="Z428" s="945"/>
      <c r="AA428" s="945"/>
      <c r="AB428" s="945"/>
    </row>
    <row r="429" ht="20.25" customHeight="1">
      <c r="A429" s="964"/>
      <c r="B429" s="965"/>
      <c r="C429" s="965"/>
      <c r="D429" s="966"/>
      <c r="E429" s="967"/>
      <c r="F429" s="965"/>
      <c r="G429" s="965"/>
      <c r="H429" s="965"/>
      <c r="I429" s="965"/>
      <c r="J429" s="965"/>
      <c r="K429" s="965"/>
      <c r="L429" s="965"/>
      <c r="M429" s="965"/>
      <c r="N429" s="965"/>
      <c r="O429" s="965"/>
      <c r="P429" s="965"/>
      <c r="Q429" s="945"/>
      <c r="R429" s="945"/>
      <c r="S429" s="945"/>
      <c r="T429" s="945"/>
      <c r="U429" s="945"/>
      <c r="V429" s="945"/>
      <c r="W429" s="945"/>
      <c r="X429" s="945"/>
      <c r="Y429" s="945"/>
      <c r="Z429" s="945"/>
      <c r="AA429" s="945"/>
      <c r="AB429" s="945"/>
    </row>
    <row r="430" ht="20.25" customHeight="1">
      <c r="A430" s="964"/>
      <c r="B430" s="965"/>
      <c r="C430" s="965"/>
      <c r="D430" s="966"/>
      <c r="E430" s="967"/>
      <c r="F430" s="965"/>
      <c r="G430" s="965"/>
      <c r="H430" s="965"/>
      <c r="I430" s="965"/>
      <c r="J430" s="965"/>
      <c r="K430" s="965"/>
      <c r="L430" s="965"/>
      <c r="M430" s="965"/>
      <c r="N430" s="965"/>
      <c r="O430" s="965"/>
      <c r="P430" s="965"/>
      <c r="Q430" s="945"/>
      <c r="R430" s="945"/>
      <c r="S430" s="945"/>
      <c r="T430" s="945"/>
      <c r="U430" s="945"/>
      <c r="V430" s="945"/>
      <c r="W430" s="945"/>
      <c r="X430" s="945"/>
      <c r="Y430" s="945"/>
      <c r="Z430" s="945"/>
      <c r="AA430" s="945"/>
      <c r="AB430" s="945"/>
    </row>
    <row r="431" ht="20.25" customHeight="1">
      <c r="A431" s="964"/>
      <c r="B431" s="965"/>
      <c r="C431" s="965"/>
      <c r="D431" s="966"/>
      <c r="E431" s="967"/>
      <c r="F431" s="965"/>
      <c r="G431" s="965"/>
      <c r="H431" s="965"/>
      <c r="I431" s="965"/>
      <c r="J431" s="965"/>
      <c r="K431" s="965"/>
      <c r="L431" s="965"/>
      <c r="M431" s="965"/>
      <c r="N431" s="965"/>
      <c r="O431" s="965"/>
      <c r="P431" s="965"/>
      <c r="Q431" s="945"/>
      <c r="R431" s="945"/>
      <c r="S431" s="945"/>
      <c r="T431" s="945"/>
      <c r="U431" s="945"/>
      <c r="V431" s="945"/>
      <c r="W431" s="945"/>
      <c r="X431" s="945"/>
      <c r="Y431" s="945"/>
      <c r="Z431" s="945"/>
      <c r="AA431" s="945"/>
      <c r="AB431" s="945"/>
    </row>
    <row r="432" ht="20.25" customHeight="1">
      <c r="A432" s="964"/>
      <c r="B432" s="965"/>
      <c r="C432" s="965"/>
      <c r="D432" s="966"/>
      <c r="E432" s="967"/>
      <c r="F432" s="965"/>
      <c r="G432" s="965"/>
      <c r="H432" s="965"/>
      <c r="I432" s="965"/>
      <c r="J432" s="965"/>
      <c r="K432" s="965"/>
      <c r="L432" s="965"/>
      <c r="M432" s="965"/>
      <c r="N432" s="965"/>
      <c r="O432" s="965"/>
      <c r="P432" s="965"/>
      <c r="Q432" s="945"/>
      <c r="R432" s="945"/>
      <c r="S432" s="945"/>
      <c r="T432" s="945"/>
      <c r="U432" s="945"/>
      <c r="V432" s="945"/>
      <c r="W432" s="945"/>
      <c r="X432" s="945"/>
      <c r="Y432" s="945"/>
      <c r="Z432" s="945"/>
      <c r="AA432" s="945"/>
      <c r="AB432" s="945"/>
    </row>
    <row r="433" ht="20.25" customHeight="1">
      <c r="A433" s="964"/>
      <c r="B433" s="965"/>
      <c r="C433" s="965"/>
      <c r="D433" s="966"/>
      <c r="E433" s="967"/>
      <c r="F433" s="965"/>
      <c r="G433" s="965"/>
      <c r="H433" s="965"/>
      <c r="I433" s="965"/>
      <c r="J433" s="965"/>
      <c r="K433" s="965"/>
      <c r="L433" s="965"/>
      <c r="M433" s="965"/>
      <c r="N433" s="965"/>
      <c r="O433" s="965"/>
      <c r="P433" s="965"/>
      <c r="Q433" s="945"/>
      <c r="R433" s="945"/>
      <c r="S433" s="945"/>
      <c r="T433" s="945"/>
      <c r="U433" s="945"/>
      <c r="V433" s="945"/>
      <c r="W433" s="945"/>
      <c r="X433" s="945"/>
      <c r="Y433" s="945"/>
      <c r="Z433" s="945"/>
      <c r="AA433" s="945"/>
      <c r="AB433" s="945"/>
    </row>
    <row r="434" ht="20.25" customHeight="1">
      <c r="A434" s="964"/>
      <c r="B434" s="965"/>
      <c r="C434" s="965"/>
      <c r="D434" s="966"/>
      <c r="E434" s="967"/>
      <c r="F434" s="965"/>
      <c r="G434" s="965"/>
      <c r="H434" s="965"/>
      <c r="I434" s="965"/>
      <c r="J434" s="965"/>
      <c r="K434" s="965"/>
      <c r="L434" s="965"/>
      <c r="M434" s="965"/>
      <c r="N434" s="965"/>
      <c r="O434" s="965"/>
      <c r="P434" s="965"/>
      <c r="Q434" s="945"/>
      <c r="R434" s="945"/>
      <c r="S434" s="945"/>
      <c r="T434" s="945"/>
      <c r="U434" s="945"/>
      <c r="V434" s="945"/>
      <c r="W434" s="945"/>
      <c r="X434" s="945"/>
      <c r="Y434" s="945"/>
      <c r="Z434" s="945"/>
      <c r="AA434" s="945"/>
      <c r="AB434" s="945"/>
    </row>
    <row r="435" ht="20.25" customHeight="1">
      <c r="A435" s="964"/>
      <c r="B435" s="965"/>
      <c r="C435" s="965"/>
      <c r="D435" s="966"/>
      <c r="E435" s="967"/>
      <c r="F435" s="965"/>
      <c r="G435" s="965"/>
      <c r="H435" s="965"/>
      <c r="I435" s="965"/>
      <c r="J435" s="965"/>
      <c r="K435" s="965"/>
      <c r="L435" s="965"/>
      <c r="M435" s="965"/>
      <c r="N435" s="965"/>
      <c r="O435" s="965"/>
      <c r="P435" s="965"/>
      <c r="Q435" s="945"/>
      <c r="R435" s="945"/>
      <c r="S435" s="945"/>
      <c r="T435" s="945"/>
      <c r="U435" s="945"/>
      <c r="V435" s="945"/>
      <c r="W435" s="945"/>
      <c r="X435" s="945"/>
      <c r="Y435" s="945"/>
      <c r="Z435" s="945"/>
      <c r="AA435" s="945"/>
      <c r="AB435" s="945"/>
    </row>
    <row r="436" ht="20.25" customHeight="1">
      <c r="A436" s="964"/>
      <c r="B436" s="965"/>
      <c r="C436" s="965"/>
      <c r="D436" s="966"/>
      <c r="E436" s="967"/>
      <c r="F436" s="965"/>
      <c r="G436" s="965"/>
      <c r="H436" s="965"/>
      <c r="I436" s="965"/>
      <c r="J436" s="965"/>
      <c r="K436" s="965"/>
      <c r="L436" s="965"/>
      <c r="M436" s="965"/>
      <c r="N436" s="965"/>
      <c r="O436" s="965"/>
      <c r="P436" s="965"/>
      <c r="Q436" s="945"/>
      <c r="R436" s="945"/>
      <c r="S436" s="945"/>
      <c r="T436" s="945"/>
      <c r="U436" s="945"/>
      <c r="V436" s="945"/>
      <c r="W436" s="945"/>
      <c r="X436" s="945"/>
      <c r="Y436" s="945"/>
      <c r="Z436" s="945"/>
      <c r="AA436" s="945"/>
      <c r="AB436" s="945"/>
    </row>
    <row r="437" ht="20.25" customHeight="1">
      <c r="A437" s="964"/>
      <c r="B437" s="965"/>
      <c r="C437" s="965"/>
      <c r="D437" s="966"/>
      <c r="E437" s="967"/>
      <c r="F437" s="965"/>
      <c r="G437" s="965"/>
      <c r="H437" s="965"/>
      <c r="I437" s="965"/>
      <c r="J437" s="965"/>
      <c r="K437" s="965"/>
      <c r="L437" s="965"/>
      <c r="M437" s="965"/>
      <c r="N437" s="965"/>
      <c r="O437" s="965"/>
      <c r="P437" s="965"/>
      <c r="Q437" s="945"/>
      <c r="R437" s="945"/>
      <c r="S437" s="945"/>
      <c r="T437" s="945"/>
      <c r="U437" s="945"/>
      <c r="V437" s="945"/>
      <c r="W437" s="945"/>
      <c r="X437" s="945"/>
      <c r="Y437" s="945"/>
      <c r="Z437" s="945"/>
      <c r="AA437" s="945"/>
      <c r="AB437" s="945"/>
    </row>
    <row r="438" ht="20.25" customHeight="1">
      <c r="A438" s="964"/>
      <c r="B438" s="965"/>
      <c r="C438" s="965"/>
      <c r="D438" s="966"/>
      <c r="E438" s="967"/>
      <c r="F438" s="965"/>
      <c r="G438" s="965"/>
      <c r="H438" s="965"/>
      <c r="I438" s="965"/>
      <c r="J438" s="965"/>
      <c r="K438" s="965"/>
      <c r="L438" s="965"/>
      <c r="M438" s="965"/>
      <c r="N438" s="965"/>
      <c r="O438" s="965"/>
      <c r="P438" s="965"/>
      <c r="Q438" s="945"/>
      <c r="R438" s="945"/>
      <c r="S438" s="945"/>
      <c r="T438" s="945"/>
      <c r="U438" s="945"/>
      <c r="V438" s="945"/>
      <c r="W438" s="945"/>
      <c r="X438" s="945"/>
      <c r="Y438" s="945"/>
      <c r="Z438" s="945"/>
      <c r="AA438" s="945"/>
      <c r="AB438" s="945"/>
    </row>
    <row r="439" ht="20.25" customHeight="1">
      <c r="A439" s="964"/>
      <c r="B439" s="965"/>
      <c r="C439" s="965"/>
      <c r="D439" s="966"/>
      <c r="E439" s="967"/>
      <c r="F439" s="965"/>
      <c r="G439" s="965"/>
      <c r="H439" s="965"/>
      <c r="I439" s="965"/>
      <c r="J439" s="965"/>
      <c r="K439" s="965"/>
      <c r="L439" s="965"/>
      <c r="M439" s="965"/>
      <c r="N439" s="965"/>
      <c r="O439" s="965"/>
      <c r="P439" s="965"/>
      <c r="Q439" s="945"/>
      <c r="R439" s="945"/>
      <c r="S439" s="945"/>
      <c r="T439" s="945"/>
      <c r="U439" s="945"/>
      <c r="V439" s="945"/>
      <c r="W439" s="945"/>
      <c r="X439" s="945"/>
      <c r="Y439" s="945"/>
      <c r="Z439" s="945"/>
      <c r="AA439" s="945"/>
      <c r="AB439" s="945"/>
    </row>
    <row r="440" ht="20.25" customHeight="1">
      <c r="A440" s="964"/>
      <c r="B440" s="965"/>
      <c r="C440" s="965"/>
      <c r="D440" s="966"/>
      <c r="E440" s="967"/>
      <c r="F440" s="965"/>
      <c r="G440" s="965"/>
      <c r="H440" s="965"/>
      <c r="I440" s="965"/>
      <c r="J440" s="965"/>
      <c r="K440" s="965"/>
      <c r="L440" s="965"/>
      <c r="M440" s="965"/>
      <c r="N440" s="965"/>
      <c r="O440" s="965"/>
      <c r="P440" s="965"/>
      <c r="Q440" s="945"/>
      <c r="R440" s="945"/>
      <c r="S440" s="945"/>
      <c r="T440" s="945"/>
      <c r="U440" s="945"/>
      <c r="V440" s="945"/>
      <c r="W440" s="945"/>
      <c r="X440" s="945"/>
      <c r="Y440" s="945"/>
      <c r="Z440" s="945"/>
      <c r="AA440" s="945"/>
      <c r="AB440" s="945"/>
    </row>
    <row r="441" ht="20.25" customHeight="1">
      <c r="A441" s="964"/>
      <c r="B441" s="965"/>
      <c r="C441" s="965"/>
      <c r="D441" s="966"/>
      <c r="E441" s="967"/>
      <c r="F441" s="965"/>
      <c r="G441" s="965"/>
      <c r="H441" s="965"/>
      <c r="I441" s="965"/>
      <c r="J441" s="965"/>
      <c r="K441" s="965"/>
      <c r="L441" s="965"/>
      <c r="M441" s="965"/>
      <c r="N441" s="965"/>
      <c r="O441" s="965"/>
      <c r="P441" s="965"/>
      <c r="Q441" s="945"/>
      <c r="R441" s="945"/>
      <c r="S441" s="945"/>
      <c r="T441" s="945"/>
      <c r="U441" s="945"/>
      <c r="V441" s="945"/>
      <c r="W441" s="945"/>
      <c r="X441" s="945"/>
      <c r="Y441" s="945"/>
      <c r="Z441" s="945"/>
      <c r="AA441" s="945"/>
      <c r="AB441" s="945"/>
    </row>
    <row r="442" ht="20.25" customHeight="1">
      <c r="A442" s="964"/>
      <c r="B442" s="965"/>
      <c r="C442" s="965"/>
      <c r="D442" s="966"/>
      <c r="E442" s="967"/>
      <c r="F442" s="965"/>
      <c r="G442" s="965"/>
      <c r="H442" s="965"/>
      <c r="I442" s="965"/>
      <c r="J442" s="965"/>
      <c r="K442" s="965"/>
      <c r="L442" s="965"/>
      <c r="M442" s="965"/>
      <c r="N442" s="965"/>
      <c r="O442" s="965"/>
      <c r="P442" s="965"/>
      <c r="Q442" s="945"/>
      <c r="R442" s="945"/>
      <c r="S442" s="945"/>
      <c r="T442" s="945"/>
      <c r="U442" s="945"/>
      <c r="V442" s="945"/>
      <c r="W442" s="945"/>
      <c r="X442" s="945"/>
      <c r="Y442" s="945"/>
      <c r="Z442" s="945"/>
      <c r="AA442" s="945"/>
      <c r="AB442" s="945"/>
    </row>
    <row r="443" ht="20.25" customHeight="1">
      <c r="A443" s="964"/>
      <c r="B443" s="965"/>
      <c r="C443" s="965"/>
      <c r="D443" s="966"/>
      <c r="E443" s="967"/>
      <c r="F443" s="965"/>
      <c r="G443" s="965"/>
      <c r="H443" s="965"/>
      <c r="I443" s="965"/>
      <c r="J443" s="965"/>
      <c r="K443" s="965"/>
      <c r="L443" s="965"/>
      <c r="M443" s="965"/>
      <c r="N443" s="965"/>
      <c r="O443" s="965"/>
      <c r="P443" s="965"/>
      <c r="Q443" s="945"/>
      <c r="R443" s="945"/>
      <c r="S443" s="945"/>
      <c r="T443" s="945"/>
      <c r="U443" s="945"/>
      <c r="V443" s="945"/>
      <c r="W443" s="945"/>
      <c r="X443" s="945"/>
      <c r="Y443" s="945"/>
      <c r="Z443" s="945"/>
      <c r="AA443" s="945"/>
      <c r="AB443" s="945"/>
    </row>
    <row r="444" ht="20.25" customHeight="1">
      <c r="A444" s="964"/>
      <c r="B444" s="965"/>
      <c r="C444" s="965"/>
      <c r="D444" s="966"/>
      <c r="E444" s="967"/>
      <c r="F444" s="965"/>
      <c r="G444" s="965"/>
      <c r="H444" s="965"/>
      <c r="I444" s="965"/>
      <c r="J444" s="965"/>
      <c r="K444" s="965"/>
      <c r="L444" s="965"/>
      <c r="M444" s="965"/>
      <c r="N444" s="965"/>
      <c r="O444" s="965"/>
      <c r="P444" s="965"/>
      <c r="Q444" s="945"/>
      <c r="R444" s="945"/>
      <c r="S444" s="945"/>
      <c r="T444" s="945"/>
      <c r="U444" s="945"/>
      <c r="V444" s="945"/>
      <c r="W444" s="945"/>
      <c r="X444" s="945"/>
      <c r="Y444" s="945"/>
      <c r="Z444" s="945"/>
      <c r="AA444" s="945"/>
      <c r="AB444" s="945"/>
    </row>
    <row r="445" ht="20.25" customHeight="1">
      <c r="A445" s="964"/>
      <c r="B445" s="965"/>
      <c r="C445" s="965"/>
      <c r="D445" s="966"/>
      <c r="E445" s="967"/>
      <c r="F445" s="965"/>
      <c r="G445" s="965"/>
      <c r="H445" s="965"/>
      <c r="I445" s="965"/>
      <c r="J445" s="965"/>
      <c r="K445" s="965"/>
      <c r="L445" s="965"/>
      <c r="M445" s="965"/>
      <c r="N445" s="965"/>
      <c r="O445" s="965"/>
      <c r="P445" s="965"/>
      <c r="Q445" s="945"/>
      <c r="R445" s="945"/>
      <c r="S445" s="945"/>
      <c r="T445" s="945"/>
      <c r="U445" s="945"/>
      <c r="V445" s="945"/>
      <c r="W445" s="945"/>
      <c r="X445" s="945"/>
      <c r="Y445" s="945"/>
      <c r="Z445" s="945"/>
      <c r="AA445" s="945"/>
      <c r="AB445" s="945"/>
    </row>
    <row r="446" ht="20.25" customHeight="1">
      <c r="A446" s="964"/>
      <c r="B446" s="965"/>
      <c r="C446" s="965"/>
      <c r="D446" s="966"/>
      <c r="E446" s="967"/>
      <c r="F446" s="965"/>
      <c r="G446" s="965"/>
      <c r="H446" s="965"/>
      <c r="I446" s="965"/>
      <c r="J446" s="965"/>
      <c r="K446" s="965"/>
      <c r="L446" s="965"/>
      <c r="M446" s="965"/>
      <c r="N446" s="965"/>
      <c r="O446" s="965"/>
      <c r="P446" s="965"/>
      <c r="Q446" s="945"/>
      <c r="R446" s="945"/>
      <c r="S446" s="945"/>
      <c r="T446" s="945"/>
      <c r="U446" s="945"/>
      <c r="V446" s="945"/>
      <c r="W446" s="945"/>
      <c r="X446" s="945"/>
      <c r="Y446" s="945"/>
      <c r="Z446" s="945"/>
      <c r="AA446" s="945"/>
      <c r="AB446" s="945"/>
    </row>
    <row r="447" ht="20.25" customHeight="1">
      <c r="A447" s="964"/>
      <c r="B447" s="965"/>
      <c r="C447" s="965"/>
      <c r="D447" s="966"/>
      <c r="E447" s="967"/>
      <c r="F447" s="965"/>
      <c r="G447" s="965"/>
      <c r="H447" s="965"/>
      <c r="I447" s="965"/>
      <c r="J447" s="965"/>
      <c r="K447" s="965"/>
      <c r="L447" s="965"/>
      <c r="M447" s="965"/>
      <c r="N447" s="965"/>
      <c r="O447" s="965"/>
      <c r="P447" s="965"/>
      <c r="Q447" s="945"/>
      <c r="R447" s="945"/>
      <c r="S447" s="945"/>
      <c r="T447" s="945"/>
      <c r="U447" s="945"/>
      <c r="V447" s="945"/>
      <c r="W447" s="945"/>
      <c r="X447" s="945"/>
      <c r="Y447" s="945"/>
      <c r="Z447" s="945"/>
      <c r="AA447" s="945"/>
      <c r="AB447" s="945"/>
    </row>
    <row r="448" ht="20.25" customHeight="1">
      <c r="A448" s="964"/>
      <c r="B448" s="965"/>
      <c r="C448" s="965"/>
      <c r="D448" s="966"/>
      <c r="E448" s="967"/>
      <c r="F448" s="965"/>
      <c r="G448" s="965"/>
      <c r="H448" s="965"/>
      <c r="I448" s="965"/>
      <c r="J448" s="965"/>
      <c r="K448" s="965"/>
      <c r="L448" s="965"/>
      <c r="M448" s="965"/>
      <c r="N448" s="965"/>
      <c r="O448" s="965"/>
      <c r="P448" s="965"/>
      <c r="Q448" s="945"/>
      <c r="R448" s="945"/>
      <c r="S448" s="945"/>
      <c r="T448" s="945"/>
      <c r="U448" s="945"/>
      <c r="V448" s="945"/>
      <c r="W448" s="945"/>
      <c r="X448" s="945"/>
      <c r="Y448" s="945"/>
      <c r="Z448" s="945"/>
      <c r="AA448" s="945"/>
      <c r="AB448" s="945"/>
    </row>
    <row r="449" ht="20.25" customHeight="1">
      <c r="A449" s="964"/>
      <c r="B449" s="965"/>
      <c r="C449" s="965"/>
      <c r="D449" s="966"/>
      <c r="E449" s="967"/>
      <c r="F449" s="965"/>
      <c r="G449" s="965"/>
      <c r="H449" s="965"/>
      <c r="I449" s="965"/>
      <c r="J449" s="965"/>
      <c r="K449" s="965"/>
      <c r="L449" s="965"/>
      <c r="M449" s="965"/>
      <c r="N449" s="965"/>
      <c r="O449" s="965"/>
      <c r="P449" s="965"/>
      <c r="Q449" s="945"/>
      <c r="R449" s="945"/>
      <c r="S449" s="945"/>
      <c r="T449" s="945"/>
      <c r="U449" s="945"/>
      <c r="V449" s="945"/>
      <c r="W449" s="945"/>
      <c r="X449" s="945"/>
      <c r="Y449" s="945"/>
      <c r="Z449" s="945"/>
      <c r="AA449" s="945"/>
      <c r="AB449" s="945"/>
    </row>
    <row r="450" ht="20.25" customHeight="1">
      <c r="A450" s="964"/>
      <c r="B450" s="965"/>
      <c r="C450" s="965"/>
      <c r="D450" s="966"/>
      <c r="E450" s="967"/>
      <c r="F450" s="965"/>
      <c r="G450" s="965"/>
      <c r="H450" s="965"/>
      <c r="I450" s="965"/>
      <c r="J450" s="965"/>
      <c r="K450" s="965"/>
      <c r="L450" s="965"/>
      <c r="M450" s="965"/>
      <c r="N450" s="965"/>
      <c r="O450" s="965"/>
      <c r="P450" s="965"/>
      <c r="Q450" s="945"/>
      <c r="R450" s="945"/>
      <c r="S450" s="945"/>
      <c r="T450" s="945"/>
      <c r="U450" s="945"/>
      <c r="V450" s="945"/>
      <c r="W450" s="945"/>
      <c r="X450" s="945"/>
      <c r="Y450" s="945"/>
      <c r="Z450" s="945"/>
      <c r="AA450" s="945"/>
      <c r="AB450" s="945"/>
    </row>
    <row r="451" ht="20.25" customHeight="1">
      <c r="A451" s="964"/>
      <c r="B451" s="965"/>
      <c r="C451" s="965"/>
      <c r="D451" s="966"/>
      <c r="E451" s="967"/>
      <c r="F451" s="965"/>
      <c r="G451" s="965"/>
      <c r="H451" s="965"/>
      <c r="I451" s="965"/>
      <c r="J451" s="965"/>
      <c r="K451" s="965"/>
      <c r="L451" s="965"/>
      <c r="M451" s="965"/>
      <c r="N451" s="965"/>
      <c r="O451" s="965"/>
      <c r="P451" s="965"/>
      <c r="Q451" s="945"/>
      <c r="R451" s="945"/>
      <c r="S451" s="945"/>
      <c r="T451" s="945"/>
      <c r="U451" s="945"/>
      <c r="V451" s="945"/>
      <c r="W451" s="945"/>
      <c r="X451" s="945"/>
      <c r="Y451" s="945"/>
      <c r="Z451" s="945"/>
      <c r="AA451" s="945"/>
      <c r="AB451" s="945"/>
    </row>
    <row r="452" ht="20.25" customHeight="1">
      <c r="A452" s="964"/>
      <c r="B452" s="965"/>
      <c r="C452" s="965"/>
      <c r="D452" s="966"/>
      <c r="E452" s="967"/>
      <c r="F452" s="965"/>
      <c r="G452" s="965"/>
      <c r="H452" s="965"/>
      <c r="I452" s="965"/>
      <c r="J452" s="965"/>
      <c r="K452" s="965"/>
      <c r="L452" s="965"/>
      <c r="M452" s="965"/>
      <c r="N452" s="965"/>
      <c r="O452" s="965"/>
      <c r="P452" s="965"/>
      <c r="Q452" s="945"/>
      <c r="R452" s="945"/>
      <c r="S452" s="945"/>
      <c r="T452" s="945"/>
      <c r="U452" s="945"/>
      <c r="V452" s="945"/>
      <c r="W452" s="945"/>
      <c r="X452" s="945"/>
      <c r="Y452" s="945"/>
      <c r="Z452" s="945"/>
      <c r="AA452" s="945"/>
      <c r="AB452" s="945"/>
    </row>
    <row r="453" ht="20.25" customHeight="1">
      <c r="A453" s="964"/>
      <c r="B453" s="965"/>
      <c r="C453" s="965"/>
      <c r="D453" s="966"/>
      <c r="E453" s="967"/>
      <c r="F453" s="965"/>
      <c r="G453" s="965"/>
      <c r="H453" s="965"/>
      <c r="I453" s="965"/>
      <c r="J453" s="965"/>
      <c r="K453" s="965"/>
      <c r="L453" s="965"/>
      <c r="M453" s="965"/>
      <c r="N453" s="965"/>
      <c r="O453" s="965"/>
      <c r="P453" s="965"/>
      <c r="Q453" s="945"/>
      <c r="R453" s="945"/>
      <c r="S453" s="945"/>
      <c r="T453" s="945"/>
      <c r="U453" s="945"/>
      <c r="V453" s="945"/>
      <c r="W453" s="945"/>
      <c r="X453" s="945"/>
      <c r="Y453" s="945"/>
      <c r="Z453" s="945"/>
      <c r="AA453" s="945"/>
      <c r="AB453" s="945"/>
    </row>
    <row r="454" ht="20.25" customHeight="1">
      <c r="A454" s="964"/>
      <c r="B454" s="965"/>
      <c r="C454" s="965"/>
      <c r="D454" s="966"/>
      <c r="E454" s="967"/>
      <c r="F454" s="965"/>
      <c r="G454" s="965"/>
      <c r="H454" s="965"/>
      <c r="I454" s="965"/>
      <c r="J454" s="965"/>
      <c r="K454" s="965"/>
      <c r="L454" s="965"/>
      <c r="M454" s="965"/>
      <c r="N454" s="965"/>
      <c r="O454" s="965"/>
      <c r="P454" s="965"/>
      <c r="Q454" s="945"/>
      <c r="R454" s="945"/>
      <c r="S454" s="945"/>
      <c r="T454" s="945"/>
      <c r="U454" s="945"/>
      <c r="V454" s="945"/>
      <c r="W454" s="945"/>
      <c r="X454" s="945"/>
      <c r="Y454" s="945"/>
      <c r="Z454" s="945"/>
      <c r="AA454" s="945"/>
      <c r="AB454" s="945"/>
    </row>
    <row r="455" ht="20.25" customHeight="1">
      <c r="A455" s="964"/>
      <c r="B455" s="965"/>
      <c r="C455" s="965"/>
      <c r="D455" s="966"/>
      <c r="E455" s="967"/>
      <c r="F455" s="965"/>
      <c r="G455" s="965"/>
      <c r="H455" s="965"/>
      <c r="I455" s="965"/>
      <c r="J455" s="965"/>
      <c r="K455" s="965"/>
      <c r="L455" s="965"/>
      <c r="M455" s="965"/>
      <c r="N455" s="965"/>
      <c r="O455" s="965"/>
      <c r="P455" s="965"/>
      <c r="Q455" s="945"/>
      <c r="R455" s="945"/>
      <c r="S455" s="945"/>
      <c r="T455" s="945"/>
      <c r="U455" s="945"/>
      <c r="V455" s="945"/>
      <c r="W455" s="945"/>
      <c r="X455" s="945"/>
      <c r="Y455" s="945"/>
      <c r="Z455" s="945"/>
      <c r="AA455" s="945"/>
      <c r="AB455" s="945"/>
    </row>
    <row r="456" ht="20.25" customHeight="1">
      <c r="A456" s="964"/>
      <c r="B456" s="965"/>
      <c r="C456" s="965"/>
      <c r="D456" s="966"/>
      <c r="E456" s="967"/>
      <c r="F456" s="965"/>
      <c r="G456" s="965"/>
      <c r="H456" s="965"/>
      <c r="I456" s="965"/>
      <c r="J456" s="965"/>
      <c r="K456" s="965"/>
      <c r="L456" s="965"/>
      <c r="M456" s="965"/>
      <c r="N456" s="965"/>
      <c r="O456" s="965"/>
      <c r="P456" s="965"/>
      <c r="Q456" s="945"/>
      <c r="R456" s="945"/>
      <c r="S456" s="945"/>
      <c r="T456" s="945"/>
      <c r="U456" s="945"/>
      <c r="V456" s="945"/>
      <c r="W456" s="945"/>
      <c r="X456" s="945"/>
      <c r="Y456" s="945"/>
      <c r="Z456" s="945"/>
      <c r="AA456" s="945"/>
      <c r="AB456" s="945"/>
    </row>
    <row r="457" ht="20.25" customHeight="1">
      <c r="A457" s="964"/>
      <c r="B457" s="965"/>
      <c r="C457" s="965"/>
      <c r="D457" s="966"/>
      <c r="E457" s="967"/>
      <c r="F457" s="965"/>
      <c r="G457" s="965"/>
      <c r="H457" s="965"/>
      <c r="I457" s="965"/>
      <c r="J457" s="965"/>
      <c r="K457" s="965"/>
      <c r="L457" s="965"/>
      <c r="M457" s="965"/>
      <c r="N457" s="965"/>
      <c r="O457" s="965"/>
      <c r="P457" s="965"/>
      <c r="Q457" s="945"/>
      <c r="R457" s="945"/>
      <c r="S457" s="945"/>
      <c r="T457" s="945"/>
      <c r="U457" s="945"/>
      <c r="V457" s="945"/>
      <c r="W457" s="945"/>
      <c r="X457" s="945"/>
      <c r="Y457" s="945"/>
      <c r="Z457" s="945"/>
      <c r="AA457" s="945"/>
      <c r="AB457" s="945"/>
    </row>
    <row r="458" ht="20.25" customHeight="1">
      <c r="A458" s="964"/>
      <c r="B458" s="965"/>
      <c r="C458" s="965"/>
      <c r="D458" s="966"/>
      <c r="E458" s="967"/>
      <c r="F458" s="965"/>
      <c r="G458" s="965"/>
      <c r="H458" s="965"/>
      <c r="I458" s="965"/>
      <c r="J458" s="965"/>
      <c r="K458" s="965"/>
      <c r="L458" s="965"/>
      <c r="M458" s="965"/>
      <c r="N458" s="965"/>
      <c r="O458" s="965"/>
      <c r="P458" s="965"/>
      <c r="Q458" s="945"/>
      <c r="R458" s="945"/>
      <c r="S458" s="945"/>
      <c r="T458" s="945"/>
      <c r="U458" s="945"/>
      <c r="V458" s="945"/>
      <c r="W458" s="945"/>
      <c r="X458" s="945"/>
      <c r="Y458" s="945"/>
      <c r="Z458" s="945"/>
      <c r="AA458" s="945"/>
      <c r="AB458" s="945"/>
    </row>
    <row r="459" ht="20.25" customHeight="1">
      <c r="A459" s="964"/>
      <c r="B459" s="965"/>
      <c r="C459" s="965"/>
      <c r="D459" s="966"/>
      <c r="E459" s="967"/>
      <c r="F459" s="965"/>
      <c r="G459" s="965"/>
      <c r="H459" s="965"/>
      <c r="I459" s="965"/>
      <c r="J459" s="965"/>
      <c r="K459" s="965"/>
      <c r="L459" s="965"/>
      <c r="M459" s="965"/>
      <c r="N459" s="965"/>
      <c r="O459" s="965"/>
      <c r="P459" s="965"/>
      <c r="Q459" s="945"/>
      <c r="R459" s="945"/>
      <c r="S459" s="945"/>
      <c r="T459" s="945"/>
      <c r="U459" s="945"/>
      <c r="V459" s="945"/>
      <c r="W459" s="945"/>
      <c r="X459" s="945"/>
      <c r="Y459" s="945"/>
      <c r="Z459" s="945"/>
      <c r="AA459" s="945"/>
      <c r="AB459" s="945"/>
    </row>
    <row r="460" ht="20.25" customHeight="1">
      <c r="A460" s="964"/>
      <c r="B460" s="965"/>
      <c r="C460" s="965"/>
      <c r="D460" s="966"/>
      <c r="E460" s="967"/>
      <c r="F460" s="965"/>
      <c r="G460" s="965"/>
      <c r="H460" s="965"/>
      <c r="I460" s="965"/>
      <c r="J460" s="965"/>
      <c r="K460" s="965"/>
      <c r="L460" s="965"/>
      <c r="M460" s="965"/>
      <c r="N460" s="965"/>
      <c r="O460" s="965"/>
      <c r="P460" s="965"/>
      <c r="Q460" s="945"/>
      <c r="R460" s="945"/>
      <c r="S460" s="945"/>
      <c r="T460" s="945"/>
      <c r="U460" s="945"/>
      <c r="V460" s="945"/>
      <c r="W460" s="945"/>
      <c r="X460" s="945"/>
      <c r="Y460" s="945"/>
      <c r="Z460" s="945"/>
      <c r="AA460" s="945"/>
      <c r="AB460" s="945"/>
    </row>
    <row r="461" ht="20.25" customHeight="1">
      <c r="A461" s="964"/>
      <c r="B461" s="965"/>
      <c r="C461" s="965"/>
      <c r="D461" s="966"/>
      <c r="E461" s="967"/>
      <c r="F461" s="965"/>
      <c r="G461" s="965"/>
      <c r="H461" s="965"/>
      <c r="I461" s="965"/>
      <c r="J461" s="965"/>
      <c r="K461" s="965"/>
      <c r="L461" s="965"/>
      <c r="M461" s="965"/>
      <c r="N461" s="965"/>
      <c r="O461" s="965"/>
      <c r="P461" s="965"/>
      <c r="Q461" s="945"/>
      <c r="R461" s="945"/>
      <c r="S461" s="945"/>
      <c r="T461" s="945"/>
      <c r="U461" s="945"/>
      <c r="V461" s="945"/>
      <c r="W461" s="945"/>
      <c r="X461" s="945"/>
      <c r="Y461" s="945"/>
      <c r="Z461" s="945"/>
      <c r="AA461" s="945"/>
      <c r="AB461" s="945"/>
    </row>
    <row r="462" ht="20.25" customHeight="1">
      <c r="A462" s="964"/>
      <c r="B462" s="965"/>
      <c r="C462" s="965"/>
      <c r="D462" s="966"/>
      <c r="E462" s="967"/>
      <c r="F462" s="965"/>
      <c r="G462" s="965"/>
      <c r="H462" s="965"/>
      <c r="I462" s="965"/>
      <c r="J462" s="965"/>
      <c r="K462" s="965"/>
      <c r="L462" s="965"/>
      <c r="M462" s="965"/>
      <c r="N462" s="965"/>
      <c r="O462" s="965"/>
      <c r="P462" s="965"/>
      <c r="Q462" s="945"/>
      <c r="R462" s="945"/>
      <c r="S462" s="945"/>
      <c r="T462" s="945"/>
      <c r="U462" s="945"/>
      <c r="V462" s="945"/>
      <c r="W462" s="945"/>
      <c r="X462" s="945"/>
      <c r="Y462" s="945"/>
      <c r="Z462" s="945"/>
      <c r="AA462" s="945"/>
      <c r="AB462" s="945"/>
    </row>
    <row r="463" ht="20.25" customHeight="1">
      <c r="A463" s="964"/>
      <c r="B463" s="965"/>
      <c r="C463" s="965"/>
      <c r="D463" s="966"/>
      <c r="E463" s="967"/>
      <c r="F463" s="965"/>
      <c r="G463" s="965"/>
      <c r="H463" s="965"/>
      <c r="I463" s="965"/>
      <c r="J463" s="965"/>
      <c r="K463" s="965"/>
      <c r="L463" s="965"/>
      <c r="M463" s="965"/>
      <c r="N463" s="965"/>
      <c r="O463" s="965"/>
      <c r="P463" s="965"/>
      <c r="Q463" s="945"/>
      <c r="R463" s="945"/>
      <c r="S463" s="945"/>
      <c r="T463" s="945"/>
      <c r="U463" s="945"/>
      <c r="V463" s="945"/>
      <c r="W463" s="945"/>
      <c r="X463" s="945"/>
      <c r="Y463" s="945"/>
      <c r="Z463" s="945"/>
      <c r="AA463" s="945"/>
      <c r="AB463" s="945"/>
    </row>
    <row r="464" ht="20.25" customHeight="1">
      <c r="A464" s="964"/>
      <c r="B464" s="965"/>
      <c r="C464" s="965"/>
      <c r="D464" s="966"/>
      <c r="E464" s="967"/>
      <c r="F464" s="965"/>
      <c r="G464" s="965"/>
      <c r="H464" s="965"/>
      <c r="I464" s="965"/>
      <c r="J464" s="965"/>
      <c r="K464" s="965"/>
      <c r="L464" s="965"/>
      <c r="M464" s="965"/>
      <c r="N464" s="965"/>
      <c r="O464" s="965"/>
      <c r="P464" s="965"/>
      <c r="Q464" s="945"/>
      <c r="R464" s="945"/>
      <c r="S464" s="945"/>
      <c r="T464" s="945"/>
      <c r="U464" s="945"/>
      <c r="V464" s="945"/>
      <c r="W464" s="945"/>
      <c r="X464" s="945"/>
      <c r="Y464" s="945"/>
      <c r="Z464" s="945"/>
      <c r="AA464" s="945"/>
      <c r="AB464" s="945"/>
    </row>
    <row r="465" ht="20.25" customHeight="1">
      <c r="A465" s="964"/>
      <c r="B465" s="965"/>
      <c r="C465" s="965"/>
      <c r="D465" s="966"/>
      <c r="E465" s="967"/>
      <c r="F465" s="965"/>
      <c r="G465" s="965"/>
      <c r="H465" s="965"/>
      <c r="I465" s="965"/>
      <c r="J465" s="965"/>
      <c r="K465" s="965"/>
      <c r="L465" s="965"/>
      <c r="M465" s="965"/>
      <c r="N465" s="965"/>
      <c r="O465" s="965"/>
      <c r="P465" s="965"/>
      <c r="Q465" s="945"/>
      <c r="R465" s="945"/>
      <c r="S465" s="945"/>
      <c r="T465" s="945"/>
      <c r="U465" s="945"/>
      <c r="V465" s="945"/>
      <c r="W465" s="945"/>
      <c r="X465" s="945"/>
      <c r="Y465" s="945"/>
      <c r="Z465" s="945"/>
      <c r="AA465" s="945"/>
      <c r="AB465" s="945"/>
    </row>
    <row r="466" ht="20.25" customHeight="1">
      <c r="A466" s="964"/>
      <c r="B466" s="965"/>
      <c r="C466" s="965"/>
      <c r="D466" s="966"/>
      <c r="E466" s="967"/>
      <c r="F466" s="965"/>
      <c r="G466" s="965"/>
      <c r="H466" s="965"/>
      <c r="I466" s="965"/>
      <c r="J466" s="965"/>
      <c r="K466" s="965"/>
      <c r="L466" s="965"/>
      <c r="M466" s="965"/>
      <c r="N466" s="965"/>
      <c r="O466" s="965"/>
      <c r="P466" s="965"/>
      <c r="Q466" s="945"/>
      <c r="R466" s="945"/>
      <c r="S466" s="945"/>
      <c r="T466" s="945"/>
      <c r="U466" s="945"/>
      <c r="V466" s="945"/>
      <c r="W466" s="945"/>
      <c r="X466" s="945"/>
      <c r="Y466" s="945"/>
      <c r="Z466" s="945"/>
      <c r="AA466" s="945"/>
      <c r="AB466" s="945"/>
    </row>
    <row r="467" ht="20.25" customHeight="1">
      <c r="A467" s="964"/>
      <c r="B467" s="965"/>
      <c r="C467" s="965"/>
      <c r="D467" s="966"/>
      <c r="E467" s="967"/>
      <c r="F467" s="965"/>
      <c r="G467" s="965"/>
      <c r="H467" s="965"/>
      <c r="I467" s="965"/>
      <c r="J467" s="965"/>
      <c r="K467" s="965"/>
      <c r="L467" s="965"/>
      <c r="M467" s="965"/>
      <c r="N467" s="965"/>
      <c r="O467" s="965"/>
      <c r="P467" s="965"/>
      <c r="Q467" s="945"/>
      <c r="R467" s="945"/>
      <c r="S467" s="945"/>
      <c r="T467" s="945"/>
      <c r="U467" s="945"/>
      <c r="V467" s="945"/>
      <c r="W467" s="945"/>
      <c r="X467" s="945"/>
      <c r="Y467" s="945"/>
      <c r="Z467" s="945"/>
      <c r="AA467" s="945"/>
      <c r="AB467" s="945"/>
    </row>
    <row r="468" ht="20.25" customHeight="1">
      <c r="A468" s="964"/>
      <c r="B468" s="965"/>
      <c r="C468" s="965"/>
      <c r="D468" s="966"/>
      <c r="E468" s="967"/>
      <c r="F468" s="965"/>
      <c r="G468" s="965"/>
      <c r="H468" s="965"/>
      <c r="I468" s="965"/>
      <c r="J468" s="965"/>
      <c r="K468" s="965"/>
      <c r="L468" s="965"/>
      <c r="M468" s="965"/>
      <c r="N468" s="965"/>
      <c r="O468" s="965"/>
      <c r="P468" s="965"/>
      <c r="Q468" s="945"/>
      <c r="R468" s="945"/>
      <c r="S468" s="945"/>
      <c r="T468" s="945"/>
      <c r="U468" s="945"/>
      <c r="V468" s="945"/>
      <c r="W468" s="945"/>
      <c r="X468" s="945"/>
      <c r="Y468" s="945"/>
      <c r="Z468" s="945"/>
      <c r="AA468" s="945"/>
      <c r="AB468" s="945"/>
    </row>
    <row r="469" ht="20.25" customHeight="1">
      <c r="A469" s="964"/>
      <c r="B469" s="965"/>
      <c r="C469" s="965"/>
      <c r="D469" s="966"/>
      <c r="E469" s="967"/>
      <c r="F469" s="965"/>
      <c r="G469" s="965"/>
      <c r="H469" s="965"/>
      <c r="I469" s="965"/>
      <c r="J469" s="965"/>
      <c r="K469" s="965"/>
      <c r="L469" s="965"/>
      <c r="M469" s="965"/>
      <c r="N469" s="965"/>
      <c r="O469" s="965"/>
      <c r="P469" s="965"/>
      <c r="Q469" s="945"/>
      <c r="R469" s="945"/>
      <c r="S469" s="945"/>
      <c r="T469" s="945"/>
      <c r="U469" s="945"/>
      <c r="V469" s="945"/>
      <c r="W469" s="945"/>
      <c r="X469" s="945"/>
      <c r="Y469" s="945"/>
      <c r="Z469" s="945"/>
      <c r="AA469" s="945"/>
      <c r="AB469" s="945"/>
    </row>
    <row r="470" ht="20.25" customHeight="1">
      <c r="A470" s="964"/>
      <c r="B470" s="965"/>
      <c r="C470" s="965"/>
      <c r="D470" s="966"/>
      <c r="E470" s="967"/>
      <c r="F470" s="965"/>
      <c r="G470" s="965"/>
      <c r="H470" s="965"/>
      <c r="I470" s="965"/>
      <c r="J470" s="965"/>
      <c r="K470" s="965"/>
      <c r="L470" s="965"/>
      <c r="M470" s="965"/>
      <c r="N470" s="965"/>
      <c r="O470" s="965"/>
      <c r="P470" s="965"/>
      <c r="Q470" s="945"/>
      <c r="R470" s="945"/>
      <c r="S470" s="945"/>
      <c r="T470" s="945"/>
      <c r="U470" s="945"/>
      <c r="V470" s="945"/>
      <c r="W470" s="945"/>
      <c r="X470" s="945"/>
      <c r="Y470" s="945"/>
      <c r="Z470" s="945"/>
      <c r="AA470" s="945"/>
      <c r="AB470" s="945"/>
    </row>
    <row r="471" ht="20.25" customHeight="1">
      <c r="A471" s="964"/>
      <c r="B471" s="965"/>
      <c r="C471" s="965"/>
      <c r="D471" s="966"/>
      <c r="E471" s="967"/>
      <c r="F471" s="965"/>
      <c r="G471" s="965"/>
      <c r="H471" s="965"/>
      <c r="I471" s="965"/>
      <c r="J471" s="965"/>
      <c r="K471" s="965"/>
      <c r="L471" s="965"/>
      <c r="M471" s="965"/>
      <c r="N471" s="965"/>
      <c r="O471" s="965"/>
      <c r="P471" s="965"/>
      <c r="Q471" s="945"/>
      <c r="R471" s="945"/>
      <c r="S471" s="945"/>
      <c r="T471" s="945"/>
      <c r="U471" s="945"/>
      <c r="V471" s="945"/>
      <c r="W471" s="945"/>
      <c r="X471" s="945"/>
      <c r="Y471" s="945"/>
      <c r="Z471" s="945"/>
      <c r="AA471" s="945"/>
      <c r="AB471" s="945"/>
    </row>
    <row r="472" ht="20.25" customHeight="1">
      <c r="A472" s="964"/>
      <c r="B472" s="965"/>
      <c r="C472" s="965"/>
      <c r="D472" s="966"/>
      <c r="E472" s="967"/>
      <c r="F472" s="965"/>
      <c r="G472" s="965"/>
      <c r="H472" s="965"/>
      <c r="I472" s="965"/>
      <c r="J472" s="965"/>
      <c r="K472" s="965"/>
      <c r="L472" s="965"/>
      <c r="M472" s="965"/>
      <c r="N472" s="965"/>
      <c r="O472" s="965"/>
      <c r="P472" s="965"/>
      <c r="Q472" s="945"/>
      <c r="R472" s="945"/>
      <c r="S472" s="945"/>
      <c r="T472" s="945"/>
      <c r="U472" s="945"/>
      <c r="V472" s="945"/>
      <c r="W472" s="945"/>
      <c r="X472" s="945"/>
      <c r="Y472" s="945"/>
      <c r="Z472" s="945"/>
      <c r="AA472" s="945"/>
      <c r="AB472" s="945"/>
    </row>
    <row r="473" ht="20.25" customHeight="1">
      <c r="A473" s="964"/>
      <c r="B473" s="965"/>
      <c r="C473" s="965"/>
      <c r="D473" s="966"/>
      <c r="E473" s="967"/>
      <c r="F473" s="965"/>
      <c r="G473" s="965"/>
      <c r="H473" s="965"/>
      <c r="I473" s="965"/>
      <c r="J473" s="965"/>
      <c r="K473" s="965"/>
      <c r="L473" s="965"/>
      <c r="M473" s="965"/>
      <c r="N473" s="965"/>
      <c r="O473" s="965"/>
      <c r="P473" s="965"/>
      <c r="Q473" s="945"/>
      <c r="R473" s="945"/>
      <c r="S473" s="945"/>
      <c r="T473" s="945"/>
      <c r="U473" s="945"/>
      <c r="V473" s="945"/>
      <c r="W473" s="945"/>
      <c r="X473" s="945"/>
      <c r="Y473" s="945"/>
      <c r="Z473" s="945"/>
      <c r="AA473" s="945"/>
      <c r="AB473" s="945"/>
    </row>
    <row r="474" ht="20.25" customHeight="1">
      <c r="A474" s="964"/>
      <c r="B474" s="965"/>
      <c r="C474" s="965"/>
      <c r="D474" s="966"/>
      <c r="E474" s="967"/>
      <c r="F474" s="965"/>
      <c r="G474" s="965"/>
      <c r="H474" s="965"/>
      <c r="I474" s="965"/>
      <c r="J474" s="965"/>
      <c r="K474" s="965"/>
      <c r="L474" s="965"/>
      <c r="M474" s="965"/>
      <c r="N474" s="965"/>
      <c r="O474" s="965"/>
      <c r="P474" s="965"/>
      <c r="Q474" s="945"/>
      <c r="R474" s="945"/>
      <c r="S474" s="945"/>
      <c r="T474" s="945"/>
      <c r="U474" s="945"/>
      <c r="V474" s="945"/>
      <c r="W474" s="945"/>
      <c r="X474" s="945"/>
      <c r="Y474" s="945"/>
      <c r="Z474" s="945"/>
      <c r="AA474" s="945"/>
      <c r="AB474" s="945"/>
    </row>
    <row r="475" ht="20.25" customHeight="1">
      <c r="A475" s="964"/>
      <c r="B475" s="965"/>
      <c r="C475" s="965"/>
      <c r="D475" s="966"/>
      <c r="E475" s="967"/>
      <c r="F475" s="965"/>
      <c r="G475" s="965"/>
      <c r="H475" s="965"/>
      <c r="I475" s="965"/>
      <c r="J475" s="965"/>
      <c r="K475" s="965"/>
      <c r="L475" s="965"/>
      <c r="M475" s="965"/>
      <c r="N475" s="965"/>
      <c r="O475" s="965"/>
      <c r="P475" s="965"/>
      <c r="Q475" s="945"/>
      <c r="R475" s="945"/>
      <c r="S475" s="945"/>
      <c r="T475" s="945"/>
      <c r="U475" s="945"/>
      <c r="V475" s="945"/>
      <c r="W475" s="945"/>
      <c r="X475" s="945"/>
      <c r="Y475" s="945"/>
      <c r="Z475" s="945"/>
      <c r="AA475" s="945"/>
      <c r="AB475" s="945"/>
    </row>
    <row r="476" ht="20.25" customHeight="1">
      <c r="A476" s="964"/>
      <c r="B476" s="965"/>
      <c r="C476" s="965"/>
      <c r="D476" s="966"/>
      <c r="E476" s="967"/>
      <c r="F476" s="965"/>
      <c r="G476" s="965"/>
      <c r="H476" s="965"/>
      <c r="I476" s="965"/>
      <c r="J476" s="965"/>
      <c r="K476" s="965"/>
      <c r="L476" s="965"/>
      <c r="M476" s="965"/>
      <c r="N476" s="965"/>
      <c r="O476" s="965"/>
      <c r="P476" s="965"/>
      <c r="Q476" s="945"/>
      <c r="R476" s="945"/>
      <c r="S476" s="945"/>
      <c r="T476" s="945"/>
      <c r="U476" s="945"/>
      <c r="V476" s="945"/>
      <c r="W476" s="945"/>
      <c r="X476" s="945"/>
      <c r="Y476" s="945"/>
      <c r="Z476" s="945"/>
      <c r="AA476" s="945"/>
      <c r="AB476" s="945"/>
    </row>
    <row r="477" ht="20.25" customHeight="1">
      <c r="A477" s="964"/>
      <c r="B477" s="965"/>
      <c r="C477" s="965"/>
      <c r="D477" s="966"/>
      <c r="E477" s="967"/>
      <c r="F477" s="965"/>
      <c r="G477" s="965"/>
      <c r="H477" s="965"/>
      <c r="I477" s="965"/>
      <c r="J477" s="965"/>
      <c r="K477" s="965"/>
      <c r="L477" s="965"/>
      <c r="M477" s="965"/>
      <c r="N477" s="965"/>
      <c r="O477" s="965"/>
      <c r="P477" s="965"/>
      <c r="Q477" s="945"/>
      <c r="R477" s="945"/>
      <c r="S477" s="945"/>
      <c r="T477" s="945"/>
      <c r="U477" s="945"/>
      <c r="V477" s="945"/>
      <c r="W477" s="945"/>
      <c r="X477" s="945"/>
      <c r="Y477" s="945"/>
      <c r="Z477" s="945"/>
      <c r="AA477" s="945"/>
      <c r="AB477" s="945"/>
    </row>
    <row r="478" ht="20.25" customHeight="1">
      <c r="A478" s="964"/>
      <c r="B478" s="965"/>
      <c r="C478" s="965"/>
      <c r="D478" s="966"/>
      <c r="E478" s="967"/>
      <c r="F478" s="965"/>
      <c r="G478" s="965"/>
      <c r="H478" s="965"/>
      <c r="I478" s="965"/>
      <c r="J478" s="965"/>
      <c r="K478" s="965"/>
      <c r="L478" s="965"/>
      <c r="M478" s="965"/>
      <c r="N478" s="965"/>
      <c r="O478" s="965"/>
      <c r="P478" s="965"/>
      <c r="Q478" s="945"/>
      <c r="R478" s="945"/>
      <c r="S478" s="945"/>
      <c r="T478" s="945"/>
      <c r="U478" s="945"/>
      <c r="V478" s="945"/>
      <c r="W478" s="945"/>
      <c r="X478" s="945"/>
      <c r="Y478" s="945"/>
      <c r="Z478" s="945"/>
      <c r="AA478" s="945"/>
      <c r="AB478" s="945"/>
    </row>
    <row r="479" ht="20.25" customHeight="1">
      <c r="A479" s="964"/>
      <c r="B479" s="965"/>
      <c r="C479" s="965"/>
      <c r="D479" s="966"/>
      <c r="E479" s="967"/>
      <c r="F479" s="965"/>
      <c r="G479" s="965"/>
      <c r="H479" s="965"/>
      <c r="I479" s="965"/>
      <c r="J479" s="965"/>
      <c r="K479" s="965"/>
      <c r="L479" s="965"/>
      <c r="M479" s="965"/>
      <c r="N479" s="965"/>
      <c r="O479" s="965"/>
      <c r="P479" s="965"/>
      <c r="Q479" s="945"/>
      <c r="R479" s="945"/>
      <c r="S479" s="945"/>
      <c r="T479" s="945"/>
      <c r="U479" s="945"/>
      <c r="V479" s="945"/>
      <c r="W479" s="945"/>
      <c r="X479" s="945"/>
      <c r="Y479" s="945"/>
      <c r="Z479" s="945"/>
      <c r="AA479" s="945"/>
      <c r="AB479" s="945"/>
    </row>
    <row r="480" ht="20.25" customHeight="1">
      <c r="A480" s="964"/>
      <c r="B480" s="965"/>
      <c r="C480" s="965"/>
      <c r="D480" s="966"/>
      <c r="E480" s="967"/>
      <c r="F480" s="965"/>
      <c r="G480" s="965"/>
      <c r="H480" s="965"/>
      <c r="I480" s="965"/>
      <c r="J480" s="965"/>
      <c r="K480" s="965"/>
      <c r="L480" s="965"/>
      <c r="M480" s="965"/>
      <c r="N480" s="965"/>
      <c r="O480" s="965"/>
      <c r="P480" s="965"/>
      <c r="Q480" s="945"/>
      <c r="R480" s="945"/>
      <c r="S480" s="945"/>
      <c r="T480" s="945"/>
      <c r="U480" s="945"/>
      <c r="V480" s="945"/>
      <c r="W480" s="945"/>
      <c r="X480" s="945"/>
      <c r="Y480" s="945"/>
      <c r="Z480" s="945"/>
      <c r="AA480" s="945"/>
      <c r="AB480" s="945"/>
    </row>
    <row r="481" ht="20.25" customHeight="1">
      <c r="A481" s="964"/>
      <c r="B481" s="965"/>
      <c r="C481" s="965"/>
      <c r="D481" s="966"/>
      <c r="E481" s="967"/>
      <c r="F481" s="965"/>
      <c r="G481" s="965"/>
      <c r="H481" s="965"/>
      <c r="I481" s="965"/>
      <c r="J481" s="965"/>
      <c r="K481" s="965"/>
      <c r="L481" s="965"/>
      <c r="M481" s="965"/>
      <c r="N481" s="965"/>
      <c r="O481" s="965"/>
      <c r="P481" s="965"/>
      <c r="Q481" s="945"/>
      <c r="R481" s="945"/>
      <c r="S481" s="945"/>
      <c r="T481" s="945"/>
      <c r="U481" s="945"/>
      <c r="V481" s="945"/>
      <c r="W481" s="945"/>
      <c r="X481" s="945"/>
      <c r="Y481" s="945"/>
      <c r="Z481" s="945"/>
      <c r="AA481" s="945"/>
      <c r="AB481" s="945"/>
    </row>
    <row r="482" ht="20.25" customHeight="1">
      <c r="A482" s="964"/>
      <c r="B482" s="965"/>
      <c r="C482" s="965"/>
      <c r="D482" s="966"/>
      <c r="E482" s="967"/>
      <c r="F482" s="965"/>
      <c r="G482" s="965"/>
      <c r="H482" s="965"/>
      <c r="I482" s="965"/>
      <c r="J482" s="965"/>
      <c r="K482" s="965"/>
      <c r="L482" s="965"/>
      <c r="M482" s="965"/>
      <c r="N482" s="965"/>
      <c r="O482" s="965"/>
      <c r="P482" s="965"/>
      <c r="Q482" s="945"/>
      <c r="R482" s="945"/>
      <c r="S482" s="945"/>
      <c r="T482" s="945"/>
      <c r="U482" s="945"/>
      <c r="V482" s="945"/>
      <c r="W482" s="945"/>
      <c r="X482" s="945"/>
      <c r="Y482" s="945"/>
      <c r="Z482" s="945"/>
      <c r="AA482" s="945"/>
      <c r="AB482" s="945"/>
    </row>
    <row r="483" ht="20.25" customHeight="1">
      <c r="A483" s="964"/>
      <c r="B483" s="965"/>
      <c r="C483" s="965"/>
      <c r="D483" s="966"/>
      <c r="E483" s="967"/>
      <c r="F483" s="965"/>
      <c r="G483" s="965"/>
      <c r="H483" s="965"/>
      <c r="I483" s="965"/>
      <c r="J483" s="965"/>
      <c r="K483" s="965"/>
      <c r="L483" s="965"/>
      <c r="M483" s="965"/>
      <c r="N483" s="965"/>
      <c r="O483" s="965"/>
      <c r="P483" s="965"/>
      <c r="Q483" s="945"/>
      <c r="R483" s="945"/>
      <c r="S483" s="945"/>
      <c r="T483" s="945"/>
      <c r="U483" s="945"/>
      <c r="V483" s="945"/>
      <c r="W483" s="945"/>
      <c r="X483" s="945"/>
      <c r="Y483" s="945"/>
      <c r="Z483" s="945"/>
      <c r="AA483" s="945"/>
      <c r="AB483" s="945"/>
    </row>
    <row r="484" ht="20.25" customHeight="1">
      <c r="A484" s="964"/>
      <c r="B484" s="965"/>
      <c r="C484" s="965"/>
      <c r="D484" s="966"/>
      <c r="E484" s="967"/>
      <c r="F484" s="965"/>
      <c r="G484" s="965"/>
      <c r="H484" s="965"/>
      <c r="I484" s="965"/>
      <c r="J484" s="965"/>
      <c r="K484" s="965"/>
      <c r="L484" s="965"/>
      <c r="M484" s="965"/>
      <c r="N484" s="965"/>
      <c r="O484" s="965"/>
      <c r="P484" s="965"/>
      <c r="Q484" s="945"/>
      <c r="R484" s="945"/>
      <c r="S484" s="945"/>
      <c r="T484" s="945"/>
      <c r="U484" s="945"/>
      <c r="V484" s="945"/>
      <c r="W484" s="945"/>
      <c r="X484" s="945"/>
      <c r="Y484" s="945"/>
      <c r="Z484" s="945"/>
      <c r="AA484" s="945"/>
      <c r="AB484" s="945"/>
    </row>
    <row r="485" ht="20.25" customHeight="1">
      <c r="A485" s="964"/>
      <c r="B485" s="965"/>
      <c r="C485" s="965"/>
      <c r="D485" s="966"/>
      <c r="E485" s="967"/>
      <c r="F485" s="965"/>
      <c r="G485" s="965"/>
      <c r="H485" s="965"/>
      <c r="I485" s="965"/>
      <c r="J485" s="965"/>
      <c r="K485" s="965"/>
      <c r="L485" s="965"/>
      <c r="M485" s="965"/>
      <c r="N485" s="965"/>
      <c r="O485" s="965"/>
      <c r="P485" s="965"/>
      <c r="Q485" s="945"/>
      <c r="R485" s="945"/>
      <c r="S485" s="945"/>
      <c r="T485" s="945"/>
      <c r="U485" s="945"/>
      <c r="V485" s="945"/>
      <c r="W485" s="945"/>
      <c r="X485" s="945"/>
      <c r="Y485" s="945"/>
      <c r="Z485" s="945"/>
      <c r="AA485" s="945"/>
      <c r="AB485" s="945"/>
    </row>
    <row r="486" ht="20.25" customHeight="1">
      <c r="A486" s="964"/>
      <c r="B486" s="965"/>
      <c r="C486" s="965"/>
      <c r="D486" s="966"/>
      <c r="E486" s="967"/>
      <c r="F486" s="965"/>
      <c r="G486" s="965"/>
      <c r="H486" s="965"/>
      <c r="I486" s="965"/>
      <c r="J486" s="965"/>
      <c r="K486" s="965"/>
      <c r="L486" s="965"/>
      <c r="M486" s="965"/>
      <c r="N486" s="965"/>
      <c r="O486" s="965"/>
      <c r="P486" s="965"/>
      <c r="Q486" s="945"/>
      <c r="R486" s="945"/>
      <c r="S486" s="945"/>
      <c r="T486" s="945"/>
      <c r="U486" s="945"/>
      <c r="V486" s="945"/>
      <c r="W486" s="945"/>
      <c r="X486" s="945"/>
      <c r="Y486" s="945"/>
      <c r="Z486" s="945"/>
      <c r="AA486" s="945"/>
      <c r="AB486" s="945"/>
    </row>
    <row r="487" ht="20.25" customHeight="1">
      <c r="A487" s="964"/>
      <c r="B487" s="965"/>
      <c r="C487" s="965"/>
      <c r="D487" s="966"/>
      <c r="E487" s="967"/>
      <c r="F487" s="965"/>
      <c r="G487" s="965"/>
      <c r="H487" s="965"/>
      <c r="I487" s="965"/>
      <c r="J487" s="965"/>
      <c r="K487" s="965"/>
      <c r="L487" s="965"/>
      <c r="M487" s="965"/>
      <c r="N487" s="965"/>
      <c r="O487" s="965"/>
      <c r="P487" s="965"/>
      <c r="Q487" s="945"/>
      <c r="R487" s="945"/>
      <c r="S487" s="945"/>
      <c r="T487" s="945"/>
      <c r="U487" s="945"/>
      <c r="V487" s="945"/>
      <c r="W487" s="945"/>
      <c r="X487" s="945"/>
      <c r="Y487" s="945"/>
      <c r="Z487" s="945"/>
      <c r="AA487" s="945"/>
      <c r="AB487" s="945"/>
    </row>
    <row r="488" ht="20.25" customHeight="1">
      <c r="A488" s="964"/>
      <c r="B488" s="965"/>
      <c r="C488" s="965"/>
      <c r="D488" s="966"/>
      <c r="E488" s="967"/>
      <c r="F488" s="965"/>
      <c r="G488" s="965"/>
      <c r="H488" s="965"/>
      <c r="I488" s="965"/>
      <c r="J488" s="965"/>
      <c r="K488" s="965"/>
      <c r="L488" s="965"/>
      <c r="M488" s="965"/>
      <c r="N488" s="965"/>
      <c r="O488" s="965"/>
      <c r="P488" s="965"/>
      <c r="Q488" s="945"/>
      <c r="R488" s="945"/>
      <c r="S488" s="945"/>
      <c r="T488" s="945"/>
      <c r="U488" s="945"/>
      <c r="V488" s="945"/>
      <c r="W488" s="945"/>
      <c r="X488" s="945"/>
      <c r="Y488" s="945"/>
      <c r="Z488" s="945"/>
      <c r="AA488" s="945"/>
      <c r="AB488" s="945"/>
    </row>
    <row r="489" ht="20.25" customHeight="1">
      <c r="A489" s="964"/>
      <c r="B489" s="965"/>
      <c r="C489" s="965"/>
      <c r="D489" s="966"/>
      <c r="E489" s="967"/>
      <c r="F489" s="965"/>
      <c r="G489" s="965"/>
      <c r="H489" s="965"/>
      <c r="I489" s="965"/>
      <c r="J489" s="965"/>
      <c r="K489" s="965"/>
      <c r="L489" s="965"/>
      <c r="M489" s="965"/>
      <c r="N489" s="965"/>
      <c r="O489" s="965"/>
      <c r="P489" s="965"/>
      <c r="Q489" s="945"/>
      <c r="R489" s="945"/>
      <c r="S489" s="945"/>
      <c r="T489" s="945"/>
      <c r="U489" s="945"/>
      <c r="V489" s="945"/>
      <c r="W489" s="945"/>
      <c r="X489" s="945"/>
      <c r="Y489" s="945"/>
      <c r="Z489" s="945"/>
      <c r="AA489" s="945"/>
      <c r="AB489" s="945"/>
    </row>
    <row r="490" ht="20.25" customHeight="1">
      <c r="A490" s="964"/>
      <c r="B490" s="965"/>
      <c r="C490" s="965"/>
      <c r="D490" s="966"/>
      <c r="E490" s="967"/>
      <c r="F490" s="965"/>
      <c r="G490" s="965"/>
      <c r="H490" s="965"/>
      <c r="I490" s="965"/>
      <c r="J490" s="965"/>
      <c r="K490" s="965"/>
      <c r="L490" s="965"/>
      <c r="M490" s="965"/>
      <c r="N490" s="965"/>
      <c r="O490" s="965"/>
      <c r="P490" s="965"/>
      <c r="Q490" s="945"/>
      <c r="R490" s="945"/>
      <c r="S490" s="945"/>
      <c r="T490" s="945"/>
      <c r="U490" s="945"/>
      <c r="V490" s="945"/>
      <c r="W490" s="945"/>
      <c r="X490" s="945"/>
      <c r="Y490" s="945"/>
      <c r="Z490" s="945"/>
      <c r="AA490" s="945"/>
      <c r="AB490" s="945"/>
    </row>
    <row r="491" ht="20.25" customHeight="1">
      <c r="A491" s="964"/>
      <c r="B491" s="965"/>
      <c r="C491" s="965"/>
      <c r="D491" s="966"/>
      <c r="E491" s="967"/>
      <c r="F491" s="965"/>
      <c r="G491" s="965"/>
      <c r="H491" s="965"/>
      <c r="I491" s="965"/>
      <c r="J491" s="965"/>
      <c r="K491" s="965"/>
      <c r="L491" s="965"/>
      <c r="M491" s="965"/>
      <c r="N491" s="965"/>
      <c r="O491" s="965"/>
      <c r="P491" s="965"/>
      <c r="Q491" s="945"/>
      <c r="R491" s="945"/>
      <c r="S491" s="945"/>
      <c r="T491" s="945"/>
      <c r="U491" s="945"/>
      <c r="V491" s="945"/>
      <c r="W491" s="945"/>
      <c r="X491" s="945"/>
      <c r="Y491" s="945"/>
      <c r="Z491" s="945"/>
      <c r="AA491" s="945"/>
      <c r="AB491" s="945"/>
    </row>
    <row r="492" ht="20.25" customHeight="1">
      <c r="A492" s="964"/>
      <c r="B492" s="965"/>
      <c r="C492" s="965"/>
      <c r="D492" s="966"/>
      <c r="E492" s="967"/>
      <c r="F492" s="965"/>
      <c r="G492" s="965"/>
      <c r="H492" s="965"/>
      <c r="I492" s="965"/>
      <c r="J492" s="965"/>
      <c r="K492" s="965"/>
      <c r="L492" s="965"/>
      <c r="M492" s="965"/>
      <c r="N492" s="965"/>
      <c r="O492" s="965"/>
      <c r="P492" s="965"/>
      <c r="Q492" s="945"/>
      <c r="R492" s="945"/>
      <c r="S492" s="945"/>
      <c r="T492" s="945"/>
      <c r="U492" s="945"/>
      <c r="V492" s="945"/>
      <c r="W492" s="945"/>
      <c r="X492" s="945"/>
      <c r="Y492" s="945"/>
      <c r="Z492" s="945"/>
      <c r="AA492" s="945"/>
      <c r="AB492" s="945"/>
    </row>
    <row r="493" ht="20.25" customHeight="1">
      <c r="A493" s="964"/>
      <c r="B493" s="965"/>
      <c r="C493" s="965"/>
      <c r="D493" s="966"/>
      <c r="E493" s="967"/>
      <c r="F493" s="965"/>
      <c r="G493" s="965"/>
      <c r="H493" s="965"/>
      <c r="I493" s="965"/>
      <c r="J493" s="965"/>
      <c r="K493" s="965"/>
      <c r="L493" s="965"/>
      <c r="M493" s="965"/>
      <c r="N493" s="965"/>
      <c r="O493" s="965"/>
      <c r="P493" s="965"/>
      <c r="Q493" s="945"/>
      <c r="R493" s="945"/>
      <c r="S493" s="945"/>
      <c r="T493" s="945"/>
      <c r="U493" s="945"/>
      <c r="V493" s="945"/>
      <c r="W493" s="945"/>
      <c r="X493" s="945"/>
      <c r="Y493" s="945"/>
      <c r="Z493" s="945"/>
      <c r="AA493" s="945"/>
      <c r="AB493" s="945"/>
    </row>
    <row r="494" ht="20.25" customHeight="1">
      <c r="A494" s="964"/>
      <c r="B494" s="965"/>
      <c r="C494" s="965"/>
      <c r="D494" s="966"/>
      <c r="E494" s="967"/>
      <c r="F494" s="965"/>
      <c r="G494" s="965"/>
      <c r="H494" s="965"/>
      <c r="I494" s="965"/>
      <c r="J494" s="965"/>
      <c r="K494" s="965"/>
      <c r="L494" s="965"/>
      <c r="M494" s="965"/>
      <c r="N494" s="965"/>
      <c r="O494" s="965"/>
      <c r="P494" s="965"/>
      <c r="Q494" s="945"/>
      <c r="R494" s="945"/>
      <c r="S494" s="945"/>
      <c r="T494" s="945"/>
      <c r="U494" s="945"/>
      <c r="V494" s="945"/>
      <c r="W494" s="945"/>
      <c r="X494" s="945"/>
      <c r="Y494" s="945"/>
      <c r="Z494" s="945"/>
      <c r="AA494" s="945"/>
      <c r="AB494" s="945"/>
    </row>
    <row r="495" ht="20.25" customHeight="1">
      <c r="A495" s="964"/>
      <c r="B495" s="965"/>
      <c r="C495" s="965"/>
      <c r="D495" s="966"/>
      <c r="E495" s="967"/>
      <c r="F495" s="965"/>
      <c r="G495" s="965"/>
      <c r="H495" s="965"/>
      <c r="I495" s="965"/>
      <c r="J495" s="965"/>
      <c r="K495" s="965"/>
      <c r="L495" s="965"/>
      <c r="M495" s="965"/>
      <c r="N495" s="965"/>
      <c r="O495" s="965"/>
      <c r="P495" s="965"/>
      <c r="Q495" s="945"/>
      <c r="R495" s="945"/>
      <c r="S495" s="945"/>
      <c r="T495" s="945"/>
      <c r="U495" s="945"/>
      <c r="V495" s="945"/>
      <c r="W495" s="945"/>
      <c r="X495" s="945"/>
      <c r="Y495" s="945"/>
      <c r="Z495" s="945"/>
      <c r="AA495" s="945"/>
      <c r="AB495" s="945"/>
    </row>
    <row r="496" ht="20.25" customHeight="1">
      <c r="A496" s="964"/>
      <c r="B496" s="965"/>
      <c r="C496" s="965"/>
      <c r="D496" s="966"/>
      <c r="E496" s="967"/>
      <c r="F496" s="965"/>
      <c r="G496" s="965"/>
      <c r="H496" s="965"/>
      <c r="I496" s="965"/>
      <c r="J496" s="965"/>
      <c r="K496" s="965"/>
      <c r="L496" s="965"/>
      <c r="M496" s="965"/>
      <c r="N496" s="965"/>
      <c r="O496" s="965"/>
      <c r="P496" s="965"/>
      <c r="Q496" s="945"/>
      <c r="R496" s="945"/>
      <c r="S496" s="945"/>
      <c r="T496" s="945"/>
      <c r="U496" s="945"/>
      <c r="V496" s="945"/>
      <c r="W496" s="945"/>
      <c r="X496" s="945"/>
      <c r="Y496" s="945"/>
      <c r="Z496" s="945"/>
      <c r="AA496" s="945"/>
      <c r="AB496" s="945"/>
    </row>
    <row r="497" ht="20.25" customHeight="1">
      <c r="A497" s="964"/>
      <c r="B497" s="965"/>
      <c r="C497" s="965"/>
      <c r="D497" s="966"/>
      <c r="E497" s="967"/>
      <c r="F497" s="965"/>
      <c r="G497" s="965"/>
      <c r="H497" s="965"/>
      <c r="I497" s="965"/>
      <c r="J497" s="965"/>
      <c r="K497" s="965"/>
      <c r="L497" s="965"/>
      <c r="M497" s="965"/>
      <c r="N497" s="965"/>
      <c r="O497" s="965"/>
      <c r="P497" s="965"/>
      <c r="Q497" s="945"/>
      <c r="R497" s="945"/>
      <c r="S497" s="945"/>
      <c r="T497" s="945"/>
      <c r="U497" s="945"/>
      <c r="V497" s="945"/>
      <c r="W497" s="945"/>
      <c r="X497" s="945"/>
      <c r="Y497" s="945"/>
      <c r="Z497" s="945"/>
      <c r="AA497" s="945"/>
      <c r="AB497" s="945"/>
    </row>
    <row r="498" ht="20.25" customHeight="1">
      <c r="A498" s="964"/>
      <c r="B498" s="965"/>
      <c r="C498" s="965"/>
      <c r="D498" s="966"/>
      <c r="E498" s="967"/>
      <c r="F498" s="965"/>
      <c r="G498" s="965"/>
      <c r="H498" s="965"/>
      <c r="I498" s="965"/>
      <c r="J498" s="965"/>
      <c r="K498" s="965"/>
      <c r="L498" s="965"/>
      <c r="M498" s="965"/>
      <c r="N498" s="965"/>
      <c r="O498" s="965"/>
      <c r="P498" s="965"/>
      <c r="Q498" s="945"/>
      <c r="R498" s="945"/>
      <c r="S498" s="945"/>
      <c r="T498" s="945"/>
      <c r="U498" s="945"/>
      <c r="V498" s="945"/>
      <c r="W498" s="945"/>
      <c r="X498" s="945"/>
      <c r="Y498" s="945"/>
      <c r="Z498" s="945"/>
      <c r="AA498" s="945"/>
      <c r="AB498" s="945"/>
    </row>
    <row r="499" ht="20.25" customHeight="1">
      <c r="A499" s="964"/>
      <c r="B499" s="965"/>
      <c r="C499" s="965"/>
      <c r="D499" s="966"/>
      <c r="E499" s="967"/>
      <c r="F499" s="965"/>
      <c r="G499" s="965"/>
      <c r="H499" s="965"/>
      <c r="I499" s="965"/>
      <c r="J499" s="965"/>
      <c r="K499" s="965"/>
      <c r="L499" s="965"/>
      <c r="M499" s="965"/>
      <c r="N499" s="965"/>
      <c r="O499" s="965"/>
      <c r="P499" s="965"/>
      <c r="Q499" s="945"/>
      <c r="R499" s="945"/>
      <c r="S499" s="945"/>
      <c r="T499" s="945"/>
      <c r="U499" s="945"/>
      <c r="V499" s="945"/>
      <c r="W499" s="945"/>
      <c r="X499" s="945"/>
      <c r="Y499" s="945"/>
      <c r="Z499" s="945"/>
      <c r="AA499" s="945"/>
      <c r="AB499" s="945"/>
    </row>
    <row r="500" ht="20.25" customHeight="1">
      <c r="A500" s="964"/>
      <c r="B500" s="965"/>
      <c r="C500" s="965"/>
      <c r="D500" s="966"/>
      <c r="E500" s="967"/>
      <c r="F500" s="965"/>
      <c r="G500" s="965"/>
      <c r="H500" s="965"/>
      <c r="I500" s="965"/>
      <c r="J500" s="965"/>
      <c r="K500" s="965"/>
      <c r="L500" s="965"/>
      <c r="M500" s="965"/>
      <c r="N500" s="965"/>
      <c r="O500" s="965"/>
      <c r="P500" s="965"/>
      <c r="Q500" s="945"/>
      <c r="R500" s="945"/>
      <c r="S500" s="945"/>
      <c r="T500" s="945"/>
      <c r="U500" s="945"/>
      <c r="V500" s="945"/>
      <c r="W500" s="945"/>
      <c r="X500" s="945"/>
      <c r="Y500" s="945"/>
      <c r="Z500" s="945"/>
      <c r="AA500" s="945"/>
      <c r="AB500" s="945"/>
    </row>
    <row r="501" ht="20.25" customHeight="1">
      <c r="A501" s="964"/>
      <c r="B501" s="965"/>
      <c r="C501" s="965"/>
      <c r="D501" s="966"/>
      <c r="E501" s="967"/>
      <c r="F501" s="965"/>
      <c r="G501" s="965"/>
      <c r="H501" s="965"/>
      <c r="I501" s="965"/>
      <c r="J501" s="965"/>
      <c r="K501" s="965"/>
      <c r="L501" s="965"/>
      <c r="M501" s="965"/>
      <c r="N501" s="965"/>
      <c r="O501" s="965"/>
      <c r="P501" s="965"/>
      <c r="Q501" s="945"/>
      <c r="R501" s="945"/>
      <c r="S501" s="945"/>
      <c r="T501" s="945"/>
      <c r="U501" s="945"/>
      <c r="V501" s="945"/>
      <c r="W501" s="945"/>
      <c r="X501" s="945"/>
      <c r="Y501" s="945"/>
      <c r="Z501" s="945"/>
      <c r="AA501" s="945"/>
      <c r="AB501" s="945"/>
    </row>
    <row r="502" ht="20.25" customHeight="1">
      <c r="A502" s="964"/>
      <c r="B502" s="965"/>
      <c r="C502" s="965"/>
      <c r="D502" s="966"/>
      <c r="E502" s="967"/>
      <c r="F502" s="965"/>
      <c r="G502" s="965"/>
      <c r="H502" s="965"/>
      <c r="I502" s="965"/>
      <c r="J502" s="965"/>
      <c r="K502" s="965"/>
      <c r="L502" s="965"/>
      <c r="M502" s="965"/>
      <c r="N502" s="965"/>
      <c r="O502" s="965"/>
      <c r="P502" s="965"/>
      <c r="Q502" s="945"/>
      <c r="R502" s="945"/>
      <c r="S502" s="945"/>
      <c r="T502" s="945"/>
      <c r="U502" s="945"/>
      <c r="V502" s="945"/>
      <c r="W502" s="945"/>
      <c r="X502" s="945"/>
      <c r="Y502" s="945"/>
      <c r="Z502" s="945"/>
      <c r="AA502" s="945"/>
      <c r="AB502" s="945"/>
    </row>
    <row r="503" ht="20.25" customHeight="1">
      <c r="A503" s="964"/>
      <c r="B503" s="965"/>
      <c r="C503" s="965"/>
      <c r="D503" s="966"/>
      <c r="E503" s="967"/>
      <c r="F503" s="965"/>
      <c r="G503" s="965"/>
      <c r="H503" s="965"/>
      <c r="I503" s="965"/>
      <c r="J503" s="965"/>
      <c r="K503" s="965"/>
      <c r="L503" s="965"/>
      <c r="M503" s="965"/>
      <c r="N503" s="965"/>
      <c r="O503" s="965"/>
      <c r="P503" s="965"/>
      <c r="Q503" s="945"/>
      <c r="R503" s="945"/>
      <c r="S503" s="945"/>
      <c r="T503" s="945"/>
      <c r="U503" s="945"/>
      <c r="V503" s="945"/>
      <c r="W503" s="945"/>
      <c r="X503" s="945"/>
      <c r="Y503" s="945"/>
      <c r="Z503" s="945"/>
      <c r="AA503" s="945"/>
      <c r="AB503" s="945"/>
    </row>
    <row r="504" ht="20.25" customHeight="1">
      <c r="A504" s="964"/>
      <c r="B504" s="965"/>
      <c r="C504" s="965"/>
      <c r="D504" s="966"/>
      <c r="E504" s="967"/>
      <c r="F504" s="965"/>
      <c r="G504" s="965"/>
      <c r="H504" s="965"/>
      <c r="I504" s="965"/>
      <c r="J504" s="965"/>
      <c r="K504" s="965"/>
      <c r="L504" s="965"/>
      <c r="M504" s="965"/>
      <c r="N504" s="965"/>
      <c r="O504" s="965"/>
      <c r="P504" s="965"/>
      <c r="Q504" s="945"/>
      <c r="R504" s="945"/>
      <c r="S504" s="945"/>
      <c r="T504" s="945"/>
      <c r="U504" s="945"/>
      <c r="V504" s="945"/>
      <c r="W504" s="945"/>
      <c r="X504" s="945"/>
      <c r="Y504" s="945"/>
      <c r="Z504" s="945"/>
      <c r="AA504" s="945"/>
      <c r="AB504" s="945"/>
    </row>
    <row r="505" ht="20.25" customHeight="1">
      <c r="A505" s="964"/>
      <c r="B505" s="965"/>
      <c r="C505" s="965"/>
      <c r="D505" s="966"/>
      <c r="E505" s="967"/>
      <c r="F505" s="965"/>
      <c r="G505" s="965"/>
      <c r="H505" s="965"/>
      <c r="I505" s="965"/>
      <c r="J505" s="965"/>
      <c r="K505" s="965"/>
      <c r="L505" s="965"/>
      <c r="M505" s="965"/>
      <c r="N505" s="965"/>
      <c r="O505" s="965"/>
      <c r="P505" s="965"/>
      <c r="Q505" s="945"/>
      <c r="R505" s="945"/>
      <c r="S505" s="945"/>
      <c r="T505" s="945"/>
      <c r="U505" s="945"/>
      <c r="V505" s="945"/>
      <c r="W505" s="945"/>
      <c r="X505" s="945"/>
      <c r="Y505" s="945"/>
      <c r="Z505" s="945"/>
      <c r="AA505" s="945"/>
      <c r="AB505" s="945"/>
    </row>
    <row r="506" ht="20.25" customHeight="1">
      <c r="A506" s="964"/>
      <c r="B506" s="965"/>
      <c r="C506" s="965"/>
      <c r="D506" s="966"/>
      <c r="E506" s="967"/>
      <c r="F506" s="965"/>
      <c r="G506" s="965"/>
      <c r="H506" s="965"/>
      <c r="I506" s="965"/>
      <c r="J506" s="965"/>
      <c r="K506" s="965"/>
      <c r="L506" s="965"/>
      <c r="M506" s="965"/>
      <c r="N506" s="965"/>
      <c r="O506" s="965"/>
      <c r="P506" s="965"/>
      <c r="Q506" s="945"/>
      <c r="R506" s="945"/>
      <c r="S506" s="945"/>
      <c r="T506" s="945"/>
      <c r="U506" s="945"/>
      <c r="V506" s="945"/>
      <c r="W506" s="945"/>
      <c r="X506" s="945"/>
      <c r="Y506" s="945"/>
      <c r="Z506" s="945"/>
      <c r="AA506" s="945"/>
      <c r="AB506" s="945"/>
    </row>
    <row r="507" ht="20.25" customHeight="1">
      <c r="A507" s="964"/>
      <c r="B507" s="965"/>
      <c r="C507" s="965"/>
      <c r="D507" s="966"/>
      <c r="E507" s="967"/>
      <c r="F507" s="965"/>
      <c r="G507" s="965"/>
      <c r="H507" s="965"/>
      <c r="I507" s="965"/>
      <c r="J507" s="965"/>
      <c r="K507" s="965"/>
      <c r="L507" s="965"/>
      <c r="M507" s="965"/>
      <c r="N507" s="965"/>
      <c r="O507" s="965"/>
      <c r="P507" s="965"/>
      <c r="Q507" s="945"/>
      <c r="R507" s="945"/>
      <c r="S507" s="945"/>
      <c r="T507" s="945"/>
      <c r="U507" s="945"/>
      <c r="V507" s="945"/>
      <c r="W507" s="945"/>
      <c r="X507" s="945"/>
      <c r="Y507" s="945"/>
      <c r="Z507" s="945"/>
      <c r="AA507" s="945"/>
      <c r="AB507" s="945"/>
    </row>
    <row r="508" ht="20.25" customHeight="1">
      <c r="A508" s="964"/>
      <c r="B508" s="965"/>
      <c r="C508" s="965"/>
      <c r="D508" s="966"/>
      <c r="E508" s="967"/>
      <c r="F508" s="965"/>
      <c r="G508" s="965"/>
      <c r="H508" s="965"/>
      <c r="I508" s="965"/>
      <c r="J508" s="965"/>
      <c r="K508" s="965"/>
      <c r="L508" s="965"/>
      <c r="M508" s="965"/>
      <c r="N508" s="965"/>
      <c r="O508" s="965"/>
      <c r="P508" s="965"/>
      <c r="Q508" s="945"/>
      <c r="R508" s="945"/>
      <c r="S508" s="945"/>
      <c r="T508" s="945"/>
      <c r="U508" s="945"/>
      <c r="V508" s="945"/>
      <c r="W508" s="945"/>
      <c r="X508" s="945"/>
      <c r="Y508" s="945"/>
      <c r="Z508" s="945"/>
      <c r="AA508" s="945"/>
      <c r="AB508" s="945"/>
    </row>
    <row r="509" ht="20.25" customHeight="1">
      <c r="A509" s="964"/>
      <c r="B509" s="965"/>
      <c r="C509" s="965"/>
      <c r="D509" s="966"/>
      <c r="E509" s="967"/>
      <c r="F509" s="965"/>
      <c r="G509" s="965"/>
      <c r="H509" s="965"/>
      <c r="I509" s="965"/>
      <c r="J509" s="965"/>
      <c r="K509" s="965"/>
      <c r="L509" s="965"/>
      <c r="M509" s="965"/>
      <c r="N509" s="965"/>
      <c r="O509" s="965"/>
      <c r="P509" s="965"/>
      <c r="Q509" s="945"/>
      <c r="R509" s="945"/>
      <c r="S509" s="945"/>
      <c r="T509" s="945"/>
      <c r="U509" s="945"/>
      <c r="V509" s="945"/>
      <c r="W509" s="945"/>
      <c r="X509" s="945"/>
      <c r="Y509" s="945"/>
      <c r="Z509" s="945"/>
      <c r="AA509" s="945"/>
      <c r="AB509" s="945"/>
    </row>
    <row r="510" ht="20.25" customHeight="1">
      <c r="A510" s="964"/>
      <c r="B510" s="965"/>
      <c r="C510" s="965"/>
      <c r="D510" s="966"/>
      <c r="E510" s="967"/>
      <c r="F510" s="965"/>
      <c r="G510" s="965"/>
      <c r="H510" s="965"/>
      <c r="I510" s="965"/>
      <c r="J510" s="965"/>
      <c r="K510" s="965"/>
      <c r="L510" s="965"/>
      <c r="M510" s="965"/>
      <c r="N510" s="965"/>
      <c r="O510" s="965"/>
      <c r="P510" s="965"/>
      <c r="Q510" s="945"/>
      <c r="R510" s="945"/>
      <c r="S510" s="945"/>
      <c r="T510" s="945"/>
      <c r="U510" s="945"/>
      <c r="V510" s="945"/>
      <c r="W510" s="945"/>
      <c r="X510" s="945"/>
      <c r="Y510" s="945"/>
      <c r="Z510" s="945"/>
      <c r="AA510" s="945"/>
      <c r="AB510" s="945"/>
    </row>
    <row r="511" ht="20.25" customHeight="1">
      <c r="A511" s="964"/>
      <c r="B511" s="965"/>
      <c r="C511" s="965"/>
      <c r="D511" s="966"/>
      <c r="E511" s="967"/>
      <c r="F511" s="965"/>
      <c r="G511" s="965"/>
      <c r="H511" s="965"/>
      <c r="I511" s="965"/>
      <c r="J511" s="965"/>
      <c r="K511" s="965"/>
      <c r="L511" s="965"/>
      <c r="M511" s="965"/>
      <c r="N511" s="965"/>
      <c r="O511" s="965"/>
      <c r="P511" s="965"/>
      <c r="Q511" s="945"/>
      <c r="R511" s="945"/>
      <c r="S511" s="945"/>
      <c r="T511" s="945"/>
      <c r="U511" s="945"/>
      <c r="V511" s="945"/>
      <c r="W511" s="945"/>
      <c r="X511" s="945"/>
      <c r="Y511" s="945"/>
      <c r="Z511" s="945"/>
      <c r="AA511" s="945"/>
      <c r="AB511" s="945"/>
    </row>
    <row r="512" ht="20.25" customHeight="1">
      <c r="A512" s="964"/>
      <c r="B512" s="965"/>
      <c r="C512" s="965"/>
      <c r="D512" s="966"/>
      <c r="E512" s="967"/>
      <c r="F512" s="965"/>
      <c r="G512" s="965"/>
      <c r="H512" s="965"/>
      <c r="I512" s="965"/>
      <c r="J512" s="965"/>
      <c r="K512" s="965"/>
      <c r="L512" s="965"/>
      <c r="M512" s="965"/>
      <c r="N512" s="965"/>
      <c r="O512" s="965"/>
      <c r="P512" s="965"/>
      <c r="Q512" s="945"/>
      <c r="R512" s="945"/>
      <c r="S512" s="945"/>
      <c r="T512" s="945"/>
      <c r="U512" s="945"/>
      <c r="V512" s="945"/>
      <c r="W512" s="945"/>
      <c r="X512" s="945"/>
      <c r="Y512" s="945"/>
      <c r="Z512" s="945"/>
      <c r="AA512" s="945"/>
      <c r="AB512" s="945"/>
    </row>
    <row r="513" ht="20.25" customHeight="1">
      <c r="A513" s="964"/>
      <c r="B513" s="965"/>
      <c r="C513" s="965"/>
      <c r="D513" s="966"/>
      <c r="E513" s="967"/>
      <c r="F513" s="965"/>
      <c r="G513" s="965"/>
      <c r="H513" s="965"/>
      <c r="I513" s="965"/>
      <c r="J513" s="965"/>
      <c r="K513" s="965"/>
      <c r="L513" s="965"/>
      <c r="M513" s="965"/>
      <c r="N513" s="965"/>
      <c r="O513" s="965"/>
      <c r="P513" s="965"/>
      <c r="Q513" s="945"/>
      <c r="R513" s="945"/>
      <c r="S513" s="945"/>
      <c r="T513" s="945"/>
      <c r="U513" s="945"/>
      <c r="V513" s="945"/>
      <c r="W513" s="945"/>
      <c r="X513" s="945"/>
      <c r="Y513" s="945"/>
      <c r="Z513" s="945"/>
      <c r="AA513" s="945"/>
      <c r="AB513" s="945"/>
    </row>
    <row r="514" ht="20.25" customHeight="1">
      <c r="A514" s="964"/>
      <c r="B514" s="965"/>
      <c r="C514" s="965"/>
      <c r="D514" s="966"/>
      <c r="E514" s="967"/>
      <c r="F514" s="965"/>
      <c r="G514" s="965"/>
      <c r="H514" s="965"/>
      <c r="I514" s="965"/>
      <c r="J514" s="965"/>
      <c r="K514" s="965"/>
      <c r="L514" s="965"/>
      <c r="M514" s="965"/>
      <c r="N514" s="965"/>
      <c r="O514" s="965"/>
      <c r="P514" s="965"/>
      <c r="Q514" s="945"/>
      <c r="R514" s="945"/>
      <c r="S514" s="945"/>
      <c r="T514" s="945"/>
      <c r="U514" s="945"/>
      <c r="V514" s="945"/>
      <c r="W514" s="945"/>
      <c r="X514" s="945"/>
      <c r="Y514" s="945"/>
      <c r="Z514" s="945"/>
      <c r="AA514" s="945"/>
      <c r="AB514" s="945"/>
    </row>
    <row r="515" ht="20.25" customHeight="1">
      <c r="A515" s="964"/>
      <c r="B515" s="965"/>
      <c r="C515" s="965"/>
      <c r="D515" s="966"/>
      <c r="E515" s="967"/>
      <c r="F515" s="965"/>
      <c r="G515" s="965"/>
      <c r="H515" s="965"/>
      <c r="I515" s="965"/>
      <c r="J515" s="965"/>
      <c r="K515" s="965"/>
      <c r="L515" s="965"/>
      <c r="M515" s="965"/>
      <c r="N515" s="965"/>
      <c r="O515" s="965"/>
      <c r="P515" s="965"/>
      <c r="Q515" s="945"/>
      <c r="R515" s="945"/>
      <c r="S515" s="945"/>
      <c r="T515" s="945"/>
      <c r="U515" s="945"/>
      <c r="V515" s="945"/>
      <c r="W515" s="945"/>
      <c r="X515" s="945"/>
      <c r="Y515" s="945"/>
      <c r="Z515" s="945"/>
      <c r="AA515" s="945"/>
      <c r="AB515" s="945"/>
    </row>
    <row r="516" ht="20.25" customHeight="1">
      <c r="A516" s="964"/>
      <c r="B516" s="965"/>
      <c r="C516" s="965"/>
      <c r="D516" s="966"/>
      <c r="E516" s="967"/>
      <c r="F516" s="965"/>
      <c r="G516" s="965"/>
      <c r="H516" s="965"/>
      <c r="I516" s="965"/>
      <c r="J516" s="965"/>
      <c r="K516" s="965"/>
      <c r="L516" s="965"/>
      <c r="M516" s="965"/>
      <c r="N516" s="965"/>
      <c r="O516" s="965"/>
      <c r="P516" s="965"/>
      <c r="Q516" s="945"/>
      <c r="R516" s="945"/>
      <c r="S516" s="945"/>
      <c r="T516" s="945"/>
      <c r="U516" s="945"/>
      <c r="V516" s="945"/>
      <c r="W516" s="945"/>
      <c r="X516" s="945"/>
      <c r="Y516" s="945"/>
      <c r="Z516" s="945"/>
      <c r="AA516" s="945"/>
      <c r="AB516" s="945"/>
    </row>
    <row r="517" ht="20.25" customHeight="1">
      <c r="A517" s="964"/>
      <c r="B517" s="965"/>
      <c r="C517" s="965"/>
      <c r="D517" s="966"/>
      <c r="E517" s="967"/>
      <c r="F517" s="965"/>
      <c r="G517" s="965"/>
      <c r="H517" s="965"/>
      <c r="I517" s="965"/>
      <c r="J517" s="965"/>
      <c r="K517" s="965"/>
      <c r="L517" s="965"/>
      <c r="M517" s="965"/>
      <c r="N517" s="965"/>
      <c r="O517" s="965"/>
      <c r="P517" s="965"/>
      <c r="Q517" s="945"/>
      <c r="R517" s="945"/>
      <c r="S517" s="945"/>
      <c r="T517" s="945"/>
      <c r="U517" s="945"/>
      <c r="V517" s="945"/>
      <c r="W517" s="945"/>
      <c r="X517" s="945"/>
      <c r="Y517" s="945"/>
      <c r="Z517" s="945"/>
      <c r="AA517" s="945"/>
      <c r="AB517" s="945"/>
    </row>
    <row r="518" ht="20.25" customHeight="1">
      <c r="A518" s="964"/>
      <c r="B518" s="965"/>
      <c r="C518" s="965"/>
      <c r="D518" s="966"/>
      <c r="E518" s="967"/>
      <c r="F518" s="965"/>
      <c r="G518" s="965"/>
      <c r="H518" s="965"/>
      <c r="I518" s="965"/>
      <c r="J518" s="965"/>
      <c r="K518" s="965"/>
      <c r="L518" s="965"/>
      <c r="M518" s="965"/>
      <c r="N518" s="965"/>
      <c r="O518" s="965"/>
      <c r="P518" s="965"/>
      <c r="Q518" s="945"/>
      <c r="R518" s="945"/>
      <c r="S518" s="945"/>
      <c r="T518" s="945"/>
      <c r="U518" s="945"/>
      <c r="V518" s="945"/>
      <c r="W518" s="945"/>
      <c r="X518" s="945"/>
      <c r="Y518" s="945"/>
      <c r="Z518" s="945"/>
      <c r="AA518" s="945"/>
      <c r="AB518" s="945"/>
    </row>
    <row r="519" ht="20.25" customHeight="1">
      <c r="A519" s="964"/>
      <c r="B519" s="965"/>
      <c r="C519" s="965"/>
      <c r="D519" s="966"/>
      <c r="E519" s="967"/>
      <c r="F519" s="965"/>
      <c r="G519" s="965"/>
      <c r="H519" s="965"/>
      <c r="I519" s="965"/>
      <c r="J519" s="965"/>
      <c r="K519" s="965"/>
      <c r="L519" s="965"/>
      <c r="M519" s="965"/>
      <c r="N519" s="965"/>
      <c r="O519" s="965"/>
      <c r="P519" s="965"/>
      <c r="Q519" s="945"/>
      <c r="R519" s="945"/>
      <c r="S519" s="945"/>
      <c r="T519" s="945"/>
      <c r="U519" s="945"/>
      <c r="V519" s="945"/>
      <c r="W519" s="945"/>
      <c r="X519" s="945"/>
      <c r="Y519" s="945"/>
      <c r="Z519" s="945"/>
      <c r="AA519" s="945"/>
      <c r="AB519" s="945"/>
    </row>
    <row r="520" ht="20.25" customHeight="1">
      <c r="A520" s="964"/>
      <c r="B520" s="965"/>
      <c r="C520" s="965"/>
      <c r="D520" s="966"/>
      <c r="E520" s="967"/>
      <c r="F520" s="965"/>
      <c r="G520" s="965"/>
      <c r="H520" s="965"/>
      <c r="I520" s="965"/>
      <c r="J520" s="965"/>
      <c r="K520" s="965"/>
      <c r="L520" s="965"/>
      <c r="M520" s="965"/>
      <c r="N520" s="965"/>
      <c r="O520" s="965"/>
      <c r="P520" s="965"/>
      <c r="Q520" s="945"/>
      <c r="R520" s="945"/>
      <c r="S520" s="945"/>
      <c r="T520" s="945"/>
      <c r="U520" s="945"/>
      <c r="V520" s="945"/>
      <c r="W520" s="945"/>
      <c r="X520" s="945"/>
      <c r="Y520" s="945"/>
      <c r="Z520" s="945"/>
      <c r="AA520" s="945"/>
      <c r="AB520" s="945"/>
    </row>
    <row r="521" ht="20.25" customHeight="1">
      <c r="A521" s="964"/>
      <c r="B521" s="965"/>
      <c r="C521" s="965"/>
      <c r="D521" s="966"/>
      <c r="E521" s="967"/>
      <c r="F521" s="965"/>
      <c r="G521" s="965"/>
      <c r="H521" s="965"/>
      <c r="I521" s="965"/>
      <c r="J521" s="965"/>
      <c r="K521" s="965"/>
      <c r="L521" s="965"/>
      <c r="M521" s="965"/>
      <c r="N521" s="965"/>
      <c r="O521" s="965"/>
      <c r="P521" s="965"/>
      <c r="Q521" s="945"/>
      <c r="R521" s="945"/>
      <c r="S521" s="945"/>
      <c r="T521" s="945"/>
      <c r="U521" s="945"/>
      <c r="V521" s="945"/>
      <c r="W521" s="945"/>
      <c r="X521" s="945"/>
      <c r="Y521" s="945"/>
      <c r="Z521" s="945"/>
      <c r="AA521" s="945"/>
      <c r="AB521" s="945"/>
    </row>
    <row r="522" ht="20.25" customHeight="1">
      <c r="A522" s="964"/>
      <c r="B522" s="965"/>
      <c r="C522" s="965"/>
      <c r="D522" s="966"/>
      <c r="E522" s="967"/>
      <c r="F522" s="965"/>
      <c r="G522" s="965"/>
      <c r="H522" s="965"/>
      <c r="I522" s="965"/>
      <c r="J522" s="965"/>
      <c r="K522" s="965"/>
      <c r="L522" s="965"/>
      <c r="M522" s="965"/>
      <c r="N522" s="965"/>
      <c r="O522" s="965"/>
      <c r="P522" s="965"/>
      <c r="Q522" s="945"/>
      <c r="R522" s="945"/>
      <c r="S522" s="945"/>
      <c r="T522" s="945"/>
      <c r="U522" s="945"/>
      <c r="V522" s="945"/>
      <c r="W522" s="945"/>
      <c r="X522" s="945"/>
      <c r="Y522" s="945"/>
      <c r="Z522" s="945"/>
      <c r="AA522" s="945"/>
      <c r="AB522" s="945"/>
    </row>
    <row r="523" ht="20.25" customHeight="1">
      <c r="A523" s="964"/>
      <c r="B523" s="965"/>
      <c r="C523" s="965"/>
      <c r="D523" s="966"/>
      <c r="E523" s="967"/>
      <c r="F523" s="965"/>
      <c r="G523" s="965"/>
      <c r="H523" s="965"/>
      <c r="I523" s="965"/>
      <c r="J523" s="965"/>
      <c r="K523" s="965"/>
      <c r="L523" s="965"/>
      <c r="M523" s="965"/>
      <c r="N523" s="965"/>
      <c r="O523" s="965"/>
      <c r="P523" s="965"/>
      <c r="Q523" s="945"/>
      <c r="R523" s="945"/>
      <c r="S523" s="945"/>
      <c r="T523" s="945"/>
      <c r="U523" s="945"/>
      <c r="V523" s="945"/>
      <c r="W523" s="945"/>
      <c r="X523" s="945"/>
      <c r="Y523" s="945"/>
      <c r="Z523" s="945"/>
      <c r="AA523" s="945"/>
      <c r="AB523" s="945"/>
    </row>
    <row r="524" ht="20.25" customHeight="1">
      <c r="A524" s="964"/>
      <c r="B524" s="965"/>
      <c r="C524" s="965"/>
      <c r="D524" s="966"/>
      <c r="E524" s="967"/>
      <c r="F524" s="965"/>
      <c r="G524" s="965"/>
      <c r="H524" s="965"/>
      <c r="I524" s="965"/>
      <c r="J524" s="965"/>
      <c r="K524" s="965"/>
      <c r="L524" s="965"/>
      <c r="M524" s="965"/>
      <c r="N524" s="965"/>
      <c r="O524" s="965"/>
      <c r="P524" s="965"/>
      <c r="Q524" s="945"/>
      <c r="R524" s="945"/>
      <c r="S524" s="945"/>
      <c r="T524" s="945"/>
      <c r="U524" s="945"/>
      <c r="V524" s="945"/>
      <c r="W524" s="945"/>
      <c r="X524" s="945"/>
      <c r="Y524" s="945"/>
      <c r="Z524" s="945"/>
      <c r="AA524" s="945"/>
      <c r="AB524" s="945"/>
    </row>
    <row r="525" ht="20.25" customHeight="1">
      <c r="A525" s="964"/>
      <c r="B525" s="965"/>
      <c r="C525" s="965"/>
      <c r="D525" s="966"/>
      <c r="E525" s="967"/>
      <c r="F525" s="965"/>
      <c r="G525" s="965"/>
      <c r="H525" s="965"/>
      <c r="I525" s="965"/>
      <c r="J525" s="965"/>
      <c r="K525" s="965"/>
      <c r="L525" s="965"/>
      <c r="M525" s="965"/>
      <c r="N525" s="965"/>
      <c r="O525" s="965"/>
      <c r="P525" s="965"/>
      <c r="Q525" s="945"/>
      <c r="R525" s="945"/>
      <c r="S525" s="945"/>
      <c r="T525" s="945"/>
      <c r="U525" s="945"/>
      <c r="V525" s="945"/>
      <c r="W525" s="945"/>
      <c r="X525" s="945"/>
      <c r="Y525" s="945"/>
      <c r="Z525" s="945"/>
      <c r="AA525" s="945"/>
      <c r="AB525" s="945"/>
    </row>
    <row r="526" ht="20.25" customHeight="1">
      <c r="A526" s="964"/>
      <c r="B526" s="965"/>
      <c r="C526" s="965"/>
      <c r="D526" s="966"/>
      <c r="E526" s="967"/>
      <c r="F526" s="965"/>
      <c r="G526" s="965"/>
      <c r="H526" s="965"/>
      <c r="I526" s="965"/>
      <c r="J526" s="965"/>
      <c r="K526" s="965"/>
      <c r="L526" s="965"/>
      <c r="M526" s="965"/>
      <c r="N526" s="965"/>
      <c r="O526" s="965"/>
      <c r="P526" s="965"/>
      <c r="Q526" s="945"/>
      <c r="R526" s="945"/>
      <c r="S526" s="945"/>
      <c r="T526" s="945"/>
      <c r="U526" s="945"/>
      <c r="V526" s="945"/>
      <c r="W526" s="945"/>
      <c r="X526" s="945"/>
      <c r="Y526" s="945"/>
      <c r="Z526" s="945"/>
      <c r="AA526" s="945"/>
      <c r="AB526" s="945"/>
    </row>
    <row r="527" ht="20.25" customHeight="1">
      <c r="A527" s="964"/>
      <c r="B527" s="965"/>
      <c r="C527" s="965"/>
      <c r="D527" s="966"/>
      <c r="E527" s="967"/>
      <c r="F527" s="965"/>
      <c r="G527" s="965"/>
      <c r="H527" s="965"/>
      <c r="I527" s="965"/>
      <c r="J527" s="965"/>
      <c r="K527" s="965"/>
      <c r="L527" s="965"/>
      <c r="M527" s="965"/>
      <c r="N527" s="965"/>
      <c r="O527" s="965"/>
      <c r="P527" s="965"/>
      <c r="Q527" s="945"/>
      <c r="R527" s="945"/>
      <c r="S527" s="945"/>
      <c r="T527" s="945"/>
      <c r="U527" s="945"/>
      <c r="V527" s="945"/>
      <c r="W527" s="945"/>
      <c r="X527" s="945"/>
      <c r="Y527" s="945"/>
      <c r="Z527" s="945"/>
      <c r="AA527" s="945"/>
      <c r="AB527" s="945"/>
    </row>
    <row r="528" ht="20.25" customHeight="1">
      <c r="A528" s="964"/>
      <c r="B528" s="965"/>
      <c r="C528" s="965"/>
      <c r="D528" s="966"/>
      <c r="E528" s="967"/>
      <c r="F528" s="965"/>
      <c r="G528" s="965"/>
      <c r="H528" s="965"/>
      <c r="I528" s="965"/>
      <c r="J528" s="965"/>
      <c r="K528" s="965"/>
      <c r="L528" s="965"/>
      <c r="M528" s="965"/>
      <c r="N528" s="965"/>
      <c r="O528" s="965"/>
      <c r="P528" s="965"/>
      <c r="Q528" s="945"/>
      <c r="R528" s="945"/>
      <c r="S528" s="945"/>
      <c r="T528" s="945"/>
      <c r="U528" s="945"/>
      <c r="V528" s="945"/>
      <c r="W528" s="945"/>
      <c r="X528" s="945"/>
      <c r="Y528" s="945"/>
      <c r="Z528" s="945"/>
      <c r="AA528" s="945"/>
      <c r="AB528" s="945"/>
    </row>
    <row r="529" ht="20.25" customHeight="1">
      <c r="A529" s="964"/>
      <c r="B529" s="965"/>
      <c r="C529" s="965"/>
      <c r="D529" s="966"/>
      <c r="E529" s="967"/>
      <c r="F529" s="965"/>
      <c r="G529" s="965"/>
      <c r="H529" s="965"/>
      <c r="I529" s="965"/>
      <c r="J529" s="965"/>
      <c r="K529" s="965"/>
      <c r="L529" s="965"/>
      <c r="M529" s="965"/>
      <c r="N529" s="965"/>
      <c r="O529" s="965"/>
      <c r="P529" s="965"/>
      <c r="Q529" s="945"/>
      <c r="R529" s="945"/>
      <c r="S529" s="945"/>
      <c r="T529" s="945"/>
      <c r="U529" s="945"/>
      <c r="V529" s="945"/>
      <c r="W529" s="945"/>
      <c r="X529" s="945"/>
      <c r="Y529" s="945"/>
      <c r="Z529" s="945"/>
      <c r="AA529" s="945"/>
      <c r="AB529" s="945"/>
    </row>
    <row r="530" ht="20.25" customHeight="1">
      <c r="A530" s="964"/>
      <c r="B530" s="965"/>
      <c r="C530" s="965"/>
      <c r="D530" s="966"/>
      <c r="E530" s="967"/>
      <c r="F530" s="965"/>
      <c r="G530" s="965"/>
      <c r="H530" s="965"/>
      <c r="I530" s="965"/>
      <c r="J530" s="965"/>
      <c r="K530" s="965"/>
      <c r="L530" s="965"/>
      <c r="M530" s="965"/>
      <c r="N530" s="965"/>
      <c r="O530" s="965"/>
      <c r="P530" s="965"/>
      <c r="Q530" s="945"/>
      <c r="R530" s="945"/>
      <c r="S530" s="945"/>
      <c r="T530" s="945"/>
      <c r="U530" s="945"/>
      <c r="V530" s="945"/>
      <c r="W530" s="945"/>
      <c r="X530" s="945"/>
      <c r="Y530" s="945"/>
      <c r="Z530" s="945"/>
      <c r="AA530" s="945"/>
      <c r="AB530" s="945"/>
    </row>
    <row r="531" ht="20.25" customHeight="1">
      <c r="A531" s="964"/>
      <c r="B531" s="965"/>
      <c r="C531" s="965"/>
      <c r="D531" s="966"/>
      <c r="E531" s="967"/>
      <c r="F531" s="965"/>
      <c r="G531" s="965"/>
      <c r="H531" s="965"/>
      <c r="I531" s="965"/>
      <c r="J531" s="965"/>
      <c r="K531" s="965"/>
      <c r="L531" s="965"/>
      <c r="M531" s="965"/>
      <c r="N531" s="965"/>
      <c r="O531" s="965"/>
      <c r="P531" s="965"/>
      <c r="Q531" s="945"/>
      <c r="R531" s="945"/>
      <c r="S531" s="945"/>
      <c r="T531" s="945"/>
      <c r="U531" s="945"/>
      <c r="V531" s="945"/>
      <c r="W531" s="945"/>
      <c r="X531" s="945"/>
      <c r="Y531" s="945"/>
      <c r="Z531" s="945"/>
      <c r="AA531" s="945"/>
      <c r="AB531" s="945"/>
    </row>
    <row r="532" ht="20.25" customHeight="1">
      <c r="A532" s="964"/>
      <c r="B532" s="965"/>
      <c r="C532" s="965"/>
      <c r="D532" s="966"/>
      <c r="E532" s="967"/>
      <c r="F532" s="965"/>
      <c r="G532" s="965"/>
      <c r="H532" s="965"/>
      <c r="I532" s="965"/>
      <c r="J532" s="965"/>
      <c r="K532" s="965"/>
      <c r="L532" s="965"/>
      <c r="M532" s="965"/>
      <c r="N532" s="965"/>
      <c r="O532" s="965"/>
      <c r="P532" s="965"/>
      <c r="Q532" s="945"/>
      <c r="R532" s="945"/>
      <c r="S532" s="945"/>
      <c r="T532" s="945"/>
      <c r="U532" s="945"/>
      <c r="V532" s="945"/>
      <c r="W532" s="945"/>
      <c r="X532" s="945"/>
      <c r="Y532" s="945"/>
      <c r="Z532" s="945"/>
      <c r="AA532" s="945"/>
      <c r="AB532" s="945"/>
    </row>
    <row r="533" ht="20.25" customHeight="1">
      <c r="A533" s="964"/>
      <c r="B533" s="965"/>
      <c r="C533" s="965"/>
      <c r="D533" s="966"/>
      <c r="E533" s="967"/>
      <c r="F533" s="965"/>
      <c r="G533" s="965"/>
      <c r="H533" s="965"/>
      <c r="I533" s="965"/>
      <c r="J533" s="965"/>
      <c r="K533" s="965"/>
      <c r="L533" s="965"/>
      <c r="M533" s="965"/>
      <c r="N533" s="965"/>
      <c r="O533" s="965"/>
      <c r="P533" s="965"/>
      <c r="Q533" s="945"/>
      <c r="R533" s="945"/>
      <c r="S533" s="945"/>
      <c r="T533" s="945"/>
      <c r="U533" s="945"/>
      <c r="V533" s="945"/>
      <c r="W533" s="945"/>
      <c r="X533" s="945"/>
      <c r="Y533" s="945"/>
      <c r="Z533" s="945"/>
      <c r="AA533" s="945"/>
      <c r="AB533" s="945"/>
    </row>
    <row r="534" ht="20.25" customHeight="1">
      <c r="A534" s="964"/>
      <c r="B534" s="965"/>
      <c r="C534" s="965"/>
      <c r="D534" s="966"/>
      <c r="E534" s="967"/>
      <c r="F534" s="965"/>
      <c r="G534" s="965"/>
      <c r="H534" s="965"/>
      <c r="I534" s="965"/>
      <c r="J534" s="965"/>
      <c r="K534" s="965"/>
      <c r="L534" s="965"/>
      <c r="M534" s="965"/>
      <c r="N534" s="965"/>
      <c r="O534" s="965"/>
      <c r="P534" s="965"/>
      <c r="Q534" s="945"/>
      <c r="R534" s="945"/>
      <c r="S534" s="945"/>
      <c r="T534" s="945"/>
      <c r="U534" s="945"/>
      <c r="V534" s="945"/>
      <c r="W534" s="945"/>
      <c r="X534" s="945"/>
      <c r="Y534" s="945"/>
      <c r="Z534" s="945"/>
      <c r="AA534" s="945"/>
      <c r="AB534" s="945"/>
    </row>
    <row r="535" ht="20.25" customHeight="1">
      <c r="A535" s="964"/>
      <c r="B535" s="965"/>
      <c r="C535" s="965"/>
      <c r="D535" s="966"/>
      <c r="E535" s="967"/>
      <c r="F535" s="965"/>
      <c r="G535" s="965"/>
      <c r="H535" s="965"/>
      <c r="I535" s="965"/>
      <c r="J535" s="965"/>
      <c r="K535" s="965"/>
      <c r="L535" s="965"/>
      <c r="M535" s="965"/>
      <c r="N535" s="965"/>
      <c r="O535" s="965"/>
      <c r="P535" s="965"/>
      <c r="Q535" s="945"/>
      <c r="R535" s="945"/>
      <c r="S535" s="945"/>
      <c r="T535" s="945"/>
      <c r="U535" s="945"/>
      <c r="V535" s="945"/>
      <c r="W535" s="945"/>
      <c r="X535" s="945"/>
      <c r="Y535" s="945"/>
      <c r="Z535" s="945"/>
      <c r="AA535" s="945"/>
      <c r="AB535" s="945"/>
    </row>
    <row r="536" ht="20.25" customHeight="1">
      <c r="A536" s="964"/>
      <c r="B536" s="965"/>
      <c r="C536" s="965"/>
      <c r="D536" s="966"/>
      <c r="E536" s="967"/>
      <c r="F536" s="965"/>
      <c r="G536" s="965"/>
      <c r="H536" s="965"/>
      <c r="I536" s="965"/>
      <c r="J536" s="965"/>
      <c r="K536" s="965"/>
      <c r="L536" s="965"/>
      <c r="M536" s="965"/>
      <c r="N536" s="965"/>
      <c r="O536" s="965"/>
      <c r="P536" s="965"/>
      <c r="Q536" s="945"/>
      <c r="R536" s="945"/>
      <c r="S536" s="945"/>
      <c r="T536" s="945"/>
      <c r="U536" s="945"/>
      <c r="V536" s="945"/>
      <c r="W536" s="945"/>
      <c r="X536" s="945"/>
      <c r="Y536" s="945"/>
      <c r="Z536" s="945"/>
      <c r="AA536" s="945"/>
      <c r="AB536" s="945"/>
    </row>
    <row r="537" ht="20.25" customHeight="1">
      <c r="A537" s="964"/>
      <c r="B537" s="965"/>
      <c r="C537" s="965"/>
      <c r="D537" s="966"/>
      <c r="E537" s="967"/>
      <c r="F537" s="965"/>
      <c r="G537" s="965"/>
      <c r="H537" s="965"/>
      <c r="I537" s="965"/>
      <c r="J537" s="965"/>
      <c r="K537" s="965"/>
      <c r="L537" s="965"/>
      <c r="M537" s="965"/>
      <c r="N537" s="965"/>
      <c r="O537" s="965"/>
      <c r="P537" s="965"/>
      <c r="Q537" s="945"/>
      <c r="R537" s="945"/>
      <c r="S537" s="945"/>
      <c r="T537" s="945"/>
      <c r="U537" s="945"/>
      <c r="V537" s="945"/>
      <c r="W537" s="945"/>
      <c r="X537" s="945"/>
      <c r="Y537" s="945"/>
      <c r="Z537" s="945"/>
      <c r="AA537" s="945"/>
      <c r="AB537" s="945"/>
    </row>
    <row r="538" ht="20.25" customHeight="1">
      <c r="A538" s="964"/>
      <c r="B538" s="965"/>
      <c r="C538" s="965"/>
      <c r="D538" s="966"/>
      <c r="E538" s="967"/>
      <c r="F538" s="965"/>
      <c r="G538" s="965"/>
      <c r="H538" s="965"/>
      <c r="I538" s="965"/>
      <c r="J538" s="965"/>
      <c r="K538" s="965"/>
      <c r="L538" s="965"/>
      <c r="M538" s="965"/>
      <c r="N538" s="965"/>
      <c r="O538" s="965"/>
      <c r="P538" s="965"/>
      <c r="Q538" s="945"/>
      <c r="R538" s="945"/>
      <c r="S538" s="945"/>
      <c r="T538" s="945"/>
      <c r="U538" s="945"/>
      <c r="V538" s="945"/>
      <c r="W538" s="945"/>
      <c r="X538" s="945"/>
      <c r="Y538" s="945"/>
      <c r="Z538" s="945"/>
      <c r="AA538" s="945"/>
      <c r="AB538" s="945"/>
    </row>
    <row r="539" ht="20.25" customHeight="1">
      <c r="A539" s="964"/>
      <c r="B539" s="965"/>
      <c r="C539" s="965"/>
      <c r="D539" s="966"/>
      <c r="E539" s="967"/>
      <c r="F539" s="965"/>
      <c r="G539" s="965"/>
      <c r="H539" s="965"/>
      <c r="I539" s="965"/>
      <c r="J539" s="965"/>
      <c r="K539" s="965"/>
      <c r="L539" s="965"/>
      <c r="M539" s="965"/>
      <c r="N539" s="965"/>
      <c r="O539" s="965"/>
      <c r="P539" s="965"/>
      <c r="Q539" s="945"/>
      <c r="R539" s="945"/>
      <c r="S539" s="945"/>
      <c r="T539" s="945"/>
      <c r="U539" s="945"/>
      <c r="V539" s="945"/>
      <c r="W539" s="945"/>
      <c r="X539" s="945"/>
      <c r="Y539" s="945"/>
      <c r="Z539" s="945"/>
      <c r="AA539" s="945"/>
      <c r="AB539" s="945"/>
    </row>
    <row r="540" ht="20.25" customHeight="1">
      <c r="A540" s="964"/>
      <c r="B540" s="965"/>
      <c r="C540" s="965"/>
      <c r="D540" s="966"/>
      <c r="E540" s="967"/>
      <c r="F540" s="965"/>
      <c r="G540" s="965"/>
      <c r="H540" s="965"/>
      <c r="I540" s="965"/>
      <c r="J540" s="965"/>
      <c r="K540" s="965"/>
      <c r="L540" s="965"/>
      <c r="M540" s="965"/>
      <c r="N540" s="965"/>
      <c r="O540" s="965"/>
      <c r="P540" s="965"/>
      <c r="Q540" s="945"/>
      <c r="R540" s="945"/>
      <c r="S540" s="945"/>
      <c r="T540" s="945"/>
      <c r="U540" s="945"/>
      <c r="V540" s="945"/>
      <c r="W540" s="945"/>
      <c r="X540" s="945"/>
      <c r="Y540" s="945"/>
      <c r="Z540" s="945"/>
      <c r="AA540" s="945"/>
      <c r="AB540" s="945"/>
    </row>
    <row r="541" ht="20.25" customHeight="1">
      <c r="A541" s="964"/>
      <c r="B541" s="965"/>
      <c r="C541" s="965"/>
      <c r="D541" s="966"/>
      <c r="E541" s="967"/>
      <c r="F541" s="965"/>
      <c r="G541" s="965"/>
      <c r="H541" s="965"/>
      <c r="I541" s="965"/>
      <c r="J541" s="965"/>
      <c r="K541" s="965"/>
      <c r="L541" s="965"/>
      <c r="M541" s="965"/>
      <c r="N541" s="965"/>
      <c r="O541" s="965"/>
      <c r="P541" s="965"/>
      <c r="Q541" s="945"/>
      <c r="R541" s="945"/>
      <c r="S541" s="945"/>
      <c r="T541" s="945"/>
      <c r="U541" s="945"/>
      <c r="V541" s="945"/>
      <c r="W541" s="945"/>
      <c r="X541" s="945"/>
      <c r="Y541" s="945"/>
      <c r="Z541" s="945"/>
      <c r="AA541" s="945"/>
      <c r="AB541" s="945"/>
    </row>
    <row r="542" ht="20.25" customHeight="1">
      <c r="A542" s="964"/>
      <c r="B542" s="965"/>
      <c r="C542" s="965"/>
      <c r="D542" s="966"/>
      <c r="E542" s="967"/>
      <c r="F542" s="965"/>
      <c r="G542" s="965"/>
      <c r="H542" s="965"/>
      <c r="I542" s="965"/>
      <c r="J542" s="965"/>
      <c r="K542" s="965"/>
      <c r="L542" s="965"/>
      <c r="M542" s="965"/>
      <c r="N542" s="965"/>
      <c r="O542" s="965"/>
      <c r="P542" s="965"/>
      <c r="Q542" s="945"/>
      <c r="R542" s="945"/>
      <c r="S542" s="945"/>
      <c r="T542" s="945"/>
      <c r="U542" s="945"/>
      <c r="V542" s="945"/>
      <c r="W542" s="945"/>
      <c r="X542" s="945"/>
      <c r="Y542" s="945"/>
      <c r="Z542" s="945"/>
      <c r="AA542" s="945"/>
      <c r="AB542" s="945"/>
    </row>
    <row r="543" ht="20.25" customHeight="1">
      <c r="A543" s="964"/>
      <c r="B543" s="965"/>
      <c r="C543" s="965"/>
      <c r="D543" s="966"/>
      <c r="E543" s="967"/>
      <c r="F543" s="965"/>
      <c r="G543" s="965"/>
      <c r="H543" s="965"/>
      <c r="I543" s="965"/>
      <c r="J543" s="965"/>
      <c r="K543" s="965"/>
      <c r="L543" s="965"/>
      <c r="M543" s="965"/>
      <c r="N543" s="965"/>
      <c r="O543" s="965"/>
      <c r="P543" s="965"/>
      <c r="Q543" s="945"/>
      <c r="R543" s="945"/>
      <c r="S543" s="945"/>
      <c r="T543" s="945"/>
      <c r="U543" s="945"/>
      <c r="V543" s="945"/>
      <c r="W543" s="945"/>
      <c r="X543" s="945"/>
      <c r="Y543" s="945"/>
      <c r="Z543" s="945"/>
      <c r="AA543" s="945"/>
      <c r="AB543" s="945"/>
    </row>
    <row r="544" ht="20.25" customHeight="1">
      <c r="A544" s="964"/>
      <c r="B544" s="965"/>
      <c r="C544" s="965"/>
      <c r="D544" s="966"/>
      <c r="E544" s="967"/>
      <c r="F544" s="965"/>
      <c r="G544" s="965"/>
      <c r="H544" s="965"/>
      <c r="I544" s="965"/>
      <c r="J544" s="965"/>
      <c r="K544" s="965"/>
      <c r="L544" s="965"/>
      <c r="M544" s="965"/>
      <c r="N544" s="965"/>
      <c r="O544" s="965"/>
      <c r="P544" s="965"/>
      <c r="Q544" s="945"/>
      <c r="R544" s="945"/>
      <c r="S544" s="945"/>
      <c r="T544" s="945"/>
      <c r="U544" s="945"/>
      <c r="V544" s="945"/>
      <c r="W544" s="945"/>
      <c r="X544" s="945"/>
      <c r="Y544" s="945"/>
      <c r="Z544" s="945"/>
      <c r="AA544" s="945"/>
      <c r="AB544" s="945"/>
    </row>
    <row r="545" ht="20.25" customHeight="1">
      <c r="A545" s="964"/>
      <c r="B545" s="965"/>
      <c r="C545" s="965"/>
      <c r="D545" s="966"/>
      <c r="E545" s="967"/>
      <c r="F545" s="965"/>
      <c r="G545" s="965"/>
      <c r="H545" s="965"/>
      <c r="I545" s="965"/>
      <c r="J545" s="965"/>
      <c r="K545" s="965"/>
      <c r="L545" s="965"/>
      <c r="M545" s="965"/>
      <c r="N545" s="965"/>
      <c r="O545" s="965"/>
      <c r="P545" s="965"/>
      <c r="Q545" s="945"/>
      <c r="R545" s="945"/>
      <c r="S545" s="945"/>
      <c r="T545" s="945"/>
      <c r="U545" s="945"/>
      <c r="V545" s="945"/>
      <c r="W545" s="945"/>
      <c r="X545" s="945"/>
      <c r="Y545" s="945"/>
      <c r="Z545" s="945"/>
      <c r="AA545" s="945"/>
      <c r="AB545" s="945"/>
    </row>
    <row r="546" ht="20.25" customHeight="1">
      <c r="A546" s="964"/>
      <c r="B546" s="965"/>
      <c r="C546" s="965"/>
      <c r="D546" s="966"/>
      <c r="E546" s="967"/>
      <c r="F546" s="965"/>
      <c r="G546" s="965"/>
      <c r="H546" s="965"/>
      <c r="I546" s="965"/>
      <c r="J546" s="965"/>
      <c r="K546" s="965"/>
      <c r="L546" s="965"/>
      <c r="M546" s="965"/>
      <c r="N546" s="965"/>
      <c r="O546" s="965"/>
      <c r="P546" s="965"/>
      <c r="Q546" s="945"/>
      <c r="R546" s="945"/>
      <c r="S546" s="945"/>
      <c r="T546" s="945"/>
      <c r="U546" s="945"/>
      <c r="V546" s="945"/>
      <c r="W546" s="945"/>
      <c r="X546" s="945"/>
      <c r="Y546" s="945"/>
      <c r="Z546" s="945"/>
      <c r="AA546" s="945"/>
      <c r="AB546" s="945"/>
    </row>
    <row r="547" ht="20.25" customHeight="1">
      <c r="A547" s="964"/>
      <c r="B547" s="965"/>
      <c r="C547" s="965"/>
      <c r="D547" s="966"/>
      <c r="E547" s="967"/>
      <c r="F547" s="965"/>
      <c r="G547" s="965"/>
      <c r="H547" s="965"/>
      <c r="I547" s="965"/>
      <c r="J547" s="965"/>
      <c r="K547" s="965"/>
      <c r="L547" s="965"/>
      <c r="M547" s="965"/>
      <c r="N547" s="965"/>
      <c r="O547" s="965"/>
      <c r="P547" s="965"/>
      <c r="Q547" s="945"/>
      <c r="R547" s="945"/>
      <c r="S547" s="945"/>
      <c r="T547" s="945"/>
      <c r="U547" s="945"/>
      <c r="V547" s="945"/>
      <c r="W547" s="945"/>
      <c r="X547" s="945"/>
      <c r="Y547" s="945"/>
      <c r="Z547" s="945"/>
      <c r="AA547" s="945"/>
      <c r="AB547" s="945"/>
    </row>
    <row r="548" ht="20.25" customHeight="1">
      <c r="A548" s="964"/>
      <c r="B548" s="965"/>
      <c r="C548" s="965"/>
      <c r="D548" s="966"/>
      <c r="E548" s="967"/>
      <c r="F548" s="965"/>
      <c r="G548" s="965"/>
      <c r="H548" s="965"/>
      <c r="I548" s="965"/>
      <c r="J548" s="965"/>
      <c r="K548" s="965"/>
      <c r="L548" s="965"/>
      <c r="M548" s="965"/>
      <c r="N548" s="965"/>
      <c r="O548" s="965"/>
      <c r="P548" s="965"/>
      <c r="Q548" s="945"/>
      <c r="R548" s="945"/>
      <c r="S548" s="945"/>
      <c r="T548" s="945"/>
      <c r="U548" s="945"/>
      <c r="V548" s="945"/>
      <c r="W548" s="945"/>
      <c r="X548" s="945"/>
      <c r="Y548" s="945"/>
      <c r="Z548" s="945"/>
      <c r="AA548" s="945"/>
      <c r="AB548" s="945"/>
    </row>
    <row r="549" ht="20.25" customHeight="1">
      <c r="A549" s="964"/>
      <c r="B549" s="965"/>
      <c r="C549" s="965"/>
      <c r="D549" s="966"/>
      <c r="E549" s="967"/>
      <c r="F549" s="965"/>
      <c r="G549" s="965"/>
      <c r="H549" s="965"/>
      <c r="I549" s="965"/>
      <c r="J549" s="965"/>
      <c r="K549" s="965"/>
      <c r="L549" s="965"/>
      <c r="M549" s="965"/>
      <c r="N549" s="965"/>
      <c r="O549" s="965"/>
      <c r="P549" s="965"/>
      <c r="Q549" s="945"/>
      <c r="R549" s="945"/>
      <c r="S549" s="945"/>
      <c r="T549" s="945"/>
      <c r="U549" s="945"/>
      <c r="V549" s="945"/>
      <c r="W549" s="945"/>
      <c r="X549" s="945"/>
      <c r="Y549" s="945"/>
      <c r="Z549" s="945"/>
      <c r="AA549" s="945"/>
      <c r="AB549" s="945"/>
    </row>
    <row r="550" ht="20.25" customHeight="1">
      <c r="A550" s="964"/>
      <c r="B550" s="965"/>
      <c r="C550" s="965"/>
      <c r="D550" s="966"/>
      <c r="E550" s="967"/>
      <c r="F550" s="965"/>
      <c r="G550" s="965"/>
      <c r="H550" s="965"/>
      <c r="I550" s="965"/>
      <c r="J550" s="965"/>
      <c r="K550" s="965"/>
      <c r="L550" s="965"/>
      <c r="M550" s="965"/>
      <c r="N550" s="965"/>
      <c r="O550" s="965"/>
      <c r="P550" s="965"/>
      <c r="Q550" s="945"/>
      <c r="R550" s="945"/>
      <c r="S550" s="945"/>
      <c r="T550" s="945"/>
      <c r="U550" s="945"/>
      <c r="V550" s="945"/>
      <c r="W550" s="945"/>
      <c r="X550" s="945"/>
      <c r="Y550" s="945"/>
      <c r="Z550" s="945"/>
      <c r="AA550" s="945"/>
      <c r="AB550" s="945"/>
    </row>
    <row r="551" ht="20.25" customHeight="1">
      <c r="A551" s="964"/>
      <c r="B551" s="965"/>
      <c r="C551" s="965"/>
      <c r="D551" s="966"/>
      <c r="E551" s="967"/>
      <c r="F551" s="965"/>
      <c r="G551" s="965"/>
      <c r="H551" s="965"/>
      <c r="I551" s="965"/>
      <c r="J551" s="965"/>
      <c r="K551" s="965"/>
      <c r="L551" s="965"/>
      <c r="M551" s="965"/>
      <c r="N551" s="965"/>
      <c r="O551" s="965"/>
      <c r="P551" s="965"/>
      <c r="Q551" s="945"/>
      <c r="R551" s="945"/>
      <c r="S551" s="945"/>
      <c r="T551" s="945"/>
      <c r="U551" s="945"/>
      <c r="V551" s="945"/>
      <c r="W551" s="945"/>
      <c r="X551" s="945"/>
      <c r="Y551" s="945"/>
      <c r="Z551" s="945"/>
      <c r="AA551" s="945"/>
      <c r="AB551" s="945"/>
    </row>
    <row r="552" ht="20.25" customHeight="1">
      <c r="A552" s="964"/>
      <c r="B552" s="965"/>
      <c r="C552" s="965"/>
      <c r="D552" s="966"/>
      <c r="E552" s="967"/>
      <c r="F552" s="965"/>
      <c r="G552" s="965"/>
      <c r="H552" s="965"/>
      <c r="I552" s="965"/>
      <c r="J552" s="965"/>
      <c r="K552" s="965"/>
      <c r="L552" s="965"/>
      <c r="M552" s="965"/>
      <c r="N552" s="965"/>
      <c r="O552" s="965"/>
      <c r="P552" s="965"/>
      <c r="Q552" s="945"/>
      <c r="R552" s="945"/>
      <c r="S552" s="945"/>
      <c r="T552" s="945"/>
      <c r="U552" s="945"/>
      <c r="V552" s="945"/>
      <c r="W552" s="945"/>
      <c r="X552" s="945"/>
      <c r="Y552" s="945"/>
      <c r="Z552" s="945"/>
      <c r="AA552" s="945"/>
      <c r="AB552" s="945"/>
    </row>
    <row r="553" ht="20.25" customHeight="1">
      <c r="A553" s="964"/>
      <c r="B553" s="965"/>
      <c r="C553" s="965"/>
      <c r="D553" s="966"/>
      <c r="E553" s="967"/>
      <c r="F553" s="965"/>
      <c r="G553" s="965"/>
      <c r="H553" s="965"/>
      <c r="I553" s="965"/>
      <c r="J553" s="965"/>
      <c r="K553" s="965"/>
      <c r="L553" s="965"/>
      <c r="M553" s="965"/>
      <c r="N553" s="965"/>
      <c r="O553" s="965"/>
      <c r="P553" s="965"/>
      <c r="Q553" s="945"/>
      <c r="R553" s="945"/>
      <c r="S553" s="945"/>
      <c r="T553" s="945"/>
      <c r="U553" s="945"/>
      <c r="V553" s="945"/>
      <c r="W553" s="945"/>
      <c r="X553" s="945"/>
      <c r="Y553" s="945"/>
      <c r="Z553" s="945"/>
      <c r="AA553" s="945"/>
      <c r="AB553" s="945"/>
    </row>
    <row r="554" ht="20.25" customHeight="1">
      <c r="A554" s="964"/>
      <c r="B554" s="965"/>
      <c r="C554" s="965"/>
      <c r="D554" s="966"/>
      <c r="E554" s="967"/>
      <c r="F554" s="965"/>
      <c r="G554" s="965"/>
      <c r="H554" s="965"/>
      <c r="I554" s="965"/>
      <c r="J554" s="965"/>
      <c r="K554" s="965"/>
      <c r="L554" s="965"/>
      <c r="M554" s="965"/>
      <c r="N554" s="965"/>
      <c r="O554" s="965"/>
      <c r="P554" s="965"/>
      <c r="Q554" s="945"/>
      <c r="R554" s="945"/>
      <c r="S554" s="945"/>
      <c r="T554" s="945"/>
      <c r="U554" s="945"/>
      <c r="V554" s="945"/>
      <c r="W554" s="945"/>
      <c r="X554" s="945"/>
      <c r="Y554" s="945"/>
      <c r="Z554" s="945"/>
      <c r="AA554" s="945"/>
      <c r="AB554" s="945"/>
    </row>
    <row r="555" ht="20.25" customHeight="1">
      <c r="A555" s="964"/>
      <c r="B555" s="965"/>
      <c r="C555" s="965"/>
      <c r="D555" s="966"/>
      <c r="E555" s="967"/>
      <c r="F555" s="965"/>
      <c r="G555" s="965"/>
      <c r="H555" s="965"/>
      <c r="I555" s="965"/>
      <c r="J555" s="965"/>
      <c r="K555" s="965"/>
      <c r="L555" s="965"/>
      <c r="M555" s="965"/>
      <c r="N555" s="965"/>
      <c r="O555" s="965"/>
      <c r="P555" s="965"/>
      <c r="Q555" s="945"/>
      <c r="R555" s="945"/>
      <c r="S555" s="945"/>
      <c r="T555" s="945"/>
      <c r="U555" s="945"/>
      <c r="V555" s="945"/>
      <c r="W555" s="945"/>
      <c r="X555" s="945"/>
      <c r="Y555" s="945"/>
      <c r="Z555" s="945"/>
      <c r="AA555" s="945"/>
      <c r="AB555" s="945"/>
    </row>
    <row r="556" ht="20.25" customHeight="1">
      <c r="A556" s="964"/>
      <c r="B556" s="965"/>
      <c r="C556" s="965"/>
      <c r="D556" s="966"/>
      <c r="E556" s="967"/>
      <c r="F556" s="965"/>
      <c r="G556" s="965"/>
      <c r="H556" s="965"/>
      <c r="I556" s="965"/>
      <c r="J556" s="965"/>
      <c r="K556" s="965"/>
      <c r="L556" s="965"/>
      <c r="M556" s="965"/>
      <c r="N556" s="965"/>
      <c r="O556" s="965"/>
      <c r="P556" s="965"/>
      <c r="Q556" s="945"/>
      <c r="R556" s="945"/>
      <c r="S556" s="945"/>
      <c r="T556" s="945"/>
      <c r="U556" s="945"/>
      <c r="V556" s="945"/>
      <c r="W556" s="945"/>
      <c r="X556" s="945"/>
      <c r="Y556" s="945"/>
      <c r="Z556" s="945"/>
      <c r="AA556" s="945"/>
      <c r="AB556" s="945"/>
    </row>
    <row r="557" ht="20.25" customHeight="1">
      <c r="A557" s="964"/>
      <c r="B557" s="965"/>
      <c r="C557" s="965"/>
      <c r="D557" s="966"/>
      <c r="E557" s="967"/>
      <c r="F557" s="965"/>
      <c r="G557" s="965"/>
      <c r="H557" s="965"/>
      <c r="I557" s="965"/>
      <c r="J557" s="965"/>
      <c r="K557" s="965"/>
      <c r="L557" s="965"/>
      <c r="M557" s="965"/>
      <c r="N557" s="965"/>
      <c r="O557" s="965"/>
      <c r="P557" s="965"/>
      <c r="Q557" s="945"/>
      <c r="R557" s="945"/>
      <c r="S557" s="945"/>
      <c r="T557" s="945"/>
      <c r="U557" s="945"/>
      <c r="V557" s="945"/>
      <c r="W557" s="945"/>
      <c r="X557" s="945"/>
      <c r="Y557" s="945"/>
      <c r="Z557" s="945"/>
      <c r="AA557" s="945"/>
      <c r="AB557" s="945"/>
    </row>
    <row r="558" ht="20.25" customHeight="1">
      <c r="A558" s="964"/>
      <c r="B558" s="965"/>
      <c r="C558" s="965"/>
      <c r="D558" s="966"/>
      <c r="E558" s="967"/>
      <c r="F558" s="965"/>
      <c r="G558" s="965"/>
      <c r="H558" s="965"/>
      <c r="I558" s="965"/>
      <c r="J558" s="965"/>
      <c r="K558" s="965"/>
      <c r="L558" s="965"/>
      <c r="M558" s="965"/>
      <c r="N558" s="965"/>
      <c r="O558" s="965"/>
      <c r="P558" s="965"/>
      <c r="Q558" s="945"/>
      <c r="R558" s="945"/>
      <c r="S558" s="945"/>
      <c r="T558" s="945"/>
      <c r="U558" s="945"/>
      <c r="V558" s="945"/>
      <c r="W558" s="945"/>
      <c r="X558" s="945"/>
      <c r="Y558" s="945"/>
      <c r="Z558" s="945"/>
      <c r="AA558" s="945"/>
      <c r="AB558" s="945"/>
    </row>
    <row r="559" ht="20.25" customHeight="1">
      <c r="A559" s="964"/>
      <c r="B559" s="965"/>
      <c r="C559" s="965"/>
      <c r="D559" s="966"/>
      <c r="E559" s="967"/>
      <c r="F559" s="965"/>
      <c r="G559" s="965"/>
      <c r="H559" s="965"/>
      <c r="I559" s="965"/>
      <c r="J559" s="965"/>
      <c r="K559" s="965"/>
      <c r="L559" s="965"/>
      <c r="M559" s="965"/>
      <c r="N559" s="965"/>
      <c r="O559" s="965"/>
      <c r="P559" s="965"/>
      <c r="Q559" s="945"/>
      <c r="R559" s="945"/>
      <c r="S559" s="945"/>
      <c r="T559" s="945"/>
      <c r="U559" s="945"/>
      <c r="V559" s="945"/>
      <c r="W559" s="945"/>
      <c r="X559" s="945"/>
      <c r="Y559" s="945"/>
      <c r="Z559" s="945"/>
      <c r="AA559" s="945"/>
      <c r="AB559" s="945"/>
    </row>
    <row r="560" ht="20.25" customHeight="1">
      <c r="A560" s="964"/>
      <c r="B560" s="965"/>
      <c r="C560" s="965"/>
      <c r="D560" s="966"/>
      <c r="E560" s="967"/>
      <c r="F560" s="965"/>
      <c r="G560" s="965"/>
      <c r="H560" s="965"/>
      <c r="I560" s="965"/>
      <c r="J560" s="965"/>
      <c r="K560" s="965"/>
      <c r="L560" s="965"/>
      <c r="M560" s="965"/>
      <c r="N560" s="965"/>
      <c r="O560" s="965"/>
      <c r="P560" s="965"/>
      <c r="Q560" s="945"/>
      <c r="R560" s="945"/>
      <c r="S560" s="945"/>
      <c r="T560" s="945"/>
      <c r="U560" s="945"/>
      <c r="V560" s="945"/>
      <c r="W560" s="945"/>
      <c r="X560" s="945"/>
      <c r="Y560" s="945"/>
      <c r="Z560" s="945"/>
      <c r="AA560" s="945"/>
      <c r="AB560" s="945"/>
    </row>
    <row r="561" ht="20.25" customHeight="1">
      <c r="A561" s="964"/>
      <c r="B561" s="965"/>
      <c r="C561" s="965"/>
      <c r="D561" s="966"/>
      <c r="E561" s="967"/>
      <c r="F561" s="965"/>
      <c r="G561" s="965"/>
      <c r="H561" s="965"/>
      <c r="I561" s="965"/>
      <c r="J561" s="965"/>
      <c r="K561" s="965"/>
      <c r="L561" s="965"/>
      <c r="M561" s="965"/>
      <c r="N561" s="965"/>
      <c r="O561" s="965"/>
      <c r="P561" s="965"/>
      <c r="Q561" s="945"/>
      <c r="R561" s="945"/>
      <c r="S561" s="945"/>
      <c r="T561" s="945"/>
      <c r="U561" s="945"/>
      <c r="V561" s="945"/>
      <c r="W561" s="945"/>
      <c r="X561" s="945"/>
      <c r="Y561" s="945"/>
      <c r="Z561" s="945"/>
      <c r="AA561" s="945"/>
      <c r="AB561" s="945"/>
    </row>
    <row r="562" ht="20.25" customHeight="1">
      <c r="A562" s="964"/>
      <c r="B562" s="965"/>
      <c r="C562" s="965"/>
      <c r="D562" s="966"/>
      <c r="E562" s="967"/>
      <c r="F562" s="965"/>
      <c r="G562" s="965"/>
      <c r="H562" s="965"/>
      <c r="I562" s="965"/>
      <c r="J562" s="965"/>
      <c r="K562" s="965"/>
      <c r="L562" s="965"/>
      <c r="M562" s="965"/>
      <c r="N562" s="965"/>
      <c r="O562" s="965"/>
      <c r="P562" s="965"/>
      <c r="Q562" s="945"/>
      <c r="R562" s="945"/>
      <c r="S562" s="945"/>
      <c r="T562" s="945"/>
      <c r="U562" s="945"/>
      <c r="V562" s="945"/>
      <c r="W562" s="945"/>
      <c r="X562" s="945"/>
      <c r="Y562" s="945"/>
      <c r="Z562" s="945"/>
      <c r="AA562" s="945"/>
      <c r="AB562" s="945"/>
    </row>
    <row r="563" ht="20.25" customHeight="1">
      <c r="A563" s="964"/>
      <c r="B563" s="965"/>
      <c r="C563" s="965"/>
      <c r="D563" s="966"/>
      <c r="E563" s="967"/>
      <c r="F563" s="965"/>
      <c r="G563" s="965"/>
      <c r="H563" s="965"/>
      <c r="I563" s="965"/>
      <c r="J563" s="965"/>
      <c r="K563" s="965"/>
      <c r="L563" s="965"/>
      <c r="M563" s="965"/>
      <c r="N563" s="965"/>
      <c r="O563" s="965"/>
      <c r="P563" s="965"/>
      <c r="Q563" s="945"/>
      <c r="R563" s="945"/>
      <c r="S563" s="945"/>
      <c r="T563" s="945"/>
      <c r="U563" s="945"/>
      <c r="V563" s="945"/>
      <c r="W563" s="945"/>
      <c r="X563" s="945"/>
      <c r="Y563" s="945"/>
      <c r="Z563" s="945"/>
      <c r="AA563" s="945"/>
      <c r="AB563" s="945"/>
    </row>
    <row r="564" ht="20.25" customHeight="1">
      <c r="A564" s="964"/>
      <c r="B564" s="965"/>
      <c r="C564" s="965"/>
      <c r="D564" s="966"/>
      <c r="E564" s="967"/>
      <c r="F564" s="965"/>
      <c r="G564" s="965"/>
      <c r="H564" s="965"/>
      <c r="I564" s="965"/>
      <c r="J564" s="965"/>
      <c r="K564" s="965"/>
      <c r="L564" s="965"/>
      <c r="M564" s="965"/>
      <c r="N564" s="965"/>
      <c r="O564" s="965"/>
      <c r="P564" s="965"/>
      <c r="Q564" s="945"/>
      <c r="R564" s="945"/>
      <c r="S564" s="945"/>
      <c r="T564" s="945"/>
      <c r="U564" s="945"/>
      <c r="V564" s="945"/>
      <c r="W564" s="945"/>
      <c r="X564" s="945"/>
      <c r="Y564" s="945"/>
      <c r="Z564" s="945"/>
      <c r="AA564" s="945"/>
      <c r="AB564" s="945"/>
    </row>
    <row r="565" ht="20.25" customHeight="1">
      <c r="A565" s="964"/>
      <c r="B565" s="965"/>
      <c r="C565" s="965"/>
      <c r="D565" s="966"/>
      <c r="E565" s="967"/>
      <c r="F565" s="965"/>
      <c r="G565" s="965"/>
      <c r="H565" s="965"/>
      <c r="I565" s="965"/>
      <c r="J565" s="965"/>
      <c r="K565" s="965"/>
      <c r="L565" s="965"/>
      <c r="M565" s="965"/>
      <c r="N565" s="965"/>
      <c r="O565" s="965"/>
      <c r="P565" s="965"/>
      <c r="Q565" s="945"/>
      <c r="R565" s="945"/>
      <c r="S565" s="945"/>
      <c r="T565" s="945"/>
      <c r="U565" s="945"/>
      <c r="V565" s="945"/>
      <c r="W565" s="945"/>
      <c r="X565" s="945"/>
      <c r="Y565" s="945"/>
      <c r="Z565" s="945"/>
      <c r="AA565" s="945"/>
      <c r="AB565" s="945"/>
    </row>
    <row r="566" ht="20.25" customHeight="1">
      <c r="A566" s="964"/>
      <c r="B566" s="965"/>
      <c r="C566" s="965"/>
      <c r="D566" s="966"/>
      <c r="E566" s="967"/>
      <c r="F566" s="965"/>
      <c r="G566" s="965"/>
      <c r="H566" s="965"/>
      <c r="I566" s="965"/>
      <c r="J566" s="965"/>
      <c r="K566" s="965"/>
      <c r="L566" s="965"/>
      <c r="M566" s="965"/>
      <c r="N566" s="965"/>
      <c r="O566" s="965"/>
      <c r="P566" s="965"/>
      <c r="Q566" s="945"/>
      <c r="R566" s="945"/>
      <c r="S566" s="945"/>
      <c r="T566" s="945"/>
      <c r="U566" s="945"/>
      <c r="V566" s="945"/>
      <c r="W566" s="945"/>
      <c r="X566" s="945"/>
      <c r="Y566" s="945"/>
      <c r="Z566" s="945"/>
      <c r="AA566" s="945"/>
      <c r="AB566" s="945"/>
    </row>
    <row r="567" ht="20.25" customHeight="1">
      <c r="A567" s="964"/>
      <c r="B567" s="965"/>
      <c r="C567" s="965"/>
      <c r="D567" s="966"/>
      <c r="E567" s="967"/>
      <c r="F567" s="965"/>
      <c r="G567" s="965"/>
      <c r="H567" s="965"/>
      <c r="I567" s="965"/>
      <c r="J567" s="965"/>
      <c r="K567" s="965"/>
      <c r="L567" s="965"/>
      <c r="M567" s="965"/>
      <c r="N567" s="965"/>
      <c r="O567" s="965"/>
      <c r="P567" s="965"/>
      <c r="Q567" s="945"/>
      <c r="R567" s="945"/>
      <c r="S567" s="945"/>
      <c r="T567" s="945"/>
      <c r="U567" s="945"/>
      <c r="V567" s="945"/>
      <c r="W567" s="945"/>
      <c r="X567" s="945"/>
      <c r="Y567" s="945"/>
      <c r="Z567" s="945"/>
      <c r="AA567" s="945"/>
      <c r="AB567" s="945"/>
    </row>
    <row r="568" ht="20.25" customHeight="1">
      <c r="A568" s="964"/>
      <c r="B568" s="965"/>
      <c r="C568" s="965"/>
      <c r="D568" s="966"/>
      <c r="E568" s="967"/>
      <c r="F568" s="965"/>
      <c r="G568" s="965"/>
      <c r="H568" s="965"/>
      <c r="I568" s="965"/>
      <c r="J568" s="965"/>
      <c r="K568" s="965"/>
      <c r="L568" s="965"/>
      <c r="M568" s="965"/>
      <c r="N568" s="965"/>
      <c r="O568" s="965"/>
      <c r="P568" s="965"/>
      <c r="Q568" s="945"/>
      <c r="R568" s="945"/>
      <c r="S568" s="945"/>
      <c r="T568" s="945"/>
      <c r="U568" s="945"/>
      <c r="V568" s="945"/>
      <c r="W568" s="945"/>
      <c r="X568" s="945"/>
      <c r="Y568" s="945"/>
      <c r="Z568" s="945"/>
      <c r="AA568" s="945"/>
      <c r="AB568" s="945"/>
    </row>
    <row r="569" ht="20.25" customHeight="1">
      <c r="A569" s="964"/>
      <c r="B569" s="965"/>
      <c r="C569" s="965"/>
      <c r="D569" s="966"/>
      <c r="E569" s="967"/>
      <c r="F569" s="965"/>
      <c r="G569" s="965"/>
      <c r="H569" s="965"/>
      <c r="I569" s="965"/>
      <c r="J569" s="965"/>
      <c r="K569" s="965"/>
      <c r="L569" s="965"/>
      <c r="M569" s="965"/>
      <c r="N569" s="965"/>
      <c r="O569" s="965"/>
      <c r="P569" s="965"/>
      <c r="Q569" s="945"/>
      <c r="R569" s="945"/>
      <c r="S569" s="945"/>
      <c r="T569" s="945"/>
      <c r="U569" s="945"/>
      <c r="V569" s="945"/>
      <c r="W569" s="945"/>
      <c r="X569" s="945"/>
      <c r="Y569" s="945"/>
      <c r="Z569" s="945"/>
      <c r="AA569" s="945"/>
      <c r="AB569" s="945"/>
    </row>
    <row r="570" ht="20.25" customHeight="1">
      <c r="A570" s="964"/>
      <c r="B570" s="965"/>
      <c r="C570" s="965"/>
      <c r="D570" s="966"/>
      <c r="E570" s="967"/>
      <c r="F570" s="965"/>
      <c r="G570" s="965"/>
      <c r="H570" s="965"/>
      <c r="I570" s="965"/>
      <c r="J570" s="965"/>
      <c r="K570" s="965"/>
      <c r="L570" s="965"/>
      <c r="M570" s="965"/>
      <c r="N570" s="965"/>
      <c r="O570" s="965"/>
      <c r="P570" s="965"/>
      <c r="Q570" s="945"/>
      <c r="R570" s="945"/>
      <c r="S570" s="945"/>
      <c r="T570" s="945"/>
      <c r="U570" s="945"/>
      <c r="V570" s="945"/>
      <c r="W570" s="945"/>
      <c r="X570" s="945"/>
      <c r="Y570" s="945"/>
      <c r="Z570" s="945"/>
      <c r="AA570" s="945"/>
      <c r="AB570" s="945"/>
    </row>
    <row r="571" ht="20.25" customHeight="1">
      <c r="A571" s="964"/>
      <c r="B571" s="965"/>
      <c r="C571" s="965"/>
      <c r="D571" s="966"/>
      <c r="E571" s="967"/>
      <c r="F571" s="965"/>
      <c r="G571" s="965"/>
      <c r="H571" s="965"/>
      <c r="I571" s="965"/>
      <c r="J571" s="965"/>
      <c r="K571" s="965"/>
      <c r="L571" s="965"/>
      <c r="M571" s="965"/>
      <c r="N571" s="965"/>
      <c r="O571" s="965"/>
      <c r="P571" s="965"/>
      <c r="Q571" s="945"/>
      <c r="R571" s="945"/>
      <c r="S571" s="945"/>
      <c r="T571" s="945"/>
      <c r="U571" s="945"/>
      <c r="V571" s="945"/>
      <c r="W571" s="945"/>
      <c r="X571" s="945"/>
      <c r="Y571" s="945"/>
      <c r="Z571" s="945"/>
      <c r="AA571" s="945"/>
      <c r="AB571" s="945"/>
    </row>
    <row r="572" ht="20.25" customHeight="1">
      <c r="A572" s="964"/>
      <c r="B572" s="965"/>
      <c r="C572" s="965"/>
      <c r="D572" s="966"/>
      <c r="E572" s="967"/>
      <c r="F572" s="965"/>
      <c r="G572" s="965"/>
      <c r="H572" s="965"/>
      <c r="I572" s="965"/>
      <c r="J572" s="965"/>
      <c r="K572" s="965"/>
      <c r="L572" s="965"/>
      <c r="M572" s="965"/>
      <c r="N572" s="965"/>
      <c r="O572" s="965"/>
      <c r="P572" s="965"/>
      <c r="Q572" s="945"/>
      <c r="R572" s="945"/>
      <c r="S572" s="945"/>
      <c r="T572" s="945"/>
      <c r="U572" s="945"/>
      <c r="V572" s="945"/>
      <c r="W572" s="945"/>
      <c r="X572" s="945"/>
      <c r="Y572" s="945"/>
      <c r="Z572" s="945"/>
      <c r="AA572" s="945"/>
      <c r="AB572" s="945"/>
    </row>
    <row r="573" ht="20.25" customHeight="1">
      <c r="A573" s="964"/>
      <c r="B573" s="965"/>
      <c r="C573" s="965"/>
      <c r="D573" s="966"/>
      <c r="E573" s="967"/>
      <c r="F573" s="965"/>
      <c r="G573" s="965"/>
      <c r="H573" s="965"/>
      <c r="I573" s="965"/>
      <c r="J573" s="965"/>
      <c r="K573" s="965"/>
      <c r="L573" s="965"/>
      <c r="M573" s="965"/>
      <c r="N573" s="965"/>
      <c r="O573" s="965"/>
      <c r="P573" s="965"/>
      <c r="Q573" s="945"/>
      <c r="R573" s="945"/>
      <c r="S573" s="945"/>
      <c r="T573" s="945"/>
      <c r="U573" s="945"/>
      <c r="V573" s="945"/>
      <c r="W573" s="945"/>
      <c r="X573" s="945"/>
      <c r="Y573" s="945"/>
      <c r="Z573" s="945"/>
      <c r="AA573" s="945"/>
      <c r="AB573" s="945"/>
    </row>
    <row r="574" ht="20.25" customHeight="1">
      <c r="A574" s="964"/>
      <c r="B574" s="965"/>
      <c r="C574" s="965"/>
      <c r="D574" s="966"/>
      <c r="E574" s="967"/>
      <c r="F574" s="965"/>
      <c r="G574" s="965"/>
      <c r="H574" s="965"/>
      <c r="I574" s="965"/>
      <c r="J574" s="965"/>
      <c r="K574" s="965"/>
      <c r="L574" s="965"/>
      <c r="M574" s="965"/>
      <c r="N574" s="965"/>
      <c r="O574" s="965"/>
      <c r="P574" s="965"/>
      <c r="Q574" s="945"/>
      <c r="R574" s="945"/>
      <c r="S574" s="945"/>
      <c r="T574" s="945"/>
      <c r="U574" s="945"/>
      <c r="V574" s="945"/>
      <c r="W574" s="945"/>
      <c r="X574" s="945"/>
      <c r="Y574" s="945"/>
      <c r="Z574" s="945"/>
      <c r="AA574" s="945"/>
      <c r="AB574" s="945"/>
    </row>
    <row r="575" ht="20.25" customHeight="1">
      <c r="A575" s="964"/>
      <c r="B575" s="965"/>
      <c r="C575" s="965"/>
      <c r="D575" s="966"/>
      <c r="E575" s="967"/>
      <c r="F575" s="965"/>
      <c r="G575" s="965"/>
      <c r="H575" s="965"/>
      <c r="I575" s="965"/>
      <c r="J575" s="965"/>
      <c r="K575" s="965"/>
      <c r="L575" s="965"/>
      <c r="M575" s="965"/>
      <c r="N575" s="965"/>
      <c r="O575" s="965"/>
      <c r="P575" s="965"/>
      <c r="Q575" s="945"/>
      <c r="R575" s="945"/>
      <c r="S575" s="945"/>
      <c r="T575" s="945"/>
      <c r="U575" s="945"/>
      <c r="V575" s="945"/>
      <c r="W575" s="945"/>
      <c r="X575" s="945"/>
      <c r="Y575" s="945"/>
      <c r="Z575" s="945"/>
      <c r="AA575" s="945"/>
      <c r="AB575" s="945"/>
    </row>
    <row r="576" ht="20.25" customHeight="1">
      <c r="A576" s="964"/>
      <c r="B576" s="965"/>
      <c r="C576" s="965"/>
      <c r="D576" s="966"/>
      <c r="E576" s="967"/>
      <c r="F576" s="965"/>
      <c r="G576" s="965"/>
      <c r="H576" s="965"/>
      <c r="I576" s="965"/>
      <c r="J576" s="965"/>
      <c r="K576" s="965"/>
      <c r="L576" s="965"/>
      <c r="M576" s="965"/>
      <c r="N576" s="965"/>
      <c r="O576" s="965"/>
      <c r="P576" s="965"/>
      <c r="Q576" s="945"/>
      <c r="R576" s="945"/>
      <c r="S576" s="945"/>
      <c r="T576" s="945"/>
      <c r="U576" s="945"/>
      <c r="V576" s="945"/>
      <c r="W576" s="945"/>
      <c r="X576" s="945"/>
      <c r="Y576" s="945"/>
      <c r="Z576" s="945"/>
      <c r="AA576" s="945"/>
      <c r="AB576" s="945"/>
    </row>
    <row r="577" ht="20.25" customHeight="1">
      <c r="A577" s="964"/>
      <c r="B577" s="965"/>
      <c r="C577" s="965"/>
      <c r="D577" s="966"/>
      <c r="E577" s="967"/>
      <c r="F577" s="965"/>
      <c r="G577" s="965"/>
      <c r="H577" s="965"/>
      <c r="I577" s="965"/>
      <c r="J577" s="965"/>
      <c r="K577" s="965"/>
      <c r="L577" s="965"/>
      <c r="M577" s="965"/>
      <c r="N577" s="965"/>
      <c r="O577" s="965"/>
      <c r="P577" s="965"/>
      <c r="Q577" s="945"/>
      <c r="R577" s="945"/>
      <c r="S577" s="945"/>
      <c r="T577" s="945"/>
      <c r="U577" s="945"/>
      <c r="V577" s="945"/>
      <c r="W577" s="945"/>
      <c r="X577" s="945"/>
      <c r="Y577" s="945"/>
      <c r="Z577" s="945"/>
      <c r="AA577" s="945"/>
      <c r="AB577" s="945"/>
    </row>
    <row r="578" ht="20.25" customHeight="1">
      <c r="A578" s="964"/>
      <c r="B578" s="965"/>
      <c r="C578" s="965"/>
      <c r="D578" s="966"/>
      <c r="E578" s="967"/>
      <c r="F578" s="965"/>
      <c r="G578" s="965"/>
      <c r="H578" s="965"/>
      <c r="I578" s="965"/>
      <c r="J578" s="965"/>
      <c r="K578" s="965"/>
      <c r="L578" s="965"/>
      <c r="M578" s="965"/>
      <c r="N578" s="965"/>
      <c r="O578" s="965"/>
      <c r="P578" s="965"/>
      <c r="Q578" s="945"/>
      <c r="R578" s="945"/>
      <c r="S578" s="945"/>
      <c r="T578" s="945"/>
      <c r="U578" s="945"/>
      <c r="V578" s="945"/>
      <c r="W578" s="945"/>
      <c r="X578" s="945"/>
      <c r="Y578" s="945"/>
      <c r="Z578" s="945"/>
      <c r="AA578" s="945"/>
      <c r="AB578" s="945"/>
    </row>
    <row r="579" ht="20.25" customHeight="1">
      <c r="A579" s="964"/>
      <c r="B579" s="965"/>
      <c r="C579" s="965"/>
      <c r="D579" s="966"/>
      <c r="E579" s="967"/>
      <c r="F579" s="965"/>
      <c r="G579" s="965"/>
      <c r="H579" s="965"/>
      <c r="I579" s="965"/>
      <c r="J579" s="965"/>
      <c r="K579" s="965"/>
      <c r="L579" s="965"/>
      <c r="M579" s="965"/>
      <c r="N579" s="965"/>
      <c r="O579" s="965"/>
      <c r="P579" s="965"/>
      <c r="Q579" s="945"/>
      <c r="R579" s="945"/>
      <c r="S579" s="945"/>
      <c r="T579" s="945"/>
      <c r="U579" s="945"/>
      <c r="V579" s="945"/>
      <c r="W579" s="945"/>
      <c r="X579" s="945"/>
      <c r="Y579" s="945"/>
      <c r="Z579" s="945"/>
      <c r="AA579" s="945"/>
      <c r="AB579" s="945"/>
    </row>
    <row r="580" ht="20.25" customHeight="1">
      <c r="A580" s="964"/>
      <c r="B580" s="965"/>
      <c r="C580" s="965"/>
      <c r="D580" s="966"/>
      <c r="E580" s="967"/>
      <c r="F580" s="965"/>
      <c r="G580" s="965"/>
      <c r="H580" s="965"/>
      <c r="I580" s="965"/>
      <c r="J580" s="965"/>
      <c r="K580" s="965"/>
      <c r="L580" s="965"/>
      <c r="M580" s="965"/>
      <c r="N580" s="965"/>
      <c r="O580" s="965"/>
      <c r="P580" s="965"/>
      <c r="Q580" s="945"/>
      <c r="R580" s="945"/>
      <c r="S580" s="945"/>
      <c r="T580" s="945"/>
      <c r="U580" s="945"/>
      <c r="V580" s="945"/>
      <c r="W580" s="945"/>
      <c r="X580" s="945"/>
      <c r="Y580" s="945"/>
      <c r="Z580" s="945"/>
      <c r="AA580" s="945"/>
      <c r="AB580" s="945"/>
    </row>
    <row r="581" ht="20.25" customHeight="1">
      <c r="A581" s="964"/>
      <c r="B581" s="965"/>
      <c r="C581" s="965"/>
      <c r="D581" s="966"/>
      <c r="E581" s="967"/>
      <c r="F581" s="965"/>
      <c r="G581" s="965"/>
      <c r="H581" s="965"/>
      <c r="I581" s="965"/>
      <c r="J581" s="965"/>
      <c r="K581" s="965"/>
      <c r="L581" s="965"/>
      <c r="M581" s="965"/>
      <c r="N581" s="965"/>
      <c r="O581" s="965"/>
      <c r="P581" s="965"/>
      <c r="Q581" s="945"/>
      <c r="R581" s="945"/>
      <c r="S581" s="945"/>
      <c r="T581" s="945"/>
      <c r="U581" s="945"/>
      <c r="V581" s="945"/>
      <c r="W581" s="945"/>
      <c r="X581" s="945"/>
      <c r="Y581" s="945"/>
      <c r="Z581" s="945"/>
      <c r="AA581" s="945"/>
      <c r="AB581" s="945"/>
    </row>
    <row r="582" ht="20.25" customHeight="1">
      <c r="A582" s="964"/>
      <c r="B582" s="965"/>
      <c r="C582" s="965"/>
      <c r="D582" s="966"/>
      <c r="E582" s="967"/>
      <c r="F582" s="965"/>
      <c r="G582" s="965"/>
      <c r="H582" s="965"/>
      <c r="I582" s="965"/>
      <c r="J582" s="965"/>
      <c r="K582" s="965"/>
      <c r="L582" s="965"/>
      <c r="M582" s="965"/>
      <c r="N582" s="965"/>
      <c r="O582" s="965"/>
      <c r="P582" s="965"/>
      <c r="Q582" s="945"/>
      <c r="R582" s="945"/>
      <c r="S582" s="945"/>
      <c r="T582" s="945"/>
      <c r="U582" s="945"/>
      <c r="V582" s="945"/>
      <c r="W582" s="945"/>
      <c r="X582" s="945"/>
      <c r="Y582" s="945"/>
      <c r="Z582" s="945"/>
      <c r="AA582" s="945"/>
      <c r="AB582" s="945"/>
    </row>
    <row r="583" ht="20.25" customHeight="1">
      <c r="A583" s="964"/>
      <c r="B583" s="965"/>
      <c r="C583" s="965"/>
      <c r="D583" s="966"/>
      <c r="E583" s="967"/>
      <c r="F583" s="965"/>
      <c r="G583" s="965"/>
      <c r="H583" s="965"/>
      <c r="I583" s="965"/>
      <c r="J583" s="965"/>
      <c r="K583" s="965"/>
      <c r="L583" s="965"/>
      <c r="M583" s="965"/>
      <c r="N583" s="965"/>
      <c r="O583" s="965"/>
      <c r="P583" s="965"/>
      <c r="Q583" s="945"/>
      <c r="R583" s="945"/>
      <c r="S583" s="945"/>
      <c r="T583" s="945"/>
      <c r="U583" s="945"/>
      <c r="V583" s="945"/>
      <c r="W583" s="945"/>
      <c r="X583" s="945"/>
      <c r="Y583" s="945"/>
      <c r="Z583" s="945"/>
      <c r="AA583" s="945"/>
      <c r="AB583" s="945"/>
    </row>
    <row r="584" ht="20.25" customHeight="1">
      <c r="A584" s="964"/>
      <c r="B584" s="965"/>
      <c r="C584" s="965"/>
      <c r="D584" s="966"/>
      <c r="E584" s="967"/>
      <c r="F584" s="965"/>
      <c r="G584" s="965"/>
      <c r="H584" s="965"/>
      <c r="I584" s="965"/>
      <c r="J584" s="965"/>
      <c r="K584" s="965"/>
      <c r="L584" s="965"/>
      <c r="M584" s="965"/>
      <c r="N584" s="965"/>
      <c r="O584" s="965"/>
      <c r="P584" s="965"/>
      <c r="Q584" s="945"/>
      <c r="R584" s="945"/>
      <c r="S584" s="945"/>
      <c r="T584" s="945"/>
      <c r="U584" s="945"/>
      <c r="V584" s="945"/>
      <c r="W584" s="945"/>
      <c r="X584" s="945"/>
      <c r="Y584" s="945"/>
      <c r="Z584" s="945"/>
      <c r="AA584" s="945"/>
      <c r="AB584" s="945"/>
    </row>
    <row r="585" ht="20.25" customHeight="1">
      <c r="A585" s="964"/>
      <c r="B585" s="965"/>
      <c r="C585" s="965"/>
      <c r="D585" s="966"/>
      <c r="E585" s="967"/>
      <c r="F585" s="965"/>
      <c r="G585" s="965"/>
      <c r="H585" s="965"/>
      <c r="I585" s="965"/>
      <c r="J585" s="965"/>
      <c r="K585" s="965"/>
      <c r="L585" s="965"/>
      <c r="M585" s="965"/>
      <c r="N585" s="965"/>
      <c r="O585" s="965"/>
      <c r="P585" s="965"/>
      <c r="Q585" s="945"/>
      <c r="R585" s="945"/>
      <c r="S585" s="945"/>
      <c r="T585" s="945"/>
      <c r="U585" s="945"/>
      <c r="V585" s="945"/>
      <c r="W585" s="945"/>
      <c r="X585" s="945"/>
      <c r="Y585" s="945"/>
      <c r="Z585" s="945"/>
      <c r="AA585" s="945"/>
      <c r="AB585" s="945"/>
    </row>
    <row r="586" ht="20.25" customHeight="1">
      <c r="A586" s="964"/>
      <c r="B586" s="965"/>
      <c r="C586" s="965"/>
      <c r="D586" s="966"/>
      <c r="E586" s="967"/>
      <c r="F586" s="965"/>
      <c r="G586" s="965"/>
      <c r="H586" s="965"/>
      <c r="I586" s="965"/>
      <c r="J586" s="965"/>
      <c r="K586" s="965"/>
      <c r="L586" s="965"/>
      <c r="M586" s="965"/>
      <c r="N586" s="965"/>
      <c r="O586" s="965"/>
      <c r="P586" s="965"/>
      <c r="Q586" s="945"/>
      <c r="R586" s="945"/>
      <c r="S586" s="945"/>
      <c r="T586" s="945"/>
      <c r="U586" s="945"/>
      <c r="V586" s="945"/>
      <c r="W586" s="945"/>
      <c r="X586" s="945"/>
      <c r="Y586" s="945"/>
      <c r="Z586" s="945"/>
      <c r="AA586" s="945"/>
      <c r="AB586" s="945"/>
    </row>
    <row r="587" ht="20.25" customHeight="1">
      <c r="A587" s="964"/>
      <c r="B587" s="965"/>
      <c r="C587" s="965"/>
      <c r="D587" s="966"/>
      <c r="E587" s="967"/>
      <c r="F587" s="965"/>
      <c r="G587" s="965"/>
      <c r="H587" s="965"/>
      <c r="I587" s="965"/>
      <c r="J587" s="965"/>
      <c r="K587" s="965"/>
      <c r="L587" s="965"/>
      <c r="M587" s="965"/>
      <c r="N587" s="965"/>
      <c r="O587" s="965"/>
      <c r="P587" s="965"/>
      <c r="Q587" s="945"/>
      <c r="R587" s="945"/>
      <c r="S587" s="945"/>
      <c r="T587" s="945"/>
      <c r="U587" s="945"/>
      <c r="V587" s="945"/>
      <c r="W587" s="945"/>
      <c r="X587" s="945"/>
      <c r="Y587" s="945"/>
      <c r="Z587" s="945"/>
      <c r="AA587" s="945"/>
      <c r="AB587" s="945"/>
    </row>
    <row r="588" ht="20.25" customHeight="1">
      <c r="A588" s="964"/>
      <c r="B588" s="965"/>
      <c r="C588" s="965"/>
      <c r="D588" s="966"/>
      <c r="E588" s="967"/>
      <c r="F588" s="965"/>
      <c r="G588" s="965"/>
      <c r="H588" s="965"/>
      <c r="I588" s="965"/>
      <c r="J588" s="965"/>
      <c r="K588" s="965"/>
      <c r="L588" s="965"/>
      <c r="M588" s="965"/>
      <c r="N588" s="965"/>
      <c r="O588" s="965"/>
      <c r="P588" s="965"/>
      <c r="Q588" s="945"/>
      <c r="R588" s="945"/>
      <c r="S588" s="945"/>
      <c r="T588" s="945"/>
      <c r="U588" s="945"/>
      <c r="V588" s="945"/>
      <c r="W588" s="945"/>
      <c r="X588" s="945"/>
      <c r="Y588" s="945"/>
      <c r="Z588" s="945"/>
      <c r="AA588" s="945"/>
      <c r="AB588" s="945"/>
    </row>
    <row r="589" ht="20.25" customHeight="1">
      <c r="A589" s="964"/>
      <c r="B589" s="965"/>
      <c r="C589" s="965"/>
      <c r="D589" s="966"/>
      <c r="E589" s="967"/>
      <c r="F589" s="965"/>
      <c r="G589" s="965"/>
      <c r="H589" s="965"/>
      <c r="I589" s="965"/>
      <c r="J589" s="965"/>
      <c r="K589" s="965"/>
      <c r="L589" s="965"/>
      <c r="M589" s="965"/>
      <c r="N589" s="965"/>
      <c r="O589" s="965"/>
      <c r="P589" s="965"/>
      <c r="Q589" s="945"/>
      <c r="R589" s="945"/>
      <c r="S589" s="945"/>
      <c r="T589" s="945"/>
      <c r="U589" s="945"/>
      <c r="V589" s="945"/>
      <c r="W589" s="945"/>
      <c r="X589" s="945"/>
      <c r="Y589" s="945"/>
      <c r="Z589" s="945"/>
      <c r="AA589" s="945"/>
      <c r="AB589" s="945"/>
    </row>
    <row r="590" ht="20.25" customHeight="1">
      <c r="A590" s="964"/>
      <c r="B590" s="965"/>
      <c r="C590" s="965"/>
      <c r="D590" s="966"/>
      <c r="E590" s="967"/>
      <c r="F590" s="965"/>
      <c r="G590" s="965"/>
      <c r="H590" s="965"/>
      <c r="I590" s="965"/>
      <c r="J590" s="965"/>
      <c r="K590" s="965"/>
      <c r="L590" s="965"/>
      <c r="M590" s="965"/>
      <c r="N590" s="965"/>
      <c r="O590" s="965"/>
      <c r="P590" s="965"/>
      <c r="Q590" s="945"/>
      <c r="R590" s="945"/>
      <c r="S590" s="945"/>
      <c r="T590" s="945"/>
      <c r="U590" s="945"/>
      <c r="V590" s="945"/>
      <c r="W590" s="945"/>
      <c r="X590" s="945"/>
      <c r="Y590" s="945"/>
      <c r="Z590" s="945"/>
      <c r="AA590" s="945"/>
      <c r="AB590" s="945"/>
    </row>
    <row r="591" ht="20.25" customHeight="1">
      <c r="A591" s="964"/>
      <c r="B591" s="965"/>
      <c r="C591" s="965"/>
      <c r="D591" s="966"/>
      <c r="E591" s="967"/>
      <c r="F591" s="965"/>
      <c r="G591" s="965"/>
      <c r="H591" s="965"/>
      <c r="I591" s="965"/>
      <c r="J591" s="965"/>
      <c r="K591" s="965"/>
      <c r="L591" s="965"/>
      <c r="M591" s="965"/>
      <c r="N591" s="965"/>
      <c r="O591" s="965"/>
      <c r="P591" s="965"/>
      <c r="Q591" s="945"/>
      <c r="R591" s="945"/>
      <c r="S591" s="945"/>
      <c r="T591" s="945"/>
      <c r="U591" s="945"/>
      <c r="V591" s="945"/>
      <c r="W591" s="945"/>
      <c r="X591" s="945"/>
      <c r="Y591" s="945"/>
      <c r="Z591" s="945"/>
      <c r="AA591" s="945"/>
      <c r="AB591" s="945"/>
    </row>
    <row r="592" ht="20.25" customHeight="1">
      <c r="A592" s="964"/>
      <c r="B592" s="965"/>
      <c r="C592" s="965"/>
      <c r="D592" s="966"/>
      <c r="E592" s="967"/>
      <c r="F592" s="965"/>
      <c r="G592" s="965"/>
      <c r="H592" s="965"/>
      <c r="I592" s="965"/>
      <c r="J592" s="965"/>
      <c r="K592" s="965"/>
      <c r="L592" s="965"/>
      <c r="M592" s="965"/>
      <c r="N592" s="965"/>
      <c r="O592" s="965"/>
      <c r="P592" s="965"/>
      <c r="Q592" s="945"/>
      <c r="R592" s="945"/>
      <c r="S592" s="945"/>
      <c r="T592" s="945"/>
      <c r="U592" s="945"/>
      <c r="V592" s="945"/>
      <c r="W592" s="945"/>
      <c r="X592" s="945"/>
      <c r="Y592" s="945"/>
      <c r="Z592" s="945"/>
      <c r="AA592" s="945"/>
      <c r="AB592" s="945"/>
    </row>
    <row r="593" ht="20.25" customHeight="1">
      <c r="A593" s="964"/>
      <c r="B593" s="965"/>
      <c r="C593" s="965"/>
      <c r="D593" s="966"/>
      <c r="E593" s="967"/>
      <c r="F593" s="965"/>
      <c r="G593" s="965"/>
      <c r="H593" s="965"/>
      <c r="I593" s="965"/>
      <c r="J593" s="965"/>
      <c r="K593" s="965"/>
      <c r="L593" s="965"/>
      <c r="M593" s="965"/>
      <c r="N593" s="965"/>
      <c r="O593" s="965"/>
      <c r="P593" s="965"/>
      <c r="Q593" s="945"/>
      <c r="R593" s="945"/>
      <c r="S593" s="945"/>
      <c r="T593" s="945"/>
      <c r="U593" s="945"/>
      <c r="V593" s="945"/>
      <c r="W593" s="945"/>
      <c r="X593" s="945"/>
      <c r="Y593" s="945"/>
      <c r="Z593" s="945"/>
      <c r="AA593" s="945"/>
      <c r="AB593" s="945"/>
    </row>
    <row r="594" ht="20.25" customHeight="1">
      <c r="A594" s="964"/>
      <c r="B594" s="965"/>
      <c r="C594" s="965"/>
      <c r="D594" s="966"/>
      <c r="E594" s="967"/>
      <c r="F594" s="965"/>
      <c r="G594" s="965"/>
      <c r="H594" s="965"/>
      <c r="I594" s="965"/>
      <c r="J594" s="965"/>
      <c r="K594" s="965"/>
      <c r="L594" s="965"/>
      <c r="M594" s="965"/>
      <c r="N594" s="965"/>
      <c r="O594" s="965"/>
      <c r="P594" s="965"/>
      <c r="Q594" s="945"/>
      <c r="R594" s="945"/>
      <c r="S594" s="945"/>
      <c r="T594" s="945"/>
      <c r="U594" s="945"/>
      <c r="V594" s="945"/>
      <c r="W594" s="945"/>
      <c r="X594" s="945"/>
      <c r="Y594" s="945"/>
      <c r="Z594" s="945"/>
      <c r="AA594" s="945"/>
      <c r="AB594" s="945"/>
    </row>
    <row r="595" ht="20.25" customHeight="1">
      <c r="A595" s="964"/>
      <c r="B595" s="965"/>
      <c r="C595" s="965"/>
      <c r="D595" s="966"/>
      <c r="E595" s="967"/>
      <c r="F595" s="965"/>
      <c r="G595" s="965"/>
      <c r="H595" s="965"/>
      <c r="I595" s="965"/>
      <c r="J595" s="965"/>
      <c r="K595" s="965"/>
      <c r="L595" s="965"/>
      <c r="M595" s="965"/>
      <c r="N595" s="965"/>
      <c r="O595" s="965"/>
      <c r="P595" s="965"/>
      <c r="Q595" s="945"/>
      <c r="R595" s="945"/>
      <c r="S595" s="945"/>
      <c r="T595" s="945"/>
      <c r="U595" s="945"/>
      <c r="V595" s="945"/>
      <c r="W595" s="945"/>
      <c r="X595" s="945"/>
      <c r="Y595" s="945"/>
      <c r="Z595" s="945"/>
      <c r="AA595" s="945"/>
      <c r="AB595" s="945"/>
    </row>
    <row r="596" ht="20.25" customHeight="1">
      <c r="A596" s="964"/>
      <c r="B596" s="965"/>
      <c r="C596" s="965"/>
      <c r="D596" s="966"/>
      <c r="E596" s="967"/>
      <c r="F596" s="965"/>
      <c r="G596" s="965"/>
      <c r="H596" s="965"/>
      <c r="I596" s="965"/>
      <c r="J596" s="965"/>
      <c r="K596" s="965"/>
      <c r="L596" s="965"/>
      <c r="M596" s="965"/>
      <c r="N596" s="965"/>
      <c r="O596" s="965"/>
      <c r="P596" s="965"/>
      <c r="Q596" s="945"/>
      <c r="R596" s="945"/>
      <c r="S596" s="945"/>
      <c r="T596" s="945"/>
      <c r="U596" s="945"/>
      <c r="V596" s="945"/>
      <c r="W596" s="945"/>
      <c r="X596" s="945"/>
      <c r="Y596" s="945"/>
      <c r="Z596" s="945"/>
      <c r="AA596" s="945"/>
      <c r="AB596" s="945"/>
    </row>
    <row r="597" ht="20.25" customHeight="1">
      <c r="A597" s="964"/>
      <c r="B597" s="965"/>
      <c r="C597" s="965"/>
      <c r="D597" s="966"/>
      <c r="E597" s="967"/>
      <c r="F597" s="965"/>
      <c r="G597" s="965"/>
      <c r="H597" s="965"/>
      <c r="I597" s="965"/>
      <c r="J597" s="965"/>
      <c r="K597" s="965"/>
      <c r="L597" s="965"/>
      <c r="M597" s="965"/>
      <c r="N597" s="965"/>
      <c r="O597" s="965"/>
      <c r="P597" s="965"/>
      <c r="Q597" s="945"/>
      <c r="R597" s="945"/>
      <c r="S597" s="945"/>
      <c r="T597" s="945"/>
      <c r="U597" s="945"/>
      <c r="V597" s="945"/>
      <c r="W597" s="945"/>
      <c r="X597" s="945"/>
      <c r="Y597" s="945"/>
      <c r="Z597" s="945"/>
      <c r="AA597" s="945"/>
      <c r="AB597" s="945"/>
    </row>
    <row r="598" ht="20.25" customHeight="1">
      <c r="A598" s="964"/>
      <c r="B598" s="965"/>
      <c r="C598" s="965"/>
      <c r="D598" s="966"/>
      <c r="E598" s="967"/>
      <c r="F598" s="965"/>
      <c r="G598" s="965"/>
      <c r="H598" s="965"/>
      <c r="I598" s="965"/>
      <c r="J598" s="965"/>
      <c r="K598" s="965"/>
      <c r="L598" s="965"/>
      <c r="M598" s="965"/>
      <c r="N598" s="965"/>
      <c r="O598" s="965"/>
      <c r="P598" s="965"/>
      <c r="Q598" s="945"/>
      <c r="R598" s="945"/>
      <c r="S598" s="945"/>
      <c r="T598" s="945"/>
      <c r="U598" s="945"/>
      <c r="V598" s="945"/>
      <c r="W598" s="945"/>
      <c r="X598" s="945"/>
      <c r="Y598" s="945"/>
      <c r="Z598" s="945"/>
      <c r="AA598" s="945"/>
      <c r="AB598" s="945"/>
    </row>
    <row r="599" ht="20.25" customHeight="1">
      <c r="A599" s="964"/>
      <c r="B599" s="965"/>
      <c r="C599" s="965"/>
      <c r="D599" s="966"/>
      <c r="E599" s="967"/>
      <c r="F599" s="965"/>
      <c r="G599" s="965"/>
      <c r="H599" s="965"/>
      <c r="I599" s="965"/>
      <c r="J599" s="965"/>
      <c r="K599" s="965"/>
      <c r="L599" s="965"/>
      <c r="M599" s="965"/>
      <c r="N599" s="965"/>
      <c r="O599" s="965"/>
      <c r="P599" s="965"/>
      <c r="Q599" s="945"/>
      <c r="R599" s="945"/>
      <c r="S599" s="945"/>
      <c r="T599" s="945"/>
      <c r="U599" s="945"/>
      <c r="V599" s="945"/>
      <c r="W599" s="945"/>
      <c r="X599" s="945"/>
      <c r="Y599" s="945"/>
      <c r="Z599" s="945"/>
      <c r="AA599" s="945"/>
      <c r="AB599" s="945"/>
    </row>
    <row r="600" ht="20.25" customHeight="1">
      <c r="A600" s="964"/>
      <c r="B600" s="965"/>
      <c r="C600" s="965"/>
      <c r="D600" s="966"/>
      <c r="E600" s="967"/>
      <c r="F600" s="965"/>
      <c r="G600" s="965"/>
      <c r="H600" s="965"/>
      <c r="I600" s="965"/>
      <c r="J600" s="965"/>
      <c r="K600" s="965"/>
      <c r="L600" s="965"/>
      <c r="M600" s="965"/>
      <c r="N600" s="965"/>
      <c r="O600" s="965"/>
      <c r="P600" s="965"/>
      <c r="Q600" s="945"/>
      <c r="R600" s="945"/>
      <c r="S600" s="945"/>
      <c r="T600" s="945"/>
      <c r="U600" s="945"/>
      <c r="V600" s="945"/>
      <c r="W600" s="945"/>
      <c r="X600" s="945"/>
      <c r="Y600" s="945"/>
      <c r="Z600" s="945"/>
      <c r="AA600" s="945"/>
      <c r="AB600" s="945"/>
    </row>
    <row r="601" ht="20.25" customHeight="1">
      <c r="A601" s="964"/>
      <c r="B601" s="965"/>
      <c r="C601" s="965"/>
      <c r="D601" s="966"/>
      <c r="E601" s="967"/>
      <c r="F601" s="965"/>
      <c r="G601" s="965"/>
      <c r="H601" s="965"/>
      <c r="I601" s="965"/>
      <c r="J601" s="965"/>
      <c r="K601" s="965"/>
      <c r="L601" s="965"/>
      <c r="M601" s="965"/>
      <c r="N601" s="965"/>
      <c r="O601" s="965"/>
      <c r="P601" s="965"/>
      <c r="Q601" s="945"/>
      <c r="R601" s="945"/>
      <c r="S601" s="945"/>
      <c r="T601" s="945"/>
      <c r="U601" s="945"/>
      <c r="V601" s="945"/>
      <c r="W601" s="945"/>
      <c r="X601" s="945"/>
      <c r="Y601" s="945"/>
      <c r="Z601" s="945"/>
      <c r="AA601" s="945"/>
      <c r="AB601" s="945"/>
    </row>
    <row r="602" ht="20.25" customHeight="1">
      <c r="A602" s="964"/>
      <c r="B602" s="965"/>
      <c r="C602" s="965"/>
      <c r="D602" s="966"/>
      <c r="E602" s="967"/>
      <c r="F602" s="965"/>
      <c r="G602" s="965"/>
      <c r="H602" s="965"/>
      <c r="I602" s="965"/>
      <c r="J602" s="965"/>
      <c r="K602" s="965"/>
      <c r="L602" s="965"/>
      <c r="M602" s="965"/>
      <c r="N602" s="965"/>
      <c r="O602" s="965"/>
      <c r="P602" s="965"/>
      <c r="Q602" s="945"/>
      <c r="R602" s="945"/>
      <c r="S602" s="945"/>
      <c r="T602" s="945"/>
      <c r="U602" s="945"/>
      <c r="V602" s="945"/>
      <c r="W602" s="945"/>
      <c r="X602" s="945"/>
      <c r="Y602" s="945"/>
      <c r="Z602" s="945"/>
      <c r="AA602" s="945"/>
      <c r="AB602" s="945"/>
    </row>
    <row r="603" ht="20.25" customHeight="1">
      <c r="A603" s="964"/>
      <c r="B603" s="965"/>
      <c r="C603" s="965"/>
      <c r="D603" s="966"/>
      <c r="E603" s="967"/>
      <c r="F603" s="965"/>
      <c r="G603" s="965"/>
      <c r="H603" s="965"/>
      <c r="I603" s="965"/>
      <c r="J603" s="965"/>
      <c r="K603" s="965"/>
      <c r="L603" s="965"/>
      <c r="M603" s="965"/>
      <c r="N603" s="965"/>
      <c r="O603" s="965"/>
      <c r="P603" s="965"/>
      <c r="Q603" s="945"/>
      <c r="R603" s="945"/>
      <c r="S603" s="945"/>
      <c r="T603" s="945"/>
      <c r="U603" s="945"/>
      <c r="V603" s="945"/>
      <c r="W603" s="945"/>
      <c r="X603" s="945"/>
      <c r="Y603" s="945"/>
      <c r="Z603" s="945"/>
      <c r="AA603" s="945"/>
      <c r="AB603" s="945"/>
    </row>
    <row r="604" ht="20.25" customHeight="1">
      <c r="A604" s="964"/>
      <c r="B604" s="965"/>
      <c r="C604" s="965"/>
      <c r="D604" s="966"/>
      <c r="E604" s="967"/>
      <c r="F604" s="965"/>
      <c r="G604" s="965"/>
      <c r="H604" s="965"/>
      <c r="I604" s="965"/>
      <c r="J604" s="965"/>
      <c r="K604" s="965"/>
      <c r="L604" s="965"/>
      <c r="M604" s="965"/>
      <c r="N604" s="965"/>
      <c r="O604" s="965"/>
      <c r="P604" s="965"/>
      <c r="Q604" s="945"/>
      <c r="R604" s="945"/>
      <c r="S604" s="945"/>
      <c r="T604" s="945"/>
      <c r="U604" s="945"/>
      <c r="V604" s="945"/>
      <c r="W604" s="945"/>
      <c r="X604" s="945"/>
      <c r="Y604" s="945"/>
      <c r="Z604" s="945"/>
      <c r="AA604" s="945"/>
      <c r="AB604" s="945"/>
    </row>
    <row r="605" ht="20.25" customHeight="1">
      <c r="A605" s="964"/>
      <c r="B605" s="965"/>
      <c r="C605" s="965"/>
      <c r="D605" s="966"/>
      <c r="E605" s="967"/>
      <c r="F605" s="965"/>
      <c r="G605" s="965"/>
      <c r="H605" s="965"/>
      <c r="I605" s="965"/>
      <c r="J605" s="965"/>
      <c r="K605" s="965"/>
      <c r="L605" s="965"/>
      <c r="M605" s="965"/>
      <c r="N605" s="965"/>
      <c r="O605" s="965"/>
      <c r="P605" s="965"/>
      <c r="Q605" s="945"/>
      <c r="R605" s="945"/>
      <c r="S605" s="945"/>
      <c r="T605" s="945"/>
      <c r="U605" s="945"/>
      <c r="V605" s="945"/>
      <c r="W605" s="945"/>
      <c r="X605" s="945"/>
      <c r="Y605" s="945"/>
      <c r="Z605" s="945"/>
      <c r="AA605" s="945"/>
      <c r="AB605" s="945"/>
    </row>
    <row r="606" ht="20.25" customHeight="1">
      <c r="A606" s="964"/>
      <c r="B606" s="965"/>
      <c r="C606" s="965"/>
      <c r="D606" s="966"/>
      <c r="E606" s="967"/>
      <c r="F606" s="965"/>
      <c r="G606" s="965"/>
      <c r="H606" s="965"/>
      <c r="I606" s="965"/>
      <c r="J606" s="965"/>
      <c r="K606" s="965"/>
      <c r="L606" s="965"/>
      <c r="M606" s="965"/>
      <c r="N606" s="965"/>
      <c r="O606" s="965"/>
      <c r="P606" s="965"/>
      <c r="Q606" s="945"/>
      <c r="R606" s="945"/>
      <c r="S606" s="945"/>
      <c r="T606" s="945"/>
      <c r="U606" s="945"/>
      <c r="V606" s="945"/>
      <c r="W606" s="945"/>
      <c r="X606" s="945"/>
      <c r="Y606" s="945"/>
      <c r="Z606" s="945"/>
      <c r="AA606" s="945"/>
      <c r="AB606" s="945"/>
    </row>
    <row r="607" ht="20.25" customHeight="1">
      <c r="A607" s="964"/>
      <c r="B607" s="965"/>
      <c r="C607" s="965"/>
      <c r="D607" s="966"/>
      <c r="E607" s="967"/>
      <c r="F607" s="965"/>
      <c r="G607" s="965"/>
      <c r="H607" s="965"/>
      <c r="I607" s="965"/>
      <c r="J607" s="965"/>
      <c r="K607" s="965"/>
      <c r="L607" s="965"/>
      <c r="M607" s="965"/>
      <c r="N607" s="965"/>
      <c r="O607" s="965"/>
      <c r="P607" s="965"/>
      <c r="Q607" s="945"/>
      <c r="R607" s="945"/>
      <c r="S607" s="945"/>
      <c r="T607" s="945"/>
      <c r="U607" s="945"/>
      <c r="V607" s="945"/>
      <c r="W607" s="945"/>
      <c r="X607" s="945"/>
      <c r="Y607" s="945"/>
      <c r="Z607" s="945"/>
      <c r="AA607" s="945"/>
      <c r="AB607" s="945"/>
    </row>
    <row r="608" ht="20.25" customHeight="1">
      <c r="A608" s="964"/>
      <c r="B608" s="965"/>
      <c r="C608" s="965"/>
      <c r="D608" s="966"/>
      <c r="E608" s="967"/>
      <c r="F608" s="965"/>
      <c r="G608" s="965"/>
      <c r="H608" s="965"/>
      <c r="I608" s="965"/>
      <c r="J608" s="965"/>
      <c r="K608" s="965"/>
      <c r="L608" s="965"/>
      <c r="M608" s="965"/>
      <c r="N608" s="965"/>
      <c r="O608" s="965"/>
      <c r="P608" s="965"/>
      <c r="Q608" s="945"/>
      <c r="R608" s="945"/>
      <c r="S608" s="945"/>
      <c r="T608" s="945"/>
      <c r="U608" s="945"/>
      <c r="V608" s="945"/>
      <c r="W608" s="945"/>
      <c r="X608" s="945"/>
      <c r="Y608" s="945"/>
      <c r="Z608" s="945"/>
      <c r="AA608" s="945"/>
      <c r="AB608" s="945"/>
    </row>
    <row r="609" ht="20.25" customHeight="1">
      <c r="A609" s="964"/>
      <c r="B609" s="965"/>
      <c r="C609" s="965"/>
      <c r="D609" s="966"/>
      <c r="E609" s="967"/>
      <c r="F609" s="965"/>
      <c r="G609" s="965"/>
      <c r="H609" s="965"/>
      <c r="I609" s="965"/>
      <c r="J609" s="965"/>
      <c r="K609" s="965"/>
      <c r="L609" s="965"/>
      <c r="M609" s="965"/>
      <c r="N609" s="965"/>
      <c r="O609" s="965"/>
      <c r="P609" s="965"/>
      <c r="Q609" s="945"/>
      <c r="R609" s="945"/>
      <c r="S609" s="945"/>
      <c r="T609" s="945"/>
      <c r="U609" s="945"/>
      <c r="V609" s="945"/>
      <c r="W609" s="945"/>
      <c r="X609" s="945"/>
      <c r="Y609" s="945"/>
      <c r="Z609" s="945"/>
      <c r="AA609" s="945"/>
      <c r="AB609" s="945"/>
    </row>
    <row r="610" ht="20.25" customHeight="1">
      <c r="A610" s="964"/>
      <c r="B610" s="965"/>
      <c r="C610" s="965"/>
      <c r="D610" s="966"/>
      <c r="E610" s="967"/>
      <c r="F610" s="965"/>
      <c r="G610" s="965"/>
      <c r="H610" s="965"/>
      <c r="I610" s="965"/>
      <c r="J610" s="965"/>
      <c r="K610" s="965"/>
      <c r="L610" s="965"/>
      <c r="M610" s="965"/>
      <c r="N610" s="965"/>
      <c r="O610" s="965"/>
      <c r="P610" s="965"/>
      <c r="Q610" s="945"/>
      <c r="R610" s="945"/>
      <c r="S610" s="945"/>
      <c r="T610" s="945"/>
      <c r="U610" s="945"/>
      <c r="V610" s="945"/>
      <c r="W610" s="945"/>
      <c r="X610" s="945"/>
      <c r="Y610" s="945"/>
      <c r="Z610" s="945"/>
      <c r="AA610" s="945"/>
      <c r="AB610" s="945"/>
    </row>
    <row r="611" ht="20.25" customHeight="1">
      <c r="A611" s="964"/>
      <c r="B611" s="965"/>
      <c r="C611" s="965"/>
      <c r="D611" s="966"/>
      <c r="E611" s="967"/>
      <c r="F611" s="965"/>
      <c r="G611" s="965"/>
      <c r="H611" s="965"/>
      <c r="I611" s="965"/>
      <c r="J611" s="965"/>
      <c r="K611" s="965"/>
      <c r="L611" s="965"/>
      <c r="M611" s="965"/>
      <c r="N611" s="965"/>
      <c r="O611" s="965"/>
      <c r="P611" s="965"/>
      <c r="Q611" s="945"/>
      <c r="R611" s="945"/>
      <c r="S611" s="945"/>
      <c r="T611" s="945"/>
      <c r="U611" s="945"/>
      <c r="V611" s="945"/>
      <c r="W611" s="945"/>
      <c r="X611" s="945"/>
      <c r="Y611" s="945"/>
      <c r="Z611" s="945"/>
      <c r="AA611" s="945"/>
      <c r="AB611" s="945"/>
    </row>
    <row r="612" ht="20.25" customHeight="1">
      <c r="A612" s="964"/>
      <c r="B612" s="965"/>
      <c r="C612" s="965"/>
      <c r="D612" s="966"/>
      <c r="E612" s="967"/>
      <c r="F612" s="965"/>
      <c r="G612" s="965"/>
      <c r="H612" s="965"/>
      <c r="I612" s="965"/>
      <c r="J612" s="965"/>
      <c r="K612" s="965"/>
      <c r="L612" s="965"/>
      <c r="M612" s="965"/>
      <c r="N612" s="965"/>
      <c r="O612" s="965"/>
      <c r="P612" s="965"/>
      <c r="Q612" s="945"/>
      <c r="R612" s="945"/>
      <c r="S612" s="945"/>
      <c r="T612" s="945"/>
      <c r="U612" s="945"/>
      <c r="V612" s="945"/>
      <c r="W612" s="945"/>
      <c r="X612" s="945"/>
      <c r="Y612" s="945"/>
      <c r="Z612" s="945"/>
      <c r="AA612" s="945"/>
      <c r="AB612" s="945"/>
    </row>
    <row r="613" ht="20.25" customHeight="1">
      <c r="A613" s="964"/>
      <c r="B613" s="965"/>
      <c r="C613" s="965"/>
      <c r="D613" s="966"/>
      <c r="E613" s="967"/>
      <c r="F613" s="965"/>
      <c r="G613" s="965"/>
      <c r="H613" s="965"/>
      <c r="I613" s="965"/>
      <c r="J613" s="965"/>
      <c r="K613" s="965"/>
      <c r="L613" s="965"/>
      <c r="M613" s="965"/>
      <c r="N613" s="965"/>
      <c r="O613" s="965"/>
      <c r="P613" s="965"/>
      <c r="Q613" s="945"/>
      <c r="R613" s="945"/>
      <c r="S613" s="945"/>
      <c r="T613" s="945"/>
      <c r="U613" s="945"/>
      <c r="V613" s="945"/>
      <c r="W613" s="945"/>
      <c r="X613" s="945"/>
      <c r="Y613" s="945"/>
      <c r="Z613" s="945"/>
      <c r="AA613" s="945"/>
      <c r="AB613" s="945"/>
    </row>
    <row r="614" ht="20.25" customHeight="1">
      <c r="A614" s="964"/>
      <c r="B614" s="965"/>
      <c r="C614" s="965"/>
      <c r="D614" s="966"/>
      <c r="E614" s="967"/>
      <c r="F614" s="965"/>
      <c r="G614" s="965"/>
      <c r="H614" s="965"/>
      <c r="I614" s="965"/>
      <c r="J614" s="965"/>
      <c r="K614" s="965"/>
      <c r="L614" s="965"/>
      <c r="M614" s="965"/>
      <c r="N614" s="965"/>
      <c r="O614" s="965"/>
      <c r="P614" s="965"/>
      <c r="Q614" s="945"/>
      <c r="R614" s="945"/>
      <c r="S614" s="945"/>
      <c r="T614" s="945"/>
      <c r="U614" s="945"/>
      <c r="V614" s="945"/>
      <c r="W614" s="945"/>
      <c r="X614" s="945"/>
      <c r="Y614" s="945"/>
      <c r="Z614" s="945"/>
      <c r="AA614" s="945"/>
      <c r="AB614" s="945"/>
    </row>
    <row r="615" ht="20.25" customHeight="1">
      <c r="A615" s="964"/>
      <c r="B615" s="965"/>
      <c r="C615" s="965"/>
      <c r="D615" s="966"/>
      <c r="E615" s="967"/>
      <c r="F615" s="965"/>
      <c r="G615" s="965"/>
      <c r="H615" s="965"/>
      <c r="I615" s="965"/>
      <c r="J615" s="965"/>
      <c r="K615" s="965"/>
      <c r="L615" s="965"/>
      <c r="M615" s="965"/>
      <c r="N615" s="965"/>
      <c r="O615" s="965"/>
      <c r="P615" s="965"/>
      <c r="Q615" s="945"/>
      <c r="R615" s="945"/>
      <c r="S615" s="945"/>
      <c r="T615" s="945"/>
      <c r="U615" s="945"/>
      <c r="V615" s="945"/>
      <c r="W615" s="945"/>
      <c r="X615" s="945"/>
      <c r="Y615" s="945"/>
      <c r="Z615" s="945"/>
      <c r="AA615" s="945"/>
      <c r="AB615" s="945"/>
    </row>
    <row r="616" ht="20.25" customHeight="1">
      <c r="A616" s="964"/>
      <c r="B616" s="965"/>
      <c r="C616" s="965"/>
      <c r="D616" s="966"/>
      <c r="E616" s="967"/>
      <c r="F616" s="965"/>
      <c r="G616" s="965"/>
      <c r="H616" s="965"/>
      <c r="I616" s="965"/>
      <c r="J616" s="965"/>
      <c r="K616" s="965"/>
      <c r="L616" s="965"/>
      <c r="M616" s="965"/>
      <c r="N616" s="965"/>
      <c r="O616" s="965"/>
      <c r="P616" s="965"/>
      <c r="Q616" s="945"/>
      <c r="R616" s="945"/>
      <c r="S616" s="945"/>
      <c r="T616" s="945"/>
      <c r="U616" s="945"/>
      <c r="V616" s="945"/>
      <c r="W616" s="945"/>
      <c r="X616" s="945"/>
      <c r="Y616" s="945"/>
      <c r="Z616" s="945"/>
      <c r="AA616" s="945"/>
      <c r="AB616" s="945"/>
    </row>
    <row r="617" ht="20.25" customHeight="1">
      <c r="A617" s="964"/>
      <c r="B617" s="965"/>
      <c r="C617" s="965"/>
      <c r="D617" s="966"/>
      <c r="E617" s="967"/>
      <c r="F617" s="965"/>
      <c r="G617" s="965"/>
      <c r="H617" s="965"/>
      <c r="I617" s="965"/>
      <c r="J617" s="965"/>
      <c r="K617" s="965"/>
      <c r="L617" s="965"/>
      <c r="M617" s="965"/>
      <c r="N617" s="965"/>
      <c r="O617" s="965"/>
      <c r="P617" s="965"/>
      <c r="Q617" s="945"/>
      <c r="R617" s="945"/>
      <c r="S617" s="945"/>
      <c r="T617" s="945"/>
      <c r="U617" s="945"/>
      <c r="V617" s="945"/>
      <c r="W617" s="945"/>
      <c r="X617" s="945"/>
      <c r="Y617" s="945"/>
      <c r="Z617" s="945"/>
      <c r="AA617" s="945"/>
      <c r="AB617" s="945"/>
    </row>
    <row r="618" ht="20.25" customHeight="1">
      <c r="A618" s="964"/>
      <c r="B618" s="965"/>
      <c r="C618" s="965"/>
      <c r="D618" s="966"/>
      <c r="E618" s="967"/>
      <c r="F618" s="965"/>
      <c r="G618" s="965"/>
      <c r="H618" s="965"/>
      <c r="I618" s="965"/>
      <c r="J618" s="965"/>
      <c r="K618" s="965"/>
      <c r="L618" s="965"/>
      <c r="M618" s="965"/>
      <c r="N618" s="965"/>
      <c r="O618" s="965"/>
      <c r="P618" s="965"/>
      <c r="Q618" s="945"/>
      <c r="R618" s="945"/>
      <c r="S618" s="945"/>
      <c r="T618" s="945"/>
      <c r="U618" s="945"/>
      <c r="V618" s="945"/>
      <c r="W618" s="945"/>
      <c r="X618" s="945"/>
      <c r="Y618" s="945"/>
      <c r="Z618" s="945"/>
      <c r="AA618" s="945"/>
      <c r="AB618" s="945"/>
    </row>
    <row r="619" ht="20.25" customHeight="1">
      <c r="A619" s="964"/>
      <c r="B619" s="965"/>
      <c r="C619" s="965"/>
      <c r="D619" s="966"/>
      <c r="E619" s="967"/>
      <c r="F619" s="965"/>
      <c r="G619" s="965"/>
      <c r="H619" s="965"/>
      <c r="I619" s="965"/>
      <c r="J619" s="965"/>
      <c r="K619" s="965"/>
      <c r="L619" s="965"/>
      <c r="M619" s="965"/>
      <c r="N619" s="965"/>
      <c r="O619" s="965"/>
      <c r="P619" s="965"/>
      <c r="Q619" s="945"/>
      <c r="R619" s="945"/>
      <c r="S619" s="945"/>
      <c r="T619" s="945"/>
      <c r="U619" s="945"/>
      <c r="V619" s="945"/>
      <c r="W619" s="945"/>
      <c r="X619" s="945"/>
      <c r="Y619" s="945"/>
      <c r="Z619" s="945"/>
      <c r="AA619" s="945"/>
      <c r="AB619" s="945"/>
    </row>
    <row r="620" ht="20.25" customHeight="1">
      <c r="A620" s="964"/>
      <c r="B620" s="965"/>
      <c r="C620" s="965"/>
      <c r="D620" s="966"/>
      <c r="E620" s="967"/>
      <c r="F620" s="965"/>
      <c r="G620" s="965"/>
      <c r="H620" s="965"/>
      <c r="I620" s="965"/>
      <c r="J620" s="965"/>
      <c r="K620" s="965"/>
      <c r="L620" s="965"/>
      <c r="M620" s="965"/>
      <c r="N620" s="965"/>
      <c r="O620" s="965"/>
      <c r="P620" s="965"/>
      <c r="Q620" s="945"/>
      <c r="R620" s="945"/>
      <c r="S620" s="945"/>
      <c r="T620" s="945"/>
      <c r="U620" s="945"/>
      <c r="V620" s="945"/>
      <c r="W620" s="945"/>
      <c r="X620" s="945"/>
      <c r="Y620" s="945"/>
      <c r="Z620" s="945"/>
      <c r="AA620" s="945"/>
      <c r="AB620" s="945"/>
    </row>
    <row r="621" ht="20.25" customHeight="1">
      <c r="A621" s="964"/>
      <c r="B621" s="965"/>
      <c r="C621" s="965"/>
      <c r="D621" s="966"/>
      <c r="E621" s="967"/>
      <c r="F621" s="965"/>
      <c r="G621" s="965"/>
      <c r="H621" s="965"/>
      <c r="I621" s="965"/>
      <c r="J621" s="965"/>
      <c r="K621" s="965"/>
      <c r="L621" s="965"/>
      <c r="M621" s="965"/>
      <c r="N621" s="965"/>
      <c r="O621" s="965"/>
      <c r="P621" s="965"/>
      <c r="Q621" s="945"/>
      <c r="R621" s="945"/>
      <c r="S621" s="945"/>
      <c r="T621" s="945"/>
      <c r="U621" s="945"/>
      <c r="V621" s="945"/>
      <c r="W621" s="945"/>
      <c r="X621" s="945"/>
      <c r="Y621" s="945"/>
      <c r="Z621" s="945"/>
      <c r="AA621" s="945"/>
      <c r="AB621" s="945"/>
    </row>
    <row r="622" ht="20.25" customHeight="1">
      <c r="A622" s="964"/>
      <c r="B622" s="965"/>
      <c r="C622" s="965"/>
      <c r="D622" s="966"/>
      <c r="E622" s="967"/>
      <c r="F622" s="965"/>
      <c r="G622" s="965"/>
      <c r="H622" s="965"/>
      <c r="I622" s="965"/>
      <c r="J622" s="965"/>
      <c r="K622" s="965"/>
      <c r="L622" s="965"/>
      <c r="M622" s="965"/>
      <c r="N622" s="965"/>
      <c r="O622" s="965"/>
      <c r="P622" s="965"/>
      <c r="Q622" s="945"/>
      <c r="R622" s="945"/>
      <c r="S622" s="945"/>
      <c r="T622" s="945"/>
      <c r="U622" s="945"/>
      <c r="V622" s="945"/>
      <c r="W622" s="945"/>
      <c r="X622" s="945"/>
      <c r="Y622" s="945"/>
      <c r="Z622" s="945"/>
      <c r="AA622" s="945"/>
      <c r="AB622" s="945"/>
    </row>
    <row r="623" ht="20.25" customHeight="1">
      <c r="A623" s="964"/>
      <c r="B623" s="965"/>
      <c r="C623" s="965"/>
      <c r="D623" s="966"/>
      <c r="E623" s="967"/>
      <c r="F623" s="965"/>
      <c r="G623" s="965"/>
      <c r="H623" s="965"/>
      <c r="I623" s="965"/>
      <c r="J623" s="965"/>
      <c r="K623" s="965"/>
      <c r="L623" s="965"/>
      <c r="M623" s="965"/>
      <c r="N623" s="965"/>
      <c r="O623" s="965"/>
      <c r="P623" s="965"/>
      <c r="Q623" s="945"/>
      <c r="R623" s="945"/>
      <c r="S623" s="945"/>
      <c r="T623" s="945"/>
      <c r="U623" s="945"/>
      <c r="V623" s="945"/>
      <c r="W623" s="945"/>
      <c r="X623" s="945"/>
      <c r="Y623" s="945"/>
      <c r="Z623" s="945"/>
      <c r="AA623" s="945"/>
      <c r="AB623" s="945"/>
    </row>
    <row r="624" ht="20.25" customHeight="1">
      <c r="A624" s="964"/>
      <c r="B624" s="965"/>
      <c r="C624" s="965"/>
      <c r="D624" s="966"/>
      <c r="E624" s="967"/>
      <c r="F624" s="965"/>
      <c r="G624" s="965"/>
      <c r="H624" s="965"/>
      <c r="I624" s="965"/>
      <c r="J624" s="965"/>
      <c r="K624" s="965"/>
      <c r="L624" s="965"/>
      <c r="M624" s="965"/>
      <c r="N624" s="965"/>
      <c r="O624" s="965"/>
      <c r="P624" s="965"/>
      <c r="Q624" s="945"/>
      <c r="R624" s="945"/>
      <c r="S624" s="945"/>
      <c r="T624" s="945"/>
      <c r="U624" s="945"/>
      <c r="V624" s="945"/>
      <c r="W624" s="945"/>
      <c r="X624" s="945"/>
      <c r="Y624" s="945"/>
      <c r="Z624" s="945"/>
      <c r="AA624" s="945"/>
      <c r="AB624" s="945"/>
    </row>
    <row r="625" ht="20.25" customHeight="1">
      <c r="A625" s="964"/>
      <c r="B625" s="965"/>
      <c r="C625" s="965"/>
      <c r="D625" s="966"/>
      <c r="E625" s="967"/>
      <c r="F625" s="965"/>
      <c r="G625" s="965"/>
      <c r="H625" s="965"/>
      <c r="I625" s="965"/>
      <c r="J625" s="965"/>
      <c r="K625" s="965"/>
      <c r="L625" s="965"/>
      <c r="M625" s="965"/>
      <c r="N625" s="965"/>
      <c r="O625" s="965"/>
      <c r="P625" s="965"/>
      <c r="Q625" s="945"/>
      <c r="R625" s="945"/>
      <c r="S625" s="945"/>
      <c r="T625" s="945"/>
      <c r="U625" s="945"/>
      <c r="V625" s="945"/>
      <c r="W625" s="945"/>
      <c r="X625" s="945"/>
      <c r="Y625" s="945"/>
      <c r="Z625" s="945"/>
      <c r="AA625" s="945"/>
      <c r="AB625" s="945"/>
    </row>
    <row r="626" ht="20.25" customHeight="1">
      <c r="A626" s="964"/>
      <c r="B626" s="965"/>
      <c r="C626" s="965"/>
      <c r="D626" s="966"/>
      <c r="E626" s="967"/>
      <c r="F626" s="965"/>
      <c r="G626" s="965"/>
      <c r="H626" s="965"/>
      <c r="I626" s="965"/>
      <c r="J626" s="965"/>
      <c r="K626" s="965"/>
      <c r="L626" s="965"/>
      <c r="M626" s="965"/>
      <c r="N626" s="965"/>
      <c r="O626" s="965"/>
      <c r="P626" s="965"/>
      <c r="Q626" s="945"/>
      <c r="R626" s="945"/>
      <c r="S626" s="945"/>
      <c r="T626" s="945"/>
      <c r="U626" s="945"/>
      <c r="V626" s="945"/>
      <c r="W626" s="945"/>
      <c r="X626" s="945"/>
      <c r="Y626" s="945"/>
      <c r="Z626" s="945"/>
      <c r="AA626" s="945"/>
      <c r="AB626" s="945"/>
    </row>
    <row r="627" ht="20.25" customHeight="1">
      <c r="A627" s="964"/>
      <c r="B627" s="965"/>
      <c r="C627" s="965"/>
      <c r="D627" s="966"/>
      <c r="E627" s="967"/>
      <c r="F627" s="965"/>
      <c r="G627" s="965"/>
      <c r="H627" s="965"/>
      <c r="I627" s="965"/>
      <c r="J627" s="965"/>
      <c r="K627" s="965"/>
      <c r="L627" s="965"/>
      <c r="M627" s="965"/>
      <c r="N627" s="965"/>
      <c r="O627" s="965"/>
      <c r="P627" s="965"/>
      <c r="Q627" s="945"/>
      <c r="R627" s="945"/>
      <c r="S627" s="945"/>
      <c r="T627" s="945"/>
      <c r="U627" s="945"/>
      <c r="V627" s="945"/>
      <c r="W627" s="945"/>
      <c r="X627" s="945"/>
      <c r="Y627" s="945"/>
      <c r="Z627" s="945"/>
      <c r="AA627" s="945"/>
      <c r="AB627" s="945"/>
    </row>
    <row r="628" ht="20.25" customHeight="1">
      <c r="A628" s="964"/>
      <c r="B628" s="965"/>
      <c r="C628" s="965"/>
      <c r="D628" s="966"/>
      <c r="E628" s="967"/>
      <c r="F628" s="965"/>
      <c r="G628" s="965"/>
      <c r="H628" s="965"/>
      <c r="I628" s="965"/>
      <c r="J628" s="965"/>
      <c r="K628" s="965"/>
      <c r="L628" s="965"/>
      <c r="M628" s="965"/>
      <c r="N628" s="965"/>
      <c r="O628" s="965"/>
      <c r="P628" s="965"/>
      <c r="Q628" s="945"/>
      <c r="R628" s="945"/>
      <c r="S628" s="945"/>
      <c r="T628" s="945"/>
      <c r="U628" s="945"/>
      <c r="V628" s="945"/>
      <c r="W628" s="945"/>
      <c r="X628" s="945"/>
      <c r="Y628" s="945"/>
      <c r="Z628" s="945"/>
      <c r="AA628" s="945"/>
      <c r="AB628" s="945"/>
    </row>
    <row r="629" ht="20.25" customHeight="1">
      <c r="A629" s="964"/>
      <c r="B629" s="965"/>
      <c r="C629" s="965"/>
      <c r="D629" s="966"/>
      <c r="E629" s="967"/>
      <c r="F629" s="965"/>
      <c r="G629" s="965"/>
      <c r="H629" s="965"/>
      <c r="I629" s="965"/>
      <c r="J629" s="965"/>
      <c r="K629" s="965"/>
      <c r="L629" s="965"/>
      <c r="M629" s="965"/>
      <c r="N629" s="965"/>
      <c r="O629" s="965"/>
      <c r="P629" s="965"/>
      <c r="Q629" s="945"/>
      <c r="R629" s="945"/>
      <c r="S629" s="945"/>
      <c r="T629" s="945"/>
      <c r="U629" s="945"/>
      <c r="V629" s="945"/>
      <c r="W629" s="945"/>
      <c r="X629" s="945"/>
      <c r="Y629" s="945"/>
      <c r="Z629" s="945"/>
      <c r="AA629" s="945"/>
      <c r="AB629" s="945"/>
    </row>
    <row r="630" ht="20.25" customHeight="1">
      <c r="A630" s="964"/>
      <c r="B630" s="965"/>
      <c r="C630" s="965"/>
      <c r="D630" s="966"/>
      <c r="E630" s="967"/>
      <c r="F630" s="965"/>
      <c r="G630" s="965"/>
      <c r="H630" s="965"/>
      <c r="I630" s="965"/>
      <c r="J630" s="965"/>
      <c r="K630" s="965"/>
      <c r="L630" s="965"/>
      <c r="M630" s="965"/>
      <c r="N630" s="965"/>
      <c r="O630" s="965"/>
      <c r="P630" s="965"/>
      <c r="Q630" s="945"/>
      <c r="R630" s="945"/>
      <c r="S630" s="945"/>
      <c r="T630" s="945"/>
      <c r="U630" s="945"/>
      <c r="V630" s="945"/>
      <c r="W630" s="945"/>
      <c r="X630" s="945"/>
      <c r="Y630" s="945"/>
      <c r="Z630" s="945"/>
      <c r="AA630" s="945"/>
      <c r="AB630" s="945"/>
    </row>
    <row r="631" ht="20.25" customHeight="1">
      <c r="A631" s="964"/>
      <c r="B631" s="965"/>
      <c r="C631" s="965"/>
      <c r="D631" s="966"/>
      <c r="E631" s="967"/>
      <c r="F631" s="965"/>
      <c r="G631" s="965"/>
      <c r="H631" s="965"/>
      <c r="I631" s="965"/>
      <c r="J631" s="965"/>
      <c r="K631" s="965"/>
      <c r="L631" s="965"/>
      <c r="M631" s="965"/>
      <c r="N631" s="965"/>
      <c r="O631" s="965"/>
      <c r="P631" s="965"/>
      <c r="Q631" s="945"/>
      <c r="R631" s="945"/>
      <c r="S631" s="945"/>
      <c r="T631" s="945"/>
      <c r="U631" s="945"/>
      <c r="V631" s="945"/>
      <c r="W631" s="945"/>
      <c r="X631" s="945"/>
      <c r="Y631" s="945"/>
      <c r="Z631" s="945"/>
      <c r="AA631" s="945"/>
      <c r="AB631" s="945"/>
    </row>
    <row r="632" ht="20.25" customHeight="1">
      <c r="A632" s="964"/>
      <c r="B632" s="965"/>
      <c r="C632" s="965"/>
      <c r="D632" s="966"/>
      <c r="E632" s="967"/>
      <c r="F632" s="965"/>
      <c r="G632" s="965"/>
      <c r="H632" s="965"/>
      <c r="I632" s="965"/>
      <c r="J632" s="965"/>
      <c r="K632" s="965"/>
      <c r="L632" s="965"/>
      <c r="M632" s="965"/>
      <c r="N632" s="965"/>
      <c r="O632" s="965"/>
      <c r="P632" s="965"/>
      <c r="Q632" s="945"/>
      <c r="R632" s="945"/>
      <c r="S632" s="945"/>
      <c r="T632" s="945"/>
      <c r="U632" s="945"/>
      <c r="V632" s="945"/>
      <c r="W632" s="945"/>
      <c r="X632" s="945"/>
      <c r="Y632" s="945"/>
      <c r="Z632" s="945"/>
      <c r="AA632" s="945"/>
      <c r="AB632" s="945"/>
    </row>
    <row r="633" ht="20.25" customHeight="1">
      <c r="A633" s="964"/>
      <c r="B633" s="965"/>
      <c r="C633" s="965"/>
      <c r="D633" s="966"/>
      <c r="E633" s="967"/>
      <c r="F633" s="965"/>
      <c r="G633" s="965"/>
      <c r="H633" s="965"/>
      <c r="I633" s="965"/>
      <c r="J633" s="965"/>
      <c r="K633" s="965"/>
      <c r="L633" s="965"/>
      <c r="M633" s="965"/>
      <c r="N633" s="965"/>
      <c r="O633" s="965"/>
      <c r="P633" s="965"/>
      <c r="Q633" s="945"/>
      <c r="R633" s="945"/>
      <c r="S633" s="945"/>
      <c r="T633" s="945"/>
      <c r="U633" s="945"/>
      <c r="V633" s="945"/>
      <c r="W633" s="945"/>
      <c r="X633" s="945"/>
      <c r="Y633" s="945"/>
      <c r="Z633" s="945"/>
      <c r="AA633" s="945"/>
      <c r="AB633" s="945"/>
    </row>
    <row r="634" ht="20.25" customHeight="1">
      <c r="A634" s="964"/>
      <c r="B634" s="965"/>
      <c r="C634" s="965"/>
      <c r="D634" s="966"/>
      <c r="E634" s="967"/>
      <c r="F634" s="965"/>
      <c r="G634" s="965"/>
      <c r="H634" s="965"/>
      <c r="I634" s="965"/>
      <c r="J634" s="965"/>
      <c r="K634" s="965"/>
      <c r="L634" s="965"/>
      <c r="M634" s="965"/>
      <c r="N634" s="965"/>
      <c r="O634" s="965"/>
      <c r="P634" s="965"/>
      <c r="Q634" s="945"/>
      <c r="R634" s="945"/>
      <c r="S634" s="945"/>
      <c r="T634" s="945"/>
      <c r="U634" s="945"/>
      <c r="V634" s="945"/>
      <c r="W634" s="945"/>
      <c r="X634" s="945"/>
      <c r="Y634" s="945"/>
      <c r="Z634" s="945"/>
      <c r="AA634" s="945"/>
      <c r="AB634" s="945"/>
    </row>
    <row r="635" ht="20.25" customHeight="1">
      <c r="A635" s="964"/>
      <c r="B635" s="965"/>
      <c r="C635" s="965"/>
      <c r="D635" s="966"/>
      <c r="E635" s="967"/>
      <c r="F635" s="965"/>
      <c r="G635" s="965"/>
      <c r="H635" s="965"/>
      <c r="I635" s="965"/>
      <c r="J635" s="965"/>
      <c r="K635" s="965"/>
      <c r="L635" s="965"/>
      <c r="M635" s="965"/>
      <c r="N635" s="965"/>
      <c r="O635" s="965"/>
      <c r="P635" s="965"/>
      <c r="Q635" s="945"/>
      <c r="R635" s="945"/>
      <c r="S635" s="945"/>
      <c r="T635" s="945"/>
      <c r="U635" s="945"/>
      <c r="V635" s="945"/>
      <c r="W635" s="945"/>
      <c r="X635" s="945"/>
      <c r="Y635" s="945"/>
      <c r="Z635" s="945"/>
      <c r="AA635" s="945"/>
      <c r="AB635" s="945"/>
    </row>
    <row r="636" ht="20.25" customHeight="1">
      <c r="A636" s="964"/>
      <c r="B636" s="965"/>
      <c r="C636" s="965"/>
      <c r="D636" s="966"/>
      <c r="E636" s="967"/>
      <c r="F636" s="965"/>
      <c r="G636" s="965"/>
      <c r="H636" s="965"/>
      <c r="I636" s="965"/>
      <c r="J636" s="965"/>
      <c r="K636" s="965"/>
      <c r="L636" s="965"/>
      <c r="M636" s="965"/>
      <c r="N636" s="965"/>
      <c r="O636" s="965"/>
      <c r="P636" s="965"/>
      <c r="Q636" s="945"/>
      <c r="R636" s="945"/>
      <c r="S636" s="945"/>
      <c r="T636" s="945"/>
      <c r="U636" s="945"/>
      <c r="V636" s="945"/>
      <c r="W636" s="945"/>
      <c r="X636" s="945"/>
      <c r="Y636" s="945"/>
      <c r="Z636" s="945"/>
      <c r="AA636" s="945"/>
      <c r="AB636" s="945"/>
    </row>
    <row r="637" ht="20.25" customHeight="1">
      <c r="A637" s="964"/>
      <c r="B637" s="965"/>
      <c r="C637" s="965"/>
      <c r="D637" s="966"/>
      <c r="E637" s="967"/>
      <c r="F637" s="965"/>
      <c r="G637" s="965"/>
      <c r="H637" s="965"/>
      <c r="I637" s="965"/>
      <c r="J637" s="965"/>
      <c r="K637" s="965"/>
      <c r="L637" s="965"/>
      <c r="M637" s="965"/>
      <c r="N637" s="965"/>
      <c r="O637" s="965"/>
      <c r="P637" s="965"/>
      <c r="Q637" s="945"/>
      <c r="R637" s="945"/>
      <c r="S637" s="945"/>
      <c r="T637" s="945"/>
      <c r="U637" s="945"/>
      <c r="V637" s="945"/>
      <c r="W637" s="945"/>
      <c r="X637" s="945"/>
      <c r="Y637" s="945"/>
      <c r="Z637" s="945"/>
      <c r="AA637" s="945"/>
      <c r="AB637" s="945"/>
    </row>
    <row r="638" ht="20.25" customHeight="1">
      <c r="A638" s="964"/>
      <c r="B638" s="965"/>
      <c r="C638" s="965"/>
      <c r="D638" s="966"/>
      <c r="E638" s="967"/>
      <c r="F638" s="965"/>
      <c r="G638" s="965"/>
      <c r="H638" s="965"/>
      <c r="I638" s="965"/>
      <c r="J638" s="965"/>
      <c r="K638" s="965"/>
      <c r="L638" s="965"/>
      <c r="M638" s="965"/>
      <c r="N638" s="965"/>
      <c r="O638" s="965"/>
      <c r="P638" s="965"/>
      <c r="Q638" s="945"/>
      <c r="R638" s="945"/>
      <c r="S638" s="945"/>
      <c r="T638" s="945"/>
      <c r="U638" s="945"/>
      <c r="V638" s="945"/>
      <c r="W638" s="945"/>
      <c r="X638" s="945"/>
      <c r="Y638" s="945"/>
      <c r="Z638" s="945"/>
      <c r="AA638" s="945"/>
      <c r="AB638" s="945"/>
    </row>
    <row r="639" ht="20.25" customHeight="1">
      <c r="A639" s="964"/>
      <c r="B639" s="965"/>
      <c r="C639" s="965"/>
      <c r="D639" s="966"/>
      <c r="E639" s="967"/>
      <c r="F639" s="965"/>
      <c r="G639" s="965"/>
      <c r="H639" s="965"/>
      <c r="I639" s="965"/>
      <c r="J639" s="965"/>
      <c r="K639" s="965"/>
      <c r="L639" s="965"/>
      <c r="M639" s="965"/>
      <c r="N639" s="965"/>
      <c r="O639" s="965"/>
      <c r="P639" s="965"/>
      <c r="Q639" s="945"/>
      <c r="R639" s="945"/>
      <c r="S639" s="945"/>
      <c r="T639" s="945"/>
      <c r="U639" s="945"/>
      <c r="V639" s="945"/>
      <c r="W639" s="945"/>
      <c r="X639" s="945"/>
      <c r="Y639" s="945"/>
      <c r="Z639" s="945"/>
      <c r="AA639" s="945"/>
      <c r="AB639" s="945"/>
    </row>
    <row r="640" ht="20.25" customHeight="1">
      <c r="A640" s="964"/>
      <c r="B640" s="965"/>
      <c r="C640" s="965"/>
      <c r="D640" s="966"/>
      <c r="E640" s="967"/>
      <c r="F640" s="965"/>
      <c r="G640" s="965"/>
      <c r="H640" s="965"/>
      <c r="I640" s="965"/>
      <c r="J640" s="965"/>
      <c r="K640" s="965"/>
      <c r="L640" s="965"/>
      <c r="M640" s="965"/>
      <c r="N640" s="965"/>
      <c r="O640" s="965"/>
      <c r="P640" s="965"/>
      <c r="Q640" s="945"/>
      <c r="R640" s="945"/>
      <c r="S640" s="945"/>
      <c r="T640" s="945"/>
      <c r="U640" s="945"/>
      <c r="V640" s="945"/>
      <c r="W640" s="945"/>
      <c r="X640" s="945"/>
      <c r="Y640" s="945"/>
      <c r="Z640" s="945"/>
      <c r="AA640" s="945"/>
      <c r="AB640" s="945"/>
    </row>
    <row r="641" ht="20.25" customHeight="1">
      <c r="A641" s="964"/>
      <c r="B641" s="965"/>
      <c r="C641" s="965"/>
      <c r="D641" s="966"/>
      <c r="E641" s="967"/>
      <c r="F641" s="965"/>
      <c r="G641" s="965"/>
      <c r="H641" s="965"/>
      <c r="I641" s="965"/>
      <c r="J641" s="965"/>
      <c r="K641" s="965"/>
      <c r="L641" s="965"/>
      <c r="M641" s="965"/>
      <c r="N641" s="965"/>
      <c r="O641" s="965"/>
      <c r="P641" s="965"/>
      <c r="Q641" s="945"/>
      <c r="R641" s="945"/>
      <c r="S641" s="945"/>
      <c r="T641" s="945"/>
      <c r="U641" s="945"/>
      <c r="V641" s="945"/>
      <c r="W641" s="945"/>
      <c r="X641" s="945"/>
      <c r="Y641" s="945"/>
      <c r="Z641" s="945"/>
      <c r="AA641" s="945"/>
      <c r="AB641" s="945"/>
    </row>
    <row r="642" ht="20.25" customHeight="1">
      <c r="A642" s="964"/>
      <c r="B642" s="965"/>
      <c r="C642" s="965"/>
      <c r="D642" s="966"/>
      <c r="E642" s="967"/>
      <c r="F642" s="965"/>
      <c r="G642" s="965"/>
      <c r="H642" s="965"/>
      <c r="I642" s="965"/>
      <c r="J642" s="965"/>
      <c r="K642" s="965"/>
      <c r="L642" s="965"/>
      <c r="M642" s="965"/>
      <c r="N642" s="965"/>
      <c r="O642" s="965"/>
      <c r="P642" s="965"/>
      <c r="Q642" s="945"/>
      <c r="R642" s="945"/>
      <c r="S642" s="945"/>
      <c r="T642" s="945"/>
      <c r="U642" s="945"/>
      <c r="V642" s="945"/>
      <c r="W642" s="945"/>
      <c r="X642" s="945"/>
      <c r="Y642" s="945"/>
      <c r="Z642" s="945"/>
      <c r="AA642" s="945"/>
      <c r="AB642" s="945"/>
    </row>
    <row r="643" ht="20.25" customHeight="1">
      <c r="A643" s="964"/>
      <c r="B643" s="965"/>
      <c r="C643" s="965"/>
      <c r="D643" s="966"/>
      <c r="E643" s="967"/>
      <c r="F643" s="965"/>
      <c r="G643" s="965"/>
      <c r="H643" s="965"/>
      <c r="I643" s="965"/>
      <c r="J643" s="965"/>
      <c r="K643" s="965"/>
      <c r="L643" s="965"/>
      <c r="M643" s="965"/>
      <c r="N643" s="965"/>
      <c r="O643" s="965"/>
      <c r="P643" s="965"/>
      <c r="Q643" s="945"/>
      <c r="R643" s="945"/>
      <c r="S643" s="945"/>
      <c r="T643" s="945"/>
      <c r="U643" s="945"/>
      <c r="V643" s="945"/>
      <c r="W643" s="945"/>
      <c r="X643" s="945"/>
      <c r="Y643" s="945"/>
      <c r="Z643" s="945"/>
      <c r="AA643" s="945"/>
      <c r="AB643" s="945"/>
    </row>
    <row r="644" ht="20.25" customHeight="1">
      <c r="A644" s="964"/>
      <c r="B644" s="965"/>
      <c r="C644" s="965"/>
      <c r="D644" s="966"/>
      <c r="E644" s="967"/>
      <c r="F644" s="965"/>
      <c r="G644" s="965"/>
      <c r="H644" s="965"/>
      <c r="I644" s="965"/>
      <c r="J644" s="965"/>
      <c r="K644" s="965"/>
      <c r="L644" s="965"/>
      <c r="M644" s="965"/>
      <c r="N644" s="965"/>
      <c r="O644" s="965"/>
      <c r="P644" s="965"/>
      <c r="Q644" s="945"/>
      <c r="R644" s="945"/>
      <c r="S644" s="945"/>
      <c r="T644" s="945"/>
      <c r="U644" s="945"/>
      <c r="V644" s="945"/>
      <c r="W644" s="945"/>
      <c r="X644" s="945"/>
      <c r="Y644" s="945"/>
      <c r="Z644" s="945"/>
      <c r="AA644" s="945"/>
      <c r="AB644" s="945"/>
    </row>
    <row r="645" ht="20.25" customHeight="1">
      <c r="A645" s="964"/>
      <c r="B645" s="965"/>
      <c r="C645" s="965"/>
      <c r="D645" s="966"/>
      <c r="E645" s="967"/>
      <c r="F645" s="965"/>
      <c r="G645" s="965"/>
      <c r="H645" s="965"/>
      <c r="I645" s="965"/>
      <c r="J645" s="965"/>
      <c r="K645" s="965"/>
      <c r="L645" s="965"/>
      <c r="M645" s="965"/>
      <c r="N645" s="965"/>
      <c r="O645" s="965"/>
      <c r="P645" s="965"/>
      <c r="Q645" s="945"/>
      <c r="R645" s="945"/>
      <c r="S645" s="945"/>
      <c r="T645" s="945"/>
      <c r="U645" s="945"/>
      <c r="V645" s="945"/>
      <c r="W645" s="945"/>
      <c r="X645" s="945"/>
      <c r="Y645" s="945"/>
      <c r="Z645" s="945"/>
      <c r="AA645" s="945"/>
      <c r="AB645" s="945"/>
    </row>
    <row r="646" ht="20.25" customHeight="1">
      <c r="A646" s="964"/>
      <c r="B646" s="965"/>
      <c r="C646" s="965"/>
      <c r="D646" s="966"/>
      <c r="E646" s="967"/>
      <c r="F646" s="965"/>
      <c r="G646" s="965"/>
      <c r="H646" s="965"/>
      <c r="I646" s="965"/>
      <c r="J646" s="965"/>
      <c r="K646" s="965"/>
      <c r="L646" s="965"/>
      <c r="M646" s="965"/>
      <c r="N646" s="965"/>
      <c r="O646" s="965"/>
      <c r="P646" s="965"/>
      <c r="Q646" s="945"/>
      <c r="R646" s="945"/>
      <c r="S646" s="945"/>
      <c r="T646" s="945"/>
      <c r="U646" s="945"/>
      <c r="V646" s="945"/>
      <c r="W646" s="945"/>
      <c r="X646" s="945"/>
      <c r="Y646" s="945"/>
      <c r="Z646" s="945"/>
      <c r="AA646" s="945"/>
      <c r="AB646" s="945"/>
    </row>
    <row r="647" ht="20.25" customHeight="1">
      <c r="A647" s="964"/>
      <c r="B647" s="965"/>
      <c r="C647" s="965"/>
      <c r="D647" s="966"/>
      <c r="E647" s="967"/>
      <c r="F647" s="965"/>
      <c r="G647" s="965"/>
      <c r="H647" s="965"/>
      <c r="I647" s="965"/>
      <c r="J647" s="965"/>
      <c r="K647" s="965"/>
      <c r="L647" s="965"/>
      <c r="M647" s="965"/>
      <c r="N647" s="965"/>
      <c r="O647" s="965"/>
      <c r="P647" s="965"/>
      <c r="Q647" s="945"/>
      <c r="R647" s="945"/>
      <c r="S647" s="945"/>
      <c r="T647" s="945"/>
      <c r="U647" s="945"/>
      <c r="V647" s="945"/>
      <c r="W647" s="945"/>
      <c r="X647" s="945"/>
      <c r="Y647" s="945"/>
      <c r="Z647" s="945"/>
      <c r="AA647" s="945"/>
      <c r="AB647" s="945"/>
    </row>
    <row r="648" ht="20.25" customHeight="1">
      <c r="A648" s="964"/>
      <c r="B648" s="965"/>
      <c r="C648" s="965"/>
      <c r="D648" s="966"/>
      <c r="E648" s="967"/>
      <c r="F648" s="965"/>
      <c r="G648" s="965"/>
      <c r="H648" s="965"/>
      <c r="I648" s="965"/>
      <c r="J648" s="965"/>
      <c r="K648" s="965"/>
      <c r="L648" s="965"/>
      <c r="M648" s="965"/>
      <c r="N648" s="965"/>
      <c r="O648" s="965"/>
      <c r="P648" s="965"/>
      <c r="Q648" s="945"/>
      <c r="R648" s="945"/>
      <c r="S648" s="945"/>
      <c r="T648" s="945"/>
      <c r="U648" s="945"/>
      <c r="V648" s="945"/>
      <c r="W648" s="945"/>
      <c r="X648" s="945"/>
      <c r="Y648" s="945"/>
      <c r="Z648" s="945"/>
      <c r="AA648" s="945"/>
      <c r="AB648" s="945"/>
    </row>
    <row r="649" ht="20.25" customHeight="1">
      <c r="A649" s="964"/>
      <c r="B649" s="965"/>
      <c r="C649" s="965"/>
      <c r="D649" s="966"/>
      <c r="E649" s="967"/>
      <c r="F649" s="965"/>
      <c r="G649" s="965"/>
      <c r="H649" s="965"/>
      <c r="I649" s="965"/>
      <c r="J649" s="965"/>
      <c r="K649" s="965"/>
      <c r="L649" s="965"/>
      <c r="M649" s="965"/>
      <c r="N649" s="965"/>
      <c r="O649" s="965"/>
      <c r="P649" s="965"/>
      <c r="Q649" s="945"/>
      <c r="R649" s="945"/>
      <c r="S649" s="945"/>
      <c r="T649" s="945"/>
      <c r="U649" s="945"/>
      <c r="V649" s="945"/>
      <c r="W649" s="945"/>
      <c r="X649" s="945"/>
      <c r="Y649" s="945"/>
      <c r="Z649" s="945"/>
      <c r="AA649" s="945"/>
      <c r="AB649" s="945"/>
    </row>
    <row r="650" ht="20.25" customHeight="1">
      <c r="A650" s="964"/>
      <c r="B650" s="965"/>
      <c r="C650" s="965"/>
      <c r="D650" s="966"/>
      <c r="E650" s="967"/>
      <c r="F650" s="965"/>
      <c r="G650" s="965"/>
      <c r="H650" s="965"/>
      <c r="I650" s="965"/>
      <c r="J650" s="965"/>
      <c r="K650" s="965"/>
      <c r="L650" s="965"/>
      <c r="M650" s="965"/>
      <c r="N650" s="965"/>
      <c r="O650" s="965"/>
      <c r="P650" s="965"/>
      <c r="Q650" s="945"/>
      <c r="R650" s="945"/>
      <c r="S650" s="945"/>
      <c r="T650" s="945"/>
      <c r="U650" s="945"/>
      <c r="V650" s="945"/>
      <c r="W650" s="945"/>
      <c r="X650" s="945"/>
      <c r="Y650" s="945"/>
      <c r="Z650" s="945"/>
      <c r="AA650" s="945"/>
      <c r="AB650" s="945"/>
    </row>
    <row r="651" ht="20.25" customHeight="1">
      <c r="A651" s="964"/>
      <c r="B651" s="965"/>
      <c r="C651" s="965"/>
      <c r="D651" s="966"/>
      <c r="E651" s="967"/>
      <c r="F651" s="965"/>
      <c r="G651" s="965"/>
      <c r="H651" s="965"/>
      <c r="I651" s="965"/>
      <c r="J651" s="965"/>
      <c r="K651" s="965"/>
      <c r="L651" s="965"/>
      <c r="M651" s="965"/>
      <c r="N651" s="965"/>
      <c r="O651" s="965"/>
      <c r="P651" s="965"/>
      <c r="Q651" s="945"/>
      <c r="R651" s="945"/>
      <c r="S651" s="945"/>
      <c r="T651" s="945"/>
      <c r="U651" s="945"/>
      <c r="V651" s="945"/>
      <c r="W651" s="945"/>
      <c r="X651" s="945"/>
      <c r="Y651" s="945"/>
      <c r="Z651" s="945"/>
      <c r="AA651" s="945"/>
      <c r="AB651" s="945"/>
    </row>
    <row r="652" ht="20.25" customHeight="1">
      <c r="A652" s="964"/>
      <c r="B652" s="965"/>
      <c r="C652" s="965"/>
      <c r="D652" s="966"/>
      <c r="E652" s="967"/>
      <c r="F652" s="965"/>
      <c r="G652" s="965"/>
      <c r="H652" s="965"/>
      <c r="I652" s="965"/>
      <c r="J652" s="965"/>
      <c r="K652" s="965"/>
      <c r="L652" s="965"/>
      <c r="M652" s="965"/>
      <c r="N652" s="965"/>
      <c r="O652" s="965"/>
      <c r="P652" s="965"/>
      <c r="Q652" s="945"/>
      <c r="R652" s="945"/>
      <c r="S652" s="945"/>
      <c r="T652" s="945"/>
      <c r="U652" s="945"/>
      <c r="V652" s="945"/>
      <c r="W652" s="945"/>
      <c r="X652" s="945"/>
      <c r="Y652" s="945"/>
      <c r="Z652" s="945"/>
      <c r="AA652" s="945"/>
      <c r="AB652" s="945"/>
    </row>
    <row r="653" ht="20.25" customHeight="1">
      <c r="A653" s="964"/>
      <c r="B653" s="965"/>
      <c r="C653" s="965"/>
      <c r="D653" s="966"/>
      <c r="E653" s="967"/>
      <c r="F653" s="965"/>
      <c r="G653" s="965"/>
      <c r="H653" s="965"/>
      <c r="I653" s="965"/>
      <c r="J653" s="965"/>
      <c r="K653" s="965"/>
      <c r="L653" s="965"/>
      <c r="M653" s="965"/>
      <c r="N653" s="965"/>
      <c r="O653" s="965"/>
      <c r="P653" s="965"/>
      <c r="Q653" s="945"/>
      <c r="R653" s="945"/>
      <c r="S653" s="945"/>
      <c r="T653" s="945"/>
      <c r="U653" s="945"/>
      <c r="V653" s="945"/>
      <c r="W653" s="945"/>
      <c r="X653" s="945"/>
      <c r="Y653" s="945"/>
      <c r="Z653" s="945"/>
      <c r="AA653" s="945"/>
      <c r="AB653" s="945"/>
    </row>
    <row r="654" ht="20.25" customHeight="1">
      <c r="A654" s="964"/>
      <c r="B654" s="965"/>
      <c r="C654" s="965"/>
      <c r="D654" s="966"/>
      <c r="E654" s="967"/>
      <c r="F654" s="965"/>
      <c r="G654" s="965"/>
      <c r="H654" s="965"/>
      <c r="I654" s="965"/>
      <c r="J654" s="965"/>
      <c r="K654" s="965"/>
      <c r="L654" s="965"/>
      <c r="M654" s="965"/>
      <c r="N654" s="965"/>
      <c r="O654" s="965"/>
      <c r="P654" s="965"/>
      <c r="Q654" s="945"/>
      <c r="R654" s="945"/>
      <c r="S654" s="945"/>
      <c r="T654" s="945"/>
      <c r="U654" s="945"/>
      <c r="V654" s="945"/>
      <c r="W654" s="945"/>
      <c r="X654" s="945"/>
      <c r="Y654" s="945"/>
      <c r="Z654" s="945"/>
      <c r="AA654" s="945"/>
      <c r="AB654" s="945"/>
    </row>
    <row r="655" ht="20.25" customHeight="1">
      <c r="A655" s="964"/>
      <c r="B655" s="965"/>
      <c r="C655" s="965"/>
      <c r="D655" s="966"/>
      <c r="E655" s="967"/>
      <c r="F655" s="965"/>
      <c r="G655" s="965"/>
      <c r="H655" s="965"/>
      <c r="I655" s="965"/>
      <c r="J655" s="965"/>
      <c r="K655" s="965"/>
      <c r="L655" s="965"/>
      <c r="M655" s="965"/>
      <c r="N655" s="965"/>
      <c r="O655" s="965"/>
      <c r="P655" s="965"/>
      <c r="Q655" s="945"/>
      <c r="R655" s="945"/>
      <c r="S655" s="945"/>
      <c r="T655" s="945"/>
      <c r="U655" s="945"/>
      <c r="V655" s="945"/>
      <c r="W655" s="945"/>
      <c r="X655" s="945"/>
      <c r="Y655" s="945"/>
      <c r="Z655" s="945"/>
      <c r="AA655" s="945"/>
      <c r="AB655" s="945"/>
    </row>
    <row r="656" ht="20.25" customHeight="1">
      <c r="A656" s="964"/>
      <c r="B656" s="965"/>
      <c r="C656" s="965"/>
      <c r="D656" s="966"/>
      <c r="E656" s="967"/>
      <c r="F656" s="965"/>
      <c r="G656" s="965"/>
      <c r="H656" s="965"/>
      <c r="I656" s="965"/>
      <c r="J656" s="965"/>
      <c r="K656" s="965"/>
      <c r="L656" s="965"/>
      <c r="M656" s="965"/>
      <c r="N656" s="965"/>
      <c r="O656" s="965"/>
      <c r="P656" s="965"/>
      <c r="Q656" s="945"/>
      <c r="R656" s="945"/>
      <c r="S656" s="945"/>
      <c r="T656" s="945"/>
      <c r="U656" s="945"/>
      <c r="V656" s="945"/>
      <c r="W656" s="945"/>
      <c r="X656" s="945"/>
      <c r="Y656" s="945"/>
      <c r="Z656" s="945"/>
      <c r="AA656" s="945"/>
      <c r="AB656" s="945"/>
    </row>
    <row r="657" ht="20.25" customHeight="1">
      <c r="A657" s="964"/>
      <c r="B657" s="965"/>
      <c r="C657" s="965"/>
      <c r="D657" s="966"/>
      <c r="E657" s="967"/>
      <c r="F657" s="965"/>
      <c r="G657" s="965"/>
      <c r="H657" s="965"/>
      <c r="I657" s="965"/>
      <c r="J657" s="965"/>
      <c r="K657" s="965"/>
      <c r="L657" s="965"/>
      <c r="M657" s="965"/>
      <c r="N657" s="965"/>
      <c r="O657" s="965"/>
      <c r="P657" s="965"/>
      <c r="Q657" s="945"/>
      <c r="R657" s="945"/>
      <c r="S657" s="945"/>
      <c r="T657" s="945"/>
      <c r="U657" s="945"/>
      <c r="V657" s="945"/>
      <c r="W657" s="945"/>
      <c r="X657" s="945"/>
      <c r="Y657" s="945"/>
      <c r="Z657" s="945"/>
      <c r="AA657" s="945"/>
      <c r="AB657" s="945"/>
    </row>
    <row r="658" ht="20.25" customHeight="1">
      <c r="A658" s="964"/>
      <c r="B658" s="965"/>
      <c r="C658" s="965"/>
      <c r="D658" s="966"/>
      <c r="E658" s="967"/>
      <c r="F658" s="965"/>
      <c r="G658" s="965"/>
      <c r="H658" s="965"/>
      <c r="I658" s="965"/>
      <c r="J658" s="965"/>
      <c r="K658" s="965"/>
      <c r="L658" s="965"/>
      <c r="M658" s="965"/>
      <c r="N658" s="965"/>
      <c r="O658" s="965"/>
      <c r="P658" s="965"/>
      <c r="Q658" s="945"/>
      <c r="R658" s="945"/>
      <c r="S658" s="945"/>
      <c r="T658" s="945"/>
      <c r="U658" s="945"/>
      <c r="V658" s="945"/>
      <c r="W658" s="945"/>
      <c r="X658" s="945"/>
      <c r="Y658" s="945"/>
      <c r="Z658" s="945"/>
      <c r="AA658" s="945"/>
      <c r="AB658" s="945"/>
    </row>
    <row r="659" ht="20.25" customHeight="1">
      <c r="A659" s="964"/>
      <c r="B659" s="965"/>
      <c r="C659" s="965"/>
      <c r="D659" s="966"/>
      <c r="E659" s="967"/>
      <c r="F659" s="965"/>
      <c r="G659" s="965"/>
      <c r="H659" s="965"/>
      <c r="I659" s="965"/>
      <c r="J659" s="965"/>
      <c r="K659" s="965"/>
      <c r="L659" s="965"/>
      <c r="M659" s="965"/>
      <c r="N659" s="965"/>
      <c r="O659" s="965"/>
      <c r="P659" s="965"/>
      <c r="Q659" s="945"/>
      <c r="R659" s="945"/>
      <c r="S659" s="945"/>
      <c r="T659" s="945"/>
      <c r="U659" s="945"/>
      <c r="V659" s="945"/>
      <c r="W659" s="945"/>
      <c r="X659" s="945"/>
      <c r="Y659" s="945"/>
      <c r="Z659" s="945"/>
      <c r="AA659" s="945"/>
      <c r="AB659" s="945"/>
    </row>
    <row r="660" ht="20.25" customHeight="1">
      <c r="A660" s="964"/>
      <c r="B660" s="965"/>
      <c r="C660" s="965"/>
      <c r="D660" s="966"/>
      <c r="E660" s="967"/>
      <c r="F660" s="965"/>
      <c r="G660" s="965"/>
      <c r="H660" s="965"/>
      <c r="I660" s="965"/>
      <c r="J660" s="965"/>
      <c r="K660" s="965"/>
      <c r="L660" s="965"/>
      <c r="M660" s="965"/>
      <c r="N660" s="965"/>
      <c r="O660" s="965"/>
      <c r="P660" s="965"/>
      <c r="Q660" s="945"/>
      <c r="R660" s="945"/>
      <c r="S660" s="945"/>
      <c r="T660" s="945"/>
      <c r="U660" s="945"/>
      <c r="V660" s="945"/>
      <c r="W660" s="945"/>
      <c r="X660" s="945"/>
      <c r="Y660" s="945"/>
      <c r="Z660" s="945"/>
      <c r="AA660" s="945"/>
      <c r="AB660" s="945"/>
    </row>
    <row r="661" ht="20.25" customHeight="1">
      <c r="A661" s="964"/>
      <c r="B661" s="965"/>
      <c r="C661" s="965"/>
      <c r="D661" s="966"/>
      <c r="E661" s="967"/>
      <c r="F661" s="965"/>
      <c r="G661" s="965"/>
      <c r="H661" s="965"/>
      <c r="I661" s="965"/>
      <c r="J661" s="965"/>
      <c r="K661" s="965"/>
      <c r="L661" s="965"/>
      <c r="M661" s="965"/>
      <c r="N661" s="965"/>
      <c r="O661" s="965"/>
      <c r="P661" s="965"/>
      <c r="Q661" s="945"/>
      <c r="R661" s="945"/>
      <c r="S661" s="945"/>
      <c r="T661" s="945"/>
      <c r="U661" s="945"/>
      <c r="V661" s="945"/>
      <c r="W661" s="945"/>
      <c r="X661" s="945"/>
      <c r="Y661" s="945"/>
      <c r="Z661" s="945"/>
      <c r="AA661" s="945"/>
      <c r="AB661" s="945"/>
    </row>
    <row r="662" ht="20.25" customHeight="1">
      <c r="A662" s="964"/>
      <c r="B662" s="965"/>
      <c r="C662" s="965"/>
      <c r="D662" s="966"/>
      <c r="E662" s="967"/>
      <c r="F662" s="965"/>
      <c r="G662" s="965"/>
      <c r="H662" s="965"/>
      <c r="I662" s="965"/>
      <c r="J662" s="965"/>
      <c r="K662" s="965"/>
      <c r="L662" s="965"/>
      <c r="M662" s="965"/>
      <c r="N662" s="965"/>
      <c r="O662" s="965"/>
      <c r="P662" s="965"/>
      <c r="Q662" s="945"/>
      <c r="R662" s="945"/>
      <c r="S662" s="945"/>
      <c r="T662" s="945"/>
      <c r="U662" s="945"/>
      <c r="V662" s="945"/>
      <c r="W662" s="945"/>
      <c r="X662" s="945"/>
      <c r="Y662" s="945"/>
      <c r="Z662" s="945"/>
      <c r="AA662" s="945"/>
      <c r="AB662" s="945"/>
    </row>
    <row r="663" ht="20.25" customHeight="1">
      <c r="A663" s="964"/>
      <c r="B663" s="965"/>
      <c r="C663" s="965"/>
      <c r="D663" s="966"/>
      <c r="E663" s="967"/>
      <c r="F663" s="965"/>
      <c r="G663" s="965"/>
      <c r="H663" s="965"/>
      <c r="I663" s="965"/>
      <c r="J663" s="965"/>
      <c r="K663" s="965"/>
      <c r="L663" s="965"/>
      <c r="M663" s="965"/>
      <c r="N663" s="965"/>
      <c r="O663" s="965"/>
      <c r="P663" s="965"/>
      <c r="Q663" s="945"/>
      <c r="R663" s="945"/>
      <c r="S663" s="945"/>
      <c r="T663" s="945"/>
      <c r="U663" s="945"/>
      <c r="V663" s="945"/>
      <c r="W663" s="945"/>
      <c r="X663" s="945"/>
      <c r="Y663" s="945"/>
      <c r="Z663" s="945"/>
      <c r="AA663" s="945"/>
      <c r="AB663" s="945"/>
    </row>
    <row r="664" ht="20.25" customHeight="1">
      <c r="A664" s="964"/>
      <c r="B664" s="965"/>
      <c r="C664" s="965"/>
      <c r="D664" s="966"/>
      <c r="E664" s="967"/>
      <c r="F664" s="965"/>
      <c r="G664" s="965"/>
      <c r="H664" s="965"/>
      <c r="I664" s="965"/>
      <c r="J664" s="965"/>
      <c r="K664" s="965"/>
      <c r="L664" s="965"/>
      <c r="M664" s="965"/>
      <c r="N664" s="965"/>
      <c r="O664" s="965"/>
      <c r="P664" s="965"/>
      <c r="Q664" s="945"/>
      <c r="R664" s="945"/>
      <c r="S664" s="945"/>
      <c r="T664" s="945"/>
      <c r="U664" s="945"/>
      <c r="V664" s="945"/>
      <c r="W664" s="945"/>
      <c r="X664" s="945"/>
      <c r="Y664" s="945"/>
      <c r="Z664" s="945"/>
      <c r="AA664" s="945"/>
      <c r="AB664" s="945"/>
    </row>
    <row r="665" ht="20.25" customHeight="1">
      <c r="A665" s="964"/>
      <c r="B665" s="965"/>
      <c r="C665" s="965"/>
      <c r="D665" s="966"/>
      <c r="E665" s="967"/>
      <c r="F665" s="965"/>
      <c r="G665" s="965"/>
      <c r="H665" s="965"/>
      <c r="I665" s="965"/>
      <c r="J665" s="965"/>
      <c r="K665" s="965"/>
      <c r="L665" s="965"/>
      <c r="M665" s="965"/>
      <c r="N665" s="965"/>
      <c r="O665" s="965"/>
      <c r="P665" s="965"/>
      <c r="Q665" s="945"/>
      <c r="R665" s="945"/>
      <c r="S665" s="945"/>
      <c r="T665" s="945"/>
      <c r="U665" s="945"/>
      <c r="V665" s="945"/>
      <c r="W665" s="945"/>
      <c r="X665" s="945"/>
      <c r="Y665" s="945"/>
      <c r="Z665" s="945"/>
      <c r="AA665" s="945"/>
      <c r="AB665" s="945"/>
    </row>
    <row r="666" ht="20.25" customHeight="1">
      <c r="A666" s="964"/>
      <c r="B666" s="965"/>
      <c r="C666" s="965"/>
      <c r="D666" s="966"/>
      <c r="E666" s="967"/>
      <c r="F666" s="965"/>
      <c r="G666" s="965"/>
      <c r="H666" s="965"/>
      <c r="I666" s="965"/>
      <c r="J666" s="965"/>
      <c r="K666" s="965"/>
      <c r="L666" s="965"/>
      <c r="M666" s="965"/>
      <c r="N666" s="965"/>
      <c r="O666" s="965"/>
      <c r="P666" s="965"/>
      <c r="Q666" s="945"/>
      <c r="R666" s="945"/>
      <c r="S666" s="945"/>
      <c r="T666" s="945"/>
      <c r="U666" s="945"/>
      <c r="V666" s="945"/>
      <c r="W666" s="945"/>
      <c r="X666" s="945"/>
      <c r="Y666" s="945"/>
      <c r="Z666" s="945"/>
      <c r="AA666" s="945"/>
      <c r="AB666" s="945"/>
    </row>
    <row r="667" ht="20.25" customHeight="1">
      <c r="A667" s="964"/>
      <c r="B667" s="965"/>
      <c r="C667" s="965"/>
      <c r="D667" s="966"/>
      <c r="E667" s="967"/>
      <c r="F667" s="965"/>
      <c r="G667" s="965"/>
      <c r="H667" s="965"/>
      <c r="I667" s="965"/>
      <c r="J667" s="965"/>
      <c r="K667" s="965"/>
      <c r="L667" s="965"/>
      <c r="M667" s="965"/>
      <c r="N667" s="965"/>
      <c r="O667" s="965"/>
      <c r="P667" s="965"/>
      <c r="Q667" s="945"/>
      <c r="R667" s="945"/>
      <c r="S667" s="945"/>
      <c r="T667" s="945"/>
      <c r="U667" s="945"/>
      <c r="V667" s="945"/>
      <c r="W667" s="945"/>
      <c r="X667" s="945"/>
      <c r="Y667" s="945"/>
      <c r="Z667" s="945"/>
      <c r="AA667" s="945"/>
      <c r="AB667" s="945"/>
    </row>
    <row r="668" ht="20.25" customHeight="1">
      <c r="A668" s="964"/>
      <c r="B668" s="965"/>
      <c r="C668" s="965"/>
      <c r="D668" s="966"/>
      <c r="E668" s="967"/>
      <c r="F668" s="965"/>
      <c r="G668" s="965"/>
      <c r="H668" s="965"/>
      <c r="I668" s="965"/>
      <c r="J668" s="965"/>
      <c r="K668" s="965"/>
      <c r="L668" s="965"/>
      <c r="M668" s="965"/>
      <c r="N668" s="965"/>
      <c r="O668" s="965"/>
      <c r="P668" s="965"/>
      <c r="Q668" s="945"/>
      <c r="R668" s="945"/>
      <c r="S668" s="945"/>
      <c r="T668" s="945"/>
      <c r="U668" s="945"/>
      <c r="V668" s="945"/>
      <c r="W668" s="945"/>
      <c r="X668" s="945"/>
      <c r="Y668" s="945"/>
      <c r="Z668" s="945"/>
      <c r="AA668" s="945"/>
      <c r="AB668" s="945"/>
    </row>
    <row r="669" ht="20.25" customHeight="1">
      <c r="A669" s="964"/>
      <c r="B669" s="965"/>
      <c r="C669" s="965"/>
      <c r="D669" s="966"/>
      <c r="E669" s="967"/>
      <c r="F669" s="965"/>
      <c r="G669" s="965"/>
      <c r="H669" s="965"/>
      <c r="I669" s="965"/>
      <c r="J669" s="965"/>
      <c r="K669" s="965"/>
      <c r="L669" s="965"/>
      <c r="M669" s="965"/>
      <c r="N669" s="965"/>
      <c r="O669" s="965"/>
      <c r="P669" s="965"/>
      <c r="Q669" s="945"/>
      <c r="R669" s="945"/>
      <c r="S669" s="945"/>
      <c r="T669" s="945"/>
      <c r="U669" s="945"/>
      <c r="V669" s="945"/>
      <c r="W669" s="945"/>
      <c r="X669" s="945"/>
      <c r="Y669" s="945"/>
      <c r="Z669" s="945"/>
      <c r="AA669" s="945"/>
      <c r="AB669" s="945"/>
    </row>
    <row r="670" ht="20.25" customHeight="1">
      <c r="A670" s="964"/>
      <c r="B670" s="965"/>
      <c r="C670" s="965"/>
      <c r="D670" s="966"/>
      <c r="E670" s="967"/>
      <c r="F670" s="965"/>
      <c r="G670" s="965"/>
      <c r="H670" s="965"/>
      <c r="I670" s="965"/>
      <c r="J670" s="965"/>
      <c r="K670" s="965"/>
      <c r="L670" s="965"/>
      <c r="M670" s="965"/>
      <c r="N670" s="965"/>
      <c r="O670" s="965"/>
      <c r="P670" s="965"/>
      <c r="Q670" s="945"/>
      <c r="R670" s="945"/>
      <c r="S670" s="945"/>
      <c r="T670" s="945"/>
      <c r="U670" s="945"/>
      <c r="V670" s="945"/>
      <c r="W670" s="945"/>
      <c r="X670" s="945"/>
      <c r="Y670" s="945"/>
      <c r="Z670" s="945"/>
      <c r="AA670" s="945"/>
      <c r="AB670" s="945"/>
    </row>
    <row r="671" ht="20.25" customHeight="1">
      <c r="A671" s="964"/>
      <c r="B671" s="965"/>
      <c r="C671" s="965"/>
      <c r="D671" s="966"/>
      <c r="E671" s="967"/>
      <c r="F671" s="965"/>
      <c r="G671" s="965"/>
      <c r="H671" s="965"/>
      <c r="I671" s="965"/>
      <c r="J671" s="965"/>
      <c r="K671" s="965"/>
      <c r="L671" s="965"/>
      <c r="M671" s="965"/>
      <c r="N671" s="965"/>
      <c r="O671" s="965"/>
      <c r="P671" s="965"/>
      <c r="Q671" s="945"/>
      <c r="R671" s="945"/>
      <c r="S671" s="945"/>
      <c r="T671" s="945"/>
      <c r="U671" s="945"/>
      <c r="V671" s="945"/>
      <c r="W671" s="945"/>
      <c r="X671" s="945"/>
      <c r="Y671" s="945"/>
      <c r="Z671" s="945"/>
      <c r="AA671" s="945"/>
      <c r="AB671" s="945"/>
    </row>
    <row r="672" ht="20.25" customHeight="1">
      <c r="A672" s="964"/>
      <c r="B672" s="965"/>
      <c r="C672" s="965"/>
      <c r="D672" s="966"/>
      <c r="E672" s="967"/>
      <c r="F672" s="965"/>
      <c r="G672" s="965"/>
      <c r="H672" s="965"/>
      <c r="I672" s="965"/>
      <c r="J672" s="965"/>
      <c r="K672" s="965"/>
      <c r="L672" s="965"/>
      <c r="M672" s="965"/>
      <c r="N672" s="965"/>
      <c r="O672" s="965"/>
      <c r="P672" s="965"/>
      <c r="Q672" s="945"/>
      <c r="R672" s="945"/>
      <c r="S672" s="945"/>
      <c r="T672" s="945"/>
      <c r="U672" s="945"/>
      <c r="V672" s="945"/>
      <c r="W672" s="945"/>
      <c r="X672" s="945"/>
      <c r="Y672" s="945"/>
      <c r="Z672" s="945"/>
      <c r="AA672" s="945"/>
      <c r="AB672" s="945"/>
    </row>
    <row r="673" ht="20.25" customHeight="1">
      <c r="A673" s="964"/>
      <c r="B673" s="965"/>
      <c r="C673" s="965"/>
      <c r="D673" s="966"/>
      <c r="E673" s="967"/>
      <c r="F673" s="965"/>
      <c r="G673" s="965"/>
      <c r="H673" s="965"/>
      <c r="I673" s="965"/>
      <c r="J673" s="965"/>
      <c r="K673" s="965"/>
      <c r="L673" s="965"/>
      <c r="M673" s="965"/>
      <c r="N673" s="965"/>
      <c r="O673" s="965"/>
      <c r="P673" s="965"/>
      <c r="Q673" s="945"/>
      <c r="R673" s="945"/>
      <c r="S673" s="945"/>
      <c r="T673" s="945"/>
      <c r="U673" s="945"/>
      <c r="V673" s="945"/>
      <c r="W673" s="945"/>
      <c r="X673" s="945"/>
      <c r="Y673" s="945"/>
      <c r="Z673" s="945"/>
      <c r="AA673" s="945"/>
      <c r="AB673" s="945"/>
    </row>
    <row r="674" ht="20.25" customHeight="1">
      <c r="A674" s="964"/>
      <c r="B674" s="965"/>
      <c r="C674" s="965"/>
      <c r="D674" s="966"/>
      <c r="E674" s="967"/>
      <c r="F674" s="965"/>
      <c r="G674" s="965"/>
      <c r="H674" s="965"/>
      <c r="I674" s="965"/>
      <c r="J674" s="965"/>
      <c r="K674" s="965"/>
      <c r="L674" s="965"/>
      <c r="M674" s="965"/>
      <c r="N674" s="965"/>
      <c r="O674" s="965"/>
      <c r="P674" s="965"/>
      <c r="Q674" s="945"/>
      <c r="R674" s="945"/>
      <c r="S674" s="945"/>
      <c r="T674" s="945"/>
      <c r="U674" s="945"/>
      <c r="V674" s="945"/>
      <c r="W674" s="945"/>
      <c r="X674" s="945"/>
      <c r="Y674" s="945"/>
      <c r="Z674" s="945"/>
      <c r="AA674" s="945"/>
      <c r="AB674" s="945"/>
    </row>
    <row r="675" ht="20.25" customHeight="1">
      <c r="A675" s="964"/>
      <c r="B675" s="965"/>
      <c r="C675" s="965"/>
      <c r="D675" s="966"/>
      <c r="E675" s="967"/>
      <c r="F675" s="965"/>
      <c r="G675" s="965"/>
      <c r="H675" s="965"/>
      <c r="I675" s="965"/>
      <c r="J675" s="965"/>
      <c r="K675" s="965"/>
      <c r="L675" s="965"/>
      <c r="M675" s="965"/>
      <c r="N675" s="965"/>
      <c r="O675" s="965"/>
      <c r="P675" s="965"/>
      <c r="Q675" s="945"/>
      <c r="R675" s="945"/>
      <c r="S675" s="945"/>
      <c r="T675" s="945"/>
      <c r="U675" s="945"/>
      <c r="V675" s="945"/>
      <c r="W675" s="945"/>
      <c r="X675" s="945"/>
      <c r="Y675" s="945"/>
      <c r="Z675" s="945"/>
      <c r="AA675" s="945"/>
      <c r="AB675" s="945"/>
    </row>
    <row r="676" ht="20.25" customHeight="1">
      <c r="A676" s="964"/>
      <c r="B676" s="965"/>
      <c r="C676" s="965"/>
      <c r="D676" s="966"/>
      <c r="E676" s="967"/>
      <c r="F676" s="965"/>
      <c r="G676" s="965"/>
      <c r="H676" s="965"/>
      <c r="I676" s="965"/>
      <c r="J676" s="965"/>
      <c r="K676" s="965"/>
      <c r="L676" s="965"/>
      <c r="M676" s="965"/>
      <c r="N676" s="965"/>
      <c r="O676" s="965"/>
      <c r="P676" s="965"/>
      <c r="Q676" s="945"/>
      <c r="R676" s="945"/>
      <c r="S676" s="945"/>
      <c r="T676" s="945"/>
      <c r="U676" s="945"/>
      <c r="V676" s="945"/>
      <c r="W676" s="945"/>
      <c r="X676" s="945"/>
      <c r="Y676" s="945"/>
      <c r="Z676" s="945"/>
      <c r="AA676" s="945"/>
      <c r="AB676" s="945"/>
    </row>
    <row r="677" ht="20.25" customHeight="1">
      <c r="A677" s="964"/>
      <c r="B677" s="965"/>
      <c r="C677" s="965"/>
      <c r="D677" s="966"/>
      <c r="E677" s="967"/>
      <c r="F677" s="965"/>
      <c r="G677" s="965"/>
      <c r="H677" s="965"/>
      <c r="I677" s="965"/>
      <c r="J677" s="965"/>
      <c r="K677" s="965"/>
      <c r="L677" s="965"/>
      <c r="M677" s="965"/>
      <c r="N677" s="965"/>
      <c r="O677" s="965"/>
      <c r="P677" s="965"/>
      <c r="Q677" s="945"/>
      <c r="R677" s="945"/>
      <c r="S677" s="945"/>
      <c r="T677" s="945"/>
      <c r="U677" s="945"/>
      <c r="V677" s="945"/>
      <c r="W677" s="945"/>
      <c r="X677" s="945"/>
      <c r="Y677" s="945"/>
      <c r="Z677" s="945"/>
      <c r="AA677" s="945"/>
      <c r="AB677" s="945"/>
    </row>
    <row r="678" ht="20.25" customHeight="1">
      <c r="A678" s="964"/>
      <c r="B678" s="965"/>
      <c r="C678" s="965"/>
      <c r="D678" s="966"/>
      <c r="E678" s="967"/>
      <c r="F678" s="965"/>
      <c r="G678" s="965"/>
      <c r="H678" s="965"/>
      <c r="I678" s="965"/>
      <c r="J678" s="965"/>
      <c r="K678" s="965"/>
      <c r="L678" s="965"/>
      <c r="M678" s="965"/>
      <c r="N678" s="965"/>
      <c r="O678" s="965"/>
      <c r="P678" s="965"/>
      <c r="Q678" s="945"/>
      <c r="R678" s="945"/>
      <c r="S678" s="945"/>
      <c r="T678" s="945"/>
      <c r="U678" s="945"/>
      <c r="V678" s="945"/>
      <c r="W678" s="945"/>
      <c r="X678" s="945"/>
      <c r="Y678" s="945"/>
      <c r="Z678" s="945"/>
      <c r="AA678" s="945"/>
      <c r="AB678" s="945"/>
    </row>
    <row r="679" ht="20.25" customHeight="1">
      <c r="A679" s="964"/>
      <c r="B679" s="965"/>
      <c r="C679" s="965"/>
      <c r="D679" s="966"/>
      <c r="E679" s="967"/>
      <c r="F679" s="965"/>
      <c r="G679" s="965"/>
      <c r="H679" s="965"/>
      <c r="I679" s="965"/>
      <c r="J679" s="965"/>
      <c r="K679" s="965"/>
      <c r="L679" s="965"/>
      <c r="M679" s="965"/>
      <c r="N679" s="965"/>
      <c r="O679" s="965"/>
      <c r="P679" s="965"/>
      <c r="Q679" s="945"/>
      <c r="R679" s="945"/>
      <c r="S679" s="945"/>
      <c r="T679" s="945"/>
      <c r="U679" s="945"/>
      <c r="V679" s="945"/>
      <c r="W679" s="945"/>
      <c r="X679" s="945"/>
      <c r="Y679" s="945"/>
      <c r="Z679" s="945"/>
      <c r="AA679" s="945"/>
      <c r="AB679" s="945"/>
    </row>
    <row r="680" ht="20.25" customHeight="1">
      <c r="A680" s="964"/>
      <c r="B680" s="965"/>
      <c r="C680" s="965"/>
      <c r="D680" s="966"/>
      <c r="E680" s="967"/>
      <c r="F680" s="965"/>
      <c r="G680" s="965"/>
      <c r="H680" s="965"/>
      <c r="I680" s="965"/>
      <c r="J680" s="965"/>
      <c r="K680" s="965"/>
      <c r="L680" s="965"/>
      <c r="M680" s="965"/>
      <c r="N680" s="965"/>
      <c r="O680" s="965"/>
      <c r="P680" s="965"/>
      <c r="Q680" s="945"/>
      <c r="R680" s="945"/>
      <c r="S680" s="945"/>
      <c r="T680" s="945"/>
      <c r="U680" s="945"/>
      <c r="V680" s="945"/>
      <c r="W680" s="945"/>
      <c r="X680" s="945"/>
      <c r="Y680" s="945"/>
      <c r="Z680" s="945"/>
      <c r="AA680" s="945"/>
      <c r="AB680" s="945"/>
    </row>
    <row r="681" ht="20.25" customHeight="1">
      <c r="A681" s="964"/>
      <c r="B681" s="965"/>
      <c r="C681" s="965"/>
      <c r="D681" s="966"/>
      <c r="E681" s="967"/>
      <c r="F681" s="965"/>
      <c r="G681" s="965"/>
      <c r="H681" s="965"/>
      <c r="I681" s="965"/>
      <c r="J681" s="965"/>
      <c r="K681" s="965"/>
      <c r="L681" s="965"/>
      <c r="M681" s="965"/>
      <c r="N681" s="965"/>
      <c r="O681" s="965"/>
      <c r="P681" s="965"/>
      <c r="Q681" s="945"/>
      <c r="R681" s="945"/>
      <c r="S681" s="945"/>
      <c r="T681" s="945"/>
      <c r="U681" s="945"/>
      <c r="V681" s="945"/>
      <c r="W681" s="945"/>
      <c r="X681" s="945"/>
      <c r="Y681" s="945"/>
      <c r="Z681" s="945"/>
      <c r="AA681" s="945"/>
      <c r="AB681" s="945"/>
    </row>
    <row r="682" ht="20.25" customHeight="1">
      <c r="A682" s="964"/>
      <c r="B682" s="965"/>
      <c r="C682" s="965"/>
      <c r="D682" s="966"/>
      <c r="E682" s="967"/>
      <c r="F682" s="965"/>
      <c r="G682" s="965"/>
      <c r="H682" s="965"/>
      <c r="I682" s="965"/>
      <c r="J682" s="965"/>
      <c r="K682" s="965"/>
      <c r="L682" s="965"/>
      <c r="M682" s="965"/>
      <c r="N682" s="965"/>
      <c r="O682" s="965"/>
      <c r="P682" s="965"/>
      <c r="Q682" s="945"/>
      <c r="R682" s="945"/>
      <c r="S682" s="945"/>
      <c r="T682" s="945"/>
      <c r="U682" s="945"/>
      <c r="V682" s="945"/>
      <c r="W682" s="945"/>
      <c r="X682" s="945"/>
      <c r="Y682" s="945"/>
      <c r="Z682" s="945"/>
      <c r="AA682" s="945"/>
      <c r="AB682" s="945"/>
    </row>
    <row r="683" ht="20.25" customHeight="1">
      <c r="A683" s="964"/>
      <c r="B683" s="965"/>
      <c r="C683" s="965"/>
      <c r="D683" s="966"/>
      <c r="E683" s="967"/>
      <c r="F683" s="965"/>
      <c r="G683" s="965"/>
      <c r="H683" s="965"/>
      <c r="I683" s="965"/>
      <c r="J683" s="965"/>
      <c r="K683" s="965"/>
      <c r="L683" s="965"/>
      <c r="M683" s="965"/>
      <c r="N683" s="965"/>
      <c r="O683" s="965"/>
      <c r="P683" s="965"/>
      <c r="Q683" s="945"/>
      <c r="R683" s="945"/>
      <c r="S683" s="945"/>
      <c r="T683" s="945"/>
      <c r="U683" s="945"/>
      <c r="V683" s="945"/>
      <c r="W683" s="945"/>
      <c r="X683" s="945"/>
      <c r="Y683" s="945"/>
      <c r="Z683" s="945"/>
      <c r="AA683" s="945"/>
      <c r="AB683" s="945"/>
    </row>
    <row r="684" ht="20.25" customHeight="1">
      <c r="A684" s="964"/>
      <c r="B684" s="965"/>
      <c r="C684" s="965"/>
      <c r="D684" s="966"/>
      <c r="E684" s="967"/>
      <c r="F684" s="965"/>
      <c r="G684" s="965"/>
      <c r="H684" s="965"/>
      <c r="I684" s="965"/>
      <c r="J684" s="965"/>
      <c r="K684" s="965"/>
      <c r="L684" s="965"/>
      <c r="M684" s="965"/>
      <c r="N684" s="965"/>
      <c r="O684" s="965"/>
      <c r="P684" s="965"/>
      <c r="Q684" s="945"/>
      <c r="R684" s="945"/>
      <c r="S684" s="945"/>
      <c r="T684" s="945"/>
      <c r="U684" s="945"/>
      <c r="V684" s="945"/>
      <c r="W684" s="945"/>
      <c r="X684" s="945"/>
      <c r="Y684" s="945"/>
      <c r="Z684" s="945"/>
      <c r="AA684" s="945"/>
      <c r="AB684" s="945"/>
    </row>
    <row r="685" ht="20.25" customHeight="1">
      <c r="A685" s="964"/>
      <c r="B685" s="965"/>
      <c r="C685" s="965"/>
      <c r="D685" s="966"/>
      <c r="E685" s="967"/>
      <c r="F685" s="965"/>
      <c r="G685" s="965"/>
      <c r="H685" s="965"/>
      <c r="I685" s="965"/>
      <c r="J685" s="965"/>
      <c r="K685" s="965"/>
      <c r="L685" s="965"/>
      <c r="M685" s="965"/>
      <c r="N685" s="965"/>
      <c r="O685" s="965"/>
      <c r="P685" s="965"/>
      <c r="Q685" s="945"/>
      <c r="R685" s="945"/>
      <c r="S685" s="945"/>
      <c r="T685" s="945"/>
      <c r="U685" s="945"/>
      <c r="V685" s="945"/>
      <c r="W685" s="945"/>
      <c r="X685" s="945"/>
      <c r="Y685" s="945"/>
      <c r="Z685" s="945"/>
      <c r="AA685" s="945"/>
      <c r="AB685" s="945"/>
    </row>
    <row r="686" ht="20.25" customHeight="1">
      <c r="A686" s="964"/>
      <c r="B686" s="965"/>
      <c r="C686" s="965"/>
      <c r="D686" s="966"/>
      <c r="E686" s="967"/>
      <c r="F686" s="965"/>
      <c r="G686" s="965"/>
      <c r="H686" s="965"/>
      <c r="I686" s="965"/>
      <c r="J686" s="965"/>
      <c r="K686" s="965"/>
      <c r="L686" s="965"/>
      <c r="M686" s="965"/>
      <c r="N686" s="965"/>
      <c r="O686" s="965"/>
      <c r="P686" s="965"/>
      <c r="Q686" s="945"/>
      <c r="R686" s="945"/>
      <c r="S686" s="945"/>
      <c r="T686" s="945"/>
      <c r="U686" s="945"/>
      <c r="V686" s="945"/>
      <c r="W686" s="945"/>
      <c r="X686" s="945"/>
      <c r="Y686" s="945"/>
      <c r="Z686" s="945"/>
      <c r="AA686" s="945"/>
      <c r="AB686" s="945"/>
    </row>
    <row r="687" ht="20.25" customHeight="1">
      <c r="A687" s="964"/>
      <c r="B687" s="965"/>
      <c r="C687" s="965"/>
      <c r="D687" s="966"/>
      <c r="E687" s="967"/>
      <c r="F687" s="965"/>
      <c r="G687" s="965"/>
      <c r="H687" s="965"/>
      <c r="I687" s="965"/>
      <c r="J687" s="965"/>
      <c r="K687" s="965"/>
      <c r="L687" s="965"/>
      <c r="M687" s="965"/>
      <c r="N687" s="965"/>
      <c r="O687" s="965"/>
      <c r="P687" s="965"/>
      <c r="Q687" s="945"/>
      <c r="R687" s="945"/>
      <c r="S687" s="945"/>
      <c r="T687" s="945"/>
      <c r="U687" s="945"/>
      <c r="V687" s="945"/>
      <c r="W687" s="945"/>
      <c r="X687" s="945"/>
      <c r="Y687" s="945"/>
      <c r="Z687" s="945"/>
      <c r="AA687" s="945"/>
      <c r="AB687" s="945"/>
    </row>
    <row r="688" ht="20.25" customHeight="1">
      <c r="A688" s="964"/>
      <c r="B688" s="965"/>
      <c r="C688" s="965"/>
      <c r="D688" s="966"/>
      <c r="E688" s="967"/>
      <c r="F688" s="965"/>
      <c r="G688" s="965"/>
      <c r="H688" s="965"/>
      <c r="I688" s="965"/>
      <c r="J688" s="965"/>
      <c r="K688" s="965"/>
      <c r="L688" s="965"/>
      <c r="M688" s="965"/>
      <c r="N688" s="965"/>
      <c r="O688" s="965"/>
      <c r="P688" s="965"/>
      <c r="Q688" s="945"/>
      <c r="R688" s="945"/>
      <c r="S688" s="945"/>
      <c r="T688" s="945"/>
      <c r="U688" s="945"/>
      <c r="V688" s="945"/>
      <c r="W688" s="945"/>
      <c r="X688" s="945"/>
      <c r="Y688" s="945"/>
      <c r="Z688" s="945"/>
      <c r="AA688" s="945"/>
      <c r="AB688" s="945"/>
    </row>
    <row r="689" ht="20.25" customHeight="1">
      <c r="A689" s="964"/>
      <c r="B689" s="965"/>
      <c r="C689" s="965"/>
      <c r="D689" s="966"/>
      <c r="E689" s="967"/>
      <c r="F689" s="965"/>
      <c r="G689" s="965"/>
      <c r="H689" s="965"/>
      <c r="I689" s="965"/>
      <c r="J689" s="965"/>
      <c r="K689" s="965"/>
      <c r="L689" s="965"/>
      <c r="M689" s="965"/>
      <c r="N689" s="965"/>
      <c r="O689" s="965"/>
      <c r="P689" s="965"/>
      <c r="Q689" s="945"/>
      <c r="R689" s="945"/>
      <c r="S689" s="945"/>
      <c r="T689" s="945"/>
      <c r="U689" s="945"/>
      <c r="V689" s="945"/>
      <c r="W689" s="945"/>
      <c r="X689" s="945"/>
      <c r="Y689" s="945"/>
      <c r="Z689" s="945"/>
      <c r="AA689" s="945"/>
      <c r="AB689" s="945"/>
    </row>
    <row r="690" ht="20.25" customHeight="1">
      <c r="A690" s="964"/>
      <c r="B690" s="965"/>
      <c r="C690" s="965"/>
      <c r="D690" s="966"/>
      <c r="E690" s="967"/>
      <c r="F690" s="965"/>
      <c r="G690" s="965"/>
      <c r="H690" s="965"/>
      <c r="I690" s="965"/>
      <c r="J690" s="965"/>
      <c r="K690" s="965"/>
      <c r="L690" s="965"/>
      <c r="M690" s="965"/>
      <c r="N690" s="965"/>
      <c r="O690" s="965"/>
      <c r="P690" s="965"/>
      <c r="Q690" s="945"/>
      <c r="R690" s="945"/>
      <c r="S690" s="945"/>
      <c r="T690" s="945"/>
      <c r="U690" s="945"/>
      <c r="V690" s="945"/>
      <c r="W690" s="945"/>
      <c r="X690" s="945"/>
      <c r="Y690" s="945"/>
      <c r="Z690" s="945"/>
      <c r="AA690" s="945"/>
      <c r="AB690" s="945"/>
    </row>
    <row r="691" ht="20.25" customHeight="1">
      <c r="A691" s="964"/>
      <c r="B691" s="965"/>
      <c r="C691" s="965"/>
      <c r="D691" s="966"/>
      <c r="E691" s="967"/>
      <c r="F691" s="965"/>
      <c r="G691" s="965"/>
      <c r="H691" s="965"/>
      <c r="I691" s="965"/>
      <c r="J691" s="965"/>
      <c r="K691" s="965"/>
      <c r="L691" s="965"/>
      <c r="M691" s="965"/>
      <c r="N691" s="965"/>
      <c r="O691" s="965"/>
      <c r="P691" s="965"/>
      <c r="Q691" s="945"/>
      <c r="R691" s="945"/>
      <c r="S691" s="945"/>
      <c r="T691" s="945"/>
      <c r="U691" s="945"/>
      <c r="V691" s="945"/>
      <c r="W691" s="945"/>
      <c r="X691" s="945"/>
      <c r="Y691" s="945"/>
      <c r="Z691" s="945"/>
      <c r="AA691" s="945"/>
      <c r="AB691" s="945"/>
    </row>
    <row r="692" ht="20.25" customHeight="1">
      <c r="A692" s="964"/>
      <c r="B692" s="965"/>
      <c r="C692" s="965"/>
      <c r="D692" s="966"/>
      <c r="E692" s="967"/>
      <c r="F692" s="965"/>
      <c r="G692" s="965"/>
      <c r="H692" s="965"/>
      <c r="I692" s="965"/>
      <c r="J692" s="965"/>
      <c r="K692" s="965"/>
      <c r="L692" s="965"/>
      <c r="M692" s="965"/>
      <c r="N692" s="965"/>
      <c r="O692" s="965"/>
      <c r="P692" s="965"/>
      <c r="Q692" s="945"/>
      <c r="R692" s="945"/>
      <c r="S692" s="945"/>
      <c r="T692" s="945"/>
      <c r="U692" s="945"/>
      <c r="V692" s="945"/>
      <c r="W692" s="945"/>
      <c r="X692" s="945"/>
      <c r="Y692" s="945"/>
      <c r="Z692" s="945"/>
      <c r="AA692" s="945"/>
      <c r="AB692" s="945"/>
    </row>
    <row r="693" ht="20.25" customHeight="1">
      <c r="A693" s="964"/>
      <c r="B693" s="965"/>
      <c r="C693" s="965"/>
      <c r="D693" s="966"/>
      <c r="E693" s="967"/>
      <c r="F693" s="965"/>
      <c r="G693" s="965"/>
      <c r="H693" s="965"/>
      <c r="I693" s="965"/>
      <c r="J693" s="965"/>
      <c r="K693" s="965"/>
      <c r="L693" s="965"/>
      <c r="M693" s="965"/>
      <c r="N693" s="965"/>
      <c r="O693" s="965"/>
      <c r="P693" s="965"/>
      <c r="Q693" s="945"/>
      <c r="R693" s="945"/>
      <c r="S693" s="945"/>
      <c r="T693" s="945"/>
      <c r="U693" s="945"/>
      <c r="V693" s="945"/>
      <c r="W693" s="945"/>
      <c r="X693" s="945"/>
      <c r="Y693" s="945"/>
      <c r="Z693" s="945"/>
      <c r="AA693" s="945"/>
      <c r="AB693" s="945"/>
    </row>
    <row r="694" ht="20.25" customHeight="1">
      <c r="A694" s="964"/>
      <c r="B694" s="965"/>
      <c r="C694" s="965"/>
      <c r="D694" s="966"/>
      <c r="E694" s="967"/>
      <c r="F694" s="965"/>
      <c r="G694" s="965"/>
      <c r="H694" s="965"/>
      <c r="I694" s="965"/>
      <c r="J694" s="965"/>
      <c r="K694" s="965"/>
      <c r="L694" s="965"/>
      <c r="M694" s="965"/>
      <c r="N694" s="965"/>
      <c r="O694" s="965"/>
      <c r="P694" s="965"/>
      <c r="Q694" s="945"/>
      <c r="R694" s="945"/>
      <c r="S694" s="945"/>
      <c r="T694" s="945"/>
      <c r="U694" s="945"/>
      <c r="V694" s="945"/>
      <c r="W694" s="945"/>
      <c r="X694" s="945"/>
      <c r="Y694" s="945"/>
      <c r="Z694" s="945"/>
      <c r="AA694" s="945"/>
      <c r="AB694" s="945"/>
    </row>
    <row r="695" ht="20.25" customHeight="1">
      <c r="A695" s="964"/>
      <c r="B695" s="965"/>
      <c r="C695" s="965"/>
      <c r="D695" s="966"/>
      <c r="E695" s="967"/>
      <c r="F695" s="965"/>
      <c r="G695" s="965"/>
      <c r="H695" s="965"/>
      <c r="I695" s="965"/>
      <c r="J695" s="965"/>
      <c r="K695" s="965"/>
      <c r="L695" s="965"/>
      <c r="M695" s="965"/>
      <c r="N695" s="965"/>
      <c r="O695" s="965"/>
      <c r="P695" s="965"/>
      <c r="Q695" s="945"/>
      <c r="R695" s="945"/>
      <c r="S695" s="945"/>
      <c r="T695" s="945"/>
      <c r="U695" s="945"/>
      <c r="V695" s="945"/>
      <c r="W695" s="945"/>
      <c r="X695" s="945"/>
      <c r="Y695" s="945"/>
      <c r="Z695" s="945"/>
      <c r="AA695" s="945"/>
      <c r="AB695" s="945"/>
    </row>
    <row r="696" ht="20.25" customHeight="1">
      <c r="A696" s="964"/>
      <c r="B696" s="965"/>
      <c r="C696" s="965"/>
      <c r="D696" s="966"/>
      <c r="E696" s="967"/>
      <c r="F696" s="965"/>
      <c r="G696" s="965"/>
      <c r="H696" s="965"/>
      <c r="I696" s="965"/>
      <c r="J696" s="965"/>
      <c r="K696" s="965"/>
      <c r="L696" s="965"/>
      <c r="M696" s="965"/>
      <c r="N696" s="965"/>
      <c r="O696" s="965"/>
      <c r="P696" s="965"/>
      <c r="Q696" s="945"/>
      <c r="R696" s="945"/>
      <c r="S696" s="945"/>
      <c r="T696" s="945"/>
      <c r="U696" s="945"/>
      <c r="V696" s="945"/>
      <c r="W696" s="945"/>
      <c r="X696" s="945"/>
      <c r="Y696" s="945"/>
      <c r="Z696" s="945"/>
      <c r="AA696" s="945"/>
      <c r="AB696" s="945"/>
    </row>
    <row r="697" ht="20.25" customHeight="1">
      <c r="A697" s="964"/>
      <c r="B697" s="965"/>
      <c r="C697" s="965"/>
      <c r="D697" s="966"/>
      <c r="E697" s="967"/>
      <c r="F697" s="965"/>
      <c r="G697" s="965"/>
      <c r="H697" s="965"/>
      <c r="I697" s="965"/>
      <c r="J697" s="965"/>
      <c r="K697" s="965"/>
      <c r="L697" s="965"/>
      <c r="M697" s="965"/>
      <c r="N697" s="965"/>
      <c r="O697" s="965"/>
      <c r="P697" s="965"/>
      <c r="Q697" s="945"/>
      <c r="R697" s="945"/>
      <c r="S697" s="945"/>
      <c r="T697" s="945"/>
      <c r="U697" s="945"/>
      <c r="V697" s="945"/>
      <c r="W697" s="945"/>
      <c r="X697" s="945"/>
      <c r="Y697" s="945"/>
      <c r="Z697" s="945"/>
      <c r="AA697" s="945"/>
      <c r="AB697" s="945"/>
    </row>
    <row r="698" ht="20.25" customHeight="1">
      <c r="A698" s="964"/>
      <c r="B698" s="965"/>
      <c r="C698" s="965"/>
      <c r="D698" s="966"/>
      <c r="E698" s="967"/>
      <c r="F698" s="965"/>
      <c r="G698" s="965"/>
      <c r="H698" s="965"/>
      <c r="I698" s="965"/>
      <c r="J698" s="965"/>
      <c r="K698" s="965"/>
      <c r="L698" s="965"/>
      <c r="M698" s="965"/>
      <c r="N698" s="965"/>
      <c r="O698" s="965"/>
      <c r="P698" s="965"/>
      <c r="Q698" s="945"/>
      <c r="R698" s="945"/>
      <c r="S698" s="945"/>
      <c r="T698" s="945"/>
      <c r="U698" s="945"/>
      <c r="V698" s="945"/>
      <c r="W698" s="945"/>
      <c r="X698" s="945"/>
      <c r="Y698" s="945"/>
      <c r="Z698" s="945"/>
      <c r="AA698" s="945"/>
      <c r="AB698" s="945"/>
    </row>
    <row r="699" ht="20.25" customHeight="1">
      <c r="A699" s="964"/>
      <c r="B699" s="965"/>
      <c r="C699" s="965"/>
      <c r="D699" s="966"/>
      <c r="E699" s="967"/>
      <c r="F699" s="965"/>
      <c r="G699" s="965"/>
      <c r="H699" s="965"/>
      <c r="I699" s="965"/>
      <c r="J699" s="965"/>
      <c r="K699" s="965"/>
      <c r="L699" s="965"/>
      <c r="M699" s="965"/>
      <c r="N699" s="965"/>
      <c r="O699" s="965"/>
      <c r="P699" s="965"/>
      <c r="Q699" s="945"/>
      <c r="R699" s="945"/>
      <c r="S699" s="945"/>
      <c r="T699" s="945"/>
      <c r="U699" s="945"/>
      <c r="V699" s="945"/>
      <c r="W699" s="945"/>
      <c r="X699" s="945"/>
      <c r="Y699" s="945"/>
      <c r="Z699" s="945"/>
      <c r="AA699" s="945"/>
      <c r="AB699" s="945"/>
    </row>
    <row r="700" ht="20.25" customHeight="1">
      <c r="A700" s="964"/>
      <c r="B700" s="965"/>
      <c r="C700" s="965"/>
      <c r="D700" s="966"/>
      <c r="E700" s="967"/>
      <c r="F700" s="965"/>
      <c r="G700" s="965"/>
      <c r="H700" s="965"/>
      <c r="I700" s="965"/>
      <c r="J700" s="965"/>
      <c r="K700" s="965"/>
      <c r="L700" s="965"/>
      <c r="M700" s="965"/>
      <c r="N700" s="965"/>
      <c r="O700" s="965"/>
      <c r="P700" s="965"/>
      <c r="Q700" s="945"/>
      <c r="R700" s="945"/>
      <c r="S700" s="945"/>
      <c r="T700" s="945"/>
      <c r="U700" s="945"/>
      <c r="V700" s="945"/>
      <c r="W700" s="945"/>
      <c r="X700" s="945"/>
      <c r="Y700" s="945"/>
      <c r="Z700" s="945"/>
      <c r="AA700" s="945"/>
      <c r="AB700" s="945"/>
    </row>
    <row r="701" ht="20.25" customHeight="1">
      <c r="A701" s="964"/>
      <c r="B701" s="965"/>
      <c r="C701" s="965"/>
      <c r="D701" s="966"/>
      <c r="E701" s="967"/>
      <c r="F701" s="965"/>
      <c r="G701" s="965"/>
      <c r="H701" s="965"/>
      <c r="I701" s="965"/>
      <c r="J701" s="965"/>
      <c r="K701" s="965"/>
      <c r="L701" s="965"/>
      <c r="M701" s="965"/>
      <c r="N701" s="965"/>
      <c r="O701" s="965"/>
      <c r="P701" s="965"/>
      <c r="Q701" s="945"/>
      <c r="R701" s="945"/>
      <c r="S701" s="945"/>
      <c r="T701" s="945"/>
      <c r="U701" s="945"/>
      <c r="V701" s="945"/>
      <c r="W701" s="945"/>
      <c r="X701" s="945"/>
      <c r="Y701" s="945"/>
      <c r="Z701" s="945"/>
      <c r="AA701" s="945"/>
      <c r="AB701" s="945"/>
    </row>
    <row r="702" ht="20.25" customHeight="1">
      <c r="A702" s="964"/>
      <c r="B702" s="965"/>
      <c r="C702" s="965"/>
      <c r="D702" s="966"/>
      <c r="E702" s="967"/>
      <c r="F702" s="965"/>
      <c r="G702" s="965"/>
      <c r="H702" s="965"/>
      <c r="I702" s="965"/>
      <c r="J702" s="965"/>
      <c r="K702" s="965"/>
      <c r="L702" s="965"/>
      <c r="M702" s="965"/>
      <c r="N702" s="965"/>
      <c r="O702" s="965"/>
      <c r="P702" s="965"/>
      <c r="Q702" s="945"/>
      <c r="R702" s="945"/>
      <c r="S702" s="945"/>
      <c r="T702" s="945"/>
      <c r="U702" s="945"/>
      <c r="V702" s="945"/>
      <c r="W702" s="945"/>
      <c r="X702" s="945"/>
      <c r="Y702" s="945"/>
      <c r="Z702" s="945"/>
      <c r="AA702" s="945"/>
      <c r="AB702" s="945"/>
    </row>
    <row r="703" ht="20.25" customHeight="1">
      <c r="A703" s="964"/>
      <c r="B703" s="965"/>
      <c r="C703" s="965"/>
      <c r="D703" s="966"/>
      <c r="E703" s="967"/>
      <c r="F703" s="965"/>
      <c r="G703" s="965"/>
      <c r="H703" s="965"/>
      <c r="I703" s="965"/>
      <c r="J703" s="965"/>
      <c r="K703" s="965"/>
      <c r="L703" s="965"/>
      <c r="M703" s="965"/>
      <c r="N703" s="965"/>
      <c r="O703" s="965"/>
      <c r="P703" s="965"/>
      <c r="Q703" s="945"/>
      <c r="R703" s="945"/>
      <c r="S703" s="945"/>
      <c r="T703" s="945"/>
      <c r="U703" s="945"/>
      <c r="V703" s="945"/>
      <c r="W703" s="945"/>
      <c r="X703" s="945"/>
      <c r="Y703" s="945"/>
      <c r="Z703" s="945"/>
      <c r="AA703" s="945"/>
      <c r="AB703" s="945"/>
    </row>
    <row r="704" ht="20.25" customHeight="1">
      <c r="A704" s="964"/>
      <c r="B704" s="965"/>
      <c r="C704" s="965"/>
      <c r="D704" s="966"/>
      <c r="E704" s="967"/>
      <c r="F704" s="965"/>
      <c r="G704" s="965"/>
      <c r="H704" s="965"/>
      <c r="I704" s="965"/>
      <c r="J704" s="965"/>
      <c r="K704" s="965"/>
      <c r="L704" s="965"/>
      <c r="M704" s="965"/>
      <c r="N704" s="965"/>
      <c r="O704" s="965"/>
      <c r="P704" s="965"/>
      <c r="Q704" s="945"/>
      <c r="R704" s="945"/>
      <c r="S704" s="945"/>
      <c r="T704" s="945"/>
      <c r="U704" s="945"/>
      <c r="V704" s="945"/>
      <c r="W704" s="945"/>
      <c r="X704" s="945"/>
      <c r="Y704" s="945"/>
      <c r="Z704" s="945"/>
      <c r="AA704" s="945"/>
      <c r="AB704" s="945"/>
    </row>
    <row r="705" ht="20.25" customHeight="1">
      <c r="A705" s="964"/>
      <c r="B705" s="965"/>
      <c r="C705" s="965"/>
      <c r="D705" s="966"/>
      <c r="E705" s="967"/>
      <c r="F705" s="965"/>
      <c r="G705" s="965"/>
      <c r="H705" s="965"/>
      <c r="I705" s="965"/>
      <c r="J705" s="965"/>
      <c r="K705" s="965"/>
      <c r="L705" s="965"/>
      <c r="M705" s="965"/>
      <c r="N705" s="965"/>
      <c r="O705" s="965"/>
      <c r="P705" s="965"/>
      <c r="Q705" s="945"/>
      <c r="R705" s="945"/>
      <c r="S705" s="945"/>
      <c r="T705" s="945"/>
      <c r="U705" s="945"/>
      <c r="V705" s="945"/>
      <c r="W705" s="945"/>
      <c r="X705" s="945"/>
      <c r="Y705" s="945"/>
      <c r="Z705" s="945"/>
      <c r="AA705" s="945"/>
      <c r="AB705" s="945"/>
    </row>
    <row r="706" ht="20.25" customHeight="1">
      <c r="A706" s="964"/>
      <c r="B706" s="965"/>
      <c r="C706" s="965"/>
      <c r="D706" s="966"/>
      <c r="E706" s="967"/>
      <c r="F706" s="965"/>
      <c r="G706" s="965"/>
      <c r="H706" s="965"/>
      <c r="I706" s="965"/>
      <c r="J706" s="965"/>
      <c r="K706" s="965"/>
      <c r="L706" s="965"/>
      <c r="M706" s="965"/>
      <c r="N706" s="965"/>
      <c r="O706" s="965"/>
      <c r="P706" s="965"/>
      <c r="Q706" s="945"/>
      <c r="R706" s="945"/>
      <c r="S706" s="945"/>
      <c r="T706" s="945"/>
      <c r="U706" s="945"/>
      <c r="V706" s="945"/>
      <c r="W706" s="945"/>
      <c r="X706" s="945"/>
      <c r="Y706" s="945"/>
      <c r="Z706" s="945"/>
      <c r="AA706" s="945"/>
      <c r="AB706" s="945"/>
    </row>
    <row r="707" ht="20.25" customHeight="1">
      <c r="A707" s="964"/>
      <c r="B707" s="965"/>
      <c r="C707" s="965"/>
      <c r="D707" s="966"/>
      <c r="E707" s="967"/>
      <c r="F707" s="965"/>
      <c r="G707" s="965"/>
      <c r="H707" s="965"/>
      <c r="I707" s="965"/>
      <c r="J707" s="965"/>
      <c r="K707" s="965"/>
      <c r="L707" s="965"/>
      <c r="M707" s="965"/>
      <c r="N707" s="965"/>
      <c r="O707" s="965"/>
      <c r="P707" s="965"/>
      <c r="Q707" s="945"/>
      <c r="R707" s="945"/>
      <c r="S707" s="945"/>
      <c r="T707" s="945"/>
      <c r="U707" s="945"/>
      <c r="V707" s="945"/>
      <c r="W707" s="945"/>
      <c r="X707" s="945"/>
      <c r="Y707" s="945"/>
      <c r="Z707" s="945"/>
      <c r="AA707" s="945"/>
      <c r="AB707" s="945"/>
    </row>
    <row r="708" ht="20.25" customHeight="1">
      <c r="A708" s="964"/>
      <c r="B708" s="965"/>
      <c r="C708" s="965"/>
      <c r="D708" s="966"/>
      <c r="E708" s="967"/>
      <c r="F708" s="965"/>
      <c r="G708" s="965"/>
      <c r="H708" s="965"/>
      <c r="I708" s="965"/>
      <c r="J708" s="965"/>
      <c r="K708" s="965"/>
      <c r="L708" s="965"/>
      <c r="M708" s="965"/>
      <c r="N708" s="965"/>
      <c r="O708" s="965"/>
      <c r="P708" s="965"/>
      <c r="Q708" s="945"/>
      <c r="R708" s="945"/>
      <c r="S708" s="945"/>
      <c r="T708" s="945"/>
      <c r="U708" s="945"/>
      <c r="V708" s="945"/>
      <c r="W708" s="945"/>
      <c r="X708" s="945"/>
      <c r="Y708" s="945"/>
      <c r="Z708" s="945"/>
      <c r="AA708" s="945"/>
      <c r="AB708" s="945"/>
    </row>
    <row r="709" ht="20.25" customHeight="1">
      <c r="A709" s="964"/>
      <c r="B709" s="965"/>
      <c r="C709" s="965"/>
      <c r="D709" s="966"/>
      <c r="E709" s="967"/>
      <c r="F709" s="965"/>
      <c r="G709" s="965"/>
      <c r="H709" s="965"/>
      <c r="I709" s="965"/>
      <c r="J709" s="965"/>
      <c r="K709" s="965"/>
      <c r="L709" s="965"/>
      <c r="M709" s="965"/>
      <c r="N709" s="965"/>
      <c r="O709" s="965"/>
      <c r="P709" s="965"/>
      <c r="Q709" s="945"/>
      <c r="R709" s="945"/>
      <c r="S709" s="945"/>
      <c r="T709" s="945"/>
      <c r="U709" s="945"/>
      <c r="V709" s="945"/>
      <c r="W709" s="945"/>
      <c r="X709" s="945"/>
      <c r="Y709" s="945"/>
      <c r="Z709" s="945"/>
      <c r="AA709" s="945"/>
      <c r="AB709" s="945"/>
    </row>
    <row r="710" ht="20.25" customHeight="1">
      <c r="A710" s="964"/>
      <c r="B710" s="965"/>
      <c r="C710" s="965"/>
      <c r="D710" s="966"/>
      <c r="E710" s="967"/>
      <c r="F710" s="965"/>
      <c r="G710" s="965"/>
      <c r="H710" s="965"/>
      <c r="I710" s="965"/>
      <c r="J710" s="965"/>
      <c r="K710" s="965"/>
      <c r="L710" s="965"/>
      <c r="M710" s="965"/>
      <c r="N710" s="965"/>
      <c r="O710" s="965"/>
      <c r="P710" s="965"/>
      <c r="Q710" s="945"/>
      <c r="R710" s="945"/>
      <c r="S710" s="945"/>
      <c r="T710" s="945"/>
      <c r="U710" s="945"/>
      <c r="V710" s="945"/>
      <c r="W710" s="945"/>
      <c r="X710" s="945"/>
      <c r="Y710" s="945"/>
      <c r="Z710" s="945"/>
      <c r="AA710" s="945"/>
      <c r="AB710" s="945"/>
    </row>
    <row r="711" ht="20.25" customHeight="1">
      <c r="A711" s="964"/>
      <c r="B711" s="965"/>
      <c r="C711" s="965"/>
      <c r="D711" s="966"/>
      <c r="E711" s="967"/>
      <c r="F711" s="965"/>
      <c r="G711" s="965"/>
      <c r="H711" s="965"/>
      <c r="I711" s="965"/>
      <c r="J711" s="965"/>
      <c r="K711" s="965"/>
      <c r="L711" s="965"/>
      <c r="M711" s="965"/>
      <c r="N711" s="965"/>
      <c r="O711" s="965"/>
      <c r="P711" s="965"/>
      <c r="Q711" s="945"/>
      <c r="R711" s="945"/>
      <c r="S711" s="945"/>
      <c r="T711" s="945"/>
      <c r="U711" s="945"/>
      <c r="V711" s="945"/>
      <c r="W711" s="945"/>
      <c r="X711" s="945"/>
      <c r="Y711" s="945"/>
      <c r="Z711" s="945"/>
      <c r="AA711" s="945"/>
      <c r="AB711" s="945"/>
    </row>
    <row r="712" ht="20.25" customHeight="1">
      <c r="A712" s="964"/>
      <c r="B712" s="965"/>
      <c r="C712" s="965"/>
      <c r="D712" s="966"/>
      <c r="E712" s="967"/>
      <c r="F712" s="965"/>
      <c r="G712" s="965"/>
      <c r="H712" s="965"/>
      <c r="I712" s="965"/>
      <c r="J712" s="965"/>
      <c r="K712" s="965"/>
      <c r="L712" s="965"/>
      <c r="M712" s="965"/>
      <c r="N712" s="965"/>
      <c r="O712" s="965"/>
      <c r="P712" s="965"/>
      <c r="Q712" s="945"/>
      <c r="R712" s="945"/>
      <c r="S712" s="945"/>
      <c r="T712" s="945"/>
      <c r="U712" s="945"/>
      <c r="V712" s="945"/>
      <c r="W712" s="945"/>
      <c r="X712" s="945"/>
      <c r="Y712" s="945"/>
      <c r="Z712" s="945"/>
      <c r="AA712" s="945"/>
      <c r="AB712" s="945"/>
    </row>
    <row r="713" ht="20.25" customHeight="1">
      <c r="A713" s="964"/>
      <c r="B713" s="965"/>
      <c r="C713" s="965"/>
      <c r="D713" s="966"/>
      <c r="E713" s="967"/>
      <c r="F713" s="965"/>
      <c r="G713" s="965"/>
      <c r="H713" s="965"/>
      <c r="I713" s="965"/>
      <c r="J713" s="965"/>
      <c r="K713" s="965"/>
      <c r="L713" s="965"/>
      <c r="M713" s="965"/>
      <c r="N713" s="965"/>
      <c r="O713" s="965"/>
      <c r="P713" s="965"/>
      <c r="Q713" s="945"/>
      <c r="R713" s="945"/>
      <c r="S713" s="945"/>
      <c r="T713" s="945"/>
      <c r="U713" s="945"/>
      <c r="V713" s="945"/>
      <c r="W713" s="945"/>
      <c r="X713" s="945"/>
      <c r="Y713" s="945"/>
      <c r="Z713" s="945"/>
      <c r="AA713" s="945"/>
      <c r="AB713" s="945"/>
    </row>
    <row r="714" ht="20.25" customHeight="1">
      <c r="A714" s="964"/>
      <c r="B714" s="965"/>
      <c r="C714" s="965"/>
      <c r="D714" s="966"/>
      <c r="E714" s="967"/>
      <c r="F714" s="965"/>
      <c r="G714" s="965"/>
      <c r="H714" s="965"/>
      <c r="I714" s="965"/>
      <c r="J714" s="965"/>
      <c r="K714" s="965"/>
      <c r="L714" s="965"/>
      <c r="M714" s="965"/>
      <c r="N714" s="965"/>
      <c r="O714" s="965"/>
      <c r="P714" s="965"/>
      <c r="Q714" s="945"/>
      <c r="R714" s="945"/>
      <c r="S714" s="945"/>
      <c r="T714" s="945"/>
      <c r="U714" s="945"/>
      <c r="V714" s="945"/>
      <c r="W714" s="945"/>
      <c r="X714" s="945"/>
      <c r="Y714" s="945"/>
      <c r="Z714" s="945"/>
      <c r="AA714" s="945"/>
      <c r="AB714" s="945"/>
    </row>
    <row r="715" ht="20.25" customHeight="1">
      <c r="A715" s="964"/>
      <c r="B715" s="965"/>
      <c r="C715" s="965"/>
      <c r="D715" s="966"/>
      <c r="E715" s="967"/>
      <c r="F715" s="965"/>
      <c r="G715" s="965"/>
      <c r="H715" s="965"/>
      <c r="I715" s="965"/>
      <c r="J715" s="965"/>
      <c r="K715" s="965"/>
      <c r="L715" s="965"/>
      <c r="M715" s="965"/>
      <c r="N715" s="965"/>
      <c r="O715" s="965"/>
      <c r="P715" s="965"/>
      <c r="Q715" s="945"/>
      <c r="R715" s="945"/>
      <c r="S715" s="945"/>
      <c r="T715" s="945"/>
      <c r="U715" s="945"/>
      <c r="V715" s="945"/>
      <c r="W715" s="945"/>
      <c r="X715" s="945"/>
      <c r="Y715" s="945"/>
      <c r="Z715" s="945"/>
      <c r="AA715" s="945"/>
      <c r="AB715" s="945"/>
    </row>
    <row r="716" ht="20.25" customHeight="1">
      <c r="A716" s="964"/>
      <c r="B716" s="965"/>
      <c r="C716" s="965"/>
      <c r="D716" s="966"/>
      <c r="E716" s="967"/>
      <c r="F716" s="965"/>
      <c r="G716" s="965"/>
      <c r="H716" s="965"/>
      <c r="I716" s="965"/>
      <c r="J716" s="965"/>
      <c r="K716" s="965"/>
      <c r="L716" s="965"/>
      <c r="M716" s="965"/>
      <c r="N716" s="965"/>
      <c r="O716" s="965"/>
      <c r="P716" s="965"/>
      <c r="Q716" s="945"/>
      <c r="R716" s="945"/>
      <c r="S716" s="945"/>
      <c r="T716" s="945"/>
      <c r="U716" s="945"/>
      <c r="V716" s="945"/>
      <c r="W716" s="945"/>
      <c r="X716" s="945"/>
      <c r="Y716" s="945"/>
      <c r="Z716" s="945"/>
      <c r="AA716" s="945"/>
      <c r="AB716" s="945"/>
    </row>
    <row r="717" ht="20.25" customHeight="1">
      <c r="A717" s="964"/>
      <c r="B717" s="965"/>
      <c r="C717" s="965"/>
      <c r="D717" s="966"/>
      <c r="E717" s="967"/>
      <c r="F717" s="965"/>
      <c r="G717" s="965"/>
      <c r="H717" s="965"/>
      <c r="I717" s="965"/>
      <c r="J717" s="965"/>
      <c r="K717" s="965"/>
      <c r="L717" s="965"/>
      <c r="M717" s="965"/>
      <c r="N717" s="965"/>
      <c r="O717" s="965"/>
      <c r="P717" s="965"/>
      <c r="Q717" s="945"/>
      <c r="R717" s="945"/>
      <c r="S717" s="945"/>
      <c r="T717" s="945"/>
      <c r="U717" s="945"/>
      <c r="V717" s="945"/>
      <c r="W717" s="945"/>
      <c r="X717" s="945"/>
      <c r="Y717" s="945"/>
      <c r="Z717" s="945"/>
      <c r="AA717" s="945"/>
      <c r="AB717" s="945"/>
    </row>
    <row r="718" ht="20.25" customHeight="1">
      <c r="A718" s="964"/>
      <c r="B718" s="965"/>
      <c r="C718" s="965"/>
      <c r="D718" s="966"/>
      <c r="E718" s="967"/>
      <c r="F718" s="965"/>
      <c r="G718" s="965"/>
      <c r="H718" s="965"/>
      <c r="I718" s="965"/>
      <c r="J718" s="965"/>
      <c r="K718" s="965"/>
      <c r="L718" s="965"/>
      <c r="M718" s="965"/>
      <c r="N718" s="965"/>
      <c r="O718" s="965"/>
      <c r="P718" s="965"/>
      <c r="Q718" s="945"/>
      <c r="R718" s="945"/>
      <c r="S718" s="945"/>
      <c r="T718" s="945"/>
      <c r="U718" s="945"/>
      <c r="V718" s="945"/>
      <c r="W718" s="945"/>
      <c r="X718" s="945"/>
      <c r="Y718" s="945"/>
      <c r="Z718" s="945"/>
      <c r="AA718" s="945"/>
      <c r="AB718" s="945"/>
    </row>
    <row r="719" ht="20.25" customHeight="1">
      <c r="A719" s="964"/>
      <c r="B719" s="965"/>
      <c r="C719" s="965"/>
      <c r="D719" s="966"/>
      <c r="E719" s="967"/>
      <c r="F719" s="965"/>
      <c r="G719" s="965"/>
      <c r="H719" s="965"/>
      <c r="I719" s="965"/>
      <c r="J719" s="965"/>
      <c r="K719" s="965"/>
      <c r="L719" s="965"/>
      <c r="M719" s="965"/>
      <c r="N719" s="965"/>
      <c r="O719" s="965"/>
      <c r="P719" s="965"/>
      <c r="Q719" s="945"/>
      <c r="R719" s="945"/>
      <c r="S719" s="945"/>
      <c r="T719" s="945"/>
      <c r="U719" s="945"/>
      <c r="V719" s="945"/>
      <c r="W719" s="945"/>
      <c r="X719" s="945"/>
      <c r="Y719" s="945"/>
      <c r="Z719" s="945"/>
      <c r="AA719" s="945"/>
      <c r="AB719" s="945"/>
    </row>
    <row r="720" ht="20.25" customHeight="1">
      <c r="A720" s="964"/>
      <c r="B720" s="965"/>
      <c r="C720" s="965"/>
      <c r="D720" s="966"/>
      <c r="E720" s="967"/>
      <c r="F720" s="965"/>
      <c r="G720" s="965"/>
      <c r="H720" s="965"/>
      <c r="I720" s="965"/>
      <c r="J720" s="965"/>
      <c r="K720" s="965"/>
      <c r="L720" s="965"/>
      <c r="M720" s="965"/>
      <c r="N720" s="965"/>
      <c r="O720" s="965"/>
      <c r="P720" s="965"/>
      <c r="Q720" s="945"/>
      <c r="R720" s="945"/>
      <c r="S720" s="945"/>
      <c r="T720" s="945"/>
      <c r="U720" s="945"/>
      <c r="V720" s="945"/>
      <c r="W720" s="945"/>
      <c r="X720" s="945"/>
      <c r="Y720" s="945"/>
      <c r="Z720" s="945"/>
      <c r="AA720" s="945"/>
      <c r="AB720" s="945"/>
    </row>
    <row r="721" ht="20.25" customHeight="1">
      <c r="A721" s="964"/>
      <c r="B721" s="965"/>
      <c r="C721" s="965"/>
      <c r="D721" s="966"/>
      <c r="E721" s="967"/>
      <c r="F721" s="965"/>
      <c r="G721" s="965"/>
      <c r="H721" s="965"/>
      <c r="I721" s="965"/>
      <c r="J721" s="965"/>
      <c r="K721" s="965"/>
      <c r="L721" s="965"/>
      <c r="M721" s="965"/>
      <c r="N721" s="965"/>
      <c r="O721" s="965"/>
      <c r="P721" s="965"/>
      <c r="Q721" s="945"/>
      <c r="R721" s="945"/>
      <c r="S721" s="945"/>
      <c r="T721" s="945"/>
      <c r="U721" s="945"/>
      <c r="V721" s="945"/>
      <c r="W721" s="945"/>
      <c r="X721" s="945"/>
      <c r="Y721" s="945"/>
      <c r="Z721" s="945"/>
      <c r="AA721" s="945"/>
      <c r="AB721" s="945"/>
    </row>
    <row r="722" ht="20.25" customHeight="1">
      <c r="A722" s="964"/>
      <c r="B722" s="965"/>
      <c r="C722" s="965"/>
      <c r="D722" s="966"/>
      <c r="E722" s="967"/>
      <c r="F722" s="965"/>
      <c r="G722" s="965"/>
      <c r="H722" s="965"/>
      <c r="I722" s="965"/>
      <c r="J722" s="965"/>
      <c r="K722" s="965"/>
      <c r="L722" s="965"/>
      <c r="M722" s="965"/>
      <c r="N722" s="965"/>
      <c r="O722" s="965"/>
      <c r="P722" s="965"/>
      <c r="Q722" s="945"/>
      <c r="R722" s="945"/>
      <c r="S722" s="945"/>
      <c r="T722" s="945"/>
      <c r="U722" s="945"/>
      <c r="V722" s="945"/>
      <c r="W722" s="945"/>
      <c r="X722" s="945"/>
      <c r="Y722" s="945"/>
      <c r="Z722" s="945"/>
      <c r="AA722" s="945"/>
      <c r="AB722" s="945"/>
    </row>
    <row r="723" ht="20.25" customHeight="1">
      <c r="A723" s="964"/>
      <c r="B723" s="965"/>
      <c r="C723" s="965"/>
      <c r="D723" s="966"/>
      <c r="E723" s="967"/>
      <c r="F723" s="965"/>
      <c r="G723" s="965"/>
      <c r="H723" s="965"/>
      <c r="I723" s="965"/>
      <c r="J723" s="965"/>
      <c r="K723" s="965"/>
      <c r="L723" s="965"/>
      <c r="M723" s="965"/>
      <c r="N723" s="965"/>
      <c r="O723" s="965"/>
      <c r="P723" s="965"/>
      <c r="Q723" s="945"/>
      <c r="R723" s="945"/>
      <c r="S723" s="945"/>
      <c r="T723" s="945"/>
      <c r="U723" s="945"/>
      <c r="V723" s="945"/>
      <c r="W723" s="945"/>
      <c r="X723" s="945"/>
      <c r="Y723" s="945"/>
      <c r="Z723" s="945"/>
      <c r="AA723" s="945"/>
      <c r="AB723" s="945"/>
    </row>
    <row r="724" ht="20.25" customHeight="1">
      <c r="A724" s="964"/>
      <c r="B724" s="965"/>
      <c r="C724" s="965"/>
      <c r="D724" s="966"/>
      <c r="E724" s="967"/>
      <c r="F724" s="965"/>
      <c r="G724" s="965"/>
      <c r="H724" s="965"/>
      <c r="I724" s="965"/>
      <c r="J724" s="965"/>
      <c r="K724" s="965"/>
      <c r="L724" s="965"/>
      <c r="M724" s="965"/>
      <c r="N724" s="965"/>
      <c r="O724" s="965"/>
      <c r="P724" s="965"/>
      <c r="Q724" s="945"/>
      <c r="R724" s="945"/>
      <c r="S724" s="945"/>
      <c r="T724" s="945"/>
      <c r="U724" s="945"/>
      <c r="V724" s="945"/>
      <c r="W724" s="945"/>
      <c r="X724" s="945"/>
      <c r="Y724" s="945"/>
      <c r="Z724" s="945"/>
      <c r="AA724" s="945"/>
      <c r="AB724" s="945"/>
    </row>
    <row r="725" ht="20.25" customHeight="1">
      <c r="A725" s="964"/>
      <c r="B725" s="965"/>
      <c r="C725" s="965"/>
      <c r="D725" s="966"/>
      <c r="E725" s="967"/>
      <c r="F725" s="965"/>
      <c r="G725" s="965"/>
      <c r="H725" s="965"/>
      <c r="I725" s="965"/>
      <c r="J725" s="965"/>
      <c r="K725" s="965"/>
      <c r="L725" s="965"/>
      <c r="M725" s="965"/>
      <c r="N725" s="965"/>
      <c r="O725" s="965"/>
      <c r="P725" s="965"/>
      <c r="Q725" s="945"/>
      <c r="R725" s="945"/>
      <c r="S725" s="945"/>
      <c r="T725" s="945"/>
      <c r="U725" s="945"/>
      <c r="V725" s="945"/>
      <c r="W725" s="945"/>
      <c r="X725" s="945"/>
      <c r="Y725" s="945"/>
      <c r="Z725" s="945"/>
      <c r="AA725" s="945"/>
      <c r="AB725" s="945"/>
    </row>
    <row r="726" ht="20.25" customHeight="1">
      <c r="A726" s="964"/>
      <c r="B726" s="965"/>
      <c r="C726" s="965"/>
      <c r="D726" s="966"/>
      <c r="E726" s="967"/>
      <c r="F726" s="965"/>
      <c r="G726" s="965"/>
      <c r="H726" s="965"/>
      <c r="I726" s="965"/>
      <c r="J726" s="965"/>
      <c r="K726" s="965"/>
      <c r="L726" s="965"/>
      <c r="M726" s="965"/>
      <c r="N726" s="965"/>
      <c r="O726" s="965"/>
      <c r="P726" s="965"/>
      <c r="Q726" s="945"/>
      <c r="R726" s="945"/>
      <c r="S726" s="945"/>
      <c r="T726" s="945"/>
      <c r="U726" s="945"/>
      <c r="V726" s="945"/>
      <c r="W726" s="945"/>
      <c r="X726" s="945"/>
      <c r="Y726" s="945"/>
      <c r="Z726" s="945"/>
      <c r="AA726" s="945"/>
      <c r="AB726" s="945"/>
    </row>
    <row r="727" ht="20.25" customHeight="1">
      <c r="A727" s="964"/>
      <c r="B727" s="965"/>
      <c r="C727" s="965"/>
      <c r="D727" s="966"/>
      <c r="E727" s="967"/>
      <c r="F727" s="965"/>
      <c r="G727" s="965"/>
      <c r="H727" s="965"/>
      <c r="I727" s="965"/>
      <c r="J727" s="965"/>
      <c r="K727" s="965"/>
      <c r="L727" s="965"/>
      <c r="M727" s="965"/>
      <c r="N727" s="965"/>
      <c r="O727" s="965"/>
      <c r="P727" s="965"/>
      <c r="Q727" s="945"/>
      <c r="R727" s="945"/>
      <c r="S727" s="945"/>
      <c r="T727" s="945"/>
      <c r="U727" s="945"/>
      <c r="V727" s="945"/>
      <c r="W727" s="945"/>
      <c r="X727" s="945"/>
      <c r="Y727" s="945"/>
      <c r="Z727" s="945"/>
      <c r="AA727" s="945"/>
      <c r="AB727" s="945"/>
    </row>
    <row r="728" ht="20.25" customHeight="1">
      <c r="A728" s="964"/>
      <c r="B728" s="965"/>
      <c r="C728" s="965"/>
      <c r="D728" s="966"/>
      <c r="E728" s="967"/>
      <c r="F728" s="965"/>
      <c r="G728" s="965"/>
      <c r="H728" s="965"/>
      <c r="I728" s="965"/>
      <c r="J728" s="965"/>
      <c r="K728" s="965"/>
      <c r="L728" s="965"/>
      <c r="M728" s="965"/>
      <c r="N728" s="965"/>
      <c r="O728" s="965"/>
      <c r="P728" s="965"/>
      <c r="Q728" s="945"/>
      <c r="R728" s="945"/>
      <c r="S728" s="945"/>
      <c r="T728" s="945"/>
      <c r="U728" s="945"/>
      <c r="V728" s="945"/>
      <c r="W728" s="945"/>
      <c r="X728" s="945"/>
      <c r="Y728" s="945"/>
      <c r="Z728" s="945"/>
      <c r="AA728" s="945"/>
      <c r="AB728" s="945"/>
    </row>
    <row r="729" ht="20.25" customHeight="1">
      <c r="A729" s="964"/>
      <c r="B729" s="965"/>
      <c r="C729" s="965"/>
      <c r="D729" s="966"/>
      <c r="E729" s="967"/>
      <c r="F729" s="965"/>
      <c r="G729" s="965"/>
      <c r="H729" s="965"/>
      <c r="I729" s="965"/>
      <c r="J729" s="965"/>
      <c r="K729" s="965"/>
      <c r="L729" s="965"/>
      <c r="M729" s="965"/>
      <c r="N729" s="965"/>
      <c r="O729" s="965"/>
      <c r="P729" s="965"/>
      <c r="Q729" s="945"/>
      <c r="R729" s="945"/>
      <c r="S729" s="945"/>
      <c r="T729" s="945"/>
      <c r="U729" s="945"/>
      <c r="V729" s="945"/>
      <c r="W729" s="945"/>
      <c r="X729" s="945"/>
      <c r="Y729" s="945"/>
      <c r="Z729" s="945"/>
      <c r="AA729" s="945"/>
      <c r="AB729" s="945"/>
    </row>
    <row r="730" ht="20.25" customHeight="1">
      <c r="A730" s="964"/>
      <c r="B730" s="965"/>
      <c r="C730" s="965"/>
      <c r="D730" s="966"/>
      <c r="E730" s="967"/>
      <c r="F730" s="965"/>
      <c r="G730" s="965"/>
      <c r="H730" s="965"/>
      <c r="I730" s="965"/>
      <c r="J730" s="965"/>
      <c r="K730" s="965"/>
      <c r="L730" s="965"/>
      <c r="M730" s="965"/>
      <c r="N730" s="965"/>
      <c r="O730" s="965"/>
      <c r="P730" s="965"/>
      <c r="Q730" s="945"/>
      <c r="R730" s="945"/>
      <c r="S730" s="945"/>
      <c r="T730" s="945"/>
      <c r="U730" s="945"/>
      <c r="V730" s="945"/>
      <c r="W730" s="945"/>
      <c r="X730" s="945"/>
      <c r="Y730" s="945"/>
      <c r="Z730" s="945"/>
      <c r="AA730" s="945"/>
      <c r="AB730" s="945"/>
    </row>
    <row r="731" ht="20.25" customHeight="1">
      <c r="A731" s="964"/>
      <c r="B731" s="965"/>
      <c r="C731" s="965"/>
      <c r="D731" s="966"/>
      <c r="E731" s="967"/>
      <c r="F731" s="965"/>
      <c r="G731" s="965"/>
      <c r="H731" s="965"/>
      <c r="I731" s="965"/>
      <c r="J731" s="965"/>
      <c r="K731" s="965"/>
      <c r="L731" s="965"/>
      <c r="M731" s="965"/>
      <c r="N731" s="965"/>
      <c r="O731" s="965"/>
      <c r="P731" s="965"/>
      <c r="Q731" s="945"/>
      <c r="R731" s="945"/>
      <c r="S731" s="945"/>
      <c r="T731" s="945"/>
      <c r="U731" s="945"/>
      <c r="V731" s="945"/>
      <c r="W731" s="945"/>
      <c r="X731" s="945"/>
      <c r="Y731" s="945"/>
      <c r="Z731" s="945"/>
      <c r="AA731" s="945"/>
      <c r="AB731" s="945"/>
    </row>
    <row r="732" ht="20.25" customHeight="1">
      <c r="A732" s="964"/>
      <c r="B732" s="965"/>
      <c r="C732" s="965"/>
      <c r="D732" s="966"/>
      <c r="E732" s="967"/>
      <c r="F732" s="965"/>
      <c r="G732" s="965"/>
      <c r="H732" s="965"/>
      <c r="I732" s="965"/>
      <c r="J732" s="965"/>
      <c r="K732" s="965"/>
      <c r="L732" s="965"/>
      <c r="M732" s="965"/>
      <c r="N732" s="965"/>
      <c r="O732" s="965"/>
      <c r="P732" s="965"/>
      <c r="Q732" s="945"/>
      <c r="R732" s="945"/>
      <c r="S732" s="945"/>
      <c r="T732" s="945"/>
      <c r="U732" s="945"/>
      <c r="V732" s="945"/>
      <c r="W732" s="945"/>
      <c r="X732" s="945"/>
      <c r="Y732" s="945"/>
      <c r="Z732" s="945"/>
      <c r="AA732" s="945"/>
      <c r="AB732" s="945"/>
    </row>
    <row r="733" ht="20.25" customHeight="1">
      <c r="A733" s="964"/>
      <c r="B733" s="965"/>
      <c r="C733" s="965"/>
      <c r="D733" s="966"/>
      <c r="E733" s="967"/>
      <c r="F733" s="965"/>
      <c r="G733" s="965"/>
      <c r="H733" s="965"/>
      <c r="I733" s="965"/>
      <c r="J733" s="965"/>
      <c r="K733" s="965"/>
      <c r="L733" s="965"/>
      <c r="M733" s="965"/>
      <c r="N733" s="965"/>
      <c r="O733" s="965"/>
      <c r="P733" s="965"/>
      <c r="Q733" s="945"/>
      <c r="R733" s="945"/>
      <c r="S733" s="945"/>
      <c r="T733" s="945"/>
      <c r="U733" s="945"/>
      <c r="V733" s="945"/>
      <c r="W733" s="945"/>
      <c r="X733" s="945"/>
      <c r="Y733" s="945"/>
      <c r="Z733" s="945"/>
      <c r="AA733" s="945"/>
      <c r="AB733" s="945"/>
    </row>
    <row r="734" ht="20.25" customHeight="1">
      <c r="A734" s="964"/>
      <c r="B734" s="965"/>
      <c r="C734" s="965"/>
      <c r="D734" s="966"/>
      <c r="E734" s="967"/>
      <c r="F734" s="965"/>
      <c r="G734" s="965"/>
      <c r="H734" s="965"/>
      <c r="I734" s="965"/>
      <c r="J734" s="965"/>
      <c r="K734" s="965"/>
      <c r="L734" s="965"/>
      <c r="M734" s="965"/>
      <c r="N734" s="965"/>
      <c r="O734" s="965"/>
      <c r="P734" s="965"/>
      <c r="Q734" s="945"/>
      <c r="R734" s="945"/>
      <c r="S734" s="945"/>
      <c r="T734" s="945"/>
      <c r="U734" s="945"/>
      <c r="V734" s="945"/>
      <c r="W734" s="945"/>
      <c r="X734" s="945"/>
      <c r="Y734" s="945"/>
      <c r="Z734" s="945"/>
      <c r="AA734" s="945"/>
      <c r="AB734" s="945"/>
    </row>
    <row r="735" ht="20.25" customHeight="1">
      <c r="A735" s="964"/>
      <c r="B735" s="965"/>
      <c r="C735" s="965"/>
      <c r="D735" s="966"/>
      <c r="E735" s="967"/>
      <c r="F735" s="965"/>
      <c r="G735" s="965"/>
      <c r="H735" s="965"/>
      <c r="I735" s="965"/>
      <c r="J735" s="965"/>
      <c r="K735" s="965"/>
      <c r="L735" s="965"/>
      <c r="M735" s="965"/>
      <c r="N735" s="965"/>
      <c r="O735" s="965"/>
      <c r="P735" s="965"/>
      <c r="Q735" s="945"/>
      <c r="R735" s="945"/>
      <c r="S735" s="945"/>
      <c r="T735" s="945"/>
      <c r="U735" s="945"/>
      <c r="V735" s="945"/>
      <c r="W735" s="945"/>
      <c r="X735" s="945"/>
      <c r="Y735" s="945"/>
      <c r="Z735" s="945"/>
      <c r="AA735" s="945"/>
      <c r="AB735" s="945"/>
    </row>
    <row r="736" ht="20.25" customHeight="1">
      <c r="A736" s="964"/>
      <c r="B736" s="965"/>
      <c r="C736" s="965"/>
      <c r="D736" s="966"/>
      <c r="E736" s="967"/>
      <c r="F736" s="965"/>
      <c r="G736" s="965"/>
      <c r="H736" s="965"/>
      <c r="I736" s="965"/>
      <c r="J736" s="965"/>
      <c r="K736" s="965"/>
      <c r="L736" s="965"/>
      <c r="M736" s="965"/>
      <c r="N736" s="965"/>
      <c r="O736" s="965"/>
      <c r="P736" s="965"/>
      <c r="Q736" s="945"/>
      <c r="R736" s="945"/>
      <c r="S736" s="945"/>
      <c r="T736" s="945"/>
      <c r="U736" s="945"/>
      <c r="V736" s="945"/>
      <c r="W736" s="945"/>
      <c r="X736" s="945"/>
      <c r="Y736" s="945"/>
      <c r="Z736" s="945"/>
      <c r="AA736" s="945"/>
      <c r="AB736" s="945"/>
    </row>
    <row r="737" ht="20.25" customHeight="1">
      <c r="A737" s="964"/>
      <c r="B737" s="965"/>
      <c r="C737" s="965"/>
      <c r="D737" s="966"/>
      <c r="E737" s="967"/>
      <c r="F737" s="965"/>
      <c r="G737" s="965"/>
      <c r="H737" s="965"/>
      <c r="I737" s="965"/>
      <c r="J737" s="965"/>
      <c r="K737" s="965"/>
      <c r="L737" s="965"/>
      <c r="M737" s="965"/>
      <c r="N737" s="965"/>
      <c r="O737" s="965"/>
      <c r="P737" s="965"/>
      <c r="Q737" s="945"/>
      <c r="R737" s="945"/>
      <c r="S737" s="945"/>
      <c r="T737" s="945"/>
      <c r="U737" s="945"/>
      <c r="V737" s="945"/>
      <c r="W737" s="945"/>
      <c r="X737" s="945"/>
      <c r="Y737" s="945"/>
      <c r="Z737" s="945"/>
      <c r="AA737" s="945"/>
      <c r="AB737" s="945"/>
    </row>
    <row r="738" ht="20.25" customHeight="1">
      <c r="A738" s="964"/>
      <c r="B738" s="965"/>
      <c r="C738" s="965"/>
      <c r="D738" s="966"/>
      <c r="E738" s="967"/>
      <c r="F738" s="965"/>
      <c r="G738" s="965"/>
      <c r="H738" s="965"/>
      <c r="I738" s="965"/>
      <c r="J738" s="965"/>
      <c r="K738" s="965"/>
      <c r="L738" s="965"/>
      <c r="M738" s="965"/>
      <c r="N738" s="965"/>
      <c r="O738" s="965"/>
      <c r="P738" s="965"/>
      <c r="Q738" s="945"/>
      <c r="R738" s="945"/>
      <c r="S738" s="945"/>
      <c r="T738" s="945"/>
      <c r="U738" s="945"/>
      <c r="V738" s="945"/>
      <c r="W738" s="945"/>
      <c r="X738" s="945"/>
      <c r="Y738" s="945"/>
      <c r="Z738" s="945"/>
      <c r="AA738" s="945"/>
      <c r="AB738" s="945"/>
    </row>
    <row r="739" ht="20.25" customHeight="1">
      <c r="A739" s="964"/>
      <c r="B739" s="965"/>
      <c r="C739" s="965"/>
      <c r="D739" s="966"/>
      <c r="E739" s="967"/>
      <c r="F739" s="965"/>
      <c r="G739" s="965"/>
      <c r="H739" s="965"/>
      <c r="I739" s="965"/>
      <c r="J739" s="965"/>
      <c r="K739" s="965"/>
      <c r="L739" s="965"/>
      <c r="M739" s="965"/>
      <c r="N739" s="965"/>
      <c r="O739" s="965"/>
      <c r="P739" s="965"/>
      <c r="Q739" s="945"/>
      <c r="R739" s="945"/>
      <c r="S739" s="945"/>
      <c r="T739" s="945"/>
      <c r="U739" s="945"/>
      <c r="V739" s="945"/>
      <c r="W739" s="945"/>
      <c r="X739" s="945"/>
      <c r="Y739" s="945"/>
      <c r="Z739" s="945"/>
      <c r="AA739" s="945"/>
      <c r="AB739" s="945"/>
    </row>
    <row r="740" ht="20.25" customHeight="1">
      <c r="A740" s="964"/>
      <c r="B740" s="965"/>
      <c r="C740" s="965"/>
      <c r="D740" s="966"/>
      <c r="E740" s="967"/>
      <c r="F740" s="965"/>
      <c r="G740" s="965"/>
      <c r="H740" s="965"/>
      <c r="I740" s="965"/>
      <c r="J740" s="965"/>
      <c r="K740" s="965"/>
      <c r="L740" s="965"/>
      <c r="M740" s="965"/>
      <c r="N740" s="965"/>
      <c r="O740" s="965"/>
      <c r="P740" s="965"/>
      <c r="Q740" s="945"/>
      <c r="R740" s="945"/>
      <c r="S740" s="945"/>
      <c r="T740" s="945"/>
      <c r="U740" s="945"/>
      <c r="V740" s="945"/>
      <c r="W740" s="945"/>
      <c r="X740" s="945"/>
      <c r="Y740" s="945"/>
      <c r="Z740" s="945"/>
      <c r="AA740" s="945"/>
      <c r="AB740" s="945"/>
    </row>
    <row r="741" ht="20.25" customHeight="1">
      <c r="A741" s="964"/>
      <c r="B741" s="965"/>
      <c r="C741" s="965"/>
      <c r="D741" s="966"/>
      <c r="E741" s="967"/>
      <c r="F741" s="965"/>
      <c r="G741" s="965"/>
      <c r="H741" s="965"/>
      <c r="I741" s="965"/>
      <c r="J741" s="965"/>
      <c r="K741" s="965"/>
      <c r="L741" s="965"/>
      <c r="M741" s="965"/>
      <c r="N741" s="965"/>
      <c r="O741" s="965"/>
      <c r="P741" s="965"/>
      <c r="Q741" s="945"/>
      <c r="R741" s="945"/>
      <c r="S741" s="945"/>
      <c r="T741" s="945"/>
      <c r="U741" s="945"/>
      <c r="V741" s="945"/>
      <c r="W741" s="945"/>
      <c r="X741" s="945"/>
      <c r="Y741" s="945"/>
      <c r="Z741" s="945"/>
      <c r="AA741" s="945"/>
      <c r="AB741" s="945"/>
    </row>
    <row r="742" ht="20.25" customHeight="1">
      <c r="A742" s="964"/>
      <c r="B742" s="965"/>
      <c r="C742" s="965"/>
      <c r="D742" s="966"/>
      <c r="E742" s="967"/>
      <c r="F742" s="965"/>
      <c r="G742" s="965"/>
      <c r="H742" s="965"/>
      <c r="I742" s="965"/>
      <c r="J742" s="965"/>
      <c r="K742" s="965"/>
      <c r="L742" s="965"/>
      <c r="M742" s="965"/>
      <c r="N742" s="965"/>
      <c r="O742" s="965"/>
      <c r="P742" s="965"/>
      <c r="Q742" s="945"/>
      <c r="R742" s="945"/>
      <c r="S742" s="945"/>
      <c r="T742" s="945"/>
      <c r="U742" s="945"/>
      <c r="V742" s="945"/>
      <c r="W742" s="945"/>
      <c r="X742" s="945"/>
      <c r="Y742" s="945"/>
      <c r="Z742" s="945"/>
      <c r="AA742" s="945"/>
      <c r="AB742" s="945"/>
    </row>
    <row r="743" ht="20.25" customHeight="1">
      <c r="A743" s="964"/>
      <c r="B743" s="965"/>
      <c r="C743" s="965"/>
      <c r="D743" s="966"/>
      <c r="E743" s="967"/>
      <c r="F743" s="965"/>
      <c r="G743" s="965"/>
      <c r="H743" s="965"/>
      <c r="I743" s="965"/>
      <c r="J743" s="965"/>
      <c r="K743" s="965"/>
      <c r="L743" s="965"/>
      <c r="M743" s="965"/>
      <c r="N743" s="965"/>
      <c r="O743" s="965"/>
      <c r="P743" s="965"/>
      <c r="Q743" s="945"/>
      <c r="R743" s="945"/>
      <c r="S743" s="945"/>
      <c r="T743" s="945"/>
      <c r="U743" s="945"/>
      <c r="V743" s="945"/>
      <c r="W743" s="945"/>
      <c r="X743" s="945"/>
      <c r="Y743" s="945"/>
      <c r="Z743" s="945"/>
      <c r="AA743" s="945"/>
      <c r="AB743" s="945"/>
    </row>
    <row r="744" ht="20.25" customHeight="1">
      <c r="A744" s="964"/>
      <c r="B744" s="965"/>
      <c r="C744" s="965"/>
      <c r="D744" s="966"/>
      <c r="E744" s="967"/>
      <c r="F744" s="965"/>
      <c r="G744" s="965"/>
      <c r="H744" s="965"/>
      <c r="I744" s="965"/>
      <c r="J744" s="965"/>
      <c r="K744" s="965"/>
      <c r="L744" s="965"/>
      <c r="M744" s="965"/>
      <c r="N744" s="965"/>
      <c r="O744" s="965"/>
      <c r="P744" s="965"/>
      <c r="Q744" s="945"/>
      <c r="R744" s="945"/>
      <c r="S744" s="945"/>
      <c r="T744" s="945"/>
      <c r="U744" s="945"/>
      <c r="V744" s="945"/>
      <c r="W744" s="945"/>
      <c r="X744" s="945"/>
      <c r="Y744" s="945"/>
      <c r="Z744" s="945"/>
      <c r="AA744" s="945"/>
      <c r="AB744" s="945"/>
    </row>
    <row r="745" ht="20.25" customHeight="1">
      <c r="A745" s="964"/>
      <c r="B745" s="965"/>
      <c r="C745" s="965"/>
      <c r="D745" s="966"/>
      <c r="E745" s="967"/>
      <c r="F745" s="965"/>
      <c r="G745" s="965"/>
      <c r="H745" s="965"/>
      <c r="I745" s="965"/>
      <c r="J745" s="965"/>
      <c r="K745" s="965"/>
      <c r="L745" s="965"/>
      <c r="M745" s="965"/>
      <c r="N745" s="965"/>
      <c r="O745" s="965"/>
      <c r="P745" s="965"/>
      <c r="Q745" s="945"/>
      <c r="R745" s="945"/>
      <c r="S745" s="945"/>
      <c r="T745" s="945"/>
      <c r="U745" s="945"/>
      <c r="V745" s="945"/>
      <c r="W745" s="945"/>
      <c r="X745" s="945"/>
      <c r="Y745" s="945"/>
      <c r="Z745" s="945"/>
      <c r="AA745" s="945"/>
      <c r="AB745" s="945"/>
    </row>
    <row r="746" ht="20.25" customHeight="1">
      <c r="A746" s="964"/>
      <c r="B746" s="965"/>
      <c r="C746" s="965"/>
      <c r="D746" s="966"/>
      <c r="E746" s="967"/>
      <c r="F746" s="965"/>
      <c r="G746" s="965"/>
      <c r="H746" s="965"/>
      <c r="I746" s="965"/>
      <c r="J746" s="965"/>
      <c r="K746" s="965"/>
      <c r="L746" s="965"/>
      <c r="M746" s="965"/>
      <c r="N746" s="965"/>
      <c r="O746" s="965"/>
      <c r="P746" s="965"/>
      <c r="Q746" s="945"/>
      <c r="R746" s="945"/>
      <c r="S746" s="945"/>
      <c r="T746" s="945"/>
      <c r="U746" s="945"/>
      <c r="V746" s="945"/>
      <c r="W746" s="945"/>
      <c r="X746" s="945"/>
      <c r="Y746" s="945"/>
      <c r="Z746" s="945"/>
      <c r="AA746" s="945"/>
      <c r="AB746" s="945"/>
    </row>
    <row r="747" ht="20.25" customHeight="1">
      <c r="A747" s="964"/>
      <c r="B747" s="965"/>
      <c r="C747" s="965"/>
      <c r="D747" s="966"/>
      <c r="E747" s="967"/>
      <c r="F747" s="965"/>
      <c r="G747" s="965"/>
      <c r="H747" s="965"/>
      <c r="I747" s="965"/>
      <c r="J747" s="965"/>
      <c r="K747" s="965"/>
      <c r="L747" s="965"/>
      <c r="M747" s="965"/>
      <c r="N747" s="965"/>
      <c r="O747" s="965"/>
      <c r="P747" s="965"/>
      <c r="Q747" s="945"/>
      <c r="R747" s="945"/>
      <c r="S747" s="945"/>
      <c r="T747" s="945"/>
      <c r="U747" s="945"/>
      <c r="V747" s="945"/>
      <c r="W747" s="945"/>
      <c r="X747" s="945"/>
      <c r="Y747" s="945"/>
      <c r="Z747" s="945"/>
      <c r="AA747" s="945"/>
      <c r="AB747" s="945"/>
    </row>
    <row r="748" ht="20.25" customHeight="1">
      <c r="A748" s="964"/>
      <c r="B748" s="965"/>
      <c r="C748" s="965"/>
      <c r="D748" s="966"/>
      <c r="E748" s="967"/>
      <c r="F748" s="965"/>
      <c r="G748" s="965"/>
      <c r="H748" s="965"/>
      <c r="I748" s="965"/>
      <c r="J748" s="965"/>
      <c r="K748" s="965"/>
      <c r="L748" s="965"/>
      <c r="M748" s="965"/>
      <c r="N748" s="965"/>
      <c r="O748" s="965"/>
      <c r="P748" s="965"/>
      <c r="Q748" s="945"/>
      <c r="R748" s="945"/>
      <c r="S748" s="945"/>
      <c r="T748" s="945"/>
      <c r="U748" s="945"/>
      <c r="V748" s="945"/>
      <c r="W748" s="945"/>
      <c r="X748" s="945"/>
      <c r="Y748" s="945"/>
      <c r="Z748" s="945"/>
      <c r="AA748" s="945"/>
      <c r="AB748" s="945"/>
    </row>
    <row r="749" ht="20.25" customHeight="1">
      <c r="A749" s="964"/>
      <c r="B749" s="965"/>
      <c r="C749" s="965"/>
      <c r="D749" s="966"/>
      <c r="E749" s="967"/>
      <c r="F749" s="965"/>
      <c r="G749" s="965"/>
      <c r="H749" s="965"/>
      <c r="I749" s="965"/>
      <c r="J749" s="965"/>
      <c r="K749" s="965"/>
      <c r="L749" s="965"/>
      <c r="M749" s="965"/>
      <c r="N749" s="965"/>
      <c r="O749" s="965"/>
      <c r="P749" s="965"/>
      <c r="Q749" s="945"/>
      <c r="R749" s="945"/>
      <c r="S749" s="945"/>
      <c r="T749" s="945"/>
      <c r="U749" s="945"/>
      <c r="V749" s="945"/>
      <c r="W749" s="945"/>
      <c r="X749" s="945"/>
      <c r="Y749" s="945"/>
      <c r="Z749" s="945"/>
      <c r="AA749" s="945"/>
      <c r="AB749" s="945"/>
    </row>
    <row r="750" ht="20.25" customHeight="1">
      <c r="A750" s="964"/>
      <c r="B750" s="965"/>
      <c r="C750" s="965"/>
      <c r="D750" s="966"/>
      <c r="E750" s="967"/>
      <c r="F750" s="965"/>
      <c r="G750" s="965"/>
      <c r="H750" s="965"/>
      <c r="I750" s="965"/>
      <c r="J750" s="965"/>
      <c r="K750" s="965"/>
      <c r="L750" s="965"/>
      <c r="M750" s="965"/>
      <c r="N750" s="965"/>
      <c r="O750" s="965"/>
      <c r="P750" s="965"/>
      <c r="Q750" s="945"/>
      <c r="R750" s="945"/>
      <c r="S750" s="945"/>
      <c r="T750" s="945"/>
      <c r="U750" s="945"/>
      <c r="V750" s="945"/>
      <c r="W750" s="945"/>
      <c r="X750" s="945"/>
      <c r="Y750" s="945"/>
      <c r="Z750" s="945"/>
      <c r="AA750" s="945"/>
      <c r="AB750" s="945"/>
    </row>
    <row r="751" ht="20.25" customHeight="1">
      <c r="A751" s="964"/>
      <c r="B751" s="965"/>
      <c r="C751" s="965"/>
      <c r="D751" s="966"/>
      <c r="E751" s="967"/>
      <c r="F751" s="965"/>
      <c r="G751" s="965"/>
      <c r="H751" s="965"/>
      <c r="I751" s="965"/>
      <c r="J751" s="965"/>
      <c r="K751" s="965"/>
      <c r="L751" s="965"/>
      <c r="M751" s="965"/>
      <c r="N751" s="965"/>
      <c r="O751" s="965"/>
      <c r="P751" s="965"/>
      <c r="Q751" s="945"/>
      <c r="R751" s="945"/>
      <c r="S751" s="945"/>
      <c r="T751" s="945"/>
      <c r="U751" s="945"/>
      <c r="V751" s="945"/>
      <c r="W751" s="945"/>
      <c r="X751" s="945"/>
      <c r="Y751" s="945"/>
      <c r="Z751" s="945"/>
      <c r="AA751" s="945"/>
      <c r="AB751" s="945"/>
    </row>
    <row r="752" ht="20.25" customHeight="1">
      <c r="A752" s="964"/>
      <c r="B752" s="965"/>
      <c r="C752" s="965"/>
      <c r="D752" s="966"/>
      <c r="E752" s="967"/>
      <c r="F752" s="965"/>
      <c r="G752" s="965"/>
      <c r="H752" s="965"/>
      <c r="I752" s="965"/>
      <c r="J752" s="965"/>
      <c r="K752" s="965"/>
      <c r="L752" s="965"/>
      <c r="M752" s="965"/>
      <c r="N752" s="965"/>
      <c r="O752" s="965"/>
      <c r="P752" s="965"/>
      <c r="Q752" s="945"/>
      <c r="R752" s="945"/>
      <c r="S752" s="945"/>
      <c r="T752" s="945"/>
      <c r="U752" s="945"/>
      <c r="V752" s="945"/>
      <c r="W752" s="945"/>
      <c r="X752" s="945"/>
      <c r="Y752" s="945"/>
      <c r="Z752" s="945"/>
      <c r="AA752" s="945"/>
      <c r="AB752" s="945"/>
    </row>
    <row r="753" ht="20.25" customHeight="1">
      <c r="A753" s="964"/>
      <c r="B753" s="965"/>
      <c r="C753" s="965"/>
      <c r="D753" s="966"/>
      <c r="E753" s="967"/>
      <c r="F753" s="965"/>
      <c r="G753" s="965"/>
      <c r="H753" s="965"/>
      <c r="I753" s="965"/>
      <c r="J753" s="965"/>
      <c r="K753" s="965"/>
      <c r="L753" s="965"/>
      <c r="M753" s="965"/>
      <c r="N753" s="965"/>
      <c r="O753" s="965"/>
      <c r="P753" s="965"/>
      <c r="Q753" s="945"/>
      <c r="R753" s="945"/>
      <c r="S753" s="945"/>
      <c r="T753" s="945"/>
      <c r="U753" s="945"/>
      <c r="V753" s="945"/>
      <c r="W753" s="945"/>
      <c r="X753" s="945"/>
      <c r="Y753" s="945"/>
      <c r="Z753" s="945"/>
      <c r="AA753" s="945"/>
      <c r="AB753" s="945"/>
    </row>
    <row r="754" ht="20.25" customHeight="1">
      <c r="A754" s="964"/>
      <c r="B754" s="965"/>
      <c r="C754" s="965"/>
      <c r="D754" s="966"/>
      <c r="E754" s="967"/>
      <c r="F754" s="965"/>
      <c r="G754" s="965"/>
      <c r="H754" s="965"/>
      <c r="I754" s="965"/>
      <c r="J754" s="965"/>
      <c r="K754" s="965"/>
      <c r="L754" s="965"/>
      <c r="M754" s="965"/>
      <c r="N754" s="965"/>
      <c r="O754" s="965"/>
      <c r="P754" s="965"/>
      <c r="Q754" s="945"/>
      <c r="R754" s="945"/>
      <c r="S754" s="945"/>
      <c r="T754" s="945"/>
      <c r="U754" s="945"/>
      <c r="V754" s="945"/>
      <c r="W754" s="945"/>
      <c r="X754" s="945"/>
      <c r="Y754" s="945"/>
      <c r="Z754" s="945"/>
      <c r="AA754" s="945"/>
      <c r="AB754" s="945"/>
    </row>
    <row r="755" ht="20.25" customHeight="1">
      <c r="A755" s="964"/>
      <c r="B755" s="965"/>
      <c r="C755" s="965"/>
      <c r="D755" s="966"/>
      <c r="E755" s="967"/>
      <c r="F755" s="965"/>
      <c r="G755" s="965"/>
      <c r="H755" s="965"/>
      <c r="I755" s="965"/>
      <c r="J755" s="965"/>
      <c r="K755" s="965"/>
      <c r="L755" s="965"/>
      <c r="M755" s="965"/>
      <c r="N755" s="965"/>
      <c r="O755" s="965"/>
      <c r="P755" s="965"/>
      <c r="Q755" s="945"/>
      <c r="R755" s="945"/>
      <c r="S755" s="945"/>
      <c r="T755" s="945"/>
      <c r="U755" s="945"/>
      <c r="V755" s="945"/>
      <c r="W755" s="945"/>
      <c r="X755" s="945"/>
      <c r="Y755" s="945"/>
      <c r="Z755" s="945"/>
      <c r="AA755" s="945"/>
      <c r="AB755" s="945"/>
    </row>
    <row r="756" ht="20.25" customHeight="1">
      <c r="A756" s="964"/>
      <c r="B756" s="965"/>
      <c r="C756" s="965"/>
      <c r="D756" s="966"/>
      <c r="E756" s="967"/>
      <c r="F756" s="965"/>
      <c r="G756" s="965"/>
      <c r="H756" s="965"/>
      <c r="I756" s="965"/>
      <c r="J756" s="965"/>
      <c r="K756" s="965"/>
      <c r="L756" s="965"/>
      <c r="M756" s="965"/>
      <c r="N756" s="965"/>
      <c r="O756" s="965"/>
      <c r="P756" s="965"/>
      <c r="Q756" s="945"/>
      <c r="R756" s="945"/>
      <c r="S756" s="945"/>
      <c r="T756" s="945"/>
      <c r="U756" s="945"/>
      <c r="V756" s="945"/>
      <c r="W756" s="945"/>
      <c r="X756" s="945"/>
      <c r="Y756" s="945"/>
      <c r="Z756" s="945"/>
      <c r="AA756" s="945"/>
      <c r="AB756" s="945"/>
    </row>
    <row r="757" ht="20.25" customHeight="1">
      <c r="A757" s="964"/>
      <c r="B757" s="965"/>
      <c r="C757" s="965"/>
      <c r="D757" s="966"/>
      <c r="E757" s="967"/>
      <c r="F757" s="965"/>
      <c r="G757" s="965"/>
      <c r="H757" s="965"/>
      <c r="I757" s="965"/>
      <c r="J757" s="965"/>
      <c r="K757" s="965"/>
      <c r="L757" s="965"/>
      <c r="M757" s="965"/>
      <c r="N757" s="965"/>
      <c r="O757" s="965"/>
      <c r="P757" s="965"/>
      <c r="Q757" s="945"/>
      <c r="R757" s="945"/>
      <c r="S757" s="945"/>
      <c r="T757" s="945"/>
      <c r="U757" s="945"/>
      <c r="V757" s="945"/>
      <c r="W757" s="945"/>
      <c r="X757" s="945"/>
      <c r="Y757" s="945"/>
      <c r="Z757" s="945"/>
      <c r="AA757" s="945"/>
      <c r="AB757" s="945"/>
    </row>
    <row r="758" ht="20.25" customHeight="1">
      <c r="A758" s="964"/>
      <c r="B758" s="965"/>
      <c r="C758" s="965"/>
      <c r="D758" s="966"/>
      <c r="E758" s="967"/>
      <c r="F758" s="965"/>
      <c r="G758" s="965"/>
      <c r="H758" s="965"/>
      <c r="I758" s="965"/>
      <c r="J758" s="965"/>
      <c r="K758" s="965"/>
      <c r="L758" s="965"/>
      <c r="M758" s="965"/>
      <c r="N758" s="965"/>
      <c r="O758" s="965"/>
      <c r="P758" s="965"/>
      <c r="Q758" s="945"/>
      <c r="R758" s="945"/>
      <c r="S758" s="945"/>
      <c r="T758" s="945"/>
      <c r="U758" s="945"/>
      <c r="V758" s="945"/>
      <c r="W758" s="945"/>
      <c r="X758" s="945"/>
      <c r="Y758" s="945"/>
      <c r="Z758" s="945"/>
      <c r="AA758" s="945"/>
      <c r="AB758" s="945"/>
    </row>
    <row r="759" ht="20.25" customHeight="1">
      <c r="A759" s="964"/>
      <c r="B759" s="965"/>
      <c r="C759" s="965"/>
      <c r="D759" s="966"/>
      <c r="E759" s="967"/>
      <c r="F759" s="965"/>
      <c r="G759" s="965"/>
      <c r="H759" s="965"/>
      <c r="I759" s="965"/>
      <c r="J759" s="965"/>
      <c r="K759" s="965"/>
      <c r="L759" s="965"/>
      <c r="M759" s="965"/>
      <c r="N759" s="965"/>
      <c r="O759" s="965"/>
      <c r="P759" s="965"/>
      <c r="Q759" s="945"/>
      <c r="R759" s="945"/>
      <c r="S759" s="945"/>
      <c r="T759" s="945"/>
      <c r="U759" s="945"/>
      <c r="V759" s="945"/>
      <c r="W759" s="945"/>
      <c r="X759" s="945"/>
      <c r="Y759" s="945"/>
      <c r="Z759" s="945"/>
      <c r="AA759" s="945"/>
      <c r="AB759" s="945"/>
    </row>
    <row r="760" ht="20.25" customHeight="1">
      <c r="A760" s="964"/>
      <c r="B760" s="965"/>
      <c r="C760" s="965"/>
      <c r="D760" s="966"/>
      <c r="E760" s="967"/>
      <c r="F760" s="965"/>
      <c r="G760" s="965"/>
      <c r="H760" s="965"/>
      <c r="I760" s="965"/>
      <c r="J760" s="965"/>
      <c r="K760" s="965"/>
      <c r="L760" s="965"/>
      <c r="M760" s="965"/>
      <c r="N760" s="965"/>
      <c r="O760" s="965"/>
      <c r="P760" s="965"/>
      <c r="Q760" s="945"/>
      <c r="R760" s="945"/>
      <c r="S760" s="945"/>
      <c r="T760" s="945"/>
      <c r="U760" s="945"/>
      <c r="V760" s="945"/>
      <c r="W760" s="945"/>
      <c r="X760" s="945"/>
      <c r="Y760" s="945"/>
      <c r="Z760" s="945"/>
      <c r="AA760" s="945"/>
      <c r="AB760" s="945"/>
    </row>
    <row r="761" ht="20.25" customHeight="1">
      <c r="A761" s="964"/>
      <c r="B761" s="965"/>
      <c r="C761" s="965"/>
      <c r="D761" s="966"/>
      <c r="E761" s="967"/>
      <c r="F761" s="965"/>
      <c r="G761" s="965"/>
      <c r="H761" s="965"/>
      <c r="I761" s="965"/>
      <c r="J761" s="965"/>
      <c r="K761" s="965"/>
      <c r="L761" s="965"/>
      <c r="M761" s="965"/>
      <c r="N761" s="965"/>
      <c r="O761" s="965"/>
      <c r="P761" s="965"/>
      <c r="Q761" s="945"/>
      <c r="R761" s="945"/>
      <c r="S761" s="945"/>
      <c r="T761" s="945"/>
      <c r="U761" s="945"/>
      <c r="V761" s="945"/>
      <c r="W761" s="945"/>
      <c r="X761" s="945"/>
      <c r="Y761" s="945"/>
      <c r="Z761" s="945"/>
      <c r="AA761" s="945"/>
      <c r="AB761" s="945"/>
    </row>
    <row r="762" ht="20.25" customHeight="1">
      <c r="A762" s="964"/>
      <c r="B762" s="965"/>
      <c r="C762" s="965"/>
      <c r="D762" s="966"/>
      <c r="E762" s="967"/>
      <c r="F762" s="965"/>
      <c r="G762" s="965"/>
      <c r="H762" s="965"/>
      <c r="I762" s="965"/>
      <c r="J762" s="965"/>
      <c r="K762" s="965"/>
      <c r="L762" s="965"/>
      <c r="M762" s="965"/>
      <c r="N762" s="965"/>
      <c r="O762" s="965"/>
      <c r="P762" s="965"/>
      <c r="Q762" s="945"/>
      <c r="R762" s="945"/>
      <c r="S762" s="945"/>
      <c r="T762" s="945"/>
      <c r="U762" s="945"/>
      <c r="V762" s="945"/>
      <c r="W762" s="945"/>
      <c r="X762" s="945"/>
      <c r="Y762" s="945"/>
      <c r="Z762" s="945"/>
      <c r="AA762" s="945"/>
      <c r="AB762" s="945"/>
    </row>
    <row r="763" ht="20.25" customHeight="1">
      <c r="A763" s="964"/>
      <c r="B763" s="965"/>
      <c r="C763" s="965"/>
      <c r="D763" s="966"/>
      <c r="E763" s="967"/>
      <c r="F763" s="965"/>
      <c r="G763" s="965"/>
      <c r="H763" s="965"/>
      <c r="I763" s="965"/>
      <c r="J763" s="965"/>
      <c r="K763" s="965"/>
      <c r="L763" s="965"/>
      <c r="M763" s="965"/>
      <c r="N763" s="965"/>
      <c r="O763" s="965"/>
      <c r="P763" s="965"/>
      <c r="Q763" s="945"/>
      <c r="R763" s="945"/>
      <c r="S763" s="945"/>
      <c r="T763" s="945"/>
      <c r="U763" s="945"/>
      <c r="V763" s="945"/>
      <c r="W763" s="945"/>
      <c r="X763" s="945"/>
      <c r="Y763" s="945"/>
      <c r="Z763" s="945"/>
      <c r="AA763" s="945"/>
      <c r="AB763" s="945"/>
    </row>
    <row r="764" ht="20.25" customHeight="1">
      <c r="A764" s="964"/>
      <c r="B764" s="965"/>
      <c r="C764" s="965"/>
      <c r="D764" s="966"/>
      <c r="E764" s="967"/>
      <c r="F764" s="965"/>
      <c r="G764" s="965"/>
      <c r="H764" s="965"/>
      <c r="I764" s="965"/>
      <c r="J764" s="965"/>
      <c r="K764" s="965"/>
      <c r="L764" s="965"/>
      <c r="M764" s="965"/>
      <c r="N764" s="965"/>
      <c r="O764" s="965"/>
      <c r="P764" s="965"/>
      <c r="Q764" s="945"/>
      <c r="R764" s="945"/>
      <c r="S764" s="945"/>
      <c r="T764" s="945"/>
      <c r="U764" s="945"/>
      <c r="V764" s="945"/>
      <c r="W764" s="945"/>
      <c r="X764" s="945"/>
      <c r="Y764" s="945"/>
      <c r="Z764" s="945"/>
      <c r="AA764" s="945"/>
      <c r="AB764" s="945"/>
    </row>
    <row r="765" ht="20.25" customHeight="1">
      <c r="A765" s="964"/>
      <c r="B765" s="965"/>
      <c r="C765" s="965"/>
      <c r="D765" s="966"/>
      <c r="E765" s="967"/>
      <c r="F765" s="965"/>
      <c r="G765" s="965"/>
      <c r="H765" s="965"/>
      <c r="I765" s="965"/>
      <c r="J765" s="965"/>
      <c r="K765" s="965"/>
      <c r="L765" s="965"/>
      <c r="M765" s="965"/>
      <c r="N765" s="965"/>
      <c r="O765" s="965"/>
      <c r="P765" s="965"/>
      <c r="Q765" s="945"/>
      <c r="R765" s="945"/>
      <c r="S765" s="945"/>
      <c r="T765" s="945"/>
      <c r="U765" s="945"/>
      <c r="V765" s="945"/>
      <c r="W765" s="945"/>
      <c r="X765" s="945"/>
      <c r="Y765" s="945"/>
      <c r="Z765" s="945"/>
      <c r="AA765" s="945"/>
      <c r="AB765" s="945"/>
    </row>
    <row r="766" ht="20.25" customHeight="1">
      <c r="A766" s="964"/>
      <c r="B766" s="965"/>
      <c r="C766" s="965"/>
      <c r="D766" s="966"/>
      <c r="E766" s="967"/>
      <c r="F766" s="965"/>
      <c r="G766" s="965"/>
      <c r="H766" s="965"/>
      <c r="I766" s="965"/>
      <c r="J766" s="965"/>
      <c r="K766" s="965"/>
      <c r="L766" s="965"/>
      <c r="M766" s="965"/>
      <c r="N766" s="965"/>
      <c r="O766" s="965"/>
      <c r="P766" s="965"/>
      <c r="Q766" s="945"/>
      <c r="R766" s="945"/>
      <c r="S766" s="945"/>
      <c r="T766" s="945"/>
      <c r="U766" s="945"/>
      <c r="V766" s="945"/>
      <c r="W766" s="945"/>
      <c r="X766" s="945"/>
      <c r="Y766" s="945"/>
      <c r="Z766" s="945"/>
      <c r="AA766" s="945"/>
      <c r="AB766" s="945"/>
    </row>
    <row r="767" ht="20.25" customHeight="1">
      <c r="A767" s="964"/>
      <c r="B767" s="965"/>
      <c r="C767" s="965"/>
      <c r="D767" s="966"/>
      <c r="E767" s="967"/>
      <c r="F767" s="965"/>
      <c r="G767" s="965"/>
      <c r="H767" s="965"/>
      <c r="I767" s="965"/>
      <c r="J767" s="965"/>
      <c r="K767" s="965"/>
      <c r="L767" s="965"/>
      <c r="M767" s="965"/>
      <c r="N767" s="965"/>
      <c r="O767" s="965"/>
      <c r="P767" s="965"/>
      <c r="Q767" s="945"/>
      <c r="R767" s="945"/>
      <c r="S767" s="945"/>
      <c r="T767" s="945"/>
      <c r="U767" s="945"/>
      <c r="V767" s="945"/>
      <c r="W767" s="945"/>
      <c r="X767" s="945"/>
      <c r="Y767" s="945"/>
      <c r="Z767" s="945"/>
      <c r="AA767" s="945"/>
      <c r="AB767" s="945"/>
    </row>
    <row r="768" ht="20.25" customHeight="1">
      <c r="A768" s="964"/>
      <c r="B768" s="965"/>
      <c r="C768" s="965"/>
      <c r="D768" s="966"/>
      <c r="E768" s="967"/>
      <c r="F768" s="965"/>
      <c r="G768" s="965"/>
      <c r="H768" s="965"/>
      <c r="I768" s="965"/>
      <c r="J768" s="965"/>
      <c r="K768" s="965"/>
      <c r="L768" s="965"/>
      <c r="M768" s="965"/>
      <c r="N768" s="965"/>
      <c r="O768" s="965"/>
      <c r="P768" s="965"/>
      <c r="Q768" s="945"/>
      <c r="R768" s="945"/>
      <c r="S768" s="945"/>
      <c r="T768" s="945"/>
      <c r="U768" s="945"/>
      <c r="V768" s="945"/>
      <c r="W768" s="945"/>
      <c r="X768" s="945"/>
      <c r="Y768" s="945"/>
      <c r="Z768" s="945"/>
      <c r="AA768" s="945"/>
      <c r="AB768" s="945"/>
    </row>
    <row r="769" ht="20.25" customHeight="1">
      <c r="A769" s="964"/>
      <c r="B769" s="965"/>
      <c r="C769" s="965"/>
      <c r="D769" s="966"/>
      <c r="E769" s="967"/>
      <c r="F769" s="965"/>
      <c r="G769" s="965"/>
      <c r="H769" s="965"/>
      <c r="I769" s="965"/>
      <c r="J769" s="965"/>
      <c r="K769" s="965"/>
      <c r="L769" s="965"/>
      <c r="M769" s="965"/>
      <c r="N769" s="965"/>
      <c r="O769" s="965"/>
      <c r="P769" s="965"/>
      <c r="Q769" s="945"/>
      <c r="R769" s="945"/>
      <c r="S769" s="945"/>
      <c r="T769" s="945"/>
      <c r="U769" s="945"/>
      <c r="V769" s="945"/>
      <c r="W769" s="945"/>
      <c r="X769" s="945"/>
      <c r="Y769" s="945"/>
      <c r="Z769" s="945"/>
      <c r="AA769" s="945"/>
      <c r="AB769" s="945"/>
    </row>
    <row r="770" ht="20.25" customHeight="1">
      <c r="A770" s="964"/>
      <c r="B770" s="965"/>
      <c r="C770" s="965"/>
      <c r="D770" s="966"/>
      <c r="E770" s="967"/>
      <c r="F770" s="965"/>
      <c r="G770" s="965"/>
      <c r="H770" s="965"/>
      <c r="I770" s="965"/>
      <c r="J770" s="965"/>
      <c r="K770" s="965"/>
      <c r="L770" s="965"/>
      <c r="M770" s="965"/>
      <c r="N770" s="965"/>
      <c r="O770" s="965"/>
      <c r="P770" s="965"/>
      <c r="Q770" s="945"/>
      <c r="R770" s="945"/>
      <c r="S770" s="945"/>
      <c r="T770" s="945"/>
      <c r="U770" s="945"/>
      <c r="V770" s="945"/>
      <c r="W770" s="945"/>
      <c r="X770" s="945"/>
      <c r="Y770" s="945"/>
      <c r="Z770" s="945"/>
      <c r="AA770" s="945"/>
      <c r="AB770" s="945"/>
    </row>
    <row r="771" ht="20.25" customHeight="1">
      <c r="A771" s="964"/>
      <c r="B771" s="965"/>
      <c r="C771" s="965"/>
      <c r="D771" s="966"/>
      <c r="E771" s="967"/>
      <c r="F771" s="965"/>
      <c r="G771" s="965"/>
      <c r="H771" s="965"/>
      <c r="I771" s="965"/>
      <c r="J771" s="965"/>
      <c r="K771" s="965"/>
      <c r="L771" s="965"/>
      <c r="M771" s="965"/>
      <c r="N771" s="965"/>
      <c r="O771" s="965"/>
      <c r="P771" s="965"/>
      <c r="Q771" s="945"/>
      <c r="R771" s="945"/>
      <c r="S771" s="945"/>
      <c r="T771" s="945"/>
      <c r="U771" s="945"/>
      <c r="V771" s="945"/>
      <c r="W771" s="945"/>
      <c r="X771" s="945"/>
      <c r="Y771" s="945"/>
      <c r="Z771" s="945"/>
      <c r="AA771" s="945"/>
      <c r="AB771" s="945"/>
    </row>
    <row r="772" ht="20.25" customHeight="1">
      <c r="A772" s="964"/>
      <c r="B772" s="965"/>
      <c r="C772" s="965"/>
      <c r="D772" s="966"/>
      <c r="E772" s="967"/>
      <c r="F772" s="965"/>
      <c r="G772" s="965"/>
      <c r="H772" s="965"/>
      <c r="I772" s="965"/>
      <c r="J772" s="965"/>
      <c r="K772" s="965"/>
      <c r="L772" s="965"/>
      <c r="M772" s="965"/>
      <c r="N772" s="965"/>
      <c r="O772" s="965"/>
      <c r="P772" s="965"/>
      <c r="Q772" s="945"/>
      <c r="R772" s="945"/>
      <c r="S772" s="945"/>
      <c r="T772" s="945"/>
      <c r="U772" s="945"/>
      <c r="V772" s="945"/>
      <c r="W772" s="945"/>
      <c r="X772" s="945"/>
      <c r="Y772" s="945"/>
      <c r="Z772" s="945"/>
      <c r="AA772" s="945"/>
      <c r="AB772" s="945"/>
    </row>
    <row r="773" ht="20.25" customHeight="1">
      <c r="A773" s="964"/>
      <c r="B773" s="965"/>
      <c r="C773" s="965"/>
      <c r="D773" s="966"/>
      <c r="E773" s="967"/>
      <c r="F773" s="965"/>
      <c r="G773" s="965"/>
      <c r="H773" s="965"/>
      <c r="I773" s="965"/>
      <c r="J773" s="965"/>
      <c r="K773" s="965"/>
      <c r="L773" s="965"/>
      <c r="M773" s="965"/>
      <c r="N773" s="965"/>
      <c r="O773" s="965"/>
      <c r="P773" s="965"/>
      <c r="Q773" s="945"/>
      <c r="R773" s="945"/>
      <c r="S773" s="945"/>
      <c r="T773" s="945"/>
      <c r="U773" s="945"/>
      <c r="V773" s="945"/>
      <c r="W773" s="945"/>
      <c r="X773" s="945"/>
      <c r="Y773" s="945"/>
      <c r="Z773" s="945"/>
      <c r="AA773" s="945"/>
      <c r="AB773" s="945"/>
    </row>
    <row r="774" ht="20.25" customHeight="1">
      <c r="A774" s="964"/>
      <c r="B774" s="965"/>
      <c r="C774" s="965"/>
      <c r="D774" s="966"/>
      <c r="E774" s="967"/>
      <c r="F774" s="965"/>
      <c r="G774" s="965"/>
      <c r="H774" s="965"/>
      <c r="I774" s="965"/>
      <c r="J774" s="965"/>
      <c r="K774" s="965"/>
      <c r="L774" s="965"/>
      <c r="M774" s="965"/>
      <c r="N774" s="965"/>
      <c r="O774" s="965"/>
      <c r="P774" s="965"/>
      <c r="Q774" s="945"/>
      <c r="R774" s="945"/>
      <c r="S774" s="945"/>
      <c r="T774" s="945"/>
      <c r="U774" s="945"/>
      <c r="V774" s="945"/>
      <c r="W774" s="945"/>
      <c r="X774" s="945"/>
      <c r="Y774" s="945"/>
      <c r="Z774" s="945"/>
      <c r="AA774" s="945"/>
      <c r="AB774" s="945"/>
    </row>
    <row r="775" ht="20.25" customHeight="1">
      <c r="A775" s="964"/>
      <c r="B775" s="965"/>
      <c r="C775" s="965"/>
      <c r="D775" s="966"/>
      <c r="E775" s="967"/>
      <c r="F775" s="965"/>
      <c r="G775" s="965"/>
      <c r="H775" s="965"/>
      <c r="I775" s="965"/>
      <c r="J775" s="965"/>
      <c r="K775" s="965"/>
      <c r="L775" s="965"/>
      <c r="M775" s="965"/>
      <c r="N775" s="965"/>
      <c r="O775" s="965"/>
      <c r="P775" s="965"/>
      <c r="Q775" s="945"/>
      <c r="R775" s="945"/>
      <c r="S775" s="945"/>
      <c r="T775" s="945"/>
      <c r="U775" s="945"/>
      <c r="V775" s="945"/>
      <c r="W775" s="945"/>
      <c r="X775" s="945"/>
      <c r="Y775" s="945"/>
      <c r="Z775" s="945"/>
      <c r="AA775" s="945"/>
      <c r="AB775" s="945"/>
    </row>
    <row r="776" ht="20.25" customHeight="1">
      <c r="A776" s="964"/>
      <c r="B776" s="965"/>
      <c r="C776" s="965"/>
      <c r="D776" s="966"/>
      <c r="E776" s="967"/>
      <c r="F776" s="965"/>
      <c r="G776" s="965"/>
      <c r="H776" s="965"/>
      <c r="I776" s="965"/>
      <c r="J776" s="965"/>
      <c r="K776" s="965"/>
      <c r="L776" s="965"/>
      <c r="M776" s="965"/>
      <c r="N776" s="965"/>
      <c r="O776" s="965"/>
      <c r="P776" s="965"/>
      <c r="Q776" s="945"/>
      <c r="R776" s="945"/>
      <c r="S776" s="945"/>
      <c r="T776" s="945"/>
      <c r="U776" s="945"/>
      <c r="V776" s="945"/>
      <c r="W776" s="945"/>
      <c r="X776" s="945"/>
      <c r="Y776" s="945"/>
      <c r="Z776" s="945"/>
      <c r="AA776" s="945"/>
      <c r="AB776" s="945"/>
    </row>
    <row r="777" ht="20.25" customHeight="1">
      <c r="A777" s="964"/>
      <c r="B777" s="965"/>
      <c r="C777" s="965"/>
      <c r="D777" s="966"/>
      <c r="E777" s="967"/>
      <c r="F777" s="965"/>
      <c r="G777" s="965"/>
      <c r="H777" s="965"/>
      <c r="I777" s="965"/>
      <c r="J777" s="965"/>
      <c r="K777" s="965"/>
      <c r="L777" s="965"/>
      <c r="M777" s="965"/>
      <c r="N777" s="965"/>
      <c r="O777" s="965"/>
      <c r="P777" s="965"/>
      <c r="Q777" s="945"/>
      <c r="R777" s="945"/>
      <c r="S777" s="945"/>
      <c r="T777" s="945"/>
      <c r="U777" s="945"/>
      <c r="V777" s="945"/>
      <c r="W777" s="945"/>
      <c r="X777" s="945"/>
      <c r="Y777" s="945"/>
      <c r="Z777" s="945"/>
      <c r="AA777" s="945"/>
      <c r="AB777" s="945"/>
    </row>
    <row r="778" ht="20.25" customHeight="1">
      <c r="A778" s="964"/>
      <c r="B778" s="965"/>
      <c r="C778" s="965"/>
      <c r="D778" s="966"/>
      <c r="E778" s="967"/>
      <c r="F778" s="965"/>
      <c r="G778" s="965"/>
      <c r="H778" s="965"/>
      <c r="I778" s="965"/>
      <c r="J778" s="965"/>
      <c r="K778" s="965"/>
      <c r="L778" s="965"/>
      <c r="M778" s="965"/>
      <c r="N778" s="965"/>
      <c r="O778" s="965"/>
      <c r="P778" s="965"/>
      <c r="Q778" s="945"/>
      <c r="R778" s="945"/>
      <c r="S778" s="945"/>
      <c r="T778" s="945"/>
      <c r="U778" s="945"/>
      <c r="V778" s="945"/>
      <c r="W778" s="945"/>
      <c r="X778" s="945"/>
      <c r="Y778" s="945"/>
      <c r="Z778" s="945"/>
      <c r="AA778" s="945"/>
      <c r="AB778" s="945"/>
    </row>
    <row r="779" ht="20.25" customHeight="1">
      <c r="A779" s="964"/>
      <c r="B779" s="965"/>
      <c r="C779" s="965"/>
      <c r="D779" s="966"/>
      <c r="E779" s="967"/>
      <c r="F779" s="965"/>
      <c r="G779" s="965"/>
      <c r="H779" s="965"/>
      <c r="I779" s="965"/>
      <c r="J779" s="965"/>
      <c r="K779" s="965"/>
      <c r="L779" s="965"/>
      <c r="M779" s="965"/>
      <c r="N779" s="965"/>
      <c r="O779" s="965"/>
      <c r="P779" s="965"/>
      <c r="Q779" s="945"/>
      <c r="R779" s="945"/>
      <c r="S779" s="945"/>
      <c r="T779" s="945"/>
      <c r="U779" s="945"/>
      <c r="V779" s="945"/>
      <c r="W779" s="945"/>
      <c r="X779" s="945"/>
      <c r="Y779" s="945"/>
      <c r="Z779" s="945"/>
      <c r="AA779" s="945"/>
      <c r="AB779" s="945"/>
    </row>
    <row r="780" ht="20.25" customHeight="1">
      <c r="A780" s="964"/>
      <c r="B780" s="965"/>
      <c r="C780" s="965"/>
      <c r="D780" s="966"/>
      <c r="E780" s="967"/>
      <c r="F780" s="965"/>
      <c r="G780" s="965"/>
      <c r="H780" s="965"/>
      <c r="I780" s="965"/>
      <c r="J780" s="965"/>
      <c r="K780" s="965"/>
      <c r="L780" s="965"/>
      <c r="M780" s="965"/>
      <c r="N780" s="965"/>
      <c r="O780" s="965"/>
      <c r="P780" s="965"/>
      <c r="Q780" s="945"/>
      <c r="R780" s="945"/>
      <c r="S780" s="945"/>
      <c r="T780" s="945"/>
      <c r="U780" s="945"/>
      <c r="V780" s="945"/>
      <c r="W780" s="945"/>
      <c r="X780" s="945"/>
      <c r="Y780" s="945"/>
      <c r="Z780" s="945"/>
      <c r="AA780" s="945"/>
      <c r="AB780" s="945"/>
    </row>
    <row r="781" ht="20.25" customHeight="1">
      <c r="A781" s="964"/>
      <c r="B781" s="965"/>
      <c r="C781" s="965"/>
      <c r="D781" s="966"/>
      <c r="E781" s="967"/>
      <c r="F781" s="965"/>
      <c r="G781" s="965"/>
      <c r="H781" s="965"/>
      <c r="I781" s="965"/>
      <c r="J781" s="965"/>
      <c r="K781" s="965"/>
      <c r="L781" s="965"/>
      <c r="M781" s="965"/>
      <c r="N781" s="965"/>
      <c r="O781" s="965"/>
      <c r="P781" s="965"/>
      <c r="Q781" s="945"/>
      <c r="R781" s="945"/>
      <c r="S781" s="945"/>
      <c r="T781" s="945"/>
      <c r="U781" s="945"/>
      <c r="V781" s="945"/>
      <c r="W781" s="945"/>
      <c r="X781" s="945"/>
      <c r="Y781" s="945"/>
      <c r="Z781" s="945"/>
      <c r="AA781" s="945"/>
      <c r="AB781" s="945"/>
    </row>
    <row r="782" ht="20.25" customHeight="1">
      <c r="A782" s="964"/>
      <c r="B782" s="965"/>
      <c r="C782" s="965"/>
      <c r="D782" s="966"/>
      <c r="E782" s="967"/>
      <c r="F782" s="965"/>
      <c r="G782" s="965"/>
      <c r="H782" s="965"/>
      <c r="I782" s="965"/>
      <c r="J782" s="965"/>
      <c r="K782" s="965"/>
      <c r="L782" s="965"/>
      <c r="M782" s="965"/>
      <c r="N782" s="965"/>
      <c r="O782" s="965"/>
      <c r="P782" s="965"/>
      <c r="Q782" s="945"/>
      <c r="R782" s="945"/>
      <c r="S782" s="945"/>
      <c r="T782" s="945"/>
      <c r="U782" s="945"/>
      <c r="V782" s="945"/>
      <c r="W782" s="945"/>
      <c r="X782" s="945"/>
      <c r="Y782" s="945"/>
      <c r="Z782" s="945"/>
      <c r="AA782" s="945"/>
      <c r="AB782" s="945"/>
    </row>
    <row r="783" ht="20.25" customHeight="1">
      <c r="A783" s="964"/>
      <c r="B783" s="965"/>
      <c r="C783" s="965"/>
      <c r="D783" s="966"/>
      <c r="E783" s="967"/>
      <c r="F783" s="965"/>
      <c r="G783" s="965"/>
      <c r="H783" s="965"/>
      <c r="I783" s="965"/>
      <c r="J783" s="965"/>
      <c r="K783" s="965"/>
      <c r="L783" s="965"/>
      <c r="M783" s="965"/>
      <c r="N783" s="965"/>
      <c r="O783" s="965"/>
      <c r="P783" s="965"/>
      <c r="Q783" s="945"/>
      <c r="R783" s="945"/>
      <c r="S783" s="945"/>
      <c r="T783" s="945"/>
      <c r="U783" s="945"/>
      <c r="V783" s="945"/>
      <c r="W783" s="945"/>
      <c r="X783" s="945"/>
      <c r="Y783" s="945"/>
      <c r="Z783" s="945"/>
      <c r="AA783" s="945"/>
      <c r="AB783" s="945"/>
    </row>
    <row r="784" ht="20.25" customHeight="1">
      <c r="A784" s="964"/>
      <c r="B784" s="965"/>
      <c r="C784" s="965"/>
      <c r="D784" s="966"/>
      <c r="E784" s="967"/>
      <c r="F784" s="965"/>
      <c r="G784" s="965"/>
      <c r="H784" s="965"/>
      <c r="I784" s="965"/>
      <c r="J784" s="965"/>
      <c r="K784" s="965"/>
      <c r="L784" s="965"/>
      <c r="M784" s="965"/>
      <c r="N784" s="965"/>
      <c r="O784" s="965"/>
      <c r="P784" s="965"/>
      <c r="Q784" s="945"/>
      <c r="R784" s="945"/>
      <c r="S784" s="945"/>
      <c r="T784" s="945"/>
      <c r="U784" s="945"/>
      <c r="V784" s="945"/>
      <c r="W784" s="945"/>
      <c r="X784" s="945"/>
      <c r="Y784" s="945"/>
      <c r="Z784" s="945"/>
      <c r="AA784" s="945"/>
      <c r="AB784" s="945"/>
    </row>
    <row r="785" ht="20.25" customHeight="1">
      <c r="A785" s="964"/>
      <c r="B785" s="965"/>
      <c r="C785" s="965"/>
      <c r="D785" s="966"/>
      <c r="E785" s="967"/>
      <c r="F785" s="965"/>
      <c r="G785" s="965"/>
      <c r="H785" s="965"/>
      <c r="I785" s="965"/>
      <c r="J785" s="965"/>
      <c r="K785" s="965"/>
      <c r="L785" s="965"/>
      <c r="M785" s="965"/>
      <c r="N785" s="965"/>
      <c r="O785" s="965"/>
      <c r="P785" s="965"/>
      <c r="Q785" s="945"/>
      <c r="R785" s="945"/>
      <c r="S785" s="945"/>
      <c r="T785" s="945"/>
      <c r="U785" s="945"/>
      <c r="V785" s="945"/>
      <c r="W785" s="945"/>
      <c r="X785" s="945"/>
      <c r="Y785" s="945"/>
      <c r="Z785" s="945"/>
      <c r="AA785" s="945"/>
      <c r="AB785" s="945"/>
    </row>
    <row r="786" ht="20.25" customHeight="1">
      <c r="A786" s="964"/>
      <c r="B786" s="965"/>
      <c r="C786" s="965"/>
      <c r="D786" s="966"/>
      <c r="E786" s="967"/>
      <c r="F786" s="965"/>
      <c r="G786" s="965"/>
      <c r="H786" s="965"/>
      <c r="I786" s="965"/>
      <c r="J786" s="965"/>
      <c r="K786" s="965"/>
      <c r="L786" s="965"/>
      <c r="M786" s="965"/>
      <c r="N786" s="965"/>
      <c r="O786" s="965"/>
      <c r="P786" s="965"/>
      <c r="Q786" s="945"/>
      <c r="R786" s="945"/>
      <c r="S786" s="945"/>
      <c r="T786" s="945"/>
      <c r="U786" s="945"/>
      <c r="V786" s="945"/>
      <c r="W786" s="945"/>
      <c r="X786" s="945"/>
      <c r="Y786" s="945"/>
      <c r="Z786" s="945"/>
      <c r="AA786" s="945"/>
      <c r="AB786" s="945"/>
    </row>
    <row r="787" ht="20.25" customHeight="1">
      <c r="A787" s="964"/>
      <c r="B787" s="965"/>
      <c r="C787" s="965"/>
      <c r="D787" s="966"/>
      <c r="E787" s="967"/>
      <c r="F787" s="965"/>
      <c r="G787" s="965"/>
      <c r="H787" s="965"/>
      <c r="I787" s="965"/>
      <c r="J787" s="965"/>
      <c r="K787" s="965"/>
      <c r="L787" s="965"/>
      <c r="M787" s="965"/>
      <c r="N787" s="965"/>
      <c r="O787" s="965"/>
      <c r="P787" s="965"/>
      <c r="Q787" s="945"/>
      <c r="R787" s="945"/>
      <c r="S787" s="945"/>
      <c r="T787" s="945"/>
      <c r="U787" s="945"/>
      <c r="V787" s="945"/>
      <c r="W787" s="945"/>
      <c r="X787" s="945"/>
      <c r="Y787" s="945"/>
      <c r="Z787" s="945"/>
      <c r="AA787" s="945"/>
      <c r="AB787" s="945"/>
    </row>
    <row r="788" ht="20.25" customHeight="1">
      <c r="A788" s="964"/>
      <c r="B788" s="965"/>
      <c r="C788" s="965"/>
      <c r="D788" s="966"/>
      <c r="E788" s="967"/>
      <c r="F788" s="965"/>
      <c r="G788" s="965"/>
      <c r="H788" s="965"/>
      <c r="I788" s="965"/>
      <c r="J788" s="965"/>
      <c r="K788" s="965"/>
      <c r="L788" s="965"/>
      <c r="M788" s="965"/>
      <c r="N788" s="965"/>
      <c r="O788" s="965"/>
      <c r="P788" s="965"/>
      <c r="Q788" s="945"/>
      <c r="R788" s="945"/>
      <c r="S788" s="945"/>
      <c r="T788" s="945"/>
      <c r="U788" s="945"/>
      <c r="V788" s="945"/>
      <c r="W788" s="945"/>
      <c r="X788" s="945"/>
      <c r="Y788" s="945"/>
      <c r="Z788" s="945"/>
      <c r="AA788" s="945"/>
      <c r="AB788" s="945"/>
    </row>
    <row r="789" ht="20.25" customHeight="1">
      <c r="A789" s="964"/>
      <c r="B789" s="965"/>
      <c r="C789" s="965"/>
      <c r="D789" s="966"/>
      <c r="E789" s="967"/>
      <c r="F789" s="965"/>
      <c r="G789" s="965"/>
      <c r="H789" s="965"/>
      <c r="I789" s="965"/>
      <c r="J789" s="965"/>
      <c r="K789" s="965"/>
      <c r="L789" s="965"/>
      <c r="M789" s="965"/>
      <c r="N789" s="965"/>
      <c r="O789" s="965"/>
      <c r="P789" s="965"/>
      <c r="Q789" s="945"/>
      <c r="R789" s="945"/>
      <c r="S789" s="945"/>
      <c r="T789" s="945"/>
      <c r="U789" s="945"/>
      <c r="V789" s="945"/>
      <c r="W789" s="945"/>
      <c r="X789" s="945"/>
      <c r="Y789" s="945"/>
      <c r="Z789" s="945"/>
      <c r="AA789" s="945"/>
      <c r="AB789" s="945"/>
    </row>
    <row r="790" ht="20.25" customHeight="1">
      <c r="A790" s="964"/>
      <c r="B790" s="965"/>
      <c r="C790" s="965"/>
      <c r="D790" s="966"/>
      <c r="E790" s="967"/>
      <c r="F790" s="965"/>
      <c r="G790" s="965"/>
      <c r="H790" s="965"/>
      <c r="I790" s="965"/>
      <c r="J790" s="965"/>
      <c r="K790" s="965"/>
      <c r="L790" s="965"/>
      <c r="M790" s="965"/>
      <c r="N790" s="965"/>
      <c r="O790" s="965"/>
      <c r="P790" s="965"/>
      <c r="Q790" s="945"/>
      <c r="R790" s="945"/>
      <c r="S790" s="945"/>
      <c r="T790" s="945"/>
      <c r="U790" s="945"/>
      <c r="V790" s="945"/>
      <c r="W790" s="945"/>
      <c r="X790" s="945"/>
      <c r="Y790" s="945"/>
      <c r="Z790" s="945"/>
      <c r="AA790" s="945"/>
      <c r="AB790" s="945"/>
    </row>
    <row r="791" ht="20.25" customHeight="1">
      <c r="A791" s="964"/>
      <c r="B791" s="965"/>
      <c r="C791" s="965"/>
      <c r="D791" s="966"/>
      <c r="E791" s="967"/>
      <c r="F791" s="965"/>
      <c r="G791" s="965"/>
      <c r="H791" s="965"/>
      <c r="I791" s="965"/>
      <c r="J791" s="965"/>
      <c r="K791" s="965"/>
      <c r="L791" s="965"/>
      <c r="M791" s="965"/>
      <c r="N791" s="965"/>
      <c r="O791" s="965"/>
      <c r="P791" s="965"/>
      <c r="Q791" s="945"/>
      <c r="R791" s="945"/>
      <c r="S791" s="945"/>
      <c r="T791" s="945"/>
      <c r="U791" s="945"/>
      <c r="V791" s="945"/>
      <c r="W791" s="945"/>
      <c r="X791" s="945"/>
      <c r="Y791" s="945"/>
      <c r="Z791" s="945"/>
      <c r="AA791" s="945"/>
      <c r="AB791" s="945"/>
    </row>
    <row r="792" ht="20.25" customHeight="1">
      <c r="A792" s="964"/>
      <c r="B792" s="965"/>
      <c r="C792" s="965"/>
      <c r="D792" s="966"/>
      <c r="E792" s="967"/>
      <c r="F792" s="965"/>
      <c r="G792" s="965"/>
      <c r="H792" s="965"/>
      <c r="I792" s="965"/>
      <c r="J792" s="965"/>
      <c r="K792" s="965"/>
      <c r="L792" s="965"/>
      <c r="M792" s="965"/>
      <c r="N792" s="965"/>
      <c r="O792" s="965"/>
      <c r="P792" s="965"/>
      <c r="Q792" s="945"/>
      <c r="R792" s="945"/>
      <c r="S792" s="945"/>
      <c r="T792" s="945"/>
      <c r="U792" s="945"/>
      <c r="V792" s="945"/>
      <c r="W792" s="945"/>
      <c r="X792" s="945"/>
      <c r="Y792" s="945"/>
      <c r="Z792" s="945"/>
      <c r="AA792" s="945"/>
      <c r="AB792" s="945"/>
    </row>
    <row r="793" ht="20.25" customHeight="1">
      <c r="A793" s="964"/>
      <c r="B793" s="965"/>
      <c r="C793" s="965"/>
      <c r="D793" s="966"/>
      <c r="E793" s="967"/>
      <c r="F793" s="965"/>
      <c r="G793" s="965"/>
      <c r="H793" s="965"/>
      <c r="I793" s="965"/>
      <c r="J793" s="965"/>
      <c r="K793" s="965"/>
      <c r="L793" s="965"/>
      <c r="M793" s="965"/>
      <c r="N793" s="965"/>
      <c r="O793" s="965"/>
      <c r="P793" s="965"/>
      <c r="Q793" s="945"/>
      <c r="R793" s="945"/>
      <c r="S793" s="945"/>
      <c r="T793" s="945"/>
      <c r="U793" s="945"/>
      <c r="V793" s="945"/>
      <c r="W793" s="945"/>
      <c r="X793" s="945"/>
      <c r="Y793" s="945"/>
      <c r="Z793" s="945"/>
      <c r="AA793" s="945"/>
      <c r="AB793" s="945"/>
    </row>
    <row r="794" ht="20.25" customHeight="1">
      <c r="A794" s="964"/>
      <c r="B794" s="965"/>
      <c r="C794" s="965"/>
      <c r="D794" s="966"/>
      <c r="E794" s="967"/>
      <c r="F794" s="965"/>
      <c r="G794" s="965"/>
      <c r="H794" s="965"/>
      <c r="I794" s="965"/>
      <c r="J794" s="965"/>
      <c r="K794" s="965"/>
      <c r="L794" s="965"/>
      <c r="M794" s="965"/>
      <c r="N794" s="965"/>
      <c r="O794" s="965"/>
      <c r="P794" s="965"/>
      <c r="Q794" s="945"/>
      <c r="R794" s="945"/>
      <c r="S794" s="945"/>
      <c r="T794" s="945"/>
      <c r="U794" s="945"/>
      <c r="V794" s="945"/>
      <c r="W794" s="945"/>
      <c r="X794" s="945"/>
      <c r="Y794" s="945"/>
      <c r="Z794" s="945"/>
      <c r="AA794" s="945"/>
      <c r="AB794" s="945"/>
    </row>
    <row r="795" ht="20.25" customHeight="1">
      <c r="A795" s="964"/>
      <c r="B795" s="965"/>
      <c r="C795" s="965"/>
      <c r="D795" s="966"/>
      <c r="E795" s="967"/>
      <c r="F795" s="965"/>
      <c r="G795" s="965"/>
      <c r="H795" s="965"/>
      <c r="I795" s="965"/>
      <c r="J795" s="965"/>
      <c r="K795" s="965"/>
      <c r="L795" s="965"/>
      <c r="M795" s="965"/>
      <c r="N795" s="965"/>
      <c r="O795" s="965"/>
      <c r="P795" s="965"/>
      <c r="Q795" s="945"/>
      <c r="R795" s="945"/>
      <c r="S795" s="945"/>
      <c r="T795" s="945"/>
      <c r="U795" s="945"/>
      <c r="V795" s="945"/>
      <c r="W795" s="945"/>
      <c r="X795" s="945"/>
      <c r="Y795" s="945"/>
      <c r="Z795" s="945"/>
      <c r="AA795" s="945"/>
      <c r="AB795" s="945"/>
    </row>
    <row r="796" ht="20.25" customHeight="1">
      <c r="A796" s="964"/>
      <c r="B796" s="965"/>
      <c r="C796" s="965"/>
      <c r="D796" s="966"/>
      <c r="E796" s="967"/>
      <c r="F796" s="965"/>
      <c r="G796" s="965"/>
      <c r="H796" s="965"/>
      <c r="I796" s="965"/>
      <c r="J796" s="965"/>
      <c r="K796" s="965"/>
      <c r="L796" s="965"/>
      <c r="M796" s="965"/>
      <c r="N796" s="965"/>
      <c r="O796" s="965"/>
      <c r="P796" s="965"/>
      <c r="Q796" s="945"/>
      <c r="R796" s="945"/>
      <c r="S796" s="945"/>
      <c r="T796" s="945"/>
      <c r="U796" s="945"/>
      <c r="V796" s="945"/>
      <c r="W796" s="945"/>
      <c r="X796" s="945"/>
      <c r="Y796" s="945"/>
      <c r="Z796" s="945"/>
      <c r="AA796" s="945"/>
      <c r="AB796" s="945"/>
    </row>
    <row r="797" ht="20.25" customHeight="1">
      <c r="A797" s="964"/>
      <c r="B797" s="965"/>
      <c r="C797" s="965"/>
      <c r="D797" s="966"/>
      <c r="E797" s="967"/>
      <c r="F797" s="965"/>
      <c r="G797" s="965"/>
      <c r="H797" s="965"/>
      <c r="I797" s="965"/>
      <c r="J797" s="965"/>
      <c r="K797" s="965"/>
      <c r="L797" s="965"/>
      <c r="M797" s="965"/>
      <c r="N797" s="965"/>
      <c r="O797" s="965"/>
      <c r="P797" s="965"/>
      <c r="Q797" s="945"/>
      <c r="R797" s="945"/>
      <c r="S797" s="945"/>
      <c r="T797" s="945"/>
      <c r="U797" s="945"/>
      <c r="V797" s="945"/>
      <c r="W797" s="945"/>
      <c r="X797" s="945"/>
      <c r="Y797" s="945"/>
      <c r="Z797" s="945"/>
      <c r="AA797" s="945"/>
      <c r="AB797" s="945"/>
    </row>
    <row r="798" ht="20.25" customHeight="1">
      <c r="A798" s="964"/>
      <c r="B798" s="965"/>
      <c r="C798" s="965"/>
      <c r="D798" s="966"/>
      <c r="E798" s="967"/>
      <c r="F798" s="965"/>
      <c r="G798" s="965"/>
      <c r="H798" s="965"/>
      <c r="I798" s="965"/>
      <c r="J798" s="965"/>
      <c r="K798" s="965"/>
      <c r="L798" s="965"/>
      <c r="M798" s="965"/>
      <c r="N798" s="965"/>
      <c r="O798" s="965"/>
      <c r="P798" s="965"/>
      <c r="Q798" s="945"/>
      <c r="R798" s="945"/>
      <c r="S798" s="945"/>
      <c r="T798" s="945"/>
      <c r="U798" s="945"/>
      <c r="V798" s="945"/>
      <c r="W798" s="945"/>
      <c r="X798" s="945"/>
      <c r="Y798" s="945"/>
      <c r="Z798" s="945"/>
      <c r="AA798" s="945"/>
      <c r="AB798" s="945"/>
    </row>
    <row r="799" ht="20.25" customHeight="1">
      <c r="A799" s="964"/>
      <c r="B799" s="965"/>
      <c r="C799" s="965"/>
      <c r="D799" s="966"/>
      <c r="E799" s="967"/>
      <c r="F799" s="965"/>
      <c r="G799" s="965"/>
      <c r="H799" s="965"/>
      <c r="I799" s="965"/>
      <c r="J799" s="965"/>
      <c r="K799" s="965"/>
      <c r="L799" s="965"/>
      <c r="M799" s="965"/>
      <c r="N799" s="965"/>
      <c r="O799" s="965"/>
      <c r="P799" s="965"/>
      <c r="Q799" s="945"/>
      <c r="R799" s="945"/>
      <c r="S799" s="945"/>
      <c r="T799" s="945"/>
      <c r="U799" s="945"/>
      <c r="V799" s="945"/>
      <c r="W799" s="945"/>
      <c r="X799" s="945"/>
      <c r="Y799" s="945"/>
      <c r="Z799" s="945"/>
      <c r="AA799" s="945"/>
      <c r="AB799" s="945"/>
    </row>
    <row r="800" ht="20.25" customHeight="1">
      <c r="A800" s="964"/>
      <c r="B800" s="965"/>
      <c r="C800" s="965"/>
      <c r="D800" s="966"/>
      <c r="E800" s="967"/>
      <c r="F800" s="965"/>
      <c r="G800" s="965"/>
      <c r="H800" s="965"/>
      <c r="I800" s="965"/>
      <c r="J800" s="965"/>
      <c r="K800" s="965"/>
      <c r="L800" s="965"/>
      <c r="M800" s="965"/>
      <c r="N800" s="965"/>
      <c r="O800" s="965"/>
      <c r="P800" s="965"/>
      <c r="Q800" s="945"/>
      <c r="R800" s="945"/>
      <c r="S800" s="945"/>
      <c r="T800" s="945"/>
      <c r="U800" s="945"/>
      <c r="V800" s="945"/>
      <c r="W800" s="945"/>
      <c r="X800" s="945"/>
      <c r="Y800" s="945"/>
      <c r="Z800" s="945"/>
      <c r="AA800" s="945"/>
      <c r="AB800" s="945"/>
    </row>
    <row r="801" ht="20.25" customHeight="1">
      <c r="A801" s="964"/>
      <c r="B801" s="965"/>
      <c r="C801" s="965"/>
      <c r="D801" s="966"/>
      <c r="E801" s="967"/>
      <c r="F801" s="965"/>
      <c r="G801" s="965"/>
      <c r="H801" s="965"/>
      <c r="I801" s="965"/>
      <c r="J801" s="965"/>
      <c r="K801" s="965"/>
      <c r="L801" s="965"/>
      <c r="M801" s="965"/>
      <c r="N801" s="965"/>
      <c r="O801" s="965"/>
      <c r="P801" s="965"/>
      <c r="Q801" s="945"/>
      <c r="R801" s="945"/>
      <c r="S801" s="945"/>
      <c r="T801" s="945"/>
      <c r="U801" s="945"/>
      <c r="V801" s="945"/>
      <c r="W801" s="945"/>
      <c r="X801" s="945"/>
      <c r="Y801" s="945"/>
      <c r="Z801" s="945"/>
      <c r="AA801" s="945"/>
      <c r="AB801" s="945"/>
    </row>
    <row r="802" ht="20.25" customHeight="1">
      <c r="A802" s="964"/>
      <c r="B802" s="965"/>
      <c r="C802" s="965"/>
      <c r="D802" s="966"/>
      <c r="E802" s="967"/>
      <c r="F802" s="965"/>
      <c r="G802" s="965"/>
      <c r="H802" s="965"/>
      <c r="I802" s="965"/>
      <c r="J802" s="965"/>
      <c r="K802" s="965"/>
      <c r="L802" s="965"/>
      <c r="M802" s="965"/>
      <c r="N802" s="965"/>
      <c r="O802" s="965"/>
      <c r="P802" s="965"/>
      <c r="Q802" s="945"/>
      <c r="R802" s="945"/>
      <c r="S802" s="945"/>
      <c r="T802" s="945"/>
      <c r="U802" s="945"/>
      <c r="V802" s="945"/>
      <c r="W802" s="945"/>
      <c r="X802" s="945"/>
      <c r="Y802" s="945"/>
      <c r="Z802" s="945"/>
      <c r="AA802" s="945"/>
      <c r="AB802" s="945"/>
    </row>
    <row r="803" ht="20.25" customHeight="1">
      <c r="A803" s="964"/>
      <c r="B803" s="965"/>
      <c r="C803" s="965"/>
      <c r="D803" s="966"/>
      <c r="E803" s="967"/>
      <c r="F803" s="965"/>
      <c r="G803" s="965"/>
      <c r="H803" s="965"/>
      <c r="I803" s="965"/>
      <c r="J803" s="965"/>
      <c r="K803" s="965"/>
      <c r="L803" s="965"/>
      <c r="M803" s="965"/>
      <c r="N803" s="965"/>
      <c r="O803" s="965"/>
      <c r="P803" s="965"/>
      <c r="Q803" s="945"/>
      <c r="R803" s="945"/>
      <c r="S803" s="945"/>
      <c r="T803" s="945"/>
      <c r="U803" s="945"/>
      <c r="V803" s="945"/>
      <c r="W803" s="945"/>
      <c r="X803" s="945"/>
      <c r="Y803" s="945"/>
      <c r="Z803" s="945"/>
      <c r="AA803" s="945"/>
      <c r="AB803" s="945"/>
    </row>
    <row r="804" ht="20.25" customHeight="1">
      <c r="A804" s="964"/>
      <c r="B804" s="965"/>
      <c r="C804" s="965"/>
      <c r="D804" s="966"/>
      <c r="E804" s="967"/>
      <c r="F804" s="965"/>
      <c r="G804" s="965"/>
      <c r="H804" s="965"/>
      <c r="I804" s="965"/>
      <c r="J804" s="965"/>
      <c r="K804" s="965"/>
      <c r="L804" s="965"/>
      <c r="M804" s="965"/>
      <c r="N804" s="965"/>
      <c r="O804" s="965"/>
      <c r="P804" s="965"/>
      <c r="Q804" s="945"/>
      <c r="R804" s="945"/>
      <c r="S804" s="945"/>
      <c r="T804" s="945"/>
      <c r="U804" s="945"/>
      <c r="V804" s="945"/>
      <c r="W804" s="945"/>
      <c r="X804" s="945"/>
      <c r="Y804" s="945"/>
      <c r="Z804" s="945"/>
      <c r="AA804" s="945"/>
      <c r="AB804" s="945"/>
    </row>
    <row r="805" ht="20.25" customHeight="1">
      <c r="A805" s="964"/>
      <c r="B805" s="965"/>
      <c r="C805" s="965"/>
      <c r="D805" s="966"/>
      <c r="E805" s="967"/>
      <c r="F805" s="965"/>
      <c r="G805" s="965"/>
      <c r="H805" s="965"/>
      <c r="I805" s="965"/>
      <c r="J805" s="965"/>
      <c r="K805" s="965"/>
      <c r="L805" s="965"/>
      <c r="M805" s="965"/>
      <c r="N805" s="965"/>
      <c r="O805" s="965"/>
      <c r="P805" s="965"/>
      <c r="Q805" s="945"/>
      <c r="R805" s="945"/>
      <c r="S805" s="945"/>
      <c r="T805" s="945"/>
      <c r="U805" s="945"/>
      <c r="V805" s="945"/>
      <c r="W805" s="945"/>
      <c r="X805" s="945"/>
      <c r="Y805" s="945"/>
      <c r="Z805" s="945"/>
      <c r="AA805" s="945"/>
      <c r="AB805" s="945"/>
    </row>
    <row r="806" ht="20.25" customHeight="1">
      <c r="A806" s="964"/>
      <c r="B806" s="965"/>
      <c r="C806" s="965"/>
      <c r="D806" s="966"/>
      <c r="E806" s="967"/>
      <c r="F806" s="965"/>
      <c r="G806" s="965"/>
      <c r="H806" s="965"/>
      <c r="I806" s="965"/>
      <c r="J806" s="965"/>
      <c r="K806" s="965"/>
      <c r="L806" s="965"/>
      <c r="M806" s="965"/>
      <c r="N806" s="965"/>
      <c r="O806" s="965"/>
      <c r="P806" s="965"/>
      <c r="Q806" s="945"/>
      <c r="R806" s="945"/>
      <c r="S806" s="945"/>
      <c r="T806" s="945"/>
      <c r="U806" s="945"/>
      <c r="V806" s="945"/>
      <c r="W806" s="945"/>
      <c r="X806" s="945"/>
      <c r="Y806" s="945"/>
      <c r="Z806" s="945"/>
      <c r="AA806" s="945"/>
      <c r="AB806" s="945"/>
    </row>
    <row r="807" ht="20.25" customHeight="1">
      <c r="A807" s="964"/>
      <c r="B807" s="965"/>
      <c r="C807" s="965"/>
      <c r="D807" s="966"/>
      <c r="E807" s="967"/>
      <c r="F807" s="965"/>
      <c r="G807" s="965"/>
      <c r="H807" s="965"/>
      <c r="I807" s="965"/>
      <c r="J807" s="965"/>
      <c r="K807" s="965"/>
      <c r="L807" s="965"/>
      <c r="M807" s="965"/>
      <c r="N807" s="965"/>
      <c r="O807" s="965"/>
      <c r="P807" s="965"/>
      <c r="Q807" s="945"/>
      <c r="R807" s="945"/>
      <c r="S807" s="945"/>
      <c r="T807" s="945"/>
      <c r="U807" s="945"/>
      <c r="V807" s="945"/>
      <c r="W807" s="945"/>
      <c r="X807" s="945"/>
      <c r="Y807" s="945"/>
      <c r="Z807" s="945"/>
      <c r="AA807" s="945"/>
      <c r="AB807" s="945"/>
    </row>
    <row r="808" ht="20.25" customHeight="1">
      <c r="A808" s="964"/>
      <c r="B808" s="965"/>
      <c r="C808" s="965"/>
      <c r="D808" s="966"/>
      <c r="E808" s="967"/>
      <c r="F808" s="965"/>
      <c r="G808" s="965"/>
      <c r="H808" s="965"/>
      <c r="I808" s="965"/>
      <c r="J808" s="965"/>
      <c r="K808" s="965"/>
      <c r="L808" s="965"/>
      <c r="M808" s="965"/>
      <c r="N808" s="965"/>
      <c r="O808" s="965"/>
      <c r="P808" s="965"/>
      <c r="Q808" s="945"/>
      <c r="R808" s="945"/>
      <c r="S808" s="945"/>
      <c r="T808" s="945"/>
      <c r="U808" s="945"/>
      <c r="V808" s="945"/>
      <c r="W808" s="945"/>
      <c r="X808" s="945"/>
      <c r="Y808" s="945"/>
      <c r="Z808" s="945"/>
      <c r="AA808" s="945"/>
      <c r="AB808" s="945"/>
    </row>
    <row r="809" ht="20.25" customHeight="1">
      <c r="A809" s="964"/>
      <c r="B809" s="965"/>
      <c r="C809" s="965"/>
      <c r="D809" s="966"/>
      <c r="E809" s="967"/>
      <c r="F809" s="965"/>
      <c r="G809" s="965"/>
      <c r="H809" s="965"/>
      <c r="I809" s="965"/>
      <c r="J809" s="965"/>
      <c r="K809" s="965"/>
      <c r="L809" s="965"/>
      <c r="M809" s="965"/>
      <c r="N809" s="965"/>
      <c r="O809" s="965"/>
      <c r="P809" s="965"/>
      <c r="Q809" s="945"/>
      <c r="R809" s="945"/>
      <c r="S809" s="945"/>
      <c r="T809" s="945"/>
      <c r="U809" s="945"/>
      <c r="V809" s="945"/>
      <c r="W809" s="945"/>
      <c r="X809" s="945"/>
      <c r="Y809" s="945"/>
      <c r="Z809" s="945"/>
      <c r="AA809" s="945"/>
      <c r="AB809" s="945"/>
    </row>
    <row r="810" ht="20.25" customHeight="1">
      <c r="A810" s="964"/>
      <c r="B810" s="965"/>
      <c r="C810" s="965"/>
      <c r="D810" s="966"/>
      <c r="E810" s="967"/>
      <c r="F810" s="965"/>
      <c r="G810" s="965"/>
      <c r="H810" s="965"/>
      <c r="I810" s="965"/>
      <c r="J810" s="965"/>
      <c r="K810" s="965"/>
      <c r="L810" s="965"/>
      <c r="M810" s="965"/>
      <c r="N810" s="965"/>
      <c r="O810" s="965"/>
      <c r="P810" s="965"/>
      <c r="Q810" s="945"/>
      <c r="R810" s="945"/>
      <c r="S810" s="945"/>
      <c r="T810" s="945"/>
      <c r="U810" s="945"/>
      <c r="V810" s="945"/>
      <c r="W810" s="945"/>
      <c r="X810" s="945"/>
      <c r="Y810" s="945"/>
      <c r="Z810" s="945"/>
      <c r="AA810" s="945"/>
      <c r="AB810" s="945"/>
    </row>
    <row r="811" ht="20.25" customHeight="1">
      <c r="A811" s="964"/>
      <c r="B811" s="965"/>
      <c r="C811" s="965"/>
      <c r="D811" s="966"/>
      <c r="E811" s="967"/>
      <c r="F811" s="965"/>
      <c r="G811" s="965"/>
      <c r="H811" s="965"/>
      <c r="I811" s="965"/>
      <c r="J811" s="965"/>
      <c r="K811" s="965"/>
      <c r="L811" s="965"/>
      <c r="M811" s="965"/>
      <c r="N811" s="965"/>
      <c r="O811" s="965"/>
      <c r="P811" s="965"/>
      <c r="Q811" s="945"/>
      <c r="R811" s="945"/>
      <c r="S811" s="945"/>
      <c r="T811" s="945"/>
      <c r="U811" s="945"/>
      <c r="V811" s="945"/>
      <c r="W811" s="945"/>
      <c r="X811" s="945"/>
      <c r="Y811" s="945"/>
      <c r="Z811" s="945"/>
      <c r="AA811" s="945"/>
      <c r="AB811" s="945"/>
    </row>
    <row r="812" ht="20.25" customHeight="1">
      <c r="A812" s="964"/>
      <c r="B812" s="965"/>
      <c r="C812" s="965"/>
      <c r="D812" s="966"/>
      <c r="E812" s="967"/>
      <c r="F812" s="965"/>
      <c r="G812" s="965"/>
      <c r="H812" s="965"/>
      <c r="I812" s="965"/>
      <c r="J812" s="965"/>
      <c r="K812" s="965"/>
      <c r="L812" s="965"/>
      <c r="M812" s="965"/>
      <c r="N812" s="965"/>
      <c r="O812" s="965"/>
      <c r="P812" s="965"/>
      <c r="Q812" s="945"/>
      <c r="R812" s="945"/>
      <c r="S812" s="945"/>
      <c r="T812" s="945"/>
      <c r="U812" s="945"/>
      <c r="V812" s="945"/>
      <c r="W812" s="945"/>
      <c r="X812" s="945"/>
      <c r="Y812" s="945"/>
      <c r="Z812" s="945"/>
      <c r="AA812" s="945"/>
      <c r="AB812" s="945"/>
    </row>
    <row r="813" ht="20.25" customHeight="1">
      <c r="A813" s="964"/>
      <c r="B813" s="965"/>
      <c r="C813" s="965"/>
      <c r="D813" s="966"/>
      <c r="E813" s="967"/>
      <c r="F813" s="965"/>
      <c r="G813" s="965"/>
      <c r="H813" s="965"/>
      <c r="I813" s="965"/>
      <c r="J813" s="965"/>
      <c r="K813" s="965"/>
      <c r="L813" s="965"/>
      <c r="M813" s="965"/>
      <c r="N813" s="965"/>
      <c r="O813" s="965"/>
      <c r="P813" s="965"/>
      <c r="Q813" s="945"/>
      <c r="R813" s="945"/>
      <c r="S813" s="945"/>
      <c r="T813" s="945"/>
      <c r="U813" s="945"/>
      <c r="V813" s="945"/>
      <c r="W813" s="945"/>
      <c r="X813" s="945"/>
      <c r="Y813" s="945"/>
      <c r="Z813" s="945"/>
      <c r="AA813" s="945"/>
      <c r="AB813" s="945"/>
    </row>
    <row r="814" ht="20.25" customHeight="1">
      <c r="A814" s="964"/>
      <c r="B814" s="965"/>
      <c r="C814" s="965"/>
      <c r="D814" s="966"/>
      <c r="E814" s="967"/>
      <c r="F814" s="965"/>
      <c r="G814" s="965"/>
      <c r="H814" s="965"/>
      <c r="I814" s="965"/>
      <c r="J814" s="965"/>
      <c r="K814" s="965"/>
      <c r="L814" s="965"/>
      <c r="M814" s="965"/>
      <c r="N814" s="965"/>
      <c r="O814" s="965"/>
      <c r="P814" s="965"/>
      <c r="Q814" s="945"/>
      <c r="R814" s="945"/>
      <c r="S814" s="945"/>
      <c r="T814" s="945"/>
      <c r="U814" s="945"/>
      <c r="V814" s="945"/>
      <c r="W814" s="945"/>
      <c r="X814" s="945"/>
      <c r="Y814" s="945"/>
      <c r="Z814" s="945"/>
      <c r="AA814" s="945"/>
      <c r="AB814" s="945"/>
    </row>
    <row r="815" ht="20.25" customHeight="1">
      <c r="A815" s="964"/>
      <c r="B815" s="965"/>
      <c r="C815" s="965"/>
      <c r="D815" s="966"/>
      <c r="E815" s="967"/>
      <c r="F815" s="965"/>
      <c r="G815" s="965"/>
      <c r="H815" s="965"/>
      <c r="I815" s="965"/>
      <c r="J815" s="965"/>
      <c r="K815" s="965"/>
      <c r="L815" s="965"/>
      <c r="M815" s="965"/>
      <c r="N815" s="965"/>
      <c r="O815" s="965"/>
      <c r="P815" s="965"/>
      <c r="Q815" s="945"/>
      <c r="R815" s="945"/>
      <c r="S815" s="945"/>
      <c r="T815" s="945"/>
      <c r="U815" s="945"/>
      <c r="V815" s="945"/>
      <c r="W815" s="945"/>
      <c r="X815" s="945"/>
      <c r="Y815" s="945"/>
      <c r="Z815" s="945"/>
      <c r="AA815" s="945"/>
      <c r="AB815" s="945"/>
    </row>
    <row r="816" ht="20.25" customHeight="1">
      <c r="A816" s="964"/>
      <c r="B816" s="965"/>
      <c r="C816" s="965"/>
      <c r="D816" s="966"/>
      <c r="E816" s="967"/>
      <c r="F816" s="965"/>
      <c r="G816" s="965"/>
      <c r="H816" s="965"/>
      <c r="I816" s="965"/>
      <c r="J816" s="965"/>
      <c r="K816" s="965"/>
      <c r="L816" s="965"/>
      <c r="M816" s="965"/>
      <c r="N816" s="965"/>
      <c r="O816" s="965"/>
      <c r="P816" s="965"/>
      <c r="Q816" s="945"/>
      <c r="R816" s="945"/>
      <c r="S816" s="945"/>
      <c r="T816" s="945"/>
      <c r="U816" s="945"/>
      <c r="V816" s="945"/>
      <c r="W816" s="945"/>
      <c r="X816" s="945"/>
      <c r="Y816" s="945"/>
      <c r="Z816" s="945"/>
      <c r="AA816" s="945"/>
      <c r="AB816" s="945"/>
    </row>
    <row r="817" ht="20.25" customHeight="1">
      <c r="A817" s="964"/>
      <c r="B817" s="965"/>
      <c r="C817" s="965"/>
      <c r="D817" s="966"/>
      <c r="E817" s="967"/>
      <c r="F817" s="965"/>
      <c r="G817" s="965"/>
      <c r="H817" s="965"/>
      <c r="I817" s="965"/>
      <c r="J817" s="965"/>
      <c r="K817" s="965"/>
      <c r="L817" s="965"/>
      <c r="M817" s="965"/>
      <c r="N817" s="965"/>
      <c r="O817" s="965"/>
      <c r="P817" s="965"/>
      <c r="Q817" s="945"/>
      <c r="R817" s="945"/>
      <c r="S817" s="945"/>
      <c r="T817" s="945"/>
      <c r="U817" s="945"/>
      <c r="V817" s="945"/>
      <c r="W817" s="945"/>
      <c r="X817" s="945"/>
      <c r="Y817" s="945"/>
      <c r="Z817" s="945"/>
      <c r="AA817" s="945"/>
      <c r="AB817" s="945"/>
    </row>
    <row r="818" ht="20.25" customHeight="1">
      <c r="A818" s="964"/>
      <c r="B818" s="965"/>
      <c r="C818" s="965"/>
      <c r="D818" s="966"/>
      <c r="E818" s="967"/>
      <c r="F818" s="965"/>
      <c r="G818" s="965"/>
      <c r="H818" s="965"/>
      <c r="I818" s="965"/>
      <c r="J818" s="965"/>
      <c r="K818" s="965"/>
      <c r="L818" s="965"/>
      <c r="M818" s="965"/>
      <c r="N818" s="965"/>
      <c r="O818" s="965"/>
      <c r="P818" s="965"/>
      <c r="Q818" s="945"/>
      <c r="R818" s="945"/>
      <c r="S818" s="945"/>
      <c r="T818" s="945"/>
      <c r="U818" s="945"/>
      <c r="V818" s="945"/>
      <c r="W818" s="945"/>
      <c r="X818" s="945"/>
      <c r="Y818" s="945"/>
      <c r="Z818" s="945"/>
      <c r="AA818" s="945"/>
      <c r="AB818" s="945"/>
    </row>
    <row r="819" ht="20.25" customHeight="1">
      <c r="A819" s="964"/>
      <c r="B819" s="965"/>
      <c r="C819" s="965"/>
      <c r="D819" s="966"/>
      <c r="E819" s="967"/>
      <c r="F819" s="965"/>
      <c r="G819" s="965"/>
      <c r="H819" s="965"/>
      <c r="I819" s="965"/>
      <c r="J819" s="965"/>
      <c r="K819" s="965"/>
      <c r="L819" s="965"/>
      <c r="M819" s="965"/>
      <c r="N819" s="965"/>
      <c r="O819" s="965"/>
      <c r="P819" s="965"/>
      <c r="Q819" s="945"/>
      <c r="R819" s="945"/>
      <c r="S819" s="945"/>
      <c r="T819" s="945"/>
      <c r="U819" s="945"/>
      <c r="V819" s="945"/>
      <c r="W819" s="945"/>
      <c r="X819" s="945"/>
      <c r="Y819" s="945"/>
      <c r="Z819" s="945"/>
      <c r="AA819" s="945"/>
      <c r="AB819" s="945"/>
    </row>
    <row r="820" ht="20.25" customHeight="1">
      <c r="A820" s="964"/>
      <c r="B820" s="965"/>
      <c r="C820" s="965"/>
      <c r="D820" s="966"/>
      <c r="E820" s="967"/>
      <c r="F820" s="965"/>
      <c r="G820" s="965"/>
      <c r="H820" s="965"/>
      <c r="I820" s="965"/>
      <c r="J820" s="965"/>
      <c r="K820" s="965"/>
      <c r="L820" s="965"/>
      <c r="M820" s="965"/>
      <c r="N820" s="965"/>
      <c r="O820" s="965"/>
      <c r="P820" s="965"/>
      <c r="Q820" s="945"/>
      <c r="R820" s="945"/>
      <c r="S820" s="945"/>
      <c r="T820" s="945"/>
      <c r="U820" s="945"/>
      <c r="V820" s="945"/>
      <c r="W820" s="945"/>
      <c r="X820" s="945"/>
      <c r="Y820" s="945"/>
      <c r="Z820" s="945"/>
      <c r="AA820" s="945"/>
      <c r="AB820" s="945"/>
    </row>
    <row r="821" ht="20.25" customHeight="1">
      <c r="A821" s="964"/>
      <c r="B821" s="965"/>
      <c r="C821" s="965"/>
      <c r="D821" s="966"/>
      <c r="E821" s="967"/>
      <c r="F821" s="965"/>
      <c r="G821" s="965"/>
      <c r="H821" s="965"/>
      <c r="I821" s="965"/>
      <c r="J821" s="965"/>
      <c r="K821" s="965"/>
      <c r="L821" s="965"/>
      <c r="M821" s="965"/>
      <c r="N821" s="965"/>
      <c r="O821" s="965"/>
      <c r="P821" s="965"/>
      <c r="Q821" s="945"/>
      <c r="R821" s="945"/>
      <c r="S821" s="945"/>
      <c r="T821" s="945"/>
      <c r="U821" s="945"/>
      <c r="V821" s="945"/>
      <c r="W821" s="945"/>
      <c r="X821" s="945"/>
      <c r="Y821" s="945"/>
      <c r="Z821" s="945"/>
      <c r="AA821" s="945"/>
      <c r="AB821" s="945"/>
    </row>
    <row r="822" ht="20.25" customHeight="1">
      <c r="A822" s="964"/>
      <c r="B822" s="965"/>
      <c r="C822" s="965"/>
      <c r="D822" s="966"/>
      <c r="E822" s="967"/>
      <c r="F822" s="965"/>
      <c r="G822" s="965"/>
      <c r="H822" s="965"/>
      <c r="I822" s="965"/>
      <c r="J822" s="965"/>
      <c r="K822" s="965"/>
      <c r="L822" s="965"/>
      <c r="M822" s="965"/>
      <c r="N822" s="965"/>
      <c r="O822" s="965"/>
      <c r="P822" s="965"/>
      <c r="Q822" s="945"/>
      <c r="R822" s="945"/>
      <c r="S822" s="945"/>
      <c r="T822" s="945"/>
      <c r="U822" s="945"/>
      <c r="V822" s="945"/>
      <c r="W822" s="945"/>
      <c r="X822" s="945"/>
      <c r="Y822" s="945"/>
      <c r="Z822" s="945"/>
      <c r="AA822" s="945"/>
      <c r="AB822" s="945"/>
    </row>
    <row r="823" ht="20.25" customHeight="1">
      <c r="A823" s="964"/>
      <c r="B823" s="965"/>
      <c r="C823" s="965"/>
      <c r="D823" s="966"/>
      <c r="E823" s="967"/>
      <c r="F823" s="965"/>
      <c r="G823" s="965"/>
      <c r="H823" s="965"/>
      <c r="I823" s="965"/>
      <c r="J823" s="965"/>
      <c r="K823" s="965"/>
      <c r="L823" s="965"/>
      <c r="M823" s="965"/>
      <c r="N823" s="965"/>
      <c r="O823" s="965"/>
      <c r="P823" s="965"/>
      <c r="Q823" s="945"/>
      <c r="R823" s="945"/>
      <c r="S823" s="945"/>
      <c r="T823" s="945"/>
      <c r="U823" s="945"/>
      <c r="V823" s="945"/>
      <c r="W823" s="945"/>
      <c r="X823" s="945"/>
      <c r="Y823" s="945"/>
      <c r="Z823" s="945"/>
      <c r="AA823" s="945"/>
      <c r="AB823" s="945"/>
    </row>
    <row r="824" ht="20.25" customHeight="1">
      <c r="A824" s="964"/>
      <c r="B824" s="965"/>
      <c r="C824" s="965"/>
      <c r="D824" s="966"/>
      <c r="E824" s="967"/>
      <c r="F824" s="965"/>
      <c r="G824" s="965"/>
      <c r="H824" s="965"/>
      <c r="I824" s="965"/>
      <c r="J824" s="965"/>
      <c r="K824" s="965"/>
      <c r="L824" s="965"/>
      <c r="M824" s="965"/>
      <c r="N824" s="965"/>
      <c r="O824" s="965"/>
      <c r="P824" s="965"/>
      <c r="Q824" s="945"/>
      <c r="R824" s="945"/>
      <c r="S824" s="945"/>
      <c r="T824" s="945"/>
      <c r="U824" s="945"/>
      <c r="V824" s="945"/>
      <c r="W824" s="945"/>
      <c r="X824" s="945"/>
      <c r="Y824" s="945"/>
      <c r="Z824" s="945"/>
      <c r="AA824" s="945"/>
      <c r="AB824" s="945"/>
    </row>
    <row r="825" ht="20.25" customHeight="1">
      <c r="A825" s="964"/>
      <c r="B825" s="965"/>
      <c r="C825" s="965"/>
      <c r="D825" s="966"/>
      <c r="E825" s="967"/>
      <c r="F825" s="965"/>
      <c r="G825" s="965"/>
      <c r="H825" s="965"/>
      <c r="I825" s="965"/>
      <c r="J825" s="965"/>
      <c r="K825" s="965"/>
      <c r="L825" s="965"/>
      <c r="M825" s="965"/>
      <c r="N825" s="965"/>
      <c r="O825" s="965"/>
      <c r="P825" s="965"/>
      <c r="Q825" s="945"/>
      <c r="R825" s="945"/>
      <c r="S825" s="945"/>
      <c r="T825" s="945"/>
      <c r="U825" s="945"/>
      <c r="V825" s="945"/>
      <c r="W825" s="945"/>
      <c r="X825" s="945"/>
      <c r="Y825" s="945"/>
      <c r="Z825" s="945"/>
      <c r="AA825" s="945"/>
      <c r="AB825" s="945"/>
    </row>
    <row r="826" ht="20.25" customHeight="1">
      <c r="A826" s="964"/>
      <c r="B826" s="965"/>
      <c r="C826" s="965"/>
      <c r="D826" s="966"/>
      <c r="E826" s="967"/>
      <c r="F826" s="965"/>
      <c r="G826" s="965"/>
      <c r="H826" s="965"/>
      <c r="I826" s="965"/>
      <c r="J826" s="965"/>
      <c r="K826" s="965"/>
      <c r="L826" s="965"/>
      <c r="M826" s="965"/>
      <c r="N826" s="965"/>
      <c r="O826" s="965"/>
      <c r="P826" s="965"/>
      <c r="Q826" s="945"/>
      <c r="R826" s="945"/>
      <c r="S826" s="945"/>
      <c r="T826" s="945"/>
      <c r="U826" s="945"/>
      <c r="V826" s="945"/>
      <c r="W826" s="945"/>
      <c r="X826" s="945"/>
      <c r="Y826" s="945"/>
      <c r="Z826" s="945"/>
      <c r="AA826" s="945"/>
      <c r="AB826" s="945"/>
    </row>
    <row r="827" ht="20.25" customHeight="1">
      <c r="A827" s="964"/>
      <c r="B827" s="965"/>
      <c r="C827" s="965"/>
      <c r="D827" s="966"/>
      <c r="E827" s="967"/>
      <c r="F827" s="965"/>
      <c r="G827" s="965"/>
      <c r="H827" s="965"/>
      <c r="I827" s="965"/>
      <c r="J827" s="965"/>
      <c r="K827" s="965"/>
      <c r="L827" s="965"/>
      <c r="M827" s="965"/>
      <c r="N827" s="965"/>
      <c r="O827" s="965"/>
      <c r="P827" s="965"/>
      <c r="Q827" s="945"/>
      <c r="R827" s="945"/>
      <c r="S827" s="945"/>
      <c r="T827" s="945"/>
      <c r="U827" s="945"/>
      <c r="V827" s="945"/>
      <c r="W827" s="945"/>
      <c r="X827" s="945"/>
      <c r="Y827" s="945"/>
      <c r="Z827" s="945"/>
      <c r="AA827" s="945"/>
      <c r="AB827" s="945"/>
    </row>
    <row r="828" ht="20.25" customHeight="1">
      <c r="A828" s="964"/>
      <c r="B828" s="965"/>
      <c r="C828" s="965"/>
      <c r="D828" s="966"/>
      <c r="E828" s="967"/>
      <c r="F828" s="965"/>
      <c r="G828" s="965"/>
      <c r="H828" s="965"/>
      <c r="I828" s="965"/>
      <c r="J828" s="965"/>
      <c r="K828" s="965"/>
      <c r="L828" s="965"/>
      <c r="M828" s="965"/>
      <c r="N828" s="965"/>
      <c r="O828" s="965"/>
      <c r="P828" s="965"/>
      <c r="Q828" s="945"/>
      <c r="R828" s="945"/>
      <c r="S828" s="945"/>
      <c r="T828" s="945"/>
      <c r="U828" s="945"/>
      <c r="V828" s="945"/>
      <c r="W828" s="945"/>
      <c r="X828" s="945"/>
      <c r="Y828" s="945"/>
      <c r="Z828" s="945"/>
      <c r="AA828" s="945"/>
      <c r="AB828" s="945"/>
    </row>
    <row r="829" ht="20.25" customHeight="1">
      <c r="A829" s="964"/>
      <c r="B829" s="965"/>
      <c r="C829" s="965"/>
      <c r="D829" s="966"/>
      <c r="E829" s="967"/>
      <c r="F829" s="965"/>
      <c r="G829" s="965"/>
      <c r="H829" s="965"/>
      <c r="I829" s="965"/>
      <c r="J829" s="965"/>
      <c r="K829" s="965"/>
      <c r="L829" s="965"/>
      <c r="M829" s="965"/>
      <c r="N829" s="965"/>
      <c r="O829" s="965"/>
      <c r="P829" s="965"/>
      <c r="Q829" s="945"/>
      <c r="R829" s="945"/>
      <c r="S829" s="945"/>
      <c r="T829" s="945"/>
      <c r="U829" s="945"/>
      <c r="V829" s="945"/>
      <c r="W829" s="945"/>
      <c r="X829" s="945"/>
      <c r="Y829" s="945"/>
      <c r="Z829" s="945"/>
      <c r="AA829" s="945"/>
      <c r="AB829" s="945"/>
    </row>
    <row r="830" ht="20.25" customHeight="1">
      <c r="A830" s="964"/>
      <c r="B830" s="965"/>
      <c r="C830" s="965"/>
      <c r="D830" s="966"/>
      <c r="E830" s="967"/>
      <c r="F830" s="965"/>
      <c r="G830" s="965"/>
      <c r="H830" s="965"/>
      <c r="I830" s="965"/>
      <c r="J830" s="965"/>
      <c r="K830" s="965"/>
      <c r="L830" s="965"/>
      <c r="M830" s="965"/>
      <c r="N830" s="965"/>
      <c r="O830" s="965"/>
      <c r="P830" s="965"/>
      <c r="Q830" s="945"/>
      <c r="R830" s="945"/>
      <c r="S830" s="945"/>
      <c r="T830" s="945"/>
      <c r="U830" s="945"/>
      <c r="V830" s="945"/>
      <c r="W830" s="945"/>
      <c r="X830" s="945"/>
      <c r="Y830" s="945"/>
      <c r="Z830" s="945"/>
      <c r="AA830" s="945"/>
      <c r="AB830" s="945"/>
    </row>
    <row r="831" ht="20.25" customHeight="1">
      <c r="A831" s="964"/>
      <c r="B831" s="965"/>
      <c r="C831" s="965"/>
      <c r="D831" s="966"/>
      <c r="E831" s="967"/>
      <c r="F831" s="965"/>
      <c r="G831" s="965"/>
      <c r="H831" s="965"/>
      <c r="I831" s="965"/>
      <c r="J831" s="965"/>
      <c r="K831" s="965"/>
      <c r="L831" s="965"/>
      <c r="M831" s="965"/>
      <c r="N831" s="965"/>
      <c r="O831" s="965"/>
      <c r="P831" s="965"/>
      <c r="Q831" s="945"/>
      <c r="R831" s="945"/>
      <c r="S831" s="945"/>
      <c r="T831" s="945"/>
      <c r="U831" s="945"/>
      <c r="V831" s="945"/>
      <c r="W831" s="945"/>
      <c r="X831" s="945"/>
      <c r="Y831" s="945"/>
      <c r="Z831" s="945"/>
      <c r="AA831" s="945"/>
      <c r="AB831" s="945"/>
    </row>
    <row r="832" ht="20.25" customHeight="1">
      <c r="A832" s="964"/>
      <c r="B832" s="965"/>
      <c r="C832" s="965"/>
      <c r="D832" s="966"/>
      <c r="E832" s="967"/>
      <c r="F832" s="965"/>
      <c r="G832" s="965"/>
      <c r="H832" s="965"/>
      <c r="I832" s="965"/>
      <c r="J832" s="965"/>
      <c r="K832" s="965"/>
      <c r="L832" s="965"/>
      <c r="M832" s="965"/>
      <c r="N832" s="965"/>
      <c r="O832" s="965"/>
      <c r="P832" s="965"/>
      <c r="Q832" s="945"/>
      <c r="R832" s="945"/>
      <c r="S832" s="945"/>
      <c r="T832" s="945"/>
      <c r="U832" s="945"/>
      <c r="V832" s="945"/>
      <c r="W832" s="945"/>
      <c r="X832" s="945"/>
      <c r="Y832" s="945"/>
      <c r="Z832" s="945"/>
      <c r="AA832" s="945"/>
      <c r="AB832" s="945"/>
    </row>
    <row r="833" ht="20.25" customHeight="1">
      <c r="A833" s="964"/>
      <c r="B833" s="965"/>
      <c r="C833" s="965"/>
      <c r="D833" s="966"/>
      <c r="E833" s="967"/>
      <c r="F833" s="965"/>
      <c r="G833" s="965"/>
      <c r="H833" s="965"/>
      <c r="I833" s="965"/>
      <c r="J833" s="965"/>
      <c r="K833" s="965"/>
      <c r="L833" s="965"/>
      <c r="M833" s="965"/>
      <c r="N833" s="965"/>
      <c r="O833" s="965"/>
      <c r="P833" s="965"/>
      <c r="Q833" s="945"/>
      <c r="R833" s="945"/>
      <c r="S833" s="945"/>
      <c r="T833" s="945"/>
      <c r="U833" s="945"/>
      <c r="V833" s="945"/>
      <c r="W833" s="945"/>
      <c r="X833" s="945"/>
      <c r="Y833" s="945"/>
      <c r="Z833" s="945"/>
      <c r="AA833" s="945"/>
      <c r="AB833" s="945"/>
    </row>
    <row r="834" ht="20.25" customHeight="1">
      <c r="A834" s="964"/>
      <c r="B834" s="965"/>
      <c r="C834" s="965"/>
      <c r="D834" s="966"/>
      <c r="E834" s="967"/>
      <c r="F834" s="965"/>
      <c r="G834" s="965"/>
      <c r="H834" s="965"/>
      <c r="I834" s="965"/>
      <c r="J834" s="965"/>
      <c r="K834" s="965"/>
      <c r="L834" s="965"/>
      <c r="M834" s="965"/>
      <c r="N834" s="965"/>
      <c r="O834" s="965"/>
      <c r="P834" s="965"/>
      <c r="Q834" s="945"/>
      <c r="R834" s="945"/>
      <c r="S834" s="945"/>
      <c r="T834" s="945"/>
      <c r="U834" s="945"/>
      <c r="V834" s="945"/>
      <c r="W834" s="945"/>
      <c r="X834" s="945"/>
      <c r="Y834" s="945"/>
      <c r="Z834" s="945"/>
      <c r="AA834" s="945"/>
      <c r="AB834" s="945"/>
    </row>
    <row r="835" ht="20.25" customHeight="1">
      <c r="A835" s="964"/>
      <c r="B835" s="965"/>
      <c r="C835" s="965"/>
      <c r="D835" s="966"/>
      <c r="E835" s="967"/>
      <c r="F835" s="965"/>
      <c r="G835" s="965"/>
      <c r="H835" s="965"/>
      <c r="I835" s="965"/>
      <c r="J835" s="965"/>
      <c r="K835" s="965"/>
      <c r="L835" s="965"/>
      <c r="M835" s="965"/>
      <c r="N835" s="965"/>
      <c r="O835" s="965"/>
      <c r="P835" s="965"/>
      <c r="Q835" s="945"/>
      <c r="R835" s="945"/>
      <c r="S835" s="945"/>
      <c r="T835" s="945"/>
      <c r="U835" s="945"/>
      <c r="V835" s="945"/>
      <c r="W835" s="945"/>
      <c r="X835" s="945"/>
      <c r="Y835" s="945"/>
      <c r="Z835" s="945"/>
      <c r="AA835" s="945"/>
      <c r="AB835" s="945"/>
    </row>
    <row r="836" ht="20.25" customHeight="1">
      <c r="A836" s="964"/>
      <c r="B836" s="965"/>
      <c r="C836" s="965"/>
      <c r="D836" s="966"/>
      <c r="E836" s="967"/>
      <c r="F836" s="965"/>
      <c r="G836" s="965"/>
      <c r="H836" s="965"/>
      <c r="I836" s="965"/>
      <c r="J836" s="965"/>
      <c r="K836" s="965"/>
      <c r="L836" s="965"/>
      <c r="M836" s="965"/>
      <c r="N836" s="965"/>
      <c r="O836" s="965"/>
      <c r="P836" s="965"/>
      <c r="Q836" s="945"/>
      <c r="R836" s="945"/>
      <c r="S836" s="945"/>
      <c r="T836" s="945"/>
      <c r="U836" s="945"/>
      <c r="V836" s="945"/>
      <c r="W836" s="945"/>
      <c r="X836" s="945"/>
      <c r="Y836" s="945"/>
      <c r="Z836" s="945"/>
      <c r="AA836" s="945"/>
      <c r="AB836" s="945"/>
    </row>
    <row r="837" ht="20.25" customHeight="1">
      <c r="A837" s="964"/>
      <c r="B837" s="965"/>
      <c r="C837" s="965"/>
      <c r="D837" s="966"/>
      <c r="E837" s="967"/>
      <c r="F837" s="965"/>
      <c r="G837" s="965"/>
      <c r="H837" s="965"/>
      <c r="I837" s="965"/>
      <c r="J837" s="965"/>
      <c r="K837" s="965"/>
      <c r="L837" s="965"/>
      <c r="M837" s="965"/>
      <c r="N837" s="965"/>
      <c r="O837" s="965"/>
      <c r="P837" s="965"/>
      <c r="Q837" s="945"/>
      <c r="R837" s="945"/>
      <c r="S837" s="945"/>
      <c r="T837" s="945"/>
      <c r="U837" s="945"/>
      <c r="V837" s="945"/>
      <c r="W837" s="945"/>
      <c r="X837" s="945"/>
      <c r="Y837" s="945"/>
      <c r="Z837" s="945"/>
      <c r="AA837" s="945"/>
      <c r="AB837" s="945"/>
    </row>
    <row r="838" ht="20.25" customHeight="1">
      <c r="A838" s="964"/>
      <c r="B838" s="965"/>
      <c r="C838" s="965"/>
      <c r="D838" s="966"/>
      <c r="E838" s="967"/>
      <c r="F838" s="965"/>
      <c r="G838" s="965"/>
      <c r="H838" s="965"/>
      <c r="I838" s="965"/>
      <c r="J838" s="965"/>
      <c r="K838" s="965"/>
      <c r="L838" s="965"/>
      <c r="M838" s="965"/>
      <c r="N838" s="965"/>
      <c r="O838" s="965"/>
      <c r="P838" s="965"/>
      <c r="Q838" s="945"/>
      <c r="R838" s="945"/>
      <c r="S838" s="945"/>
      <c r="T838" s="945"/>
      <c r="U838" s="945"/>
      <c r="V838" s="945"/>
      <c r="W838" s="945"/>
      <c r="X838" s="945"/>
      <c r="Y838" s="945"/>
      <c r="Z838" s="945"/>
      <c r="AA838" s="945"/>
      <c r="AB838" s="945"/>
    </row>
    <row r="839" ht="20.25" customHeight="1">
      <c r="A839" s="964"/>
      <c r="B839" s="965"/>
      <c r="C839" s="965"/>
      <c r="D839" s="966"/>
      <c r="E839" s="967"/>
      <c r="F839" s="965"/>
      <c r="G839" s="965"/>
      <c r="H839" s="965"/>
      <c r="I839" s="965"/>
      <c r="J839" s="965"/>
      <c r="K839" s="965"/>
      <c r="L839" s="965"/>
      <c r="M839" s="965"/>
      <c r="N839" s="965"/>
      <c r="O839" s="965"/>
      <c r="P839" s="965"/>
      <c r="Q839" s="945"/>
      <c r="R839" s="945"/>
      <c r="S839" s="945"/>
      <c r="T839" s="945"/>
      <c r="U839" s="945"/>
      <c r="V839" s="945"/>
      <c r="W839" s="945"/>
      <c r="X839" s="945"/>
      <c r="Y839" s="945"/>
      <c r="Z839" s="945"/>
      <c r="AA839" s="945"/>
      <c r="AB839" s="945"/>
    </row>
    <row r="840" ht="20.25" customHeight="1">
      <c r="A840" s="964"/>
      <c r="B840" s="965"/>
      <c r="C840" s="965"/>
      <c r="D840" s="966"/>
      <c r="E840" s="967"/>
      <c r="F840" s="965"/>
      <c r="G840" s="965"/>
      <c r="H840" s="965"/>
      <c r="I840" s="965"/>
      <c r="J840" s="965"/>
      <c r="K840" s="965"/>
      <c r="L840" s="965"/>
      <c r="M840" s="965"/>
      <c r="N840" s="965"/>
      <c r="O840" s="965"/>
      <c r="P840" s="965"/>
      <c r="Q840" s="945"/>
      <c r="R840" s="945"/>
      <c r="S840" s="945"/>
      <c r="T840" s="945"/>
      <c r="U840" s="945"/>
      <c r="V840" s="945"/>
      <c r="W840" s="945"/>
      <c r="X840" s="945"/>
      <c r="Y840" s="945"/>
      <c r="Z840" s="945"/>
      <c r="AA840" s="945"/>
      <c r="AB840" s="945"/>
    </row>
    <row r="841" ht="20.25" customHeight="1">
      <c r="A841" s="964"/>
      <c r="B841" s="965"/>
      <c r="C841" s="965"/>
      <c r="D841" s="966"/>
      <c r="E841" s="967"/>
      <c r="F841" s="965"/>
      <c r="G841" s="965"/>
      <c r="H841" s="965"/>
      <c r="I841" s="965"/>
      <c r="J841" s="965"/>
      <c r="K841" s="965"/>
      <c r="L841" s="965"/>
      <c r="M841" s="965"/>
      <c r="N841" s="965"/>
      <c r="O841" s="965"/>
      <c r="P841" s="965"/>
      <c r="Q841" s="945"/>
      <c r="R841" s="945"/>
      <c r="S841" s="945"/>
      <c r="T841" s="945"/>
      <c r="U841" s="945"/>
      <c r="V841" s="945"/>
      <c r="W841" s="945"/>
      <c r="X841" s="945"/>
      <c r="Y841" s="945"/>
      <c r="Z841" s="945"/>
      <c r="AA841" s="945"/>
      <c r="AB841" s="945"/>
    </row>
    <row r="842" ht="20.25" customHeight="1">
      <c r="A842" s="964"/>
      <c r="B842" s="965"/>
      <c r="C842" s="965"/>
      <c r="D842" s="966"/>
      <c r="E842" s="967"/>
      <c r="F842" s="965"/>
      <c r="G842" s="965"/>
      <c r="H842" s="965"/>
      <c r="I842" s="965"/>
      <c r="J842" s="965"/>
      <c r="K842" s="965"/>
      <c r="L842" s="965"/>
      <c r="M842" s="965"/>
      <c r="N842" s="965"/>
      <c r="O842" s="965"/>
      <c r="P842" s="965"/>
      <c r="Q842" s="945"/>
      <c r="R842" s="945"/>
      <c r="S842" s="945"/>
      <c r="T842" s="945"/>
      <c r="U842" s="945"/>
      <c r="V842" s="945"/>
      <c r="W842" s="945"/>
      <c r="X842" s="945"/>
      <c r="Y842" s="945"/>
      <c r="Z842" s="945"/>
      <c r="AA842" s="945"/>
      <c r="AB842" s="945"/>
    </row>
    <row r="843" ht="20.25" customHeight="1">
      <c r="A843" s="964"/>
      <c r="B843" s="965"/>
      <c r="C843" s="965"/>
      <c r="D843" s="966"/>
      <c r="E843" s="967"/>
      <c r="F843" s="965"/>
      <c r="G843" s="965"/>
      <c r="H843" s="965"/>
      <c r="I843" s="965"/>
      <c r="J843" s="965"/>
      <c r="K843" s="965"/>
      <c r="L843" s="965"/>
      <c r="M843" s="965"/>
      <c r="N843" s="965"/>
      <c r="O843" s="965"/>
      <c r="P843" s="965"/>
      <c r="Q843" s="945"/>
      <c r="R843" s="945"/>
      <c r="S843" s="945"/>
      <c r="T843" s="945"/>
      <c r="U843" s="945"/>
      <c r="V843" s="945"/>
      <c r="W843" s="945"/>
      <c r="X843" s="945"/>
      <c r="Y843" s="945"/>
      <c r="Z843" s="945"/>
      <c r="AA843" s="945"/>
      <c r="AB843" s="945"/>
    </row>
    <row r="844" ht="20.25" customHeight="1">
      <c r="A844" s="964"/>
      <c r="B844" s="965"/>
      <c r="C844" s="965"/>
      <c r="D844" s="966"/>
      <c r="E844" s="967"/>
      <c r="F844" s="965"/>
      <c r="G844" s="965"/>
      <c r="H844" s="965"/>
      <c r="I844" s="965"/>
      <c r="J844" s="965"/>
      <c r="K844" s="965"/>
      <c r="L844" s="965"/>
      <c r="M844" s="965"/>
      <c r="N844" s="965"/>
      <c r="O844" s="965"/>
      <c r="P844" s="965"/>
      <c r="Q844" s="945"/>
      <c r="R844" s="945"/>
      <c r="S844" s="945"/>
      <c r="T844" s="945"/>
      <c r="U844" s="945"/>
      <c r="V844" s="945"/>
      <c r="W844" s="945"/>
      <c r="X844" s="945"/>
      <c r="Y844" s="945"/>
      <c r="Z844" s="945"/>
      <c r="AA844" s="945"/>
      <c r="AB844" s="945"/>
    </row>
    <row r="845" ht="20.25" customHeight="1">
      <c r="A845" s="964"/>
      <c r="B845" s="965"/>
      <c r="C845" s="965"/>
      <c r="D845" s="966"/>
      <c r="E845" s="967"/>
      <c r="F845" s="965"/>
      <c r="G845" s="965"/>
      <c r="H845" s="965"/>
      <c r="I845" s="965"/>
      <c r="J845" s="965"/>
      <c r="K845" s="965"/>
      <c r="L845" s="965"/>
      <c r="M845" s="965"/>
      <c r="N845" s="965"/>
      <c r="O845" s="965"/>
      <c r="P845" s="965"/>
      <c r="Q845" s="945"/>
      <c r="R845" s="945"/>
      <c r="S845" s="945"/>
      <c r="T845" s="945"/>
      <c r="U845" s="945"/>
      <c r="V845" s="945"/>
      <c r="W845" s="945"/>
      <c r="X845" s="945"/>
      <c r="Y845" s="945"/>
      <c r="Z845" s="945"/>
      <c r="AA845" s="945"/>
      <c r="AB845" s="945"/>
    </row>
    <row r="846" ht="20.25" customHeight="1">
      <c r="A846" s="964"/>
      <c r="B846" s="965"/>
      <c r="C846" s="965"/>
      <c r="D846" s="966"/>
      <c r="E846" s="967"/>
      <c r="F846" s="965"/>
      <c r="G846" s="965"/>
      <c r="H846" s="965"/>
      <c r="I846" s="965"/>
      <c r="J846" s="965"/>
      <c r="K846" s="965"/>
      <c r="L846" s="965"/>
      <c r="M846" s="965"/>
      <c r="N846" s="965"/>
      <c r="O846" s="965"/>
      <c r="P846" s="965"/>
      <c r="Q846" s="945"/>
      <c r="R846" s="945"/>
      <c r="S846" s="945"/>
      <c r="T846" s="945"/>
      <c r="U846" s="945"/>
      <c r="V846" s="945"/>
      <c r="W846" s="945"/>
      <c r="X846" s="945"/>
      <c r="Y846" s="945"/>
      <c r="Z846" s="945"/>
      <c r="AA846" s="945"/>
      <c r="AB846" s="945"/>
    </row>
    <row r="847" ht="20.25" customHeight="1">
      <c r="A847" s="964"/>
      <c r="B847" s="965"/>
      <c r="C847" s="965"/>
      <c r="D847" s="966"/>
      <c r="E847" s="967"/>
      <c r="F847" s="965"/>
      <c r="G847" s="965"/>
      <c r="H847" s="965"/>
      <c r="I847" s="965"/>
      <c r="J847" s="965"/>
      <c r="K847" s="965"/>
      <c r="L847" s="965"/>
      <c r="M847" s="965"/>
      <c r="N847" s="965"/>
      <c r="O847" s="965"/>
      <c r="P847" s="965"/>
      <c r="Q847" s="945"/>
      <c r="R847" s="945"/>
      <c r="S847" s="945"/>
      <c r="T847" s="945"/>
      <c r="U847" s="945"/>
      <c r="V847" s="945"/>
      <c r="W847" s="945"/>
      <c r="X847" s="945"/>
      <c r="Y847" s="945"/>
      <c r="Z847" s="945"/>
      <c r="AA847" s="945"/>
      <c r="AB847" s="945"/>
    </row>
    <row r="848" ht="20.25" customHeight="1">
      <c r="A848" s="964"/>
      <c r="B848" s="965"/>
      <c r="C848" s="965"/>
      <c r="D848" s="966"/>
      <c r="E848" s="967"/>
      <c r="F848" s="965"/>
      <c r="G848" s="965"/>
      <c r="H848" s="965"/>
      <c r="I848" s="965"/>
      <c r="J848" s="965"/>
      <c r="K848" s="965"/>
      <c r="L848" s="965"/>
      <c r="M848" s="965"/>
      <c r="N848" s="965"/>
      <c r="O848" s="965"/>
      <c r="P848" s="965"/>
      <c r="Q848" s="945"/>
      <c r="R848" s="945"/>
      <c r="S848" s="945"/>
      <c r="T848" s="945"/>
      <c r="U848" s="945"/>
      <c r="V848" s="945"/>
      <c r="W848" s="945"/>
      <c r="X848" s="945"/>
      <c r="Y848" s="945"/>
      <c r="Z848" s="945"/>
      <c r="AA848" s="945"/>
      <c r="AB848" s="945"/>
    </row>
    <row r="849" ht="20.25" customHeight="1">
      <c r="A849" s="964"/>
      <c r="B849" s="965"/>
      <c r="C849" s="965"/>
      <c r="D849" s="966"/>
      <c r="E849" s="967"/>
      <c r="F849" s="965"/>
      <c r="G849" s="965"/>
      <c r="H849" s="965"/>
      <c r="I849" s="965"/>
      <c r="J849" s="965"/>
      <c r="K849" s="965"/>
      <c r="L849" s="965"/>
      <c r="M849" s="965"/>
      <c r="N849" s="965"/>
      <c r="O849" s="965"/>
      <c r="P849" s="965"/>
      <c r="Q849" s="945"/>
      <c r="R849" s="945"/>
      <c r="S849" s="945"/>
      <c r="T849" s="945"/>
      <c r="U849" s="945"/>
      <c r="V849" s="945"/>
      <c r="W849" s="945"/>
      <c r="X849" s="945"/>
      <c r="Y849" s="945"/>
      <c r="Z849" s="945"/>
      <c r="AA849" s="945"/>
      <c r="AB849" s="945"/>
    </row>
    <row r="850" ht="20.25" customHeight="1">
      <c r="A850" s="964"/>
      <c r="B850" s="965"/>
      <c r="C850" s="965"/>
      <c r="D850" s="966"/>
      <c r="E850" s="967"/>
      <c r="F850" s="965"/>
      <c r="G850" s="965"/>
      <c r="H850" s="965"/>
      <c r="I850" s="965"/>
      <c r="J850" s="965"/>
      <c r="K850" s="965"/>
      <c r="L850" s="965"/>
      <c r="M850" s="965"/>
      <c r="N850" s="965"/>
      <c r="O850" s="965"/>
      <c r="P850" s="965"/>
      <c r="Q850" s="945"/>
      <c r="R850" s="945"/>
      <c r="S850" s="945"/>
      <c r="T850" s="945"/>
      <c r="U850" s="945"/>
      <c r="V850" s="945"/>
      <c r="W850" s="945"/>
      <c r="X850" s="945"/>
      <c r="Y850" s="945"/>
      <c r="Z850" s="945"/>
      <c r="AA850" s="945"/>
      <c r="AB850" s="945"/>
    </row>
    <row r="851" ht="20.25" customHeight="1">
      <c r="A851" s="964"/>
      <c r="B851" s="965"/>
      <c r="C851" s="965"/>
      <c r="D851" s="966"/>
      <c r="E851" s="967"/>
      <c r="F851" s="965"/>
      <c r="G851" s="965"/>
      <c r="H851" s="965"/>
      <c r="I851" s="965"/>
      <c r="J851" s="965"/>
      <c r="K851" s="965"/>
      <c r="L851" s="965"/>
      <c r="M851" s="965"/>
      <c r="N851" s="965"/>
      <c r="O851" s="965"/>
      <c r="P851" s="965"/>
      <c r="Q851" s="945"/>
      <c r="R851" s="945"/>
      <c r="S851" s="945"/>
      <c r="T851" s="945"/>
      <c r="U851" s="945"/>
      <c r="V851" s="945"/>
      <c r="W851" s="945"/>
      <c r="X851" s="945"/>
      <c r="Y851" s="945"/>
      <c r="Z851" s="945"/>
      <c r="AA851" s="945"/>
      <c r="AB851" s="945"/>
    </row>
    <row r="852" ht="20.25" customHeight="1">
      <c r="A852" s="964"/>
      <c r="B852" s="965"/>
      <c r="C852" s="965"/>
      <c r="D852" s="966"/>
      <c r="E852" s="967"/>
      <c r="F852" s="965"/>
      <c r="G852" s="965"/>
      <c r="H852" s="965"/>
      <c r="I852" s="965"/>
      <c r="J852" s="965"/>
      <c r="K852" s="965"/>
      <c r="L852" s="965"/>
      <c r="M852" s="965"/>
      <c r="N852" s="965"/>
      <c r="O852" s="965"/>
      <c r="P852" s="965"/>
      <c r="Q852" s="945"/>
      <c r="R852" s="945"/>
      <c r="S852" s="945"/>
      <c r="T852" s="945"/>
      <c r="U852" s="945"/>
      <c r="V852" s="945"/>
      <c r="W852" s="945"/>
      <c r="X852" s="945"/>
      <c r="Y852" s="945"/>
      <c r="Z852" s="945"/>
      <c r="AA852" s="945"/>
      <c r="AB852" s="945"/>
    </row>
    <row r="853" ht="20.25" customHeight="1">
      <c r="A853" s="964"/>
      <c r="B853" s="965"/>
      <c r="C853" s="965"/>
      <c r="D853" s="966"/>
      <c r="E853" s="967"/>
      <c r="F853" s="965"/>
      <c r="G853" s="965"/>
      <c r="H853" s="965"/>
      <c r="I853" s="965"/>
      <c r="J853" s="965"/>
      <c r="K853" s="965"/>
      <c r="L853" s="965"/>
      <c r="M853" s="965"/>
      <c r="N853" s="965"/>
      <c r="O853" s="965"/>
      <c r="P853" s="965"/>
      <c r="Q853" s="945"/>
      <c r="R853" s="945"/>
      <c r="S853" s="945"/>
      <c r="T853" s="945"/>
      <c r="U853" s="945"/>
      <c r="V853" s="945"/>
      <c r="W853" s="945"/>
      <c r="X853" s="945"/>
      <c r="Y853" s="945"/>
      <c r="Z853" s="945"/>
      <c r="AA853" s="945"/>
      <c r="AB853" s="945"/>
    </row>
    <row r="854" ht="20.25" customHeight="1">
      <c r="A854" s="964"/>
      <c r="B854" s="965"/>
      <c r="C854" s="965"/>
      <c r="D854" s="966"/>
      <c r="E854" s="967"/>
      <c r="F854" s="965"/>
      <c r="G854" s="965"/>
      <c r="H854" s="965"/>
      <c r="I854" s="965"/>
      <c r="J854" s="965"/>
      <c r="K854" s="965"/>
      <c r="L854" s="965"/>
      <c r="M854" s="965"/>
      <c r="N854" s="965"/>
      <c r="O854" s="965"/>
      <c r="P854" s="965"/>
      <c r="Q854" s="945"/>
      <c r="R854" s="945"/>
      <c r="S854" s="945"/>
      <c r="T854" s="945"/>
      <c r="U854" s="945"/>
      <c r="V854" s="945"/>
      <c r="W854" s="945"/>
      <c r="X854" s="945"/>
      <c r="Y854" s="945"/>
      <c r="Z854" s="945"/>
      <c r="AA854" s="945"/>
      <c r="AB854" s="945"/>
    </row>
    <row r="855" ht="20.25" customHeight="1">
      <c r="A855" s="964"/>
      <c r="B855" s="965"/>
      <c r="C855" s="965"/>
      <c r="D855" s="966"/>
      <c r="E855" s="967"/>
      <c r="F855" s="965"/>
      <c r="G855" s="965"/>
      <c r="H855" s="965"/>
      <c r="I855" s="965"/>
      <c r="J855" s="965"/>
      <c r="K855" s="965"/>
      <c r="L855" s="965"/>
      <c r="M855" s="965"/>
      <c r="N855" s="965"/>
      <c r="O855" s="965"/>
      <c r="P855" s="965"/>
      <c r="Q855" s="945"/>
      <c r="R855" s="945"/>
      <c r="S855" s="945"/>
      <c r="T855" s="945"/>
      <c r="U855" s="945"/>
      <c r="V855" s="945"/>
      <c r="W855" s="945"/>
      <c r="X855" s="945"/>
      <c r="Y855" s="945"/>
      <c r="Z855" s="945"/>
      <c r="AA855" s="945"/>
      <c r="AB855" s="945"/>
    </row>
    <row r="856" ht="20.25" customHeight="1">
      <c r="A856" s="964"/>
      <c r="B856" s="965"/>
      <c r="C856" s="965"/>
      <c r="D856" s="966"/>
      <c r="E856" s="967"/>
      <c r="F856" s="965"/>
      <c r="G856" s="965"/>
      <c r="H856" s="965"/>
      <c r="I856" s="965"/>
      <c r="J856" s="965"/>
      <c r="K856" s="965"/>
      <c r="L856" s="965"/>
      <c r="M856" s="965"/>
      <c r="N856" s="965"/>
      <c r="O856" s="965"/>
      <c r="P856" s="965"/>
      <c r="Q856" s="945"/>
      <c r="R856" s="945"/>
      <c r="S856" s="945"/>
      <c r="T856" s="945"/>
      <c r="U856" s="945"/>
      <c r="V856" s="945"/>
      <c r="W856" s="945"/>
      <c r="X856" s="945"/>
      <c r="Y856" s="945"/>
      <c r="Z856" s="945"/>
      <c r="AA856" s="945"/>
      <c r="AB856" s="945"/>
    </row>
    <row r="857" ht="20.25" customHeight="1">
      <c r="A857" s="964"/>
      <c r="B857" s="965"/>
      <c r="C857" s="965"/>
      <c r="D857" s="966"/>
      <c r="E857" s="967"/>
      <c r="F857" s="965"/>
      <c r="G857" s="965"/>
      <c r="H857" s="965"/>
      <c r="I857" s="965"/>
      <c r="J857" s="965"/>
      <c r="K857" s="965"/>
      <c r="L857" s="965"/>
      <c r="M857" s="965"/>
      <c r="N857" s="965"/>
      <c r="O857" s="965"/>
      <c r="P857" s="965"/>
      <c r="Q857" s="945"/>
      <c r="R857" s="945"/>
      <c r="S857" s="945"/>
      <c r="T857" s="945"/>
      <c r="U857" s="945"/>
      <c r="V857" s="945"/>
      <c r="W857" s="945"/>
      <c r="X857" s="945"/>
      <c r="Y857" s="945"/>
      <c r="Z857" s="945"/>
      <c r="AA857" s="945"/>
      <c r="AB857" s="945"/>
    </row>
    <row r="858" ht="20.25" customHeight="1">
      <c r="A858" s="964"/>
      <c r="B858" s="965"/>
      <c r="C858" s="965"/>
      <c r="D858" s="966"/>
      <c r="E858" s="967"/>
      <c r="F858" s="965"/>
      <c r="G858" s="965"/>
      <c r="H858" s="965"/>
      <c r="I858" s="965"/>
      <c r="J858" s="965"/>
      <c r="K858" s="965"/>
      <c r="L858" s="965"/>
      <c r="M858" s="965"/>
      <c r="N858" s="965"/>
      <c r="O858" s="965"/>
      <c r="P858" s="965"/>
      <c r="Q858" s="945"/>
      <c r="R858" s="945"/>
      <c r="S858" s="945"/>
      <c r="T858" s="945"/>
      <c r="U858" s="945"/>
      <c r="V858" s="945"/>
      <c r="W858" s="945"/>
      <c r="X858" s="945"/>
      <c r="Y858" s="945"/>
      <c r="Z858" s="945"/>
      <c r="AA858" s="945"/>
      <c r="AB858" s="945"/>
    </row>
    <row r="859" ht="20.25" customHeight="1">
      <c r="A859" s="964"/>
      <c r="B859" s="965"/>
      <c r="C859" s="965"/>
      <c r="D859" s="966"/>
      <c r="E859" s="967"/>
      <c r="F859" s="965"/>
      <c r="G859" s="965"/>
      <c r="H859" s="965"/>
      <c r="I859" s="965"/>
      <c r="J859" s="965"/>
      <c r="K859" s="965"/>
      <c r="L859" s="965"/>
      <c r="M859" s="965"/>
      <c r="N859" s="965"/>
      <c r="O859" s="965"/>
      <c r="P859" s="965"/>
      <c r="Q859" s="945"/>
      <c r="R859" s="945"/>
      <c r="S859" s="945"/>
      <c r="T859" s="945"/>
      <c r="U859" s="945"/>
      <c r="V859" s="945"/>
      <c r="W859" s="945"/>
      <c r="X859" s="945"/>
      <c r="Y859" s="945"/>
      <c r="Z859" s="945"/>
      <c r="AA859" s="945"/>
      <c r="AB859" s="945"/>
    </row>
    <row r="860" ht="20.25" customHeight="1">
      <c r="A860" s="964"/>
      <c r="B860" s="965"/>
      <c r="C860" s="965"/>
      <c r="D860" s="966"/>
      <c r="E860" s="967"/>
      <c r="F860" s="965"/>
      <c r="G860" s="965"/>
      <c r="H860" s="965"/>
      <c r="I860" s="965"/>
      <c r="J860" s="965"/>
      <c r="K860" s="965"/>
      <c r="L860" s="965"/>
      <c r="M860" s="965"/>
      <c r="N860" s="965"/>
      <c r="O860" s="965"/>
      <c r="P860" s="965"/>
      <c r="Q860" s="945"/>
      <c r="R860" s="945"/>
      <c r="S860" s="945"/>
      <c r="T860" s="945"/>
      <c r="U860" s="945"/>
      <c r="V860" s="945"/>
      <c r="W860" s="945"/>
      <c r="X860" s="945"/>
      <c r="Y860" s="945"/>
      <c r="Z860" s="945"/>
      <c r="AA860" s="945"/>
      <c r="AB860" s="945"/>
    </row>
    <row r="861" ht="20.25" customHeight="1">
      <c r="A861" s="964"/>
      <c r="B861" s="965"/>
      <c r="C861" s="965"/>
      <c r="D861" s="966"/>
      <c r="E861" s="967"/>
      <c r="F861" s="965"/>
      <c r="G861" s="965"/>
      <c r="H861" s="965"/>
      <c r="I861" s="965"/>
      <c r="J861" s="965"/>
      <c r="K861" s="965"/>
      <c r="L861" s="965"/>
      <c r="M861" s="965"/>
      <c r="N861" s="965"/>
      <c r="O861" s="965"/>
      <c r="P861" s="965"/>
      <c r="Q861" s="945"/>
      <c r="R861" s="945"/>
      <c r="S861" s="945"/>
      <c r="T861" s="945"/>
      <c r="U861" s="945"/>
      <c r="V861" s="945"/>
      <c r="W861" s="945"/>
      <c r="X861" s="945"/>
      <c r="Y861" s="945"/>
      <c r="Z861" s="945"/>
      <c r="AA861" s="945"/>
      <c r="AB861" s="945"/>
    </row>
    <row r="862" ht="20.25" customHeight="1">
      <c r="A862" s="964"/>
      <c r="B862" s="965"/>
      <c r="C862" s="965"/>
      <c r="D862" s="966"/>
      <c r="E862" s="967"/>
      <c r="F862" s="965"/>
      <c r="G862" s="965"/>
      <c r="H862" s="965"/>
      <c r="I862" s="965"/>
      <c r="J862" s="965"/>
      <c r="K862" s="965"/>
      <c r="L862" s="965"/>
      <c r="M862" s="965"/>
      <c r="N862" s="965"/>
      <c r="O862" s="965"/>
      <c r="P862" s="965"/>
      <c r="Q862" s="945"/>
      <c r="R862" s="945"/>
      <c r="S862" s="945"/>
      <c r="T862" s="945"/>
      <c r="U862" s="945"/>
      <c r="V862" s="945"/>
      <c r="W862" s="945"/>
      <c r="X862" s="945"/>
      <c r="Y862" s="945"/>
      <c r="Z862" s="945"/>
      <c r="AA862" s="945"/>
      <c r="AB862" s="945"/>
    </row>
    <row r="863" ht="20.25" customHeight="1">
      <c r="A863" s="964"/>
      <c r="B863" s="965"/>
      <c r="C863" s="965"/>
      <c r="D863" s="966"/>
      <c r="E863" s="967"/>
      <c r="F863" s="965"/>
      <c r="G863" s="965"/>
      <c r="H863" s="965"/>
      <c r="I863" s="965"/>
      <c r="J863" s="965"/>
      <c r="K863" s="965"/>
      <c r="L863" s="965"/>
      <c r="M863" s="965"/>
      <c r="N863" s="965"/>
      <c r="O863" s="965"/>
      <c r="P863" s="965"/>
      <c r="Q863" s="945"/>
      <c r="R863" s="945"/>
      <c r="S863" s="945"/>
      <c r="T863" s="945"/>
      <c r="U863" s="945"/>
      <c r="V863" s="945"/>
      <c r="W863" s="945"/>
      <c r="X863" s="945"/>
      <c r="Y863" s="945"/>
      <c r="Z863" s="945"/>
      <c r="AA863" s="945"/>
      <c r="AB863" s="945"/>
    </row>
    <row r="864" ht="20.25" customHeight="1">
      <c r="A864" s="964"/>
      <c r="B864" s="965"/>
      <c r="C864" s="965"/>
      <c r="D864" s="966"/>
      <c r="E864" s="967"/>
      <c r="F864" s="965"/>
      <c r="G864" s="965"/>
      <c r="H864" s="965"/>
      <c r="I864" s="965"/>
      <c r="J864" s="965"/>
      <c r="K864" s="965"/>
      <c r="L864" s="965"/>
      <c r="M864" s="965"/>
      <c r="N864" s="965"/>
      <c r="O864" s="965"/>
      <c r="P864" s="965"/>
      <c r="Q864" s="945"/>
      <c r="R864" s="945"/>
      <c r="S864" s="945"/>
      <c r="T864" s="945"/>
      <c r="U864" s="945"/>
      <c r="V864" s="945"/>
      <c r="W864" s="945"/>
      <c r="X864" s="945"/>
      <c r="Y864" s="945"/>
      <c r="Z864" s="945"/>
      <c r="AA864" s="945"/>
      <c r="AB864" s="945"/>
    </row>
    <row r="865" ht="20.25" customHeight="1">
      <c r="A865" s="964"/>
      <c r="B865" s="965"/>
      <c r="C865" s="965"/>
      <c r="D865" s="966"/>
      <c r="E865" s="967"/>
      <c r="F865" s="965"/>
      <c r="G865" s="965"/>
      <c r="H865" s="965"/>
      <c r="I865" s="965"/>
      <c r="J865" s="965"/>
      <c r="K865" s="965"/>
      <c r="L865" s="965"/>
      <c r="M865" s="965"/>
      <c r="N865" s="965"/>
      <c r="O865" s="965"/>
      <c r="P865" s="965"/>
      <c r="Q865" s="945"/>
      <c r="R865" s="945"/>
      <c r="S865" s="945"/>
      <c r="T865" s="945"/>
      <c r="U865" s="945"/>
      <c r="V865" s="945"/>
      <c r="W865" s="945"/>
      <c r="X865" s="945"/>
      <c r="Y865" s="945"/>
      <c r="Z865" s="945"/>
      <c r="AA865" s="945"/>
      <c r="AB865" s="945"/>
    </row>
    <row r="866" ht="20.25" customHeight="1">
      <c r="A866" s="964"/>
      <c r="B866" s="965"/>
      <c r="C866" s="965"/>
      <c r="D866" s="966"/>
      <c r="E866" s="967"/>
      <c r="F866" s="965"/>
      <c r="G866" s="965"/>
      <c r="H866" s="965"/>
      <c r="I866" s="965"/>
      <c r="J866" s="965"/>
      <c r="K866" s="965"/>
      <c r="L866" s="965"/>
      <c r="M866" s="965"/>
      <c r="N866" s="965"/>
      <c r="O866" s="965"/>
      <c r="P866" s="965"/>
      <c r="Q866" s="945"/>
      <c r="R866" s="945"/>
      <c r="S866" s="945"/>
      <c r="T866" s="945"/>
      <c r="U866" s="945"/>
      <c r="V866" s="945"/>
      <c r="W866" s="945"/>
      <c r="X866" s="945"/>
      <c r="Y866" s="945"/>
      <c r="Z866" s="945"/>
      <c r="AA866" s="945"/>
      <c r="AB866" s="945"/>
    </row>
    <row r="867" ht="20.25" customHeight="1">
      <c r="A867" s="964"/>
      <c r="B867" s="965"/>
      <c r="C867" s="965"/>
      <c r="D867" s="966"/>
      <c r="E867" s="967"/>
      <c r="F867" s="965"/>
      <c r="G867" s="965"/>
      <c r="H867" s="965"/>
      <c r="I867" s="965"/>
      <c r="J867" s="965"/>
      <c r="K867" s="965"/>
      <c r="L867" s="965"/>
      <c r="M867" s="965"/>
      <c r="N867" s="965"/>
      <c r="O867" s="965"/>
      <c r="P867" s="965"/>
      <c r="Q867" s="945"/>
      <c r="R867" s="945"/>
      <c r="S867" s="945"/>
      <c r="T867" s="945"/>
      <c r="U867" s="945"/>
      <c r="V867" s="945"/>
      <c r="W867" s="945"/>
      <c r="X867" s="945"/>
      <c r="Y867" s="945"/>
      <c r="Z867" s="945"/>
      <c r="AA867" s="945"/>
      <c r="AB867" s="945"/>
    </row>
    <row r="868" ht="20.25" customHeight="1">
      <c r="A868" s="964"/>
      <c r="B868" s="965"/>
      <c r="C868" s="965"/>
      <c r="D868" s="966"/>
      <c r="E868" s="967"/>
      <c r="F868" s="965"/>
      <c r="G868" s="965"/>
      <c r="H868" s="965"/>
      <c r="I868" s="965"/>
      <c r="J868" s="965"/>
      <c r="K868" s="965"/>
      <c r="L868" s="965"/>
      <c r="M868" s="965"/>
      <c r="N868" s="965"/>
      <c r="O868" s="965"/>
      <c r="P868" s="965"/>
      <c r="Q868" s="945"/>
      <c r="R868" s="945"/>
      <c r="S868" s="945"/>
      <c r="T868" s="945"/>
      <c r="U868" s="945"/>
      <c r="V868" s="945"/>
      <c r="W868" s="945"/>
      <c r="X868" s="945"/>
      <c r="Y868" s="945"/>
      <c r="Z868" s="945"/>
      <c r="AA868" s="945"/>
      <c r="AB868" s="945"/>
    </row>
    <row r="869" ht="20.25" customHeight="1">
      <c r="A869" s="964"/>
      <c r="B869" s="965"/>
      <c r="C869" s="965"/>
      <c r="D869" s="966"/>
      <c r="E869" s="967"/>
      <c r="F869" s="965"/>
      <c r="G869" s="965"/>
      <c r="H869" s="965"/>
      <c r="I869" s="965"/>
      <c r="J869" s="965"/>
      <c r="K869" s="965"/>
      <c r="L869" s="965"/>
      <c r="M869" s="965"/>
      <c r="N869" s="965"/>
      <c r="O869" s="965"/>
      <c r="P869" s="965"/>
      <c r="Q869" s="945"/>
      <c r="R869" s="945"/>
      <c r="S869" s="945"/>
      <c r="T869" s="945"/>
      <c r="U869" s="945"/>
      <c r="V869" s="945"/>
      <c r="W869" s="945"/>
      <c r="X869" s="945"/>
      <c r="Y869" s="945"/>
      <c r="Z869" s="945"/>
      <c r="AA869" s="945"/>
      <c r="AB869" s="945"/>
    </row>
    <row r="870" ht="20.25" customHeight="1">
      <c r="A870" s="964"/>
      <c r="B870" s="965"/>
      <c r="C870" s="965"/>
      <c r="D870" s="966"/>
      <c r="E870" s="967"/>
      <c r="F870" s="965"/>
      <c r="G870" s="965"/>
      <c r="H870" s="965"/>
      <c r="I870" s="965"/>
      <c r="J870" s="965"/>
      <c r="K870" s="965"/>
      <c r="L870" s="965"/>
      <c r="M870" s="965"/>
      <c r="N870" s="965"/>
      <c r="O870" s="965"/>
      <c r="P870" s="965"/>
      <c r="Q870" s="945"/>
      <c r="R870" s="945"/>
      <c r="S870" s="945"/>
      <c r="T870" s="945"/>
      <c r="U870" s="945"/>
      <c r="V870" s="945"/>
      <c r="W870" s="945"/>
      <c r="X870" s="945"/>
      <c r="Y870" s="945"/>
      <c r="Z870" s="945"/>
      <c r="AA870" s="945"/>
      <c r="AB870" s="945"/>
    </row>
    <row r="871" ht="20.25" customHeight="1">
      <c r="A871" s="964"/>
      <c r="B871" s="965"/>
      <c r="C871" s="965"/>
      <c r="D871" s="966"/>
      <c r="E871" s="967"/>
      <c r="F871" s="965"/>
      <c r="G871" s="965"/>
      <c r="H871" s="965"/>
      <c r="I871" s="965"/>
      <c r="J871" s="965"/>
      <c r="K871" s="965"/>
      <c r="L871" s="965"/>
      <c r="M871" s="965"/>
      <c r="N871" s="965"/>
      <c r="O871" s="965"/>
      <c r="P871" s="965"/>
      <c r="Q871" s="945"/>
      <c r="R871" s="945"/>
      <c r="S871" s="945"/>
      <c r="T871" s="945"/>
      <c r="U871" s="945"/>
      <c r="V871" s="945"/>
      <c r="W871" s="945"/>
      <c r="X871" s="945"/>
      <c r="Y871" s="945"/>
      <c r="Z871" s="945"/>
      <c r="AA871" s="945"/>
      <c r="AB871" s="945"/>
    </row>
    <row r="872" ht="20.25" customHeight="1">
      <c r="A872" s="964"/>
      <c r="B872" s="965"/>
      <c r="C872" s="965"/>
      <c r="D872" s="966"/>
      <c r="E872" s="967"/>
      <c r="F872" s="965"/>
      <c r="G872" s="965"/>
      <c r="H872" s="965"/>
      <c r="I872" s="965"/>
      <c r="J872" s="965"/>
      <c r="K872" s="965"/>
      <c r="L872" s="965"/>
      <c r="M872" s="965"/>
      <c r="N872" s="965"/>
      <c r="O872" s="965"/>
      <c r="P872" s="965"/>
      <c r="Q872" s="945"/>
      <c r="R872" s="945"/>
      <c r="S872" s="945"/>
      <c r="T872" s="945"/>
      <c r="U872" s="945"/>
      <c r="V872" s="945"/>
      <c r="W872" s="945"/>
      <c r="X872" s="945"/>
      <c r="Y872" s="945"/>
      <c r="Z872" s="945"/>
      <c r="AA872" s="945"/>
      <c r="AB872" s="945"/>
    </row>
    <row r="873" ht="20.25" customHeight="1">
      <c r="A873" s="964"/>
      <c r="B873" s="965"/>
      <c r="C873" s="965"/>
      <c r="D873" s="966"/>
      <c r="E873" s="967"/>
      <c r="F873" s="965"/>
      <c r="G873" s="965"/>
      <c r="H873" s="965"/>
      <c r="I873" s="965"/>
      <c r="J873" s="965"/>
      <c r="K873" s="965"/>
      <c r="L873" s="965"/>
      <c r="M873" s="965"/>
      <c r="N873" s="965"/>
      <c r="O873" s="965"/>
      <c r="P873" s="965"/>
      <c r="Q873" s="945"/>
      <c r="R873" s="945"/>
      <c r="S873" s="945"/>
      <c r="T873" s="945"/>
      <c r="U873" s="945"/>
      <c r="V873" s="945"/>
      <c r="W873" s="945"/>
      <c r="X873" s="945"/>
      <c r="Y873" s="945"/>
      <c r="Z873" s="945"/>
      <c r="AA873" s="945"/>
      <c r="AB873" s="945"/>
    </row>
    <row r="874" ht="20.25" customHeight="1">
      <c r="A874" s="964"/>
      <c r="B874" s="965"/>
      <c r="C874" s="965"/>
      <c r="D874" s="966"/>
      <c r="E874" s="967"/>
      <c r="F874" s="965"/>
      <c r="G874" s="965"/>
      <c r="H874" s="965"/>
      <c r="I874" s="965"/>
      <c r="J874" s="965"/>
      <c r="K874" s="965"/>
      <c r="L874" s="965"/>
      <c r="M874" s="965"/>
      <c r="N874" s="965"/>
      <c r="O874" s="965"/>
      <c r="P874" s="965"/>
      <c r="Q874" s="945"/>
      <c r="R874" s="945"/>
      <c r="S874" s="945"/>
      <c r="T874" s="945"/>
      <c r="U874" s="945"/>
      <c r="V874" s="945"/>
      <c r="W874" s="945"/>
      <c r="X874" s="945"/>
      <c r="Y874" s="945"/>
      <c r="Z874" s="945"/>
      <c r="AA874" s="945"/>
      <c r="AB874" s="945"/>
    </row>
    <row r="875" ht="20.25" customHeight="1">
      <c r="A875" s="964"/>
      <c r="B875" s="965"/>
      <c r="C875" s="965"/>
      <c r="D875" s="966"/>
      <c r="E875" s="967"/>
      <c r="F875" s="965"/>
      <c r="G875" s="965"/>
      <c r="H875" s="965"/>
      <c r="I875" s="965"/>
      <c r="J875" s="965"/>
      <c r="K875" s="965"/>
      <c r="L875" s="965"/>
      <c r="M875" s="965"/>
      <c r="N875" s="965"/>
      <c r="O875" s="965"/>
      <c r="P875" s="965"/>
      <c r="Q875" s="945"/>
      <c r="R875" s="945"/>
      <c r="S875" s="945"/>
      <c r="T875" s="945"/>
      <c r="U875" s="945"/>
      <c r="V875" s="945"/>
      <c r="W875" s="945"/>
      <c r="X875" s="945"/>
      <c r="Y875" s="945"/>
      <c r="Z875" s="945"/>
      <c r="AA875" s="945"/>
      <c r="AB875" s="945"/>
    </row>
    <row r="876" ht="20.25" customHeight="1">
      <c r="A876" s="964"/>
      <c r="B876" s="965"/>
      <c r="C876" s="965"/>
      <c r="D876" s="966"/>
      <c r="E876" s="967"/>
      <c r="F876" s="965"/>
      <c r="G876" s="965"/>
      <c r="H876" s="965"/>
      <c r="I876" s="965"/>
      <c r="J876" s="965"/>
      <c r="K876" s="965"/>
      <c r="L876" s="965"/>
      <c r="M876" s="965"/>
      <c r="N876" s="965"/>
      <c r="O876" s="965"/>
      <c r="P876" s="965"/>
      <c r="Q876" s="945"/>
      <c r="R876" s="945"/>
      <c r="S876" s="945"/>
      <c r="T876" s="945"/>
      <c r="U876" s="945"/>
      <c r="V876" s="945"/>
      <c r="W876" s="945"/>
      <c r="X876" s="945"/>
      <c r="Y876" s="945"/>
      <c r="Z876" s="945"/>
      <c r="AA876" s="945"/>
      <c r="AB876" s="945"/>
    </row>
    <row r="877" ht="20.25" customHeight="1">
      <c r="A877" s="964"/>
      <c r="B877" s="965"/>
      <c r="C877" s="965"/>
      <c r="D877" s="966"/>
      <c r="E877" s="967"/>
      <c r="F877" s="965"/>
      <c r="G877" s="965"/>
      <c r="H877" s="965"/>
      <c r="I877" s="965"/>
      <c r="J877" s="965"/>
      <c r="K877" s="965"/>
      <c r="L877" s="965"/>
      <c r="M877" s="965"/>
      <c r="N877" s="965"/>
      <c r="O877" s="965"/>
      <c r="P877" s="965"/>
      <c r="Q877" s="945"/>
      <c r="R877" s="945"/>
      <c r="S877" s="945"/>
      <c r="T877" s="945"/>
      <c r="U877" s="945"/>
      <c r="V877" s="945"/>
      <c r="W877" s="945"/>
      <c r="X877" s="945"/>
      <c r="Y877" s="945"/>
      <c r="Z877" s="945"/>
      <c r="AA877" s="945"/>
      <c r="AB877" s="945"/>
    </row>
    <row r="878" ht="20.25" customHeight="1">
      <c r="A878" s="964"/>
      <c r="B878" s="965"/>
      <c r="C878" s="965"/>
      <c r="D878" s="966"/>
      <c r="E878" s="967"/>
      <c r="F878" s="965"/>
      <c r="G878" s="965"/>
      <c r="H878" s="965"/>
      <c r="I878" s="965"/>
      <c r="J878" s="965"/>
      <c r="K878" s="965"/>
      <c r="L878" s="965"/>
      <c r="M878" s="965"/>
      <c r="N878" s="965"/>
      <c r="O878" s="965"/>
      <c r="P878" s="965"/>
      <c r="Q878" s="945"/>
      <c r="R878" s="945"/>
      <c r="S878" s="945"/>
      <c r="T878" s="945"/>
      <c r="U878" s="945"/>
      <c r="V878" s="945"/>
      <c r="W878" s="945"/>
      <c r="X878" s="945"/>
      <c r="Y878" s="945"/>
      <c r="Z878" s="945"/>
      <c r="AA878" s="945"/>
      <c r="AB878" s="945"/>
    </row>
    <row r="879" ht="20.25" customHeight="1">
      <c r="A879" s="964"/>
      <c r="B879" s="965"/>
      <c r="C879" s="965"/>
      <c r="D879" s="966"/>
      <c r="E879" s="967"/>
      <c r="F879" s="965"/>
      <c r="G879" s="965"/>
      <c r="H879" s="965"/>
      <c r="I879" s="965"/>
      <c r="J879" s="965"/>
      <c r="K879" s="965"/>
      <c r="L879" s="965"/>
      <c r="M879" s="965"/>
      <c r="N879" s="965"/>
      <c r="O879" s="965"/>
      <c r="P879" s="965"/>
      <c r="Q879" s="945"/>
      <c r="R879" s="945"/>
      <c r="S879" s="945"/>
      <c r="T879" s="945"/>
      <c r="U879" s="945"/>
      <c r="V879" s="945"/>
      <c r="W879" s="945"/>
      <c r="X879" s="945"/>
      <c r="Y879" s="945"/>
      <c r="Z879" s="945"/>
      <c r="AA879" s="945"/>
      <c r="AB879" s="945"/>
    </row>
    <row r="880" ht="20.25" customHeight="1">
      <c r="A880" s="964"/>
      <c r="B880" s="965"/>
      <c r="C880" s="965"/>
      <c r="D880" s="966"/>
      <c r="E880" s="967"/>
      <c r="F880" s="965"/>
      <c r="G880" s="965"/>
      <c r="H880" s="965"/>
      <c r="I880" s="965"/>
      <c r="J880" s="965"/>
      <c r="K880" s="965"/>
      <c r="L880" s="965"/>
      <c r="M880" s="965"/>
      <c r="N880" s="965"/>
      <c r="O880" s="965"/>
      <c r="P880" s="965"/>
      <c r="Q880" s="945"/>
      <c r="R880" s="945"/>
      <c r="S880" s="945"/>
      <c r="T880" s="945"/>
      <c r="U880" s="945"/>
      <c r="V880" s="945"/>
      <c r="W880" s="945"/>
      <c r="X880" s="945"/>
      <c r="Y880" s="945"/>
      <c r="Z880" s="945"/>
      <c r="AA880" s="945"/>
      <c r="AB880" s="945"/>
    </row>
    <row r="881" ht="20.25" customHeight="1">
      <c r="A881" s="964"/>
      <c r="B881" s="965"/>
      <c r="C881" s="965"/>
      <c r="D881" s="966"/>
      <c r="E881" s="967"/>
      <c r="F881" s="965"/>
      <c r="G881" s="965"/>
      <c r="H881" s="965"/>
      <c r="I881" s="965"/>
      <c r="J881" s="965"/>
      <c r="K881" s="965"/>
      <c r="L881" s="965"/>
      <c r="M881" s="965"/>
      <c r="N881" s="965"/>
      <c r="O881" s="965"/>
      <c r="P881" s="965"/>
      <c r="Q881" s="945"/>
      <c r="R881" s="945"/>
      <c r="S881" s="945"/>
      <c r="T881" s="945"/>
      <c r="U881" s="945"/>
      <c r="V881" s="945"/>
      <c r="W881" s="945"/>
      <c r="X881" s="945"/>
      <c r="Y881" s="945"/>
      <c r="Z881" s="945"/>
      <c r="AA881" s="945"/>
      <c r="AB881" s="945"/>
    </row>
    <row r="882" ht="20.25" customHeight="1">
      <c r="A882" s="964"/>
      <c r="B882" s="965"/>
      <c r="C882" s="965"/>
      <c r="D882" s="966"/>
      <c r="E882" s="967"/>
      <c r="F882" s="965"/>
      <c r="G882" s="965"/>
      <c r="H882" s="965"/>
      <c r="I882" s="965"/>
      <c r="J882" s="965"/>
      <c r="K882" s="965"/>
      <c r="L882" s="965"/>
      <c r="M882" s="965"/>
      <c r="N882" s="965"/>
      <c r="O882" s="965"/>
      <c r="P882" s="965"/>
      <c r="Q882" s="945"/>
      <c r="R882" s="945"/>
      <c r="S882" s="945"/>
      <c r="T882" s="945"/>
      <c r="U882" s="945"/>
      <c r="V882" s="945"/>
      <c r="W882" s="945"/>
      <c r="X882" s="945"/>
      <c r="Y882" s="945"/>
      <c r="Z882" s="945"/>
      <c r="AA882" s="945"/>
      <c r="AB882" s="945"/>
    </row>
    <row r="883" ht="20.25" customHeight="1">
      <c r="A883" s="964"/>
      <c r="B883" s="965"/>
      <c r="C883" s="965"/>
      <c r="D883" s="966"/>
      <c r="E883" s="967"/>
      <c r="F883" s="965"/>
      <c r="G883" s="965"/>
      <c r="H883" s="965"/>
      <c r="I883" s="965"/>
      <c r="J883" s="965"/>
      <c r="K883" s="965"/>
      <c r="L883" s="965"/>
      <c r="M883" s="965"/>
      <c r="N883" s="965"/>
      <c r="O883" s="965"/>
      <c r="P883" s="965"/>
      <c r="Q883" s="945"/>
      <c r="R883" s="945"/>
      <c r="S883" s="945"/>
      <c r="T883" s="945"/>
      <c r="U883" s="945"/>
      <c r="V883" s="945"/>
      <c r="W883" s="945"/>
      <c r="X883" s="945"/>
      <c r="Y883" s="945"/>
      <c r="Z883" s="945"/>
      <c r="AA883" s="945"/>
      <c r="AB883" s="945"/>
    </row>
    <row r="884" ht="20.25" customHeight="1">
      <c r="A884" s="964"/>
      <c r="B884" s="965"/>
      <c r="C884" s="965"/>
      <c r="D884" s="966"/>
      <c r="E884" s="967"/>
      <c r="F884" s="965"/>
      <c r="G884" s="965"/>
      <c r="H884" s="965"/>
      <c r="I884" s="965"/>
      <c r="J884" s="965"/>
      <c r="K884" s="965"/>
      <c r="L884" s="965"/>
      <c r="M884" s="965"/>
      <c r="N884" s="965"/>
      <c r="O884" s="965"/>
      <c r="P884" s="965"/>
      <c r="Q884" s="945"/>
      <c r="R884" s="945"/>
      <c r="S884" s="945"/>
      <c r="T884" s="945"/>
      <c r="U884" s="945"/>
      <c r="V884" s="945"/>
      <c r="W884" s="945"/>
      <c r="X884" s="945"/>
      <c r="Y884" s="945"/>
      <c r="Z884" s="945"/>
      <c r="AA884" s="945"/>
      <c r="AB884" s="945"/>
    </row>
    <row r="885" ht="20.25" customHeight="1">
      <c r="A885" s="964"/>
      <c r="B885" s="965"/>
      <c r="C885" s="965"/>
      <c r="D885" s="966"/>
      <c r="E885" s="967"/>
      <c r="F885" s="965"/>
      <c r="G885" s="965"/>
      <c r="H885" s="965"/>
      <c r="I885" s="965"/>
      <c r="J885" s="965"/>
      <c r="K885" s="965"/>
      <c r="L885" s="965"/>
      <c r="M885" s="965"/>
      <c r="N885" s="965"/>
      <c r="O885" s="965"/>
      <c r="P885" s="965"/>
      <c r="Q885" s="945"/>
      <c r="R885" s="945"/>
      <c r="S885" s="945"/>
      <c r="T885" s="945"/>
      <c r="U885" s="945"/>
      <c r="V885" s="945"/>
      <c r="W885" s="945"/>
      <c r="X885" s="945"/>
      <c r="Y885" s="945"/>
      <c r="Z885" s="945"/>
      <c r="AA885" s="945"/>
      <c r="AB885" s="945"/>
    </row>
    <row r="886" ht="20.25" customHeight="1">
      <c r="A886" s="964"/>
      <c r="B886" s="965"/>
      <c r="C886" s="965"/>
      <c r="D886" s="966"/>
      <c r="E886" s="967"/>
      <c r="F886" s="965"/>
      <c r="G886" s="965"/>
      <c r="H886" s="965"/>
      <c r="I886" s="965"/>
      <c r="J886" s="965"/>
      <c r="K886" s="965"/>
      <c r="L886" s="965"/>
      <c r="M886" s="965"/>
      <c r="N886" s="965"/>
      <c r="O886" s="965"/>
      <c r="P886" s="965"/>
      <c r="Q886" s="945"/>
      <c r="R886" s="945"/>
      <c r="S886" s="945"/>
      <c r="T886" s="945"/>
      <c r="U886" s="945"/>
      <c r="V886" s="945"/>
      <c r="W886" s="945"/>
      <c r="X886" s="945"/>
      <c r="Y886" s="945"/>
      <c r="Z886" s="945"/>
      <c r="AA886" s="945"/>
      <c r="AB886" s="945"/>
    </row>
    <row r="887" ht="20.25" customHeight="1">
      <c r="A887" s="964"/>
      <c r="B887" s="965"/>
      <c r="C887" s="965"/>
      <c r="D887" s="966"/>
      <c r="E887" s="967"/>
      <c r="F887" s="965"/>
      <c r="G887" s="965"/>
      <c r="H887" s="965"/>
      <c r="I887" s="965"/>
      <c r="J887" s="965"/>
      <c r="K887" s="965"/>
      <c r="L887" s="965"/>
      <c r="M887" s="965"/>
      <c r="N887" s="965"/>
      <c r="O887" s="965"/>
      <c r="P887" s="965"/>
      <c r="Q887" s="945"/>
      <c r="R887" s="945"/>
      <c r="S887" s="945"/>
      <c r="T887" s="945"/>
      <c r="U887" s="945"/>
      <c r="V887" s="945"/>
      <c r="W887" s="945"/>
      <c r="X887" s="945"/>
      <c r="Y887" s="945"/>
      <c r="Z887" s="945"/>
      <c r="AA887" s="945"/>
      <c r="AB887" s="945"/>
    </row>
    <row r="888" ht="20.25" customHeight="1">
      <c r="A888" s="964"/>
      <c r="B888" s="965"/>
      <c r="C888" s="965"/>
      <c r="D888" s="966"/>
      <c r="E888" s="967"/>
      <c r="F888" s="965"/>
      <c r="G888" s="965"/>
      <c r="H888" s="965"/>
      <c r="I888" s="965"/>
      <c r="J888" s="965"/>
      <c r="K888" s="965"/>
      <c r="L888" s="965"/>
      <c r="M888" s="965"/>
      <c r="N888" s="965"/>
      <c r="O888" s="965"/>
      <c r="P888" s="965"/>
      <c r="Q888" s="945"/>
      <c r="R888" s="945"/>
      <c r="S888" s="945"/>
      <c r="T888" s="945"/>
      <c r="U888" s="945"/>
      <c r="V888" s="945"/>
      <c r="W888" s="945"/>
      <c r="X888" s="945"/>
      <c r="Y888" s="945"/>
      <c r="Z888" s="945"/>
      <c r="AA888" s="945"/>
      <c r="AB888" s="945"/>
    </row>
    <row r="889" ht="20.25" customHeight="1">
      <c r="A889" s="964"/>
      <c r="B889" s="965"/>
      <c r="C889" s="965"/>
      <c r="D889" s="966"/>
      <c r="E889" s="967"/>
      <c r="F889" s="965"/>
      <c r="G889" s="965"/>
      <c r="H889" s="965"/>
      <c r="I889" s="965"/>
      <c r="J889" s="965"/>
      <c r="K889" s="965"/>
      <c r="L889" s="965"/>
      <c r="M889" s="965"/>
      <c r="N889" s="965"/>
      <c r="O889" s="965"/>
      <c r="P889" s="965"/>
      <c r="Q889" s="945"/>
      <c r="R889" s="945"/>
      <c r="S889" s="945"/>
      <c r="T889" s="945"/>
      <c r="U889" s="945"/>
      <c r="V889" s="945"/>
      <c r="W889" s="945"/>
      <c r="X889" s="945"/>
      <c r="Y889" s="945"/>
      <c r="Z889" s="945"/>
      <c r="AA889" s="945"/>
      <c r="AB889" s="945"/>
    </row>
    <row r="890" ht="20.25" customHeight="1">
      <c r="A890" s="964"/>
      <c r="B890" s="965"/>
      <c r="C890" s="965"/>
      <c r="D890" s="966"/>
      <c r="E890" s="967"/>
      <c r="F890" s="965"/>
      <c r="G890" s="965"/>
      <c r="H890" s="965"/>
      <c r="I890" s="965"/>
      <c r="J890" s="965"/>
      <c r="K890" s="965"/>
      <c r="L890" s="965"/>
      <c r="M890" s="965"/>
      <c r="N890" s="965"/>
      <c r="O890" s="965"/>
      <c r="P890" s="965"/>
      <c r="Q890" s="945"/>
      <c r="R890" s="945"/>
      <c r="S890" s="945"/>
      <c r="T890" s="945"/>
      <c r="U890" s="945"/>
      <c r="V890" s="945"/>
      <c r="W890" s="945"/>
      <c r="X890" s="945"/>
      <c r="Y890" s="945"/>
      <c r="Z890" s="945"/>
      <c r="AA890" s="945"/>
      <c r="AB890" s="945"/>
    </row>
    <row r="891" ht="20.25" customHeight="1">
      <c r="A891" s="964"/>
      <c r="B891" s="965"/>
      <c r="C891" s="965"/>
      <c r="D891" s="966"/>
      <c r="E891" s="967"/>
      <c r="F891" s="965"/>
      <c r="G891" s="965"/>
      <c r="H891" s="965"/>
      <c r="I891" s="965"/>
      <c r="J891" s="965"/>
      <c r="K891" s="965"/>
      <c r="L891" s="965"/>
      <c r="M891" s="965"/>
      <c r="N891" s="965"/>
      <c r="O891" s="965"/>
      <c r="P891" s="965"/>
      <c r="Q891" s="945"/>
      <c r="R891" s="945"/>
      <c r="S891" s="945"/>
      <c r="T891" s="945"/>
      <c r="U891" s="945"/>
      <c r="V891" s="945"/>
      <c r="W891" s="945"/>
      <c r="X891" s="945"/>
      <c r="Y891" s="945"/>
      <c r="Z891" s="945"/>
      <c r="AA891" s="945"/>
      <c r="AB891" s="945"/>
    </row>
    <row r="892" ht="20.25" customHeight="1">
      <c r="A892" s="964"/>
      <c r="B892" s="965"/>
      <c r="C892" s="965"/>
      <c r="D892" s="966"/>
      <c r="E892" s="967"/>
      <c r="F892" s="965"/>
      <c r="G892" s="965"/>
      <c r="H892" s="965"/>
      <c r="I892" s="965"/>
      <c r="J892" s="965"/>
      <c r="K892" s="965"/>
      <c r="L892" s="965"/>
      <c r="M892" s="965"/>
      <c r="N892" s="965"/>
      <c r="O892" s="965"/>
      <c r="P892" s="965"/>
      <c r="Q892" s="945"/>
      <c r="R892" s="945"/>
      <c r="S892" s="945"/>
      <c r="T892" s="945"/>
      <c r="U892" s="945"/>
      <c r="V892" s="945"/>
      <c r="W892" s="945"/>
      <c r="X892" s="945"/>
      <c r="Y892" s="945"/>
      <c r="Z892" s="945"/>
      <c r="AA892" s="945"/>
      <c r="AB892" s="945"/>
    </row>
    <row r="893" ht="20.25" customHeight="1">
      <c r="A893" s="964"/>
      <c r="B893" s="965"/>
      <c r="C893" s="965"/>
      <c r="D893" s="966"/>
      <c r="E893" s="967"/>
      <c r="F893" s="965"/>
      <c r="G893" s="965"/>
      <c r="H893" s="965"/>
      <c r="I893" s="965"/>
      <c r="J893" s="965"/>
      <c r="K893" s="965"/>
      <c r="L893" s="965"/>
      <c r="M893" s="965"/>
      <c r="N893" s="965"/>
      <c r="O893" s="965"/>
      <c r="P893" s="965"/>
      <c r="Q893" s="945"/>
      <c r="R893" s="945"/>
      <c r="S893" s="945"/>
      <c r="T893" s="945"/>
      <c r="U893" s="945"/>
      <c r="V893" s="945"/>
      <c r="W893" s="945"/>
      <c r="X893" s="945"/>
      <c r="Y893" s="945"/>
      <c r="Z893" s="945"/>
      <c r="AA893" s="945"/>
      <c r="AB893" s="945"/>
    </row>
    <row r="894" ht="20.25" customHeight="1">
      <c r="A894" s="964"/>
      <c r="B894" s="965"/>
      <c r="C894" s="965"/>
      <c r="D894" s="966"/>
      <c r="E894" s="967"/>
      <c r="F894" s="965"/>
      <c r="G894" s="965"/>
      <c r="H894" s="965"/>
      <c r="I894" s="965"/>
      <c r="J894" s="965"/>
      <c r="K894" s="965"/>
      <c r="L894" s="965"/>
      <c r="M894" s="965"/>
      <c r="N894" s="965"/>
      <c r="O894" s="965"/>
      <c r="P894" s="965"/>
      <c r="Q894" s="945"/>
      <c r="R894" s="945"/>
      <c r="S894" s="945"/>
      <c r="T894" s="945"/>
      <c r="U894" s="945"/>
      <c r="V894" s="945"/>
      <c r="W894" s="945"/>
      <c r="X894" s="945"/>
      <c r="Y894" s="945"/>
      <c r="Z894" s="945"/>
      <c r="AA894" s="945"/>
      <c r="AB894" s="945"/>
    </row>
    <row r="895" ht="20.25" customHeight="1">
      <c r="A895" s="964"/>
      <c r="B895" s="965"/>
      <c r="C895" s="965"/>
      <c r="D895" s="966"/>
      <c r="E895" s="967"/>
      <c r="F895" s="965"/>
      <c r="G895" s="965"/>
      <c r="H895" s="965"/>
      <c r="I895" s="965"/>
      <c r="J895" s="965"/>
      <c r="K895" s="965"/>
      <c r="L895" s="965"/>
      <c r="M895" s="965"/>
      <c r="N895" s="965"/>
      <c r="O895" s="965"/>
      <c r="P895" s="965"/>
      <c r="Q895" s="945"/>
      <c r="R895" s="945"/>
      <c r="S895" s="945"/>
      <c r="T895" s="945"/>
      <c r="U895" s="945"/>
      <c r="V895" s="945"/>
      <c r="W895" s="945"/>
      <c r="X895" s="945"/>
      <c r="Y895" s="945"/>
      <c r="Z895" s="945"/>
      <c r="AA895" s="945"/>
      <c r="AB895" s="945"/>
    </row>
    <row r="896" ht="20.25" customHeight="1">
      <c r="A896" s="964"/>
      <c r="B896" s="965"/>
      <c r="C896" s="965"/>
      <c r="D896" s="966"/>
      <c r="E896" s="967"/>
      <c r="F896" s="965"/>
      <c r="G896" s="965"/>
      <c r="H896" s="965"/>
      <c r="I896" s="965"/>
      <c r="J896" s="965"/>
      <c r="K896" s="965"/>
      <c r="L896" s="965"/>
      <c r="M896" s="965"/>
      <c r="N896" s="965"/>
      <c r="O896" s="965"/>
      <c r="P896" s="965"/>
      <c r="Q896" s="945"/>
      <c r="R896" s="945"/>
      <c r="S896" s="945"/>
      <c r="T896" s="945"/>
      <c r="U896" s="945"/>
      <c r="V896" s="945"/>
      <c r="W896" s="945"/>
      <c r="X896" s="945"/>
      <c r="Y896" s="945"/>
      <c r="Z896" s="945"/>
      <c r="AA896" s="945"/>
      <c r="AB896" s="945"/>
    </row>
    <row r="897" ht="20.25" customHeight="1">
      <c r="A897" s="964"/>
      <c r="B897" s="965"/>
      <c r="C897" s="965"/>
      <c r="D897" s="966"/>
      <c r="E897" s="967"/>
      <c r="F897" s="965"/>
      <c r="G897" s="965"/>
      <c r="H897" s="965"/>
      <c r="I897" s="965"/>
      <c r="J897" s="965"/>
      <c r="K897" s="965"/>
      <c r="L897" s="965"/>
      <c r="M897" s="965"/>
      <c r="N897" s="965"/>
      <c r="O897" s="965"/>
      <c r="P897" s="965"/>
      <c r="Q897" s="945"/>
      <c r="R897" s="945"/>
      <c r="S897" s="945"/>
      <c r="T897" s="945"/>
      <c r="U897" s="945"/>
      <c r="V897" s="945"/>
      <c r="W897" s="945"/>
      <c r="X897" s="945"/>
      <c r="Y897" s="945"/>
      <c r="Z897" s="945"/>
      <c r="AA897" s="945"/>
      <c r="AB897" s="945"/>
    </row>
    <row r="898" ht="20.25" customHeight="1">
      <c r="A898" s="964"/>
      <c r="B898" s="965"/>
      <c r="C898" s="965"/>
      <c r="D898" s="966"/>
      <c r="E898" s="967"/>
      <c r="F898" s="965"/>
      <c r="G898" s="965"/>
      <c r="H898" s="965"/>
      <c r="I898" s="965"/>
      <c r="J898" s="965"/>
      <c r="K898" s="965"/>
      <c r="L898" s="965"/>
      <c r="M898" s="965"/>
      <c r="N898" s="965"/>
      <c r="O898" s="965"/>
      <c r="P898" s="965"/>
      <c r="Q898" s="945"/>
      <c r="R898" s="945"/>
      <c r="S898" s="945"/>
      <c r="T898" s="945"/>
      <c r="U898" s="945"/>
      <c r="V898" s="945"/>
      <c r="W898" s="945"/>
      <c r="X898" s="945"/>
      <c r="Y898" s="945"/>
      <c r="Z898" s="945"/>
      <c r="AA898" s="945"/>
      <c r="AB898" s="945"/>
    </row>
    <row r="899" ht="20.25" customHeight="1">
      <c r="A899" s="964"/>
      <c r="B899" s="965"/>
      <c r="C899" s="965"/>
      <c r="D899" s="966"/>
      <c r="E899" s="967"/>
      <c r="F899" s="965"/>
      <c r="G899" s="965"/>
      <c r="H899" s="965"/>
      <c r="I899" s="965"/>
      <c r="J899" s="965"/>
      <c r="K899" s="965"/>
      <c r="L899" s="965"/>
      <c r="M899" s="965"/>
      <c r="N899" s="965"/>
      <c r="O899" s="965"/>
      <c r="P899" s="965"/>
      <c r="Q899" s="945"/>
      <c r="R899" s="945"/>
      <c r="S899" s="945"/>
      <c r="T899" s="945"/>
      <c r="U899" s="945"/>
      <c r="V899" s="945"/>
      <c r="W899" s="945"/>
      <c r="X899" s="945"/>
      <c r="Y899" s="945"/>
      <c r="Z899" s="945"/>
      <c r="AA899" s="945"/>
      <c r="AB899" s="945"/>
    </row>
    <row r="900" ht="20.25" customHeight="1">
      <c r="A900" s="964"/>
      <c r="B900" s="965"/>
      <c r="C900" s="965"/>
      <c r="D900" s="966"/>
      <c r="E900" s="967"/>
      <c r="F900" s="965"/>
      <c r="G900" s="965"/>
      <c r="H900" s="965"/>
      <c r="I900" s="965"/>
      <c r="J900" s="965"/>
      <c r="K900" s="965"/>
      <c r="L900" s="965"/>
      <c r="M900" s="965"/>
      <c r="N900" s="965"/>
      <c r="O900" s="965"/>
      <c r="P900" s="965"/>
      <c r="Q900" s="945"/>
      <c r="R900" s="945"/>
      <c r="S900" s="945"/>
      <c r="T900" s="945"/>
      <c r="U900" s="945"/>
      <c r="V900" s="945"/>
      <c r="W900" s="945"/>
      <c r="X900" s="945"/>
      <c r="Y900" s="945"/>
      <c r="Z900" s="945"/>
      <c r="AA900" s="945"/>
      <c r="AB900" s="945"/>
    </row>
    <row r="901" ht="20.25" customHeight="1">
      <c r="A901" s="964"/>
      <c r="B901" s="965"/>
      <c r="C901" s="965"/>
      <c r="D901" s="966"/>
      <c r="E901" s="967"/>
      <c r="F901" s="965"/>
      <c r="G901" s="965"/>
      <c r="H901" s="965"/>
      <c r="I901" s="965"/>
      <c r="J901" s="965"/>
      <c r="K901" s="965"/>
      <c r="L901" s="965"/>
      <c r="M901" s="965"/>
      <c r="N901" s="965"/>
      <c r="O901" s="965"/>
      <c r="P901" s="965"/>
      <c r="Q901" s="945"/>
      <c r="R901" s="945"/>
      <c r="S901" s="945"/>
      <c r="T901" s="945"/>
      <c r="U901" s="945"/>
      <c r="V901" s="945"/>
      <c r="W901" s="945"/>
      <c r="X901" s="945"/>
      <c r="Y901" s="945"/>
      <c r="Z901" s="945"/>
      <c r="AA901" s="945"/>
      <c r="AB901" s="945"/>
    </row>
    <row r="902" ht="20.25" customHeight="1">
      <c r="A902" s="964"/>
      <c r="B902" s="965"/>
      <c r="C902" s="965"/>
      <c r="D902" s="966"/>
      <c r="E902" s="967"/>
      <c r="F902" s="965"/>
      <c r="G902" s="965"/>
      <c r="H902" s="965"/>
      <c r="I902" s="965"/>
      <c r="J902" s="965"/>
      <c r="K902" s="965"/>
      <c r="L902" s="965"/>
      <c r="M902" s="965"/>
      <c r="N902" s="965"/>
      <c r="O902" s="965"/>
      <c r="P902" s="965"/>
      <c r="Q902" s="945"/>
      <c r="R902" s="945"/>
      <c r="S902" s="945"/>
      <c r="T902" s="945"/>
      <c r="U902" s="945"/>
      <c r="V902" s="945"/>
      <c r="W902" s="945"/>
      <c r="X902" s="945"/>
      <c r="Y902" s="945"/>
      <c r="Z902" s="945"/>
      <c r="AA902" s="945"/>
      <c r="AB902" s="945"/>
    </row>
    <row r="903" ht="20.25" customHeight="1">
      <c r="A903" s="964"/>
      <c r="B903" s="965"/>
      <c r="C903" s="965"/>
      <c r="D903" s="966"/>
      <c r="E903" s="967"/>
      <c r="F903" s="965"/>
      <c r="G903" s="965"/>
      <c r="H903" s="965"/>
      <c r="I903" s="965"/>
      <c r="J903" s="965"/>
      <c r="K903" s="965"/>
      <c r="L903" s="965"/>
      <c r="M903" s="965"/>
      <c r="N903" s="965"/>
      <c r="O903" s="965"/>
      <c r="P903" s="965"/>
      <c r="Q903" s="945"/>
      <c r="R903" s="945"/>
      <c r="S903" s="945"/>
      <c r="T903" s="945"/>
      <c r="U903" s="945"/>
      <c r="V903" s="945"/>
      <c r="W903" s="945"/>
      <c r="X903" s="945"/>
      <c r="Y903" s="945"/>
      <c r="Z903" s="945"/>
      <c r="AA903" s="945"/>
      <c r="AB903" s="945"/>
    </row>
    <row r="904" ht="20.25" customHeight="1">
      <c r="A904" s="964"/>
      <c r="B904" s="965"/>
      <c r="C904" s="965"/>
      <c r="D904" s="966"/>
      <c r="E904" s="967"/>
      <c r="F904" s="965"/>
      <c r="G904" s="965"/>
      <c r="H904" s="965"/>
      <c r="I904" s="965"/>
      <c r="J904" s="965"/>
      <c r="K904" s="965"/>
      <c r="L904" s="965"/>
      <c r="M904" s="965"/>
      <c r="N904" s="965"/>
      <c r="O904" s="965"/>
      <c r="P904" s="965"/>
      <c r="Q904" s="945"/>
      <c r="R904" s="945"/>
      <c r="S904" s="945"/>
      <c r="T904" s="945"/>
      <c r="U904" s="945"/>
      <c r="V904" s="945"/>
      <c r="W904" s="945"/>
      <c r="X904" s="945"/>
      <c r="Y904" s="945"/>
      <c r="Z904" s="945"/>
      <c r="AA904" s="945"/>
      <c r="AB904" s="945"/>
    </row>
    <row r="905" ht="20.25" customHeight="1">
      <c r="A905" s="964"/>
      <c r="B905" s="965"/>
      <c r="C905" s="965"/>
      <c r="D905" s="966"/>
      <c r="E905" s="967"/>
      <c r="F905" s="965"/>
      <c r="G905" s="965"/>
      <c r="H905" s="965"/>
      <c r="I905" s="965"/>
      <c r="J905" s="965"/>
      <c r="K905" s="965"/>
      <c r="L905" s="965"/>
      <c r="M905" s="965"/>
      <c r="N905" s="965"/>
      <c r="O905" s="965"/>
      <c r="P905" s="965"/>
      <c r="Q905" s="945"/>
      <c r="R905" s="945"/>
      <c r="S905" s="945"/>
      <c r="T905" s="945"/>
      <c r="U905" s="945"/>
      <c r="V905" s="945"/>
      <c r="W905" s="945"/>
      <c r="X905" s="945"/>
      <c r="Y905" s="945"/>
      <c r="Z905" s="945"/>
      <c r="AA905" s="945"/>
      <c r="AB905" s="945"/>
    </row>
    <row r="906" ht="20.25" customHeight="1">
      <c r="A906" s="964"/>
      <c r="B906" s="965"/>
      <c r="C906" s="965"/>
      <c r="D906" s="966"/>
      <c r="E906" s="967"/>
      <c r="F906" s="965"/>
      <c r="G906" s="965"/>
      <c r="H906" s="965"/>
      <c r="I906" s="965"/>
      <c r="J906" s="965"/>
      <c r="K906" s="965"/>
      <c r="L906" s="965"/>
      <c r="M906" s="965"/>
      <c r="N906" s="965"/>
      <c r="O906" s="965"/>
      <c r="P906" s="965"/>
      <c r="Q906" s="945"/>
      <c r="R906" s="945"/>
      <c r="S906" s="945"/>
      <c r="T906" s="945"/>
      <c r="U906" s="945"/>
      <c r="V906" s="945"/>
      <c r="W906" s="945"/>
      <c r="X906" s="945"/>
      <c r="Y906" s="945"/>
      <c r="Z906" s="945"/>
      <c r="AA906" s="945"/>
      <c r="AB906" s="945"/>
    </row>
    <row r="907" ht="20.25" customHeight="1">
      <c r="A907" s="964"/>
      <c r="B907" s="965"/>
      <c r="C907" s="965"/>
      <c r="D907" s="966"/>
      <c r="E907" s="967"/>
      <c r="F907" s="965"/>
      <c r="G907" s="965"/>
      <c r="H907" s="965"/>
      <c r="I907" s="965"/>
      <c r="J907" s="965"/>
      <c r="K907" s="965"/>
      <c r="L907" s="965"/>
      <c r="M907" s="965"/>
      <c r="N907" s="965"/>
      <c r="O907" s="965"/>
      <c r="P907" s="965"/>
      <c r="Q907" s="945"/>
      <c r="R907" s="945"/>
      <c r="S907" s="945"/>
      <c r="T907" s="945"/>
      <c r="U907" s="945"/>
      <c r="V907" s="945"/>
      <c r="W907" s="945"/>
      <c r="X907" s="945"/>
      <c r="Y907" s="945"/>
      <c r="Z907" s="945"/>
      <c r="AA907" s="945"/>
      <c r="AB907" s="945"/>
    </row>
    <row r="908" ht="20.25" customHeight="1">
      <c r="A908" s="964"/>
      <c r="B908" s="965"/>
      <c r="C908" s="965"/>
      <c r="D908" s="966"/>
      <c r="E908" s="967"/>
      <c r="F908" s="965"/>
      <c r="G908" s="965"/>
      <c r="H908" s="965"/>
      <c r="I908" s="965"/>
      <c r="J908" s="965"/>
      <c r="K908" s="965"/>
      <c r="L908" s="965"/>
      <c r="M908" s="965"/>
      <c r="N908" s="965"/>
      <c r="O908" s="965"/>
      <c r="P908" s="965"/>
      <c r="Q908" s="945"/>
      <c r="R908" s="945"/>
      <c r="S908" s="945"/>
      <c r="T908" s="945"/>
      <c r="U908" s="945"/>
      <c r="V908" s="945"/>
      <c r="W908" s="945"/>
      <c r="X908" s="945"/>
      <c r="Y908" s="945"/>
      <c r="Z908" s="945"/>
      <c r="AA908" s="945"/>
      <c r="AB908" s="945"/>
    </row>
    <row r="909" ht="20.25" customHeight="1">
      <c r="A909" s="964"/>
      <c r="B909" s="965"/>
      <c r="C909" s="965"/>
      <c r="D909" s="966"/>
      <c r="E909" s="967"/>
      <c r="F909" s="965"/>
      <c r="G909" s="965"/>
      <c r="H909" s="965"/>
      <c r="I909" s="965"/>
      <c r="J909" s="965"/>
      <c r="K909" s="965"/>
      <c r="L909" s="965"/>
      <c r="M909" s="965"/>
      <c r="N909" s="965"/>
      <c r="O909" s="965"/>
      <c r="P909" s="965"/>
      <c r="Q909" s="945"/>
      <c r="R909" s="945"/>
      <c r="S909" s="945"/>
      <c r="T909" s="945"/>
      <c r="U909" s="945"/>
      <c r="V909" s="945"/>
      <c r="W909" s="945"/>
      <c r="X909" s="945"/>
      <c r="Y909" s="945"/>
      <c r="Z909" s="945"/>
      <c r="AA909" s="945"/>
      <c r="AB909" s="945"/>
    </row>
    <row r="910" ht="20.25" customHeight="1">
      <c r="A910" s="964"/>
      <c r="B910" s="965"/>
      <c r="C910" s="965"/>
      <c r="D910" s="966"/>
      <c r="E910" s="967"/>
      <c r="F910" s="965"/>
      <c r="G910" s="965"/>
      <c r="H910" s="965"/>
      <c r="I910" s="965"/>
      <c r="J910" s="965"/>
      <c r="K910" s="965"/>
      <c r="L910" s="965"/>
      <c r="M910" s="965"/>
      <c r="N910" s="965"/>
      <c r="O910" s="965"/>
      <c r="P910" s="965"/>
      <c r="Q910" s="945"/>
      <c r="R910" s="945"/>
      <c r="S910" s="945"/>
      <c r="T910" s="945"/>
      <c r="U910" s="945"/>
      <c r="V910" s="945"/>
      <c r="W910" s="945"/>
      <c r="X910" s="945"/>
      <c r="Y910" s="945"/>
      <c r="Z910" s="945"/>
      <c r="AA910" s="945"/>
      <c r="AB910" s="945"/>
    </row>
    <row r="911" ht="20.25" customHeight="1">
      <c r="A911" s="964"/>
      <c r="B911" s="965"/>
      <c r="C911" s="965"/>
      <c r="D911" s="966"/>
      <c r="E911" s="967"/>
      <c r="F911" s="965"/>
      <c r="G911" s="965"/>
      <c r="H911" s="965"/>
      <c r="I911" s="965"/>
      <c r="J911" s="965"/>
      <c r="K911" s="965"/>
      <c r="L911" s="965"/>
      <c r="M911" s="965"/>
      <c r="N911" s="965"/>
      <c r="O911" s="965"/>
      <c r="P911" s="965"/>
      <c r="Q911" s="945"/>
      <c r="R911" s="945"/>
      <c r="S911" s="945"/>
      <c r="T911" s="945"/>
      <c r="U911" s="945"/>
      <c r="V911" s="945"/>
      <c r="W911" s="945"/>
      <c r="X911" s="945"/>
      <c r="Y911" s="945"/>
      <c r="Z911" s="945"/>
      <c r="AA911" s="945"/>
      <c r="AB911" s="945"/>
    </row>
    <row r="912" ht="20.25" customHeight="1">
      <c r="A912" s="964"/>
      <c r="B912" s="965"/>
      <c r="C912" s="965"/>
      <c r="D912" s="966"/>
      <c r="E912" s="967"/>
      <c r="F912" s="965"/>
      <c r="G912" s="965"/>
      <c r="H912" s="965"/>
      <c r="I912" s="965"/>
      <c r="J912" s="965"/>
      <c r="K912" s="965"/>
      <c r="L912" s="965"/>
      <c r="M912" s="965"/>
      <c r="N912" s="965"/>
      <c r="O912" s="965"/>
      <c r="P912" s="965"/>
      <c r="Q912" s="945"/>
      <c r="R912" s="945"/>
      <c r="S912" s="945"/>
      <c r="T912" s="945"/>
      <c r="U912" s="945"/>
      <c r="V912" s="945"/>
      <c r="W912" s="945"/>
      <c r="X912" s="945"/>
      <c r="Y912" s="945"/>
      <c r="Z912" s="945"/>
      <c r="AA912" s="945"/>
      <c r="AB912" s="945"/>
    </row>
    <row r="913" ht="20.25" customHeight="1">
      <c r="A913" s="964"/>
      <c r="B913" s="965"/>
      <c r="C913" s="965"/>
      <c r="D913" s="966"/>
      <c r="E913" s="967"/>
      <c r="F913" s="965"/>
      <c r="G913" s="965"/>
      <c r="H913" s="965"/>
      <c r="I913" s="965"/>
      <c r="J913" s="965"/>
      <c r="K913" s="965"/>
      <c r="L913" s="965"/>
      <c r="M913" s="965"/>
      <c r="N913" s="965"/>
      <c r="O913" s="965"/>
      <c r="P913" s="965"/>
      <c r="Q913" s="945"/>
      <c r="R913" s="945"/>
      <c r="S913" s="945"/>
      <c r="T913" s="945"/>
      <c r="U913" s="945"/>
      <c r="V913" s="945"/>
      <c r="W913" s="945"/>
      <c r="X913" s="945"/>
      <c r="Y913" s="945"/>
      <c r="Z913" s="945"/>
      <c r="AA913" s="945"/>
      <c r="AB913" s="945"/>
    </row>
    <row r="914" ht="20.25" customHeight="1">
      <c r="A914" s="964"/>
      <c r="B914" s="965"/>
      <c r="C914" s="965"/>
      <c r="D914" s="966"/>
      <c r="E914" s="967"/>
      <c r="F914" s="965"/>
      <c r="G914" s="965"/>
      <c r="H914" s="965"/>
      <c r="I914" s="965"/>
      <c r="J914" s="965"/>
      <c r="K914" s="965"/>
      <c r="L914" s="965"/>
      <c r="M914" s="965"/>
      <c r="N914" s="965"/>
      <c r="O914" s="965"/>
      <c r="P914" s="965"/>
      <c r="Q914" s="945"/>
      <c r="R914" s="945"/>
      <c r="S914" s="945"/>
      <c r="T914" s="945"/>
      <c r="U914" s="945"/>
      <c r="V914" s="945"/>
      <c r="W914" s="945"/>
      <c r="X914" s="945"/>
      <c r="Y914" s="945"/>
      <c r="Z914" s="945"/>
      <c r="AA914" s="945"/>
      <c r="AB914" s="945"/>
    </row>
    <row r="915" ht="20.25" customHeight="1">
      <c r="A915" s="964"/>
      <c r="B915" s="965"/>
      <c r="C915" s="965"/>
      <c r="D915" s="966"/>
      <c r="E915" s="967"/>
      <c r="F915" s="965"/>
      <c r="G915" s="965"/>
      <c r="H915" s="965"/>
      <c r="I915" s="965"/>
      <c r="J915" s="965"/>
      <c r="K915" s="965"/>
      <c r="L915" s="965"/>
      <c r="M915" s="965"/>
      <c r="N915" s="965"/>
      <c r="O915" s="965"/>
      <c r="P915" s="965"/>
      <c r="Q915" s="945"/>
      <c r="R915" s="945"/>
      <c r="S915" s="945"/>
      <c r="T915" s="945"/>
      <c r="U915" s="945"/>
      <c r="V915" s="945"/>
      <c r="W915" s="945"/>
      <c r="X915" s="945"/>
      <c r="Y915" s="945"/>
      <c r="Z915" s="945"/>
      <c r="AA915" s="945"/>
      <c r="AB915" s="945"/>
    </row>
    <row r="916" ht="20.25" customHeight="1">
      <c r="A916" s="964"/>
      <c r="B916" s="965"/>
      <c r="C916" s="965"/>
      <c r="D916" s="966"/>
      <c r="E916" s="967"/>
      <c r="F916" s="965"/>
      <c r="G916" s="965"/>
      <c r="H916" s="965"/>
      <c r="I916" s="965"/>
      <c r="J916" s="965"/>
      <c r="K916" s="965"/>
      <c r="L916" s="965"/>
      <c r="M916" s="965"/>
      <c r="N916" s="965"/>
      <c r="O916" s="965"/>
      <c r="P916" s="965"/>
      <c r="Q916" s="945"/>
      <c r="R916" s="945"/>
      <c r="S916" s="945"/>
      <c r="T916" s="945"/>
      <c r="U916" s="945"/>
      <c r="V916" s="945"/>
      <c r="W916" s="945"/>
      <c r="X916" s="945"/>
      <c r="Y916" s="945"/>
      <c r="Z916" s="945"/>
      <c r="AA916" s="945"/>
      <c r="AB916" s="945"/>
    </row>
    <row r="917" ht="20.25" customHeight="1">
      <c r="A917" s="964"/>
      <c r="B917" s="965"/>
      <c r="C917" s="965"/>
      <c r="D917" s="966"/>
      <c r="E917" s="967"/>
      <c r="F917" s="965"/>
      <c r="G917" s="965"/>
      <c r="H917" s="965"/>
      <c r="I917" s="965"/>
      <c r="J917" s="965"/>
      <c r="K917" s="965"/>
      <c r="L917" s="965"/>
      <c r="M917" s="965"/>
      <c r="N917" s="965"/>
      <c r="O917" s="965"/>
      <c r="P917" s="965"/>
      <c r="Q917" s="945"/>
      <c r="R917" s="945"/>
      <c r="S917" s="945"/>
      <c r="T917" s="945"/>
      <c r="U917" s="945"/>
      <c r="V917" s="945"/>
      <c r="W917" s="945"/>
      <c r="X917" s="945"/>
      <c r="Y917" s="945"/>
      <c r="Z917" s="945"/>
      <c r="AA917" s="945"/>
      <c r="AB917" s="945"/>
    </row>
    <row r="918" ht="20.25" customHeight="1">
      <c r="A918" s="964"/>
      <c r="B918" s="965"/>
      <c r="C918" s="965"/>
      <c r="D918" s="966"/>
      <c r="E918" s="967"/>
      <c r="F918" s="965"/>
      <c r="G918" s="965"/>
      <c r="H918" s="965"/>
      <c r="I918" s="965"/>
      <c r="J918" s="965"/>
      <c r="K918" s="965"/>
      <c r="L918" s="965"/>
      <c r="M918" s="965"/>
      <c r="N918" s="965"/>
      <c r="O918" s="965"/>
      <c r="P918" s="965"/>
      <c r="Q918" s="945"/>
      <c r="R918" s="945"/>
      <c r="S918" s="945"/>
      <c r="T918" s="945"/>
      <c r="U918" s="945"/>
      <c r="V918" s="945"/>
      <c r="W918" s="945"/>
      <c r="X918" s="945"/>
      <c r="Y918" s="945"/>
      <c r="Z918" s="945"/>
      <c r="AA918" s="945"/>
      <c r="AB918" s="945"/>
    </row>
    <row r="919" ht="20.25" customHeight="1">
      <c r="A919" s="964"/>
      <c r="B919" s="965"/>
      <c r="C919" s="965"/>
      <c r="D919" s="966"/>
      <c r="E919" s="967"/>
      <c r="F919" s="965"/>
      <c r="G919" s="965"/>
      <c r="H919" s="965"/>
      <c r="I919" s="965"/>
      <c r="J919" s="965"/>
      <c r="K919" s="965"/>
      <c r="L919" s="965"/>
      <c r="M919" s="965"/>
      <c r="N919" s="965"/>
      <c r="O919" s="965"/>
      <c r="P919" s="965"/>
      <c r="Q919" s="945"/>
      <c r="R919" s="945"/>
      <c r="S919" s="945"/>
      <c r="T919" s="945"/>
      <c r="U919" s="945"/>
      <c r="V919" s="945"/>
      <c r="W919" s="945"/>
      <c r="X919" s="945"/>
      <c r="Y919" s="945"/>
      <c r="Z919" s="945"/>
      <c r="AA919" s="945"/>
      <c r="AB919" s="945"/>
    </row>
    <row r="920" ht="20.25" customHeight="1">
      <c r="A920" s="964"/>
      <c r="B920" s="965"/>
      <c r="C920" s="965"/>
      <c r="D920" s="966"/>
      <c r="E920" s="967"/>
      <c r="F920" s="965"/>
      <c r="G920" s="965"/>
      <c r="H920" s="965"/>
      <c r="I920" s="965"/>
      <c r="J920" s="965"/>
      <c r="K920" s="965"/>
      <c r="L920" s="965"/>
      <c r="M920" s="965"/>
      <c r="N920" s="965"/>
      <c r="O920" s="965"/>
      <c r="P920" s="965"/>
      <c r="Q920" s="945"/>
      <c r="R920" s="945"/>
      <c r="S920" s="945"/>
      <c r="T920" s="945"/>
      <c r="U920" s="945"/>
      <c r="V920" s="945"/>
      <c r="W920" s="945"/>
      <c r="X920" s="945"/>
      <c r="Y920" s="945"/>
      <c r="Z920" s="945"/>
      <c r="AA920" s="945"/>
      <c r="AB920" s="945"/>
    </row>
    <row r="921" ht="20.25" customHeight="1">
      <c r="A921" s="964"/>
      <c r="B921" s="965"/>
      <c r="C921" s="965"/>
      <c r="D921" s="966"/>
      <c r="E921" s="967"/>
      <c r="F921" s="965"/>
      <c r="G921" s="965"/>
      <c r="H921" s="965"/>
      <c r="I921" s="965"/>
      <c r="J921" s="965"/>
      <c r="K921" s="965"/>
      <c r="L921" s="965"/>
      <c r="M921" s="965"/>
      <c r="N921" s="965"/>
      <c r="O921" s="965"/>
      <c r="P921" s="965"/>
      <c r="Q921" s="945"/>
      <c r="R921" s="945"/>
      <c r="S921" s="945"/>
      <c r="T921" s="945"/>
      <c r="U921" s="945"/>
      <c r="V921" s="945"/>
      <c r="W921" s="945"/>
      <c r="X921" s="945"/>
      <c r="Y921" s="945"/>
      <c r="Z921" s="945"/>
      <c r="AA921" s="945"/>
      <c r="AB921" s="945"/>
    </row>
    <row r="922" ht="20.25" customHeight="1">
      <c r="A922" s="964"/>
      <c r="B922" s="965"/>
      <c r="C922" s="965"/>
      <c r="D922" s="966"/>
      <c r="E922" s="967"/>
      <c r="F922" s="965"/>
      <c r="G922" s="965"/>
      <c r="H922" s="965"/>
      <c r="I922" s="965"/>
      <c r="J922" s="965"/>
      <c r="K922" s="965"/>
      <c r="L922" s="965"/>
      <c r="M922" s="965"/>
      <c r="N922" s="965"/>
      <c r="O922" s="965"/>
      <c r="P922" s="965"/>
      <c r="Q922" s="945"/>
      <c r="R922" s="945"/>
      <c r="S922" s="945"/>
      <c r="T922" s="945"/>
      <c r="U922" s="945"/>
      <c r="V922" s="945"/>
      <c r="W922" s="945"/>
      <c r="X922" s="945"/>
      <c r="Y922" s="945"/>
      <c r="Z922" s="945"/>
      <c r="AA922" s="945"/>
      <c r="AB922" s="945"/>
    </row>
    <row r="923" ht="20.25" customHeight="1">
      <c r="A923" s="964"/>
      <c r="B923" s="965"/>
      <c r="C923" s="965"/>
      <c r="D923" s="966"/>
      <c r="E923" s="967"/>
      <c r="F923" s="965"/>
      <c r="G923" s="965"/>
      <c r="H923" s="965"/>
      <c r="I923" s="965"/>
      <c r="J923" s="965"/>
      <c r="K923" s="965"/>
      <c r="L923" s="965"/>
      <c r="M923" s="965"/>
      <c r="N923" s="965"/>
      <c r="O923" s="965"/>
      <c r="P923" s="965"/>
      <c r="Q923" s="945"/>
      <c r="R923" s="945"/>
      <c r="S923" s="945"/>
      <c r="T923" s="945"/>
      <c r="U923" s="945"/>
      <c r="V923" s="945"/>
      <c r="W923" s="945"/>
      <c r="X923" s="945"/>
      <c r="Y923" s="945"/>
      <c r="Z923" s="945"/>
      <c r="AA923" s="945"/>
      <c r="AB923" s="945"/>
    </row>
    <row r="924" ht="20.25" customHeight="1">
      <c r="A924" s="964"/>
      <c r="B924" s="965"/>
      <c r="C924" s="965"/>
      <c r="D924" s="966"/>
      <c r="E924" s="967"/>
      <c r="F924" s="965"/>
      <c r="G924" s="965"/>
      <c r="H924" s="965"/>
      <c r="I924" s="965"/>
      <c r="J924" s="965"/>
      <c r="K924" s="965"/>
      <c r="L924" s="965"/>
      <c r="M924" s="965"/>
      <c r="N924" s="965"/>
      <c r="O924" s="965"/>
      <c r="P924" s="965"/>
      <c r="Q924" s="945"/>
      <c r="R924" s="945"/>
      <c r="S924" s="945"/>
      <c r="T924" s="945"/>
      <c r="U924" s="945"/>
      <c r="V924" s="945"/>
      <c r="W924" s="945"/>
      <c r="X924" s="945"/>
      <c r="Y924" s="945"/>
      <c r="Z924" s="945"/>
      <c r="AA924" s="945"/>
      <c r="AB924" s="945"/>
    </row>
    <row r="925" ht="20.25" customHeight="1">
      <c r="A925" s="964"/>
      <c r="B925" s="965"/>
      <c r="C925" s="965"/>
      <c r="D925" s="966"/>
      <c r="E925" s="967"/>
      <c r="F925" s="965"/>
      <c r="G925" s="965"/>
      <c r="H925" s="965"/>
      <c r="I925" s="965"/>
      <c r="J925" s="965"/>
      <c r="K925" s="965"/>
      <c r="L925" s="965"/>
      <c r="M925" s="965"/>
      <c r="N925" s="965"/>
      <c r="O925" s="965"/>
      <c r="P925" s="965"/>
      <c r="Q925" s="945"/>
      <c r="R925" s="945"/>
      <c r="S925" s="945"/>
      <c r="T925" s="945"/>
      <c r="U925" s="945"/>
      <c r="V925" s="945"/>
      <c r="W925" s="945"/>
      <c r="X925" s="945"/>
      <c r="Y925" s="945"/>
      <c r="Z925" s="945"/>
      <c r="AA925" s="945"/>
      <c r="AB925" s="945"/>
    </row>
    <row r="926" ht="20.25" customHeight="1">
      <c r="A926" s="964"/>
      <c r="B926" s="965"/>
      <c r="C926" s="965"/>
      <c r="D926" s="966"/>
      <c r="E926" s="967"/>
      <c r="F926" s="965"/>
      <c r="G926" s="965"/>
      <c r="H926" s="965"/>
      <c r="I926" s="965"/>
      <c r="J926" s="965"/>
      <c r="K926" s="965"/>
      <c r="L926" s="965"/>
      <c r="M926" s="965"/>
      <c r="N926" s="965"/>
      <c r="O926" s="965"/>
      <c r="P926" s="965"/>
      <c r="Q926" s="945"/>
      <c r="R926" s="945"/>
      <c r="S926" s="945"/>
      <c r="T926" s="945"/>
      <c r="U926" s="945"/>
      <c r="V926" s="945"/>
      <c r="W926" s="945"/>
      <c r="X926" s="945"/>
      <c r="Y926" s="945"/>
      <c r="Z926" s="945"/>
      <c r="AA926" s="945"/>
      <c r="AB926" s="945"/>
    </row>
    <row r="927" ht="20.25" customHeight="1">
      <c r="A927" s="964"/>
      <c r="B927" s="965"/>
      <c r="C927" s="965"/>
      <c r="D927" s="966"/>
      <c r="E927" s="967"/>
      <c r="F927" s="965"/>
      <c r="G927" s="965"/>
      <c r="H927" s="965"/>
      <c r="I927" s="965"/>
      <c r="J927" s="965"/>
      <c r="K927" s="965"/>
      <c r="L927" s="965"/>
      <c r="M927" s="965"/>
      <c r="N927" s="965"/>
      <c r="O927" s="965"/>
      <c r="P927" s="965"/>
      <c r="Q927" s="945"/>
      <c r="R927" s="945"/>
      <c r="S927" s="945"/>
      <c r="T927" s="945"/>
      <c r="U927" s="945"/>
      <c r="V927" s="945"/>
      <c r="W927" s="945"/>
      <c r="X927" s="945"/>
      <c r="Y927" s="945"/>
      <c r="Z927" s="945"/>
      <c r="AA927" s="945"/>
      <c r="AB927" s="945"/>
    </row>
    <row r="928" ht="20.25" customHeight="1">
      <c r="A928" s="964"/>
      <c r="B928" s="965"/>
      <c r="C928" s="965"/>
      <c r="D928" s="966"/>
      <c r="E928" s="967"/>
      <c r="F928" s="965"/>
      <c r="G928" s="965"/>
      <c r="H928" s="965"/>
      <c r="I928" s="965"/>
      <c r="J928" s="965"/>
      <c r="K928" s="965"/>
      <c r="L928" s="965"/>
      <c r="M928" s="965"/>
      <c r="N928" s="965"/>
      <c r="O928" s="965"/>
      <c r="P928" s="965"/>
      <c r="Q928" s="945"/>
      <c r="R928" s="945"/>
      <c r="S928" s="945"/>
      <c r="T928" s="945"/>
      <c r="U928" s="945"/>
      <c r="V928" s="945"/>
      <c r="W928" s="945"/>
      <c r="X928" s="945"/>
      <c r="Y928" s="945"/>
      <c r="Z928" s="945"/>
      <c r="AA928" s="945"/>
      <c r="AB928" s="945"/>
    </row>
    <row r="929" ht="20.25" customHeight="1">
      <c r="A929" s="964"/>
      <c r="B929" s="965"/>
      <c r="C929" s="965"/>
      <c r="D929" s="966"/>
      <c r="E929" s="967"/>
      <c r="F929" s="965"/>
      <c r="G929" s="965"/>
      <c r="H929" s="965"/>
      <c r="I929" s="965"/>
      <c r="J929" s="965"/>
      <c r="K929" s="965"/>
      <c r="L929" s="965"/>
      <c r="M929" s="965"/>
      <c r="N929" s="965"/>
      <c r="O929" s="965"/>
      <c r="P929" s="965"/>
      <c r="Q929" s="945"/>
      <c r="R929" s="945"/>
      <c r="S929" s="945"/>
      <c r="T929" s="945"/>
      <c r="U929" s="945"/>
      <c r="V929" s="945"/>
      <c r="W929" s="945"/>
      <c r="X929" s="945"/>
      <c r="Y929" s="945"/>
      <c r="Z929" s="945"/>
      <c r="AA929" s="945"/>
      <c r="AB929" s="945"/>
    </row>
    <row r="930" ht="20.25" customHeight="1">
      <c r="A930" s="964"/>
      <c r="B930" s="965"/>
      <c r="C930" s="965"/>
      <c r="D930" s="966"/>
      <c r="E930" s="967"/>
      <c r="F930" s="965"/>
      <c r="G930" s="965"/>
      <c r="H930" s="965"/>
      <c r="I930" s="965"/>
      <c r="J930" s="965"/>
      <c r="K930" s="965"/>
      <c r="L930" s="965"/>
      <c r="M930" s="965"/>
      <c r="N930" s="965"/>
      <c r="O930" s="965"/>
      <c r="P930" s="965"/>
      <c r="Q930" s="945"/>
      <c r="R930" s="945"/>
      <c r="S930" s="945"/>
      <c r="T930" s="945"/>
      <c r="U930" s="945"/>
      <c r="V930" s="945"/>
      <c r="W930" s="945"/>
      <c r="X930" s="945"/>
      <c r="Y930" s="945"/>
      <c r="Z930" s="945"/>
      <c r="AA930" s="945"/>
      <c r="AB930" s="945"/>
    </row>
    <row r="931" ht="20.25" customHeight="1">
      <c r="A931" s="964"/>
      <c r="B931" s="965"/>
      <c r="C931" s="965"/>
      <c r="D931" s="966"/>
      <c r="E931" s="967"/>
      <c r="F931" s="965"/>
      <c r="G931" s="965"/>
      <c r="H931" s="965"/>
      <c r="I931" s="965"/>
      <c r="J931" s="965"/>
      <c r="K931" s="965"/>
      <c r="L931" s="965"/>
      <c r="M931" s="965"/>
      <c r="N931" s="965"/>
      <c r="O931" s="965"/>
      <c r="P931" s="965"/>
      <c r="Q931" s="945"/>
      <c r="R931" s="945"/>
      <c r="S931" s="945"/>
      <c r="T931" s="945"/>
      <c r="U931" s="945"/>
      <c r="V931" s="945"/>
      <c r="W931" s="945"/>
      <c r="X931" s="945"/>
      <c r="Y931" s="945"/>
      <c r="Z931" s="945"/>
      <c r="AA931" s="945"/>
      <c r="AB931" s="945"/>
    </row>
    <row r="932" ht="20.25" customHeight="1">
      <c r="A932" s="964"/>
      <c r="B932" s="965"/>
      <c r="C932" s="965"/>
      <c r="D932" s="966"/>
      <c r="E932" s="967"/>
      <c r="F932" s="965"/>
      <c r="G932" s="965"/>
      <c r="H932" s="965"/>
      <c r="I932" s="965"/>
      <c r="J932" s="965"/>
      <c r="K932" s="965"/>
      <c r="L932" s="965"/>
      <c r="M932" s="965"/>
      <c r="N932" s="965"/>
      <c r="O932" s="965"/>
      <c r="P932" s="965"/>
      <c r="Q932" s="945"/>
      <c r="R932" s="945"/>
      <c r="S932" s="945"/>
      <c r="T932" s="945"/>
      <c r="U932" s="945"/>
      <c r="V932" s="945"/>
      <c r="W932" s="945"/>
      <c r="X932" s="945"/>
      <c r="Y932" s="945"/>
      <c r="Z932" s="945"/>
      <c r="AA932" s="945"/>
      <c r="AB932" s="945"/>
    </row>
    <row r="933" ht="20.25" customHeight="1">
      <c r="A933" s="964"/>
      <c r="B933" s="965"/>
      <c r="C933" s="965"/>
      <c r="D933" s="966"/>
      <c r="E933" s="967"/>
      <c r="F933" s="965"/>
      <c r="G933" s="965"/>
      <c r="H933" s="965"/>
      <c r="I933" s="965"/>
      <c r="J933" s="965"/>
      <c r="K933" s="965"/>
      <c r="L933" s="965"/>
      <c r="M933" s="965"/>
      <c r="N933" s="965"/>
      <c r="O933" s="965"/>
      <c r="P933" s="965"/>
      <c r="Q933" s="945"/>
      <c r="R933" s="945"/>
      <c r="S933" s="945"/>
      <c r="T933" s="945"/>
      <c r="U933" s="945"/>
      <c r="V933" s="945"/>
      <c r="W933" s="945"/>
      <c r="X933" s="945"/>
      <c r="Y933" s="945"/>
      <c r="Z933" s="945"/>
      <c r="AA933" s="945"/>
      <c r="AB933" s="945"/>
    </row>
    <row r="934" ht="20.25" customHeight="1">
      <c r="A934" s="964"/>
      <c r="B934" s="965"/>
      <c r="C934" s="965"/>
      <c r="D934" s="966"/>
      <c r="E934" s="967"/>
      <c r="F934" s="965"/>
      <c r="G934" s="965"/>
      <c r="H934" s="965"/>
      <c r="I934" s="965"/>
      <c r="J934" s="965"/>
      <c r="K934" s="965"/>
      <c r="L934" s="965"/>
      <c r="M934" s="965"/>
      <c r="N934" s="965"/>
      <c r="O934" s="965"/>
      <c r="P934" s="965"/>
      <c r="Q934" s="945"/>
      <c r="R934" s="945"/>
      <c r="S934" s="945"/>
      <c r="T934" s="945"/>
      <c r="U934" s="945"/>
      <c r="V934" s="945"/>
      <c r="W934" s="945"/>
      <c r="X934" s="945"/>
      <c r="Y934" s="945"/>
      <c r="Z934" s="945"/>
      <c r="AA934" s="945"/>
      <c r="AB934" s="945"/>
    </row>
    <row r="935" ht="20.25" customHeight="1">
      <c r="A935" s="964"/>
      <c r="B935" s="965"/>
      <c r="C935" s="965"/>
      <c r="D935" s="966"/>
      <c r="E935" s="967"/>
      <c r="F935" s="965"/>
      <c r="G935" s="965"/>
      <c r="H935" s="965"/>
      <c r="I935" s="965"/>
      <c r="J935" s="965"/>
      <c r="K935" s="965"/>
      <c r="L935" s="965"/>
      <c r="M935" s="965"/>
      <c r="N935" s="965"/>
      <c r="O935" s="965"/>
      <c r="P935" s="965"/>
      <c r="Q935" s="945"/>
      <c r="R935" s="945"/>
      <c r="S935" s="945"/>
      <c r="T935" s="945"/>
      <c r="U935" s="945"/>
      <c r="V935" s="945"/>
      <c r="W935" s="945"/>
      <c r="X935" s="945"/>
      <c r="Y935" s="945"/>
      <c r="Z935" s="945"/>
      <c r="AA935" s="945"/>
      <c r="AB935" s="945"/>
    </row>
    <row r="936" ht="20.25" customHeight="1">
      <c r="A936" s="964"/>
      <c r="B936" s="965"/>
      <c r="C936" s="965"/>
      <c r="D936" s="966"/>
      <c r="E936" s="967"/>
      <c r="F936" s="965"/>
      <c r="G936" s="965"/>
      <c r="H936" s="965"/>
      <c r="I936" s="965"/>
      <c r="J936" s="965"/>
      <c r="K936" s="965"/>
      <c r="L936" s="965"/>
      <c r="M936" s="965"/>
      <c r="N936" s="965"/>
      <c r="O936" s="965"/>
      <c r="P936" s="965"/>
      <c r="Q936" s="945"/>
      <c r="R936" s="945"/>
      <c r="S936" s="945"/>
      <c r="T936" s="945"/>
      <c r="U936" s="945"/>
      <c r="V936" s="945"/>
      <c r="W936" s="945"/>
      <c r="X936" s="945"/>
      <c r="Y936" s="945"/>
      <c r="Z936" s="945"/>
      <c r="AA936" s="945"/>
      <c r="AB936" s="945"/>
    </row>
    <row r="937" ht="20.25" customHeight="1">
      <c r="A937" s="964"/>
      <c r="B937" s="965"/>
      <c r="C937" s="965"/>
      <c r="D937" s="966"/>
      <c r="E937" s="967"/>
      <c r="F937" s="965"/>
      <c r="G937" s="965"/>
      <c r="H937" s="965"/>
      <c r="I937" s="965"/>
      <c r="J937" s="965"/>
      <c r="K937" s="965"/>
      <c r="L937" s="965"/>
      <c r="M937" s="965"/>
      <c r="N937" s="965"/>
      <c r="O937" s="965"/>
      <c r="P937" s="965"/>
      <c r="Q937" s="945"/>
      <c r="R937" s="945"/>
      <c r="S937" s="945"/>
      <c r="T937" s="945"/>
      <c r="U937" s="945"/>
      <c r="V937" s="945"/>
      <c r="W937" s="945"/>
      <c r="X937" s="945"/>
      <c r="Y937" s="945"/>
      <c r="Z937" s="945"/>
      <c r="AA937" s="945"/>
      <c r="AB937" s="945"/>
    </row>
    <row r="938" ht="20.25" customHeight="1">
      <c r="A938" s="964"/>
      <c r="B938" s="965"/>
      <c r="C938" s="965"/>
      <c r="D938" s="966"/>
      <c r="E938" s="967"/>
      <c r="F938" s="965"/>
      <c r="G938" s="965"/>
      <c r="H938" s="965"/>
      <c r="I938" s="965"/>
      <c r="J938" s="965"/>
      <c r="K938" s="965"/>
      <c r="L938" s="965"/>
      <c r="M938" s="965"/>
      <c r="N938" s="965"/>
      <c r="O938" s="965"/>
      <c r="P938" s="965"/>
      <c r="Q938" s="945"/>
      <c r="R938" s="945"/>
      <c r="S938" s="945"/>
      <c r="T938" s="945"/>
      <c r="U938" s="945"/>
      <c r="V938" s="945"/>
      <c r="W938" s="945"/>
      <c r="X938" s="945"/>
      <c r="Y938" s="945"/>
      <c r="Z938" s="945"/>
      <c r="AA938" s="945"/>
      <c r="AB938" s="945"/>
    </row>
    <row r="939" ht="20.25" customHeight="1">
      <c r="A939" s="964"/>
      <c r="B939" s="965"/>
      <c r="C939" s="965"/>
      <c r="D939" s="966"/>
      <c r="E939" s="967"/>
      <c r="F939" s="965"/>
      <c r="G939" s="965"/>
      <c r="H939" s="965"/>
      <c r="I939" s="965"/>
      <c r="J939" s="965"/>
      <c r="K939" s="965"/>
      <c r="L939" s="965"/>
      <c r="M939" s="965"/>
      <c r="N939" s="965"/>
      <c r="O939" s="965"/>
      <c r="P939" s="965"/>
      <c r="Q939" s="945"/>
      <c r="R939" s="945"/>
      <c r="S939" s="945"/>
      <c r="T939" s="945"/>
      <c r="U939" s="945"/>
      <c r="V939" s="945"/>
      <c r="W939" s="945"/>
      <c r="X939" s="945"/>
      <c r="Y939" s="945"/>
      <c r="Z939" s="945"/>
      <c r="AA939" s="945"/>
      <c r="AB939" s="945"/>
    </row>
    <row r="940" ht="20.25" customHeight="1">
      <c r="A940" s="964"/>
      <c r="B940" s="965"/>
      <c r="C940" s="965"/>
      <c r="D940" s="966"/>
      <c r="E940" s="967"/>
      <c r="F940" s="965"/>
      <c r="G940" s="965"/>
      <c r="H940" s="965"/>
      <c r="I940" s="965"/>
      <c r="J940" s="965"/>
      <c r="K940" s="965"/>
      <c r="L940" s="965"/>
      <c r="M940" s="965"/>
      <c r="N940" s="965"/>
      <c r="O940" s="965"/>
      <c r="P940" s="965"/>
      <c r="Q940" s="945"/>
      <c r="R940" s="945"/>
      <c r="S940" s="945"/>
      <c r="T940" s="945"/>
      <c r="U940" s="945"/>
      <c r="V940" s="945"/>
      <c r="W940" s="945"/>
      <c r="X940" s="945"/>
      <c r="Y940" s="945"/>
      <c r="Z940" s="945"/>
      <c r="AA940" s="945"/>
      <c r="AB940" s="945"/>
    </row>
    <row r="941" ht="20.25" customHeight="1">
      <c r="A941" s="964"/>
      <c r="B941" s="965"/>
      <c r="C941" s="965"/>
      <c r="D941" s="966"/>
      <c r="E941" s="967"/>
      <c r="F941" s="965"/>
      <c r="G941" s="965"/>
      <c r="H941" s="965"/>
      <c r="I941" s="965"/>
      <c r="J941" s="965"/>
      <c r="K941" s="965"/>
      <c r="L941" s="965"/>
      <c r="M941" s="965"/>
      <c r="N941" s="965"/>
      <c r="O941" s="965"/>
      <c r="P941" s="965"/>
      <c r="Q941" s="945"/>
      <c r="R941" s="945"/>
      <c r="S941" s="945"/>
      <c r="T941" s="945"/>
      <c r="U941" s="945"/>
      <c r="V941" s="945"/>
      <c r="W941" s="945"/>
      <c r="X941" s="945"/>
      <c r="Y941" s="945"/>
      <c r="Z941" s="945"/>
      <c r="AA941" s="945"/>
      <c r="AB941" s="945"/>
    </row>
    <row r="942" ht="20.25" customHeight="1">
      <c r="A942" s="964"/>
      <c r="B942" s="965"/>
      <c r="C942" s="965"/>
      <c r="D942" s="966"/>
      <c r="E942" s="967"/>
      <c r="F942" s="965"/>
      <c r="G942" s="965"/>
      <c r="H942" s="965"/>
      <c r="I942" s="965"/>
      <c r="J942" s="965"/>
      <c r="K942" s="965"/>
      <c r="L942" s="965"/>
      <c r="M942" s="965"/>
      <c r="N942" s="965"/>
      <c r="O942" s="965"/>
      <c r="P942" s="965"/>
      <c r="Q942" s="945"/>
      <c r="R942" s="945"/>
      <c r="S942" s="945"/>
      <c r="T942" s="945"/>
      <c r="U942" s="945"/>
      <c r="V942" s="945"/>
      <c r="W942" s="945"/>
      <c r="X942" s="945"/>
      <c r="Y942" s="945"/>
      <c r="Z942" s="945"/>
      <c r="AA942" s="945"/>
      <c r="AB942" s="945"/>
    </row>
    <row r="943" ht="20.25" customHeight="1">
      <c r="A943" s="964"/>
      <c r="B943" s="965"/>
      <c r="C943" s="965"/>
      <c r="D943" s="966"/>
      <c r="E943" s="967"/>
      <c r="F943" s="965"/>
      <c r="G943" s="965"/>
      <c r="H943" s="965"/>
      <c r="I943" s="965"/>
      <c r="J943" s="965"/>
      <c r="K943" s="965"/>
      <c r="L943" s="965"/>
      <c r="M943" s="965"/>
      <c r="N943" s="965"/>
      <c r="O943" s="965"/>
      <c r="P943" s="965"/>
      <c r="Q943" s="945"/>
      <c r="R943" s="945"/>
      <c r="S943" s="945"/>
      <c r="T943" s="945"/>
      <c r="U943" s="945"/>
      <c r="V943" s="945"/>
      <c r="W943" s="945"/>
      <c r="X943" s="945"/>
      <c r="Y943" s="945"/>
      <c r="Z943" s="945"/>
      <c r="AA943" s="945"/>
      <c r="AB943" s="945"/>
    </row>
    <row r="944" ht="20.25" customHeight="1">
      <c r="A944" s="964"/>
      <c r="B944" s="965"/>
      <c r="C944" s="965"/>
      <c r="D944" s="966"/>
      <c r="E944" s="967"/>
      <c r="F944" s="965"/>
      <c r="G944" s="965"/>
      <c r="H944" s="965"/>
      <c r="I944" s="965"/>
      <c r="J944" s="965"/>
      <c r="K944" s="965"/>
      <c r="L944" s="965"/>
      <c r="M944" s="965"/>
      <c r="N944" s="965"/>
      <c r="O944" s="965"/>
      <c r="P944" s="965"/>
      <c r="Q944" s="945"/>
      <c r="R944" s="945"/>
      <c r="S944" s="945"/>
      <c r="T944" s="945"/>
      <c r="U944" s="945"/>
      <c r="V944" s="945"/>
      <c r="W944" s="945"/>
      <c r="X944" s="945"/>
      <c r="Y944" s="945"/>
      <c r="Z944" s="945"/>
      <c r="AA944" s="945"/>
      <c r="AB944" s="945"/>
    </row>
    <row r="945" ht="20.25" customHeight="1">
      <c r="A945" s="964"/>
      <c r="B945" s="965"/>
      <c r="C945" s="965"/>
      <c r="D945" s="966"/>
      <c r="E945" s="967"/>
      <c r="F945" s="965"/>
      <c r="G945" s="965"/>
      <c r="H945" s="965"/>
      <c r="I945" s="965"/>
      <c r="J945" s="965"/>
      <c r="K945" s="965"/>
      <c r="L945" s="965"/>
      <c r="M945" s="965"/>
      <c r="N945" s="965"/>
      <c r="O945" s="965"/>
      <c r="P945" s="965"/>
      <c r="Q945" s="945"/>
      <c r="R945" s="945"/>
      <c r="S945" s="945"/>
      <c r="T945" s="945"/>
      <c r="U945" s="945"/>
      <c r="V945" s="945"/>
      <c r="W945" s="945"/>
      <c r="X945" s="945"/>
      <c r="Y945" s="945"/>
      <c r="Z945" s="945"/>
      <c r="AA945" s="945"/>
      <c r="AB945" s="945"/>
    </row>
    <row r="946" ht="20.25" customHeight="1">
      <c r="A946" s="964"/>
      <c r="B946" s="965"/>
      <c r="C946" s="965"/>
      <c r="D946" s="966"/>
      <c r="E946" s="967"/>
      <c r="F946" s="965"/>
      <c r="G946" s="965"/>
      <c r="H946" s="965"/>
      <c r="I946" s="965"/>
      <c r="J946" s="965"/>
      <c r="K946" s="965"/>
      <c r="L946" s="965"/>
      <c r="M946" s="965"/>
      <c r="N946" s="965"/>
      <c r="O946" s="965"/>
      <c r="P946" s="965"/>
      <c r="Q946" s="945"/>
      <c r="R946" s="945"/>
      <c r="S946" s="945"/>
      <c r="T946" s="945"/>
      <c r="U946" s="945"/>
      <c r="V946" s="945"/>
      <c r="W946" s="945"/>
      <c r="X946" s="945"/>
      <c r="Y946" s="945"/>
      <c r="Z946" s="945"/>
      <c r="AA946" s="945"/>
      <c r="AB946" s="945"/>
    </row>
    <row r="947" ht="20.25" customHeight="1">
      <c r="A947" s="964"/>
      <c r="B947" s="965"/>
      <c r="C947" s="965"/>
      <c r="D947" s="966"/>
      <c r="E947" s="967"/>
      <c r="F947" s="965"/>
      <c r="G947" s="965"/>
      <c r="H947" s="965"/>
      <c r="I947" s="965"/>
      <c r="J947" s="965"/>
      <c r="K947" s="965"/>
      <c r="L947" s="965"/>
      <c r="M947" s="965"/>
      <c r="N947" s="965"/>
      <c r="O947" s="965"/>
      <c r="P947" s="965"/>
      <c r="Q947" s="945"/>
      <c r="R947" s="945"/>
      <c r="S947" s="945"/>
      <c r="T947" s="945"/>
      <c r="U947" s="945"/>
      <c r="V947" s="945"/>
      <c r="W947" s="945"/>
      <c r="X947" s="945"/>
      <c r="Y947" s="945"/>
      <c r="Z947" s="945"/>
      <c r="AA947" s="945"/>
      <c r="AB947" s="945"/>
    </row>
    <row r="948" ht="20.25" customHeight="1">
      <c r="A948" s="964"/>
      <c r="B948" s="965"/>
      <c r="C948" s="965"/>
      <c r="D948" s="966"/>
      <c r="E948" s="967"/>
      <c r="F948" s="965"/>
      <c r="G948" s="965"/>
      <c r="H948" s="965"/>
      <c r="I948" s="965"/>
      <c r="J948" s="965"/>
      <c r="K948" s="965"/>
      <c r="L948" s="965"/>
      <c r="M948" s="965"/>
      <c r="N948" s="965"/>
      <c r="O948" s="965"/>
      <c r="P948" s="965"/>
      <c r="Q948" s="945"/>
      <c r="R948" s="945"/>
      <c r="S948" s="945"/>
      <c r="T948" s="945"/>
      <c r="U948" s="945"/>
      <c r="V948" s="945"/>
      <c r="W948" s="945"/>
      <c r="X948" s="945"/>
      <c r="Y948" s="945"/>
      <c r="Z948" s="945"/>
      <c r="AA948" s="945"/>
      <c r="AB948" s="945"/>
    </row>
    <row r="949" ht="20.25" customHeight="1">
      <c r="A949" s="964"/>
      <c r="B949" s="965"/>
      <c r="C949" s="965"/>
      <c r="D949" s="966"/>
      <c r="E949" s="967"/>
      <c r="F949" s="965"/>
      <c r="G949" s="965"/>
      <c r="H949" s="965"/>
      <c r="I949" s="965"/>
      <c r="J949" s="965"/>
      <c r="K949" s="965"/>
      <c r="L949" s="965"/>
      <c r="M949" s="965"/>
      <c r="N949" s="965"/>
      <c r="O949" s="965"/>
      <c r="P949" s="965"/>
      <c r="Q949" s="945"/>
      <c r="R949" s="945"/>
      <c r="S949" s="945"/>
      <c r="T949" s="945"/>
      <c r="U949" s="945"/>
      <c r="V949" s="945"/>
      <c r="W949" s="945"/>
      <c r="X949" s="945"/>
      <c r="Y949" s="945"/>
      <c r="Z949" s="945"/>
      <c r="AA949" s="945"/>
      <c r="AB949" s="945"/>
    </row>
    <row r="950" ht="20.25" customHeight="1">
      <c r="A950" s="964"/>
      <c r="B950" s="965"/>
      <c r="C950" s="965"/>
      <c r="D950" s="966"/>
      <c r="E950" s="967"/>
      <c r="F950" s="965"/>
      <c r="G950" s="965"/>
      <c r="H950" s="965"/>
      <c r="I950" s="965"/>
      <c r="J950" s="965"/>
      <c r="K950" s="965"/>
      <c r="L950" s="965"/>
      <c r="M950" s="965"/>
      <c r="N950" s="965"/>
      <c r="O950" s="965"/>
      <c r="P950" s="965"/>
      <c r="Q950" s="945"/>
      <c r="R950" s="945"/>
      <c r="S950" s="945"/>
      <c r="T950" s="945"/>
      <c r="U950" s="945"/>
      <c r="V950" s="945"/>
      <c r="W950" s="945"/>
      <c r="X950" s="945"/>
      <c r="Y950" s="945"/>
      <c r="Z950" s="945"/>
      <c r="AA950" s="945"/>
      <c r="AB950" s="945"/>
    </row>
    <row r="951" ht="20.25" customHeight="1">
      <c r="A951" s="964"/>
      <c r="B951" s="965"/>
      <c r="C951" s="965"/>
      <c r="D951" s="966"/>
      <c r="E951" s="967"/>
      <c r="F951" s="965"/>
      <c r="G951" s="965"/>
      <c r="H951" s="965"/>
      <c r="I951" s="965"/>
      <c r="J951" s="965"/>
      <c r="K951" s="965"/>
      <c r="L951" s="965"/>
      <c r="M951" s="965"/>
      <c r="N951" s="965"/>
      <c r="O951" s="965"/>
      <c r="P951" s="965"/>
      <c r="Q951" s="945"/>
      <c r="R951" s="945"/>
      <c r="S951" s="945"/>
      <c r="T951" s="945"/>
      <c r="U951" s="945"/>
      <c r="V951" s="945"/>
      <c r="W951" s="945"/>
      <c r="X951" s="945"/>
      <c r="Y951" s="945"/>
      <c r="Z951" s="945"/>
      <c r="AA951" s="945"/>
      <c r="AB951" s="945"/>
    </row>
    <row r="952" ht="20.25" customHeight="1">
      <c r="A952" s="964"/>
      <c r="B952" s="965"/>
      <c r="C952" s="965"/>
      <c r="D952" s="966"/>
      <c r="E952" s="967"/>
      <c r="F952" s="965"/>
      <c r="G952" s="965"/>
      <c r="H952" s="965"/>
      <c r="I952" s="965"/>
      <c r="J952" s="965"/>
      <c r="K952" s="965"/>
      <c r="L952" s="965"/>
      <c r="M952" s="965"/>
      <c r="N952" s="965"/>
      <c r="O952" s="965"/>
      <c r="P952" s="965"/>
      <c r="Q952" s="945"/>
      <c r="R952" s="945"/>
      <c r="S952" s="945"/>
      <c r="T952" s="945"/>
      <c r="U952" s="945"/>
      <c r="V952" s="945"/>
      <c r="W952" s="945"/>
      <c r="X952" s="945"/>
      <c r="Y952" s="945"/>
      <c r="Z952" s="945"/>
      <c r="AA952" s="945"/>
      <c r="AB952" s="945"/>
    </row>
    <row r="953" ht="20.25" customHeight="1">
      <c r="A953" s="964"/>
      <c r="B953" s="965"/>
      <c r="C953" s="965"/>
      <c r="D953" s="966"/>
      <c r="E953" s="967"/>
      <c r="F953" s="965"/>
      <c r="G953" s="965"/>
      <c r="H953" s="965"/>
      <c r="I953" s="965"/>
      <c r="J953" s="965"/>
      <c r="K953" s="965"/>
      <c r="L953" s="965"/>
      <c r="M953" s="965"/>
      <c r="N953" s="965"/>
      <c r="O953" s="965"/>
      <c r="P953" s="965"/>
      <c r="Q953" s="945"/>
      <c r="R953" s="945"/>
      <c r="S953" s="945"/>
      <c r="T953" s="945"/>
      <c r="U953" s="945"/>
      <c r="V953" s="945"/>
      <c r="W953" s="945"/>
      <c r="X953" s="945"/>
      <c r="Y953" s="945"/>
      <c r="Z953" s="945"/>
      <c r="AA953" s="945"/>
      <c r="AB953" s="945"/>
    </row>
    <row r="954" ht="20.25" customHeight="1">
      <c r="A954" s="964"/>
      <c r="B954" s="965"/>
      <c r="C954" s="965"/>
      <c r="D954" s="966"/>
      <c r="E954" s="967"/>
      <c r="F954" s="965"/>
      <c r="G954" s="965"/>
      <c r="H954" s="965"/>
      <c r="I954" s="965"/>
      <c r="J954" s="965"/>
      <c r="K954" s="965"/>
      <c r="L954" s="965"/>
      <c r="M954" s="965"/>
      <c r="N954" s="965"/>
      <c r="O954" s="965"/>
      <c r="P954" s="965"/>
      <c r="Q954" s="945"/>
      <c r="R954" s="945"/>
      <c r="S954" s="945"/>
      <c r="T954" s="945"/>
      <c r="U954" s="945"/>
      <c r="V954" s="945"/>
      <c r="W954" s="945"/>
      <c r="X954" s="945"/>
      <c r="Y954" s="945"/>
      <c r="Z954" s="945"/>
      <c r="AA954" s="945"/>
      <c r="AB954" s="945"/>
    </row>
    <row r="955" ht="20.25" customHeight="1">
      <c r="A955" s="964"/>
      <c r="B955" s="965"/>
      <c r="C955" s="965"/>
      <c r="D955" s="966"/>
      <c r="E955" s="967"/>
      <c r="F955" s="965"/>
      <c r="G955" s="965"/>
      <c r="H955" s="965"/>
      <c r="I955" s="965"/>
      <c r="J955" s="965"/>
      <c r="K955" s="965"/>
      <c r="L955" s="965"/>
      <c r="M955" s="965"/>
      <c r="N955" s="965"/>
      <c r="O955" s="965"/>
      <c r="P955" s="965"/>
      <c r="Q955" s="945"/>
      <c r="R955" s="945"/>
      <c r="S955" s="945"/>
      <c r="T955" s="945"/>
      <c r="U955" s="945"/>
      <c r="V955" s="945"/>
      <c r="W955" s="945"/>
      <c r="X955" s="945"/>
      <c r="Y955" s="945"/>
      <c r="Z955" s="945"/>
      <c r="AA955" s="945"/>
      <c r="AB955" s="945"/>
    </row>
    <row r="956" ht="20.25" customHeight="1">
      <c r="A956" s="964"/>
      <c r="B956" s="965"/>
      <c r="C956" s="965"/>
      <c r="D956" s="966"/>
      <c r="E956" s="967"/>
      <c r="F956" s="965"/>
      <c r="G956" s="965"/>
      <c r="H956" s="965"/>
      <c r="I956" s="965"/>
      <c r="J956" s="965"/>
      <c r="K956" s="965"/>
      <c r="L956" s="965"/>
      <c r="M956" s="965"/>
      <c r="N956" s="965"/>
      <c r="O956" s="965"/>
      <c r="P956" s="965"/>
      <c r="Q956" s="945"/>
      <c r="R956" s="945"/>
      <c r="S956" s="945"/>
      <c r="T956" s="945"/>
      <c r="U956" s="945"/>
      <c r="V956" s="945"/>
      <c r="W956" s="945"/>
      <c r="X956" s="945"/>
      <c r="Y956" s="945"/>
      <c r="Z956" s="945"/>
      <c r="AA956" s="945"/>
      <c r="AB956" s="945"/>
    </row>
    <row r="957" ht="20.25" customHeight="1">
      <c r="A957" s="964"/>
      <c r="B957" s="965"/>
      <c r="C957" s="965"/>
      <c r="D957" s="966"/>
      <c r="E957" s="967"/>
      <c r="F957" s="965"/>
      <c r="G957" s="965"/>
      <c r="H957" s="965"/>
      <c r="I957" s="965"/>
      <c r="J957" s="965"/>
      <c r="K957" s="965"/>
      <c r="L957" s="965"/>
      <c r="M957" s="965"/>
      <c r="N957" s="965"/>
      <c r="O957" s="965"/>
      <c r="P957" s="965"/>
      <c r="Q957" s="945"/>
      <c r="R957" s="945"/>
      <c r="S957" s="945"/>
      <c r="T957" s="945"/>
      <c r="U957" s="945"/>
      <c r="V957" s="945"/>
      <c r="W957" s="945"/>
      <c r="X957" s="945"/>
      <c r="Y957" s="945"/>
      <c r="Z957" s="945"/>
      <c r="AA957" s="945"/>
      <c r="AB957" s="945"/>
    </row>
    <row r="958" ht="20.25" customHeight="1">
      <c r="A958" s="964"/>
      <c r="B958" s="965"/>
      <c r="C958" s="965"/>
      <c r="D958" s="966"/>
      <c r="E958" s="967"/>
      <c r="F958" s="965"/>
      <c r="G958" s="965"/>
      <c r="H958" s="965"/>
      <c r="I958" s="965"/>
      <c r="J958" s="965"/>
      <c r="K958" s="965"/>
      <c r="L958" s="965"/>
      <c r="M958" s="965"/>
      <c r="N958" s="965"/>
      <c r="O958" s="965"/>
      <c r="P958" s="965"/>
      <c r="Q958" s="945"/>
      <c r="R958" s="945"/>
      <c r="S958" s="945"/>
      <c r="T958" s="945"/>
      <c r="U958" s="945"/>
      <c r="V958" s="945"/>
      <c r="W958" s="945"/>
      <c r="X958" s="945"/>
      <c r="Y958" s="945"/>
      <c r="Z958" s="945"/>
      <c r="AA958" s="945"/>
      <c r="AB958" s="945"/>
    </row>
    <row r="959" ht="20.25" customHeight="1">
      <c r="A959" s="964"/>
      <c r="B959" s="965"/>
      <c r="C959" s="965"/>
      <c r="D959" s="966"/>
      <c r="E959" s="967"/>
      <c r="F959" s="965"/>
      <c r="G959" s="965"/>
      <c r="H959" s="965"/>
      <c r="I959" s="965"/>
      <c r="J959" s="965"/>
      <c r="K959" s="965"/>
      <c r="L959" s="965"/>
      <c r="M959" s="965"/>
      <c r="N959" s="965"/>
      <c r="O959" s="965"/>
      <c r="P959" s="965"/>
      <c r="Q959" s="945"/>
      <c r="R959" s="945"/>
      <c r="S959" s="945"/>
      <c r="T959" s="945"/>
      <c r="U959" s="945"/>
      <c r="V959" s="945"/>
      <c r="W959" s="945"/>
      <c r="X959" s="945"/>
      <c r="Y959" s="945"/>
      <c r="Z959" s="945"/>
      <c r="AA959" s="945"/>
      <c r="AB959" s="945"/>
    </row>
    <row r="960" ht="20.25" customHeight="1">
      <c r="A960" s="964"/>
      <c r="B960" s="965"/>
      <c r="C960" s="965"/>
      <c r="D960" s="966"/>
      <c r="E960" s="967"/>
      <c r="F960" s="965"/>
      <c r="G960" s="965"/>
      <c r="H960" s="965"/>
      <c r="I960" s="965"/>
      <c r="J960" s="965"/>
      <c r="K960" s="965"/>
      <c r="L960" s="965"/>
      <c r="M960" s="965"/>
      <c r="N960" s="965"/>
      <c r="O960" s="965"/>
      <c r="P960" s="965"/>
      <c r="Q960" s="945"/>
      <c r="R960" s="945"/>
      <c r="S960" s="945"/>
      <c r="T960" s="945"/>
      <c r="U960" s="945"/>
      <c r="V960" s="945"/>
      <c r="W960" s="945"/>
      <c r="X960" s="945"/>
      <c r="Y960" s="945"/>
      <c r="Z960" s="945"/>
      <c r="AA960" s="945"/>
      <c r="AB960" s="945"/>
    </row>
    <row r="961" ht="20.25" customHeight="1">
      <c r="A961" s="964"/>
      <c r="B961" s="965"/>
      <c r="C961" s="965"/>
      <c r="D961" s="966"/>
      <c r="E961" s="967"/>
      <c r="F961" s="965"/>
      <c r="G961" s="965"/>
      <c r="H961" s="965"/>
      <c r="I961" s="965"/>
      <c r="J961" s="965"/>
      <c r="K961" s="965"/>
      <c r="L961" s="965"/>
      <c r="M961" s="965"/>
      <c r="N961" s="965"/>
      <c r="O961" s="965"/>
      <c r="P961" s="965"/>
      <c r="Q961" s="945"/>
      <c r="R961" s="945"/>
      <c r="S961" s="945"/>
      <c r="T961" s="945"/>
      <c r="U961" s="945"/>
      <c r="V961" s="945"/>
      <c r="W961" s="945"/>
      <c r="X961" s="945"/>
      <c r="Y961" s="945"/>
      <c r="Z961" s="945"/>
      <c r="AA961" s="945"/>
      <c r="AB961" s="945"/>
    </row>
    <row r="962" ht="20.25" customHeight="1">
      <c r="A962" s="964"/>
      <c r="B962" s="965"/>
      <c r="C962" s="965"/>
      <c r="D962" s="966"/>
      <c r="E962" s="967"/>
      <c r="F962" s="965"/>
      <c r="G962" s="965"/>
      <c r="H962" s="965"/>
      <c r="I962" s="965"/>
      <c r="J962" s="965"/>
      <c r="K962" s="965"/>
      <c r="L962" s="965"/>
      <c r="M962" s="965"/>
      <c r="N962" s="965"/>
      <c r="O962" s="965"/>
      <c r="P962" s="965"/>
      <c r="Q962" s="945"/>
      <c r="R962" s="945"/>
      <c r="S962" s="945"/>
      <c r="T962" s="945"/>
      <c r="U962" s="945"/>
      <c r="V962" s="945"/>
      <c r="W962" s="945"/>
      <c r="X962" s="945"/>
      <c r="Y962" s="945"/>
      <c r="Z962" s="945"/>
      <c r="AA962" s="945"/>
      <c r="AB962" s="945"/>
    </row>
    <row r="963" ht="20.25" customHeight="1">
      <c r="A963" s="964"/>
      <c r="B963" s="965"/>
      <c r="C963" s="965"/>
      <c r="D963" s="966"/>
      <c r="E963" s="967"/>
      <c r="F963" s="965"/>
      <c r="G963" s="965"/>
      <c r="H963" s="965"/>
      <c r="I963" s="965"/>
      <c r="J963" s="965"/>
      <c r="K963" s="965"/>
      <c r="L963" s="965"/>
      <c r="M963" s="965"/>
      <c r="N963" s="965"/>
      <c r="O963" s="965"/>
      <c r="P963" s="965"/>
      <c r="Q963" s="945"/>
      <c r="R963" s="945"/>
      <c r="S963" s="945"/>
      <c r="T963" s="945"/>
      <c r="U963" s="945"/>
      <c r="V963" s="945"/>
      <c r="W963" s="945"/>
      <c r="X963" s="945"/>
      <c r="Y963" s="945"/>
      <c r="Z963" s="945"/>
      <c r="AA963" s="945"/>
      <c r="AB963" s="945"/>
    </row>
    <row r="964" ht="20.25" customHeight="1">
      <c r="A964" s="964"/>
      <c r="B964" s="965"/>
      <c r="C964" s="965"/>
      <c r="D964" s="966"/>
      <c r="E964" s="967"/>
      <c r="F964" s="965"/>
      <c r="G964" s="965"/>
      <c r="H964" s="965"/>
      <c r="I964" s="965"/>
      <c r="J964" s="965"/>
      <c r="K964" s="965"/>
      <c r="L964" s="965"/>
      <c r="M964" s="965"/>
      <c r="N964" s="965"/>
      <c r="O964" s="965"/>
      <c r="P964" s="965"/>
      <c r="Q964" s="945"/>
      <c r="R964" s="945"/>
      <c r="S964" s="945"/>
      <c r="T964" s="945"/>
      <c r="U964" s="945"/>
      <c r="V964" s="945"/>
      <c r="W964" s="945"/>
      <c r="X964" s="945"/>
      <c r="Y964" s="945"/>
      <c r="Z964" s="945"/>
      <c r="AA964" s="945"/>
      <c r="AB964" s="945"/>
    </row>
    <row r="965" ht="20.25" customHeight="1">
      <c r="A965" s="964"/>
      <c r="B965" s="965"/>
      <c r="C965" s="965"/>
      <c r="D965" s="966"/>
      <c r="E965" s="967"/>
      <c r="F965" s="965"/>
      <c r="G965" s="965"/>
      <c r="H965" s="965"/>
      <c r="I965" s="965"/>
      <c r="J965" s="965"/>
      <c r="K965" s="965"/>
      <c r="L965" s="965"/>
      <c r="M965" s="965"/>
      <c r="N965" s="965"/>
      <c r="O965" s="965"/>
      <c r="P965" s="965"/>
      <c r="Q965" s="945"/>
      <c r="R965" s="945"/>
      <c r="S965" s="945"/>
      <c r="T965" s="945"/>
      <c r="U965" s="945"/>
      <c r="V965" s="945"/>
      <c r="W965" s="945"/>
      <c r="X965" s="945"/>
      <c r="Y965" s="945"/>
      <c r="Z965" s="945"/>
      <c r="AA965" s="945"/>
      <c r="AB965" s="945"/>
    </row>
    <row r="966" ht="20.25" customHeight="1">
      <c r="A966" s="964"/>
      <c r="B966" s="965"/>
      <c r="C966" s="965"/>
      <c r="D966" s="966"/>
      <c r="E966" s="967"/>
      <c r="F966" s="965"/>
      <c r="G966" s="965"/>
      <c r="H966" s="965"/>
      <c r="I966" s="965"/>
      <c r="J966" s="965"/>
      <c r="K966" s="965"/>
      <c r="L966" s="965"/>
      <c r="M966" s="965"/>
      <c r="N966" s="965"/>
      <c r="O966" s="965"/>
      <c r="P966" s="965"/>
      <c r="Q966" s="945"/>
      <c r="R966" s="945"/>
      <c r="S966" s="945"/>
      <c r="T966" s="945"/>
      <c r="U966" s="945"/>
      <c r="V966" s="945"/>
      <c r="W966" s="945"/>
      <c r="X966" s="945"/>
      <c r="Y966" s="945"/>
      <c r="Z966" s="945"/>
      <c r="AA966" s="945"/>
      <c r="AB966" s="945"/>
    </row>
    <row r="967" ht="20.25" customHeight="1">
      <c r="A967" s="964"/>
      <c r="B967" s="965"/>
      <c r="C967" s="965"/>
      <c r="D967" s="966"/>
      <c r="E967" s="967"/>
      <c r="F967" s="965"/>
      <c r="G967" s="965"/>
      <c r="H967" s="965"/>
      <c r="I967" s="965"/>
      <c r="J967" s="965"/>
      <c r="K967" s="965"/>
      <c r="L967" s="965"/>
      <c r="M967" s="965"/>
      <c r="N967" s="965"/>
      <c r="O967" s="965"/>
      <c r="P967" s="965"/>
      <c r="Q967" s="945"/>
      <c r="R967" s="945"/>
      <c r="S967" s="945"/>
      <c r="T967" s="945"/>
      <c r="U967" s="945"/>
      <c r="V967" s="945"/>
      <c r="W967" s="945"/>
      <c r="X967" s="945"/>
      <c r="Y967" s="945"/>
      <c r="Z967" s="945"/>
      <c r="AA967" s="945"/>
      <c r="AB967" s="945"/>
    </row>
    <row r="968" ht="20.25" customHeight="1">
      <c r="A968" s="964"/>
      <c r="B968" s="965"/>
      <c r="C968" s="965"/>
      <c r="D968" s="966"/>
      <c r="E968" s="967"/>
      <c r="F968" s="965"/>
      <c r="G968" s="965"/>
      <c r="H968" s="965"/>
      <c r="I968" s="965"/>
      <c r="J968" s="965"/>
      <c r="K968" s="965"/>
      <c r="L968" s="965"/>
      <c r="M968" s="965"/>
      <c r="N968" s="965"/>
      <c r="O968" s="965"/>
      <c r="P968" s="965"/>
      <c r="Q968" s="945"/>
      <c r="R968" s="945"/>
      <c r="S968" s="945"/>
      <c r="T968" s="945"/>
      <c r="U968" s="945"/>
      <c r="V968" s="945"/>
      <c r="W968" s="945"/>
      <c r="X968" s="945"/>
      <c r="Y968" s="945"/>
      <c r="Z968" s="945"/>
      <c r="AA968" s="945"/>
      <c r="AB968" s="945"/>
    </row>
    <row r="969" ht="20.25" customHeight="1">
      <c r="A969" s="964"/>
      <c r="B969" s="965"/>
      <c r="C969" s="965"/>
      <c r="D969" s="966"/>
      <c r="E969" s="967"/>
      <c r="F969" s="965"/>
      <c r="G969" s="965"/>
      <c r="H969" s="965"/>
      <c r="I969" s="965"/>
      <c r="J969" s="965"/>
      <c r="K969" s="965"/>
      <c r="L969" s="965"/>
      <c r="M969" s="965"/>
      <c r="N969" s="965"/>
      <c r="O969" s="965"/>
      <c r="P969" s="965"/>
      <c r="Q969" s="945"/>
      <c r="R969" s="945"/>
      <c r="S969" s="945"/>
      <c r="T969" s="945"/>
      <c r="U969" s="945"/>
      <c r="V969" s="945"/>
      <c r="W969" s="945"/>
      <c r="X969" s="945"/>
      <c r="Y969" s="945"/>
      <c r="Z969" s="945"/>
      <c r="AA969" s="945"/>
      <c r="AB969" s="945"/>
    </row>
    <row r="970" ht="20.25" customHeight="1">
      <c r="A970" s="964"/>
      <c r="B970" s="965"/>
      <c r="C970" s="965"/>
      <c r="D970" s="966"/>
      <c r="E970" s="967"/>
      <c r="F970" s="965"/>
      <c r="G970" s="965"/>
      <c r="H970" s="965"/>
      <c r="I970" s="965"/>
      <c r="J970" s="965"/>
      <c r="K970" s="965"/>
      <c r="L970" s="965"/>
      <c r="M970" s="965"/>
      <c r="N970" s="965"/>
      <c r="O970" s="965"/>
      <c r="P970" s="965"/>
      <c r="Q970" s="945"/>
      <c r="R970" s="945"/>
      <c r="S970" s="945"/>
      <c r="T970" s="945"/>
      <c r="U970" s="945"/>
      <c r="V970" s="945"/>
      <c r="W970" s="945"/>
      <c r="X970" s="945"/>
      <c r="Y970" s="945"/>
      <c r="Z970" s="945"/>
      <c r="AA970" s="945"/>
      <c r="AB970" s="945"/>
    </row>
    <row r="971" ht="20.25" customHeight="1">
      <c r="A971" s="964"/>
      <c r="B971" s="965"/>
      <c r="C971" s="965"/>
      <c r="D971" s="966"/>
      <c r="E971" s="967"/>
      <c r="F971" s="965"/>
      <c r="G971" s="965"/>
      <c r="H971" s="965"/>
      <c r="I971" s="965"/>
      <c r="J971" s="965"/>
      <c r="K971" s="965"/>
      <c r="L971" s="965"/>
      <c r="M971" s="965"/>
      <c r="N971" s="965"/>
      <c r="O971" s="965"/>
      <c r="P971" s="965"/>
      <c r="Q971" s="945"/>
      <c r="R971" s="945"/>
      <c r="S971" s="945"/>
      <c r="T971" s="945"/>
      <c r="U971" s="945"/>
      <c r="V971" s="945"/>
      <c r="W971" s="945"/>
      <c r="X971" s="945"/>
      <c r="Y971" s="945"/>
      <c r="Z971" s="945"/>
      <c r="AA971" s="945"/>
      <c r="AB971" s="945"/>
    </row>
    <row r="972" ht="20.25" customHeight="1">
      <c r="A972" s="964"/>
      <c r="B972" s="965"/>
      <c r="C972" s="965"/>
      <c r="D972" s="966"/>
      <c r="E972" s="967"/>
      <c r="F972" s="965"/>
      <c r="G972" s="965"/>
      <c r="H972" s="965"/>
      <c r="I972" s="965"/>
      <c r="J972" s="965"/>
      <c r="K972" s="965"/>
      <c r="L972" s="965"/>
      <c r="M972" s="965"/>
      <c r="N972" s="965"/>
      <c r="O972" s="965"/>
      <c r="P972" s="965"/>
      <c r="Q972" s="945"/>
      <c r="R972" s="945"/>
      <c r="S972" s="945"/>
      <c r="T972" s="945"/>
      <c r="U972" s="945"/>
      <c r="V972" s="945"/>
      <c r="W972" s="945"/>
      <c r="X972" s="945"/>
      <c r="Y972" s="945"/>
      <c r="Z972" s="945"/>
      <c r="AA972" s="945"/>
      <c r="AB972" s="945"/>
    </row>
    <row r="973" ht="20.25" customHeight="1">
      <c r="A973" s="964"/>
      <c r="B973" s="965"/>
      <c r="C973" s="965"/>
      <c r="D973" s="966"/>
      <c r="E973" s="967"/>
      <c r="F973" s="965"/>
      <c r="G973" s="965"/>
      <c r="H973" s="965"/>
      <c r="I973" s="965"/>
      <c r="J973" s="965"/>
      <c r="K973" s="965"/>
      <c r="L973" s="965"/>
      <c r="M973" s="965"/>
      <c r="N973" s="965"/>
      <c r="O973" s="965"/>
      <c r="P973" s="965"/>
      <c r="Q973" s="945"/>
      <c r="R973" s="945"/>
      <c r="S973" s="945"/>
      <c r="T973" s="945"/>
      <c r="U973" s="945"/>
      <c r="V973" s="945"/>
      <c r="W973" s="945"/>
      <c r="X973" s="945"/>
      <c r="Y973" s="945"/>
      <c r="Z973" s="945"/>
      <c r="AA973" s="945"/>
      <c r="AB973" s="945"/>
    </row>
    <row r="974" ht="20.25" customHeight="1">
      <c r="A974" s="964"/>
      <c r="B974" s="965"/>
      <c r="C974" s="965"/>
      <c r="D974" s="966"/>
      <c r="E974" s="967"/>
      <c r="F974" s="965"/>
      <c r="G974" s="965"/>
      <c r="H974" s="965"/>
      <c r="I974" s="965"/>
      <c r="J974" s="965"/>
      <c r="K974" s="965"/>
      <c r="L974" s="965"/>
      <c r="M974" s="965"/>
      <c r="N974" s="965"/>
      <c r="O974" s="965"/>
      <c r="P974" s="965"/>
      <c r="Q974" s="945"/>
      <c r="R974" s="945"/>
      <c r="S974" s="945"/>
      <c r="T974" s="945"/>
      <c r="U974" s="945"/>
      <c r="V974" s="945"/>
      <c r="W974" s="945"/>
      <c r="X974" s="945"/>
      <c r="Y974" s="945"/>
      <c r="Z974" s="945"/>
      <c r="AA974" s="945"/>
      <c r="AB974" s="945"/>
    </row>
    <row r="975" ht="20.25" customHeight="1">
      <c r="A975" s="964"/>
      <c r="B975" s="965"/>
      <c r="C975" s="965"/>
      <c r="D975" s="966"/>
      <c r="E975" s="967"/>
      <c r="F975" s="965"/>
      <c r="G975" s="965"/>
      <c r="H975" s="965"/>
      <c r="I975" s="965"/>
      <c r="J975" s="965"/>
      <c r="K975" s="965"/>
      <c r="L975" s="965"/>
      <c r="M975" s="965"/>
      <c r="N975" s="965"/>
      <c r="O975" s="965"/>
      <c r="P975" s="965"/>
      <c r="Q975" s="945"/>
      <c r="R975" s="945"/>
      <c r="S975" s="945"/>
      <c r="T975" s="945"/>
      <c r="U975" s="945"/>
      <c r="V975" s="945"/>
      <c r="W975" s="945"/>
      <c r="X975" s="945"/>
      <c r="Y975" s="945"/>
      <c r="Z975" s="945"/>
      <c r="AA975" s="945"/>
      <c r="AB975" s="945"/>
    </row>
    <row r="976" ht="20.25" customHeight="1">
      <c r="A976" s="964"/>
      <c r="B976" s="965"/>
      <c r="C976" s="965"/>
      <c r="D976" s="966"/>
      <c r="E976" s="967"/>
      <c r="F976" s="965"/>
      <c r="G976" s="965"/>
      <c r="H976" s="965"/>
      <c r="I976" s="965"/>
      <c r="J976" s="965"/>
      <c r="K976" s="965"/>
      <c r="L976" s="965"/>
      <c r="M976" s="965"/>
      <c r="N976" s="965"/>
      <c r="O976" s="965"/>
      <c r="P976" s="965"/>
      <c r="Q976" s="945"/>
      <c r="R976" s="945"/>
      <c r="S976" s="945"/>
      <c r="T976" s="945"/>
      <c r="U976" s="945"/>
      <c r="V976" s="945"/>
      <c r="W976" s="945"/>
      <c r="X976" s="945"/>
      <c r="Y976" s="945"/>
      <c r="Z976" s="945"/>
      <c r="AA976" s="945"/>
      <c r="AB976" s="945"/>
    </row>
    <row r="977" ht="20.25" customHeight="1">
      <c r="A977" s="964"/>
      <c r="B977" s="965"/>
      <c r="C977" s="965"/>
      <c r="D977" s="966"/>
      <c r="E977" s="967"/>
      <c r="F977" s="965"/>
      <c r="G977" s="965"/>
      <c r="H977" s="965"/>
      <c r="I977" s="965"/>
      <c r="J977" s="965"/>
      <c r="K977" s="965"/>
      <c r="L977" s="965"/>
      <c r="M977" s="965"/>
      <c r="N977" s="965"/>
      <c r="O977" s="965"/>
      <c r="P977" s="965"/>
      <c r="Q977" s="945"/>
      <c r="R977" s="945"/>
      <c r="S977" s="945"/>
      <c r="T977" s="945"/>
      <c r="U977" s="945"/>
      <c r="V977" s="945"/>
      <c r="W977" s="945"/>
      <c r="X977" s="945"/>
      <c r="Y977" s="945"/>
      <c r="Z977" s="945"/>
      <c r="AA977" s="945"/>
      <c r="AB977" s="945"/>
    </row>
    <row r="978" ht="20.25" customHeight="1">
      <c r="A978" s="964"/>
      <c r="B978" s="965"/>
      <c r="C978" s="965"/>
      <c r="D978" s="966"/>
      <c r="E978" s="967"/>
      <c r="F978" s="965"/>
      <c r="G978" s="965"/>
      <c r="H978" s="965"/>
      <c r="I978" s="965"/>
      <c r="J978" s="965"/>
      <c r="K978" s="965"/>
      <c r="L978" s="965"/>
      <c r="M978" s="965"/>
      <c r="N978" s="965"/>
      <c r="O978" s="965"/>
      <c r="P978" s="965"/>
      <c r="Q978" s="945"/>
      <c r="R978" s="945"/>
      <c r="S978" s="945"/>
      <c r="T978" s="945"/>
      <c r="U978" s="945"/>
      <c r="V978" s="945"/>
      <c r="W978" s="945"/>
      <c r="X978" s="945"/>
      <c r="Y978" s="945"/>
      <c r="Z978" s="945"/>
      <c r="AA978" s="945"/>
      <c r="AB978" s="945"/>
    </row>
    <row r="979" ht="20.25" customHeight="1">
      <c r="A979" s="964"/>
      <c r="B979" s="965"/>
      <c r="C979" s="965"/>
      <c r="D979" s="966"/>
      <c r="E979" s="967"/>
      <c r="F979" s="965"/>
      <c r="G979" s="965"/>
      <c r="H979" s="965"/>
      <c r="I979" s="965"/>
      <c r="J979" s="965"/>
      <c r="K979" s="965"/>
      <c r="L979" s="965"/>
      <c r="M979" s="965"/>
      <c r="N979" s="965"/>
      <c r="O979" s="965"/>
      <c r="P979" s="965"/>
      <c r="Q979" s="945"/>
      <c r="R979" s="945"/>
      <c r="S979" s="945"/>
      <c r="T979" s="945"/>
      <c r="U979" s="945"/>
      <c r="V979" s="945"/>
      <c r="W979" s="945"/>
      <c r="X979" s="945"/>
      <c r="Y979" s="945"/>
      <c r="Z979" s="945"/>
      <c r="AA979" s="945"/>
      <c r="AB979" s="945"/>
    </row>
    <row r="980" ht="20.25" customHeight="1">
      <c r="A980" s="964"/>
      <c r="B980" s="965"/>
      <c r="C980" s="965"/>
      <c r="D980" s="966"/>
      <c r="E980" s="967"/>
      <c r="F980" s="965"/>
      <c r="G980" s="965"/>
      <c r="H980" s="965"/>
      <c r="I980" s="965"/>
      <c r="J980" s="965"/>
      <c r="K980" s="965"/>
      <c r="L980" s="965"/>
      <c r="M980" s="965"/>
      <c r="N980" s="965"/>
      <c r="O980" s="965"/>
      <c r="P980" s="965"/>
      <c r="Q980" s="945"/>
      <c r="R980" s="945"/>
      <c r="S980" s="945"/>
      <c r="T980" s="945"/>
      <c r="U980" s="945"/>
      <c r="V980" s="945"/>
      <c r="W980" s="945"/>
      <c r="X980" s="945"/>
      <c r="Y980" s="945"/>
      <c r="Z980" s="945"/>
      <c r="AA980" s="945"/>
      <c r="AB980" s="945"/>
    </row>
    <row r="981" ht="20.25" customHeight="1">
      <c r="A981" s="964"/>
      <c r="B981" s="965"/>
      <c r="C981" s="965"/>
      <c r="D981" s="966"/>
      <c r="E981" s="967"/>
      <c r="F981" s="965"/>
      <c r="G981" s="965"/>
      <c r="H981" s="965"/>
      <c r="I981" s="965"/>
      <c r="J981" s="965"/>
      <c r="K981" s="965"/>
      <c r="L981" s="965"/>
      <c r="M981" s="965"/>
      <c r="N981" s="965"/>
      <c r="O981" s="965"/>
      <c r="P981" s="965"/>
      <c r="Q981" s="945"/>
      <c r="R981" s="945"/>
      <c r="S981" s="945"/>
      <c r="T981" s="945"/>
      <c r="U981" s="945"/>
      <c r="V981" s="945"/>
      <c r="W981" s="945"/>
      <c r="X981" s="945"/>
      <c r="Y981" s="945"/>
      <c r="Z981" s="945"/>
      <c r="AA981" s="945"/>
      <c r="AB981" s="945"/>
    </row>
    <row r="982" ht="20.25" customHeight="1">
      <c r="A982" s="964"/>
      <c r="B982" s="965"/>
      <c r="C982" s="965"/>
      <c r="D982" s="966"/>
      <c r="E982" s="967"/>
      <c r="F982" s="965"/>
      <c r="G982" s="965"/>
      <c r="H982" s="965"/>
      <c r="I982" s="965"/>
      <c r="J982" s="965"/>
      <c r="K982" s="965"/>
      <c r="L982" s="965"/>
      <c r="M982" s="965"/>
      <c r="N982" s="965"/>
      <c r="O982" s="965"/>
      <c r="P982" s="965"/>
      <c r="Q982" s="945"/>
      <c r="R982" s="945"/>
      <c r="S982" s="945"/>
      <c r="T982" s="945"/>
      <c r="U982" s="945"/>
      <c r="V982" s="945"/>
      <c r="W982" s="945"/>
      <c r="X982" s="945"/>
      <c r="Y982" s="945"/>
      <c r="Z982" s="945"/>
      <c r="AA982" s="945"/>
      <c r="AB982" s="945"/>
    </row>
    <row r="983" ht="20.25" customHeight="1">
      <c r="A983" s="964"/>
      <c r="B983" s="965"/>
      <c r="C983" s="965"/>
      <c r="D983" s="966"/>
      <c r="E983" s="967"/>
      <c r="F983" s="965"/>
      <c r="G983" s="965"/>
      <c r="H983" s="965"/>
      <c r="I983" s="965"/>
      <c r="J983" s="965"/>
      <c r="K983" s="965"/>
      <c r="L983" s="965"/>
      <c r="M983" s="965"/>
      <c r="N983" s="965"/>
      <c r="O983" s="965"/>
      <c r="P983" s="965"/>
      <c r="Q983" s="945"/>
      <c r="R983" s="945"/>
      <c r="S983" s="945"/>
      <c r="T983" s="945"/>
      <c r="U983" s="945"/>
      <c r="V983" s="945"/>
      <c r="W983" s="945"/>
      <c r="X983" s="945"/>
      <c r="Y983" s="945"/>
      <c r="Z983" s="945"/>
      <c r="AA983" s="945"/>
      <c r="AB983" s="945"/>
    </row>
    <row r="984" ht="20.25" customHeight="1">
      <c r="A984" s="964"/>
      <c r="B984" s="965"/>
      <c r="C984" s="965"/>
      <c r="D984" s="966"/>
      <c r="E984" s="967"/>
      <c r="F984" s="965"/>
      <c r="G984" s="965"/>
      <c r="H984" s="965"/>
      <c r="I984" s="965"/>
      <c r="J984" s="965"/>
      <c r="K984" s="965"/>
      <c r="L984" s="965"/>
      <c r="M984" s="965"/>
      <c r="N984" s="965"/>
      <c r="O984" s="965"/>
      <c r="P984" s="965"/>
      <c r="Q984" s="945"/>
      <c r="R984" s="945"/>
      <c r="S984" s="945"/>
      <c r="T984" s="945"/>
      <c r="U984" s="945"/>
      <c r="V984" s="945"/>
      <c r="W984" s="945"/>
      <c r="X984" s="945"/>
      <c r="Y984" s="945"/>
      <c r="Z984" s="945"/>
      <c r="AA984" s="945"/>
      <c r="AB984" s="945"/>
    </row>
    <row r="985" ht="20.25" customHeight="1">
      <c r="A985" s="964"/>
      <c r="B985" s="965"/>
      <c r="C985" s="965"/>
      <c r="D985" s="966"/>
      <c r="E985" s="967"/>
      <c r="F985" s="965"/>
      <c r="G985" s="965"/>
      <c r="H985" s="965"/>
      <c r="I985" s="965"/>
      <c r="J985" s="965"/>
      <c r="K985" s="965"/>
      <c r="L985" s="965"/>
      <c r="M985" s="965"/>
      <c r="N985" s="965"/>
      <c r="O985" s="965"/>
      <c r="P985" s="965"/>
      <c r="Q985" s="945"/>
      <c r="R985" s="945"/>
      <c r="S985" s="945"/>
      <c r="T985" s="945"/>
      <c r="U985" s="945"/>
      <c r="V985" s="945"/>
      <c r="W985" s="945"/>
      <c r="X985" s="945"/>
      <c r="Y985" s="945"/>
      <c r="Z985" s="945"/>
      <c r="AA985" s="945"/>
      <c r="AB985" s="945"/>
    </row>
    <row r="986" ht="20.25" customHeight="1">
      <c r="A986" s="964"/>
      <c r="B986" s="965"/>
      <c r="C986" s="965"/>
      <c r="D986" s="966"/>
      <c r="E986" s="967"/>
      <c r="F986" s="965"/>
      <c r="G986" s="965"/>
      <c r="H986" s="965"/>
      <c r="I986" s="965"/>
      <c r="J986" s="965"/>
      <c r="K986" s="965"/>
      <c r="L986" s="965"/>
      <c r="M986" s="965"/>
      <c r="N986" s="965"/>
      <c r="O986" s="965"/>
      <c r="P986" s="965"/>
      <c r="Q986" s="945"/>
      <c r="R986" s="945"/>
      <c r="S986" s="945"/>
      <c r="T986" s="945"/>
      <c r="U986" s="945"/>
      <c r="V986" s="945"/>
      <c r="W986" s="945"/>
      <c r="X986" s="945"/>
      <c r="Y986" s="945"/>
      <c r="Z986" s="945"/>
      <c r="AA986" s="945"/>
      <c r="AB986" s="945"/>
    </row>
    <row r="987" ht="20.25" customHeight="1">
      <c r="A987" s="964"/>
      <c r="B987" s="965"/>
      <c r="C987" s="965"/>
      <c r="D987" s="966"/>
      <c r="E987" s="967"/>
      <c r="F987" s="965"/>
      <c r="G987" s="965"/>
      <c r="H987" s="965"/>
      <c r="I987" s="965"/>
      <c r="J987" s="965"/>
      <c r="K987" s="965"/>
      <c r="L987" s="965"/>
      <c r="M987" s="965"/>
      <c r="N987" s="965"/>
      <c r="O987" s="965"/>
      <c r="P987" s="965"/>
      <c r="Q987" s="945"/>
      <c r="R987" s="945"/>
      <c r="S987" s="945"/>
      <c r="T987" s="945"/>
      <c r="U987" s="945"/>
      <c r="V987" s="945"/>
      <c r="W987" s="945"/>
      <c r="X987" s="945"/>
      <c r="Y987" s="945"/>
      <c r="Z987" s="945"/>
      <c r="AA987" s="945"/>
      <c r="AB987" s="945"/>
    </row>
    <row r="988" ht="20.25" customHeight="1">
      <c r="A988" s="964"/>
      <c r="B988" s="965"/>
      <c r="C988" s="965"/>
      <c r="D988" s="966"/>
      <c r="E988" s="967"/>
      <c r="F988" s="965"/>
      <c r="G988" s="965"/>
      <c r="H988" s="965"/>
      <c r="I988" s="965"/>
      <c r="J988" s="965"/>
      <c r="K988" s="965"/>
      <c r="L988" s="965"/>
      <c r="M988" s="965"/>
      <c r="N988" s="965"/>
      <c r="O988" s="965"/>
      <c r="P988" s="965"/>
      <c r="Q988" s="945"/>
      <c r="R988" s="945"/>
      <c r="S988" s="945"/>
      <c r="T988" s="945"/>
      <c r="U988" s="945"/>
      <c r="V988" s="945"/>
      <c r="W988" s="945"/>
      <c r="X988" s="945"/>
      <c r="Y988" s="945"/>
      <c r="Z988" s="945"/>
      <c r="AA988" s="945"/>
      <c r="AB988" s="945"/>
    </row>
    <row r="989" ht="20.25" customHeight="1">
      <c r="A989" s="964"/>
      <c r="B989" s="965"/>
      <c r="C989" s="965"/>
      <c r="D989" s="966"/>
      <c r="E989" s="967"/>
      <c r="F989" s="965"/>
      <c r="G989" s="965"/>
      <c r="H989" s="965"/>
      <c r="I989" s="965"/>
      <c r="J989" s="965"/>
      <c r="K989" s="965"/>
      <c r="L989" s="965"/>
      <c r="M989" s="965"/>
      <c r="N989" s="965"/>
      <c r="O989" s="965"/>
      <c r="P989" s="965"/>
      <c r="Q989" s="945"/>
      <c r="R989" s="945"/>
      <c r="S989" s="945"/>
      <c r="T989" s="945"/>
      <c r="U989" s="945"/>
      <c r="V989" s="945"/>
      <c r="W989" s="945"/>
      <c r="X989" s="945"/>
      <c r="Y989" s="945"/>
      <c r="Z989" s="945"/>
      <c r="AA989" s="945"/>
      <c r="AB989" s="945"/>
    </row>
    <row r="990" ht="20.25" customHeight="1">
      <c r="A990" s="964"/>
      <c r="B990" s="965"/>
      <c r="C990" s="965"/>
      <c r="D990" s="966"/>
      <c r="E990" s="967"/>
      <c r="F990" s="965"/>
      <c r="G990" s="965"/>
      <c r="H990" s="965"/>
      <c r="I990" s="965"/>
      <c r="J990" s="965"/>
      <c r="K990" s="965"/>
      <c r="L990" s="965"/>
      <c r="M990" s="965"/>
      <c r="N990" s="965"/>
      <c r="O990" s="965"/>
      <c r="P990" s="965"/>
      <c r="Q990" s="945"/>
      <c r="R990" s="945"/>
      <c r="S990" s="945"/>
      <c r="T990" s="945"/>
      <c r="U990" s="945"/>
      <c r="V990" s="945"/>
      <c r="W990" s="945"/>
      <c r="X990" s="945"/>
      <c r="Y990" s="945"/>
      <c r="Z990" s="945"/>
      <c r="AA990" s="945"/>
      <c r="AB990" s="945"/>
    </row>
    <row r="991" ht="20.25" customHeight="1">
      <c r="A991" s="964"/>
      <c r="B991" s="965"/>
      <c r="C991" s="965"/>
      <c r="D991" s="966"/>
      <c r="E991" s="967"/>
      <c r="F991" s="965"/>
      <c r="G991" s="965"/>
      <c r="H991" s="965"/>
      <c r="I991" s="965"/>
      <c r="J991" s="965"/>
      <c r="K991" s="965"/>
      <c r="L991" s="965"/>
      <c r="M991" s="965"/>
      <c r="N991" s="965"/>
      <c r="O991" s="965"/>
      <c r="P991" s="965"/>
      <c r="Q991" s="945"/>
      <c r="R991" s="945"/>
      <c r="S991" s="945"/>
      <c r="T991" s="945"/>
      <c r="U991" s="945"/>
      <c r="V991" s="945"/>
      <c r="W991" s="945"/>
      <c r="X991" s="945"/>
      <c r="Y991" s="945"/>
      <c r="Z991" s="945"/>
      <c r="AA991" s="945"/>
      <c r="AB991" s="945"/>
    </row>
    <row r="992" ht="20.25" customHeight="1">
      <c r="A992" s="964"/>
      <c r="B992" s="965"/>
      <c r="C992" s="965"/>
      <c r="D992" s="966"/>
      <c r="E992" s="967"/>
      <c r="F992" s="965"/>
      <c r="G992" s="965"/>
      <c r="H992" s="965"/>
      <c r="I992" s="965"/>
      <c r="J992" s="965"/>
      <c r="K992" s="965"/>
      <c r="L992" s="965"/>
      <c r="M992" s="965"/>
      <c r="N992" s="965"/>
      <c r="O992" s="965"/>
      <c r="P992" s="965"/>
      <c r="Q992" s="945"/>
      <c r="R992" s="945"/>
      <c r="S992" s="945"/>
      <c r="T992" s="945"/>
      <c r="U992" s="945"/>
      <c r="V992" s="945"/>
      <c r="W992" s="945"/>
      <c r="X992" s="945"/>
      <c r="Y992" s="945"/>
      <c r="Z992" s="945"/>
      <c r="AA992" s="945"/>
      <c r="AB992" s="945"/>
    </row>
    <row r="993" ht="20.25" customHeight="1">
      <c r="A993" s="964"/>
      <c r="B993" s="965"/>
      <c r="C993" s="965"/>
      <c r="D993" s="966"/>
      <c r="E993" s="967"/>
      <c r="F993" s="965"/>
      <c r="G993" s="965"/>
      <c r="H993" s="965"/>
      <c r="I993" s="965"/>
      <c r="J993" s="965"/>
      <c r="K993" s="965"/>
      <c r="L993" s="965"/>
      <c r="M993" s="965"/>
      <c r="N993" s="965"/>
      <c r="O993" s="965"/>
      <c r="P993" s="965"/>
      <c r="Q993" s="945"/>
      <c r="R993" s="945"/>
      <c r="S993" s="945"/>
      <c r="T993" s="945"/>
      <c r="U993" s="945"/>
      <c r="V993" s="945"/>
      <c r="W993" s="945"/>
      <c r="X993" s="945"/>
      <c r="Y993" s="945"/>
      <c r="Z993" s="945"/>
      <c r="AA993" s="945"/>
      <c r="AB993" s="945"/>
    </row>
    <row r="994" ht="20.25" customHeight="1">
      <c r="A994" s="964"/>
      <c r="B994" s="965"/>
      <c r="C994" s="965"/>
      <c r="D994" s="966"/>
      <c r="E994" s="967"/>
      <c r="F994" s="965"/>
      <c r="G994" s="965"/>
      <c r="H994" s="965"/>
      <c r="I994" s="965"/>
      <c r="J994" s="965"/>
      <c r="K994" s="965"/>
      <c r="L994" s="965"/>
      <c r="M994" s="965"/>
      <c r="N994" s="965"/>
      <c r="O994" s="965"/>
      <c r="P994" s="965"/>
      <c r="Q994" s="945"/>
      <c r="R994" s="945"/>
      <c r="S994" s="945"/>
      <c r="T994" s="945"/>
      <c r="U994" s="945"/>
      <c r="V994" s="945"/>
      <c r="W994" s="945"/>
      <c r="X994" s="945"/>
      <c r="Y994" s="945"/>
      <c r="Z994" s="945"/>
      <c r="AA994" s="945"/>
      <c r="AB994" s="945"/>
    </row>
    <row r="995" ht="20.25" customHeight="1">
      <c r="A995" s="964"/>
      <c r="B995" s="965"/>
      <c r="C995" s="965"/>
      <c r="D995" s="966"/>
      <c r="E995" s="967"/>
      <c r="F995" s="965"/>
      <c r="G995" s="965"/>
      <c r="H995" s="965"/>
      <c r="I995" s="965"/>
      <c r="J995" s="965"/>
      <c r="K995" s="965"/>
      <c r="L995" s="965"/>
      <c r="M995" s="965"/>
      <c r="N995" s="965"/>
      <c r="O995" s="965"/>
      <c r="P995" s="965"/>
      <c r="Q995" s="945"/>
      <c r="R995" s="945"/>
      <c r="S995" s="945"/>
      <c r="T995" s="945"/>
      <c r="U995" s="945"/>
      <c r="V995" s="945"/>
      <c r="W995" s="945"/>
      <c r="X995" s="945"/>
      <c r="Y995" s="945"/>
      <c r="Z995" s="945"/>
      <c r="AA995" s="945"/>
      <c r="AB995" s="945"/>
    </row>
    <row r="996" ht="20.25" customHeight="1">
      <c r="A996" s="964"/>
      <c r="B996" s="965"/>
      <c r="C996" s="965"/>
      <c r="D996" s="966"/>
      <c r="E996" s="967"/>
      <c r="F996" s="965"/>
      <c r="G996" s="965"/>
      <c r="H996" s="965"/>
      <c r="I996" s="965"/>
      <c r="J996" s="965"/>
      <c r="K996" s="965"/>
      <c r="L996" s="965"/>
      <c r="M996" s="965"/>
      <c r="N996" s="965"/>
      <c r="O996" s="965"/>
      <c r="P996" s="965"/>
      <c r="Q996" s="945"/>
      <c r="R996" s="945"/>
      <c r="S996" s="945"/>
      <c r="T996" s="945"/>
      <c r="U996" s="945"/>
      <c r="V996" s="945"/>
      <c r="W996" s="945"/>
      <c r="X996" s="945"/>
      <c r="Y996" s="945"/>
      <c r="Z996" s="945"/>
      <c r="AA996" s="945"/>
      <c r="AB996" s="945"/>
    </row>
    <row r="997" ht="20.25" customHeight="1">
      <c r="A997" s="964"/>
      <c r="B997" s="965"/>
      <c r="C997" s="965"/>
      <c r="D997" s="966"/>
      <c r="E997" s="967"/>
      <c r="F997" s="965"/>
      <c r="G997" s="965"/>
      <c r="H997" s="965"/>
      <c r="I997" s="965"/>
      <c r="J997" s="965"/>
      <c r="K997" s="965"/>
      <c r="L997" s="965"/>
      <c r="M997" s="965"/>
      <c r="N997" s="965"/>
      <c r="O997" s="965"/>
      <c r="P997" s="965"/>
      <c r="Q997" s="945"/>
      <c r="R997" s="945"/>
      <c r="S997" s="945"/>
      <c r="T997" s="945"/>
      <c r="U997" s="945"/>
      <c r="V997" s="945"/>
      <c r="W997" s="945"/>
      <c r="X997" s="945"/>
      <c r="Y997" s="945"/>
      <c r="Z997" s="945"/>
      <c r="AA997" s="945"/>
      <c r="AB997" s="945"/>
    </row>
    <row r="998" ht="20.25" customHeight="1">
      <c r="A998" s="964"/>
      <c r="B998" s="965"/>
      <c r="C998" s="965"/>
      <c r="D998" s="966"/>
      <c r="E998" s="967"/>
      <c r="F998" s="965"/>
      <c r="G998" s="965"/>
      <c r="H998" s="965"/>
      <c r="I998" s="965"/>
      <c r="J998" s="965"/>
      <c r="K998" s="965"/>
      <c r="L998" s="965"/>
      <c r="M998" s="965"/>
      <c r="N998" s="965"/>
      <c r="O998" s="965"/>
      <c r="P998" s="965"/>
      <c r="Q998" s="945"/>
      <c r="R998" s="945"/>
      <c r="S998" s="945"/>
      <c r="T998" s="945"/>
      <c r="U998" s="945"/>
      <c r="V998" s="945"/>
      <c r="W998" s="945"/>
      <c r="X998" s="945"/>
      <c r="Y998" s="945"/>
      <c r="Z998" s="945"/>
      <c r="AA998" s="945"/>
      <c r="AB998" s="945"/>
    </row>
    <row r="999" ht="20.25" customHeight="1">
      <c r="A999" s="964"/>
      <c r="B999" s="965"/>
      <c r="C999" s="965"/>
      <c r="D999" s="966"/>
      <c r="E999" s="967"/>
      <c r="F999" s="965"/>
      <c r="G999" s="965"/>
      <c r="H999" s="965"/>
      <c r="I999" s="965"/>
      <c r="J999" s="965"/>
      <c r="K999" s="965"/>
      <c r="L999" s="965"/>
      <c r="M999" s="965"/>
      <c r="N999" s="965"/>
      <c r="O999" s="965"/>
      <c r="P999" s="965"/>
      <c r="Q999" s="945"/>
      <c r="R999" s="945"/>
      <c r="S999" s="945"/>
      <c r="T999" s="945"/>
      <c r="U999" s="945"/>
      <c r="V999" s="945"/>
      <c r="W999" s="945"/>
      <c r="X999" s="945"/>
      <c r="Y999" s="945"/>
      <c r="Z999" s="945"/>
      <c r="AA999" s="945"/>
      <c r="AB999" s="945"/>
    </row>
    <row r="1000" ht="20.25" customHeight="1">
      <c r="A1000" s="964"/>
      <c r="B1000" s="965"/>
      <c r="C1000" s="965"/>
      <c r="D1000" s="966"/>
      <c r="E1000" s="967"/>
      <c r="F1000" s="965"/>
      <c r="G1000" s="965"/>
      <c r="H1000" s="965"/>
      <c r="I1000" s="965"/>
      <c r="J1000" s="965"/>
      <c r="K1000" s="965"/>
      <c r="L1000" s="965"/>
      <c r="M1000" s="965"/>
      <c r="N1000" s="965"/>
      <c r="O1000" s="965"/>
      <c r="P1000" s="965"/>
      <c r="Q1000" s="945"/>
      <c r="R1000" s="945"/>
      <c r="S1000" s="945"/>
      <c r="T1000" s="945"/>
      <c r="U1000" s="945"/>
      <c r="V1000" s="945"/>
      <c r="W1000" s="945"/>
      <c r="X1000" s="945"/>
      <c r="Y1000" s="945"/>
      <c r="Z1000" s="945"/>
      <c r="AA1000" s="945"/>
      <c r="AB1000" s="945"/>
    </row>
    <row r="1001" ht="20.25" customHeight="1">
      <c r="A1001" s="964"/>
      <c r="B1001" s="965"/>
      <c r="C1001" s="965"/>
      <c r="D1001" s="966"/>
      <c r="E1001" s="967"/>
      <c r="F1001" s="965"/>
      <c r="G1001" s="965"/>
      <c r="H1001" s="965"/>
      <c r="I1001" s="965"/>
      <c r="J1001" s="965"/>
      <c r="K1001" s="965"/>
      <c r="L1001" s="965"/>
      <c r="M1001" s="965"/>
      <c r="N1001" s="965"/>
      <c r="O1001" s="965"/>
      <c r="P1001" s="965"/>
      <c r="Q1001" s="945"/>
      <c r="R1001" s="945"/>
      <c r="S1001" s="945"/>
      <c r="T1001" s="945"/>
      <c r="U1001" s="945"/>
      <c r="V1001" s="945"/>
      <c r="W1001" s="945"/>
      <c r="X1001" s="945"/>
      <c r="Y1001" s="945"/>
      <c r="Z1001" s="945"/>
      <c r="AA1001" s="945"/>
      <c r="AB1001" s="945"/>
    </row>
    <row r="1002" ht="20.25" customHeight="1">
      <c r="A1002" s="964"/>
      <c r="B1002" s="965"/>
      <c r="C1002" s="965"/>
      <c r="D1002" s="966"/>
      <c r="E1002" s="967"/>
      <c r="F1002" s="965"/>
      <c r="G1002" s="965"/>
      <c r="H1002" s="965"/>
      <c r="I1002" s="965"/>
      <c r="J1002" s="965"/>
      <c r="K1002" s="965"/>
      <c r="L1002" s="965"/>
      <c r="M1002" s="965"/>
      <c r="N1002" s="965"/>
      <c r="O1002" s="965"/>
      <c r="P1002" s="965"/>
      <c r="Q1002" s="945"/>
      <c r="R1002" s="945"/>
      <c r="S1002" s="945"/>
      <c r="T1002" s="945"/>
      <c r="U1002" s="945"/>
      <c r="V1002" s="945"/>
      <c r="W1002" s="945"/>
      <c r="X1002" s="945"/>
      <c r="Y1002" s="945"/>
      <c r="Z1002" s="945"/>
      <c r="AA1002" s="945"/>
      <c r="AB1002" s="945"/>
    </row>
    <row r="1003" ht="20.25" customHeight="1">
      <c r="A1003" s="964"/>
      <c r="B1003" s="965"/>
      <c r="C1003" s="965"/>
      <c r="D1003" s="966"/>
      <c r="E1003" s="967"/>
      <c r="F1003" s="965"/>
      <c r="G1003" s="965"/>
      <c r="H1003" s="965"/>
      <c r="I1003" s="965"/>
      <c r="J1003" s="965"/>
      <c r="K1003" s="965"/>
      <c r="L1003" s="965"/>
      <c r="M1003" s="965"/>
      <c r="N1003" s="965"/>
      <c r="O1003" s="965"/>
      <c r="P1003" s="965"/>
      <c r="Q1003" s="945"/>
      <c r="R1003" s="945"/>
      <c r="S1003" s="945"/>
      <c r="T1003" s="945"/>
      <c r="U1003" s="945"/>
      <c r="V1003" s="945"/>
      <c r="W1003" s="945"/>
      <c r="X1003" s="945"/>
      <c r="Y1003" s="945"/>
      <c r="Z1003" s="945"/>
      <c r="AA1003" s="945"/>
      <c r="AB1003" s="945"/>
    </row>
    <row r="1004" ht="20.25" customHeight="1">
      <c r="A1004" s="964"/>
      <c r="B1004" s="965"/>
      <c r="C1004" s="965"/>
      <c r="D1004" s="966"/>
      <c r="E1004" s="967"/>
      <c r="F1004" s="965"/>
      <c r="G1004" s="965"/>
      <c r="H1004" s="965"/>
      <c r="I1004" s="965"/>
      <c r="J1004" s="965"/>
      <c r="K1004" s="965"/>
      <c r="L1004" s="965"/>
      <c r="M1004" s="965"/>
      <c r="N1004" s="965"/>
      <c r="O1004" s="965"/>
      <c r="P1004" s="965"/>
      <c r="Q1004" s="945"/>
      <c r="R1004" s="945"/>
      <c r="S1004" s="945"/>
      <c r="T1004" s="945"/>
      <c r="U1004" s="945"/>
      <c r="V1004" s="945"/>
      <c r="W1004" s="945"/>
      <c r="X1004" s="945"/>
      <c r="Y1004" s="945"/>
      <c r="Z1004" s="945"/>
      <c r="AA1004" s="945"/>
      <c r="AB1004" s="945"/>
    </row>
    <row r="1005" ht="20.25" customHeight="1">
      <c r="A1005" s="964"/>
      <c r="B1005" s="965"/>
      <c r="C1005" s="965"/>
      <c r="D1005" s="966"/>
      <c r="E1005" s="967"/>
      <c r="F1005" s="965"/>
      <c r="G1005" s="965"/>
      <c r="H1005" s="965"/>
      <c r="I1005" s="965"/>
      <c r="J1005" s="965"/>
      <c r="K1005" s="965"/>
      <c r="L1005" s="965"/>
      <c r="M1005" s="965"/>
      <c r="N1005" s="965"/>
      <c r="O1005" s="965"/>
      <c r="P1005" s="965"/>
      <c r="Q1005" s="945"/>
      <c r="R1005" s="945"/>
      <c r="S1005" s="945"/>
      <c r="T1005" s="945"/>
      <c r="U1005" s="945"/>
      <c r="V1005" s="945"/>
      <c r="W1005" s="945"/>
      <c r="X1005" s="945"/>
      <c r="Y1005" s="945"/>
      <c r="Z1005" s="945"/>
      <c r="AA1005" s="945"/>
      <c r="AB1005" s="945"/>
    </row>
    <row r="1006" ht="20.25" customHeight="1">
      <c r="A1006" s="964"/>
      <c r="B1006" s="965"/>
      <c r="C1006" s="965"/>
      <c r="D1006" s="966"/>
      <c r="E1006" s="967"/>
      <c r="F1006" s="965"/>
      <c r="G1006" s="965"/>
      <c r="H1006" s="965"/>
      <c r="I1006" s="965"/>
      <c r="J1006" s="965"/>
      <c r="K1006" s="965"/>
      <c r="L1006" s="965"/>
      <c r="M1006" s="965"/>
      <c r="N1006" s="965"/>
      <c r="O1006" s="965"/>
      <c r="P1006" s="965"/>
      <c r="Q1006" s="945"/>
      <c r="R1006" s="945"/>
      <c r="S1006" s="945"/>
      <c r="T1006" s="945"/>
      <c r="U1006" s="945"/>
      <c r="V1006" s="945"/>
      <c r="W1006" s="945"/>
      <c r="X1006" s="945"/>
      <c r="Y1006" s="945"/>
      <c r="Z1006" s="945"/>
      <c r="AA1006" s="945"/>
      <c r="AB1006" s="945"/>
    </row>
    <row r="1007" ht="20.25" customHeight="1">
      <c r="A1007" s="964"/>
      <c r="B1007" s="965"/>
      <c r="C1007" s="965"/>
      <c r="D1007" s="966"/>
      <c r="E1007" s="967"/>
      <c r="F1007" s="965"/>
      <c r="G1007" s="965"/>
      <c r="H1007" s="965"/>
      <c r="I1007" s="965"/>
      <c r="J1007" s="965"/>
      <c r="K1007" s="965"/>
      <c r="L1007" s="965"/>
      <c r="M1007" s="965"/>
      <c r="N1007" s="965"/>
      <c r="O1007" s="965"/>
      <c r="P1007" s="965"/>
      <c r="Q1007" s="945"/>
      <c r="R1007" s="945"/>
      <c r="S1007" s="945"/>
      <c r="T1007" s="945"/>
      <c r="U1007" s="945"/>
      <c r="V1007" s="945"/>
      <c r="W1007" s="945"/>
      <c r="X1007" s="945"/>
      <c r="Y1007" s="945"/>
      <c r="Z1007" s="945"/>
      <c r="AA1007" s="945"/>
      <c r="AB1007" s="945"/>
    </row>
    <row r="1008" ht="20.25" customHeight="1">
      <c r="A1008" s="964"/>
      <c r="B1008" s="965"/>
      <c r="C1008" s="965"/>
      <c r="D1008" s="966"/>
      <c r="E1008" s="967"/>
      <c r="F1008" s="965"/>
      <c r="G1008" s="965"/>
      <c r="H1008" s="965"/>
      <c r="I1008" s="965"/>
      <c r="J1008" s="965"/>
      <c r="K1008" s="965"/>
      <c r="L1008" s="965"/>
      <c r="M1008" s="965"/>
      <c r="N1008" s="965"/>
      <c r="O1008" s="965"/>
      <c r="P1008" s="965"/>
      <c r="Q1008" s="945"/>
      <c r="R1008" s="945"/>
      <c r="S1008" s="945"/>
      <c r="T1008" s="945"/>
      <c r="U1008" s="945"/>
      <c r="V1008" s="945"/>
      <c r="W1008" s="945"/>
      <c r="X1008" s="945"/>
      <c r="Y1008" s="945"/>
      <c r="Z1008" s="945"/>
      <c r="AA1008" s="945"/>
      <c r="AB1008" s="945"/>
    </row>
    <row r="1009" ht="20.25" customHeight="1">
      <c r="A1009" s="964"/>
      <c r="B1009" s="965"/>
      <c r="C1009" s="965"/>
      <c r="D1009" s="966"/>
      <c r="E1009" s="967"/>
      <c r="F1009" s="965"/>
      <c r="G1009" s="965"/>
      <c r="H1009" s="965"/>
      <c r="I1009" s="965"/>
      <c r="J1009" s="965"/>
      <c r="K1009" s="965"/>
      <c r="L1009" s="965"/>
      <c r="M1009" s="965"/>
      <c r="N1009" s="965"/>
      <c r="O1009" s="965"/>
      <c r="P1009" s="965"/>
      <c r="Q1009" s="945"/>
      <c r="R1009" s="945"/>
      <c r="S1009" s="945"/>
      <c r="T1009" s="945"/>
      <c r="U1009" s="945"/>
      <c r="V1009" s="945"/>
      <c r="W1009" s="945"/>
      <c r="X1009" s="945"/>
      <c r="Y1009" s="945"/>
      <c r="Z1009" s="945"/>
      <c r="AA1009" s="945"/>
      <c r="AB1009" s="945"/>
    </row>
    <row r="1010" ht="20.25" customHeight="1">
      <c r="A1010" s="964"/>
      <c r="B1010" s="965"/>
      <c r="C1010" s="965"/>
      <c r="D1010" s="966"/>
      <c r="E1010" s="967"/>
      <c r="F1010" s="965"/>
      <c r="G1010" s="965"/>
      <c r="H1010" s="965"/>
      <c r="I1010" s="965"/>
      <c r="J1010" s="965"/>
      <c r="K1010" s="965"/>
      <c r="L1010" s="965"/>
      <c r="M1010" s="965"/>
      <c r="N1010" s="965"/>
      <c r="O1010" s="965"/>
      <c r="P1010" s="965"/>
      <c r="Q1010" s="945"/>
      <c r="R1010" s="945"/>
      <c r="S1010" s="945"/>
      <c r="T1010" s="945"/>
      <c r="U1010" s="945"/>
      <c r="V1010" s="945"/>
      <c r="W1010" s="945"/>
      <c r="X1010" s="945"/>
      <c r="Y1010" s="945"/>
      <c r="Z1010" s="945"/>
      <c r="AA1010" s="945"/>
      <c r="AB1010" s="945"/>
    </row>
    <row r="1011" ht="20.25" customHeight="1">
      <c r="A1011" s="964"/>
      <c r="B1011" s="965"/>
      <c r="C1011" s="965"/>
      <c r="D1011" s="966"/>
      <c r="E1011" s="967"/>
      <c r="F1011" s="965"/>
      <c r="G1011" s="965"/>
      <c r="H1011" s="965"/>
      <c r="I1011" s="965"/>
      <c r="J1011" s="965"/>
      <c r="K1011" s="965"/>
      <c r="L1011" s="965"/>
      <c r="M1011" s="965"/>
      <c r="N1011" s="965"/>
      <c r="O1011" s="965"/>
      <c r="P1011" s="965"/>
      <c r="Q1011" s="945"/>
      <c r="R1011" s="945"/>
      <c r="S1011" s="945"/>
      <c r="T1011" s="945"/>
      <c r="U1011" s="945"/>
      <c r="V1011" s="945"/>
      <c r="W1011" s="945"/>
      <c r="X1011" s="945"/>
      <c r="Y1011" s="945"/>
      <c r="Z1011" s="945"/>
      <c r="AA1011" s="945"/>
      <c r="AB1011" s="945"/>
    </row>
    <row r="1012" ht="20.25" customHeight="1">
      <c r="A1012" s="964"/>
      <c r="B1012" s="965"/>
      <c r="C1012" s="965"/>
      <c r="D1012" s="966"/>
      <c r="E1012" s="967"/>
      <c r="F1012" s="965"/>
      <c r="G1012" s="965"/>
      <c r="H1012" s="965"/>
      <c r="I1012" s="965"/>
      <c r="J1012" s="965"/>
      <c r="K1012" s="965"/>
      <c r="L1012" s="965"/>
      <c r="M1012" s="965"/>
      <c r="N1012" s="965"/>
      <c r="O1012" s="965"/>
      <c r="P1012" s="965"/>
      <c r="Q1012" s="945"/>
      <c r="R1012" s="945"/>
      <c r="S1012" s="945"/>
      <c r="T1012" s="945"/>
      <c r="U1012" s="945"/>
      <c r="V1012" s="945"/>
      <c r="W1012" s="945"/>
      <c r="X1012" s="945"/>
      <c r="Y1012" s="945"/>
      <c r="Z1012" s="945"/>
      <c r="AA1012" s="945"/>
      <c r="AB1012" s="945"/>
    </row>
    <row r="1013" ht="20.25" customHeight="1">
      <c r="A1013" s="964"/>
      <c r="B1013" s="965"/>
      <c r="C1013" s="965"/>
      <c r="D1013" s="966"/>
      <c r="E1013" s="967"/>
      <c r="F1013" s="965"/>
      <c r="G1013" s="965"/>
      <c r="H1013" s="965"/>
      <c r="I1013" s="965"/>
      <c r="J1013" s="965"/>
      <c r="K1013" s="965"/>
      <c r="L1013" s="965"/>
      <c r="M1013" s="965"/>
      <c r="N1013" s="965"/>
      <c r="O1013" s="965"/>
      <c r="P1013" s="965"/>
      <c r="Q1013" s="945"/>
      <c r="R1013" s="945"/>
      <c r="S1013" s="945"/>
      <c r="T1013" s="945"/>
      <c r="U1013" s="945"/>
      <c r="V1013" s="945"/>
      <c r="W1013" s="945"/>
      <c r="X1013" s="945"/>
      <c r="Y1013" s="945"/>
      <c r="Z1013" s="945"/>
      <c r="AA1013" s="945"/>
      <c r="AB1013" s="945"/>
    </row>
    <row r="1014" ht="20.25" customHeight="1">
      <c r="A1014" s="964"/>
      <c r="B1014" s="965"/>
      <c r="C1014" s="965"/>
      <c r="D1014" s="966"/>
      <c r="E1014" s="967"/>
      <c r="F1014" s="965"/>
      <c r="G1014" s="965"/>
      <c r="H1014" s="965"/>
      <c r="I1014" s="965"/>
      <c r="J1014" s="965"/>
      <c r="K1014" s="965"/>
      <c r="L1014" s="965"/>
      <c r="M1014" s="965"/>
      <c r="N1014" s="965"/>
      <c r="O1014" s="965"/>
      <c r="P1014" s="965"/>
      <c r="Q1014" s="945"/>
      <c r="R1014" s="945"/>
      <c r="S1014" s="945"/>
      <c r="T1014" s="945"/>
      <c r="U1014" s="945"/>
      <c r="V1014" s="945"/>
      <c r="W1014" s="945"/>
      <c r="X1014" s="945"/>
      <c r="Y1014" s="945"/>
      <c r="Z1014" s="945"/>
      <c r="AA1014" s="945"/>
      <c r="AB1014" s="945"/>
    </row>
    <row r="1015" ht="20.25" customHeight="1">
      <c r="A1015" s="964"/>
      <c r="B1015" s="965"/>
      <c r="C1015" s="965"/>
      <c r="D1015" s="966"/>
      <c r="E1015" s="967"/>
      <c r="F1015" s="965"/>
      <c r="G1015" s="965"/>
      <c r="H1015" s="965"/>
      <c r="I1015" s="965"/>
      <c r="J1015" s="965"/>
      <c r="K1015" s="965"/>
      <c r="L1015" s="965"/>
      <c r="M1015" s="965"/>
      <c r="N1015" s="965"/>
      <c r="O1015" s="965"/>
      <c r="P1015" s="965"/>
      <c r="Q1015" s="945"/>
      <c r="R1015" s="945"/>
      <c r="S1015" s="945"/>
      <c r="T1015" s="945"/>
      <c r="U1015" s="945"/>
      <c r="V1015" s="945"/>
      <c r="W1015" s="945"/>
      <c r="X1015" s="945"/>
      <c r="Y1015" s="945"/>
      <c r="Z1015" s="945"/>
      <c r="AA1015" s="945"/>
      <c r="AB1015" s="945"/>
    </row>
    <row r="1016" ht="20.25" customHeight="1">
      <c r="A1016" s="964"/>
      <c r="B1016" s="965"/>
      <c r="C1016" s="965"/>
      <c r="D1016" s="966"/>
      <c r="E1016" s="967"/>
      <c r="F1016" s="965"/>
      <c r="G1016" s="965"/>
      <c r="H1016" s="965"/>
      <c r="I1016" s="965"/>
      <c r="J1016" s="965"/>
      <c r="K1016" s="965"/>
      <c r="L1016" s="965"/>
      <c r="M1016" s="965"/>
      <c r="N1016" s="965"/>
      <c r="O1016" s="965"/>
      <c r="P1016" s="965"/>
      <c r="Q1016" s="945"/>
      <c r="R1016" s="945"/>
      <c r="S1016" s="945"/>
      <c r="T1016" s="945"/>
      <c r="U1016" s="945"/>
      <c r="V1016" s="945"/>
      <c r="W1016" s="945"/>
      <c r="X1016" s="945"/>
      <c r="Y1016" s="945"/>
      <c r="Z1016" s="945"/>
      <c r="AA1016" s="945"/>
      <c r="AB1016" s="945"/>
    </row>
    <row r="1017" ht="20.25" customHeight="1">
      <c r="A1017" s="964"/>
      <c r="B1017" s="965"/>
      <c r="C1017" s="965"/>
      <c r="D1017" s="966"/>
      <c r="E1017" s="967"/>
      <c r="F1017" s="965"/>
      <c r="G1017" s="965"/>
      <c r="H1017" s="965"/>
      <c r="I1017" s="965"/>
      <c r="J1017" s="965"/>
      <c r="K1017" s="965"/>
      <c r="L1017" s="965"/>
      <c r="M1017" s="965"/>
      <c r="N1017" s="965"/>
      <c r="O1017" s="965"/>
      <c r="P1017" s="965"/>
      <c r="Q1017" s="945"/>
      <c r="R1017" s="945"/>
      <c r="S1017" s="945"/>
      <c r="T1017" s="945"/>
      <c r="U1017" s="945"/>
      <c r="V1017" s="945"/>
      <c r="W1017" s="945"/>
      <c r="X1017" s="945"/>
      <c r="Y1017" s="945"/>
      <c r="Z1017" s="945"/>
      <c r="AA1017" s="945"/>
      <c r="AB1017" s="945"/>
    </row>
    <row r="1018" ht="20.25" customHeight="1">
      <c r="A1018" s="964"/>
      <c r="B1018" s="965"/>
      <c r="C1018" s="965"/>
      <c r="D1018" s="966"/>
      <c r="E1018" s="967"/>
      <c r="F1018" s="965"/>
      <c r="G1018" s="965"/>
      <c r="H1018" s="965"/>
      <c r="I1018" s="965"/>
      <c r="J1018" s="965"/>
      <c r="K1018" s="965"/>
      <c r="L1018" s="965"/>
      <c r="M1018" s="965"/>
      <c r="N1018" s="965"/>
      <c r="O1018" s="965"/>
      <c r="P1018" s="965"/>
      <c r="Q1018" s="945"/>
      <c r="R1018" s="945"/>
      <c r="S1018" s="945"/>
      <c r="T1018" s="945"/>
      <c r="U1018" s="945"/>
      <c r="V1018" s="945"/>
      <c r="W1018" s="945"/>
      <c r="X1018" s="945"/>
      <c r="Y1018" s="945"/>
      <c r="Z1018" s="945"/>
      <c r="AA1018" s="945"/>
      <c r="AB1018" s="945"/>
    </row>
    <row r="1019" ht="20.25" customHeight="1">
      <c r="A1019" s="964"/>
      <c r="B1019" s="965"/>
      <c r="C1019" s="965"/>
      <c r="D1019" s="966"/>
      <c r="E1019" s="967"/>
      <c r="F1019" s="965"/>
      <c r="G1019" s="965"/>
      <c r="H1019" s="965"/>
      <c r="I1019" s="965"/>
      <c r="J1019" s="965"/>
      <c r="K1019" s="965"/>
      <c r="L1019" s="965"/>
      <c r="M1019" s="965"/>
      <c r="N1019" s="965"/>
      <c r="O1019" s="965"/>
      <c r="P1019" s="965"/>
      <c r="Q1019" s="945"/>
      <c r="R1019" s="945"/>
      <c r="S1019" s="945"/>
      <c r="T1019" s="945"/>
      <c r="U1019" s="945"/>
      <c r="V1019" s="945"/>
      <c r="W1019" s="945"/>
      <c r="X1019" s="945"/>
      <c r="Y1019" s="945"/>
      <c r="Z1019" s="945"/>
      <c r="AA1019" s="945"/>
      <c r="AB1019" s="945"/>
    </row>
    <row r="1020" ht="20.25" customHeight="1">
      <c r="A1020" s="964"/>
      <c r="B1020" s="965"/>
      <c r="C1020" s="965"/>
      <c r="D1020" s="966"/>
      <c r="E1020" s="967"/>
      <c r="F1020" s="965"/>
      <c r="G1020" s="965"/>
      <c r="H1020" s="965"/>
      <c r="I1020" s="965"/>
      <c r="J1020" s="965"/>
      <c r="K1020" s="965"/>
      <c r="L1020" s="965"/>
      <c r="M1020" s="965"/>
      <c r="N1020" s="965"/>
      <c r="O1020" s="965"/>
      <c r="P1020" s="965"/>
      <c r="Q1020" s="945"/>
      <c r="R1020" s="945"/>
      <c r="S1020" s="945"/>
      <c r="T1020" s="945"/>
      <c r="U1020" s="945"/>
      <c r="V1020" s="945"/>
      <c r="W1020" s="945"/>
      <c r="X1020" s="945"/>
      <c r="Y1020" s="945"/>
      <c r="Z1020" s="945"/>
      <c r="AA1020" s="945"/>
      <c r="AB1020" s="945"/>
    </row>
    <row r="1021" ht="20.25" customHeight="1">
      <c r="A1021" s="964"/>
      <c r="B1021" s="965"/>
      <c r="C1021" s="965"/>
      <c r="D1021" s="966"/>
      <c r="E1021" s="967"/>
      <c r="F1021" s="965"/>
      <c r="G1021" s="965"/>
      <c r="H1021" s="965"/>
      <c r="I1021" s="965"/>
      <c r="J1021" s="965"/>
      <c r="K1021" s="965"/>
      <c r="L1021" s="965"/>
      <c r="M1021" s="965"/>
      <c r="N1021" s="965"/>
      <c r="O1021" s="965"/>
      <c r="P1021" s="965"/>
      <c r="Q1021" s="945"/>
      <c r="R1021" s="945"/>
      <c r="S1021" s="945"/>
      <c r="T1021" s="945"/>
      <c r="U1021" s="945"/>
      <c r="V1021" s="945"/>
      <c r="W1021" s="945"/>
      <c r="X1021" s="945"/>
      <c r="Y1021" s="945"/>
      <c r="Z1021" s="945"/>
      <c r="AA1021" s="945"/>
      <c r="AB1021" s="945"/>
    </row>
    <row r="1022" ht="20.25" customHeight="1">
      <c r="A1022" s="964"/>
      <c r="B1022" s="965"/>
      <c r="C1022" s="965"/>
      <c r="D1022" s="966"/>
      <c r="E1022" s="967"/>
      <c r="F1022" s="965"/>
      <c r="G1022" s="965"/>
      <c r="H1022" s="965"/>
      <c r="I1022" s="965"/>
      <c r="J1022" s="965"/>
      <c r="K1022" s="965"/>
      <c r="L1022" s="965"/>
      <c r="M1022" s="965"/>
      <c r="N1022" s="965"/>
      <c r="O1022" s="965"/>
      <c r="P1022" s="965"/>
      <c r="Q1022" s="945"/>
      <c r="R1022" s="945"/>
      <c r="S1022" s="945"/>
      <c r="T1022" s="945"/>
      <c r="U1022" s="945"/>
      <c r="V1022" s="945"/>
      <c r="W1022" s="945"/>
      <c r="X1022" s="945"/>
      <c r="Y1022" s="945"/>
      <c r="Z1022" s="945"/>
      <c r="AA1022" s="945"/>
      <c r="AB1022" s="945"/>
    </row>
    <row r="1023" ht="20.25" customHeight="1">
      <c r="A1023" s="964"/>
      <c r="B1023" s="965"/>
      <c r="C1023" s="965"/>
      <c r="D1023" s="966"/>
      <c r="E1023" s="967"/>
      <c r="F1023" s="965"/>
      <c r="G1023" s="965"/>
      <c r="H1023" s="965"/>
      <c r="I1023" s="965"/>
      <c r="J1023" s="965"/>
      <c r="K1023" s="965"/>
      <c r="L1023" s="965"/>
      <c r="M1023" s="965"/>
      <c r="N1023" s="965"/>
      <c r="O1023" s="965"/>
      <c r="P1023" s="965"/>
      <c r="Q1023" s="945"/>
      <c r="R1023" s="945"/>
      <c r="S1023" s="945"/>
      <c r="T1023" s="945"/>
      <c r="U1023" s="945"/>
      <c r="V1023" s="945"/>
      <c r="W1023" s="945"/>
      <c r="X1023" s="945"/>
      <c r="Y1023" s="945"/>
      <c r="Z1023" s="945"/>
      <c r="AA1023" s="945"/>
      <c r="AB1023" s="945"/>
    </row>
    <row r="1024" ht="20.25" customHeight="1">
      <c r="A1024" s="964"/>
      <c r="B1024" s="965"/>
      <c r="C1024" s="965"/>
      <c r="D1024" s="966"/>
      <c r="E1024" s="967"/>
      <c r="F1024" s="965"/>
      <c r="G1024" s="965"/>
      <c r="H1024" s="965"/>
      <c r="I1024" s="965"/>
      <c r="J1024" s="965"/>
      <c r="K1024" s="965"/>
      <c r="L1024" s="965"/>
      <c r="M1024" s="965"/>
      <c r="N1024" s="965"/>
      <c r="O1024" s="965"/>
      <c r="P1024" s="965"/>
      <c r="Q1024" s="945"/>
      <c r="R1024" s="945"/>
      <c r="S1024" s="945"/>
      <c r="T1024" s="945"/>
      <c r="U1024" s="945"/>
      <c r="V1024" s="945"/>
      <c r="W1024" s="945"/>
      <c r="X1024" s="945"/>
      <c r="Y1024" s="945"/>
      <c r="Z1024" s="945"/>
      <c r="AA1024" s="945"/>
      <c r="AB1024" s="945"/>
    </row>
    <row r="1025" ht="20.25" customHeight="1">
      <c r="A1025" s="964"/>
      <c r="B1025" s="965"/>
      <c r="C1025" s="965"/>
      <c r="D1025" s="966"/>
      <c r="E1025" s="967"/>
      <c r="F1025" s="965"/>
      <c r="G1025" s="965"/>
      <c r="H1025" s="965"/>
      <c r="I1025" s="965"/>
      <c r="J1025" s="965"/>
      <c r="K1025" s="965"/>
      <c r="L1025" s="965"/>
      <c r="M1025" s="965"/>
      <c r="N1025" s="965"/>
      <c r="O1025" s="965"/>
      <c r="P1025" s="965"/>
      <c r="Q1025" s="945"/>
      <c r="R1025" s="945"/>
      <c r="S1025" s="945"/>
      <c r="T1025" s="945"/>
      <c r="U1025" s="945"/>
      <c r="V1025" s="945"/>
      <c r="W1025" s="945"/>
      <c r="X1025" s="945"/>
      <c r="Y1025" s="945"/>
      <c r="Z1025" s="945"/>
      <c r="AA1025" s="945"/>
      <c r="AB1025" s="945"/>
    </row>
  </sheetData>
  <autoFilter ref="$A$5:$AB$70"/>
  <mergeCells count="104">
    <mergeCell ref="A1:B3"/>
    <mergeCell ref="C1:F3"/>
    <mergeCell ref="H3:L3"/>
    <mergeCell ref="M3:O3"/>
    <mergeCell ref="A36:A37"/>
    <mergeCell ref="B36:B37"/>
    <mergeCell ref="E36:E37"/>
    <mergeCell ref="L38:L40"/>
    <mergeCell ref="M38:M40"/>
    <mergeCell ref="O38:O40"/>
    <mergeCell ref="P38:P40"/>
    <mergeCell ref="L41:L43"/>
    <mergeCell ref="M41:M43"/>
    <mergeCell ref="O41:O43"/>
    <mergeCell ref="P41:P43"/>
    <mergeCell ref="G36:G37"/>
    <mergeCell ref="H36:H37"/>
    <mergeCell ref="A38:A40"/>
    <mergeCell ref="B38:B40"/>
    <mergeCell ref="C38:C40"/>
    <mergeCell ref="D38:D40"/>
    <mergeCell ref="E38:E40"/>
    <mergeCell ref="E44:E45"/>
    <mergeCell ref="G44:G45"/>
    <mergeCell ref="H44:H45"/>
    <mergeCell ref="A41:A43"/>
    <mergeCell ref="B41:B43"/>
    <mergeCell ref="C41:C43"/>
    <mergeCell ref="D41:D43"/>
    <mergeCell ref="E41:E43"/>
    <mergeCell ref="A44:A45"/>
    <mergeCell ref="B44:B45"/>
    <mergeCell ref="A47:A49"/>
    <mergeCell ref="B47:B49"/>
    <mergeCell ref="E47:E49"/>
    <mergeCell ref="L47:L49"/>
    <mergeCell ref="M47:M49"/>
    <mergeCell ref="O47:O49"/>
    <mergeCell ref="P47:P49"/>
    <mergeCell ref="C48:C49"/>
    <mergeCell ref="D48:D49"/>
    <mergeCell ref="A50:A51"/>
    <mergeCell ref="B50:B51"/>
    <mergeCell ref="E50:E51"/>
    <mergeCell ref="G50:G51"/>
    <mergeCell ref="H50:H51"/>
    <mergeCell ref="E66:E67"/>
    <mergeCell ref="F66:F67"/>
    <mergeCell ref="A64:A65"/>
    <mergeCell ref="B64:B65"/>
    <mergeCell ref="E64:E65"/>
    <mergeCell ref="G64:G65"/>
    <mergeCell ref="H64:H65"/>
    <mergeCell ref="A66:A67"/>
    <mergeCell ref="B66:B67"/>
    <mergeCell ref="A52:A55"/>
    <mergeCell ref="B52:B55"/>
    <mergeCell ref="E52:E55"/>
    <mergeCell ref="L52:L55"/>
    <mergeCell ref="M52:M55"/>
    <mergeCell ref="O52:O55"/>
    <mergeCell ref="P52:P55"/>
    <mergeCell ref="G56:G57"/>
    <mergeCell ref="G58:G59"/>
    <mergeCell ref="G60:G61"/>
    <mergeCell ref="H60:H61"/>
    <mergeCell ref="G62:G63"/>
    <mergeCell ref="H62:H63"/>
    <mergeCell ref="A56:A57"/>
    <mergeCell ref="B56:B57"/>
    <mergeCell ref="E56:E57"/>
    <mergeCell ref="H56:H57"/>
    <mergeCell ref="B58:B59"/>
    <mergeCell ref="E58:E59"/>
    <mergeCell ref="H58:H59"/>
    <mergeCell ref="A58:A59"/>
    <mergeCell ref="A60:A61"/>
    <mergeCell ref="B60:B61"/>
    <mergeCell ref="E60:E61"/>
    <mergeCell ref="A62:A63"/>
    <mergeCell ref="B62:B63"/>
    <mergeCell ref="E62:E63"/>
    <mergeCell ref="N66:N67"/>
    <mergeCell ref="O66:O67"/>
    <mergeCell ref="P66:P67"/>
    <mergeCell ref="G66:G67"/>
    <mergeCell ref="H66:H67"/>
    <mergeCell ref="I66:I67"/>
    <mergeCell ref="J66:J67"/>
    <mergeCell ref="K66:K67"/>
    <mergeCell ref="L66:L67"/>
    <mergeCell ref="M66:M67"/>
    <mergeCell ref="L69:L70"/>
    <mergeCell ref="M69:M70"/>
    <mergeCell ref="N69:N70"/>
    <mergeCell ref="O69:O70"/>
    <mergeCell ref="P69:P70"/>
    <mergeCell ref="A69:A70"/>
    <mergeCell ref="B69:B70"/>
    <mergeCell ref="E69:E70"/>
    <mergeCell ref="F69:F70"/>
    <mergeCell ref="G69:G70"/>
    <mergeCell ref="H69:H70"/>
    <mergeCell ref="K69:K70"/>
  </mergeCells>
  <dataValidations>
    <dataValidation type="list" allowBlank="1" showErrorMessage="1" sqref="M6:M37 M38:N38 N39:N40 M41:N41 N42:N43 M44:M46 M47:N47 N48:N49 M50:M51 M52:N52 N53:N55 M56:M66 M68:M69 M71:M1025">
      <formula1>"PERSONNE,VOYAGE "</formula1>
    </dataValidation>
    <dataValidation type="list" allowBlank="1" showErrorMessage="1" sqref="B6:B36 B38 B41 B44 B46:B47 B50 B52 B56 B58 B60 B62 B64 B68:B69 B71:B1025">
      <formula1>"ARRACHAGE/FAUCHAGE,AUTRES TRAVAUX,BILLONNAGE,CHARGE/DECHARGE,CHAULAGE,DECHAULAGE ,DÉSHERBAGES,ENTRETIEN SERRE,ETANCHIETE,IRRIGATION,NETTOYAGE ,NETTOYAGE FIN COMPAGNE,PALISSAGE ,PINCEMENT ,PLANTATION,RECOLTE,SELECTION,SUPPORT DE PALISSAGE ,TRAITEMENT ,VIRU"&amp;"S ET CONTROLE "</formula1>
    </dataValidation>
    <dataValidation type="list" allowBlank="1" showErrorMessage="1" sqref="G6:G36 G38:G44 G46:G50 G52:G56 G58 G60 G62 G64 G66 G68:G69 G71:G1025">
      <formula1>"JRS,PAR   ""HE"""</formula1>
    </dataValidation>
    <dataValidation type="list" allowBlank="1" showErrorMessage="1" sqref="B66">
      <formula1>"ARRACHAGE/FAUCHAGE,AUTRES TRAVAUX,BILLONNAGE,CHARGE/DECHARGE,CHAULAGE,DECHAULAGE ,DÉSHERBAGES,ENTRETIEN SERRE,ETANCHIETE,IRRIGATION,NETTOYAGE ,NETTOYAGE FIN COMPAGNE,PALISSAGE ,PINCEMENT ,PLANTATION,RECOLTE,SELECTION,SUPPORT DE PALISSAGE ,TRAITEMENT ,VIRU"&amp;"S ET CONTROLE ,EFFEUILLAGE"</formula1>
    </dataValidation>
    <dataValidation type="list" allowBlank="1" showErrorMessage="1" sqref="C6:C38 C41 C44:C48 C50:C1025">
      <formula1>"901,902,903,904,905,906,907,908,909,910,911,912,913,914,915,916,917,918,919,920,921"</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75" outlineLevelRow="1"/>
  <cols>
    <col customWidth="1" min="1" max="1" width="11.13"/>
    <col customWidth="1" min="2" max="2" width="15.5"/>
    <col customWidth="1" min="3" max="3" width="9.0"/>
    <col customWidth="1" min="4" max="4" width="7.38"/>
    <col customWidth="1" min="5" max="5" width="12.38"/>
    <col customWidth="1" min="6" max="6" width="13.88"/>
    <col customWidth="1" min="7" max="7" width="9.5"/>
    <col customWidth="1" min="8" max="8" width="10.75"/>
    <col customWidth="1" min="9" max="9" width="24.75"/>
    <col customWidth="1" min="10" max="10" width="13.38"/>
    <col customWidth="1" min="11" max="11" width="12.63"/>
    <col customWidth="1" min="12" max="12" width="16.25"/>
  </cols>
  <sheetData>
    <row r="1" ht="18.75" customHeight="1">
      <c r="A1" s="523"/>
      <c r="B1" s="45"/>
      <c r="C1" s="1018" t="s">
        <v>680</v>
      </c>
      <c r="D1" s="44"/>
      <c r="E1" s="44"/>
      <c r="F1" s="44"/>
      <c r="G1" s="44"/>
      <c r="H1" s="44"/>
      <c r="I1" s="44"/>
      <c r="J1" s="44"/>
      <c r="K1" s="44"/>
      <c r="L1" s="45"/>
    </row>
    <row r="2" ht="18.75" customHeight="1">
      <c r="A2" s="49"/>
      <c r="B2" s="51"/>
      <c r="C2" s="47"/>
      <c r="L2" s="48"/>
    </row>
    <row r="3" ht="18.75" customHeight="1">
      <c r="A3" s="12"/>
      <c r="C3" s="47"/>
      <c r="L3" s="48"/>
    </row>
    <row r="4" ht="18.75" customHeight="1">
      <c r="A4" s="535"/>
      <c r="B4" s="536"/>
      <c r="C4" s="49"/>
      <c r="D4" s="50"/>
      <c r="E4" s="50"/>
      <c r="F4" s="50"/>
      <c r="G4" s="50"/>
      <c r="H4" s="50"/>
      <c r="I4" s="50"/>
      <c r="J4" s="50"/>
      <c r="K4" s="50"/>
      <c r="L4" s="51"/>
    </row>
    <row r="5" ht="18.75" customHeight="1">
      <c r="A5" s="542" t="s">
        <v>1</v>
      </c>
      <c r="B5" s="542" t="s">
        <v>2</v>
      </c>
      <c r="C5" s="542" t="s">
        <v>3</v>
      </c>
      <c r="D5" s="542" t="s">
        <v>4</v>
      </c>
      <c r="E5" s="7" t="s">
        <v>7</v>
      </c>
      <c r="F5" s="6" t="s">
        <v>8</v>
      </c>
      <c r="G5" s="542" t="s">
        <v>310</v>
      </c>
      <c r="H5" s="544" t="s">
        <v>311</v>
      </c>
      <c r="I5" s="542" t="s">
        <v>19</v>
      </c>
      <c r="J5" s="542" t="s">
        <v>313</v>
      </c>
      <c r="K5" s="544" t="s">
        <v>314</v>
      </c>
      <c r="L5" s="548" t="s">
        <v>315</v>
      </c>
    </row>
    <row r="6" ht="31.5" customHeight="1">
      <c r="A6" s="8">
        <v>46179.0</v>
      </c>
      <c r="B6" s="1019" t="s">
        <v>21</v>
      </c>
      <c r="C6" s="98">
        <v>1004.0</v>
      </c>
      <c r="D6" s="177">
        <v>1.52</v>
      </c>
      <c r="E6" s="11" t="s">
        <v>317</v>
      </c>
      <c r="F6" s="11" t="s">
        <v>318</v>
      </c>
      <c r="G6" s="11">
        <v>100.0</v>
      </c>
      <c r="H6" s="14">
        <v>11.0</v>
      </c>
      <c r="I6" s="1020" t="s">
        <v>681</v>
      </c>
      <c r="J6" s="556">
        <v>1100.0</v>
      </c>
      <c r="K6" s="1021">
        <v>25.0</v>
      </c>
      <c r="L6" s="1021">
        <v>1520.0</v>
      </c>
    </row>
    <row r="7" ht="31.5" customHeight="1">
      <c r="A7" s="20"/>
      <c r="B7" s="1019" t="s">
        <v>21</v>
      </c>
      <c r="C7" s="20"/>
      <c r="D7" s="383"/>
      <c r="E7" s="19" t="s">
        <v>317</v>
      </c>
      <c r="F7" s="560" t="s">
        <v>25</v>
      </c>
      <c r="G7" s="19">
        <v>120.0</v>
      </c>
      <c r="H7" s="22">
        <v>1.0</v>
      </c>
      <c r="I7" s="20"/>
      <c r="J7" s="556">
        <v>120.0</v>
      </c>
      <c r="K7" s="20"/>
      <c r="L7" s="20"/>
    </row>
    <row r="8" ht="18.75" customHeight="1">
      <c r="A8" s="8">
        <v>46180.0</v>
      </c>
      <c r="B8" s="1022" t="s">
        <v>21</v>
      </c>
      <c r="C8" s="1023">
        <v>1004.0</v>
      </c>
      <c r="D8" s="1024">
        <v>1.52</v>
      </c>
      <c r="E8" s="551" t="s">
        <v>317</v>
      </c>
      <c r="F8" s="551" t="s">
        <v>318</v>
      </c>
      <c r="G8" s="551">
        <v>100.0</v>
      </c>
      <c r="H8" s="553">
        <v>12.0</v>
      </c>
      <c r="I8" s="1020" t="s">
        <v>681</v>
      </c>
      <c r="J8" s="555">
        <v>1200.0</v>
      </c>
      <c r="K8" s="1021">
        <v>25.0</v>
      </c>
      <c r="L8" s="1021">
        <v>1645.0</v>
      </c>
    </row>
    <row r="9" ht="18.75" customHeight="1">
      <c r="A9" s="20"/>
      <c r="B9" s="20"/>
      <c r="C9" s="20"/>
      <c r="D9" s="20"/>
      <c r="E9" s="560"/>
      <c r="F9" s="560" t="s">
        <v>25</v>
      </c>
      <c r="G9" s="560">
        <v>120.0</v>
      </c>
      <c r="H9" s="561">
        <v>1.0</v>
      </c>
      <c r="I9" s="20"/>
      <c r="J9" s="555">
        <v>120.0</v>
      </c>
      <c r="K9" s="20"/>
      <c r="L9" s="20"/>
    </row>
    <row r="10" ht="18.75" customHeight="1">
      <c r="A10" s="8">
        <v>46181.0</v>
      </c>
      <c r="B10" s="1022" t="s">
        <v>21</v>
      </c>
      <c r="C10" s="1023">
        <v>1004.0</v>
      </c>
      <c r="D10" s="1024">
        <v>1.52</v>
      </c>
      <c r="E10" s="551" t="s">
        <v>317</v>
      </c>
      <c r="F10" s="551" t="s">
        <v>318</v>
      </c>
      <c r="G10" s="1025">
        <v>100.0</v>
      </c>
      <c r="H10" s="1026">
        <v>10.0</v>
      </c>
      <c r="I10" s="1020" t="s">
        <v>681</v>
      </c>
      <c r="J10" s="577">
        <v>1000.0</v>
      </c>
      <c r="K10" s="1021">
        <v>25.0</v>
      </c>
      <c r="L10" s="1021"/>
    </row>
    <row r="11" ht="18.75" customHeight="1">
      <c r="A11" s="20"/>
      <c r="B11" s="20"/>
      <c r="C11" s="20"/>
      <c r="D11" s="20"/>
      <c r="E11" s="560"/>
      <c r="F11" s="560" t="s">
        <v>682</v>
      </c>
      <c r="G11" s="584">
        <v>120.0</v>
      </c>
      <c r="H11" s="19">
        <v>1.0</v>
      </c>
      <c r="I11" s="20"/>
      <c r="J11" s="555">
        <v>120.0</v>
      </c>
      <c r="K11" s="20"/>
      <c r="L11" s="20"/>
    </row>
    <row r="12" ht="18.75" customHeight="1">
      <c r="A12" s="8">
        <v>46182.0</v>
      </c>
      <c r="B12" s="1022" t="s">
        <v>21</v>
      </c>
      <c r="C12" s="23">
        <v>1004.0</v>
      </c>
      <c r="D12" s="21">
        <v>1.52</v>
      </c>
      <c r="E12" s="551" t="s">
        <v>317</v>
      </c>
      <c r="F12" s="551" t="s">
        <v>683</v>
      </c>
      <c r="G12" s="582">
        <v>100.0</v>
      </c>
      <c r="H12" s="551">
        <v>13.0</v>
      </c>
      <c r="I12" s="1020" t="s">
        <v>681</v>
      </c>
      <c r="J12" s="555">
        <v>1300.0</v>
      </c>
      <c r="K12" s="1021">
        <v>25.0</v>
      </c>
      <c r="L12" s="1021"/>
    </row>
    <row r="13" ht="18.75" customHeight="1">
      <c r="A13" s="20"/>
      <c r="B13" s="20"/>
      <c r="C13" s="20"/>
      <c r="D13" s="20"/>
      <c r="E13" s="560"/>
      <c r="F13" s="560" t="s">
        <v>682</v>
      </c>
      <c r="G13" s="584">
        <v>120.0</v>
      </c>
      <c r="H13" s="561">
        <v>1.0</v>
      </c>
      <c r="I13" s="20"/>
      <c r="J13" s="555">
        <v>120.0</v>
      </c>
      <c r="K13" s="20"/>
      <c r="L13" s="20"/>
    </row>
    <row r="14" ht="18.75" customHeight="1">
      <c r="A14" s="8">
        <v>46183.0</v>
      </c>
      <c r="B14" s="1022" t="s">
        <v>21</v>
      </c>
      <c r="C14" s="1023">
        <v>1004.0</v>
      </c>
      <c r="D14" s="1024">
        <v>1.52</v>
      </c>
      <c r="E14" s="551" t="s">
        <v>317</v>
      </c>
      <c r="F14" s="551" t="s">
        <v>568</v>
      </c>
      <c r="G14" s="582">
        <v>100.0</v>
      </c>
      <c r="H14" s="553">
        <v>14.0</v>
      </c>
      <c r="I14" s="1020" t="s">
        <v>681</v>
      </c>
      <c r="J14" s="555">
        <v>1400.0</v>
      </c>
      <c r="K14" s="1027">
        <v>25.0</v>
      </c>
      <c r="L14" s="1021"/>
    </row>
    <row r="15" ht="18.75" customHeight="1">
      <c r="A15" s="20"/>
      <c r="B15" s="20"/>
      <c r="C15" s="20"/>
      <c r="D15" s="20"/>
      <c r="E15" s="560"/>
      <c r="F15" s="560" t="s">
        <v>682</v>
      </c>
      <c r="G15" s="584">
        <v>120.0</v>
      </c>
      <c r="H15" s="561">
        <v>1.0</v>
      </c>
      <c r="I15" s="20"/>
      <c r="J15" s="555">
        <v>120.0</v>
      </c>
      <c r="K15" s="20"/>
      <c r="L15" s="20"/>
    </row>
    <row r="16" ht="18.75" customHeight="1">
      <c r="A16" s="8">
        <v>46184.0</v>
      </c>
      <c r="B16" s="1022" t="s">
        <v>21</v>
      </c>
      <c r="C16" s="23">
        <v>1002.0</v>
      </c>
      <c r="D16" s="21">
        <v>9.88</v>
      </c>
      <c r="E16" s="551" t="s">
        <v>317</v>
      </c>
      <c r="F16" s="551" t="s">
        <v>568</v>
      </c>
      <c r="G16" s="582">
        <v>100.0</v>
      </c>
      <c r="H16" s="553">
        <v>18.0</v>
      </c>
      <c r="I16" s="1020" t="s">
        <v>681</v>
      </c>
      <c r="J16" s="555">
        <v>1800.0</v>
      </c>
      <c r="K16" s="570">
        <v>25.0</v>
      </c>
      <c r="L16" s="1021"/>
    </row>
    <row r="17" ht="18.75" customHeight="1">
      <c r="A17" s="20"/>
      <c r="B17" s="20"/>
      <c r="C17" s="20"/>
      <c r="D17" s="20"/>
      <c r="E17" s="560"/>
      <c r="F17" s="560" t="s">
        <v>682</v>
      </c>
      <c r="G17" s="584">
        <v>120.0</v>
      </c>
      <c r="H17" s="561">
        <v>1.0</v>
      </c>
      <c r="I17" s="20"/>
      <c r="J17" s="555">
        <v>120.0</v>
      </c>
      <c r="K17" s="20"/>
      <c r="L17" s="20"/>
    </row>
    <row r="18" ht="18.75" customHeight="1">
      <c r="A18" s="8">
        <v>46185.0</v>
      </c>
      <c r="B18" s="1022" t="s">
        <v>21</v>
      </c>
      <c r="C18" s="1023">
        <v>1002.0</v>
      </c>
      <c r="D18" s="1024">
        <v>9.88</v>
      </c>
      <c r="E18" s="551" t="s">
        <v>317</v>
      </c>
      <c r="F18" s="551" t="s">
        <v>568</v>
      </c>
      <c r="G18" s="582">
        <v>100.0</v>
      </c>
      <c r="H18" s="553">
        <v>19.0</v>
      </c>
      <c r="I18" s="1020" t="s">
        <v>681</v>
      </c>
      <c r="J18" s="555">
        <v>1900.0</v>
      </c>
      <c r="K18" s="570">
        <v>25.0</v>
      </c>
      <c r="L18" s="1021"/>
    </row>
    <row r="19" ht="18.75" customHeight="1">
      <c r="A19" s="20"/>
      <c r="B19" s="20"/>
      <c r="C19" s="20"/>
      <c r="D19" s="20"/>
      <c r="E19" s="560"/>
      <c r="F19" s="560" t="s">
        <v>682</v>
      </c>
      <c r="G19" s="600">
        <v>120.0</v>
      </c>
      <c r="H19" s="601">
        <v>1.0</v>
      </c>
      <c r="I19" s="20"/>
      <c r="J19" s="555">
        <v>120.0</v>
      </c>
      <c r="K19" s="20"/>
      <c r="L19" s="20"/>
    </row>
    <row r="20" ht="18.75" customHeight="1">
      <c r="A20" s="1028"/>
      <c r="B20" s="1029"/>
      <c r="C20" s="1030"/>
      <c r="D20" s="1031"/>
      <c r="E20" s="1032"/>
      <c r="F20" s="1032"/>
      <c r="G20" s="1033"/>
      <c r="H20" s="1034"/>
      <c r="I20" s="1035"/>
      <c r="J20" s="1033"/>
      <c r="K20" s="1036"/>
      <c r="L20" s="1037"/>
    </row>
    <row r="21" ht="18.75" customHeight="1">
      <c r="A21" s="393"/>
      <c r="B21" s="1019"/>
      <c r="C21" s="599"/>
      <c r="D21" s="592"/>
      <c r="E21" s="560"/>
      <c r="F21" s="560"/>
      <c r="G21" s="600"/>
      <c r="H21" s="601"/>
      <c r="I21" s="1038"/>
      <c r="J21" s="555"/>
      <c r="K21" s="1039"/>
      <c r="L21" s="1040"/>
    </row>
    <row r="22" ht="17.25" customHeight="1">
      <c r="A22" s="8">
        <v>46248.0</v>
      </c>
      <c r="B22" s="1022" t="s">
        <v>21</v>
      </c>
      <c r="C22" s="604">
        <v>1007.0</v>
      </c>
      <c r="D22" s="605"/>
      <c r="E22" s="551" t="s">
        <v>317</v>
      </c>
      <c r="F22" s="551" t="s">
        <v>568</v>
      </c>
      <c r="G22" s="555">
        <v>100.0</v>
      </c>
      <c r="H22" s="593">
        <v>20.0</v>
      </c>
      <c r="I22" s="1020" t="s">
        <v>684</v>
      </c>
      <c r="J22" s="555">
        <v>2000.0</v>
      </c>
      <c r="K22" s="598">
        <v>25.0</v>
      </c>
      <c r="L22" s="1021">
        <v>2645.0</v>
      </c>
    </row>
    <row r="23" ht="18.75" customHeight="1">
      <c r="A23" s="20"/>
      <c r="B23" s="20"/>
      <c r="C23" s="20"/>
      <c r="D23" s="20"/>
      <c r="E23" s="560"/>
      <c r="F23" s="560" t="s">
        <v>623</v>
      </c>
      <c r="G23" s="584">
        <v>120.0</v>
      </c>
      <c r="H23" s="561">
        <v>1.0</v>
      </c>
      <c r="I23" s="20"/>
      <c r="J23" s="600">
        <v>120.0</v>
      </c>
      <c r="K23" s="20"/>
      <c r="L23" s="20"/>
    </row>
    <row r="24" ht="18.75" customHeight="1">
      <c r="A24" s="8">
        <v>46249.0</v>
      </c>
      <c r="B24" s="1041" t="s">
        <v>685</v>
      </c>
      <c r="C24" s="604">
        <v>1007.0</v>
      </c>
      <c r="D24" s="605"/>
      <c r="E24" s="551" t="s">
        <v>317</v>
      </c>
      <c r="F24" s="551" t="s">
        <v>568</v>
      </c>
      <c r="G24" s="582">
        <v>100.0</v>
      </c>
      <c r="H24" s="553">
        <v>15.0</v>
      </c>
      <c r="I24" s="1020" t="s">
        <v>684</v>
      </c>
      <c r="J24" s="555">
        <v>1500.0</v>
      </c>
      <c r="K24" s="598">
        <v>25.0</v>
      </c>
      <c r="L24" s="1021">
        <v>2020.0</v>
      </c>
    </row>
    <row r="25" ht="18.75" customHeight="1">
      <c r="A25" s="20"/>
      <c r="B25" s="20"/>
      <c r="C25" s="20"/>
      <c r="D25" s="20"/>
      <c r="E25" s="560"/>
      <c r="F25" s="560" t="s">
        <v>623</v>
      </c>
      <c r="G25" s="584">
        <v>120.0</v>
      </c>
      <c r="H25" s="561">
        <v>1.0</v>
      </c>
      <c r="I25" s="20"/>
      <c r="J25" s="600">
        <v>120.0</v>
      </c>
      <c r="K25" s="20"/>
      <c r="L25" s="20"/>
    </row>
    <row r="26" ht="18.75" customHeight="1">
      <c r="A26" s="8">
        <v>46249.0</v>
      </c>
      <c r="B26" s="1041" t="s">
        <v>685</v>
      </c>
      <c r="C26" s="604">
        <v>1003.0</v>
      </c>
      <c r="D26" s="605"/>
      <c r="E26" s="551" t="s">
        <v>317</v>
      </c>
      <c r="F26" s="551" t="s">
        <v>568</v>
      </c>
      <c r="G26" s="582">
        <v>100.0</v>
      </c>
      <c r="H26" s="553">
        <v>14.0</v>
      </c>
      <c r="I26" s="1020" t="s">
        <v>686</v>
      </c>
      <c r="J26" s="555">
        <v>1400.0</v>
      </c>
      <c r="K26" s="598">
        <v>25.0</v>
      </c>
      <c r="L26" s="1021">
        <v>1895.0</v>
      </c>
    </row>
    <row r="27" ht="18.75" customHeight="1">
      <c r="A27" s="20"/>
      <c r="B27" s="20"/>
      <c r="C27" s="20"/>
      <c r="D27" s="20"/>
      <c r="E27" s="560"/>
      <c r="F27" s="560" t="s">
        <v>623</v>
      </c>
      <c r="G27" s="584">
        <v>120.0</v>
      </c>
      <c r="H27" s="561">
        <v>1.0</v>
      </c>
      <c r="I27" s="20"/>
      <c r="J27" s="600">
        <v>120.0</v>
      </c>
      <c r="K27" s="20"/>
      <c r="L27" s="20"/>
    </row>
    <row r="28" ht="18.75" customHeight="1">
      <c r="A28" s="8">
        <v>46250.0</v>
      </c>
      <c r="B28" s="1041" t="s">
        <v>685</v>
      </c>
      <c r="C28" s="604">
        <v>1003.0</v>
      </c>
      <c r="D28" s="605"/>
      <c r="E28" s="551" t="s">
        <v>317</v>
      </c>
      <c r="F28" s="551" t="s">
        <v>568</v>
      </c>
      <c r="G28" s="582">
        <v>100.0</v>
      </c>
      <c r="H28" s="553">
        <v>20.0</v>
      </c>
      <c r="I28" s="1020" t="s">
        <v>686</v>
      </c>
      <c r="J28" s="555">
        <v>2000.0</v>
      </c>
      <c r="K28" s="1042">
        <v>25.0</v>
      </c>
      <c r="L28" s="1021">
        <v>2645.0</v>
      </c>
    </row>
    <row r="29" ht="18.75" customHeight="1">
      <c r="A29" s="20"/>
      <c r="B29" s="20"/>
      <c r="C29" s="20"/>
      <c r="D29" s="20"/>
      <c r="E29" s="560"/>
      <c r="F29" s="560" t="s">
        <v>623</v>
      </c>
      <c r="G29" s="584">
        <v>120.0</v>
      </c>
      <c r="H29" s="561">
        <v>1.0</v>
      </c>
      <c r="I29" s="20"/>
      <c r="J29" s="584">
        <v>120.0</v>
      </c>
      <c r="K29" s="20"/>
      <c r="L29" s="20"/>
    </row>
    <row r="30" ht="18.75" customHeight="1">
      <c r="A30" s="566">
        <v>46251.0</v>
      </c>
      <c r="B30" s="1041" t="s">
        <v>685</v>
      </c>
      <c r="C30" s="23">
        <v>1003.0</v>
      </c>
      <c r="D30" s="33"/>
      <c r="E30" s="551" t="s">
        <v>317</v>
      </c>
      <c r="F30" s="551" t="s">
        <v>568</v>
      </c>
      <c r="G30" s="582">
        <v>100.0</v>
      </c>
      <c r="H30" s="553">
        <v>15.0</v>
      </c>
      <c r="I30" s="1020" t="s">
        <v>686</v>
      </c>
      <c r="J30" s="582">
        <v>1500.0</v>
      </c>
      <c r="K30" s="1042">
        <v>25.0</v>
      </c>
      <c r="L30" s="1043">
        <v>2020.0</v>
      </c>
    </row>
    <row r="31" ht="18.75" customHeight="1">
      <c r="A31" s="20"/>
      <c r="B31" s="20"/>
      <c r="C31" s="20"/>
      <c r="D31" s="20"/>
      <c r="E31" s="560"/>
      <c r="F31" s="560" t="s">
        <v>623</v>
      </c>
      <c r="G31" s="584">
        <v>120.0</v>
      </c>
      <c r="H31" s="561">
        <v>1.0</v>
      </c>
      <c r="I31" s="20"/>
      <c r="J31" s="584">
        <v>120.0</v>
      </c>
      <c r="K31" s="20"/>
      <c r="L31" s="20"/>
    </row>
    <row r="32" ht="18.75" customHeight="1">
      <c r="A32" s="566">
        <v>46191.0</v>
      </c>
      <c r="B32" s="1041" t="s">
        <v>685</v>
      </c>
      <c r="C32" s="23">
        <v>1003.0</v>
      </c>
      <c r="D32" s="377"/>
      <c r="E32" s="551" t="s">
        <v>317</v>
      </c>
      <c r="F32" s="551" t="s">
        <v>568</v>
      </c>
      <c r="G32" s="582">
        <v>100.0</v>
      </c>
      <c r="H32" s="553">
        <v>18.0</v>
      </c>
      <c r="I32" s="1020" t="s">
        <v>686</v>
      </c>
      <c r="J32" s="582">
        <v>1800.0</v>
      </c>
      <c r="K32" s="1042">
        <v>25.0</v>
      </c>
      <c r="L32" s="1021">
        <v>2395.0</v>
      </c>
    </row>
    <row r="33" ht="18.75" customHeight="1">
      <c r="A33" s="20"/>
      <c r="B33" s="20"/>
      <c r="C33" s="20"/>
      <c r="D33" s="377"/>
      <c r="E33" s="560"/>
      <c r="F33" s="560" t="s">
        <v>623</v>
      </c>
      <c r="G33" s="584">
        <v>120.0</v>
      </c>
      <c r="H33" s="561">
        <v>1.0</v>
      </c>
      <c r="I33" s="20"/>
      <c r="J33" s="584">
        <v>120.0</v>
      </c>
      <c r="K33" s="20"/>
      <c r="L33" s="20"/>
    </row>
    <row r="34" ht="18.75" customHeight="1">
      <c r="A34" s="566">
        <v>46253.0</v>
      </c>
      <c r="B34" s="1041" t="s">
        <v>685</v>
      </c>
      <c r="C34" s="23">
        <v>1005.0</v>
      </c>
      <c r="D34" s="33"/>
      <c r="E34" s="551" t="s">
        <v>317</v>
      </c>
      <c r="F34" s="551" t="s">
        <v>568</v>
      </c>
      <c r="G34" s="582">
        <v>100.0</v>
      </c>
      <c r="H34" s="553">
        <v>14.0</v>
      </c>
      <c r="I34" s="1020" t="s">
        <v>686</v>
      </c>
      <c r="J34" s="582">
        <v>1400.0</v>
      </c>
      <c r="K34" s="1042">
        <v>25.0</v>
      </c>
      <c r="L34" s="1021">
        <v>1895.0</v>
      </c>
    </row>
    <row r="35" ht="18.75" customHeight="1">
      <c r="A35" s="20"/>
      <c r="B35" s="20"/>
      <c r="C35" s="20"/>
      <c r="D35" s="20"/>
      <c r="E35" s="560"/>
      <c r="F35" s="560" t="s">
        <v>623</v>
      </c>
      <c r="G35" s="584">
        <v>120.0</v>
      </c>
      <c r="H35" s="561">
        <v>1.0</v>
      </c>
      <c r="I35" s="20"/>
      <c r="J35" s="584">
        <v>120.0</v>
      </c>
      <c r="K35" s="20"/>
      <c r="L35" s="20"/>
    </row>
    <row r="36" ht="18.75" customHeight="1">
      <c r="A36" s="566">
        <v>46254.0</v>
      </c>
      <c r="B36" s="1041" t="s">
        <v>685</v>
      </c>
      <c r="C36" s="23">
        <v>1005.0</v>
      </c>
      <c r="D36" s="33"/>
      <c r="E36" s="551" t="s">
        <v>317</v>
      </c>
      <c r="F36" s="551" t="s">
        <v>568</v>
      </c>
      <c r="G36" s="582">
        <v>100.0</v>
      </c>
      <c r="H36" s="553">
        <v>19.0</v>
      </c>
      <c r="I36" s="1020" t="s">
        <v>686</v>
      </c>
      <c r="J36" s="582">
        <v>1900.0</v>
      </c>
      <c r="K36" s="1042">
        <v>25.0</v>
      </c>
      <c r="L36" s="1044">
        <v>2520.0</v>
      </c>
    </row>
    <row r="37" ht="18.75" customHeight="1">
      <c r="A37" s="20"/>
      <c r="B37" s="20"/>
      <c r="C37" s="20"/>
      <c r="D37" s="20"/>
      <c r="E37" s="560"/>
      <c r="F37" s="560" t="s">
        <v>623</v>
      </c>
      <c r="G37" s="584">
        <v>120.0</v>
      </c>
      <c r="H37" s="561">
        <v>1.0</v>
      </c>
      <c r="I37" s="20"/>
      <c r="J37" s="584">
        <v>120.0</v>
      </c>
      <c r="K37" s="20"/>
      <c r="L37" s="20"/>
    </row>
    <row r="38" ht="18.75" customHeight="1">
      <c r="A38" s="566">
        <v>46255.0</v>
      </c>
      <c r="B38" s="1041" t="s">
        <v>685</v>
      </c>
      <c r="C38" s="23">
        <v>1005.0</v>
      </c>
      <c r="D38" s="1045"/>
      <c r="E38" s="551" t="s">
        <v>317</v>
      </c>
      <c r="F38" s="551" t="s">
        <v>568</v>
      </c>
      <c r="G38" s="582">
        <v>100.0</v>
      </c>
      <c r="H38" s="553">
        <v>17.0</v>
      </c>
      <c r="I38" s="1020" t="s">
        <v>686</v>
      </c>
      <c r="J38" s="582">
        <v>1700.0</v>
      </c>
      <c r="K38" s="610">
        <v>25.0</v>
      </c>
      <c r="L38" s="1046">
        <v>2270.0</v>
      </c>
    </row>
    <row r="39" ht="18.75" customHeight="1">
      <c r="A39" s="20"/>
      <c r="B39" s="20"/>
      <c r="C39" s="20"/>
      <c r="D39" s="1045"/>
      <c r="E39" s="560"/>
      <c r="F39" s="560" t="s">
        <v>623</v>
      </c>
      <c r="G39" s="584">
        <v>120.0</v>
      </c>
      <c r="H39" s="561">
        <v>1.0</v>
      </c>
      <c r="I39" s="20"/>
      <c r="J39" s="584">
        <v>120.0</v>
      </c>
      <c r="K39" s="20"/>
      <c r="L39" s="20"/>
    </row>
    <row r="40" ht="18.75" customHeight="1">
      <c r="A40" s="566">
        <v>46256.0</v>
      </c>
      <c r="B40" s="1041" t="s">
        <v>685</v>
      </c>
      <c r="C40" s="23">
        <v>1005.0</v>
      </c>
      <c r="D40" s="1045"/>
      <c r="E40" s="551" t="s">
        <v>317</v>
      </c>
      <c r="F40" s="551" t="s">
        <v>568</v>
      </c>
      <c r="G40" s="582">
        <v>100.0</v>
      </c>
      <c r="H40" s="553">
        <v>20.0</v>
      </c>
      <c r="I40" s="1020" t="s">
        <v>686</v>
      </c>
      <c r="J40" s="582">
        <v>2000.0</v>
      </c>
      <c r="K40" s="610">
        <v>25.0</v>
      </c>
      <c r="L40" s="1047">
        <v>2645.0</v>
      </c>
    </row>
    <row r="41" ht="18.75" customHeight="1">
      <c r="A41" s="20"/>
      <c r="B41" s="20"/>
      <c r="C41" s="20"/>
      <c r="D41" s="1048"/>
      <c r="E41" s="560"/>
      <c r="F41" s="560" t="s">
        <v>623</v>
      </c>
      <c r="G41" s="584">
        <v>120.0</v>
      </c>
      <c r="H41" s="561">
        <v>1.0</v>
      </c>
      <c r="I41" s="20"/>
      <c r="J41" s="584">
        <v>120.0</v>
      </c>
      <c r="K41" s="20"/>
      <c r="L41" s="20"/>
    </row>
    <row r="42" ht="18.75" customHeight="1">
      <c r="A42" s="566">
        <v>46258.0</v>
      </c>
      <c r="B42" s="1049" t="s">
        <v>687</v>
      </c>
      <c r="C42" s="23">
        <v>1007.0</v>
      </c>
      <c r="D42" s="612"/>
      <c r="E42" s="551" t="s">
        <v>317</v>
      </c>
      <c r="F42" s="551" t="s">
        <v>568</v>
      </c>
      <c r="G42" s="582">
        <v>100.0</v>
      </c>
      <c r="H42" s="553">
        <v>20.0</v>
      </c>
      <c r="I42" s="1020" t="s">
        <v>686</v>
      </c>
      <c r="J42" s="582">
        <v>2000.0</v>
      </c>
      <c r="K42" s="610">
        <v>25.0</v>
      </c>
      <c r="L42" s="1047">
        <v>2645.0</v>
      </c>
    </row>
    <row r="43" ht="18.75" customHeight="1">
      <c r="A43" s="20"/>
      <c r="B43" s="20"/>
      <c r="C43" s="20"/>
      <c r="D43" s="1050"/>
      <c r="E43" s="560"/>
      <c r="F43" s="560" t="s">
        <v>623</v>
      </c>
      <c r="G43" s="584">
        <v>120.0</v>
      </c>
      <c r="H43" s="561">
        <v>1.0</v>
      </c>
      <c r="I43" s="20"/>
      <c r="J43" s="584">
        <v>120.0</v>
      </c>
      <c r="K43" s="20"/>
      <c r="L43" s="20"/>
    </row>
    <row r="44" ht="18.75" customHeight="1">
      <c r="A44" s="566">
        <v>46259.0</v>
      </c>
      <c r="B44" s="1049" t="s">
        <v>687</v>
      </c>
      <c r="C44" s="23" t="s">
        <v>688</v>
      </c>
      <c r="D44" s="612"/>
      <c r="E44" s="551" t="s">
        <v>317</v>
      </c>
      <c r="F44" s="551" t="s">
        <v>568</v>
      </c>
      <c r="G44" s="582">
        <v>100.0</v>
      </c>
      <c r="H44" s="553">
        <v>14.0</v>
      </c>
      <c r="I44" s="1020" t="s">
        <v>686</v>
      </c>
      <c r="J44" s="582">
        <v>1400.0</v>
      </c>
      <c r="K44" s="610">
        <v>25.0</v>
      </c>
      <c r="L44" s="1021">
        <v>1895.0</v>
      </c>
    </row>
    <row r="45" ht="18.75" customHeight="1">
      <c r="A45" s="20"/>
      <c r="B45" s="20"/>
      <c r="C45" s="20"/>
      <c r="D45" s="1050"/>
      <c r="E45" s="560"/>
      <c r="F45" s="560" t="s">
        <v>623</v>
      </c>
      <c r="G45" s="584">
        <v>120.0</v>
      </c>
      <c r="H45" s="561">
        <v>1.0</v>
      </c>
      <c r="I45" s="20"/>
      <c r="J45" s="584">
        <v>120.0</v>
      </c>
      <c r="K45" s="20"/>
      <c r="L45" s="20"/>
    </row>
    <row r="46" ht="18.75" customHeight="1">
      <c r="A46" s="566">
        <v>46260.0</v>
      </c>
      <c r="B46" s="1049" t="s">
        <v>687</v>
      </c>
      <c r="C46" s="1023">
        <v>1006.0</v>
      </c>
      <c r="D46" s="1051"/>
      <c r="E46" s="551" t="s">
        <v>689</v>
      </c>
      <c r="F46" s="551" t="s">
        <v>568</v>
      </c>
      <c r="G46" s="582">
        <v>100.0</v>
      </c>
      <c r="H46" s="553">
        <v>15.0</v>
      </c>
      <c r="I46" s="1020" t="s">
        <v>686</v>
      </c>
      <c r="J46" s="582">
        <v>1500.0</v>
      </c>
      <c r="K46" s="610">
        <v>25.0</v>
      </c>
      <c r="L46" s="1052">
        <v>2020.0</v>
      </c>
    </row>
    <row r="47" ht="18.75" customHeight="1">
      <c r="A47" s="20"/>
      <c r="B47" s="20"/>
      <c r="C47" s="20"/>
      <c r="D47" s="1050"/>
      <c r="E47" s="560"/>
      <c r="F47" s="560" t="s">
        <v>623</v>
      </c>
      <c r="G47" s="584">
        <v>120.0</v>
      </c>
      <c r="H47" s="561">
        <v>1.0</v>
      </c>
      <c r="I47" s="20"/>
      <c r="J47" s="584">
        <v>120.0</v>
      </c>
      <c r="K47" s="20"/>
      <c r="L47" s="20"/>
    </row>
    <row r="48" ht="18.75" customHeight="1">
      <c r="A48" s="566">
        <v>46261.0</v>
      </c>
      <c r="B48" s="1049" t="s">
        <v>687</v>
      </c>
      <c r="C48" s="1023">
        <v>1006.0</v>
      </c>
      <c r="D48" s="612"/>
      <c r="E48" s="551" t="s">
        <v>689</v>
      </c>
      <c r="F48" s="551" t="s">
        <v>568</v>
      </c>
      <c r="G48" s="582">
        <v>100.0</v>
      </c>
      <c r="H48" s="553">
        <v>14.0</v>
      </c>
      <c r="I48" s="1020" t="s">
        <v>686</v>
      </c>
      <c r="J48" s="582">
        <v>1400.0</v>
      </c>
      <c r="K48" s="610">
        <v>25.0</v>
      </c>
      <c r="L48" s="1052">
        <v>1895.0</v>
      </c>
    </row>
    <row r="49" ht="18.75" customHeight="1">
      <c r="A49" s="20"/>
      <c r="B49" s="20"/>
      <c r="C49" s="20"/>
      <c r="D49" s="29"/>
      <c r="E49" s="560"/>
      <c r="F49" s="560" t="s">
        <v>623</v>
      </c>
      <c r="G49" s="584">
        <v>120.0</v>
      </c>
      <c r="H49" s="561">
        <v>1.0</v>
      </c>
      <c r="I49" s="20"/>
      <c r="J49" s="584">
        <v>120.0</v>
      </c>
      <c r="K49" s="20"/>
      <c r="L49" s="20"/>
    </row>
    <row r="50" ht="18.75" customHeight="1">
      <c r="A50" s="1053">
        <v>46262.0</v>
      </c>
      <c r="B50" s="1049" t="s">
        <v>687</v>
      </c>
      <c r="C50" s="1023">
        <v>1006.0</v>
      </c>
      <c r="D50" s="57"/>
      <c r="E50" s="551" t="s">
        <v>317</v>
      </c>
      <c r="F50" s="551" t="s">
        <v>568</v>
      </c>
      <c r="G50" s="582">
        <v>100.0</v>
      </c>
      <c r="H50" s="553">
        <v>14.0</v>
      </c>
      <c r="I50" s="1020" t="s">
        <v>690</v>
      </c>
      <c r="J50" s="582">
        <v>1400.0</v>
      </c>
      <c r="K50" s="610">
        <v>25.0</v>
      </c>
      <c r="L50" s="1052">
        <v>1895.0</v>
      </c>
    </row>
    <row r="51" ht="18.75" customHeight="1">
      <c r="A51" s="20"/>
      <c r="B51" s="20"/>
      <c r="C51" s="20"/>
      <c r="D51" s="20"/>
      <c r="E51" s="560"/>
      <c r="F51" s="560" t="s">
        <v>623</v>
      </c>
      <c r="G51" s="584">
        <v>120.0</v>
      </c>
      <c r="H51" s="561">
        <v>1.0</v>
      </c>
      <c r="I51" s="20"/>
      <c r="J51" s="584">
        <v>120.0</v>
      </c>
      <c r="K51" s="20"/>
      <c r="L51" s="20"/>
    </row>
    <row r="52" ht="18.75" customHeight="1">
      <c r="A52" s="1053">
        <v>46263.0</v>
      </c>
      <c r="B52" s="1049" t="s">
        <v>687</v>
      </c>
      <c r="C52" s="1023" t="s">
        <v>691</v>
      </c>
      <c r="D52" s="612"/>
      <c r="E52" s="551" t="s">
        <v>317</v>
      </c>
      <c r="F52" s="551" t="s">
        <v>568</v>
      </c>
      <c r="G52" s="582">
        <v>100.0</v>
      </c>
      <c r="H52" s="553">
        <v>20.0</v>
      </c>
      <c r="I52" s="1020" t="s">
        <v>690</v>
      </c>
      <c r="J52" s="582">
        <v>2000.0</v>
      </c>
      <c r="K52" s="610">
        <v>25.0</v>
      </c>
      <c r="L52" s="1046">
        <v>2645.0</v>
      </c>
    </row>
    <row r="53" ht="18.75" customHeight="1">
      <c r="A53" s="20"/>
      <c r="B53" s="20"/>
      <c r="C53" s="20"/>
      <c r="D53" s="1050"/>
      <c r="E53" s="560"/>
      <c r="F53" s="560" t="s">
        <v>623</v>
      </c>
      <c r="G53" s="584">
        <v>120.0</v>
      </c>
      <c r="H53" s="561">
        <v>1.0</v>
      </c>
      <c r="I53" s="20"/>
      <c r="J53" s="584">
        <v>120.0</v>
      </c>
      <c r="K53" s="20"/>
      <c r="L53" s="20"/>
    </row>
    <row r="54" ht="18.75" customHeight="1">
      <c r="A54" s="1053">
        <v>46264.0</v>
      </c>
      <c r="B54" s="1049" t="s">
        <v>687</v>
      </c>
      <c r="C54" s="1023">
        <v>1004.0</v>
      </c>
      <c r="D54" s="1051"/>
      <c r="E54" s="551" t="s">
        <v>317</v>
      </c>
      <c r="F54" s="551" t="s">
        <v>623</v>
      </c>
      <c r="G54" s="582">
        <v>120.0</v>
      </c>
      <c r="H54" s="553">
        <v>1.0</v>
      </c>
      <c r="I54" s="1020" t="s">
        <v>690</v>
      </c>
      <c r="J54" s="582">
        <v>120.0</v>
      </c>
      <c r="K54" s="610">
        <v>25.0</v>
      </c>
      <c r="L54" s="1046">
        <v>2645.0</v>
      </c>
    </row>
    <row r="55" ht="18.75" customHeight="1">
      <c r="A55" s="20"/>
      <c r="B55" s="20"/>
      <c r="C55" s="20"/>
      <c r="D55" s="1051"/>
      <c r="E55" s="560"/>
      <c r="F55" s="560"/>
      <c r="G55" s="584">
        <v>100.0</v>
      </c>
      <c r="H55" s="561">
        <v>20.0</v>
      </c>
      <c r="I55" s="20"/>
      <c r="J55" s="584">
        <v>2000.0</v>
      </c>
      <c r="K55" s="20"/>
      <c r="L55" s="20"/>
    </row>
    <row r="56" ht="18.75" customHeight="1">
      <c r="A56" s="1053">
        <v>46265.0</v>
      </c>
      <c r="B56" s="1049" t="s">
        <v>687</v>
      </c>
      <c r="C56" s="1023">
        <v>1004.0</v>
      </c>
      <c r="D56" s="1051"/>
      <c r="E56" s="551" t="s">
        <v>317</v>
      </c>
      <c r="F56" s="551" t="s">
        <v>568</v>
      </c>
      <c r="G56" s="582">
        <v>100.0</v>
      </c>
      <c r="H56" s="553">
        <v>19.0</v>
      </c>
      <c r="I56" s="1020" t="s">
        <v>690</v>
      </c>
      <c r="J56" s="582">
        <v>1900.0</v>
      </c>
      <c r="K56" s="610">
        <v>25.0</v>
      </c>
      <c r="L56" s="1054">
        <v>2520.0</v>
      </c>
    </row>
    <row r="57" ht="18.75" customHeight="1">
      <c r="A57" s="20"/>
      <c r="B57" s="20"/>
      <c r="C57" s="20"/>
      <c r="D57" s="1051"/>
      <c r="E57" s="560"/>
      <c r="F57" s="560" t="s">
        <v>623</v>
      </c>
      <c r="G57" s="584">
        <v>120.0</v>
      </c>
      <c r="H57" s="561">
        <v>1.0</v>
      </c>
      <c r="I57" s="20"/>
      <c r="J57" s="584">
        <v>120.0</v>
      </c>
      <c r="K57" s="20"/>
      <c r="L57" s="20"/>
    </row>
    <row r="58" ht="18.75" customHeight="1">
      <c r="A58" s="1053">
        <v>46266.0</v>
      </c>
      <c r="B58" s="1049" t="s">
        <v>687</v>
      </c>
      <c r="C58" s="1023"/>
      <c r="D58" s="612"/>
      <c r="E58" s="551" t="s">
        <v>317</v>
      </c>
      <c r="F58" s="551" t="s">
        <v>568</v>
      </c>
      <c r="G58" s="582">
        <v>100.0</v>
      </c>
      <c r="H58" s="553">
        <v>19.0</v>
      </c>
      <c r="I58" s="1020" t="s">
        <v>690</v>
      </c>
      <c r="J58" s="582">
        <v>1900.0</v>
      </c>
      <c r="K58" s="610">
        <v>25.0</v>
      </c>
      <c r="L58" s="1054">
        <v>2520.0</v>
      </c>
    </row>
    <row r="59" ht="18.75" customHeight="1">
      <c r="A59" s="20"/>
      <c r="B59" s="20"/>
      <c r="C59" s="20"/>
      <c r="D59" s="20"/>
      <c r="E59" s="560"/>
      <c r="F59" s="560" t="s">
        <v>623</v>
      </c>
      <c r="G59" s="584">
        <v>120.0</v>
      </c>
      <c r="H59" s="561">
        <v>1.0</v>
      </c>
      <c r="I59" s="20"/>
      <c r="J59" s="584">
        <v>120.0</v>
      </c>
      <c r="K59" s="20"/>
      <c r="L59" s="20"/>
    </row>
    <row r="60" ht="18.75" customHeight="1">
      <c r="A60" s="1053">
        <v>46266.0</v>
      </c>
      <c r="B60" s="1049" t="s">
        <v>687</v>
      </c>
      <c r="C60" s="1023">
        <v>1004.0</v>
      </c>
      <c r="D60" s="612"/>
      <c r="E60" s="551" t="s">
        <v>317</v>
      </c>
      <c r="F60" s="551" t="s">
        <v>568</v>
      </c>
      <c r="G60" s="582">
        <v>100.0</v>
      </c>
      <c r="H60" s="553">
        <v>10.0</v>
      </c>
      <c r="I60" s="1020" t="s">
        <v>692</v>
      </c>
      <c r="J60" s="582">
        <v>1000.0</v>
      </c>
      <c r="K60" s="610">
        <v>25.0</v>
      </c>
      <c r="L60" s="1055">
        <v>1395.0</v>
      </c>
    </row>
    <row r="61" ht="18.75" customHeight="1">
      <c r="A61" s="20"/>
      <c r="B61" s="20"/>
      <c r="C61" s="20"/>
      <c r="D61" s="20"/>
      <c r="E61" s="560"/>
      <c r="F61" s="560" t="s">
        <v>623</v>
      </c>
      <c r="G61" s="584">
        <v>120.0</v>
      </c>
      <c r="H61" s="561">
        <v>1.0</v>
      </c>
      <c r="I61" s="20"/>
      <c r="J61" s="584">
        <v>120.0</v>
      </c>
      <c r="K61" s="20"/>
      <c r="L61" s="20"/>
    </row>
    <row r="62" ht="18.75" customHeight="1">
      <c r="A62" s="1053">
        <v>46267.0</v>
      </c>
      <c r="B62" s="1049" t="s">
        <v>687</v>
      </c>
      <c r="C62" s="1023">
        <v>1002.0</v>
      </c>
      <c r="D62" s="612"/>
      <c r="E62" s="551" t="s">
        <v>317</v>
      </c>
      <c r="F62" s="551" t="s">
        <v>568</v>
      </c>
      <c r="G62" s="582">
        <v>100.0</v>
      </c>
      <c r="H62" s="553">
        <v>7.0</v>
      </c>
      <c r="I62" s="1020" t="s">
        <v>692</v>
      </c>
      <c r="J62" s="582">
        <v>700.0</v>
      </c>
      <c r="K62" s="610">
        <v>25.0</v>
      </c>
      <c r="L62" s="1055">
        <v>1020.0</v>
      </c>
    </row>
    <row r="63" ht="18.75" customHeight="1">
      <c r="A63" s="20"/>
      <c r="B63" s="20"/>
      <c r="C63" s="20"/>
      <c r="D63" s="20"/>
      <c r="E63" s="560"/>
      <c r="F63" s="560" t="s">
        <v>623</v>
      </c>
      <c r="G63" s="584">
        <v>120.0</v>
      </c>
      <c r="H63" s="561">
        <v>1.0</v>
      </c>
      <c r="I63" s="20"/>
      <c r="J63" s="584">
        <v>120.0</v>
      </c>
      <c r="K63" s="20"/>
      <c r="L63" s="20"/>
    </row>
    <row r="64" ht="18.75" customHeight="1">
      <c r="A64" s="1053">
        <v>46267.0</v>
      </c>
      <c r="B64" s="1049" t="s">
        <v>687</v>
      </c>
      <c r="C64" s="1023">
        <v>1003.0</v>
      </c>
      <c r="D64" s="612"/>
      <c r="E64" s="551" t="s">
        <v>317</v>
      </c>
      <c r="F64" s="551" t="s">
        <v>568</v>
      </c>
      <c r="G64" s="582">
        <v>100.0</v>
      </c>
      <c r="H64" s="553">
        <v>16.0</v>
      </c>
      <c r="I64" s="1020" t="s">
        <v>690</v>
      </c>
      <c r="J64" s="582">
        <v>1600.0</v>
      </c>
      <c r="K64" s="610">
        <v>25.0</v>
      </c>
      <c r="L64" s="1055">
        <v>2145.0</v>
      </c>
    </row>
    <row r="65" ht="18.75" customHeight="1">
      <c r="A65" s="20"/>
      <c r="B65" s="20"/>
      <c r="C65" s="20"/>
      <c r="D65" s="20"/>
      <c r="E65" s="560"/>
      <c r="F65" s="560" t="s">
        <v>623</v>
      </c>
      <c r="G65" s="584">
        <v>120.0</v>
      </c>
      <c r="H65" s="561">
        <v>1.0</v>
      </c>
      <c r="I65" s="20"/>
      <c r="J65" s="584">
        <v>120.0</v>
      </c>
      <c r="K65" s="20"/>
      <c r="L65" s="20"/>
    </row>
    <row r="66" ht="18.75" customHeight="1">
      <c r="A66" s="1053">
        <v>46268.0</v>
      </c>
      <c r="B66" s="1056" t="s">
        <v>693</v>
      </c>
      <c r="C66" s="1023">
        <v>1007.0</v>
      </c>
      <c r="D66" s="612"/>
      <c r="E66" s="551" t="s">
        <v>317</v>
      </c>
      <c r="F66" s="551" t="s">
        <v>568</v>
      </c>
      <c r="G66" s="582">
        <v>100.0</v>
      </c>
      <c r="H66" s="553">
        <v>14.0</v>
      </c>
      <c r="I66" s="1020" t="s">
        <v>690</v>
      </c>
      <c r="J66" s="582">
        <v>1400.0</v>
      </c>
      <c r="K66" s="610">
        <v>25.0</v>
      </c>
      <c r="L66" s="1055">
        <v>1895.0</v>
      </c>
    </row>
    <row r="67" ht="18.75" customHeight="1">
      <c r="A67" s="20"/>
      <c r="B67" s="20"/>
      <c r="C67" s="20"/>
      <c r="D67" s="20"/>
      <c r="E67" s="560"/>
      <c r="F67" s="560" t="s">
        <v>623</v>
      </c>
      <c r="G67" s="584">
        <v>120.0</v>
      </c>
      <c r="H67" s="561">
        <v>1.0</v>
      </c>
      <c r="I67" s="20"/>
      <c r="J67" s="584">
        <v>120.0</v>
      </c>
      <c r="K67" s="20"/>
      <c r="L67" s="20"/>
    </row>
    <row r="68" ht="18.75" customHeight="1">
      <c r="A68" s="1053">
        <v>46268.0</v>
      </c>
      <c r="B68" s="1057" t="s">
        <v>694</v>
      </c>
      <c r="C68" s="1023">
        <v>1004.0</v>
      </c>
      <c r="D68" s="612"/>
      <c r="E68" s="551" t="s">
        <v>317</v>
      </c>
      <c r="F68" s="551" t="s">
        <v>568</v>
      </c>
      <c r="G68" s="582">
        <v>100.0</v>
      </c>
      <c r="H68" s="553">
        <v>5.0</v>
      </c>
      <c r="I68" s="1020" t="s">
        <v>692</v>
      </c>
      <c r="J68" s="582">
        <v>500.0</v>
      </c>
      <c r="K68" s="610">
        <v>25.0</v>
      </c>
      <c r="L68" s="1055">
        <v>770.0</v>
      </c>
    </row>
    <row r="69" ht="18.75" customHeight="1">
      <c r="A69" s="20"/>
      <c r="B69" s="20"/>
      <c r="C69" s="20"/>
      <c r="D69" s="20"/>
      <c r="E69" s="560"/>
      <c r="F69" s="560" t="s">
        <v>623</v>
      </c>
      <c r="G69" s="584">
        <v>120.0</v>
      </c>
      <c r="H69" s="561">
        <v>1.0</v>
      </c>
      <c r="I69" s="20"/>
      <c r="J69" s="584">
        <v>120.0</v>
      </c>
      <c r="K69" s="20"/>
      <c r="L69" s="20"/>
    </row>
    <row r="70" ht="18.75" customHeight="1">
      <c r="A70" s="1053">
        <v>46269.0</v>
      </c>
      <c r="B70" s="1057" t="s">
        <v>695</v>
      </c>
      <c r="C70" s="1023" t="s">
        <v>696</v>
      </c>
      <c r="D70" s="612"/>
      <c r="E70" s="551" t="s">
        <v>317</v>
      </c>
      <c r="F70" s="551" t="s">
        <v>568</v>
      </c>
      <c r="G70" s="582">
        <v>100.0</v>
      </c>
      <c r="H70" s="553">
        <v>19.0</v>
      </c>
      <c r="I70" s="1020" t="s">
        <v>690</v>
      </c>
      <c r="J70" s="582">
        <v>1900.0</v>
      </c>
      <c r="K70" s="610">
        <v>25.0</v>
      </c>
      <c r="L70" s="1055">
        <v>2520.0</v>
      </c>
    </row>
    <row r="71" ht="18.75" customHeight="1">
      <c r="A71" s="20"/>
      <c r="B71" s="20"/>
      <c r="C71" s="20"/>
      <c r="D71" s="20"/>
      <c r="E71" s="560"/>
      <c r="F71" s="560" t="s">
        <v>623</v>
      </c>
      <c r="G71" s="584">
        <v>120.0</v>
      </c>
      <c r="H71" s="561">
        <v>1.0</v>
      </c>
      <c r="I71" s="20"/>
      <c r="J71" s="584">
        <v>120.0</v>
      </c>
      <c r="K71" s="20"/>
      <c r="L71" s="20"/>
    </row>
    <row r="72" ht="18.75" customHeight="1">
      <c r="A72" s="1053">
        <v>46270.0</v>
      </c>
      <c r="B72" s="1057" t="s">
        <v>695</v>
      </c>
      <c r="C72" s="1023">
        <v>1004.0</v>
      </c>
      <c r="D72" s="612"/>
      <c r="E72" s="551" t="s">
        <v>317</v>
      </c>
      <c r="F72" s="551" t="s">
        <v>568</v>
      </c>
      <c r="G72" s="582">
        <v>100.0</v>
      </c>
      <c r="H72" s="553">
        <v>15.0</v>
      </c>
      <c r="I72" s="1020" t="s">
        <v>690</v>
      </c>
      <c r="J72" s="582">
        <v>1500.0</v>
      </c>
      <c r="K72" s="610">
        <v>25.0</v>
      </c>
      <c r="L72" s="1055">
        <v>2020.0</v>
      </c>
    </row>
    <row r="73" ht="18.75" customHeight="1">
      <c r="A73" s="20"/>
      <c r="B73" s="20"/>
      <c r="C73" s="20"/>
      <c r="D73" s="20"/>
      <c r="E73" s="560"/>
      <c r="F73" s="560" t="s">
        <v>623</v>
      </c>
      <c r="G73" s="584">
        <v>120.0</v>
      </c>
      <c r="H73" s="561">
        <v>1.0</v>
      </c>
      <c r="I73" s="20"/>
      <c r="J73" s="584">
        <v>120.0</v>
      </c>
      <c r="K73" s="20"/>
      <c r="L73" s="20"/>
    </row>
    <row r="74" ht="18.75" customHeight="1">
      <c r="A74" s="1053">
        <v>46272.0</v>
      </c>
      <c r="B74" s="1057" t="s">
        <v>695</v>
      </c>
      <c r="C74" s="1023">
        <v>1004.0</v>
      </c>
      <c r="D74" s="612"/>
      <c r="E74" s="551" t="s">
        <v>317</v>
      </c>
      <c r="F74" s="551" t="s">
        <v>568</v>
      </c>
      <c r="G74" s="582">
        <v>100.0</v>
      </c>
      <c r="H74" s="553">
        <v>12.0</v>
      </c>
      <c r="I74" s="1020" t="s">
        <v>690</v>
      </c>
      <c r="J74" s="582">
        <v>1200.0</v>
      </c>
      <c r="K74" s="610">
        <v>25.0</v>
      </c>
      <c r="L74" s="1055">
        <v>1645.0</v>
      </c>
    </row>
    <row r="75" ht="18.75" customHeight="1">
      <c r="A75" s="20"/>
      <c r="B75" s="20"/>
      <c r="C75" s="20"/>
      <c r="D75" s="20"/>
      <c r="E75" s="560"/>
      <c r="F75" s="560" t="s">
        <v>623</v>
      </c>
      <c r="G75" s="584">
        <v>120.0</v>
      </c>
      <c r="H75" s="561">
        <v>1.0</v>
      </c>
      <c r="I75" s="20"/>
      <c r="J75" s="584">
        <v>120.0</v>
      </c>
      <c r="K75" s="20"/>
      <c r="L75" s="20"/>
    </row>
    <row r="76" ht="18.75" customHeight="1">
      <c r="A76" s="1053"/>
      <c r="B76" s="1058"/>
      <c r="C76" s="1023"/>
      <c r="D76" s="1059"/>
      <c r="E76" s="551"/>
      <c r="F76" s="551"/>
      <c r="G76" s="582"/>
      <c r="H76" s="553"/>
      <c r="I76" s="1060"/>
      <c r="J76" s="582"/>
      <c r="K76" s="1061"/>
      <c r="L76" s="1061"/>
    </row>
    <row r="77" ht="18.75" customHeight="1">
      <c r="A77" s="1062"/>
      <c r="B77" s="1058"/>
      <c r="C77" s="91"/>
      <c r="D77" s="1059"/>
      <c r="E77" s="560"/>
      <c r="F77" s="560"/>
      <c r="G77" s="584"/>
      <c r="H77" s="561"/>
      <c r="I77" s="1038"/>
      <c r="J77" s="584"/>
      <c r="K77" s="1063"/>
      <c r="L77" s="1063"/>
    </row>
    <row r="78" ht="18.75" customHeight="1">
      <c r="A78" s="1053"/>
      <c r="B78" s="1058"/>
      <c r="C78" s="1023"/>
      <c r="D78" s="1059"/>
      <c r="E78" s="551"/>
      <c r="F78" s="551"/>
      <c r="G78" s="582"/>
      <c r="H78" s="553"/>
      <c r="I78" s="1060"/>
      <c r="J78" s="582"/>
      <c r="K78" s="1061"/>
      <c r="L78" s="1061"/>
    </row>
    <row r="79" ht="18.75" customHeight="1">
      <c r="A79" s="1062"/>
      <c r="B79" s="1058"/>
      <c r="C79" s="91"/>
      <c r="D79" s="1059"/>
      <c r="E79" s="560"/>
      <c r="F79" s="560"/>
      <c r="G79" s="584"/>
      <c r="H79" s="561"/>
      <c r="I79" s="1038"/>
      <c r="J79" s="584"/>
      <c r="K79" s="1063"/>
      <c r="L79" s="1063"/>
    </row>
    <row r="80" ht="18.75" customHeight="1">
      <c r="A80" s="1053"/>
      <c r="B80" s="1058"/>
      <c r="C80" s="1023"/>
      <c r="D80" s="1059"/>
      <c r="E80" s="551"/>
      <c r="F80" s="551"/>
      <c r="G80" s="582"/>
      <c r="H80" s="553"/>
      <c r="I80" s="1060"/>
      <c r="J80" s="582"/>
      <c r="K80" s="1061"/>
      <c r="L80" s="1061"/>
    </row>
    <row r="81" ht="18.75" customHeight="1">
      <c r="A81" s="1064"/>
      <c r="B81" s="1065"/>
      <c r="C81" s="1066"/>
      <c r="D81" s="1067"/>
      <c r="E81" s="560"/>
      <c r="F81" s="560"/>
      <c r="G81" s="584"/>
      <c r="H81" s="561"/>
      <c r="I81" s="1038"/>
      <c r="J81" s="584"/>
      <c r="K81" s="1068"/>
      <c r="L81" s="1068"/>
    </row>
    <row r="82" ht="18.75" customHeight="1">
      <c r="A82" s="625"/>
      <c r="B82" s="625"/>
      <c r="C82" s="625"/>
      <c r="D82" s="625"/>
      <c r="E82" s="625"/>
      <c r="F82" s="625"/>
      <c r="G82" s="625"/>
      <c r="H82" s="625"/>
      <c r="I82" s="1060"/>
      <c r="J82" s="626"/>
      <c r="K82" s="626"/>
      <c r="L82" s="626"/>
    </row>
    <row r="83" ht="18.75" customHeight="1">
      <c r="A83" s="121"/>
      <c r="B83" s="630"/>
      <c r="C83" s="79"/>
      <c r="D83" s="622"/>
      <c r="E83" s="560"/>
      <c r="F83" s="560"/>
      <c r="G83" s="584"/>
      <c r="H83" s="561"/>
      <c r="I83" s="1038"/>
      <c r="J83" s="584"/>
      <c r="K83" s="64"/>
      <c r="L83" s="64"/>
    </row>
    <row r="84" ht="18.75" customHeight="1">
      <c r="A84" s="58"/>
      <c r="B84" s="58"/>
      <c r="C84" s="58"/>
      <c r="D84" s="58"/>
      <c r="E84" s="551"/>
      <c r="F84" s="551"/>
      <c r="G84" s="582"/>
      <c r="H84" s="553"/>
      <c r="I84" s="1060"/>
      <c r="J84" s="582"/>
      <c r="K84" s="58"/>
      <c r="L84" s="58"/>
    </row>
    <row r="85" ht="18.75" customHeight="1">
      <c r="A85" s="559"/>
      <c r="B85" s="550"/>
      <c r="C85" s="384"/>
      <c r="D85" s="641"/>
      <c r="E85" s="560"/>
      <c r="F85" s="560"/>
      <c r="G85" s="584"/>
      <c r="H85" s="561"/>
      <c r="I85" s="1038"/>
      <c r="J85" s="584"/>
      <c r="K85" s="584"/>
      <c r="L85" s="584"/>
    </row>
    <row r="86" ht="18.75" customHeight="1">
      <c r="A86" s="549"/>
      <c r="B86" s="550"/>
      <c r="C86" s="387"/>
      <c r="D86" s="641"/>
      <c r="E86" s="551"/>
      <c r="F86" s="551"/>
      <c r="G86" s="582"/>
      <c r="H86" s="553"/>
      <c r="I86" s="1060"/>
      <c r="J86" s="582"/>
      <c r="K86" s="582"/>
      <c r="L86" s="582"/>
    </row>
    <row r="87" ht="18.75" customHeight="1">
      <c r="A87" s="559"/>
      <c r="B87" s="550"/>
      <c r="C87" s="384"/>
      <c r="D87" s="641"/>
      <c r="E87" s="560"/>
      <c r="F87" s="560"/>
      <c r="G87" s="584"/>
      <c r="H87" s="561"/>
      <c r="I87" s="1038"/>
      <c r="J87" s="584"/>
      <c r="K87" s="584"/>
      <c r="L87" s="584"/>
    </row>
    <row r="88" ht="18.75" customHeight="1">
      <c r="A88" s="549"/>
      <c r="B88" s="550"/>
      <c r="C88" s="387"/>
      <c r="D88" s="641"/>
      <c r="E88" s="551"/>
      <c r="F88" s="551"/>
      <c r="G88" s="582"/>
      <c r="H88" s="553"/>
      <c r="I88" s="1060"/>
      <c r="J88" s="582"/>
      <c r="K88" s="582"/>
      <c r="L88" s="582"/>
    </row>
    <row r="89" ht="18.75" customHeight="1">
      <c r="A89" s="559"/>
      <c r="B89" s="550"/>
      <c r="C89" s="384"/>
      <c r="D89" s="641"/>
      <c r="E89" s="560"/>
      <c r="F89" s="560"/>
      <c r="G89" s="584"/>
      <c r="H89" s="561"/>
      <c r="I89" s="1038"/>
      <c r="J89" s="584"/>
      <c r="K89" s="584"/>
      <c r="L89" s="584"/>
    </row>
    <row r="90" ht="18.75" customHeight="1">
      <c r="A90" s="549"/>
      <c r="B90" s="550"/>
      <c r="C90" s="387"/>
      <c r="D90" s="641"/>
      <c r="E90" s="551"/>
      <c r="F90" s="551"/>
      <c r="G90" s="582"/>
      <c r="H90" s="553"/>
      <c r="I90" s="1060"/>
      <c r="J90" s="582"/>
      <c r="K90" s="582"/>
      <c r="L90" s="582"/>
    </row>
    <row r="91" ht="18.75" customHeight="1">
      <c r="A91" s="559"/>
      <c r="B91" s="550"/>
      <c r="C91" s="384"/>
      <c r="D91" s="641"/>
      <c r="E91" s="560"/>
      <c r="F91" s="560"/>
      <c r="G91" s="584"/>
      <c r="H91" s="561"/>
      <c r="I91" s="1038"/>
      <c r="J91" s="584"/>
      <c r="K91" s="584"/>
      <c r="L91" s="584"/>
    </row>
    <row r="92" ht="18.75" customHeight="1">
      <c r="A92" s="549"/>
      <c r="B92" s="550"/>
      <c r="C92" s="387"/>
      <c r="D92" s="641"/>
      <c r="E92" s="551"/>
      <c r="F92" s="551"/>
      <c r="G92" s="582"/>
      <c r="H92" s="553"/>
      <c r="I92" s="1060"/>
      <c r="J92" s="582"/>
      <c r="K92" s="582"/>
      <c r="L92" s="582"/>
    </row>
    <row r="93" ht="18.75" customHeight="1">
      <c r="A93" s="559"/>
      <c r="B93" s="550"/>
      <c r="C93" s="384"/>
      <c r="D93" s="641"/>
      <c r="E93" s="560"/>
      <c r="F93" s="560"/>
      <c r="G93" s="584"/>
      <c r="H93" s="561"/>
      <c r="I93" s="1038"/>
      <c r="J93" s="584"/>
      <c r="K93" s="584"/>
      <c r="L93" s="584"/>
    </row>
    <row r="94" ht="18.75" customHeight="1">
      <c r="A94" s="549"/>
      <c r="B94" s="550"/>
      <c r="C94" s="387"/>
      <c r="D94" s="641"/>
      <c r="E94" s="551"/>
      <c r="F94" s="551"/>
      <c r="G94" s="582"/>
      <c r="H94" s="553"/>
      <c r="I94" s="1060"/>
      <c r="J94" s="582"/>
      <c r="K94" s="582"/>
      <c r="L94" s="582"/>
    </row>
    <row r="95" ht="18.75" customHeight="1">
      <c r="A95" s="559"/>
      <c r="B95" s="550"/>
      <c r="C95" s="384"/>
      <c r="D95" s="641"/>
      <c r="E95" s="560"/>
      <c r="F95" s="560"/>
      <c r="G95" s="584"/>
      <c r="H95" s="561"/>
      <c r="I95" s="1038"/>
      <c r="J95" s="584"/>
      <c r="K95" s="584"/>
      <c r="L95" s="584"/>
    </row>
    <row r="96" ht="18.75" customHeight="1">
      <c r="A96" s="549"/>
      <c r="B96" s="550"/>
      <c r="C96" s="387"/>
      <c r="D96" s="641"/>
      <c r="E96" s="551"/>
      <c r="F96" s="551"/>
      <c r="G96" s="582"/>
      <c r="H96" s="553"/>
      <c r="I96" s="1060"/>
      <c r="J96" s="582"/>
      <c r="K96" s="582"/>
      <c r="L96" s="582"/>
    </row>
    <row r="97" ht="18.75" customHeight="1">
      <c r="A97" s="559"/>
      <c r="B97" s="550"/>
      <c r="C97" s="384"/>
      <c r="D97" s="641"/>
      <c r="E97" s="560"/>
      <c r="F97" s="560"/>
      <c r="G97" s="584"/>
      <c r="H97" s="561"/>
      <c r="I97" s="1038"/>
      <c r="J97" s="584"/>
      <c r="K97" s="584"/>
      <c r="L97" s="584"/>
    </row>
    <row r="98" ht="18.75" customHeight="1">
      <c r="A98" s="549"/>
      <c r="B98" s="550"/>
      <c r="C98" s="387"/>
      <c r="D98" s="641"/>
      <c r="E98" s="551"/>
      <c r="F98" s="551"/>
      <c r="G98" s="582"/>
      <c r="H98" s="553"/>
      <c r="I98" s="1060"/>
      <c r="J98" s="582"/>
      <c r="K98" s="582"/>
      <c r="L98" s="582"/>
    </row>
    <row r="99" ht="18.75" customHeight="1">
      <c r="A99" s="559"/>
      <c r="B99" s="550"/>
      <c r="C99" s="384"/>
      <c r="D99" s="641"/>
      <c r="E99" s="560"/>
      <c r="F99" s="560"/>
      <c r="G99" s="584"/>
      <c r="H99" s="561"/>
      <c r="I99" s="602"/>
      <c r="J99" s="584"/>
      <c r="K99" s="584"/>
      <c r="L99" s="584"/>
    </row>
    <row r="100" ht="18.75" customHeight="1">
      <c r="A100" s="549"/>
      <c r="B100" s="550"/>
      <c r="C100" s="387"/>
      <c r="D100" s="641"/>
      <c r="E100" s="551"/>
      <c r="F100" s="551"/>
      <c r="G100" s="582"/>
      <c r="H100" s="553"/>
      <c r="I100" s="594"/>
      <c r="J100" s="582"/>
      <c r="K100" s="582"/>
      <c r="L100" s="582"/>
    </row>
    <row r="101" ht="18.75" customHeight="1">
      <c r="A101" s="559"/>
      <c r="B101" s="550"/>
      <c r="C101" s="384"/>
      <c r="D101" s="641"/>
      <c r="E101" s="560"/>
      <c r="F101" s="560"/>
      <c r="G101" s="584"/>
      <c r="H101" s="561"/>
      <c r="I101" s="602"/>
      <c r="J101" s="584"/>
      <c r="K101" s="584"/>
      <c r="L101" s="584"/>
    </row>
    <row r="102" ht="18.75" customHeight="1">
      <c r="A102" s="549"/>
      <c r="B102" s="550"/>
      <c r="C102" s="387"/>
      <c r="D102" s="641"/>
      <c r="E102" s="551"/>
      <c r="F102" s="551"/>
      <c r="G102" s="582"/>
      <c r="H102" s="553"/>
      <c r="I102" s="594"/>
      <c r="J102" s="582"/>
      <c r="K102" s="582"/>
      <c r="L102" s="582"/>
    </row>
    <row r="103" ht="18.75" customHeight="1">
      <c r="A103" s="559"/>
      <c r="B103" s="550"/>
      <c r="C103" s="384"/>
      <c r="D103" s="641"/>
      <c r="E103" s="560"/>
      <c r="F103" s="560"/>
      <c r="G103" s="584"/>
      <c r="H103" s="561"/>
      <c r="I103" s="602"/>
      <c r="J103" s="584"/>
      <c r="K103" s="584"/>
      <c r="L103" s="584"/>
    </row>
    <row r="104" ht="18.75" customHeight="1">
      <c r="A104" s="549"/>
      <c r="B104" s="550"/>
      <c r="C104" s="387"/>
      <c r="D104" s="641"/>
      <c r="E104" s="551"/>
      <c r="F104" s="551"/>
      <c r="G104" s="582"/>
      <c r="H104" s="553"/>
      <c r="I104" s="594"/>
      <c r="J104" s="582"/>
      <c r="K104" s="582"/>
      <c r="L104" s="582"/>
    </row>
    <row r="105" ht="18.75" customHeight="1">
      <c r="A105" s="559"/>
      <c r="B105" s="550"/>
      <c r="C105" s="384"/>
      <c r="D105" s="641"/>
      <c r="E105" s="560"/>
      <c r="F105" s="560"/>
      <c r="G105" s="584"/>
      <c r="H105" s="561"/>
      <c r="I105" s="602"/>
      <c r="J105" s="584"/>
      <c r="K105" s="584"/>
      <c r="L105" s="584"/>
    </row>
    <row r="106" ht="18.75" customHeight="1">
      <c r="A106" s="549"/>
      <c r="B106" s="550"/>
      <c r="C106" s="387"/>
      <c r="D106" s="641"/>
      <c r="E106" s="551"/>
      <c r="F106" s="551"/>
      <c r="G106" s="582"/>
      <c r="H106" s="553"/>
      <c r="I106" s="594"/>
      <c r="J106" s="582"/>
      <c r="K106" s="582"/>
      <c r="L106" s="582"/>
    </row>
    <row r="107" ht="18.75" customHeight="1">
      <c r="A107" s="559"/>
      <c r="B107" s="550"/>
      <c r="C107" s="384"/>
      <c r="D107" s="641"/>
      <c r="E107" s="560"/>
      <c r="F107" s="560"/>
      <c r="G107" s="584"/>
      <c r="H107" s="561"/>
      <c r="I107" s="602"/>
      <c r="J107" s="584"/>
      <c r="K107" s="584"/>
      <c r="L107" s="584"/>
    </row>
    <row r="108" ht="18.75" customHeight="1">
      <c r="A108" s="549"/>
      <c r="B108" s="550"/>
      <c r="C108" s="387"/>
      <c r="D108" s="641"/>
      <c r="E108" s="551"/>
      <c r="F108" s="551"/>
      <c r="G108" s="582"/>
      <c r="H108" s="553"/>
      <c r="I108" s="594"/>
      <c r="J108" s="582"/>
      <c r="K108" s="582"/>
      <c r="L108" s="582"/>
    </row>
    <row r="109" ht="18.75" customHeight="1">
      <c r="A109" s="559"/>
      <c r="B109" s="550"/>
      <c r="C109" s="384"/>
      <c r="D109" s="641"/>
      <c r="E109" s="560"/>
      <c r="F109" s="560"/>
      <c r="G109" s="584"/>
      <c r="H109" s="561"/>
      <c r="I109" s="602"/>
      <c r="J109" s="584"/>
      <c r="K109" s="584"/>
      <c r="L109" s="584"/>
    </row>
    <row r="110" ht="18.75" customHeight="1">
      <c r="A110" s="549"/>
      <c r="B110" s="550"/>
      <c r="C110" s="387"/>
      <c r="D110" s="641"/>
      <c r="E110" s="551"/>
      <c r="F110" s="551"/>
      <c r="G110" s="582"/>
      <c r="H110" s="553"/>
      <c r="I110" s="594"/>
      <c r="J110" s="582"/>
      <c r="K110" s="582"/>
      <c r="L110" s="582"/>
    </row>
    <row r="111" ht="18.75" customHeight="1">
      <c r="A111" s="559"/>
      <c r="B111" s="550"/>
      <c r="C111" s="384"/>
      <c r="D111" s="641"/>
      <c r="E111" s="560"/>
      <c r="F111" s="560"/>
      <c r="G111" s="584"/>
      <c r="H111" s="561"/>
      <c r="I111" s="602"/>
      <c r="J111" s="584"/>
      <c r="K111" s="584"/>
      <c r="L111" s="584"/>
    </row>
    <row r="112" ht="18.75" customHeight="1">
      <c r="A112" s="549"/>
      <c r="B112" s="550"/>
      <c r="C112" s="387"/>
      <c r="D112" s="641"/>
      <c r="E112" s="551"/>
      <c r="F112" s="551"/>
      <c r="G112" s="582"/>
      <c r="H112" s="553"/>
      <c r="I112" s="594"/>
      <c r="J112" s="582"/>
      <c r="K112" s="582"/>
      <c r="L112" s="582"/>
    </row>
    <row r="113" ht="18.75" customHeight="1">
      <c r="A113" s="559"/>
      <c r="B113" s="550"/>
      <c r="C113" s="384"/>
      <c r="D113" s="641"/>
      <c r="E113" s="560"/>
      <c r="F113" s="560"/>
      <c r="G113" s="584"/>
      <c r="H113" s="561"/>
      <c r="I113" s="602"/>
      <c r="J113" s="584"/>
      <c r="K113" s="584"/>
      <c r="L113" s="584"/>
    </row>
    <row r="114" ht="18.75" customHeight="1">
      <c r="A114" s="549"/>
      <c r="B114" s="550"/>
      <c r="C114" s="387"/>
      <c r="D114" s="641"/>
      <c r="E114" s="551"/>
      <c r="F114" s="551"/>
      <c r="G114" s="582"/>
      <c r="H114" s="553"/>
      <c r="I114" s="594"/>
      <c r="J114" s="582"/>
      <c r="K114" s="582"/>
      <c r="L114" s="582"/>
    </row>
    <row r="115" ht="18.75" customHeight="1">
      <c r="A115" s="559"/>
      <c r="B115" s="550"/>
      <c r="C115" s="384"/>
      <c r="D115" s="641"/>
      <c r="E115" s="560"/>
      <c r="F115" s="560"/>
      <c r="G115" s="584"/>
      <c r="H115" s="561"/>
      <c r="I115" s="602"/>
      <c r="J115" s="584"/>
      <c r="K115" s="584"/>
      <c r="L115" s="584"/>
    </row>
    <row r="116" ht="18.75" customHeight="1">
      <c r="A116" s="549"/>
      <c r="B116" s="550"/>
      <c r="C116" s="387"/>
      <c r="D116" s="641"/>
      <c r="E116" s="551"/>
      <c r="F116" s="551"/>
      <c r="G116" s="582"/>
      <c r="H116" s="553"/>
      <c r="I116" s="594"/>
      <c r="J116" s="582"/>
      <c r="K116" s="582"/>
      <c r="L116" s="582"/>
    </row>
    <row r="117" ht="18.75" customHeight="1">
      <c r="A117" s="559"/>
      <c r="B117" s="550"/>
      <c r="C117" s="384"/>
      <c r="D117" s="641"/>
      <c r="E117" s="560"/>
      <c r="F117" s="560"/>
      <c r="G117" s="584"/>
      <c r="H117" s="561"/>
      <c r="I117" s="602"/>
      <c r="J117" s="584"/>
      <c r="K117" s="584"/>
      <c r="L117" s="584"/>
    </row>
    <row r="118" ht="18.75" customHeight="1">
      <c r="A118" s="549"/>
      <c r="B118" s="550"/>
      <c r="C118" s="387"/>
      <c r="D118" s="641"/>
      <c r="E118" s="551"/>
      <c r="F118" s="551"/>
      <c r="G118" s="582"/>
      <c r="H118" s="553"/>
      <c r="I118" s="594"/>
      <c r="J118" s="582"/>
      <c r="K118" s="582"/>
      <c r="L118" s="582"/>
    </row>
    <row r="119" ht="18.75" customHeight="1">
      <c r="A119" s="559"/>
      <c r="B119" s="550"/>
      <c r="C119" s="384"/>
      <c r="D119" s="641"/>
      <c r="E119" s="560"/>
      <c r="F119" s="560"/>
      <c r="G119" s="584"/>
      <c r="H119" s="561"/>
      <c r="I119" s="602"/>
      <c r="J119" s="584"/>
      <c r="K119" s="584"/>
      <c r="L119" s="584"/>
    </row>
    <row r="120" ht="18.75" customHeight="1">
      <c r="A120" s="549"/>
      <c r="B120" s="550"/>
      <c r="C120" s="387"/>
      <c r="D120" s="641"/>
      <c r="E120" s="551"/>
      <c r="F120" s="551"/>
      <c r="G120" s="582"/>
      <c r="H120" s="553"/>
      <c r="I120" s="594"/>
      <c r="J120" s="582"/>
      <c r="K120" s="582"/>
      <c r="L120" s="582"/>
    </row>
    <row r="121" ht="18.75" customHeight="1">
      <c r="A121" s="559"/>
      <c r="B121" s="550"/>
      <c r="C121" s="384"/>
      <c r="D121" s="641"/>
      <c r="E121" s="560"/>
      <c r="F121" s="560"/>
      <c r="G121" s="584"/>
      <c r="H121" s="561"/>
      <c r="I121" s="602"/>
      <c r="J121" s="584"/>
      <c r="K121" s="584"/>
      <c r="L121" s="584"/>
    </row>
    <row r="122" ht="18.75" customHeight="1">
      <c r="A122" s="549"/>
      <c r="B122" s="550"/>
      <c r="C122" s="387"/>
      <c r="D122" s="641"/>
      <c r="E122" s="551"/>
      <c r="F122" s="551"/>
      <c r="G122" s="582"/>
      <c r="H122" s="553"/>
      <c r="I122" s="594"/>
      <c r="J122" s="582"/>
      <c r="K122" s="582"/>
      <c r="L122" s="582"/>
    </row>
    <row r="123" ht="18.75" customHeight="1">
      <c r="A123" s="559"/>
      <c r="B123" s="550"/>
      <c r="C123" s="384"/>
      <c r="D123" s="641"/>
      <c r="E123" s="560"/>
      <c r="F123" s="560"/>
      <c r="G123" s="584"/>
      <c r="H123" s="561"/>
      <c r="I123" s="602"/>
      <c r="J123" s="584"/>
      <c r="K123" s="584"/>
      <c r="L123" s="584"/>
    </row>
    <row r="124" ht="18.75" customHeight="1">
      <c r="A124" s="549"/>
      <c r="B124" s="550"/>
      <c r="C124" s="387"/>
      <c r="D124" s="641"/>
      <c r="E124" s="551"/>
      <c r="F124" s="551"/>
      <c r="G124" s="582"/>
      <c r="H124" s="553"/>
      <c r="I124" s="594"/>
      <c r="J124" s="582"/>
      <c r="K124" s="582"/>
      <c r="L124" s="582"/>
    </row>
    <row r="125" ht="18.75" customHeight="1">
      <c r="A125" s="559"/>
      <c r="B125" s="550"/>
      <c r="C125" s="384"/>
      <c r="D125" s="641"/>
      <c r="E125" s="560"/>
      <c r="F125" s="560"/>
      <c r="G125" s="584"/>
      <c r="H125" s="561"/>
      <c r="I125" s="602"/>
      <c r="J125" s="584"/>
      <c r="K125" s="584"/>
      <c r="L125" s="584"/>
    </row>
    <row r="126" ht="18.75" customHeight="1">
      <c r="A126" s="549"/>
      <c r="B126" s="550"/>
      <c r="C126" s="387"/>
      <c r="D126" s="641"/>
      <c r="E126" s="551"/>
      <c r="F126" s="551"/>
      <c r="G126" s="582"/>
      <c r="H126" s="553"/>
      <c r="I126" s="594"/>
      <c r="J126" s="582"/>
      <c r="K126" s="582"/>
      <c r="L126" s="582"/>
    </row>
    <row r="127" ht="18.75" customHeight="1">
      <c r="A127" s="559"/>
      <c r="B127" s="550"/>
      <c r="C127" s="384"/>
      <c r="D127" s="641"/>
      <c r="E127" s="560"/>
      <c r="F127" s="560"/>
      <c r="G127" s="584"/>
      <c r="H127" s="561"/>
      <c r="I127" s="602"/>
      <c r="J127" s="584"/>
      <c r="K127" s="584"/>
      <c r="L127" s="584"/>
    </row>
    <row r="128" ht="18.75" customHeight="1">
      <c r="A128" s="549"/>
      <c r="B128" s="550"/>
      <c r="C128" s="387"/>
      <c r="D128" s="641"/>
      <c r="E128" s="551"/>
      <c r="F128" s="551"/>
      <c r="G128" s="582"/>
      <c r="H128" s="553"/>
      <c r="I128" s="594"/>
      <c r="J128" s="582"/>
      <c r="K128" s="582"/>
      <c r="L128" s="582"/>
    </row>
    <row r="129" ht="18.75" customHeight="1">
      <c r="A129" s="559"/>
      <c r="B129" s="550"/>
      <c r="C129" s="384"/>
      <c r="D129" s="641"/>
      <c r="E129" s="560"/>
      <c r="F129" s="560"/>
      <c r="G129" s="584"/>
      <c r="H129" s="561"/>
      <c r="I129" s="602"/>
      <c r="J129" s="584"/>
      <c r="K129" s="584"/>
      <c r="L129" s="584"/>
    </row>
    <row r="130" ht="18.75" customHeight="1">
      <c r="A130" s="549"/>
      <c r="B130" s="550"/>
      <c r="C130" s="387"/>
      <c r="D130" s="641"/>
      <c r="E130" s="551"/>
      <c r="F130" s="551"/>
      <c r="G130" s="582"/>
      <c r="H130" s="553"/>
      <c r="I130" s="594"/>
      <c r="J130" s="582"/>
      <c r="K130" s="582"/>
      <c r="L130" s="582"/>
    </row>
    <row r="131" ht="18.75" customHeight="1">
      <c r="A131" s="559"/>
      <c r="B131" s="550"/>
      <c r="C131" s="384"/>
      <c r="D131" s="641"/>
      <c r="E131" s="560"/>
      <c r="F131" s="560"/>
      <c r="G131" s="584"/>
      <c r="H131" s="561"/>
      <c r="I131" s="602"/>
      <c r="J131" s="584"/>
      <c r="K131" s="584"/>
      <c r="L131" s="584"/>
    </row>
    <row r="132" ht="18.75" customHeight="1">
      <c r="A132" s="549"/>
      <c r="B132" s="550"/>
      <c r="C132" s="387"/>
      <c r="D132" s="641"/>
      <c r="E132" s="551"/>
      <c r="F132" s="551"/>
      <c r="G132" s="582"/>
      <c r="H132" s="553"/>
      <c r="I132" s="594"/>
      <c r="J132" s="582"/>
      <c r="K132" s="582"/>
      <c r="L132" s="582"/>
    </row>
    <row r="133" ht="18.75" customHeight="1">
      <c r="A133" s="559"/>
      <c r="B133" s="550"/>
      <c r="C133" s="384"/>
      <c r="D133" s="641"/>
      <c r="E133" s="560"/>
      <c r="F133" s="560"/>
      <c r="G133" s="584"/>
      <c r="H133" s="561"/>
      <c r="I133" s="602"/>
      <c r="J133" s="584"/>
      <c r="K133" s="584"/>
      <c r="L133" s="584"/>
    </row>
    <row r="134" ht="18.75" customHeight="1">
      <c r="A134" s="549"/>
      <c r="B134" s="550"/>
      <c r="C134" s="387"/>
      <c r="D134" s="641"/>
      <c r="E134" s="551"/>
      <c r="F134" s="551"/>
      <c r="G134" s="582"/>
      <c r="H134" s="553"/>
      <c r="I134" s="594"/>
      <c r="J134" s="582"/>
      <c r="K134" s="582"/>
      <c r="L134" s="582"/>
    </row>
    <row r="135" ht="18.75" customHeight="1">
      <c r="A135" s="559"/>
      <c r="B135" s="550"/>
      <c r="C135" s="384"/>
      <c r="D135" s="641"/>
      <c r="E135" s="560"/>
      <c r="F135" s="560"/>
      <c r="G135" s="584"/>
      <c r="H135" s="561"/>
      <c r="I135" s="602"/>
      <c r="J135" s="584"/>
      <c r="K135" s="584"/>
      <c r="L135" s="584"/>
    </row>
    <row r="136" ht="18.75" customHeight="1">
      <c r="A136" s="549"/>
      <c r="B136" s="550"/>
      <c r="C136" s="387"/>
      <c r="D136" s="641"/>
      <c r="E136" s="551"/>
      <c r="F136" s="551"/>
      <c r="G136" s="582"/>
      <c r="H136" s="553"/>
      <c r="I136" s="594"/>
      <c r="J136" s="582"/>
      <c r="K136" s="582"/>
      <c r="L136" s="582"/>
    </row>
    <row r="137" ht="18.75" customHeight="1">
      <c r="A137" s="559"/>
      <c r="B137" s="550"/>
      <c r="C137" s="384"/>
      <c r="D137" s="641"/>
      <c r="E137" s="560"/>
      <c r="F137" s="560"/>
      <c r="G137" s="584"/>
      <c r="H137" s="561"/>
      <c r="I137" s="602"/>
      <c r="J137" s="584"/>
      <c r="K137" s="584"/>
      <c r="L137" s="584"/>
    </row>
    <row r="138" ht="18.75" customHeight="1">
      <c r="A138" s="549"/>
      <c r="B138" s="550"/>
      <c r="C138" s="387"/>
      <c r="D138" s="641"/>
      <c r="E138" s="551"/>
      <c r="F138" s="551"/>
      <c r="G138" s="582"/>
      <c r="H138" s="553"/>
      <c r="I138" s="594"/>
      <c r="J138" s="582"/>
      <c r="K138" s="582"/>
      <c r="L138" s="582"/>
    </row>
    <row r="139" ht="18.75" customHeight="1">
      <c r="A139" s="559"/>
      <c r="B139" s="550"/>
      <c r="C139" s="384"/>
      <c r="D139" s="641"/>
      <c r="E139" s="560"/>
      <c r="F139" s="560"/>
      <c r="G139" s="584"/>
      <c r="H139" s="561"/>
      <c r="I139" s="602"/>
      <c r="J139" s="584"/>
      <c r="K139" s="584"/>
      <c r="L139" s="584"/>
    </row>
    <row r="140" ht="18.75" customHeight="1">
      <c r="A140" s="549"/>
      <c r="B140" s="550"/>
      <c r="C140" s="387"/>
      <c r="D140" s="641"/>
      <c r="E140" s="551"/>
      <c r="F140" s="551"/>
      <c r="G140" s="582"/>
      <c r="H140" s="553"/>
      <c r="I140" s="594"/>
      <c r="J140" s="582"/>
      <c r="K140" s="582"/>
      <c r="L140" s="582"/>
    </row>
    <row r="141" ht="18.75" customHeight="1">
      <c r="A141" s="559"/>
      <c r="B141" s="550"/>
      <c r="C141" s="384"/>
      <c r="D141" s="641"/>
      <c r="E141" s="560"/>
      <c r="F141" s="560"/>
      <c r="G141" s="584"/>
      <c r="H141" s="561"/>
      <c r="I141" s="602"/>
      <c r="J141" s="584"/>
      <c r="K141" s="584"/>
      <c r="L141" s="584"/>
    </row>
    <row r="142" ht="18.75" customHeight="1">
      <c r="A142" s="549"/>
      <c r="B142" s="550"/>
      <c r="C142" s="387"/>
      <c r="D142" s="641"/>
      <c r="E142" s="551"/>
      <c r="F142" s="551"/>
      <c r="G142" s="582"/>
      <c r="H142" s="553"/>
      <c r="I142" s="594"/>
      <c r="J142" s="582"/>
      <c r="K142" s="582"/>
      <c r="L142" s="582"/>
    </row>
    <row r="143" ht="18.75" customHeight="1">
      <c r="A143" s="559"/>
      <c r="B143" s="550"/>
      <c r="C143" s="384"/>
      <c r="D143" s="641"/>
      <c r="E143" s="560"/>
      <c r="F143" s="560"/>
      <c r="G143" s="584"/>
      <c r="H143" s="561"/>
      <c r="I143" s="602"/>
      <c r="J143" s="584"/>
      <c r="K143" s="584"/>
      <c r="L143" s="584"/>
    </row>
    <row r="144" ht="18.75" customHeight="1">
      <c r="A144" s="549"/>
      <c r="B144" s="550"/>
      <c r="C144" s="387"/>
      <c r="D144" s="641"/>
      <c r="E144" s="551"/>
      <c r="F144" s="551"/>
      <c r="G144" s="582"/>
      <c r="H144" s="553"/>
      <c r="I144" s="594"/>
      <c r="J144" s="582"/>
      <c r="K144" s="582"/>
      <c r="L144" s="582"/>
    </row>
    <row r="145" ht="18.75" customHeight="1">
      <c r="A145" s="559"/>
      <c r="B145" s="550"/>
      <c r="C145" s="384"/>
      <c r="D145" s="641"/>
      <c r="E145" s="560"/>
      <c r="F145" s="560"/>
      <c r="G145" s="584"/>
      <c r="H145" s="561"/>
      <c r="I145" s="602"/>
      <c r="J145" s="584"/>
      <c r="K145" s="584"/>
      <c r="L145" s="584"/>
    </row>
    <row r="146" ht="18.75" customHeight="1">
      <c r="A146" s="549"/>
      <c r="B146" s="550"/>
      <c r="C146" s="387"/>
      <c r="D146" s="641"/>
      <c r="E146" s="551"/>
      <c r="F146" s="551"/>
      <c r="G146" s="582"/>
      <c r="H146" s="553"/>
      <c r="I146" s="594"/>
      <c r="J146" s="582"/>
      <c r="K146" s="582"/>
      <c r="L146" s="582"/>
    </row>
    <row r="147" ht="18.75" customHeight="1">
      <c r="A147" s="559"/>
      <c r="B147" s="550"/>
      <c r="C147" s="384"/>
      <c r="D147" s="641"/>
      <c r="E147" s="560"/>
      <c r="F147" s="560"/>
      <c r="G147" s="584"/>
      <c r="H147" s="561"/>
      <c r="I147" s="602"/>
      <c r="J147" s="584"/>
      <c r="K147" s="584"/>
      <c r="L147" s="584"/>
    </row>
    <row r="148" ht="18.75" customHeight="1">
      <c r="A148" s="549"/>
      <c r="B148" s="550"/>
      <c r="C148" s="387"/>
      <c r="D148" s="641"/>
      <c r="E148" s="551"/>
      <c r="F148" s="551"/>
      <c r="G148" s="582"/>
      <c r="H148" s="553"/>
      <c r="I148" s="594"/>
      <c r="J148" s="582"/>
      <c r="K148" s="582"/>
      <c r="L148" s="582"/>
    </row>
    <row r="149" ht="18.75" customHeight="1">
      <c r="A149" s="559"/>
      <c r="B149" s="550"/>
      <c r="C149" s="384"/>
      <c r="D149" s="641"/>
      <c r="E149" s="560"/>
      <c r="F149" s="560"/>
      <c r="G149" s="584"/>
      <c r="H149" s="561"/>
      <c r="I149" s="602"/>
      <c r="J149" s="584"/>
      <c r="K149" s="584"/>
      <c r="L149" s="584"/>
    </row>
    <row r="150" ht="18.75" customHeight="1">
      <c r="A150" s="822"/>
      <c r="B150" s="812"/>
      <c r="C150" s="823"/>
      <c r="D150" s="814"/>
      <c r="E150" s="824"/>
      <c r="F150" s="824"/>
      <c r="G150" s="825"/>
      <c r="H150" s="826"/>
      <c r="I150" s="827"/>
      <c r="J150" s="825"/>
      <c r="K150" s="825"/>
      <c r="L150" s="825"/>
    </row>
    <row r="151" ht="18.75" customHeight="1">
      <c r="A151" s="811"/>
      <c r="B151" s="812"/>
      <c r="C151" s="813"/>
      <c r="D151" s="814"/>
      <c r="E151" s="815"/>
      <c r="F151" s="815"/>
      <c r="G151" s="816"/>
      <c r="H151" s="817"/>
      <c r="I151" s="818"/>
      <c r="J151" s="816"/>
      <c r="K151" s="816"/>
      <c r="L151" s="816"/>
    </row>
    <row r="152" ht="18.75" customHeight="1">
      <c r="A152" s="822"/>
      <c r="B152" s="812"/>
      <c r="C152" s="823"/>
      <c r="D152" s="814"/>
      <c r="E152" s="824"/>
      <c r="F152" s="824"/>
      <c r="G152" s="825"/>
      <c r="H152" s="826"/>
      <c r="I152" s="827"/>
      <c r="J152" s="825"/>
      <c r="K152" s="825"/>
      <c r="L152" s="825"/>
    </row>
    <row r="153" ht="18.75" customHeight="1">
      <c r="A153" s="811"/>
      <c r="B153" s="812"/>
      <c r="C153" s="813"/>
      <c r="D153" s="814"/>
      <c r="E153" s="815"/>
      <c r="F153" s="815"/>
      <c r="G153" s="816"/>
      <c r="H153" s="817"/>
      <c r="I153" s="818"/>
      <c r="J153" s="816"/>
      <c r="K153" s="816"/>
      <c r="L153" s="816"/>
    </row>
    <row r="154" ht="18.75" customHeight="1">
      <c r="A154" s="822"/>
      <c r="B154" s="812"/>
      <c r="C154" s="823"/>
      <c r="D154" s="814"/>
      <c r="E154" s="824"/>
      <c r="F154" s="824"/>
      <c r="G154" s="825"/>
      <c r="H154" s="826"/>
      <c r="I154" s="827"/>
      <c r="J154" s="825"/>
      <c r="K154" s="825"/>
      <c r="L154" s="825"/>
    </row>
    <row r="155" ht="18.75" customHeight="1">
      <c r="A155" s="811"/>
      <c r="B155" s="812"/>
      <c r="C155" s="813"/>
      <c r="D155" s="814"/>
      <c r="E155" s="815"/>
      <c r="F155" s="815"/>
      <c r="G155" s="816"/>
      <c r="H155" s="817"/>
      <c r="I155" s="818"/>
      <c r="J155" s="816"/>
      <c r="K155" s="816"/>
      <c r="L155" s="816"/>
    </row>
    <row r="156" ht="18.75" customHeight="1">
      <c r="A156" s="822"/>
      <c r="B156" s="812"/>
      <c r="C156" s="823"/>
      <c r="D156" s="814"/>
      <c r="E156" s="824"/>
      <c r="F156" s="824"/>
      <c r="G156" s="825"/>
      <c r="H156" s="826"/>
      <c r="I156" s="827"/>
      <c r="J156" s="825"/>
      <c r="K156" s="825"/>
      <c r="L156" s="825"/>
    </row>
    <row r="157" ht="18.75" customHeight="1">
      <c r="A157" s="811"/>
      <c r="B157" s="812"/>
      <c r="C157" s="813"/>
      <c r="D157" s="814"/>
      <c r="E157" s="815"/>
      <c r="F157" s="815"/>
      <c r="G157" s="816"/>
      <c r="H157" s="817"/>
      <c r="I157" s="818"/>
      <c r="J157" s="816"/>
      <c r="K157" s="816"/>
      <c r="L157" s="816"/>
    </row>
    <row r="158" ht="18.75" customHeight="1">
      <c r="A158" s="822"/>
      <c r="B158" s="812"/>
      <c r="C158" s="823"/>
      <c r="D158" s="814"/>
      <c r="E158" s="824"/>
      <c r="F158" s="824"/>
      <c r="G158" s="825"/>
      <c r="H158" s="826"/>
      <c r="I158" s="827"/>
      <c r="J158" s="825"/>
      <c r="K158" s="825"/>
      <c r="L158" s="825"/>
    </row>
    <row r="159" ht="18.75" customHeight="1">
      <c r="A159" s="811"/>
      <c r="B159" s="812"/>
      <c r="C159" s="813"/>
      <c r="D159" s="814"/>
      <c r="E159" s="815"/>
      <c r="F159" s="815"/>
      <c r="G159" s="816"/>
      <c r="H159" s="817"/>
      <c r="I159" s="818"/>
      <c r="J159" s="816"/>
      <c r="K159" s="816"/>
      <c r="L159" s="816"/>
    </row>
    <row r="160" ht="18.75" customHeight="1">
      <c r="A160" s="822"/>
      <c r="B160" s="812"/>
      <c r="C160" s="823"/>
      <c r="D160" s="814"/>
      <c r="E160" s="824"/>
      <c r="F160" s="824"/>
      <c r="G160" s="825"/>
      <c r="H160" s="826"/>
      <c r="I160" s="827"/>
      <c r="J160" s="825"/>
      <c r="K160" s="825"/>
      <c r="L160" s="825"/>
    </row>
    <row r="161" ht="18.75" customHeight="1">
      <c r="A161" s="811"/>
      <c r="B161" s="812"/>
      <c r="C161" s="813"/>
      <c r="D161" s="814"/>
      <c r="E161" s="815"/>
      <c r="F161" s="815"/>
      <c r="G161" s="816"/>
      <c r="H161" s="817"/>
      <c r="I161" s="818"/>
      <c r="J161" s="816"/>
      <c r="K161" s="816"/>
      <c r="L161" s="816"/>
    </row>
    <row r="162" ht="18.75" customHeight="1">
      <c r="A162" s="822"/>
      <c r="B162" s="812"/>
      <c r="C162" s="823"/>
      <c r="D162" s="814"/>
      <c r="E162" s="824"/>
      <c r="F162" s="824"/>
      <c r="G162" s="825"/>
      <c r="H162" s="826"/>
      <c r="I162" s="827"/>
      <c r="J162" s="825"/>
      <c r="K162" s="825"/>
      <c r="L162" s="825"/>
    </row>
    <row r="163" ht="18.75" customHeight="1">
      <c r="A163" s="811"/>
      <c r="B163" s="812"/>
      <c r="C163" s="813"/>
      <c r="D163" s="814"/>
      <c r="E163" s="815"/>
      <c r="F163" s="815"/>
      <c r="G163" s="816"/>
      <c r="H163" s="817"/>
      <c r="I163" s="818"/>
      <c r="J163" s="816"/>
      <c r="K163" s="816"/>
      <c r="L163" s="816"/>
    </row>
    <row r="164" ht="18.75" customHeight="1">
      <c r="A164" s="822"/>
      <c r="B164" s="812"/>
      <c r="C164" s="823"/>
      <c r="D164" s="814"/>
      <c r="E164" s="824"/>
      <c r="F164" s="824"/>
      <c r="G164" s="825"/>
      <c r="H164" s="826"/>
      <c r="I164" s="827"/>
      <c r="J164" s="825"/>
      <c r="K164" s="825"/>
      <c r="L164" s="825"/>
    </row>
    <row r="165" ht="18.75" customHeight="1">
      <c r="A165" s="811"/>
      <c r="B165" s="812"/>
      <c r="C165" s="813"/>
      <c r="D165" s="814"/>
      <c r="E165" s="815"/>
      <c r="F165" s="815"/>
      <c r="G165" s="816"/>
      <c r="H165" s="817"/>
      <c r="I165" s="818"/>
      <c r="J165" s="816"/>
      <c r="K165" s="816"/>
      <c r="L165" s="816"/>
    </row>
    <row r="166" ht="18.75" customHeight="1">
      <c r="A166" s="822"/>
      <c r="B166" s="812"/>
      <c r="C166" s="823"/>
      <c r="D166" s="814"/>
      <c r="E166" s="824"/>
      <c r="F166" s="824"/>
      <c r="G166" s="825"/>
      <c r="H166" s="826"/>
      <c r="I166" s="827"/>
      <c r="J166" s="825"/>
      <c r="K166" s="825"/>
      <c r="L166" s="825"/>
    </row>
    <row r="167" ht="18.75" customHeight="1">
      <c r="A167" s="811"/>
      <c r="B167" s="812"/>
      <c r="C167" s="813"/>
      <c r="D167" s="814"/>
      <c r="E167" s="815"/>
      <c r="F167" s="815"/>
      <c r="G167" s="816"/>
      <c r="H167" s="817"/>
      <c r="I167" s="818"/>
      <c r="J167" s="816"/>
      <c r="K167" s="816"/>
      <c r="L167" s="816"/>
    </row>
    <row r="168" ht="18.75" customHeight="1">
      <c r="A168" s="822"/>
      <c r="B168" s="812"/>
      <c r="C168" s="823"/>
      <c r="D168" s="814"/>
      <c r="E168" s="824"/>
      <c r="F168" s="824"/>
      <c r="G168" s="825"/>
      <c r="H168" s="826"/>
      <c r="I168" s="827"/>
      <c r="J168" s="825"/>
      <c r="K168" s="825"/>
      <c r="L168" s="825"/>
    </row>
    <row r="169" ht="18.75" customHeight="1">
      <c r="A169" s="811"/>
      <c r="B169" s="812"/>
      <c r="C169" s="813"/>
      <c r="D169" s="814"/>
      <c r="E169" s="815"/>
      <c r="F169" s="815"/>
      <c r="G169" s="816"/>
      <c r="H169" s="817"/>
      <c r="I169" s="818"/>
      <c r="J169" s="816"/>
      <c r="K169" s="816"/>
      <c r="L169" s="816"/>
    </row>
    <row r="170" ht="18.75" customHeight="1">
      <c r="A170" s="822"/>
      <c r="B170" s="812"/>
      <c r="C170" s="823"/>
      <c r="D170" s="814"/>
      <c r="E170" s="824"/>
      <c r="F170" s="824"/>
      <c r="G170" s="825"/>
      <c r="H170" s="826"/>
      <c r="I170" s="827"/>
      <c r="J170" s="825"/>
      <c r="K170" s="825"/>
      <c r="L170" s="825"/>
    </row>
    <row r="171" ht="18.75" customHeight="1">
      <c r="A171" s="811"/>
      <c r="B171" s="812"/>
      <c r="C171" s="813"/>
      <c r="D171" s="814"/>
      <c r="E171" s="815"/>
      <c r="F171" s="815"/>
      <c r="G171" s="816"/>
      <c r="H171" s="817"/>
      <c r="I171" s="818"/>
      <c r="J171" s="816"/>
      <c r="K171" s="816"/>
      <c r="L171" s="816"/>
    </row>
    <row r="172" ht="18.75" customHeight="1">
      <c r="A172" s="822"/>
      <c r="B172" s="812"/>
      <c r="C172" s="823"/>
      <c r="D172" s="814"/>
      <c r="E172" s="824"/>
      <c r="F172" s="824"/>
      <c r="G172" s="825"/>
      <c r="H172" s="826"/>
      <c r="I172" s="827"/>
      <c r="J172" s="825"/>
      <c r="K172" s="825"/>
      <c r="L172" s="825"/>
    </row>
    <row r="173" ht="18.75" customHeight="1">
      <c r="A173" s="811"/>
      <c r="B173" s="812"/>
      <c r="C173" s="813"/>
      <c r="D173" s="814"/>
      <c r="E173" s="815"/>
      <c r="F173" s="815"/>
      <c r="G173" s="816"/>
      <c r="H173" s="817"/>
      <c r="I173" s="818"/>
      <c r="J173" s="816"/>
      <c r="K173" s="816"/>
      <c r="L173" s="816"/>
    </row>
    <row r="174" ht="18.75" customHeight="1">
      <c r="A174" s="822"/>
      <c r="B174" s="812"/>
      <c r="C174" s="823"/>
      <c r="D174" s="814"/>
      <c r="E174" s="824"/>
      <c r="F174" s="824"/>
      <c r="G174" s="825"/>
      <c r="H174" s="826"/>
      <c r="I174" s="827"/>
      <c r="J174" s="825"/>
      <c r="K174" s="825"/>
      <c r="L174" s="825"/>
    </row>
    <row r="175" ht="18.75" customHeight="1">
      <c r="A175" s="811"/>
      <c r="B175" s="812"/>
      <c r="C175" s="813"/>
      <c r="D175" s="814"/>
      <c r="E175" s="815"/>
      <c r="F175" s="815"/>
      <c r="G175" s="816"/>
      <c r="H175" s="817"/>
      <c r="I175" s="818"/>
      <c r="J175" s="816"/>
      <c r="K175" s="816"/>
      <c r="L175" s="816"/>
    </row>
    <row r="176" ht="18.75" customHeight="1">
      <c r="A176" s="822"/>
      <c r="B176" s="812"/>
      <c r="C176" s="823"/>
      <c r="D176" s="814"/>
      <c r="E176" s="824"/>
      <c r="F176" s="824"/>
      <c r="G176" s="825"/>
      <c r="H176" s="826"/>
      <c r="I176" s="827"/>
      <c r="J176" s="825"/>
      <c r="K176" s="825"/>
      <c r="L176" s="825"/>
    </row>
    <row r="177" ht="18.75" customHeight="1">
      <c r="A177" s="811"/>
      <c r="B177" s="812"/>
      <c r="C177" s="813"/>
      <c r="D177" s="814"/>
      <c r="E177" s="815"/>
      <c r="F177" s="815"/>
      <c r="G177" s="816"/>
      <c r="H177" s="817"/>
      <c r="I177" s="818"/>
      <c r="J177" s="816"/>
      <c r="K177" s="816"/>
      <c r="L177" s="816"/>
    </row>
    <row r="178" ht="18.75" customHeight="1">
      <c r="A178" s="822"/>
      <c r="B178" s="812"/>
      <c r="C178" s="823"/>
      <c r="D178" s="814"/>
      <c r="E178" s="824"/>
      <c r="F178" s="824"/>
      <c r="G178" s="825"/>
      <c r="H178" s="826"/>
      <c r="I178" s="827"/>
      <c r="J178" s="825"/>
      <c r="K178" s="825"/>
      <c r="L178" s="825"/>
    </row>
    <row r="179" ht="18.75" customHeight="1">
      <c r="A179" s="811"/>
      <c r="B179" s="812"/>
      <c r="C179" s="813"/>
      <c r="D179" s="814"/>
      <c r="E179" s="815"/>
      <c r="F179" s="815"/>
      <c r="G179" s="816"/>
      <c r="H179" s="817"/>
      <c r="I179" s="818"/>
      <c r="J179" s="816"/>
      <c r="K179" s="816"/>
      <c r="L179" s="816"/>
    </row>
    <row r="180" ht="18.75" customHeight="1">
      <c r="A180" s="822"/>
      <c r="B180" s="812"/>
      <c r="C180" s="823"/>
      <c r="D180" s="814"/>
      <c r="E180" s="824"/>
      <c r="F180" s="824"/>
      <c r="G180" s="825"/>
      <c r="H180" s="826"/>
      <c r="I180" s="827"/>
      <c r="J180" s="825"/>
      <c r="K180" s="825"/>
      <c r="L180" s="825"/>
    </row>
    <row r="181" ht="18.75" customHeight="1">
      <c r="A181" s="811"/>
      <c r="B181" s="812"/>
      <c r="C181" s="813"/>
      <c r="D181" s="814"/>
      <c r="E181" s="815"/>
      <c r="F181" s="815"/>
      <c r="G181" s="816"/>
      <c r="H181" s="817"/>
      <c r="I181" s="818"/>
      <c r="J181" s="816"/>
      <c r="K181" s="816"/>
      <c r="L181" s="816"/>
    </row>
    <row r="182" ht="18.75" customHeight="1">
      <c r="A182" s="822"/>
      <c r="B182" s="812"/>
      <c r="C182" s="823"/>
      <c r="D182" s="814"/>
      <c r="E182" s="824"/>
      <c r="F182" s="824"/>
      <c r="G182" s="825"/>
      <c r="H182" s="826"/>
      <c r="I182" s="827"/>
      <c r="J182" s="825"/>
      <c r="K182" s="825"/>
      <c r="L182" s="825"/>
    </row>
    <row r="183" ht="18.75" customHeight="1">
      <c r="A183" s="811"/>
      <c r="B183" s="812"/>
      <c r="C183" s="813"/>
      <c r="D183" s="814"/>
      <c r="E183" s="815"/>
      <c r="F183" s="815"/>
      <c r="G183" s="816"/>
      <c r="H183" s="817"/>
      <c r="I183" s="818"/>
      <c r="J183" s="816"/>
      <c r="K183" s="816"/>
      <c r="L183" s="816"/>
    </row>
    <row r="184" ht="18.75" customHeight="1">
      <c r="A184" s="822"/>
      <c r="B184" s="812"/>
      <c r="C184" s="823"/>
      <c r="D184" s="814"/>
      <c r="E184" s="824"/>
      <c r="F184" s="824"/>
      <c r="G184" s="825"/>
      <c r="H184" s="826"/>
      <c r="I184" s="827"/>
      <c r="J184" s="825"/>
      <c r="K184" s="825"/>
      <c r="L184" s="825"/>
    </row>
    <row r="185" ht="18.75" customHeight="1">
      <c r="A185" s="811"/>
      <c r="B185" s="812"/>
      <c r="C185" s="813"/>
      <c r="D185" s="814"/>
      <c r="E185" s="815"/>
      <c r="F185" s="815"/>
      <c r="G185" s="816"/>
      <c r="H185" s="817"/>
      <c r="I185" s="818"/>
      <c r="J185" s="816"/>
      <c r="K185" s="816"/>
      <c r="L185" s="816"/>
    </row>
    <row r="186" ht="18.75" customHeight="1">
      <c r="A186" s="822"/>
      <c r="B186" s="812"/>
      <c r="C186" s="823"/>
      <c r="D186" s="814"/>
      <c r="E186" s="824"/>
      <c r="F186" s="824"/>
      <c r="G186" s="825"/>
      <c r="H186" s="826"/>
      <c r="I186" s="827"/>
      <c r="J186" s="825"/>
      <c r="K186" s="825"/>
      <c r="L186" s="825"/>
    </row>
    <row r="187" ht="18.75" customHeight="1">
      <c r="A187" s="811"/>
      <c r="B187" s="812"/>
      <c r="C187" s="813"/>
      <c r="D187" s="814"/>
      <c r="E187" s="815"/>
      <c r="F187" s="815"/>
      <c r="G187" s="816"/>
      <c r="H187" s="817"/>
      <c r="I187" s="818"/>
      <c r="J187" s="816"/>
      <c r="K187" s="816"/>
      <c r="L187" s="816"/>
    </row>
    <row r="188" ht="18.75" customHeight="1">
      <c r="A188" s="822"/>
      <c r="B188" s="812"/>
      <c r="C188" s="823"/>
      <c r="D188" s="814"/>
      <c r="E188" s="824"/>
      <c r="F188" s="824"/>
      <c r="G188" s="825"/>
      <c r="H188" s="826"/>
      <c r="I188" s="827"/>
      <c r="J188" s="825"/>
      <c r="K188" s="825"/>
      <c r="L188" s="825"/>
    </row>
    <row r="189" ht="18.75" customHeight="1">
      <c r="A189" s="811"/>
      <c r="B189" s="812"/>
      <c r="C189" s="813"/>
      <c r="D189" s="814"/>
      <c r="E189" s="815"/>
      <c r="F189" s="815"/>
      <c r="G189" s="816"/>
      <c r="H189" s="817"/>
      <c r="I189" s="818"/>
      <c r="J189" s="816"/>
      <c r="K189" s="816"/>
      <c r="L189" s="816"/>
    </row>
    <row r="190" ht="18.75" customHeight="1">
      <c r="A190" s="822"/>
      <c r="B190" s="812"/>
      <c r="C190" s="823"/>
      <c r="D190" s="814"/>
      <c r="E190" s="824"/>
      <c r="F190" s="824"/>
      <c r="G190" s="825"/>
      <c r="H190" s="826"/>
      <c r="I190" s="827"/>
      <c r="J190" s="825"/>
      <c r="K190" s="825"/>
      <c r="L190" s="825"/>
    </row>
    <row r="191" ht="18.75" customHeight="1">
      <c r="A191" s="811"/>
      <c r="B191" s="812"/>
      <c r="C191" s="813"/>
      <c r="D191" s="814"/>
      <c r="E191" s="815"/>
      <c r="F191" s="815"/>
      <c r="G191" s="816"/>
      <c r="H191" s="817"/>
      <c r="I191" s="818"/>
      <c r="J191" s="816"/>
      <c r="K191" s="816"/>
      <c r="L191" s="816"/>
    </row>
    <row r="192" ht="18.75" customHeight="1">
      <c r="A192" s="822"/>
      <c r="B192" s="812"/>
      <c r="C192" s="823"/>
      <c r="D192" s="814"/>
      <c r="E192" s="824"/>
      <c r="F192" s="824"/>
      <c r="G192" s="825"/>
      <c r="H192" s="826"/>
      <c r="I192" s="827"/>
      <c r="J192" s="825"/>
      <c r="K192" s="825"/>
      <c r="L192" s="825"/>
    </row>
    <row r="193" ht="18.75" customHeight="1">
      <c r="A193" s="811"/>
      <c r="B193" s="812"/>
      <c r="C193" s="813"/>
      <c r="D193" s="814"/>
      <c r="E193" s="815"/>
      <c r="F193" s="815"/>
      <c r="G193" s="816"/>
      <c r="H193" s="817"/>
      <c r="I193" s="818"/>
      <c r="J193" s="816"/>
      <c r="K193" s="816"/>
      <c r="L193" s="816"/>
    </row>
    <row r="194" ht="18.75" customHeight="1">
      <c r="A194" s="822"/>
      <c r="B194" s="812"/>
      <c r="C194" s="823"/>
      <c r="D194" s="814"/>
      <c r="E194" s="824"/>
      <c r="F194" s="824"/>
      <c r="G194" s="825"/>
      <c r="H194" s="826"/>
      <c r="I194" s="827"/>
      <c r="J194" s="825"/>
      <c r="K194" s="825"/>
      <c r="L194" s="825"/>
    </row>
    <row r="195" ht="18.75" customHeight="1">
      <c r="A195" s="811"/>
      <c r="B195" s="812"/>
      <c r="C195" s="813"/>
      <c r="D195" s="814"/>
      <c r="E195" s="815"/>
      <c r="F195" s="815"/>
      <c r="G195" s="816"/>
      <c r="H195" s="817"/>
      <c r="I195" s="818"/>
      <c r="J195" s="816"/>
      <c r="K195" s="816"/>
      <c r="L195" s="816"/>
    </row>
    <row r="196" ht="18.75" customHeight="1">
      <c r="A196" s="822"/>
      <c r="B196" s="812"/>
      <c r="C196" s="823"/>
      <c r="D196" s="814"/>
      <c r="E196" s="824"/>
      <c r="F196" s="824"/>
      <c r="G196" s="825"/>
      <c r="H196" s="826"/>
      <c r="I196" s="827"/>
      <c r="J196" s="825"/>
      <c r="K196" s="825"/>
      <c r="L196" s="825"/>
    </row>
    <row r="197" ht="18.75" customHeight="1">
      <c r="A197" s="811"/>
      <c r="B197" s="812"/>
      <c r="C197" s="813"/>
      <c r="D197" s="814"/>
      <c r="E197" s="815"/>
      <c r="F197" s="815"/>
      <c r="G197" s="816"/>
      <c r="H197" s="817"/>
      <c r="I197" s="818"/>
      <c r="J197" s="816"/>
      <c r="K197" s="816"/>
      <c r="L197" s="816"/>
    </row>
    <row r="198" ht="18.75" customHeight="1">
      <c r="A198" s="822"/>
      <c r="B198" s="812"/>
      <c r="C198" s="823"/>
      <c r="D198" s="814"/>
      <c r="E198" s="824"/>
      <c r="F198" s="824"/>
      <c r="G198" s="825"/>
      <c r="H198" s="826"/>
      <c r="I198" s="827"/>
      <c r="J198" s="825"/>
      <c r="K198" s="825"/>
      <c r="L198" s="825"/>
    </row>
    <row r="199" ht="18.75" customHeight="1">
      <c r="A199" s="811"/>
      <c r="B199" s="812"/>
      <c r="C199" s="813"/>
      <c r="D199" s="814"/>
      <c r="E199" s="815"/>
      <c r="F199" s="815"/>
      <c r="G199" s="816"/>
      <c r="H199" s="817"/>
      <c r="I199" s="818"/>
      <c r="J199" s="816"/>
      <c r="K199" s="816"/>
      <c r="L199" s="816"/>
    </row>
    <row r="200" ht="18.75" customHeight="1">
      <c r="A200" s="822"/>
      <c r="B200" s="812"/>
      <c r="C200" s="823"/>
      <c r="D200" s="814"/>
      <c r="E200" s="824"/>
      <c r="F200" s="824"/>
      <c r="G200" s="825"/>
      <c r="H200" s="826"/>
      <c r="I200" s="827"/>
      <c r="J200" s="825"/>
      <c r="K200" s="825"/>
      <c r="L200" s="825"/>
    </row>
    <row r="201" ht="18.75" customHeight="1">
      <c r="A201" s="811"/>
      <c r="B201" s="812"/>
      <c r="C201" s="813"/>
      <c r="D201" s="814"/>
      <c r="E201" s="815"/>
      <c r="F201" s="815"/>
      <c r="G201" s="816"/>
      <c r="H201" s="817"/>
      <c r="I201" s="818"/>
      <c r="J201" s="816"/>
      <c r="K201" s="816"/>
      <c r="L201" s="816"/>
    </row>
    <row r="202" ht="18.75" customHeight="1">
      <c r="A202" s="822"/>
      <c r="B202" s="812"/>
      <c r="C202" s="823"/>
      <c r="D202" s="814"/>
      <c r="E202" s="824"/>
      <c r="F202" s="824"/>
      <c r="G202" s="825"/>
      <c r="H202" s="826"/>
      <c r="I202" s="827"/>
      <c r="J202" s="825"/>
      <c r="K202" s="825"/>
      <c r="L202" s="825"/>
    </row>
    <row r="203" ht="18.75" customHeight="1">
      <c r="A203" s="811"/>
      <c r="B203" s="812"/>
      <c r="C203" s="813"/>
      <c r="D203" s="814"/>
      <c r="E203" s="815"/>
      <c r="F203" s="815"/>
      <c r="G203" s="816"/>
      <c r="H203" s="817"/>
      <c r="I203" s="818"/>
      <c r="J203" s="816"/>
      <c r="K203" s="816"/>
      <c r="L203" s="816"/>
    </row>
    <row r="204" ht="18.75" customHeight="1">
      <c r="A204" s="822"/>
      <c r="B204" s="812"/>
      <c r="C204" s="823"/>
      <c r="D204" s="814"/>
      <c r="E204" s="824"/>
      <c r="F204" s="824"/>
      <c r="G204" s="825"/>
      <c r="H204" s="826"/>
      <c r="I204" s="827"/>
      <c r="J204" s="825"/>
      <c r="K204" s="825"/>
      <c r="L204" s="825"/>
    </row>
    <row r="205" ht="18.75" customHeight="1">
      <c r="A205" s="811"/>
      <c r="B205" s="812"/>
      <c r="C205" s="813"/>
      <c r="D205" s="814"/>
      <c r="E205" s="815"/>
      <c r="F205" s="815"/>
      <c r="G205" s="816"/>
      <c r="H205" s="817"/>
      <c r="I205" s="818"/>
      <c r="J205" s="816"/>
      <c r="K205" s="816"/>
      <c r="L205" s="816"/>
    </row>
    <row r="206" ht="18.75" customHeight="1">
      <c r="A206" s="822"/>
      <c r="B206" s="812"/>
      <c r="C206" s="823"/>
      <c r="D206" s="814"/>
      <c r="E206" s="824"/>
      <c r="F206" s="824"/>
      <c r="G206" s="825"/>
      <c r="H206" s="826"/>
      <c r="I206" s="827"/>
      <c r="J206" s="825"/>
      <c r="K206" s="825"/>
      <c r="L206" s="825"/>
    </row>
    <row r="207" ht="18.75" customHeight="1">
      <c r="A207" s="811"/>
      <c r="B207" s="812"/>
      <c r="C207" s="813"/>
      <c r="D207" s="814"/>
      <c r="E207" s="815"/>
      <c r="F207" s="815"/>
      <c r="G207" s="816"/>
      <c r="H207" s="817"/>
      <c r="I207" s="818"/>
      <c r="J207" s="816"/>
      <c r="K207" s="816"/>
      <c r="L207" s="816"/>
    </row>
    <row r="208" ht="18.75" customHeight="1">
      <c r="A208" s="822"/>
      <c r="B208" s="812"/>
      <c r="C208" s="823"/>
      <c r="D208" s="814"/>
      <c r="E208" s="824"/>
      <c r="F208" s="824"/>
      <c r="G208" s="825"/>
      <c r="H208" s="826"/>
      <c r="I208" s="827"/>
      <c r="J208" s="825"/>
      <c r="K208" s="825"/>
      <c r="L208" s="825"/>
    </row>
    <row r="209" ht="18.75" customHeight="1">
      <c r="A209" s="811"/>
      <c r="B209" s="812"/>
      <c r="C209" s="813"/>
      <c r="D209" s="814"/>
      <c r="E209" s="815"/>
      <c r="F209" s="815"/>
      <c r="G209" s="816"/>
      <c r="H209" s="817"/>
      <c r="I209" s="818"/>
      <c r="J209" s="816"/>
      <c r="K209" s="816"/>
      <c r="L209" s="816"/>
    </row>
    <row r="210" ht="18.75" customHeight="1">
      <c r="A210" s="822"/>
      <c r="B210" s="812"/>
      <c r="C210" s="823"/>
      <c r="D210" s="814"/>
      <c r="E210" s="824"/>
      <c r="F210" s="824"/>
      <c r="G210" s="825"/>
      <c r="H210" s="826"/>
      <c r="I210" s="827"/>
      <c r="J210" s="825"/>
      <c r="K210" s="825"/>
      <c r="L210" s="825"/>
    </row>
    <row r="211" ht="18.75" customHeight="1">
      <c r="A211" s="811"/>
      <c r="B211" s="812"/>
      <c r="C211" s="813"/>
      <c r="D211" s="814"/>
      <c r="E211" s="815"/>
      <c r="F211" s="815"/>
      <c r="G211" s="816"/>
      <c r="H211" s="817"/>
      <c r="I211" s="818"/>
      <c r="J211" s="816"/>
      <c r="K211" s="816"/>
      <c r="L211" s="816"/>
    </row>
    <row r="212" ht="18.75" customHeight="1">
      <c r="A212" s="822"/>
      <c r="B212" s="812"/>
      <c r="C212" s="823"/>
      <c r="D212" s="814"/>
      <c r="E212" s="824"/>
      <c r="F212" s="824"/>
      <c r="G212" s="825"/>
      <c r="H212" s="826"/>
      <c r="I212" s="827"/>
      <c r="J212" s="825"/>
      <c r="K212" s="825"/>
      <c r="L212" s="825"/>
    </row>
    <row r="213" ht="18.75" customHeight="1">
      <c r="A213" s="811"/>
      <c r="B213" s="812"/>
      <c r="C213" s="813"/>
      <c r="D213" s="814"/>
      <c r="E213" s="815"/>
      <c r="F213" s="815"/>
      <c r="G213" s="816"/>
      <c r="H213" s="817"/>
      <c r="I213" s="818"/>
      <c r="J213" s="816"/>
      <c r="K213" s="816"/>
      <c r="L213" s="816"/>
    </row>
    <row r="214" ht="18.75" customHeight="1">
      <c r="A214" s="822"/>
      <c r="B214" s="812"/>
      <c r="C214" s="823"/>
      <c r="D214" s="814"/>
      <c r="E214" s="824"/>
      <c r="F214" s="824"/>
      <c r="G214" s="825"/>
      <c r="H214" s="826"/>
      <c r="I214" s="827"/>
      <c r="J214" s="825"/>
      <c r="K214" s="825"/>
      <c r="L214" s="825"/>
    </row>
    <row r="215" ht="18.75" customHeight="1">
      <c r="A215" s="811"/>
      <c r="B215" s="812"/>
      <c r="C215" s="813"/>
      <c r="D215" s="814"/>
      <c r="E215" s="815"/>
      <c r="F215" s="815"/>
      <c r="G215" s="816"/>
      <c r="H215" s="817"/>
      <c r="I215" s="818"/>
      <c r="J215" s="816"/>
      <c r="K215" s="816"/>
      <c r="L215" s="816"/>
    </row>
    <row r="216" ht="18.75" customHeight="1">
      <c r="A216" s="822"/>
      <c r="B216" s="812"/>
      <c r="C216" s="823"/>
      <c r="D216" s="814"/>
      <c r="E216" s="824"/>
      <c r="F216" s="824"/>
      <c r="G216" s="825"/>
      <c r="H216" s="826"/>
      <c r="I216" s="827"/>
      <c r="J216" s="825"/>
      <c r="K216" s="825"/>
      <c r="L216" s="825"/>
    </row>
    <row r="217" ht="18.75" customHeight="1">
      <c r="A217" s="811"/>
      <c r="B217" s="812"/>
      <c r="C217" s="813"/>
      <c r="D217" s="814"/>
      <c r="E217" s="815"/>
      <c r="F217" s="815"/>
      <c r="G217" s="816"/>
      <c r="H217" s="817"/>
      <c r="I217" s="818"/>
      <c r="J217" s="816"/>
      <c r="K217" s="816"/>
      <c r="L217" s="816"/>
    </row>
    <row r="218" ht="18.75" customHeight="1">
      <c r="A218" s="822"/>
      <c r="B218" s="812"/>
      <c r="C218" s="823"/>
      <c r="D218" s="814"/>
      <c r="E218" s="824"/>
      <c r="F218" s="824"/>
      <c r="G218" s="825"/>
      <c r="H218" s="826"/>
      <c r="I218" s="827"/>
      <c r="J218" s="825"/>
      <c r="K218" s="825"/>
      <c r="L218" s="825"/>
    </row>
    <row r="219" ht="18.75" customHeight="1">
      <c r="A219" s="811"/>
      <c r="B219" s="812"/>
      <c r="C219" s="813"/>
      <c r="D219" s="814"/>
      <c r="E219" s="815"/>
      <c r="F219" s="815"/>
      <c r="G219" s="816"/>
      <c r="H219" s="817"/>
      <c r="I219" s="818"/>
      <c r="J219" s="816"/>
      <c r="K219" s="816"/>
      <c r="L219" s="816"/>
    </row>
    <row r="220" ht="18.75" customHeight="1">
      <c r="A220" s="822"/>
      <c r="B220" s="812"/>
      <c r="C220" s="823"/>
      <c r="D220" s="814"/>
      <c r="E220" s="824"/>
      <c r="F220" s="824"/>
      <c r="G220" s="825"/>
      <c r="H220" s="826"/>
      <c r="I220" s="827"/>
      <c r="J220" s="825"/>
      <c r="K220" s="825"/>
      <c r="L220" s="825"/>
    </row>
    <row r="221" ht="18.75" customHeight="1">
      <c r="A221" s="811"/>
      <c r="B221" s="812"/>
      <c r="C221" s="813"/>
      <c r="D221" s="814"/>
      <c r="E221" s="815"/>
      <c r="F221" s="815"/>
      <c r="G221" s="816"/>
      <c r="H221" s="817"/>
      <c r="I221" s="818"/>
      <c r="J221" s="816"/>
      <c r="K221" s="816"/>
      <c r="L221" s="816"/>
    </row>
    <row r="222" ht="18.75" customHeight="1">
      <c r="A222" s="822"/>
      <c r="B222" s="812"/>
      <c r="C222" s="823"/>
      <c r="D222" s="814"/>
      <c r="E222" s="824"/>
      <c r="F222" s="824"/>
      <c r="G222" s="825"/>
      <c r="H222" s="826"/>
      <c r="I222" s="827"/>
      <c r="J222" s="825"/>
      <c r="K222" s="825"/>
      <c r="L222" s="825"/>
    </row>
    <row r="223" ht="18.75" customHeight="1">
      <c r="A223" s="811"/>
      <c r="B223" s="812"/>
      <c r="C223" s="813"/>
      <c r="D223" s="814"/>
      <c r="E223" s="815"/>
      <c r="F223" s="815"/>
      <c r="G223" s="816"/>
      <c r="H223" s="817"/>
      <c r="I223" s="818"/>
      <c r="J223" s="816"/>
      <c r="K223" s="816"/>
      <c r="L223" s="816"/>
    </row>
    <row r="224" ht="18.75" customHeight="1">
      <c r="A224" s="822"/>
      <c r="B224" s="812"/>
      <c r="C224" s="823"/>
      <c r="D224" s="814"/>
      <c r="E224" s="824"/>
      <c r="F224" s="824"/>
      <c r="G224" s="825"/>
      <c r="H224" s="826"/>
      <c r="I224" s="827"/>
      <c r="J224" s="825"/>
      <c r="K224" s="825"/>
      <c r="L224" s="825"/>
    </row>
    <row r="225" ht="18.75" customHeight="1">
      <c r="A225" s="811"/>
      <c r="B225" s="812"/>
      <c r="C225" s="813"/>
      <c r="D225" s="814"/>
      <c r="E225" s="815"/>
      <c r="F225" s="815"/>
      <c r="G225" s="816"/>
      <c r="H225" s="817"/>
      <c r="I225" s="818"/>
      <c r="J225" s="816"/>
      <c r="K225" s="816"/>
      <c r="L225" s="816"/>
    </row>
    <row r="226" ht="18.75" customHeight="1">
      <c r="A226" s="822"/>
      <c r="B226" s="812"/>
      <c r="C226" s="823"/>
      <c r="D226" s="814"/>
      <c r="E226" s="824"/>
      <c r="F226" s="824"/>
      <c r="G226" s="825"/>
      <c r="H226" s="826"/>
      <c r="I226" s="827"/>
      <c r="J226" s="825"/>
      <c r="K226" s="825"/>
      <c r="L226" s="825"/>
    </row>
    <row r="227" ht="18.75" customHeight="1">
      <c r="A227" s="811"/>
      <c r="B227" s="812"/>
      <c r="C227" s="813"/>
      <c r="D227" s="814"/>
      <c r="E227" s="815"/>
      <c r="F227" s="815"/>
      <c r="G227" s="816"/>
      <c r="H227" s="817"/>
      <c r="I227" s="818"/>
      <c r="J227" s="816"/>
      <c r="K227" s="816"/>
      <c r="L227" s="816"/>
    </row>
    <row r="228" ht="18.75" customHeight="1">
      <c r="A228" s="822"/>
      <c r="B228" s="812"/>
      <c r="C228" s="823"/>
      <c r="D228" s="814"/>
      <c r="E228" s="824"/>
      <c r="F228" s="824"/>
      <c r="G228" s="825"/>
      <c r="H228" s="826"/>
      <c r="I228" s="827"/>
      <c r="J228" s="825"/>
      <c r="K228" s="825"/>
      <c r="L228" s="825"/>
    </row>
    <row r="229" ht="18.75" customHeight="1">
      <c r="A229" s="811"/>
      <c r="B229" s="812"/>
      <c r="C229" s="813"/>
      <c r="D229" s="814"/>
      <c r="E229" s="815"/>
      <c r="F229" s="815"/>
      <c r="G229" s="816"/>
      <c r="H229" s="817"/>
      <c r="I229" s="818"/>
      <c r="J229" s="816"/>
      <c r="K229" s="816"/>
      <c r="L229" s="816"/>
    </row>
    <row r="230" ht="18.75" customHeight="1">
      <c r="A230" s="822"/>
      <c r="B230" s="812"/>
      <c r="C230" s="823"/>
      <c r="D230" s="814"/>
      <c r="E230" s="824"/>
      <c r="F230" s="824"/>
      <c r="G230" s="825"/>
      <c r="H230" s="826"/>
      <c r="I230" s="827"/>
      <c r="J230" s="825"/>
      <c r="K230" s="825"/>
      <c r="L230" s="825"/>
    </row>
    <row r="231" ht="18.75" customHeight="1">
      <c r="A231" s="811"/>
      <c r="B231" s="812"/>
      <c r="C231" s="813"/>
      <c r="D231" s="814"/>
      <c r="E231" s="815"/>
      <c r="F231" s="815"/>
      <c r="G231" s="816"/>
      <c r="H231" s="817"/>
      <c r="I231" s="818"/>
      <c r="J231" s="816"/>
      <c r="K231" s="816"/>
      <c r="L231" s="816"/>
    </row>
    <row r="232" ht="18.75" customHeight="1">
      <c r="A232" s="822"/>
      <c r="B232" s="812"/>
      <c r="C232" s="823"/>
      <c r="D232" s="814"/>
      <c r="E232" s="824"/>
      <c r="F232" s="824"/>
      <c r="G232" s="825"/>
      <c r="H232" s="826"/>
      <c r="I232" s="827"/>
      <c r="J232" s="825"/>
      <c r="K232" s="825"/>
      <c r="L232" s="825"/>
    </row>
    <row r="233" ht="18.75" customHeight="1">
      <c r="A233" s="811"/>
      <c r="B233" s="812"/>
      <c r="C233" s="813"/>
      <c r="D233" s="814"/>
      <c r="E233" s="815"/>
      <c r="F233" s="815"/>
      <c r="G233" s="816"/>
      <c r="H233" s="817"/>
      <c r="I233" s="818"/>
      <c r="J233" s="816"/>
      <c r="K233" s="816"/>
      <c r="L233" s="816"/>
    </row>
    <row r="234" ht="18.75" customHeight="1">
      <c r="A234" s="822"/>
      <c r="B234" s="812"/>
      <c r="C234" s="823"/>
      <c r="D234" s="814"/>
      <c r="E234" s="824"/>
      <c r="F234" s="824"/>
      <c r="G234" s="825"/>
      <c r="H234" s="826"/>
      <c r="I234" s="827"/>
      <c r="J234" s="825"/>
      <c r="K234" s="825"/>
      <c r="L234" s="825"/>
    </row>
    <row r="235" ht="18.75" customHeight="1">
      <c r="A235" s="811"/>
      <c r="B235" s="812"/>
      <c r="C235" s="813"/>
      <c r="D235" s="814"/>
      <c r="E235" s="815"/>
      <c r="F235" s="815"/>
      <c r="G235" s="816"/>
      <c r="H235" s="817"/>
      <c r="I235" s="818"/>
      <c r="J235" s="816"/>
      <c r="K235" s="816"/>
      <c r="L235" s="816"/>
    </row>
    <row r="236" ht="18.75" customHeight="1">
      <c r="A236" s="822"/>
      <c r="B236" s="812"/>
      <c r="C236" s="823"/>
      <c r="D236" s="814"/>
      <c r="E236" s="824"/>
      <c r="F236" s="824"/>
      <c r="G236" s="825"/>
      <c r="H236" s="826"/>
      <c r="I236" s="827"/>
      <c r="J236" s="825"/>
      <c r="K236" s="825"/>
      <c r="L236" s="825"/>
    </row>
    <row r="237" ht="18.75" customHeight="1">
      <c r="A237" s="811"/>
      <c r="B237" s="812"/>
      <c r="C237" s="813"/>
      <c r="D237" s="814"/>
      <c r="E237" s="815"/>
      <c r="F237" s="815"/>
      <c r="G237" s="816"/>
      <c r="H237" s="817"/>
      <c r="I237" s="818"/>
      <c r="J237" s="816"/>
      <c r="K237" s="816"/>
      <c r="L237" s="816"/>
    </row>
    <row r="238" ht="18.75" customHeight="1">
      <c r="A238" s="822"/>
      <c r="B238" s="812"/>
      <c r="C238" s="823"/>
      <c r="D238" s="814"/>
      <c r="E238" s="824"/>
      <c r="F238" s="824"/>
      <c r="G238" s="825"/>
      <c r="H238" s="826"/>
      <c r="I238" s="827"/>
      <c r="J238" s="825"/>
      <c r="K238" s="825"/>
      <c r="L238" s="825"/>
    </row>
    <row r="239" ht="18.75" customHeight="1">
      <c r="A239" s="811"/>
      <c r="B239" s="812"/>
      <c r="C239" s="813"/>
      <c r="D239" s="814"/>
      <c r="E239" s="815"/>
      <c r="F239" s="815"/>
      <c r="G239" s="816"/>
      <c r="H239" s="817"/>
      <c r="I239" s="818"/>
      <c r="J239" s="816"/>
      <c r="K239" s="816"/>
      <c r="L239" s="816"/>
    </row>
    <row r="240" ht="18.75" customHeight="1">
      <c r="A240" s="822"/>
      <c r="B240" s="812"/>
      <c r="C240" s="823"/>
      <c r="D240" s="814"/>
      <c r="E240" s="824"/>
      <c r="F240" s="824"/>
      <c r="G240" s="825"/>
      <c r="H240" s="826"/>
      <c r="I240" s="827"/>
      <c r="J240" s="825"/>
      <c r="K240" s="825"/>
      <c r="L240" s="825"/>
    </row>
    <row r="241" ht="18.75" customHeight="1">
      <c r="A241" s="811"/>
      <c r="B241" s="812"/>
      <c r="C241" s="813"/>
      <c r="D241" s="814"/>
      <c r="E241" s="815"/>
      <c r="F241" s="815"/>
      <c r="G241" s="816"/>
      <c r="H241" s="817"/>
      <c r="I241" s="818"/>
      <c r="J241" s="816"/>
      <c r="K241" s="816"/>
      <c r="L241" s="816"/>
    </row>
    <row r="242" ht="18.75" customHeight="1">
      <c r="A242" s="822"/>
      <c r="B242" s="812"/>
      <c r="C242" s="823"/>
      <c r="D242" s="814"/>
      <c r="E242" s="824"/>
      <c r="F242" s="824"/>
      <c r="G242" s="825"/>
      <c r="H242" s="826"/>
      <c r="I242" s="827"/>
      <c r="J242" s="825"/>
      <c r="K242" s="825"/>
      <c r="L242" s="825"/>
    </row>
    <row r="243" ht="18.75" customHeight="1">
      <c r="A243" s="811"/>
      <c r="B243" s="812"/>
      <c r="C243" s="813"/>
      <c r="D243" s="814"/>
      <c r="E243" s="815"/>
      <c r="F243" s="815"/>
      <c r="G243" s="816"/>
      <c r="H243" s="817"/>
      <c r="I243" s="818"/>
      <c r="J243" s="816"/>
      <c r="K243" s="816"/>
      <c r="L243" s="816"/>
    </row>
    <row r="244" ht="18.75" customHeight="1">
      <c r="A244" s="822"/>
      <c r="B244" s="812"/>
      <c r="C244" s="823"/>
      <c r="D244" s="814"/>
      <c r="E244" s="824"/>
      <c r="F244" s="824"/>
      <c r="G244" s="825"/>
      <c r="H244" s="826"/>
      <c r="I244" s="827"/>
      <c r="J244" s="825"/>
      <c r="K244" s="825"/>
      <c r="L244" s="825"/>
    </row>
    <row r="245" ht="18.75" customHeight="1">
      <c r="A245" s="811"/>
      <c r="B245" s="812"/>
      <c r="C245" s="813"/>
      <c r="D245" s="814"/>
      <c r="E245" s="815"/>
      <c r="F245" s="815"/>
      <c r="G245" s="816"/>
      <c r="H245" s="817"/>
      <c r="I245" s="818"/>
      <c r="J245" s="816"/>
      <c r="K245" s="816"/>
      <c r="L245" s="816"/>
    </row>
    <row r="246" ht="18.75" customHeight="1">
      <c r="A246" s="822"/>
      <c r="B246" s="812"/>
      <c r="C246" s="823"/>
      <c r="D246" s="814"/>
      <c r="E246" s="824"/>
      <c r="F246" s="824"/>
      <c r="G246" s="825"/>
      <c r="H246" s="826"/>
      <c r="I246" s="827"/>
      <c r="J246" s="825"/>
      <c r="K246" s="825"/>
      <c r="L246" s="825"/>
    </row>
    <row r="247" ht="18.75" customHeight="1">
      <c r="A247" s="811"/>
      <c r="B247" s="812"/>
      <c r="C247" s="813"/>
      <c r="D247" s="814"/>
      <c r="E247" s="815"/>
      <c r="F247" s="815"/>
      <c r="G247" s="816"/>
      <c r="H247" s="817"/>
      <c r="I247" s="818"/>
      <c r="J247" s="816"/>
      <c r="K247" s="816"/>
      <c r="L247" s="816"/>
    </row>
    <row r="248" ht="18.75" customHeight="1">
      <c r="A248" s="822"/>
      <c r="B248" s="812"/>
      <c r="C248" s="823"/>
      <c r="D248" s="814"/>
      <c r="E248" s="824"/>
      <c r="F248" s="824"/>
      <c r="G248" s="825"/>
      <c r="H248" s="826"/>
      <c r="I248" s="827"/>
      <c r="J248" s="825"/>
      <c r="K248" s="825"/>
      <c r="L248" s="825"/>
    </row>
    <row r="249" ht="18.75" customHeight="1">
      <c r="A249" s="811"/>
      <c r="B249" s="812"/>
      <c r="C249" s="813"/>
      <c r="D249" s="814"/>
      <c r="E249" s="815"/>
      <c r="F249" s="815"/>
      <c r="G249" s="816"/>
      <c r="H249" s="817"/>
      <c r="I249" s="818"/>
      <c r="J249" s="816"/>
      <c r="K249" s="816"/>
      <c r="L249" s="816"/>
    </row>
    <row r="250" ht="18.75" customHeight="1">
      <c r="A250" s="822"/>
      <c r="B250" s="812"/>
      <c r="C250" s="823"/>
      <c r="D250" s="814"/>
      <c r="E250" s="824"/>
      <c r="F250" s="824"/>
      <c r="G250" s="825"/>
      <c r="H250" s="826"/>
      <c r="I250" s="827"/>
      <c r="J250" s="825"/>
      <c r="K250" s="825"/>
      <c r="L250" s="825"/>
    </row>
    <row r="251" ht="18.75" customHeight="1">
      <c r="A251" s="811"/>
      <c r="B251" s="812"/>
      <c r="C251" s="813"/>
      <c r="D251" s="814"/>
      <c r="E251" s="815"/>
      <c r="F251" s="815"/>
      <c r="G251" s="816"/>
      <c r="H251" s="817"/>
      <c r="I251" s="818"/>
      <c r="J251" s="816"/>
      <c r="K251" s="816"/>
      <c r="L251" s="816"/>
    </row>
    <row r="252" ht="18.75" customHeight="1">
      <c r="A252" s="822"/>
      <c r="B252" s="812"/>
      <c r="C252" s="823"/>
      <c r="D252" s="814"/>
      <c r="E252" s="824"/>
      <c r="F252" s="824"/>
      <c r="G252" s="825"/>
      <c r="H252" s="826"/>
      <c r="I252" s="827"/>
      <c r="J252" s="825"/>
      <c r="K252" s="825"/>
      <c r="L252" s="825"/>
    </row>
    <row r="253" ht="18.75" customHeight="1">
      <c r="A253" s="811"/>
      <c r="B253" s="812"/>
      <c r="C253" s="813"/>
      <c r="D253" s="814"/>
      <c r="E253" s="815"/>
      <c r="F253" s="815"/>
      <c r="G253" s="816"/>
      <c r="H253" s="817"/>
      <c r="I253" s="818"/>
      <c r="J253" s="816"/>
      <c r="K253" s="816"/>
      <c r="L253" s="816"/>
    </row>
    <row r="254" ht="18.75" customHeight="1">
      <c r="A254" s="822"/>
      <c r="B254" s="812"/>
      <c r="C254" s="823"/>
      <c r="D254" s="814"/>
      <c r="E254" s="824"/>
      <c r="F254" s="824"/>
      <c r="G254" s="825"/>
      <c r="H254" s="826"/>
      <c r="I254" s="827"/>
      <c r="J254" s="825"/>
      <c r="K254" s="825"/>
      <c r="L254" s="825"/>
    </row>
    <row r="255" ht="18.75" customHeight="1">
      <c r="A255" s="811"/>
      <c r="B255" s="812"/>
      <c r="C255" s="813"/>
      <c r="D255" s="814"/>
      <c r="E255" s="815"/>
      <c r="F255" s="815"/>
      <c r="G255" s="816"/>
      <c r="H255" s="817"/>
      <c r="I255" s="818"/>
      <c r="J255" s="816"/>
      <c r="K255" s="816"/>
      <c r="L255" s="816"/>
    </row>
    <row r="256" ht="18.75" customHeight="1">
      <c r="A256" s="822"/>
      <c r="B256" s="812"/>
      <c r="C256" s="823"/>
      <c r="D256" s="814"/>
      <c r="E256" s="824"/>
      <c r="F256" s="824"/>
      <c r="G256" s="825"/>
      <c r="H256" s="826"/>
      <c r="I256" s="827"/>
      <c r="J256" s="825"/>
      <c r="K256" s="825"/>
      <c r="L256" s="825"/>
    </row>
    <row r="257" ht="18.75" customHeight="1">
      <c r="A257" s="811"/>
      <c r="B257" s="812"/>
      <c r="C257" s="813"/>
      <c r="D257" s="814"/>
      <c r="E257" s="815"/>
      <c r="F257" s="815"/>
      <c r="G257" s="816"/>
      <c r="H257" s="817"/>
      <c r="I257" s="818"/>
      <c r="J257" s="816"/>
      <c r="K257" s="816"/>
      <c r="L257" s="816"/>
    </row>
    <row r="258" ht="18.75" customHeight="1">
      <c r="A258" s="822"/>
      <c r="B258" s="812"/>
      <c r="C258" s="823"/>
      <c r="D258" s="814"/>
      <c r="E258" s="824"/>
      <c r="F258" s="824"/>
      <c r="G258" s="825"/>
      <c r="H258" s="826"/>
      <c r="I258" s="827"/>
      <c r="J258" s="825"/>
      <c r="K258" s="825"/>
      <c r="L258" s="825"/>
    </row>
    <row r="259" ht="18.75" customHeight="1">
      <c r="A259" s="811"/>
      <c r="B259" s="812"/>
      <c r="C259" s="813"/>
      <c r="D259" s="814"/>
      <c r="E259" s="815"/>
      <c r="F259" s="815"/>
      <c r="G259" s="816"/>
      <c r="H259" s="817"/>
      <c r="I259" s="818"/>
      <c r="J259" s="816"/>
      <c r="K259" s="816"/>
      <c r="L259" s="816"/>
    </row>
    <row r="260" ht="18.75" customHeight="1">
      <c r="A260" s="822"/>
      <c r="B260" s="812"/>
      <c r="C260" s="823"/>
      <c r="D260" s="814"/>
      <c r="E260" s="824"/>
      <c r="F260" s="824"/>
      <c r="G260" s="825"/>
      <c r="H260" s="826"/>
      <c r="I260" s="827"/>
      <c r="J260" s="825"/>
      <c r="K260" s="825"/>
      <c r="L260" s="825"/>
    </row>
    <row r="261" ht="18.75" customHeight="1">
      <c r="A261" s="811"/>
      <c r="B261" s="812"/>
      <c r="C261" s="813"/>
      <c r="D261" s="814"/>
      <c r="E261" s="815"/>
      <c r="F261" s="815"/>
      <c r="G261" s="816"/>
      <c r="H261" s="817"/>
      <c r="I261" s="818"/>
      <c r="J261" s="816"/>
      <c r="K261" s="816"/>
      <c r="L261" s="816"/>
    </row>
    <row r="262" ht="18.75" customHeight="1">
      <c r="A262" s="822"/>
      <c r="B262" s="812"/>
      <c r="C262" s="823"/>
      <c r="D262" s="814"/>
      <c r="E262" s="824"/>
      <c r="F262" s="824"/>
      <c r="G262" s="825"/>
      <c r="H262" s="826"/>
      <c r="I262" s="827"/>
      <c r="J262" s="825"/>
      <c r="K262" s="825"/>
      <c r="L262" s="825"/>
    </row>
    <row r="263" ht="18.75" customHeight="1">
      <c r="A263" s="811"/>
      <c r="B263" s="812"/>
      <c r="C263" s="813"/>
      <c r="D263" s="814"/>
      <c r="E263" s="815"/>
      <c r="F263" s="815"/>
      <c r="G263" s="816"/>
      <c r="H263" s="817"/>
      <c r="I263" s="818"/>
      <c r="J263" s="816"/>
      <c r="K263" s="816"/>
      <c r="L263" s="816"/>
    </row>
    <row r="264" ht="18.75" customHeight="1">
      <c r="A264" s="822"/>
      <c r="B264" s="812"/>
      <c r="C264" s="823"/>
      <c r="D264" s="814"/>
      <c r="E264" s="824"/>
      <c r="F264" s="824"/>
      <c r="G264" s="825"/>
      <c r="H264" s="826"/>
      <c r="I264" s="827"/>
      <c r="J264" s="825"/>
      <c r="K264" s="825"/>
      <c r="L264" s="825"/>
    </row>
    <row r="265" ht="18.75" customHeight="1">
      <c r="A265" s="811"/>
      <c r="B265" s="812"/>
      <c r="C265" s="813"/>
      <c r="D265" s="814"/>
      <c r="E265" s="815"/>
      <c r="F265" s="815"/>
      <c r="G265" s="816"/>
      <c r="H265" s="817"/>
      <c r="I265" s="818"/>
      <c r="J265" s="816"/>
      <c r="K265" s="816"/>
      <c r="L265" s="816"/>
    </row>
    <row r="266" ht="18.75" customHeight="1">
      <c r="A266" s="822"/>
      <c r="B266" s="812"/>
      <c r="C266" s="823"/>
      <c r="D266" s="814"/>
      <c r="E266" s="824"/>
      <c r="F266" s="824"/>
      <c r="G266" s="825"/>
      <c r="H266" s="826"/>
      <c r="I266" s="827"/>
      <c r="J266" s="825"/>
      <c r="K266" s="825"/>
      <c r="L266" s="825"/>
    </row>
    <row r="267" ht="18.75" customHeight="1">
      <c r="A267" s="811"/>
      <c r="B267" s="812"/>
      <c r="C267" s="813"/>
      <c r="D267" s="814"/>
      <c r="E267" s="815"/>
      <c r="F267" s="815"/>
      <c r="G267" s="816"/>
      <c r="H267" s="817"/>
      <c r="I267" s="818"/>
      <c r="J267" s="816"/>
      <c r="K267" s="816"/>
      <c r="L267" s="816"/>
    </row>
    <row r="268" ht="18.75" customHeight="1">
      <c r="A268" s="822"/>
      <c r="B268" s="812"/>
      <c r="C268" s="823"/>
      <c r="D268" s="814"/>
      <c r="E268" s="824"/>
      <c r="F268" s="824"/>
      <c r="G268" s="825"/>
      <c r="H268" s="826"/>
      <c r="I268" s="827"/>
      <c r="J268" s="825"/>
      <c r="K268" s="825"/>
      <c r="L268" s="825"/>
    </row>
    <row r="269" ht="18.75" customHeight="1">
      <c r="A269" s="811"/>
      <c r="B269" s="812"/>
      <c r="C269" s="813"/>
      <c r="D269" s="814"/>
      <c r="E269" s="815"/>
      <c r="F269" s="815"/>
      <c r="G269" s="816"/>
      <c r="H269" s="817"/>
      <c r="I269" s="818"/>
      <c r="J269" s="816"/>
      <c r="K269" s="816"/>
      <c r="L269" s="816"/>
    </row>
    <row r="270" ht="18.75" customHeight="1">
      <c r="A270" s="822"/>
      <c r="B270" s="812"/>
      <c r="C270" s="823"/>
      <c r="D270" s="814"/>
      <c r="E270" s="824"/>
      <c r="F270" s="824"/>
      <c r="G270" s="825"/>
      <c r="H270" s="826"/>
      <c r="I270" s="827"/>
      <c r="J270" s="825"/>
      <c r="K270" s="825"/>
      <c r="L270" s="825"/>
    </row>
    <row r="271" ht="18.75" customHeight="1">
      <c r="A271" s="811"/>
      <c r="B271" s="812"/>
      <c r="C271" s="813"/>
      <c r="D271" s="814"/>
      <c r="E271" s="815"/>
      <c r="F271" s="815"/>
      <c r="G271" s="816"/>
      <c r="H271" s="817"/>
      <c r="I271" s="818"/>
      <c r="J271" s="816"/>
      <c r="K271" s="816"/>
      <c r="L271" s="816"/>
    </row>
    <row r="272" ht="18.75" customHeight="1">
      <c r="A272" s="822"/>
      <c r="B272" s="812"/>
      <c r="C272" s="823"/>
      <c r="D272" s="814"/>
      <c r="E272" s="824"/>
      <c r="F272" s="824"/>
      <c r="G272" s="825"/>
      <c r="H272" s="826"/>
      <c r="I272" s="827"/>
      <c r="J272" s="825"/>
      <c r="K272" s="825"/>
      <c r="L272" s="825"/>
    </row>
    <row r="273" ht="18.75" customHeight="1">
      <c r="A273" s="811"/>
      <c r="B273" s="812"/>
      <c r="C273" s="813"/>
      <c r="D273" s="814"/>
      <c r="E273" s="815"/>
      <c r="F273" s="815"/>
      <c r="G273" s="816"/>
      <c r="H273" s="817"/>
      <c r="I273" s="818"/>
      <c r="J273" s="816"/>
      <c r="K273" s="816"/>
      <c r="L273" s="816"/>
    </row>
    <row r="274" ht="18.75" customHeight="1">
      <c r="A274" s="822"/>
      <c r="B274" s="812"/>
      <c r="C274" s="823"/>
      <c r="D274" s="814"/>
      <c r="E274" s="824"/>
      <c r="F274" s="824"/>
      <c r="G274" s="825"/>
      <c r="H274" s="826"/>
      <c r="I274" s="827"/>
      <c r="J274" s="825"/>
      <c r="K274" s="825"/>
      <c r="L274" s="825"/>
    </row>
    <row r="275" ht="18.75" customHeight="1">
      <c r="A275" s="811"/>
      <c r="B275" s="812"/>
      <c r="C275" s="813"/>
      <c r="D275" s="814"/>
      <c r="E275" s="815"/>
      <c r="F275" s="815"/>
      <c r="G275" s="816"/>
      <c r="H275" s="817"/>
      <c r="I275" s="818"/>
      <c r="J275" s="816"/>
      <c r="K275" s="816"/>
      <c r="L275" s="816"/>
    </row>
    <row r="276" ht="18.75" customHeight="1">
      <c r="A276" s="822"/>
      <c r="B276" s="812"/>
      <c r="C276" s="823"/>
      <c r="D276" s="814"/>
      <c r="E276" s="824"/>
      <c r="F276" s="824"/>
      <c r="G276" s="825"/>
      <c r="H276" s="826"/>
      <c r="I276" s="827"/>
      <c r="J276" s="825"/>
      <c r="K276" s="825"/>
      <c r="L276" s="825"/>
    </row>
    <row r="277" ht="18.75" customHeight="1">
      <c r="A277" s="811"/>
      <c r="B277" s="812"/>
      <c r="C277" s="813"/>
      <c r="D277" s="814"/>
      <c r="E277" s="815"/>
      <c r="F277" s="815"/>
      <c r="G277" s="816"/>
      <c r="H277" s="817"/>
      <c r="I277" s="818"/>
      <c r="J277" s="816"/>
      <c r="K277" s="816"/>
      <c r="L277" s="816"/>
    </row>
    <row r="278" ht="18.75" customHeight="1">
      <c r="A278" s="822"/>
      <c r="B278" s="812"/>
      <c r="C278" s="823"/>
      <c r="D278" s="814"/>
      <c r="E278" s="824"/>
      <c r="F278" s="824"/>
      <c r="G278" s="825"/>
      <c r="H278" s="826"/>
      <c r="I278" s="827"/>
      <c r="J278" s="825"/>
      <c r="K278" s="825"/>
      <c r="L278" s="825"/>
    </row>
    <row r="279" ht="18.75" customHeight="1">
      <c r="A279" s="811"/>
      <c r="B279" s="812"/>
      <c r="C279" s="813"/>
      <c r="D279" s="814"/>
      <c r="E279" s="815"/>
      <c r="F279" s="815"/>
      <c r="G279" s="816"/>
      <c r="H279" s="817"/>
      <c r="I279" s="818"/>
      <c r="J279" s="816"/>
      <c r="K279" s="816"/>
      <c r="L279" s="816"/>
    </row>
    <row r="280" ht="18.75" customHeight="1">
      <c r="A280" s="822"/>
      <c r="B280" s="812"/>
      <c r="C280" s="823"/>
      <c r="D280" s="814"/>
      <c r="E280" s="824"/>
      <c r="F280" s="824"/>
      <c r="G280" s="825"/>
      <c r="H280" s="826"/>
      <c r="I280" s="827"/>
      <c r="J280" s="825"/>
      <c r="K280" s="825"/>
      <c r="L280" s="825"/>
    </row>
    <row r="281" ht="18.75" customHeight="1">
      <c r="A281" s="811"/>
      <c r="B281" s="812"/>
      <c r="C281" s="813"/>
      <c r="D281" s="814"/>
      <c r="E281" s="815"/>
      <c r="F281" s="815"/>
      <c r="G281" s="816"/>
      <c r="H281" s="817"/>
      <c r="I281" s="818"/>
      <c r="J281" s="816"/>
      <c r="K281" s="816"/>
      <c r="L281" s="816"/>
    </row>
    <row r="282" ht="18.75" customHeight="1">
      <c r="A282" s="822"/>
      <c r="B282" s="812"/>
      <c r="C282" s="823"/>
      <c r="D282" s="814"/>
      <c r="E282" s="824"/>
      <c r="F282" s="824"/>
      <c r="G282" s="825"/>
      <c r="H282" s="826"/>
      <c r="I282" s="827"/>
      <c r="J282" s="825"/>
      <c r="K282" s="825"/>
      <c r="L282" s="825"/>
    </row>
    <row r="283" ht="18.75" customHeight="1">
      <c r="A283" s="811"/>
      <c r="B283" s="812"/>
      <c r="C283" s="813"/>
      <c r="D283" s="814"/>
      <c r="E283" s="815"/>
      <c r="F283" s="815"/>
      <c r="G283" s="816"/>
      <c r="H283" s="817"/>
      <c r="I283" s="818"/>
      <c r="J283" s="816"/>
      <c r="K283" s="816"/>
      <c r="L283" s="816"/>
    </row>
    <row r="284" ht="18.75" customHeight="1">
      <c r="A284" s="822"/>
      <c r="B284" s="812"/>
      <c r="C284" s="823"/>
      <c r="D284" s="814"/>
      <c r="E284" s="824"/>
      <c r="F284" s="824"/>
      <c r="G284" s="825"/>
      <c r="H284" s="826"/>
      <c r="I284" s="827"/>
      <c r="J284" s="825"/>
      <c r="K284" s="825"/>
      <c r="L284" s="825"/>
    </row>
    <row r="285" ht="18.75" customHeight="1">
      <c r="A285" s="811"/>
      <c r="B285" s="812"/>
      <c r="C285" s="813"/>
      <c r="D285" s="814"/>
      <c r="E285" s="815"/>
      <c r="F285" s="815"/>
      <c r="G285" s="816"/>
      <c r="H285" s="817"/>
      <c r="I285" s="818"/>
      <c r="J285" s="816"/>
      <c r="K285" s="816"/>
      <c r="L285" s="816"/>
    </row>
    <row r="286" ht="18.75" customHeight="1">
      <c r="A286" s="822"/>
      <c r="B286" s="812"/>
      <c r="C286" s="823"/>
      <c r="D286" s="814"/>
      <c r="E286" s="824"/>
      <c r="F286" s="824"/>
      <c r="G286" s="825"/>
      <c r="H286" s="826"/>
      <c r="I286" s="827"/>
      <c r="J286" s="825"/>
      <c r="K286" s="825"/>
      <c r="L286" s="825"/>
    </row>
    <row r="287" ht="18.75" customHeight="1">
      <c r="A287" s="811"/>
      <c r="B287" s="812"/>
      <c r="C287" s="813"/>
      <c r="D287" s="814"/>
      <c r="E287" s="815"/>
      <c r="F287" s="815"/>
      <c r="G287" s="816"/>
      <c r="H287" s="817"/>
      <c r="I287" s="818"/>
      <c r="J287" s="816"/>
      <c r="K287" s="816"/>
      <c r="L287" s="816"/>
    </row>
    <row r="288" ht="18.75" customHeight="1">
      <c r="A288" s="822"/>
      <c r="B288" s="812"/>
      <c r="C288" s="823"/>
      <c r="D288" s="814"/>
      <c r="E288" s="824"/>
      <c r="F288" s="824"/>
      <c r="G288" s="825"/>
      <c r="H288" s="826"/>
      <c r="I288" s="827"/>
      <c r="J288" s="825"/>
      <c r="K288" s="825"/>
      <c r="L288" s="825"/>
    </row>
    <row r="289" ht="18.75" customHeight="1">
      <c r="A289" s="811"/>
      <c r="B289" s="812"/>
      <c r="C289" s="813"/>
      <c r="D289" s="814"/>
      <c r="E289" s="815"/>
      <c r="F289" s="815"/>
      <c r="G289" s="816"/>
      <c r="H289" s="817"/>
      <c r="I289" s="818"/>
      <c r="J289" s="816"/>
      <c r="K289" s="816"/>
      <c r="L289" s="816"/>
    </row>
    <row r="290" ht="18.75" customHeight="1">
      <c r="A290" s="822"/>
      <c r="B290" s="812"/>
      <c r="C290" s="823"/>
      <c r="D290" s="814"/>
      <c r="E290" s="824"/>
      <c r="F290" s="824"/>
      <c r="G290" s="825"/>
      <c r="H290" s="826"/>
      <c r="I290" s="827"/>
      <c r="J290" s="825"/>
      <c r="K290" s="825"/>
      <c r="L290" s="825"/>
    </row>
    <row r="291" ht="18.75" customHeight="1">
      <c r="A291" s="811"/>
      <c r="B291" s="812"/>
      <c r="C291" s="813"/>
      <c r="D291" s="814"/>
      <c r="E291" s="815"/>
      <c r="F291" s="815"/>
      <c r="G291" s="816"/>
      <c r="H291" s="817"/>
      <c r="I291" s="818"/>
      <c r="J291" s="816"/>
      <c r="K291" s="816"/>
      <c r="L291" s="816"/>
    </row>
    <row r="292" ht="18.75" customHeight="1">
      <c r="A292" s="822"/>
      <c r="B292" s="812"/>
      <c r="C292" s="823"/>
      <c r="D292" s="814"/>
      <c r="E292" s="824"/>
      <c r="F292" s="824"/>
      <c r="G292" s="825"/>
      <c r="H292" s="826"/>
      <c r="I292" s="827"/>
      <c r="J292" s="825"/>
      <c r="K292" s="825"/>
      <c r="L292" s="825"/>
    </row>
    <row r="293" ht="18.75" customHeight="1">
      <c r="A293" s="811"/>
      <c r="B293" s="812"/>
      <c r="C293" s="813"/>
      <c r="D293" s="814"/>
      <c r="E293" s="815"/>
      <c r="F293" s="815"/>
      <c r="G293" s="816"/>
      <c r="H293" s="817"/>
      <c r="I293" s="818"/>
      <c r="J293" s="816"/>
      <c r="K293" s="816"/>
      <c r="L293" s="816"/>
    </row>
    <row r="294" ht="18.75" customHeight="1">
      <c r="A294" s="822"/>
      <c r="B294" s="812"/>
      <c r="C294" s="823"/>
      <c r="D294" s="814"/>
      <c r="E294" s="824"/>
      <c r="F294" s="824"/>
      <c r="G294" s="825"/>
      <c r="H294" s="826"/>
      <c r="I294" s="827"/>
      <c r="J294" s="825"/>
      <c r="K294" s="825"/>
      <c r="L294" s="825"/>
    </row>
    <row r="295" ht="18.75" customHeight="1">
      <c r="A295" s="811"/>
      <c r="B295" s="812"/>
      <c r="C295" s="813"/>
      <c r="D295" s="814"/>
      <c r="E295" s="815"/>
      <c r="F295" s="815"/>
      <c r="G295" s="816"/>
      <c r="H295" s="817"/>
      <c r="I295" s="818"/>
      <c r="J295" s="816"/>
      <c r="K295" s="816"/>
      <c r="L295" s="816"/>
    </row>
    <row r="296" ht="18.75" customHeight="1">
      <c r="A296" s="822"/>
      <c r="B296" s="812"/>
      <c r="C296" s="823"/>
      <c r="D296" s="814"/>
      <c r="E296" s="824"/>
      <c r="F296" s="824"/>
      <c r="G296" s="825"/>
      <c r="H296" s="826"/>
      <c r="I296" s="827"/>
      <c r="J296" s="825"/>
      <c r="K296" s="825"/>
      <c r="L296" s="825"/>
    </row>
    <row r="297" ht="18.75" customHeight="1">
      <c r="A297" s="811"/>
      <c r="B297" s="812"/>
      <c r="C297" s="813"/>
      <c r="D297" s="814"/>
      <c r="E297" s="815"/>
      <c r="F297" s="815"/>
      <c r="G297" s="816"/>
      <c r="H297" s="817"/>
      <c r="I297" s="818"/>
      <c r="J297" s="816"/>
      <c r="K297" s="816"/>
      <c r="L297" s="816"/>
    </row>
    <row r="298" ht="18.75" customHeight="1">
      <c r="A298" s="822"/>
      <c r="B298" s="812"/>
      <c r="C298" s="823"/>
      <c r="D298" s="814"/>
      <c r="E298" s="824"/>
      <c r="F298" s="824"/>
      <c r="G298" s="825"/>
      <c r="H298" s="826"/>
      <c r="I298" s="827"/>
      <c r="J298" s="825"/>
      <c r="K298" s="825"/>
      <c r="L298" s="825"/>
    </row>
    <row r="299" ht="18.75" customHeight="1">
      <c r="A299" s="811"/>
      <c r="B299" s="812"/>
      <c r="C299" s="813"/>
      <c r="D299" s="814"/>
      <c r="E299" s="815"/>
      <c r="F299" s="815"/>
      <c r="G299" s="816"/>
      <c r="H299" s="817"/>
      <c r="I299" s="818"/>
      <c r="J299" s="816"/>
      <c r="K299" s="816"/>
      <c r="L299" s="816"/>
    </row>
    <row r="300" ht="18.75" customHeight="1">
      <c r="A300" s="822"/>
      <c r="B300" s="812"/>
      <c r="C300" s="823"/>
      <c r="D300" s="814"/>
      <c r="E300" s="824"/>
      <c r="F300" s="824"/>
      <c r="G300" s="825"/>
      <c r="H300" s="826"/>
      <c r="I300" s="827"/>
      <c r="J300" s="825"/>
      <c r="K300" s="825"/>
      <c r="L300" s="825"/>
    </row>
    <row r="301" ht="18.75" customHeight="1">
      <c r="A301" s="811"/>
      <c r="B301" s="812"/>
      <c r="C301" s="813"/>
      <c r="D301" s="814"/>
      <c r="E301" s="815"/>
      <c r="F301" s="815"/>
      <c r="G301" s="816"/>
      <c r="H301" s="817"/>
      <c r="I301" s="818"/>
      <c r="J301" s="816"/>
      <c r="K301" s="816"/>
      <c r="L301" s="816"/>
    </row>
    <row r="302" ht="18.75" customHeight="1">
      <c r="A302" s="822"/>
      <c r="B302" s="812"/>
      <c r="C302" s="823"/>
      <c r="D302" s="814"/>
      <c r="E302" s="824"/>
      <c r="F302" s="824"/>
      <c r="G302" s="825"/>
      <c r="H302" s="826"/>
      <c r="I302" s="827"/>
      <c r="J302" s="825"/>
      <c r="K302" s="825"/>
      <c r="L302" s="825"/>
    </row>
    <row r="303" ht="18.75" customHeight="1">
      <c r="A303" s="811"/>
      <c r="B303" s="812"/>
      <c r="C303" s="813"/>
      <c r="D303" s="814"/>
      <c r="E303" s="815"/>
      <c r="F303" s="815"/>
      <c r="G303" s="816"/>
      <c r="H303" s="817"/>
      <c r="I303" s="818"/>
      <c r="J303" s="816"/>
      <c r="K303" s="816"/>
      <c r="L303" s="816"/>
    </row>
    <row r="304" ht="18.75" customHeight="1">
      <c r="A304" s="822"/>
      <c r="B304" s="812"/>
      <c r="C304" s="823"/>
      <c r="D304" s="814"/>
      <c r="E304" s="824"/>
      <c r="F304" s="824"/>
      <c r="G304" s="825"/>
      <c r="H304" s="826"/>
      <c r="I304" s="827"/>
      <c r="J304" s="825"/>
      <c r="K304" s="825"/>
      <c r="L304" s="825"/>
    </row>
    <row r="305" ht="18.75" customHeight="1">
      <c r="A305" s="811"/>
      <c r="B305" s="812"/>
      <c r="C305" s="813"/>
      <c r="D305" s="814"/>
      <c r="E305" s="815"/>
      <c r="F305" s="815"/>
      <c r="G305" s="816"/>
      <c r="H305" s="817"/>
      <c r="I305" s="818"/>
      <c r="J305" s="816"/>
      <c r="K305" s="816"/>
      <c r="L305" s="816"/>
    </row>
    <row r="306" ht="18.75" customHeight="1">
      <c r="A306" s="822"/>
      <c r="B306" s="812"/>
      <c r="C306" s="823"/>
      <c r="D306" s="814"/>
      <c r="E306" s="824"/>
      <c r="F306" s="824"/>
      <c r="G306" s="825"/>
      <c r="H306" s="826"/>
      <c r="I306" s="827"/>
      <c r="J306" s="825"/>
      <c r="K306" s="825"/>
      <c r="L306" s="825"/>
    </row>
    <row r="307" ht="18.75" customHeight="1">
      <c r="A307" s="811"/>
      <c r="B307" s="812"/>
      <c r="C307" s="813"/>
      <c r="D307" s="814"/>
      <c r="E307" s="815"/>
      <c r="F307" s="815"/>
      <c r="G307" s="816"/>
      <c r="H307" s="817"/>
      <c r="I307" s="818"/>
      <c r="J307" s="816"/>
      <c r="K307" s="816"/>
      <c r="L307" s="816"/>
    </row>
    <row r="308" ht="18.75" customHeight="1">
      <c r="A308" s="822"/>
      <c r="B308" s="812"/>
      <c r="C308" s="823"/>
      <c r="D308" s="814"/>
      <c r="E308" s="824"/>
      <c r="F308" s="824"/>
      <c r="G308" s="825"/>
      <c r="H308" s="826"/>
      <c r="I308" s="827"/>
      <c r="J308" s="825"/>
      <c r="K308" s="825"/>
      <c r="L308" s="825"/>
    </row>
    <row r="309" ht="18.75" customHeight="1">
      <c r="A309" s="811"/>
      <c r="B309" s="812"/>
      <c r="C309" s="813"/>
      <c r="D309" s="814"/>
      <c r="E309" s="815"/>
      <c r="F309" s="815"/>
      <c r="G309" s="816"/>
      <c r="H309" s="817"/>
      <c r="I309" s="818"/>
      <c r="J309" s="816"/>
      <c r="K309" s="816"/>
      <c r="L309" s="816"/>
    </row>
    <row r="310" ht="18.75" customHeight="1">
      <c r="A310" s="822"/>
      <c r="B310" s="812"/>
      <c r="C310" s="823"/>
      <c r="D310" s="814"/>
      <c r="E310" s="824"/>
      <c r="F310" s="824"/>
      <c r="G310" s="825"/>
      <c r="H310" s="826"/>
      <c r="I310" s="827"/>
      <c r="J310" s="825"/>
      <c r="K310" s="825"/>
      <c r="L310" s="825"/>
    </row>
    <row r="311" ht="18.75" customHeight="1">
      <c r="A311" s="811"/>
      <c r="B311" s="812"/>
      <c r="C311" s="813"/>
      <c r="D311" s="814"/>
      <c r="E311" s="815"/>
      <c r="F311" s="815"/>
      <c r="G311" s="816"/>
      <c r="H311" s="817"/>
      <c r="I311" s="818"/>
      <c r="J311" s="816"/>
      <c r="K311" s="816"/>
      <c r="L311" s="816"/>
    </row>
    <row r="312" ht="18.75" customHeight="1">
      <c r="A312" s="822"/>
      <c r="B312" s="812"/>
      <c r="C312" s="823"/>
      <c r="D312" s="814"/>
      <c r="E312" s="824"/>
      <c r="F312" s="824"/>
      <c r="G312" s="825"/>
      <c r="H312" s="826"/>
      <c r="I312" s="827"/>
      <c r="J312" s="825"/>
      <c r="K312" s="825"/>
      <c r="L312" s="825"/>
    </row>
    <row r="313" ht="18.75" customHeight="1">
      <c r="A313" s="811"/>
      <c r="B313" s="812"/>
      <c r="C313" s="813"/>
      <c r="D313" s="814"/>
      <c r="E313" s="815"/>
      <c r="F313" s="815"/>
      <c r="G313" s="816"/>
      <c r="H313" s="817"/>
      <c r="I313" s="818"/>
      <c r="J313" s="816"/>
      <c r="K313" s="816"/>
      <c r="L313" s="816"/>
    </row>
    <row r="314" ht="18.75" customHeight="1">
      <c r="A314" s="822"/>
      <c r="B314" s="812"/>
      <c r="C314" s="823"/>
      <c r="D314" s="814"/>
      <c r="E314" s="824"/>
      <c r="F314" s="824"/>
      <c r="G314" s="825"/>
      <c r="H314" s="826"/>
      <c r="I314" s="827"/>
      <c r="J314" s="825"/>
      <c r="K314" s="825"/>
      <c r="L314" s="825"/>
    </row>
    <row r="315" ht="18.75" customHeight="1">
      <c r="A315" s="811"/>
      <c r="B315" s="812"/>
      <c r="C315" s="813"/>
      <c r="D315" s="814"/>
      <c r="E315" s="815"/>
      <c r="F315" s="815"/>
      <c r="G315" s="816"/>
      <c r="H315" s="817"/>
      <c r="I315" s="818"/>
      <c r="J315" s="816"/>
      <c r="K315" s="816"/>
      <c r="L315" s="816"/>
    </row>
    <row r="316" ht="18.75" customHeight="1">
      <c r="A316" s="822"/>
      <c r="B316" s="812"/>
      <c r="C316" s="823"/>
      <c r="D316" s="814"/>
      <c r="E316" s="824"/>
      <c r="F316" s="824"/>
      <c r="G316" s="825"/>
      <c r="H316" s="826"/>
      <c r="I316" s="827"/>
      <c r="J316" s="825"/>
      <c r="K316" s="825"/>
      <c r="L316" s="825"/>
    </row>
    <row r="317" ht="18.75" customHeight="1">
      <c r="A317" s="811"/>
      <c r="B317" s="812"/>
      <c r="C317" s="813"/>
      <c r="D317" s="814"/>
      <c r="E317" s="815"/>
      <c r="F317" s="815"/>
      <c r="G317" s="816"/>
      <c r="H317" s="817"/>
      <c r="I317" s="818"/>
      <c r="J317" s="816"/>
      <c r="K317" s="816"/>
      <c r="L317" s="816"/>
    </row>
    <row r="318" ht="18.75" customHeight="1">
      <c r="A318" s="822"/>
      <c r="B318" s="812"/>
      <c r="C318" s="823"/>
      <c r="D318" s="814"/>
      <c r="E318" s="824"/>
      <c r="F318" s="824"/>
      <c r="G318" s="825"/>
      <c r="H318" s="826"/>
      <c r="I318" s="827"/>
      <c r="J318" s="825"/>
      <c r="K318" s="825"/>
      <c r="L318" s="825"/>
    </row>
    <row r="319" ht="18.75" customHeight="1">
      <c r="A319" s="811"/>
      <c r="B319" s="812"/>
      <c r="C319" s="813"/>
      <c r="D319" s="814"/>
      <c r="E319" s="815"/>
      <c r="F319" s="815"/>
      <c r="G319" s="816"/>
      <c r="H319" s="817"/>
      <c r="I319" s="818"/>
      <c r="J319" s="816"/>
      <c r="K319" s="816"/>
      <c r="L319" s="816"/>
    </row>
    <row r="320" ht="18.75" customHeight="1">
      <c r="A320" s="822"/>
      <c r="B320" s="812"/>
      <c r="C320" s="823"/>
      <c r="D320" s="814"/>
      <c r="E320" s="824"/>
      <c r="F320" s="824"/>
      <c r="G320" s="825"/>
      <c r="H320" s="826"/>
      <c r="I320" s="827"/>
      <c r="J320" s="825"/>
      <c r="K320" s="825"/>
      <c r="L320" s="825"/>
    </row>
    <row r="321" ht="18.75" customHeight="1">
      <c r="A321" s="811"/>
      <c r="B321" s="812"/>
      <c r="C321" s="813"/>
      <c r="D321" s="814"/>
      <c r="E321" s="815"/>
      <c r="F321" s="815"/>
      <c r="G321" s="816"/>
      <c r="H321" s="817"/>
      <c r="I321" s="818"/>
      <c r="J321" s="816"/>
      <c r="K321" s="816"/>
      <c r="L321" s="816"/>
    </row>
    <row r="322" ht="18.75" customHeight="1">
      <c r="A322" s="822"/>
      <c r="B322" s="812"/>
      <c r="C322" s="823"/>
      <c r="D322" s="814"/>
      <c r="E322" s="824"/>
      <c r="F322" s="824"/>
      <c r="G322" s="825"/>
      <c r="H322" s="826"/>
      <c r="I322" s="827"/>
      <c r="J322" s="825"/>
      <c r="K322" s="825"/>
      <c r="L322" s="825"/>
    </row>
    <row r="323" ht="18.75" customHeight="1">
      <c r="A323" s="811"/>
      <c r="B323" s="812"/>
      <c r="C323" s="813"/>
      <c r="D323" s="814"/>
      <c r="E323" s="815"/>
      <c r="F323" s="815"/>
      <c r="G323" s="816"/>
      <c r="H323" s="817"/>
      <c r="I323" s="818"/>
      <c r="J323" s="816"/>
      <c r="K323" s="816"/>
      <c r="L323" s="816"/>
    </row>
    <row r="324" ht="18.75" customHeight="1">
      <c r="A324" s="822"/>
      <c r="B324" s="812"/>
      <c r="C324" s="823"/>
      <c r="D324" s="814"/>
      <c r="E324" s="824"/>
      <c r="F324" s="824"/>
      <c r="G324" s="825"/>
      <c r="H324" s="826"/>
      <c r="I324" s="827"/>
      <c r="J324" s="825"/>
      <c r="K324" s="825"/>
      <c r="L324" s="825"/>
    </row>
    <row r="325" ht="18.75" customHeight="1">
      <c r="A325" s="811"/>
      <c r="B325" s="812"/>
      <c r="C325" s="813"/>
      <c r="D325" s="814"/>
      <c r="E325" s="815"/>
      <c r="F325" s="815"/>
      <c r="G325" s="816"/>
      <c r="H325" s="817"/>
      <c r="I325" s="818"/>
      <c r="J325" s="816"/>
      <c r="K325" s="816"/>
      <c r="L325" s="816"/>
    </row>
    <row r="326" ht="18.75" customHeight="1">
      <c r="A326" s="822"/>
      <c r="B326" s="812"/>
      <c r="C326" s="823"/>
      <c r="D326" s="814"/>
      <c r="E326" s="824"/>
      <c r="F326" s="824"/>
      <c r="G326" s="825"/>
      <c r="H326" s="826"/>
      <c r="I326" s="827"/>
      <c r="J326" s="825"/>
      <c r="K326" s="825"/>
      <c r="L326" s="825"/>
    </row>
    <row r="327" ht="18.75" customHeight="1">
      <c r="A327" s="811"/>
      <c r="B327" s="812"/>
      <c r="C327" s="813"/>
      <c r="D327" s="814"/>
      <c r="E327" s="815"/>
      <c r="F327" s="815"/>
      <c r="G327" s="816"/>
      <c r="H327" s="817"/>
      <c r="I327" s="818"/>
      <c r="J327" s="816"/>
      <c r="K327" s="816"/>
      <c r="L327" s="816"/>
    </row>
    <row r="328" ht="18.75" customHeight="1">
      <c r="A328" s="822"/>
      <c r="B328" s="812"/>
      <c r="C328" s="823"/>
      <c r="D328" s="814"/>
      <c r="E328" s="824"/>
      <c r="F328" s="824"/>
      <c r="G328" s="825"/>
      <c r="H328" s="826"/>
      <c r="I328" s="827"/>
      <c r="J328" s="825"/>
      <c r="K328" s="825"/>
      <c r="L328" s="825"/>
    </row>
    <row r="329" ht="18.75" customHeight="1">
      <c r="A329" s="811"/>
      <c r="B329" s="812"/>
      <c r="C329" s="813"/>
      <c r="D329" s="814"/>
      <c r="E329" s="815"/>
      <c r="F329" s="815"/>
      <c r="G329" s="816"/>
      <c r="H329" s="817"/>
      <c r="I329" s="818"/>
      <c r="J329" s="816"/>
      <c r="K329" s="816"/>
      <c r="L329" s="816"/>
    </row>
    <row r="330" ht="18.75" customHeight="1">
      <c r="A330" s="822"/>
      <c r="B330" s="812"/>
      <c r="C330" s="823"/>
      <c r="D330" s="814"/>
      <c r="E330" s="824"/>
      <c r="F330" s="824"/>
      <c r="G330" s="825"/>
      <c r="H330" s="826"/>
      <c r="I330" s="827"/>
      <c r="J330" s="825"/>
      <c r="K330" s="825"/>
      <c r="L330" s="825"/>
    </row>
    <row r="331" ht="18.75" customHeight="1">
      <c r="A331" s="811"/>
      <c r="B331" s="812"/>
      <c r="C331" s="813"/>
      <c r="D331" s="814"/>
      <c r="E331" s="815"/>
      <c r="F331" s="815"/>
      <c r="G331" s="816"/>
      <c r="H331" s="817"/>
      <c r="I331" s="818"/>
      <c r="J331" s="816"/>
      <c r="K331" s="816"/>
      <c r="L331" s="816"/>
    </row>
    <row r="332" ht="18.75" customHeight="1">
      <c r="A332" s="822"/>
      <c r="B332" s="812"/>
      <c r="C332" s="823"/>
      <c r="D332" s="814"/>
      <c r="E332" s="824"/>
      <c r="F332" s="824"/>
      <c r="G332" s="825"/>
      <c r="H332" s="826"/>
      <c r="I332" s="827"/>
      <c r="J332" s="825"/>
      <c r="K332" s="825"/>
      <c r="L332" s="825"/>
    </row>
    <row r="333" ht="18.75" customHeight="1">
      <c r="A333" s="811"/>
      <c r="B333" s="812"/>
      <c r="C333" s="813"/>
      <c r="D333" s="814"/>
      <c r="E333" s="815"/>
      <c r="F333" s="815"/>
      <c r="G333" s="816"/>
      <c r="H333" s="817"/>
      <c r="I333" s="818"/>
      <c r="J333" s="816"/>
      <c r="K333" s="816"/>
      <c r="L333" s="816"/>
    </row>
    <row r="334" ht="18.75" customHeight="1">
      <c r="A334" s="822"/>
      <c r="B334" s="812"/>
      <c r="C334" s="823"/>
      <c r="D334" s="814"/>
      <c r="E334" s="824"/>
      <c r="F334" s="824"/>
      <c r="G334" s="825"/>
      <c r="H334" s="826"/>
      <c r="I334" s="827"/>
      <c r="J334" s="825"/>
      <c r="K334" s="825"/>
      <c r="L334" s="825"/>
    </row>
    <row r="335" ht="18.75" customHeight="1">
      <c r="A335" s="811"/>
      <c r="B335" s="812"/>
      <c r="C335" s="813"/>
      <c r="D335" s="814"/>
      <c r="E335" s="815"/>
      <c r="F335" s="815"/>
      <c r="G335" s="816"/>
      <c r="H335" s="817"/>
      <c r="I335" s="818"/>
      <c r="J335" s="816"/>
      <c r="K335" s="816"/>
      <c r="L335" s="816"/>
    </row>
    <row r="336" ht="18.75" customHeight="1">
      <c r="A336" s="822"/>
      <c r="B336" s="812"/>
      <c r="C336" s="823"/>
      <c r="D336" s="814"/>
      <c r="E336" s="824"/>
      <c r="F336" s="824"/>
      <c r="G336" s="825"/>
      <c r="H336" s="826"/>
      <c r="I336" s="827"/>
      <c r="J336" s="825"/>
      <c r="K336" s="825"/>
      <c r="L336" s="825"/>
    </row>
    <row r="337" ht="18.75" customHeight="1">
      <c r="A337" s="811"/>
      <c r="B337" s="812"/>
      <c r="C337" s="813"/>
      <c r="D337" s="814"/>
      <c r="E337" s="815"/>
      <c r="F337" s="815"/>
      <c r="G337" s="816"/>
      <c r="H337" s="817"/>
      <c r="I337" s="818"/>
      <c r="J337" s="816"/>
      <c r="K337" s="816"/>
      <c r="L337" s="816"/>
    </row>
    <row r="338" ht="18.75" customHeight="1">
      <c r="A338" s="822"/>
      <c r="B338" s="812"/>
      <c r="C338" s="823"/>
      <c r="D338" s="814"/>
      <c r="E338" s="824"/>
      <c r="F338" s="824"/>
      <c r="G338" s="825"/>
      <c r="H338" s="826"/>
      <c r="I338" s="827"/>
      <c r="J338" s="825"/>
      <c r="K338" s="825"/>
      <c r="L338" s="825"/>
    </row>
    <row r="339" ht="18.75" customHeight="1">
      <c r="A339" s="811"/>
      <c r="B339" s="812"/>
      <c r="C339" s="813"/>
      <c r="D339" s="814"/>
      <c r="E339" s="815"/>
      <c r="F339" s="815"/>
      <c r="G339" s="816"/>
      <c r="H339" s="817"/>
      <c r="I339" s="818"/>
      <c r="J339" s="816"/>
      <c r="K339" s="816"/>
      <c r="L339" s="816"/>
    </row>
    <row r="340" ht="18.75" customHeight="1">
      <c r="A340" s="822"/>
      <c r="B340" s="812"/>
      <c r="C340" s="823"/>
      <c r="D340" s="814"/>
      <c r="E340" s="824"/>
      <c r="F340" s="824"/>
      <c r="G340" s="825"/>
      <c r="H340" s="826"/>
      <c r="I340" s="827"/>
      <c r="J340" s="825"/>
      <c r="K340" s="825"/>
      <c r="L340" s="825"/>
    </row>
    <row r="341" ht="18.75" customHeight="1">
      <c r="A341" s="811"/>
      <c r="B341" s="812"/>
      <c r="C341" s="813"/>
      <c r="D341" s="814"/>
      <c r="E341" s="815"/>
      <c r="F341" s="815"/>
      <c r="G341" s="816"/>
      <c r="H341" s="817"/>
      <c r="I341" s="818"/>
      <c r="J341" s="816"/>
      <c r="K341" s="816"/>
      <c r="L341" s="816"/>
    </row>
    <row r="342" ht="18.75" customHeight="1">
      <c r="A342" s="822"/>
      <c r="B342" s="812"/>
      <c r="C342" s="823"/>
      <c r="D342" s="814"/>
      <c r="E342" s="824"/>
      <c r="F342" s="824"/>
      <c r="G342" s="825"/>
      <c r="H342" s="826"/>
      <c r="I342" s="827"/>
      <c r="J342" s="825"/>
      <c r="K342" s="825"/>
      <c r="L342" s="825"/>
    </row>
    <row r="343" ht="18.75" customHeight="1">
      <c r="A343" s="811"/>
      <c r="B343" s="812"/>
      <c r="C343" s="813"/>
      <c r="D343" s="814"/>
      <c r="E343" s="815"/>
      <c r="F343" s="815"/>
      <c r="G343" s="816"/>
      <c r="H343" s="817"/>
      <c r="I343" s="818"/>
      <c r="J343" s="816"/>
      <c r="K343" s="816"/>
      <c r="L343" s="816"/>
    </row>
    <row r="344" ht="18.75" customHeight="1">
      <c r="A344" s="822"/>
      <c r="B344" s="812"/>
      <c r="C344" s="823"/>
      <c r="D344" s="814"/>
      <c r="E344" s="824"/>
      <c r="F344" s="824"/>
      <c r="G344" s="825"/>
      <c r="H344" s="826"/>
      <c r="I344" s="827"/>
      <c r="J344" s="825"/>
      <c r="K344" s="825"/>
      <c r="L344" s="825"/>
    </row>
    <row r="345" ht="18.75" customHeight="1">
      <c r="A345" s="811"/>
      <c r="B345" s="812"/>
      <c r="C345" s="813"/>
      <c r="D345" s="814"/>
      <c r="E345" s="815"/>
      <c r="F345" s="815"/>
      <c r="G345" s="816"/>
      <c r="H345" s="817"/>
      <c r="I345" s="818"/>
      <c r="J345" s="816"/>
      <c r="K345" s="816"/>
      <c r="L345" s="816"/>
    </row>
    <row r="346" ht="18.75" customHeight="1">
      <c r="A346" s="822"/>
      <c r="B346" s="812"/>
      <c r="C346" s="823"/>
      <c r="D346" s="814"/>
      <c r="E346" s="824"/>
      <c r="F346" s="824"/>
      <c r="G346" s="825"/>
      <c r="H346" s="826"/>
      <c r="I346" s="827"/>
      <c r="J346" s="825"/>
      <c r="K346" s="825"/>
      <c r="L346" s="825"/>
    </row>
    <row r="347" ht="18.75" customHeight="1">
      <c r="A347" s="811"/>
      <c r="B347" s="812"/>
      <c r="C347" s="813"/>
      <c r="D347" s="814"/>
      <c r="E347" s="815"/>
      <c r="F347" s="815"/>
      <c r="G347" s="816"/>
      <c r="H347" s="817"/>
      <c r="I347" s="818"/>
      <c r="J347" s="816"/>
      <c r="K347" s="816"/>
      <c r="L347" s="816"/>
    </row>
    <row r="348" ht="18.75" customHeight="1">
      <c r="A348" s="822"/>
      <c r="B348" s="812"/>
      <c r="C348" s="823"/>
      <c r="D348" s="814"/>
      <c r="E348" s="824"/>
      <c r="F348" s="824"/>
      <c r="G348" s="825"/>
      <c r="H348" s="826"/>
      <c r="I348" s="827"/>
      <c r="J348" s="825"/>
      <c r="K348" s="825"/>
      <c r="L348" s="825"/>
    </row>
    <row r="349" ht="18.75" customHeight="1">
      <c r="A349" s="811"/>
      <c r="B349" s="812"/>
      <c r="C349" s="813"/>
      <c r="D349" s="814"/>
      <c r="E349" s="815"/>
      <c r="F349" s="815"/>
      <c r="G349" s="816"/>
      <c r="H349" s="817"/>
      <c r="I349" s="818"/>
      <c r="J349" s="816"/>
      <c r="K349" s="816"/>
      <c r="L349" s="816"/>
    </row>
    <row r="350" ht="18.75" customHeight="1">
      <c r="A350" s="822"/>
      <c r="B350" s="812"/>
      <c r="C350" s="823"/>
      <c r="D350" s="814"/>
      <c r="E350" s="824"/>
      <c r="F350" s="824"/>
      <c r="G350" s="825"/>
      <c r="H350" s="826"/>
      <c r="I350" s="827"/>
      <c r="J350" s="825"/>
      <c r="K350" s="825"/>
      <c r="L350" s="825"/>
    </row>
    <row r="351" ht="18.75" customHeight="1">
      <c r="A351" s="811"/>
      <c r="B351" s="812"/>
      <c r="C351" s="813"/>
      <c r="D351" s="814"/>
      <c r="E351" s="815"/>
      <c r="F351" s="815"/>
      <c r="G351" s="816"/>
      <c r="H351" s="817"/>
      <c r="I351" s="818"/>
      <c r="J351" s="816"/>
      <c r="K351" s="816"/>
      <c r="L351" s="816"/>
    </row>
    <row r="352" ht="18.75" customHeight="1">
      <c r="A352" s="822"/>
      <c r="B352" s="812"/>
      <c r="C352" s="823"/>
      <c r="D352" s="814"/>
      <c r="E352" s="824"/>
      <c r="F352" s="824"/>
      <c r="G352" s="825"/>
      <c r="H352" s="826"/>
      <c r="I352" s="827"/>
      <c r="J352" s="825"/>
      <c r="K352" s="825"/>
      <c r="L352" s="825"/>
    </row>
    <row r="353" ht="18.75" customHeight="1">
      <c r="A353" s="811"/>
      <c r="B353" s="812"/>
      <c r="C353" s="813"/>
      <c r="D353" s="814"/>
      <c r="E353" s="815"/>
      <c r="F353" s="815"/>
      <c r="G353" s="816"/>
      <c r="H353" s="817"/>
      <c r="I353" s="818"/>
      <c r="J353" s="816"/>
      <c r="K353" s="816"/>
      <c r="L353" s="816"/>
    </row>
    <row r="354" ht="18.75" customHeight="1">
      <c r="A354" s="822"/>
      <c r="B354" s="812"/>
      <c r="C354" s="823"/>
      <c r="D354" s="814"/>
      <c r="E354" s="824"/>
      <c r="F354" s="824"/>
      <c r="G354" s="825"/>
      <c r="H354" s="826"/>
      <c r="I354" s="827"/>
      <c r="J354" s="825"/>
      <c r="K354" s="825"/>
      <c r="L354" s="825"/>
    </row>
    <row r="355" ht="18.75" customHeight="1">
      <c r="A355" s="811"/>
      <c r="B355" s="812"/>
      <c r="C355" s="813"/>
      <c r="D355" s="814"/>
      <c r="E355" s="815"/>
      <c r="F355" s="815"/>
      <c r="G355" s="816"/>
      <c r="H355" s="817"/>
      <c r="I355" s="818"/>
      <c r="J355" s="816"/>
      <c r="K355" s="816"/>
      <c r="L355" s="816"/>
    </row>
    <row r="356" ht="18.75" customHeight="1">
      <c r="A356" s="822"/>
      <c r="B356" s="812"/>
      <c r="C356" s="823"/>
      <c r="D356" s="814"/>
      <c r="E356" s="824"/>
      <c r="F356" s="824"/>
      <c r="G356" s="825"/>
      <c r="H356" s="826"/>
      <c r="I356" s="827"/>
      <c r="J356" s="825"/>
      <c r="K356" s="825"/>
      <c r="L356" s="825"/>
    </row>
    <row r="357" ht="18.75" customHeight="1">
      <c r="A357" s="811"/>
      <c r="B357" s="812"/>
      <c r="C357" s="813"/>
      <c r="D357" s="814"/>
      <c r="E357" s="815"/>
      <c r="F357" s="815"/>
      <c r="G357" s="816"/>
      <c r="H357" s="817"/>
      <c r="I357" s="818"/>
      <c r="J357" s="816"/>
      <c r="K357" s="816"/>
      <c r="L357" s="816"/>
    </row>
    <row r="358" ht="18.75" customHeight="1">
      <c r="A358" s="822"/>
      <c r="B358" s="812"/>
      <c r="C358" s="823"/>
      <c r="D358" s="814"/>
      <c r="E358" s="824"/>
      <c r="F358" s="824"/>
      <c r="G358" s="825"/>
      <c r="H358" s="826"/>
      <c r="I358" s="827"/>
      <c r="J358" s="825"/>
      <c r="K358" s="825"/>
      <c r="L358" s="825"/>
    </row>
    <row r="359" ht="18.75" customHeight="1">
      <c r="A359" s="811"/>
      <c r="B359" s="812"/>
      <c r="C359" s="813"/>
      <c r="D359" s="814"/>
      <c r="E359" s="815"/>
      <c r="F359" s="815"/>
      <c r="G359" s="816"/>
      <c r="H359" s="817"/>
      <c r="I359" s="818"/>
      <c r="J359" s="816"/>
      <c r="K359" s="816"/>
      <c r="L359" s="816"/>
    </row>
    <row r="360" ht="18.75" customHeight="1">
      <c r="A360" s="822"/>
      <c r="B360" s="812"/>
      <c r="C360" s="823"/>
      <c r="D360" s="814"/>
      <c r="E360" s="824"/>
      <c r="F360" s="824"/>
      <c r="G360" s="825"/>
      <c r="H360" s="826"/>
      <c r="I360" s="827"/>
      <c r="J360" s="825"/>
      <c r="K360" s="825"/>
      <c r="L360" s="825"/>
    </row>
    <row r="361" ht="18.75" customHeight="1">
      <c r="A361" s="811"/>
      <c r="B361" s="812"/>
      <c r="C361" s="813"/>
      <c r="D361" s="814"/>
      <c r="E361" s="815"/>
      <c r="F361" s="815"/>
      <c r="G361" s="816"/>
      <c r="H361" s="817"/>
      <c r="I361" s="818"/>
      <c r="J361" s="816"/>
      <c r="K361" s="816"/>
      <c r="L361" s="816"/>
    </row>
    <row r="362" ht="18.75" customHeight="1">
      <c r="A362" s="822"/>
      <c r="B362" s="812"/>
      <c r="C362" s="823"/>
      <c r="D362" s="814"/>
      <c r="E362" s="824"/>
      <c r="F362" s="824"/>
      <c r="G362" s="825"/>
      <c r="H362" s="826"/>
      <c r="I362" s="827"/>
      <c r="J362" s="825"/>
      <c r="K362" s="825"/>
      <c r="L362" s="825"/>
    </row>
    <row r="363" ht="18.75" customHeight="1">
      <c r="A363" s="811"/>
      <c r="B363" s="812"/>
      <c r="C363" s="813"/>
      <c r="D363" s="814"/>
      <c r="E363" s="815"/>
      <c r="F363" s="815"/>
      <c r="G363" s="816"/>
      <c r="H363" s="817"/>
      <c r="I363" s="818"/>
      <c r="J363" s="816"/>
      <c r="K363" s="816"/>
      <c r="L363" s="816"/>
    </row>
    <row r="364" ht="18.75" customHeight="1">
      <c r="A364" s="822"/>
      <c r="B364" s="812"/>
      <c r="C364" s="823"/>
      <c r="D364" s="814"/>
      <c r="E364" s="824"/>
      <c r="F364" s="824"/>
      <c r="G364" s="825"/>
      <c r="H364" s="826"/>
      <c r="I364" s="827"/>
      <c r="J364" s="825"/>
      <c r="K364" s="825"/>
      <c r="L364" s="825"/>
    </row>
    <row r="365" ht="18.75" customHeight="1">
      <c r="A365" s="811"/>
      <c r="B365" s="812"/>
      <c r="C365" s="813"/>
      <c r="D365" s="814"/>
      <c r="E365" s="815"/>
      <c r="F365" s="815"/>
      <c r="G365" s="816"/>
      <c r="H365" s="817"/>
      <c r="I365" s="818"/>
      <c r="J365" s="816"/>
      <c r="K365" s="816"/>
      <c r="L365" s="816"/>
    </row>
    <row r="366" ht="18.75" customHeight="1">
      <c r="A366" s="822"/>
      <c r="B366" s="812"/>
      <c r="C366" s="823"/>
      <c r="D366" s="814"/>
      <c r="E366" s="824"/>
      <c r="F366" s="824"/>
      <c r="G366" s="825"/>
      <c r="H366" s="826"/>
      <c r="I366" s="827"/>
      <c r="J366" s="825"/>
      <c r="K366" s="825"/>
      <c r="L366" s="825"/>
    </row>
    <row r="367" ht="18.75" customHeight="1">
      <c r="A367" s="811"/>
      <c r="B367" s="812"/>
      <c r="C367" s="813"/>
      <c r="D367" s="814"/>
      <c r="E367" s="815"/>
      <c r="F367" s="815"/>
      <c r="G367" s="816"/>
      <c r="H367" s="817"/>
      <c r="I367" s="818"/>
      <c r="J367" s="816"/>
      <c r="K367" s="816"/>
      <c r="L367" s="816"/>
    </row>
    <row r="368" ht="18.75" customHeight="1">
      <c r="A368" s="822"/>
      <c r="B368" s="812"/>
      <c r="C368" s="823"/>
      <c r="D368" s="814"/>
      <c r="E368" s="824"/>
      <c r="F368" s="824"/>
      <c r="G368" s="825"/>
      <c r="H368" s="826"/>
      <c r="I368" s="827"/>
      <c r="J368" s="825"/>
      <c r="K368" s="825"/>
      <c r="L368" s="825"/>
    </row>
    <row r="369" ht="18.75" customHeight="1">
      <c r="A369" s="811"/>
      <c r="B369" s="812"/>
      <c r="C369" s="813"/>
      <c r="D369" s="814"/>
      <c r="E369" s="815"/>
      <c r="F369" s="815"/>
      <c r="G369" s="816"/>
      <c r="H369" s="817"/>
      <c r="I369" s="818"/>
      <c r="J369" s="816"/>
      <c r="K369" s="816"/>
      <c r="L369" s="816"/>
    </row>
    <row r="370" ht="18.75" customHeight="1">
      <c r="A370" s="822"/>
      <c r="B370" s="812"/>
      <c r="C370" s="823"/>
      <c r="D370" s="814"/>
      <c r="E370" s="824"/>
      <c r="F370" s="824"/>
      <c r="G370" s="825"/>
      <c r="H370" s="826"/>
      <c r="I370" s="827"/>
      <c r="J370" s="825"/>
      <c r="K370" s="825"/>
      <c r="L370" s="825"/>
    </row>
    <row r="371" ht="18.75" customHeight="1">
      <c r="A371" s="811"/>
      <c r="B371" s="812"/>
      <c r="C371" s="813"/>
      <c r="D371" s="814"/>
      <c r="E371" s="815"/>
      <c r="F371" s="815"/>
      <c r="G371" s="816"/>
      <c r="H371" s="817"/>
      <c r="I371" s="818"/>
      <c r="J371" s="816"/>
      <c r="K371" s="816"/>
      <c r="L371" s="816"/>
    </row>
    <row r="372" ht="18.75" customHeight="1">
      <c r="A372" s="822"/>
      <c r="B372" s="812"/>
      <c r="C372" s="823"/>
      <c r="D372" s="814"/>
      <c r="E372" s="824"/>
      <c r="F372" s="824"/>
      <c r="G372" s="825"/>
      <c r="H372" s="826"/>
      <c r="I372" s="827"/>
      <c r="J372" s="825"/>
      <c r="K372" s="825"/>
      <c r="L372" s="825"/>
    </row>
    <row r="373" ht="18.75" customHeight="1">
      <c r="A373" s="811"/>
      <c r="B373" s="812"/>
      <c r="C373" s="813"/>
      <c r="D373" s="814"/>
      <c r="E373" s="815"/>
      <c r="F373" s="815"/>
      <c r="G373" s="816"/>
      <c r="H373" s="817"/>
      <c r="I373" s="818"/>
      <c r="J373" s="816"/>
      <c r="K373" s="816"/>
      <c r="L373" s="816"/>
    </row>
    <row r="374" ht="18.75" customHeight="1">
      <c r="A374" s="822"/>
      <c r="B374" s="812"/>
      <c r="C374" s="823"/>
      <c r="D374" s="814"/>
      <c r="E374" s="824"/>
      <c r="F374" s="824"/>
      <c r="G374" s="825"/>
      <c r="H374" s="826"/>
      <c r="I374" s="827"/>
      <c r="J374" s="825"/>
      <c r="K374" s="825"/>
      <c r="L374" s="825"/>
    </row>
    <row r="375" ht="18.75" customHeight="1">
      <c r="A375" s="811"/>
      <c r="B375" s="812"/>
      <c r="C375" s="813"/>
      <c r="D375" s="814"/>
      <c r="E375" s="815"/>
      <c r="F375" s="815"/>
      <c r="G375" s="816"/>
      <c r="H375" s="817"/>
      <c r="I375" s="818"/>
      <c r="J375" s="816"/>
      <c r="K375" s="816"/>
      <c r="L375" s="816"/>
    </row>
    <row r="376" ht="18.75" customHeight="1">
      <c r="A376" s="822"/>
      <c r="B376" s="812"/>
      <c r="C376" s="823"/>
      <c r="D376" s="814"/>
      <c r="E376" s="824"/>
      <c r="F376" s="824"/>
      <c r="G376" s="825"/>
      <c r="H376" s="826"/>
      <c r="I376" s="827"/>
      <c r="J376" s="825"/>
      <c r="K376" s="825"/>
      <c r="L376" s="825"/>
    </row>
    <row r="377" ht="18.75" customHeight="1">
      <c r="A377" s="811"/>
      <c r="B377" s="812"/>
      <c r="C377" s="813"/>
      <c r="D377" s="814"/>
      <c r="E377" s="815"/>
      <c r="F377" s="815"/>
      <c r="G377" s="816"/>
      <c r="H377" s="817"/>
      <c r="I377" s="818"/>
      <c r="J377" s="816"/>
      <c r="K377" s="816"/>
      <c r="L377" s="816"/>
    </row>
    <row r="378" ht="18.75" customHeight="1">
      <c r="A378" s="822"/>
      <c r="B378" s="812"/>
      <c r="C378" s="823"/>
      <c r="D378" s="814"/>
      <c r="E378" s="824"/>
      <c r="F378" s="824"/>
      <c r="G378" s="825"/>
      <c r="H378" s="826"/>
      <c r="I378" s="827"/>
      <c r="J378" s="825"/>
      <c r="K378" s="825"/>
      <c r="L378" s="825"/>
    </row>
    <row r="379" ht="18.75" customHeight="1">
      <c r="A379" s="811"/>
      <c r="B379" s="812"/>
      <c r="C379" s="813"/>
      <c r="D379" s="814"/>
      <c r="E379" s="815"/>
      <c r="F379" s="815"/>
      <c r="G379" s="816"/>
      <c r="H379" s="817"/>
      <c r="I379" s="818"/>
      <c r="J379" s="816"/>
      <c r="K379" s="816"/>
      <c r="L379" s="816"/>
    </row>
    <row r="380" ht="18.75" customHeight="1">
      <c r="A380" s="822"/>
      <c r="B380" s="812"/>
      <c r="C380" s="823"/>
      <c r="D380" s="814"/>
      <c r="E380" s="824"/>
      <c r="F380" s="824"/>
      <c r="G380" s="825"/>
      <c r="H380" s="826"/>
      <c r="I380" s="827"/>
      <c r="J380" s="825"/>
      <c r="K380" s="825"/>
      <c r="L380" s="825"/>
    </row>
    <row r="381" ht="18.75" customHeight="1">
      <c r="A381" s="811"/>
      <c r="B381" s="812"/>
      <c r="C381" s="813"/>
      <c r="D381" s="814"/>
      <c r="E381" s="815"/>
      <c r="F381" s="815"/>
      <c r="G381" s="816"/>
      <c r="H381" s="817"/>
      <c r="I381" s="818"/>
      <c r="J381" s="816"/>
      <c r="K381" s="816"/>
      <c r="L381" s="816"/>
    </row>
    <row r="382" ht="18.75" customHeight="1">
      <c r="A382" s="822"/>
      <c r="B382" s="812"/>
      <c r="C382" s="823"/>
      <c r="D382" s="814"/>
      <c r="E382" s="824"/>
      <c r="F382" s="824"/>
      <c r="G382" s="825"/>
      <c r="H382" s="826"/>
      <c r="I382" s="827"/>
      <c r="J382" s="825"/>
      <c r="K382" s="825"/>
      <c r="L382" s="825"/>
    </row>
    <row r="383" ht="18.75" customHeight="1">
      <c r="A383" s="811"/>
      <c r="B383" s="812"/>
      <c r="C383" s="813"/>
      <c r="D383" s="814"/>
      <c r="E383" s="815"/>
      <c r="F383" s="815"/>
      <c r="G383" s="816"/>
      <c r="H383" s="817"/>
      <c r="I383" s="818"/>
      <c r="J383" s="816"/>
      <c r="K383" s="816"/>
      <c r="L383" s="816"/>
    </row>
    <row r="384" ht="18.75" customHeight="1">
      <c r="A384" s="822"/>
      <c r="B384" s="812"/>
      <c r="C384" s="823"/>
      <c r="D384" s="814"/>
      <c r="E384" s="824"/>
      <c r="F384" s="824"/>
      <c r="G384" s="825"/>
      <c r="H384" s="826"/>
      <c r="I384" s="827"/>
      <c r="J384" s="825"/>
      <c r="K384" s="825"/>
      <c r="L384" s="825"/>
    </row>
    <row r="385" ht="18.75" customHeight="1">
      <c r="A385" s="811"/>
      <c r="B385" s="812"/>
      <c r="C385" s="813"/>
      <c r="D385" s="814"/>
      <c r="E385" s="815"/>
      <c r="F385" s="815"/>
      <c r="G385" s="816"/>
      <c r="H385" s="817"/>
      <c r="I385" s="818"/>
      <c r="J385" s="816"/>
      <c r="K385" s="816"/>
      <c r="L385" s="816"/>
    </row>
    <row r="386" ht="18.75" customHeight="1">
      <c r="A386" s="822"/>
      <c r="B386" s="812"/>
      <c r="C386" s="823"/>
      <c r="D386" s="814"/>
      <c r="E386" s="824"/>
      <c r="F386" s="824"/>
      <c r="G386" s="825"/>
      <c r="H386" s="826"/>
      <c r="I386" s="827"/>
      <c r="J386" s="825"/>
      <c r="K386" s="825"/>
      <c r="L386" s="825"/>
    </row>
    <row r="387" ht="18.75" customHeight="1">
      <c r="A387" s="811"/>
      <c r="B387" s="812"/>
      <c r="C387" s="813"/>
      <c r="D387" s="814"/>
      <c r="E387" s="815"/>
      <c r="F387" s="815"/>
      <c r="G387" s="816"/>
      <c r="H387" s="817"/>
      <c r="I387" s="818"/>
      <c r="J387" s="816"/>
      <c r="K387" s="816"/>
      <c r="L387" s="816"/>
    </row>
    <row r="388" ht="18.75" customHeight="1">
      <c r="A388" s="822"/>
      <c r="B388" s="812"/>
      <c r="C388" s="823"/>
      <c r="D388" s="814"/>
      <c r="E388" s="824"/>
      <c r="F388" s="824"/>
      <c r="G388" s="825"/>
      <c r="H388" s="826"/>
      <c r="I388" s="827"/>
      <c r="J388" s="825"/>
      <c r="K388" s="825"/>
      <c r="L388" s="825"/>
    </row>
    <row r="389" ht="18.75" customHeight="1">
      <c r="A389" s="811"/>
      <c r="B389" s="812"/>
      <c r="C389" s="813"/>
      <c r="D389" s="814"/>
      <c r="E389" s="815"/>
      <c r="F389" s="815"/>
      <c r="G389" s="816"/>
      <c r="H389" s="817"/>
      <c r="I389" s="818"/>
      <c r="J389" s="816"/>
      <c r="K389" s="816"/>
      <c r="L389" s="816"/>
    </row>
    <row r="390" ht="18.75" customHeight="1">
      <c r="A390" s="822"/>
      <c r="B390" s="812"/>
      <c r="C390" s="823"/>
      <c r="D390" s="814"/>
      <c r="E390" s="824"/>
      <c r="F390" s="824"/>
      <c r="G390" s="825"/>
      <c r="H390" s="826"/>
      <c r="I390" s="827"/>
      <c r="J390" s="825"/>
      <c r="K390" s="825"/>
      <c r="L390" s="825"/>
    </row>
    <row r="391" ht="18.75" customHeight="1">
      <c r="A391" s="811"/>
      <c r="B391" s="812"/>
      <c r="C391" s="813"/>
      <c r="D391" s="814"/>
      <c r="E391" s="815"/>
      <c r="F391" s="815"/>
      <c r="G391" s="816"/>
      <c r="H391" s="817"/>
      <c r="I391" s="818"/>
      <c r="J391" s="816"/>
      <c r="K391" s="816"/>
      <c r="L391" s="816"/>
    </row>
    <row r="392" ht="18.75" customHeight="1">
      <c r="A392" s="822"/>
      <c r="B392" s="812"/>
      <c r="C392" s="823"/>
      <c r="D392" s="814"/>
      <c r="E392" s="824"/>
      <c r="F392" s="824"/>
      <c r="G392" s="825"/>
      <c r="H392" s="826"/>
      <c r="I392" s="827"/>
      <c r="J392" s="825"/>
      <c r="K392" s="825"/>
      <c r="L392" s="825"/>
    </row>
    <row r="393" ht="18.75" customHeight="1">
      <c r="A393" s="811"/>
      <c r="B393" s="812"/>
      <c r="C393" s="813"/>
      <c r="D393" s="814"/>
      <c r="E393" s="815"/>
      <c r="F393" s="815"/>
      <c r="G393" s="816"/>
      <c r="H393" s="817"/>
      <c r="I393" s="818"/>
      <c r="J393" s="816"/>
      <c r="K393" s="816"/>
      <c r="L393" s="816"/>
    </row>
    <row r="394" ht="18.75" customHeight="1">
      <c r="A394" s="822"/>
      <c r="B394" s="812"/>
      <c r="C394" s="823"/>
      <c r="D394" s="814"/>
      <c r="E394" s="824"/>
      <c r="F394" s="824"/>
      <c r="G394" s="825"/>
      <c r="H394" s="826"/>
      <c r="I394" s="827"/>
      <c r="J394" s="825"/>
      <c r="K394" s="825"/>
      <c r="L394" s="825"/>
    </row>
    <row r="395" ht="18.75" customHeight="1">
      <c r="A395" s="811"/>
      <c r="B395" s="812"/>
      <c r="C395" s="813"/>
      <c r="D395" s="814"/>
      <c r="E395" s="815"/>
      <c r="F395" s="815"/>
      <c r="G395" s="816"/>
      <c r="H395" s="817"/>
      <c r="I395" s="818"/>
      <c r="J395" s="816"/>
      <c r="K395" s="816"/>
      <c r="L395" s="816"/>
    </row>
    <row r="396" ht="18.75" customHeight="1">
      <c r="A396" s="822"/>
      <c r="B396" s="812"/>
      <c r="C396" s="823"/>
      <c r="D396" s="814"/>
      <c r="E396" s="824"/>
      <c r="F396" s="824"/>
      <c r="G396" s="825"/>
      <c r="H396" s="826"/>
      <c r="I396" s="827"/>
      <c r="J396" s="825"/>
      <c r="K396" s="825"/>
      <c r="L396" s="825"/>
    </row>
    <row r="397" ht="18.75" customHeight="1">
      <c r="A397" s="811"/>
      <c r="B397" s="812"/>
      <c r="C397" s="813"/>
      <c r="D397" s="814"/>
      <c r="E397" s="815"/>
      <c r="F397" s="815"/>
      <c r="G397" s="816"/>
      <c r="H397" s="817"/>
      <c r="I397" s="818"/>
      <c r="J397" s="816"/>
      <c r="K397" s="816"/>
      <c r="L397" s="816"/>
    </row>
    <row r="398" ht="18.75" customHeight="1">
      <c r="A398" s="822"/>
      <c r="B398" s="812"/>
      <c r="C398" s="823"/>
      <c r="D398" s="814"/>
      <c r="E398" s="824"/>
      <c r="F398" s="824"/>
      <c r="G398" s="825"/>
      <c r="H398" s="826"/>
      <c r="I398" s="827"/>
      <c r="J398" s="825"/>
      <c r="K398" s="825"/>
      <c r="L398" s="825"/>
    </row>
    <row r="399" ht="18.75" customHeight="1">
      <c r="A399" s="811"/>
      <c r="B399" s="812"/>
      <c r="C399" s="813"/>
      <c r="D399" s="814"/>
      <c r="E399" s="815"/>
      <c r="F399" s="815"/>
      <c r="G399" s="816"/>
      <c r="H399" s="817"/>
      <c r="I399" s="818"/>
      <c r="J399" s="816"/>
      <c r="K399" s="816"/>
      <c r="L399" s="816"/>
    </row>
    <row r="400" ht="18.75" customHeight="1">
      <c r="A400" s="822"/>
      <c r="B400" s="812"/>
      <c r="C400" s="823"/>
      <c r="D400" s="814"/>
      <c r="E400" s="824"/>
      <c r="F400" s="824"/>
      <c r="G400" s="825"/>
      <c r="H400" s="826"/>
      <c r="I400" s="827"/>
      <c r="J400" s="825"/>
      <c r="K400" s="825"/>
      <c r="L400" s="825"/>
    </row>
    <row r="401" ht="18.75" customHeight="1">
      <c r="A401" s="811"/>
      <c r="B401" s="812"/>
      <c r="C401" s="813"/>
      <c r="D401" s="814"/>
      <c r="E401" s="815"/>
      <c r="F401" s="815"/>
      <c r="G401" s="816"/>
      <c r="H401" s="817"/>
      <c r="I401" s="818"/>
      <c r="J401" s="816"/>
      <c r="K401" s="816"/>
      <c r="L401" s="816"/>
    </row>
    <row r="402" ht="18.75" customHeight="1">
      <c r="A402" s="822"/>
      <c r="B402" s="812"/>
      <c r="C402" s="823"/>
      <c r="D402" s="814"/>
      <c r="E402" s="824"/>
      <c r="F402" s="824"/>
      <c r="G402" s="825"/>
      <c r="H402" s="826"/>
      <c r="I402" s="827"/>
      <c r="J402" s="825"/>
      <c r="K402" s="825"/>
      <c r="L402" s="825"/>
    </row>
    <row r="403" ht="18.75" customHeight="1">
      <c r="A403" s="811"/>
      <c r="B403" s="812"/>
      <c r="C403" s="813"/>
      <c r="D403" s="814"/>
      <c r="E403" s="815"/>
      <c r="F403" s="815"/>
      <c r="G403" s="816"/>
      <c r="H403" s="817"/>
      <c r="I403" s="818"/>
      <c r="J403" s="816"/>
      <c r="K403" s="816"/>
      <c r="L403" s="816"/>
    </row>
    <row r="404" ht="18.75" customHeight="1">
      <c r="A404" s="822"/>
      <c r="B404" s="812"/>
      <c r="C404" s="823"/>
      <c r="D404" s="814"/>
      <c r="E404" s="824"/>
      <c r="F404" s="824"/>
      <c r="G404" s="825"/>
      <c r="H404" s="826"/>
      <c r="I404" s="827"/>
      <c r="J404" s="825"/>
      <c r="K404" s="825"/>
      <c r="L404" s="825"/>
    </row>
    <row r="405" ht="18.75" customHeight="1">
      <c r="A405" s="811"/>
      <c r="B405" s="812"/>
      <c r="C405" s="813"/>
      <c r="D405" s="814"/>
      <c r="E405" s="815"/>
      <c r="F405" s="815"/>
      <c r="G405" s="816"/>
      <c r="H405" s="817"/>
      <c r="I405" s="818"/>
      <c r="J405" s="816"/>
      <c r="K405" s="816"/>
      <c r="L405" s="816"/>
    </row>
    <row r="406" ht="18.75" customHeight="1">
      <c r="A406" s="822"/>
      <c r="B406" s="812"/>
      <c r="C406" s="823"/>
      <c r="D406" s="814"/>
      <c r="E406" s="824"/>
      <c r="F406" s="824"/>
      <c r="G406" s="825"/>
      <c r="H406" s="826"/>
      <c r="I406" s="827"/>
      <c r="J406" s="825"/>
      <c r="K406" s="825"/>
      <c r="L406" s="825"/>
    </row>
    <row r="407" ht="18.75" customHeight="1">
      <c r="A407" s="811"/>
      <c r="B407" s="812"/>
      <c r="C407" s="813"/>
      <c r="D407" s="814"/>
      <c r="E407" s="815"/>
      <c r="F407" s="815"/>
      <c r="G407" s="816"/>
      <c r="H407" s="817"/>
      <c r="I407" s="818"/>
      <c r="J407" s="816"/>
      <c r="K407" s="816"/>
      <c r="L407" s="816"/>
    </row>
    <row r="408" ht="18.75" customHeight="1">
      <c r="A408" s="822"/>
      <c r="B408" s="812"/>
      <c r="C408" s="823"/>
      <c r="D408" s="814"/>
      <c r="E408" s="824"/>
      <c r="F408" s="824"/>
      <c r="G408" s="825"/>
      <c r="H408" s="826"/>
      <c r="I408" s="827"/>
      <c r="J408" s="825"/>
      <c r="K408" s="825"/>
      <c r="L408" s="825"/>
    </row>
    <row r="409" ht="18.75" customHeight="1">
      <c r="A409" s="811"/>
      <c r="B409" s="812"/>
      <c r="C409" s="813"/>
      <c r="D409" s="814"/>
      <c r="E409" s="815"/>
      <c r="F409" s="815"/>
      <c r="G409" s="816"/>
      <c r="H409" s="817"/>
      <c r="I409" s="818"/>
      <c r="J409" s="816"/>
      <c r="K409" s="816"/>
      <c r="L409" s="816"/>
    </row>
    <row r="410" ht="18.75" customHeight="1">
      <c r="A410" s="822"/>
      <c r="B410" s="812"/>
      <c r="C410" s="823"/>
      <c r="D410" s="814"/>
      <c r="E410" s="824"/>
      <c r="F410" s="824"/>
      <c r="G410" s="825"/>
      <c r="H410" s="826"/>
      <c r="I410" s="827"/>
      <c r="J410" s="825"/>
      <c r="K410" s="825"/>
      <c r="L410" s="825"/>
    </row>
    <row r="411" ht="18.75" customHeight="1">
      <c r="A411" s="811"/>
      <c r="B411" s="812"/>
      <c r="C411" s="813"/>
      <c r="D411" s="814"/>
      <c r="E411" s="815"/>
      <c r="F411" s="815"/>
      <c r="G411" s="816"/>
      <c r="H411" s="817"/>
      <c r="I411" s="818"/>
      <c r="J411" s="816"/>
      <c r="K411" s="816"/>
      <c r="L411" s="816"/>
    </row>
    <row r="412" ht="18.75" customHeight="1">
      <c r="A412" s="822"/>
      <c r="B412" s="812"/>
      <c r="C412" s="823"/>
      <c r="D412" s="814"/>
      <c r="E412" s="824"/>
      <c r="F412" s="824"/>
      <c r="G412" s="825"/>
      <c r="H412" s="826"/>
      <c r="I412" s="827"/>
      <c r="J412" s="825"/>
      <c r="K412" s="825"/>
      <c r="L412" s="825"/>
    </row>
    <row r="413" ht="18.75" customHeight="1">
      <c r="A413" s="811"/>
      <c r="B413" s="812"/>
      <c r="C413" s="813"/>
      <c r="D413" s="814"/>
      <c r="E413" s="815"/>
      <c r="F413" s="815"/>
      <c r="G413" s="816"/>
      <c r="H413" s="817"/>
      <c r="I413" s="818"/>
      <c r="J413" s="816"/>
      <c r="K413" s="816"/>
      <c r="L413" s="816"/>
    </row>
    <row r="414" ht="18.75" customHeight="1">
      <c r="A414" s="822"/>
      <c r="B414" s="812"/>
      <c r="C414" s="823"/>
      <c r="D414" s="814"/>
      <c r="E414" s="824"/>
      <c r="F414" s="824"/>
      <c r="G414" s="825"/>
      <c r="H414" s="826"/>
      <c r="I414" s="827"/>
      <c r="J414" s="825"/>
      <c r="K414" s="825"/>
      <c r="L414" s="825"/>
    </row>
    <row r="415" ht="18.75" customHeight="1">
      <c r="A415" s="811"/>
      <c r="B415" s="812"/>
      <c r="C415" s="813"/>
      <c r="D415" s="814"/>
      <c r="E415" s="815"/>
      <c r="F415" s="815"/>
      <c r="G415" s="816"/>
      <c r="H415" s="817"/>
      <c r="I415" s="818"/>
      <c r="J415" s="816"/>
      <c r="K415" s="816"/>
      <c r="L415" s="816"/>
    </row>
    <row r="416" ht="18.75" customHeight="1">
      <c r="A416" s="822"/>
      <c r="B416" s="812"/>
      <c r="C416" s="823"/>
      <c r="D416" s="814"/>
      <c r="E416" s="824"/>
      <c r="F416" s="824"/>
      <c r="G416" s="825"/>
      <c r="H416" s="826"/>
      <c r="I416" s="827"/>
      <c r="J416" s="825"/>
      <c r="K416" s="825"/>
      <c r="L416" s="825"/>
    </row>
    <row r="417" ht="18.75" customHeight="1">
      <c r="A417" s="811"/>
      <c r="B417" s="812"/>
      <c r="C417" s="813"/>
      <c r="D417" s="814"/>
      <c r="E417" s="815"/>
      <c r="F417" s="815"/>
      <c r="G417" s="816"/>
      <c r="H417" s="817"/>
      <c r="I417" s="818"/>
      <c r="J417" s="816"/>
      <c r="K417" s="816"/>
      <c r="L417" s="816"/>
    </row>
    <row r="418" ht="18.75" customHeight="1">
      <c r="A418" s="822"/>
      <c r="B418" s="812"/>
      <c r="C418" s="823"/>
      <c r="D418" s="814"/>
      <c r="E418" s="824"/>
      <c r="F418" s="824"/>
      <c r="G418" s="825"/>
      <c r="H418" s="826"/>
      <c r="I418" s="827"/>
      <c r="J418" s="825"/>
      <c r="K418" s="825"/>
      <c r="L418" s="825"/>
    </row>
    <row r="419" ht="18.75" customHeight="1">
      <c r="A419" s="811"/>
      <c r="B419" s="812"/>
      <c r="C419" s="813"/>
      <c r="D419" s="814"/>
      <c r="E419" s="815"/>
      <c r="F419" s="815"/>
      <c r="G419" s="816"/>
      <c r="H419" s="817"/>
      <c r="I419" s="818"/>
      <c r="J419" s="816"/>
      <c r="K419" s="816"/>
      <c r="L419" s="816"/>
    </row>
    <row r="420" ht="18.75" customHeight="1">
      <c r="A420" s="822"/>
      <c r="B420" s="812"/>
      <c r="C420" s="823"/>
      <c r="D420" s="814"/>
      <c r="E420" s="824"/>
      <c r="F420" s="824"/>
      <c r="G420" s="825"/>
      <c r="H420" s="826"/>
      <c r="I420" s="827"/>
      <c r="J420" s="825"/>
      <c r="K420" s="825"/>
      <c r="L420" s="825"/>
    </row>
    <row r="421" ht="18.75" customHeight="1">
      <c r="A421" s="811"/>
      <c r="B421" s="812"/>
      <c r="C421" s="813"/>
      <c r="D421" s="814"/>
      <c r="E421" s="815"/>
      <c r="F421" s="815"/>
      <c r="G421" s="816"/>
      <c r="H421" s="817"/>
      <c r="I421" s="818"/>
      <c r="J421" s="816"/>
      <c r="K421" s="816"/>
      <c r="L421" s="816"/>
    </row>
    <row r="422" ht="18.75" customHeight="1">
      <c r="A422" s="822"/>
      <c r="B422" s="812"/>
      <c r="C422" s="823"/>
      <c r="D422" s="814"/>
      <c r="E422" s="824"/>
      <c r="F422" s="824"/>
      <c r="G422" s="825"/>
      <c r="H422" s="826"/>
      <c r="I422" s="827"/>
      <c r="J422" s="825"/>
      <c r="K422" s="825"/>
      <c r="L422" s="825"/>
    </row>
    <row r="423" ht="18.75" customHeight="1">
      <c r="A423" s="811"/>
      <c r="B423" s="812"/>
      <c r="C423" s="813"/>
      <c r="D423" s="814"/>
      <c r="E423" s="815"/>
      <c r="F423" s="815"/>
      <c r="G423" s="816"/>
      <c r="H423" s="817"/>
      <c r="I423" s="818"/>
      <c r="J423" s="816"/>
      <c r="K423" s="816"/>
      <c r="L423" s="816"/>
    </row>
    <row r="424" ht="18.75" customHeight="1">
      <c r="A424" s="822"/>
      <c r="B424" s="812"/>
      <c r="C424" s="823"/>
      <c r="D424" s="814"/>
      <c r="E424" s="824"/>
      <c r="F424" s="824"/>
      <c r="G424" s="825"/>
      <c r="H424" s="826"/>
      <c r="I424" s="827"/>
      <c r="J424" s="825"/>
      <c r="K424" s="825"/>
      <c r="L424" s="825"/>
    </row>
    <row r="425" ht="18.75" customHeight="1">
      <c r="A425" s="811"/>
      <c r="B425" s="812"/>
      <c r="C425" s="813"/>
      <c r="D425" s="814"/>
      <c r="E425" s="815"/>
      <c r="F425" s="815"/>
      <c r="G425" s="816"/>
      <c r="H425" s="817"/>
      <c r="I425" s="818"/>
      <c r="J425" s="816"/>
      <c r="K425" s="816"/>
      <c r="L425" s="816"/>
    </row>
    <row r="426" ht="18.75" customHeight="1">
      <c r="A426" s="822"/>
      <c r="B426" s="812"/>
      <c r="C426" s="823"/>
      <c r="D426" s="814"/>
      <c r="E426" s="824"/>
      <c r="F426" s="824"/>
      <c r="G426" s="825"/>
      <c r="H426" s="826"/>
      <c r="I426" s="827"/>
      <c r="J426" s="825"/>
      <c r="K426" s="825"/>
      <c r="L426" s="825"/>
    </row>
    <row r="427" ht="18.75" customHeight="1">
      <c r="A427" s="811"/>
      <c r="B427" s="812"/>
      <c r="C427" s="813"/>
      <c r="D427" s="814"/>
      <c r="E427" s="815"/>
      <c r="F427" s="815"/>
      <c r="G427" s="816"/>
      <c r="H427" s="817"/>
      <c r="I427" s="818"/>
      <c r="J427" s="816"/>
      <c r="K427" s="816"/>
      <c r="L427" s="816"/>
    </row>
    <row r="428" ht="18.75" customHeight="1">
      <c r="A428" s="822"/>
      <c r="B428" s="812"/>
      <c r="C428" s="823"/>
      <c r="D428" s="814"/>
      <c r="E428" s="824"/>
      <c r="F428" s="824"/>
      <c r="G428" s="825"/>
      <c r="H428" s="826"/>
      <c r="I428" s="827"/>
      <c r="J428" s="825"/>
      <c r="K428" s="825"/>
      <c r="L428" s="825"/>
    </row>
    <row r="429" ht="18.75" customHeight="1">
      <c r="A429" s="811"/>
      <c r="B429" s="812"/>
      <c r="C429" s="813"/>
      <c r="D429" s="814"/>
      <c r="E429" s="815"/>
      <c r="F429" s="815"/>
      <c r="G429" s="816"/>
      <c r="H429" s="817"/>
      <c r="I429" s="818"/>
      <c r="J429" s="816"/>
      <c r="K429" s="816"/>
      <c r="L429" s="816"/>
    </row>
    <row r="430" ht="18.75" customHeight="1">
      <c r="A430" s="822"/>
      <c r="B430" s="812"/>
      <c r="C430" s="823"/>
      <c r="D430" s="814"/>
      <c r="E430" s="824"/>
      <c r="F430" s="824"/>
      <c r="G430" s="825"/>
      <c r="H430" s="826"/>
      <c r="I430" s="827"/>
      <c r="J430" s="825"/>
      <c r="K430" s="825"/>
      <c r="L430" s="825"/>
    </row>
    <row r="431" ht="18.75" customHeight="1">
      <c r="A431" s="811"/>
      <c r="B431" s="812"/>
      <c r="C431" s="813"/>
      <c r="D431" s="814"/>
      <c r="E431" s="815"/>
      <c r="F431" s="815"/>
      <c r="G431" s="816"/>
      <c r="H431" s="817"/>
      <c r="I431" s="818"/>
      <c r="J431" s="816"/>
      <c r="K431" s="816"/>
      <c r="L431" s="816"/>
    </row>
    <row r="432" ht="18.75" customHeight="1">
      <c r="A432" s="822"/>
      <c r="B432" s="812"/>
      <c r="C432" s="823"/>
      <c r="D432" s="814"/>
      <c r="E432" s="824"/>
      <c r="F432" s="824"/>
      <c r="G432" s="825"/>
      <c r="H432" s="826"/>
      <c r="I432" s="827"/>
      <c r="J432" s="825"/>
      <c r="K432" s="825"/>
      <c r="L432" s="825"/>
    </row>
    <row r="433" ht="18.75" customHeight="1">
      <c r="A433" s="811"/>
      <c r="B433" s="812"/>
      <c r="C433" s="813"/>
      <c r="D433" s="814"/>
      <c r="E433" s="815"/>
      <c r="F433" s="815"/>
      <c r="G433" s="816"/>
      <c r="H433" s="817"/>
      <c r="I433" s="818"/>
      <c r="J433" s="816"/>
      <c r="K433" s="816"/>
      <c r="L433" s="816"/>
    </row>
    <row r="434" ht="18.75" customHeight="1">
      <c r="A434" s="822"/>
      <c r="B434" s="812"/>
      <c r="C434" s="823"/>
      <c r="D434" s="814"/>
      <c r="E434" s="824"/>
      <c r="F434" s="824"/>
      <c r="G434" s="825"/>
      <c r="H434" s="826"/>
      <c r="I434" s="827"/>
      <c r="J434" s="825"/>
      <c r="K434" s="825"/>
      <c r="L434" s="825"/>
    </row>
    <row r="435" ht="18.75" customHeight="1">
      <c r="A435" s="811"/>
      <c r="B435" s="812"/>
      <c r="C435" s="813"/>
      <c r="D435" s="814"/>
      <c r="E435" s="815"/>
      <c r="F435" s="815"/>
      <c r="G435" s="816"/>
      <c r="H435" s="817"/>
      <c r="I435" s="818"/>
      <c r="J435" s="816"/>
      <c r="K435" s="816"/>
      <c r="L435" s="816"/>
    </row>
    <row r="436" ht="18.75" customHeight="1">
      <c r="A436" s="822"/>
      <c r="B436" s="812"/>
      <c r="C436" s="823"/>
      <c r="D436" s="814"/>
      <c r="E436" s="824"/>
      <c r="F436" s="824"/>
      <c r="G436" s="825"/>
      <c r="H436" s="826"/>
      <c r="I436" s="827"/>
      <c r="J436" s="825"/>
      <c r="K436" s="825"/>
      <c r="L436" s="825"/>
    </row>
    <row r="437" ht="18.75" customHeight="1">
      <c r="A437" s="811"/>
      <c r="B437" s="812"/>
      <c r="C437" s="813"/>
      <c r="D437" s="814"/>
      <c r="E437" s="815"/>
      <c r="F437" s="815"/>
      <c r="G437" s="816"/>
      <c r="H437" s="817"/>
      <c r="I437" s="818"/>
      <c r="J437" s="816"/>
      <c r="K437" s="816"/>
      <c r="L437" s="816"/>
    </row>
    <row r="438" ht="18.75" customHeight="1">
      <c r="A438" s="822"/>
      <c r="B438" s="812"/>
      <c r="C438" s="823"/>
      <c r="D438" s="814"/>
      <c r="E438" s="824"/>
      <c r="F438" s="824"/>
      <c r="G438" s="825"/>
      <c r="H438" s="826"/>
      <c r="I438" s="827"/>
      <c r="J438" s="825"/>
      <c r="K438" s="825"/>
      <c r="L438" s="825"/>
    </row>
    <row r="439" ht="18.75" customHeight="1">
      <c r="A439" s="811"/>
      <c r="B439" s="812"/>
      <c r="C439" s="813"/>
      <c r="D439" s="814"/>
      <c r="E439" s="815"/>
      <c r="F439" s="815"/>
      <c r="G439" s="816"/>
      <c r="H439" s="817"/>
      <c r="I439" s="818"/>
      <c r="J439" s="816"/>
      <c r="K439" s="816"/>
      <c r="L439" s="816"/>
    </row>
    <row r="440" ht="18.75" customHeight="1">
      <c r="A440" s="822"/>
      <c r="B440" s="812"/>
      <c r="C440" s="823"/>
      <c r="D440" s="814"/>
      <c r="E440" s="824"/>
      <c r="F440" s="824"/>
      <c r="G440" s="825"/>
      <c r="H440" s="826"/>
      <c r="I440" s="827"/>
      <c r="J440" s="825"/>
      <c r="K440" s="825"/>
      <c r="L440" s="825"/>
    </row>
    <row r="441" ht="18.75" customHeight="1">
      <c r="A441" s="811"/>
      <c r="B441" s="812"/>
      <c r="C441" s="813"/>
      <c r="D441" s="814"/>
      <c r="E441" s="815"/>
      <c r="F441" s="815"/>
      <c r="G441" s="816"/>
      <c r="H441" s="817"/>
      <c r="I441" s="818"/>
      <c r="J441" s="816"/>
      <c r="K441" s="816"/>
      <c r="L441" s="816"/>
    </row>
    <row r="442" ht="18.75" customHeight="1">
      <c r="A442" s="822"/>
      <c r="B442" s="812"/>
      <c r="C442" s="823"/>
      <c r="D442" s="814"/>
      <c r="E442" s="824"/>
      <c r="F442" s="824"/>
      <c r="G442" s="825"/>
      <c r="H442" s="826"/>
      <c r="I442" s="827"/>
      <c r="J442" s="825"/>
      <c r="K442" s="825"/>
      <c r="L442" s="825"/>
    </row>
    <row r="443" ht="18.75" customHeight="1">
      <c r="A443" s="811"/>
      <c r="B443" s="812"/>
      <c r="C443" s="813"/>
      <c r="D443" s="814"/>
      <c r="E443" s="815"/>
      <c r="F443" s="815"/>
      <c r="G443" s="816"/>
      <c r="H443" s="817"/>
      <c r="I443" s="818"/>
      <c r="J443" s="816"/>
      <c r="K443" s="816"/>
      <c r="L443" s="816"/>
    </row>
    <row r="444" ht="18.75" customHeight="1">
      <c r="A444" s="822"/>
      <c r="B444" s="812"/>
      <c r="C444" s="823"/>
      <c r="D444" s="814"/>
      <c r="E444" s="824"/>
      <c r="F444" s="824"/>
      <c r="G444" s="825"/>
      <c r="H444" s="826"/>
      <c r="I444" s="827"/>
      <c r="J444" s="825"/>
      <c r="K444" s="825"/>
      <c r="L444" s="825"/>
    </row>
    <row r="445" ht="18.75" customHeight="1">
      <c r="A445" s="811"/>
      <c r="B445" s="812"/>
      <c r="C445" s="813"/>
      <c r="D445" s="814"/>
      <c r="E445" s="815"/>
      <c r="F445" s="815"/>
      <c r="G445" s="816"/>
      <c r="H445" s="817"/>
      <c r="I445" s="818"/>
      <c r="J445" s="816"/>
      <c r="K445" s="816"/>
      <c r="L445" s="816"/>
    </row>
    <row r="446" ht="18.75" customHeight="1">
      <c r="A446" s="822"/>
      <c r="B446" s="812"/>
      <c r="C446" s="823"/>
      <c r="D446" s="814"/>
      <c r="E446" s="824"/>
      <c r="F446" s="824"/>
      <c r="G446" s="825"/>
      <c r="H446" s="826"/>
      <c r="I446" s="827"/>
      <c r="J446" s="825"/>
      <c r="K446" s="825"/>
      <c r="L446" s="825"/>
    </row>
    <row r="447" ht="18.75" customHeight="1">
      <c r="A447" s="811"/>
      <c r="B447" s="812"/>
      <c r="C447" s="813"/>
      <c r="D447" s="814"/>
      <c r="E447" s="815"/>
      <c r="F447" s="815"/>
      <c r="G447" s="816"/>
      <c r="H447" s="817"/>
      <c r="I447" s="818"/>
      <c r="J447" s="816"/>
      <c r="K447" s="816"/>
      <c r="L447" s="816"/>
    </row>
    <row r="448" ht="18.75" customHeight="1">
      <c r="A448" s="822"/>
      <c r="B448" s="812"/>
      <c r="C448" s="823"/>
      <c r="D448" s="814"/>
      <c r="E448" s="824"/>
      <c r="F448" s="824"/>
      <c r="G448" s="825"/>
      <c r="H448" s="826"/>
      <c r="I448" s="827"/>
      <c r="J448" s="825"/>
      <c r="K448" s="825"/>
      <c r="L448" s="825"/>
    </row>
    <row r="449" ht="18.75" customHeight="1">
      <c r="A449" s="811"/>
      <c r="B449" s="812"/>
      <c r="C449" s="813"/>
      <c r="D449" s="814"/>
      <c r="E449" s="815"/>
      <c r="F449" s="815"/>
      <c r="G449" s="816"/>
      <c r="H449" s="817"/>
      <c r="I449" s="818"/>
      <c r="J449" s="816"/>
      <c r="K449" s="816"/>
      <c r="L449" s="816"/>
    </row>
    <row r="450" ht="18.75" customHeight="1">
      <c r="A450" s="822"/>
      <c r="B450" s="812"/>
      <c r="C450" s="823"/>
      <c r="D450" s="814"/>
      <c r="E450" s="824"/>
      <c r="F450" s="824"/>
      <c r="G450" s="825"/>
      <c r="H450" s="826"/>
      <c r="I450" s="827"/>
      <c r="J450" s="825"/>
      <c r="K450" s="825"/>
      <c r="L450" s="825"/>
    </row>
    <row r="451" ht="18.75" customHeight="1">
      <c r="A451" s="811"/>
      <c r="B451" s="812"/>
      <c r="C451" s="813"/>
      <c r="D451" s="814"/>
      <c r="E451" s="815"/>
      <c r="F451" s="815"/>
      <c r="G451" s="816"/>
      <c r="H451" s="817"/>
      <c r="I451" s="818"/>
      <c r="J451" s="816"/>
      <c r="K451" s="816"/>
      <c r="L451" s="816"/>
    </row>
    <row r="452" ht="18.75" customHeight="1">
      <c r="A452" s="822"/>
      <c r="B452" s="812"/>
      <c r="C452" s="823"/>
      <c r="D452" s="814"/>
      <c r="E452" s="824"/>
      <c r="F452" s="824"/>
      <c r="G452" s="825"/>
      <c r="H452" s="826"/>
      <c r="I452" s="827"/>
      <c r="J452" s="825"/>
      <c r="K452" s="825"/>
      <c r="L452" s="825"/>
    </row>
    <row r="453" ht="18.75" customHeight="1">
      <c r="A453" s="811"/>
      <c r="B453" s="812"/>
      <c r="C453" s="813"/>
      <c r="D453" s="814"/>
      <c r="E453" s="815"/>
      <c r="F453" s="815"/>
      <c r="G453" s="816"/>
      <c r="H453" s="817"/>
      <c r="I453" s="818"/>
      <c r="J453" s="816"/>
      <c r="K453" s="816"/>
      <c r="L453" s="816"/>
    </row>
    <row r="454" ht="18.75" customHeight="1">
      <c r="A454" s="822"/>
      <c r="B454" s="812"/>
      <c r="C454" s="823"/>
      <c r="D454" s="814"/>
      <c r="E454" s="824"/>
      <c r="F454" s="824"/>
      <c r="G454" s="825"/>
      <c r="H454" s="826"/>
      <c r="I454" s="827"/>
      <c r="J454" s="825"/>
      <c r="K454" s="825"/>
      <c r="L454" s="825"/>
    </row>
    <row r="455" ht="18.75" customHeight="1">
      <c r="A455" s="811"/>
      <c r="B455" s="812"/>
      <c r="C455" s="813"/>
      <c r="D455" s="814"/>
      <c r="E455" s="815"/>
      <c r="F455" s="815"/>
      <c r="G455" s="816"/>
      <c r="H455" s="817"/>
      <c r="I455" s="818"/>
      <c r="J455" s="816"/>
      <c r="K455" s="816"/>
      <c r="L455" s="816"/>
    </row>
    <row r="456" ht="18.75" customHeight="1">
      <c r="A456" s="822"/>
      <c r="B456" s="812"/>
      <c r="C456" s="823"/>
      <c r="D456" s="814"/>
      <c r="E456" s="824"/>
      <c r="F456" s="824"/>
      <c r="G456" s="825"/>
      <c r="H456" s="826"/>
      <c r="I456" s="827"/>
      <c r="J456" s="825"/>
      <c r="K456" s="825"/>
      <c r="L456" s="825"/>
    </row>
    <row r="457" ht="18.75" customHeight="1">
      <c r="A457" s="811"/>
      <c r="B457" s="812"/>
      <c r="C457" s="813"/>
      <c r="D457" s="814"/>
      <c r="E457" s="815"/>
      <c r="F457" s="815"/>
      <c r="G457" s="816"/>
      <c r="H457" s="817"/>
      <c r="I457" s="818"/>
      <c r="J457" s="816"/>
      <c r="K457" s="816"/>
      <c r="L457" s="816"/>
    </row>
    <row r="458" ht="18.75" customHeight="1">
      <c r="A458" s="822"/>
      <c r="B458" s="812"/>
      <c r="C458" s="823"/>
      <c r="D458" s="814"/>
      <c r="E458" s="824"/>
      <c r="F458" s="824"/>
      <c r="G458" s="825"/>
      <c r="H458" s="826"/>
      <c r="I458" s="827"/>
      <c r="J458" s="825"/>
      <c r="K458" s="825"/>
      <c r="L458" s="825"/>
    </row>
    <row r="459" ht="18.75" customHeight="1">
      <c r="A459" s="811"/>
      <c r="B459" s="812"/>
      <c r="C459" s="813"/>
      <c r="D459" s="814"/>
      <c r="E459" s="815"/>
      <c r="F459" s="815"/>
      <c r="G459" s="816"/>
      <c r="H459" s="817"/>
      <c r="I459" s="818"/>
      <c r="J459" s="816"/>
      <c r="K459" s="816"/>
      <c r="L459" s="816"/>
    </row>
    <row r="460" ht="18.75" customHeight="1">
      <c r="A460" s="822"/>
      <c r="B460" s="812"/>
      <c r="C460" s="823"/>
      <c r="D460" s="814"/>
      <c r="E460" s="824"/>
      <c r="F460" s="824"/>
      <c r="G460" s="825"/>
      <c r="H460" s="826"/>
      <c r="I460" s="827"/>
      <c r="J460" s="825"/>
      <c r="K460" s="825"/>
      <c r="L460" s="825"/>
    </row>
    <row r="461" ht="18.75" customHeight="1">
      <c r="A461" s="811"/>
      <c r="B461" s="812"/>
      <c r="C461" s="813"/>
      <c r="D461" s="814"/>
      <c r="E461" s="815"/>
      <c r="F461" s="815"/>
      <c r="G461" s="816"/>
      <c r="H461" s="817"/>
      <c r="I461" s="818"/>
      <c r="J461" s="816"/>
      <c r="K461" s="816"/>
      <c r="L461" s="816"/>
    </row>
    <row r="462" ht="18.75" customHeight="1">
      <c r="A462" s="822"/>
      <c r="B462" s="812"/>
      <c r="C462" s="823"/>
      <c r="D462" s="814"/>
      <c r="E462" s="824"/>
      <c r="F462" s="824"/>
      <c r="G462" s="825"/>
      <c r="H462" s="826"/>
      <c r="I462" s="827"/>
      <c r="J462" s="825"/>
      <c r="K462" s="825"/>
      <c r="L462" s="825"/>
    </row>
    <row r="463" ht="18.75" customHeight="1">
      <c r="A463" s="811"/>
      <c r="B463" s="812"/>
      <c r="C463" s="813"/>
      <c r="D463" s="814"/>
      <c r="E463" s="815"/>
      <c r="F463" s="815"/>
      <c r="G463" s="816"/>
      <c r="H463" s="817"/>
      <c r="I463" s="818"/>
      <c r="J463" s="816"/>
      <c r="K463" s="816"/>
      <c r="L463" s="816"/>
    </row>
    <row r="464" ht="18.75" customHeight="1">
      <c r="A464" s="822"/>
      <c r="B464" s="812"/>
      <c r="C464" s="823"/>
      <c r="D464" s="814"/>
      <c r="E464" s="824"/>
      <c r="F464" s="824"/>
      <c r="G464" s="825"/>
      <c r="H464" s="826"/>
      <c r="I464" s="827"/>
      <c r="J464" s="825"/>
      <c r="K464" s="825"/>
      <c r="L464" s="825"/>
    </row>
    <row r="465" ht="18.75" customHeight="1">
      <c r="A465" s="811"/>
      <c r="B465" s="812"/>
      <c r="C465" s="813"/>
      <c r="D465" s="814"/>
      <c r="E465" s="815"/>
      <c r="F465" s="815"/>
      <c r="G465" s="816"/>
      <c r="H465" s="817"/>
      <c r="I465" s="818"/>
      <c r="J465" s="816"/>
      <c r="K465" s="816"/>
      <c r="L465" s="816"/>
    </row>
    <row r="466" ht="18.75" customHeight="1">
      <c r="A466" s="822"/>
      <c r="B466" s="812"/>
      <c r="C466" s="823"/>
      <c r="D466" s="814"/>
      <c r="E466" s="824"/>
      <c r="F466" s="824"/>
      <c r="G466" s="825"/>
      <c r="H466" s="826"/>
      <c r="I466" s="827"/>
      <c r="J466" s="825"/>
      <c r="K466" s="825"/>
      <c r="L466" s="825"/>
    </row>
    <row r="467" ht="18.75" customHeight="1">
      <c r="A467" s="811"/>
      <c r="B467" s="812"/>
      <c r="C467" s="813"/>
      <c r="D467" s="814"/>
      <c r="E467" s="815"/>
      <c r="F467" s="815"/>
      <c r="G467" s="816"/>
      <c r="H467" s="817"/>
      <c r="I467" s="818"/>
      <c r="J467" s="816"/>
      <c r="K467" s="816"/>
      <c r="L467" s="816"/>
    </row>
    <row r="468" ht="18.75" customHeight="1">
      <c r="A468" s="822"/>
      <c r="B468" s="812"/>
      <c r="C468" s="823"/>
      <c r="D468" s="814"/>
      <c r="E468" s="824"/>
      <c r="F468" s="824"/>
      <c r="G468" s="825"/>
      <c r="H468" s="826"/>
      <c r="I468" s="827"/>
      <c r="J468" s="825"/>
      <c r="K468" s="825"/>
      <c r="L468" s="825"/>
    </row>
    <row r="469" ht="18.75" customHeight="1">
      <c r="A469" s="811"/>
      <c r="B469" s="812"/>
      <c r="C469" s="813"/>
      <c r="D469" s="814"/>
      <c r="E469" s="815"/>
      <c r="F469" s="815"/>
      <c r="G469" s="816"/>
      <c r="H469" s="817"/>
      <c r="I469" s="818"/>
      <c r="J469" s="816"/>
      <c r="K469" s="816"/>
      <c r="L469" s="816"/>
    </row>
    <row r="470" ht="18.75" customHeight="1">
      <c r="A470" s="822"/>
      <c r="B470" s="812"/>
      <c r="C470" s="823"/>
      <c r="D470" s="814"/>
      <c r="E470" s="824"/>
      <c r="F470" s="824"/>
      <c r="G470" s="825"/>
      <c r="H470" s="826"/>
      <c r="I470" s="827"/>
      <c r="J470" s="825"/>
      <c r="K470" s="825"/>
      <c r="L470" s="825"/>
    </row>
    <row r="471" ht="18.75" customHeight="1">
      <c r="A471" s="811"/>
      <c r="B471" s="812"/>
      <c r="C471" s="813"/>
      <c r="D471" s="814"/>
      <c r="E471" s="815"/>
      <c r="F471" s="815"/>
      <c r="G471" s="816"/>
      <c r="H471" s="817"/>
      <c r="I471" s="818"/>
      <c r="J471" s="816"/>
      <c r="K471" s="816"/>
      <c r="L471" s="816"/>
    </row>
    <row r="472" ht="18.75" customHeight="1">
      <c r="A472" s="822"/>
      <c r="B472" s="812"/>
      <c r="C472" s="823"/>
      <c r="D472" s="814"/>
      <c r="E472" s="824"/>
      <c r="F472" s="824"/>
      <c r="G472" s="825"/>
      <c r="H472" s="826"/>
      <c r="I472" s="827"/>
      <c r="J472" s="825"/>
      <c r="K472" s="825"/>
      <c r="L472" s="825"/>
    </row>
    <row r="473" ht="18.75" customHeight="1">
      <c r="A473" s="811"/>
      <c r="B473" s="812"/>
      <c r="C473" s="813"/>
      <c r="D473" s="814"/>
      <c r="E473" s="815"/>
      <c r="F473" s="815"/>
      <c r="G473" s="816"/>
      <c r="H473" s="817"/>
      <c r="I473" s="818"/>
      <c r="J473" s="816"/>
      <c r="K473" s="816"/>
      <c r="L473" s="816"/>
    </row>
    <row r="474" ht="18.75" customHeight="1">
      <c r="A474" s="822"/>
      <c r="B474" s="812"/>
      <c r="C474" s="823"/>
      <c r="D474" s="814"/>
      <c r="E474" s="824"/>
      <c r="F474" s="824"/>
      <c r="G474" s="825"/>
      <c r="H474" s="826"/>
      <c r="I474" s="827"/>
      <c r="J474" s="825"/>
      <c r="K474" s="825"/>
      <c r="L474" s="825"/>
    </row>
    <row r="475" ht="18.75" customHeight="1">
      <c r="A475" s="811"/>
      <c r="B475" s="812"/>
      <c r="C475" s="813"/>
      <c r="D475" s="814"/>
      <c r="E475" s="815"/>
      <c r="F475" s="815"/>
      <c r="G475" s="816"/>
      <c r="H475" s="817"/>
      <c r="I475" s="818"/>
      <c r="J475" s="816"/>
      <c r="K475" s="816"/>
      <c r="L475" s="816"/>
    </row>
    <row r="476" ht="18.75" customHeight="1">
      <c r="A476" s="822"/>
      <c r="B476" s="812"/>
      <c r="C476" s="823"/>
      <c r="D476" s="814"/>
      <c r="E476" s="824"/>
      <c r="F476" s="824"/>
      <c r="G476" s="825"/>
      <c r="H476" s="826"/>
      <c r="I476" s="827"/>
      <c r="J476" s="825"/>
      <c r="K476" s="825"/>
      <c r="L476" s="825"/>
    </row>
    <row r="477" ht="18.75" customHeight="1">
      <c r="A477" s="811"/>
      <c r="B477" s="812"/>
      <c r="C477" s="813"/>
      <c r="D477" s="814"/>
      <c r="E477" s="815"/>
      <c r="F477" s="815"/>
      <c r="G477" s="816"/>
      <c r="H477" s="817"/>
      <c r="I477" s="818"/>
      <c r="J477" s="816"/>
      <c r="K477" s="816"/>
      <c r="L477" s="816"/>
    </row>
    <row r="478" ht="18.75" customHeight="1">
      <c r="A478" s="822"/>
      <c r="B478" s="812"/>
      <c r="C478" s="823"/>
      <c r="D478" s="814"/>
      <c r="E478" s="824"/>
      <c r="F478" s="824"/>
      <c r="G478" s="825"/>
      <c r="H478" s="826"/>
      <c r="I478" s="827"/>
      <c r="J478" s="825"/>
      <c r="K478" s="825"/>
      <c r="L478" s="825"/>
    </row>
    <row r="479" ht="18.75" customHeight="1">
      <c r="A479" s="811"/>
      <c r="B479" s="812"/>
      <c r="C479" s="813"/>
      <c r="D479" s="814"/>
      <c r="E479" s="815"/>
      <c r="F479" s="815"/>
      <c r="G479" s="816"/>
      <c r="H479" s="817"/>
      <c r="I479" s="818"/>
      <c r="J479" s="816"/>
      <c r="K479" s="816"/>
      <c r="L479" s="816"/>
    </row>
    <row r="480" ht="18.75" customHeight="1">
      <c r="A480" s="822"/>
      <c r="B480" s="812"/>
      <c r="C480" s="823"/>
      <c r="D480" s="814"/>
      <c r="E480" s="824"/>
      <c r="F480" s="824"/>
      <c r="G480" s="825"/>
      <c r="H480" s="826"/>
      <c r="I480" s="827"/>
      <c r="J480" s="825"/>
      <c r="K480" s="825"/>
      <c r="L480" s="825"/>
    </row>
    <row r="481" ht="18.75" customHeight="1">
      <c r="A481" s="811"/>
      <c r="B481" s="812"/>
      <c r="C481" s="813"/>
      <c r="D481" s="814"/>
      <c r="E481" s="815"/>
      <c r="F481" s="815"/>
      <c r="G481" s="816"/>
      <c r="H481" s="817"/>
      <c r="I481" s="818"/>
      <c r="J481" s="816"/>
      <c r="K481" s="816"/>
      <c r="L481" s="816"/>
    </row>
    <row r="482" ht="18.75" customHeight="1">
      <c r="A482" s="822"/>
      <c r="B482" s="812"/>
      <c r="C482" s="823"/>
      <c r="D482" s="814"/>
      <c r="E482" s="824"/>
      <c r="F482" s="824"/>
      <c r="G482" s="825"/>
      <c r="H482" s="826"/>
      <c r="I482" s="827"/>
      <c r="J482" s="825"/>
      <c r="K482" s="825"/>
      <c r="L482" s="825"/>
    </row>
    <row r="483" ht="18.75" customHeight="1">
      <c r="A483" s="811"/>
      <c r="B483" s="812"/>
      <c r="C483" s="813"/>
      <c r="D483" s="814"/>
      <c r="E483" s="815"/>
      <c r="F483" s="815"/>
      <c r="G483" s="816"/>
      <c r="H483" s="817"/>
      <c r="I483" s="818"/>
      <c r="J483" s="816"/>
      <c r="K483" s="816"/>
      <c r="L483" s="816"/>
    </row>
    <row r="484" ht="18.75" customHeight="1">
      <c r="A484" s="822"/>
      <c r="B484" s="812"/>
      <c r="C484" s="823"/>
      <c r="D484" s="814"/>
      <c r="E484" s="824"/>
      <c r="F484" s="824"/>
      <c r="G484" s="825"/>
      <c r="H484" s="826"/>
      <c r="I484" s="827"/>
      <c r="J484" s="825"/>
      <c r="K484" s="825"/>
      <c r="L484" s="825"/>
    </row>
    <row r="485" ht="18.75" customHeight="1">
      <c r="A485" s="811"/>
      <c r="B485" s="812"/>
      <c r="C485" s="813"/>
      <c r="D485" s="814"/>
      <c r="E485" s="815"/>
      <c r="F485" s="815"/>
      <c r="G485" s="816"/>
      <c r="H485" s="817"/>
      <c r="I485" s="818"/>
      <c r="J485" s="816"/>
      <c r="K485" s="816"/>
      <c r="L485" s="816"/>
    </row>
    <row r="486" ht="18.75" customHeight="1">
      <c r="A486" s="822"/>
      <c r="B486" s="812"/>
      <c r="C486" s="823"/>
      <c r="D486" s="814"/>
      <c r="E486" s="824"/>
      <c r="F486" s="824"/>
      <c r="G486" s="825"/>
      <c r="H486" s="826"/>
      <c r="I486" s="827"/>
      <c r="J486" s="825"/>
      <c r="K486" s="825"/>
      <c r="L486" s="825"/>
    </row>
    <row r="487" ht="18.75" customHeight="1">
      <c r="A487" s="811"/>
      <c r="B487" s="812"/>
      <c r="C487" s="813"/>
      <c r="D487" s="814"/>
      <c r="E487" s="815"/>
      <c r="F487" s="815"/>
      <c r="G487" s="816"/>
      <c r="H487" s="817"/>
      <c r="I487" s="818"/>
      <c r="J487" s="816"/>
      <c r="K487" s="816"/>
      <c r="L487" s="816"/>
    </row>
    <row r="488" ht="18.75" customHeight="1">
      <c r="A488" s="822"/>
      <c r="B488" s="812"/>
      <c r="C488" s="823"/>
      <c r="D488" s="814"/>
      <c r="E488" s="824"/>
      <c r="F488" s="824"/>
      <c r="G488" s="825"/>
      <c r="H488" s="826"/>
      <c r="I488" s="827"/>
      <c r="J488" s="825"/>
      <c r="K488" s="825"/>
      <c r="L488" s="825"/>
    </row>
    <row r="489" ht="18.75" customHeight="1">
      <c r="A489" s="811"/>
      <c r="B489" s="812"/>
      <c r="C489" s="813"/>
      <c r="D489" s="814"/>
      <c r="E489" s="815"/>
      <c r="F489" s="815"/>
      <c r="G489" s="816"/>
      <c r="H489" s="817"/>
      <c r="I489" s="818"/>
      <c r="J489" s="816"/>
      <c r="K489" s="816"/>
      <c r="L489" s="816"/>
    </row>
    <row r="490" ht="18.75" customHeight="1">
      <c r="A490" s="822"/>
      <c r="B490" s="812"/>
      <c r="C490" s="823"/>
      <c r="D490" s="814"/>
      <c r="E490" s="824"/>
      <c r="F490" s="824"/>
      <c r="G490" s="825"/>
      <c r="H490" s="826"/>
      <c r="I490" s="827"/>
      <c r="J490" s="825"/>
      <c r="K490" s="825"/>
      <c r="L490" s="825"/>
    </row>
    <row r="491" ht="18.75" customHeight="1">
      <c r="A491" s="811"/>
      <c r="B491" s="812"/>
      <c r="C491" s="813"/>
      <c r="D491" s="814"/>
      <c r="E491" s="815"/>
      <c r="F491" s="815"/>
      <c r="G491" s="816"/>
      <c r="H491" s="817"/>
      <c r="I491" s="818"/>
      <c r="J491" s="816"/>
      <c r="K491" s="816"/>
      <c r="L491" s="816"/>
    </row>
    <row r="492" ht="18.75" customHeight="1">
      <c r="A492" s="822"/>
      <c r="B492" s="812"/>
      <c r="C492" s="823"/>
      <c r="D492" s="814"/>
      <c r="E492" s="824"/>
      <c r="F492" s="824"/>
      <c r="G492" s="825"/>
      <c r="H492" s="826"/>
      <c r="I492" s="827"/>
      <c r="J492" s="825"/>
      <c r="K492" s="825"/>
      <c r="L492" s="825"/>
    </row>
    <row r="493" ht="18.75" customHeight="1">
      <c r="A493" s="811"/>
      <c r="B493" s="812"/>
      <c r="C493" s="813"/>
      <c r="D493" s="814"/>
      <c r="E493" s="815"/>
      <c r="F493" s="815"/>
      <c r="G493" s="816"/>
      <c r="H493" s="817"/>
      <c r="I493" s="818"/>
      <c r="J493" s="816"/>
      <c r="K493" s="816"/>
      <c r="L493" s="816"/>
    </row>
    <row r="494" ht="18.75" customHeight="1">
      <c r="A494" s="822"/>
      <c r="B494" s="812"/>
      <c r="C494" s="823"/>
      <c r="D494" s="814"/>
      <c r="E494" s="824"/>
      <c r="F494" s="824"/>
      <c r="G494" s="825"/>
      <c r="H494" s="826"/>
      <c r="I494" s="827"/>
      <c r="J494" s="825"/>
      <c r="K494" s="825"/>
      <c r="L494" s="825"/>
    </row>
    <row r="495" ht="18.75" customHeight="1">
      <c r="A495" s="811"/>
      <c r="B495" s="812"/>
      <c r="C495" s="813"/>
      <c r="D495" s="814"/>
      <c r="E495" s="815"/>
      <c r="F495" s="815"/>
      <c r="G495" s="816"/>
      <c r="H495" s="817"/>
      <c r="I495" s="818"/>
      <c r="J495" s="816"/>
      <c r="K495" s="816"/>
      <c r="L495" s="816"/>
    </row>
    <row r="496" ht="18.75" customHeight="1">
      <c r="A496" s="822"/>
      <c r="B496" s="812"/>
      <c r="C496" s="823"/>
      <c r="D496" s="814"/>
      <c r="E496" s="824"/>
      <c r="F496" s="824"/>
      <c r="G496" s="825"/>
      <c r="H496" s="826"/>
      <c r="I496" s="827"/>
      <c r="J496" s="825"/>
      <c r="K496" s="825"/>
      <c r="L496" s="825"/>
    </row>
    <row r="497" ht="18.75" customHeight="1">
      <c r="A497" s="811"/>
      <c r="B497" s="812"/>
      <c r="C497" s="813"/>
      <c r="D497" s="814"/>
      <c r="E497" s="815"/>
      <c r="F497" s="815"/>
      <c r="G497" s="816"/>
      <c r="H497" s="817"/>
      <c r="I497" s="818"/>
      <c r="J497" s="816"/>
      <c r="K497" s="816"/>
      <c r="L497" s="816"/>
    </row>
    <row r="498" ht="18.75" customHeight="1">
      <c r="A498" s="822"/>
      <c r="B498" s="812"/>
      <c r="C498" s="823"/>
      <c r="D498" s="814"/>
      <c r="E498" s="824"/>
      <c r="F498" s="824"/>
      <c r="G498" s="825"/>
      <c r="H498" s="826"/>
      <c r="I498" s="827"/>
      <c r="J498" s="825"/>
      <c r="K498" s="825"/>
      <c r="L498" s="825"/>
    </row>
    <row r="499" ht="18.75" customHeight="1">
      <c r="A499" s="811"/>
      <c r="B499" s="812"/>
      <c r="C499" s="813"/>
      <c r="D499" s="814"/>
      <c r="E499" s="815"/>
      <c r="F499" s="815"/>
      <c r="G499" s="816"/>
      <c r="H499" s="817"/>
      <c r="I499" s="818"/>
      <c r="J499" s="816"/>
      <c r="K499" s="816"/>
      <c r="L499" s="816"/>
    </row>
    <row r="500" ht="18.75" customHeight="1">
      <c r="A500" s="822"/>
      <c r="B500" s="812"/>
      <c r="C500" s="823"/>
      <c r="D500" s="814"/>
      <c r="E500" s="824"/>
      <c r="F500" s="824"/>
      <c r="G500" s="825"/>
      <c r="H500" s="826"/>
      <c r="I500" s="827"/>
      <c r="J500" s="825"/>
      <c r="K500" s="825"/>
      <c r="L500" s="825"/>
    </row>
    <row r="501" ht="18.75" customHeight="1">
      <c r="A501" s="811"/>
      <c r="B501" s="812"/>
      <c r="C501" s="813"/>
      <c r="D501" s="814"/>
      <c r="E501" s="815"/>
      <c r="F501" s="815"/>
      <c r="G501" s="816"/>
      <c r="H501" s="817"/>
      <c r="I501" s="818"/>
      <c r="J501" s="816"/>
      <c r="K501" s="816"/>
      <c r="L501" s="816"/>
    </row>
    <row r="502" ht="18.75" customHeight="1">
      <c r="A502" s="822"/>
      <c r="B502" s="812"/>
      <c r="C502" s="823"/>
      <c r="D502" s="814"/>
      <c r="E502" s="824"/>
      <c r="F502" s="824"/>
      <c r="G502" s="825"/>
      <c r="H502" s="826"/>
      <c r="I502" s="827"/>
      <c r="J502" s="825"/>
      <c r="K502" s="825"/>
      <c r="L502" s="825"/>
    </row>
    <row r="503" ht="18.75" customHeight="1">
      <c r="A503" s="811"/>
      <c r="B503" s="812"/>
      <c r="C503" s="813"/>
      <c r="D503" s="814"/>
      <c r="E503" s="815"/>
      <c r="F503" s="815"/>
      <c r="G503" s="816"/>
      <c r="H503" s="817"/>
      <c r="I503" s="818"/>
      <c r="J503" s="816"/>
      <c r="K503" s="816"/>
      <c r="L503" s="816"/>
    </row>
    <row r="504" ht="18.75" customHeight="1">
      <c r="A504" s="822"/>
      <c r="B504" s="812"/>
      <c r="C504" s="823"/>
      <c r="D504" s="814"/>
      <c r="E504" s="824"/>
      <c r="F504" s="824"/>
      <c r="G504" s="825"/>
      <c r="H504" s="826"/>
      <c r="I504" s="827"/>
      <c r="J504" s="825"/>
      <c r="K504" s="825"/>
      <c r="L504" s="825"/>
    </row>
    <row r="505" ht="18.75" customHeight="1">
      <c r="A505" s="811"/>
      <c r="B505" s="812"/>
      <c r="C505" s="813"/>
      <c r="D505" s="814"/>
      <c r="E505" s="815"/>
      <c r="F505" s="815"/>
      <c r="G505" s="816"/>
      <c r="H505" s="817"/>
      <c r="I505" s="818"/>
      <c r="J505" s="816"/>
      <c r="K505" s="816"/>
      <c r="L505" s="816"/>
    </row>
    <row r="506" ht="18.75" customHeight="1">
      <c r="A506" s="822"/>
      <c r="B506" s="812"/>
      <c r="C506" s="823"/>
      <c r="D506" s="814"/>
      <c r="E506" s="824"/>
      <c r="F506" s="824"/>
      <c r="G506" s="825"/>
      <c r="H506" s="826"/>
      <c r="I506" s="827"/>
      <c r="J506" s="825"/>
      <c r="K506" s="825"/>
      <c r="L506" s="825"/>
    </row>
    <row r="507" ht="18.75" customHeight="1">
      <c r="A507" s="811"/>
      <c r="B507" s="812"/>
      <c r="C507" s="813"/>
      <c r="D507" s="814"/>
      <c r="E507" s="815"/>
      <c r="F507" s="815"/>
      <c r="G507" s="816"/>
      <c r="H507" s="817"/>
      <c r="I507" s="818"/>
      <c r="J507" s="816"/>
      <c r="K507" s="816"/>
      <c r="L507" s="816"/>
    </row>
    <row r="508" ht="18.75" customHeight="1">
      <c r="A508" s="822"/>
      <c r="B508" s="812"/>
      <c r="C508" s="823"/>
      <c r="D508" s="814"/>
      <c r="E508" s="824"/>
      <c r="F508" s="824"/>
      <c r="G508" s="825"/>
      <c r="H508" s="826"/>
      <c r="I508" s="827"/>
      <c r="J508" s="825"/>
      <c r="K508" s="825"/>
      <c r="L508" s="825"/>
    </row>
    <row r="509" ht="18.75" customHeight="1">
      <c r="A509" s="811"/>
      <c r="B509" s="812"/>
      <c r="C509" s="813"/>
      <c r="D509" s="814"/>
      <c r="E509" s="815"/>
      <c r="F509" s="815"/>
      <c r="G509" s="816"/>
      <c r="H509" s="817"/>
      <c r="I509" s="818"/>
      <c r="J509" s="816"/>
      <c r="K509" s="816"/>
      <c r="L509" s="816"/>
    </row>
    <row r="510" ht="18.75" customHeight="1">
      <c r="A510" s="822"/>
      <c r="B510" s="812"/>
      <c r="C510" s="823"/>
      <c r="D510" s="814"/>
      <c r="E510" s="824"/>
      <c r="F510" s="824"/>
      <c r="G510" s="825"/>
      <c r="H510" s="826"/>
      <c r="I510" s="827"/>
      <c r="J510" s="825"/>
      <c r="K510" s="825"/>
      <c r="L510" s="825"/>
    </row>
    <row r="511" ht="18.75" customHeight="1">
      <c r="A511" s="811"/>
      <c r="B511" s="812"/>
      <c r="C511" s="813"/>
      <c r="D511" s="814"/>
      <c r="E511" s="815"/>
      <c r="F511" s="815"/>
      <c r="G511" s="816"/>
      <c r="H511" s="817"/>
      <c r="I511" s="818"/>
      <c r="J511" s="816"/>
      <c r="K511" s="816"/>
      <c r="L511" s="816"/>
    </row>
    <row r="512" ht="18.75" customHeight="1">
      <c r="A512" s="822"/>
      <c r="B512" s="812"/>
      <c r="C512" s="823"/>
      <c r="D512" s="814"/>
      <c r="E512" s="824"/>
      <c r="F512" s="824"/>
      <c r="G512" s="825"/>
      <c r="H512" s="826"/>
      <c r="I512" s="827"/>
      <c r="J512" s="825"/>
      <c r="K512" s="825"/>
      <c r="L512" s="825"/>
    </row>
    <row r="513" ht="18.75" customHeight="1">
      <c r="A513" s="811"/>
      <c r="B513" s="812"/>
      <c r="C513" s="813"/>
      <c r="D513" s="814"/>
      <c r="E513" s="815"/>
      <c r="F513" s="815"/>
      <c r="G513" s="816"/>
      <c r="H513" s="817"/>
      <c r="I513" s="818"/>
      <c r="J513" s="816"/>
      <c r="K513" s="816"/>
      <c r="L513" s="816"/>
    </row>
    <row r="514" ht="18.75" customHeight="1">
      <c r="A514" s="822"/>
      <c r="B514" s="812"/>
      <c r="C514" s="823"/>
      <c r="D514" s="814"/>
      <c r="E514" s="824"/>
      <c r="F514" s="824"/>
      <c r="G514" s="825"/>
      <c r="H514" s="826"/>
      <c r="I514" s="827"/>
      <c r="J514" s="825"/>
      <c r="K514" s="825"/>
      <c r="L514" s="825"/>
    </row>
    <row r="515" ht="18.75" customHeight="1">
      <c r="A515" s="811"/>
      <c r="B515" s="812"/>
      <c r="C515" s="813"/>
      <c r="D515" s="814"/>
      <c r="E515" s="815"/>
      <c r="F515" s="815"/>
      <c r="G515" s="816"/>
      <c r="H515" s="817"/>
      <c r="I515" s="818"/>
      <c r="J515" s="816"/>
      <c r="K515" s="816"/>
      <c r="L515" s="816"/>
    </row>
    <row r="516" ht="18.75" customHeight="1">
      <c r="A516" s="822"/>
      <c r="B516" s="812"/>
      <c r="C516" s="823"/>
      <c r="D516" s="814"/>
      <c r="E516" s="824"/>
      <c r="F516" s="824"/>
      <c r="G516" s="825"/>
      <c r="H516" s="826"/>
      <c r="I516" s="827"/>
      <c r="J516" s="825"/>
      <c r="K516" s="825"/>
      <c r="L516" s="825"/>
    </row>
    <row r="517" ht="18.75" customHeight="1">
      <c r="A517" s="811"/>
      <c r="B517" s="812"/>
      <c r="C517" s="813"/>
      <c r="D517" s="814"/>
      <c r="E517" s="815"/>
      <c r="F517" s="815"/>
      <c r="G517" s="816"/>
      <c r="H517" s="817"/>
      <c r="I517" s="818"/>
      <c r="J517" s="816"/>
      <c r="K517" s="816"/>
      <c r="L517" s="816"/>
    </row>
    <row r="518" ht="18.75" customHeight="1">
      <c r="A518" s="822"/>
      <c r="B518" s="812"/>
      <c r="C518" s="823"/>
      <c r="D518" s="814"/>
      <c r="E518" s="824"/>
      <c r="F518" s="824"/>
      <c r="G518" s="825"/>
      <c r="H518" s="826"/>
      <c r="I518" s="827"/>
      <c r="J518" s="825"/>
      <c r="K518" s="825"/>
      <c r="L518" s="825"/>
    </row>
    <row r="519" ht="18.75" customHeight="1">
      <c r="A519" s="811"/>
      <c r="B519" s="812"/>
      <c r="C519" s="813"/>
      <c r="D519" s="814"/>
      <c r="E519" s="815"/>
      <c r="F519" s="815"/>
      <c r="G519" s="816"/>
      <c r="H519" s="817"/>
      <c r="I519" s="818"/>
      <c r="J519" s="816"/>
      <c r="K519" s="816"/>
      <c r="L519" s="816"/>
    </row>
    <row r="520" ht="18.75" customHeight="1">
      <c r="A520" s="822"/>
      <c r="B520" s="812"/>
      <c r="C520" s="823"/>
      <c r="D520" s="814"/>
      <c r="E520" s="824"/>
      <c r="F520" s="824"/>
      <c r="G520" s="825"/>
      <c r="H520" s="826"/>
      <c r="I520" s="827"/>
      <c r="J520" s="825"/>
      <c r="K520" s="825"/>
      <c r="L520" s="825"/>
    </row>
    <row r="521" ht="18.75" customHeight="1">
      <c r="A521" s="811"/>
      <c r="B521" s="812"/>
      <c r="C521" s="813"/>
      <c r="D521" s="814"/>
      <c r="E521" s="815"/>
      <c r="F521" s="815"/>
      <c r="G521" s="816"/>
      <c r="H521" s="817"/>
      <c r="I521" s="818"/>
      <c r="J521" s="816"/>
      <c r="K521" s="816"/>
      <c r="L521" s="816"/>
    </row>
    <row r="522" ht="18.75" customHeight="1">
      <c r="A522" s="822"/>
      <c r="B522" s="812"/>
      <c r="C522" s="823"/>
      <c r="D522" s="814"/>
      <c r="E522" s="824"/>
      <c r="F522" s="824"/>
      <c r="G522" s="825"/>
      <c r="H522" s="826"/>
      <c r="I522" s="827"/>
      <c r="J522" s="825"/>
      <c r="K522" s="825"/>
      <c r="L522" s="825"/>
    </row>
    <row r="523" ht="18.75" customHeight="1">
      <c r="A523" s="811"/>
      <c r="B523" s="812"/>
      <c r="C523" s="813"/>
      <c r="D523" s="814"/>
      <c r="E523" s="815"/>
      <c r="F523" s="815"/>
      <c r="G523" s="816"/>
      <c r="H523" s="817"/>
      <c r="I523" s="818"/>
      <c r="J523" s="816"/>
      <c r="K523" s="816"/>
      <c r="L523" s="816"/>
    </row>
    <row r="524" ht="18.75" customHeight="1">
      <c r="A524" s="822"/>
      <c r="B524" s="812"/>
      <c r="C524" s="823"/>
      <c r="D524" s="814"/>
      <c r="E524" s="824"/>
      <c r="F524" s="824"/>
      <c r="G524" s="825"/>
      <c r="H524" s="826"/>
      <c r="I524" s="827"/>
      <c r="J524" s="825"/>
      <c r="K524" s="825"/>
      <c r="L524" s="825"/>
    </row>
    <row r="525" ht="18.75" customHeight="1">
      <c r="A525" s="811"/>
      <c r="B525" s="812"/>
      <c r="C525" s="813"/>
      <c r="D525" s="814"/>
      <c r="E525" s="815"/>
      <c r="F525" s="815"/>
      <c r="G525" s="816"/>
      <c r="H525" s="817"/>
      <c r="I525" s="818"/>
      <c r="J525" s="816"/>
      <c r="K525" s="816"/>
      <c r="L525" s="816"/>
    </row>
    <row r="526" ht="18.75" customHeight="1">
      <c r="A526" s="822"/>
      <c r="B526" s="812"/>
      <c r="C526" s="823"/>
      <c r="D526" s="814"/>
      <c r="E526" s="824"/>
      <c r="F526" s="824"/>
      <c r="G526" s="825"/>
      <c r="H526" s="826"/>
      <c r="I526" s="827"/>
      <c r="J526" s="825"/>
      <c r="K526" s="825"/>
      <c r="L526" s="825"/>
    </row>
    <row r="527" ht="18.75" customHeight="1">
      <c r="A527" s="811"/>
      <c r="B527" s="812"/>
      <c r="C527" s="813"/>
      <c r="D527" s="814"/>
      <c r="E527" s="815"/>
      <c r="F527" s="815"/>
      <c r="G527" s="816"/>
      <c r="H527" s="817"/>
      <c r="I527" s="818"/>
      <c r="J527" s="816"/>
      <c r="K527" s="816"/>
      <c r="L527" s="816"/>
    </row>
    <row r="528" ht="18.75" customHeight="1">
      <c r="A528" s="822"/>
      <c r="B528" s="812"/>
      <c r="C528" s="823"/>
      <c r="D528" s="814"/>
      <c r="E528" s="824"/>
      <c r="F528" s="824"/>
      <c r="G528" s="825"/>
      <c r="H528" s="826"/>
      <c r="I528" s="827"/>
      <c r="J528" s="825"/>
      <c r="K528" s="825"/>
      <c r="L528" s="825"/>
    </row>
    <row r="529" ht="18.75" customHeight="1">
      <c r="A529" s="811"/>
      <c r="B529" s="812"/>
      <c r="C529" s="813"/>
      <c r="D529" s="814"/>
      <c r="E529" s="815"/>
      <c r="F529" s="815"/>
      <c r="G529" s="816"/>
      <c r="H529" s="817"/>
      <c r="I529" s="818"/>
      <c r="J529" s="816"/>
      <c r="K529" s="816"/>
      <c r="L529" s="816"/>
    </row>
    <row r="530" ht="18.75" customHeight="1">
      <c r="A530" s="822"/>
      <c r="B530" s="812"/>
      <c r="C530" s="823"/>
      <c r="D530" s="814"/>
      <c r="E530" s="824"/>
      <c r="F530" s="824"/>
      <c r="G530" s="825"/>
      <c r="H530" s="826"/>
      <c r="I530" s="827"/>
      <c r="J530" s="825"/>
      <c r="K530" s="825"/>
      <c r="L530" s="825"/>
    </row>
    <row r="531" ht="18.75" customHeight="1">
      <c r="A531" s="811"/>
      <c r="B531" s="812"/>
      <c r="C531" s="813"/>
      <c r="D531" s="814"/>
      <c r="E531" s="815"/>
      <c r="F531" s="815"/>
      <c r="G531" s="816"/>
      <c r="H531" s="817"/>
      <c r="I531" s="818"/>
      <c r="J531" s="816"/>
      <c r="K531" s="816"/>
      <c r="L531" s="816"/>
    </row>
    <row r="532" ht="18.75" customHeight="1">
      <c r="A532" s="822"/>
      <c r="B532" s="812"/>
      <c r="C532" s="823"/>
      <c r="D532" s="814"/>
      <c r="E532" s="824"/>
      <c r="F532" s="824"/>
      <c r="G532" s="825"/>
      <c r="H532" s="826"/>
      <c r="I532" s="827"/>
      <c r="J532" s="825"/>
      <c r="K532" s="825"/>
      <c r="L532" s="825"/>
    </row>
    <row r="533" ht="18.75" customHeight="1">
      <c r="A533" s="811"/>
      <c r="B533" s="812"/>
      <c r="C533" s="813"/>
      <c r="D533" s="814"/>
      <c r="E533" s="815"/>
      <c r="F533" s="815"/>
      <c r="G533" s="816"/>
      <c r="H533" s="817"/>
      <c r="I533" s="818"/>
      <c r="J533" s="816"/>
      <c r="K533" s="816"/>
      <c r="L533" s="816"/>
    </row>
    <row r="534" ht="18.75" customHeight="1">
      <c r="A534" s="822"/>
      <c r="B534" s="812"/>
      <c r="C534" s="823"/>
      <c r="D534" s="814"/>
      <c r="E534" s="824"/>
      <c r="F534" s="824"/>
      <c r="G534" s="825"/>
      <c r="H534" s="826"/>
      <c r="I534" s="827"/>
      <c r="J534" s="825"/>
      <c r="K534" s="825"/>
      <c r="L534" s="825"/>
    </row>
    <row r="535" ht="18.75" customHeight="1">
      <c r="A535" s="811"/>
      <c r="B535" s="812"/>
      <c r="C535" s="813"/>
      <c r="D535" s="814"/>
      <c r="E535" s="815"/>
      <c r="F535" s="815"/>
      <c r="G535" s="816"/>
      <c r="H535" s="817"/>
      <c r="I535" s="818"/>
      <c r="J535" s="816"/>
      <c r="K535" s="816"/>
      <c r="L535" s="816"/>
    </row>
    <row r="536" ht="18.75" customHeight="1">
      <c r="A536" s="822"/>
      <c r="B536" s="812"/>
      <c r="C536" s="823"/>
      <c r="D536" s="814"/>
      <c r="E536" s="824"/>
      <c r="F536" s="824"/>
      <c r="G536" s="825"/>
      <c r="H536" s="826"/>
      <c r="I536" s="827"/>
      <c r="J536" s="825"/>
      <c r="K536" s="825"/>
      <c r="L536" s="825"/>
    </row>
    <row r="537" ht="18.75" customHeight="1">
      <c r="A537" s="811"/>
      <c r="B537" s="812"/>
      <c r="C537" s="813"/>
      <c r="D537" s="814"/>
      <c r="E537" s="815"/>
      <c r="F537" s="815"/>
      <c r="G537" s="816"/>
      <c r="H537" s="817"/>
      <c r="I537" s="818"/>
      <c r="J537" s="816"/>
      <c r="K537" s="816"/>
      <c r="L537" s="816"/>
    </row>
    <row r="538" ht="18.75" customHeight="1">
      <c r="A538" s="822"/>
      <c r="B538" s="812"/>
      <c r="C538" s="823"/>
      <c r="D538" s="814"/>
      <c r="E538" s="824"/>
      <c r="F538" s="824"/>
      <c r="G538" s="825"/>
      <c r="H538" s="826"/>
      <c r="I538" s="827"/>
      <c r="J538" s="825"/>
      <c r="K538" s="825"/>
      <c r="L538" s="825"/>
    </row>
    <row r="539" ht="18.75" customHeight="1">
      <c r="A539" s="811"/>
      <c r="B539" s="812"/>
      <c r="C539" s="813"/>
      <c r="D539" s="814"/>
      <c r="E539" s="815"/>
      <c r="F539" s="815"/>
      <c r="G539" s="816"/>
      <c r="H539" s="817"/>
      <c r="I539" s="818"/>
      <c r="J539" s="816"/>
      <c r="K539" s="816"/>
      <c r="L539" s="816"/>
    </row>
    <row r="540" ht="18.75" customHeight="1">
      <c r="A540" s="822"/>
      <c r="B540" s="812"/>
      <c r="C540" s="823"/>
      <c r="D540" s="814"/>
      <c r="E540" s="824"/>
      <c r="F540" s="824"/>
      <c r="G540" s="825"/>
      <c r="H540" s="826"/>
      <c r="I540" s="827"/>
      <c r="J540" s="825"/>
      <c r="K540" s="825"/>
      <c r="L540" s="825"/>
    </row>
    <row r="541" ht="18.75" customHeight="1">
      <c r="A541" s="811"/>
      <c r="B541" s="812"/>
      <c r="C541" s="813"/>
      <c r="D541" s="814"/>
      <c r="E541" s="815"/>
      <c r="F541" s="815"/>
      <c r="G541" s="816"/>
      <c r="H541" s="817"/>
      <c r="I541" s="818"/>
      <c r="J541" s="816"/>
      <c r="K541" s="816"/>
      <c r="L541" s="816"/>
    </row>
    <row r="542" ht="18.75" customHeight="1">
      <c r="A542" s="822"/>
      <c r="B542" s="812"/>
      <c r="C542" s="823"/>
      <c r="D542" s="814"/>
      <c r="E542" s="824"/>
      <c r="F542" s="824"/>
      <c r="G542" s="825"/>
      <c r="H542" s="826"/>
      <c r="I542" s="827"/>
      <c r="J542" s="825"/>
      <c r="K542" s="825"/>
      <c r="L542" s="825"/>
    </row>
    <row r="543" ht="18.75" customHeight="1">
      <c r="A543" s="811"/>
      <c r="B543" s="812"/>
      <c r="C543" s="813"/>
      <c r="D543" s="814"/>
      <c r="E543" s="815"/>
      <c r="F543" s="815"/>
      <c r="G543" s="816"/>
      <c r="H543" s="817"/>
      <c r="I543" s="818"/>
      <c r="J543" s="816"/>
      <c r="K543" s="816"/>
      <c r="L543" s="816"/>
    </row>
    <row r="544" ht="18.75" customHeight="1">
      <c r="A544" s="822"/>
      <c r="B544" s="812"/>
      <c r="C544" s="823"/>
      <c r="D544" s="814"/>
      <c r="E544" s="824"/>
      <c r="F544" s="824"/>
      <c r="G544" s="825"/>
      <c r="H544" s="826"/>
      <c r="I544" s="827"/>
      <c r="J544" s="825"/>
      <c r="K544" s="825"/>
      <c r="L544" s="825"/>
    </row>
    <row r="545" ht="18.75" customHeight="1">
      <c r="A545" s="811"/>
      <c r="B545" s="812"/>
      <c r="C545" s="813"/>
      <c r="D545" s="814"/>
      <c r="E545" s="815"/>
      <c r="F545" s="815"/>
      <c r="G545" s="816"/>
      <c r="H545" s="817"/>
      <c r="I545" s="818"/>
      <c r="J545" s="816"/>
      <c r="K545" s="816"/>
      <c r="L545" s="816"/>
    </row>
    <row r="546" ht="18.75" customHeight="1">
      <c r="A546" s="822"/>
      <c r="B546" s="812"/>
      <c r="C546" s="823"/>
      <c r="D546" s="814"/>
      <c r="E546" s="824"/>
      <c r="F546" s="824"/>
      <c r="G546" s="825"/>
      <c r="H546" s="826"/>
      <c r="I546" s="827"/>
      <c r="J546" s="825"/>
      <c r="K546" s="825"/>
      <c r="L546" s="825"/>
    </row>
    <row r="547" ht="18.75" customHeight="1">
      <c r="A547" s="811"/>
      <c r="B547" s="812"/>
      <c r="C547" s="813"/>
      <c r="D547" s="814"/>
      <c r="E547" s="815"/>
      <c r="F547" s="815"/>
      <c r="G547" s="816"/>
      <c r="H547" s="817"/>
      <c r="I547" s="818"/>
      <c r="J547" s="816"/>
      <c r="K547" s="816"/>
      <c r="L547" s="816"/>
    </row>
    <row r="548" ht="18.75" customHeight="1">
      <c r="A548" s="822"/>
      <c r="B548" s="812"/>
      <c r="C548" s="823"/>
      <c r="D548" s="814"/>
      <c r="E548" s="824"/>
      <c r="F548" s="824"/>
      <c r="G548" s="825"/>
      <c r="H548" s="826"/>
      <c r="I548" s="827"/>
      <c r="J548" s="825"/>
      <c r="K548" s="825"/>
      <c r="L548" s="825"/>
    </row>
    <row r="549" ht="18.75" customHeight="1">
      <c r="A549" s="811"/>
      <c r="B549" s="812"/>
      <c r="C549" s="813"/>
      <c r="D549" s="814"/>
      <c r="E549" s="815"/>
      <c r="F549" s="815"/>
      <c r="G549" s="816"/>
      <c r="H549" s="817"/>
      <c r="I549" s="818"/>
      <c r="J549" s="816"/>
      <c r="K549" s="816"/>
      <c r="L549" s="816"/>
    </row>
    <row r="550" ht="18.75" customHeight="1">
      <c r="A550" s="822"/>
      <c r="B550" s="812"/>
      <c r="C550" s="823"/>
      <c r="D550" s="814"/>
      <c r="E550" s="824"/>
      <c r="F550" s="824"/>
      <c r="G550" s="825"/>
      <c r="H550" s="826"/>
      <c r="I550" s="827"/>
      <c r="J550" s="825"/>
      <c r="K550" s="825"/>
      <c r="L550" s="825"/>
    </row>
    <row r="551" ht="18.75" customHeight="1">
      <c r="A551" s="811"/>
      <c r="B551" s="812"/>
      <c r="C551" s="813"/>
      <c r="D551" s="814"/>
      <c r="E551" s="815"/>
      <c r="F551" s="815"/>
      <c r="G551" s="816"/>
      <c r="H551" s="817"/>
      <c r="I551" s="818"/>
      <c r="J551" s="816"/>
      <c r="K551" s="816"/>
      <c r="L551" s="816"/>
    </row>
    <row r="552" ht="18.75" customHeight="1">
      <c r="A552" s="822"/>
      <c r="B552" s="812"/>
      <c r="C552" s="823"/>
      <c r="D552" s="814"/>
      <c r="E552" s="824"/>
      <c r="F552" s="824"/>
      <c r="G552" s="825"/>
      <c r="H552" s="826"/>
      <c r="I552" s="827"/>
      <c r="J552" s="825"/>
      <c r="K552" s="825"/>
      <c r="L552" s="825"/>
    </row>
    <row r="553" ht="18.75" customHeight="1">
      <c r="A553" s="811"/>
      <c r="B553" s="812"/>
      <c r="C553" s="813"/>
      <c r="D553" s="814"/>
      <c r="E553" s="815"/>
      <c r="F553" s="815"/>
      <c r="G553" s="816"/>
      <c r="H553" s="817"/>
      <c r="I553" s="818"/>
      <c r="J553" s="816"/>
      <c r="K553" s="816"/>
      <c r="L553" s="816"/>
    </row>
    <row r="554" ht="18.75" customHeight="1">
      <c r="A554" s="822"/>
      <c r="B554" s="812"/>
      <c r="C554" s="823"/>
      <c r="D554" s="814"/>
      <c r="E554" s="824"/>
      <c r="F554" s="824"/>
      <c r="G554" s="825"/>
      <c r="H554" s="826"/>
      <c r="I554" s="827"/>
      <c r="J554" s="825"/>
      <c r="K554" s="825"/>
      <c r="L554" s="825"/>
    </row>
    <row r="555" ht="18.75" customHeight="1">
      <c r="A555" s="811"/>
      <c r="B555" s="812"/>
      <c r="C555" s="813"/>
      <c r="D555" s="814"/>
      <c r="E555" s="815"/>
      <c r="F555" s="815"/>
      <c r="G555" s="816"/>
      <c r="H555" s="817"/>
      <c r="I555" s="818"/>
      <c r="J555" s="816"/>
      <c r="K555" s="816"/>
      <c r="L555" s="816"/>
    </row>
    <row r="556" ht="18.75" customHeight="1">
      <c r="A556" s="822"/>
      <c r="B556" s="812"/>
      <c r="C556" s="823"/>
      <c r="D556" s="814"/>
      <c r="E556" s="824"/>
      <c r="F556" s="824"/>
      <c r="G556" s="825"/>
      <c r="H556" s="826"/>
      <c r="I556" s="827"/>
      <c r="J556" s="825"/>
      <c r="K556" s="825"/>
      <c r="L556" s="825"/>
    </row>
    <row r="557" ht="18.75" customHeight="1">
      <c r="A557" s="811"/>
      <c r="B557" s="812"/>
      <c r="C557" s="813"/>
      <c r="D557" s="814"/>
      <c r="E557" s="815"/>
      <c r="F557" s="815"/>
      <c r="G557" s="816"/>
      <c r="H557" s="817"/>
      <c r="I557" s="818"/>
      <c r="J557" s="816"/>
      <c r="K557" s="816"/>
      <c r="L557" s="816"/>
    </row>
    <row r="558" ht="18.75" customHeight="1">
      <c r="A558" s="822"/>
      <c r="B558" s="812"/>
      <c r="C558" s="823"/>
      <c r="D558" s="814"/>
      <c r="E558" s="824"/>
      <c r="F558" s="824"/>
      <c r="G558" s="825"/>
      <c r="H558" s="826"/>
      <c r="I558" s="827"/>
      <c r="J558" s="825"/>
      <c r="K558" s="825"/>
      <c r="L558" s="825"/>
    </row>
    <row r="559" ht="18.75" customHeight="1">
      <c r="A559" s="811"/>
      <c r="B559" s="812"/>
      <c r="C559" s="813"/>
      <c r="D559" s="814"/>
      <c r="E559" s="815"/>
      <c r="F559" s="815"/>
      <c r="G559" s="816"/>
      <c r="H559" s="817"/>
      <c r="I559" s="818"/>
      <c r="J559" s="816"/>
      <c r="K559" s="816"/>
      <c r="L559" s="816"/>
    </row>
    <row r="560" ht="18.75" customHeight="1">
      <c r="A560" s="822"/>
      <c r="B560" s="812"/>
      <c r="C560" s="823"/>
      <c r="D560" s="814"/>
      <c r="E560" s="824"/>
      <c r="F560" s="824"/>
      <c r="G560" s="825"/>
      <c r="H560" s="826"/>
      <c r="I560" s="827"/>
      <c r="J560" s="825"/>
      <c r="K560" s="825"/>
      <c r="L560" s="825"/>
    </row>
    <row r="561" ht="18.75" customHeight="1">
      <c r="A561" s="811"/>
      <c r="B561" s="812"/>
      <c r="C561" s="813"/>
      <c r="D561" s="814"/>
      <c r="E561" s="815"/>
      <c r="F561" s="815"/>
      <c r="G561" s="816"/>
      <c r="H561" s="817"/>
      <c r="I561" s="818"/>
      <c r="J561" s="816"/>
      <c r="K561" s="816"/>
      <c r="L561" s="816"/>
    </row>
    <row r="562" ht="18.75" customHeight="1">
      <c r="A562" s="822"/>
      <c r="B562" s="812"/>
      <c r="C562" s="823"/>
      <c r="D562" s="814"/>
      <c r="E562" s="824"/>
      <c r="F562" s="824"/>
      <c r="G562" s="825"/>
      <c r="H562" s="826"/>
      <c r="I562" s="827"/>
      <c r="J562" s="825"/>
      <c r="K562" s="825"/>
      <c r="L562" s="825"/>
    </row>
    <row r="563" ht="18.75" customHeight="1">
      <c r="A563" s="811"/>
      <c r="B563" s="812"/>
      <c r="C563" s="813"/>
      <c r="D563" s="814"/>
      <c r="E563" s="815"/>
      <c r="F563" s="815"/>
      <c r="G563" s="816"/>
      <c r="H563" s="817"/>
      <c r="I563" s="818"/>
      <c r="J563" s="816"/>
      <c r="K563" s="816"/>
      <c r="L563" s="816"/>
    </row>
    <row r="564" ht="18.75" customHeight="1">
      <c r="A564" s="822"/>
      <c r="B564" s="812"/>
      <c r="C564" s="823"/>
      <c r="D564" s="814"/>
      <c r="E564" s="824"/>
      <c r="F564" s="824"/>
      <c r="G564" s="825"/>
      <c r="H564" s="826"/>
      <c r="I564" s="827"/>
      <c r="J564" s="825"/>
      <c r="K564" s="825"/>
      <c r="L564" s="825"/>
    </row>
    <row r="565" ht="18.75" customHeight="1">
      <c r="A565" s="811"/>
      <c r="B565" s="812"/>
      <c r="C565" s="813"/>
      <c r="D565" s="814"/>
      <c r="E565" s="815"/>
      <c r="F565" s="815"/>
      <c r="G565" s="816"/>
      <c r="H565" s="817"/>
      <c r="I565" s="818"/>
      <c r="J565" s="816"/>
      <c r="K565" s="816"/>
      <c r="L565" s="816"/>
    </row>
    <row r="566" ht="18.75" customHeight="1">
      <c r="A566" s="822"/>
      <c r="B566" s="812"/>
      <c r="C566" s="823"/>
      <c r="D566" s="814"/>
      <c r="E566" s="824"/>
      <c r="F566" s="824"/>
      <c r="G566" s="825"/>
      <c r="H566" s="826"/>
      <c r="I566" s="827"/>
      <c r="J566" s="825"/>
      <c r="K566" s="825"/>
      <c r="L566" s="825"/>
    </row>
    <row r="567" ht="18.75" customHeight="1">
      <c r="A567" s="811"/>
      <c r="B567" s="812"/>
      <c r="C567" s="813"/>
      <c r="D567" s="814"/>
      <c r="E567" s="815"/>
      <c r="F567" s="815"/>
      <c r="G567" s="816"/>
      <c r="H567" s="817"/>
      <c r="I567" s="818"/>
      <c r="J567" s="816"/>
      <c r="K567" s="816"/>
      <c r="L567" s="816"/>
    </row>
    <row r="568" ht="18.75" customHeight="1">
      <c r="A568" s="822"/>
      <c r="B568" s="812"/>
      <c r="C568" s="823"/>
      <c r="D568" s="814"/>
      <c r="E568" s="824"/>
      <c r="F568" s="824"/>
      <c r="G568" s="825"/>
      <c r="H568" s="826"/>
      <c r="I568" s="827"/>
      <c r="J568" s="825"/>
      <c r="K568" s="825"/>
      <c r="L568" s="825"/>
    </row>
    <row r="569" ht="18.75" customHeight="1">
      <c r="A569" s="811"/>
      <c r="B569" s="812"/>
      <c r="C569" s="813"/>
      <c r="D569" s="814"/>
      <c r="E569" s="815"/>
      <c r="F569" s="815"/>
      <c r="G569" s="816"/>
      <c r="H569" s="817"/>
      <c r="I569" s="818"/>
      <c r="J569" s="816"/>
      <c r="K569" s="816"/>
      <c r="L569" s="816"/>
    </row>
    <row r="570" ht="18.75" customHeight="1">
      <c r="A570" s="822"/>
      <c r="B570" s="812"/>
      <c r="C570" s="823"/>
      <c r="D570" s="814"/>
      <c r="E570" s="824"/>
      <c r="F570" s="824"/>
      <c r="G570" s="825"/>
      <c r="H570" s="826"/>
      <c r="I570" s="827"/>
      <c r="J570" s="825"/>
      <c r="K570" s="825"/>
      <c r="L570" s="825"/>
    </row>
    <row r="571" ht="18.75" customHeight="1">
      <c r="A571" s="811"/>
      <c r="B571" s="812"/>
      <c r="C571" s="813"/>
      <c r="D571" s="814"/>
      <c r="E571" s="815"/>
      <c r="F571" s="815"/>
      <c r="G571" s="816"/>
      <c r="H571" s="817"/>
      <c r="I571" s="818"/>
      <c r="J571" s="816"/>
      <c r="K571" s="816"/>
      <c r="L571" s="816"/>
    </row>
    <row r="572" ht="18.75" customHeight="1">
      <c r="A572" s="822"/>
      <c r="B572" s="812"/>
      <c r="C572" s="823"/>
      <c r="D572" s="814"/>
      <c r="E572" s="824"/>
      <c r="F572" s="824"/>
      <c r="G572" s="825"/>
      <c r="H572" s="826"/>
      <c r="I572" s="827"/>
      <c r="J572" s="825"/>
      <c r="K572" s="825"/>
      <c r="L572" s="825"/>
    </row>
    <row r="573" ht="18.75" customHeight="1">
      <c r="A573" s="811"/>
      <c r="B573" s="812"/>
      <c r="C573" s="813"/>
      <c r="D573" s="814"/>
      <c r="E573" s="815"/>
      <c r="F573" s="815"/>
      <c r="G573" s="816"/>
      <c r="H573" s="817"/>
      <c r="I573" s="818"/>
      <c r="J573" s="816"/>
      <c r="K573" s="816"/>
      <c r="L573" s="816"/>
    </row>
    <row r="574" ht="18.75" customHeight="1">
      <c r="A574" s="822"/>
      <c r="B574" s="812"/>
      <c r="C574" s="823"/>
      <c r="D574" s="814"/>
      <c r="E574" s="824"/>
      <c r="F574" s="824"/>
      <c r="G574" s="825"/>
      <c r="H574" s="826"/>
      <c r="I574" s="827"/>
      <c r="J574" s="825"/>
      <c r="K574" s="825"/>
      <c r="L574" s="825"/>
    </row>
    <row r="575" ht="18.75" customHeight="1">
      <c r="A575" s="811"/>
      <c r="B575" s="812"/>
      <c r="C575" s="813"/>
      <c r="D575" s="814"/>
      <c r="E575" s="815"/>
      <c r="F575" s="815"/>
      <c r="G575" s="816"/>
      <c r="H575" s="817"/>
      <c r="I575" s="818"/>
      <c r="J575" s="816"/>
      <c r="K575" s="816"/>
      <c r="L575" s="816"/>
    </row>
    <row r="576" ht="18.75" customHeight="1">
      <c r="A576" s="822"/>
      <c r="B576" s="812"/>
      <c r="C576" s="823"/>
      <c r="D576" s="814"/>
      <c r="E576" s="824"/>
      <c r="F576" s="824"/>
      <c r="G576" s="825"/>
      <c r="H576" s="826"/>
      <c r="I576" s="827"/>
      <c r="J576" s="825"/>
      <c r="K576" s="825"/>
      <c r="L576" s="825"/>
    </row>
    <row r="577" ht="18.75" customHeight="1">
      <c r="A577" s="811"/>
      <c r="B577" s="812"/>
      <c r="C577" s="813"/>
      <c r="D577" s="814"/>
      <c r="E577" s="815"/>
      <c r="F577" s="815"/>
      <c r="G577" s="816"/>
      <c r="H577" s="817"/>
      <c r="I577" s="818"/>
      <c r="J577" s="816"/>
      <c r="K577" s="816"/>
      <c r="L577" s="816"/>
    </row>
    <row r="578" ht="18.75" customHeight="1">
      <c r="A578" s="822"/>
      <c r="B578" s="812"/>
      <c r="C578" s="823"/>
      <c r="D578" s="814"/>
      <c r="E578" s="824"/>
      <c r="F578" s="824"/>
      <c r="G578" s="825"/>
      <c r="H578" s="826"/>
      <c r="I578" s="827"/>
      <c r="J578" s="825"/>
      <c r="K578" s="825"/>
      <c r="L578" s="825"/>
    </row>
    <row r="579" ht="18.75" customHeight="1">
      <c r="A579" s="811"/>
      <c r="B579" s="812"/>
      <c r="C579" s="813"/>
      <c r="D579" s="814"/>
      <c r="E579" s="815"/>
      <c r="F579" s="815"/>
      <c r="G579" s="816"/>
      <c r="H579" s="817"/>
      <c r="I579" s="818"/>
      <c r="J579" s="816"/>
      <c r="K579" s="816"/>
      <c r="L579" s="816"/>
    </row>
    <row r="580" ht="18.75" customHeight="1">
      <c r="A580" s="822"/>
      <c r="B580" s="812"/>
      <c r="C580" s="823"/>
      <c r="D580" s="814"/>
      <c r="E580" s="824"/>
      <c r="F580" s="824"/>
      <c r="G580" s="825"/>
      <c r="H580" s="826"/>
      <c r="I580" s="827"/>
      <c r="J580" s="825"/>
      <c r="K580" s="825"/>
      <c r="L580" s="825"/>
    </row>
    <row r="581" ht="18.75" customHeight="1">
      <c r="A581" s="811"/>
      <c r="B581" s="812"/>
      <c r="C581" s="813"/>
      <c r="D581" s="814"/>
      <c r="E581" s="815"/>
      <c r="F581" s="815"/>
      <c r="G581" s="816"/>
      <c r="H581" s="817"/>
      <c r="I581" s="818"/>
      <c r="J581" s="816"/>
      <c r="K581" s="816"/>
      <c r="L581" s="816"/>
    </row>
    <row r="582" ht="18.75" customHeight="1">
      <c r="A582" s="822"/>
      <c r="B582" s="812"/>
      <c r="C582" s="823"/>
      <c r="D582" s="814"/>
      <c r="E582" s="824"/>
      <c r="F582" s="824"/>
      <c r="G582" s="825"/>
      <c r="H582" s="826"/>
      <c r="I582" s="827"/>
      <c r="J582" s="825"/>
      <c r="K582" s="825"/>
      <c r="L582" s="825"/>
    </row>
    <row r="583" ht="18.75" customHeight="1">
      <c r="A583" s="811"/>
      <c r="B583" s="812"/>
      <c r="C583" s="813"/>
      <c r="D583" s="814"/>
      <c r="E583" s="815"/>
      <c r="F583" s="815"/>
      <c r="G583" s="816"/>
      <c r="H583" s="817"/>
      <c r="I583" s="818"/>
      <c r="J583" s="816"/>
      <c r="K583" s="816"/>
      <c r="L583" s="816"/>
    </row>
    <row r="584" ht="18.75" customHeight="1">
      <c r="A584" s="822"/>
      <c r="B584" s="812"/>
      <c r="C584" s="823"/>
      <c r="D584" s="814"/>
      <c r="E584" s="824"/>
      <c r="F584" s="824"/>
      <c r="G584" s="825"/>
      <c r="H584" s="826"/>
      <c r="I584" s="827"/>
      <c r="J584" s="825"/>
      <c r="K584" s="825"/>
      <c r="L584" s="825"/>
    </row>
    <row r="585" ht="18.75" customHeight="1">
      <c r="A585" s="811"/>
      <c r="B585" s="812"/>
      <c r="C585" s="813"/>
      <c r="D585" s="814"/>
      <c r="E585" s="815"/>
      <c r="F585" s="815"/>
      <c r="G585" s="816"/>
      <c r="H585" s="817"/>
      <c r="I585" s="818"/>
      <c r="J585" s="816"/>
      <c r="K585" s="816"/>
      <c r="L585" s="816"/>
    </row>
    <row r="586" ht="18.75" customHeight="1">
      <c r="A586" s="822"/>
      <c r="B586" s="812"/>
      <c r="C586" s="823"/>
      <c r="D586" s="814"/>
      <c r="E586" s="824"/>
      <c r="F586" s="824"/>
      <c r="G586" s="825"/>
      <c r="H586" s="826"/>
      <c r="I586" s="827"/>
      <c r="J586" s="825"/>
      <c r="K586" s="825"/>
      <c r="L586" s="825"/>
    </row>
    <row r="587" ht="18.75" customHeight="1">
      <c r="A587" s="811"/>
      <c r="B587" s="812"/>
      <c r="C587" s="813"/>
      <c r="D587" s="814"/>
      <c r="E587" s="815"/>
      <c r="F587" s="815"/>
      <c r="G587" s="816"/>
      <c r="H587" s="817"/>
      <c r="I587" s="818"/>
      <c r="J587" s="816"/>
      <c r="K587" s="816"/>
      <c r="L587" s="816"/>
    </row>
    <row r="588" ht="18.75" customHeight="1">
      <c r="A588" s="822"/>
      <c r="B588" s="812"/>
      <c r="C588" s="823"/>
      <c r="D588" s="814"/>
      <c r="E588" s="824"/>
      <c r="F588" s="824"/>
      <c r="G588" s="825"/>
      <c r="H588" s="826"/>
      <c r="I588" s="827"/>
      <c r="J588" s="825"/>
      <c r="K588" s="825"/>
      <c r="L588" s="825"/>
    </row>
    <row r="589" ht="18.75" customHeight="1">
      <c r="A589" s="811"/>
      <c r="B589" s="812"/>
      <c r="C589" s="813"/>
      <c r="D589" s="814"/>
      <c r="E589" s="815"/>
      <c r="F589" s="815"/>
      <c r="G589" s="816"/>
      <c r="H589" s="817"/>
      <c r="I589" s="818"/>
      <c r="J589" s="816"/>
      <c r="K589" s="816"/>
      <c r="L589" s="816"/>
    </row>
    <row r="590" ht="18.75" customHeight="1">
      <c r="A590" s="822"/>
      <c r="B590" s="812"/>
      <c r="C590" s="823"/>
      <c r="D590" s="814"/>
      <c r="E590" s="824"/>
      <c r="F590" s="824"/>
      <c r="G590" s="825"/>
      <c r="H590" s="826"/>
      <c r="I590" s="827"/>
      <c r="J590" s="825"/>
      <c r="K590" s="825"/>
      <c r="L590" s="825"/>
    </row>
    <row r="591" ht="18.75" customHeight="1">
      <c r="A591" s="811"/>
      <c r="B591" s="812"/>
      <c r="C591" s="813"/>
      <c r="D591" s="814"/>
      <c r="E591" s="815"/>
      <c r="F591" s="815"/>
      <c r="G591" s="816"/>
      <c r="H591" s="817"/>
      <c r="I591" s="818"/>
      <c r="J591" s="816"/>
      <c r="K591" s="816"/>
      <c r="L591" s="816"/>
    </row>
    <row r="592" ht="18.75" customHeight="1">
      <c r="A592" s="822"/>
      <c r="B592" s="812"/>
      <c r="C592" s="823"/>
      <c r="D592" s="814"/>
      <c r="E592" s="824"/>
      <c r="F592" s="824"/>
      <c r="G592" s="825"/>
      <c r="H592" s="826"/>
      <c r="I592" s="827"/>
      <c r="J592" s="825"/>
      <c r="K592" s="825"/>
      <c r="L592" s="825"/>
    </row>
    <row r="593" ht="18.75" customHeight="1">
      <c r="A593" s="811"/>
      <c r="B593" s="812"/>
      <c r="C593" s="813"/>
      <c r="D593" s="814"/>
      <c r="E593" s="815"/>
      <c r="F593" s="815"/>
      <c r="G593" s="816"/>
      <c r="H593" s="817"/>
      <c r="I593" s="818"/>
      <c r="J593" s="816"/>
      <c r="K593" s="816"/>
      <c r="L593" s="816"/>
    </row>
    <row r="594" ht="18.75" customHeight="1">
      <c r="A594" s="822"/>
      <c r="B594" s="812"/>
      <c r="C594" s="823"/>
      <c r="D594" s="814"/>
      <c r="E594" s="824"/>
      <c r="F594" s="824"/>
      <c r="G594" s="825"/>
      <c r="H594" s="826"/>
      <c r="I594" s="827"/>
      <c r="J594" s="825"/>
      <c r="K594" s="825"/>
      <c r="L594" s="825"/>
    </row>
    <row r="595" ht="18.75" customHeight="1">
      <c r="A595" s="811"/>
      <c r="B595" s="812"/>
      <c r="C595" s="813"/>
      <c r="D595" s="814"/>
      <c r="E595" s="815"/>
      <c r="F595" s="815"/>
      <c r="G595" s="816"/>
      <c r="H595" s="817"/>
      <c r="I595" s="818"/>
      <c r="J595" s="816"/>
      <c r="K595" s="816"/>
      <c r="L595" s="816"/>
    </row>
    <row r="596" ht="18.75" customHeight="1">
      <c r="A596" s="822"/>
      <c r="B596" s="812"/>
      <c r="C596" s="823"/>
      <c r="D596" s="814"/>
      <c r="E596" s="824"/>
      <c r="F596" s="824"/>
      <c r="G596" s="825"/>
      <c r="H596" s="826"/>
      <c r="I596" s="827"/>
      <c r="J596" s="825"/>
      <c r="K596" s="825"/>
      <c r="L596" s="825"/>
    </row>
    <row r="597" ht="18.75" customHeight="1">
      <c r="A597" s="811"/>
      <c r="B597" s="812"/>
      <c r="C597" s="813"/>
      <c r="D597" s="814"/>
      <c r="E597" s="815"/>
      <c r="F597" s="815"/>
      <c r="G597" s="816"/>
      <c r="H597" s="817"/>
      <c r="I597" s="818"/>
      <c r="J597" s="816"/>
      <c r="K597" s="816"/>
      <c r="L597" s="816"/>
    </row>
    <row r="598" ht="18.75" customHeight="1">
      <c r="A598" s="822"/>
      <c r="B598" s="812"/>
      <c r="C598" s="823"/>
      <c r="D598" s="814"/>
      <c r="E598" s="824"/>
      <c r="F598" s="824"/>
      <c r="G598" s="825"/>
      <c r="H598" s="826"/>
      <c r="I598" s="827"/>
      <c r="J598" s="825"/>
      <c r="K598" s="825"/>
      <c r="L598" s="825"/>
    </row>
    <row r="599" ht="18.75" customHeight="1">
      <c r="A599" s="811"/>
      <c r="B599" s="812"/>
      <c r="C599" s="813"/>
      <c r="D599" s="814"/>
      <c r="E599" s="815"/>
      <c r="F599" s="815"/>
      <c r="G599" s="816"/>
      <c r="H599" s="817"/>
      <c r="I599" s="818"/>
      <c r="J599" s="816"/>
      <c r="K599" s="816"/>
      <c r="L599" s="816"/>
    </row>
    <row r="600" ht="18.75" customHeight="1">
      <c r="A600" s="822"/>
      <c r="B600" s="812"/>
      <c r="C600" s="823"/>
      <c r="D600" s="814"/>
      <c r="E600" s="824"/>
      <c r="F600" s="824"/>
      <c r="G600" s="825"/>
      <c r="H600" s="826"/>
      <c r="I600" s="827"/>
      <c r="J600" s="825"/>
      <c r="K600" s="825"/>
      <c r="L600" s="825"/>
    </row>
    <row r="601" ht="18.75" customHeight="1">
      <c r="A601" s="811"/>
      <c r="B601" s="812"/>
      <c r="C601" s="813"/>
      <c r="D601" s="814"/>
      <c r="E601" s="815"/>
      <c r="F601" s="815"/>
      <c r="G601" s="816"/>
      <c r="H601" s="817"/>
      <c r="I601" s="818"/>
      <c r="J601" s="816"/>
      <c r="K601" s="816"/>
      <c r="L601" s="816"/>
    </row>
    <row r="602" ht="18.75" customHeight="1">
      <c r="A602" s="822"/>
      <c r="B602" s="812"/>
      <c r="C602" s="823"/>
      <c r="D602" s="814"/>
      <c r="E602" s="824"/>
      <c r="F602" s="824"/>
      <c r="G602" s="825"/>
      <c r="H602" s="826"/>
      <c r="I602" s="827"/>
      <c r="J602" s="825"/>
      <c r="K602" s="825"/>
      <c r="L602" s="825"/>
    </row>
    <row r="603" ht="18.75" customHeight="1">
      <c r="A603" s="811"/>
      <c r="B603" s="812"/>
      <c r="C603" s="813"/>
      <c r="D603" s="814"/>
      <c r="E603" s="815"/>
      <c r="F603" s="815"/>
      <c r="G603" s="816"/>
      <c r="H603" s="817"/>
      <c r="I603" s="818"/>
      <c r="J603" s="816"/>
      <c r="K603" s="816"/>
      <c r="L603" s="816"/>
    </row>
    <row r="604" ht="18.75" customHeight="1">
      <c r="A604" s="822"/>
      <c r="B604" s="812"/>
      <c r="C604" s="823"/>
      <c r="D604" s="814"/>
      <c r="E604" s="824"/>
      <c r="F604" s="824"/>
      <c r="G604" s="825"/>
      <c r="H604" s="826"/>
      <c r="I604" s="827"/>
      <c r="J604" s="825"/>
      <c r="K604" s="825"/>
      <c r="L604" s="825"/>
    </row>
    <row r="605" ht="18.75" customHeight="1">
      <c r="A605" s="811"/>
      <c r="B605" s="812"/>
      <c r="C605" s="813"/>
      <c r="D605" s="814"/>
      <c r="E605" s="815"/>
      <c r="F605" s="815"/>
      <c r="G605" s="816"/>
      <c r="H605" s="817"/>
      <c r="I605" s="818"/>
      <c r="J605" s="816"/>
      <c r="K605" s="816"/>
      <c r="L605" s="816"/>
    </row>
    <row r="606" ht="18.75" customHeight="1">
      <c r="A606" s="822"/>
      <c r="B606" s="812"/>
      <c r="C606" s="823"/>
      <c r="D606" s="814"/>
      <c r="E606" s="824"/>
      <c r="F606" s="824"/>
      <c r="G606" s="825"/>
      <c r="H606" s="826"/>
      <c r="I606" s="827"/>
      <c r="J606" s="825"/>
      <c r="K606" s="825"/>
      <c r="L606" s="825"/>
    </row>
    <row r="607" ht="18.75" customHeight="1">
      <c r="A607" s="811"/>
      <c r="B607" s="812"/>
      <c r="C607" s="813"/>
      <c r="D607" s="814"/>
      <c r="E607" s="815"/>
      <c r="F607" s="815"/>
      <c r="G607" s="816"/>
      <c r="H607" s="817"/>
      <c r="I607" s="818"/>
      <c r="J607" s="816"/>
      <c r="K607" s="816"/>
      <c r="L607" s="816"/>
    </row>
    <row r="608" ht="18.75" customHeight="1">
      <c r="A608" s="822"/>
      <c r="B608" s="812"/>
      <c r="C608" s="823"/>
      <c r="D608" s="814"/>
      <c r="E608" s="824"/>
      <c r="F608" s="824"/>
      <c r="G608" s="825"/>
      <c r="H608" s="826"/>
      <c r="I608" s="827"/>
      <c r="J608" s="825"/>
      <c r="K608" s="825"/>
      <c r="L608" s="825"/>
    </row>
    <row r="609" ht="18.75" customHeight="1">
      <c r="A609" s="811"/>
      <c r="B609" s="812"/>
      <c r="C609" s="813"/>
      <c r="D609" s="814"/>
      <c r="E609" s="815"/>
      <c r="F609" s="815"/>
      <c r="G609" s="816"/>
      <c r="H609" s="817"/>
      <c r="I609" s="818"/>
      <c r="J609" s="816"/>
      <c r="K609" s="816"/>
      <c r="L609" s="816"/>
    </row>
    <row r="610" ht="18.75" customHeight="1">
      <c r="A610" s="822"/>
      <c r="B610" s="812"/>
      <c r="C610" s="823"/>
      <c r="D610" s="814"/>
      <c r="E610" s="824"/>
      <c r="F610" s="824"/>
      <c r="G610" s="825"/>
      <c r="H610" s="826"/>
      <c r="I610" s="827"/>
      <c r="J610" s="825"/>
      <c r="K610" s="825"/>
      <c r="L610" s="825"/>
    </row>
    <row r="611" ht="18.75" customHeight="1">
      <c r="A611" s="811"/>
      <c r="B611" s="812"/>
      <c r="C611" s="813"/>
      <c r="D611" s="814"/>
      <c r="E611" s="815"/>
      <c r="F611" s="815"/>
      <c r="G611" s="816"/>
      <c r="H611" s="817"/>
      <c r="I611" s="818"/>
      <c r="J611" s="816"/>
      <c r="K611" s="816"/>
      <c r="L611" s="816"/>
    </row>
    <row r="612" ht="18.75" customHeight="1">
      <c r="A612" s="822"/>
      <c r="B612" s="812"/>
      <c r="C612" s="823"/>
      <c r="D612" s="814"/>
      <c r="E612" s="824"/>
      <c r="F612" s="824"/>
      <c r="G612" s="825"/>
      <c r="H612" s="826"/>
      <c r="I612" s="827"/>
      <c r="J612" s="825"/>
      <c r="K612" s="825"/>
      <c r="L612" s="825"/>
    </row>
    <row r="613" ht="18.75" customHeight="1">
      <c r="A613" s="811"/>
      <c r="B613" s="812"/>
      <c r="C613" s="813"/>
      <c r="D613" s="814"/>
      <c r="E613" s="815"/>
      <c r="F613" s="815"/>
      <c r="G613" s="816"/>
      <c r="H613" s="817"/>
      <c r="I613" s="818"/>
      <c r="J613" s="816"/>
      <c r="K613" s="816"/>
      <c r="L613" s="816"/>
    </row>
    <row r="614" ht="18.75" customHeight="1">
      <c r="A614" s="822"/>
      <c r="B614" s="812"/>
      <c r="C614" s="823"/>
      <c r="D614" s="814"/>
      <c r="E614" s="824"/>
      <c r="F614" s="824"/>
      <c r="G614" s="825"/>
      <c r="H614" s="826"/>
      <c r="I614" s="827"/>
      <c r="J614" s="825"/>
      <c r="K614" s="825"/>
      <c r="L614" s="825"/>
    </row>
    <row r="615" ht="18.75" customHeight="1">
      <c r="A615" s="811"/>
      <c r="B615" s="812"/>
      <c r="C615" s="813"/>
      <c r="D615" s="814"/>
      <c r="E615" s="815"/>
      <c r="F615" s="815"/>
      <c r="G615" s="816"/>
      <c r="H615" s="817"/>
      <c r="I615" s="818"/>
      <c r="J615" s="816"/>
      <c r="K615" s="816"/>
      <c r="L615" s="816"/>
    </row>
    <row r="616" ht="18.75" customHeight="1">
      <c r="A616" s="822"/>
      <c r="B616" s="812"/>
      <c r="C616" s="823"/>
      <c r="D616" s="814"/>
      <c r="E616" s="824"/>
      <c r="F616" s="824"/>
      <c r="G616" s="825"/>
      <c r="H616" s="826"/>
      <c r="I616" s="827"/>
      <c r="J616" s="825"/>
      <c r="K616" s="825"/>
      <c r="L616" s="825"/>
    </row>
    <row r="617" ht="18.75" customHeight="1">
      <c r="A617" s="811"/>
      <c r="B617" s="812"/>
      <c r="C617" s="813"/>
      <c r="D617" s="814"/>
      <c r="E617" s="815"/>
      <c r="F617" s="815"/>
      <c r="G617" s="816"/>
      <c r="H617" s="817"/>
      <c r="I617" s="818"/>
      <c r="J617" s="816"/>
      <c r="K617" s="816"/>
      <c r="L617" s="816"/>
    </row>
    <row r="618" ht="18.75" customHeight="1">
      <c r="A618" s="822"/>
      <c r="B618" s="812"/>
      <c r="C618" s="823"/>
      <c r="D618" s="814"/>
      <c r="E618" s="824"/>
      <c r="F618" s="824"/>
      <c r="G618" s="825"/>
      <c r="H618" s="826"/>
      <c r="I618" s="827"/>
      <c r="J618" s="825"/>
      <c r="K618" s="825"/>
      <c r="L618" s="825"/>
    </row>
    <row r="619" ht="18.75" customHeight="1">
      <c r="A619" s="811"/>
      <c r="B619" s="812"/>
      <c r="C619" s="813"/>
      <c r="D619" s="814"/>
      <c r="E619" s="815"/>
      <c r="F619" s="815"/>
      <c r="G619" s="816"/>
      <c r="H619" s="817"/>
      <c r="I619" s="818"/>
      <c r="J619" s="816"/>
      <c r="K619" s="816"/>
      <c r="L619" s="816"/>
    </row>
    <row r="620" ht="18.75" customHeight="1">
      <c r="A620" s="822"/>
      <c r="B620" s="812"/>
      <c r="C620" s="823"/>
      <c r="D620" s="814"/>
      <c r="E620" s="824"/>
      <c r="F620" s="824"/>
      <c r="G620" s="825"/>
      <c r="H620" s="826"/>
      <c r="I620" s="827"/>
      <c r="J620" s="825"/>
      <c r="K620" s="825"/>
      <c r="L620" s="825"/>
    </row>
    <row r="621" ht="18.75" customHeight="1">
      <c r="A621" s="811"/>
      <c r="B621" s="812"/>
      <c r="C621" s="813"/>
      <c r="D621" s="814"/>
      <c r="E621" s="815"/>
      <c r="F621" s="815"/>
      <c r="G621" s="816"/>
      <c r="H621" s="817"/>
      <c r="I621" s="818"/>
      <c r="J621" s="816"/>
      <c r="K621" s="816"/>
      <c r="L621" s="816"/>
    </row>
    <row r="622" ht="18.75" customHeight="1">
      <c r="A622" s="822"/>
      <c r="B622" s="812"/>
      <c r="C622" s="823"/>
      <c r="D622" s="814"/>
      <c r="E622" s="824"/>
      <c r="F622" s="824"/>
      <c r="G622" s="825"/>
      <c r="H622" s="826"/>
      <c r="I622" s="827"/>
      <c r="J622" s="825"/>
      <c r="K622" s="825"/>
      <c r="L622" s="825"/>
    </row>
    <row r="623" ht="18.75" customHeight="1">
      <c r="A623" s="811"/>
      <c r="B623" s="812"/>
      <c r="C623" s="813"/>
      <c r="D623" s="814"/>
      <c r="E623" s="815"/>
      <c r="F623" s="815"/>
      <c r="G623" s="816"/>
      <c r="H623" s="817"/>
      <c r="I623" s="818"/>
      <c r="J623" s="816"/>
      <c r="K623" s="816"/>
      <c r="L623" s="816"/>
    </row>
    <row r="624" ht="18.75" customHeight="1">
      <c r="A624" s="822"/>
      <c r="B624" s="812"/>
      <c r="C624" s="823"/>
      <c r="D624" s="814"/>
      <c r="E624" s="824"/>
      <c r="F624" s="824"/>
      <c r="G624" s="825"/>
      <c r="H624" s="826"/>
      <c r="I624" s="827"/>
      <c r="J624" s="825"/>
      <c r="K624" s="825"/>
      <c r="L624" s="825"/>
    </row>
    <row r="625" ht="18.75" customHeight="1">
      <c r="A625" s="811"/>
      <c r="B625" s="812"/>
      <c r="C625" s="813"/>
      <c r="D625" s="814"/>
      <c r="E625" s="815"/>
      <c r="F625" s="815"/>
      <c r="G625" s="816"/>
      <c r="H625" s="817"/>
      <c r="I625" s="818"/>
      <c r="J625" s="816"/>
      <c r="K625" s="816"/>
      <c r="L625" s="816"/>
    </row>
    <row r="626" ht="18.75" customHeight="1">
      <c r="A626" s="822"/>
      <c r="B626" s="812"/>
      <c r="C626" s="823"/>
      <c r="D626" s="814"/>
      <c r="E626" s="824"/>
      <c r="F626" s="824"/>
      <c r="G626" s="825"/>
      <c r="H626" s="826"/>
      <c r="I626" s="827"/>
      <c r="J626" s="825"/>
      <c r="K626" s="825"/>
      <c r="L626" s="825"/>
    </row>
    <row r="627" ht="18.75" customHeight="1">
      <c r="A627" s="811"/>
      <c r="B627" s="812"/>
      <c r="C627" s="813"/>
      <c r="D627" s="814"/>
      <c r="E627" s="815"/>
      <c r="F627" s="815"/>
      <c r="G627" s="816"/>
      <c r="H627" s="817"/>
      <c r="I627" s="818"/>
      <c r="J627" s="816"/>
      <c r="K627" s="816"/>
      <c r="L627" s="816"/>
    </row>
    <row r="628" ht="18.75" customHeight="1">
      <c r="A628" s="822"/>
      <c r="B628" s="812"/>
      <c r="C628" s="823"/>
      <c r="D628" s="814"/>
      <c r="E628" s="824"/>
      <c r="F628" s="824"/>
      <c r="G628" s="825"/>
      <c r="H628" s="826"/>
      <c r="I628" s="827"/>
      <c r="J628" s="825"/>
      <c r="K628" s="825"/>
      <c r="L628" s="825"/>
    </row>
    <row r="629" ht="18.75" customHeight="1">
      <c r="A629" s="811"/>
      <c r="B629" s="812"/>
      <c r="C629" s="813"/>
      <c r="D629" s="814"/>
      <c r="E629" s="815"/>
      <c r="F629" s="815"/>
      <c r="G629" s="816"/>
      <c r="H629" s="817"/>
      <c r="I629" s="818"/>
      <c r="J629" s="816"/>
      <c r="K629" s="816"/>
      <c r="L629" s="816"/>
    </row>
    <row r="630" ht="18.75" customHeight="1">
      <c r="A630" s="822"/>
      <c r="B630" s="812"/>
      <c r="C630" s="823"/>
      <c r="D630" s="814"/>
      <c r="E630" s="824"/>
      <c r="F630" s="824"/>
      <c r="G630" s="825"/>
      <c r="H630" s="826"/>
      <c r="I630" s="827"/>
      <c r="J630" s="825"/>
      <c r="K630" s="825"/>
      <c r="L630" s="825"/>
    </row>
    <row r="631" ht="18.75" customHeight="1">
      <c r="A631" s="811"/>
      <c r="B631" s="812"/>
      <c r="C631" s="813"/>
      <c r="D631" s="814"/>
      <c r="E631" s="815"/>
      <c r="F631" s="815"/>
      <c r="G631" s="816"/>
      <c r="H631" s="817"/>
      <c r="I631" s="818"/>
      <c r="J631" s="816"/>
      <c r="K631" s="816"/>
      <c r="L631" s="816"/>
    </row>
    <row r="632" ht="18.75" customHeight="1">
      <c r="A632" s="822"/>
      <c r="B632" s="812"/>
      <c r="C632" s="823"/>
      <c r="D632" s="814"/>
      <c r="E632" s="824"/>
      <c r="F632" s="824"/>
      <c r="G632" s="825"/>
      <c r="H632" s="826"/>
      <c r="I632" s="827"/>
      <c r="J632" s="825"/>
      <c r="K632" s="825"/>
      <c r="L632" s="825"/>
    </row>
    <row r="633" ht="18.75" customHeight="1">
      <c r="A633" s="811"/>
      <c r="B633" s="812"/>
      <c r="C633" s="813"/>
      <c r="D633" s="814"/>
      <c r="E633" s="815"/>
      <c r="F633" s="815"/>
      <c r="G633" s="816"/>
      <c r="H633" s="817"/>
      <c r="I633" s="818"/>
      <c r="J633" s="816"/>
      <c r="K633" s="816"/>
      <c r="L633" s="816"/>
    </row>
    <row r="634" ht="18.75" customHeight="1">
      <c r="A634" s="822"/>
      <c r="B634" s="812"/>
      <c r="C634" s="823"/>
      <c r="D634" s="814"/>
      <c r="E634" s="824"/>
      <c r="F634" s="824"/>
      <c r="G634" s="825"/>
      <c r="H634" s="826"/>
      <c r="I634" s="827"/>
      <c r="J634" s="825"/>
      <c r="K634" s="825"/>
      <c r="L634" s="825"/>
    </row>
    <row r="635" ht="18.75" customHeight="1">
      <c r="A635" s="811"/>
      <c r="B635" s="812"/>
      <c r="C635" s="813"/>
      <c r="D635" s="814"/>
      <c r="E635" s="815"/>
      <c r="F635" s="815"/>
      <c r="G635" s="816"/>
      <c r="H635" s="817"/>
      <c r="I635" s="818"/>
      <c r="J635" s="816"/>
      <c r="K635" s="816"/>
      <c r="L635" s="816"/>
    </row>
    <row r="636" ht="18.75" customHeight="1">
      <c r="A636" s="822"/>
      <c r="B636" s="812"/>
      <c r="C636" s="823"/>
      <c r="D636" s="814"/>
      <c r="E636" s="824"/>
      <c r="F636" s="824"/>
      <c r="G636" s="825"/>
      <c r="H636" s="826"/>
      <c r="I636" s="827"/>
      <c r="J636" s="825"/>
      <c r="K636" s="825"/>
      <c r="L636" s="825"/>
    </row>
    <row r="637" ht="18.75" customHeight="1">
      <c r="A637" s="811"/>
      <c r="B637" s="812"/>
      <c r="C637" s="813"/>
      <c r="D637" s="814"/>
      <c r="E637" s="815"/>
      <c r="F637" s="815"/>
      <c r="G637" s="816"/>
      <c r="H637" s="817"/>
      <c r="I637" s="818"/>
      <c r="J637" s="816"/>
      <c r="K637" s="816"/>
      <c r="L637" s="816"/>
    </row>
    <row r="638" ht="18.75" customHeight="1">
      <c r="A638" s="822"/>
      <c r="B638" s="812"/>
      <c r="C638" s="823"/>
      <c r="D638" s="814"/>
      <c r="E638" s="824"/>
      <c r="F638" s="824"/>
      <c r="G638" s="825"/>
      <c r="H638" s="826"/>
      <c r="I638" s="827"/>
      <c r="J638" s="825"/>
      <c r="K638" s="825"/>
      <c r="L638" s="825"/>
    </row>
    <row r="639" ht="18.75" customHeight="1">
      <c r="A639" s="811"/>
      <c r="B639" s="812"/>
      <c r="C639" s="813"/>
      <c r="D639" s="814"/>
      <c r="E639" s="815"/>
      <c r="F639" s="815"/>
      <c r="G639" s="816"/>
      <c r="H639" s="817"/>
      <c r="I639" s="818"/>
      <c r="J639" s="816"/>
      <c r="K639" s="816"/>
      <c r="L639" s="816"/>
    </row>
    <row r="640" ht="18.75" customHeight="1">
      <c r="A640" s="822"/>
      <c r="B640" s="812"/>
      <c r="C640" s="823"/>
      <c r="D640" s="814"/>
      <c r="E640" s="824"/>
      <c r="F640" s="824"/>
      <c r="G640" s="825"/>
      <c r="H640" s="826"/>
      <c r="I640" s="827"/>
      <c r="J640" s="825"/>
      <c r="K640" s="825"/>
      <c r="L640" s="825"/>
    </row>
    <row r="641" ht="18.75" customHeight="1">
      <c r="A641" s="811"/>
      <c r="B641" s="812"/>
      <c r="C641" s="813"/>
      <c r="D641" s="814"/>
      <c r="E641" s="815"/>
      <c r="F641" s="815"/>
      <c r="G641" s="816"/>
      <c r="H641" s="817"/>
      <c r="I641" s="818"/>
      <c r="J641" s="816"/>
      <c r="K641" s="816"/>
      <c r="L641" s="816"/>
    </row>
    <row r="642" ht="18.75" customHeight="1">
      <c r="A642" s="822"/>
      <c r="B642" s="812"/>
      <c r="C642" s="823"/>
      <c r="D642" s="814"/>
      <c r="E642" s="824"/>
      <c r="F642" s="824"/>
      <c r="G642" s="825"/>
      <c r="H642" s="826"/>
      <c r="I642" s="827"/>
      <c r="J642" s="825"/>
      <c r="K642" s="825"/>
      <c r="L642" s="825"/>
    </row>
    <row r="643" ht="18.75" customHeight="1">
      <c r="A643" s="811"/>
      <c r="B643" s="812"/>
      <c r="C643" s="813"/>
      <c r="D643" s="814"/>
      <c r="E643" s="815"/>
      <c r="F643" s="815"/>
      <c r="G643" s="816"/>
      <c r="H643" s="817"/>
      <c r="I643" s="818"/>
      <c r="J643" s="816"/>
      <c r="K643" s="816"/>
      <c r="L643" s="816"/>
    </row>
    <row r="644" ht="18.75" customHeight="1">
      <c r="A644" s="822"/>
      <c r="B644" s="812"/>
      <c r="C644" s="823"/>
      <c r="D644" s="814"/>
      <c r="E644" s="824"/>
      <c r="F644" s="824"/>
      <c r="G644" s="825"/>
      <c r="H644" s="826"/>
      <c r="I644" s="827"/>
      <c r="J644" s="825"/>
      <c r="K644" s="825"/>
      <c r="L644" s="825"/>
    </row>
    <row r="645" ht="18.75" customHeight="1">
      <c r="A645" s="811"/>
      <c r="B645" s="812"/>
      <c r="C645" s="813"/>
      <c r="D645" s="814"/>
      <c r="E645" s="815"/>
      <c r="F645" s="815"/>
      <c r="G645" s="816"/>
      <c r="H645" s="817"/>
      <c r="I645" s="818"/>
      <c r="J645" s="816"/>
      <c r="K645" s="816"/>
      <c r="L645" s="816"/>
    </row>
    <row r="646" ht="18.75" customHeight="1">
      <c r="A646" s="822"/>
      <c r="B646" s="812"/>
      <c r="C646" s="823"/>
      <c r="D646" s="814"/>
      <c r="E646" s="824"/>
      <c r="F646" s="824"/>
      <c r="G646" s="825"/>
      <c r="H646" s="826"/>
      <c r="I646" s="827"/>
      <c r="J646" s="825"/>
      <c r="K646" s="825"/>
      <c r="L646" s="825"/>
    </row>
    <row r="647" ht="18.75" customHeight="1">
      <c r="A647" s="811"/>
      <c r="B647" s="812"/>
      <c r="C647" s="813"/>
      <c r="D647" s="814"/>
      <c r="E647" s="815"/>
      <c r="F647" s="815"/>
      <c r="G647" s="816"/>
      <c r="H647" s="817"/>
      <c r="I647" s="818"/>
      <c r="J647" s="816"/>
      <c r="K647" s="816"/>
      <c r="L647" s="816"/>
    </row>
    <row r="648" ht="18.75" customHeight="1">
      <c r="A648" s="822"/>
      <c r="B648" s="812"/>
      <c r="C648" s="823"/>
      <c r="D648" s="814"/>
      <c r="E648" s="824"/>
      <c r="F648" s="824"/>
      <c r="G648" s="825"/>
      <c r="H648" s="826"/>
      <c r="I648" s="827"/>
      <c r="J648" s="825"/>
      <c r="K648" s="825"/>
      <c r="L648" s="825"/>
    </row>
    <row r="649" ht="18.75" customHeight="1">
      <c r="A649" s="811"/>
      <c r="B649" s="812"/>
      <c r="C649" s="813"/>
      <c r="D649" s="814"/>
      <c r="E649" s="815"/>
      <c r="F649" s="815"/>
      <c r="G649" s="816"/>
      <c r="H649" s="817"/>
      <c r="I649" s="818"/>
      <c r="J649" s="816"/>
      <c r="K649" s="816"/>
      <c r="L649" s="816"/>
    </row>
    <row r="650" ht="18.75" customHeight="1">
      <c r="A650" s="822"/>
      <c r="B650" s="812"/>
      <c r="C650" s="823"/>
      <c r="D650" s="814"/>
      <c r="E650" s="824"/>
      <c r="F650" s="824"/>
      <c r="G650" s="825"/>
      <c r="H650" s="826"/>
      <c r="I650" s="827"/>
      <c r="J650" s="825"/>
      <c r="K650" s="825"/>
      <c r="L650" s="825"/>
    </row>
    <row r="651" ht="18.75" customHeight="1">
      <c r="A651" s="811"/>
      <c r="B651" s="812"/>
      <c r="C651" s="813"/>
      <c r="D651" s="814"/>
      <c r="E651" s="815"/>
      <c r="F651" s="815"/>
      <c r="G651" s="816"/>
      <c r="H651" s="817"/>
      <c r="I651" s="818"/>
      <c r="J651" s="816"/>
      <c r="K651" s="816"/>
      <c r="L651" s="816"/>
    </row>
    <row r="652" ht="18.75" customHeight="1">
      <c r="A652" s="822"/>
      <c r="B652" s="812"/>
      <c r="C652" s="823"/>
      <c r="D652" s="814"/>
      <c r="E652" s="824"/>
      <c r="F652" s="824"/>
      <c r="G652" s="825"/>
      <c r="H652" s="826"/>
      <c r="I652" s="827"/>
      <c r="J652" s="825"/>
      <c r="K652" s="825"/>
      <c r="L652" s="825"/>
    </row>
    <row r="653" ht="18.75" customHeight="1">
      <c r="A653" s="811"/>
      <c r="B653" s="812"/>
      <c r="C653" s="813"/>
      <c r="D653" s="814"/>
      <c r="E653" s="815"/>
      <c r="F653" s="815"/>
      <c r="G653" s="816"/>
      <c r="H653" s="817"/>
      <c r="I653" s="818"/>
      <c r="J653" s="816"/>
      <c r="K653" s="816"/>
      <c r="L653" s="816"/>
    </row>
    <row r="654" ht="18.75" customHeight="1">
      <c r="A654" s="822"/>
      <c r="B654" s="812"/>
      <c r="C654" s="823"/>
      <c r="D654" s="814"/>
      <c r="E654" s="824"/>
      <c r="F654" s="824"/>
      <c r="G654" s="825"/>
      <c r="H654" s="826"/>
      <c r="I654" s="827"/>
      <c r="J654" s="825"/>
      <c r="K654" s="825"/>
      <c r="L654" s="825"/>
    </row>
    <row r="655" ht="18.75" customHeight="1">
      <c r="A655" s="811"/>
      <c r="B655" s="812"/>
      <c r="C655" s="813"/>
      <c r="D655" s="814"/>
      <c r="E655" s="815"/>
      <c r="F655" s="815"/>
      <c r="G655" s="816"/>
      <c r="H655" s="817"/>
      <c r="I655" s="818"/>
      <c r="J655" s="816"/>
      <c r="K655" s="816"/>
      <c r="L655" s="816"/>
    </row>
    <row r="656" ht="18.75" customHeight="1">
      <c r="A656" s="822"/>
      <c r="B656" s="812"/>
      <c r="C656" s="823"/>
      <c r="D656" s="814"/>
      <c r="E656" s="824"/>
      <c r="F656" s="824"/>
      <c r="G656" s="825"/>
      <c r="H656" s="826"/>
      <c r="I656" s="827"/>
      <c r="J656" s="825"/>
      <c r="K656" s="825"/>
      <c r="L656" s="825"/>
    </row>
    <row r="657" ht="18.75" customHeight="1">
      <c r="A657" s="811"/>
      <c r="B657" s="812"/>
      <c r="C657" s="813"/>
      <c r="D657" s="814"/>
      <c r="E657" s="815"/>
      <c r="F657" s="815"/>
      <c r="G657" s="816"/>
      <c r="H657" s="817"/>
      <c r="I657" s="818"/>
      <c r="J657" s="816"/>
      <c r="K657" s="816"/>
      <c r="L657" s="816"/>
    </row>
    <row r="658" ht="18.75" customHeight="1">
      <c r="A658" s="822"/>
      <c r="B658" s="812"/>
      <c r="C658" s="823"/>
      <c r="D658" s="814"/>
      <c r="E658" s="824"/>
      <c r="F658" s="824"/>
      <c r="G658" s="825"/>
      <c r="H658" s="826"/>
      <c r="I658" s="827"/>
      <c r="J658" s="825"/>
      <c r="K658" s="825"/>
      <c r="L658" s="825"/>
    </row>
    <row r="659" ht="18.75" customHeight="1">
      <c r="A659" s="811"/>
      <c r="B659" s="812"/>
      <c r="C659" s="813"/>
      <c r="D659" s="814"/>
      <c r="E659" s="815"/>
      <c r="F659" s="815"/>
      <c r="G659" s="816"/>
      <c r="H659" s="817"/>
      <c r="I659" s="818"/>
      <c r="J659" s="816"/>
      <c r="K659" s="816"/>
      <c r="L659" s="816"/>
    </row>
    <row r="660" ht="18.75" customHeight="1">
      <c r="A660" s="822"/>
      <c r="B660" s="812"/>
      <c r="C660" s="823"/>
      <c r="D660" s="814"/>
      <c r="E660" s="824"/>
      <c r="F660" s="824"/>
      <c r="G660" s="825"/>
      <c r="H660" s="826"/>
      <c r="I660" s="827"/>
      <c r="J660" s="825"/>
      <c r="K660" s="825"/>
      <c r="L660" s="825"/>
    </row>
    <row r="661" ht="18.75" customHeight="1">
      <c r="A661" s="811"/>
      <c r="B661" s="812"/>
      <c r="C661" s="813"/>
      <c r="D661" s="814"/>
      <c r="E661" s="815"/>
      <c r="F661" s="815"/>
      <c r="G661" s="816"/>
      <c r="H661" s="817"/>
      <c r="I661" s="818"/>
      <c r="J661" s="816"/>
      <c r="K661" s="816"/>
      <c r="L661" s="816"/>
    </row>
    <row r="662" ht="18.75" customHeight="1">
      <c r="A662" s="822"/>
      <c r="B662" s="812"/>
      <c r="C662" s="823"/>
      <c r="D662" s="814"/>
      <c r="E662" s="824"/>
      <c r="F662" s="824"/>
      <c r="G662" s="825"/>
      <c r="H662" s="826"/>
      <c r="I662" s="827"/>
      <c r="J662" s="825"/>
      <c r="K662" s="825"/>
      <c r="L662" s="825"/>
    </row>
    <row r="663" ht="18.75" customHeight="1">
      <c r="A663" s="811"/>
      <c r="B663" s="812"/>
      <c r="C663" s="813"/>
      <c r="D663" s="814"/>
      <c r="E663" s="815"/>
      <c r="F663" s="815"/>
      <c r="G663" s="816"/>
      <c r="H663" s="817"/>
      <c r="I663" s="818"/>
      <c r="J663" s="816"/>
      <c r="K663" s="816"/>
      <c r="L663" s="816"/>
    </row>
    <row r="664" ht="18.75" customHeight="1">
      <c r="A664" s="822"/>
      <c r="B664" s="812"/>
      <c r="C664" s="823"/>
      <c r="D664" s="814"/>
      <c r="E664" s="824"/>
      <c r="F664" s="824"/>
      <c r="G664" s="825"/>
      <c r="H664" s="826"/>
      <c r="I664" s="827"/>
      <c r="J664" s="825"/>
      <c r="K664" s="825"/>
      <c r="L664" s="825"/>
    </row>
    <row r="665" ht="18.75" customHeight="1">
      <c r="A665" s="811"/>
      <c r="B665" s="812"/>
      <c r="C665" s="813"/>
      <c r="D665" s="814"/>
      <c r="E665" s="815"/>
      <c r="F665" s="815"/>
      <c r="G665" s="816"/>
      <c r="H665" s="817"/>
      <c r="I665" s="818"/>
      <c r="J665" s="816"/>
      <c r="K665" s="816"/>
      <c r="L665" s="816"/>
    </row>
    <row r="666" ht="18.75" customHeight="1">
      <c r="A666" s="822"/>
      <c r="B666" s="812"/>
      <c r="C666" s="823"/>
      <c r="D666" s="814"/>
      <c r="E666" s="824"/>
      <c r="F666" s="824"/>
      <c r="G666" s="825"/>
      <c r="H666" s="826"/>
      <c r="I666" s="827"/>
      <c r="J666" s="825"/>
      <c r="K666" s="825"/>
      <c r="L666" s="825"/>
    </row>
    <row r="667" ht="18.75" customHeight="1">
      <c r="A667" s="811"/>
      <c r="B667" s="812"/>
      <c r="C667" s="813"/>
      <c r="D667" s="814"/>
      <c r="E667" s="815"/>
      <c r="F667" s="815"/>
      <c r="G667" s="816"/>
      <c r="H667" s="817"/>
      <c r="I667" s="818"/>
      <c r="J667" s="816"/>
      <c r="K667" s="816"/>
      <c r="L667" s="816"/>
    </row>
    <row r="668" ht="18.75" customHeight="1">
      <c r="A668" s="822"/>
      <c r="B668" s="812"/>
      <c r="C668" s="823"/>
      <c r="D668" s="814"/>
      <c r="E668" s="824"/>
      <c r="F668" s="824"/>
      <c r="G668" s="825"/>
      <c r="H668" s="826"/>
      <c r="I668" s="827"/>
      <c r="J668" s="825"/>
      <c r="K668" s="825"/>
      <c r="L668" s="825"/>
    </row>
    <row r="669" ht="18.75" customHeight="1">
      <c r="A669" s="811"/>
      <c r="B669" s="812"/>
      <c r="C669" s="813"/>
      <c r="D669" s="814"/>
      <c r="E669" s="815"/>
      <c r="F669" s="815"/>
      <c r="G669" s="816"/>
      <c r="H669" s="817"/>
      <c r="I669" s="818"/>
      <c r="J669" s="816"/>
      <c r="K669" s="816"/>
      <c r="L669" s="816"/>
    </row>
    <row r="670" ht="18.75" customHeight="1">
      <c r="A670" s="822"/>
      <c r="B670" s="812"/>
      <c r="C670" s="823"/>
      <c r="D670" s="814"/>
      <c r="E670" s="824"/>
      <c r="F670" s="824"/>
      <c r="G670" s="825"/>
      <c r="H670" s="826"/>
      <c r="I670" s="827"/>
      <c r="J670" s="825"/>
      <c r="K670" s="825"/>
      <c r="L670" s="825"/>
    </row>
    <row r="671" ht="18.75" customHeight="1">
      <c r="A671" s="811"/>
      <c r="B671" s="812"/>
      <c r="C671" s="813"/>
      <c r="D671" s="814"/>
      <c r="E671" s="815"/>
      <c r="F671" s="815"/>
      <c r="G671" s="816"/>
      <c r="H671" s="817"/>
      <c r="I671" s="818"/>
      <c r="J671" s="816"/>
      <c r="K671" s="816"/>
      <c r="L671" s="816"/>
    </row>
    <row r="672" ht="18.75" customHeight="1">
      <c r="A672" s="822"/>
      <c r="B672" s="812"/>
      <c r="C672" s="823"/>
      <c r="D672" s="814"/>
      <c r="E672" s="824"/>
      <c r="F672" s="824"/>
      <c r="G672" s="825"/>
      <c r="H672" s="826"/>
      <c r="I672" s="827"/>
      <c r="J672" s="825"/>
      <c r="K672" s="825"/>
      <c r="L672" s="825"/>
    </row>
    <row r="673" ht="18.75" customHeight="1">
      <c r="A673" s="811"/>
      <c r="B673" s="812"/>
      <c r="C673" s="813"/>
      <c r="D673" s="814"/>
      <c r="E673" s="815"/>
      <c r="F673" s="815"/>
      <c r="G673" s="816"/>
      <c r="H673" s="817"/>
      <c r="I673" s="818"/>
      <c r="J673" s="816"/>
      <c r="K673" s="816"/>
      <c r="L673" s="816"/>
    </row>
    <row r="674" ht="18.75" customHeight="1">
      <c r="A674" s="822"/>
      <c r="B674" s="812"/>
      <c r="C674" s="823"/>
      <c r="D674" s="814"/>
      <c r="E674" s="824"/>
      <c r="F674" s="824"/>
      <c r="G674" s="825"/>
      <c r="H674" s="826"/>
      <c r="I674" s="827"/>
      <c r="J674" s="825"/>
      <c r="K674" s="825"/>
      <c r="L674" s="825"/>
    </row>
    <row r="675" ht="18.75" customHeight="1">
      <c r="A675" s="811"/>
      <c r="B675" s="812"/>
      <c r="C675" s="813"/>
      <c r="D675" s="814"/>
      <c r="E675" s="815"/>
      <c r="F675" s="815"/>
      <c r="G675" s="816"/>
      <c r="H675" s="817"/>
      <c r="I675" s="818"/>
      <c r="J675" s="816"/>
      <c r="K675" s="816"/>
      <c r="L675" s="816"/>
    </row>
    <row r="676" ht="18.75" customHeight="1">
      <c r="A676" s="822"/>
      <c r="B676" s="812"/>
      <c r="C676" s="823"/>
      <c r="D676" s="814"/>
      <c r="E676" s="824"/>
      <c r="F676" s="824"/>
      <c r="G676" s="825"/>
      <c r="H676" s="826"/>
      <c r="I676" s="827"/>
      <c r="J676" s="825"/>
      <c r="K676" s="825"/>
      <c r="L676" s="825"/>
    </row>
    <row r="677" ht="18.75" customHeight="1">
      <c r="A677" s="811"/>
      <c r="B677" s="812"/>
      <c r="C677" s="813"/>
      <c r="D677" s="814"/>
      <c r="E677" s="815"/>
      <c r="F677" s="815"/>
      <c r="G677" s="816"/>
      <c r="H677" s="817"/>
      <c r="I677" s="818"/>
      <c r="J677" s="816"/>
      <c r="K677" s="816"/>
      <c r="L677" s="816"/>
    </row>
    <row r="678" ht="18.75" customHeight="1">
      <c r="A678" s="822"/>
      <c r="B678" s="812"/>
      <c r="C678" s="823"/>
      <c r="D678" s="814"/>
      <c r="E678" s="824"/>
      <c r="F678" s="824"/>
      <c r="G678" s="825"/>
      <c r="H678" s="826"/>
      <c r="I678" s="827"/>
      <c r="J678" s="825"/>
      <c r="K678" s="825"/>
      <c r="L678" s="825"/>
    </row>
    <row r="679" ht="18.75" customHeight="1">
      <c r="A679" s="811"/>
      <c r="B679" s="812"/>
      <c r="C679" s="813"/>
      <c r="D679" s="814"/>
      <c r="E679" s="815"/>
      <c r="F679" s="815"/>
      <c r="G679" s="816"/>
      <c r="H679" s="817"/>
      <c r="I679" s="818"/>
      <c r="J679" s="816"/>
      <c r="K679" s="816"/>
      <c r="L679" s="816"/>
    </row>
    <row r="680" ht="18.75" customHeight="1">
      <c r="A680" s="822"/>
      <c r="B680" s="812"/>
      <c r="C680" s="823"/>
      <c r="D680" s="814"/>
      <c r="E680" s="824"/>
      <c r="F680" s="824"/>
      <c r="G680" s="825"/>
      <c r="H680" s="826"/>
      <c r="I680" s="827"/>
      <c r="J680" s="825"/>
      <c r="K680" s="825"/>
      <c r="L680" s="825"/>
    </row>
    <row r="681" ht="18.75" customHeight="1">
      <c r="A681" s="811"/>
      <c r="B681" s="812"/>
      <c r="C681" s="813"/>
      <c r="D681" s="814"/>
      <c r="E681" s="815"/>
      <c r="F681" s="815"/>
      <c r="G681" s="816"/>
      <c r="H681" s="817"/>
      <c r="I681" s="818"/>
      <c r="J681" s="816"/>
      <c r="K681" s="816"/>
      <c r="L681" s="816"/>
    </row>
    <row r="682" ht="18.75" customHeight="1">
      <c r="A682" s="822"/>
      <c r="B682" s="812"/>
      <c r="C682" s="823"/>
      <c r="D682" s="814"/>
      <c r="E682" s="824"/>
      <c r="F682" s="824"/>
      <c r="G682" s="825"/>
      <c r="H682" s="826"/>
      <c r="I682" s="827"/>
      <c r="J682" s="825"/>
      <c r="K682" s="825"/>
      <c r="L682" s="825"/>
    </row>
    <row r="683" ht="18.75" customHeight="1">
      <c r="A683" s="811"/>
      <c r="B683" s="812"/>
      <c r="C683" s="813"/>
      <c r="D683" s="814"/>
      <c r="E683" s="815"/>
      <c r="F683" s="815"/>
      <c r="G683" s="816"/>
      <c r="H683" s="817"/>
      <c r="I683" s="818"/>
      <c r="J683" s="816"/>
      <c r="K683" s="816"/>
      <c r="L683" s="816"/>
    </row>
    <row r="684" ht="18.75" customHeight="1">
      <c r="A684" s="822"/>
      <c r="B684" s="812"/>
      <c r="C684" s="823"/>
      <c r="D684" s="814"/>
      <c r="E684" s="824"/>
      <c r="F684" s="824"/>
      <c r="G684" s="825"/>
      <c r="H684" s="826"/>
      <c r="I684" s="827"/>
      <c r="J684" s="825"/>
      <c r="K684" s="825"/>
      <c r="L684" s="825"/>
    </row>
    <row r="685" ht="18.75" customHeight="1">
      <c r="A685" s="811"/>
      <c r="B685" s="812"/>
      <c r="C685" s="813"/>
      <c r="D685" s="814"/>
      <c r="E685" s="815"/>
      <c r="F685" s="815"/>
      <c r="G685" s="816"/>
      <c r="H685" s="817"/>
      <c r="I685" s="818"/>
      <c r="J685" s="816"/>
      <c r="K685" s="816"/>
      <c r="L685" s="816"/>
    </row>
    <row r="686" ht="18.75" customHeight="1">
      <c r="A686" s="822"/>
      <c r="B686" s="812"/>
      <c r="C686" s="823"/>
      <c r="D686" s="814"/>
      <c r="E686" s="824"/>
      <c r="F686" s="824"/>
      <c r="G686" s="825"/>
      <c r="H686" s="826"/>
      <c r="I686" s="827"/>
      <c r="J686" s="825"/>
      <c r="K686" s="825"/>
      <c r="L686" s="825"/>
    </row>
    <row r="687" ht="18.75" customHeight="1">
      <c r="A687" s="811"/>
      <c r="B687" s="812"/>
      <c r="C687" s="813"/>
      <c r="D687" s="814"/>
      <c r="E687" s="815"/>
      <c r="F687" s="815"/>
      <c r="G687" s="816"/>
      <c r="H687" s="817"/>
      <c r="I687" s="818"/>
      <c r="J687" s="816"/>
      <c r="K687" s="816"/>
      <c r="L687" s="816"/>
    </row>
    <row r="688" ht="18.75" customHeight="1">
      <c r="A688" s="822"/>
      <c r="B688" s="812"/>
      <c r="C688" s="823"/>
      <c r="D688" s="814"/>
      <c r="E688" s="824"/>
      <c r="F688" s="824"/>
      <c r="G688" s="825"/>
      <c r="H688" s="826"/>
      <c r="I688" s="827"/>
      <c r="J688" s="825"/>
      <c r="K688" s="825"/>
      <c r="L688" s="825"/>
    </row>
    <row r="689" ht="18.75" customHeight="1">
      <c r="A689" s="811"/>
      <c r="B689" s="812"/>
      <c r="C689" s="813"/>
      <c r="D689" s="814"/>
      <c r="E689" s="815"/>
      <c r="F689" s="815"/>
      <c r="G689" s="816"/>
      <c r="H689" s="817"/>
      <c r="I689" s="818"/>
      <c r="J689" s="816"/>
      <c r="K689" s="816"/>
      <c r="L689" s="816"/>
    </row>
    <row r="690" ht="18.75" customHeight="1">
      <c r="A690" s="822"/>
      <c r="B690" s="812"/>
      <c r="C690" s="823"/>
      <c r="D690" s="814"/>
      <c r="E690" s="824"/>
      <c r="F690" s="824"/>
      <c r="G690" s="825"/>
      <c r="H690" s="826"/>
      <c r="I690" s="827"/>
      <c r="J690" s="825"/>
      <c r="K690" s="825"/>
      <c r="L690" s="825"/>
    </row>
    <row r="691" ht="18.75" customHeight="1">
      <c r="A691" s="811"/>
      <c r="B691" s="812"/>
      <c r="C691" s="813"/>
      <c r="D691" s="814"/>
      <c r="E691" s="815"/>
      <c r="F691" s="815"/>
      <c r="G691" s="816"/>
      <c r="H691" s="817"/>
      <c r="I691" s="818"/>
      <c r="J691" s="816"/>
      <c r="K691" s="816"/>
      <c r="L691" s="816"/>
    </row>
    <row r="692" ht="18.75" customHeight="1">
      <c r="A692" s="822"/>
      <c r="B692" s="812"/>
      <c r="C692" s="823"/>
      <c r="D692" s="814"/>
      <c r="E692" s="824"/>
      <c r="F692" s="824"/>
      <c r="G692" s="825"/>
      <c r="H692" s="826"/>
      <c r="I692" s="827"/>
      <c r="J692" s="825"/>
      <c r="K692" s="825"/>
      <c r="L692" s="825"/>
    </row>
    <row r="693" ht="18.75" customHeight="1">
      <c r="A693" s="811"/>
      <c r="B693" s="812"/>
      <c r="C693" s="813"/>
      <c r="D693" s="814"/>
      <c r="E693" s="815"/>
      <c r="F693" s="815"/>
      <c r="G693" s="816"/>
      <c r="H693" s="817"/>
      <c r="I693" s="818"/>
      <c r="J693" s="816"/>
      <c r="K693" s="816"/>
      <c r="L693" s="816"/>
    </row>
    <row r="694" ht="18.75" customHeight="1">
      <c r="A694" s="822"/>
      <c r="B694" s="812"/>
      <c r="C694" s="823"/>
      <c r="D694" s="814"/>
      <c r="E694" s="824"/>
      <c r="F694" s="824"/>
      <c r="G694" s="825"/>
      <c r="H694" s="826"/>
      <c r="I694" s="827"/>
      <c r="J694" s="825"/>
      <c r="K694" s="825"/>
      <c r="L694" s="825"/>
    </row>
    <row r="695" ht="18.75" customHeight="1">
      <c r="A695" s="811"/>
      <c r="B695" s="812"/>
      <c r="C695" s="813"/>
      <c r="D695" s="814"/>
      <c r="E695" s="815"/>
      <c r="F695" s="815"/>
      <c r="G695" s="816"/>
      <c r="H695" s="817"/>
      <c r="I695" s="818"/>
      <c r="J695" s="816"/>
      <c r="K695" s="816"/>
      <c r="L695" s="816"/>
    </row>
    <row r="696" ht="18.75" customHeight="1">
      <c r="A696" s="822"/>
      <c r="B696" s="812"/>
      <c r="C696" s="823"/>
      <c r="D696" s="814"/>
      <c r="E696" s="824"/>
      <c r="F696" s="824"/>
      <c r="G696" s="825"/>
      <c r="H696" s="826"/>
      <c r="I696" s="827"/>
      <c r="J696" s="825"/>
      <c r="K696" s="825"/>
      <c r="L696" s="825"/>
    </row>
    <row r="697" ht="18.75" customHeight="1">
      <c r="A697" s="811"/>
      <c r="B697" s="812"/>
      <c r="C697" s="813"/>
      <c r="D697" s="814"/>
      <c r="E697" s="815"/>
      <c r="F697" s="815"/>
      <c r="G697" s="816"/>
      <c r="H697" s="817"/>
      <c r="I697" s="818"/>
      <c r="J697" s="816"/>
      <c r="K697" s="816"/>
      <c r="L697" s="816"/>
    </row>
    <row r="698" ht="18.75" customHeight="1">
      <c r="A698" s="822"/>
      <c r="B698" s="812"/>
      <c r="C698" s="823"/>
      <c r="D698" s="814"/>
      <c r="E698" s="824"/>
      <c r="F698" s="824"/>
      <c r="G698" s="825"/>
      <c r="H698" s="826"/>
      <c r="I698" s="827"/>
      <c r="J698" s="825"/>
      <c r="K698" s="825"/>
      <c r="L698" s="825"/>
    </row>
    <row r="699" ht="18.75" customHeight="1">
      <c r="A699" s="811"/>
      <c r="B699" s="812"/>
      <c r="C699" s="813"/>
      <c r="D699" s="814"/>
      <c r="E699" s="815"/>
      <c r="F699" s="815"/>
      <c r="G699" s="816"/>
      <c r="H699" s="817"/>
      <c r="I699" s="818"/>
      <c r="J699" s="816"/>
      <c r="K699" s="816"/>
      <c r="L699" s="816"/>
    </row>
    <row r="700" ht="18.75" customHeight="1">
      <c r="A700" s="822"/>
      <c r="B700" s="812"/>
      <c r="C700" s="823"/>
      <c r="D700" s="814"/>
      <c r="E700" s="824"/>
      <c r="F700" s="824"/>
      <c r="G700" s="825"/>
      <c r="H700" s="826"/>
      <c r="I700" s="827"/>
      <c r="J700" s="825"/>
      <c r="K700" s="825"/>
      <c r="L700" s="825"/>
    </row>
    <row r="701" ht="18.75" customHeight="1">
      <c r="A701" s="811"/>
      <c r="B701" s="812"/>
      <c r="C701" s="813"/>
      <c r="D701" s="814"/>
      <c r="E701" s="815"/>
      <c r="F701" s="815"/>
      <c r="G701" s="816"/>
      <c r="H701" s="817"/>
      <c r="I701" s="818"/>
      <c r="J701" s="816"/>
      <c r="K701" s="816"/>
      <c r="L701" s="816"/>
    </row>
    <row r="702" ht="18.75" customHeight="1">
      <c r="A702" s="822"/>
      <c r="B702" s="812"/>
      <c r="C702" s="823"/>
      <c r="D702" s="814"/>
      <c r="E702" s="824"/>
      <c r="F702" s="824"/>
      <c r="G702" s="825"/>
      <c r="H702" s="826"/>
      <c r="I702" s="827"/>
      <c r="J702" s="825"/>
      <c r="K702" s="825"/>
      <c r="L702" s="825"/>
    </row>
    <row r="703" ht="18.75" customHeight="1">
      <c r="A703" s="811"/>
      <c r="B703" s="812"/>
      <c r="C703" s="813"/>
      <c r="D703" s="814"/>
      <c r="E703" s="815"/>
      <c r="F703" s="815"/>
      <c r="G703" s="816"/>
      <c r="H703" s="817"/>
      <c r="I703" s="818"/>
      <c r="J703" s="816"/>
      <c r="K703" s="816"/>
      <c r="L703" s="816"/>
    </row>
    <row r="704" ht="18.75" customHeight="1">
      <c r="A704" s="822"/>
      <c r="B704" s="812"/>
      <c r="C704" s="823"/>
      <c r="D704" s="814"/>
      <c r="E704" s="824"/>
      <c r="F704" s="824"/>
      <c r="G704" s="825"/>
      <c r="H704" s="826"/>
      <c r="I704" s="827"/>
      <c r="J704" s="825"/>
      <c r="K704" s="825"/>
      <c r="L704" s="825"/>
    </row>
    <row r="705" ht="18.75" customHeight="1">
      <c r="A705" s="811"/>
      <c r="B705" s="812"/>
      <c r="C705" s="813"/>
      <c r="D705" s="814"/>
      <c r="E705" s="815"/>
      <c r="F705" s="815"/>
      <c r="G705" s="816"/>
      <c r="H705" s="817"/>
      <c r="I705" s="818"/>
      <c r="J705" s="816"/>
      <c r="K705" s="816"/>
      <c r="L705" s="816"/>
    </row>
    <row r="706" ht="18.75" customHeight="1">
      <c r="A706" s="822"/>
      <c r="B706" s="812"/>
      <c r="C706" s="823"/>
      <c r="D706" s="814"/>
      <c r="E706" s="824"/>
      <c r="F706" s="824"/>
      <c r="G706" s="825"/>
      <c r="H706" s="826"/>
      <c r="I706" s="827"/>
      <c r="J706" s="825"/>
      <c r="K706" s="825"/>
      <c r="L706" s="825"/>
    </row>
    <row r="707" ht="18.75" customHeight="1">
      <c r="A707" s="811"/>
      <c r="B707" s="812"/>
      <c r="C707" s="813"/>
      <c r="D707" s="814"/>
      <c r="E707" s="815"/>
      <c r="F707" s="815"/>
      <c r="G707" s="816"/>
      <c r="H707" s="817"/>
      <c r="I707" s="818"/>
      <c r="J707" s="816"/>
      <c r="K707" s="816"/>
      <c r="L707" s="816"/>
    </row>
    <row r="708" ht="18.75" customHeight="1">
      <c r="A708" s="822"/>
      <c r="B708" s="812"/>
      <c r="C708" s="823"/>
      <c r="D708" s="814"/>
      <c r="E708" s="824"/>
      <c r="F708" s="824"/>
      <c r="G708" s="825"/>
      <c r="H708" s="826"/>
      <c r="I708" s="827"/>
      <c r="J708" s="825"/>
      <c r="K708" s="825"/>
      <c r="L708" s="825"/>
    </row>
    <row r="709" ht="18.75" customHeight="1">
      <c r="A709" s="811"/>
      <c r="B709" s="812"/>
      <c r="C709" s="813"/>
      <c r="D709" s="814"/>
      <c r="E709" s="815"/>
      <c r="F709" s="815"/>
      <c r="G709" s="816"/>
      <c r="H709" s="817"/>
      <c r="I709" s="818"/>
      <c r="J709" s="816"/>
      <c r="K709" s="816"/>
      <c r="L709" s="816"/>
    </row>
    <row r="710" ht="18.75" customHeight="1">
      <c r="A710" s="822"/>
      <c r="B710" s="812"/>
      <c r="C710" s="823"/>
      <c r="D710" s="814"/>
      <c r="E710" s="824"/>
      <c r="F710" s="824"/>
      <c r="G710" s="825"/>
      <c r="H710" s="826"/>
      <c r="I710" s="827"/>
      <c r="J710" s="825"/>
      <c r="K710" s="825"/>
      <c r="L710" s="825"/>
    </row>
    <row r="711" ht="18.75" customHeight="1">
      <c r="A711" s="811"/>
      <c r="B711" s="812"/>
      <c r="C711" s="813"/>
      <c r="D711" s="814"/>
      <c r="E711" s="815"/>
      <c r="F711" s="815"/>
      <c r="G711" s="816"/>
      <c r="H711" s="817"/>
      <c r="I711" s="818"/>
      <c r="J711" s="816"/>
      <c r="K711" s="816"/>
      <c r="L711" s="816"/>
    </row>
    <row r="712" ht="18.75" customHeight="1">
      <c r="A712" s="822"/>
      <c r="B712" s="812"/>
      <c r="C712" s="823"/>
      <c r="D712" s="814"/>
      <c r="E712" s="824"/>
      <c r="F712" s="824"/>
      <c r="G712" s="825"/>
      <c r="H712" s="826"/>
      <c r="I712" s="827"/>
      <c r="J712" s="825"/>
      <c r="K712" s="825"/>
      <c r="L712" s="825"/>
    </row>
    <row r="713" ht="18.75" customHeight="1">
      <c r="A713" s="811"/>
      <c r="B713" s="812"/>
      <c r="C713" s="813"/>
      <c r="D713" s="814"/>
      <c r="E713" s="815"/>
      <c r="F713" s="815"/>
      <c r="G713" s="816"/>
      <c r="H713" s="817"/>
      <c r="I713" s="818"/>
      <c r="J713" s="816"/>
      <c r="K713" s="816"/>
      <c r="L713" s="816"/>
    </row>
    <row r="714" ht="18.75" customHeight="1">
      <c r="A714" s="822"/>
      <c r="B714" s="812"/>
      <c r="C714" s="823"/>
      <c r="D714" s="814"/>
      <c r="E714" s="824"/>
      <c r="F714" s="824"/>
      <c r="G714" s="825"/>
      <c r="H714" s="826"/>
      <c r="I714" s="827"/>
      <c r="J714" s="825"/>
      <c r="K714" s="825"/>
      <c r="L714" s="825"/>
    </row>
    <row r="715" ht="18.75" customHeight="1">
      <c r="A715" s="811"/>
      <c r="B715" s="812"/>
      <c r="C715" s="813"/>
      <c r="D715" s="814"/>
      <c r="E715" s="815"/>
      <c r="F715" s="815"/>
      <c r="G715" s="816"/>
      <c r="H715" s="817"/>
      <c r="I715" s="818"/>
      <c r="J715" s="816"/>
      <c r="K715" s="816"/>
      <c r="L715" s="816"/>
    </row>
    <row r="716" ht="18.75" customHeight="1">
      <c r="A716" s="822"/>
      <c r="B716" s="812"/>
      <c r="C716" s="823"/>
      <c r="D716" s="814"/>
      <c r="E716" s="824"/>
      <c r="F716" s="824"/>
      <c r="G716" s="825"/>
      <c r="H716" s="826"/>
      <c r="I716" s="827"/>
      <c r="J716" s="825"/>
      <c r="K716" s="825"/>
      <c r="L716" s="825"/>
    </row>
    <row r="717" ht="18.75" customHeight="1">
      <c r="A717" s="811"/>
      <c r="B717" s="812"/>
      <c r="C717" s="813"/>
      <c r="D717" s="814"/>
      <c r="E717" s="815"/>
      <c r="F717" s="815"/>
      <c r="G717" s="816"/>
      <c r="H717" s="817"/>
      <c r="I717" s="818"/>
      <c r="J717" s="816"/>
      <c r="K717" s="816"/>
      <c r="L717" s="816"/>
    </row>
    <row r="718" ht="18.75" customHeight="1">
      <c r="A718" s="822"/>
      <c r="B718" s="812"/>
      <c r="C718" s="823"/>
      <c r="D718" s="814"/>
      <c r="E718" s="824"/>
      <c r="F718" s="824"/>
      <c r="G718" s="825"/>
      <c r="H718" s="826"/>
      <c r="I718" s="827"/>
      <c r="J718" s="825"/>
      <c r="K718" s="825"/>
      <c r="L718" s="825"/>
    </row>
    <row r="719" ht="18.75" customHeight="1">
      <c r="A719" s="811"/>
      <c r="B719" s="812"/>
      <c r="C719" s="813"/>
      <c r="D719" s="814"/>
      <c r="E719" s="815"/>
      <c r="F719" s="815"/>
      <c r="G719" s="816"/>
      <c r="H719" s="817"/>
      <c r="I719" s="818"/>
      <c r="J719" s="816"/>
      <c r="K719" s="816"/>
      <c r="L719" s="816"/>
    </row>
    <row r="720" ht="18.75" customHeight="1">
      <c r="A720" s="822"/>
      <c r="B720" s="812"/>
      <c r="C720" s="823"/>
      <c r="D720" s="814"/>
      <c r="E720" s="824"/>
      <c r="F720" s="824"/>
      <c r="G720" s="825"/>
      <c r="H720" s="826"/>
      <c r="I720" s="827"/>
      <c r="J720" s="825"/>
      <c r="K720" s="825"/>
      <c r="L720" s="825"/>
    </row>
    <row r="721" ht="18.75" customHeight="1">
      <c r="A721" s="811"/>
      <c r="B721" s="812"/>
      <c r="C721" s="813"/>
      <c r="D721" s="814"/>
      <c r="E721" s="815"/>
      <c r="F721" s="815"/>
      <c r="G721" s="816"/>
      <c r="H721" s="817"/>
      <c r="I721" s="818"/>
      <c r="J721" s="816"/>
      <c r="K721" s="816"/>
      <c r="L721" s="816"/>
    </row>
    <row r="722" ht="18.75" customHeight="1">
      <c r="A722" s="822"/>
      <c r="B722" s="812"/>
      <c r="C722" s="823"/>
      <c r="D722" s="814"/>
      <c r="E722" s="824"/>
      <c r="F722" s="824"/>
      <c r="G722" s="825"/>
      <c r="H722" s="826"/>
      <c r="I722" s="827"/>
      <c r="J722" s="825"/>
      <c r="K722" s="825"/>
      <c r="L722" s="825"/>
    </row>
    <row r="723" ht="18.75" customHeight="1">
      <c r="A723" s="811"/>
      <c r="B723" s="812"/>
      <c r="C723" s="813"/>
      <c r="D723" s="814"/>
      <c r="E723" s="815"/>
      <c r="F723" s="815"/>
      <c r="G723" s="816"/>
      <c r="H723" s="817"/>
      <c r="I723" s="818"/>
      <c r="J723" s="816"/>
      <c r="K723" s="816"/>
      <c r="L723" s="816"/>
    </row>
    <row r="724" ht="18.75" customHeight="1">
      <c r="A724" s="822"/>
      <c r="B724" s="812"/>
      <c r="C724" s="823"/>
      <c r="D724" s="814"/>
      <c r="E724" s="824"/>
      <c r="F724" s="824"/>
      <c r="G724" s="825"/>
      <c r="H724" s="826"/>
      <c r="I724" s="827"/>
      <c r="J724" s="825"/>
      <c r="K724" s="825"/>
      <c r="L724" s="825"/>
    </row>
    <row r="725" ht="18.75" customHeight="1">
      <c r="A725" s="811"/>
      <c r="B725" s="812"/>
      <c r="C725" s="813"/>
      <c r="D725" s="814"/>
      <c r="E725" s="815"/>
      <c r="F725" s="815"/>
      <c r="G725" s="816"/>
      <c r="H725" s="817"/>
      <c r="I725" s="818"/>
      <c r="J725" s="816"/>
      <c r="K725" s="816"/>
      <c r="L725" s="816"/>
    </row>
    <row r="726" ht="18.75" customHeight="1">
      <c r="A726" s="822"/>
      <c r="B726" s="812"/>
      <c r="C726" s="823"/>
      <c r="D726" s="814"/>
      <c r="E726" s="824"/>
      <c r="F726" s="824"/>
      <c r="G726" s="825"/>
      <c r="H726" s="826"/>
      <c r="I726" s="827"/>
      <c r="J726" s="825"/>
      <c r="K726" s="825"/>
      <c r="L726" s="825"/>
    </row>
    <row r="727" ht="18.75" customHeight="1">
      <c r="A727" s="811"/>
      <c r="B727" s="812"/>
      <c r="C727" s="813"/>
      <c r="D727" s="814"/>
      <c r="E727" s="815"/>
      <c r="F727" s="815"/>
      <c r="G727" s="816"/>
      <c r="H727" s="817"/>
      <c r="I727" s="818"/>
      <c r="J727" s="816"/>
      <c r="K727" s="816"/>
      <c r="L727" s="816"/>
    </row>
    <row r="728" ht="18.75" customHeight="1">
      <c r="A728" s="822"/>
      <c r="B728" s="812"/>
      <c r="C728" s="823"/>
      <c r="D728" s="814"/>
      <c r="E728" s="824"/>
      <c r="F728" s="824"/>
      <c r="G728" s="825"/>
      <c r="H728" s="826"/>
      <c r="I728" s="827"/>
      <c r="J728" s="825"/>
      <c r="K728" s="825"/>
      <c r="L728" s="825"/>
    </row>
    <row r="729" ht="18.75" customHeight="1">
      <c r="A729" s="811"/>
      <c r="B729" s="812"/>
      <c r="C729" s="813"/>
      <c r="D729" s="814"/>
      <c r="E729" s="815"/>
      <c r="F729" s="815"/>
      <c r="G729" s="816"/>
      <c r="H729" s="817"/>
      <c r="I729" s="818"/>
      <c r="J729" s="816"/>
      <c r="K729" s="816"/>
      <c r="L729" s="816"/>
    </row>
    <row r="730" ht="18.75" customHeight="1">
      <c r="A730" s="822"/>
      <c r="B730" s="812"/>
      <c r="C730" s="823"/>
      <c r="D730" s="814"/>
      <c r="E730" s="824"/>
      <c r="F730" s="824"/>
      <c r="G730" s="825"/>
      <c r="H730" s="826"/>
      <c r="I730" s="827"/>
      <c r="J730" s="825"/>
      <c r="K730" s="825"/>
      <c r="L730" s="825"/>
    </row>
    <row r="731" ht="18.75" customHeight="1">
      <c r="A731" s="811"/>
      <c r="B731" s="812"/>
      <c r="C731" s="813"/>
      <c r="D731" s="814"/>
      <c r="E731" s="815"/>
      <c r="F731" s="815"/>
      <c r="G731" s="816"/>
      <c r="H731" s="817"/>
      <c r="I731" s="818"/>
      <c r="J731" s="816"/>
      <c r="K731" s="816"/>
      <c r="L731" s="816"/>
    </row>
    <row r="732" ht="18.75" customHeight="1">
      <c r="A732" s="822"/>
      <c r="B732" s="812"/>
      <c r="C732" s="823"/>
      <c r="D732" s="814"/>
      <c r="E732" s="824"/>
      <c r="F732" s="824"/>
      <c r="G732" s="825"/>
      <c r="H732" s="826"/>
      <c r="I732" s="827"/>
      <c r="J732" s="825"/>
      <c r="K732" s="825"/>
      <c r="L732" s="825"/>
    </row>
    <row r="733" ht="18.75" customHeight="1">
      <c r="A733" s="811"/>
      <c r="B733" s="812"/>
      <c r="C733" s="813"/>
      <c r="D733" s="814"/>
      <c r="E733" s="815"/>
      <c r="F733" s="815"/>
      <c r="G733" s="816"/>
      <c r="H733" s="817"/>
      <c r="I733" s="818"/>
      <c r="J733" s="816"/>
      <c r="K733" s="816"/>
      <c r="L733" s="816"/>
    </row>
    <row r="734" ht="18.75" customHeight="1">
      <c r="A734" s="822"/>
      <c r="B734" s="812"/>
      <c r="C734" s="823"/>
      <c r="D734" s="814"/>
      <c r="E734" s="824"/>
      <c r="F734" s="824"/>
      <c r="G734" s="825"/>
      <c r="H734" s="826"/>
      <c r="I734" s="827"/>
      <c r="J734" s="825"/>
      <c r="K734" s="825"/>
      <c r="L734" s="825"/>
    </row>
    <row r="735" ht="18.75" customHeight="1">
      <c r="A735" s="811"/>
      <c r="B735" s="812"/>
      <c r="C735" s="813"/>
      <c r="D735" s="814"/>
      <c r="E735" s="815"/>
      <c r="F735" s="815"/>
      <c r="G735" s="816"/>
      <c r="H735" s="817"/>
      <c r="I735" s="818"/>
      <c r="J735" s="816"/>
      <c r="K735" s="816"/>
      <c r="L735" s="816"/>
    </row>
    <row r="736" ht="18.75" customHeight="1">
      <c r="A736" s="822"/>
      <c r="B736" s="812"/>
      <c r="C736" s="823"/>
      <c r="D736" s="814"/>
      <c r="E736" s="824"/>
      <c r="F736" s="824"/>
      <c r="G736" s="825"/>
      <c r="H736" s="826"/>
      <c r="I736" s="827"/>
      <c r="J736" s="825"/>
      <c r="K736" s="825"/>
      <c r="L736" s="825"/>
    </row>
    <row r="737" ht="18.75" customHeight="1">
      <c r="A737" s="811"/>
      <c r="B737" s="812"/>
      <c r="C737" s="813"/>
      <c r="D737" s="814"/>
      <c r="E737" s="815"/>
      <c r="F737" s="815"/>
      <c r="G737" s="816"/>
      <c r="H737" s="817"/>
      <c r="I737" s="818"/>
      <c r="J737" s="816"/>
      <c r="K737" s="816"/>
      <c r="L737" s="816"/>
    </row>
    <row r="738" ht="18.75" customHeight="1">
      <c r="A738" s="822"/>
      <c r="B738" s="812"/>
      <c r="C738" s="823"/>
      <c r="D738" s="814"/>
      <c r="E738" s="824"/>
      <c r="F738" s="824"/>
      <c r="G738" s="825"/>
      <c r="H738" s="826"/>
      <c r="I738" s="827"/>
      <c r="J738" s="825"/>
      <c r="K738" s="825"/>
      <c r="L738" s="825"/>
    </row>
    <row r="739" ht="18.75" customHeight="1">
      <c r="A739" s="811"/>
      <c r="B739" s="812"/>
      <c r="C739" s="813"/>
      <c r="D739" s="814"/>
      <c r="E739" s="815"/>
      <c r="F739" s="815"/>
      <c r="G739" s="816"/>
      <c r="H739" s="817"/>
      <c r="I739" s="818"/>
      <c r="J739" s="816"/>
      <c r="K739" s="816"/>
      <c r="L739" s="816"/>
    </row>
    <row r="740" ht="18.75" customHeight="1">
      <c r="A740" s="822"/>
      <c r="B740" s="812"/>
      <c r="C740" s="823"/>
      <c r="D740" s="814"/>
      <c r="E740" s="824"/>
      <c r="F740" s="824"/>
      <c r="G740" s="825"/>
      <c r="H740" s="826"/>
      <c r="I740" s="827"/>
      <c r="J740" s="825"/>
      <c r="K740" s="825"/>
      <c r="L740" s="825"/>
    </row>
    <row r="741" ht="18.75" customHeight="1">
      <c r="A741" s="811"/>
      <c r="B741" s="812"/>
      <c r="C741" s="813"/>
      <c r="D741" s="814"/>
      <c r="E741" s="815"/>
      <c r="F741" s="815"/>
      <c r="G741" s="816"/>
      <c r="H741" s="817"/>
      <c r="I741" s="818"/>
      <c r="J741" s="816"/>
      <c r="K741" s="816"/>
      <c r="L741" s="816"/>
    </row>
    <row r="742" ht="18.75" customHeight="1">
      <c r="A742" s="822"/>
      <c r="B742" s="812"/>
      <c r="C742" s="823"/>
      <c r="D742" s="814"/>
      <c r="E742" s="824"/>
      <c r="F742" s="824"/>
      <c r="G742" s="825"/>
      <c r="H742" s="826"/>
      <c r="I742" s="827"/>
      <c r="J742" s="825"/>
      <c r="K742" s="825"/>
      <c r="L742" s="825"/>
    </row>
    <row r="743" ht="18.75" customHeight="1">
      <c r="A743" s="811"/>
      <c r="B743" s="812"/>
      <c r="C743" s="813"/>
      <c r="D743" s="814"/>
      <c r="E743" s="815"/>
      <c r="F743" s="815"/>
      <c r="G743" s="816"/>
      <c r="H743" s="817"/>
      <c r="I743" s="818"/>
      <c r="J743" s="816"/>
      <c r="K743" s="816"/>
      <c r="L743" s="816"/>
    </row>
    <row r="744" ht="18.75" customHeight="1">
      <c r="A744" s="822"/>
      <c r="B744" s="812"/>
      <c r="C744" s="823"/>
      <c r="D744" s="814"/>
      <c r="E744" s="824"/>
      <c r="F744" s="824"/>
      <c r="G744" s="825"/>
      <c r="H744" s="826"/>
      <c r="I744" s="827"/>
      <c r="J744" s="825"/>
      <c r="K744" s="825"/>
      <c r="L744" s="825"/>
    </row>
    <row r="745" ht="18.75" customHeight="1">
      <c r="A745" s="811"/>
      <c r="B745" s="812"/>
      <c r="C745" s="813"/>
      <c r="D745" s="814"/>
      <c r="E745" s="815"/>
      <c r="F745" s="815"/>
      <c r="G745" s="816"/>
      <c r="H745" s="817"/>
      <c r="I745" s="818"/>
      <c r="J745" s="816"/>
      <c r="K745" s="816"/>
      <c r="L745" s="816"/>
    </row>
    <row r="746" ht="18.75" customHeight="1">
      <c r="A746" s="822"/>
      <c r="B746" s="812"/>
      <c r="C746" s="823"/>
      <c r="D746" s="814"/>
      <c r="E746" s="824"/>
      <c r="F746" s="824"/>
      <c r="G746" s="825"/>
      <c r="H746" s="826"/>
      <c r="I746" s="827"/>
      <c r="J746" s="825"/>
      <c r="K746" s="825"/>
      <c r="L746" s="825"/>
    </row>
    <row r="747" ht="18.75" customHeight="1">
      <c r="A747" s="811"/>
      <c r="B747" s="812"/>
      <c r="C747" s="813"/>
      <c r="D747" s="814"/>
      <c r="E747" s="815"/>
      <c r="F747" s="815"/>
      <c r="G747" s="816"/>
      <c r="H747" s="817"/>
      <c r="I747" s="818"/>
      <c r="J747" s="816"/>
      <c r="K747" s="816"/>
      <c r="L747" s="816"/>
    </row>
    <row r="748" ht="18.75" customHeight="1">
      <c r="A748" s="822"/>
      <c r="B748" s="812"/>
      <c r="C748" s="823"/>
      <c r="D748" s="814"/>
      <c r="E748" s="824"/>
      <c r="F748" s="824"/>
      <c r="G748" s="825"/>
      <c r="H748" s="826"/>
      <c r="I748" s="827"/>
      <c r="J748" s="825"/>
      <c r="K748" s="825"/>
      <c r="L748" s="825"/>
    </row>
    <row r="749" ht="18.75" customHeight="1">
      <c r="A749" s="811"/>
      <c r="B749" s="812"/>
      <c r="C749" s="813"/>
      <c r="D749" s="814"/>
      <c r="E749" s="815"/>
      <c r="F749" s="815"/>
      <c r="G749" s="816"/>
      <c r="H749" s="817"/>
      <c r="I749" s="818"/>
      <c r="J749" s="816"/>
      <c r="K749" s="816"/>
      <c r="L749" s="816"/>
    </row>
    <row r="750" ht="18.75" customHeight="1">
      <c r="A750" s="822"/>
      <c r="B750" s="812"/>
      <c r="C750" s="823"/>
      <c r="D750" s="814"/>
      <c r="E750" s="824"/>
      <c r="F750" s="824"/>
      <c r="G750" s="825"/>
      <c r="H750" s="826"/>
      <c r="I750" s="827"/>
      <c r="J750" s="825"/>
      <c r="K750" s="825"/>
      <c r="L750" s="825"/>
    </row>
    <row r="751" ht="18.75" customHeight="1">
      <c r="A751" s="811"/>
      <c r="B751" s="812"/>
      <c r="C751" s="813"/>
      <c r="D751" s="814"/>
      <c r="E751" s="815"/>
      <c r="F751" s="815"/>
      <c r="G751" s="816"/>
      <c r="H751" s="817"/>
      <c r="I751" s="818"/>
      <c r="J751" s="816"/>
      <c r="K751" s="816"/>
      <c r="L751" s="816"/>
    </row>
    <row r="752" ht="18.75" customHeight="1">
      <c r="A752" s="822"/>
      <c r="B752" s="812"/>
      <c r="C752" s="823"/>
      <c r="D752" s="814"/>
      <c r="E752" s="824"/>
      <c r="F752" s="824"/>
      <c r="G752" s="825"/>
      <c r="H752" s="826"/>
      <c r="I752" s="827"/>
      <c r="J752" s="825"/>
      <c r="K752" s="825"/>
      <c r="L752" s="825"/>
    </row>
    <row r="753" ht="18.75" customHeight="1">
      <c r="A753" s="811"/>
      <c r="B753" s="812"/>
      <c r="C753" s="813"/>
      <c r="D753" s="814"/>
      <c r="E753" s="815"/>
      <c r="F753" s="815"/>
      <c r="G753" s="816"/>
      <c r="H753" s="817"/>
      <c r="I753" s="818"/>
      <c r="J753" s="816"/>
      <c r="K753" s="816"/>
      <c r="L753" s="816"/>
    </row>
    <row r="754" ht="18.75" customHeight="1">
      <c r="A754" s="822"/>
      <c r="B754" s="812"/>
      <c r="C754" s="823"/>
      <c r="D754" s="814"/>
      <c r="E754" s="824"/>
      <c r="F754" s="824"/>
      <c r="G754" s="825"/>
      <c r="H754" s="826"/>
      <c r="I754" s="827"/>
      <c r="J754" s="825"/>
      <c r="K754" s="825"/>
      <c r="L754" s="825"/>
    </row>
    <row r="755" ht="18.75" customHeight="1">
      <c r="A755" s="811"/>
      <c r="B755" s="812"/>
      <c r="C755" s="813"/>
      <c r="D755" s="814"/>
      <c r="E755" s="815"/>
      <c r="F755" s="815"/>
      <c r="G755" s="816"/>
      <c r="H755" s="817"/>
      <c r="I755" s="818"/>
      <c r="J755" s="816"/>
      <c r="K755" s="816"/>
      <c r="L755" s="816"/>
    </row>
    <row r="756" ht="18.75" customHeight="1">
      <c r="A756" s="822"/>
      <c r="B756" s="812"/>
      <c r="C756" s="823"/>
      <c r="D756" s="814"/>
      <c r="E756" s="824"/>
      <c r="F756" s="824"/>
      <c r="G756" s="825"/>
      <c r="H756" s="826"/>
      <c r="I756" s="827"/>
      <c r="J756" s="825"/>
      <c r="K756" s="825"/>
      <c r="L756" s="825"/>
    </row>
    <row r="757" ht="18.75" customHeight="1">
      <c r="A757" s="811"/>
      <c r="B757" s="812"/>
      <c r="C757" s="813"/>
      <c r="D757" s="814"/>
      <c r="E757" s="815"/>
      <c r="F757" s="815"/>
      <c r="G757" s="816"/>
      <c r="H757" s="817"/>
      <c r="I757" s="818"/>
      <c r="J757" s="816"/>
      <c r="K757" s="816"/>
      <c r="L757" s="816"/>
    </row>
    <row r="758" ht="18.75" customHeight="1">
      <c r="A758" s="822"/>
      <c r="B758" s="812"/>
      <c r="C758" s="823"/>
      <c r="D758" s="814"/>
      <c r="E758" s="824"/>
      <c r="F758" s="824"/>
      <c r="G758" s="825"/>
      <c r="H758" s="826"/>
      <c r="I758" s="827"/>
      <c r="J758" s="825"/>
      <c r="K758" s="825"/>
      <c r="L758" s="825"/>
    </row>
    <row r="759" ht="18.75" customHeight="1">
      <c r="A759" s="811"/>
      <c r="B759" s="812"/>
      <c r="C759" s="813"/>
      <c r="D759" s="814"/>
      <c r="E759" s="815"/>
      <c r="F759" s="815"/>
      <c r="G759" s="816"/>
      <c r="H759" s="817"/>
      <c r="I759" s="818"/>
      <c r="J759" s="816"/>
      <c r="K759" s="816"/>
      <c r="L759" s="816"/>
    </row>
    <row r="760" ht="18.75" customHeight="1">
      <c r="A760" s="822"/>
      <c r="B760" s="812"/>
      <c r="C760" s="823"/>
      <c r="D760" s="814"/>
      <c r="E760" s="824"/>
      <c r="F760" s="824"/>
      <c r="G760" s="825"/>
      <c r="H760" s="826"/>
      <c r="I760" s="827"/>
      <c r="J760" s="825"/>
      <c r="K760" s="825"/>
      <c r="L760" s="825"/>
    </row>
    <row r="761" ht="18.75" customHeight="1">
      <c r="A761" s="811"/>
      <c r="B761" s="812"/>
      <c r="C761" s="813"/>
      <c r="D761" s="814"/>
      <c r="E761" s="815"/>
      <c r="F761" s="815"/>
      <c r="G761" s="816"/>
      <c r="H761" s="817"/>
      <c r="I761" s="818"/>
      <c r="J761" s="816"/>
      <c r="K761" s="816"/>
      <c r="L761" s="816"/>
    </row>
    <row r="762" ht="18.75" customHeight="1">
      <c r="A762" s="822"/>
      <c r="B762" s="812"/>
      <c r="C762" s="823"/>
      <c r="D762" s="814"/>
      <c r="E762" s="824"/>
      <c r="F762" s="824"/>
      <c r="G762" s="825"/>
      <c r="H762" s="826"/>
      <c r="I762" s="827"/>
      <c r="J762" s="825"/>
      <c r="K762" s="825"/>
      <c r="L762" s="825"/>
    </row>
    <row r="763" ht="18.75" customHeight="1">
      <c r="A763" s="811"/>
      <c r="B763" s="812"/>
      <c r="C763" s="813"/>
      <c r="D763" s="814"/>
      <c r="E763" s="815"/>
      <c r="F763" s="815"/>
      <c r="G763" s="816"/>
      <c r="H763" s="817"/>
      <c r="I763" s="818"/>
      <c r="J763" s="816"/>
      <c r="K763" s="816"/>
      <c r="L763" s="816"/>
    </row>
    <row r="764" ht="18.75" customHeight="1">
      <c r="A764" s="822"/>
      <c r="B764" s="812"/>
      <c r="C764" s="823"/>
      <c r="D764" s="814"/>
      <c r="E764" s="824"/>
      <c r="F764" s="824"/>
      <c r="G764" s="825"/>
      <c r="H764" s="826"/>
      <c r="I764" s="827"/>
      <c r="J764" s="825"/>
      <c r="K764" s="825"/>
      <c r="L764" s="825"/>
    </row>
    <row r="765" ht="18.75" customHeight="1">
      <c r="A765" s="811"/>
      <c r="B765" s="812"/>
      <c r="C765" s="813"/>
      <c r="D765" s="814"/>
      <c r="E765" s="815"/>
      <c r="F765" s="815"/>
      <c r="G765" s="816"/>
      <c r="H765" s="817"/>
      <c r="I765" s="818"/>
      <c r="J765" s="816"/>
      <c r="K765" s="816"/>
      <c r="L765" s="816"/>
    </row>
    <row r="766" ht="18.75" customHeight="1">
      <c r="A766" s="822"/>
      <c r="B766" s="812"/>
      <c r="C766" s="823"/>
      <c r="D766" s="814"/>
      <c r="E766" s="824"/>
      <c r="F766" s="824"/>
      <c r="G766" s="825"/>
      <c r="H766" s="826"/>
      <c r="I766" s="827"/>
      <c r="J766" s="825"/>
      <c r="K766" s="825"/>
      <c r="L766" s="825"/>
    </row>
    <row r="767" ht="18.75" customHeight="1">
      <c r="A767" s="811"/>
      <c r="B767" s="812"/>
      <c r="C767" s="813"/>
      <c r="D767" s="814"/>
      <c r="E767" s="815"/>
      <c r="F767" s="815"/>
      <c r="G767" s="816"/>
      <c r="H767" s="817"/>
      <c r="I767" s="818"/>
      <c r="J767" s="816"/>
      <c r="K767" s="816"/>
      <c r="L767" s="816"/>
    </row>
    <row r="768" ht="18.75" customHeight="1">
      <c r="A768" s="822"/>
      <c r="B768" s="812"/>
      <c r="C768" s="823"/>
      <c r="D768" s="814"/>
      <c r="E768" s="824"/>
      <c r="F768" s="824"/>
      <c r="G768" s="825"/>
      <c r="H768" s="826"/>
      <c r="I768" s="827"/>
      <c r="J768" s="825"/>
      <c r="K768" s="825"/>
      <c r="L768" s="825"/>
    </row>
    <row r="769" ht="18.75" customHeight="1">
      <c r="A769" s="811"/>
      <c r="B769" s="812"/>
      <c r="C769" s="813"/>
      <c r="D769" s="814"/>
      <c r="E769" s="815"/>
      <c r="F769" s="815"/>
      <c r="G769" s="816"/>
      <c r="H769" s="817"/>
      <c r="I769" s="818"/>
      <c r="J769" s="816"/>
      <c r="K769" s="816"/>
      <c r="L769" s="816"/>
    </row>
    <row r="770" ht="18.75" customHeight="1">
      <c r="A770" s="822"/>
      <c r="B770" s="812"/>
      <c r="C770" s="823"/>
      <c r="D770" s="814"/>
      <c r="E770" s="824"/>
      <c r="F770" s="824"/>
      <c r="G770" s="825"/>
      <c r="H770" s="826"/>
      <c r="I770" s="827"/>
      <c r="J770" s="825"/>
      <c r="K770" s="825"/>
      <c r="L770" s="825"/>
    </row>
    <row r="771" ht="18.75" customHeight="1">
      <c r="A771" s="811"/>
      <c r="B771" s="812"/>
      <c r="C771" s="813"/>
      <c r="D771" s="814"/>
      <c r="E771" s="815"/>
      <c r="F771" s="815"/>
      <c r="G771" s="816"/>
      <c r="H771" s="817"/>
      <c r="I771" s="818"/>
      <c r="J771" s="816"/>
      <c r="K771" s="816"/>
      <c r="L771" s="816"/>
    </row>
    <row r="772" ht="18.75" customHeight="1">
      <c r="A772" s="822"/>
      <c r="B772" s="812"/>
      <c r="C772" s="823"/>
      <c r="D772" s="814"/>
      <c r="E772" s="824"/>
      <c r="F772" s="824"/>
      <c r="G772" s="825"/>
      <c r="H772" s="826"/>
      <c r="I772" s="827"/>
      <c r="J772" s="825"/>
      <c r="K772" s="825"/>
      <c r="L772" s="825"/>
    </row>
    <row r="773" ht="18.75" customHeight="1">
      <c r="A773" s="811"/>
      <c r="B773" s="812"/>
      <c r="C773" s="813"/>
      <c r="D773" s="814"/>
      <c r="E773" s="815"/>
      <c r="F773" s="815"/>
      <c r="G773" s="816"/>
      <c r="H773" s="817"/>
      <c r="I773" s="818"/>
      <c r="J773" s="816"/>
      <c r="K773" s="816"/>
      <c r="L773" s="816"/>
    </row>
    <row r="774" ht="18.75" customHeight="1">
      <c r="A774" s="822"/>
      <c r="B774" s="812"/>
      <c r="C774" s="823"/>
      <c r="D774" s="814"/>
      <c r="E774" s="824"/>
      <c r="F774" s="824"/>
      <c r="G774" s="825"/>
      <c r="H774" s="826"/>
      <c r="I774" s="827"/>
      <c r="J774" s="825"/>
      <c r="K774" s="825"/>
      <c r="L774" s="825"/>
    </row>
    <row r="775" ht="18.75" customHeight="1">
      <c r="A775" s="811"/>
      <c r="B775" s="812"/>
      <c r="C775" s="813"/>
      <c r="D775" s="814"/>
      <c r="E775" s="815"/>
      <c r="F775" s="815"/>
      <c r="G775" s="816"/>
      <c r="H775" s="817"/>
      <c r="I775" s="818"/>
      <c r="J775" s="816"/>
      <c r="K775" s="816"/>
      <c r="L775" s="816"/>
    </row>
    <row r="776" ht="18.75" customHeight="1">
      <c r="A776" s="822"/>
      <c r="B776" s="812"/>
      <c r="C776" s="823"/>
      <c r="D776" s="814"/>
      <c r="E776" s="824"/>
      <c r="F776" s="824"/>
      <c r="G776" s="825"/>
      <c r="H776" s="826"/>
      <c r="I776" s="827"/>
      <c r="J776" s="825"/>
      <c r="K776" s="825"/>
      <c r="L776" s="825"/>
    </row>
    <row r="777" ht="18.75" customHeight="1">
      <c r="A777" s="811"/>
      <c r="B777" s="812"/>
      <c r="C777" s="813"/>
      <c r="D777" s="814"/>
      <c r="E777" s="815"/>
      <c r="F777" s="815"/>
      <c r="G777" s="816"/>
      <c r="H777" s="817"/>
      <c r="I777" s="818"/>
      <c r="J777" s="816"/>
      <c r="K777" s="816"/>
      <c r="L777" s="816"/>
    </row>
    <row r="778" ht="18.75" customHeight="1">
      <c r="A778" s="822"/>
      <c r="B778" s="812"/>
      <c r="C778" s="823"/>
      <c r="D778" s="814"/>
      <c r="E778" s="824"/>
      <c r="F778" s="824"/>
      <c r="G778" s="825"/>
      <c r="H778" s="826"/>
      <c r="I778" s="827"/>
      <c r="J778" s="825"/>
      <c r="K778" s="825"/>
      <c r="L778" s="825"/>
    </row>
    <row r="779" ht="18.75" customHeight="1">
      <c r="A779" s="811"/>
      <c r="B779" s="812"/>
      <c r="C779" s="813"/>
      <c r="D779" s="814"/>
      <c r="E779" s="815"/>
      <c r="F779" s="815"/>
      <c r="G779" s="816"/>
      <c r="H779" s="817"/>
      <c r="I779" s="818"/>
      <c r="J779" s="816"/>
      <c r="K779" s="816"/>
      <c r="L779" s="816"/>
    </row>
    <row r="780" ht="18.75" customHeight="1">
      <c r="A780" s="822"/>
      <c r="B780" s="812"/>
      <c r="C780" s="823"/>
      <c r="D780" s="814"/>
      <c r="E780" s="824"/>
      <c r="F780" s="824"/>
      <c r="G780" s="825"/>
      <c r="H780" s="826"/>
      <c r="I780" s="827"/>
      <c r="J780" s="825"/>
      <c r="K780" s="825"/>
      <c r="L780" s="825"/>
    </row>
    <row r="781" ht="18.75" customHeight="1">
      <c r="A781" s="811"/>
      <c r="B781" s="812"/>
      <c r="C781" s="813"/>
      <c r="D781" s="814"/>
      <c r="E781" s="815"/>
      <c r="F781" s="815"/>
      <c r="G781" s="816"/>
      <c r="H781" s="817"/>
      <c r="I781" s="818"/>
      <c r="J781" s="816"/>
      <c r="K781" s="816"/>
      <c r="L781" s="816"/>
    </row>
    <row r="782" ht="18.75" customHeight="1">
      <c r="A782" s="822"/>
      <c r="B782" s="812"/>
      <c r="C782" s="823"/>
      <c r="D782" s="814"/>
      <c r="E782" s="824"/>
      <c r="F782" s="824"/>
      <c r="G782" s="825"/>
      <c r="H782" s="826"/>
      <c r="I782" s="827"/>
      <c r="J782" s="825"/>
      <c r="K782" s="825"/>
      <c r="L782" s="825"/>
    </row>
    <row r="783" ht="18.75" customHeight="1">
      <c r="A783" s="811"/>
      <c r="B783" s="812"/>
      <c r="C783" s="813"/>
      <c r="D783" s="814"/>
      <c r="E783" s="815"/>
      <c r="F783" s="815"/>
      <c r="G783" s="816"/>
      <c r="H783" s="817"/>
      <c r="I783" s="818"/>
      <c r="J783" s="816"/>
      <c r="K783" s="816"/>
      <c r="L783" s="816"/>
    </row>
    <row r="784" ht="18.75" customHeight="1">
      <c r="A784" s="822"/>
      <c r="B784" s="812"/>
      <c r="C784" s="823"/>
      <c r="D784" s="814"/>
      <c r="E784" s="824"/>
      <c r="F784" s="824"/>
      <c r="G784" s="825"/>
      <c r="H784" s="826"/>
      <c r="I784" s="827"/>
      <c r="J784" s="825"/>
      <c r="K784" s="825"/>
      <c r="L784" s="825"/>
    </row>
    <row r="785" ht="18.75" customHeight="1">
      <c r="A785" s="811"/>
      <c r="B785" s="812"/>
      <c r="C785" s="813"/>
      <c r="D785" s="814"/>
      <c r="E785" s="815"/>
      <c r="F785" s="815"/>
      <c r="G785" s="816"/>
      <c r="H785" s="817"/>
      <c r="I785" s="818"/>
      <c r="J785" s="816"/>
      <c r="K785" s="816"/>
      <c r="L785" s="816"/>
    </row>
    <row r="786" ht="18.75" customHeight="1">
      <c r="A786" s="822"/>
      <c r="B786" s="812"/>
      <c r="C786" s="823"/>
      <c r="D786" s="814"/>
      <c r="E786" s="824"/>
      <c r="F786" s="824"/>
      <c r="G786" s="825"/>
      <c r="H786" s="826"/>
      <c r="I786" s="827"/>
      <c r="J786" s="825"/>
      <c r="K786" s="825"/>
      <c r="L786" s="825"/>
    </row>
    <row r="787" ht="18.75" customHeight="1">
      <c r="A787" s="811"/>
      <c r="B787" s="812"/>
      <c r="C787" s="813"/>
      <c r="D787" s="814"/>
      <c r="E787" s="815"/>
      <c r="F787" s="815"/>
      <c r="G787" s="816"/>
      <c r="H787" s="817"/>
      <c r="I787" s="818"/>
      <c r="J787" s="816"/>
      <c r="K787" s="816"/>
      <c r="L787" s="816"/>
    </row>
    <row r="788" ht="18.75" customHeight="1">
      <c r="A788" s="822"/>
      <c r="B788" s="812"/>
      <c r="C788" s="823"/>
      <c r="D788" s="814"/>
      <c r="E788" s="824"/>
      <c r="F788" s="824"/>
      <c r="G788" s="825"/>
      <c r="H788" s="826"/>
      <c r="I788" s="827"/>
      <c r="J788" s="825"/>
      <c r="K788" s="825"/>
      <c r="L788" s="825"/>
    </row>
    <row r="789" ht="18.75" customHeight="1">
      <c r="A789" s="811"/>
      <c r="B789" s="812"/>
      <c r="C789" s="813"/>
      <c r="D789" s="814"/>
      <c r="E789" s="815"/>
      <c r="F789" s="815"/>
      <c r="G789" s="816"/>
      <c r="H789" s="817"/>
      <c r="I789" s="818"/>
      <c r="J789" s="816"/>
      <c r="K789" s="816"/>
      <c r="L789" s="816"/>
    </row>
    <row r="790" ht="18.75" customHeight="1">
      <c r="A790" s="822"/>
      <c r="B790" s="812"/>
      <c r="C790" s="823"/>
      <c r="D790" s="814"/>
      <c r="E790" s="824"/>
      <c r="F790" s="824"/>
      <c r="G790" s="825"/>
      <c r="H790" s="826"/>
      <c r="I790" s="827"/>
      <c r="J790" s="825"/>
      <c r="K790" s="825"/>
      <c r="L790" s="825"/>
    </row>
    <row r="791" ht="18.75" customHeight="1">
      <c r="A791" s="811"/>
      <c r="B791" s="812"/>
      <c r="C791" s="813"/>
      <c r="D791" s="814"/>
      <c r="E791" s="815"/>
      <c r="F791" s="815"/>
      <c r="G791" s="816"/>
      <c r="H791" s="817"/>
      <c r="I791" s="818"/>
      <c r="J791" s="816"/>
      <c r="K791" s="816"/>
      <c r="L791" s="816"/>
    </row>
    <row r="792" ht="18.75" customHeight="1">
      <c r="A792" s="822"/>
      <c r="B792" s="812"/>
      <c r="C792" s="823"/>
      <c r="D792" s="814"/>
      <c r="E792" s="824"/>
      <c r="F792" s="824"/>
      <c r="G792" s="825"/>
      <c r="H792" s="826"/>
      <c r="I792" s="827"/>
      <c r="J792" s="825"/>
      <c r="K792" s="825"/>
      <c r="L792" s="825"/>
    </row>
    <row r="793" ht="18.75" customHeight="1">
      <c r="A793" s="811"/>
      <c r="B793" s="812"/>
      <c r="C793" s="813"/>
      <c r="D793" s="814"/>
      <c r="E793" s="815"/>
      <c r="F793" s="815"/>
      <c r="G793" s="816"/>
      <c r="H793" s="817"/>
      <c r="I793" s="818"/>
      <c r="J793" s="816"/>
      <c r="K793" s="816"/>
      <c r="L793" s="816"/>
    </row>
    <row r="794" ht="18.75" customHeight="1">
      <c r="A794" s="822"/>
      <c r="B794" s="812"/>
      <c r="C794" s="823"/>
      <c r="D794" s="814"/>
      <c r="E794" s="824"/>
      <c r="F794" s="824"/>
      <c r="G794" s="825"/>
      <c r="H794" s="826"/>
      <c r="I794" s="827"/>
      <c r="J794" s="825"/>
      <c r="K794" s="825"/>
      <c r="L794" s="825"/>
    </row>
    <row r="795" ht="18.75" customHeight="1">
      <c r="A795" s="811"/>
      <c r="B795" s="812"/>
      <c r="C795" s="813"/>
      <c r="D795" s="814"/>
      <c r="E795" s="815"/>
      <c r="F795" s="815"/>
      <c r="G795" s="816"/>
      <c r="H795" s="817"/>
      <c r="I795" s="818"/>
      <c r="J795" s="816"/>
      <c r="K795" s="816"/>
      <c r="L795" s="816"/>
    </row>
    <row r="796" ht="18.75" customHeight="1">
      <c r="A796" s="822"/>
      <c r="B796" s="812"/>
      <c r="C796" s="823"/>
      <c r="D796" s="814"/>
      <c r="E796" s="824"/>
      <c r="F796" s="824"/>
      <c r="G796" s="825"/>
      <c r="H796" s="826"/>
      <c r="I796" s="827"/>
      <c r="J796" s="825"/>
      <c r="K796" s="825"/>
      <c r="L796" s="825"/>
    </row>
    <row r="797" ht="18.75" customHeight="1">
      <c r="A797" s="811"/>
      <c r="B797" s="812"/>
      <c r="C797" s="813"/>
      <c r="D797" s="814"/>
      <c r="E797" s="815"/>
      <c r="F797" s="815"/>
      <c r="G797" s="816"/>
      <c r="H797" s="817"/>
      <c r="I797" s="818"/>
      <c r="J797" s="816"/>
      <c r="K797" s="816"/>
      <c r="L797" s="816"/>
    </row>
    <row r="798" ht="18.75" customHeight="1">
      <c r="A798" s="822"/>
      <c r="B798" s="812"/>
      <c r="C798" s="823"/>
      <c r="D798" s="814"/>
      <c r="E798" s="824"/>
      <c r="F798" s="824"/>
      <c r="G798" s="825"/>
      <c r="H798" s="826"/>
      <c r="I798" s="827"/>
      <c r="J798" s="825"/>
      <c r="K798" s="825"/>
      <c r="L798" s="825"/>
    </row>
    <row r="799" ht="18.75" customHeight="1">
      <c r="A799" s="811"/>
      <c r="B799" s="812"/>
      <c r="C799" s="813"/>
      <c r="D799" s="814"/>
      <c r="E799" s="815"/>
      <c r="F799" s="815"/>
      <c r="G799" s="816"/>
      <c r="H799" s="817"/>
      <c r="I799" s="818"/>
      <c r="J799" s="816"/>
      <c r="K799" s="816"/>
      <c r="L799" s="816"/>
    </row>
    <row r="800" ht="18.75" customHeight="1">
      <c r="A800" s="822"/>
      <c r="B800" s="812"/>
      <c r="C800" s="823"/>
      <c r="D800" s="814"/>
      <c r="E800" s="824"/>
      <c r="F800" s="824"/>
      <c r="G800" s="825"/>
      <c r="H800" s="826"/>
      <c r="I800" s="827"/>
      <c r="J800" s="825"/>
      <c r="K800" s="825"/>
      <c r="L800" s="825"/>
    </row>
    <row r="801" ht="18.75" customHeight="1">
      <c r="A801" s="811"/>
      <c r="B801" s="812"/>
      <c r="C801" s="813"/>
      <c r="D801" s="814"/>
      <c r="E801" s="815"/>
      <c r="F801" s="815"/>
      <c r="G801" s="816"/>
      <c r="H801" s="817"/>
      <c r="I801" s="818"/>
      <c r="J801" s="816"/>
      <c r="K801" s="816"/>
      <c r="L801" s="816"/>
    </row>
    <row r="802" ht="18.75" customHeight="1">
      <c r="A802" s="822"/>
      <c r="B802" s="812"/>
      <c r="C802" s="823"/>
      <c r="D802" s="814"/>
      <c r="E802" s="824"/>
      <c r="F802" s="824"/>
      <c r="G802" s="825"/>
      <c r="H802" s="826"/>
      <c r="I802" s="827"/>
      <c r="J802" s="825"/>
      <c r="K802" s="825"/>
      <c r="L802" s="825"/>
    </row>
    <row r="803" ht="18.75" customHeight="1">
      <c r="A803" s="811"/>
      <c r="B803" s="812"/>
      <c r="C803" s="813"/>
      <c r="D803" s="814"/>
      <c r="E803" s="815"/>
      <c r="F803" s="815"/>
      <c r="G803" s="816"/>
      <c r="H803" s="817"/>
      <c r="I803" s="818"/>
      <c r="J803" s="816"/>
      <c r="K803" s="816"/>
      <c r="L803" s="816"/>
    </row>
    <row r="804" ht="18.75" customHeight="1">
      <c r="A804" s="822"/>
      <c r="B804" s="812"/>
      <c r="C804" s="823"/>
      <c r="D804" s="814"/>
      <c r="E804" s="824"/>
      <c r="F804" s="824"/>
      <c r="G804" s="825"/>
      <c r="H804" s="826"/>
      <c r="I804" s="827"/>
      <c r="J804" s="825"/>
      <c r="K804" s="825"/>
      <c r="L804" s="825"/>
    </row>
    <row r="805" ht="18.75" customHeight="1">
      <c r="A805" s="811"/>
      <c r="B805" s="812"/>
      <c r="C805" s="813"/>
      <c r="D805" s="814"/>
      <c r="E805" s="815"/>
      <c r="F805" s="815"/>
      <c r="G805" s="816"/>
      <c r="H805" s="817"/>
      <c r="I805" s="818"/>
      <c r="J805" s="816"/>
      <c r="K805" s="816"/>
      <c r="L805" s="816"/>
    </row>
    <row r="806" ht="18.75" customHeight="1">
      <c r="A806" s="822"/>
      <c r="B806" s="812"/>
      <c r="C806" s="823"/>
      <c r="D806" s="814"/>
      <c r="E806" s="824"/>
      <c r="F806" s="824"/>
      <c r="G806" s="825"/>
      <c r="H806" s="826"/>
      <c r="I806" s="827"/>
      <c r="J806" s="825"/>
      <c r="K806" s="825"/>
      <c r="L806" s="825"/>
    </row>
    <row r="807" ht="18.75" customHeight="1">
      <c r="A807" s="811"/>
      <c r="B807" s="812"/>
      <c r="C807" s="813"/>
      <c r="D807" s="814"/>
      <c r="E807" s="815"/>
      <c r="F807" s="815"/>
      <c r="G807" s="816"/>
      <c r="H807" s="817"/>
      <c r="I807" s="818"/>
      <c r="J807" s="816"/>
      <c r="K807" s="816"/>
      <c r="L807" s="816"/>
    </row>
    <row r="808" ht="18.75" customHeight="1">
      <c r="A808" s="822"/>
      <c r="B808" s="812"/>
      <c r="C808" s="823"/>
      <c r="D808" s="814"/>
      <c r="E808" s="824"/>
      <c r="F808" s="824"/>
      <c r="G808" s="825"/>
      <c r="H808" s="826"/>
      <c r="I808" s="827"/>
      <c r="J808" s="825"/>
      <c r="K808" s="825"/>
      <c r="L808" s="825"/>
    </row>
    <row r="809" ht="18.75" customHeight="1">
      <c r="A809" s="811"/>
      <c r="B809" s="812"/>
      <c r="C809" s="813"/>
      <c r="D809" s="814"/>
      <c r="E809" s="815"/>
      <c r="F809" s="815"/>
      <c r="G809" s="816"/>
      <c r="H809" s="817"/>
      <c r="I809" s="818"/>
      <c r="J809" s="816"/>
      <c r="K809" s="816"/>
      <c r="L809" s="816"/>
    </row>
    <row r="810" ht="18.75" customHeight="1">
      <c r="A810" s="822"/>
      <c r="B810" s="812"/>
      <c r="C810" s="823"/>
      <c r="D810" s="814"/>
      <c r="E810" s="824"/>
      <c r="F810" s="824"/>
      <c r="G810" s="825"/>
      <c r="H810" s="826"/>
      <c r="I810" s="827"/>
      <c r="J810" s="825"/>
      <c r="K810" s="825"/>
      <c r="L810" s="825"/>
    </row>
    <row r="811" ht="18.75" customHeight="1">
      <c r="A811" s="811"/>
      <c r="B811" s="812"/>
      <c r="C811" s="813"/>
      <c r="D811" s="814"/>
      <c r="E811" s="815"/>
      <c r="F811" s="815"/>
      <c r="G811" s="816"/>
      <c r="H811" s="817"/>
      <c r="I811" s="818"/>
      <c r="J811" s="816"/>
      <c r="K811" s="816"/>
      <c r="L811" s="816"/>
    </row>
    <row r="812" ht="18.75" customHeight="1">
      <c r="A812" s="822"/>
      <c r="B812" s="812"/>
      <c r="C812" s="823"/>
      <c r="D812" s="814"/>
      <c r="E812" s="824"/>
      <c r="F812" s="824"/>
      <c r="G812" s="825"/>
      <c r="H812" s="826"/>
      <c r="I812" s="827"/>
      <c r="J812" s="825"/>
      <c r="K812" s="825"/>
      <c r="L812" s="825"/>
    </row>
    <row r="813" ht="18.75" customHeight="1">
      <c r="A813" s="811"/>
      <c r="B813" s="812"/>
      <c r="C813" s="813"/>
      <c r="D813" s="814"/>
      <c r="E813" s="815"/>
      <c r="F813" s="815"/>
      <c r="G813" s="816"/>
      <c r="H813" s="817"/>
      <c r="I813" s="818"/>
      <c r="J813" s="816"/>
      <c r="K813" s="816"/>
      <c r="L813" s="816"/>
    </row>
    <row r="814" ht="18.75" customHeight="1">
      <c r="A814" s="822"/>
      <c r="B814" s="812"/>
      <c r="C814" s="823"/>
      <c r="D814" s="814"/>
      <c r="E814" s="824"/>
      <c r="F814" s="824"/>
      <c r="G814" s="825"/>
      <c r="H814" s="826"/>
      <c r="I814" s="827"/>
      <c r="J814" s="825"/>
      <c r="K814" s="825"/>
      <c r="L814" s="825"/>
    </row>
    <row r="815" ht="18.75" customHeight="1">
      <c r="A815" s="811"/>
      <c r="B815" s="812"/>
      <c r="C815" s="813"/>
      <c r="D815" s="814"/>
      <c r="E815" s="815"/>
      <c r="F815" s="815"/>
      <c r="G815" s="816"/>
      <c r="H815" s="817"/>
      <c r="I815" s="818"/>
      <c r="J815" s="816"/>
      <c r="K815" s="816"/>
      <c r="L815" s="816"/>
    </row>
    <row r="816" ht="18.75" customHeight="1">
      <c r="A816" s="822"/>
      <c r="B816" s="812"/>
      <c r="C816" s="823"/>
      <c r="D816" s="814"/>
      <c r="E816" s="824"/>
      <c r="F816" s="824"/>
      <c r="G816" s="825"/>
      <c r="H816" s="826"/>
      <c r="I816" s="827"/>
      <c r="J816" s="825"/>
      <c r="K816" s="825"/>
      <c r="L816" s="825"/>
    </row>
    <row r="817" ht="18.75" customHeight="1">
      <c r="A817" s="811"/>
      <c r="B817" s="812"/>
      <c r="C817" s="813"/>
      <c r="D817" s="814"/>
      <c r="E817" s="815"/>
      <c r="F817" s="815"/>
      <c r="G817" s="816"/>
      <c r="H817" s="817"/>
      <c r="I817" s="818"/>
      <c r="J817" s="816"/>
      <c r="K817" s="816"/>
      <c r="L817" s="816"/>
    </row>
    <row r="818" ht="18.75" customHeight="1">
      <c r="A818" s="822"/>
      <c r="B818" s="812"/>
      <c r="C818" s="823"/>
      <c r="D818" s="814"/>
      <c r="E818" s="824"/>
      <c r="F818" s="824"/>
      <c r="G818" s="825"/>
      <c r="H818" s="826"/>
      <c r="I818" s="827"/>
      <c r="J818" s="825"/>
      <c r="K818" s="825"/>
      <c r="L818" s="825"/>
    </row>
    <row r="819" ht="18.75" customHeight="1">
      <c r="A819" s="811"/>
      <c r="B819" s="812"/>
      <c r="C819" s="813"/>
      <c r="D819" s="814"/>
      <c r="E819" s="815"/>
      <c r="F819" s="815"/>
      <c r="G819" s="816"/>
      <c r="H819" s="817"/>
      <c r="I819" s="818"/>
      <c r="J819" s="816"/>
      <c r="K819" s="816"/>
      <c r="L819" s="816"/>
    </row>
    <row r="820" ht="18.75" customHeight="1">
      <c r="A820" s="822"/>
      <c r="B820" s="812"/>
      <c r="C820" s="823"/>
      <c r="D820" s="814"/>
      <c r="E820" s="824"/>
      <c r="F820" s="824"/>
      <c r="G820" s="825"/>
      <c r="H820" s="826"/>
      <c r="I820" s="827"/>
      <c r="J820" s="825"/>
      <c r="K820" s="825"/>
      <c r="L820" s="825"/>
    </row>
    <row r="821" ht="18.75" customHeight="1">
      <c r="A821" s="811"/>
      <c r="B821" s="812"/>
      <c r="C821" s="813"/>
      <c r="D821" s="814"/>
      <c r="E821" s="815"/>
      <c r="F821" s="815"/>
      <c r="G821" s="816"/>
      <c r="H821" s="817"/>
      <c r="I821" s="818"/>
      <c r="J821" s="816"/>
      <c r="K821" s="816"/>
      <c r="L821" s="816"/>
    </row>
    <row r="822" ht="18.75" customHeight="1">
      <c r="A822" s="822"/>
      <c r="B822" s="812"/>
      <c r="C822" s="823"/>
      <c r="D822" s="814"/>
      <c r="E822" s="824"/>
      <c r="F822" s="824"/>
      <c r="G822" s="825"/>
      <c r="H822" s="826"/>
      <c r="I822" s="827"/>
      <c r="J822" s="825"/>
      <c r="K822" s="825"/>
      <c r="L822" s="825"/>
    </row>
    <row r="823" ht="18.75" customHeight="1">
      <c r="A823" s="811"/>
      <c r="B823" s="812"/>
      <c r="C823" s="813"/>
      <c r="D823" s="814"/>
      <c r="E823" s="815"/>
      <c r="F823" s="815"/>
      <c r="G823" s="816"/>
      <c r="H823" s="817"/>
      <c r="I823" s="818"/>
      <c r="J823" s="816"/>
      <c r="K823" s="816"/>
      <c r="L823" s="816"/>
    </row>
    <row r="824" ht="18.75" customHeight="1">
      <c r="A824" s="822"/>
      <c r="B824" s="812"/>
      <c r="C824" s="823"/>
      <c r="D824" s="814"/>
      <c r="E824" s="824"/>
      <c r="F824" s="824"/>
      <c r="G824" s="825"/>
      <c r="H824" s="826"/>
      <c r="I824" s="827"/>
      <c r="J824" s="825"/>
      <c r="K824" s="825"/>
      <c r="L824" s="825"/>
    </row>
    <row r="825" ht="18.75" customHeight="1">
      <c r="A825" s="811"/>
      <c r="B825" s="812"/>
      <c r="C825" s="813"/>
      <c r="D825" s="814"/>
      <c r="E825" s="815"/>
      <c r="F825" s="815"/>
      <c r="G825" s="816"/>
      <c r="H825" s="817"/>
      <c r="I825" s="818"/>
      <c r="J825" s="816"/>
      <c r="K825" s="816"/>
      <c r="L825" s="816"/>
    </row>
    <row r="826" ht="18.75" customHeight="1">
      <c r="A826" s="822"/>
      <c r="B826" s="812"/>
      <c r="C826" s="823"/>
      <c r="D826" s="814"/>
      <c r="E826" s="824"/>
      <c r="F826" s="824"/>
      <c r="G826" s="825"/>
      <c r="H826" s="826"/>
      <c r="I826" s="827"/>
      <c r="J826" s="825"/>
      <c r="K826" s="825"/>
      <c r="L826" s="825"/>
    </row>
    <row r="827" ht="18.75" customHeight="1">
      <c r="A827" s="811"/>
      <c r="B827" s="812"/>
      <c r="C827" s="813"/>
      <c r="D827" s="814"/>
      <c r="E827" s="815"/>
      <c r="F827" s="815"/>
      <c r="G827" s="816"/>
      <c r="H827" s="817"/>
      <c r="I827" s="818"/>
      <c r="J827" s="816"/>
      <c r="K827" s="816"/>
      <c r="L827" s="816"/>
    </row>
    <row r="828" ht="18.75" customHeight="1">
      <c r="A828" s="822"/>
      <c r="B828" s="812"/>
      <c r="C828" s="823"/>
      <c r="D828" s="814"/>
      <c r="E828" s="824"/>
      <c r="F828" s="824"/>
      <c r="G828" s="825"/>
      <c r="H828" s="826"/>
      <c r="I828" s="827"/>
      <c r="J828" s="825"/>
      <c r="K828" s="825"/>
      <c r="L828" s="825"/>
    </row>
    <row r="829" ht="18.75" customHeight="1">
      <c r="A829" s="811"/>
      <c r="B829" s="812"/>
      <c r="C829" s="813"/>
      <c r="D829" s="814"/>
      <c r="E829" s="815"/>
      <c r="F829" s="815"/>
      <c r="G829" s="816"/>
      <c r="H829" s="817"/>
      <c r="I829" s="818"/>
      <c r="J829" s="816"/>
      <c r="K829" s="816"/>
      <c r="L829" s="816"/>
    </row>
    <row r="830" ht="18.75" customHeight="1">
      <c r="A830" s="822"/>
      <c r="B830" s="812"/>
      <c r="C830" s="823"/>
      <c r="D830" s="814"/>
      <c r="E830" s="824"/>
      <c r="F830" s="824"/>
      <c r="G830" s="825"/>
      <c r="H830" s="826"/>
      <c r="I830" s="827"/>
      <c r="J830" s="825"/>
      <c r="K830" s="825"/>
      <c r="L830" s="825"/>
    </row>
    <row r="831" ht="18.75" customHeight="1">
      <c r="A831" s="811"/>
      <c r="B831" s="812"/>
      <c r="C831" s="813"/>
      <c r="D831" s="814"/>
      <c r="E831" s="815"/>
      <c r="F831" s="815"/>
      <c r="G831" s="816"/>
      <c r="H831" s="817"/>
      <c r="I831" s="818"/>
      <c r="J831" s="816"/>
      <c r="K831" s="816"/>
      <c r="L831" s="816"/>
    </row>
    <row r="832" ht="18.75" customHeight="1">
      <c r="A832" s="822"/>
      <c r="B832" s="812"/>
      <c r="C832" s="823"/>
      <c r="D832" s="814"/>
      <c r="E832" s="824"/>
      <c r="F832" s="824"/>
      <c r="G832" s="825"/>
      <c r="H832" s="826"/>
      <c r="I832" s="827"/>
      <c r="J832" s="825"/>
      <c r="K832" s="825"/>
      <c r="L832" s="825"/>
    </row>
    <row r="833" ht="18.75" customHeight="1">
      <c r="A833" s="811"/>
      <c r="B833" s="812"/>
      <c r="C833" s="813"/>
      <c r="D833" s="814"/>
      <c r="E833" s="815"/>
      <c r="F833" s="815"/>
      <c r="G833" s="816"/>
      <c r="H833" s="817"/>
      <c r="I833" s="818"/>
      <c r="J833" s="816"/>
      <c r="K833" s="816"/>
      <c r="L833" s="816"/>
    </row>
    <row r="834" ht="18.75" customHeight="1">
      <c r="A834" s="822"/>
      <c r="B834" s="812"/>
      <c r="C834" s="823"/>
      <c r="D834" s="814"/>
      <c r="E834" s="824"/>
      <c r="F834" s="824"/>
      <c r="G834" s="825"/>
      <c r="H834" s="826"/>
      <c r="I834" s="827"/>
      <c r="J834" s="825"/>
      <c r="K834" s="825"/>
      <c r="L834" s="825"/>
    </row>
    <row r="835" ht="18.75" customHeight="1">
      <c r="A835" s="811"/>
      <c r="B835" s="812"/>
      <c r="C835" s="813"/>
      <c r="D835" s="814"/>
      <c r="E835" s="815"/>
      <c r="F835" s="815"/>
      <c r="G835" s="816"/>
      <c r="H835" s="817"/>
      <c r="I835" s="818"/>
      <c r="J835" s="816"/>
      <c r="K835" s="816"/>
      <c r="L835" s="816"/>
    </row>
    <row r="836" ht="18.75" customHeight="1">
      <c r="A836" s="822"/>
      <c r="B836" s="812"/>
      <c r="C836" s="823"/>
      <c r="D836" s="814"/>
      <c r="E836" s="824"/>
      <c r="F836" s="824"/>
      <c r="G836" s="825"/>
      <c r="H836" s="826"/>
      <c r="I836" s="827"/>
      <c r="J836" s="825"/>
      <c r="K836" s="825"/>
      <c r="L836" s="825"/>
    </row>
    <row r="837" ht="18.75" customHeight="1">
      <c r="A837" s="811"/>
      <c r="B837" s="812"/>
      <c r="C837" s="813"/>
      <c r="D837" s="814"/>
      <c r="E837" s="815"/>
      <c r="F837" s="815"/>
      <c r="G837" s="816"/>
      <c r="H837" s="817"/>
      <c r="I837" s="818"/>
      <c r="J837" s="816"/>
      <c r="K837" s="816"/>
      <c r="L837" s="816"/>
    </row>
    <row r="838" ht="18.75" customHeight="1">
      <c r="A838" s="822"/>
      <c r="B838" s="812"/>
      <c r="C838" s="823"/>
      <c r="D838" s="814"/>
      <c r="E838" s="824"/>
      <c r="F838" s="824"/>
      <c r="G838" s="825"/>
      <c r="H838" s="826"/>
      <c r="I838" s="827"/>
      <c r="J838" s="825"/>
      <c r="K838" s="825"/>
      <c r="L838" s="825"/>
    </row>
    <row r="839" ht="18.75" customHeight="1">
      <c r="A839" s="811"/>
      <c r="B839" s="812"/>
      <c r="C839" s="813"/>
      <c r="D839" s="814"/>
      <c r="E839" s="815"/>
      <c r="F839" s="815"/>
      <c r="G839" s="816"/>
      <c r="H839" s="817"/>
      <c r="I839" s="818"/>
      <c r="J839" s="816"/>
      <c r="K839" s="816"/>
      <c r="L839" s="816"/>
    </row>
    <row r="840" ht="18.75" customHeight="1">
      <c r="A840" s="822"/>
      <c r="B840" s="812"/>
      <c r="C840" s="823"/>
      <c r="D840" s="814"/>
      <c r="E840" s="824"/>
      <c r="F840" s="824"/>
      <c r="G840" s="825"/>
      <c r="H840" s="826"/>
      <c r="I840" s="827"/>
      <c r="J840" s="825"/>
      <c r="K840" s="825"/>
      <c r="L840" s="825"/>
    </row>
    <row r="841" ht="18.75" customHeight="1">
      <c r="A841" s="811"/>
      <c r="B841" s="812"/>
      <c r="C841" s="813"/>
      <c r="D841" s="814"/>
      <c r="E841" s="815"/>
      <c r="F841" s="815"/>
      <c r="G841" s="816"/>
      <c r="H841" s="817"/>
      <c r="I841" s="818"/>
      <c r="J841" s="816"/>
      <c r="K841" s="816"/>
      <c r="L841" s="816"/>
    </row>
    <row r="842" ht="18.75" customHeight="1">
      <c r="A842" s="822"/>
      <c r="B842" s="812"/>
      <c r="C842" s="823"/>
      <c r="D842" s="814"/>
      <c r="E842" s="824"/>
      <c r="F842" s="824"/>
      <c r="G842" s="825"/>
      <c r="H842" s="826"/>
      <c r="I842" s="827"/>
      <c r="J842" s="825"/>
      <c r="K842" s="825"/>
      <c r="L842" s="825"/>
    </row>
    <row r="843" ht="18.75" customHeight="1">
      <c r="A843" s="811"/>
      <c r="B843" s="812"/>
      <c r="C843" s="813"/>
      <c r="D843" s="814"/>
      <c r="E843" s="815"/>
      <c r="F843" s="815"/>
      <c r="G843" s="816"/>
      <c r="H843" s="817"/>
      <c r="I843" s="818"/>
      <c r="J843" s="816"/>
      <c r="K843" s="816"/>
      <c r="L843" s="816"/>
    </row>
    <row r="844" ht="18.75" customHeight="1">
      <c r="A844" s="822"/>
      <c r="B844" s="812"/>
      <c r="C844" s="823"/>
      <c r="D844" s="814"/>
      <c r="E844" s="824"/>
      <c r="F844" s="824"/>
      <c r="G844" s="825"/>
      <c r="H844" s="826"/>
      <c r="I844" s="827"/>
      <c r="J844" s="825"/>
      <c r="K844" s="825"/>
      <c r="L844" s="825"/>
    </row>
    <row r="845" ht="18.75" customHeight="1">
      <c r="A845" s="811"/>
      <c r="B845" s="812"/>
      <c r="C845" s="813"/>
      <c r="D845" s="814"/>
      <c r="E845" s="815"/>
      <c r="F845" s="815"/>
      <c r="G845" s="816"/>
      <c r="H845" s="817"/>
      <c r="I845" s="818"/>
      <c r="J845" s="816"/>
      <c r="K845" s="816"/>
      <c r="L845" s="816"/>
    </row>
    <row r="846" ht="18.75" customHeight="1">
      <c r="A846" s="822"/>
      <c r="B846" s="812"/>
      <c r="C846" s="823"/>
      <c r="D846" s="814"/>
      <c r="E846" s="824"/>
      <c r="F846" s="824"/>
      <c r="G846" s="825"/>
      <c r="H846" s="826"/>
      <c r="I846" s="827"/>
      <c r="J846" s="825"/>
      <c r="K846" s="825"/>
      <c r="L846" s="825"/>
    </row>
    <row r="847" ht="18.75" customHeight="1">
      <c r="A847" s="811"/>
      <c r="B847" s="812"/>
      <c r="C847" s="813"/>
      <c r="D847" s="814"/>
      <c r="E847" s="815"/>
      <c r="F847" s="815"/>
      <c r="G847" s="816"/>
      <c r="H847" s="817"/>
      <c r="I847" s="818"/>
      <c r="J847" s="816"/>
      <c r="K847" s="816"/>
      <c r="L847" s="816"/>
    </row>
    <row r="848" ht="18.75" customHeight="1">
      <c r="A848" s="822"/>
      <c r="B848" s="812"/>
      <c r="C848" s="823"/>
      <c r="D848" s="814"/>
      <c r="E848" s="824"/>
      <c r="F848" s="824"/>
      <c r="G848" s="825"/>
      <c r="H848" s="826"/>
      <c r="I848" s="827"/>
      <c r="J848" s="825"/>
      <c r="K848" s="825"/>
      <c r="L848" s="825"/>
    </row>
    <row r="849" ht="18.75" customHeight="1">
      <c r="A849" s="811"/>
      <c r="B849" s="812"/>
      <c r="C849" s="813"/>
      <c r="D849" s="814"/>
      <c r="E849" s="815"/>
      <c r="F849" s="815"/>
      <c r="G849" s="816"/>
      <c r="H849" s="817"/>
      <c r="I849" s="818"/>
      <c r="J849" s="816"/>
      <c r="K849" s="816"/>
      <c r="L849" s="816"/>
    </row>
    <row r="850" ht="18.75" customHeight="1">
      <c r="A850" s="822"/>
      <c r="B850" s="812"/>
      <c r="C850" s="823"/>
      <c r="D850" s="814"/>
      <c r="E850" s="824"/>
      <c r="F850" s="824"/>
      <c r="G850" s="825"/>
      <c r="H850" s="826"/>
      <c r="I850" s="827"/>
      <c r="J850" s="825"/>
      <c r="K850" s="825"/>
      <c r="L850" s="825"/>
    </row>
    <row r="851" ht="18.75" customHeight="1">
      <c r="A851" s="811"/>
      <c r="B851" s="812"/>
      <c r="C851" s="813"/>
      <c r="D851" s="814"/>
      <c r="E851" s="815"/>
      <c r="F851" s="815"/>
      <c r="G851" s="816"/>
      <c r="H851" s="817"/>
      <c r="I851" s="818"/>
      <c r="J851" s="816"/>
      <c r="K851" s="816"/>
      <c r="L851" s="816"/>
    </row>
    <row r="852" ht="18.75" customHeight="1">
      <c r="A852" s="822"/>
      <c r="B852" s="812"/>
      <c r="C852" s="823"/>
      <c r="D852" s="814"/>
      <c r="E852" s="824"/>
      <c r="F852" s="824"/>
      <c r="G852" s="825"/>
      <c r="H852" s="826"/>
      <c r="I852" s="827"/>
      <c r="J852" s="825"/>
      <c r="K852" s="825"/>
      <c r="L852" s="825"/>
    </row>
    <row r="853" ht="18.75" customHeight="1">
      <c r="A853" s="811"/>
      <c r="B853" s="812"/>
      <c r="C853" s="813"/>
      <c r="D853" s="814"/>
      <c r="E853" s="815"/>
      <c r="F853" s="815"/>
      <c r="G853" s="816"/>
      <c r="H853" s="817"/>
      <c r="I853" s="818"/>
      <c r="J853" s="816"/>
      <c r="K853" s="816"/>
      <c r="L853" s="816"/>
    </row>
    <row r="854" ht="18.75" customHeight="1">
      <c r="A854" s="822"/>
      <c r="B854" s="812"/>
      <c r="C854" s="823"/>
      <c r="D854" s="814"/>
      <c r="E854" s="824"/>
      <c r="F854" s="824"/>
      <c r="G854" s="825"/>
      <c r="H854" s="826"/>
      <c r="I854" s="827"/>
      <c r="J854" s="825"/>
      <c r="K854" s="825"/>
      <c r="L854" s="825"/>
    </row>
    <row r="855" ht="18.75" customHeight="1">
      <c r="A855" s="811"/>
      <c r="B855" s="812"/>
      <c r="C855" s="813"/>
      <c r="D855" s="814"/>
      <c r="E855" s="815"/>
      <c r="F855" s="815"/>
      <c r="G855" s="816"/>
      <c r="H855" s="817"/>
      <c r="I855" s="818"/>
      <c r="J855" s="816"/>
      <c r="K855" s="816"/>
      <c r="L855" s="816"/>
    </row>
    <row r="856" ht="18.75" customHeight="1">
      <c r="A856" s="822"/>
      <c r="B856" s="812"/>
      <c r="C856" s="823"/>
      <c r="D856" s="814"/>
      <c r="E856" s="824"/>
      <c r="F856" s="824"/>
      <c r="G856" s="825"/>
      <c r="H856" s="826"/>
      <c r="I856" s="827"/>
      <c r="J856" s="825"/>
      <c r="K856" s="825"/>
      <c r="L856" s="825"/>
    </row>
    <row r="857" ht="18.75" customHeight="1">
      <c r="A857" s="811"/>
      <c r="B857" s="812"/>
      <c r="C857" s="813"/>
      <c r="D857" s="814"/>
      <c r="E857" s="815"/>
      <c r="F857" s="815"/>
      <c r="G857" s="816"/>
      <c r="H857" s="817"/>
      <c r="I857" s="818"/>
      <c r="J857" s="816"/>
      <c r="K857" s="816"/>
      <c r="L857" s="816"/>
    </row>
    <row r="858" ht="18.75" customHeight="1">
      <c r="A858" s="822"/>
      <c r="B858" s="812"/>
      <c r="C858" s="823"/>
      <c r="D858" s="814"/>
      <c r="E858" s="824"/>
      <c r="F858" s="824"/>
      <c r="G858" s="825"/>
      <c r="H858" s="826"/>
      <c r="I858" s="827"/>
      <c r="J858" s="825"/>
      <c r="K858" s="825"/>
      <c r="L858" s="825"/>
    </row>
    <row r="859" ht="18.75" customHeight="1">
      <c r="A859" s="811"/>
      <c r="B859" s="812"/>
      <c r="C859" s="813"/>
      <c r="D859" s="814"/>
      <c r="E859" s="815"/>
      <c r="F859" s="815"/>
      <c r="G859" s="816"/>
      <c r="H859" s="817"/>
      <c r="I859" s="818"/>
      <c r="J859" s="816"/>
      <c r="K859" s="816"/>
      <c r="L859" s="816"/>
    </row>
    <row r="860" ht="18.75" customHeight="1">
      <c r="A860" s="822"/>
      <c r="B860" s="812"/>
      <c r="C860" s="823"/>
      <c r="D860" s="814"/>
      <c r="E860" s="824"/>
      <c r="F860" s="824"/>
      <c r="G860" s="825"/>
      <c r="H860" s="826"/>
      <c r="I860" s="827"/>
      <c r="J860" s="825"/>
      <c r="K860" s="825"/>
      <c r="L860" s="825"/>
    </row>
    <row r="861" ht="18.75" customHeight="1">
      <c r="A861" s="811"/>
      <c r="B861" s="812"/>
      <c r="C861" s="813"/>
      <c r="D861" s="814"/>
      <c r="E861" s="815"/>
      <c r="F861" s="815"/>
      <c r="G861" s="816"/>
      <c r="H861" s="817"/>
      <c r="I861" s="818"/>
      <c r="J861" s="816"/>
      <c r="K861" s="816"/>
      <c r="L861" s="816"/>
    </row>
    <row r="862" ht="18.75" customHeight="1">
      <c r="A862" s="822"/>
      <c r="B862" s="812"/>
      <c r="C862" s="823"/>
      <c r="D862" s="814"/>
      <c r="E862" s="824"/>
      <c r="F862" s="824"/>
      <c r="G862" s="825"/>
      <c r="H862" s="826"/>
      <c r="I862" s="827"/>
      <c r="J862" s="825"/>
      <c r="K862" s="825"/>
      <c r="L862" s="825"/>
    </row>
    <row r="863" ht="18.75" customHeight="1">
      <c r="A863" s="811"/>
      <c r="B863" s="812"/>
      <c r="C863" s="813"/>
      <c r="D863" s="814"/>
      <c r="E863" s="815"/>
      <c r="F863" s="815"/>
      <c r="G863" s="816"/>
      <c r="H863" s="817"/>
      <c r="I863" s="818"/>
      <c r="J863" s="816"/>
      <c r="K863" s="816"/>
      <c r="L863" s="816"/>
    </row>
    <row r="864" ht="18.75" customHeight="1">
      <c r="A864" s="822"/>
      <c r="B864" s="812"/>
      <c r="C864" s="823"/>
      <c r="D864" s="814"/>
      <c r="E864" s="824"/>
      <c r="F864" s="824"/>
      <c r="G864" s="825"/>
      <c r="H864" s="826"/>
      <c r="I864" s="827"/>
      <c r="J864" s="825"/>
      <c r="K864" s="825"/>
      <c r="L864" s="825"/>
    </row>
    <row r="865" ht="18.75" customHeight="1">
      <c r="A865" s="811"/>
      <c r="B865" s="812"/>
      <c r="C865" s="813"/>
      <c r="D865" s="814"/>
      <c r="E865" s="815"/>
      <c r="F865" s="815"/>
      <c r="G865" s="816"/>
      <c r="H865" s="817"/>
      <c r="I865" s="818"/>
      <c r="J865" s="816"/>
      <c r="K865" s="816"/>
      <c r="L865" s="816"/>
    </row>
    <row r="866" ht="18.75" customHeight="1">
      <c r="A866" s="822"/>
      <c r="B866" s="812"/>
      <c r="C866" s="823"/>
      <c r="D866" s="814"/>
      <c r="E866" s="824"/>
      <c r="F866" s="824"/>
      <c r="G866" s="825"/>
      <c r="H866" s="826"/>
      <c r="I866" s="827"/>
      <c r="J866" s="825"/>
      <c r="K866" s="825"/>
      <c r="L866" s="825"/>
    </row>
    <row r="867" ht="18.75" customHeight="1">
      <c r="A867" s="811"/>
      <c r="B867" s="812"/>
      <c r="C867" s="813"/>
      <c r="D867" s="814"/>
      <c r="E867" s="815"/>
      <c r="F867" s="815"/>
      <c r="G867" s="816"/>
      <c r="H867" s="817"/>
      <c r="I867" s="818"/>
      <c r="J867" s="816"/>
      <c r="K867" s="816"/>
      <c r="L867" s="816"/>
    </row>
    <row r="868" ht="18.75" customHeight="1">
      <c r="A868" s="822"/>
      <c r="B868" s="812"/>
      <c r="C868" s="823"/>
      <c r="D868" s="814"/>
      <c r="E868" s="824"/>
      <c r="F868" s="824"/>
      <c r="G868" s="825"/>
      <c r="H868" s="826"/>
      <c r="I868" s="827"/>
      <c r="J868" s="825"/>
      <c r="K868" s="825"/>
      <c r="L868" s="825"/>
    </row>
    <row r="869" ht="18.75" customHeight="1">
      <c r="A869" s="811"/>
      <c r="B869" s="812"/>
      <c r="C869" s="813"/>
      <c r="D869" s="814"/>
      <c r="E869" s="815"/>
      <c r="F869" s="815"/>
      <c r="G869" s="816"/>
      <c r="H869" s="817"/>
      <c r="I869" s="818"/>
      <c r="J869" s="816"/>
      <c r="K869" s="816"/>
      <c r="L869" s="816"/>
    </row>
    <row r="870" ht="18.75" customHeight="1">
      <c r="A870" s="822"/>
      <c r="B870" s="812"/>
      <c r="C870" s="823"/>
      <c r="D870" s="814"/>
      <c r="E870" s="824"/>
      <c r="F870" s="824"/>
      <c r="G870" s="825"/>
      <c r="H870" s="826"/>
      <c r="I870" s="827"/>
      <c r="J870" s="825"/>
      <c r="K870" s="825"/>
      <c r="L870" s="825"/>
    </row>
    <row r="871" ht="18.75" customHeight="1">
      <c r="A871" s="811"/>
      <c r="B871" s="812"/>
      <c r="C871" s="813"/>
      <c r="D871" s="814"/>
      <c r="E871" s="815"/>
      <c r="F871" s="815"/>
      <c r="G871" s="816"/>
      <c r="H871" s="817"/>
      <c r="I871" s="818"/>
      <c r="J871" s="816"/>
      <c r="K871" s="816"/>
      <c r="L871" s="816"/>
    </row>
    <row r="872" ht="18.75" customHeight="1">
      <c r="A872" s="822"/>
      <c r="B872" s="812"/>
      <c r="C872" s="823"/>
      <c r="D872" s="814"/>
      <c r="E872" s="824"/>
      <c r="F872" s="824"/>
      <c r="G872" s="825"/>
      <c r="H872" s="826"/>
      <c r="I872" s="827"/>
      <c r="J872" s="825"/>
      <c r="K872" s="825"/>
      <c r="L872" s="825"/>
    </row>
    <row r="873" ht="18.75" customHeight="1">
      <c r="A873" s="811"/>
      <c r="B873" s="812"/>
      <c r="C873" s="813"/>
      <c r="D873" s="814"/>
      <c r="E873" s="815"/>
      <c r="F873" s="815"/>
      <c r="G873" s="816"/>
      <c r="H873" s="817"/>
      <c r="I873" s="818"/>
      <c r="J873" s="816"/>
      <c r="K873" s="816"/>
      <c r="L873" s="816"/>
    </row>
    <row r="874" ht="18.75" customHeight="1">
      <c r="A874" s="822"/>
      <c r="B874" s="812"/>
      <c r="C874" s="823"/>
      <c r="D874" s="814"/>
      <c r="E874" s="824"/>
      <c r="F874" s="824"/>
      <c r="G874" s="825"/>
      <c r="H874" s="826"/>
      <c r="I874" s="827"/>
      <c r="J874" s="825"/>
      <c r="K874" s="825"/>
      <c r="L874" s="825"/>
    </row>
    <row r="875" ht="18.75" customHeight="1">
      <c r="A875" s="811"/>
      <c r="B875" s="812"/>
      <c r="C875" s="813"/>
      <c r="D875" s="814"/>
      <c r="E875" s="815"/>
      <c r="F875" s="815"/>
      <c r="G875" s="816"/>
      <c r="H875" s="817"/>
      <c r="I875" s="818"/>
      <c r="J875" s="816"/>
      <c r="K875" s="816"/>
      <c r="L875" s="816"/>
    </row>
    <row r="876" ht="18.75" customHeight="1">
      <c r="A876" s="822"/>
      <c r="B876" s="812"/>
      <c r="C876" s="823"/>
      <c r="D876" s="814"/>
      <c r="E876" s="824"/>
      <c r="F876" s="824"/>
      <c r="G876" s="825"/>
      <c r="H876" s="826"/>
      <c r="I876" s="827"/>
      <c r="J876" s="825"/>
      <c r="K876" s="825"/>
      <c r="L876" s="825"/>
    </row>
    <row r="877" ht="18.75" customHeight="1">
      <c r="A877" s="811"/>
      <c r="B877" s="812"/>
      <c r="C877" s="813"/>
      <c r="D877" s="814"/>
      <c r="E877" s="815"/>
      <c r="F877" s="815"/>
      <c r="G877" s="816"/>
      <c r="H877" s="817"/>
      <c r="I877" s="818"/>
      <c r="J877" s="816"/>
      <c r="K877" s="816"/>
      <c r="L877" s="816"/>
    </row>
    <row r="878" ht="18.75" customHeight="1">
      <c r="A878" s="822"/>
      <c r="B878" s="812"/>
      <c r="C878" s="823"/>
      <c r="D878" s="814"/>
      <c r="E878" s="824"/>
      <c r="F878" s="824"/>
      <c r="G878" s="825"/>
      <c r="H878" s="826"/>
      <c r="I878" s="827"/>
      <c r="J878" s="825"/>
      <c r="K878" s="825"/>
      <c r="L878" s="825"/>
    </row>
    <row r="879" ht="18.75" customHeight="1">
      <c r="A879" s="811"/>
      <c r="B879" s="812"/>
      <c r="C879" s="813"/>
      <c r="D879" s="814"/>
      <c r="E879" s="815"/>
      <c r="F879" s="815"/>
      <c r="G879" s="816"/>
      <c r="H879" s="817"/>
      <c r="I879" s="818"/>
      <c r="J879" s="816"/>
      <c r="K879" s="816"/>
      <c r="L879" s="816"/>
    </row>
    <row r="880" ht="18.75" customHeight="1">
      <c r="A880" s="822"/>
      <c r="B880" s="812"/>
      <c r="C880" s="823"/>
      <c r="D880" s="814"/>
      <c r="E880" s="824"/>
      <c r="F880" s="824"/>
      <c r="G880" s="825"/>
      <c r="H880" s="826"/>
      <c r="I880" s="827"/>
      <c r="J880" s="825"/>
      <c r="K880" s="825"/>
      <c r="L880" s="825"/>
    </row>
    <row r="881" ht="18.75" customHeight="1">
      <c r="A881" s="811"/>
      <c r="B881" s="812"/>
      <c r="C881" s="813"/>
      <c r="D881" s="814"/>
      <c r="E881" s="815"/>
      <c r="F881" s="815"/>
      <c r="G881" s="816"/>
      <c r="H881" s="817"/>
      <c r="I881" s="818"/>
      <c r="J881" s="816"/>
      <c r="K881" s="816"/>
      <c r="L881" s="816"/>
    </row>
    <row r="882" ht="18.75" customHeight="1">
      <c r="A882" s="822"/>
      <c r="B882" s="812"/>
      <c r="C882" s="823"/>
      <c r="D882" s="814"/>
      <c r="E882" s="824"/>
      <c r="F882" s="824"/>
      <c r="G882" s="825"/>
      <c r="H882" s="826"/>
      <c r="I882" s="827"/>
      <c r="J882" s="825"/>
      <c r="K882" s="825"/>
      <c r="L882" s="825"/>
    </row>
    <row r="883" ht="18.75" customHeight="1">
      <c r="A883" s="811"/>
      <c r="B883" s="812"/>
      <c r="C883" s="813"/>
      <c r="D883" s="814"/>
      <c r="E883" s="815"/>
      <c r="F883" s="815"/>
      <c r="G883" s="816"/>
      <c r="H883" s="817"/>
      <c r="I883" s="818"/>
      <c r="J883" s="816"/>
      <c r="K883" s="816"/>
      <c r="L883" s="816"/>
    </row>
    <row r="884" ht="18.75" customHeight="1">
      <c r="A884" s="822"/>
      <c r="B884" s="812"/>
      <c r="C884" s="823"/>
      <c r="D884" s="814"/>
      <c r="E884" s="824"/>
      <c r="F884" s="824"/>
      <c r="G884" s="825"/>
      <c r="H884" s="826"/>
      <c r="I884" s="827"/>
      <c r="J884" s="825"/>
      <c r="K884" s="825"/>
      <c r="L884" s="825"/>
    </row>
    <row r="885" ht="18.75" customHeight="1">
      <c r="A885" s="811"/>
      <c r="B885" s="812"/>
      <c r="C885" s="813"/>
      <c r="D885" s="814"/>
      <c r="E885" s="815"/>
      <c r="F885" s="815"/>
      <c r="G885" s="816"/>
      <c r="H885" s="817"/>
      <c r="I885" s="818"/>
      <c r="J885" s="816"/>
      <c r="K885" s="816"/>
      <c r="L885" s="816"/>
    </row>
    <row r="886" ht="18.75" customHeight="1">
      <c r="A886" s="822"/>
      <c r="B886" s="812"/>
      <c r="C886" s="823"/>
      <c r="D886" s="814"/>
      <c r="E886" s="824"/>
      <c r="F886" s="824"/>
      <c r="G886" s="825"/>
      <c r="H886" s="826"/>
      <c r="I886" s="827"/>
      <c r="J886" s="825"/>
      <c r="K886" s="825"/>
      <c r="L886" s="825"/>
    </row>
    <row r="887" ht="18.75" customHeight="1">
      <c r="A887" s="811"/>
      <c r="B887" s="812"/>
      <c r="C887" s="813"/>
      <c r="D887" s="814"/>
      <c r="E887" s="815"/>
      <c r="F887" s="815"/>
      <c r="G887" s="816"/>
      <c r="H887" s="817"/>
      <c r="I887" s="818"/>
      <c r="J887" s="816"/>
      <c r="K887" s="816"/>
      <c r="L887" s="816"/>
    </row>
    <row r="888" ht="18.75" customHeight="1">
      <c r="A888" s="822"/>
      <c r="B888" s="812"/>
      <c r="C888" s="823"/>
      <c r="D888" s="814"/>
      <c r="E888" s="824"/>
      <c r="F888" s="824"/>
      <c r="G888" s="825"/>
      <c r="H888" s="826"/>
      <c r="I888" s="827"/>
      <c r="J888" s="825"/>
      <c r="K888" s="825"/>
      <c r="L888" s="825"/>
    </row>
    <row r="889" ht="18.75" customHeight="1">
      <c r="A889" s="811"/>
      <c r="B889" s="812"/>
      <c r="C889" s="813"/>
      <c r="D889" s="814"/>
      <c r="E889" s="815"/>
      <c r="F889" s="815"/>
      <c r="G889" s="816"/>
      <c r="H889" s="817"/>
      <c r="I889" s="818"/>
      <c r="J889" s="816"/>
      <c r="K889" s="816"/>
      <c r="L889" s="816"/>
    </row>
    <row r="890" ht="18.75" customHeight="1">
      <c r="A890" s="822"/>
      <c r="B890" s="812"/>
      <c r="C890" s="823"/>
      <c r="D890" s="814"/>
      <c r="E890" s="824"/>
      <c r="F890" s="824"/>
      <c r="G890" s="825"/>
      <c r="H890" s="826"/>
      <c r="I890" s="827"/>
      <c r="J890" s="825"/>
      <c r="K890" s="825"/>
      <c r="L890" s="825"/>
    </row>
    <row r="891" ht="18.75" customHeight="1">
      <c r="A891" s="811"/>
      <c r="B891" s="812"/>
      <c r="C891" s="813"/>
      <c r="D891" s="814"/>
      <c r="E891" s="815"/>
      <c r="F891" s="815"/>
      <c r="G891" s="816"/>
      <c r="H891" s="817"/>
      <c r="I891" s="818"/>
      <c r="J891" s="816"/>
      <c r="K891" s="816"/>
      <c r="L891" s="816"/>
    </row>
    <row r="892" ht="18.75" customHeight="1">
      <c r="A892" s="822"/>
      <c r="B892" s="812"/>
      <c r="C892" s="823"/>
      <c r="D892" s="814"/>
      <c r="E892" s="824"/>
      <c r="F892" s="824"/>
      <c r="G892" s="825"/>
      <c r="H892" s="826"/>
      <c r="I892" s="827"/>
      <c r="J892" s="825"/>
      <c r="K892" s="825"/>
      <c r="L892" s="825"/>
    </row>
    <row r="893" ht="18.75" customHeight="1">
      <c r="A893" s="811"/>
      <c r="B893" s="812"/>
      <c r="C893" s="813"/>
      <c r="D893" s="814"/>
      <c r="E893" s="815"/>
      <c r="F893" s="815"/>
      <c r="G893" s="816"/>
      <c r="H893" s="817"/>
      <c r="I893" s="818"/>
      <c r="J893" s="816"/>
      <c r="K893" s="816"/>
      <c r="L893" s="816"/>
    </row>
    <row r="894" ht="18.75" customHeight="1">
      <c r="A894" s="822"/>
      <c r="B894" s="812"/>
      <c r="C894" s="823"/>
      <c r="D894" s="814"/>
      <c r="E894" s="824"/>
      <c r="F894" s="824"/>
      <c r="G894" s="825"/>
      <c r="H894" s="826"/>
      <c r="I894" s="827"/>
      <c r="J894" s="825"/>
      <c r="K894" s="825"/>
      <c r="L894" s="825"/>
    </row>
    <row r="895" ht="18.75" customHeight="1">
      <c r="A895" s="811"/>
      <c r="B895" s="812"/>
      <c r="C895" s="813"/>
      <c r="D895" s="814"/>
      <c r="E895" s="815"/>
      <c r="F895" s="815"/>
      <c r="G895" s="816"/>
      <c r="H895" s="817"/>
      <c r="I895" s="818"/>
      <c r="J895" s="816"/>
      <c r="K895" s="816"/>
      <c r="L895" s="816"/>
    </row>
    <row r="896" ht="18.75" customHeight="1">
      <c r="A896" s="822"/>
      <c r="B896" s="812"/>
      <c r="C896" s="823"/>
      <c r="D896" s="814"/>
      <c r="E896" s="824"/>
      <c r="F896" s="824"/>
      <c r="G896" s="825"/>
      <c r="H896" s="826"/>
      <c r="I896" s="827"/>
      <c r="J896" s="825"/>
      <c r="K896" s="825"/>
      <c r="L896" s="825"/>
    </row>
    <row r="897" ht="18.75" customHeight="1">
      <c r="A897" s="811"/>
      <c r="B897" s="812"/>
      <c r="C897" s="813"/>
      <c r="D897" s="814"/>
      <c r="E897" s="815"/>
      <c r="F897" s="815"/>
      <c r="G897" s="816"/>
      <c r="H897" s="817"/>
      <c r="I897" s="818"/>
      <c r="J897" s="816"/>
      <c r="K897" s="816"/>
      <c r="L897" s="816"/>
    </row>
    <row r="898" ht="18.75" customHeight="1">
      <c r="A898" s="822"/>
      <c r="B898" s="812"/>
      <c r="C898" s="823"/>
      <c r="D898" s="814"/>
      <c r="E898" s="824"/>
      <c r="F898" s="824"/>
      <c r="G898" s="825"/>
      <c r="H898" s="826"/>
      <c r="I898" s="827"/>
      <c r="J898" s="825"/>
      <c r="K898" s="825"/>
      <c r="L898" s="825"/>
    </row>
    <row r="899" ht="18.75" customHeight="1">
      <c r="A899" s="811"/>
      <c r="B899" s="812"/>
      <c r="C899" s="813"/>
      <c r="D899" s="814"/>
      <c r="E899" s="815"/>
      <c r="F899" s="815"/>
      <c r="G899" s="816"/>
      <c r="H899" s="817"/>
      <c r="I899" s="818"/>
      <c r="J899" s="816"/>
      <c r="K899" s="816"/>
      <c r="L899" s="816"/>
    </row>
    <row r="900" ht="18.75" customHeight="1">
      <c r="A900" s="822"/>
      <c r="B900" s="812"/>
      <c r="C900" s="823"/>
      <c r="D900" s="814"/>
      <c r="E900" s="824"/>
      <c r="F900" s="824"/>
      <c r="G900" s="825"/>
      <c r="H900" s="826"/>
      <c r="I900" s="827"/>
      <c r="J900" s="825"/>
      <c r="K900" s="825"/>
      <c r="L900" s="825"/>
    </row>
    <row r="901" ht="18.75" customHeight="1">
      <c r="A901" s="811"/>
      <c r="B901" s="812"/>
      <c r="C901" s="813"/>
      <c r="D901" s="814"/>
      <c r="E901" s="815"/>
      <c r="F901" s="815"/>
      <c r="G901" s="816"/>
      <c r="H901" s="817"/>
      <c r="I901" s="818"/>
      <c r="J901" s="816"/>
      <c r="K901" s="816"/>
      <c r="L901" s="816"/>
    </row>
    <row r="902" ht="18.75" customHeight="1">
      <c r="A902" s="822"/>
      <c r="B902" s="812"/>
      <c r="C902" s="823"/>
      <c r="D902" s="814"/>
      <c r="E902" s="824"/>
      <c r="F902" s="824"/>
      <c r="G902" s="825"/>
      <c r="H902" s="826"/>
      <c r="I902" s="827"/>
      <c r="J902" s="825"/>
      <c r="K902" s="825"/>
      <c r="L902" s="825"/>
    </row>
    <row r="903" ht="18.75" customHeight="1">
      <c r="A903" s="811"/>
      <c r="B903" s="812"/>
      <c r="C903" s="813"/>
      <c r="D903" s="814"/>
      <c r="E903" s="815"/>
      <c r="F903" s="815"/>
      <c r="G903" s="816"/>
      <c r="H903" s="817"/>
      <c r="I903" s="818"/>
      <c r="J903" s="816"/>
      <c r="K903" s="816"/>
      <c r="L903" s="816"/>
    </row>
    <row r="904" ht="18.75" customHeight="1">
      <c r="A904" s="822"/>
      <c r="B904" s="812"/>
      <c r="C904" s="823"/>
      <c r="D904" s="814"/>
      <c r="E904" s="824"/>
      <c r="F904" s="824"/>
      <c r="G904" s="825"/>
      <c r="H904" s="826"/>
      <c r="I904" s="827"/>
      <c r="J904" s="825"/>
      <c r="K904" s="825"/>
      <c r="L904" s="825"/>
    </row>
    <row r="905" ht="18.75" customHeight="1">
      <c r="A905" s="811"/>
      <c r="B905" s="812"/>
      <c r="C905" s="813"/>
      <c r="D905" s="814"/>
      <c r="E905" s="815"/>
      <c r="F905" s="815"/>
      <c r="G905" s="816"/>
      <c r="H905" s="817"/>
      <c r="I905" s="818"/>
      <c r="J905" s="816"/>
      <c r="K905" s="816"/>
      <c r="L905" s="816"/>
    </row>
    <row r="906" ht="18.75" customHeight="1">
      <c r="A906" s="822"/>
      <c r="B906" s="812"/>
      <c r="C906" s="823"/>
      <c r="D906" s="814"/>
      <c r="E906" s="824"/>
      <c r="F906" s="824"/>
      <c r="G906" s="825"/>
      <c r="H906" s="826"/>
      <c r="I906" s="827"/>
      <c r="J906" s="825"/>
      <c r="K906" s="825"/>
      <c r="L906" s="825"/>
    </row>
    <row r="907" ht="18.75" customHeight="1">
      <c r="A907" s="811"/>
      <c r="B907" s="812"/>
      <c r="C907" s="813"/>
      <c r="D907" s="814"/>
      <c r="E907" s="815"/>
      <c r="F907" s="815"/>
      <c r="G907" s="816"/>
      <c r="H907" s="817"/>
      <c r="I907" s="818"/>
      <c r="J907" s="816"/>
      <c r="K907" s="816"/>
      <c r="L907" s="816"/>
    </row>
    <row r="908" ht="18.75" customHeight="1">
      <c r="A908" s="822"/>
      <c r="B908" s="812"/>
      <c r="C908" s="823"/>
      <c r="D908" s="814"/>
      <c r="E908" s="824"/>
      <c r="F908" s="824"/>
      <c r="G908" s="825"/>
      <c r="H908" s="826"/>
      <c r="I908" s="827"/>
      <c r="J908" s="825"/>
      <c r="K908" s="825"/>
      <c r="L908" s="825"/>
    </row>
    <row r="909" ht="18.75" customHeight="1">
      <c r="A909" s="811"/>
      <c r="B909" s="812"/>
      <c r="C909" s="813"/>
      <c r="D909" s="814"/>
      <c r="E909" s="815"/>
      <c r="F909" s="815"/>
      <c r="G909" s="816"/>
      <c r="H909" s="817"/>
      <c r="I909" s="818"/>
      <c r="J909" s="816"/>
      <c r="K909" s="816"/>
      <c r="L909" s="816"/>
    </row>
    <row r="910" ht="18.75" customHeight="1">
      <c r="A910" s="822"/>
      <c r="B910" s="812"/>
      <c r="C910" s="823"/>
      <c r="D910" s="814"/>
      <c r="E910" s="824"/>
      <c r="F910" s="824"/>
      <c r="G910" s="825"/>
      <c r="H910" s="826"/>
      <c r="I910" s="827"/>
      <c r="J910" s="825"/>
      <c r="K910" s="825"/>
      <c r="L910" s="825"/>
    </row>
    <row r="911" ht="18.75" customHeight="1">
      <c r="A911" s="811"/>
      <c r="B911" s="812"/>
      <c r="C911" s="813"/>
      <c r="D911" s="814"/>
      <c r="E911" s="815"/>
      <c r="F911" s="815"/>
      <c r="G911" s="816"/>
      <c r="H911" s="817"/>
      <c r="I911" s="818"/>
      <c r="J911" s="816"/>
      <c r="K911" s="816"/>
      <c r="L911" s="816"/>
    </row>
    <row r="912" ht="18.75" customHeight="1">
      <c r="A912" s="822"/>
      <c r="B912" s="812"/>
      <c r="C912" s="823"/>
      <c r="D912" s="814"/>
      <c r="E912" s="824"/>
      <c r="F912" s="824"/>
      <c r="G912" s="825"/>
      <c r="H912" s="826"/>
      <c r="I912" s="827"/>
      <c r="J912" s="825"/>
      <c r="K912" s="825"/>
      <c r="L912" s="825"/>
    </row>
    <row r="913" ht="18.75" customHeight="1">
      <c r="A913" s="811"/>
      <c r="B913" s="812"/>
      <c r="C913" s="813"/>
      <c r="D913" s="814"/>
      <c r="E913" s="815"/>
      <c r="F913" s="815"/>
      <c r="G913" s="816"/>
      <c r="H913" s="817"/>
      <c r="I913" s="818"/>
      <c r="J913" s="816"/>
      <c r="K913" s="816"/>
      <c r="L913" s="816"/>
    </row>
    <row r="914" ht="18.75" customHeight="1">
      <c r="A914" s="822"/>
      <c r="B914" s="812"/>
      <c r="C914" s="823"/>
      <c r="D914" s="814"/>
      <c r="E914" s="824"/>
      <c r="F914" s="824"/>
      <c r="G914" s="825"/>
      <c r="H914" s="826"/>
      <c r="I914" s="827"/>
      <c r="J914" s="825"/>
      <c r="K914" s="825"/>
      <c r="L914" s="825"/>
    </row>
    <row r="915" ht="18.75" customHeight="1">
      <c r="A915" s="811"/>
      <c r="B915" s="812"/>
      <c r="C915" s="813"/>
      <c r="D915" s="814"/>
      <c r="E915" s="815"/>
      <c r="F915" s="815"/>
      <c r="G915" s="816"/>
      <c r="H915" s="817"/>
      <c r="I915" s="818"/>
      <c r="J915" s="816"/>
      <c r="K915" s="816"/>
      <c r="L915" s="816"/>
    </row>
    <row r="916" ht="18.75" customHeight="1">
      <c r="A916" s="822"/>
      <c r="B916" s="812"/>
      <c r="C916" s="823"/>
      <c r="D916" s="814"/>
      <c r="E916" s="824"/>
      <c r="F916" s="824"/>
      <c r="G916" s="825"/>
      <c r="H916" s="826"/>
      <c r="I916" s="827"/>
      <c r="J916" s="825"/>
      <c r="K916" s="825"/>
      <c r="L916" s="825"/>
    </row>
    <row r="917" ht="18.75" customHeight="1">
      <c r="A917" s="811"/>
      <c r="B917" s="812"/>
      <c r="C917" s="813"/>
      <c r="D917" s="814"/>
      <c r="E917" s="815"/>
      <c r="F917" s="815"/>
      <c r="G917" s="816"/>
      <c r="H917" s="817"/>
      <c r="I917" s="818"/>
      <c r="J917" s="816"/>
      <c r="K917" s="816"/>
      <c r="L917" s="816"/>
    </row>
    <row r="918" ht="18.75" customHeight="1">
      <c r="A918" s="822"/>
      <c r="B918" s="812"/>
      <c r="C918" s="823"/>
      <c r="D918" s="814"/>
      <c r="E918" s="824"/>
      <c r="F918" s="824"/>
      <c r="G918" s="825"/>
      <c r="H918" s="826"/>
      <c r="I918" s="827"/>
      <c r="J918" s="825"/>
      <c r="K918" s="825"/>
      <c r="L918" s="825"/>
    </row>
    <row r="919" ht="18.75" customHeight="1">
      <c r="A919" s="811"/>
      <c r="B919" s="812"/>
      <c r="C919" s="813"/>
      <c r="D919" s="814"/>
      <c r="E919" s="815"/>
      <c r="F919" s="815"/>
      <c r="G919" s="816"/>
      <c r="H919" s="817"/>
      <c r="I919" s="818"/>
      <c r="J919" s="816"/>
      <c r="K919" s="816"/>
      <c r="L919" s="816"/>
    </row>
    <row r="920" ht="18.75" customHeight="1">
      <c r="A920" s="822"/>
      <c r="B920" s="812"/>
      <c r="C920" s="823"/>
      <c r="D920" s="814"/>
      <c r="E920" s="824"/>
      <c r="F920" s="824"/>
      <c r="G920" s="825"/>
      <c r="H920" s="826"/>
      <c r="I920" s="827"/>
      <c r="J920" s="825"/>
      <c r="K920" s="825"/>
      <c r="L920" s="825"/>
    </row>
    <row r="921" ht="18.75" customHeight="1">
      <c r="A921" s="811"/>
      <c r="B921" s="812"/>
      <c r="C921" s="813"/>
      <c r="D921" s="814"/>
      <c r="E921" s="815"/>
      <c r="F921" s="815"/>
      <c r="G921" s="816"/>
      <c r="H921" s="817"/>
      <c r="I921" s="818"/>
      <c r="J921" s="816"/>
      <c r="K921" s="816"/>
      <c r="L921" s="816"/>
    </row>
    <row r="922" ht="18.75" customHeight="1">
      <c r="A922" s="822"/>
      <c r="B922" s="812"/>
      <c r="C922" s="823"/>
      <c r="D922" s="814"/>
      <c r="E922" s="824"/>
      <c r="F922" s="824"/>
      <c r="G922" s="825"/>
      <c r="H922" s="826"/>
      <c r="I922" s="827"/>
      <c r="J922" s="825"/>
      <c r="K922" s="825"/>
      <c r="L922" s="825"/>
    </row>
    <row r="923" ht="18.75" customHeight="1">
      <c r="A923" s="811"/>
      <c r="B923" s="812"/>
      <c r="C923" s="813"/>
      <c r="D923" s="814"/>
      <c r="E923" s="815"/>
      <c r="F923" s="815"/>
      <c r="G923" s="816"/>
      <c r="H923" s="817"/>
      <c r="I923" s="818"/>
      <c r="J923" s="816"/>
      <c r="K923" s="816"/>
      <c r="L923" s="816"/>
    </row>
    <row r="924" ht="18.75" customHeight="1">
      <c r="A924" s="822"/>
      <c r="B924" s="812"/>
      <c r="C924" s="823"/>
      <c r="D924" s="814"/>
      <c r="E924" s="824"/>
      <c r="F924" s="824"/>
      <c r="G924" s="825"/>
      <c r="H924" s="826"/>
      <c r="I924" s="827"/>
      <c r="J924" s="825"/>
      <c r="K924" s="825"/>
      <c r="L924" s="825"/>
    </row>
    <row r="925" ht="18.75" customHeight="1">
      <c r="A925" s="811"/>
      <c r="B925" s="812"/>
      <c r="C925" s="813"/>
      <c r="D925" s="814"/>
      <c r="E925" s="815"/>
      <c r="F925" s="815"/>
      <c r="G925" s="816"/>
      <c r="H925" s="817"/>
      <c r="I925" s="818"/>
      <c r="J925" s="816"/>
      <c r="K925" s="816"/>
      <c r="L925" s="816"/>
    </row>
    <row r="926" ht="18.75" customHeight="1">
      <c r="A926" s="822"/>
      <c r="B926" s="812"/>
      <c r="C926" s="823"/>
      <c r="D926" s="814"/>
      <c r="E926" s="824"/>
      <c r="F926" s="824"/>
      <c r="G926" s="825"/>
      <c r="H926" s="826"/>
      <c r="I926" s="827"/>
      <c r="J926" s="825"/>
      <c r="K926" s="825"/>
      <c r="L926" s="825"/>
    </row>
    <row r="927" ht="18.75" customHeight="1">
      <c r="A927" s="811"/>
      <c r="B927" s="812"/>
      <c r="C927" s="813"/>
      <c r="D927" s="814"/>
      <c r="E927" s="815"/>
      <c r="F927" s="815"/>
      <c r="G927" s="816"/>
      <c r="H927" s="817"/>
      <c r="I927" s="818"/>
      <c r="J927" s="816"/>
      <c r="K927" s="816"/>
      <c r="L927" s="816"/>
    </row>
    <row r="928" ht="18.75" customHeight="1">
      <c r="A928" s="822"/>
      <c r="B928" s="812"/>
      <c r="C928" s="823"/>
      <c r="D928" s="814"/>
      <c r="E928" s="824"/>
      <c r="F928" s="824"/>
      <c r="G928" s="825"/>
      <c r="H928" s="826"/>
      <c r="I928" s="827"/>
      <c r="J928" s="825"/>
      <c r="K928" s="825"/>
      <c r="L928" s="825"/>
    </row>
    <row r="929" ht="18.75" customHeight="1">
      <c r="A929" s="811"/>
      <c r="B929" s="812"/>
      <c r="C929" s="813"/>
      <c r="D929" s="814"/>
      <c r="E929" s="815"/>
      <c r="F929" s="815"/>
      <c r="G929" s="816"/>
      <c r="H929" s="817"/>
      <c r="I929" s="818"/>
      <c r="J929" s="816"/>
      <c r="K929" s="816"/>
      <c r="L929" s="816"/>
    </row>
    <row r="930" ht="18.75" customHeight="1">
      <c r="A930" s="822"/>
      <c r="B930" s="812"/>
      <c r="C930" s="823"/>
      <c r="D930" s="814"/>
      <c r="E930" s="824"/>
      <c r="F930" s="824"/>
      <c r="G930" s="825"/>
      <c r="H930" s="826"/>
      <c r="I930" s="827"/>
      <c r="J930" s="825"/>
      <c r="K930" s="825"/>
      <c r="L930" s="825"/>
    </row>
    <row r="931" ht="18.75" customHeight="1">
      <c r="A931" s="811"/>
      <c r="B931" s="812"/>
      <c r="C931" s="813"/>
      <c r="D931" s="814"/>
      <c r="E931" s="815"/>
      <c r="F931" s="815"/>
      <c r="G931" s="816"/>
      <c r="H931" s="817"/>
      <c r="I931" s="818"/>
      <c r="J931" s="816"/>
      <c r="K931" s="816"/>
      <c r="L931" s="816"/>
    </row>
    <row r="932" ht="18.75" customHeight="1">
      <c r="A932" s="822"/>
      <c r="B932" s="812"/>
      <c r="C932" s="823"/>
      <c r="D932" s="814"/>
      <c r="E932" s="824"/>
      <c r="F932" s="824"/>
      <c r="G932" s="825"/>
      <c r="H932" s="826"/>
      <c r="I932" s="827"/>
      <c r="J932" s="825"/>
      <c r="K932" s="825"/>
      <c r="L932" s="825"/>
    </row>
    <row r="933" ht="18.75" customHeight="1">
      <c r="A933" s="811"/>
      <c r="B933" s="812"/>
      <c r="C933" s="813"/>
      <c r="D933" s="814"/>
      <c r="E933" s="815"/>
      <c r="F933" s="815"/>
      <c r="G933" s="816"/>
      <c r="H933" s="817"/>
      <c r="I933" s="818"/>
      <c r="J933" s="816"/>
      <c r="K933" s="816"/>
      <c r="L933" s="816"/>
    </row>
    <row r="934" ht="18.75" customHeight="1">
      <c r="A934" s="822"/>
      <c r="B934" s="812"/>
      <c r="C934" s="823"/>
      <c r="D934" s="814"/>
      <c r="E934" s="824"/>
      <c r="F934" s="824"/>
      <c r="G934" s="825"/>
      <c r="H934" s="826"/>
      <c r="I934" s="827"/>
      <c r="J934" s="825"/>
      <c r="K934" s="825"/>
      <c r="L934" s="825"/>
    </row>
    <row r="935" ht="18.75" customHeight="1">
      <c r="A935" s="811"/>
      <c r="B935" s="812"/>
      <c r="C935" s="813"/>
      <c r="D935" s="814"/>
      <c r="E935" s="815"/>
      <c r="F935" s="815"/>
      <c r="G935" s="816"/>
      <c r="H935" s="817"/>
      <c r="I935" s="818"/>
      <c r="J935" s="816"/>
      <c r="K935" s="816"/>
      <c r="L935" s="816"/>
    </row>
    <row r="936" ht="18.75" customHeight="1">
      <c r="A936" s="822"/>
      <c r="B936" s="812"/>
      <c r="C936" s="823"/>
      <c r="D936" s="814"/>
      <c r="E936" s="824"/>
      <c r="F936" s="824"/>
      <c r="G936" s="825"/>
      <c r="H936" s="826"/>
      <c r="I936" s="827"/>
      <c r="J936" s="825"/>
      <c r="K936" s="825"/>
      <c r="L936" s="825"/>
    </row>
    <row r="937" ht="18.75" customHeight="1">
      <c r="A937" s="811"/>
      <c r="B937" s="812"/>
      <c r="C937" s="813"/>
      <c r="D937" s="814"/>
      <c r="E937" s="815"/>
      <c r="F937" s="815"/>
      <c r="G937" s="816"/>
      <c r="H937" s="817"/>
      <c r="I937" s="818"/>
      <c r="J937" s="816"/>
      <c r="K937" s="816"/>
      <c r="L937" s="816"/>
    </row>
    <row r="938" ht="18.75" customHeight="1">
      <c r="A938" s="822"/>
      <c r="B938" s="812"/>
      <c r="C938" s="823"/>
      <c r="D938" s="814"/>
      <c r="E938" s="824"/>
      <c r="F938" s="824"/>
      <c r="G938" s="825"/>
      <c r="H938" s="826"/>
      <c r="I938" s="827"/>
      <c r="J938" s="825"/>
      <c r="K938" s="825"/>
      <c r="L938" s="825"/>
    </row>
    <row r="939" ht="18.75" customHeight="1">
      <c r="A939" s="811"/>
      <c r="B939" s="812"/>
      <c r="C939" s="813"/>
      <c r="D939" s="814"/>
      <c r="E939" s="815"/>
      <c r="F939" s="815"/>
      <c r="G939" s="816"/>
      <c r="H939" s="817"/>
      <c r="I939" s="818"/>
      <c r="J939" s="816"/>
      <c r="K939" s="816"/>
      <c r="L939" s="816"/>
    </row>
    <row r="940" ht="18.75" customHeight="1">
      <c r="A940" s="822"/>
      <c r="B940" s="812"/>
      <c r="C940" s="823"/>
      <c r="D940" s="814"/>
      <c r="E940" s="824"/>
      <c r="F940" s="824"/>
      <c r="G940" s="825"/>
      <c r="H940" s="826"/>
      <c r="I940" s="827"/>
      <c r="J940" s="825"/>
      <c r="K940" s="825"/>
      <c r="L940" s="825"/>
    </row>
    <row r="941" ht="18.75" customHeight="1">
      <c r="A941" s="811"/>
      <c r="B941" s="812"/>
      <c r="C941" s="813"/>
      <c r="D941" s="814"/>
      <c r="E941" s="815"/>
      <c r="F941" s="815"/>
      <c r="G941" s="816"/>
      <c r="H941" s="817"/>
      <c r="I941" s="818"/>
      <c r="J941" s="816"/>
      <c r="K941" s="816"/>
      <c r="L941" s="816"/>
    </row>
    <row r="942" ht="18.75" customHeight="1">
      <c r="A942" s="822"/>
      <c r="B942" s="812"/>
      <c r="C942" s="823"/>
      <c r="D942" s="814"/>
      <c r="E942" s="824"/>
      <c r="F942" s="824"/>
      <c r="G942" s="825"/>
      <c r="H942" s="826"/>
      <c r="I942" s="827"/>
      <c r="J942" s="825"/>
      <c r="K942" s="825"/>
      <c r="L942" s="825"/>
    </row>
    <row r="943" ht="18.75" customHeight="1">
      <c r="A943" s="811"/>
      <c r="B943" s="812"/>
      <c r="C943" s="813"/>
      <c r="D943" s="814"/>
      <c r="E943" s="815"/>
      <c r="F943" s="815"/>
      <c r="G943" s="816"/>
      <c r="H943" s="817"/>
      <c r="I943" s="818"/>
      <c r="J943" s="816"/>
      <c r="K943" s="816"/>
      <c r="L943" s="816"/>
    </row>
    <row r="944" ht="18.75" customHeight="1">
      <c r="A944" s="822"/>
      <c r="B944" s="812"/>
      <c r="C944" s="823"/>
      <c r="D944" s="814"/>
      <c r="E944" s="824"/>
      <c r="F944" s="824"/>
      <c r="G944" s="825"/>
      <c r="H944" s="826"/>
      <c r="I944" s="827"/>
      <c r="J944" s="825"/>
      <c r="K944" s="825"/>
      <c r="L944" s="825"/>
    </row>
    <row r="945" ht="18.75" customHeight="1">
      <c r="A945" s="811"/>
      <c r="B945" s="812"/>
      <c r="C945" s="813"/>
      <c r="D945" s="814"/>
      <c r="E945" s="815"/>
      <c r="F945" s="815"/>
      <c r="G945" s="816"/>
      <c r="H945" s="817"/>
      <c r="I945" s="818"/>
      <c r="J945" s="816"/>
      <c r="K945" s="816"/>
      <c r="L945" s="816"/>
    </row>
    <row r="946" ht="18.75" customHeight="1">
      <c r="A946" s="822"/>
      <c r="B946" s="812"/>
      <c r="C946" s="823"/>
      <c r="D946" s="814"/>
      <c r="E946" s="824"/>
      <c r="F946" s="824"/>
      <c r="G946" s="825"/>
      <c r="H946" s="826"/>
      <c r="I946" s="827"/>
      <c r="J946" s="825"/>
      <c r="K946" s="825"/>
      <c r="L946" s="825"/>
    </row>
    <row r="947" ht="18.75" customHeight="1">
      <c r="A947" s="811"/>
      <c r="B947" s="812"/>
      <c r="C947" s="813"/>
      <c r="D947" s="814"/>
      <c r="E947" s="815"/>
      <c r="F947" s="815"/>
      <c r="G947" s="816"/>
      <c r="H947" s="817"/>
      <c r="I947" s="818"/>
      <c r="J947" s="816"/>
      <c r="K947" s="816"/>
      <c r="L947" s="816"/>
    </row>
    <row r="948" ht="18.75" customHeight="1">
      <c r="A948" s="822"/>
      <c r="B948" s="812"/>
      <c r="C948" s="823"/>
      <c r="D948" s="814"/>
      <c r="E948" s="824"/>
      <c r="F948" s="824"/>
      <c r="G948" s="825"/>
      <c r="H948" s="826"/>
      <c r="I948" s="827"/>
      <c r="J948" s="825"/>
      <c r="K948" s="825"/>
      <c r="L948" s="825"/>
    </row>
    <row r="949" ht="18.75" customHeight="1">
      <c r="A949" s="811"/>
      <c r="B949" s="812"/>
      <c r="C949" s="813"/>
      <c r="D949" s="814"/>
      <c r="E949" s="815"/>
      <c r="F949" s="815"/>
      <c r="G949" s="816"/>
      <c r="H949" s="817"/>
      <c r="I949" s="818"/>
      <c r="J949" s="816"/>
      <c r="K949" s="816"/>
      <c r="L949" s="816"/>
    </row>
    <row r="950" ht="18.75" customHeight="1">
      <c r="A950" s="822"/>
      <c r="B950" s="812"/>
      <c r="C950" s="823"/>
      <c r="D950" s="814"/>
      <c r="E950" s="824"/>
      <c r="F950" s="824"/>
      <c r="G950" s="825"/>
      <c r="H950" s="826"/>
      <c r="I950" s="827"/>
      <c r="J950" s="825"/>
      <c r="K950" s="825"/>
      <c r="L950" s="825"/>
    </row>
    <row r="951" ht="18.75" customHeight="1">
      <c r="A951" s="811"/>
      <c r="B951" s="812"/>
      <c r="C951" s="813"/>
      <c r="D951" s="814"/>
      <c r="E951" s="815"/>
      <c r="F951" s="815"/>
      <c r="G951" s="816"/>
      <c r="H951" s="817"/>
      <c r="I951" s="818"/>
      <c r="J951" s="816"/>
      <c r="K951" s="816"/>
      <c r="L951" s="816"/>
    </row>
    <row r="952" ht="18.75" customHeight="1">
      <c r="A952" s="822"/>
      <c r="B952" s="812"/>
      <c r="C952" s="823"/>
      <c r="D952" s="814"/>
      <c r="E952" s="824"/>
      <c r="F952" s="824"/>
      <c r="G952" s="825"/>
      <c r="H952" s="826"/>
      <c r="I952" s="827"/>
      <c r="J952" s="825"/>
      <c r="K952" s="825"/>
      <c r="L952" s="825"/>
    </row>
    <row r="953" ht="18.75" customHeight="1">
      <c r="A953" s="811"/>
      <c r="B953" s="812"/>
      <c r="C953" s="813"/>
      <c r="D953" s="814"/>
      <c r="E953" s="815"/>
      <c r="F953" s="815"/>
      <c r="G953" s="816"/>
      <c r="H953" s="817"/>
      <c r="I953" s="818"/>
      <c r="J953" s="816"/>
      <c r="K953" s="816"/>
      <c r="L953" s="816"/>
    </row>
    <row r="954" ht="18.75" customHeight="1">
      <c r="A954" s="822"/>
      <c r="B954" s="812"/>
      <c r="C954" s="823"/>
      <c r="D954" s="814"/>
      <c r="E954" s="824"/>
      <c r="F954" s="824"/>
      <c r="G954" s="825"/>
      <c r="H954" s="826"/>
      <c r="I954" s="827"/>
      <c r="J954" s="825"/>
      <c r="K954" s="825"/>
      <c r="L954" s="825"/>
    </row>
    <row r="955" ht="18.75" customHeight="1">
      <c r="A955" s="811"/>
      <c r="B955" s="812"/>
      <c r="C955" s="813"/>
      <c r="D955" s="814"/>
      <c r="E955" s="815"/>
      <c r="F955" s="815"/>
      <c r="G955" s="816"/>
      <c r="H955" s="817"/>
      <c r="I955" s="818"/>
      <c r="J955" s="816"/>
      <c r="K955" s="816"/>
      <c r="L955" s="816"/>
    </row>
    <row r="956" ht="18.75" customHeight="1">
      <c r="A956" s="822"/>
      <c r="B956" s="812"/>
      <c r="C956" s="823"/>
      <c r="D956" s="814"/>
      <c r="E956" s="824"/>
      <c r="F956" s="824"/>
      <c r="G956" s="825"/>
      <c r="H956" s="826"/>
      <c r="I956" s="827"/>
      <c r="J956" s="825"/>
      <c r="K956" s="825"/>
      <c r="L956" s="825"/>
    </row>
    <row r="957" ht="18.75" customHeight="1">
      <c r="A957" s="811"/>
      <c r="B957" s="812"/>
      <c r="C957" s="813"/>
      <c r="D957" s="814"/>
      <c r="E957" s="815"/>
      <c r="F957" s="815"/>
      <c r="G957" s="816"/>
      <c r="H957" s="817"/>
      <c r="I957" s="818"/>
      <c r="J957" s="816"/>
      <c r="K957" s="816"/>
      <c r="L957" s="816"/>
    </row>
    <row r="958" ht="18.75" customHeight="1">
      <c r="A958" s="822"/>
      <c r="B958" s="812"/>
      <c r="C958" s="823"/>
      <c r="D958" s="814"/>
      <c r="E958" s="824"/>
      <c r="F958" s="824"/>
      <c r="G958" s="825"/>
      <c r="H958" s="826"/>
      <c r="I958" s="827"/>
      <c r="J958" s="825"/>
      <c r="K958" s="825"/>
      <c r="L958" s="825"/>
    </row>
    <row r="959" ht="18.75" customHeight="1">
      <c r="A959" s="811"/>
      <c r="B959" s="812"/>
      <c r="C959" s="813"/>
      <c r="D959" s="814"/>
      <c r="E959" s="815"/>
      <c r="F959" s="815"/>
      <c r="G959" s="816"/>
      <c r="H959" s="817"/>
      <c r="I959" s="818"/>
      <c r="J959" s="816"/>
      <c r="K959" s="816"/>
      <c r="L959" s="816"/>
    </row>
    <row r="960" ht="18.75" customHeight="1">
      <c r="A960" s="822"/>
      <c r="B960" s="812"/>
      <c r="C960" s="823"/>
      <c r="D960" s="814"/>
      <c r="E960" s="824"/>
      <c r="F960" s="824"/>
      <c r="G960" s="825"/>
      <c r="H960" s="826"/>
      <c r="I960" s="827"/>
      <c r="J960" s="825"/>
      <c r="K960" s="825"/>
      <c r="L960" s="825"/>
    </row>
    <row r="961" ht="18.75" customHeight="1">
      <c r="A961" s="811"/>
      <c r="B961" s="812"/>
      <c r="C961" s="813"/>
      <c r="D961" s="814"/>
      <c r="E961" s="815"/>
      <c r="F961" s="815"/>
      <c r="G961" s="816"/>
      <c r="H961" s="817"/>
      <c r="I961" s="818"/>
      <c r="J961" s="816"/>
      <c r="K961" s="816"/>
      <c r="L961" s="816"/>
    </row>
    <row r="962" ht="18.75" customHeight="1">
      <c r="A962" s="822"/>
      <c r="B962" s="812"/>
      <c r="C962" s="823"/>
      <c r="D962" s="814"/>
      <c r="E962" s="824"/>
      <c r="F962" s="824"/>
      <c r="G962" s="825"/>
      <c r="H962" s="826"/>
      <c r="I962" s="827"/>
      <c r="J962" s="825"/>
      <c r="K962" s="825"/>
      <c r="L962" s="825"/>
    </row>
    <row r="963" ht="18.75" customHeight="1">
      <c r="A963" s="811"/>
      <c r="B963" s="812"/>
      <c r="C963" s="813"/>
      <c r="D963" s="814"/>
      <c r="E963" s="815"/>
      <c r="F963" s="815"/>
      <c r="G963" s="816"/>
      <c r="H963" s="817"/>
      <c r="I963" s="818"/>
      <c r="J963" s="816"/>
      <c r="K963" s="816"/>
      <c r="L963" s="816"/>
    </row>
    <row r="964" ht="18.75" customHeight="1">
      <c r="A964" s="822"/>
      <c r="B964" s="812"/>
      <c r="C964" s="823"/>
      <c r="D964" s="814"/>
      <c r="E964" s="824"/>
      <c r="F964" s="824"/>
      <c r="G964" s="825"/>
      <c r="H964" s="826"/>
      <c r="I964" s="827"/>
      <c r="J964" s="825"/>
      <c r="K964" s="825"/>
      <c r="L964" s="825"/>
    </row>
    <row r="965" ht="18.75" customHeight="1">
      <c r="A965" s="811"/>
      <c r="B965" s="812"/>
      <c r="C965" s="813"/>
      <c r="D965" s="814"/>
      <c r="E965" s="815"/>
      <c r="F965" s="815"/>
      <c r="G965" s="816"/>
      <c r="H965" s="817"/>
      <c r="I965" s="818"/>
      <c r="J965" s="816"/>
      <c r="K965" s="816"/>
      <c r="L965" s="816"/>
    </row>
    <row r="966" ht="18.75" customHeight="1">
      <c r="A966" s="822"/>
      <c r="B966" s="812"/>
      <c r="C966" s="823"/>
      <c r="D966" s="814"/>
      <c r="E966" s="824"/>
      <c r="F966" s="824"/>
      <c r="G966" s="825"/>
      <c r="H966" s="826"/>
      <c r="I966" s="827"/>
      <c r="J966" s="825"/>
      <c r="K966" s="825"/>
      <c r="L966" s="825"/>
    </row>
    <row r="967" ht="18.75" customHeight="1">
      <c r="A967" s="811"/>
      <c r="B967" s="812"/>
      <c r="C967" s="813"/>
      <c r="D967" s="814"/>
      <c r="E967" s="815"/>
      <c r="F967" s="815"/>
      <c r="G967" s="816"/>
      <c r="H967" s="817"/>
      <c r="I967" s="818"/>
      <c r="J967" s="816"/>
      <c r="K967" s="816"/>
      <c r="L967" s="816"/>
    </row>
    <row r="968" ht="18.75" customHeight="1">
      <c r="A968" s="822"/>
      <c r="B968" s="812"/>
      <c r="C968" s="823"/>
      <c r="D968" s="814"/>
      <c r="E968" s="824"/>
      <c r="F968" s="824"/>
      <c r="G968" s="825"/>
      <c r="H968" s="826"/>
      <c r="I968" s="827"/>
      <c r="J968" s="825"/>
      <c r="K968" s="825"/>
      <c r="L968" s="825"/>
    </row>
    <row r="969" ht="18.75" customHeight="1">
      <c r="A969" s="811"/>
      <c r="B969" s="812"/>
      <c r="C969" s="813"/>
      <c r="D969" s="814"/>
      <c r="E969" s="815"/>
      <c r="F969" s="815"/>
      <c r="G969" s="816"/>
      <c r="H969" s="817"/>
      <c r="I969" s="818"/>
      <c r="J969" s="816"/>
      <c r="K969" s="816"/>
      <c r="L969" s="816"/>
    </row>
    <row r="970" ht="18.75" customHeight="1">
      <c r="A970" s="822"/>
      <c r="B970" s="812"/>
      <c r="C970" s="823"/>
      <c r="D970" s="814"/>
      <c r="E970" s="824"/>
      <c r="F970" s="824"/>
      <c r="G970" s="825"/>
      <c r="H970" s="826"/>
      <c r="I970" s="827"/>
      <c r="J970" s="825"/>
      <c r="K970" s="825"/>
      <c r="L970" s="825"/>
    </row>
    <row r="971" ht="18.75" customHeight="1">
      <c r="A971" s="811"/>
      <c r="B971" s="812"/>
      <c r="C971" s="813"/>
      <c r="D971" s="814"/>
      <c r="E971" s="815"/>
      <c r="F971" s="815"/>
      <c r="G971" s="816"/>
      <c r="H971" s="817"/>
      <c r="I971" s="818"/>
      <c r="J971" s="816"/>
      <c r="K971" s="816"/>
      <c r="L971" s="816"/>
    </row>
    <row r="972" ht="18.75" customHeight="1">
      <c r="A972" s="822"/>
      <c r="B972" s="812"/>
      <c r="C972" s="823"/>
      <c r="D972" s="814"/>
      <c r="E972" s="824"/>
      <c r="F972" s="824"/>
      <c r="G972" s="825"/>
      <c r="H972" s="826"/>
      <c r="I972" s="827"/>
      <c r="J972" s="825"/>
      <c r="K972" s="825"/>
      <c r="L972" s="825"/>
    </row>
    <row r="973" ht="18.75" customHeight="1">
      <c r="A973" s="811"/>
      <c r="B973" s="812"/>
      <c r="C973" s="813"/>
      <c r="D973" s="814"/>
      <c r="E973" s="815"/>
      <c r="F973" s="815"/>
      <c r="G973" s="816"/>
      <c r="H973" s="817"/>
      <c r="I973" s="818"/>
      <c r="J973" s="816"/>
      <c r="K973" s="816"/>
      <c r="L973" s="816"/>
    </row>
    <row r="974" ht="18.75" customHeight="1">
      <c r="A974" s="822"/>
      <c r="B974" s="812"/>
      <c r="C974" s="823"/>
      <c r="D974" s="814"/>
      <c r="E974" s="824"/>
      <c r="F974" s="824"/>
      <c r="G974" s="825"/>
      <c r="H974" s="826"/>
      <c r="I974" s="827"/>
      <c r="J974" s="825"/>
      <c r="K974" s="825"/>
      <c r="L974" s="825"/>
    </row>
    <row r="975" ht="18.75" customHeight="1">
      <c r="A975" s="811"/>
      <c r="B975" s="812"/>
      <c r="C975" s="813"/>
      <c r="D975" s="814"/>
      <c r="E975" s="815"/>
      <c r="F975" s="815"/>
      <c r="G975" s="816"/>
      <c r="H975" s="817"/>
      <c r="I975" s="818"/>
      <c r="J975" s="816"/>
      <c r="K975" s="816"/>
      <c r="L975" s="816"/>
    </row>
    <row r="976" ht="18.75" customHeight="1">
      <c r="A976" s="822"/>
      <c r="B976" s="812"/>
      <c r="C976" s="823"/>
      <c r="D976" s="814"/>
      <c r="E976" s="824"/>
      <c r="F976" s="824"/>
      <c r="G976" s="825"/>
      <c r="H976" s="826"/>
      <c r="I976" s="827"/>
      <c r="J976" s="825"/>
      <c r="K976" s="825"/>
      <c r="L976" s="825"/>
    </row>
    <row r="977" ht="18.75" customHeight="1">
      <c r="A977" s="811"/>
      <c r="B977" s="812"/>
      <c r="C977" s="813"/>
      <c r="D977" s="814"/>
      <c r="E977" s="815"/>
      <c r="F977" s="815"/>
      <c r="G977" s="816"/>
      <c r="H977" s="817"/>
      <c r="I977" s="818"/>
      <c r="J977" s="816"/>
      <c r="K977" s="816"/>
      <c r="L977" s="816"/>
    </row>
    <row r="978" ht="18.75" customHeight="1">
      <c r="A978" s="822"/>
      <c r="B978" s="812"/>
      <c r="C978" s="823"/>
      <c r="D978" s="814"/>
      <c r="E978" s="824"/>
      <c r="F978" s="824"/>
      <c r="G978" s="825"/>
      <c r="H978" s="826"/>
      <c r="I978" s="827"/>
      <c r="J978" s="825"/>
      <c r="K978" s="825"/>
      <c r="L978" s="825"/>
    </row>
    <row r="979" ht="18.75" customHeight="1">
      <c r="A979" s="811"/>
      <c r="B979" s="812"/>
      <c r="C979" s="813"/>
      <c r="D979" s="814"/>
      <c r="E979" s="815"/>
      <c r="F979" s="815"/>
      <c r="G979" s="816"/>
      <c r="H979" s="817"/>
      <c r="I979" s="818"/>
      <c r="J979" s="816"/>
      <c r="K979" s="816"/>
      <c r="L979" s="816"/>
    </row>
    <row r="980" ht="18.75" customHeight="1">
      <c r="A980" s="822"/>
      <c r="B980" s="812"/>
      <c r="C980" s="823"/>
      <c r="D980" s="814"/>
      <c r="E980" s="824"/>
      <c r="F980" s="824"/>
      <c r="G980" s="825"/>
      <c r="H980" s="826"/>
      <c r="I980" s="827"/>
      <c r="J980" s="825"/>
      <c r="K980" s="825"/>
      <c r="L980" s="825"/>
    </row>
    <row r="981" ht="18.75" customHeight="1">
      <c r="A981" s="811"/>
      <c r="B981" s="812"/>
      <c r="C981" s="813"/>
      <c r="D981" s="814"/>
      <c r="E981" s="815"/>
      <c r="F981" s="815"/>
      <c r="G981" s="816"/>
      <c r="H981" s="817"/>
      <c r="I981" s="818"/>
      <c r="J981" s="816"/>
      <c r="K981" s="816"/>
      <c r="L981" s="816"/>
    </row>
    <row r="982" ht="18.75" customHeight="1">
      <c r="A982" s="822"/>
      <c r="B982" s="812"/>
      <c r="C982" s="823"/>
      <c r="D982" s="814"/>
      <c r="E982" s="824"/>
      <c r="F982" s="824"/>
      <c r="G982" s="825"/>
      <c r="H982" s="826"/>
      <c r="I982" s="827"/>
      <c r="J982" s="825"/>
      <c r="K982" s="825"/>
      <c r="L982" s="825"/>
    </row>
    <row r="983" ht="18.75" customHeight="1">
      <c r="A983" s="811"/>
      <c r="B983" s="812"/>
      <c r="C983" s="813"/>
      <c r="D983" s="814"/>
      <c r="E983" s="815"/>
      <c r="F983" s="815"/>
      <c r="G983" s="816"/>
      <c r="H983" s="817"/>
      <c r="I983" s="818"/>
      <c r="J983" s="816"/>
      <c r="K983" s="816"/>
      <c r="L983" s="816"/>
    </row>
    <row r="984" ht="18.75" customHeight="1">
      <c r="A984" s="822"/>
      <c r="B984" s="812"/>
      <c r="C984" s="823"/>
      <c r="D984" s="814"/>
      <c r="E984" s="824"/>
      <c r="F984" s="824"/>
      <c r="G984" s="825"/>
      <c r="H984" s="826"/>
      <c r="I984" s="827"/>
      <c r="J984" s="825"/>
      <c r="K984" s="825"/>
      <c r="L984" s="825"/>
    </row>
    <row r="985" ht="18.75" customHeight="1">
      <c r="A985" s="811"/>
      <c r="B985" s="812"/>
      <c r="C985" s="813"/>
      <c r="D985" s="814"/>
      <c r="E985" s="815"/>
      <c r="F985" s="815"/>
      <c r="G985" s="816"/>
      <c r="H985" s="817"/>
      <c r="I985" s="818"/>
      <c r="J985" s="816"/>
      <c r="K985" s="816"/>
      <c r="L985" s="816"/>
    </row>
    <row r="986" ht="18.75" customHeight="1">
      <c r="A986" s="822"/>
      <c r="B986" s="812"/>
      <c r="C986" s="823"/>
      <c r="D986" s="814"/>
      <c r="E986" s="824"/>
      <c r="F986" s="824"/>
      <c r="G986" s="825"/>
      <c r="H986" s="826"/>
      <c r="I986" s="827"/>
      <c r="J986" s="825"/>
      <c r="K986" s="825"/>
      <c r="L986" s="825"/>
    </row>
    <row r="987" ht="18.75" customHeight="1">
      <c r="A987" s="811"/>
      <c r="B987" s="812"/>
      <c r="C987" s="813"/>
      <c r="D987" s="814"/>
      <c r="E987" s="815"/>
      <c r="F987" s="815"/>
      <c r="G987" s="816"/>
      <c r="H987" s="817"/>
      <c r="I987" s="818"/>
      <c r="J987" s="816"/>
      <c r="K987" s="816"/>
      <c r="L987" s="816"/>
    </row>
    <row r="988" ht="18.75" customHeight="1">
      <c r="A988" s="822"/>
      <c r="B988" s="812"/>
      <c r="C988" s="823"/>
      <c r="D988" s="814"/>
      <c r="E988" s="824"/>
      <c r="F988" s="824"/>
      <c r="G988" s="825"/>
      <c r="H988" s="826"/>
      <c r="I988" s="827"/>
      <c r="J988" s="825"/>
      <c r="K988" s="825"/>
      <c r="L988" s="825"/>
    </row>
    <row r="989" ht="18.75" customHeight="1">
      <c r="A989" s="811"/>
      <c r="B989" s="812"/>
      <c r="C989" s="813"/>
      <c r="D989" s="814"/>
      <c r="E989" s="815"/>
      <c r="F989" s="815"/>
      <c r="G989" s="816"/>
      <c r="H989" s="817"/>
      <c r="I989" s="818"/>
      <c r="J989" s="816"/>
      <c r="K989" s="816"/>
      <c r="L989" s="816"/>
    </row>
    <row r="990" ht="18.75" customHeight="1">
      <c r="A990" s="822"/>
      <c r="B990" s="812"/>
      <c r="C990" s="823"/>
      <c r="D990" s="814"/>
      <c r="E990" s="824"/>
      <c r="F990" s="824"/>
      <c r="G990" s="825"/>
      <c r="H990" s="826"/>
      <c r="I990" s="827"/>
      <c r="J990" s="825"/>
      <c r="K990" s="825"/>
      <c r="L990" s="825"/>
    </row>
    <row r="991" ht="18.75" customHeight="1">
      <c r="A991" s="811"/>
      <c r="B991" s="812"/>
      <c r="C991" s="813"/>
      <c r="D991" s="814"/>
      <c r="E991" s="815"/>
      <c r="F991" s="815"/>
      <c r="G991" s="816"/>
      <c r="H991" s="817"/>
      <c r="I991" s="818"/>
      <c r="J991" s="816"/>
      <c r="K991" s="816"/>
      <c r="L991" s="816"/>
    </row>
    <row r="992" ht="18.75" customHeight="1">
      <c r="A992" s="822"/>
      <c r="B992" s="812"/>
      <c r="C992" s="823"/>
      <c r="D992" s="814"/>
      <c r="E992" s="824"/>
      <c r="F992" s="824"/>
      <c r="G992" s="825"/>
      <c r="H992" s="826"/>
      <c r="I992" s="827"/>
      <c r="J992" s="825"/>
      <c r="K992" s="825"/>
      <c r="L992" s="825"/>
    </row>
    <row r="993" ht="18.75" customHeight="1">
      <c r="A993" s="811"/>
      <c r="B993" s="812"/>
      <c r="C993" s="813"/>
      <c r="D993" s="814"/>
      <c r="E993" s="815"/>
      <c r="F993" s="815"/>
      <c r="G993" s="816"/>
      <c r="H993" s="817"/>
      <c r="I993" s="818"/>
      <c r="J993" s="816"/>
      <c r="K993" s="816"/>
      <c r="L993" s="816"/>
    </row>
    <row r="994" ht="18.75" customHeight="1">
      <c r="A994" s="822"/>
      <c r="B994" s="812"/>
      <c r="C994" s="823"/>
      <c r="D994" s="814"/>
      <c r="E994" s="824"/>
      <c r="F994" s="824"/>
      <c r="G994" s="825"/>
      <c r="H994" s="826"/>
      <c r="I994" s="827"/>
      <c r="J994" s="825"/>
      <c r="K994" s="825"/>
      <c r="L994" s="825"/>
    </row>
    <row r="995" ht="18.75" customHeight="1">
      <c r="A995" s="811"/>
      <c r="B995" s="812"/>
      <c r="C995" s="813"/>
      <c r="D995" s="814"/>
      <c r="E995" s="815"/>
      <c r="F995" s="815"/>
      <c r="G995" s="816"/>
      <c r="H995" s="817"/>
      <c r="I995" s="818"/>
      <c r="J995" s="816"/>
      <c r="K995" s="816"/>
      <c r="L995" s="816"/>
    </row>
    <row r="996" ht="18.75" customHeight="1">
      <c r="A996" s="822"/>
      <c r="B996" s="812"/>
      <c r="C996" s="823"/>
      <c r="D996" s="814"/>
      <c r="E996" s="824"/>
      <c r="F996" s="824"/>
      <c r="G996" s="825"/>
      <c r="H996" s="826"/>
      <c r="I996" s="827"/>
      <c r="J996" s="825"/>
      <c r="K996" s="825"/>
      <c r="L996" s="825"/>
    </row>
    <row r="997" ht="18.75" customHeight="1">
      <c r="A997" s="811"/>
      <c r="B997" s="812"/>
      <c r="C997" s="813"/>
      <c r="D997" s="814"/>
      <c r="E997" s="815"/>
      <c r="F997" s="815"/>
      <c r="G997" s="816"/>
      <c r="H997" s="817"/>
      <c r="I997" s="818"/>
      <c r="J997" s="816"/>
      <c r="K997" s="816"/>
      <c r="L997" s="816"/>
    </row>
    <row r="998" ht="18.75" customHeight="1">
      <c r="A998" s="822"/>
      <c r="B998" s="812"/>
      <c r="C998" s="823"/>
      <c r="D998" s="814"/>
      <c r="E998" s="824"/>
      <c r="F998" s="824"/>
      <c r="G998" s="825"/>
      <c r="H998" s="826"/>
      <c r="I998" s="827"/>
      <c r="J998" s="825"/>
      <c r="K998" s="825"/>
      <c r="L998" s="825"/>
    </row>
    <row r="999" ht="18.75" customHeight="1">
      <c r="A999" s="811"/>
      <c r="B999" s="812"/>
      <c r="C999" s="813"/>
      <c r="D999" s="814"/>
      <c r="E999" s="815"/>
      <c r="F999" s="815"/>
      <c r="G999" s="816"/>
      <c r="H999" s="817"/>
      <c r="I999" s="818"/>
      <c r="J999" s="816"/>
      <c r="K999" s="816"/>
      <c r="L999" s="816"/>
    </row>
    <row r="1000" ht="18.75" customHeight="1">
      <c r="A1000" s="822"/>
      <c r="B1000" s="812"/>
      <c r="C1000" s="823"/>
      <c r="D1000" s="814"/>
      <c r="E1000" s="824"/>
      <c r="F1000" s="824"/>
      <c r="G1000" s="825"/>
      <c r="H1000" s="826"/>
      <c r="I1000" s="827"/>
      <c r="J1000" s="825"/>
      <c r="K1000" s="825"/>
      <c r="L1000" s="825"/>
    </row>
    <row r="1001" ht="18.75" customHeight="1">
      <c r="A1001" s="811"/>
      <c r="B1001" s="812"/>
      <c r="C1001" s="813"/>
      <c r="D1001" s="814"/>
      <c r="E1001" s="815"/>
      <c r="F1001" s="815"/>
      <c r="G1001" s="816"/>
      <c r="H1001" s="817"/>
      <c r="I1001" s="818"/>
      <c r="J1001" s="816"/>
      <c r="K1001" s="816"/>
      <c r="L1001" s="816"/>
    </row>
    <row r="1002" ht="18.75" customHeight="1">
      <c r="A1002" s="822"/>
      <c r="B1002" s="812"/>
      <c r="C1002" s="823"/>
      <c r="D1002" s="814"/>
      <c r="E1002" s="824"/>
      <c r="F1002" s="824"/>
      <c r="G1002" s="825"/>
      <c r="H1002" s="826"/>
      <c r="I1002" s="827"/>
      <c r="J1002" s="825"/>
      <c r="K1002" s="825"/>
      <c r="L1002" s="825"/>
    </row>
    <row r="1003" ht="18.75" customHeight="1">
      <c r="A1003" s="811"/>
      <c r="B1003" s="812"/>
      <c r="C1003" s="813"/>
      <c r="D1003" s="814"/>
      <c r="E1003" s="815"/>
      <c r="F1003" s="815"/>
      <c r="G1003" s="816"/>
      <c r="H1003" s="817"/>
      <c r="I1003" s="818"/>
      <c r="J1003" s="816"/>
      <c r="K1003" s="816"/>
      <c r="L1003" s="816"/>
    </row>
    <row r="1004" ht="18.75" customHeight="1">
      <c r="A1004" s="822"/>
      <c r="B1004" s="812"/>
      <c r="C1004" s="823"/>
      <c r="D1004" s="814"/>
      <c r="E1004" s="824"/>
      <c r="F1004" s="824"/>
      <c r="G1004" s="825"/>
      <c r="H1004" s="826"/>
      <c r="I1004" s="827"/>
      <c r="J1004" s="825"/>
      <c r="K1004" s="825"/>
      <c r="L1004" s="825"/>
    </row>
    <row r="1005" ht="18.75" customHeight="1">
      <c r="A1005" s="811"/>
      <c r="B1005" s="812"/>
      <c r="C1005" s="813"/>
      <c r="D1005" s="814"/>
      <c r="E1005" s="815"/>
      <c r="F1005" s="815"/>
      <c r="G1005" s="816"/>
      <c r="H1005" s="817"/>
      <c r="I1005" s="818"/>
      <c r="J1005" s="816"/>
      <c r="K1005" s="816"/>
      <c r="L1005" s="816"/>
    </row>
    <row r="1006" ht="18.75" customHeight="1">
      <c r="A1006" s="822"/>
      <c r="B1006" s="812"/>
      <c r="C1006" s="823"/>
      <c r="D1006" s="814"/>
      <c r="E1006" s="824"/>
      <c r="F1006" s="824"/>
      <c r="G1006" s="825"/>
      <c r="H1006" s="826"/>
      <c r="I1006" s="827"/>
      <c r="J1006" s="825"/>
      <c r="K1006" s="825"/>
      <c r="L1006" s="825"/>
    </row>
    <row r="1007" ht="18.75" customHeight="1">
      <c r="A1007" s="811"/>
      <c r="B1007" s="812"/>
      <c r="C1007" s="813"/>
      <c r="D1007" s="814"/>
      <c r="E1007" s="815"/>
      <c r="F1007" s="815"/>
      <c r="G1007" s="816"/>
      <c r="H1007" s="817"/>
      <c r="I1007" s="818"/>
      <c r="J1007" s="816"/>
      <c r="K1007" s="816"/>
      <c r="L1007" s="816"/>
    </row>
    <row r="1008" ht="18.75" customHeight="1">
      <c r="A1008" s="822"/>
      <c r="B1008" s="812"/>
      <c r="C1008" s="823"/>
      <c r="D1008" s="814"/>
      <c r="E1008" s="824"/>
      <c r="F1008" s="824"/>
      <c r="G1008" s="825"/>
      <c r="H1008" s="826"/>
      <c r="I1008" s="827"/>
      <c r="J1008" s="825"/>
      <c r="K1008" s="825"/>
      <c r="L1008" s="825"/>
    </row>
    <row r="1009" ht="18.75" customHeight="1">
      <c r="A1009" s="811"/>
      <c r="B1009" s="812"/>
      <c r="C1009" s="813"/>
      <c r="D1009" s="814"/>
      <c r="E1009" s="815"/>
      <c r="F1009" s="815"/>
      <c r="G1009" s="816"/>
      <c r="H1009" s="817"/>
      <c r="I1009" s="818"/>
      <c r="J1009" s="816"/>
      <c r="K1009" s="816"/>
      <c r="L1009" s="816"/>
    </row>
    <row r="1010" ht="18.75" customHeight="1">
      <c r="A1010" s="822"/>
      <c r="B1010" s="812"/>
      <c r="C1010" s="823"/>
      <c r="D1010" s="814"/>
      <c r="E1010" s="824"/>
      <c r="F1010" s="824"/>
      <c r="G1010" s="825"/>
      <c r="H1010" s="826"/>
      <c r="I1010" s="827"/>
      <c r="J1010" s="825"/>
      <c r="K1010" s="825"/>
      <c r="L1010" s="825"/>
    </row>
    <row r="1011" ht="18.75" customHeight="1">
      <c r="A1011" s="811"/>
      <c r="B1011" s="812"/>
      <c r="C1011" s="813"/>
      <c r="D1011" s="814"/>
      <c r="E1011" s="815"/>
      <c r="F1011" s="815"/>
      <c r="G1011" s="816"/>
      <c r="H1011" s="817"/>
      <c r="I1011" s="818"/>
      <c r="J1011" s="816"/>
      <c r="K1011" s="816"/>
      <c r="L1011" s="816"/>
    </row>
    <row r="1012" ht="18.75" customHeight="1">
      <c r="A1012" s="822"/>
      <c r="B1012" s="812"/>
      <c r="C1012" s="823"/>
      <c r="D1012" s="814"/>
      <c r="E1012" s="824"/>
      <c r="F1012" s="824"/>
      <c r="G1012" s="825"/>
      <c r="H1012" s="826"/>
      <c r="I1012" s="827"/>
      <c r="J1012" s="825"/>
      <c r="K1012" s="825"/>
      <c r="L1012" s="825"/>
    </row>
    <row r="1013" ht="18.75" customHeight="1">
      <c r="A1013" s="811"/>
      <c r="B1013" s="812"/>
      <c r="C1013" s="813"/>
      <c r="D1013" s="814"/>
      <c r="E1013" s="815"/>
      <c r="F1013" s="815"/>
      <c r="G1013" s="816"/>
      <c r="H1013" s="817"/>
      <c r="I1013" s="818"/>
      <c r="J1013" s="816"/>
      <c r="K1013" s="816"/>
      <c r="L1013" s="816"/>
    </row>
    <row r="1014" ht="18.75" customHeight="1">
      <c r="A1014" s="822"/>
      <c r="B1014" s="812"/>
      <c r="C1014" s="823"/>
      <c r="D1014" s="814"/>
      <c r="E1014" s="824"/>
      <c r="F1014" s="824"/>
      <c r="G1014" s="825"/>
      <c r="H1014" s="826"/>
      <c r="I1014" s="827"/>
      <c r="J1014" s="825"/>
      <c r="K1014" s="825"/>
      <c r="L1014" s="825"/>
    </row>
    <row r="1015" ht="18.75" customHeight="1">
      <c r="A1015" s="811"/>
      <c r="B1015" s="812"/>
      <c r="C1015" s="813"/>
      <c r="D1015" s="814"/>
      <c r="E1015" s="815"/>
      <c r="F1015" s="815"/>
      <c r="G1015" s="816"/>
      <c r="H1015" s="817"/>
      <c r="I1015" s="818"/>
      <c r="J1015" s="816"/>
      <c r="K1015" s="816"/>
      <c r="L1015" s="816"/>
    </row>
    <row r="1016" ht="18.75" customHeight="1">
      <c r="A1016" s="822"/>
      <c r="B1016" s="812"/>
      <c r="C1016" s="823"/>
      <c r="D1016" s="814"/>
      <c r="E1016" s="824"/>
      <c r="F1016" s="824"/>
      <c r="G1016" s="825"/>
      <c r="H1016" s="826"/>
      <c r="I1016" s="827"/>
      <c r="J1016" s="825"/>
      <c r="K1016" s="825"/>
      <c r="L1016" s="825"/>
    </row>
    <row r="1017" ht="18.75" customHeight="1">
      <c r="A1017" s="811"/>
      <c r="B1017" s="812"/>
      <c r="C1017" s="813"/>
      <c r="D1017" s="814"/>
      <c r="E1017" s="815"/>
      <c r="F1017" s="815"/>
      <c r="G1017" s="816"/>
      <c r="H1017" s="817"/>
      <c r="I1017" s="818"/>
      <c r="J1017" s="816"/>
      <c r="K1017" s="816"/>
      <c r="L1017" s="816"/>
    </row>
    <row r="1018" ht="18.75" customHeight="1">
      <c r="A1018" s="822"/>
      <c r="B1018" s="812"/>
      <c r="C1018" s="823"/>
      <c r="D1018" s="814"/>
      <c r="E1018" s="824"/>
      <c r="F1018" s="824"/>
      <c r="G1018" s="825"/>
      <c r="H1018" s="826"/>
      <c r="I1018" s="827"/>
      <c r="J1018" s="825"/>
      <c r="K1018" s="825"/>
      <c r="L1018" s="825"/>
    </row>
    <row r="1019" ht="18.75" customHeight="1">
      <c r="A1019" s="811"/>
      <c r="B1019" s="812"/>
      <c r="C1019" s="813"/>
      <c r="D1019" s="814"/>
      <c r="E1019" s="815"/>
      <c r="F1019" s="815"/>
      <c r="G1019" s="816"/>
      <c r="H1019" s="817"/>
      <c r="I1019" s="818"/>
      <c r="J1019" s="816"/>
      <c r="K1019" s="816"/>
      <c r="L1019" s="816"/>
    </row>
    <row r="1020" ht="18.75" customHeight="1">
      <c r="A1020" s="822"/>
      <c r="B1020" s="812"/>
      <c r="C1020" s="823"/>
      <c r="D1020" s="814"/>
      <c r="E1020" s="824"/>
      <c r="F1020" s="824"/>
      <c r="G1020" s="825"/>
      <c r="H1020" s="826"/>
      <c r="I1020" s="827"/>
      <c r="J1020" s="825"/>
      <c r="K1020" s="825"/>
      <c r="L1020" s="825"/>
    </row>
    <row r="1021" ht="18.75" customHeight="1">
      <c r="A1021" s="811"/>
      <c r="B1021" s="812"/>
      <c r="C1021" s="813"/>
      <c r="D1021" s="814"/>
      <c r="E1021" s="815"/>
      <c r="F1021" s="815"/>
      <c r="G1021" s="816"/>
      <c r="H1021" s="817"/>
      <c r="I1021" s="818"/>
      <c r="J1021" s="816"/>
      <c r="K1021" s="816"/>
      <c r="L1021" s="816"/>
    </row>
    <row r="1022" ht="18.75" customHeight="1">
      <c r="A1022" s="822"/>
      <c r="B1022" s="812"/>
      <c r="C1022" s="823"/>
      <c r="D1022" s="814"/>
      <c r="E1022" s="824"/>
      <c r="F1022" s="824"/>
      <c r="G1022" s="825"/>
      <c r="H1022" s="826"/>
      <c r="I1022" s="827"/>
      <c r="J1022" s="825"/>
      <c r="K1022" s="825"/>
      <c r="L1022" s="825"/>
    </row>
    <row r="1023" ht="18.75" customHeight="1">
      <c r="A1023" s="811"/>
      <c r="B1023" s="812"/>
      <c r="C1023" s="813"/>
      <c r="D1023" s="814"/>
      <c r="E1023" s="815"/>
      <c r="F1023" s="815"/>
      <c r="G1023" s="816"/>
      <c r="H1023" s="817"/>
      <c r="I1023" s="818"/>
      <c r="J1023" s="816"/>
      <c r="K1023" s="816"/>
      <c r="L1023" s="816"/>
    </row>
    <row r="1024" ht="18.75" customHeight="1">
      <c r="A1024" s="822"/>
      <c r="B1024" s="812"/>
      <c r="C1024" s="823"/>
      <c r="D1024" s="814"/>
      <c r="E1024" s="824"/>
      <c r="F1024" s="824"/>
      <c r="G1024" s="825"/>
      <c r="H1024" s="826"/>
      <c r="I1024" s="827"/>
      <c r="J1024" s="825"/>
      <c r="K1024" s="825"/>
      <c r="L1024" s="825"/>
    </row>
    <row r="1025" ht="18.75" customHeight="1">
      <c r="A1025" s="811"/>
      <c r="B1025" s="812"/>
      <c r="C1025" s="813"/>
      <c r="D1025" s="814"/>
      <c r="E1025" s="815"/>
      <c r="F1025" s="815"/>
      <c r="G1025" s="816"/>
      <c r="H1025" s="817"/>
      <c r="I1025" s="818"/>
      <c r="J1025" s="816"/>
      <c r="K1025" s="816"/>
      <c r="L1025" s="816"/>
    </row>
    <row r="1026" ht="18.75" customHeight="1">
      <c r="A1026" s="822"/>
      <c r="B1026" s="812"/>
      <c r="C1026" s="823"/>
      <c r="D1026" s="814"/>
      <c r="E1026" s="824"/>
      <c r="F1026" s="824"/>
      <c r="G1026" s="825"/>
      <c r="H1026" s="826"/>
      <c r="I1026" s="827"/>
      <c r="J1026" s="825"/>
      <c r="K1026" s="825"/>
      <c r="L1026" s="825"/>
    </row>
    <row r="1027" ht="18.75" customHeight="1">
      <c r="A1027" s="811"/>
      <c r="B1027" s="812"/>
      <c r="C1027" s="813"/>
      <c r="D1027" s="814"/>
      <c r="E1027" s="815"/>
      <c r="F1027" s="815"/>
      <c r="G1027" s="816"/>
      <c r="H1027" s="817"/>
      <c r="I1027" s="818"/>
      <c r="J1027" s="816"/>
      <c r="K1027" s="816"/>
      <c r="L1027" s="816"/>
    </row>
    <row r="1028" ht="18.75" customHeight="1">
      <c r="A1028" s="822"/>
      <c r="B1028" s="812"/>
      <c r="C1028" s="823"/>
      <c r="D1028" s="814"/>
      <c r="E1028" s="824"/>
      <c r="F1028" s="824"/>
      <c r="G1028" s="825"/>
      <c r="H1028" s="826"/>
      <c r="I1028" s="827"/>
      <c r="J1028" s="825"/>
      <c r="K1028" s="825"/>
      <c r="L1028" s="825"/>
    </row>
    <row r="1029" ht="18.75" customHeight="1">
      <c r="A1029" s="811"/>
      <c r="B1029" s="812"/>
      <c r="C1029" s="813"/>
      <c r="D1029" s="814"/>
      <c r="E1029" s="815"/>
      <c r="F1029" s="815"/>
      <c r="G1029" s="816"/>
      <c r="H1029" s="817"/>
      <c r="I1029" s="818"/>
      <c r="J1029" s="816"/>
      <c r="K1029" s="816"/>
      <c r="L1029" s="816"/>
    </row>
    <row r="1030" ht="18.75" customHeight="1">
      <c r="A1030" s="822"/>
      <c r="B1030" s="812"/>
      <c r="C1030" s="823"/>
      <c r="D1030" s="814"/>
      <c r="E1030" s="824"/>
      <c r="F1030" s="824"/>
      <c r="G1030" s="825"/>
      <c r="H1030" s="826"/>
      <c r="I1030" s="827"/>
      <c r="J1030" s="825"/>
      <c r="K1030" s="825"/>
      <c r="L1030" s="825"/>
    </row>
    <row r="1031" ht="18.75" customHeight="1">
      <c r="A1031" s="811"/>
      <c r="B1031" s="812"/>
      <c r="C1031" s="813"/>
      <c r="D1031" s="814"/>
      <c r="E1031" s="815"/>
      <c r="F1031" s="815"/>
      <c r="G1031" s="816"/>
      <c r="H1031" s="817"/>
      <c r="I1031" s="818"/>
      <c r="J1031" s="816"/>
      <c r="K1031" s="816"/>
      <c r="L1031" s="816"/>
    </row>
    <row r="1032" ht="18.75" customHeight="1">
      <c r="A1032" s="822"/>
      <c r="B1032" s="812"/>
      <c r="C1032" s="823"/>
      <c r="D1032" s="814"/>
      <c r="E1032" s="824"/>
      <c r="F1032" s="824"/>
      <c r="G1032" s="825"/>
      <c r="H1032" s="826"/>
      <c r="I1032" s="827"/>
      <c r="J1032" s="825"/>
      <c r="K1032" s="825"/>
      <c r="L1032" s="825"/>
    </row>
    <row r="1033" ht="18.75" customHeight="1">
      <c r="A1033" s="811"/>
      <c r="B1033" s="812"/>
      <c r="C1033" s="813"/>
      <c r="D1033" s="814"/>
      <c r="E1033" s="815"/>
      <c r="F1033" s="815"/>
      <c r="G1033" s="816"/>
      <c r="H1033" s="817"/>
      <c r="I1033" s="818"/>
      <c r="J1033" s="816"/>
      <c r="K1033" s="816"/>
      <c r="L1033" s="816"/>
    </row>
    <row r="1034" ht="18.75" customHeight="1">
      <c r="A1034" s="822"/>
      <c r="B1034" s="812"/>
      <c r="C1034" s="823"/>
      <c r="D1034" s="814"/>
      <c r="E1034" s="824"/>
      <c r="F1034" s="824"/>
      <c r="G1034" s="825"/>
      <c r="H1034" s="826"/>
      <c r="I1034" s="827"/>
      <c r="J1034" s="825"/>
      <c r="K1034" s="825"/>
      <c r="L1034" s="825"/>
    </row>
    <row r="1035" ht="18.75" customHeight="1">
      <c r="A1035" s="811"/>
      <c r="B1035" s="812"/>
      <c r="C1035" s="813"/>
      <c r="D1035" s="814"/>
      <c r="E1035" s="815"/>
      <c r="F1035" s="815"/>
      <c r="G1035" s="816"/>
      <c r="H1035" s="817"/>
      <c r="I1035" s="818"/>
      <c r="J1035" s="816"/>
      <c r="K1035" s="816"/>
      <c r="L1035" s="816"/>
    </row>
    <row r="1036" ht="18.75" customHeight="1">
      <c r="A1036" s="822"/>
      <c r="B1036" s="812"/>
      <c r="C1036" s="823"/>
      <c r="D1036" s="814"/>
      <c r="E1036" s="824"/>
      <c r="F1036" s="824"/>
      <c r="G1036" s="825"/>
      <c r="H1036" s="826"/>
      <c r="I1036" s="827"/>
      <c r="J1036" s="825"/>
      <c r="K1036" s="825"/>
      <c r="L1036" s="825"/>
    </row>
    <row r="1037" ht="18.75" customHeight="1">
      <c r="A1037" s="811"/>
      <c r="B1037" s="812"/>
      <c r="C1037" s="813"/>
      <c r="D1037" s="814"/>
      <c r="E1037" s="815"/>
      <c r="F1037" s="815"/>
      <c r="G1037" s="816"/>
      <c r="H1037" s="817"/>
      <c r="I1037" s="818"/>
      <c r="J1037" s="816"/>
      <c r="K1037" s="816"/>
      <c r="L1037" s="816"/>
    </row>
    <row r="1038" ht="18.75" customHeight="1">
      <c r="A1038" s="822"/>
      <c r="B1038" s="812"/>
      <c r="C1038" s="823"/>
      <c r="D1038" s="814"/>
      <c r="E1038" s="824"/>
      <c r="F1038" s="824"/>
      <c r="G1038" s="825"/>
      <c r="H1038" s="826"/>
      <c r="I1038" s="827"/>
      <c r="J1038" s="825"/>
      <c r="K1038" s="825"/>
      <c r="L1038" s="825"/>
    </row>
    <row r="1039" ht="18.75" customHeight="1">
      <c r="A1039" s="811"/>
      <c r="B1039" s="812"/>
      <c r="C1039" s="813"/>
      <c r="D1039" s="814"/>
      <c r="E1039" s="815"/>
      <c r="F1039" s="815"/>
      <c r="G1039" s="816"/>
      <c r="H1039" s="817"/>
      <c r="I1039" s="818"/>
      <c r="J1039" s="816"/>
      <c r="K1039" s="816"/>
      <c r="L1039" s="816"/>
    </row>
    <row r="1040" ht="18.75" customHeight="1">
      <c r="A1040" s="822"/>
      <c r="B1040" s="812"/>
      <c r="C1040" s="823"/>
      <c r="D1040" s="814"/>
      <c r="E1040" s="824"/>
      <c r="F1040" s="824"/>
      <c r="G1040" s="825"/>
      <c r="H1040" s="826"/>
      <c r="I1040" s="827"/>
      <c r="J1040" s="825"/>
      <c r="K1040" s="825"/>
      <c r="L1040" s="825"/>
    </row>
    <row r="1041" ht="18.75" customHeight="1">
      <c r="A1041" s="811"/>
      <c r="B1041" s="812"/>
      <c r="C1041" s="813"/>
      <c r="D1041" s="814"/>
      <c r="E1041" s="815"/>
      <c r="F1041" s="815"/>
      <c r="G1041" s="816"/>
      <c r="H1041" s="817"/>
      <c r="I1041" s="818"/>
      <c r="J1041" s="816"/>
      <c r="K1041" s="816"/>
      <c r="L1041" s="816"/>
    </row>
    <row r="1042" ht="18.75" customHeight="1">
      <c r="A1042" s="822"/>
      <c r="B1042" s="812"/>
      <c r="C1042" s="823"/>
      <c r="D1042" s="814"/>
      <c r="E1042" s="824"/>
      <c r="F1042" s="824"/>
      <c r="G1042" s="825"/>
      <c r="H1042" s="826"/>
      <c r="I1042" s="827"/>
      <c r="J1042" s="825"/>
      <c r="K1042" s="825"/>
      <c r="L1042" s="825"/>
    </row>
    <row r="1043" ht="18.75" customHeight="1">
      <c r="A1043" s="811"/>
      <c r="B1043" s="812"/>
      <c r="C1043" s="813"/>
      <c r="D1043" s="814"/>
      <c r="E1043" s="815"/>
      <c r="F1043" s="815"/>
      <c r="G1043" s="816"/>
      <c r="H1043" s="817"/>
      <c r="I1043" s="818"/>
      <c r="J1043" s="816"/>
      <c r="K1043" s="816"/>
      <c r="L1043" s="816"/>
    </row>
    <row r="1044" ht="18.75" customHeight="1">
      <c r="A1044" s="822"/>
      <c r="B1044" s="812"/>
      <c r="C1044" s="823"/>
      <c r="D1044" s="814"/>
      <c r="E1044" s="824"/>
      <c r="F1044" s="824"/>
      <c r="G1044" s="825"/>
      <c r="H1044" s="826"/>
      <c r="I1044" s="827"/>
      <c r="J1044" s="825"/>
      <c r="K1044" s="825"/>
      <c r="L1044" s="825"/>
    </row>
    <row r="1045" ht="18.75" customHeight="1">
      <c r="A1045" s="811"/>
      <c r="B1045" s="812"/>
      <c r="C1045" s="813"/>
      <c r="D1045" s="814"/>
      <c r="E1045" s="815"/>
      <c r="F1045" s="815"/>
      <c r="G1045" s="816"/>
      <c r="H1045" s="817"/>
      <c r="I1045" s="818"/>
      <c r="J1045" s="816"/>
      <c r="K1045" s="816"/>
      <c r="L1045" s="816"/>
    </row>
    <row r="1046" ht="18.75" customHeight="1">
      <c r="A1046" s="822"/>
      <c r="B1046" s="812"/>
      <c r="C1046" s="823"/>
      <c r="D1046" s="814"/>
      <c r="E1046" s="824"/>
      <c r="F1046" s="824"/>
      <c r="G1046" s="825"/>
      <c r="H1046" s="826"/>
      <c r="I1046" s="827"/>
      <c r="J1046" s="825"/>
      <c r="K1046" s="825"/>
      <c r="L1046" s="825"/>
    </row>
    <row r="1047" ht="18.75" customHeight="1">
      <c r="A1047" s="811"/>
      <c r="B1047" s="812"/>
      <c r="C1047" s="813"/>
      <c r="D1047" s="814"/>
      <c r="E1047" s="815"/>
      <c r="F1047" s="815"/>
      <c r="G1047" s="816"/>
      <c r="H1047" s="817"/>
      <c r="I1047" s="818"/>
      <c r="J1047" s="816"/>
      <c r="K1047" s="816"/>
      <c r="L1047" s="816"/>
    </row>
    <row r="1048" ht="18.75" customHeight="1">
      <c r="A1048" s="822"/>
      <c r="B1048" s="812"/>
      <c r="C1048" s="823"/>
      <c r="D1048" s="814"/>
      <c r="E1048" s="824"/>
      <c r="F1048" s="824"/>
      <c r="G1048" s="825"/>
      <c r="H1048" s="826"/>
      <c r="I1048" s="827"/>
      <c r="J1048" s="825"/>
      <c r="K1048" s="825"/>
      <c r="L1048" s="825"/>
    </row>
    <row r="1049" ht="18.75" customHeight="1">
      <c r="A1049" s="811"/>
      <c r="B1049" s="812"/>
      <c r="C1049" s="813"/>
      <c r="D1049" s="814"/>
      <c r="E1049" s="815"/>
      <c r="F1049" s="815"/>
      <c r="G1049" s="816"/>
      <c r="H1049" s="817"/>
      <c r="I1049" s="818"/>
      <c r="J1049" s="816"/>
      <c r="K1049" s="816"/>
      <c r="L1049" s="816"/>
    </row>
    <row r="1050" ht="18.75" customHeight="1">
      <c r="A1050" s="822"/>
      <c r="B1050" s="812"/>
      <c r="C1050" s="823"/>
      <c r="D1050" s="814"/>
      <c r="E1050" s="824"/>
      <c r="F1050" s="824"/>
      <c r="G1050" s="825"/>
      <c r="H1050" s="826"/>
      <c r="I1050" s="827"/>
      <c r="J1050" s="825"/>
      <c r="K1050" s="825"/>
      <c r="L1050" s="825"/>
    </row>
    <row r="1051" ht="18.75" customHeight="1">
      <c r="A1051" s="811"/>
      <c r="B1051" s="812"/>
      <c r="C1051" s="813"/>
      <c r="D1051" s="814"/>
      <c r="E1051" s="815"/>
      <c r="F1051" s="815"/>
      <c r="G1051" s="816"/>
      <c r="H1051" s="817"/>
      <c r="I1051" s="818"/>
      <c r="J1051" s="816"/>
      <c r="K1051" s="816"/>
      <c r="L1051" s="816"/>
    </row>
    <row r="1052" ht="18.75" customHeight="1">
      <c r="A1052" s="822"/>
      <c r="B1052" s="812"/>
      <c r="C1052" s="823"/>
      <c r="D1052" s="814"/>
      <c r="E1052" s="824"/>
      <c r="F1052" s="824"/>
      <c r="G1052" s="825"/>
      <c r="H1052" s="826"/>
      <c r="I1052" s="827"/>
      <c r="J1052" s="825"/>
      <c r="K1052" s="825"/>
      <c r="L1052" s="825"/>
    </row>
    <row r="1053" ht="18.75" customHeight="1">
      <c r="A1053" s="811"/>
      <c r="B1053" s="812"/>
      <c r="C1053" s="813"/>
      <c r="D1053" s="814"/>
      <c r="E1053" s="815"/>
      <c r="F1053" s="815"/>
      <c r="G1053" s="816"/>
      <c r="H1053" s="817"/>
      <c r="I1053" s="818"/>
      <c r="J1053" s="816"/>
      <c r="K1053" s="816"/>
      <c r="L1053" s="816"/>
    </row>
    <row r="1054" ht="18.75" customHeight="1">
      <c r="A1054" s="822"/>
      <c r="B1054" s="812"/>
      <c r="C1054" s="823"/>
      <c r="D1054" s="814"/>
      <c r="E1054" s="824"/>
      <c r="F1054" s="824"/>
      <c r="G1054" s="825"/>
      <c r="H1054" s="826"/>
      <c r="I1054" s="827"/>
      <c r="J1054" s="825"/>
      <c r="K1054" s="825"/>
      <c r="L1054" s="825"/>
    </row>
    <row r="1055" ht="18.75" customHeight="1">
      <c r="A1055" s="811"/>
      <c r="B1055" s="812"/>
      <c r="C1055" s="813"/>
      <c r="D1055" s="814"/>
      <c r="E1055" s="815"/>
      <c r="F1055" s="815"/>
      <c r="G1055" s="816"/>
      <c r="H1055" s="817"/>
      <c r="I1055" s="818"/>
      <c r="J1055" s="816"/>
      <c r="K1055" s="816"/>
      <c r="L1055" s="816"/>
    </row>
    <row r="1056" ht="18.75" customHeight="1">
      <c r="A1056" s="822"/>
      <c r="B1056" s="812"/>
      <c r="C1056" s="823"/>
      <c r="D1056" s="814"/>
      <c r="E1056" s="824"/>
      <c r="F1056" s="824"/>
      <c r="G1056" s="825"/>
      <c r="H1056" s="826"/>
      <c r="I1056" s="827"/>
      <c r="J1056" s="825"/>
      <c r="K1056" s="825"/>
      <c r="L1056" s="825"/>
    </row>
    <row r="1057" ht="18.75" customHeight="1">
      <c r="A1057" s="811"/>
      <c r="B1057" s="812"/>
      <c r="C1057" s="813"/>
      <c r="D1057" s="814"/>
      <c r="E1057" s="815"/>
      <c r="F1057" s="815"/>
      <c r="G1057" s="816"/>
      <c r="H1057" s="817"/>
      <c r="I1057" s="818"/>
      <c r="J1057" s="816"/>
      <c r="K1057" s="816"/>
      <c r="L1057" s="816"/>
    </row>
    <row r="1058" ht="18.75" customHeight="1">
      <c r="A1058" s="822"/>
      <c r="B1058" s="812"/>
      <c r="C1058" s="823"/>
      <c r="D1058" s="814"/>
      <c r="E1058" s="824"/>
      <c r="F1058" s="824"/>
      <c r="G1058" s="825"/>
      <c r="H1058" s="826"/>
      <c r="I1058" s="827"/>
      <c r="J1058" s="825"/>
      <c r="K1058" s="825"/>
      <c r="L1058" s="825"/>
    </row>
    <row r="1059" ht="18.75" customHeight="1">
      <c r="A1059" s="811"/>
      <c r="B1059" s="812"/>
      <c r="C1059" s="813"/>
      <c r="D1059" s="814"/>
      <c r="E1059" s="815"/>
      <c r="F1059" s="815"/>
      <c r="G1059" s="816"/>
      <c r="H1059" s="817"/>
      <c r="I1059" s="818"/>
      <c r="J1059" s="816"/>
      <c r="K1059" s="816"/>
      <c r="L1059" s="816"/>
    </row>
    <row r="1060" ht="18.75" customHeight="1">
      <c r="A1060" s="822"/>
      <c r="B1060" s="812"/>
      <c r="C1060" s="823"/>
      <c r="D1060" s="814"/>
      <c r="E1060" s="824"/>
      <c r="F1060" s="824"/>
      <c r="G1060" s="825"/>
      <c r="H1060" s="826"/>
      <c r="I1060" s="827"/>
      <c r="J1060" s="825"/>
      <c r="K1060" s="825"/>
      <c r="L1060" s="825"/>
    </row>
    <row r="1061" ht="18.75" customHeight="1">
      <c r="A1061" s="811"/>
      <c r="B1061" s="812"/>
      <c r="C1061" s="813"/>
      <c r="D1061" s="814"/>
      <c r="E1061" s="815"/>
      <c r="F1061" s="815"/>
      <c r="G1061" s="816"/>
      <c r="H1061" s="817"/>
      <c r="I1061" s="818"/>
      <c r="J1061" s="816"/>
      <c r="K1061" s="816"/>
      <c r="L1061" s="816"/>
    </row>
    <row r="1062" ht="18.75" customHeight="1">
      <c r="A1062" s="822"/>
      <c r="B1062" s="812"/>
      <c r="C1062" s="823"/>
      <c r="D1062" s="814"/>
      <c r="E1062" s="824"/>
      <c r="F1062" s="824"/>
      <c r="G1062" s="825"/>
      <c r="H1062" s="826"/>
      <c r="I1062" s="827"/>
      <c r="J1062" s="825"/>
      <c r="K1062" s="825"/>
      <c r="L1062" s="825"/>
    </row>
    <row r="1063" ht="18.75" customHeight="1">
      <c r="A1063" s="811"/>
      <c r="B1063" s="812"/>
      <c r="C1063" s="813"/>
      <c r="D1063" s="814"/>
      <c r="E1063" s="815"/>
      <c r="F1063" s="815"/>
      <c r="G1063" s="816"/>
      <c r="H1063" s="817"/>
      <c r="I1063" s="818"/>
      <c r="J1063" s="816"/>
      <c r="K1063" s="816"/>
      <c r="L1063" s="816"/>
    </row>
    <row r="1064" ht="18.75" customHeight="1">
      <c r="A1064" s="822"/>
      <c r="B1064" s="812"/>
      <c r="C1064" s="823"/>
      <c r="D1064" s="814"/>
      <c r="E1064" s="824"/>
      <c r="F1064" s="824"/>
      <c r="G1064" s="825"/>
      <c r="H1064" s="826"/>
      <c r="I1064" s="827"/>
      <c r="J1064" s="825"/>
      <c r="K1064" s="825"/>
      <c r="L1064" s="825"/>
    </row>
    <row r="1065" ht="18.75" customHeight="1">
      <c r="A1065" s="811"/>
      <c r="B1065" s="812"/>
      <c r="C1065" s="813"/>
      <c r="D1065" s="814"/>
      <c r="E1065" s="815"/>
      <c r="F1065" s="815"/>
      <c r="G1065" s="816"/>
      <c r="H1065" s="817"/>
      <c r="I1065" s="818"/>
      <c r="J1065" s="816"/>
      <c r="K1065" s="816"/>
      <c r="L1065" s="816"/>
    </row>
    <row r="1066" ht="18.75" customHeight="1">
      <c r="A1066" s="822"/>
      <c r="B1066" s="812"/>
      <c r="C1066" s="823"/>
      <c r="D1066" s="814"/>
      <c r="E1066" s="824"/>
      <c r="F1066" s="824"/>
      <c r="G1066" s="825"/>
      <c r="H1066" s="826"/>
      <c r="I1066" s="827"/>
      <c r="J1066" s="825"/>
      <c r="K1066" s="825"/>
      <c r="L1066" s="825"/>
    </row>
    <row r="1067" ht="18.75" customHeight="1">
      <c r="A1067" s="811"/>
      <c r="B1067" s="812"/>
      <c r="C1067" s="813"/>
      <c r="D1067" s="814"/>
      <c r="E1067" s="815"/>
      <c r="F1067" s="815"/>
      <c r="G1067" s="816"/>
      <c r="H1067" s="817"/>
      <c r="I1067" s="818"/>
      <c r="J1067" s="816"/>
      <c r="K1067" s="816"/>
      <c r="L1067" s="816"/>
    </row>
    <row r="1068" ht="18.75" customHeight="1">
      <c r="A1068" s="822"/>
      <c r="B1068" s="812"/>
      <c r="C1068" s="823"/>
      <c r="D1068" s="814"/>
      <c r="E1068" s="824"/>
      <c r="F1068" s="824"/>
      <c r="G1068" s="825"/>
      <c r="H1068" s="826"/>
      <c r="I1068" s="827"/>
      <c r="J1068" s="825"/>
      <c r="K1068" s="825"/>
      <c r="L1068" s="825"/>
    </row>
    <row r="1069" ht="18.75" customHeight="1">
      <c r="A1069" s="811"/>
      <c r="B1069" s="812"/>
      <c r="C1069" s="813"/>
      <c r="D1069" s="814"/>
      <c r="E1069" s="815"/>
      <c r="F1069" s="815"/>
      <c r="G1069" s="816"/>
      <c r="H1069" s="817"/>
      <c r="I1069" s="818"/>
      <c r="J1069" s="816"/>
      <c r="K1069" s="816"/>
      <c r="L1069" s="816"/>
    </row>
    <row r="1070" ht="18.75" customHeight="1">
      <c r="A1070" s="822"/>
      <c r="B1070" s="812"/>
      <c r="C1070" s="823"/>
      <c r="D1070" s="814"/>
      <c r="E1070" s="824"/>
      <c r="F1070" s="824"/>
      <c r="G1070" s="825"/>
      <c r="H1070" s="826"/>
      <c r="I1070" s="827"/>
      <c r="J1070" s="825"/>
      <c r="K1070" s="825"/>
      <c r="L1070" s="825"/>
    </row>
    <row r="1071" ht="18.75" customHeight="1">
      <c r="A1071" s="811"/>
      <c r="B1071" s="812"/>
      <c r="C1071" s="813"/>
      <c r="D1071" s="814"/>
      <c r="E1071" s="815"/>
      <c r="F1071" s="815"/>
      <c r="G1071" s="816"/>
      <c r="H1071" s="817"/>
      <c r="I1071" s="818"/>
      <c r="J1071" s="816"/>
      <c r="K1071" s="816"/>
      <c r="L1071" s="816"/>
    </row>
    <row r="1072" ht="18.75" customHeight="1">
      <c r="A1072" s="822"/>
      <c r="B1072" s="812"/>
      <c r="C1072" s="823"/>
      <c r="D1072" s="814"/>
      <c r="E1072" s="824"/>
      <c r="F1072" s="824"/>
      <c r="G1072" s="825"/>
      <c r="H1072" s="826"/>
      <c r="I1072" s="827"/>
      <c r="J1072" s="825"/>
      <c r="K1072" s="825"/>
      <c r="L1072" s="825"/>
    </row>
    <row r="1073" ht="18.75" customHeight="1">
      <c r="A1073" s="811"/>
      <c r="B1073" s="812"/>
      <c r="C1073" s="813"/>
      <c r="D1073" s="814"/>
      <c r="E1073" s="815"/>
      <c r="F1073" s="815"/>
      <c r="G1073" s="816"/>
      <c r="H1073" s="817"/>
      <c r="I1073" s="818"/>
      <c r="J1073" s="816"/>
      <c r="K1073" s="816"/>
      <c r="L1073" s="816"/>
    </row>
    <row r="1074" ht="18.75" customHeight="1">
      <c r="A1074" s="822"/>
      <c r="B1074" s="812"/>
      <c r="C1074" s="823"/>
      <c r="D1074" s="814"/>
      <c r="E1074" s="824"/>
      <c r="F1074" s="824"/>
      <c r="G1074" s="825"/>
      <c r="H1074" s="826"/>
      <c r="I1074" s="827"/>
      <c r="J1074" s="825"/>
      <c r="K1074" s="825"/>
      <c r="L1074" s="825"/>
    </row>
    <row r="1075" ht="18.75" customHeight="1">
      <c r="A1075" s="811"/>
      <c r="B1075" s="812"/>
      <c r="C1075" s="813"/>
      <c r="D1075" s="814"/>
      <c r="E1075" s="815"/>
      <c r="F1075" s="815"/>
      <c r="G1075" s="816"/>
      <c r="H1075" s="817"/>
      <c r="I1075" s="818"/>
      <c r="J1075" s="816"/>
      <c r="K1075" s="816"/>
      <c r="L1075" s="816"/>
    </row>
    <row r="1076" ht="18.75" customHeight="1">
      <c r="A1076" s="822"/>
      <c r="B1076" s="812"/>
      <c r="C1076" s="823"/>
      <c r="D1076" s="814"/>
      <c r="E1076" s="824"/>
      <c r="F1076" s="824"/>
      <c r="G1076" s="825"/>
      <c r="H1076" s="826"/>
      <c r="I1076" s="827"/>
      <c r="J1076" s="825"/>
      <c r="K1076" s="825"/>
      <c r="L1076" s="825"/>
    </row>
    <row r="1077" ht="18.75" customHeight="1">
      <c r="A1077" s="811"/>
      <c r="B1077" s="812"/>
      <c r="C1077" s="813"/>
      <c r="D1077" s="814"/>
      <c r="E1077" s="815"/>
      <c r="F1077" s="815"/>
      <c r="G1077" s="816"/>
      <c r="H1077" s="817"/>
      <c r="I1077" s="818"/>
      <c r="J1077" s="816"/>
      <c r="K1077" s="816"/>
      <c r="L1077" s="816"/>
    </row>
    <row r="1078" ht="18.75" customHeight="1">
      <c r="A1078" s="822"/>
      <c r="B1078" s="812"/>
      <c r="C1078" s="823"/>
      <c r="D1078" s="814"/>
      <c r="E1078" s="824"/>
      <c r="F1078" s="824"/>
      <c r="G1078" s="825"/>
      <c r="H1078" s="826"/>
      <c r="I1078" s="827"/>
      <c r="J1078" s="825"/>
      <c r="K1078" s="825"/>
      <c r="L1078" s="825"/>
    </row>
    <row r="1079" ht="18.75" customHeight="1">
      <c r="A1079" s="811"/>
      <c r="B1079" s="812"/>
      <c r="C1079" s="813"/>
      <c r="D1079" s="814"/>
      <c r="E1079" s="815"/>
      <c r="F1079" s="815"/>
      <c r="G1079" s="816"/>
      <c r="H1079" s="817"/>
      <c r="I1079" s="818"/>
      <c r="J1079" s="816"/>
      <c r="K1079" s="816"/>
      <c r="L1079" s="816"/>
    </row>
    <row r="1080" ht="18.75" customHeight="1">
      <c r="A1080" s="822"/>
      <c r="B1080" s="812"/>
      <c r="C1080" s="823"/>
      <c r="D1080" s="814"/>
      <c r="E1080" s="824"/>
      <c r="F1080" s="824"/>
      <c r="G1080" s="825"/>
      <c r="H1080" s="826"/>
      <c r="I1080" s="827"/>
      <c r="J1080" s="825"/>
      <c r="K1080" s="825"/>
      <c r="L1080" s="825"/>
    </row>
    <row r="1081" ht="18.75" customHeight="1">
      <c r="A1081" s="811"/>
      <c r="B1081" s="812"/>
      <c r="C1081" s="813"/>
      <c r="D1081" s="814"/>
      <c r="E1081" s="815"/>
      <c r="F1081" s="815"/>
      <c r="G1081" s="816"/>
      <c r="H1081" s="817"/>
      <c r="I1081" s="818"/>
      <c r="J1081" s="816"/>
      <c r="K1081" s="816"/>
      <c r="L1081" s="816"/>
    </row>
  </sheetData>
  <mergeCells count="234">
    <mergeCell ref="L68:L69"/>
    <mergeCell ref="L70:L71"/>
    <mergeCell ref="L54:L55"/>
    <mergeCell ref="L56:L57"/>
    <mergeCell ref="L58:L59"/>
    <mergeCell ref="L60:L61"/>
    <mergeCell ref="L62:L63"/>
    <mergeCell ref="L64:L65"/>
    <mergeCell ref="L66:L67"/>
    <mergeCell ref="I32:I33"/>
    <mergeCell ref="I34:I35"/>
    <mergeCell ref="I36:I37"/>
    <mergeCell ref="K36:K37"/>
    <mergeCell ref="L36:L37"/>
    <mergeCell ref="K38:K39"/>
    <mergeCell ref="L38:L39"/>
    <mergeCell ref="K40:K41"/>
    <mergeCell ref="L40:L41"/>
    <mergeCell ref="I42:I43"/>
    <mergeCell ref="K42:K43"/>
    <mergeCell ref="L42:L43"/>
    <mergeCell ref="K44:K45"/>
    <mergeCell ref="L44:L45"/>
    <mergeCell ref="K46:K47"/>
    <mergeCell ref="L46:L47"/>
    <mergeCell ref="K48:K49"/>
    <mergeCell ref="L48:L49"/>
    <mergeCell ref="K50:K51"/>
    <mergeCell ref="L50:L51"/>
    <mergeCell ref="L52:L53"/>
    <mergeCell ref="I44:I45"/>
    <mergeCell ref="I46:I47"/>
    <mergeCell ref="I48:I49"/>
    <mergeCell ref="I50:I51"/>
    <mergeCell ref="I52:I53"/>
    <mergeCell ref="I54:I55"/>
    <mergeCell ref="I56:I57"/>
    <mergeCell ref="K52:K53"/>
    <mergeCell ref="K54:K55"/>
    <mergeCell ref="K56:K57"/>
    <mergeCell ref="K58:K59"/>
    <mergeCell ref="K60:K61"/>
    <mergeCell ref="K62:K63"/>
    <mergeCell ref="K64:K65"/>
    <mergeCell ref="I72:I73"/>
    <mergeCell ref="I74:I75"/>
    <mergeCell ref="I58:I59"/>
    <mergeCell ref="I60:I61"/>
    <mergeCell ref="I62:I63"/>
    <mergeCell ref="I64:I65"/>
    <mergeCell ref="I66:I67"/>
    <mergeCell ref="I68:I69"/>
    <mergeCell ref="I70:I71"/>
    <mergeCell ref="A1:B2"/>
    <mergeCell ref="C1:L4"/>
    <mergeCell ref="A6:A7"/>
    <mergeCell ref="C6:C7"/>
    <mergeCell ref="I6:I7"/>
    <mergeCell ref="K6:K7"/>
    <mergeCell ref="L6:L7"/>
    <mergeCell ref="A8:A9"/>
    <mergeCell ref="B8:B9"/>
    <mergeCell ref="C8:C9"/>
    <mergeCell ref="D8:D9"/>
    <mergeCell ref="I8:I9"/>
    <mergeCell ref="K8:K9"/>
    <mergeCell ref="L8:L9"/>
    <mergeCell ref="A10:A11"/>
    <mergeCell ref="B10:B11"/>
    <mergeCell ref="C10:C11"/>
    <mergeCell ref="D10:D11"/>
    <mergeCell ref="I10:I11"/>
    <mergeCell ref="K10:K11"/>
    <mergeCell ref="L10:L11"/>
    <mergeCell ref="A12:A13"/>
    <mergeCell ref="B12:B13"/>
    <mergeCell ref="C12:C13"/>
    <mergeCell ref="D12:D13"/>
    <mergeCell ref="I12:I13"/>
    <mergeCell ref="K12:K13"/>
    <mergeCell ref="L12:L13"/>
    <mergeCell ref="A14:A15"/>
    <mergeCell ref="B14:B15"/>
    <mergeCell ref="C14:C15"/>
    <mergeCell ref="D14:D15"/>
    <mergeCell ref="I14:I15"/>
    <mergeCell ref="K14:K15"/>
    <mergeCell ref="L14:L15"/>
    <mergeCell ref="A16:A17"/>
    <mergeCell ref="B16:B17"/>
    <mergeCell ref="C16:C17"/>
    <mergeCell ref="D16:D17"/>
    <mergeCell ref="I16:I17"/>
    <mergeCell ref="K16:K17"/>
    <mergeCell ref="L16:L17"/>
    <mergeCell ref="A18:A19"/>
    <mergeCell ref="B18:B19"/>
    <mergeCell ref="C18:C19"/>
    <mergeCell ref="D18:D19"/>
    <mergeCell ref="I18:I19"/>
    <mergeCell ref="K18:K19"/>
    <mergeCell ref="L18:L19"/>
    <mergeCell ref="K34:K35"/>
    <mergeCell ref="L34:L35"/>
    <mergeCell ref="A32:A33"/>
    <mergeCell ref="B32:B33"/>
    <mergeCell ref="C32:C33"/>
    <mergeCell ref="K32:K33"/>
    <mergeCell ref="L32:L33"/>
    <mergeCell ref="A34:A35"/>
    <mergeCell ref="D34:D35"/>
    <mergeCell ref="A22:A23"/>
    <mergeCell ref="B22:B23"/>
    <mergeCell ref="C22:C23"/>
    <mergeCell ref="D22:D23"/>
    <mergeCell ref="I22:I23"/>
    <mergeCell ref="K22:K23"/>
    <mergeCell ref="L22:L23"/>
    <mergeCell ref="A24:A25"/>
    <mergeCell ref="B24:B25"/>
    <mergeCell ref="C24:C25"/>
    <mergeCell ref="D24:D25"/>
    <mergeCell ref="I24:I25"/>
    <mergeCell ref="K24:K25"/>
    <mergeCell ref="L24:L25"/>
    <mergeCell ref="A26:A27"/>
    <mergeCell ref="B26:B27"/>
    <mergeCell ref="C26:C27"/>
    <mergeCell ref="D26:D27"/>
    <mergeCell ref="I26:I27"/>
    <mergeCell ref="K26:K27"/>
    <mergeCell ref="L26:L27"/>
    <mergeCell ref="A28:A29"/>
    <mergeCell ref="B28:B29"/>
    <mergeCell ref="C28:C29"/>
    <mergeCell ref="D28:D29"/>
    <mergeCell ref="I28:I29"/>
    <mergeCell ref="K28:K29"/>
    <mergeCell ref="L28:L29"/>
    <mergeCell ref="A30:A31"/>
    <mergeCell ref="B30:B31"/>
    <mergeCell ref="C30:C31"/>
    <mergeCell ref="D30:D31"/>
    <mergeCell ref="I30:I31"/>
    <mergeCell ref="K30:K31"/>
    <mergeCell ref="L30:L31"/>
    <mergeCell ref="A40:A41"/>
    <mergeCell ref="B40:B41"/>
    <mergeCell ref="C40:C41"/>
    <mergeCell ref="I38:I39"/>
    <mergeCell ref="I40:I41"/>
    <mergeCell ref="A66:A67"/>
    <mergeCell ref="A68:A69"/>
    <mergeCell ref="A70:A71"/>
    <mergeCell ref="A72:A73"/>
    <mergeCell ref="A74:A75"/>
    <mergeCell ref="A83:A84"/>
    <mergeCell ref="A48:A49"/>
    <mergeCell ref="A50:A51"/>
    <mergeCell ref="A52:A53"/>
    <mergeCell ref="A54:A55"/>
    <mergeCell ref="A56:A57"/>
    <mergeCell ref="A58:A59"/>
    <mergeCell ref="A60:A61"/>
    <mergeCell ref="A62:A63"/>
    <mergeCell ref="A64:A65"/>
    <mergeCell ref="B64:B65"/>
    <mergeCell ref="C64:C65"/>
    <mergeCell ref="D64:D65"/>
    <mergeCell ref="C66:C67"/>
    <mergeCell ref="D66:D67"/>
    <mergeCell ref="B66:B67"/>
    <mergeCell ref="B68:B69"/>
    <mergeCell ref="C68:C69"/>
    <mergeCell ref="D68:D69"/>
    <mergeCell ref="B70:B71"/>
    <mergeCell ref="C70:C71"/>
    <mergeCell ref="D70:D71"/>
    <mergeCell ref="B34:B35"/>
    <mergeCell ref="C34:C35"/>
    <mergeCell ref="A36:A37"/>
    <mergeCell ref="B36:B37"/>
    <mergeCell ref="C36:C37"/>
    <mergeCell ref="D36:D37"/>
    <mergeCell ref="A38:A39"/>
    <mergeCell ref="B38:B39"/>
    <mergeCell ref="C38:C39"/>
    <mergeCell ref="A42:A43"/>
    <mergeCell ref="B42:B43"/>
    <mergeCell ref="C42:C43"/>
    <mergeCell ref="B44:B45"/>
    <mergeCell ref="C44:C45"/>
    <mergeCell ref="A44:A45"/>
    <mergeCell ref="A46:A47"/>
    <mergeCell ref="B46:B47"/>
    <mergeCell ref="C46:C47"/>
    <mergeCell ref="B48:B49"/>
    <mergeCell ref="C48:C49"/>
    <mergeCell ref="D48:D51"/>
    <mergeCell ref="B56:B57"/>
    <mergeCell ref="B58:B59"/>
    <mergeCell ref="D58:D59"/>
    <mergeCell ref="C58:C59"/>
    <mergeCell ref="B60:B61"/>
    <mergeCell ref="C60:C61"/>
    <mergeCell ref="D60:D61"/>
    <mergeCell ref="B62:B63"/>
    <mergeCell ref="C62:C63"/>
    <mergeCell ref="D62:D63"/>
    <mergeCell ref="B50:B51"/>
    <mergeCell ref="C50:C51"/>
    <mergeCell ref="B52:B53"/>
    <mergeCell ref="C52:C53"/>
    <mergeCell ref="B54:B55"/>
    <mergeCell ref="C54:C55"/>
    <mergeCell ref="C56:C57"/>
    <mergeCell ref="C83:C84"/>
    <mergeCell ref="D83:D84"/>
    <mergeCell ref="B72:B73"/>
    <mergeCell ref="C72:C73"/>
    <mergeCell ref="D72:D73"/>
    <mergeCell ref="B74:B75"/>
    <mergeCell ref="C74:C75"/>
    <mergeCell ref="D74:D75"/>
    <mergeCell ref="B83:B84"/>
    <mergeCell ref="K83:K84"/>
    <mergeCell ref="L83:L84"/>
    <mergeCell ref="K66:K67"/>
    <mergeCell ref="K68:K69"/>
    <mergeCell ref="K70:K71"/>
    <mergeCell ref="K72:K73"/>
    <mergeCell ref="L72:L73"/>
    <mergeCell ref="K74:K75"/>
    <mergeCell ref="L74:L75"/>
  </mergeCells>
  <printOptions gridLines="1" horizontalCentered="1"/>
  <pageMargins bottom="0.0" footer="0.0" header="0.0" left="0.0" right="0.0" top="0.0"/>
  <pageSetup cellComments="atEnd" orientation="landscape" pageOrder="overThenDown" paperHeight="11.811023622047244in" paperWidth="21.65354330708661i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75" outlineLevelRow="1"/>
  <cols>
    <col customWidth="1" min="1" max="10" width="14.13"/>
    <col customWidth="1" min="11" max="11" width="20.5"/>
    <col customWidth="1" min="12" max="12" width="33.38"/>
    <col customWidth="1" min="13" max="15" width="14.13"/>
  </cols>
  <sheetData>
    <row r="1" ht="40.5" customHeight="1">
      <c r="A1" s="1069"/>
      <c r="B1" s="45"/>
      <c r="C1" s="1070"/>
      <c r="D1" s="1070"/>
      <c r="E1" s="1070"/>
      <c r="F1" s="1071"/>
      <c r="G1" s="1071"/>
      <c r="H1" s="1071"/>
      <c r="I1" s="1071"/>
      <c r="J1" s="1071"/>
      <c r="K1" s="1071"/>
      <c r="L1" s="1071"/>
      <c r="M1" s="1071"/>
      <c r="N1" s="1071"/>
      <c r="O1" s="1072"/>
    </row>
    <row r="2" ht="40.5" customHeight="1">
      <c r="A2" s="49"/>
      <c r="B2" s="51"/>
      <c r="C2" s="1070"/>
      <c r="D2" s="1070"/>
      <c r="E2" s="1070"/>
      <c r="F2" s="1073"/>
      <c r="G2" s="1073"/>
      <c r="H2" s="1073"/>
      <c r="I2" s="1073"/>
      <c r="J2" s="1073"/>
      <c r="K2" s="1073"/>
      <c r="L2" s="1073"/>
      <c r="M2" s="1073"/>
      <c r="N2" s="1073"/>
      <c r="O2" s="1074"/>
    </row>
    <row r="3" ht="40.5" customHeight="1">
      <c r="A3" s="1075"/>
      <c r="B3" s="1070"/>
      <c r="C3" s="1076"/>
      <c r="D3" s="1073"/>
      <c r="E3" s="1073"/>
      <c r="F3" s="1073"/>
      <c r="G3" s="1073"/>
      <c r="H3" s="1077" t="s">
        <v>697</v>
      </c>
      <c r="I3" s="44"/>
      <c r="J3" s="45"/>
      <c r="K3" s="1073"/>
      <c r="L3" s="1073"/>
      <c r="M3" s="1073"/>
      <c r="N3" s="1073"/>
      <c r="O3" s="1074"/>
    </row>
    <row r="4" ht="40.5" customHeight="1">
      <c r="A4" s="1075"/>
      <c r="B4" s="1070"/>
      <c r="C4" s="1076"/>
      <c r="D4" s="1073"/>
      <c r="E4" s="1073"/>
      <c r="F4" s="1073"/>
      <c r="G4" s="1073"/>
      <c r="H4" s="49"/>
      <c r="I4" s="50"/>
      <c r="J4" s="51"/>
      <c r="K4" s="1073"/>
      <c r="L4" s="1073"/>
      <c r="M4" s="1073"/>
      <c r="N4" s="1073"/>
      <c r="O4" s="1074"/>
    </row>
    <row r="5" ht="40.5" customHeight="1">
      <c r="A5" s="1078"/>
      <c r="B5" s="1079"/>
      <c r="C5" s="1080"/>
      <c r="D5" s="1081"/>
      <c r="E5" s="1081"/>
      <c r="F5" s="1081"/>
      <c r="G5" s="1081"/>
      <c r="H5" s="1081"/>
      <c r="I5" s="1081"/>
      <c r="J5" s="1081"/>
      <c r="K5" s="1081"/>
      <c r="L5" s="1081"/>
      <c r="M5" s="1081"/>
      <c r="N5" s="1081"/>
      <c r="O5" s="1082"/>
    </row>
    <row r="6" ht="40.5" customHeight="1">
      <c r="A6" s="1083" t="s">
        <v>1</v>
      </c>
      <c r="B6" s="1083" t="s">
        <v>2</v>
      </c>
      <c r="C6" s="1083" t="s">
        <v>3</v>
      </c>
      <c r="D6" s="1083" t="s">
        <v>4</v>
      </c>
      <c r="E6" s="1084" t="s">
        <v>7</v>
      </c>
      <c r="F6" s="1085" t="s">
        <v>8</v>
      </c>
      <c r="G6" s="1083" t="s">
        <v>310</v>
      </c>
      <c r="H6" s="1083" t="s">
        <v>311</v>
      </c>
      <c r="I6" s="1083" t="s">
        <v>312</v>
      </c>
      <c r="J6" s="1083" t="s">
        <v>313</v>
      </c>
      <c r="K6" s="1085" t="s">
        <v>5</v>
      </c>
      <c r="L6" s="1085" t="s">
        <v>6</v>
      </c>
      <c r="M6" s="1083" t="s">
        <v>9</v>
      </c>
      <c r="N6" s="1083" t="s">
        <v>314</v>
      </c>
      <c r="O6" s="1083" t="s">
        <v>315</v>
      </c>
    </row>
    <row r="7" ht="40.5" customHeight="1">
      <c r="A7" s="1086">
        <v>46222.0</v>
      </c>
      <c r="B7" s="1087" t="s">
        <v>21</v>
      </c>
      <c r="C7" s="1088">
        <v>1101.0</v>
      </c>
      <c r="D7" s="1089"/>
      <c r="E7" s="925" t="s">
        <v>317</v>
      </c>
      <c r="F7" s="925" t="s">
        <v>318</v>
      </c>
      <c r="G7" s="1090">
        <v>100.0</v>
      </c>
      <c r="H7" s="1091">
        <v>20.0</v>
      </c>
      <c r="I7" s="1092"/>
      <c r="J7" s="1093">
        <f t="shared" ref="J7:J13" si="1">G7*H7</f>
        <v>2000</v>
      </c>
      <c r="K7" s="1094" t="s">
        <v>356</v>
      </c>
      <c r="L7" s="1095" t="s">
        <v>375</v>
      </c>
      <c r="M7" s="1096">
        <v>21.0</v>
      </c>
      <c r="N7" s="1097">
        <f>M7*30</f>
        <v>630</v>
      </c>
      <c r="O7" s="1097">
        <f>J7+J8+N7</f>
        <v>2750</v>
      </c>
    </row>
    <row r="8" ht="40.5" customHeight="1">
      <c r="A8" s="1098"/>
      <c r="B8" s="725"/>
      <c r="C8" s="1099"/>
      <c r="D8" s="725"/>
      <c r="E8" s="925" t="s">
        <v>317</v>
      </c>
      <c r="F8" s="925" t="s">
        <v>25</v>
      </c>
      <c r="G8" s="1090">
        <v>120.0</v>
      </c>
      <c r="H8" s="1091">
        <v>1.0</v>
      </c>
      <c r="I8" s="1092"/>
      <c r="J8" s="1093">
        <f t="shared" si="1"/>
        <v>120</v>
      </c>
      <c r="K8" s="725"/>
      <c r="L8" s="725"/>
      <c r="M8" s="1099"/>
      <c r="N8" s="725"/>
      <c r="O8" s="725"/>
    </row>
    <row r="9" ht="40.5" customHeight="1">
      <c r="A9" s="1086">
        <v>46232.0</v>
      </c>
      <c r="B9" s="1087" t="s">
        <v>21</v>
      </c>
      <c r="C9" s="1088">
        <v>1101.0</v>
      </c>
      <c r="D9" s="1089"/>
      <c r="E9" s="925" t="s">
        <v>317</v>
      </c>
      <c r="F9" s="925" t="s">
        <v>318</v>
      </c>
      <c r="G9" s="1090">
        <v>100.0</v>
      </c>
      <c r="H9" s="1091">
        <v>23.0</v>
      </c>
      <c r="I9" s="1092"/>
      <c r="J9" s="1093">
        <f t="shared" si="1"/>
        <v>2300</v>
      </c>
      <c r="K9" s="1094" t="s">
        <v>356</v>
      </c>
      <c r="L9" s="1100" t="s">
        <v>429</v>
      </c>
      <c r="M9" s="1096">
        <v>24.0</v>
      </c>
      <c r="N9" s="1097"/>
      <c r="O9" s="1097"/>
    </row>
    <row r="10" ht="40.5" customHeight="1">
      <c r="A10" s="1098"/>
      <c r="B10" s="725"/>
      <c r="C10" s="1099"/>
      <c r="D10" s="725"/>
      <c r="E10" s="925" t="s">
        <v>317</v>
      </c>
      <c r="F10" s="925" t="s">
        <v>25</v>
      </c>
      <c r="G10" s="1090">
        <v>120.0</v>
      </c>
      <c r="H10" s="1091">
        <v>1.0</v>
      </c>
      <c r="I10" s="1092"/>
      <c r="J10" s="1093">
        <f t="shared" si="1"/>
        <v>120</v>
      </c>
      <c r="K10" s="725"/>
      <c r="L10" s="725"/>
      <c r="M10" s="1099"/>
      <c r="N10" s="725"/>
      <c r="O10" s="725"/>
    </row>
    <row r="11" ht="40.5" customHeight="1">
      <c r="A11" s="1086">
        <v>46233.0</v>
      </c>
      <c r="B11" s="1087" t="s">
        <v>21</v>
      </c>
      <c r="C11" s="1088">
        <v>1101.0</v>
      </c>
      <c r="D11" s="1089"/>
      <c r="E11" s="925" t="s">
        <v>317</v>
      </c>
      <c r="F11" s="925" t="s">
        <v>318</v>
      </c>
      <c r="G11" s="1090">
        <v>100.0</v>
      </c>
      <c r="H11" s="1091">
        <v>23.0</v>
      </c>
      <c r="I11" s="1092"/>
      <c r="J11" s="1093">
        <f t="shared" si="1"/>
        <v>2300</v>
      </c>
      <c r="K11" s="1094" t="s">
        <v>356</v>
      </c>
      <c r="L11" s="1100" t="s">
        <v>429</v>
      </c>
      <c r="M11" s="1096">
        <v>24.0</v>
      </c>
      <c r="N11" s="1097"/>
      <c r="O11" s="1097"/>
    </row>
    <row r="12" ht="40.5" customHeight="1">
      <c r="A12" s="1098"/>
      <c r="B12" s="725"/>
      <c r="C12" s="1099"/>
      <c r="D12" s="725"/>
      <c r="E12" s="925" t="s">
        <v>317</v>
      </c>
      <c r="F12" s="925" t="s">
        <v>25</v>
      </c>
      <c r="G12" s="1090">
        <v>120.0</v>
      </c>
      <c r="H12" s="1091">
        <v>1.0</v>
      </c>
      <c r="I12" s="1092"/>
      <c r="J12" s="1093">
        <f t="shared" si="1"/>
        <v>120</v>
      </c>
      <c r="K12" s="725"/>
      <c r="L12" s="725"/>
      <c r="M12" s="1099"/>
      <c r="N12" s="725"/>
      <c r="O12" s="725"/>
    </row>
    <row r="13" ht="40.5" customHeight="1">
      <c r="A13" s="1086">
        <v>46234.0</v>
      </c>
      <c r="B13" s="1087" t="s">
        <v>21</v>
      </c>
      <c r="C13" s="1088">
        <v>1101.0</v>
      </c>
      <c r="D13" s="1089"/>
      <c r="E13" s="925" t="s">
        <v>317</v>
      </c>
      <c r="F13" s="925" t="s">
        <v>318</v>
      </c>
      <c r="G13" s="1090">
        <v>100.0</v>
      </c>
      <c r="H13" s="1091">
        <v>10.0</v>
      </c>
      <c r="I13" s="1092"/>
      <c r="J13" s="1093">
        <f t="shared" si="1"/>
        <v>1000</v>
      </c>
      <c r="K13" s="1094" t="s">
        <v>356</v>
      </c>
      <c r="L13" s="1100" t="s">
        <v>429</v>
      </c>
      <c r="M13" s="1096">
        <v>23.0</v>
      </c>
      <c r="N13" s="1097"/>
      <c r="O13" s="1097"/>
    </row>
    <row r="14" ht="40.5" customHeight="1">
      <c r="A14" s="1101"/>
      <c r="B14" s="1102" t="s">
        <v>51</v>
      </c>
      <c r="C14" s="1103"/>
      <c r="D14" s="792"/>
      <c r="E14" s="925"/>
      <c r="F14" s="925"/>
      <c r="G14" s="1097">
        <v>100.0</v>
      </c>
      <c r="H14" s="1104">
        <v>2.0</v>
      </c>
      <c r="I14" s="1105"/>
      <c r="J14" s="1106">
        <v>200.0</v>
      </c>
      <c r="K14" s="792"/>
      <c r="L14" s="792"/>
      <c r="M14" s="1103"/>
      <c r="N14" s="792"/>
      <c r="O14" s="792"/>
    </row>
    <row r="15" ht="40.5" customHeight="1">
      <c r="A15" s="1107"/>
      <c r="B15" s="1102" t="s">
        <v>45</v>
      </c>
      <c r="C15" s="1108"/>
      <c r="D15" s="793"/>
      <c r="E15" s="925" t="s">
        <v>317</v>
      </c>
      <c r="F15" s="925" t="s">
        <v>318</v>
      </c>
      <c r="G15" s="1097">
        <v>100.0</v>
      </c>
      <c r="H15" s="1104">
        <v>10.0</v>
      </c>
      <c r="I15" s="1105"/>
      <c r="J15" s="1106">
        <v>1000.0</v>
      </c>
      <c r="K15" s="793"/>
      <c r="L15" s="793"/>
      <c r="M15" s="1108"/>
      <c r="N15" s="793"/>
      <c r="O15" s="793"/>
    </row>
    <row r="16" ht="40.5" customHeight="1">
      <c r="A16" s="1098"/>
      <c r="B16" s="1109" t="s">
        <v>122</v>
      </c>
      <c r="C16" s="1099"/>
      <c r="D16" s="725"/>
      <c r="E16" s="925" t="s">
        <v>317</v>
      </c>
      <c r="F16" s="925" t="s">
        <v>25</v>
      </c>
      <c r="G16" s="1097">
        <v>120.0</v>
      </c>
      <c r="H16" s="1104">
        <v>1.0</v>
      </c>
      <c r="I16" s="1105"/>
      <c r="J16" s="1106">
        <f>G16*H16</f>
        <v>120</v>
      </c>
      <c r="K16" s="725"/>
      <c r="L16" s="725"/>
      <c r="M16" s="1099"/>
      <c r="N16" s="725"/>
      <c r="O16" s="725"/>
    </row>
    <row r="17" ht="40.5" customHeight="1">
      <c r="A17" s="1110">
        <v>46235.0</v>
      </c>
      <c r="B17" s="1111" t="s">
        <v>21</v>
      </c>
      <c r="C17" s="1112">
        <v>1103.0</v>
      </c>
      <c r="D17" s="1113"/>
      <c r="E17" s="925" t="s">
        <v>317</v>
      </c>
      <c r="F17" s="925" t="s">
        <v>318</v>
      </c>
      <c r="G17" s="1114">
        <v>100.0</v>
      </c>
      <c r="H17" s="1115">
        <v>22.0</v>
      </c>
      <c r="I17" s="1116"/>
      <c r="J17" s="1114">
        <v>2200.0</v>
      </c>
      <c r="K17" s="1094" t="s">
        <v>356</v>
      </c>
      <c r="L17" s="1117" t="s">
        <v>429</v>
      </c>
      <c r="M17" s="1114">
        <v>23.0</v>
      </c>
      <c r="N17" s="1114"/>
      <c r="O17" s="1114"/>
    </row>
    <row r="18" ht="40.5" customHeight="1">
      <c r="A18" s="58"/>
      <c r="B18" s="58"/>
      <c r="C18" s="58"/>
      <c r="D18" s="1118"/>
      <c r="E18" s="925" t="s">
        <v>317</v>
      </c>
      <c r="F18" s="925" t="s">
        <v>25</v>
      </c>
      <c r="G18" s="925">
        <v>120.0</v>
      </c>
      <c r="H18" s="1119">
        <v>1.0</v>
      </c>
      <c r="I18" s="1120"/>
      <c r="J18" s="925">
        <v>120.0</v>
      </c>
      <c r="K18" s="725"/>
      <c r="L18" s="58"/>
      <c r="M18" s="1121"/>
      <c r="N18" s="1121"/>
      <c r="O18" s="1121"/>
    </row>
    <row r="19" ht="40.5" customHeight="1">
      <c r="A19" s="1110">
        <v>46236.0</v>
      </c>
      <c r="B19" s="1122" t="s">
        <v>21</v>
      </c>
      <c r="C19" s="1112">
        <v>1103.0</v>
      </c>
      <c r="D19" s="1113"/>
      <c r="E19" s="925" t="s">
        <v>317</v>
      </c>
      <c r="F19" s="925" t="s">
        <v>318</v>
      </c>
      <c r="G19" s="1114">
        <v>100.0</v>
      </c>
      <c r="H19" s="1115">
        <v>22.0</v>
      </c>
      <c r="I19" s="1116"/>
      <c r="J19" s="1114">
        <v>2200.0</v>
      </c>
      <c r="K19" s="1094" t="s">
        <v>356</v>
      </c>
      <c r="L19" s="1117" t="s">
        <v>429</v>
      </c>
      <c r="M19" s="1114">
        <v>23.0</v>
      </c>
      <c r="N19" s="1114"/>
      <c r="O19" s="1114"/>
    </row>
    <row r="20" ht="40.5" customHeight="1">
      <c r="A20" s="58"/>
      <c r="B20" s="58"/>
      <c r="C20" s="58"/>
      <c r="D20" s="1118"/>
      <c r="E20" s="925" t="s">
        <v>317</v>
      </c>
      <c r="F20" s="925" t="s">
        <v>25</v>
      </c>
      <c r="G20" s="925">
        <v>120.0</v>
      </c>
      <c r="H20" s="1119">
        <v>1.0</v>
      </c>
      <c r="I20" s="1120"/>
      <c r="J20" s="925">
        <v>120.0</v>
      </c>
      <c r="K20" s="725"/>
      <c r="L20" s="58"/>
      <c r="M20" s="1121"/>
      <c r="N20" s="1121"/>
      <c r="O20" s="1121"/>
    </row>
    <row r="21" ht="40.5" customHeight="1">
      <c r="A21" s="1110">
        <v>46237.0</v>
      </c>
      <c r="B21" s="1122" t="s">
        <v>21</v>
      </c>
      <c r="C21" s="1112">
        <v>1103.0</v>
      </c>
      <c r="D21" s="1113"/>
      <c r="E21" s="925" t="s">
        <v>317</v>
      </c>
      <c r="F21" s="925" t="s">
        <v>318</v>
      </c>
      <c r="G21" s="1114">
        <v>100.0</v>
      </c>
      <c r="H21" s="1115">
        <v>20.0</v>
      </c>
      <c r="I21" s="1116"/>
      <c r="J21" s="1114">
        <v>2000.0</v>
      </c>
      <c r="K21" s="1094" t="s">
        <v>356</v>
      </c>
      <c r="L21" s="1117" t="s">
        <v>429</v>
      </c>
      <c r="M21" s="1123">
        <v>22.0</v>
      </c>
      <c r="N21" s="1114"/>
      <c r="O21" s="1114"/>
    </row>
    <row r="22" ht="40.5" customHeight="1">
      <c r="A22" s="58"/>
      <c r="B22" s="58"/>
      <c r="C22" s="58"/>
      <c r="D22" s="1118"/>
      <c r="E22" s="925" t="s">
        <v>317</v>
      </c>
      <c r="F22" s="925" t="s">
        <v>25</v>
      </c>
      <c r="G22" s="925">
        <v>120.0</v>
      </c>
      <c r="H22" s="1119">
        <v>1.0</v>
      </c>
      <c r="I22" s="1120"/>
      <c r="J22" s="925">
        <v>120.0</v>
      </c>
      <c r="K22" s="725"/>
      <c r="L22" s="58"/>
      <c r="M22" s="58"/>
      <c r="N22" s="1121"/>
      <c r="O22" s="1121"/>
    </row>
    <row r="23" ht="40.5" customHeight="1">
      <c r="A23" s="1110">
        <v>46238.0</v>
      </c>
      <c r="B23" s="1122" t="s">
        <v>21</v>
      </c>
      <c r="C23" s="1112">
        <v>1103.0</v>
      </c>
      <c r="D23" s="1113"/>
      <c r="E23" s="925" t="s">
        <v>317</v>
      </c>
      <c r="F23" s="925" t="s">
        <v>318</v>
      </c>
      <c r="G23" s="1114">
        <v>100.0</v>
      </c>
      <c r="H23" s="1115">
        <v>25.0</v>
      </c>
      <c r="I23" s="1116"/>
      <c r="J23" s="1114">
        <v>2500.0</v>
      </c>
      <c r="K23" s="1094" t="s">
        <v>356</v>
      </c>
      <c r="L23" s="1117" t="s">
        <v>429</v>
      </c>
      <c r="M23" s="1123">
        <v>26.0</v>
      </c>
      <c r="N23" s="1114"/>
      <c r="O23" s="1114"/>
    </row>
    <row r="24" ht="40.5" customHeight="1">
      <c r="A24" s="58"/>
      <c r="B24" s="58"/>
      <c r="C24" s="58"/>
      <c r="D24" s="1118"/>
      <c r="E24" s="925" t="s">
        <v>317</v>
      </c>
      <c r="F24" s="925" t="s">
        <v>25</v>
      </c>
      <c r="G24" s="925">
        <v>120.0</v>
      </c>
      <c r="H24" s="1119">
        <v>1.0</v>
      </c>
      <c r="I24" s="1120"/>
      <c r="J24" s="925">
        <v>120.0</v>
      </c>
      <c r="K24" s="725"/>
      <c r="L24" s="58"/>
      <c r="M24" s="58"/>
      <c r="N24" s="1121"/>
      <c r="O24" s="1121"/>
    </row>
    <row r="25" ht="40.5" customHeight="1">
      <c r="A25" s="1110">
        <v>46239.0</v>
      </c>
      <c r="B25" s="1122" t="s">
        <v>21</v>
      </c>
      <c r="C25" s="1112">
        <v>1102.0</v>
      </c>
      <c r="D25" s="1113"/>
      <c r="E25" s="925" t="s">
        <v>317</v>
      </c>
      <c r="F25" s="925" t="s">
        <v>318</v>
      </c>
      <c r="G25" s="1114">
        <v>100.0</v>
      </c>
      <c r="H25" s="1115">
        <v>25.0</v>
      </c>
      <c r="I25" s="1116"/>
      <c r="J25" s="1114">
        <v>2500.0</v>
      </c>
      <c r="K25" s="1094" t="s">
        <v>356</v>
      </c>
      <c r="L25" s="1117" t="s">
        <v>429</v>
      </c>
      <c r="M25" s="1123">
        <v>25.0</v>
      </c>
      <c r="N25" s="1124"/>
      <c r="O25" s="1124"/>
    </row>
    <row r="26" ht="40.5" customHeight="1">
      <c r="A26" s="58"/>
      <c r="B26" s="58"/>
      <c r="C26" s="58"/>
      <c r="D26" s="1118"/>
      <c r="E26" s="925" t="s">
        <v>317</v>
      </c>
      <c r="F26" s="925" t="s">
        <v>25</v>
      </c>
      <c r="G26" s="925">
        <v>0.0</v>
      </c>
      <c r="H26" s="1119">
        <v>0.0</v>
      </c>
      <c r="I26" s="1120"/>
      <c r="J26" s="925">
        <v>0.0</v>
      </c>
      <c r="K26" s="725"/>
      <c r="L26" s="58"/>
      <c r="M26" s="58"/>
      <c r="N26" s="1121"/>
      <c r="O26" s="1121"/>
    </row>
    <row r="27" ht="40.5" customHeight="1">
      <c r="A27" s="1110">
        <v>46240.0</v>
      </c>
      <c r="B27" s="1122" t="s">
        <v>21</v>
      </c>
      <c r="C27" s="1112">
        <v>1101.0</v>
      </c>
      <c r="D27" s="1113"/>
      <c r="E27" s="925" t="s">
        <v>317</v>
      </c>
      <c r="F27" s="925" t="s">
        <v>318</v>
      </c>
      <c r="G27" s="1114">
        <v>100.0</v>
      </c>
      <c r="H27" s="1115">
        <v>24.0</v>
      </c>
      <c r="I27" s="1116"/>
      <c r="J27" s="1114">
        <v>2400.0</v>
      </c>
      <c r="K27" s="1094" t="s">
        <v>356</v>
      </c>
      <c r="L27" s="1117" t="s">
        <v>429</v>
      </c>
      <c r="M27" s="1123">
        <v>25.0</v>
      </c>
      <c r="N27" s="1124"/>
      <c r="O27" s="1124"/>
    </row>
    <row r="28" ht="40.5" customHeight="1">
      <c r="A28" s="58"/>
      <c r="B28" s="58"/>
      <c r="C28" s="58"/>
      <c r="D28" s="1118"/>
      <c r="E28" s="925" t="s">
        <v>317</v>
      </c>
      <c r="F28" s="925" t="s">
        <v>25</v>
      </c>
      <c r="G28" s="925">
        <v>120.0</v>
      </c>
      <c r="H28" s="1119">
        <v>1.0</v>
      </c>
      <c r="I28" s="1120"/>
      <c r="J28" s="925">
        <v>120.0</v>
      </c>
      <c r="K28" s="725"/>
      <c r="L28" s="58"/>
      <c r="M28" s="58"/>
      <c r="N28" s="1121"/>
      <c r="O28" s="1121"/>
    </row>
    <row r="29" ht="40.5" customHeight="1">
      <c r="A29" s="1110">
        <v>46247.0</v>
      </c>
      <c r="B29" s="1122" t="s">
        <v>21</v>
      </c>
      <c r="C29" s="1112">
        <v>1104.0</v>
      </c>
      <c r="D29" s="1113"/>
      <c r="E29" s="925" t="s">
        <v>317</v>
      </c>
      <c r="F29" s="925" t="s">
        <v>318</v>
      </c>
      <c r="G29" s="1114">
        <v>100.0</v>
      </c>
      <c r="H29" s="1115">
        <v>20.0</v>
      </c>
      <c r="I29" s="1116"/>
      <c r="J29" s="1114">
        <v>2000.0</v>
      </c>
      <c r="K29" s="1094" t="s">
        <v>356</v>
      </c>
      <c r="L29" s="1117" t="s">
        <v>429</v>
      </c>
      <c r="M29" s="1123">
        <v>21.0</v>
      </c>
      <c r="N29" s="1124"/>
      <c r="O29" s="1124"/>
    </row>
    <row r="30" ht="40.5" customHeight="1">
      <c r="A30" s="58"/>
      <c r="B30" s="58"/>
      <c r="C30" s="58"/>
      <c r="D30" s="1118"/>
      <c r="E30" s="925" t="s">
        <v>317</v>
      </c>
      <c r="F30" s="925" t="s">
        <v>25</v>
      </c>
      <c r="G30" s="925">
        <v>120.0</v>
      </c>
      <c r="H30" s="1119">
        <v>1.0</v>
      </c>
      <c r="I30" s="1120"/>
      <c r="J30" s="925">
        <v>120.0</v>
      </c>
      <c r="K30" s="725"/>
      <c r="L30" s="58"/>
      <c r="M30" s="58"/>
      <c r="N30" s="1121"/>
      <c r="O30" s="1121"/>
    </row>
    <row r="31" ht="40.5" customHeight="1">
      <c r="A31" s="1110">
        <v>46248.0</v>
      </c>
      <c r="B31" s="1122" t="s">
        <v>21</v>
      </c>
      <c r="C31" s="1112">
        <v>1104.0</v>
      </c>
      <c r="D31" s="1113"/>
      <c r="E31" s="925" t="s">
        <v>317</v>
      </c>
      <c r="F31" s="925" t="s">
        <v>318</v>
      </c>
      <c r="G31" s="1114">
        <v>100.0</v>
      </c>
      <c r="H31" s="1115">
        <v>19.0</v>
      </c>
      <c r="I31" s="1116"/>
      <c r="J31" s="1114">
        <v>1900.0</v>
      </c>
      <c r="K31" s="1094" t="s">
        <v>356</v>
      </c>
      <c r="L31" s="1117" t="s">
        <v>429</v>
      </c>
      <c r="M31" s="1123">
        <v>20.0</v>
      </c>
      <c r="N31" s="1124"/>
      <c r="O31" s="1124"/>
    </row>
    <row r="32" ht="40.5" customHeight="1">
      <c r="A32" s="58"/>
      <c r="B32" s="58"/>
      <c r="C32" s="58"/>
      <c r="D32" s="1118"/>
      <c r="E32" s="925" t="s">
        <v>317</v>
      </c>
      <c r="F32" s="925" t="s">
        <v>25</v>
      </c>
      <c r="G32" s="925">
        <v>120.0</v>
      </c>
      <c r="H32" s="1119">
        <v>1.0</v>
      </c>
      <c r="I32" s="1120"/>
      <c r="J32" s="925">
        <v>120.0</v>
      </c>
      <c r="K32" s="725"/>
      <c r="L32" s="58"/>
      <c r="M32" s="58"/>
      <c r="N32" s="1121"/>
      <c r="O32" s="1121"/>
    </row>
    <row r="33" ht="40.5" customHeight="1">
      <c r="A33" s="1110">
        <v>46249.0</v>
      </c>
      <c r="B33" s="1122" t="s">
        <v>21</v>
      </c>
      <c r="C33" s="1112">
        <v>1104.0</v>
      </c>
      <c r="D33" s="1113"/>
      <c r="E33" s="925" t="s">
        <v>317</v>
      </c>
      <c r="F33" s="925" t="s">
        <v>318</v>
      </c>
      <c r="G33" s="1114">
        <v>100.0</v>
      </c>
      <c r="H33" s="1115">
        <v>20.0</v>
      </c>
      <c r="I33" s="1116"/>
      <c r="J33" s="1114">
        <v>2000.0</v>
      </c>
      <c r="K33" s="1094" t="s">
        <v>356</v>
      </c>
      <c r="L33" s="1117" t="s">
        <v>429</v>
      </c>
      <c r="M33" s="1123">
        <v>21.0</v>
      </c>
      <c r="N33" s="1124"/>
      <c r="O33" s="1124"/>
    </row>
    <row r="34" ht="40.5" customHeight="1">
      <c r="A34" s="58"/>
      <c r="B34" s="58"/>
      <c r="C34" s="58"/>
      <c r="D34" s="1118"/>
      <c r="E34" s="925" t="s">
        <v>317</v>
      </c>
      <c r="F34" s="925" t="s">
        <v>25</v>
      </c>
      <c r="G34" s="925">
        <v>120.0</v>
      </c>
      <c r="H34" s="1119">
        <v>1.0</v>
      </c>
      <c r="I34" s="1120"/>
      <c r="J34" s="925">
        <v>120.0</v>
      </c>
      <c r="K34" s="725"/>
      <c r="L34" s="58"/>
      <c r="M34" s="58"/>
      <c r="N34" s="1121"/>
      <c r="O34" s="1121"/>
    </row>
    <row r="35" ht="40.5" customHeight="1">
      <c r="A35" s="1110">
        <v>46261.0</v>
      </c>
      <c r="B35" s="1122" t="s">
        <v>21</v>
      </c>
      <c r="C35" s="1112">
        <v>1101.0</v>
      </c>
      <c r="D35" s="1113"/>
      <c r="E35" s="925" t="s">
        <v>317</v>
      </c>
      <c r="F35" s="925" t="s">
        <v>318</v>
      </c>
      <c r="G35" s="1114">
        <v>100.0</v>
      </c>
      <c r="H35" s="1115">
        <v>16.0</v>
      </c>
      <c r="I35" s="1116"/>
      <c r="J35" s="1114">
        <v>1600.0</v>
      </c>
      <c r="K35" s="1125" t="s">
        <v>356</v>
      </c>
      <c r="L35" s="1117" t="s">
        <v>698</v>
      </c>
      <c r="M35" s="1123">
        <v>19.0</v>
      </c>
      <c r="N35" s="1126">
        <f>M35*30</f>
        <v>570</v>
      </c>
      <c r="O35" s="1097">
        <f>J35+J36+N35+J37</f>
        <v>2490</v>
      </c>
    </row>
    <row r="36" ht="40.5" customHeight="1">
      <c r="A36" s="57"/>
      <c r="B36" s="58"/>
      <c r="C36" s="58"/>
      <c r="D36" s="1113"/>
      <c r="E36" s="925" t="s">
        <v>317</v>
      </c>
      <c r="F36" s="925" t="s">
        <v>25</v>
      </c>
      <c r="G36" s="925">
        <v>120.0</v>
      </c>
      <c r="H36" s="1119">
        <v>1.0</v>
      </c>
      <c r="I36" s="1120"/>
      <c r="J36" s="925">
        <v>120.0</v>
      </c>
      <c r="K36" s="1127"/>
      <c r="L36" s="57"/>
      <c r="M36" s="57"/>
      <c r="N36" s="1127"/>
      <c r="O36" s="725"/>
    </row>
    <row r="37" ht="40.5" customHeight="1">
      <c r="A37" s="20"/>
      <c r="B37" s="1128" t="s">
        <v>124</v>
      </c>
      <c r="C37" s="1129">
        <v>1102.0</v>
      </c>
      <c r="D37" s="1113"/>
      <c r="E37" s="925" t="s">
        <v>317</v>
      </c>
      <c r="F37" s="925" t="s">
        <v>318</v>
      </c>
      <c r="G37" s="1114">
        <v>100.0</v>
      </c>
      <c r="H37" s="1115">
        <v>2.0</v>
      </c>
      <c r="I37" s="1116"/>
      <c r="J37" s="1114">
        <v>200.0</v>
      </c>
      <c r="K37" s="1130"/>
      <c r="L37" s="20"/>
      <c r="M37" s="20"/>
      <c r="N37" s="1130"/>
      <c r="O37" s="1114"/>
    </row>
    <row r="38" ht="40.5" customHeight="1">
      <c r="A38" s="1110">
        <v>46262.0</v>
      </c>
      <c r="B38" s="1122" t="s">
        <v>21</v>
      </c>
      <c r="C38" s="1131">
        <v>1102.0</v>
      </c>
      <c r="D38" s="1113"/>
      <c r="E38" s="925" t="s">
        <v>317</v>
      </c>
      <c r="F38" s="925" t="s">
        <v>318</v>
      </c>
      <c r="G38" s="925">
        <v>100.0</v>
      </c>
      <c r="H38" s="1119">
        <v>15.0</v>
      </c>
      <c r="I38" s="1120"/>
      <c r="J38" s="925">
        <f t="shared" ref="J38:J41" si="2">H38*G38</f>
        <v>1500</v>
      </c>
      <c r="K38" s="1132" t="s">
        <v>356</v>
      </c>
      <c r="L38" s="1044" t="s">
        <v>698</v>
      </c>
      <c r="M38" s="1133">
        <v>21.0</v>
      </c>
      <c r="N38" s="1126">
        <f>M38*30</f>
        <v>630</v>
      </c>
      <c r="O38" s="1097">
        <f>J38+J39+N38+J40+J41</f>
        <v>2750</v>
      </c>
    </row>
    <row r="39" ht="40.5" customHeight="1">
      <c r="A39" s="29"/>
      <c r="B39" s="20"/>
      <c r="C39" s="1129">
        <v>1102.0</v>
      </c>
      <c r="D39" s="1113"/>
      <c r="E39" s="925" t="s">
        <v>317</v>
      </c>
      <c r="F39" s="925" t="s">
        <v>25</v>
      </c>
      <c r="G39" s="1114">
        <v>120.0</v>
      </c>
      <c r="H39" s="1115">
        <v>1.0</v>
      </c>
      <c r="I39" s="1116"/>
      <c r="J39" s="1114">
        <f t="shared" si="2"/>
        <v>120</v>
      </c>
      <c r="K39" s="1134"/>
      <c r="L39" s="29"/>
      <c r="M39" s="29"/>
      <c r="N39" s="1134"/>
      <c r="O39" s="793"/>
    </row>
    <row r="40" ht="40.5" customHeight="1">
      <c r="A40" s="57"/>
      <c r="B40" s="1128" t="s">
        <v>124</v>
      </c>
      <c r="C40" s="1135">
        <v>1101.0</v>
      </c>
      <c r="D40" s="1113"/>
      <c r="E40" s="925" t="s">
        <v>317</v>
      </c>
      <c r="F40" s="925" t="s">
        <v>318</v>
      </c>
      <c r="G40" s="925">
        <v>100.0</v>
      </c>
      <c r="H40" s="1119">
        <v>2.0</v>
      </c>
      <c r="I40" s="1120"/>
      <c r="J40" s="925">
        <f t="shared" si="2"/>
        <v>200</v>
      </c>
      <c r="K40" s="1127"/>
      <c r="L40" s="57"/>
      <c r="M40" s="57"/>
      <c r="N40" s="1127"/>
      <c r="O40" s="792"/>
    </row>
    <row r="41" ht="40.5" customHeight="1">
      <c r="A41" s="20"/>
      <c r="B41" s="1128" t="s">
        <v>22</v>
      </c>
      <c r="C41" s="1136" t="s">
        <v>699</v>
      </c>
      <c r="D41" s="1113"/>
      <c r="E41" s="925" t="s">
        <v>317</v>
      </c>
      <c r="F41" s="925" t="s">
        <v>318</v>
      </c>
      <c r="G41" s="1114">
        <v>100.0</v>
      </c>
      <c r="H41" s="1115">
        <v>3.0</v>
      </c>
      <c r="I41" s="1116"/>
      <c r="J41" s="1114">
        <f t="shared" si="2"/>
        <v>300</v>
      </c>
      <c r="K41" s="1130"/>
      <c r="L41" s="20"/>
      <c r="M41" s="20"/>
      <c r="N41" s="1130"/>
      <c r="O41" s="1137"/>
    </row>
    <row r="42" ht="40.5" customHeight="1">
      <c r="A42" s="1110">
        <v>46263.0</v>
      </c>
      <c r="B42" s="1122" t="s">
        <v>21</v>
      </c>
      <c r="C42" s="1138">
        <v>1102.0</v>
      </c>
      <c r="D42" s="1113"/>
      <c r="E42" s="925" t="s">
        <v>317</v>
      </c>
      <c r="F42" s="925" t="s">
        <v>318</v>
      </c>
      <c r="G42" s="925">
        <v>100.0</v>
      </c>
      <c r="H42" s="1119">
        <v>19.0</v>
      </c>
      <c r="I42" s="1120"/>
      <c r="J42" s="925">
        <v>1900.0</v>
      </c>
      <c r="K42" s="1132" t="s">
        <v>356</v>
      </c>
      <c r="L42" s="1044" t="s">
        <v>698</v>
      </c>
      <c r="M42" s="1133">
        <v>20.0</v>
      </c>
      <c r="N42" s="1126">
        <f>M42*30</f>
        <v>600</v>
      </c>
      <c r="O42" s="1097">
        <f>J42+J43+N42</f>
        <v>2620</v>
      </c>
    </row>
    <row r="43" ht="40.5" customHeight="1">
      <c r="A43" s="20"/>
      <c r="B43" s="20"/>
      <c r="C43" s="20"/>
      <c r="D43" s="1113"/>
      <c r="E43" s="925" t="s">
        <v>317</v>
      </c>
      <c r="F43" s="925" t="s">
        <v>25</v>
      </c>
      <c r="G43" s="1114">
        <v>120.0</v>
      </c>
      <c r="H43" s="1115">
        <v>1.0</v>
      </c>
      <c r="I43" s="1116"/>
      <c r="J43" s="1114">
        <v>120.0</v>
      </c>
      <c r="K43" s="1130"/>
      <c r="L43" s="20"/>
      <c r="M43" s="20"/>
      <c r="N43" s="1130"/>
      <c r="O43" s="1137"/>
    </row>
    <row r="44" ht="40.5" customHeight="1">
      <c r="A44" s="1110">
        <v>46265.0</v>
      </c>
      <c r="B44" s="1122" t="s">
        <v>21</v>
      </c>
      <c r="C44" s="1138">
        <v>1101.0</v>
      </c>
      <c r="D44" s="1113"/>
      <c r="E44" s="925" t="s">
        <v>317</v>
      </c>
      <c r="F44" s="925" t="s">
        <v>318</v>
      </c>
      <c r="G44" s="925">
        <v>100.0</v>
      </c>
      <c r="H44" s="1119">
        <v>19.0</v>
      </c>
      <c r="I44" s="1120"/>
      <c r="J44" s="925">
        <v>1900.0</v>
      </c>
      <c r="K44" s="1132" t="s">
        <v>356</v>
      </c>
      <c r="L44" s="1044" t="s">
        <v>698</v>
      </c>
      <c r="M44" s="1133">
        <v>19.0</v>
      </c>
      <c r="N44" s="1126">
        <f>M44*30</f>
        <v>570</v>
      </c>
      <c r="O44" s="1097">
        <f>J44+J45+N44</f>
        <v>2470</v>
      </c>
    </row>
    <row r="45" ht="40.5" customHeight="1">
      <c r="A45" s="20"/>
      <c r="B45" s="20"/>
      <c r="C45" s="20"/>
      <c r="D45" s="1113"/>
      <c r="E45" s="925" t="s">
        <v>317</v>
      </c>
      <c r="F45" s="925" t="s">
        <v>25</v>
      </c>
      <c r="G45" s="1114">
        <v>0.0</v>
      </c>
      <c r="H45" s="1115">
        <v>0.0</v>
      </c>
      <c r="I45" s="1116"/>
      <c r="J45" s="1114">
        <v>0.0</v>
      </c>
      <c r="K45" s="1130"/>
      <c r="L45" s="20"/>
      <c r="M45" s="20"/>
      <c r="N45" s="1130"/>
      <c r="O45" s="1137"/>
    </row>
    <row r="46" ht="40.5" customHeight="1">
      <c r="A46" s="1110">
        <v>46266.0</v>
      </c>
      <c r="B46" s="1122" t="s">
        <v>21</v>
      </c>
      <c r="C46" s="1138">
        <v>1101.0</v>
      </c>
      <c r="D46" s="1113"/>
      <c r="E46" s="925" t="s">
        <v>317</v>
      </c>
      <c r="F46" s="925" t="s">
        <v>318</v>
      </c>
      <c r="G46" s="925">
        <v>100.0</v>
      </c>
      <c r="H46" s="1119">
        <v>18.0</v>
      </c>
      <c r="I46" s="1120"/>
      <c r="J46" s="925">
        <v>1800.0</v>
      </c>
      <c r="K46" s="1132" t="s">
        <v>356</v>
      </c>
      <c r="L46" s="1044" t="s">
        <v>698</v>
      </c>
      <c r="M46" s="1133">
        <v>19.0</v>
      </c>
      <c r="N46" s="1126">
        <f>M46*30</f>
        <v>570</v>
      </c>
      <c r="O46" s="1097">
        <f>J46+J47+N46</f>
        <v>2490</v>
      </c>
    </row>
    <row r="47" ht="40.5" customHeight="1">
      <c r="A47" s="20"/>
      <c r="B47" s="20"/>
      <c r="C47" s="20"/>
      <c r="D47" s="1113"/>
      <c r="E47" s="925" t="s">
        <v>317</v>
      </c>
      <c r="F47" s="925" t="s">
        <v>25</v>
      </c>
      <c r="G47" s="1114">
        <v>120.0</v>
      </c>
      <c r="H47" s="1115">
        <v>1.0</v>
      </c>
      <c r="I47" s="1116"/>
      <c r="J47" s="1114">
        <v>120.0</v>
      </c>
      <c r="K47" s="1130"/>
      <c r="L47" s="20"/>
      <c r="M47" s="20"/>
      <c r="N47" s="1130"/>
      <c r="O47" s="1137"/>
    </row>
    <row r="48" ht="40.5" customHeight="1">
      <c r="A48" s="1110">
        <v>46267.0</v>
      </c>
      <c r="B48" s="1122" t="s">
        <v>21</v>
      </c>
      <c r="C48" s="1138">
        <v>1101.0</v>
      </c>
      <c r="D48" s="1113"/>
      <c r="E48" s="925" t="s">
        <v>317</v>
      </c>
      <c r="F48" s="925" t="s">
        <v>318</v>
      </c>
      <c r="G48" s="925">
        <v>100.0</v>
      </c>
      <c r="H48" s="1119">
        <v>20.0</v>
      </c>
      <c r="I48" s="1120"/>
      <c r="J48" s="925">
        <v>2000.0</v>
      </c>
      <c r="K48" s="1132" t="s">
        <v>356</v>
      </c>
      <c r="L48" s="1044" t="s">
        <v>698</v>
      </c>
      <c r="M48" s="1133">
        <v>21.0</v>
      </c>
      <c r="N48" s="1126">
        <f>M48*30</f>
        <v>630</v>
      </c>
      <c r="O48" s="1097">
        <f>J48+J49+N48</f>
        <v>2750</v>
      </c>
    </row>
    <row r="49" ht="40.5" customHeight="1">
      <c r="A49" s="20"/>
      <c r="B49" s="20"/>
      <c r="C49" s="20"/>
      <c r="D49" s="1113"/>
      <c r="E49" s="925" t="s">
        <v>317</v>
      </c>
      <c r="F49" s="925" t="s">
        <v>25</v>
      </c>
      <c r="G49" s="1114">
        <v>120.0</v>
      </c>
      <c r="H49" s="1115">
        <v>1.0</v>
      </c>
      <c r="I49" s="1116"/>
      <c r="J49" s="1114">
        <v>120.0</v>
      </c>
      <c r="K49" s="1130"/>
      <c r="L49" s="20"/>
      <c r="M49" s="20"/>
      <c r="N49" s="1130"/>
      <c r="O49" s="1137"/>
    </row>
    <row r="50" ht="40.5" customHeight="1">
      <c r="A50" s="1110">
        <v>46268.0</v>
      </c>
      <c r="B50" s="1122" t="s">
        <v>21</v>
      </c>
      <c r="C50" s="1138">
        <v>1102.0</v>
      </c>
      <c r="D50" s="1113"/>
      <c r="E50" s="925" t="s">
        <v>317</v>
      </c>
      <c r="F50" s="925" t="s">
        <v>318</v>
      </c>
      <c r="G50" s="925">
        <v>100.0</v>
      </c>
      <c r="H50" s="1119">
        <v>20.0</v>
      </c>
      <c r="I50" s="1120"/>
      <c r="J50" s="925">
        <v>2000.0</v>
      </c>
      <c r="K50" s="1132" t="s">
        <v>356</v>
      </c>
      <c r="L50" s="1044" t="s">
        <v>698</v>
      </c>
      <c r="M50" s="1133">
        <v>21.0</v>
      </c>
      <c r="N50" s="1126">
        <f>M50*30</f>
        <v>630</v>
      </c>
      <c r="O50" s="1097">
        <f>J50+J51+N50</f>
        <v>2750</v>
      </c>
    </row>
    <row r="51" ht="40.5" customHeight="1">
      <c r="A51" s="20"/>
      <c r="B51" s="20"/>
      <c r="C51" s="20"/>
      <c r="D51" s="1113"/>
      <c r="E51" s="925" t="s">
        <v>317</v>
      </c>
      <c r="F51" s="925" t="s">
        <v>25</v>
      </c>
      <c r="G51" s="1114">
        <v>120.0</v>
      </c>
      <c r="H51" s="1115">
        <v>1.0</v>
      </c>
      <c r="I51" s="1116"/>
      <c r="J51" s="1114">
        <v>120.0</v>
      </c>
      <c r="K51" s="1130"/>
      <c r="L51" s="20"/>
      <c r="M51" s="20"/>
      <c r="N51" s="1130"/>
      <c r="O51" s="1137"/>
    </row>
    <row r="52" ht="40.5" customHeight="1">
      <c r="A52" s="1110">
        <v>46269.0</v>
      </c>
      <c r="B52" s="1122" t="s">
        <v>21</v>
      </c>
      <c r="C52" s="1138">
        <v>1101.0</v>
      </c>
      <c r="D52" s="1113"/>
      <c r="E52" s="925" t="s">
        <v>317</v>
      </c>
      <c r="F52" s="925" t="s">
        <v>318</v>
      </c>
      <c r="G52" s="925">
        <v>100.0</v>
      </c>
      <c r="H52" s="1119">
        <v>18.0</v>
      </c>
      <c r="I52" s="1120"/>
      <c r="J52" s="925">
        <v>1800.0</v>
      </c>
      <c r="K52" s="1132" t="s">
        <v>356</v>
      </c>
      <c r="L52" s="1044" t="s">
        <v>698</v>
      </c>
      <c r="M52" s="1133">
        <v>19.0</v>
      </c>
      <c r="N52" s="1126">
        <f>M52*30</f>
        <v>570</v>
      </c>
      <c r="O52" s="1097">
        <f>J52+J53+N52</f>
        <v>2490</v>
      </c>
    </row>
    <row r="53" ht="40.5" customHeight="1">
      <c r="A53" s="20"/>
      <c r="B53" s="20"/>
      <c r="C53" s="20"/>
      <c r="D53" s="1113"/>
      <c r="E53" s="925" t="s">
        <v>317</v>
      </c>
      <c r="F53" s="925" t="s">
        <v>25</v>
      </c>
      <c r="G53" s="1114">
        <v>120.0</v>
      </c>
      <c r="H53" s="1115">
        <v>1.0</v>
      </c>
      <c r="I53" s="1116"/>
      <c r="J53" s="1114">
        <v>120.0</v>
      </c>
      <c r="K53" s="1130"/>
      <c r="L53" s="20"/>
      <c r="M53" s="20"/>
      <c r="N53" s="1130"/>
      <c r="O53" s="1137"/>
    </row>
    <row r="54" ht="40.5" customHeight="1">
      <c r="A54" s="1110">
        <v>46270.0</v>
      </c>
      <c r="B54" s="1122" t="s">
        <v>21</v>
      </c>
      <c r="C54" s="1138">
        <v>1104.0</v>
      </c>
      <c r="D54" s="1113"/>
      <c r="E54" s="925" t="s">
        <v>317</v>
      </c>
      <c r="F54" s="925" t="s">
        <v>318</v>
      </c>
      <c r="G54" s="925">
        <v>100.0</v>
      </c>
      <c r="H54" s="1119">
        <v>20.0</v>
      </c>
      <c r="I54" s="1120"/>
      <c r="J54" s="925">
        <v>2000.0</v>
      </c>
      <c r="K54" s="1132" t="s">
        <v>356</v>
      </c>
      <c r="L54" s="1044" t="s">
        <v>698</v>
      </c>
      <c r="M54" s="1133">
        <v>21.0</v>
      </c>
      <c r="N54" s="1126">
        <f>M54*30</f>
        <v>630</v>
      </c>
      <c r="O54" s="1097">
        <f>J54+J55+N54</f>
        <v>2750</v>
      </c>
    </row>
    <row r="55" ht="40.5" customHeight="1">
      <c r="A55" s="20"/>
      <c r="B55" s="20"/>
      <c r="C55" s="20"/>
      <c r="D55" s="1113"/>
      <c r="E55" s="925" t="s">
        <v>317</v>
      </c>
      <c r="F55" s="925" t="s">
        <v>25</v>
      </c>
      <c r="G55" s="1114">
        <v>120.0</v>
      </c>
      <c r="H55" s="1115">
        <v>1.0</v>
      </c>
      <c r="I55" s="1116"/>
      <c r="J55" s="1114">
        <v>120.0</v>
      </c>
      <c r="K55" s="1130"/>
      <c r="L55" s="20"/>
      <c r="M55" s="20"/>
      <c r="N55" s="1130"/>
      <c r="O55" s="1137"/>
    </row>
    <row r="56" ht="40.5" customHeight="1">
      <c r="A56" s="1110">
        <v>46272.0</v>
      </c>
      <c r="B56" s="1122" t="s">
        <v>21</v>
      </c>
      <c r="C56" s="1138">
        <v>1103.0</v>
      </c>
      <c r="D56" s="1113"/>
      <c r="E56" s="925" t="s">
        <v>317</v>
      </c>
      <c r="F56" s="925" t="s">
        <v>318</v>
      </c>
      <c r="G56" s="925">
        <v>100.0</v>
      </c>
      <c r="H56" s="1119">
        <v>19.0</v>
      </c>
      <c r="I56" s="1120"/>
      <c r="J56" s="925">
        <v>2000.0</v>
      </c>
      <c r="K56" s="1132" t="s">
        <v>356</v>
      </c>
      <c r="L56" s="1044" t="s">
        <v>698</v>
      </c>
      <c r="M56" s="1133">
        <v>20.0</v>
      </c>
      <c r="N56" s="1126">
        <f>M56*30</f>
        <v>600</v>
      </c>
      <c r="O56" s="1097">
        <f>J56+J57+N56</f>
        <v>2720</v>
      </c>
    </row>
    <row r="57" ht="40.5" customHeight="1">
      <c r="A57" s="20"/>
      <c r="B57" s="20"/>
      <c r="C57" s="20"/>
      <c r="D57" s="1113"/>
      <c r="E57" s="925" t="s">
        <v>317</v>
      </c>
      <c r="F57" s="925" t="s">
        <v>25</v>
      </c>
      <c r="G57" s="1114">
        <v>120.0</v>
      </c>
      <c r="H57" s="1115">
        <v>1.0</v>
      </c>
      <c r="I57" s="1116"/>
      <c r="J57" s="1114">
        <v>120.0</v>
      </c>
      <c r="K57" s="1130"/>
      <c r="L57" s="20"/>
      <c r="M57" s="20"/>
      <c r="N57" s="1130"/>
      <c r="O57" s="1137"/>
    </row>
    <row r="58" ht="40.5" customHeight="1">
      <c r="A58" s="1139"/>
      <c r="B58" s="1140"/>
      <c r="C58" s="1141"/>
      <c r="D58" s="1142"/>
      <c r="E58" s="1143"/>
      <c r="F58" s="1143"/>
      <c r="G58" s="1143"/>
      <c r="H58" s="1144"/>
      <c r="I58" s="1145"/>
      <c r="J58" s="1143"/>
      <c r="K58" s="1146"/>
      <c r="L58" s="1146"/>
      <c r="M58" s="1143"/>
      <c r="N58" s="1143"/>
      <c r="O58" s="1143"/>
    </row>
    <row r="59" ht="40.5" customHeight="1">
      <c r="A59" s="1147"/>
      <c r="B59" s="1140"/>
      <c r="C59" s="1148"/>
      <c r="D59" s="1142"/>
      <c r="E59" s="1149"/>
      <c r="F59" s="1149"/>
      <c r="G59" s="1149"/>
      <c r="H59" s="1150"/>
      <c r="I59" s="1151"/>
      <c r="J59" s="1149"/>
      <c r="K59" s="1152"/>
      <c r="L59" s="1152"/>
      <c r="M59" s="1149"/>
      <c r="N59" s="1149"/>
      <c r="O59" s="1149"/>
    </row>
    <row r="60" ht="40.5" customHeight="1">
      <c r="A60" s="1139"/>
      <c r="B60" s="1140"/>
      <c r="C60" s="1141"/>
      <c r="D60" s="1142"/>
      <c r="E60" s="1143"/>
      <c r="F60" s="1143"/>
      <c r="G60" s="1143"/>
      <c r="H60" s="1144"/>
      <c r="I60" s="1145"/>
      <c r="J60" s="1143"/>
      <c r="K60" s="1146"/>
      <c r="L60" s="1146"/>
      <c r="M60" s="1143"/>
      <c r="N60" s="1143"/>
      <c r="O60" s="1143"/>
    </row>
    <row r="61" ht="40.5" customHeight="1">
      <c r="A61" s="1147"/>
      <c r="B61" s="1140"/>
      <c r="C61" s="1148"/>
      <c r="D61" s="1142"/>
      <c r="E61" s="1149"/>
      <c r="F61" s="1149"/>
      <c r="G61" s="1149"/>
      <c r="H61" s="1150"/>
      <c r="I61" s="1151"/>
      <c r="J61" s="1149"/>
      <c r="K61" s="1152"/>
      <c r="L61" s="1152"/>
      <c r="M61" s="1149"/>
      <c r="N61" s="1149"/>
      <c r="O61" s="1149"/>
    </row>
    <row r="62" ht="40.5" customHeight="1">
      <c r="A62" s="1139"/>
      <c r="B62" s="1140"/>
      <c r="C62" s="1141"/>
      <c r="D62" s="1142"/>
      <c r="E62" s="1143"/>
      <c r="F62" s="1143"/>
      <c r="G62" s="1143"/>
      <c r="H62" s="1144"/>
      <c r="I62" s="1145"/>
      <c r="J62" s="1143"/>
      <c r="K62" s="1146"/>
      <c r="L62" s="1146"/>
      <c r="M62" s="1143"/>
      <c r="N62" s="1143"/>
      <c r="O62" s="1143"/>
    </row>
    <row r="63" ht="40.5" customHeight="1">
      <c r="A63" s="1147"/>
      <c r="B63" s="1140"/>
      <c r="C63" s="1148"/>
      <c r="D63" s="1142"/>
      <c r="E63" s="1149"/>
      <c r="F63" s="1149"/>
      <c r="G63" s="1149"/>
      <c r="H63" s="1150"/>
      <c r="I63" s="1151"/>
      <c r="J63" s="1149"/>
      <c r="K63" s="1152"/>
      <c r="L63" s="1152"/>
      <c r="M63" s="1149"/>
      <c r="N63" s="1149"/>
      <c r="O63" s="1149"/>
    </row>
    <row r="64" ht="40.5" customHeight="1">
      <c r="A64" s="1139"/>
      <c r="B64" s="1140"/>
      <c r="C64" s="1141"/>
      <c r="D64" s="1142"/>
      <c r="E64" s="1143"/>
      <c r="F64" s="1143"/>
      <c r="G64" s="1143"/>
      <c r="H64" s="1144"/>
      <c r="I64" s="1145"/>
      <c r="J64" s="1143"/>
      <c r="K64" s="1146"/>
      <c r="L64" s="1146"/>
      <c r="M64" s="1143"/>
      <c r="N64" s="1143"/>
      <c r="O64" s="1143"/>
    </row>
    <row r="65" ht="40.5" customHeight="1">
      <c r="A65" s="1147"/>
      <c r="B65" s="1140"/>
      <c r="C65" s="1148"/>
      <c r="D65" s="1142"/>
      <c r="E65" s="1149"/>
      <c r="F65" s="1149"/>
      <c r="G65" s="1149"/>
      <c r="H65" s="1150"/>
      <c r="I65" s="1151"/>
      <c r="J65" s="1149"/>
      <c r="K65" s="1152"/>
      <c r="L65" s="1152"/>
      <c r="M65" s="1149"/>
      <c r="N65" s="1149"/>
      <c r="O65" s="1149"/>
    </row>
    <row r="66" ht="40.5" customHeight="1">
      <c r="A66" s="1139"/>
      <c r="B66" s="1140"/>
      <c r="C66" s="1141"/>
      <c r="D66" s="1142"/>
      <c r="E66" s="1143"/>
      <c r="F66" s="1143"/>
      <c r="G66" s="1143"/>
      <c r="H66" s="1144"/>
      <c r="I66" s="1145"/>
      <c r="J66" s="1143"/>
      <c r="K66" s="1146"/>
      <c r="L66" s="1146"/>
      <c r="M66" s="1143"/>
      <c r="N66" s="1143"/>
      <c r="O66" s="1143"/>
    </row>
    <row r="67" ht="40.5" customHeight="1">
      <c r="A67" s="1147"/>
      <c r="B67" s="1140"/>
      <c r="C67" s="1148"/>
      <c r="D67" s="1142"/>
      <c r="E67" s="1149"/>
      <c r="F67" s="1149"/>
      <c r="G67" s="1149"/>
      <c r="H67" s="1150"/>
      <c r="I67" s="1151"/>
      <c r="J67" s="1149"/>
      <c r="K67" s="1152"/>
      <c r="L67" s="1152"/>
      <c r="M67" s="1149"/>
      <c r="N67" s="1149"/>
      <c r="O67" s="1149"/>
    </row>
    <row r="68" ht="40.5" customHeight="1">
      <c r="A68" s="1139"/>
      <c r="B68" s="1140"/>
      <c r="C68" s="1141"/>
      <c r="D68" s="1142"/>
      <c r="E68" s="1143"/>
      <c r="F68" s="1143"/>
      <c r="G68" s="1143"/>
      <c r="H68" s="1144"/>
      <c r="I68" s="1145"/>
      <c r="J68" s="1143"/>
      <c r="K68" s="1146"/>
      <c r="L68" s="1146"/>
      <c r="M68" s="1143"/>
      <c r="N68" s="1143"/>
      <c r="O68" s="1143"/>
    </row>
    <row r="69" ht="40.5" customHeight="1">
      <c r="A69" s="1147"/>
      <c r="B69" s="1140"/>
      <c r="C69" s="1148"/>
      <c r="D69" s="1142"/>
      <c r="E69" s="1149"/>
      <c r="F69" s="1149"/>
      <c r="G69" s="1149"/>
      <c r="H69" s="1150"/>
      <c r="I69" s="1151"/>
      <c r="J69" s="1149"/>
      <c r="K69" s="1152"/>
      <c r="L69" s="1152"/>
      <c r="M69" s="1149"/>
      <c r="N69" s="1149"/>
      <c r="O69" s="1149"/>
    </row>
    <row r="70" ht="40.5" customHeight="1">
      <c r="A70" s="1139"/>
      <c r="B70" s="1140"/>
      <c r="C70" s="1141"/>
      <c r="D70" s="1142"/>
      <c r="E70" s="1143"/>
      <c r="F70" s="1143"/>
      <c r="G70" s="1143"/>
      <c r="H70" s="1144"/>
      <c r="I70" s="1145"/>
      <c r="J70" s="1143"/>
      <c r="K70" s="1146"/>
      <c r="L70" s="1146"/>
      <c r="M70" s="1143"/>
      <c r="N70" s="1143"/>
      <c r="O70" s="1143"/>
    </row>
    <row r="71" ht="40.5" customHeight="1">
      <c r="A71" s="1147"/>
      <c r="B71" s="1140"/>
      <c r="C71" s="1148"/>
      <c r="D71" s="1142"/>
      <c r="E71" s="1149"/>
      <c r="F71" s="1149"/>
      <c r="G71" s="1149"/>
      <c r="H71" s="1150"/>
      <c r="I71" s="1151"/>
      <c r="J71" s="1149"/>
      <c r="K71" s="1152"/>
      <c r="L71" s="1152"/>
      <c r="M71" s="1149"/>
      <c r="N71" s="1149"/>
      <c r="O71" s="1149"/>
    </row>
    <row r="72" ht="40.5" customHeight="1">
      <c r="A72" s="1139"/>
      <c r="B72" s="1140"/>
      <c r="C72" s="1141"/>
      <c r="D72" s="1142"/>
      <c r="E72" s="1143"/>
      <c r="F72" s="1143"/>
      <c r="G72" s="1143"/>
      <c r="H72" s="1144"/>
      <c r="I72" s="1145"/>
      <c r="J72" s="1143"/>
      <c r="K72" s="1146"/>
      <c r="L72" s="1146"/>
      <c r="M72" s="1143"/>
      <c r="N72" s="1143"/>
      <c r="O72" s="1143"/>
    </row>
    <row r="73" ht="40.5" customHeight="1">
      <c r="A73" s="1147"/>
      <c r="B73" s="1140"/>
      <c r="C73" s="1148"/>
      <c r="D73" s="1142"/>
      <c r="E73" s="1149"/>
      <c r="F73" s="1149"/>
      <c r="G73" s="1149"/>
      <c r="H73" s="1150"/>
      <c r="I73" s="1151"/>
      <c r="J73" s="1149"/>
      <c r="K73" s="1152"/>
      <c r="L73" s="1152"/>
      <c r="M73" s="1149"/>
      <c r="N73" s="1149"/>
      <c r="O73" s="1149"/>
    </row>
    <row r="74" ht="40.5" customHeight="1">
      <c r="A74" s="1139"/>
      <c r="B74" s="1140"/>
      <c r="C74" s="1141"/>
      <c r="D74" s="1142"/>
      <c r="E74" s="1143"/>
      <c r="F74" s="1143"/>
      <c r="G74" s="1143"/>
      <c r="H74" s="1144"/>
      <c r="I74" s="1145"/>
      <c r="J74" s="1143"/>
      <c r="K74" s="1146"/>
      <c r="L74" s="1146"/>
      <c r="M74" s="1143"/>
      <c r="N74" s="1143"/>
      <c r="O74" s="1143"/>
    </row>
    <row r="75" ht="40.5" customHeight="1">
      <c r="A75" s="1147"/>
      <c r="B75" s="1140"/>
      <c r="C75" s="1148"/>
      <c r="D75" s="1142"/>
      <c r="E75" s="1149"/>
      <c r="F75" s="1149"/>
      <c r="G75" s="1149"/>
      <c r="H75" s="1150"/>
      <c r="I75" s="1151"/>
      <c r="J75" s="1149"/>
      <c r="K75" s="1152"/>
      <c r="L75" s="1152"/>
      <c r="M75" s="1149"/>
      <c r="N75" s="1149"/>
      <c r="O75" s="1149"/>
    </row>
    <row r="76" ht="40.5" customHeight="1">
      <c r="A76" s="1139"/>
      <c r="B76" s="1140"/>
      <c r="C76" s="1141"/>
      <c r="D76" s="1142"/>
      <c r="E76" s="1143"/>
      <c r="F76" s="1143"/>
      <c r="G76" s="1143"/>
      <c r="H76" s="1144"/>
      <c r="I76" s="1145"/>
      <c r="J76" s="1143"/>
      <c r="K76" s="1146"/>
      <c r="L76" s="1146"/>
      <c r="M76" s="1143"/>
      <c r="N76" s="1143"/>
      <c r="O76" s="1143"/>
    </row>
    <row r="77" ht="40.5" customHeight="1">
      <c r="A77" s="1147"/>
      <c r="B77" s="1140"/>
      <c r="C77" s="1148"/>
      <c r="D77" s="1142"/>
      <c r="E77" s="1149"/>
      <c r="F77" s="1149"/>
      <c r="G77" s="1149"/>
      <c r="H77" s="1150"/>
      <c r="I77" s="1151"/>
      <c r="J77" s="1149"/>
      <c r="K77" s="1152"/>
      <c r="L77" s="1152"/>
      <c r="M77" s="1149"/>
      <c r="N77" s="1149"/>
      <c r="O77" s="1149"/>
    </row>
    <row r="78" ht="40.5" customHeight="1">
      <c r="A78" s="1139"/>
      <c r="B78" s="1140"/>
      <c r="C78" s="1141"/>
      <c r="D78" s="1142"/>
      <c r="E78" s="1143"/>
      <c r="F78" s="1143"/>
      <c r="G78" s="1143"/>
      <c r="H78" s="1144"/>
      <c r="I78" s="1145"/>
      <c r="J78" s="1143"/>
      <c r="K78" s="1146"/>
      <c r="L78" s="1146"/>
      <c r="M78" s="1143"/>
      <c r="N78" s="1143"/>
      <c r="O78" s="1143"/>
    </row>
    <row r="79" ht="40.5" customHeight="1">
      <c r="A79" s="1147"/>
      <c r="B79" s="1140"/>
      <c r="C79" s="1148"/>
      <c r="D79" s="1142"/>
      <c r="E79" s="1149"/>
      <c r="F79" s="1149"/>
      <c r="G79" s="1149"/>
      <c r="H79" s="1150"/>
      <c r="I79" s="1151"/>
      <c r="J79" s="1149"/>
      <c r="K79" s="1152"/>
      <c r="L79" s="1152"/>
      <c r="M79" s="1149"/>
      <c r="N79" s="1149"/>
      <c r="O79" s="1149"/>
    </row>
    <row r="80" ht="40.5" customHeight="1">
      <c r="A80" s="1139"/>
      <c r="B80" s="1140"/>
      <c r="C80" s="1141"/>
      <c r="D80" s="1142"/>
      <c r="E80" s="1143"/>
      <c r="F80" s="1143"/>
      <c r="G80" s="1143"/>
      <c r="H80" s="1144"/>
      <c r="I80" s="1145"/>
      <c r="J80" s="1143"/>
      <c r="K80" s="1146"/>
      <c r="L80" s="1146"/>
      <c r="M80" s="1143"/>
      <c r="N80" s="1143"/>
      <c r="O80" s="1143"/>
    </row>
    <row r="81" ht="40.5" customHeight="1">
      <c r="A81" s="1147"/>
      <c r="B81" s="1140"/>
      <c r="C81" s="1148"/>
      <c r="D81" s="1142"/>
      <c r="E81" s="1149"/>
      <c r="F81" s="1149"/>
      <c r="G81" s="1149"/>
      <c r="H81" s="1150"/>
      <c r="I81" s="1151"/>
      <c r="J81" s="1149"/>
      <c r="K81" s="1152"/>
      <c r="L81" s="1152"/>
      <c r="M81" s="1149"/>
      <c r="N81" s="1149"/>
      <c r="O81" s="1149"/>
    </row>
    <row r="82" ht="40.5" customHeight="1">
      <c r="A82" s="1139"/>
      <c r="B82" s="1140"/>
      <c r="C82" s="1141"/>
      <c r="D82" s="1142"/>
      <c r="E82" s="1143"/>
      <c r="F82" s="1143"/>
      <c r="G82" s="1143"/>
      <c r="H82" s="1144"/>
      <c r="I82" s="1145"/>
      <c r="J82" s="1143"/>
      <c r="K82" s="1146"/>
      <c r="L82" s="1146"/>
      <c r="M82" s="1143"/>
      <c r="N82" s="1143"/>
      <c r="O82" s="1143"/>
    </row>
    <row r="83" ht="40.5" customHeight="1">
      <c r="A83" s="1147"/>
      <c r="B83" s="1140"/>
      <c r="C83" s="1148"/>
      <c r="D83" s="1142"/>
      <c r="E83" s="1149"/>
      <c r="F83" s="1149"/>
      <c r="G83" s="1149"/>
      <c r="H83" s="1150"/>
      <c r="I83" s="1151"/>
      <c r="J83" s="1149"/>
      <c r="K83" s="1152"/>
      <c r="L83" s="1152"/>
      <c r="M83" s="1149"/>
      <c r="N83" s="1149"/>
      <c r="O83" s="1149"/>
    </row>
    <row r="84" ht="40.5" customHeight="1">
      <c r="A84" s="1139"/>
      <c r="B84" s="1140"/>
      <c r="C84" s="1141"/>
      <c r="D84" s="1142"/>
      <c r="E84" s="1143"/>
      <c r="F84" s="1143"/>
      <c r="G84" s="1143"/>
      <c r="H84" s="1144"/>
      <c r="I84" s="1145"/>
      <c r="J84" s="1143"/>
      <c r="K84" s="1146"/>
      <c r="L84" s="1146"/>
      <c r="M84" s="1143"/>
      <c r="N84" s="1143"/>
      <c r="O84" s="1143"/>
    </row>
    <row r="85" ht="40.5" customHeight="1">
      <c r="A85" s="1147"/>
      <c r="B85" s="1140"/>
      <c r="C85" s="1148"/>
      <c r="D85" s="1142"/>
      <c r="E85" s="1149"/>
      <c r="F85" s="1149"/>
      <c r="G85" s="1149"/>
      <c r="H85" s="1150"/>
      <c r="I85" s="1151"/>
      <c r="J85" s="1149"/>
      <c r="K85" s="1152"/>
      <c r="L85" s="1152"/>
      <c r="M85" s="1149"/>
      <c r="N85" s="1149"/>
      <c r="O85" s="1149"/>
    </row>
    <row r="86" ht="40.5" customHeight="1">
      <c r="A86" s="1139"/>
      <c r="B86" s="1140"/>
      <c r="C86" s="1141"/>
      <c r="D86" s="1142"/>
      <c r="E86" s="1143"/>
      <c r="F86" s="1143"/>
      <c r="G86" s="1143"/>
      <c r="H86" s="1144"/>
      <c r="I86" s="1145"/>
      <c r="J86" s="1143"/>
      <c r="K86" s="1146"/>
      <c r="L86" s="1146"/>
      <c r="M86" s="1143"/>
      <c r="N86" s="1143"/>
      <c r="O86" s="1143"/>
    </row>
    <row r="87" ht="40.5" customHeight="1">
      <c r="A87" s="1147"/>
      <c r="B87" s="1140"/>
      <c r="C87" s="1148"/>
      <c r="D87" s="1142"/>
      <c r="E87" s="1149"/>
      <c r="F87" s="1149"/>
      <c r="G87" s="1149"/>
      <c r="H87" s="1150"/>
      <c r="I87" s="1151"/>
      <c r="J87" s="1149"/>
      <c r="K87" s="1152"/>
      <c r="L87" s="1152"/>
      <c r="M87" s="1149"/>
      <c r="N87" s="1149"/>
      <c r="O87" s="1149"/>
    </row>
    <row r="88" ht="40.5" customHeight="1">
      <c r="A88" s="1139"/>
      <c r="B88" s="1140"/>
      <c r="C88" s="1141"/>
      <c r="D88" s="1142"/>
      <c r="E88" s="1143"/>
      <c r="F88" s="1143"/>
      <c r="G88" s="1143"/>
      <c r="H88" s="1144"/>
      <c r="I88" s="1145"/>
      <c r="J88" s="1143"/>
      <c r="K88" s="1146"/>
      <c r="L88" s="1146"/>
      <c r="M88" s="1143"/>
      <c r="N88" s="1143"/>
      <c r="O88" s="1143"/>
    </row>
    <row r="89" ht="40.5" customHeight="1">
      <c r="A89" s="1147"/>
      <c r="B89" s="1140"/>
      <c r="C89" s="1148"/>
      <c r="D89" s="1142"/>
      <c r="E89" s="1149"/>
      <c r="F89" s="1149"/>
      <c r="G89" s="1149"/>
      <c r="H89" s="1150"/>
      <c r="I89" s="1151"/>
      <c r="J89" s="1149"/>
      <c r="K89" s="1152"/>
      <c r="L89" s="1152"/>
      <c r="M89" s="1149"/>
      <c r="N89" s="1149"/>
      <c r="O89" s="1149"/>
    </row>
    <row r="90" ht="40.5" customHeight="1">
      <c r="A90" s="1139"/>
      <c r="B90" s="1140"/>
      <c r="C90" s="1141"/>
      <c r="D90" s="1142"/>
      <c r="E90" s="1143"/>
      <c r="F90" s="1143"/>
      <c r="G90" s="1143"/>
      <c r="H90" s="1144"/>
      <c r="I90" s="1145"/>
      <c r="J90" s="1143"/>
      <c r="K90" s="1146"/>
      <c r="L90" s="1146"/>
      <c r="M90" s="1143"/>
      <c r="N90" s="1143"/>
      <c r="O90" s="1143"/>
    </row>
    <row r="91" ht="40.5" customHeight="1">
      <c r="A91" s="1147"/>
      <c r="B91" s="1140"/>
      <c r="C91" s="1148"/>
      <c r="D91" s="1142"/>
      <c r="E91" s="1149"/>
      <c r="F91" s="1149"/>
      <c r="G91" s="1149"/>
      <c r="H91" s="1150"/>
      <c r="I91" s="1151"/>
      <c r="J91" s="1149"/>
      <c r="K91" s="1152"/>
      <c r="L91" s="1152"/>
      <c r="M91" s="1149"/>
      <c r="N91" s="1149"/>
      <c r="O91" s="1149"/>
    </row>
    <row r="92" ht="40.5" customHeight="1">
      <c r="A92" s="1139"/>
      <c r="B92" s="1140"/>
      <c r="C92" s="1141"/>
      <c r="D92" s="1142"/>
      <c r="E92" s="1143"/>
      <c r="F92" s="1143"/>
      <c r="G92" s="1143"/>
      <c r="H92" s="1144"/>
      <c r="I92" s="1145"/>
      <c r="J92" s="1143"/>
      <c r="K92" s="1146"/>
      <c r="L92" s="1146"/>
      <c r="M92" s="1143"/>
      <c r="N92" s="1143"/>
      <c r="O92" s="1143"/>
    </row>
    <row r="93" ht="40.5" customHeight="1">
      <c r="A93" s="1147"/>
      <c r="B93" s="1140"/>
      <c r="C93" s="1148"/>
      <c r="D93" s="1142"/>
      <c r="E93" s="1149"/>
      <c r="F93" s="1149"/>
      <c r="G93" s="1149"/>
      <c r="H93" s="1150"/>
      <c r="I93" s="1151"/>
      <c r="J93" s="1149"/>
      <c r="K93" s="1152"/>
      <c r="L93" s="1152"/>
      <c r="M93" s="1149"/>
      <c r="N93" s="1149"/>
      <c r="O93" s="1149"/>
    </row>
    <row r="94" ht="40.5" customHeight="1">
      <c r="A94" s="1139"/>
      <c r="B94" s="1140"/>
      <c r="C94" s="1141"/>
      <c r="D94" s="1142"/>
      <c r="E94" s="1143"/>
      <c r="F94" s="1143"/>
      <c r="G94" s="1143"/>
      <c r="H94" s="1144"/>
      <c r="I94" s="1145"/>
      <c r="J94" s="1143"/>
      <c r="K94" s="1146"/>
      <c r="L94" s="1146"/>
      <c r="M94" s="1143"/>
      <c r="N94" s="1143"/>
      <c r="O94" s="1143"/>
    </row>
    <row r="95" ht="40.5" customHeight="1">
      <c r="A95" s="1147"/>
      <c r="B95" s="1140"/>
      <c r="C95" s="1148"/>
      <c r="D95" s="1142"/>
      <c r="E95" s="1149"/>
      <c r="F95" s="1149"/>
      <c r="G95" s="1149"/>
      <c r="H95" s="1150"/>
      <c r="I95" s="1151"/>
      <c r="J95" s="1149"/>
      <c r="K95" s="1152"/>
      <c r="L95" s="1152"/>
      <c r="M95" s="1149"/>
      <c r="N95" s="1149"/>
      <c r="O95" s="1149"/>
    </row>
    <row r="96" ht="40.5" customHeight="1">
      <c r="A96" s="1139"/>
      <c r="B96" s="1140"/>
      <c r="C96" s="1141"/>
      <c r="D96" s="1142"/>
      <c r="E96" s="1143"/>
      <c r="F96" s="1143"/>
      <c r="G96" s="1143"/>
      <c r="H96" s="1144"/>
      <c r="I96" s="1145"/>
      <c r="J96" s="1143"/>
      <c r="K96" s="1146"/>
      <c r="L96" s="1146"/>
      <c r="M96" s="1143"/>
      <c r="N96" s="1143"/>
      <c r="O96" s="1143"/>
    </row>
    <row r="97" ht="40.5" customHeight="1">
      <c r="A97" s="1147"/>
      <c r="B97" s="1140"/>
      <c r="C97" s="1148"/>
      <c r="D97" s="1142"/>
      <c r="E97" s="1149"/>
      <c r="F97" s="1149"/>
      <c r="G97" s="1149"/>
      <c r="H97" s="1150"/>
      <c r="I97" s="1151"/>
      <c r="J97" s="1149"/>
      <c r="K97" s="1152"/>
      <c r="L97" s="1152"/>
      <c r="M97" s="1149"/>
      <c r="N97" s="1149"/>
      <c r="O97" s="1149"/>
    </row>
    <row r="98" ht="40.5" customHeight="1">
      <c r="A98" s="1139"/>
      <c r="B98" s="1140"/>
      <c r="C98" s="1141"/>
      <c r="D98" s="1142"/>
      <c r="E98" s="1143"/>
      <c r="F98" s="1143"/>
      <c r="G98" s="1143"/>
      <c r="H98" s="1144"/>
      <c r="I98" s="1145"/>
      <c r="J98" s="1143"/>
      <c r="K98" s="1146"/>
      <c r="L98" s="1146"/>
      <c r="M98" s="1143"/>
      <c r="N98" s="1143"/>
      <c r="O98" s="1143"/>
    </row>
    <row r="99" ht="40.5" customHeight="1">
      <c r="A99" s="1147"/>
      <c r="B99" s="1140"/>
      <c r="C99" s="1148"/>
      <c r="D99" s="1142"/>
      <c r="E99" s="1149"/>
      <c r="F99" s="1149"/>
      <c r="G99" s="1149"/>
      <c r="H99" s="1150"/>
      <c r="I99" s="1151"/>
      <c r="J99" s="1149"/>
      <c r="K99" s="1152"/>
      <c r="L99" s="1152"/>
      <c r="M99" s="1149"/>
      <c r="N99" s="1149"/>
      <c r="O99" s="1149"/>
    </row>
    <row r="100" ht="40.5" customHeight="1">
      <c r="A100" s="1139"/>
      <c r="B100" s="1140"/>
      <c r="C100" s="1141"/>
      <c r="D100" s="1142"/>
      <c r="E100" s="1143"/>
      <c r="F100" s="1143"/>
      <c r="G100" s="1143"/>
      <c r="H100" s="1144"/>
      <c r="I100" s="1145"/>
      <c r="J100" s="1143"/>
      <c r="K100" s="1146"/>
      <c r="L100" s="1146"/>
      <c r="M100" s="1143"/>
      <c r="N100" s="1143"/>
      <c r="O100" s="1143"/>
    </row>
    <row r="101" ht="40.5" customHeight="1">
      <c r="A101" s="1147"/>
      <c r="B101" s="1140"/>
      <c r="C101" s="1148"/>
      <c r="D101" s="1142"/>
      <c r="E101" s="1149"/>
      <c r="F101" s="1149"/>
      <c r="G101" s="1149"/>
      <c r="H101" s="1150"/>
      <c r="I101" s="1151"/>
      <c r="J101" s="1149"/>
      <c r="K101" s="1152"/>
      <c r="L101" s="1152"/>
      <c r="M101" s="1149"/>
      <c r="N101" s="1149"/>
      <c r="O101" s="1149"/>
    </row>
    <row r="102" ht="40.5" customHeight="1">
      <c r="A102" s="1139"/>
      <c r="B102" s="1140"/>
      <c r="C102" s="1141"/>
      <c r="D102" s="1142"/>
      <c r="E102" s="1143"/>
      <c r="F102" s="1143"/>
      <c r="G102" s="1143"/>
      <c r="H102" s="1144"/>
      <c r="I102" s="1145"/>
      <c r="J102" s="1143"/>
      <c r="K102" s="1146"/>
      <c r="L102" s="1146"/>
      <c r="M102" s="1143"/>
      <c r="N102" s="1143"/>
      <c r="O102" s="1143"/>
    </row>
    <row r="103" ht="40.5" customHeight="1">
      <c r="A103" s="1147"/>
      <c r="B103" s="1140"/>
      <c r="C103" s="1148"/>
      <c r="D103" s="1142"/>
      <c r="E103" s="1149"/>
      <c r="F103" s="1149"/>
      <c r="G103" s="1149"/>
      <c r="H103" s="1150"/>
      <c r="I103" s="1151"/>
      <c r="J103" s="1149"/>
      <c r="K103" s="1152"/>
      <c r="L103" s="1152"/>
      <c r="M103" s="1149"/>
      <c r="N103" s="1149"/>
      <c r="O103" s="1149"/>
    </row>
    <row r="104" ht="40.5" customHeight="1">
      <c r="A104" s="1139"/>
      <c r="B104" s="1140"/>
      <c r="C104" s="1141"/>
      <c r="D104" s="1142"/>
      <c r="E104" s="1143"/>
      <c r="F104" s="1143"/>
      <c r="G104" s="1143"/>
      <c r="H104" s="1144"/>
      <c r="I104" s="1145"/>
      <c r="J104" s="1143"/>
      <c r="K104" s="1146"/>
      <c r="L104" s="1146"/>
      <c r="M104" s="1143"/>
      <c r="N104" s="1143"/>
      <c r="O104" s="1143"/>
    </row>
    <row r="105" ht="40.5" customHeight="1">
      <c r="A105" s="1147"/>
      <c r="B105" s="1140"/>
      <c r="C105" s="1148"/>
      <c r="D105" s="1142"/>
      <c r="E105" s="1149"/>
      <c r="F105" s="1149"/>
      <c r="G105" s="1149"/>
      <c r="H105" s="1150"/>
      <c r="I105" s="1151"/>
      <c r="J105" s="1149"/>
      <c r="K105" s="1152"/>
      <c r="L105" s="1152"/>
      <c r="M105" s="1149"/>
      <c r="N105" s="1149"/>
      <c r="O105" s="1149"/>
    </row>
    <row r="106" ht="40.5" customHeight="1">
      <c r="A106" s="1139"/>
      <c r="B106" s="1140"/>
      <c r="C106" s="1141"/>
      <c r="D106" s="1142"/>
      <c r="E106" s="1143"/>
      <c r="F106" s="1143"/>
      <c r="G106" s="1143"/>
      <c r="H106" s="1144"/>
      <c r="I106" s="1145"/>
      <c r="J106" s="1143"/>
      <c r="K106" s="1146"/>
      <c r="L106" s="1146"/>
      <c r="M106" s="1143"/>
      <c r="N106" s="1143"/>
      <c r="O106" s="1143"/>
    </row>
    <row r="107" ht="40.5" customHeight="1">
      <c r="A107" s="1147"/>
      <c r="B107" s="1140"/>
      <c r="C107" s="1148"/>
      <c r="D107" s="1142"/>
      <c r="E107" s="1149"/>
      <c r="F107" s="1149"/>
      <c r="G107" s="1149"/>
      <c r="H107" s="1150"/>
      <c r="I107" s="1151"/>
      <c r="J107" s="1149"/>
      <c r="K107" s="1152"/>
      <c r="L107" s="1152"/>
      <c r="M107" s="1149"/>
      <c r="N107" s="1149"/>
      <c r="O107" s="1149"/>
    </row>
    <row r="108" ht="40.5" customHeight="1">
      <c r="A108" s="1139"/>
      <c r="B108" s="1140"/>
      <c r="C108" s="1141"/>
      <c r="D108" s="1142"/>
      <c r="E108" s="1143"/>
      <c r="F108" s="1143"/>
      <c r="G108" s="1143"/>
      <c r="H108" s="1144"/>
      <c r="I108" s="1145"/>
      <c r="J108" s="1143"/>
      <c r="K108" s="1146"/>
      <c r="L108" s="1146"/>
      <c r="M108" s="1143"/>
      <c r="N108" s="1143"/>
      <c r="O108" s="1143"/>
    </row>
    <row r="109" ht="40.5" customHeight="1">
      <c r="A109" s="1147"/>
      <c r="B109" s="1140"/>
      <c r="C109" s="1148"/>
      <c r="D109" s="1142"/>
      <c r="E109" s="1149"/>
      <c r="F109" s="1149"/>
      <c r="G109" s="1149"/>
      <c r="H109" s="1150"/>
      <c r="I109" s="1151"/>
      <c r="J109" s="1149"/>
      <c r="K109" s="1152"/>
      <c r="L109" s="1152"/>
      <c r="M109" s="1149"/>
      <c r="N109" s="1149"/>
      <c r="O109" s="1149"/>
    </row>
    <row r="110" ht="40.5" customHeight="1">
      <c r="A110" s="1139"/>
      <c r="B110" s="1140"/>
      <c r="C110" s="1141"/>
      <c r="D110" s="1142"/>
      <c r="E110" s="1143"/>
      <c r="F110" s="1143"/>
      <c r="G110" s="1143"/>
      <c r="H110" s="1144"/>
      <c r="I110" s="1145"/>
      <c r="J110" s="1143"/>
      <c r="K110" s="1146"/>
      <c r="L110" s="1146"/>
      <c r="M110" s="1143"/>
      <c r="N110" s="1143"/>
      <c r="O110" s="1143"/>
    </row>
    <row r="111" ht="40.5" customHeight="1">
      <c r="A111" s="1147"/>
      <c r="B111" s="1140"/>
      <c r="C111" s="1148"/>
      <c r="D111" s="1142"/>
      <c r="E111" s="1149"/>
      <c r="F111" s="1149"/>
      <c r="G111" s="1149"/>
      <c r="H111" s="1150"/>
      <c r="I111" s="1151"/>
      <c r="J111" s="1149"/>
      <c r="K111" s="1152"/>
      <c r="L111" s="1152"/>
      <c r="M111" s="1149"/>
      <c r="N111" s="1149"/>
      <c r="O111" s="1149"/>
    </row>
    <row r="112" ht="40.5" customHeight="1">
      <c r="A112" s="1139"/>
      <c r="B112" s="1140"/>
      <c r="C112" s="1141"/>
      <c r="D112" s="1142"/>
      <c r="E112" s="1143"/>
      <c r="F112" s="1143"/>
      <c r="G112" s="1143"/>
      <c r="H112" s="1144"/>
      <c r="I112" s="1145"/>
      <c r="J112" s="1143"/>
      <c r="K112" s="1146"/>
      <c r="L112" s="1146"/>
      <c r="M112" s="1143"/>
      <c r="N112" s="1143"/>
      <c r="O112" s="1143"/>
    </row>
    <row r="113" ht="40.5" customHeight="1">
      <c r="A113" s="1147"/>
      <c r="B113" s="1140"/>
      <c r="C113" s="1148"/>
      <c r="D113" s="1142"/>
      <c r="E113" s="1149"/>
      <c r="F113" s="1149"/>
      <c r="G113" s="1149"/>
      <c r="H113" s="1150"/>
      <c r="I113" s="1151"/>
      <c r="J113" s="1149"/>
      <c r="K113" s="1152"/>
      <c r="L113" s="1152"/>
      <c r="M113" s="1149"/>
      <c r="N113" s="1149"/>
      <c r="O113" s="1149"/>
    </row>
    <row r="114" ht="40.5" customHeight="1">
      <c r="A114" s="1139"/>
      <c r="B114" s="1140"/>
      <c r="C114" s="1141"/>
      <c r="D114" s="1142"/>
      <c r="E114" s="1143"/>
      <c r="F114" s="1143"/>
      <c r="G114" s="1143"/>
      <c r="H114" s="1144"/>
      <c r="I114" s="1145"/>
      <c r="J114" s="1143"/>
      <c r="K114" s="1146"/>
      <c r="L114" s="1146"/>
      <c r="M114" s="1143"/>
      <c r="N114" s="1143"/>
      <c r="O114" s="1143"/>
    </row>
    <row r="115" ht="40.5" customHeight="1">
      <c r="A115" s="1147"/>
      <c r="B115" s="1140"/>
      <c r="C115" s="1148"/>
      <c r="D115" s="1142"/>
      <c r="E115" s="1149"/>
      <c r="F115" s="1149"/>
      <c r="G115" s="1149"/>
      <c r="H115" s="1150"/>
      <c r="I115" s="1151"/>
      <c r="J115" s="1149"/>
      <c r="K115" s="1152"/>
      <c r="L115" s="1152"/>
      <c r="M115" s="1149"/>
      <c r="N115" s="1149"/>
      <c r="O115" s="1149"/>
    </row>
    <row r="116" ht="40.5" customHeight="1">
      <c r="A116" s="1139"/>
      <c r="B116" s="1140"/>
      <c r="C116" s="1141"/>
      <c r="D116" s="1142"/>
      <c r="E116" s="1143"/>
      <c r="F116" s="1143"/>
      <c r="G116" s="1143"/>
      <c r="H116" s="1144"/>
      <c r="I116" s="1145"/>
      <c r="J116" s="1143"/>
      <c r="K116" s="1146"/>
      <c r="L116" s="1146"/>
      <c r="M116" s="1143"/>
      <c r="N116" s="1143"/>
      <c r="O116" s="1143"/>
    </row>
    <row r="117" ht="40.5" customHeight="1">
      <c r="A117" s="1147"/>
      <c r="B117" s="1140"/>
      <c r="C117" s="1148"/>
      <c r="D117" s="1142"/>
      <c r="E117" s="1149"/>
      <c r="F117" s="1149"/>
      <c r="G117" s="1149"/>
      <c r="H117" s="1150"/>
      <c r="I117" s="1151"/>
      <c r="J117" s="1149"/>
      <c r="K117" s="1152"/>
      <c r="L117" s="1152"/>
      <c r="M117" s="1149"/>
      <c r="N117" s="1149"/>
      <c r="O117" s="1149"/>
    </row>
    <row r="118" ht="40.5" customHeight="1">
      <c r="A118" s="1139"/>
      <c r="B118" s="1140"/>
      <c r="C118" s="1141"/>
      <c r="D118" s="1142"/>
      <c r="E118" s="1143"/>
      <c r="F118" s="1143"/>
      <c r="G118" s="1143"/>
      <c r="H118" s="1144"/>
      <c r="I118" s="1145"/>
      <c r="J118" s="1143"/>
      <c r="K118" s="1146"/>
      <c r="L118" s="1146"/>
      <c r="M118" s="1143"/>
      <c r="N118" s="1143"/>
      <c r="O118" s="1143"/>
    </row>
    <row r="119" ht="40.5" customHeight="1">
      <c r="A119" s="1147"/>
      <c r="B119" s="1140"/>
      <c r="C119" s="1148"/>
      <c r="D119" s="1142"/>
      <c r="E119" s="1149"/>
      <c r="F119" s="1149"/>
      <c r="G119" s="1149"/>
      <c r="H119" s="1150"/>
      <c r="I119" s="1151"/>
      <c r="J119" s="1149"/>
      <c r="K119" s="1152"/>
      <c r="L119" s="1152"/>
      <c r="M119" s="1149"/>
      <c r="N119" s="1149"/>
      <c r="O119" s="1149"/>
    </row>
    <row r="120" ht="40.5" customHeight="1">
      <c r="A120" s="1139"/>
      <c r="B120" s="1140"/>
      <c r="C120" s="1141"/>
      <c r="D120" s="1142"/>
      <c r="E120" s="1143"/>
      <c r="F120" s="1143"/>
      <c r="G120" s="1143"/>
      <c r="H120" s="1144"/>
      <c r="I120" s="1145"/>
      <c r="J120" s="1143"/>
      <c r="K120" s="1146"/>
      <c r="L120" s="1146"/>
      <c r="M120" s="1143"/>
      <c r="N120" s="1143"/>
      <c r="O120" s="1143"/>
    </row>
    <row r="121" ht="40.5" customHeight="1">
      <c r="A121" s="1147"/>
      <c r="B121" s="1140"/>
      <c r="C121" s="1148"/>
      <c r="D121" s="1142"/>
      <c r="E121" s="1149"/>
      <c r="F121" s="1149"/>
      <c r="G121" s="1149"/>
      <c r="H121" s="1150"/>
      <c r="I121" s="1151"/>
      <c r="J121" s="1149"/>
      <c r="K121" s="1152"/>
      <c r="L121" s="1152"/>
      <c r="M121" s="1149"/>
      <c r="N121" s="1149"/>
      <c r="O121" s="1149"/>
    </row>
    <row r="122" ht="40.5" customHeight="1">
      <c r="A122" s="1139"/>
      <c r="B122" s="1140"/>
      <c r="C122" s="1141"/>
      <c r="D122" s="1142"/>
      <c r="E122" s="1143"/>
      <c r="F122" s="1143"/>
      <c r="G122" s="1143"/>
      <c r="H122" s="1144"/>
      <c r="I122" s="1145"/>
      <c r="J122" s="1143"/>
      <c r="K122" s="1146"/>
      <c r="L122" s="1146"/>
      <c r="M122" s="1143"/>
      <c r="N122" s="1143"/>
      <c r="O122" s="1143"/>
    </row>
    <row r="123" ht="40.5" customHeight="1">
      <c r="A123" s="1147"/>
      <c r="B123" s="1140"/>
      <c r="C123" s="1148"/>
      <c r="D123" s="1142"/>
      <c r="E123" s="1149"/>
      <c r="F123" s="1149"/>
      <c r="G123" s="1149"/>
      <c r="H123" s="1150"/>
      <c r="I123" s="1151"/>
      <c r="J123" s="1149"/>
      <c r="K123" s="1152"/>
      <c r="L123" s="1152"/>
      <c r="M123" s="1149"/>
      <c r="N123" s="1149"/>
      <c r="O123" s="1149"/>
    </row>
    <row r="124" ht="40.5" customHeight="1">
      <c r="A124" s="1139"/>
      <c r="B124" s="1140"/>
      <c r="C124" s="1141"/>
      <c r="D124" s="1142"/>
      <c r="E124" s="1143"/>
      <c r="F124" s="1143"/>
      <c r="G124" s="1143"/>
      <c r="H124" s="1144"/>
      <c r="I124" s="1145"/>
      <c r="J124" s="1143"/>
      <c r="K124" s="1146"/>
      <c r="L124" s="1146"/>
      <c r="M124" s="1143"/>
      <c r="N124" s="1143"/>
      <c r="O124" s="1143"/>
    </row>
    <row r="125" ht="40.5" customHeight="1">
      <c r="A125" s="1147"/>
      <c r="B125" s="1140"/>
      <c r="C125" s="1148"/>
      <c r="D125" s="1142"/>
      <c r="E125" s="1149"/>
      <c r="F125" s="1149"/>
      <c r="G125" s="1149"/>
      <c r="H125" s="1150"/>
      <c r="I125" s="1151"/>
      <c r="J125" s="1149"/>
      <c r="K125" s="1152"/>
      <c r="L125" s="1152"/>
      <c r="M125" s="1149"/>
      <c r="N125" s="1149"/>
      <c r="O125" s="1149"/>
    </row>
    <row r="126" ht="40.5" customHeight="1">
      <c r="A126" s="1139"/>
      <c r="B126" s="1140"/>
      <c r="C126" s="1141"/>
      <c r="D126" s="1142"/>
      <c r="E126" s="1143"/>
      <c r="F126" s="1143"/>
      <c r="G126" s="1143"/>
      <c r="H126" s="1144"/>
      <c r="I126" s="1145"/>
      <c r="J126" s="1143"/>
      <c r="K126" s="1146"/>
      <c r="L126" s="1146"/>
      <c r="M126" s="1143"/>
      <c r="N126" s="1143"/>
      <c r="O126" s="1143"/>
    </row>
    <row r="127" ht="40.5" customHeight="1">
      <c r="A127" s="1147"/>
      <c r="B127" s="1140"/>
      <c r="C127" s="1148"/>
      <c r="D127" s="1142"/>
      <c r="E127" s="1149"/>
      <c r="F127" s="1149"/>
      <c r="G127" s="1149"/>
      <c r="H127" s="1150"/>
      <c r="I127" s="1151"/>
      <c r="J127" s="1149"/>
      <c r="K127" s="1152"/>
      <c r="L127" s="1152"/>
      <c r="M127" s="1149"/>
      <c r="N127" s="1149"/>
      <c r="O127" s="1149"/>
    </row>
    <row r="128" ht="40.5" customHeight="1">
      <c r="A128" s="1139"/>
      <c r="B128" s="1140"/>
      <c r="C128" s="1141"/>
      <c r="D128" s="1142"/>
      <c r="E128" s="1143"/>
      <c r="F128" s="1143"/>
      <c r="G128" s="1143"/>
      <c r="H128" s="1144"/>
      <c r="I128" s="1145"/>
      <c r="J128" s="1143"/>
      <c r="K128" s="1146"/>
      <c r="L128" s="1146"/>
      <c r="M128" s="1143"/>
      <c r="N128" s="1143"/>
      <c r="O128" s="1143"/>
    </row>
    <row r="129" ht="40.5" customHeight="1">
      <c r="A129" s="1147"/>
      <c r="B129" s="1140"/>
      <c r="C129" s="1148"/>
      <c r="D129" s="1142"/>
      <c r="E129" s="1149"/>
      <c r="F129" s="1149"/>
      <c r="G129" s="1149"/>
      <c r="H129" s="1150"/>
      <c r="I129" s="1151"/>
      <c r="J129" s="1149"/>
      <c r="K129" s="1152"/>
      <c r="L129" s="1152"/>
      <c r="M129" s="1149"/>
      <c r="N129" s="1149"/>
      <c r="O129" s="1149"/>
    </row>
    <row r="130" ht="40.5" customHeight="1">
      <c r="A130" s="1139"/>
      <c r="B130" s="1140"/>
      <c r="C130" s="1141"/>
      <c r="D130" s="1142"/>
      <c r="E130" s="1143"/>
      <c r="F130" s="1143"/>
      <c r="G130" s="1143"/>
      <c r="H130" s="1144"/>
      <c r="I130" s="1145"/>
      <c r="J130" s="1143"/>
      <c r="K130" s="1146"/>
      <c r="L130" s="1146"/>
      <c r="M130" s="1143"/>
      <c r="N130" s="1143"/>
      <c r="O130" s="1143"/>
    </row>
    <row r="131" ht="40.5" customHeight="1">
      <c r="A131" s="1147"/>
      <c r="B131" s="1140"/>
      <c r="C131" s="1148"/>
      <c r="D131" s="1142"/>
      <c r="E131" s="1149"/>
      <c r="F131" s="1149"/>
      <c r="G131" s="1149"/>
      <c r="H131" s="1150"/>
      <c r="I131" s="1151"/>
      <c r="J131" s="1149"/>
      <c r="K131" s="1152"/>
      <c r="L131" s="1152"/>
      <c r="M131" s="1149"/>
      <c r="N131" s="1149"/>
      <c r="O131" s="1149"/>
    </row>
    <row r="132" ht="40.5" customHeight="1">
      <c r="A132" s="1139"/>
      <c r="B132" s="1140"/>
      <c r="C132" s="1141"/>
      <c r="D132" s="1142"/>
      <c r="E132" s="1143"/>
      <c r="F132" s="1143"/>
      <c r="G132" s="1143"/>
      <c r="H132" s="1144"/>
      <c r="I132" s="1145"/>
      <c r="J132" s="1143"/>
      <c r="K132" s="1146"/>
      <c r="L132" s="1146"/>
      <c r="M132" s="1143"/>
      <c r="N132" s="1143"/>
      <c r="O132" s="1143"/>
    </row>
    <row r="133" ht="40.5" customHeight="1">
      <c r="A133" s="1147"/>
      <c r="B133" s="1140"/>
      <c r="C133" s="1148"/>
      <c r="D133" s="1142"/>
      <c r="E133" s="1149"/>
      <c r="F133" s="1149"/>
      <c r="G133" s="1149"/>
      <c r="H133" s="1150"/>
      <c r="I133" s="1151"/>
      <c r="J133" s="1149"/>
      <c r="K133" s="1152"/>
      <c r="L133" s="1152"/>
      <c r="M133" s="1149"/>
      <c r="N133" s="1149"/>
      <c r="O133" s="1149"/>
    </row>
    <row r="134" ht="40.5" customHeight="1">
      <c r="A134" s="1139"/>
      <c r="B134" s="1140"/>
      <c r="C134" s="1141"/>
      <c r="D134" s="1142"/>
      <c r="E134" s="1143"/>
      <c r="F134" s="1143"/>
      <c r="G134" s="1143"/>
      <c r="H134" s="1144"/>
      <c r="I134" s="1145"/>
      <c r="J134" s="1143"/>
      <c r="K134" s="1146"/>
      <c r="L134" s="1146"/>
      <c r="M134" s="1143"/>
      <c r="N134" s="1143"/>
      <c r="O134" s="1143"/>
    </row>
    <row r="135" ht="40.5" customHeight="1">
      <c r="A135" s="1147"/>
      <c r="B135" s="1140"/>
      <c r="C135" s="1148"/>
      <c r="D135" s="1142"/>
      <c r="E135" s="1149"/>
      <c r="F135" s="1149"/>
      <c r="G135" s="1149"/>
      <c r="H135" s="1150"/>
      <c r="I135" s="1151"/>
      <c r="J135" s="1149"/>
      <c r="K135" s="1152"/>
      <c r="L135" s="1152"/>
      <c r="M135" s="1149"/>
      <c r="N135" s="1149"/>
      <c r="O135" s="1149"/>
    </row>
    <row r="136" ht="40.5" customHeight="1">
      <c r="A136" s="1139"/>
      <c r="B136" s="1140"/>
      <c r="C136" s="1141"/>
      <c r="D136" s="1142"/>
      <c r="E136" s="1143"/>
      <c r="F136" s="1143"/>
      <c r="G136" s="1143"/>
      <c r="H136" s="1144"/>
      <c r="I136" s="1145"/>
      <c r="J136" s="1143"/>
      <c r="K136" s="1146"/>
      <c r="L136" s="1146"/>
      <c r="M136" s="1143"/>
      <c r="N136" s="1143"/>
      <c r="O136" s="1143"/>
    </row>
    <row r="137" ht="40.5" customHeight="1">
      <c r="A137" s="1147"/>
      <c r="B137" s="1140"/>
      <c r="C137" s="1148"/>
      <c r="D137" s="1142"/>
      <c r="E137" s="1149"/>
      <c r="F137" s="1149"/>
      <c r="G137" s="1149"/>
      <c r="H137" s="1150"/>
      <c r="I137" s="1151"/>
      <c r="J137" s="1149"/>
      <c r="K137" s="1152"/>
      <c r="L137" s="1152"/>
      <c r="M137" s="1149"/>
      <c r="N137" s="1149"/>
      <c r="O137" s="1149"/>
    </row>
    <row r="138" ht="40.5" customHeight="1">
      <c r="A138" s="1139"/>
      <c r="B138" s="1140"/>
      <c r="C138" s="1141"/>
      <c r="D138" s="1142"/>
      <c r="E138" s="1143"/>
      <c r="F138" s="1143"/>
      <c r="G138" s="1143"/>
      <c r="H138" s="1144"/>
      <c r="I138" s="1145"/>
      <c r="J138" s="1143"/>
      <c r="K138" s="1146"/>
      <c r="L138" s="1146"/>
      <c r="M138" s="1143"/>
      <c r="N138" s="1143"/>
      <c r="O138" s="1143"/>
    </row>
    <row r="139" ht="40.5" customHeight="1">
      <c r="A139" s="1147"/>
      <c r="B139" s="1140"/>
      <c r="C139" s="1148"/>
      <c r="D139" s="1142"/>
      <c r="E139" s="1149"/>
      <c r="F139" s="1149"/>
      <c r="G139" s="1149"/>
      <c r="H139" s="1150"/>
      <c r="I139" s="1151"/>
      <c r="J139" s="1149"/>
      <c r="K139" s="1152"/>
      <c r="L139" s="1152"/>
      <c r="M139" s="1149"/>
      <c r="N139" s="1149"/>
      <c r="O139" s="1149"/>
    </row>
    <row r="140" ht="40.5" customHeight="1">
      <c r="A140" s="1139"/>
      <c r="B140" s="1140"/>
      <c r="C140" s="1141"/>
      <c r="D140" s="1142"/>
      <c r="E140" s="1143"/>
      <c r="F140" s="1143"/>
      <c r="G140" s="1143"/>
      <c r="H140" s="1144"/>
      <c r="I140" s="1145"/>
      <c r="J140" s="1143"/>
      <c r="K140" s="1146"/>
      <c r="L140" s="1146"/>
      <c r="M140" s="1143"/>
      <c r="N140" s="1143"/>
      <c r="O140" s="1143"/>
    </row>
    <row r="141" ht="40.5" customHeight="1">
      <c r="A141" s="1147"/>
      <c r="B141" s="1140"/>
      <c r="C141" s="1148"/>
      <c r="D141" s="1142"/>
      <c r="E141" s="1149"/>
      <c r="F141" s="1149"/>
      <c r="G141" s="1149"/>
      <c r="H141" s="1150"/>
      <c r="I141" s="1151"/>
      <c r="J141" s="1149"/>
      <c r="K141" s="1152"/>
      <c r="L141" s="1152"/>
      <c r="M141" s="1149"/>
      <c r="N141" s="1149"/>
      <c r="O141" s="1149"/>
    </row>
    <row r="142" ht="40.5" customHeight="1">
      <c r="A142" s="1139"/>
      <c r="B142" s="1140"/>
      <c r="C142" s="1141"/>
      <c r="D142" s="1142"/>
      <c r="E142" s="1143"/>
      <c r="F142" s="1143"/>
      <c r="G142" s="1143"/>
      <c r="H142" s="1144"/>
      <c r="I142" s="1145"/>
      <c r="J142" s="1143"/>
      <c r="K142" s="1146"/>
      <c r="L142" s="1146"/>
      <c r="M142" s="1143"/>
      <c r="N142" s="1143"/>
      <c r="O142" s="1143"/>
    </row>
    <row r="143" ht="40.5" customHeight="1">
      <c r="A143" s="1147"/>
      <c r="B143" s="1140"/>
      <c r="C143" s="1148"/>
      <c r="D143" s="1142"/>
      <c r="E143" s="1149"/>
      <c r="F143" s="1149"/>
      <c r="G143" s="1149"/>
      <c r="H143" s="1150"/>
      <c r="I143" s="1151"/>
      <c r="J143" s="1149"/>
      <c r="K143" s="1152"/>
      <c r="L143" s="1152"/>
      <c r="M143" s="1149"/>
      <c r="N143" s="1149"/>
      <c r="O143" s="1149"/>
    </row>
    <row r="144" ht="40.5" customHeight="1">
      <c r="A144" s="1139"/>
      <c r="B144" s="1140"/>
      <c r="C144" s="1141"/>
      <c r="D144" s="1142"/>
      <c r="E144" s="1143"/>
      <c r="F144" s="1143"/>
      <c r="G144" s="1143"/>
      <c r="H144" s="1144"/>
      <c r="I144" s="1145"/>
      <c r="J144" s="1143"/>
      <c r="K144" s="1146"/>
      <c r="L144" s="1146"/>
      <c r="M144" s="1143"/>
      <c r="N144" s="1143"/>
      <c r="O144" s="1143"/>
    </row>
    <row r="145" ht="40.5" customHeight="1">
      <c r="A145" s="1147"/>
      <c r="B145" s="1140"/>
      <c r="C145" s="1148"/>
      <c r="D145" s="1142"/>
      <c r="E145" s="1149"/>
      <c r="F145" s="1149"/>
      <c r="G145" s="1149"/>
      <c r="H145" s="1150"/>
      <c r="I145" s="1151"/>
      <c r="J145" s="1149"/>
      <c r="K145" s="1152"/>
      <c r="L145" s="1152"/>
      <c r="M145" s="1149"/>
      <c r="N145" s="1149"/>
      <c r="O145" s="1149"/>
    </row>
    <row r="146" ht="40.5" customHeight="1">
      <c r="A146" s="1139"/>
      <c r="B146" s="1140"/>
      <c r="C146" s="1141"/>
      <c r="D146" s="1142"/>
      <c r="E146" s="1143"/>
      <c r="F146" s="1143"/>
      <c r="G146" s="1143"/>
      <c r="H146" s="1144"/>
      <c r="I146" s="1145"/>
      <c r="J146" s="1143"/>
      <c r="K146" s="1146"/>
      <c r="L146" s="1146"/>
      <c r="M146" s="1143"/>
      <c r="N146" s="1143"/>
      <c r="O146" s="1143"/>
    </row>
    <row r="147" ht="40.5" customHeight="1">
      <c r="A147" s="1147"/>
      <c r="B147" s="1140"/>
      <c r="C147" s="1148"/>
      <c r="D147" s="1142"/>
      <c r="E147" s="1149"/>
      <c r="F147" s="1149"/>
      <c r="G147" s="1149"/>
      <c r="H147" s="1150"/>
      <c r="I147" s="1151"/>
      <c r="J147" s="1149"/>
      <c r="K147" s="1152"/>
      <c r="L147" s="1152"/>
      <c r="M147" s="1149"/>
      <c r="N147" s="1149"/>
      <c r="O147" s="1149"/>
    </row>
    <row r="148" ht="40.5" customHeight="1">
      <c r="A148" s="1139"/>
      <c r="B148" s="1140"/>
      <c r="C148" s="1141"/>
      <c r="D148" s="1142"/>
      <c r="E148" s="1143"/>
      <c r="F148" s="1143"/>
      <c r="G148" s="1143"/>
      <c r="H148" s="1144"/>
      <c r="I148" s="1145"/>
      <c r="J148" s="1143"/>
      <c r="K148" s="1146"/>
      <c r="L148" s="1146"/>
      <c r="M148" s="1143"/>
      <c r="N148" s="1143"/>
      <c r="O148" s="1143"/>
    </row>
    <row r="149" ht="40.5" customHeight="1">
      <c r="A149" s="1147"/>
      <c r="B149" s="1140"/>
      <c r="C149" s="1148"/>
      <c r="D149" s="1142"/>
      <c r="E149" s="1149"/>
      <c r="F149" s="1149"/>
      <c r="G149" s="1149"/>
      <c r="H149" s="1150"/>
      <c r="I149" s="1151"/>
      <c r="J149" s="1149"/>
      <c r="K149" s="1152"/>
      <c r="L149" s="1152"/>
      <c r="M149" s="1149"/>
      <c r="N149" s="1149"/>
      <c r="O149" s="1149"/>
    </row>
    <row r="150" ht="40.5" customHeight="1">
      <c r="A150" s="1139"/>
      <c r="B150" s="1140"/>
      <c r="C150" s="1141"/>
      <c r="D150" s="1142"/>
      <c r="E150" s="1143"/>
      <c r="F150" s="1143"/>
      <c r="G150" s="1143"/>
      <c r="H150" s="1144"/>
      <c r="I150" s="1145"/>
      <c r="J150" s="1143"/>
      <c r="K150" s="1146"/>
      <c r="L150" s="1146"/>
      <c r="M150" s="1143"/>
      <c r="N150" s="1143"/>
      <c r="O150" s="1143"/>
    </row>
    <row r="151" ht="40.5" customHeight="1">
      <c r="A151" s="1147"/>
      <c r="B151" s="1140"/>
      <c r="C151" s="1148"/>
      <c r="D151" s="1142"/>
      <c r="E151" s="1149"/>
      <c r="F151" s="1149"/>
      <c r="G151" s="1149"/>
      <c r="H151" s="1150"/>
      <c r="I151" s="1151"/>
      <c r="J151" s="1149"/>
      <c r="K151" s="1152"/>
      <c r="L151" s="1152"/>
      <c r="M151" s="1149"/>
      <c r="N151" s="1149"/>
      <c r="O151" s="1149"/>
    </row>
    <row r="152" ht="40.5" customHeight="1">
      <c r="A152" s="1139"/>
      <c r="B152" s="1140"/>
      <c r="C152" s="1141"/>
      <c r="D152" s="1142"/>
      <c r="E152" s="1143"/>
      <c r="F152" s="1143"/>
      <c r="G152" s="1143"/>
      <c r="H152" s="1144"/>
      <c r="I152" s="1145"/>
      <c r="J152" s="1143"/>
      <c r="K152" s="1146"/>
      <c r="L152" s="1146"/>
      <c r="M152" s="1143"/>
      <c r="N152" s="1143"/>
      <c r="O152" s="1143"/>
    </row>
    <row r="153" ht="40.5" customHeight="1">
      <c r="A153" s="1147"/>
      <c r="B153" s="1140"/>
      <c r="C153" s="1148"/>
      <c r="D153" s="1142"/>
      <c r="E153" s="1149"/>
      <c r="F153" s="1149"/>
      <c r="G153" s="1149"/>
      <c r="H153" s="1150"/>
      <c r="I153" s="1151"/>
      <c r="J153" s="1149"/>
      <c r="K153" s="1152"/>
      <c r="L153" s="1152"/>
      <c r="M153" s="1149"/>
      <c r="N153" s="1149"/>
      <c r="O153" s="1149"/>
    </row>
    <row r="154" ht="40.5" customHeight="1">
      <c r="A154" s="1139"/>
      <c r="B154" s="1140"/>
      <c r="C154" s="1141"/>
      <c r="D154" s="1142"/>
      <c r="E154" s="1143"/>
      <c r="F154" s="1143"/>
      <c r="G154" s="1143"/>
      <c r="H154" s="1144"/>
      <c r="I154" s="1145"/>
      <c r="J154" s="1143"/>
      <c r="K154" s="1146"/>
      <c r="L154" s="1146"/>
      <c r="M154" s="1143"/>
      <c r="N154" s="1143"/>
      <c r="O154" s="1143"/>
    </row>
    <row r="155" ht="40.5" customHeight="1">
      <c r="A155" s="1147"/>
      <c r="B155" s="1140"/>
      <c r="C155" s="1148"/>
      <c r="D155" s="1142"/>
      <c r="E155" s="1149"/>
      <c r="F155" s="1149"/>
      <c r="G155" s="1149"/>
      <c r="H155" s="1150"/>
      <c r="I155" s="1151"/>
      <c r="J155" s="1149"/>
      <c r="K155" s="1152"/>
      <c r="L155" s="1152"/>
      <c r="M155" s="1149"/>
      <c r="N155" s="1149"/>
      <c r="O155" s="1149"/>
    </row>
    <row r="156" ht="40.5" customHeight="1">
      <c r="A156" s="1139"/>
      <c r="B156" s="1140"/>
      <c r="C156" s="1141"/>
      <c r="D156" s="1142"/>
      <c r="E156" s="1143"/>
      <c r="F156" s="1143"/>
      <c r="G156" s="1143"/>
      <c r="H156" s="1144"/>
      <c r="I156" s="1145"/>
      <c r="J156" s="1143"/>
      <c r="K156" s="1146"/>
      <c r="L156" s="1146"/>
      <c r="M156" s="1143"/>
      <c r="N156" s="1143"/>
      <c r="O156" s="1143"/>
    </row>
    <row r="157" ht="40.5" customHeight="1">
      <c r="A157" s="1147"/>
      <c r="B157" s="1140"/>
      <c r="C157" s="1148"/>
      <c r="D157" s="1142"/>
      <c r="E157" s="1149"/>
      <c r="F157" s="1149"/>
      <c r="G157" s="1149"/>
      <c r="H157" s="1150"/>
      <c r="I157" s="1151"/>
      <c r="J157" s="1149"/>
      <c r="K157" s="1152"/>
      <c r="L157" s="1152"/>
      <c r="M157" s="1149"/>
      <c r="N157" s="1149"/>
      <c r="O157" s="1149"/>
    </row>
    <row r="158" ht="40.5" customHeight="1">
      <c r="A158" s="1139"/>
      <c r="B158" s="1140"/>
      <c r="C158" s="1141"/>
      <c r="D158" s="1142"/>
      <c r="E158" s="1143"/>
      <c r="F158" s="1143"/>
      <c r="G158" s="1143"/>
      <c r="H158" s="1144"/>
      <c r="I158" s="1145"/>
      <c r="J158" s="1143"/>
      <c r="K158" s="1146"/>
      <c r="L158" s="1146"/>
      <c r="M158" s="1143"/>
      <c r="N158" s="1143"/>
      <c r="O158" s="1143"/>
    </row>
    <row r="159" ht="40.5" customHeight="1">
      <c r="A159" s="1147"/>
      <c r="B159" s="1140"/>
      <c r="C159" s="1148"/>
      <c r="D159" s="1142"/>
      <c r="E159" s="1149"/>
      <c r="F159" s="1149"/>
      <c r="G159" s="1149"/>
      <c r="H159" s="1150"/>
      <c r="I159" s="1151"/>
      <c r="J159" s="1149"/>
      <c r="K159" s="1152"/>
      <c r="L159" s="1152"/>
      <c r="M159" s="1149"/>
      <c r="N159" s="1149"/>
      <c r="O159" s="1149"/>
    </row>
    <row r="160" ht="40.5" customHeight="1">
      <c r="A160" s="1139"/>
      <c r="B160" s="1140"/>
      <c r="C160" s="1141"/>
      <c r="D160" s="1142"/>
      <c r="E160" s="1143"/>
      <c r="F160" s="1143"/>
      <c r="G160" s="1143"/>
      <c r="H160" s="1144"/>
      <c r="I160" s="1145"/>
      <c r="J160" s="1143"/>
      <c r="K160" s="1146"/>
      <c r="L160" s="1146"/>
      <c r="M160" s="1143"/>
      <c r="N160" s="1143"/>
      <c r="O160" s="1143"/>
    </row>
    <row r="161" ht="40.5" customHeight="1">
      <c r="A161" s="1147"/>
      <c r="B161" s="1140"/>
      <c r="C161" s="1148"/>
      <c r="D161" s="1142"/>
      <c r="E161" s="1149"/>
      <c r="F161" s="1149"/>
      <c r="G161" s="1149"/>
      <c r="H161" s="1150"/>
      <c r="I161" s="1151"/>
      <c r="J161" s="1149"/>
      <c r="K161" s="1152"/>
      <c r="L161" s="1152"/>
      <c r="M161" s="1149"/>
      <c r="N161" s="1149"/>
      <c r="O161" s="1149"/>
    </row>
    <row r="162" ht="40.5" customHeight="1">
      <c r="A162" s="1139"/>
      <c r="B162" s="1140"/>
      <c r="C162" s="1141"/>
      <c r="D162" s="1142"/>
      <c r="E162" s="1143"/>
      <c r="F162" s="1143"/>
      <c r="G162" s="1143"/>
      <c r="H162" s="1144"/>
      <c r="I162" s="1145"/>
      <c r="J162" s="1143"/>
      <c r="K162" s="1146"/>
      <c r="L162" s="1146"/>
      <c r="M162" s="1143"/>
      <c r="N162" s="1143"/>
      <c r="O162" s="1143"/>
    </row>
    <row r="163" ht="40.5" customHeight="1">
      <c r="A163" s="1147"/>
      <c r="B163" s="1140"/>
      <c r="C163" s="1148"/>
      <c r="D163" s="1142"/>
      <c r="E163" s="1149"/>
      <c r="F163" s="1149"/>
      <c r="G163" s="1149"/>
      <c r="H163" s="1150"/>
      <c r="I163" s="1151"/>
      <c r="J163" s="1149"/>
      <c r="K163" s="1152"/>
      <c r="L163" s="1152"/>
      <c r="M163" s="1149"/>
      <c r="N163" s="1149"/>
      <c r="O163" s="1149"/>
    </row>
    <row r="164" ht="40.5" customHeight="1">
      <c r="A164" s="1139"/>
      <c r="B164" s="1140"/>
      <c r="C164" s="1141"/>
      <c r="D164" s="1142"/>
      <c r="E164" s="1143"/>
      <c r="F164" s="1143"/>
      <c r="G164" s="1143"/>
      <c r="H164" s="1144"/>
      <c r="I164" s="1145"/>
      <c r="J164" s="1143"/>
      <c r="K164" s="1146"/>
      <c r="L164" s="1146"/>
      <c r="M164" s="1143"/>
      <c r="N164" s="1143"/>
      <c r="O164" s="1143"/>
    </row>
    <row r="165" ht="40.5" customHeight="1">
      <c r="A165" s="1147"/>
      <c r="B165" s="1140"/>
      <c r="C165" s="1148"/>
      <c r="D165" s="1142"/>
      <c r="E165" s="1149"/>
      <c r="F165" s="1149"/>
      <c r="G165" s="1149"/>
      <c r="H165" s="1150"/>
      <c r="I165" s="1151"/>
      <c r="J165" s="1149"/>
      <c r="K165" s="1152"/>
      <c r="L165" s="1152"/>
      <c r="M165" s="1149"/>
      <c r="N165" s="1149"/>
      <c r="O165" s="1149"/>
    </row>
    <row r="166" ht="40.5" customHeight="1">
      <c r="A166" s="1139"/>
      <c r="B166" s="1140"/>
      <c r="C166" s="1141"/>
      <c r="D166" s="1142"/>
      <c r="E166" s="1143"/>
      <c r="F166" s="1143"/>
      <c r="G166" s="1143"/>
      <c r="H166" s="1144"/>
      <c r="I166" s="1145"/>
      <c r="J166" s="1143"/>
      <c r="K166" s="1146"/>
      <c r="L166" s="1146"/>
      <c r="M166" s="1143"/>
      <c r="N166" s="1143"/>
      <c r="O166" s="1143"/>
    </row>
    <row r="167" ht="40.5" customHeight="1">
      <c r="A167" s="1147"/>
      <c r="B167" s="1140"/>
      <c r="C167" s="1148"/>
      <c r="D167" s="1142"/>
      <c r="E167" s="1149"/>
      <c r="F167" s="1149"/>
      <c r="G167" s="1149"/>
      <c r="H167" s="1150"/>
      <c r="I167" s="1151"/>
      <c r="J167" s="1149"/>
      <c r="K167" s="1152"/>
      <c r="L167" s="1152"/>
      <c r="M167" s="1149"/>
      <c r="N167" s="1149"/>
      <c r="O167" s="1149"/>
    </row>
    <row r="168" ht="40.5" customHeight="1">
      <c r="A168" s="1139"/>
      <c r="B168" s="1140"/>
      <c r="C168" s="1141"/>
      <c r="D168" s="1142"/>
      <c r="E168" s="1143"/>
      <c r="F168" s="1143"/>
      <c r="G168" s="1143"/>
      <c r="H168" s="1144"/>
      <c r="I168" s="1145"/>
      <c r="J168" s="1143"/>
      <c r="K168" s="1146"/>
      <c r="L168" s="1146"/>
      <c r="M168" s="1143"/>
      <c r="N168" s="1143"/>
      <c r="O168" s="1143"/>
    </row>
    <row r="169" ht="40.5" customHeight="1">
      <c r="A169" s="1147"/>
      <c r="B169" s="1140"/>
      <c r="C169" s="1148"/>
      <c r="D169" s="1142"/>
      <c r="E169" s="1149"/>
      <c r="F169" s="1149"/>
      <c r="G169" s="1149"/>
      <c r="H169" s="1150"/>
      <c r="I169" s="1151"/>
      <c r="J169" s="1149"/>
      <c r="K169" s="1152"/>
      <c r="L169" s="1152"/>
      <c r="M169" s="1149"/>
      <c r="N169" s="1149"/>
      <c r="O169" s="1149"/>
    </row>
    <row r="170" ht="40.5" customHeight="1">
      <c r="A170" s="1139"/>
      <c r="B170" s="1140"/>
      <c r="C170" s="1141"/>
      <c r="D170" s="1142"/>
      <c r="E170" s="1143"/>
      <c r="F170" s="1143"/>
      <c r="G170" s="1143"/>
      <c r="H170" s="1144"/>
      <c r="I170" s="1145"/>
      <c r="J170" s="1143"/>
      <c r="K170" s="1146"/>
      <c r="L170" s="1146"/>
      <c r="M170" s="1143"/>
      <c r="N170" s="1143"/>
      <c r="O170" s="1143"/>
    </row>
    <row r="171" ht="40.5" customHeight="1">
      <c r="A171" s="1147"/>
      <c r="B171" s="1140"/>
      <c r="C171" s="1148"/>
      <c r="D171" s="1142"/>
      <c r="E171" s="1149"/>
      <c r="F171" s="1149"/>
      <c r="G171" s="1149"/>
      <c r="H171" s="1150"/>
      <c r="I171" s="1151"/>
      <c r="J171" s="1149"/>
      <c r="K171" s="1152"/>
      <c r="L171" s="1152"/>
      <c r="M171" s="1149"/>
      <c r="N171" s="1149"/>
      <c r="O171" s="1149"/>
    </row>
    <row r="172" ht="40.5" customHeight="1">
      <c r="A172" s="1139"/>
      <c r="B172" s="1140"/>
      <c r="C172" s="1141"/>
      <c r="D172" s="1142"/>
      <c r="E172" s="1143"/>
      <c r="F172" s="1143"/>
      <c r="G172" s="1143"/>
      <c r="H172" s="1144"/>
      <c r="I172" s="1145"/>
      <c r="J172" s="1143"/>
      <c r="K172" s="1146"/>
      <c r="L172" s="1146"/>
      <c r="M172" s="1143"/>
      <c r="N172" s="1143"/>
      <c r="O172" s="1143"/>
    </row>
    <row r="173" ht="40.5" customHeight="1">
      <c r="A173" s="1147"/>
      <c r="B173" s="1140"/>
      <c r="C173" s="1148"/>
      <c r="D173" s="1142"/>
      <c r="E173" s="1149"/>
      <c r="F173" s="1149"/>
      <c r="G173" s="1149"/>
      <c r="H173" s="1150"/>
      <c r="I173" s="1151"/>
      <c r="J173" s="1149"/>
      <c r="K173" s="1152"/>
      <c r="L173" s="1152"/>
      <c r="M173" s="1149"/>
      <c r="N173" s="1149"/>
      <c r="O173" s="1149"/>
    </row>
    <row r="174" ht="40.5" customHeight="1">
      <c r="A174" s="1139"/>
      <c r="B174" s="1140"/>
      <c r="C174" s="1141"/>
      <c r="D174" s="1142"/>
      <c r="E174" s="1143"/>
      <c r="F174" s="1143"/>
      <c r="G174" s="1143"/>
      <c r="H174" s="1144"/>
      <c r="I174" s="1145"/>
      <c r="J174" s="1143"/>
      <c r="K174" s="1146"/>
      <c r="L174" s="1146"/>
      <c r="M174" s="1143"/>
      <c r="N174" s="1143"/>
      <c r="O174" s="1143"/>
    </row>
    <row r="175" ht="40.5" customHeight="1">
      <c r="A175" s="1147"/>
      <c r="B175" s="1140"/>
      <c r="C175" s="1148"/>
      <c r="D175" s="1142"/>
      <c r="E175" s="1149"/>
      <c r="F175" s="1149"/>
      <c r="G175" s="1149"/>
      <c r="H175" s="1150"/>
      <c r="I175" s="1151"/>
      <c r="J175" s="1149"/>
      <c r="K175" s="1152"/>
      <c r="L175" s="1152"/>
      <c r="M175" s="1149"/>
      <c r="N175" s="1149"/>
      <c r="O175" s="1149"/>
    </row>
    <row r="176" ht="40.5" customHeight="1">
      <c r="A176" s="1139"/>
      <c r="B176" s="1140"/>
      <c r="C176" s="1141"/>
      <c r="D176" s="1142"/>
      <c r="E176" s="1143"/>
      <c r="F176" s="1143"/>
      <c r="G176" s="1143"/>
      <c r="H176" s="1144"/>
      <c r="I176" s="1145"/>
      <c r="J176" s="1143"/>
      <c r="K176" s="1146"/>
      <c r="L176" s="1146"/>
      <c r="M176" s="1143"/>
      <c r="N176" s="1143"/>
      <c r="O176" s="1143"/>
    </row>
    <row r="177" ht="40.5" customHeight="1">
      <c r="A177" s="1147"/>
      <c r="B177" s="1140"/>
      <c r="C177" s="1148"/>
      <c r="D177" s="1142"/>
      <c r="E177" s="1149"/>
      <c r="F177" s="1149"/>
      <c r="G177" s="1149"/>
      <c r="H177" s="1150"/>
      <c r="I177" s="1151"/>
      <c r="J177" s="1149"/>
      <c r="K177" s="1152"/>
      <c r="L177" s="1152"/>
      <c r="M177" s="1149"/>
      <c r="N177" s="1149"/>
      <c r="O177" s="1149"/>
    </row>
    <row r="178" ht="40.5" customHeight="1">
      <c r="A178" s="1139"/>
      <c r="B178" s="1140"/>
      <c r="C178" s="1141"/>
      <c r="D178" s="1142"/>
      <c r="E178" s="1143"/>
      <c r="F178" s="1143"/>
      <c r="G178" s="1143"/>
      <c r="H178" s="1144"/>
      <c r="I178" s="1145"/>
      <c r="J178" s="1143"/>
      <c r="K178" s="1146"/>
      <c r="L178" s="1146"/>
      <c r="M178" s="1143"/>
      <c r="N178" s="1143"/>
      <c r="O178" s="1143"/>
    </row>
    <row r="179" ht="40.5" customHeight="1">
      <c r="A179" s="1147"/>
      <c r="B179" s="1140"/>
      <c r="C179" s="1148"/>
      <c r="D179" s="1142"/>
      <c r="E179" s="1149"/>
      <c r="F179" s="1149"/>
      <c r="G179" s="1149"/>
      <c r="H179" s="1150"/>
      <c r="I179" s="1151"/>
      <c r="J179" s="1149"/>
      <c r="K179" s="1152"/>
      <c r="L179" s="1152"/>
      <c r="M179" s="1149"/>
      <c r="N179" s="1149"/>
      <c r="O179" s="1149"/>
    </row>
    <row r="180" ht="40.5" customHeight="1">
      <c r="A180" s="1139"/>
      <c r="B180" s="1140"/>
      <c r="C180" s="1141"/>
      <c r="D180" s="1142"/>
      <c r="E180" s="1143"/>
      <c r="F180" s="1143"/>
      <c r="G180" s="1143"/>
      <c r="H180" s="1144"/>
      <c r="I180" s="1145"/>
      <c r="J180" s="1143"/>
      <c r="K180" s="1146"/>
      <c r="L180" s="1146"/>
      <c r="M180" s="1143"/>
      <c r="N180" s="1143"/>
      <c r="O180" s="1143"/>
    </row>
    <row r="181" ht="40.5" customHeight="1">
      <c r="A181" s="1147"/>
      <c r="B181" s="1140"/>
      <c r="C181" s="1148"/>
      <c r="D181" s="1142"/>
      <c r="E181" s="1149"/>
      <c r="F181" s="1149"/>
      <c r="G181" s="1149"/>
      <c r="H181" s="1150"/>
      <c r="I181" s="1151"/>
      <c r="J181" s="1149"/>
      <c r="K181" s="1152"/>
      <c r="L181" s="1152"/>
      <c r="M181" s="1149"/>
      <c r="N181" s="1149"/>
      <c r="O181" s="1149"/>
    </row>
    <row r="182" ht="40.5" customHeight="1">
      <c r="A182" s="1139"/>
      <c r="B182" s="1140"/>
      <c r="C182" s="1141"/>
      <c r="D182" s="1142"/>
      <c r="E182" s="1143"/>
      <c r="F182" s="1143"/>
      <c r="G182" s="1143"/>
      <c r="H182" s="1144"/>
      <c r="I182" s="1145"/>
      <c r="J182" s="1143"/>
      <c r="K182" s="1146"/>
      <c r="L182" s="1146"/>
      <c r="M182" s="1143"/>
      <c r="N182" s="1143"/>
      <c r="O182" s="1143"/>
    </row>
    <row r="183" ht="40.5" customHeight="1">
      <c r="A183" s="1147"/>
      <c r="B183" s="1140"/>
      <c r="C183" s="1148"/>
      <c r="D183" s="1142"/>
      <c r="E183" s="1149"/>
      <c r="F183" s="1149"/>
      <c r="G183" s="1149"/>
      <c r="H183" s="1150"/>
      <c r="I183" s="1151"/>
      <c r="J183" s="1149"/>
      <c r="K183" s="1152"/>
      <c r="L183" s="1152"/>
      <c r="M183" s="1149"/>
      <c r="N183" s="1149"/>
      <c r="O183" s="1149"/>
    </row>
    <row r="184" ht="40.5" customHeight="1">
      <c r="A184" s="1139"/>
      <c r="B184" s="1140"/>
      <c r="C184" s="1141"/>
      <c r="D184" s="1142"/>
      <c r="E184" s="1143"/>
      <c r="F184" s="1143"/>
      <c r="G184" s="1143"/>
      <c r="H184" s="1144"/>
      <c r="I184" s="1145"/>
      <c r="J184" s="1143"/>
      <c r="K184" s="1146"/>
      <c r="L184" s="1146"/>
      <c r="M184" s="1143"/>
      <c r="N184" s="1143"/>
      <c r="O184" s="1143"/>
    </row>
    <row r="185" ht="40.5" customHeight="1">
      <c r="A185" s="1147"/>
      <c r="B185" s="1140"/>
      <c r="C185" s="1148"/>
      <c r="D185" s="1142"/>
      <c r="E185" s="1149"/>
      <c r="F185" s="1149"/>
      <c r="G185" s="1149"/>
      <c r="H185" s="1150"/>
      <c r="I185" s="1151"/>
      <c r="J185" s="1149"/>
      <c r="K185" s="1152"/>
      <c r="L185" s="1152"/>
      <c r="M185" s="1149"/>
      <c r="N185" s="1149"/>
      <c r="O185" s="1149"/>
    </row>
    <row r="186" ht="40.5" customHeight="1">
      <c r="A186" s="1139"/>
      <c r="B186" s="1140"/>
      <c r="C186" s="1141"/>
      <c r="D186" s="1142"/>
      <c r="E186" s="1143"/>
      <c r="F186" s="1143"/>
      <c r="G186" s="1143"/>
      <c r="H186" s="1144"/>
      <c r="I186" s="1145"/>
      <c r="J186" s="1143"/>
      <c r="K186" s="1146"/>
      <c r="L186" s="1146"/>
      <c r="M186" s="1143"/>
      <c r="N186" s="1143"/>
      <c r="O186" s="1143"/>
    </row>
    <row r="187" ht="40.5" customHeight="1">
      <c r="A187" s="1147"/>
      <c r="B187" s="1140"/>
      <c r="C187" s="1148"/>
      <c r="D187" s="1142"/>
      <c r="E187" s="1149"/>
      <c r="F187" s="1149"/>
      <c r="G187" s="1149"/>
      <c r="H187" s="1150"/>
      <c r="I187" s="1151"/>
      <c r="J187" s="1149"/>
      <c r="K187" s="1152"/>
      <c r="L187" s="1152"/>
      <c r="M187" s="1149"/>
      <c r="N187" s="1149"/>
      <c r="O187" s="1149"/>
    </row>
    <row r="188" ht="40.5" customHeight="1">
      <c r="A188" s="1139"/>
      <c r="B188" s="1140"/>
      <c r="C188" s="1141"/>
      <c r="D188" s="1142"/>
      <c r="E188" s="1143"/>
      <c r="F188" s="1143"/>
      <c r="G188" s="1143"/>
      <c r="H188" s="1144"/>
      <c r="I188" s="1145"/>
      <c r="J188" s="1143"/>
      <c r="K188" s="1146"/>
      <c r="L188" s="1146"/>
      <c r="M188" s="1143"/>
      <c r="N188" s="1143"/>
      <c r="O188" s="1143"/>
    </row>
    <row r="189" ht="40.5" customHeight="1">
      <c r="A189" s="1147"/>
      <c r="B189" s="1140"/>
      <c r="C189" s="1148"/>
      <c r="D189" s="1142"/>
      <c r="E189" s="1149"/>
      <c r="F189" s="1149"/>
      <c r="G189" s="1149"/>
      <c r="H189" s="1150"/>
      <c r="I189" s="1151"/>
      <c r="J189" s="1149"/>
      <c r="K189" s="1152"/>
      <c r="L189" s="1152"/>
      <c r="M189" s="1149"/>
      <c r="N189" s="1149"/>
      <c r="O189" s="1149"/>
    </row>
    <row r="190" ht="40.5" customHeight="1">
      <c r="A190" s="1139"/>
      <c r="B190" s="1140"/>
      <c r="C190" s="1141"/>
      <c r="D190" s="1142"/>
      <c r="E190" s="1143"/>
      <c r="F190" s="1143"/>
      <c r="G190" s="1143"/>
      <c r="H190" s="1144"/>
      <c r="I190" s="1145"/>
      <c r="J190" s="1143"/>
      <c r="K190" s="1146"/>
      <c r="L190" s="1146"/>
      <c r="M190" s="1143"/>
      <c r="N190" s="1143"/>
      <c r="O190" s="1143"/>
    </row>
    <row r="191" ht="40.5" customHeight="1">
      <c r="A191" s="1147"/>
      <c r="B191" s="1140"/>
      <c r="C191" s="1148"/>
      <c r="D191" s="1142"/>
      <c r="E191" s="1149"/>
      <c r="F191" s="1149"/>
      <c r="G191" s="1149"/>
      <c r="H191" s="1150"/>
      <c r="I191" s="1151"/>
      <c r="J191" s="1149"/>
      <c r="K191" s="1152"/>
      <c r="L191" s="1152"/>
      <c r="M191" s="1149"/>
      <c r="N191" s="1149"/>
      <c r="O191" s="1149"/>
    </row>
    <row r="192" ht="40.5" customHeight="1">
      <c r="A192" s="1139"/>
      <c r="B192" s="1140"/>
      <c r="C192" s="1141"/>
      <c r="D192" s="1142"/>
      <c r="E192" s="1143"/>
      <c r="F192" s="1143"/>
      <c r="G192" s="1143"/>
      <c r="H192" s="1144"/>
      <c r="I192" s="1145"/>
      <c r="J192" s="1143"/>
      <c r="K192" s="1146"/>
      <c r="L192" s="1146"/>
      <c r="M192" s="1143"/>
      <c r="N192" s="1143"/>
      <c r="O192" s="1143"/>
    </row>
    <row r="193" ht="40.5" customHeight="1">
      <c r="A193" s="1147"/>
      <c r="B193" s="1140"/>
      <c r="C193" s="1148"/>
      <c r="D193" s="1142"/>
      <c r="E193" s="1149"/>
      <c r="F193" s="1149"/>
      <c r="G193" s="1149"/>
      <c r="H193" s="1150"/>
      <c r="I193" s="1151"/>
      <c r="J193" s="1149"/>
      <c r="K193" s="1152"/>
      <c r="L193" s="1152"/>
      <c r="M193" s="1149"/>
      <c r="N193" s="1149"/>
      <c r="O193" s="1149"/>
    </row>
    <row r="194" ht="40.5" customHeight="1">
      <c r="A194" s="1139"/>
      <c r="B194" s="1140"/>
      <c r="C194" s="1141"/>
      <c r="D194" s="1142"/>
      <c r="E194" s="1143"/>
      <c r="F194" s="1143"/>
      <c r="G194" s="1143"/>
      <c r="H194" s="1144"/>
      <c r="I194" s="1145"/>
      <c r="J194" s="1143"/>
      <c r="K194" s="1146"/>
      <c r="L194" s="1146"/>
      <c r="M194" s="1143"/>
      <c r="N194" s="1143"/>
      <c r="O194" s="1143"/>
    </row>
    <row r="195" ht="40.5" customHeight="1">
      <c r="A195" s="1147"/>
      <c r="B195" s="1140"/>
      <c r="C195" s="1148"/>
      <c r="D195" s="1142"/>
      <c r="E195" s="1149"/>
      <c r="F195" s="1149"/>
      <c r="G195" s="1149"/>
      <c r="H195" s="1150"/>
      <c r="I195" s="1151"/>
      <c r="J195" s="1149"/>
      <c r="K195" s="1152"/>
      <c r="L195" s="1152"/>
      <c r="M195" s="1149"/>
      <c r="N195" s="1149"/>
      <c r="O195" s="1149"/>
    </row>
    <row r="196" ht="40.5" customHeight="1">
      <c r="A196" s="1139"/>
      <c r="B196" s="1140"/>
      <c r="C196" s="1141"/>
      <c r="D196" s="1142"/>
      <c r="E196" s="1143"/>
      <c r="F196" s="1143"/>
      <c r="G196" s="1143"/>
      <c r="H196" s="1144"/>
      <c r="I196" s="1145"/>
      <c r="J196" s="1143"/>
      <c r="K196" s="1146"/>
      <c r="L196" s="1146"/>
      <c r="M196" s="1143"/>
      <c r="N196" s="1143"/>
      <c r="O196" s="1143"/>
    </row>
    <row r="197" ht="40.5" customHeight="1">
      <c r="A197" s="1147"/>
      <c r="B197" s="1140"/>
      <c r="C197" s="1148"/>
      <c r="D197" s="1142"/>
      <c r="E197" s="1149"/>
      <c r="F197" s="1149"/>
      <c r="G197" s="1149"/>
      <c r="H197" s="1150"/>
      <c r="I197" s="1151"/>
      <c r="J197" s="1149"/>
      <c r="K197" s="1152"/>
      <c r="L197" s="1152"/>
      <c r="M197" s="1149"/>
      <c r="N197" s="1149"/>
      <c r="O197" s="1149"/>
    </row>
    <row r="198" ht="40.5" customHeight="1">
      <c r="A198" s="1139"/>
      <c r="B198" s="1140"/>
      <c r="C198" s="1141"/>
      <c r="D198" s="1142"/>
      <c r="E198" s="1143"/>
      <c r="F198" s="1143"/>
      <c r="G198" s="1143"/>
      <c r="H198" s="1144"/>
      <c r="I198" s="1145"/>
      <c r="J198" s="1143"/>
      <c r="K198" s="1146"/>
      <c r="L198" s="1146"/>
      <c r="M198" s="1143"/>
      <c r="N198" s="1143"/>
      <c r="O198" s="1143"/>
    </row>
    <row r="199" ht="40.5" customHeight="1">
      <c r="A199" s="1147"/>
      <c r="B199" s="1140"/>
      <c r="C199" s="1148"/>
      <c r="D199" s="1142"/>
      <c r="E199" s="1149"/>
      <c r="F199" s="1149"/>
      <c r="G199" s="1149"/>
      <c r="H199" s="1150"/>
      <c r="I199" s="1151"/>
      <c r="J199" s="1149"/>
      <c r="K199" s="1152"/>
      <c r="L199" s="1152"/>
      <c r="M199" s="1149"/>
      <c r="N199" s="1149"/>
      <c r="O199" s="1149"/>
    </row>
    <row r="200" ht="40.5" customHeight="1">
      <c r="A200" s="1139"/>
      <c r="B200" s="1140"/>
      <c r="C200" s="1141"/>
      <c r="D200" s="1142"/>
      <c r="E200" s="1143"/>
      <c r="F200" s="1143"/>
      <c r="G200" s="1143"/>
      <c r="H200" s="1144"/>
      <c r="I200" s="1145"/>
      <c r="J200" s="1143"/>
      <c r="K200" s="1146"/>
      <c r="L200" s="1146"/>
      <c r="M200" s="1143"/>
      <c r="N200" s="1143"/>
      <c r="O200" s="1143"/>
    </row>
    <row r="201" ht="40.5" customHeight="1">
      <c r="A201" s="1147"/>
      <c r="B201" s="1140"/>
      <c r="C201" s="1148"/>
      <c r="D201" s="1142"/>
      <c r="E201" s="1149"/>
      <c r="F201" s="1149"/>
      <c r="G201" s="1149"/>
      <c r="H201" s="1150"/>
      <c r="I201" s="1151"/>
      <c r="J201" s="1149"/>
      <c r="K201" s="1152"/>
      <c r="L201" s="1152"/>
      <c r="M201" s="1149"/>
      <c r="N201" s="1149"/>
      <c r="O201" s="1149"/>
    </row>
    <row r="202" ht="40.5" customHeight="1">
      <c r="A202" s="1139"/>
      <c r="B202" s="1140"/>
      <c r="C202" s="1141"/>
      <c r="D202" s="1142"/>
      <c r="E202" s="1143"/>
      <c r="F202" s="1143"/>
      <c r="G202" s="1143"/>
      <c r="H202" s="1144"/>
      <c r="I202" s="1145"/>
      <c r="J202" s="1143"/>
      <c r="K202" s="1146"/>
      <c r="L202" s="1146"/>
      <c r="M202" s="1143"/>
      <c r="N202" s="1143"/>
      <c r="O202" s="1143"/>
    </row>
    <row r="203" ht="40.5" customHeight="1">
      <c r="A203" s="1147"/>
      <c r="B203" s="1140"/>
      <c r="C203" s="1148"/>
      <c r="D203" s="1142"/>
      <c r="E203" s="1149"/>
      <c r="F203" s="1149"/>
      <c r="G203" s="1149"/>
      <c r="H203" s="1150"/>
      <c r="I203" s="1151"/>
      <c r="J203" s="1149"/>
      <c r="K203" s="1152"/>
      <c r="L203" s="1152"/>
      <c r="M203" s="1149"/>
      <c r="N203" s="1149"/>
      <c r="O203" s="1149"/>
    </row>
    <row r="204" ht="40.5" customHeight="1">
      <c r="A204" s="1139"/>
      <c r="B204" s="1140"/>
      <c r="C204" s="1141"/>
      <c r="D204" s="1142"/>
      <c r="E204" s="1143"/>
      <c r="F204" s="1143"/>
      <c r="G204" s="1143"/>
      <c r="H204" s="1144"/>
      <c r="I204" s="1145"/>
      <c r="J204" s="1143"/>
      <c r="K204" s="1146"/>
      <c r="L204" s="1146"/>
      <c r="M204" s="1143"/>
      <c r="N204" s="1143"/>
      <c r="O204" s="1143"/>
    </row>
    <row r="205" ht="40.5" customHeight="1">
      <c r="A205" s="1147"/>
      <c r="B205" s="1140"/>
      <c r="C205" s="1148"/>
      <c r="D205" s="1142"/>
      <c r="E205" s="1149"/>
      <c r="F205" s="1149"/>
      <c r="G205" s="1149"/>
      <c r="H205" s="1150"/>
      <c r="I205" s="1151"/>
      <c r="J205" s="1149"/>
      <c r="K205" s="1152"/>
      <c r="L205" s="1152"/>
      <c r="M205" s="1149"/>
      <c r="N205" s="1149"/>
      <c r="O205" s="1149"/>
    </row>
    <row r="206" ht="40.5" customHeight="1">
      <c r="A206" s="1139"/>
      <c r="B206" s="1140"/>
      <c r="C206" s="1141"/>
      <c r="D206" s="1142"/>
      <c r="E206" s="1143"/>
      <c r="F206" s="1143"/>
      <c r="G206" s="1143"/>
      <c r="H206" s="1144"/>
      <c r="I206" s="1145"/>
      <c r="J206" s="1143"/>
      <c r="K206" s="1146"/>
      <c r="L206" s="1146"/>
      <c r="M206" s="1143"/>
      <c r="N206" s="1143"/>
      <c r="O206" s="1143"/>
    </row>
    <row r="207" ht="40.5" customHeight="1">
      <c r="A207" s="1147"/>
      <c r="B207" s="1140"/>
      <c r="C207" s="1148"/>
      <c r="D207" s="1142"/>
      <c r="E207" s="1149"/>
      <c r="F207" s="1149"/>
      <c r="G207" s="1149"/>
      <c r="H207" s="1150"/>
      <c r="I207" s="1151"/>
      <c r="J207" s="1149"/>
      <c r="K207" s="1152"/>
      <c r="L207" s="1152"/>
      <c r="M207" s="1149"/>
      <c r="N207" s="1149"/>
      <c r="O207" s="1149"/>
    </row>
    <row r="208" ht="40.5" customHeight="1">
      <c r="A208" s="1139"/>
      <c r="B208" s="1140"/>
      <c r="C208" s="1141"/>
      <c r="D208" s="1142"/>
      <c r="E208" s="1143"/>
      <c r="F208" s="1143"/>
      <c r="G208" s="1143"/>
      <c r="H208" s="1144"/>
      <c r="I208" s="1145"/>
      <c r="J208" s="1143"/>
      <c r="K208" s="1146"/>
      <c r="L208" s="1146"/>
      <c r="M208" s="1143"/>
      <c r="N208" s="1143"/>
      <c r="O208" s="1143"/>
    </row>
    <row r="209" ht="40.5" customHeight="1">
      <c r="A209" s="1147"/>
      <c r="B209" s="1140"/>
      <c r="C209" s="1148"/>
      <c r="D209" s="1142"/>
      <c r="E209" s="1149"/>
      <c r="F209" s="1149"/>
      <c r="G209" s="1149"/>
      <c r="H209" s="1150"/>
      <c r="I209" s="1151"/>
      <c r="J209" s="1149"/>
      <c r="K209" s="1152"/>
      <c r="L209" s="1152"/>
      <c r="M209" s="1149"/>
      <c r="N209" s="1149"/>
      <c r="O209" s="1149"/>
    </row>
    <row r="210" ht="40.5" customHeight="1">
      <c r="A210" s="1139"/>
      <c r="B210" s="1140"/>
      <c r="C210" s="1141"/>
      <c r="D210" s="1142"/>
      <c r="E210" s="1143"/>
      <c r="F210" s="1143"/>
      <c r="G210" s="1143"/>
      <c r="H210" s="1144"/>
      <c r="I210" s="1145"/>
      <c r="J210" s="1143"/>
      <c r="K210" s="1146"/>
      <c r="L210" s="1146"/>
      <c r="M210" s="1143"/>
      <c r="N210" s="1143"/>
      <c r="O210" s="1143"/>
    </row>
    <row r="211" ht="40.5" customHeight="1">
      <c r="A211" s="1147"/>
      <c r="B211" s="1140"/>
      <c r="C211" s="1148"/>
      <c r="D211" s="1142"/>
      <c r="E211" s="1149"/>
      <c r="F211" s="1149"/>
      <c r="G211" s="1149"/>
      <c r="H211" s="1150"/>
      <c r="I211" s="1151"/>
      <c r="J211" s="1149"/>
      <c r="K211" s="1152"/>
      <c r="L211" s="1152"/>
      <c r="M211" s="1149"/>
      <c r="N211" s="1149"/>
      <c r="O211" s="1149"/>
    </row>
    <row r="212" ht="40.5" customHeight="1">
      <c r="A212" s="1139"/>
      <c r="B212" s="1140"/>
      <c r="C212" s="1141"/>
      <c r="D212" s="1142"/>
      <c r="E212" s="1143"/>
      <c r="F212" s="1143"/>
      <c r="G212" s="1143"/>
      <c r="H212" s="1144"/>
      <c r="I212" s="1145"/>
      <c r="J212" s="1143"/>
      <c r="K212" s="1146"/>
      <c r="L212" s="1146"/>
      <c r="M212" s="1143"/>
      <c r="N212" s="1143"/>
      <c r="O212" s="1143"/>
    </row>
    <row r="213" ht="40.5" customHeight="1">
      <c r="A213" s="1147"/>
      <c r="B213" s="1140"/>
      <c r="C213" s="1148"/>
      <c r="D213" s="1142"/>
      <c r="E213" s="1149"/>
      <c r="F213" s="1149"/>
      <c r="G213" s="1149"/>
      <c r="H213" s="1150"/>
      <c r="I213" s="1151"/>
      <c r="J213" s="1149"/>
      <c r="K213" s="1152"/>
      <c r="L213" s="1152"/>
      <c r="M213" s="1149"/>
      <c r="N213" s="1149"/>
      <c r="O213" s="1149"/>
    </row>
    <row r="214" ht="40.5" customHeight="1">
      <c r="A214" s="1139"/>
      <c r="B214" s="1140"/>
      <c r="C214" s="1141"/>
      <c r="D214" s="1142"/>
      <c r="E214" s="1143"/>
      <c r="F214" s="1143"/>
      <c r="G214" s="1143"/>
      <c r="H214" s="1144"/>
      <c r="I214" s="1145"/>
      <c r="J214" s="1143"/>
      <c r="K214" s="1146"/>
      <c r="L214" s="1146"/>
      <c r="M214" s="1143"/>
      <c r="N214" s="1143"/>
      <c r="O214" s="1143"/>
    </row>
    <row r="215" ht="40.5" customHeight="1">
      <c r="A215" s="1147"/>
      <c r="B215" s="1140"/>
      <c r="C215" s="1148"/>
      <c r="D215" s="1142"/>
      <c r="E215" s="1149"/>
      <c r="F215" s="1149"/>
      <c r="G215" s="1149"/>
      <c r="H215" s="1150"/>
      <c r="I215" s="1151"/>
      <c r="J215" s="1149"/>
      <c r="K215" s="1152"/>
      <c r="L215" s="1152"/>
      <c r="M215" s="1149"/>
      <c r="N215" s="1149"/>
      <c r="O215" s="1149"/>
    </row>
    <row r="216" ht="40.5" customHeight="1">
      <c r="A216" s="1139"/>
      <c r="B216" s="1140"/>
      <c r="C216" s="1141"/>
      <c r="D216" s="1142"/>
      <c r="E216" s="1143"/>
      <c r="F216" s="1143"/>
      <c r="G216" s="1143"/>
      <c r="H216" s="1144"/>
      <c r="I216" s="1145"/>
      <c r="J216" s="1143"/>
      <c r="K216" s="1146"/>
      <c r="L216" s="1146"/>
      <c r="M216" s="1143"/>
      <c r="N216" s="1143"/>
      <c r="O216" s="1143"/>
    </row>
    <row r="217" ht="40.5" customHeight="1">
      <c r="A217" s="1147"/>
      <c r="B217" s="1140"/>
      <c r="C217" s="1148"/>
      <c r="D217" s="1142"/>
      <c r="E217" s="1149"/>
      <c r="F217" s="1149"/>
      <c r="G217" s="1149"/>
      <c r="H217" s="1150"/>
      <c r="I217" s="1151"/>
      <c r="J217" s="1149"/>
      <c r="K217" s="1152"/>
      <c r="L217" s="1152"/>
      <c r="M217" s="1149"/>
      <c r="N217" s="1149"/>
      <c r="O217" s="1149"/>
    </row>
    <row r="218" ht="40.5" customHeight="1">
      <c r="A218" s="1139"/>
      <c r="B218" s="1140"/>
      <c r="C218" s="1141"/>
      <c r="D218" s="1142"/>
      <c r="E218" s="1143"/>
      <c r="F218" s="1143"/>
      <c r="G218" s="1143"/>
      <c r="H218" s="1144"/>
      <c r="I218" s="1145"/>
      <c r="J218" s="1143"/>
      <c r="K218" s="1146"/>
      <c r="L218" s="1146"/>
      <c r="M218" s="1143"/>
      <c r="N218" s="1143"/>
      <c r="O218" s="1143"/>
    </row>
    <row r="219" ht="40.5" customHeight="1">
      <c r="A219" s="1147"/>
      <c r="B219" s="1140"/>
      <c r="C219" s="1148"/>
      <c r="D219" s="1142"/>
      <c r="E219" s="1149"/>
      <c r="F219" s="1149"/>
      <c r="G219" s="1149"/>
      <c r="H219" s="1150"/>
      <c r="I219" s="1151"/>
      <c r="J219" s="1149"/>
      <c r="K219" s="1152"/>
      <c r="L219" s="1152"/>
      <c r="M219" s="1149"/>
      <c r="N219" s="1149"/>
      <c r="O219" s="1149"/>
    </row>
    <row r="220" ht="40.5" customHeight="1">
      <c r="A220" s="1139"/>
      <c r="B220" s="1140"/>
      <c r="C220" s="1141"/>
      <c r="D220" s="1142"/>
      <c r="E220" s="1143"/>
      <c r="F220" s="1143"/>
      <c r="G220" s="1143"/>
      <c r="H220" s="1144"/>
      <c r="I220" s="1145"/>
      <c r="J220" s="1143"/>
      <c r="K220" s="1146"/>
      <c r="L220" s="1146"/>
      <c r="M220" s="1143"/>
      <c r="N220" s="1143"/>
      <c r="O220" s="1143"/>
    </row>
    <row r="221" ht="40.5" customHeight="1">
      <c r="A221" s="1147"/>
      <c r="B221" s="1140"/>
      <c r="C221" s="1148"/>
      <c r="D221" s="1142"/>
      <c r="E221" s="1149"/>
      <c r="F221" s="1149"/>
      <c r="G221" s="1149"/>
      <c r="H221" s="1150"/>
      <c r="I221" s="1151"/>
      <c r="J221" s="1149"/>
      <c r="K221" s="1152"/>
      <c r="L221" s="1152"/>
      <c r="M221" s="1149"/>
      <c r="N221" s="1149"/>
      <c r="O221" s="1149"/>
    </row>
    <row r="222" ht="40.5" customHeight="1">
      <c r="A222" s="1139"/>
      <c r="B222" s="1140"/>
      <c r="C222" s="1141"/>
      <c r="D222" s="1142"/>
      <c r="E222" s="1143"/>
      <c r="F222" s="1143"/>
      <c r="G222" s="1143"/>
      <c r="H222" s="1144"/>
      <c r="I222" s="1145"/>
      <c r="J222" s="1143"/>
      <c r="K222" s="1146"/>
      <c r="L222" s="1146"/>
      <c r="M222" s="1143"/>
      <c r="N222" s="1143"/>
      <c r="O222" s="1143"/>
    </row>
    <row r="223" ht="40.5" customHeight="1">
      <c r="A223" s="1147"/>
      <c r="B223" s="1140"/>
      <c r="C223" s="1148"/>
      <c r="D223" s="1142"/>
      <c r="E223" s="1149"/>
      <c r="F223" s="1149"/>
      <c r="G223" s="1149"/>
      <c r="H223" s="1150"/>
      <c r="I223" s="1151"/>
      <c r="J223" s="1149"/>
      <c r="K223" s="1152"/>
      <c r="L223" s="1152"/>
      <c r="M223" s="1149"/>
      <c r="N223" s="1149"/>
      <c r="O223" s="1149"/>
    </row>
    <row r="224" ht="40.5" customHeight="1">
      <c r="A224" s="1139"/>
      <c r="B224" s="1140"/>
      <c r="C224" s="1141"/>
      <c r="D224" s="1142"/>
      <c r="E224" s="1143"/>
      <c r="F224" s="1143"/>
      <c r="G224" s="1143"/>
      <c r="H224" s="1144"/>
      <c r="I224" s="1145"/>
      <c r="J224" s="1143"/>
      <c r="K224" s="1146"/>
      <c r="L224" s="1146"/>
      <c r="M224" s="1143"/>
      <c r="N224" s="1143"/>
      <c r="O224" s="1143"/>
    </row>
    <row r="225" ht="40.5" customHeight="1">
      <c r="A225" s="1147"/>
      <c r="B225" s="1140"/>
      <c r="C225" s="1148"/>
      <c r="D225" s="1142"/>
      <c r="E225" s="1149"/>
      <c r="F225" s="1149"/>
      <c r="G225" s="1149"/>
      <c r="H225" s="1150"/>
      <c r="I225" s="1151"/>
      <c r="J225" s="1149"/>
      <c r="K225" s="1152"/>
      <c r="L225" s="1152"/>
      <c r="M225" s="1149"/>
      <c r="N225" s="1149"/>
      <c r="O225" s="1149"/>
    </row>
    <row r="226" ht="40.5" customHeight="1">
      <c r="A226" s="1139"/>
      <c r="B226" s="1140"/>
      <c r="C226" s="1141"/>
      <c r="D226" s="1142"/>
      <c r="E226" s="1143"/>
      <c r="F226" s="1143"/>
      <c r="G226" s="1143"/>
      <c r="H226" s="1144"/>
      <c r="I226" s="1145"/>
      <c r="J226" s="1143"/>
      <c r="K226" s="1146"/>
      <c r="L226" s="1146"/>
      <c r="M226" s="1143"/>
      <c r="N226" s="1143"/>
      <c r="O226" s="1143"/>
    </row>
    <row r="227" ht="40.5" customHeight="1">
      <c r="A227" s="1147"/>
      <c r="B227" s="1140"/>
      <c r="C227" s="1148"/>
      <c r="D227" s="1142"/>
      <c r="E227" s="1149"/>
      <c r="F227" s="1149"/>
      <c r="G227" s="1149"/>
      <c r="H227" s="1150"/>
      <c r="I227" s="1151"/>
      <c r="J227" s="1149"/>
      <c r="K227" s="1152"/>
      <c r="L227" s="1152"/>
      <c r="M227" s="1149"/>
      <c r="N227" s="1149"/>
      <c r="O227" s="1149"/>
    </row>
    <row r="228" ht="40.5" customHeight="1">
      <c r="A228" s="1139"/>
      <c r="B228" s="1140"/>
      <c r="C228" s="1141"/>
      <c r="D228" s="1142"/>
      <c r="E228" s="1143"/>
      <c r="F228" s="1143"/>
      <c r="G228" s="1143"/>
      <c r="H228" s="1144"/>
      <c r="I228" s="1145"/>
      <c r="J228" s="1143"/>
      <c r="K228" s="1146"/>
      <c r="L228" s="1146"/>
      <c r="M228" s="1143"/>
      <c r="N228" s="1143"/>
      <c r="O228" s="1143"/>
    </row>
    <row r="229" ht="40.5" customHeight="1">
      <c r="A229" s="1147"/>
      <c r="B229" s="1140"/>
      <c r="C229" s="1148"/>
      <c r="D229" s="1142"/>
      <c r="E229" s="1149"/>
      <c r="F229" s="1149"/>
      <c r="G229" s="1149"/>
      <c r="H229" s="1150"/>
      <c r="I229" s="1151"/>
      <c r="J229" s="1149"/>
      <c r="K229" s="1152"/>
      <c r="L229" s="1152"/>
      <c r="M229" s="1149"/>
      <c r="N229" s="1149"/>
      <c r="O229" s="1149"/>
    </row>
    <row r="230" ht="40.5" customHeight="1">
      <c r="A230" s="1139"/>
      <c r="B230" s="1140"/>
      <c r="C230" s="1141"/>
      <c r="D230" s="1142"/>
      <c r="E230" s="1143"/>
      <c r="F230" s="1143"/>
      <c r="G230" s="1143"/>
      <c r="H230" s="1144"/>
      <c r="I230" s="1145"/>
      <c r="J230" s="1143"/>
      <c r="K230" s="1146"/>
      <c r="L230" s="1146"/>
      <c r="M230" s="1143"/>
      <c r="N230" s="1143"/>
      <c r="O230" s="1143"/>
    </row>
    <row r="231" ht="40.5" customHeight="1">
      <c r="A231" s="1147"/>
      <c r="B231" s="1140"/>
      <c r="C231" s="1148"/>
      <c r="D231" s="1142"/>
      <c r="E231" s="1149"/>
      <c r="F231" s="1149"/>
      <c r="G231" s="1149"/>
      <c r="H231" s="1150"/>
      <c r="I231" s="1151"/>
      <c r="J231" s="1149"/>
      <c r="K231" s="1152"/>
      <c r="L231" s="1152"/>
      <c r="M231" s="1149"/>
      <c r="N231" s="1149"/>
      <c r="O231" s="1149"/>
    </row>
    <row r="232" ht="40.5" customHeight="1">
      <c r="A232" s="1139"/>
      <c r="B232" s="1140"/>
      <c r="C232" s="1141"/>
      <c r="D232" s="1142"/>
      <c r="E232" s="1143"/>
      <c r="F232" s="1143"/>
      <c r="G232" s="1143"/>
      <c r="H232" s="1144"/>
      <c r="I232" s="1145"/>
      <c r="J232" s="1143"/>
      <c r="K232" s="1146"/>
      <c r="L232" s="1146"/>
      <c r="M232" s="1143"/>
      <c r="N232" s="1143"/>
      <c r="O232" s="1143"/>
    </row>
    <row r="233" ht="40.5" customHeight="1">
      <c r="A233" s="1147"/>
      <c r="B233" s="1140"/>
      <c r="C233" s="1148"/>
      <c r="D233" s="1142"/>
      <c r="E233" s="1149"/>
      <c r="F233" s="1149"/>
      <c r="G233" s="1149"/>
      <c r="H233" s="1150"/>
      <c r="I233" s="1151"/>
      <c r="J233" s="1149"/>
      <c r="K233" s="1152"/>
      <c r="L233" s="1152"/>
      <c r="M233" s="1149"/>
      <c r="N233" s="1149"/>
      <c r="O233" s="1149"/>
    </row>
    <row r="234" ht="40.5" customHeight="1">
      <c r="A234" s="1139"/>
      <c r="B234" s="1140"/>
      <c r="C234" s="1141"/>
      <c r="D234" s="1142"/>
      <c r="E234" s="1143"/>
      <c r="F234" s="1143"/>
      <c r="G234" s="1143"/>
      <c r="H234" s="1144"/>
      <c r="I234" s="1145"/>
      <c r="J234" s="1143"/>
      <c r="K234" s="1146"/>
      <c r="L234" s="1146"/>
      <c r="M234" s="1143"/>
      <c r="N234" s="1143"/>
      <c r="O234" s="1143"/>
    </row>
    <row r="235" ht="40.5" customHeight="1">
      <c r="A235" s="1147"/>
      <c r="B235" s="1140"/>
      <c r="C235" s="1148"/>
      <c r="D235" s="1142"/>
      <c r="E235" s="1149"/>
      <c r="F235" s="1149"/>
      <c r="G235" s="1149"/>
      <c r="H235" s="1150"/>
      <c r="I235" s="1151"/>
      <c r="J235" s="1149"/>
      <c r="K235" s="1152"/>
      <c r="L235" s="1152"/>
      <c r="M235" s="1149"/>
      <c r="N235" s="1149"/>
      <c r="O235" s="1149"/>
    </row>
    <row r="236" ht="40.5" customHeight="1">
      <c r="A236" s="1139"/>
      <c r="B236" s="1140"/>
      <c r="C236" s="1141"/>
      <c r="D236" s="1142"/>
      <c r="E236" s="1143"/>
      <c r="F236" s="1143"/>
      <c r="G236" s="1143"/>
      <c r="H236" s="1144"/>
      <c r="I236" s="1145"/>
      <c r="J236" s="1143"/>
      <c r="K236" s="1146"/>
      <c r="L236" s="1146"/>
      <c r="M236" s="1143"/>
      <c r="N236" s="1143"/>
      <c r="O236" s="1143"/>
    </row>
    <row r="237" ht="40.5" customHeight="1">
      <c r="A237" s="1147"/>
      <c r="B237" s="1140"/>
      <c r="C237" s="1148"/>
      <c r="D237" s="1142"/>
      <c r="E237" s="1149"/>
      <c r="F237" s="1149"/>
      <c r="G237" s="1149"/>
      <c r="H237" s="1150"/>
      <c r="I237" s="1151"/>
      <c r="J237" s="1149"/>
      <c r="K237" s="1152"/>
      <c r="L237" s="1152"/>
      <c r="M237" s="1149"/>
      <c r="N237" s="1149"/>
      <c r="O237" s="1149"/>
    </row>
    <row r="238" ht="40.5" customHeight="1">
      <c r="A238" s="1139"/>
      <c r="B238" s="1140"/>
      <c r="C238" s="1141"/>
      <c r="D238" s="1142"/>
      <c r="E238" s="1143"/>
      <c r="F238" s="1143"/>
      <c r="G238" s="1143"/>
      <c r="H238" s="1144"/>
      <c r="I238" s="1145"/>
      <c r="J238" s="1143"/>
      <c r="K238" s="1146"/>
      <c r="L238" s="1146"/>
      <c r="M238" s="1143"/>
      <c r="N238" s="1143"/>
      <c r="O238" s="1143"/>
    </row>
    <row r="239" ht="40.5" customHeight="1">
      <c r="A239" s="1147"/>
      <c r="B239" s="1140"/>
      <c r="C239" s="1148"/>
      <c r="D239" s="1142"/>
      <c r="E239" s="1149"/>
      <c r="F239" s="1149"/>
      <c r="G239" s="1149"/>
      <c r="H239" s="1150"/>
      <c r="I239" s="1151"/>
      <c r="J239" s="1149"/>
      <c r="K239" s="1152"/>
      <c r="L239" s="1152"/>
      <c r="M239" s="1149"/>
      <c r="N239" s="1149"/>
      <c r="O239" s="1149"/>
    </row>
    <row r="240" ht="40.5" customHeight="1">
      <c r="A240" s="1139"/>
      <c r="B240" s="1140"/>
      <c r="C240" s="1141"/>
      <c r="D240" s="1142"/>
      <c r="E240" s="1143"/>
      <c r="F240" s="1143"/>
      <c r="G240" s="1143"/>
      <c r="H240" s="1144"/>
      <c r="I240" s="1145"/>
      <c r="J240" s="1143"/>
      <c r="K240" s="1146"/>
      <c r="L240" s="1146"/>
      <c r="M240" s="1143"/>
      <c r="N240" s="1143"/>
      <c r="O240" s="1143"/>
    </row>
    <row r="241" ht="40.5" customHeight="1">
      <c r="A241" s="1147"/>
      <c r="B241" s="1140"/>
      <c r="C241" s="1148"/>
      <c r="D241" s="1142"/>
      <c r="E241" s="1149"/>
      <c r="F241" s="1149"/>
      <c r="G241" s="1149"/>
      <c r="H241" s="1150"/>
      <c r="I241" s="1151"/>
      <c r="J241" s="1149"/>
      <c r="K241" s="1152"/>
      <c r="L241" s="1152"/>
      <c r="M241" s="1149"/>
      <c r="N241" s="1149"/>
      <c r="O241" s="1149"/>
    </row>
    <row r="242" ht="40.5" customHeight="1">
      <c r="A242" s="1139"/>
      <c r="B242" s="1140"/>
      <c r="C242" s="1141"/>
      <c r="D242" s="1142"/>
      <c r="E242" s="1143"/>
      <c r="F242" s="1143"/>
      <c r="G242" s="1143"/>
      <c r="H242" s="1144"/>
      <c r="I242" s="1145"/>
      <c r="J242" s="1143"/>
      <c r="K242" s="1146"/>
      <c r="L242" s="1146"/>
      <c r="M242" s="1143"/>
      <c r="N242" s="1143"/>
      <c r="O242" s="1143"/>
    </row>
    <row r="243" ht="40.5" customHeight="1">
      <c r="A243" s="1147"/>
      <c r="B243" s="1140"/>
      <c r="C243" s="1148"/>
      <c r="D243" s="1142"/>
      <c r="E243" s="1149"/>
      <c r="F243" s="1149"/>
      <c r="G243" s="1149"/>
      <c r="H243" s="1150"/>
      <c r="I243" s="1151"/>
      <c r="J243" s="1149"/>
      <c r="K243" s="1152"/>
      <c r="L243" s="1152"/>
      <c r="M243" s="1149"/>
      <c r="N243" s="1149"/>
      <c r="O243" s="1149"/>
    </row>
    <row r="244" ht="40.5" customHeight="1">
      <c r="A244" s="1139"/>
      <c r="B244" s="1140"/>
      <c r="C244" s="1141"/>
      <c r="D244" s="1142"/>
      <c r="E244" s="1143"/>
      <c r="F244" s="1143"/>
      <c r="G244" s="1143"/>
      <c r="H244" s="1144"/>
      <c r="I244" s="1145"/>
      <c r="J244" s="1143"/>
      <c r="K244" s="1146"/>
      <c r="L244" s="1146"/>
      <c r="M244" s="1143"/>
      <c r="N244" s="1143"/>
      <c r="O244" s="1143"/>
    </row>
    <row r="245" ht="40.5" customHeight="1">
      <c r="A245" s="1147"/>
      <c r="B245" s="1140"/>
      <c r="C245" s="1148"/>
      <c r="D245" s="1142"/>
      <c r="E245" s="1149"/>
      <c r="F245" s="1149"/>
      <c r="G245" s="1149"/>
      <c r="H245" s="1150"/>
      <c r="I245" s="1151"/>
      <c r="J245" s="1149"/>
      <c r="K245" s="1152"/>
      <c r="L245" s="1152"/>
      <c r="M245" s="1149"/>
      <c r="N245" s="1149"/>
      <c r="O245" s="1149"/>
    </row>
    <row r="246" ht="40.5" customHeight="1">
      <c r="A246" s="1139"/>
      <c r="B246" s="1140"/>
      <c r="C246" s="1141"/>
      <c r="D246" s="1142"/>
      <c r="E246" s="1143"/>
      <c r="F246" s="1143"/>
      <c r="G246" s="1143"/>
      <c r="H246" s="1144"/>
      <c r="I246" s="1145"/>
      <c r="J246" s="1143"/>
      <c r="K246" s="1146"/>
      <c r="L246" s="1146"/>
      <c r="M246" s="1143"/>
      <c r="N246" s="1143"/>
      <c r="O246" s="1143"/>
    </row>
    <row r="247" ht="40.5" customHeight="1">
      <c r="A247" s="1147"/>
      <c r="B247" s="1140"/>
      <c r="C247" s="1148"/>
      <c r="D247" s="1142"/>
      <c r="E247" s="1149"/>
      <c r="F247" s="1149"/>
      <c r="G247" s="1149"/>
      <c r="H247" s="1150"/>
      <c r="I247" s="1151"/>
      <c r="J247" s="1149"/>
      <c r="K247" s="1152"/>
      <c r="L247" s="1152"/>
      <c r="M247" s="1149"/>
      <c r="N247" s="1149"/>
      <c r="O247" s="1149"/>
    </row>
    <row r="248" ht="40.5" customHeight="1">
      <c r="A248" s="1139"/>
      <c r="B248" s="1140"/>
      <c r="C248" s="1141"/>
      <c r="D248" s="1142"/>
      <c r="E248" s="1143"/>
      <c r="F248" s="1143"/>
      <c r="G248" s="1143"/>
      <c r="H248" s="1144"/>
      <c r="I248" s="1145"/>
      <c r="J248" s="1143"/>
      <c r="K248" s="1146"/>
      <c r="L248" s="1146"/>
      <c r="M248" s="1143"/>
      <c r="N248" s="1143"/>
      <c r="O248" s="1143"/>
    </row>
    <row r="249" ht="40.5" customHeight="1">
      <c r="A249" s="1147"/>
      <c r="B249" s="1140"/>
      <c r="C249" s="1148"/>
      <c r="D249" s="1142"/>
      <c r="E249" s="1149"/>
      <c r="F249" s="1149"/>
      <c r="G249" s="1149"/>
      <c r="H249" s="1150"/>
      <c r="I249" s="1151"/>
      <c r="J249" s="1149"/>
      <c r="K249" s="1152"/>
      <c r="L249" s="1152"/>
      <c r="M249" s="1149"/>
      <c r="N249" s="1149"/>
      <c r="O249" s="1149"/>
    </row>
    <row r="250" ht="40.5" customHeight="1">
      <c r="A250" s="1139"/>
      <c r="B250" s="1140"/>
      <c r="C250" s="1141"/>
      <c r="D250" s="1142"/>
      <c r="E250" s="1143"/>
      <c r="F250" s="1143"/>
      <c r="G250" s="1143"/>
      <c r="H250" s="1144"/>
      <c r="I250" s="1145"/>
      <c r="J250" s="1143"/>
      <c r="K250" s="1146"/>
      <c r="L250" s="1146"/>
      <c r="M250" s="1143"/>
      <c r="N250" s="1143"/>
      <c r="O250" s="1143"/>
    </row>
    <row r="251" ht="40.5" customHeight="1">
      <c r="A251" s="1147"/>
      <c r="B251" s="1140"/>
      <c r="C251" s="1148"/>
      <c r="D251" s="1142"/>
      <c r="E251" s="1149"/>
      <c r="F251" s="1149"/>
      <c r="G251" s="1149"/>
      <c r="H251" s="1150"/>
      <c r="I251" s="1151"/>
      <c r="J251" s="1149"/>
      <c r="K251" s="1152"/>
      <c r="L251" s="1152"/>
      <c r="M251" s="1149"/>
      <c r="N251" s="1149"/>
      <c r="O251" s="1149"/>
    </row>
    <row r="252" ht="40.5" customHeight="1">
      <c r="A252" s="1139"/>
      <c r="B252" s="1140"/>
      <c r="C252" s="1141"/>
      <c r="D252" s="1142"/>
      <c r="E252" s="1143"/>
      <c r="F252" s="1143"/>
      <c r="G252" s="1143"/>
      <c r="H252" s="1144"/>
      <c r="I252" s="1145"/>
      <c r="J252" s="1143"/>
      <c r="K252" s="1146"/>
      <c r="L252" s="1146"/>
      <c r="M252" s="1143"/>
      <c r="N252" s="1143"/>
      <c r="O252" s="1143"/>
    </row>
    <row r="253" ht="40.5" customHeight="1">
      <c r="A253" s="1147"/>
      <c r="B253" s="1140"/>
      <c r="C253" s="1148"/>
      <c r="D253" s="1142"/>
      <c r="E253" s="1149"/>
      <c r="F253" s="1149"/>
      <c r="G253" s="1149"/>
      <c r="H253" s="1150"/>
      <c r="I253" s="1151"/>
      <c r="J253" s="1149"/>
      <c r="K253" s="1152"/>
      <c r="L253" s="1152"/>
      <c r="M253" s="1149"/>
      <c r="N253" s="1149"/>
      <c r="O253" s="1149"/>
    </row>
    <row r="254" ht="40.5" customHeight="1">
      <c r="A254" s="1139"/>
      <c r="B254" s="1140"/>
      <c r="C254" s="1141"/>
      <c r="D254" s="1142"/>
      <c r="E254" s="1143"/>
      <c r="F254" s="1143"/>
      <c r="G254" s="1143"/>
      <c r="H254" s="1144"/>
      <c r="I254" s="1145"/>
      <c r="J254" s="1143"/>
      <c r="K254" s="1146"/>
      <c r="L254" s="1146"/>
      <c r="M254" s="1143"/>
      <c r="N254" s="1143"/>
      <c r="O254" s="1143"/>
    </row>
    <row r="255" ht="40.5" customHeight="1">
      <c r="A255" s="1147"/>
      <c r="B255" s="1140"/>
      <c r="C255" s="1148"/>
      <c r="D255" s="1142"/>
      <c r="E255" s="1149"/>
      <c r="F255" s="1149"/>
      <c r="G255" s="1149"/>
      <c r="H255" s="1150"/>
      <c r="I255" s="1151"/>
      <c r="J255" s="1149"/>
      <c r="K255" s="1152"/>
      <c r="L255" s="1152"/>
      <c r="M255" s="1149"/>
      <c r="N255" s="1149"/>
      <c r="O255" s="1149"/>
    </row>
    <row r="256" ht="40.5" customHeight="1">
      <c r="A256" s="1139"/>
      <c r="B256" s="1140"/>
      <c r="C256" s="1141"/>
      <c r="D256" s="1142"/>
      <c r="E256" s="1143"/>
      <c r="F256" s="1143"/>
      <c r="G256" s="1143"/>
      <c r="H256" s="1144"/>
      <c r="I256" s="1145"/>
      <c r="J256" s="1143"/>
      <c r="K256" s="1146"/>
      <c r="L256" s="1146"/>
      <c r="M256" s="1143"/>
      <c r="N256" s="1143"/>
      <c r="O256" s="1143"/>
    </row>
    <row r="257" ht="40.5" customHeight="1">
      <c r="A257" s="1147"/>
      <c r="B257" s="1140"/>
      <c r="C257" s="1148"/>
      <c r="D257" s="1142"/>
      <c r="E257" s="1149"/>
      <c r="F257" s="1149"/>
      <c r="G257" s="1149"/>
      <c r="H257" s="1150"/>
      <c r="I257" s="1151"/>
      <c r="J257" s="1149"/>
      <c r="K257" s="1152"/>
      <c r="L257" s="1152"/>
      <c r="M257" s="1149"/>
      <c r="N257" s="1149"/>
      <c r="O257" s="1149"/>
    </row>
    <row r="258" ht="40.5" customHeight="1">
      <c r="A258" s="1139"/>
      <c r="B258" s="1140"/>
      <c r="C258" s="1141"/>
      <c r="D258" s="1142"/>
      <c r="E258" s="1143"/>
      <c r="F258" s="1143"/>
      <c r="G258" s="1143"/>
      <c r="H258" s="1144"/>
      <c r="I258" s="1145"/>
      <c r="J258" s="1143"/>
      <c r="K258" s="1146"/>
      <c r="L258" s="1146"/>
      <c r="M258" s="1143"/>
      <c r="N258" s="1143"/>
      <c r="O258" s="1143"/>
    </row>
    <row r="259" ht="40.5" customHeight="1">
      <c r="A259" s="1147"/>
      <c r="B259" s="1140"/>
      <c r="C259" s="1148"/>
      <c r="D259" s="1142"/>
      <c r="E259" s="1149"/>
      <c r="F259" s="1149"/>
      <c r="G259" s="1149"/>
      <c r="H259" s="1150"/>
      <c r="I259" s="1151"/>
      <c r="J259" s="1149"/>
      <c r="K259" s="1152"/>
      <c r="L259" s="1152"/>
      <c r="M259" s="1149"/>
      <c r="N259" s="1149"/>
      <c r="O259" s="1149"/>
    </row>
    <row r="260" ht="40.5" customHeight="1">
      <c r="A260" s="1139"/>
      <c r="B260" s="1140"/>
      <c r="C260" s="1141"/>
      <c r="D260" s="1142"/>
      <c r="E260" s="1143"/>
      <c r="F260" s="1143"/>
      <c r="G260" s="1143"/>
      <c r="H260" s="1144"/>
      <c r="I260" s="1145"/>
      <c r="J260" s="1143"/>
      <c r="K260" s="1146"/>
      <c r="L260" s="1146"/>
      <c r="M260" s="1143"/>
      <c r="N260" s="1143"/>
      <c r="O260" s="1143"/>
    </row>
    <row r="261" ht="40.5" customHeight="1">
      <c r="A261" s="1147"/>
      <c r="B261" s="1140"/>
      <c r="C261" s="1148"/>
      <c r="D261" s="1142"/>
      <c r="E261" s="1149"/>
      <c r="F261" s="1149"/>
      <c r="G261" s="1149"/>
      <c r="H261" s="1150"/>
      <c r="I261" s="1151"/>
      <c r="J261" s="1149"/>
      <c r="K261" s="1152"/>
      <c r="L261" s="1152"/>
      <c r="M261" s="1149"/>
      <c r="N261" s="1149"/>
      <c r="O261" s="1149"/>
    </row>
    <row r="262" ht="40.5" customHeight="1">
      <c r="A262" s="1139"/>
      <c r="B262" s="1140"/>
      <c r="C262" s="1141"/>
      <c r="D262" s="1142"/>
      <c r="E262" s="1143"/>
      <c r="F262" s="1143"/>
      <c r="G262" s="1143"/>
      <c r="H262" s="1144"/>
      <c r="I262" s="1145"/>
      <c r="J262" s="1143"/>
      <c r="K262" s="1146"/>
      <c r="L262" s="1146"/>
      <c r="M262" s="1143"/>
      <c r="N262" s="1143"/>
      <c r="O262" s="1143"/>
    </row>
    <row r="263" ht="40.5" customHeight="1">
      <c r="A263" s="1147"/>
      <c r="B263" s="1140"/>
      <c r="C263" s="1148"/>
      <c r="D263" s="1142"/>
      <c r="E263" s="1149"/>
      <c r="F263" s="1149"/>
      <c r="G263" s="1149"/>
      <c r="H263" s="1150"/>
      <c r="I263" s="1151"/>
      <c r="J263" s="1149"/>
      <c r="K263" s="1152"/>
      <c r="L263" s="1152"/>
      <c r="M263" s="1149"/>
      <c r="N263" s="1149"/>
      <c r="O263" s="1149"/>
    </row>
    <row r="264" ht="40.5" customHeight="1">
      <c r="A264" s="1139"/>
      <c r="B264" s="1140"/>
      <c r="C264" s="1141"/>
      <c r="D264" s="1142"/>
      <c r="E264" s="1143"/>
      <c r="F264" s="1143"/>
      <c r="G264" s="1143"/>
      <c r="H264" s="1144"/>
      <c r="I264" s="1145"/>
      <c r="J264" s="1143"/>
      <c r="K264" s="1146"/>
      <c r="L264" s="1146"/>
      <c r="M264" s="1143"/>
      <c r="N264" s="1143"/>
      <c r="O264" s="1143"/>
    </row>
    <row r="265" ht="40.5" customHeight="1">
      <c r="A265" s="1147"/>
      <c r="B265" s="1140"/>
      <c r="C265" s="1148"/>
      <c r="D265" s="1142"/>
      <c r="E265" s="1149"/>
      <c r="F265" s="1149"/>
      <c r="G265" s="1149"/>
      <c r="H265" s="1150"/>
      <c r="I265" s="1151"/>
      <c r="J265" s="1149"/>
      <c r="K265" s="1152"/>
      <c r="L265" s="1152"/>
      <c r="M265" s="1149"/>
      <c r="N265" s="1149"/>
      <c r="O265" s="1149"/>
    </row>
    <row r="266" ht="40.5" customHeight="1">
      <c r="A266" s="1139"/>
      <c r="B266" s="1140"/>
      <c r="C266" s="1141"/>
      <c r="D266" s="1142"/>
      <c r="E266" s="1143"/>
      <c r="F266" s="1143"/>
      <c r="G266" s="1143"/>
      <c r="H266" s="1144"/>
      <c r="I266" s="1145"/>
      <c r="J266" s="1143"/>
      <c r="K266" s="1146"/>
      <c r="L266" s="1146"/>
      <c r="M266" s="1143"/>
      <c r="N266" s="1143"/>
      <c r="O266" s="1143"/>
    </row>
    <row r="267" ht="40.5" customHeight="1">
      <c r="A267" s="1147"/>
      <c r="B267" s="1140"/>
      <c r="C267" s="1148"/>
      <c r="D267" s="1142"/>
      <c r="E267" s="1149"/>
      <c r="F267" s="1149"/>
      <c r="G267" s="1149"/>
      <c r="H267" s="1150"/>
      <c r="I267" s="1151"/>
      <c r="J267" s="1149"/>
      <c r="K267" s="1152"/>
      <c r="L267" s="1152"/>
      <c r="M267" s="1149"/>
      <c r="N267" s="1149"/>
      <c r="O267" s="1149"/>
    </row>
    <row r="268" ht="40.5" customHeight="1">
      <c r="A268" s="1139"/>
      <c r="B268" s="1140"/>
      <c r="C268" s="1141"/>
      <c r="D268" s="1142"/>
      <c r="E268" s="1143"/>
      <c r="F268" s="1143"/>
      <c r="G268" s="1143"/>
      <c r="H268" s="1144"/>
      <c r="I268" s="1145"/>
      <c r="J268" s="1143"/>
      <c r="K268" s="1146"/>
      <c r="L268" s="1146"/>
      <c r="M268" s="1143"/>
      <c r="N268" s="1143"/>
      <c r="O268" s="1143"/>
    </row>
    <row r="269" ht="40.5" customHeight="1">
      <c r="A269" s="1147"/>
      <c r="B269" s="1140"/>
      <c r="C269" s="1148"/>
      <c r="D269" s="1142"/>
      <c r="E269" s="1149"/>
      <c r="F269" s="1149"/>
      <c r="G269" s="1149"/>
      <c r="H269" s="1150"/>
      <c r="I269" s="1151"/>
      <c r="J269" s="1149"/>
      <c r="K269" s="1152"/>
      <c r="L269" s="1152"/>
      <c r="M269" s="1149"/>
      <c r="N269" s="1149"/>
      <c r="O269" s="1149"/>
    </row>
    <row r="270" ht="40.5" customHeight="1">
      <c r="A270" s="1139"/>
      <c r="B270" s="1140"/>
      <c r="C270" s="1141"/>
      <c r="D270" s="1142"/>
      <c r="E270" s="1143"/>
      <c r="F270" s="1143"/>
      <c r="G270" s="1143"/>
      <c r="H270" s="1144"/>
      <c r="I270" s="1145"/>
      <c r="J270" s="1143"/>
      <c r="K270" s="1146"/>
      <c r="L270" s="1146"/>
      <c r="M270" s="1143"/>
      <c r="N270" s="1143"/>
      <c r="O270" s="1143"/>
    </row>
    <row r="271" ht="40.5" customHeight="1">
      <c r="A271" s="1147"/>
      <c r="B271" s="1140"/>
      <c r="C271" s="1148"/>
      <c r="D271" s="1142"/>
      <c r="E271" s="1149"/>
      <c r="F271" s="1149"/>
      <c r="G271" s="1149"/>
      <c r="H271" s="1150"/>
      <c r="I271" s="1151"/>
      <c r="J271" s="1149"/>
      <c r="K271" s="1152"/>
      <c r="L271" s="1152"/>
      <c r="M271" s="1149"/>
      <c r="N271" s="1149"/>
      <c r="O271" s="1149"/>
    </row>
    <row r="272" ht="40.5" customHeight="1">
      <c r="A272" s="1139"/>
      <c r="B272" s="1140"/>
      <c r="C272" s="1141"/>
      <c r="D272" s="1142"/>
      <c r="E272" s="1143"/>
      <c r="F272" s="1143"/>
      <c r="G272" s="1143"/>
      <c r="H272" s="1144"/>
      <c r="I272" s="1145"/>
      <c r="J272" s="1143"/>
      <c r="K272" s="1146"/>
      <c r="L272" s="1146"/>
      <c r="M272" s="1143"/>
      <c r="N272" s="1143"/>
      <c r="O272" s="1143"/>
    </row>
    <row r="273" ht="40.5" customHeight="1">
      <c r="A273" s="1147"/>
      <c r="B273" s="1140"/>
      <c r="C273" s="1148"/>
      <c r="D273" s="1142"/>
      <c r="E273" s="1149"/>
      <c r="F273" s="1149"/>
      <c r="G273" s="1149"/>
      <c r="H273" s="1150"/>
      <c r="I273" s="1151"/>
      <c r="J273" s="1149"/>
      <c r="K273" s="1152"/>
      <c r="L273" s="1152"/>
      <c r="M273" s="1149"/>
      <c r="N273" s="1149"/>
      <c r="O273" s="1149"/>
    </row>
    <row r="274" ht="40.5" customHeight="1">
      <c r="A274" s="1139"/>
      <c r="B274" s="1140"/>
      <c r="C274" s="1141"/>
      <c r="D274" s="1142"/>
      <c r="E274" s="1143"/>
      <c r="F274" s="1143"/>
      <c r="G274" s="1143"/>
      <c r="H274" s="1144"/>
      <c r="I274" s="1145"/>
      <c r="J274" s="1143"/>
      <c r="K274" s="1146"/>
      <c r="L274" s="1146"/>
      <c r="M274" s="1143"/>
      <c r="N274" s="1143"/>
      <c r="O274" s="1143"/>
    </row>
    <row r="275" ht="40.5" customHeight="1">
      <c r="A275" s="1147"/>
      <c r="B275" s="1140"/>
      <c r="C275" s="1148"/>
      <c r="D275" s="1142"/>
      <c r="E275" s="1149"/>
      <c r="F275" s="1149"/>
      <c r="G275" s="1149"/>
      <c r="H275" s="1150"/>
      <c r="I275" s="1151"/>
      <c r="J275" s="1149"/>
      <c r="K275" s="1152"/>
      <c r="L275" s="1152"/>
      <c r="M275" s="1149"/>
      <c r="N275" s="1149"/>
      <c r="O275" s="1149"/>
    </row>
    <row r="276" ht="40.5" customHeight="1">
      <c r="A276" s="1139"/>
      <c r="B276" s="1140"/>
      <c r="C276" s="1141"/>
      <c r="D276" s="1142"/>
      <c r="E276" s="1143"/>
      <c r="F276" s="1143"/>
      <c r="G276" s="1143"/>
      <c r="H276" s="1144"/>
      <c r="I276" s="1145"/>
      <c r="J276" s="1143"/>
      <c r="K276" s="1146"/>
      <c r="L276" s="1146"/>
      <c r="M276" s="1143"/>
      <c r="N276" s="1143"/>
      <c r="O276" s="1143"/>
    </row>
    <row r="277" ht="40.5" customHeight="1">
      <c r="A277" s="1147"/>
      <c r="B277" s="1140"/>
      <c r="C277" s="1148"/>
      <c r="D277" s="1142"/>
      <c r="E277" s="1149"/>
      <c r="F277" s="1149"/>
      <c r="G277" s="1149"/>
      <c r="H277" s="1150"/>
      <c r="I277" s="1151"/>
      <c r="J277" s="1149"/>
      <c r="K277" s="1152"/>
      <c r="L277" s="1152"/>
      <c r="M277" s="1149"/>
      <c r="N277" s="1149"/>
      <c r="O277" s="1149"/>
    </row>
    <row r="278" ht="40.5" customHeight="1">
      <c r="A278" s="1139"/>
      <c r="B278" s="1140"/>
      <c r="C278" s="1141"/>
      <c r="D278" s="1142"/>
      <c r="E278" s="1143"/>
      <c r="F278" s="1143"/>
      <c r="G278" s="1143"/>
      <c r="H278" s="1144"/>
      <c r="I278" s="1145"/>
      <c r="J278" s="1143"/>
      <c r="K278" s="1146"/>
      <c r="L278" s="1146"/>
      <c r="M278" s="1143"/>
      <c r="N278" s="1143"/>
      <c r="O278" s="1143"/>
    </row>
    <row r="279" ht="40.5" customHeight="1">
      <c r="A279" s="1147"/>
      <c r="B279" s="1140"/>
      <c r="C279" s="1148"/>
      <c r="D279" s="1142"/>
      <c r="E279" s="1149"/>
      <c r="F279" s="1149"/>
      <c r="G279" s="1149"/>
      <c r="H279" s="1150"/>
      <c r="I279" s="1151"/>
      <c r="J279" s="1149"/>
      <c r="K279" s="1152"/>
      <c r="L279" s="1152"/>
      <c r="M279" s="1149"/>
      <c r="N279" s="1149"/>
      <c r="O279" s="1149"/>
    </row>
    <row r="280" ht="40.5" customHeight="1">
      <c r="A280" s="1139"/>
      <c r="B280" s="1140"/>
      <c r="C280" s="1141"/>
      <c r="D280" s="1142"/>
      <c r="E280" s="1143"/>
      <c r="F280" s="1143"/>
      <c r="G280" s="1143"/>
      <c r="H280" s="1144"/>
      <c r="I280" s="1145"/>
      <c r="J280" s="1143"/>
      <c r="K280" s="1146"/>
      <c r="L280" s="1146"/>
      <c r="M280" s="1143"/>
      <c r="N280" s="1143"/>
      <c r="O280" s="1143"/>
    </row>
    <row r="281" ht="40.5" customHeight="1">
      <c r="A281" s="1147"/>
      <c r="B281" s="1140"/>
      <c r="C281" s="1148"/>
      <c r="D281" s="1142"/>
      <c r="E281" s="1149"/>
      <c r="F281" s="1149"/>
      <c r="G281" s="1149"/>
      <c r="H281" s="1150"/>
      <c r="I281" s="1151"/>
      <c r="J281" s="1149"/>
      <c r="K281" s="1152"/>
      <c r="L281" s="1152"/>
      <c r="M281" s="1149"/>
      <c r="N281" s="1149"/>
      <c r="O281" s="1149"/>
    </row>
    <row r="282" ht="40.5" customHeight="1">
      <c r="A282" s="1139"/>
      <c r="B282" s="1140"/>
      <c r="C282" s="1141"/>
      <c r="D282" s="1142"/>
      <c r="E282" s="1143"/>
      <c r="F282" s="1143"/>
      <c r="G282" s="1143"/>
      <c r="H282" s="1144"/>
      <c r="I282" s="1145"/>
      <c r="J282" s="1143"/>
      <c r="K282" s="1146"/>
      <c r="L282" s="1146"/>
      <c r="M282" s="1143"/>
      <c r="N282" s="1143"/>
      <c r="O282" s="1143"/>
    </row>
    <row r="283" ht="40.5" customHeight="1">
      <c r="A283" s="1147"/>
      <c r="B283" s="1140"/>
      <c r="C283" s="1148"/>
      <c r="D283" s="1142"/>
      <c r="E283" s="1149"/>
      <c r="F283" s="1149"/>
      <c r="G283" s="1149"/>
      <c r="H283" s="1150"/>
      <c r="I283" s="1151"/>
      <c r="J283" s="1149"/>
      <c r="K283" s="1152"/>
      <c r="L283" s="1152"/>
      <c r="M283" s="1149"/>
      <c r="N283" s="1149"/>
      <c r="O283" s="1149"/>
    </row>
    <row r="284" ht="40.5" customHeight="1">
      <c r="A284" s="1139"/>
      <c r="B284" s="1140"/>
      <c r="C284" s="1141"/>
      <c r="D284" s="1142"/>
      <c r="E284" s="1143"/>
      <c r="F284" s="1143"/>
      <c r="G284" s="1143"/>
      <c r="H284" s="1144"/>
      <c r="I284" s="1145"/>
      <c r="J284" s="1143"/>
      <c r="K284" s="1146"/>
      <c r="L284" s="1146"/>
      <c r="M284" s="1143"/>
      <c r="N284" s="1143"/>
      <c r="O284" s="1143"/>
    </row>
    <row r="285" ht="40.5" customHeight="1">
      <c r="A285" s="1147"/>
      <c r="B285" s="1140"/>
      <c r="C285" s="1148"/>
      <c r="D285" s="1142"/>
      <c r="E285" s="1149"/>
      <c r="F285" s="1149"/>
      <c r="G285" s="1149"/>
      <c r="H285" s="1150"/>
      <c r="I285" s="1151"/>
      <c r="J285" s="1149"/>
      <c r="K285" s="1152"/>
      <c r="L285" s="1152"/>
      <c r="M285" s="1149"/>
      <c r="N285" s="1149"/>
      <c r="O285" s="1149"/>
    </row>
    <row r="286" ht="40.5" customHeight="1">
      <c r="A286" s="1139"/>
      <c r="B286" s="1140"/>
      <c r="C286" s="1141"/>
      <c r="D286" s="1142"/>
      <c r="E286" s="1143"/>
      <c r="F286" s="1143"/>
      <c r="G286" s="1143"/>
      <c r="H286" s="1144"/>
      <c r="I286" s="1145"/>
      <c r="J286" s="1143"/>
      <c r="K286" s="1146"/>
      <c r="L286" s="1146"/>
      <c r="M286" s="1143"/>
      <c r="N286" s="1143"/>
      <c r="O286" s="1143"/>
    </row>
    <row r="287" ht="40.5" customHeight="1">
      <c r="A287" s="1147"/>
      <c r="B287" s="1140"/>
      <c r="C287" s="1148"/>
      <c r="D287" s="1142"/>
      <c r="E287" s="1149"/>
      <c r="F287" s="1149"/>
      <c r="G287" s="1149"/>
      <c r="H287" s="1150"/>
      <c r="I287" s="1151"/>
      <c r="J287" s="1149"/>
      <c r="K287" s="1152"/>
      <c r="L287" s="1152"/>
      <c r="M287" s="1149"/>
      <c r="N287" s="1149"/>
      <c r="O287" s="1149"/>
    </row>
    <row r="288" ht="40.5" customHeight="1">
      <c r="A288" s="1139"/>
      <c r="B288" s="1140"/>
      <c r="C288" s="1141"/>
      <c r="D288" s="1142"/>
      <c r="E288" s="1143"/>
      <c r="F288" s="1143"/>
      <c r="G288" s="1143"/>
      <c r="H288" s="1144"/>
      <c r="I288" s="1145"/>
      <c r="J288" s="1143"/>
      <c r="K288" s="1146"/>
      <c r="L288" s="1146"/>
      <c r="M288" s="1143"/>
      <c r="N288" s="1143"/>
      <c r="O288" s="1143"/>
    </row>
    <row r="289" ht="40.5" customHeight="1">
      <c r="A289" s="1147"/>
      <c r="B289" s="1140"/>
      <c r="C289" s="1148"/>
      <c r="D289" s="1142"/>
      <c r="E289" s="1149"/>
      <c r="F289" s="1149"/>
      <c r="G289" s="1149"/>
      <c r="H289" s="1150"/>
      <c r="I289" s="1151"/>
      <c r="J289" s="1149"/>
      <c r="K289" s="1152"/>
      <c r="L289" s="1152"/>
      <c r="M289" s="1149"/>
      <c r="N289" s="1149"/>
      <c r="O289" s="1149"/>
    </row>
    <row r="290" ht="40.5" customHeight="1">
      <c r="A290" s="1139"/>
      <c r="B290" s="1140"/>
      <c r="C290" s="1141"/>
      <c r="D290" s="1142"/>
      <c r="E290" s="1143"/>
      <c r="F290" s="1143"/>
      <c r="G290" s="1143"/>
      <c r="H290" s="1144"/>
      <c r="I290" s="1145"/>
      <c r="J290" s="1143"/>
      <c r="K290" s="1146"/>
      <c r="L290" s="1146"/>
      <c r="M290" s="1143"/>
      <c r="N290" s="1143"/>
      <c r="O290" s="1143"/>
    </row>
    <row r="291" ht="40.5" customHeight="1">
      <c r="A291" s="1147"/>
      <c r="B291" s="1140"/>
      <c r="C291" s="1148"/>
      <c r="D291" s="1142"/>
      <c r="E291" s="1149"/>
      <c r="F291" s="1149"/>
      <c r="G291" s="1149"/>
      <c r="H291" s="1150"/>
      <c r="I291" s="1151"/>
      <c r="J291" s="1149"/>
      <c r="K291" s="1152"/>
      <c r="L291" s="1152"/>
      <c r="M291" s="1149"/>
      <c r="N291" s="1149"/>
      <c r="O291" s="1149"/>
    </row>
    <row r="292" ht="40.5" customHeight="1">
      <c r="A292" s="1139"/>
      <c r="B292" s="1140"/>
      <c r="C292" s="1141"/>
      <c r="D292" s="1142"/>
      <c r="E292" s="1143"/>
      <c r="F292" s="1143"/>
      <c r="G292" s="1143"/>
      <c r="H292" s="1144"/>
      <c r="I292" s="1145"/>
      <c r="J292" s="1143"/>
      <c r="K292" s="1146"/>
      <c r="L292" s="1146"/>
      <c r="M292" s="1143"/>
      <c r="N292" s="1143"/>
      <c r="O292" s="1143"/>
    </row>
    <row r="293" ht="40.5" customHeight="1">
      <c r="A293" s="1147"/>
      <c r="B293" s="1140"/>
      <c r="C293" s="1148"/>
      <c r="D293" s="1142"/>
      <c r="E293" s="1149"/>
      <c r="F293" s="1149"/>
      <c r="G293" s="1149"/>
      <c r="H293" s="1150"/>
      <c r="I293" s="1151"/>
      <c r="J293" s="1149"/>
      <c r="K293" s="1152"/>
      <c r="L293" s="1152"/>
      <c r="M293" s="1149"/>
      <c r="N293" s="1149"/>
      <c r="O293" s="1149"/>
    </row>
    <row r="294" ht="40.5" customHeight="1">
      <c r="A294" s="1139"/>
      <c r="B294" s="1140"/>
      <c r="C294" s="1141"/>
      <c r="D294" s="1142"/>
      <c r="E294" s="1143"/>
      <c r="F294" s="1143"/>
      <c r="G294" s="1143"/>
      <c r="H294" s="1144"/>
      <c r="I294" s="1145"/>
      <c r="J294" s="1143"/>
      <c r="K294" s="1146"/>
      <c r="L294" s="1146"/>
      <c r="M294" s="1143"/>
      <c r="N294" s="1143"/>
      <c r="O294" s="1143"/>
    </row>
    <row r="295" ht="40.5" customHeight="1">
      <c r="A295" s="1147"/>
      <c r="B295" s="1140"/>
      <c r="C295" s="1148"/>
      <c r="D295" s="1142"/>
      <c r="E295" s="1149"/>
      <c r="F295" s="1149"/>
      <c r="G295" s="1149"/>
      <c r="H295" s="1150"/>
      <c r="I295" s="1151"/>
      <c r="J295" s="1149"/>
      <c r="K295" s="1152"/>
      <c r="L295" s="1152"/>
      <c r="M295" s="1149"/>
      <c r="N295" s="1149"/>
      <c r="O295" s="1149"/>
    </row>
    <row r="296" ht="40.5" customHeight="1">
      <c r="A296" s="1139"/>
      <c r="B296" s="1140"/>
      <c r="C296" s="1141"/>
      <c r="D296" s="1142"/>
      <c r="E296" s="1143"/>
      <c r="F296" s="1143"/>
      <c r="G296" s="1143"/>
      <c r="H296" s="1144"/>
      <c r="I296" s="1145"/>
      <c r="J296" s="1143"/>
      <c r="K296" s="1146"/>
      <c r="L296" s="1146"/>
      <c r="M296" s="1143"/>
      <c r="N296" s="1143"/>
      <c r="O296" s="1143"/>
    </row>
    <row r="297" ht="40.5" customHeight="1">
      <c r="A297" s="1147"/>
      <c r="B297" s="1140"/>
      <c r="C297" s="1148"/>
      <c r="D297" s="1142"/>
      <c r="E297" s="1149"/>
      <c r="F297" s="1149"/>
      <c r="G297" s="1149"/>
      <c r="H297" s="1150"/>
      <c r="I297" s="1151"/>
      <c r="J297" s="1149"/>
      <c r="K297" s="1152"/>
      <c r="L297" s="1152"/>
      <c r="M297" s="1149"/>
      <c r="N297" s="1149"/>
      <c r="O297" s="1149"/>
    </row>
    <row r="298" ht="40.5" customHeight="1">
      <c r="A298" s="1139"/>
      <c r="B298" s="1140"/>
      <c r="C298" s="1141"/>
      <c r="D298" s="1142"/>
      <c r="E298" s="1143"/>
      <c r="F298" s="1143"/>
      <c r="G298" s="1143"/>
      <c r="H298" s="1144"/>
      <c r="I298" s="1145"/>
      <c r="J298" s="1143"/>
      <c r="K298" s="1146"/>
      <c r="L298" s="1146"/>
      <c r="M298" s="1143"/>
      <c r="N298" s="1143"/>
      <c r="O298" s="1143"/>
    </row>
    <row r="299" ht="40.5" customHeight="1">
      <c r="A299" s="1147"/>
      <c r="B299" s="1140"/>
      <c r="C299" s="1148"/>
      <c r="D299" s="1142"/>
      <c r="E299" s="1149"/>
      <c r="F299" s="1149"/>
      <c r="G299" s="1149"/>
      <c r="H299" s="1150"/>
      <c r="I299" s="1151"/>
      <c r="J299" s="1149"/>
      <c r="K299" s="1152"/>
      <c r="L299" s="1152"/>
      <c r="M299" s="1149"/>
      <c r="N299" s="1149"/>
      <c r="O299" s="1149"/>
    </row>
    <row r="300" ht="40.5" customHeight="1">
      <c r="A300" s="1139"/>
      <c r="B300" s="1140"/>
      <c r="C300" s="1141"/>
      <c r="D300" s="1142"/>
      <c r="E300" s="1143"/>
      <c r="F300" s="1143"/>
      <c r="G300" s="1143"/>
      <c r="H300" s="1144"/>
      <c r="I300" s="1145"/>
      <c r="J300" s="1143"/>
      <c r="K300" s="1146"/>
      <c r="L300" s="1146"/>
      <c r="M300" s="1143"/>
      <c r="N300" s="1143"/>
      <c r="O300" s="1143"/>
    </row>
    <row r="301" ht="40.5" customHeight="1">
      <c r="A301" s="1147"/>
      <c r="B301" s="1140"/>
      <c r="C301" s="1148"/>
      <c r="D301" s="1142"/>
      <c r="E301" s="1149"/>
      <c r="F301" s="1149"/>
      <c r="G301" s="1149"/>
      <c r="H301" s="1150"/>
      <c r="I301" s="1151"/>
      <c r="J301" s="1149"/>
      <c r="K301" s="1152"/>
      <c r="L301" s="1152"/>
      <c r="M301" s="1149"/>
      <c r="N301" s="1149"/>
      <c r="O301" s="1149"/>
    </row>
    <row r="302" ht="40.5" customHeight="1">
      <c r="A302" s="1139"/>
      <c r="B302" s="1140"/>
      <c r="C302" s="1141"/>
      <c r="D302" s="1142"/>
      <c r="E302" s="1143"/>
      <c r="F302" s="1143"/>
      <c r="G302" s="1143"/>
      <c r="H302" s="1144"/>
      <c r="I302" s="1145"/>
      <c r="J302" s="1143"/>
      <c r="K302" s="1146"/>
      <c r="L302" s="1146"/>
      <c r="M302" s="1143"/>
      <c r="N302" s="1143"/>
      <c r="O302" s="1143"/>
    </row>
    <row r="303" ht="40.5" customHeight="1">
      <c r="A303" s="1147"/>
      <c r="B303" s="1140"/>
      <c r="C303" s="1148"/>
      <c r="D303" s="1142"/>
      <c r="E303" s="1149"/>
      <c r="F303" s="1149"/>
      <c r="G303" s="1149"/>
      <c r="H303" s="1150"/>
      <c r="I303" s="1151"/>
      <c r="J303" s="1149"/>
      <c r="K303" s="1152"/>
      <c r="L303" s="1152"/>
      <c r="M303" s="1149"/>
      <c r="N303" s="1149"/>
      <c r="O303" s="1149"/>
    </row>
    <row r="304" ht="40.5" customHeight="1">
      <c r="A304" s="1139"/>
      <c r="B304" s="1140"/>
      <c r="C304" s="1141"/>
      <c r="D304" s="1142"/>
      <c r="E304" s="1143"/>
      <c r="F304" s="1143"/>
      <c r="G304" s="1143"/>
      <c r="H304" s="1144"/>
      <c r="I304" s="1145"/>
      <c r="J304" s="1143"/>
      <c r="K304" s="1146"/>
      <c r="L304" s="1146"/>
      <c r="M304" s="1143"/>
      <c r="N304" s="1143"/>
      <c r="O304" s="1143"/>
    </row>
    <row r="305" ht="40.5" customHeight="1">
      <c r="A305" s="1147"/>
      <c r="B305" s="1140"/>
      <c r="C305" s="1148"/>
      <c r="D305" s="1142"/>
      <c r="E305" s="1149"/>
      <c r="F305" s="1149"/>
      <c r="G305" s="1149"/>
      <c r="H305" s="1150"/>
      <c r="I305" s="1151"/>
      <c r="J305" s="1149"/>
      <c r="K305" s="1152"/>
      <c r="L305" s="1152"/>
      <c r="M305" s="1149"/>
      <c r="N305" s="1149"/>
      <c r="O305" s="1149"/>
    </row>
    <row r="306" ht="40.5" customHeight="1">
      <c r="A306" s="1139"/>
      <c r="B306" s="1140"/>
      <c r="C306" s="1141"/>
      <c r="D306" s="1142"/>
      <c r="E306" s="1143"/>
      <c r="F306" s="1143"/>
      <c r="G306" s="1143"/>
      <c r="H306" s="1144"/>
      <c r="I306" s="1145"/>
      <c r="J306" s="1143"/>
      <c r="K306" s="1146"/>
      <c r="L306" s="1146"/>
      <c r="M306" s="1143"/>
      <c r="N306" s="1143"/>
      <c r="O306" s="1143"/>
    </row>
    <row r="307" ht="40.5" customHeight="1">
      <c r="A307" s="1147"/>
      <c r="B307" s="1140"/>
      <c r="C307" s="1148"/>
      <c r="D307" s="1142"/>
      <c r="E307" s="1149"/>
      <c r="F307" s="1149"/>
      <c r="G307" s="1149"/>
      <c r="H307" s="1150"/>
      <c r="I307" s="1151"/>
      <c r="J307" s="1149"/>
      <c r="K307" s="1152"/>
      <c r="L307" s="1152"/>
      <c r="M307" s="1149"/>
      <c r="N307" s="1149"/>
      <c r="O307" s="1149"/>
    </row>
    <row r="308" ht="40.5" customHeight="1">
      <c r="A308" s="1139"/>
      <c r="B308" s="1140"/>
      <c r="C308" s="1141"/>
      <c r="D308" s="1142"/>
      <c r="E308" s="1143"/>
      <c r="F308" s="1143"/>
      <c r="G308" s="1143"/>
      <c r="H308" s="1144"/>
      <c r="I308" s="1145"/>
      <c r="J308" s="1143"/>
      <c r="K308" s="1146"/>
      <c r="L308" s="1146"/>
      <c r="M308" s="1143"/>
      <c r="N308" s="1143"/>
      <c r="O308" s="1143"/>
    </row>
    <row r="309" ht="40.5" customHeight="1">
      <c r="A309" s="1147"/>
      <c r="B309" s="1140"/>
      <c r="C309" s="1148"/>
      <c r="D309" s="1142"/>
      <c r="E309" s="1149"/>
      <c r="F309" s="1149"/>
      <c r="G309" s="1149"/>
      <c r="H309" s="1150"/>
      <c r="I309" s="1151"/>
      <c r="J309" s="1149"/>
      <c r="K309" s="1152"/>
      <c r="L309" s="1152"/>
      <c r="M309" s="1149"/>
      <c r="N309" s="1149"/>
      <c r="O309" s="1149"/>
    </row>
    <row r="310" ht="40.5" customHeight="1">
      <c r="A310" s="1139"/>
      <c r="B310" s="1140"/>
      <c r="C310" s="1141"/>
      <c r="D310" s="1142"/>
      <c r="E310" s="1143"/>
      <c r="F310" s="1143"/>
      <c r="G310" s="1143"/>
      <c r="H310" s="1144"/>
      <c r="I310" s="1145"/>
      <c r="J310" s="1143"/>
      <c r="K310" s="1146"/>
      <c r="L310" s="1146"/>
      <c r="M310" s="1143"/>
      <c r="N310" s="1143"/>
      <c r="O310" s="1143"/>
    </row>
    <row r="311" ht="40.5" customHeight="1">
      <c r="A311" s="1147"/>
      <c r="B311" s="1140"/>
      <c r="C311" s="1148"/>
      <c r="D311" s="1142"/>
      <c r="E311" s="1149"/>
      <c r="F311" s="1149"/>
      <c r="G311" s="1149"/>
      <c r="H311" s="1150"/>
      <c r="I311" s="1151"/>
      <c r="J311" s="1149"/>
      <c r="K311" s="1152"/>
      <c r="L311" s="1152"/>
      <c r="M311" s="1149"/>
      <c r="N311" s="1149"/>
      <c r="O311" s="1149"/>
    </row>
    <row r="312" ht="40.5" customHeight="1">
      <c r="A312" s="1139"/>
      <c r="B312" s="1140"/>
      <c r="C312" s="1141"/>
      <c r="D312" s="1142"/>
      <c r="E312" s="1143"/>
      <c r="F312" s="1143"/>
      <c r="G312" s="1143"/>
      <c r="H312" s="1144"/>
      <c r="I312" s="1145"/>
      <c r="J312" s="1143"/>
      <c r="K312" s="1146"/>
      <c r="L312" s="1146"/>
      <c r="M312" s="1143"/>
      <c r="N312" s="1143"/>
      <c r="O312" s="1143"/>
    </row>
    <row r="313" ht="40.5" customHeight="1">
      <c r="A313" s="1147"/>
      <c r="B313" s="1140"/>
      <c r="C313" s="1148"/>
      <c r="D313" s="1142"/>
      <c r="E313" s="1149"/>
      <c r="F313" s="1149"/>
      <c r="G313" s="1149"/>
      <c r="H313" s="1150"/>
      <c r="I313" s="1151"/>
      <c r="J313" s="1149"/>
      <c r="K313" s="1152"/>
      <c r="L313" s="1152"/>
      <c r="M313" s="1149"/>
      <c r="N313" s="1149"/>
      <c r="O313" s="1149"/>
    </row>
    <row r="314" ht="40.5" customHeight="1">
      <c r="A314" s="1139"/>
      <c r="B314" s="1140"/>
      <c r="C314" s="1141"/>
      <c r="D314" s="1142"/>
      <c r="E314" s="1143"/>
      <c r="F314" s="1143"/>
      <c r="G314" s="1143"/>
      <c r="H314" s="1144"/>
      <c r="I314" s="1145"/>
      <c r="J314" s="1143"/>
      <c r="K314" s="1146"/>
      <c r="L314" s="1146"/>
      <c r="M314" s="1143"/>
      <c r="N314" s="1143"/>
      <c r="O314" s="1143"/>
    </row>
    <row r="315" ht="40.5" customHeight="1">
      <c r="A315" s="1147"/>
      <c r="B315" s="1140"/>
      <c r="C315" s="1148"/>
      <c r="D315" s="1142"/>
      <c r="E315" s="1149"/>
      <c r="F315" s="1149"/>
      <c r="G315" s="1149"/>
      <c r="H315" s="1150"/>
      <c r="I315" s="1151"/>
      <c r="J315" s="1149"/>
      <c r="K315" s="1152"/>
      <c r="L315" s="1152"/>
      <c r="M315" s="1149"/>
      <c r="N315" s="1149"/>
      <c r="O315" s="1149"/>
    </row>
    <row r="316" ht="40.5" customHeight="1">
      <c r="A316" s="1139"/>
      <c r="B316" s="1140"/>
      <c r="C316" s="1141"/>
      <c r="D316" s="1142"/>
      <c r="E316" s="1143"/>
      <c r="F316" s="1143"/>
      <c r="G316" s="1143"/>
      <c r="H316" s="1144"/>
      <c r="I316" s="1145"/>
      <c r="J316" s="1143"/>
      <c r="K316" s="1146"/>
      <c r="L316" s="1146"/>
      <c r="M316" s="1143"/>
      <c r="N316" s="1143"/>
      <c r="O316" s="1143"/>
    </row>
    <row r="317" ht="40.5" customHeight="1">
      <c r="A317" s="1147"/>
      <c r="B317" s="1140"/>
      <c r="C317" s="1148"/>
      <c r="D317" s="1142"/>
      <c r="E317" s="1149"/>
      <c r="F317" s="1149"/>
      <c r="G317" s="1149"/>
      <c r="H317" s="1150"/>
      <c r="I317" s="1151"/>
      <c r="J317" s="1149"/>
      <c r="K317" s="1152"/>
      <c r="L317" s="1152"/>
      <c r="M317" s="1149"/>
      <c r="N317" s="1149"/>
      <c r="O317" s="1149"/>
    </row>
    <row r="318" ht="40.5" customHeight="1">
      <c r="A318" s="1139"/>
      <c r="B318" s="1140"/>
      <c r="C318" s="1141"/>
      <c r="D318" s="1142"/>
      <c r="E318" s="1143"/>
      <c r="F318" s="1143"/>
      <c r="G318" s="1143"/>
      <c r="H318" s="1144"/>
      <c r="I318" s="1145"/>
      <c r="J318" s="1143"/>
      <c r="K318" s="1146"/>
      <c r="L318" s="1146"/>
      <c r="M318" s="1143"/>
      <c r="N318" s="1143"/>
      <c r="O318" s="1143"/>
    </row>
    <row r="319" ht="40.5" customHeight="1">
      <c r="A319" s="1147"/>
      <c r="B319" s="1140"/>
      <c r="C319" s="1148"/>
      <c r="D319" s="1142"/>
      <c r="E319" s="1149"/>
      <c r="F319" s="1149"/>
      <c r="G319" s="1149"/>
      <c r="H319" s="1150"/>
      <c r="I319" s="1151"/>
      <c r="J319" s="1149"/>
      <c r="K319" s="1152"/>
      <c r="L319" s="1152"/>
      <c r="M319" s="1149"/>
      <c r="N319" s="1149"/>
      <c r="O319" s="1149"/>
    </row>
    <row r="320" ht="40.5" customHeight="1">
      <c r="A320" s="1139"/>
      <c r="B320" s="1140"/>
      <c r="C320" s="1141"/>
      <c r="D320" s="1142"/>
      <c r="E320" s="1143"/>
      <c r="F320" s="1143"/>
      <c r="G320" s="1143"/>
      <c r="H320" s="1144"/>
      <c r="I320" s="1145"/>
      <c r="J320" s="1143"/>
      <c r="K320" s="1146"/>
      <c r="L320" s="1146"/>
      <c r="M320" s="1143"/>
      <c r="N320" s="1143"/>
      <c r="O320" s="1143"/>
    </row>
    <row r="321" ht="40.5" customHeight="1">
      <c r="A321" s="1147"/>
      <c r="B321" s="1140"/>
      <c r="C321" s="1148"/>
      <c r="D321" s="1142"/>
      <c r="E321" s="1149"/>
      <c r="F321" s="1149"/>
      <c r="G321" s="1149"/>
      <c r="H321" s="1150"/>
      <c r="I321" s="1151"/>
      <c r="J321" s="1149"/>
      <c r="K321" s="1152"/>
      <c r="L321" s="1152"/>
      <c r="M321" s="1149"/>
      <c r="N321" s="1149"/>
      <c r="O321" s="1149"/>
    </row>
    <row r="322" ht="40.5" customHeight="1">
      <c r="A322" s="1139"/>
      <c r="B322" s="1140"/>
      <c r="C322" s="1141"/>
      <c r="D322" s="1142"/>
      <c r="E322" s="1143"/>
      <c r="F322" s="1143"/>
      <c r="G322" s="1143"/>
      <c r="H322" s="1144"/>
      <c r="I322" s="1145"/>
      <c r="J322" s="1143"/>
      <c r="K322" s="1146"/>
      <c r="L322" s="1146"/>
      <c r="M322" s="1143"/>
      <c r="N322" s="1143"/>
      <c r="O322" s="1143"/>
    </row>
    <row r="323" ht="40.5" customHeight="1">
      <c r="A323" s="1147"/>
      <c r="B323" s="1140"/>
      <c r="C323" s="1148"/>
      <c r="D323" s="1142"/>
      <c r="E323" s="1149"/>
      <c r="F323" s="1149"/>
      <c r="G323" s="1149"/>
      <c r="H323" s="1150"/>
      <c r="I323" s="1151"/>
      <c r="J323" s="1149"/>
      <c r="K323" s="1152"/>
      <c r="L323" s="1152"/>
      <c r="M323" s="1149"/>
      <c r="N323" s="1149"/>
      <c r="O323" s="1149"/>
    </row>
    <row r="324" ht="40.5" customHeight="1">
      <c r="A324" s="1139"/>
      <c r="B324" s="1140"/>
      <c r="C324" s="1141"/>
      <c r="D324" s="1142"/>
      <c r="E324" s="1143"/>
      <c r="F324" s="1143"/>
      <c r="G324" s="1143"/>
      <c r="H324" s="1144"/>
      <c r="I324" s="1145"/>
      <c r="J324" s="1143"/>
      <c r="K324" s="1146"/>
      <c r="L324" s="1146"/>
      <c r="M324" s="1143"/>
      <c r="N324" s="1143"/>
      <c r="O324" s="1143"/>
    </row>
    <row r="325" ht="40.5" customHeight="1">
      <c r="A325" s="1147"/>
      <c r="B325" s="1140"/>
      <c r="C325" s="1148"/>
      <c r="D325" s="1142"/>
      <c r="E325" s="1149"/>
      <c r="F325" s="1149"/>
      <c r="G325" s="1149"/>
      <c r="H325" s="1150"/>
      <c r="I325" s="1151"/>
      <c r="J325" s="1149"/>
      <c r="K325" s="1152"/>
      <c r="L325" s="1152"/>
      <c r="M325" s="1149"/>
      <c r="N325" s="1149"/>
      <c r="O325" s="1149"/>
    </row>
    <row r="326" ht="40.5" customHeight="1">
      <c r="A326" s="1139"/>
      <c r="B326" s="1140"/>
      <c r="C326" s="1141"/>
      <c r="D326" s="1142"/>
      <c r="E326" s="1143"/>
      <c r="F326" s="1143"/>
      <c r="G326" s="1143"/>
      <c r="H326" s="1144"/>
      <c r="I326" s="1145"/>
      <c r="J326" s="1143"/>
      <c r="K326" s="1146"/>
      <c r="L326" s="1146"/>
      <c r="M326" s="1143"/>
      <c r="N326" s="1143"/>
      <c r="O326" s="1143"/>
    </row>
    <row r="327" ht="40.5" customHeight="1">
      <c r="A327" s="1147"/>
      <c r="B327" s="1140"/>
      <c r="C327" s="1148"/>
      <c r="D327" s="1142"/>
      <c r="E327" s="1149"/>
      <c r="F327" s="1149"/>
      <c r="G327" s="1149"/>
      <c r="H327" s="1150"/>
      <c r="I327" s="1151"/>
      <c r="J327" s="1149"/>
      <c r="K327" s="1152"/>
      <c r="L327" s="1152"/>
      <c r="M327" s="1149"/>
      <c r="N327" s="1149"/>
      <c r="O327" s="1149"/>
    </row>
    <row r="328" ht="40.5" customHeight="1">
      <c r="A328" s="1139"/>
      <c r="B328" s="1140"/>
      <c r="C328" s="1141"/>
      <c r="D328" s="1142"/>
      <c r="E328" s="1143"/>
      <c r="F328" s="1143"/>
      <c r="G328" s="1143"/>
      <c r="H328" s="1144"/>
      <c r="I328" s="1145"/>
      <c r="J328" s="1143"/>
      <c r="K328" s="1146"/>
      <c r="L328" s="1146"/>
      <c r="M328" s="1143"/>
      <c r="N328" s="1143"/>
      <c r="O328" s="1143"/>
    </row>
    <row r="329" ht="40.5" customHeight="1">
      <c r="A329" s="1147"/>
      <c r="B329" s="1140"/>
      <c r="C329" s="1148"/>
      <c r="D329" s="1142"/>
      <c r="E329" s="1149"/>
      <c r="F329" s="1149"/>
      <c r="G329" s="1149"/>
      <c r="H329" s="1150"/>
      <c r="I329" s="1151"/>
      <c r="J329" s="1149"/>
      <c r="K329" s="1152"/>
      <c r="L329" s="1152"/>
      <c r="M329" s="1149"/>
      <c r="N329" s="1149"/>
      <c r="O329" s="1149"/>
    </row>
    <row r="330" ht="40.5" customHeight="1">
      <c r="A330" s="1139"/>
      <c r="B330" s="1140"/>
      <c r="C330" s="1141"/>
      <c r="D330" s="1142"/>
      <c r="E330" s="1143"/>
      <c r="F330" s="1143"/>
      <c r="G330" s="1143"/>
      <c r="H330" s="1144"/>
      <c r="I330" s="1145"/>
      <c r="J330" s="1143"/>
      <c r="K330" s="1146"/>
      <c r="L330" s="1146"/>
      <c r="M330" s="1143"/>
      <c r="N330" s="1143"/>
      <c r="O330" s="1143"/>
    </row>
    <row r="331" ht="40.5" customHeight="1">
      <c r="A331" s="1147"/>
      <c r="B331" s="1140"/>
      <c r="C331" s="1148"/>
      <c r="D331" s="1142"/>
      <c r="E331" s="1149"/>
      <c r="F331" s="1149"/>
      <c r="G331" s="1149"/>
      <c r="H331" s="1150"/>
      <c r="I331" s="1151"/>
      <c r="J331" s="1149"/>
      <c r="K331" s="1152"/>
      <c r="L331" s="1152"/>
      <c r="M331" s="1149"/>
      <c r="N331" s="1149"/>
      <c r="O331" s="1149"/>
    </row>
    <row r="332" ht="40.5" customHeight="1">
      <c r="A332" s="1139"/>
      <c r="B332" s="1140"/>
      <c r="C332" s="1141"/>
      <c r="D332" s="1142"/>
      <c r="E332" s="1143"/>
      <c r="F332" s="1143"/>
      <c r="G332" s="1143"/>
      <c r="H332" s="1144"/>
      <c r="I332" s="1145"/>
      <c r="J332" s="1143"/>
      <c r="K332" s="1146"/>
      <c r="L332" s="1146"/>
      <c r="M332" s="1143"/>
      <c r="N332" s="1143"/>
      <c r="O332" s="1143"/>
    </row>
    <row r="333" ht="40.5" customHeight="1">
      <c r="A333" s="1147"/>
      <c r="B333" s="1140"/>
      <c r="C333" s="1148"/>
      <c r="D333" s="1142"/>
      <c r="E333" s="1149"/>
      <c r="F333" s="1149"/>
      <c r="G333" s="1149"/>
      <c r="H333" s="1150"/>
      <c r="I333" s="1151"/>
      <c r="J333" s="1149"/>
      <c r="K333" s="1152"/>
      <c r="L333" s="1152"/>
      <c r="M333" s="1149"/>
      <c r="N333" s="1149"/>
      <c r="O333" s="1149"/>
    </row>
    <row r="334" ht="40.5" customHeight="1">
      <c r="A334" s="1139"/>
      <c r="B334" s="1140"/>
      <c r="C334" s="1141"/>
      <c r="D334" s="1142"/>
      <c r="E334" s="1143"/>
      <c r="F334" s="1143"/>
      <c r="G334" s="1143"/>
      <c r="H334" s="1144"/>
      <c r="I334" s="1145"/>
      <c r="J334" s="1143"/>
      <c r="K334" s="1146"/>
      <c r="L334" s="1146"/>
      <c r="M334" s="1143"/>
      <c r="N334" s="1143"/>
      <c r="O334" s="1143"/>
    </row>
    <row r="335" ht="40.5" customHeight="1">
      <c r="A335" s="1147"/>
      <c r="B335" s="1140"/>
      <c r="C335" s="1148"/>
      <c r="D335" s="1142"/>
      <c r="E335" s="1149"/>
      <c r="F335" s="1149"/>
      <c r="G335" s="1149"/>
      <c r="H335" s="1150"/>
      <c r="I335" s="1151"/>
      <c r="J335" s="1149"/>
      <c r="K335" s="1152"/>
      <c r="L335" s="1152"/>
      <c r="M335" s="1149"/>
      <c r="N335" s="1149"/>
      <c r="O335" s="1149"/>
    </row>
    <row r="336" ht="40.5" customHeight="1">
      <c r="A336" s="1139"/>
      <c r="B336" s="1140"/>
      <c r="C336" s="1141"/>
      <c r="D336" s="1142"/>
      <c r="E336" s="1143"/>
      <c r="F336" s="1143"/>
      <c r="G336" s="1143"/>
      <c r="H336" s="1144"/>
      <c r="I336" s="1145"/>
      <c r="J336" s="1143"/>
      <c r="K336" s="1146"/>
      <c r="L336" s="1146"/>
      <c r="M336" s="1143"/>
      <c r="N336" s="1143"/>
      <c r="O336" s="1143"/>
    </row>
    <row r="337" ht="40.5" customHeight="1">
      <c r="A337" s="1147"/>
      <c r="B337" s="1140"/>
      <c r="C337" s="1148"/>
      <c r="D337" s="1142"/>
      <c r="E337" s="1149"/>
      <c r="F337" s="1149"/>
      <c r="G337" s="1149"/>
      <c r="H337" s="1150"/>
      <c r="I337" s="1151"/>
      <c r="J337" s="1149"/>
      <c r="K337" s="1152"/>
      <c r="L337" s="1152"/>
      <c r="M337" s="1149"/>
      <c r="N337" s="1149"/>
      <c r="O337" s="1149"/>
    </row>
    <row r="338" ht="40.5" customHeight="1">
      <c r="A338" s="1139"/>
      <c r="B338" s="1140"/>
      <c r="C338" s="1141"/>
      <c r="D338" s="1142"/>
      <c r="E338" s="1143"/>
      <c r="F338" s="1143"/>
      <c r="G338" s="1143"/>
      <c r="H338" s="1144"/>
      <c r="I338" s="1145"/>
      <c r="J338" s="1143"/>
      <c r="K338" s="1146"/>
      <c r="L338" s="1146"/>
      <c r="M338" s="1143"/>
      <c r="N338" s="1143"/>
      <c r="O338" s="1143"/>
    </row>
    <row r="339" ht="40.5" customHeight="1">
      <c r="A339" s="1147"/>
      <c r="B339" s="1140"/>
      <c r="C339" s="1148"/>
      <c r="D339" s="1142"/>
      <c r="E339" s="1149"/>
      <c r="F339" s="1149"/>
      <c r="G339" s="1149"/>
      <c r="H339" s="1150"/>
      <c r="I339" s="1151"/>
      <c r="J339" s="1149"/>
      <c r="K339" s="1152"/>
      <c r="L339" s="1152"/>
      <c r="M339" s="1149"/>
      <c r="N339" s="1149"/>
      <c r="O339" s="1149"/>
    </row>
    <row r="340" ht="40.5" customHeight="1">
      <c r="A340" s="1139"/>
      <c r="B340" s="1140"/>
      <c r="C340" s="1141"/>
      <c r="D340" s="1142"/>
      <c r="E340" s="1143"/>
      <c r="F340" s="1143"/>
      <c r="G340" s="1143"/>
      <c r="H340" s="1144"/>
      <c r="I340" s="1145"/>
      <c r="J340" s="1143"/>
      <c r="K340" s="1146"/>
      <c r="L340" s="1146"/>
      <c r="M340" s="1143"/>
      <c r="N340" s="1143"/>
      <c r="O340" s="1143"/>
    </row>
    <row r="341" ht="40.5" customHeight="1">
      <c r="A341" s="1147"/>
      <c r="B341" s="1140"/>
      <c r="C341" s="1148"/>
      <c r="D341" s="1142"/>
      <c r="E341" s="1149"/>
      <c r="F341" s="1149"/>
      <c r="G341" s="1149"/>
      <c r="H341" s="1150"/>
      <c r="I341" s="1151"/>
      <c r="J341" s="1149"/>
      <c r="K341" s="1152"/>
      <c r="L341" s="1152"/>
      <c r="M341" s="1149"/>
      <c r="N341" s="1149"/>
      <c r="O341" s="1149"/>
    </row>
    <row r="342" ht="40.5" customHeight="1">
      <c r="A342" s="1139"/>
      <c r="B342" s="1140"/>
      <c r="C342" s="1141"/>
      <c r="D342" s="1142"/>
      <c r="E342" s="1143"/>
      <c r="F342" s="1143"/>
      <c r="G342" s="1143"/>
      <c r="H342" s="1144"/>
      <c r="I342" s="1145"/>
      <c r="J342" s="1143"/>
      <c r="K342" s="1146"/>
      <c r="L342" s="1146"/>
      <c r="M342" s="1143"/>
      <c r="N342" s="1143"/>
      <c r="O342" s="1143"/>
    </row>
    <row r="343" ht="40.5" customHeight="1">
      <c r="A343" s="1147"/>
      <c r="B343" s="1140"/>
      <c r="C343" s="1148"/>
      <c r="D343" s="1142"/>
      <c r="E343" s="1149"/>
      <c r="F343" s="1149"/>
      <c r="G343" s="1149"/>
      <c r="H343" s="1150"/>
      <c r="I343" s="1151"/>
      <c r="J343" s="1149"/>
      <c r="K343" s="1152"/>
      <c r="L343" s="1152"/>
      <c r="M343" s="1149"/>
      <c r="N343" s="1149"/>
      <c r="O343" s="1149"/>
    </row>
    <row r="344" ht="40.5" customHeight="1">
      <c r="A344" s="1139"/>
      <c r="B344" s="1140"/>
      <c r="C344" s="1141"/>
      <c r="D344" s="1142"/>
      <c r="E344" s="1143"/>
      <c r="F344" s="1143"/>
      <c r="G344" s="1143"/>
      <c r="H344" s="1144"/>
      <c r="I344" s="1145"/>
      <c r="J344" s="1143"/>
      <c r="K344" s="1146"/>
      <c r="L344" s="1146"/>
      <c r="M344" s="1143"/>
      <c r="N344" s="1143"/>
      <c r="O344" s="1143"/>
    </row>
    <row r="345" ht="40.5" customHeight="1">
      <c r="A345" s="1147"/>
      <c r="B345" s="1140"/>
      <c r="C345" s="1148"/>
      <c r="D345" s="1142"/>
      <c r="E345" s="1149"/>
      <c r="F345" s="1149"/>
      <c r="G345" s="1149"/>
      <c r="H345" s="1150"/>
      <c r="I345" s="1151"/>
      <c r="J345" s="1149"/>
      <c r="K345" s="1152"/>
      <c r="L345" s="1152"/>
      <c r="M345" s="1149"/>
      <c r="N345" s="1149"/>
      <c r="O345" s="1149"/>
    </row>
    <row r="346" ht="40.5" customHeight="1">
      <c r="A346" s="1139"/>
      <c r="B346" s="1140"/>
      <c r="C346" s="1141"/>
      <c r="D346" s="1142"/>
      <c r="E346" s="1143"/>
      <c r="F346" s="1143"/>
      <c r="G346" s="1143"/>
      <c r="H346" s="1144"/>
      <c r="I346" s="1145"/>
      <c r="J346" s="1143"/>
      <c r="K346" s="1146"/>
      <c r="L346" s="1146"/>
      <c r="M346" s="1143"/>
      <c r="N346" s="1143"/>
      <c r="O346" s="1143"/>
    </row>
    <row r="347" ht="40.5" customHeight="1">
      <c r="A347" s="1147"/>
      <c r="B347" s="1140"/>
      <c r="C347" s="1148"/>
      <c r="D347" s="1142"/>
      <c r="E347" s="1149"/>
      <c r="F347" s="1149"/>
      <c r="G347" s="1149"/>
      <c r="H347" s="1150"/>
      <c r="I347" s="1151"/>
      <c r="J347" s="1149"/>
      <c r="K347" s="1152"/>
      <c r="L347" s="1152"/>
      <c r="M347" s="1149"/>
      <c r="N347" s="1149"/>
      <c r="O347" s="1149"/>
    </row>
    <row r="348" ht="40.5" customHeight="1">
      <c r="A348" s="1139"/>
      <c r="B348" s="1140"/>
      <c r="C348" s="1141"/>
      <c r="D348" s="1142"/>
      <c r="E348" s="1143"/>
      <c r="F348" s="1143"/>
      <c r="G348" s="1143"/>
      <c r="H348" s="1144"/>
      <c r="I348" s="1145"/>
      <c r="J348" s="1143"/>
      <c r="K348" s="1146"/>
      <c r="L348" s="1146"/>
      <c r="M348" s="1143"/>
      <c r="N348" s="1143"/>
      <c r="O348" s="1143"/>
    </row>
    <row r="349" ht="40.5" customHeight="1">
      <c r="A349" s="1147"/>
      <c r="B349" s="1140"/>
      <c r="C349" s="1148"/>
      <c r="D349" s="1142"/>
      <c r="E349" s="1149"/>
      <c r="F349" s="1149"/>
      <c r="G349" s="1149"/>
      <c r="H349" s="1150"/>
      <c r="I349" s="1151"/>
      <c r="J349" s="1149"/>
      <c r="K349" s="1152"/>
      <c r="L349" s="1152"/>
      <c r="M349" s="1149"/>
      <c r="N349" s="1149"/>
      <c r="O349" s="1149"/>
    </row>
    <row r="350" ht="40.5" customHeight="1">
      <c r="A350" s="1139"/>
      <c r="B350" s="1140"/>
      <c r="C350" s="1141"/>
      <c r="D350" s="1142"/>
      <c r="E350" s="1143"/>
      <c r="F350" s="1143"/>
      <c r="G350" s="1143"/>
      <c r="H350" s="1144"/>
      <c r="I350" s="1145"/>
      <c r="J350" s="1143"/>
      <c r="K350" s="1146"/>
      <c r="L350" s="1146"/>
      <c r="M350" s="1143"/>
      <c r="N350" s="1143"/>
      <c r="O350" s="1143"/>
    </row>
    <row r="351" ht="40.5" customHeight="1">
      <c r="A351" s="1147"/>
      <c r="B351" s="1140"/>
      <c r="C351" s="1148"/>
      <c r="D351" s="1142"/>
      <c r="E351" s="1149"/>
      <c r="F351" s="1149"/>
      <c r="G351" s="1149"/>
      <c r="H351" s="1150"/>
      <c r="I351" s="1151"/>
      <c r="J351" s="1149"/>
      <c r="K351" s="1152"/>
      <c r="L351" s="1152"/>
      <c r="M351" s="1149"/>
      <c r="N351" s="1149"/>
      <c r="O351" s="1149"/>
    </row>
    <row r="352" ht="40.5" customHeight="1">
      <c r="A352" s="1139"/>
      <c r="B352" s="1140"/>
      <c r="C352" s="1141"/>
      <c r="D352" s="1142"/>
      <c r="E352" s="1143"/>
      <c r="F352" s="1143"/>
      <c r="G352" s="1143"/>
      <c r="H352" s="1144"/>
      <c r="I352" s="1145"/>
      <c r="J352" s="1143"/>
      <c r="K352" s="1146"/>
      <c r="L352" s="1146"/>
      <c r="M352" s="1143"/>
      <c r="N352" s="1143"/>
      <c r="O352" s="1143"/>
    </row>
    <row r="353" ht="40.5" customHeight="1">
      <c r="A353" s="1147"/>
      <c r="B353" s="1140"/>
      <c r="C353" s="1148"/>
      <c r="D353" s="1142"/>
      <c r="E353" s="1149"/>
      <c r="F353" s="1149"/>
      <c r="G353" s="1149"/>
      <c r="H353" s="1150"/>
      <c r="I353" s="1151"/>
      <c r="J353" s="1149"/>
      <c r="K353" s="1152"/>
      <c r="L353" s="1152"/>
      <c r="M353" s="1149"/>
      <c r="N353" s="1149"/>
      <c r="O353" s="1149"/>
    </row>
    <row r="354" ht="40.5" customHeight="1">
      <c r="A354" s="1139"/>
      <c r="B354" s="1140"/>
      <c r="C354" s="1141"/>
      <c r="D354" s="1142"/>
      <c r="E354" s="1143"/>
      <c r="F354" s="1143"/>
      <c r="G354" s="1143"/>
      <c r="H354" s="1144"/>
      <c r="I354" s="1145"/>
      <c r="J354" s="1143"/>
      <c r="K354" s="1146"/>
      <c r="L354" s="1146"/>
      <c r="M354" s="1143"/>
      <c r="N354" s="1143"/>
      <c r="O354" s="1143"/>
    </row>
    <row r="355" ht="40.5" customHeight="1">
      <c r="A355" s="1147"/>
      <c r="B355" s="1140"/>
      <c r="C355" s="1148"/>
      <c r="D355" s="1142"/>
      <c r="E355" s="1149"/>
      <c r="F355" s="1149"/>
      <c r="G355" s="1149"/>
      <c r="H355" s="1150"/>
      <c r="I355" s="1151"/>
      <c r="J355" s="1149"/>
      <c r="K355" s="1152"/>
      <c r="L355" s="1152"/>
      <c r="M355" s="1149"/>
      <c r="N355" s="1149"/>
      <c r="O355" s="1149"/>
    </row>
    <row r="356" ht="40.5" customHeight="1">
      <c r="A356" s="1139"/>
      <c r="B356" s="1140"/>
      <c r="C356" s="1141"/>
      <c r="D356" s="1142"/>
      <c r="E356" s="1143"/>
      <c r="F356" s="1143"/>
      <c r="G356" s="1143"/>
      <c r="H356" s="1144"/>
      <c r="I356" s="1145"/>
      <c r="J356" s="1143"/>
      <c r="K356" s="1146"/>
      <c r="L356" s="1146"/>
      <c r="M356" s="1143"/>
      <c r="N356" s="1143"/>
      <c r="O356" s="1143"/>
    </row>
    <row r="357" ht="40.5" customHeight="1">
      <c r="A357" s="1147"/>
      <c r="B357" s="1140"/>
      <c r="C357" s="1148"/>
      <c r="D357" s="1142"/>
      <c r="E357" s="1149"/>
      <c r="F357" s="1149"/>
      <c r="G357" s="1149"/>
      <c r="H357" s="1150"/>
      <c r="I357" s="1151"/>
      <c r="J357" s="1149"/>
      <c r="K357" s="1152"/>
      <c r="L357" s="1152"/>
      <c r="M357" s="1149"/>
      <c r="N357" s="1149"/>
      <c r="O357" s="1149"/>
    </row>
    <row r="358" ht="40.5" customHeight="1">
      <c r="A358" s="1139"/>
      <c r="B358" s="1140"/>
      <c r="C358" s="1141"/>
      <c r="D358" s="1142"/>
      <c r="E358" s="1143"/>
      <c r="F358" s="1143"/>
      <c r="G358" s="1143"/>
      <c r="H358" s="1144"/>
      <c r="I358" s="1145"/>
      <c r="J358" s="1143"/>
      <c r="K358" s="1146"/>
      <c r="L358" s="1146"/>
      <c r="M358" s="1143"/>
      <c r="N358" s="1143"/>
      <c r="O358" s="1143"/>
    </row>
    <row r="359" ht="40.5" customHeight="1">
      <c r="A359" s="1147"/>
      <c r="B359" s="1140"/>
      <c r="C359" s="1148"/>
      <c r="D359" s="1142"/>
      <c r="E359" s="1149"/>
      <c r="F359" s="1149"/>
      <c r="G359" s="1149"/>
      <c r="H359" s="1150"/>
      <c r="I359" s="1151"/>
      <c r="J359" s="1149"/>
      <c r="K359" s="1152"/>
      <c r="L359" s="1152"/>
      <c r="M359" s="1149"/>
      <c r="N359" s="1149"/>
      <c r="O359" s="1149"/>
    </row>
    <row r="360" ht="40.5" customHeight="1">
      <c r="A360" s="1139"/>
      <c r="B360" s="1140"/>
      <c r="C360" s="1141"/>
      <c r="D360" s="1142"/>
      <c r="E360" s="1143"/>
      <c r="F360" s="1143"/>
      <c r="G360" s="1143"/>
      <c r="H360" s="1144"/>
      <c r="I360" s="1145"/>
      <c r="J360" s="1143"/>
      <c r="K360" s="1146"/>
      <c r="L360" s="1146"/>
      <c r="M360" s="1143"/>
      <c r="N360" s="1143"/>
      <c r="O360" s="1143"/>
    </row>
    <row r="361" ht="40.5" customHeight="1">
      <c r="A361" s="1147"/>
      <c r="B361" s="1140"/>
      <c r="C361" s="1148"/>
      <c r="D361" s="1142"/>
      <c r="E361" s="1149"/>
      <c r="F361" s="1149"/>
      <c r="G361" s="1149"/>
      <c r="H361" s="1150"/>
      <c r="I361" s="1151"/>
      <c r="J361" s="1149"/>
      <c r="K361" s="1152"/>
      <c r="L361" s="1152"/>
      <c r="M361" s="1149"/>
      <c r="N361" s="1149"/>
      <c r="O361" s="1149"/>
    </row>
    <row r="362" ht="40.5" customHeight="1">
      <c r="A362" s="1139"/>
      <c r="B362" s="1140"/>
      <c r="C362" s="1141"/>
      <c r="D362" s="1142"/>
      <c r="E362" s="1143"/>
      <c r="F362" s="1143"/>
      <c r="G362" s="1143"/>
      <c r="H362" s="1144"/>
      <c r="I362" s="1145"/>
      <c r="J362" s="1143"/>
      <c r="K362" s="1146"/>
      <c r="L362" s="1146"/>
      <c r="M362" s="1143"/>
      <c r="N362" s="1143"/>
      <c r="O362" s="1143"/>
    </row>
    <row r="363" ht="40.5" customHeight="1">
      <c r="A363" s="1147"/>
      <c r="B363" s="1140"/>
      <c r="C363" s="1148"/>
      <c r="D363" s="1142"/>
      <c r="E363" s="1149"/>
      <c r="F363" s="1149"/>
      <c r="G363" s="1149"/>
      <c r="H363" s="1150"/>
      <c r="I363" s="1151"/>
      <c r="J363" s="1149"/>
      <c r="K363" s="1152"/>
      <c r="L363" s="1152"/>
      <c r="M363" s="1149"/>
      <c r="N363" s="1149"/>
      <c r="O363" s="1149"/>
    </row>
    <row r="364" ht="40.5" customHeight="1">
      <c r="A364" s="1139"/>
      <c r="B364" s="1140"/>
      <c r="C364" s="1141"/>
      <c r="D364" s="1142"/>
      <c r="E364" s="1143"/>
      <c r="F364" s="1143"/>
      <c r="G364" s="1143"/>
      <c r="H364" s="1144"/>
      <c r="I364" s="1145"/>
      <c r="J364" s="1143"/>
      <c r="K364" s="1146"/>
      <c r="L364" s="1146"/>
      <c r="M364" s="1143"/>
      <c r="N364" s="1143"/>
      <c r="O364" s="1143"/>
    </row>
    <row r="365" ht="40.5" customHeight="1">
      <c r="A365" s="1147"/>
      <c r="B365" s="1140"/>
      <c r="C365" s="1148"/>
      <c r="D365" s="1142"/>
      <c r="E365" s="1149"/>
      <c r="F365" s="1149"/>
      <c r="G365" s="1149"/>
      <c r="H365" s="1150"/>
      <c r="I365" s="1151"/>
      <c r="J365" s="1149"/>
      <c r="K365" s="1152"/>
      <c r="L365" s="1152"/>
      <c r="M365" s="1149"/>
      <c r="N365" s="1149"/>
      <c r="O365" s="1149"/>
    </row>
    <row r="366" ht="40.5" customHeight="1">
      <c r="A366" s="1139"/>
      <c r="B366" s="1140"/>
      <c r="C366" s="1141"/>
      <c r="D366" s="1142"/>
      <c r="E366" s="1143"/>
      <c r="F366" s="1143"/>
      <c r="G366" s="1143"/>
      <c r="H366" s="1144"/>
      <c r="I366" s="1145"/>
      <c r="J366" s="1143"/>
      <c r="K366" s="1146"/>
      <c r="L366" s="1146"/>
      <c r="M366" s="1143"/>
      <c r="N366" s="1143"/>
      <c r="O366" s="1143"/>
    </row>
    <row r="367" ht="40.5" customHeight="1">
      <c r="A367" s="1147"/>
      <c r="B367" s="1140"/>
      <c r="C367" s="1148"/>
      <c r="D367" s="1142"/>
      <c r="E367" s="1149"/>
      <c r="F367" s="1149"/>
      <c r="G367" s="1149"/>
      <c r="H367" s="1150"/>
      <c r="I367" s="1151"/>
      <c r="J367" s="1149"/>
      <c r="K367" s="1152"/>
      <c r="L367" s="1152"/>
      <c r="M367" s="1149"/>
      <c r="N367" s="1149"/>
      <c r="O367" s="1149"/>
    </row>
    <row r="368" ht="40.5" customHeight="1">
      <c r="A368" s="1139"/>
      <c r="B368" s="1140"/>
      <c r="C368" s="1141"/>
      <c r="D368" s="1142"/>
      <c r="E368" s="1143"/>
      <c r="F368" s="1143"/>
      <c r="G368" s="1143"/>
      <c r="H368" s="1144"/>
      <c r="I368" s="1145"/>
      <c r="J368" s="1143"/>
      <c r="K368" s="1146"/>
      <c r="L368" s="1146"/>
      <c r="M368" s="1143"/>
      <c r="N368" s="1143"/>
      <c r="O368" s="1143"/>
    </row>
    <row r="369" ht="40.5" customHeight="1">
      <c r="A369" s="1147"/>
      <c r="B369" s="1140"/>
      <c r="C369" s="1148"/>
      <c r="D369" s="1142"/>
      <c r="E369" s="1149"/>
      <c r="F369" s="1149"/>
      <c r="G369" s="1149"/>
      <c r="H369" s="1150"/>
      <c r="I369" s="1151"/>
      <c r="J369" s="1149"/>
      <c r="K369" s="1152"/>
      <c r="L369" s="1152"/>
      <c r="M369" s="1149"/>
      <c r="N369" s="1149"/>
      <c r="O369" s="1149"/>
    </row>
    <row r="370" ht="40.5" customHeight="1">
      <c r="A370" s="1139"/>
      <c r="B370" s="1140"/>
      <c r="C370" s="1141"/>
      <c r="D370" s="1142"/>
      <c r="E370" s="1143"/>
      <c r="F370" s="1143"/>
      <c r="G370" s="1143"/>
      <c r="H370" s="1144"/>
      <c r="I370" s="1145"/>
      <c r="J370" s="1143"/>
      <c r="K370" s="1146"/>
      <c r="L370" s="1146"/>
      <c r="M370" s="1143"/>
      <c r="N370" s="1143"/>
      <c r="O370" s="1143"/>
    </row>
    <row r="371" ht="40.5" customHeight="1">
      <c r="A371" s="1147"/>
      <c r="B371" s="1140"/>
      <c r="C371" s="1148"/>
      <c r="D371" s="1142"/>
      <c r="E371" s="1149"/>
      <c r="F371" s="1149"/>
      <c r="G371" s="1149"/>
      <c r="H371" s="1150"/>
      <c r="I371" s="1151"/>
      <c r="J371" s="1149"/>
      <c r="K371" s="1152"/>
      <c r="L371" s="1152"/>
      <c r="M371" s="1149"/>
      <c r="N371" s="1149"/>
      <c r="O371" s="1149"/>
    </row>
    <row r="372" ht="40.5" customHeight="1">
      <c r="A372" s="1139"/>
      <c r="B372" s="1140"/>
      <c r="C372" s="1141"/>
      <c r="D372" s="1142"/>
      <c r="E372" s="1143"/>
      <c r="F372" s="1143"/>
      <c r="G372" s="1143"/>
      <c r="H372" s="1144"/>
      <c r="I372" s="1145"/>
      <c r="J372" s="1143"/>
      <c r="K372" s="1146"/>
      <c r="L372" s="1146"/>
      <c r="M372" s="1143"/>
      <c r="N372" s="1143"/>
      <c r="O372" s="1143"/>
    </row>
    <row r="373" ht="40.5" customHeight="1">
      <c r="A373" s="1147"/>
      <c r="B373" s="1140"/>
      <c r="C373" s="1148"/>
      <c r="D373" s="1142"/>
      <c r="E373" s="1149"/>
      <c r="F373" s="1149"/>
      <c r="G373" s="1149"/>
      <c r="H373" s="1150"/>
      <c r="I373" s="1151"/>
      <c r="J373" s="1149"/>
      <c r="K373" s="1152"/>
      <c r="L373" s="1152"/>
      <c r="M373" s="1149"/>
      <c r="N373" s="1149"/>
      <c r="O373" s="1149"/>
    </row>
    <row r="374" ht="40.5" customHeight="1">
      <c r="A374" s="1139"/>
      <c r="B374" s="1140"/>
      <c r="C374" s="1141"/>
      <c r="D374" s="1142"/>
      <c r="E374" s="1143"/>
      <c r="F374" s="1143"/>
      <c r="G374" s="1143"/>
      <c r="H374" s="1144"/>
      <c r="I374" s="1145"/>
      <c r="J374" s="1143"/>
      <c r="K374" s="1146"/>
      <c r="L374" s="1146"/>
      <c r="M374" s="1143"/>
      <c r="N374" s="1143"/>
      <c r="O374" s="1143"/>
    </row>
    <row r="375" ht="40.5" customHeight="1">
      <c r="A375" s="1147"/>
      <c r="B375" s="1140"/>
      <c r="C375" s="1148"/>
      <c r="D375" s="1142"/>
      <c r="E375" s="1149"/>
      <c r="F375" s="1149"/>
      <c r="G375" s="1149"/>
      <c r="H375" s="1150"/>
      <c r="I375" s="1151"/>
      <c r="J375" s="1149"/>
      <c r="K375" s="1152"/>
      <c r="L375" s="1152"/>
      <c r="M375" s="1149"/>
      <c r="N375" s="1149"/>
      <c r="O375" s="1149"/>
    </row>
    <row r="376" ht="40.5" customHeight="1">
      <c r="A376" s="1139"/>
      <c r="B376" s="1140"/>
      <c r="C376" s="1141"/>
      <c r="D376" s="1142"/>
      <c r="E376" s="1143"/>
      <c r="F376" s="1143"/>
      <c r="G376" s="1143"/>
      <c r="H376" s="1144"/>
      <c r="I376" s="1145"/>
      <c r="J376" s="1143"/>
      <c r="K376" s="1146"/>
      <c r="L376" s="1146"/>
      <c r="M376" s="1143"/>
      <c r="N376" s="1143"/>
      <c r="O376" s="1143"/>
    </row>
    <row r="377" ht="40.5" customHeight="1">
      <c r="A377" s="1147"/>
      <c r="B377" s="1140"/>
      <c r="C377" s="1148"/>
      <c r="D377" s="1142"/>
      <c r="E377" s="1149"/>
      <c r="F377" s="1149"/>
      <c r="G377" s="1149"/>
      <c r="H377" s="1150"/>
      <c r="I377" s="1151"/>
      <c r="J377" s="1149"/>
      <c r="K377" s="1152"/>
      <c r="L377" s="1152"/>
      <c r="M377" s="1149"/>
      <c r="N377" s="1149"/>
      <c r="O377" s="1149"/>
    </row>
    <row r="378" ht="40.5" customHeight="1">
      <c r="A378" s="1139"/>
      <c r="B378" s="1140"/>
      <c r="C378" s="1141"/>
      <c r="D378" s="1142"/>
      <c r="E378" s="1143"/>
      <c r="F378" s="1143"/>
      <c r="G378" s="1143"/>
      <c r="H378" s="1144"/>
      <c r="I378" s="1145"/>
      <c r="J378" s="1143"/>
      <c r="K378" s="1146"/>
      <c r="L378" s="1146"/>
      <c r="M378" s="1143"/>
      <c r="N378" s="1143"/>
      <c r="O378" s="1143"/>
    </row>
    <row r="379" ht="40.5" customHeight="1">
      <c r="A379" s="1147"/>
      <c r="B379" s="1140"/>
      <c r="C379" s="1148"/>
      <c r="D379" s="1142"/>
      <c r="E379" s="1149"/>
      <c r="F379" s="1149"/>
      <c r="G379" s="1149"/>
      <c r="H379" s="1150"/>
      <c r="I379" s="1151"/>
      <c r="J379" s="1149"/>
      <c r="K379" s="1152"/>
      <c r="L379" s="1152"/>
      <c r="M379" s="1149"/>
      <c r="N379" s="1149"/>
      <c r="O379" s="1149"/>
    </row>
    <row r="380" ht="40.5" customHeight="1">
      <c r="A380" s="1139"/>
      <c r="B380" s="1140"/>
      <c r="C380" s="1141"/>
      <c r="D380" s="1142"/>
      <c r="E380" s="1143"/>
      <c r="F380" s="1143"/>
      <c r="G380" s="1143"/>
      <c r="H380" s="1144"/>
      <c r="I380" s="1145"/>
      <c r="J380" s="1143"/>
      <c r="K380" s="1146"/>
      <c r="L380" s="1146"/>
      <c r="M380" s="1143"/>
      <c r="N380" s="1143"/>
      <c r="O380" s="1143"/>
    </row>
    <row r="381" ht="40.5" customHeight="1">
      <c r="A381" s="1147"/>
      <c r="B381" s="1140"/>
      <c r="C381" s="1148"/>
      <c r="D381" s="1142"/>
      <c r="E381" s="1149"/>
      <c r="F381" s="1149"/>
      <c r="G381" s="1149"/>
      <c r="H381" s="1150"/>
      <c r="I381" s="1151"/>
      <c r="J381" s="1149"/>
      <c r="K381" s="1152"/>
      <c r="L381" s="1152"/>
      <c r="M381" s="1149"/>
      <c r="N381" s="1149"/>
      <c r="O381" s="1149"/>
    </row>
    <row r="382" ht="40.5" customHeight="1">
      <c r="A382" s="1139"/>
      <c r="B382" s="1140"/>
      <c r="C382" s="1141"/>
      <c r="D382" s="1142"/>
      <c r="E382" s="1143"/>
      <c r="F382" s="1143"/>
      <c r="G382" s="1143"/>
      <c r="H382" s="1144"/>
      <c r="I382" s="1145"/>
      <c r="J382" s="1143"/>
      <c r="K382" s="1146"/>
      <c r="L382" s="1146"/>
      <c r="M382" s="1143"/>
      <c r="N382" s="1143"/>
      <c r="O382" s="1143"/>
    </row>
    <row r="383" ht="40.5" customHeight="1">
      <c r="A383" s="1147"/>
      <c r="B383" s="1140"/>
      <c r="C383" s="1148"/>
      <c r="D383" s="1142"/>
      <c r="E383" s="1149"/>
      <c r="F383" s="1149"/>
      <c r="G383" s="1149"/>
      <c r="H383" s="1150"/>
      <c r="I383" s="1151"/>
      <c r="J383" s="1149"/>
      <c r="K383" s="1152"/>
      <c r="L383" s="1152"/>
      <c r="M383" s="1149"/>
      <c r="N383" s="1149"/>
      <c r="O383" s="1149"/>
    </row>
    <row r="384" ht="40.5" customHeight="1">
      <c r="A384" s="1139"/>
      <c r="B384" s="1140"/>
      <c r="C384" s="1141"/>
      <c r="D384" s="1142"/>
      <c r="E384" s="1143"/>
      <c r="F384" s="1143"/>
      <c r="G384" s="1143"/>
      <c r="H384" s="1144"/>
      <c r="I384" s="1145"/>
      <c r="J384" s="1143"/>
      <c r="K384" s="1146"/>
      <c r="L384" s="1146"/>
      <c r="M384" s="1143"/>
      <c r="N384" s="1143"/>
      <c r="O384" s="1143"/>
    </row>
    <row r="385" ht="40.5" customHeight="1">
      <c r="A385" s="1147"/>
      <c r="B385" s="1140"/>
      <c r="C385" s="1148"/>
      <c r="D385" s="1142"/>
      <c r="E385" s="1149"/>
      <c r="F385" s="1149"/>
      <c r="G385" s="1149"/>
      <c r="H385" s="1150"/>
      <c r="I385" s="1151"/>
      <c r="J385" s="1149"/>
      <c r="K385" s="1152"/>
      <c r="L385" s="1152"/>
      <c r="M385" s="1149"/>
      <c r="N385" s="1149"/>
      <c r="O385" s="1149"/>
    </row>
    <row r="386" ht="40.5" customHeight="1">
      <c r="A386" s="1139"/>
      <c r="B386" s="1140"/>
      <c r="C386" s="1141"/>
      <c r="D386" s="1142"/>
      <c r="E386" s="1143"/>
      <c r="F386" s="1143"/>
      <c r="G386" s="1143"/>
      <c r="H386" s="1144"/>
      <c r="I386" s="1145"/>
      <c r="J386" s="1143"/>
      <c r="K386" s="1146"/>
      <c r="L386" s="1146"/>
      <c r="M386" s="1143"/>
      <c r="N386" s="1143"/>
      <c r="O386" s="1143"/>
    </row>
    <row r="387" ht="40.5" customHeight="1">
      <c r="A387" s="1147"/>
      <c r="B387" s="1140"/>
      <c r="C387" s="1148"/>
      <c r="D387" s="1142"/>
      <c r="E387" s="1149"/>
      <c r="F387" s="1149"/>
      <c r="G387" s="1149"/>
      <c r="H387" s="1150"/>
      <c r="I387" s="1151"/>
      <c r="J387" s="1149"/>
      <c r="K387" s="1152"/>
      <c r="L387" s="1152"/>
      <c r="M387" s="1149"/>
      <c r="N387" s="1149"/>
      <c r="O387" s="1149"/>
    </row>
    <row r="388" ht="40.5" customHeight="1">
      <c r="A388" s="1139"/>
      <c r="B388" s="1140"/>
      <c r="C388" s="1141"/>
      <c r="D388" s="1142"/>
      <c r="E388" s="1143"/>
      <c r="F388" s="1143"/>
      <c r="G388" s="1143"/>
      <c r="H388" s="1144"/>
      <c r="I388" s="1145"/>
      <c r="J388" s="1143"/>
      <c r="K388" s="1146"/>
      <c r="L388" s="1146"/>
      <c r="M388" s="1143"/>
      <c r="N388" s="1143"/>
      <c r="O388" s="1143"/>
    </row>
    <row r="389" ht="40.5" customHeight="1">
      <c r="A389" s="1147"/>
      <c r="B389" s="1140"/>
      <c r="C389" s="1148"/>
      <c r="D389" s="1142"/>
      <c r="E389" s="1149"/>
      <c r="F389" s="1149"/>
      <c r="G389" s="1149"/>
      <c r="H389" s="1150"/>
      <c r="I389" s="1151"/>
      <c r="J389" s="1149"/>
      <c r="K389" s="1152"/>
      <c r="L389" s="1152"/>
      <c r="M389" s="1149"/>
      <c r="N389" s="1149"/>
      <c r="O389" s="1149"/>
    </row>
    <row r="390" ht="40.5" customHeight="1">
      <c r="A390" s="1139"/>
      <c r="B390" s="1140"/>
      <c r="C390" s="1141"/>
      <c r="D390" s="1142"/>
      <c r="E390" s="1143"/>
      <c r="F390" s="1143"/>
      <c r="G390" s="1143"/>
      <c r="H390" s="1144"/>
      <c r="I390" s="1145"/>
      <c r="J390" s="1143"/>
      <c r="K390" s="1146"/>
      <c r="L390" s="1146"/>
      <c r="M390" s="1143"/>
      <c r="N390" s="1143"/>
      <c r="O390" s="1143"/>
    </row>
    <row r="391" ht="40.5" customHeight="1">
      <c r="A391" s="1147"/>
      <c r="B391" s="1140"/>
      <c r="C391" s="1148"/>
      <c r="D391" s="1142"/>
      <c r="E391" s="1149"/>
      <c r="F391" s="1149"/>
      <c r="G391" s="1149"/>
      <c r="H391" s="1150"/>
      <c r="I391" s="1151"/>
      <c r="J391" s="1149"/>
      <c r="K391" s="1152"/>
      <c r="L391" s="1152"/>
      <c r="M391" s="1149"/>
      <c r="N391" s="1149"/>
      <c r="O391" s="1149"/>
    </row>
    <row r="392" ht="40.5" customHeight="1">
      <c r="A392" s="1139"/>
      <c r="B392" s="1140"/>
      <c r="C392" s="1141"/>
      <c r="D392" s="1142"/>
      <c r="E392" s="1143"/>
      <c r="F392" s="1143"/>
      <c r="G392" s="1143"/>
      <c r="H392" s="1144"/>
      <c r="I392" s="1145"/>
      <c r="J392" s="1143"/>
      <c r="K392" s="1146"/>
      <c r="L392" s="1146"/>
      <c r="M392" s="1143"/>
      <c r="N392" s="1143"/>
      <c r="O392" s="1143"/>
    </row>
    <row r="393" ht="40.5" customHeight="1">
      <c r="A393" s="1147"/>
      <c r="B393" s="1140"/>
      <c r="C393" s="1148"/>
      <c r="D393" s="1142"/>
      <c r="E393" s="1149"/>
      <c r="F393" s="1149"/>
      <c r="G393" s="1149"/>
      <c r="H393" s="1150"/>
      <c r="I393" s="1151"/>
      <c r="J393" s="1149"/>
      <c r="K393" s="1152"/>
      <c r="L393" s="1152"/>
      <c r="M393" s="1149"/>
      <c r="N393" s="1149"/>
      <c r="O393" s="1149"/>
    </row>
    <row r="394" ht="40.5" customHeight="1">
      <c r="A394" s="1139"/>
      <c r="B394" s="1140"/>
      <c r="C394" s="1141"/>
      <c r="D394" s="1142"/>
      <c r="E394" s="1143"/>
      <c r="F394" s="1143"/>
      <c r="G394" s="1143"/>
      <c r="H394" s="1144"/>
      <c r="I394" s="1145"/>
      <c r="J394" s="1143"/>
      <c r="K394" s="1146"/>
      <c r="L394" s="1146"/>
      <c r="M394" s="1143"/>
      <c r="N394" s="1143"/>
      <c r="O394" s="1143"/>
    </row>
    <row r="395" ht="40.5" customHeight="1">
      <c r="A395" s="1147"/>
      <c r="B395" s="1140"/>
      <c r="C395" s="1148"/>
      <c r="D395" s="1142"/>
      <c r="E395" s="1149"/>
      <c r="F395" s="1149"/>
      <c r="G395" s="1149"/>
      <c r="H395" s="1150"/>
      <c r="I395" s="1151"/>
      <c r="J395" s="1149"/>
      <c r="K395" s="1152"/>
      <c r="L395" s="1152"/>
      <c r="M395" s="1149"/>
      <c r="N395" s="1149"/>
      <c r="O395" s="1149"/>
    </row>
    <row r="396" ht="40.5" customHeight="1">
      <c r="A396" s="1139"/>
      <c r="B396" s="1140"/>
      <c r="C396" s="1141"/>
      <c r="D396" s="1142"/>
      <c r="E396" s="1143"/>
      <c r="F396" s="1143"/>
      <c r="G396" s="1143"/>
      <c r="H396" s="1144"/>
      <c r="I396" s="1145"/>
      <c r="J396" s="1143"/>
      <c r="K396" s="1146"/>
      <c r="L396" s="1146"/>
      <c r="M396" s="1143"/>
      <c r="N396" s="1143"/>
      <c r="O396" s="1143"/>
    </row>
    <row r="397" ht="40.5" customHeight="1">
      <c r="A397" s="1147"/>
      <c r="B397" s="1140"/>
      <c r="C397" s="1148"/>
      <c r="D397" s="1142"/>
      <c r="E397" s="1149"/>
      <c r="F397" s="1149"/>
      <c r="G397" s="1149"/>
      <c r="H397" s="1150"/>
      <c r="I397" s="1151"/>
      <c r="J397" s="1149"/>
      <c r="K397" s="1152"/>
      <c r="L397" s="1152"/>
      <c r="M397" s="1149"/>
      <c r="N397" s="1149"/>
      <c r="O397" s="1149"/>
    </row>
    <row r="398" ht="40.5" customHeight="1">
      <c r="A398" s="1139"/>
      <c r="B398" s="1140"/>
      <c r="C398" s="1141"/>
      <c r="D398" s="1142"/>
      <c r="E398" s="1143"/>
      <c r="F398" s="1143"/>
      <c r="G398" s="1143"/>
      <c r="H398" s="1144"/>
      <c r="I398" s="1145"/>
      <c r="J398" s="1143"/>
      <c r="K398" s="1146"/>
      <c r="L398" s="1146"/>
      <c r="M398" s="1143"/>
      <c r="N398" s="1143"/>
      <c r="O398" s="1143"/>
    </row>
    <row r="399" ht="40.5" customHeight="1">
      <c r="A399" s="1147"/>
      <c r="B399" s="1140"/>
      <c r="C399" s="1148"/>
      <c r="D399" s="1142"/>
      <c r="E399" s="1149"/>
      <c r="F399" s="1149"/>
      <c r="G399" s="1149"/>
      <c r="H399" s="1150"/>
      <c r="I399" s="1151"/>
      <c r="J399" s="1149"/>
      <c r="K399" s="1152"/>
      <c r="L399" s="1152"/>
      <c r="M399" s="1149"/>
      <c r="N399" s="1149"/>
      <c r="O399" s="1149"/>
    </row>
    <row r="400" ht="40.5" customHeight="1">
      <c r="A400" s="1139"/>
      <c r="B400" s="1140"/>
      <c r="C400" s="1141"/>
      <c r="D400" s="1142"/>
      <c r="E400" s="1143"/>
      <c r="F400" s="1143"/>
      <c r="G400" s="1143"/>
      <c r="H400" s="1144"/>
      <c r="I400" s="1145"/>
      <c r="J400" s="1143"/>
      <c r="K400" s="1146"/>
      <c r="L400" s="1146"/>
      <c r="M400" s="1143"/>
      <c r="N400" s="1143"/>
      <c r="O400" s="1143"/>
    </row>
    <row r="401" ht="40.5" customHeight="1">
      <c r="A401" s="1147"/>
      <c r="B401" s="1140"/>
      <c r="C401" s="1148"/>
      <c r="D401" s="1142"/>
      <c r="E401" s="1149"/>
      <c r="F401" s="1149"/>
      <c r="G401" s="1149"/>
      <c r="H401" s="1150"/>
      <c r="I401" s="1151"/>
      <c r="J401" s="1149"/>
      <c r="K401" s="1152"/>
      <c r="L401" s="1152"/>
      <c r="M401" s="1149"/>
      <c r="N401" s="1149"/>
      <c r="O401" s="1149"/>
    </row>
    <row r="402" ht="40.5" customHeight="1">
      <c r="A402" s="1139"/>
      <c r="B402" s="1140"/>
      <c r="C402" s="1141"/>
      <c r="D402" s="1142"/>
      <c r="E402" s="1143"/>
      <c r="F402" s="1143"/>
      <c r="G402" s="1143"/>
      <c r="H402" s="1144"/>
      <c r="I402" s="1145"/>
      <c r="J402" s="1143"/>
      <c r="K402" s="1146"/>
      <c r="L402" s="1146"/>
      <c r="M402" s="1143"/>
      <c r="N402" s="1143"/>
      <c r="O402" s="1143"/>
    </row>
    <row r="403" ht="40.5" customHeight="1">
      <c r="A403" s="1147"/>
      <c r="B403" s="1140"/>
      <c r="C403" s="1148"/>
      <c r="D403" s="1142"/>
      <c r="E403" s="1149"/>
      <c r="F403" s="1149"/>
      <c r="G403" s="1149"/>
      <c r="H403" s="1150"/>
      <c r="I403" s="1151"/>
      <c r="J403" s="1149"/>
      <c r="K403" s="1152"/>
      <c r="L403" s="1152"/>
      <c r="M403" s="1149"/>
      <c r="N403" s="1149"/>
      <c r="O403" s="1149"/>
    </row>
    <row r="404" ht="40.5" customHeight="1">
      <c r="A404" s="1139"/>
      <c r="B404" s="1140"/>
      <c r="C404" s="1141"/>
      <c r="D404" s="1142"/>
      <c r="E404" s="1143"/>
      <c r="F404" s="1143"/>
      <c r="G404" s="1143"/>
      <c r="H404" s="1144"/>
      <c r="I404" s="1145"/>
      <c r="J404" s="1143"/>
      <c r="K404" s="1146"/>
      <c r="L404" s="1146"/>
      <c r="M404" s="1143"/>
      <c r="N404" s="1143"/>
      <c r="O404" s="1143"/>
    </row>
    <row r="405" ht="40.5" customHeight="1">
      <c r="A405" s="1147"/>
      <c r="B405" s="1140"/>
      <c r="C405" s="1148"/>
      <c r="D405" s="1142"/>
      <c r="E405" s="1149"/>
      <c r="F405" s="1149"/>
      <c r="G405" s="1149"/>
      <c r="H405" s="1150"/>
      <c r="I405" s="1151"/>
      <c r="J405" s="1149"/>
      <c r="K405" s="1152"/>
      <c r="L405" s="1152"/>
      <c r="M405" s="1149"/>
      <c r="N405" s="1149"/>
      <c r="O405" s="1149"/>
    </row>
    <row r="406" ht="40.5" customHeight="1">
      <c r="A406" s="1139"/>
      <c r="B406" s="1140"/>
      <c r="C406" s="1141"/>
      <c r="D406" s="1142"/>
      <c r="E406" s="1143"/>
      <c r="F406" s="1143"/>
      <c r="G406" s="1143"/>
      <c r="H406" s="1144"/>
      <c r="I406" s="1145"/>
      <c r="J406" s="1143"/>
      <c r="K406" s="1146"/>
      <c r="L406" s="1146"/>
      <c r="M406" s="1143"/>
      <c r="N406" s="1143"/>
      <c r="O406" s="1143"/>
    </row>
    <row r="407" ht="40.5" customHeight="1">
      <c r="A407" s="1147"/>
      <c r="B407" s="1140"/>
      <c r="C407" s="1148"/>
      <c r="D407" s="1142"/>
      <c r="E407" s="1149"/>
      <c r="F407" s="1149"/>
      <c r="G407" s="1149"/>
      <c r="H407" s="1150"/>
      <c r="I407" s="1151"/>
      <c r="J407" s="1149"/>
      <c r="K407" s="1152"/>
      <c r="L407" s="1152"/>
      <c r="M407" s="1149"/>
      <c r="N407" s="1149"/>
      <c r="O407" s="1149"/>
    </row>
    <row r="408" ht="40.5" customHeight="1">
      <c r="A408" s="1139"/>
      <c r="B408" s="1140"/>
      <c r="C408" s="1141"/>
      <c r="D408" s="1142"/>
      <c r="E408" s="1143"/>
      <c r="F408" s="1143"/>
      <c r="G408" s="1143"/>
      <c r="H408" s="1144"/>
      <c r="I408" s="1145"/>
      <c r="J408" s="1143"/>
      <c r="K408" s="1146"/>
      <c r="L408" s="1146"/>
      <c r="M408" s="1143"/>
      <c r="N408" s="1143"/>
      <c r="O408" s="1143"/>
    </row>
    <row r="409" ht="40.5" customHeight="1">
      <c r="A409" s="1147"/>
      <c r="B409" s="1140"/>
      <c r="C409" s="1148"/>
      <c r="D409" s="1142"/>
      <c r="E409" s="1149"/>
      <c r="F409" s="1149"/>
      <c r="G409" s="1149"/>
      <c r="H409" s="1150"/>
      <c r="I409" s="1151"/>
      <c r="J409" s="1149"/>
      <c r="K409" s="1152"/>
      <c r="L409" s="1152"/>
      <c r="M409" s="1149"/>
      <c r="N409" s="1149"/>
      <c r="O409" s="1149"/>
    </row>
    <row r="410" ht="40.5" customHeight="1">
      <c r="A410" s="1139"/>
      <c r="B410" s="1140"/>
      <c r="C410" s="1141"/>
      <c r="D410" s="1142"/>
      <c r="E410" s="1143"/>
      <c r="F410" s="1143"/>
      <c r="G410" s="1143"/>
      <c r="H410" s="1144"/>
      <c r="I410" s="1145"/>
      <c r="J410" s="1143"/>
      <c r="K410" s="1146"/>
      <c r="L410" s="1146"/>
      <c r="M410" s="1143"/>
      <c r="N410" s="1143"/>
      <c r="O410" s="1143"/>
    </row>
    <row r="411" ht="40.5" customHeight="1">
      <c r="A411" s="1147"/>
      <c r="B411" s="1140"/>
      <c r="C411" s="1148"/>
      <c r="D411" s="1142"/>
      <c r="E411" s="1149"/>
      <c r="F411" s="1149"/>
      <c r="G411" s="1149"/>
      <c r="H411" s="1150"/>
      <c r="I411" s="1151"/>
      <c r="J411" s="1149"/>
      <c r="K411" s="1152"/>
      <c r="L411" s="1152"/>
      <c r="M411" s="1149"/>
      <c r="N411" s="1149"/>
      <c r="O411" s="1149"/>
    </row>
    <row r="412" ht="40.5" customHeight="1">
      <c r="A412" s="1139"/>
      <c r="B412" s="1140"/>
      <c r="C412" s="1141"/>
      <c r="D412" s="1142"/>
      <c r="E412" s="1143"/>
      <c r="F412" s="1143"/>
      <c r="G412" s="1143"/>
      <c r="H412" s="1144"/>
      <c r="I412" s="1145"/>
      <c r="J412" s="1143"/>
      <c r="K412" s="1146"/>
      <c r="L412" s="1146"/>
      <c r="M412" s="1143"/>
      <c r="N412" s="1143"/>
      <c r="O412" s="1143"/>
    </row>
    <row r="413" ht="40.5" customHeight="1">
      <c r="A413" s="1147"/>
      <c r="B413" s="1140"/>
      <c r="C413" s="1148"/>
      <c r="D413" s="1142"/>
      <c r="E413" s="1149"/>
      <c r="F413" s="1149"/>
      <c r="G413" s="1149"/>
      <c r="H413" s="1150"/>
      <c r="I413" s="1151"/>
      <c r="J413" s="1149"/>
      <c r="K413" s="1152"/>
      <c r="L413" s="1152"/>
      <c r="M413" s="1149"/>
      <c r="N413" s="1149"/>
      <c r="O413" s="1149"/>
    </row>
    <row r="414" ht="40.5" customHeight="1">
      <c r="A414" s="1139"/>
      <c r="B414" s="1140"/>
      <c r="C414" s="1141"/>
      <c r="D414" s="1142"/>
      <c r="E414" s="1143"/>
      <c r="F414" s="1143"/>
      <c r="G414" s="1143"/>
      <c r="H414" s="1144"/>
      <c r="I414" s="1145"/>
      <c r="J414" s="1143"/>
      <c r="K414" s="1146"/>
      <c r="L414" s="1146"/>
      <c r="M414" s="1143"/>
      <c r="N414" s="1143"/>
      <c r="O414" s="1143"/>
    </row>
    <row r="415" ht="40.5" customHeight="1">
      <c r="A415" s="1147"/>
      <c r="B415" s="1140"/>
      <c r="C415" s="1148"/>
      <c r="D415" s="1142"/>
      <c r="E415" s="1149"/>
      <c r="F415" s="1149"/>
      <c r="G415" s="1149"/>
      <c r="H415" s="1150"/>
      <c r="I415" s="1151"/>
      <c r="J415" s="1149"/>
      <c r="K415" s="1152"/>
      <c r="L415" s="1152"/>
      <c r="M415" s="1149"/>
      <c r="N415" s="1149"/>
      <c r="O415" s="1149"/>
    </row>
    <row r="416" ht="40.5" customHeight="1">
      <c r="A416" s="1139"/>
      <c r="B416" s="1140"/>
      <c r="C416" s="1141"/>
      <c r="D416" s="1142"/>
      <c r="E416" s="1143"/>
      <c r="F416" s="1143"/>
      <c r="G416" s="1143"/>
      <c r="H416" s="1144"/>
      <c r="I416" s="1145"/>
      <c r="J416" s="1143"/>
      <c r="K416" s="1146"/>
      <c r="L416" s="1146"/>
      <c r="M416" s="1143"/>
      <c r="N416" s="1143"/>
      <c r="O416" s="1143"/>
    </row>
    <row r="417" ht="40.5" customHeight="1">
      <c r="A417" s="1147"/>
      <c r="B417" s="1140"/>
      <c r="C417" s="1148"/>
      <c r="D417" s="1142"/>
      <c r="E417" s="1149"/>
      <c r="F417" s="1149"/>
      <c r="G417" s="1149"/>
      <c r="H417" s="1150"/>
      <c r="I417" s="1151"/>
      <c r="J417" s="1149"/>
      <c r="K417" s="1152"/>
      <c r="L417" s="1152"/>
      <c r="M417" s="1149"/>
      <c r="N417" s="1149"/>
      <c r="O417" s="1149"/>
    </row>
    <row r="418" ht="40.5" customHeight="1">
      <c r="A418" s="1139"/>
      <c r="B418" s="1140"/>
      <c r="C418" s="1141"/>
      <c r="D418" s="1142"/>
      <c r="E418" s="1143"/>
      <c r="F418" s="1143"/>
      <c r="G418" s="1143"/>
      <c r="H418" s="1144"/>
      <c r="I418" s="1145"/>
      <c r="J418" s="1143"/>
      <c r="K418" s="1146"/>
      <c r="L418" s="1146"/>
      <c r="M418" s="1143"/>
      <c r="N418" s="1143"/>
      <c r="O418" s="1143"/>
    </row>
    <row r="419" ht="40.5" customHeight="1">
      <c r="A419" s="1147"/>
      <c r="B419" s="1140"/>
      <c r="C419" s="1148"/>
      <c r="D419" s="1142"/>
      <c r="E419" s="1149"/>
      <c r="F419" s="1149"/>
      <c r="G419" s="1149"/>
      <c r="H419" s="1150"/>
      <c r="I419" s="1151"/>
      <c r="J419" s="1149"/>
      <c r="K419" s="1152"/>
      <c r="L419" s="1152"/>
      <c r="M419" s="1149"/>
      <c r="N419" s="1149"/>
      <c r="O419" s="1149"/>
    </row>
    <row r="420" ht="40.5" customHeight="1">
      <c r="A420" s="1139"/>
      <c r="B420" s="1140"/>
      <c r="C420" s="1141"/>
      <c r="D420" s="1142"/>
      <c r="E420" s="1143"/>
      <c r="F420" s="1143"/>
      <c r="G420" s="1143"/>
      <c r="H420" s="1144"/>
      <c r="I420" s="1145"/>
      <c r="J420" s="1143"/>
      <c r="K420" s="1146"/>
      <c r="L420" s="1146"/>
      <c r="M420" s="1143"/>
      <c r="N420" s="1143"/>
      <c r="O420" s="1143"/>
    </row>
    <row r="421" ht="40.5" customHeight="1">
      <c r="A421" s="1147"/>
      <c r="B421" s="1140"/>
      <c r="C421" s="1148"/>
      <c r="D421" s="1142"/>
      <c r="E421" s="1149"/>
      <c r="F421" s="1149"/>
      <c r="G421" s="1149"/>
      <c r="H421" s="1150"/>
      <c r="I421" s="1151"/>
      <c r="J421" s="1149"/>
      <c r="K421" s="1152"/>
      <c r="L421" s="1152"/>
      <c r="M421" s="1149"/>
      <c r="N421" s="1149"/>
      <c r="O421" s="1149"/>
    </row>
    <row r="422" ht="40.5" customHeight="1">
      <c r="A422" s="1139"/>
      <c r="B422" s="1140"/>
      <c r="C422" s="1141"/>
      <c r="D422" s="1142"/>
      <c r="E422" s="1143"/>
      <c r="F422" s="1143"/>
      <c r="G422" s="1143"/>
      <c r="H422" s="1144"/>
      <c r="I422" s="1145"/>
      <c r="J422" s="1143"/>
      <c r="K422" s="1146"/>
      <c r="L422" s="1146"/>
      <c r="M422" s="1143"/>
      <c r="N422" s="1143"/>
      <c r="O422" s="1143"/>
    </row>
    <row r="423" ht="40.5" customHeight="1">
      <c r="A423" s="1147"/>
      <c r="B423" s="1140"/>
      <c r="C423" s="1148"/>
      <c r="D423" s="1142"/>
      <c r="E423" s="1149"/>
      <c r="F423" s="1149"/>
      <c r="G423" s="1149"/>
      <c r="H423" s="1150"/>
      <c r="I423" s="1151"/>
      <c r="J423" s="1149"/>
      <c r="K423" s="1152"/>
      <c r="L423" s="1152"/>
      <c r="M423" s="1149"/>
      <c r="N423" s="1149"/>
      <c r="O423" s="1149"/>
    </row>
    <row r="424" ht="40.5" customHeight="1">
      <c r="A424" s="1139"/>
      <c r="B424" s="1140"/>
      <c r="C424" s="1141"/>
      <c r="D424" s="1142"/>
      <c r="E424" s="1143"/>
      <c r="F424" s="1143"/>
      <c r="G424" s="1143"/>
      <c r="H424" s="1144"/>
      <c r="I424" s="1145"/>
      <c r="J424" s="1143"/>
      <c r="K424" s="1146"/>
      <c r="L424" s="1146"/>
      <c r="M424" s="1143"/>
      <c r="N424" s="1143"/>
      <c r="O424" s="1143"/>
    </row>
    <row r="425" ht="40.5" customHeight="1">
      <c r="A425" s="1147"/>
      <c r="B425" s="1140"/>
      <c r="C425" s="1148"/>
      <c r="D425" s="1142"/>
      <c r="E425" s="1149"/>
      <c r="F425" s="1149"/>
      <c r="G425" s="1149"/>
      <c r="H425" s="1150"/>
      <c r="I425" s="1151"/>
      <c r="J425" s="1149"/>
      <c r="K425" s="1152"/>
      <c r="L425" s="1152"/>
      <c r="M425" s="1149"/>
      <c r="N425" s="1149"/>
      <c r="O425" s="1149"/>
    </row>
    <row r="426" ht="40.5" customHeight="1">
      <c r="A426" s="1139"/>
      <c r="B426" s="1140"/>
      <c r="C426" s="1141"/>
      <c r="D426" s="1142"/>
      <c r="E426" s="1143"/>
      <c r="F426" s="1143"/>
      <c r="G426" s="1143"/>
      <c r="H426" s="1144"/>
      <c r="I426" s="1145"/>
      <c r="J426" s="1143"/>
      <c r="K426" s="1146"/>
      <c r="L426" s="1146"/>
      <c r="M426" s="1143"/>
      <c r="N426" s="1143"/>
      <c r="O426" s="1143"/>
    </row>
    <row r="427" ht="40.5" customHeight="1">
      <c r="A427" s="1147"/>
      <c r="B427" s="1140"/>
      <c r="C427" s="1148"/>
      <c r="D427" s="1142"/>
      <c r="E427" s="1149"/>
      <c r="F427" s="1149"/>
      <c r="G427" s="1149"/>
      <c r="H427" s="1150"/>
      <c r="I427" s="1151"/>
      <c r="J427" s="1149"/>
      <c r="K427" s="1152"/>
      <c r="L427" s="1152"/>
      <c r="M427" s="1149"/>
      <c r="N427" s="1149"/>
      <c r="O427" s="1149"/>
    </row>
    <row r="428" ht="40.5" customHeight="1">
      <c r="A428" s="1139"/>
      <c r="B428" s="1140"/>
      <c r="C428" s="1141"/>
      <c r="D428" s="1142"/>
      <c r="E428" s="1143"/>
      <c r="F428" s="1143"/>
      <c r="G428" s="1143"/>
      <c r="H428" s="1144"/>
      <c r="I428" s="1145"/>
      <c r="J428" s="1143"/>
      <c r="K428" s="1146"/>
      <c r="L428" s="1146"/>
      <c r="M428" s="1143"/>
      <c r="N428" s="1143"/>
      <c r="O428" s="1143"/>
    </row>
    <row r="429" ht="40.5" customHeight="1">
      <c r="A429" s="1147"/>
      <c r="B429" s="1140"/>
      <c r="C429" s="1148"/>
      <c r="D429" s="1142"/>
      <c r="E429" s="1149"/>
      <c r="F429" s="1149"/>
      <c r="G429" s="1149"/>
      <c r="H429" s="1150"/>
      <c r="I429" s="1151"/>
      <c r="J429" s="1149"/>
      <c r="K429" s="1152"/>
      <c r="L429" s="1152"/>
      <c r="M429" s="1149"/>
      <c r="N429" s="1149"/>
      <c r="O429" s="1149"/>
    </row>
    <row r="430" ht="40.5" customHeight="1">
      <c r="A430" s="1139"/>
      <c r="B430" s="1140"/>
      <c r="C430" s="1141"/>
      <c r="D430" s="1142"/>
      <c r="E430" s="1143"/>
      <c r="F430" s="1143"/>
      <c r="G430" s="1143"/>
      <c r="H430" s="1144"/>
      <c r="I430" s="1145"/>
      <c r="J430" s="1143"/>
      <c r="K430" s="1146"/>
      <c r="L430" s="1146"/>
      <c r="M430" s="1143"/>
      <c r="N430" s="1143"/>
      <c r="O430" s="1143"/>
    </row>
    <row r="431" ht="40.5" customHeight="1">
      <c r="A431" s="1147"/>
      <c r="B431" s="1140"/>
      <c r="C431" s="1148"/>
      <c r="D431" s="1142"/>
      <c r="E431" s="1149"/>
      <c r="F431" s="1149"/>
      <c r="G431" s="1149"/>
      <c r="H431" s="1150"/>
      <c r="I431" s="1151"/>
      <c r="J431" s="1149"/>
      <c r="K431" s="1152"/>
      <c r="L431" s="1152"/>
      <c r="M431" s="1149"/>
      <c r="N431" s="1149"/>
      <c r="O431" s="1149"/>
    </row>
    <row r="432" ht="40.5" customHeight="1">
      <c r="A432" s="1139"/>
      <c r="B432" s="1140"/>
      <c r="C432" s="1141"/>
      <c r="D432" s="1142"/>
      <c r="E432" s="1143"/>
      <c r="F432" s="1143"/>
      <c r="G432" s="1143"/>
      <c r="H432" s="1144"/>
      <c r="I432" s="1145"/>
      <c r="J432" s="1143"/>
      <c r="K432" s="1146"/>
      <c r="L432" s="1146"/>
      <c r="M432" s="1143"/>
      <c r="N432" s="1143"/>
      <c r="O432" s="1143"/>
    </row>
    <row r="433" ht="40.5" customHeight="1">
      <c r="A433" s="1147"/>
      <c r="B433" s="1140"/>
      <c r="C433" s="1148"/>
      <c r="D433" s="1142"/>
      <c r="E433" s="1149"/>
      <c r="F433" s="1149"/>
      <c r="G433" s="1149"/>
      <c r="H433" s="1150"/>
      <c r="I433" s="1151"/>
      <c r="J433" s="1149"/>
      <c r="K433" s="1152"/>
      <c r="L433" s="1152"/>
      <c r="M433" s="1149"/>
      <c r="N433" s="1149"/>
      <c r="O433" s="1149"/>
    </row>
    <row r="434" ht="40.5" customHeight="1">
      <c r="A434" s="1139"/>
      <c r="B434" s="1140"/>
      <c r="C434" s="1141"/>
      <c r="D434" s="1142"/>
      <c r="E434" s="1143"/>
      <c r="F434" s="1143"/>
      <c r="G434" s="1143"/>
      <c r="H434" s="1144"/>
      <c r="I434" s="1145"/>
      <c r="J434" s="1143"/>
      <c r="K434" s="1146"/>
      <c r="L434" s="1146"/>
      <c r="M434" s="1143"/>
      <c r="N434" s="1143"/>
      <c r="O434" s="1143"/>
    </row>
    <row r="435" ht="40.5" customHeight="1">
      <c r="A435" s="1147"/>
      <c r="B435" s="1140"/>
      <c r="C435" s="1148"/>
      <c r="D435" s="1142"/>
      <c r="E435" s="1149"/>
      <c r="F435" s="1149"/>
      <c r="G435" s="1149"/>
      <c r="H435" s="1150"/>
      <c r="I435" s="1151"/>
      <c r="J435" s="1149"/>
      <c r="K435" s="1152"/>
      <c r="L435" s="1152"/>
      <c r="M435" s="1149"/>
      <c r="N435" s="1149"/>
      <c r="O435" s="1149"/>
    </row>
    <row r="436" ht="40.5" customHeight="1">
      <c r="A436" s="1139"/>
      <c r="B436" s="1140"/>
      <c r="C436" s="1141"/>
      <c r="D436" s="1142"/>
      <c r="E436" s="1143"/>
      <c r="F436" s="1143"/>
      <c r="G436" s="1143"/>
      <c r="H436" s="1144"/>
      <c r="I436" s="1145"/>
      <c r="J436" s="1143"/>
      <c r="K436" s="1146"/>
      <c r="L436" s="1146"/>
      <c r="M436" s="1143"/>
      <c r="N436" s="1143"/>
      <c r="O436" s="1143"/>
    </row>
    <row r="437" ht="40.5" customHeight="1">
      <c r="A437" s="1147"/>
      <c r="B437" s="1140"/>
      <c r="C437" s="1148"/>
      <c r="D437" s="1142"/>
      <c r="E437" s="1149"/>
      <c r="F437" s="1149"/>
      <c r="G437" s="1149"/>
      <c r="H437" s="1150"/>
      <c r="I437" s="1151"/>
      <c r="J437" s="1149"/>
      <c r="K437" s="1152"/>
      <c r="L437" s="1152"/>
      <c r="M437" s="1149"/>
      <c r="N437" s="1149"/>
      <c r="O437" s="1149"/>
    </row>
    <row r="438" ht="40.5" customHeight="1">
      <c r="A438" s="1139"/>
      <c r="B438" s="1140"/>
      <c r="C438" s="1141"/>
      <c r="D438" s="1142"/>
      <c r="E438" s="1143"/>
      <c r="F438" s="1143"/>
      <c r="G438" s="1143"/>
      <c r="H438" s="1144"/>
      <c r="I438" s="1145"/>
      <c r="J438" s="1143"/>
      <c r="K438" s="1146"/>
      <c r="L438" s="1146"/>
      <c r="M438" s="1143"/>
      <c r="N438" s="1143"/>
      <c r="O438" s="1143"/>
    </row>
    <row r="439" ht="40.5" customHeight="1">
      <c r="A439" s="1147"/>
      <c r="B439" s="1140"/>
      <c r="C439" s="1148"/>
      <c r="D439" s="1142"/>
      <c r="E439" s="1149"/>
      <c r="F439" s="1149"/>
      <c r="G439" s="1149"/>
      <c r="H439" s="1150"/>
      <c r="I439" s="1151"/>
      <c r="J439" s="1149"/>
      <c r="K439" s="1152"/>
      <c r="L439" s="1152"/>
      <c r="M439" s="1149"/>
      <c r="N439" s="1149"/>
      <c r="O439" s="1149"/>
    </row>
    <row r="440" ht="40.5" customHeight="1">
      <c r="A440" s="1139"/>
      <c r="B440" s="1140"/>
      <c r="C440" s="1141"/>
      <c r="D440" s="1142"/>
      <c r="E440" s="1143"/>
      <c r="F440" s="1143"/>
      <c r="G440" s="1143"/>
      <c r="H440" s="1144"/>
      <c r="I440" s="1145"/>
      <c r="J440" s="1143"/>
      <c r="K440" s="1146"/>
      <c r="L440" s="1146"/>
      <c r="M440" s="1143"/>
      <c r="N440" s="1143"/>
      <c r="O440" s="1143"/>
    </row>
    <row r="441" ht="40.5" customHeight="1">
      <c r="A441" s="1147"/>
      <c r="B441" s="1140"/>
      <c r="C441" s="1148"/>
      <c r="D441" s="1142"/>
      <c r="E441" s="1149"/>
      <c r="F441" s="1149"/>
      <c r="G441" s="1149"/>
      <c r="H441" s="1150"/>
      <c r="I441" s="1151"/>
      <c r="J441" s="1149"/>
      <c r="K441" s="1152"/>
      <c r="L441" s="1152"/>
      <c r="M441" s="1149"/>
      <c r="N441" s="1149"/>
      <c r="O441" s="1149"/>
    </row>
    <row r="442" ht="40.5" customHeight="1">
      <c r="A442" s="1139"/>
      <c r="B442" s="1140"/>
      <c r="C442" s="1141"/>
      <c r="D442" s="1142"/>
      <c r="E442" s="1143"/>
      <c r="F442" s="1143"/>
      <c r="G442" s="1143"/>
      <c r="H442" s="1144"/>
      <c r="I442" s="1145"/>
      <c r="J442" s="1143"/>
      <c r="K442" s="1146"/>
      <c r="L442" s="1146"/>
      <c r="M442" s="1143"/>
      <c r="N442" s="1143"/>
      <c r="O442" s="1143"/>
    </row>
    <row r="443" ht="40.5" customHeight="1">
      <c r="A443" s="1147"/>
      <c r="B443" s="1140"/>
      <c r="C443" s="1148"/>
      <c r="D443" s="1142"/>
      <c r="E443" s="1149"/>
      <c r="F443" s="1149"/>
      <c r="G443" s="1149"/>
      <c r="H443" s="1150"/>
      <c r="I443" s="1151"/>
      <c r="J443" s="1149"/>
      <c r="K443" s="1152"/>
      <c r="L443" s="1152"/>
      <c r="M443" s="1149"/>
      <c r="N443" s="1149"/>
      <c r="O443" s="1149"/>
    </row>
    <row r="444" ht="40.5" customHeight="1">
      <c r="A444" s="1139"/>
      <c r="B444" s="1140"/>
      <c r="C444" s="1141"/>
      <c r="D444" s="1142"/>
      <c r="E444" s="1143"/>
      <c r="F444" s="1143"/>
      <c r="G444" s="1143"/>
      <c r="H444" s="1144"/>
      <c r="I444" s="1145"/>
      <c r="J444" s="1143"/>
      <c r="K444" s="1146"/>
      <c r="L444" s="1146"/>
      <c r="M444" s="1143"/>
      <c r="N444" s="1143"/>
      <c r="O444" s="1143"/>
    </row>
    <row r="445" ht="40.5" customHeight="1">
      <c r="A445" s="1147"/>
      <c r="B445" s="1140"/>
      <c r="C445" s="1148"/>
      <c r="D445" s="1142"/>
      <c r="E445" s="1149"/>
      <c r="F445" s="1149"/>
      <c r="G445" s="1149"/>
      <c r="H445" s="1150"/>
      <c r="I445" s="1151"/>
      <c r="J445" s="1149"/>
      <c r="K445" s="1152"/>
      <c r="L445" s="1152"/>
      <c r="M445" s="1149"/>
      <c r="N445" s="1149"/>
      <c r="O445" s="1149"/>
    </row>
    <row r="446" ht="40.5" customHeight="1">
      <c r="A446" s="1139"/>
      <c r="B446" s="1140"/>
      <c r="C446" s="1141"/>
      <c r="D446" s="1142"/>
      <c r="E446" s="1143"/>
      <c r="F446" s="1143"/>
      <c r="G446" s="1143"/>
      <c r="H446" s="1144"/>
      <c r="I446" s="1145"/>
      <c r="J446" s="1143"/>
      <c r="K446" s="1146"/>
      <c r="L446" s="1146"/>
      <c r="M446" s="1143"/>
      <c r="N446" s="1143"/>
      <c r="O446" s="1143"/>
    </row>
    <row r="447" ht="40.5" customHeight="1">
      <c r="A447" s="1147"/>
      <c r="B447" s="1140"/>
      <c r="C447" s="1148"/>
      <c r="D447" s="1142"/>
      <c r="E447" s="1149"/>
      <c r="F447" s="1149"/>
      <c r="G447" s="1149"/>
      <c r="H447" s="1150"/>
      <c r="I447" s="1151"/>
      <c r="J447" s="1149"/>
      <c r="K447" s="1152"/>
      <c r="L447" s="1152"/>
      <c r="M447" s="1149"/>
      <c r="N447" s="1149"/>
      <c r="O447" s="1149"/>
    </row>
    <row r="448" ht="40.5" customHeight="1">
      <c r="A448" s="1139"/>
      <c r="B448" s="1140"/>
      <c r="C448" s="1141"/>
      <c r="D448" s="1142"/>
      <c r="E448" s="1143"/>
      <c r="F448" s="1143"/>
      <c r="G448" s="1143"/>
      <c r="H448" s="1144"/>
      <c r="I448" s="1145"/>
      <c r="J448" s="1143"/>
      <c r="K448" s="1146"/>
      <c r="L448" s="1146"/>
      <c r="M448" s="1143"/>
      <c r="N448" s="1143"/>
      <c r="O448" s="1143"/>
    </row>
    <row r="449" ht="40.5" customHeight="1">
      <c r="A449" s="1147"/>
      <c r="B449" s="1140"/>
      <c r="C449" s="1148"/>
      <c r="D449" s="1142"/>
      <c r="E449" s="1149"/>
      <c r="F449" s="1149"/>
      <c r="G449" s="1149"/>
      <c r="H449" s="1150"/>
      <c r="I449" s="1151"/>
      <c r="J449" s="1149"/>
      <c r="K449" s="1152"/>
      <c r="L449" s="1152"/>
      <c r="M449" s="1149"/>
      <c r="N449" s="1149"/>
      <c r="O449" s="1149"/>
    </row>
    <row r="450" ht="40.5" customHeight="1">
      <c r="A450" s="1139"/>
      <c r="B450" s="1140"/>
      <c r="C450" s="1141"/>
      <c r="D450" s="1142"/>
      <c r="E450" s="1143"/>
      <c r="F450" s="1143"/>
      <c r="G450" s="1143"/>
      <c r="H450" s="1144"/>
      <c r="I450" s="1145"/>
      <c r="J450" s="1143"/>
      <c r="K450" s="1146"/>
      <c r="L450" s="1146"/>
      <c r="M450" s="1143"/>
      <c r="N450" s="1143"/>
      <c r="O450" s="1143"/>
    </row>
    <row r="451" ht="40.5" customHeight="1">
      <c r="A451" s="1147"/>
      <c r="B451" s="1140"/>
      <c r="C451" s="1148"/>
      <c r="D451" s="1142"/>
      <c r="E451" s="1149"/>
      <c r="F451" s="1149"/>
      <c r="G451" s="1149"/>
      <c r="H451" s="1150"/>
      <c r="I451" s="1151"/>
      <c r="J451" s="1149"/>
      <c r="K451" s="1152"/>
      <c r="L451" s="1152"/>
      <c r="M451" s="1149"/>
      <c r="N451" s="1149"/>
      <c r="O451" s="1149"/>
    </row>
    <row r="452" ht="40.5" customHeight="1">
      <c r="A452" s="1139"/>
      <c r="B452" s="1140"/>
      <c r="C452" s="1141"/>
      <c r="D452" s="1142"/>
      <c r="E452" s="1143"/>
      <c r="F452" s="1143"/>
      <c r="G452" s="1143"/>
      <c r="H452" s="1144"/>
      <c r="I452" s="1145"/>
      <c r="J452" s="1143"/>
      <c r="K452" s="1146"/>
      <c r="L452" s="1146"/>
      <c r="M452" s="1143"/>
      <c r="N452" s="1143"/>
      <c r="O452" s="1143"/>
    </row>
    <row r="453" ht="40.5" customHeight="1">
      <c r="A453" s="1147"/>
      <c r="B453" s="1140"/>
      <c r="C453" s="1148"/>
      <c r="D453" s="1142"/>
      <c r="E453" s="1149"/>
      <c r="F453" s="1149"/>
      <c r="G453" s="1149"/>
      <c r="H453" s="1150"/>
      <c r="I453" s="1151"/>
      <c r="J453" s="1149"/>
      <c r="K453" s="1152"/>
      <c r="L453" s="1152"/>
      <c r="M453" s="1149"/>
      <c r="N453" s="1149"/>
      <c r="O453" s="1149"/>
    </row>
    <row r="454" ht="40.5" customHeight="1">
      <c r="A454" s="1139"/>
      <c r="B454" s="1140"/>
      <c r="C454" s="1141"/>
      <c r="D454" s="1142"/>
      <c r="E454" s="1143"/>
      <c r="F454" s="1143"/>
      <c r="G454" s="1143"/>
      <c r="H454" s="1144"/>
      <c r="I454" s="1145"/>
      <c r="J454" s="1143"/>
      <c r="K454" s="1146"/>
      <c r="L454" s="1146"/>
      <c r="M454" s="1143"/>
      <c r="N454" s="1143"/>
      <c r="O454" s="1143"/>
    </row>
    <row r="455" ht="40.5" customHeight="1">
      <c r="A455" s="1147"/>
      <c r="B455" s="1140"/>
      <c r="C455" s="1148"/>
      <c r="D455" s="1142"/>
      <c r="E455" s="1149"/>
      <c r="F455" s="1149"/>
      <c r="G455" s="1149"/>
      <c r="H455" s="1150"/>
      <c r="I455" s="1151"/>
      <c r="J455" s="1149"/>
      <c r="K455" s="1152"/>
      <c r="L455" s="1152"/>
      <c r="M455" s="1149"/>
      <c r="N455" s="1149"/>
      <c r="O455" s="1149"/>
    </row>
    <row r="456" ht="40.5" customHeight="1">
      <c r="A456" s="1139"/>
      <c r="B456" s="1140"/>
      <c r="C456" s="1141"/>
      <c r="D456" s="1142"/>
      <c r="E456" s="1143"/>
      <c r="F456" s="1143"/>
      <c r="G456" s="1143"/>
      <c r="H456" s="1144"/>
      <c r="I456" s="1145"/>
      <c r="J456" s="1143"/>
      <c r="K456" s="1146"/>
      <c r="L456" s="1146"/>
      <c r="M456" s="1143"/>
      <c r="N456" s="1143"/>
      <c r="O456" s="1143"/>
    </row>
    <row r="457" ht="40.5" customHeight="1">
      <c r="A457" s="1147"/>
      <c r="B457" s="1140"/>
      <c r="C457" s="1148"/>
      <c r="D457" s="1142"/>
      <c r="E457" s="1149"/>
      <c r="F457" s="1149"/>
      <c r="G457" s="1149"/>
      <c r="H457" s="1150"/>
      <c r="I457" s="1151"/>
      <c r="J457" s="1149"/>
      <c r="K457" s="1152"/>
      <c r="L457" s="1152"/>
      <c r="M457" s="1149"/>
      <c r="N457" s="1149"/>
      <c r="O457" s="1149"/>
    </row>
    <row r="458" ht="40.5" customHeight="1">
      <c r="A458" s="1139"/>
      <c r="B458" s="1140"/>
      <c r="C458" s="1141"/>
      <c r="D458" s="1142"/>
      <c r="E458" s="1143"/>
      <c r="F458" s="1143"/>
      <c r="G458" s="1143"/>
      <c r="H458" s="1144"/>
      <c r="I458" s="1145"/>
      <c r="J458" s="1143"/>
      <c r="K458" s="1146"/>
      <c r="L458" s="1146"/>
      <c r="M458" s="1143"/>
      <c r="N458" s="1143"/>
      <c r="O458" s="1143"/>
    </row>
    <row r="459" ht="40.5" customHeight="1">
      <c r="A459" s="1147"/>
      <c r="B459" s="1140"/>
      <c r="C459" s="1148"/>
      <c r="D459" s="1142"/>
      <c r="E459" s="1149"/>
      <c r="F459" s="1149"/>
      <c r="G459" s="1149"/>
      <c r="H459" s="1150"/>
      <c r="I459" s="1151"/>
      <c r="J459" s="1149"/>
      <c r="K459" s="1152"/>
      <c r="L459" s="1152"/>
      <c r="M459" s="1149"/>
      <c r="N459" s="1149"/>
      <c r="O459" s="1149"/>
    </row>
    <row r="460" ht="40.5" customHeight="1">
      <c r="A460" s="1139"/>
      <c r="B460" s="1140"/>
      <c r="C460" s="1141"/>
      <c r="D460" s="1142"/>
      <c r="E460" s="1143"/>
      <c r="F460" s="1143"/>
      <c r="G460" s="1143"/>
      <c r="H460" s="1144"/>
      <c r="I460" s="1145"/>
      <c r="J460" s="1143"/>
      <c r="K460" s="1146"/>
      <c r="L460" s="1146"/>
      <c r="M460" s="1143"/>
      <c r="N460" s="1143"/>
      <c r="O460" s="1143"/>
    </row>
    <row r="461" ht="40.5" customHeight="1">
      <c r="A461" s="1147"/>
      <c r="B461" s="1140"/>
      <c r="C461" s="1148"/>
      <c r="D461" s="1142"/>
      <c r="E461" s="1149"/>
      <c r="F461" s="1149"/>
      <c r="G461" s="1149"/>
      <c r="H461" s="1150"/>
      <c r="I461" s="1151"/>
      <c r="J461" s="1149"/>
      <c r="K461" s="1152"/>
      <c r="L461" s="1152"/>
      <c r="M461" s="1149"/>
      <c r="N461" s="1149"/>
      <c r="O461" s="1149"/>
    </row>
    <row r="462" ht="40.5" customHeight="1">
      <c r="A462" s="1139"/>
      <c r="B462" s="1140"/>
      <c r="C462" s="1141"/>
      <c r="D462" s="1142"/>
      <c r="E462" s="1143"/>
      <c r="F462" s="1143"/>
      <c r="G462" s="1143"/>
      <c r="H462" s="1144"/>
      <c r="I462" s="1145"/>
      <c r="J462" s="1143"/>
      <c r="K462" s="1146"/>
      <c r="L462" s="1146"/>
      <c r="M462" s="1143"/>
      <c r="N462" s="1143"/>
      <c r="O462" s="1143"/>
    </row>
    <row r="463" ht="40.5" customHeight="1">
      <c r="A463" s="1147"/>
      <c r="B463" s="1140"/>
      <c r="C463" s="1148"/>
      <c r="D463" s="1142"/>
      <c r="E463" s="1149"/>
      <c r="F463" s="1149"/>
      <c r="G463" s="1149"/>
      <c r="H463" s="1150"/>
      <c r="I463" s="1151"/>
      <c r="J463" s="1149"/>
      <c r="K463" s="1152"/>
      <c r="L463" s="1152"/>
      <c r="M463" s="1149"/>
      <c r="N463" s="1149"/>
      <c r="O463" s="1149"/>
    </row>
    <row r="464" ht="40.5" customHeight="1">
      <c r="A464" s="1139"/>
      <c r="B464" s="1140"/>
      <c r="C464" s="1141"/>
      <c r="D464" s="1142"/>
      <c r="E464" s="1143"/>
      <c r="F464" s="1143"/>
      <c r="G464" s="1143"/>
      <c r="H464" s="1144"/>
      <c r="I464" s="1145"/>
      <c r="J464" s="1143"/>
      <c r="K464" s="1146"/>
      <c r="L464" s="1146"/>
      <c r="M464" s="1143"/>
      <c r="N464" s="1143"/>
      <c r="O464" s="1143"/>
    </row>
    <row r="465" ht="40.5" customHeight="1">
      <c r="A465" s="1147"/>
      <c r="B465" s="1140"/>
      <c r="C465" s="1148"/>
      <c r="D465" s="1142"/>
      <c r="E465" s="1149"/>
      <c r="F465" s="1149"/>
      <c r="G465" s="1149"/>
      <c r="H465" s="1150"/>
      <c r="I465" s="1151"/>
      <c r="J465" s="1149"/>
      <c r="K465" s="1152"/>
      <c r="L465" s="1152"/>
      <c r="M465" s="1149"/>
      <c r="N465" s="1149"/>
      <c r="O465" s="1149"/>
    </row>
    <row r="466" ht="40.5" customHeight="1">
      <c r="A466" s="1139"/>
      <c r="B466" s="1140"/>
      <c r="C466" s="1141"/>
      <c r="D466" s="1142"/>
      <c r="E466" s="1143"/>
      <c r="F466" s="1143"/>
      <c r="G466" s="1143"/>
      <c r="H466" s="1144"/>
      <c r="I466" s="1145"/>
      <c r="J466" s="1143"/>
      <c r="K466" s="1146"/>
      <c r="L466" s="1146"/>
      <c r="M466" s="1143"/>
      <c r="N466" s="1143"/>
      <c r="O466" s="1143"/>
    </row>
    <row r="467" ht="40.5" customHeight="1">
      <c r="A467" s="1147"/>
      <c r="B467" s="1140"/>
      <c r="C467" s="1148"/>
      <c r="D467" s="1142"/>
      <c r="E467" s="1149"/>
      <c r="F467" s="1149"/>
      <c r="G467" s="1149"/>
      <c r="H467" s="1150"/>
      <c r="I467" s="1151"/>
      <c r="J467" s="1149"/>
      <c r="K467" s="1152"/>
      <c r="L467" s="1152"/>
      <c r="M467" s="1149"/>
      <c r="N467" s="1149"/>
      <c r="O467" s="1149"/>
    </row>
    <row r="468" ht="40.5" customHeight="1">
      <c r="A468" s="1139"/>
      <c r="B468" s="1140"/>
      <c r="C468" s="1141"/>
      <c r="D468" s="1142"/>
      <c r="E468" s="1143"/>
      <c r="F468" s="1143"/>
      <c r="G468" s="1143"/>
      <c r="H468" s="1144"/>
      <c r="I468" s="1145"/>
      <c r="J468" s="1143"/>
      <c r="K468" s="1146"/>
      <c r="L468" s="1146"/>
      <c r="M468" s="1143"/>
      <c r="N468" s="1143"/>
      <c r="O468" s="1143"/>
    </row>
    <row r="469" ht="40.5" customHeight="1">
      <c r="A469" s="1147"/>
      <c r="B469" s="1140"/>
      <c r="C469" s="1148"/>
      <c r="D469" s="1142"/>
      <c r="E469" s="1149"/>
      <c r="F469" s="1149"/>
      <c r="G469" s="1149"/>
      <c r="H469" s="1150"/>
      <c r="I469" s="1151"/>
      <c r="J469" s="1149"/>
      <c r="K469" s="1152"/>
      <c r="L469" s="1152"/>
      <c r="M469" s="1149"/>
      <c r="N469" s="1149"/>
      <c r="O469" s="1149"/>
    </row>
    <row r="470" ht="40.5" customHeight="1">
      <c r="A470" s="1139"/>
      <c r="B470" s="1140"/>
      <c r="C470" s="1141"/>
      <c r="D470" s="1142"/>
      <c r="E470" s="1143"/>
      <c r="F470" s="1143"/>
      <c r="G470" s="1143"/>
      <c r="H470" s="1144"/>
      <c r="I470" s="1145"/>
      <c r="J470" s="1143"/>
      <c r="K470" s="1146"/>
      <c r="L470" s="1146"/>
      <c r="M470" s="1143"/>
      <c r="N470" s="1143"/>
      <c r="O470" s="1143"/>
    </row>
    <row r="471" ht="40.5" customHeight="1">
      <c r="A471" s="1147"/>
      <c r="B471" s="1140"/>
      <c r="C471" s="1148"/>
      <c r="D471" s="1142"/>
      <c r="E471" s="1149"/>
      <c r="F471" s="1149"/>
      <c r="G471" s="1149"/>
      <c r="H471" s="1150"/>
      <c r="I471" s="1151"/>
      <c r="J471" s="1149"/>
      <c r="K471" s="1152"/>
      <c r="L471" s="1152"/>
      <c r="M471" s="1149"/>
      <c r="N471" s="1149"/>
      <c r="O471" s="1149"/>
    </row>
    <row r="472" ht="40.5" customHeight="1">
      <c r="A472" s="1139"/>
      <c r="B472" s="1140"/>
      <c r="C472" s="1141"/>
      <c r="D472" s="1142"/>
      <c r="E472" s="1143"/>
      <c r="F472" s="1143"/>
      <c r="G472" s="1143"/>
      <c r="H472" s="1144"/>
      <c r="I472" s="1145"/>
      <c r="J472" s="1143"/>
      <c r="K472" s="1146"/>
      <c r="L472" s="1146"/>
      <c r="M472" s="1143"/>
      <c r="N472" s="1143"/>
      <c r="O472" s="1143"/>
    </row>
    <row r="473" ht="40.5" customHeight="1">
      <c r="A473" s="1147"/>
      <c r="B473" s="1140"/>
      <c r="C473" s="1148"/>
      <c r="D473" s="1142"/>
      <c r="E473" s="1149"/>
      <c r="F473" s="1149"/>
      <c r="G473" s="1149"/>
      <c r="H473" s="1150"/>
      <c r="I473" s="1151"/>
      <c r="J473" s="1149"/>
      <c r="K473" s="1152"/>
      <c r="L473" s="1152"/>
      <c r="M473" s="1149"/>
      <c r="N473" s="1149"/>
      <c r="O473" s="1149"/>
    </row>
    <row r="474" ht="40.5" customHeight="1">
      <c r="A474" s="1139"/>
      <c r="B474" s="1140"/>
      <c r="C474" s="1141"/>
      <c r="D474" s="1142"/>
      <c r="E474" s="1143"/>
      <c r="F474" s="1143"/>
      <c r="G474" s="1143"/>
      <c r="H474" s="1144"/>
      <c r="I474" s="1145"/>
      <c r="J474" s="1143"/>
      <c r="K474" s="1146"/>
      <c r="L474" s="1146"/>
      <c r="M474" s="1143"/>
      <c r="N474" s="1143"/>
      <c r="O474" s="1143"/>
    </row>
    <row r="475" ht="40.5" customHeight="1">
      <c r="A475" s="1147"/>
      <c r="B475" s="1140"/>
      <c r="C475" s="1148"/>
      <c r="D475" s="1142"/>
      <c r="E475" s="1149"/>
      <c r="F475" s="1149"/>
      <c r="G475" s="1149"/>
      <c r="H475" s="1150"/>
      <c r="I475" s="1151"/>
      <c r="J475" s="1149"/>
      <c r="K475" s="1152"/>
      <c r="L475" s="1152"/>
      <c r="M475" s="1149"/>
      <c r="N475" s="1149"/>
      <c r="O475" s="1149"/>
    </row>
    <row r="476" ht="40.5" customHeight="1">
      <c r="A476" s="1139"/>
      <c r="B476" s="1140"/>
      <c r="C476" s="1141"/>
      <c r="D476" s="1142"/>
      <c r="E476" s="1143"/>
      <c r="F476" s="1143"/>
      <c r="G476" s="1143"/>
      <c r="H476" s="1144"/>
      <c r="I476" s="1145"/>
      <c r="J476" s="1143"/>
      <c r="K476" s="1146"/>
      <c r="L476" s="1146"/>
      <c r="M476" s="1143"/>
      <c r="N476" s="1143"/>
      <c r="O476" s="1143"/>
    </row>
    <row r="477" ht="40.5" customHeight="1">
      <c r="A477" s="1147"/>
      <c r="B477" s="1140"/>
      <c r="C477" s="1148"/>
      <c r="D477" s="1142"/>
      <c r="E477" s="1149"/>
      <c r="F477" s="1149"/>
      <c r="G477" s="1149"/>
      <c r="H477" s="1150"/>
      <c r="I477" s="1151"/>
      <c r="J477" s="1149"/>
      <c r="K477" s="1152"/>
      <c r="L477" s="1152"/>
      <c r="M477" s="1149"/>
      <c r="N477" s="1149"/>
      <c r="O477" s="1149"/>
    </row>
    <row r="478" ht="40.5" customHeight="1">
      <c r="A478" s="1139"/>
      <c r="B478" s="1140"/>
      <c r="C478" s="1141"/>
      <c r="D478" s="1142"/>
      <c r="E478" s="1143"/>
      <c r="F478" s="1143"/>
      <c r="G478" s="1143"/>
      <c r="H478" s="1144"/>
      <c r="I478" s="1145"/>
      <c r="J478" s="1143"/>
      <c r="K478" s="1146"/>
      <c r="L478" s="1146"/>
      <c r="M478" s="1143"/>
      <c r="N478" s="1143"/>
      <c r="O478" s="1143"/>
    </row>
    <row r="479" ht="40.5" customHeight="1">
      <c r="A479" s="1147"/>
      <c r="B479" s="1140"/>
      <c r="C479" s="1148"/>
      <c r="D479" s="1142"/>
      <c r="E479" s="1149"/>
      <c r="F479" s="1149"/>
      <c r="G479" s="1149"/>
      <c r="H479" s="1150"/>
      <c r="I479" s="1151"/>
      <c r="J479" s="1149"/>
      <c r="K479" s="1152"/>
      <c r="L479" s="1152"/>
      <c r="M479" s="1149"/>
      <c r="N479" s="1149"/>
      <c r="O479" s="1149"/>
    </row>
    <row r="480" ht="40.5" customHeight="1">
      <c r="A480" s="1139"/>
      <c r="B480" s="1140"/>
      <c r="C480" s="1141"/>
      <c r="D480" s="1142"/>
      <c r="E480" s="1143"/>
      <c r="F480" s="1143"/>
      <c r="G480" s="1143"/>
      <c r="H480" s="1144"/>
      <c r="I480" s="1145"/>
      <c r="J480" s="1143"/>
      <c r="K480" s="1146"/>
      <c r="L480" s="1146"/>
      <c r="M480" s="1143"/>
      <c r="N480" s="1143"/>
      <c r="O480" s="1143"/>
    </row>
    <row r="481" ht="40.5" customHeight="1">
      <c r="A481" s="1147"/>
      <c r="B481" s="1140"/>
      <c r="C481" s="1148"/>
      <c r="D481" s="1142"/>
      <c r="E481" s="1149"/>
      <c r="F481" s="1149"/>
      <c r="G481" s="1149"/>
      <c r="H481" s="1150"/>
      <c r="I481" s="1151"/>
      <c r="J481" s="1149"/>
      <c r="K481" s="1152"/>
      <c r="L481" s="1152"/>
      <c r="M481" s="1149"/>
      <c r="N481" s="1149"/>
      <c r="O481" s="1149"/>
    </row>
    <row r="482" ht="40.5" customHeight="1">
      <c r="A482" s="1139"/>
      <c r="B482" s="1140"/>
      <c r="C482" s="1141"/>
      <c r="D482" s="1142"/>
      <c r="E482" s="1143"/>
      <c r="F482" s="1143"/>
      <c r="G482" s="1143"/>
      <c r="H482" s="1144"/>
      <c r="I482" s="1145"/>
      <c r="J482" s="1143"/>
      <c r="K482" s="1146"/>
      <c r="L482" s="1146"/>
      <c r="M482" s="1143"/>
      <c r="N482" s="1143"/>
      <c r="O482" s="1143"/>
    </row>
    <row r="483" ht="40.5" customHeight="1">
      <c r="A483" s="1147"/>
      <c r="B483" s="1140"/>
      <c r="C483" s="1148"/>
      <c r="D483" s="1142"/>
      <c r="E483" s="1149"/>
      <c r="F483" s="1149"/>
      <c r="G483" s="1149"/>
      <c r="H483" s="1150"/>
      <c r="I483" s="1151"/>
      <c r="J483" s="1149"/>
      <c r="K483" s="1152"/>
      <c r="L483" s="1152"/>
      <c r="M483" s="1149"/>
      <c r="N483" s="1149"/>
      <c r="O483" s="1149"/>
    </row>
    <row r="484" ht="40.5" customHeight="1">
      <c r="A484" s="1139"/>
      <c r="B484" s="1140"/>
      <c r="C484" s="1141"/>
      <c r="D484" s="1142"/>
      <c r="E484" s="1143"/>
      <c r="F484" s="1143"/>
      <c r="G484" s="1143"/>
      <c r="H484" s="1144"/>
      <c r="I484" s="1145"/>
      <c r="J484" s="1143"/>
      <c r="K484" s="1146"/>
      <c r="L484" s="1146"/>
      <c r="M484" s="1143"/>
      <c r="N484" s="1143"/>
      <c r="O484" s="1143"/>
    </row>
    <row r="485" ht="40.5" customHeight="1">
      <c r="A485" s="1147"/>
      <c r="B485" s="1140"/>
      <c r="C485" s="1148"/>
      <c r="D485" s="1142"/>
      <c r="E485" s="1149"/>
      <c r="F485" s="1149"/>
      <c r="G485" s="1149"/>
      <c r="H485" s="1150"/>
      <c r="I485" s="1151"/>
      <c r="J485" s="1149"/>
      <c r="K485" s="1152"/>
      <c r="L485" s="1152"/>
      <c r="M485" s="1149"/>
      <c r="N485" s="1149"/>
      <c r="O485" s="1149"/>
    </row>
    <row r="486" ht="40.5" customHeight="1">
      <c r="A486" s="1139"/>
      <c r="B486" s="1140"/>
      <c r="C486" s="1141"/>
      <c r="D486" s="1142"/>
      <c r="E486" s="1143"/>
      <c r="F486" s="1143"/>
      <c r="G486" s="1143"/>
      <c r="H486" s="1144"/>
      <c r="I486" s="1145"/>
      <c r="J486" s="1143"/>
      <c r="K486" s="1146"/>
      <c r="L486" s="1146"/>
      <c r="M486" s="1143"/>
      <c r="N486" s="1143"/>
      <c r="O486" s="1143"/>
    </row>
    <row r="487" ht="40.5" customHeight="1">
      <c r="A487" s="1147"/>
      <c r="B487" s="1140"/>
      <c r="C487" s="1148"/>
      <c r="D487" s="1142"/>
      <c r="E487" s="1149"/>
      <c r="F487" s="1149"/>
      <c r="G487" s="1149"/>
      <c r="H487" s="1150"/>
      <c r="I487" s="1151"/>
      <c r="J487" s="1149"/>
      <c r="K487" s="1152"/>
      <c r="L487" s="1152"/>
      <c r="M487" s="1149"/>
      <c r="N487" s="1149"/>
      <c r="O487" s="1149"/>
    </row>
    <row r="488" ht="40.5" customHeight="1">
      <c r="A488" s="1139"/>
      <c r="B488" s="1140"/>
      <c r="C488" s="1141"/>
      <c r="D488" s="1142"/>
      <c r="E488" s="1143"/>
      <c r="F488" s="1143"/>
      <c r="G488" s="1143"/>
      <c r="H488" s="1144"/>
      <c r="I488" s="1145"/>
      <c r="J488" s="1143"/>
      <c r="K488" s="1146"/>
      <c r="L488" s="1146"/>
      <c r="M488" s="1143"/>
      <c r="N488" s="1143"/>
      <c r="O488" s="1143"/>
    </row>
    <row r="489" ht="40.5" customHeight="1">
      <c r="A489" s="1147"/>
      <c r="B489" s="1140"/>
      <c r="C489" s="1148"/>
      <c r="D489" s="1142"/>
      <c r="E489" s="1149"/>
      <c r="F489" s="1149"/>
      <c r="G489" s="1149"/>
      <c r="H489" s="1150"/>
      <c r="I489" s="1151"/>
      <c r="J489" s="1149"/>
      <c r="K489" s="1152"/>
      <c r="L489" s="1152"/>
      <c r="M489" s="1149"/>
      <c r="N489" s="1149"/>
      <c r="O489" s="1149"/>
    </row>
    <row r="490" ht="40.5" customHeight="1">
      <c r="A490" s="1139"/>
      <c r="B490" s="1140"/>
      <c r="C490" s="1141"/>
      <c r="D490" s="1142"/>
      <c r="E490" s="1143"/>
      <c r="F490" s="1143"/>
      <c r="G490" s="1143"/>
      <c r="H490" s="1144"/>
      <c r="I490" s="1145"/>
      <c r="J490" s="1143"/>
      <c r="K490" s="1146"/>
      <c r="L490" s="1146"/>
      <c r="M490" s="1143"/>
      <c r="N490" s="1143"/>
      <c r="O490" s="1143"/>
    </row>
    <row r="491" ht="40.5" customHeight="1">
      <c r="A491" s="1147"/>
      <c r="B491" s="1140"/>
      <c r="C491" s="1148"/>
      <c r="D491" s="1142"/>
      <c r="E491" s="1149"/>
      <c r="F491" s="1149"/>
      <c r="G491" s="1149"/>
      <c r="H491" s="1150"/>
      <c r="I491" s="1151"/>
      <c r="J491" s="1149"/>
      <c r="K491" s="1152"/>
      <c r="L491" s="1152"/>
      <c r="M491" s="1149"/>
      <c r="N491" s="1149"/>
      <c r="O491" s="1149"/>
    </row>
    <row r="492" ht="40.5" customHeight="1">
      <c r="A492" s="1139"/>
      <c r="B492" s="1140"/>
      <c r="C492" s="1141"/>
      <c r="D492" s="1142"/>
      <c r="E492" s="1143"/>
      <c r="F492" s="1143"/>
      <c r="G492" s="1143"/>
      <c r="H492" s="1144"/>
      <c r="I492" s="1145"/>
      <c r="J492" s="1143"/>
      <c r="K492" s="1146"/>
      <c r="L492" s="1146"/>
      <c r="M492" s="1143"/>
      <c r="N492" s="1143"/>
      <c r="O492" s="1143"/>
    </row>
    <row r="493" ht="40.5" customHeight="1">
      <c r="A493" s="1147"/>
      <c r="B493" s="1140"/>
      <c r="C493" s="1148"/>
      <c r="D493" s="1142"/>
      <c r="E493" s="1149"/>
      <c r="F493" s="1149"/>
      <c r="G493" s="1149"/>
      <c r="H493" s="1150"/>
      <c r="I493" s="1151"/>
      <c r="J493" s="1149"/>
      <c r="K493" s="1152"/>
      <c r="L493" s="1152"/>
      <c r="M493" s="1149"/>
      <c r="N493" s="1149"/>
      <c r="O493" s="1149"/>
    </row>
    <row r="494" ht="40.5" customHeight="1">
      <c r="A494" s="1139"/>
      <c r="B494" s="1140"/>
      <c r="C494" s="1141"/>
      <c r="D494" s="1142"/>
      <c r="E494" s="1143"/>
      <c r="F494" s="1143"/>
      <c r="G494" s="1143"/>
      <c r="H494" s="1144"/>
      <c r="I494" s="1145"/>
      <c r="J494" s="1143"/>
      <c r="K494" s="1146"/>
      <c r="L494" s="1146"/>
      <c r="M494" s="1143"/>
      <c r="N494" s="1143"/>
      <c r="O494" s="1143"/>
    </row>
    <row r="495" ht="40.5" customHeight="1">
      <c r="A495" s="1147"/>
      <c r="B495" s="1140"/>
      <c r="C495" s="1148"/>
      <c r="D495" s="1142"/>
      <c r="E495" s="1149"/>
      <c r="F495" s="1149"/>
      <c r="G495" s="1149"/>
      <c r="H495" s="1150"/>
      <c r="I495" s="1151"/>
      <c r="J495" s="1149"/>
      <c r="K495" s="1152"/>
      <c r="L495" s="1152"/>
      <c r="M495" s="1149"/>
      <c r="N495" s="1149"/>
      <c r="O495" s="1149"/>
    </row>
    <row r="496" ht="40.5" customHeight="1">
      <c r="A496" s="1139"/>
      <c r="B496" s="1140"/>
      <c r="C496" s="1141"/>
      <c r="D496" s="1142"/>
      <c r="E496" s="1143"/>
      <c r="F496" s="1143"/>
      <c r="G496" s="1143"/>
      <c r="H496" s="1144"/>
      <c r="I496" s="1145"/>
      <c r="J496" s="1143"/>
      <c r="K496" s="1146"/>
      <c r="L496" s="1146"/>
      <c r="M496" s="1143"/>
      <c r="N496" s="1143"/>
      <c r="O496" s="1143"/>
    </row>
    <row r="497" ht="40.5" customHeight="1">
      <c r="A497" s="1147"/>
      <c r="B497" s="1140"/>
      <c r="C497" s="1148"/>
      <c r="D497" s="1142"/>
      <c r="E497" s="1149"/>
      <c r="F497" s="1149"/>
      <c r="G497" s="1149"/>
      <c r="H497" s="1150"/>
      <c r="I497" s="1151"/>
      <c r="J497" s="1149"/>
      <c r="K497" s="1152"/>
      <c r="L497" s="1152"/>
      <c r="M497" s="1149"/>
      <c r="N497" s="1149"/>
      <c r="O497" s="1149"/>
    </row>
    <row r="498" ht="40.5" customHeight="1">
      <c r="A498" s="1139"/>
      <c r="B498" s="1140"/>
      <c r="C498" s="1141"/>
      <c r="D498" s="1142"/>
      <c r="E498" s="1143"/>
      <c r="F498" s="1143"/>
      <c r="G498" s="1143"/>
      <c r="H498" s="1144"/>
      <c r="I498" s="1145"/>
      <c r="J498" s="1143"/>
      <c r="K498" s="1146"/>
      <c r="L498" s="1146"/>
      <c r="M498" s="1143"/>
      <c r="N498" s="1143"/>
      <c r="O498" s="1143"/>
    </row>
    <row r="499" ht="40.5" customHeight="1">
      <c r="A499" s="1147"/>
      <c r="B499" s="1140"/>
      <c r="C499" s="1148"/>
      <c r="D499" s="1142"/>
      <c r="E499" s="1149"/>
      <c r="F499" s="1149"/>
      <c r="G499" s="1149"/>
      <c r="H499" s="1150"/>
      <c r="I499" s="1151"/>
      <c r="J499" s="1149"/>
      <c r="K499" s="1152"/>
      <c r="L499" s="1152"/>
      <c r="M499" s="1149"/>
      <c r="N499" s="1149"/>
      <c r="O499" s="1149"/>
    </row>
    <row r="500" ht="40.5" customHeight="1">
      <c r="A500" s="1139"/>
      <c r="B500" s="1140"/>
      <c r="C500" s="1141"/>
      <c r="D500" s="1142"/>
      <c r="E500" s="1143"/>
      <c r="F500" s="1143"/>
      <c r="G500" s="1143"/>
      <c r="H500" s="1144"/>
      <c r="I500" s="1145"/>
      <c r="J500" s="1143"/>
      <c r="K500" s="1146"/>
      <c r="L500" s="1146"/>
      <c r="M500" s="1143"/>
      <c r="N500" s="1143"/>
      <c r="O500" s="1143"/>
    </row>
    <row r="501" ht="40.5" customHeight="1">
      <c r="A501" s="1147"/>
      <c r="B501" s="1140"/>
      <c r="C501" s="1148"/>
      <c r="D501" s="1142"/>
      <c r="E501" s="1149"/>
      <c r="F501" s="1149"/>
      <c r="G501" s="1149"/>
      <c r="H501" s="1150"/>
      <c r="I501" s="1151"/>
      <c r="J501" s="1149"/>
      <c r="K501" s="1152"/>
      <c r="L501" s="1152"/>
      <c r="M501" s="1149"/>
      <c r="N501" s="1149"/>
      <c r="O501" s="1149"/>
    </row>
    <row r="502" ht="40.5" customHeight="1">
      <c r="A502" s="1139"/>
      <c r="B502" s="1140"/>
      <c r="C502" s="1141"/>
      <c r="D502" s="1142"/>
      <c r="E502" s="1143"/>
      <c r="F502" s="1143"/>
      <c r="G502" s="1143"/>
      <c r="H502" s="1144"/>
      <c r="I502" s="1145"/>
      <c r="J502" s="1143"/>
      <c r="K502" s="1146"/>
      <c r="L502" s="1146"/>
      <c r="M502" s="1143"/>
      <c r="N502" s="1143"/>
      <c r="O502" s="1143"/>
    </row>
    <row r="503" ht="40.5" customHeight="1">
      <c r="A503" s="1147"/>
      <c r="B503" s="1140"/>
      <c r="C503" s="1148"/>
      <c r="D503" s="1142"/>
      <c r="E503" s="1149"/>
      <c r="F503" s="1149"/>
      <c r="G503" s="1149"/>
      <c r="H503" s="1150"/>
      <c r="I503" s="1151"/>
      <c r="J503" s="1149"/>
      <c r="K503" s="1152"/>
      <c r="L503" s="1152"/>
      <c r="M503" s="1149"/>
      <c r="N503" s="1149"/>
      <c r="O503" s="1149"/>
    </row>
    <row r="504" ht="40.5" customHeight="1">
      <c r="A504" s="1139"/>
      <c r="B504" s="1140"/>
      <c r="C504" s="1141"/>
      <c r="D504" s="1142"/>
      <c r="E504" s="1143"/>
      <c r="F504" s="1143"/>
      <c r="G504" s="1143"/>
      <c r="H504" s="1144"/>
      <c r="I504" s="1145"/>
      <c r="J504" s="1143"/>
      <c r="K504" s="1146"/>
      <c r="L504" s="1146"/>
      <c r="M504" s="1143"/>
      <c r="N504" s="1143"/>
      <c r="O504" s="1143"/>
    </row>
    <row r="505" ht="40.5" customHeight="1">
      <c r="A505" s="1147"/>
      <c r="B505" s="1140"/>
      <c r="C505" s="1148"/>
      <c r="D505" s="1142"/>
      <c r="E505" s="1149"/>
      <c r="F505" s="1149"/>
      <c r="G505" s="1149"/>
      <c r="H505" s="1150"/>
      <c r="I505" s="1151"/>
      <c r="J505" s="1149"/>
      <c r="K505" s="1152"/>
      <c r="L505" s="1152"/>
      <c r="M505" s="1149"/>
      <c r="N505" s="1149"/>
      <c r="O505" s="1149"/>
    </row>
    <row r="506" ht="40.5" customHeight="1">
      <c r="A506" s="1139"/>
      <c r="B506" s="1140"/>
      <c r="C506" s="1141"/>
      <c r="D506" s="1142"/>
      <c r="E506" s="1143"/>
      <c r="F506" s="1143"/>
      <c r="G506" s="1143"/>
      <c r="H506" s="1144"/>
      <c r="I506" s="1145"/>
      <c r="J506" s="1143"/>
      <c r="K506" s="1146"/>
      <c r="L506" s="1146"/>
      <c r="M506" s="1143"/>
      <c r="N506" s="1143"/>
      <c r="O506" s="1143"/>
    </row>
    <row r="507" ht="40.5" customHeight="1">
      <c r="A507" s="1147"/>
      <c r="B507" s="1140"/>
      <c r="C507" s="1148"/>
      <c r="D507" s="1142"/>
      <c r="E507" s="1149"/>
      <c r="F507" s="1149"/>
      <c r="G507" s="1149"/>
      <c r="H507" s="1150"/>
      <c r="I507" s="1151"/>
      <c r="J507" s="1149"/>
      <c r="K507" s="1152"/>
      <c r="L507" s="1152"/>
      <c r="M507" s="1149"/>
      <c r="N507" s="1149"/>
      <c r="O507" s="1149"/>
    </row>
    <row r="508" ht="40.5" customHeight="1">
      <c r="A508" s="1139"/>
      <c r="B508" s="1140"/>
      <c r="C508" s="1141"/>
      <c r="D508" s="1142"/>
      <c r="E508" s="1143"/>
      <c r="F508" s="1143"/>
      <c r="G508" s="1143"/>
      <c r="H508" s="1144"/>
      <c r="I508" s="1145"/>
      <c r="J508" s="1143"/>
      <c r="K508" s="1146"/>
      <c r="L508" s="1146"/>
      <c r="M508" s="1143"/>
      <c r="N508" s="1143"/>
      <c r="O508" s="1143"/>
    </row>
    <row r="509" ht="40.5" customHeight="1">
      <c r="A509" s="1147"/>
      <c r="B509" s="1140"/>
      <c r="C509" s="1148"/>
      <c r="D509" s="1142"/>
      <c r="E509" s="1149"/>
      <c r="F509" s="1149"/>
      <c r="G509" s="1149"/>
      <c r="H509" s="1150"/>
      <c r="I509" s="1151"/>
      <c r="J509" s="1149"/>
      <c r="K509" s="1152"/>
      <c r="L509" s="1152"/>
      <c r="M509" s="1149"/>
      <c r="N509" s="1149"/>
      <c r="O509" s="1149"/>
    </row>
    <row r="510" ht="40.5" customHeight="1">
      <c r="A510" s="1139"/>
      <c r="B510" s="1140"/>
      <c r="C510" s="1141"/>
      <c r="D510" s="1142"/>
      <c r="E510" s="1143"/>
      <c r="F510" s="1143"/>
      <c r="G510" s="1143"/>
      <c r="H510" s="1144"/>
      <c r="I510" s="1145"/>
      <c r="J510" s="1143"/>
      <c r="K510" s="1146"/>
      <c r="L510" s="1146"/>
      <c r="M510" s="1143"/>
      <c r="N510" s="1143"/>
      <c r="O510" s="1143"/>
    </row>
    <row r="511" ht="40.5" customHeight="1">
      <c r="A511" s="1147"/>
      <c r="B511" s="1140"/>
      <c r="C511" s="1148"/>
      <c r="D511" s="1142"/>
      <c r="E511" s="1149"/>
      <c r="F511" s="1149"/>
      <c r="G511" s="1149"/>
      <c r="H511" s="1150"/>
      <c r="I511" s="1151"/>
      <c r="J511" s="1149"/>
      <c r="K511" s="1152"/>
      <c r="L511" s="1152"/>
      <c r="M511" s="1149"/>
      <c r="N511" s="1149"/>
      <c r="O511" s="1149"/>
    </row>
    <row r="512" ht="40.5" customHeight="1">
      <c r="A512" s="1139"/>
      <c r="B512" s="1140"/>
      <c r="C512" s="1141"/>
      <c r="D512" s="1142"/>
      <c r="E512" s="1143"/>
      <c r="F512" s="1143"/>
      <c r="G512" s="1143"/>
      <c r="H512" s="1144"/>
      <c r="I512" s="1145"/>
      <c r="J512" s="1143"/>
      <c r="K512" s="1146"/>
      <c r="L512" s="1146"/>
      <c r="M512" s="1143"/>
      <c r="N512" s="1143"/>
      <c r="O512" s="1143"/>
    </row>
    <row r="513" ht="40.5" customHeight="1">
      <c r="A513" s="1147"/>
      <c r="B513" s="1140"/>
      <c r="C513" s="1148"/>
      <c r="D513" s="1142"/>
      <c r="E513" s="1149"/>
      <c r="F513" s="1149"/>
      <c r="G513" s="1149"/>
      <c r="H513" s="1150"/>
      <c r="I513" s="1151"/>
      <c r="J513" s="1149"/>
      <c r="K513" s="1152"/>
      <c r="L513" s="1152"/>
      <c r="M513" s="1149"/>
      <c r="N513" s="1149"/>
      <c r="O513" s="1149"/>
    </row>
    <row r="514" ht="40.5" customHeight="1">
      <c r="A514" s="1139"/>
      <c r="B514" s="1140"/>
      <c r="C514" s="1141"/>
      <c r="D514" s="1142"/>
      <c r="E514" s="1143"/>
      <c r="F514" s="1143"/>
      <c r="G514" s="1143"/>
      <c r="H514" s="1144"/>
      <c r="I514" s="1145"/>
      <c r="J514" s="1143"/>
      <c r="K514" s="1146"/>
      <c r="L514" s="1146"/>
      <c r="M514" s="1143"/>
      <c r="N514" s="1143"/>
      <c r="O514" s="1143"/>
    </row>
    <row r="515" ht="40.5" customHeight="1">
      <c r="A515" s="1147"/>
      <c r="B515" s="1140"/>
      <c r="C515" s="1148"/>
      <c r="D515" s="1142"/>
      <c r="E515" s="1149"/>
      <c r="F515" s="1149"/>
      <c r="G515" s="1149"/>
      <c r="H515" s="1150"/>
      <c r="I515" s="1151"/>
      <c r="J515" s="1149"/>
      <c r="K515" s="1152"/>
      <c r="L515" s="1152"/>
      <c r="M515" s="1149"/>
      <c r="N515" s="1149"/>
      <c r="O515" s="1149"/>
    </row>
    <row r="516" ht="40.5" customHeight="1">
      <c r="A516" s="1139"/>
      <c r="B516" s="1140"/>
      <c r="C516" s="1141"/>
      <c r="D516" s="1142"/>
      <c r="E516" s="1143"/>
      <c r="F516" s="1143"/>
      <c r="G516" s="1143"/>
      <c r="H516" s="1144"/>
      <c r="I516" s="1145"/>
      <c r="J516" s="1143"/>
      <c r="K516" s="1146"/>
      <c r="L516" s="1146"/>
      <c r="M516" s="1143"/>
      <c r="N516" s="1143"/>
      <c r="O516" s="1143"/>
    </row>
    <row r="517" ht="40.5" customHeight="1">
      <c r="A517" s="1147"/>
      <c r="B517" s="1140"/>
      <c r="C517" s="1148"/>
      <c r="D517" s="1142"/>
      <c r="E517" s="1149"/>
      <c r="F517" s="1149"/>
      <c r="G517" s="1149"/>
      <c r="H517" s="1150"/>
      <c r="I517" s="1151"/>
      <c r="J517" s="1149"/>
      <c r="K517" s="1152"/>
      <c r="L517" s="1152"/>
      <c r="M517" s="1149"/>
      <c r="N517" s="1149"/>
      <c r="O517" s="1149"/>
    </row>
    <row r="518" ht="40.5" customHeight="1">
      <c r="A518" s="1139"/>
      <c r="B518" s="1140"/>
      <c r="C518" s="1141"/>
      <c r="D518" s="1142"/>
      <c r="E518" s="1143"/>
      <c r="F518" s="1143"/>
      <c r="G518" s="1143"/>
      <c r="H518" s="1144"/>
      <c r="I518" s="1145"/>
      <c r="J518" s="1143"/>
      <c r="K518" s="1146"/>
      <c r="L518" s="1146"/>
      <c r="M518" s="1143"/>
      <c r="N518" s="1143"/>
      <c r="O518" s="1143"/>
    </row>
    <row r="519" ht="40.5" customHeight="1">
      <c r="A519" s="1147"/>
      <c r="B519" s="1140"/>
      <c r="C519" s="1148"/>
      <c r="D519" s="1142"/>
      <c r="E519" s="1149"/>
      <c r="F519" s="1149"/>
      <c r="G519" s="1149"/>
      <c r="H519" s="1150"/>
      <c r="I519" s="1151"/>
      <c r="J519" s="1149"/>
      <c r="K519" s="1152"/>
      <c r="L519" s="1152"/>
      <c r="M519" s="1149"/>
      <c r="N519" s="1149"/>
      <c r="O519" s="1149"/>
    </row>
    <row r="520" ht="40.5" customHeight="1">
      <c r="A520" s="1139"/>
      <c r="B520" s="1140"/>
      <c r="C520" s="1141"/>
      <c r="D520" s="1142"/>
      <c r="E520" s="1143"/>
      <c r="F520" s="1143"/>
      <c r="G520" s="1143"/>
      <c r="H520" s="1144"/>
      <c r="I520" s="1145"/>
      <c r="J520" s="1143"/>
      <c r="K520" s="1146"/>
      <c r="L520" s="1146"/>
      <c r="M520" s="1143"/>
      <c r="N520" s="1143"/>
      <c r="O520" s="1143"/>
    </row>
    <row r="521" ht="40.5" customHeight="1">
      <c r="A521" s="1147"/>
      <c r="B521" s="1140"/>
      <c r="C521" s="1148"/>
      <c r="D521" s="1142"/>
      <c r="E521" s="1149"/>
      <c r="F521" s="1149"/>
      <c r="G521" s="1149"/>
      <c r="H521" s="1150"/>
      <c r="I521" s="1151"/>
      <c r="J521" s="1149"/>
      <c r="K521" s="1152"/>
      <c r="L521" s="1152"/>
      <c r="M521" s="1149"/>
      <c r="N521" s="1149"/>
      <c r="O521" s="1149"/>
    </row>
    <row r="522" ht="40.5" customHeight="1">
      <c r="A522" s="1139"/>
      <c r="B522" s="1140"/>
      <c r="C522" s="1141"/>
      <c r="D522" s="1142"/>
      <c r="E522" s="1143"/>
      <c r="F522" s="1143"/>
      <c r="G522" s="1143"/>
      <c r="H522" s="1144"/>
      <c r="I522" s="1145"/>
      <c r="J522" s="1143"/>
      <c r="K522" s="1146"/>
      <c r="L522" s="1146"/>
      <c r="M522" s="1143"/>
      <c r="N522" s="1143"/>
      <c r="O522" s="1143"/>
    </row>
    <row r="523" ht="40.5" customHeight="1">
      <c r="A523" s="1147"/>
      <c r="B523" s="1140"/>
      <c r="C523" s="1148"/>
      <c r="D523" s="1142"/>
      <c r="E523" s="1149"/>
      <c r="F523" s="1149"/>
      <c r="G523" s="1149"/>
      <c r="H523" s="1150"/>
      <c r="I523" s="1151"/>
      <c r="J523" s="1149"/>
      <c r="K523" s="1152"/>
      <c r="L523" s="1152"/>
      <c r="M523" s="1149"/>
      <c r="N523" s="1149"/>
      <c r="O523" s="1149"/>
    </row>
    <row r="524" ht="40.5" customHeight="1">
      <c r="A524" s="1139"/>
      <c r="B524" s="1140"/>
      <c r="C524" s="1141"/>
      <c r="D524" s="1142"/>
      <c r="E524" s="1143"/>
      <c r="F524" s="1143"/>
      <c r="G524" s="1143"/>
      <c r="H524" s="1144"/>
      <c r="I524" s="1145"/>
      <c r="J524" s="1143"/>
      <c r="K524" s="1146"/>
      <c r="L524" s="1146"/>
      <c r="M524" s="1143"/>
      <c r="N524" s="1143"/>
      <c r="O524" s="1143"/>
    </row>
    <row r="525" ht="40.5" customHeight="1">
      <c r="A525" s="1147"/>
      <c r="B525" s="1140"/>
      <c r="C525" s="1148"/>
      <c r="D525" s="1142"/>
      <c r="E525" s="1149"/>
      <c r="F525" s="1149"/>
      <c r="G525" s="1149"/>
      <c r="H525" s="1150"/>
      <c r="I525" s="1151"/>
      <c r="J525" s="1149"/>
      <c r="K525" s="1152"/>
      <c r="L525" s="1152"/>
      <c r="M525" s="1149"/>
      <c r="N525" s="1149"/>
      <c r="O525" s="1149"/>
    </row>
    <row r="526" ht="40.5" customHeight="1">
      <c r="A526" s="1139"/>
      <c r="B526" s="1140"/>
      <c r="C526" s="1141"/>
      <c r="D526" s="1142"/>
      <c r="E526" s="1143"/>
      <c r="F526" s="1143"/>
      <c r="G526" s="1143"/>
      <c r="H526" s="1144"/>
      <c r="I526" s="1145"/>
      <c r="J526" s="1143"/>
      <c r="K526" s="1146"/>
      <c r="L526" s="1146"/>
      <c r="M526" s="1143"/>
      <c r="N526" s="1143"/>
      <c r="O526" s="1143"/>
    </row>
    <row r="527" ht="40.5" customHeight="1">
      <c r="A527" s="1147"/>
      <c r="B527" s="1140"/>
      <c r="C527" s="1148"/>
      <c r="D527" s="1142"/>
      <c r="E527" s="1149"/>
      <c r="F527" s="1149"/>
      <c r="G527" s="1149"/>
      <c r="H527" s="1150"/>
      <c r="I527" s="1151"/>
      <c r="J527" s="1149"/>
      <c r="K527" s="1152"/>
      <c r="L527" s="1152"/>
      <c r="M527" s="1149"/>
      <c r="N527" s="1149"/>
      <c r="O527" s="1149"/>
    </row>
    <row r="528" ht="40.5" customHeight="1">
      <c r="A528" s="1139"/>
      <c r="B528" s="1140"/>
      <c r="C528" s="1141"/>
      <c r="D528" s="1142"/>
      <c r="E528" s="1143"/>
      <c r="F528" s="1143"/>
      <c r="G528" s="1143"/>
      <c r="H528" s="1144"/>
      <c r="I528" s="1145"/>
      <c r="J528" s="1143"/>
      <c r="K528" s="1146"/>
      <c r="L528" s="1146"/>
      <c r="M528" s="1143"/>
      <c r="N528" s="1143"/>
      <c r="O528" s="1143"/>
    </row>
    <row r="529" ht="40.5" customHeight="1">
      <c r="A529" s="1147"/>
      <c r="B529" s="1140"/>
      <c r="C529" s="1148"/>
      <c r="D529" s="1142"/>
      <c r="E529" s="1149"/>
      <c r="F529" s="1149"/>
      <c r="G529" s="1149"/>
      <c r="H529" s="1150"/>
      <c r="I529" s="1151"/>
      <c r="J529" s="1149"/>
      <c r="K529" s="1152"/>
      <c r="L529" s="1152"/>
      <c r="M529" s="1149"/>
      <c r="N529" s="1149"/>
      <c r="O529" s="1149"/>
    </row>
    <row r="530" ht="40.5" customHeight="1">
      <c r="A530" s="1139"/>
      <c r="B530" s="1140"/>
      <c r="C530" s="1141"/>
      <c r="D530" s="1142"/>
      <c r="E530" s="1143"/>
      <c r="F530" s="1143"/>
      <c r="G530" s="1143"/>
      <c r="H530" s="1144"/>
      <c r="I530" s="1145"/>
      <c r="J530" s="1143"/>
      <c r="K530" s="1146"/>
      <c r="L530" s="1146"/>
      <c r="M530" s="1143"/>
      <c r="N530" s="1143"/>
      <c r="O530" s="1143"/>
    </row>
    <row r="531" ht="40.5" customHeight="1">
      <c r="A531" s="1147"/>
      <c r="B531" s="1140"/>
      <c r="C531" s="1148"/>
      <c r="D531" s="1142"/>
      <c r="E531" s="1149"/>
      <c r="F531" s="1149"/>
      <c r="G531" s="1149"/>
      <c r="H531" s="1150"/>
      <c r="I531" s="1151"/>
      <c r="J531" s="1149"/>
      <c r="K531" s="1152"/>
      <c r="L531" s="1152"/>
      <c r="M531" s="1149"/>
      <c r="N531" s="1149"/>
      <c r="O531" s="1149"/>
    </row>
    <row r="532" ht="40.5" customHeight="1">
      <c r="A532" s="1139"/>
      <c r="B532" s="1140"/>
      <c r="C532" s="1141"/>
      <c r="D532" s="1142"/>
      <c r="E532" s="1143"/>
      <c r="F532" s="1143"/>
      <c r="G532" s="1143"/>
      <c r="H532" s="1144"/>
      <c r="I532" s="1145"/>
      <c r="J532" s="1143"/>
      <c r="K532" s="1146"/>
      <c r="L532" s="1146"/>
      <c r="M532" s="1143"/>
      <c r="N532" s="1143"/>
      <c r="O532" s="1143"/>
    </row>
    <row r="533" ht="40.5" customHeight="1">
      <c r="A533" s="1147"/>
      <c r="B533" s="1140"/>
      <c r="C533" s="1148"/>
      <c r="D533" s="1142"/>
      <c r="E533" s="1149"/>
      <c r="F533" s="1149"/>
      <c r="G533" s="1149"/>
      <c r="H533" s="1150"/>
      <c r="I533" s="1151"/>
      <c r="J533" s="1149"/>
      <c r="K533" s="1152"/>
      <c r="L533" s="1152"/>
      <c r="M533" s="1149"/>
      <c r="N533" s="1149"/>
      <c r="O533" s="1149"/>
    </row>
    <row r="534" ht="40.5" customHeight="1">
      <c r="A534" s="1139"/>
      <c r="B534" s="1140"/>
      <c r="C534" s="1141"/>
      <c r="D534" s="1142"/>
      <c r="E534" s="1143"/>
      <c r="F534" s="1143"/>
      <c r="G534" s="1143"/>
      <c r="H534" s="1144"/>
      <c r="I534" s="1145"/>
      <c r="J534" s="1143"/>
      <c r="K534" s="1146"/>
      <c r="L534" s="1146"/>
      <c r="M534" s="1143"/>
      <c r="N534" s="1143"/>
      <c r="O534" s="1143"/>
    </row>
    <row r="535" ht="40.5" customHeight="1">
      <c r="A535" s="1147"/>
      <c r="B535" s="1140"/>
      <c r="C535" s="1148"/>
      <c r="D535" s="1142"/>
      <c r="E535" s="1149"/>
      <c r="F535" s="1149"/>
      <c r="G535" s="1149"/>
      <c r="H535" s="1150"/>
      <c r="I535" s="1151"/>
      <c r="J535" s="1149"/>
      <c r="K535" s="1152"/>
      <c r="L535" s="1152"/>
      <c r="M535" s="1149"/>
      <c r="N535" s="1149"/>
      <c r="O535" s="1149"/>
    </row>
    <row r="536" ht="40.5" customHeight="1">
      <c r="A536" s="1139"/>
      <c r="B536" s="1140"/>
      <c r="C536" s="1141"/>
      <c r="D536" s="1142"/>
      <c r="E536" s="1143"/>
      <c r="F536" s="1143"/>
      <c r="G536" s="1143"/>
      <c r="H536" s="1144"/>
      <c r="I536" s="1145"/>
      <c r="J536" s="1143"/>
      <c r="K536" s="1146"/>
      <c r="L536" s="1146"/>
      <c r="M536" s="1143"/>
      <c r="N536" s="1143"/>
      <c r="O536" s="1143"/>
    </row>
    <row r="537" ht="40.5" customHeight="1">
      <c r="A537" s="1147"/>
      <c r="B537" s="1140"/>
      <c r="C537" s="1148"/>
      <c r="D537" s="1142"/>
      <c r="E537" s="1149"/>
      <c r="F537" s="1149"/>
      <c r="G537" s="1149"/>
      <c r="H537" s="1150"/>
      <c r="I537" s="1151"/>
      <c r="J537" s="1149"/>
      <c r="K537" s="1152"/>
      <c r="L537" s="1152"/>
      <c r="M537" s="1149"/>
      <c r="N537" s="1149"/>
      <c r="O537" s="1149"/>
    </row>
    <row r="538" ht="40.5" customHeight="1">
      <c r="A538" s="1139"/>
      <c r="B538" s="1140"/>
      <c r="C538" s="1141"/>
      <c r="D538" s="1142"/>
      <c r="E538" s="1143"/>
      <c r="F538" s="1143"/>
      <c r="G538" s="1143"/>
      <c r="H538" s="1144"/>
      <c r="I538" s="1145"/>
      <c r="J538" s="1143"/>
      <c r="K538" s="1146"/>
      <c r="L538" s="1146"/>
      <c r="M538" s="1143"/>
      <c r="N538" s="1143"/>
      <c r="O538" s="1143"/>
    </row>
    <row r="539" ht="40.5" customHeight="1">
      <c r="A539" s="1147"/>
      <c r="B539" s="1140"/>
      <c r="C539" s="1148"/>
      <c r="D539" s="1142"/>
      <c r="E539" s="1149"/>
      <c r="F539" s="1149"/>
      <c r="G539" s="1149"/>
      <c r="H539" s="1150"/>
      <c r="I539" s="1151"/>
      <c r="J539" s="1149"/>
      <c r="K539" s="1152"/>
      <c r="L539" s="1152"/>
      <c r="M539" s="1149"/>
      <c r="N539" s="1149"/>
      <c r="O539" s="1149"/>
    </row>
    <row r="540" ht="40.5" customHeight="1">
      <c r="A540" s="1139"/>
      <c r="B540" s="1140"/>
      <c r="C540" s="1141"/>
      <c r="D540" s="1142"/>
      <c r="E540" s="1143"/>
      <c r="F540" s="1143"/>
      <c r="G540" s="1143"/>
      <c r="H540" s="1144"/>
      <c r="I540" s="1145"/>
      <c r="J540" s="1143"/>
      <c r="K540" s="1146"/>
      <c r="L540" s="1146"/>
      <c r="M540" s="1143"/>
      <c r="N540" s="1143"/>
      <c r="O540" s="1143"/>
    </row>
    <row r="541" ht="40.5" customHeight="1">
      <c r="A541" s="1147"/>
      <c r="B541" s="1140"/>
      <c r="C541" s="1148"/>
      <c r="D541" s="1142"/>
      <c r="E541" s="1149"/>
      <c r="F541" s="1149"/>
      <c r="G541" s="1149"/>
      <c r="H541" s="1150"/>
      <c r="I541" s="1151"/>
      <c r="J541" s="1149"/>
      <c r="K541" s="1152"/>
      <c r="L541" s="1152"/>
      <c r="M541" s="1149"/>
      <c r="N541" s="1149"/>
      <c r="O541" s="1149"/>
    </row>
    <row r="542" ht="40.5" customHeight="1">
      <c r="A542" s="1139"/>
      <c r="B542" s="1140"/>
      <c r="C542" s="1141"/>
      <c r="D542" s="1142"/>
      <c r="E542" s="1143"/>
      <c r="F542" s="1143"/>
      <c r="G542" s="1143"/>
      <c r="H542" s="1144"/>
      <c r="I542" s="1145"/>
      <c r="J542" s="1143"/>
      <c r="K542" s="1146"/>
      <c r="L542" s="1146"/>
      <c r="M542" s="1143"/>
      <c r="N542" s="1143"/>
      <c r="O542" s="1143"/>
    </row>
    <row r="543" ht="40.5" customHeight="1">
      <c r="A543" s="1147"/>
      <c r="B543" s="1140"/>
      <c r="C543" s="1148"/>
      <c r="D543" s="1142"/>
      <c r="E543" s="1149"/>
      <c r="F543" s="1149"/>
      <c r="G543" s="1149"/>
      <c r="H543" s="1150"/>
      <c r="I543" s="1151"/>
      <c r="J543" s="1149"/>
      <c r="K543" s="1152"/>
      <c r="L543" s="1152"/>
      <c r="M543" s="1149"/>
      <c r="N543" s="1149"/>
      <c r="O543" s="1149"/>
    </row>
    <row r="544" ht="40.5" customHeight="1">
      <c r="A544" s="1139"/>
      <c r="B544" s="1140"/>
      <c r="C544" s="1141"/>
      <c r="D544" s="1142"/>
      <c r="E544" s="1143"/>
      <c r="F544" s="1143"/>
      <c r="G544" s="1143"/>
      <c r="H544" s="1144"/>
      <c r="I544" s="1145"/>
      <c r="J544" s="1143"/>
      <c r="K544" s="1146"/>
      <c r="L544" s="1146"/>
      <c r="M544" s="1143"/>
      <c r="N544" s="1143"/>
      <c r="O544" s="1143"/>
    </row>
    <row r="545" ht="40.5" customHeight="1">
      <c r="A545" s="1147"/>
      <c r="B545" s="1140"/>
      <c r="C545" s="1148"/>
      <c r="D545" s="1142"/>
      <c r="E545" s="1149"/>
      <c r="F545" s="1149"/>
      <c r="G545" s="1149"/>
      <c r="H545" s="1150"/>
      <c r="I545" s="1151"/>
      <c r="J545" s="1149"/>
      <c r="K545" s="1152"/>
      <c r="L545" s="1152"/>
      <c r="M545" s="1149"/>
      <c r="N545" s="1149"/>
      <c r="O545" s="1149"/>
    </row>
    <row r="546" ht="40.5" customHeight="1">
      <c r="A546" s="1139"/>
      <c r="B546" s="1140"/>
      <c r="C546" s="1141"/>
      <c r="D546" s="1142"/>
      <c r="E546" s="1143"/>
      <c r="F546" s="1143"/>
      <c r="G546" s="1143"/>
      <c r="H546" s="1144"/>
      <c r="I546" s="1145"/>
      <c r="J546" s="1143"/>
      <c r="K546" s="1146"/>
      <c r="L546" s="1146"/>
      <c r="M546" s="1143"/>
      <c r="N546" s="1143"/>
      <c r="O546" s="1143"/>
    </row>
    <row r="547" ht="40.5" customHeight="1">
      <c r="A547" s="1147"/>
      <c r="B547" s="1140"/>
      <c r="C547" s="1148"/>
      <c r="D547" s="1142"/>
      <c r="E547" s="1149"/>
      <c r="F547" s="1149"/>
      <c r="G547" s="1149"/>
      <c r="H547" s="1150"/>
      <c r="I547" s="1151"/>
      <c r="J547" s="1149"/>
      <c r="K547" s="1152"/>
      <c r="L547" s="1152"/>
      <c r="M547" s="1149"/>
      <c r="N547" s="1149"/>
      <c r="O547" s="1149"/>
    </row>
    <row r="548" ht="40.5" customHeight="1">
      <c r="A548" s="1139"/>
      <c r="B548" s="1140"/>
      <c r="C548" s="1141"/>
      <c r="D548" s="1142"/>
      <c r="E548" s="1143"/>
      <c r="F548" s="1143"/>
      <c r="G548" s="1143"/>
      <c r="H548" s="1144"/>
      <c r="I548" s="1145"/>
      <c r="J548" s="1143"/>
      <c r="K548" s="1146"/>
      <c r="L548" s="1146"/>
      <c r="M548" s="1143"/>
      <c r="N548" s="1143"/>
      <c r="O548" s="1143"/>
    </row>
    <row r="549" ht="40.5" customHeight="1">
      <c r="A549" s="1147"/>
      <c r="B549" s="1140"/>
      <c r="C549" s="1148"/>
      <c r="D549" s="1142"/>
      <c r="E549" s="1149"/>
      <c r="F549" s="1149"/>
      <c r="G549" s="1149"/>
      <c r="H549" s="1150"/>
      <c r="I549" s="1151"/>
      <c r="J549" s="1149"/>
      <c r="K549" s="1152"/>
      <c r="L549" s="1152"/>
      <c r="M549" s="1149"/>
      <c r="N549" s="1149"/>
      <c r="O549" s="1149"/>
    </row>
    <row r="550" ht="40.5" customHeight="1">
      <c r="A550" s="1139"/>
      <c r="B550" s="1140"/>
      <c r="C550" s="1141"/>
      <c r="D550" s="1142"/>
      <c r="E550" s="1143"/>
      <c r="F550" s="1143"/>
      <c r="G550" s="1143"/>
      <c r="H550" s="1144"/>
      <c r="I550" s="1145"/>
      <c r="J550" s="1143"/>
      <c r="K550" s="1146"/>
      <c r="L550" s="1146"/>
      <c r="M550" s="1143"/>
      <c r="N550" s="1143"/>
      <c r="O550" s="1143"/>
    </row>
    <row r="551" ht="40.5" customHeight="1">
      <c r="A551" s="1147"/>
      <c r="B551" s="1140"/>
      <c r="C551" s="1148"/>
      <c r="D551" s="1142"/>
      <c r="E551" s="1149"/>
      <c r="F551" s="1149"/>
      <c r="G551" s="1149"/>
      <c r="H551" s="1150"/>
      <c r="I551" s="1151"/>
      <c r="J551" s="1149"/>
      <c r="K551" s="1152"/>
      <c r="L551" s="1152"/>
      <c r="M551" s="1149"/>
      <c r="N551" s="1149"/>
      <c r="O551" s="1149"/>
    </row>
    <row r="552" ht="40.5" customHeight="1">
      <c r="A552" s="1139"/>
      <c r="B552" s="1140"/>
      <c r="C552" s="1141"/>
      <c r="D552" s="1142"/>
      <c r="E552" s="1143"/>
      <c r="F552" s="1143"/>
      <c r="G552" s="1143"/>
      <c r="H552" s="1144"/>
      <c r="I552" s="1145"/>
      <c r="J552" s="1143"/>
      <c r="K552" s="1146"/>
      <c r="L552" s="1146"/>
      <c r="M552" s="1143"/>
      <c r="N552" s="1143"/>
      <c r="O552" s="1143"/>
    </row>
    <row r="553" ht="40.5" customHeight="1">
      <c r="A553" s="1147"/>
      <c r="B553" s="1140"/>
      <c r="C553" s="1148"/>
      <c r="D553" s="1142"/>
      <c r="E553" s="1149"/>
      <c r="F553" s="1149"/>
      <c r="G553" s="1149"/>
      <c r="H553" s="1150"/>
      <c r="I553" s="1151"/>
      <c r="J553" s="1149"/>
      <c r="K553" s="1152"/>
      <c r="L553" s="1152"/>
      <c r="M553" s="1149"/>
      <c r="N553" s="1149"/>
      <c r="O553" s="1149"/>
    </row>
    <row r="554" ht="40.5" customHeight="1">
      <c r="A554" s="1139"/>
      <c r="B554" s="1140"/>
      <c r="C554" s="1141"/>
      <c r="D554" s="1142"/>
      <c r="E554" s="1143"/>
      <c r="F554" s="1143"/>
      <c r="G554" s="1143"/>
      <c r="H554" s="1144"/>
      <c r="I554" s="1145"/>
      <c r="J554" s="1143"/>
      <c r="K554" s="1146"/>
      <c r="L554" s="1146"/>
      <c r="M554" s="1143"/>
      <c r="N554" s="1143"/>
      <c r="O554" s="1143"/>
    </row>
    <row r="555" ht="40.5" customHeight="1">
      <c r="A555" s="1147"/>
      <c r="B555" s="1140"/>
      <c r="C555" s="1148"/>
      <c r="D555" s="1142"/>
      <c r="E555" s="1149"/>
      <c r="F555" s="1149"/>
      <c r="G555" s="1149"/>
      <c r="H555" s="1150"/>
      <c r="I555" s="1151"/>
      <c r="J555" s="1149"/>
      <c r="K555" s="1152"/>
      <c r="L555" s="1152"/>
      <c r="M555" s="1149"/>
      <c r="N555" s="1149"/>
      <c r="O555" s="1149"/>
    </row>
    <row r="556" ht="40.5" customHeight="1">
      <c r="A556" s="1139"/>
      <c r="B556" s="1140"/>
      <c r="C556" s="1141"/>
      <c r="D556" s="1142"/>
      <c r="E556" s="1143"/>
      <c r="F556" s="1143"/>
      <c r="G556" s="1143"/>
      <c r="H556" s="1144"/>
      <c r="I556" s="1145"/>
      <c r="J556" s="1143"/>
      <c r="K556" s="1146"/>
      <c r="L556" s="1146"/>
      <c r="M556" s="1143"/>
      <c r="N556" s="1143"/>
      <c r="O556" s="1143"/>
    </row>
    <row r="557" ht="40.5" customHeight="1">
      <c r="A557" s="1147"/>
      <c r="B557" s="1140"/>
      <c r="C557" s="1148"/>
      <c r="D557" s="1142"/>
      <c r="E557" s="1149"/>
      <c r="F557" s="1149"/>
      <c r="G557" s="1149"/>
      <c r="H557" s="1150"/>
      <c r="I557" s="1151"/>
      <c r="J557" s="1149"/>
      <c r="K557" s="1152"/>
      <c r="L557" s="1152"/>
      <c r="M557" s="1149"/>
      <c r="N557" s="1149"/>
      <c r="O557" s="1149"/>
    </row>
    <row r="558" ht="40.5" customHeight="1">
      <c r="A558" s="1139"/>
      <c r="B558" s="1140"/>
      <c r="C558" s="1141"/>
      <c r="D558" s="1142"/>
      <c r="E558" s="1143"/>
      <c r="F558" s="1143"/>
      <c r="G558" s="1143"/>
      <c r="H558" s="1144"/>
      <c r="I558" s="1145"/>
      <c r="J558" s="1143"/>
      <c r="K558" s="1146"/>
      <c r="L558" s="1146"/>
      <c r="M558" s="1143"/>
      <c r="N558" s="1143"/>
      <c r="O558" s="1143"/>
    </row>
    <row r="559" ht="40.5" customHeight="1">
      <c r="A559" s="1147"/>
      <c r="B559" s="1140"/>
      <c r="C559" s="1148"/>
      <c r="D559" s="1142"/>
      <c r="E559" s="1149"/>
      <c r="F559" s="1149"/>
      <c r="G559" s="1149"/>
      <c r="H559" s="1150"/>
      <c r="I559" s="1151"/>
      <c r="J559" s="1149"/>
      <c r="K559" s="1152"/>
      <c r="L559" s="1152"/>
      <c r="M559" s="1149"/>
      <c r="N559" s="1149"/>
      <c r="O559" s="1149"/>
    </row>
    <row r="560" ht="40.5" customHeight="1">
      <c r="A560" s="1139"/>
      <c r="B560" s="1140"/>
      <c r="C560" s="1141"/>
      <c r="D560" s="1142"/>
      <c r="E560" s="1143"/>
      <c r="F560" s="1143"/>
      <c r="G560" s="1143"/>
      <c r="H560" s="1144"/>
      <c r="I560" s="1145"/>
      <c r="J560" s="1143"/>
      <c r="K560" s="1146"/>
      <c r="L560" s="1146"/>
      <c r="M560" s="1143"/>
      <c r="N560" s="1143"/>
      <c r="O560" s="1143"/>
    </row>
    <row r="561" ht="40.5" customHeight="1">
      <c r="A561" s="1147"/>
      <c r="B561" s="1140"/>
      <c r="C561" s="1148"/>
      <c r="D561" s="1142"/>
      <c r="E561" s="1149"/>
      <c r="F561" s="1149"/>
      <c r="G561" s="1149"/>
      <c r="H561" s="1150"/>
      <c r="I561" s="1151"/>
      <c r="J561" s="1149"/>
      <c r="K561" s="1152"/>
      <c r="L561" s="1152"/>
      <c r="M561" s="1149"/>
      <c r="N561" s="1149"/>
      <c r="O561" s="1149"/>
    </row>
    <row r="562" ht="40.5" customHeight="1">
      <c r="A562" s="1139"/>
      <c r="B562" s="1140"/>
      <c r="C562" s="1141"/>
      <c r="D562" s="1142"/>
      <c r="E562" s="1143"/>
      <c r="F562" s="1143"/>
      <c r="G562" s="1143"/>
      <c r="H562" s="1144"/>
      <c r="I562" s="1145"/>
      <c r="J562" s="1143"/>
      <c r="K562" s="1146"/>
      <c r="L562" s="1146"/>
      <c r="M562" s="1143"/>
      <c r="N562" s="1143"/>
      <c r="O562" s="1143"/>
    </row>
    <row r="563" ht="40.5" customHeight="1">
      <c r="A563" s="1147"/>
      <c r="B563" s="1140"/>
      <c r="C563" s="1148"/>
      <c r="D563" s="1142"/>
      <c r="E563" s="1149"/>
      <c r="F563" s="1149"/>
      <c r="G563" s="1149"/>
      <c r="H563" s="1150"/>
      <c r="I563" s="1151"/>
      <c r="J563" s="1149"/>
      <c r="K563" s="1152"/>
      <c r="L563" s="1152"/>
      <c r="M563" s="1149"/>
      <c r="N563" s="1149"/>
      <c r="O563" s="1149"/>
    </row>
    <row r="564" ht="40.5" customHeight="1">
      <c r="A564" s="1139"/>
      <c r="B564" s="1140"/>
      <c r="C564" s="1141"/>
      <c r="D564" s="1142"/>
      <c r="E564" s="1143"/>
      <c r="F564" s="1143"/>
      <c r="G564" s="1143"/>
      <c r="H564" s="1144"/>
      <c r="I564" s="1145"/>
      <c r="J564" s="1143"/>
      <c r="K564" s="1146"/>
      <c r="L564" s="1146"/>
      <c r="M564" s="1143"/>
      <c r="N564" s="1143"/>
      <c r="O564" s="1143"/>
    </row>
    <row r="565" ht="40.5" customHeight="1">
      <c r="A565" s="1147"/>
      <c r="B565" s="1140"/>
      <c r="C565" s="1148"/>
      <c r="D565" s="1142"/>
      <c r="E565" s="1149"/>
      <c r="F565" s="1149"/>
      <c r="G565" s="1149"/>
      <c r="H565" s="1150"/>
      <c r="I565" s="1151"/>
      <c r="J565" s="1149"/>
      <c r="K565" s="1152"/>
      <c r="L565" s="1152"/>
      <c r="M565" s="1149"/>
      <c r="N565" s="1149"/>
      <c r="O565" s="1149"/>
    </row>
    <row r="566" ht="40.5" customHeight="1">
      <c r="A566" s="1139"/>
      <c r="B566" s="1140"/>
      <c r="C566" s="1141"/>
      <c r="D566" s="1142"/>
      <c r="E566" s="1143"/>
      <c r="F566" s="1143"/>
      <c r="G566" s="1143"/>
      <c r="H566" s="1144"/>
      <c r="I566" s="1145"/>
      <c r="J566" s="1143"/>
      <c r="K566" s="1146"/>
      <c r="L566" s="1146"/>
      <c r="M566" s="1143"/>
      <c r="N566" s="1143"/>
      <c r="O566" s="1143"/>
    </row>
    <row r="567" ht="40.5" customHeight="1">
      <c r="A567" s="1147"/>
      <c r="B567" s="1140"/>
      <c r="C567" s="1148"/>
      <c r="D567" s="1142"/>
      <c r="E567" s="1149"/>
      <c r="F567" s="1149"/>
      <c r="G567" s="1149"/>
      <c r="H567" s="1150"/>
      <c r="I567" s="1151"/>
      <c r="J567" s="1149"/>
      <c r="K567" s="1152"/>
      <c r="L567" s="1152"/>
      <c r="M567" s="1149"/>
      <c r="N567" s="1149"/>
      <c r="O567" s="1149"/>
    </row>
    <row r="568" ht="40.5" customHeight="1">
      <c r="A568" s="1139"/>
      <c r="B568" s="1140"/>
      <c r="C568" s="1141"/>
      <c r="D568" s="1142"/>
      <c r="E568" s="1143"/>
      <c r="F568" s="1143"/>
      <c r="G568" s="1143"/>
      <c r="H568" s="1144"/>
      <c r="I568" s="1145"/>
      <c r="J568" s="1143"/>
      <c r="K568" s="1146"/>
      <c r="L568" s="1146"/>
      <c r="M568" s="1143"/>
      <c r="N568" s="1143"/>
      <c r="O568" s="1143"/>
    </row>
    <row r="569" ht="40.5" customHeight="1">
      <c r="A569" s="1147"/>
      <c r="B569" s="1140"/>
      <c r="C569" s="1148"/>
      <c r="D569" s="1142"/>
      <c r="E569" s="1149"/>
      <c r="F569" s="1149"/>
      <c r="G569" s="1149"/>
      <c r="H569" s="1150"/>
      <c r="I569" s="1151"/>
      <c r="J569" s="1149"/>
      <c r="K569" s="1152"/>
      <c r="L569" s="1152"/>
      <c r="M569" s="1149"/>
      <c r="N569" s="1149"/>
      <c r="O569" s="1149"/>
    </row>
    <row r="570" ht="40.5" customHeight="1">
      <c r="A570" s="1139"/>
      <c r="B570" s="1140"/>
      <c r="C570" s="1141"/>
      <c r="D570" s="1142"/>
      <c r="E570" s="1143"/>
      <c r="F570" s="1143"/>
      <c r="G570" s="1143"/>
      <c r="H570" s="1144"/>
      <c r="I570" s="1145"/>
      <c r="J570" s="1143"/>
      <c r="K570" s="1146"/>
      <c r="L570" s="1146"/>
      <c r="M570" s="1143"/>
      <c r="N570" s="1143"/>
      <c r="O570" s="1143"/>
    </row>
    <row r="571" ht="40.5" customHeight="1">
      <c r="A571" s="1147"/>
      <c r="B571" s="1140"/>
      <c r="C571" s="1148"/>
      <c r="D571" s="1142"/>
      <c r="E571" s="1149"/>
      <c r="F571" s="1149"/>
      <c r="G571" s="1149"/>
      <c r="H571" s="1150"/>
      <c r="I571" s="1151"/>
      <c r="J571" s="1149"/>
      <c r="K571" s="1152"/>
      <c r="L571" s="1152"/>
      <c r="M571" s="1149"/>
      <c r="N571" s="1149"/>
      <c r="O571" s="1149"/>
    </row>
    <row r="572" ht="40.5" customHeight="1">
      <c r="A572" s="1139"/>
      <c r="B572" s="1140"/>
      <c r="C572" s="1141"/>
      <c r="D572" s="1142"/>
      <c r="E572" s="1143"/>
      <c r="F572" s="1143"/>
      <c r="G572" s="1143"/>
      <c r="H572" s="1144"/>
      <c r="I572" s="1145"/>
      <c r="J572" s="1143"/>
      <c r="K572" s="1146"/>
      <c r="L572" s="1146"/>
      <c r="M572" s="1143"/>
      <c r="N572" s="1143"/>
      <c r="O572" s="1143"/>
    </row>
    <row r="573" ht="40.5" customHeight="1">
      <c r="A573" s="1147"/>
      <c r="B573" s="1140"/>
      <c r="C573" s="1148"/>
      <c r="D573" s="1142"/>
      <c r="E573" s="1149"/>
      <c r="F573" s="1149"/>
      <c r="G573" s="1149"/>
      <c r="H573" s="1150"/>
      <c r="I573" s="1151"/>
      <c r="J573" s="1149"/>
      <c r="K573" s="1152"/>
      <c r="L573" s="1152"/>
      <c r="M573" s="1149"/>
      <c r="N573" s="1149"/>
      <c r="O573" s="1149"/>
    </row>
    <row r="574" ht="40.5" customHeight="1">
      <c r="A574" s="1139"/>
      <c r="B574" s="1140"/>
      <c r="C574" s="1141"/>
      <c r="D574" s="1142"/>
      <c r="E574" s="1143"/>
      <c r="F574" s="1143"/>
      <c r="G574" s="1143"/>
      <c r="H574" s="1144"/>
      <c r="I574" s="1145"/>
      <c r="J574" s="1143"/>
      <c r="K574" s="1146"/>
      <c r="L574" s="1146"/>
      <c r="M574" s="1143"/>
      <c r="N574" s="1143"/>
      <c r="O574" s="1143"/>
    </row>
    <row r="575" ht="40.5" customHeight="1">
      <c r="A575" s="1147"/>
      <c r="B575" s="1140"/>
      <c r="C575" s="1148"/>
      <c r="D575" s="1142"/>
      <c r="E575" s="1149"/>
      <c r="F575" s="1149"/>
      <c r="G575" s="1149"/>
      <c r="H575" s="1150"/>
      <c r="I575" s="1151"/>
      <c r="J575" s="1149"/>
      <c r="K575" s="1152"/>
      <c r="L575" s="1152"/>
      <c r="M575" s="1149"/>
      <c r="N575" s="1149"/>
      <c r="O575" s="1149"/>
    </row>
    <row r="576" ht="40.5" customHeight="1">
      <c r="A576" s="1139"/>
      <c r="B576" s="1140"/>
      <c r="C576" s="1141"/>
      <c r="D576" s="1142"/>
      <c r="E576" s="1143"/>
      <c r="F576" s="1143"/>
      <c r="G576" s="1143"/>
      <c r="H576" s="1144"/>
      <c r="I576" s="1145"/>
      <c r="J576" s="1143"/>
      <c r="K576" s="1146"/>
      <c r="L576" s="1146"/>
      <c r="M576" s="1143"/>
      <c r="N576" s="1143"/>
      <c r="O576" s="1143"/>
    </row>
    <row r="577" ht="40.5" customHeight="1">
      <c r="A577" s="1147"/>
      <c r="B577" s="1140"/>
      <c r="C577" s="1148"/>
      <c r="D577" s="1142"/>
      <c r="E577" s="1149"/>
      <c r="F577" s="1149"/>
      <c r="G577" s="1149"/>
      <c r="H577" s="1150"/>
      <c r="I577" s="1151"/>
      <c r="J577" s="1149"/>
      <c r="K577" s="1152"/>
      <c r="L577" s="1152"/>
      <c r="M577" s="1149"/>
      <c r="N577" s="1149"/>
      <c r="O577" s="1149"/>
    </row>
    <row r="578" ht="40.5" customHeight="1">
      <c r="A578" s="1139"/>
      <c r="B578" s="1140"/>
      <c r="C578" s="1141"/>
      <c r="D578" s="1142"/>
      <c r="E578" s="1143"/>
      <c r="F578" s="1143"/>
      <c r="G578" s="1143"/>
      <c r="H578" s="1144"/>
      <c r="I578" s="1145"/>
      <c r="J578" s="1143"/>
      <c r="K578" s="1146"/>
      <c r="L578" s="1146"/>
      <c r="M578" s="1143"/>
      <c r="N578" s="1143"/>
      <c r="O578" s="1143"/>
    </row>
    <row r="579" ht="40.5" customHeight="1">
      <c r="A579" s="1147"/>
      <c r="B579" s="1140"/>
      <c r="C579" s="1148"/>
      <c r="D579" s="1142"/>
      <c r="E579" s="1149"/>
      <c r="F579" s="1149"/>
      <c r="G579" s="1149"/>
      <c r="H579" s="1150"/>
      <c r="I579" s="1151"/>
      <c r="J579" s="1149"/>
      <c r="K579" s="1152"/>
      <c r="L579" s="1152"/>
      <c r="M579" s="1149"/>
      <c r="N579" s="1149"/>
      <c r="O579" s="1149"/>
    </row>
    <row r="580" ht="40.5" customHeight="1">
      <c r="A580" s="1139"/>
      <c r="B580" s="1140"/>
      <c r="C580" s="1141"/>
      <c r="D580" s="1142"/>
      <c r="E580" s="1143"/>
      <c r="F580" s="1143"/>
      <c r="G580" s="1143"/>
      <c r="H580" s="1144"/>
      <c r="I580" s="1145"/>
      <c r="J580" s="1143"/>
      <c r="K580" s="1146"/>
      <c r="L580" s="1146"/>
      <c r="M580" s="1143"/>
      <c r="N580" s="1143"/>
      <c r="O580" s="1143"/>
    </row>
    <row r="581" ht="40.5" customHeight="1">
      <c r="A581" s="1147"/>
      <c r="B581" s="1140"/>
      <c r="C581" s="1148"/>
      <c r="D581" s="1142"/>
      <c r="E581" s="1149"/>
      <c r="F581" s="1149"/>
      <c r="G581" s="1149"/>
      <c r="H581" s="1150"/>
      <c r="I581" s="1151"/>
      <c r="J581" s="1149"/>
      <c r="K581" s="1152"/>
      <c r="L581" s="1152"/>
      <c r="M581" s="1149"/>
      <c r="N581" s="1149"/>
      <c r="O581" s="1149"/>
    </row>
    <row r="582" ht="40.5" customHeight="1">
      <c r="A582" s="1139"/>
      <c r="B582" s="1140"/>
      <c r="C582" s="1141"/>
      <c r="D582" s="1142"/>
      <c r="E582" s="1143"/>
      <c r="F582" s="1143"/>
      <c r="G582" s="1143"/>
      <c r="H582" s="1144"/>
      <c r="I582" s="1145"/>
      <c r="J582" s="1143"/>
      <c r="K582" s="1146"/>
      <c r="L582" s="1146"/>
      <c r="M582" s="1143"/>
      <c r="N582" s="1143"/>
      <c r="O582" s="1143"/>
    </row>
    <row r="583" ht="40.5" customHeight="1">
      <c r="A583" s="1147"/>
      <c r="B583" s="1140"/>
      <c r="C583" s="1148"/>
      <c r="D583" s="1142"/>
      <c r="E583" s="1149"/>
      <c r="F583" s="1149"/>
      <c r="G583" s="1149"/>
      <c r="H583" s="1150"/>
      <c r="I583" s="1151"/>
      <c r="J583" s="1149"/>
      <c r="K583" s="1152"/>
      <c r="L583" s="1152"/>
      <c r="M583" s="1149"/>
      <c r="N583" s="1149"/>
      <c r="O583" s="1149"/>
    </row>
    <row r="584" ht="40.5" customHeight="1">
      <c r="A584" s="1139"/>
      <c r="B584" s="1140"/>
      <c r="C584" s="1141"/>
      <c r="D584" s="1142"/>
      <c r="E584" s="1143"/>
      <c r="F584" s="1143"/>
      <c r="G584" s="1143"/>
      <c r="H584" s="1144"/>
      <c r="I584" s="1145"/>
      <c r="J584" s="1143"/>
      <c r="K584" s="1146"/>
      <c r="L584" s="1146"/>
      <c r="M584" s="1143"/>
      <c r="N584" s="1143"/>
      <c r="O584" s="1143"/>
    </row>
    <row r="585" ht="40.5" customHeight="1">
      <c r="A585" s="1147"/>
      <c r="B585" s="1140"/>
      <c r="C585" s="1148"/>
      <c r="D585" s="1142"/>
      <c r="E585" s="1149"/>
      <c r="F585" s="1149"/>
      <c r="G585" s="1149"/>
      <c r="H585" s="1150"/>
      <c r="I585" s="1151"/>
      <c r="J585" s="1149"/>
      <c r="K585" s="1152"/>
      <c r="L585" s="1152"/>
      <c r="M585" s="1149"/>
      <c r="N585" s="1149"/>
      <c r="O585" s="1149"/>
    </row>
    <row r="586" ht="40.5" customHeight="1">
      <c r="A586" s="1139"/>
      <c r="B586" s="1140"/>
      <c r="C586" s="1141"/>
      <c r="D586" s="1142"/>
      <c r="E586" s="1143"/>
      <c r="F586" s="1143"/>
      <c r="G586" s="1143"/>
      <c r="H586" s="1144"/>
      <c r="I586" s="1145"/>
      <c r="J586" s="1143"/>
      <c r="K586" s="1146"/>
      <c r="L586" s="1146"/>
      <c r="M586" s="1143"/>
      <c r="N586" s="1143"/>
      <c r="O586" s="1143"/>
    </row>
    <row r="587" ht="40.5" customHeight="1">
      <c r="A587" s="1147"/>
      <c r="B587" s="1140"/>
      <c r="C587" s="1148"/>
      <c r="D587" s="1142"/>
      <c r="E587" s="1149"/>
      <c r="F587" s="1149"/>
      <c r="G587" s="1149"/>
      <c r="H587" s="1150"/>
      <c r="I587" s="1151"/>
      <c r="J587" s="1149"/>
      <c r="K587" s="1152"/>
      <c r="L587" s="1152"/>
      <c r="M587" s="1149"/>
      <c r="N587" s="1149"/>
      <c r="O587" s="1149"/>
    </row>
    <row r="588" ht="40.5" customHeight="1">
      <c r="A588" s="1139"/>
      <c r="B588" s="1140"/>
      <c r="C588" s="1141"/>
      <c r="D588" s="1142"/>
      <c r="E588" s="1143"/>
      <c r="F588" s="1143"/>
      <c r="G588" s="1143"/>
      <c r="H588" s="1144"/>
      <c r="I588" s="1145"/>
      <c r="J588" s="1143"/>
      <c r="K588" s="1146"/>
      <c r="L588" s="1146"/>
      <c r="M588" s="1143"/>
      <c r="N588" s="1143"/>
      <c r="O588" s="1143"/>
    </row>
    <row r="589" ht="40.5" customHeight="1">
      <c r="A589" s="1147"/>
      <c r="B589" s="1140"/>
      <c r="C589" s="1148"/>
      <c r="D589" s="1142"/>
      <c r="E589" s="1149"/>
      <c r="F589" s="1149"/>
      <c r="G589" s="1149"/>
      <c r="H589" s="1150"/>
      <c r="I589" s="1151"/>
      <c r="J589" s="1149"/>
      <c r="K589" s="1152"/>
      <c r="L589" s="1152"/>
      <c r="M589" s="1149"/>
      <c r="N589" s="1149"/>
      <c r="O589" s="1149"/>
    </row>
    <row r="590" ht="40.5" customHeight="1">
      <c r="A590" s="1139"/>
      <c r="B590" s="1140"/>
      <c r="C590" s="1141"/>
      <c r="D590" s="1142"/>
      <c r="E590" s="1143"/>
      <c r="F590" s="1143"/>
      <c r="G590" s="1143"/>
      <c r="H590" s="1144"/>
      <c r="I590" s="1145"/>
      <c r="J590" s="1143"/>
      <c r="K590" s="1146"/>
      <c r="L590" s="1146"/>
      <c r="M590" s="1143"/>
      <c r="N590" s="1143"/>
      <c r="O590" s="1143"/>
    </row>
    <row r="591" ht="40.5" customHeight="1">
      <c r="A591" s="1147"/>
      <c r="B591" s="1140"/>
      <c r="C591" s="1148"/>
      <c r="D591" s="1142"/>
      <c r="E591" s="1149"/>
      <c r="F591" s="1149"/>
      <c r="G591" s="1149"/>
      <c r="H591" s="1150"/>
      <c r="I591" s="1151"/>
      <c r="J591" s="1149"/>
      <c r="K591" s="1152"/>
      <c r="L591" s="1152"/>
      <c r="M591" s="1149"/>
      <c r="N591" s="1149"/>
      <c r="O591" s="1149"/>
    </row>
    <row r="592" ht="40.5" customHeight="1">
      <c r="A592" s="1139"/>
      <c r="B592" s="1140"/>
      <c r="C592" s="1141"/>
      <c r="D592" s="1142"/>
      <c r="E592" s="1143"/>
      <c r="F592" s="1143"/>
      <c r="G592" s="1143"/>
      <c r="H592" s="1144"/>
      <c r="I592" s="1145"/>
      <c r="J592" s="1143"/>
      <c r="K592" s="1146"/>
      <c r="L592" s="1146"/>
      <c r="M592" s="1143"/>
      <c r="N592" s="1143"/>
      <c r="O592" s="1143"/>
    </row>
    <row r="593" ht="40.5" customHeight="1">
      <c r="A593" s="1147"/>
      <c r="B593" s="1140"/>
      <c r="C593" s="1148"/>
      <c r="D593" s="1142"/>
      <c r="E593" s="1149"/>
      <c r="F593" s="1149"/>
      <c r="G593" s="1149"/>
      <c r="H593" s="1150"/>
      <c r="I593" s="1151"/>
      <c r="J593" s="1149"/>
      <c r="K593" s="1152"/>
      <c r="L593" s="1152"/>
      <c r="M593" s="1149"/>
      <c r="N593" s="1149"/>
      <c r="O593" s="1149"/>
    </row>
    <row r="594" ht="40.5" customHeight="1">
      <c r="A594" s="1139"/>
      <c r="B594" s="1140"/>
      <c r="C594" s="1141"/>
      <c r="D594" s="1142"/>
      <c r="E594" s="1143"/>
      <c r="F594" s="1143"/>
      <c r="G594" s="1143"/>
      <c r="H594" s="1144"/>
      <c r="I594" s="1145"/>
      <c r="J594" s="1143"/>
      <c r="K594" s="1146"/>
      <c r="L594" s="1146"/>
      <c r="M594" s="1143"/>
      <c r="N594" s="1143"/>
      <c r="O594" s="1143"/>
    </row>
    <row r="595" ht="40.5" customHeight="1">
      <c r="A595" s="1147"/>
      <c r="B595" s="1140"/>
      <c r="C595" s="1148"/>
      <c r="D595" s="1142"/>
      <c r="E595" s="1149"/>
      <c r="F595" s="1149"/>
      <c r="G595" s="1149"/>
      <c r="H595" s="1150"/>
      <c r="I595" s="1151"/>
      <c r="J595" s="1149"/>
      <c r="K595" s="1152"/>
      <c r="L595" s="1152"/>
      <c r="M595" s="1149"/>
      <c r="N595" s="1149"/>
      <c r="O595" s="1149"/>
    </row>
    <row r="596" ht="40.5" customHeight="1">
      <c r="A596" s="1139"/>
      <c r="B596" s="1140"/>
      <c r="C596" s="1141"/>
      <c r="D596" s="1142"/>
      <c r="E596" s="1143"/>
      <c r="F596" s="1143"/>
      <c r="G596" s="1143"/>
      <c r="H596" s="1144"/>
      <c r="I596" s="1145"/>
      <c r="J596" s="1143"/>
      <c r="K596" s="1146"/>
      <c r="L596" s="1146"/>
      <c r="M596" s="1143"/>
      <c r="N596" s="1143"/>
      <c r="O596" s="1143"/>
    </row>
    <row r="597" ht="40.5" customHeight="1">
      <c r="A597" s="1147"/>
      <c r="B597" s="1140"/>
      <c r="C597" s="1148"/>
      <c r="D597" s="1142"/>
      <c r="E597" s="1149"/>
      <c r="F597" s="1149"/>
      <c r="G597" s="1149"/>
      <c r="H597" s="1150"/>
      <c r="I597" s="1151"/>
      <c r="J597" s="1149"/>
      <c r="K597" s="1152"/>
      <c r="L597" s="1152"/>
      <c r="M597" s="1149"/>
      <c r="N597" s="1149"/>
      <c r="O597" s="1149"/>
    </row>
    <row r="598" ht="40.5" customHeight="1">
      <c r="A598" s="1139"/>
      <c r="B598" s="1140"/>
      <c r="C598" s="1141"/>
      <c r="D598" s="1142"/>
      <c r="E598" s="1143"/>
      <c r="F598" s="1143"/>
      <c r="G598" s="1143"/>
      <c r="H598" s="1144"/>
      <c r="I598" s="1145"/>
      <c r="J598" s="1143"/>
      <c r="K598" s="1146"/>
      <c r="L598" s="1146"/>
      <c r="M598" s="1143"/>
      <c r="N598" s="1143"/>
      <c r="O598" s="1143"/>
    </row>
    <row r="599" ht="40.5" customHeight="1">
      <c r="A599" s="1147"/>
      <c r="B599" s="1140"/>
      <c r="C599" s="1148"/>
      <c r="D599" s="1142"/>
      <c r="E599" s="1149"/>
      <c r="F599" s="1149"/>
      <c r="G599" s="1149"/>
      <c r="H599" s="1150"/>
      <c r="I599" s="1151"/>
      <c r="J599" s="1149"/>
      <c r="K599" s="1152"/>
      <c r="L599" s="1152"/>
      <c r="M599" s="1149"/>
      <c r="N599" s="1149"/>
      <c r="O599" s="1149"/>
    </row>
    <row r="600" ht="40.5" customHeight="1">
      <c r="A600" s="1139"/>
      <c r="B600" s="1140"/>
      <c r="C600" s="1141"/>
      <c r="D600" s="1142"/>
      <c r="E600" s="1143"/>
      <c r="F600" s="1143"/>
      <c r="G600" s="1143"/>
      <c r="H600" s="1144"/>
      <c r="I600" s="1145"/>
      <c r="J600" s="1143"/>
      <c r="K600" s="1146"/>
      <c r="L600" s="1146"/>
      <c r="M600" s="1143"/>
      <c r="N600" s="1143"/>
      <c r="O600" s="1143"/>
    </row>
    <row r="601" ht="40.5" customHeight="1">
      <c r="A601" s="1147"/>
      <c r="B601" s="1140"/>
      <c r="C601" s="1148"/>
      <c r="D601" s="1142"/>
      <c r="E601" s="1149"/>
      <c r="F601" s="1149"/>
      <c r="G601" s="1149"/>
      <c r="H601" s="1150"/>
      <c r="I601" s="1151"/>
      <c r="J601" s="1149"/>
      <c r="K601" s="1152"/>
      <c r="L601" s="1152"/>
      <c r="M601" s="1149"/>
      <c r="N601" s="1149"/>
      <c r="O601" s="1149"/>
    </row>
    <row r="602" ht="40.5" customHeight="1">
      <c r="A602" s="1139"/>
      <c r="B602" s="1140"/>
      <c r="C602" s="1141"/>
      <c r="D602" s="1142"/>
      <c r="E602" s="1143"/>
      <c r="F602" s="1143"/>
      <c r="G602" s="1143"/>
      <c r="H602" s="1144"/>
      <c r="I602" s="1145"/>
      <c r="J602" s="1143"/>
      <c r="K602" s="1146"/>
      <c r="L602" s="1146"/>
      <c r="M602" s="1143"/>
      <c r="N602" s="1143"/>
      <c r="O602" s="1143"/>
    </row>
    <row r="603" ht="40.5" customHeight="1">
      <c r="A603" s="1147"/>
      <c r="B603" s="1140"/>
      <c r="C603" s="1148"/>
      <c r="D603" s="1142"/>
      <c r="E603" s="1149"/>
      <c r="F603" s="1149"/>
      <c r="G603" s="1149"/>
      <c r="H603" s="1150"/>
      <c r="I603" s="1151"/>
      <c r="J603" s="1149"/>
      <c r="K603" s="1152"/>
      <c r="L603" s="1152"/>
      <c r="M603" s="1149"/>
      <c r="N603" s="1149"/>
      <c r="O603" s="1149"/>
    </row>
    <row r="604" ht="40.5" customHeight="1">
      <c r="A604" s="1139"/>
      <c r="B604" s="1140"/>
      <c r="C604" s="1141"/>
      <c r="D604" s="1142"/>
      <c r="E604" s="1143"/>
      <c r="F604" s="1143"/>
      <c r="G604" s="1143"/>
      <c r="H604" s="1144"/>
      <c r="I604" s="1145"/>
      <c r="J604" s="1143"/>
      <c r="K604" s="1146"/>
      <c r="L604" s="1146"/>
      <c r="M604" s="1143"/>
      <c r="N604" s="1143"/>
      <c r="O604" s="1143"/>
    </row>
    <row r="605" ht="40.5" customHeight="1">
      <c r="A605" s="1147"/>
      <c r="B605" s="1140"/>
      <c r="C605" s="1148"/>
      <c r="D605" s="1142"/>
      <c r="E605" s="1149"/>
      <c r="F605" s="1149"/>
      <c r="G605" s="1149"/>
      <c r="H605" s="1150"/>
      <c r="I605" s="1151"/>
      <c r="J605" s="1149"/>
      <c r="K605" s="1152"/>
      <c r="L605" s="1152"/>
      <c r="M605" s="1149"/>
      <c r="N605" s="1149"/>
      <c r="O605" s="1149"/>
    </row>
    <row r="606" ht="40.5" customHeight="1">
      <c r="A606" s="1139"/>
      <c r="B606" s="1140"/>
      <c r="C606" s="1141"/>
      <c r="D606" s="1142"/>
      <c r="E606" s="1143"/>
      <c r="F606" s="1143"/>
      <c r="G606" s="1143"/>
      <c r="H606" s="1144"/>
      <c r="I606" s="1145"/>
      <c r="J606" s="1143"/>
      <c r="K606" s="1146"/>
      <c r="L606" s="1146"/>
      <c r="M606" s="1143"/>
      <c r="N606" s="1143"/>
      <c r="O606" s="1143"/>
    </row>
    <row r="607" ht="40.5" customHeight="1">
      <c r="A607" s="1147"/>
      <c r="B607" s="1140"/>
      <c r="C607" s="1148"/>
      <c r="D607" s="1142"/>
      <c r="E607" s="1149"/>
      <c r="F607" s="1149"/>
      <c r="G607" s="1149"/>
      <c r="H607" s="1150"/>
      <c r="I607" s="1151"/>
      <c r="J607" s="1149"/>
      <c r="K607" s="1152"/>
      <c r="L607" s="1152"/>
      <c r="M607" s="1149"/>
      <c r="N607" s="1149"/>
      <c r="O607" s="1149"/>
    </row>
    <row r="608" ht="40.5" customHeight="1">
      <c r="A608" s="1139"/>
      <c r="B608" s="1140"/>
      <c r="C608" s="1141"/>
      <c r="D608" s="1142"/>
      <c r="E608" s="1143"/>
      <c r="F608" s="1143"/>
      <c r="G608" s="1143"/>
      <c r="H608" s="1144"/>
      <c r="I608" s="1145"/>
      <c r="J608" s="1143"/>
      <c r="K608" s="1146"/>
      <c r="L608" s="1146"/>
      <c r="M608" s="1143"/>
      <c r="N608" s="1143"/>
      <c r="O608" s="1143"/>
    </row>
    <row r="609" ht="40.5" customHeight="1">
      <c r="A609" s="1147"/>
      <c r="B609" s="1140"/>
      <c r="C609" s="1148"/>
      <c r="D609" s="1142"/>
      <c r="E609" s="1149"/>
      <c r="F609" s="1149"/>
      <c r="G609" s="1149"/>
      <c r="H609" s="1150"/>
      <c r="I609" s="1151"/>
      <c r="J609" s="1149"/>
      <c r="K609" s="1152"/>
      <c r="L609" s="1152"/>
      <c r="M609" s="1149"/>
      <c r="N609" s="1149"/>
      <c r="O609" s="1149"/>
    </row>
    <row r="610" ht="40.5" customHeight="1">
      <c r="A610" s="1139"/>
      <c r="B610" s="1140"/>
      <c r="C610" s="1141"/>
      <c r="D610" s="1142"/>
      <c r="E610" s="1143"/>
      <c r="F610" s="1143"/>
      <c r="G610" s="1143"/>
      <c r="H610" s="1144"/>
      <c r="I610" s="1145"/>
      <c r="J610" s="1143"/>
      <c r="K610" s="1146"/>
      <c r="L610" s="1146"/>
      <c r="M610" s="1143"/>
      <c r="N610" s="1143"/>
      <c r="O610" s="1143"/>
    </row>
    <row r="611" ht="40.5" customHeight="1">
      <c r="A611" s="1147"/>
      <c r="B611" s="1140"/>
      <c r="C611" s="1148"/>
      <c r="D611" s="1142"/>
      <c r="E611" s="1149"/>
      <c r="F611" s="1149"/>
      <c r="G611" s="1149"/>
      <c r="H611" s="1150"/>
      <c r="I611" s="1151"/>
      <c r="J611" s="1149"/>
      <c r="K611" s="1152"/>
      <c r="L611" s="1152"/>
      <c r="M611" s="1149"/>
      <c r="N611" s="1149"/>
      <c r="O611" s="1149"/>
    </row>
    <row r="612" ht="40.5" customHeight="1">
      <c r="A612" s="1139"/>
      <c r="B612" s="1140"/>
      <c r="C612" s="1141"/>
      <c r="D612" s="1142"/>
      <c r="E612" s="1143"/>
      <c r="F612" s="1143"/>
      <c r="G612" s="1143"/>
      <c r="H612" s="1144"/>
      <c r="I612" s="1145"/>
      <c r="J612" s="1143"/>
      <c r="K612" s="1146"/>
      <c r="L612" s="1146"/>
      <c r="M612" s="1143"/>
      <c r="N612" s="1143"/>
      <c r="O612" s="1143"/>
    </row>
    <row r="613" ht="40.5" customHeight="1">
      <c r="A613" s="1147"/>
      <c r="B613" s="1140"/>
      <c r="C613" s="1148"/>
      <c r="D613" s="1142"/>
      <c r="E613" s="1149"/>
      <c r="F613" s="1149"/>
      <c r="G613" s="1149"/>
      <c r="H613" s="1150"/>
      <c r="I613" s="1151"/>
      <c r="J613" s="1149"/>
      <c r="K613" s="1152"/>
      <c r="L613" s="1152"/>
      <c r="M613" s="1149"/>
      <c r="N613" s="1149"/>
      <c r="O613" s="1149"/>
    </row>
    <row r="614" ht="40.5" customHeight="1">
      <c r="A614" s="1139"/>
      <c r="B614" s="1140"/>
      <c r="C614" s="1141"/>
      <c r="D614" s="1142"/>
      <c r="E614" s="1143"/>
      <c r="F614" s="1143"/>
      <c r="G614" s="1143"/>
      <c r="H614" s="1144"/>
      <c r="I614" s="1145"/>
      <c r="J614" s="1143"/>
      <c r="K614" s="1146"/>
      <c r="L614" s="1146"/>
      <c r="M614" s="1143"/>
      <c r="N614" s="1143"/>
      <c r="O614" s="1143"/>
    </row>
    <row r="615" ht="40.5" customHeight="1">
      <c r="A615" s="1147"/>
      <c r="B615" s="1140"/>
      <c r="C615" s="1148"/>
      <c r="D615" s="1142"/>
      <c r="E615" s="1149"/>
      <c r="F615" s="1149"/>
      <c r="G615" s="1149"/>
      <c r="H615" s="1150"/>
      <c r="I615" s="1151"/>
      <c r="J615" s="1149"/>
      <c r="K615" s="1152"/>
      <c r="L615" s="1152"/>
      <c r="M615" s="1149"/>
      <c r="N615" s="1149"/>
      <c r="O615" s="1149"/>
    </row>
    <row r="616" ht="40.5" customHeight="1">
      <c r="A616" s="1139"/>
      <c r="B616" s="1140"/>
      <c r="C616" s="1141"/>
      <c r="D616" s="1142"/>
      <c r="E616" s="1143"/>
      <c r="F616" s="1143"/>
      <c r="G616" s="1143"/>
      <c r="H616" s="1144"/>
      <c r="I616" s="1145"/>
      <c r="J616" s="1143"/>
      <c r="K616" s="1146"/>
      <c r="L616" s="1146"/>
      <c r="M616" s="1143"/>
      <c r="N616" s="1143"/>
      <c r="O616" s="1143"/>
    </row>
    <row r="617" ht="40.5" customHeight="1">
      <c r="A617" s="1147"/>
      <c r="B617" s="1140"/>
      <c r="C617" s="1148"/>
      <c r="D617" s="1142"/>
      <c r="E617" s="1149"/>
      <c r="F617" s="1149"/>
      <c r="G617" s="1149"/>
      <c r="H617" s="1150"/>
      <c r="I617" s="1151"/>
      <c r="J617" s="1149"/>
      <c r="K617" s="1152"/>
      <c r="L617" s="1152"/>
      <c r="M617" s="1149"/>
      <c r="N617" s="1149"/>
      <c r="O617" s="1149"/>
    </row>
    <row r="618" ht="40.5" customHeight="1">
      <c r="A618" s="1139"/>
      <c r="B618" s="1140"/>
      <c r="C618" s="1141"/>
      <c r="D618" s="1142"/>
      <c r="E618" s="1143"/>
      <c r="F618" s="1143"/>
      <c r="G618" s="1143"/>
      <c r="H618" s="1144"/>
      <c r="I618" s="1145"/>
      <c r="J618" s="1143"/>
      <c r="K618" s="1146"/>
      <c r="L618" s="1146"/>
      <c r="M618" s="1143"/>
      <c r="N618" s="1143"/>
      <c r="O618" s="1143"/>
    </row>
    <row r="619" ht="40.5" customHeight="1">
      <c r="A619" s="1147"/>
      <c r="B619" s="1140"/>
      <c r="C619" s="1148"/>
      <c r="D619" s="1142"/>
      <c r="E619" s="1149"/>
      <c r="F619" s="1149"/>
      <c r="G619" s="1149"/>
      <c r="H619" s="1150"/>
      <c r="I619" s="1151"/>
      <c r="J619" s="1149"/>
      <c r="K619" s="1152"/>
      <c r="L619" s="1152"/>
      <c r="M619" s="1149"/>
      <c r="N619" s="1149"/>
      <c r="O619" s="1149"/>
    </row>
    <row r="620" ht="40.5" customHeight="1">
      <c r="A620" s="1139"/>
      <c r="B620" s="1140"/>
      <c r="C620" s="1141"/>
      <c r="D620" s="1142"/>
      <c r="E620" s="1143"/>
      <c r="F620" s="1143"/>
      <c r="G620" s="1143"/>
      <c r="H620" s="1144"/>
      <c r="I620" s="1145"/>
      <c r="J620" s="1143"/>
      <c r="K620" s="1146"/>
      <c r="L620" s="1146"/>
      <c r="M620" s="1143"/>
      <c r="N620" s="1143"/>
      <c r="O620" s="1143"/>
    </row>
    <row r="621" ht="40.5" customHeight="1">
      <c r="A621" s="1147"/>
      <c r="B621" s="1140"/>
      <c r="C621" s="1148"/>
      <c r="D621" s="1142"/>
      <c r="E621" s="1149"/>
      <c r="F621" s="1149"/>
      <c r="G621" s="1149"/>
      <c r="H621" s="1150"/>
      <c r="I621" s="1151"/>
      <c r="J621" s="1149"/>
      <c r="K621" s="1152"/>
      <c r="L621" s="1152"/>
      <c r="M621" s="1149"/>
      <c r="N621" s="1149"/>
      <c r="O621" s="1149"/>
    </row>
    <row r="622" ht="40.5" customHeight="1">
      <c r="A622" s="1139"/>
      <c r="B622" s="1140"/>
      <c r="C622" s="1141"/>
      <c r="D622" s="1142"/>
      <c r="E622" s="1143"/>
      <c r="F622" s="1143"/>
      <c r="G622" s="1143"/>
      <c r="H622" s="1144"/>
      <c r="I622" s="1145"/>
      <c r="J622" s="1143"/>
      <c r="K622" s="1146"/>
      <c r="L622" s="1146"/>
      <c r="M622" s="1143"/>
      <c r="N622" s="1143"/>
      <c r="O622" s="1143"/>
    </row>
    <row r="623" ht="40.5" customHeight="1">
      <c r="A623" s="1147"/>
      <c r="B623" s="1140"/>
      <c r="C623" s="1148"/>
      <c r="D623" s="1142"/>
      <c r="E623" s="1149"/>
      <c r="F623" s="1149"/>
      <c r="G623" s="1149"/>
      <c r="H623" s="1150"/>
      <c r="I623" s="1151"/>
      <c r="J623" s="1149"/>
      <c r="K623" s="1152"/>
      <c r="L623" s="1152"/>
      <c r="M623" s="1149"/>
      <c r="N623" s="1149"/>
      <c r="O623" s="1149"/>
    </row>
    <row r="624" ht="40.5" customHeight="1">
      <c r="A624" s="1139"/>
      <c r="B624" s="1140"/>
      <c r="C624" s="1141"/>
      <c r="D624" s="1142"/>
      <c r="E624" s="1143"/>
      <c r="F624" s="1143"/>
      <c r="G624" s="1143"/>
      <c r="H624" s="1144"/>
      <c r="I624" s="1145"/>
      <c r="J624" s="1143"/>
      <c r="K624" s="1146"/>
      <c r="L624" s="1146"/>
      <c r="M624" s="1143"/>
      <c r="N624" s="1143"/>
      <c r="O624" s="1143"/>
    </row>
    <row r="625" ht="40.5" customHeight="1">
      <c r="A625" s="1147"/>
      <c r="B625" s="1140"/>
      <c r="C625" s="1148"/>
      <c r="D625" s="1142"/>
      <c r="E625" s="1149"/>
      <c r="F625" s="1149"/>
      <c r="G625" s="1149"/>
      <c r="H625" s="1150"/>
      <c r="I625" s="1151"/>
      <c r="J625" s="1149"/>
      <c r="K625" s="1152"/>
      <c r="L625" s="1152"/>
      <c r="M625" s="1149"/>
      <c r="N625" s="1149"/>
      <c r="O625" s="1149"/>
    </row>
    <row r="626" ht="40.5" customHeight="1">
      <c r="A626" s="1139"/>
      <c r="B626" s="1140"/>
      <c r="C626" s="1141"/>
      <c r="D626" s="1142"/>
      <c r="E626" s="1143"/>
      <c r="F626" s="1143"/>
      <c r="G626" s="1143"/>
      <c r="H626" s="1144"/>
      <c r="I626" s="1145"/>
      <c r="J626" s="1143"/>
      <c r="K626" s="1146"/>
      <c r="L626" s="1146"/>
      <c r="M626" s="1143"/>
      <c r="N626" s="1143"/>
      <c r="O626" s="1143"/>
    </row>
    <row r="627" ht="40.5" customHeight="1">
      <c r="A627" s="1147"/>
      <c r="B627" s="1140"/>
      <c r="C627" s="1148"/>
      <c r="D627" s="1142"/>
      <c r="E627" s="1149"/>
      <c r="F627" s="1149"/>
      <c r="G627" s="1149"/>
      <c r="H627" s="1150"/>
      <c r="I627" s="1151"/>
      <c r="J627" s="1149"/>
      <c r="K627" s="1152"/>
      <c r="L627" s="1152"/>
      <c r="M627" s="1149"/>
      <c r="N627" s="1149"/>
      <c r="O627" s="1149"/>
    </row>
    <row r="628" ht="40.5" customHeight="1">
      <c r="A628" s="1139"/>
      <c r="B628" s="1140"/>
      <c r="C628" s="1141"/>
      <c r="D628" s="1142"/>
      <c r="E628" s="1143"/>
      <c r="F628" s="1143"/>
      <c r="G628" s="1143"/>
      <c r="H628" s="1144"/>
      <c r="I628" s="1145"/>
      <c r="J628" s="1143"/>
      <c r="K628" s="1146"/>
      <c r="L628" s="1146"/>
      <c r="M628" s="1143"/>
      <c r="N628" s="1143"/>
      <c r="O628" s="1143"/>
    </row>
    <row r="629" ht="40.5" customHeight="1">
      <c r="A629" s="1147"/>
      <c r="B629" s="1140"/>
      <c r="C629" s="1148"/>
      <c r="D629" s="1142"/>
      <c r="E629" s="1149"/>
      <c r="F629" s="1149"/>
      <c r="G629" s="1149"/>
      <c r="H629" s="1150"/>
      <c r="I629" s="1151"/>
      <c r="J629" s="1149"/>
      <c r="K629" s="1152"/>
      <c r="L629" s="1152"/>
      <c r="M629" s="1149"/>
      <c r="N629" s="1149"/>
      <c r="O629" s="1149"/>
    </row>
    <row r="630" ht="40.5" customHeight="1">
      <c r="A630" s="1139"/>
      <c r="B630" s="1140"/>
      <c r="C630" s="1141"/>
      <c r="D630" s="1142"/>
      <c r="E630" s="1143"/>
      <c r="F630" s="1143"/>
      <c r="G630" s="1143"/>
      <c r="H630" s="1144"/>
      <c r="I630" s="1145"/>
      <c r="J630" s="1143"/>
      <c r="K630" s="1146"/>
      <c r="L630" s="1146"/>
      <c r="M630" s="1143"/>
      <c r="N630" s="1143"/>
      <c r="O630" s="1143"/>
    </row>
    <row r="631" ht="40.5" customHeight="1">
      <c r="A631" s="1147"/>
      <c r="B631" s="1140"/>
      <c r="C631" s="1148"/>
      <c r="D631" s="1142"/>
      <c r="E631" s="1149"/>
      <c r="F631" s="1149"/>
      <c r="G631" s="1149"/>
      <c r="H631" s="1150"/>
      <c r="I631" s="1151"/>
      <c r="J631" s="1149"/>
      <c r="K631" s="1152"/>
      <c r="L631" s="1152"/>
      <c r="M631" s="1149"/>
      <c r="N631" s="1149"/>
      <c r="O631" s="1149"/>
    </row>
    <row r="632" ht="40.5" customHeight="1">
      <c r="A632" s="1139"/>
      <c r="B632" s="1140"/>
      <c r="C632" s="1141"/>
      <c r="D632" s="1142"/>
      <c r="E632" s="1143"/>
      <c r="F632" s="1143"/>
      <c r="G632" s="1143"/>
      <c r="H632" s="1144"/>
      <c r="I632" s="1145"/>
      <c r="J632" s="1143"/>
      <c r="K632" s="1146"/>
      <c r="L632" s="1146"/>
      <c r="M632" s="1143"/>
      <c r="N632" s="1143"/>
      <c r="O632" s="1143"/>
    </row>
    <row r="633" ht="40.5" customHeight="1">
      <c r="A633" s="1147"/>
      <c r="B633" s="1140"/>
      <c r="C633" s="1148"/>
      <c r="D633" s="1142"/>
      <c r="E633" s="1149"/>
      <c r="F633" s="1149"/>
      <c r="G633" s="1149"/>
      <c r="H633" s="1150"/>
      <c r="I633" s="1151"/>
      <c r="J633" s="1149"/>
      <c r="K633" s="1152"/>
      <c r="L633" s="1152"/>
      <c r="M633" s="1149"/>
      <c r="N633" s="1149"/>
      <c r="O633" s="1149"/>
    </row>
    <row r="634" ht="40.5" customHeight="1">
      <c r="A634" s="1139"/>
      <c r="B634" s="1140"/>
      <c r="C634" s="1141"/>
      <c r="D634" s="1142"/>
      <c r="E634" s="1143"/>
      <c r="F634" s="1143"/>
      <c r="G634" s="1143"/>
      <c r="H634" s="1144"/>
      <c r="I634" s="1145"/>
      <c r="J634" s="1143"/>
      <c r="K634" s="1146"/>
      <c r="L634" s="1146"/>
      <c r="M634" s="1143"/>
      <c r="N634" s="1143"/>
      <c r="O634" s="1143"/>
    </row>
    <row r="635" ht="40.5" customHeight="1">
      <c r="A635" s="1147"/>
      <c r="B635" s="1140"/>
      <c r="C635" s="1148"/>
      <c r="D635" s="1142"/>
      <c r="E635" s="1149"/>
      <c r="F635" s="1149"/>
      <c r="G635" s="1149"/>
      <c r="H635" s="1150"/>
      <c r="I635" s="1151"/>
      <c r="J635" s="1149"/>
      <c r="K635" s="1152"/>
      <c r="L635" s="1152"/>
      <c r="M635" s="1149"/>
      <c r="N635" s="1149"/>
      <c r="O635" s="1149"/>
    </row>
    <row r="636" ht="40.5" customHeight="1">
      <c r="A636" s="1139"/>
      <c r="B636" s="1140"/>
      <c r="C636" s="1141"/>
      <c r="D636" s="1142"/>
      <c r="E636" s="1143"/>
      <c r="F636" s="1143"/>
      <c r="G636" s="1143"/>
      <c r="H636" s="1144"/>
      <c r="I636" s="1145"/>
      <c r="J636" s="1143"/>
      <c r="K636" s="1146"/>
      <c r="L636" s="1146"/>
      <c r="M636" s="1143"/>
      <c r="N636" s="1143"/>
      <c r="O636" s="1143"/>
    </row>
    <row r="637" ht="40.5" customHeight="1">
      <c r="A637" s="1147"/>
      <c r="B637" s="1140"/>
      <c r="C637" s="1148"/>
      <c r="D637" s="1142"/>
      <c r="E637" s="1149"/>
      <c r="F637" s="1149"/>
      <c r="G637" s="1149"/>
      <c r="H637" s="1150"/>
      <c r="I637" s="1151"/>
      <c r="J637" s="1149"/>
      <c r="K637" s="1152"/>
      <c r="L637" s="1152"/>
      <c r="M637" s="1149"/>
      <c r="N637" s="1149"/>
      <c r="O637" s="1149"/>
    </row>
    <row r="638" ht="40.5" customHeight="1">
      <c r="A638" s="1139"/>
      <c r="B638" s="1140"/>
      <c r="C638" s="1141"/>
      <c r="D638" s="1142"/>
      <c r="E638" s="1143"/>
      <c r="F638" s="1143"/>
      <c r="G638" s="1143"/>
      <c r="H638" s="1144"/>
      <c r="I638" s="1145"/>
      <c r="J638" s="1143"/>
      <c r="K638" s="1146"/>
      <c r="L638" s="1146"/>
      <c r="M638" s="1143"/>
      <c r="N638" s="1143"/>
      <c r="O638" s="1143"/>
    </row>
    <row r="639" ht="40.5" customHeight="1">
      <c r="A639" s="1147"/>
      <c r="B639" s="1140"/>
      <c r="C639" s="1148"/>
      <c r="D639" s="1142"/>
      <c r="E639" s="1149"/>
      <c r="F639" s="1149"/>
      <c r="G639" s="1149"/>
      <c r="H639" s="1150"/>
      <c r="I639" s="1151"/>
      <c r="J639" s="1149"/>
      <c r="K639" s="1152"/>
      <c r="L639" s="1152"/>
      <c r="M639" s="1149"/>
      <c r="N639" s="1149"/>
      <c r="O639" s="1149"/>
    </row>
    <row r="640" ht="40.5" customHeight="1">
      <c r="A640" s="1139"/>
      <c r="B640" s="1140"/>
      <c r="C640" s="1141"/>
      <c r="D640" s="1142"/>
      <c r="E640" s="1143"/>
      <c r="F640" s="1143"/>
      <c r="G640" s="1143"/>
      <c r="H640" s="1144"/>
      <c r="I640" s="1145"/>
      <c r="J640" s="1143"/>
      <c r="K640" s="1146"/>
      <c r="L640" s="1146"/>
      <c r="M640" s="1143"/>
      <c r="N640" s="1143"/>
      <c r="O640" s="1143"/>
    </row>
    <row r="641" ht="40.5" customHeight="1">
      <c r="A641" s="1147"/>
      <c r="B641" s="1140"/>
      <c r="C641" s="1148"/>
      <c r="D641" s="1142"/>
      <c r="E641" s="1149"/>
      <c r="F641" s="1149"/>
      <c r="G641" s="1149"/>
      <c r="H641" s="1150"/>
      <c r="I641" s="1151"/>
      <c r="J641" s="1149"/>
      <c r="K641" s="1152"/>
      <c r="L641" s="1152"/>
      <c r="M641" s="1149"/>
      <c r="N641" s="1149"/>
      <c r="O641" s="1149"/>
    </row>
    <row r="642" ht="40.5" customHeight="1">
      <c r="A642" s="1139"/>
      <c r="B642" s="1140"/>
      <c r="C642" s="1141"/>
      <c r="D642" s="1142"/>
      <c r="E642" s="1143"/>
      <c r="F642" s="1143"/>
      <c r="G642" s="1143"/>
      <c r="H642" s="1144"/>
      <c r="I642" s="1145"/>
      <c r="J642" s="1143"/>
      <c r="K642" s="1146"/>
      <c r="L642" s="1146"/>
      <c r="M642" s="1143"/>
      <c r="N642" s="1143"/>
      <c r="O642" s="1143"/>
    </row>
    <row r="643" ht="40.5" customHeight="1">
      <c r="A643" s="1147"/>
      <c r="B643" s="1140"/>
      <c r="C643" s="1148"/>
      <c r="D643" s="1142"/>
      <c r="E643" s="1149"/>
      <c r="F643" s="1149"/>
      <c r="G643" s="1149"/>
      <c r="H643" s="1150"/>
      <c r="I643" s="1151"/>
      <c r="J643" s="1149"/>
      <c r="K643" s="1152"/>
      <c r="L643" s="1152"/>
      <c r="M643" s="1149"/>
      <c r="N643" s="1149"/>
      <c r="O643" s="1149"/>
    </row>
    <row r="644" ht="40.5" customHeight="1">
      <c r="A644" s="1139"/>
      <c r="B644" s="1140"/>
      <c r="C644" s="1141"/>
      <c r="D644" s="1142"/>
      <c r="E644" s="1143"/>
      <c r="F644" s="1143"/>
      <c r="G644" s="1143"/>
      <c r="H644" s="1144"/>
      <c r="I644" s="1145"/>
      <c r="J644" s="1143"/>
      <c r="K644" s="1146"/>
      <c r="L644" s="1146"/>
      <c r="M644" s="1143"/>
      <c r="N644" s="1143"/>
      <c r="O644" s="1143"/>
    </row>
    <row r="645" ht="40.5" customHeight="1">
      <c r="A645" s="1147"/>
      <c r="B645" s="1140"/>
      <c r="C645" s="1148"/>
      <c r="D645" s="1142"/>
      <c r="E645" s="1149"/>
      <c r="F645" s="1149"/>
      <c r="G645" s="1149"/>
      <c r="H645" s="1150"/>
      <c r="I645" s="1151"/>
      <c r="J645" s="1149"/>
      <c r="K645" s="1152"/>
      <c r="L645" s="1152"/>
      <c r="M645" s="1149"/>
      <c r="N645" s="1149"/>
      <c r="O645" s="1149"/>
    </row>
    <row r="646" ht="40.5" customHeight="1">
      <c r="A646" s="1139"/>
      <c r="B646" s="1140"/>
      <c r="C646" s="1141"/>
      <c r="D646" s="1142"/>
      <c r="E646" s="1143"/>
      <c r="F646" s="1143"/>
      <c r="G646" s="1143"/>
      <c r="H646" s="1144"/>
      <c r="I646" s="1145"/>
      <c r="J646" s="1143"/>
      <c r="K646" s="1146"/>
      <c r="L646" s="1146"/>
      <c r="M646" s="1143"/>
      <c r="N646" s="1143"/>
      <c r="O646" s="1143"/>
    </row>
    <row r="647" ht="40.5" customHeight="1">
      <c r="A647" s="1147"/>
      <c r="B647" s="1140"/>
      <c r="C647" s="1148"/>
      <c r="D647" s="1142"/>
      <c r="E647" s="1149"/>
      <c r="F647" s="1149"/>
      <c r="G647" s="1149"/>
      <c r="H647" s="1150"/>
      <c r="I647" s="1151"/>
      <c r="J647" s="1149"/>
      <c r="K647" s="1152"/>
      <c r="L647" s="1152"/>
      <c r="M647" s="1149"/>
      <c r="N647" s="1149"/>
      <c r="O647" s="1149"/>
    </row>
    <row r="648" ht="40.5" customHeight="1">
      <c r="A648" s="1139"/>
      <c r="B648" s="1140"/>
      <c r="C648" s="1141"/>
      <c r="D648" s="1142"/>
      <c r="E648" s="1143"/>
      <c r="F648" s="1143"/>
      <c r="G648" s="1143"/>
      <c r="H648" s="1144"/>
      <c r="I648" s="1145"/>
      <c r="J648" s="1143"/>
      <c r="K648" s="1146"/>
      <c r="L648" s="1146"/>
      <c r="M648" s="1143"/>
      <c r="N648" s="1143"/>
      <c r="O648" s="1143"/>
    </row>
    <row r="649" ht="40.5" customHeight="1">
      <c r="A649" s="1147"/>
      <c r="B649" s="1140"/>
      <c r="C649" s="1148"/>
      <c r="D649" s="1142"/>
      <c r="E649" s="1149"/>
      <c r="F649" s="1149"/>
      <c r="G649" s="1149"/>
      <c r="H649" s="1150"/>
      <c r="I649" s="1151"/>
      <c r="J649" s="1149"/>
      <c r="K649" s="1152"/>
      <c r="L649" s="1152"/>
      <c r="M649" s="1149"/>
      <c r="N649" s="1149"/>
      <c r="O649" s="1149"/>
    </row>
    <row r="650" ht="40.5" customHeight="1">
      <c r="A650" s="1139"/>
      <c r="B650" s="1140"/>
      <c r="C650" s="1141"/>
      <c r="D650" s="1142"/>
      <c r="E650" s="1143"/>
      <c r="F650" s="1143"/>
      <c r="G650" s="1143"/>
      <c r="H650" s="1144"/>
      <c r="I650" s="1145"/>
      <c r="J650" s="1143"/>
      <c r="K650" s="1146"/>
      <c r="L650" s="1146"/>
      <c r="M650" s="1143"/>
      <c r="N650" s="1143"/>
      <c r="O650" s="1143"/>
    </row>
    <row r="651" ht="40.5" customHeight="1">
      <c r="A651" s="1147"/>
      <c r="B651" s="1140"/>
      <c r="C651" s="1148"/>
      <c r="D651" s="1142"/>
      <c r="E651" s="1149"/>
      <c r="F651" s="1149"/>
      <c r="G651" s="1149"/>
      <c r="H651" s="1150"/>
      <c r="I651" s="1151"/>
      <c r="J651" s="1149"/>
      <c r="K651" s="1152"/>
      <c r="L651" s="1152"/>
      <c r="M651" s="1149"/>
      <c r="N651" s="1149"/>
      <c r="O651" s="1149"/>
    </row>
    <row r="652" ht="40.5" customHeight="1">
      <c r="A652" s="1139"/>
      <c r="B652" s="1140"/>
      <c r="C652" s="1141"/>
      <c r="D652" s="1142"/>
      <c r="E652" s="1143"/>
      <c r="F652" s="1143"/>
      <c r="G652" s="1143"/>
      <c r="H652" s="1144"/>
      <c r="I652" s="1145"/>
      <c r="J652" s="1143"/>
      <c r="K652" s="1146"/>
      <c r="L652" s="1146"/>
      <c r="M652" s="1143"/>
      <c r="N652" s="1143"/>
      <c r="O652" s="1143"/>
    </row>
    <row r="653" ht="40.5" customHeight="1">
      <c r="A653" s="1147"/>
      <c r="B653" s="1140"/>
      <c r="C653" s="1148"/>
      <c r="D653" s="1142"/>
      <c r="E653" s="1149"/>
      <c r="F653" s="1149"/>
      <c r="G653" s="1149"/>
      <c r="H653" s="1150"/>
      <c r="I653" s="1151"/>
      <c r="J653" s="1149"/>
      <c r="K653" s="1152"/>
      <c r="L653" s="1152"/>
      <c r="M653" s="1149"/>
      <c r="N653" s="1149"/>
      <c r="O653" s="1149"/>
    </row>
    <row r="654" ht="40.5" customHeight="1">
      <c r="A654" s="1139"/>
      <c r="B654" s="1140"/>
      <c r="C654" s="1141"/>
      <c r="D654" s="1142"/>
      <c r="E654" s="1143"/>
      <c r="F654" s="1143"/>
      <c r="G654" s="1143"/>
      <c r="H654" s="1144"/>
      <c r="I654" s="1145"/>
      <c r="J654" s="1143"/>
      <c r="K654" s="1146"/>
      <c r="L654" s="1146"/>
      <c r="M654" s="1143"/>
      <c r="N654" s="1143"/>
      <c r="O654" s="1143"/>
    </row>
    <row r="655" ht="40.5" customHeight="1">
      <c r="A655" s="1147"/>
      <c r="B655" s="1140"/>
      <c r="C655" s="1148"/>
      <c r="D655" s="1142"/>
      <c r="E655" s="1149"/>
      <c r="F655" s="1149"/>
      <c r="G655" s="1149"/>
      <c r="H655" s="1150"/>
      <c r="I655" s="1151"/>
      <c r="J655" s="1149"/>
      <c r="K655" s="1152"/>
      <c r="L655" s="1152"/>
      <c r="M655" s="1149"/>
      <c r="N655" s="1149"/>
      <c r="O655" s="1149"/>
    </row>
    <row r="656" ht="40.5" customHeight="1">
      <c r="A656" s="1139"/>
      <c r="B656" s="1140"/>
      <c r="C656" s="1141"/>
      <c r="D656" s="1142"/>
      <c r="E656" s="1143"/>
      <c r="F656" s="1143"/>
      <c r="G656" s="1143"/>
      <c r="H656" s="1144"/>
      <c r="I656" s="1145"/>
      <c r="J656" s="1143"/>
      <c r="K656" s="1146"/>
      <c r="L656" s="1146"/>
      <c r="M656" s="1143"/>
      <c r="N656" s="1143"/>
      <c r="O656" s="1143"/>
    </row>
    <row r="657" ht="40.5" customHeight="1">
      <c r="A657" s="1147"/>
      <c r="B657" s="1140"/>
      <c r="C657" s="1148"/>
      <c r="D657" s="1142"/>
      <c r="E657" s="1149"/>
      <c r="F657" s="1149"/>
      <c r="G657" s="1149"/>
      <c r="H657" s="1150"/>
      <c r="I657" s="1151"/>
      <c r="J657" s="1149"/>
      <c r="K657" s="1152"/>
      <c r="L657" s="1152"/>
      <c r="M657" s="1149"/>
      <c r="N657" s="1149"/>
      <c r="O657" s="1149"/>
    </row>
    <row r="658" ht="40.5" customHeight="1">
      <c r="A658" s="1139"/>
      <c r="B658" s="1140"/>
      <c r="C658" s="1141"/>
      <c r="D658" s="1142"/>
      <c r="E658" s="1143"/>
      <c r="F658" s="1143"/>
      <c r="G658" s="1143"/>
      <c r="H658" s="1144"/>
      <c r="I658" s="1145"/>
      <c r="J658" s="1143"/>
      <c r="K658" s="1146"/>
      <c r="L658" s="1146"/>
      <c r="M658" s="1143"/>
      <c r="N658" s="1143"/>
      <c r="O658" s="1143"/>
    </row>
    <row r="659" ht="40.5" customHeight="1">
      <c r="A659" s="1147"/>
      <c r="B659" s="1140"/>
      <c r="C659" s="1148"/>
      <c r="D659" s="1142"/>
      <c r="E659" s="1149"/>
      <c r="F659" s="1149"/>
      <c r="G659" s="1149"/>
      <c r="H659" s="1150"/>
      <c r="I659" s="1151"/>
      <c r="J659" s="1149"/>
      <c r="K659" s="1152"/>
      <c r="L659" s="1152"/>
      <c r="M659" s="1149"/>
      <c r="N659" s="1149"/>
      <c r="O659" s="1149"/>
    </row>
    <row r="660" ht="40.5" customHeight="1">
      <c r="A660" s="1139"/>
      <c r="B660" s="1140"/>
      <c r="C660" s="1141"/>
      <c r="D660" s="1142"/>
      <c r="E660" s="1143"/>
      <c r="F660" s="1143"/>
      <c r="G660" s="1143"/>
      <c r="H660" s="1144"/>
      <c r="I660" s="1145"/>
      <c r="J660" s="1143"/>
      <c r="K660" s="1146"/>
      <c r="L660" s="1146"/>
      <c r="M660" s="1143"/>
      <c r="N660" s="1143"/>
      <c r="O660" s="1143"/>
    </row>
    <row r="661" ht="40.5" customHeight="1">
      <c r="A661" s="1147"/>
      <c r="B661" s="1140"/>
      <c r="C661" s="1148"/>
      <c r="D661" s="1142"/>
      <c r="E661" s="1149"/>
      <c r="F661" s="1149"/>
      <c r="G661" s="1149"/>
      <c r="H661" s="1150"/>
      <c r="I661" s="1151"/>
      <c r="J661" s="1149"/>
      <c r="K661" s="1152"/>
      <c r="L661" s="1152"/>
      <c r="M661" s="1149"/>
      <c r="N661" s="1149"/>
      <c r="O661" s="1149"/>
    </row>
    <row r="662" ht="40.5" customHeight="1">
      <c r="A662" s="1139"/>
      <c r="B662" s="1140"/>
      <c r="C662" s="1141"/>
      <c r="D662" s="1142"/>
      <c r="E662" s="1143"/>
      <c r="F662" s="1143"/>
      <c r="G662" s="1143"/>
      <c r="H662" s="1144"/>
      <c r="I662" s="1145"/>
      <c r="J662" s="1143"/>
      <c r="K662" s="1146"/>
      <c r="L662" s="1146"/>
      <c r="M662" s="1143"/>
      <c r="N662" s="1143"/>
      <c r="O662" s="1143"/>
    </row>
    <row r="663" ht="40.5" customHeight="1">
      <c r="A663" s="1147"/>
      <c r="B663" s="1140"/>
      <c r="C663" s="1148"/>
      <c r="D663" s="1142"/>
      <c r="E663" s="1149"/>
      <c r="F663" s="1149"/>
      <c r="G663" s="1149"/>
      <c r="H663" s="1150"/>
      <c r="I663" s="1151"/>
      <c r="J663" s="1149"/>
      <c r="K663" s="1152"/>
      <c r="L663" s="1152"/>
      <c r="M663" s="1149"/>
      <c r="N663" s="1149"/>
      <c r="O663" s="1149"/>
    </row>
    <row r="664" ht="40.5" customHeight="1">
      <c r="A664" s="1139"/>
      <c r="B664" s="1140"/>
      <c r="C664" s="1141"/>
      <c r="D664" s="1142"/>
      <c r="E664" s="1143"/>
      <c r="F664" s="1143"/>
      <c r="G664" s="1143"/>
      <c r="H664" s="1144"/>
      <c r="I664" s="1145"/>
      <c r="J664" s="1143"/>
      <c r="K664" s="1146"/>
      <c r="L664" s="1146"/>
      <c r="M664" s="1143"/>
      <c r="N664" s="1143"/>
      <c r="O664" s="1143"/>
    </row>
    <row r="665" ht="40.5" customHeight="1">
      <c r="A665" s="1147"/>
      <c r="B665" s="1140"/>
      <c r="C665" s="1148"/>
      <c r="D665" s="1142"/>
      <c r="E665" s="1149"/>
      <c r="F665" s="1149"/>
      <c r="G665" s="1149"/>
      <c r="H665" s="1150"/>
      <c r="I665" s="1151"/>
      <c r="J665" s="1149"/>
      <c r="K665" s="1152"/>
      <c r="L665" s="1152"/>
      <c r="M665" s="1149"/>
      <c r="N665" s="1149"/>
      <c r="O665" s="1149"/>
    </row>
    <row r="666" ht="40.5" customHeight="1">
      <c r="A666" s="1139"/>
      <c r="B666" s="1140"/>
      <c r="C666" s="1141"/>
      <c r="D666" s="1142"/>
      <c r="E666" s="1143"/>
      <c r="F666" s="1143"/>
      <c r="G666" s="1143"/>
      <c r="H666" s="1144"/>
      <c r="I666" s="1145"/>
      <c r="J666" s="1143"/>
      <c r="K666" s="1146"/>
      <c r="L666" s="1146"/>
      <c r="M666" s="1143"/>
      <c r="N666" s="1143"/>
      <c r="O666" s="1143"/>
    </row>
    <row r="667" ht="40.5" customHeight="1">
      <c r="A667" s="1147"/>
      <c r="B667" s="1140"/>
      <c r="C667" s="1148"/>
      <c r="D667" s="1142"/>
      <c r="E667" s="1149"/>
      <c r="F667" s="1149"/>
      <c r="G667" s="1149"/>
      <c r="H667" s="1150"/>
      <c r="I667" s="1151"/>
      <c r="J667" s="1149"/>
      <c r="K667" s="1152"/>
      <c r="L667" s="1152"/>
      <c r="M667" s="1149"/>
      <c r="N667" s="1149"/>
      <c r="O667" s="1149"/>
    </row>
    <row r="668" ht="40.5" customHeight="1">
      <c r="A668" s="1139"/>
      <c r="B668" s="1140"/>
      <c r="C668" s="1141"/>
      <c r="D668" s="1142"/>
      <c r="E668" s="1143"/>
      <c r="F668" s="1143"/>
      <c r="G668" s="1143"/>
      <c r="H668" s="1144"/>
      <c r="I668" s="1145"/>
      <c r="J668" s="1143"/>
      <c r="K668" s="1146"/>
      <c r="L668" s="1146"/>
      <c r="M668" s="1143"/>
      <c r="N668" s="1143"/>
      <c r="O668" s="1143"/>
    </row>
    <row r="669" ht="40.5" customHeight="1">
      <c r="A669" s="1147"/>
      <c r="B669" s="1140"/>
      <c r="C669" s="1148"/>
      <c r="D669" s="1142"/>
      <c r="E669" s="1149"/>
      <c r="F669" s="1149"/>
      <c r="G669" s="1149"/>
      <c r="H669" s="1150"/>
      <c r="I669" s="1151"/>
      <c r="J669" s="1149"/>
      <c r="K669" s="1152"/>
      <c r="L669" s="1152"/>
      <c r="M669" s="1149"/>
      <c r="N669" s="1149"/>
      <c r="O669" s="1149"/>
    </row>
    <row r="670" ht="40.5" customHeight="1">
      <c r="A670" s="1139"/>
      <c r="B670" s="1140"/>
      <c r="C670" s="1141"/>
      <c r="D670" s="1142"/>
      <c r="E670" s="1143"/>
      <c r="F670" s="1143"/>
      <c r="G670" s="1143"/>
      <c r="H670" s="1144"/>
      <c r="I670" s="1145"/>
      <c r="J670" s="1143"/>
      <c r="K670" s="1146"/>
      <c r="L670" s="1146"/>
      <c r="M670" s="1143"/>
      <c r="N670" s="1143"/>
      <c r="O670" s="1143"/>
    </row>
    <row r="671" ht="40.5" customHeight="1">
      <c r="A671" s="1147"/>
      <c r="B671" s="1140"/>
      <c r="C671" s="1148"/>
      <c r="D671" s="1142"/>
      <c r="E671" s="1149"/>
      <c r="F671" s="1149"/>
      <c r="G671" s="1149"/>
      <c r="H671" s="1150"/>
      <c r="I671" s="1151"/>
      <c r="J671" s="1149"/>
      <c r="K671" s="1152"/>
      <c r="L671" s="1152"/>
      <c r="M671" s="1149"/>
      <c r="N671" s="1149"/>
      <c r="O671" s="1149"/>
    </row>
    <row r="672" ht="40.5" customHeight="1">
      <c r="A672" s="1139"/>
      <c r="B672" s="1140"/>
      <c r="C672" s="1141"/>
      <c r="D672" s="1142"/>
      <c r="E672" s="1143"/>
      <c r="F672" s="1143"/>
      <c r="G672" s="1143"/>
      <c r="H672" s="1144"/>
      <c r="I672" s="1145"/>
      <c r="J672" s="1143"/>
      <c r="K672" s="1146"/>
      <c r="L672" s="1146"/>
      <c r="M672" s="1143"/>
      <c r="N672" s="1143"/>
      <c r="O672" s="1143"/>
    </row>
    <row r="673" ht="40.5" customHeight="1">
      <c r="A673" s="1147"/>
      <c r="B673" s="1140"/>
      <c r="C673" s="1148"/>
      <c r="D673" s="1142"/>
      <c r="E673" s="1149"/>
      <c r="F673" s="1149"/>
      <c r="G673" s="1149"/>
      <c r="H673" s="1150"/>
      <c r="I673" s="1151"/>
      <c r="J673" s="1149"/>
      <c r="K673" s="1152"/>
      <c r="L673" s="1152"/>
      <c r="M673" s="1149"/>
      <c r="N673" s="1149"/>
      <c r="O673" s="1149"/>
    </row>
    <row r="674" ht="40.5" customHeight="1">
      <c r="A674" s="1139"/>
      <c r="B674" s="1140"/>
      <c r="C674" s="1141"/>
      <c r="D674" s="1142"/>
      <c r="E674" s="1143"/>
      <c r="F674" s="1143"/>
      <c r="G674" s="1143"/>
      <c r="H674" s="1144"/>
      <c r="I674" s="1145"/>
      <c r="J674" s="1143"/>
      <c r="K674" s="1146"/>
      <c r="L674" s="1146"/>
      <c r="M674" s="1143"/>
      <c r="N674" s="1143"/>
      <c r="O674" s="1143"/>
    </row>
    <row r="675" ht="40.5" customHeight="1">
      <c r="A675" s="1147"/>
      <c r="B675" s="1140"/>
      <c r="C675" s="1148"/>
      <c r="D675" s="1142"/>
      <c r="E675" s="1149"/>
      <c r="F675" s="1149"/>
      <c r="G675" s="1149"/>
      <c r="H675" s="1150"/>
      <c r="I675" s="1151"/>
      <c r="J675" s="1149"/>
      <c r="K675" s="1152"/>
      <c r="L675" s="1152"/>
      <c r="M675" s="1149"/>
      <c r="N675" s="1149"/>
      <c r="O675" s="1149"/>
    </row>
    <row r="676" ht="40.5" customHeight="1">
      <c r="A676" s="1139"/>
      <c r="B676" s="1140"/>
      <c r="C676" s="1141"/>
      <c r="D676" s="1142"/>
      <c r="E676" s="1143"/>
      <c r="F676" s="1143"/>
      <c r="G676" s="1143"/>
      <c r="H676" s="1144"/>
      <c r="I676" s="1145"/>
      <c r="J676" s="1143"/>
      <c r="K676" s="1146"/>
      <c r="L676" s="1146"/>
      <c r="M676" s="1143"/>
      <c r="N676" s="1143"/>
      <c r="O676" s="1143"/>
    </row>
    <row r="677" ht="40.5" customHeight="1">
      <c r="A677" s="1147"/>
      <c r="B677" s="1140"/>
      <c r="C677" s="1148"/>
      <c r="D677" s="1142"/>
      <c r="E677" s="1149"/>
      <c r="F677" s="1149"/>
      <c r="G677" s="1149"/>
      <c r="H677" s="1150"/>
      <c r="I677" s="1151"/>
      <c r="J677" s="1149"/>
      <c r="K677" s="1152"/>
      <c r="L677" s="1152"/>
      <c r="M677" s="1149"/>
      <c r="N677" s="1149"/>
      <c r="O677" s="1149"/>
    </row>
    <row r="678" ht="40.5" customHeight="1">
      <c r="A678" s="1139"/>
      <c r="B678" s="1140"/>
      <c r="C678" s="1141"/>
      <c r="D678" s="1142"/>
      <c r="E678" s="1143"/>
      <c r="F678" s="1143"/>
      <c r="G678" s="1143"/>
      <c r="H678" s="1144"/>
      <c r="I678" s="1145"/>
      <c r="J678" s="1143"/>
      <c r="K678" s="1146"/>
      <c r="L678" s="1146"/>
      <c r="M678" s="1143"/>
      <c r="N678" s="1143"/>
      <c r="O678" s="1143"/>
    </row>
    <row r="679" ht="40.5" customHeight="1">
      <c r="A679" s="1147"/>
      <c r="B679" s="1140"/>
      <c r="C679" s="1148"/>
      <c r="D679" s="1142"/>
      <c r="E679" s="1149"/>
      <c r="F679" s="1149"/>
      <c r="G679" s="1149"/>
      <c r="H679" s="1150"/>
      <c r="I679" s="1151"/>
      <c r="J679" s="1149"/>
      <c r="K679" s="1152"/>
      <c r="L679" s="1152"/>
      <c r="M679" s="1149"/>
      <c r="N679" s="1149"/>
      <c r="O679" s="1149"/>
    </row>
    <row r="680" ht="40.5" customHeight="1">
      <c r="A680" s="1139"/>
      <c r="B680" s="1140"/>
      <c r="C680" s="1141"/>
      <c r="D680" s="1142"/>
      <c r="E680" s="1143"/>
      <c r="F680" s="1143"/>
      <c r="G680" s="1143"/>
      <c r="H680" s="1144"/>
      <c r="I680" s="1145"/>
      <c r="J680" s="1143"/>
      <c r="K680" s="1146"/>
      <c r="L680" s="1146"/>
      <c r="M680" s="1143"/>
      <c r="N680" s="1143"/>
      <c r="O680" s="1143"/>
    </row>
    <row r="681" ht="40.5" customHeight="1">
      <c r="A681" s="1147"/>
      <c r="B681" s="1140"/>
      <c r="C681" s="1148"/>
      <c r="D681" s="1142"/>
      <c r="E681" s="1149"/>
      <c r="F681" s="1149"/>
      <c r="G681" s="1149"/>
      <c r="H681" s="1150"/>
      <c r="I681" s="1151"/>
      <c r="J681" s="1149"/>
      <c r="K681" s="1152"/>
      <c r="L681" s="1152"/>
      <c r="M681" s="1149"/>
      <c r="N681" s="1149"/>
      <c r="O681" s="1149"/>
    </row>
    <row r="682" ht="40.5" customHeight="1">
      <c r="A682" s="1139"/>
      <c r="B682" s="1140"/>
      <c r="C682" s="1141"/>
      <c r="D682" s="1142"/>
      <c r="E682" s="1143"/>
      <c r="F682" s="1143"/>
      <c r="G682" s="1143"/>
      <c r="H682" s="1144"/>
      <c r="I682" s="1145"/>
      <c r="J682" s="1143"/>
      <c r="K682" s="1146"/>
      <c r="L682" s="1146"/>
      <c r="M682" s="1143"/>
      <c r="N682" s="1143"/>
      <c r="O682" s="1143"/>
    </row>
    <row r="683" ht="40.5" customHeight="1">
      <c r="A683" s="1147"/>
      <c r="B683" s="1140"/>
      <c r="C683" s="1148"/>
      <c r="D683" s="1142"/>
      <c r="E683" s="1149"/>
      <c r="F683" s="1149"/>
      <c r="G683" s="1149"/>
      <c r="H683" s="1150"/>
      <c r="I683" s="1151"/>
      <c r="J683" s="1149"/>
      <c r="K683" s="1152"/>
      <c r="L683" s="1152"/>
      <c r="M683" s="1149"/>
      <c r="N683" s="1149"/>
      <c r="O683" s="1149"/>
    </row>
    <row r="684" ht="40.5" customHeight="1">
      <c r="A684" s="1139"/>
      <c r="B684" s="1140"/>
      <c r="C684" s="1141"/>
      <c r="D684" s="1142"/>
      <c r="E684" s="1143"/>
      <c r="F684" s="1143"/>
      <c r="G684" s="1143"/>
      <c r="H684" s="1144"/>
      <c r="I684" s="1145"/>
      <c r="J684" s="1143"/>
      <c r="K684" s="1146"/>
      <c r="L684" s="1146"/>
      <c r="M684" s="1143"/>
      <c r="N684" s="1143"/>
      <c r="O684" s="1143"/>
    </row>
    <row r="685" ht="40.5" customHeight="1">
      <c r="A685" s="1147"/>
      <c r="B685" s="1140"/>
      <c r="C685" s="1148"/>
      <c r="D685" s="1142"/>
      <c r="E685" s="1149"/>
      <c r="F685" s="1149"/>
      <c r="G685" s="1149"/>
      <c r="H685" s="1150"/>
      <c r="I685" s="1151"/>
      <c r="J685" s="1149"/>
      <c r="K685" s="1152"/>
      <c r="L685" s="1152"/>
      <c r="M685" s="1149"/>
      <c r="N685" s="1149"/>
      <c r="O685" s="1149"/>
    </row>
    <row r="686" ht="40.5" customHeight="1">
      <c r="A686" s="1139"/>
      <c r="B686" s="1140"/>
      <c r="C686" s="1141"/>
      <c r="D686" s="1142"/>
      <c r="E686" s="1143"/>
      <c r="F686" s="1143"/>
      <c r="G686" s="1143"/>
      <c r="H686" s="1144"/>
      <c r="I686" s="1145"/>
      <c r="J686" s="1143"/>
      <c r="K686" s="1146"/>
      <c r="L686" s="1146"/>
      <c r="M686" s="1143"/>
      <c r="N686" s="1143"/>
      <c r="O686" s="1143"/>
    </row>
    <row r="687" ht="40.5" customHeight="1">
      <c r="A687" s="1147"/>
      <c r="B687" s="1140"/>
      <c r="C687" s="1148"/>
      <c r="D687" s="1142"/>
      <c r="E687" s="1149"/>
      <c r="F687" s="1149"/>
      <c r="G687" s="1149"/>
      <c r="H687" s="1150"/>
      <c r="I687" s="1151"/>
      <c r="J687" s="1149"/>
      <c r="K687" s="1152"/>
      <c r="L687" s="1152"/>
      <c r="M687" s="1149"/>
      <c r="N687" s="1149"/>
      <c r="O687" s="1149"/>
    </row>
    <row r="688" ht="40.5" customHeight="1">
      <c r="A688" s="1139"/>
      <c r="B688" s="1140"/>
      <c r="C688" s="1141"/>
      <c r="D688" s="1142"/>
      <c r="E688" s="1143"/>
      <c r="F688" s="1143"/>
      <c r="G688" s="1143"/>
      <c r="H688" s="1144"/>
      <c r="I688" s="1145"/>
      <c r="J688" s="1143"/>
      <c r="K688" s="1146"/>
      <c r="L688" s="1146"/>
      <c r="M688" s="1143"/>
      <c r="N688" s="1143"/>
      <c r="O688" s="1143"/>
    </row>
    <row r="689" ht="40.5" customHeight="1">
      <c r="A689" s="1147"/>
      <c r="B689" s="1140"/>
      <c r="C689" s="1148"/>
      <c r="D689" s="1142"/>
      <c r="E689" s="1149"/>
      <c r="F689" s="1149"/>
      <c r="G689" s="1149"/>
      <c r="H689" s="1150"/>
      <c r="I689" s="1151"/>
      <c r="J689" s="1149"/>
      <c r="K689" s="1152"/>
      <c r="L689" s="1152"/>
      <c r="M689" s="1149"/>
      <c r="N689" s="1149"/>
      <c r="O689" s="1149"/>
    </row>
    <row r="690" ht="40.5" customHeight="1">
      <c r="A690" s="1139"/>
      <c r="B690" s="1140"/>
      <c r="C690" s="1141"/>
      <c r="D690" s="1142"/>
      <c r="E690" s="1143"/>
      <c r="F690" s="1143"/>
      <c r="G690" s="1143"/>
      <c r="H690" s="1144"/>
      <c r="I690" s="1145"/>
      <c r="J690" s="1143"/>
      <c r="K690" s="1146"/>
      <c r="L690" s="1146"/>
      <c r="M690" s="1143"/>
      <c r="N690" s="1143"/>
      <c r="O690" s="1143"/>
    </row>
    <row r="691" ht="40.5" customHeight="1">
      <c r="A691" s="1147"/>
      <c r="B691" s="1140"/>
      <c r="C691" s="1148"/>
      <c r="D691" s="1142"/>
      <c r="E691" s="1149"/>
      <c r="F691" s="1149"/>
      <c r="G691" s="1149"/>
      <c r="H691" s="1150"/>
      <c r="I691" s="1151"/>
      <c r="J691" s="1149"/>
      <c r="K691" s="1152"/>
      <c r="L691" s="1152"/>
      <c r="M691" s="1149"/>
      <c r="N691" s="1149"/>
      <c r="O691" s="1149"/>
    </row>
    <row r="692" ht="40.5" customHeight="1">
      <c r="A692" s="1139"/>
      <c r="B692" s="1140"/>
      <c r="C692" s="1141"/>
      <c r="D692" s="1142"/>
      <c r="E692" s="1143"/>
      <c r="F692" s="1143"/>
      <c r="G692" s="1143"/>
      <c r="H692" s="1144"/>
      <c r="I692" s="1145"/>
      <c r="J692" s="1143"/>
      <c r="K692" s="1146"/>
      <c r="L692" s="1146"/>
      <c r="M692" s="1143"/>
      <c r="N692" s="1143"/>
      <c r="O692" s="1143"/>
    </row>
    <row r="693" ht="40.5" customHeight="1">
      <c r="A693" s="1147"/>
      <c r="B693" s="1140"/>
      <c r="C693" s="1148"/>
      <c r="D693" s="1142"/>
      <c r="E693" s="1149"/>
      <c r="F693" s="1149"/>
      <c r="G693" s="1149"/>
      <c r="H693" s="1150"/>
      <c r="I693" s="1151"/>
      <c r="J693" s="1149"/>
      <c r="K693" s="1152"/>
      <c r="L693" s="1152"/>
      <c r="M693" s="1149"/>
      <c r="N693" s="1149"/>
      <c r="O693" s="1149"/>
    </row>
    <row r="694" ht="40.5" customHeight="1">
      <c r="A694" s="1139"/>
      <c r="B694" s="1140"/>
      <c r="C694" s="1141"/>
      <c r="D694" s="1142"/>
      <c r="E694" s="1143"/>
      <c r="F694" s="1143"/>
      <c r="G694" s="1143"/>
      <c r="H694" s="1144"/>
      <c r="I694" s="1145"/>
      <c r="J694" s="1143"/>
      <c r="K694" s="1146"/>
      <c r="L694" s="1146"/>
      <c r="M694" s="1143"/>
      <c r="N694" s="1143"/>
      <c r="O694" s="1143"/>
    </row>
    <row r="695" ht="40.5" customHeight="1">
      <c r="A695" s="1147"/>
      <c r="B695" s="1140"/>
      <c r="C695" s="1148"/>
      <c r="D695" s="1142"/>
      <c r="E695" s="1149"/>
      <c r="F695" s="1149"/>
      <c r="G695" s="1149"/>
      <c r="H695" s="1150"/>
      <c r="I695" s="1151"/>
      <c r="J695" s="1149"/>
      <c r="K695" s="1152"/>
      <c r="L695" s="1152"/>
      <c r="M695" s="1149"/>
      <c r="N695" s="1149"/>
      <c r="O695" s="1149"/>
    </row>
    <row r="696" ht="40.5" customHeight="1">
      <c r="A696" s="1139"/>
      <c r="B696" s="1140"/>
      <c r="C696" s="1141"/>
      <c r="D696" s="1142"/>
      <c r="E696" s="1143"/>
      <c r="F696" s="1143"/>
      <c r="G696" s="1143"/>
      <c r="H696" s="1144"/>
      <c r="I696" s="1145"/>
      <c r="J696" s="1143"/>
      <c r="K696" s="1146"/>
      <c r="L696" s="1146"/>
      <c r="M696" s="1143"/>
      <c r="N696" s="1143"/>
      <c r="O696" s="1143"/>
    </row>
    <row r="697" ht="40.5" customHeight="1">
      <c r="A697" s="1147"/>
      <c r="B697" s="1140"/>
      <c r="C697" s="1148"/>
      <c r="D697" s="1142"/>
      <c r="E697" s="1149"/>
      <c r="F697" s="1149"/>
      <c r="G697" s="1149"/>
      <c r="H697" s="1150"/>
      <c r="I697" s="1151"/>
      <c r="J697" s="1149"/>
      <c r="K697" s="1152"/>
      <c r="L697" s="1152"/>
      <c r="M697" s="1149"/>
      <c r="N697" s="1149"/>
      <c r="O697" s="1149"/>
    </row>
    <row r="698" ht="40.5" customHeight="1">
      <c r="A698" s="1139"/>
      <c r="B698" s="1140"/>
      <c r="C698" s="1141"/>
      <c r="D698" s="1142"/>
      <c r="E698" s="1143"/>
      <c r="F698" s="1143"/>
      <c r="G698" s="1143"/>
      <c r="H698" s="1144"/>
      <c r="I698" s="1145"/>
      <c r="J698" s="1143"/>
      <c r="K698" s="1146"/>
      <c r="L698" s="1146"/>
      <c r="M698" s="1143"/>
      <c r="N698" s="1143"/>
      <c r="O698" s="1143"/>
    </row>
    <row r="699" ht="40.5" customHeight="1">
      <c r="A699" s="1147"/>
      <c r="B699" s="1140"/>
      <c r="C699" s="1148"/>
      <c r="D699" s="1142"/>
      <c r="E699" s="1149"/>
      <c r="F699" s="1149"/>
      <c r="G699" s="1149"/>
      <c r="H699" s="1150"/>
      <c r="I699" s="1151"/>
      <c r="J699" s="1149"/>
      <c r="K699" s="1152"/>
      <c r="L699" s="1152"/>
      <c r="M699" s="1149"/>
      <c r="N699" s="1149"/>
      <c r="O699" s="1149"/>
    </row>
    <row r="700" ht="40.5" customHeight="1">
      <c r="A700" s="1139"/>
      <c r="B700" s="1140"/>
      <c r="C700" s="1141"/>
      <c r="D700" s="1142"/>
      <c r="E700" s="1143"/>
      <c r="F700" s="1143"/>
      <c r="G700" s="1143"/>
      <c r="H700" s="1144"/>
      <c r="I700" s="1145"/>
      <c r="J700" s="1143"/>
      <c r="K700" s="1146"/>
      <c r="L700" s="1146"/>
      <c r="M700" s="1143"/>
      <c r="N700" s="1143"/>
      <c r="O700" s="1143"/>
    </row>
    <row r="701" ht="40.5" customHeight="1">
      <c r="A701" s="1147"/>
      <c r="B701" s="1140"/>
      <c r="C701" s="1148"/>
      <c r="D701" s="1142"/>
      <c r="E701" s="1149"/>
      <c r="F701" s="1149"/>
      <c r="G701" s="1149"/>
      <c r="H701" s="1150"/>
      <c r="I701" s="1151"/>
      <c r="J701" s="1149"/>
      <c r="K701" s="1152"/>
      <c r="L701" s="1152"/>
      <c r="M701" s="1149"/>
      <c r="N701" s="1149"/>
      <c r="O701" s="1149"/>
    </row>
    <row r="702" ht="40.5" customHeight="1">
      <c r="A702" s="1139"/>
      <c r="B702" s="1140"/>
      <c r="C702" s="1141"/>
      <c r="D702" s="1142"/>
      <c r="E702" s="1143"/>
      <c r="F702" s="1143"/>
      <c r="G702" s="1143"/>
      <c r="H702" s="1144"/>
      <c r="I702" s="1145"/>
      <c r="J702" s="1143"/>
      <c r="K702" s="1146"/>
      <c r="L702" s="1146"/>
      <c r="M702" s="1143"/>
      <c r="N702" s="1143"/>
      <c r="O702" s="1143"/>
    </row>
    <row r="703" ht="40.5" customHeight="1">
      <c r="A703" s="1147"/>
      <c r="B703" s="1140"/>
      <c r="C703" s="1148"/>
      <c r="D703" s="1142"/>
      <c r="E703" s="1149"/>
      <c r="F703" s="1149"/>
      <c r="G703" s="1149"/>
      <c r="H703" s="1150"/>
      <c r="I703" s="1151"/>
      <c r="J703" s="1149"/>
      <c r="K703" s="1152"/>
      <c r="L703" s="1152"/>
      <c r="M703" s="1149"/>
      <c r="N703" s="1149"/>
      <c r="O703" s="1149"/>
    </row>
    <row r="704" ht="40.5" customHeight="1">
      <c r="A704" s="1139"/>
      <c r="B704" s="1140"/>
      <c r="C704" s="1141"/>
      <c r="D704" s="1142"/>
      <c r="E704" s="1143"/>
      <c r="F704" s="1143"/>
      <c r="G704" s="1143"/>
      <c r="H704" s="1144"/>
      <c r="I704" s="1145"/>
      <c r="J704" s="1143"/>
      <c r="K704" s="1146"/>
      <c r="L704" s="1146"/>
      <c r="M704" s="1143"/>
      <c r="N704" s="1143"/>
      <c r="O704" s="1143"/>
    </row>
    <row r="705" ht="40.5" customHeight="1">
      <c r="A705" s="1147"/>
      <c r="B705" s="1140"/>
      <c r="C705" s="1148"/>
      <c r="D705" s="1142"/>
      <c r="E705" s="1149"/>
      <c r="F705" s="1149"/>
      <c r="G705" s="1149"/>
      <c r="H705" s="1150"/>
      <c r="I705" s="1151"/>
      <c r="J705" s="1149"/>
      <c r="K705" s="1152"/>
      <c r="L705" s="1152"/>
      <c r="M705" s="1149"/>
      <c r="N705" s="1149"/>
      <c r="O705" s="1149"/>
    </row>
    <row r="706" ht="40.5" customHeight="1">
      <c r="A706" s="1139"/>
      <c r="B706" s="1140"/>
      <c r="C706" s="1141"/>
      <c r="D706" s="1142"/>
      <c r="E706" s="1143"/>
      <c r="F706" s="1143"/>
      <c r="G706" s="1143"/>
      <c r="H706" s="1144"/>
      <c r="I706" s="1145"/>
      <c r="J706" s="1143"/>
      <c r="K706" s="1146"/>
      <c r="L706" s="1146"/>
      <c r="M706" s="1143"/>
      <c r="N706" s="1143"/>
      <c r="O706" s="1143"/>
    </row>
    <row r="707" ht="40.5" customHeight="1">
      <c r="A707" s="1147"/>
      <c r="B707" s="1140"/>
      <c r="C707" s="1148"/>
      <c r="D707" s="1142"/>
      <c r="E707" s="1149"/>
      <c r="F707" s="1149"/>
      <c r="G707" s="1149"/>
      <c r="H707" s="1150"/>
      <c r="I707" s="1151"/>
      <c r="J707" s="1149"/>
      <c r="K707" s="1152"/>
      <c r="L707" s="1152"/>
      <c r="M707" s="1149"/>
      <c r="N707" s="1149"/>
      <c r="O707" s="1149"/>
    </row>
    <row r="708" ht="40.5" customHeight="1">
      <c r="A708" s="1139"/>
      <c r="B708" s="1140"/>
      <c r="C708" s="1141"/>
      <c r="D708" s="1142"/>
      <c r="E708" s="1143"/>
      <c r="F708" s="1143"/>
      <c r="G708" s="1143"/>
      <c r="H708" s="1144"/>
      <c r="I708" s="1145"/>
      <c r="J708" s="1143"/>
      <c r="K708" s="1146"/>
      <c r="L708" s="1146"/>
      <c r="M708" s="1143"/>
      <c r="N708" s="1143"/>
      <c r="O708" s="1143"/>
    </row>
    <row r="709" ht="40.5" customHeight="1">
      <c r="A709" s="1147"/>
      <c r="B709" s="1140"/>
      <c r="C709" s="1148"/>
      <c r="D709" s="1142"/>
      <c r="E709" s="1149"/>
      <c r="F709" s="1149"/>
      <c r="G709" s="1149"/>
      <c r="H709" s="1150"/>
      <c r="I709" s="1151"/>
      <c r="J709" s="1149"/>
      <c r="K709" s="1152"/>
      <c r="L709" s="1152"/>
      <c r="M709" s="1149"/>
      <c r="N709" s="1149"/>
      <c r="O709" s="1149"/>
    </row>
    <row r="710" ht="40.5" customHeight="1">
      <c r="A710" s="1139"/>
      <c r="B710" s="1140"/>
      <c r="C710" s="1141"/>
      <c r="D710" s="1142"/>
      <c r="E710" s="1143"/>
      <c r="F710" s="1143"/>
      <c r="G710" s="1143"/>
      <c r="H710" s="1144"/>
      <c r="I710" s="1145"/>
      <c r="J710" s="1143"/>
      <c r="K710" s="1146"/>
      <c r="L710" s="1146"/>
      <c r="M710" s="1143"/>
      <c r="N710" s="1143"/>
      <c r="O710" s="1143"/>
    </row>
    <row r="711" ht="40.5" customHeight="1">
      <c r="A711" s="1147"/>
      <c r="B711" s="1140"/>
      <c r="C711" s="1148"/>
      <c r="D711" s="1142"/>
      <c r="E711" s="1149"/>
      <c r="F711" s="1149"/>
      <c r="G711" s="1149"/>
      <c r="H711" s="1150"/>
      <c r="I711" s="1151"/>
      <c r="J711" s="1149"/>
      <c r="K711" s="1152"/>
      <c r="L711" s="1152"/>
      <c r="M711" s="1149"/>
      <c r="N711" s="1149"/>
      <c r="O711" s="1149"/>
    </row>
    <row r="712" ht="40.5" customHeight="1">
      <c r="A712" s="1139"/>
      <c r="B712" s="1140"/>
      <c r="C712" s="1141"/>
      <c r="D712" s="1142"/>
      <c r="E712" s="1143"/>
      <c r="F712" s="1143"/>
      <c r="G712" s="1143"/>
      <c r="H712" s="1144"/>
      <c r="I712" s="1145"/>
      <c r="J712" s="1143"/>
      <c r="K712" s="1146"/>
      <c r="L712" s="1146"/>
      <c r="M712" s="1143"/>
      <c r="N712" s="1143"/>
      <c r="O712" s="1143"/>
    </row>
    <row r="713" ht="40.5" customHeight="1">
      <c r="A713" s="1147"/>
      <c r="B713" s="1140"/>
      <c r="C713" s="1148"/>
      <c r="D713" s="1142"/>
      <c r="E713" s="1149"/>
      <c r="F713" s="1149"/>
      <c r="G713" s="1149"/>
      <c r="H713" s="1150"/>
      <c r="I713" s="1151"/>
      <c r="J713" s="1149"/>
      <c r="K713" s="1152"/>
      <c r="L713" s="1152"/>
      <c r="M713" s="1149"/>
      <c r="N713" s="1149"/>
      <c r="O713" s="1149"/>
    </row>
    <row r="714" ht="40.5" customHeight="1">
      <c r="A714" s="1139"/>
      <c r="B714" s="1140"/>
      <c r="C714" s="1141"/>
      <c r="D714" s="1142"/>
      <c r="E714" s="1143"/>
      <c r="F714" s="1143"/>
      <c r="G714" s="1143"/>
      <c r="H714" s="1144"/>
      <c r="I714" s="1145"/>
      <c r="J714" s="1143"/>
      <c r="K714" s="1146"/>
      <c r="L714" s="1146"/>
      <c r="M714" s="1143"/>
      <c r="N714" s="1143"/>
      <c r="O714" s="1143"/>
    </row>
    <row r="715" ht="40.5" customHeight="1">
      <c r="A715" s="1147"/>
      <c r="B715" s="1140"/>
      <c r="C715" s="1148"/>
      <c r="D715" s="1142"/>
      <c r="E715" s="1149"/>
      <c r="F715" s="1149"/>
      <c r="G715" s="1149"/>
      <c r="H715" s="1150"/>
      <c r="I715" s="1151"/>
      <c r="J715" s="1149"/>
      <c r="K715" s="1152"/>
      <c r="L715" s="1152"/>
      <c r="M715" s="1149"/>
      <c r="N715" s="1149"/>
      <c r="O715" s="1149"/>
    </row>
    <row r="716" ht="40.5" customHeight="1">
      <c r="A716" s="1139"/>
      <c r="B716" s="1140"/>
      <c r="C716" s="1141"/>
      <c r="D716" s="1142"/>
      <c r="E716" s="1143"/>
      <c r="F716" s="1143"/>
      <c r="G716" s="1143"/>
      <c r="H716" s="1144"/>
      <c r="I716" s="1145"/>
      <c r="J716" s="1143"/>
      <c r="K716" s="1146"/>
      <c r="L716" s="1146"/>
      <c r="M716" s="1143"/>
      <c r="N716" s="1143"/>
      <c r="O716" s="1143"/>
    </row>
    <row r="717" ht="40.5" customHeight="1">
      <c r="A717" s="1147"/>
      <c r="B717" s="1140"/>
      <c r="C717" s="1148"/>
      <c r="D717" s="1142"/>
      <c r="E717" s="1149"/>
      <c r="F717" s="1149"/>
      <c r="G717" s="1149"/>
      <c r="H717" s="1150"/>
      <c r="I717" s="1151"/>
      <c r="J717" s="1149"/>
      <c r="K717" s="1152"/>
      <c r="L717" s="1152"/>
      <c r="M717" s="1149"/>
      <c r="N717" s="1149"/>
      <c r="O717" s="1149"/>
    </row>
    <row r="718" ht="40.5" customHeight="1">
      <c r="A718" s="1139"/>
      <c r="B718" s="1140"/>
      <c r="C718" s="1141"/>
      <c r="D718" s="1142"/>
      <c r="E718" s="1143"/>
      <c r="F718" s="1143"/>
      <c r="G718" s="1143"/>
      <c r="H718" s="1144"/>
      <c r="I718" s="1145"/>
      <c r="J718" s="1143"/>
      <c r="K718" s="1146"/>
      <c r="L718" s="1146"/>
      <c r="M718" s="1143"/>
      <c r="N718" s="1143"/>
      <c r="O718" s="1143"/>
    </row>
    <row r="719" ht="40.5" customHeight="1">
      <c r="A719" s="1147"/>
      <c r="B719" s="1140"/>
      <c r="C719" s="1148"/>
      <c r="D719" s="1142"/>
      <c r="E719" s="1149"/>
      <c r="F719" s="1149"/>
      <c r="G719" s="1149"/>
      <c r="H719" s="1150"/>
      <c r="I719" s="1151"/>
      <c r="J719" s="1149"/>
      <c r="K719" s="1152"/>
      <c r="L719" s="1152"/>
      <c r="M719" s="1149"/>
      <c r="N719" s="1149"/>
      <c r="O719" s="1149"/>
    </row>
    <row r="720" ht="40.5" customHeight="1">
      <c r="A720" s="1139"/>
      <c r="B720" s="1140"/>
      <c r="C720" s="1141"/>
      <c r="D720" s="1142"/>
      <c r="E720" s="1143"/>
      <c r="F720" s="1143"/>
      <c r="G720" s="1143"/>
      <c r="H720" s="1144"/>
      <c r="I720" s="1145"/>
      <c r="J720" s="1143"/>
      <c r="K720" s="1146"/>
      <c r="L720" s="1146"/>
      <c r="M720" s="1143"/>
      <c r="N720" s="1143"/>
      <c r="O720" s="1143"/>
    </row>
    <row r="721" ht="40.5" customHeight="1">
      <c r="A721" s="1147"/>
      <c r="B721" s="1140"/>
      <c r="C721" s="1148"/>
      <c r="D721" s="1142"/>
      <c r="E721" s="1149"/>
      <c r="F721" s="1149"/>
      <c r="G721" s="1149"/>
      <c r="H721" s="1150"/>
      <c r="I721" s="1151"/>
      <c r="J721" s="1149"/>
      <c r="K721" s="1152"/>
      <c r="L721" s="1152"/>
      <c r="M721" s="1149"/>
      <c r="N721" s="1149"/>
      <c r="O721" s="1149"/>
    </row>
    <row r="722" ht="40.5" customHeight="1">
      <c r="A722" s="1139"/>
      <c r="B722" s="1140"/>
      <c r="C722" s="1141"/>
      <c r="D722" s="1142"/>
      <c r="E722" s="1143"/>
      <c r="F722" s="1143"/>
      <c r="G722" s="1143"/>
      <c r="H722" s="1144"/>
      <c r="I722" s="1145"/>
      <c r="J722" s="1143"/>
      <c r="K722" s="1146"/>
      <c r="L722" s="1146"/>
      <c r="M722" s="1143"/>
      <c r="N722" s="1143"/>
      <c r="O722" s="1143"/>
    </row>
    <row r="723" ht="40.5" customHeight="1">
      <c r="A723" s="1147"/>
      <c r="B723" s="1140"/>
      <c r="C723" s="1148"/>
      <c r="D723" s="1142"/>
      <c r="E723" s="1149"/>
      <c r="F723" s="1149"/>
      <c r="G723" s="1149"/>
      <c r="H723" s="1150"/>
      <c r="I723" s="1151"/>
      <c r="J723" s="1149"/>
      <c r="K723" s="1152"/>
      <c r="L723" s="1152"/>
      <c r="M723" s="1149"/>
      <c r="N723" s="1149"/>
      <c r="O723" s="1149"/>
    </row>
    <row r="724" ht="40.5" customHeight="1">
      <c r="A724" s="1139"/>
      <c r="B724" s="1140"/>
      <c r="C724" s="1141"/>
      <c r="D724" s="1142"/>
      <c r="E724" s="1143"/>
      <c r="F724" s="1143"/>
      <c r="G724" s="1143"/>
      <c r="H724" s="1144"/>
      <c r="I724" s="1145"/>
      <c r="J724" s="1143"/>
      <c r="K724" s="1146"/>
      <c r="L724" s="1146"/>
      <c r="M724" s="1143"/>
      <c r="N724" s="1143"/>
      <c r="O724" s="1143"/>
    </row>
    <row r="725" ht="40.5" customHeight="1">
      <c r="A725" s="1147"/>
      <c r="B725" s="1140"/>
      <c r="C725" s="1148"/>
      <c r="D725" s="1142"/>
      <c r="E725" s="1149"/>
      <c r="F725" s="1149"/>
      <c r="G725" s="1149"/>
      <c r="H725" s="1150"/>
      <c r="I725" s="1151"/>
      <c r="J725" s="1149"/>
      <c r="K725" s="1152"/>
      <c r="L725" s="1152"/>
      <c r="M725" s="1149"/>
      <c r="N725" s="1149"/>
      <c r="O725" s="1149"/>
    </row>
    <row r="726" ht="40.5" customHeight="1">
      <c r="A726" s="1139"/>
      <c r="B726" s="1140"/>
      <c r="C726" s="1141"/>
      <c r="D726" s="1142"/>
      <c r="E726" s="1143"/>
      <c r="F726" s="1143"/>
      <c r="G726" s="1143"/>
      <c r="H726" s="1144"/>
      <c r="I726" s="1145"/>
      <c r="J726" s="1143"/>
      <c r="K726" s="1146"/>
      <c r="L726" s="1146"/>
      <c r="M726" s="1143"/>
      <c r="N726" s="1143"/>
      <c r="O726" s="1143"/>
    </row>
    <row r="727" ht="40.5" customHeight="1">
      <c r="A727" s="1147"/>
      <c r="B727" s="1140"/>
      <c r="C727" s="1148"/>
      <c r="D727" s="1142"/>
      <c r="E727" s="1149"/>
      <c r="F727" s="1149"/>
      <c r="G727" s="1149"/>
      <c r="H727" s="1150"/>
      <c r="I727" s="1151"/>
      <c r="J727" s="1149"/>
      <c r="K727" s="1152"/>
      <c r="L727" s="1152"/>
      <c r="M727" s="1149"/>
      <c r="N727" s="1149"/>
      <c r="O727" s="1149"/>
    </row>
    <row r="728" ht="40.5" customHeight="1">
      <c r="A728" s="1139"/>
      <c r="B728" s="1140"/>
      <c r="C728" s="1141"/>
      <c r="D728" s="1142"/>
      <c r="E728" s="1143"/>
      <c r="F728" s="1143"/>
      <c r="G728" s="1143"/>
      <c r="H728" s="1144"/>
      <c r="I728" s="1145"/>
      <c r="J728" s="1143"/>
      <c r="K728" s="1146"/>
      <c r="L728" s="1146"/>
      <c r="M728" s="1143"/>
      <c r="N728" s="1143"/>
      <c r="O728" s="1143"/>
    </row>
    <row r="729" ht="40.5" customHeight="1">
      <c r="A729" s="1147"/>
      <c r="B729" s="1140"/>
      <c r="C729" s="1148"/>
      <c r="D729" s="1142"/>
      <c r="E729" s="1149"/>
      <c r="F729" s="1149"/>
      <c r="G729" s="1149"/>
      <c r="H729" s="1150"/>
      <c r="I729" s="1151"/>
      <c r="J729" s="1149"/>
      <c r="K729" s="1152"/>
      <c r="L729" s="1152"/>
      <c r="M729" s="1149"/>
      <c r="N729" s="1149"/>
      <c r="O729" s="1149"/>
    </row>
    <row r="730" ht="40.5" customHeight="1">
      <c r="A730" s="1139"/>
      <c r="B730" s="1140"/>
      <c r="C730" s="1141"/>
      <c r="D730" s="1142"/>
      <c r="E730" s="1143"/>
      <c r="F730" s="1143"/>
      <c r="G730" s="1143"/>
      <c r="H730" s="1144"/>
      <c r="I730" s="1145"/>
      <c r="J730" s="1143"/>
      <c r="K730" s="1146"/>
      <c r="L730" s="1146"/>
      <c r="M730" s="1143"/>
      <c r="N730" s="1143"/>
      <c r="O730" s="1143"/>
    </row>
    <row r="731" ht="40.5" customHeight="1">
      <c r="A731" s="1147"/>
      <c r="B731" s="1140"/>
      <c r="C731" s="1148"/>
      <c r="D731" s="1142"/>
      <c r="E731" s="1149"/>
      <c r="F731" s="1149"/>
      <c r="G731" s="1149"/>
      <c r="H731" s="1150"/>
      <c r="I731" s="1151"/>
      <c r="J731" s="1149"/>
      <c r="K731" s="1152"/>
      <c r="L731" s="1152"/>
      <c r="M731" s="1149"/>
      <c r="N731" s="1149"/>
      <c r="O731" s="1149"/>
    </row>
    <row r="732" ht="40.5" customHeight="1">
      <c r="A732" s="1139"/>
      <c r="B732" s="1140"/>
      <c r="C732" s="1141"/>
      <c r="D732" s="1142"/>
      <c r="E732" s="1143"/>
      <c r="F732" s="1143"/>
      <c r="G732" s="1143"/>
      <c r="H732" s="1144"/>
      <c r="I732" s="1145"/>
      <c r="J732" s="1143"/>
      <c r="K732" s="1146"/>
      <c r="L732" s="1146"/>
      <c r="M732" s="1143"/>
      <c r="N732" s="1143"/>
      <c r="O732" s="1143"/>
    </row>
    <row r="733" ht="40.5" customHeight="1">
      <c r="A733" s="1147"/>
      <c r="B733" s="1140"/>
      <c r="C733" s="1148"/>
      <c r="D733" s="1142"/>
      <c r="E733" s="1149"/>
      <c r="F733" s="1149"/>
      <c r="G733" s="1149"/>
      <c r="H733" s="1150"/>
      <c r="I733" s="1151"/>
      <c r="J733" s="1149"/>
      <c r="K733" s="1152"/>
      <c r="L733" s="1152"/>
      <c r="M733" s="1149"/>
      <c r="N733" s="1149"/>
      <c r="O733" s="1149"/>
    </row>
    <row r="734" ht="40.5" customHeight="1">
      <c r="A734" s="1139"/>
      <c r="B734" s="1140"/>
      <c r="C734" s="1141"/>
      <c r="D734" s="1142"/>
      <c r="E734" s="1143"/>
      <c r="F734" s="1143"/>
      <c r="G734" s="1143"/>
      <c r="H734" s="1144"/>
      <c r="I734" s="1145"/>
      <c r="J734" s="1143"/>
      <c r="K734" s="1146"/>
      <c r="L734" s="1146"/>
      <c r="M734" s="1143"/>
      <c r="N734" s="1143"/>
      <c r="O734" s="1143"/>
    </row>
    <row r="735" ht="40.5" customHeight="1">
      <c r="A735" s="1147"/>
      <c r="B735" s="1140"/>
      <c r="C735" s="1148"/>
      <c r="D735" s="1142"/>
      <c r="E735" s="1149"/>
      <c r="F735" s="1149"/>
      <c r="G735" s="1149"/>
      <c r="H735" s="1150"/>
      <c r="I735" s="1151"/>
      <c r="J735" s="1149"/>
      <c r="K735" s="1152"/>
      <c r="L735" s="1152"/>
      <c r="M735" s="1149"/>
      <c r="N735" s="1149"/>
      <c r="O735" s="1149"/>
    </row>
    <row r="736" ht="40.5" customHeight="1">
      <c r="A736" s="1139"/>
      <c r="B736" s="1140"/>
      <c r="C736" s="1141"/>
      <c r="D736" s="1142"/>
      <c r="E736" s="1143"/>
      <c r="F736" s="1143"/>
      <c r="G736" s="1143"/>
      <c r="H736" s="1144"/>
      <c r="I736" s="1145"/>
      <c r="J736" s="1143"/>
      <c r="K736" s="1146"/>
      <c r="L736" s="1146"/>
      <c r="M736" s="1143"/>
      <c r="N736" s="1143"/>
      <c r="O736" s="1143"/>
    </row>
    <row r="737" ht="40.5" customHeight="1">
      <c r="A737" s="1147"/>
      <c r="B737" s="1140"/>
      <c r="C737" s="1148"/>
      <c r="D737" s="1142"/>
      <c r="E737" s="1149"/>
      <c r="F737" s="1149"/>
      <c r="G737" s="1149"/>
      <c r="H737" s="1150"/>
      <c r="I737" s="1151"/>
      <c r="J737" s="1149"/>
      <c r="K737" s="1152"/>
      <c r="L737" s="1152"/>
      <c r="M737" s="1149"/>
      <c r="N737" s="1149"/>
      <c r="O737" s="1149"/>
    </row>
    <row r="738" ht="40.5" customHeight="1">
      <c r="A738" s="1139"/>
      <c r="B738" s="1140"/>
      <c r="C738" s="1141"/>
      <c r="D738" s="1142"/>
      <c r="E738" s="1143"/>
      <c r="F738" s="1143"/>
      <c r="G738" s="1143"/>
      <c r="H738" s="1144"/>
      <c r="I738" s="1145"/>
      <c r="J738" s="1143"/>
      <c r="K738" s="1146"/>
      <c r="L738" s="1146"/>
      <c r="M738" s="1143"/>
      <c r="N738" s="1143"/>
      <c r="O738" s="1143"/>
    </row>
    <row r="739" ht="40.5" customHeight="1">
      <c r="A739" s="1147"/>
      <c r="B739" s="1140"/>
      <c r="C739" s="1148"/>
      <c r="D739" s="1142"/>
      <c r="E739" s="1149"/>
      <c r="F739" s="1149"/>
      <c r="G739" s="1149"/>
      <c r="H739" s="1150"/>
      <c r="I739" s="1151"/>
      <c r="J739" s="1149"/>
      <c r="K739" s="1152"/>
      <c r="L739" s="1152"/>
      <c r="M739" s="1149"/>
      <c r="N739" s="1149"/>
      <c r="O739" s="1149"/>
    </row>
    <row r="740" ht="40.5" customHeight="1">
      <c r="A740" s="1139"/>
      <c r="B740" s="1140"/>
      <c r="C740" s="1141"/>
      <c r="D740" s="1142"/>
      <c r="E740" s="1143"/>
      <c r="F740" s="1143"/>
      <c r="G740" s="1143"/>
      <c r="H740" s="1144"/>
      <c r="I740" s="1145"/>
      <c r="J740" s="1143"/>
      <c r="K740" s="1146"/>
      <c r="L740" s="1146"/>
      <c r="M740" s="1143"/>
      <c r="N740" s="1143"/>
      <c r="O740" s="1143"/>
    </row>
    <row r="741" ht="40.5" customHeight="1">
      <c r="A741" s="1147"/>
      <c r="B741" s="1140"/>
      <c r="C741" s="1148"/>
      <c r="D741" s="1142"/>
      <c r="E741" s="1149"/>
      <c r="F741" s="1149"/>
      <c r="G741" s="1149"/>
      <c r="H741" s="1150"/>
      <c r="I741" s="1151"/>
      <c r="J741" s="1149"/>
      <c r="K741" s="1152"/>
      <c r="L741" s="1152"/>
      <c r="M741" s="1149"/>
      <c r="N741" s="1149"/>
      <c r="O741" s="1149"/>
    </row>
    <row r="742" ht="40.5" customHeight="1">
      <c r="A742" s="1139"/>
      <c r="B742" s="1140"/>
      <c r="C742" s="1141"/>
      <c r="D742" s="1142"/>
      <c r="E742" s="1143"/>
      <c r="F742" s="1143"/>
      <c r="G742" s="1143"/>
      <c r="H742" s="1144"/>
      <c r="I742" s="1145"/>
      <c r="J742" s="1143"/>
      <c r="K742" s="1146"/>
      <c r="L742" s="1146"/>
      <c r="M742" s="1143"/>
      <c r="N742" s="1143"/>
      <c r="O742" s="1143"/>
    </row>
    <row r="743" ht="40.5" customHeight="1">
      <c r="A743" s="1147"/>
      <c r="B743" s="1140"/>
      <c r="C743" s="1148"/>
      <c r="D743" s="1142"/>
      <c r="E743" s="1149"/>
      <c r="F743" s="1149"/>
      <c r="G743" s="1149"/>
      <c r="H743" s="1150"/>
      <c r="I743" s="1151"/>
      <c r="J743" s="1149"/>
      <c r="K743" s="1152"/>
      <c r="L743" s="1152"/>
      <c r="M743" s="1149"/>
      <c r="N743" s="1149"/>
      <c r="O743" s="1149"/>
    </row>
    <row r="744" ht="40.5" customHeight="1">
      <c r="A744" s="1139"/>
      <c r="B744" s="1140"/>
      <c r="C744" s="1141"/>
      <c r="D744" s="1142"/>
      <c r="E744" s="1143"/>
      <c r="F744" s="1143"/>
      <c r="G744" s="1143"/>
      <c r="H744" s="1144"/>
      <c r="I744" s="1145"/>
      <c r="J744" s="1143"/>
      <c r="K744" s="1146"/>
      <c r="L744" s="1146"/>
      <c r="M744" s="1143"/>
      <c r="N744" s="1143"/>
      <c r="O744" s="1143"/>
    </row>
    <row r="745" ht="40.5" customHeight="1">
      <c r="A745" s="1147"/>
      <c r="B745" s="1140"/>
      <c r="C745" s="1148"/>
      <c r="D745" s="1142"/>
      <c r="E745" s="1149"/>
      <c r="F745" s="1149"/>
      <c r="G745" s="1149"/>
      <c r="H745" s="1150"/>
      <c r="I745" s="1151"/>
      <c r="J745" s="1149"/>
      <c r="K745" s="1152"/>
      <c r="L745" s="1152"/>
      <c r="M745" s="1149"/>
      <c r="N745" s="1149"/>
      <c r="O745" s="1149"/>
    </row>
    <row r="746" ht="40.5" customHeight="1">
      <c r="A746" s="1139"/>
      <c r="B746" s="1140"/>
      <c r="C746" s="1141"/>
      <c r="D746" s="1142"/>
      <c r="E746" s="1143"/>
      <c r="F746" s="1143"/>
      <c r="G746" s="1143"/>
      <c r="H746" s="1144"/>
      <c r="I746" s="1145"/>
      <c r="J746" s="1143"/>
      <c r="K746" s="1146"/>
      <c r="L746" s="1146"/>
      <c r="M746" s="1143"/>
      <c r="N746" s="1143"/>
      <c r="O746" s="1143"/>
    </row>
    <row r="747" ht="40.5" customHeight="1">
      <c r="A747" s="1147"/>
      <c r="B747" s="1140"/>
      <c r="C747" s="1148"/>
      <c r="D747" s="1142"/>
      <c r="E747" s="1149"/>
      <c r="F747" s="1149"/>
      <c r="G747" s="1149"/>
      <c r="H747" s="1150"/>
      <c r="I747" s="1151"/>
      <c r="J747" s="1149"/>
      <c r="K747" s="1152"/>
      <c r="L747" s="1152"/>
      <c r="M747" s="1149"/>
      <c r="N747" s="1149"/>
      <c r="O747" s="1149"/>
    </row>
    <row r="748" ht="40.5" customHeight="1">
      <c r="A748" s="1139"/>
      <c r="B748" s="1140"/>
      <c r="C748" s="1141"/>
      <c r="D748" s="1142"/>
      <c r="E748" s="1143"/>
      <c r="F748" s="1143"/>
      <c r="G748" s="1143"/>
      <c r="H748" s="1144"/>
      <c r="I748" s="1145"/>
      <c r="J748" s="1143"/>
      <c r="K748" s="1146"/>
      <c r="L748" s="1146"/>
      <c r="M748" s="1143"/>
      <c r="N748" s="1143"/>
      <c r="O748" s="1143"/>
    </row>
    <row r="749" ht="40.5" customHeight="1">
      <c r="A749" s="1147"/>
      <c r="B749" s="1140"/>
      <c r="C749" s="1148"/>
      <c r="D749" s="1142"/>
      <c r="E749" s="1149"/>
      <c r="F749" s="1149"/>
      <c r="G749" s="1149"/>
      <c r="H749" s="1150"/>
      <c r="I749" s="1151"/>
      <c r="J749" s="1149"/>
      <c r="K749" s="1152"/>
      <c r="L749" s="1152"/>
      <c r="M749" s="1149"/>
      <c r="N749" s="1149"/>
      <c r="O749" s="1149"/>
    </row>
    <row r="750" ht="40.5" customHeight="1">
      <c r="A750" s="1139"/>
      <c r="B750" s="1140"/>
      <c r="C750" s="1141"/>
      <c r="D750" s="1142"/>
      <c r="E750" s="1143"/>
      <c r="F750" s="1143"/>
      <c r="G750" s="1143"/>
      <c r="H750" s="1144"/>
      <c r="I750" s="1145"/>
      <c r="J750" s="1143"/>
      <c r="K750" s="1146"/>
      <c r="L750" s="1146"/>
      <c r="M750" s="1143"/>
      <c r="N750" s="1143"/>
      <c r="O750" s="1143"/>
    </row>
    <row r="751" ht="40.5" customHeight="1">
      <c r="A751" s="1147"/>
      <c r="B751" s="1140"/>
      <c r="C751" s="1148"/>
      <c r="D751" s="1142"/>
      <c r="E751" s="1149"/>
      <c r="F751" s="1149"/>
      <c r="G751" s="1149"/>
      <c r="H751" s="1150"/>
      <c r="I751" s="1151"/>
      <c r="J751" s="1149"/>
      <c r="K751" s="1152"/>
      <c r="L751" s="1152"/>
      <c r="M751" s="1149"/>
      <c r="N751" s="1149"/>
      <c r="O751" s="1149"/>
    </row>
    <row r="752" ht="40.5" customHeight="1">
      <c r="A752" s="1139"/>
      <c r="B752" s="1140"/>
      <c r="C752" s="1141"/>
      <c r="D752" s="1142"/>
      <c r="E752" s="1143"/>
      <c r="F752" s="1143"/>
      <c r="G752" s="1143"/>
      <c r="H752" s="1144"/>
      <c r="I752" s="1145"/>
      <c r="J752" s="1143"/>
      <c r="K752" s="1146"/>
      <c r="L752" s="1146"/>
      <c r="M752" s="1143"/>
      <c r="N752" s="1143"/>
      <c r="O752" s="1143"/>
    </row>
    <row r="753" ht="40.5" customHeight="1">
      <c r="A753" s="1147"/>
      <c r="B753" s="1140"/>
      <c r="C753" s="1148"/>
      <c r="D753" s="1142"/>
      <c r="E753" s="1149"/>
      <c r="F753" s="1149"/>
      <c r="G753" s="1149"/>
      <c r="H753" s="1150"/>
      <c r="I753" s="1151"/>
      <c r="J753" s="1149"/>
      <c r="K753" s="1152"/>
      <c r="L753" s="1152"/>
      <c r="M753" s="1149"/>
      <c r="N753" s="1149"/>
      <c r="O753" s="1149"/>
    </row>
    <row r="754" ht="40.5" customHeight="1">
      <c r="A754" s="1139"/>
      <c r="B754" s="1140"/>
      <c r="C754" s="1141"/>
      <c r="D754" s="1142"/>
      <c r="E754" s="1143"/>
      <c r="F754" s="1143"/>
      <c r="G754" s="1143"/>
      <c r="H754" s="1144"/>
      <c r="I754" s="1145"/>
      <c r="J754" s="1143"/>
      <c r="K754" s="1146"/>
      <c r="L754" s="1146"/>
      <c r="M754" s="1143"/>
      <c r="N754" s="1143"/>
      <c r="O754" s="1143"/>
    </row>
    <row r="755" ht="40.5" customHeight="1">
      <c r="A755" s="1147"/>
      <c r="B755" s="1140"/>
      <c r="C755" s="1148"/>
      <c r="D755" s="1142"/>
      <c r="E755" s="1149"/>
      <c r="F755" s="1149"/>
      <c r="G755" s="1149"/>
      <c r="H755" s="1150"/>
      <c r="I755" s="1151"/>
      <c r="J755" s="1149"/>
      <c r="K755" s="1152"/>
      <c r="L755" s="1152"/>
      <c r="M755" s="1149"/>
      <c r="N755" s="1149"/>
      <c r="O755" s="1149"/>
    </row>
    <row r="756" ht="40.5" customHeight="1">
      <c r="A756" s="1139"/>
      <c r="B756" s="1140"/>
      <c r="C756" s="1141"/>
      <c r="D756" s="1142"/>
      <c r="E756" s="1143"/>
      <c r="F756" s="1143"/>
      <c r="G756" s="1143"/>
      <c r="H756" s="1144"/>
      <c r="I756" s="1145"/>
      <c r="J756" s="1143"/>
      <c r="K756" s="1146"/>
      <c r="L756" s="1146"/>
      <c r="M756" s="1143"/>
      <c r="N756" s="1143"/>
      <c r="O756" s="1143"/>
    </row>
    <row r="757" ht="40.5" customHeight="1">
      <c r="A757" s="1147"/>
      <c r="B757" s="1140"/>
      <c r="C757" s="1148"/>
      <c r="D757" s="1142"/>
      <c r="E757" s="1149"/>
      <c r="F757" s="1149"/>
      <c r="G757" s="1149"/>
      <c r="H757" s="1150"/>
      <c r="I757" s="1151"/>
      <c r="J757" s="1149"/>
      <c r="K757" s="1152"/>
      <c r="L757" s="1152"/>
      <c r="M757" s="1149"/>
      <c r="N757" s="1149"/>
      <c r="O757" s="1149"/>
    </row>
    <row r="758" ht="40.5" customHeight="1">
      <c r="A758" s="1139"/>
      <c r="B758" s="1140"/>
      <c r="C758" s="1141"/>
      <c r="D758" s="1142"/>
      <c r="E758" s="1143"/>
      <c r="F758" s="1143"/>
      <c r="G758" s="1143"/>
      <c r="H758" s="1144"/>
      <c r="I758" s="1145"/>
      <c r="J758" s="1143"/>
      <c r="K758" s="1146"/>
      <c r="L758" s="1146"/>
      <c r="M758" s="1143"/>
      <c r="N758" s="1143"/>
      <c r="O758" s="1143"/>
    </row>
    <row r="759" ht="40.5" customHeight="1">
      <c r="A759" s="1147"/>
      <c r="B759" s="1140"/>
      <c r="C759" s="1148"/>
      <c r="D759" s="1142"/>
      <c r="E759" s="1149"/>
      <c r="F759" s="1149"/>
      <c r="G759" s="1149"/>
      <c r="H759" s="1150"/>
      <c r="I759" s="1151"/>
      <c r="J759" s="1149"/>
      <c r="K759" s="1152"/>
      <c r="L759" s="1152"/>
      <c r="M759" s="1149"/>
      <c r="N759" s="1149"/>
      <c r="O759" s="1149"/>
    </row>
    <row r="760" ht="40.5" customHeight="1">
      <c r="A760" s="1139"/>
      <c r="B760" s="1140"/>
      <c r="C760" s="1141"/>
      <c r="D760" s="1142"/>
      <c r="E760" s="1143"/>
      <c r="F760" s="1143"/>
      <c r="G760" s="1143"/>
      <c r="H760" s="1144"/>
      <c r="I760" s="1145"/>
      <c r="J760" s="1143"/>
      <c r="K760" s="1146"/>
      <c r="L760" s="1146"/>
      <c r="M760" s="1143"/>
      <c r="N760" s="1143"/>
      <c r="O760" s="1143"/>
    </row>
    <row r="761" ht="40.5" customHeight="1">
      <c r="A761" s="1147"/>
      <c r="B761" s="1140"/>
      <c r="C761" s="1148"/>
      <c r="D761" s="1142"/>
      <c r="E761" s="1149"/>
      <c r="F761" s="1149"/>
      <c r="G761" s="1149"/>
      <c r="H761" s="1150"/>
      <c r="I761" s="1151"/>
      <c r="J761" s="1149"/>
      <c r="K761" s="1152"/>
      <c r="L761" s="1152"/>
      <c r="M761" s="1149"/>
      <c r="N761" s="1149"/>
      <c r="O761" s="1149"/>
    </row>
    <row r="762" ht="40.5" customHeight="1">
      <c r="A762" s="1139"/>
      <c r="B762" s="1140"/>
      <c r="C762" s="1141"/>
      <c r="D762" s="1142"/>
      <c r="E762" s="1143"/>
      <c r="F762" s="1143"/>
      <c r="G762" s="1143"/>
      <c r="H762" s="1144"/>
      <c r="I762" s="1145"/>
      <c r="J762" s="1143"/>
      <c r="K762" s="1146"/>
      <c r="L762" s="1146"/>
      <c r="M762" s="1143"/>
      <c r="N762" s="1143"/>
      <c r="O762" s="1143"/>
    </row>
    <row r="763" ht="40.5" customHeight="1">
      <c r="A763" s="1147"/>
      <c r="B763" s="1140"/>
      <c r="C763" s="1148"/>
      <c r="D763" s="1142"/>
      <c r="E763" s="1149"/>
      <c r="F763" s="1149"/>
      <c r="G763" s="1149"/>
      <c r="H763" s="1150"/>
      <c r="I763" s="1151"/>
      <c r="J763" s="1149"/>
      <c r="K763" s="1152"/>
      <c r="L763" s="1152"/>
      <c r="M763" s="1149"/>
      <c r="N763" s="1149"/>
      <c r="O763" s="1149"/>
    </row>
    <row r="764" ht="40.5" customHeight="1">
      <c r="A764" s="1139"/>
      <c r="B764" s="1140"/>
      <c r="C764" s="1141"/>
      <c r="D764" s="1142"/>
      <c r="E764" s="1143"/>
      <c r="F764" s="1143"/>
      <c r="G764" s="1143"/>
      <c r="H764" s="1144"/>
      <c r="I764" s="1145"/>
      <c r="J764" s="1143"/>
      <c r="K764" s="1146"/>
      <c r="L764" s="1146"/>
      <c r="M764" s="1143"/>
      <c r="N764" s="1143"/>
      <c r="O764" s="1143"/>
    </row>
    <row r="765" ht="40.5" customHeight="1">
      <c r="A765" s="1147"/>
      <c r="B765" s="1140"/>
      <c r="C765" s="1148"/>
      <c r="D765" s="1142"/>
      <c r="E765" s="1149"/>
      <c r="F765" s="1149"/>
      <c r="G765" s="1149"/>
      <c r="H765" s="1150"/>
      <c r="I765" s="1151"/>
      <c r="J765" s="1149"/>
      <c r="K765" s="1152"/>
      <c r="L765" s="1152"/>
      <c r="M765" s="1149"/>
      <c r="N765" s="1149"/>
      <c r="O765" s="1149"/>
    </row>
    <row r="766" ht="40.5" customHeight="1">
      <c r="A766" s="1139"/>
      <c r="B766" s="1140"/>
      <c r="C766" s="1141"/>
      <c r="D766" s="1142"/>
      <c r="E766" s="1143"/>
      <c r="F766" s="1143"/>
      <c r="G766" s="1143"/>
      <c r="H766" s="1144"/>
      <c r="I766" s="1145"/>
      <c r="J766" s="1143"/>
      <c r="K766" s="1146"/>
      <c r="L766" s="1146"/>
      <c r="M766" s="1143"/>
      <c r="N766" s="1143"/>
      <c r="O766" s="1143"/>
    </row>
    <row r="767" ht="40.5" customHeight="1">
      <c r="A767" s="1147"/>
      <c r="B767" s="1140"/>
      <c r="C767" s="1148"/>
      <c r="D767" s="1142"/>
      <c r="E767" s="1149"/>
      <c r="F767" s="1149"/>
      <c r="G767" s="1149"/>
      <c r="H767" s="1150"/>
      <c r="I767" s="1151"/>
      <c r="J767" s="1149"/>
      <c r="K767" s="1152"/>
      <c r="L767" s="1152"/>
      <c r="M767" s="1149"/>
      <c r="N767" s="1149"/>
      <c r="O767" s="1149"/>
    </row>
    <row r="768" ht="40.5" customHeight="1">
      <c r="A768" s="1139"/>
      <c r="B768" s="1140"/>
      <c r="C768" s="1141"/>
      <c r="D768" s="1142"/>
      <c r="E768" s="1143"/>
      <c r="F768" s="1143"/>
      <c r="G768" s="1143"/>
      <c r="H768" s="1144"/>
      <c r="I768" s="1145"/>
      <c r="J768" s="1143"/>
      <c r="K768" s="1146"/>
      <c r="L768" s="1146"/>
      <c r="M768" s="1143"/>
      <c r="N768" s="1143"/>
      <c r="O768" s="1143"/>
    </row>
    <row r="769" ht="40.5" customHeight="1">
      <c r="A769" s="1147"/>
      <c r="B769" s="1140"/>
      <c r="C769" s="1148"/>
      <c r="D769" s="1142"/>
      <c r="E769" s="1149"/>
      <c r="F769" s="1149"/>
      <c r="G769" s="1149"/>
      <c r="H769" s="1150"/>
      <c r="I769" s="1151"/>
      <c r="J769" s="1149"/>
      <c r="K769" s="1152"/>
      <c r="L769" s="1152"/>
      <c r="M769" s="1149"/>
      <c r="N769" s="1149"/>
      <c r="O769" s="1149"/>
    </row>
    <row r="770" ht="40.5" customHeight="1">
      <c r="A770" s="1139"/>
      <c r="B770" s="1140"/>
      <c r="C770" s="1141"/>
      <c r="D770" s="1142"/>
      <c r="E770" s="1143"/>
      <c r="F770" s="1143"/>
      <c r="G770" s="1143"/>
      <c r="H770" s="1144"/>
      <c r="I770" s="1145"/>
      <c r="J770" s="1143"/>
      <c r="K770" s="1146"/>
      <c r="L770" s="1146"/>
      <c r="M770" s="1143"/>
      <c r="N770" s="1143"/>
      <c r="O770" s="1143"/>
    </row>
    <row r="771" ht="40.5" customHeight="1">
      <c r="A771" s="1147"/>
      <c r="B771" s="1140"/>
      <c r="C771" s="1148"/>
      <c r="D771" s="1142"/>
      <c r="E771" s="1149"/>
      <c r="F771" s="1149"/>
      <c r="G771" s="1149"/>
      <c r="H771" s="1150"/>
      <c r="I771" s="1151"/>
      <c r="J771" s="1149"/>
      <c r="K771" s="1152"/>
      <c r="L771" s="1152"/>
      <c r="M771" s="1149"/>
      <c r="N771" s="1149"/>
      <c r="O771" s="1149"/>
    </row>
    <row r="772" ht="40.5" customHeight="1">
      <c r="A772" s="1139"/>
      <c r="B772" s="1140"/>
      <c r="C772" s="1141"/>
      <c r="D772" s="1142"/>
      <c r="E772" s="1143"/>
      <c r="F772" s="1143"/>
      <c r="G772" s="1143"/>
      <c r="H772" s="1144"/>
      <c r="I772" s="1145"/>
      <c r="J772" s="1143"/>
      <c r="K772" s="1146"/>
      <c r="L772" s="1146"/>
      <c r="M772" s="1143"/>
      <c r="N772" s="1143"/>
      <c r="O772" s="1143"/>
    </row>
    <row r="773" ht="40.5" customHeight="1">
      <c r="A773" s="1147"/>
      <c r="B773" s="1140"/>
      <c r="C773" s="1148"/>
      <c r="D773" s="1142"/>
      <c r="E773" s="1149"/>
      <c r="F773" s="1149"/>
      <c r="G773" s="1149"/>
      <c r="H773" s="1150"/>
      <c r="I773" s="1151"/>
      <c r="J773" s="1149"/>
      <c r="K773" s="1152"/>
      <c r="L773" s="1152"/>
      <c r="M773" s="1149"/>
      <c r="N773" s="1149"/>
      <c r="O773" s="1149"/>
    </row>
    <row r="774" ht="40.5" customHeight="1">
      <c r="A774" s="1139"/>
      <c r="B774" s="1140"/>
      <c r="C774" s="1141"/>
      <c r="D774" s="1142"/>
      <c r="E774" s="1143"/>
      <c r="F774" s="1143"/>
      <c r="G774" s="1143"/>
      <c r="H774" s="1144"/>
      <c r="I774" s="1145"/>
      <c r="J774" s="1143"/>
      <c r="K774" s="1146"/>
      <c r="L774" s="1146"/>
      <c r="M774" s="1143"/>
      <c r="N774" s="1143"/>
      <c r="O774" s="1143"/>
    </row>
    <row r="775" ht="40.5" customHeight="1">
      <c r="A775" s="1147"/>
      <c r="B775" s="1140"/>
      <c r="C775" s="1148"/>
      <c r="D775" s="1142"/>
      <c r="E775" s="1149"/>
      <c r="F775" s="1149"/>
      <c r="G775" s="1149"/>
      <c r="H775" s="1150"/>
      <c r="I775" s="1151"/>
      <c r="J775" s="1149"/>
      <c r="K775" s="1152"/>
      <c r="L775" s="1152"/>
      <c r="M775" s="1149"/>
      <c r="N775" s="1149"/>
      <c r="O775" s="1149"/>
    </row>
    <row r="776" ht="40.5" customHeight="1">
      <c r="A776" s="1139"/>
      <c r="B776" s="1140"/>
      <c r="C776" s="1141"/>
      <c r="D776" s="1142"/>
      <c r="E776" s="1143"/>
      <c r="F776" s="1143"/>
      <c r="G776" s="1143"/>
      <c r="H776" s="1144"/>
      <c r="I776" s="1145"/>
      <c r="J776" s="1143"/>
      <c r="K776" s="1146"/>
      <c r="L776" s="1146"/>
      <c r="M776" s="1143"/>
      <c r="N776" s="1143"/>
      <c r="O776" s="1143"/>
    </row>
    <row r="777" ht="40.5" customHeight="1">
      <c r="A777" s="1147"/>
      <c r="B777" s="1140"/>
      <c r="C777" s="1148"/>
      <c r="D777" s="1142"/>
      <c r="E777" s="1149"/>
      <c r="F777" s="1149"/>
      <c r="G777" s="1149"/>
      <c r="H777" s="1150"/>
      <c r="I777" s="1151"/>
      <c r="J777" s="1149"/>
      <c r="K777" s="1152"/>
      <c r="L777" s="1152"/>
      <c r="M777" s="1149"/>
      <c r="N777" s="1149"/>
      <c r="O777" s="1149"/>
    </row>
    <row r="778" ht="40.5" customHeight="1">
      <c r="A778" s="1139"/>
      <c r="B778" s="1140"/>
      <c r="C778" s="1141"/>
      <c r="D778" s="1142"/>
      <c r="E778" s="1143"/>
      <c r="F778" s="1143"/>
      <c r="G778" s="1143"/>
      <c r="H778" s="1144"/>
      <c r="I778" s="1145"/>
      <c r="J778" s="1143"/>
      <c r="K778" s="1146"/>
      <c r="L778" s="1146"/>
      <c r="M778" s="1143"/>
      <c r="N778" s="1143"/>
      <c r="O778" s="1143"/>
    </row>
    <row r="779" ht="40.5" customHeight="1">
      <c r="A779" s="1147"/>
      <c r="B779" s="1140"/>
      <c r="C779" s="1148"/>
      <c r="D779" s="1142"/>
      <c r="E779" s="1149"/>
      <c r="F779" s="1149"/>
      <c r="G779" s="1149"/>
      <c r="H779" s="1150"/>
      <c r="I779" s="1151"/>
      <c r="J779" s="1149"/>
      <c r="K779" s="1152"/>
      <c r="L779" s="1152"/>
      <c r="M779" s="1149"/>
      <c r="N779" s="1149"/>
      <c r="O779" s="1149"/>
    </row>
    <row r="780" ht="40.5" customHeight="1">
      <c r="A780" s="1139"/>
      <c r="B780" s="1140"/>
      <c r="C780" s="1141"/>
      <c r="D780" s="1142"/>
      <c r="E780" s="1143"/>
      <c r="F780" s="1143"/>
      <c r="G780" s="1143"/>
      <c r="H780" s="1144"/>
      <c r="I780" s="1145"/>
      <c r="J780" s="1143"/>
      <c r="K780" s="1146"/>
      <c r="L780" s="1146"/>
      <c r="M780" s="1143"/>
      <c r="N780" s="1143"/>
      <c r="O780" s="1143"/>
    </row>
    <row r="781" ht="40.5" customHeight="1">
      <c r="A781" s="1147"/>
      <c r="B781" s="1140"/>
      <c r="C781" s="1148"/>
      <c r="D781" s="1142"/>
      <c r="E781" s="1149"/>
      <c r="F781" s="1149"/>
      <c r="G781" s="1149"/>
      <c r="H781" s="1150"/>
      <c r="I781" s="1151"/>
      <c r="J781" s="1149"/>
      <c r="K781" s="1152"/>
      <c r="L781" s="1152"/>
      <c r="M781" s="1149"/>
      <c r="N781" s="1149"/>
      <c r="O781" s="1149"/>
    </row>
    <row r="782" ht="40.5" customHeight="1">
      <c r="A782" s="1139"/>
      <c r="B782" s="1140"/>
      <c r="C782" s="1141"/>
      <c r="D782" s="1142"/>
      <c r="E782" s="1143"/>
      <c r="F782" s="1143"/>
      <c r="G782" s="1143"/>
      <c r="H782" s="1144"/>
      <c r="I782" s="1145"/>
      <c r="J782" s="1143"/>
      <c r="K782" s="1146"/>
      <c r="L782" s="1146"/>
      <c r="M782" s="1143"/>
      <c r="N782" s="1143"/>
      <c r="O782" s="1143"/>
    </row>
    <row r="783" ht="40.5" customHeight="1">
      <c r="A783" s="1147"/>
      <c r="B783" s="1140"/>
      <c r="C783" s="1148"/>
      <c r="D783" s="1142"/>
      <c r="E783" s="1149"/>
      <c r="F783" s="1149"/>
      <c r="G783" s="1149"/>
      <c r="H783" s="1150"/>
      <c r="I783" s="1151"/>
      <c r="J783" s="1149"/>
      <c r="K783" s="1152"/>
      <c r="L783" s="1152"/>
      <c r="M783" s="1149"/>
      <c r="N783" s="1149"/>
      <c r="O783" s="1149"/>
    </row>
    <row r="784" ht="40.5" customHeight="1">
      <c r="A784" s="1139"/>
      <c r="B784" s="1140"/>
      <c r="C784" s="1141"/>
      <c r="D784" s="1142"/>
      <c r="E784" s="1143"/>
      <c r="F784" s="1143"/>
      <c r="G784" s="1143"/>
      <c r="H784" s="1144"/>
      <c r="I784" s="1145"/>
      <c r="J784" s="1143"/>
      <c r="K784" s="1146"/>
      <c r="L784" s="1146"/>
      <c r="M784" s="1143"/>
      <c r="N784" s="1143"/>
      <c r="O784" s="1143"/>
    </row>
    <row r="785" ht="40.5" customHeight="1">
      <c r="A785" s="1147"/>
      <c r="B785" s="1140"/>
      <c r="C785" s="1148"/>
      <c r="D785" s="1142"/>
      <c r="E785" s="1149"/>
      <c r="F785" s="1149"/>
      <c r="G785" s="1149"/>
      <c r="H785" s="1150"/>
      <c r="I785" s="1151"/>
      <c r="J785" s="1149"/>
      <c r="K785" s="1152"/>
      <c r="L785" s="1152"/>
      <c r="M785" s="1149"/>
      <c r="N785" s="1149"/>
      <c r="O785" s="1149"/>
    </row>
    <row r="786" ht="40.5" customHeight="1">
      <c r="A786" s="1139"/>
      <c r="B786" s="1140"/>
      <c r="C786" s="1141"/>
      <c r="D786" s="1142"/>
      <c r="E786" s="1143"/>
      <c r="F786" s="1143"/>
      <c r="G786" s="1143"/>
      <c r="H786" s="1144"/>
      <c r="I786" s="1145"/>
      <c r="J786" s="1143"/>
      <c r="K786" s="1146"/>
      <c r="L786" s="1146"/>
      <c r="M786" s="1143"/>
      <c r="N786" s="1143"/>
      <c r="O786" s="1143"/>
    </row>
    <row r="787" ht="40.5" customHeight="1">
      <c r="A787" s="1147"/>
      <c r="B787" s="1140"/>
      <c r="C787" s="1148"/>
      <c r="D787" s="1142"/>
      <c r="E787" s="1149"/>
      <c r="F787" s="1149"/>
      <c r="G787" s="1149"/>
      <c r="H787" s="1150"/>
      <c r="I787" s="1151"/>
      <c r="J787" s="1149"/>
      <c r="K787" s="1152"/>
      <c r="L787" s="1152"/>
      <c r="M787" s="1149"/>
      <c r="N787" s="1149"/>
      <c r="O787" s="1149"/>
    </row>
    <row r="788" ht="40.5" customHeight="1">
      <c r="A788" s="1139"/>
      <c r="B788" s="1140"/>
      <c r="C788" s="1141"/>
      <c r="D788" s="1142"/>
      <c r="E788" s="1143"/>
      <c r="F788" s="1143"/>
      <c r="G788" s="1143"/>
      <c r="H788" s="1144"/>
      <c r="I788" s="1145"/>
      <c r="J788" s="1143"/>
      <c r="K788" s="1146"/>
      <c r="L788" s="1146"/>
      <c r="M788" s="1143"/>
      <c r="N788" s="1143"/>
      <c r="O788" s="1143"/>
    </row>
    <row r="789" ht="40.5" customHeight="1">
      <c r="A789" s="1147"/>
      <c r="B789" s="1140"/>
      <c r="C789" s="1148"/>
      <c r="D789" s="1142"/>
      <c r="E789" s="1149"/>
      <c r="F789" s="1149"/>
      <c r="G789" s="1149"/>
      <c r="H789" s="1150"/>
      <c r="I789" s="1151"/>
      <c r="J789" s="1149"/>
      <c r="K789" s="1152"/>
      <c r="L789" s="1152"/>
      <c r="M789" s="1149"/>
      <c r="N789" s="1149"/>
      <c r="O789" s="1149"/>
    </row>
    <row r="790" ht="40.5" customHeight="1">
      <c r="A790" s="1139"/>
      <c r="B790" s="1140"/>
      <c r="C790" s="1141"/>
      <c r="D790" s="1142"/>
      <c r="E790" s="1143"/>
      <c r="F790" s="1143"/>
      <c r="G790" s="1143"/>
      <c r="H790" s="1144"/>
      <c r="I790" s="1145"/>
      <c r="J790" s="1143"/>
      <c r="K790" s="1146"/>
      <c r="L790" s="1146"/>
      <c r="M790" s="1143"/>
      <c r="N790" s="1143"/>
      <c r="O790" s="1143"/>
    </row>
    <row r="791" ht="40.5" customHeight="1">
      <c r="A791" s="1147"/>
      <c r="B791" s="1140"/>
      <c r="C791" s="1148"/>
      <c r="D791" s="1142"/>
      <c r="E791" s="1149"/>
      <c r="F791" s="1149"/>
      <c r="G791" s="1149"/>
      <c r="H791" s="1150"/>
      <c r="I791" s="1151"/>
      <c r="J791" s="1149"/>
      <c r="K791" s="1152"/>
      <c r="L791" s="1152"/>
      <c r="M791" s="1149"/>
      <c r="N791" s="1149"/>
      <c r="O791" s="1149"/>
    </row>
    <row r="792" ht="40.5" customHeight="1">
      <c r="A792" s="1139"/>
      <c r="B792" s="1140"/>
      <c r="C792" s="1141"/>
      <c r="D792" s="1142"/>
      <c r="E792" s="1143"/>
      <c r="F792" s="1143"/>
      <c r="G792" s="1143"/>
      <c r="H792" s="1144"/>
      <c r="I792" s="1145"/>
      <c r="J792" s="1143"/>
      <c r="K792" s="1146"/>
      <c r="L792" s="1146"/>
      <c r="M792" s="1143"/>
      <c r="N792" s="1143"/>
      <c r="O792" s="1143"/>
    </row>
    <row r="793" ht="40.5" customHeight="1">
      <c r="A793" s="1147"/>
      <c r="B793" s="1140"/>
      <c r="C793" s="1148"/>
      <c r="D793" s="1142"/>
      <c r="E793" s="1149"/>
      <c r="F793" s="1149"/>
      <c r="G793" s="1149"/>
      <c r="H793" s="1150"/>
      <c r="I793" s="1151"/>
      <c r="J793" s="1149"/>
      <c r="K793" s="1152"/>
      <c r="L793" s="1152"/>
      <c r="M793" s="1149"/>
      <c r="N793" s="1149"/>
      <c r="O793" s="1149"/>
    </row>
    <row r="794" ht="40.5" customHeight="1">
      <c r="A794" s="1139"/>
      <c r="B794" s="1140"/>
      <c r="C794" s="1141"/>
      <c r="D794" s="1142"/>
      <c r="E794" s="1143"/>
      <c r="F794" s="1143"/>
      <c r="G794" s="1143"/>
      <c r="H794" s="1144"/>
      <c r="I794" s="1145"/>
      <c r="J794" s="1143"/>
      <c r="K794" s="1146"/>
      <c r="L794" s="1146"/>
      <c r="M794" s="1143"/>
      <c r="N794" s="1143"/>
      <c r="O794" s="1143"/>
    </row>
    <row r="795" ht="40.5" customHeight="1">
      <c r="A795" s="1147"/>
      <c r="B795" s="1140"/>
      <c r="C795" s="1148"/>
      <c r="D795" s="1142"/>
      <c r="E795" s="1149"/>
      <c r="F795" s="1149"/>
      <c r="G795" s="1149"/>
      <c r="H795" s="1150"/>
      <c r="I795" s="1151"/>
      <c r="J795" s="1149"/>
      <c r="K795" s="1152"/>
      <c r="L795" s="1152"/>
      <c r="M795" s="1149"/>
      <c r="N795" s="1149"/>
      <c r="O795" s="1149"/>
    </row>
    <row r="796" ht="40.5" customHeight="1">
      <c r="A796" s="1139"/>
      <c r="B796" s="1140"/>
      <c r="C796" s="1141"/>
      <c r="D796" s="1142"/>
      <c r="E796" s="1143"/>
      <c r="F796" s="1143"/>
      <c r="G796" s="1143"/>
      <c r="H796" s="1144"/>
      <c r="I796" s="1145"/>
      <c r="J796" s="1143"/>
      <c r="K796" s="1146"/>
      <c r="L796" s="1146"/>
      <c r="M796" s="1143"/>
      <c r="N796" s="1143"/>
      <c r="O796" s="1143"/>
    </row>
    <row r="797" ht="40.5" customHeight="1">
      <c r="A797" s="1147"/>
      <c r="B797" s="1140"/>
      <c r="C797" s="1148"/>
      <c r="D797" s="1142"/>
      <c r="E797" s="1149"/>
      <c r="F797" s="1149"/>
      <c r="G797" s="1149"/>
      <c r="H797" s="1150"/>
      <c r="I797" s="1151"/>
      <c r="J797" s="1149"/>
      <c r="K797" s="1152"/>
      <c r="L797" s="1152"/>
      <c r="M797" s="1149"/>
      <c r="N797" s="1149"/>
      <c r="O797" s="1149"/>
    </row>
    <row r="798" ht="40.5" customHeight="1">
      <c r="A798" s="1139"/>
      <c r="B798" s="1140"/>
      <c r="C798" s="1141"/>
      <c r="D798" s="1142"/>
      <c r="E798" s="1143"/>
      <c r="F798" s="1143"/>
      <c r="G798" s="1143"/>
      <c r="H798" s="1144"/>
      <c r="I798" s="1145"/>
      <c r="J798" s="1143"/>
      <c r="K798" s="1146"/>
      <c r="L798" s="1146"/>
      <c r="M798" s="1143"/>
      <c r="N798" s="1143"/>
      <c r="O798" s="1143"/>
    </row>
    <row r="799" ht="40.5" customHeight="1">
      <c r="A799" s="1147"/>
      <c r="B799" s="1140"/>
      <c r="C799" s="1148"/>
      <c r="D799" s="1142"/>
      <c r="E799" s="1149"/>
      <c r="F799" s="1149"/>
      <c r="G799" s="1149"/>
      <c r="H799" s="1150"/>
      <c r="I799" s="1151"/>
      <c r="J799" s="1149"/>
      <c r="K799" s="1152"/>
      <c r="L799" s="1152"/>
      <c r="M799" s="1149"/>
      <c r="N799" s="1149"/>
      <c r="O799" s="1149"/>
    </row>
    <row r="800" ht="40.5" customHeight="1">
      <c r="A800" s="1139"/>
      <c r="B800" s="1140"/>
      <c r="C800" s="1141"/>
      <c r="D800" s="1142"/>
      <c r="E800" s="1143"/>
      <c r="F800" s="1143"/>
      <c r="G800" s="1143"/>
      <c r="H800" s="1144"/>
      <c r="I800" s="1145"/>
      <c r="J800" s="1143"/>
      <c r="K800" s="1146"/>
      <c r="L800" s="1146"/>
      <c r="M800" s="1143"/>
      <c r="N800" s="1143"/>
      <c r="O800" s="1143"/>
    </row>
    <row r="801" ht="40.5" customHeight="1">
      <c r="A801" s="1147"/>
      <c r="B801" s="1140"/>
      <c r="C801" s="1148"/>
      <c r="D801" s="1142"/>
      <c r="E801" s="1149"/>
      <c r="F801" s="1149"/>
      <c r="G801" s="1149"/>
      <c r="H801" s="1150"/>
      <c r="I801" s="1151"/>
      <c r="J801" s="1149"/>
      <c r="K801" s="1152"/>
      <c r="L801" s="1152"/>
      <c r="M801" s="1149"/>
      <c r="N801" s="1149"/>
      <c r="O801" s="1149"/>
    </row>
    <row r="802" ht="40.5" customHeight="1">
      <c r="A802" s="1139"/>
      <c r="B802" s="1140"/>
      <c r="C802" s="1141"/>
      <c r="D802" s="1142"/>
      <c r="E802" s="1143"/>
      <c r="F802" s="1143"/>
      <c r="G802" s="1143"/>
      <c r="H802" s="1144"/>
      <c r="I802" s="1145"/>
      <c r="J802" s="1143"/>
      <c r="K802" s="1146"/>
      <c r="L802" s="1146"/>
      <c r="M802" s="1143"/>
      <c r="N802" s="1143"/>
      <c r="O802" s="1143"/>
    </row>
    <row r="803" ht="40.5" customHeight="1">
      <c r="A803" s="1147"/>
      <c r="B803" s="1140"/>
      <c r="C803" s="1148"/>
      <c r="D803" s="1142"/>
      <c r="E803" s="1149"/>
      <c r="F803" s="1149"/>
      <c r="G803" s="1149"/>
      <c r="H803" s="1150"/>
      <c r="I803" s="1151"/>
      <c r="J803" s="1149"/>
      <c r="K803" s="1152"/>
      <c r="L803" s="1152"/>
      <c r="M803" s="1149"/>
      <c r="N803" s="1149"/>
      <c r="O803" s="1149"/>
    </row>
    <row r="804" ht="40.5" customHeight="1">
      <c r="A804" s="1139"/>
      <c r="B804" s="1140"/>
      <c r="C804" s="1141"/>
      <c r="D804" s="1142"/>
      <c r="E804" s="1143"/>
      <c r="F804" s="1143"/>
      <c r="G804" s="1143"/>
      <c r="H804" s="1144"/>
      <c r="I804" s="1145"/>
      <c r="J804" s="1143"/>
      <c r="K804" s="1146"/>
      <c r="L804" s="1146"/>
      <c r="M804" s="1143"/>
      <c r="N804" s="1143"/>
      <c r="O804" s="1143"/>
    </row>
    <row r="805" ht="40.5" customHeight="1">
      <c r="A805" s="1147"/>
      <c r="B805" s="1140"/>
      <c r="C805" s="1148"/>
      <c r="D805" s="1142"/>
      <c r="E805" s="1149"/>
      <c r="F805" s="1149"/>
      <c r="G805" s="1149"/>
      <c r="H805" s="1150"/>
      <c r="I805" s="1151"/>
      <c r="J805" s="1149"/>
      <c r="K805" s="1152"/>
      <c r="L805" s="1152"/>
      <c r="M805" s="1149"/>
      <c r="N805" s="1149"/>
      <c r="O805" s="1149"/>
    </row>
    <row r="806" ht="40.5" customHeight="1">
      <c r="A806" s="1139"/>
      <c r="B806" s="1140"/>
      <c r="C806" s="1141"/>
      <c r="D806" s="1142"/>
      <c r="E806" s="1143"/>
      <c r="F806" s="1143"/>
      <c r="G806" s="1143"/>
      <c r="H806" s="1144"/>
      <c r="I806" s="1145"/>
      <c r="J806" s="1143"/>
      <c r="K806" s="1146"/>
      <c r="L806" s="1146"/>
      <c r="M806" s="1143"/>
      <c r="N806" s="1143"/>
      <c r="O806" s="1143"/>
    </row>
    <row r="807" ht="40.5" customHeight="1">
      <c r="A807" s="1147"/>
      <c r="B807" s="1140"/>
      <c r="C807" s="1148"/>
      <c r="D807" s="1142"/>
      <c r="E807" s="1149"/>
      <c r="F807" s="1149"/>
      <c r="G807" s="1149"/>
      <c r="H807" s="1150"/>
      <c r="I807" s="1151"/>
      <c r="J807" s="1149"/>
      <c r="K807" s="1152"/>
      <c r="L807" s="1152"/>
      <c r="M807" s="1149"/>
      <c r="N807" s="1149"/>
      <c r="O807" s="1149"/>
    </row>
    <row r="808" ht="40.5" customHeight="1">
      <c r="A808" s="1139"/>
      <c r="B808" s="1140"/>
      <c r="C808" s="1141"/>
      <c r="D808" s="1142"/>
      <c r="E808" s="1143"/>
      <c r="F808" s="1143"/>
      <c r="G808" s="1143"/>
      <c r="H808" s="1144"/>
      <c r="I808" s="1145"/>
      <c r="J808" s="1143"/>
      <c r="K808" s="1146"/>
      <c r="L808" s="1146"/>
      <c r="M808" s="1143"/>
      <c r="N808" s="1143"/>
      <c r="O808" s="1143"/>
    </row>
    <row r="809" ht="40.5" customHeight="1">
      <c r="A809" s="1147"/>
      <c r="B809" s="1140"/>
      <c r="C809" s="1148"/>
      <c r="D809" s="1142"/>
      <c r="E809" s="1149"/>
      <c r="F809" s="1149"/>
      <c r="G809" s="1149"/>
      <c r="H809" s="1150"/>
      <c r="I809" s="1151"/>
      <c r="J809" s="1149"/>
      <c r="K809" s="1152"/>
      <c r="L809" s="1152"/>
      <c r="M809" s="1149"/>
      <c r="N809" s="1149"/>
      <c r="O809" s="1149"/>
    </row>
    <row r="810" ht="40.5" customHeight="1">
      <c r="A810" s="1139"/>
      <c r="B810" s="1140"/>
      <c r="C810" s="1141"/>
      <c r="D810" s="1142"/>
      <c r="E810" s="1143"/>
      <c r="F810" s="1143"/>
      <c r="G810" s="1143"/>
      <c r="H810" s="1144"/>
      <c r="I810" s="1145"/>
      <c r="J810" s="1143"/>
      <c r="K810" s="1146"/>
      <c r="L810" s="1146"/>
      <c r="M810" s="1143"/>
      <c r="N810" s="1143"/>
      <c r="O810" s="1143"/>
    </row>
    <row r="811" ht="40.5" customHeight="1">
      <c r="A811" s="1147"/>
      <c r="B811" s="1140"/>
      <c r="C811" s="1148"/>
      <c r="D811" s="1142"/>
      <c r="E811" s="1149"/>
      <c r="F811" s="1149"/>
      <c r="G811" s="1149"/>
      <c r="H811" s="1150"/>
      <c r="I811" s="1151"/>
      <c r="J811" s="1149"/>
      <c r="K811" s="1149"/>
      <c r="L811" s="1149"/>
      <c r="M811" s="1149"/>
      <c r="N811" s="1149"/>
      <c r="O811" s="1149"/>
    </row>
    <row r="812" ht="40.5" customHeight="1">
      <c r="A812" s="1139"/>
      <c r="B812" s="1140"/>
      <c r="C812" s="1141"/>
      <c r="D812" s="1142"/>
      <c r="E812" s="1143"/>
      <c r="F812" s="1143"/>
      <c r="G812" s="1143"/>
      <c r="H812" s="1144"/>
      <c r="I812" s="1145"/>
      <c r="J812" s="1143"/>
      <c r="K812" s="1143"/>
      <c r="L812" s="1143"/>
      <c r="M812" s="1143"/>
      <c r="N812" s="1143"/>
      <c r="O812" s="1143"/>
    </row>
    <row r="813" ht="40.5" customHeight="1">
      <c r="A813" s="1147"/>
      <c r="B813" s="1140"/>
      <c r="C813" s="1148"/>
      <c r="D813" s="1142"/>
      <c r="E813" s="1149"/>
      <c r="F813" s="1149"/>
      <c r="G813" s="1149"/>
      <c r="H813" s="1150"/>
      <c r="I813" s="1151"/>
      <c r="J813" s="1149"/>
      <c r="K813" s="1149"/>
      <c r="L813" s="1149"/>
      <c r="M813" s="1149"/>
      <c r="N813" s="1149"/>
      <c r="O813" s="1149"/>
    </row>
    <row r="814" ht="40.5" customHeight="1">
      <c r="A814" s="1139"/>
      <c r="B814" s="1140"/>
      <c r="C814" s="1141"/>
      <c r="D814" s="1142"/>
      <c r="E814" s="1143"/>
      <c r="F814" s="1143"/>
      <c r="G814" s="1143"/>
      <c r="H814" s="1144"/>
      <c r="I814" s="1145"/>
      <c r="J814" s="1143"/>
      <c r="K814" s="1143"/>
      <c r="L814" s="1143"/>
      <c r="M814" s="1143"/>
      <c r="N814" s="1143"/>
      <c r="O814" s="1143"/>
    </row>
    <row r="815" ht="40.5" customHeight="1">
      <c r="A815" s="1147"/>
      <c r="B815" s="1140"/>
      <c r="C815" s="1148"/>
      <c r="D815" s="1142"/>
      <c r="E815" s="1149"/>
      <c r="F815" s="1149"/>
      <c r="G815" s="1149"/>
      <c r="H815" s="1150"/>
      <c r="I815" s="1151"/>
      <c r="J815" s="1149"/>
      <c r="K815" s="1149"/>
      <c r="L815" s="1149"/>
      <c r="M815" s="1149"/>
      <c r="N815" s="1149"/>
      <c r="O815" s="1149"/>
    </row>
    <row r="816" ht="40.5" customHeight="1">
      <c r="A816" s="1139"/>
      <c r="B816" s="1140"/>
      <c r="C816" s="1141"/>
      <c r="D816" s="1142"/>
      <c r="E816" s="1143"/>
      <c r="F816" s="1143"/>
      <c r="G816" s="1143"/>
      <c r="H816" s="1144"/>
      <c r="I816" s="1145"/>
      <c r="J816" s="1143"/>
      <c r="K816" s="1143"/>
      <c r="L816" s="1143"/>
      <c r="M816" s="1143"/>
      <c r="N816" s="1143"/>
      <c r="O816" s="1143"/>
    </row>
    <row r="817" ht="40.5" customHeight="1">
      <c r="A817" s="1147"/>
      <c r="B817" s="1140"/>
      <c r="C817" s="1148"/>
      <c r="D817" s="1142"/>
      <c r="E817" s="1149"/>
      <c r="F817" s="1149"/>
      <c r="G817" s="1149"/>
      <c r="H817" s="1150"/>
      <c r="I817" s="1151"/>
      <c r="J817" s="1149"/>
      <c r="K817" s="1149"/>
      <c r="L817" s="1149"/>
      <c r="M817" s="1149"/>
      <c r="N817" s="1149"/>
      <c r="O817" s="1149"/>
    </row>
    <row r="818" ht="40.5" customHeight="1">
      <c r="A818" s="1139"/>
      <c r="B818" s="1140"/>
      <c r="C818" s="1141"/>
      <c r="D818" s="1142"/>
      <c r="E818" s="1143"/>
      <c r="F818" s="1143"/>
      <c r="G818" s="1143"/>
      <c r="H818" s="1144"/>
      <c r="I818" s="1145"/>
      <c r="J818" s="1143"/>
      <c r="K818" s="1143"/>
      <c r="L818" s="1143"/>
      <c r="M818" s="1143"/>
      <c r="N818" s="1143"/>
      <c r="O818" s="1143"/>
    </row>
    <row r="819" ht="40.5" customHeight="1">
      <c r="A819" s="1147"/>
      <c r="B819" s="1140"/>
      <c r="C819" s="1148"/>
      <c r="D819" s="1142"/>
      <c r="E819" s="1149"/>
      <c r="F819" s="1149"/>
      <c r="G819" s="1149"/>
      <c r="H819" s="1150"/>
      <c r="I819" s="1151"/>
      <c r="J819" s="1149"/>
      <c r="K819" s="1149"/>
      <c r="L819" s="1149"/>
      <c r="M819" s="1149"/>
      <c r="N819" s="1149"/>
      <c r="O819" s="1149"/>
    </row>
    <row r="820" ht="40.5" customHeight="1">
      <c r="A820" s="1139"/>
      <c r="B820" s="1140"/>
      <c r="C820" s="1141"/>
      <c r="D820" s="1142"/>
      <c r="E820" s="1143"/>
      <c r="F820" s="1143"/>
      <c r="G820" s="1143"/>
      <c r="H820" s="1144"/>
      <c r="I820" s="1145"/>
      <c r="J820" s="1143"/>
      <c r="K820" s="1143"/>
      <c r="L820" s="1143"/>
      <c r="M820" s="1143"/>
      <c r="N820" s="1143"/>
      <c r="O820" s="1143"/>
    </row>
    <row r="821" ht="40.5" customHeight="1">
      <c r="A821" s="1147"/>
      <c r="B821" s="1140"/>
      <c r="C821" s="1148"/>
      <c r="D821" s="1142"/>
      <c r="E821" s="1149"/>
      <c r="F821" s="1149"/>
      <c r="G821" s="1149"/>
      <c r="H821" s="1150"/>
      <c r="I821" s="1151"/>
      <c r="J821" s="1149"/>
      <c r="K821" s="1149"/>
      <c r="L821" s="1149"/>
      <c r="M821" s="1149"/>
      <c r="N821" s="1149"/>
      <c r="O821" s="1149"/>
    </row>
    <row r="822" ht="40.5" customHeight="1">
      <c r="A822" s="1139"/>
      <c r="B822" s="1140"/>
      <c r="C822" s="1141"/>
      <c r="D822" s="1142"/>
      <c r="E822" s="1143"/>
      <c r="F822" s="1143"/>
      <c r="G822" s="1143"/>
      <c r="H822" s="1144"/>
      <c r="I822" s="1145"/>
      <c r="J822" s="1143"/>
      <c r="K822" s="1143"/>
      <c r="L822" s="1143"/>
      <c r="M822" s="1143"/>
      <c r="N822" s="1143"/>
      <c r="O822" s="1143"/>
    </row>
    <row r="823" ht="40.5" customHeight="1">
      <c r="A823" s="1147"/>
      <c r="B823" s="1140"/>
      <c r="C823" s="1148"/>
      <c r="D823" s="1142"/>
      <c r="E823" s="1149"/>
      <c r="F823" s="1149"/>
      <c r="G823" s="1149"/>
      <c r="H823" s="1150"/>
      <c r="I823" s="1151"/>
      <c r="J823" s="1149"/>
      <c r="K823" s="1149"/>
      <c r="L823" s="1149"/>
      <c r="M823" s="1149"/>
      <c r="N823" s="1149"/>
      <c r="O823" s="1149"/>
    </row>
    <row r="824" ht="40.5" customHeight="1">
      <c r="A824" s="1139"/>
      <c r="B824" s="1140"/>
      <c r="C824" s="1141"/>
      <c r="D824" s="1142"/>
      <c r="E824" s="1143"/>
      <c r="F824" s="1143"/>
      <c r="G824" s="1143"/>
      <c r="H824" s="1144"/>
      <c r="I824" s="1145"/>
      <c r="J824" s="1143"/>
      <c r="K824" s="1143"/>
      <c r="L824" s="1143"/>
      <c r="M824" s="1143"/>
      <c r="N824" s="1143"/>
      <c r="O824" s="1143"/>
    </row>
    <row r="825" ht="40.5" customHeight="1">
      <c r="A825" s="1147"/>
      <c r="B825" s="1140"/>
      <c r="C825" s="1148"/>
      <c r="D825" s="1142"/>
      <c r="E825" s="1149"/>
      <c r="F825" s="1149"/>
      <c r="G825" s="1149"/>
      <c r="H825" s="1150"/>
      <c r="I825" s="1151"/>
      <c r="J825" s="1149"/>
      <c r="K825" s="1149"/>
      <c r="L825" s="1149"/>
      <c r="M825" s="1149"/>
      <c r="N825" s="1149"/>
      <c r="O825" s="1149"/>
    </row>
    <row r="826" ht="40.5" customHeight="1">
      <c r="A826" s="1139"/>
      <c r="B826" s="1140"/>
      <c r="C826" s="1141"/>
      <c r="D826" s="1142"/>
      <c r="E826" s="1143"/>
      <c r="F826" s="1143"/>
      <c r="G826" s="1143"/>
      <c r="H826" s="1144"/>
      <c r="I826" s="1145"/>
      <c r="J826" s="1143"/>
      <c r="K826" s="1143"/>
      <c r="L826" s="1143"/>
      <c r="M826" s="1143"/>
      <c r="N826" s="1143"/>
      <c r="O826" s="1143"/>
    </row>
    <row r="827" ht="40.5" customHeight="1">
      <c r="A827" s="1147"/>
      <c r="B827" s="1140"/>
      <c r="C827" s="1148"/>
      <c r="D827" s="1142"/>
      <c r="E827" s="1149"/>
      <c r="F827" s="1149"/>
      <c r="G827" s="1149"/>
      <c r="H827" s="1150"/>
      <c r="I827" s="1151"/>
      <c r="J827" s="1149"/>
      <c r="K827" s="1149"/>
      <c r="L827" s="1149"/>
      <c r="M827" s="1149"/>
      <c r="N827" s="1149"/>
      <c r="O827" s="1149"/>
    </row>
    <row r="828" ht="40.5" customHeight="1">
      <c r="A828" s="1139"/>
      <c r="B828" s="1140"/>
      <c r="C828" s="1141"/>
      <c r="D828" s="1142"/>
      <c r="E828" s="1143"/>
      <c r="F828" s="1143"/>
      <c r="G828" s="1143"/>
      <c r="H828" s="1144"/>
      <c r="I828" s="1145"/>
      <c r="J828" s="1143"/>
      <c r="K828" s="1143"/>
      <c r="L828" s="1143"/>
      <c r="M828" s="1143"/>
      <c r="N828" s="1143"/>
      <c r="O828" s="1143"/>
    </row>
    <row r="829" ht="40.5" customHeight="1">
      <c r="A829" s="1147"/>
      <c r="B829" s="1140"/>
      <c r="C829" s="1148"/>
      <c r="D829" s="1142"/>
      <c r="E829" s="1149"/>
      <c r="F829" s="1149"/>
      <c r="G829" s="1149"/>
      <c r="H829" s="1150"/>
      <c r="I829" s="1151"/>
      <c r="J829" s="1149"/>
      <c r="K829" s="1149"/>
      <c r="L829" s="1149"/>
      <c r="M829" s="1149"/>
      <c r="N829" s="1149"/>
      <c r="O829" s="1149"/>
    </row>
    <row r="830" ht="40.5" customHeight="1">
      <c r="A830" s="1139"/>
      <c r="B830" s="1140"/>
      <c r="C830" s="1141"/>
      <c r="D830" s="1142"/>
      <c r="E830" s="1143"/>
      <c r="F830" s="1143"/>
      <c r="G830" s="1143"/>
      <c r="H830" s="1144"/>
      <c r="I830" s="1145"/>
      <c r="J830" s="1143"/>
      <c r="K830" s="1143"/>
      <c r="L830" s="1143"/>
      <c r="M830" s="1143"/>
      <c r="N830" s="1143"/>
      <c r="O830" s="1143"/>
    </row>
    <row r="831" ht="40.5" customHeight="1">
      <c r="A831" s="1147"/>
      <c r="B831" s="1140"/>
      <c r="C831" s="1148"/>
      <c r="D831" s="1142"/>
      <c r="E831" s="1149"/>
      <c r="F831" s="1149"/>
      <c r="G831" s="1149"/>
      <c r="H831" s="1150"/>
      <c r="I831" s="1151"/>
      <c r="J831" s="1149"/>
      <c r="K831" s="1149"/>
      <c r="L831" s="1149"/>
      <c r="M831" s="1149"/>
      <c r="N831" s="1149"/>
      <c r="O831" s="1149"/>
    </row>
    <row r="832" ht="40.5" customHeight="1">
      <c r="A832" s="1139"/>
      <c r="B832" s="1140"/>
      <c r="C832" s="1141"/>
      <c r="D832" s="1142"/>
      <c r="E832" s="1143"/>
      <c r="F832" s="1143"/>
      <c r="G832" s="1143"/>
      <c r="H832" s="1144"/>
      <c r="I832" s="1145"/>
      <c r="J832" s="1143"/>
      <c r="K832" s="1143"/>
      <c r="L832" s="1143"/>
      <c r="M832" s="1143"/>
      <c r="N832" s="1143"/>
      <c r="O832" s="1143"/>
    </row>
    <row r="833" ht="40.5" customHeight="1">
      <c r="A833" s="1147"/>
      <c r="B833" s="1140"/>
      <c r="C833" s="1148"/>
      <c r="D833" s="1142"/>
      <c r="E833" s="1149"/>
      <c r="F833" s="1149"/>
      <c r="G833" s="1149"/>
      <c r="H833" s="1150"/>
      <c r="I833" s="1151"/>
      <c r="J833" s="1149"/>
      <c r="K833" s="1149"/>
      <c r="L833" s="1149"/>
      <c r="M833" s="1149"/>
      <c r="N833" s="1149"/>
      <c r="O833" s="1149"/>
    </row>
    <row r="834" ht="40.5" customHeight="1">
      <c r="A834" s="1139"/>
      <c r="B834" s="1140"/>
      <c r="C834" s="1141"/>
      <c r="D834" s="1142"/>
      <c r="E834" s="1143"/>
      <c r="F834" s="1143"/>
      <c r="G834" s="1143"/>
      <c r="H834" s="1144"/>
      <c r="I834" s="1145"/>
      <c r="J834" s="1143"/>
      <c r="K834" s="1143"/>
      <c r="L834" s="1143"/>
      <c r="M834" s="1143"/>
      <c r="N834" s="1143"/>
      <c r="O834" s="1143"/>
    </row>
    <row r="835" ht="40.5" customHeight="1">
      <c r="A835" s="1147"/>
      <c r="B835" s="1140"/>
      <c r="C835" s="1148"/>
      <c r="D835" s="1142"/>
      <c r="E835" s="1149"/>
      <c r="F835" s="1149"/>
      <c r="G835" s="1149"/>
      <c r="H835" s="1150"/>
      <c r="I835" s="1151"/>
      <c r="J835" s="1149"/>
      <c r="K835" s="1149"/>
      <c r="L835" s="1149"/>
      <c r="M835" s="1149"/>
      <c r="N835" s="1149"/>
      <c r="O835" s="1149"/>
    </row>
    <row r="836" ht="40.5" customHeight="1">
      <c r="A836" s="1139"/>
      <c r="B836" s="1140"/>
      <c r="C836" s="1141"/>
      <c r="D836" s="1142"/>
      <c r="E836" s="1143"/>
      <c r="F836" s="1143"/>
      <c r="G836" s="1143"/>
      <c r="H836" s="1144"/>
      <c r="I836" s="1145"/>
      <c r="J836" s="1143"/>
      <c r="K836" s="1143"/>
      <c r="L836" s="1143"/>
      <c r="M836" s="1143"/>
      <c r="N836" s="1143"/>
      <c r="O836" s="1143"/>
    </row>
    <row r="837" ht="40.5" customHeight="1">
      <c r="A837" s="1147"/>
      <c r="B837" s="1140"/>
      <c r="C837" s="1148"/>
      <c r="D837" s="1142"/>
      <c r="E837" s="1149"/>
      <c r="F837" s="1149"/>
      <c r="G837" s="1149"/>
      <c r="H837" s="1150"/>
      <c r="I837" s="1151"/>
      <c r="J837" s="1149"/>
      <c r="K837" s="1149"/>
      <c r="L837" s="1149"/>
      <c r="M837" s="1149"/>
      <c r="N837" s="1149"/>
      <c r="O837" s="1149"/>
    </row>
    <row r="838" ht="40.5" customHeight="1">
      <c r="A838" s="1139"/>
      <c r="B838" s="1140"/>
      <c r="C838" s="1141"/>
      <c r="D838" s="1142"/>
      <c r="E838" s="1143"/>
      <c r="F838" s="1143"/>
      <c r="G838" s="1143"/>
      <c r="H838" s="1144"/>
      <c r="I838" s="1145"/>
      <c r="J838" s="1143"/>
      <c r="K838" s="1143"/>
      <c r="L838" s="1143"/>
      <c r="M838" s="1143"/>
      <c r="N838" s="1143"/>
      <c r="O838" s="1143"/>
    </row>
    <row r="839" ht="40.5" customHeight="1">
      <c r="A839" s="1147"/>
      <c r="B839" s="1140"/>
      <c r="C839" s="1148"/>
      <c r="D839" s="1142"/>
      <c r="E839" s="1149"/>
      <c r="F839" s="1149"/>
      <c r="G839" s="1149"/>
      <c r="H839" s="1150"/>
      <c r="I839" s="1151"/>
      <c r="J839" s="1149"/>
      <c r="K839" s="1149"/>
      <c r="L839" s="1149"/>
      <c r="M839" s="1149"/>
      <c r="N839" s="1149"/>
      <c r="O839" s="1149"/>
    </row>
    <row r="840" ht="40.5" customHeight="1">
      <c r="A840" s="1139"/>
      <c r="B840" s="1140"/>
      <c r="C840" s="1141"/>
      <c r="D840" s="1142"/>
      <c r="E840" s="1143"/>
      <c r="F840" s="1143"/>
      <c r="G840" s="1143"/>
      <c r="H840" s="1144"/>
      <c r="I840" s="1145"/>
      <c r="J840" s="1143"/>
      <c r="K840" s="1143"/>
      <c r="L840" s="1143"/>
      <c r="M840" s="1143"/>
      <c r="N840" s="1143"/>
      <c r="O840" s="1143"/>
    </row>
    <row r="841" ht="40.5" customHeight="1">
      <c r="A841" s="1147"/>
      <c r="B841" s="1140"/>
      <c r="C841" s="1148"/>
      <c r="D841" s="1142"/>
      <c r="E841" s="1149"/>
      <c r="F841" s="1149"/>
      <c r="G841" s="1149"/>
      <c r="H841" s="1150"/>
      <c r="I841" s="1151"/>
      <c r="J841" s="1149"/>
      <c r="K841" s="1149"/>
      <c r="L841" s="1149"/>
      <c r="M841" s="1149"/>
      <c r="N841" s="1149"/>
      <c r="O841" s="1149"/>
    </row>
    <row r="842" ht="40.5" customHeight="1">
      <c r="A842" s="1139"/>
      <c r="B842" s="1140"/>
      <c r="C842" s="1141"/>
      <c r="D842" s="1142"/>
      <c r="E842" s="1143"/>
      <c r="F842" s="1143"/>
      <c r="G842" s="1143"/>
      <c r="H842" s="1144"/>
      <c r="I842" s="1145"/>
      <c r="J842" s="1143"/>
      <c r="K842" s="1143"/>
      <c r="L842" s="1143"/>
      <c r="M842" s="1143"/>
      <c r="N842" s="1143"/>
      <c r="O842" s="1143"/>
    </row>
    <row r="843" ht="40.5" customHeight="1">
      <c r="A843" s="1147"/>
      <c r="B843" s="1140"/>
      <c r="C843" s="1148"/>
      <c r="D843" s="1142"/>
      <c r="E843" s="1149"/>
      <c r="F843" s="1149"/>
      <c r="G843" s="1149"/>
      <c r="H843" s="1150"/>
      <c r="I843" s="1151"/>
      <c r="J843" s="1149"/>
      <c r="K843" s="1149"/>
      <c r="L843" s="1149"/>
      <c r="M843" s="1149"/>
      <c r="N843" s="1149"/>
      <c r="O843" s="1149"/>
    </row>
    <row r="844" ht="40.5" customHeight="1">
      <c r="A844" s="1139"/>
      <c r="B844" s="1140"/>
      <c r="C844" s="1141"/>
      <c r="D844" s="1142"/>
      <c r="E844" s="1143"/>
      <c r="F844" s="1143"/>
      <c r="G844" s="1143"/>
      <c r="H844" s="1144"/>
      <c r="I844" s="1145"/>
      <c r="J844" s="1143"/>
      <c r="K844" s="1143"/>
      <c r="L844" s="1143"/>
      <c r="M844" s="1143"/>
      <c r="N844" s="1143"/>
      <c r="O844" s="1143"/>
    </row>
    <row r="845" ht="40.5" customHeight="1">
      <c r="A845" s="1147"/>
      <c r="B845" s="1140"/>
      <c r="C845" s="1148"/>
      <c r="D845" s="1142"/>
      <c r="E845" s="1149"/>
      <c r="F845" s="1149"/>
      <c r="G845" s="1149"/>
      <c r="H845" s="1150"/>
      <c r="I845" s="1151"/>
      <c r="J845" s="1149"/>
      <c r="K845" s="1149"/>
      <c r="L845" s="1149"/>
      <c r="M845" s="1149"/>
      <c r="N845" s="1149"/>
      <c r="O845" s="1149"/>
    </row>
    <row r="846" ht="40.5" customHeight="1">
      <c r="A846" s="1139"/>
      <c r="B846" s="1140"/>
      <c r="C846" s="1141"/>
      <c r="D846" s="1142"/>
      <c r="E846" s="1143"/>
      <c r="F846" s="1143"/>
      <c r="G846" s="1143"/>
      <c r="H846" s="1144"/>
      <c r="I846" s="1145"/>
      <c r="J846" s="1143"/>
      <c r="K846" s="1143"/>
      <c r="L846" s="1143"/>
      <c r="M846" s="1143"/>
      <c r="N846" s="1143"/>
      <c r="O846" s="1143"/>
    </row>
    <row r="847" ht="40.5" customHeight="1">
      <c r="A847" s="1147"/>
      <c r="B847" s="1140"/>
      <c r="C847" s="1148"/>
      <c r="D847" s="1142"/>
      <c r="E847" s="1149"/>
      <c r="F847" s="1149"/>
      <c r="G847" s="1149"/>
      <c r="H847" s="1150"/>
      <c r="I847" s="1151"/>
      <c r="J847" s="1149"/>
      <c r="K847" s="1149"/>
      <c r="L847" s="1149"/>
      <c r="M847" s="1149"/>
      <c r="N847" s="1149"/>
      <c r="O847" s="1149"/>
    </row>
    <row r="848" ht="40.5" customHeight="1">
      <c r="A848" s="1139"/>
      <c r="B848" s="1140"/>
      <c r="C848" s="1141"/>
      <c r="D848" s="1142"/>
      <c r="E848" s="1143"/>
      <c r="F848" s="1143"/>
      <c r="G848" s="1143"/>
      <c r="H848" s="1144"/>
      <c r="I848" s="1145"/>
      <c r="J848" s="1143"/>
      <c r="K848" s="1143"/>
      <c r="L848" s="1143"/>
      <c r="M848" s="1143"/>
      <c r="N848" s="1143"/>
      <c r="O848" s="1143"/>
    </row>
    <row r="849" ht="40.5" customHeight="1">
      <c r="A849" s="1147"/>
      <c r="B849" s="1140"/>
      <c r="C849" s="1148"/>
      <c r="D849" s="1142"/>
      <c r="E849" s="1149"/>
      <c r="F849" s="1149"/>
      <c r="G849" s="1149"/>
      <c r="H849" s="1150"/>
      <c r="I849" s="1151"/>
      <c r="J849" s="1149"/>
      <c r="K849" s="1149"/>
      <c r="L849" s="1149"/>
      <c r="M849" s="1149"/>
      <c r="N849" s="1149"/>
      <c r="O849" s="1149"/>
    </row>
    <row r="850" ht="40.5" customHeight="1">
      <c r="A850" s="1139"/>
      <c r="B850" s="1140"/>
      <c r="C850" s="1141"/>
      <c r="D850" s="1142"/>
      <c r="E850" s="1143"/>
      <c r="F850" s="1143"/>
      <c r="G850" s="1143"/>
      <c r="H850" s="1144"/>
      <c r="I850" s="1145"/>
      <c r="J850" s="1143"/>
      <c r="K850" s="1143"/>
      <c r="L850" s="1143"/>
      <c r="M850" s="1143"/>
      <c r="N850" s="1143"/>
      <c r="O850" s="1143"/>
    </row>
    <row r="851" ht="40.5" customHeight="1">
      <c r="A851" s="1147"/>
      <c r="B851" s="1140"/>
      <c r="C851" s="1148"/>
      <c r="D851" s="1142"/>
      <c r="E851" s="1149"/>
      <c r="F851" s="1149"/>
      <c r="G851" s="1149"/>
      <c r="H851" s="1150"/>
      <c r="I851" s="1151"/>
      <c r="J851" s="1149"/>
      <c r="K851" s="1149"/>
      <c r="L851" s="1149"/>
      <c r="M851" s="1149"/>
      <c r="N851" s="1149"/>
      <c r="O851" s="1149"/>
    </row>
    <row r="852" ht="40.5" customHeight="1">
      <c r="A852" s="1139"/>
      <c r="B852" s="1140"/>
      <c r="C852" s="1141"/>
      <c r="D852" s="1142"/>
      <c r="E852" s="1143"/>
      <c r="F852" s="1143"/>
      <c r="G852" s="1143"/>
      <c r="H852" s="1144"/>
      <c r="I852" s="1145"/>
      <c r="J852" s="1143"/>
      <c r="K852" s="1143"/>
      <c r="L852" s="1143"/>
      <c r="M852" s="1143"/>
      <c r="N852" s="1143"/>
      <c r="O852" s="1143"/>
    </row>
    <row r="853" ht="40.5" customHeight="1">
      <c r="A853" s="1147"/>
      <c r="B853" s="1140"/>
      <c r="C853" s="1148"/>
      <c r="D853" s="1142"/>
      <c r="E853" s="1149"/>
      <c r="F853" s="1149"/>
      <c r="G853" s="1149"/>
      <c r="H853" s="1150"/>
      <c r="I853" s="1151"/>
      <c r="J853" s="1149"/>
      <c r="K853" s="1149"/>
      <c r="L853" s="1149"/>
      <c r="M853" s="1149"/>
      <c r="N853" s="1149"/>
      <c r="O853" s="1149"/>
    </row>
    <row r="854" ht="40.5" customHeight="1">
      <c r="A854" s="1139"/>
      <c r="B854" s="1140"/>
      <c r="C854" s="1141"/>
      <c r="D854" s="1142"/>
      <c r="E854" s="1143"/>
      <c r="F854" s="1143"/>
      <c r="G854" s="1143"/>
      <c r="H854" s="1144"/>
      <c r="I854" s="1145"/>
      <c r="J854" s="1143"/>
      <c r="K854" s="1143"/>
      <c r="L854" s="1143"/>
      <c r="M854" s="1143"/>
      <c r="N854" s="1143"/>
      <c r="O854" s="1143"/>
    </row>
    <row r="855" ht="40.5" customHeight="1">
      <c r="A855" s="1147"/>
      <c r="B855" s="1140"/>
      <c r="C855" s="1148"/>
      <c r="D855" s="1142"/>
      <c r="E855" s="1149"/>
      <c r="F855" s="1149"/>
      <c r="G855" s="1149"/>
      <c r="H855" s="1150"/>
      <c r="I855" s="1151"/>
      <c r="J855" s="1149"/>
      <c r="K855" s="1149"/>
      <c r="L855" s="1149"/>
      <c r="M855" s="1149"/>
      <c r="N855" s="1149"/>
      <c r="O855" s="1149"/>
    </row>
    <row r="856" ht="40.5" customHeight="1">
      <c r="A856" s="1139"/>
      <c r="B856" s="1140"/>
      <c r="C856" s="1141"/>
      <c r="D856" s="1142"/>
      <c r="E856" s="1143"/>
      <c r="F856" s="1143"/>
      <c r="G856" s="1143"/>
      <c r="H856" s="1144"/>
      <c r="I856" s="1145"/>
      <c r="J856" s="1143"/>
      <c r="K856" s="1143"/>
      <c r="L856" s="1143"/>
      <c r="M856" s="1143"/>
      <c r="N856" s="1143"/>
      <c r="O856" s="1143"/>
    </row>
    <row r="857" ht="40.5" customHeight="1">
      <c r="A857" s="1147"/>
      <c r="B857" s="1140"/>
      <c r="C857" s="1148"/>
      <c r="D857" s="1142"/>
      <c r="E857" s="1149"/>
      <c r="F857" s="1149"/>
      <c r="G857" s="1149"/>
      <c r="H857" s="1150"/>
      <c r="I857" s="1151"/>
      <c r="J857" s="1149"/>
      <c r="K857" s="1149"/>
      <c r="L857" s="1149"/>
      <c r="M857" s="1149"/>
      <c r="N857" s="1149"/>
      <c r="O857" s="1149"/>
    </row>
    <row r="858" ht="40.5" customHeight="1">
      <c r="A858" s="1139"/>
      <c r="B858" s="1140"/>
      <c r="C858" s="1141"/>
      <c r="D858" s="1142"/>
      <c r="E858" s="1143"/>
      <c r="F858" s="1143"/>
      <c r="G858" s="1143"/>
      <c r="H858" s="1144"/>
      <c r="I858" s="1145"/>
      <c r="J858" s="1143"/>
      <c r="K858" s="1143"/>
      <c r="L858" s="1143"/>
      <c r="M858" s="1143"/>
      <c r="N858" s="1143"/>
      <c r="O858" s="1143"/>
    </row>
    <row r="859" ht="40.5" customHeight="1">
      <c r="A859" s="1147"/>
      <c r="B859" s="1140"/>
      <c r="C859" s="1148"/>
      <c r="D859" s="1142"/>
      <c r="E859" s="1149"/>
      <c r="F859" s="1149"/>
      <c r="G859" s="1149"/>
      <c r="H859" s="1150"/>
      <c r="I859" s="1151"/>
      <c r="J859" s="1149"/>
      <c r="K859" s="1149"/>
      <c r="L859" s="1149"/>
      <c r="M859" s="1149"/>
      <c r="N859" s="1149"/>
      <c r="O859" s="1149"/>
    </row>
    <row r="860" ht="40.5" customHeight="1">
      <c r="A860" s="1139"/>
      <c r="B860" s="1140"/>
      <c r="C860" s="1141"/>
      <c r="D860" s="1142"/>
      <c r="E860" s="1143"/>
      <c r="F860" s="1143"/>
      <c r="G860" s="1143"/>
      <c r="H860" s="1144"/>
      <c r="I860" s="1145"/>
      <c r="J860" s="1143"/>
      <c r="K860" s="1143"/>
      <c r="L860" s="1143"/>
      <c r="M860" s="1143"/>
      <c r="N860" s="1143"/>
      <c r="O860" s="1143"/>
    </row>
    <row r="861" ht="40.5" customHeight="1">
      <c r="A861" s="1147"/>
      <c r="B861" s="1140"/>
      <c r="C861" s="1148"/>
      <c r="D861" s="1142"/>
      <c r="E861" s="1149"/>
      <c r="F861" s="1149"/>
      <c r="G861" s="1149"/>
      <c r="H861" s="1150"/>
      <c r="I861" s="1151"/>
      <c r="J861" s="1149"/>
      <c r="K861" s="1149"/>
      <c r="L861" s="1149"/>
      <c r="M861" s="1149"/>
      <c r="N861" s="1149"/>
      <c r="O861" s="1149"/>
    </row>
    <row r="862" ht="40.5" customHeight="1">
      <c r="A862" s="1139"/>
      <c r="B862" s="1140"/>
      <c r="C862" s="1141"/>
      <c r="D862" s="1142"/>
      <c r="E862" s="1143"/>
      <c r="F862" s="1143"/>
      <c r="G862" s="1143"/>
      <c r="H862" s="1144"/>
      <c r="I862" s="1145"/>
      <c r="J862" s="1143"/>
      <c r="K862" s="1143"/>
      <c r="L862" s="1143"/>
      <c r="M862" s="1143"/>
      <c r="N862" s="1143"/>
      <c r="O862" s="1143"/>
    </row>
    <row r="863" ht="40.5" customHeight="1">
      <c r="A863" s="1147"/>
      <c r="B863" s="1140"/>
      <c r="C863" s="1148"/>
      <c r="D863" s="1142"/>
      <c r="E863" s="1149"/>
      <c r="F863" s="1149"/>
      <c r="G863" s="1149"/>
      <c r="H863" s="1150"/>
      <c r="I863" s="1151"/>
      <c r="J863" s="1149"/>
      <c r="K863" s="1149"/>
      <c r="L863" s="1149"/>
      <c r="M863" s="1149"/>
      <c r="N863" s="1149"/>
      <c r="O863" s="1149"/>
    </row>
    <row r="864" ht="40.5" customHeight="1">
      <c r="A864" s="1139"/>
      <c r="B864" s="1140"/>
      <c r="C864" s="1141"/>
      <c r="D864" s="1142"/>
      <c r="E864" s="1143"/>
      <c r="F864" s="1143"/>
      <c r="G864" s="1143"/>
      <c r="H864" s="1144"/>
      <c r="I864" s="1145"/>
      <c r="J864" s="1143"/>
      <c r="K864" s="1143"/>
      <c r="L864" s="1143"/>
      <c r="M864" s="1143"/>
      <c r="N864" s="1143"/>
      <c r="O864" s="1143"/>
    </row>
    <row r="865" ht="40.5" customHeight="1">
      <c r="A865" s="1147"/>
      <c r="B865" s="1140"/>
      <c r="C865" s="1148"/>
      <c r="D865" s="1142"/>
      <c r="E865" s="1149"/>
      <c r="F865" s="1149"/>
      <c r="G865" s="1149"/>
      <c r="H865" s="1150"/>
      <c r="I865" s="1151"/>
      <c r="J865" s="1149"/>
      <c r="K865" s="1149"/>
      <c r="L865" s="1149"/>
      <c r="M865" s="1149"/>
      <c r="N865" s="1149"/>
      <c r="O865" s="1149"/>
    </row>
    <row r="866" ht="40.5" customHeight="1">
      <c r="A866" s="1139"/>
      <c r="B866" s="1140"/>
      <c r="C866" s="1141"/>
      <c r="D866" s="1142"/>
      <c r="E866" s="1143"/>
      <c r="F866" s="1143"/>
      <c r="G866" s="1143"/>
      <c r="H866" s="1144"/>
      <c r="I866" s="1145"/>
      <c r="J866" s="1143"/>
      <c r="K866" s="1143"/>
      <c r="L866" s="1143"/>
      <c r="M866" s="1143"/>
      <c r="N866" s="1143"/>
      <c r="O866" s="1143"/>
    </row>
    <row r="867" ht="40.5" customHeight="1">
      <c r="A867" s="1147"/>
      <c r="B867" s="1140"/>
      <c r="C867" s="1148"/>
      <c r="D867" s="1142"/>
      <c r="E867" s="1149"/>
      <c r="F867" s="1149"/>
      <c r="G867" s="1149"/>
      <c r="H867" s="1150"/>
      <c r="I867" s="1151"/>
      <c r="J867" s="1149"/>
      <c r="K867" s="1149"/>
      <c r="L867" s="1149"/>
      <c r="M867" s="1149"/>
      <c r="N867" s="1149"/>
      <c r="O867" s="1149"/>
    </row>
    <row r="868" ht="40.5" customHeight="1">
      <c r="A868" s="1139"/>
      <c r="B868" s="1140"/>
      <c r="C868" s="1141"/>
      <c r="D868" s="1142"/>
      <c r="E868" s="1143"/>
      <c r="F868" s="1143"/>
      <c r="G868" s="1143"/>
      <c r="H868" s="1144"/>
      <c r="I868" s="1145"/>
      <c r="J868" s="1143"/>
      <c r="K868" s="1143"/>
      <c r="L868" s="1143"/>
      <c r="M868" s="1143"/>
      <c r="N868" s="1143"/>
      <c r="O868" s="1143"/>
    </row>
    <row r="869" ht="40.5" customHeight="1">
      <c r="A869" s="1147"/>
      <c r="B869" s="1140"/>
      <c r="C869" s="1148"/>
      <c r="D869" s="1142"/>
      <c r="E869" s="1149"/>
      <c r="F869" s="1149"/>
      <c r="G869" s="1149"/>
      <c r="H869" s="1150"/>
      <c r="I869" s="1151"/>
      <c r="J869" s="1149"/>
      <c r="K869" s="1149"/>
      <c r="L869" s="1149"/>
      <c r="M869" s="1149"/>
      <c r="N869" s="1149"/>
      <c r="O869" s="1149"/>
    </row>
    <row r="870" ht="40.5" customHeight="1">
      <c r="A870" s="1139"/>
      <c r="B870" s="1140"/>
      <c r="C870" s="1141"/>
      <c r="D870" s="1142"/>
      <c r="E870" s="1143"/>
      <c r="F870" s="1143"/>
      <c r="G870" s="1143"/>
      <c r="H870" s="1144"/>
      <c r="I870" s="1145"/>
      <c r="J870" s="1143"/>
      <c r="K870" s="1143"/>
      <c r="L870" s="1143"/>
      <c r="M870" s="1143"/>
      <c r="N870" s="1143"/>
      <c r="O870" s="1143"/>
    </row>
    <row r="871" ht="40.5" customHeight="1">
      <c r="A871" s="1147"/>
      <c r="B871" s="1140"/>
      <c r="C871" s="1148"/>
      <c r="D871" s="1142"/>
      <c r="E871" s="1149"/>
      <c r="F871" s="1149"/>
      <c r="G871" s="1149"/>
      <c r="H871" s="1150"/>
      <c r="I871" s="1151"/>
      <c r="J871" s="1149"/>
      <c r="K871" s="1149"/>
      <c r="L871" s="1149"/>
      <c r="M871" s="1149"/>
      <c r="N871" s="1149"/>
      <c r="O871" s="1149"/>
    </row>
    <row r="872" ht="40.5" customHeight="1">
      <c r="A872" s="1139"/>
      <c r="B872" s="1140"/>
      <c r="C872" s="1141"/>
      <c r="D872" s="1142"/>
      <c r="E872" s="1143"/>
      <c r="F872" s="1143"/>
      <c r="G872" s="1143"/>
      <c r="H872" s="1144"/>
      <c r="I872" s="1145"/>
      <c r="J872" s="1143"/>
      <c r="K872" s="1143"/>
      <c r="L872" s="1143"/>
      <c r="M872" s="1143"/>
      <c r="N872" s="1143"/>
      <c r="O872" s="1143"/>
    </row>
    <row r="873" ht="40.5" customHeight="1">
      <c r="A873" s="1147"/>
      <c r="B873" s="1140"/>
      <c r="C873" s="1148"/>
      <c r="D873" s="1142"/>
      <c r="E873" s="1149"/>
      <c r="F873" s="1149"/>
      <c r="G873" s="1149"/>
      <c r="H873" s="1150"/>
      <c r="I873" s="1151"/>
      <c r="J873" s="1149"/>
      <c r="K873" s="1149"/>
      <c r="L873" s="1149"/>
      <c r="M873" s="1149"/>
      <c r="N873" s="1149"/>
      <c r="O873" s="1149"/>
    </row>
    <row r="874" ht="40.5" customHeight="1">
      <c r="A874" s="1139"/>
      <c r="B874" s="1140"/>
      <c r="C874" s="1141"/>
      <c r="D874" s="1142"/>
      <c r="E874" s="1143"/>
      <c r="F874" s="1143"/>
      <c r="G874" s="1143"/>
      <c r="H874" s="1144"/>
      <c r="I874" s="1145"/>
      <c r="J874" s="1143"/>
      <c r="K874" s="1143"/>
      <c r="L874" s="1143"/>
      <c r="M874" s="1143"/>
      <c r="N874" s="1143"/>
      <c r="O874" s="1143"/>
    </row>
    <row r="875" ht="40.5" customHeight="1">
      <c r="A875" s="1147"/>
      <c r="B875" s="1140"/>
      <c r="C875" s="1148"/>
      <c r="D875" s="1142"/>
      <c r="E875" s="1149"/>
      <c r="F875" s="1149"/>
      <c r="G875" s="1149"/>
      <c r="H875" s="1150"/>
      <c r="I875" s="1151"/>
      <c r="J875" s="1149"/>
      <c r="K875" s="1149"/>
      <c r="L875" s="1149"/>
      <c r="M875" s="1149"/>
      <c r="N875" s="1149"/>
      <c r="O875" s="1149"/>
    </row>
    <row r="876" ht="40.5" customHeight="1">
      <c r="A876" s="1139"/>
      <c r="B876" s="1140"/>
      <c r="C876" s="1141"/>
      <c r="D876" s="1142"/>
      <c r="E876" s="1143"/>
      <c r="F876" s="1143"/>
      <c r="G876" s="1143"/>
      <c r="H876" s="1144"/>
      <c r="I876" s="1145"/>
      <c r="J876" s="1143"/>
      <c r="K876" s="1143"/>
      <c r="L876" s="1143"/>
      <c r="M876" s="1143"/>
      <c r="N876" s="1143"/>
      <c r="O876" s="1143"/>
    </row>
    <row r="877" ht="40.5" customHeight="1">
      <c r="A877" s="1147"/>
      <c r="B877" s="1140"/>
      <c r="C877" s="1148"/>
      <c r="D877" s="1142"/>
      <c r="E877" s="1149"/>
      <c r="F877" s="1149"/>
      <c r="G877" s="1149"/>
      <c r="H877" s="1150"/>
      <c r="I877" s="1151"/>
      <c r="J877" s="1149"/>
      <c r="K877" s="1149"/>
      <c r="L877" s="1149"/>
      <c r="M877" s="1149"/>
      <c r="N877" s="1149"/>
      <c r="O877" s="1149"/>
    </row>
    <row r="878" ht="40.5" customHeight="1">
      <c r="A878" s="1139"/>
      <c r="B878" s="1140"/>
      <c r="C878" s="1141"/>
      <c r="D878" s="1142"/>
      <c r="E878" s="1143"/>
      <c r="F878" s="1143"/>
      <c r="G878" s="1143"/>
      <c r="H878" s="1144"/>
      <c r="I878" s="1145"/>
      <c r="J878" s="1143"/>
      <c r="K878" s="1143"/>
      <c r="L878" s="1143"/>
      <c r="M878" s="1143"/>
      <c r="N878" s="1143"/>
      <c r="O878" s="1143"/>
    </row>
    <row r="879" ht="40.5" customHeight="1">
      <c r="A879" s="1147"/>
      <c r="B879" s="1140"/>
      <c r="C879" s="1148"/>
      <c r="D879" s="1142"/>
      <c r="E879" s="1149"/>
      <c r="F879" s="1149"/>
      <c r="G879" s="1149"/>
      <c r="H879" s="1150"/>
      <c r="I879" s="1151"/>
      <c r="J879" s="1149"/>
      <c r="K879" s="1149"/>
      <c r="L879" s="1149"/>
      <c r="M879" s="1149"/>
      <c r="N879" s="1149"/>
      <c r="O879" s="1149"/>
    </row>
    <row r="880" ht="40.5" customHeight="1">
      <c r="A880" s="1139"/>
      <c r="B880" s="1140"/>
      <c r="C880" s="1141"/>
      <c r="D880" s="1142"/>
      <c r="E880" s="1143"/>
      <c r="F880" s="1143"/>
      <c r="G880" s="1143"/>
      <c r="H880" s="1144"/>
      <c r="I880" s="1145"/>
      <c r="J880" s="1143"/>
      <c r="K880" s="1143"/>
      <c r="L880" s="1143"/>
      <c r="M880" s="1143"/>
      <c r="N880" s="1143"/>
      <c r="O880" s="1143"/>
    </row>
    <row r="881" ht="40.5" customHeight="1">
      <c r="A881" s="1147"/>
      <c r="B881" s="1140"/>
      <c r="C881" s="1148"/>
      <c r="D881" s="1142"/>
      <c r="E881" s="1149"/>
      <c r="F881" s="1149"/>
      <c r="G881" s="1149"/>
      <c r="H881" s="1150"/>
      <c r="I881" s="1151"/>
      <c r="J881" s="1149"/>
      <c r="K881" s="1149"/>
      <c r="L881" s="1149"/>
      <c r="M881" s="1149"/>
      <c r="N881" s="1149"/>
      <c r="O881" s="1149"/>
    </row>
    <row r="882" ht="40.5" customHeight="1">
      <c r="A882" s="1139"/>
      <c r="B882" s="1140"/>
      <c r="C882" s="1141"/>
      <c r="D882" s="1142"/>
      <c r="E882" s="1143"/>
      <c r="F882" s="1143"/>
      <c r="G882" s="1143"/>
      <c r="H882" s="1144"/>
      <c r="I882" s="1145"/>
      <c r="J882" s="1143"/>
      <c r="K882" s="1143"/>
      <c r="L882" s="1143"/>
      <c r="M882" s="1143"/>
      <c r="N882" s="1143"/>
      <c r="O882" s="1143"/>
    </row>
    <row r="883" ht="40.5" customHeight="1">
      <c r="A883" s="1147"/>
      <c r="B883" s="1140"/>
      <c r="C883" s="1148"/>
      <c r="D883" s="1142"/>
      <c r="E883" s="1149"/>
      <c r="F883" s="1149"/>
      <c r="G883" s="1149"/>
      <c r="H883" s="1150"/>
      <c r="I883" s="1151"/>
      <c r="J883" s="1149"/>
      <c r="K883" s="1149"/>
      <c r="L883" s="1149"/>
      <c r="M883" s="1149"/>
      <c r="N883" s="1149"/>
      <c r="O883" s="1149"/>
    </row>
    <row r="884" ht="40.5" customHeight="1">
      <c r="A884" s="1139"/>
      <c r="B884" s="1140"/>
      <c r="C884" s="1141"/>
      <c r="D884" s="1142"/>
      <c r="E884" s="1143"/>
      <c r="F884" s="1143"/>
      <c r="G884" s="1143"/>
      <c r="H884" s="1144"/>
      <c r="I884" s="1145"/>
      <c r="J884" s="1143"/>
      <c r="K884" s="1143"/>
      <c r="L884" s="1143"/>
      <c r="M884" s="1143"/>
      <c r="N884" s="1143"/>
      <c r="O884" s="1143"/>
    </row>
    <row r="885" ht="40.5" customHeight="1">
      <c r="A885" s="1147"/>
      <c r="B885" s="1140"/>
      <c r="C885" s="1148"/>
      <c r="D885" s="1142"/>
      <c r="E885" s="1149"/>
      <c r="F885" s="1149"/>
      <c r="G885" s="1149"/>
      <c r="H885" s="1150"/>
      <c r="I885" s="1151"/>
      <c r="J885" s="1149"/>
      <c r="K885" s="1149"/>
      <c r="L885" s="1149"/>
      <c r="M885" s="1149"/>
      <c r="N885" s="1149"/>
      <c r="O885" s="1149"/>
    </row>
    <row r="886" ht="40.5" customHeight="1">
      <c r="A886" s="1139"/>
      <c r="B886" s="1140"/>
      <c r="C886" s="1141"/>
      <c r="D886" s="1142"/>
      <c r="E886" s="1143"/>
      <c r="F886" s="1143"/>
      <c r="G886" s="1143"/>
      <c r="H886" s="1144"/>
      <c r="I886" s="1145"/>
      <c r="J886" s="1143"/>
      <c r="K886" s="1143"/>
      <c r="L886" s="1143"/>
      <c r="M886" s="1143"/>
      <c r="N886" s="1143"/>
      <c r="O886" s="1143"/>
    </row>
    <row r="887" ht="40.5" customHeight="1">
      <c r="A887" s="1147"/>
      <c r="B887" s="1140"/>
      <c r="C887" s="1148"/>
      <c r="D887" s="1142"/>
      <c r="E887" s="1149"/>
      <c r="F887" s="1149"/>
      <c r="G887" s="1149"/>
      <c r="H887" s="1150"/>
      <c r="I887" s="1151"/>
      <c r="J887" s="1149"/>
      <c r="K887" s="1149"/>
      <c r="L887" s="1149"/>
      <c r="M887" s="1149"/>
      <c r="N887" s="1149"/>
      <c r="O887" s="1149"/>
    </row>
    <row r="888" ht="40.5" customHeight="1">
      <c r="A888" s="1139"/>
      <c r="B888" s="1140"/>
      <c r="C888" s="1141"/>
      <c r="D888" s="1142"/>
      <c r="E888" s="1143"/>
      <c r="F888" s="1143"/>
      <c r="G888" s="1143"/>
      <c r="H888" s="1144"/>
      <c r="I888" s="1145"/>
      <c r="J888" s="1143"/>
      <c r="K888" s="1143"/>
      <c r="L888" s="1143"/>
      <c r="M888" s="1143"/>
      <c r="N888" s="1143"/>
      <c r="O888" s="1143"/>
    </row>
    <row r="889" ht="40.5" customHeight="1">
      <c r="A889" s="1147"/>
      <c r="B889" s="1140"/>
      <c r="C889" s="1148"/>
      <c r="D889" s="1142"/>
      <c r="E889" s="1149"/>
      <c r="F889" s="1149"/>
      <c r="G889" s="1149"/>
      <c r="H889" s="1150"/>
      <c r="I889" s="1151"/>
      <c r="J889" s="1149"/>
      <c r="K889" s="1149"/>
      <c r="L889" s="1149"/>
      <c r="M889" s="1149"/>
      <c r="N889" s="1149"/>
      <c r="O889" s="1149"/>
    </row>
    <row r="890" ht="40.5" customHeight="1">
      <c r="A890" s="1139"/>
      <c r="B890" s="1140"/>
      <c r="C890" s="1141"/>
      <c r="D890" s="1142"/>
      <c r="E890" s="1143"/>
      <c r="F890" s="1143"/>
      <c r="G890" s="1143"/>
      <c r="H890" s="1144"/>
      <c r="I890" s="1145"/>
      <c r="J890" s="1143"/>
      <c r="K890" s="1143"/>
      <c r="L890" s="1143"/>
      <c r="M890" s="1143"/>
      <c r="N890" s="1143"/>
      <c r="O890" s="1143"/>
    </row>
    <row r="891" ht="40.5" customHeight="1">
      <c r="A891" s="1147"/>
      <c r="B891" s="1140"/>
      <c r="C891" s="1148"/>
      <c r="D891" s="1142"/>
      <c r="E891" s="1149"/>
      <c r="F891" s="1149"/>
      <c r="G891" s="1149"/>
      <c r="H891" s="1150"/>
      <c r="I891" s="1151"/>
      <c r="J891" s="1149"/>
      <c r="K891" s="1149"/>
      <c r="L891" s="1149"/>
      <c r="M891" s="1149"/>
      <c r="N891" s="1149"/>
      <c r="O891" s="1149"/>
    </row>
    <row r="892" ht="40.5" customHeight="1">
      <c r="A892" s="1139"/>
      <c r="B892" s="1140"/>
      <c r="C892" s="1141"/>
      <c r="D892" s="1142"/>
      <c r="E892" s="1143"/>
      <c r="F892" s="1143"/>
      <c r="G892" s="1143"/>
      <c r="H892" s="1144"/>
      <c r="I892" s="1145"/>
      <c r="J892" s="1143"/>
      <c r="K892" s="1143"/>
      <c r="L892" s="1143"/>
      <c r="M892" s="1143"/>
      <c r="N892" s="1143"/>
      <c r="O892" s="1143"/>
    </row>
    <row r="893" ht="40.5" customHeight="1">
      <c r="A893" s="1147"/>
      <c r="B893" s="1140"/>
      <c r="C893" s="1148"/>
      <c r="D893" s="1142"/>
      <c r="E893" s="1149"/>
      <c r="F893" s="1149"/>
      <c r="G893" s="1149"/>
      <c r="H893" s="1150"/>
      <c r="I893" s="1151"/>
      <c r="J893" s="1149"/>
      <c r="K893" s="1149"/>
      <c r="L893" s="1149"/>
      <c r="M893" s="1149"/>
      <c r="N893" s="1149"/>
      <c r="O893" s="1149"/>
    </row>
    <row r="894" ht="40.5" customHeight="1">
      <c r="A894" s="1139"/>
      <c r="B894" s="1140"/>
      <c r="C894" s="1141"/>
      <c r="D894" s="1142"/>
      <c r="E894" s="1143"/>
      <c r="F894" s="1143"/>
      <c r="G894" s="1143"/>
      <c r="H894" s="1144"/>
      <c r="I894" s="1145"/>
      <c r="J894" s="1143"/>
      <c r="K894" s="1143"/>
      <c r="L894" s="1143"/>
      <c r="M894" s="1143"/>
      <c r="N894" s="1143"/>
      <c r="O894" s="1143"/>
    </row>
    <row r="895" ht="40.5" customHeight="1">
      <c r="A895" s="1147"/>
      <c r="B895" s="1140"/>
      <c r="C895" s="1148"/>
      <c r="D895" s="1142"/>
      <c r="E895" s="1149"/>
      <c r="F895" s="1149"/>
      <c r="G895" s="1149"/>
      <c r="H895" s="1150"/>
      <c r="I895" s="1151"/>
      <c r="J895" s="1149"/>
      <c r="K895" s="1149"/>
      <c r="L895" s="1149"/>
      <c r="M895" s="1149"/>
      <c r="N895" s="1149"/>
      <c r="O895" s="1149"/>
    </row>
    <row r="896" ht="40.5" customHeight="1">
      <c r="A896" s="1139"/>
      <c r="B896" s="1140"/>
      <c r="C896" s="1141"/>
      <c r="D896" s="1142"/>
      <c r="E896" s="1143"/>
      <c r="F896" s="1143"/>
      <c r="G896" s="1143"/>
      <c r="H896" s="1144"/>
      <c r="I896" s="1145"/>
      <c r="J896" s="1143"/>
      <c r="K896" s="1143"/>
      <c r="L896" s="1143"/>
      <c r="M896" s="1143"/>
      <c r="N896" s="1143"/>
      <c r="O896" s="1143"/>
    </row>
    <row r="897" ht="40.5" customHeight="1">
      <c r="A897" s="1147"/>
      <c r="B897" s="1140"/>
      <c r="C897" s="1148"/>
      <c r="D897" s="1142"/>
      <c r="E897" s="1149"/>
      <c r="F897" s="1149"/>
      <c r="G897" s="1149"/>
      <c r="H897" s="1150"/>
      <c r="I897" s="1151"/>
      <c r="J897" s="1149"/>
      <c r="K897" s="1149"/>
      <c r="L897" s="1149"/>
      <c r="M897" s="1149"/>
      <c r="N897" s="1149"/>
      <c r="O897" s="1149"/>
    </row>
    <row r="898" ht="40.5" customHeight="1">
      <c r="A898" s="1139"/>
      <c r="B898" s="1140"/>
      <c r="C898" s="1141"/>
      <c r="D898" s="1142"/>
      <c r="E898" s="1143"/>
      <c r="F898" s="1143"/>
      <c r="G898" s="1143"/>
      <c r="H898" s="1144"/>
      <c r="I898" s="1145"/>
      <c r="J898" s="1143"/>
      <c r="K898" s="1143"/>
      <c r="L898" s="1143"/>
      <c r="M898" s="1143"/>
      <c r="N898" s="1143"/>
      <c r="O898" s="1143"/>
    </row>
    <row r="899" ht="40.5" customHeight="1">
      <c r="A899" s="1147"/>
      <c r="B899" s="1140"/>
      <c r="C899" s="1148"/>
      <c r="D899" s="1142"/>
      <c r="E899" s="1149"/>
      <c r="F899" s="1149"/>
      <c r="G899" s="1149"/>
      <c r="H899" s="1150"/>
      <c r="I899" s="1151"/>
      <c r="J899" s="1149"/>
      <c r="K899" s="1149"/>
      <c r="L899" s="1149"/>
      <c r="M899" s="1149"/>
      <c r="N899" s="1149"/>
      <c r="O899" s="1149"/>
    </row>
    <row r="900" ht="40.5" customHeight="1">
      <c r="A900" s="1139"/>
      <c r="B900" s="1140"/>
      <c r="C900" s="1141"/>
      <c r="D900" s="1142"/>
      <c r="E900" s="1143"/>
      <c r="F900" s="1143"/>
      <c r="G900" s="1143"/>
      <c r="H900" s="1144"/>
      <c r="I900" s="1145"/>
      <c r="J900" s="1143"/>
      <c r="K900" s="1143"/>
      <c r="L900" s="1143"/>
      <c r="M900" s="1143"/>
      <c r="N900" s="1143"/>
      <c r="O900" s="1143"/>
    </row>
    <row r="901" ht="40.5" customHeight="1">
      <c r="A901" s="1147"/>
      <c r="B901" s="1140"/>
      <c r="C901" s="1148"/>
      <c r="D901" s="1142"/>
      <c r="E901" s="1149"/>
      <c r="F901" s="1149"/>
      <c r="G901" s="1149"/>
      <c r="H901" s="1150"/>
      <c r="I901" s="1151"/>
      <c r="J901" s="1149"/>
      <c r="K901" s="1149"/>
      <c r="L901" s="1149"/>
      <c r="M901" s="1149"/>
      <c r="N901" s="1149"/>
      <c r="O901" s="1149"/>
    </row>
    <row r="902" ht="40.5" customHeight="1">
      <c r="A902" s="1139"/>
      <c r="B902" s="1140"/>
      <c r="C902" s="1141"/>
      <c r="D902" s="1142"/>
      <c r="E902" s="1143"/>
      <c r="F902" s="1143"/>
      <c r="G902" s="1143"/>
      <c r="H902" s="1144"/>
      <c r="I902" s="1145"/>
      <c r="J902" s="1143"/>
      <c r="K902" s="1143"/>
      <c r="L902" s="1143"/>
      <c r="M902" s="1143"/>
      <c r="N902" s="1143"/>
      <c r="O902" s="1143"/>
    </row>
    <row r="903" ht="40.5" customHeight="1">
      <c r="A903" s="1147"/>
      <c r="B903" s="1140"/>
      <c r="C903" s="1148"/>
      <c r="D903" s="1142"/>
      <c r="E903" s="1149"/>
      <c r="F903" s="1149"/>
      <c r="G903" s="1149"/>
      <c r="H903" s="1150"/>
      <c r="I903" s="1151"/>
      <c r="J903" s="1149"/>
      <c r="K903" s="1149"/>
      <c r="L903" s="1149"/>
      <c r="M903" s="1149"/>
      <c r="N903" s="1149"/>
      <c r="O903" s="1149"/>
    </row>
    <row r="904" ht="40.5" customHeight="1">
      <c r="A904" s="1139"/>
      <c r="B904" s="1140"/>
      <c r="C904" s="1141"/>
      <c r="D904" s="1142"/>
      <c r="E904" s="1143"/>
      <c r="F904" s="1143"/>
      <c r="G904" s="1143"/>
      <c r="H904" s="1144"/>
      <c r="I904" s="1145"/>
      <c r="J904" s="1143"/>
      <c r="K904" s="1143"/>
      <c r="L904" s="1143"/>
      <c r="M904" s="1143"/>
      <c r="N904" s="1143"/>
      <c r="O904" s="1143"/>
    </row>
    <row r="905" ht="40.5" customHeight="1">
      <c r="A905" s="1147"/>
      <c r="B905" s="1140"/>
      <c r="C905" s="1148"/>
      <c r="D905" s="1142"/>
      <c r="E905" s="1149"/>
      <c r="F905" s="1149"/>
      <c r="G905" s="1149"/>
      <c r="H905" s="1150"/>
      <c r="I905" s="1151"/>
      <c r="J905" s="1149"/>
      <c r="K905" s="1149"/>
      <c r="L905" s="1149"/>
      <c r="M905" s="1149"/>
      <c r="N905" s="1149"/>
      <c r="O905" s="1149"/>
    </row>
    <row r="906" ht="40.5" customHeight="1">
      <c r="A906" s="1139"/>
      <c r="B906" s="1140"/>
      <c r="C906" s="1141"/>
      <c r="D906" s="1142"/>
      <c r="E906" s="1143"/>
      <c r="F906" s="1143"/>
      <c r="G906" s="1143"/>
      <c r="H906" s="1144"/>
      <c r="I906" s="1145"/>
      <c r="J906" s="1143"/>
      <c r="K906" s="1143"/>
      <c r="L906" s="1143"/>
      <c r="M906" s="1143"/>
      <c r="N906" s="1143"/>
      <c r="O906" s="1143"/>
    </row>
    <row r="907" ht="40.5" customHeight="1">
      <c r="A907" s="1147"/>
      <c r="B907" s="1140"/>
      <c r="C907" s="1148"/>
      <c r="D907" s="1142"/>
      <c r="E907" s="1149"/>
      <c r="F907" s="1149"/>
      <c r="G907" s="1149"/>
      <c r="H907" s="1150"/>
      <c r="I907" s="1151"/>
      <c r="J907" s="1149"/>
      <c r="K907" s="1149"/>
      <c r="L907" s="1149"/>
      <c r="M907" s="1149"/>
      <c r="N907" s="1149"/>
      <c r="O907" s="1149"/>
    </row>
    <row r="908" ht="40.5" customHeight="1">
      <c r="A908" s="1139"/>
      <c r="B908" s="1140"/>
      <c r="C908" s="1141"/>
      <c r="D908" s="1142"/>
      <c r="E908" s="1143"/>
      <c r="F908" s="1143"/>
      <c r="G908" s="1143"/>
      <c r="H908" s="1144"/>
      <c r="I908" s="1145"/>
      <c r="J908" s="1143"/>
      <c r="K908" s="1143"/>
      <c r="L908" s="1143"/>
      <c r="M908" s="1143"/>
      <c r="N908" s="1143"/>
      <c r="O908" s="1143"/>
    </row>
    <row r="909" ht="40.5" customHeight="1">
      <c r="A909" s="1147"/>
      <c r="B909" s="1140"/>
      <c r="C909" s="1148"/>
      <c r="D909" s="1142"/>
      <c r="E909" s="1149"/>
      <c r="F909" s="1149"/>
      <c r="G909" s="1149"/>
      <c r="H909" s="1150"/>
      <c r="I909" s="1151"/>
      <c r="J909" s="1149"/>
      <c r="K909" s="1149"/>
      <c r="L909" s="1149"/>
      <c r="M909" s="1149"/>
      <c r="N909" s="1149"/>
      <c r="O909" s="1149"/>
    </row>
    <row r="910" ht="40.5" customHeight="1">
      <c r="A910" s="1139"/>
      <c r="B910" s="1140"/>
      <c r="C910" s="1141"/>
      <c r="D910" s="1142"/>
      <c r="E910" s="1143"/>
      <c r="F910" s="1143"/>
      <c r="G910" s="1143"/>
      <c r="H910" s="1144"/>
      <c r="I910" s="1145"/>
      <c r="J910" s="1143"/>
      <c r="K910" s="1143"/>
      <c r="L910" s="1143"/>
      <c r="M910" s="1143"/>
      <c r="N910" s="1143"/>
      <c r="O910" s="1143"/>
    </row>
    <row r="911" ht="40.5" customHeight="1">
      <c r="A911" s="1147"/>
      <c r="B911" s="1140"/>
      <c r="C911" s="1148"/>
      <c r="D911" s="1142"/>
      <c r="E911" s="1149"/>
      <c r="F911" s="1149"/>
      <c r="G911" s="1149"/>
      <c r="H911" s="1150"/>
      <c r="I911" s="1151"/>
      <c r="J911" s="1149"/>
      <c r="K911" s="1149"/>
      <c r="L911" s="1149"/>
      <c r="M911" s="1149"/>
      <c r="N911" s="1149"/>
      <c r="O911" s="1149"/>
    </row>
    <row r="912" ht="40.5" customHeight="1">
      <c r="A912" s="1139"/>
      <c r="B912" s="1140"/>
      <c r="C912" s="1141"/>
      <c r="D912" s="1142"/>
      <c r="E912" s="1143"/>
      <c r="F912" s="1143"/>
      <c r="G912" s="1143"/>
      <c r="H912" s="1144"/>
      <c r="I912" s="1145"/>
      <c r="J912" s="1143"/>
      <c r="K912" s="1143"/>
      <c r="L912" s="1143"/>
      <c r="M912" s="1143"/>
      <c r="N912" s="1143"/>
      <c r="O912" s="1143"/>
    </row>
    <row r="913" ht="40.5" customHeight="1">
      <c r="A913" s="1147"/>
      <c r="B913" s="1140"/>
      <c r="C913" s="1148"/>
      <c r="D913" s="1142"/>
      <c r="E913" s="1149"/>
      <c r="F913" s="1149"/>
      <c r="G913" s="1149"/>
      <c r="H913" s="1150"/>
      <c r="I913" s="1151"/>
      <c r="J913" s="1149"/>
      <c r="K913" s="1149"/>
      <c r="L913" s="1149"/>
      <c r="M913" s="1149"/>
      <c r="N913" s="1149"/>
      <c r="O913" s="1149"/>
    </row>
    <row r="914" ht="40.5" customHeight="1">
      <c r="A914" s="1139"/>
      <c r="B914" s="1140"/>
      <c r="C914" s="1141"/>
      <c r="D914" s="1142"/>
      <c r="E914" s="1143"/>
      <c r="F914" s="1143"/>
      <c r="G914" s="1143"/>
      <c r="H914" s="1144"/>
      <c r="I914" s="1145"/>
      <c r="J914" s="1143"/>
      <c r="K914" s="1143"/>
      <c r="L914" s="1143"/>
      <c r="M914" s="1143"/>
      <c r="N914" s="1143"/>
      <c r="O914" s="1143"/>
    </row>
    <row r="915" ht="40.5" customHeight="1">
      <c r="A915" s="1147"/>
      <c r="B915" s="1140"/>
      <c r="C915" s="1148"/>
      <c r="D915" s="1142"/>
      <c r="E915" s="1149"/>
      <c r="F915" s="1149"/>
      <c r="G915" s="1149"/>
      <c r="H915" s="1150"/>
      <c r="I915" s="1151"/>
      <c r="J915" s="1149"/>
      <c r="K915" s="1149"/>
      <c r="L915" s="1149"/>
      <c r="M915" s="1149"/>
      <c r="N915" s="1149"/>
      <c r="O915" s="1149"/>
    </row>
    <row r="916" ht="40.5" customHeight="1">
      <c r="A916" s="1139"/>
      <c r="B916" s="1140"/>
      <c r="C916" s="1141"/>
      <c r="D916" s="1142"/>
      <c r="E916" s="1143"/>
      <c r="F916" s="1143"/>
      <c r="G916" s="1143"/>
      <c r="H916" s="1144"/>
      <c r="I916" s="1145"/>
      <c r="J916" s="1143"/>
      <c r="K916" s="1143"/>
      <c r="L916" s="1143"/>
      <c r="M916" s="1143"/>
      <c r="N916" s="1143"/>
      <c r="O916" s="1143"/>
    </row>
    <row r="917" ht="40.5" customHeight="1">
      <c r="A917" s="1147"/>
      <c r="B917" s="1140"/>
      <c r="C917" s="1148"/>
      <c r="D917" s="1142"/>
      <c r="E917" s="1149"/>
      <c r="F917" s="1149"/>
      <c r="G917" s="1149"/>
      <c r="H917" s="1150"/>
      <c r="I917" s="1151"/>
      <c r="J917" s="1149"/>
      <c r="K917" s="1149"/>
      <c r="L917" s="1149"/>
      <c r="M917" s="1149"/>
      <c r="N917" s="1149"/>
      <c r="O917" s="1149"/>
    </row>
    <row r="918" ht="40.5" customHeight="1">
      <c r="A918" s="1139"/>
      <c r="B918" s="1140"/>
      <c r="C918" s="1141"/>
      <c r="D918" s="1142"/>
      <c r="E918" s="1143"/>
      <c r="F918" s="1143"/>
      <c r="G918" s="1143"/>
      <c r="H918" s="1144"/>
      <c r="I918" s="1145"/>
      <c r="J918" s="1143"/>
      <c r="K918" s="1143"/>
      <c r="L918" s="1143"/>
      <c r="M918" s="1143"/>
      <c r="N918" s="1143"/>
      <c r="O918" s="1143"/>
    </row>
    <row r="919" ht="40.5" customHeight="1">
      <c r="A919" s="1147"/>
      <c r="B919" s="1140"/>
      <c r="C919" s="1148"/>
      <c r="D919" s="1142"/>
      <c r="E919" s="1149"/>
      <c r="F919" s="1149"/>
      <c r="G919" s="1149"/>
      <c r="H919" s="1150"/>
      <c r="I919" s="1151"/>
      <c r="J919" s="1149"/>
      <c r="K919" s="1149"/>
      <c r="L919" s="1149"/>
      <c r="M919" s="1149"/>
      <c r="N919" s="1149"/>
      <c r="O919" s="1149"/>
    </row>
    <row r="920" ht="40.5" customHeight="1">
      <c r="A920" s="1139"/>
      <c r="B920" s="1140"/>
      <c r="C920" s="1141"/>
      <c r="D920" s="1142"/>
      <c r="E920" s="1143"/>
      <c r="F920" s="1143"/>
      <c r="G920" s="1143"/>
      <c r="H920" s="1144"/>
      <c r="I920" s="1145"/>
      <c r="J920" s="1143"/>
      <c r="K920" s="1143"/>
      <c r="L920" s="1143"/>
      <c r="M920" s="1143"/>
      <c r="N920" s="1143"/>
      <c r="O920" s="1143"/>
    </row>
    <row r="921" ht="40.5" customHeight="1">
      <c r="A921" s="1147"/>
      <c r="B921" s="1140"/>
      <c r="C921" s="1148"/>
      <c r="D921" s="1142"/>
      <c r="E921" s="1149"/>
      <c r="F921" s="1149"/>
      <c r="G921" s="1149"/>
      <c r="H921" s="1150"/>
      <c r="I921" s="1151"/>
      <c r="J921" s="1149"/>
      <c r="K921" s="1149"/>
      <c r="L921" s="1149"/>
      <c r="M921" s="1149"/>
      <c r="N921" s="1149"/>
      <c r="O921" s="1149"/>
    </row>
    <row r="922" ht="40.5" customHeight="1">
      <c r="A922" s="1139"/>
      <c r="B922" s="1140"/>
      <c r="C922" s="1141"/>
      <c r="D922" s="1142"/>
      <c r="E922" s="1143"/>
      <c r="F922" s="1143"/>
      <c r="G922" s="1143"/>
      <c r="H922" s="1144"/>
      <c r="I922" s="1145"/>
      <c r="J922" s="1143"/>
      <c r="K922" s="1143"/>
      <c r="L922" s="1143"/>
      <c r="M922" s="1143"/>
      <c r="N922" s="1143"/>
      <c r="O922" s="1143"/>
    </row>
    <row r="923" ht="40.5" customHeight="1">
      <c r="A923" s="1147"/>
      <c r="B923" s="1140"/>
      <c r="C923" s="1148"/>
      <c r="D923" s="1142"/>
      <c r="E923" s="1149"/>
      <c r="F923" s="1149"/>
      <c r="G923" s="1149"/>
      <c r="H923" s="1150"/>
      <c r="I923" s="1151"/>
      <c r="J923" s="1149"/>
      <c r="K923" s="1149"/>
      <c r="L923" s="1149"/>
      <c r="M923" s="1149"/>
      <c r="N923" s="1149"/>
      <c r="O923" s="1149"/>
    </row>
    <row r="924" ht="40.5" customHeight="1">
      <c r="A924" s="1139"/>
      <c r="B924" s="1140"/>
      <c r="C924" s="1141"/>
      <c r="D924" s="1142"/>
      <c r="E924" s="1143"/>
      <c r="F924" s="1143"/>
      <c r="G924" s="1143"/>
      <c r="H924" s="1144"/>
      <c r="I924" s="1145"/>
      <c r="J924" s="1143"/>
      <c r="K924" s="1143"/>
      <c r="L924" s="1143"/>
      <c r="M924" s="1143"/>
      <c r="N924" s="1143"/>
      <c r="O924" s="1143"/>
    </row>
    <row r="925" ht="40.5" customHeight="1">
      <c r="A925" s="1147"/>
      <c r="B925" s="1140"/>
      <c r="C925" s="1148"/>
      <c r="D925" s="1142"/>
      <c r="E925" s="1149"/>
      <c r="F925" s="1149"/>
      <c r="G925" s="1149"/>
      <c r="H925" s="1150"/>
      <c r="I925" s="1151"/>
      <c r="J925" s="1149"/>
      <c r="K925" s="1149"/>
      <c r="L925" s="1149"/>
      <c r="M925" s="1149"/>
      <c r="N925" s="1149"/>
      <c r="O925" s="1149"/>
    </row>
    <row r="926" ht="40.5" customHeight="1">
      <c r="A926" s="1139"/>
      <c r="B926" s="1140"/>
      <c r="C926" s="1141"/>
      <c r="D926" s="1142"/>
      <c r="E926" s="1143"/>
      <c r="F926" s="1143"/>
      <c r="G926" s="1143"/>
      <c r="H926" s="1144"/>
      <c r="I926" s="1145"/>
      <c r="J926" s="1143"/>
      <c r="K926" s="1143"/>
      <c r="L926" s="1143"/>
      <c r="M926" s="1143"/>
      <c r="N926" s="1143"/>
      <c r="O926" s="1143"/>
    </row>
    <row r="927" ht="40.5" customHeight="1">
      <c r="A927" s="1147"/>
      <c r="B927" s="1140"/>
      <c r="C927" s="1148"/>
      <c r="D927" s="1142"/>
      <c r="E927" s="1149"/>
      <c r="F927" s="1149"/>
      <c r="G927" s="1149"/>
      <c r="H927" s="1150"/>
      <c r="I927" s="1151"/>
      <c r="J927" s="1149"/>
      <c r="K927" s="1149"/>
      <c r="L927" s="1149"/>
      <c r="M927" s="1149"/>
      <c r="N927" s="1149"/>
      <c r="O927" s="1149"/>
    </row>
    <row r="928" ht="40.5" customHeight="1">
      <c r="A928" s="1139"/>
      <c r="B928" s="1140"/>
      <c r="C928" s="1141"/>
      <c r="D928" s="1142"/>
      <c r="E928" s="1143"/>
      <c r="F928" s="1143"/>
      <c r="G928" s="1143"/>
      <c r="H928" s="1144"/>
      <c r="I928" s="1145"/>
      <c r="J928" s="1143"/>
      <c r="K928" s="1143"/>
      <c r="L928" s="1143"/>
      <c r="M928" s="1143"/>
      <c r="N928" s="1143"/>
      <c r="O928" s="1143"/>
    </row>
    <row r="929" ht="40.5" customHeight="1">
      <c r="A929" s="1147"/>
      <c r="B929" s="1140"/>
      <c r="C929" s="1148"/>
      <c r="D929" s="1142"/>
      <c r="E929" s="1149"/>
      <c r="F929" s="1149"/>
      <c r="G929" s="1149"/>
      <c r="H929" s="1150"/>
      <c r="I929" s="1151"/>
      <c r="J929" s="1149"/>
      <c r="K929" s="1149"/>
      <c r="L929" s="1149"/>
      <c r="M929" s="1149"/>
      <c r="N929" s="1149"/>
      <c r="O929" s="1149"/>
    </row>
    <row r="930" ht="40.5" customHeight="1">
      <c r="A930" s="1139"/>
      <c r="B930" s="1140"/>
      <c r="C930" s="1141"/>
      <c r="D930" s="1142"/>
      <c r="E930" s="1143"/>
      <c r="F930" s="1143"/>
      <c r="G930" s="1143"/>
      <c r="H930" s="1144"/>
      <c r="I930" s="1145"/>
      <c r="J930" s="1143"/>
      <c r="K930" s="1143"/>
      <c r="L930" s="1143"/>
      <c r="M930" s="1143"/>
      <c r="N930" s="1143"/>
      <c r="O930" s="1143"/>
    </row>
    <row r="931" ht="40.5" customHeight="1">
      <c r="A931" s="1147"/>
      <c r="B931" s="1140"/>
      <c r="C931" s="1148"/>
      <c r="D931" s="1142"/>
      <c r="E931" s="1149"/>
      <c r="F931" s="1149"/>
      <c r="G931" s="1149"/>
      <c r="H931" s="1150"/>
      <c r="I931" s="1151"/>
      <c r="J931" s="1149"/>
      <c r="K931" s="1149"/>
      <c r="L931" s="1149"/>
      <c r="M931" s="1149"/>
      <c r="N931" s="1149"/>
      <c r="O931" s="1149"/>
    </row>
    <row r="932" ht="40.5" customHeight="1">
      <c r="A932" s="1139"/>
      <c r="B932" s="1140"/>
      <c r="C932" s="1141"/>
      <c r="D932" s="1142"/>
      <c r="E932" s="1143"/>
      <c r="F932" s="1143"/>
      <c r="G932" s="1143"/>
      <c r="H932" s="1144"/>
      <c r="I932" s="1145"/>
      <c r="J932" s="1143"/>
      <c r="K932" s="1143"/>
      <c r="L932" s="1143"/>
      <c r="M932" s="1143"/>
      <c r="N932" s="1143"/>
      <c r="O932" s="1143"/>
    </row>
    <row r="933" ht="40.5" customHeight="1">
      <c r="A933" s="1147"/>
      <c r="B933" s="1140"/>
      <c r="C933" s="1148"/>
      <c r="D933" s="1142"/>
      <c r="E933" s="1149"/>
      <c r="F933" s="1149"/>
      <c r="G933" s="1149"/>
      <c r="H933" s="1150"/>
      <c r="I933" s="1151"/>
      <c r="J933" s="1149"/>
      <c r="K933" s="1149"/>
      <c r="L933" s="1149"/>
      <c r="M933" s="1149"/>
      <c r="N933" s="1149"/>
      <c r="O933" s="1149"/>
    </row>
    <row r="934" ht="40.5" customHeight="1">
      <c r="A934" s="1139"/>
      <c r="B934" s="1140"/>
      <c r="C934" s="1141"/>
      <c r="D934" s="1142"/>
      <c r="E934" s="1143"/>
      <c r="F934" s="1143"/>
      <c r="G934" s="1143"/>
      <c r="H934" s="1144"/>
      <c r="I934" s="1145"/>
      <c r="J934" s="1143"/>
      <c r="K934" s="1143"/>
      <c r="L934" s="1143"/>
      <c r="M934" s="1143"/>
      <c r="N934" s="1143"/>
      <c r="O934" s="1143"/>
    </row>
    <row r="935" ht="40.5" customHeight="1">
      <c r="A935" s="1147"/>
      <c r="B935" s="1140"/>
      <c r="C935" s="1148"/>
      <c r="D935" s="1142"/>
      <c r="E935" s="1149"/>
      <c r="F935" s="1149"/>
      <c r="G935" s="1149"/>
      <c r="H935" s="1150"/>
      <c r="I935" s="1151"/>
      <c r="J935" s="1149"/>
      <c r="K935" s="1149"/>
      <c r="L935" s="1149"/>
      <c r="M935" s="1149"/>
      <c r="N935" s="1149"/>
      <c r="O935" s="1149"/>
    </row>
    <row r="936" ht="40.5" customHeight="1">
      <c r="A936" s="1139"/>
      <c r="B936" s="1140"/>
      <c r="C936" s="1141"/>
      <c r="D936" s="1142"/>
      <c r="E936" s="1143"/>
      <c r="F936" s="1143"/>
      <c r="G936" s="1143"/>
      <c r="H936" s="1144"/>
      <c r="I936" s="1145"/>
      <c r="J936" s="1143"/>
      <c r="K936" s="1143"/>
      <c r="L936" s="1143"/>
      <c r="M936" s="1143"/>
      <c r="N936" s="1143"/>
      <c r="O936" s="1143"/>
    </row>
    <row r="937" ht="40.5" customHeight="1">
      <c r="A937" s="1147"/>
      <c r="B937" s="1140"/>
      <c r="C937" s="1148"/>
      <c r="D937" s="1142"/>
      <c r="E937" s="1149"/>
      <c r="F937" s="1149"/>
      <c r="G937" s="1149"/>
      <c r="H937" s="1150"/>
      <c r="I937" s="1151"/>
      <c r="J937" s="1149"/>
      <c r="K937" s="1149"/>
      <c r="L937" s="1149"/>
      <c r="M937" s="1149"/>
      <c r="N937" s="1149"/>
      <c r="O937" s="1149"/>
    </row>
    <row r="938" ht="40.5" customHeight="1">
      <c r="A938" s="1139"/>
      <c r="B938" s="1140"/>
      <c r="C938" s="1141"/>
      <c r="D938" s="1142"/>
      <c r="E938" s="1143"/>
      <c r="F938" s="1143"/>
      <c r="G938" s="1143"/>
      <c r="H938" s="1144"/>
      <c r="I938" s="1145"/>
      <c r="J938" s="1143"/>
      <c r="K938" s="1143"/>
      <c r="L938" s="1143"/>
      <c r="M938" s="1143"/>
      <c r="N938" s="1143"/>
      <c r="O938" s="1143"/>
    </row>
    <row r="939" ht="40.5" customHeight="1">
      <c r="A939" s="1147"/>
      <c r="B939" s="1140"/>
      <c r="C939" s="1148"/>
      <c r="D939" s="1142"/>
      <c r="E939" s="1149"/>
      <c r="F939" s="1149"/>
      <c r="G939" s="1149"/>
      <c r="H939" s="1150"/>
      <c r="I939" s="1151"/>
      <c r="J939" s="1149"/>
      <c r="K939" s="1149"/>
      <c r="L939" s="1149"/>
      <c r="M939" s="1149"/>
      <c r="N939" s="1149"/>
      <c r="O939" s="1149"/>
    </row>
    <row r="940" ht="40.5" customHeight="1">
      <c r="A940" s="1139"/>
      <c r="B940" s="1140"/>
      <c r="C940" s="1141"/>
      <c r="D940" s="1142"/>
      <c r="E940" s="1143"/>
      <c r="F940" s="1143"/>
      <c r="G940" s="1143"/>
      <c r="H940" s="1144"/>
      <c r="I940" s="1145"/>
      <c r="J940" s="1143"/>
      <c r="K940" s="1143"/>
      <c r="L940" s="1143"/>
      <c r="M940" s="1143"/>
      <c r="N940" s="1143"/>
      <c r="O940" s="1143"/>
    </row>
    <row r="941" ht="40.5" customHeight="1">
      <c r="A941" s="1147"/>
      <c r="B941" s="1140"/>
      <c r="C941" s="1148"/>
      <c r="D941" s="1142"/>
      <c r="E941" s="1149"/>
      <c r="F941" s="1149"/>
      <c r="G941" s="1149"/>
      <c r="H941" s="1150"/>
      <c r="I941" s="1151"/>
      <c r="J941" s="1149"/>
      <c r="K941" s="1149"/>
      <c r="L941" s="1149"/>
      <c r="M941" s="1149"/>
      <c r="N941" s="1149"/>
      <c r="O941" s="1149"/>
    </row>
    <row r="942" ht="40.5" customHeight="1">
      <c r="A942" s="1139"/>
      <c r="B942" s="1140"/>
      <c r="C942" s="1141"/>
      <c r="D942" s="1142"/>
      <c r="E942" s="1143"/>
      <c r="F942" s="1143"/>
      <c r="G942" s="1143"/>
      <c r="H942" s="1144"/>
      <c r="I942" s="1145"/>
      <c r="J942" s="1143"/>
      <c r="K942" s="1143"/>
      <c r="L942" s="1143"/>
      <c r="M942" s="1143"/>
      <c r="N942" s="1143"/>
      <c r="O942" s="1143"/>
    </row>
  </sheetData>
  <mergeCells count="168">
    <mergeCell ref="A1:B2"/>
    <mergeCell ref="H3:J4"/>
    <mergeCell ref="A7:A8"/>
    <mergeCell ref="B7:B8"/>
    <mergeCell ref="C7:C8"/>
    <mergeCell ref="D7:D8"/>
    <mergeCell ref="K7:K8"/>
    <mergeCell ref="N9:N10"/>
    <mergeCell ref="O9:O10"/>
    <mergeCell ref="L7:L8"/>
    <mergeCell ref="M7:M8"/>
    <mergeCell ref="N7:N8"/>
    <mergeCell ref="O7:O8"/>
    <mergeCell ref="K9:K10"/>
    <mergeCell ref="L9:L10"/>
    <mergeCell ref="M9:M10"/>
    <mergeCell ref="M13:M16"/>
    <mergeCell ref="N13:N16"/>
    <mergeCell ref="K11:K12"/>
    <mergeCell ref="L11:L12"/>
    <mergeCell ref="M11:M12"/>
    <mergeCell ref="N11:N12"/>
    <mergeCell ref="O11:O12"/>
    <mergeCell ref="L13:L16"/>
    <mergeCell ref="O13:O16"/>
    <mergeCell ref="A19:A20"/>
    <mergeCell ref="B19:B20"/>
    <mergeCell ref="C19:C20"/>
    <mergeCell ref="K27:K28"/>
    <mergeCell ref="L27:L28"/>
    <mergeCell ref="M27:M28"/>
    <mergeCell ref="A33:A34"/>
    <mergeCell ref="B33:B34"/>
    <mergeCell ref="C33:C34"/>
    <mergeCell ref="A35:A37"/>
    <mergeCell ref="B35:B36"/>
    <mergeCell ref="C35:C36"/>
    <mergeCell ref="B38:B39"/>
    <mergeCell ref="A38:A41"/>
    <mergeCell ref="A42:A43"/>
    <mergeCell ref="B42:B43"/>
    <mergeCell ref="C42:C43"/>
    <mergeCell ref="A44:A45"/>
    <mergeCell ref="B44:B45"/>
    <mergeCell ref="C44:C45"/>
    <mergeCell ref="K38:K41"/>
    <mergeCell ref="K42:K43"/>
    <mergeCell ref="L42:L43"/>
    <mergeCell ref="K44:K45"/>
    <mergeCell ref="L44:L45"/>
    <mergeCell ref="K46:K47"/>
    <mergeCell ref="L46:L47"/>
    <mergeCell ref="K54:K55"/>
    <mergeCell ref="K56:K57"/>
    <mergeCell ref="K48:K49"/>
    <mergeCell ref="L48:L49"/>
    <mergeCell ref="K50:K51"/>
    <mergeCell ref="L50:L51"/>
    <mergeCell ref="K52:K53"/>
    <mergeCell ref="L52:L53"/>
    <mergeCell ref="L54:L55"/>
    <mergeCell ref="L56:L57"/>
    <mergeCell ref="B50:B51"/>
    <mergeCell ref="C50:C51"/>
    <mergeCell ref="A46:A47"/>
    <mergeCell ref="B46:B47"/>
    <mergeCell ref="C46:C47"/>
    <mergeCell ref="A48:A49"/>
    <mergeCell ref="B48:B49"/>
    <mergeCell ref="C48:C49"/>
    <mergeCell ref="A50:A51"/>
    <mergeCell ref="A9:A10"/>
    <mergeCell ref="B9:B10"/>
    <mergeCell ref="C9:C10"/>
    <mergeCell ref="D9:D10"/>
    <mergeCell ref="B11:B12"/>
    <mergeCell ref="C11:C12"/>
    <mergeCell ref="D11:D12"/>
    <mergeCell ref="A11:A12"/>
    <mergeCell ref="A13:A16"/>
    <mergeCell ref="C13:C16"/>
    <mergeCell ref="D13:D16"/>
    <mergeCell ref="A17:A18"/>
    <mergeCell ref="B17:B18"/>
    <mergeCell ref="C17:C18"/>
    <mergeCell ref="B25:B26"/>
    <mergeCell ref="C25:C26"/>
    <mergeCell ref="A21:A22"/>
    <mergeCell ref="B21:B22"/>
    <mergeCell ref="C21:C22"/>
    <mergeCell ref="A23:A24"/>
    <mergeCell ref="B23:B24"/>
    <mergeCell ref="C23:C24"/>
    <mergeCell ref="A25:A26"/>
    <mergeCell ref="B31:B32"/>
    <mergeCell ref="C31:C32"/>
    <mergeCell ref="A27:A28"/>
    <mergeCell ref="B27:B28"/>
    <mergeCell ref="C27:C28"/>
    <mergeCell ref="A29:A30"/>
    <mergeCell ref="B29:B30"/>
    <mergeCell ref="C29:C30"/>
    <mergeCell ref="A31:A32"/>
    <mergeCell ref="B56:B57"/>
    <mergeCell ref="C56:C57"/>
    <mergeCell ref="A52:A53"/>
    <mergeCell ref="B52:B53"/>
    <mergeCell ref="C52:C53"/>
    <mergeCell ref="A54:A55"/>
    <mergeCell ref="B54:B55"/>
    <mergeCell ref="C54:C55"/>
    <mergeCell ref="A56:A57"/>
    <mergeCell ref="N54:N55"/>
    <mergeCell ref="O54:O55"/>
    <mergeCell ref="M56:M57"/>
    <mergeCell ref="N56:N57"/>
    <mergeCell ref="O56:O57"/>
    <mergeCell ref="M50:M51"/>
    <mergeCell ref="N50:N51"/>
    <mergeCell ref="O50:O51"/>
    <mergeCell ref="M52:M53"/>
    <mergeCell ref="N52:N53"/>
    <mergeCell ref="O52:O53"/>
    <mergeCell ref="M54:M55"/>
    <mergeCell ref="K13:K16"/>
    <mergeCell ref="K17:K18"/>
    <mergeCell ref="L17:L18"/>
    <mergeCell ref="K19:K20"/>
    <mergeCell ref="L19:L20"/>
    <mergeCell ref="L21:L22"/>
    <mergeCell ref="M21:M22"/>
    <mergeCell ref="K21:K22"/>
    <mergeCell ref="K23:K24"/>
    <mergeCell ref="L23:L24"/>
    <mergeCell ref="M23:M24"/>
    <mergeCell ref="K25:K26"/>
    <mergeCell ref="L25:L26"/>
    <mergeCell ref="M25:M26"/>
    <mergeCell ref="L33:L34"/>
    <mergeCell ref="M33:M34"/>
    <mergeCell ref="K29:K30"/>
    <mergeCell ref="L29:L30"/>
    <mergeCell ref="M29:M30"/>
    <mergeCell ref="K31:K32"/>
    <mergeCell ref="L31:L32"/>
    <mergeCell ref="M31:M32"/>
    <mergeCell ref="K33:K34"/>
    <mergeCell ref="K35:K37"/>
    <mergeCell ref="L35:L37"/>
    <mergeCell ref="M35:M37"/>
    <mergeCell ref="N35:N37"/>
    <mergeCell ref="O35:O36"/>
    <mergeCell ref="L38:L41"/>
    <mergeCell ref="O38:O41"/>
    <mergeCell ref="M38:M41"/>
    <mergeCell ref="N38:N41"/>
    <mergeCell ref="M42:M43"/>
    <mergeCell ref="N42:N43"/>
    <mergeCell ref="O42:O43"/>
    <mergeCell ref="N44:N45"/>
    <mergeCell ref="O44:O45"/>
    <mergeCell ref="M44:M45"/>
    <mergeCell ref="M46:M47"/>
    <mergeCell ref="N46:N47"/>
    <mergeCell ref="O46:O47"/>
    <mergeCell ref="M48:M49"/>
    <mergeCell ref="N48:N49"/>
    <mergeCell ref="O48:O49"/>
  </mergeCells>
  <dataValidations>
    <dataValidation type="list" allowBlank="1" showErrorMessage="1" sqref="F7:F57">
      <formula1>"Caporale,Ouvrier"</formula1>
    </dataValidation>
    <dataValidation type="list" allowBlank="1" showErrorMessage="1" sqref="E7:E57">
      <formula1>"JRS,HE"</formula1>
    </dataValidation>
    <dataValidation type="list" allowBlank="1" showErrorMessage="1" sqref="B7 B9 B11 B13:B17 B19 B21 B23 B25 B27 B29 B31 B33 B35 B37:B38 B40:B42 B44 B46 B48 B50 B52 B54 B56">
      <formula1>"ARRACHAGE/FAUCHAGE,AUTRES TRAVAUX,BILLONNAGE,CHARGE/DECHARGE,CHAULAGE,DECHAULAGE ,DÉSHERBAGES,ENTRETIEN SERRE,ETANCHIETE,IRRIGATION,NETTOYAGE ,NETTOYAGE FIN COMPAGNE,PALISSAGE ,PINCEMENT ,PLANTATION,RECOLTE,SELECTION,SUPPORT DE PALISSAGE ,TRAITEMENT ,VIRU"&amp;"S ET CONTROLE ,LES LACHE"</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75" outlineLevelRow="1"/>
  <cols>
    <col customWidth="1" min="1" max="1" width="12.38"/>
    <col customWidth="1" min="2" max="2" width="36.63"/>
    <col customWidth="1" min="3" max="3" width="24.75"/>
    <col customWidth="1" min="4" max="4" width="51.25"/>
    <col customWidth="1" min="5" max="5" width="11.38"/>
    <col customWidth="1" min="6" max="6" width="37.0"/>
    <col customWidth="1" min="7" max="7" width="9.25"/>
    <col customWidth="1" min="9" max="9" width="10.13"/>
    <col customWidth="1" min="10" max="10" width="12.75"/>
    <col customWidth="1" min="11" max="11" width="10.63"/>
    <col customWidth="1" min="12" max="12" width="13.38"/>
    <col customWidth="1" min="13" max="13" width="14.5"/>
    <col customWidth="1" min="14" max="14" width="15.75"/>
    <col customWidth="1" min="15" max="15" width="21.75"/>
  </cols>
  <sheetData>
    <row r="1">
      <c r="A1" s="1"/>
      <c r="C1" s="1153" t="s">
        <v>700</v>
      </c>
      <c r="D1" s="44"/>
      <c r="E1" s="44"/>
      <c r="F1" s="44"/>
      <c r="G1" s="44"/>
      <c r="H1" s="44"/>
      <c r="I1" s="45"/>
    </row>
    <row r="2">
      <c r="C2" s="47"/>
      <c r="I2" s="48"/>
      <c r="L2" s="1">
        <f>SUM(L215+L220+L224+L232)</f>
        <v>7080</v>
      </c>
    </row>
    <row r="3">
      <c r="C3" s="49"/>
      <c r="D3" s="50"/>
      <c r="E3" s="50"/>
      <c r="F3" s="50"/>
      <c r="G3" s="50"/>
      <c r="H3" s="50"/>
      <c r="I3" s="51"/>
    </row>
    <row r="4">
      <c r="A4" s="3"/>
      <c r="B4" s="1154"/>
      <c r="C4" s="1154"/>
      <c r="D4" s="12"/>
      <c r="F4" s="5"/>
      <c r="I4" s="5"/>
      <c r="J4" s="5"/>
      <c r="K4" s="5"/>
      <c r="L4" s="5"/>
      <c r="M4" s="5"/>
      <c r="N4" s="5"/>
      <c r="O4" s="5"/>
    </row>
    <row r="5" ht="30.75" customHeight="1">
      <c r="A5" s="6" t="s">
        <v>1</v>
      </c>
      <c r="B5" s="6" t="s">
        <v>2</v>
      </c>
      <c r="C5" s="6" t="s">
        <v>3</v>
      </c>
      <c r="D5" s="6" t="s">
        <v>4</v>
      </c>
      <c r="E5" s="1155" t="s">
        <v>5</v>
      </c>
      <c r="F5" s="6" t="s">
        <v>32</v>
      </c>
      <c r="G5" s="7" t="s">
        <v>7</v>
      </c>
      <c r="H5" s="6" t="s">
        <v>8</v>
      </c>
      <c r="I5" s="6" t="s">
        <v>9</v>
      </c>
      <c r="J5" s="6" t="s">
        <v>10</v>
      </c>
      <c r="K5" s="6" t="s">
        <v>11</v>
      </c>
      <c r="L5" s="6" t="s">
        <v>701</v>
      </c>
      <c r="M5" s="6" t="s">
        <v>12</v>
      </c>
      <c r="N5" s="92" t="s">
        <v>702</v>
      </c>
      <c r="O5" s="1156" t="s">
        <v>33</v>
      </c>
    </row>
    <row r="6" ht="20.25" customHeight="1">
      <c r="A6" s="8">
        <v>46153.0</v>
      </c>
      <c r="B6" s="25" t="s">
        <v>110</v>
      </c>
      <c r="C6" s="25" t="s">
        <v>22</v>
      </c>
      <c r="D6" s="25" t="s">
        <v>703</v>
      </c>
      <c r="E6" s="25" t="s">
        <v>23</v>
      </c>
      <c r="F6" s="13" t="s">
        <v>704</v>
      </c>
      <c r="G6" s="1157" t="s">
        <v>17</v>
      </c>
      <c r="H6" s="1158" t="s">
        <v>18</v>
      </c>
      <c r="I6" s="1159">
        <v>17.0</v>
      </c>
      <c r="J6" s="14">
        <v>100.0</v>
      </c>
      <c r="K6" s="13">
        <v>1700.0</v>
      </c>
      <c r="L6" s="834">
        <v>1820.0</v>
      </c>
      <c r="M6" s="286">
        <v>30.0</v>
      </c>
      <c r="N6" s="370">
        <v>540.0</v>
      </c>
      <c r="O6" s="370">
        <f>L6+N6</f>
        <v>2360</v>
      </c>
    </row>
    <row r="7" ht="20.25" customHeight="1">
      <c r="A7" s="29"/>
      <c r="B7" s="20"/>
      <c r="C7" s="20"/>
      <c r="D7" s="20"/>
      <c r="E7" s="20"/>
      <c r="F7" s="20"/>
      <c r="G7" s="108"/>
      <c r="H7" s="1158" t="s">
        <v>25</v>
      </c>
      <c r="I7" s="1159">
        <v>1.0</v>
      </c>
      <c r="J7" s="22">
        <v>120.0</v>
      </c>
      <c r="K7" s="22">
        <v>120.0</v>
      </c>
      <c r="L7" s="20"/>
      <c r="M7" s="286">
        <v>30.0</v>
      </c>
      <c r="N7" s="108"/>
      <c r="O7" s="108"/>
    </row>
    <row r="8" ht="20.25" customHeight="1">
      <c r="A8" s="8">
        <v>46154.0</v>
      </c>
      <c r="B8" s="25" t="s">
        <v>110</v>
      </c>
      <c r="C8" s="25" t="s">
        <v>705</v>
      </c>
      <c r="D8" s="25" t="s">
        <v>706</v>
      </c>
      <c r="E8" s="25" t="s">
        <v>23</v>
      </c>
      <c r="F8" s="13" t="s">
        <v>704</v>
      </c>
      <c r="G8" s="1157" t="s">
        <v>17</v>
      </c>
      <c r="H8" s="1158" t="s">
        <v>18</v>
      </c>
      <c r="I8" s="1159">
        <v>5.0</v>
      </c>
      <c r="J8" s="14">
        <v>110.0</v>
      </c>
      <c r="K8" s="1160">
        <v>550.0</v>
      </c>
      <c r="L8" s="1161">
        <v>1980.0</v>
      </c>
      <c r="M8" s="308">
        <v>30.0</v>
      </c>
      <c r="N8" s="370">
        <v>570.0</v>
      </c>
      <c r="O8" s="370">
        <f>L8+N8</f>
        <v>2550</v>
      </c>
    </row>
    <row r="9" ht="20.25" customHeight="1">
      <c r="A9" s="29"/>
      <c r="B9" s="29"/>
      <c r="C9" s="29"/>
      <c r="D9" s="29"/>
      <c r="E9" s="29"/>
      <c r="F9" s="29"/>
      <c r="G9" s="187"/>
      <c r="H9" s="1158" t="s">
        <v>18</v>
      </c>
      <c r="I9" s="1159">
        <v>13.0</v>
      </c>
      <c r="J9" s="22">
        <v>100.0</v>
      </c>
      <c r="K9" s="1162">
        <v>1300.0</v>
      </c>
      <c r="L9" s="29"/>
      <c r="M9" s="29"/>
      <c r="N9" s="187"/>
      <c r="O9" s="187"/>
    </row>
    <row r="10" ht="20.25" customHeight="1">
      <c r="A10" s="57"/>
      <c r="B10" s="58"/>
      <c r="C10" s="58"/>
      <c r="D10" s="58"/>
      <c r="E10" s="57"/>
      <c r="F10" s="58"/>
      <c r="G10" s="108"/>
      <c r="H10" s="1158" t="s">
        <v>25</v>
      </c>
      <c r="I10" s="1159">
        <v>1.0</v>
      </c>
      <c r="J10" s="14">
        <v>130.0</v>
      </c>
      <c r="K10" s="1160">
        <v>130.0</v>
      </c>
      <c r="L10" s="58"/>
      <c r="M10" s="58"/>
      <c r="N10" s="108"/>
      <c r="O10" s="108"/>
    </row>
    <row r="11" ht="20.25" customHeight="1">
      <c r="A11" s="15">
        <v>46155.0</v>
      </c>
      <c r="B11" s="64" t="s">
        <v>110</v>
      </c>
      <c r="C11" s="64" t="s">
        <v>705</v>
      </c>
      <c r="D11" s="64" t="s">
        <v>707</v>
      </c>
      <c r="E11" s="64" t="s">
        <v>23</v>
      </c>
      <c r="F11" s="39" t="s">
        <v>704</v>
      </c>
      <c r="G11" s="1157" t="s">
        <v>17</v>
      </c>
      <c r="H11" s="1158" t="s">
        <v>18</v>
      </c>
      <c r="I11" s="1159">
        <v>28.0</v>
      </c>
      <c r="J11" s="22">
        <v>100.0</v>
      </c>
      <c r="K11" s="1162">
        <v>2800.0</v>
      </c>
      <c r="L11" s="1161">
        <v>2920.0</v>
      </c>
      <c r="M11" s="1163">
        <v>30.0</v>
      </c>
      <c r="N11" s="834">
        <v>870.0</v>
      </c>
      <c r="O11" s="370">
        <f>L11+N11</f>
        <v>3790</v>
      </c>
    </row>
    <row r="12" ht="20.25" customHeight="1">
      <c r="A12" s="57"/>
      <c r="B12" s="57"/>
      <c r="C12" s="57"/>
      <c r="D12" s="58"/>
      <c r="E12" s="57"/>
      <c r="F12" s="58"/>
      <c r="G12" s="108"/>
      <c r="H12" s="1158" t="s">
        <v>25</v>
      </c>
      <c r="I12" s="1159">
        <v>1.0</v>
      </c>
      <c r="J12" s="14">
        <v>120.0</v>
      </c>
      <c r="K12" s="1160">
        <v>120.0</v>
      </c>
      <c r="L12" s="58"/>
      <c r="M12" s="1163">
        <v>30.0</v>
      </c>
      <c r="N12" s="108"/>
      <c r="O12" s="108"/>
    </row>
    <row r="13" ht="20.25" customHeight="1">
      <c r="A13" s="29"/>
      <c r="B13" s="29"/>
      <c r="C13" s="29"/>
      <c r="D13" s="31" t="s">
        <v>708</v>
      </c>
      <c r="E13" s="31" t="s">
        <v>460</v>
      </c>
      <c r="F13" s="39" t="s">
        <v>709</v>
      </c>
      <c r="G13" s="1157" t="s">
        <v>179</v>
      </c>
      <c r="H13" s="1158"/>
      <c r="I13" s="1159">
        <v>4.0</v>
      </c>
      <c r="J13" s="22" t="s">
        <v>460</v>
      </c>
      <c r="K13" s="1162">
        <v>1800.0</v>
      </c>
      <c r="L13" s="1161">
        <v>3600.0</v>
      </c>
      <c r="M13" s="1163" t="s">
        <v>460</v>
      </c>
      <c r="N13" s="834">
        <v>350.0</v>
      </c>
      <c r="O13" s="370">
        <f>L13+N13</f>
        <v>3950</v>
      </c>
    </row>
    <row r="14" ht="20.25" customHeight="1">
      <c r="A14" s="57"/>
      <c r="B14" s="58"/>
      <c r="C14" s="58"/>
      <c r="D14" s="27" t="s">
        <v>710</v>
      </c>
      <c r="E14" s="27" t="s">
        <v>460</v>
      </c>
      <c r="F14" s="58"/>
      <c r="G14" s="108"/>
      <c r="H14" s="1158"/>
      <c r="I14" s="1159">
        <v>6.0</v>
      </c>
      <c r="J14" s="14" t="s">
        <v>460</v>
      </c>
      <c r="K14" s="1160">
        <v>1800.0</v>
      </c>
      <c r="L14" s="58"/>
      <c r="M14" s="1163" t="s">
        <v>460</v>
      </c>
      <c r="N14" s="108"/>
      <c r="O14" s="108"/>
    </row>
    <row r="15" ht="20.25" customHeight="1">
      <c r="A15" s="61">
        <v>46156.0</v>
      </c>
      <c r="B15" s="1164" t="s">
        <v>110</v>
      </c>
      <c r="C15" s="1165" t="s">
        <v>705</v>
      </c>
      <c r="D15" s="1166" t="s">
        <v>711</v>
      </c>
      <c r="E15" s="335" t="s">
        <v>23</v>
      </c>
      <c r="F15" s="1167" t="s">
        <v>704</v>
      </c>
      <c r="G15" s="1168" t="s">
        <v>179</v>
      </c>
      <c r="H15" s="1169" t="s">
        <v>18</v>
      </c>
      <c r="I15" s="1170"/>
      <c r="J15" s="112">
        <v>1600.0</v>
      </c>
      <c r="K15" s="1171">
        <v>1600.0</v>
      </c>
      <c r="L15" s="1172">
        <v>3200.0</v>
      </c>
      <c r="M15" s="1173"/>
      <c r="N15" s="1174">
        <v>0.0</v>
      </c>
      <c r="O15" s="1175">
        <v>3200.0</v>
      </c>
    </row>
    <row r="16" ht="20.25" customHeight="1">
      <c r="A16" s="57"/>
      <c r="B16" s="57"/>
      <c r="C16" s="57"/>
      <c r="D16" s="1176" t="s">
        <v>712</v>
      </c>
      <c r="E16" s="254" t="s">
        <v>23</v>
      </c>
      <c r="F16" s="57"/>
      <c r="G16" s="187"/>
      <c r="H16" s="1177" t="s">
        <v>18</v>
      </c>
      <c r="I16" s="1178"/>
      <c r="J16" s="1179">
        <v>1600.0</v>
      </c>
      <c r="K16" s="1180">
        <v>1600.0</v>
      </c>
      <c r="L16" s="57"/>
      <c r="M16" s="57"/>
      <c r="N16" s="187"/>
      <c r="O16" s="187"/>
    </row>
    <row r="17" ht="20.25" customHeight="1">
      <c r="A17" s="29"/>
      <c r="B17" s="20"/>
      <c r="C17" s="20"/>
      <c r="D17" s="20"/>
      <c r="E17" s="29"/>
      <c r="F17" s="20"/>
      <c r="G17" s="108"/>
      <c r="H17" s="108"/>
      <c r="I17" s="1181"/>
      <c r="J17" s="20"/>
      <c r="K17" s="20"/>
      <c r="L17" s="20"/>
      <c r="M17" s="20"/>
      <c r="N17" s="108"/>
      <c r="O17" s="108"/>
    </row>
    <row r="18" ht="20.25" customHeight="1">
      <c r="A18" s="8">
        <v>46156.0</v>
      </c>
      <c r="B18" s="25" t="s">
        <v>110</v>
      </c>
      <c r="C18" s="25" t="s">
        <v>705</v>
      </c>
      <c r="D18" s="1182" t="s">
        <v>713</v>
      </c>
      <c r="E18" s="1182"/>
      <c r="F18" s="1183" t="s">
        <v>714</v>
      </c>
      <c r="G18" s="1183"/>
      <c r="H18" s="1183"/>
      <c r="I18" s="1183"/>
      <c r="J18" s="1183"/>
      <c r="K18" s="1184"/>
      <c r="L18" s="1184"/>
      <c r="M18" s="1184"/>
      <c r="N18" s="1183"/>
      <c r="O18" s="1185"/>
    </row>
    <row r="19" ht="20.25" customHeight="1">
      <c r="A19" s="29"/>
      <c r="B19" s="29"/>
      <c r="C19" s="29"/>
      <c r="D19" s="64" t="s">
        <v>715</v>
      </c>
      <c r="E19" s="64" t="s">
        <v>23</v>
      </c>
      <c r="F19" s="39" t="s">
        <v>704</v>
      </c>
      <c r="G19" s="1157" t="s">
        <v>17</v>
      </c>
      <c r="H19" s="1158" t="s">
        <v>18</v>
      </c>
      <c r="I19" s="1159">
        <v>13.0</v>
      </c>
      <c r="J19" s="22">
        <v>100.0</v>
      </c>
      <c r="K19" s="1162">
        <v>1300.0</v>
      </c>
      <c r="L19" s="1161">
        <v>1420.0</v>
      </c>
      <c r="M19" s="1163">
        <v>30.0</v>
      </c>
      <c r="N19" s="834">
        <v>420.0</v>
      </c>
      <c r="O19" s="834">
        <v>1840.0</v>
      </c>
    </row>
    <row r="20" ht="20.25" customHeight="1">
      <c r="A20" s="57"/>
      <c r="B20" s="58"/>
      <c r="C20" s="58"/>
      <c r="D20" s="58"/>
      <c r="E20" s="58"/>
      <c r="F20" s="58"/>
      <c r="G20" s="108"/>
      <c r="H20" s="1158" t="s">
        <v>25</v>
      </c>
      <c r="I20" s="1159">
        <v>1.0</v>
      </c>
      <c r="J20" s="14">
        <v>120.0</v>
      </c>
      <c r="K20" s="1160">
        <v>120.0</v>
      </c>
      <c r="L20" s="58"/>
      <c r="M20" s="1163">
        <v>30.0</v>
      </c>
      <c r="N20" s="108"/>
      <c r="O20" s="108"/>
    </row>
    <row r="21" ht="20.25" customHeight="1">
      <c r="A21" s="15">
        <v>46157.0</v>
      </c>
      <c r="B21" s="64" t="s">
        <v>110</v>
      </c>
      <c r="C21" s="64" t="s">
        <v>705</v>
      </c>
      <c r="D21" s="1186" t="s">
        <v>716</v>
      </c>
      <c r="E21" s="1186"/>
      <c r="F21" s="1187" t="s">
        <v>717</v>
      </c>
      <c r="G21" s="1188" t="s">
        <v>179</v>
      </c>
      <c r="H21" s="1188" t="s">
        <v>18</v>
      </c>
      <c r="I21" s="1188"/>
      <c r="J21" s="1188"/>
      <c r="K21" s="1189"/>
      <c r="L21" s="1189"/>
      <c r="M21" s="1188"/>
      <c r="N21" s="1188"/>
      <c r="O21" s="1185"/>
    </row>
    <row r="22" ht="20.25" customHeight="1">
      <c r="A22" s="57"/>
      <c r="B22" s="58"/>
      <c r="C22" s="58"/>
      <c r="D22" s="58"/>
      <c r="E22" s="58"/>
      <c r="F22" s="58"/>
      <c r="G22" s="108"/>
      <c r="H22" s="108"/>
      <c r="I22" s="58"/>
      <c r="J22" s="58"/>
      <c r="K22" s="58"/>
      <c r="L22" s="58"/>
      <c r="M22" s="58"/>
      <c r="N22" s="108"/>
      <c r="O22" s="48"/>
    </row>
    <row r="23" ht="20.25" customHeight="1">
      <c r="A23" s="29"/>
      <c r="B23" s="137" t="s">
        <v>110</v>
      </c>
      <c r="C23" s="64" t="s">
        <v>705</v>
      </c>
      <c r="D23" s="64" t="s">
        <v>718</v>
      </c>
      <c r="E23" s="64" t="s">
        <v>23</v>
      </c>
      <c r="F23" s="26" t="s">
        <v>704</v>
      </c>
      <c r="G23" s="1157" t="s">
        <v>17</v>
      </c>
      <c r="H23" s="1158" t="s">
        <v>18</v>
      </c>
      <c r="I23" s="1159">
        <v>12.0</v>
      </c>
      <c r="J23" s="22">
        <v>100.0</v>
      </c>
      <c r="K23" s="22">
        <v>1200.0</v>
      </c>
      <c r="L23" s="834">
        <v>1440.0</v>
      </c>
      <c r="M23" s="1159">
        <v>30.0</v>
      </c>
      <c r="N23" s="834">
        <v>420.0</v>
      </c>
      <c r="O23" s="834">
        <v>1860.0</v>
      </c>
    </row>
    <row r="24" ht="20.25" customHeight="1">
      <c r="A24" s="57"/>
      <c r="B24" s="58"/>
      <c r="C24" s="58"/>
      <c r="D24" s="58"/>
      <c r="E24" s="58"/>
      <c r="F24" s="58"/>
      <c r="G24" s="108"/>
      <c r="H24" s="1158" t="s">
        <v>25</v>
      </c>
      <c r="I24" s="1159">
        <v>2.0</v>
      </c>
      <c r="J24" s="14">
        <v>120.0</v>
      </c>
      <c r="K24" s="14">
        <v>240.0</v>
      </c>
      <c r="L24" s="58"/>
      <c r="M24" s="1159">
        <v>30.0</v>
      </c>
      <c r="N24" s="108"/>
      <c r="O24" s="108"/>
    </row>
    <row r="25" ht="20.25" customHeight="1">
      <c r="A25" s="29"/>
      <c r="B25" s="1190" t="s">
        <v>102</v>
      </c>
      <c r="C25" s="1191" t="s">
        <v>705</v>
      </c>
      <c r="D25" s="1191" t="s">
        <v>719</v>
      </c>
      <c r="E25" s="1191"/>
      <c r="F25" s="1192" t="s">
        <v>720</v>
      </c>
      <c r="G25" s="1193"/>
      <c r="H25" s="1193"/>
      <c r="I25" s="1193"/>
      <c r="J25" s="1193"/>
      <c r="K25" s="1193"/>
      <c r="L25" s="1193"/>
      <c r="M25" s="1193"/>
      <c r="N25" s="1193"/>
      <c r="O25" s="1194"/>
    </row>
    <row r="26" ht="20.25" customHeight="1">
      <c r="A26" s="8">
        <v>46158.0</v>
      </c>
      <c r="B26" s="25" t="s">
        <v>110</v>
      </c>
      <c r="C26" s="25" t="s">
        <v>705</v>
      </c>
      <c r="D26" s="25" t="s">
        <v>721</v>
      </c>
      <c r="E26" s="25"/>
      <c r="F26" s="26" t="s">
        <v>714</v>
      </c>
      <c r="G26" s="1157" t="s">
        <v>179</v>
      </c>
      <c r="H26" s="1168" t="s">
        <v>18</v>
      </c>
      <c r="I26" s="1195"/>
      <c r="J26" s="13"/>
      <c r="K26" s="13"/>
      <c r="L26" s="13"/>
      <c r="M26" s="1195"/>
      <c r="N26" s="834"/>
      <c r="O26" s="1196"/>
    </row>
    <row r="27" ht="20.25" customHeight="1">
      <c r="A27" s="29"/>
      <c r="B27" s="29"/>
      <c r="C27" s="20"/>
      <c r="D27" s="20"/>
      <c r="E27" s="29"/>
      <c r="F27" s="29"/>
      <c r="G27" s="187"/>
      <c r="H27" s="187"/>
      <c r="I27" s="29"/>
      <c r="J27" s="29"/>
      <c r="K27" s="29"/>
      <c r="L27" s="29"/>
      <c r="M27" s="29"/>
      <c r="N27" s="187"/>
      <c r="O27" s="1196"/>
    </row>
    <row r="28" ht="20.25" customHeight="1">
      <c r="A28" s="57"/>
      <c r="B28" s="57"/>
      <c r="C28" s="25" t="s">
        <v>705</v>
      </c>
      <c r="D28" s="25" t="s">
        <v>722</v>
      </c>
      <c r="E28" s="57"/>
      <c r="F28" s="57"/>
      <c r="G28" s="187"/>
      <c r="H28" s="187"/>
      <c r="I28" s="57"/>
      <c r="J28" s="57"/>
      <c r="K28" s="57"/>
      <c r="L28" s="57"/>
      <c r="M28" s="57"/>
      <c r="N28" s="187"/>
      <c r="O28" s="1196"/>
    </row>
    <row r="29" ht="20.25" customHeight="1">
      <c r="A29" s="29"/>
      <c r="B29" s="20"/>
      <c r="C29" s="20"/>
      <c r="D29" s="20"/>
      <c r="E29" s="20"/>
      <c r="F29" s="20"/>
      <c r="G29" s="108"/>
      <c r="H29" s="108"/>
      <c r="I29" s="20"/>
      <c r="J29" s="20"/>
      <c r="K29" s="20"/>
      <c r="L29" s="20"/>
      <c r="M29" s="20"/>
      <c r="N29" s="108"/>
      <c r="O29" s="1196"/>
    </row>
    <row r="30" ht="20.25" customHeight="1">
      <c r="A30" s="57"/>
      <c r="B30" s="25" t="s">
        <v>110</v>
      </c>
      <c r="C30" s="25" t="s">
        <v>705</v>
      </c>
      <c r="D30" s="25" t="s">
        <v>723</v>
      </c>
      <c r="E30" s="25" t="s">
        <v>23</v>
      </c>
      <c r="F30" s="26" t="s">
        <v>724</v>
      </c>
      <c r="G30" s="1157" t="s">
        <v>179</v>
      </c>
      <c r="H30" s="1168" t="s">
        <v>18</v>
      </c>
      <c r="I30" s="1195">
        <v>5.0</v>
      </c>
      <c r="J30" s="13">
        <v>160.0</v>
      </c>
      <c r="K30" s="13">
        <v>800.0</v>
      </c>
      <c r="L30" s="834">
        <v>800.0</v>
      </c>
      <c r="M30" s="1195" t="s">
        <v>460</v>
      </c>
      <c r="N30" s="834" t="s">
        <v>460</v>
      </c>
      <c r="O30" s="1197">
        <v>800.0</v>
      </c>
    </row>
    <row r="31" ht="20.25" customHeight="1">
      <c r="A31" s="29"/>
      <c r="B31" s="20"/>
      <c r="C31" s="20"/>
      <c r="D31" s="20"/>
      <c r="E31" s="20"/>
      <c r="F31" s="20"/>
      <c r="G31" s="108"/>
      <c r="H31" s="187"/>
      <c r="I31" s="20"/>
      <c r="J31" s="20"/>
      <c r="K31" s="20"/>
      <c r="L31" s="20"/>
      <c r="M31" s="20"/>
      <c r="N31" s="108"/>
      <c r="O31" s="51"/>
    </row>
    <row r="32" ht="20.25" customHeight="1">
      <c r="A32" s="8">
        <v>46159.0</v>
      </c>
      <c r="B32" s="25" t="s">
        <v>110</v>
      </c>
      <c r="C32" s="25" t="s">
        <v>705</v>
      </c>
      <c r="D32" s="25" t="s">
        <v>725</v>
      </c>
      <c r="E32" s="25"/>
      <c r="F32" s="26" t="s">
        <v>726</v>
      </c>
      <c r="G32" s="1157" t="s">
        <v>179</v>
      </c>
      <c r="H32" s="1198" t="s">
        <v>18</v>
      </c>
      <c r="I32" s="14">
        <v>10.0</v>
      </c>
      <c r="J32" s="14">
        <v>100.0</v>
      </c>
      <c r="K32" s="14">
        <v>1000.0</v>
      </c>
      <c r="L32" s="834">
        <v>1120.0</v>
      </c>
      <c r="M32" s="1195">
        <v>25.0</v>
      </c>
      <c r="N32" s="834">
        <v>1395.0</v>
      </c>
      <c r="O32" s="1196"/>
    </row>
    <row r="33" ht="20.25" customHeight="1">
      <c r="A33" s="29"/>
      <c r="B33" s="20"/>
      <c r="C33" s="20"/>
      <c r="D33" s="20"/>
      <c r="E33" s="20"/>
      <c r="F33" s="20"/>
      <c r="G33" s="108"/>
      <c r="H33" s="1199"/>
      <c r="I33" s="22">
        <v>1.0</v>
      </c>
      <c r="J33" s="22">
        <v>120.0</v>
      </c>
      <c r="K33" s="22">
        <v>120.0</v>
      </c>
      <c r="L33" s="20"/>
      <c r="M33" s="20"/>
      <c r="N33" s="108"/>
      <c r="O33" s="48"/>
    </row>
    <row r="34" ht="20.25" customHeight="1">
      <c r="A34" s="57"/>
      <c r="B34" s="25" t="s">
        <v>236</v>
      </c>
      <c r="C34" s="25" t="s">
        <v>705</v>
      </c>
      <c r="D34" s="25" t="s">
        <v>727</v>
      </c>
      <c r="E34" s="25"/>
      <c r="F34" s="26" t="s">
        <v>728</v>
      </c>
      <c r="G34" s="1157" t="s">
        <v>179</v>
      </c>
      <c r="H34" s="1158" t="s">
        <v>18</v>
      </c>
      <c r="I34" s="14">
        <v>11.0</v>
      </c>
      <c r="J34" s="14">
        <v>100.0</v>
      </c>
      <c r="K34" s="14">
        <v>1100.0</v>
      </c>
      <c r="L34" s="834">
        <v>1650.0</v>
      </c>
      <c r="M34" s="13">
        <v>400.0</v>
      </c>
      <c r="N34" s="834">
        <v>2050.0</v>
      </c>
      <c r="O34" s="1196"/>
    </row>
    <row r="35" ht="20.25" customHeight="1">
      <c r="A35" s="29"/>
      <c r="B35" s="137" t="s">
        <v>110</v>
      </c>
      <c r="C35" s="20"/>
      <c r="D35" s="20"/>
      <c r="E35" s="20"/>
      <c r="F35" s="20"/>
      <c r="G35" s="108"/>
      <c r="H35" s="1158" t="s">
        <v>18</v>
      </c>
      <c r="I35" s="22">
        <v>4.0</v>
      </c>
      <c r="J35" s="22">
        <v>137.5</v>
      </c>
      <c r="K35" s="22">
        <v>550.0</v>
      </c>
      <c r="L35" s="20"/>
      <c r="M35" s="20"/>
      <c r="N35" s="108"/>
      <c r="O35" s="1196"/>
    </row>
    <row r="36" ht="20.25" customHeight="1">
      <c r="A36" s="57"/>
      <c r="B36" s="25" t="s">
        <v>110</v>
      </c>
      <c r="C36" s="25" t="s">
        <v>705</v>
      </c>
      <c r="D36" s="1200" t="s">
        <v>729</v>
      </c>
      <c r="E36" s="1186"/>
      <c r="F36" s="1187" t="s">
        <v>730</v>
      </c>
      <c r="G36" s="1188" t="s">
        <v>179</v>
      </c>
      <c r="H36" s="1188"/>
      <c r="I36" s="1188"/>
      <c r="J36" s="1188"/>
      <c r="K36" s="1188"/>
      <c r="L36" s="1188"/>
      <c r="M36" s="1188"/>
      <c r="N36" s="1188"/>
      <c r="O36" s="1185"/>
    </row>
    <row r="37" ht="20.25" customHeight="1">
      <c r="A37" s="29"/>
      <c r="B37" s="20"/>
      <c r="C37" s="20"/>
      <c r="D37" s="20"/>
      <c r="E37" s="20"/>
      <c r="F37" s="20"/>
      <c r="G37" s="108"/>
      <c r="H37" s="108"/>
      <c r="I37" s="20"/>
      <c r="J37" s="20"/>
      <c r="K37" s="20"/>
      <c r="L37" s="20"/>
      <c r="M37" s="20"/>
      <c r="N37" s="108"/>
      <c r="O37" s="1185"/>
    </row>
    <row r="38" ht="20.25" customHeight="1">
      <c r="A38" s="8">
        <v>46160.0</v>
      </c>
      <c r="B38" s="25" t="s">
        <v>110</v>
      </c>
      <c r="C38" s="25" t="s">
        <v>705</v>
      </c>
      <c r="D38" s="1201" t="s">
        <v>731</v>
      </c>
      <c r="E38" s="1186"/>
      <c r="F38" s="1187" t="s">
        <v>730</v>
      </c>
      <c r="G38" s="1188" t="s">
        <v>179</v>
      </c>
      <c r="H38" s="1188"/>
      <c r="I38" s="1188"/>
      <c r="J38" s="1188"/>
      <c r="K38" s="1188"/>
      <c r="L38" s="1188"/>
      <c r="M38" s="1188"/>
      <c r="N38" s="1188"/>
      <c r="O38" s="1185"/>
    </row>
    <row r="39" ht="20.25" customHeight="1">
      <c r="A39" s="29"/>
      <c r="B39" s="29"/>
      <c r="C39" s="29"/>
      <c r="D39" s="314"/>
      <c r="E39" s="29"/>
      <c r="F39" s="29"/>
      <c r="G39" s="187"/>
      <c r="H39" s="187"/>
      <c r="I39" s="29"/>
      <c r="J39" s="29"/>
      <c r="K39" s="29"/>
      <c r="L39" s="29"/>
      <c r="M39" s="29"/>
      <c r="N39" s="187"/>
      <c r="O39" s="1185"/>
    </row>
    <row r="40" ht="20.25" customHeight="1">
      <c r="A40" s="57"/>
      <c r="B40" s="57"/>
      <c r="C40" s="57"/>
      <c r="D40" s="294"/>
      <c r="E40" s="57"/>
      <c r="F40" s="57"/>
      <c r="G40" s="187"/>
      <c r="H40" s="187"/>
      <c r="I40" s="57"/>
      <c r="J40" s="57"/>
      <c r="K40" s="57"/>
      <c r="L40" s="57"/>
      <c r="M40" s="57"/>
      <c r="N40" s="187"/>
      <c r="O40" s="1185"/>
    </row>
    <row r="41" ht="20.25" customHeight="1">
      <c r="A41" s="29"/>
      <c r="B41" s="20"/>
      <c r="C41" s="20"/>
      <c r="D41" s="311"/>
      <c r="E41" s="20"/>
      <c r="F41" s="20"/>
      <c r="G41" s="108"/>
      <c r="H41" s="108"/>
      <c r="I41" s="20"/>
      <c r="J41" s="20"/>
      <c r="K41" s="20"/>
      <c r="L41" s="20"/>
      <c r="M41" s="20"/>
      <c r="N41" s="108"/>
      <c r="O41" s="1185"/>
    </row>
    <row r="42" ht="20.25" customHeight="1">
      <c r="A42" s="57"/>
      <c r="B42" s="25" t="s">
        <v>110</v>
      </c>
      <c r="C42" s="25" t="s">
        <v>705</v>
      </c>
      <c r="D42" s="25" t="s">
        <v>732</v>
      </c>
      <c r="E42" s="25"/>
      <c r="F42" s="26" t="s">
        <v>733</v>
      </c>
      <c r="G42" s="1158" t="s">
        <v>17</v>
      </c>
      <c r="H42" s="1158" t="s">
        <v>18</v>
      </c>
      <c r="I42" s="14">
        <v>15.0</v>
      </c>
      <c r="J42" s="14">
        <v>100.0</v>
      </c>
      <c r="K42" s="14">
        <v>1500.0</v>
      </c>
      <c r="L42" s="834">
        <v>1620.0</v>
      </c>
      <c r="M42" s="1195">
        <v>400.0</v>
      </c>
      <c r="N42" s="834">
        <v>2020.0</v>
      </c>
      <c r="O42" s="1196"/>
    </row>
    <row r="43" ht="20.25" customHeight="1">
      <c r="A43" s="29"/>
      <c r="B43" s="20"/>
      <c r="C43" s="20"/>
      <c r="D43" s="20"/>
      <c r="E43" s="20"/>
      <c r="F43" s="20"/>
      <c r="G43" s="1158" t="s">
        <v>17</v>
      </c>
      <c r="H43" s="1158" t="s">
        <v>25</v>
      </c>
      <c r="I43" s="22">
        <v>1.0</v>
      </c>
      <c r="J43" s="22">
        <v>120.0</v>
      </c>
      <c r="K43" s="22">
        <v>120.0</v>
      </c>
      <c r="L43" s="20"/>
      <c r="M43" s="20"/>
      <c r="N43" s="108"/>
      <c r="O43" s="1196"/>
    </row>
    <row r="44" ht="20.25" customHeight="1">
      <c r="A44" s="57"/>
      <c r="B44" s="25" t="s">
        <v>236</v>
      </c>
      <c r="C44" s="25" t="s">
        <v>705</v>
      </c>
      <c r="D44" s="25" t="s">
        <v>734</v>
      </c>
      <c r="E44" s="25"/>
      <c r="F44" s="26" t="s">
        <v>728</v>
      </c>
      <c r="G44" s="1158" t="s">
        <v>17</v>
      </c>
      <c r="H44" s="1158" t="s">
        <v>18</v>
      </c>
      <c r="I44" s="14">
        <v>8.0</v>
      </c>
      <c r="J44" s="14">
        <v>120.0</v>
      </c>
      <c r="K44" s="14">
        <v>960.0</v>
      </c>
      <c r="L44" s="834">
        <v>1920.0</v>
      </c>
      <c r="M44" s="1195">
        <v>400.0</v>
      </c>
      <c r="N44" s="834">
        <v>2320.0</v>
      </c>
      <c r="O44" s="1196"/>
    </row>
    <row r="45" ht="20.25" customHeight="1">
      <c r="A45" s="29"/>
      <c r="B45" s="20"/>
      <c r="C45" s="20"/>
      <c r="D45" s="20"/>
      <c r="E45" s="20"/>
      <c r="F45" s="20"/>
      <c r="G45" s="1158" t="s">
        <v>17</v>
      </c>
      <c r="H45" s="1158" t="s">
        <v>25</v>
      </c>
      <c r="I45" s="22">
        <v>4.0</v>
      </c>
      <c r="J45" s="22">
        <v>240.0</v>
      </c>
      <c r="K45" s="22">
        <v>960.0</v>
      </c>
      <c r="L45" s="20"/>
      <c r="M45" s="20"/>
      <c r="N45" s="108"/>
      <c r="O45" s="1196"/>
    </row>
    <row r="46" ht="20.25" customHeight="1">
      <c r="A46" s="8">
        <v>46161.0</v>
      </c>
      <c r="B46" s="25" t="s">
        <v>110</v>
      </c>
      <c r="C46" s="25" t="s">
        <v>705</v>
      </c>
      <c r="D46" s="25" t="s">
        <v>735</v>
      </c>
      <c r="E46" s="25"/>
      <c r="F46" s="26" t="s">
        <v>726</v>
      </c>
      <c r="G46" s="1158" t="s">
        <v>17</v>
      </c>
      <c r="H46" s="1158" t="s">
        <v>18</v>
      </c>
      <c r="I46" s="14">
        <v>1.0</v>
      </c>
      <c r="J46" s="14">
        <v>120.0</v>
      </c>
      <c r="K46" s="14">
        <v>120.0</v>
      </c>
      <c r="L46" s="834">
        <v>1520.0</v>
      </c>
      <c r="M46" s="1195">
        <v>375.0</v>
      </c>
      <c r="N46" s="834">
        <v>1895.0</v>
      </c>
      <c r="O46" s="1196"/>
    </row>
    <row r="47" ht="20.25" customHeight="1">
      <c r="A47" s="29"/>
      <c r="B47" s="20"/>
      <c r="C47" s="20"/>
      <c r="D47" s="20"/>
      <c r="E47" s="20"/>
      <c r="F47" s="20"/>
      <c r="G47" s="1158" t="s">
        <v>17</v>
      </c>
      <c r="H47" s="1158" t="s">
        <v>18</v>
      </c>
      <c r="I47" s="22">
        <v>14.0</v>
      </c>
      <c r="J47" s="22">
        <v>100.0</v>
      </c>
      <c r="K47" s="22">
        <v>1400.0</v>
      </c>
      <c r="L47" s="20"/>
      <c r="M47" s="20"/>
      <c r="N47" s="108"/>
      <c r="O47" s="1196"/>
    </row>
    <row r="48" ht="20.25" customHeight="1">
      <c r="A48" s="57"/>
      <c r="B48" s="25" t="s">
        <v>236</v>
      </c>
      <c r="C48" s="25" t="s">
        <v>705</v>
      </c>
      <c r="D48" s="25" t="s">
        <v>736</v>
      </c>
      <c r="E48" s="25"/>
      <c r="F48" s="26" t="s">
        <v>728</v>
      </c>
      <c r="G48" s="1157" t="s">
        <v>17</v>
      </c>
      <c r="H48" s="1157" t="s">
        <v>18</v>
      </c>
      <c r="I48" s="13">
        <v>13.0</v>
      </c>
      <c r="J48" s="13">
        <v>120.0</v>
      </c>
      <c r="K48" s="13">
        <v>1560.0</v>
      </c>
      <c r="L48" s="834">
        <v>2760.0</v>
      </c>
      <c r="M48" s="1195">
        <v>400.0</v>
      </c>
      <c r="N48" s="834">
        <v>3160.0</v>
      </c>
      <c r="O48" s="1196"/>
    </row>
    <row r="49" ht="20.25" customHeight="1">
      <c r="A49" s="29"/>
      <c r="B49" s="29"/>
      <c r="C49" s="29"/>
      <c r="D49" s="29"/>
      <c r="E49" s="29"/>
      <c r="F49" s="29"/>
      <c r="G49" s="108"/>
      <c r="H49" s="108"/>
      <c r="I49" s="20"/>
      <c r="J49" s="20"/>
      <c r="K49" s="20"/>
      <c r="L49" s="29"/>
      <c r="M49" s="29"/>
      <c r="N49" s="187"/>
      <c r="O49" s="1196"/>
    </row>
    <row r="50" ht="20.25" customHeight="1">
      <c r="A50" s="57"/>
      <c r="B50" s="58"/>
      <c r="C50" s="58"/>
      <c r="D50" s="58"/>
      <c r="E50" s="58"/>
      <c r="F50" s="58"/>
      <c r="G50" s="1158" t="s">
        <v>17</v>
      </c>
      <c r="H50" s="1158" t="s">
        <v>18</v>
      </c>
      <c r="I50" s="14">
        <v>5.0</v>
      </c>
      <c r="J50" s="14">
        <v>240.0</v>
      </c>
      <c r="K50" s="14">
        <v>1200.0</v>
      </c>
      <c r="L50" s="58"/>
      <c r="M50" s="58"/>
      <c r="N50" s="108"/>
      <c r="O50" s="1196"/>
    </row>
    <row r="51" ht="20.25" customHeight="1">
      <c r="A51" s="29"/>
      <c r="B51" s="137" t="s">
        <v>110</v>
      </c>
      <c r="C51" s="137" t="s">
        <v>705</v>
      </c>
      <c r="D51" s="137" t="s">
        <v>737</v>
      </c>
      <c r="E51" s="1202"/>
      <c r="F51" s="1203" t="s">
        <v>738</v>
      </c>
      <c r="G51" s="1188" t="s">
        <v>179</v>
      </c>
      <c r="H51" s="1188"/>
      <c r="I51" s="1188"/>
      <c r="J51" s="1188"/>
      <c r="K51" s="1188"/>
      <c r="L51" s="1188"/>
      <c r="M51" s="1188"/>
      <c r="N51" s="1189"/>
      <c r="O51" s="1185"/>
    </row>
    <row r="52" ht="20.25" customHeight="1">
      <c r="A52" s="57"/>
      <c r="B52" s="57"/>
      <c r="C52" s="57"/>
      <c r="D52" s="57"/>
      <c r="E52" s="57"/>
      <c r="F52" s="57"/>
      <c r="G52" s="187"/>
      <c r="H52" s="187"/>
      <c r="I52" s="57"/>
      <c r="J52" s="57"/>
      <c r="K52" s="57"/>
      <c r="L52" s="57"/>
      <c r="M52" s="57"/>
      <c r="N52" s="187"/>
      <c r="O52" s="1185"/>
    </row>
    <row r="53" ht="20.25" customHeight="1">
      <c r="A53" s="29"/>
      <c r="B53" s="20"/>
      <c r="C53" s="20"/>
      <c r="D53" s="20"/>
      <c r="E53" s="20"/>
      <c r="F53" s="20"/>
      <c r="G53" s="108"/>
      <c r="H53" s="108"/>
      <c r="I53" s="20"/>
      <c r="J53" s="20"/>
      <c r="K53" s="20"/>
      <c r="L53" s="20"/>
      <c r="M53" s="20"/>
      <c r="N53" s="108"/>
      <c r="O53" s="1185"/>
    </row>
    <row r="54" ht="20.25" customHeight="1">
      <c r="A54" s="8">
        <v>46162.0</v>
      </c>
      <c r="B54" s="25" t="s">
        <v>22</v>
      </c>
      <c r="C54" s="25" t="s">
        <v>705</v>
      </c>
      <c r="D54" s="25" t="s">
        <v>739</v>
      </c>
      <c r="E54" s="25" t="s">
        <v>41</v>
      </c>
      <c r="F54" s="26" t="s">
        <v>740</v>
      </c>
      <c r="G54" s="1157" t="s">
        <v>17</v>
      </c>
      <c r="H54" s="1158" t="s">
        <v>18</v>
      </c>
      <c r="I54" s="14">
        <v>11.0</v>
      </c>
      <c r="J54" s="14">
        <v>100.0</v>
      </c>
      <c r="K54" s="14">
        <v>1100.0</v>
      </c>
      <c r="L54" s="834">
        <v>1220.0</v>
      </c>
      <c r="M54" s="1159">
        <v>30.0</v>
      </c>
      <c r="N54" s="834">
        <v>1580.0</v>
      </c>
      <c r="O54" s="1196"/>
    </row>
    <row r="55" ht="20.25" customHeight="1">
      <c r="A55" s="29"/>
      <c r="B55" s="20"/>
      <c r="C55" s="20"/>
      <c r="D55" s="20"/>
      <c r="E55" s="20"/>
      <c r="F55" s="20"/>
      <c r="G55" s="108"/>
      <c r="H55" s="1158" t="s">
        <v>25</v>
      </c>
      <c r="I55" s="22">
        <v>1.0</v>
      </c>
      <c r="J55" s="22">
        <v>120.0</v>
      </c>
      <c r="K55" s="1162">
        <v>120.0</v>
      </c>
      <c r="L55" s="20"/>
      <c r="M55" s="1159">
        <v>30.0</v>
      </c>
      <c r="N55" s="108"/>
      <c r="O55" s="1196"/>
    </row>
    <row r="56" ht="20.25" customHeight="1">
      <c r="A56" s="57"/>
      <c r="B56" s="25" t="s">
        <v>22</v>
      </c>
      <c r="C56" s="25" t="s">
        <v>705</v>
      </c>
      <c r="D56" s="25" t="s">
        <v>741</v>
      </c>
      <c r="E56" s="25" t="s">
        <v>23</v>
      </c>
      <c r="F56" s="26" t="s">
        <v>742</v>
      </c>
      <c r="G56" s="1158" t="s">
        <v>17</v>
      </c>
      <c r="H56" s="1158" t="s">
        <v>18</v>
      </c>
      <c r="I56" s="14">
        <v>14.0</v>
      </c>
      <c r="J56" s="14">
        <v>100.0</v>
      </c>
      <c r="K56" s="14">
        <v>1400.0</v>
      </c>
      <c r="L56" s="834">
        <v>1520.0</v>
      </c>
      <c r="M56" s="1159">
        <v>25.0</v>
      </c>
      <c r="N56" s="834">
        <v>1895.0</v>
      </c>
      <c r="O56" s="1196"/>
    </row>
    <row r="57" ht="20.25" customHeight="1">
      <c r="A57" s="29"/>
      <c r="B57" s="20"/>
      <c r="C57" s="20"/>
      <c r="D57" s="20"/>
      <c r="E57" s="20"/>
      <c r="F57" s="20"/>
      <c r="G57" s="1158" t="s">
        <v>17</v>
      </c>
      <c r="H57" s="1158" t="s">
        <v>25</v>
      </c>
      <c r="I57" s="22">
        <v>1.0</v>
      </c>
      <c r="J57" s="22">
        <v>120.0</v>
      </c>
      <c r="K57" s="22">
        <v>120.0</v>
      </c>
      <c r="L57" s="20"/>
      <c r="M57" s="1159">
        <v>25.0</v>
      </c>
      <c r="N57" s="108"/>
      <c r="O57" s="1196"/>
    </row>
    <row r="58" ht="20.25" customHeight="1">
      <c r="A58" s="57"/>
      <c r="B58" s="25" t="s">
        <v>22</v>
      </c>
      <c r="C58" s="25" t="s">
        <v>705</v>
      </c>
      <c r="D58" s="1186" t="s">
        <v>743</v>
      </c>
      <c r="E58" s="1186"/>
      <c r="F58" s="1187" t="s">
        <v>730</v>
      </c>
      <c r="G58" s="1188" t="s">
        <v>179</v>
      </c>
      <c r="H58" s="1183"/>
      <c r="I58" s="1183"/>
      <c r="J58" s="1183"/>
      <c r="K58" s="1183"/>
      <c r="L58" s="1183"/>
      <c r="M58" s="1183"/>
      <c r="N58" s="1188"/>
      <c r="O58" s="1185"/>
    </row>
    <row r="59" ht="20.25" customHeight="1">
      <c r="A59" s="29"/>
      <c r="B59" s="20"/>
      <c r="C59" s="20"/>
      <c r="D59" s="20"/>
      <c r="E59" s="20"/>
      <c r="F59" s="20"/>
      <c r="G59" s="108"/>
      <c r="H59" s="1183"/>
      <c r="I59" s="1183"/>
      <c r="J59" s="1183"/>
      <c r="K59" s="1183"/>
      <c r="L59" s="1183"/>
      <c r="M59" s="1183"/>
      <c r="N59" s="108"/>
      <c r="O59" s="1185"/>
    </row>
    <row r="60" ht="20.25" customHeight="1">
      <c r="A60" s="57"/>
      <c r="B60" s="25" t="s">
        <v>236</v>
      </c>
      <c r="C60" s="25" t="s">
        <v>705</v>
      </c>
      <c r="D60" s="25" t="s">
        <v>744</v>
      </c>
      <c r="E60" s="25" t="s">
        <v>68</v>
      </c>
      <c r="F60" s="26" t="s">
        <v>745</v>
      </c>
      <c r="G60" s="1158" t="s">
        <v>17</v>
      </c>
      <c r="H60" s="1158" t="s">
        <v>18</v>
      </c>
      <c r="I60" s="14">
        <v>5.0</v>
      </c>
      <c r="J60" s="14">
        <v>120.0</v>
      </c>
      <c r="K60" s="14">
        <v>600.0</v>
      </c>
      <c r="L60" s="1195">
        <v>1950.0</v>
      </c>
      <c r="M60" s="1195">
        <v>400.0</v>
      </c>
      <c r="N60" s="834">
        <v>2350.0</v>
      </c>
      <c r="O60" s="1196"/>
    </row>
    <row r="61" ht="20.25" customHeight="1">
      <c r="A61" s="29"/>
      <c r="B61" s="137" t="s">
        <v>110</v>
      </c>
      <c r="C61" s="29"/>
      <c r="D61" s="29"/>
      <c r="E61" s="29"/>
      <c r="F61" s="29"/>
      <c r="G61" s="1158" t="s">
        <v>17</v>
      </c>
      <c r="H61" s="1158" t="s">
        <v>18</v>
      </c>
      <c r="I61" s="22">
        <v>2.0</v>
      </c>
      <c r="J61" s="22">
        <v>225.0</v>
      </c>
      <c r="K61" s="22">
        <v>450.0</v>
      </c>
      <c r="L61" s="29"/>
      <c r="M61" s="29"/>
      <c r="N61" s="187"/>
      <c r="O61" s="1196"/>
    </row>
    <row r="62" ht="20.25" customHeight="1">
      <c r="A62" s="57"/>
      <c r="B62" s="58"/>
      <c r="C62" s="58"/>
      <c r="D62" s="58"/>
      <c r="E62" s="58"/>
      <c r="F62" s="58"/>
      <c r="G62" s="1158" t="s">
        <v>17</v>
      </c>
      <c r="H62" s="1158" t="s">
        <v>18</v>
      </c>
      <c r="I62" s="14">
        <v>9.0</v>
      </c>
      <c r="J62" s="14">
        <v>100.0</v>
      </c>
      <c r="K62" s="14">
        <v>900.0</v>
      </c>
      <c r="L62" s="58"/>
      <c r="M62" s="58"/>
      <c r="N62" s="108"/>
      <c r="O62" s="1196"/>
    </row>
    <row r="63" ht="20.25" customHeight="1">
      <c r="A63" s="15">
        <v>46163.0</v>
      </c>
      <c r="B63" s="137" t="s">
        <v>110</v>
      </c>
      <c r="C63" s="1204" t="s">
        <v>705</v>
      </c>
      <c r="D63" s="1186" t="s">
        <v>746</v>
      </c>
      <c r="E63" s="1202"/>
      <c r="F63" s="1203" t="s">
        <v>738</v>
      </c>
      <c r="G63" s="1188" t="s">
        <v>179</v>
      </c>
      <c r="H63" s="1188"/>
      <c r="I63" s="1183"/>
      <c r="J63" s="1183"/>
      <c r="K63" s="1183"/>
      <c r="L63" s="1183"/>
      <c r="M63" s="1183"/>
      <c r="N63" s="1183"/>
      <c r="O63" s="1185"/>
    </row>
    <row r="64" ht="20.25" customHeight="1">
      <c r="A64" s="57"/>
      <c r="B64" s="57"/>
      <c r="C64" s="294"/>
      <c r="D64" s="57"/>
      <c r="E64" s="57"/>
      <c r="F64" s="57"/>
      <c r="G64" s="187"/>
      <c r="H64" s="187"/>
      <c r="I64" s="1183"/>
      <c r="J64" s="1183"/>
      <c r="K64" s="1183"/>
      <c r="L64" s="1183"/>
      <c r="M64" s="1183"/>
      <c r="N64" s="1183"/>
      <c r="O64" s="1185"/>
    </row>
    <row r="65" ht="20.25" customHeight="1">
      <c r="A65" s="29"/>
      <c r="B65" s="20"/>
      <c r="C65" s="311"/>
      <c r="D65" s="20"/>
      <c r="E65" s="20"/>
      <c r="F65" s="20"/>
      <c r="G65" s="108"/>
      <c r="H65" s="108"/>
      <c r="I65" s="1183"/>
      <c r="J65" s="1183"/>
      <c r="K65" s="1183"/>
      <c r="L65" s="1183"/>
      <c r="M65" s="1183"/>
      <c r="N65" s="1183"/>
      <c r="O65" s="1185"/>
    </row>
    <row r="66" ht="20.25" customHeight="1">
      <c r="A66" s="57"/>
      <c r="B66" s="25" t="s">
        <v>110</v>
      </c>
      <c r="C66" s="25" t="s">
        <v>705</v>
      </c>
      <c r="D66" s="25" t="s">
        <v>747</v>
      </c>
      <c r="E66" s="25"/>
      <c r="F66" s="26" t="s">
        <v>748</v>
      </c>
      <c r="G66" s="1158" t="s">
        <v>17</v>
      </c>
      <c r="H66" s="1158" t="s">
        <v>18</v>
      </c>
      <c r="I66" s="14">
        <v>13.0</v>
      </c>
      <c r="J66" s="14">
        <v>100.0</v>
      </c>
      <c r="K66" s="14">
        <v>1300.0</v>
      </c>
      <c r="L66" s="1195">
        <v>1950.0</v>
      </c>
      <c r="M66" s="1195">
        <v>400.0</v>
      </c>
      <c r="N66" s="834">
        <v>2350.0</v>
      </c>
      <c r="O66" s="1196"/>
    </row>
    <row r="67" ht="20.25" customHeight="1">
      <c r="A67" s="29"/>
      <c r="B67" s="29"/>
      <c r="C67" s="29"/>
      <c r="D67" s="29"/>
      <c r="E67" s="29"/>
      <c r="F67" s="29"/>
      <c r="G67" s="1158" t="s">
        <v>17</v>
      </c>
      <c r="H67" s="1158" t="s">
        <v>18</v>
      </c>
      <c r="I67" s="22">
        <v>2.0</v>
      </c>
      <c r="J67" s="22">
        <v>150.0</v>
      </c>
      <c r="K67" s="22">
        <v>300.0</v>
      </c>
      <c r="L67" s="29"/>
      <c r="M67" s="29"/>
      <c r="N67" s="187"/>
      <c r="O67" s="1196"/>
    </row>
    <row r="68" ht="20.25" customHeight="1">
      <c r="A68" s="57"/>
      <c r="B68" s="57"/>
      <c r="C68" s="57"/>
      <c r="D68" s="57"/>
      <c r="E68" s="57"/>
      <c r="F68" s="57"/>
      <c r="G68" s="1158" t="s">
        <v>17</v>
      </c>
      <c r="H68" s="1158" t="s">
        <v>18</v>
      </c>
      <c r="I68" s="14">
        <v>1.0</v>
      </c>
      <c r="J68" s="14">
        <v>110.0</v>
      </c>
      <c r="K68" s="14">
        <v>110.0</v>
      </c>
      <c r="L68" s="57"/>
      <c r="M68" s="57"/>
      <c r="N68" s="187"/>
      <c r="O68" s="1196"/>
    </row>
    <row r="69" ht="20.25" customHeight="1">
      <c r="A69" s="29"/>
      <c r="B69" s="20"/>
      <c r="C69" s="20"/>
      <c r="D69" s="20"/>
      <c r="E69" s="20"/>
      <c r="F69" s="20"/>
      <c r="G69" s="1158" t="s">
        <v>17</v>
      </c>
      <c r="H69" s="1158" t="s">
        <v>18</v>
      </c>
      <c r="I69" s="22">
        <v>2.0</v>
      </c>
      <c r="J69" s="22">
        <v>120.0</v>
      </c>
      <c r="K69" s="22">
        <v>240.0</v>
      </c>
      <c r="L69" s="20"/>
      <c r="M69" s="20"/>
      <c r="N69" s="187"/>
      <c r="O69" s="1196"/>
    </row>
    <row r="70" ht="20.25" customHeight="1">
      <c r="A70" s="57"/>
      <c r="B70" s="25" t="s">
        <v>110</v>
      </c>
      <c r="C70" s="25" t="s">
        <v>705</v>
      </c>
      <c r="D70" s="25" t="s">
        <v>749</v>
      </c>
      <c r="E70" s="25" t="s">
        <v>603</v>
      </c>
      <c r="F70" s="26" t="s">
        <v>750</v>
      </c>
      <c r="G70" s="1158" t="s">
        <v>17</v>
      </c>
      <c r="H70" s="1158" t="s">
        <v>18</v>
      </c>
      <c r="I70" s="14">
        <v>14.0</v>
      </c>
      <c r="J70" s="14">
        <v>100.0</v>
      </c>
      <c r="K70" s="13">
        <v>1400.0</v>
      </c>
      <c r="L70" s="1195">
        <v>1520.0</v>
      </c>
      <c r="M70" s="1159">
        <v>25.0</v>
      </c>
      <c r="N70" s="834">
        <v>1895.0</v>
      </c>
      <c r="O70" s="1196"/>
    </row>
    <row r="71" ht="20.25" customHeight="1">
      <c r="A71" s="29"/>
      <c r="B71" s="20"/>
      <c r="C71" s="20"/>
      <c r="D71" s="20"/>
      <c r="E71" s="20"/>
      <c r="F71" s="20"/>
      <c r="G71" s="1158" t="s">
        <v>17</v>
      </c>
      <c r="H71" s="1158" t="s">
        <v>25</v>
      </c>
      <c r="I71" s="22">
        <v>1.0</v>
      </c>
      <c r="J71" s="22">
        <v>120.0</v>
      </c>
      <c r="K71" s="1162">
        <v>120.0</v>
      </c>
      <c r="L71" s="20"/>
      <c r="M71" s="1159">
        <v>25.0</v>
      </c>
      <c r="N71" s="108"/>
      <c r="O71" s="1196"/>
    </row>
    <row r="72" ht="20.25" customHeight="1">
      <c r="A72" s="8">
        <v>46164.0</v>
      </c>
      <c r="B72" s="25" t="s">
        <v>110</v>
      </c>
      <c r="C72" s="25" t="s">
        <v>705</v>
      </c>
      <c r="D72" s="25" t="s">
        <v>751</v>
      </c>
      <c r="E72" s="25" t="s">
        <v>603</v>
      </c>
      <c r="F72" s="26" t="s">
        <v>750</v>
      </c>
      <c r="G72" s="1158" t="s">
        <v>17</v>
      </c>
      <c r="H72" s="1158" t="s">
        <v>18</v>
      </c>
      <c r="I72" s="14">
        <v>15.0</v>
      </c>
      <c r="J72" s="14">
        <v>100.0</v>
      </c>
      <c r="K72" s="14">
        <v>1500.0</v>
      </c>
      <c r="L72" s="1195">
        <v>1620.0</v>
      </c>
      <c r="M72" s="14">
        <v>25.0</v>
      </c>
      <c r="N72" s="834">
        <v>2020.0</v>
      </c>
      <c r="O72" s="1196"/>
    </row>
    <row r="73" ht="20.25" customHeight="1">
      <c r="A73" s="29"/>
      <c r="B73" s="20"/>
      <c r="C73" s="20"/>
      <c r="D73" s="20"/>
      <c r="E73" s="20"/>
      <c r="F73" s="20"/>
      <c r="G73" s="1158" t="s">
        <v>17</v>
      </c>
      <c r="H73" s="1158" t="s">
        <v>25</v>
      </c>
      <c r="I73" s="22">
        <v>1.0</v>
      </c>
      <c r="J73" s="22">
        <v>120.0</v>
      </c>
      <c r="K73" s="22">
        <v>120.0</v>
      </c>
      <c r="L73" s="20"/>
      <c r="M73" s="22">
        <v>25.0</v>
      </c>
      <c r="N73" s="108"/>
      <c r="O73" s="1196"/>
    </row>
    <row r="74" ht="20.25" customHeight="1">
      <c r="A74" s="57"/>
      <c r="B74" s="25" t="s">
        <v>110</v>
      </c>
      <c r="C74" s="25" t="s">
        <v>705</v>
      </c>
      <c r="D74" s="25" t="s">
        <v>752</v>
      </c>
      <c r="E74" s="25" t="s">
        <v>41</v>
      </c>
      <c r="F74" s="26" t="s">
        <v>753</v>
      </c>
      <c r="G74" s="1157" t="s">
        <v>17</v>
      </c>
      <c r="H74" s="1157" t="s">
        <v>18</v>
      </c>
      <c r="I74" s="13">
        <v>2.0</v>
      </c>
      <c r="J74" s="13">
        <v>180.0</v>
      </c>
      <c r="K74" s="13">
        <v>360.0</v>
      </c>
      <c r="L74" s="1195">
        <v>1320.0</v>
      </c>
      <c r="M74" s="1195">
        <v>400.0</v>
      </c>
      <c r="N74" s="834">
        <v>1720.0</v>
      </c>
      <c r="O74" s="1196"/>
    </row>
    <row r="75" ht="20.25" customHeight="1">
      <c r="A75" s="29"/>
      <c r="B75" s="29"/>
      <c r="C75" s="29"/>
      <c r="D75" s="29"/>
      <c r="E75" s="29"/>
      <c r="F75" s="29"/>
      <c r="G75" s="187"/>
      <c r="H75" s="187"/>
      <c r="I75" s="29"/>
      <c r="J75" s="29"/>
      <c r="K75" s="29"/>
      <c r="L75" s="29"/>
      <c r="M75" s="29"/>
      <c r="N75" s="187"/>
      <c r="O75" s="1196"/>
    </row>
    <row r="76" ht="20.25" customHeight="1">
      <c r="A76" s="57"/>
      <c r="B76" s="57"/>
      <c r="C76" s="57"/>
      <c r="D76" s="57"/>
      <c r="E76" s="57"/>
      <c r="F76" s="57"/>
      <c r="G76" s="108"/>
      <c r="H76" s="108"/>
      <c r="I76" s="58"/>
      <c r="J76" s="58"/>
      <c r="K76" s="58"/>
      <c r="L76" s="57"/>
      <c r="M76" s="57"/>
      <c r="N76" s="187"/>
      <c r="O76" s="1196"/>
    </row>
    <row r="77" ht="20.25" customHeight="1">
      <c r="A77" s="29"/>
      <c r="B77" s="137" t="s">
        <v>236</v>
      </c>
      <c r="C77" s="29"/>
      <c r="D77" s="29"/>
      <c r="E77" s="29"/>
      <c r="F77" s="29"/>
      <c r="G77" s="1205" t="s">
        <v>17</v>
      </c>
      <c r="H77" s="1157" t="s">
        <v>18</v>
      </c>
      <c r="I77" s="39">
        <v>3.0</v>
      </c>
      <c r="J77" s="39">
        <v>120.0</v>
      </c>
      <c r="K77" s="39">
        <v>360.0</v>
      </c>
      <c r="L77" s="29"/>
      <c r="M77" s="29"/>
      <c r="N77" s="187"/>
      <c r="O77" s="1196"/>
    </row>
    <row r="78" ht="20.25" customHeight="1">
      <c r="A78" s="57"/>
      <c r="B78" s="57"/>
      <c r="C78" s="57"/>
      <c r="D78" s="57"/>
      <c r="E78" s="57"/>
      <c r="F78" s="57"/>
      <c r="G78" s="187"/>
      <c r="H78" s="187"/>
      <c r="I78" s="57"/>
      <c r="J78" s="57"/>
      <c r="K78" s="57"/>
      <c r="L78" s="57"/>
      <c r="M78" s="57"/>
      <c r="N78" s="187"/>
      <c r="O78" s="1196"/>
    </row>
    <row r="79" ht="20.25" customHeight="1">
      <c r="A79" s="29"/>
      <c r="B79" s="29"/>
      <c r="C79" s="29"/>
      <c r="D79" s="29"/>
      <c r="E79" s="29"/>
      <c r="F79" s="29"/>
      <c r="G79" s="108"/>
      <c r="H79" s="108"/>
      <c r="I79" s="20"/>
      <c r="J79" s="20"/>
      <c r="K79" s="20"/>
      <c r="L79" s="29"/>
      <c r="M79" s="29"/>
      <c r="N79" s="187"/>
      <c r="O79" s="1196"/>
    </row>
    <row r="80" ht="20.25" customHeight="1">
      <c r="A80" s="57"/>
      <c r="B80" s="57"/>
      <c r="C80" s="57"/>
      <c r="D80" s="57"/>
      <c r="E80" s="57"/>
      <c r="F80" s="57"/>
      <c r="G80" s="1157" t="s">
        <v>17</v>
      </c>
      <c r="H80" s="1157" t="s">
        <v>18</v>
      </c>
      <c r="I80" s="13">
        <v>6.0</v>
      </c>
      <c r="J80" s="13">
        <v>100.0</v>
      </c>
      <c r="K80" s="13">
        <v>600.0</v>
      </c>
      <c r="L80" s="57"/>
      <c r="M80" s="57"/>
      <c r="N80" s="187"/>
      <c r="O80" s="1196"/>
    </row>
    <row r="81" ht="20.25" customHeight="1">
      <c r="A81" s="29"/>
      <c r="B81" s="29"/>
      <c r="C81" s="29"/>
      <c r="D81" s="20"/>
      <c r="E81" s="20"/>
      <c r="F81" s="20"/>
      <c r="G81" s="108"/>
      <c r="H81" s="108"/>
      <c r="I81" s="20"/>
      <c r="J81" s="20"/>
      <c r="K81" s="20"/>
      <c r="L81" s="20"/>
      <c r="M81" s="20"/>
      <c r="N81" s="108"/>
      <c r="O81" s="1196"/>
    </row>
    <row r="82" ht="20.25" customHeight="1">
      <c r="A82" s="57"/>
      <c r="B82" s="25" t="s">
        <v>110</v>
      </c>
      <c r="C82" s="57"/>
      <c r="D82" s="1186" t="s">
        <v>754</v>
      </c>
      <c r="E82" s="1186"/>
      <c r="F82" s="1187" t="s">
        <v>755</v>
      </c>
      <c r="G82" s="1188" t="s">
        <v>179</v>
      </c>
      <c r="H82" s="1188" t="s">
        <v>18</v>
      </c>
      <c r="I82" s="1188"/>
      <c r="J82" s="1188"/>
      <c r="K82" s="1188"/>
      <c r="L82" s="1188"/>
      <c r="M82" s="1188"/>
      <c r="N82" s="1188"/>
      <c r="O82" s="1185"/>
    </row>
    <row r="83" ht="20.25" customHeight="1">
      <c r="A83" s="29"/>
      <c r="B83" s="20"/>
      <c r="C83" s="20"/>
      <c r="D83" s="20"/>
      <c r="E83" s="20"/>
      <c r="F83" s="20"/>
      <c r="G83" s="108"/>
      <c r="H83" s="108"/>
      <c r="I83" s="20"/>
      <c r="J83" s="20"/>
      <c r="K83" s="20"/>
      <c r="L83" s="20"/>
      <c r="M83" s="20"/>
      <c r="N83" s="108"/>
      <c r="O83" s="1185"/>
    </row>
    <row r="84" ht="20.25" customHeight="1">
      <c r="A84" s="8">
        <v>46165.0</v>
      </c>
      <c r="B84" s="25" t="s">
        <v>110</v>
      </c>
      <c r="C84" s="25" t="s">
        <v>705</v>
      </c>
      <c r="D84" s="25" t="s">
        <v>756</v>
      </c>
      <c r="E84" s="25" t="s">
        <v>41</v>
      </c>
      <c r="F84" s="26" t="s">
        <v>757</v>
      </c>
      <c r="G84" s="1158" t="s">
        <v>17</v>
      </c>
      <c r="H84" s="1158" t="s">
        <v>18</v>
      </c>
      <c r="I84" s="14">
        <v>2.0</v>
      </c>
      <c r="J84" s="14">
        <v>180.0</v>
      </c>
      <c r="K84" s="14">
        <v>360.0</v>
      </c>
      <c r="L84" s="1195">
        <v>2120.0</v>
      </c>
      <c r="M84" s="1195">
        <v>400.0</v>
      </c>
      <c r="N84" s="834">
        <v>2520.0</v>
      </c>
      <c r="O84" s="1196"/>
    </row>
    <row r="85" ht="20.25" customHeight="1">
      <c r="A85" s="29"/>
      <c r="B85" s="29"/>
      <c r="C85" s="29"/>
      <c r="D85" s="29"/>
      <c r="E85" s="29"/>
      <c r="F85" s="29"/>
      <c r="G85" s="1158" t="s">
        <v>17</v>
      </c>
      <c r="H85" s="1158" t="s">
        <v>18</v>
      </c>
      <c r="I85" s="22">
        <v>2.0</v>
      </c>
      <c r="J85" s="22">
        <v>130.0</v>
      </c>
      <c r="K85" s="22">
        <v>260.0</v>
      </c>
      <c r="L85" s="29"/>
      <c r="M85" s="29"/>
      <c r="N85" s="187"/>
      <c r="O85" s="1196"/>
    </row>
    <row r="86" ht="20.25" customHeight="1">
      <c r="A86" s="57"/>
      <c r="B86" s="57"/>
      <c r="C86" s="57"/>
      <c r="D86" s="57"/>
      <c r="E86" s="57"/>
      <c r="F86" s="57"/>
      <c r="G86" s="1158" t="s">
        <v>17</v>
      </c>
      <c r="H86" s="1158" t="s">
        <v>18</v>
      </c>
      <c r="I86" s="14">
        <v>2.0</v>
      </c>
      <c r="J86" s="14">
        <v>150.0</v>
      </c>
      <c r="K86" s="14">
        <v>300.0</v>
      </c>
      <c r="L86" s="57"/>
      <c r="M86" s="57"/>
      <c r="N86" s="187"/>
      <c r="O86" s="1196"/>
    </row>
    <row r="87" ht="20.25" customHeight="1">
      <c r="A87" s="29"/>
      <c r="B87" s="29"/>
      <c r="C87" s="29"/>
      <c r="D87" s="20"/>
      <c r="E87" s="20"/>
      <c r="F87" s="20"/>
      <c r="G87" s="1158" t="s">
        <v>17</v>
      </c>
      <c r="H87" s="1158" t="s">
        <v>18</v>
      </c>
      <c r="I87" s="22">
        <v>12.0</v>
      </c>
      <c r="J87" s="22">
        <v>100.0</v>
      </c>
      <c r="K87" s="22">
        <v>1200.0</v>
      </c>
      <c r="L87" s="20"/>
      <c r="M87" s="20"/>
      <c r="N87" s="108"/>
      <c r="O87" s="1196"/>
    </row>
    <row r="88" ht="20.25" customHeight="1">
      <c r="A88" s="57"/>
      <c r="B88" s="57"/>
      <c r="C88" s="57"/>
      <c r="D88" s="1206" t="s">
        <v>758</v>
      </c>
      <c r="E88" s="27" t="s">
        <v>460</v>
      </c>
      <c r="F88" s="1207" t="s">
        <v>460</v>
      </c>
      <c r="G88" s="1158" t="s">
        <v>17</v>
      </c>
      <c r="H88" s="1158" t="s">
        <v>18</v>
      </c>
      <c r="I88" s="14">
        <v>1.0</v>
      </c>
      <c r="J88" s="14">
        <v>113.0</v>
      </c>
      <c r="K88" s="14">
        <v>113.0</v>
      </c>
      <c r="L88" s="1159">
        <v>113.0</v>
      </c>
      <c r="M88" s="1159" t="s">
        <v>460</v>
      </c>
      <c r="N88" s="1208">
        <v>113.0</v>
      </c>
      <c r="O88" s="1196"/>
    </row>
    <row r="89" ht="20.25" customHeight="1">
      <c r="A89" s="29"/>
      <c r="B89" s="29"/>
      <c r="C89" s="29"/>
      <c r="D89" s="64" t="s">
        <v>759</v>
      </c>
      <c r="E89" s="64" t="s">
        <v>23</v>
      </c>
      <c r="F89" s="26" t="s">
        <v>760</v>
      </c>
      <c r="G89" s="1158" t="s">
        <v>17</v>
      </c>
      <c r="H89" s="1158" t="s">
        <v>18</v>
      </c>
      <c r="I89" s="22">
        <v>15.0</v>
      </c>
      <c r="J89" s="22">
        <v>100.0</v>
      </c>
      <c r="K89" s="22">
        <v>1500.0</v>
      </c>
      <c r="L89" s="1195">
        <v>1620.0</v>
      </c>
      <c r="M89" s="1159">
        <v>25.0</v>
      </c>
      <c r="N89" s="834">
        <v>2020.0</v>
      </c>
      <c r="O89" s="1196"/>
    </row>
    <row r="90" ht="20.25" customHeight="1">
      <c r="A90" s="57"/>
      <c r="B90" s="57"/>
      <c r="C90" s="57"/>
      <c r="D90" s="58"/>
      <c r="E90" s="58"/>
      <c r="F90" s="58"/>
      <c r="G90" s="1158" t="s">
        <v>17</v>
      </c>
      <c r="H90" s="1158" t="s">
        <v>25</v>
      </c>
      <c r="I90" s="14">
        <v>1.0</v>
      </c>
      <c r="J90" s="14">
        <v>120.0</v>
      </c>
      <c r="K90" s="14">
        <v>120.0</v>
      </c>
      <c r="L90" s="58"/>
      <c r="M90" s="1159">
        <v>25.0</v>
      </c>
      <c r="N90" s="108"/>
      <c r="O90" s="1196"/>
    </row>
    <row r="91" ht="20.25" customHeight="1">
      <c r="A91" s="29"/>
      <c r="B91" s="29"/>
      <c r="C91" s="29"/>
      <c r="D91" s="1186" t="s">
        <v>761</v>
      </c>
      <c r="E91" s="1186"/>
      <c r="F91" s="1187" t="s">
        <v>762</v>
      </c>
      <c r="G91" s="1188" t="s">
        <v>179</v>
      </c>
      <c r="H91" s="1188"/>
      <c r="I91" s="1188"/>
      <c r="J91" s="1188"/>
      <c r="K91" s="1188"/>
      <c r="L91" s="1188"/>
      <c r="M91" s="1188"/>
      <c r="N91" s="1188"/>
      <c r="O91" s="1185"/>
    </row>
    <row r="92" ht="20.25" customHeight="1">
      <c r="A92" s="57"/>
      <c r="B92" s="58"/>
      <c r="C92" s="58"/>
      <c r="D92" s="58"/>
      <c r="E92" s="58"/>
      <c r="F92" s="58"/>
      <c r="G92" s="108"/>
      <c r="H92" s="108"/>
      <c r="I92" s="58"/>
      <c r="J92" s="58"/>
      <c r="K92" s="58"/>
      <c r="L92" s="58"/>
      <c r="M92" s="58"/>
      <c r="N92" s="108"/>
      <c r="O92" s="1185"/>
    </row>
    <row r="93" ht="20.25" customHeight="1">
      <c r="A93" s="15">
        <v>46166.0</v>
      </c>
      <c r="B93" s="64" t="s">
        <v>22</v>
      </c>
      <c r="C93" s="64" t="s">
        <v>705</v>
      </c>
      <c r="D93" s="64" t="s">
        <v>763</v>
      </c>
      <c r="E93" s="64" t="s">
        <v>23</v>
      </c>
      <c r="F93" s="26" t="s">
        <v>764</v>
      </c>
      <c r="G93" s="1158" t="s">
        <v>17</v>
      </c>
      <c r="H93" s="1158" t="s">
        <v>18</v>
      </c>
      <c r="I93" s="22">
        <v>17.0</v>
      </c>
      <c r="J93" s="22">
        <v>100.0</v>
      </c>
      <c r="K93" s="22">
        <v>1700.0</v>
      </c>
      <c r="L93" s="1195">
        <v>1820.0</v>
      </c>
      <c r="M93" s="1159">
        <v>25.0</v>
      </c>
      <c r="N93" s="834">
        <v>2270.0</v>
      </c>
      <c r="O93" s="1196"/>
    </row>
    <row r="94" ht="20.25" customHeight="1">
      <c r="A94" s="57"/>
      <c r="B94" s="57"/>
      <c r="C94" s="57"/>
      <c r="D94" s="58"/>
      <c r="E94" s="58"/>
      <c r="F94" s="58"/>
      <c r="G94" s="1158" t="s">
        <v>17</v>
      </c>
      <c r="H94" s="1158" t="s">
        <v>25</v>
      </c>
      <c r="I94" s="14">
        <v>1.0</v>
      </c>
      <c r="J94" s="14">
        <v>120.0</v>
      </c>
      <c r="K94" s="14">
        <v>120.0</v>
      </c>
      <c r="L94" s="58"/>
      <c r="M94" s="1159">
        <v>25.0</v>
      </c>
      <c r="N94" s="108"/>
      <c r="O94" s="1196"/>
    </row>
    <row r="95" ht="20.25" customHeight="1">
      <c r="A95" s="29"/>
      <c r="B95" s="29"/>
      <c r="C95" s="29"/>
      <c r="D95" s="64" t="s">
        <v>765</v>
      </c>
      <c r="E95" s="64" t="s">
        <v>41</v>
      </c>
      <c r="F95" s="26" t="s">
        <v>766</v>
      </c>
      <c r="G95" s="1158" t="s">
        <v>17</v>
      </c>
      <c r="H95" s="1158" t="s">
        <v>18</v>
      </c>
      <c r="I95" s="22">
        <v>13.0</v>
      </c>
      <c r="J95" s="22">
        <v>120.0</v>
      </c>
      <c r="K95" s="22">
        <v>1560.0</v>
      </c>
      <c r="L95" s="1195">
        <v>3040.0</v>
      </c>
      <c r="M95" s="1195">
        <v>400.0</v>
      </c>
      <c r="N95" s="834">
        <v>3440.0</v>
      </c>
      <c r="O95" s="1196"/>
    </row>
    <row r="96" ht="20.25" customHeight="1">
      <c r="A96" s="57"/>
      <c r="B96" s="57"/>
      <c r="C96" s="57"/>
      <c r="D96" s="57"/>
      <c r="E96" s="57"/>
      <c r="F96" s="57"/>
      <c r="G96" s="1158" t="s">
        <v>17</v>
      </c>
      <c r="H96" s="1158" t="s">
        <v>18</v>
      </c>
      <c r="I96" s="14">
        <v>3.0</v>
      </c>
      <c r="J96" s="14">
        <v>130.0</v>
      </c>
      <c r="K96" s="14">
        <v>390.0</v>
      </c>
      <c r="L96" s="57"/>
      <c r="M96" s="57"/>
      <c r="N96" s="187"/>
      <c r="O96" s="1196"/>
    </row>
    <row r="97" ht="20.25" customHeight="1">
      <c r="A97" s="29"/>
      <c r="B97" s="29"/>
      <c r="C97" s="29"/>
      <c r="D97" s="29"/>
      <c r="E97" s="29"/>
      <c r="F97" s="29"/>
      <c r="G97" s="1158" t="s">
        <v>17</v>
      </c>
      <c r="H97" s="1158" t="s">
        <v>18</v>
      </c>
      <c r="I97" s="22">
        <v>2.0</v>
      </c>
      <c r="J97" s="22">
        <v>350.0</v>
      </c>
      <c r="K97" s="22">
        <v>350.0</v>
      </c>
      <c r="L97" s="29"/>
      <c r="M97" s="29"/>
      <c r="N97" s="187"/>
      <c r="O97" s="1196"/>
    </row>
    <row r="98" ht="20.25" customHeight="1">
      <c r="A98" s="57"/>
      <c r="B98" s="57"/>
      <c r="C98" s="57"/>
      <c r="D98" s="57"/>
      <c r="E98" s="57"/>
      <c r="F98" s="57"/>
      <c r="G98" s="1158" t="s">
        <v>17</v>
      </c>
      <c r="H98" s="1158" t="s">
        <v>18</v>
      </c>
      <c r="I98" s="13">
        <v>4.0</v>
      </c>
      <c r="J98" s="13">
        <v>600.0</v>
      </c>
      <c r="K98" s="13">
        <v>600.0</v>
      </c>
      <c r="L98" s="57"/>
      <c r="M98" s="57"/>
      <c r="N98" s="187"/>
      <c r="O98" s="1196"/>
    </row>
    <row r="99" ht="20.25" customHeight="1">
      <c r="A99" s="29"/>
      <c r="B99" s="29"/>
      <c r="C99" s="29"/>
      <c r="D99" s="20"/>
      <c r="E99" s="20"/>
      <c r="F99" s="20"/>
      <c r="G99" s="1158" t="s">
        <v>17</v>
      </c>
      <c r="H99" s="1158" t="s">
        <v>18</v>
      </c>
      <c r="I99" s="22">
        <v>1.0</v>
      </c>
      <c r="J99" s="22">
        <v>140.0</v>
      </c>
      <c r="K99" s="22">
        <v>140.0</v>
      </c>
      <c r="L99" s="20"/>
      <c r="M99" s="20"/>
      <c r="N99" s="108"/>
      <c r="O99" s="1196"/>
    </row>
    <row r="100" ht="20.25" customHeight="1">
      <c r="A100" s="57"/>
      <c r="B100" s="57"/>
      <c r="C100" s="57"/>
      <c r="D100" s="1209" t="s">
        <v>758</v>
      </c>
      <c r="E100" s="381" t="s">
        <v>460</v>
      </c>
      <c r="F100" s="1210" t="s">
        <v>460</v>
      </c>
      <c r="G100" s="1211" t="s">
        <v>17</v>
      </c>
      <c r="H100" s="1211" t="s">
        <v>18</v>
      </c>
      <c r="I100" s="122">
        <v>1.0</v>
      </c>
      <c r="J100" s="181">
        <v>140.0</v>
      </c>
      <c r="K100" s="181">
        <v>140.0</v>
      </c>
      <c r="L100" s="1212">
        <v>140.0</v>
      </c>
      <c r="M100" s="122" t="s">
        <v>460</v>
      </c>
      <c r="N100" s="1213">
        <v>140.0</v>
      </c>
      <c r="O100" s="1214"/>
    </row>
    <row r="101" ht="20.25" customHeight="1">
      <c r="A101" s="29"/>
      <c r="B101" s="20"/>
      <c r="C101" s="20"/>
      <c r="D101" s="1182" t="s">
        <v>767</v>
      </c>
      <c r="E101" s="1182"/>
      <c r="F101" s="1183" t="s">
        <v>762</v>
      </c>
      <c r="G101" s="1183" t="s">
        <v>179</v>
      </c>
      <c r="H101" s="1183"/>
      <c r="I101" s="1183"/>
      <c r="J101" s="1183"/>
      <c r="K101" s="1183"/>
      <c r="L101" s="1183"/>
      <c r="M101" s="1183"/>
      <c r="N101" s="1183"/>
      <c r="O101" s="1185"/>
    </row>
    <row r="102" ht="20.25" customHeight="1">
      <c r="A102" s="8">
        <v>46167.0</v>
      </c>
      <c r="B102" s="132" t="s">
        <v>110</v>
      </c>
      <c r="C102" s="25" t="s">
        <v>705</v>
      </c>
      <c r="D102" s="1182" t="s">
        <v>768</v>
      </c>
      <c r="E102" s="1182"/>
      <c r="F102" s="1184" t="s">
        <v>762</v>
      </c>
      <c r="G102" s="1183" t="s">
        <v>179</v>
      </c>
      <c r="H102" s="1183"/>
      <c r="I102" s="1183"/>
      <c r="J102" s="1183"/>
      <c r="K102" s="1183"/>
      <c r="L102" s="1183"/>
      <c r="M102" s="1183"/>
      <c r="N102" s="1184"/>
      <c r="O102" s="1185"/>
    </row>
    <row r="103" ht="20.25" customHeight="1">
      <c r="A103" s="29"/>
      <c r="B103" s="29"/>
      <c r="C103" s="29"/>
      <c r="D103" s="1215" t="s">
        <v>758</v>
      </c>
      <c r="E103" s="1216" t="s">
        <v>460</v>
      </c>
      <c r="F103" s="1217" t="s">
        <v>460</v>
      </c>
      <c r="G103" s="1211" t="s">
        <v>17</v>
      </c>
      <c r="H103" s="1211" t="s">
        <v>18</v>
      </c>
      <c r="I103" s="112">
        <v>1.0</v>
      </c>
      <c r="J103" s="112">
        <v>113.0</v>
      </c>
      <c r="K103" s="112">
        <v>113.0</v>
      </c>
      <c r="L103" s="1218">
        <v>113.0</v>
      </c>
      <c r="M103" s="112" t="s">
        <v>460</v>
      </c>
      <c r="N103" s="1219">
        <v>113.0</v>
      </c>
      <c r="O103" s="1220"/>
    </row>
    <row r="104" ht="20.25" customHeight="1">
      <c r="A104" s="57"/>
      <c r="B104" s="57"/>
      <c r="C104" s="57"/>
      <c r="D104" s="25" t="s">
        <v>769</v>
      </c>
      <c r="E104" s="25" t="s">
        <v>23</v>
      </c>
      <c r="F104" s="26" t="s">
        <v>764</v>
      </c>
      <c r="G104" s="1157" t="s">
        <v>17</v>
      </c>
      <c r="H104" s="1157" t="s">
        <v>18</v>
      </c>
      <c r="I104" s="14">
        <v>14.0</v>
      </c>
      <c r="J104" s="14">
        <v>100.0</v>
      </c>
      <c r="K104" s="14">
        <v>1400.0</v>
      </c>
      <c r="L104" s="1195">
        <v>1520.0</v>
      </c>
      <c r="M104" s="1195">
        <v>25.0</v>
      </c>
      <c r="N104" s="1161">
        <v>1895.0</v>
      </c>
      <c r="O104" s="1196"/>
    </row>
    <row r="105" ht="20.25" customHeight="1">
      <c r="A105" s="29"/>
      <c r="B105" s="29"/>
      <c r="C105" s="29"/>
      <c r="D105" s="20"/>
      <c r="E105" s="20"/>
      <c r="F105" s="20"/>
      <c r="G105" s="108"/>
      <c r="H105" s="1158" t="s">
        <v>25</v>
      </c>
      <c r="I105" s="22">
        <v>1.0</v>
      </c>
      <c r="J105" s="22">
        <v>120.0</v>
      </c>
      <c r="K105" s="22">
        <v>120.0</v>
      </c>
      <c r="L105" s="20"/>
      <c r="M105" s="20"/>
      <c r="N105" s="108"/>
      <c r="O105" s="1196"/>
    </row>
    <row r="106" ht="20.25" customHeight="1">
      <c r="A106" s="57"/>
      <c r="B106" s="132" t="s">
        <v>110</v>
      </c>
      <c r="C106" s="57"/>
      <c r="D106" s="25" t="s">
        <v>770</v>
      </c>
      <c r="E106" s="25" t="s">
        <v>771</v>
      </c>
      <c r="F106" s="26" t="s">
        <v>772</v>
      </c>
      <c r="G106" s="1157" t="s">
        <v>17</v>
      </c>
      <c r="H106" s="1158" t="s">
        <v>18</v>
      </c>
      <c r="I106" s="14">
        <v>16.0</v>
      </c>
      <c r="J106" s="14">
        <v>130.0</v>
      </c>
      <c r="K106" s="14">
        <v>2080.0</v>
      </c>
      <c r="L106" s="1195">
        <v>2680.0</v>
      </c>
      <c r="M106" s="1195">
        <v>400.0</v>
      </c>
      <c r="N106" s="834">
        <v>3080.0</v>
      </c>
      <c r="O106" s="1196"/>
    </row>
    <row r="107" ht="20.25" customHeight="1">
      <c r="A107" s="29"/>
      <c r="B107" s="137" t="s">
        <v>236</v>
      </c>
      <c r="C107" s="20"/>
      <c r="D107" s="20"/>
      <c r="E107" s="20"/>
      <c r="F107" s="20"/>
      <c r="G107" s="108"/>
      <c r="H107" s="1158" t="s">
        <v>18</v>
      </c>
      <c r="I107" s="22">
        <v>4.0</v>
      </c>
      <c r="J107" s="22">
        <v>150.0</v>
      </c>
      <c r="K107" s="22">
        <v>600.0</v>
      </c>
      <c r="L107" s="20"/>
      <c r="M107" s="20"/>
      <c r="N107" s="108"/>
      <c r="O107" s="1196"/>
    </row>
    <row r="108" ht="20.25" customHeight="1">
      <c r="A108" s="1221">
        <v>46168.0</v>
      </c>
      <c r="B108" s="1222" t="s">
        <v>110</v>
      </c>
      <c r="C108" s="1222" t="s">
        <v>705</v>
      </c>
      <c r="D108" s="1222" t="s">
        <v>773</v>
      </c>
      <c r="E108" s="1222" t="s">
        <v>23</v>
      </c>
      <c r="F108" s="369" t="s">
        <v>764</v>
      </c>
      <c r="G108" s="1223" t="s">
        <v>17</v>
      </c>
      <c r="H108" s="1224" t="s">
        <v>25</v>
      </c>
      <c r="I108" s="373">
        <v>1.0</v>
      </c>
      <c r="J108" s="373">
        <v>120.0</v>
      </c>
      <c r="K108" s="373">
        <v>120.0</v>
      </c>
      <c r="L108" s="1225">
        <v>1420.0</v>
      </c>
      <c r="M108" s="1226">
        <v>25.0</v>
      </c>
      <c r="N108" s="369">
        <v>1770.0</v>
      </c>
      <c r="O108" s="1227">
        <v>4887.0</v>
      </c>
    </row>
    <row r="109" ht="20.25" customHeight="1">
      <c r="A109" s="29"/>
      <c r="B109" s="29"/>
      <c r="C109" s="29"/>
      <c r="D109" s="20"/>
      <c r="E109" s="20"/>
      <c r="F109" s="20"/>
      <c r="G109" s="108"/>
      <c r="H109" s="1224" t="s">
        <v>18</v>
      </c>
      <c r="I109" s="396">
        <v>13.0</v>
      </c>
      <c r="J109" s="396">
        <v>100.0</v>
      </c>
      <c r="K109" s="396">
        <v>1300.0</v>
      </c>
      <c r="L109" s="20"/>
      <c r="M109" s="1226">
        <v>25.0</v>
      </c>
      <c r="N109" s="108"/>
      <c r="O109" s="48"/>
    </row>
    <row r="110" ht="20.25" customHeight="1">
      <c r="A110" s="57"/>
      <c r="B110" s="57"/>
      <c r="C110" s="57"/>
      <c r="D110" s="1222" t="s">
        <v>774</v>
      </c>
      <c r="E110" s="1222" t="s">
        <v>771</v>
      </c>
      <c r="F110" s="369" t="s">
        <v>772</v>
      </c>
      <c r="G110" s="1224" t="s">
        <v>17</v>
      </c>
      <c r="H110" s="1224" t="s">
        <v>18</v>
      </c>
      <c r="I110" s="1228">
        <v>2.0</v>
      </c>
      <c r="J110" s="1228">
        <v>200.0</v>
      </c>
      <c r="K110" s="1228">
        <v>400.0</v>
      </c>
      <c r="L110" s="1229">
        <v>2717.0</v>
      </c>
      <c r="M110" s="1225">
        <v>400.0</v>
      </c>
      <c r="N110" s="369">
        <v>3000.0</v>
      </c>
      <c r="O110" s="48"/>
    </row>
    <row r="111" ht="20.25" customHeight="1">
      <c r="A111" s="29"/>
      <c r="B111" s="29"/>
      <c r="C111" s="29"/>
      <c r="D111" s="29"/>
      <c r="E111" s="29"/>
      <c r="F111" s="29"/>
      <c r="G111" s="1224"/>
      <c r="H111" s="1224"/>
      <c r="I111" s="1228"/>
      <c r="J111" s="1228"/>
      <c r="K111" s="1228"/>
      <c r="L111" s="29"/>
      <c r="M111" s="29"/>
      <c r="N111" s="187"/>
      <c r="O111" s="48"/>
    </row>
    <row r="112" ht="20.25" customHeight="1">
      <c r="A112" s="57"/>
      <c r="B112" s="57"/>
      <c r="C112" s="57"/>
      <c r="D112" s="58"/>
      <c r="E112" s="58"/>
      <c r="F112" s="58"/>
      <c r="G112" s="1224" t="s">
        <v>17</v>
      </c>
      <c r="H112" s="1224" t="s">
        <v>18</v>
      </c>
      <c r="I112" s="1228">
        <v>22.0</v>
      </c>
      <c r="J112" s="1228">
        <v>100.0</v>
      </c>
      <c r="K112" s="1228">
        <v>2200.0</v>
      </c>
      <c r="L112" s="58"/>
      <c r="M112" s="58"/>
      <c r="N112" s="108"/>
      <c r="O112" s="48"/>
    </row>
    <row r="113" ht="20.25" customHeight="1">
      <c r="A113" s="29"/>
      <c r="B113" s="29"/>
      <c r="C113" s="29"/>
      <c r="D113" s="1230" t="s">
        <v>775</v>
      </c>
      <c r="E113" s="1231"/>
      <c r="F113" s="1229" t="s">
        <v>738</v>
      </c>
      <c r="G113" s="1228" t="s">
        <v>179</v>
      </c>
      <c r="H113" s="1228"/>
      <c r="I113" s="1228"/>
      <c r="J113" s="1228"/>
      <c r="K113" s="1228"/>
      <c r="L113" s="1228"/>
      <c r="M113" s="1228"/>
      <c r="N113" s="1228"/>
      <c r="O113" s="48"/>
    </row>
    <row r="114" ht="20.25" customHeight="1">
      <c r="A114" s="1232"/>
      <c r="B114" s="1232"/>
      <c r="C114" s="1232"/>
      <c r="D114" s="1233" t="s">
        <v>758</v>
      </c>
      <c r="E114" s="1233" t="s">
        <v>460</v>
      </c>
      <c r="F114" s="1234" t="s">
        <v>460</v>
      </c>
      <c r="G114" s="1235" t="s">
        <v>17</v>
      </c>
      <c r="H114" s="1235" t="s">
        <v>18</v>
      </c>
      <c r="I114" s="1234">
        <v>1.0</v>
      </c>
      <c r="J114" s="1236">
        <v>117.0</v>
      </c>
      <c r="K114" s="1236">
        <v>117.0</v>
      </c>
      <c r="L114" s="1237">
        <v>117.0</v>
      </c>
      <c r="M114" s="1237">
        <v>117.0</v>
      </c>
      <c r="N114" s="1238">
        <v>117.0</v>
      </c>
      <c r="O114" s="1239"/>
    </row>
    <row r="115" ht="20.25" customHeight="1">
      <c r="A115" s="1240">
        <v>46171.0</v>
      </c>
      <c r="B115" s="1241" t="s">
        <v>110</v>
      </c>
      <c r="C115" s="1242" t="s">
        <v>705</v>
      </c>
      <c r="D115" s="1242" t="s">
        <v>776</v>
      </c>
      <c r="E115" s="1242" t="s">
        <v>771</v>
      </c>
      <c r="F115" s="1243" t="s">
        <v>777</v>
      </c>
      <c r="G115" s="1244" t="s">
        <v>17</v>
      </c>
      <c r="H115" s="1244" t="s">
        <v>18</v>
      </c>
      <c r="I115" s="1241">
        <v>22.0</v>
      </c>
      <c r="J115" s="1241">
        <v>100.0</v>
      </c>
      <c r="K115" s="1241">
        <v>2200.0</v>
      </c>
      <c r="L115" s="1245">
        <v>2500.0</v>
      </c>
      <c r="M115" s="1245">
        <v>400.0</v>
      </c>
      <c r="N115" s="1243">
        <v>2900.0</v>
      </c>
      <c r="O115" s="1227">
        <v>4920.0</v>
      </c>
    </row>
    <row r="116" ht="20.25" customHeight="1">
      <c r="A116" s="57"/>
      <c r="B116" s="373" t="s">
        <v>236</v>
      </c>
      <c r="C116" s="57"/>
      <c r="D116" s="1246" t="s">
        <v>778</v>
      </c>
      <c r="E116" s="58"/>
      <c r="F116" s="58"/>
      <c r="G116" s="1224" t="s">
        <v>17</v>
      </c>
      <c r="H116" s="1224" t="s">
        <v>18</v>
      </c>
      <c r="I116" s="373">
        <v>2.0</v>
      </c>
      <c r="J116" s="373">
        <v>150.0</v>
      </c>
      <c r="K116" s="373">
        <v>300.0</v>
      </c>
      <c r="L116" s="58"/>
      <c r="M116" s="58"/>
      <c r="N116" s="108"/>
      <c r="O116" s="48"/>
    </row>
    <row r="117" ht="20.25" customHeight="1">
      <c r="A117" s="29"/>
      <c r="B117" s="375" t="s">
        <v>110</v>
      </c>
      <c r="C117" s="29"/>
      <c r="D117" s="375" t="s">
        <v>779</v>
      </c>
      <c r="E117" s="375" t="s">
        <v>23</v>
      </c>
      <c r="F117" s="369" t="s">
        <v>780</v>
      </c>
      <c r="G117" s="1224" t="s">
        <v>17</v>
      </c>
      <c r="H117" s="1224" t="s">
        <v>18</v>
      </c>
      <c r="I117" s="396">
        <v>15.0</v>
      </c>
      <c r="J117" s="396">
        <v>100.0</v>
      </c>
      <c r="K117" s="396">
        <v>1500.0</v>
      </c>
      <c r="L117" s="1225">
        <v>1620.0</v>
      </c>
      <c r="M117" s="1226">
        <v>25.0</v>
      </c>
      <c r="N117" s="369">
        <v>2020.0</v>
      </c>
      <c r="O117" s="48"/>
    </row>
    <row r="118" ht="20.25" customHeight="1">
      <c r="A118" s="1232"/>
      <c r="B118" s="1232"/>
      <c r="C118" s="1232"/>
      <c r="D118" s="1232"/>
      <c r="E118" s="1232"/>
      <c r="F118" s="1232"/>
      <c r="G118" s="1247" t="s">
        <v>17</v>
      </c>
      <c r="H118" s="1247" t="s">
        <v>25</v>
      </c>
      <c r="I118" s="1248">
        <v>1.0</v>
      </c>
      <c r="J118" s="1248">
        <v>120.0</v>
      </c>
      <c r="K118" s="1248">
        <v>120.0</v>
      </c>
      <c r="L118" s="1232"/>
      <c r="M118" s="1249">
        <v>25.0</v>
      </c>
      <c r="N118" s="1250"/>
      <c r="O118" s="1239"/>
    </row>
    <row r="119" ht="20.25" customHeight="1">
      <c r="A119" s="1240">
        <v>46172.0</v>
      </c>
      <c r="B119" s="1251" t="s">
        <v>110</v>
      </c>
      <c r="C119" s="1251" t="s">
        <v>705</v>
      </c>
      <c r="D119" s="1251" t="s">
        <v>781</v>
      </c>
      <c r="E119" s="1251" t="s">
        <v>23</v>
      </c>
      <c r="F119" s="1243" t="s">
        <v>780</v>
      </c>
      <c r="G119" s="1244" t="s">
        <v>17</v>
      </c>
      <c r="H119" s="1244" t="s">
        <v>18</v>
      </c>
      <c r="I119" s="1241">
        <v>4.0</v>
      </c>
      <c r="J119" s="1241">
        <v>170.0</v>
      </c>
      <c r="K119" s="1241">
        <v>680.0</v>
      </c>
      <c r="L119" s="1245">
        <v>2380.0</v>
      </c>
      <c r="M119" s="1245">
        <v>400.0</v>
      </c>
      <c r="N119" s="1243">
        <v>2780.0</v>
      </c>
      <c r="O119" s="1227">
        <v>2780.0</v>
      </c>
    </row>
    <row r="120" ht="20.25" customHeight="1">
      <c r="A120" s="1232"/>
      <c r="B120" s="1232"/>
      <c r="C120" s="1232"/>
      <c r="D120" s="1232"/>
      <c r="E120" s="1232"/>
      <c r="F120" s="1232"/>
      <c r="G120" s="1247" t="s">
        <v>17</v>
      </c>
      <c r="H120" s="1247" t="s">
        <v>18</v>
      </c>
      <c r="I120" s="1248">
        <v>17.0</v>
      </c>
      <c r="J120" s="1248">
        <v>100.0</v>
      </c>
      <c r="K120" s="1248">
        <v>1700.0</v>
      </c>
      <c r="L120" s="1232"/>
      <c r="M120" s="1232"/>
      <c r="N120" s="1250"/>
      <c r="O120" s="1239"/>
    </row>
    <row r="121" ht="20.25" customHeight="1">
      <c r="A121" s="1240">
        <v>46173.0</v>
      </c>
      <c r="B121" s="1251" t="s">
        <v>110</v>
      </c>
      <c r="C121" s="1251" t="s">
        <v>705</v>
      </c>
      <c r="D121" s="1251" t="s">
        <v>782</v>
      </c>
      <c r="E121" s="1251" t="s">
        <v>23</v>
      </c>
      <c r="F121" s="1243" t="s">
        <v>780</v>
      </c>
      <c r="G121" s="1244" t="s">
        <v>17</v>
      </c>
      <c r="H121" s="1244" t="s">
        <v>18</v>
      </c>
      <c r="I121" s="1241">
        <v>2.0</v>
      </c>
      <c r="J121" s="1241">
        <v>225.0</v>
      </c>
      <c r="K121" s="1241">
        <v>450.0</v>
      </c>
      <c r="L121" s="1245">
        <v>3050.0</v>
      </c>
      <c r="M121" s="1245">
        <v>400.0</v>
      </c>
      <c r="N121" s="1243">
        <v>3450.0</v>
      </c>
      <c r="O121" s="1227">
        <v>5345.0</v>
      </c>
    </row>
    <row r="122" ht="20.25" customHeight="1">
      <c r="A122" s="57"/>
      <c r="B122" s="57"/>
      <c r="C122" s="57"/>
      <c r="D122" s="58"/>
      <c r="E122" s="58"/>
      <c r="F122" s="58"/>
      <c r="G122" s="1224" t="s">
        <v>17</v>
      </c>
      <c r="H122" s="1224" t="s">
        <v>18</v>
      </c>
      <c r="I122" s="373">
        <v>26.0</v>
      </c>
      <c r="J122" s="373">
        <v>100.0</v>
      </c>
      <c r="K122" s="373">
        <v>2600.0</v>
      </c>
      <c r="L122" s="58"/>
      <c r="M122" s="58"/>
      <c r="N122" s="108"/>
      <c r="O122" s="48"/>
    </row>
    <row r="123" ht="20.25" customHeight="1">
      <c r="A123" s="29"/>
      <c r="B123" s="29"/>
      <c r="C123" s="29"/>
      <c r="D123" s="1252" t="s">
        <v>783</v>
      </c>
      <c r="E123" s="1252" t="s">
        <v>23</v>
      </c>
      <c r="F123" s="369" t="s">
        <v>784</v>
      </c>
      <c r="G123" s="1224" t="s">
        <v>17</v>
      </c>
      <c r="H123" s="1224" t="s">
        <v>18</v>
      </c>
      <c r="I123" s="396">
        <v>14.0</v>
      </c>
      <c r="J123" s="396">
        <v>100.0</v>
      </c>
      <c r="K123" s="396">
        <v>1400.0</v>
      </c>
      <c r="L123" s="1225">
        <v>1520.0</v>
      </c>
      <c r="M123" s="1226">
        <v>25.0</v>
      </c>
      <c r="N123" s="369">
        <v>1895.0</v>
      </c>
      <c r="O123" s="48"/>
    </row>
    <row r="124" ht="20.25" customHeight="1">
      <c r="A124" s="1232"/>
      <c r="B124" s="1232"/>
      <c r="C124" s="1232"/>
      <c r="D124" s="1232"/>
      <c r="E124" s="1232"/>
      <c r="F124" s="1232"/>
      <c r="G124" s="1247" t="s">
        <v>17</v>
      </c>
      <c r="H124" s="1247" t="s">
        <v>25</v>
      </c>
      <c r="I124" s="1248">
        <v>1.0</v>
      </c>
      <c r="J124" s="1248">
        <v>120.0</v>
      </c>
      <c r="K124" s="1248">
        <v>120.0</v>
      </c>
      <c r="L124" s="1232"/>
      <c r="M124" s="1249">
        <v>25.0</v>
      </c>
      <c r="N124" s="1250"/>
      <c r="O124" s="1239"/>
    </row>
    <row r="125" ht="1.5" customHeight="1">
      <c r="A125" s="1240">
        <v>46174.0</v>
      </c>
      <c r="B125" s="1251" t="s">
        <v>110</v>
      </c>
      <c r="C125" s="1253" t="s">
        <v>705</v>
      </c>
      <c r="D125" s="1251" t="s">
        <v>785</v>
      </c>
      <c r="E125" s="1251" t="s">
        <v>23</v>
      </c>
      <c r="F125" s="1243" t="s">
        <v>780</v>
      </c>
      <c r="G125" s="1254" t="s">
        <v>17</v>
      </c>
      <c r="H125" s="1254" t="s">
        <v>18</v>
      </c>
      <c r="I125" s="1241">
        <v>9.0</v>
      </c>
      <c r="J125" s="1241">
        <v>120.0</v>
      </c>
      <c r="K125" s="1241">
        <v>1080.0</v>
      </c>
      <c r="L125" s="1255">
        <v>3100.0</v>
      </c>
      <c r="M125" s="1245">
        <v>400.0</v>
      </c>
      <c r="N125" s="1243">
        <v>3500.0</v>
      </c>
      <c r="O125" s="1256"/>
    </row>
    <row r="126" ht="16.5" customHeight="1">
      <c r="A126" s="57"/>
      <c r="B126" s="57"/>
      <c r="C126" s="70"/>
      <c r="D126" s="57"/>
      <c r="E126" s="57"/>
      <c r="F126" s="57"/>
      <c r="G126" s="187"/>
      <c r="H126" s="187"/>
      <c r="I126" s="1228">
        <v>18.0</v>
      </c>
      <c r="J126" s="1228">
        <v>100.0</v>
      </c>
      <c r="K126" s="1228">
        <v>1800.0</v>
      </c>
      <c r="L126" s="57"/>
      <c r="M126" s="57"/>
      <c r="N126" s="187"/>
      <c r="O126" s="1256">
        <f>SUM(N125+N129)</f>
        <v>4895</v>
      </c>
    </row>
    <row r="127" ht="16.5" customHeight="1">
      <c r="A127" s="29"/>
      <c r="B127" s="29"/>
      <c r="C127" s="56"/>
      <c r="D127" s="29"/>
      <c r="E127" s="29"/>
      <c r="F127" s="29"/>
      <c r="G127" s="187"/>
      <c r="H127" s="187"/>
      <c r="I127" s="1228">
        <v>9.0</v>
      </c>
      <c r="J127" s="1228">
        <v>120.0</v>
      </c>
      <c r="K127" s="1228">
        <v>1080.0</v>
      </c>
      <c r="L127" s="29"/>
      <c r="M127" s="29"/>
      <c r="N127" s="187"/>
      <c r="O127" s="48"/>
    </row>
    <row r="128" ht="16.5" customHeight="1">
      <c r="A128" s="57"/>
      <c r="B128" s="57"/>
      <c r="C128" s="70"/>
      <c r="D128" s="58"/>
      <c r="E128" s="58"/>
      <c r="F128" s="58"/>
      <c r="G128" s="108"/>
      <c r="H128" s="108"/>
      <c r="I128" s="1228">
        <v>2.0</v>
      </c>
      <c r="J128" s="1228">
        <v>110.0</v>
      </c>
      <c r="K128" s="1228">
        <v>220.0</v>
      </c>
      <c r="L128" s="58"/>
      <c r="M128" s="58"/>
      <c r="N128" s="108"/>
      <c r="O128" s="48"/>
    </row>
    <row r="129" ht="16.5" customHeight="1">
      <c r="A129" s="29"/>
      <c r="B129" s="29"/>
      <c r="C129" s="56"/>
      <c r="D129" s="1252" t="s">
        <v>786</v>
      </c>
      <c r="E129" s="1252" t="s">
        <v>23</v>
      </c>
      <c r="F129" s="1243" t="s">
        <v>784</v>
      </c>
      <c r="G129" s="1223" t="s">
        <v>17</v>
      </c>
      <c r="H129" s="1224" t="s">
        <v>25</v>
      </c>
      <c r="I129" s="396">
        <v>1.0</v>
      </c>
      <c r="J129" s="396">
        <v>120.0</v>
      </c>
      <c r="K129" s="396">
        <v>120.0</v>
      </c>
      <c r="L129" s="1225">
        <v>1120.0</v>
      </c>
      <c r="M129" s="1225">
        <v>25.0</v>
      </c>
      <c r="N129" s="369">
        <v>1395.0</v>
      </c>
      <c r="O129" s="48"/>
    </row>
    <row r="130" ht="16.5" customHeight="1">
      <c r="A130" s="1232"/>
      <c r="B130" s="1232"/>
      <c r="C130" s="1257"/>
      <c r="D130" s="1232"/>
      <c r="E130" s="1232"/>
      <c r="F130" s="1232"/>
      <c r="G130" s="1250"/>
      <c r="H130" s="1247" t="s">
        <v>18</v>
      </c>
      <c r="I130" s="1248">
        <v>10.0</v>
      </c>
      <c r="J130" s="1248">
        <v>100.0</v>
      </c>
      <c r="K130" s="1248">
        <v>1000.0</v>
      </c>
      <c r="L130" s="1232"/>
      <c r="M130" s="1232"/>
      <c r="N130" s="1250"/>
      <c r="O130" s="1239"/>
    </row>
    <row r="131" ht="16.5" customHeight="1">
      <c r="A131" s="1240">
        <v>46175.0</v>
      </c>
      <c r="B131" s="1251" t="s">
        <v>110</v>
      </c>
      <c r="C131" s="1251" t="s">
        <v>705</v>
      </c>
      <c r="D131" s="1251" t="s">
        <v>787</v>
      </c>
      <c r="E131" s="1251" t="s">
        <v>23</v>
      </c>
      <c r="F131" s="1243" t="s">
        <v>784</v>
      </c>
      <c r="G131" s="1254" t="s">
        <v>17</v>
      </c>
      <c r="H131" s="1244" t="s">
        <v>25</v>
      </c>
      <c r="I131" s="1241">
        <v>1.0</v>
      </c>
      <c r="J131" s="1241">
        <v>120.0</v>
      </c>
      <c r="K131" s="1241">
        <v>120.0</v>
      </c>
      <c r="L131" s="1245">
        <v>1820.0</v>
      </c>
      <c r="M131" s="1245">
        <v>450.0</v>
      </c>
      <c r="N131" s="1243">
        <v>2270.0</v>
      </c>
      <c r="O131" s="1256">
        <f>SUM(N131+N133)</f>
        <v>5050</v>
      </c>
    </row>
    <row r="132" ht="16.5" customHeight="1">
      <c r="A132" s="57"/>
      <c r="B132" s="58"/>
      <c r="C132" s="57"/>
      <c r="D132" s="58"/>
      <c r="E132" s="57"/>
      <c r="F132" s="58"/>
      <c r="G132" s="187"/>
      <c r="H132" s="1224" t="s">
        <v>18</v>
      </c>
      <c r="I132" s="373">
        <v>17.0</v>
      </c>
      <c r="J132" s="373">
        <v>100.0</v>
      </c>
      <c r="K132" s="373">
        <v>1700.0</v>
      </c>
      <c r="L132" s="58"/>
      <c r="M132" s="58"/>
      <c r="N132" s="108"/>
      <c r="O132" s="48"/>
    </row>
    <row r="133" ht="16.5" customHeight="1">
      <c r="A133" s="29"/>
      <c r="B133" s="1258" t="s">
        <v>110</v>
      </c>
      <c r="C133" s="29"/>
      <c r="D133" s="1252" t="s">
        <v>788</v>
      </c>
      <c r="E133" s="29"/>
      <c r="F133" s="1243" t="s">
        <v>780</v>
      </c>
      <c r="G133" s="187"/>
      <c r="H133" s="1223" t="s">
        <v>18</v>
      </c>
      <c r="I133" s="396">
        <v>6.0</v>
      </c>
      <c r="J133" s="396">
        <v>110.0</v>
      </c>
      <c r="K133" s="396">
        <v>660.0</v>
      </c>
      <c r="L133" s="1225">
        <v>2380.0</v>
      </c>
      <c r="M133" s="1225">
        <v>400.0</v>
      </c>
      <c r="N133" s="369">
        <v>2780.0</v>
      </c>
      <c r="O133" s="48"/>
    </row>
    <row r="134" ht="16.5" customHeight="1">
      <c r="A134" s="57"/>
      <c r="B134" s="1222" t="s">
        <v>279</v>
      </c>
      <c r="C134" s="57"/>
      <c r="D134" s="58"/>
      <c r="E134" s="57"/>
      <c r="F134" s="57"/>
      <c r="G134" s="187"/>
      <c r="H134" s="187"/>
      <c r="I134" s="373">
        <v>6.0</v>
      </c>
      <c r="J134" s="373">
        <v>120.0</v>
      </c>
      <c r="K134" s="373">
        <v>720.0</v>
      </c>
      <c r="L134" s="57"/>
      <c r="M134" s="57"/>
      <c r="N134" s="187"/>
      <c r="O134" s="48"/>
    </row>
    <row r="135" ht="16.5" customHeight="1">
      <c r="A135" s="1259"/>
      <c r="B135" s="1259"/>
      <c r="C135" s="1259"/>
      <c r="D135" s="1260" t="s">
        <v>789</v>
      </c>
      <c r="E135" s="1259"/>
      <c r="F135" s="1259"/>
      <c r="G135" s="1250"/>
      <c r="H135" s="1250"/>
      <c r="I135" s="1261">
        <v>10.0</v>
      </c>
      <c r="J135" s="1261">
        <v>100.0</v>
      </c>
      <c r="K135" s="1261">
        <v>1000.0</v>
      </c>
      <c r="L135" s="1259"/>
      <c r="M135" s="1259"/>
      <c r="N135" s="1250"/>
      <c r="O135" s="1239"/>
    </row>
    <row r="136" ht="16.5" customHeight="1">
      <c r="A136" s="1262">
        <v>46176.0</v>
      </c>
      <c r="B136" s="1263" t="s">
        <v>110</v>
      </c>
      <c r="C136" s="1263" t="s">
        <v>705</v>
      </c>
      <c r="D136" s="1263" t="s">
        <v>790</v>
      </c>
      <c r="E136" s="1263" t="s">
        <v>23</v>
      </c>
      <c r="F136" s="1243" t="s">
        <v>784</v>
      </c>
      <c r="G136" s="1254" t="s">
        <v>17</v>
      </c>
      <c r="H136" s="1244" t="s">
        <v>25</v>
      </c>
      <c r="I136" s="1246">
        <v>1.0</v>
      </c>
      <c r="J136" s="1246">
        <v>120.0</v>
      </c>
      <c r="K136" s="1246">
        <v>120.0</v>
      </c>
      <c r="L136" s="1245">
        <v>1920.0</v>
      </c>
      <c r="M136" s="1245">
        <v>475.0</v>
      </c>
      <c r="N136" s="1243">
        <v>2395.0</v>
      </c>
      <c r="O136" s="1256">
        <f>SUM(N136+N138)</f>
        <v>4955</v>
      </c>
    </row>
    <row r="137" ht="16.5" customHeight="1">
      <c r="A137" s="29"/>
      <c r="B137" s="29"/>
      <c r="C137" s="29"/>
      <c r="D137" s="20"/>
      <c r="E137" s="29"/>
      <c r="F137" s="20"/>
      <c r="G137" s="187"/>
      <c r="H137" s="1224" t="s">
        <v>18</v>
      </c>
      <c r="I137" s="396">
        <v>18.0</v>
      </c>
      <c r="J137" s="396">
        <v>100.0</v>
      </c>
      <c r="K137" s="396">
        <v>1800.0</v>
      </c>
      <c r="L137" s="20"/>
      <c r="M137" s="20"/>
      <c r="N137" s="108"/>
      <c r="O137" s="48"/>
    </row>
    <row r="138" ht="16.5" customHeight="1">
      <c r="A138" s="57"/>
      <c r="B138" s="57"/>
      <c r="C138" s="57"/>
      <c r="D138" s="1222" t="s">
        <v>791</v>
      </c>
      <c r="E138" s="57"/>
      <c r="F138" s="369" t="s">
        <v>780</v>
      </c>
      <c r="G138" s="187"/>
      <c r="H138" s="1223" t="s">
        <v>18</v>
      </c>
      <c r="I138" s="373">
        <v>3.0</v>
      </c>
      <c r="J138" s="373">
        <v>120.0</v>
      </c>
      <c r="K138" s="369">
        <v>360.0</v>
      </c>
      <c r="L138" s="1225">
        <v>2160.0</v>
      </c>
      <c r="M138" s="1225">
        <v>400.0</v>
      </c>
      <c r="N138" s="369">
        <v>2560.0</v>
      </c>
      <c r="O138" s="48"/>
    </row>
    <row r="139" ht="16.5" customHeight="1">
      <c r="A139" s="1259"/>
      <c r="B139" s="1259"/>
      <c r="C139" s="1259"/>
      <c r="D139" s="1259"/>
      <c r="E139" s="1259"/>
      <c r="F139" s="1259"/>
      <c r="G139" s="1250"/>
      <c r="H139" s="1250"/>
      <c r="I139" s="1261">
        <v>18.0</v>
      </c>
      <c r="J139" s="1261">
        <v>100.0</v>
      </c>
      <c r="K139" s="1261">
        <v>1800.0</v>
      </c>
      <c r="L139" s="1259"/>
      <c r="M139" s="1259"/>
      <c r="N139" s="1250"/>
      <c r="O139" s="1239"/>
    </row>
    <row r="140" ht="16.5" customHeight="1">
      <c r="A140" s="1262">
        <v>46177.0</v>
      </c>
      <c r="B140" s="1263" t="s">
        <v>110</v>
      </c>
      <c r="C140" s="1263" t="s">
        <v>705</v>
      </c>
      <c r="D140" s="1263" t="s">
        <v>792</v>
      </c>
      <c r="E140" s="1263" t="s">
        <v>23</v>
      </c>
      <c r="F140" s="1243" t="s">
        <v>780</v>
      </c>
      <c r="G140" s="1254" t="s">
        <v>17</v>
      </c>
      <c r="H140" s="1254" t="s">
        <v>18</v>
      </c>
      <c r="I140" s="1246">
        <v>5.0</v>
      </c>
      <c r="J140" s="1246">
        <v>120.0</v>
      </c>
      <c r="K140" s="1246">
        <v>600.0</v>
      </c>
      <c r="L140" s="1255">
        <v>2352.0</v>
      </c>
      <c r="M140" s="1245">
        <v>400.0</v>
      </c>
      <c r="N140" s="1243">
        <v>2752.0</v>
      </c>
      <c r="O140" s="1256">
        <v>4127.0</v>
      </c>
    </row>
    <row r="141" ht="16.5" customHeight="1">
      <c r="A141" s="29"/>
      <c r="B141" s="29"/>
      <c r="C141" s="29"/>
      <c r="D141" s="29"/>
      <c r="E141" s="29"/>
      <c r="F141" s="29"/>
      <c r="G141" s="187"/>
      <c r="H141" s="187"/>
      <c r="I141" s="396">
        <v>10.0</v>
      </c>
      <c r="J141" s="396">
        <v>100.0</v>
      </c>
      <c r="K141" s="396">
        <v>1000.0</v>
      </c>
      <c r="L141" s="29"/>
      <c r="M141" s="29"/>
      <c r="N141" s="187"/>
      <c r="O141" s="48"/>
    </row>
    <row r="142" ht="16.5" customHeight="1">
      <c r="A142" s="57"/>
      <c r="B142" s="57"/>
      <c r="C142" s="57"/>
      <c r="D142" s="57"/>
      <c r="E142" s="57"/>
      <c r="F142" s="57"/>
      <c r="G142" s="187"/>
      <c r="H142" s="187"/>
      <c r="I142" s="373">
        <v>4.0</v>
      </c>
      <c r="J142" s="373">
        <v>130.0</v>
      </c>
      <c r="K142" s="373">
        <v>520.0</v>
      </c>
      <c r="L142" s="57"/>
      <c r="M142" s="57"/>
      <c r="N142" s="187"/>
      <c r="O142" s="48"/>
    </row>
    <row r="143" ht="16.5" customHeight="1">
      <c r="A143" s="29"/>
      <c r="B143" s="20"/>
      <c r="C143" s="29"/>
      <c r="D143" s="20"/>
      <c r="E143" s="29"/>
      <c r="F143" s="20"/>
      <c r="G143" s="187"/>
      <c r="H143" s="187"/>
      <c r="I143" s="396">
        <v>2.0</v>
      </c>
      <c r="J143" s="396">
        <v>116.0</v>
      </c>
      <c r="K143" s="396">
        <v>232.0</v>
      </c>
      <c r="L143" s="20"/>
      <c r="M143" s="20"/>
      <c r="N143" s="108"/>
      <c r="O143" s="48"/>
    </row>
    <row r="144" ht="16.5" customHeight="1">
      <c r="A144" s="57"/>
      <c r="B144" s="1222" t="s">
        <v>22</v>
      </c>
      <c r="C144" s="57"/>
      <c r="D144" s="369" t="s">
        <v>793</v>
      </c>
      <c r="E144" s="57"/>
      <c r="F144" s="369" t="s">
        <v>794</v>
      </c>
      <c r="G144" s="187"/>
      <c r="H144" s="187"/>
      <c r="I144" s="369">
        <v>11.0</v>
      </c>
      <c r="J144" s="369">
        <v>100.0</v>
      </c>
      <c r="K144" s="369">
        <v>1100.0</v>
      </c>
      <c r="L144" s="1229">
        <v>1100.0</v>
      </c>
      <c r="M144" s="1264">
        <v>25.0</v>
      </c>
      <c r="N144" s="1229">
        <v>275.0</v>
      </c>
      <c r="O144" s="48"/>
    </row>
    <row r="145" ht="16.5" customHeight="1">
      <c r="A145" s="1259"/>
      <c r="B145" s="1259"/>
      <c r="C145" s="1259"/>
      <c r="D145" s="1259"/>
      <c r="E145" s="1259"/>
      <c r="F145" s="1259"/>
      <c r="G145" s="1250"/>
      <c r="H145" s="1250"/>
      <c r="I145" s="1259"/>
      <c r="J145" s="1259"/>
      <c r="K145" s="1259"/>
      <c r="L145" s="1259"/>
      <c r="M145" s="1259"/>
      <c r="N145" s="1250"/>
      <c r="O145" s="1239"/>
    </row>
    <row r="146" ht="18.0" customHeight="1">
      <c r="A146" s="1221">
        <v>46178.0</v>
      </c>
      <c r="B146" s="1243" t="s">
        <v>110</v>
      </c>
      <c r="C146" s="369" t="s">
        <v>705</v>
      </c>
      <c r="D146" s="1243" t="s">
        <v>795</v>
      </c>
      <c r="E146" s="1265" t="s">
        <v>68</v>
      </c>
      <c r="F146" s="1243" t="s">
        <v>780</v>
      </c>
      <c r="G146" s="1266" t="s">
        <v>17</v>
      </c>
      <c r="H146" s="182" t="s">
        <v>18</v>
      </c>
      <c r="I146" s="1246">
        <v>2.0</v>
      </c>
      <c r="J146" s="1246">
        <v>140.0</v>
      </c>
      <c r="K146" s="1246">
        <v>280.0</v>
      </c>
      <c r="L146" s="1264">
        <v>2580.0</v>
      </c>
      <c r="M146" s="1267">
        <v>400.0</v>
      </c>
      <c r="N146" s="45"/>
      <c r="O146" s="1256">
        <f>SUM(L146+M146)</f>
        <v>2980</v>
      </c>
    </row>
    <row r="147" ht="18.0" customHeight="1">
      <c r="A147" s="29"/>
      <c r="B147" s="29"/>
      <c r="C147" s="29"/>
      <c r="D147" s="29"/>
      <c r="E147" s="29"/>
      <c r="F147" s="29"/>
      <c r="G147" s="187"/>
      <c r="H147" s="182" t="s">
        <v>18</v>
      </c>
      <c r="I147" s="1241">
        <v>6.0</v>
      </c>
      <c r="J147" s="1241">
        <v>130.0</v>
      </c>
      <c r="K147" s="1241">
        <v>780.0</v>
      </c>
      <c r="L147" s="29"/>
      <c r="M147" s="314"/>
      <c r="N147" s="48"/>
      <c r="O147" s="48"/>
    </row>
    <row r="148" ht="18.0" customHeight="1">
      <c r="A148" s="57"/>
      <c r="B148" s="58"/>
      <c r="C148" s="57"/>
      <c r="D148" s="58"/>
      <c r="E148" s="57"/>
      <c r="F148" s="57"/>
      <c r="G148" s="187"/>
      <c r="H148" s="182" t="s">
        <v>18</v>
      </c>
      <c r="I148" s="1246">
        <v>6.0</v>
      </c>
      <c r="J148" s="1246">
        <v>120.0</v>
      </c>
      <c r="K148" s="1246">
        <v>720.0</v>
      </c>
      <c r="L148" s="57"/>
      <c r="M148" s="294"/>
      <c r="N148" s="48"/>
      <c r="O148" s="48"/>
    </row>
    <row r="149" ht="18.0" customHeight="1">
      <c r="A149" s="29"/>
      <c r="B149" s="396" t="s">
        <v>279</v>
      </c>
      <c r="C149" s="29"/>
      <c r="D149" s="1241" t="s">
        <v>796</v>
      </c>
      <c r="E149" s="20"/>
      <c r="F149" s="20"/>
      <c r="G149" s="187"/>
      <c r="H149" s="74" t="s">
        <v>18</v>
      </c>
      <c r="I149" s="396">
        <v>8.0</v>
      </c>
      <c r="J149" s="396">
        <v>100.0</v>
      </c>
      <c r="K149" s="396">
        <v>800.0</v>
      </c>
      <c r="L149" s="20"/>
      <c r="M149" s="311"/>
      <c r="N149" s="51"/>
      <c r="O149" s="51"/>
    </row>
    <row r="150" ht="18.0" customHeight="1">
      <c r="A150" s="57"/>
      <c r="B150" s="369" t="s">
        <v>110</v>
      </c>
      <c r="C150" s="57"/>
      <c r="D150" s="1243" t="s">
        <v>797</v>
      </c>
      <c r="E150" s="97" t="s">
        <v>68</v>
      </c>
      <c r="F150" s="369" t="s">
        <v>784</v>
      </c>
      <c r="G150" s="187"/>
      <c r="H150" s="74" t="s">
        <v>25</v>
      </c>
      <c r="I150" s="373">
        <v>1.0</v>
      </c>
      <c r="J150" s="373">
        <v>120.0</v>
      </c>
      <c r="K150" s="373">
        <v>120.0</v>
      </c>
      <c r="L150" s="369">
        <v>1720.0</v>
      </c>
      <c r="M150" s="1268">
        <v>25.0</v>
      </c>
      <c r="N150" s="1269">
        <v>425.0</v>
      </c>
      <c r="O150" s="1256">
        <f>SUM(L150+N150)</f>
        <v>2145</v>
      </c>
    </row>
    <row r="151" ht="18.0" customHeight="1">
      <c r="A151" s="29"/>
      <c r="B151" s="29"/>
      <c r="C151" s="29"/>
      <c r="D151" s="20"/>
      <c r="E151" s="20"/>
      <c r="F151" s="20"/>
      <c r="G151" s="187"/>
      <c r="H151" s="74" t="s">
        <v>18</v>
      </c>
      <c r="I151" s="396">
        <v>16.0</v>
      </c>
      <c r="J151" s="396">
        <v>100.0</v>
      </c>
      <c r="K151" s="396">
        <v>1600.0</v>
      </c>
      <c r="L151" s="20"/>
      <c r="M151" s="20"/>
      <c r="N151" s="108"/>
      <c r="O151" s="51"/>
    </row>
    <row r="152" ht="18.0" customHeight="1">
      <c r="A152" s="1232"/>
      <c r="B152" s="1232"/>
      <c r="C152" s="1232"/>
      <c r="D152" s="1248" t="s">
        <v>793</v>
      </c>
      <c r="E152" s="1271" t="s">
        <v>68</v>
      </c>
      <c r="F152" s="1248" t="s">
        <v>794</v>
      </c>
      <c r="G152" s="1250"/>
      <c r="H152" s="1273" t="s">
        <v>18</v>
      </c>
      <c r="I152" s="1248">
        <v>12.0</v>
      </c>
      <c r="J152" s="1248">
        <v>100.0</v>
      </c>
      <c r="K152" s="1248">
        <v>1200.0</v>
      </c>
      <c r="L152" s="1274">
        <v>1200.0</v>
      </c>
      <c r="M152" s="1276">
        <v>25.0</v>
      </c>
      <c r="N152" s="1276">
        <v>300.0</v>
      </c>
      <c r="O152" s="1279">
        <f>SUM(L152+N152)</f>
        <v>1500</v>
      </c>
    </row>
    <row r="153" ht="18.0" customHeight="1">
      <c r="A153" s="1280">
        <v>46179.0</v>
      </c>
      <c r="B153" s="1242" t="s">
        <v>110</v>
      </c>
      <c r="C153" s="375" t="s">
        <v>705</v>
      </c>
      <c r="D153" s="1242" t="s">
        <v>804</v>
      </c>
      <c r="E153" s="420" t="s">
        <v>68</v>
      </c>
      <c r="F153" s="1243" t="s">
        <v>780</v>
      </c>
      <c r="G153" s="434" t="s">
        <v>17</v>
      </c>
      <c r="H153" s="182" t="s">
        <v>18</v>
      </c>
      <c r="I153" s="1241">
        <v>11.0</v>
      </c>
      <c r="J153" s="1241">
        <v>120.0</v>
      </c>
      <c r="K153" s="1241">
        <v>1320.0</v>
      </c>
      <c r="L153" s="1264">
        <v>2720.0</v>
      </c>
      <c r="M153" s="1294">
        <v>400.0</v>
      </c>
      <c r="N153" s="45"/>
      <c r="O153" s="1256">
        <f>SUM(L153+M153)</f>
        <v>3120</v>
      </c>
    </row>
    <row r="154" ht="18.0" customHeight="1">
      <c r="A154" s="57"/>
      <c r="B154" s="57"/>
      <c r="C154" s="57"/>
      <c r="D154" s="57"/>
      <c r="E154" s="57"/>
      <c r="F154" s="57"/>
      <c r="G154" s="187"/>
      <c r="H154" s="182" t="s">
        <v>18</v>
      </c>
      <c r="I154" s="1246">
        <v>1.0</v>
      </c>
      <c r="J154" s="1246">
        <v>150.0</v>
      </c>
      <c r="K154" s="1246">
        <v>150.0</v>
      </c>
      <c r="L154" s="57"/>
      <c r="M154" s="294"/>
      <c r="N154" s="48"/>
      <c r="O154" s="48"/>
    </row>
    <row r="155" ht="18.0" customHeight="1">
      <c r="A155" s="29"/>
      <c r="B155" s="20"/>
      <c r="C155" s="29"/>
      <c r="D155" s="20"/>
      <c r="E155" s="29"/>
      <c r="F155" s="29"/>
      <c r="G155" s="187"/>
      <c r="H155" s="182" t="s">
        <v>18</v>
      </c>
      <c r="I155" s="1241">
        <v>5.0</v>
      </c>
      <c r="J155" s="1241">
        <v>130.0</v>
      </c>
      <c r="K155" s="1241">
        <v>650.0</v>
      </c>
      <c r="L155" s="29"/>
      <c r="M155" s="314"/>
      <c r="N155" s="48"/>
      <c r="O155" s="48"/>
    </row>
    <row r="156" ht="18.0" customHeight="1">
      <c r="A156" s="57"/>
      <c r="B156" s="373" t="s">
        <v>279</v>
      </c>
      <c r="C156" s="57"/>
      <c r="D156" s="1246" t="s">
        <v>796</v>
      </c>
      <c r="E156" s="58"/>
      <c r="F156" s="58"/>
      <c r="G156" s="187"/>
      <c r="H156" s="74" t="s">
        <v>18</v>
      </c>
      <c r="I156" s="373">
        <v>6.0</v>
      </c>
      <c r="J156" s="373">
        <v>100.0</v>
      </c>
      <c r="K156" s="373">
        <v>600.0</v>
      </c>
      <c r="L156" s="58"/>
      <c r="M156" s="321"/>
      <c r="N156" s="51"/>
      <c r="O156" s="51"/>
    </row>
    <row r="157" ht="18.0" customHeight="1">
      <c r="A157" s="1259"/>
      <c r="B157" s="1261" t="s">
        <v>110</v>
      </c>
      <c r="C157" s="1259"/>
      <c r="D157" s="1261" t="s">
        <v>793</v>
      </c>
      <c r="E157" s="1303" t="s">
        <v>68</v>
      </c>
      <c r="F157" s="1248" t="s">
        <v>794</v>
      </c>
      <c r="G157" s="1250"/>
      <c r="H157" s="1273" t="s">
        <v>18</v>
      </c>
      <c r="I157" s="1261">
        <v>12.5</v>
      </c>
      <c r="J157" s="1261">
        <v>100.0</v>
      </c>
      <c r="K157" s="1261">
        <v>1250.0</v>
      </c>
      <c r="L157" s="1274">
        <v>1250.0</v>
      </c>
      <c r="M157" s="1276">
        <v>25.0</v>
      </c>
      <c r="N157" s="1276">
        <v>325.0</v>
      </c>
      <c r="O157" s="1279">
        <f>SUM(L157+N157)</f>
        <v>1575</v>
      </c>
    </row>
    <row r="158" ht="18.0" customHeight="1">
      <c r="A158" s="1221">
        <v>46180.0</v>
      </c>
      <c r="B158" s="1243" t="s">
        <v>110</v>
      </c>
      <c r="C158" s="369" t="s">
        <v>705</v>
      </c>
      <c r="D158" s="1243" t="s">
        <v>811</v>
      </c>
      <c r="E158" s="1265" t="s">
        <v>68</v>
      </c>
      <c r="F158" s="1243" t="s">
        <v>780</v>
      </c>
      <c r="G158" s="434" t="s">
        <v>17</v>
      </c>
      <c r="H158" s="182" t="s">
        <v>18</v>
      </c>
      <c r="I158" s="1246">
        <v>21.0</v>
      </c>
      <c r="J158" s="1246">
        <v>100.0</v>
      </c>
      <c r="K158" s="1246">
        <v>2100.0</v>
      </c>
      <c r="L158" s="1264">
        <v>2760.0</v>
      </c>
      <c r="M158" s="1267">
        <v>400.0</v>
      </c>
      <c r="N158" s="45"/>
      <c r="O158" s="1256">
        <f>SUM(L158+M158)</f>
        <v>3160</v>
      </c>
    </row>
    <row r="159" ht="18.0" customHeight="1">
      <c r="A159" s="29"/>
      <c r="B159" s="29"/>
      <c r="C159" s="29"/>
      <c r="D159" s="29"/>
      <c r="E159" s="29"/>
      <c r="F159" s="29"/>
      <c r="G159" s="187"/>
      <c r="H159" s="182" t="s">
        <v>18</v>
      </c>
      <c r="I159" s="1241">
        <v>1.0</v>
      </c>
      <c r="J159" s="1241">
        <v>120.0</v>
      </c>
      <c r="K159" s="1241">
        <v>120.0</v>
      </c>
      <c r="L159" s="29"/>
      <c r="M159" s="314"/>
      <c r="N159" s="48"/>
      <c r="O159" s="48"/>
    </row>
    <row r="160" ht="18.0" customHeight="1">
      <c r="A160" s="57"/>
      <c r="B160" s="57"/>
      <c r="C160" s="57"/>
      <c r="D160" s="57"/>
      <c r="E160" s="57"/>
      <c r="F160" s="57"/>
      <c r="G160" s="187"/>
      <c r="H160" s="182" t="s">
        <v>18</v>
      </c>
      <c r="I160" s="1246">
        <v>3.0</v>
      </c>
      <c r="J160" s="1246">
        <v>130.0</v>
      </c>
      <c r="K160" s="1246">
        <v>390.0</v>
      </c>
      <c r="L160" s="57"/>
      <c r="M160" s="294"/>
      <c r="N160" s="48"/>
      <c r="O160" s="48"/>
    </row>
    <row r="161" ht="18.0" customHeight="1">
      <c r="A161" s="29"/>
      <c r="B161" s="20"/>
      <c r="C161" s="29"/>
      <c r="D161" s="20"/>
      <c r="E161" s="20"/>
      <c r="F161" s="20"/>
      <c r="G161" s="187"/>
      <c r="H161" s="182" t="s">
        <v>18</v>
      </c>
      <c r="I161" s="1241">
        <v>1.0</v>
      </c>
      <c r="J161" s="1241">
        <v>150.0</v>
      </c>
      <c r="K161" s="1241">
        <v>150.0</v>
      </c>
      <c r="L161" s="20"/>
      <c r="M161" s="311"/>
      <c r="N161" s="51"/>
      <c r="O161" s="51"/>
    </row>
    <row r="162" ht="18.0" customHeight="1">
      <c r="A162" s="1232"/>
      <c r="B162" s="1248" t="s">
        <v>110</v>
      </c>
      <c r="C162" s="1232"/>
      <c r="D162" s="1248" t="s">
        <v>793</v>
      </c>
      <c r="E162" s="1271" t="s">
        <v>68</v>
      </c>
      <c r="F162" s="1248" t="s">
        <v>794</v>
      </c>
      <c r="G162" s="1250"/>
      <c r="H162" s="1273" t="s">
        <v>18</v>
      </c>
      <c r="I162" s="1248">
        <v>11.0</v>
      </c>
      <c r="J162" s="1248">
        <v>100.0</v>
      </c>
      <c r="K162" s="1248">
        <v>1100.0</v>
      </c>
      <c r="L162" s="1274">
        <v>1100.0</v>
      </c>
      <c r="M162" s="1276">
        <v>25.0</v>
      </c>
      <c r="N162" s="1276">
        <v>275.0</v>
      </c>
      <c r="O162" s="1279">
        <f>SUM(L162+N162)</f>
        <v>1375</v>
      </c>
    </row>
    <row r="163" ht="18.0" customHeight="1">
      <c r="A163" s="1280">
        <v>46181.0</v>
      </c>
      <c r="B163" s="1242" t="s">
        <v>110</v>
      </c>
      <c r="C163" s="375" t="s">
        <v>705</v>
      </c>
      <c r="D163" s="1242" t="s">
        <v>814</v>
      </c>
      <c r="E163" s="420" t="s">
        <v>68</v>
      </c>
      <c r="F163" s="1243" t="s">
        <v>780</v>
      </c>
      <c r="G163" s="434" t="s">
        <v>17</v>
      </c>
      <c r="H163" s="182" t="s">
        <v>18</v>
      </c>
      <c r="I163" s="1241">
        <v>2.0</v>
      </c>
      <c r="J163" s="1241">
        <v>120.0</v>
      </c>
      <c r="K163" s="1241">
        <v>240.0</v>
      </c>
      <c r="L163" s="1326">
        <v>2040.0</v>
      </c>
      <c r="M163" s="1329">
        <v>400.0</v>
      </c>
      <c r="N163" s="48"/>
      <c r="O163" s="1256">
        <f>SUM(L163+M163)</f>
        <v>2440</v>
      </c>
    </row>
    <row r="164" ht="18.0" customHeight="1">
      <c r="A164" s="1232"/>
      <c r="B164" s="1232"/>
      <c r="C164" s="1232"/>
      <c r="D164" s="1232"/>
      <c r="E164" s="1232"/>
      <c r="F164" s="1232"/>
      <c r="G164" s="1250"/>
      <c r="H164" s="1332" t="s">
        <v>18</v>
      </c>
      <c r="I164" s="1333">
        <v>18.0</v>
      </c>
      <c r="J164" s="1333">
        <v>100.0</v>
      </c>
      <c r="K164" s="1333">
        <v>1800.0</v>
      </c>
      <c r="L164" s="1232"/>
      <c r="M164" s="1334"/>
      <c r="N164" s="1239"/>
      <c r="O164" s="1239"/>
    </row>
    <row r="165" ht="18.0" customHeight="1">
      <c r="A165" s="1280">
        <v>46182.0</v>
      </c>
      <c r="B165" s="1242" t="s">
        <v>110</v>
      </c>
      <c r="C165" s="375" t="s">
        <v>705</v>
      </c>
      <c r="D165" s="1242" t="s">
        <v>817</v>
      </c>
      <c r="E165" s="420" t="s">
        <v>68</v>
      </c>
      <c r="F165" s="1243" t="s">
        <v>780</v>
      </c>
      <c r="G165" s="434" t="s">
        <v>17</v>
      </c>
      <c r="H165" s="182" t="s">
        <v>18</v>
      </c>
      <c r="I165" s="1241">
        <v>2.0</v>
      </c>
      <c r="J165" s="1241">
        <v>120.0</v>
      </c>
      <c r="K165" s="1241">
        <v>240.0</v>
      </c>
      <c r="L165" s="1326">
        <v>2170.0</v>
      </c>
      <c r="M165" s="1329">
        <v>400.0</v>
      </c>
      <c r="N165" s="48"/>
      <c r="O165" s="1256">
        <f>SUM(L165+M165)</f>
        <v>2570</v>
      </c>
    </row>
    <row r="166" ht="18.0" customHeight="1">
      <c r="A166" s="57"/>
      <c r="B166" s="57"/>
      <c r="C166" s="57"/>
      <c r="D166" s="57"/>
      <c r="E166" s="57"/>
      <c r="F166" s="57"/>
      <c r="G166" s="187"/>
      <c r="H166" s="74" t="s">
        <v>18</v>
      </c>
      <c r="I166" s="373">
        <v>1.0</v>
      </c>
      <c r="J166" s="373">
        <v>130.0</v>
      </c>
      <c r="K166" s="373">
        <v>130.0</v>
      </c>
      <c r="L166" s="57"/>
      <c r="M166" s="294"/>
      <c r="N166" s="48"/>
      <c r="O166" s="48"/>
    </row>
    <row r="167" ht="18.0" customHeight="1">
      <c r="A167" s="1259"/>
      <c r="B167" s="1259"/>
      <c r="C167" s="1259"/>
      <c r="D167" s="1259"/>
      <c r="E167" s="1259"/>
      <c r="F167" s="1259"/>
      <c r="G167" s="1250"/>
      <c r="H167" s="1273" t="s">
        <v>18</v>
      </c>
      <c r="I167" s="1261">
        <v>18.0</v>
      </c>
      <c r="J167" s="1261">
        <v>100.0</v>
      </c>
      <c r="K167" s="1261">
        <v>1800.0</v>
      </c>
      <c r="L167" s="1259"/>
      <c r="M167" s="1346"/>
      <c r="N167" s="1239"/>
      <c r="O167" s="1239"/>
    </row>
    <row r="168" ht="18.0" customHeight="1">
      <c r="A168" s="1221">
        <v>46183.0</v>
      </c>
      <c r="B168" s="1243" t="s">
        <v>110</v>
      </c>
      <c r="C168" s="369" t="s">
        <v>705</v>
      </c>
      <c r="D168" s="1243" t="s">
        <v>818</v>
      </c>
      <c r="E168" s="1265" t="s">
        <v>68</v>
      </c>
      <c r="F168" s="1243" t="s">
        <v>780</v>
      </c>
      <c r="G168" s="434" t="s">
        <v>17</v>
      </c>
      <c r="H168" s="182" t="s">
        <v>18</v>
      </c>
      <c r="I168" s="1246">
        <v>4.0</v>
      </c>
      <c r="J168" s="1246">
        <v>120.0</v>
      </c>
      <c r="K168" s="1246">
        <v>480.0</v>
      </c>
      <c r="L168" s="1326">
        <v>2480.0</v>
      </c>
      <c r="M168" s="1354">
        <v>400.0</v>
      </c>
      <c r="N168" s="48"/>
      <c r="O168" s="1256">
        <f>SUM(L168+M168)</f>
        <v>2880</v>
      </c>
    </row>
    <row r="169" ht="18.0" customHeight="1">
      <c r="A169" s="1259"/>
      <c r="B169" s="1259"/>
      <c r="C169" s="1259"/>
      <c r="D169" s="1259"/>
      <c r="E169" s="1259"/>
      <c r="F169" s="1259"/>
      <c r="G169" s="1250"/>
      <c r="H169" s="1332" t="s">
        <v>18</v>
      </c>
      <c r="I169" s="1357">
        <v>20.0</v>
      </c>
      <c r="J169" s="1357">
        <v>100.0</v>
      </c>
      <c r="K169" s="1357">
        <v>2000.0</v>
      </c>
      <c r="L169" s="1259"/>
      <c r="M169" s="1346"/>
      <c r="N169" s="1239"/>
      <c r="O169" s="1239"/>
    </row>
    <row r="170" ht="18.0" customHeight="1">
      <c r="A170" s="1221">
        <v>46184.0</v>
      </c>
      <c r="B170" s="1243" t="s">
        <v>110</v>
      </c>
      <c r="C170" s="369" t="s">
        <v>705</v>
      </c>
      <c r="D170" s="1243" t="s">
        <v>821</v>
      </c>
      <c r="E170" s="1265" t="s">
        <v>68</v>
      </c>
      <c r="F170" s="1243" t="s">
        <v>780</v>
      </c>
      <c r="G170" s="434" t="s">
        <v>17</v>
      </c>
      <c r="H170" s="182" t="s">
        <v>18</v>
      </c>
      <c r="I170" s="1246">
        <v>2.0</v>
      </c>
      <c r="J170" s="1246">
        <v>120.0</v>
      </c>
      <c r="K170" s="1246">
        <v>240.0</v>
      </c>
      <c r="L170" s="1326">
        <v>2430.0</v>
      </c>
      <c r="M170" s="1354">
        <v>400.0</v>
      </c>
      <c r="N170" s="48"/>
      <c r="O170" s="1256">
        <f>SUM(L170+M170)</f>
        <v>2830</v>
      </c>
    </row>
    <row r="171" ht="18.0" customHeight="1">
      <c r="A171" s="29"/>
      <c r="B171" s="29"/>
      <c r="C171" s="29"/>
      <c r="D171" s="29"/>
      <c r="E171" s="29"/>
      <c r="F171" s="29"/>
      <c r="G171" s="187"/>
      <c r="H171" s="74" t="s">
        <v>18</v>
      </c>
      <c r="I171" s="396">
        <v>3.0</v>
      </c>
      <c r="J171" s="396">
        <v>130.0</v>
      </c>
      <c r="K171" s="396">
        <v>390.0</v>
      </c>
      <c r="L171" s="29"/>
      <c r="M171" s="314"/>
      <c r="N171" s="48"/>
      <c r="O171" s="48"/>
    </row>
    <row r="172" ht="18.0" customHeight="1">
      <c r="A172" s="1232"/>
      <c r="B172" s="1232"/>
      <c r="C172" s="1232"/>
      <c r="D172" s="1232"/>
      <c r="E172" s="1232"/>
      <c r="F172" s="1232"/>
      <c r="G172" s="1250"/>
      <c r="H172" s="1273" t="s">
        <v>18</v>
      </c>
      <c r="I172" s="1248">
        <v>18.0</v>
      </c>
      <c r="J172" s="1248">
        <v>100.0</v>
      </c>
      <c r="K172" s="1248">
        <v>1800.0</v>
      </c>
      <c r="L172" s="1232"/>
      <c r="M172" s="1334"/>
      <c r="N172" s="1239"/>
      <c r="O172" s="1239"/>
    </row>
    <row r="173" ht="18.0" customHeight="1">
      <c r="A173" s="1280">
        <v>46185.0</v>
      </c>
      <c r="B173" s="1242" t="s">
        <v>110</v>
      </c>
      <c r="C173" s="375" t="s">
        <v>705</v>
      </c>
      <c r="D173" s="1242" t="s">
        <v>822</v>
      </c>
      <c r="E173" s="420" t="s">
        <v>68</v>
      </c>
      <c r="F173" s="1243" t="s">
        <v>780</v>
      </c>
      <c r="G173" s="434" t="s">
        <v>17</v>
      </c>
      <c r="H173" s="182" t="s">
        <v>18</v>
      </c>
      <c r="I173" s="1241">
        <v>8.0</v>
      </c>
      <c r="J173" s="1241">
        <v>120.0</v>
      </c>
      <c r="K173" s="1241">
        <v>960.0</v>
      </c>
      <c r="L173" s="1326">
        <f>SUM(K173+K174)</f>
        <v>2460</v>
      </c>
      <c r="M173" s="1329">
        <v>400.0</v>
      </c>
      <c r="N173" s="48"/>
      <c r="O173" s="1256">
        <f>SUM(L173+M173)</f>
        <v>2860</v>
      </c>
    </row>
    <row r="174" ht="18.0" customHeight="1">
      <c r="A174" s="1232"/>
      <c r="B174" s="1232"/>
      <c r="C174" s="1232"/>
      <c r="D174" s="1232"/>
      <c r="E174" s="1232"/>
      <c r="F174" s="1232"/>
      <c r="G174" s="1250"/>
      <c r="H174" s="1332" t="s">
        <v>18</v>
      </c>
      <c r="I174" s="1333">
        <v>15.0</v>
      </c>
      <c r="J174" s="1333">
        <v>100.0</v>
      </c>
      <c r="K174" s="1333">
        <v>1500.0</v>
      </c>
      <c r="L174" s="1232"/>
      <c r="M174" s="1334"/>
      <c r="N174" s="1239"/>
      <c r="O174" s="1239"/>
    </row>
    <row r="175" ht="18.0" customHeight="1">
      <c r="A175" s="1280">
        <v>46186.0</v>
      </c>
      <c r="B175" s="1242" t="s">
        <v>110</v>
      </c>
      <c r="C175" s="375" t="s">
        <v>705</v>
      </c>
      <c r="D175" s="1242" t="s">
        <v>824</v>
      </c>
      <c r="E175" s="420" t="s">
        <v>68</v>
      </c>
      <c r="F175" s="1243" t="s">
        <v>780</v>
      </c>
      <c r="G175" s="434" t="s">
        <v>17</v>
      </c>
      <c r="H175" s="182" t="s">
        <v>18</v>
      </c>
      <c r="I175" s="1241">
        <v>8.0</v>
      </c>
      <c r="J175" s="1241">
        <v>120.0</v>
      </c>
      <c r="K175" s="1241">
        <v>960.0</v>
      </c>
      <c r="L175" s="1326">
        <f>SUM(K175+K176)</f>
        <v>2260</v>
      </c>
      <c r="M175" s="1329">
        <v>400.0</v>
      </c>
      <c r="N175" s="48"/>
      <c r="O175" s="1256">
        <f>SUM(L175+M175)</f>
        <v>2660</v>
      </c>
    </row>
    <row r="176" ht="18.0" customHeight="1">
      <c r="A176" s="1232"/>
      <c r="B176" s="1232"/>
      <c r="C176" s="1232"/>
      <c r="D176" s="1232"/>
      <c r="E176" s="1232"/>
      <c r="F176" s="1232"/>
      <c r="G176" s="1250"/>
      <c r="H176" s="1332" t="s">
        <v>18</v>
      </c>
      <c r="I176" s="1333">
        <v>13.0</v>
      </c>
      <c r="J176" s="1333">
        <v>100.0</v>
      </c>
      <c r="K176" s="1333">
        <v>1300.0</v>
      </c>
      <c r="L176" s="1232"/>
      <c r="M176" s="1334"/>
      <c r="N176" s="1239"/>
      <c r="O176" s="1239"/>
    </row>
    <row r="177" ht="18.0" customHeight="1">
      <c r="A177" s="1280">
        <v>46188.0</v>
      </c>
      <c r="B177" s="1242" t="s">
        <v>110</v>
      </c>
      <c r="C177" s="375" t="s">
        <v>705</v>
      </c>
      <c r="D177" s="1242" t="s">
        <v>825</v>
      </c>
      <c r="E177" s="420" t="s">
        <v>68</v>
      </c>
      <c r="F177" s="1243" t="s">
        <v>780</v>
      </c>
      <c r="G177" s="434" t="s">
        <v>17</v>
      </c>
      <c r="H177" s="182" t="s">
        <v>18</v>
      </c>
      <c r="I177" s="1241">
        <v>9.0</v>
      </c>
      <c r="J177" s="1241">
        <v>100.0</v>
      </c>
      <c r="K177" s="1241">
        <v>900.0</v>
      </c>
      <c r="L177" s="1326">
        <v>2100.0</v>
      </c>
      <c r="M177" s="1329">
        <v>400.0</v>
      </c>
      <c r="N177" s="48"/>
      <c r="O177" s="1256">
        <f>SUM(L177+M177)</f>
        <v>2500</v>
      </c>
    </row>
    <row r="178" ht="18.0" customHeight="1">
      <c r="A178" s="1232"/>
      <c r="B178" s="1232"/>
      <c r="C178" s="1232"/>
      <c r="D178" s="1232"/>
      <c r="E178" s="1232"/>
      <c r="F178" s="1232"/>
      <c r="G178" s="1250"/>
      <c r="H178" s="1332" t="s">
        <v>18</v>
      </c>
      <c r="I178" s="1333">
        <v>10.0</v>
      </c>
      <c r="J178" s="1333">
        <v>120.0</v>
      </c>
      <c r="K178" s="1333">
        <v>1200.0</v>
      </c>
      <c r="L178" s="1232"/>
      <c r="M178" s="1334"/>
      <c r="N178" s="1239"/>
      <c r="O178" s="1239"/>
    </row>
    <row r="179" ht="18.0" customHeight="1">
      <c r="A179" s="1240">
        <v>46189.0</v>
      </c>
      <c r="B179" s="1242" t="s">
        <v>110</v>
      </c>
      <c r="C179" s="375" t="s">
        <v>705</v>
      </c>
      <c r="D179" s="1242" t="s">
        <v>826</v>
      </c>
      <c r="E179" s="420" t="s">
        <v>68</v>
      </c>
      <c r="F179" s="1243" t="s">
        <v>780</v>
      </c>
      <c r="G179" s="434" t="s">
        <v>17</v>
      </c>
      <c r="H179" s="182" t="s">
        <v>18</v>
      </c>
      <c r="I179" s="1241">
        <v>4.0</v>
      </c>
      <c r="J179" s="1241">
        <v>100.0</v>
      </c>
      <c r="K179" s="1241">
        <v>400.0</v>
      </c>
      <c r="L179" s="1326">
        <f>SUM(K179:K183)</f>
        <v>2070</v>
      </c>
      <c r="M179" s="1329">
        <v>400.0</v>
      </c>
      <c r="N179" s="48"/>
      <c r="O179" s="1256">
        <f>SUM(L179+M179)</f>
        <v>2470</v>
      </c>
    </row>
    <row r="180" ht="18.0" customHeight="1">
      <c r="A180" s="57"/>
      <c r="B180" s="57"/>
      <c r="C180" s="57"/>
      <c r="D180" s="57"/>
      <c r="E180" s="57"/>
      <c r="F180" s="57"/>
      <c r="G180" s="187"/>
      <c r="H180" s="182" t="s">
        <v>18</v>
      </c>
      <c r="I180" s="1246">
        <v>2.0</v>
      </c>
      <c r="J180" s="1246">
        <v>120.0</v>
      </c>
      <c r="K180" s="1246">
        <v>240.0</v>
      </c>
      <c r="L180" s="57"/>
      <c r="M180" s="294"/>
      <c r="N180" s="48"/>
      <c r="O180" s="48"/>
    </row>
    <row r="181" ht="18.0" customHeight="1">
      <c r="A181" s="29"/>
      <c r="B181" s="29"/>
      <c r="C181" s="29"/>
      <c r="D181" s="29"/>
      <c r="E181" s="29"/>
      <c r="F181" s="29"/>
      <c r="G181" s="187"/>
      <c r="H181" s="182" t="s">
        <v>18</v>
      </c>
      <c r="I181" s="1241">
        <v>9.0</v>
      </c>
      <c r="J181" s="1241">
        <v>120.0</v>
      </c>
      <c r="K181" s="1241">
        <v>1080.0</v>
      </c>
      <c r="L181" s="29"/>
      <c r="M181" s="314"/>
      <c r="N181" s="48"/>
      <c r="O181" s="48"/>
    </row>
    <row r="182" ht="18.0" customHeight="1">
      <c r="A182" s="57"/>
      <c r="B182" s="57"/>
      <c r="C182" s="57"/>
      <c r="D182" s="57"/>
      <c r="E182" s="57"/>
      <c r="F182" s="57"/>
      <c r="G182" s="187"/>
      <c r="H182" s="182" t="s">
        <v>18</v>
      </c>
      <c r="I182" s="1246">
        <v>1.0</v>
      </c>
      <c r="J182" s="1246">
        <v>180.0</v>
      </c>
      <c r="K182" s="1246">
        <v>180.0</v>
      </c>
      <c r="L182" s="57"/>
      <c r="M182" s="294"/>
      <c r="N182" s="48"/>
      <c r="O182" s="48"/>
    </row>
    <row r="183" ht="18.0" customHeight="1">
      <c r="A183" s="29"/>
      <c r="B183" s="1259"/>
      <c r="C183" s="1259"/>
      <c r="D183" s="1259"/>
      <c r="E183" s="1259"/>
      <c r="F183" s="1259"/>
      <c r="G183" s="1250"/>
      <c r="H183" s="1332" t="s">
        <v>18</v>
      </c>
      <c r="I183" s="1357">
        <v>1.0</v>
      </c>
      <c r="J183" s="1357">
        <v>170.0</v>
      </c>
      <c r="K183" s="1357">
        <v>170.0</v>
      </c>
      <c r="L183" s="1259"/>
      <c r="M183" s="1346"/>
      <c r="N183" s="1239"/>
      <c r="O183" s="1239"/>
    </row>
    <row r="184" ht="18.0" customHeight="1">
      <c r="A184" s="57"/>
      <c r="B184" s="1382" t="s">
        <v>828</v>
      </c>
      <c r="C184" s="369" t="s">
        <v>705</v>
      </c>
      <c r="D184" s="1243" t="s">
        <v>829</v>
      </c>
      <c r="E184" s="1265" t="s">
        <v>23</v>
      </c>
      <c r="F184" s="1243" t="s">
        <v>830</v>
      </c>
      <c r="G184" s="434" t="s">
        <v>17</v>
      </c>
      <c r="H184" s="182" t="s">
        <v>25</v>
      </c>
      <c r="I184" s="1246">
        <v>1.0</v>
      </c>
      <c r="J184" s="1246">
        <v>120.0</v>
      </c>
      <c r="K184" s="1246">
        <v>120.0</v>
      </c>
      <c r="L184" s="1326">
        <v>1820.0</v>
      </c>
      <c r="M184" s="1386">
        <v>30.0</v>
      </c>
      <c r="N184" s="1387">
        <v>540.0</v>
      </c>
      <c r="O184" s="1256">
        <f>SUM(L184+N184)</f>
        <v>2360</v>
      </c>
    </row>
    <row r="185" ht="18.0" customHeight="1">
      <c r="A185" s="1259"/>
      <c r="B185" s="1259"/>
      <c r="C185" s="1259"/>
      <c r="D185" s="1259"/>
      <c r="E185" s="1259"/>
      <c r="F185" s="1259"/>
      <c r="G185" s="1250"/>
      <c r="H185" s="1332" t="s">
        <v>18</v>
      </c>
      <c r="I185" s="1357">
        <v>17.0</v>
      </c>
      <c r="J185" s="1357">
        <v>100.0</v>
      </c>
      <c r="K185" s="1357">
        <v>1700.0</v>
      </c>
      <c r="L185" s="1259"/>
      <c r="M185" s="1259"/>
      <c r="N185" s="1250"/>
      <c r="O185" s="1239"/>
    </row>
    <row r="186" ht="18.0" customHeight="1">
      <c r="A186" s="1262">
        <v>46190.0</v>
      </c>
      <c r="B186" s="1243" t="s">
        <v>110</v>
      </c>
      <c r="C186" s="369" t="s">
        <v>705</v>
      </c>
      <c r="D186" s="1243" t="s">
        <v>826</v>
      </c>
      <c r="E186" s="1265" t="s">
        <v>68</v>
      </c>
      <c r="F186" s="1243" t="s">
        <v>780</v>
      </c>
      <c r="G186" s="434" t="s">
        <v>17</v>
      </c>
      <c r="H186" s="182" t="s">
        <v>18</v>
      </c>
      <c r="I186" s="1246">
        <v>4.0</v>
      </c>
      <c r="J186" s="1246">
        <v>120.0</v>
      </c>
      <c r="K186" s="1246">
        <v>480.0</v>
      </c>
      <c r="L186" s="1326">
        <f>SUM(K186:K187)</f>
        <v>1880</v>
      </c>
      <c r="M186" s="1354">
        <v>400.0</v>
      </c>
      <c r="N186" s="48"/>
      <c r="O186" s="1256">
        <f>SUM(L186+M186)</f>
        <v>2280</v>
      </c>
    </row>
    <row r="187" ht="18.0" customHeight="1">
      <c r="A187" s="29"/>
      <c r="B187" s="1259"/>
      <c r="C187" s="1259"/>
      <c r="D187" s="1259"/>
      <c r="E187" s="1259"/>
      <c r="F187" s="1259"/>
      <c r="G187" s="1250"/>
      <c r="H187" s="1332" t="s">
        <v>18</v>
      </c>
      <c r="I187" s="1357">
        <v>14.0</v>
      </c>
      <c r="J187" s="1357">
        <v>100.0</v>
      </c>
      <c r="K187" s="1357">
        <v>1400.0</v>
      </c>
      <c r="L187" s="1259"/>
      <c r="M187" s="1346"/>
      <c r="N187" s="1239"/>
      <c r="O187" s="1239"/>
    </row>
    <row r="188" ht="18.0" customHeight="1">
      <c r="A188" s="57"/>
      <c r="B188" s="1390" t="s">
        <v>828</v>
      </c>
      <c r="C188" s="369" t="s">
        <v>705</v>
      </c>
      <c r="D188" s="1243" t="s">
        <v>829</v>
      </c>
      <c r="E188" s="1265" t="s">
        <v>23</v>
      </c>
      <c r="F188" s="1243" t="s">
        <v>832</v>
      </c>
      <c r="G188" s="434" t="s">
        <v>17</v>
      </c>
      <c r="H188" s="182" t="s">
        <v>25</v>
      </c>
      <c r="I188" s="1246">
        <v>1.0</v>
      </c>
      <c r="J188" s="1246">
        <v>120.0</v>
      </c>
      <c r="K188" s="1246">
        <v>120.0</v>
      </c>
      <c r="L188" s="1326">
        <f>SUM(K188+K189)</f>
        <v>2720</v>
      </c>
      <c r="M188" s="1386">
        <v>30.0</v>
      </c>
      <c r="N188" s="1387">
        <v>810.0</v>
      </c>
      <c r="O188" s="1256">
        <f>SUM(L188+N188)</f>
        <v>3530</v>
      </c>
    </row>
    <row r="189" ht="18.0" customHeight="1">
      <c r="A189" s="29"/>
      <c r="B189" s="1259"/>
      <c r="C189" s="1259"/>
      <c r="D189" s="1259"/>
      <c r="E189" s="1259"/>
      <c r="F189" s="1259"/>
      <c r="G189" s="1250"/>
      <c r="H189" s="1332" t="s">
        <v>18</v>
      </c>
      <c r="I189" s="1357">
        <v>26.0</v>
      </c>
      <c r="J189" s="1357">
        <v>100.0</v>
      </c>
      <c r="K189" s="1357">
        <v>2600.0</v>
      </c>
      <c r="L189" s="1259"/>
      <c r="M189" s="1259"/>
      <c r="N189" s="1250"/>
      <c r="O189" s="1239"/>
    </row>
    <row r="190" ht="15.0" customHeight="1">
      <c r="A190" s="57"/>
      <c r="B190" s="225" t="s">
        <v>279</v>
      </c>
      <c r="C190" s="1243" t="s">
        <v>705</v>
      </c>
      <c r="D190" s="1243" t="s">
        <v>833</v>
      </c>
      <c r="E190" s="1265"/>
      <c r="F190" s="1243" t="s">
        <v>834</v>
      </c>
      <c r="G190" s="434" t="s">
        <v>179</v>
      </c>
      <c r="H190" s="434" t="s">
        <v>18</v>
      </c>
      <c r="I190" s="1243">
        <v>6.0</v>
      </c>
      <c r="J190" s="1243"/>
      <c r="K190" s="1243"/>
      <c r="L190" s="1326"/>
      <c r="M190" s="1354"/>
      <c r="N190" s="1392"/>
      <c r="O190" s="1256"/>
    </row>
    <row r="191" ht="18.0" customHeight="1">
      <c r="A191" s="1259"/>
      <c r="B191" s="1259"/>
      <c r="C191" s="1259"/>
      <c r="D191" s="1259"/>
      <c r="E191" s="1259"/>
      <c r="F191" s="1259"/>
      <c r="G191" s="1250"/>
      <c r="H191" s="1250"/>
      <c r="I191" s="1259"/>
      <c r="J191" s="1259"/>
      <c r="K191" s="1259"/>
      <c r="L191" s="1259"/>
      <c r="M191" s="1346"/>
      <c r="N191" s="1239"/>
      <c r="O191" s="1239"/>
    </row>
    <row r="192" ht="18.0" customHeight="1">
      <c r="A192" s="1262">
        <v>46191.0</v>
      </c>
      <c r="B192" s="1243" t="s">
        <v>110</v>
      </c>
      <c r="C192" s="369" t="s">
        <v>705</v>
      </c>
      <c r="D192" s="1243" t="s">
        <v>835</v>
      </c>
      <c r="E192" s="1265" t="s">
        <v>68</v>
      </c>
      <c r="F192" s="1243" t="s">
        <v>780</v>
      </c>
      <c r="G192" s="434" t="s">
        <v>17</v>
      </c>
      <c r="H192" s="182" t="s">
        <v>18</v>
      </c>
      <c r="I192" s="1246">
        <v>2.0</v>
      </c>
      <c r="J192" s="1246">
        <v>130.0</v>
      </c>
      <c r="K192" s="1246">
        <v>260.0</v>
      </c>
      <c r="L192" s="1326">
        <f>SUM(K192:K193)</f>
        <v>1660</v>
      </c>
      <c r="M192" s="1354">
        <v>400.0</v>
      </c>
      <c r="N192" s="48"/>
      <c r="O192" s="1256">
        <f>SUM(L192+M192)</f>
        <v>2060</v>
      </c>
    </row>
    <row r="193" ht="18.0" customHeight="1">
      <c r="A193" s="29"/>
      <c r="B193" s="1259"/>
      <c r="C193" s="1259"/>
      <c r="D193" s="1259"/>
      <c r="E193" s="1259"/>
      <c r="F193" s="1259"/>
      <c r="G193" s="1250"/>
      <c r="H193" s="1332" t="s">
        <v>18</v>
      </c>
      <c r="I193" s="1357">
        <v>14.0</v>
      </c>
      <c r="J193" s="1357">
        <v>100.0</v>
      </c>
      <c r="K193" s="1357">
        <v>1400.0</v>
      </c>
      <c r="L193" s="1259"/>
      <c r="M193" s="1346"/>
      <c r="N193" s="1239"/>
      <c r="O193" s="1239"/>
    </row>
    <row r="194" ht="15.0" customHeight="1">
      <c r="A194" s="57"/>
      <c r="B194" s="225" t="s">
        <v>279</v>
      </c>
      <c r="C194" s="1243" t="s">
        <v>705</v>
      </c>
      <c r="D194" s="1243" t="s">
        <v>836</v>
      </c>
      <c r="E194" s="1265"/>
      <c r="F194" s="1243" t="s">
        <v>837</v>
      </c>
      <c r="G194" s="434" t="s">
        <v>179</v>
      </c>
      <c r="H194" s="434" t="s">
        <v>18</v>
      </c>
      <c r="I194" s="1243">
        <v>8.0</v>
      </c>
      <c r="J194" s="1243"/>
      <c r="K194" s="1243"/>
      <c r="L194" s="1326"/>
      <c r="M194" s="1354"/>
      <c r="N194" s="1392"/>
      <c r="O194" s="1256"/>
    </row>
    <row r="195" ht="18.0" customHeight="1">
      <c r="A195" s="1259"/>
      <c r="B195" s="1259"/>
      <c r="C195" s="1259"/>
      <c r="D195" s="1259"/>
      <c r="E195" s="1259"/>
      <c r="F195" s="1259"/>
      <c r="G195" s="1250"/>
      <c r="H195" s="1250"/>
      <c r="I195" s="1259"/>
      <c r="J195" s="1259"/>
      <c r="K195" s="1259"/>
      <c r="L195" s="1259"/>
      <c r="M195" s="1346"/>
      <c r="N195" s="1239"/>
      <c r="O195" s="1239"/>
    </row>
    <row r="196" ht="18.0" customHeight="1">
      <c r="A196" s="1262">
        <v>46192.0</v>
      </c>
      <c r="B196" s="1243" t="s">
        <v>110</v>
      </c>
      <c r="C196" s="369" t="s">
        <v>705</v>
      </c>
      <c r="D196" s="1243" t="s">
        <v>838</v>
      </c>
      <c r="E196" s="1265" t="s">
        <v>68</v>
      </c>
      <c r="F196" s="1243" t="s">
        <v>780</v>
      </c>
      <c r="G196" s="434" t="s">
        <v>17</v>
      </c>
      <c r="H196" s="74" t="s">
        <v>18</v>
      </c>
      <c r="I196" s="1246">
        <v>2.0</v>
      </c>
      <c r="J196" s="1246">
        <v>120.0</v>
      </c>
      <c r="K196" s="1246">
        <v>240.0</v>
      </c>
      <c r="L196" s="1326">
        <f>SUM(K196:K198)</f>
        <v>1610</v>
      </c>
      <c r="M196" s="1354">
        <v>400.0</v>
      </c>
      <c r="N196" s="48"/>
      <c r="O196" s="1256">
        <f>SUM(L196+M196)</f>
        <v>2010</v>
      </c>
    </row>
    <row r="197" ht="18.0" customHeight="1">
      <c r="A197" s="29"/>
      <c r="B197" s="29"/>
      <c r="C197" s="29"/>
      <c r="D197" s="29"/>
      <c r="E197" s="29"/>
      <c r="F197" s="29"/>
      <c r="G197" s="187"/>
      <c r="H197" s="182" t="s">
        <v>18</v>
      </c>
      <c r="I197" s="1241">
        <v>1.0</v>
      </c>
      <c r="J197" s="1241">
        <v>170.0</v>
      </c>
      <c r="K197" s="1241">
        <v>170.0</v>
      </c>
      <c r="L197" s="29"/>
      <c r="M197" s="314"/>
      <c r="N197" s="48"/>
      <c r="O197" s="48"/>
    </row>
    <row r="198" ht="18.0" customHeight="1">
      <c r="A198" s="57"/>
      <c r="B198" s="1232"/>
      <c r="C198" s="1232"/>
      <c r="D198" s="1232"/>
      <c r="E198" s="1232"/>
      <c r="F198" s="1232"/>
      <c r="G198" s="1250"/>
      <c r="H198" s="1332" t="s">
        <v>18</v>
      </c>
      <c r="I198" s="1333">
        <v>12.0</v>
      </c>
      <c r="J198" s="1333">
        <v>100.0</v>
      </c>
      <c r="K198" s="1333">
        <v>1200.0</v>
      </c>
      <c r="L198" s="1232"/>
      <c r="M198" s="1334"/>
      <c r="N198" s="1239"/>
      <c r="O198" s="1239"/>
    </row>
    <row r="199" ht="15.0" customHeight="1">
      <c r="A199" s="29"/>
      <c r="B199" s="246" t="s">
        <v>279</v>
      </c>
      <c r="C199" s="1242" t="s">
        <v>705</v>
      </c>
      <c r="D199" s="1242" t="s">
        <v>839</v>
      </c>
      <c r="E199" s="420"/>
      <c r="F199" s="1243" t="s">
        <v>840</v>
      </c>
      <c r="G199" s="434" t="s">
        <v>179</v>
      </c>
      <c r="H199" s="434" t="s">
        <v>18</v>
      </c>
      <c r="I199" s="1242">
        <v>6.0</v>
      </c>
      <c r="J199" s="1242"/>
      <c r="K199" s="1242"/>
      <c r="L199" s="1326"/>
      <c r="M199" s="1329"/>
      <c r="N199" s="1392"/>
      <c r="O199" s="1256"/>
    </row>
    <row r="200" ht="18.0" customHeight="1">
      <c r="A200" s="1232"/>
      <c r="B200" s="1232"/>
      <c r="C200" s="1232"/>
      <c r="D200" s="1232"/>
      <c r="E200" s="1232"/>
      <c r="F200" s="1232"/>
      <c r="G200" s="1250"/>
      <c r="H200" s="1250"/>
      <c r="I200" s="1232"/>
      <c r="J200" s="1232"/>
      <c r="K200" s="1232"/>
      <c r="L200" s="1232"/>
      <c r="M200" s="1334"/>
      <c r="N200" s="1239"/>
      <c r="O200" s="1239"/>
    </row>
    <row r="201" ht="18.0" customHeight="1">
      <c r="A201" s="1240">
        <v>46193.0</v>
      </c>
      <c r="B201" s="1242" t="s">
        <v>110</v>
      </c>
      <c r="C201" s="1242"/>
      <c r="D201" s="1242" t="s">
        <v>838</v>
      </c>
      <c r="E201" s="420" t="s">
        <v>68</v>
      </c>
      <c r="F201" s="1243" t="s">
        <v>780</v>
      </c>
      <c r="G201" s="434" t="s">
        <v>17</v>
      </c>
      <c r="H201" s="74" t="s">
        <v>18</v>
      </c>
      <c r="I201" s="1241">
        <v>5.0</v>
      </c>
      <c r="J201" s="1241">
        <v>120.0</v>
      </c>
      <c r="K201" s="1241">
        <v>600.0</v>
      </c>
      <c r="L201" s="1326">
        <f>SUM(K201:K202)</f>
        <v>2100</v>
      </c>
      <c r="M201" s="1329">
        <v>400.0</v>
      </c>
      <c r="N201" s="48"/>
      <c r="O201" s="1256">
        <f>SUM(L201+M201)</f>
        <v>2500</v>
      </c>
    </row>
    <row r="202" ht="18.0" customHeight="1">
      <c r="A202" s="57"/>
      <c r="B202" s="1232"/>
      <c r="C202" s="1232"/>
      <c r="D202" s="1232"/>
      <c r="E202" s="1232"/>
      <c r="F202" s="1232"/>
      <c r="G202" s="1250"/>
      <c r="H202" s="1332" t="s">
        <v>18</v>
      </c>
      <c r="I202" s="1333">
        <v>15.0</v>
      </c>
      <c r="J202" s="1333">
        <v>100.0</v>
      </c>
      <c r="K202" s="1333">
        <v>1500.0</v>
      </c>
      <c r="L202" s="1232"/>
      <c r="M202" s="1334"/>
      <c r="N202" s="1239"/>
      <c r="O202" s="1239"/>
    </row>
    <row r="203" ht="15.0" customHeight="1">
      <c r="A203" s="29"/>
      <c r="B203" s="246" t="s">
        <v>279</v>
      </c>
      <c r="C203" s="1242" t="s">
        <v>705</v>
      </c>
      <c r="D203" s="1242" t="s">
        <v>841</v>
      </c>
      <c r="E203" s="420"/>
      <c r="F203" s="1243" t="s">
        <v>842</v>
      </c>
      <c r="G203" s="434" t="s">
        <v>179</v>
      </c>
      <c r="H203" s="434" t="s">
        <v>18</v>
      </c>
      <c r="I203" s="1242">
        <v>9.0</v>
      </c>
      <c r="J203" s="1242"/>
      <c r="K203" s="1242"/>
      <c r="L203" s="1326"/>
      <c r="M203" s="1329"/>
      <c r="N203" s="1392"/>
      <c r="O203" s="1256"/>
    </row>
    <row r="204" ht="18.0" customHeight="1">
      <c r="A204" s="1232"/>
      <c r="B204" s="1232"/>
      <c r="C204" s="1232"/>
      <c r="D204" s="1232"/>
      <c r="E204" s="1232"/>
      <c r="F204" s="1232"/>
      <c r="G204" s="1250"/>
      <c r="H204" s="1250"/>
      <c r="I204" s="1232"/>
      <c r="J204" s="1232"/>
      <c r="K204" s="1232"/>
      <c r="L204" s="1232"/>
      <c r="M204" s="1334"/>
      <c r="N204" s="1239"/>
      <c r="O204" s="1239"/>
    </row>
    <row r="205" ht="15.0" customHeight="1">
      <c r="A205" s="1240">
        <v>46194.0</v>
      </c>
      <c r="B205" s="246" t="s">
        <v>279</v>
      </c>
      <c r="C205" s="1242" t="s">
        <v>705</v>
      </c>
      <c r="D205" s="1242" t="s">
        <v>843</v>
      </c>
      <c r="E205" s="420"/>
      <c r="F205" s="1243" t="s">
        <v>844</v>
      </c>
      <c r="G205" s="434" t="s">
        <v>179</v>
      </c>
      <c r="H205" s="434" t="s">
        <v>18</v>
      </c>
      <c r="I205" s="1242">
        <v>10.0</v>
      </c>
      <c r="J205" s="1242"/>
      <c r="K205" s="1242"/>
      <c r="L205" s="1326"/>
      <c r="M205" s="1329"/>
      <c r="N205" s="1392"/>
      <c r="O205" s="1256"/>
    </row>
    <row r="206" ht="18.0" customHeight="1">
      <c r="A206" s="1232"/>
      <c r="B206" s="1232"/>
      <c r="C206" s="1232"/>
      <c r="D206" s="1232"/>
      <c r="E206" s="1232"/>
      <c r="F206" s="1232"/>
      <c r="G206" s="1250"/>
      <c r="H206" s="1250"/>
      <c r="I206" s="1232"/>
      <c r="J206" s="1232"/>
      <c r="K206" s="1232"/>
      <c r="L206" s="1232"/>
      <c r="M206" s="1334"/>
      <c r="N206" s="1239"/>
      <c r="O206" s="1239"/>
    </row>
    <row r="207" ht="18.0" customHeight="1">
      <c r="A207" s="1240">
        <v>46195.0</v>
      </c>
      <c r="B207" s="1242" t="s">
        <v>110</v>
      </c>
      <c r="C207" s="1242"/>
      <c r="D207" s="1242" t="s">
        <v>845</v>
      </c>
      <c r="E207" s="420" t="s">
        <v>68</v>
      </c>
      <c r="F207" s="1243" t="s">
        <v>780</v>
      </c>
      <c r="G207" s="434" t="s">
        <v>17</v>
      </c>
      <c r="H207" s="74" t="s">
        <v>18</v>
      </c>
      <c r="I207" s="1241">
        <v>2.0</v>
      </c>
      <c r="J207" s="1241">
        <v>120.0</v>
      </c>
      <c r="K207" s="1241">
        <v>240.0</v>
      </c>
      <c r="L207" s="1326">
        <f>SUM(K207:K208)</f>
        <v>2040</v>
      </c>
      <c r="M207" s="1329">
        <v>400.0</v>
      </c>
      <c r="N207" s="48"/>
      <c r="O207" s="1256">
        <f>SUM(L207+M207)</f>
        <v>2440</v>
      </c>
    </row>
    <row r="208" ht="18.0" customHeight="1">
      <c r="A208" s="57"/>
      <c r="B208" s="1232"/>
      <c r="C208" s="1232"/>
      <c r="D208" s="1232"/>
      <c r="E208" s="1232"/>
      <c r="F208" s="1232"/>
      <c r="G208" s="1250"/>
      <c r="H208" s="1332" t="s">
        <v>18</v>
      </c>
      <c r="I208" s="1333">
        <v>18.0</v>
      </c>
      <c r="J208" s="1333">
        <v>100.0</v>
      </c>
      <c r="K208" s="1333">
        <v>1800.0</v>
      </c>
      <c r="L208" s="1232"/>
      <c r="M208" s="1334"/>
      <c r="N208" s="1239"/>
      <c r="O208" s="1239"/>
    </row>
    <row r="209" ht="15.0" customHeight="1">
      <c r="A209" s="29"/>
      <c r="B209" s="246" t="s">
        <v>279</v>
      </c>
      <c r="C209" s="1242" t="s">
        <v>705</v>
      </c>
      <c r="D209" s="1242" t="s">
        <v>848</v>
      </c>
      <c r="E209" s="420"/>
      <c r="F209" s="1243" t="s">
        <v>849</v>
      </c>
      <c r="G209" s="434" t="s">
        <v>179</v>
      </c>
      <c r="H209" s="434" t="s">
        <v>18</v>
      </c>
      <c r="I209" s="1242">
        <v>10.0</v>
      </c>
      <c r="J209" s="1242"/>
      <c r="K209" s="1242"/>
      <c r="L209" s="1326"/>
      <c r="M209" s="1329"/>
      <c r="N209" s="1392"/>
      <c r="O209" s="1256"/>
    </row>
    <row r="210" ht="18.0" customHeight="1">
      <c r="A210" s="1232"/>
      <c r="B210" s="1232"/>
      <c r="C210" s="1232"/>
      <c r="D210" s="1232"/>
      <c r="E210" s="1232"/>
      <c r="F210" s="1232"/>
      <c r="G210" s="1250"/>
      <c r="H210" s="1250"/>
      <c r="I210" s="1232"/>
      <c r="J210" s="1232"/>
      <c r="K210" s="1232"/>
      <c r="L210" s="1232"/>
      <c r="M210" s="1334"/>
      <c r="N210" s="1239"/>
      <c r="O210" s="1239"/>
    </row>
    <row r="211" ht="18.0" customHeight="1">
      <c r="A211" s="1240">
        <v>46196.0</v>
      </c>
      <c r="B211" s="1242" t="s">
        <v>110</v>
      </c>
      <c r="C211" s="1242"/>
      <c r="D211" s="1242" t="s">
        <v>845</v>
      </c>
      <c r="E211" s="420" t="s">
        <v>68</v>
      </c>
      <c r="F211" s="1243" t="s">
        <v>780</v>
      </c>
      <c r="G211" s="434" t="s">
        <v>17</v>
      </c>
      <c r="H211" s="74" t="s">
        <v>18</v>
      </c>
      <c r="I211" s="1241">
        <v>2.0</v>
      </c>
      <c r="J211" s="1241">
        <v>120.0</v>
      </c>
      <c r="K211" s="1241">
        <v>240.0</v>
      </c>
      <c r="L211" s="1326">
        <f>SUM(K211:K212)</f>
        <v>1840</v>
      </c>
      <c r="M211" s="1329">
        <v>400.0</v>
      </c>
      <c r="N211" s="48"/>
      <c r="O211" s="1256">
        <f>SUM(L211+M211)</f>
        <v>2240</v>
      </c>
    </row>
    <row r="212" ht="18.0" customHeight="1">
      <c r="A212" s="57"/>
      <c r="B212" s="1232"/>
      <c r="C212" s="1232"/>
      <c r="D212" s="1232"/>
      <c r="E212" s="1232"/>
      <c r="F212" s="1232"/>
      <c r="G212" s="1250"/>
      <c r="H212" s="1332" t="s">
        <v>18</v>
      </c>
      <c r="I212" s="1333">
        <v>16.0</v>
      </c>
      <c r="J212" s="1333">
        <v>100.0</v>
      </c>
      <c r="K212" s="1333">
        <v>1600.0</v>
      </c>
      <c r="L212" s="1232"/>
      <c r="M212" s="1334"/>
      <c r="N212" s="1239"/>
      <c r="O212" s="1239"/>
    </row>
    <row r="213" ht="15.0" customHeight="1">
      <c r="A213" s="29"/>
      <c r="B213" s="246" t="s">
        <v>279</v>
      </c>
      <c r="C213" s="1242" t="s">
        <v>705</v>
      </c>
      <c r="D213" s="1242" t="s">
        <v>850</v>
      </c>
      <c r="E213" s="420"/>
      <c r="F213" s="1243" t="s">
        <v>851</v>
      </c>
      <c r="G213" s="434" t="s">
        <v>179</v>
      </c>
      <c r="H213" s="434" t="s">
        <v>18</v>
      </c>
      <c r="I213" s="1242">
        <v>12.0</v>
      </c>
      <c r="J213" s="1242"/>
      <c r="K213" s="1242"/>
      <c r="L213" s="1326"/>
      <c r="M213" s="1329"/>
      <c r="N213" s="1392"/>
      <c r="O213" s="1256"/>
    </row>
    <row r="214" ht="18.0" customHeight="1">
      <c r="A214" s="1232"/>
      <c r="B214" s="1232"/>
      <c r="C214" s="1232"/>
      <c r="D214" s="1232"/>
      <c r="E214" s="1232"/>
      <c r="F214" s="1232"/>
      <c r="G214" s="1250"/>
      <c r="H214" s="1250"/>
      <c r="I214" s="1232"/>
      <c r="J214" s="1232"/>
      <c r="K214" s="1232"/>
      <c r="L214" s="1232"/>
      <c r="M214" s="1334"/>
      <c r="N214" s="1239"/>
      <c r="O214" s="1239"/>
    </row>
    <row r="215" ht="18.0" customHeight="1">
      <c r="A215" s="1240">
        <v>46197.0</v>
      </c>
      <c r="B215" s="1242" t="s">
        <v>110</v>
      </c>
      <c r="C215" s="1242"/>
      <c r="D215" s="1242" t="s">
        <v>845</v>
      </c>
      <c r="E215" s="420" t="s">
        <v>68</v>
      </c>
      <c r="F215" s="1243" t="s">
        <v>780</v>
      </c>
      <c r="G215" s="434" t="s">
        <v>17</v>
      </c>
      <c r="H215" s="74" t="s">
        <v>18</v>
      </c>
      <c r="I215" s="396">
        <v>1.0</v>
      </c>
      <c r="J215" s="396">
        <v>120.0</v>
      </c>
      <c r="K215" s="396">
        <v>120.0</v>
      </c>
      <c r="L215" s="1326">
        <f>SUM(K215:K217)</f>
        <v>2060</v>
      </c>
      <c r="M215" s="1329">
        <v>400.0</v>
      </c>
      <c r="N215" s="48"/>
      <c r="O215" s="1256">
        <f>SUM(L215+M215)</f>
        <v>2460</v>
      </c>
    </row>
    <row r="216" ht="18.0" customHeight="1">
      <c r="A216" s="57"/>
      <c r="B216" s="57"/>
      <c r="C216" s="57"/>
      <c r="D216" s="57"/>
      <c r="E216" s="57"/>
      <c r="F216" s="57"/>
      <c r="G216" s="187"/>
      <c r="H216" s="74" t="s">
        <v>18</v>
      </c>
      <c r="I216" s="373">
        <v>1.0</v>
      </c>
      <c r="J216" s="373">
        <v>140.0</v>
      </c>
      <c r="K216" s="373">
        <v>140.0</v>
      </c>
      <c r="L216" s="57"/>
      <c r="M216" s="294"/>
      <c r="N216" s="48"/>
      <c r="O216" s="48"/>
    </row>
    <row r="217" ht="18.0" customHeight="1">
      <c r="A217" s="29"/>
      <c r="B217" s="1259"/>
      <c r="C217" s="1259"/>
      <c r="D217" s="1259"/>
      <c r="E217" s="1259"/>
      <c r="F217" s="1259"/>
      <c r="G217" s="1250"/>
      <c r="H217" s="1273" t="s">
        <v>18</v>
      </c>
      <c r="I217" s="1261">
        <v>18.0</v>
      </c>
      <c r="J217" s="1261">
        <v>100.0</v>
      </c>
      <c r="K217" s="1261">
        <v>1800.0</v>
      </c>
      <c r="L217" s="1259"/>
      <c r="M217" s="1346"/>
      <c r="N217" s="1239"/>
      <c r="O217" s="1239"/>
    </row>
    <row r="218" ht="15.0" customHeight="1">
      <c r="A218" s="57"/>
      <c r="B218" s="225" t="s">
        <v>279</v>
      </c>
      <c r="C218" s="1243" t="s">
        <v>705</v>
      </c>
      <c r="D218" s="1243" t="s">
        <v>852</v>
      </c>
      <c r="E218" s="1265"/>
      <c r="F218" s="1243" t="s">
        <v>853</v>
      </c>
      <c r="G218" s="434" t="s">
        <v>179</v>
      </c>
      <c r="H218" s="434" t="s">
        <v>18</v>
      </c>
      <c r="I218" s="1243">
        <v>11.0</v>
      </c>
      <c r="J218" s="1243"/>
      <c r="K218" s="1243"/>
      <c r="L218" s="1326"/>
      <c r="M218" s="1354"/>
      <c r="N218" s="1392"/>
      <c r="O218" s="1256"/>
    </row>
    <row r="219" ht="18.0" customHeight="1">
      <c r="A219" s="1259"/>
      <c r="B219" s="1259"/>
      <c r="C219" s="1259"/>
      <c r="D219" s="1259"/>
      <c r="E219" s="1259"/>
      <c r="F219" s="1259"/>
      <c r="G219" s="1250"/>
      <c r="H219" s="1250"/>
      <c r="I219" s="1259"/>
      <c r="J219" s="1259"/>
      <c r="K219" s="1259"/>
      <c r="L219" s="1259"/>
      <c r="M219" s="1346"/>
      <c r="N219" s="1239"/>
      <c r="O219" s="1239"/>
    </row>
    <row r="220" ht="18.0" customHeight="1">
      <c r="A220" s="1262">
        <v>46198.0</v>
      </c>
      <c r="B220" s="1243" t="s">
        <v>110</v>
      </c>
      <c r="C220" s="1243"/>
      <c r="D220" s="1243" t="s">
        <v>845</v>
      </c>
      <c r="E220" s="1265" t="s">
        <v>68</v>
      </c>
      <c r="F220" s="1243" t="s">
        <v>780</v>
      </c>
      <c r="G220" s="434" t="s">
        <v>17</v>
      </c>
      <c r="H220" s="74" t="s">
        <v>18</v>
      </c>
      <c r="I220" s="373">
        <v>2.0</v>
      </c>
      <c r="J220" s="373">
        <v>120.0</v>
      </c>
      <c r="K220" s="373">
        <v>240.0</v>
      </c>
      <c r="L220" s="1326">
        <f>SUM(K220:K221)</f>
        <v>1440</v>
      </c>
      <c r="M220" s="1354">
        <v>400.0</v>
      </c>
      <c r="N220" s="48"/>
      <c r="O220" s="1256">
        <f>SUM(L220+M220)</f>
        <v>1840</v>
      </c>
    </row>
    <row r="221" ht="18.0" customHeight="1">
      <c r="A221" s="29"/>
      <c r="B221" s="1259"/>
      <c r="C221" s="1259"/>
      <c r="D221" s="1259"/>
      <c r="E221" s="1259"/>
      <c r="F221" s="1259"/>
      <c r="G221" s="1250"/>
      <c r="H221" s="1273" t="s">
        <v>18</v>
      </c>
      <c r="I221" s="1261">
        <v>12.0</v>
      </c>
      <c r="J221" s="1261">
        <v>100.0</v>
      </c>
      <c r="K221" s="1261">
        <v>1200.0</v>
      </c>
      <c r="L221" s="1259"/>
      <c r="M221" s="1346"/>
      <c r="N221" s="1239"/>
      <c r="O221" s="1239"/>
    </row>
    <row r="222" ht="15.0" customHeight="1">
      <c r="A222" s="57"/>
      <c r="B222" s="225" t="s">
        <v>279</v>
      </c>
      <c r="C222" s="1243" t="s">
        <v>705</v>
      </c>
      <c r="D222" s="1243" t="s">
        <v>854</v>
      </c>
      <c r="E222" s="1265"/>
      <c r="F222" s="1243" t="s">
        <v>855</v>
      </c>
      <c r="G222" s="434" t="s">
        <v>179</v>
      </c>
      <c r="H222" s="434" t="s">
        <v>18</v>
      </c>
      <c r="I222" s="1243">
        <v>11.0</v>
      </c>
      <c r="J222" s="1243"/>
      <c r="K222" s="1243"/>
      <c r="L222" s="1326"/>
      <c r="M222" s="1354"/>
      <c r="N222" s="1392"/>
      <c r="O222" s="1256"/>
    </row>
    <row r="223" ht="18.0" customHeight="1">
      <c r="A223" s="1259"/>
      <c r="B223" s="1259"/>
      <c r="C223" s="1259"/>
      <c r="D223" s="1259"/>
      <c r="E223" s="1259"/>
      <c r="F223" s="1259"/>
      <c r="G223" s="1250"/>
      <c r="H223" s="1250"/>
      <c r="I223" s="1259"/>
      <c r="J223" s="1259"/>
      <c r="K223" s="1259"/>
      <c r="L223" s="1259"/>
      <c r="M223" s="1346"/>
      <c r="N223" s="1239"/>
      <c r="O223" s="1239"/>
    </row>
    <row r="224" ht="18.0" customHeight="1">
      <c r="A224" s="1221">
        <v>46199.0</v>
      </c>
      <c r="B224" s="1243" t="s">
        <v>110</v>
      </c>
      <c r="C224" s="369" t="s">
        <v>705</v>
      </c>
      <c r="D224" s="1243" t="s">
        <v>845</v>
      </c>
      <c r="E224" s="1265" t="s">
        <v>68</v>
      </c>
      <c r="F224" s="1243" t="s">
        <v>780</v>
      </c>
      <c r="G224" s="434" t="s">
        <v>17</v>
      </c>
      <c r="H224" s="182" t="s">
        <v>18</v>
      </c>
      <c r="I224" s="1246">
        <v>2.0</v>
      </c>
      <c r="J224" s="1246">
        <v>120.0</v>
      </c>
      <c r="K224" s="1246">
        <v>240.0</v>
      </c>
      <c r="L224" s="1326">
        <f>SUM(K224+K225)</f>
        <v>1640</v>
      </c>
      <c r="M224" s="1354">
        <v>400.0</v>
      </c>
      <c r="N224" s="48"/>
      <c r="O224" s="1256">
        <f>SUM(L224+M224)</f>
        <v>2040</v>
      </c>
    </row>
    <row r="225" ht="18.0" customHeight="1">
      <c r="A225" s="1259"/>
      <c r="B225" s="1259"/>
      <c r="C225" s="1259"/>
      <c r="D225" s="1259"/>
      <c r="E225" s="1259"/>
      <c r="F225" s="1259"/>
      <c r="G225" s="1250"/>
      <c r="H225" s="1332" t="s">
        <v>18</v>
      </c>
      <c r="I225" s="1357">
        <v>14.0</v>
      </c>
      <c r="J225" s="1357">
        <v>100.0</v>
      </c>
      <c r="K225" s="1357">
        <v>1400.0</v>
      </c>
      <c r="L225" s="1259"/>
      <c r="M225" s="1346"/>
      <c r="N225" s="1239"/>
      <c r="O225" s="1239"/>
    </row>
    <row r="226" ht="18.0" customHeight="1">
      <c r="A226" s="1262">
        <v>46200.0</v>
      </c>
      <c r="B226" s="1243" t="s">
        <v>110</v>
      </c>
      <c r="C226" s="1243"/>
      <c r="D226" s="1243" t="s">
        <v>845</v>
      </c>
      <c r="E226" s="1265" t="s">
        <v>68</v>
      </c>
      <c r="F226" s="1243" t="s">
        <v>780</v>
      </c>
      <c r="G226" s="434" t="s">
        <v>17</v>
      </c>
      <c r="H226" s="74" t="s">
        <v>18</v>
      </c>
      <c r="I226" s="373">
        <v>1.0</v>
      </c>
      <c r="J226" s="373">
        <v>120.0</v>
      </c>
      <c r="K226" s="373">
        <v>120.0</v>
      </c>
      <c r="L226" s="1326">
        <v>1820.0</v>
      </c>
      <c r="M226" s="1354">
        <v>400.0</v>
      </c>
      <c r="N226" s="48"/>
      <c r="O226" s="1256">
        <f>SUM(L226+M226)</f>
        <v>2220</v>
      </c>
    </row>
    <row r="227" ht="18.0" customHeight="1">
      <c r="A227" s="29"/>
      <c r="B227" s="1259"/>
      <c r="C227" s="1259"/>
      <c r="D227" s="1259"/>
      <c r="E227" s="1259"/>
      <c r="F227" s="1259"/>
      <c r="G227" s="1250"/>
      <c r="H227" s="1273" t="s">
        <v>18</v>
      </c>
      <c r="I227" s="1261">
        <v>17.0</v>
      </c>
      <c r="J227" s="1261">
        <v>100.0</v>
      </c>
      <c r="K227" s="1261">
        <v>1700.0</v>
      </c>
      <c r="L227" s="1259"/>
      <c r="M227" s="1346"/>
      <c r="N227" s="1239"/>
      <c r="O227" s="1239"/>
    </row>
    <row r="228" ht="15.0" customHeight="1">
      <c r="A228" s="57"/>
      <c r="B228" s="225" t="s">
        <v>279</v>
      </c>
      <c r="C228" s="1243" t="s">
        <v>705</v>
      </c>
      <c r="D228" s="1243" t="s">
        <v>856</v>
      </c>
      <c r="E228" s="1265"/>
      <c r="F228" s="1243" t="s">
        <v>857</v>
      </c>
      <c r="G228" s="434" t="s">
        <v>179</v>
      </c>
      <c r="H228" s="434" t="s">
        <v>18</v>
      </c>
      <c r="I228" s="1243">
        <v>11.0</v>
      </c>
      <c r="J228" s="1243"/>
      <c r="K228" s="1243"/>
      <c r="L228" s="1326"/>
      <c r="M228" s="1354"/>
      <c r="N228" s="1392"/>
      <c r="O228" s="1256"/>
    </row>
    <row r="229" ht="18.0" customHeight="1">
      <c r="A229" s="1259"/>
      <c r="B229" s="1259"/>
      <c r="C229" s="1259"/>
      <c r="D229" s="1259"/>
      <c r="E229" s="1259"/>
      <c r="F229" s="1259"/>
      <c r="G229" s="1250"/>
      <c r="H229" s="1250"/>
      <c r="I229" s="1259"/>
      <c r="J229" s="1259"/>
      <c r="K229" s="1259"/>
      <c r="L229" s="1259"/>
      <c r="M229" s="1346"/>
      <c r="N229" s="1239"/>
      <c r="O229" s="1239"/>
    </row>
    <row r="230" ht="15.0" customHeight="1">
      <c r="A230" s="1262">
        <v>46201.0</v>
      </c>
      <c r="B230" s="225" t="s">
        <v>279</v>
      </c>
      <c r="C230" s="1243" t="s">
        <v>705</v>
      </c>
      <c r="D230" s="1243" t="s">
        <v>858</v>
      </c>
      <c r="E230" s="1265"/>
      <c r="F230" s="1243" t="s">
        <v>859</v>
      </c>
      <c r="G230" s="434" t="s">
        <v>179</v>
      </c>
      <c r="H230" s="434" t="s">
        <v>18</v>
      </c>
      <c r="I230" s="1243">
        <v>11.0</v>
      </c>
      <c r="J230" s="1243"/>
      <c r="K230" s="1243"/>
      <c r="L230" s="1326"/>
      <c r="M230" s="1354"/>
      <c r="N230" s="1392"/>
      <c r="O230" s="1256"/>
    </row>
    <row r="231" ht="18.0" customHeight="1">
      <c r="A231" s="1259"/>
      <c r="B231" s="1259"/>
      <c r="C231" s="1259"/>
      <c r="D231" s="1259"/>
      <c r="E231" s="1259"/>
      <c r="F231" s="1259"/>
      <c r="G231" s="1250"/>
      <c r="H231" s="1250"/>
      <c r="I231" s="1259"/>
      <c r="J231" s="1259"/>
      <c r="K231" s="1259"/>
      <c r="L231" s="1259"/>
      <c r="M231" s="1346"/>
      <c r="N231" s="1239"/>
      <c r="O231" s="1239"/>
    </row>
    <row r="232" ht="18.0" customHeight="1">
      <c r="A232" s="1262">
        <v>46202.0</v>
      </c>
      <c r="B232" s="1243" t="s">
        <v>110</v>
      </c>
      <c r="C232" s="1243"/>
      <c r="D232" s="1243" t="s">
        <v>845</v>
      </c>
      <c r="E232" s="1265" t="s">
        <v>68</v>
      </c>
      <c r="F232" s="1243" t="s">
        <v>780</v>
      </c>
      <c r="G232" s="434" t="s">
        <v>17</v>
      </c>
      <c r="H232" s="74" t="s">
        <v>18</v>
      </c>
      <c r="I232" s="373">
        <v>2.0</v>
      </c>
      <c r="J232" s="373">
        <v>120.0</v>
      </c>
      <c r="K232" s="373">
        <v>240.0</v>
      </c>
      <c r="L232" s="1326">
        <v>1940.0</v>
      </c>
      <c r="M232" s="1354">
        <v>400.0</v>
      </c>
      <c r="N232" s="48"/>
      <c r="O232" s="1256">
        <f>SUM(L232+M232)</f>
        <v>2340</v>
      </c>
    </row>
    <row r="233" ht="18.0" customHeight="1">
      <c r="A233" s="29"/>
      <c r="B233" s="1259"/>
      <c r="C233" s="1259"/>
      <c r="D233" s="1259"/>
      <c r="E233" s="1259"/>
      <c r="F233" s="1259"/>
      <c r="G233" s="1250"/>
      <c r="H233" s="1273" t="s">
        <v>18</v>
      </c>
      <c r="I233" s="1261">
        <v>17.0</v>
      </c>
      <c r="J233" s="1261">
        <v>100.0</v>
      </c>
      <c r="K233" s="1261">
        <v>1700.0</v>
      </c>
      <c r="L233" s="1259"/>
      <c r="M233" s="1346"/>
      <c r="N233" s="1239"/>
      <c r="O233" s="1239"/>
    </row>
    <row r="234" ht="15.0" customHeight="1">
      <c r="A234" s="57"/>
      <c r="B234" s="225" t="s">
        <v>279</v>
      </c>
      <c r="C234" s="1243" t="s">
        <v>705</v>
      </c>
      <c r="D234" s="1243" t="s">
        <v>860</v>
      </c>
      <c r="E234" s="1265"/>
      <c r="F234" s="1243" t="s">
        <v>861</v>
      </c>
      <c r="G234" s="434" t="s">
        <v>179</v>
      </c>
      <c r="H234" s="434" t="s">
        <v>18</v>
      </c>
      <c r="I234" s="1243">
        <v>10.0</v>
      </c>
      <c r="J234" s="1243"/>
      <c r="K234" s="1243"/>
      <c r="L234" s="1326"/>
      <c r="M234" s="1354"/>
      <c r="N234" s="1392"/>
      <c r="O234" s="1256"/>
    </row>
    <row r="235" ht="18.0" customHeight="1">
      <c r="A235" s="1259"/>
      <c r="B235" s="1259"/>
      <c r="C235" s="1259"/>
      <c r="D235" s="1259"/>
      <c r="E235" s="1259"/>
      <c r="F235" s="1259"/>
      <c r="G235" s="1250"/>
      <c r="H235" s="1250"/>
      <c r="I235" s="1259"/>
      <c r="J235" s="1259"/>
      <c r="K235" s="1259"/>
      <c r="L235" s="1259"/>
      <c r="M235" s="1346"/>
      <c r="N235" s="1239"/>
      <c r="O235" s="1239"/>
    </row>
    <row r="236" ht="15.0" customHeight="1">
      <c r="A236" s="1262">
        <v>46203.0</v>
      </c>
      <c r="B236" s="225" t="s">
        <v>279</v>
      </c>
      <c r="C236" s="1243" t="s">
        <v>705</v>
      </c>
      <c r="D236" s="1243" t="s">
        <v>862</v>
      </c>
      <c r="E236" s="1265"/>
      <c r="F236" s="1243" t="s">
        <v>863</v>
      </c>
      <c r="G236" s="434" t="s">
        <v>179</v>
      </c>
      <c r="H236" s="434" t="s">
        <v>18</v>
      </c>
      <c r="I236" s="1243">
        <v>10.0</v>
      </c>
      <c r="J236" s="1243"/>
      <c r="K236" s="1243"/>
      <c r="L236" s="1326"/>
      <c r="M236" s="1354"/>
      <c r="N236" s="1392"/>
      <c r="O236" s="1256"/>
    </row>
    <row r="237" ht="18.0" customHeight="1">
      <c r="A237" s="1259"/>
      <c r="B237" s="1259"/>
      <c r="C237" s="1259"/>
      <c r="D237" s="1259"/>
      <c r="E237" s="1259"/>
      <c r="F237" s="1259"/>
      <c r="G237" s="1250"/>
      <c r="H237" s="1250"/>
      <c r="I237" s="1259"/>
      <c r="J237" s="1259"/>
      <c r="K237" s="1259"/>
      <c r="L237" s="1259"/>
      <c r="M237" s="1346"/>
      <c r="N237" s="1239"/>
      <c r="O237" s="1239"/>
    </row>
    <row r="238" ht="18.0" customHeight="1">
      <c r="A238" s="1262">
        <v>46204.0</v>
      </c>
      <c r="B238" s="1243" t="s">
        <v>110</v>
      </c>
      <c r="C238" s="1243"/>
      <c r="D238" s="1243" t="s">
        <v>845</v>
      </c>
      <c r="E238" s="1265" t="s">
        <v>68</v>
      </c>
      <c r="F238" s="1243" t="s">
        <v>780</v>
      </c>
      <c r="G238" s="434" t="s">
        <v>17</v>
      </c>
      <c r="H238" s="74" t="s">
        <v>18</v>
      </c>
      <c r="I238" s="373">
        <v>19.0</v>
      </c>
      <c r="J238" s="373">
        <v>100.0</v>
      </c>
      <c r="K238" s="373">
        <v>1900.0</v>
      </c>
      <c r="L238" s="1326">
        <f>SUM(K238:K239)</f>
        <v>2140</v>
      </c>
      <c r="M238" s="1354">
        <v>400.0</v>
      </c>
      <c r="N238" s="48"/>
      <c r="O238" s="1256">
        <f>SUM(L238+M238)</f>
        <v>2540</v>
      </c>
    </row>
    <row r="239" ht="18.0" customHeight="1">
      <c r="A239" s="29"/>
      <c r="B239" s="1259"/>
      <c r="C239" s="1259"/>
      <c r="D239" s="1259"/>
      <c r="E239" s="1259"/>
      <c r="F239" s="1259"/>
      <c r="G239" s="1250"/>
      <c r="H239" s="1273" t="s">
        <v>18</v>
      </c>
      <c r="I239" s="1261">
        <v>2.0</v>
      </c>
      <c r="J239" s="1261">
        <v>120.0</v>
      </c>
      <c r="K239" s="1261">
        <v>240.0</v>
      </c>
      <c r="L239" s="1259"/>
      <c r="M239" s="1346"/>
      <c r="N239" s="1239"/>
      <c r="O239" s="1239"/>
    </row>
    <row r="240" ht="15.0" customHeight="1">
      <c r="A240" s="57"/>
      <c r="B240" s="225" t="s">
        <v>279</v>
      </c>
      <c r="C240" s="1243" t="s">
        <v>705</v>
      </c>
      <c r="D240" s="1243" t="s">
        <v>864</v>
      </c>
      <c r="E240" s="1265"/>
      <c r="F240" s="1243" t="s">
        <v>865</v>
      </c>
      <c r="G240" s="434" t="s">
        <v>179</v>
      </c>
      <c r="H240" s="434" t="s">
        <v>18</v>
      </c>
      <c r="I240" s="1243">
        <v>10.0</v>
      </c>
      <c r="J240" s="1243"/>
      <c r="K240" s="1243"/>
      <c r="L240" s="1326"/>
      <c r="M240" s="1354"/>
      <c r="N240" s="1392"/>
      <c r="O240" s="1256"/>
    </row>
    <row r="241" ht="18.0" customHeight="1">
      <c r="A241" s="1259"/>
      <c r="B241" s="1259"/>
      <c r="C241" s="1259"/>
      <c r="D241" s="1259"/>
      <c r="E241" s="1259"/>
      <c r="F241" s="1259"/>
      <c r="G241" s="1250"/>
      <c r="H241" s="1250"/>
      <c r="I241" s="1259"/>
      <c r="J241" s="1259"/>
      <c r="K241" s="1259"/>
      <c r="L241" s="1259"/>
      <c r="M241" s="1346"/>
      <c r="N241" s="1239"/>
      <c r="O241" s="1239"/>
    </row>
    <row r="242" ht="18.0" customHeight="1">
      <c r="A242" s="1262">
        <v>46205.0</v>
      </c>
      <c r="B242" s="1243" t="s">
        <v>110</v>
      </c>
      <c r="C242" s="1243"/>
      <c r="D242" s="1243" t="s">
        <v>845</v>
      </c>
      <c r="E242" s="1265" t="s">
        <v>68</v>
      </c>
      <c r="F242" s="1243" t="s">
        <v>780</v>
      </c>
      <c r="G242" s="434" t="s">
        <v>17</v>
      </c>
      <c r="H242" s="74" t="s">
        <v>18</v>
      </c>
      <c r="I242" s="373">
        <v>13.0</v>
      </c>
      <c r="J242" s="373">
        <v>100.0</v>
      </c>
      <c r="K242" s="373">
        <v>1300.0</v>
      </c>
      <c r="L242" s="1326">
        <f>SUM(K242:K244)</f>
        <v>1590</v>
      </c>
      <c r="M242" s="1354">
        <v>400.0</v>
      </c>
      <c r="N242" s="48"/>
      <c r="O242" s="1256">
        <f>SUM(L242+M242)</f>
        <v>1990</v>
      </c>
    </row>
    <row r="243" ht="18.0" customHeight="1">
      <c r="A243" s="29"/>
      <c r="B243" s="29"/>
      <c r="C243" s="29"/>
      <c r="D243" s="29"/>
      <c r="E243" s="29"/>
      <c r="F243" s="29"/>
      <c r="G243" s="187"/>
      <c r="H243" s="105" t="s">
        <v>18</v>
      </c>
      <c r="I243" s="375">
        <v>1.0</v>
      </c>
      <c r="J243" s="375">
        <v>50.0</v>
      </c>
      <c r="K243" s="375">
        <v>50.0</v>
      </c>
      <c r="L243" s="29"/>
      <c r="M243" s="314"/>
      <c r="N243" s="48"/>
      <c r="O243" s="48"/>
    </row>
    <row r="244" ht="18.0" customHeight="1">
      <c r="A244" s="57"/>
      <c r="B244" s="1232"/>
      <c r="C244" s="1232"/>
      <c r="D244" s="1232"/>
      <c r="E244" s="1232"/>
      <c r="F244" s="1232"/>
      <c r="G244" s="1250"/>
      <c r="H244" s="1273" t="s">
        <v>18</v>
      </c>
      <c r="I244" s="1248">
        <v>2.0</v>
      </c>
      <c r="J244" s="1248">
        <v>120.0</v>
      </c>
      <c r="K244" s="1248">
        <v>240.0</v>
      </c>
      <c r="L244" s="1232"/>
      <c r="M244" s="1334"/>
      <c r="N244" s="1239"/>
      <c r="O244" s="1239"/>
    </row>
    <row r="245" ht="15.0" customHeight="1">
      <c r="A245" s="29"/>
      <c r="B245" s="246" t="s">
        <v>279</v>
      </c>
      <c r="C245" s="1242" t="s">
        <v>705</v>
      </c>
      <c r="D245" s="1242" t="s">
        <v>866</v>
      </c>
      <c r="E245" s="420"/>
      <c r="F245" s="1243" t="s">
        <v>867</v>
      </c>
      <c r="G245" s="434" t="s">
        <v>179</v>
      </c>
      <c r="H245" s="434" t="s">
        <v>18</v>
      </c>
      <c r="I245" s="1242">
        <v>10.0</v>
      </c>
      <c r="J245" s="1242"/>
      <c r="K245" s="1242"/>
      <c r="L245" s="1326"/>
      <c r="M245" s="1329"/>
      <c r="N245" s="1392"/>
      <c r="O245" s="1256"/>
    </row>
    <row r="246" ht="18.0" customHeight="1">
      <c r="A246" s="1232"/>
      <c r="B246" s="1232"/>
      <c r="C246" s="1232"/>
      <c r="D246" s="1232"/>
      <c r="E246" s="1232"/>
      <c r="F246" s="1232"/>
      <c r="G246" s="1250"/>
      <c r="H246" s="1250"/>
      <c r="I246" s="1232"/>
      <c r="J246" s="1232"/>
      <c r="K246" s="1232"/>
      <c r="L246" s="1232"/>
      <c r="M246" s="1334"/>
      <c r="N246" s="1239"/>
      <c r="O246" s="1239"/>
    </row>
    <row r="247" ht="18.0" customHeight="1">
      <c r="A247" s="1240">
        <v>46206.0</v>
      </c>
      <c r="B247" s="1242" t="s">
        <v>110</v>
      </c>
      <c r="C247" s="1242"/>
      <c r="D247" s="1242" t="s">
        <v>845</v>
      </c>
      <c r="E247" s="420" t="s">
        <v>68</v>
      </c>
      <c r="F247" s="1243" t="s">
        <v>780</v>
      </c>
      <c r="G247" s="434" t="s">
        <v>17</v>
      </c>
      <c r="H247" s="74" t="s">
        <v>18</v>
      </c>
      <c r="I247" s="396">
        <v>13.0</v>
      </c>
      <c r="J247" s="396">
        <v>100.0</v>
      </c>
      <c r="K247" s="396">
        <v>1300.0</v>
      </c>
      <c r="L247" s="1326">
        <f>SUM(K247:K249)</f>
        <v>1840</v>
      </c>
      <c r="M247" s="1329">
        <v>400.0</v>
      </c>
      <c r="N247" s="48"/>
      <c r="O247" s="1256">
        <f>SUM(L247+M247)</f>
        <v>2240</v>
      </c>
    </row>
    <row r="248" ht="18.0" customHeight="1">
      <c r="A248" s="57"/>
      <c r="B248" s="57"/>
      <c r="C248" s="57"/>
      <c r="D248" s="57"/>
      <c r="E248" s="57"/>
      <c r="F248" s="57"/>
      <c r="G248" s="187"/>
      <c r="H248" s="105" t="s">
        <v>18</v>
      </c>
      <c r="I248" s="369">
        <v>2.0</v>
      </c>
      <c r="J248" s="369">
        <v>145.0</v>
      </c>
      <c r="K248" s="369">
        <v>290.0</v>
      </c>
      <c r="L248" s="57"/>
      <c r="M248" s="294"/>
      <c r="N248" s="48"/>
      <c r="O248" s="48"/>
    </row>
    <row r="249" ht="18.0" customHeight="1">
      <c r="A249" s="29"/>
      <c r="B249" s="1259"/>
      <c r="C249" s="1259"/>
      <c r="D249" s="1259"/>
      <c r="E249" s="1259"/>
      <c r="F249" s="1259"/>
      <c r="G249" s="1250"/>
      <c r="H249" s="1273" t="s">
        <v>18</v>
      </c>
      <c r="I249" s="1261">
        <v>2.0</v>
      </c>
      <c r="J249" s="1261">
        <v>125.0</v>
      </c>
      <c r="K249" s="1261">
        <v>250.0</v>
      </c>
      <c r="L249" s="1259"/>
      <c r="M249" s="1346"/>
      <c r="N249" s="1239"/>
      <c r="O249" s="1239"/>
    </row>
    <row r="250" ht="17.25" customHeight="1">
      <c r="A250" s="57"/>
      <c r="B250" s="225" t="s">
        <v>279</v>
      </c>
      <c r="C250" s="1243" t="s">
        <v>705</v>
      </c>
      <c r="D250" s="1243" t="s">
        <v>829</v>
      </c>
      <c r="E250" s="1265"/>
      <c r="F250" s="1243" t="s">
        <v>868</v>
      </c>
      <c r="G250" s="434" t="s">
        <v>17</v>
      </c>
      <c r="H250" s="74" t="s">
        <v>25</v>
      </c>
      <c r="I250" s="373">
        <v>1.0</v>
      </c>
      <c r="J250" s="373"/>
      <c r="K250" s="373"/>
      <c r="L250" s="1326"/>
      <c r="M250" s="1354"/>
      <c r="N250" s="1392"/>
      <c r="O250" s="1256"/>
    </row>
    <row r="251" ht="18.0" customHeight="1">
      <c r="A251" s="29"/>
      <c r="B251" s="1259"/>
      <c r="C251" s="1259"/>
      <c r="D251" s="1259"/>
      <c r="E251" s="1259"/>
      <c r="F251" s="1259"/>
      <c r="G251" s="1250"/>
      <c r="H251" s="1273" t="s">
        <v>18</v>
      </c>
      <c r="I251" s="1261">
        <v>22.0</v>
      </c>
      <c r="J251" s="1261"/>
      <c r="K251" s="1261"/>
      <c r="L251" s="1259"/>
      <c r="M251" s="1346"/>
      <c r="N251" s="1239"/>
      <c r="O251" s="1239"/>
    </row>
    <row r="252" ht="18.0" customHeight="1">
      <c r="A252" s="1232"/>
      <c r="B252" s="1333" t="s">
        <v>30</v>
      </c>
      <c r="C252" s="1442" t="s">
        <v>30</v>
      </c>
      <c r="D252" s="1333" t="s">
        <v>869</v>
      </c>
      <c r="E252" s="1443"/>
      <c r="F252" s="1333" t="s">
        <v>870</v>
      </c>
      <c r="G252" s="1332" t="s">
        <v>179</v>
      </c>
      <c r="H252" s="1332" t="s">
        <v>18</v>
      </c>
      <c r="I252" s="1333">
        <v>10.0</v>
      </c>
      <c r="J252" s="1333"/>
      <c r="K252" s="1333"/>
      <c r="L252" s="1444"/>
      <c r="M252" s="1445"/>
      <c r="N252" s="1446"/>
      <c r="O252" s="1279"/>
    </row>
    <row r="253" ht="18.0" customHeight="1">
      <c r="A253" s="1240">
        <v>46207.0</v>
      </c>
      <c r="B253" s="1242" t="s">
        <v>110</v>
      </c>
      <c r="C253" s="1242"/>
      <c r="D253" s="1242" t="s">
        <v>845</v>
      </c>
      <c r="E253" s="420" t="s">
        <v>68</v>
      </c>
      <c r="F253" s="1243" t="s">
        <v>780</v>
      </c>
      <c r="G253" s="434" t="s">
        <v>17</v>
      </c>
      <c r="H253" s="74" t="s">
        <v>18</v>
      </c>
      <c r="I253" s="396">
        <v>13.0</v>
      </c>
      <c r="J253" s="396">
        <v>100.0</v>
      </c>
      <c r="K253" s="396">
        <v>1300.0</v>
      </c>
      <c r="L253" s="1326">
        <f>SUM(K253:K254)</f>
        <v>1540</v>
      </c>
      <c r="M253" s="1329">
        <v>400.0</v>
      </c>
      <c r="N253" s="48"/>
      <c r="O253" s="1256">
        <f>SUM(L253+M253)</f>
        <v>1940</v>
      </c>
    </row>
    <row r="254" ht="18.0" customHeight="1">
      <c r="A254" s="57"/>
      <c r="B254" s="1232"/>
      <c r="C254" s="1232"/>
      <c r="D254" s="1232"/>
      <c r="E254" s="1232"/>
      <c r="F254" s="1232"/>
      <c r="G254" s="1250"/>
      <c r="H254" s="1273" t="s">
        <v>18</v>
      </c>
      <c r="I254" s="1248">
        <v>2.0</v>
      </c>
      <c r="J254" s="1248">
        <v>120.0</v>
      </c>
      <c r="K254" s="1248">
        <v>240.0</v>
      </c>
      <c r="L254" s="1232"/>
      <c r="M254" s="1334"/>
      <c r="N254" s="1239"/>
      <c r="O254" s="1239"/>
    </row>
    <row r="255" ht="17.25" customHeight="1">
      <c r="A255" s="29"/>
      <c r="B255" s="246" t="s">
        <v>279</v>
      </c>
      <c r="C255" s="1242" t="s">
        <v>705</v>
      </c>
      <c r="D255" s="1242" t="s">
        <v>871</v>
      </c>
      <c r="E255" s="420"/>
      <c r="F255" s="1243" t="s">
        <v>872</v>
      </c>
      <c r="G255" s="434" t="s">
        <v>17</v>
      </c>
      <c r="H255" s="74" t="s">
        <v>25</v>
      </c>
      <c r="I255" s="396">
        <v>1.0</v>
      </c>
      <c r="J255" s="396"/>
      <c r="K255" s="396"/>
      <c r="L255" s="1326"/>
      <c r="M255" s="1329"/>
      <c r="N255" s="1392"/>
      <c r="O255" s="1256"/>
    </row>
    <row r="256" ht="18.0" customHeight="1">
      <c r="A256" s="57"/>
      <c r="B256" s="1232"/>
      <c r="C256" s="1232"/>
      <c r="D256" s="1232"/>
      <c r="E256" s="1232"/>
      <c r="F256" s="1232"/>
      <c r="G256" s="1250"/>
      <c r="H256" s="1273" t="s">
        <v>18</v>
      </c>
      <c r="I256" s="1248">
        <v>21.0</v>
      </c>
      <c r="J256" s="1248"/>
      <c r="K256" s="1248"/>
      <c r="L256" s="1232"/>
      <c r="M256" s="1334"/>
      <c r="N256" s="1239"/>
      <c r="O256" s="1239"/>
    </row>
    <row r="257" ht="18.0" customHeight="1">
      <c r="A257" s="1259"/>
      <c r="B257" s="1357" t="s">
        <v>30</v>
      </c>
      <c r="C257" s="1447" t="s">
        <v>30</v>
      </c>
      <c r="D257" s="1357" t="s">
        <v>873</v>
      </c>
      <c r="E257" s="1448"/>
      <c r="F257" s="1333" t="s">
        <v>874</v>
      </c>
      <c r="G257" s="1332" t="s">
        <v>179</v>
      </c>
      <c r="H257" s="1332" t="s">
        <v>18</v>
      </c>
      <c r="I257" s="1357">
        <v>10.0</v>
      </c>
      <c r="J257" s="1357"/>
      <c r="K257" s="1357"/>
      <c r="L257" s="1444"/>
      <c r="M257" s="1449"/>
      <c r="N257" s="1446"/>
      <c r="O257" s="1279"/>
    </row>
    <row r="258" ht="15.0" customHeight="1">
      <c r="A258" s="1262">
        <v>46208.0</v>
      </c>
      <c r="B258" s="225" t="s">
        <v>279</v>
      </c>
      <c r="C258" s="1243" t="s">
        <v>705</v>
      </c>
      <c r="D258" s="1243" t="s">
        <v>875</v>
      </c>
      <c r="E258" s="1265"/>
      <c r="F258" s="1243" t="s">
        <v>876</v>
      </c>
      <c r="G258" s="434" t="s">
        <v>179</v>
      </c>
      <c r="H258" s="434" t="s">
        <v>18</v>
      </c>
      <c r="I258" s="1243">
        <v>10.0</v>
      </c>
      <c r="J258" s="1243"/>
      <c r="K258" s="1243"/>
      <c r="L258" s="1326"/>
      <c r="M258" s="1354"/>
      <c r="N258" s="1392"/>
      <c r="O258" s="1256"/>
    </row>
    <row r="259" ht="18.0" customHeight="1">
      <c r="A259" s="1259"/>
      <c r="B259" s="1259"/>
      <c r="C259" s="1259"/>
      <c r="D259" s="1259"/>
      <c r="E259" s="1259"/>
      <c r="F259" s="1259"/>
      <c r="G259" s="1250"/>
      <c r="H259" s="1250"/>
      <c r="I259" s="1259"/>
      <c r="J259" s="1259"/>
      <c r="K259" s="1259"/>
      <c r="L259" s="1259"/>
      <c r="M259" s="1346"/>
      <c r="N259" s="1239"/>
      <c r="O259" s="1239"/>
    </row>
    <row r="260" ht="18.0" customHeight="1">
      <c r="A260" s="1262">
        <v>46209.0</v>
      </c>
      <c r="B260" s="1243" t="s">
        <v>110</v>
      </c>
      <c r="C260" s="1243"/>
      <c r="D260" s="1243" t="s">
        <v>845</v>
      </c>
      <c r="E260" s="1265" t="s">
        <v>68</v>
      </c>
      <c r="F260" s="1243" t="s">
        <v>780</v>
      </c>
      <c r="G260" s="434" t="s">
        <v>17</v>
      </c>
      <c r="H260" s="74" t="s">
        <v>18</v>
      </c>
      <c r="I260" s="373">
        <v>1.0</v>
      </c>
      <c r="J260" s="373">
        <v>120.0</v>
      </c>
      <c r="K260" s="373">
        <v>120.0</v>
      </c>
      <c r="L260" s="1326">
        <f>SUM(K260:K261)</f>
        <v>1820</v>
      </c>
      <c r="M260" s="1354">
        <v>400.0</v>
      </c>
      <c r="N260" s="48"/>
      <c r="O260" s="1256">
        <f>SUM(L260+M260)</f>
        <v>2220</v>
      </c>
    </row>
    <row r="261" ht="18.0" customHeight="1">
      <c r="A261" s="29"/>
      <c r="B261" s="1259"/>
      <c r="C261" s="1259"/>
      <c r="D261" s="1259"/>
      <c r="E261" s="1259"/>
      <c r="F261" s="1259"/>
      <c r="G261" s="1250"/>
      <c r="H261" s="1273" t="s">
        <v>18</v>
      </c>
      <c r="I261" s="1261">
        <v>17.0</v>
      </c>
      <c r="J261" s="1261">
        <v>100.0</v>
      </c>
      <c r="K261" s="1261">
        <v>1700.0</v>
      </c>
      <c r="L261" s="1259"/>
      <c r="M261" s="1346"/>
      <c r="N261" s="1239"/>
      <c r="O261" s="1239"/>
    </row>
    <row r="262" ht="15.0" customHeight="1">
      <c r="A262" s="57"/>
      <c r="B262" s="225" t="s">
        <v>279</v>
      </c>
      <c r="C262" s="1243" t="s">
        <v>705</v>
      </c>
      <c r="D262" s="1243" t="s">
        <v>877</v>
      </c>
      <c r="E262" s="1265"/>
      <c r="F262" s="1243" t="s">
        <v>878</v>
      </c>
      <c r="G262" s="434" t="s">
        <v>179</v>
      </c>
      <c r="H262" s="434" t="s">
        <v>18</v>
      </c>
      <c r="I262" s="1243">
        <v>10.0</v>
      </c>
      <c r="J262" s="1243"/>
      <c r="K262" s="1243"/>
      <c r="L262" s="1326"/>
      <c r="M262" s="1354"/>
      <c r="N262" s="1392"/>
      <c r="O262" s="1256"/>
    </row>
    <row r="263" ht="18.0" customHeight="1">
      <c r="A263" s="1259"/>
      <c r="B263" s="1259"/>
      <c r="C263" s="1259"/>
      <c r="D263" s="1259"/>
      <c r="E263" s="1259"/>
      <c r="F263" s="1259"/>
      <c r="G263" s="1250"/>
      <c r="H263" s="1250"/>
      <c r="I263" s="1259"/>
      <c r="J263" s="1259"/>
      <c r="K263" s="1259"/>
      <c r="L263" s="1259"/>
      <c r="M263" s="1346"/>
      <c r="N263" s="1239"/>
      <c r="O263" s="1239"/>
    </row>
    <row r="264" ht="18.0" customHeight="1">
      <c r="A264" s="1262">
        <v>46210.0</v>
      </c>
      <c r="B264" s="1243" t="s">
        <v>110</v>
      </c>
      <c r="C264" s="1243"/>
      <c r="D264" s="1243" t="s">
        <v>845</v>
      </c>
      <c r="E264" s="1265" t="s">
        <v>68</v>
      </c>
      <c r="F264" s="1243" t="s">
        <v>780</v>
      </c>
      <c r="G264" s="434" t="s">
        <v>17</v>
      </c>
      <c r="H264" s="74" t="s">
        <v>18</v>
      </c>
      <c r="I264" s="373">
        <v>1.0</v>
      </c>
      <c r="J264" s="373">
        <v>120.0</v>
      </c>
      <c r="K264" s="373">
        <v>120.0</v>
      </c>
      <c r="L264" s="1326">
        <f>SUM(K264:K265)</f>
        <v>1720</v>
      </c>
      <c r="M264" s="1354">
        <v>400.0</v>
      </c>
      <c r="N264" s="48"/>
      <c r="O264" s="1256">
        <f>SUM(L264+M264)</f>
        <v>2120</v>
      </c>
    </row>
    <row r="265" ht="18.0" customHeight="1">
      <c r="A265" s="29"/>
      <c r="B265" s="1259"/>
      <c r="C265" s="1259"/>
      <c r="D265" s="1259"/>
      <c r="E265" s="1259"/>
      <c r="F265" s="1259"/>
      <c r="G265" s="1250"/>
      <c r="H265" s="1273" t="s">
        <v>18</v>
      </c>
      <c r="I265" s="1248">
        <v>16.0</v>
      </c>
      <c r="J265" s="1261">
        <v>100.0</v>
      </c>
      <c r="K265" s="1261">
        <v>1600.0</v>
      </c>
      <c r="L265" s="1259"/>
      <c r="M265" s="1346"/>
      <c r="N265" s="1239"/>
      <c r="O265" s="1239"/>
    </row>
    <row r="266" ht="17.25" customHeight="1">
      <c r="A266" s="57"/>
      <c r="B266" s="225" t="s">
        <v>279</v>
      </c>
      <c r="C266" s="1243" t="s">
        <v>705</v>
      </c>
      <c r="D266" s="1243" t="s">
        <v>871</v>
      </c>
      <c r="E266" s="1265"/>
      <c r="F266" s="1243" t="s">
        <v>879</v>
      </c>
      <c r="G266" s="434" t="s">
        <v>17</v>
      </c>
      <c r="H266" s="74" t="s">
        <v>25</v>
      </c>
      <c r="I266" s="373">
        <v>0.0</v>
      </c>
      <c r="J266" s="373"/>
      <c r="K266" s="373"/>
      <c r="L266" s="1326"/>
      <c r="M266" s="1354"/>
      <c r="N266" s="1392"/>
      <c r="O266" s="1256"/>
    </row>
    <row r="267" ht="18.0" customHeight="1">
      <c r="A267" s="29"/>
      <c r="B267" s="1259"/>
      <c r="C267" s="1259"/>
      <c r="D267" s="1259"/>
      <c r="E267" s="1259"/>
      <c r="F267" s="1259"/>
      <c r="G267" s="1250"/>
      <c r="H267" s="1273" t="s">
        <v>18</v>
      </c>
      <c r="I267" s="1261">
        <v>22.0</v>
      </c>
      <c r="J267" s="1261"/>
      <c r="K267" s="1261"/>
      <c r="L267" s="1259"/>
      <c r="M267" s="1346"/>
      <c r="N267" s="1239"/>
      <c r="O267" s="1239"/>
    </row>
    <row r="268" ht="18.0" customHeight="1">
      <c r="A268" s="1232"/>
      <c r="B268" s="1333" t="s">
        <v>30</v>
      </c>
      <c r="C268" s="1442" t="s">
        <v>30</v>
      </c>
      <c r="D268" s="1333" t="s">
        <v>880</v>
      </c>
      <c r="E268" s="1443"/>
      <c r="F268" s="1333" t="s">
        <v>881</v>
      </c>
      <c r="G268" s="1332" t="s">
        <v>179</v>
      </c>
      <c r="H268" s="1332" t="s">
        <v>18</v>
      </c>
      <c r="I268" s="1333">
        <v>10.0</v>
      </c>
      <c r="J268" s="1333"/>
      <c r="K268" s="1333"/>
      <c r="L268" s="1444"/>
      <c r="M268" s="1445"/>
      <c r="N268" s="1446"/>
      <c r="O268" s="1279"/>
    </row>
    <row r="269" ht="17.25" customHeight="1">
      <c r="A269" s="1240">
        <v>46211.0</v>
      </c>
      <c r="B269" s="246" t="s">
        <v>279</v>
      </c>
      <c r="C269" s="1242" t="s">
        <v>705</v>
      </c>
      <c r="D269" s="1242" t="s">
        <v>871</v>
      </c>
      <c r="E269" s="420"/>
      <c r="F269" s="1243" t="s">
        <v>882</v>
      </c>
      <c r="G269" s="434" t="s">
        <v>17</v>
      </c>
      <c r="H269" s="74" t="s">
        <v>25</v>
      </c>
      <c r="I269" s="396">
        <v>0.0</v>
      </c>
      <c r="J269" s="396"/>
      <c r="K269" s="396"/>
      <c r="L269" s="1326"/>
      <c r="M269" s="1329"/>
      <c r="N269" s="1392"/>
      <c r="O269" s="1256"/>
    </row>
    <row r="270" ht="18.0" customHeight="1">
      <c r="A270" s="1232"/>
      <c r="B270" s="1232"/>
      <c r="C270" s="1232"/>
      <c r="D270" s="1232"/>
      <c r="E270" s="1232"/>
      <c r="F270" s="1232"/>
      <c r="G270" s="1250"/>
      <c r="H270" s="1273" t="s">
        <v>18</v>
      </c>
      <c r="I270" s="1248">
        <v>23.0</v>
      </c>
      <c r="J270" s="1248"/>
      <c r="K270" s="1248"/>
      <c r="L270" s="1232"/>
      <c r="M270" s="1334"/>
      <c r="N270" s="1239"/>
      <c r="O270" s="1239"/>
    </row>
    <row r="271" ht="17.25" customHeight="1">
      <c r="A271" s="1240">
        <v>46263.0</v>
      </c>
      <c r="B271" s="246" t="s">
        <v>883</v>
      </c>
      <c r="C271" s="1242" t="s">
        <v>705</v>
      </c>
      <c r="D271" s="1242" t="s">
        <v>884</v>
      </c>
      <c r="E271" s="420"/>
      <c r="F271" s="1243" t="s">
        <v>885</v>
      </c>
      <c r="G271" s="434" t="s">
        <v>17</v>
      </c>
      <c r="H271" s="74" t="s">
        <v>25</v>
      </c>
      <c r="I271" s="396">
        <v>1.0</v>
      </c>
      <c r="J271" s="396"/>
      <c r="K271" s="396"/>
      <c r="L271" s="1326"/>
      <c r="M271" s="1329"/>
      <c r="N271" s="1392"/>
      <c r="O271" s="1256"/>
    </row>
    <row r="272" ht="18.0" customHeight="1">
      <c r="A272" s="1232"/>
      <c r="B272" s="1232"/>
      <c r="C272" s="1232"/>
      <c r="D272" s="1232"/>
      <c r="E272" s="1232"/>
      <c r="F272" s="1232"/>
      <c r="G272" s="1250"/>
      <c r="H272" s="1273" t="s">
        <v>18</v>
      </c>
      <c r="I272" s="1248">
        <v>23.0</v>
      </c>
      <c r="J272" s="1248"/>
      <c r="K272" s="1248"/>
      <c r="L272" s="1232"/>
      <c r="M272" s="1334"/>
      <c r="N272" s="1239"/>
      <c r="O272" s="1239"/>
    </row>
    <row r="273" ht="17.25" customHeight="1">
      <c r="A273" s="1240">
        <v>46265.0</v>
      </c>
      <c r="B273" s="246" t="s">
        <v>886</v>
      </c>
      <c r="C273" s="1242" t="s">
        <v>705</v>
      </c>
      <c r="D273" s="1242" t="s">
        <v>884</v>
      </c>
      <c r="E273" s="420"/>
      <c r="F273" s="1243" t="s">
        <v>887</v>
      </c>
      <c r="G273" s="434" t="s">
        <v>17</v>
      </c>
      <c r="H273" s="74" t="s">
        <v>25</v>
      </c>
      <c r="I273" s="396">
        <v>1.0</v>
      </c>
      <c r="J273" s="396"/>
      <c r="K273" s="396"/>
      <c r="L273" s="1326"/>
      <c r="M273" s="1329"/>
      <c r="N273" s="1392"/>
      <c r="O273" s="1256"/>
    </row>
    <row r="274" ht="18.0" customHeight="1">
      <c r="A274" s="1232"/>
      <c r="B274" s="1232"/>
      <c r="C274" s="1232"/>
      <c r="D274" s="1232"/>
      <c r="E274" s="1232"/>
      <c r="F274" s="1232"/>
      <c r="G274" s="1250"/>
      <c r="H274" s="1273" t="s">
        <v>18</v>
      </c>
      <c r="I274" s="1248">
        <v>18.0</v>
      </c>
      <c r="J274" s="1248"/>
      <c r="K274" s="1248"/>
      <c r="L274" s="1232"/>
      <c r="M274" s="1334"/>
      <c r="N274" s="1239"/>
      <c r="O274" s="1239"/>
    </row>
    <row r="275" ht="17.25" customHeight="1">
      <c r="A275" s="1240">
        <v>46266.0</v>
      </c>
      <c r="B275" s="246" t="s">
        <v>886</v>
      </c>
      <c r="C275" s="1242" t="s">
        <v>705</v>
      </c>
      <c r="D275" s="1242" t="s">
        <v>884</v>
      </c>
      <c r="E275" s="420"/>
      <c r="F275" s="1243" t="s">
        <v>888</v>
      </c>
      <c r="G275" s="434" t="s">
        <v>17</v>
      </c>
      <c r="H275" s="74" t="s">
        <v>25</v>
      </c>
      <c r="I275" s="396">
        <v>1.0</v>
      </c>
      <c r="J275" s="396"/>
      <c r="K275" s="396"/>
      <c r="L275" s="1326"/>
      <c r="M275" s="1329"/>
      <c r="N275" s="1392"/>
      <c r="O275" s="1256"/>
    </row>
    <row r="276" ht="18.0" customHeight="1">
      <c r="A276" s="1232"/>
      <c r="B276" s="1232"/>
      <c r="C276" s="1232"/>
      <c r="D276" s="1232"/>
      <c r="E276" s="1232"/>
      <c r="F276" s="1232"/>
      <c r="G276" s="1250"/>
      <c r="H276" s="1273" t="s">
        <v>18</v>
      </c>
      <c r="I276" s="1248">
        <v>19.0</v>
      </c>
      <c r="J276" s="1248"/>
      <c r="K276" s="1248"/>
      <c r="L276" s="1232"/>
      <c r="M276" s="1334"/>
      <c r="N276" s="1239"/>
      <c r="O276" s="1239"/>
    </row>
    <row r="277" ht="17.25" customHeight="1">
      <c r="A277" s="1240">
        <v>46267.0</v>
      </c>
      <c r="B277" s="246" t="s">
        <v>886</v>
      </c>
      <c r="C277" s="1242" t="s">
        <v>705</v>
      </c>
      <c r="D277" s="1242" t="s">
        <v>889</v>
      </c>
      <c r="E277" s="420"/>
      <c r="F277" s="1243" t="s">
        <v>890</v>
      </c>
      <c r="G277" s="434" t="s">
        <v>17</v>
      </c>
      <c r="H277" s="74" t="s">
        <v>25</v>
      </c>
      <c r="I277" s="396">
        <v>1.0</v>
      </c>
      <c r="J277" s="396"/>
      <c r="K277" s="396"/>
      <c r="L277" s="1326"/>
      <c r="M277" s="1329"/>
      <c r="N277" s="1392"/>
      <c r="O277" s="1256"/>
    </row>
    <row r="278" ht="18.0" customHeight="1">
      <c r="A278" s="1232"/>
      <c r="B278" s="1232"/>
      <c r="C278" s="1232"/>
      <c r="D278" s="1232"/>
      <c r="E278" s="1232"/>
      <c r="F278" s="1232"/>
      <c r="G278" s="1250"/>
      <c r="H278" s="1273" t="s">
        <v>18</v>
      </c>
      <c r="I278" s="1248">
        <v>21.0</v>
      </c>
      <c r="J278" s="1248"/>
      <c r="K278" s="1248"/>
      <c r="L278" s="1232"/>
      <c r="M278" s="1334"/>
      <c r="N278" s="1239"/>
      <c r="O278" s="1239"/>
    </row>
    <row r="279" ht="17.25" customHeight="1">
      <c r="A279" s="1240">
        <v>46268.0</v>
      </c>
      <c r="B279" s="246" t="s">
        <v>891</v>
      </c>
      <c r="C279" s="1242" t="s">
        <v>705</v>
      </c>
      <c r="D279" s="1242" t="s">
        <v>889</v>
      </c>
      <c r="E279" s="420"/>
      <c r="F279" s="1243" t="s">
        <v>892</v>
      </c>
      <c r="G279" s="434" t="s">
        <v>17</v>
      </c>
      <c r="H279" s="74" t="s">
        <v>25</v>
      </c>
      <c r="I279" s="396">
        <v>1.0</v>
      </c>
      <c r="J279" s="396"/>
      <c r="K279" s="396"/>
      <c r="L279" s="1326"/>
      <c r="M279" s="1329"/>
      <c r="N279" s="1392"/>
      <c r="O279" s="1256"/>
    </row>
    <row r="280" ht="18.0" customHeight="1">
      <c r="A280" s="1232"/>
      <c r="B280" s="1232"/>
      <c r="C280" s="1232"/>
      <c r="D280" s="1232"/>
      <c r="E280" s="1232"/>
      <c r="F280" s="1232"/>
      <c r="G280" s="1250"/>
      <c r="H280" s="1273" t="s">
        <v>18</v>
      </c>
      <c r="I280" s="1248">
        <v>21.0</v>
      </c>
      <c r="J280" s="1248"/>
      <c r="K280" s="1248"/>
      <c r="L280" s="1232"/>
      <c r="M280" s="1334"/>
      <c r="N280" s="1239"/>
      <c r="O280" s="1239"/>
    </row>
    <row r="281" ht="18.0" customHeight="1">
      <c r="A281" s="1240">
        <v>46269.0</v>
      </c>
      <c r="B281" s="1242" t="s">
        <v>21</v>
      </c>
      <c r="C281" s="1242" t="s">
        <v>705</v>
      </c>
      <c r="D281" s="1242" t="s">
        <v>893</v>
      </c>
      <c r="E281" s="420"/>
      <c r="F281" s="1243" t="s">
        <v>894</v>
      </c>
      <c r="G281" s="434" t="s">
        <v>17</v>
      </c>
      <c r="H281" s="74" t="s">
        <v>25</v>
      </c>
      <c r="I281" s="396">
        <v>1.0</v>
      </c>
      <c r="J281" s="396"/>
      <c r="K281" s="396"/>
      <c r="L281" s="1326"/>
      <c r="M281" s="1329"/>
      <c r="N281" s="48"/>
      <c r="O281" s="1256"/>
    </row>
    <row r="282" ht="18.75" customHeight="1">
      <c r="A282" s="57"/>
      <c r="B282" s="1232"/>
      <c r="C282" s="1232"/>
      <c r="D282" s="1232"/>
      <c r="E282" s="1232"/>
      <c r="F282" s="1232"/>
      <c r="G282" s="1250"/>
      <c r="H282" s="1273" t="s">
        <v>18</v>
      </c>
      <c r="I282" s="1248">
        <v>20.0</v>
      </c>
      <c r="J282" s="1248"/>
      <c r="K282" s="1248"/>
      <c r="L282" s="1232"/>
      <c r="M282" s="1334"/>
      <c r="N282" s="1239"/>
      <c r="O282" s="1239"/>
    </row>
    <row r="283" ht="18.75" customHeight="1">
      <c r="A283" s="29"/>
      <c r="B283" s="246" t="s">
        <v>883</v>
      </c>
      <c r="C283" s="1242" t="s">
        <v>705</v>
      </c>
      <c r="D283" s="1242" t="s">
        <v>869</v>
      </c>
      <c r="E283" s="420"/>
      <c r="F283" s="1243" t="s">
        <v>895</v>
      </c>
      <c r="G283" s="434" t="s">
        <v>17</v>
      </c>
      <c r="H283" s="182" t="s">
        <v>25</v>
      </c>
      <c r="I283" s="396">
        <v>1.0</v>
      </c>
      <c r="J283" s="396">
        <v>120.0</v>
      </c>
      <c r="K283" s="396">
        <v>120.0</v>
      </c>
      <c r="L283" s="1450">
        <v>1220.0</v>
      </c>
      <c r="M283" s="1451">
        <v>25.0</v>
      </c>
      <c r="N283" s="1452">
        <v>300.0</v>
      </c>
      <c r="O283" s="1256">
        <v>1520.0</v>
      </c>
    </row>
    <row r="284" ht="18.0" customHeight="1">
      <c r="A284" s="1232"/>
      <c r="B284" s="1232"/>
      <c r="C284" s="1232"/>
      <c r="D284" s="1232"/>
      <c r="E284" s="1232"/>
      <c r="F284" s="1232"/>
      <c r="G284" s="1250"/>
      <c r="H284" s="1273" t="s">
        <v>18</v>
      </c>
      <c r="I284" s="1248">
        <v>11.0</v>
      </c>
      <c r="J284" s="1248">
        <v>100.0</v>
      </c>
      <c r="K284" s="1248">
        <v>1100.0</v>
      </c>
      <c r="L284" s="1334"/>
      <c r="M284" s="725"/>
      <c r="N284" s="1453"/>
      <c r="O284" s="1239"/>
    </row>
    <row r="285" ht="18.0" customHeight="1">
      <c r="A285" s="1240">
        <v>46270.0</v>
      </c>
      <c r="B285" s="1242" t="s">
        <v>21</v>
      </c>
      <c r="C285" s="1242" t="s">
        <v>705</v>
      </c>
      <c r="D285" s="1242" t="s">
        <v>896</v>
      </c>
      <c r="E285" s="420"/>
      <c r="F285" s="1243" t="s">
        <v>897</v>
      </c>
      <c r="G285" s="434" t="s">
        <v>17</v>
      </c>
      <c r="H285" s="74" t="s">
        <v>25</v>
      </c>
      <c r="I285" s="396">
        <v>1.0</v>
      </c>
      <c r="J285" s="396"/>
      <c r="K285" s="396"/>
      <c r="L285" s="1326"/>
      <c r="M285" s="1329"/>
      <c r="N285" s="48"/>
      <c r="O285" s="1256"/>
    </row>
    <row r="286" ht="18.75" customHeight="1">
      <c r="A286" s="57"/>
      <c r="B286" s="1232"/>
      <c r="C286" s="1232"/>
      <c r="D286" s="1232"/>
      <c r="E286" s="1232"/>
      <c r="F286" s="1232"/>
      <c r="G286" s="1250"/>
      <c r="H286" s="1273" t="s">
        <v>18</v>
      </c>
      <c r="I286" s="1248">
        <v>14.0</v>
      </c>
      <c r="J286" s="1248"/>
      <c r="K286" s="1248"/>
      <c r="L286" s="1232"/>
      <c r="M286" s="1334"/>
      <c r="N286" s="1239"/>
      <c r="O286" s="1239"/>
    </row>
    <row r="287" ht="18.75" customHeight="1">
      <c r="A287" s="29"/>
      <c r="B287" s="246" t="s">
        <v>30</v>
      </c>
      <c r="C287" s="1242" t="s">
        <v>705</v>
      </c>
      <c r="D287" s="1242" t="s">
        <v>856</v>
      </c>
      <c r="E287" s="420"/>
      <c r="F287" s="1243" t="s">
        <v>898</v>
      </c>
      <c r="G287" s="434" t="s">
        <v>17</v>
      </c>
      <c r="H287" s="105" t="s">
        <v>18</v>
      </c>
      <c r="I287" s="375">
        <v>45.0</v>
      </c>
      <c r="J287" s="375">
        <v>100.0</v>
      </c>
      <c r="K287" s="396"/>
      <c r="L287" s="1450">
        <v>4500.0</v>
      </c>
      <c r="M287" s="1451">
        <v>38.0</v>
      </c>
      <c r="N287" s="1452">
        <v>1748.0</v>
      </c>
      <c r="O287" s="1256">
        <f>SUM(L287+N287)</f>
        <v>6248</v>
      </c>
    </row>
    <row r="288" ht="18.0" customHeight="1">
      <c r="A288" s="1232"/>
      <c r="B288" s="1232"/>
      <c r="C288" s="1232"/>
      <c r="D288" s="1232"/>
      <c r="E288" s="1232"/>
      <c r="F288" s="1232"/>
      <c r="G288" s="1250"/>
      <c r="H288" s="1250"/>
      <c r="I288" s="1232"/>
      <c r="J288" s="1232"/>
      <c r="K288" s="1248"/>
      <c r="L288" s="1334"/>
      <c r="M288" s="725"/>
      <c r="N288" s="1453"/>
      <c r="O288" s="1239"/>
    </row>
    <row r="289" ht="17.25" customHeight="1">
      <c r="A289" s="1240">
        <v>46271.0</v>
      </c>
      <c r="B289" s="246" t="s">
        <v>30</v>
      </c>
      <c r="C289" s="1454" t="s">
        <v>705</v>
      </c>
      <c r="D289" s="1242" t="s">
        <v>896</v>
      </c>
      <c r="E289" s="1455"/>
      <c r="F289" s="1454" t="s">
        <v>899</v>
      </c>
      <c r="G289" s="1456" t="s">
        <v>17</v>
      </c>
      <c r="H289" s="1457" t="s">
        <v>25</v>
      </c>
      <c r="I289" s="396">
        <v>0.0</v>
      </c>
      <c r="J289" s="1458"/>
      <c r="K289" s="172"/>
      <c r="L289" s="1455"/>
      <c r="M289" s="1459"/>
      <c r="N289" s="1460"/>
      <c r="O289" s="1460"/>
    </row>
    <row r="290" ht="18.0" customHeight="1">
      <c r="A290" s="1232"/>
      <c r="B290" s="1232"/>
      <c r="C290" s="1232"/>
      <c r="D290" s="1232"/>
      <c r="E290" s="1232"/>
      <c r="F290" s="1232"/>
      <c r="G290" s="1250"/>
      <c r="H290" s="1461" t="s">
        <v>18</v>
      </c>
      <c r="I290" s="1248">
        <v>22.0</v>
      </c>
      <c r="J290" s="1462"/>
      <c r="K290" s="1462"/>
      <c r="L290" s="1232"/>
      <c r="M290" s="1334"/>
      <c r="N290" s="1239"/>
      <c r="O290" s="1239"/>
    </row>
    <row r="291" ht="18.0" customHeight="1">
      <c r="A291" s="1240">
        <v>46272.0</v>
      </c>
      <c r="B291" s="1242" t="s">
        <v>30</v>
      </c>
      <c r="C291" s="1242" t="s">
        <v>705</v>
      </c>
      <c r="D291" s="1242" t="s">
        <v>900</v>
      </c>
      <c r="E291" s="420"/>
      <c r="F291" s="1243" t="s">
        <v>901</v>
      </c>
      <c r="G291" s="434" t="s">
        <v>17</v>
      </c>
      <c r="H291" s="74" t="s">
        <v>25</v>
      </c>
      <c r="I291" s="396">
        <v>0.0</v>
      </c>
      <c r="J291" s="396"/>
      <c r="K291" s="396"/>
      <c r="L291" s="1326"/>
      <c r="M291" s="1329"/>
      <c r="N291" s="48"/>
      <c r="O291" s="1256"/>
    </row>
    <row r="292" ht="18.75" customHeight="1">
      <c r="A292" s="57"/>
      <c r="B292" s="1232"/>
      <c r="C292" s="1232"/>
      <c r="D292" s="1232"/>
      <c r="E292" s="1232"/>
      <c r="F292" s="1232"/>
      <c r="G292" s="1250"/>
      <c r="H292" s="1273" t="s">
        <v>18</v>
      </c>
      <c r="I292" s="369">
        <v>14.0</v>
      </c>
      <c r="J292" s="369"/>
      <c r="K292" s="1248"/>
      <c r="L292" s="1232"/>
      <c r="M292" s="1334"/>
      <c r="N292" s="1239"/>
      <c r="O292" s="1239"/>
    </row>
    <row r="293" ht="18.75" customHeight="1">
      <c r="A293" s="29"/>
      <c r="B293" s="246" t="s">
        <v>30</v>
      </c>
      <c r="C293" s="1242" t="s">
        <v>705</v>
      </c>
      <c r="D293" s="1242" t="s">
        <v>862</v>
      </c>
      <c r="E293" s="420"/>
      <c r="F293" s="1243" t="s">
        <v>902</v>
      </c>
      <c r="G293" s="434" t="s">
        <v>17</v>
      </c>
      <c r="H293" s="105" t="s">
        <v>18</v>
      </c>
      <c r="I293" s="1463">
        <v>32.0</v>
      </c>
      <c r="J293" s="1463">
        <v>100.0</v>
      </c>
      <c r="K293" s="396">
        <v>3200.0</v>
      </c>
      <c r="L293" s="1450">
        <v>3362.5</v>
      </c>
      <c r="M293" s="1451">
        <v>38.0</v>
      </c>
      <c r="N293" s="1452">
        <v>1330.0</v>
      </c>
      <c r="O293" s="1256">
        <f>SUM(L293+N293)</f>
        <v>4692.5</v>
      </c>
    </row>
    <row r="294" ht="18.0" customHeight="1">
      <c r="A294" s="57"/>
      <c r="B294" s="57"/>
      <c r="C294" s="57"/>
      <c r="D294" s="57"/>
      <c r="E294" s="57"/>
      <c r="F294" s="57"/>
      <c r="G294" s="187"/>
      <c r="H294" s="187"/>
      <c r="I294" s="373">
        <v>2.0</v>
      </c>
      <c r="J294" s="373">
        <v>50.0</v>
      </c>
      <c r="K294" s="369">
        <v>100.0</v>
      </c>
      <c r="L294" s="294"/>
      <c r="M294" s="792"/>
      <c r="N294" s="1464"/>
      <c r="O294" s="48"/>
    </row>
    <row r="295" ht="18.0" customHeight="1">
      <c r="A295" s="1259"/>
      <c r="B295" s="1259"/>
      <c r="C295" s="1259"/>
      <c r="D295" s="1259"/>
      <c r="E295" s="1259"/>
      <c r="F295" s="1259"/>
      <c r="G295" s="1250"/>
      <c r="H295" s="1250"/>
      <c r="I295" s="1261">
        <v>1.0</v>
      </c>
      <c r="J295" s="1261">
        <v>62.5</v>
      </c>
      <c r="K295" s="1261">
        <v>62.5</v>
      </c>
      <c r="L295" s="1346"/>
      <c r="M295" s="1137"/>
      <c r="N295" s="1453"/>
      <c r="O295" s="1239"/>
    </row>
    <row r="296" ht="16.5" customHeight="1">
      <c r="A296" s="940"/>
      <c r="B296" s="941"/>
      <c r="C296" s="941"/>
      <c r="D296" s="941"/>
      <c r="E296" s="941"/>
      <c r="F296" s="463"/>
      <c r="G296" s="1465"/>
      <c r="H296" s="1465"/>
      <c r="I296" s="28"/>
      <c r="J296" s="28"/>
      <c r="K296" s="28"/>
      <c r="L296" s="28"/>
      <c r="M296" s="28"/>
      <c r="N296" s="1465"/>
      <c r="O296" s="1466"/>
    </row>
    <row r="297" ht="16.5" customHeight="1">
      <c r="A297" s="939"/>
      <c r="B297" s="833"/>
      <c r="C297" s="833"/>
      <c r="D297" s="833"/>
      <c r="E297" s="833"/>
      <c r="F297" s="463"/>
      <c r="G297" s="1465"/>
      <c r="H297" s="1465"/>
      <c r="I297" s="30"/>
      <c r="J297" s="30"/>
      <c r="K297" s="30"/>
      <c r="L297" s="30"/>
      <c r="M297" s="30"/>
      <c r="N297" s="1465"/>
      <c r="O297" s="1466"/>
    </row>
    <row r="298" ht="16.5" customHeight="1">
      <c r="A298" s="940"/>
      <c r="B298" s="941"/>
      <c r="C298" s="941"/>
      <c r="D298" s="941"/>
      <c r="E298" s="941"/>
      <c r="F298" s="463"/>
      <c r="G298" s="1465"/>
      <c r="H298" s="1465"/>
      <c r="I298" s="28"/>
      <c r="J298" s="28"/>
      <c r="K298" s="28"/>
      <c r="L298" s="28"/>
      <c r="M298" s="28"/>
      <c r="N298" s="1465"/>
      <c r="O298" s="1466"/>
    </row>
    <row r="299" ht="16.5" customHeight="1">
      <c r="A299" s="939"/>
      <c r="B299" s="833"/>
      <c r="C299" s="833"/>
      <c r="D299" s="833"/>
      <c r="E299" s="833"/>
      <c r="F299" s="463"/>
      <c r="G299" s="1465"/>
      <c r="H299" s="1465"/>
      <c r="I299" s="30"/>
      <c r="J299" s="30"/>
      <c r="K299" s="30"/>
      <c r="L299" s="30"/>
      <c r="M299" s="30"/>
      <c r="N299" s="1465"/>
      <c r="O299" s="1466"/>
    </row>
    <row r="300" ht="16.5" customHeight="1">
      <c r="A300" s="940"/>
      <c r="B300" s="941"/>
      <c r="C300" s="941"/>
      <c r="D300" s="941"/>
      <c r="E300" s="941"/>
      <c r="F300" s="463"/>
      <c r="G300" s="1465"/>
      <c r="H300" s="1465"/>
      <c r="I300" s="28"/>
      <c r="J300" s="28"/>
      <c r="K300" s="28"/>
      <c r="L300" s="28"/>
      <c r="M300" s="28"/>
      <c r="N300" s="1465"/>
      <c r="O300" s="1466"/>
    </row>
    <row r="301" ht="16.5" customHeight="1">
      <c r="A301" s="939"/>
      <c r="B301" s="833"/>
      <c r="C301" s="833"/>
      <c r="D301" s="833"/>
      <c r="E301" s="833"/>
      <c r="F301" s="463"/>
      <c r="G301" s="1465"/>
      <c r="H301" s="1465"/>
      <c r="I301" s="30"/>
      <c r="J301" s="30"/>
      <c r="K301" s="30"/>
      <c r="L301" s="30"/>
      <c r="M301" s="30"/>
      <c r="N301" s="1465"/>
      <c r="O301" s="1466"/>
    </row>
    <row r="302" ht="16.5" customHeight="1">
      <c r="A302" s="940"/>
      <c r="B302" s="941"/>
      <c r="C302" s="941"/>
      <c r="D302" s="941"/>
      <c r="E302" s="941"/>
      <c r="F302" s="463"/>
      <c r="G302" s="1465"/>
      <c r="H302" s="1465"/>
      <c r="I302" s="28"/>
      <c r="J302" s="28"/>
      <c r="K302" s="28"/>
      <c r="L302" s="28"/>
      <c r="M302" s="28"/>
      <c r="N302" s="1465"/>
      <c r="O302" s="1466"/>
    </row>
    <row r="303" ht="16.5" customHeight="1">
      <c r="A303" s="939"/>
      <c r="B303" s="833"/>
      <c r="C303" s="833"/>
      <c r="D303" s="833"/>
      <c r="E303" s="833"/>
      <c r="F303" s="463"/>
      <c r="G303" s="1465"/>
      <c r="H303" s="1465"/>
      <c r="I303" s="30"/>
      <c r="J303" s="30"/>
      <c r="K303" s="30"/>
      <c r="L303" s="30"/>
      <c r="M303" s="30"/>
      <c r="N303" s="1465"/>
      <c r="O303" s="1466"/>
    </row>
    <row r="304" ht="16.5" customHeight="1">
      <c r="A304" s="940"/>
      <c r="B304" s="941"/>
      <c r="C304" s="941"/>
      <c r="D304" s="941"/>
      <c r="E304" s="941"/>
      <c r="F304" s="463"/>
      <c r="G304" s="1465"/>
      <c r="H304" s="1465"/>
      <c r="I304" s="28"/>
      <c r="J304" s="28"/>
      <c r="K304" s="28"/>
      <c r="L304" s="28"/>
      <c r="M304" s="28"/>
      <c r="N304" s="1465"/>
      <c r="O304" s="1466"/>
    </row>
    <row r="305" ht="16.5" customHeight="1">
      <c r="A305" s="939"/>
      <c r="B305" s="833"/>
      <c r="C305" s="833"/>
      <c r="D305" s="833"/>
      <c r="E305" s="833"/>
      <c r="F305" s="463"/>
      <c r="G305" s="1465"/>
      <c r="H305" s="1465"/>
      <c r="I305" s="30"/>
      <c r="J305" s="30"/>
      <c r="K305" s="30"/>
      <c r="L305" s="30"/>
      <c r="M305" s="30"/>
      <c r="N305" s="1465"/>
      <c r="O305" s="1466"/>
    </row>
    <row r="306" ht="16.5" customHeight="1">
      <c r="A306" s="940"/>
      <c r="B306" s="941"/>
      <c r="C306" s="941"/>
      <c r="D306" s="941"/>
      <c r="E306" s="941"/>
      <c r="F306" s="463"/>
      <c r="G306" s="1465"/>
      <c r="H306" s="1465"/>
      <c r="I306" s="28"/>
      <c r="J306" s="28"/>
      <c r="K306" s="28"/>
      <c r="L306" s="28"/>
      <c r="M306" s="28"/>
      <c r="N306" s="1465"/>
      <c r="O306" s="1466"/>
    </row>
    <row r="307" ht="16.5" customHeight="1">
      <c r="A307" s="939"/>
      <c r="B307" s="833"/>
      <c r="C307" s="833"/>
      <c r="D307" s="833"/>
      <c r="E307" s="833"/>
      <c r="F307" s="463"/>
      <c r="G307" s="1465"/>
      <c r="H307" s="1465"/>
      <c r="I307" s="30"/>
      <c r="J307" s="30"/>
      <c r="K307" s="30"/>
      <c r="L307" s="30"/>
      <c r="M307" s="30"/>
      <c r="N307" s="1465"/>
      <c r="O307" s="1466"/>
    </row>
    <row r="308" ht="16.5" customHeight="1">
      <c r="A308" s="940"/>
      <c r="B308" s="941"/>
      <c r="C308" s="941"/>
      <c r="D308" s="941"/>
      <c r="E308" s="941"/>
      <c r="F308" s="463"/>
      <c r="G308" s="1465"/>
      <c r="H308" s="1465"/>
      <c r="I308" s="28"/>
      <c r="J308" s="28"/>
      <c r="K308" s="28"/>
      <c r="L308" s="28"/>
      <c r="M308" s="28"/>
      <c r="N308" s="1465"/>
      <c r="O308" s="1466"/>
    </row>
    <row r="309" ht="16.5" customHeight="1">
      <c r="A309" s="939"/>
      <c r="B309" s="833"/>
      <c r="C309" s="833"/>
      <c r="D309" s="833"/>
      <c r="E309" s="833"/>
      <c r="F309" s="463"/>
      <c r="G309" s="1465"/>
      <c r="H309" s="1465"/>
      <c r="I309" s="30"/>
      <c r="J309" s="30"/>
      <c r="K309" s="30"/>
      <c r="L309" s="30"/>
      <c r="M309" s="30"/>
      <c r="N309" s="1465"/>
      <c r="O309" s="1466"/>
    </row>
    <row r="310" ht="16.5" customHeight="1">
      <c r="A310" s="940"/>
      <c r="B310" s="941"/>
      <c r="C310" s="941"/>
      <c r="D310" s="941"/>
      <c r="E310" s="941"/>
      <c r="F310" s="463"/>
      <c r="G310" s="1465"/>
      <c r="H310" s="1465"/>
      <c r="I310" s="28"/>
      <c r="J310" s="28"/>
      <c r="K310" s="28"/>
      <c r="L310" s="28"/>
      <c r="M310" s="28"/>
      <c r="N310" s="1465"/>
      <c r="O310" s="1466"/>
    </row>
    <row r="311" ht="16.5" customHeight="1">
      <c r="A311" s="939"/>
      <c r="B311" s="833"/>
      <c r="C311" s="833"/>
      <c r="D311" s="833"/>
      <c r="E311" s="833"/>
      <c r="F311" s="463"/>
      <c r="G311" s="1465"/>
      <c r="H311" s="1465"/>
      <c r="I311" s="30"/>
      <c r="J311" s="30"/>
      <c r="K311" s="30"/>
      <c r="L311" s="30"/>
      <c r="M311" s="30"/>
      <c r="N311" s="1465"/>
      <c r="O311" s="1466"/>
    </row>
    <row r="312" ht="16.5" customHeight="1">
      <c r="A312" s="940"/>
      <c r="B312" s="941"/>
      <c r="C312" s="941"/>
      <c r="D312" s="941"/>
      <c r="E312" s="941"/>
      <c r="F312" s="463"/>
      <c r="G312" s="1465"/>
      <c r="H312" s="1465"/>
      <c r="I312" s="28"/>
      <c r="J312" s="28"/>
      <c r="K312" s="28"/>
      <c r="L312" s="28"/>
      <c r="M312" s="28"/>
      <c r="N312" s="1465"/>
      <c r="O312" s="1466"/>
    </row>
    <row r="313" ht="16.5" customHeight="1">
      <c r="A313" s="939"/>
      <c r="B313" s="833"/>
      <c r="C313" s="833"/>
      <c r="D313" s="833"/>
      <c r="E313" s="833"/>
      <c r="F313" s="463"/>
      <c r="G313" s="1465"/>
      <c r="H313" s="1465"/>
      <c r="I313" s="30"/>
      <c r="J313" s="30"/>
      <c r="K313" s="30"/>
      <c r="L313" s="30"/>
      <c r="M313" s="30"/>
      <c r="N313" s="1465"/>
      <c r="O313" s="1466"/>
    </row>
    <row r="314" ht="16.5" customHeight="1">
      <c r="A314" s="940"/>
      <c r="B314" s="941"/>
      <c r="C314" s="941"/>
      <c r="D314" s="941"/>
      <c r="E314" s="941"/>
      <c r="F314" s="463"/>
      <c r="G314" s="1465"/>
      <c r="H314" s="1465"/>
      <c r="I314" s="28"/>
      <c r="J314" s="28"/>
      <c r="K314" s="28"/>
      <c r="L314" s="28"/>
      <c r="M314" s="28"/>
      <c r="N314" s="1465"/>
      <c r="O314" s="1466"/>
    </row>
    <row r="315" ht="16.5" customHeight="1">
      <c r="A315" s="939"/>
      <c r="B315" s="833"/>
      <c r="C315" s="833"/>
      <c r="D315" s="833"/>
      <c r="E315" s="833"/>
      <c r="F315" s="463"/>
      <c r="G315" s="1465"/>
      <c r="H315" s="1465"/>
      <c r="I315" s="30"/>
      <c r="J315" s="30"/>
      <c r="K315" s="30"/>
      <c r="L315" s="30"/>
      <c r="M315" s="30"/>
      <c r="N315" s="1465"/>
      <c r="O315" s="1466"/>
    </row>
    <row r="316" ht="16.5" customHeight="1">
      <c r="A316" s="940"/>
      <c r="B316" s="941"/>
      <c r="C316" s="941"/>
      <c r="D316" s="941"/>
      <c r="E316" s="941"/>
      <c r="F316" s="463"/>
      <c r="G316" s="1465"/>
      <c r="H316" s="1465"/>
      <c r="I316" s="28"/>
      <c r="J316" s="28"/>
      <c r="K316" s="28"/>
      <c r="L316" s="28"/>
      <c r="M316" s="28"/>
      <c r="N316" s="1465"/>
      <c r="O316" s="1466"/>
    </row>
    <row r="317" ht="16.5" customHeight="1">
      <c r="A317" s="939"/>
      <c r="B317" s="833"/>
      <c r="C317" s="833"/>
      <c r="D317" s="833"/>
      <c r="E317" s="833"/>
      <c r="F317" s="463"/>
      <c r="G317" s="1465"/>
      <c r="H317" s="1465"/>
      <c r="I317" s="30"/>
      <c r="J317" s="30"/>
      <c r="K317" s="30"/>
      <c r="L317" s="30"/>
      <c r="M317" s="30"/>
      <c r="N317" s="1465"/>
      <c r="O317" s="1466"/>
    </row>
    <row r="318" ht="16.5" customHeight="1">
      <c r="A318" s="940"/>
      <c r="B318" s="941"/>
      <c r="C318" s="941"/>
      <c r="D318" s="941"/>
      <c r="E318" s="941"/>
      <c r="F318" s="463"/>
      <c r="G318" s="1465"/>
      <c r="H318" s="1465"/>
      <c r="I318" s="28"/>
      <c r="J318" s="28"/>
      <c r="K318" s="28"/>
      <c r="L318" s="28"/>
      <c r="M318" s="28"/>
      <c r="N318" s="1465"/>
      <c r="O318" s="1466"/>
    </row>
    <row r="319" ht="16.5" customHeight="1">
      <c r="A319" s="939"/>
      <c r="B319" s="833"/>
      <c r="C319" s="833"/>
      <c r="D319" s="833"/>
      <c r="E319" s="833"/>
      <c r="F319" s="463"/>
      <c r="G319" s="1465"/>
      <c r="H319" s="1465"/>
      <c r="I319" s="30"/>
      <c r="J319" s="30"/>
      <c r="K319" s="30"/>
      <c r="L319" s="30"/>
      <c r="M319" s="30"/>
      <c r="N319" s="1465"/>
      <c r="O319" s="1466"/>
    </row>
    <row r="320" ht="16.5" customHeight="1">
      <c r="A320" s="940"/>
      <c r="B320" s="941"/>
      <c r="C320" s="941"/>
      <c r="D320" s="941"/>
      <c r="E320" s="941"/>
      <c r="F320" s="463"/>
      <c r="G320" s="1465"/>
      <c r="H320" s="1465"/>
      <c r="I320" s="28"/>
      <c r="J320" s="28"/>
      <c r="K320" s="28"/>
      <c r="L320" s="28"/>
      <c r="M320" s="28"/>
      <c r="N320" s="1465"/>
      <c r="O320" s="1466"/>
    </row>
    <row r="321" ht="16.5" customHeight="1">
      <c r="A321" s="939"/>
      <c r="B321" s="833"/>
      <c r="C321" s="833"/>
      <c r="D321" s="833"/>
      <c r="E321" s="833"/>
      <c r="F321" s="463"/>
      <c r="G321" s="1465"/>
      <c r="H321" s="1465"/>
      <c r="I321" s="30"/>
      <c r="J321" s="30"/>
      <c r="K321" s="30"/>
      <c r="L321" s="30"/>
      <c r="M321" s="30"/>
      <c r="N321" s="1465"/>
      <c r="O321" s="1466"/>
    </row>
    <row r="322" ht="16.5" customHeight="1">
      <c r="A322" s="940"/>
      <c r="B322" s="941"/>
      <c r="C322" s="941"/>
      <c r="D322" s="941"/>
      <c r="E322" s="941"/>
      <c r="F322" s="463"/>
      <c r="G322" s="1465"/>
      <c r="H322" s="1465"/>
      <c r="I322" s="28"/>
      <c r="J322" s="28"/>
      <c r="K322" s="28"/>
      <c r="L322" s="28"/>
      <c r="M322" s="28"/>
      <c r="N322" s="1465"/>
      <c r="O322" s="1466"/>
    </row>
    <row r="323" ht="16.5" customHeight="1">
      <c r="A323" s="939"/>
      <c r="B323" s="833"/>
      <c r="C323" s="833"/>
      <c r="D323" s="833"/>
      <c r="E323" s="833"/>
      <c r="F323" s="463"/>
      <c r="G323" s="1465"/>
      <c r="H323" s="1465"/>
      <c r="I323" s="30"/>
      <c r="J323" s="30"/>
      <c r="K323" s="30"/>
      <c r="L323" s="30"/>
      <c r="M323" s="30"/>
      <c r="N323" s="1465"/>
      <c r="O323" s="1466"/>
    </row>
    <row r="324" ht="16.5" customHeight="1">
      <c r="A324" s="940"/>
      <c r="B324" s="941"/>
      <c r="C324" s="941"/>
      <c r="D324" s="941"/>
      <c r="E324" s="941"/>
      <c r="F324" s="463"/>
      <c r="G324" s="1465"/>
      <c r="H324" s="1465"/>
      <c r="I324" s="28"/>
      <c r="J324" s="28"/>
      <c r="K324" s="28"/>
      <c r="L324" s="28"/>
      <c r="M324" s="28"/>
      <c r="N324" s="1465"/>
      <c r="O324" s="1466"/>
    </row>
    <row r="325" ht="16.5" customHeight="1">
      <c r="A325" s="939"/>
      <c r="B325" s="833"/>
      <c r="C325" s="833"/>
      <c r="D325" s="833"/>
      <c r="E325" s="833"/>
      <c r="F325" s="463"/>
      <c r="G325" s="1465"/>
      <c r="H325" s="1465"/>
      <c r="I325" s="30"/>
      <c r="J325" s="30"/>
      <c r="K325" s="30"/>
      <c r="L325" s="30"/>
      <c r="M325" s="30"/>
      <c r="N325" s="1465"/>
      <c r="O325" s="1466"/>
    </row>
    <row r="326" ht="16.5" customHeight="1">
      <c r="A326" s="940"/>
      <c r="B326" s="941"/>
      <c r="C326" s="941"/>
      <c r="D326" s="941"/>
      <c r="E326" s="941"/>
      <c r="F326" s="463"/>
      <c r="G326" s="1465"/>
      <c r="H326" s="1465"/>
      <c r="I326" s="28"/>
      <c r="J326" s="28"/>
      <c r="K326" s="28"/>
      <c r="L326" s="28"/>
      <c r="M326" s="28"/>
      <c r="N326" s="1465"/>
      <c r="O326" s="1466"/>
    </row>
    <row r="327" ht="16.5" customHeight="1">
      <c r="A327" s="939"/>
      <c r="B327" s="833"/>
      <c r="C327" s="833"/>
      <c r="D327" s="833"/>
      <c r="E327" s="833"/>
      <c r="F327" s="463"/>
      <c r="G327" s="1465"/>
      <c r="H327" s="1465"/>
      <c r="I327" s="30"/>
      <c r="J327" s="30"/>
      <c r="K327" s="30"/>
      <c r="L327" s="30"/>
      <c r="M327" s="30"/>
      <c r="N327" s="1465"/>
      <c r="O327" s="1466"/>
    </row>
    <row r="328" ht="16.5" customHeight="1">
      <c r="A328" s="940"/>
      <c r="B328" s="941"/>
      <c r="C328" s="941"/>
      <c r="D328" s="941"/>
      <c r="E328" s="941"/>
      <c r="F328" s="463"/>
      <c r="G328" s="1465"/>
      <c r="H328" s="1465"/>
      <c r="I328" s="28"/>
      <c r="J328" s="28"/>
      <c r="K328" s="28"/>
      <c r="L328" s="28"/>
      <c r="M328" s="28"/>
      <c r="N328" s="1465"/>
      <c r="O328" s="1466"/>
    </row>
    <row r="329" ht="16.5" customHeight="1">
      <c r="A329" s="939"/>
      <c r="B329" s="833"/>
      <c r="C329" s="833"/>
      <c r="D329" s="833"/>
      <c r="E329" s="833"/>
      <c r="F329" s="463"/>
      <c r="G329" s="1465"/>
      <c r="H329" s="1465"/>
      <c r="I329" s="30"/>
      <c r="J329" s="30"/>
      <c r="K329" s="30"/>
      <c r="L329" s="30"/>
      <c r="M329" s="30"/>
      <c r="N329" s="1465"/>
      <c r="O329" s="1466"/>
    </row>
    <row r="330" ht="16.5" customHeight="1">
      <c r="A330" s="940"/>
      <c r="B330" s="941"/>
      <c r="C330" s="941"/>
      <c r="D330" s="941"/>
      <c r="E330" s="941"/>
      <c r="F330" s="463"/>
      <c r="G330" s="1465"/>
      <c r="H330" s="1465"/>
      <c r="I330" s="28"/>
      <c r="J330" s="28"/>
      <c r="K330" s="28"/>
      <c r="L330" s="28"/>
      <c r="M330" s="28"/>
      <c r="N330" s="1465"/>
      <c r="O330" s="1466"/>
    </row>
    <row r="331" ht="16.5" customHeight="1">
      <c r="A331" s="939"/>
      <c r="B331" s="833"/>
      <c r="C331" s="833"/>
      <c r="D331" s="833"/>
      <c r="E331" s="833"/>
      <c r="F331" s="463"/>
      <c r="G331" s="1465"/>
      <c r="H331" s="1465"/>
      <c r="I331" s="30"/>
      <c r="J331" s="30"/>
      <c r="K331" s="30"/>
      <c r="L331" s="30"/>
      <c r="M331" s="30"/>
      <c r="N331" s="1465"/>
      <c r="O331" s="1466"/>
    </row>
    <row r="332" ht="16.5" customHeight="1">
      <c r="A332" s="940"/>
      <c r="B332" s="941"/>
      <c r="C332" s="941"/>
      <c r="D332" s="941"/>
      <c r="E332" s="941"/>
      <c r="F332" s="463"/>
      <c r="G332" s="1465"/>
      <c r="H332" s="1465"/>
      <c r="I332" s="28"/>
      <c r="J332" s="28"/>
      <c r="K332" s="28"/>
      <c r="L332" s="28"/>
      <c r="M332" s="28"/>
      <c r="N332" s="1465"/>
      <c r="O332" s="1466"/>
    </row>
    <row r="333" ht="16.5" customHeight="1">
      <c r="A333" s="939"/>
      <c r="B333" s="833"/>
      <c r="C333" s="833"/>
      <c r="D333" s="833"/>
      <c r="E333" s="833"/>
      <c r="F333" s="463"/>
      <c r="G333" s="1465"/>
      <c r="H333" s="1465"/>
      <c r="I333" s="30"/>
      <c r="J333" s="30"/>
      <c r="K333" s="30"/>
      <c r="L333" s="30"/>
      <c r="M333" s="30"/>
      <c r="N333" s="1465"/>
      <c r="O333" s="1466"/>
    </row>
    <row r="334" ht="16.5" customHeight="1">
      <c r="A334" s="940"/>
      <c r="B334" s="941"/>
      <c r="C334" s="941"/>
      <c r="D334" s="941"/>
      <c r="E334" s="941"/>
      <c r="F334" s="463"/>
      <c r="G334" s="1465"/>
      <c r="H334" s="1465"/>
      <c r="I334" s="28"/>
      <c r="J334" s="28"/>
      <c r="K334" s="28"/>
      <c r="L334" s="28"/>
      <c r="M334" s="28"/>
      <c r="N334" s="1465"/>
      <c r="O334" s="1466"/>
    </row>
    <row r="335" ht="16.5" customHeight="1">
      <c r="A335" s="939"/>
      <c r="B335" s="833"/>
      <c r="C335" s="833"/>
      <c r="D335" s="833"/>
      <c r="E335" s="833"/>
      <c r="F335" s="463"/>
      <c r="G335" s="1465"/>
      <c r="H335" s="1465"/>
      <c r="I335" s="30"/>
      <c r="J335" s="30"/>
      <c r="K335" s="30"/>
      <c r="L335" s="30"/>
      <c r="M335" s="30"/>
      <c r="N335" s="1465"/>
      <c r="O335" s="1466"/>
    </row>
    <row r="336" ht="16.5" customHeight="1">
      <c r="A336" s="940"/>
      <c r="B336" s="941"/>
      <c r="C336" s="941"/>
      <c r="D336" s="941"/>
      <c r="E336" s="941"/>
      <c r="F336" s="463"/>
      <c r="G336" s="1465"/>
      <c r="H336" s="1465"/>
      <c r="I336" s="28"/>
      <c r="J336" s="28"/>
      <c r="K336" s="28"/>
      <c r="L336" s="28"/>
      <c r="M336" s="28"/>
      <c r="N336" s="1465"/>
      <c r="O336" s="1466"/>
    </row>
    <row r="337" ht="16.5" customHeight="1">
      <c r="A337" s="939"/>
      <c r="B337" s="833"/>
      <c r="C337" s="833"/>
      <c r="D337" s="833"/>
      <c r="E337" s="833"/>
      <c r="F337" s="463"/>
      <c r="G337" s="1465"/>
      <c r="H337" s="1465"/>
      <c r="I337" s="30"/>
      <c r="J337" s="30"/>
      <c r="K337" s="30"/>
      <c r="L337" s="30"/>
      <c r="M337" s="30"/>
      <c r="N337" s="1465"/>
      <c r="O337" s="1466"/>
    </row>
    <row r="338" ht="16.5" customHeight="1">
      <c r="A338" s="940"/>
      <c r="B338" s="941"/>
      <c r="C338" s="941"/>
      <c r="D338" s="941"/>
      <c r="E338" s="941"/>
      <c r="F338" s="463"/>
      <c r="G338" s="1465"/>
      <c r="H338" s="1465"/>
      <c r="I338" s="28"/>
      <c r="J338" s="28"/>
      <c r="K338" s="28"/>
      <c r="L338" s="28"/>
      <c r="M338" s="28"/>
      <c r="N338" s="1465"/>
      <c r="O338" s="1466"/>
    </row>
    <row r="339" ht="16.5" customHeight="1">
      <c r="A339" s="939"/>
      <c r="B339" s="833"/>
      <c r="C339" s="833"/>
      <c r="D339" s="833"/>
      <c r="E339" s="833"/>
      <c r="F339" s="463"/>
      <c r="G339" s="1465"/>
      <c r="H339" s="1465"/>
      <c r="I339" s="30"/>
      <c r="J339" s="30"/>
      <c r="K339" s="30"/>
      <c r="L339" s="30"/>
      <c r="M339" s="30"/>
      <c r="N339" s="1465"/>
      <c r="O339" s="1466"/>
    </row>
    <row r="340" ht="16.5" customHeight="1">
      <c r="A340" s="940"/>
      <c r="B340" s="941"/>
      <c r="C340" s="941"/>
      <c r="D340" s="941"/>
      <c r="E340" s="941"/>
      <c r="F340" s="463"/>
      <c r="G340" s="1465"/>
      <c r="H340" s="1465"/>
      <c r="I340" s="28"/>
      <c r="J340" s="28"/>
      <c r="K340" s="28"/>
      <c r="L340" s="28"/>
      <c r="M340" s="28"/>
      <c r="N340" s="1465"/>
      <c r="O340" s="1466"/>
    </row>
    <row r="341" ht="16.5" customHeight="1">
      <c r="A341" s="939"/>
      <c r="B341" s="833"/>
      <c r="C341" s="833"/>
      <c r="D341" s="833"/>
      <c r="E341" s="833"/>
      <c r="F341" s="463"/>
      <c r="G341" s="1465"/>
      <c r="H341" s="1465"/>
      <c r="I341" s="30"/>
      <c r="J341" s="30"/>
      <c r="K341" s="30"/>
      <c r="L341" s="30"/>
      <c r="M341" s="30"/>
      <c r="N341" s="1465"/>
      <c r="O341" s="1466"/>
    </row>
    <row r="342" ht="16.5" customHeight="1">
      <c r="A342" s="940"/>
      <c r="B342" s="941"/>
      <c r="C342" s="941"/>
      <c r="D342" s="941"/>
      <c r="E342" s="941"/>
      <c r="F342" s="463"/>
      <c r="G342" s="1465"/>
      <c r="H342" s="1465"/>
      <c r="I342" s="28"/>
      <c r="J342" s="28"/>
      <c r="K342" s="28"/>
      <c r="L342" s="28"/>
      <c r="M342" s="28"/>
      <c r="N342" s="1465"/>
      <c r="O342" s="1466"/>
    </row>
    <row r="343" ht="16.5" customHeight="1">
      <c r="A343" s="939"/>
      <c r="B343" s="833"/>
      <c r="C343" s="833"/>
      <c r="D343" s="833"/>
      <c r="E343" s="833"/>
      <c r="F343" s="463"/>
      <c r="G343" s="1465"/>
      <c r="H343" s="1465"/>
      <c r="I343" s="30"/>
      <c r="J343" s="30"/>
      <c r="K343" s="30"/>
      <c r="L343" s="30"/>
      <c r="M343" s="30"/>
      <c r="N343" s="1465"/>
      <c r="O343" s="1466"/>
    </row>
    <row r="344" ht="16.5" customHeight="1">
      <c r="A344" s="940"/>
      <c r="B344" s="941"/>
      <c r="C344" s="941"/>
      <c r="D344" s="941"/>
      <c r="E344" s="941"/>
      <c r="F344" s="463"/>
      <c r="G344" s="1465"/>
      <c r="H344" s="1465"/>
      <c r="I344" s="28"/>
      <c r="J344" s="28"/>
      <c r="K344" s="28"/>
      <c r="L344" s="28"/>
      <c r="M344" s="28"/>
      <c r="N344" s="1465"/>
      <c r="O344" s="1466"/>
    </row>
    <row r="345" ht="16.5" customHeight="1">
      <c r="A345" s="939"/>
      <c r="B345" s="833"/>
      <c r="C345" s="833"/>
      <c r="D345" s="833"/>
      <c r="E345" s="833"/>
      <c r="F345" s="463"/>
      <c r="G345" s="1465"/>
      <c r="H345" s="1465"/>
      <c r="I345" s="30"/>
      <c r="J345" s="30"/>
      <c r="K345" s="30"/>
      <c r="L345" s="30"/>
      <c r="M345" s="30"/>
      <c r="N345" s="1465"/>
      <c r="O345" s="1466"/>
    </row>
    <row r="346" ht="16.5" customHeight="1">
      <c r="A346" s="940"/>
      <c r="B346" s="941"/>
      <c r="C346" s="941"/>
      <c r="D346" s="941"/>
      <c r="E346" s="941"/>
      <c r="F346" s="463"/>
      <c r="G346" s="1465"/>
      <c r="H346" s="1465"/>
      <c r="I346" s="28"/>
      <c r="J346" s="28"/>
      <c r="K346" s="28"/>
      <c r="L346" s="28"/>
      <c r="M346" s="28"/>
      <c r="N346" s="1465"/>
      <c r="O346" s="1466"/>
    </row>
    <row r="347" ht="16.5" customHeight="1">
      <c r="A347" s="939"/>
      <c r="B347" s="833"/>
      <c r="C347" s="833"/>
      <c r="D347" s="833"/>
      <c r="E347" s="833"/>
      <c r="F347" s="463"/>
      <c r="G347" s="1465"/>
      <c r="H347" s="1465"/>
      <c r="I347" s="30"/>
      <c r="J347" s="30"/>
      <c r="K347" s="30"/>
      <c r="L347" s="30"/>
      <c r="M347" s="30"/>
      <c r="N347" s="1465"/>
      <c r="O347" s="1466"/>
    </row>
    <row r="348" ht="16.5" customHeight="1">
      <c r="A348" s="940"/>
      <c r="B348" s="941"/>
      <c r="C348" s="941"/>
      <c r="D348" s="941"/>
      <c r="E348" s="941"/>
      <c r="F348" s="463"/>
      <c r="G348" s="1465"/>
      <c r="H348" s="1465"/>
      <c r="I348" s="28"/>
      <c r="J348" s="28"/>
      <c r="K348" s="28"/>
      <c r="L348" s="28"/>
      <c r="M348" s="28"/>
      <c r="N348" s="1465"/>
      <c r="O348" s="1466"/>
    </row>
    <row r="349" ht="16.5" customHeight="1">
      <c r="A349" s="939"/>
      <c r="B349" s="833"/>
      <c r="C349" s="833"/>
      <c r="D349" s="833"/>
      <c r="E349" s="833"/>
      <c r="F349" s="463"/>
      <c r="G349" s="1465"/>
      <c r="H349" s="1465"/>
      <c r="I349" s="30"/>
      <c r="J349" s="30"/>
      <c r="K349" s="30"/>
      <c r="L349" s="30"/>
      <c r="M349" s="30"/>
      <c r="N349" s="1465"/>
      <c r="O349" s="1466"/>
    </row>
    <row r="350" ht="16.5" customHeight="1">
      <c r="A350" s="940"/>
      <c r="B350" s="941"/>
      <c r="C350" s="941"/>
      <c r="D350" s="941"/>
      <c r="E350" s="941"/>
      <c r="F350" s="463"/>
      <c r="G350" s="1465"/>
      <c r="H350" s="1465"/>
      <c r="I350" s="28"/>
      <c r="J350" s="28"/>
      <c r="K350" s="28"/>
      <c r="L350" s="28"/>
      <c r="M350" s="28"/>
      <c r="N350" s="1465"/>
      <c r="O350" s="1466"/>
    </row>
    <row r="351" ht="16.5" customHeight="1">
      <c r="A351" s="939"/>
      <c r="B351" s="833"/>
      <c r="C351" s="833"/>
      <c r="D351" s="833"/>
      <c r="E351" s="833"/>
      <c r="F351" s="463"/>
      <c r="G351" s="1465"/>
      <c r="H351" s="1465"/>
      <c r="I351" s="30"/>
      <c r="J351" s="30"/>
      <c r="K351" s="30"/>
      <c r="L351" s="30"/>
      <c r="M351" s="30"/>
      <c r="N351" s="1465"/>
      <c r="O351" s="1466"/>
    </row>
    <row r="352" ht="16.5" customHeight="1">
      <c r="A352" s="940"/>
      <c r="B352" s="941"/>
      <c r="C352" s="941"/>
      <c r="D352" s="941"/>
      <c r="E352" s="941"/>
      <c r="F352" s="463"/>
      <c r="G352" s="1465"/>
      <c r="H352" s="1465"/>
      <c r="I352" s="28"/>
      <c r="J352" s="28"/>
      <c r="K352" s="28"/>
      <c r="L352" s="28"/>
      <c r="M352" s="28"/>
      <c r="N352" s="1465"/>
      <c r="O352" s="1466"/>
    </row>
    <row r="353" ht="16.5" customHeight="1">
      <c r="A353" s="939"/>
      <c r="B353" s="833"/>
      <c r="C353" s="833"/>
      <c r="D353" s="833"/>
      <c r="E353" s="833"/>
      <c r="F353" s="463"/>
      <c r="G353" s="1465"/>
      <c r="H353" s="1465"/>
      <c r="I353" s="30"/>
      <c r="J353" s="30"/>
      <c r="K353" s="30"/>
      <c r="L353" s="30"/>
      <c r="M353" s="30"/>
      <c r="N353" s="1465"/>
      <c r="O353" s="1466"/>
    </row>
    <row r="354" ht="16.5" customHeight="1">
      <c r="A354" s="940"/>
      <c r="B354" s="941"/>
      <c r="C354" s="941"/>
      <c r="D354" s="941"/>
      <c r="E354" s="941"/>
      <c r="F354" s="463"/>
      <c r="G354" s="1465"/>
      <c r="H354" s="1465"/>
      <c r="I354" s="28"/>
      <c r="J354" s="28"/>
      <c r="K354" s="28"/>
      <c r="L354" s="28"/>
      <c r="M354" s="28"/>
      <c r="N354" s="1465"/>
      <c r="O354" s="1466"/>
    </row>
    <row r="355" ht="16.5" customHeight="1">
      <c r="A355" s="939"/>
      <c r="B355" s="833"/>
      <c r="C355" s="833"/>
      <c r="D355" s="833"/>
      <c r="E355" s="833"/>
      <c r="F355" s="463"/>
      <c r="G355" s="1465"/>
      <c r="H355" s="1465"/>
      <c r="I355" s="30"/>
      <c r="J355" s="30"/>
      <c r="K355" s="30"/>
      <c r="L355" s="30"/>
      <c r="M355" s="30"/>
      <c r="N355" s="1465"/>
      <c r="O355" s="1466"/>
    </row>
    <row r="356" ht="16.5" customHeight="1">
      <c r="A356" s="940"/>
      <c r="B356" s="941"/>
      <c r="C356" s="941"/>
      <c r="D356" s="941"/>
      <c r="E356" s="941"/>
      <c r="F356" s="463"/>
      <c r="G356" s="1465"/>
      <c r="H356" s="1465"/>
      <c r="I356" s="28"/>
      <c r="J356" s="28"/>
      <c r="K356" s="28"/>
      <c r="L356" s="28"/>
      <c r="M356" s="28"/>
      <c r="N356" s="1465"/>
      <c r="O356" s="1466"/>
    </row>
    <row r="357" ht="16.5" customHeight="1">
      <c r="A357" s="939"/>
      <c r="B357" s="833"/>
      <c r="C357" s="833"/>
      <c r="D357" s="833"/>
      <c r="E357" s="833"/>
      <c r="F357" s="463"/>
      <c r="G357" s="1465"/>
      <c r="H357" s="1465"/>
      <c r="I357" s="30"/>
      <c r="J357" s="30"/>
      <c r="K357" s="30"/>
      <c r="L357" s="30"/>
      <c r="M357" s="30"/>
      <c r="N357" s="1465"/>
      <c r="O357" s="1466"/>
    </row>
    <row r="358" ht="16.5" customHeight="1">
      <c r="A358" s="940"/>
      <c r="B358" s="941"/>
      <c r="C358" s="941"/>
      <c r="D358" s="941"/>
      <c r="E358" s="941"/>
      <c r="F358" s="463"/>
      <c r="G358" s="1465"/>
      <c r="H358" s="1465"/>
      <c r="I358" s="28"/>
      <c r="J358" s="28"/>
      <c r="K358" s="28"/>
      <c r="L358" s="28"/>
      <c r="M358" s="28"/>
      <c r="N358" s="1465"/>
      <c r="O358" s="1466"/>
    </row>
    <row r="359" ht="16.5" customHeight="1">
      <c r="A359" s="939"/>
      <c r="B359" s="833"/>
      <c r="C359" s="833"/>
      <c r="D359" s="833"/>
      <c r="E359" s="833"/>
      <c r="F359" s="463"/>
      <c r="G359" s="1465"/>
      <c r="H359" s="1465"/>
      <c r="I359" s="30"/>
      <c r="J359" s="30"/>
      <c r="K359" s="30"/>
      <c r="L359" s="30"/>
      <c r="M359" s="30"/>
      <c r="N359" s="1465"/>
      <c r="O359" s="1466"/>
    </row>
    <row r="360" ht="16.5" customHeight="1">
      <c r="A360" s="940"/>
      <c r="B360" s="941"/>
      <c r="C360" s="941"/>
      <c r="D360" s="941"/>
      <c r="E360" s="941"/>
      <c r="F360" s="463"/>
      <c r="G360" s="1465"/>
      <c r="H360" s="1465"/>
      <c r="I360" s="28"/>
      <c r="J360" s="28"/>
      <c r="K360" s="28"/>
      <c r="L360" s="28"/>
      <c r="M360" s="28"/>
      <c r="N360" s="1465"/>
      <c r="O360" s="1466"/>
    </row>
    <row r="361" ht="16.5" customHeight="1">
      <c r="A361" s="939"/>
      <c r="B361" s="833"/>
      <c r="C361" s="833"/>
      <c r="D361" s="833"/>
      <c r="E361" s="833"/>
      <c r="F361" s="463"/>
      <c r="G361" s="1465"/>
      <c r="H361" s="1465"/>
      <c r="I361" s="30"/>
      <c r="J361" s="30"/>
      <c r="K361" s="30"/>
      <c r="L361" s="30"/>
      <c r="M361" s="30"/>
      <c r="N361" s="1465"/>
      <c r="O361" s="1466"/>
    </row>
    <row r="362" ht="16.5" customHeight="1">
      <c r="A362" s="940"/>
      <c r="B362" s="941"/>
      <c r="C362" s="941"/>
      <c r="D362" s="941"/>
      <c r="E362" s="941"/>
      <c r="F362" s="463"/>
      <c r="G362" s="1465"/>
      <c r="H362" s="1465"/>
      <c r="I362" s="28"/>
      <c r="J362" s="28"/>
      <c r="K362" s="28"/>
      <c r="L362" s="28"/>
      <c r="M362" s="28"/>
      <c r="N362" s="1465"/>
      <c r="O362" s="1466"/>
    </row>
    <row r="363" ht="16.5" customHeight="1">
      <c r="A363" s="939"/>
      <c r="B363" s="833"/>
      <c r="C363" s="833"/>
      <c r="D363" s="833"/>
      <c r="E363" s="833"/>
      <c r="F363" s="463"/>
      <c r="G363" s="1465"/>
      <c r="H363" s="1465"/>
      <c r="I363" s="30"/>
      <c r="J363" s="30"/>
      <c r="K363" s="30"/>
      <c r="L363" s="30"/>
      <c r="M363" s="30"/>
      <c r="N363" s="1465"/>
      <c r="O363" s="1466"/>
    </row>
    <row r="364" ht="16.5" customHeight="1">
      <c r="A364" s="940"/>
      <c r="B364" s="941"/>
      <c r="C364" s="941"/>
      <c r="D364" s="941"/>
      <c r="E364" s="941"/>
      <c r="F364" s="463"/>
      <c r="G364" s="1465"/>
      <c r="H364" s="1465"/>
      <c r="I364" s="28"/>
      <c r="J364" s="28"/>
      <c r="K364" s="28"/>
      <c r="L364" s="28"/>
      <c r="M364" s="28"/>
      <c r="N364" s="1465"/>
      <c r="O364" s="1466"/>
    </row>
    <row r="365" ht="16.5" customHeight="1">
      <c r="A365" s="939"/>
      <c r="B365" s="833"/>
      <c r="C365" s="833"/>
      <c r="D365" s="833"/>
      <c r="E365" s="833"/>
      <c r="F365" s="463"/>
      <c r="G365" s="1465"/>
      <c r="H365" s="1465"/>
      <c r="I365" s="30"/>
      <c r="J365" s="30"/>
      <c r="K365" s="30"/>
      <c r="L365" s="30"/>
      <c r="M365" s="30"/>
      <c r="N365" s="1465"/>
      <c r="O365" s="1466"/>
    </row>
    <row r="366" ht="16.5" customHeight="1">
      <c r="A366" s="940"/>
      <c r="B366" s="941"/>
      <c r="C366" s="941"/>
      <c r="D366" s="941"/>
      <c r="E366" s="941"/>
      <c r="F366" s="463"/>
      <c r="G366" s="1465"/>
      <c r="H366" s="1465"/>
      <c r="I366" s="28"/>
      <c r="J366" s="28"/>
      <c r="K366" s="28"/>
      <c r="L366" s="28"/>
      <c r="M366" s="28"/>
      <c r="N366" s="1465"/>
      <c r="O366" s="1466"/>
    </row>
    <row r="367" ht="16.5" customHeight="1">
      <c r="A367" s="939"/>
      <c r="B367" s="833"/>
      <c r="C367" s="833"/>
      <c r="D367" s="833"/>
      <c r="E367" s="833"/>
      <c r="F367" s="463"/>
      <c r="G367" s="1465"/>
      <c r="H367" s="1465"/>
      <c r="I367" s="30"/>
      <c r="J367" s="30"/>
      <c r="K367" s="30"/>
      <c r="L367" s="30"/>
      <c r="M367" s="30"/>
      <c r="N367" s="1465"/>
      <c r="O367" s="1466"/>
    </row>
    <row r="368" ht="16.5" customHeight="1">
      <c r="A368" s="940"/>
      <c r="B368" s="941"/>
      <c r="C368" s="941"/>
      <c r="D368" s="941"/>
      <c r="E368" s="941"/>
      <c r="F368" s="463"/>
      <c r="G368" s="1465"/>
      <c r="H368" s="1465"/>
      <c r="I368" s="28"/>
      <c r="J368" s="28"/>
      <c r="K368" s="28"/>
      <c r="L368" s="28"/>
      <c r="M368" s="28"/>
      <c r="N368" s="1465"/>
      <c r="O368" s="1466"/>
    </row>
    <row r="369" ht="16.5" customHeight="1">
      <c r="A369" s="939"/>
      <c r="B369" s="833"/>
      <c r="C369" s="833"/>
      <c r="D369" s="833"/>
      <c r="E369" s="833"/>
      <c r="F369" s="463"/>
      <c r="G369" s="1465"/>
      <c r="H369" s="1465"/>
      <c r="I369" s="30"/>
      <c r="J369" s="30"/>
      <c r="K369" s="30"/>
      <c r="L369" s="30"/>
      <c r="M369" s="30"/>
      <c r="N369" s="1465"/>
      <c r="O369" s="1466"/>
    </row>
    <row r="370" ht="16.5" customHeight="1">
      <c r="A370" s="940"/>
      <c r="B370" s="941"/>
      <c r="C370" s="941"/>
      <c r="D370" s="941"/>
      <c r="E370" s="941"/>
      <c r="F370" s="463"/>
      <c r="G370" s="1465"/>
      <c r="H370" s="1465"/>
      <c r="I370" s="28"/>
      <c r="J370" s="28"/>
      <c r="K370" s="28"/>
      <c r="L370" s="28"/>
      <c r="M370" s="28"/>
      <c r="N370" s="1465"/>
      <c r="O370" s="1466"/>
    </row>
    <row r="371" ht="16.5" customHeight="1">
      <c r="A371" s="939"/>
      <c r="B371" s="833"/>
      <c r="C371" s="833"/>
      <c r="D371" s="833"/>
      <c r="E371" s="833"/>
      <c r="F371" s="463"/>
      <c r="G371" s="1465"/>
      <c r="H371" s="1465"/>
      <c r="I371" s="30"/>
      <c r="J371" s="30"/>
      <c r="K371" s="30"/>
      <c r="L371" s="30"/>
      <c r="M371" s="30"/>
      <c r="N371" s="1465"/>
      <c r="O371" s="1466"/>
    </row>
    <row r="372" ht="16.5" customHeight="1">
      <c r="A372" s="940"/>
      <c r="B372" s="941"/>
      <c r="C372" s="941"/>
      <c r="D372" s="941"/>
      <c r="E372" s="941"/>
      <c r="F372" s="463"/>
      <c r="G372" s="1465"/>
      <c r="H372" s="1465"/>
      <c r="I372" s="28"/>
      <c r="J372" s="28"/>
      <c r="K372" s="28"/>
      <c r="L372" s="28"/>
      <c r="M372" s="28"/>
      <c r="N372" s="1465"/>
      <c r="O372" s="1466"/>
    </row>
    <row r="373" ht="16.5" customHeight="1">
      <c r="A373" s="939"/>
      <c r="B373" s="833"/>
      <c r="C373" s="833"/>
      <c r="D373" s="833"/>
      <c r="E373" s="833"/>
      <c r="F373" s="463"/>
      <c r="G373" s="1465"/>
      <c r="H373" s="1465"/>
      <c r="I373" s="30"/>
      <c r="J373" s="30"/>
      <c r="K373" s="30"/>
      <c r="L373" s="30"/>
      <c r="M373" s="30"/>
      <c r="N373" s="1465"/>
      <c r="O373" s="1466"/>
    </row>
    <row r="374" ht="16.5" customHeight="1">
      <c r="A374" s="940"/>
      <c r="B374" s="941"/>
      <c r="C374" s="941"/>
      <c r="D374" s="941"/>
      <c r="E374" s="941"/>
      <c r="F374" s="463"/>
      <c r="G374" s="1465"/>
      <c r="H374" s="1465"/>
      <c r="I374" s="28"/>
      <c r="J374" s="28"/>
      <c r="K374" s="28"/>
      <c r="L374" s="28"/>
      <c r="M374" s="28"/>
      <c r="N374" s="1465"/>
      <c r="O374" s="1466"/>
    </row>
    <row r="375" ht="16.5" customHeight="1">
      <c r="A375" s="939"/>
      <c r="B375" s="833"/>
      <c r="C375" s="833"/>
      <c r="D375" s="833"/>
      <c r="E375" s="833"/>
      <c r="F375" s="463"/>
      <c r="G375" s="1465"/>
      <c r="H375" s="1465"/>
      <c r="I375" s="30"/>
      <c r="J375" s="30"/>
      <c r="K375" s="30"/>
      <c r="L375" s="30"/>
      <c r="M375" s="30"/>
      <c r="N375" s="1465"/>
      <c r="O375" s="1466"/>
    </row>
    <row r="376" ht="16.5" customHeight="1">
      <c r="A376" s="940"/>
      <c r="B376" s="941"/>
      <c r="C376" s="941"/>
      <c r="D376" s="941"/>
      <c r="E376" s="941"/>
      <c r="F376" s="463"/>
      <c r="G376" s="1465"/>
      <c r="H376" s="1465"/>
      <c r="I376" s="28"/>
      <c r="J376" s="28"/>
      <c r="K376" s="28"/>
      <c r="L376" s="28"/>
      <c r="M376" s="28"/>
      <c r="N376" s="1465"/>
      <c r="O376" s="1466"/>
    </row>
    <row r="377" ht="16.5" customHeight="1">
      <c r="A377" s="939"/>
      <c r="B377" s="833"/>
      <c r="C377" s="833"/>
      <c r="D377" s="833"/>
      <c r="E377" s="833"/>
      <c r="F377" s="463"/>
      <c r="G377" s="1465"/>
      <c r="H377" s="1465"/>
      <c r="I377" s="30"/>
      <c r="J377" s="30"/>
      <c r="K377" s="30"/>
      <c r="L377" s="30"/>
      <c r="M377" s="30"/>
      <c r="N377" s="1465"/>
      <c r="O377" s="1466"/>
    </row>
    <row r="378" ht="16.5" customHeight="1">
      <c r="A378" s="940"/>
      <c r="B378" s="941"/>
      <c r="C378" s="941"/>
      <c r="D378" s="941"/>
      <c r="E378" s="941"/>
      <c r="F378" s="463"/>
      <c r="G378" s="1465"/>
      <c r="H378" s="1465"/>
      <c r="I378" s="28"/>
      <c r="J378" s="28"/>
      <c r="K378" s="28"/>
      <c r="L378" s="28"/>
      <c r="M378" s="28"/>
      <c r="N378" s="1465"/>
      <c r="O378" s="1466"/>
    </row>
    <row r="379" ht="16.5" customHeight="1">
      <c r="A379" s="939"/>
      <c r="B379" s="833"/>
      <c r="C379" s="833"/>
      <c r="D379" s="833"/>
      <c r="E379" s="833"/>
      <c r="F379" s="463"/>
      <c r="G379" s="1465"/>
      <c r="H379" s="1465"/>
      <c r="I379" s="30"/>
      <c r="J379" s="30"/>
      <c r="K379" s="30"/>
      <c r="L379" s="30"/>
      <c r="M379" s="30"/>
      <c r="N379" s="1465"/>
      <c r="O379" s="1466"/>
    </row>
    <row r="380" ht="16.5" customHeight="1">
      <c r="A380" s="940"/>
      <c r="B380" s="941"/>
      <c r="C380" s="941"/>
      <c r="D380" s="941"/>
      <c r="E380" s="941"/>
      <c r="F380" s="463"/>
      <c r="G380" s="1465"/>
      <c r="H380" s="1465"/>
      <c r="I380" s="28"/>
      <c r="J380" s="28"/>
      <c r="K380" s="28"/>
      <c r="L380" s="28"/>
      <c r="M380" s="28"/>
      <c r="N380" s="1465"/>
      <c r="O380" s="1466"/>
    </row>
    <row r="381" ht="16.5" customHeight="1">
      <c r="A381" s="939"/>
      <c r="B381" s="833"/>
      <c r="C381" s="833"/>
      <c r="D381" s="833"/>
      <c r="E381" s="833"/>
      <c r="F381" s="463"/>
      <c r="G381" s="1465"/>
      <c r="H381" s="1465"/>
      <c r="I381" s="30"/>
      <c r="J381" s="30"/>
      <c r="K381" s="30"/>
      <c r="L381" s="30"/>
      <c r="M381" s="30"/>
      <c r="N381" s="1465"/>
      <c r="O381" s="1466"/>
    </row>
    <row r="382" ht="16.5" customHeight="1">
      <c r="A382" s="940"/>
      <c r="B382" s="941"/>
      <c r="C382" s="941"/>
      <c r="D382" s="941"/>
      <c r="E382" s="941"/>
      <c r="F382" s="463"/>
      <c r="G382" s="1465"/>
      <c r="H382" s="1465"/>
      <c r="I382" s="28"/>
      <c r="J382" s="28"/>
      <c r="K382" s="28"/>
      <c r="L382" s="28"/>
      <c r="M382" s="28"/>
      <c r="N382" s="1465"/>
      <c r="O382" s="1466"/>
    </row>
    <row r="383" ht="16.5" customHeight="1">
      <c r="A383" s="939"/>
      <c r="B383" s="833"/>
      <c r="C383" s="833"/>
      <c r="D383" s="833"/>
      <c r="E383" s="833"/>
      <c r="F383" s="463"/>
      <c r="G383" s="1465"/>
      <c r="H383" s="1465"/>
      <c r="I383" s="30"/>
      <c r="J383" s="30"/>
      <c r="K383" s="30"/>
      <c r="L383" s="30"/>
      <c r="M383" s="30"/>
      <c r="N383" s="1465"/>
      <c r="O383" s="1466"/>
    </row>
    <row r="384" ht="16.5" customHeight="1">
      <c r="A384" s="940"/>
      <c r="B384" s="941"/>
      <c r="C384" s="941"/>
      <c r="D384" s="941"/>
      <c r="E384" s="941"/>
      <c r="F384" s="463"/>
      <c r="G384" s="1465"/>
      <c r="H384" s="1465"/>
      <c r="I384" s="28"/>
      <c r="J384" s="28"/>
      <c r="K384" s="28"/>
      <c r="L384" s="28"/>
      <c r="M384" s="28"/>
      <c r="N384" s="1465"/>
      <c r="O384" s="1466"/>
    </row>
    <row r="385" ht="16.5" customHeight="1">
      <c r="A385" s="939"/>
      <c r="B385" s="833"/>
      <c r="C385" s="833"/>
      <c r="D385" s="833"/>
      <c r="E385" s="833"/>
      <c r="F385" s="463"/>
      <c r="G385" s="1465"/>
      <c r="H385" s="1465"/>
      <c r="I385" s="30"/>
      <c r="J385" s="30"/>
      <c r="K385" s="30"/>
      <c r="L385" s="30"/>
      <c r="M385" s="30"/>
      <c r="N385" s="1465"/>
      <c r="O385" s="1466"/>
    </row>
    <row r="386" ht="16.5" customHeight="1">
      <c r="A386" s="940"/>
      <c r="B386" s="941"/>
      <c r="C386" s="941"/>
      <c r="D386" s="941"/>
      <c r="E386" s="941"/>
      <c r="F386" s="463"/>
      <c r="G386" s="1465"/>
      <c r="H386" s="1465"/>
      <c r="I386" s="28"/>
      <c r="J386" s="28"/>
      <c r="K386" s="28"/>
      <c r="L386" s="28"/>
      <c r="M386" s="28"/>
      <c r="N386" s="1465"/>
      <c r="O386" s="1466"/>
    </row>
    <row r="387" ht="16.5" customHeight="1">
      <c r="A387" s="939"/>
      <c r="B387" s="833"/>
      <c r="C387" s="833"/>
      <c r="D387" s="833"/>
      <c r="E387" s="833"/>
      <c r="F387" s="463"/>
      <c r="G387" s="1465"/>
      <c r="H387" s="1465"/>
      <c r="I387" s="30"/>
      <c r="J387" s="30"/>
      <c r="K387" s="30"/>
      <c r="L387" s="30"/>
      <c r="M387" s="30"/>
      <c r="N387" s="1465"/>
      <c r="O387" s="1466"/>
    </row>
    <row r="388" ht="16.5" customHeight="1">
      <c r="A388" s="940"/>
      <c r="B388" s="941"/>
      <c r="C388" s="941"/>
      <c r="D388" s="941"/>
      <c r="E388" s="941"/>
      <c r="F388" s="463"/>
      <c r="G388" s="1465"/>
      <c r="H388" s="1465"/>
      <c r="I388" s="28"/>
      <c r="J388" s="28"/>
      <c r="K388" s="28"/>
      <c r="L388" s="28"/>
      <c r="M388" s="28"/>
      <c r="N388" s="1465"/>
      <c r="O388" s="1466"/>
    </row>
    <row r="389" ht="16.5" customHeight="1">
      <c r="A389" s="939"/>
      <c r="B389" s="833"/>
      <c r="C389" s="833"/>
      <c r="D389" s="833"/>
      <c r="E389" s="833"/>
      <c r="F389" s="463"/>
      <c r="G389" s="1465"/>
      <c r="H389" s="1465"/>
      <c r="I389" s="30"/>
      <c r="J389" s="30"/>
      <c r="K389" s="30"/>
      <c r="L389" s="30"/>
      <c r="M389" s="30"/>
      <c r="N389" s="1465"/>
      <c r="O389" s="1466"/>
    </row>
    <row r="390" ht="16.5" customHeight="1">
      <c r="A390" s="940"/>
      <c r="B390" s="941"/>
      <c r="C390" s="941"/>
      <c r="D390" s="941"/>
      <c r="E390" s="941"/>
      <c r="F390" s="463"/>
      <c r="G390" s="1465"/>
      <c r="H390" s="1465"/>
      <c r="I390" s="28"/>
      <c r="J390" s="28"/>
      <c r="K390" s="28"/>
      <c r="L390" s="28"/>
      <c r="M390" s="28"/>
      <c r="N390" s="1465"/>
      <c r="O390" s="1466"/>
    </row>
    <row r="391" ht="16.5" customHeight="1">
      <c r="A391" s="939"/>
      <c r="B391" s="833"/>
      <c r="C391" s="833"/>
      <c r="D391" s="833"/>
      <c r="E391" s="833"/>
      <c r="F391" s="463"/>
      <c r="G391" s="1465"/>
      <c r="H391" s="1465"/>
      <c r="I391" s="30"/>
      <c r="J391" s="30"/>
      <c r="K391" s="30"/>
      <c r="L391" s="30"/>
      <c r="M391" s="30"/>
      <c r="N391" s="1465"/>
      <c r="O391" s="1466"/>
    </row>
    <row r="392" ht="16.5" customHeight="1">
      <c r="A392" s="940"/>
      <c r="B392" s="941"/>
      <c r="C392" s="941"/>
      <c r="D392" s="941"/>
      <c r="E392" s="941"/>
      <c r="F392" s="463"/>
      <c r="G392" s="1465"/>
      <c r="H392" s="1465"/>
      <c r="I392" s="28"/>
      <c r="J392" s="28"/>
      <c r="K392" s="28"/>
      <c r="L392" s="28"/>
      <c r="M392" s="28"/>
      <c r="N392" s="1465"/>
      <c r="O392" s="1466"/>
    </row>
    <row r="393" ht="16.5" customHeight="1">
      <c r="A393" s="939"/>
      <c r="B393" s="833"/>
      <c r="C393" s="833"/>
      <c r="D393" s="833"/>
      <c r="E393" s="833"/>
      <c r="F393" s="463"/>
      <c r="G393" s="1465"/>
      <c r="H393" s="1465"/>
      <c r="I393" s="30"/>
      <c r="J393" s="30"/>
      <c r="K393" s="30"/>
      <c r="L393" s="30"/>
      <c r="M393" s="30"/>
      <c r="N393" s="1465"/>
      <c r="O393" s="1466"/>
    </row>
    <row r="394" ht="16.5" customHeight="1">
      <c r="A394" s="940"/>
      <c r="B394" s="941"/>
      <c r="C394" s="941"/>
      <c r="D394" s="941"/>
      <c r="E394" s="941"/>
      <c r="F394" s="463"/>
      <c r="G394" s="1465"/>
      <c r="H394" s="1465"/>
      <c r="I394" s="28"/>
      <c r="J394" s="28"/>
      <c r="K394" s="28"/>
      <c r="L394" s="28"/>
      <c r="M394" s="28"/>
      <c r="N394" s="1465"/>
      <c r="O394" s="1466"/>
    </row>
    <row r="395" ht="16.5" customHeight="1">
      <c r="A395" s="939"/>
      <c r="B395" s="833"/>
      <c r="C395" s="833"/>
      <c r="D395" s="833"/>
      <c r="E395" s="833"/>
      <c r="F395" s="463"/>
      <c r="G395" s="1465"/>
      <c r="H395" s="1465"/>
      <c r="I395" s="30"/>
      <c r="J395" s="30"/>
      <c r="K395" s="30"/>
      <c r="L395" s="30"/>
      <c r="M395" s="30"/>
      <c r="N395" s="1465"/>
      <c r="O395" s="1466"/>
    </row>
    <row r="396" ht="16.5" customHeight="1">
      <c r="A396" s="940"/>
      <c r="B396" s="941"/>
      <c r="C396" s="941"/>
      <c r="D396" s="941"/>
      <c r="E396" s="941"/>
      <c r="F396" s="463"/>
      <c r="G396" s="1465"/>
      <c r="H396" s="1465"/>
      <c r="I396" s="28"/>
      <c r="J396" s="28"/>
      <c r="K396" s="28"/>
      <c r="L396" s="28"/>
      <c r="M396" s="28"/>
      <c r="N396" s="1465"/>
      <c r="O396" s="1466"/>
    </row>
    <row r="397" ht="16.5" customHeight="1">
      <c r="A397" s="939"/>
      <c r="B397" s="833"/>
      <c r="C397" s="833"/>
      <c r="D397" s="833"/>
      <c r="E397" s="833"/>
      <c r="F397" s="463"/>
      <c r="G397" s="1465"/>
      <c r="H397" s="1465"/>
      <c r="I397" s="30"/>
      <c r="J397" s="30"/>
      <c r="K397" s="30"/>
      <c r="L397" s="30"/>
      <c r="M397" s="30"/>
      <c r="N397" s="1465"/>
      <c r="O397" s="1466"/>
    </row>
    <row r="398" ht="16.5" customHeight="1">
      <c r="A398" s="940"/>
      <c r="B398" s="941"/>
      <c r="C398" s="941"/>
      <c r="D398" s="941"/>
      <c r="E398" s="941"/>
      <c r="F398" s="463"/>
      <c r="G398" s="1465"/>
      <c r="H398" s="1465"/>
      <c r="I398" s="28"/>
      <c r="J398" s="28"/>
      <c r="K398" s="28"/>
      <c r="L398" s="28"/>
      <c r="M398" s="28"/>
      <c r="N398" s="1465"/>
      <c r="O398" s="1466"/>
    </row>
    <row r="399" ht="16.5" customHeight="1">
      <c r="A399" s="939"/>
      <c r="B399" s="833"/>
      <c r="C399" s="833"/>
      <c r="D399" s="833"/>
      <c r="E399" s="833"/>
      <c r="F399" s="463"/>
      <c r="G399" s="1465"/>
      <c r="H399" s="1465"/>
      <c r="I399" s="30"/>
      <c r="J399" s="30"/>
      <c r="K399" s="30"/>
      <c r="L399" s="30"/>
      <c r="M399" s="30"/>
      <c r="N399" s="1465"/>
      <c r="O399" s="1466"/>
    </row>
    <row r="400" ht="16.5" customHeight="1">
      <c r="A400" s="940"/>
      <c r="B400" s="941"/>
      <c r="C400" s="941"/>
      <c r="D400" s="941"/>
      <c r="E400" s="941"/>
      <c r="F400" s="463"/>
      <c r="G400" s="1465"/>
      <c r="H400" s="1465"/>
      <c r="I400" s="28"/>
      <c r="J400" s="28"/>
      <c r="K400" s="28"/>
      <c r="L400" s="28"/>
      <c r="M400" s="28"/>
      <c r="N400" s="1465"/>
      <c r="O400" s="1466"/>
    </row>
    <row r="401" ht="16.5" customHeight="1">
      <c r="A401" s="939"/>
      <c r="B401" s="833"/>
      <c r="C401" s="833"/>
      <c r="D401" s="833"/>
      <c r="E401" s="833"/>
      <c r="F401" s="463"/>
      <c r="G401" s="1465"/>
      <c r="H401" s="1465"/>
      <c r="I401" s="30"/>
      <c r="J401" s="30"/>
      <c r="K401" s="30"/>
      <c r="L401" s="30"/>
      <c r="M401" s="30"/>
      <c r="N401" s="1465"/>
      <c r="O401" s="1466"/>
    </row>
    <row r="402" ht="16.5" customHeight="1">
      <c r="A402" s="940"/>
      <c r="B402" s="941"/>
      <c r="C402" s="941"/>
      <c r="D402" s="941"/>
      <c r="E402" s="941"/>
      <c r="F402" s="463"/>
      <c r="G402" s="1465"/>
      <c r="H402" s="1465"/>
      <c r="I402" s="28"/>
      <c r="J402" s="28"/>
      <c r="K402" s="28"/>
      <c r="L402" s="28"/>
      <c r="M402" s="28"/>
      <c r="N402" s="1465"/>
      <c r="O402" s="1466"/>
    </row>
    <row r="403" ht="16.5" customHeight="1">
      <c r="A403" s="939"/>
      <c r="B403" s="833"/>
      <c r="C403" s="833"/>
      <c r="D403" s="833"/>
      <c r="E403" s="833"/>
      <c r="F403" s="463"/>
      <c r="G403" s="1465"/>
      <c r="H403" s="1465"/>
      <c r="I403" s="30"/>
      <c r="J403" s="30"/>
      <c r="K403" s="30"/>
      <c r="L403" s="30"/>
      <c r="M403" s="30"/>
      <c r="N403" s="1465"/>
      <c r="O403" s="1466"/>
    </row>
    <row r="404" ht="16.5" customHeight="1">
      <c r="A404" s="940"/>
      <c r="B404" s="941"/>
      <c r="C404" s="941"/>
      <c r="D404" s="941"/>
      <c r="E404" s="941"/>
      <c r="F404" s="463"/>
      <c r="G404" s="1465"/>
      <c r="H404" s="1465"/>
      <c r="I404" s="28"/>
      <c r="J404" s="28"/>
      <c r="K404" s="28"/>
      <c r="L404" s="28"/>
      <c r="M404" s="28"/>
      <c r="N404" s="1465"/>
      <c r="O404" s="1466"/>
    </row>
    <row r="405" ht="16.5" customHeight="1">
      <c r="A405" s="939"/>
      <c r="B405" s="833"/>
      <c r="C405" s="833"/>
      <c r="D405" s="833"/>
      <c r="E405" s="833"/>
      <c r="F405" s="463"/>
      <c r="G405" s="1465"/>
      <c r="H405" s="1465"/>
      <c r="I405" s="30"/>
      <c r="J405" s="30"/>
      <c r="K405" s="30"/>
      <c r="L405" s="30"/>
      <c r="M405" s="30"/>
      <c r="N405" s="1465"/>
      <c r="O405" s="1466"/>
    </row>
    <row r="406" ht="16.5" customHeight="1">
      <c r="A406" s="940"/>
      <c r="B406" s="941"/>
      <c r="C406" s="941"/>
      <c r="D406" s="941"/>
      <c r="E406" s="941"/>
      <c r="F406" s="463"/>
      <c r="G406" s="1465"/>
      <c r="H406" s="1465"/>
      <c r="I406" s="28"/>
      <c r="J406" s="28"/>
      <c r="K406" s="28"/>
      <c r="L406" s="28"/>
      <c r="M406" s="28"/>
      <c r="N406" s="1465"/>
      <c r="O406" s="1466"/>
    </row>
    <row r="407" ht="16.5" customHeight="1">
      <c r="A407" s="939"/>
      <c r="B407" s="833"/>
      <c r="C407" s="833"/>
      <c r="D407" s="833"/>
      <c r="E407" s="833"/>
      <c r="F407" s="463"/>
      <c r="G407" s="1465"/>
      <c r="H407" s="1465"/>
      <c r="I407" s="30"/>
      <c r="J407" s="30"/>
      <c r="K407" s="30"/>
      <c r="L407" s="30"/>
      <c r="M407" s="30"/>
      <c r="N407" s="1465"/>
      <c r="O407" s="1466"/>
    </row>
    <row r="408" ht="16.5" customHeight="1">
      <c r="A408" s="940"/>
      <c r="B408" s="941"/>
      <c r="C408" s="941"/>
      <c r="D408" s="941"/>
      <c r="E408" s="941"/>
      <c r="F408" s="463"/>
      <c r="G408" s="1465"/>
      <c r="H408" s="1465"/>
      <c r="I408" s="28"/>
      <c r="J408" s="28"/>
      <c r="K408" s="28"/>
      <c r="L408" s="28"/>
      <c r="M408" s="28"/>
      <c r="N408" s="1465"/>
      <c r="O408" s="1466"/>
    </row>
    <row r="409" ht="16.5" customHeight="1">
      <c r="A409" s="939"/>
      <c r="B409" s="833"/>
      <c r="C409" s="833"/>
      <c r="D409" s="833"/>
      <c r="E409" s="833"/>
      <c r="F409" s="463"/>
      <c r="G409" s="1465"/>
      <c r="H409" s="1465"/>
      <c r="I409" s="30"/>
      <c r="J409" s="30"/>
      <c r="K409" s="30"/>
      <c r="L409" s="30"/>
      <c r="M409" s="30"/>
      <c r="N409" s="1465"/>
      <c r="O409" s="1466"/>
    </row>
    <row r="410" ht="16.5" customHeight="1">
      <c r="A410" s="940"/>
      <c r="B410" s="941"/>
      <c r="C410" s="941"/>
      <c r="D410" s="941"/>
      <c r="E410" s="941"/>
      <c r="F410" s="463"/>
      <c r="G410" s="1465"/>
      <c r="H410" s="1465"/>
      <c r="I410" s="28"/>
      <c r="J410" s="28"/>
      <c r="K410" s="28"/>
      <c r="L410" s="28"/>
      <c r="M410" s="28"/>
      <c r="N410" s="1465"/>
      <c r="O410" s="1466"/>
    </row>
    <row r="411" ht="16.5" customHeight="1">
      <c r="A411" s="939"/>
      <c r="B411" s="833"/>
      <c r="C411" s="833"/>
      <c r="D411" s="833"/>
      <c r="E411" s="833"/>
      <c r="F411" s="463"/>
      <c r="G411" s="1465"/>
      <c r="H411" s="1465"/>
      <c r="I411" s="30"/>
      <c r="J411" s="30"/>
      <c r="K411" s="30"/>
      <c r="L411" s="30"/>
      <c r="M411" s="30"/>
      <c r="N411" s="1465"/>
      <c r="O411" s="1466"/>
    </row>
    <row r="412" ht="16.5" customHeight="1">
      <c r="A412" s="940"/>
      <c r="B412" s="941"/>
      <c r="C412" s="941"/>
      <c r="D412" s="941"/>
      <c r="E412" s="941"/>
      <c r="F412" s="463"/>
      <c r="G412" s="1465"/>
      <c r="H412" s="1465"/>
      <c r="I412" s="28"/>
      <c r="J412" s="28"/>
      <c r="K412" s="28"/>
      <c r="L412" s="28"/>
      <c r="M412" s="28"/>
      <c r="N412" s="1465"/>
      <c r="O412" s="1466"/>
    </row>
    <row r="413" ht="16.5" customHeight="1">
      <c r="A413" s="939"/>
      <c r="B413" s="833"/>
      <c r="C413" s="833"/>
      <c r="D413" s="833"/>
      <c r="E413" s="833"/>
      <c r="F413" s="463"/>
      <c r="G413" s="1465"/>
      <c r="H413" s="1465"/>
      <c r="I413" s="30"/>
      <c r="J413" s="30"/>
      <c r="K413" s="30"/>
      <c r="L413" s="30"/>
      <c r="M413" s="30"/>
      <c r="N413" s="1465"/>
      <c r="O413" s="1466"/>
    </row>
    <row r="414" ht="16.5" customHeight="1">
      <c r="A414" s="940"/>
      <c r="B414" s="941"/>
      <c r="C414" s="941"/>
      <c r="D414" s="941"/>
      <c r="E414" s="941"/>
      <c r="F414" s="463"/>
      <c r="G414" s="1465"/>
      <c r="H414" s="1465"/>
      <c r="I414" s="28"/>
      <c r="J414" s="28"/>
      <c r="K414" s="28"/>
      <c r="L414" s="28"/>
      <c r="M414" s="28"/>
      <c r="N414" s="1465"/>
      <c r="O414" s="1466"/>
    </row>
    <row r="415" ht="16.5" customHeight="1">
      <c r="A415" s="939"/>
      <c r="B415" s="833"/>
      <c r="C415" s="833"/>
      <c r="D415" s="833"/>
      <c r="E415" s="833"/>
      <c r="F415" s="463"/>
      <c r="G415" s="1465"/>
      <c r="H415" s="1465"/>
      <c r="I415" s="30"/>
      <c r="J415" s="30"/>
      <c r="K415" s="30"/>
      <c r="L415" s="30"/>
      <c r="M415" s="30"/>
      <c r="N415" s="1465"/>
      <c r="O415" s="1466"/>
    </row>
    <row r="416" ht="16.5" customHeight="1">
      <c r="A416" s="940"/>
      <c r="B416" s="941"/>
      <c r="C416" s="941"/>
      <c r="D416" s="941"/>
      <c r="E416" s="941"/>
      <c r="F416" s="463"/>
      <c r="G416" s="1465"/>
      <c r="H416" s="1465"/>
      <c r="I416" s="28"/>
      <c r="J416" s="28"/>
      <c r="K416" s="28"/>
      <c r="L416" s="28"/>
      <c r="M416" s="28"/>
      <c r="N416" s="1465"/>
      <c r="O416" s="1466"/>
    </row>
    <row r="417" ht="16.5" customHeight="1">
      <c r="A417" s="939"/>
      <c r="B417" s="833"/>
      <c r="C417" s="833"/>
      <c r="D417" s="833"/>
      <c r="E417" s="833"/>
      <c r="F417" s="463"/>
      <c r="G417" s="1465"/>
      <c r="H417" s="1465"/>
      <c r="I417" s="30"/>
      <c r="J417" s="30"/>
      <c r="K417" s="30"/>
      <c r="L417" s="30"/>
      <c r="M417" s="30"/>
      <c r="N417" s="1465"/>
      <c r="O417" s="1466"/>
    </row>
    <row r="418" ht="16.5" customHeight="1">
      <c r="A418" s="940"/>
      <c r="B418" s="941"/>
      <c r="C418" s="941"/>
      <c r="D418" s="941"/>
      <c r="E418" s="941"/>
      <c r="F418" s="463"/>
      <c r="G418" s="1465"/>
      <c r="H418" s="1465"/>
      <c r="I418" s="28"/>
      <c r="J418" s="28"/>
      <c r="K418" s="28"/>
      <c r="L418" s="28"/>
      <c r="M418" s="28"/>
      <c r="N418" s="1465"/>
      <c r="O418" s="1466"/>
    </row>
    <row r="419" ht="16.5" customHeight="1">
      <c r="A419" s="939"/>
      <c r="B419" s="833"/>
      <c r="C419" s="833"/>
      <c r="D419" s="833"/>
      <c r="E419" s="833"/>
      <c r="F419" s="463"/>
      <c r="G419" s="1465"/>
      <c r="H419" s="1465"/>
      <c r="I419" s="30"/>
      <c r="J419" s="30"/>
      <c r="K419" s="30"/>
      <c r="L419" s="30"/>
      <c r="M419" s="30"/>
      <c r="N419" s="1465"/>
      <c r="O419" s="1466"/>
    </row>
    <row r="420" ht="16.5" customHeight="1">
      <c r="A420" s="940"/>
      <c r="B420" s="941"/>
      <c r="C420" s="941"/>
      <c r="D420" s="941"/>
      <c r="E420" s="941"/>
      <c r="F420" s="463"/>
      <c r="G420" s="1465"/>
      <c r="H420" s="1465"/>
      <c r="I420" s="28"/>
      <c r="J420" s="28"/>
      <c r="K420" s="28"/>
      <c r="L420" s="28"/>
      <c r="M420" s="28"/>
      <c r="N420" s="1465"/>
      <c r="O420" s="1466"/>
    </row>
    <row r="421" ht="16.5" customHeight="1">
      <c r="A421" s="939"/>
      <c r="B421" s="833"/>
      <c r="C421" s="833"/>
      <c r="D421" s="833"/>
      <c r="E421" s="833"/>
      <c r="F421" s="463"/>
      <c r="G421" s="1465"/>
      <c r="H421" s="1465"/>
      <c r="I421" s="30"/>
      <c r="J421" s="30"/>
      <c r="K421" s="30"/>
      <c r="L421" s="30"/>
      <c r="M421" s="30"/>
      <c r="N421" s="1465"/>
      <c r="O421" s="1466"/>
    </row>
    <row r="422" ht="16.5" customHeight="1">
      <c r="A422" s="940"/>
      <c r="B422" s="941"/>
      <c r="C422" s="941"/>
      <c r="D422" s="941"/>
      <c r="E422" s="941"/>
      <c r="F422" s="463"/>
      <c r="G422" s="1465"/>
      <c r="H422" s="1465"/>
      <c r="I422" s="28"/>
      <c r="J422" s="28"/>
      <c r="K422" s="28"/>
      <c r="L422" s="28"/>
      <c r="M422" s="28"/>
      <c r="N422" s="1465"/>
      <c r="O422" s="1466"/>
    </row>
    <row r="423" ht="16.5" customHeight="1">
      <c r="A423" s="939"/>
      <c r="B423" s="833"/>
      <c r="C423" s="833"/>
      <c r="D423" s="833"/>
      <c r="E423" s="833"/>
      <c r="F423" s="463"/>
      <c r="G423" s="1465"/>
      <c r="H423" s="1465"/>
      <c r="I423" s="30"/>
      <c r="J423" s="30"/>
      <c r="K423" s="30"/>
      <c r="L423" s="30"/>
      <c r="M423" s="30"/>
      <c r="N423" s="1465"/>
      <c r="O423" s="1466"/>
    </row>
    <row r="424" ht="16.5" customHeight="1">
      <c r="A424" s="940"/>
      <c r="B424" s="941"/>
      <c r="C424" s="941"/>
      <c r="D424" s="941"/>
      <c r="E424" s="941"/>
      <c r="F424" s="463"/>
      <c r="G424" s="1465"/>
      <c r="H424" s="1465"/>
      <c r="I424" s="28"/>
      <c r="J424" s="28"/>
      <c r="K424" s="28"/>
      <c r="L424" s="28"/>
      <c r="M424" s="28"/>
      <c r="N424" s="1465"/>
      <c r="O424" s="1466"/>
    </row>
    <row r="425" ht="16.5" customHeight="1">
      <c r="A425" s="939"/>
      <c r="B425" s="833"/>
      <c r="C425" s="833"/>
      <c r="D425" s="833"/>
      <c r="E425" s="833"/>
      <c r="F425" s="463"/>
      <c r="G425" s="1465"/>
      <c r="H425" s="1465"/>
      <c r="I425" s="30"/>
      <c r="J425" s="30"/>
      <c r="K425" s="30"/>
      <c r="L425" s="30"/>
      <c r="M425" s="30"/>
      <c r="N425" s="1465"/>
      <c r="O425" s="1466"/>
    </row>
    <row r="426" ht="16.5" customHeight="1">
      <c r="A426" s="940"/>
      <c r="B426" s="941"/>
      <c r="C426" s="941"/>
      <c r="D426" s="941"/>
      <c r="E426" s="941"/>
      <c r="F426" s="463"/>
      <c r="G426" s="1465"/>
      <c r="H426" s="1465"/>
      <c r="I426" s="28"/>
      <c r="J426" s="28"/>
      <c r="K426" s="28"/>
      <c r="L426" s="28"/>
      <c r="M426" s="28"/>
      <c r="N426" s="1465"/>
      <c r="O426" s="1466"/>
    </row>
    <row r="427" ht="16.5" customHeight="1">
      <c r="A427" s="939"/>
      <c r="B427" s="833"/>
      <c r="C427" s="833"/>
      <c r="D427" s="833"/>
      <c r="E427" s="833"/>
      <c r="F427" s="463"/>
      <c r="G427" s="1465"/>
      <c r="H427" s="1465"/>
      <c r="I427" s="30"/>
      <c r="J427" s="30"/>
      <c r="K427" s="30"/>
      <c r="L427" s="30"/>
      <c r="M427" s="30"/>
      <c r="N427" s="1465"/>
      <c r="O427" s="1466"/>
    </row>
    <row r="428" ht="16.5" customHeight="1">
      <c r="A428" s="940"/>
      <c r="B428" s="941"/>
      <c r="C428" s="941"/>
      <c r="D428" s="941"/>
      <c r="E428" s="941"/>
      <c r="F428" s="463"/>
      <c r="G428" s="1465"/>
      <c r="H428" s="1465"/>
      <c r="I428" s="28"/>
      <c r="J428" s="28"/>
      <c r="K428" s="28"/>
      <c r="L428" s="28"/>
      <c r="M428" s="28"/>
      <c r="N428" s="1465"/>
      <c r="O428" s="1466"/>
    </row>
    <row r="429" ht="16.5" customHeight="1">
      <c r="A429" s="939"/>
      <c r="B429" s="833"/>
      <c r="C429" s="833"/>
      <c r="D429" s="833"/>
      <c r="E429" s="833"/>
      <c r="F429" s="463"/>
      <c r="G429" s="1465"/>
      <c r="H429" s="1465"/>
      <c r="I429" s="30"/>
      <c r="J429" s="30"/>
      <c r="K429" s="30"/>
      <c r="L429" s="30"/>
      <c r="M429" s="30"/>
      <c r="N429" s="1465"/>
      <c r="O429" s="1466"/>
    </row>
    <row r="430" ht="16.5" customHeight="1">
      <c r="A430" s="940"/>
      <c r="B430" s="941"/>
      <c r="C430" s="941"/>
      <c r="D430" s="941"/>
      <c r="E430" s="941"/>
      <c r="F430" s="463"/>
      <c r="G430" s="1465"/>
      <c r="H430" s="1465"/>
      <c r="I430" s="28"/>
      <c r="J430" s="28"/>
      <c r="K430" s="28"/>
      <c r="L430" s="28"/>
      <c r="M430" s="28"/>
      <c r="N430" s="1465"/>
      <c r="O430" s="1466"/>
    </row>
    <row r="431" ht="16.5" customHeight="1">
      <c r="A431" s="939"/>
      <c r="B431" s="833"/>
      <c r="C431" s="833"/>
      <c r="D431" s="833"/>
      <c r="E431" s="833"/>
      <c r="F431" s="463"/>
      <c r="G431" s="1465"/>
      <c r="H431" s="1465"/>
      <c r="I431" s="30"/>
      <c r="J431" s="30"/>
      <c r="K431" s="30"/>
      <c r="L431" s="30"/>
      <c r="M431" s="30"/>
      <c r="N431" s="1465"/>
      <c r="O431" s="1466"/>
    </row>
    <row r="432" ht="16.5" customHeight="1">
      <c r="A432" s="940"/>
      <c r="B432" s="941"/>
      <c r="C432" s="941"/>
      <c r="D432" s="941"/>
      <c r="E432" s="941"/>
      <c r="F432" s="463"/>
      <c r="G432" s="1465"/>
      <c r="H432" s="1465"/>
      <c r="I432" s="28"/>
      <c r="J432" s="28"/>
      <c r="K432" s="28"/>
      <c r="L432" s="28"/>
      <c r="M432" s="28"/>
      <c r="N432" s="1465"/>
      <c r="O432" s="1466"/>
    </row>
    <row r="433" ht="16.5" customHeight="1">
      <c r="A433" s="939"/>
      <c r="B433" s="833"/>
      <c r="C433" s="833"/>
      <c r="D433" s="833"/>
      <c r="E433" s="833"/>
      <c r="F433" s="463"/>
      <c r="G433" s="1465"/>
      <c r="H433" s="1465"/>
      <c r="I433" s="30"/>
      <c r="J433" s="30"/>
      <c r="K433" s="30"/>
      <c r="L433" s="30"/>
      <c r="M433" s="30"/>
      <c r="N433" s="1465"/>
      <c r="O433" s="1466"/>
    </row>
    <row r="434" ht="16.5" customHeight="1">
      <c r="A434" s="940"/>
      <c r="B434" s="941"/>
      <c r="C434" s="941"/>
      <c r="D434" s="941"/>
      <c r="E434" s="941"/>
      <c r="F434" s="463"/>
      <c r="G434" s="1465"/>
      <c r="H434" s="1465"/>
      <c r="I434" s="28"/>
      <c r="J434" s="28"/>
      <c r="K434" s="28"/>
      <c r="L434" s="28"/>
      <c r="M434" s="28"/>
      <c r="N434" s="1465"/>
      <c r="O434" s="1466"/>
    </row>
    <row r="435" ht="16.5" customHeight="1">
      <c r="A435" s="939"/>
      <c r="B435" s="833"/>
      <c r="C435" s="833"/>
      <c r="D435" s="833"/>
      <c r="E435" s="833"/>
      <c r="F435" s="463"/>
      <c r="G435" s="1465"/>
      <c r="H435" s="1465"/>
      <c r="I435" s="30"/>
      <c r="J435" s="30"/>
      <c r="K435" s="30"/>
      <c r="L435" s="30"/>
      <c r="M435" s="30"/>
      <c r="N435" s="1465"/>
      <c r="O435" s="1466"/>
    </row>
    <row r="436" ht="16.5" customHeight="1">
      <c r="A436" s="940"/>
      <c r="B436" s="941"/>
      <c r="C436" s="941"/>
      <c r="D436" s="941"/>
      <c r="E436" s="941"/>
      <c r="F436" s="463"/>
      <c r="G436" s="1465"/>
      <c r="H436" s="1465"/>
      <c r="I436" s="28"/>
      <c r="J436" s="28"/>
      <c r="K436" s="28"/>
      <c r="L436" s="28"/>
      <c r="M436" s="28"/>
      <c r="N436" s="1465"/>
      <c r="O436" s="1466"/>
    </row>
    <row r="437" ht="16.5" customHeight="1">
      <c r="A437" s="939"/>
      <c r="B437" s="833"/>
      <c r="C437" s="833"/>
      <c r="D437" s="833"/>
      <c r="E437" s="833"/>
      <c r="F437" s="463"/>
      <c r="G437" s="1465"/>
      <c r="H437" s="1465"/>
      <c r="I437" s="30"/>
      <c r="J437" s="30"/>
      <c r="K437" s="30"/>
      <c r="L437" s="30"/>
      <c r="M437" s="30"/>
      <c r="N437" s="1465"/>
      <c r="O437" s="1466"/>
    </row>
    <row r="438" ht="16.5" customHeight="1">
      <c r="A438" s="940"/>
      <c r="B438" s="941"/>
      <c r="C438" s="941"/>
      <c r="D438" s="941"/>
      <c r="E438" s="941"/>
      <c r="F438" s="463"/>
      <c r="G438" s="1465"/>
      <c r="H438" s="1465"/>
      <c r="I438" s="28"/>
      <c r="J438" s="28"/>
      <c r="K438" s="28"/>
      <c r="L438" s="28"/>
      <c r="M438" s="28"/>
      <c r="N438" s="1465"/>
      <c r="O438" s="1466"/>
    </row>
    <row r="439" ht="16.5" customHeight="1">
      <c r="A439" s="939"/>
      <c r="B439" s="833"/>
      <c r="C439" s="833"/>
      <c r="D439" s="833"/>
      <c r="E439" s="833"/>
      <c r="F439" s="463"/>
      <c r="G439" s="1465"/>
      <c r="H439" s="1465"/>
      <c r="I439" s="30"/>
      <c r="J439" s="30"/>
      <c r="K439" s="30"/>
      <c r="L439" s="30"/>
      <c r="M439" s="30"/>
      <c r="N439" s="1465"/>
      <c r="O439" s="1466"/>
    </row>
    <row r="440" ht="16.5" customHeight="1">
      <c r="A440" s="940"/>
      <c r="B440" s="941"/>
      <c r="C440" s="941"/>
      <c r="D440" s="941"/>
      <c r="E440" s="941"/>
      <c r="F440" s="463"/>
      <c r="G440" s="1465"/>
      <c r="H440" s="1465"/>
      <c r="I440" s="28"/>
      <c r="J440" s="28"/>
      <c r="K440" s="28"/>
      <c r="L440" s="28"/>
      <c r="M440" s="28"/>
      <c r="N440" s="1465"/>
      <c r="O440" s="1466"/>
    </row>
    <row r="441" ht="16.5" customHeight="1">
      <c r="A441" s="939"/>
      <c r="B441" s="833"/>
      <c r="C441" s="833"/>
      <c r="D441" s="833"/>
      <c r="E441" s="833"/>
      <c r="F441" s="463"/>
      <c r="G441" s="1465"/>
      <c r="H441" s="1465"/>
      <c r="I441" s="30"/>
      <c r="J441" s="30"/>
      <c r="K441" s="30"/>
      <c r="L441" s="30"/>
      <c r="M441" s="30"/>
      <c r="N441" s="1465"/>
      <c r="O441" s="1466"/>
    </row>
    <row r="442" ht="16.5" customHeight="1">
      <c r="A442" s="940"/>
      <c r="B442" s="941"/>
      <c r="C442" s="941"/>
      <c r="D442" s="941"/>
      <c r="E442" s="941"/>
      <c r="F442" s="463"/>
      <c r="G442" s="1465"/>
      <c r="H442" s="1465"/>
      <c r="I442" s="28"/>
      <c r="J442" s="28"/>
      <c r="K442" s="28"/>
      <c r="L442" s="28"/>
      <c r="M442" s="28"/>
      <c r="N442" s="1465"/>
      <c r="O442" s="1466"/>
    </row>
    <row r="443" ht="16.5" customHeight="1">
      <c r="A443" s="939"/>
      <c r="B443" s="833"/>
      <c r="C443" s="833"/>
      <c r="D443" s="833"/>
      <c r="E443" s="833"/>
      <c r="F443" s="463"/>
      <c r="G443" s="1465"/>
      <c r="H443" s="1465"/>
      <c r="I443" s="30"/>
      <c r="J443" s="30"/>
      <c r="K443" s="30"/>
      <c r="L443" s="30"/>
      <c r="M443" s="30"/>
      <c r="N443" s="1465"/>
      <c r="O443" s="1466"/>
    </row>
    <row r="444" ht="16.5" customHeight="1">
      <c r="A444" s="940"/>
      <c r="B444" s="941"/>
      <c r="C444" s="941"/>
      <c r="D444" s="941"/>
      <c r="E444" s="941"/>
      <c r="F444" s="463"/>
      <c r="G444" s="1465"/>
      <c r="H444" s="1465"/>
      <c r="I444" s="28"/>
      <c r="J444" s="28"/>
      <c r="K444" s="28"/>
      <c r="L444" s="28"/>
      <c r="M444" s="28"/>
      <c r="N444" s="1465"/>
      <c r="O444" s="1466"/>
    </row>
    <row r="445" ht="16.5" customHeight="1">
      <c r="A445" s="939"/>
      <c r="B445" s="833"/>
      <c r="C445" s="833"/>
      <c r="D445" s="833"/>
      <c r="E445" s="833"/>
      <c r="F445" s="463"/>
      <c r="G445" s="1465"/>
      <c r="H445" s="1465"/>
      <c r="I445" s="30"/>
      <c r="J445" s="30"/>
      <c r="K445" s="30"/>
      <c r="L445" s="30"/>
      <c r="M445" s="30"/>
      <c r="N445" s="1465"/>
      <c r="O445" s="1466"/>
    </row>
    <row r="446" ht="16.5" customHeight="1">
      <c r="A446" s="940"/>
      <c r="B446" s="941"/>
      <c r="C446" s="941"/>
      <c r="D446" s="941"/>
      <c r="E446" s="941"/>
      <c r="F446" s="463"/>
      <c r="G446" s="1465"/>
      <c r="H446" s="1465"/>
      <c r="I446" s="28"/>
      <c r="J446" s="28"/>
      <c r="K446" s="28"/>
      <c r="L446" s="28"/>
      <c r="M446" s="28"/>
      <c r="N446" s="1465"/>
      <c r="O446" s="1466"/>
    </row>
    <row r="447" ht="16.5" customHeight="1">
      <c r="A447" s="939"/>
      <c r="B447" s="833"/>
      <c r="C447" s="833"/>
      <c r="D447" s="833"/>
      <c r="E447" s="833"/>
      <c r="F447" s="463"/>
      <c r="G447" s="1465"/>
      <c r="H447" s="1465"/>
      <c r="I447" s="30"/>
      <c r="J447" s="30"/>
      <c r="K447" s="30"/>
      <c r="L447" s="30"/>
      <c r="M447" s="30"/>
      <c r="N447" s="1465"/>
      <c r="O447" s="1466"/>
    </row>
    <row r="448" ht="16.5" customHeight="1">
      <c r="A448" s="940"/>
      <c r="B448" s="941"/>
      <c r="C448" s="941"/>
      <c r="D448" s="941"/>
      <c r="E448" s="941"/>
      <c r="F448" s="463"/>
      <c r="G448" s="1465"/>
      <c r="H448" s="1465"/>
      <c r="I448" s="28"/>
      <c r="J448" s="28"/>
      <c r="K448" s="28"/>
      <c r="L448" s="28"/>
      <c r="M448" s="28"/>
      <c r="N448" s="1465"/>
      <c r="O448" s="1466"/>
    </row>
    <row r="449" ht="16.5" customHeight="1">
      <c r="A449" s="939"/>
      <c r="B449" s="833"/>
      <c r="C449" s="833"/>
      <c r="D449" s="833"/>
      <c r="E449" s="833"/>
      <c r="F449" s="463"/>
      <c r="G449" s="1465"/>
      <c r="H449" s="1465"/>
      <c r="I449" s="30"/>
      <c r="J449" s="30"/>
      <c r="K449" s="30"/>
      <c r="L449" s="30"/>
      <c r="M449" s="30"/>
      <c r="N449" s="1465"/>
      <c r="O449" s="1466"/>
    </row>
    <row r="450" ht="16.5" customHeight="1">
      <c r="A450" s="940"/>
      <c r="B450" s="941"/>
      <c r="C450" s="941"/>
      <c r="D450" s="941"/>
      <c r="E450" s="941"/>
      <c r="F450" s="463"/>
      <c r="G450" s="1465"/>
      <c r="H450" s="1465"/>
      <c r="I450" s="28"/>
      <c r="J450" s="28"/>
      <c r="K450" s="28"/>
      <c r="L450" s="28"/>
      <c r="M450" s="28"/>
      <c r="N450" s="1465"/>
      <c r="O450" s="1466"/>
    </row>
    <row r="451" ht="16.5" customHeight="1">
      <c r="A451" s="939"/>
      <c r="B451" s="833"/>
      <c r="C451" s="833"/>
      <c r="D451" s="833"/>
      <c r="E451" s="833"/>
      <c r="F451" s="463"/>
      <c r="G451" s="1465"/>
      <c r="H451" s="1465"/>
      <c r="I451" s="30"/>
      <c r="J451" s="30"/>
      <c r="K451" s="30"/>
      <c r="L451" s="30"/>
      <c r="M451" s="30"/>
      <c r="N451" s="1465"/>
      <c r="O451" s="1466"/>
    </row>
    <row r="452" ht="16.5" customHeight="1">
      <c r="A452" s="940"/>
      <c r="B452" s="941"/>
      <c r="C452" s="941"/>
      <c r="D452" s="941"/>
      <c r="E452" s="941"/>
      <c r="F452" s="463"/>
      <c r="G452" s="1465"/>
      <c r="H452" s="1465"/>
      <c r="I452" s="28"/>
      <c r="J452" s="28"/>
      <c r="K452" s="28"/>
      <c r="L452" s="28"/>
      <c r="M452" s="28"/>
      <c r="N452" s="1465"/>
      <c r="O452" s="1466"/>
    </row>
    <row r="453" ht="16.5" customHeight="1">
      <c r="A453" s="939"/>
      <c r="B453" s="833"/>
      <c r="C453" s="833"/>
      <c r="D453" s="833"/>
      <c r="E453" s="833"/>
      <c r="F453" s="463"/>
      <c r="G453" s="1465"/>
      <c r="H453" s="1465"/>
      <c r="I453" s="30"/>
      <c r="J453" s="30"/>
      <c r="K453" s="30"/>
      <c r="L453" s="30"/>
      <c r="M453" s="30"/>
      <c r="N453" s="1465"/>
      <c r="O453" s="1466"/>
    </row>
    <row r="454" ht="16.5" customHeight="1">
      <c r="A454" s="940"/>
      <c r="B454" s="941"/>
      <c r="C454" s="941"/>
      <c r="D454" s="941"/>
      <c r="E454" s="941"/>
      <c r="F454" s="463"/>
      <c r="G454" s="1465"/>
      <c r="H454" s="1465"/>
      <c r="I454" s="28"/>
      <c r="J454" s="28"/>
      <c r="K454" s="28"/>
      <c r="L454" s="28"/>
      <c r="M454" s="28"/>
      <c r="N454" s="1465"/>
      <c r="O454" s="1466"/>
    </row>
    <row r="455" ht="16.5" customHeight="1">
      <c r="A455" s="939"/>
      <c r="B455" s="833"/>
      <c r="C455" s="833"/>
      <c r="D455" s="833"/>
      <c r="E455" s="833"/>
      <c r="F455" s="463"/>
      <c r="G455" s="1465"/>
      <c r="H455" s="1465"/>
      <c r="I455" s="30"/>
      <c r="J455" s="30"/>
      <c r="K455" s="30"/>
      <c r="L455" s="30"/>
      <c r="M455" s="30"/>
      <c r="N455" s="1465"/>
      <c r="O455" s="1466"/>
    </row>
    <row r="456" ht="16.5" customHeight="1">
      <c r="A456" s="940"/>
      <c r="B456" s="941"/>
      <c r="C456" s="941"/>
      <c r="D456" s="941"/>
      <c r="E456" s="941"/>
      <c r="F456" s="463"/>
      <c r="G456" s="1465"/>
      <c r="H456" s="1465"/>
      <c r="I456" s="28"/>
      <c r="J456" s="28"/>
      <c r="K456" s="28"/>
      <c r="L456" s="28"/>
      <c r="M456" s="28"/>
      <c r="N456" s="1465"/>
      <c r="O456" s="1466"/>
    </row>
    <row r="457" ht="16.5" customHeight="1">
      <c r="A457" s="939"/>
      <c r="B457" s="833"/>
      <c r="C457" s="833"/>
      <c r="D457" s="833"/>
      <c r="E457" s="833"/>
      <c r="F457" s="463"/>
      <c r="G457" s="1465"/>
      <c r="H457" s="1465"/>
      <c r="I457" s="30"/>
      <c r="J457" s="30"/>
      <c r="K457" s="30"/>
      <c r="L457" s="30"/>
      <c r="M457" s="30"/>
      <c r="N457" s="1465"/>
      <c r="O457" s="1466"/>
    </row>
    <row r="458" ht="16.5" customHeight="1">
      <c r="A458" s="940"/>
      <c r="B458" s="941"/>
      <c r="C458" s="941"/>
      <c r="D458" s="941"/>
      <c r="E458" s="941"/>
      <c r="F458" s="463"/>
      <c r="G458" s="1465"/>
      <c r="H458" s="1465"/>
      <c r="I458" s="28"/>
      <c r="J458" s="28"/>
      <c r="K458" s="28"/>
      <c r="L458" s="28"/>
      <c r="M458" s="28"/>
      <c r="N458" s="1465"/>
      <c r="O458" s="1466"/>
    </row>
    <row r="459" ht="16.5" customHeight="1">
      <c r="A459" s="939"/>
      <c r="B459" s="833"/>
      <c r="C459" s="833"/>
      <c r="D459" s="833"/>
      <c r="E459" s="833"/>
      <c r="F459" s="463"/>
      <c r="G459" s="1465"/>
      <c r="H459" s="1465"/>
      <c r="I459" s="30"/>
      <c r="J459" s="30"/>
      <c r="K459" s="30"/>
      <c r="L459" s="30"/>
      <c r="M459" s="30"/>
      <c r="N459" s="1465"/>
      <c r="O459" s="1466"/>
    </row>
    <row r="460" ht="16.5" customHeight="1">
      <c r="A460" s="940"/>
      <c r="B460" s="941"/>
      <c r="C460" s="941"/>
      <c r="D460" s="941"/>
      <c r="E460" s="941"/>
      <c r="F460" s="463"/>
      <c r="G460" s="1465"/>
      <c r="H460" s="1465"/>
      <c r="I460" s="28"/>
      <c r="J460" s="28"/>
      <c r="K460" s="28"/>
      <c r="L460" s="28"/>
      <c r="M460" s="28"/>
      <c r="N460" s="1465"/>
      <c r="O460" s="1466"/>
    </row>
    <row r="461" ht="16.5" customHeight="1">
      <c r="A461" s="939"/>
      <c r="B461" s="833"/>
      <c r="C461" s="833"/>
      <c r="D461" s="833"/>
      <c r="E461" s="833"/>
      <c r="F461" s="463"/>
      <c r="G461" s="1465"/>
      <c r="H461" s="1465"/>
      <c r="I461" s="30"/>
      <c r="J461" s="30"/>
      <c r="K461" s="30"/>
      <c r="L461" s="30"/>
      <c r="M461" s="30"/>
      <c r="N461" s="1465"/>
      <c r="O461" s="1466"/>
    </row>
    <row r="462" ht="16.5" customHeight="1">
      <c r="A462" s="940"/>
      <c r="B462" s="941"/>
      <c r="C462" s="941"/>
      <c r="D462" s="941"/>
      <c r="E462" s="941"/>
      <c r="F462" s="463"/>
      <c r="G462" s="1465"/>
      <c r="H462" s="1465"/>
      <c r="I462" s="28"/>
      <c r="J462" s="28"/>
      <c r="K462" s="28"/>
      <c r="L462" s="28"/>
      <c r="M462" s="28"/>
      <c r="N462" s="1465"/>
      <c r="O462" s="1466"/>
    </row>
    <row r="463" ht="16.5" customHeight="1">
      <c r="A463" s="939"/>
      <c r="B463" s="833"/>
      <c r="C463" s="833"/>
      <c r="D463" s="833"/>
      <c r="E463" s="833"/>
      <c r="F463" s="463"/>
      <c r="G463" s="1465"/>
      <c r="H463" s="1465"/>
      <c r="I463" s="30"/>
      <c r="J463" s="30"/>
      <c r="K463" s="30"/>
      <c r="L463" s="30"/>
      <c r="M463" s="30"/>
      <c r="N463" s="1465"/>
      <c r="O463" s="1466"/>
    </row>
    <row r="464" ht="16.5" customHeight="1">
      <c r="A464" s="940"/>
      <c r="B464" s="941"/>
      <c r="C464" s="941"/>
      <c r="D464" s="941"/>
      <c r="E464" s="941"/>
      <c r="F464" s="463"/>
      <c r="G464" s="1465"/>
      <c r="H464" s="1465"/>
      <c r="I464" s="28"/>
      <c r="J464" s="28"/>
      <c r="K464" s="28"/>
      <c r="L464" s="28"/>
      <c r="M464" s="28"/>
      <c r="N464" s="1465"/>
      <c r="O464" s="1466"/>
    </row>
    <row r="465" ht="16.5" customHeight="1">
      <c r="A465" s="939"/>
      <c r="B465" s="833"/>
      <c r="C465" s="833"/>
      <c r="D465" s="833"/>
      <c r="E465" s="833"/>
      <c r="F465" s="463"/>
      <c r="G465" s="1465"/>
      <c r="H465" s="1465"/>
      <c r="I465" s="30"/>
      <c r="J465" s="30"/>
      <c r="K465" s="30"/>
      <c r="L465" s="30"/>
      <c r="M465" s="30"/>
      <c r="N465" s="1465"/>
      <c r="O465" s="1466"/>
    </row>
    <row r="466" ht="16.5" customHeight="1">
      <c r="A466" s="940"/>
      <c r="B466" s="941"/>
      <c r="C466" s="941"/>
      <c r="D466" s="941"/>
      <c r="E466" s="941"/>
      <c r="F466" s="463"/>
      <c r="G466" s="1465"/>
      <c r="H466" s="1465"/>
      <c r="I466" s="28"/>
      <c r="J466" s="28"/>
      <c r="K466" s="28"/>
      <c r="L466" s="28"/>
      <c r="M466" s="28"/>
      <c r="N466" s="1465"/>
      <c r="O466" s="1466"/>
    </row>
    <row r="467" ht="16.5" customHeight="1">
      <c r="A467" s="939"/>
      <c r="B467" s="833"/>
      <c r="C467" s="833"/>
      <c r="D467" s="833"/>
      <c r="E467" s="833"/>
      <c r="F467" s="463"/>
      <c r="G467" s="1465"/>
      <c r="H467" s="1465"/>
      <c r="I467" s="30"/>
      <c r="J467" s="30"/>
      <c r="K467" s="30"/>
      <c r="L467" s="30"/>
      <c r="M467" s="30"/>
      <c r="N467" s="1465"/>
      <c r="O467" s="1466"/>
    </row>
    <row r="468" ht="16.5" customHeight="1">
      <c r="A468" s="940"/>
      <c r="B468" s="941"/>
      <c r="C468" s="941"/>
      <c r="D468" s="941"/>
      <c r="E468" s="941"/>
      <c r="F468" s="463"/>
      <c r="G468" s="1465"/>
      <c r="H468" s="1465"/>
      <c r="I468" s="28"/>
      <c r="J468" s="28"/>
      <c r="K468" s="28"/>
      <c r="L468" s="28"/>
      <c r="M468" s="28"/>
      <c r="N468" s="1465"/>
      <c r="O468" s="1466"/>
    </row>
    <row r="469" ht="16.5" customHeight="1">
      <c r="A469" s="939"/>
      <c r="B469" s="833"/>
      <c r="C469" s="833"/>
      <c r="D469" s="833"/>
      <c r="E469" s="833"/>
      <c r="F469" s="463"/>
      <c r="G469" s="1465"/>
      <c r="H469" s="1465"/>
      <c r="I469" s="30"/>
      <c r="J469" s="30"/>
      <c r="K469" s="30"/>
      <c r="L469" s="30"/>
      <c r="M469" s="30"/>
      <c r="N469" s="1465"/>
      <c r="O469" s="1466"/>
    </row>
    <row r="470" ht="16.5" customHeight="1">
      <c r="A470" s="940"/>
      <c r="B470" s="941"/>
      <c r="C470" s="941"/>
      <c r="D470" s="941"/>
      <c r="E470" s="941"/>
      <c r="F470" s="463"/>
      <c r="G470" s="1465"/>
      <c r="H470" s="1465"/>
      <c r="I470" s="28"/>
      <c r="J470" s="28"/>
      <c r="K470" s="28"/>
      <c r="L470" s="28"/>
      <c r="M470" s="28"/>
      <c r="N470" s="1465"/>
      <c r="O470" s="1466"/>
    </row>
    <row r="471" ht="16.5" customHeight="1">
      <c r="A471" s="939"/>
      <c r="B471" s="833"/>
      <c r="C471" s="833"/>
      <c r="D471" s="833"/>
      <c r="E471" s="833"/>
      <c r="F471" s="463"/>
      <c r="G471" s="1465"/>
      <c r="H471" s="1465"/>
      <c r="I471" s="30"/>
      <c r="J471" s="30"/>
      <c r="K471" s="30"/>
      <c r="L471" s="30"/>
      <c r="M471" s="30"/>
      <c r="N471" s="1465"/>
      <c r="O471" s="1466"/>
    </row>
    <row r="472" ht="16.5" customHeight="1">
      <c r="A472" s="940"/>
      <c r="B472" s="941"/>
      <c r="C472" s="941"/>
      <c r="D472" s="941"/>
      <c r="E472" s="941"/>
      <c r="F472" s="463"/>
      <c r="G472" s="1465"/>
      <c r="H472" s="1465"/>
      <c r="I472" s="28"/>
      <c r="J472" s="28"/>
      <c r="K472" s="28"/>
      <c r="L472" s="28"/>
      <c r="M472" s="28"/>
      <c r="N472" s="1465"/>
      <c r="O472" s="1466"/>
    </row>
    <row r="473" ht="16.5" customHeight="1">
      <c r="A473" s="939"/>
      <c r="B473" s="833"/>
      <c r="C473" s="833"/>
      <c r="D473" s="833"/>
      <c r="E473" s="833"/>
      <c r="F473" s="463"/>
      <c r="G473" s="1465"/>
      <c r="H473" s="1465"/>
      <c r="I473" s="30"/>
      <c r="J473" s="30"/>
      <c r="K473" s="30"/>
      <c r="L473" s="30"/>
      <c r="M473" s="30"/>
      <c r="N473" s="1465"/>
      <c r="O473" s="1466"/>
    </row>
    <row r="474" ht="16.5" customHeight="1">
      <c r="A474" s="940"/>
      <c r="B474" s="941"/>
      <c r="C474" s="941"/>
      <c r="D474" s="941"/>
      <c r="E474" s="941"/>
      <c r="F474" s="463"/>
      <c r="G474" s="1465"/>
      <c r="H474" s="1465"/>
      <c r="I474" s="28"/>
      <c r="J474" s="28"/>
      <c r="K474" s="28"/>
      <c r="L474" s="28"/>
      <c r="M474" s="28"/>
      <c r="N474" s="1465"/>
      <c r="O474" s="1466"/>
    </row>
    <row r="475" ht="16.5" customHeight="1">
      <c r="A475" s="939"/>
      <c r="B475" s="833"/>
      <c r="C475" s="833"/>
      <c r="D475" s="833"/>
      <c r="E475" s="833"/>
      <c r="F475" s="463"/>
      <c r="G475" s="1465"/>
      <c r="H475" s="1465"/>
      <c r="I475" s="30"/>
      <c r="J475" s="30"/>
      <c r="K475" s="30"/>
      <c r="L475" s="30"/>
      <c r="M475" s="30"/>
      <c r="N475" s="1465"/>
      <c r="O475" s="1466"/>
    </row>
    <row r="476" ht="16.5" customHeight="1">
      <c r="A476" s="940"/>
      <c r="B476" s="941"/>
      <c r="C476" s="941"/>
      <c r="D476" s="941"/>
      <c r="E476" s="941"/>
      <c r="F476" s="463"/>
      <c r="G476" s="1465"/>
      <c r="H476" s="1465"/>
      <c r="I476" s="28"/>
      <c r="J476" s="28"/>
      <c r="K476" s="28"/>
      <c r="L476" s="28"/>
      <c r="M476" s="28"/>
      <c r="N476" s="1465"/>
      <c r="O476" s="1466"/>
    </row>
    <row r="477" ht="16.5" customHeight="1">
      <c r="A477" s="939"/>
      <c r="B477" s="833"/>
      <c r="C477" s="833"/>
      <c r="D477" s="833"/>
      <c r="E477" s="833"/>
      <c r="F477" s="463"/>
      <c r="G477" s="1465"/>
      <c r="H477" s="1465"/>
      <c r="I477" s="30"/>
      <c r="J477" s="30"/>
      <c r="K477" s="30"/>
      <c r="L477" s="30"/>
      <c r="M477" s="30"/>
      <c r="N477" s="1465"/>
      <c r="O477" s="1466"/>
    </row>
    <row r="478" ht="16.5" customHeight="1">
      <c r="A478" s="940"/>
      <c r="B478" s="941"/>
      <c r="C478" s="941"/>
      <c r="D478" s="941"/>
      <c r="E478" s="941"/>
      <c r="F478" s="463"/>
      <c r="G478" s="1465"/>
      <c r="H478" s="1465"/>
      <c r="I478" s="28"/>
      <c r="J478" s="28"/>
      <c r="K478" s="28"/>
      <c r="L478" s="28"/>
      <c r="M478" s="28"/>
      <c r="N478" s="1465"/>
      <c r="O478" s="1466"/>
    </row>
    <row r="479" ht="16.5" customHeight="1">
      <c r="A479" s="939"/>
      <c r="B479" s="833"/>
      <c r="C479" s="833"/>
      <c r="D479" s="833"/>
      <c r="E479" s="833"/>
      <c r="F479" s="463"/>
      <c r="G479" s="1465"/>
      <c r="H479" s="1465"/>
      <c r="I479" s="30"/>
      <c r="J479" s="30"/>
      <c r="K479" s="30"/>
      <c r="L479" s="30"/>
      <c r="M479" s="30"/>
      <c r="N479" s="1465"/>
      <c r="O479" s="1466"/>
    </row>
    <row r="480" ht="16.5" customHeight="1">
      <c r="A480" s="940"/>
      <c r="B480" s="941"/>
      <c r="C480" s="941"/>
      <c r="D480" s="941"/>
      <c r="E480" s="941"/>
      <c r="F480" s="463"/>
      <c r="G480" s="1465"/>
      <c r="H480" s="1465"/>
      <c r="I480" s="28"/>
      <c r="J480" s="28"/>
      <c r="K480" s="28"/>
      <c r="L480" s="28"/>
      <c r="M480" s="28"/>
      <c r="N480" s="1465"/>
      <c r="O480" s="1466"/>
    </row>
    <row r="481" ht="16.5" customHeight="1">
      <c r="A481" s="939"/>
      <c r="B481" s="833"/>
      <c r="C481" s="833"/>
      <c r="D481" s="833"/>
      <c r="E481" s="833"/>
      <c r="F481" s="463"/>
      <c r="G481" s="1465"/>
      <c r="H481" s="1465"/>
      <c r="I481" s="30"/>
      <c r="J481" s="30"/>
      <c r="K481" s="30"/>
      <c r="L481" s="30"/>
      <c r="M481" s="30"/>
      <c r="N481" s="1465"/>
      <c r="O481" s="1466"/>
    </row>
    <row r="482" ht="16.5" customHeight="1">
      <c r="A482" s="940"/>
      <c r="B482" s="941"/>
      <c r="C482" s="941"/>
      <c r="D482" s="941"/>
      <c r="E482" s="941"/>
      <c r="F482" s="463"/>
      <c r="G482" s="1465"/>
      <c r="H482" s="1465"/>
      <c r="I482" s="28"/>
      <c r="J482" s="28"/>
      <c r="K482" s="28"/>
      <c r="L482" s="28"/>
      <c r="M482" s="28"/>
      <c r="N482" s="1465"/>
      <c r="O482" s="1466"/>
    </row>
    <row r="483" ht="16.5" customHeight="1">
      <c r="A483" s="939"/>
      <c r="B483" s="833"/>
      <c r="C483" s="833"/>
      <c r="D483" s="833"/>
      <c r="E483" s="833"/>
      <c r="F483" s="463"/>
      <c r="G483" s="1465"/>
      <c r="H483" s="1465"/>
      <c r="I483" s="30"/>
      <c r="J483" s="30"/>
      <c r="K483" s="30"/>
      <c r="L483" s="30"/>
      <c r="M483" s="30"/>
      <c r="N483" s="1465"/>
      <c r="O483" s="1466"/>
    </row>
    <row r="484" ht="16.5" customHeight="1">
      <c r="A484" s="940"/>
      <c r="B484" s="941"/>
      <c r="C484" s="941"/>
      <c r="D484" s="941"/>
      <c r="E484" s="941"/>
      <c r="F484" s="463"/>
      <c r="G484" s="1465"/>
      <c r="H484" s="1465"/>
      <c r="I484" s="28"/>
      <c r="J484" s="28"/>
      <c r="K484" s="28"/>
      <c r="L484" s="28"/>
      <c r="M484" s="28"/>
      <c r="N484" s="1465"/>
      <c r="O484" s="1466"/>
    </row>
    <row r="485" ht="16.5" customHeight="1">
      <c r="A485" s="939"/>
      <c r="B485" s="833"/>
      <c r="C485" s="833"/>
      <c r="D485" s="833"/>
      <c r="E485" s="833"/>
      <c r="F485" s="463"/>
      <c r="G485" s="1465"/>
      <c r="H485" s="1465"/>
      <c r="I485" s="30"/>
      <c r="J485" s="30"/>
      <c r="K485" s="30"/>
      <c r="L485" s="30"/>
      <c r="M485" s="30"/>
      <c r="N485" s="1465"/>
      <c r="O485" s="1466"/>
    </row>
    <row r="486" ht="16.5" customHeight="1">
      <c r="A486" s="940"/>
      <c r="B486" s="941"/>
      <c r="C486" s="941"/>
      <c r="D486" s="941"/>
      <c r="E486" s="941"/>
      <c r="F486" s="463"/>
      <c r="G486" s="1465"/>
      <c r="H486" s="1465"/>
      <c r="I486" s="28"/>
      <c r="J486" s="28"/>
      <c r="K486" s="28"/>
      <c r="L486" s="28"/>
      <c r="M486" s="28"/>
      <c r="N486" s="1465"/>
      <c r="O486" s="1466"/>
    </row>
    <row r="487" ht="16.5" customHeight="1">
      <c r="A487" s="939"/>
      <c r="B487" s="833"/>
      <c r="C487" s="833"/>
      <c r="D487" s="833"/>
      <c r="E487" s="833"/>
      <c r="F487" s="463"/>
      <c r="G487" s="1465"/>
      <c r="H487" s="1465"/>
      <c r="I487" s="30"/>
      <c r="J487" s="30"/>
      <c r="K487" s="30"/>
      <c r="L487" s="30"/>
      <c r="M487" s="30"/>
      <c r="N487" s="1465"/>
      <c r="O487" s="1466"/>
    </row>
    <row r="488" ht="16.5" customHeight="1">
      <c r="A488" s="940"/>
      <c r="B488" s="941"/>
      <c r="C488" s="941"/>
      <c r="D488" s="941"/>
      <c r="E488" s="941"/>
      <c r="F488" s="463"/>
      <c r="G488" s="1465"/>
      <c r="H488" s="1465"/>
      <c r="I488" s="28"/>
      <c r="J488" s="28"/>
      <c r="K488" s="28"/>
      <c r="L488" s="28"/>
      <c r="M488" s="28"/>
      <c r="N488" s="1465"/>
      <c r="O488" s="1466"/>
    </row>
    <row r="489" ht="16.5" customHeight="1">
      <c r="A489" s="939"/>
      <c r="B489" s="833"/>
      <c r="C489" s="833"/>
      <c r="D489" s="833"/>
      <c r="E489" s="833"/>
      <c r="F489" s="463"/>
      <c r="G489" s="1465"/>
      <c r="H489" s="1465"/>
      <c r="I489" s="30"/>
      <c r="J489" s="30"/>
      <c r="K489" s="30"/>
      <c r="L489" s="30"/>
      <c r="M489" s="30"/>
      <c r="N489" s="1465"/>
      <c r="O489" s="1466"/>
    </row>
    <row r="490" ht="16.5" customHeight="1">
      <c r="A490" s="940"/>
      <c r="B490" s="941"/>
      <c r="C490" s="941"/>
      <c r="D490" s="941"/>
      <c r="E490" s="941"/>
      <c r="F490" s="463"/>
      <c r="G490" s="1465"/>
      <c r="H490" s="1465"/>
      <c r="I490" s="28"/>
      <c r="J490" s="28"/>
      <c r="K490" s="28"/>
      <c r="L490" s="28"/>
      <c r="M490" s="28"/>
      <c r="N490" s="1465"/>
      <c r="O490" s="1466"/>
    </row>
    <row r="491" ht="16.5" customHeight="1">
      <c r="A491" s="939"/>
      <c r="B491" s="833"/>
      <c r="C491" s="833"/>
      <c r="D491" s="833"/>
      <c r="E491" s="833"/>
      <c r="F491" s="463"/>
      <c r="G491" s="1465"/>
      <c r="H491" s="1465"/>
      <c r="I491" s="30"/>
      <c r="J491" s="30"/>
      <c r="K491" s="30"/>
      <c r="L491" s="30"/>
      <c r="M491" s="30"/>
      <c r="N491" s="1465"/>
      <c r="O491" s="1466"/>
    </row>
    <row r="492" ht="16.5" customHeight="1">
      <c r="A492" s="940"/>
      <c r="B492" s="941"/>
      <c r="C492" s="941"/>
      <c r="D492" s="941"/>
      <c r="E492" s="941"/>
      <c r="F492" s="463"/>
      <c r="G492" s="1465"/>
      <c r="H492" s="1465"/>
      <c r="I492" s="28"/>
      <c r="J492" s="28"/>
      <c r="K492" s="28"/>
      <c r="L492" s="28"/>
      <c r="M492" s="28"/>
      <c r="N492" s="1465"/>
      <c r="O492" s="1466"/>
    </row>
    <row r="493" ht="16.5" customHeight="1">
      <c r="A493" s="939"/>
      <c r="B493" s="833"/>
      <c r="C493" s="833"/>
      <c r="D493" s="833"/>
      <c r="E493" s="833"/>
      <c r="F493" s="463"/>
      <c r="G493" s="1465"/>
      <c r="H493" s="1465"/>
      <c r="I493" s="30"/>
      <c r="J493" s="30"/>
      <c r="K493" s="30"/>
      <c r="L493" s="30"/>
      <c r="M493" s="30"/>
      <c r="N493" s="1465"/>
      <c r="O493" s="1466"/>
    </row>
    <row r="494" ht="16.5" customHeight="1">
      <c r="A494" s="940"/>
      <c r="B494" s="941"/>
      <c r="C494" s="941"/>
      <c r="D494" s="941"/>
      <c r="E494" s="941"/>
      <c r="F494" s="463"/>
      <c r="G494" s="1465"/>
      <c r="H494" s="1465"/>
      <c r="I494" s="28"/>
      <c r="J494" s="28"/>
      <c r="K494" s="28"/>
      <c r="L494" s="28"/>
      <c r="M494" s="28"/>
      <c r="N494" s="1465"/>
      <c r="O494" s="1466"/>
    </row>
    <row r="495" ht="16.5" customHeight="1">
      <c r="A495" s="939"/>
      <c r="B495" s="833"/>
      <c r="C495" s="833"/>
      <c r="D495" s="833"/>
      <c r="E495" s="833"/>
      <c r="F495" s="463"/>
      <c r="G495" s="1465"/>
      <c r="H495" s="1465"/>
      <c r="I495" s="30"/>
      <c r="J495" s="30"/>
      <c r="K495" s="30"/>
      <c r="L495" s="30"/>
      <c r="M495" s="30"/>
      <c r="N495" s="1465"/>
      <c r="O495" s="1466"/>
    </row>
    <row r="496" ht="16.5" customHeight="1">
      <c r="A496" s="940"/>
      <c r="B496" s="941"/>
      <c r="C496" s="941"/>
      <c r="D496" s="941"/>
      <c r="E496" s="941"/>
      <c r="F496" s="463"/>
      <c r="G496" s="1465"/>
      <c r="H496" s="1465"/>
      <c r="I496" s="28"/>
      <c r="J496" s="28"/>
      <c r="K496" s="28"/>
      <c r="L496" s="28"/>
      <c r="M496" s="28"/>
      <c r="N496" s="1465"/>
      <c r="O496" s="1466"/>
    </row>
    <row r="497" ht="16.5" customHeight="1">
      <c r="A497" s="939"/>
      <c r="B497" s="833"/>
      <c r="C497" s="833"/>
      <c r="D497" s="833"/>
      <c r="E497" s="833"/>
      <c r="F497" s="463"/>
      <c r="G497" s="1465"/>
      <c r="H497" s="1465"/>
      <c r="I497" s="30"/>
      <c r="J497" s="30"/>
      <c r="K497" s="30"/>
      <c r="L497" s="30"/>
      <c r="M497" s="30"/>
      <c r="N497" s="1465"/>
      <c r="O497" s="1466"/>
    </row>
    <row r="498" ht="16.5" customHeight="1">
      <c r="A498" s="940"/>
      <c r="B498" s="941"/>
      <c r="C498" s="941"/>
      <c r="D498" s="941"/>
      <c r="E498" s="941"/>
      <c r="F498" s="463"/>
      <c r="G498" s="1465"/>
      <c r="H498" s="1465"/>
      <c r="I498" s="28"/>
      <c r="J498" s="28"/>
      <c r="K498" s="28"/>
      <c r="L498" s="28"/>
      <c r="M498" s="28"/>
      <c r="N498" s="1465"/>
      <c r="O498" s="1466"/>
    </row>
    <row r="499" ht="16.5" customHeight="1">
      <c r="A499" s="939"/>
      <c r="B499" s="833"/>
      <c r="C499" s="833"/>
      <c r="D499" s="833"/>
      <c r="E499" s="833"/>
      <c r="F499" s="463"/>
      <c r="G499" s="1465"/>
      <c r="H499" s="1465"/>
      <c r="I499" s="30"/>
      <c r="J499" s="30"/>
      <c r="K499" s="30"/>
      <c r="L499" s="30"/>
      <c r="M499" s="30"/>
      <c r="N499" s="1465"/>
      <c r="O499" s="1466"/>
    </row>
    <row r="500" ht="16.5" customHeight="1">
      <c r="A500" s="940"/>
      <c r="B500" s="941"/>
      <c r="C500" s="941"/>
      <c r="D500" s="941"/>
      <c r="E500" s="941"/>
      <c r="F500" s="463"/>
      <c r="G500" s="1465"/>
      <c r="H500" s="1465"/>
      <c r="I500" s="28"/>
      <c r="J500" s="28"/>
      <c r="K500" s="28"/>
      <c r="L500" s="28"/>
      <c r="M500" s="28"/>
      <c r="N500" s="1465"/>
      <c r="O500" s="1466"/>
    </row>
    <row r="501" ht="16.5" customHeight="1">
      <c r="A501" s="939"/>
      <c r="B501" s="833"/>
      <c r="C501" s="833"/>
      <c r="D501" s="833"/>
      <c r="E501" s="833"/>
      <c r="F501" s="463"/>
      <c r="G501" s="1465"/>
      <c r="H501" s="1465"/>
      <c r="I501" s="30"/>
      <c r="J501" s="30"/>
      <c r="K501" s="30"/>
      <c r="L501" s="30"/>
      <c r="M501" s="30"/>
      <c r="N501" s="1465"/>
      <c r="O501" s="1466"/>
    </row>
    <row r="502" ht="16.5" customHeight="1">
      <c r="A502" s="940"/>
      <c r="B502" s="941"/>
      <c r="C502" s="941"/>
      <c r="D502" s="941"/>
      <c r="E502" s="941"/>
      <c r="F502" s="463"/>
      <c r="G502" s="1465"/>
      <c r="H502" s="1465"/>
      <c r="I502" s="28"/>
      <c r="J502" s="28"/>
      <c r="K502" s="28"/>
      <c r="L502" s="28"/>
      <c r="M502" s="28"/>
      <c r="N502" s="1465"/>
      <c r="O502" s="1466"/>
    </row>
    <row r="503" ht="16.5" customHeight="1">
      <c r="A503" s="939"/>
      <c r="B503" s="833"/>
      <c r="C503" s="833"/>
      <c r="D503" s="833"/>
      <c r="E503" s="833"/>
      <c r="F503" s="463"/>
      <c r="G503" s="1465"/>
      <c r="H503" s="1465"/>
      <c r="I503" s="30"/>
      <c r="J503" s="30"/>
      <c r="K503" s="30"/>
      <c r="L503" s="30"/>
      <c r="M503" s="30"/>
      <c r="N503" s="1465"/>
      <c r="O503" s="1466"/>
    </row>
    <row r="504" ht="16.5" customHeight="1">
      <c r="A504" s="940"/>
      <c r="B504" s="941"/>
      <c r="C504" s="941"/>
      <c r="D504" s="941"/>
      <c r="E504" s="941"/>
      <c r="F504" s="463"/>
      <c r="G504" s="1465"/>
      <c r="H504" s="1465"/>
      <c r="I504" s="28"/>
      <c r="J504" s="28"/>
      <c r="K504" s="28"/>
      <c r="L504" s="28"/>
      <c r="M504" s="28"/>
      <c r="N504" s="1465"/>
      <c r="O504" s="1466"/>
    </row>
    <row r="505" ht="16.5" customHeight="1">
      <c r="A505" s="939"/>
      <c r="B505" s="833"/>
      <c r="C505" s="833"/>
      <c r="D505" s="833"/>
      <c r="E505" s="833"/>
      <c r="F505" s="463"/>
      <c r="G505" s="1465"/>
      <c r="H505" s="1465"/>
      <c r="I505" s="30"/>
      <c r="J505" s="30"/>
      <c r="K505" s="30"/>
      <c r="L505" s="30"/>
      <c r="M505" s="30"/>
      <c r="N505" s="1465"/>
      <c r="O505" s="1466"/>
    </row>
    <row r="506" ht="16.5" customHeight="1">
      <c r="A506" s="940"/>
      <c r="B506" s="941"/>
      <c r="C506" s="941"/>
      <c r="D506" s="941"/>
      <c r="E506" s="941"/>
      <c r="F506" s="463"/>
      <c r="G506" s="1465"/>
      <c r="H506" s="1465"/>
      <c r="I506" s="28"/>
      <c r="J506" s="28"/>
      <c r="K506" s="28"/>
      <c r="L506" s="28"/>
      <c r="M506" s="28"/>
      <c r="N506" s="1465"/>
      <c r="O506" s="1466"/>
    </row>
    <row r="507" ht="16.5" customHeight="1">
      <c r="A507" s="939"/>
      <c r="B507" s="833"/>
      <c r="C507" s="833"/>
      <c r="D507" s="833"/>
      <c r="E507" s="833"/>
      <c r="F507" s="463"/>
      <c r="G507" s="1465"/>
      <c r="H507" s="1465"/>
      <c r="I507" s="30"/>
      <c r="J507" s="30"/>
      <c r="K507" s="30"/>
      <c r="L507" s="30"/>
      <c r="M507" s="30"/>
      <c r="N507" s="1465"/>
      <c r="O507" s="1466"/>
    </row>
    <row r="508" ht="16.5" customHeight="1">
      <c r="A508" s="940"/>
      <c r="B508" s="941"/>
      <c r="C508" s="941"/>
      <c r="D508" s="941"/>
      <c r="E508" s="941"/>
      <c r="F508" s="463"/>
      <c r="G508" s="1465"/>
      <c r="H508" s="1465"/>
      <c r="I508" s="28"/>
      <c r="J508" s="28"/>
      <c r="K508" s="28"/>
      <c r="L508" s="28"/>
      <c r="M508" s="28"/>
      <c r="N508" s="1465"/>
      <c r="O508" s="1466"/>
    </row>
    <row r="509" ht="16.5" customHeight="1">
      <c r="A509" s="939"/>
      <c r="B509" s="833"/>
      <c r="C509" s="833"/>
      <c r="D509" s="833"/>
      <c r="E509" s="833"/>
      <c r="F509" s="463"/>
      <c r="G509" s="1465"/>
      <c r="H509" s="1465"/>
      <c r="I509" s="30"/>
      <c r="J509" s="30"/>
      <c r="K509" s="30"/>
      <c r="L509" s="30"/>
      <c r="M509" s="30"/>
      <c r="N509" s="1465"/>
      <c r="O509" s="1466"/>
    </row>
    <row r="510" ht="16.5" customHeight="1">
      <c r="A510" s="940"/>
      <c r="B510" s="941"/>
      <c r="C510" s="941"/>
      <c r="D510" s="941"/>
      <c r="E510" s="941"/>
      <c r="F510" s="463"/>
      <c r="G510" s="1465"/>
      <c r="H510" s="1465"/>
      <c r="I510" s="28"/>
      <c r="J510" s="28"/>
      <c r="K510" s="28"/>
      <c r="L510" s="28"/>
      <c r="M510" s="28"/>
      <c r="N510" s="1465"/>
      <c r="O510" s="1466"/>
    </row>
    <row r="511" ht="16.5" customHeight="1">
      <c r="A511" s="939"/>
      <c r="B511" s="833"/>
      <c r="C511" s="833"/>
      <c r="D511" s="833"/>
      <c r="E511" s="833"/>
      <c r="F511" s="463"/>
      <c r="G511" s="1465"/>
      <c r="H511" s="1465"/>
      <c r="I511" s="30"/>
      <c r="J511" s="30"/>
      <c r="K511" s="30"/>
      <c r="L511" s="30"/>
      <c r="M511" s="30"/>
      <c r="N511" s="1465"/>
      <c r="O511" s="1466"/>
    </row>
    <row r="512" ht="16.5" customHeight="1">
      <c r="A512" s="940"/>
      <c r="B512" s="941"/>
      <c r="C512" s="941"/>
      <c r="D512" s="941"/>
      <c r="E512" s="941"/>
      <c r="F512" s="463"/>
      <c r="G512" s="1465"/>
      <c r="H512" s="1465"/>
      <c r="I512" s="28"/>
      <c r="J512" s="28"/>
      <c r="K512" s="28"/>
      <c r="L512" s="28"/>
      <c r="M512" s="28"/>
      <c r="N512" s="1465"/>
      <c r="O512" s="1466"/>
    </row>
    <row r="513" ht="16.5" customHeight="1">
      <c r="A513" s="939"/>
      <c r="B513" s="833"/>
      <c r="C513" s="833"/>
      <c r="D513" s="833"/>
      <c r="E513" s="833"/>
      <c r="F513" s="463"/>
      <c r="G513" s="1465"/>
      <c r="H513" s="1465"/>
      <c r="I513" s="30"/>
      <c r="J513" s="30"/>
      <c r="K513" s="30"/>
      <c r="L513" s="30"/>
      <c r="M513" s="30"/>
      <c r="N513" s="1465"/>
      <c r="O513" s="1466"/>
    </row>
    <row r="514" ht="16.5" customHeight="1">
      <c r="A514" s="940"/>
      <c r="B514" s="941"/>
      <c r="C514" s="941"/>
      <c r="D514" s="941"/>
      <c r="E514" s="941"/>
      <c r="F514" s="463"/>
      <c r="G514" s="1465"/>
      <c r="H514" s="1465"/>
      <c r="I514" s="28"/>
      <c r="J514" s="28"/>
      <c r="K514" s="28"/>
      <c r="L514" s="28"/>
      <c r="M514" s="28"/>
      <c r="N514" s="1465"/>
      <c r="O514" s="1466"/>
    </row>
    <row r="515" ht="16.5" customHeight="1">
      <c r="A515" s="939"/>
      <c r="B515" s="833"/>
      <c r="C515" s="833"/>
      <c r="D515" s="833"/>
      <c r="E515" s="833"/>
      <c r="F515" s="463"/>
      <c r="G515" s="1465"/>
      <c r="H515" s="1465"/>
      <c r="I515" s="30"/>
      <c r="J515" s="30"/>
      <c r="K515" s="30"/>
      <c r="L515" s="30"/>
      <c r="M515" s="30"/>
      <c r="N515" s="1465"/>
      <c r="O515" s="1466"/>
    </row>
    <row r="516" ht="16.5" customHeight="1">
      <c r="A516" s="940"/>
      <c r="B516" s="941"/>
      <c r="C516" s="941"/>
      <c r="D516" s="941"/>
      <c r="E516" s="941"/>
      <c r="F516" s="463"/>
      <c r="G516" s="1465"/>
      <c r="H516" s="1465"/>
      <c r="I516" s="28"/>
      <c r="J516" s="28"/>
      <c r="K516" s="28"/>
      <c r="L516" s="28"/>
      <c r="M516" s="28"/>
      <c r="N516" s="1465"/>
      <c r="O516" s="1466"/>
    </row>
    <row r="517" ht="16.5" customHeight="1">
      <c r="A517" s="939"/>
      <c r="B517" s="833"/>
      <c r="C517" s="833"/>
      <c r="D517" s="833"/>
      <c r="E517" s="833"/>
      <c r="F517" s="463"/>
      <c r="G517" s="1465"/>
      <c r="H517" s="1465"/>
      <c r="I517" s="30"/>
      <c r="J517" s="30"/>
      <c r="K517" s="30"/>
      <c r="L517" s="30"/>
      <c r="M517" s="30"/>
      <c r="N517" s="1465"/>
      <c r="O517" s="1466"/>
    </row>
    <row r="518" ht="16.5" customHeight="1">
      <c r="A518" s="940"/>
      <c r="B518" s="941"/>
      <c r="C518" s="941"/>
      <c r="D518" s="941"/>
      <c r="E518" s="941"/>
      <c r="F518" s="463"/>
      <c r="G518" s="1465"/>
      <c r="H518" s="1465"/>
      <c r="I518" s="28"/>
      <c r="J518" s="28"/>
      <c r="K518" s="28"/>
      <c r="L518" s="28"/>
      <c r="M518" s="28"/>
      <c r="N518" s="1465"/>
      <c r="O518" s="1466"/>
    </row>
    <row r="519" ht="16.5" customHeight="1">
      <c r="A519" s="939"/>
      <c r="B519" s="833"/>
      <c r="C519" s="833"/>
      <c r="D519" s="833"/>
      <c r="E519" s="833"/>
      <c r="F519" s="463"/>
      <c r="G519" s="1465"/>
      <c r="H519" s="1465"/>
      <c r="I519" s="30"/>
      <c r="J519" s="30"/>
      <c r="K519" s="30"/>
      <c r="L519" s="30"/>
      <c r="M519" s="30"/>
      <c r="N519" s="1465"/>
      <c r="O519" s="1466"/>
    </row>
    <row r="520" ht="16.5" customHeight="1">
      <c r="A520" s="940"/>
      <c r="B520" s="941"/>
      <c r="C520" s="941"/>
      <c r="D520" s="941"/>
      <c r="E520" s="941"/>
      <c r="F520" s="463"/>
      <c r="G520" s="1465"/>
      <c r="H520" s="1465"/>
      <c r="I520" s="28"/>
      <c r="J520" s="28"/>
      <c r="K520" s="28"/>
      <c r="L520" s="28"/>
      <c r="M520" s="28"/>
      <c r="N520" s="1465"/>
      <c r="O520" s="1466"/>
    </row>
    <row r="521" ht="16.5" customHeight="1">
      <c r="A521" s="939"/>
      <c r="B521" s="833"/>
      <c r="C521" s="833"/>
      <c r="D521" s="833"/>
      <c r="E521" s="833"/>
      <c r="F521" s="463"/>
      <c r="G521" s="1465"/>
      <c r="H521" s="1465"/>
      <c r="I521" s="30"/>
      <c r="J521" s="30"/>
      <c r="K521" s="30"/>
      <c r="L521" s="30"/>
      <c r="M521" s="30"/>
      <c r="N521" s="1465"/>
      <c r="O521" s="1466"/>
    </row>
    <row r="522" ht="16.5" customHeight="1">
      <c r="A522" s="940"/>
      <c r="B522" s="941"/>
      <c r="C522" s="941"/>
      <c r="D522" s="941"/>
      <c r="E522" s="941"/>
      <c r="F522" s="463"/>
      <c r="G522" s="1465"/>
      <c r="H522" s="1465"/>
      <c r="I522" s="28"/>
      <c r="J522" s="28"/>
      <c r="K522" s="28"/>
      <c r="L522" s="28"/>
      <c r="M522" s="28"/>
      <c r="N522" s="1465"/>
      <c r="O522" s="1466"/>
    </row>
    <row r="523" ht="16.5" customHeight="1">
      <c r="A523" s="939"/>
      <c r="B523" s="833"/>
      <c r="C523" s="833"/>
      <c r="D523" s="833"/>
      <c r="E523" s="833"/>
      <c r="F523" s="463"/>
      <c r="G523" s="1465"/>
      <c r="H523" s="1465"/>
      <c r="I523" s="30"/>
      <c r="J523" s="30"/>
      <c r="K523" s="30"/>
      <c r="L523" s="30"/>
      <c r="M523" s="30"/>
      <c r="N523" s="1465"/>
      <c r="O523" s="1466"/>
    </row>
    <row r="524" ht="16.5" customHeight="1">
      <c r="A524" s="940"/>
      <c r="B524" s="941"/>
      <c r="C524" s="941"/>
      <c r="D524" s="941"/>
      <c r="E524" s="941"/>
      <c r="F524" s="463"/>
      <c r="G524" s="1465"/>
      <c r="H524" s="1465"/>
      <c r="I524" s="28"/>
      <c r="J524" s="28"/>
      <c r="K524" s="28"/>
      <c r="L524" s="28"/>
      <c r="M524" s="28"/>
      <c r="N524" s="1465"/>
      <c r="O524" s="1466"/>
    </row>
    <row r="525" ht="16.5" customHeight="1">
      <c r="A525" s="939"/>
      <c r="B525" s="833"/>
      <c r="C525" s="833"/>
      <c r="D525" s="833"/>
      <c r="E525" s="833"/>
      <c r="F525" s="463"/>
      <c r="G525" s="1465"/>
      <c r="H525" s="1465"/>
      <c r="I525" s="30"/>
      <c r="J525" s="30"/>
      <c r="K525" s="30"/>
      <c r="L525" s="30"/>
      <c r="M525" s="30"/>
      <c r="N525" s="1465"/>
      <c r="O525" s="1466"/>
    </row>
    <row r="526" ht="16.5" customHeight="1">
      <c r="A526" s="940"/>
      <c r="B526" s="941"/>
      <c r="C526" s="941"/>
      <c r="D526" s="941"/>
      <c r="E526" s="941"/>
      <c r="F526" s="463"/>
      <c r="G526" s="1465"/>
      <c r="H526" s="1465"/>
      <c r="I526" s="28"/>
      <c r="J526" s="28"/>
      <c r="K526" s="28"/>
      <c r="L526" s="28"/>
      <c r="M526" s="28"/>
      <c r="N526" s="1465"/>
      <c r="O526" s="1466"/>
    </row>
    <row r="527" ht="16.5" customHeight="1">
      <c r="A527" s="939"/>
      <c r="B527" s="833"/>
      <c r="C527" s="833"/>
      <c r="D527" s="833"/>
      <c r="E527" s="833"/>
      <c r="F527" s="463"/>
      <c r="G527" s="1465"/>
      <c r="H527" s="1465"/>
      <c r="I527" s="30"/>
      <c r="J527" s="30"/>
      <c r="K527" s="30"/>
      <c r="L527" s="30"/>
      <c r="M527" s="30"/>
      <c r="N527" s="1465"/>
      <c r="O527" s="1466"/>
    </row>
    <row r="528" ht="16.5" customHeight="1">
      <c r="A528" s="940"/>
      <c r="B528" s="941"/>
      <c r="C528" s="941"/>
      <c r="D528" s="941"/>
      <c r="E528" s="941"/>
      <c r="F528" s="463"/>
      <c r="G528" s="1465"/>
      <c r="H528" s="1465"/>
      <c r="I528" s="28"/>
      <c r="J528" s="28"/>
      <c r="K528" s="28"/>
      <c r="L528" s="28"/>
      <c r="M528" s="28"/>
      <c r="N528" s="1465"/>
      <c r="O528" s="1466"/>
    </row>
    <row r="529" ht="16.5" customHeight="1">
      <c r="A529" s="939"/>
      <c r="B529" s="833"/>
      <c r="C529" s="833"/>
      <c r="D529" s="833"/>
      <c r="E529" s="833"/>
      <c r="F529" s="463"/>
      <c r="G529" s="1465"/>
      <c r="H529" s="1465"/>
      <c r="I529" s="30"/>
      <c r="J529" s="30"/>
      <c r="K529" s="30"/>
      <c r="L529" s="30"/>
      <c r="M529" s="30"/>
      <c r="N529" s="1465"/>
      <c r="O529" s="1466"/>
    </row>
    <row r="530" ht="16.5" customHeight="1">
      <c r="A530" s="940"/>
      <c r="B530" s="941"/>
      <c r="C530" s="941"/>
      <c r="D530" s="941"/>
      <c r="E530" s="941"/>
      <c r="F530" s="463"/>
      <c r="G530" s="1465"/>
      <c r="H530" s="1465"/>
      <c r="I530" s="28"/>
      <c r="J530" s="28"/>
      <c r="K530" s="28"/>
      <c r="L530" s="28"/>
      <c r="M530" s="28"/>
      <c r="N530" s="1465"/>
      <c r="O530" s="1466"/>
    </row>
    <row r="531" ht="16.5" customHeight="1">
      <c r="A531" s="939"/>
      <c r="B531" s="833"/>
      <c r="C531" s="833"/>
      <c r="D531" s="833"/>
      <c r="E531" s="833"/>
      <c r="F531" s="463"/>
      <c r="G531" s="1465"/>
      <c r="H531" s="1465"/>
      <c r="I531" s="30"/>
      <c r="J531" s="30"/>
      <c r="K531" s="30"/>
      <c r="L531" s="30"/>
      <c r="M531" s="30"/>
      <c r="N531" s="1465"/>
      <c r="O531" s="1466"/>
    </row>
    <row r="532" ht="16.5" customHeight="1">
      <c r="A532" s="940"/>
      <c r="B532" s="941"/>
      <c r="C532" s="941"/>
      <c r="D532" s="941"/>
      <c r="E532" s="941"/>
      <c r="F532" s="463"/>
      <c r="G532" s="1465"/>
      <c r="H532" s="1465"/>
      <c r="I532" s="28"/>
      <c r="J532" s="28"/>
      <c r="K532" s="28"/>
      <c r="L532" s="28"/>
      <c r="M532" s="28"/>
      <c r="N532" s="1465"/>
      <c r="O532" s="1466"/>
    </row>
    <row r="533" ht="16.5" customHeight="1">
      <c r="A533" s="939"/>
      <c r="B533" s="833"/>
      <c r="C533" s="833"/>
      <c r="D533" s="833"/>
      <c r="E533" s="833"/>
      <c r="F533" s="463"/>
      <c r="G533" s="1465"/>
      <c r="H533" s="1465"/>
      <c r="I533" s="30"/>
      <c r="J533" s="30"/>
      <c r="K533" s="30"/>
      <c r="L533" s="30"/>
      <c r="M533" s="30"/>
      <c r="N533" s="1465"/>
      <c r="O533" s="1466"/>
    </row>
    <row r="534" ht="16.5" customHeight="1">
      <c r="A534" s="940"/>
      <c r="B534" s="941"/>
      <c r="C534" s="941"/>
      <c r="D534" s="941"/>
      <c r="E534" s="941"/>
      <c r="F534" s="463"/>
      <c r="G534" s="1465"/>
      <c r="H534" s="1465"/>
      <c r="I534" s="28"/>
      <c r="J534" s="28"/>
      <c r="K534" s="28"/>
      <c r="L534" s="28"/>
      <c r="M534" s="28"/>
      <c r="N534" s="1465"/>
      <c r="O534" s="1466"/>
    </row>
    <row r="535" ht="16.5" customHeight="1">
      <c r="A535" s="939"/>
      <c r="B535" s="833"/>
      <c r="C535" s="833"/>
      <c r="D535" s="833"/>
      <c r="E535" s="833"/>
      <c r="F535" s="463"/>
      <c r="G535" s="1465"/>
      <c r="H535" s="1465"/>
      <c r="I535" s="30"/>
      <c r="J535" s="30"/>
      <c r="K535" s="30"/>
      <c r="L535" s="30"/>
      <c r="M535" s="30"/>
      <c r="N535" s="1465"/>
      <c r="O535" s="1466"/>
    </row>
    <row r="536" ht="16.5" customHeight="1">
      <c r="A536" s="940"/>
      <c r="B536" s="941"/>
      <c r="C536" s="941"/>
      <c r="D536" s="941"/>
      <c r="E536" s="941"/>
      <c r="F536" s="463"/>
      <c r="G536" s="1465"/>
      <c r="H536" s="1465"/>
      <c r="I536" s="28"/>
      <c r="J536" s="28"/>
      <c r="K536" s="28"/>
      <c r="L536" s="28"/>
      <c r="M536" s="28"/>
      <c r="N536" s="1465"/>
      <c r="O536" s="1466"/>
    </row>
    <row r="537" ht="16.5" customHeight="1">
      <c r="A537" s="939"/>
      <c r="B537" s="833"/>
      <c r="C537" s="833"/>
      <c r="D537" s="833"/>
      <c r="E537" s="833"/>
      <c r="F537" s="463"/>
      <c r="G537" s="1465"/>
      <c r="H537" s="1465"/>
      <c r="I537" s="30"/>
      <c r="J537" s="30"/>
      <c r="K537" s="30"/>
      <c r="L537" s="30"/>
      <c r="M537" s="30"/>
      <c r="N537" s="1465"/>
      <c r="O537" s="1466"/>
    </row>
    <row r="538" ht="16.5" customHeight="1">
      <c r="A538" s="940"/>
      <c r="B538" s="941"/>
      <c r="C538" s="941"/>
      <c r="D538" s="941"/>
      <c r="E538" s="941"/>
      <c r="F538" s="463"/>
      <c r="G538" s="1465"/>
      <c r="H538" s="1465"/>
      <c r="I538" s="28"/>
      <c r="J538" s="28"/>
      <c r="K538" s="28"/>
      <c r="L538" s="28"/>
      <c r="M538" s="28"/>
      <c r="N538" s="1465"/>
      <c r="O538" s="1466"/>
    </row>
    <row r="539" ht="16.5" customHeight="1">
      <c r="A539" s="939"/>
      <c r="B539" s="833"/>
      <c r="C539" s="833"/>
      <c r="D539" s="833"/>
      <c r="E539" s="833"/>
      <c r="F539" s="463"/>
      <c r="G539" s="1465"/>
      <c r="H539" s="1465"/>
      <c r="I539" s="30"/>
      <c r="J539" s="30"/>
      <c r="K539" s="30"/>
      <c r="L539" s="30"/>
      <c r="M539" s="30"/>
      <c r="N539" s="1465"/>
      <c r="O539" s="1466"/>
    </row>
    <row r="540" ht="16.5" customHeight="1">
      <c r="A540" s="940"/>
      <c r="B540" s="941"/>
      <c r="C540" s="941"/>
      <c r="D540" s="941"/>
      <c r="E540" s="941"/>
      <c r="F540" s="463"/>
      <c r="G540" s="1465"/>
      <c r="H540" s="1465"/>
      <c r="I540" s="28"/>
      <c r="J540" s="28"/>
      <c r="K540" s="28"/>
      <c r="L540" s="28"/>
      <c r="M540" s="28"/>
      <c r="N540" s="1465"/>
      <c r="O540" s="1466"/>
    </row>
    <row r="541" ht="16.5" customHeight="1">
      <c r="A541" s="939"/>
      <c r="B541" s="833"/>
      <c r="C541" s="833"/>
      <c r="D541" s="833"/>
      <c r="E541" s="833"/>
      <c r="F541" s="463"/>
      <c r="G541" s="1465"/>
      <c r="H541" s="1465"/>
      <c r="I541" s="30"/>
      <c r="J541" s="30"/>
      <c r="K541" s="30"/>
      <c r="L541" s="30"/>
      <c r="M541" s="30"/>
      <c r="N541" s="1465"/>
      <c r="O541" s="1466"/>
    </row>
    <row r="542" ht="16.5" customHeight="1">
      <c r="A542" s="940"/>
      <c r="B542" s="941"/>
      <c r="C542" s="941"/>
      <c r="D542" s="941"/>
      <c r="E542" s="941"/>
      <c r="F542" s="463"/>
      <c r="G542" s="1465"/>
      <c r="H542" s="1465"/>
      <c r="I542" s="28"/>
      <c r="J542" s="28"/>
      <c r="K542" s="28"/>
      <c r="L542" s="28"/>
      <c r="M542" s="28"/>
      <c r="N542" s="1465"/>
      <c r="O542" s="1466"/>
    </row>
    <row r="543" ht="16.5" customHeight="1">
      <c r="A543" s="939"/>
      <c r="B543" s="833"/>
      <c r="C543" s="833"/>
      <c r="D543" s="833"/>
      <c r="E543" s="833"/>
      <c r="F543" s="463"/>
      <c r="G543" s="1465"/>
      <c r="H543" s="1465"/>
      <c r="I543" s="30"/>
      <c r="J543" s="30"/>
      <c r="K543" s="30"/>
      <c r="L543" s="30"/>
      <c r="M543" s="30"/>
      <c r="N543" s="1465"/>
      <c r="O543" s="1466"/>
    </row>
    <row r="544" ht="16.5" customHeight="1">
      <c r="A544" s="940"/>
      <c r="B544" s="941"/>
      <c r="C544" s="941"/>
      <c r="D544" s="941"/>
      <c r="E544" s="941"/>
      <c r="F544" s="463"/>
      <c r="G544" s="1465"/>
      <c r="H544" s="1465"/>
      <c r="I544" s="28"/>
      <c r="J544" s="28"/>
      <c r="K544" s="28"/>
      <c r="L544" s="28"/>
      <c r="M544" s="28"/>
      <c r="N544" s="1465"/>
      <c r="O544" s="1466"/>
    </row>
    <row r="545" ht="16.5" customHeight="1">
      <c r="A545" s="939"/>
      <c r="B545" s="833"/>
      <c r="C545" s="833"/>
      <c r="D545" s="833"/>
      <c r="E545" s="833"/>
      <c r="F545" s="463"/>
      <c r="G545" s="1465"/>
      <c r="H545" s="1465"/>
      <c r="I545" s="30"/>
      <c r="J545" s="30"/>
      <c r="K545" s="30"/>
      <c r="L545" s="30"/>
      <c r="M545" s="30"/>
      <c r="N545" s="1465"/>
      <c r="O545" s="1466"/>
    </row>
    <row r="546" ht="16.5" customHeight="1">
      <c r="A546" s="940"/>
      <c r="B546" s="941"/>
      <c r="C546" s="941"/>
      <c r="D546" s="941"/>
      <c r="E546" s="941"/>
      <c r="F546" s="463"/>
      <c r="G546" s="1465"/>
      <c r="H546" s="1465"/>
      <c r="I546" s="28"/>
      <c r="J546" s="28"/>
      <c r="K546" s="28"/>
      <c r="L546" s="28"/>
      <c r="M546" s="28"/>
      <c r="N546" s="1465"/>
      <c r="O546" s="1466"/>
    </row>
    <row r="547" ht="16.5" customHeight="1">
      <c r="A547" s="939"/>
      <c r="B547" s="833"/>
      <c r="C547" s="833"/>
      <c r="D547" s="833"/>
      <c r="E547" s="833"/>
      <c r="F547" s="463"/>
      <c r="G547" s="1465"/>
      <c r="H547" s="1465"/>
      <c r="I547" s="30"/>
      <c r="J547" s="30"/>
      <c r="K547" s="30"/>
      <c r="L547" s="30"/>
      <c r="M547" s="30"/>
      <c r="N547" s="1465"/>
      <c r="O547" s="1466"/>
    </row>
    <row r="548" ht="16.5" customHeight="1">
      <c r="A548" s="940"/>
      <c r="B548" s="941"/>
      <c r="C548" s="941"/>
      <c r="D548" s="941"/>
      <c r="E548" s="941"/>
      <c r="F548" s="463"/>
      <c r="G548" s="1465"/>
      <c r="H548" s="1465"/>
      <c r="I548" s="28"/>
      <c r="J548" s="28"/>
      <c r="K548" s="28"/>
      <c r="L548" s="28"/>
      <c r="M548" s="28"/>
      <c r="N548" s="1465"/>
      <c r="O548" s="1466"/>
    </row>
    <row r="549" ht="16.5" customHeight="1">
      <c r="A549" s="939"/>
      <c r="B549" s="833"/>
      <c r="C549" s="833"/>
      <c r="D549" s="833"/>
      <c r="E549" s="833"/>
      <c r="F549" s="463"/>
      <c r="G549" s="1465"/>
      <c r="H549" s="1465"/>
      <c r="I549" s="30"/>
      <c r="J549" s="30"/>
      <c r="K549" s="30"/>
      <c r="L549" s="30"/>
      <c r="M549" s="30"/>
      <c r="N549" s="1465"/>
      <c r="O549" s="1466"/>
    </row>
    <row r="550" ht="16.5" customHeight="1">
      <c r="A550" s="940"/>
      <c r="B550" s="941"/>
      <c r="C550" s="941"/>
      <c r="D550" s="941"/>
      <c r="E550" s="941"/>
      <c r="F550" s="463"/>
      <c r="G550" s="1465"/>
      <c r="H550" s="1465"/>
      <c r="I550" s="28"/>
      <c r="J550" s="28"/>
      <c r="K550" s="28"/>
      <c r="L550" s="28"/>
      <c r="M550" s="28"/>
      <c r="N550" s="1465"/>
      <c r="O550" s="1466"/>
    </row>
    <row r="551" ht="16.5" customHeight="1">
      <c r="A551" s="939"/>
      <c r="B551" s="833"/>
      <c r="C551" s="833"/>
      <c r="D551" s="833"/>
      <c r="E551" s="833"/>
      <c r="F551" s="463"/>
      <c r="G551" s="1465"/>
      <c r="H551" s="1465"/>
      <c r="I551" s="30"/>
      <c r="J551" s="30"/>
      <c r="K551" s="30"/>
      <c r="L551" s="30"/>
      <c r="M551" s="30"/>
      <c r="N551" s="1465"/>
      <c r="O551" s="1466"/>
    </row>
    <row r="552" ht="16.5" customHeight="1">
      <c r="A552" s="940"/>
      <c r="B552" s="941"/>
      <c r="C552" s="941"/>
      <c r="D552" s="941"/>
      <c r="E552" s="941"/>
      <c r="F552" s="463"/>
      <c r="G552" s="1465"/>
      <c r="H552" s="1465"/>
      <c r="I552" s="28"/>
      <c r="J552" s="28"/>
      <c r="K552" s="28"/>
      <c r="L552" s="28"/>
      <c r="M552" s="28"/>
      <c r="N552" s="1465"/>
      <c r="O552" s="1466"/>
    </row>
    <row r="553" ht="16.5" customHeight="1">
      <c r="A553" s="939"/>
      <c r="B553" s="833"/>
      <c r="C553" s="833"/>
      <c r="D553" s="833"/>
      <c r="E553" s="833"/>
      <c r="F553" s="463"/>
      <c r="G553" s="1465"/>
      <c r="H553" s="1465"/>
      <c r="I553" s="30"/>
      <c r="J553" s="30"/>
      <c r="K553" s="30"/>
      <c r="L553" s="30"/>
      <c r="M553" s="30"/>
      <c r="N553" s="1465"/>
      <c r="O553" s="1466"/>
    </row>
    <row r="554" ht="16.5" customHeight="1">
      <c r="A554" s="940"/>
      <c r="B554" s="941"/>
      <c r="C554" s="941"/>
      <c r="D554" s="941"/>
      <c r="E554" s="941"/>
      <c r="F554" s="463"/>
      <c r="G554" s="1465"/>
      <c r="H554" s="1465"/>
      <c r="I554" s="28"/>
      <c r="J554" s="28"/>
      <c r="K554" s="28"/>
      <c r="L554" s="28"/>
      <c r="M554" s="28"/>
      <c r="N554" s="1465"/>
      <c r="O554" s="1466"/>
    </row>
    <row r="555" ht="16.5" customHeight="1">
      <c r="A555" s="939"/>
      <c r="B555" s="833"/>
      <c r="C555" s="833"/>
      <c r="D555" s="833"/>
      <c r="E555" s="833"/>
      <c r="F555" s="463"/>
      <c r="G555" s="1465"/>
      <c r="H555" s="1465"/>
      <c r="I555" s="30"/>
      <c r="J555" s="30"/>
      <c r="K555" s="30"/>
      <c r="L555" s="30"/>
      <c r="M555" s="30"/>
      <c r="N555" s="1465"/>
      <c r="O555" s="1466"/>
    </row>
    <row r="556" ht="16.5" customHeight="1">
      <c r="A556" s="940"/>
      <c r="B556" s="941"/>
      <c r="C556" s="941"/>
      <c r="D556" s="941"/>
      <c r="E556" s="941"/>
      <c r="F556" s="463"/>
      <c r="G556" s="1465"/>
      <c r="H556" s="1465"/>
      <c r="I556" s="28"/>
      <c r="J556" s="28"/>
      <c r="K556" s="28"/>
      <c r="L556" s="28"/>
      <c r="M556" s="28"/>
      <c r="N556" s="1465"/>
      <c r="O556" s="1466"/>
    </row>
    <row r="557" ht="16.5" customHeight="1">
      <c r="A557" s="939"/>
      <c r="B557" s="833"/>
      <c r="C557" s="833"/>
      <c r="D557" s="833"/>
      <c r="E557" s="833"/>
      <c r="F557" s="463"/>
      <c r="G557" s="1465"/>
      <c r="H557" s="1465"/>
      <c r="I557" s="30"/>
      <c r="J557" s="30"/>
      <c r="K557" s="30"/>
      <c r="L557" s="30"/>
      <c r="M557" s="30"/>
      <c r="N557" s="1465"/>
      <c r="O557" s="1466"/>
    </row>
    <row r="558" ht="16.5" customHeight="1">
      <c r="A558" s="940"/>
      <c r="B558" s="941"/>
      <c r="C558" s="941"/>
      <c r="D558" s="941"/>
      <c r="E558" s="941"/>
      <c r="F558" s="463"/>
      <c r="G558" s="1465"/>
      <c r="H558" s="1465"/>
      <c r="I558" s="28"/>
      <c r="J558" s="28"/>
      <c r="K558" s="28"/>
      <c r="L558" s="28"/>
      <c r="M558" s="28"/>
      <c r="N558" s="1465"/>
      <c r="O558" s="1466"/>
    </row>
    <row r="559" ht="16.5" customHeight="1">
      <c r="A559" s="939"/>
      <c r="B559" s="833"/>
      <c r="C559" s="833"/>
      <c r="D559" s="833"/>
      <c r="E559" s="833"/>
      <c r="F559" s="463"/>
      <c r="G559" s="1465"/>
      <c r="H559" s="1465"/>
      <c r="I559" s="30"/>
      <c r="J559" s="30"/>
      <c r="K559" s="30"/>
      <c r="L559" s="30"/>
      <c r="M559" s="30"/>
      <c r="N559" s="1465"/>
      <c r="O559" s="1466"/>
    </row>
    <row r="560" ht="16.5" customHeight="1">
      <c r="A560" s="940"/>
      <c r="B560" s="941"/>
      <c r="C560" s="941"/>
      <c r="D560" s="941"/>
      <c r="E560" s="941"/>
      <c r="F560" s="463"/>
      <c r="G560" s="1465"/>
      <c r="H560" s="1465"/>
      <c r="I560" s="28"/>
      <c r="J560" s="28"/>
      <c r="K560" s="28"/>
      <c r="L560" s="28"/>
      <c r="M560" s="28"/>
      <c r="N560" s="1465"/>
      <c r="O560" s="1466"/>
    </row>
    <row r="561" ht="16.5" customHeight="1">
      <c r="A561" s="939"/>
      <c r="B561" s="833"/>
      <c r="C561" s="833"/>
      <c r="D561" s="833"/>
      <c r="E561" s="833"/>
      <c r="F561" s="463"/>
      <c r="G561" s="1465"/>
      <c r="H561" s="1465"/>
      <c r="I561" s="30"/>
      <c r="J561" s="30"/>
      <c r="K561" s="30"/>
      <c r="L561" s="30"/>
      <c r="M561" s="30"/>
      <c r="N561" s="1465"/>
      <c r="O561" s="1466"/>
    </row>
    <row r="562" ht="16.5" customHeight="1">
      <c r="A562" s="940"/>
      <c r="B562" s="941"/>
      <c r="C562" s="941"/>
      <c r="D562" s="941"/>
      <c r="E562" s="941"/>
      <c r="F562" s="463"/>
      <c r="G562" s="1465"/>
      <c r="H562" s="1465"/>
      <c r="I562" s="28"/>
      <c r="J562" s="28"/>
      <c r="K562" s="28"/>
      <c r="L562" s="28"/>
      <c r="M562" s="28"/>
      <c r="N562" s="1465"/>
      <c r="O562" s="1466"/>
    </row>
    <row r="563" ht="16.5" customHeight="1">
      <c r="A563" s="939"/>
      <c r="B563" s="833"/>
      <c r="C563" s="833"/>
      <c r="D563" s="833"/>
      <c r="E563" s="833"/>
      <c r="F563" s="463"/>
      <c r="G563" s="1465"/>
      <c r="H563" s="1465"/>
      <c r="I563" s="30"/>
      <c r="J563" s="30"/>
      <c r="K563" s="30"/>
      <c r="L563" s="30"/>
      <c r="M563" s="30"/>
      <c r="N563" s="1465"/>
      <c r="O563" s="1466"/>
    </row>
    <row r="564" ht="16.5" customHeight="1">
      <c r="A564" s="940"/>
      <c r="B564" s="941"/>
      <c r="C564" s="941"/>
      <c r="D564" s="941"/>
      <c r="E564" s="941"/>
      <c r="F564" s="463"/>
      <c r="G564" s="1465"/>
      <c r="H564" s="1465"/>
      <c r="I564" s="28"/>
      <c r="J564" s="28"/>
      <c r="K564" s="28"/>
      <c r="L564" s="28"/>
      <c r="M564" s="28"/>
      <c r="N564" s="1465"/>
      <c r="O564" s="1466"/>
    </row>
    <row r="565" ht="16.5" customHeight="1">
      <c r="A565" s="939"/>
      <c r="B565" s="833"/>
      <c r="C565" s="833"/>
      <c r="D565" s="833"/>
      <c r="E565" s="833"/>
      <c r="F565" s="463"/>
      <c r="G565" s="1465"/>
      <c r="H565" s="1465"/>
      <c r="I565" s="30"/>
      <c r="J565" s="30"/>
      <c r="K565" s="30"/>
      <c r="L565" s="30"/>
      <c r="M565" s="30"/>
      <c r="N565" s="1465"/>
      <c r="O565" s="1466"/>
    </row>
    <row r="566" ht="16.5" customHeight="1">
      <c r="A566" s="940"/>
      <c r="B566" s="941"/>
      <c r="C566" s="941"/>
      <c r="D566" s="941"/>
      <c r="E566" s="941"/>
      <c r="F566" s="463"/>
      <c r="G566" s="1465"/>
      <c r="H566" s="1465"/>
      <c r="I566" s="28"/>
      <c r="J566" s="28"/>
      <c r="K566" s="28"/>
      <c r="L566" s="28"/>
      <c r="M566" s="28"/>
      <c r="N566" s="1465"/>
      <c r="O566" s="1466"/>
    </row>
    <row r="567" ht="16.5" customHeight="1">
      <c r="A567" s="939"/>
      <c r="B567" s="833"/>
      <c r="C567" s="833"/>
      <c r="D567" s="833"/>
      <c r="E567" s="833"/>
      <c r="F567" s="463"/>
      <c r="G567" s="1465"/>
      <c r="H567" s="1465"/>
      <c r="I567" s="30"/>
      <c r="J567" s="30"/>
      <c r="K567" s="30"/>
      <c r="L567" s="30"/>
      <c r="M567" s="30"/>
      <c r="N567" s="1465"/>
      <c r="O567" s="1466"/>
    </row>
    <row r="568" ht="16.5" customHeight="1">
      <c r="A568" s="940"/>
      <c r="B568" s="941"/>
      <c r="C568" s="941"/>
      <c r="D568" s="941"/>
      <c r="E568" s="941"/>
      <c r="F568" s="463"/>
      <c r="G568" s="1465"/>
      <c r="H568" s="1465"/>
      <c r="I568" s="28"/>
      <c r="J568" s="28"/>
      <c r="K568" s="28"/>
      <c r="L568" s="28"/>
      <c r="M568" s="28"/>
      <c r="N568" s="1465"/>
      <c r="O568" s="1466"/>
    </row>
    <row r="569" ht="16.5" customHeight="1">
      <c r="A569" s="939"/>
      <c r="B569" s="833"/>
      <c r="C569" s="833"/>
      <c r="D569" s="833"/>
      <c r="E569" s="833"/>
      <c r="F569" s="463"/>
      <c r="G569" s="1465"/>
      <c r="H569" s="1465"/>
      <c r="I569" s="30"/>
      <c r="J569" s="30"/>
      <c r="K569" s="30"/>
      <c r="L569" s="30"/>
      <c r="M569" s="30"/>
      <c r="N569" s="1465"/>
      <c r="O569" s="1466"/>
    </row>
    <row r="570" ht="16.5" customHeight="1">
      <c r="A570" s="940"/>
      <c r="B570" s="941"/>
      <c r="C570" s="941"/>
      <c r="D570" s="941"/>
      <c r="E570" s="941"/>
      <c r="F570" s="463"/>
      <c r="G570" s="1465"/>
      <c r="H570" s="1465"/>
      <c r="I570" s="28"/>
      <c r="J570" s="28"/>
      <c r="K570" s="28"/>
      <c r="L570" s="28"/>
      <c r="M570" s="28"/>
      <c r="N570" s="1465"/>
      <c r="O570" s="1466"/>
    </row>
    <row r="571" ht="16.5" customHeight="1">
      <c r="A571" s="939"/>
      <c r="B571" s="833"/>
      <c r="C571" s="833"/>
      <c r="D571" s="833"/>
      <c r="E571" s="833"/>
      <c r="F571" s="463"/>
      <c r="G571" s="1465"/>
      <c r="H571" s="1465"/>
      <c r="I571" s="30"/>
      <c r="J571" s="30"/>
      <c r="K571" s="30"/>
      <c r="L571" s="30"/>
      <c r="M571" s="30"/>
      <c r="N571" s="1465"/>
      <c r="O571" s="1466"/>
    </row>
    <row r="572" ht="16.5" customHeight="1">
      <c r="A572" s="940"/>
      <c r="B572" s="941"/>
      <c r="C572" s="941"/>
      <c r="D572" s="941"/>
      <c r="E572" s="941"/>
      <c r="F572" s="463"/>
      <c r="G572" s="1465"/>
      <c r="H572" s="1465"/>
      <c r="I572" s="28"/>
      <c r="J572" s="28"/>
      <c r="K572" s="28"/>
      <c r="L572" s="28"/>
      <c r="M572" s="28"/>
      <c r="N572" s="1465"/>
      <c r="O572" s="1466"/>
    </row>
    <row r="573" ht="16.5" customHeight="1">
      <c r="A573" s="939"/>
      <c r="B573" s="833"/>
      <c r="C573" s="833"/>
      <c r="D573" s="833"/>
      <c r="E573" s="833"/>
      <c r="F573" s="463"/>
      <c r="G573" s="1465"/>
      <c r="H573" s="1465"/>
      <c r="I573" s="30"/>
      <c r="J573" s="30"/>
      <c r="K573" s="30"/>
      <c r="L573" s="30"/>
      <c r="M573" s="30"/>
      <c r="N573" s="1465"/>
      <c r="O573" s="1466"/>
    </row>
    <row r="574" ht="16.5" customHeight="1">
      <c r="A574" s="940"/>
      <c r="B574" s="941"/>
      <c r="C574" s="941"/>
      <c r="D574" s="941"/>
      <c r="E574" s="941"/>
      <c r="F574" s="463"/>
      <c r="G574" s="1465"/>
      <c r="H574" s="1465"/>
      <c r="I574" s="28"/>
      <c r="J574" s="28"/>
      <c r="K574" s="28"/>
      <c r="L574" s="28"/>
      <c r="M574" s="28"/>
      <c r="N574" s="1465"/>
      <c r="O574" s="1466"/>
    </row>
    <row r="575" ht="16.5" customHeight="1">
      <c r="A575" s="939"/>
      <c r="B575" s="833"/>
      <c r="C575" s="833"/>
      <c r="D575" s="833"/>
      <c r="E575" s="833"/>
      <c r="F575" s="463"/>
      <c r="G575" s="1465"/>
      <c r="H575" s="1465"/>
      <c r="I575" s="30"/>
      <c r="J575" s="30"/>
      <c r="K575" s="30"/>
      <c r="L575" s="30"/>
      <c r="M575" s="30"/>
      <c r="N575" s="1465"/>
      <c r="O575" s="1466"/>
    </row>
    <row r="576" ht="16.5" customHeight="1">
      <c r="A576" s="940"/>
      <c r="B576" s="941"/>
      <c r="C576" s="941"/>
      <c r="D576" s="941"/>
      <c r="E576" s="941"/>
      <c r="F576" s="463"/>
      <c r="G576" s="1465"/>
      <c r="H576" s="1465"/>
      <c r="I576" s="28"/>
      <c r="J576" s="28"/>
      <c r="K576" s="28"/>
      <c r="L576" s="28"/>
      <c r="M576" s="28"/>
      <c r="N576" s="1465"/>
      <c r="O576" s="1466"/>
    </row>
    <row r="577" ht="16.5" customHeight="1">
      <c r="A577" s="939"/>
      <c r="B577" s="833"/>
      <c r="C577" s="833"/>
      <c r="D577" s="833"/>
      <c r="E577" s="833"/>
      <c r="F577" s="463"/>
      <c r="G577" s="1465"/>
      <c r="H577" s="1465"/>
      <c r="I577" s="30"/>
      <c r="J577" s="30"/>
      <c r="K577" s="30"/>
      <c r="L577" s="30"/>
      <c r="M577" s="30"/>
      <c r="N577" s="1465"/>
      <c r="O577" s="1466"/>
    </row>
    <row r="578" ht="16.5" customHeight="1">
      <c r="A578" s="940"/>
      <c r="B578" s="941"/>
      <c r="C578" s="941"/>
      <c r="D578" s="941"/>
      <c r="E578" s="941"/>
      <c r="F578" s="463"/>
      <c r="G578" s="1465"/>
      <c r="H578" s="1465"/>
      <c r="I578" s="28"/>
      <c r="J578" s="28"/>
      <c r="K578" s="28"/>
      <c r="L578" s="28"/>
      <c r="M578" s="28"/>
      <c r="N578" s="1465"/>
      <c r="O578" s="1466"/>
    </row>
    <row r="579" ht="16.5" customHeight="1">
      <c r="A579" s="939"/>
      <c r="B579" s="833"/>
      <c r="C579" s="833"/>
      <c r="D579" s="833"/>
      <c r="E579" s="833"/>
      <c r="F579" s="463"/>
      <c r="G579" s="1465"/>
      <c r="H579" s="1465"/>
      <c r="I579" s="30"/>
      <c r="J579" s="30"/>
      <c r="K579" s="30"/>
      <c r="L579" s="30"/>
      <c r="M579" s="30"/>
      <c r="N579" s="1465"/>
      <c r="O579" s="1466"/>
    </row>
    <row r="580" ht="16.5" customHeight="1">
      <c r="A580" s="940"/>
      <c r="B580" s="941"/>
      <c r="C580" s="941"/>
      <c r="D580" s="941"/>
      <c r="E580" s="941"/>
      <c r="F580" s="463"/>
      <c r="G580" s="1465"/>
      <c r="H580" s="1465"/>
      <c r="I580" s="28"/>
      <c r="J580" s="28"/>
      <c r="K580" s="28"/>
      <c r="L580" s="28"/>
      <c r="M580" s="28"/>
      <c r="N580" s="1465"/>
      <c r="O580" s="1466"/>
    </row>
    <row r="581" ht="16.5" customHeight="1">
      <c r="A581" s="939"/>
      <c r="B581" s="833"/>
      <c r="C581" s="833"/>
      <c r="D581" s="833"/>
      <c r="E581" s="833"/>
      <c r="F581" s="463"/>
      <c r="G581" s="1465"/>
      <c r="H581" s="1465"/>
      <c r="I581" s="30"/>
      <c r="J581" s="30"/>
      <c r="K581" s="30"/>
      <c r="L581" s="30"/>
      <c r="M581" s="30"/>
      <c r="N581" s="1465"/>
      <c r="O581" s="1466"/>
    </row>
    <row r="582" ht="16.5" customHeight="1">
      <c r="A582" s="940"/>
      <c r="B582" s="941"/>
      <c r="C582" s="941"/>
      <c r="D582" s="941"/>
      <c r="E582" s="941"/>
      <c r="F582" s="463"/>
      <c r="G582" s="1465"/>
      <c r="H582" s="1465"/>
      <c r="I582" s="28"/>
      <c r="J582" s="28"/>
      <c r="K582" s="28"/>
      <c r="L582" s="28"/>
      <c r="M582" s="28"/>
      <c r="N582" s="1465"/>
      <c r="O582" s="1466"/>
    </row>
    <row r="583" ht="16.5" customHeight="1">
      <c r="A583" s="939"/>
      <c r="B583" s="833"/>
      <c r="C583" s="833"/>
      <c r="D583" s="833"/>
      <c r="E583" s="833"/>
      <c r="F583" s="463"/>
      <c r="G583" s="1465"/>
      <c r="H583" s="1465"/>
      <c r="I583" s="30"/>
      <c r="J583" s="30"/>
      <c r="K583" s="30"/>
      <c r="L583" s="30"/>
      <c r="M583" s="30"/>
      <c r="N583" s="1465"/>
      <c r="O583" s="1466"/>
    </row>
    <row r="584" ht="16.5" customHeight="1">
      <c r="A584" s="940"/>
      <c r="B584" s="941"/>
      <c r="C584" s="941"/>
      <c r="D584" s="941"/>
      <c r="E584" s="941"/>
      <c r="F584" s="463"/>
      <c r="G584" s="1465"/>
      <c r="H584" s="1465"/>
      <c r="I584" s="28"/>
      <c r="J584" s="28"/>
      <c r="K584" s="28"/>
      <c r="L584" s="28"/>
      <c r="M584" s="28"/>
      <c r="N584" s="1465"/>
      <c r="O584" s="1466"/>
    </row>
    <row r="585" ht="16.5" customHeight="1">
      <c r="A585" s="939"/>
      <c r="B585" s="833"/>
      <c r="C585" s="833"/>
      <c r="D585" s="833"/>
      <c r="E585" s="833"/>
      <c r="F585" s="463"/>
      <c r="G585" s="1465"/>
      <c r="H585" s="1465"/>
      <c r="I585" s="30"/>
      <c r="J585" s="30"/>
      <c r="K585" s="30"/>
      <c r="L585" s="30"/>
      <c r="M585" s="30"/>
      <c r="N585" s="1465"/>
      <c r="O585" s="1466"/>
    </row>
    <row r="586" ht="16.5" customHeight="1">
      <c r="A586" s="940"/>
      <c r="B586" s="941"/>
      <c r="C586" s="941"/>
      <c r="D586" s="941"/>
      <c r="E586" s="941"/>
      <c r="F586" s="463"/>
      <c r="G586" s="1465"/>
      <c r="H586" s="1465"/>
      <c r="I586" s="28"/>
      <c r="J586" s="28"/>
      <c r="K586" s="28"/>
      <c r="L586" s="28"/>
      <c r="M586" s="28"/>
      <c r="N586" s="1465"/>
      <c r="O586" s="1466"/>
    </row>
    <row r="587" ht="16.5" customHeight="1">
      <c r="A587" s="939"/>
      <c r="B587" s="833"/>
      <c r="C587" s="833"/>
      <c r="D587" s="833"/>
      <c r="E587" s="833"/>
      <c r="F587" s="463"/>
      <c r="G587" s="1465"/>
      <c r="H587" s="1465"/>
      <c r="I587" s="30"/>
      <c r="J587" s="30"/>
      <c r="K587" s="30"/>
      <c r="L587" s="30"/>
      <c r="M587" s="30"/>
      <c r="N587" s="1465"/>
      <c r="O587" s="1466"/>
    </row>
    <row r="588" ht="16.5" customHeight="1">
      <c r="A588" s="940"/>
      <c r="B588" s="941"/>
      <c r="C588" s="941"/>
      <c r="D588" s="941"/>
      <c r="E588" s="941"/>
      <c r="F588" s="463"/>
      <c r="G588" s="1465"/>
      <c r="H588" s="1465"/>
      <c r="I588" s="28"/>
      <c r="J588" s="28"/>
      <c r="K588" s="28"/>
      <c r="L588" s="28"/>
      <c r="M588" s="28"/>
      <c r="N588" s="1465"/>
      <c r="O588" s="1466"/>
    </row>
    <row r="589" ht="16.5" customHeight="1">
      <c r="A589" s="939"/>
      <c r="B589" s="833"/>
      <c r="C589" s="833"/>
      <c r="D589" s="833"/>
      <c r="E589" s="833"/>
      <c r="F589" s="463"/>
      <c r="G589" s="1465"/>
      <c r="H589" s="1465"/>
      <c r="I589" s="30"/>
      <c r="J589" s="30"/>
      <c r="K589" s="30"/>
      <c r="L589" s="30"/>
      <c r="M589" s="30"/>
      <c r="N589" s="1465"/>
      <c r="O589" s="1466"/>
    </row>
    <row r="590" ht="16.5" customHeight="1">
      <c r="A590" s="940"/>
      <c r="B590" s="941"/>
      <c r="C590" s="941"/>
      <c r="D590" s="941"/>
      <c r="E590" s="941"/>
      <c r="F590" s="463"/>
      <c r="G590" s="1465"/>
      <c r="H590" s="1465"/>
      <c r="I590" s="28"/>
      <c r="J590" s="28"/>
      <c r="K590" s="28"/>
      <c r="L590" s="28"/>
      <c r="M590" s="28"/>
      <c r="N590" s="1465"/>
      <c r="O590" s="1466"/>
    </row>
    <row r="591" ht="16.5" customHeight="1">
      <c r="A591" s="939"/>
      <c r="B591" s="833"/>
      <c r="C591" s="833"/>
      <c r="D591" s="833"/>
      <c r="E591" s="833"/>
      <c r="F591" s="463"/>
      <c r="G591" s="1465"/>
      <c r="H591" s="1465"/>
      <c r="I591" s="30"/>
      <c r="J591" s="30"/>
      <c r="K591" s="30"/>
      <c r="L591" s="30"/>
      <c r="M591" s="30"/>
      <c r="N591" s="1465"/>
      <c r="O591" s="1466"/>
    </row>
    <row r="592" ht="16.5" customHeight="1">
      <c r="A592" s="940"/>
      <c r="B592" s="941"/>
      <c r="C592" s="941"/>
      <c r="D592" s="941"/>
      <c r="E592" s="941"/>
      <c r="F592" s="463"/>
      <c r="G592" s="1465"/>
      <c r="H592" s="1465"/>
      <c r="I592" s="28"/>
      <c r="J592" s="28"/>
      <c r="K592" s="28"/>
      <c r="L592" s="28"/>
      <c r="M592" s="28"/>
      <c r="N592" s="1465"/>
      <c r="O592" s="1466"/>
    </row>
    <row r="593" ht="16.5" customHeight="1">
      <c r="A593" s="939"/>
      <c r="B593" s="833"/>
      <c r="C593" s="833"/>
      <c r="D593" s="833"/>
      <c r="E593" s="833"/>
      <c r="F593" s="463"/>
      <c r="G593" s="1465"/>
      <c r="H593" s="1465"/>
      <c r="I593" s="30"/>
      <c r="J593" s="30"/>
      <c r="K593" s="30"/>
      <c r="L593" s="30"/>
      <c r="M593" s="30"/>
      <c r="N593" s="1465"/>
      <c r="O593" s="1466"/>
    </row>
    <row r="594" ht="16.5" customHeight="1">
      <c r="A594" s="940"/>
      <c r="B594" s="941"/>
      <c r="C594" s="941"/>
      <c r="D594" s="941"/>
      <c r="E594" s="941"/>
      <c r="F594" s="463"/>
      <c r="G594" s="1465"/>
      <c r="H594" s="1465"/>
      <c r="I594" s="28"/>
      <c r="J594" s="28"/>
      <c r="K594" s="28"/>
      <c r="L594" s="28"/>
      <c r="M594" s="28"/>
      <c r="N594" s="1465"/>
      <c r="O594" s="1466"/>
    </row>
    <row r="595" ht="16.5" customHeight="1">
      <c r="A595" s="939"/>
      <c r="B595" s="833"/>
      <c r="C595" s="833"/>
      <c r="D595" s="833"/>
      <c r="E595" s="833"/>
      <c r="F595" s="463"/>
      <c r="G595" s="1465"/>
      <c r="H595" s="1465"/>
      <c r="I595" s="30"/>
      <c r="J595" s="30"/>
      <c r="K595" s="30"/>
      <c r="L595" s="30"/>
      <c r="M595" s="30"/>
      <c r="N595" s="1465"/>
      <c r="O595" s="1466"/>
    </row>
    <row r="596" ht="16.5" customHeight="1">
      <c r="A596" s="940"/>
      <c r="B596" s="941"/>
      <c r="C596" s="941"/>
      <c r="D596" s="941"/>
      <c r="E596" s="941"/>
      <c r="F596" s="463"/>
      <c r="G596" s="1465"/>
      <c r="H596" s="1465"/>
      <c r="I596" s="28"/>
      <c r="J596" s="28"/>
      <c r="K596" s="28"/>
      <c r="L596" s="28"/>
      <c r="M596" s="28"/>
      <c r="N596" s="1465"/>
      <c r="O596" s="1466"/>
    </row>
    <row r="597" ht="16.5" customHeight="1">
      <c r="A597" s="939"/>
      <c r="B597" s="833"/>
      <c r="C597" s="833"/>
      <c r="D597" s="833"/>
      <c r="E597" s="833"/>
      <c r="F597" s="463"/>
      <c r="G597" s="1465"/>
      <c r="H597" s="1465"/>
      <c r="I597" s="30"/>
      <c r="J597" s="30"/>
      <c r="K597" s="30"/>
      <c r="L597" s="30"/>
      <c r="M597" s="30"/>
      <c r="N597" s="1465"/>
      <c r="O597" s="1466"/>
    </row>
    <row r="598" ht="16.5" customHeight="1">
      <c r="A598" s="940"/>
      <c r="B598" s="941"/>
      <c r="C598" s="941"/>
      <c r="D598" s="941"/>
      <c r="E598" s="941"/>
      <c r="F598" s="463"/>
      <c r="G598" s="1465"/>
      <c r="H598" s="1465"/>
      <c r="I598" s="28"/>
      <c r="J598" s="28"/>
      <c r="K598" s="28"/>
      <c r="L598" s="28"/>
      <c r="M598" s="28"/>
      <c r="N598" s="1465"/>
      <c r="O598" s="1466"/>
    </row>
    <row r="599" ht="16.5" customHeight="1">
      <c r="A599" s="939"/>
      <c r="B599" s="833"/>
      <c r="C599" s="833"/>
      <c r="D599" s="833"/>
      <c r="E599" s="833"/>
      <c r="F599" s="463"/>
      <c r="G599" s="1465"/>
      <c r="H599" s="1465"/>
      <c r="I599" s="30"/>
      <c r="J599" s="30"/>
      <c r="K599" s="30"/>
      <c r="L599" s="30"/>
      <c r="M599" s="30"/>
      <c r="N599" s="1465"/>
      <c r="O599" s="1466"/>
    </row>
    <row r="600" ht="16.5" customHeight="1">
      <c r="A600" s="940"/>
      <c r="B600" s="941"/>
      <c r="C600" s="941"/>
      <c r="D600" s="941"/>
      <c r="E600" s="941"/>
      <c r="F600" s="463"/>
      <c r="G600" s="1465"/>
      <c r="H600" s="1465"/>
      <c r="I600" s="28"/>
      <c r="J600" s="28"/>
      <c r="K600" s="28"/>
      <c r="L600" s="28"/>
      <c r="M600" s="28"/>
      <c r="N600" s="1465"/>
      <c r="O600" s="1466"/>
    </row>
    <row r="601" ht="16.5" customHeight="1">
      <c r="A601" s="939"/>
      <c r="B601" s="833"/>
      <c r="C601" s="833"/>
      <c r="D601" s="833"/>
      <c r="E601" s="833"/>
      <c r="F601" s="463"/>
      <c r="G601" s="1465"/>
      <c r="H601" s="1465"/>
      <c r="I601" s="30"/>
      <c r="J601" s="30"/>
      <c r="K601" s="30"/>
      <c r="L601" s="30"/>
      <c r="M601" s="30"/>
      <c r="N601" s="1465"/>
      <c r="O601" s="1466"/>
    </row>
    <row r="602" ht="16.5" customHeight="1">
      <c r="A602" s="940"/>
      <c r="B602" s="941"/>
      <c r="C602" s="941"/>
      <c r="D602" s="941"/>
      <c r="E602" s="941"/>
      <c r="F602" s="463"/>
      <c r="G602" s="1465"/>
      <c r="H602" s="1465"/>
      <c r="I602" s="28"/>
      <c r="J602" s="28"/>
      <c r="K602" s="28"/>
      <c r="L602" s="28"/>
      <c r="M602" s="28"/>
      <c r="N602" s="1465"/>
      <c r="O602" s="1466"/>
    </row>
    <row r="603" ht="16.5" customHeight="1">
      <c r="A603" s="939"/>
      <c r="B603" s="833"/>
      <c r="C603" s="833"/>
      <c r="D603" s="833"/>
      <c r="E603" s="833"/>
      <c r="F603" s="463"/>
      <c r="G603" s="1465"/>
      <c r="H603" s="1465"/>
      <c r="I603" s="30"/>
      <c r="J603" s="30"/>
      <c r="K603" s="30"/>
      <c r="L603" s="30"/>
      <c r="M603" s="30"/>
      <c r="N603" s="1465"/>
      <c r="O603" s="1466"/>
    </row>
    <row r="604" ht="16.5" customHeight="1">
      <c r="A604" s="940"/>
      <c r="B604" s="941"/>
      <c r="C604" s="941"/>
      <c r="D604" s="941"/>
      <c r="E604" s="941"/>
      <c r="F604" s="463"/>
      <c r="G604" s="1465"/>
      <c r="H604" s="1465"/>
      <c r="I604" s="28"/>
      <c r="J604" s="28"/>
      <c r="K604" s="28"/>
      <c r="L604" s="28"/>
      <c r="M604" s="28"/>
      <c r="N604" s="1465"/>
      <c r="O604" s="1466"/>
    </row>
    <row r="605" ht="16.5" customHeight="1">
      <c r="A605" s="939"/>
      <c r="B605" s="833"/>
      <c r="C605" s="833"/>
      <c r="D605" s="833"/>
      <c r="E605" s="833"/>
      <c r="F605" s="463"/>
      <c r="G605" s="1465"/>
      <c r="H605" s="1465"/>
      <c r="I605" s="30"/>
      <c r="J605" s="30"/>
      <c r="K605" s="30"/>
      <c r="L605" s="30"/>
      <c r="M605" s="30"/>
      <c r="N605" s="1465"/>
      <c r="O605" s="1466"/>
    </row>
    <row r="606" ht="16.5" customHeight="1">
      <c r="A606" s="940"/>
      <c r="B606" s="941"/>
      <c r="C606" s="941"/>
      <c r="D606" s="941"/>
      <c r="E606" s="941"/>
      <c r="F606" s="463"/>
      <c r="G606" s="1465"/>
      <c r="H606" s="1465"/>
      <c r="I606" s="28"/>
      <c r="J606" s="28"/>
      <c r="K606" s="28"/>
      <c r="L606" s="28"/>
      <c r="M606" s="28"/>
      <c r="N606" s="1465"/>
      <c r="O606" s="1466"/>
    </row>
    <row r="607" ht="16.5" customHeight="1">
      <c r="A607" s="939"/>
      <c r="B607" s="833"/>
      <c r="C607" s="833"/>
      <c r="D607" s="833"/>
      <c r="E607" s="833"/>
      <c r="F607" s="463"/>
      <c r="G607" s="1465"/>
      <c r="H607" s="1465"/>
      <c r="I607" s="30"/>
      <c r="J607" s="30"/>
      <c r="K607" s="30"/>
      <c r="L607" s="30"/>
      <c r="M607" s="30"/>
      <c r="N607" s="1465"/>
      <c r="O607" s="1466"/>
    </row>
    <row r="608" ht="16.5" customHeight="1">
      <c r="A608" s="940"/>
      <c r="B608" s="941"/>
      <c r="C608" s="941"/>
      <c r="D608" s="941"/>
      <c r="E608" s="941"/>
      <c r="F608" s="463"/>
      <c r="G608" s="1465"/>
      <c r="H608" s="1465"/>
      <c r="I608" s="28"/>
      <c r="J608" s="28"/>
      <c r="K608" s="28"/>
      <c r="L608" s="28"/>
      <c r="M608" s="28"/>
      <c r="N608" s="1465"/>
      <c r="O608" s="1466"/>
    </row>
    <row r="609" ht="16.5" customHeight="1">
      <c r="A609" s="939"/>
      <c r="B609" s="833"/>
      <c r="C609" s="833"/>
      <c r="D609" s="833"/>
      <c r="E609" s="833"/>
      <c r="F609" s="463"/>
      <c r="G609" s="1465"/>
      <c r="H609" s="1465"/>
      <c r="I609" s="30"/>
      <c r="J609" s="30"/>
      <c r="K609" s="30"/>
      <c r="L609" s="30"/>
      <c r="M609" s="30"/>
      <c r="N609" s="1465"/>
      <c r="O609" s="1466"/>
    </row>
    <row r="610" ht="16.5" customHeight="1">
      <c r="A610" s="940"/>
      <c r="B610" s="941"/>
      <c r="C610" s="941"/>
      <c r="D610" s="941"/>
      <c r="E610" s="941"/>
      <c r="F610" s="463"/>
      <c r="G610" s="1465"/>
      <c r="H610" s="1465"/>
      <c r="I610" s="28"/>
      <c r="J610" s="28"/>
      <c r="K610" s="28"/>
      <c r="L610" s="28"/>
      <c r="M610" s="28"/>
      <c r="N610" s="1465"/>
      <c r="O610" s="1466"/>
    </row>
    <row r="611" ht="16.5" customHeight="1">
      <c r="A611" s="939"/>
      <c r="B611" s="833"/>
      <c r="C611" s="833"/>
      <c r="D611" s="833"/>
      <c r="E611" s="833"/>
      <c r="F611" s="463"/>
      <c r="G611" s="1465"/>
      <c r="H611" s="1465"/>
      <c r="I611" s="30"/>
      <c r="J611" s="30"/>
      <c r="K611" s="30"/>
      <c r="L611" s="30"/>
      <c r="M611" s="30"/>
      <c r="N611" s="1465"/>
      <c r="O611" s="1466"/>
    </row>
    <row r="612" ht="16.5" customHeight="1">
      <c r="A612" s="940"/>
      <c r="B612" s="941"/>
      <c r="C612" s="941"/>
      <c r="D612" s="941"/>
      <c r="E612" s="941"/>
      <c r="F612" s="463"/>
      <c r="G612" s="1465"/>
      <c r="H612" s="1465"/>
      <c r="I612" s="28"/>
      <c r="J612" s="28"/>
      <c r="K612" s="28"/>
      <c r="L612" s="28"/>
      <c r="M612" s="28"/>
      <c r="N612" s="1465"/>
      <c r="O612" s="1466"/>
    </row>
    <row r="613" ht="16.5" customHeight="1">
      <c r="A613" s="939"/>
      <c r="B613" s="833"/>
      <c r="C613" s="833"/>
      <c r="D613" s="833"/>
      <c r="E613" s="833"/>
      <c r="F613" s="463"/>
      <c r="G613" s="1465"/>
      <c r="H613" s="1465"/>
      <c r="I613" s="30"/>
      <c r="J613" s="30"/>
      <c r="K613" s="30"/>
      <c r="L613" s="30"/>
      <c r="M613" s="30"/>
      <c r="N613" s="1465"/>
      <c r="O613" s="1466"/>
    </row>
    <row r="614" ht="16.5" customHeight="1">
      <c r="A614" s="940"/>
      <c r="B614" s="941"/>
      <c r="C614" s="941"/>
      <c r="D614" s="941"/>
      <c r="E614" s="941"/>
      <c r="F614" s="463"/>
      <c r="G614" s="1465"/>
      <c r="H614" s="1465"/>
      <c r="I614" s="28"/>
      <c r="J614" s="28"/>
      <c r="K614" s="28"/>
      <c r="L614" s="28"/>
      <c r="M614" s="28"/>
      <c r="N614" s="1465"/>
      <c r="O614" s="1466"/>
    </row>
    <row r="615" ht="16.5" customHeight="1">
      <c r="A615" s="939"/>
      <c r="B615" s="833"/>
      <c r="C615" s="833"/>
      <c r="D615" s="833"/>
      <c r="E615" s="833"/>
      <c r="F615" s="463"/>
      <c r="G615" s="1465"/>
      <c r="H615" s="1465"/>
      <c r="I615" s="30"/>
      <c r="J615" s="30"/>
      <c r="K615" s="30"/>
      <c r="L615" s="30"/>
      <c r="M615" s="30"/>
      <c r="N615" s="1465"/>
      <c r="O615" s="1466"/>
    </row>
    <row r="616" ht="16.5" customHeight="1">
      <c r="A616" s="940"/>
      <c r="B616" s="941"/>
      <c r="C616" s="941"/>
      <c r="D616" s="941"/>
      <c r="E616" s="941"/>
      <c r="F616" s="463"/>
      <c r="G616" s="1465"/>
      <c r="H616" s="1465"/>
      <c r="I616" s="28"/>
      <c r="J616" s="28"/>
      <c r="K616" s="28"/>
      <c r="L616" s="28"/>
      <c r="M616" s="28"/>
      <c r="N616" s="1465"/>
      <c r="O616" s="1466"/>
    </row>
    <row r="617" ht="16.5" customHeight="1">
      <c r="A617" s="939"/>
      <c r="B617" s="833"/>
      <c r="C617" s="833"/>
      <c r="D617" s="833"/>
      <c r="E617" s="833"/>
      <c r="F617" s="463"/>
      <c r="G617" s="1465"/>
      <c r="H617" s="1465"/>
      <c r="I617" s="30"/>
      <c r="J617" s="30"/>
      <c r="K617" s="30"/>
      <c r="L617" s="30"/>
      <c r="M617" s="30"/>
      <c r="N617" s="1465"/>
      <c r="O617" s="1466"/>
    </row>
    <row r="618" ht="16.5" customHeight="1">
      <c r="A618" s="940"/>
      <c r="B618" s="941"/>
      <c r="C618" s="941"/>
      <c r="D618" s="941"/>
      <c r="E618" s="941"/>
      <c r="F618" s="463"/>
      <c r="G618" s="1465"/>
      <c r="H618" s="1465"/>
      <c r="I618" s="28"/>
      <c r="J618" s="28"/>
      <c r="K618" s="28"/>
      <c r="L618" s="28"/>
      <c r="M618" s="28"/>
      <c r="N618" s="1465"/>
      <c r="O618" s="1466"/>
    </row>
    <row r="619" ht="16.5" customHeight="1">
      <c r="A619" s="939"/>
      <c r="B619" s="833"/>
      <c r="C619" s="833"/>
      <c r="D619" s="833"/>
      <c r="E619" s="833"/>
      <c r="F619" s="463"/>
      <c r="G619" s="1465"/>
      <c r="H619" s="1465"/>
      <c r="I619" s="30"/>
      <c r="J619" s="30"/>
      <c r="K619" s="30"/>
      <c r="L619" s="30"/>
      <c r="M619" s="30"/>
      <c r="N619" s="1465"/>
      <c r="O619" s="1466"/>
    </row>
    <row r="620" ht="16.5" customHeight="1">
      <c r="A620" s="940"/>
      <c r="B620" s="941"/>
      <c r="C620" s="941"/>
      <c r="D620" s="941"/>
      <c r="E620" s="941"/>
      <c r="F620" s="463"/>
      <c r="G620" s="1465"/>
      <c r="H620" s="1465"/>
      <c r="I620" s="28"/>
      <c r="J620" s="28"/>
      <c r="K620" s="28"/>
      <c r="L620" s="28"/>
      <c r="M620" s="28"/>
      <c r="N620" s="1465"/>
      <c r="O620" s="1466"/>
    </row>
    <row r="621" ht="16.5" customHeight="1">
      <c r="A621" s="939"/>
      <c r="B621" s="833"/>
      <c r="C621" s="833"/>
      <c r="D621" s="833"/>
      <c r="E621" s="833"/>
      <c r="F621" s="463"/>
      <c r="G621" s="1465"/>
      <c r="H621" s="1465"/>
      <c r="I621" s="30"/>
      <c r="J621" s="30"/>
      <c r="K621" s="30"/>
      <c r="L621" s="30"/>
      <c r="M621" s="30"/>
      <c r="N621" s="1465"/>
      <c r="O621" s="1466"/>
    </row>
    <row r="622" ht="16.5" customHeight="1">
      <c r="A622" s="940"/>
      <c r="B622" s="941"/>
      <c r="C622" s="941"/>
      <c r="D622" s="941"/>
      <c r="E622" s="941"/>
      <c r="F622" s="463"/>
      <c r="G622" s="1465"/>
      <c r="H622" s="1465"/>
      <c r="I622" s="28"/>
      <c r="J622" s="28"/>
      <c r="K622" s="28"/>
      <c r="L622" s="28"/>
      <c r="M622" s="28"/>
      <c r="N622" s="1465"/>
      <c r="O622" s="1466"/>
    </row>
    <row r="623" ht="16.5" customHeight="1">
      <c r="A623" s="939"/>
      <c r="B623" s="833"/>
      <c r="C623" s="833"/>
      <c r="D623" s="833"/>
      <c r="E623" s="833"/>
      <c r="F623" s="463"/>
      <c r="G623" s="1465"/>
      <c r="H623" s="1465"/>
      <c r="I623" s="30"/>
      <c r="J623" s="30"/>
      <c r="K623" s="30"/>
      <c r="L623" s="30"/>
      <c r="M623" s="30"/>
      <c r="N623" s="1465"/>
      <c r="O623" s="1466"/>
    </row>
    <row r="624" ht="16.5" customHeight="1">
      <c r="A624" s="940"/>
      <c r="B624" s="941"/>
      <c r="C624" s="941"/>
      <c r="D624" s="941"/>
      <c r="E624" s="941"/>
      <c r="F624" s="463"/>
      <c r="G624" s="1465"/>
      <c r="H624" s="1465"/>
      <c r="I624" s="28"/>
      <c r="J624" s="28"/>
      <c r="K624" s="28"/>
      <c r="L624" s="28"/>
      <c r="M624" s="28"/>
      <c r="N624" s="1465"/>
      <c r="O624" s="1466"/>
    </row>
    <row r="625" ht="16.5" customHeight="1">
      <c r="A625" s="939"/>
      <c r="B625" s="833"/>
      <c r="C625" s="833"/>
      <c r="D625" s="833"/>
      <c r="E625" s="833"/>
      <c r="F625" s="463"/>
      <c r="G625" s="1465"/>
      <c r="H625" s="1465"/>
      <c r="I625" s="30"/>
      <c r="J625" s="30"/>
      <c r="K625" s="30"/>
      <c r="L625" s="30"/>
      <c r="M625" s="30"/>
      <c r="N625" s="1465"/>
      <c r="O625" s="1466"/>
    </row>
    <row r="626" ht="16.5" customHeight="1">
      <c r="A626" s="940"/>
      <c r="B626" s="941"/>
      <c r="C626" s="941"/>
      <c r="D626" s="941"/>
      <c r="E626" s="941"/>
      <c r="F626" s="463"/>
      <c r="G626" s="1465"/>
      <c r="H626" s="1465"/>
      <c r="I626" s="28"/>
      <c r="J626" s="28"/>
      <c r="K626" s="28"/>
      <c r="L626" s="28"/>
      <c r="M626" s="28"/>
      <c r="N626" s="1465"/>
      <c r="O626" s="1466"/>
    </row>
    <row r="627" ht="16.5" customHeight="1">
      <c r="A627" s="939"/>
      <c r="B627" s="833"/>
      <c r="C627" s="833"/>
      <c r="D627" s="833"/>
      <c r="E627" s="833"/>
      <c r="F627" s="463"/>
      <c r="G627" s="1465"/>
      <c r="H627" s="1465"/>
      <c r="I627" s="30"/>
      <c r="J627" s="30"/>
      <c r="K627" s="30"/>
      <c r="L627" s="30"/>
      <c r="M627" s="30"/>
      <c r="N627" s="1465"/>
      <c r="O627" s="1466"/>
    </row>
    <row r="628" ht="16.5" customHeight="1">
      <c r="A628" s="940"/>
      <c r="B628" s="941"/>
      <c r="C628" s="941"/>
      <c r="D628" s="941"/>
      <c r="E628" s="941"/>
      <c r="F628" s="463"/>
      <c r="G628" s="1465"/>
      <c r="H628" s="1465"/>
      <c r="I628" s="28"/>
      <c r="J628" s="28"/>
      <c r="K628" s="28"/>
      <c r="L628" s="28"/>
      <c r="M628" s="28"/>
      <c r="N628" s="1465"/>
      <c r="O628" s="1466"/>
    </row>
    <row r="629" ht="16.5" customHeight="1">
      <c r="A629" s="939"/>
      <c r="B629" s="833"/>
      <c r="C629" s="833"/>
      <c r="D629" s="833"/>
      <c r="E629" s="833"/>
      <c r="F629" s="463"/>
      <c r="G629" s="1465"/>
      <c r="H629" s="1465"/>
      <c r="I629" s="30"/>
      <c r="J629" s="30"/>
      <c r="K629" s="30"/>
      <c r="L629" s="30"/>
      <c r="M629" s="30"/>
      <c r="N629" s="1465"/>
      <c r="O629" s="1466"/>
    </row>
    <row r="630" ht="16.5" customHeight="1">
      <c r="A630" s="940"/>
      <c r="B630" s="941"/>
      <c r="C630" s="941"/>
      <c r="D630" s="941"/>
      <c r="E630" s="941"/>
      <c r="F630" s="463"/>
      <c r="G630" s="1465"/>
      <c r="H630" s="1465"/>
      <c r="I630" s="28"/>
      <c r="J630" s="28"/>
      <c r="K630" s="28"/>
      <c r="L630" s="28"/>
      <c r="M630" s="28"/>
      <c r="N630" s="1465"/>
      <c r="O630" s="1466"/>
    </row>
    <row r="631" ht="16.5" customHeight="1">
      <c r="A631" s="939"/>
      <c r="B631" s="833"/>
      <c r="C631" s="833"/>
      <c r="D631" s="833"/>
      <c r="E631" s="833"/>
      <c r="F631" s="463"/>
      <c r="G631" s="1465"/>
      <c r="H631" s="1465"/>
      <c r="I631" s="30"/>
      <c r="J631" s="30"/>
      <c r="K631" s="30"/>
      <c r="L631" s="30"/>
      <c r="M631" s="30"/>
      <c r="N631" s="1465"/>
      <c r="O631" s="1466"/>
    </row>
    <row r="632" ht="16.5" customHeight="1">
      <c r="A632" s="940"/>
      <c r="B632" s="941"/>
      <c r="C632" s="941"/>
      <c r="D632" s="941"/>
      <c r="E632" s="941"/>
      <c r="F632" s="463"/>
      <c r="G632" s="1465"/>
      <c r="H632" s="1465"/>
      <c r="I632" s="28"/>
      <c r="J632" s="28"/>
      <c r="K632" s="28"/>
      <c r="L632" s="28"/>
      <c r="M632" s="28"/>
      <c r="N632" s="1465"/>
      <c r="O632" s="1466"/>
    </row>
    <row r="633" ht="16.5" customHeight="1">
      <c r="A633" s="939"/>
      <c r="B633" s="833"/>
      <c r="C633" s="833"/>
      <c r="D633" s="833"/>
      <c r="E633" s="833"/>
      <c r="F633" s="463"/>
      <c r="G633" s="1465"/>
      <c r="H633" s="1465"/>
      <c r="I633" s="30"/>
      <c r="J633" s="30"/>
      <c r="K633" s="30"/>
      <c r="L633" s="30"/>
      <c r="M633" s="30"/>
      <c r="N633" s="1465"/>
      <c r="O633" s="1466"/>
    </row>
    <row r="634" ht="16.5" customHeight="1">
      <c r="A634" s="940"/>
      <c r="B634" s="941"/>
      <c r="C634" s="941"/>
      <c r="D634" s="941"/>
      <c r="E634" s="941"/>
      <c r="F634" s="463"/>
      <c r="G634" s="1465"/>
      <c r="H634" s="1465"/>
      <c r="I634" s="28"/>
      <c r="J634" s="28"/>
      <c r="K634" s="28"/>
      <c r="L634" s="28"/>
      <c r="M634" s="28"/>
      <c r="N634" s="1465"/>
      <c r="O634" s="1466"/>
    </row>
    <row r="635" ht="16.5" customHeight="1">
      <c r="A635" s="939"/>
      <c r="B635" s="833"/>
      <c r="C635" s="833"/>
      <c r="D635" s="833"/>
      <c r="E635" s="833"/>
      <c r="F635" s="463"/>
      <c r="G635" s="1465"/>
      <c r="H635" s="1465"/>
      <c r="I635" s="30"/>
      <c r="J635" s="30"/>
      <c r="K635" s="30"/>
      <c r="L635" s="30"/>
      <c r="M635" s="30"/>
      <c r="N635" s="1465"/>
      <c r="O635" s="1466"/>
    </row>
    <row r="636" ht="16.5" customHeight="1">
      <c r="A636" s="940"/>
      <c r="B636" s="941"/>
      <c r="C636" s="941"/>
      <c r="D636" s="941"/>
      <c r="E636" s="941"/>
      <c r="F636" s="463"/>
      <c r="G636" s="1465"/>
      <c r="H636" s="1465"/>
      <c r="I636" s="28"/>
      <c r="J636" s="28"/>
      <c r="K636" s="28"/>
      <c r="L636" s="28"/>
      <c r="M636" s="28"/>
      <c r="N636" s="1465"/>
      <c r="O636" s="1466"/>
    </row>
    <row r="637" ht="16.5" customHeight="1">
      <c r="A637" s="939"/>
      <c r="B637" s="833"/>
      <c r="C637" s="833"/>
      <c r="D637" s="833"/>
      <c r="E637" s="833"/>
      <c r="F637" s="463"/>
      <c r="G637" s="1465"/>
      <c r="H637" s="1465"/>
      <c r="I637" s="30"/>
      <c r="J637" s="30"/>
      <c r="K637" s="30"/>
      <c r="L637" s="30"/>
      <c r="M637" s="30"/>
      <c r="N637" s="1465"/>
      <c r="O637" s="1466"/>
    </row>
    <row r="638" ht="16.5" customHeight="1">
      <c r="A638" s="940"/>
      <c r="B638" s="941"/>
      <c r="C638" s="941"/>
      <c r="D638" s="941"/>
      <c r="E638" s="941"/>
      <c r="F638" s="463"/>
      <c r="G638" s="1465"/>
      <c r="H638" s="1465"/>
      <c r="I638" s="28"/>
      <c r="J638" s="28"/>
      <c r="K638" s="28"/>
      <c r="L638" s="28"/>
      <c r="M638" s="28"/>
      <c r="N638" s="1465"/>
      <c r="O638" s="1466"/>
    </row>
    <row r="639" ht="16.5" customHeight="1">
      <c r="A639" s="939"/>
      <c r="B639" s="833"/>
      <c r="C639" s="833"/>
      <c r="D639" s="833"/>
      <c r="E639" s="833"/>
      <c r="F639" s="463"/>
      <c r="G639" s="1465"/>
      <c r="H639" s="1465"/>
      <c r="I639" s="30"/>
      <c r="J639" s="30"/>
      <c r="K639" s="30"/>
      <c r="L639" s="30"/>
      <c r="M639" s="30"/>
      <c r="N639" s="1465"/>
      <c r="O639" s="1466"/>
    </row>
    <row r="640" ht="16.5" customHeight="1">
      <c r="A640" s="940"/>
      <c r="B640" s="941"/>
      <c r="C640" s="941"/>
      <c r="D640" s="941"/>
      <c r="E640" s="941"/>
      <c r="F640" s="463"/>
      <c r="G640" s="1465"/>
      <c r="H640" s="1465"/>
      <c r="I640" s="28"/>
      <c r="J640" s="28"/>
      <c r="K640" s="28"/>
      <c r="L640" s="28"/>
      <c r="M640" s="28"/>
      <c r="N640" s="1465"/>
      <c r="O640" s="1466"/>
    </row>
    <row r="641" ht="16.5" customHeight="1">
      <c r="A641" s="939"/>
      <c r="B641" s="833"/>
      <c r="C641" s="833"/>
      <c r="D641" s="833"/>
      <c r="E641" s="833"/>
      <c r="F641" s="463"/>
      <c r="G641" s="1465"/>
      <c r="H641" s="1465"/>
      <c r="I641" s="30"/>
      <c r="J641" s="30"/>
      <c r="K641" s="30"/>
      <c r="L641" s="30"/>
      <c r="M641" s="30"/>
      <c r="N641" s="1465"/>
      <c r="O641" s="1466"/>
    </row>
    <row r="642" ht="16.5" customHeight="1">
      <c r="A642" s="940"/>
      <c r="B642" s="941"/>
      <c r="C642" s="941"/>
      <c r="D642" s="941"/>
      <c r="E642" s="941"/>
      <c r="F642" s="463"/>
      <c r="G642" s="1465"/>
      <c r="H642" s="1465"/>
      <c r="I642" s="28"/>
      <c r="J642" s="28"/>
      <c r="K642" s="28"/>
      <c r="L642" s="28"/>
      <c r="M642" s="28"/>
      <c r="N642" s="1465"/>
      <c r="O642" s="1466"/>
    </row>
    <row r="643" ht="16.5" customHeight="1">
      <c r="A643" s="939"/>
      <c r="B643" s="833"/>
      <c r="C643" s="833"/>
      <c r="D643" s="833"/>
      <c r="E643" s="833"/>
      <c r="F643" s="463"/>
      <c r="G643" s="1465"/>
      <c r="H643" s="1465"/>
      <c r="I643" s="30"/>
      <c r="J643" s="30"/>
      <c r="K643" s="30"/>
      <c r="L643" s="30"/>
      <c r="M643" s="30"/>
      <c r="N643" s="1465"/>
      <c r="O643" s="1466"/>
    </row>
    <row r="644" ht="16.5" customHeight="1">
      <c r="A644" s="940"/>
      <c r="B644" s="941"/>
      <c r="C644" s="941"/>
      <c r="D644" s="941"/>
      <c r="E644" s="941"/>
      <c r="F644" s="463"/>
      <c r="G644" s="1465"/>
      <c r="H644" s="1465"/>
      <c r="I644" s="28"/>
      <c r="J644" s="28"/>
      <c r="K644" s="28"/>
      <c r="L644" s="28"/>
      <c r="M644" s="28"/>
      <c r="N644" s="1465"/>
      <c r="O644" s="1466"/>
    </row>
    <row r="645" ht="16.5" customHeight="1">
      <c r="A645" s="939"/>
      <c r="B645" s="833"/>
      <c r="C645" s="833"/>
      <c r="D645" s="833"/>
      <c r="E645" s="833"/>
      <c r="F645" s="463"/>
      <c r="G645" s="1465"/>
      <c r="H645" s="1465"/>
      <c r="I645" s="30"/>
      <c r="J645" s="30"/>
      <c r="K645" s="30"/>
      <c r="L645" s="30"/>
      <c r="M645" s="30"/>
      <c r="N645" s="1465"/>
      <c r="O645" s="1466"/>
    </row>
    <row r="646" ht="16.5" customHeight="1">
      <c r="A646" s="940"/>
      <c r="B646" s="941"/>
      <c r="C646" s="941"/>
      <c r="D646" s="941"/>
      <c r="E646" s="941"/>
      <c r="F646" s="463"/>
      <c r="G646" s="1465"/>
      <c r="H646" s="1465"/>
      <c r="I646" s="28"/>
      <c r="J646" s="28"/>
      <c r="K646" s="28"/>
      <c r="L646" s="28"/>
      <c r="M646" s="28"/>
      <c r="N646" s="1465"/>
      <c r="O646" s="1466"/>
    </row>
    <row r="647" ht="16.5" customHeight="1">
      <c r="A647" s="939"/>
      <c r="B647" s="833"/>
      <c r="C647" s="833"/>
      <c r="D647" s="833"/>
      <c r="E647" s="833"/>
      <c r="F647" s="463"/>
      <c r="G647" s="1465"/>
      <c r="H647" s="1465"/>
      <c r="I647" s="30"/>
      <c r="J647" s="30"/>
      <c r="K647" s="30"/>
      <c r="L647" s="30"/>
      <c r="M647" s="30"/>
      <c r="N647" s="1465"/>
      <c r="O647" s="1466"/>
    </row>
    <row r="648" ht="16.5" customHeight="1">
      <c r="A648" s="940"/>
      <c r="B648" s="941"/>
      <c r="C648" s="941"/>
      <c r="D648" s="941"/>
      <c r="E648" s="941"/>
      <c r="F648" s="463"/>
      <c r="G648" s="1465"/>
      <c r="H648" s="1465"/>
      <c r="I648" s="28"/>
      <c r="J648" s="28"/>
      <c r="K648" s="28"/>
      <c r="L648" s="28"/>
      <c r="M648" s="28"/>
      <c r="N648" s="1465"/>
      <c r="O648" s="1466"/>
    </row>
    <row r="649" ht="16.5" customHeight="1">
      <c r="A649" s="939"/>
      <c r="B649" s="833"/>
      <c r="C649" s="833"/>
      <c r="D649" s="833"/>
      <c r="E649" s="833"/>
      <c r="F649" s="463"/>
      <c r="G649" s="1465"/>
      <c r="H649" s="1465"/>
      <c r="I649" s="30"/>
      <c r="J649" s="30"/>
      <c r="K649" s="30"/>
      <c r="L649" s="30"/>
      <c r="M649" s="30"/>
      <c r="N649" s="1465"/>
      <c r="O649" s="1466"/>
    </row>
    <row r="650" ht="16.5" customHeight="1">
      <c r="A650" s="940"/>
      <c r="B650" s="941"/>
      <c r="C650" s="941"/>
      <c r="D650" s="941"/>
      <c r="E650" s="941"/>
      <c r="F650" s="463"/>
      <c r="G650" s="1465"/>
      <c r="H650" s="1465"/>
      <c r="I650" s="28"/>
      <c r="J650" s="28"/>
      <c r="K650" s="28"/>
      <c r="L650" s="28"/>
      <c r="M650" s="28"/>
      <c r="N650" s="1465"/>
      <c r="O650" s="1466"/>
    </row>
    <row r="651" ht="16.5" customHeight="1">
      <c r="A651" s="939"/>
      <c r="B651" s="833"/>
      <c r="C651" s="833"/>
      <c r="D651" s="833"/>
      <c r="E651" s="833"/>
      <c r="F651" s="463"/>
      <c r="G651" s="1465"/>
      <c r="H651" s="1465"/>
      <c r="I651" s="30"/>
      <c r="J651" s="30"/>
      <c r="K651" s="30"/>
      <c r="L651" s="30"/>
      <c r="M651" s="30"/>
      <c r="N651" s="1465"/>
      <c r="O651" s="1466"/>
    </row>
    <row r="652" ht="16.5" customHeight="1">
      <c r="A652" s="940"/>
      <c r="B652" s="941"/>
      <c r="C652" s="941"/>
      <c r="D652" s="941"/>
      <c r="E652" s="941"/>
      <c r="F652" s="463"/>
      <c r="G652" s="1465"/>
      <c r="H652" s="1465"/>
      <c r="I652" s="28"/>
      <c r="J652" s="28"/>
      <c r="K652" s="28"/>
      <c r="L652" s="28"/>
      <c r="M652" s="28"/>
      <c r="N652" s="1465"/>
      <c r="O652" s="1466"/>
    </row>
    <row r="653" ht="16.5" customHeight="1">
      <c r="A653" s="939"/>
      <c r="B653" s="833"/>
      <c r="C653" s="833"/>
      <c r="D653" s="833"/>
      <c r="E653" s="833"/>
      <c r="F653" s="463"/>
      <c r="G653" s="1465"/>
      <c r="H653" s="1465"/>
      <c r="I653" s="30"/>
      <c r="J653" s="30"/>
      <c r="K653" s="30"/>
      <c r="L653" s="30"/>
      <c r="M653" s="30"/>
      <c r="N653" s="1465"/>
      <c r="O653" s="1466"/>
    </row>
    <row r="654" ht="16.5" customHeight="1">
      <c r="A654" s="940"/>
      <c r="B654" s="941"/>
      <c r="C654" s="941"/>
      <c r="D654" s="941"/>
      <c r="E654" s="941"/>
      <c r="F654" s="463"/>
      <c r="G654" s="1465"/>
      <c r="H654" s="1465"/>
      <c r="I654" s="28"/>
      <c r="J654" s="28"/>
      <c r="K654" s="28"/>
      <c r="L654" s="28"/>
      <c r="M654" s="28"/>
      <c r="N654" s="1465"/>
      <c r="O654" s="1466"/>
    </row>
    <row r="655" ht="16.5" customHeight="1">
      <c r="A655" s="939"/>
      <c r="B655" s="833"/>
      <c r="C655" s="833"/>
      <c r="D655" s="833"/>
      <c r="E655" s="833"/>
      <c r="F655" s="463"/>
      <c r="G655" s="1465"/>
      <c r="H655" s="1465"/>
      <c r="I655" s="30"/>
      <c r="J655" s="30"/>
      <c r="K655" s="30"/>
      <c r="L655" s="30"/>
      <c r="M655" s="30"/>
      <c r="N655" s="1465"/>
      <c r="O655" s="1466"/>
    </row>
    <row r="656" ht="16.5" customHeight="1">
      <c r="A656" s="940"/>
      <c r="B656" s="941"/>
      <c r="C656" s="941"/>
      <c r="D656" s="941"/>
      <c r="E656" s="941"/>
      <c r="F656" s="463"/>
      <c r="G656" s="1465"/>
      <c r="H656" s="1465"/>
      <c r="I656" s="28"/>
      <c r="J656" s="28"/>
      <c r="K656" s="28"/>
      <c r="L656" s="28"/>
      <c r="M656" s="28"/>
      <c r="N656" s="1465"/>
      <c r="O656" s="1466"/>
    </row>
    <row r="657" ht="16.5" customHeight="1">
      <c r="A657" s="939"/>
      <c r="B657" s="833"/>
      <c r="C657" s="833"/>
      <c r="D657" s="833"/>
      <c r="E657" s="833"/>
      <c r="F657" s="463"/>
      <c r="G657" s="1465"/>
      <c r="H657" s="1465"/>
      <c r="I657" s="30"/>
      <c r="J657" s="30"/>
      <c r="K657" s="30"/>
      <c r="L657" s="30"/>
      <c r="M657" s="30"/>
      <c r="N657" s="1465"/>
      <c r="O657" s="1466"/>
    </row>
    <row r="658" ht="16.5" customHeight="1">
      <c r="A658" s="940"/>
      <c r="B658" s="941"/>
      <c r="C658" s="941"/>
      <c r="D658" s="941"/>
      <c r="E658" s="941"/>
      <c r="F658" s="463"/>
      <c r="G658" s="1465"/>
      <c r="H658" s="1465"/>
      <c r="I658" s="28"/>
      <c r="J658" s="28"/>
      <c r="K658" s="28"/>
      <c r="L658" s="28"/>
      <c r="M658" s="28"/>
      <c r="N658" s="1465"/>
      <c r="O658" s="1466"/>
    </row>
    <row r="659" ht="16.5" customHeight="1">
      <c r="A659" s="939"/>
      <c r="B659" s="833"/>
      <c r="C659" s="833"/>
      <c r="D659" s="833"/>
      <c r="E659" s="833"/>
      <c r="F659" s="463"/>
      <c r="G659" s="1465"/>
      <c r="H659" s="1465"/>
      <c r="I659" s="30"/>
      <c r="J659" s="30"/>
      <c r="K659" s="30"/>
      <c r="L659" s="30"/>
      <c r="M659" s="30"/>
      <c r="N659" s="1465"/>
      <c r="O659" s="1466"/>
    </row>
    <row r="660" ht="16.5" customHeight="1">
      <c r="A660" s="940"/>
      <c r="B660" s="941"/>
      <c r="C660" s="941"/>
      <c r="D660" s="941"/>
      <c r="E660" s="941"/>
      <c r="F660" s="463"/>
      <c r="G660" s="1465"/>
      <c r="H660" s="1465"/>
      <c r="I660" s="28"/>
      <c r="J660" s="28"/>
      <c r="K660" s="28"/>
      <c r="L660" s="28"/>
      <c r="M660" s="28"/>
      <c r="N660" s="1465"/>
      <c r="O660" s="1466"/>
    </row>
    <row r="661" ht="16.5" customHeight="1">
      <c r="A661" s="939"/>
      <c r="B661" s="833"/>
      <c r="C661" s="833"/>
      <c r="D661" s="833"/>
      <c r="E661" s="833"/>
      <c r="F661" s="463"/>
      <c r="G661" s="1465"/>
      <c r="H661" s="1465"/>
      <c r="I661" s="30"/>
      <c r="J661" s="30"/>
      <c r="K661" s="30"/>
      <c r="L661" s="30"/>
      <c r="M661" s="30"/>
      <c r="N661" s="1465"/>
      <c r="O661" s="1466"/>
    </row>
    <row r="662" ht="16.5" customHeight="1">
      <c r="A662" s="940"/>
      <c r="B662" s="941"/>
      <c r="C662" s="941"/>
      <c r="D662" s="941"/>
      <c r="E662" s="941"/>
      <c r="F662" s="463"/>
      <c r="G662" s="1465"/>
      <c r="H662" s="1465"/>
      <c r="I662" s="28"/>
      <c r="J662" s="28"/>
      <c r="K662" s="28"/>
      <c r="L662" s="28"/>
      <c r="M662" s="28"/>
      <c r="N662" s="1465"/>
      <c r="O662" s="1466"/>
    </row>
    <row r="663" ht="16.5" customHeight="1">
      <c r="A663" s="939"/>
      <c r="B663" s="833"/>
      <c r="C663" s="833"/>
      <c r="D663" s="833"/>
      <c r="E663" s="833"/>
      <c r="F663" s="463"/>
      <c r="G663" s="1465"/>
      <c r="H663" s="1465"/>
      <c r="I663" s="30"/>
      <c r="J663" s="30"/>
      <c r="K663" s="30"/>
      <c r="L663" s="30"/>
      <c r="M663" s="30"/>
      <c r="N663" s="1465"/>
      <c r="O663" s="1466"/>
    </row>
    <row r="664" ht="16.5" customHeight="1">
      <c r="A664" s="940"/>
      <c r="B664" s="941"/>
      <c r="C664" s="941"/>
      <c r="D664" s="941"/>
      <c r="E664" s="941"/>
      <c r="F664" s="463"/>
      <c r="G664" s="1465"/>
      <c r="H664" s="1465"/>
      <c r="I664" s="28"/>
      <c r="J664" s="28"/>
      <c r="K664" s="28"/>
      <c r="L664" s="28"/>
      <c r="M664" s="28"/>
      <c r="N664" s="1465"/>
      <c r="O664" s="1466"/>
    </row>
    <row r="665" ht="16.5" customHeight="1">
      <c r="A665" s="939"/>
      <c r="B665" s="833"/>
      <c r="C665" s="833"/>
      <c r="D665" s="833"/>
      <c r="E665" s="833"/>
      <c r="F665" s="463"/>
      <c r="G665" s="1465"/>
      <c r="H665" s="1465"/>
      <c r="I665" s="30"/>
      <c r="J665" s="30"/>
      <c r="K665" s="30"/>
      <c r="L665" s="30"/>
      <c r="M665" s="30"/>
      <c r="N665" s="1465"/>
      <c r="O665" s="1466"/>
    </row>
    <row r="666" ht="16.5" customHeight="1">
      <c r="A666" s="940"/>
      <c r="B666" s="941"/>
      <c r="C666" s="941"/>
      <c r="D666" s="941"/>
      <c r="E666" s="941"/>
      <c r="F666" s="463"/>
      <c r="G666" s="1465"/>
      <c r="H666" s="1465"/>
      <c r="I666" s="28"/>
      <c r="J666" s="28"/>
      <c r="K666" s="28"/>
      <c r="L666" s="28"/>
      <c r="M666" s="28"/>
      <c r="N666" s="1465"/>
      <c r="O666" s="1466"/>
    </row>
    <row r="667" ht="16.5" customHeight="1">
      <c r="A667" s="939"/>
      <c r="B667" s="833"/>
      <c r="C667" s="833"/>
      <c r="D667" s="833"/>
      <c r="E667" s="833"/>
      <c r="F667" s="463"/>
      <c r="G667" s="1465"/>
      <c r="H667" s="1465"/>
      <c r="I667" s="30"/>
      <c r="J667" s="30"/>
      <c r="K667" s="30"/>
      <c r="L667" s="30"/>
      <c r="M667" s="30"/>
      <c r="N667" s="1465"/>
      <c r="O667" s="1466"/>
    </row>
    <row r="668" ht="16.5" customHeight="1">
      <c r="A668" s="940"/>
      <c r="B668" s="941"/>
      <c r="C668" s="941"/>
      <c r="D668" s="941"/>
      <c r="E668" s="941"/>
      <c r="F668" s="463"/>
      <c r="G668" s="1465"/>
      <c r="H668" s="1465"/>
      <c r="I668" s="28"/>
      <c r="J668" s="28"/>
      <c r="K668" s="28"/>
      <c r="L668" s="28"/>
      <c r="M668" s="28"/>
      <c r="N668" s="1465"/>
      <c r="O668" s="1466"/>
    </row>
    <row r="669" ht="16.5" customHeight="1">
      <c r="A669" s="939"/>
      <c r="B669" s="833"/>
      <c r="C669" s="833"/>
      <c r="D669" s="833"/>
      <c r="E669" s="833"/>
      <c r="F669" s="463"/>
      <c r="G669" s="1465"/>
      <c r="H669" s="1465"/>
      <c r="I669" s="30"/>
      <c r="J669" s="30"/>
      <c r="K669" s="30"/>
      <c r="L669" s="30"/>
      <c r="M669" s="30"/>
      <c r="N669" s="1465"/>
      <c r="O669" s="1466"/>
    </row>
    <row r="670" ht="16.5" customHeight="1">
      <c r="A670" s="940"/>
      <c r="B670" s="941"/>
      <c r="C670" s="941"/>
      <c r="D670" s="941"/>
      <c r="E670" s="941"/>
      <c r="F670" s="463"/>
      <c r="G670" s="1465"/>
      <c r="H670" s="1465"/>
      <c r="I670" s="28"/>
      <c r="J670" s="28"/>
      <c r="K670" s="28"/>
      <c r="L670" s="28"/>
      <c r="M670" s="28"/>
      <c r="N670" s="1465"/>
      <c r="O670" s="1466"/>
    </row>
    <row r="671" ht="16.5" customHeight="1">
      <c r="A671" s="939"/>
      <c r="B671" s="833"/>
      <c r="C671" s="833"/>
      <c r="D671" s="833"/>
      <c r="E671" s="833"/>
      <c r="F671" s="463"/>
      <c r="G671" s="1465"/>
      <c r="H671" s="1465"/>
      <c r="I671" s="30"/>
      <c r="J671" s="30"/>
      <c r="K671" s="30"/>
      <c r="L671" s="30"/>
      <c r="M671" s="30"/>
      <c r="N671" s="1465"/>
      <c r="O671" s="1466"/>
    </row>
    <row r="672" ht="16.5" customHeight="1">
      <c r="A672" s="940"/>
      <c r="B672" s="941"/>
      <c r="C672" s="941"/>
      <c r="D672" s="941"/>
      <c r="E672" s="941"/>
      <c r="F672" s="463"/>
      <c r="G672" s="1465"/>
      <c r="H672" s="1465"/>
      <c r="I672" s="28"/>
      <c r="J672" s="28"/>
      <c r="K672" s="28"/>
      <c r="L672" s="28"/>
      <c r="M672" s="28"/>
      <c r="N672" s="1465"/>
      <c r="O672" s="1466"/>
    </row>
    <row r="673" ht="16.5" customHeight="1">
      <c r="A673" s="939"/>
      <c r="B673" s="833"/>
      <c r="C673" s="833"/>
      <c r="D673" s="833"/>
      <c r="E673" s="833"/>
      <c r="F673" s="463"/>
      <c r="G673" s="1465"/>
      <c r="H673" s="1465"/>
      <c r="I673" s="30"/>
      <c r="J673" s="30"/>
      <c r="K673" s="30"/>
      <c r="L673" s="30"/>
      <c r="M673" s="30"/>
      <c r="N673" s="1465"/>
      <c r="O673" s="1466"/>
    </row>
    <row r="674" ht="16.5" customHeight="1">
      <c r="A674" s="940"/>
      <c r="B674" s="941"/>
      <c r="C674" s="941"/>
      <c r="D674" s="941"/>
      <c r="E674" s="941"/>
      <c r="F674" s="463"/>
      <c r="G674" s="1465"/>
      <c r="H674" s="1465"/>
      <c r="I674" s="28"/>
      <c r="J674" s="28"/>
      <c r="K674" s="28"/>
      <c r="L674" s="28"/>
      <c r="M674" s="28"/>
      <c r="N674" s="1465"/>
      <c r="O674" s="1466"/>
    </row>
    <row r="675" ht="16.5" customHeight="1">
      <c r="A675" s="939"/>
      <c r="B675" s="833"/>
      <c r="C675" s="833"/>
      <c r="D675" s="833"/>
      <c r="E675" s="833"/>
      <c r="F675" s="463"/>
      <c r="G675" s="1465"/>
      <c r="H675" s="1465"/>
      <c r="I675" s="30"/>
      <c r="J675" s="30"/>
      <c r="K675" s="30"/>
      <c r="L675" s="30"/>
      <c r="M675" s="30"/>
      <c r="N675" s="1465"/>
      <c r="O675" s="1466"/>
    </row>
    <row r="676" ht="16.5" customHeight="1">
      <c r="A676" s="940"/>
      <c r="B676" s="941"/>
      <c r="C676" s="941"/>
      <c r="D676" s="941"/>
      <c r="E676" s="941"/>
      <c r="F676" s="463"/>
      <c r="G676" s="1465"/>
      <c r="H676" s="1465"/>
      <c r="I676" s="28"/>
      <c r="J676" s="28"/>
      <c r="K676" s="28"/>
      <c r="L676" s="28"/>
      <c r="M676" s="28"/>
      <c r="N676" s="1465"/>
      <c r="O676" s="1466"/>
    </row>
    <row r="677" ht="16.5" customHeight="1">
      <c r="A677" s="939"/>
      <c r="B677" s="833"/>
      <c r="C677" s="833"/>
      <c r="D677" s="833"/>
      <c r="E677" s="833"/>
      <c r="F677" s="463"/>
      <c r="G677" s="1465"/>
      <c r="H677" s="1465"/>
      <c r="I677" s="30"/>
      <c r="J677" s="30"/>
      <c r="K677" s="30"/>
      <c r="L677" s="30"/>
      <c r="M677" s="30"/>
      <c r="N677" s="1465"/>
      <c r="O677" s="1466"/>
    </row>
    <row r="678" ht="16.5" customHeight="1">
      <c r="A678" s="940"/>
      <c r="B678" s="941"/>
      <c r="C678" s="941"/>
      <c r="D678" s="941"/>
      <c r="E678" s="941"/>
      <c r="F678" s="463"/>
      <c r="G678" s="1465"/>
      <c r="H678" s="1465"/>
      <c r="I678" s="28"/>
      <c r="J678" s="28"/>
      <c r="K678" s="28"/>
      <c r="L678" s="28"/>
      <c r="M678" s="28"/>
      <c r="N678" s="1465"/>
      <c r="O678" s="1466"/>
    </row>
    <row r="679" ht="16.5" customHeight="1">
      <c r="A679" s="939"/>
      <c r="B679" s="833"/>
      <c r="C679" s="833"/>
      <c r="D679" s="833"/>
      <c r="E679" s="833"/>
      <c r="F679" s="463"/>
      <c r="G679" s="1465"/>
      <c r="H679" s="1465"/>
      <c r="I679" s="30"/>
      <c r="J679" s="30"/>
      <c r="K679" s="30"/>
      <c r="L679" s="30"/>
      <c r="M679" s="30"/>
      <c r="N679" s="1465"/>
      <c r="O679" s="1466"/>
    </row>
    <row r="680" ht="16.5" customHeight="1">
      <c r="A680" s="940"/>
      <c r="B680" s="941"/>
      <c r="C680" s="941"/>
      <c r="D680" s="941"/>
      <c r="E680" s="941"/>
      <c r="F680" s="463"/>
      <c r="G680" s="1465"/>
      <c r="H680" s="1465"/>
      <c r="I680" s="28"/>
      <c r="J680" s="28"/>
      <c r="K680" s="28"/>
      <c r="L680" s="28"/>
      <c r="M680" s="28"/>
      <c r="N680" s="1465"/>
      <c r="O680" s="1466"/>
    </row>
    <row r="681" ht="16.5" customHeight="1">
      <c r="A681" s="939"/>
      <c r="B681" s="833"/>
      <c r="C681" s="833"/>
      <c r="D681" s="833"/>
      <c r="E681" s="833"/>
      <c r="F681" s="463"/>
      <c r="G681" s="1465"/>
      <c r="H681" s="1465"/>
      <c r="I681" s="30"/>
      <c r="J681" s="30"/>
      <c r="K681" s="30"/>
      <c r="L681" s="30"/>
      <c r="M681" s="30"/>
      <c r="N681" s="1465"/>
      <c r="O681" s="1466"/>
    </row>
    <row r="682" ht="16.5" customHeight="1">
      <c r="A682" s="940"/>
      <c r="B682" s="941"/>
      <c r="C682" s="941"/>
      <c r="D682" s="941"/>
      <c r="E682" s="941"/>
      <c r="F682" s="463"/>
      <c r="G682" s="1465"/>
      <c r="H682" s="1465"/>
      <c r="I682" s="28"/>
      <c r="J682" s="28"/>
      <c r="K682" s="28"/>
      <c r="L682" s="28"/>
      <c r="M682" s="28"/>
      <c r="N682" s="1465"/>
      <c r="O682" s="1466"/>
    </row>
    <row r="683" ht="16.5" customHeight="1">
      <c r="A683" s="939"/>
      <c r="B683" s="833"/>
      <c r="C683" s="833"/>
      <c r="D683" s="833"/>
      <c r="E683" s="833"/>
      <c r="F683" s="463"/>
      <c r="G683" s="1465"/>
      <c r="H683" s="1465"/>
      <c r="I683" s="30"/>
      <c r="J683" s="30"/>
      <c r="K683" s="30"/>
      <c r="L683" s="30"/>
      <c r="M683" s="30"/>
      <c r="N683" s="1465"/>
      <c r="O683" s="1466"/>
    </row>
    <row r="684" ht="16.5" customHeight="1">
      <c r="A684" s="940"/>
      <c r="B684" s="941"/>
      <c r="C684" s="941"/>
      <c r="D684" s="941"/>
      <c r="E684" s="941"/>
      <c r="F684" s="463"/>
      <c r="G684" s="1465"/>
      <c r="H684" s="1465"/>
      <c r="I684" s="28"/>
      <c r="J684" s="28"/>
      <c r="K684" s="28"/>
      <c r="L684" s="28"/>
      <c r="M684" s="28"/>
      <c r="N684" s="1465"/>
      <c r="O684" s="1466"/>
    </row>
    <row r="685" ht="16.5" customHeight="1">
      <c r="A685" s="939"/>
      <c r="B685" s="833"/>
      <c r="C685" s="833"/>
      <c r="D685" s="833"/>
      <c r="E685" s="833"/>
      <c r="F685" s="463"/>
      <c r="G685" s="1465"/>
      <c r="H685" s="1465"/>
      <c r="I685" s="30"/>
      <c r="J685" s="30"/>
      <c r="K685" s="30"/>
      <c r="L685" s="30"/>
      <c r="M685" s="30"/>
      <c r="N685" s="1465"/>
      <c r="O685" s="1466"/>
    </row>
    <row r="686" ht="16.5" customHeight="1">
      <c r="A686" s="940"/>
      <c r="B686" s="941"/>
      <c r="C686" s="941"/>
      <c r="D686" s="941"/>
      <c r="E686" s="941"/>
      <c r="F686" s="463"/>
      <c r="G686" s="1465"/>
      <c r="H686" s="1465"/>
      <c r="I686" s="28"/>
      <c r="J686" s="28"/>
      <c r="K686" s="28"/>
      <c r="L686" s="28"/>
      <c r="M686" s="28"/>
      <c r="N686" s="1465"/>
      <c r="O686" s="1466"/>
    </row>
    <row r="687" ht="16.5" customHeight="1">
      <c r="A687" s="939"/>
      <c r="B687" s="833"/>
      <c r="C687" s="833"/>
      <c r="D687" s="833"/>
      <c r="E687" s="833"/>
      <c r="F687" s="463"/>
      <c r="G687" s="1465"/>
      <c r="H687" s="1465"/>
      <c r="I687" s="30"/>
      <c r="J687" s="30"/>
      <c r="K687" s="30"/>
      <c r="L687" s="30"/>
      <c r="M687" s="30"/>
      <c r="N687" s="1465"/>
      <c r="O687" s="1466"/>
    </row>
    <row r="688" ht="16.5" customHeight="1">
      <c r="A688" s="940"/>
      <c r="B688" s="941"/>
      <c r="C688" s="941"/>
      <c r="D688" s="941"/>
      <c r="E688" s="941"/>
      <c r="F688" s="463"/>
      <c r="G688" s="1465"/>
      <c r="H688" s="1465"/>
      <c r="I688" s="28"/>
      <c r="J688" s="28"/>
      <c r="K688" s="28"/>
      <c r="L688" s="28"/>
      <c r="M688" s="28"/>
      <c r="N688" s="1465"/>
      <c r="O688" s="1466"/>
    </row>
    <row r="689" ht="16.5" customHeight="1">
      <c r="A689" s="939"/>
      <c r="B689" s="833"/>
      <c r="C689" s="833"/>
      <c r="D689" s="833"/>
      <c r="E689" s="833"/>
      <c r="F689" s="463"/>
      <c r="G689" s="1465"/>
      <c r="H689" s="1465"/>
      <c r="I689" s="30"/>
      <c r="J689" s="30"/>
      <c r="K689" s="30"/>
      <c r="L689" s="30"/>
      <c r="M689" s="30"/>
      <c r="N689" s="1465"/>
      <c r="O689" s="1466"/>
    </row>
    <row r="690" ht="16.5" customHeight="1">
      <c r="A690" s="940"/>
      <c r="B690" s="941"/>
      <c r="C690" s="941"/>
      <c r="D690" s="941"/>
      <c r="E690" s="941"/>
      <c r="F690" s="463"/>
      <c r="G690" s="1465"/>
      <c r="H690" s="1465"/>
      <c r="I690" s="28"/>
      <c r="J690" s="28"/>
      <c r="K690" s="28"/>
      <c r="L690" s="28"/>
      <c r="M690" s="28"/>
      <c r="N690" s="1465"/>
      <c r="O690" s="1466"/>
    </row>
    <row r="691" ht="16.5" customHeight="1">
      <c r="A691" s="939"/>
      <c r="B691" s="833"/>
      <c r="C691" s="833"/>
      <c r="D691" s="833"/>
      <c r="E691" s="833"/>
      <c r="F691" s="463"/>
      <c r="G691" s="1465"/>
      <c r="H691" s="1465"/>
      <c r="I691" s="30"/>
      <c r="J691" s="30"/>
      <c r="K691" s="30"/>
      <c r="L691" s="30"/>
      <c r="M691" s="30"/>
      <c r="N691" s="1465"/>
      <c r="O691" s="1466"/>
    </row>
    <row r="692" ht="16.5" customHeight="1">
      <c r="A692" s="940"/>
      <c r="B692" s="941"/>
      <c r="C692" s="941"/>
      <c r="D692" s="941"/>
      <c r="E692" s="941"/>
      <c r="F692" s="463"/>
      <c r="G692" s="1465"/>
      <c r="H692" s="1465"/>
      <c r="I692" s="28"/>
      <c r="J692" s="28"/>
      <c r="K692" s="28"/>
      <c r="L692" s="28"/>
      <c r="M692" s="28"/>
      <c r="N692" s="1465"/>
      <c r="O692" s="1466"/>
    </row>
    <row r="693" ht="16.5" customHeight="1">
      <c r="A693" s="939"/>
      <c r="B693" s="833"/>
      <c r="C693" s="833"/>
      <c r="D693" s="833"/>
      <c r="E693" s="833"/>
      <c r="F693" s="463"/>
      <c r="G693" s="1465"/>
      <c r="H693" s="1465"/>
      <c r="I693" s="30"/>
      <c r="J693" s="30"/>
      <c r="K693" s="30"/>
      <c r="L693" s="30"/>
      <c r="M693" s="30"/>
      <c r="N693" s="1465"/>
      <c r="O693" s="1466"/>
    </row>
    <row r="694" ht="16.5" customHeight="1">
      <c r="A694" s="940"/>
      <c r="B694" s="941"/>
      <c r="C694" s="941"/>
      <c r="D694" s="941"/>
      <c r="E694" s="941"/>
      <c r="F694" s="463"/>
      <c r="G694" s="1465"/>
      <c r="H694" s="1465"/>
      <c r="I694" s="28"/>
      <c r="J694" s="28"/>
      <c r="K694" s="28"/>
      <c r="L694" s="28"/>
      <c r="M694" s="28"/>
      <c r="N694" s="1465"/>
      <c r="O694" s="1466"/>
    </row>
    <row r="695" ht="16.5" customHeight="1">
      <c r="A695" s="939"/>
      <c r="B695" s="833"/>
      <c r="C695" s="833"/>
      <c r="D695" s="833"/>
      <c r="E695" s="833"/>
      <c r="F695" s="463"/>
      <c r="G695" s="1465"/>
      <c r="H695" s="1465"/>
      <c r="I695" s="30"/>
      <c r="J695" s="30"/>
      <c r="K695" s="30"/>
      <c r="L695" s="30"/>
      <c r="M695" s="30"/>
      <c r="N695" s="1465"/>
      <c r="O695" s="1466"/>
    </row>
    <row r="696" ht="16.5" customHeight="1">
      <c r="A696" s="940"/>
      <c r="B696" s="941"/>
      <c r="C696" s="941"/>
      <c r="D696" s="941"/>
      <c r="E696" s="941"/>
      <c r="F696" s="463"/>
      <c r="G696" s="1465"/>
      <c r="H696" s="1465"/>
      <c r="I696" s="28"/>
      <c r="J696" s="28"/>
      <c r="K696" s="28"/>
      <c r="L696" s="28"/>
      <c r="M696" s="28"/>
      <c r="N696" s="1465"/>
      <c r="O696" s="1466"/>
    </row>
    <row r="697" ht="16.5" customHeight="1">
      <c r="A697" s="939"/>
      <c r="B697" s="833"/>
      <c r="C697" s="833"/>
      <c r="D697" s="833"/>
      <c r="E697" s="833"/>
      <c r="F697" s="463"/>
      <c r="G697" s="1465"/>
      <c r="H697" s="1465"/>
      <c r="I697" s="30"/>
      <c r="J697" s="30"/>
      <c r="K697" s="30"/>
      <c r="L697" s="30"/>
      <c r="M697" s="30"/>
      <c r="N697" s="1465"/>
      <c r="O697" s="1466"/>
    </row>
    <row r="698" ht="16.5" customHeight="1">
      <c r="A698" s="940"/>
      <c r="B698" s="941"/>
      <c r="C698" s="941"/>
      <c r="D698" s="941"/>
      <c r="E698" s="941"/>
      <c r="F698" s="463"/>
      <c r="G698" s="1465"/>
      <c r="H698" s="1465"/>
      <c r="I698" s="28"/>
      <c r="J698" s="28"/>
      <c r="K698" s="28"/>
      <c r="L698" s="28"/>
      <c r="M698" s="28"/>
      <c r="N698" s="1465"/>
      <c r="O698" s="1466"/>
    </row>
    <row r="699" ht="16.5" customHeight="1">
      <c r="A699" s="939"/>
      <c r="B699" s="833"/>
      <c r="C699" s="833"/>
      <c r="D699" s="833"/>
      <c r="E699" s="833"/>
      <c r="F699" s="463"/>
      <c r="G699" s="1465"/>
      <c r="H699" s="1465"/>
      <c r="I699" s="30"/>
      <c r="J699" s="30"/>
      <c r="K699" s="30"/>
      <c r="L699" s="30"/>
      <c r="M699" s="30"/>
      <c r="N699" s="1465"/>
      <c r="O699" s="1466"/>
    </row>
    <row r="700" ht="16.5" customHeight="1">
      <c r="A700" s="940"/>
      <c r="B700" s="941"/>
      <c r="C700" s="941"/>
      <c r="D700" s="941"/>
      <c r="E700" s="941"/>
      <c r="F700" s="463"/>
      <c r="G700" s="1465"/>
      <c r="H700" s="1465"/>
      <c r="I700" s="28"/>
      <c r="J700" s="28"/>
      <c r="K700" s="28"/>
      <c r="L700" s="28"/>
      <c r="M700" s="28"/>
      <c r="N700" s="1465"/>
      <c r="O700" s="1466"/>
    </row>
    <row r="701" ht="16.5" customHeight="1">
      <c r="A701" s="939"/>
      <c r="B701" s="833"/>
      <c r="C701" s="833"/>
      <c r="D701" s="833"/>
      <c r="E701" s="833"/>
      <c r="F701" s="463"/>
      <c r="G701" s="1465"/>
      <c r="H701" s="1465"/>
      <c r="I701" s="30"/>
      <c r="J701" s="30"/>
      <c r="K701" s="30"/>
      <c r="L701" s="30"/>
      <c r="M701" s="30"/>
      <c r="N701" s="1465"/>
      <c r="O701" s="1466"/>
    </row>
    <row r="702" ht="16.5" customHeight="1">
      <c r="A702" s="940"/>
      <c r="B702" s="941"/>
      <c r="C702" s="941"/>
      <c r="D702" s="941"/>
      <c r="E702" s="941"/>
      <c r="F702" s="463"/>
      <c r="G702" s="1465"/>
      <c r="H702" s="1465"/>
      <c r="I702" s="28"/>
      <c r="J702" s="28"/>
      <c r="K702" s="28"/>
      <c r="L702" s="28"/>
      <c r="M702" s="28"/>
      <c r="N702" s="1465"/>
      <c r="O702" s="1466"/>
    </row>
    <row r="703" ht="16.5" customHeight="1">
      <c r="A703" s="939"/>
      <c r="B703" s="833"/>
      <c r="C703" s="833"/>
      <c r="D703" s="833"/>
      <c r="E703" s="833"/>
      <c r="F703" s="463"/>
      <c r="G703" s="1465"/>
      <c r="H703" s="1465"/>
      <c r="I703" s="30"/>
      <c r="J703" s="30"/>
      <c r="K703" s="30"/>
      <c r="L703" s="30"/>
      <c r="M703" s="30"/>
      <c r="N703" s="1465"/>
      <c r="O703" s="1466"/>
    </row>
    <row r="704" ht="16.5" customHeight="1">
      <c r="A704" s="940"/>
      <c r="B704" s="941"/>
      <c r="C704" s="941"/>
      <c r="D704" s="941"/>
      <c r="E704" s="941"/>
      <c r="F704" s="463"/>
      <c r="G704" s="1465"/>
      <c r="H704" s="1465"/>
      <c r="I704" s="28"/>
      <c r="J704" s="28"/>
      <c r="K704" s="28"/>
      <c r="L704" s="28"/>
      <c r="M704" s="28"/>
      <c r="N704" s="1465"/>
      <c r="O704" s="1466"/>
    </row>
    <row r="705" ht="16.5" customHeight="1">
      <c r="A705" s="939"/>
      <c r="B705" s="833"/>
      <c r="C705" s="833"/>
      <c r="D705" s="833"/>
      <c r="E705" s="833"/>
      <c r="F705" s="463"/>
      <c r="G705" s="1465"/>
      <c r="H705" s="1465"/>
      <c r="I705" s="30"/>
      <c r="J705" s="30"/>
      <c r="K705" s="30"/>
      <c r="L705" s="30"/>
      <c r="M705" s="30"/>
      <c r="N705" s="1465"/>
      <c r="O705" s="1466"/>
    </row>
    <row r="706" ht="16.5" customHeight="1">
      <c r="A706" s="940"/>
      <c r="B706" s="941"/>
      <c r="C706" s="941"/>
      <c r="D706" s="941"/>
      <c r="E706" s="941"/>
      <c r="F706" s="463"/>
      <c r="G706" s="1465"/>
      <c r="H706" s="1465"/>
      <c r="I706" s="28"/>
      <c r="J706" s="28"/>
      <c r="K706" s="28"/>
      <c r="L706" s="28"/>
      <c r="M706" s="28"/>
      <c r="N706" s="1465"/>
      <c r="O706" s="1466"/>
    </row>
    <row r="707" ht="16.5" customHeight="1">
      <c r="A707" s="939"/>
      <c r="B707" s="833"/>
      <c r="C707" s="833"/>
      <c r="D707" s="833"/>
      <c r="E707" s="833"/>
      <c r="F707" s="463"/>
      <c r="G707" s="1465"/>
      <c r="H707" s="1465"/>
      <c r="I707" s="30"/>
      <c r="J707" s="30"/>
      <c r="K707" s="30"/>
      <c r="L707" s="30"/>
      <c r="M707" s="30"/>
      <c r="N707" s="1465"/>
      <c r="O707" s="1466"/>
    </row>
    <row r="708" ht="16.5" customHeight="1">
      <c r="A708" s="940"/>
      <c r="B708" s="941"/>
      <c r="C708" s="941"/>
      <c r="D708" s="941"/>
      <c r="E708" s="941"/>
      <c r="F708" s="463"/>
      <c r="G708" s="1465"/>
      <c r="H708" s="1465"/>
      <c r="I708" s="28"/>
      <c r="J708" s="28"/>
      <c r="K708" s="28"/>
      <c r="L708" s="28"/>
      <c r="M708" s="28"/>
      <c r="N708" s="1465"/>
      <c r="O708" s="1466"/>
    </row>
    <row r="709" ht="16.5" customHeight="1">
      <c r="A709" s="939"/>
      <c r="B709" s="833"/>
      <c r="C709" s="833"/>
      <c r="D709" s="833"/>
      <c r="E709" s="833"/>
      <c r="F709" s="463"/>
      <c r="G709" s="1465"/>
      <c r="H709" s="1465"/>
      <c r="I709" s="30"/>
      <c r="J709" s="30"/>
      <c r="K709" s="30"/>
      <c r="L709" s="30"/>
      <c r="M709" s="30"/>
      <c r="N709" s="1465"/>
      <c r="O709" s="1466"/>
    </row>
    <row r="710" ht="16.5" customHeight="1">
      <c r="A710" s="940"/>
      <c r="B710" s="941"/>
      <c r="C710" s="941"/>
      <c r="D710" s="941"/>
      <c r="E710" s="941"/>
      <c r="F710" s="463"/>
      <c r="G710" s="1465"/>
      <c r="H710" s="1465"/>
      <c r="I710" s="28"/>
      <c r="J710" s="28"/>
      <c r="K710" s="28"/>
      <c r="L710" s="28"/>
      <c r="M710" s="28"/>
      <c r="N710" s="1465"/>
      <c r="O710" s="1466"/>
    </row>
    <row r="711" ht="16.5" customHeight="1">
      <c r="A711" s="939"/>
      <c r="B711" s="833"/>
      <c r="C711" s="833"/>
      <c r="D711" s="833"/>
      <c r="E711" s="833"/>
      <c r="F711" s="463"/>
      <c r="G711" s="1465"/>
      <c r="H711" s="1465"/>
      <c r="I711" s="30"/>
      <c r="J711" s="30"/>
      <c r="K711" s="30"/>
      <c r="L711" s="30"/>
      <c r="M711" s="30"/>
      <c r="N711" s="1465"/>
      <c r="O711" s="1466"/>
    </row>
    <row r="712" ht="16.5" customHeight="1">
      <c r="A712" s="940"/>
      <c r="B712" s="941"/>
      <c r="C712" s="941"/>
      <c r="D712" s="941"/>
      <c r="E712" s="941"/>
      <c r="F712" s="463"/>
      <c r="G712" s="1465"/>
      <c r="H712" s="1465"/>
      <c r="I712" s="28"/>
      <c r="J712" s="28"/>
      <c r="K712" s="28"/>
      <c r="L712" s="28"/>
      <c r="M712" s="28"/>
      <c r="N712" s="1465"/>
      <c r="O712" s="1466"/>
    </row>
    <row r="713" ht="16.5" customHeight="1">
      <c r="A713" s="939"/>
      <c r="B713" s="833"/>
      <c r="C713" s="833"/>
      <c r="D713" s="833"/>
      <c r="E713" s="833"/>
      <c r="F713" s="463"/>
      <c r="G713" s="1465"/>
      <c r="H713" s="1465"/>
      <c r="I713" s="30"/>
      <c r="J713" s="30"/>
      <c r="K713" s="30"/>
      <c r="L713" s="30"/>
      <c r="M713" s="30"/>
      <c r="N713" s="1465"/>
      <c r="O713" s="1466"/>
    </row>
    <row r="714" ht="16.5" customHeight="1">
      <c r="A714" s="940"/>
      <c r="B714" s="941"/>
      <c r="C714" s="941"/>
      <c r="D714" s="941"/>
      <c r="E714" s="941"/>
      <c r="F714" s="463"/>
      <c r="G714" s="1465"/>
      <c r="H714" s="1465"/>
      <c r="I714" s="28"/>
      <c r="J714" s="28"/>
      <c r="K714" s="28"/>
      <c r="L714" s="28"/>
      <c r="M714" s="28"/>
      <c r="N714" s="1465"/>
      <c r="O714" s="1466"/>
    </row>
    <row r="715" ht="16.5" customHeight="1">
      <c r="A715" s="939"/>
      <c r="B715" s="833"/>
      <c r="C715" s="833"/>
      <c r="D715" s="833"/>
      <c r="E715" s="833"/>
      <c r="F715" s="463"/>
      <c r="G715" s="1465"/>
      <c r="H715" s="1465"/>
      <c r="I715" s="30"/>
      <c r="J715" s="30"/>
      <c r="K715" s="30"/>
      <c r="L715" s="30"/>
      <c r="M715" s="30"/>
      <c r="N715" s="1465"/>
      <c r="O715" s="1466"/>
    </row>
    <row r="716" ht="16.5" customHeight="1">
      <c r="A716" s="940"/>
      <c r="B716" s="941"/>
      <c r="C716" s="941"/>
      <c r="D716" s="941"/>
      <c r="E716" s="941"/>
      <c r="F716" s="463"/>
      <c r="G716" s="1465"/>
      <c r="H716" s="1465"/>
      <c r="I716" s="28"/>
      <c r="J716" s="28"/>
      <c r="K716" s="28"/>
      <c r="L716" s="28"/>
      <c r="M716" s="28"/>
      <c r="N716" s="1465"/>
      <c r="O716" s="1466"/>
    </row>
    <row r="717" ht="16.5" customHeight="1">
      <c r="A717" s="939"/>
      <c r="B717" s="833"/>
      <c r="C717" s="833"/>
      <c r="D717" s="833"/>
      <c r="E717" s="833"/>
      <c r="F717" s="463"/>
      <c r="G717" s="1465"/>
      <c r="H717" s="1465"/>
      <c r="I717" s="30"/>
      <c r="J717" s="30"/>
      <c r="K717" s="30"/>
      <c r="L717" s="30"/>
      <c r="M717" s="30"/>
      <c r="N717" s="1465"/>
      <c r="O717" s="1466"/>
    </row>
    <row r="718" ht="16.5" customHeight="1">
      <c r="A718" s="940"/>
      <c r="B718" s="941"/>
      <c r="C718" s="941"/>
      <c r="D718" s="941"/>
      <c r="E718" s="941"/>
      <c r="F718" s="463"/>
      <c r="G718" s="1465"/>
      <c r="H718" s="1465"/>
      <c r="I718" s="28"/>
      <c r="J718" s="28"/>
      <c r="K718" s="28"/>
      <c r="L718" s="28"/>
      <c r="M718" s="28"/>
      <c r="N718" s="1465"/>
      <c r="O718" s="1466"/>
    </row>
    <row r="719" ht="16.5" customHeight="1">
      <c r="A719" s="939"/>
      <c r="B719" s="833"/>
      <c r="C719" s="833"/>
      <c r="D719" s="833"/>
      <c r="E719" s="833"/>
      <c r="F719" s="463"/>
      <c r="G719" s="1465"/>
      <c r="H719" s="1465"/>
      <c r="I719" s="30"/>
      <c r="J719" s="30"/>
      <c r="K719" s="30"/>
      <c r="L719" s="30"/>
      <c r="M719" s="30"/>
      <c r="N719" s="1465"/>
      <c r="O719" s="1466"/>
    </row>
    <row r="720" ht="16.5" customHeight="1">
      <c r="A720" s="940"/>
      <c r="B720" s="941"/>
      <c r="C720" s="941"/>
      <c r="D720" s="941"/>
      <c r="E720" s="941"/>
      <c r="F720" s="463"/>
      <c r="G720" s="1465"/>
      <c r="H720" s="1465"/>
      <c r="I720" s="28"/>
      <c r="J720" s="28"/>
      <c r="K720" s="28"/>
      <c r="L720" s="28"/>
      <c r="M720" s="28"/>
      <c r="N720" s="1465"/>
      <c r="O720" s="1466"/>
    </row>
    <row r="721" ht="16.5" customHeight="1">
      <c r="A721" s="939"/>
      <c r="B721" s="833"/>
      <c r="C721" s="833"/>
      <c r="D721" s="833"/>
      <c r="E721" s="833"/>
      <c r="F721" s="463"/>
      <c r="G721" s="1465"/>
      <c r="H721" s="1465"/>
      <c r="I721" s="30"/>
      <c r="J721" s="30"/>
      <c r="K721" s="30"/>
      <c r="L721" s="30"/>
      <c r="M721" s="30"/>
      <c r="N721" s="1465"/>
      <c r="O721" s="1466"/>
    </row>
    <row r="722" ht="16.5" customHeight="1">
      <c r="A722" s="940"/>
      <c r="B722" s="941"/>
      <c r="C722" s="941"/>
      <c r="D722" s="941"/>
      <c r="E722" s="941"/>
      <c r="F722" s="463"/>
      <c r="G722" s="1465"/>
      <c r="H722" s="1465"/>
      <c r="I722" s="28"/>
      <c r="J722" s="28"/>
      <c r="K722" s="28"/>
      <c r="L722" s="28"/>
      <c r="M722" s="28"/>
      <c r="N722" s="1465"/>
      <c r="O722" s="1466"/>
    </row>
    <row r="723" ht="16.5" customHeight="1">
      <c r="A723" s="939"/>
      <c r="B723" s="833"/>
      <c r="C723" s="833"/>
      <c r="D723" s="833"/>
      <c r="E723" s="833"/>
      <c r="F723" s="463"/>
      <c r="G723" s="1465"/>
      <c r="H723" s="1465"/>
      <c r="I723" s="30"/>
      <c r="J723" s="30"/>
      <c r="K723" s="30"/>
      <c r="L723" s="30"/>
      <c r="M723" s="30"/>
      <c r="N723" s="1465"/>
      <c r="O723" s="1466"/>
    </row>
    <row r="724" ht="16.5" customHeight="1">
      <c r="A724" s="940"/>
      <c r="B724" s="941"/>
      <c r="C724" s="941"/>
      <c r="D724" s="941"/>
      <c r="E724" s="941"/>
      <c r="F724" s="463"/>
      <c r="G724" s="1465"/>
      <c r="H724" s="1465"/>
      <c r="I724" s="28"/>
      <c r="J724" s="28"/>
      <c r="K724" s="28"/>
      <c r="L724" s="28"/>
      <c r="M724" s="28"/>
      <c r="N724" s="1465"/>
      <c r="O724" s="1466"/>
    </row>
    <row r="725" ht="16.5" customHeight="1">
      <c r="A725" s="939"/>
      <c r="B725" s="833"/>
      <c r="C725" s="833"/>
      <c r="D725" s="833"/>
      <c r="E725" s="833"/>
      <c r="F725" s="463"/>
      <c r="G725" s="1465"/>
      <c r="H725" s="1465"/>
      <c r="I725" s="30"/>
      <c r="J725" s="30"/>
      <c r="K725" s="30"/>
      <c r="L725" s="30"/>
      <c r="M725" s="30"/>
      <c r="N725" s="1465"/>
      <c r="O725" s="1466"/>
    </row>
    <row r="726" ht="16.5" customHeight="1">
      <c r="A726" s="940"/>
      <c r="B726" s="941"/>
      <c r="C726" s="941"/>
      <c r="D726" s="941"/>
      <c r="E726" s="941"/>
      <c r="F726" s="463"/>
      <c r="G726" s="1465"/>
      <c r="H726" s="1465"/>
      <c r="I726" s="28"/>
      <c r="J726" s="28"/>
      <c r="K726" s="28"/>
      <c r="L726" s="28"/>
      <c r="M726" s="28"/>
      <c r="N726" s="1465"/>
      <c r="O726" s="1466"/>
    </row>
    <row r="727" ht="16.5" customHeight="1">
      <c r="A727" s="939"/>
      <c r="B727" s="833"/>
      <c r="C727" s="833"/>
      <c r="D727" s="833"/>
      <c r="E727" s="833"/>
      <c r="F727" s="463"/>
      <c r="G727" s="1465"/>
      <c r="H727" s="1465"/>
      <c r="I727" s="30"/>
      <c r="J727" s="30"/>
      <c r="K727" s="30"/>
      <c r="L727" s="30"/>
      <c r="M727" s="30"/>
      <c r="N727" s="1465"/>
      <c r="O727" s="1466"/>
    </row>
    <row r="728" ht="16.5" customHeight="1">
      <c r="A728" s="940"/>
      <c r="B728" s="941"/>
      <c r="C728" s="941"/>
      <c r="D728" s="941"/>
      <c r="E728" s="941"/>
      <c r="F728" s="463"/>
      <c r="G728" s="1465"/>
      <c r="H728" s="1465"/>
      <c r="I728" s="28"/>
      <c r="J728" s="28"/>
      <c r="K728" s="28"/>
      <c r="L728" s="28"/>
      <c r="M728" s="28"/>
      <c r="N728" s="1465"/>
      <c r="O728" s="1466"/>
    </row>
    <row r="729" ht="16.5" customHeight="1">
      <c r="A729" s="939"/>
      <c r="B729" s="833"/>
      <c r="C729" s="833"/>
      <c r="D729" s="833"/>
      <c r="E729" s="833"/>
      <c r="F729" s="463"/>
      <c r="G729" s="1465"/>
      <c r="H729" s="1465"/>
      <c r="I729" s="30"/>
      <c r="J729" s="30"/>
      <c r="K729" s="30"/>
      <c r="L729" s="30"/>
      <c r="M729" s="30"/>
      <c r="N729" s="1465"/>
      <c r="O729" s="1466"/>
    </row>
    <row r="730" ht="16.5" customHeight="1">
      <c r="A730" s="940"/>
      <c r="B730" s="941"/>
      <c r="C730" s="941"/>
      <c r="D730" s="941"/>
      <c r="E730" s="941"/>
      <c r="F730" s="463"/>
      <c r="G730" s="1465"/>
      <c r="H730" s="1465"/>
      <c r="I730" s="28"/>
      <c r="J730" s="28"/>
      <c r="K730" s="28"/>
      <c r="L730" s="28"/>
      <c r="M730" s="28"/>
      <c r="N730" s="1465"/>
      <c r="O730" s="1466"/>
    </row>
    <row r="731" ht="16.5" customHeight="1">
      <c r="A731" s="939"/>
      <c r="B731" s="833"/>
      <c r="C731" s="833"/>
      <c r="D731" s="833"/>
      <c r="E731" s="833"/>
      <c r="F731" s="463"/>
      <c r="G731" s="1465"/>
      <c r="H731" s="1465"/>
      <c r="I731" s="30"/>
      <c r="J731" s="30"/>
      <c r="K731" s="30"/>
      <c r="L731" s="30"/>
      <c r="M731" s="30"/>
      <c r="N731" s="1465"/>
      <c r="O731" s="1466"/>
    </row>
    <row r="732" ht="16.5" customHeight="1">
      <c r="A732" s="940"/>
      <c r="B732" s="941"/>
      <c r="C732" s="941"/>
      <c r="D732" s="941"/>
      <c r="E732" s="941"/>
      <c r="F732" s="463"/>
      <c r="G732" s="1465"/>
      <c r="H732" s="1465"/>
      <c r="I732" s="28"/>
      <c r="J732" s="28"/>
      <c r="K732" s="28"/>
      <c r="L732" s="28"/>
      <c r="M732" s="28"/>
      <c r="N732" s="1465"/>
      <c r="O732" s="1466"/>
    </row>
    <row r="733" ht="16.5" customHeight="1">
      <c r="A733" s="939"/>
      <c r="B733" s="833"/>
      <c r="C733" s="833"/>
      <c r="D733" s="833"/>
      <c r="E733" s="833"/>
      <c r="F733" s="463"/>
      <c r="G733" s="1465"/>
      <c r="H733" s="1465"/>
      <c r="I733" s="30"/>
      <c r="J733" s="30"/>
      <c r="K733" s="30"/>
      <c r="L733" s="30"/>
      <c r="M733" s="30"/>
      <c r="N733" s="1465"/>
      <c r="O733" s="1466"/>
    </row>
    <row r="734" ht="16.5" customHeight="1">
      <c r="A734" s="940"/>
      <c r="B734" s="941"/>
      <c r="C734" s="941"/>
      <c r="D734" s="941"/>
      <c r="E734" s="941"/>
      <c r="F734" s="463"/>
      <c r="G734" s="1465"/>
      <c r="H734" s="1465"/>
      <c r="I734" s="28"/>
      <c r="J734" s="28"/>
      <c r="K734" s="28"/>
      <c r="L734" s="28"/>
      <c r="M734" s="28"/>
      <c r="N734" s="1465"/>
      <c r="O734" s="1466"/>
    </row>
    <row r="735" ht="16.5" customHeight="1">
      <c r="A735" s="939"/>
      <c r="B735" s="833"/>
      <c r="C735" s="833"/>
      <c r="D735" s="833"/>
      <c r="E735" s="833"/>
      <c r="F735" s="463"/>
      <c r="G735" s="1465"/>
      <c r="H735" s="1465"/>
      <c r="I735" s="30"/>
      <c r="J735" s="30"/>
      <c r="K735" s="30"/>
      <c r="L735" s="30"/>
      <c r="M735" s="30"/>
      <c r="N735" s="1465"/>
      <c r="O735" s="1466"/>
    </row>
    <row r="736" ht="16.5" customHeight="1">
      <c r="A736" s="940"/>
      <c r="B736" s="941"/>
      <c r="C736" s="941"/>
      <c r="D736" s="941"/>
      <c r="E736" s="941"/>
      <c r="F736" s="463"/>
      <c r="G736" s="1465"/>
      <c r="H736" s="1465"/>
      <c r="I736" s="28"/>
      <c r="J736" s="28"/>
      <c r="K736" s="28"/>
      <c r="L736" s="28"/>
      <c r="M736" s="28"/>
      <c r="N736" s="1465"/>
      <c r="O736" s="1466"/>
    </row>
    <row r="737" ht="16.5" customHeight="1">
      <c r="A737" s="939"/>
      <c r="B737" s="833"/>
      <c r="C737" s="833"/>
      <c r="D737" s="833"/>
      <c r="E737" s="833"/>
      <c r="F737" s="463"/>
      <c r="G737" s="1465"/>
      <c r="H737" s="1465"/>
      <c r="I737" s="30"/>
      <c r="J737" s="30"/>
      <c r="K737" s="30"/>
      <c r="L737" s="30"/>
      <c r="M737" s="30"/>
      <c r="N737" s="1465"/>
      <c r="O737" s="1466"/>
    </row>
    <row r="738" ht="16.5" customHeight="1">
      <c r="A738" s="940"/>
      <c r="B738" s="941"/>
      <c r="C738" s="941"/>
      <c r="D738" s="941"/>
      <c r="E738" s="941"/>
      <c r="F738" s="463"/>
      <c r="G738" s="1465"/>
      <c r="H738" s="1465"/>
      <c r="I738" s="28"/>
      <c r="J738" s="28"/>
      <c r="K738" s="28"/>
      <c r="L738" s="28"/>
      <c r="M738" s="28"/>
      <c r="N738" s="1465"/>
      <c r="O738" s="1466"/>
    </row>
    <row r="739" ht="16.5" customHeight="1">
      <c r="A739" s="939"/>
      <c r="B739" s="833"/>
      <c r="C739" s="833"/>
      <c r="D739" s="833"/>
      <c r="E739" s="833"/>
      <c r="F739" s="463"/>
      <c r="G739" s="1465"/>
      <c r="H739" s="1465"/>
      <c r="I739" s="30"/>
      <c r="J739" s="30"/>
      <c r="K739" s="30"/>
      <c r="L739" s="30"/>
      <c r="M739" s="30"/>
      <c r="N739" s="1465"/>
      <c r="O739" s="1466"/>
    </row>
    <row r="740" ht="16.5" customHeight="1">
      <c r="A740" s="940"/>
      <c r="B740" s="941"/>
      <c r="C740" s="941"/>
      <c r="D740" s="941"/>
      <c r="E740" s="941"/>
      <c r="F740" s="463"/>
      <c r="G740" s="1465"/>
      <c r="H740" s="1465"/>
      <c r="I740" s="28"/>
      <c r="J740" s="28"/>
      <c r="K740" s="28"/>
      <c r="L740" s="28"/>
      <c r="M740" s="28"/>
      <c r="N740" s="1465"/>
      <c r="O740" s="1466"/>
    </row>
    <row r="741" ht="16.5" customHeight="1">
      <c r="A741" s="939"/>
      <c r="B741" s="833"/>
      <c r="C741" s="833"/>
      <c r="D741" s="833"/>
      <c r="E741" s="833"/>
      <c r="F741" s="463"/>
      <c r="G741" s="1465"/>
      <c r="H741" s="1465"/>
      <c r="I741" s="30"/>
      <c r="J741" s="30"/>
      <c r="K741" s="30"/>
      <c r="L741" s="30"/>
      <c r="M741" s="30"/>
      <c r="N741" s="1465"/>
      <c r="O741" s="1466"/>
    </row>
    <row r="742" ht="16.5" customHeight="1">
      <c r="A742" s="940"/>
      <c r="B742" s="941"/>
      <c r="C742" s="941"/>
      <c r="D742" s="941"/>
      <c r="E742" s="941"/>
      <c r="F742" s="463"/>
      <c r="G742" s="1465"/>
      <c r="H742" s="1465"/>
      <c r="I742" s="28"/>
      <c r="J742" s="28"/>
      <c r="K742" s="28"/>
      <c r="L742" s="28"/>
      <c r="M742" s="28"/>
      <c r="N742" s="1465"/>
      <c r="O742" s="1466"/>
    </row>
    <row r="743" ht="16.5" customHeight="1">
      <c r="A743" s="939"/>
      <c r="B743" s="833"/>
      <c r="C743" s="833"/>
      <c r="D743" s="833"/>
      <c r="E743" s="833"/>
      <c r="F743" s="463"/>
      <c r="G743" s="1465"/>
      <c r="H743" s="1465"/>
      <c r="I743" s="30"/>
      <c r="J743" s="30"/>
      <c r="K743" s="30"/>
      <c r="L743" s="30"/>
      <c r="M743" s="30"/>
      <c r="N743" s="1465"/>
      <c r="O743" s="1466"/>
    </row>
    <row r="744" ht="16.5" customHeight="1">
      <c r="A744" s="940"/>
      <c r="B744" s="941"/>
      <c r="C744" s="941"/>
      <c r="D744" s="941"/>
      <c r="E744" s="941"/>
      <c r="F744" s="463"/>
      <c r="G744" s="1465"/>
      <c r="H744" s="1465"/>
      <c r="I744" s="28"/>
      <c r="J744" s="28"/>
      <c r="K744" s="28"/>
      <c r="L744" s="28"/>
      <c r="M744" s="28"/>
      <c r="N744" s="1465"/>
      <c r="O744" s="1466"/>
    </row>
    <row r="745" ht="16.5" customHeight="1">
      <c r="A745" s="939"/>
      <c r="B745" s="833"/>
      <c r="C745" s="833"/>
      <c r="D745" s="833"/>
      <c r="E745" s="833"/>
      <c r="F745" s="463"/>
      <c r="G745" s="1465"/>
      <c r="H745" s="1465"/>
      <c r="I745" s="30"/>
      <c r="J745" s="30"/>
      <c r="K745" s="30"/>
      <c r="L745" s="30"/>
      <c r="M745" s="30"/>
      <c r="N745" s="1465"/>
      <c r="O745" s="1466"/>
    </row>
    <row r="746" ht="16.5" customHeight="1">
      <c r="A746" s="940"/>
      <c r="B746" s="941"/>
      <c r="C746" s="941"/>
      <c r="D746" s="941"/>
      <c r="E746" s="941"/>
      <c r="F746" s="463"/>
      <c r="G746" s="1465"/>
      <c r="H746" s="1465"/>
      <c r="I746" s="28"/>
      <c r="J746" s="28"/>
      <c r="K746" s="28"/>
      <c r="L746" s="28"/>
      <c r="M746" s="28"/>
      <c r="N746" s="1465"/>
      <c r="O746" s="1466"/>
    </row>
    <row r="747" ht="16.5" customHeight="1">
      <c r="A747" s="939"/>
      <c r="B747" s="833"/>
      <c r="C747" s="833"/>
      <c r="D747" s="833"/>
      <c r="E747" s="833"/>
      <c r="F747" s="463"/>
      <c r="G747" s="1465"/>
      <c r="H747" s="1465"/>
      <c r="I747" s="30"/>
      <c r="J747" s="30"/>
      <c r="K747" s="30"/>
      <c r="L747" s="30"/>
      <c r="M747" s="30"/>
      <c r="N747" s="1465"/>
      <c r="O747" s="1466"/>
    </row>
    <row r="748" ht="16.5" customHeight="1">
      <c r="A748" s="940"/>
      <c r="B748" s="941"/>
      <c r="C748" s="941"/>
      <c r="D748" s="941"/>
      <c r="E748" s="941"/>
      <c r="F748" s="463"/>
      <c r="G748" s="1465"/>
      <c r="H748" s="1465"/>
      <c r="I748" s="28"/>
      <c r="J748" s="28"/>
      <c r="K748" s="28"/>
      <c r="L748" s="28"/>
      <c r="M748" s="28"/>
      <c r="N748" s="1465"/>
      <c r="O748" s="1466"/>
    </row>
    <row r="749" ht="16.5" customHeight="1">
      <c r="A749" s="939"/>
      <c r="B749" s="833"/>
      <c r="C749" s="833"/>
      <c r="D749" s="833"/>
      <c r="E749" s="833"/>
      <c r="F749" s="463"/>
      <c r="G749" s="1465"/>
      <c r="H749" s="1465"/>
      <c r="I749" s="30"/>
      <c r="J749" s="30"/>
      <c r="K749" s="30"/>
      <c r="L749" s="30"/>
      <c r="M749" s="30"/>
      <c r="N749" s="1465"/>
      <c r="O749" s="1466"/>
    </row>
    <row r="750" ht="16.5" customHeight="1">
      <c r="A750" s="940"/>
      <c r="B750" s="941"/>
      <c r="C750" s="941"/>
      <c r="D750" s="941"/>
      <c r="E750" s="941"/>
      <c r="F750" s="463"/>
      <c r="G750" s="1465"/>
      <c r="H750" s="1465"/>
      <c r="I750" s="28"/>
      <c r="J750" s="28"/>
      <c r="K750" s="28"/>
      <c r="L750" s="28"/>
      <c r="M750" s="28"/>
      <c r="N750" s="1465"/>
      <c r="O750" s="1466"/>
    </row>
    <row r="751" ht="16.5" customHeight="1">
      <c r="A751" s="939"/>
      <c r="B751" s="833"/>
      <c r="C751" s="833"/>
      <c r="D751" s="833"/>
      <c r="E751" s="833"/>
      <c r="F751" s="463"/>
      <c r="G751" s="1465"/>
      <c r="H751" s="1465"/>
      <c r="I751" s="30"/>
      <c r="J751" s="30"/>
      <c r="K751" s="30"/>
      <c r="L751" s="30"/>
      <c r="M751" s="30"/>
      <c r="N751" s="1465"/>
      <c r="O751" s="1466"/>
    </row>
    <row r="752" ht="16.5" customHeight="1">
      <c r="A752" s="940"/>
      <c r="B752" s="941"/>
      <c r="C752" s="941"/>
      <c r="D752" s="941"/>
      <c r="E752" s="941"/>
      <c r="F752" s="463"/>
      <c r="G752" s="1465"/>
      <c r="H752" s="1465"/>
      <c r="I752" s="28"/>
      <c r="J752" s="28"/>
      <c r="K752" s="28"/>
      <c r="L752" s="28"/>
      <c r="M752" s="28"/>
      <c r="N752" s="1465"/>
      <c r="O752" s="1466"/>
    </row>
    <row r="753" ht="16.5" customHeight="1">
      <c r="A753" s="939"/>
      <c r="B753" s="833"/>
      <c r="C753" s="833"/>
      <c r="D753" s="833"/>
      <c r="E753" s="833"/>
      <c r="F753" s="463"/>
      <c r="G753" s="1465"/>
      <c r="H753" s="1465"/>
      <c r="I753" s="30"/>
      <c r="J753" s="30"/>
      <c r="K753" s="30"/>
      <c r="L753" s="30"/>
      <c r="M753" s="30"/>
      <c r="N753" s="1465"/>
      <c r="O753" s="1466"/>
    </row>
    <row r="754" ht="16.5" customHeight="1">
      <c r="A754" s="940"/>
      <c r="B754" s="941"/>
      <c r="C754" s="941"/>
      <c r="D754" s="941"/>
      <c r="E754" s="941"/>
      <c r="F754" s="463"/>
      <c r="G754" s="1465"/>
      <c r="H754" s="1465"/>
      <c r="I754" s="28"/>
      <c r="J754" s="28"/>
      <c r="K754" s="28"/>
      <c r="L754" s="28"/>
      <c r="M754" s="28"/>
      <c r="N754" s="1465"/>
      <c r="O754" s="1466"/>
    </row>
    <row r="755" ht="16.5" customHeight="1">
      <c r="A755" s="939"/>
      <c r="B755" s="833"/>
      <c r="C755" s="833"/>
      <c r="D755" s="833"/>
      <c r="E755" s="833"/>
      <c r="F755" s="463"/>
      <c r="G755" s="1465"/>
      <c r="H755" s="1465"/>
      <c r="I755" s="30"/>
      <c r="J755" s="30"/>
      <c r="K755" s="30"/>
      <c r="L755" s="30"/>
      <c r="M755" s="30"/>
      <c r="N755" s="1465"/>
      <c r="O755" s="1466"/>
    </row>
    <row r="756" ht="16.5" customHeight="1">
      <c r="A756" s="940"/>
      <c r="B756" s="941"/>
      <c r="C756" s="941"/>
      <c r="D756" s="941"/>
      <c r="E756" s="941"/>
      <c r="F756" s="463"/>
      <c r="G756" s="1465"/>
      <c r="H756" s="1465"/>
      <c r="I756" s="28"/>
      <c r="J756" s="28"/>
      <c r="K756" s="28"/>
      <c r="L756" s="28"/>
      <c r="M756" s="28"/>
      <c r="N756" s="1465"/>
      <c r="O756" s="1466"/>
    </row>
    <row r="757" ht="16.5" customHeight="1">
      <c r="A757" s="939"/>
      <c r="B757" s="833"/>
      <c r="C757" s="833"/>
      <c r="D757" s="833"/>
      <c r="E757" s="833"/>
      <c r="F757" s="463"/>
      <c r="G757" s="1465"/>
      <c r="H757" s="1465"/>
      <c r="I757" s="30"/>
      <c r="J757" s="30"/>
      <c r="K757" s="30"/>
      <c r="L757" s="30"/>
      <c r="M757" s="30"/>
      <c r="N757" s="1465"/>
      <c r="O757" s="1466"/>
    </row>
    <row r="758" ht="16.5" customHeight="1">
      <c r="A758" s="940"/>
      <c r="B758" s="941"/>
      <c r="C758" s="941"/>
      <c r="D758" s="941"/>
      <c r="E758" s="941"/>
      <c r="F758" s="463"/>
      <c r="G758" s="1465"/>
      <c r="H758" s="1465"/>
      <c r="I758" s="28"/>
      <c r="J758" s="28"/>
      <c r="K758" s="28"/>
      <c r="L758" s="28"/>
      <c r="M758" s="28"/>
      <c r="N758" s="1465"/>
      <c r="O758" s="1466"/>
    </row>
    <row r="759" ht="16.5" customHeight="1">
      <c r="A759" s="939"/>
      <c r="B759" s="833"/>
      <c r="C759" s="833"/>
      <c r="D759" s="833"/>
      <c r="E759" s="833"/>
      <c r="F759" s="463"/>
      <c r="G759" s="1465"/>
      <c r="H759" s="1465"/>
      <c r="I759" s="30"/>
      <c r="J759" s="30"/>
      <c r="K759" s="30"/>
      <c r="L759" s="30"/>
      <c r="M759" s="30"/>
      <c r="N759" s="1465"/>
      <c r="O759" s="1466"/>
    </row>
    <row r="760" ht="16.5" customHeight="1">
      <c r="A760" s="940"/>
      <c r="B760" s="941"/>
      <c r="C760" s="941"/>
      <c r="D760" s="941"/>
      <c r="E760" s="941"/>
      <c r="F760" s="463"/>
      <c r="G760" s="1465"/>
      <c r="H760" s="1465"/>
      <c r="I760" s="28"/>
      <c r="J760" s="28"/>
      <c r="K760" s="28"/>
      <c r="L760" s="28"/>
      <c r="M760" s="28"/>
      <c r="N760" s="1465"/>
      <c r="O760" s="1466"/>
    </row>
    <row r="761" ht="16.5" customHeight="1">
      <c r="A761" s="939"/>
      <c r="B761" s="833"/>
      <c r="C761" s="833"/>
      <c r="D761" s="833"/>
      <c r="E761" s="833"/>
      <c r="F761" s="463"/>
      <c r="G761" s="1465"/>
      <c r="H761" s="1465"/>
      <c r="I761" s="30"/>
      <c r="J761" s="30"/>
      <c r="K761" s="30"/>
      <c r="L761" s="30"/>
      <c r="M761" s="30"/>
      <c r="N761" s="1465"/>
      <c r="O761" s="1466"/>
    </row>
    <row r="762" ht="16.5" customHeight="1">
      <c r="A762" s="940"/>
      <c r="B762" s="941"/>
      <c r="C762" s="941"/>
      <c r="D762" s="941"/>
      <c r="E762" s="941"/>
      <c r="F762" s="463"/>
      <c r="G762" s="1465"/>
      <c r="H762" s="1465"/>
      <c r="I762" s="28"/>
      <c r="J762" s="28"/>
      <c r="K762" s="28"/>
      <c r="L762" s="28"/>
      <c r="M762" s="28"/>
      <c r="N762" s="1465"/>
      <c r="O762" s="1466"/>
    </row>
    <row r="763" ht="16.5" customHeight="1">
      <c r="A763" s="939"/>
      <c r="B763" s="833"/>
      <c r="C763" s="833"/>
      <c r="D763" s="833"/>
      <c r="E763" s="833"/>
      <c r="F763" s="463"/>
      <c r="G763" s="1465"/>
      <c r="H763" s="1465"/>
      <c r="I763" s="30"/>
      <c r="J763" s="30"/>
      <c r="K763" s="30"/>
      <c r="L763" s="30"/>
      <c r="M763" s="30"/>
      <c r="N763" s="1465"/>
      <c r="O763" s="1466"/>
    </row>
    <row r="764" ht="16.5" customHeight="1">
      <c r="A764" s="940"/>
      <c r="B764" s="941"/>
      <c r="C764" s="941"/>
      <c r="D764" s="941"/>
      <c r="E764" s="941"/>
      <c r="F764" s="463"/>
      <c r="G764" s="1465"/>
      <c r="H764" s="1465"/>
      <c r="I764" s="28"/>
      <c r="J764" s="28"/>
      <c r="K764" s="28"/>
      <c r="L764" s="28"/>
      <c r="M764" s="28"/>
      <c r="N764" s="1465"/>
      <c r="O764" s="1466"/>
    </row>
    <row r="765" ht="16.5" customHeight="1">
      <c r="A765" s="939"/>
      <c r="B765" s="833"/>
      <c r="C765" s="833"/>
      <c r="D765" s="833"/>
      <c r="E765" s="833"/>
      <c r="F765" s="463"/>
      <c r="G765" s="1465"/>
      <c r="H765" s="1465"/>
      <c r="I765" s="30"/>
      <c r="J765" s="30"/>
      <c r="K765" s="30"/>
      <c r="L765" s="30"/>
      <c r="M765" s="30"/>
      <c r="N765" s="1465"/>
      <c r="O765" s="1466"/>
    </row>
    <row r="766" ht="16.5" customHeight="1">
      <c r="A766" s="940"/>
      <c r="B766" s="941"/>
      <c r="C766" s="941"/>
      <c r="D766" s="941"/>
      <c r="E766" s="941"/>
      <c r="F766" s="463"/>
      <c r="G766" s="1465"/>
      <c r="H766" s="1465"/>
      <c r="I766" s="28"/>
      <c r="J766" s="28"/>
      <c r="K766" s="28"/>
      <c r="L766" s="28"/>
      <c r="M766" s="28"/>
      <c r="N766" s="1465"/>
      <c r="O766" s="1466"/>
    </row>
    <row r="767" ht="16.5" customHeight="1">
      <c r="A767" s="939"/>
      <c r="B767" s="833"/>
      <c r="C767" s="833"/>
      <c r="D767" s="833"/>
      <c r="E767" s="833"/>
      <c r="F767" s="463"/>
      <c r="G767" s="1465"/>
      <c r="H767" s="1465"/>
      <c r="I767" s="30"/>
      <c r="J767" s="30"/>
      <c r="K767" s="30"/>
      <c r="L767" s="30"/>
      <c r="M767" s="30"/>
      <c r="N767" s="1465"/>
      <c r="O767" s="1466"/>
    </row>
    <row r="768" ht="16.5" customHeight="1">
      <c r="A768" s="940"/>
      <c r="B768" s="941"/>
      <c r="C768" s="941"/>
      <c r="D768" s="941"/>
      <c r="E768" s="941"/>
      <c r="F768" s="463"/>
      <c r="G768" s="1465"/>
      <c r="H768" s="1465"/>
      <c r="I768" s="28"/>
      <c r="J768" s="28"/>
      <c r="K768" s="28"/>
      <c r="L768" s="28"/>
      <c r="M768" s="28"/>
      <c r="N768" s="1465"/>
      <c r="O768" s="1466"/>
    </row>
    <row r="769" ht="16.5" customHeight="1">
      <c r="A769" s="939"/>
      <c r="B769" s="833"/>
      <c r="C769" s="833"/>
      <c r="D769" s="833"/>
      <c r="E769" s="833"/>
      <c r="F769" s="463"/>
      <c r="G769" s="1465"/>
      <c r="H769" s="1465"/>
      <c r="I769" s="30"/>
      <c r="J769" s="30"/>
      <c r="K769" s="30"/>
      <c r="L769" s="30"/>
      <c r="M769" s="30"/>
      <c r="N769" s="1465"/>
      <c r="O769" s="1466"/>
    </row>
    <row r="770" ht="16.5" customHeight="1">
      <c r="A770" s="940"/>
      <c r="B770" s="941"/>
      <c r="C770" s="941"/>
      <c r="D770" s="941"/>
      <c r="E770" s="941"/>
      <c r="F770" s="463"/>
      <c r="G770" s="1465"/>
      <c r="H770" s="1465"/>
      <c r="I770" s="28"/>
      <c r="J770" s="28"/>
      <c r="K770" s="28"/>
      <c r="L770" s="28"/>
      <c r="M770" s="28"/>
      <c r="N770" s="1465"/>
      <c r="O770" s="1466"/>
    </row>
    <row r="771" ht="16.5" customHeight="1">
      <c r="A771" s="939"/>
      <c r="B771" s="833"/>
      <c r="C771" s="833"/>
      <c r="D771" s="833"/>
      <c r="E771" s="833"/>
      <c r="F771" s="463"/>
      <c r="G771" s="1465"/>
      <c r="H771" s="1465"/>
      <c r="I771" s="30"/>
      <c r="J771" s="30"/>
      <c r="K771" s="30"/>
      <c r="L771" s="30"/>
      <c r="M771" s="30"/>
      <c r="N771" s="1465"/>
      <c r="O771" s="1466"/>
    </row>
    <row r="772" ht="16.5" customHeight="1">
      <c r="A772" s="940"/>
      <c r="B772" s="941"/>
      <c r="C772" s="941"/>
      <c r="D772" s="941"/>
      <c r="E772" s="941"/>
      <c r="F772" s="463"/>
      <c r="G772" s="1465"/>
      <c r="H772" s="1465"/>
      <c r="I772" s="28"/>
      <c r="J772" s="28"/>
      <c r="K772" s="28"/>
      <c r="L772" s="28"/>
      <c r="M772" s="28"/>
      <c r="N772" s="1465"/>
      <c r="O772" s="1466"/>
    </row>
    <row r="773" ht="16.5" customHeight="1">
      <c r="A773" s="939"/>
      <c r="B773" s="833"/>
      <c r="C773" s="833"/>
      <c r="D773" s="833"/>
      <c r="E773" s="833"/>
      <c r="F773" s="463"/>
      <c r="G773" s="1465"/>
      <c r="H773" s="1465"/>
      <c r="I773" s="30"/>
      <c r="J773" s="30"/>
      <c r="K773" s="30"/>
      <c r="L773" s="30"/>
      <c r="M773" s="30"/>
      <c r="N773" s="1465"/>
      <c r="O773" s="1466"/>
    </row>
    <row r="774" ht="16.5" customHeight="1">
      <c r="A774" s="940"/>
      <c r="B774" s="941"/>
      <c r="C774" s="941"/>
      <c r="D774" s="941"/>
      <c r="E774" s="941"/>
      <c r="F774" s="463"/>
      <c r="G774" s="1465"/>
      <c r="H774" s="1465"/>
      <c r="I774" s="28"/>
      <c r="J774" s="28"/>
      <c r="K774" s="28"/>
      <c r="L774" s="28"/>
      <c r="M774" s="28"/>
      <c r="N774" s="1465"/>
      <c r="O774" s="1466"/>
    </row>
    <row r="775" ht="16.5" customHeight="1">
      <c r="A775" s="939"/>
      <c r="B775" s="833"/>
      <c r="C775" s="833"/>
      <c r="D775" s="833"/>
      <c r="E775" s="833"/>
      <c r="F775" s="463"/>
      <c r="G775" s="1465"/>
      <c r="H775" s="1465"/>
      <c r="I775" s="30"/>
      <c r="J775" s="30"/>
      <c r="K775" s="30"/>
      <c r="L775" s="30"/>
      <c r="M775" s="30"/>
      <c r="N775" s="1465"/>
      <c r="O775" s="1466"/>
    </row>
    <row r="776" ht="16.5" customHeight="1">
      <c r="A776" s="940"/>
      <c r="B776" s="941"/>
      <c r="C776" s="941"/>
      <c r="D776" s="941"/>
      <c r="E776" s="941"/>
      <c r="F776" s="463"/>
      <c r="G776" s="1465"/>
      <c r="H776" s="1465"/>
      <c r="I776" s="28"/>
      <c r="J776" s="28"/>
      <c r="K776" s="28"/>
      <c r="L776" s="28"/>
      <c r="M776" s="28"/>
      <c r="N776" s="1465"/>
      <c r="O776" s="1466"/>
    </row>
    <row r="777" ht="16.5" customHeight="1">
      <c r="A777" s="939"/>
      <c r="B777" s="833"/>
      <c r="C777" s="833"/>
      <c r="D777" s="833"/>
      <c r="E777" s="833"/>
      <c r="F777" s="463"/>
      <c r="G777" s="1465"/>
      <c r="H777" s="1465"/>
      <c r="I777" s="30"/>
      <c r="J777" s="30"/>
      <c r="K777" s="30"/>
      <c r="L777" s="30"/>
      <c r="M777" s="30"/>
      <c r="N777" s="1465"/>
      <c r="O777" s="1466"/>
    </row>
    <row r="778" ht="16.5" customHeight="1">
      <c r="A778" s="940"/>
      <c r="B778" s="941"/>
      <c r="C778" s="941"/>
      <c r="D778" s="941"/>
      <c r="E778" s="941"/>
      <c r="F778" s="463"/>
      <c r="G778" s="1465"/>
      <c r="H778" s="1465"/>
      <c r="I778" s="28"/>
      <c r="J778" s="28"/>
      <c r="K778" s="28"/>
      <c r="L778" s="28"/>
      <c r="M778" s="28"/>
      <c r="N778" s="1465"/>
      <c r="O778" s="1466"/>
    </row>
    <row r="779" ht="16.5" customHeight="1">
      <c r="A779" s="939"/>
      <c r="B779" s="833"/>
      <c r="C779" s="833"/>
      <c r="D779" s="833"/>
      <c r="E779" s="833"/>
      <c r="F779" s="463"/>
      <c r="G779" s="1465"/>
      <c r="H779" s="1465"/>
      <c r="I779" s="30"/>
      <c r="J779" s="30"/>
      <c r="K779" s="30"/>
      <c r="L779" s="30"/>
      <c r="M779" s="30"/>
      <c r="N779" s="1465"/>
      <c r="O779" s="1466"/>
    </row>
    <row r="780" ht="16.5" customHeight="1">
      <c r="A780" s="940"/>
      <c r="B780" s="941"/>
      <c r="C780" s="941"/>
      <c r="D780" s="941"/>
      <c r="E780" s="941"/>
      <c r="F780" s="463"/>
      <c r="G780" s="1465"/>
      <c r="H780" s="1465"/>
      <c r="I780" s="28"/>
      <c r="J780" s="28"/>
      <c r="K780" s="28"/>
      <c r="L780" s="28"/>
      <c r="M780" s="28"/>
      <c r="N780" s="1465"/>
      <c r="O780" s="1466"/>
    </row>
    <row r="781" ht="16.5" customHeight="1">
      <c r="A781" s="939"/>
      <c r="B781" s="833"/>
      <c r="C781" s="833"/>
      <c r="D781" s="833"/>
      <c r="E781" s="833"/>
      <c r="F781" s="463"/>
      <c r="G781" s="1465"/>
      <c r="H781" s="1465"/>
      <c r="I781" s="30"/>
      <c r="J781" s="30"/>
      <c r="K781" s="30"/>
      <c r="L781" s="30"/>
      <c r="M781" s="30"/>
      <c r="N781" s="1465"/>
      <c r="O781" s="1466"/>
    </row>
    <row r="782" ht="16.5" customHeight="1">
      <c r="A782" s="940"/>
      <c r="B782" s="941"/>
      <c r="C782" s="941"/>
      <c r="D782" s="941"/>
      <c r="E782" s="941"/>
      <c r="F782" s="463"/>
      <c r="G782" s="1465"/>
      <c r="H782" s="1465"/>
      <c r="I782" s="28"/>
      <c r="J782" s="28"/>
      <c r="K782" s="28"/>
      <c r="L782" s="28"/>
      <c r="M782" s="28"/>
      <c r="N782" s="1465"/>
      <c r="O782" s="1466"/>
    </row>
    <row r="783" ht="16.5" customHeight="1">
      <c r="A783" s="939"/>
      <c r="B783" s="833"/>
      <c r="C783" s="833"/>
      <c r="D783" s="833"/>
      <c r="E783" s="833"/>
      <c r="F783" s="463"/>
      <c r="G783" s="1465"/>
      <c r="H783" s="1465"/>
      <c r="I783" s="30"/>
      <c r="J783" s="30"/>
      <c r="K783" s="30"/>
      <c r="L783" s="30"/>
      <c r="M783" s="30"/>
      <c r="N783" s="1465"/>
      <c r="O783" s="1466"/>
    </row>
    <row r="784" ht="16.5" customHeight="1">
      <c r="A784" s="940"/>
      <c r="B784" s="941"/>
      <c r="C784" s="941"/>
      <c r="D784" s="941"/>
      <c r="E784" s="941"/>
      <c r="F784" s="463"/>
      <c r="G784" s="1465"/>
      <c r="H784" s="1465"/>
      <c r="I784" s="28"/>
      <c r="J784" s="28"/>
      <c r="K784" s="28"/>
      <c r="L784" s="28"/>
      <c r="M784" s="28"/>
      <c r="N784" s="1465"/>
      <c r="O784" s="1466"/>
    </row>
    <row r="785" ht="16.5" customHeight="1">
      <c r="A785" s="939"/>
      <c r="B785" s="833"/>
      <c r="C785" s="833"/>
      <c r="D785" s="833"/>
      <c r="E785" s="833"/>
      <c r="F785" s="463"/>
      <c r="G785" s="1465"/>
      <c r="H785" s="1465"/>
      <c r="I785" s="30"/>
      <c r="J785" s="30"/>
      <c r="K785" s="30"/>
      <c r="L785" s="30"/>
      <c r="M785" s="30"/>
      <c r="N785" s="1465"/>
      <c r="O785" s="1466"/>
    </row>
    <row r="786" ht="16.5" customHeight="1">
      <c r="A786" s="940"/>
      <c r="B786" s="941"/>
      <c r="C786" s="941"/>
      <c r="D786" s="941"/>
      <c r="E786" s="941"/>
      <c r="F786" s="463"/>
      <c r="G786" s="1465"/>
      <c r="H786" s="1465"/>
      <c r="I786" s="28"/>
      <c r="J786" s="28"/>
      <c r="K786" s="28"/>
      <c r="L786" s="28"/>
      <c r="M786" s="28"/>
      <c r="N786" s="1465"/>
      <c r="O786" s="1466"/>
    </row>
    <row r="787" ht="16.5" customHeight="1">
      <c r="A787" s="939"/>
      <c r="B787" s="833"/>
      <c r="C787" s="833"/>
      <c r="D787" s="833"/>
      <c r="E787" s="833"/>
      <c r="F787" s="463"/>
      <c r="G787" s="1465"/>
      <c r="H787" s="1465"/>
      <c r="I787" s="30"/>
      <c r="J787" s="30"/>
      <c r="K787" s="30"/>
      <c r="L787" s="30"/>
      <c r="M787" s="30"/>
      <c r="N787" s="1465"/>
      <c r="O787" s="1466"/>
    </row>
    <row r="788" ht="16.5" customHeight="1">
      <c r="A788" s="940"/>
      <c r="B788" s="941"/>
      <c r="C788" s="941"/>
      <c r="D788" s="941"/>
      <c r="E788" s="941"/>
      <c r="F788" s="463"/>
      <c r="G788" s="1465"/>
      <c r="H788" s="1465"/>
      <c r="I788" s="28"/>
      <c r="J788" s="28"/>
      <c r="K788" s="28"/>
      <c r="L788" s="28"/>
      <c r="M788" s="28"/>
      <c r="N788" s="1465"/>
      <c r="O788" s="1466"/>
    </row>
    <row r="789" ht="16.5" customHeight="1">
      <c r="A789" s="939"/>
      <c r="B789" s="833"/>
      <c r="C789" s="833"/>
      <c r="D789" s="833"/>
      <c r="E789" s="833"/>
      <c r="F789" s="463"/>
      <c r="G789" s="1465"/>
      <c r="H789" s="1465"/>
      <c r="I789" s="30"/>
      <c r="J789" s="30"/>
      <c r="K789" s="30"/>
      <c r="L789" s="30"/>
      <c r="M789" s="30"/>
      <c r="N789" s="1465"/>
      <c r="O789" s="1466"/>
    </row>
    <row r="790" ht="16.5" customHeight="1">
      <c r="A790" s="940"/>
      <c r="B790" s="941"/>
      <c r="C790" s="941"/>
      <c r="D790" s="941"/>
      <c r="E790" s="941"/>
      <c r="F790" s="463"/>
      <c r="G790" s="1465"/>
      <c r="H790" s="1465"/>
      <c r="I790" s="28"/>
      <c r="J790" s="28"/>
      <c r="K790" s="28"/>
      <c r="L790" s="28"/>
      <c r="M790" s="28"/>
      <c r="N790" s="1465"/>
      <c r="O790" s="1466"/>
    </row>
    <row r="791" ht="16.5" customHeight="1">
      <c r="A791" s="939"/>
      <c r="B791" s="833"/>
      <c r="C791" s="833"/>
      <c r="D791" s="833"/>
      <c r="E791" s="833"/>
      <c r="F791" s="463"/>
      <c r="G791" s="1465"/>
      <c r="H791" s="1465"/>
      <c r="I791" s="30"/>
      <c r="J791" s="30"/>
      <c r="K791" s="30"/>
      <c r="L791" s="30"/>
      <c r="M791" s="30"/>
      <c r="N791" s="1465"/>
      <c r="O791" s="1466"/>
    </row>
    <row r="792" ht="16.5" customHeight="1">
      <c r="A792" s="940"/>
      <c r="B792" s="941"/>
      <c r="C792" s="941"/>
      <c r="D792" s="941"/>
      <c r="E792" s="941"/>
      <c r="F792" s="463"/>
      <c r="G792" s="1465"/>
      <c r="H792" s="1465"/>
      <c r="I792" s="28"/>
      <c r="J792" s="28"/>
      <c r="K792" s="28"/>
      <c r="L792" s="28"/>
      <c r="M792" s="28"/>
      <c r="N792" s="1465"/>
      <c r="O792" s="1466"/>
    </row>
    <row r="793" ht="16.5" customHeight="1">
      <c r="A793" s="939"/>
      <c r="B793" s="833"/>
      <c r="C793" s="833"/>
      <c r="D793" s="833"/>
      <c r="E793" s="833"/>
      <c r="F793" s="463"/>
      <c r="G793" s="1465"/>
      <c r="H793" s="1465"/>
      <c r="I793" s="30"/>
      <c r="J793" s="30"/>
      <c r="K793" s="30"/>
      <c r="L793" s="30"/>
      <c r="M793" s="30"/>
      <c r="N793" s="1465"/>
      <c r="O793" s="1466"/>
    </row>
    <row r="794" ht="16.5" customHeight="1">
      <c r="A794" s="940"/>
      <c r="B794" s="941"/>
      <c r="C794" s="941"/>
      <c r="D794" s="941"/>
      <c r="E794" s="941"/>
      <c r="F794" s="463"/>
      <c r="G794" s="1465"/>
      <c r="H794" s="1465"/>
      <c r="I794" s="28"/>
      <c r="J794" s="28"/>
      <c r="K794" s="28"/>
      <c r="L794" s="28"/>
      <c r="M794" s="28"/>
      <c r="N794" s="1465"/>
      <c r="O794" s="1466"/>
    </row>
    <row r="795" ht="16.5" customHeight="1">
      <c r="A795" s="939"/>
      <c r="B795" s="833"/>
      <c r="C795" s="833"/>
      <c r="D795" s="833"/>
      <c r="E795" s="833"/>
      <c r="F795" s="463"/>
      <c r="G795" s="1465"/>
      <c r="H795" s="1465"/>
      <c r="I795" s="30"/>
      <c r="J795" s="30"/>
      <c r="K795" s="30"/>
      <c r="L795" s="30"/>
      <c r="M795" s="30"/>
      <c r="N795" s="1465"/>
      <c r="O795" s="1466"/>
    </row>
    <row r="796" ht="16.5" customHeight="1">
      <c r="A796" s="940"/>
      <c r="B796" s="941"/>
      <c r="C796" s="941"/>
      <c r="D796" s="941"/>
      <c r="E796" s="941"/>
      <c r="F796" s="463"/>
      <c r="G796" s="1465"/>
      <c r="H796" s="1465"/>
      <c r="I796" s="28"/>
      <c r="J796" s="28"/>
      <c r="K796" s="28"/>
      <c r="L796" s="28"/>
      <c r="M796" s="28"/>
      <c r="N796" s="1465"/>
      <c r="O796" s="1466"/>
    </row>
    <row r="797" ht="16.5" customHeight="1">
      <c r="A797" s="939"/>
      <c r="B797" s="833"/>
      <c r="C797" s="833"/>
      <c r="D797" s="833"/>
      <c r="E797" s="833"/>
      <c r="F797" s="463"/>
      <c r="G797" s="1465"/>
      <c r="H797" s="1465"/>
      <c r="I797" s="30"/>
      <c r="J797" s="30"/>
      <c r="K797" s="30"/>
      <c r="L797" s="30"/>
      <c r="M797" s="30"/>
      <c r="N797" s="1465"/>
      <c r="O797" s="1466"/>
    </row>
    <row r="798" ht="16.5" customHeight="1">
      <c r="A798" s="940"/>
      <c r="B798" s="941"/>
      <c r="C798" s="941"/>
      <c r="D798" s="941"/>
      <c r="E798" s="941"/>
      <c r="F798" s="463"/>
      <c r="G798" s="1465"/>
      <c r="H798" s="1465"/>
      <c r="I798" s="28"/>
      <c r="J798" s="28"/>
      <c r="K798" s="28"/>
      <c r="L798" s="28"/>
      <c r="M798" s="28"/>
      <c r="N798" s="1465"/>
      <c r="O798" s="1466"/>
    </row>
    <row r="799" ht="16.5" customHeight="1">
      <c r="A799" s="939"/>
      <c r="B799" s="833"/>
      <c r="C799" s="833"/>
      <c r="D799" s="833"/>
      <c r="E799" s="833"/>
      <c r="F799" s="463"/>
      <c r="G799" s="1465"/>
      <c r="H799" s="1465"/>
      <c r="I799" s="30"/>
      <c r="J799" s="30"/>
      <c r="K799" s="30"/>
      <c r="L799" s="30"/>
      <c r="M799" s="30"/>
      <c r="N799" s="1465"/>
      <c r="O799" s="1466"/>
    </row>
    <row r="800" ht="16.5" customHeight="1">
      <c r="A800" s="940"/>
      <c r="B800" s="941"/>
      <c r="C800" s="941"/>
      <c r="D800" s="941"/>
      <c r="E800" s="941"/>
      <c r="F800" s="463"/>
      <c r="G800" s="1465"/>
      <c r="H800" s="1465"/>
      <c r="I800" s="28"/>
      <c r="J800" s="28"/>
      <c r="K800" s="28"/>
      <c r="L800" s="28"/>
      <c r="M800" s="28"/>
      <c r="N800" s="1465"/>
      <c r="O800" s="1466"/>
    </row>
    <row r="801" ht="16.5" customHeight="1">
      <c r="A801" s="939"/>
      <c r="B801" s="833"/>
      <c r="C801" s="833"/>
      <c r="D801" s="833"/>
      <c r="E801" s="833"/>
      <c r="F801" s="463"/>
      <c r="G801" s="1465"/>
      <c r="H801" s="1465"/>
      <c r="I801" s="30"/>
      <c r="J801" s="30"/>
      <c r="K801" s="30"/>
      <c r="L801" s="30"/>
      <c r="M801" s="30"/>
      <c r="N801" s="1465"/>
      <c r="O801" s="1466"/>
    </row>
    <row r="802" ht="16.5" customHeight="1">
      <c r="A802" s="940"/>
      <c r="B802" s="941"/>
      <c r="C802" s="941"/>
      <c r="D802" s="941"/>
      <c r="E802" s="941"/>
      <c r="F802" s="463"/>
      <c r="G802" s="1465"/>
      <c r="H802" s="1465"/>
      <c r="I802" s="28"/>
      <c r="J802" s="28"/>
      <c r="K802" s="28"/>
      <c r="L802" s="28"/>
      <c r="M802" s="28"/>
      <c r="N802" s="1465"/>
      <c r="O802" s="1466"/>
    </row>
    <row r="803" ht="16.5" customHeight="1">
      <c r="A803" s="939"/>
      <c r="B803" s="833"/>
      <c r="C803" s="833"/>
      <c r="D803" s="833"/>
      <c r="E803" s="833"/>
      <c r="F803" s="463"/>
      <c r="G803" s="1465"/>
      <c r="H803" s="1465"/>
      <c r="I803" s="30"/>
      <c r="J803" s="30"/>
      <c r="K803" s="30"/>
      <c r="L803" s="30"/>
      <c r="M803" s="30"/>
      <c r="N803" s="1465"/>
      <c r="O803" s="1466"/>
    </row>
    <row r="804" ht="16.5" customHeight="1">
      <c r="A804" s="940"/>
      <c r="B804" s="941"/>
      <c r="C804" s="941"/>
      <c r="D804" s="941"/>
      <c r="E804" s="941"/>
      <c r="F804" s="463"/>
      <c r="G804" s="1465"/>
      <c r="H804" s="1465"/>
      <c r="I804" s="28"/>
      <c r="J804" s="28"/>
      <c r="K804" s="28"/>
      <c r="L804" s="28"/>
      <c r="M804" s="28"/>
      <c r="N804" s="1465"/>
      <c r="O804" s="1466"/>
    </row>
    <row r="805" ht="16.5" customHeight="1">
      <c r="A805" s="939"/>
      <c r="B805" s="833"/>
      <c r="C805" s="833"/>
      <c r="D805" s="833"/>
      <c r="E805" s="833"/>
      <c r="F805" s="463"/>
      <c r="G805" s="1465"/>
      <c r="H805" s="1465"/>
      <c r="I805" s="30"/>
      <c r="J805" s="30"/>
      <c r="K805" s="30"/>
      <c r="L805" s="30"/>
      <c r="M805" s="30"/>
      <c r="N805" s="1465"/>
      <c r="O805" s="1466"/>
    </row>
    <row r="806" ht="16.5" customHeight="1">
      <c r="A806" s="940"/>
      <c r="B806" s="941"/>
      <c r="C806" s="941"/>
      <c r="D806" s="941"/>
      <c r="E806" s="941"/>
      <c r="F806" s="463"/>
      <c r="G806" s="1465"/>
      <c r="H806" s="1465"/>
      <c r="I806" s="28"/>
      <c r="J806" s="28"/>
      <c r="K806" s="28"/>
      <c r="L806" s="28"/>
      <c r="M806" s="28"/>
      <c r="N806" s="1465"/>
      <c r="O806" s="1466"/>
    </row>
    <row r="807" ht="16.5" customHeight="1">
      <c r="A807" s="939"/>
      <c r="B807" s="833"/>
      <c r="C807" s="833"/>
      <c r="D807" s="833"/>
      <c r="E807" s="833"/>
      <c r="F807" s="463"/>
      <c r="G807" s="1465"/>
      <c r="H807" s="1465"/>
      <c r="I807" s="30"/>
      <c r="J807" s="30"/>
      <c r="K807" s="30"/>
      <c r="L807" s="30"/>
      <c r="M807" s="30"/>
      <c r="N807" s="1465"/>
      <c r="O807" s="1466"/>
    </row>
    <row r="808" ht="16.5" customHeight="1">
      <c r="A808" s="940"/>
      <c r="B808" s="941"/>
      <c r="C808" s="941"/>
      <c r="D808" s="941"/>
      <c r="E808" s="941"/>
      <c r="F808" s="463"/>
      <c r="G808" s="1465"/>
      <c r="H808" s="1465"/>
      <c r="I808" s="28"/>
      <c r="J808" s="28"/>
      <c r="K808" s="28"/>
      <c r="L808" s="28"/>
      <c r="M808" s="28"/>
      <c r="N808" s="1465"/>
      <c r="O808" s="1466"/>
    </row>
    <row r="809" ht="16.5" customHeight="1">
      <c r="A809" s="939"/>
      <c r="B809" s="833"/>
      <c r="C809" s="833"/>
      <c r="D809" s="833"/>
      <c r="E809" s="833"/>
      <c r="F809" s="463"/>
      <c r="G809" s="1465"/>
      <c r="H809" s="1465"/>
      <c r="I809" s="30"/>
      <c r="J809" s="30"/>
      <c r="K809" s="30"/>
      <c r="L809" s="30"/>
      <c r="M809" s="30"/>
      <c r="N809" s="1465"/>
      <c r="O809" s="1466"/>
    </row>
    <row r="810" ht="16.5" customHeight="1">
      <c r="A810" s="940"/>
      <c r="B810" s="941"/>
      <c r="C810" s="941"/>
      <c r="D810" s="941"/>
      <c r="E810" s="941"/>
      <c r="F810" s="463"/>
      <c r="G810" s="1465"/>
      <c r="H810" s="1465"/>
      <c r="I810" s="28"/>
      <c r="J810" s="28"/>
      <c r="K810" s="28"/>
      <c r="L810" s="28"/>
      <c r="M810" s="28"/>
      <c r="N810" s="1465"/>
      <c r="O810" s="1466"/>
    </row>
    <row r="811" ht="16.5" customHeight="1">
      <c r="A811" s="939"/>
      <c r="B811" s="833"/>
      <c r="C811" s="833"/>
      <c r="D811" s="833"/>
      <c r="E811" s="833"/>
      <c r="F811" s="463"/>
      <c r="G811" s="1465"/>
      <c r="H811" s="1465"/>
      <c r="I811" s="30"/>
      <c r="J811" s="30"/>
      <c r="K811" s="30"/>
      <c r="L811" s="30"/>
      <c r="M811" s="30"/>
      <c r="N811" s="1465"/>
      <c r="O811" s="1466"/>
    </row>
    <row r="812" ht="16.5" customHeight="1">
      <c r="A812" s="940"/>
      <c r="B812" s="941"/>
      <c r="C812" s="941"/>
      <c r="D812" s="941"/>
      <c r="E812" s="941"/>
      <c r="F812" s="463"/>
      <c r="G812" s="1465"/>
      <c r="H812" s="1465"/>
      <c r="I812" s="28"/>
      <c r="J812" s="28"/>
      <c r="K812" s="28"/>
      <c r="L812" s="28"/>
      <c r="M812" s="28"/>
      <c r="N812" s="1465"/>
      <c r="O812" s="1466"/>
    </row>
    <row r="813" ht="16.5" customHeight="1">
      <c r="A813" s="939"/>
      <c r="B813" s="833"/>
      <c r="C813" s="833"/>
      <c r="D813" s="833"/>
      <c r="E813" s="833"/>
      <c r="F813" s="463"/>
      <c r="G813" s="1465"/>
      <c r="H813" s="1465"/>
      <c r="I813" s="30"/>
      <c r="J813" s="30"/>
      <c r="K813" s="30"/>
      <c r="L813" s="30"/>
      <c r="M813" s="30"/>
      <c r="N813" s="1465"/>
      <c r="O813" s="1466"/>
    </row>
    <row r="814" ht="16.5" customHeight="1">
      <c r="A814" s="940"/>
      <c r="B814" s="941"/>
      <c r="C814" s="941"/>
      <c r="D814" s="941"/>
      <c r="E814" s="941"/>
      <c r="F814" s="463"/>
      <c r="G814" s="1465"/>
      <c r="H814" s="1465"/>
      <c r="I814" s="28"/>
      <c r="J814" s="28"/>
      <c r="K814" s="28"/>
      <c r="L814" s="28"/>
      <c r="M814" s="28"/>
      <c r="N814" s="1465"/>
      <c r="O814" s="1466"/>
    </row>
    <row r="815" ht="16.5" customHeight="1">
      <c r="A815" s="939"/>
      <c r="B815" s="833"/>
      <c r="C815" s="833"/>
      <c r="D815" s="833"/>
      <c r="E815" s="833"/>
      <c r="F815" s="463"/>
      <c r="G815" s="1465"/>
      <c r="H815" s="1465"/>
      <c r="I815" s="30"/>
      <c r="J815" s="30"/>
      <c r="K815" s="30"/>
      <c r="L815" s="30"/>
      <c r="M815" s="30"/>
      <c r="N815" s="1465"/>
      <c r="O815" s="1466"/>
    </row>
    <row r="816" ht="16.5" customHeight="1">
      <c r="A816" s="940"/>
      <c r="B816" s="941"/>
      <c r="C816" s="941"/>
      <c r="D816" s="941"/>
      <c r="E816" s="941"/>
      <c r="F816" s="463"/>
      <c r="G816" s="1465"/>
      <c r="H816" s="1465"/>
      <c r="I816" s="28"/>
      <c r="J816" s="28"/>
      <c r="K816" s="28"/>
      <c r="L816" s="28"/>
      <c r="M816" s="28"/>
      <c r="N816" s="1465"/>
      <c r="O816" s="1466"/>
    </row>
    <row r="817" ht="16.5" customHeight="1">
      <c r="A817" s="939"/>
      <c r="B817" s="833"/>
      <c r="C817" s="833"/>
      <c r="D817" s="833"/>
      <c r="E817" s="833"/>
      <c r="F817" s="463"/>
      <c r="G817" s="1465"/>
      <c r="H817" s="1465"/>
      <c r="I817" s="30"/>
      <c r="J817" s="30"/>
      <c r="K817" s="30"/>
      <c r="L817" s="30"/>
      <c r="M817" s="30"/>
      <c r="N817" s="1465"/>
      <c r="O817" s="1466"/>
    </row>
    <row r="818" ht="16.5" customHeight="1">
      <c r="A818" s="940"/>
      <c r="B818" s="941"/>
      <c r="C818" s="941"/>
      <c r="D818" s="941"/>
      <c r="E818" s="941"/>
      <c r="F818" s="463"/>
      <c r="G818" s="1465"/>
      <c r="H818" s="1465"/>
      <c r="I818" s="28"/>
      <c r="J818" s="28"/>
      <c r="K818" s="28"/>
      <c r="L818" s="28"/>
      <c r="M818" s="28"/>
      <c r="N818" s="1465"/>
      <c r="O818" s="1466"/>
    </row>
    <row r="819" ht="16.5" customHeight="1">
      <c r="A819" s="939"/>
      <c r="B819" s="833"/>
      <c r="C819" s="833"/>
      <c r="D819" s="833"/>
      <c r="E819" s="833"/>
      <c r="F819" s="463"/>
      <c r="G819" s="1465"/>
      <c r="H819" s="1465"/>
      <c r="I819" s="30"/>
      <c r="J819" s="30"/>
      <c r="K819" s="30"/>
      <c r="L819" s="30"/>
      <c r="M819" s="30"/>
      <c r="N819" s="1465"/>
      <c r="O819" s="1466"/>
    </row>
    <row r="820" ht="16.5" customHeight="1">
      <c r="A820" s="940"/>
      <c r="B820" s="941"/>
      <c r="C820" s="941"/>
      <c r="D820" s="941"/>
      <c r="E820" s="941"/>
      <c r="F820" s="463"/>
      <c r="G820" s="1465"/>
      <c r="H820" s="1465"/>
      <c r="I820" s="28"/>
      <c r="J820" s="28"/>
      <c r="K820" s="28"/>
      <c r="L820" s="28"/>
      <c r="M820" s="28"/>
      <c r="N820" s="1465"/>
      <c r="O820" s="1466"/>
    </row>
    <row r="821" ht="16.5" customHeight="1">
      <c r="A821" s="939"/>
      <c r="B821" s="833"/>
      <c r="C821" s="833"/>
      <c r="D821" s="833"/>
      <c r="E821" s="833"/>
      <c r="F821" s="463"/>
      <c r="G821" s="1465"/>
      <c r="H821" s="1465"/>
      <c r="I821" s="30"/>
      <c r="J821" s="30"/>
      <c r="K821" s="30"/>
      <c r="L821" s="30"/>
      <c r="M821" s="30"/>
      <c r="N821" s="1465"/>
      <c r="O821" s="1466"/>
    </row>
    <row r="822" ht="16.5" customHeight="1">
      <c r="A822" s="940"/>
      <c r="B822" s="941"/>
      <c r="C822" s="941"/>
      <c r="D822" s="941"/>
      <c r="E822" s="941"/>
      <c r="F822" s="463"/>
      <c r="G822" s="1465"/>
      <c r="H822" s="1465"/>
      <c r="I822" s="28"/>
      <c r="J822" s="28"/>
      <c r="K822" s="28"/>
      <c r="L822" s="28"/>
      <c r="M822" s="28"/>
      <c r="N822" s="1465"/>
      <c r="O822" s="1466"/>
    </row>
    <row r="823" ht="16.5" customHeight="1">
      <c r="A823" s="939"/>
      <c r="B823" s="833"/>
      <c r="C823" s="833"/>
      <c r="D823" s="833"/>
      <c r="E823" s="833"/>
      <c r="F823" s="463"/>
      <c r="G823" s="1465"/>
      <c r="H823" s="1465"/>
      <c r="I823" s="30"/>
      <c r="J823" s="30"/>
      <c r="K823" s="30"/>
      <c r="L823" s="30"/>
      <c r="M823" s="30"/>
      <c r="N823" s="1465"/>
      <c r="O823" s="1466"/>
    </row>
    <row r="824" ht="16.5" customHeight="1">
      <c r="A824" s="940"/>
      <c r="B824" s="941"/>
      <c r="C824" s="941"/>
      <c r="D824" s="941"/>
      <c r="E824" s="941"/>
      <c r="F824" s="463"/>
      <c r="G824" s="1465"/>
      <c r="H824" s="1465"/>
      <c r="I824" s="28"/>
      <c r="J824" s="28"/>
      <c r="K824" s="28"/>
      <c r="L824" s="28"/>
      <c r="M824" s="28"/>
      <c r="N824" s="1465"/>
      <c r="O824" s="1466"/>
    </row>
    <row r="825" ht="16.5" customHeight="1">
      <c r="A825" s="939"/>
      <c r="B825" s="833"/>
      <c r="C825" s="833"/>
      <c r="D825" s="833"/>
      <c r="E825" s="833"/>
      <c r="F825" s="463"/>
      <c r="G825" s="1465"/>
      <c r="H825" s="1465"/>
      <c r="I825" s="30"/>
      <c r="J825" s="30"/>
      <c r="K825" s="30"/>
      <c r="L825" s="30"/>
      <c r="M825" s="30"/>
      <c r="N825" s="1465"/>
      <c r="O825" s="1466"/>
    </row>
    <row r="826" ht="16.5" customHeight="1">
      <c r="A826" s="940"/>
      <c r="B826" s="941"/>
      <c r="C826" s="941"/>
      <c r="D826" s="941"/>
      <c r="E826" s="941"/>
      <c r="F826" s="463"/>
      <c r="G826" s="1465"/>
      <c r="H826" s="1465"/>
      <c r="I826" s="28"/>
      <c r="J826" s="28"/>
      <c r="K826" s="28"/>
      <c r="L826" s="28"/>
      <c r="M826" s="28"/>
      <c r="N826" s="1465"/>
      <c r="O826" s="1466"/>
    </row>
    <row r="827" ht="16.5" customHeight="1">
      <c r="A827" s="939"/>
      <c r="B827" s="833"/>
      <c r="C827" s="833"/>
      <c r="D827" s="833"/>
      <c r="E827" s="833"/>
      <c r="F827" s="463"/>
      <c r="G827" s="1465"/>
      <c r="H827" s="1465"/>
      <c r="I827" s="30"/>
      <c r="J827" s="30"/>
      <c r="K827" s="30"/>
      <c r="L827" s="30"/>
      <c r="M827" s="30"/>
      <c r="N827" s="1465"/>
      <c r="O827" s="1466"/>
    </row>
    <row r="828" ht="16.5" customHeight="1">
      <c r="A828" s="940"/>
      <c r="B828" s="941"/>
      <c r="C828" s="941"/>
      <c r="D828" s="941"/>
      <c r="E828" s="941"/>
      <c r="F828" s="463"/>
      <c r="G828" s="1465"/>
      <c r="H828" s="1465"/>
      <c r="I828" s="28"/>
      <c r="J828" s="28"/>
      <c r="K828" s="28"/>
      <c r="L828" s="28"/>
      <c r="M828" s="28"/>
      <c r="N828" s="1465"/>
      <c r="O828" s="1466"/>
    </row>
    <row r="829" ht="16.5" customHeight="1">
      <c r="A829" s="939"/>
      <c r="B829" s="833"/>
      <c r="C829" s="833"/>
      <c r="D829" s="833"/>
      <c r="E829" s="833"/>
      <c r="F829" s="463"/>
      <c r="G829" s="1465"/>
      <c r="H829" s="1465"/>
      <c r="I829" s="30"/>
      <c r="J829" s="30"/>
      <c r="K829" s="30"/>
      <c r="L829" s="30"/>
      <c r="M829" s="30"/>
      <c r="N829" s="1465"/>
      <c r="O829" s="1466"/>
    </row>
    <row r="830" ht="16.5" customHeight="1">
      <c r="A830" s="940"/>
      <c r="B830" s="941"/>
      <c r="C830" s="941"/>
      <c r="D830" s="941"/>
      <c r="E830" s="941"/>
      <c r="F830" s="463"/>
      <c r="G830" s="1465"/>
      <c r="H830" s="1465"/>
      <c r="I830" s="28"/>
      <c r="J830" s="28"/>
      <c r="K830" s="28"/>
      <c r="L830" s="28"/>
      <c r="M830" s="28"/>
      <c r="N830" s="1465"/>
      <c r="O830" s="1466"/>
    </row>
    <row r="831" ht="16.5" customHeight="1">
      <c r="A831" s="939"/>
      <c r="B831" s="833"/>
      <c r="C831" s="833"/>
      <c r="D831" s="833"/>
      <c r="E831" s="833"/>
      <c r="F831" s="463"/>
      <c r="G831" s="1465"/>
      <c r="H831" s="1465"/>
      <c r="I831" s="30"/>
      <c r="J831" s="30"/>
      <c r="K831" s="30"/>
      <c r="L831" s="30"/>
      <c r="M831" s="30"/>
      <c r="N831" s="1465"/>
      <c r="O831" s="1466"/>
    </row>
    <row r="832" ht="16.5" customHeight="1">
      <c r="A832" s="940"/>
      <c r="B832" s="941"/>
      <c r="C832" s="941"/>
      <c r="D832" s="941"/>
      <c r="E832" s="941"/>
      <c r="F832" s="463"/>
      <c r="G832" s="1465"/>
      <c r="H832" s="1465"/>
      <c r="I832" s="28"/>
      <c r="J832" s="28"/>
      <c r="K832" s="28"/>
      <c r="L832" s="28"/>
      <c r="M832" s="28"/>
      <c r="N832" s="1465"/>
      <c r="O832" s="1466"/>
    </row>
    <row r="833" ht="16.5" customHeight="1">
      <c r="A833" s="939"/>
      <c r="B833" s="833"/>
      <c r="C833" s="833"/>
      <c r="D833" s="833"/>
      <c r="E833" s="833"/>
      <c r="F833" s="463"/>
      <c r="G833" s="1465"/>
      <c r="H833" s="1465"/>
      <c r="I833" s="30"/>
      <c r="J833" s="30"/>
      <c r="K833" s="30"/>
      <c r="L833" s="30"/>
      <c r="M833" s="30"/>
      <c r="N833" s="1465"/>
      <c r="O833" s="1466"/>
    </row>
    <row r="834" ht="16.5" customHeight="1">
      <c r="A834" s="940"/>
      <c r="B834" s="941"/>
      <c r="C834" s="941"/>
      <c r="D834" s="941"/>
      <c r="E834" s="941"/>
      <c r="F834" s="463"/>
      <c r="G834" s="1465"/>
      <c r="H834" s="1465"/>
      <c r="I834" s="28"/>
      <c r="J834" s="28"/>
      <c r="K834" s="28"/>
      <c r="L834" s="28"/>
      <c r="M834" s="28"/>
      <c r="N834" s="1465"/>
      <c r="O834" s="1466"/>
    </row>
    <row r="835" ht="16.5" customHeight="1">
      <c r="A835" s="939"/>
      <c r="B835" s="833"/>
      <c r="C835" s="833"/>
      <c r="D835" s="833"/>
      <c r="E835" s="833"/>
      <c r="F835" s="463"/>
      <c r="G835" s="1465"/>
      <c r="H835" s="1465"/>
      <c r="I835" s="30"/>
      <c r="J835" s="30"/>
      <c r="K835" s="30"/>
      <c r="L835" s="30"/>
      <c r="M835" s="30"/>
      <c r="N835" s="1465"/>
      <c r="O835" s="1466"/>
    </row>
    <row r="836" ht="16.5" customHeight="1">
      <c r="A836" s="940"/>
      <c r="B836" s="941"/>
      <c r="C836" s="941"/>
      <c r="D836" s="941"/>
      <c r="E836" s="941"/>
      <c r="F836" s="463"/>
      <c r="G836" s="1465"/>
      <c r="H836" s="1465"/>
      <c r="I836" s="28"/>
      <c r="J836" s="28"/>
      <c r="K836" s="28"/>
      <c r="L836" s="28"/>
      <c r="M836" s="28"/>
      <c r="N836" s="1465"/>
      <c r="O836" s="1466"/>
    </row>
    <row r="837" ht="16.5" customHeight="1">
      <c r="A837" s="939"/>
      <c r="B837" s="833"/>
      <c r="C837" s="833"/>
      <c r="D837" s="833"/>
      <c r="E837" s="833"/>
      <c r="F837" s="463"/>
      <c r="G837" s="1465"/>
      <c r="H837" s="1465"/>
      <c r="I837" s="30"/>
      <c r="J837" s="30"/>
      <c r="K837" s="30"/>
      <c r="L837" s="30"/>
      <c r="M837" s="30"/>
      <c r="N837" s="1465"/>
      <c r="O837" s="1466"/>
    </row>
    <row r="838" ht="16.5" customHeight="1">
      <c r="A838" s="940"/>
      <c r="B838" s="941"/>
      <c r="C838" s="941"/>
      <c r="D838" s="941"/>
      <c r="E838" s="941"/>
      <c r="F838" s="463"/>
      <c r="G838" s="1465"/>
      <c r="H838" s="1465"/>
      <c r="I838" s="28"/>
      <c r="J838" s="28"/>
      <c r="K838" s="28"/>
      <c r="L838" s="28"/>
      <c r="M838" s="28"/>
      <c r="N838" s="1465"/>
      <c r="O838" s="1466"/>
    </row>
    <row r="839" ht="16.5" customHeight="1">
      <c r="A839" s="939"/>
      <c r="B839" s="833"/>
      <c r="C839" s="833"/>
      <c r="D839" s="833"/>
      <c r="E839" s="833"/>
      <c r="F839" s="463"/>
      <c r="G839" s="1465"/>
      <c r="H839" s="1465"/>
      <c r="I839" s="30"/>
      <c r="J839" s="30"/>
      <c r="K839" s="30"/>
      <c r="L839" s="30"/>
      <c r="M839" s="30"/>
      <c r="N839" s="1465"/>
      <c r="O839" s="1466"/>
    </row>
    <row r="840" ht="16.5" customHeight="1">
      <c r="A840" s="940"/>
      <c r="B840" s="941"/>
      <c r="C840" s="941"/>
      <c r="D840" s="941"/>
      <c r="E840" s="941"/>
      <c r="F840" s="463"/>
      <c r="G840" s="1465"/>
      <c r="H840" s="1465"/>
      <c r="I840" s="28"/>
      <c r="J840" s="28"/>
      <c r="K840" s="28"/>
      <c r="L840" s="28"/>
      <c r="M840" s="28"/>
      <c r="N840" s="1465"/>
      <c r="O840" s="1466"/>
    </row>
    <row r="841" ht="16.5" customHeight="1">
      <c r="A841" s="939"/>
      <c r="B841" s="833"/>
      <c r="C841" s="833"/>
      <c r="D841" s="833"/>
      <c r="E841" s="833"/>
      <c r="F841" s="463"/>
      <c r="G841" s="1465"/>
      <c r="H841" s="1465"/>
      <c r="I841" s="30"/>
      <c r="J841" s="30"/>
      <c r="K841" s="30"/>
      <c r="L841" s="30"/>
      <c r="M841" s="30"/>
      <c r="N841" s="1465"/>
      <c r="O841" s="1466"/>
    </row>
    <row r="842" ht="16.5" customHeight="1">
      <c r="A842" s="940"/>
      <c r="B842" s="941"/>
      <c r="C842" s="941"/>
      <c r="D842" s="941"/>
      <c r="E842" s="941"/>
      <c r="F842" s="463"/>
      <c r="G842" s="1465"/>
      <c r="H842" s="1465"/>
      <c r="I842" s="28"/>
      <c r="J842" s="28"/>
      <c r="K842" s="28"/>
      <c r="L842" s="28"/>
      <c r="M842" s="28"/>
      <c r="N842" s="1465"/>
      <c r="O842" s="1466"/>
    </row>
    <row r="843" ht="16.5" customHeight="1">
      <c r="A843" s="939"/>
      <c r="B843" s="833"/>
      <c r="C843" s="833"/>
      <c r="D843" s="833"/>
      <c r="E843" s="833"/>
      <c r="F843" s="463"/>
      <c r="G843" s="1465"/>
      <c r="H843" s="1465"/>
      <c r="I843" s="30"/>
      <c r="J843" s="30"/>
      <c r="K843" s="30"/>
      <c r="L843" s="30"/>
      <c r="M843" s="30"/>
      <c r="N843" s="1465"/>
      <c r="O843" s="1466"/>
    </row>
    <row r="844" ht="16.5" customHeight="1">
      <c r="A844" s="940"/>
      <c r="B844" s="941"/>
      <c r="C844" s="941"/>
      <c r="D844" s="941"/>
      <c r="E844" s="941"/>
      <c r="F844" s="463"/>
      <c r="G844" s="1465"/>
      <c r="H844" s="1465"/>
      <c r="I844" s="28"/>
      <c r="J844" s="28"/>
      <c r="K844" s="28"/>
      <c r="L844" s="28"/>
      <c r="M844" s="28"/>
      <c r="N844" s="1465"/>
      <c r="O844" s="1466"/>
    </row>
    <row r="845" ht="16.5" customHeight="1">
      <c r="A845" s="939"/>
      <c r="B845" s="833"/>
      <c r="C845" s="833"/>
      <c r="D845" s="833"/>
      <c r="E845" s="833"/>
      <c r="F845" s="463"/>
      <c r="G845" s="1465"/>
      <c r="H845" s="1465"/>
      <c r="I845" s="30"/>
      <c r="J845" s="30"/>
      <c r="K845" s="30"/>
      <c r="L845" s="30"/>
      <c r="M845" s="30"/>
      <c r="N845" s="1465"/>
      <c r="O845" s="1466"/>
    </row>
    <row r="846" ht="16.5" customHeight="1">
      <c r="A846" s="940"/>
      <c r="B846" s="941"/>
      <c r="C846" s="941"/>
      <c r="D846" s="941"/>
      <c r="E846" s="941"/>
      <c r="F846" s="463"/>
      <c r="G846" s="1465"/>
      <c r="H846" s="1465"/>
      <c r="I846" s="28"/>
      <c r="J846" s="28"/>
      <c r="K846" s="28"/>
      <c r="L846" s="28"/>
      <c r="M846" s="28"/>
      <c r="N846" s="1465"/>
      <c r="O846" s="1466"/>
    </row>
    <row r="847" ht="16.5" customHeight="1">
      <c r="A847" s="939"/>
      <c r="B847" s="833"/>
      <c r="C847" s="833"/>
      <c r="D847" s="833"/>
      <c r="E847" s="833"/>
      <c r="F847" s="463"/>
      <c r="G847" s="1465"/>
      <c r="H847" s="1465"/>
      <c r="I847" s="30"/>
      <c r="J847" s="30"/>
      <c r="K847" s="30"/>
      <c r="L847" s="30"/>
      <c r="M847" s="30"/>
      <c r="N847" s="1465"/>
      <c r="O847" s="1466"/>
    </row>
    <row r="848" ht="16.5" customHeight="1">
      <c r="A848" s="940"/>
      <c r="B848" s="941"/>
      <c r="C848" s="941"/>
      <c r="D848" s="941"/>
      <c r="E848" s="941"/>
      <c r="F848" s="463"/>
      <c r="G848" s="1465"/>
      <c r="H848" s="1465"/>
      <c r="I848" s="28"/>
      <c r="J848" s="28"/>
      <c r="K848" s="28"/>
      <c r="L848" s="28"/>
      <c r="M848" s="28"/>
      <c r="N848" s="1465"/>
      <c r="O848" s="1466"/>
    </row>
    <row r="849" ht="16.5" customHeight="1">
      <c r="A849" s="939"/>
      <c r="B849" s="833"/>
      <c r="C849" s="833"/>
      <c r="D849" s="833"/>
      <c r="E849" s="833"/>
      <c r="F849" s="463"/>
      <c r="G849" s="1465"/>
      <c r="H849" s="1465"/>
      <c r="I849" s="30"/>
      <c r="J849" s="30"/>
      <c r="K849" s="30"/>
      <c r="L849" s="30"/>
      <c r="M849" s="30"/>
      <c r="N849" s="1465"/>
      <c r="O849" s="1466"/>
    </row>
    <row r="850" ht="16.5" customHeight="1">
      <c r="A850" s="940"/>
      <c r="B850" s="941"/>
      <c r="C850" s="941"/>
      <c r="D850" s="941"/>
      <c r="E850" s="941"/>
      <c r="F850" s="463"/>
      <c r="G850" s="1465"/>
      <c r="H850" s="1465"/>
      <c r="I850" s="28"/>
      <c r="J850" s="28"/>
      <c r="K850" s="28"/>
      <c r="L850" s="28"/>
      <c r="M850" s="28"/>
      <c r="N850" s="1465"/>
      <c r="O850" s="1466"/>
    </row>
    <row r="851" ht="16.5" customHeight="1">
      <c r="A851" s="939"/>
      <c r="B851" s="833"/>
      <c r="C851" s="833"/>
      <c r="D851" s="833"/>
      <c r="E851" s="833"/>
      <c r="F851" s="463"/>
      <c r="G851" s="1465"/>
      <c r="H851" s="1465"/>
      <c r="I851" s="30"/>
      <c r="J851" s="30"/>
      <c r="K851" s="30"/>
      <c r="L851" s="30"/>
      <c r="M851" s="30"/>
      <c r="N851" s="1465"/>
      <c r="O851" s="1466"/>
    </row>
    <row r="852" ht="16.5" customHeight="1">
      <c r="A852" s="940"/>
      <c r="B852" s="941"/>
      <c r="C852" s="941"/>
      <c r="D852" s="941"/>
      <c r="E852" s="941"/>
      <c r="F852" s="463"/>
      <c r="G852" s="1465"/>
      <c r="H852" s="1465"/>
      <c r="I852" s="28"/>
      <c r="J852" s="28"/>
      <c r="K852" s="28"/>
      <c r="L852" s="28"/>
      <c r="M852" s="28"/>
      <c r="N852" s="1465"/>
      <c r="O852" s="1466"/>
    </row>
    <row r="853" ht="16.5" customHeight="1">
      <c r="A853" s="939"/>
      <c r="B853" s="833"/>
      <c r="C853" s="833"/>
      <c r="D853" s="833"/>
      <c r="E853" s="833"/>
      <c r="F853" s="463"/>
      <c r="G853" s="1465"/>
      <c r="H853" s="1465"/>
      <c r="I853" s="30"/>
      <c r="J853" s="30"/>
      <c r="K853" s="30"/>
      <c r="L853" s="30"/>
      <c r="M853" s="30"/>
      <c r="N853" s="1465"/>
      <c r="O853" s="1466"/>
    </row>
    <row r="854" ht="16.5" customHeight="1">
      <c r="A854" s="940"/>
      <c r="B854" s="941"/>
      <c r="C854" s="941"/>
      <c r="D854" s="941"/>
      <c r="E854" s="941"/>
      <c r="F854" s="463"/>
      <c r="G854" s="1465"/>
      <c r="H854" s="1465"/>
      <c r="I854" s="28"/>
      <c r="J854" s="28"/>
      <c r="K854" s="28"/>
      <c r="L854" s="28"/>
      <c r="M854" s="28"/>
      <c r="N854" s="1465"/>
      <c r="O854" s="1466"/>
    </row>
    <row r="855" ht="16.5" customHeight="1">
      <c r="A855" s="939"/>
      <c r="B855" s="833"/>
      <c r="C855" s="833"/>
      <c r="D855" s="833"/>
      <c r="E855" s="833"/>
      <c r="F855" s="463"/>
      <c r="G855" s="1465"/>
      <c r="H855" s="1465"/>
      <c r="I855" s="30"/>
      <c r="J855" s="30"/>
      <c r="K855" s="30"/>
      <c r="L855" s="30"/>
      <c r="M855" s="30"/>
      <c r="N855" s="1465"/>
      <c r="O855" s="1466"/>
    </row>
    <row r="856" ht="16.5" customHeight="1">
      <c r="A856" s="940"/>
      <c r="B856" s="941"/>
      <c r="C856" s="941"/>
      <c r="D856" s="941"/>
      <c r="E856" s="941"/>
      <c r="F856" s="463"/>
      <c r="G856" s="1465"/>
      <c r="H856" s="1465"/>
      <c r="I856" s="28"/>
      <c r="J856" s="28"/>
      <c r="K856" s="28"/>
      <c r="L856" s="28"/>
      <c r="M856" s="28"/>
      <c r="N856" s="1465"/>
      <c r="O856" s="1466"/>
    </row>
    <row r="857" ht="16.5" customHeight="1">
      <c r="A857" s="939"/>
      <c r="B857" s="833"/>
      <c r="C857" s="833"/>
      <c r="D857" s="833"/>
      <c r="E857" s="833"/>
      <c r="F857" s="463"/>
      <c r="G857" s="1465"/>
      <c r="H857" s="1465"/>
      <c r="I857" s="30"/>
      <c r="J857" s="30"/>
      <c r="K857" s="30"/>
      <c r="L857" s="30"/>
      <c r="M857" s="30"/>
      <c r="N857" s="1465"/>
      <c r="O857" s="1466"/>
    </row>
    <row r="858" ht="16.5" customHeight="1">
      <c r="A858" s="940"/>
      <c r="B858" s="941"/>
      <c r="C858" s="941"/>
      <c r="D858" s="941"/>
      <c r="E858" s="941"/>
      <c r="F858" s="463"/>
      <c r="G858" s="1465"/>
      <c r="H858" s="1465"/>
      <c r="I858" s="28"/>
      <c r="J858" s="28"/>
      <c r="K858" s="28"/>
      <c r="L858" s="28"/>
      <c r="M858" s="28"/>
      <c r="N858" s="1465"/>
      <c r="O858" s="1466"/>
    </row>
    <row r="859" ht="16.5" customHeight="1">
      <c r="A859" s="939"/>
      <c r="B859" s="833"/>
      <c r="C859" s="833"/>
      <c r="D859" s="833"/>
      <c r="E859" s="833"/>
      <c r="F859" s="463"/>
      <c r="G859" s="1465"/>
      <c r="H859" s="1465"/>
      <c r="I859" s="30"/>
      <c r="J859" s="30"/>
      <c r="K859" s="30"/>
      <c r="L859" s="30"/>
      <c r="M859" s="30"/>
      <c r="N859" s="1465"/>
      <c r="O859" s="1466"/>
    </row>
    <row r="860" ht="16.5" customHeight="1">
      <c r="A860" s="940"/>
      <c r="B860" s="941"/>
      <c r="C860" s="941"/>
      <c r="D860" s="941"/>
      <c r="E860" s="941"/>
      <c r="F860" s="463"/>
      <c r="G860" s="1465"/>
      <c r="H860" s="1465"/>
      <c r="I860" s="28"/>
      <c r="J860" s="28"/>
      <c r="K860" s="28"/>
      <c r="L860" s="28"/>
      <c r="M860" s="28"/>
      <c r="N860" s="1465"/>
      <c r="O860" s="1466"/>
    </row>
    <row r="861" ht="16.5" customHeight="1">
      <c r="A861" s="939"/>
      <c r="B861" s="833"/>
      <c r="C861" s="833"/>
      <c r="D861" s="833"/>
      <c r="E861" s="833"/>
      <c r="F861" s="463"/>
      <c r="G861" s="1465"/>
      <c r="H861" s="1465"/>
      <c r="I861" s="30"/>
      <c r="J861" s="30"/>
      <c r="K861" s="30"/>
      <c r="L861" s="30"/>
      <c r="M861" s="30"/>
      <c r="N861" s="1465"/>
      <c r="O861" s="1466"/>
    </row>
    <row r="862" ht="16.5" customHeight="1">
      <c r="A862" s="940"/>
      <c r="B862" s="941"/>
      <c r="C862" s="941"/>
      <c r="D862" s="941"/>
      <c r="E862" s="941"/>
      <c r="F862" s="463"/>
      <c r="G862" s="1465"/>
      <c r="H862" s="1465"/>
      <c r="I862" s="28"/>
      <c r="J862" s="28"/>
      <c r="K862" s="28"/>
      <c r="L862" s="28"/>
      <c r="M862" s="28"/>
      <c r="N862" s="1465"/>
      <c r="O862" s="1466"/>
    </row>
    <row r="863" ht="16.5" customHeight="1">
      <c r="A863" s="939"/>
      <c r="B863" s="833"/>
      <c r="C863" s="833"/>
      <c r="D863" s="833"/>
      <c r="E863" s="833"/>
      <c r="F863" s="463"/>
      <c r="G863" s="1465"/>
      <c r="H863" s="1465"/>
      <c r="I863" s="30"/>
      <c r="J863" s="30"/>
      <c r="K863" s="30"/>
      <c r="L863" s="30"/>
      <c r="M863" s="30"/>
      <c r="N863" s="1465"/>
      <c r="O863" s="1466"/>
    </row>
    <row r="864" ht="16.5" customHeight="1">
      <c r="A864" s="940"/>
      <c r="B864" s="941"/>
      <c r="C864" s="941"/>
      <c r="D864" s="941"/>
      <c r="E864" s="941"/>
      <c r="F864" s="463"/>
      <c r="G864" s="1465"/>
      <c r="H864" s="1465"/>
      <c r="I864" s="28"/>
      <c r="J864" s="28"/>
      <c r="K864" s="28"/>
      <c r="L864" s="28"/>
      <c r="M864" s="28"/>
      <c r="N864" s="1465"/>
      <c r="O864" s="1466"/>
    </row>
    <row r="865" ht="16.5" customHeight="1">
      <c r="A865" s="939"/>
      <c r="B865" s="833"/>
      <c r="C865" s="833"/>
      <c r="D865" s="833"/>
      <c r="E865" s="833"/>
      <c r="F865" s="463"/>
      <c r="G865" s="1465"/>
      <c r="H865" s="1465"/>
      <c r="I865" s="30"/>
      <c r="J865" s="30"/>
      <c r="K865" s="30"/>
      <c r="L865" s="30"/>
      <c r="M865" s="30"/>
      <c r="N865" s="1465"/>
      <c r="O865" s="1466"/>
    </row>
    <row r="866" ht="16.5" customHeight="1">
      <c r="A866" s="940"/>
      <c r="B866" s="941"/>
      <c r="C866" s="941"/>
      <c r="D866" s="941"/>
      <c r="E866" s="941"/>
      <c r="F866" s="463"/>
      <c r="G866" s="1465"/>
      <c r="H866" s="1465"/>
      <c r="I866" s="28"/>
      <c r="J866" s="28"/>
      <c r="K866" s="28"/>
      <c r="L866" s="28"/>
      <c r="M866" s="28"/>
      <c r="N866" s="1465"/>
      <c r="O866" s="1466"/>
    </row>
    <row r="867" ht="16.5" customHeight="1">
      <c r="A867" s="939"/>
      <c r="B867" s="833"/>
      <c r="C867" s="833"/>
      <c r="D867" s="833"/>
      <c r="E867" s="833"/>
      <c r="F867" s="463"/>
      <c r="G867" s="1465"/>
      <c r="H867" s="1465"/>
      <c r="I867" s="30"/>
      <c r="J867" s="30"/>
      <c r="K867" s="30"/>
      <c r="L867" s="30"/>
      <c r="M867" s="30"/>
      <c r="N867" s="1465"/>
      <c r="O867" s="1466"/>
    </row>
    <row r="868" ht="16.5" customHeight="1">
      <c r="A868" s="940"/>
      <c r="B868" s="941"/>
      <c r="C868" s="941"/>
      <c r="D868" s="941"/>
      <c r="E868" s="941"/>
      <c r="F868" s="463"/>
      <c r="G868" s="1465"/>
      <c r="H868" s="1465"/>
      <c r="I868" s="28"/>
      <c r="J868" s="28"/>
      <c r="K868" s="28"/>
      <c r="L868" s="28"/>
      <c r="M868" s="28"/>
      <c r="N868" s="1465"/>
      <c r="O868" s="1466"/>
    </row>
    <row r="869" ht="16.5" customHeight="1">
      <c r="A869" s="939"/>
      <c r="B869" s="833"/>
      <c r="C869" s="833"/>
      <c r="D869" s="833"/>
      <c r="E869" s="833"/>
      <c r="F869" s="463"/>
      <c r="G869" s="1465"/>
      <c r="H869" s="1465"/>
      <c r="I869" s="30"/>
      <c r="J869" s="30"/>
      <c r="K869" s="30"/>
      <c r="L869" s="30"/>
      <c r="M869" s="30"/>
      <c r="N869" s="1465"/>
      <c r="O869" s="1466"/>
    </row>
    <row r="870" ht="16.5" customHeight="1">
      <c r="A870" s="940"/>
      <c r="B870" s="941"/>
      <c r="C870" s="941"/>
      <c r="D870" s="941"/>
      <c r="E870" s="941"/>
      <c r="F870" s="463"/>
      <c r="G870" s="1465"/>
      <c r="H870" s="1465"/>
      <c r="I870" s="28"/>
      <c r="J870" s="28"/>
      <c r="K870" s="28"/>
      <c r="L870" s="28"/>
      <c r="M870" s="28"/>
      <c r="N870" s="1465"/>
      <c r="O870" s="1466"/>
    </row>
    <row r="871" ht="16.5" customHeight="1">
      <c r="A871" s="939"/>
      <c r="B871" s="833"/>
      <c r="C871" s="833"/>
      <c r="D871" s="833"/>
      <c r="E871" s="833"/>
      <c r="F871" s="463"/>
      <c r="G871" s="1465"/>
      <c r="H871" s="1465"/>
      <c r="I871" s="30"/>
      <c r="J871" s="30"/>
      <c r="K871" s="30"/>
      <c r="L871" s="30"/>
      <c r="M871" s="30"/>
      <c r="N871" s="1465"/>
      <c r="O871" s="1466"/>
    </row>
    <row r="872" ht="16.5" customHeight="1">
      <c r="A872" s="940"/>
      <c r="B872" s="941"/>
      <c r="C872" s="941"/>
      <c r="D872" s="941"/>
      <c r="E872" s="941"/>
      <c r="F872" s="463"/>
      <c r="G872" s="1465"/>
      <c r="H872" s="1465"/>
      <c r="I872" s="28"/>
      <c r="J872" s="28"/>
      <c r="K872" s="28"/>
      <c r="L872" s="28"/>
      <c r="M872" s="28"/>
      <c r="N872" s="1465"/>
      <c r="O872" s="1466"/>
    </row>
    <row r="873" ht="16.5" customHeight="1">
      <c r="A873" s="939"/>
      <c r="B873" s="833"/>
      <c r="C873" s="833"/>
      <c r="D873" s="833"/>
      <c r="E873" s="833"/>
      <c r="F873" s="463"/>
      <c r="G873" s="1465"/>
      <c r="H873" s="1465"/>
      <c r="I873" s="30"/>
      <c r="J873" s="30"/>
      <c r="K873" s="30"/>
      <c r="L873" s="30"/>
      <c r="M873" s="30"/>
      <c r="N873" s="1465"/>
      <c r="O873" s="1466"/>
    </row>
    <row r="874" ht="16.5" customHeight="1">
      <c r="A874" s="940"/>
      <c r="B874" s="941"/>
      <c r="C874" s="941"/>
      <c r="D874" s="941"/>
      <c r="E874" s="941"/>
      <c r="F874" s="463"/>
      <c r="G874" s="1465"/>
      <c r="H874" s="1465"/>
      <c r="I874" s="28"/>
      <c r="J874" s="28"/>
      <c r="K874" s="28"/>
      <c r="L874" s="28"/>
      <c r="M874" s="28"/>
      <c r="N874" s="1465"/>
      <c r="O874" s="1466"/>
    </row>
    <row r="875" ht="16.5" customHeight="1">
      <c r="A875" s="939"/>
      <c r="B875" s="833"/>
      <c r="C875" s="833"/>
      <c r="D875" s="833"/>
      <c r="E875" s="833"/>
      <c r="F875" s="463"/>
      <c r="G875" s="1465"/>
      <c r="H875" s="1465"/>
      <c r="I875" s="30"/>
      <c r="J875" s="30"/>
      <c r="K875" s="30"/>
      <c r="L875" s="30"/>
      <c r="M875" s="30"/>
      <c r="N875" s="1465"/>
      <c r="O875" s="1466"/>
    </row>
    <row r="876" ht="16.5" customHeight="1">
      <c r="A876" s="940"/>
      <c r="B876" s="941"/>
      <c r="C876" s="941"/>
      <c r="D876" s="941"/>
      <c r="E876" s="941"/>
      <c r="F876" s="463"/>
      <c r="G876" s="1465"/>
      <c r="H876" s="1465"/>
      <c r="I876" s="28"/>
      <c r="J876" s="28"/>
      <c r="K876" s="28"/>
      <c r="L876" s="28"/>
      <c r="M876" s="28"/>
      <c r="N876" s="1465"/>
      <c r="O876" s="1466"/>
    </row>
    <row r="877" ht="16.5" customHeight="1">
      <c r="A877" s="939"/>
      <c r="B877" s="833"/>
      <c r="C877" s="833"/>
      <c r="D877" s="833"/>
      <c r="E877" s="833"/>
      <c r="F877" s="463"/>
      <c r="G877" s="1465"/>
      <c r="H877" s="1465"/>
      <c r="I877" s="30"/>
      <c r="J877" s="30"/>
      <c r="K877" s="30"/>
      <c r="L877" s="30"/>
      <c r="M877" s="30"/>
      <c r="N877" s="1465"/>
      <c r="O877" s="1466"/>
    </row>
    <row r="878" ht="16.5" customHeight="1">
      <c r="A878" s="940"/>
      <c r="B878" s="941"/>
      <c r="C878" s="941"/>
      <c r="D878" s="941"/>
      <c r="E878" s="941"/>
      <c r="F878" s="463"/>
      <c r="G878" s="1465"/>
      <c r="H878" s="1465"/>
      <c r="I878" s="28"/>
      <c r="J878" s="28"/>
      <c r="K878" s="28"/>
      <c r="L878" s="28"/>
      <c r="M878" s="28"/>
      <c r="N878" s="1465"/>
      <c r="O878" s="1466"/>
    </row>
    <row r="879" ht="16.5" customHeight="1">
      <c r="A879" s="939"/>
      <c r="B879" s="833"/>
      <c r="C879" s="833"/>
      <c r="D879" s="833"/>
      <c r="E879" s="833"/>
      <c r="F879" s="463"/>
      <c r="G879" s="1465"/>
      <c r="H879" s="1465"/>
      <c r="I879" s="30"/>
      <c r="J879" s="30"/>
      <c r="K879" s="30"/>
      <c r="L879" s="30"/>
      <c r="M879" s="30"/>
      <c r="N879" s="1465"/>
      <c r="O879" s="1466"/>
    </row>
    <row r="880" ht="16.5" customHeight="1">
      <c r="A880" s="940"/>
      <c r="B880" s="941"/>
      <c r="C880" s="941"/>
      <c r="D880" s="941"/>
      <c r="E880" s="941"/>
      <c r="F880" s="463"/>
      <c r="G880" s="1465"/>
      <c r="H880" s="1465"/>
      <c r="I880" s="28"/>
      <c r="J880" s="28"/>
      <c r="K880" s="28"/>
      <c r="L880" s="28"/>
      <c r="M880" s="28"/>
      <c r="N880" s="1465"/>
      <c r="O880" s="1466"/>
    </row>
    <row r="881" ht="16.5" customHeight="1">
      <c r="A881" s="939"/>
      <c r="B881" s="833"/>
      <c r="C881" s="833"/>
      <c r="D881" s="833"/>
      <c r="E881" s="833"/>
      <c r="F881" s="463"/>
      <c r="G881" s="1465"/>
      <c r="H881" s="1465"/>
      <c r="I881" s="30"/>
      <c r="J881" s="30"/>
      <c r="K881" s="30"/>
      <c r="L881" s="30"/>
      <c r="M881" s="30"/>
      <c r="N881" s="1465"/>
      <c r="O881" s="1466"/>
    </row>
    <row r="882" ht="16.5" customHeight="1">
      <c r="A882" s="940"/>
      <c r="B882" s="941"/>
      <c r="C882" s="941"/>
      <c r="D882" s="941"/>
      <c r="E882" s="941"/>
      <c r="F882" s="463"/>
      <c r="G882" s="1465"/>
      <c r="H882" s="1465"/>
      <c r="I882" s="28"/>
      <c r="J882" s="28"/>
      <c r="K882" s="28"/>
      <c r="L882" s="28"/>
      <c r="M882" s="28"/>
      <c r="N882" s="1465"/>
      <c r="O882" s="1466"/>
    </row>
    <row r="883" ht="16.5" customHeight="1">
      <c r="A883" s="939"/>
      <c r="B883" s="833"/>
      <c r="C883" s="833"/>
      <c r="D883" s="833"/>
      <c r="E883" s="833"/>
      <c r="F883" s="463"/>
      <c r="G883" s="1465"/>
      <c r="H883" s="1465"/>
      <c r="I883" s="30"/>
      <c r="J883" s="30"/>
      <c r="K883" s="30"/>
      <c r="L883" s="30"/>
      <c r="M883" s="30"/>
      <c r="N883" s="1465"/>
      <c r="O883" s="1466"/>
    </row>
    <row r="884" ht="16.5" customHeight="1">
      <c r="A884" s="940"/>
      <c r="B884" s="941"/>
      <c r="C884" s="941"/>
      <c r="D884" s="941"/>
      <c r="E884" s="941"/>
      <c r="F884" s="463"/>
      <c r="G884" s="1465"/>
      <c r="H884" s="1465"/>
      <c r="I884" s="28"/>
      <c r="J884" s="28"/>
      <c r="K884" s="28"/>
      <c r="L884" s="28"/>
      <c r="M884" s="28"/>
      <c r="N884" s="1465"/>
      <c r="O884" s="1466"/>
    </row>
    <row r="885" ht="16.5" customHeight="1">
      <c r="A885" s="939"/>
      <c r="B885" s="833"/>
      <c r="C885" s="833"/>
      <c r="D885" s="833"/>
      <c r="E885" s="833"/>
      <c r="F885" s="463"/>
      <c r="G885" s="1465"/>
      <c r="H885" s="1465"/>
      <c r="I885" s="30"/>
      <c r="J885" s="30"/>
      <c r="K885" s="30"/>
      <c r="L885" s="30"/>
      <c r="M885" s="30"/>
      <c r="N885" s="1465"/>
      <c r="O885" s="1466"/>
    </row>
    <row r="886" ht="16.5" customHeight="1">
      <c r="A886" s="940"/>
      <c r="B886" s="941"/>
      <c r="C886" s="941"/>
      <c r="D886" s="941"/>
      <c r="E886" s="941"/>
      <c r="F886" s="463"/>
      <c r="G886" s="1465"/>
      <c r="H886" s="1465"/>
      <c r="I886" s="28"/>
      <c r="J886" s="28"/>
      <c r="K886" s="28"/>
      <c r="L886" s="28"/>
      <c r="M886" s="28"/>
      <c r="N886" s="1465"/>
      <c r="O886" s="1466"/>
    </row>
    <row r="887" ht="16.5" customHeight="1">
      <c r="A887" s="939"/>
      <c r="B887" s="833"/>
      <c r="C887" s="833"/>
      <c r="D887" s="833"/>
      <c r="E887" s="833"/>
      <c r="F887" s="463"/>
      <c r="G887" s="1465"/>
      <c r="H887" s="1465"/>
      <c r="I887" s="30"/>
      <c r="J887" s="30"/>
      <c r="K887" s="30"/>
      <c r="L887" s="30"/>
      <c r="M887" s="30"/>
      <c r="N887" s="1465"/>
      <c r="O887" s="1466"/>
    </row>
    <row r="888" ht="16.5" customHeight="1">
      <c r="A888" s="940"/>
      <c r="B888" s="941"/>
      <c r="C888" s="941"/>
      <c r="D888" s="941"/>
      <c r="E888" s="941"/>
      <c r="F888" s="463"/>
      <c r="G888" s="1465"/>
      <c r="H888" s="1465"/>
      <c r="I888" s="28"/>
      <c r="J888" s="28"/>
      <c r="K888" s="28"/>
      <c r="L888" s="28"/>
      <c r="M888" s="28"/>
      <c r="N888" s="1465"/>
      <c r="O888" s="1466"/>
    </row>
    <row r="889" ht="16.5" customHeight="1">
      <c r="A889" s="939"/>
      <c r="B889" s="833"/>
      <c r="C889" s="833"/>
      <c r="D889" s="833"/>
      <c r="E889" s="833"/>
      <c r="F889" s="463"/>
      <c r="G889" s="1465"/>
      <c r="H889" s="1465"/>
      <c r="I889" s="30"/>
      <c r="J889" s="30"/>
      <c r="K889" s="30"/>
      <c r="L889" s="30"/>
      <c r="M889" s="30"/>
      <c r="N889" s="1465"/>
      <c r="O889" s="1466"/>
    </row>
    <row r="890" ht="16.5" customHeight="1">
      <c r="A890" s="940"/>
      <c r="B890" s="941"/>
      <c r="C890" s="941"/>
      <c r="D890" s="941"/>
      <c r="E890" s="941"/>
      <c r="F890" s="463"/>
      <c r="G890" s="1465"/>
      <c r="H890" s="1465"/>
      <c r="I890" s="28"/>
      <c r="J890" s="28"/>
      <c r="K890" s="28"/>
      <c r="L890" s="28"/>
      <c r="M890" s="28"/>
      <c r="N890" s="1465"/>
      <c r="O890" s="1466"/>
    </row>
    <row r="891" ht="16.5" customHeight="1">
      <c r="A891" s="939"/>
      <c r="B891" s="833"/>
      <c r="C891" s="833"/>
      <c r="D891" s="833"/>
      <c r="E891" s="833"/>
      <c r="F891" s="463"/>
      <c r="G891" s="1465"/>
      <c r="H891" s="1465"/>
      <c r="I891" s="30"/>
      <c r="J891" s="30"/>
      <c r="K891" s="30"/>
      <c r="L891" s="30"/>
      <c r="M891" s="30"/>
      <c r="N891" s="1465"/>
      <c r="O891" s="1466"/>
    </row>
    <row r="892" ht="16.5" customHeight="1">
      <c r="A892" s="940"/>
      <c r="B892" s="941"/>
      <c r="C892" s="941"/>
      <c r="D892" s="941"/>
      <c r="E892" s="941"/>
      <c r="F892" s="463"/>
      <c r="G892" s="1465"/>
      <c r="H892" s="1465"/>
      <c r="I892" s="28"/>
      <c r="J892" s="28"/>
      <c r="K892" s="28"/>
      <c r="L892" s="28"/>
      <c r="M892" s="28"/>
      <c r="N892" s="1465"/>
      <c r="O892" s="1466"/>
    </row>
    <row r="893" ht="16.5" customHeight="1">
      <c r="A893" s="939"/>
      <c r="B893" s="833"/>
      <c r="C893" s="833"/>
      <c r="D893" s="833"/>
      <c r="E893" s="833"/>
      <c r="F893" s="463"/>
      <c r="G893" s="1465"/>
      <c r="H893" s="1465"/>
      <c r="I893" s="30"/>
      <c r="J893" s="30"/>
      <c r="K893" s="30"/>
      <c r="L893" s="30"/>
      <c r="M893" s="30"/>
      <c r="N893" s="1465"/>
      <c r="O893" s="1466"/>
    </row>
    <row r="894" ht="16.5" customHeight="1">
      <c r="A894" s="940"/>
      <c r="B894" s="941"/>
      <c r="C894" s="941"/>
      <c r="D894" s="941"/>
      <c r="E894" s="941"/>
      <c r="F894" s="463"/>
      <c r="G894" s="1465"/>
      <c r="H894" s="1465"/>
      <c r="I894" s="28"/>
      <c r="J894" s="28"/>
      <c r="K894" s="28"/>
      <c r="L894" s="28"/>
      <c r="M894" s="28"/>
      <c r="N894" s="1465"/>
      <c r="O894" s="1466"/>
    </row>
    <row r="895" ht="16.5" customHeight="1">
      <c r="A895" s="939"/>
      <c r="B895" s="833"/>
      <c r="C895" s="833"/>
      <c r="D895" s="833"/>
      <c r="E895" s="833"/>
      <c r="F895" s="463"/>
      <c r="G895" s="1465"/>
      <c r="H895" s="1465"/>
      <c r="I895" s="30"/>
      <c r="J895" s="30"/>
      <c r="K895" s="30"/>
      <c r="L895" s="30"/>
      <c r="M895" s="30"/>
      <c r="N895" s="1465"/>
      <c r="O895" s="1466"/>
    </row>
    <row r="896" ht="16.5" customHeight="1">
      <c r="A896" s="940"/>
      <c r="B896" s="941"/>
      <c r="C896" s="941"/>
      <c r="D896" s="941"/>
      <c r="E896" s="941"/>
      <c r="F896" s="463"/>
      <c r="G896" s="1465"/>
      <c r="H896" s="1465"/>
      <c r="I896" s="28"/>
      <c r="J896" s="28"/>
      <c r="K896" s="28"/>
      <c r="L896" s="28"/>
      <c r="M896" s="28"/>
      <c r="N896" s="1465"/>
      <c r="O896" s="1466"/>
    </row>
    <row r="897" ht="16.5" customHeight="1">
      <c r="A897" s="939"/>
      <c r="B897" s="833"/>
      <c r="C897" s="833"/>
      <c r="D897" s="833"/>
      <c r="E897" s="833"/>
      <c r="F897" s="463"/>
      <c r="G897" s="1465"/>
      <c r="H897" s="1465"/>
      <c r="I897" s="30"/>
      <c r="J897" s="30"/>
      <c r="K897" s="30"/>
      <c r="L897" s="30"/>
      <c r="M897" s="30"/>
      <c r="N897" s="1465"/>
      <c r="O897" s="1466"/>
    </row>
    <row r="898" ht="16.5" customHeight="1">
      <c r="A898" s="940"/>
      <c r="B898" s="941"/>
      <c r="C898" s="941"/>
      <c r="D898" s="941"/>
      <c r="E898" s="941"/>
      <c r="F898" s="463"/>
      <c r="G898" s="1465"/>
      <c r="H898" s="1465"/>
      <c r="I898" s="28"/>
      <c r="J898" s="28"/>
      <c r="K898" s="28"/>
      <c r="L898" s="28"/>
      <c r="M898" s="28"/>
      <c r="N898" s="1465"/>
      <c r="O898" s="1466"/>
    </row>
    <row r="899" ht="16.5" customHeight="1">
      <c r="A899" s="939"/>
      <c r="B899" s="833"/>
      <c r="C899" s="833"/>
      <c r="D899" s="833"/>
      <c r="E899" s="833"/>
      <c r="F899" s="463"/>
      <c r="G899" s="1465"/>
      <c r="H899" s="1465"/>
      <c r="I899" s="30"/>
      <c r="J899" s="30"/>
      <c r="K899" s="30"/>
      <c r="L899" s="30"/>
      <c r="M899" s="30"/>
      <c r="N899" s="1465"/>
      <c r="O899" s="1466"/>
    </row>
    <row r="900" ht="16.5" customHeight="1">
      <c r="A900" s="940"/>
      <c r="B900" s="941"/>
      <c r="C900" s="941"/>
      <c r="D900" s="941"/>
      <c r="E900" s="941"/>
      <c r="F900" s="463"/>
      <c r="G900" s="1465"/>
      <c r="H900" s="1465"/>
      <c r="I900" s="28"/>
      <c r="J900" s="28"/>
      <c r="K900" s="28"/>
      <c r="L900" s="28"/>
      <c r="M900" s="28"/>
      <c r="N900" s="1465"/>
      <c r="O900" s="1466"/>
    </row>
    <row r="901" ht="16.5" customHeight="1">
      <c r="A901" s="939"/>
      <c r="B901" s="833"/>
      <c r="C901" s="833"/>
      <c r="D901" s="833"/>
      <c r="E901" s="833"/>
      <c r="F901" s="463"/>
      <c r="G901" s="1465"/>
      <c r="H901" s="1465"/>
      <c r="I901" s="30"/>
      <c r="J901" s="30"/>
      <c r="K901" s="30"/>
      <c r="L901" s="30"/>
      <c r="M901" s="30"/>
      <c r="N901" s="1465"/>
      <c r="O901" s="1466"/>
    </row>
    <row r="902" ht="16.5" customHeight="1">
      <c r="A902" s="940"/>
      <c r="B902" s="941"/>
      <c r="C902" s="941"/>
      <c r="D902" s="941"/>
      <c r="E902" s="941"/>
      <c r="F902" s="463"/>
      <c r="G902" s="1465"/>
      <c r="H902" s="1465"/>
      <c r="I902" s="28"/>
      <c r="J902" s="28"/>
      <c r="K902" s="28"/>
      <c r="L902" s="28"/>
      <c r="M902" s="28"/>
      <c r="N902" s="1465"/>
      <c r="O902" s="1466"/>
    </row>
    <row r="903" ht="16.5" customHeight="1">
      <c r="A903" s="939"/>
      <c r="B903" s="833"/>
      <c r="C903" s="833"/>
      <c r="D903" s="833"/>
      <c r="E903" s="833"/>
      <c r="F903" s="463"/>
      <c r="G903" s="1465"/>
      <c r="H903" s="1465"/>
      <c r="I903" s="30"/>
      <c r="J903" s="30"/>
      <c r="K903" s="30"/>
      <c r="L903" s="30"/>
      <c r="M903" s="30"/>
      <c r="N903" s="1465"/>
      <c r="O903" s="1466"/>
    </row>
    <row r="904" ht="16.5" customHeight="1">
      <c r="A904" s="940"/>
      <c r="B904" s="941"/>
      <c r="C904" s="941"/>
      <c r="D904" s="941"/>
      <c r="E904" s="941"/>
      <c r="F904" s="463"/>
      <c r="G904" s="1465"/>
      <c r="H904" s="1465"/>
      <c r="I904" s="28"/>
      <c r="J904" s="28"/>
      <c r="K904" s="28"/>
      <c r="L904" s="28"/>
      <c r="M904" s="28"/>
      <c r="N904" s="1465"/>
      <c r="O904" s="1466"/>
    </row>
    <row r="905" ht="16.5" customHeight="1">
      <c r="A905" s="939"/>
      <c r="B905" s="833"/>
      <c r="C905" s="833"/>
      <c r="D905" s="833"/>
      <c r="E905" s="833"/>
      <c r="F905" s="463"/>
      <c r="G905" s="1465"/>
      <c r="H905" s="1465"/>
      <c r="I905" s="30"/>
      <c r="J905" s="30"/>
      <c r="K905" s="30"/>
      <c r="L905" s="30"/>
      <c r="M905" s="30"/>
      <c r="N905" s="1465"/>
      <c r="O905" s="1466"/>
    </row>
    <row r="906" ht="16.5" customHeight="1">
      <c r="A906" s="940"/>
      <c r="B906" s="941"/>
      <c r="C906" s="941"/>
      <c r="D906" s="941"/>
      <c r="E906" s="941"/>
      <c r="F906" s="463"/>
      <c r="G906" s="1465"/>
      <c r="H906" s="1465"/>
      <c r="I906" s="28"/>
      <c r="J906" s="28"/>
      <c r="K906" s="28"/>
      <c r="L906" s="28"/>
      <c r="M906" s="28"/>
      <c r="N906" s="1465"/>
      <c r="O906" s="1466"/>
    </row>
    <row r="907" ht="16.5" customHeight="1">
      <c r="A907" s="939"/>
      <c r="B907" s="833"/>
      <c r="C907" s="833"/>
      <c r="D907" s="833"/>
      <c r="E907" s="833"/>
      <c r="F907" s="463"/>
      <c r="G907" s="1465"/>
      <c r="H907" s="1465"/>
      <c r="I907" s="30"/>
      <c r="J907" s="30"/>
      <c r="K907" s="30"/>
      <c r="L907" s="30"/>
      <c r="M907" s="30"/>
      <c r="N907" s="1465"/>
      <c r="O907" s="1466"/>
    </row>
    <row r="908" ht="16.5" customHeight="1">
      <c r="A908" s="940"/>
      <c r="B908" s="941"/>
      <c r="C908" s="941"/>
      <c r="D908" s="941"/>
      <c r="E908" s="941"/>
      <c r="F908" s="463"/>
      <c r="G908" s="1465"/>
      <c r="H908" s="1465"/>
      <c r="I908" s="28"/>
      <c r="J908" s="28"/>
      <c r="K908" s="28"/>
      <c r="L908" s="28"/>
      <c r="M908" s="28"/>
      <c r="N908" s="1465"/>
      <c r="O908" s="1466"/>
    </row>
    <row r="909" ht="16.5" customHeight="1">
      <c r="A909" s="939"/>
      <c r="B909" s="833"/>
      <c r="C909" s="833"/>
      <c r="D909" s="833"/>
      <c r="E909" s="833"/>
      <c r="F909" s="463"/>
      <c r="G909" s="1465"/>
      <c r="H909" s="1465"/>
      <c r="I909" s="30"/>
      <c r="J909" s="30"/>
      <c r="K909" s="30"/>
      <c r="L909" s="30"/>
      <c r="M909" s="30"/>
      <c r="N909" s="1465"/>
      <c r="O909" s="1466"/>
    </row>
    <row r="910" ht="16.5" customHeight="1">
      <c r="A910" s="940"/>
      <c r="B910" s="941"/>
      <c r="C910" s="941"/>
      <c r="D910" s="941"/>
      <c r="E910" s="941"/>
      <c r="F910" s="463"/>
      <c r="G910" s="1465"/>
      <c r="H910" s="1465"/>
      <c r="I910" s="28"/>
      <c r="J910" s="28"/>
      <c r="K910" s="28"/>
      <c r="L910" s="28"/>
      <c r="M910" s="28"/>
      <c r="N910" s="1465"/>
      <c r="O910" s="1466"/>
    </row>
    <row r="911" ht="16.5" customHeight="1">
      <c r="A911" s="939"/>
      <c r="B911" s="833"/>
      <c r="C911" s="833"/>
      <c r="D911" s="833"/>
      <c r="E911" s="833"/>
      <c r="F911" s="463"/>
      <c r="G911" s="1465"/>
      <c r="H911" s="1465"/>
      <c r="I911" s="30"/>
      <c r="J911" s="30"/>
      <c r="K911" s="30"/>
      <c r="L911" s="30"/>
      <c r="M911" s="30"/>
      <c r="N911" s="1465"/>
      <c r="O911" s="1466"/>
    </row>
    <row r="912" ht="16.5" customHeight="1">
      <c r="A912" s="940"/>
      <c r="B912" s="941"/>
      <c r="C912" s="941"/>
      <c r="D912" s="941"/>
      <c r="E912" s="941"/>
      <c r="F912" s="463"/>
      <c r="G912" s="1465"/>
      <c r="H912" s="1465"/>
      <c r="I912" s="28"/>
      <c r="J912" s="28"/>
      <c r="K912" s="28"/>
      <c r="L912" s="28"/>
      <c r="M912" s="28"/>
      <c r="N912" s="1465"/>
      <c r="O912" s="1466"/>
    </row>
    <row r="913" ht="16.5" customHeight="1">
      <c r="A913" s="939"/>
      <c r="B913" s="833"/>
      <c r="C913" s="833"/>
      <c r="D913" s="833"/>
      <c r="E913" s="833"/>
      <c r="F913" s="463"/>
      <c r="G913" s="1465"/>
      <c r="H913" s="1465"/>
      <c r="I913" s="30"/>
      <c r="J913" s="30"/>
      <c r="K913" s="30"/>
      <c r="L913" s="30"/>
      <c r="M913" s="30"/>
      <c r="N913" s="1465"/>
      <c r="O913" s="1466"/>
    </row>
    <row r="914" ht="16.5" customHeight="1">
      <c r="A914" s="940"/>
      <c r="B914" s="941"/>
      <c r="C914" s="941"/>
      <c r="D914" s="941"/>
      <c r="E914" s="941"/>
      <c r="F914" s="463"/>
      <c r="G914" s="1465"/>
      <c r="H914" s="1465"/>
      <c r="I914" s="28"/>
      <c r="J914" s="28"/>
      <c r="K914" s="28"/>
      <c r="L914" s="28"/>
      <c r="M914" s="28"/>
      <c r="N914" s="1465"/>
      <c r="O914" s="1466"/>
    </row>
    <row r="915" ht="16.5" customHeight="1">
      <c r="A915" s="939"/>
      <c r="B915" s="833"/>
      <c r="C915" s="833"/>
      <c r="D915" s="833"/>
      <c r="E915" s="833"/>
      <c r="F915" s="463"/>
      <c r="G915" s="1465"/>
      <c r="H915" s="1465"/>
      <c r="I915" s="30"/>
      <c r="J915" s="30"/>
      <c r="K915" s="30"/>
      <c r="L915" s="30"/>
      <c r="M915" s="30"/>
      <c r="N915" s="1465"/>
      <c r="O915" s="1466"/>
    </row>
    <row r="916" ht="16.5" customHeight="1">
      <c r="A916" s="940"/>
      <c r="B916" s="941"/>
      <c r="C916" s="941"/>
      <c r="D916" s="941"/>
      <c r="E916" s="941"/>
      <c r="F916" s="463"/>
      <c r="G916" s="1465"/>
      <c r="H916" s="1465"/>
      <c r="I916" s="28"/>
      <c r="J916" s="28"/>
      <c r="K916" s="28"/>
      <c r="L916" s="28"/>
      <c r="M916" s="28"/>
      <c r="N916" s="1465"/>
      <c r="O916" s="1466"/>
    </row>
    <row r="917" ht="16.5" customHeight="1">
      <c r="A917" s="939"/>
      <c r="B917" s="833"/>
      <c r="C917" s="833"/>
      <c r="D917" s="833"/>
      <c r="E917" s="833"/>
      <c r="F917" s="463"/>
      <c r="G917" s="1465"/>
      <c r="H917" s="1465"/>
      <c r="I917" s="30"/>
      <c r="J917" s="30"/>
      <c r="K917" s="30"/>
      <c r="L917" s="30"/>
      <c r="M917" s="30"/>
      <c r="N917" s="1465"/>
      <c r="O917" s="1466"/>
    </row>
    <row r="918" ht="16.5" customHeight="1">
      <c r="A918" s="940"/>
      <c r="B918" s="941"/>
      <c r="C918" s="941"/>
      <c r="D918" s="941"/>
      <c r="E918" s="941"/>
      <c r="F918" s="463"/>
      <c r="G918" s="1465"/>
      <c r="H918" s="1465"/>
      <c r="I918" s="28"/>
      <c r="J918" s="28"/>
      <c r="K918" s="28"/>
      <c r="L918" s="28"/>
      <c r="M918" s="28"/>
      <c r="N918" s="1465"/>
      <c r="O918" s="1466"/>
    </row>
    <row r="919" ht="16.5" customHeight="1">
      <c r="A919" s="939"/>
      <c r="B919" s="833"/>
      <c r="C919" s="833"/>
      <c r="D919" s="833"/>
      <c r="E919" s="833"/>
      <c r="F919" s="463"/>
      <c r="G919" s="1465"/>
      <c r="H919" s="1465"/>
      <c r="I919" s="30"/>
      <c r="J919" s="30"/>
      <c r="K919" s="30"/>
      <c r="L919" s="30"/>
      <c r="M919" s="30"/>
      <c r="N919" s="1465"/>
      <c r="O919" s="1466"/>
    </row>
    <row r="920" ht="16.5" customHeight="1">
      <c r="A920" s="940"/>
      <c r="B920" s="941"/>
      <c r="C920" s="941"/>
      <c r="D920" s="941"/>
      <c r="E920" s="941"/>
      <c r="F920" s="463"/>
      <c r="G920" s="1465"/>
      <c r="H920" s="1465"/>
      <c r="I920" s="28"/>
      <c r="J920" s="28"/>
      <c r="K920" s="28"/>
      <c r="L920" s="28"/>
      <c r="M920" s="28"/>
      <c r="N920" s="1465"/>
      <c r="O920" s="1466"/>
    </row>
    <row r="921" ht="16.5" customHeight="1">
      <c r="A921" s="939"/>
      <c r="B921" s="833"/>
      <c r="C921" s="833"/>
      <c r="D921" s="833"/>
      <c r="E921" s="833"/>
      <c r="F921" s="463"/>
      <c r="G921" s="1465"/>
      <c r="H921" s="1465"/>
      <c r="I921" s="30"/>
      <c r="J921" s="30"/>
      <c r="K921" s="30"/>
      <c r="L921" s="30"/>
      <c r="M921" s="30"/>
      <c r="N921" s="1465"/>
      <c r="O921" s="1466"/>
    </row>
    <row r="922" ht="16.5" customHeight="1">
      <c r="A922" s="940"/>
      <c r="B922" s="941"/>
      <c r="C922" s="941"/>
      <c r="D922" s="941"/>
      <c r="E922" s="941"/>
      <c r="F922" s="463"/>
      <c r="G922" s="1465"/>
      <c r="H922" s="1465"/>
      <c r="I922" s="28"/>
      <c r="J922" s="28"/>
      <c r="K922" s="28"/>
      <c r="L922" s="28"/>
      <c r="M922" s="28"/>
      <c r="N922" s="1465"/>
      <c r="O922" s="1466"/>
    </row>
    <row r="923" ht="16.5" customHeight="1">
      <c r="A923" s="939"/>
      <c r="B923" s="833"/>
      <c r="C923" s="833"/>
      <c r="D923" s="833"/>
      <c r="E923" s="833"/>
      <c r="F923" s="463"/>
      <c r="G923" s="1465"/>
      <c r="H923" s="1465"/>
      <c r="I923" s="30"/>
      <c r="J923" s="30"/>
      <c r="K923" s="30"/>
      <c r="L923" s="30"/>
      <c r="M923" s="30"/>
      <c r="N923" s="1465"/>
      <c r="O923" s="1466"/>
    </row>
    <row r="924" ht="16.5" customHeight="1">
      <c r="A924" s="940"/>
      <c r="B924" s="941"/>
      <c r="C924" s="941"/>
      <c r="D924" s="941"/>
      <c r="E924" s="941"/>
      <c r="F924" s="463"/>
      <c r="G924" s="1465"/>
      <c r="H924" s="1465"/>
      <c r="I924" s="28"/>
      <c r="J924" s="28"/>
      <c r="K924" s="28"/>
      <c r="L924" s="28"/>
      <c r="M924" s="28"/>
      <c r="N924" s="1465"/>
      <c r="O924" s="1466"/>
    </row>
    <row r="925" ht="16.5" customHeight="1">
      <c r="A925" s="939"/>
      <c r="B925" s="833"/>
      <c r="C925" s="833"/>
      <c r="D925" s="833"/>
      <c r="E925" s="833"/>
      <c r="F925" s="463"/>
      <c r="G925" s="1465"/>
      <c r="H925" s="1465"/>
      <c r="I925" s="30"/>
      <c r="J925" s="30"/>
      <c r="K925" s="30"/>
      <c r="L925" s="30"/>
      <c r="M925" s="30"/>
      <c r="N925" s="1465"/>
      <c r="O925" s="1466"/>
    </row>
    <row r="926" ht="16.5" customHeight="1">
      <c r="A926" s="940"/>
      <c r="B926" s="941"/>
      <c r="C926" s="941"/>
      <c r="D926" s="941"/>
      <c r="E926" s="941"/>
      <c r="F926" s="463"/>
      <c r="G926" s="1465"/>
      <c r="H926" s="1465"/>
      <c r="I926" s="28"/>
      <c r="J926" s="28"/>
      <c r="K926" s="28"/>
      <c r="L926" s="28"/>
      <c r="M926" s="28"/>
      <c r="N926" s="1465"/>
      <c r="O926" s="1466"/>
    </row>
    <row r="927" ht="16.5" customHeight="1">
      <c r="A927" s="939"/>
      <c r="B927" s="833"/>
      <c r="C927" s="833"/>
      <c r="D927" s="833"/>
      <c r="E927" s="833"/>
      <c r="F927" s="463"/>
      <c r="G927" s="1465"/>
      <c r="H927" s="1465"/>
      <c r="I927" s="30"/>
      <c r="J927" s="30"/>
      <c r="K927" s="30"/>
      <c r="L927" s="30"/>
      <c r="M927" s="30"/>
      <c r="N927" s="1465"/>
      <c r="O927" s="1466"/>
    </row>
    <row r="928" ht="16.5" customHeight="1">
      <c r="A928" s="940"/>
      <c r="B928" s="941"/>
      <c r="C928" s="941"/>
      <c r="D928" s="941"/>
      <c r="E928" s="941"/>
      <c r="F928" s="463"/>
      <c r="G928" s="1465"/>
      <c r="H928" s="1465"/>
      <c r="I928" s="28"/>
      <c r="J928" s="28"/>
      <c r="K928" s="28"/>
      <c r="L928" s="28"/>
      <c r="M928" s="28"/>
      <c r="N928" s="1465"/>
      <c r="O928" s="1466"/>
    </row>
    <row r="929" ht="16.5" customHeight="1">
      <c r="A929" s="939"/>
      <c r="B929" s="833"/>
      <c r="C929" s="833"/>
      <c r="D929" s="833"/>
      <c r="E929" s="833"/>
      <c r="F929" s="463"/>
      <c r="G929" s="1465"/>
      <c r="H929" s="1465"/>
      <c r="I929" s="30"/>
      <c r="J929" s="30"/>
      <c r="K929" s="30"/>
      <c r="L929" s="30"/>
      <c r="M929" s="30"/>
      <c r="N929" s="1465"/>
      <c r="O929" s="1466"/>
    </row>
    <row r="930" ht="16.5" customHeight="1">
      <c r="A930" s="940"/>
      <c r="B930" s="941"/>
      <c r="C930" s="941"/>
      <c r="D930" s="941"/>
      <c r="E930" s="941"/>
      <c r="F930" s="463"/>
      <c r="G930" s="1465"/>
      <c r="H930" s="1465"/>
      <c r="I930" s="28"/>
      <c r="J930" s="28"/>
      <c r="K930" s="28"/>
      <c r="L930" s="28"/>
      <c r="M930" s="28"/>
      <c r="N930" s="1465"/>
      <c r="O930" s="1466"/>
    </row>
    <row r="931" ht="16.5" customHeight="1">
      <c r="A931" s="939"/>
      <c r="B931" s="833"/>
      <c r="C931" s="833"/>
      <c r="D931" s="833"/>
      <c r="E931" s="833"/>
      <c r="F931" s="463"/>
      <c r="G931" s="1465"/>
      <c r="H931" s="1465"/>
      <c r="I931" s="30"/>
      <c r="J931" s="30"/>
      <c r="K931" s="30"/>
      <c r="L931" s="30"/>
      <c r="M931" s="30"/>
      <c r="N931" s="1465"/>
      <c r="O931" s="1466"/>
    </row>
    <row r="932" ht="16.5" customHeight="1">
      <c r="A932" s="940"/>
      <c r="B932" s="941"/>
      <c r="C932" s="941"/>
      <c r="D932" s="941"/>
      <c r="E932" s="941"/>
      <c r="F932" s="463"/>
      <c r="G932" s="1465"/>
      <c r="H932" s="1465"/>
      <c r="I932" s="28"/>
      <c r="J932" s="28"/>
      <c r="K932" s="28"/>
      <c r="L932" s="28"/>
      <c r="M932" s="28"/>
      <c r="N932" s="1465"/>
      <c r="O932" s="1466"/>
    </row>
    <row r="933" ht="16.5" customHeight="1">
      <c r="A933" s="939"/>
      <c r="B933" s="833"/>
      <c r="C933" s="833"/>
      <c r="D933" s="833"/>
      <c r="E933" s="833"/>
      <c r="F933" s="463"/>
      <c r="G933" s="1465"/>
      <c r="H933" s="1465"/>
      <c r="I933" s="30"/>
      <c r="J933" s="30"/>
      <c r="K933" s="30"/>
      <c r="L933" s="30"/>
      <c r="M933" s="30"/>
      <c r="N933" s="1465"/>
      <c r="O933" s="1466"/>
    </row>
    <row r="934" ht="16.5" customHeight="1">
      <c r="A934" s="940"/>
      <c r="B934" s="941"/>
      <c r="C934" s="941"/>
      <c r="D934" s="941"/>
      <c r="E934" s="941"/>
      <c r="F934" s="463"/>
      <c r="G934" s="1465"/>
      <c r="H934" s="1465"/>
      <c r="I934" s="28"/>
      <c r="J934" s="28"/>
      <c r="K934" s="28"/>
      <c r="L934" s="28"/>
      <c r="M934" s="28"/>
      <c r="N934" s="1465"/>
      <c r="O934" s="1466"/>
    </row>
    <row r="935" ht="16.5" customHeight="1">
      <c r="A935" s="939"/>
      <c r="B935" s="833"/>
      <c r="C935" s="833"/>
      <c r="D935" s="833"/>
      <c r="E935" s="833"/>
      <c r="F935" s="463"/>
      <c r="G935" s="1465"/>
      <c r="H935" s="1465"/>
      <c r="I935" s="30"/>
      <c r="J935" s="30"/>
      <c r="K935" s="30"/>
      <c r="L935" s="30"/>
      <c r="M935" s="30"/>
      <c r="N935" s="1465"/>
      <c r="O935" s="1466"/>
    </row>
    <row r="936" ht="16.5" customHeight="1">
      <c r="A936" s="940"/>
      <c r="B936" s="941"/>
      <c r="C936" s="941"/>
      <c r="D936" s="941"/>
      <c r="E936" s="941"/>
      <c r="F936" s="463"/>
      <c r="G936" s="1465"/>
      <c r="H936" s="1465"/>
      <c r="I936" s="28"/>
      <c r="J936" s="28"/>
      <c r="K936" s="28"/>
      <c r="L936" s="28"/>
      <c r="M936" s="28"/>
      <c r="N936" s="1465"/>
      <c r="O936" s="1466"/>
    </row>
    <row r="937" ht="16.5" customHeight="1">
      <c r="A937" s="939"/>
      <c r="B937" s="833"/>
      <c r="C937" s="833"/>
      <c r="D937" s="833"/>
      <c r="E937" s="833"/>
      <c r="F937" s="463"/>
      <c r="G937" s="1465"/>
      <c r="H937" s="1465"/>
      <c r="I937" s="30"/>
      <c r="J937" s="30"/>
      <c r="K937" s="30"/>
      <c r="L937" s="30"/>
      <c r="M937" s="30"/>
      <c r="N937" s="1465"/>
      <c r="O937" s="1466"/>
    </row>
    <row r="938" ht="16.5" customHeight="1">
      <c r="A938" s="940"/>
      <c r="B938" s="941"/>
      <c r="C938" s="941"/>
      <c r="D938" s="941"/>
      <c r="E938" s="941"/>
      <c r="F938" s="463"/>
      <c r="G938" s="1465"/>
      <c r="H938" s="1465"/>
      <c r="I938" s="28"/>
      <c r="J938" s="28"/>
      <c r="K938" s="28"/>
      <c r="L938" s="28"/>
      <c r="M938" s="28"/>
      <c r="N938" s="1465"/>
      <c r="O938" s="1466"/>
    </row>
    <row r="939" ht="16.5" customHeight="1">
      <c r="A939" s="939"/>
      <c r="B939" s="833"/>
      <c r="C939" s="833"/>
      <c r="D939" s="833"/>
      <c r="E939" s="833"/>
      <c r="F939" s="463"/>
      <c r="G939" s="1465"/>
      <c r="H939" s="1465"/>
      <c r="I939" s="30"/>
      <c r="J939" s="30"/>
      <c r="K939" s="30"/>
      <c r="L939" s="30"/>
      <c r="M939" s="30"/>
      <c r="N939" s="1465"/>
      <c r="O939" s="1466"/>
    </row>
    <row r="940" ht="16.5" customHeight="1">
      <c r="A940" s="940"/>
      <c r="B940" s="941"/>
      <c r="C940" s="941"/>
      <c r="D940" s="941"/>
      <c r="E940" s="941"/>
      <c r="F940" s="463"/>
      <c r="G940" s="1465"/>
      <c r="H940" s="1465"/>
      <c r="I940" s="28"/>
      <c r="J940" s="28"/>
      <c r="K940" s="28"/>
      <c r="L940" s="28"/>
      <c r="M940" s="28"/>
      <c r="N940" s="1465"/>
      <c r="O940" s="1466"/>
    </row>
    <row r="941" ht="16.5" customHeight="1">
      <c r="A941" s="939"/>
      <c r="B941" s="833"/>
      <c r="C941" s="833"/>
      <c r="D941" s="833"/>
      <c r="E941" s="833"/>
      <c r="F941" s="463"/>
      <c r="G941" s="1465"/>
      <c r="H941" s="1465"/>
      <c r="I941" s="30"/>
      <c r="J941" s="30"/>
      <c r="K941" s="30"/>
      <c r="L941" s="30"/>
      <c r="M941" s="30"/>
      <c r="N941" s="1465"/>
      <c r="O941" s="1466"/>
    </row>
    <row r="942" ht="16.5" customHeight="1">
      <c r="A942" s="940"/>
      <c r="B942" s="941"/>
      <c r="C942" s="941"/>
      <c r="D942" s="941"/>
      <c r="E942" s="941"/>
      <c r="F942" s="463"/>
      <c r="G942" s="1465"/>
      <c r="H942" s="1465"/>
      <c r="I942" s="28"/>
      <c r="J942" s="28"/>
      <c r="K942" s="28"/>
      <c r="L942" s="28"/>
      <c r="M942" s="28"/>
      <c r="N942" s="1465"/>
      <c r="O942" s="1466"/>
    </row>
    <row r="943" ht="16.5" customHeight="1">
      <c r="A943" s="939"/>
      <c r="B943" s="833"/>
      <c r="C943" s="833"/>
      <c r="D943" s="833"/>
      <c r="E943" s="833"/>
      <c r="F943" s="463"/>
      <c r="G943" s="1465"/>
      <c r="H943" s="1465"/>
      <c r="I943" s="30"/>
      <c r="J943" s="30"/>
      <c r="K943" s="30"/>
      <c r="L943" s="30"/>
      <c r="M943" s="30"/>
      <c r="N943" s="1465"/>
      <c r="O943" s="1466"/>
    </row>
    <row r="944" ht="16.5" customHeight="1">
      <c r="A944" s="940"/>
      <c r="B944" s="941"/>
      <c r="C944" s="941"/>
      <c r="D944" s="941"/>
      <c r="E944" s="941"/>
      <c r="F944" s="463"/>
      <c r="G944" s="1465"/>
      <c r="H944" s="1465"/>
      <c r="I944" s="28"/>
      <c r="J944" s="28"/>
      <c r="K944" s="28"/>
      <c r="L944" s="28"/>
      <c r="M944" s="28"/>
      <c r="N944" s="1465"/>
      <c r="O944" s="1466"/>
    </row>
    <row r="945" ht="16.5" customHeight="1">
      <c r="A945" s="939"/>
      <c r="B945" s="833"/>
      <c r="C945" s="833"/>
      <c r="D945" s="833"/>
      <c r="E945" s="833"/>
      <c r="F945" s="463"/>
      <c r="G945" s="1465"/>
      <c r="H945" s="1465"/>
      <c r="I945" s="30"/>
      <c r="J945" s="30"/>
      <c r="K945" s="30"/>
      <c r="L945" s="30"/>
      <c r="M945" s="30"/>
      <c r="N945" s="1465"/>
      <c r="O945" s="1466"/>
    </row>
    <row r="946" ht="16.5" customHeight="1">
      <c r="A946" s="940"/>
      <c r="B946" s="941"/>
      <c r="C946" s="941"/>
      <c r="D946" s="941"/>
      <c r="E946" s="941"/>
      <c r="F946" s="463"/>
      <c r="G946" s="1465"/>
      <c r="H946" s="1465"/>
      <c r="I946" s="28"/>
      <c r="J946" s="28"/>
      <c r="K946" s="28"/>
      <c r="L946" s="28"/>
      <c r="M946" s="28"/>
      <c r="N946" s="1465"/>
      <c r="O946" s="1466"/>
    </row>
    <row r="947" ht="16.5" customHeight="1">
      <c r="A947" s="939"/>
      <c r="B947" s="833"/>
      <c r="C947" s="833"/>
      <c r="D947" s="833"/>
      <c r="E947" s="833"/>
      <c r="F947" s="463"/>
      <c r="G947" s="1465"/>
      <c r="H947" s="1465"/>
      <c r="I947" s="30"/>
      <c r="J947" s="30"/>
      <c r="K947" s="30"/>
      <c r="L947" s="30"/>
      <c r="M947" s="30"/>
      <c r="N947" s="1465"/>
      <c r="O947" s="1466"/>
    </row>
    <row r="948" ht="16.5" customHeight="1">
      <c r="A948" s="940"/>
      <c r="B948" s="941"/>
      <c r="C948" s="941"/>
      <c r="D948" s="941"/>
      <c r="E948" s="941"/>
      <c r="F948" s="463"/>
      <c r="G948" s="1465"/>
      <c r="H948" s="1465"/>
      <c r="I948" s="28"/>
      <c r="J948" s="28"/>
      <c r="K948" s="28"/>
      <c r="L948" s="28"/>
      <c r="M948" s="28"/>
      <c r="N948" s="1465"/>
      <c r="O948" s="1466"/>
    </row>
    <row r="949" ht="16.5" customHeight="1">
      <c r="A949" s="939"/>
      <c r="B949" s="833"/>
      <c r="C949" s="833"/>
      <c r="D949" s="833"/>
      <c r="E949" s="833"/>
      <c r="F949" s="463"/>
      <c r="G949" s="1465"/>
      <c r="H949" s="1465"/>
      <c r="I949" s="30"/>
      <c r="J949" s="30"/>
      <c r="K949" s="30"/>
      <c r="L949" s="30"/>
      <c r="M949" s="30"/>
      <c r="N949" s="1465"/>
      <c r="O949" s="1466"/>
    </row>
    <row r="950" ht="16.5" customHeight="1">
      <c r="A950" s="940"/>
      <c r="B950" s="941"/>
      <c r="C950" s="941"/>
      <c r="D950" s="941"/>
      <c r="E950" s="941"/>
      <c r="F950" s="463"/>
      <c r="G950" s="1465"/>
      <c r="H950" s="1465"/>
      <c r="I950" s="28"/>
      <c r="J950" s="28"/>
      <c r="K950" s="28"/>
      <c r="L950" s="28"/>
      <c r="M950" s="28"/>
      <c r="N950" s="1465"/>
      <c r="O950" s="1466"/>
    </row>
    <row r="951" ht="16.5" customHeight="1">
      <c r="A951" s="939"/>
      <c r="B951" s="833"/>
      <c r="C951" s="833"/>
      <c r="D951" s="833"/>
      <c r="E951" s="833"/>
      <c r="F951" s="463"/>
      <c r="G951" s="1465"/>
      <c r="H951" s="1465"/>
      <c r="I951" s="30"/>
      <c r="J951" s="30"/>
      <c r="K951" s="30"/>
      <c r="L951" s="30"/>
      <c r="M951" s="30"/>
      <c r="N951" s="1465"/>
      <c r="O951" s="1466"/>
    </row>
    <row r="952" ht="16.5" customHeight="1">
      <c r="A952" s="940"/>
      <c r="B952" s="941"/>
      <c r="C952" s="941"/>
      <c r="D952" s="941"/>
      <c r="E952" s="941"/>
      <c r="F952" s="463"/>
      <c r="G952" s="1465"/>
      <c r="H952" s="1465"/>
      <c r="I952" s="28"/>
      <c r="J952" s="28"/>
      <c r="K952" s="28"/>
      <c r="L952" s="28"/>
      <c r="M952" s="28"/>
      <c r="N952" s="1465"/>
      <c r="O952" s="1466"/>
    </row>
    <row r="953" ht="16.5" customHeight="1">
      <c r="A953" s="939"/>
      <c r="B953" s="833"/>
      <c r="C953" s="833"/>
      <c r="D953" s="833"/>
      <c r="E953" s="833"/>
      <c r="F953" s="463"/>
      <c r="G953" s="1465"/>
      <c r="H953" s="1465"/>
      <c r="I953" s="30"/>
      <c r="J953" s="30"/>
      <c r="K953" s="30"/>
      <c r="L953" s="30"/>
      <c r="M953" s="30"/>
      <c r="N953" s="1465"/>
      <c r="O953" s="1466"/>
    </row>
    <row r="954" ht="16.5" customHeight="1">
      <c r="A954" s="940"/>
      <c r="B954" s="941"/>
      <c r="C954" s="941"/>
      <c r="D954" s="941"/>
      <c r="E954" s="941"/>
      <c r="F954" s="463"/>
      <c r="G954" s="1465"/>
      <c r="H954" s="1465"/>
      <c r="I954" s="28"/>
      <c r="J954" s="28"/>
      <c r="K954" s="28"/>
      <c r="L954" s="28"/>
      <c r="M954" s="28"/>
      <c r="N954" s="1465"/>
      <c r="O954" s="1466"/>
    </row>
    <row r="955" ht="16.5" customHeight="1">
      <c r="A955" s="939"/>
      <c r="B955" s="833"/>
      <c r="C955" s="833"/>
      <c r="D955" s="833"/>
      <c r="E955" s="833"/>
      <c r="F955" s="463"/>
      <c r="G955" s="1465"/>
      <c r="H955" s="1465"/>
      <c r="I955" s="30"/>
      <c r="J955" s="30"/>
      <c r="K955" s="30"/>
      <c r="L955" s="30"/>
      <c r="M955" s="30"/>
      <c r="N955" s="1465"/>
      <c r="O955" s="1466"/>
    </row>
    <row r="956" ht="16.5" customHeight="1">
      <c r="A956" s="940"/>
      <c r="B956" s="941"/>
      <c r="C956" s="941"/>
      <c r="D956" s="941"/>
      <c r="E956" s="941"/>
      <c r="F956" s="463"/>
      <c r="G956" s="1465"/>
      <c r="H956" s="1465"/>
      <c r="I956" s="28"/>
      <c r="J956" s="28"/>
      <c r="K956" s="28"/>
      <c r="L956" s="28"/>
      <c r="M956" s="28"/>
      <c r="N956" s="1465"/>
      <c r="O956" s="1466"/>
    </row>
    <row r="957" ht="16.5" customHeight="1">
      <c r="A957" s="939"/>
      <c r="B957" s="833"/>
      <c r="C957" s="833"/>
      <c r="D957" s="833"/>
      <c r="E957" s="833"/>
      <c r="F957" s="463"/>
      <c r="G957" s="1465"/>
      <c r="H957" s="1465"/>
      <c r="I957" s="30"/>
      <c r="J957" s="30"/>
      <c r="K957" s="30"/>
      <c r="L957" s="30"/>
      <c r="M957" s="30"/>
      <c r="N957" s="1465"/>
      <c r="O957" s="1466"/>
    </row>
    <row r="958" ht="16.5" customHeight="1">
      <c r="A958" s="940"/>
      <c r="B958" s="941"/>
      <c r="C958" s="941"/>
      <c r="D958" s="941"/>
      <c r="E958" s="941"/>
      <c r="F958" s="463"/>
      <c r="G958" s="1465"/>
      <c r="H958" s="1465"/>
      <c r="I958" s="28"/>
      <c r="J958" s="28"/>
      <c r="K958" s="28"/>
      <c r="L958" s="28"/>
      <c r="M958" s="28"/>
      <c r="N958" s="1465"/>
      <c r="O958" s="1466"/>
    </row>
    <row r="959" ht="16.5" customHeight="1">
      <c r="A959" s="939"/>
      <c r="B959" s="833"/>
      <c r="C959" s="833"/>
      <c r="D959" s="833"/>
      <c r="E959" s="833"/>
      <c r="F959" s="463"/>
      <c r="G959" s="1465"/>
      <c r="H959" s="1465"/>
      <c r="I959" s="30"/>
      <c r="J959" s="30"/>
      <c r="K959" s="30"/>
      <c r="L959" s="30"/>
      <c r="M959" s="30"/>
      <c r="N959" s="1465"/>
      <c r="O959" s="1466"/>
    </row>
    <row r="960" ht="16.5" customHeight="1">
      <c r="A960" s="940"/>
      <c r="B960" s="941"/>
      <c r="C960" s="941"/>
      <c r="D960" s="941"/>
      <c r="E960" s="941"/>
      <c r="F960" s="463"/>
      <c r="G960" s="1465"/>
      <c r="H960" s="1465"/>
      <c r="I960" s="28"/>
      <c r="J960" s="28"/>
      <c r="K960" s="28"/>
      <c r="L960" s="28"/>
      <c r="M960" s="28"/>
      <c r="N960" s="1465"/>
      <c r="O960" s="1466"/>
    </row>
    <row r="961" ht="16.5" customHeight="1">
      <c r="A961" s="939"/>
      <c r="B961" s="833"/>
      <c r="C961" s="833"/>
      <c r="D961" s="833"/>
      <c r="E961" s="833"/>
      <c r="F961" s="463"/>
      <c r="G961" s="1465"/>
      <c r="H961" s="1465"/>
      <c r="I961" s="30"/>
      <c r="J961" s="30"/>
      <c r="K961" s="30"/>
      <c r="L961" s="30"/>
      <c r="M961" s="30"/>
      <c r="N961" s="1465"/>
      <c r="O961" s="1466"/>
    </row>
    <row r="962" ht="16.5" customHeight="1">
      <c r="A962" s="940"/>
      <c r="B962" s="941"/>
      <c r="C962" s="941"/>
      <c r="D962" s="941"/>
      <c r="E962" s="941"/>
      <c r="F962" s="463"/>
      <c r="G962" s="1465"/>
      <c r="H962" s="1465"/>
      <c r="I962" s="28"/>
      <c r="J962" s="28"/>
      <c r="K962" s="28"/>
      <c r="L962" s="28"/>
      <c r="M962" s="28"/>
      <c r="N962" s="1465"/>
      <c r="O962" s="1466"/>
    </row>
    <row r="963" ht="16.5" customHeight="1">
      <c r="A963" s="939"/>
      <c r="B963" s="833"/>
      <c r="C963" s="833"/>
      <c r="D963" s="833"/>
      <c r="E963" s="833"/>
      <c r="F963" s="463"/>
      <c r="G963" s="1465"/>
      <c r="H963" s="1465"/>
      <c r="I963" s="30"/>
      <c r="J963" s="30"/>
      <c r="K963" s="30"/>
      <c r="L963" s="30"/>
      <c r="M963" s="30"/>
      <c r="N963" s="1465"/>
      <c r="O963" s="1466"/>
    </row>
    <row r="964" ht="16.5" customHeight="1">
      <c r="A964" s="940"/>
      <c r="B964" s="941"/>
      <c r="C964" s="941"/>
      <c r="D964" s="941"/>
      <c r="E964" s="941"/>
      <c r="F964" s="463"/>
      <c r="G964" s="1465"/>
      <c r="H964" s="1465"/>
      <c r="I964" s="28"/>
      <c r="J964" s="28"/>
      <c r="K964" s="28"/>
      <c r="L964" s="28"/>
      <c r="M964" s="28"/>
      <c r="N964" s="1465"/>
      <c r="O964" s="1466"/>
    </row>
    <row r="965" ht="16.5" customHeight="1">
      <c r="A965" s="939"/>
      <c r="B965" s="833"/>
      <c r="C965" s="833"/>
      <c r="D965" s="833"/>
      <c r="E965" s="833"/>
      <c r="F965" s="463"/>
      <c r="G965" s="1465"/>
      <c r="H965" s="1465"/>
      <c r="I965" s="30"/>
      <c r="J965" s="30"/>
      <c r="K965" s="30"/>
      <c r="L965" s="30"/>
      <c r="M965" s="30"/>
      <c r="N965" s="1465"/>
      <c r="O965" s="1466"/>
    </row>
    <row r="966" ht="16.5" customHeight="1">
      <c r="A966" s="940"/>
      <c r="B966" s="941"/>
      <c r="C966" s="941"/>
      <c r="D966" s="941"/>
      <c r="E966" s="941"/>
      <c r="F966" s="463"/>
      <c r="G966" s="1465"/>
      <c r="H966" s="1465"/>
      <c r="I966" s="28"/>
      <c r="J966" s="28"/>
      <c r="K966" s="28"/>
      <c r="L966" s="28"/>
      <c r="M966" s="28"/>
      <c r="N966" s="1465"/>
      <c r="O966" s="1466"/>
    </row>
    <row r="967" ht="16.5" customHeight="1">
      <c r="A967" s="939"/>
      <c r="B967" s="833"/>
      <c r="C967" s="833"/>
      <c r="D967" s="833"/>
      <c r="E967" s="833"/>
      <c r="F967" s="463"/>
      <c r="G967" s="1465"/>
      <c r="H967" s="1465"/>
      <c r="I967" s="30"/>
      <c r="J967" s="30"/>
      <c r="K967" s="30"/>
      <c r="L967" s="30"/>
      <c r="M967" s="30"/>
      <c r="N967" s="1465"/>
      <c r="O967" s="1466"/>
    </row>
    <row r="968" ht="16.5" customHeight="1">
      <c r="A968" s="940"/>
      <c r="B968" s="941"/>
      <c r="C968" s="941"/>
      <c r="D968" s="941"/>
      <c r="E968" s="941"/>
      <c r="F968" s="463"/>
      <c r="G968" s="1465"/>
      <c r="H968" s="1465"/>
      <c r="I968" s="28"/>
      <c r="J968" s="28"/>
      <c r="K968" s="28"/>
      <c r="L968" s="28"/>
      <c r="M968" s="28"/>
      <c r="N968" s="1465"/>
      <c r="O968" s="1466"/>
    </row>
    <row r="969" ht="16.5" customHeight="1">
      <c r="A969" s="939"/>
      <c r="B969" s="833"/>
      <c r="C969" s="833"/>
      <c r="D969" s="833"/>
      <c r="E969" s="833"/>
      <c r="F969" s="463"/>
      <c r="G969" s="1465"/>
      <c r="H969" s="1465"/>
      <c r="I969" s="30"/>
      <c r="J969" s="30"/>
      <c r="K969" s="30"/>
      <c r="L969" s="30"/>
      <c r="M969" s="30"/>
      <c r="N969" s="1465"/>
      <c r="O969" s="1466"/>
    </row>
    <row r="970" ht="16.5" customHeight="1">
      <c r="A970" s="940"/>
      <c r="B970" s="941"/>
      <c r="C970" s="941"/>
      <c r="D970" s="941"/>
      <c r="E970" s="941"/>
      <c r="F970" s="463"/>
      <c r="G970" s="1465"/>
      <c r="H970" s="1465"/>
      <c r="I970" s="28"/>
      <c r="J970" s="28"/>
      <c r="K970" s="28"/>
      <c r="L970" s="28"/>
      <c r="M970" s="28"/>
      <c r="N970" s="1465"/>
      <c r="O970" s="1466"/>
    </row>
    <row r="971" ht="16.5" customHeight="1">
      <c r="A971" s="939"/>
      <c r="B971" s="833"/>
      <c r="C971" s="833"/>
      <c r="D971" s="833"/>
      <c r="E971" s="833"/>
      <c r="F971" s="463"/>
      <c r="G971" s="1465"/>
      <c r="H971" s="1465"/>
      <c r="I971" s="30"/>
      <c r="J971" s="30"/>
      <c r="K971" s="30"/>
      <c r="L971" s="30"/>
      <c r="M971" s="30"/>
      <c r="N971" s="1465"/>
      <c r="O971" s="1466"/>
    </row>
    <row r="972" ht="16.5" customHeight="1">
      <c r="A972" s="940"/>
      <c r="B972" s="941"/>
      <c r="C972" s="941"/>
      <c r="D972" s="941"/>
      <c r="E972" s="941"/>
      <c r="F972" s="463"/>
      <c r="G972" s="1465"/>
      <c r="H972" s="1465"/>
      <c r="I972" s="28"/>
      <c r="J972" s="28"/>
      <c r="K972" s="28"/>
      <c r="L972" s="28"/>
      <c r="M972" s="28"/>
      <c r="N972" s="1465"/>
      <c r="O972" s="1466"/>
    </row>
    <row r="973" ht="16.5" customHeight="1">
      <c r="A973" s="939"/>
      <c r="B973" s="833"/>
      <c r="C973" s="833"/>
      <c r="D973" s="833"/>
      <c r="E973" s="833"/>
      <c r="F973" s="463"/>
      <c r="G973" s="1465"/>
      <c r="H973" s="1465"/>
      <c r="I973" s="30"/>
      <c r="J973" s="30"/>
      <c r="K973" s="30"/>
      <c r="L973" s="30"/>
      <c r="M973" s="30"/>
      <c r="N973" s="1465"/>
      <c r="O973" s="1466"/>
    </row>
    <row r="974" ht="16.5" customHeight="1">
      <c r="A974" s="940"/>
      <c r="B974" s="941"/>
      <c r="C974" s="941"/>
      <c r="D974" s="941"/>
      <c r="E974" s="941"/>
      <c r="F974" s="463"/>
      <c r="G974" s="1465"/>
      <c r="H974" s="1465"/>
      <c r="I974" s="28"/>
      <c r="J974" s="28"/>
      <c r="K974" s="28"/>
      <c r="L974" s="28"/>
      <c r="M974" s="28"/>
      <c r="N974" s="1465"/>
      <c r="O974" s="1466"/>
    </row>
    <row r="975" ht="16.5" customHeight="1">
      <c r="A975" s="939"/>
      <c r="B975" s="833"/>
      <c r="C975" s="833"/>
      <c r="D975" s="833"/>
      <c r="E975" s="833"/>
      <c r="F975" s="463"/>
      <c r="G975" s="1465"/>
      <c r="H975" s="1465"/>
      <c r="I975" s="30"/>
      <c r="J975" s="30"/>
      <c r="K975" s="30"/>
      <c r="L975" s="30"/>
      <c r="M975" s="30"/>
      <c r="N975" s="1465"/>
      <c r="O975" s="1466"/>
    </row>
    <row r="976" ht="16.5" customHeight="1">
      <c r="A976" s="940"/>
      <c r="B976" s="941"/>
      <c r="C976" s="941"/>
      <c r="D976" s="941"/>
      <c r="E976" s="941"/>
      <c r="F976" s="463"/>
      <c r="G976" s="1465"/>
      <c r="H976" s="1465"/>
      <c r="I976" s="28"/>
      <c r="J976" s="28"/>
      <c r="K976" s="28"/>
      <c r="L976" s="28"/>
      <c r="M976" s="28"/>
      <c r="N976" s="1465"/>
      <c r="O976" s="1466"/>
    </row>
    <row r="977" ht="16.5" customHeight="1">
      <c r="A977" s="939"/>
      <c r="B977" s="833"/>
      <c r="C977" s="833"/>
      <c r="D977" s="833"/>
      <c r="E977" s="833"/>
      <c r="F977" s="463"/>
      <c r="G977" s="1465"/>
      <c r="H977" s="1465"/>
      <c r="I977" s="30"/>
      <c r="J977" s="30"/>
      <c r="K977" s="30"/>
      <c r="L977" s="30"/>
      <c r="M977" s="30"/>
      <c r="N977" s="1465"/>
      <c r="O977" s="1466"/>
    </row>
    <row r="978" ht="16.5" customHeight="1">
      <c r="A978" s="940"/>
      <c r="B978" s="941"/>
      <c r="C978" s="941"/>
      <c r="D978" s="941"/>
      <c r="E978" s="941"/>
      <c r="F978" s="463"/>
      <c r="G978" s="1465"/>
      <c r="H978" s="1465"/>
      <c r="I978" s="28"/>
      <c r="J978" s="28"/>
      <c r="K978" s="28"/>
      <c r="L978" s="28"/>
      <c r="M978" s="28"/>
      <c r="N978" s="1465"/>
      <c r="O978" s="1466"/>
    </row>
    <row r="979" ht="16.5" customHeight="1">
      <c r="A979" s="939"/>
      <c r="B979" s="833"/>
      <c r="C979" s="833"/>
      <c r="D979" s="833"/>
      <c r="E979" s="833"/>
      <c r="F979" s="463"/>
      <c r="G979" s="1465"/>
      <c r="H979" s="1465"/>
      <c r="I979" s="30"/>
      <c r="J979" s="30"/>
      <c r="K979" s="30"/>
      <c r="L979" s="30"/>
      <c r="M979" s="30"/>
      <c r="N979" s="1465"/>
      <c r="O979" s="1466"/>
    </row>
    <row r="980" ht="16.5" customHeight="1">
      <c r="A980" s="940"/>
      <c r="B980" s="941"/>
      <c r="C980" s="941"/>
      <c r="D980" s="941"/>
      <c r="E980" s="941"/>
      <c r="F980" s="463"/>
      <c r="G980" s="1465"/>
      <c r="H980" s="1465"/>
      <c r="I980" s="28"/>
      <c r="J980" s="28"/>
      <c r="K980" s="28"/>
      <c r="L980" s="28"/>
      <c r="M980" s="28"/>
      <c r="N980" s="1465"/>
      <c r="O980" s="1466"/>
    </row>
    <row r="981" ht="16.5" customHeight="1">
      <c r="A981" s="939"/>
      <c r="B981" s="833"/>
      <c r="C981" s="833"/>
      <c r="D981" s="833"/>
      <c r="E981" s="833"/>
      <c r="F981" s="463"/>
      <c r="G981" s="1465"/>
      <c r="H981" s="1465"/>
      <c r="I981" s="30"/>
      <c r="J981" s="30"/>
      <c r="K981" s="30"/>
      <c r="L981" s="30"/>
      <c r="M981" s="30"/>
      <c r="N981" s="1465"/>
      <c r="O981" s="1466"/>
    </row>
    <row r="982" ht="16.5" customHeight="1">
      <c r="A982" s="940"/>
      <c r="B982" s="941"/>
      <c r="C982" s="941"/>
      <c r="D982" s="941"/>
      <c r="E982" s="941"/>
      <c r="F982" s="463"/>
      <c r="G982" s="1465"/>
      <c r="H982" s="1465"/>
      <c r="I982" s="28"/>
      <c r="J982" s="28"/>
      <c r="K982" s="28"/>
      <c r="L982" s="28"/>
      <c r="M982" s="28"/>
      <c r="N982" s="1465"/>
      <c r="O982" s="1466"/>
    </row>
    <row r="983" ht="16.5" customHeight="1">
      <c r="A983" s="939"/>
      <c r="B983" s="833"/>
      <c r="C983" s="833"/>
      <c r="D983" s="833"/>
      <c r="E983" s="833"/>
      <c r="F983" s="463"/>
      <c r="G983" s="1465"/>
      <c r="H983" s="1465"/>
      <c r="I983" s="30"/>
      <c r="J983" s="30"/>
      <c r="K983" s="30"/>
      <c r="L983" s="30"/>
      <c r="M983" s="30"/>
      <c r="N983" s="1465"/>
      <c r="O983" s="1466"/>
    </row>
    <row r="984" ht="16.5" customHeight="1">
      <c r="A984" s="940"/>
      <c r="B984" s="941"/>
      <c r="C984" s="941"/>
      <c r="D984" s="941"/>
      <c r="E984" s="941"/>
      <c r="F984" s="463"/>
      <c r="G984" s="1465"/>
      <c r="H984" s="1465"/>
      <c r="I984" s="28"/>
      <c r="J984" s="28"/>
      <c r="K984" s="28"/>
      <c r="L984" s="28"/>
      <c r="M984" s="28"/>
      <c r="N984" s="1465"/>
      <c r="O984" s="1466"/>
    </row>
    <row r="985" ht="16.5" customHeight="1">
      <c r="A985" s="939"/>
      <c r="B985" s="833"/>
      <c r="C985" s="833"/>
      <c r="D985" s="833"/>
      <c r="E985" s="833"/>
      <c r="F985" s="463"/>
      <c r="G985" s="1465"/>
      <c r="H985" s="1465"/>
      <c r="I985" s="30"/>
      <c r="J985" s="30"/>
      <c r="K985" s="30"/>
      <c r="L985" s="30"/>
      <c r="M985" s="30"/>
      <c r="N985" s="1465"/>
      <c r="O985" s="1466"/>
    </row>
    <row r="986" ht="16.5" customHeight="1">
      <c r="A986" s="940"/>
      <c r="B986" s="941"/>
      <c r="C986" s="941"/>
      <c r="D986" s="941"/>
      <c r="E986" s="941"/>
      <c r="F986" s="463"/>
      <c r="G986" s="1465"/>
      <c r="H986" s="1465"/>
      <c r="I986" s="28"/>
      <c r="J986" s="28"/>
      <c r="K986" s="28"/>
      <c r="L986" s="28"/>
      <c r="M986" s="28"/>
      <c r="N986" s="1465"/>
      <c r="O986" s="1466"/>
    </row>
    <row r="987" ht="16.5" customHeight="1">
      <c r="A987" s="939"/>
      <c r="B987" s="833"/>
      <c r="C987" s="833"/>
      <c r="D987" s="833"/>
      <c r="E987" s="833"/>
      <c r="F987" s="463"/>
      <c r="G987" s="1465"/>
      <c r="H987" s="1465"/>
      <c r="I987" s="30"/>
      <c r="J987" s="30"/>
      <c r="K987" s="30"/>
      <c r="L987" s="30"/>
      <c r="M987" s="30"/>
      <c r="N987" s="1465"/>
      <c r="O987" s="1466"/>
    </row>
    <row r="988" ht="16.5" customHeight="1">
      <c r="A988" s="940"/>
      <c r="B988" s="941"/>
      <c r="C988" s="941"/>
      <c r="D988" s="941"/>
      <c r="E988" s="941"/>
      <c r="F988" s="463"/>
      <c r="G988" s="1465"/>
      <c r="H988" s="1465"/>
      <c r="I988" s="28"/>
      <c r="J988" s="28"/>
      <c r="K988" s="28"/>
      <c r="L988" s="28"/>
      <c r="M988" s="28"/>
      <c r="N988" s="1465"/>
      <c r="O988" s="1466"/>
    </row>
    <row r="989" ht="16.5" customHeight="1">
      <c r="A989" s="939"/>
      <c r="B989" s="833"/>
      <c r="C989" s="833"/>
      <c r="D989" s="833"/>
      <c r="E989" s="833"/>
      <c r="F989" s="463"/>
      <c r="G989" s="1465"/>
      <c r="H989" s="1465"/>
      <c r="I989" s="30"/>
      <c r="J989" s="30"/>
      <c r="K989" s="30"/>
      <c r="L989" s="30"/>
      <c r="M989" s="30"/>
      <c r="N989" s="1465"/>
      <c r="O989" s="1466"/>
    </row>
    <row r="990" ht="16.5" customHeight="1">
      <c r="A990" s="940"/>
      <c r="B990" s="941"/>
      <c r="C990" s="941"/>
      <c r="D990" s="941"/>
      <c r="E990" s="941"/>
      <c r="F990" s="463"/>
      <c r="G990" s="1465"/>
      <c r="H990" s="1465"/>
      <c r="I990" s="28"/>
      <c r="J990" s="28"/>
      <c r="K990" s="28"/>
      <c r="L990" s="28"/>
      <c r="M990" s="28"/>
      <c r="N990" s="1465"/>
      <c r="O990" s="1466"/>
    </row>
    <row r="991" ht="16.5" customHeight="1">
      <c r="A991" s="939"/>
      <c r="B991" s="833"/>
      <c r="C991" s="833"/>
      <c r="D991" s="833"/>
      <c r="E991" s="833"/>
      <c r="F991" s="463"/>
      <c r="G991" s="1465"/>
      <c r="H991" s="1465"/>
      <c r="I991" s="30"/>
      <c r="J991" s="30"/>
      <c r="K991" s="30"/>
      <c r="L991" s="30"/>
      <c r="M991" s="30"/>
      <c r="N991" s="1465"/>
      <c r="O991" s="1466"/>
    </row>
    <row r="992" ht="16.5" customHeight="1">
      <c r="A992" s="940"/>
      <c r="B992" s="941"/>
      <c r="C992" s="941"/>
      <c r="D992" s="941"/>
      <c r="E992" s="941"/>
      <c r="F992" s="463"/>
      <c r="G992" s="1465"/>
      <c r="H992" s="1465"/>
      <c r="I992" s="28"/>
      <c r="J992" s="28"/>
      <c r="K992" s="28"/>
      <c r="L992" s="28"/>
      <c r="M992" s="28"/>
      <c r="N992" s="1465"/>
      <c r="O992" s="1466"/>
    </row>
    <row r="993" ht="16.5" customHeight="1">
      <c r="A993" s="939"/>
      <c r="B993" s="833"/>
      <c r="C993" s="833"/>
      <c r="D993" s="833"/>
      <c r="E993" s="833"/>
      <c r="F993" s="463"/>
      <c r="G993" s="1465"/>
      <c r="H993" s="1465"/>
      <c r="I993" s="30"/>
      <c r="J993" s="30"/>
      <c r="K993" s="30"/>
      <c r="L993" s="30"/>
      <c r="M993" s="30"/>
      <c r="N993" s="1465"/>
      <c r="O993" s="1466"/>
    </row>
    <row r="994" ht="16.5" customHeight="1">
      <c r="A994" s="940"/>
      <c r="B994" s="941"/>
      <c r="C994" s="941"/>
      <c r="D994" s="941"/>
      <c r="E994" s="941"/>
      <c r="F994" s="463"/>
      <c r="G994" s="1465"/>
      <c r="H994" s="1465"/>
      <c r="I994" s="28"/>
      <c r="J994" s="28"/>
      <c r="K994" s="28"/>
      <c r="L994" s="28"/>
      <c r="M994" s="28"/>
      <c r="N994" s="1465"/>
      <c r="O994" s="1466"/>
    </row>
    <row r="995" ht="16.5" customHeight="1">
      <c r="A995" s="939"/>
      <c r="B995" s="833"/>
      <c r="C995" s="833"/>
      <c r="D995" s="833"/>
      <c r="E995" s="833"/>
      <c r="F995" s="463"/>
      <c r="G995" s="1465"/>
      <c r="H995" s="1465"/>
      <c r="I995" s="30"/>
      <c r="J995" s="30"/>
      <c r="K995" s="30"/>
      <c r="L995" s="30"/>
      <c r="M995" s="30"/>
      <c r="N995" s="1465"/>
      <c r="O995" s="1466"/>
    </row>
    <row r="996" ht="16.5" customHeight="1">
      <c r="A996" s="940"/>
      <c r="B996" s="941"/>
      <c r="C996" s="941"/>
      <c r="D996" s="941"/>
      <c r="E996" s="941"/>
      <c r="F996" s="463"/>
      <c r="G996" s="1465"/>
      <c r="H996" s="1465"/>
      <c r="I996" s="28"/>
      <c r="J996" s="28"/>
      <c r="K996" s="28"/>
      <c r="L996" s="28"/>
      <c r="M996" s="28"/>
      <c r="N996" s="1465"/>
      <c r="O996" s="1466"/>
    </row>
    <row r="997" ht="16.5" customHeight="1">
      <c r="A997" s="939"/>
      <c r="B997" s="833"/>
      <c r="C997" s="833"/>
      <c r="D997" s="833"/>
      <c r="E997" s="833"/>
      <c r="F997" s="463"/>
      <c r="G997" s="1465"/>
      <c r="H997" s="1465"/>
      <c r="I997" s="30"/>
      <c r="J997" s="30"/>
      <c r="K997" s="30"/>
      <c r="L997" s="30"/>
      <c r="M997" s="30"/>
      <c r="N997" s="1465"/>
      <c r="O997" s="1466"/>
    </row>
    <row r="998" ht="16.5" customHeight="1">
      <c r="A998" s="940"/>
      <c r="B998" s="941"/>
      <c r="C998" s="941"/>
      <c r="D998" s="941"/>
      <c r="E998" s="941"/>
      <c r="F998" s="463"/>
      <c r="G998" s="1465"/>
      <c r="H998" s="1465"/>
      <c r="I998" s="28"/>
      <c r="J998" s="28"/>
      <c r="K998" s="28"/>
      <c r="L998" s="28"/>
      <c r="M998" s="28"/>
      <c r="N998" s="1465"/>
      <c r="O998" s="1466"/>
    </row>
    <row r="999" ht="16.5" customHeight="1">
      <c r="A999" s="939"/>
      <c r="B999" s="833"/>
      <c r="C999" s="833"/>
      <c r="D999" s="833"/>
      <c r="E999" s="833"/>
      <c r="F999" s="463"/>
      <c r="G999" s="1465"/>
      <c r="H999" s="1465"/>
      <c r="I999" s="30"/>
      <c r="J999" s="30"/>
      <c r="K999" s="30"/>
      <c r="L999" s="30"/>
      <c r="M999" s="30"/>
      <c r="N999" s="1465"/>
      <c r="O999" s="1466"/>
    </row>
    <row r="1000" ht="16.5" customHeight="1">
      <c r="A1000" s="940"/>
      <c r="B1000" s="941"/>
      <c r="C1000" s="941"/>
      <c r="D1000" s="941"/>
      <c r="E1000" s="941"/>
      <c r="F1000" s="463"/>
      <c r="G1000" s="1465"/>
      <c r="H1000" s="1465"/>
      <c r="I1000" s="28"/>
      <c r="J1000" s="28"/>
      <c r="K1000" s="28"/>
      <c r="L1000" s="28"/>
      <c r="M1000" s="28"/>
      <c r="N1000" s="1465"/>
      <c r="O1000" s="1466"/>
    </row>
    <row r="1001" ht="16.5" customHeight="1">
      <c r="A1001" s="939"/>
      <c r="B1001" s="833"/>
      <c r="C1001" s="833"/>
      <c r="D1001" s="833"/>
      <c r="E1001" s="833"/>
      <c r="F1001" s="463"/>
      <c r="G1001" s="1465"/>
      <c r="H1001" s="1465"/>
      <c r="I1001" s="30"/>
      <c r="J1001" s="30"/>
      <c r="K1001" s="30"/>
      <c r="L1001" s="30"/>
      <c r="M1001" s="30"/>
      <c r="N1001" s="1465"/>
      <c r="O1001" s="1466"/>
    </row>
    <row r="1002" ht="16.5" customHeight="1">
      <c r="A1002" s="940"/>
      <c r="B1002" s="941"/>
      <c r="C1002" s="941"/>
      <c r="D1002" s="941"/>
      <c r="E1002" s="941"/>
      <c r="F1002" s="463"/>
      <c r="G1002" s="1465"/>
      <c r="H1002" s="1465"/>
      <c r="I1002" s="28"/>
      <c r="J1002" s="28"/>
      <c r="K1002" s="28"/>
      <c r="L1002" s="28"/>
      <c r="M1002" s="28"/>
      <c r="N1002" s="1465"/>
      <c r="O1002" s="1466"/>
    </row>
    <row r="1003" ht="16.5" customHeight="1">
      <c r="A1003" s="939"/>
      <c r="B1003" s="833"/>
      <c r="C1003" s="833"/>
      <c r="D1003" s="833"/>
      <c r="E1003" s="833"/>
      <c r="F1003" s="463"/>
      <c r="G1003" s="1465"/>
      <c r="H1003" s="1465"/>
      <c r="I1003" s="30"/>
      <c r="J1003" s="30"/>
      <c r="K1003" s="30"/>
      <c r="L1003" s="30"/>
      <c r="M1003" s="30"/>
      <c r="N1003" s="1465"/>
      <c r="O1003" s="1466"/>
    </row>
    <row r="1004" ht="16.5" customHeight="1">
      <c r="A1004" s="940"/>
      <c r="B1004" s="941"/>
      <c r="C1004" s="941"/>
      <c r="D1004" s="941"/>
      <c r="E1004" s="941"/>
      <c r="F1004" s="463"/>
      <c r="G1004" s="1465"/>
      <c r="H1004" s="1465"/>
      <c r="I1004" s="28"/>
      <c r="J1004" s="28"/>
      <c r="K1004" s="28"/>
      <c r="L1004" s="28"/>
      <c r="M1004" s="28"/>
      <c r="N1004" s="1465"/>
      <c r="O1004" s="1466"/>
    </row>
    <row r="1005" ht="16.5" customHeight="1">
      <c r="A1005" s="939"/>
      <c r="B1005" s="833"/>
      <c r="C1005" s="833"/>
      <c r="D1005" s="833"/>
      <c r="E1005" s="833"/>
      <c r="F1005" s="463"/>
      <c r="G1005" s="1465"/>
      <c r="H1005" s="1465"/>
      <c r="I1005" s="30"/>
      <c r="J1005" s="30"/>
      <c r="K1005" s="30"/>
      <c r="L1005" s="30"/>
      <c r="M1005" s="30"/>
      <c r="N1005" s="1465"/>
      <c r="O1005" s="1466"/>
    </row>
    <row r="1006" ht="16.5" customHeight="1">
      <c r="A1006" s="940"/>
      <c r="B1006" s="941"/>
      <c r="C1006" s="941"/>
      <c r="D1006" s="941"/>
      <c r="E1006" s="941"/>
      <c r="F1006" s="463"/>
      <c r="G1006" s="1465"/>
      <c r="H1006" s="1465"/>
      <c r="I1006" s="28"/>
      <c r="J1006" s="28"/>
      <c r="K1006" s="28"/>
      <c r="L1006" s="28"/>
      <c r="M1006" s="28"/>
      <c r="N1006" s="1465"/>
      <c r="O1006" s="1466"/>
    </row>
    <row r="1007" ht="16.5" customHeight="1">
      <c r="A1007" s="939"/>
      <c r="B1007" s="833"/>
      <c r="C1007" s="833"/>
      <c r="D1007" s="833"/>
      <c r="E1007" s="833"/>
      <c r="F1007" s="463"/>
      <c r="G1007" s="1465"/>
      <c r="H1007" s="1465"/>
      <c r="I1007" s="30"/>
      <c r="J1007" s="30"/>
      <c r="K1007" s="30"/>
      <c r="L1007" s="30"/>
      <c r="M1007" s="30"/>
      <c r="N1007" s="1465"/>
      <c r="O1007" s="1466"/>
    </row>
    <row r="1008" ht="16.5" customHeight="1">
      <c r="A1008" s="940"/>
      <c r="B1008" s="941"/>
      <c r="C1008" s="941"/>
      <c r="D1008" s="941"/>
      <c r="E1008" s="941"/>
      <c r="F1008" s="463"/>
      <c r="G1008" s="1465"/>
      <c r="H1008" s="1465"/>
      <c r="I1008" s="28"/>
      <c r="J1008" s="28"/>
      <c r="K1008" s="28"/>
      <c r="L1008" s="28"/>
      <c r="M1008" s="28"/>
      <c r="N1008" s="1465"/>
      <c r="O1008" s="1466"/>
    </row>
    <row r="1009" ht="16.5" customHeight="1">
      <c r="A1009" s="939"/>
      <c r="B1009" s="833"/>
      <c r="C1009" s="833"/>
      <c r="D1009" s="833"/>
      <c r="E1009" s="833"/>
      <c r="F1009" s="463"/>
      <c r="G1009" s="1465"/>
      <c r="H1009" s="1465"/>
      <c r="I1009" s="30"/>
      <c r="J1009" s="30"/>
      <c r="K1009" s="30"/>
      <c r="L1009" s="30"/>
      <c r="M1009" s="30"/>
      <c r="N1009" s="1465"/>
      <c r="O1009" s="1466"/>
    </row>
    <row r="1010" ht="16.5" customHeight="1">
      <c r="A1010" s="940"/>
      <c r="B1010" s="941"/>
      <c r="C1010" s="941"/>
      <c r="D1010" s="941"/>
      <c r="E1010" s="941"/>
      <c r="F1010" s="463"/>
      <c r="G1010" s="1465"/>
      <c r="H1010" s="1465"/>
      <c r="I1010" s="28"/>
      <c r="J1010" s="28"/>
      <c r="K1010" s="28"/>
      <c r="L1010" s="28"/>
      <c r="M1010" s="28"/>
      <c r="N1010" s="1465"/>
      <c r="O1010" s="1466"/>
    </row>
    <row r="1011" ht="16.5" customHeight="1">
      <c r="A1011" s="939"/>
      <c r="B1011" s="833"/>
      <c r="C1011" s="833"/>
      <c r="D1011" s="833"/>
      <c r="E1011" s="833"/>
      <c r="F1011" s="463"/>
      <c r="G1011" s="1465"/>
      <c r="H1011" s="1465"/>
      <c r="I1011" s="30"/>
      <c r="J1011" s="30"/>
      <c r="K1011" s="30"/>
      <c r="L1011" s="30"/>
      <c r="M1011" s="30"/>
      <c r="N1011" s="1465"/>
      <c r="O1011" s="1466"/>
    </row>
    <row r="1012" ht="16.5" customHeight="1">
      <c r="A1012" s="940"/>
      <c r="B1012" s="941"/>
      <c r="C1012" s="941"/>
      <c r="D1012" s="941"/>
      <c r="E1012" s="941"/>
      <c r="F1012" s="463"/>
      <c r="G1012" s="1465"/>
      <c r="H1012" s="1465"/>
      <c r="I1012" s="28"/>
      <c r="J1012" s="28"/>
      <c r="K1012" s="28"/>
      <c r="L1012" s="28"/>
      <c r="M1012" s="28"/>
      <c r="N1012" s="1465"/>
      <c r="O1012" s="1466"/>
    </row>
    <row r="1013" ht="16.5" customHeight="1">
      <c r="A1013" s="939"/>
      <c r="B1013" s="833"/>
      <c r="C1013" s="833"/>
      <c r="D1013" s="833"/>
      <c r="E1013" s="833"/>
      <c r="F1013" s="463"/>
      <c r="G1013" s="1465"/>
      <c r="H1013" s="1465"/>
      <c r="I1013" s="30"/>
      <c r="J1013" s="30"/>
      <c r="K1013" s="30"/>
      <c r="L1013" s="30"/>
      <c r="M1013" s="30"/>
      <c r="N1013" s="1465"/>
      <c r="O1013" s="1466"/>
    </row>
    <row r="1014" ht="16.5" customHeight="1">
      <c r="A1014" s="940"/>
      <c r="B1014" s="941"/>
      <c r="C1014" s="941"/>
      <c r="D1014" s="941"/>
      <c r="E1014" s="941"/>
      <c r="F1014" s="463"/>
      <c r="G1014" s="1465"/>
      <c r="H1014" s="1465"/>
      <c r="I1014" s="28"/>
      <c r="J1014" s="28"/>
      <c r="K1014" s="28"/>
      <c r="L1014" s="28"/>
      <c r="M1014" s="28"/>
      <c r="N1014" s="1465"/>
      <c r="O1014" s="1466"/>
    </row>
    <row r="1015" ht="16.5" customHeight="1">
      <c r="A1015" s="939"/>
      <c r="B1015" s="833"/>
      <c r="C1015" s="833"/>
      <c r="D1015" s="833"/>
      <c r="E1015" s="833"/>
      <c r="F1015" s="463"/>
      <c r="G1015" s="1465"/>
      <c r="H1015" s="1465"/>
      <c r="I1015" s="30"/>
      <c r="J1015" s="30"/>
      <c r="K1015" s="30"/>
      <c r="L1015" s="30"/>
      <c r="M1015" s="30"/>
      <c r="N1015" s="1465"/>
      <c r="O1015" s="1466"/>
    </row>
    <row r="1016" ht="16.5" customHeight="1">
      <c r="A1016" s="940"/>
      <c r="B1016" s="941"/>
      <c r="C1016" s="941"/>
      <c r="D1016" s="941"/>
      <c r="E1016" s="941"/>
      <c r="F1016" s="463"/>
      <c r="G1016" s="1465"/>
      <c r="H1016" s="1465"/>
      <c r="I1016" s="28"/>
      <c r="J1016" s="28"/>
      <c r="K1016" s="28"/>
      <c r="L1016" s="28"/>
      <c r="M1016" s="28"/>
      <c r="N1016" s="1465"/>
      <c r="O1016" s="1466"/>
    </row>
    <row r="1017" ht="16.5" customHeight="1">
      <c r="A1017" s="939"/>
      <c r="B1017" s="833"/>
      <c r="C1017" s="833"/>
      <c r="D1017" s="833"/>
      <c r="E1017" s="833"/>
      <c r="F1017" s="463"/>
      <c r="G1017" s="1465"/>
      <c r="H1017" s="1465"/>
      <c r="I1017" s="30"/>
      <c r="J1017" s="30"/>
      <c r="K1017" s="30"/>
      <c r="L1017" s="30"/>
      <c r="M1017" s="30"/>
      <c r="N1017" s="1465"/>
      <c r="O1017" s="1466"/>
    </row>
    <row r="1018" ht="16.5" customHeight="1">
      <c r="A1018" s="940"/>
      <c r="B1018" s="941"/>
      <c r="C1018" s="941"/>
      <c r="D1018" s="941"/>
      <c r="E1018" s="941"/>
      <c r="F1018" s="463"/>
      <c r="G1018" s="1465"/>
      <c r="H1018" s="1465"/>
      <c r="I1018" s="28"/>
      <c r="J1018" s="28"/>
      <c r="K1018" s="28"/>
      <c r="L1018" s="28"/>
      <c r="M1018" s="28"/>
      <c r="N1018" s="1465"/>
      <c r="O1018" s="1466"/>
    </row>
    <row r="1019" ht="16.5" customHeight="1">
      <c r="A1019" s="939"/>
      <c r="B1019" s="833"/>
      <c r="C1019" s="833"/>
      <c r="D1019" s="833"/>
      <c r="E1019" s="833"/>
      <c r="F1019" s="463"/>
      <c r="G1019" s="1465"/>
      <c r="H1019" s="1465"/>
      <c r="I1019" s="30"/>
      <c r="J1019" s="30"/>
      <c r="K1019" s="30"/>
      <c r="L1019" s="30"/>
      <c r="M1019" s="30"/>
      <c r="N1019" s="1465"/>
      <c r="O1019" s="1466"/>
    </row>
    <row r="1020" ht="16.5" customHeight="1">
      <c r="A1020" s="940"/>
      <c r="B1020" s="941"/>
      <c r="C1020" s="941"/>
      <c r="D1020" s="941"/>
      <c r="E1020" s="941"/>
      <c r="F1020" s="463"/>
      <c r="G1020" s="1465"/>
      <c r="H1020" s="1465"/>
      <c r="I1020" s="28"/>
      <c r="J1020" s="28"/>
      <c r="K1020" s="28"/>
      <c r="L1020" s="28"/>
      <c r="M1020" s="28"/>
      <c r="N1020" s="1465"/>
      <c r="O1020" s="1466"/>
    </row>
    <row r="1021" ht="16.5" customHeight="1">
      <c r="A1021" s="939"/>
      <c r="B1021" s="833"/>
      <c r="C1021" s="833"/>
      <c r="D1021" s="833"/>
      <c r="E1021" s="833"/>
      <c r="F1021" s="463"/>
      <c r="G1021" s="1465"/>
      <c r="H1021" s="1465"/>
      <c r="I1021" s="30"/>
      <c r="J1021" s="30"/>
      <c r="K1021" s="30"/>
      <c r="L1021" s="30"/>
      <c r="M1021" s="30"/>
      <c r="N1021" s="1465"/>
      <c r="O1021" s="1466"/>
    </row>
    <row r="1022" ht="16.5" customHeight="1">
      <c r="A1022" s="940"/>
      <c r="B1022" s="941"/>
      <c r="C1022" s="941"/>
      <c r="D1022" s="941"/>
      <c r="E1022" s="941"/>
      <c r="F1022" s="463"/>
      <c r="G1022" s="1465"/>
      <c r="H1022" s="1465"/>
      <c r="I1022" s="28"/>
      <c r="J1022" s="28"/>
      <c r="K1022" s="28"/>
      <c r="L1022" s="28"/>
      <c r="M1022" s="28"/>
      <c r="N1022" s="1465"/>
      <c r="O1022" s="1466"/>
    </row>
    <row r="1023" ht="16.5" customHeight="1">
      <c r="A1023" s="939"/>
      <c r="B1023" s="833"/>
      <c r="C1023" s="833"/>
      <c r="D1023" s="833"/>
      <c r="E1023" s="833"/>
      <c r="F1023" s="463"/>
      <c r="G1023" s="1465"/>
      <c r="H1023" s="1465"/>
      <c r="I1023" s="30"/>
      <c r="J1023" s="30"/>
      <c r="K1023" s="30"/>
      <c r="L1023" s="30"/>
      <c r="M1023" s="30"/>
      <c r="N1023" s="1465"/>
      <c r="O1023" s="1466"/>
    </row>
    <row r="1024" ht="16.5" customHeight="1">
      <c r="A1024" s="940"/>
      <c r="B1024" s="941"/>
      <c r="C1024" s="941"/>
      <c r="D1024" s="941"/>
      <c r="E1024" s="941"/>
      <c r="F1024" s="463"/>
      <c r="G1024" s="1465"/>
      <c r="H1024" s="1465"/>
      <c r="I1024" s="28"/>
      <c r="J1024" s="28"/>
      <c r="K1024" s="28"/>
      <c r="L1024" s="28"/>
      <c r="M1024" s="28"/>
      <c r="N1024" s="1465"/>
      <c r="O1024" s="1466"/>
    </row>
    <row r="1025" ht="16.5" customHeight="1">
      <c r="A1025" s="939"/>
      <c r="B1025" s="833"/>
      <c r="C1025" s="833"/>
      <c r="D1025" s="833"/>
      <c r="E1025" s="833"/>
      <c r="F1025" s="463"/>
      <c r="G1025" s="1465"/>
      <c r="H1025" s="1465"/>
      <c r="I1025" s="30"/>
      <c r="J1025" s="30"/>
      <c r="K1025" s="30"/>
      <c r="L1025" s="30"/>
      <c r="M1025" s="30"/>
      <c r="N1025" s="1465"/>
      <c r="O1025" s="1466"/>
    </row>
    <row r="1026" ht="16.5" customHeight="1">
      <c r="A1026" s="940"/>
      <c r="B1026" s="941"/>
      <c r="C1026" s="941"/>
      <c r="D1026" s="941"/>
      <c r="E1026" s="941"/>
      <c r="F1026" s="463"/>
      <c r="G1026" s="1465"/>
      <c r="H1026" s="1465"/>
      <c r="I1026" s="28"/>
      <c r="J1026" s="28"/>
      <c r="K1026" s="28"/>
      <c r="L1026" s="28"/>
      <c r="M1026" s="28"/>
      <c r="N1026" s="1465"/>
      <c r="O1026" s="1466"/>
    </row>
    <row r="1027" ht="16.5" customHeight="1">
      <c r="A1027" s="939"/>
      <c r="B1027" s="833"/>
      <c r="C1027" s="833"/>
      <c r="D1027" s="833"/>
      <c r="E1027" s="833"/>
      <c r="F1027" s="463"/>
      <c r="G1027" s="1465"/>
      <c r="H1027" s="1465"/>
      <c r="I1027" s="30"/>
      <c r="J1027" s="30"/>
      <c r="K1027" s="30"/>
      <c r="L1027" s="30"/>
      <c r="M1027" s="30"/>
      <c r="N1027" s="1465"/>
      <c r="O1027" s="1466"/>
    </row>
    <row r="1028" ht="16.5" customHeight="1">
      <c r="A1028" s="940"/>
      <c r="B1028" s="941"/>
      <c r="C1028" s="941"/>
      <c r="D1028" s="941"/>
      <c r="E1028" s="941"/>
      <c r="F1028" s="463"/>
      <c r="G1028" s="1465"/>
      <c r="H1028" s="1465"/>
      <c r="I1028" s="28"/>
      <c r="J1028" s="28"/>
      <c r="K1028" s="28"/>
      <c r="L1028" s="28"/>
      <c r="M1028" s="28"/>
      <c r="N1028" s="1465"/>
      <c r="O1028" s="1466"/>
    </row>
    <row r="1029" ht="16.5" customHeight="1">
      <c r="A1029" s="939"/>
      <c r="B1029" s="833"/>
      <c r="C1029" s="833"/>
      <c r="D1029" s="833"/>
      <c r="E1029" s="833"/>
      <c r="F1029" s="463"/>
      <c r="G1029" s="1465"/>
      <c r="H1029" s="1465"/>
      <c r="I1029" s="30"/>
      <c r="J1029" s="30"/>
      <c r="K1029" s="30"/>
      <c r="L1029" s="30"/>
      <c r="M1029" s="30"/>
      <c r="N1029" s="1465"/>
      <c r="O1029" s="1466"/>
    </row>
    <row r="1030" ht="16.5" customHeight="1">
      <c r="A1030" s="940"/>
      <c r="B1030" s="941"/>
      <c r="C1030" s="941"/>
      <c r="D1030" s="941"/>
      <c r="E1030" s="941"/>
      <c r="F1030" s="463"/>
      <c r="G1030" s="1465"/>
      <c r="H1030" s="1465"/>
      <c r="I1030" s="28"/>
      <c r="J1030" s="28"/>
      <c r="K1030" s="28"/>
      <c r="L1030" s="28"/>
      <c r="M1030" s="28"/>
      <c r="N1030" s="1465"/>
      <c r="O1030" s="1466"/>
    </row>
    <row r="1031" ht="16.5" customHeight="1">
      <c r="A1031" s="939"/>
      <c r="B1031" s="833"/>
      <c r="C1031" s="833"/>
      <c r="D1031" s="833"/>
      <c r="E1031" s="833"/>
      <c r="F1031" s="463"/>
      <c r="G1031" s="1465"/>
      <c r="H1031" s="1465"/>
      <c r="I1031" s="30"/>
      <c r="J1031" s="30"/>
      <c r="K1031" s="30"/>
      <c r="L1031" s="30"/>
      <c r="M1031" s="30"/>
      <c r="N1031" s="1465"/>
      <c r="O1031" s="1466"/>
    </row>
    <row r="1032" ht="16.5" customHeight="1">
      <c r="A1032" s="940"/>
      <c r="B1032" s="941"/>
      <c r="C1032" s="941"/>
      <c r="D1032" s="941"/>
      <c r="E1032" s="941"/>
      <c r="F1032" s="463"/>
      <c r="G1032" s="1465"/>
      <c r="H1032" s="1465"/>
      <c r="I1032" s="28"/>
      <c r="J1032" s="28"/>
      <c r="K1032" s="28"/>
      <c r="L1032" s="28"/>
      <c r="M1032" s="28"/>
      <c r="N1032" s="1465"/>
      <c r="O1032" s="1466"/>
    </row>
    <row r="1033" ht="16.5" customHeight="1">
      <c r="A1033" s="939"/>
      <c r="B1033" s="833"/>
      <c r="C1033" s="833"/>
      <c r="D1033" s="833"/>
      <c r="E1033" s="833"/>
      <c r="F1033" s="463"/>
      <c r="G1033" s="1465"/>
      <c r="H1033" s="1465"/>
      <c r="I1033" s="30"/>
      <c r="J1033" s="30"/>
      <c r="K1033" s="30"/>
      <c r="L1033" s="30"/>
      <c r="M1033" s="30"/>
      <c r="N1033" s="1465"/>
      <c r="O1033" s="1466"/>
    </row>
    <row r="1034" ht="16.5" customHeight="1">
      <c r="A1034" s="940"/>
      <c r="B1034" s="941"/>
      <c r="C1034" s="941"/>
      <c r="D1034" s="941"/>
      <c r="E1034" s="941"/>
      <c r="F1034" s="463"/>
      <c r="G1034" s="1465"/>
      <c r="H1034" s="1465"/>
      <c r="I1034" s="28"/>
      <c r="J1034" s="28"/>
      <c r="K1034" s="28"/>
      <c r="L1034" s="28"/>
      <c r="M1034" s="28"/>
      <c r="N1034" s="1465"/>
      <c r="O1034" s="1466"/>
    </row>
    <row r="1035" ht="16.5" customHeight="1">
      <c r="A1035" s="939"/>
      <c r="B1035" s="833"/>
      <c r="C1035" s="833"/>
      <c r="D1035" s="833"/>
      <c r="E1035" s="833"/>
      <c r="F1035" s="463"/>
      <c r="G1035" s="1465"/>
      <c r="H1035" s="1465"/>
      <c r="I1035" s="30"/>
      <c r="J1035" s="30"/>
      <c r="K1035" s="30"/>
      <c r="L1035" s="30"/>
      <c r="M1035" s="30"/>
      <c r="N1035" s="1465"/>
      <c r="O1035" s="1466"/>
    </row>
    <row r="1036" ht="16.5" customHeight="1">
      <c r="A1036" s="940"/>
      <c r="B1036" s="941"/>
      <c r="C1036" s="941"/>
      <c r="D1036" s="941"/>
      <c r="E1036" s="941"/>
      <c r="F1036" s="463"/>
      <c r="G1036" s="1465"/>
      <c r="H1036" s="1465"/>
      <c r="I1036" s="28"/>
      <c r="J1036" s="28"/>
      <c r="K1036" s="28"/>
      <c r="L1036" s="28"/>
      <c r="M1036" s="28"/>
      <c r="N1036" s="1465"/>
      <c r="O1036" s="1466"/>
    </row>
    <row r="1037" ht="16.5" customHeight="1">
      <c r="A1037" s="939"/>
      <c r="B1037" s="833"/>
      <c r="C1037" s="833"/>
      <c r="D1037" s="833"/>
      <c r="E1037" s="833"/>
      <c r="F1037" s="463"/>
      <c r="G1037" s="1465"/>
      <c r="H1037" s="1465"/>
      <c r="I1037" s="30"/>
      <c r="J1037" s="30"/>
      <c r="K1037" s="30"/>
      <c r="L1037" s="30"/>
      <c r="M1037" s="30"/>
      <c r="N1037" s="1465"/>
      <c r="O1037" s="1466"/>
    </row>
    <row r="1038" ht="16.5" customHeight="1">
      <c r="A1038" s="940"/>
      <c r="B1038" s="941"/>
      <c r="C1038" s="941"/>
      <c r="D1038" s="941"/>
      <c r="E1038" s="941"/>
      <c r="F1038" s="463"/>
      <c r="G1038" s="1465"/>
      <c r="H1038" s="1465"/>
      <c r="I1038" s="28"/>
      <c r="J1038" s="28"/>
      <c r="K1038" s="28"/>
      <c r="L1038" s="28"/>
      <c r="M1038" s="28"/>
      <c r="N1038" s="1465"/>
      <c r="O1038" s="1466"/>
    </row>
    <row r="1039" ht="16.5" customHeight="1">
      <c r="A1039" s="939"/>
      <c r="B1039" s="833"/>
      <c r="C1039" s="833"/>
      <c r="D1039" s="833"/>
      <c r="E1039" s="833"/>
      <c r="F1039" s="463"/>
      <c r="G1039" s="1465"/>
      <c r="H1039" s="1465"/>
      <c r="I1039" s="30"/>
      <c r="J1039" s="30"/>
      <c r="K1039" s="30"/>
      <c r="L1039" s="30"/>
      <c r="M1039" s="30"/>
      <c r="N1039" s="1465"/>
      <c r="O1039" s="1466"/>
    </row>
    <row r="1040" ht="16.5" customHeight="1">
      <c r="A1040" s="940"/>
      <c r="B1040" s="941"/>
      <c r="C1040" s="941"/>
      <c r="D1040" s="941"/>
      <c r="E1040" s="941"/>
      <c r="F1040" s="463"/>
      <c r="G1040" s="1465"/>
      <c r="H1040" s="1465"/>
      <c r="I1040" s="28"/>
      <c r="J1040" s="28"/>
      <c r="K1040" s="28"/>
      <c r="L1040" s="28"/>
      <c r="M1040" s="28"/>
      <c r="N1040" s="1465"/>
      <c r="O1040" s="1466"/>
    </row>
    <row r="1041" ht="16.5" customHeight="1">
      <c r="A1041" s="939"/>
      <c r="B1041" s="833"/>
      <c r="C1041" s="833"/>
      <c r="D1041" s="833"/>
      <c r="E1041" s="833"/>
      <c r="F1041" s="463"/>
      <c r="G1041" s="1465"/>
      <c r="H1041" s="1465"/>
      <c r="I1041" s="30"/>
      <c r="J1041" s="30"/>
      <c r="K1041" s="30"/>
      <c r="L1041" s="30"/>
      <c r="M1041" s="30"/>
      <c r="N1041" s="1465"/>
      <c r="O1041" s="1466"/>
    </row>
    <row r="1042" ht="16.5" customHeight="1">
      <c r="A1042" s="940"/>
      <c r="B1042" s="941"/>
      <c r="C1042" s="941"/>
      <c r="D1042" s="941"/>
      <c r="E1042" s="941"/>
      <c r="F1042" s="463"/>
      <c r="G1042" s="1465"/>
      <c r="H1042" s="1465"/>
      <c r="I1042" s="28"/>
      <c r="J1042" s="28"/>
      <c r="K1042" s="28"/>
      <c r="L1042" s="28"/>
      <c r="M1042" s="28"/>
      <c r="N1042" s="1465"/>
      <c r="O1042" s="1466"/>
    </row>
    <row r="1043" ht="16.5" customHeight="1">
      <c r="A1043" s="939"/>
      <c r="B1043" s="833"/>
      <c r="C1043" s="833"/>
      <c r="D1043" s="833"/>
      <c r="E1043" s="833"/>
      <c r="F1043" s="463"/>
      <c r="G1043" s="1465"/>
      <c r="H1043" s="1465"/>
      <c r="I1043" s="30"/>
      <c r="J1043" s="30"/>
      <c r="K1043" s="30"/>
      <c r="L1043" s="30"/>
      <c r="M1043" s="30"/>
      <c r="N1043" s="1465"/>
      <c r="O1043" s="1466"/>
    </row>
    <row r="1044" ht="16.5" customHeight="1">
      <c r="A1044" s="940"/>
      <c r="B1044" s="941"/>
      <c r="C1044" s="941"/>
      <c r="D1044" s="941"/>
      <c r="E1044" s="941"/>
      <c r="F1044" s="463"/>
      <c r="G1044" s="1465"/>
      <c r="H1044" s="1465"/>
      <c r="I1044" s="28"/>
      <c r="J1044" s="28"/>
      <c r="K1044" s="28"/>
      <c r="L1044" s="28"/>
      <c r="M1044" s="28"/>
      <c r="N1044" s="1465"/>
      <c r="O1044" s="1466"/>
    </row>
    <row r="1045" ht="16.5" customHeight="1">
      <c r="A1045" s="939"/>
      <c r="B1045" s="833"/>
      <c r="C1045" s="833"/>
      <c r="D1045" s="833"/>
      <c r="E1045" s="833"/>
      <c r="F1045" s="463"/>
      <c r="G1045" s="1465"/>
      <c r="H1045" s="1465"/>
      <c r="I1045" s="30"/>
      <c r="J1045" s="30"/>
      <c r="K1045" s="30"/>
      <c r="L1045" s="30"/>
      <c r="M1045" s="30"/>
      <c r="N1045" s="1465"/>
      <c r="O1045" s="1466"/>
    </row>
    <row r="1046" ht="16.5" customHeight="1">
      <c r="A1046" s="940"/>
      <c r="B1046" s="941"/>
      <c r="C1046" s="941"/>
      <c r="D1046" s="941"/>
      <c r="E1046" s="941"/>
      <c r="F1046" s="463"/>
      <c r="G1046" s="1465"/>
      <c r="H1046" s="1465"/>
      <c r="I1046" s="28"/>
      <c r="J1046" s="28"/>
      <c r="K1046" s="28"/>
      <c r="L1046" s="28"/>
      <c r="M1046" s="28"/>
      <c r="N1046" s="1465"/>
      <c r="O1046" s="1466"/>
    </row>
    <row r="1047" ht="16.5" customHeight="1">
      <c r="A1047" s="939"/>
      <c r="B1047" s="833"/>
      <c r="C1047" s="833"/>
      <c r="D1047" s="833"/>
      <c r="E1047" s="833"/>
      <c r="F1047" s="463"/>
      <c r="G1047" s="1465"/>
      <c r="H1047" s="1465"/>
      <c r="I1047" s="30"/>
      <c r="J1047" s="30"/>
      <c r="K1047" s="30"/>
      <c r="L1047" s="30"/>
      <c r="M1047" s="30"/>
      <c r="N1047" s="1465"/>
      <c r="O1047" s="1466"/>
    </row>
    <row r="1048" ht="16.5" customHeight="1">
      <c r="A1048" s="940"/>
      <c r="B1048" s="941"/>
      <c r="C1048" s="941"/>
      <c r="D1048" s="941"/>
      <c r="E1048" s="941"/>
      <c r="F1048" s="463"/>
      <c r="G1048" s="1465"/>
      <c r="H1048" s="1465"/>
      <c r="I1048" s="28"/>
      <c r="J1048" s="28"/>
      <c r="K1048" s="28"/>
      <c r="L1048" s="28"/>
      <c r="M1048" s="28"/>
      <c r="N1048" s="1465"/>
      <c r="O1048" s="1466"/>
    </row>
    <row r="1049" ht="16.5" customHeight="1">
      <c r="A1049" s="939"/>
      <c r="B1049" s="833"/>
      <c r="C1049" s="833"/>
      <c r="D1049" s="833"/>
      <c r="E1049" s="833"/>
      <c r="F1049" s="463"/>
      <c r="G1049" s="1465"/>
      <c r="H1049" s="1465"/>
      <c r="I1049" s="30"/>
      <c r="J1049" s="30"/>
      <c r="K1049" s="30"/>
      <c r="L1049" s="30"/>
      <c r="M1049" s="30"/>
      <c r="N1049" s="1465"/>
      <c r="O1049" s="1466"/>
    </row>
    <row r="1050" ht="16.5" customHeight="1">
      <c r="A1050" s="940"/>
      <c r="B1050" s="941"/>
      <c r="C1050" s="941"/>
      <c r="D1050" s="941"/>
      <c r="E1050" s="941"/>
      <c r="F1050" s="463"/>
      <c r="G1050" s="1465"/>
      <c r="H1050" s="1465"/>
      <c r="I1050" s="28"/>
      <c r="J1050" s="28"/>
      <c r="K1050" s="28"/>
      <c r="L1050" s="28"/>
      <c r="M1050" s="28"/>
      <c r="N1050" s="1465"/>
      <c r="O1050" s="1466"/>
    </row>
    <row r="1051" ht="16.5" customHeight="1">
      <c r="A1051" s="939"/>
      <c r="B1051" s="833"/>
      <c r="C1051" s="833"/>
      <c r="D1051" s="833"/>
      <c r="E1051" s="833"/>
      <c r="F1051" s="463"/>
      <c r="G1051" s="1465"/>
      <c r="H1051" s="1465"/>
      <c r="I1051" s="30"/>
      <c r="J1051" s="30"/>
      <c r="K1051" s="30"/>
      <c r="L1051" s="30"/>
      <c r="M1051" s="30"/>
      <c r="N1051" s="1465"/>
      <c r="O1051" s="1466"/>
    </row>
    <row r="1052" ht="16.5" customHeight="1">
      <c r="A1052" s="940"/>
      <c r="B1052" s="941"/>
      <c r="C1052" s="941"/>
      <c r="D1052" s="941"/>
      <c r="E1052" s="941"/>
      <c r="F1052" s="463"/>
      <c r="G1052" s="1465"/>
      <c r="H1052" s="1465"/>
      <c r="I1052" s="28"/>
      <c r="J1052" s="28"/>
      <c r="K1052" s="28"/>
      <c r="L1052" s="28"/>
      <c r="M1052" s="28"/>
      <c r="N1052" s="1465"/>
      <c r="O1052" s="1466"/>
    </row>
    <row r="1053" ht="16.5" customHeight="1">
      <c r="A1053" s="939"/>
      <c r="B1053" s="833"/>
      <c r="C1053" s="833"/>
      <c r="D1053" s="833"/>
      <c r="E1053" s="833"/>
      <c r="F1053" s="463"/>
      <c r="G1053" s="1465"/>
      <c r="H1053" s="1465"/>
      <c r="I1053" s="30"/>
      <c r="J1053" s="30"/>
      <c r="K1053" s="30"/>
      <c r="L1053" s="30"/>
      <c r="M1053" s="30"/>
      <c r="N1053" s="1465"/>
      <c r="O1053" s="1466"/>
    </row>
    <row r="1054" ht="16.5" customHeight="1">
      <c r="A1054" s="940"/>
      <c r="B1054" s="941"/>
      <c r="C1054" s="941"/>
      <c r="D1054" s="941"/>
      <c r="E1054" s="941"/>
      <c r="F1054" s="463"/>
      <c r="G1054" s="1465"/>
      <c r="H1054" s="1465"/>
      <c r="I1054" s="28"/>
      <c r="J1054" s="28"/>
      <c r="K1054" s="28"/>
      <c r="L1054" s="28"/>
      <c r="M1054" s="28"/>
      <c r="N1054" s="1465"/>
      <c r="O1054" s="1466"/>
    </row>
    <row r="1055" ht="16.5" customHeight="1">
      <c r="A1055" s="939"/>
      <c r="B1055" s="833"/>
      <c r="C1055" s="833"/>
      <c r="D1055" s="833"/>
      <c r="E1055" s="833"/>
      <c r="F1055" s="463"/>
      <c r="G1055" s="1465"/>
      <c r="H1055" s="1465"/>
      <c r="I1055" s="30"/>
      <c r="J1055" s="30"/>
      <c r="K1055" s="30"/>
      <c r="L1055" s="30"/>
      <c r="M1055" s="30"/>
      <c r="N1055" s="1465"/>
      <c r="O1055" s="1466"/>
    </row>
    <row r="1056" ht="16.5" customHeight="1">
      <c r="A1056" s="940"/>
      <c r="B1056" s="941"/>
      <c r="C1056" s="941"/>
      <c r="D1056" s="941"/>
      <c r="E1056" s="941"/>
      <c r="F1056" s="463"/>
      <c r="G1056" s="1465"/>
      <c r="H1056" s="1465"/>
      <c r="I1056" s="28"/>
      <c r="J1056" s="28"/>
      <c r="K1056" s="28"/>
      <c r="L1056" s="28"/>
      <c r="M1056" s="28"/>
      <c r="N1056" s="1465"/>
      <c r="O1056" s="1466"/>
    </row>
    <row r="1057" ht="16.5" customHeight="1">
      <c r="A1057" s="939"/>
      <c r="B1057" s="833"/>
      <c r="C1057" s="833"/>
      <c r="D1057" s="833"/>
      <c r="E1057" s="833"/>
      <c r="F1057" s="463"/>
      <c r="G1057" s="1465"/>
      <c r="H1057" s="1465"/>
      <c r="I1057" s="30"/>
      <c r="J1057" s="30"/>
      <c r="K1057" s="30"/>
      <c r="L1057" s="30"/>
      <c r="M1057" s="30"/>
      <c r="N1057" s="1465"/>
      <c r="O1057" s="1466"/>
    </row>
    <row r="1058" ht="16.5" customHeight="1">
      <c r="A1058" s="940"/>
      <c r="B1058" s="941"/>
      <c r="C1058" s="941"/>
      <c r="D1058" s="941"/>
      <c r="E1058" s="941"/>
      <c r="F1058" s="463"/>
      <c r="G1058" s="1465"/>
      <c r="H1058" s="1465"/>
      <c r="I1058" s="28"/>
      <c r="J1058" s="28"/>
      <c r="K1058" s="28"/>
      <c r="L1058" s="28"/>
      <c r="M1058" s="28"/>
      <c r="N1058" s="1465"/>
      <c r="O1058" s="1466"/>
    </row>
    <row r="1059" ht="16.5" customHeight="1">
      <c r="A1059" s="939"/>
      <c r="B1059" s="833"/>
      <c r="C1059" s="833"/>
      <c r="D1059" s="833"/>
      <c r="E1059" s="833"/>
      <c r="F1059" s="463"/>
      <c r="G1059" s="1465"/>
      <c r="H1059" s="1465"/>
      <c r="I1059" s="30"/>
      <c r="J1059" s="30"/>
      <c r="K1059" s="30"/>
      <c r="L1059" s="30"/>
      <c r="M1059" s="30"/>
      <c r="N1059" s="1465"/>
      <c r="O1059" s="1466"/>
    </row>
    <row r="1060" ht="16.5" customHeight="1">
      <c r="A1060" s="940"/>
      <c r="B1060" s="941"/>
      <c r="C1060" s="941"/>
      <c r="D1060" s="941"/>
      <c r="E1060" s="941"/>
      <c r="F1060" s="463"/>
      <c r="G1060" s="1465"/>
      <c r="H1060" s="1465"/>
      <c r="I1060" s="28"/>
      <c r="J1060" s="28"/>
      <c r="K1060" s="28"/>
      <c r="L1060" s="28"/>
      <c r="M1060" s="28"/>
      <c r="N1060" s="1465"/>
      <c r="O1060" s="1466"/>
    </row>
    <row r="1061" ht="16.5" customHeight="1">
      <c r="A1061" s="939"/>
      <c r="B1061" s="833"/>
      <c r="C1061" s="833"/>
      <c r="D1061" s="833"/>
      <c r="E1061" s="833"/>
      <c r="F1061" s="463"/>
      <c r="G1061" s="1465"/>
      <c r="H1061" s="1465"/>
      <c r="I1061" s="30"/>
      <c r="J1061" s="30"/>
      <c r="K1061" s="30"/>
      <c r="L1061" s="30"/>
      <c r="M1061" s="30"/>
      <c r="N1061" s="1465"/>
      <c r="O1061" s="1466"/>
    </row>
    <row r="1062" ht="16.5" customHeight="1">
      <c r="A1062" s="940"/>
      <c r="B1062" s="941"/>
      <c r="C1062" s="941"/>
      <c r="D1062" s="941"/>
      <c r="E1062" s="941"/>
      <c r="F1062" s="463"/>
      <c r="G1062" s="1465"/>
      <c r="H1062" s="1465"/>
      <c r="I1062" s="28"/>
      <c r="J1062" s="28"/>
      <c r="K1062" s="28"/>
      <c r="L1062" s="28"/>
      <c r="M1062" s="28"/>
      <c r="N1062" s="1465"/>
      <c r="O1062" s="1466"/>
    </row>
    <row r="1063" ht="16.5" customHeight="1">
      <c r="A1063" s="939"/>
      <c r="B1063" s="833"/>
      <c r="C1063" s="833"/>
      <c r="D1063" s="833"/>
      <c r="E1063" s="833"/>
      <c r="F1063" s="463"/>
      <c r="G1063" s="1465"/>
      <c r="H1063" s="1465"/>
      <c r="I1063" s="30"/>
      <c r="J1063" s="30"/>
      <c r="K1063" s="30"/>
      <c r="L1063" s="30"/>
      <c r="M1063" s="30"/>
      <c r="N1063" s="1465"/>
      <c r="O1063" s="1466"/>
    </row>
    <row r="1064" ht="16.5" customHeight="1">
      <c r="A1064" s="940"/>
      <c r="B1064" s="941"/>
      <c r="C1064" s="941"/>
      <c r="D1064" s="941"/>
      <c r="E1064" s="941"/>
      <c r="F1064" s="463"/>
      <c r="G1064" s="1465"/>
      <c r="H1064" s="1465"/>
      <c r="I1064" s="28"/>
      <c r="J1064" s="28"/>
      <c r="K1064" s="28"/>
      <c r="L1064" s="28"/>
      <c r="M1064" s="28"/>
      <c r="N1064" s="1465"/>
      <c r="O1064" s="1466"/>
    </row>
    <row r="1065" ht="16.5" customHeight="1">
      <c r="A1065" s="939"/>
      <c r="B1065" s="833"/>
      <c r="C1065" s="833"/>
      <c r="D1065" s="833"/>
      <c r="E1065" s="833"/>
      <c r="F1065" s="463"/>
      <c r="G1065" s="1465"/>
      <c r="H1065" s="1465"/>
      <c r="I1065" s="30"/>
      <c r="J1065" s="30"/>
      <c r="K1065" s="30"/>
      <c r="L1065" s="30"/>
      <c r="M1065" s="30"/>
      <c r="N1065" s="1465"/>
      <c r="O1065" s="1466"/>
    </row>
    <row r="1066" ht="16.5" customHeight="1">
      <c r="A1066" s="940"/>
      <c r="B1066" s="941"/>
      <c r="C1066" s="941"/>
      <c r="D1066" s="941"/>
      <c r="E1066" s="941"/>
      <c r="F1066" s="463"/>
      <c r="G1066" s="1465"/>
      <c r="H1066" s="1465"/>
      <c r="I1066" s="28"/>
      <c r="J1066" s="28"/>
      <c r="K1066" s="28"/>
      <c r="L1066" s="28"/>
      <c r="M1066" s="28"/>
      <c r="N1066" s="1465"/>
      <c r="O1066" s="1466"/>
    </row>
    <row r="1067" ht="16.5" customHeight="1">
      <c r="A1067" s="939"/>
      <c r="B1067" s="833"/>
      <c r="C1067" s="833"/>
      <c r="D1067" s="833"/>
      <c r="E1067" s="833"/>
      <c r="F1067" s="463"/>
      <c r="G1067" s="1465"/>
      <c r="H1067" s="1465"/>
      <c r="I1067" s="30"/>
      <c r="J1067" s="30"/>
      <c r="K1067" s="30"/>
      <c r="L1067" s="30"/>
      <c r="M1067" s="30"/>
      <c r="N1067" s="1465"/>
      <c r="O1067" s="1466"/>
    </row>
    <row r="1068" ht="16.5" customHeight="1">
      <c r="A1068" s="940"/>
      <c r="B1068" s="941"/>
      <c r="C1068" s="941"/>
      <c r="D1068" s="941"/>
      <c r="E1068" s="941"/>
      <c r="F1068" s="463"/>
      <c r="G1068" s="1465"/>
      <c r="H1068" s="1465"/>
      <c r="I1068" s="28"/>
      <c r="J1068" s="28"/>
      <c r="K1068" s="28"/>
      <c r="L1068" s="28"/>
      <c r="M1068" s="28"/>
      <c r="N1068" s="1465"/>
      <c r="O1068" s="1466"/>
    </row>
    <row r="1069" ht="16.5" customHeight="1">
      <c r="A1069" s="939"/>
      <c r="B1069" s="833"/>
      <c r="C1069" s="833"/>
      <c r="D1069" s="833"/>
      <c r="E1069" s="833"/>
      <c r="F1069" s="463"/>
      <c r="G1069" s="1465"/>
      <c r="H1069" s="1465"/>
      <c r="I1069" s="30"/>
      <c r="J1069" s="30"/>
      <c r="K1069" s="30"/>
      <c r="L1069" s="30"/>
      <c r="M1069" s="30"/>
      <c r="N1069" s="1465"/>
      <c r="O1069" s="1466"/>
    </row>
    <row r="1070" ht="16.5" customHeight="1">
      <c r="A1070" s="940"/>
      <c r="B1070" s="941"/>
      <c r="C1070" s="941"/>
      <c r="D1070" s="941"/>
      <c r="E1070" s="941"/>
      <c r="F1070" s="463"/>
      <c r="G1070" s="1465"/>
      <c r="H1070" s="1465"/>
      <c r="I1070" s="28"/>
      <c r="J1070" s="28"/>
      <c r="K1070" s="28"/>
      <c r="L1070" s="28"/>
      <c r="M1070" s="28"/>
      <c r="N1070" s="1465"/>
      <c r="O1070" s="1466"/>
    </row>
    <row r="1071" ht="16.5" customHeight="1">
      <c r="A1071" s="939"/>
      <c r="B1071" s="833"/>
      <c r="C1071" s="833"/>
      <c r="D1071" s="833"/>
      <c r="E1071" s="833"/>
      <c r="F1071" s="463"/>
      <c r="G1071" s="1465"/>
      <c r="H1071" s="1465"/>
      <c r="I1071" s="30"/>
      <c r="J1071" s="30"/>
      <c r="K1071" s="30"/>
      <c r="L1071" s="30"/>
      <c r="M1071" s="30"/>
      <c r="N1071" s="1465"/>
      <c r="O1071" s="1466"/>
    </row>
    <row r="1072" ht="16.5" customHeight="1">
      <c r="A1072" s="940"/>
      <c r="B1072" s="941"/>
      <c r="C1072" s="941"/>
      <c r="D1072" s="941"/>
      <c r="E1072" s="941"/>
      <c r="F1072" s="463"/>
      <c r="G1072" s="1465"/>
      <c r="H1072" s="1465"/>
      <c r="I1072" s="28"/>
      <c r="J1072" s="28"/>
      <c r="K1072" s="28"/>
      <c r="L1072" s="28"/>
      <c r="M1072" s="28"/>
      <c r="N1072" s="1465"/>
      <c r="O1072" s="1466"/>
    </row>
    <row r="1073" ht="16.5" customHeight="1">
      <c r="A1073" s="939"/>
      <c r="B1073" s="833"/>
      <c r="C1073" s="833"/>
      <c r="D1073" s="833"/>
      <c r="E1073" s="833"/>
      <c r="F1073" s="463"/>
      <c r="G1073" s="1465"/>
      <c r="H1073" s="1465"/>
      <c r="I1073" s="30"/>
      <c r="J1073" s="30"/>
      <c r="K1073" s="30"/>
      <c r="L1073" s="30"/>
      <c r="M1073" s="30"/>
      <c r="N1073" s="1465"/>
      <c r="O1073" s="1466"/>
    </row>
    <row r="1074" ht="16.5" customHeight="1">
      <c r="A1074" s="940"/>
      <c r="B1074" s="941"/>
      <c r="C1074" s="941"/>
      <c r="D1074" s="941"/>
      <c r="E1074" s="941"/>
      <c r="F1074" s="463"/>
      <c r="G1074" s="1465"/>
      <c r="H1074" s="1465"/>
      <c r="I1074" s="28"/>
      <c r="J1074" s="28"/>
      <c r="K1074" s="28"/>
      <c r="L1074" s="28"/>
      <c r="M1074" s="28"/>
      <c r="N1074" s="1465"/>
      <c r="O1074" s="1466"/>
    </row>
    <row r="1075" ht="16.5" customHeight="1">
      <c r="A1075" s="939"/>
      <c r="B1075" s="833"/>
      <c r="C1075" s="833"/>
      <c r="D1075" s="833"/>
      <c r="E1075" s="833"/>
      <c r="F1075" s="463"/>
      <c r="G1075" s="1465"/>
      <c r="H1075" s="1465"/>
      <c r="I1075" s="30"/>
      <c r="J1075" s="30"/>
      <c r="K1075" s="30"/>
      <c r="L1075" s="30"/>
      <c r="M1075" s="30"/>
      <c r="N1075" s="1465"/>
      <c r="O1075" s="1466"/>
    </row>
    <row r="1076" ht="16.5" customHeight="1">
      <c r="A1076" s="940"/>
      <c r="B1076" s="941"/>
      <c r="C1076" s="941"/>
      <c r="D1076" s="941"/>
      <c r="E1076" s="941"/>
      <c r="F1076" s="463"/>
      <c r="G1076" s="1465"/>
      <c r="H1076" s="1465"/>
      <c r="I1076" s="28"/>
      <c r="J1076" s="28"/>
      <c r="K1076" s="28"/>
      <c r="L1076" s="28"/>
      <c r="M1076" s="28"/>
      <c r="N1076" s="1465"/>
      <c r="O1076" s="1466"/>
    </row>
    <row r="1077" ht="16.5" customHeight="1">
      <c r="A1077" s="939"/>
      <c r="B1077" s="833"/>
      <c r="C1077" s="833"/>
      <c r="D1077" s="833"/>
      <c r="E1077" s="833"/>
      <c r="F1077" s="463"/>
      <c r="G1077" s="1465"/>
      <c r="H1077" s="1465"/>
      <c r="I1077" s="30"/>
      <c r="J1077" s="30"/>
      <c r="K1077" s="30"/>
      <c r="L1077" s="30"/>
      <c r="M1077" s="30"/>
      <c r="N1077" s="1465"/>
      <c r="O1077" s="1466"/>
    </row>
    <row r="1078" ht="16.5" customHeight="1">
      <c r="A1078" s="940"/>
      <c r="B1078" s="941"/>
      <c r="C1078" s="941"/>
      <c r="D1078" s="941"/>
      <c r="E1078" s="941"/>
      <c r="F1078" s="463"/>
      <c r="G1078" s="1465"/>
      <c r="H1078" s="1465"/>
      <c r="I1078" s="28"/>
      <c r="J1078" s="28"/>
      <c r="K1078" s="28"/>
      <c r="L1078" s="28"/>
      <c r="M1078" s="28"/>
      <c r="N1078" s="1465"/>
      <c r="O1078" s="1466"/>
    </row>
    <row r="1079" ht="16.5" customHeight="1">
      <c r="A1079" s="939"/>
      <c r="B1079" s="833"/>
      <c r="C1079" s="833"/>
      <c r="D1079" s="833"/>
      <c r="E1079" s="833"/>
      <c r="F1079" s="463"/>
      <c r="G1079" s="1465"/>
      <c r="H1079" s="1465"/>
      <c r="I1079" s="30"/>
      <c r="J1079" s="30"/>
      <c r="K1079" s="30"/>
      <c r="L1079" s="30"/>
      <c r="M1079" s="30"/>
      <c r="N1079" s="1465"/>
      <c r="O1079" s="1466"/>
    </row>
    <row r="1080" ht="16.5" customHeight="1">
      <c r="A1080" s="940"/>
      <c r="B1080" s="941"/>
      <c r="C1080" s="941"/>
      <c r="D1080" s="941"/>
      <c r="E1080" s="941"/>
      <c r="F1080" s="463"/>
      <c r="G1080" s="1465"/>
      <c r="H1080" s="1465"/>
      <c r="I1080" s="28"/>
      <c r="J1080" s="28"/>
      <c r="K1080" s="28"/>
      <c r="L1080" s="28"/>
      <c r="M1080" s="28"/>
      <c r="N1080" s="1465"/>
      <c r="O1080" s="1466"/>
    </row>
    <row r="1081" ht="16.5" customHeight="1">
      <c r="A1081" s="939"/>
      <c r="B1081" s="833"/>
      <c r="C1081" s="833"/>
      <c r="D1081" s="833"/>
      <c r="E1081" s="833"/>
      <c r="F1081" s="463"/>
      <c r="G1081" s="1465"/>
      <c r="H1081" s="1465"/>
      <c r="I1081" s="30"/>
      <c r="J1081" s="30"/>
      <c r="K1081" s="30"/>
      <c r="L1081" s="30"/>
      <c r="M1081" s="30"/>
      <c r="N1081" s="1465"/>
      <c r="O1081" s="1466"/>
    </row>
    <row r="1082" ht="16.5" customHeight="1">
      <c r="A1082" s="940"/>
      <c r="B1082" s="941"/>
      <c r="C1082" s="941"/>
      <c r="D1082" s="941"/>
      <c r="E1082" s="941"/>
      <c r="F1082" s="463"/>
      <c r="G1082" s="1465"/>
      <c r="H1082" s="1465"/>
      <c r="I1082" s="28"/>
      <c r="J1082" s="28"/>
      <c r="K1082" s="28"/>
      <c r="L1082" s="28"/>
      <c r="M1082" s="28"/>
      <c r="N1082" s="1465"/>
      <c r="O1082" s="1466"/>
    </row>
    <row r="1083" ht="16.5" customHeight="1">
      <c r="A1083" s="939"/>
      <c r="B1083" s="833"/>
      <c r="C1083" s="833"/>
      <c r="D1083" s="833"/>
      <c r="E1083" s="833"/>
      <c r="F1083" s="463"/>
      <c r="G1083" s="1465"/>
      <c r="H1083" s="1465"/>
      <c r="I1083" s="30"/>
      <c r="J1083" s="30"/>
      <c r="K1083" s="30"/>
      <c r="L1083" s="30"/>
      <c r="M1083" s="30"/>
      <c r="N1083" s="1465"/>
      <c r="O1083" s="1466"/>
    </row>
    <row r="1084" ht="16.5" customHeight="1">
      <c r="A1084" s="940"/>
      <c r="B1084" s="941"/>
      <c r="C1084" s="941"/>
      <c r="D1084" s="941"/>
      <c r="E1084" s="941"/>
      <c r="F1084" s="463"/>
      <c r="G1084" s="1465"/>
      <c r="H1084" s="1465"/>
      <c r="I1084" s="28"/>
      <c r="J1084" s="28"/>
      <c r="K1084" s="28"/>
      <c r="L1084" s="28"/>
      <c r="M1084" s="28"/>
      <c r="N1084" s="1465"/>
      <c r="O1084" s="1466"/>
    </row>
    <row r="1085" ht="16.5" customHeight="1">
      <c r="A1085" s="939"/>
      <c r="B1085" s="833"/>
      <c r="C1085" s="833"/>
      <c r="D1085" s="833"/>
      <c r="E1085" s="833"/>
      <c r="F1085" s="463"/>
      <c r="G1085" s="1465"/>
      <c r="H1085" s="1465"/>
      <c r="I1085" s="30"/>
      <c r="J1085" s="30"/>
      <c r="K1085" s="30"/>
      <c r="L1085" s="30"/>
      <c r="M1085" s="30"/>
      <c r="N1085" s="1465"/>
      <c r="O1085" s="1466"/>
    </row>
    <row r="1086" ht="16.5" customHeight="1">
      <c r="A1086" s="940"/>
      <c r="B1086" s="941"/>
      <c r="C1086" s="941"/>
      <c r="D1086" s="941"/>
      <c r="E1086" s="941"/>
      <c r="F1086" s="463"/>
      <c r="G1086" s="1465"/>
      <c r="H1086" s="1465"/>
      <c r="I1086" s="28"/>
      <c r="J1086" s="28"/>
      <c r="K1086" s="28"/>
      <c r="L1086" s="28"/>
      <c r="M1086" s="28"/>
      <c r="N1086" s="1465"/>
      <c r="O1086" s="1466"/>
    </row>
    <row r="1087" ht="16.5" customHeight="1">
      <c r="A1087" s="939"/>
      <c r="B1087" s="833"/>
      <c r="C1087" s="833"/>
      <c r="D1087" s="833"/>
      <c r="E1087" s="833"/>
      <c r="F1087" s="463"/>
      <c r="G1087" s="1465"/>
      <c r="H1087" s="1465"/>
      <c r="I1087" s="30"/>
      <c r="J1087" s="30"/>
      <c r="K1087" s="30"/>
      <c r="L1087" s="30"/>
      <c r="M1087" s="30"/>
      <c r="N1087" s="1465"/>
      <c r="O1087" s="1466"/>
    </row>
    <row r="1088" ht="16.5" customHeight="1">
      <c r="A1088" s="940"/>
      <c r="B1088" s="941"/>
      <c r="C1088" s="941"/>
      <c r="D1088" s="941"/>
      <c r="E1088" s="941"/>
      <c r="F1088" s="463"/>
      <c r="G1088" s="1465"/>
      <c r="H1088" s="1465"/>
      <c r="I1088" s="28"/>
      <c r="J1088" s="28"/>
      <c r="K1088" s="28"/>
      <c r="L1088" s="28"/>
      <c r="M1088" s="28"/>
      <c r="N1088" s="1465"/>
      <c r="O1088" s="1466"/>
    </row>
    <row r="1089" ht="16.5" customHeight="1">
      <c r="A1089" s="939"/>
      <c r="B1089" s="833"/>
      <c r="C1089" s="833"/>
      <c r="D1089" s="833"/>
      <c r="E1089" s="833"/>
      <c r="F1089" s="463"/>
      <c r="G1089" s="1465"/>
      <c r="H1089" s="1465"/>
      <c r="I1089" s="30"/>
      <c r="J1089" s="30"/>
      <c r="K1089" s="30"/>
      <c r="L1089" s="30"/>
      <c r="M1089" s="30"/>
      <c r="N1089" s="1465"/>
      <c r="O1089" s="1466"/>
    </row>
    <row r="1090" ht="16.5" customHeight="1">
      <c r="A1090" s="940"/>
      <c r="B1090" s="941"/>
      <c r="C1090" s="941"/>
      <c r="D1090" s="941"/>
      <c r="E1090" s="941"/>
      <c r="F1090" s="463"/>
      <c r="G1090" s="1465"/>
      <c r="H1090" s="1465"/>
      <c r="I1090" s="28"/>
      <c r="J1090" s="28"/>
      <c r="K1090" s="28"/>
      <c r="L1090" s="28"/>
      <c r="M1090" s="28"/>
      <c r="N1090" s="1465"/>
      <c r="O1090" s="1466"/>
    </row>
    <row r="1091" ht="16.5" customHeight="1">
      <c r="A1091" s="939"/>
      <c r="B1091" s="833"/>
      <c r="C1091" s="833"/>
      <c r="D1091" s="833"/>
      <c r="E1091" s="833"/>
      <c r="F1091" s="463"/>
      <c r="G1091" s="1465"/>
      <c r="H1091" s="1465"/>
      <c r="I1091" s="30"/>
      <c r="J1091" s="30"/>
      <c r="K1091" s="30"/>
      <c r="L1091" s="30"/>
      <c r="M1091" s="30"/>
      <c r="N1091" s="1465"/>
      <c r="O1091" s="1466"/>
    </row>
    <row r="1092" ht="16.5" customHeight="1">
      <c r="A1092" s="940"/>
      <c r="B1092" s="941"/>
      <c r="C1092" s="941"/>
      <c r="D1092" s="941"/>
      <c r="E1092" s="941"/>
      <c r="F1092" s="463"/>
      <c r="G1092" s="1465"/>
      <c r="H1092" s="1465"/>
      <c r="I1092" s="28"/>
      <c r="J1092" s="28"/>
      <c r="K1092" s="28"/>
      <c r="L1092" s="28"/>
      <c r="M1092" s="28"/>
      <c r="N1092" s="1465"/>
      <c r="O1092" s="1466"/>
    </row>
    <row r="1093" ht="16.5" customHeight="1">
      <c r="A1093" s="939"/>
      <c r="B1093" s="833"/>
      <c r="C1093" s="833"/>
      <c r="D1093" s="833"/>
      <c r="E1093" s="833"/>
      <c r="F1093" s="463"/>
      <c r="G1093" s="1465"/>
      <c r="H1093" s="1465"/>
      <c r="I1093" s="30"/>
      <c r="J1093" s="30"/>
      <c r="K1093" s="30"/>
      <c r="L1093" s="30"/>
      <c r="M1093" s="30"/>
      <c r="N1093" s="1465"/>
      <c r="O1093" s="1466"/>
    </row>
    <row r="1094" ht="16.5" customHeight="1">
      <c r="A1094" s="940"/>
      <c r="B1094" s="941"/>
      <c r="C1094" s="941"/>
      <c r="D1094" s="941"/>
      <c r="E1094" s="941"/>
      <c r="F1094" s="463"/>
      <c r="G1094" s="1465"/>
      <c r="H1094" s="1465"/>
      <c r="I1094" s="28"/>
      <c r="J1094" s="28"/>
      <c r="K1094" s="28"/>
      <c r="L1094" s="28"/>
      <c r="M1094" s="28"/>
      <c r="N1094" s="1465"/>
      <c r="O1094" s="1466"/>
    </row>
    <row r="1095" ht="16.5" customHeight="1">
      <c r="A1095" s="939"/>
      <c r="B1095" s="833"/>
      <c r="C1095" s="833"/>
      <c r="D1095" s="833"/>
      <c r="E1095" s="833"/>
      <c r="F1095" s="463"/>
      <c r="G1095" s="1465"/>
      <c r="H1095" s="1465"/>
      <c r="I1095" s="30"/>
      <c r="J1095" s="30"/>
      <c r="K1095" s="30"/>
      <c r="L1095" s="30"/>
      <c r="M1095" s="30"/>
      <c r="N1095" s="1465"/>
      <c r="O1095" s="1466"/>
    </row>
    <row r="1096" ht="16.5" customHeight="1">
      <c r="A1096" s="940"/>
      <c r="B1096" s="941"/>
      <c r="C1096" s="941"/>
      <c r="D1096" s="941"/>
      <c r="E1096" s="941"/>
      <c r="F1096" s="463"/>
      <c r="G1096" s="1465"/>
      <c r="H1096" s="1465"/>
      <c r="I1096" s="28"/>
      <c r="J1096" s="28"/>
      <c r="K1096" s="28"/>
      <c r="L1096" s="28"/>
      <c r="M1096" s="28"/>
      <c r="N1096" s="1465"/>
      <c r="O1096" s="1466"/>
    </row>
    <row r="1097" ht="16.5" customHeight="1">
      <c r="A1097" s="939"/>
      <c r="B1097" s="833"/>
      <c r="C1097" s="833"/>
      <c r="D1097" s="833"/>
      <c r="E1097" s="833"/>
      <c r="F1097" s="463"/>
      <c r="G1097" s="1465"/>
      <c r="H1097" s="1465"/>
      <c r="I1097" s="30"/>
      <c r="J1097" s="30"/>
      <c r="K1097" s="30"/>
      <c r="L1097" s="30"/>
      <c r="M1097" s="30"/>
      <c r="N1097" s="1465"/>
      <c r="O1097" s="1466"/>
    </row>
    <row r="1098" ht="16.5" customHeight="1">
      <c r="A1098" s="940"/>
      <c r="B1098" s="941"/>
      <c r="C1098" s="941"/>
      <c r="D1098" s="941"/>
      <c r="E1098" s="941"/>
      <c r="F1098" s="463"/>
      <c r="G1098" s="1465"/>
      <c r="H1098" s="1465"/>
      <c r="I1098" s="28"/>
      <c r="J1098" s="28"/>
      <c r="K1098" s="28"/>
      <c r="L1098" s="28"/>
      <c r="M1098" s="28"/>
      <c r="N1098" s="1465"/>
      <c r="O1098" s="1466"/>
    </row>
    <row r="1099" ht="16.5" customHeight="1">
      <c r="A1099" s="939"/>
      <c r="B1099" s="833"/>
      <c r="C1099" s="833"/>
      <c r="D1099" s="833"/>
      <c r="E1099" s="833"/>
      <c r="F1099" s="463"/>
      <c r="G1099" s="1465"/>
      <c r="H1099" s="1465"/>
      <c r="I1099" s="30"/>
      <c r="J1099" s="30"/>
      <c r="K1099" s="30"/>
      <c r="L1099" s="30"/>
      <c r="M1099" s="30"/>
      <c r="N1099" s="1465"/>
      <c r="O1099" s="1466"/>
    </row>
    <row r="1100" ht="16.5" customHeight="1">
      <c r="A1100" s="940"/>
      <c r="B1100" s="941"/>
      <c r="C1100" s="941"/>
      <c r="D1100" s="941"/>
      <c r="E1100" s="941"/>
      <c r="F1100" s="463"/>
      <c r="G1100" s="1465"/>
      <c r="H1100" s="1465"/>
      <c r="I1100" s="28"/>
      <c r="J1100" s="28"/>
      <c r="K1100" s="28"/>
      <c r="L1100" s="28"/>
      <c r="M1100" s="28"/>
      <c r="N1100" s="1465"/>
      <c r="O1100" s="1466"/>
    </row>
    <row r="1101" ht="16.5" customHeight="1">
      <c r="A1101" s="939"/>
      <c r="B1101" s="833"/>
      <c r="C1101" s="833"/>
      <c r="D1101" s="833"/>
      <c r="E1101" s="833"/>
      <c r="F1101" s="463"/>
      <c r="G1101" s="1465"/>
      <c r="H1101" s="1465"/>
      <c r="I1101" s="30"/>
      <c r="J1101" s="30"/>
      <c r="K1101" s="30"/>
      <c r="L1101" s="30"/>
      <c r="M1101" s="30"/>
      <c r="N1101" s="1465"/>
      <c r="O1101" s="1466"/>
    </row>
    <row r="1102" ht="16.5" customHeight="1">
      <c r="A1102" s="940"/>
      <c r="B1102" s="941"/>
      <c r="C1102" s="941"/>
      <c r="D1102" s="941"/>
      <c r="E1102" s="941"/>
      <c r="F1102" s="463"/>
      <c r="G1102" s="1465"/>
      <c r="H1102" s="1465"/>
      <c r="I1102" s="28"/>
      <c r="J1102" s="28"/>
      <c r="K1102" s="28"/>
      <c r="L1102" s="28"/>
      <c r="M1102" s="28"/>
      <c r="N1102" s="1465"/>
      <c r="O1102" s="1466"/>
    </row>
    <row r="1103" ht="16.5" customHeight="1">
      <c r="A1103" s="939"/>
      <c r="B1103" s="833"/>
      <c r="C1103" s="833"/>
      <c r="D1103" s="833"/>
      <c r="E1103" s="833"/>
      <c r="F1103" s="463"/>
      <c r="G1103" s="1465"/>
      <c r="H1103" s="1465"/>
      <c r="I1103" s="30"/>
      <c r="J1103" s="30"/>
      <c r="K1103" s="30"/>
      <c r="L1103" s="30"/>
      <c r="M1103" s="30"/>
      <c r="N1103" s="1465"/>
      <c r="O1103" s="1466"/>
    </row>
    <row r="1104" ht="16.5" customHeight="1">
      <c r="A1104" s="940"/>
      <c r="B1104" s="941"/>
      <c r="C1104" s="941"/>
      <c r="D1104" s="941"/>
      <c r="E1104" s="941"/>
      <c r="F1104" s="463"/>
      <c r="G1104" s="1465"/>
      <c r="H1104" s="1465"/>
      <c r="I1104" s="28"/>
      <c r="J1104" s="28"/>
      <c r="K1104" s="28"/>
      <c r="L1104" s="28"/>
      <c r="M1104" s="28"/>
      <c r="N1104" s="1465"/>
      <c r="O1104" s="1466"/>
    </row>
    <row r="1105" ht="16.5" customHeight="1">
      <c r="A1105" s="939"/>
      <c r="B1105" s="833"/>
      <c r="C1105" s="833"/>
      <c r="D1105" s="833"/>
      <c r="E1105" s="833"/>
      <c r="F1105" s="463"/>
      <c r="G1105" s="1465"/>
      <c r="H1105" s="1465"/>
      <c r="I1105" s="30"/>
      <c r="J1105" s="30"/>
      <c r="K1105" s="30"/>
      <c r="L1105" s="30"/>
      <c r="M1105" s="30"/>
      <c r="N1105" s="1465"/>
      <c r="O1105" s="1466"/>
    </row>
    <row r="1106" ht="16.5" customHeight="1">
      <c r="A1106" s="940"/>
      <c r="B1106" s="941"/>
      <c r="C1106" s="941"/>
      <c r="D1106" s="941"/>
      <c r="E1106" s="941"/>
      <c r="F1106" s="463"/>
      <c r="G1106" s="1465"/>
      <c r="H1106" s="1465"/>
      <c r="I1106" s="28"/>
      <c r="J1106" s="28"/>
      <c r="K1106" s="28"/>
      <c r="L1106" s="28"/>
      <c r="M1106" s="28"/>
      <c r="N1106" s="1465"/>
      <c r="O1106" s="1466"/>
    </row>
    <row r="1107" ht="16.5" customHeight="1">
      <c r="A1107" s="939"/>
      <c r="B1107" s="833"/>
      <c r="C1107" s="833"/>
      <c r="D1107" s="833"/>
      <c r="E1107" s="833"/>
      <c r="F1107" s="463"/>
      <c r="G1107" s="1465"/>
      <c r="H1107" s="1465"/>
      <c r="I1107" s="30"/>
      <c r="J1107" s="30"/>
      <c r="K1107" s="30"/>
      <c r="L1107" s="30"/>
      <c r="M1107" s="30"/>
      <c r="N1107" s="1465"/>
      <c r="O1107" s="1466"/>
    </row>
    <row r="1108" ht="16.5" customHeight="1">
      <c r="A1108" s="940"/>
      <c r="B1108" s="941"/>
      <c r="C1108" s="941"/>
      <c r="D1108" s="941"/>
      <c r="E1108" s="941"/>
      <c r="F1108" s="463"/>
      <c r="G1108" s="1465"/>
      <c r="H1108" s="1465"/>
      <c r="I1108" s="28"/>
      <c r="J1108" s="28"/>
      <c r="K1108" s="28"/>
      <c r="L1108" s="28"/>
      <c r="M1108" s="28"/>
      <c r="N1108" s="1465"/>
      <c r="O1108" s="1466"/>
    </row>
    <row r="1109" ht="16.5" customHeight="1">
      <c r="A1109" s="939"/>
      <c r="B1109" s="833"/>
      <c r="C1109" s="833"/>
      <c r="D1109" s="833"/>
      <c r="E1109" s="833"/>
      <c r="F1109" s="463"/>
      <c r="G1109" s="1465"/>
      <c r="H1109" s="1465"/>
      <c r="I1109" s="30"/>
      <c r="J1109" s="30"/>
      <c r="K1109" s="30"/>
      <c r="L1109" s="30"/>
      <c r="M1109" s="30"/>
      <c r="N1109" s="1465"/>
      <c r="O1109" s="1466"/>
    </row>
    <row r="1110" ht="16.5" customHeight="1">
      <c r="A1110" s="940"/>
      <c r="B1110" s="941"/>
      <c r="C1110" s="941"/>
      <c r="D1110" s="941"/>
      <c r="E1110" s="941"/>
      <c r="F1110" s="463"/>
      <c r="G1110" s="1465"/>
      <c r="H1110" s="1465"/>
      <c r="I1110" s="28"/>
      <c r="J1110" s="28"/>
      <c r="K1110" s="28"/>
      <c r="L1110" s="28"/>
      <c r="M1110" s="28"/>
      <c r="N1110" s="1465"/>
      <c r="O1110" s="1466"/>
    </row>
    <row r="1111" ht="16.5" customHeight="1">
      <c r="A1111" s="939"/>
      <c r="B1111" s="833"/>
      <c r="C1111" s="833"/>
      <c r="D1111" s="833"/>
      <c r="E1111" s="833"/>
      <c r="F1111" s="463"/>
      <c r="G1111" s="1465"/>
      <c r="H1111" s="1465"/>
      <c r="I1111" s="30"/>
      <c r="J1111" s="30"/>
      <c r="K1111" s="30"/>
      <c r="L1111" s="30"/>
      <c r="M1111" s="30"/>
      <c r="N1111" s="1465"/>
      <c r="O1111" s="1466"/>
    </row>
    <row r="1112" ht="16.5" customHeight="1">
      <c r="A1112" s="940"/>
      <c r="B1112" s="941"/>
      <c r="C1112" s="941"/>
      <c r="D1112" s="941"/>
      <c r="E1112" s="941"/>
      <c r="F1112" s="463"/>
      <c r="G1112" s="1465"/>
      <c r="H1112" s="1465"/>
      <c r="I1112" s="28"/>
      <c r="J1112" s="28"/>
      <c r="K1112" s="28"/>
      <c r="L1112" s="28"/>
      <c r="M1112" s="28"/>
      <c r="N1112" s="1465"/>
      <c r="O1112" s="1466"/>
    </row>
    <row r="1113" ht="16.5" customHeight="1">
      <c r="A1113" s="939"/>
      <c r="B1113" s="833"/>
      <c r="C1113" s="833"/>
      <c r="D1113" s="833"/>
      <c r="E1113" s="833"/>
      <c r="F1113" s="463"/>
      <c r="G1113" s="1465"/>
      <c r="H1113" s="1465"/>
      <c r="I1113" s="30"/>
      <c r="J1113" s="30"/>
      <c r="K1113" s="30"/>
      <c r="L1113" s="30"/>
      <c r="M1113" s="30"/>
      <c r="N1113" s="1465"/>
      <c r="O1113" s="1466"/>
    </row>
  </sheetData>
  <mergeCells count="1218">
    <mergeCell ref="G153:G157"/>
    <mergeCell ref="G158:G162"/>
    <mergeCell ref="F140:F143"/>
    <mergeCell ref="F144:F145"/>
    <mergeCell ref="F146:F149"/>
    <mergeCell ref="G146:G152"/>
    <mergeCell ref="F150:F151"/>
    <mergeCell ref="F153:F156"/>
    <mergeCell ref="F158:F161"/>
    <mergeCell ref="D125:D128"/>
    <mergeCell ref="E125:E128"/>
    <mergeCell ref="F125:F128"/>
    <mergeCell ref="G125:G128"/>
    <mergeCell ref="H125:H128"/>
    <mergeCell ref="D129:D130"/>
    <mergeCell ref="E129:E130"/>
    <mergeCell ref="F129:F130"/>
    <mergeCell ref="G129:G130"/>
    <mergeCell ref="G131:G135"/>
    <mergeCell ref="D133:D134"/>
    <mergeCell ref="F133:F135"/>
    <mergeCell ref="H133:H135"/>
    <mergeCell ref="G136:G139"/>
    <mergeCell ref="H138:H139"/>
    <mergeCell ref="I144:I145"/>
    <mergeCell ref="J144:J145"/>
    <mergeCell ref="D138:D139"/>
    <mergeCell ref="F138:F139"/>
    <mergeCell ref="D140:D143"/>
    <mergeCell ref="G140:G145"/>
    <mergeCell ref="H140:H145"/>
    <mergeCell ref="D144:D145"/>
    <mergeCell ref="D146:D148"/>
    <mergeCell ref="D158:D161"/>
    <mergeCell ref="D163:D164"/>
    <mergeCell ref="D165:D167"/>
    <mergeCell ref="D168:D169"/>
    <mergeCell ref="D170:D172"/>
    <mergeCell ref="E140:E145"/>
    <mergeCell ref="E146:E149"/>
    <mergeCell ref="D150:D151"/>
    <mergeCell ref="E150:E151"/>
    <mergeCell ref="D153:D155"/>
    <mergeCell ref="E153:E156"/>
    <mergeCell ref="E158:E161"/>
    <mergeCell ref="E170:E172"/>
    <mergeCell ref="F170:F172"/>
    <mergeCell ref="G170:G172"/>
    <mergeCell ref="G80:G81"/>
    <mergeCell ref="H80:H81"/>
    <mergeCell ref="E82:E83"/>
    <mergeCell ref="F82:F83"/>
    <mergeCell ref="G82:G83"/>
    <mergeCell ref="H82:H83"/>
    <mergeCell ref="D82:D83"/>
    <mergeCell ref="D84:D87"/>
    <mergeCell ref="E84:E87"/>
    <mergeCell ref="F84:F87"/>
    <mergeCell ref="G91:G92"/>
    <mergeCell ref="H91:H92"/>
    <mergeCell ref="I91:I92"/>
    <mergeCell ref="K74:K76"/>
    <mergeCell ref="L74:L81"/>
    <mergeCell ref="M74:M81"/>
    <mergeCell ref="N74:N81"/>
    <mergeCell ref="K77:K79"/>
    <mergeCell ref="K80:K81"/>
    <mergeCell ref="G77:G79"/>
    <mergeCell ref="H77:H79"/>
    <mergeCell ref="I77:I79"/>
    <mergeCell ref="J77:J79"/>
    <mergeCell ref="D74:D81"/>
    <mergeCell ref="E74:E81"/>
    <mergeCell ref="F74:F81"/>
    <mergeCell ref="G74:G76"/>
    <mergeCell ref="H74:H76"/>
    <mergeCell ref="I74:I76"/>
    <mergeCell ref="J74:J76"/>
    <mergeCell ref="L82:L83"/>
    <mergeCell ref="L84:L87"/>
    <mergeCell ref="M84:M87"/>
    <mergeCell ref="N84:N87"/>
    <mergeCell ref="L89:L90"/>
    <mergeCell ref="N89:N90"/>
    <mergeCell ref="I80:I81"/>
    <mergeCell ref="J80:J81"/>
    <mergeCell ref="I82:I83"/>
    <mergeCell ref="J82:J83"/>
    <mergeCell ref="K82:K83"/>
    <mergeCell ref="M82:M83"/>
    <mergeCell ref="N82:N83"/>
    <mergeCell ref="J91:J92"/>
    <mergeCell ref="K91:K92"/>
    <mergeCell ref="L91:L92"/>
    <mergeCell ref="M91:M92"/>
    <mergeCell ref="N91:N92"/>
    <mergeCell ref="L93:L94"/>
    <mergeCell ref="N93:N94"/>
    <mergeCell ref="B70:B71"/>
    <mergeCell ref="C70:C71"/>
    <mergeCell ref="A72:A83"/>
    <mergeCell ref="B72:B73"/>
    <mergeCell ref="C72:C73"/>
    <mergeCell ref="B74:B76"/>
    <mergeCell ref="C74:C83"/>
    <mergeCell ref="E91:E92"/>
    <mergeCell ref="F91:F92"/>
    <mergeCell ref="E93:E94"/>
    <mergeCell ref="F93:F94"/>
    <mergeCell ref="E95:E99"/>
    <mergeCell ref="F95:F99"/>
    <mergeCell ref="B77:B81"/>
    <mergeCell ref="B82:B83"/>
    <mergeCell ref="A84:A92"/>
    <mergeCell ref="B84:B92"/>
    <mergeCell ref="C84:C92"/>
    <mergeCell ref="E89:E90"/>
    <mergeCell ref="F89:F90"/>
    <mergeCell ref="B93:B101"/>
    <mergeCell ref="B102:B105"/>
    <mergeCell ref="F106:F107"/>
    <mergeCell ref="G106:G107"/>
    <mergeCell ref="F108:F109"/>
    <mergeCell ref="G108:G109"/>
    <mergeCell ref="F110:F112"/>
    <mergeCell ref="C102:C107"/>
    <mergeCell ref="D104:D105"/>
    <mergeCell ref="E104:E105"/>
    <mergeCell ref="F104:F105"/>
    <mergeCell ref="G104:G105"/>
    <mergeCell ref="D106:D107"/>
    <mergeCell ref="E106:E107"/>
    <mergeCell ref="D89:D90"/>
    <mergeCell ref="D91:D92"/>
    <mergeCell ref="A93:A101"/>
    <mergeCell ref="C93:C101"/>
    <mergeCell ref="D93:D94"/>
    <mergeCell ref="D95:D99"/>
    <mergeCell ref="A102:A107"/>
    <mergeCell ref="C108:C114"/>
    <mergeCell ref="C115:C118"/>
    <mergeCell ref="C119:C120"/>
    <mergeCell ref="C121:C124"/>
    <mergeCell ref="C125:C130"/>
    <mergeCell ref="C131:C135"/>
    <mergeCell ref="C136:C139"/>
    <mergeCell ref="E115:E116"/>
    <mergeCell ref="F115:F116"/>
    <mergeCell ref="B117:B118"/>
    <mergeCell ref="D117:D118"/>
    <mergeCell ref="F117:F118"/>
    <mergeCell ref="A108:A114"/>
    <mergeCell ref="B108:B114"/>
    <mergeCell ref="D108:D109"/>
    <mergeCell ref="E108:E109"/>
    <mergeCell ref="D110:D112"/>
    <mergeCell ref="E110:E112"/>
    <mergeCell ref="E117:E118"/>
    <mergeCell ref="E123:E124"/>
    <mergeCell ref="F123:F124"/>
    <mergeCell ref="D119:D120"/>
    <mergeCell ref="E119:E120"/>
    <mergeCell ref="F119:F120"/>
    <mergeCell ref="D121:D122"/>
    <mergeCell ref="E121:E122"/>
    <mergeCell ref="F121:F122"/>
    <mergeCell ref="D123:D124"/>
    <mergeCell ref="E136:E139"/>
    <mergeCell ref="F136:F137"/>
    <mergeCell ref="B125:B130"/>
    <mergeCell ref="B131:B132"/>
    <mergeCell ref="D131:D132"/>
    <mergeCell ref="E131:E135"/>
    <mergeCell ref="F131:F132"/>
    <mergeCell ref="B134:B135"/>
    <mergeCell ref="D136:D137"/>
    <mergeCell ref="L163:L164"/>
    <mergeCell ref="L165:L167"/>
    <mergeCell ref="L168:L169"/>
    <mergeCell ref="L170:L172"/>
    <mergeCell ref="L173:L174"/>
    <mergeCell ref="L175:L176"/>
    <mergeCell ref="L177:L178"/>
    <mergeCell ref="M190:M191"/>
    <mergeCell ref="N190:N191"/>
    <mergeCell ref="L179:L183"/>
    <mergeCell ref="L184:L185"/>
    <mergeCell ref="L186:L187"/>
    <mergeCell ref="L188:L189"/>
    <mergeCell ref="M188:M189"/>
    <mergeCell ref="N188:N189"/>
    <mergeCell ref="L190:L191"/>
    <mergeCell ref="L199:L200"/>
    <mergeCell ref="M199:M200"/>
    <mergeCell ref="N199:N200"/>
    <mergeCell ref="L201:L202"/>
    <mergeCell ref="M201:N202"/>
    <mergeCell ref="L203:L204"/>
    <mergeCell ref="M203:M204"/>
    <mergeCell ref="N203:N204"/>
    <mergeCell ref="L192:L193"/>
    <mergeCell ref="M192:N193"/>
    <mergeCell ref="L194:L195"/>
    <mergeCell ref="M194:M195"/>
    <mergeCell ref="N194:N195"/>
    <mergeCell ref="L196:L198"/>
    <mergeCell ref="M196:N198"/>
    <mergeCell ref="A201:A204"/>
    <mergeCell ref="A205:A206"/>
    <mergeCell ref="B205:B206"/>
    <mergeCell ref="A173:A174"/>
    <mergeCell ref="A175:A176"/>
    <mergeCell ref="A177:A178"/>
    <mergeCell ref="A179:A185"/>
    <mergeCell ref="A186:A191"/>
    <mergeCell ref="A192:A195"/>
    <mergeCell ref="A196:A200"/>
    <mergeCell ref="C170:C172"/>
    <mergeCell ref="C173:C174"/>
    <mergeCell ref="C175:C176"/>
    <mergeCell ref="C177:C178"/>
    <mergeCell ref="C179:C183"/>
    <mergeCell ref="C184:C185"/>
    <mergeCell ref="C186:C187"/>
    <mergeCell ref="I194:I195"/>
    <mergeCell ref="J194:J195"/>
    <mergeCell ref="K194:K195"/>
    <mergeCell ref="C188:C189"/>
    <mergeCell ref="C190:C191"/>
    <mergeCell ref="D194:D195"/>
    <mergeCell ref="E194:E195"/>
    <mergeCell ref="F194:F195"/>
    <mergeCell ref="G194:G195"/>
    <mergeCell ref="H194:H195"/>
    <mergeCell ref="G199:G200"/>
    <mergeCell ref="H199:H200"/>
    <mergeCell ref="I199:I200"/>
    <mergeCell ref="J199:J200"/>
    <mergeCell ref="K199:K200"/>
    <mergeCell ref="D196:D198"/>
    <mergeCell ref="E196:E198"/>
    <mergeCell ref="F196:F198"/>
    <mergeCell ref="G196:G198"/>
    <mergeCell ref="D199:D200"/>
    <mergeCell ref="E199:E200"/>
    <mergeCell ref="F199:F200"/>
    <mergeCell ref="G203:G204"/>
    <mergeCell ref="H203:H204"/>
    <mergeCell ref="I203:I204"/>
    <mergeCell ref="J203:J204"/>
    <mergeCell ref="K203:K204"/>
    <mergeCell ref="D201:D202"/>
    <mergeCell ref="E201:E202"/>
    <mergeCell ref="F201:F202"/>
    <mergeCell ref="G201:G202"/>
    <mergeCell ref="D203:D204"/>
    <mergeCell ref="E203:E204"/>
    <mergeCell ref="F203:F204"/>
    <mergeCell ref="D279:D280"/>
    <mergeCell ref="E281:E282"/>
    <mergeCell ref="F281:F282"/>
    <mergeCell ref="G281:G282"/>
    <mergeCell ref="L281:L282"/>
    <mergeCell ref="M281:N282"/>
    <mergeCell ref="O281:O282"/>
    <mergeCell ref="D281:D282"/>
    <mergeCell ref="D283:D284"/>
    <mergeCell ref="E283:E284"/>
    <mergeCell ref="F283:F284"/>
    <mergeCell ref="G283:G284"/>
    <mergeCell ref="L283:L284"/>
    <mergeCell ref="M283:M284"/>
    <mergeCell ref="K258:K259"/>
    <mergeCell ref="L258:L259"/>
    <mergeCell ref="M258:M259"/>
    <mergeCell ref="N258:N259"/>
    <mergeCell ref="O258:O259"/>
    <mergeCell ref="D258:D259"/>
    <mergeCell ref="E258:E259"/>
    <mergeCell ref="F258:F259"/>
    <mergeCell ref="G258:G259"/>
    <mergeCell ref="H258:H259"/>
    <mergeCell ref="I258:I259"/>
    <mergeCell ref="J258:J259"/>
    <mergeCell ref="D260:D261"/>
    <mergeCell ref="E260:E261"/>
    <mergeCell ref="F260:F261"/>
    <mergeCell ref="G260:G261"/>
    <mergeCell ref="L260:L261"/>
    <mergeCell ref="M260:N261"/>
    <mergeCell ref="O260:O261"/>
    <mergeCell ref="K262:K263"/>
    <mergeCell ref="L262:L263"/>
    <mergeCell ref="M262:M263"/>
    <mergeCell ref="N262:N263"/>
    <mergeCell ref="O262:O263"/>
    <mergeCell ref="D262:D263"/>
    <mergeCell ref="E262:E263"/>
    <mergeCell ref="F262:F263"/>
    <mergeCell ref="G262:G263"/>
    <mergeCell ref="H262:H263"/>
    <mergeCell ref="I262:I263"/>
    <mergeCell ref="J262:J263"/>
    <mergeCell ref="D264:D265"/>
    <mergeCell ref="E264:E265"/>
    <mergeCell ref="F264:F265"/>
    <mergeCell ref="G264:G265"/>
    <mergeCell ref="L264:L265"/>
    <mergeCell ref="M264:N265"/>
    <mergeCell ref="O264:O265"/>
    <mergeCell ref="D289:D290"/>
    <mergeCell ref="E289:E290"/>
    <mergeCell ref="F289:F290"/>
    <mergeCell ref="G289:G290"/>
    <mergeCell ref="L289:L290"/>
    <mergeCell ref="M289:M290"/>
    <mergeCell ref="N289:N290"/>
    <mergeCell ref="O289:O290"/>
    <mergeCell ref="E266:E267"/>
    <mergeCell ref="F266:F267"/>
    <mergeCell ref="G266:G267"/>
    <mergeCell ref="L266:L267"/>
    <mergeCell ref="M266:M267"/>
    <mergeCell ref="N266:N267"/>
    <mergeCell ref="O266:O267"/>
    <mergeCell ref="D266:D267"/>
    <mergeCell ref="D269:D270"/>
    <mergeCell ref="E269:E270"/>
    <mergeCell ref="F269:F270"/>
    <mergeCell ref="G269:G270"/>
    <mergeCell ref="L269:L270"/>
    <mergeCell ref="M269:M270"/>
    <mergeCell ref="M271:M272"/>
    <mergeCell ref="N271:N272"/>
    <mergeCell ref="N269:N270"/>
    <mergeCell ref="O269:O270"/>
    <mergeCell ref="E271:E272"/>
    <mergeCell ref="F271:F272"/>
    <mergeCell ref="G271:G272"/>
    <mergeCell ref="L271:L272"/>
    <mergeCell ref="O271:O272"/>
    <mergeCell ref="N273:N274"/>
    <mergeCell ref="O273:O274"/>
    <mergeCell ref="D271:D272"/>
    <mergeCell ref="D273:D274"/>
    <mergeCell ref="E273:E274"/>
    <mergeCell ref="F273:F274"/>
    <mergeCell ref="G273:G274"/>
    <mergeCell ref="L273:L274"/>
    <mergeCell ref="M273:M274"/>
    <mergeCell ref="E275:E276"/>
    <mergeCell ref="F275:F276"/>
    <mergeCell ref="G275:G276"/>
    <mergeCell ref="L275:L276"/>
    <mergeCell ref="M275:M276"/>
    <mergeCell ref="N275:N276"/>
    <mergeCell ref="O275:O276"/>
    <mergeCell ref="D275:D276"/>
    <mergeCell ref="D277:D278"/>
    <mergeCell ref="E277:E278"/>
    <mergeCell ref="F277:F278"/>
    <mergeCell ref="G277:G278"/>
    <mergeCell ref="L277:L278"/>
    <mergeCell ref="M277:M278"/>
    <mergeCell ref="M279:M280"/>
    <mergeCell ref="N279:N280"/>
    <mergeCell ref="N277:N278"/>
    <mergeCell ref="O277:O278"/>
    <mergeCell ref="E279:E280"/>
    <mergeCell ref="F279:F280"/>
    <mergeCell ref="G279:G280"/>
    <mergeCell ref="L279:L280"/>
    <mergeCell ref="O279:O280"/>
    <mergeCell ref="M285:N286"/>
    <mergeCell ref="O285:O286"/>
    <mergeCell ref="N283:N284"/>
    <mergeCell ref="O283:O284"/>
    <mergeCell ref="D285:D286"/>
    <mergeCell ref="E285:E286"/>
    <mergeCell ref="F285:F286"/>
    <mergeCell ref="G285:G286"/>
    <mergeCell ref="L285:L286"/>
    <mergeCell ref="L287:L288"/>
    <mergeCell ref="M287:M288"/>
    <mergeCell ref="N287:N288"/>
    <mergeCell ref="O287:O288"/>
    <mergeCell ref="D287:D288"/>
    <mergeCell ref="E287:E288"/>
    <mergeCell ref="F287:F288"/>
    <mergeCell ref="G287:G288"/>
    <mergeCell ref="H287:H288"/>
    <mergeCell ref="I287:I288"/>
    <mergeCell ref="J287:J288"/>
    <mergeCell ref="C26:C27"/>
    <mergeCell ref="D26:D27"/>
    <mergeCell ref="E26:E29"/>
    <mergeCell ref="F26:F29"/>
    <mergeCell ref="G26:G29"/>
    <mergeCell ref="H26:H29"/>
    <mergeCell ref="I26:I29"/>
    <mergeCell ref="F32:F33"/>
    <mergeCell ref="G32:G33"/>
    <mergeCell ref="G48:G49"/>
    <mergeCell ref="H48:H49"/>
    <mergeCell ref="I48:I49"/>
    <mergeCell ref="C34:C35"/>
    <mergeCell ref="D34:D35"/>
    <mergeCell ref="F34:F35"/>
    <mergeCell ref="G34:G35"/>
    <mergeCell ref="K36:K37"/>
    <mergeCell ref="L36:L37"/>
    <mergeCell ref="M36:M37"/>
    <mergeCell ref="N36:N37"/>
    <mergeCell ref="C36:C37"/>
    <mergeCell ref="D36:D37"/>
    <mergeCell ref="F36:F37"/>
    <mergeCell ref="G36:G37"/>
    <mergeCell ref="H36:H37"/>
    <mergeCell ref="I36:I37"/>
    <mergeCell ref="J36:J37"/>
    <mergeCell ref="B42:B43"/>
    <mergeCell ref="C42:C43"/>
    <mergeCell ref="D42:D43"/>
    <mergeCell ref="E42:E43"/>
    <mergeCell ref="F42:F43"/>
    <mergeCell ref="L42:L43"/>
    <mergeCell ref="M42:M43"/>
    <mergeCell ref="N42:N43"/>
    <mergeCell ref="L44:L45"/>
    <mergeCell ref="C28:C29"/>
    <mergeCell ref="D28:D29"/>
    <mergeCell ref="A32:A37"/>
    <mergeCell ref="C32:C33"/>
    <mergeCell ref="D32:D33"/>
    <mergeCell ref="E32:E33"/>
    <mergeCell ref="E34:E35"/>
    <mergeCell ref="E36:E37"/>
    <mergeCell ref="B32:B33"/>
    <mergeCell ref="B36:B37"/>
    <mergeCell ref="A38:A45"/>
    <mergeCell ref="B38:B41"/>
    <mergeCell ref="C38:C41"/>
    <mergeCell ref="D38:D41"/>
    <mergeCell ref="E38:E41"/>
    <mergeCell ref="E48:E50"/>
    <mergeCell ref="F48:F50"/>
    <mergeCell ref="D44:D45"/>
    <mergeCell ref="E44:E45"/>
    <mergeCell ref="F44:F45"/>
    <mergeCell ref="D46:D47"/>
    <mergeCell ref="E46:E47"/>
    <mergeCell ref="F46:F47"/>
    <mergeCell ref="D48:D50"/>
    <mergeCell ref="B48:B50"/>
    <mergeCell ref="B54:B55"/>
    <mergeCell ref="D54:D55"/>
    <mergeCell ref="E54:E55"/>
    <mergeCell ref="F54:F55"/>
    <mergeCell ref="G54:G55"/>
    <mergeCell ref="B51:B53"/>
    <mergeCell ref="C51:C53"/>
    <mergeCell ref="D51:D53"/>
    <mergeCell ref="E51:E53"/>
    <mergeCell ref="F51:F53"/>
    <mergeCell ref="G51:G53"/>
    <mergeCell ref="H51:H53"/>
    <mergeCell ref="N11:N12"/>
    <mergeCell ref="N13:N14"/>
    <mergeCell ref="L8:L10"/>
    <mergeCell ref="M8:M10"/>
    <mergeCell ref="N8:N10"/>
    <mergeCell ref="O8:O10"/>
    <mergeCell ref="L11:L12"/>
    <mergeCell ref="O11:O12"/>
    <mergeCell ref="O13:O14"/>
    <mergeCell ref="F6:F7"/>
    <mergeCell ref="G6:G7"/>
    <mergeCell ref="L6:L7"/>
    <mergeCell ref="N6:N7"/>
    <mergeCell ref="O6:O7"/>
    <mergeCell ref="A1:B3"/>
    <mergeCell ref="C1:I3"/>
    <mergeCell ref="A6:A7"/>
    <mergeCell ref="B6:B7"/>
    <mergeCell ref="C6:C7"/>
    <mergeCell ref="D6:D7"/>
    <mergeCell ref="E6:E7"/>
    <mergeCell ref="A8:A10"/>
    <mergeCell ref="B8:B10"/>
    <mergeCell ref="C8:C10"/>
    <mergeCell ref="D8:D10"/>
    <mergeCell ref="E8:E10"/>
    <mergeCell ref="F8:F10"/>
    <mergeCell ref="G8:G10"/>
    <mergeCell ref="F13:F14"/>
    <mergeCell ref="G13:G14"/>
    <mergeCell ref="F15:F17"/>
    <mergeCell ref="G15:G17"/>
    <mergeCell ref="H16:H17"/>
    <mergeCell ref="A11:A14"/>
    <mergeCell ref="B11:B14"/>
    <mergeCell ref="C11:C14"/>
    <mergeCell ref="D11:D12"/>
    <mergeCell ref="E11:E12"/>
    <mergeCell ref="F11:F12"/>
    <mergeCell ref="G11:G12"/>
    <mergeCell ref="L13:L14"/>
    <mergeCell ref="L15:L17"/>
    <mergeCell ref="M15:M17"/>
    <mergeCell ref="N15:N17"/>
    <mergeCell ref="O15:O17"/>
    <mergeCell ref="J16:J17"/>
    <mergeCell ref="K16:K17"/>
    <mergeCell ref="E19:E20"/>
    <mergeCell ref="F19:F20"/>
    <mergeCell ref="G19:G20"/>
    <mergeCell ref="L19:L20"/>
    <mergeCell ref="N19:N20"/>
    <mergeCell ref="O19:O20"/>
    <mergeCell ref="E30:E31"/>
    <mergeCell ref="F30:F31"/>
    <mergeCell ref="G30:G31"/>
    <mergeCell ref="H30:H31"/>
    <mergeCell ref="I30:I31"/>
    <mergeCell ref="J30:J31"/>
    <mergeCell ref="K30:K31"/>
    <mergeCell ref="M34:M35"/>
    <mergeCell ref="N34:N35"/>
    <mergeCell ref="L30:L31"/>
    <mergeCell ref="M30:M31"/>
    <mergeCell ref="L32:L33"/>
    <mergeCell ref="M32:M33"/>
    <mergeCell ref="N32:N33"/>
    <mergeCell ref="O32:O33"/>
    <mergeCell ref="L34:L35"/>
    <mergeCell ref="C18:C20"/>
    <mergeCell ref="D19:D20"/>
    <mergeCell ref="K21:K22"/>
    <mergeCell ref="L21:L22"/>
    <mergeCell ref="M21:M22"/>
    <mergeCell ref="N21:N22"/>
    <mergeCell ref="O21:O22"/>
    <mergeCell ref="L23:L24"/>
    <mergeCell ref="N23:N24"/>
    <mergeCell ref="O23:O24"/>
    <mergeCell ref="C21:C22"/>
    <mergeCell ref="D21:D22"/>
    <mergeCell ref="F21:F22"/>
    <mergeCell ref="G21:G22"/>
    <mergeCell ref="H21:H22"/>
    <mergeCell ref="I21:I22"/>
    <mergeCell ref="J21:J22"/>
    <mergeCell ref="A15:A17"/>
    <mergeCell ref="B15:B17"/>
    <mergeCell ref="C15:C17"/>
    <mergeCell ref="D16:D17"/>
    <mergeCell ref="E16:E17"/>
    <mergeCell ref="A18:A20"/>
    <mergeCell ref="E21:E22"/>
    <mergeCell ref="A21:A25"/>
    <mergeCell ref="B23:B24"/>
    <mergeCell ref="C23:C24"/>
    <mergeCell ref="D23:D24"/>
    <mergeCell ref="E23:E24"/>
    <mergeCell ref="F23:F24"/>
    <mergeCell ref="G23:G24"/>
    <mergeCell ref="J26:J29"/>
    <mergeCell ref="K26:K29"/>
    <mergeCell ref="L26:L29"/>
    <mergeCell ref="M26:M29"/>
    <mergeCell ref="N26:N29"/>
    <mergeCell ref="N30:N31"/>
    <mergeCell ref="O30:O31"/>
    <mergeCell ref="B18:B20"/>
    <mergeCell ref="B21:B22"/>
    <mergeCell ref="A26:A31"/>
    <mergeCell ref="B26:B29"/>
    <mergeCell ref="B30:B31"/>
    <mergeCell ref="C30:C31"/>
    <mergeCell ref="D30:D31"/>
    <mergeCell ref="M38:M41"/>
    <mergeCell ref="N38:N41"/>
    <mergeCell ref="F38:F41"/>
    <mergeCell ref="G38:G41"/>
    <mergeCell ref="H38:H41"/>
    <mergeCell ref="I38:I41"/>
    <mergeCell ref="J38:J41"/>
    <mergeCell ref="K38:K41"/>
    <mergeCell ref="L38:L41"/>
    <mergeCell ref="M44:M45"/>
    <mergeCell ref="N44:N45"/>
    <mergeCell ref="L46:L47"/>
    <mergeCell ref="M46:M47"/>
    <mergeCell ref="N46:N47"/>
    <mergeCell ref="J48:J49"/>
    <mergeCell ref="K48:K49"/>
    <mergeCell ref="L48:L50"/>
    <mergeCell ref="M48:M50"/>
    <mergeCell ref="N48:N50"/>
    <mergeCell ref="I51:I53"/>
    <mergeCell ref="J51:J53"/>
    <mergeCell ref="K51:K53"/>
    <mergeCell ref="L51:L53"/>
    <mergeCell ref="M51:M53"/>
    <mergeCell ref="N51:N53"/>
    <mergeCell ref="L54:L55"/>
    <mergeCell ref="N54:N55"/>
    <mergeCell ref="L56:L57"/>
    <mergeCell ref="N56:N57"/>
    <mergeCell ref="N58:N59"/>
    <mergeCell ref="L70:L71"/>
    <mergeCell ref="L72:L73"/>
    <mergeCell ref="L60:L62"/>
    <mergeCell ref="M60:M62"/>
    <mergeCell ref="N60:N62"/>
    <mergeCell ref="L66:L69"/>
    <mergeCell ref="M66:M69"/>
    <mergeCell ref="N66:N69"/>
    <mergeCell ref="N70:N71"/>
    <mergeCell ref="N72:N73"/>
    <mergeCell ref="C54:C55"/>
    <mergeCell ref="B56:B57"/>
    <mergeCell ref="C56:C57"/>
    <mergeCell ref="D56:D57"/>
    <mergeCell ref="E56:E57"/>
    <mergeCell ref="F56:F57"/>
    <mergeCell ref="E60:E62"/>
    <mergeCell ref="F60:F62"/>
    <mergeCell ref="B58:B59"/>
    <mergeCell ref="C58:C59"/>
    <mergeCell ref="D58:D59"/>
    <mergeCell ref="E58:E59"/>
    <mergeCell ref="F58:F59"/>
    <mergeCell ref="G58:G59"/>
    <mergeCell ref="D60:D62"/>
    <mergeCell ref="C60:C62"/>
    <mergeCell ref="B61:B62"/>
    <mergeCell ref="C63:C65"/>
    <mergeCell ref="D63:D65"/>
    <mergeCell ref="E63:E65"/>
    <mergeCell ref="F63:F65"/>
    <mergeCell ref="G63:G65"/>
    <mergeCell ref="H63:H65"/>
    <mergeCell ref="B44:B45"/>
    <mergeCell ref="C44:C45"/>
    <mergeCell ref="A46:A53"/>
    <mergeCell ref="B46:B47"/>
    <mergeCell ref="C46:C47"/>
    <mergeCell ref="C48:C50"/>
    <mergeCell ref="A54:A62"/>
    <mergeCell ref="D70:D71"/>
    <mergeCell ref="E70:E71"/>
    <mergeCell ref="D72:D73"/>
    <mergeCell ref="E72:E73"/>
    <mergeCell ref="F72:F73"/>
    <mergeCell ref="A63:A71"/>
    <mergeCell ref="B63:B65"/>
    <mergeCell ref="B66:B69"/>
    <mergeCell ref="C66:C69"/>
    <mergeCell ref="D66:D69"/>
    <mergeCell ref="E66:E69"/>
    <mergeCell ref="F66:F69"/>
    <mergeCell ref="F70:F71"/>
    <mergeCell ref="L115:L116"/>
    <mergeCell ref="L117:L118"/>
    <mergeCell ref="L119:L120"/>
    <mergeCell ref="M119:M120"/>
    <mergeCell ref="N119:N120"/>
    <mergeCell ref="O119:O120"/>
    <mergeCell ref="O121:O124"/>
    <mergeCell ref="N123:N124"/>
    <mergeCell ref="L121:L122"/>
    <mergeCell ref="L123:L124"/>
    <mergeCell ref="L125:L128"/>
    <mergeCell ref="M125:M128"/>
    <mergeCell ref="N125:N128"/>
    <mergeCell ref="O126:O130"/>
    <mergeCell ref="L129:L130"/>
    <mergeCell ref="M106:M107"/>
    <mergeCell ref="N106:N107"/>
    <mergeCell ref="L95:L99"/>
    <mergeCell ref="M95:M99"/>
    <mergeCell ref="N95:N99"/>
    <mergeCell ref="L104:L105"/>
    <mergeCell ref="M104:M105"/>
    <mergeCell ref="N104:N105"/>
    <mergeCell ref="L106:L107"/>
    <mergeCell ref="M115:M116"/>
    <mergeCell ref="N115:N116"/>
    <mergeCell ref="L108:L109"/>
    <mergeCell ref="N108:N109"/>
    <mergeCell ref="O108:O114"/>
    <mergeCell ref="L110:L112"/>
    <mergeCell ref="M110:M112"/>
    <mergeCell ref="N110:N112"/>
    <mergeCell ref="O115:O118"/>
    <mergeCell ref="N117:N118"/>
    <mergeCell ref="M121:M122"/>
    <mergeCell ref="N121:N122"/>
    <mergeCell ref="M129:M130"/>
    <mergeCell ref="N129:N130"/>
    <mergeCell ref="L140:L143"/>
    <mergeCell ref="M140:M143"/>
    <mergeCell ref="N140:N143"/>
    <mergeCell ref="N184:N185"/>
    <mergeCell ref="O184:O185"/>
    <mergeCell ref="M175:N176"/>
    <mergeCell ref="O175:O176"/>
    <mergeCell ref="M177:N178"/>
    <mergeCell ref="O177:O178"/>
    <mergeCell ref="M179:N183"/>
    <mergeCell ref="O179:O183"/>
    <mergeCell ref="M184:M185"/>
    <mergeCell ref="O213:O214"/>
    <mergeCell ref="M291:N292"/>
    <mergeCell ref="O291:O292"/>
    <mergeCell ref="O199:O200"/>
    <mergeCell ref="O201:O202"/>
    <mergeCell ref="O203:O204"/>
    <mergeCell ref="O205:O206"/>
    <mergeCell ref="O207:O208"/>
    <mergeCell ref="O209:O210"/>
    <mergeCell ref="O211:O212"/>
    <mergeCell ref="L131:L132"/>
    <mergeCell ref="M131:M132"/>
    <mergeCell ref="N131:N132"/>
    <mergeCell ref="O131:O135"/>
    <mergeCell ref="L133:L135"/>
    <mergeCell ref="M133:M135"/>
    <mergeCell ref="N133:N135"/>
    <mergeCell ref="L136:L137"/>
    <mergeCell ref="M136:M137"/>
    <mergeCell ref="N136:N137"/>
    <mergeCell ref="O136:O139"/>
    <mergeCell ref="M138:M139"/>
    <mergeCell ref="N138:N139"/>
    <mergeCell ref="O140:O145"/>
    <mergeCell ref="M144:M145"/>
    <mergeCell ref="N144:N145"/>
    <mergeCell ref="M146:N149"/>
    <mergeCell ref="O146:O149"/>
    <mergeCell ref="M150:M151"/>
    <mergeCell ref="N150:N151"/>
    <mergeCell ref="O150:O151"/>
    <mergeCell ref="M153:N156"/>
    <mergeCell ref="O153:O156"/>
    <mergeCell ref="M158:N161"/>
    <mergeCell ref="O158:O161"/>
    <mergeCell ref="M163:N164"/>
    <mergeCell ref="O163:O164"/>
    <mergeCell ref="O165:O167"/>
    <mergeCell ref="M165:N167"/>
    <mergeCell ref="M168:N169"/>
    <mergeCell ref="O168:O169"/>
    <mergeCell ref="M170:N172"/>
    <mergeCell ref="O170:O172"/>
    <mergeCell ref="M173:N174"/>
    <mergeCell ref="O173:O174"/>
    <mergeCell ref="M186:N187"/>
    <mergeCell ref="O186:O187"/>
    <mergeCell ref="O188:O189"/>
    <mergeCell ref="O190:O191"/>
    <mergeCell ref="O192:O193"/>
    <mergeCell ref="O194:O195"/>
    <mergeCell ref="O196:O198"/>
    <mergeCell ref="L291:L292"/>
    <mergeCell ref="L293:L295"/>
    <mergeCell ref="M293:M295"/>
    <mergeCell ref="N293:N295"/>
    <mergeCell ref="O293:O295"/>
    <mergeCell ref="L138:L139"/>
    <mergeCell ref="K144:K145"/>
    <mergeCell ref="L144:L145"/>
    <mergeCell ref="L146:L149"/>
    <mergeCell ref="L150:L151"/>
    <mergeCell ref="L153:L156"/>
    <mergeCell ref="L158:L161"/>
    <mergeCell ref="D184:D185"/>
    <mergeCell ref="E184:E185"/>
    <mergeCell ref="F184:F185"/>
    <mergeCell ref="G184:G185"/>
    <mergeCell ref="E186:E187"/>
    <mergeCell ref="F186:F187"/>
    <mergeCell ref="G186:G187"/>
    <mergeCell ref="D186:D187"/>
    <mergeCell ref="D188:D189"/>
    <mergeCell ref="E188:E189"/>
    <mergeCell ref="F188:F189"/>
    <mergeCell ref="G188:G189"/>
    <mergeCell ref="D190:D191"/>
    <mergeCell ref="E190:E191"/>
    <mergeCell ref="F163:F164"/>
    <mergeCell ref="G163:G164"/>
    <mergeCell ref="E163:E164"/>
    <mergeCell ref="E165:E167"/>
    <mergeCell ref="F165:F167"/>
    <mergeCell ref="G165:G167"/>
    <mergeCell ref="E168:E169"/>
    <mergeCell ref="F168:F169"/>
    <mergeCell ref="G168:G169"/>
    <mergeCell ref="D173:D174"/>
    <mergeCell ref="E173:E174"/>
    <mergeCell ref="F173:F174"/>
    <mergeCell ref="G173:G174"/>
    <mergeCell ref="E175:E176"/>
    <mergeCell ref="F175:F176"/>
    <mergeCell ref="G175:G176"/>
    <mergeCell ref="F179:F183"/>
    <mergeCell ref="G179:G183"/>
    <mergeCell ref="D175:D176"/>
    <mergeCell ref="D177:D178"/>
    <mergeCell ref="E177:E178"/>
    <mergeCell ref="F177:F178"/>
    <mergeCell ref="G177:G178"/>
    <mergeCell ref="D179:D183"/>
    <mergeCell ref="E179:E183"/>
    <mergeCell ref="F190:F191"/>
    <mergeCell ref="G190:G191"/>
    <mergeCell ref="H190:H191"/>
    <mergeCell ref="I190:I191"/>
    <mergeCell ref="J190:J191"/>
    <mergeCell ref="K190:K191"/>
    <mergeCell ref="D192:D193"/>
    <mergeCell ref="E192:E193"/>
    <mergeCell ref="F192:F193"/>
    <mergeCell ref="G192:G193"/>
    <mergeCell ref="B153:B155"/>
    <mergeCell ref="B158:B161"/>
    <mergeCell ref="B163:B164"/>
    <mergeCell ref="B165:B167"/>
    <mergeCell ref="B168:B169"/>
    <mergeCell ref="B170:B172"/>
    <mergeCell ref="B173:B174"/>
    <mergeCell ref="B175:B176"/>
    <mergeCell ref="B177:B178"/>
    <mergeCell ref="B179:B183"/>
    <mergeCell ref="B184:B185"/>
    <mergeCell ref="B186:B187"/>
    <mergeCell ref="B188:B189"/>
    <mergeCell ref="B190:B191"/>
    <mergeCell ref="B209:B210"/>
    <mergeCell ref="B211:B212"/>
    <mergeCell ref="B203:B204"/>
    <mergeCell ref="C203:C204"/>
    <mergeCell ref="A207:A210"/>
    <mergeCell ref="B207:B208"/>
    <mergeCell ref="C207:C208"/>
    <mergeCell ref="C209:C210"/>
    <mergeCell ref="C211:C212"/>
    <mergeCell ref="B220:B221"/>
    <mergeCell ref="C220:C221"/>
    <mergeCell ref="A211:A214"/>
    <mergeCell ref="B213:B214"/>
    <mergeCell ref="C213:C214"/>
    <mergeCell ref="B215:B217"/>
    <mergeCell ref="C215:C217"/>
    <mergeCell ref="B218:B219"/>
    <mergeCell ref="C218:C219"/>
    <mergeCell ref="B224:B225"/>
    <mergeCell ref="B226:B227"/>
    <mergeCell ref="A215:A219"/>
    <mergeCell ref="A220:A223"/>
    <mergeCell ref="B222:B223"/>
    <mergeCell ref="C222:C223"/>
    <mergeCell ref="A224:A225"/>
    <mergeCell ref="C224:C225"/>
    <mergeCell ref="C226:C227"/>
    <mergeCell ref="A115:A118"/>
    <mergeCell ref="A119:A120"/>
    <mergeCell ref="B119:B120"/>
    <mergeCell ref="A121:A124"/>
    <mergeCell ref="B121:B124"/>
    <mergeCell ref="A125:A130"/>
    <mergeCell ref="A131:A135"/>
    <mergeCell ref="A136:A139"/>
    <mergeCell ref="B136:B139"/>
    <mergeCell ref="A140:A145"/>
    <mergeCell ref="B140:B143"/>
    <mergeCell ref="B144:B145"/>
    <mergeCell ref="B146:B148"/>
    <mergeCell ref="B150:B152"/>
    <mergeCell ref="C140:C145"/>
    <mergeCell ref="C146:C152"/>
    <mergeCell ref="C153:C157"/>
    <mergeCell ref="C158:C162"/>
    <mergeCell ref="C163:C164"/>
    <mergeCell ref="C165:C167"/>
    <mergeCell ref="C168:C169"/>
    <mergeCell ref="A146:A152"/>
    <mergeCell ref="A153:A157"/>
    <mergeCell ref="A158:A162"/>
    <mergeCell ref="A163:A164"/>
    <mergeCell ref="A165:A167"/>
    <mergeCell ref="A168:A169"/>
    <mergeCell ref="A170:A172"/>
    <mergeCell ref="B192:B193"/>
    <mergeCell ref="C192:C193"/>
    <mergeCell ref="C194:C195"/>
    <mergeCell ref="B194:B195"/>
    <mergeCell ref="B196:B198"/>
    <mergeCell ref="C196:C198"/>
    <mergeCell ref="B199:B200"/>
    <mergeCell ref="C199:C200"/>
    <mergeCell ref="B201:B202"/>
    <mergeCell ref="C201:C202"/>
    <mergeCell ref="B232:B233"/>
    <mergeCell ref="C232:C233"/>
    <mergeCell ref="A238:A241"/>
    <mergeCell ref="A242:A246"/>
    <mergeCell ref="A247:A252"/>
    <mergeCell ref="A253:A257"/>
    <mergeCell ref="A258:A259"/>
    <mergeCell ref="A260:A263"/>
    <mergeCell ref="A264:A268"/>
    <mergeCell ref="A285:A288"/>
    <mergeCell ref="A289:A290"/>
    <mergeCell ref="A291:A295"/>
    <mergeCell ref="A269:A270"/>
    <mergeCell ref="A271:A272"/>
    <mergeCell ref="A273:A274"/>
    <mergeCell ref="A275:A276"/>
    <mergeCell ref="A277:A278"/>
    <mergeCell ref="A279:A280"/>
    <mergeCell ref="A281:A284"/>
    <mergeCell ref="B281:B282"/>
    <mergeCell ref="B283:B284"/>
    <mergeCell ref="B285:B286"/>
    <mergeCell ref="B287:B288"/>
    <mergeCell ref="B289:B290"/>
    <mergeCell ref="B291:B292"/>
    <mergeCell ref="B293:B295"/>
    <mergeCell ref="B275:B276"/>
    <mergeCell ref="C275:C276"/>
    <mergeCell ref="B277:B278"/>
    <mergeCell ref="C277:C278"/>
    <mergeCell ref="B279:B280"/>
    <mergeCell ref="C279:C280"/>
    <mergeCell ref="C281:C282"/>
    <mergeCell ref="F291:F292"/>
    <mergeCell ref="G291:G292"/>
    <mergeCell ref="C293:C295"/>
    <mergeCell ref="D293:D295"/>
    <mergeCell ref="E293:E295"/>
    <mergeCell ref="F293:F295"/>
    <mergeCell ref="G293:G295"/>
    <mergeCell ref="H293:H295"/>
    <mergeCell ref="C283:C284"/>
    <mergeCell ref="C285:C286"/>
    <mergeCell ref="C287:C288"/>
    <mergeCell ref="C289:C290"/>
    <mergeCell ref="C291:C292"/>
    <mergeCell ref="D291:D292"/>
    <mergeCell ref="E291:E292"/>
    <mergeCell ref="B234:B235"/>
    <mergeCell ref="C234:C235"/>
    <mergeCell ref="A226:A229"/>
    <mergeCell ref="B228:B229"/>
    <mergeCell ref="C228:C229"/>
    <mergeCell ref="A230:A231"/>
    <mergeCell ref="B230:B231"/>
    <mergeCell ref="C230:C231"/>
    <mergeCell ref="A232:A235"/>
    <mergeCell ref="A236:A237"/>
    <mergeCell ref="B236:B237"/>
    <mergeCell ref="C236:C237"/>
    <mergeCell ref="B238:B239"/>
    <mergeCell ref="C238:C239"/>
    <mergeCell ref="B240:B241"/>
    <mergeCell ref="C240:C241"/>
    <mergeCell ref="B242:B244"/>
    <mergeCell ref="C242:C244"/>
    <mergeCell ref="B245:B246"/>
    <mergeCell ref="C245:C246"/>
    <mergeCell ref="B247:B249"/>
    <mergeCell ref="C247:C249"/>
    <mergeCell ref="C250:C251"/>
    <mergeCell ref="B250:B251"/>
    <mergeCell ref="B253:B254"/>
    <mergeCell ref="C253:C254"/>
    <mergeCell ref="B255:B256"/>
    <mergeCell ref="C255:C256"/>
    <mergeCell ref="B258:B259"/>
    <mergeCell ref="C258:C259"/>
    <mergeCell ref="B260:B261"/>
    <mergeCell ref="C260:C261"/>
    <mergeCell ref="B262:B263"/>
    <mergeCell ref="C262:C263"/>
    <mergeCell ref="B264:B265"/>
    <mergeCell ref="C264:C265"/>
    <mergeCell ref="C266:C267"/>
    <mergeCell ref="B266:B267"/>
    <mergeCell ref="B269:B270"/>
    <mergeCell ref="C269:C270"/>
    <mergeCell ref="B271:B272"/>
    <mergeCell ref="C271:C272"/>
    <mergeCell ref="B273:B274"/>
    <mergeCell ref="C273:C274"/>
    <mergeCell ref="G209:G210"/>
    <mergeCell ref="H209:H210"/>
    <mergeCell ref="G211:G212"/>
    <mergeCell ref="G213:G214"/>
    <mergeCell ref="H213:H214"/>
    <mergeCell ref="I213:I214"/>
    <mergeCell ref="J213:J214"/>
    <mergeCell ref="E209:E210"/>
    <mergeCell ref="F209:F210"/>
    <mergeCell ref="D211:D212"/>
    <mergeCell ref="E211:E212"/>
    <mergeCell ref="F211:F212"/>
    <mergeCell ref="E213:E214"/>
    <mergeCell ref="F213:F214"/>
    <mergeCell ref="M218:M219"/>
    <mergeCell ref="N218:N219"/>
    <mergeCell ref="F218:F219"/>
    <mergeCell ref="G218:G219"/>
    <mergeCell ref="H218:H219"/>
    <mergeCell ref="I218:I219"/>
    <mergeCell ref="J218:J219"/>
    <mergeCell ref="K218:K219"/>
    <mergeCell ref="L218:L219"/>
    <mergeCell ref="O220:O221"/>
    <mergeCell ref="O222:O223"/>
    <mergeCell ref="O224:O225"/>
    <mergeCell ref="O226:O227"/>
    <mergeCell ref="O228:O229"/>
    <mergeCell ref="O230:O231"/>
    <mergeCell ref="O232:O233"/>
    <mergeCell ref="M209:M210"/>
    <mergeCell ref="N209:N210"/>
    <mergeCell ref="M211:N212"/>
    <mergeCell ref="M213:M214"/>
    <mergeCell ref="N213:N214"/>
    <mergeCell ref="O215:O217"/>
    <mergeCell ref="O218:O219"/>
    <mergeCell ref="M234:M235"/>
    <mergeCell ref="N234:N235"/>
    <mergeCell ref="O234:O235"/>
    <mergeCell ref="M215:N217"/>
    <mergeCell ref="M220:N221"/>
    <mergeCell ref="M228:M229"/>
    <mergeCell ref="N228:N229"/>
    <mergeCell ref="M230:M231"/>
    <mergeCell ref="N230:N231"/>
    <mergeCell ref="M232:N233"/>
    <mergeCell ref="J205:J206"/>
    <mergeCell ref="K205:K206"/>
    <mergeCell ref="L205:L206"/>
    <mergeCell ref="M205:M206"/>
    <mergeCell ref="N205:N206"/>
    <mergeCell ref="C205:C206"/>
    <mergeCell ref="D205:D206"/>
    <mergeCell ref="E205:E206"/>
    <mergeCell ref="F205:F206"/>
    <mergeCell ref="G205:G206"/>
    <mergeCell ref="H205:H206"/>
    <mergeCell ref="I205:I206"/>
    <mergeCell ref="I209:I210"/>
    <mergeCell ref="J209:J210"/>
    <mergeCell ref="D207:D208"/>
    <mergeCell ref="E207:E208"/>
    <mergeCell ref="F207:F208"/>
    <mergeCell ref="G207:G208"/>
    <mergeCell ref="L207:L208"/>
    <mergeCell ref="M207:N208"/>
    <mergeCell ref="D209:D210"/>
    <mergeCell ref="G222:G223"/>
    <mergeCell ref="H222:H223"/>
    <mergeCell ref="I222:I223"/>
    <mergeCell ref="J222:J223"/>
    <mergeCell ref="K222:K223"/>
    <mergeCell ref="L222:L223"/>
    <mergeCell ref="M222:M223"/>
    <mergeCell ref="N222:N223"/>
    <mergeCell ref="D224:D225"/>
    <mergeCell ref="E224:E225"/>
    <mergeCell ref="F224:F225"/>
    <mergeCell ref="G224:G225"/>
    <mergeCell ref="M224:N225"/>
    <mergeCell ref="L224:L225"/>
    <mergeCell ref="L226:L227"/>
    <mergeCell ref="M226:N227"/>
    <mergeCell ref="K209:K210"/>
    <mergeCell ref="L209:L210"/>
    <mergeCell ref="L211:L212"/>
    <mergeCell ref="K213:K214"/>
    <mergeCell ref="L213:L214"/>
    <mergeCell ref="L215:L217"/>
    <mergeCell ref="L220:L221"/>
    <mergeCell ref="D213:D214"/>
    <mergeCell ref="D215:D217"/>
    <mergeCell ref="E215:E217"/>
    <mergeCell ref="F215:F217"/>
    <mergeCell ref="G215:G217"/>
    <mergeCell ref="D218:D219"/>
    <mergeCell ref="E218:E219"/>
    <mergeCell ref="D220:D221"/>
    <mergeCell ref="E220:E221"/>
    <mergeCell ref="F220:F221"/>
    <mergeCell ref="G220:G221"/>
    <mergeCell ref="D222:D223"/>
    <mergeCell ref="E222:E223"/>
    <mergeCell ref="F222:F223"/>
    <mergeCell ref="G228:G229"/>
    <mergeCell ref="H228:H229"/>
    <mergeCell ref="I228:I229"/>
    <mergeCell ref="J228:J229"/>
    <mergeCell ref="K228:K229"/>
    <mergeCell ref="L228:L229"/>
    <mergeCell ref="D226:D227"/>
    <mergeCell ref="E226:E227"/>
    <mergeCell ref="F226:F227"/>
    <mergeCell ref="G226:G227"/>
    <mergeCell ref="D228:D229"/>
    <mergeCell ref="E228:E229"/>
    <mergeCell ref="F228:F229"/>
    <mergeCell ref="K230:K231"/>
    <mergeCell ref="L230:L231"/>
    <mergeCell ref="L232:L233"/>
    <mergeCell ref="D230:D231"/>
    <mergeCell ref="E230:E231"/>
    <mergeCell ref="F230:F231"/>
    <mergeCell ref="G230:G231"/>
    <mergeCell ref="H230:H231"/>
    <mergeCell ref="I230:I231"/>
    <mergeCell ref="J230:J231"/>
    <mergeCell ref="G234:G235"/>
    <mergeCell ref="H234:H235"/>
    <mergeCell ref="I234:I235"/>
    <mergeCell ref="J234:J235"/>
    <mergeCell ref="K234:K235"/>
    <mergeCell ref="L234:L235"/>
    <mergeCell ref="D232:D233"/>
    <mergeCell ref="E232:E233"/>
    <mergeCell ref="F232:F233"/>
    <mergeCell ref="G232:G233"/>
    <mergeCell ref="D234:D235"/>
    <mergeCell ref="E234:E235"/>
    <mergeCell ref="F234:F235"/>
    <mergeCell ref="K236:K237"/>
    <mergeCell ref="L236:L237"/>
    <mergeCell ref="M236:M237"/>
    <mergeCell ref="N236:N237"/>
    <mergeCell ref="O236:O237"/>
    <mergeCell ref="D236:D237"/>
    <mergeCell ref="E236:E237"/>
    <mergeCell ref="F236:F237"/>
    <mergeCell ref="G236:G237"/>
    <mergeCell ref="H236:H237"/>
    <mergeCell ref="I236:I237"/>
    <mergeCell ref="J236:J237"/>
    <mergeCell ref="D238:D239"/>
    <mergeCell ref="E238:E239"/>
    <mergeCell ref="F238:F239"/>
    <mergeCell ref="G238:G239"/>
    <mergeCell ref="L238:L239"/>
    <mergeCell ref="M238:N239"/>
    <mergeCell ref="O238:O239"/>
    <mergeCell ref="K240:K241"/>
    <mergeCell ref="L240:L241"/>
    <mergeCell ref="M240:M241"/>
    <mergeCell ref="N240:N241"/>
    <mergeCell ref="O240:O241"/>
    <mergeCell ref="D240:D241"/>
    <mergeCell ref="E240:E241"/>
    <mergeCell ref="F240:F241"/>
    <mergeCell ref="G240:G241"/>
    <mergeCell ref="H240:H241"/>
    <mergeCell ref="I240:I241"/>
    <mergeCell ref="J240:J241"/>
    <mergeCell ref="D242:D244"/>
    <mergeCell ref="E242:E244"/>
    <mergeCell ref="F242:F244"/>
    <mergeCell ref="G242:G244"/>
    <mergeCell ref="L242:L244"/>
    <mergeCell ref="M242:N244"/>
    <mergeCell ref="O242:O244"/>
    <mergeCell ref="K245:K246"/>
    <mergeCell ref="L245:L246"/>
    <mergeCell ref="M245:M246"/>
    <mergeCell ref="N245:N246"/>
    <mergeCell ref="O245:O246"/>
    <mergeCell ref="D245:D246"/>
    <mergeCell ref="E245:E246"/>
    <mergeCell ref="F245:F246"/>
    <mergeCell ref="G245:G246"/>
    <mergeCell ref="H245:H246"/>
    <mergeCell ref="I245:I246"/>
    <mergeCell ref="J245:J246"/>
    <mergeCell ref="D247:D249"/>
    <mergeCell ref="E247:E249"/>
    <mergeCell ref="F247:F249"/>
    <mergeCell ref="G247:G249"/>
    <mergeCell ref="L247:L249"/>
    <mergeCell ref="M247:N249"/>
    <mergeCell ref="O247:O249"/>
    <mergeCell ref="E250:E251"/>
    <mergeCell ref="F250:F251"/>
    <mergeCell ref="G250:G251"/>
    <mergeCell ref="L250:L251"/>
    <mergeCell ref="M250:M251"/>
    <mergeCell ref="N250:N251"/>
    <mergeCell ref="O250:O251"/>
    <mergeCell ref="D250:D251"/>
    <mergeCell ref="E253:E254"/>
    <mergeCell ref="F253:F254"/>
    <mergeCell ref="G253:G254"/>
    <mergeCell ref="L253:L254"/>
    <mergeCell ref="M253:N254"/>
    <mergeCell ref="O253:O254"/>
    <mergeCell ref="N255:N256"/>
    <mergeCell ref="O255:O256"/>
    <mergeCell ref="D253:D254"/>
    <mergeCell ref="D255:D256"/>
    <mergeCell ref="E255:E256"/>
    <mergeCell ref="F255:F256"/>
    <mergeCell ref="G255:G256"/>
    <mergeCell ref="L255:L256"/>
    <mergeCell ref="M255:M256"/>
  </mergeCells>
  <dataValidations>
    <dataValidation type="list" allowBlank="1" showErrorMessage="1" sqref="C8 C11 C15 C18 C21 C23 C25:C26 C28 C30 C32 C34 C36 C38 C42 C44 C46 C48 C51 C54 C56 C58 C60 C63 C66 C70 C72 C74 C84 C93 C102 C108 C115 C119 C121 C125 C131 C136 C140 C146 C153 C158 C163 C165 C168 C170 C173 C175 C177 C179 C184 C186 C188 C190 C192 C194 C196 C199 C201 C203 C205 C207 C209 C211 C213 C215 C218 C220 C222 C224 C226 C228 C230 C232 C234 C236 C238 C240 C242 C245 C247 C250 C253 C255 C258 C260 C262 C264 C266 C269 C271 C273 C275 C277 C279 C281 C283 C285 C287 C289 C291 C293 C296:C1113">
      <formula1>"PW012"</formula1>
    </dataValidation>
    <dataValidation type="list" allowBlank="1" showErrorMessage="1" sqref="B6:C6 B8 B11 B15 B18 B21 B23 B25:B26 B30 B32 B34:B36 B38 B42 B44 B46 B48 B51 B54 B56 B58 B60:B61 B63 B66 B70 B72 B74 B77 B82 B84 B93 B102 B106:B108 B115:B117 B119 B121 B125 B131 B133:B134 B136 B140 B144 B146 B149:B150 B153 B156:B158 B162:B163 B165 B168 B170 B173 B175 B177 B179 B186 B190 B192 B194 B196 B199 B201 B203 B205 B207 B209 B211 B213 B215 B218 B220 B222 B224 B226 B228 B230 B232 B234 B236 B238 B240 B242 B245 B247 B250 B252:C252 B253 B255 B257:C257 B258 B260 B262 B264 B266 B268:C268 B269 B281 B285 B289 B291 B296:B1113">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H6:H16 H18:H21 H23:H26 H30 H32:H36 H38 H42:H48 H50:H51 H54:H63 H66:H74 H77 H80 H82 H84:H91 H93:H125 H129:H133 H136:H138 H140 H146:H190 H192:H194 H196:H199 H201:H203 H205 H207:H209 H211:H213 H215:H218 H220:H222 H224:H228 H230 H232:H234 H236 H238:H240 H242:H245 H247:H258 H260:H262 H264:H287 H289:H293 H296:H1113">
      <formula1>"Caporale,ouvrier"</formula1>
    </dataValidation>
    <dataValidation type="list" allowBlank="1" showErrorMessage="1" sqref="G6 G8 G11 G13 G15 G18:G19 G21 G23 G25:G26 G30 G32 G34 G36 G38 G42:G48 G50:G51 G54 G56:G58 G60:G63 G66:G74 G77 G80 G82 G84:G91 G93:G104 G106 G108 G110:G125 G129 G131 G136 G140 G146 G153 G158 G163 G165 G168 G170 G173 G175 G177 G179 G184 G186 G188 G190 G192 G194 G196 G199 G201 G203 G205 G207 G209 G211 G213 G215 G218 G220 G222 G224 G226 G228 G230 G232 G234 G236 G238 G240 G242 G245 G247 G250 G252:G253 G255 G257:G258 G260 G262 G264 G266 G268:G269 G271 G273 G275 G277 G279 G281 G283 G285 G287 G289 G291 G293 G296:G1113">
      <formula1>"HE,JRS "</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outlineLevelRow="1"/>
  <cols>
    <col customWidth="1" min="1" max="1" width="12.75"/>
    <col customWidth="1" min="2" max="2" width="38.13"/>
    <col customWidth="1" min="3" max="3" width="14.0"/>
    <col customWidth="1" min="4" max="4" width="9.13"/>
    <col customWidth="1" min="5" max="5" width="12.5"/>
    <col customWidth="1" min="6" max="6" width="14.13"/>
    <col customWidth="1" min="7" max="7" width="17.75"/>
    <col customWidth="1" min="8" max="8" width="10.75"/>
    <col customWidth="1" min="9" max="9" width="11.5"/>
    <col customWidth="1" min="10" max="10" width="14.0"/>
    <col customWidth="1" min="11" max="11" width="0.38"/>
    <col customWidth="1" min="12" max="12" width="24.13"/>
  </cols>
  <sheetData>
    <row r="1" ht="5.25" customHeight="1">
      <c r="A1" s="42"/>
      <c r="C1" s="1270" t="s">
        <v>798</v>
      </c>
      <c r="D1" s="81"/>
      <c r="E1" s="81"/>
      <c r="F1" s="81"/>
      <c r="G1" s="81"/>
      <c r="H1" s="81"/>
      <c r="I1" s="81"/>
      <c r="J1" s="82"/>
      <c r="K1" s="46"/>
      <c r="L1" s="1272"/>
    </row>
    <row r="2">
      <c r="C2" s="83"/>
      <c r="J2" s="84"/>
      <c r="K2" s="46"/>
      <c r="L2" s="1272"/>
    </row>
    <row r="3">
      <c r="C3" s="83"/>
      <c r="J3" s="84"/>
      <c r="K3" s="46"/>
      <c r="L3" s="1272"/>
    </row>
    <row r="4" ht="1.5" customHeight="1">
      <c r="C4" s="86"/>
      <c r="D4" s="87"/>
      <c r="E4" s="87"/>
      <c r="F4" s="87"/>
      <c r="G4" s="87"/>
      <c r="H4" s="87"/>
      <c r="I4" s="87"/>
      <c r="J4" s="88"/>
      <c r="K4" s="46"/>
      <c r="L4" s="1272"/>
    </row>
    <row r="5" ht="1.5" customHeight="1">
      <c r="A5" s="52"/>
      <c r="B5" s="89"/>
      <c r="C5" s="1275"/>
      <c r="D5" s="1277"/>
      <c r="E5" s="1278"/>
      <c r="F5" s="46"/>
      <c r="G5" s="55"/>
      <c r="H5" s="46"/>
      <c r="I5" s="46"/>
      <c r="J5" s="46"/>
      <c r="K5" s="46"/>
      <c r="L5" s="1272"/>
    </row>
    <row r="6" ht="27.75" customHeight="1">
      <c r="A6" s="92" t="s">
        <v>1</v>
      </c>
      <c r="B6" s="92" t="s">
        <v>2</v>
      </c>
      <c r="C6" s="1281" t="s">
        <v>3</v>
      </c>
      <c r="D6" s="544" t="s">
        <v>799</v>
      </c>
      <c r="E6" s="1282" t="s">
        <v>800</v>
      </c>
      <c r="F6" s="1283" t="s">
        <v>5</v>
      </c>
      <c r="G6" s="1284" t="s">
        <v>32</v>
      </c>
      <c r="H6" s="94" t="s">
        <v>7</v>
      </c>
      <c r="I6" s="92" t="s">
        <v>8</v>
      </c>
      <c r="J6" s="1285" t="s">
        <v>801</v>
      </c>
      <c r="K6" s="1286"/>
      <c r="L6" s="1287" t="s">
        <v>802</v>
      </c>
    </row>
    <row r="7" ht="38.25" customHeight="1">
      <c r="A7" s="1288">
        <v>46215.0</v>
      </c>
      <c r="B7" s="1289" t="s">
        <v>803</v>
      </c>
      <c r="C7" s="1290">
        <v>1319.0</v>
      </c>
      <c r="D7" s="1291">
        <v>800.0</v>
      </c>
      <c r="E7" s="1292">
        <f t="array" ref="E7">_xlfn.XLOOKUP(C7,'Feuille 25'!B:B,'Feuille 25'!D:D)</f>
        <v>0.8455</v>
      </c>
      <c r="F7" s="1293" t="s">
        <v>805</v>
      </c>
      <c r="G7" s="325"/>
      <c r="H7" s="109" t="s">
        <v>179</v>
      </c>
      <c r="I7" s="109" t="s">
        <v>18</v>
      </c>
      <c r="J7" s="1295" t="s">
        <v>806</v>
      </c>
      <c r="K7" s="1296"/>
      <c r="L7" s="1297">
        <f>0.84*800</f>
        <v>672</v>
      </c>
    </row>
    <row r="8" ht="38.25" customHeight="1">
      <c r="A8" s="1288">
        <v>46216.0</v>
      </c>
      <c r="B8" s="1289" t="s">
        <v>803</v>
      </c>
      <c r="C8" s="1290">
        <v>1312.0</v>
      </c>
      <c r="D8" s="1291">
        <v>900.0</v>
      </c>
      <c r="E8" s="1292">
        <f t="array" ref="E8">_xlfn.XLOOKUP(C8,'Feuille 25'!B:B,'Feuille 25'!D:D)</f>
        <v>1.2013</v>
      </c>
      <c r="F8" s="1293" t="s">
        <v>805</v>
      </c>
      <c r="G8" s="317"/>
      <c r="H8" s="22" t="s">
        <v>179</v>
      </c>
      <c r="I8" s="22" t="s">
        <v>18</v>
      </c>
      <c r="J8" s="311"/>
      <c r="K8" s="38"/>
      <c r="L8" s="1298">
        <f>1.02*900</f>
        <v>918</v>
      </c>
    </row>
    <row r="9" ht="38.25" customHeight="1">
      <c r="A9" s="1288">
        <v>46220.0</v>
      </c>
      <c r="B9" s="1289" t="s">
        <v>807</v>
      </c>
      <c r="C9" s="1299">
        <v>1343.0</v>
      </c>
      <c r="D9" s="1300">
        <v>2800.0</v>
      </c>
      <c r="E9" s="1292">
        <f t="array" ref="E9">_xlfn.XLOOKUP(C9,'Feuille 25'!B:B,'Feuille 25'!D:D)</f>
        <v>1.1295</v>
      </c>
      <c r="F9" s="1293" t="s">
        <v>808</v>
      </c>
      <c r="G9" s="325"/>
      <c r="H9" s="14">
        <f>2800*1.01295</f>
        <v>2836.26</v>
      </c>
      <c r="I9" s="14" t="s">
        <v>18</v>
      </c>
      <c r="J9" s="1301" t="s">
        <v>809</v>
      </c>
      <c r="K9" s="325"/>
      <c r="L9" s="1302" t="s">
        <v>810</v>
      </c>
    </row>
    <row r="10" ht="38.25" customHeight="1">
      <c r="A10" s="1288">
        <v>46221.0</v>
      </c>
      <c r="B10" s="1289" t="s">
        <v>807</v>
      </c>
      <c r="C10" s="1299">
        <v>1342.0</v>
      </c>
      <c r="D10" s="1300">
        <v>2800.0</v>
      </c>
      <c r="E10" s="1292">
        <f t="array" ref="E10">_xlfn.XLOOKUP(C10,'Feuille 25'!B:B,'Feuille 25'!D:D)</f>
        <v>1.1744</v>
      </c>
      <c r="F10" s="1293" t="s">
        <v>808</v>
      </c>
      <c r="G10" s="317"/>
      <c r="H10" s="22" t="s">
        <v>179</v>
      </c>
      <c r="I10" s="22" t="s">
        <v>18</v>
      </c>
      <c r="J10" s="1304" t="s">
        <v>806</v>
      </c>
      <c r="K10" s="317"/>
      <c r="L10" s="1302">
        <f t="shared" ref="L10:L19" si="1">SUM(D10*E10)</f>
        <v>3288.32</v>
      </c>
    </row>
    <row r="11" ht="38.25" customHeight="1">
      <c r="A11" s="1305">
        <v>46222.0</v>
      </c>
      <c r="B11" s="1306" t="s">
        <v>807</v>
      </c>
      <c r="C11" s="1307">
        <v>1336.0</v>
      </c>
      <c r="D11" s="1308">
        <v>3200.0</v>
      </c>
      <c r="E11" s="1292">
        <f t="array" ref="E11">_xlfn.XLOOKUP(C11,'Feuille 25'!B:B,'Feuille 25'!D:D)</f>
        <v>0.9988</v>
      </c>
      <c r="F11" s="1309" t="s">
        <v>812</v>
      </c>
      <c r="G11" s="325"/>
      <c r="H11" s="14" t="s">
        <v>179</v>
      </c>
      <c r="I11" s="14" t="s">
        <v>18</v>
      </c>
      <c r="J11" s="1304" t="s">
        <v>806</v>
      </c>
      <c r="K11" s="325"/>
      <c r="L11" s="1302">
        <f t="shared" si="1"/>
        <v>3196.16</v>
      </c>
    </row>
    <row r="12" ht="38.25" customHeight="1">
      <c r="A12" s="1305">
        <v>46221.0</v>
      </c>
      <c r="B12" s="1306" t="s">
        <v>807</v>
      </c>
      <c r="C12" s="1307">
        <v>1338.0</v>
      </c>
      <c r="D12" s="1308">
        <v>3200.0</v>
      </c>
      <c r="E12" s="1292">
        <f t="array" ref="E12">_xlfn.XLOOKUP(C12,'Feuille 25'!B:B,'Feuille 25'!D:D)</f>
        <v>1.0346</v>
      </c>
      <c r="F12" s="1309" t="s">
        <v>812</v>
      </c>
      <c r="G12" s="317"/>
      <c r="H12" s="22" t="s">
        <v>179</v>
      </c>
      <c r="I12" s="22" t="s">
        <v>18</v>
      </c>
      <c r="J12" s="1304" t="s">
        <v>806</v>
      </c>
      <c r="K12" s="317"/>
      <c r="L12" s="1302">
        <f t="shared" si="1"/>
        <v>3310.72</v>
      </c>
    </row>
    <row r="13" ht="38.25" customHeight="1">
      <c r="A13" s="1310">
        <v>46225.0</v>
      </c>
      <c r="B13" s="1311" t="s">
        <v>807</v>
      </c>
      <c r="C13" s="1312">
        <v>1337.0</v>
      </c>
      <c r="D13" s="1313">
        <v>3000.0</v>
      </c>
      <c r="E13" s="1292">
        <f t="array" ref="E13">_xlfn.XLOOKUP(C13,'Feuille 25'!B:B,'Feuille 25'!D:D)</f>
        <v>1.0616</v>
      </c>
      <c r="F13" s="1314" t="s">
        <v>813</v>
      </c>
      <c r="G13" s="325"/>
      <c r="H13" s="14" t="s">
        <v>179</v>
      </c>
      <c r="I13" s="14" t="s">
        <v>18</v>
      </c>
      <c r="J13" s="1304" t="s">
        <v>806</v>
      </c>
      <c r="K13" s="325"/>
      <c r="L13" s="1302">
        <f t="shared" si="1"/>
        <v>3184.8</v>
      </c>
    </row>
    <row r="14" ht="38.25" customHeight="1">
      <c r="A14" s="1315">
        <v>46226.0</v>
      </c>
      <c r="B14" s="1316" t="s">
        <v>807</v>
      </c>
      <c r="C14" s="1317">
        <v>1340.0</v>
      </c>
      <c r="D14" s="1318">
        <v>3200.0</v>
      </c>
      <c r="E14" s="1292">
        <f t="array" ref="E14">_xlfn.XLOOKUP(C14,'Feuille 25'!B:B,'Feuille 25'!D:D)</f>
        <v>0.7946</v>
      </c>
      <c r="F14" s="1319" t="s">
        <v>812</v>
      </c>
      <c r="G14" s="317"/>
      <c r="H14" s="22" t="s">
        <v>179</v>
      </c>
      <c r="I14" s="22" t="s">
        <v>18</v>
      </c>
      <c r="J14" s="1304" t="s">
        <v>806</v>
      </c>
      <c r="K14" s="317"/>
      <c r="L14" s="1302">
        <f t="shared" si="1"/>
        <v>2542.72</v>
      </c>
    </row>
    <row r="15" ht="38.25" customHeight="1">
      <c r="A15" s="1320">
        <v>46226.0</v>
      </c>
      <c r="B15" s="1321" t="s">
        <v>807</v>
      </c>
      <c r="C15" s="1322">
        <v>1339.0</v>
      </c>
      <c r="D15" s="1323">
        <v>2000.0</v>
      </c>
      <c r="E15" s="1292">
        <f t="array" ref="E15">_xlfn.XLOOKUP(C15,'Feuille 25'!B:B,'Feuille 25'!D:D)</f>
        <v>0.8725</v>
      </c>
      <c r="F15" s="1324" t="s">
        <v>815</v>
      </c>
      <c r="G15" s="325"/>
      <c r="H15" s="14" t="s">
        <v>179</v>
      </c>
      <c r="I15" s="14" t="s">
        <v>18</v>
      </c>
      <c r="J15" s="14"/>
      <c r="K15" s="14"/>
      <c r="L15" s="1302">
        <f t="shared" si="1"/>
        <v>1745</v>
      </c>
    </row>
    <row r="16" ht="38.25" customHeight="1">
      <c r="A16" s="1325">
        <v>46226.0</v>
      </c>
      <c r="B16" s="1327" t="s">
        <v>807</v>
      </c>
      <c r="C16" s="1328">
        <v>1334.0</v>
      </c>
      <c r="D16" s="1330">
        <v>3000.0</v>
      </c>
      <c r="E16" s="1292">
        <f t="array" ref="E16">_xlfn.XLOOKUP(C16,'Feuille 25'!B:B,'Feuille 25'!D:D)</f>
        <v>1.3712</v>
      </c>
      <c r="F16" s="1331" t="s">
        <v>816</v>
      </c>
      <c r="G16" s="317"/>
      <c r="H16" s="22" t="s">
        <v>179</v>
      </c>
      <c r="I16" s="22" t="s">
        <v>18</v>
      </c>
      <c r="J16" s="1304" t="s">
        <v>806</v>
      </c>
      <c r="K16" s="317"/>
      <c r="L16" s="1302">
        <f t="shared" si="1"/>
        <v>4113.6</v>
      </c>
    </row>
    <row r="17" ht="38.25" customHeight="1">
      <c r="A17" s="1315">
        <v>46227.0</v>
      </c>
      <c r="B17" s="1316" t="s">
        <v>807</v>
      </c>
      <c r="C17" s="1317">
        <v>1335.0</v>
      </c>
      <c r="D17" s="1318">
        <v>3200.0</v>
      </c>
      <c r="E17" s="1292">
        <f t="array" ref="E17">_xlfn.XLOOKUP(C17,'Feuille 25'!B:B,'Feuille 25'!D:D)</f>
        <v>1.0794</v>
      </c>
      <c r="F17" s="1319" t="s">
        <v>812</v>
      </c>
      <c r="G17" s="325"/>
      <c r="H17" s="14" t="s">
        <v>179</v>
      </c>
      <c r="I17" s="14" t="s">
        <v>18</v>
      </c>
      <c r="J17" s="1304" t="s">
        <v>806</v>
      </c>
      <c r="K17" s="325"/>
      <c r="L17" s="1302">
        <f t="shared" si="1"/>
        <v>3454.08</v>
      </c>
    </row>
    <row r="18" ht="38.25" customHeight="1">
      <c r="A18" s="1335">
        <v>46227.0</v>
      </c>
      <c r="B18" s="1336" t="s">
        <v>807</v>
      </c>
      <c r="C18" s="1337">
        <v>1341.0</v>
      </c>
      <c r="D18" s="1338">
        <v>2000.0</v>
      </c>
      <c r="E18" s="1339">
        <f t="array" ref="E18">_xlfn.XLOOKUP(C18,'Feuille 25'!B:B,'Feuille 25'!D:D)</f>
        <v>0.6322</v>
      </c>
      <c r="F18" s="1340" t="s">
        <v>815</v>
      </c>
      <c r="G18" s="307"/>
      <c r="H18" s="39" t="s">
        <v>179</v>
      </c>
      <c r="I18" s="39" t="s">
        <v>18</v>
      </c>
      <c r="J18" s="39"/>
      <c r="K18" s="39"/>
      <c r="L18" s="1341">
        <f t="shared" si="1"/>
        <v>1264.4</v>
      </c>
    </row>
    <row r="19" ht="38.25" customHeight="1">
      <c r="A19" s="1342">
        <v>46229.0</v>
      </c>
      <c r="B19" s="1343" t="s">
        <v>807</v>
      </c>
      <c r="C19" s="1344">
        <v>1305.0</v>
      </c>
      <c r="D19" s="1345">
        <v>2000.0</v>
      </c>
      <c r="E19" s="1347">
        <f t="array" ref="E19">_xlfn.XLOOKUP(C19,'Feuille 25'!B:B,'Feuille 25'!D:D)</f>
        <v>1.1496</v>
      </c>
      <c r="F19" s="1348" t="s">
        <v>815</v>
      </c>
      <c r="G19" s="1349"/>
      <c r="H19" s="1350" t="s">
        <v>179</v>
      </c>
      <c r="I19" s="1350" t="s">
        <v>18</v>
      </c>
      <c r="J19" s="1350"/>
      <c r="K19" s="1350"/>
      <c r="L19" s="1351">
        <f t="shared" si="1"/>
        <v>2299.2</v>
      </c>
    </row>
    <row r="20" ht="38.25" customHeight="1">
      <c r="A20" s="1352">
        <v>46230.0</v>
      </c>
      <c r="B20" s="1336" t="s">
        <v>807</v>
      </c>
      <c r="C20" s="1353">
        <v>1304.0</v>
      </c>
      <c r="D20" s="1323">
        <v>2000.0</v>
      </c>
      <c r="E20" s="1292">
        <f t="array" ref="E20">_xlfn.XLOOKUP(C20,'Feuille 25'!B:B,'Feuille 25'!D:D)</f>
        <v>0.607</v>
      </c>
      <c r="F20" s="1324" t="s">
        <v>815</v>
      </c>
      <c r="G20" s="317"/>
      <c r="H20" s="22" t="s">
        <v>179</v>
      </c>
      <c r="I20" s="22" t="s">
        <v>18</v>
      </c>
      <c r="J20" s="1301" t="s">
        <v>819</v>
      </c>
      <c r="K20" s="317"/>
      <c r="L20" s="1302" t="s">
        <v>820</v>
      </c>
    </row>
    <row r="21" ht="38.25" customHeight="1">
      <c r="A21" s="1355">
        <v>46231.0</v>
      </c>
      <c r="B21" s="1356" t="s">
        <v>807</v>
      </c>
      <c r="C21" s="1317">
        <v>1306.0</v>
      </c>
      <c r="D21" s="1318">
        <v>3200.0</v>
      </c>
      <c r="E21" s="1292">
        <f t="array" ref="E21">_xlfn.XLOOKUP(C21,'Feuille 25'!B:B,'Feuille 25'!D:D)</f>
        <v>1.0743</v>
      </c>
      <c r="F21" s="1319" t="s">
        <v>812</v>
      </c>
      <c r="G21" s="325"/>
      <c r="H21" s="14" t="s">
        <v>179</v>
      </c>
      <c r="I21" s="14" t="s">
        <v>18</v>
      </c>
      <c r="J21" s="1304" t="s">
        <v>806</v>
      </c>
      <c r="K21" s="325"/>
      <c r="L21" s="1302">
        <f t="shared" ref="L21:L36" si="2">SUM(D21*E21)</f>
        <v>3437.76</v>
      </c>
    </row>
    <row r="22" ht="38.25" customHeight="1">
      <c r="A22" s="1352">
        <v>46230.0</v>
      </c>
      <c r="B22" s="1356" t="s">
        <v>807</v>
      </c>
      <c r="C22" s="1317">
        <v>1303.0</v>
      </c>
      <c r="D22" s="1318">
        <v>3200.0</v>
      </c>
      <c r="E22" s="1292">
        <f t="array" ref="E22">_xlfn.XLOOKUP(C22,'Feuille 25'!B:B,'Feuille 25'!D:D)</f>
        <v>1.5601</v>
      </c>
      <c r="F22" s="1319" t="s">
        <v>812</v>
      </c>
      <c r="G22" s="317"/>
      <c r="H22" s="22" t="s">
        <v>179</v>
      </c>
      <c r="I22" s="22" t="s">
        <v>18</v>
      </c>
      <c r="J22" s="1304" t="s">
        <v>806</v>
      </c>
      <c r="K22" s="317"/>
      <c r="L22" s="1302">
        <f t="shared" si="2"/>
        <v>4992.32</v>
      </c>
    </row>
    <row r="23" ht="38.25" customHeight="1">
      <c r="A23" s="1358">
        <v>46232.0</v>
      </c>
      <c r="B23" s="1356" t="s">
        <v>807</v>
      </c>
      <c r="C23" s="1317">
        <v>1319.0</v>
      </c>
      <c r="D23" s="1318">
        <v>3200.0</v>
      </c>
      <c r="E23" s="1292">
        <f t="array" ref="E23">_xlfn.XLOOKUP(C23,'Feuille 25'!B:B,'Feuille 25'!D:D)</f>
        <v>0.8455</v>
      </c>
      <c r="F23" s="1319" t="s">
        <v>812</v>
      </c>
      <c r="G23" s="325"/>
      <c r="H23" s="14" t="s">
        <v>179</v>
      </c>
      <c r="I23" s="14" t="s">
        <v>18</v>
      </c>
      <c r="J23" s="1304" t="s">
        <v>806</v>
      </c>
      <c r="K23" s="325"/>
      <c r="L23" s="1302">
        <f t="shared" si="2"/>
        <v>2705.6</v>
      </c>
    </row>
    <row r="24" ht="38.25" customHeight="1">
      <c r="A24" s="1352">
        <v>46233.0</v>
      </c>
      <c r="B24" s="1356" t="s">
        <v>807</v>
      </c>
      <c r="C24" s="1317">
        <v>1320.0</v>
      </c>
      <c r="D24" s="1318">
        <v>3200.0</v>
      </c>
      <c r="E24" s="1292">
        <f t="array" ref="E24">_xlfn.XLOOKUP(C24,'Feuille 25'!B:B,'Feuille 25'!D:D)</f>
        <v>0.9298</v>
      </c>
      <c r="F24" s="1319" t="s">
        <v>812</v>
      </c>
      <c r="G24" s="317"/>
      <c r="H24" s="22" t="s">
        <v>179</v>
      </c>
      <c r="I24" s="22" t="s">
        <v>18</v>
      </c>
      <c r="J24" s="1304" t="s">
        <v>806</v>
      </c>
      <c r="K24" s="317"/>
      <c r="L24" s="1302">
        <f t="shared" si="2"/>
        <v>2975.36</v>
      </c>
    </row>
    <row r="25" ht="38.25" customHeight="1">
      <c r="A25" s="1358">
        <v>46234.0</v>
      </c>
      <c r="B25" s="1356" t="s">
        <v>807</v>
      </c>
      <c r="C25" s="1317">
        <v>1316.0</v>
      </c>
      <c r="D25" s="1318">
        <v>3200.0</v>
      </c>
      <c r="E25" s="1292">
        <f t="array" ref="E25">_xlfn.XLOOKUP(C25,'Feuille 25'!B:B,'Feuille 25'!D:D)</f>
        <v>0.692</v>
      </c>
      <c r="F25" s="1319" t="s">
        <v>812</v>
      </c>
      <c r="G25" s="325"/>
      <c r="H25" s="14" t="s">
        <v>179</v>
      </c>
      <c r="I25" s="14" t="s">
        <v>18</v>
      </c>
      <c r="J25" s="1304" t="s">
        <v>806</v>
      </c>
      <c r="K25" s="325"/>
      <c r="L25" s="1302">
        <f t="shared" si="2"/>
        <v>2214.4</v>
      </c>
    </row>
    <row r="26" ht="38.25" customHeight="1">
      <c r="A26" s="1352">
        <v>46227.0</v>
      </c>
      <c r="B26" s="1359" t="s">
        <v>807</v>
      </c>
      <c r="C26" s="1360">
        <v>1301.0</v>
      </c>
      <c r="D26" s="1361">
        <v>3000.0</v>
      </c>
      <c r="E26" s="1292">
        <f t="array" ref="E26">_xlfn.XLOOKUP(C26,'Feuille 25'!B:B,'Feuille 25'!D:D)</f>
        <v>0.9726</v>
      </c>
      <c r="F26" s="1362" t="s">
        <v>816</v>
      </c>
      <c r="G26" s="317"/>
      <c r="H26" s="22" t="s">
        <v>179</v>
      </c>
      <c r="I26" s="22" t="s">
        <v>18</v>
      </c>
      <c r="J26" s="1363" t="s">
        <v>823</v>
      </c>
      <c r="K26" s="307"/>
      <c r="L26" s="1302">
        <f t="shared" si="2"/>
        <v>2917.8</v>
      </c>
    </row>
    <row r="27" ht="38.25" customHeight="1">
      <c r="A27" s="1358">
        <v>46228.0</v>
      </c>
      <c r="B27" s="1359" t="s">
        <v>807</v>
      </c>
      <c r="C27" s="1360">
        <v>1302.0</v>
      </c>
      <c r="D27" s="1361">
        <v>3000.0</v>
      </c>
      <c r="E27" s="1292">
        <f t="array" ref="E27">_xlfn.XLOOKUP(C27,'Feuille 25'!B:B,'Feuille 25'!D:D)</f>
        <v>0.7368</v>
      </c>
      <c r="F27" s="1362" t="s">
        <v>816</v>
      </c>
      <c r="G27" s="325"/>
      <c r="H27" s="14" t="s">
        <v>179</v>
      </c>
      <c r="I27" s="14" t="s">
        <v>18</v>
      </c>
      <c r="J27" s="294"/>
      <c r="K27" s="70"/>
      <c r="L27" s="1302">
        <f t="shared" si="2"/>
        <v>2210.4</v>
      </c>
    </row>
    <row r="28" ht="38.25" customHeight="1">
      <c r="A28" s="1352">
        <v>46230.0</v>
      </c>
      <c r="B28" s="1359" t="s">
        <v>807</v>
      </c>
      <c r="C28" s="1360">
        <v>1308.0</v>
      </c>
      <c r="D28" s="1361">
        <v>3000.0</v>
      </c>
      <c r="E28" s="1292">
        <f t="array" ref="E28">_xlfn.XLOOKUP(C28,'Feuille 25'!B:B,'Feuille 25'!D:D)</f>
        <v>1.3651</v>
      </c>
      <c r="F28" s="1362" t="s">
        <v>816</v>
      </c>
      <c r="G28" s="317"/>
      <c r="H28" s="22" t="s">
        <v>179</v>
      </c>
      <c r="I28" s="22" t="s">
        <v>18</v>
      </c>
      <c r="J28" s="314"/>
      <c r="K28" s="56"/>
      <c r="L28" s="1302">
        <f t="shared" si="2"/>
        <v>4095.3</v>
      </c>
    </row>
    <row r="29" ht="38.25" customHeight="1">
      <c r="A29" s="1358">
        <v>46230.0</v>
      </c>
      <c r="B29" s="1359" t="s">
        <v>807</v>
      </c>
      <c r="C29" s="1360">
        <v>1307.0</v>
      </c>
      <c r="D29" s="1361">
        <v>3000.0</v>
      </c>
      <c r="E29" s="1292">
        <f t="array" ref="E29">_xlfn.XLOOKUP(C29,'Feuille 25'!B:B,'Feuille 25'!D:D)</f>
        <v>1.1144</v>
      </c>
      <c r="F29" s="1362" t="s">
        <v>816</v>
      </c>
      <c r="G29" s="325"/>
      <c r="H29" s="14" t="s">
        <v>179</v>
      </c>
      <c r="I29" s="14" t="s">
        <v>18</v>
      </c>
      <c r="J29" s="294"/>
      <c r="K29" s="70"/>
      <c r="L29" s="1302">
        <f t="shared" si="2"/>
        <v>3343.2</v>
      </c>
    </row>
    <row r="30" ht="38.25" customHeight="1">
      <c r="A30" s="1352">
        <v>46231.0</v>
      </c>
      <c r="B30" s="1359" t="s">
        <v>807</v>
      </c>
      <c r="C30" s="1360">
        <v>1311.0</v>
      </c>
      <c r="D30" s="1361">
        <v>3000.0</v>
      </c>
      <c r="E30" s="1292">
        <f t="array" ref="E30">_xlfn.XLOOKUP(C30,'Feuille 25'!B:B,'Feuille 25'!D:D)</f>
        <v>1.0539</v>
      </c>
      <c r="F30" s="1362" t="s">
        <v>816</v>
      </c>
      <c r="G30" s="317"/>
      <c r="H30" s="22" t="s">
        <v>179</v>
      </c>
      <c r="I30" s="22" t="s">
        <v>18</v>
      </c>
      <c r="J30" s="314"/>
      <c r="K30" s="56"/>
      <c r="L30" s="1302">
        <f t="shared" si="2"/>
        <v>3161.7</v>
      </c>
    </row>
    <row r="31" ht="38.25" customHeight="1">
      <c r="A31" s="1358">
        <v>46232.0</v>
      </c>
      <c r="B31" s="1359" t="s">
        <v>807</v>
      </c>
      <c r="C31" s="1360">
        <v>1309.0</v>
      </c>
      <c r="D31" s="1361">
        <v>3000.0</v>
      </c>
      <c r="E31" s="1292">
        <f t="array" ref="E31">_xlfn.XLOOKUP(C31,'Feuille 25'!B:B,'Feuille 25'!D:D)</f>
        <v>0.9832</v>
      </c>
      <c r="F31" s="1362" t="s">
        <v>816</v>
      </c>
      <c r="G31" s="325"/>
      <c r="H31" s="14" t="s">
        <v>179</v>
      </c>
      <c r="I31" s="14" t="s">
        <v>18</v>
      </c>
      <c r="J31" s="294"/>
      <c r="K31" s="70"/>
      <c r="L31" s="1302">
        <f t="shared" si="2"/>
        <v>2949.6</v>
      </c>
    </row>
    <row r="32" ht="38.25" customHeight="1">
      <c r="A32" s="1352">
        <v>46231.0</v>
      </c>
      <c r="B32" s="1359" t="s">
        <v>807</v>
      </c>
      <c r="C32" s="1360">
        <v>1310.0</v>
      </c>
      <c r="D32" s="1361">
        <v>3000.0</v>
      </c>
      <c r="E32" s="1292">
        <f t="array" ref="E32">_xlfn.XLOOKUP(C32,'Feuille 25'!B:B,'Feuille 25'!D:D)</f>
        <v>1.0502</v>
      </c>
      <c r="F32" s="1362" t="s">
        <v>816</v>
      </c>
      <c r="G32" s="317"/>
      <c r="H32" s="22" t="s">
        <v>179</v>
      </c>
      <c r="I32" s="22" t="s">
        <v>18</v>
      </c>
      <c r="J32" s="314"/>
      <c r="K32" s="56"/>
      <c r="L32" s="1302">
        <f t="shared" si="2"/>
        <v>3150.6</v>
      </c>
    </row>
    <row r="33" ht="38.25" customHeight="1">
      <c r="A33" s="1358">
        <v>46232.0</v>
      </c>
      <c r="B33" s="1359" t="s">
        <v>807</v>
      </c>
      <c r="C33" s="1360">
        <v>1317.0</v>
      </c>
      <c r="D33" s="1361">
        <v>3000.0</v>
      </c>
      <c r="E33" s="1292">
        <f t="array" ref="E33">_xlfn.XLOOKUP(C33,'Feuille 25'!B:B,'Feuille 25'!D:D)</f>
        <v>0.5035</v>
      </c>
      <c r="F33" s="1362" t="s">
        <v>816</v>
      </c>
      <c r="G33" s="325"/>
      <c r="H33" s="14" t="s">
        <v>179</v>
      </c>
      <c r="I33" s="14" t="s">
        <v>18</v>
      </c>
      <c r="J33" s="321"/>
      <c r="K33" s="59"/>
      <c r="L33" s="1302">
        <f t="shared" si="2"/>
        <v>1510.5</v>
      </c>
    </row>
    <row r="34" ht="38.25" customHeight="1">
      <c r="A34" s="1352">
        <v>46232.0</v>
      </c>
      <c r="B34" s="1364" t="s">
        <v>807</v>
      </c>
      <c r="C34" s="1365">
        <v>1313.0</v>
      </c>
      <c r="D34" s="1366">
        <v>3200.0</v>
      </c>
      <c r="E34" s="1292">
        <f t="array" ref="E34">_xlfn.XLOOKUP(C34,'Feuille 25'!B:B,'Feuille 25'!D:D)</f>
        <v>1.0426</v>
      </c>
      <c r="F34" s="1367" t="s">
        <v>827</v>
      </c>
      <c r="G34" s="317"/>
      <c r="H34" s="22" t="s">
        <v>179</v>
      </c>
      <c r="I34" s="22" t="s">
        <v>18</v>
      </c>
      <c r="J34" s="1304" t="s">
        <v>806</v>
      </c>
      <c r="K34" s="317"/>
      <c r="L34" s="1302">
        <f t="shared" si="2"/>
        <v>3336.32</v>
      </c>
    </row>
    <row r="35" ht="38.25" customHeight="1">
      <c r="A35" s="1358">
        <v>46233.0</v>
      </c>
      <c r="B35" s="1364" t="s">
        <v>807</v>
      </c>
      <c r="C35" s="1365">
        <v>1315.0</v>
      </c>
      <c r="D35" s="1366">
        <v>3200.0</v>
      </c>
      <c r="E35" s="1292">
        <f t="array" ref="E35">_xlfn.XLOOKUP(C35,'Feuille 25'!B:B,'Feuille 25'!D:D)</f>
        <v>0.9943</v>
      </c>
      <c r="F35" s="1367" t="s">
        <v>827</v>
      </c>
      <c r="G35" s="325"/>
      <c r="H35" s="14" t="s">
        <v>179</v>
      </c>
      <c r="I35" s="14" t="s">
        <v>18</v>
      </c>
      <c r="J35" s="1304" t="s">
        <v>806</v>
      </c>
      <c r="K35" s="325"/>
      <c r="L35" s="1302">
        <f t="shared" si="2"/>
        <v>3181.76</v>
      </c>
    </row>
    <row r="36" ht="38.25" customHeight="1">
      <c r="A36" s="1368">
        <v>46235.0</v>
      </c>
      <c r="B36" s="1369" t="s">
        <v>807</v>
      </c>
      <c r="C36" s="1370">
        <v>1318.0</v>
      </c>
      <c r="D36" s="1371">
        <v>3200.0</v>
      </c>
      <c r="E36" s="1292">
        <f t="array" ref="E36">_xlfn.XLOOKUP(C36,'Feuille 25'!B:B,'Feuille 25'!D:D)</f>
        <v>0.9924</v>
      </c>
      <c r="F36" s="1372" t="s">
        <v>827</v>
      </c>
      <c r="G36" s="1373"/>
      <c r="H36" s="1374" t="s">
        <v>179</v>
      </c>
      <c r="I36" s="1374" t="s">
        <v>18</v>
      </c>
      <c r="J36" s="1375" t="s">
        <v>806</v>
      </c>
      <c r="K36" s="307"/>
      <c r="L36" s="1302">
        <f t="shared" si="2"/>
        <v>3175.68</v>
      </c>
    </row>
    <row r="37" ht="19.5" customHeight="1">
      <c r="A37" s="1376"/>
      <c r="B37" s="1377"/>
      <c r="C37" s="1378"/>
      <c r="D37" s="1379"/>
      <c r="E37" s="1380"/>
      <c r="F37" s="1381"/>
      <c r="G37" s="1381"/>
      <c r="H37" s="1381"/>
      <c r="I37" s="1381"/>
      <c r="J37" s="1383"/>
      <c r="K37" s="1383"/>
      <c r="L37" s="1383"/>
    </row>
    <row r="38" ht="38.25" customHeight="1">
      <c r="A38" s="1384">
        <v>46235.0</v>
      </c>
      <c r="B38" s="1359" t="s">
        <v>807</v>
      </c>
      <c r="C38" s="1360">
        <v>1321.0</v>
      </c>
      <c r="D38" s="1385">
        <v>3000.0</v>
      </c>
      <c r="E38" s="1292">
        <f t="array" ref="E38">_xlfn.XLOOKUP(C38,'Feuille 25'!B:B,'Feuille 25'!D:D)</f>
        <v>0.9843</v>
      </c>
      <c r="F38" s="1362" t="s">
        <v>816</v>
      </c>
      <c r="G38" s="317"/>
      <c r="H38" s="22" t="s">
        <v>179</v>
      </c>
      <c r="I38" s="22" t="s">
        <v>18</v>
      </c>
      <c r="J38" s="1375" t="s">
        <v>806</v>
      </c>
      <c r="K38" s="307"/>
      <c r="L38" s="1302">
        <f t="shared" ref="L38:L73" si="3">SUM(D38*E38)</f>
        <v>2952.9</v>
      </c>
    </row>
    <row r="39" ht="38.25" customHeight="1">
      <c r="A39" s="1355">
        <v>46235.0</v>
      </c>
      <c r="B39" s="1356" t="s">
        <v>807</v>
      </c>
      <c r="C39" s="1317">
        <v>1322.0</v>
      </c>
      <c r="D39" s="1318">
        <v>3200.0</v>
      </c>
      <c r="E39" s="1292">
        <f t="array" ref="E39">_xlfn.XLOOKUP(C39,'Feuille 25'!B:B,'Feuille 25'!D:D)</f>
        <v>0.9821</v>
      </c>
      <c r="F39" s="1319" t="s">
        <v>812</v>
      </c>
      <c r="G39" s="325"/>
      <c r="H39" s="14" t="s">
        <v>179</v>
      </c>
      <c r="I39" s="14" t="s">
        <v>18</v>
      </c>
      <c r="J39" s="1375" t="s">
        <v>806</v>
      </c>
      <c r="K39" s="312"/>
      <c r="L39" s="1302">
        <f t="shared" si="3"/>
        <v>3142.72</v>
      </c>
    </row>
    <row r="40" ht="38.25" customHeight="1">
      <c r="A40" s="1384">
        <v>46236.0</v>
      </c>
      <c r="B40" s="1359" t="s">
        <v>807</v>
      </c>
      <c r="C40" s="1360">
        <v>1323.0</v>
      </c>
      <c r="D40" s="1361">
        <v>3000.0</v>
      </c>
      <c r="E40" s="1292">
        <f t="array" ref="E40">_xlfn.XLOOKUP(C40,'Feuille 25'!B:B,'Feuille 25'!D:D)</f>
        <v>0.9911</v>
      </c>
      <c r="F40" s="1362" t="s">
        <v>816</v>
      </c>
      <c r="G40" s="317"/>
      <c r="H40" s="22" t="s">
        <v>179</v>
      </c>
      <c r="I40" s="22" t="s">
        <v>18</v>
      </c>
      <c r="J40" s="1375" t="s">
        <v>806</v>
      </c>
      <c r="K40" s="307"/>
      <c r="L40" s="1302">
        <f t="shared" si="3"/>
        <v>2973.3</v>
      </c>
    </row>
    <row r="41" ht="38.25" customHeight="1">
      <c r="A41" s="1355">
        <v>46237.0</v>
      </c>
      <c r="B41" s="1364" t="s">
        <v>807</v>
      </c>
      <c r="C41" s="1365">
        <v>1324.0</v>
      </c>
      <c r="D41" s="1388" t="s">
        <v>831</v>
      </c>
      <c r="E41" s="1292">
        <f t="array" ref="E41">_xlfn.XLOOKUP(C41,'Feuille 25'!B:B,'Feuille 25'!D:D)</f>
        <v>0.9766</v>
      </c>
      <c r="F41" s="1367" t="s">
        <v>827</v>
      </c>
      <c r="G41" s="325"/>
      <c r="H41" s="14" t="s">
        <v>179</v>
      </c>
      <c r="I41" s="14" t="s">
        <v>18</v>
      </c>
      <c r="J41" s="1375" t="s">
        <v>806</v>
      </c>
      <c r="K41" s="312"/>
      <c r="L41" s="1302">
        <f t="shared" si="3"/>
        <v>3125.12</v>
      </c>
    </row>
    <row r="42" ht="38.25" customHeight="1">
      <c r="A42" s="1352">
        <v>46237.0</v>
      </c>
      <c r="B42" s="1359" t="s">
        <v>807</v>
      </c>
      <c r="C42" s="1360">
        <v>1325.0</v>
      </c>
      <c r="D42" s="1361">
        <v>3000.0</v>
      </c>
      <c r="E42" s="1292">
        <f t="array" ref="E42">_xlfn.XLOOKUP(C42,'Feuille 25'!B:B,'Feuille 25'!D:D)</f>
        <v>1.2715</v>
      </c>
      <c r="F42" s="1362" t="s">
        <v>816</v>
      </c>
      <c r="G42" s="317"/>
      <c r="H42" s="22" t="s">
        <v>179</v>
      </c>
      <c r="I42" s="22" t="s">
        <v>18</v>
      </c>
      <c r="J42" s="1375" t="s">
        <v>806</v>
      </c>
      <c r="K42" s="307"/>
      <c r="L42" s="1302">
        <f t="shared" si="3"/>
        <v>3814.5</v>
      </c>
    </row>
    <row r="43" ht="38.25" customHeight="1">
      <c r="A43" s="1358">
        <v>46238.0</v>
      </c>
      <c r="B43" s="1389" t="s">
        <v>807</v>
      </c>
      <c r="C43" s="1307">
        <v>1326.0</v>
      </c>
      <c r="D43" s="1308">
        <v>3200.0</v>
      </c>
      <c r="E43" s="1292">
        <f t="array" ref="E43">_xlfn.XLOOKUP(C43,'Feuille 25'!B:B,'Feuille 25'!D:D)</f>
        <v>1.2864</v>
      </c>
      <c r="F43" s="1319" t="s">
        <v>812</v>
      </c>
      <c r="G43" s="325"/>
      <c r="H43" s="14" t="s">
        <v>179</v>
      </c>
      <c r="I43" s="14" t="s">
        <v>18</v>
      </c>
      <c r="J43" s="1375" t="s">
        <v>806</v>
      </c>
      <c r="K43" s="312"/>
      <c r="L43" s="1302">
        <f t="shared" si="3"/>
        <v>4116.48</v>
      </c>
    </row>
    <row r="44" ht="38.25" customHeight="1">
      <c r="A44" s="1352">
        <v>46239.0</v>
      </c>
      <c r="B44" s="1364" t="s">
        <v>807</v>
      </c>
      <c r="C44" s="1391">
        <v>1327.0</v>
      </c>
      <c r="D44" s="1366">
        <v>3200.0</v>
      </c>
      <c r="E44" s="1292">
        <f t="array" ref="E44">_xlfn.XLOOKUP(C44,'Feuille 25'!B:B,'Feuille 25'!D:D)</f>
        <v>1.2473</v>
      </c>
      <c r="F44" s="1367" t="s">
        <v>827</v>
      </c>
      <c r="G44" s="317"/>
      <c r="H44" s="22" t="s">
        <v>179</v>
      </c>
      <c r="I44" s="22" t="s">
        <v>18</v>
      </c>
      <c r="J44" s="1375" t="s">
        <v>806</v>
      </c>
      <c r="K44" s="307"/>
      <c r="L44" s="1302">
        <f t="shared" si="3"/>
        <v>3991.36</v>
      </c>
    </row>
    <row r="45" ht="38.25" customHeight="1">
      <c r="A45" s="1358">
        <v>46239.0</v>
      </c>
      <c r="B45" s="1359" t="s">
        <v>807</v>
      </c>
      <c r="C45" s="1360">
        <v>1328.0</v>
      </c>
      <c r="D45" s="1361">
        <v>3000.0</v>
      </c>
      <c r="E45" s="1292">
        <f t="array" ref="E45">_xlfn.XLOOKUP(C45,'Feuille 25'!B:B,'Feuille 25'!D:D)</f>
        <v>0.6412</v>
      </c>
      <c r="F45" s="1362" t="s">
        <v>816</v>
      </c>
      <c r="G45" s="325"/>
      <c r="H45" s="14" t="s">
        <v>179</v>
      </c>
      <c r="I45" s="14" t="s">
        <v>18</v>
      </c>
      <c r="J45" s="1375" t="s">
        <v>806</v>
      </c>
      <c r="K45" s="312"/>
      <c r="L45" s="1302">
        <f t="shared" si="3"/>
        <v>1923.6</v>
      </c>
    </row>
    <row r="46" ht="38.25" customHeight="1">
      <c r="A46" s="1352">
        <v>46239.0</v>
      </c>
      <c r="B46" s="1389" t="s">
        <v>807</v>
      </c>
      <c r="C46" s="1307">
        <v>1330.0</v>
      </c>
      <c r="D46" s="1308">
        <v>3200.0</v>
      </c>
      <c r="E46" s="1292">
        <f t="array" ref="E46">_xlfn.XLOOKUP(C46,'Feuille 25'!B:B,'Feuille 25'!D:D)</f>
        <v>0.9004</v>
      </c>
      <c r="F46" s="1309" t="s">
        <v>812</v>
      </c>
      <c r="G46" s="317"/>
      <c r="H46" s="22" t="s">
        <v>179</v>
      </c>
      <c r="I46" s="22" t="s">
        <v>18</v>
      </c>
      <c r="J46" s="1375" t="s">
        <v>806</v>
      </c>
      <c r="K46" s="307"/>
      <c r="L46" s="1302">
        <f t="shared" si="3"/>
        <v>2881.28</v>
      </c>
    </row>
    <row r="47" ht="38.25" customHeight="1">
      <c r="A47" s="1358">
        <v>46239.0</v>
      </c>
      <c r="B47" s="1359" t="s">
        <v>807</v>
      </c>
      <c r="C47" s="1360">
        <v>1331.0</v>
      </c>
      <c r="D47" s="1361">
        <v>3000.0</v>
      </c>
      <c r="E47" s="1292">
        <f t="array" ref="E47">_xlfn.XLOOKUP(C47,'Feuille 25'!B:B,'Feuille 25'!D:D)</f>
        <v>1.3457</v>
      </c>
      <c r="F47" s="1362" t="s">
        <v>816</v>
      </c>
      <c r="G47" s="325"/>
      <c r="H47" s="14" t="s">
        <v>179</v>
      </c>
      <c r="I47" s="14" t="s">
        <v>18</v>
      </c>
      <c r="J47" s="1375" t="s">
        <v>806</v>
      </c>
      <c r="K47" s="312"/>
      <c r="L47" s="1302">
        <f t="shared" si="3"/>
        <v>4037.1</v>
      </c>
    </row>
    <row r="48" ht="38.25" customHeight="1">
      <c r="A48" s="1352">
        <v>46240.0</v>
      </c>
      <c r="B48" s="1364" t="s">
        <v>807</v>
      </c>
      <c r="C48" s="1391">
        <v>1329.0</v>
      </c>
      <c r="D48" s="1366">
        <v>3200.0</v>
      </c>
      <c r="E48" s="1292">
        <f t="array" ref="E48">_xlfn.XLOOKUP(C48,'Feuille 25'!B:B,'Feuille 25'!D:D)</f>
        <v>0.778</v>
      </c>
      <c r="F48" s="1367" t="s">
        <v>827</v>
      </c>
      <c r="G48" s="317"/>
      <c r="H48" s="22" t="s">
        <v>179</v>
      </c>
      <c r="I48" s="22" t="s">
        <v>18</v>
      </c>
      <c r="J48" s="1375" t="s">
        <v>806</v>
      </c>
      <c r="K48" s="307"/>
      <c r="L48" s="1302">
        <f t="shared" si="3"/>
        <v>2489.6</v>
      </c>
    </row>
    <row r="49" ht="38.25" customHeight="1">
      <c r="A49" s="1358">
        <v>46240.0</v>
      </c>
      <c r="B49" s="1359" t="s">
        <v>807</v>
      </c>
      <c r="C49" s="1360">
        <v>1332.0</v>
      </c>
      <c r="D49" s="1361">
        <v>3000.0</v>
      </c>
      <c r="E49" s="1292">
        <f t="array" ref="E49">_xlfn.XLOOKUP(C49,'Feuille 25'!B:B,'Feuille 25'!D:D)</f>
        <v>0.8637</v>
      </c>
      <c r="F49" s="1362" t="s">
        <v>816</v>
      </c>
      <c r="G49" s="325"/>
      <c r="H49" s="14" t="s">
        <v>179</v>
      </c>
      <c r="I49" s="14" t="s">
        <v>18</v>
      </c>
      <c r="J49" s="1375" t="s">
        <v>806</v>
      </c>
      <c r="K49" s="312"/>
      <c r="L49" s="1302">
        <f t="shared" si="3"/>
        <v>2591.1</v>
      </c>
    </row>
    <row r="50" ht="38.25" customHeight="1">
      <c r="A50" s="1352">
        <v>46240.0</v>
      </c>
      <c r="B50" s="1393" t="s">
        <v>807</v>
      </c>
      <c r="C50" s="1394">
        <v>1333.0</v>
      </c>
      <c r="D50" s="1395">
        <v>3200.0</v>
      </c>
      <c r="E50" s="1339">
        <f t="array" ref="E50">_xlfn.XLOOKUP(C50,'Feuille 25'!B:B,'Feuille 25'!D:D)</f>
        <v>0.5622</v>
      </c>
      <c r="F50" s="1396" t="s">
        <v>812</v>
      </c>
      <c r="G50" s="307"/>
      <c r="H50" s="39" t="s">
        <v>179</v>
      </c>
      <c r="I50" s="39" t="s">
        <v>18</v>
      </c>
      <c r="J50" s="1375" t="s">
        <v>806</v>
      </c>
      <c r="K50" s="307"/>
      <c r="L50" s="1302">
        <f t="shared" si="3"/>
        <v>1799.04</v>
      </c>
    </row>
    <row r="51" ht="38.25" customHeight="1">
      <c r="A51" s="1358">
        <v>46241.0</v>
      </c>
      <c r="B51" s="1397" t="s">
        <v>807</v>
      </c>
      <c r="C51" s="1398">
        <v>1344.0</v>
      </c>
      <c r="D51" s="1399">
        <v>3200.0</v>
      </c>
      <c r="E51" s="1347">
        <f t="array" ref="E51">_xlfn.XLOOKUP(C51,'Feuille 25'!B:B,'Feuille 25'!D:D)</f>
        <v>1.1751</v>
      </c>
      <c r="F51" s="1400" t="s">
        <v>812</v>
      </c>
      <c r="G51" s="1401"/>
      <c r="H51" s="1350" t="s">
        <v>179</v>
      </c>
      <c r="I51" s="1350" t="s">
        <v>18</v>
      </c>
      <c r="J51" s="1375" t="s">
        <v>806</v>
      </c>
      <c r="K51" s="312"/>
      <c r="L51" s="1302">
        <f t="shared" si="3"/>
        <v>3760.32</v>
      </c>
    </row>
    <row r="52" ht="38.25" customHeight="1">
      <c r="A52" s="1352">
        <v>46240.0</v>
      </c>
      <c r="B52" s="1389" t="s">
        <v>807</v>
      </c>
      <c r="C52" s="1307">
        <v>1349.0</v>
      </c>
      <c r="D52" s="1308">
        <v>3200.0</v>
      </c>
      <c r="E52" s="1292">
        <f t="array" ref="E52">_xlfn.XLOOKUP(C52,'Feuille 25'!B:B,'Feuille 25'!D:D)</f>
        <v>0.9581</v>
      </c>
      <c r="F52" s="1396" t="s">
        <v>812</v>
      </c>
      <c r="G52" s="307"/>
      <c r="H52" s="22" t="s">
        <v>179</v>
      </c>
      <c r="I52" s="22" t="s">
        <v>18</v>
      </c>
      <c r="J52" s="1375" t="s">
        <v>806</v>
      </c>
      <c r="K52" s="307"/>
      <c r="L52" s="1302">
        <f t="shared" si="3"/>
        <v>3065.92</v>
      </c>
    </row>
    <row r="53" ht="38.25" customHeight="1">
      <c r="A53" s="1358">
        <v>46241.0</v>
      </c>
      <c r="B53" s="1364" t="s">
        <v>807</v>
      </c>
      <c r="C53" s="1391">
        <v>1346.0</v>
      </c>
      <c r="D53" s="1366">
        <v>3200.0</v>
      </c>
      <c r="E53" s="1292">
        <f t="array" ref="E53">_xlfn.XLOOKUP(C53,'Feuille 25'!B:B,'Feuille 25'!D:D)</f>
        <v>1.1184</v>
      </c>
      <c r="F53" s="1367" t="s">
        <v>827</v>
      </c>
      <c r="G53" s="325"/>
      <c r="H53" s="14" t="s">
        <v>179</v>
      </c>
      <c r="I53" s="14" t="s">
        <v>18</v>
      </c>
      <c r="J53" s="1375" t="s">
        <v>806</v>
      </c>
      <c r="K53" s="312"/>
      <c r="L53" s="1302">
        <f t="shared" si="3"/>
        <v>3578.88</v>
      </c>
    </row>
    <row r="54" ht="38.25" customHeight="1">
      <c r="A54" s="1352">
        <v>46242.0</v>
      </c>
      <c r="B54" s="1359" t="s">
        <v>807</v>
      </c>
      <c r="C54" s="1360">
        <v>1345.0</v>
      </c>
      <c r="D54" s="1361">
        <v>3200.0</v>
      </c>
      <c r="E54" s="1292">
        <f t="array" ref="E54">_xlfn.XLOOKUP(C54,'Feuille 25'!B:B,'Feuille 25'!D:D)</f>
        <v>1.1394</v>
      </c>
      <c r="F54" s="1362" t="s">
        <v>816</v>
      </c>
      <c r="G54" s="317"/>
      <c r="H54" s="22" t="s">
        <v>179</v>
      </c>
      <c r="I54" s="22" t="s">
        <v>18</v>
      </c>
      <c r="J54" s="1375" t="s">
        <v>806</v>
      </c>
      <c r="K54" s="307"/>
      <c r="L54" s="1302">
        <f t="shared" si="3"/>
        <v>3646.08</v>
      </c>
    </row>
    <row r="55" ht="38.25" customHeight="1">
      <c r="A55" s="1358">
        <v>46243.0</v>
      </c>
      <c r="B55" s="1402" t="s">
        <v>807</v>
      </c>
      <c r="C55" s="1365">
        <v>1351.0</v>
      </c>
      <c r="D55" s="1403">
        <v>3200.0</v>
      </c>
      <c r="E55" s="1292">
        <f t="array" ref="E55">_xlfn.XLOOKUP(C55,'Feuille 25'!B:B,'Feuille 25'!D:D)</f>
        <v>1.0847</v>
      </c>
      <c r="F55" s="1367" t="s">
        <v>827</v>
      </c>
      <c r="G55" s="325"/>
      <c r="H55" s="14" t="s">
        <v>179</v>
      </c>
      <c r="I55" s="14" t="s">
        <v>18</v>
      </c>
      <c r="J55" s="1375" t="s">
        <v>806</v>
      </c>
      <c r="K55" s="312"/>
      <c r="L55" s="1302">
        <f t="shared" si="3"/>
        <v>3471.04</v>
      </c>
    </row>
    <row r="56" ht="38.25" customHeight="1">
      <c r="A56" s="1352">
        <v>46244.0</v>
      </c>
      <c r="B56" s="1364" t="s">
        <v>807</v>
      </c>
      <c r="C56" s="1391">
        <v>1348.0</v>
      </c>
      <c r="D56" s="1366">
        <v>3200.0</v>
      </c>
      <c r="E56" s="1292">
        <f t="array" ref="E56">_xlfn.XLOOKUP(C56,'Feuille 25'!B:B,'Feuille 25'!D:D)</f>
        <v>0.4962</v>
      </c>
      <c r="F56" s="1367" t="s">
        <v>827</v>
      </c>
      <c r="G56" s="317"/>
      <c r="H56" s="22" t="s">
        <v>179</v>
      </c>
      <c r="I56" s="22" t="s">
        <v>18</v>
      </c>
      <c r="J56" s="1375" t="s">
        <v>806</v>
      </c>
      <c r="K56" s="307"/>
      <c r="L56" s="1302">
        <f t="shared" si="3"/>
        <v>1587.84</v>
      </c>
    </row>
    <row r="57" ht="38.25" customHeight="1">
      <c r="A57" s="1358">
        <v>46244.0</v>
      </c>
      <c r="B57" s="1389" t="s">
        <v>807</v>
      </c>
      <c r="C57" s="1307">
        <v>1350.0</v>
      </c>
      <c r="D57" s="1308">
        <v>3200.0</v>
      </c>
      <c r="E57" s="1292">
        <f t="array" ref="E57">_xlfn.XLOOKUP(C57,'Feuille 25'!B:B,'Feuille 25'!D:D)</f>
        <v>1.1815</v>
      </c>
      <c r="F57" s="1396" t="s">
        <v>812</v>
      </c>
      <c r="G57" s="312"/>
      <c r="H57" s="14" t="s">
        <v>179</v>
      </c>
      <c r="I57" s="14" t="s">
        <v>18</v>
      </c>
      <c r="J57" s="1375" t="s">
        <v>806</v>
      </c>
      <c r="K57" s="312"/>
      <c r="L57" s="1302">
        <f t="shared" si="3"/>
        <v>3780.8</v>
      </c>
    </row>
    <row r="58" ht="38.25" customHeight="1">
      <c r="A58" s="1404">
        <v>46244.0</v>
      </c>
      <c r="B58" s="1359" t="s">
        <v>807</v>
      </c>
      <c r="C58" s="1405">
        <v>1347.0</v>
      </c>
      <c r="D58" s="1406">
        <v>3200.0</v>
      </c>
      <c r="E58" s="1292">
        <f t="array" ref="E58">_xlfn.XLOOKUP(C58,'Feuille 25'!B:B,'Feuille 25'!D:D)</f>
        <v>1.1424</v>
      </c>
      <c r="F58" s="1407" t="s">
        <v>816</v>
      </c>
      <c r="G58" s="307"/>
      <c r="H58" s="39" t="s">
        <v>179</v>
      </c>
      <c r="I58" s="39" t="s">
        <v>18</v>
      </c>
      <c r="J58" s="1375" t="s">
        <v>806</v>
      </c>
      <c r="K58" s="307"/>
      <c r="L58" s="1302">
        <f t="shared" si="3"/>
        <v>3655.68</v>
      </c>
    </row>
    <row r="59" ht="38.25" customHeight="1">
      <c r="A59" s="1408">
        <v>46245.0</v>
      </c>
      <c r="B59" s="1409" t="s">
        <v>807</v>
      </c>
      <c r="C59" s="1410">
        <v>1364.0</v>
      </c>
      <c r="D59" s="1411">
        <v>3200.0</v>
      </c>
      <c r="E59" s="1292">
        <f t="array" ref="E59">_xlfn.XLOOKUP(C59,'Feuille 25'!B:B,'Feuille 25'!D:D)</f>
        <v>0.7251</v>
      </c>
      <c r="F59" s="1412" t="s">
        <v>812</v>
      </c>
      <c r="G59" s="1401"/>
      <c r="H59" s="1350" t="s">
        <v>179</v>
      </c>
      <c r="I59" s="1350" t="s">
        <v>18</v>
      </c>
      <c r="J59" s="1375" t="s">
        <v>806</v>
      </c>
      <c r="K59" s="312"/>
      <c r="L59" s="1302">
        <f t="shared" si="3"/>
        <v>2320.32</v>
      </c>
    </row>
    <row r="60" ht="38.25" customHeight="1">
      <c r="A60" s="1352">
        <v>46245.0</v>
      </c>
      <c r="B60" s="1413" t="s">
        <v>807</v>
      </c>
      <c r="C60" s="1414">
        <v>1359.0</v>
      </c>
      <c r="D60" s="1415">
        <v>3200.0</v>
      </c>
      <c r="E60" s="1292">
        <f t="array" ref="E60">_xlfn.XLOOKUP(C60,'Feuille 25'!B:B,'Feuille 25'!D:D)</f>
        <v>1.4703</v>
      </c>
      <c r="F60" s="1416" t="s">
        <v>812</v>
      </c>
      <c r="G60" s="317"/>
      <c r="H60" s="22" t="s">
        <v>179</v>
      </c>
      <c r="I60" s="22" t="s">
        <v>18</v>
      </c>
      <c r="J60" s="1375" t="s">
        <v>806</v>
      </c>
      <c r="K60" s="307"/>
      <c r="L60" s="1302">
        <f t="shared" si="3"/>
        <v>4704.96</v>
      </c>
    </row>
    <row r="61" ht="38.25" customHeight="1">
      <c r="A61" s="1358">
        <v>46246.0</v>
      </c>
      <c r="B61" s="1413" t="s">
        <v>807</v>
      </c>
      <c r="C61" s="1414">
        <v>1355.0</v>
      </c>
      <c r="D61" s="1415">
        <v>3200.0</v>
      </c>
      <c r="E61" s="1292">
        <f t="array" ref="E61">_xlfn.XLOOKUP(C61,'Feuille 25'!B:B,'Feuille 25'!D:D)</f>
        <v>0.9471</v>
      </c>
      <c r="F61" s="1416" t="s">
        <v>812</v>
      </c>
      <c r="G61" s="325"/>
      <c r="H61" s="14" t="s">
        <v>179</v>
      </c>
      <c r="I61" s="14" t="s">
        <v>18</v>
      </c>
      <c r="J61" s="1375" t="s">
        <v>806</v>
      </c>
      <c r="K61" s="312"/>
      <c r="L61" s="1302">
        <f t="shared" si="3"/>
        <v>3030.72</v>
      </c>
    </row>
    <row r="62" ht="38.25" customHeight="1">
      <c r="A62" s="1352">
        <v>46247.0</v>
      </c>
      <c r="B62" s="1413" t="s">
        <v>807</v>
      </c>
      <c r="C62" s="1417">
        <v>1354.0</v>
      </c>
      <c r="D62" s="1418">
        <v>3200.0</v>
      </c>
      <c r="E62" s="1292">
        <f t="array" ref="E62">_xlfn.XLOOKUP(C62,'Feuille 25'!B:B,'Feuille 25'!D:D)</f>
        <v>1.2522</v>
      </c>
      <c r="F62" s="1419" t="s">
        <v>812</v>
      </c>
      <c r="G62" s="317"/>
      <c r="H62" s="22" t="s">
        <v>179</v>
      </c>
      <c r="I62" s="22" t="s">
        <v>18</v>
      </c>
      <c r="J62" s="1375" t="s">
        <v>806</v>
      </c>
      <c r="K62" s="307"/>
      <c r="L62" s="1302">
        <f t="shared" si="3"/>
        <v>4007.04</v>
      </c>
    </row>
    <row r="63" ht="38.25" customHeight="1">
      <c r="A63" s="1358">
        <v>46247.0</v>
      </c>
      <c r="B63" s="1413" t="s">
        <v>807</v>
      </c>
      <c r="C63" s="1414">
        <v>1353.0</v>
      </c>
      <c r="D63" s="1418">
        <v>3200.0</v>
      </c>
      <c r="E63" s="1292">
        <f t="array" ref="E63">_xlfn.XLOOKUP(C63,'Feuille 25'!B:B,'Feuille 25'!D:D)</f>
        <v>1.1403</v>
      </c>
      <c r="F63" s="1419" t="s">
        <v>812</v>
      </c>
      <c r="G63" s="325"/>
      <c r="H63" s="14" t="s">
        <v>179</v>
      </c>
      <c r="I63" s="14" t="s">
        <v>18</v>
      </c>
      <c r="J63" s="1375" t="s">
        <v>806</v>
      </c>
      <c r="K63" s="312"/>
      <c r="L63" s="1302">
        <f t="shared" si="3"/>
        <v>3648.96</v>
      </c>
    </row>
    <row r="64" ht="38.25" customHeight="1">
      <c r="A64" s="1352">
        <v>46247.0</v>
      </c>
      <c r="B64" s="1402" t="s">
        <v>807</v>
      </c>
      <c r="C64" s="1365">
        <v>1363.0</v>
      </c>
      <c r="D64" s="1403">
        <v>3200.0</v>
      </c>
      <c r="E64" s="1292">
        <f t="array" ref="E64">_xlfn.XLOOKUP(C64,'Feuille 25'!B:B,'Feuille 25'!D:D)</f>
        <v>0.9268</v>
      </c>
      <c r="F64" s="1367" t="s">
        <v>827</v>
      </c>
      <c r="G64" s="317"/>
      <c r="H64" s="22" t="s">
        <v>179</v>
      </c>
      <c r="I64" s="22" t="s">
        <v>18</v>
      </c>
      <c r="J64" s="1375" t="s">
        <v>806</v>
      </c>
      <c r="K64" s="307"/>
      <c r="L64" s="1302">
        <f t="shared" si="3"/>
        <v>2965.76</v>
      </c>
    </row>
    <row r="65" ht="38.25" customHeight="1">
      <c r="A65" s="1358">
        <v>46247.0</v>
      </c>
      <c r="B65" s="1364" t="s">
        <v>807</v>
      </c>
      <c r="C65" s="1391">
        <v>1362.0</v>
      </c>
      <c r="D65" s="1366">
        <v>3200.0</v>
      </c>
      <c r="E65" s="1292">
        <f t="array" ref="E65">_xlfn.XLOOKUP(C65,'Feuille 25'!B:B,'Feuille 25'!D:D)</f>
        <v>0.8417</v>
      </c>
      <c r="F65" s="1367" t="s">
        <v>827</v>
      </c>
      <c r="G65" s="325"/>
      <c r="H65" s="14" t="s">
        <v>179</v>
      </c>
      <c r="I65" s="14" t="s">
        <v>18</v>
      </c>
      <c r="J65" s="1375" t="s">
        <v>806</v>
      </c>
      <c r="K65" s="312"/>
      <c r="L65" s="1302">
        <f t="shared" si="3"/>
        <v>2693.44</v>
      </c>
    </row>
    <row r="66" ht="38.25" customHeight="1">
      <c r="A66" s="1352">
        <v>46248.0</v>
      </c>
      <c r="B66" s="1402" t="s">
        <v>807</v>
      </c>
      <c r="C66" s="1365">
        <v>1358.0</v>
      </c>
      <c r="D66" s="1403">
        <v>3200.0</v>
      </c>
      <c r="E66" s="1292">
        <f t="array" ref="E66">_xlfn.XLOOKUP(C66,'Feuille 25'!B:B,'Feuille 25'!D:D)</f>
        <v>1.0336</v>
      </c>
      <c r="F66" s="1367" t="s">
        <v>827</v>
      </c>
      <c r="G66" s="317"/>
      <c r="H66" s="22" t="s">
        <v>179</v>
      </c>
      <c r="I66" s="22" t="s">
        <v>18</v>
      </c>
      <c r="J66" s="1375" t="s">
        <v>806</v>
      </c>
      <c r="K66" s="307"/>
      <c r="L66" s="1302">
        <f t="shared" si="3"/>
        <v>3307.52</v>
      </c>
    </row>
    <row r="67" ht="38.25" customHeight="1">
      <c r="A67" s="1358">
        <v>46248.0</v>
      </c>
      <c r="B67" s="1402" t="s">
        <v>807</v>
      </c>
      <c r="C67" s="1365">
        <v>1361.0</v>
      </c>
      <c r="D67" s="1403">
        <v>3200.0</v>
      </c>
      <c r="E67" s="1292">
        <f t="array" ref="E67">_xlfn.XLOOKUP(C67,'Feuille 25'!B:B,'Feuille 25'!D:D)</f>
        <v>1.0157</v>
      </c>
      <c r="F67" s="1420" t="s">
        <v>827</v>
      </c>
      <c r="G67" s="312"/>
      <c r="H67" s="14" t="s">
        <v>179</v>
      </c>
      <c r="I67" s="14" t="s">
        <v>18</v>
      </c>
      <c r="J67" s="1375" t="s">
        <v>806</v>
      </c>
      <c r="K67" s="312"/>
      <c r="L67" s="1302">
        <f t="shared" si="3"/>
        <v>3250.24</v>
      </c>
    </row>
    <row r="68" ht="38.25" customHeight="1">
      <c r="A68" s="1352">
        <v>46249.0</v>
      </c>
      <c r="B68" s="1413" t="s">
        <v>807</v>
      </c>
      <c r="C68" s="1421">
        <v>1357.0</v>
      </c>
      <c r="D68" s="1418">
        <v>3200.0</v>
      </c>
      <c r="E68" s="1292">
        <v>1.0285</v>
      </c>
      <c r="F68" s="1416" t="s">
        <v>812</v>
      </c>
      <c r="G68" s="317"/>
      <c r="H68" s="22" t="s">
        <v>179</v>
      </c>
      <c r="I68" s="22" t="s">
        <v>18</v>
      </c>
      <c r="J68" s="1375" t="s">
        <v>806</v>
      </c>
      <c r="K68" s="307"/>
      <c r="L68" s="1302">
        <f t="shared" si="3"/>
        <v>3291.2</v>
      </c>
    </row>
    <row r="69" ht="38.25" customHeight="1">
      <c r="A69" s="1358">
        <v>46251.0</v>
      </c>
      <c r="B69" s="1413" t="s">
        <v>807</v>
      </c>
      <c r="C69" s="1422">
        <v>1314.0</v>
      </c>
      <c r="D69" s="1418">
        <v>3200.0</v>
      </c>
      <c r="E69" s="1292">
        <v>1.0289</v>
      </c>
      <c r="F69" s="1416" t="s">
        <v>812</v>
      </c>
      <c r="G69" s="325"/>
      <c r="H69" s="14" t="s">
        <v>179</v>
      </c>
      <c r="I69" s="14" t="s">
        <v>18</v>
      </c>
      <c r="J69" s="1375" t="s">
        <v>806</v>
      </c>
      <c r="K69" s="312"/>
      <c r="L69" s="1302">
        <f t="shared" si="3"/>
        <v>3292.48</v>
      </c>
    </row>
    <row r="70" ht="38.25" customHeight="1">
      <c r="A70" s="1352">
        <v>46252.0</v>
      </c>
      <c r="B70" s="1413" t="s">
        <v>807</v>
      </c>
      <c r="C70" s="1421">
        <v>1356.0</v>
      </c>
      <c r="D70" s="1418">
        <v>3200.0</v>
      </c>
      <c r="E70" s="1292">
        <v>1.0277</v>
      </c>
      <c r="F70" s="1416" t="s">
        <v>812</v>
      </c>
      <c r="G70" s="317"/>
      <c r="H70" s="22" t="s">
        <v>179</v>
      </c>
      <c r="I70" s="22" t="s">
        <v>18</v>
      </c>
      <c r="J70" s="1375" t="s">
        <v>806</v>
      </c>
      <c r="K70" s="307"/>
      <c r="L70" s="1302">
        <f t="shared" si="3"/>
        <v>3288.64</v>
      </c>
    </row>
    <row r="71" ht="38.25" customHeight="1">
      <c r="A71" s="1358">
        <v>46253.0</v>
      </c>
      <c r="B71" s="1413" t="s">
        <v>807</v>
      </c>
      <c r="C71" s="1423">
        <v>1360.0</v>
      </c>
      <c r="D71" s="1418">
        <v>3200.0</v>
      </c>
      <c r="E71" s="1292">
        <v>1.0311</v>
      </c>
      <c r="F71" s="1416" t="s">
        <v>812</v>
      </c>
      <c r="G71" s="325"/>
      <c r="H71" s="14" t="s">
        <v>179</v>
      </c>
      <c r="I71" s="14" t="s">
        <v>18</v>
      </c>
      <c r="J71" s="1375" t="s">
        <v>806</v>
      </c>
      <c r="K71" s="312"/>
      <c r="L71" s="1302">
        <f t="shared" si="3"/>
        <v>3299.52</v>
      </c>
    </row>
    <row r="72" ht="38.25" customHeight="1">
      <c r="A72" s="1352">
        <v>46253.0</v>
      </c>
      <c r="B72" s="1413" t="s">
        <v>807</v>
      </c>
      <c r="C72" s="1421">
        <v>1352.0</v>
      </c>
      <c r="D72" s="1418">
        <v>3200.0</v>
      </c>
      <c r="E72" s="1292">
        <v>0.8763</v>
      </c>
      <c r="F72" s="1416" t="s">
        <v>812</v>
      </c>
      <c r="G72" s="317"/>
      <c r="H72" s="22" t="s">
        <v>179</v>
      </c>
      <c r="I72" s="22" t="s">
        <v>18</v>
      </c>
      <c r="J72" s="1375" t="s">
        <v>806</v>
      </c>
      <c r="K72" s="307"/>
      <c r="L72" s="1302">
        <f t="shared" si="3"/>
        <v>2804.16</v>
      </c>
    </row>
    <row r="73" ht="38.25" customHeight="1">
      <c r="A73" s="1358"/>
      <c r="B73" s="1413" t="s">
        <v>807</v>
      </c>
      <c r="C73" s="1423">
        <v>1312.0</v>
      </c>
      <c r="D73" s="1418">
        <v>3200.0</v>
      </c>
      <c r="E73" s="1292">
        <v>1.2013</v>
      </c>
      <c r="F73" s="1416" t="s">
        <v>812</v>
      </c>
      <c r="G73" s="325"/>
      <c r="H73" s="14" t="s">
        <v>179</v>
      </c>
      <c r="I73" s="14" t="s">
        <v>18</v>
      </c>
      <c r="J73" s="1375" t="s">
        <v>806</v>
      </c>
      <c r="K73" s="312"/>
      <c r="L73" s="1302">
        <f t="shared" si="3"/>
        <v>3844.16</v>
      </c>
    </row>
    <row r="74" ht="38.25" customHeight="1">
      <c r="A74" s="1352"/>
      <c r="B74" s="1424" t="s">
        <v>33</v>
      </c>
      <c r="C74" s="1421"/>
      <c r="D74" s="718"/>
      <c r="E74" s="718"/>
      <c r="F74" s="398"/>
      <c r="G74" s="317"/>
      <c r="H74" s="22"/>
      <c r="I74" s="22"/>
      <c r="J74" s="718"/>
      <c r="K74" s="718"/>
      <c r="L74" s="1425">
        <f>SUM(L7:L73)</f>
        <v>195481.08</v>
      </c>
    </row>
    <row r="75" ht="38.25" customHeight="1">
      <c r="A75" s="1358"/>
      <c r="B75" s="1426" t="s">
        <v>846</v>
      </c>
      <c r="C75" s="1423"/>
      <c r="D75" s="723"/>
      <c r="E75" s="723"/>
      <c r="F75" s="374"/>
      <c r="G75" s="325"/>
      <c r="H75" s="14"/>
      <c r="I75" s="14"/>
      <c r="J75" s="14" t="s">
        <v>847</v>
      </c>
      <c r="K75" s="14"/>
      <c r="L75" s="1302"/>
    </row>
    <row r="76" ht="38.25" customHeight="1">
      <c r="A76" s="1427"/>
      <c r="B76" s="1428"/>
      <c r="C76" s="1429"/>
      <c r="D76" s="1430"/>
      <c r="E76" s="1431"/>
      <c r="F76" s="270"/>
      <c r="G76" s="270"/>
      <c r="H76" s="30"/>
      <c r="I76" s="30"/>
      <c r="J76" s="30"/>
      <c r="K76" s="30"/>
      <c r="L76" s="1432"/>
    </row>
    <row r="77" ht="38.25" customHeight="1">
      <c r="A77" s="1433"/>
      <c r="B77" s="1434"/>
      <c r="C77" s="1435"/>
      <c r="D77" s="1436"/>
      <c r="E77" s="1437"/>
      <c r="F77" s="269"/>
      <c r="G77" s="269"/>
      <c r="H77" s="28"/>
      <c r="I77" s="28"/>
      <c r="J77" s="28"/>
      <c r="K77" s="28"/>
      <c r="L77" s="1438"/>
    </row>
    <row r="78" ht="38.25" customHeight="1">
      <c r="A78" s="1427"/>
      <c r="B78" s="1428"/>
      <c r="C78" s="1429"/>
      <c r="D78" s="1430"/>
      <c r="E78" s="1431"/>
      <c r="F78" s="270"/>
      <c r="G78" s="270"/>
      <c r="H78" s="30"/>
      <c r="I78" s="30"/>
      <c r="J78" s="30"/>
      <c r="K78" s="30"/>
      <c r="L78" s="1432"/>
    </row>
    <row r="79" ht="38.25" customHeight="1">
      <c r="A79" s="1433"/>
      <c r="B79" s="1434"/>
      <c r="C79" s="1435"/>
      <c r="D79" s="1436"/>
      <c r="E79" s="1437"/>
      <c r="F79" s="269"/>
      <c r="G79" s="269"/>
      <c r="H79" s="28"/>
      <c r="I79" s="28"/>
      <c r="J79" s="28"/>
      <c r="K79" s="28"/>
      <c r="L79" s="1438"/>
    </row>
    <row r="80" ht="38.25" customHeight="1">
      <c r="A80" s="1427"/>
      <c r="B80" s="1428"/>
      <c r="C80" s="1429"/>
      <c r="D80" s="1430"/>
      <c r="E80" s="1431"/>
      <c r="F80" s="270"/>
      <c r="G80" s="270"/>
      <c r="H80" s="30"/>
      <c r="I80" s="30"/>
      <c r="J80" s="30"/>
      <c r="K80" s="30"/>
      <c r="L80" s="1432"/>
    </row>
    <row r="81" ht="38.25" customHeight="1">
      <c r="A81" s="1433"/>
      <c r="B81" s="1434"/>
      <c r="C81" s="1435"/>
      <c r="D81" s="1436"/>
      <c r="E81" s="1437"/>
      <c r="F81" s="269"/>
      <c r="G81" s="269"/>
      <c r="H81" s="28"/>
      <c r="I81" s="28"/>
      <c r="J81" s="28"/>
      <c r="K81" s="28"/>
      <c r="L81" s="1438"/>
    </row>
    <row r="82" ht="38.25" customHeight="1">
      <c r="A82" s="1427"/>
      <c r="B82" s="1428"/>
      <c r="C82" s="1429"/>
      <c r="D82" s="1430"/>
      <c r="E82" s="1431"/>
      <c r="F82" s="270"/>
      <c r="G82" s="270"/>
      <c r="H82" s="30"/>
      <c r="I82" s="30"/>
      <c r="J82" s="30"/>
      <c r="K82" s="30"/>
      <c r="L82" s="1432"/>
    </row>
    <row r="83" ht="38.25" customHeight="1">
      <c r="A83" s="1433"/>
      <c r="B83" s="1434"/>
      <c r="C83" s="1435"/>
      <c r="D83" s="1436"/>
      <c r="E83" s="1437"/>
      <c r="F83" s="269"/>
      <c r="G83" s="269"/>
      <c r="H83" s="28"/>
      <c r="I83" s="28"/>
      <c r="J83" s="28"/>
      <c r="K83" s="28"/>
      <c r="L83" s="1438"/>
    </row>
    <row r="84" ht="38.25" customHeight="1">
      <c r="A84" s="1427"/>
      <c r="B84" s="1428"/>
      <c r="C84" s="1429"/>
      <c r="D84" s="1430"/>
      <c r="E84" s="1431"/>
      <c r="F84" s="270"/>
      <c r="G84" s="270"/>
      <c r="H84" s="30"/>
      <c r="I84" s="30"/>
      <c r="J84" s="30"/>
      <c r="K84" s="30"/>
      <c r="L84" s="1432"/>
    </row>
    <row r="85" ht="38.25" customHeight="1">
      <c r="A85" s="1433"/>
      <c r="B85" s="1434"/>
      <c r="C85" s="1435"/>
      <c r="D85" s="1436"/>
      <c r="E85" s="1437"/>
      <c r="F85" s="269"/>
      <c r="G85" s="269"/>
      <c r="H85" s="28"/>
      <c r="I85" s="28"/>
      <c r="J85" s="28"/>
      <c r="K85" s="28"/>
      <c r="L85" s="1438"/>
    </row>
    <row r="86" ht="38.25" customHeight="1">
      <c r="A86" s="1427"/>
      <c r="B86" s="1428"/>
      <c r="C86" s="1429"/>
      <c r="D86" s="1430"/>
      <c r="E86" s="1431"/>
      <c r="F86" s="270"/>
      <c r="G86" s="270"/>
      <c r="H86" s="30"/>
      <c r="I86" s="30"/>
      <c r="J86" s="30"/>
      <c r="K86" s="30"/>
      <c r="L86" s="1432"/>
    </row>
    <row r="87" ht="38.25" customHeight="1">
      <c r="A87" s="1433"/>
      <c r="B87" s="1434"/>
      <c r="C87" s="1435"/>
      <c r="D87" s="1436"/>
      <c r="E87" s="1437"/>
      <c r="F87" s="269"/>
      <c r="G87" s="269"/>
      <c r="H87" s="28"/>
      <c r="I87" s="28"/>
      <c r="J87" s="28"/>
      <c r="K87" s="28"/>
      <c r="L87" s="1438"/>
    </row>
    <row r="88" ht="38.25" customHeight="1">
      <c r="A88" s="1427"/>
      <c r="B88" s="1428"/>
      <c r="C88" s="1429"/>
      <c r="D88" s="1430"/>
      <c r="E88" s="1431"/>
      <c r="F88" s="270"/>
      <c r="G88" s="270"/>
      <c r="H88" s="30"/>
      <c r="I88" s="30"/>
      <c r="J88" s="30"/>
      <c r="K88" s="30"/>
      <c r="L88" s="1432"/>
    </row>
    <row r="89" ht="38.25" customHeight="1">
      <c r="A89" s="1433"/>
      <c r="B89" s="1434"/>
      <c r="C89" s="1435"/>
      <c r="D89" s="1436"/>
      <c r="E89" s="1437"/>
      <c r="F89" s="269"/>
      <c r="G89" s="269"/>
      <c r="H89" s="28"/>
      <c r="I89" s="28"/>
      <c r="J89" s="28"/>
      <c r="K89" s="28"/>
      <c r="L89" s="1438"/>
    </row>
    <row r="90" ht="38.25" customHeight="1">
      <c r="A90" s="1427"/>
      <c r="B90" s="1428"/>
      <c r="C90" s="1429"/>
      <c r="D90" s="1430"/>
      <c r="E90" s="1431"/>
      <c r="F90" s="270"/>
      <c r="G90" s="270"/>
      <c r="H90" s="30"/>
      <c r="I90" s="30"/>
      <c r="J90" s="30"/>
      <c r="K90" s="30"/>
      <c r="L90" s="1432"/>
    </row>
    <row r="91" ht="38.25" customHeight="1">
      <c r="A91" s="1433"/>
      <c r="B91" s="1434"/>
      <c r="C91" s="1435"/>
      <c r="D91" s="1436"/>
      <c r="E91" s="1437"/>
      <c r="F91" s="269"/>
      <c r="G91" s="269"/>
      <c r="H91" s="28"/>
      <c r="I91" s="28"/>
      <c r="J91" s="28"/>
      <c r="K91" s="28"/>
      <c r="L91" s="1438"/>
    </row>
    <row r="92" ht="38.25" customHeight="1">
      <c r="A92" s="1427"/>
      <c r="B92" s="1428"/>
      <c r="C92" s="1429"/>
      <c r="D92" s="1430"/>
      <c r="E92" s="1431"/>
      <c r="F92" s="270"/>
      <c r="G92" s="270"/>
      <c r="H92" s="30"/>
      <c r="I92" s="30"/>
      <c r="J92" s="30"/>
      <c r="K92" s="30"/>
      <c r="L92" s="1432"/>
    </row>
    <row r="93" ht="38.25" customHeight="1">
      <c r="A93" s="1433"/>
      <c r="B93" s="1434"/>
      <c r="C93" s="1435"/>
      <c r="D93" s="1436"/>
      <c r="E93" s="1437"/>
      <c r="F93" s="269"/>
      <c r="G93" s="269"/>
      <c r="H93" s="28"/>
      <c r="I93" s="28"/>
      <c r="J93" s="28"/>
      <c r="K93" s="28"/>
      <c r="L93" s="1438"/>
    </row>
    <row r="94" ht="38.25" customHeight="1">
      <c r="A94" s="1427"/>
      <c r="B94" s="1428"/>
      <c r="C94" s="1429"/>
      <c r="D94" s="1430"/>
      <c r="E94" s="1431"/>
      <c r="F94" s="270"/>
      <c r="G94" s="270"/>
      <c r="H94" s="30"/>
      <c r="I94" s="30"/>
      <c r="J94" s="30"/>
      <c r="K94" s="30"/>
      <c r="L94" s="1432"/>
    </row>
    <row r="95" ht="38.25" customHeight="1">
      <c r="A95" s="1433"/>
      <c r="B95" s="1434"/>
      <c r="C95" s="1435"/>
      <c r="D95" s="1436"/>
      <c r="E95" s="1437"/>
      <c r="F95" s="269"/>
      <c r="G95" s="269"/>
      <c r="H95" s="28"/>
      <c r="I95" s="28"/>
      <c r="J95" s="28"/>
      <c r="K95" s="28"/>
      <c r="L95" s="1438"/>
    </row>
    <row r="96" ht="38.25" customHeight="1">
      <c r="A96" s="1427"/>
      <c r="B96" s="1428"/>
      <c r="C96" s="1429"/>
      <c r="D96" s="1430"/>
      <c r="E96" s="1431"/>
      <c r="F96" s="270"/>
      <c r="G96" s="270"/>
      <c r="H96" s="30"/>
      <c r="I96" s="30"/>
      <c r="J96" s="30"/>
      <c r="K96" s="30"/>
      <c r="L96" s="1432"/>
    </row>
    <row r="97" ht="38.25" customHeight="1">
      <c r="A97" s="1433"/>
      <c r="B97" s="1434"/>
      <c r="C97" s="1435"/>
      <c r="D97" s="1436"/>
      <c r="E97" s="1437"/>
      <c r="F97" s="269"/>
      <c r="G97" s="269"/>
      <c r="H97" s="28"/>
      <c r="I97" s="28"/>
      <c r="J97" s="28"/>
      <c r="K97" s="28"/>
      <c r="L97" s="1438"/>
    </row>
    <row r="98" ht="38.25" customHeight="1">
      <c r="A98" s="1427"/>
      <c r="B98" s="1428"/>
      <c r="C98" s="1429"/>
      <c r="D98" s="1430"/>
      <c r="E98" s="1431"/>
      <c r="F98" s="270"/>
      <c r="G98" s="270"/>
      <c r="H98" s="30"/>
      <c r="I98" s="30"/>
      <c r="J98" s="30"/>
      <c r="K98" s="30"/>
      <c r="L98" s="1432"/>
    </row>
    <row r="99" ht="38.25" customHeight="1">
      <c r="A99" s="1433"/>
      <c r="B99" s="1434"/>
      <c r="C99" s="1435"/>
      <c r="D99" s="1436"/>
      <c r="E99" s="1437"/>
      <c r="F99" s="269"/>
      <c r="G99" s="269"/>
      <c r="H99" s="28"/>
      <c r="I99" s="28"/>
      <c r="J99" s="28"/>
      <c r="K99" s="28"/>
      <c r="L99" s="1438"/>
    </row>
    <row r="100" ht="38.25" customHeight="1">
      <c r="A100" s="1427"/>
      <c r="B100" s="1428"/>
      <c r="C100" s="1429"/>
      <c r="D100" s="1430"/>
      <c r="E100" s="1431"/>
      <c r="F100" s="270"/>
      <c r="G100" s="270"/>
      <c r="H100" s="30"/>
      <c r="I100" s="30"/>
      <c r="J100" s="30"/>
      <c r="K100" s="30"/>
      <c r="L100" s="1432"/>
    </row>
    <row r="101" ht="38.25" customHeight="1">
      <c r="A101" s="1433"/>
      <c r="B101" s="1434"/>
      <c r="C101" s="1435"/>
      <c r="D101" s="1436"/>
      <c r="E101" s="1437"/>
      <c r="F101" s="269"/>
      <c r="G101" s="269"/>
      <c r="H101" s="28"/>
      <c r="I101" s="28"/>
      <c r="J101" s="28"/>
      <c r="K101" s="28"/>
      <c r="L101" s="1438"/>
    </row>
    <row r="102" ht="38.25" customHeight="1">
      <c r="A102" s="1427"/>
      <c r="B102" s="1428"/>
      <c r="C102" s="1429"/>
      <c r="D102" s="1430"/>
      <c r="E102" s="1431"/>
      <c r="F102" s="270"/>
      <c r="G102" s="270"/>
      <c r="H102" s="30"/>
      <c r="I102" s="30"/>
      <c r="J102" s="30"/>
      <c r="K102" s="30"/>
      <c r="L102" s="1432"/>
    </row>
    <row r="103" ht="38.25" customHeight="1">
      <c r="A103" s="1433"/>
      <c r="B103" s="1434"/>
      <c r="C103" s="1435"/>
      <c r="D103" s="1436"/>
      <c r="E103" s="1437"/>
      <c r="F103" s="269"/>
      <c r="G103" s="269"/>
      <c r="H103" s="28"/>
      <c r="I103" s="28"/>
      <c r="J103" s="28"/>
      <c r="K103" s="28"/>
      <c r="L103" s="1438"/>
    </row>
    <row r="104" ht="38.25" customHeight="1">
      <c r="A104" s="1427"/>
      <c r="B104" s="1428"/>
      <c r="C104" s="1429"/>
      <c r="D104" s="1430"/>
      <c r="E104" s="1431"/>
      <c r="F104" s="270"/>
      <c r="G104" s="270"/>
      <c r="H104" s="30"/>
      <c r="I104" s="30"/>
      <c r="J104" s="30"/>
      <c r="K104" s="30"/>
      <c r="L104" s="1432"/>
    </row>
    <row r="105" ht="38.25" customHeight="1">
      <c r="A105" s="1433"/>
      <c r="B105" s="1434"/>
      <c r="C105" s="1435"/>
      <c r="D105" s="1436"/>
      <c r="E105" s="1437"/>
      <c r="F105" s="269"/>
      <c r="G105" s="269"/>
      <c r="H105" s="28"/>
      <c r="I105" s="28"/>
      <c r="J105" s="28"/>
      <c r="K105" s="28"/>
      <c r="L105" s="1438"/>
    </row>
    <row r="106" ht="38.25" customHeight="1">
      <c r="A106" s="1427"/>
      <c r="B106" s="1428"/>
      <c r="C106" s="1429"/>
      <c r="D106" s="1430"/>
      <c r="E106" s="1431"/>
      <c r="F106" s="270"/>
      <c r="G106" s="270"/>
      <c r="H106" s="30"/>
      <c r="I106" s="30"/>
      <c r="J106" s="30"/>
      <c r="K106" s="30"/>
      <c r="L106" s="1432"/>
    </row>
    <row r="107" ht="38.25" customHeight="1">
      <c r="A107" s="1433"/>
      <c r="B107" s="1434"/>
      <c r="C107" s="1435"/>
      <c r="D107" s="1436"/>
      <c r="E107" s="1437"/>
      <c r="F107" s="269"/>
      <c r="G107" s="269"/>
      <c r="H107" s="28"/>
      <c r="I107" s="28"/>
      <c r="J107" s="28"/>
      <c r="K107" s="28"/>
      <c r="L107" s="1438"/>
    </row>
    <row r="108" ht="38.25" customHeight="1">
      <c r="A108" s="1427"/>
      <c r="B108" s="1428"/>
      <c r="C108" s="1429"/>
      <c r="D108" s="1430"/>
      <c r="E108" s="1431"/>
      <c r="F108" s="270"/>
      <c r="G108" s="270"/>
      <c r="H108" s="30"/>
      <c r="I108" s="30"/>
      <c r="J108" s="30"/>
      <c r="K108" s="30"/>
      <c r="L108" s="1432"/>
    </row>
    <row r="109" ht="38.25" customHeight="1">
      <c r="A109" s="1433"/>
      <c r="B109" s="1434"/>
      <c r="C109" s="1435"/>
      <c r="D109" s="1436"/>
      <c r="E109" s="1437"/>
      <c r="F109" s="269"/>
      <c r="G109" s="269"/>
      <c r="H109" s="28"/>
      <c r="I109" s="28"/>
      <c r="J109" s="28"/>
      <c r="K109" s="28"/>
      <c r="L109" s="1438"/>
    </row>
    <row r="110" ht="38.25" customHeight="1">
      <c r="A110" s="1427"/>
      <c r="B110" s="1428"/>
      <c r="C110" s="1429"/>
      <c r="D110" s="1430"/>
      <c r="E110" s="1431"/>
      <c r="F110" s="270"/>
      <c r="G110" s="270"/>
      <c r="H110" s="30"/>
      <c r="I110" s="30"/>
      <c r="J110" s="30"/>
      <c r="K110" s="30"/>
      <c r="L110" s="1432"/>
    </row>
    <row r="111" ht="38.25" customHeight="1">
      <c r="A111" s="1433"/>
      <c r="B111" s="1434"/>
      <c r="C111" s="1435"/>
      <c r="D111" s="1436"/>
      <c r="E111" s="1437"/>
      <c r="F111" s="269"/>
      <c r="G111" s="269"/>
      <c r="H111" s="28"/>
      <c r="I111" s="28"/>
      <c r="J111" s="28"/>
      <c r="K111" s="28"/>
      <c r="L111" s="1438"/>
    </row>
    <row r="112" ht="38.25" customHeight="1">
      <c r="A112" s="1427"/>
      <c r="B112" s="1428"/>
      <c r="C112" s="1429"/>
      <c r="D112" s="1430"/>
      <c r="E112" s="1431"/>
      <c r="F112" s="270"/>
      <c r="G112" s="270"/>
      <c r="H112" s="30"/>
      <c r="I112" s="30"/>
      <c r="J112" s="30"/>
      <c r="K112" s="30"/>
      <c r="L112" s="1432"/>
    </row>
    <row r="113" ht="38.25" customHeight="1">
      <c r="A113" s="1433"/>
      <c r="B113" s="1434"/>
      <c r="C113" s="1435"/>
      <c r="D113" s="1436"/>
      <c r="E113" s="1437"/>
      <c r="F113" s="269"/>
      <c r="G113" s="269"/>
      <c r="H113" s="28"/>
      <c r="I113" s="28"/>
      <c r="J113" s="28"/>
      <c r="K113" s="28"/>
      <c r="L113" s="1438"/>
    </row>
    <row r="114" ht="38.25" customHeight="1">
      <c r="A114" s="1427"/>
      <c r="B114" s="1428"/>
      <c r="C114" s="1429"/>
      <c r="D114" s="1430"/>
      <c r="E114" s="1431"/>
      <c r="F114" s="270"/>
      <c r="G114" s="270"/>
      <c r="H114" s="30"/>
      <c r="I114" s="30"/>
      <c r="J114" s="30"/>
      <c r="K114" s="30"/>
      <c r="L114" s="1432"/>
    </row>
    <row r="115" ht="38.25" customHeight="1">
      <c r="A115" s="1433"/>
      <c r="B115" s="1434"/>
      <c r="C115" s="1435"/>
      <c r="D115" s="1436"/>
      <c r="E115" s="1437"/>
      <c r="F115" s="269"/>
      <c r="G115" s="269"/>
      <c r="H115" s="28"/>
      <c r="I115" s="28"/>
      <c r="J115" s="28"/>
      <c r="K115" s="28"/>
      <c r="L115" s="1438"/>
    </row>
    <row r="116" ht="38.25" customHeight="1">
      <c r="A116" s="1427"/>
      <c r="B116" s="1428"/>
      <c r="C116" s="1429"/>
      <c r="D116" s="1430"/>
      <c r="E116" s="1431"/>
      <c r="F116" s="270"/>
      <c r="G116" s="270"/>
      <c r="H116" s="30"/>
      <c r="I116" s="30"/>
      <c r="J116" s="30"/>
      <c r="K116" s="30"/>
      <c r="L116" s="1432"/>
    </row>
    <row r="117" ht="38.25" customHeight="1">
      <c r="A117" s="1433"/>
      <c r="B117" s="1434"/>
      <c r="C117" s="1435"/>
      <c r="D117" s="1436"/>
      <c r="E117" s="1437"/>
      <c r="F117" s="269"/>
      <c r="G117" s="269"/>
      <c r="H117" s="28"/>
      <c r="I117" s="28"/>
      <c r="J117" s="28"/>
      <c r="K117" s="28"/>
      <c r="L117" s="1438"/>
    </row>
    <row r="118" ht="38.25" customHeight="1">
      <c r="A118" s="1427"/>
      <c r="B118" s="1428"/>
      <c r="C118" s="1429"/>
      <c r="D118" s="1430"/>
      <c r="E118" s="1431"/>
      <c r="F118" s="270"/>
      <c r="G118" s="270"/>
      <c r="H118" s="30"/>
      <c r="I118" s="30"/>
      <c r="J118" s="30"/>
      <c r="K118" s="30"/>
      <c r="L118" s="1432"/>
    </row>
    <row r="119" ht="38.25" customHeight="1">
      <c r="A119" s="1433"/>
      <c r="B119" s="1434"/>
      <c r="C119" s="1435"/>
      <c r="D119" s="1436"/>
      <c r="E119" s="1437"/>
      <c r="F119" s="269"/>
      <c r="G119" s="269"/>
      <c r="H119" s="28"/>
      <c r="I119" s="28"/>
      <c r="J119" s="28"/>
      <c r="K119" s="28"/>
      <c r="L119" s="1438"/>
    </row>
    <row r="120" ht="38.25" customHeight="1">
      <c r="A120" s="1427"/>
      <c r="B120" s="1428"/>
      <c r="C120" s="1429"/>
      <c r="D120" s="1430"/>
      <c r="E120" s="1431"/>
      <c r="F120" s="270"/>
      <c r="G120" s="270"/>
      <c r="H120" s="30"/>
      <c r="I120" s="30"/>
      <c r="J120" s="30"/>
      <c r="K120" s="30"/>
      <c r="L120" s="1432"/>
    </row>
    <row r="121" ht="38.25" customHeight="1">
      <c r="A121" s="1433"/>
      <c r="B121" s="1434"/>
      <c r="C121" s="1435"/>
      <c r="D121" s="1436"/>
      <c r="E121" s="1437"/>
      <c r="F121" s="269"/>
      <c r="G121" s="269"/>
      <c r="H121" s="28"/>
      <c r="I121" s="28"/>
      <c r="J121" s="28"/>
      <c r="K121" s="28"/>
      <c r="L121" s="1438"/>
    </row>
    <row r="122" ht="38.25" customHeight="1">
      <c r="A122" s="1427"/>
      <c r="B122" s="1428"/>
      <c r="C122" s="1429"/>
      <c r="D122" s="1430"/>
      <c r="E122" s="1431"/>
      <c r="F122" s="270"/>
      <c r="G122" s="270"/>
      <c r="H122" s="30"/>
      <c r="I122" s="30"/>
      <c r="J122" s="30"/>
      <c r="K122" s="30"/>
      <c r="L122" s="1432"/>
    </row>
    <row r="123" ht="38.25" customHeight="1">
      <c r="A123" s="1433"/>
      <c r="B123" s="1434"/>
      <c r="C123" s="1435"/>
      <c r="D123" s="1436"/>
      <c r="E123" s="1437"/>
      <c r="F123" s="269"/>
      <c r="G123" s="269"/>
      <c r="H123" s="28"/>
      <c r="I123" s="28"/>
      <c r="J123" s="28"/>
      <c r="K123" s="28"/>
      <c r="L123" s="1438"/>
    </row>
    <row r="124" ht="38.25" customHeight="1">
      <c r="A124" s="1427"/>
      <c r="B124" s="1428"/>
      <c r="C124" s="1429"/>
      <c r="D124" s="1430"/>
      <c r="E124" s="1431"/>
      <c r="F124" s="270"/>
      <c r="G124" s="270"/>
      <c r="H124" s="30"/>
      <c r="I124" s="30"/>
      <c r="J124" s="30"/>
      <c r="K124" s="30"/>
      <c r="L124" s="1432"/>
    </row>
    <row r="125" ht="38.25" customHeight="1">
      <c r="A125" s="1433"/>
      <c r="B125" s="1434"/>
      <c r="C125" s="1435"/>
      <c r="D125" s="1436"/>
      <c r="E125" s="1437"/>
      <c r="F125" s="269"/>
      <c r="G125" s="269"/>
      <c r="H125" s="28"/>
      <c r="I125" s="28"/>
      <c r="J125" s="28"/>
      <c r="K125" s="28"/>
      <c r="L125" s="1438"/>
    </row>
    <row r="126" ht="38.25" customHeight="1">
      <c r="A126" s="1427"/>
      <c r="B126" s="1428"/>
      <c r="C126" s="1429"/>
      <c r="D126" s="1430"/>
      <c r="E126" s="1431"/>
      <c r="F126" s="270"/>
      <c r="G126" s="270"/>
      <c r="H126" s="30"/>
      <c r="I126" s="30"/>
      <c r="J126" s="30"/>
      <c r="K126" s="30"/>
      <c r="L126" s="1432"/>
    </row>
    <row r="127" ht="38.25" customHeight="1">
      <c r="A127" s="1433"/>
      <c r="B127" s="1434"/>
      <c r="C127" s="1435"/>
      <c r="D127" s="1436"/>
      <c r="E127" s="1437"/>
      <c r="F127" s="269"/>
      <c r="G127" s="269"/>
      <c r="H127" s="28"/>
      <c r="I127" s="28"/>
      <c r="J127" s="28"/>
      <c r="K127" s="28"/>
      <c r="L127" s="1438"/>
    </row>
    <row r="128" ht="38.25" customHeight="1">
      <c r="A128" s="1427"/>
      <c r="B128" s="1428"/>
      <c r="C128" s="1429"/>
      <c r="D128" s="1430"/>
      <c r="E128" s="1431"/>
      <c r="F128" s="270"/>
      <c r="G128" s="270"/>
      <c r="H128" s="30"/>
      <c r="I128" s="30"/>
      <c r="J128" s="30"/>
      <c r="K128" s="30"/>
      <c r="L128" s="1432"/>
    </row>
    <row r="129" ht="38.25" customHeight="1">
      <c r="A129" s="1433"/>
      <c r="B129" s="1434"/>
      <c r="C129" s="1435"/>
      <c r="D129" s="1436"/>
      <c r="E129" s="1437"/>
      <c r="F129" s="269"/>
      <c r="G129" s="269"/>
      <c r="H129" s="28"/>
      <c r="I129" s="28"/>
      <c r="J129" s="28"/>
      <c r="K129" s="28"/>
      <c r="L129" s="1438"/>
    </row>
    <row r="130" ht="38.25" customHeight="1">
      <c r="A130" s="1427"/>
      <c r="B130" s="1428"/>
      <c r="C130" s="1429"/>
      <c r="D130" s="1430"/>
      <c r="E130" s="1431"/>
      <c r="F130" s="270"/>
      <c r="G130" s="270"/>
      <c r="H130" s="30"/>
      <c r="I130" s="30"/>
      <c r="J130" s="30"/>
      <c r="K130" s="30"/>
      <c r="L130" s="1432"/>
    </row>
    <row r="131" ht="38.25" customHeight="1">
      <c r="A131" s="1433"/>
      <c r="B131" s="1434"/>
      <c r="C131" s="1435"/>
      <c r="D131" s="1436"/>
      <c r="E131" s="1437"/>
      <c r="F131" s="269"/>
      <c r="G131" s="269"/>
      <c r="H131" s="28"/>
      <c r="I131" s="28"/>
      <c r="J131" s="28"/>
      <c r="K131" s="28"/>
      <c r="L131" s="1438"/>
    </row>
    <row r="132" ht="38.25" customHeight="1">
      <c r="A132" s="1427"/>
      <c r="B132" s="1428"/>
      <c r="C132" s="1429"/>
      <c r="D132" s="1430"/>
      <c r="E132" s="1431"/>
      <c r="F132" s="270"/>
      <c r="G132" s="270"/>
      <c r="H132" s="30"/>
      <c r="I132" s="30"/>
      <c r="J132" s="30"/>
      <c r="K132" s="30"/>
      <c r="L132" s="1432"/>
    </row>
    <row r="133" ht="38.25" customHeight="1">
      <c r="A133" s="1433"/>
      <c r="B133" s="1434"/>
      <c r="C133" s="1435"/>
      <c r="D133" s="1436"/>
      <c r="E133" s="1437"/>
      <c r="F133" s="269"/>
      <c r="G133" s="269"/>
      <c r="H133" s="28"/>
      <c r="I133" s="28"/>
      <c r="J133" s="28"/>
      <c r="K133" s="28"/>
      <c r="L133" s="1438"/>
    </row>
    <row r="134" ht="38.25" customHeight="1">
      <c r="A134" s="1427"/>
      <c r="B134" s="1428"/>
      <c r="C134" s="1429"/>
      <c r="D134" s="1430"/>
      <c r="E134" s="1431"/>
      <c r="F134" s="270"/>
      <c r="G134" s="270"/>
      <c r="H134" s="30"/>
      <c r="I134" s="30"/>
      <c r="J134" s="30"/>
      <c r="K134" s="30"/>
      <c r="L134" s="1432"/>
    </row>
    <row r="135" ht="38.25" customHeight="1">
      <c r="A135" s="1433"/>
      <c r="B135" s="1434"/>
      <c r="C135" s="1435"/>
      <c r="D135" s="1436"/>
      <c r="E135" s="1437"/>
      <c r="F135" s="269"/>
      <c r="G135" s="269"/>
      <c r="H135" s="28"/>
      <c r="I135" s="28"/>
      <c r="J135" s="28"/>
      <c r="K135" s="28"/>
      <c r="L135" s="1438"/>
    </row>
    <row r="136" ht="38.25" customHeight="1">
      <c r="A136" s="1427"/>
      <c r="B136" s="1428"/>
      <c r="C136" s="1429"/>
      <c r="D136" s="1430"/>
      <c r="E136" s="1431"/>
      <c r="F136" s="270"/>
      <c r="G136" s="270"/>
      <c r="H136" s="30"/>
      <c r="I136" s="30"/>
      <c r="J136" s="30"/>
      <c r="K136" s="30"/>
      <c r="L136" s="1432"/>
    </row>
    <row r="137" ht="38.25" customHeight="1">
      <c r="A137" s="1433"/>
      <c r="B137" s="1434"/>
      <c r="C137" s="1435"/>
      <c r="D137" s="1436"/>
      <c r="E137" s="1437"/>
      <c r="F137" s="269"/>
      <c r="G137" s="269"/>
      <c r="H137" s="28"/>
      <c r="I137" s="28"/>
      <c r="J137" s="28"/>
      <c r="K137" s="28"/>
      <c r="L137" s="1438"/>
    </row>
    <row r="138" ht="38.25" customHeight="1">
      <c r="A138" s="1427"/>
      <c r="B138" s="1428"/>
      <c r="C138" s="1429"/>
      <c r="D138" s="1430"/>
      <c r="E138" s="1431"/>
      <c r="F138" s="270"/>
      <c r="G138" s="270"/>
      <c r="H138" s="30"/>
      <c r="I138" s="30"/>
      <c r="J138" s="30"/>
      <c r="K138" s="30"/>
      <c r="L138" s="1432"/>
    </row>
    <row r="139" ht="38.25" customHeight="1">
      <c r="A139" s="1433"/>
      <c r="B139" s="1434"/>
      <c r="C139" s="1435"/>
      <c r="D139" s="1436"/>
      <c r="E139" s="1437"/>
      <c r="F139" s="269"/>
      <c r="G139" s="269"/>
      <c r="H139" s="28"/>
      <c r="I139" s="28"/>
      <c r="J139" s="28"/>
      <c r="K139" s="28"/>
      <c r="L139" s="1438"/>
    </row>
    <row r="140" ht="38.25" customHeight="1">
      <c r="A140" s="1427"/>
      <c r="B140" s="1428"/>
      <c r="C140" s="1429"/>
      <c r="D140" s="1430"/>
      <c r="E140" s="1431"/>
      <c r="F140" s="270"/>
      <c r="G140" s="270"/>
      <c r="H140" s="30"/>
      <c r="I140" s="30"/>
      <c r="J140" s="30"/>
      <c r="K140" s="30"/>
      <c r="L140" s="1432"/>
    </row>
    <row r="141" ht="38.25" customHeight="1">
      <c r="A141" s="1433"/>
      <c r="B141" s="1434"/>
      <c r="C141" s="1435"/>
      <c r="D141" s="1436"/>
      <c r="E141" s="1437"/>
      <c r="F141" s="269"/>
      <c r="G141" s="269"/>
      <c r="H141" s="28"/>
      <c r="I141" s="28"/>
      <c r="J141" s="28"/>
      <c r="K141" s="28"/>
      <c r="L141" s="1438"/>
    </row>
    <row r="142" ht="38.25" customHeight="1">
      <c r="A142" s="1427"/>
      <c r="B142" s="1428"/>
      <c r="C142" s="1429"/>
      <c r="D142" s="1430"/>
      <c r="E142" s="1431"/>
      <c r="F142" s="270"/>
      <c r="G142" s="270"/>
      <c r="H142" s="30"/>
      <c r="I142" s="30"/>
      <c r="J142" s="30"/>
      <c r="K142" s="30"/>
      <c r="L142" s="1432"/>
    </row>
    <row r="143" ht="38.25" customHeight="1">
      <c r="A143" s="1433"/>
      <c r="B143" s="1434"/>
      <c r="C143" s="1435"/>
      <c r="D143" s="1436"/>
      <c r="E143" s="1437"/>
      <c r="F143" s="269"/>
      <c r="G143" s="269"/>
      <c r="H143" s="28"/>
      <c r="I143" s="28"/>
      <c r="J143" s="28"/>
      <c r="K143" s="28"/>
      <c r="L143" s="1438"/>
    </row>
    <row r="144" ht="38.25" customHeight="1">
      <c r="A144" s="1427"/>
      <c r="B144" s="1428"/>
      <c r="C144" s="1429"/>
      <c r="D144" s="1430"/>
      <c r="E144" s="1431"/>
      <c r="F144" s="270"/>
      <c r="G144" s="270"/>
      <c r="H144" s="30"/>
      <c r="I144" s="30"/>
      <c r="J144" s="30"/>
      <c r="K144" s="30"/>
      <c r="L144" s="1432"/>
    </row>
    <row r="145" ht="38.25" customHeight="1">
      <c r="A145" s="1433"/>
      <c r="B145" s="1434"/>
      <c r="C145" s="1435"/>
      <c r="D145" s="1436"/>
      <c r="E145" s="1437"/>
      <c r="F145" s="269"/>
      <c r="G145" s="269"/>
      <c r="H145" s="28"/>
      <c r="I145" s="28"/>
      <c r="J145" s="28"/>
      <c r="K145" s="28"/>
      <c r="L145" s="1438"/>
    </row>
    <row r="146" ht="38.25" customHeight="1">
      <c r="A146" s="1427"/>
      <c r="B146" s="1428"/>
      <c r="C146" s="1429"/>
      <c r="D146" s="1430"/>
      <c r="E146" s="1431"/>
      <c r="F146" s="270"/>
      <c r="G146" s="270"/>
      <c r="H146" s="30"/>
      <c r="I146" s="30"/>
      <c r="J146" s="30"/>
      <c r="K146" s="30"/>
      <c r="L146" s="1432"/>
    </row>
    <row r="147" ht="38.25" customHeight="1">
      <c r="A147" s="1433"/>
      <c r="B147" s="1434"/>
      <c r="C147" s="1435"/>
      <c r="D147" s="1436"/>
      <c r="E147" s="1437"/>
      <c r="F147" s="269"/>
      <c r="G147" s="269"/>
      <c r="H147" s="28"/>
      <c r="I147" s="28"/>
      <c r="J147" s="28"/>
      <c r="K147" s="28"/>
      <c r="L147" s="1438"/>
    </row>
    <row r="148" ht="38.25" customHeight="1">
      <c r="A148" s="1427"/>
      <c r="B148" s="1428"/>
      <c r="C148" s="1429"/>
      <c r="D148" s="1430"/>
      <c r="E148" s="1431"/>
      <c r="F148" s="270"/>
      <c r="G148" s="270"/>
      <c r="H148" s="30"/>
      <c r="I148" s="30"/>
      <c r="J148" s="30"/>
      <c r="K148" s="30"/>
      <c r="L148" s="1432"/>
    </row>
    <row r="149" ht="38.25" customHeight="1">
      <c r="A149" s="1433"/>
      <c r="B149" s="1434"/>
      <c r="C149" s="1435"/>
      <c r="D149" s="1436"/>
      <c r="E149" s="1437"/>
      <c r="F149" s="269"/>
      <c r="G149" s="269"/>
      <c r="H149" s="28"/>
      <c r="I149" s="28"/>
      <c r="J149" s="28"/>
      <c r="K149" s="28"/>
      <c r="L149" s="1438"/>
    </row>
    <row r="150" ht="38.25" customHeight="1">
      <c r="A150" s="1427"/>
      <c r="B150" s="1428"/>
      <c r="C150" s="1429"/>
      <c r="D150" s="1430"/>
      <c r="E150" s="1431"/>
      <c r="F150" s="270"/>
      <c r="G150" s="270"/>
      <c r="H150" s="30"/>
      <c r="I150" s="30"/>
      <c r="J150" s="30"/>
      <c r="K150" s="30"/>
      <c r="L150" s="1432"/>
    </row>
    <row r="151" ht="38.25" customHeight="1">
      <c r="A151" s="1433"/>
      <c r="B151" s="1434"/>
      <c r="C151" s="1435"/>
      <c r="D151" s="1436"/>
      <c r="E151" s="1437"/>
      <c r="F151" s="269"/>
      <c r="G151" s="269"/>
      <c r="H151" s="28"/>
      <c r="I151" s="28"/>
      <c r="J151" s="28"/>
      <c r="K151" s="28"/>
      <c r="L151" s="1438"/>
    </row>
    <row r="152" ht="38.25" customHeight="1">
      <c r="A152" s="1427"/>
      <c r="B152" s="1428"/>
      <c r="C152" s="1429"/>
      <c r="D152" s="1430"/>
      <c r="E152" s="1431"/>
      <c r="F152" s="270"/>
      <c r="G152" s="270"/>
      <c r="H152" s="30"/>
      <c r="I152" s="30"/>
      <c r="J152" s="30"/>
      <c r="K152" s="30"/>
      <c r="L152" s="1432"/>
    </row>
    <row r="153" ht="38.25" customHeight="1">
      <c r="A153" s="1433"/>
      <c r="B153" s="1434"/>
      <c r="C153" s="1435"/>
      <c r="D153" s="1436"/>
      <c r="E153" s="1437"/>
      <c r="F153" s="269"/>
      <c r="G153" s="269"/>
      <c r="H153" s="28"/>
      <c r="I153" s="28"/>
      <c r="J153" s="28"/>
      <c r="K153" s="28"/>
      <c r="L153" s="1438"/>
    </row>
    <row r="154" ht="38.25" customHeight="1">
      <c r="A154" s="1427"/>
      <c r="B154" s="1428"/>
      <c r="C154" s="1429"/>
      <c r="D154" s="1430"/>
      <c r="E154" s="1431"/>
      <c r="F154" s="270"/>
      <c r="G154" s="270"/>
      <c r="H154" s="30"/>
      <c r="I154" s="30"/>
      <c r="J154" s="30"/>
      <c r="K154" s="30"/>
      <c r="L154" s="1432"/>
    </row>
    <row r="155" ht="38.25" customHeight="1">
      <c r="A155" s="1433"/>
      <c r="B155" s="1434"/>
      <c r="C155" s="1435"/>
      <c r="D155" s="1436"/>
      <c r="E155" s="1437"/>
      <c r="F155" s="269"/>
      <c r="G155" s="269"/>
      <c r="H155" s="28"/>
      <c r="I155" s="28"/>
      <c r="J155" s="28"/>
      <c r="K155" s="28"/>
      <c r="L155" s="1438"/>
    </row>
    <row r="156" ht="38.25" customHeight="1">
      <c r="A156" s="1427"/>
      <c r="B156" s="1428"/>
      <c r="C156" s="1429"/>
      <c r="D156" s="1430"/>
      <c r="E156" s="1431"/>
      <c r="F156" s="270"/>
      <c r="G156" s="270"/>
      <c r="H156" s="30"/>
      <c r="I156" s="30"/>
      <c r="J156" s="30"/>
      <c r="K156" s="30"/>
      <c r="L156" s="1432"/>
    </row>
    <row r="157" ht="38.25" customHeight="1">
      <c r="A157" s="1433"/>
      <c r="B157" s="1434"/>
      <c r="C157" s="1435"/>
      <c r="D157" s="1436"/>
      <c r="E157" s="1437"/>
      <c r="F157" s="269"/>
      <c r="G157" s="269"/>
      <c r="H157" s="28"/>
      <c r="I157" s="28"/>
      <c r="J157" s="28"/>
      <c r="K157" s="28"/>
      <c r="L157" s="1438"/>
    </row>
    <row r="158" ht="38.25" customHeight="1">
      <c r="A158" s="1427"/>
      <c r="B158" s="1428"/>
      <c r="C158" s="1429"/>
      <c r="D158" s="1430"/>
      <c r="E158" s="1431"/>
      <c r="F158" s="270"/>
      <c r="G158" s="270"/>
      <c r="H158" s="30"/>
      <c r="I158" s="30"/>
      <c r="J158" s="30"/>
      <c r="K158" s="30"/>
      <c r="L158" s="1432"/>
    </row>
    <row r="159" ht="38.25" customHeight="1">
      <c r="A159" s="1433"/>
      <c r="B159" s="1434"/>
      <c r="C159" s="1435"/>
      <c r="D159" s="1436"/>
      <c r="E159" s="1437"/>
      <c r="F159" s="269"/>
      <c r="G159" s="269"/>
      <c r="H159" s="28"/>
      <c r="I159" s="28"/>
      <c r="J159" s="28"/>
      <c r="K159" s="28"/>
      <c r="L159" s="1438"/>
    </row>
    <row r="160" ht="38.25" customHeight="1">
      <c r="A160" s="1427"/>
      <c r="B160" s="1428"/>
      <c r="C160" s="1429"/>
      <c r="D160" s="1430"/>
      <c r="E160" s="1431"/>
      <c r="F160" s="270"/>
      <c r="G160" s="270"/>
      <c r="H160" s="30"/>
      <c r="I160" s="30"/>
      <c r="J160" s="30"/>
      <c r="K160" s="30"/>
      <c r="L160" s="1432"/>
    </row>
    <row r="161" ht="38.25" customHeight="1">
      <c r="A161" s="1433"/>
      <c r="B161" s="1434"/>
      <c r="C161" s="1435"/>
      <c r="D161" s="1436"/>
      <c r="E161" s="1437"/>
      <c r="F161" s="269"/>
      <c r="G161" s="269"/>
      <c r="H161" s="28"/>
      <c r="I161" s="28"/>
      <c r="J161" s="28"/>
      <c r="K161" s="28"/>
      <c r="L161" s="1438"/>
    </row>
    <row r="162" ht="38.25" customHeight="1">
      <c r="A162" s="1427"/>
      <c r="B162" s="1428"/>
      <c r="C162" s="1429"/>
      <c r="D162" s="1430"/>
      <c r="E162" s="1431"/>
      <c r="F162" s="270"/>
      <c r="G162" s="270"/>
      <c r="H162" s="30"/>
      <c r="I162" s="30"/>
      <c r="J162" s="30"/>
      <c r="K162" s="30"/>
      <c r="L162" s="1432"/>
    </row>
    <row r="163" ht="38.25" customHeight="1">
      <c r="A163" s="1433"/>
      <c r="B163" s="1434"/>
      <c r="C163" s="1435"/>
      <c r="D163" s="1436"/>
      <c r="E163" s="1437"/>
      <c r="F163" s="269"/>
      <c r="G163" s="269"/>
      <c r="H163" s="28"/>
      <c r="I163" s="28"/>
      <c r="J163" s="28"/>
      <c r="K163" s="28"/>
      <c r="L163" s="1438"/>
    </row>
    <row r="164" ht="38.25" customHeight="1">
      <c r="A164" s="1427"/>
      <c r="B164" s="1428"/>
      <c r="C164" s="1429"/>
      <c r="D164" s="1430"/>
      <c r="E164" s="1431"/>
      <c r="F164" s="270"/>
      <c r="G164" s="270"/>
      <c r="H164" s="30"/>
      <c r="I164" s="30"/>
      <c r="J164" s="30"/>
      <c r="K164" s="30"/>
      <c r="L164" s="1432"/>
    </row>
    <row r="165" ht="38.25" customHeight="1">
      <c r="A165" s="1433"/>
      <c r="B165" s="1434"/>
      <c r="C165" s="1435"/>
      <c r="D165" s="1436"/>
      <c r="E165" s="1437"/>
      <c r="F165" s="269"/>
      <c r="G165" s="269"/>
      <c r="H165" s="28"/>
      <c r="I165" s="28"/>
      <c r="J165" s="28"/>
      <c r="K165" s="28"/>
      <c r="L165" s="1438"/>
    </row>
    <row r="166" ht="38.25" customHeight="1">
      <c r="A166" s="1427"/>
      <c r="B166" s="1428"/>
      <c r="C166" s="1429"/>
      <c r="D166" s="1430"/>
      <c r="E166" s="1431"/>
      <c r="F166" s="270"/>
      <c r="G166" s="270"/>
      <c r="H166" s="30"/>
      <c r="I166" s="30"/>
      <c r="J166" s="30"/>
      <c r="K166" s="30"/>
      <c r="L166" s="1432"/>
    </row>
    <row r="167" ht="38.25" customHeight="1">
      <c r="A167" s="1433"/>
      <c r="B167" s="1434"/>
      <c r="C167" s="1435"/>
      <c r="D167" s="1436"/>
      <c r="E167" s="1437"/>
      <c r="F167" s="269"/>
      <c r="G167" s="269"/>
      <c r="H167" s="28"/>
      <c r="I167" s="28"/>
      <c r="J167" s="28"/>
      <c r="K167" s="28"/>
      <c r="L167" s="1438"/>
    </row>
    <row r="168" ht="38.25" customHeight="1">
      <c r="A168" s="1427"/>
      <c r="B168" s="1428"/>
      <c r="C168" s="1429"/>
      <c r="D168" s="1430"/>
      <c r="E168" s="1431"/>
      <c r="F168" s="270"/>
      <c r="G168" s="270"/>
      <c r="H168" s="30"/>
      <c r="I168" s="30"/>
      <c r="J168" s="30"/>
      <c r="K168" s="30"/>
      <c r="L168" s="1432"/>
    </row>
    <row r="169" ht="38.25" customHeight="1">
      <c r="A169" s="1433"/>
      <c r="B169" s="1434"/>
      <c r="C169" s="1435"/>
      <c r="D169" s="1436"/>
      <c r="E169" s="1437"/>
      <c r="F169" s="269"/>
      <c r="G169" s="269"/>
      <c r="H169" s="28"/>
      <c r="I169" s="28"/>
      <c r="J169" s="28"/>
      <c r="K169" s="28"/>
      <c r="L169" s="1438"/>
    </row>
    <row r="170" ht="38.25" customHeight="1">
      <c r="A170" s="1427"/>
      <c r="B170" s="1428"/>
      <c r="C170" s="1429"/>
      <c r="D170" s="1430"/>
      <c r="E170" s="1431"/>
      <c r="F170" s="270"/>
      <c r="G170" s="270"/>
      <c r="H170" s="30"/>
      <c r="I170" s="30"/>
      <c r="J170" s="30"/>
      <c r="K170" s="30"/>
      <c r="L170" s="1432"/>
    </row>
    <row r="171" ht="38.25" customHeight="1">
      <c r="A171" s="1433"/>
      <c r="B171" s="1434"/>
      <c r="C171" s="1435"/>
      <c r="D171" s="1436"/>
      <c r="E171" s="1437"/>
      <c r="F171" s="269"/>
      <c r="G171" s="269"/>
      <c r="H171" s="28"/>
      <c r="I171" s="28"/>
      <c r="J171" s="28"/>
      <c r="K171" s="28"/>
      <c r="L171" s="1438"/>
    </row>
    <row r="172" ht="38.25" customHeight="1">
      <c r="A172" s="1427"/>
      <c r="B172" s="1428"/>
      <c r="C172" s="1429"/>
      <c r="D172" s="1430"/>
      <c r="E172" s="1431"/>
      <c r="F172" s="270"/>
      <c r="G172" s="270"/>
      <c r="H172" s="30"/>
      <c r="I172" s="30"/>
      <c r="J172" s="30"/>
      <c r="K172" s="30"/>
      <c r="L172" s="1432"/>
    </row>
    <row r="173" ht="38.25" customHeight="1">
      <c r="A173" s="1433"/>
      <c r="B173" s="1434"/>
      <c r="C173" s="1435"/>
      <c r="D173" s="1436"/>
      <c r="E173" s="1437"/>
      <c r="F173" s="269"/>
      <c r="G173" s="269"/>
      <c r="H173" s="28"/>
      <c r="I173" s="28"/>
      <c r="J173" s="28"/>
      <c r="K173" s="28"/>
      <c r="L173" s="1438"/>
    </row>
    <row r="174" ht="38.25" customHeight="1">
      <c r="A174" s="1427"/>
      <c r="B174" s="1428"/>
      <c r="C174" s="1429"/>
      <c r="D174" s="1430"/>
      <c r="E174" s="1431"/>
      <c r="F174" s="270"/>
      <c r="G174" s="270"/>
      <c r="H174" s="30"/>
      <c r="I174" s="30"/>
      <c r="J174" s="30"/>
      <c r="K174" s="30"/>
      <c r="L174" s="1432"/>
    </row>
    <row r="175" ht="38.25" customHeight="1">
      <c r="A175" s="1433"/>
      <c r="B175" s="1434"/>
      <c r="C175" s="1435"/>
      <c r="D175" s="1436"/>
      <c r="E175" s="1437"/>
      <c r="F175" s="269"/>
      <c r="G175" s="269"/>
      <c r="H175" s="28"/>
      <c r="I175" s="28"/>
      <c r="J175" s="28"/>
      <c r="K175" s="28"/>
      <c r="L175" s="1438"/>
    </row>
    <row r="176" ht="38.25" customHeight="1">
      <c r="A176" s="1427"/>
      <c r="B176" s="1428"/>
      <c r="C176" s="1429"/>
      <c r="D176" s="1430"/>
      <c r="E176" s="1431"/>
      <c r="F176" s="270"/>
      <c r="G176" s="270"/>
      <c r="H176" s="30"/>
      <c r="I176" s="30"/>
      <c r="J176" s="30"/>
      <c r="K176" s="30"/>
      <c r="L176" s="1432"/>
    </row>
    <row r="177" ht="38.25" customHeight="1">
      <c r="A177" s="1433"/>
      <c r="B177" s="1434"/>
      <c r="C177" s="1435"/>
      <c r="D177" s="1436"/>
      <c r="E177" s="1437"/>
      <c r="F177" s="269"/>
      <c r="G177" s="269"/>
      <c r="H177" s="28"/>
      <c r="I177" s="28"/>
      <c r="J177" s="28"/>
      <c r="K177" s="28"/>
      <c r="L177" s="1438"/>
    </row>
    <row r="178" ht="38.25" customHeight="1">
      <c r="A178" s="1427"/>
      <c r="B178" s="1428"/>
      <c r="C178" s="1429"/>
      <c r="D178" s="1430"/>
      <c r="E178" s="1431"/>
      <c r="F178" s="270"/>
      <c r="G178" s="270"/>
      <c r="H178" s="30"/>
      <c r="I178" s="30"/>
      <c r="J178" s="30"/>
      <c r="K178" s="30"/>
      <c r="L178" s="1432"/>
    </row>
    <row r="179" ht="38.25" customHeight="1">
      <c r="A179" s="1433"/>
      <c r="B179" s="1434"/>
      <c r="C179" s="1435"/>
      <c r="D179" s="1436"/>
      <c r="E179" s="1437"/>
      <c r="F179" s="269"/>
      <c r="G179" s="269"/>
      <c r="H179" s="28"/>
      <c r="I179" s="28"/>
      <c r="J179" s="28"/>
      <c r="K179" s="28"/>
      <c r="L179" s="1438"/>
    </row>
    <row r="180" ht="38.25" customHeight="1">
      <c r="A180" s="1427"/>
      <c r="B180" s="1428"/>
      <c r="C180" s="1429"/>
      <c r="D180" s="1430"/>
      <c r="E180" s="1431"/>
      <c r="F180" s="270"/>
      <c r="G180" s="270"/>
      <c r="H180" s="30"/>
      <c r="I180" s="30"/>
      <c r="J180" s="30"/>
      <c r="K180" s="30"/>
      <c r="L180" s="1432"/>
    </row>
    <row r="181" ht="38.25" customHeight="1">
      <c r="A181" s="1433"/>
      <c r="B181" s="1434"/>
      <c r="C181" s="1435"/>
      <c r="D181" s="1436"/>
      <c r="E181" s="1437"/>
      <c r="F181" s="269"/>
      <c r="G181" s="269"/>
      <c r="H181" s="28"/>
      <c r="I181" s="28"/>
      <c r="J181" s="28"/>
      <c r="K181" s="28"/>
      <c r="L181" s="1438"/>
    </row>
    <row r="182" ht="38.25" customHeight="1">
      <c r="A182" s="1427"/>
      <c r="B182" s="1428"/>
      <c r="C182" s="1429"/>
      <c r="D182" s="1430"/>
      <c r="E182" s="1439"/>
      <c r="F182" s="270"/>
      <c r="G182" s="270"/>
      <c r="H182" s="30"/>
      <c r="I182" s="30"/>
      <c r="J182" s="30"/>
      <c r="K182" s="30"/>
      <c r="L182" s="1432"/>
    </row>
    <row r="183" ht="38.25" customHeight="1">
      <c r="A183" s="1433"/>
      <c r="B183" s="1434"/>
      <c r="C183" s="1435"/>
      <c r="D183" s="1436"/>
      <c r="E183" s="1440"/>
      <c r="F183" s="269"/>
      <c r="G183" s="269"/>
      <c r="H183" s="28"/>
      <c r="I183" s="28"/>
      <c r="J183" s="28"/>
      <c r="K183" s="28"/>
      <c r="L183" s="1438"/>
    </row>
    <row r="184" ht="38.25" customHeight="1">
      <c r="A184" s="1427"/>
      <c r="B184" s="1428"/>
      <c r="C184" s="1429"/>
      <c r="D184" s="1430"/>
      <c r="E184" s="1441"/>
      <c r="F184" s="270"/>
      <c r="G184" s="270"/>
      <c r="H184" s="30"/>
      <c r="I184" s="30"/>
      <c r="J184" s="30"/>
      <c r="K184" s="30"/>
      <c r="L184" s="1432"/>
    </row>
    <row r="185" ht="38.25" customHeight="1">
      <c r="A185" s="1433"/>
      <c r="B185" s="1434"/>
      <c r="C185" s="1435"/>
      <c r="D185" s="1436"/>
      <c r="E185" s="1440"/>
      <c r="F185" s="269"/>
      <c r="G185" s="269"/>
      <c r="H185" s="28"/>
      <c r="I185" s="28"/>
      <c r="J185" s="28"/>
      <c r="K185" s="28"/>
      <c r="L185" s="1438"/>
    </row>
    <row r="186" ht="38.25" customHeight="1">
      <c r="A186" s="1427"/>
      <c r="B186" s="1428"/>
      <c r="C186" s="1429"/>
      <c r="D186" s="1430"/>
      <c r="E186" s="1441"/>
      <c r="F186" s="270"/>
      <c r="G186" s="270"/>
      <c r="H186" s="30"/>
      <c r="I186" s="30"/>
      <c r="J186" s="30"/>
      <c r="K186" s="30"/>
      <c r="L186" s="1432"/>
    </row>
    <row r="187" ht="38.25" customHeight="1">
      <c r="A187" s="1433"/>
      <c r="B187" s="1434"/>
      <c r="C187" s="1435"/>
      <c r="D187" s="1436"/>
      <c r="E187" s="1440"/>
      <c r="F187" s="269"/>
      <c r="G187" s="269"/>
      <c r="H187" s="28"/>
      <c r="I187" s="28"/>
      <c r="J187" s="28"/>
      <c r="K187" s="28"/>
      <c r="L187" s="1438"/>
    </row>
    <row r="188" ht="38.25" customHeight="1">
      <c r="A188" s="1427"/>
      <c r="B188" s="1428"/>
      <c r="C188" s="1429"/>
      <c r="D188" s="1430"/>
      <c r="E188" s="1441"/>
      <c r="F188" s="270"/>
      <c r="G188" s="270"/>
      <c r="H188" s="30"/>
      <c r="I188" s="30"/>
      <c r="J188" s="30"/>
      <c r="K188" s="30"/>
      <c r="L188" s="1432"/>
    </row>
    <row r="189" ht="38.25" customHeight="1">
      <c r="A189" s="1433"/>
      <c r="B189" s="1434"/>
      <c r="C189" s="1435"/>
      <c r="D189" s="1436"/>
      <c r="E189" s="1440"/>
      <c r="F189" s="269"/>
      <c r="G189" s="269"/>
      <c r="H189" s="28"/>
      <c r="I189" s="28"/>
      <c r="J189" s="28"/>
      <c r="K189" s="28"/>
      <c r="L189" s="1438"/>
    </row>
    <row r="190" ht="38.25" customHeight="1">
      <c r="A190" s="1427"/>
      <c r="B190" s="1428"/>
      <c r="C190" s="1429"/>
      <c r="D190" s="1430"/>
      <c r="E190" s="1441"/>
      <c r="F190" s="270"/>
      <c r="G190" s="270"/>
      <c r="H190" s="30"/>
      <c r="I190" s="30"/>
      <c r="J190" s="30"/>
      <c r="K190" s="30"/>
      <c r="L190" s="1432"/>
    </row>
    <row r="191" ht="38.25" customHeight="1">
      <c r="A191" s="1433"/>
      <c r="B191" s="1434"/>
      <c r="C191" s="1435"/>
      <c r="D191" s="1436"/>
      <c r="E191" s="1440"/>
      <c r="F191" s="269"/>
      <c r="G191" s="269"/>
      <c r="H191" s="28"/>
      <c r="I191" s="28"/>
      <c r="J191" s="28"/>
      <c r="K191" s="28"/>
      <c r="L191" s="1438"/>
    </row>
    <row r="192" ht="38.25" customHeight="1">
      <c r="A192" s="1427"/>
      <c r="B192" s="1428"/>
      <c r="C192" s="1429"/>
      <c r="D192" s="1430"/>
      <c r="E192" s="1441"/>
      <c r="F192" s="270"/>
      <c r="G192" s="270"/>
      <c r="H192" s="30"/>
      <c r="I192" s="30"/>
      <c r="J192" s="30"/>
      <c r="K192" s="30"/>
      <c r="L192" s="1432"/>
    </row>
    <row r="193" ht="38.25" customHeight="1">
      <c r="A193" s="1433"/>
      <c r="B193" s="1434"/>
      <c r="C193" s="1435"/>
      <c r="D193" s="1436"/>
      <c r="E193" s="1440"/>
      <c r="F193" s="269"/>
      <c r="G193" s="269"/>
      <c r="H193" s="28"/>
      <c r="I193" s="28"/>
      <c r="J193" s="28"/>
      <c r="K193" s="28"/>
      <c r="L193" s="1438"/>
    </row>
    <row r="194" ht="38.25" customHeight="1">
      <c r="A194" s="1427"/>
      <c r="B194" s="1428"/>
      <c r="C194" s="1429"/>
      <c r="D194" s="1430"/>
      <c r="E194" s="1441"/>
      <c r="F194" s="270"/>
      <c r="G194" s="270"/>
      <c r="H194" s="30"/>
      <c r="I194" s="30"/>
      <c r="J194" s="30"/>
      <c r="K194" s="30"/>
      <c r="L194" s="1432"/>
    </row>
    <row r="195" ht="38.25" customHeight="1">
      <c r="A195" s="1433"/>
      <c r="B195" s="1434"/>
      <c r="C195" s="1435"/>
      <c r="D195" s="1436"/>
      <c r="E195" s="1440"/>
      <c r="F195" s="269"/>
      <c r="G195" s="269"/>
      <c r="H195" s="28"/>
      <c r="I195" s="28"/>
      <c r="J195" s="28"/>
      <c r="K195" s="28"/>
      <c r="L195" s="1438"/>
    </row>
    <row r="196" ht="38.25" customHeight="1">
      <c r="A196" s="1427"/>
      <c r="B196" s="1428"/>
      <c r="C196" s="1429"/>
      <c r="D196" s="1430"/>
      <c r="E196" s="1441"/>
      <c r="F196" s="270"/>
      <c r="G196" s="270"/>
      <c r="H196" s="30"/>
      <c r="I196" s="30"/>
      <c r="J196" s="30"/>
      <c r="K196" s="30"/>
      <c r="L196" s="1432"/>
    </row>
    <row r="197" ht="38.25" customHeight="1">
      <c r="A197" s="1433"/>
      <c r="B197" s="1434"/>
      <c r="C197" s="1435"/>
      <c r="D197" s="1436"/>
      <c r="E197" s="1440"/>
      <c r="F197" s="269"/>
      <c r="G197" s="269"/>
      <c r="H197" s="28"/>
      <c r="I197" s="28"/>
      <c r="J197" s="28"/>
      <c r="K197" s="28"/>
      <c r="L197" s="1438"/>
    </row>
    <row r="198" ht="38.25" customHeight="1">
      <c r="A198" s="1427"/>
      <c r="B198" s="1428"/>
      <c r="C198" s="1429"/>
      <c r="D198" s="1430"/>
      <c r="E198" s="1441"/>
      <c r="F198" s="270"/>
      <c r="G198" s="270"/>
      <c r="H198" s="30"/>
      <c r="I198" s="30"/>
      <c r="J198" s="30"/>
      <c r="K198" s="30"/>
      <c r="L198" s="1432"/>
    </row>
    <row r="199" ht="38.25" customHeight="1">
      <c r="A199" s="1433"/>
      <c r="B199" s="1434"/>
      <c r="C199" s="1435"/>
      <c r="D199" s="1436"/>
      <c r="E199" s="1440"/>
      <c r="F199" s="269"/>
      <c r="G199" s="269"/>
      <c r="H199" s="28"/>
      <c r="I199" s="28"/>
      <c r="J199" s="28"/>
      <c r="K199" s="28"/>
      <c r="L199" s="1438"/>
    </row>
    <row r="200" ht="38.25" customHeight="1">
      <c r="A200" s="1427"/>
      <c r="B200" s="1428"/>
      <c r="C200" s="1429"/>
      <c r="D200" s="1430"/>
      <c r="E200" s="1441"/>
      <c r="F200" s="270"/>
      <c r="G200" s="270"/>
      <c r="H200" s="30"/>
      <c r="I200" s="30"/>
      <c r="J200" s="30"/>
      <c r="K200" s="30"/>
      <c r="L200" s="1432"/>
    </row>
    <row r="201" ht="38.25" customHeight="1">
      <c r="A201" s="1433"/>
      <c r="B201" s="1434"/>
      <c r="C201" s="1435"/>
      <c r="D201" s="1436"/>
      <c r="E201" s="1440"/>
      <c r="F201" s="269"/>
      <c r="G201" s="269"/>
      <c r="H201" s="28"/>
      <c r="I201" s="28"/>
      <c r="J201" s="28"/>
      <c r="K201" s="28"/>
      <c r="L201" s="1438"/>
    </row>
    <row r="202" ht="38.25" customHeight="1">
      <c r="A202" s="1427"/>
      <c r="B202" s="1428"/>
      <c r="C202" s="1429"/>
      <c r="D202" s="1430"/>
      <c r="E202" s="1441"/>
      <c r="F202" s="270"/>
      <c r="G202" s="270"/>
      <c r="H202" s="30"/>
      <c r="I202" s="30"/>
      <c r="J202" s="30"/>
      <c r="K202" s="30"/>
      <c r="L202" s="1432"/>
    </row>
    <row r="203" ht="38.25" customHeight="1">
      <c r="A203" s="1433"/>
      <c r="B203" s="1434"/>
      <c r="C203" s="1435"/>
      <c r="D203" s="1436"/>
      <c r="E203" s="1440"/>
      <c r="F203" s="269"/>
      <c r="G203" s="269"/>
      <c r="H203" s="28"/>
      <c r="I203" s="28"/>
      <c r="J203" s="28"/>
      <c r="K203" s="28"/>
      <c r="L203" s="1438"/>
    </row>
    <row r="204" ht="38.25" customHeight="1">
      <c r="A204" s="1427"/>
      <c r="B204" s="1428"/>
      <c r="C204" s="1429"/>
      <c r="D204" s="1430"/>
      <c r="E204" s="1441"/>
      <c r="F204" s="270"/>
      <c r="G204" s="270"/>
      <c r="H204" s="30"/>
      <c r="I204" s="30"/>
      <c r="J204" s="30"/>
      <c r="K204" s="30"/>
      <c r="L204" s="1432"/>
    </row>
    <row r="205" ht="38.25" customHeight="1">
      <c r="A205" s="1433"/>
      <c r="B205" s="1434"/>
      <c r="C205" s="1435"/>
      <c r="D205" s="1436"/>
      <c r="E205" s="1440"/>
      <c r="F205" s="269"/>
      <c r="G205" s="269"/>
      <c r="H205" s="28"/>
      <c r="I205" s="28"/>
      <c r="J205" s="28"/>
      <c r="K205" s="28"/>
      <c r="L205" s="1438"/>
    </row>
    <row r="206" ht="38.25" customHeight="1">
      <c r="A206" s="1427"/>
      <c r="B206" s="1428"/>
      <c r="C206" s="1429"/>
      <c r="D206" s="1430"/>
      <c r="E206" s="1441"/>
      <c r="F206" s="270"/>
      <c r="G206" s="270"/>
      <c r="H206" s="30"/>
      <c r="I206" s="30"/>
      <c r="J206" s="30"/>
      <c r="K206" s="30"/>
      <c r="L206" s="1432"/>
    </row>
    <row r="207" ht="38.25" customHeight="1">
      <c r="A207" s="1433"/>
      <c r="B207" s="1434"/>
      <c r="C207" s="1435"/>
      <c r="D207" s="1436"/>
      <c r="E207" s="1440"/>
      <c r="F207" s="269"/>
      <c r="G207" s="269"/>
      <c r="H207" s="28"/>
      <c r="I207" s="28"/>
      <c r="J207" s="28"/>
      <c r="K207" s="28"/>
      <c r="L207" s="1438"/>
    </row>
    <row r="208" ht="38.25" customHeight="1">
      <c r="A208" s="1427"/>
      <c r="B208" s="1428"/>
      <c r="C208" s="1429"/>
      <c r="D208" s="1430"/>
      <c r="E208" s="1441"/>
      <c r="F208" s="270"/>
      <c r="G208" s="270"/>
      <c r="H208" s="30"/>
      <c r="I208" s="30"/>
      <c r="J208" s="30"/>
      <c r="K208" s="30"/>
      <c r="L208" s="1432"/>
    </row>
    <row r="209" ht="38.25" customHeight="1">
      <c r="A209" s="1433"/>
      <c r="B209" s="1434"/>
      <c r="C209" s="1435"/>
      <c r="D209" s="1436"/>
      <c r="E209" s="1440"/>
      <c r="F209" s="269"/>
      <c r="G209" s="269"/>
      <c r="H209" s="28"/>
      <c r="I209" s="28"/>
      <c r="J209" s="28"/>
      <c r="K209" s="28"/>
      <c r="L209" s="1438"/>
    </row>
    <row r="210" ht="38.25" customHeight="1">
      <c r="A210" s="1427"/>
      <c r="B210" s="1428"/>
      <c r="C210" s="1429"/>
      <c r="D210" s="1430"/>
      <c r="E210" s="1441"/>
      <c r="F210" s="270"/>
      <c r="G210" s="270"/>
      <c r="H210" s="30"/>
      <c r="I210" s="30"/>
      <c r="J210" s="30"/>
      <c r="K210" s="30"/>
      <c r="L210" s="1432"/>
    </row>
    <row r="211" ht="38.25" customHeight="1">
      <c r="A211" s="1433"/>
      <c r="B211" s="1434"/>
      <c r="C211" s="1435"/>
      <c r="D211" s="1436"/>
      <c r="E211" s="1440"/>
      <c r="F211" s="269"/>
      <c r="G211" s="269"/>
      <c r="H211" s="28"/>
      <c r="I211" s="28"/>
      <c r="J211" s="28"/>
      <c r="K211" s="28"/>
      <c r="L211" s="1438"/>
    </row>
    <row r="212" ht="38.25" customHeight="1">
      <c r="A212" s="1427"/>
      <c r="B212" s="1428"/>
      <c r="C212" s="1429"/>
      <c r="D212" s="1430"/>
      <c r="E212" s="1441"/>
      <c r="F212" s="270"/>
      <c r="G212" s="270"/>
      <c r="H212" s="30"/>
      <c r="I212" s="30"/>
      <c r="J212" s="30"/>
      <c r="K212" s="30"/>
      <c r="L212" s="1432"/>
    </row>
    <row r="213" ht="38.25" customHeight="1">
      <c r="A213" s="1433"/>
      <c r="B213" s="1434"/>
      <c r="C213" s="1435"/>
      <c r="D213" s="1436"/>
      <c r="E213" s="1440"/>
      <c r="F213" s="269"/>
      <c r="G213" s="269"/>
      <c r="H213" s="28"/>
      <c r="I213" s="28"/>
      <c r="J213" s="28"/>
      <c r="K213" s="28"/>
      <c r="L213" s="1438"/>
    </row>
    <row r="214" ht="38.25" customHeight="1">
      <c r="A214" s="1427"/>
      <c r="B214" s="1428"/>
      <c r="C214" s="1429"/>
      <c r="D214" s="1430"/>
      <c r="E214" s="1441"/>
      <c r="F214" s="270"/>
      <c r="G214" s="270"/>
      <c r="H214" s="30"/>
      <c r="I214" s="30"/>
      <c r="J214" s="30"/>
      <c r="K214" s="30"/>
      <c r="L214" s="1432"/>
    </row>
    <row r="215" ht="38.25" customHeight="1">
      <c r="A215" s="1433"/>
      <c r="B215" s="1434"/>
      <c r="C215" s="1435"/>
      <c r="D215" s="1436"/>
      <c r="E215" s="1440"/>
      <c r="F215" s="269"/>
      <c r="G215" s="269"/>
      <c r="H215" s="28"/>
      <c r="I215" s="28"/>
      <c r="J215" s="28"/>
      <c r="K215" s="28"/>
      <c r="L215" s="1438"/>
    </row>
    <row r="216" ht="38.25" customHeight="1">
      <c r="A216" s="1427"/>
      <c r="B216" s="1428"/>
      <c r="C216" s="1429"/>
      <c r="D216" s="1430"/>
      <c r="E216" s="1441"/>
      <c r="F216" s="270"/>
      <c r="G216" s="270"/>
      <c r="H216" s="30"/>
      <c r="I216" s="30"/>
      <c r="J216" s="30"/>
      <c r="K216" s="30"/>
      <c r="L216" s="1432"/>
    </row>
    <row r="217" ht="38.25" customHeight="1">
      <c r="A217" s="1433"/>
      <c r="B217" s="1434"/>
      <c r="C217" s="1435"/>
      <c r="D217" s="1436"/>
      <c r="E217" s="1440"/>
      <c r="F217" s="269"/>
      <c r="G217" s="269"/>
      <c r="H217" s="28"/>
      <c r="I217" s="28"/>
      <c r="J217" s="28"/>
      <c r="K217" s="28"/>
      <c r="L217" s="1438"/>
    </row>
    <row r="218" ht="38.25" customHeight="1">
      <c r="A218" s="1427"/>
      <c r="B218" s="1428"/>
      <c r="C218" s="1429"/>
      <c r="D218" s="1430"/>
      <c r="E218" s="1441"/>
      <c r="F218" s="270"/>
      <c r="G218" s="270"/>
      <c r="H218" s="30"/>
      <c r="I218" s="30"/>
      <c r="J218" s="30"/>
      <c r="K218" s="30"/>
      <c r="L218" s="1432"/>
    </row>
    <row r="219" ht="38.25" customHeight="1">
      <c r="A219" s="1433"/>
      <c r="B219" s="1434"/>
      <c r="C219" s="1435"/>
      <c r="D219" s="1436"/>
      <c r="E219" s="1440"/>
      <c r="F219" s="269"/>
      <c r="G219" s="269"/>
      <c r="H219" s="28"/>
      <c r="I219" s="28"/>
      <c r="J219" s="28"/>
      <c r="K219" s="28"/>
      <c r="L219" s="1438"/>
    </row>
    <row r="220" ht="38.25" customHeight="1">
      <c r="A220" s="1427"/>
      <c r="B220" s="1428"/>
      <c r="C220" s="1429"/>
      <c r="D220" s="1430"/>
      <c r="E220" s="1441"/>
      <c r="F220" s="270"/>
      <c r="G220" s="270"/>
      <c r="H220" s="30"/>
      <c r="I220" s="30"/>
      <c r="J220" s="30"/>
      <c r="K220" s="30"/>
      <c r="L220" s="1432"/>
    </row>
    <row r="221" ht="38.25" customHeight="1">
      <c r="A221" s="1433"/>
      <c r="B221" s="1434"/>
      <c r="C221" s="1435"/>
      <c r="D221" s="1436"/>
      <c r="E221" s="1440"/>
      <c r="F221" s="269"/>
      <c r="G221" s="269"/>
      <c r="H221" s="28"/>
      <c r="I221" s="28"/>
      <c r="J221" s="28"/>
      <c r="K221" s="28"/>
      <c r="L221" s="1438"/>
    </row>
    <row r="222" ht="38.25" customHeight="1">
      <c r="A222" s="1427"/>
      <c r="B222" s="1428"/>
      <c r="C222" s="1429"/>
      <c r="D222" s="1430"/>
      <c r="E222" s="1441"/>
      <c r="F222" s="270"/>
      <c r="G222" s="270"/>
      <c r="H222" s="30"/>
      <c r="I222" s="30"/>
      <c r="J222" s="30"/>
      <c r="K222" s="30"/>
      <c r="L222" s="1432"/>
    </row>
    <row r="223" ht="38.25" customHeight="1">
      <c r="A223" s="1433"/>
      <c r="B223" s="1434"/>
      <c r="C223" s="1435"/>
      <c r="D223" s="1436"/>
      <c r="E223" s="1440"/>
      <c r="F223" s="269"/>
      <c r="G223" s="269"/>
      <c r="H223" s="28"/>
      <c r="I223" s="28"/>
      <c r="J223" s="28"/>
      <c r="K223" s="28"/>
      <c r="L223" s="1438"/>
    </row>
    <row r="224" ht="38.25" customHeight="1">
      <c r="A224" s="1427"/>
      <c r="B224" s="1428"/>
      <c r="C224" s="1429"/>
      <c r="D224" s="1430"/>
      <c r="E224" s="1441"/>
      <c r="F224" s="270"/>
      <c r="G224" s="270"/>
      <c r="H224" s="30"/>
      <c r="I224" s="30"/>
      <c r="J224" s="30"/>
      <c r="K224" s="30"/>
      <c r="L224" s="1432"/>
    </row>
    <row r="225" ht="38.25" customHeight="1">
      <c r="A225" s="1433"/>
      <c r="B225" s="1434"/>
      <c r="C225" s="1435"/>
      <c r="D225" s="1436"/>
      <c r="E225" s="1440"/>
      <c r="F225" s="269"/>
      <c r="G225" s="269"/>
      <c r="H225" s="28"/>
      <c r="I225" s="28"/>
      <c r="J225" s="28"/>
      <c r="K225" s="28"/>
      <c r="L225" s="1438"/>
    </row>
    <row r="226" ht="38.25" customHeight="1">
      <c r="A226" s="1427"/>
      <c r="B226" s="1428"/>
      <c r="C226" s="1429"/>
      <c r="D226" s="1430"/>
      <c r="E226" s="1441"/>
      <c r="F226" s="270"/>
      <c r="G226" s="270"/>
      <c r="H226" s="30"/>
      <c r="I226" s="30"/>
      <c r="J226" s="30"/>
      <c r="K226" s="30"/>
      <c r="L226" s="1432"/>
    </row>
    <row r="227" ht="38.25" customHeight="1">
      <c r="A227" s="1433"/>
      <c r="B227" s="1434"/>
      <c r="C227" s="1435"/>
      <c r="D227" s="1436"/>
      <c r="E227" s="1440"/>
      <c r="F227" s="269"/>
      <c r="G227" s="269"/>
      <c r="H227" s="28"/>
      <c r="I227" s="28"/>
      <c r="J227" s="28"/>
      <c r="K227" s="28"/>
      <c r="L227" s="1438"/>
    </row>
    <row r="228" ht="38.25" customHeight="1">
      <c r="A228" s="1427"/>
      <c r="B228" s="1428"/>
      <c r="C228" s="1429"/>
      <c r="D228" s="1430"/>
      <c r="E228" s="1441"/>
      <c r="F228" s="270"/>
      <c r="G228" s="270"/>
      <c r="H228" s="30"/>
      <c r="I228" s="30"/>
      <c r="J228" s="30"/>
      <c r="K228" s="30"/>
      <c r="L228" s="1432"/>
    </row>
    <row r="229" ht="38.25" customHeight="1">
      <c r="A229" s="1433"/>
      <c r="B229" s="1434"/>
      <c r="C229" s="1435"/>
      <c r="D229" s="1436"/>
      <c r="E229" s="1440"/>
      <c r="F229" s="269"/>
      <c r="G229" s="269"/>
      <c r="H229" s="28"/>
      <c r="I229" s="28"/>
      <c r="J229" s="28"/>
      <c r="K229" s="28"/>
      <c r="L229" s="1438"/>
    </row>
    <row r="230" ht="38.25" customHeight="1">
      <c r="A230" s="1427"/>
      <c r="B230" s="1428"/>
      <c r="C230" s="1429"/>
      <c r="D230" s="1430"/>
      <c r="E230" s="1441"/>
      <c r="F230" s="270"/>
      <c r="G230" s="270"/>
      <c r="H230" s="30"/>
      <c r="I230" s="30"/>
      <c r="J230" s="30"/>
      <c r="K230" s="30"/>
      <c r="L230" s="1432"/>
    </row>
    <row r="231" ht="38.25" customHeight="1">
      <c r="A231" s="1433"/>
      <c r="B231" s="1434"/>
      <c r="C231" s="1435"/>
      <c r="D231" s="1436"/>
      <c r="E231" s="1440"/>
      <c r="F231" s="269"/>
      <c r="G231" s="269"/>
      <c r="H231" s="28"/>
      <c r="I231" s="28"/>
      <c r="J231" s="28"/>
      <c r="K231" s="28"/>
      <c r="L231" s="1438"/>
    </row>
    <row r="232" ht="38.25" customHeight="1">
      <c r="A232" s="1427"/>
      <c r="B232" s="1428"/>
      <c r="C232" s="1429"/>
      <c r="D232" s="1430"/>
      <c r="E232" s="1441"/>
      <c r="F232" s="270"/>
      <c r="G232" s="270"/>
      <c r="H232" s="30"/>
      <c r="I232" s="30"/>
      <c r="J232" s="30"/>
      <c r="K232" s="30"/>
      <c r="L232" s="1432"/>
    </row>
    <row r="233" ht="38.25" customHeight="1">
      <c r="A233" s="1433"/>
      <c r="B233" s="1434"/>
      <c r="C233" s="1435"/>
      <c r="D233" s="1436"/>
      <c r="E233" s="1440"/>
      <c r="F233" s="269"/>
      <c r="G233" s="269"/>
      <c r="H233" s="28"/>
      <c r="I233" s="28"/>
      <c r="J233" s="28"/>
      <c r="K233" s="28"/>
      <c r="L233" s="1438"/>
    </row>
    <row r="234" ht="38.25" customHeight="1">
      <c r="A234" s="1427"/>
      <c r="B234" s="1428"/>
      <c r="C234" s="1429"/>
      <c r="D234" s="1430"/>
      <c r="E234" s="1441"/>
      <c r="F234" s="270"/>
      <c r="G234" s="270"/>
      <c r="H234" s="30"/>
      <c r="I234" s="30"/>
      <c r="J234" s="30"/>
      <c r="K234" s="30"/>
      <c r="L234" s="1432"/>
    </row>
    <row r="235" ht="38.25" customHeight="1">
      <c r="A235" s="1433"/>
      <c r="B235" s="1434"/>
      <c r="C235" s="1435"/>
      <c r="D235" s="1436"/>
      <c r="E235" s="1440"/>
      <c r="F235" s="269"/>
      <c r="G235" s="269"/>
      <c r="H235" s="28"/>
      <c r="I235" s="28"/>
      <c r="J235" s="28"/>
      <c r="K235" s="28"/>
      <c r="L235" s="1438"/>
    </row>
    <row r="236" ht="38.25" customHeight="1">
      <c r="A236" s="1427"/>
      <c r="B236" s="1428"/>
      <c r="C236" s="1429"/>
      <c r="D236" s="1430"/>
      <c r="E236" s="1441"/>
      <c r="F236" s="270"/>
      <c r="G236" s="270"/>
      <c r="H236" s="30"/>
      <c r="I236" s="30"/>
      <c r="J236" s="30"/>
      <c r="K236" s="30"/>
      <c r="L236" s="1432"/>
    </row>
    <row r="237" ht="38.25" customHeight="1">
      <c r="A237" s="1433"/>
      <c r="B237" s="1434"/>
      <c r="C237" s="1435"/>
      <c r="D237" s="1436"/>
      <c r="E237" s="1440"/>
      <c r="F237" s="269"/>
      <c r="G237" s="269"/>
      <c r="H237" s="28"/>
      <c r="I237" s="28"/>
      <c r="J237" s="28"/>
      <c r="K237" s="28"/>
      <c r="L237" s="1438"/>
    </row>
    <row r="238" ht="38.25" customHeight="1">
      <c r="A238" s="1427"/>
      <c r="B238" s="1428"/>
      <c r="C238" s="1429"/>
      <c r="D238" s="1430"/>
      <c r="E238" s="1441"/>
      <c r="F238" s="270"/>
      <c r="G238" s="270"/>
      <c r="H238" s="30"/>
      <c r="I238" s="30"/>
      <c r="J238" s="30"/>
      <c r="K238" s="30"/>
      <c r="L238" s="1432"/>
    </row>
    <row r="239" ht="38.25" customHeight="1">
      <c r="A239" s="1433"/>
      <c r="B239" s="1434"/>
      <c r="C239" s="1435"/>
      <c r="D239" s="1436"/>
      <c r="E239" s="1440"/>
      <c r="F239" s="269"/>
      <c r="G239" s="269"/>
      <c r="H239" s="28"/>
      <c r="I239" s="28"/>
      <c r="J239" s="28"/>
      <c r="K239" s="28"/>
      <c r="L239" s="1438"/>
    </row>
    <row r="240" ht="38.25" customHeight="1">
      <c r="A240" s="1427"/>
      <c r="B240" s="1428"/>
      <c r="C240" s="1429"/>
      <c r="D240" s="1430"/>
      <c r="E240" s="1441"/>
      <c r="F240" s="270"/>
      <c r="G240" s="270"/>
      <c r="H240" s="30"/>
      <c r="I240" s="30"/>
      <c r="J240" s="30"/>
      <c r="K240" s="30"/>
      <c r="L240" s="1432"/>
    </row>
    <row r="241" ht="38.25" customHeight="1">
      <c r="A241" s="1433"/>
      <c r="B241" s="1434"/>
      <c r="C241" s="1435"/>
      <c r="D241" s="1436"/>
      <c r="E241" s="1440"/>
      <c r="F241" s="269"/>
      <c r="G241" s="269"/>
      <c r="H241" s="28"/>
      <c r="I241" s="28"/>
      <c r="J241" s="28"/>
      <c r="K241" s="28"/>
      <c r="L241" s="1438"/>
    </row>
    <row r="242" ht="38.25" customHeight="1">
      <c r="A242" s="1427"/>
      <c r="B242" s="1428"/>
      <c r="C242" s="1429"/>
      <c r="D242" s="1430"/>
      <c r="E242" s="1441"/>
      <c r="F242" s="270"/>
      <c r="G242" s="270"/>
      <c r="H242" s="30"/>
      <c r="I242" s="30"/>
      <c r="J242" s="30"/>
      <c r="K242" s="30"/>
      <c r="L242" s="1432"/>
    </row>
    <row r="243" ht="38.25" customHeight="1">
      <c r="A243" s="1433"/>
      <c r="B243" s="1434"/>
      <c r="C243" s="1435"/>
      <c r="D243" s="1436"/>
      <c r="E243" s="1440"/>
      <c r="F243" s="269"/>
      <c r="G243" s="269"/>
      <c r="H243" s="28"/>
      <c r="I243" s="28"/>
      <c r="J243" s="28"/>
      <c r="K243" s="28"/>
      <c r="L243" s="1438"/>
    </row>
    <row r="244" ht="38.25" customHeight="1">
      <c r="A244" s="1427"/>
      <c r="B244" s="1428"/>
      <c r="C244" s="1429"/>
      <c r="D244" s="1430"/>
      <c r="E244" s="1441"/>
      <c r="F244" s="270"/>
      <c r="G244" s="270"/>
      <c r="H244" s="30"/>
      <c r="I244" s="30"/>
      <c r="J244" s="30"/>
      <c r="K244" s="30"/>
      <c r="L244" s="1432"/>
    </row>
    <row r="245" ht="38.25" customHeight="1">
      <c r="A245" s="1433"/>
      <c r="B245" s="1434"/>
      <c r="C245" s="1435"/>
      <c r="D245" s="1436"/>
      <c r="E245" s="1440"/>
      <c r="F245" s="269"/>
      <c r="G245" s="269"/>
      <c r="H245" s="28"/>
      <c r="I245" s="28"/>
      <c r="J245" s="28"/>
      <c r="K245" s="28"/>
      <c r="L245" s="1438"/>
    </row>
    <row r="246" ht="38.25" customHeight="1">
      <c r="A246" s="1427"/>
      <c r="B246" s="1428"/>
      <c r="C246" s="1429"/>
      <c r="D246" s="1430"/>
      <c r="E246" s="1441"/>
      <c r="F246" s="270"/>
      <c r="G246" s="270"/>
      <c r="H246" s="30"/>
      <c r="I246" s="30"/>
      <c r="J246" s="30"/>
      <c r="K246" s="30"/>
      <c r="L246" s="1432"/>
    </row>
    <row r="247" ht="38.25" customHeight="1">
      <c r="A247" s="1433"/>
      <c r="B247" s="1434"/>
      <c r="C247" s="1435"/>
      <c r="D247" s="1436"/>
      <c r="E247" s="1440"/>
      <c r="F247" s="269"/>
      <c r="G247" s="269"/>
      <c r="H247" s="28"/>
      <c r="I247" s="28"/>
      <c r="J247" s="28"/>
      <c r="K247" s="28"/>
      <c r="L247" s="1438"/>
    </row>
    <row r="248" ht="38.25" customHeight="1">
      <c r="A248" s="1427"/>
      <c r="B248" s="1428"/>
      <c r="C248" s="1429"/>
      <c r="D248" s="1430"/>
      <c r="E248" s="1441"/>
      <c r="F248" s="270"/>
      <c r="G248" s="270"/>
      <c r="H248" s="30"/>
      <c r="I248" s="30"/>
      <c r="J248" s="30"/>
      <c r="K248" s="30"/>
      <c r="L248" s="1432"/>
    </row>
    <row r="249" ht="38.25" customHeight="1">
      <c r="A249" s="1433"/>
      <c r="B249" s="1434"/>
      <c r="C249" s="1435"/>
      <c r="D249" s="1436"/>
      <c r="E249" s="1440"/>
      <c r="F249" s="269"/>
      <c r="G249" s="269"/>
      <c r="H249" s="28"/>
      <c r="I249" s="28"/>
      <c r="J249" s="28"/>
      <c r="K249" s="28"/>
      <c r="L249" s="1438"/>
    </row>
    <row r="250" ht="38.25" customHeight="1">
      <c r="A250" s="1427"/>
      <c r="B250" s="1428"/>
      <c r="C250" s="1429"/>
      <c r="D250" s="1430"/>
      <c r="E250" s="1441"/>
      <c r="F250" s="270"/>
      <c r="G250" s="270"/>
      <c r="H250" s="30"/>
      <c r="I250" s="30"/>
      <c r="J250" s="30"/>
      <c r="K250" s="30"/>
      <c r="L250" s="1432"/>
    </row>
    <row r="251" ht="38.25" customHeight="1">
      <c r="A251" s="1433"/>
      <c r="B251" s="1434"/>
      <c r="C251" s="1435"/>
      <c r="D251" s="1436"/>
      <c r="E251" s="1440"/>
      <c r="F251" s="269"/>
      <c r="G251" s="269"/>
      <c r="H251" s="28"/>
      <c r="I251" s="28"/>
      <c r="J251" s="28"/>
      <c r="K251" s="28"/>
      <c r="L251" s="1438"/>
    </row>
    <row r="252" ht="38.25" customHeight="1">
      <c r="A252" s="1427"/>
      <c r="B252" s="1428"/>
      <c r="C252" s="1429"/>
      <c r="D252" s="1430"/>
      <c r="E252" s="1441"/>
      <c r="F252" s="270"/>
      <c r="G252" s="270"/>
      <c r="H252" s="30"/>
      <c r="I252" s="30"/>
      <c r="J252" s="30"/>
      <c r="K252" s="30"/>
      <c r="L252" s="1432"/>
    </row>
    <row r="253" ht="38.25" customHeight="1">
      <c r="A253" s="1433"/>
      <c r="B253" s="1434"/>
      <c r="C253" s="1435"/>
      <c r="D253" s="1436"/>
      <c r="E253" s="1440"/>
      <c r="F253" s="269"/>
      <c r="G253" s="269"/>
      <c r="H253" s="28"/>
      <c r="I253" s="28"/>
      <c r="J253" s="28"/>
      <c r="K253" s="28"/>
      <c r="L253" s="1438"/>
    </row>
    <row r="254" ht="38.25" customHeight="1">
      <c r="A254" s="1427"/>
      <c r="B254" s="1428"/>
      <c r="C254" s="1429"/>
      <c r="D254" s="1430"/>
      <c r="E254" s="1441"/>
      <c r="F254" s="270"/>
      <c r="G254" s="270"/>
      <c r="H254" s="30"/>
      <c r="I254" s="30"/>
      <c r="J254" s="30"/>
      <c r="K254" s="30"/>
      <c r="L254" s="1432"/>
    </row>
    <row r="255" ht="38.25" customHeight="1">
      <c r="A255" s="1433"/>
      <c r="B255" s="1434"/>
      <c r="C255" s="1435"/>
      <c r="D255" s="1436"/>
      <c r="E255" s="1440"/>
      <c r="F255" s="269"/>
      <c r="G255" s="269"/>
      <c r="H255" s="28"/>
      <c r="I255" s="28"/>
      <c r="J255" s="28"/>
      <c r="K255" s="28"/>
      <c r="L255" s="1438"/>
    </row>
    <row r="256" ht="38.25" customHeight="1">
      <c r="A256" s="1427"/>
      <c r="B256" s="1428"/>
      <c r="C256" s="1429"/>
      <c r="D256" s="1430"/>
      <c r="E256" s="1441"/>
      <c r="F256" s="270"/>
      <c r="G256" s="270"/>
      <c r="H256" s="30"/>
      <c r="I256" s="30"/>
      <c r="J256" s="30"/>
      <c r="K256" s="30"/>
      <c r="L256" s="1432"/>
    </row>
    <row r="257" ht="38.25" customHeight="1">
      <c r="A257" s="1433"/>
      <c r="B257" s="1434"/>
      <c r="C257" s="1435"/>
      <c r="D257" s="1436"/>
      <c r="E257" s="1440"/>
      <c r="F257" s="269"/>
      <c r="G257" s="269"/>
      <c r="H257" s="28"/>
      <c r="I257" s="28"/>
      <c r="J257" s="28"/>
      <c r="K257" s="28"/>
      <c r="L257" s="1438"/>
    </row>
    <row r="258" ht="38.25" customHeight="1">
      <c r="A258" s="1427"/>
      <c r="B258" s="1428"/>
      <c r="C258" s="1429"/>
      <c r="D258" s="1430"/>
      <c r="E258" s="1441"/>
      <c r="F258" s="270"/>
      <c r="G258" s="270"/>
      <c r="H258" s="30"/>
      <c r="I258" s="30"/>
      <c r="J258" s="30"/>
      <c r="K258" s="30"/>
      <c r="L258" s="1432"/>
    </row>
    <row r="259" ht="38.25" customHeight="1">
      <c r="A259" s="1433"/>
      <c r="B259" s="1434"/>
      <c r="C259" s="1435"/>
      <c r="D259" s="1436"/>
      <c r="E259" s="1440"/>
      <c r="F259" s="269"/>
      <c r="G259" s="269"/>
      <c r="H259" s="28"/>
      <c r="I259" s="28"/>
      <c r="J259" s="28"/>
      <c r="K259" s="28"/>
      <c r="L259" s="1438"/>
    </row>
    <row r="260" ht="38.25" customHeight="1">
      <c r="A260" s="1427"/>
      <c r="B260" s="1428"/>
      <c r="C260" s="1429"/>
      <c r="D260" s="1430"/>
      <c r="E260" s="1441"/>
      <c r="F260" s="270"/>
      <c r="G260" s="270"/>
      <c r="H260" s="30"/>
      <c r="I260" s="30"/>
      <c r="J260" s="30"/>
      <c r="K260" s="30"/>
      <c r="L260" s="1432"/>
    </row>
    <row r="261" ht="38.25" customHeight="1">
      <c r="A261" s="1433"/>
      <c r="B261" s="1434"/>
      <c r="C261" s="1435"/>
      <c r="D261" s="1436"/>
      <c r="E261" s="1440"/>
      <c r="F261" s="269"/>
      <c r="G261" s="269"/>
      <c r="H261" s="28"/>
      <c r="I261" s="28"/>
      <c r="J261" s="28"/>
      <c r="K261" s="28"/>
      <c r="L261" s="1438"/>
    </row>
    <row r="262" ht="38.25" customHeight="1">
      <c r="A262" s="1427"/>
      <c r="B262" s="1428"/>
      <c r="C262" s="1429"/>
      <c r="D262" s="1430"/>
      <c r="E262" s="1441"/>
      <c r="F262" s="270"/>
      <c r="G262" s="270"/>
      <c r="H262" s="30"/>
      <c r="I262" s="30"/>
      <c r="J262" s="30"/>
      <c r="K262" s="30"/>
      <c r="L262" s="1432"/>
    </row>
    <row r="263" ht="38.25" customHeight="1">
      <c r="A263" s="1433"/>
      <c r="B263" s="1434"/>
      <c r="C263" s="1435"/>
      <c r="D263" s="1436"/>
      <c r="E263" s="1440"/>
      <c r="F263" s="269"/>
      <c r="G263" s="269"/>
      <c r="H263" s="28"/>
      <c r="I263" s="28"/>
      <c r="J263" s="28"/>
      <c r="K263" s="28"/>
      <c r="L263" s="1438"/>
    </row>
    <row r="264" ht="38.25" customHeight="1">
      <c r="A264" s="1427"/>
      <c r="B264" s="1428"/>
      <c r="C264" s="1429"/>
      <c r="D264" s="1430"/>
      <c r="E264" s="1441"/>
      <c r="F264" s="270"/>
      <c r="G264" s="270"/>
      <c r="H264" s="30"/>
      <c r="I264" s="30"/>
      <c r="J264" s="30"/>
      <c r="K264" s="30"/>
      <c r="L264" s="1432"/>
    </row>
    <row r="265" ht="38.25" customHeight="1">
      <c r="A265" s="1433"/>
      <c r="B265" s="1434"/>
      <c r="C265" s="1435"/>
      <c r="D265" s="1436"/>
      <c r="E265" s="1440"/>
      <c r="F265" s="269"/>
      <c r="G265" s="269"/>
      <c r="H265" s="28"/>
      <c r="I265" s="28"/>
      <c r="J265" s="28"/>
      <c r="K265" s="28"/>
      <c r="L265" s="1438"/>
    </row>
    <row r="266" ht="38.25" customHeight="1">
      <c r="A266" s="1427"/>
      <c r="B266" s="1428"/>
      <c r="C266" s="1429"/>
      <c r="D266" s="1430"/>
      <c r="E266" s="1441"/>
      <c r="F266" s="270"/>
      <c r="G266" s="270"/>
      <c r="H266" s="30"/>
      <c r="I266" s="30"/>
      <c r="J266" s="30"/>
      <c r="K266" s="30"/>
      <c r="L266" s="1432"/>
    </row>
    <row r="267" ht="38.25" customHeight="1">
      <c r="A267" s="1433"/>
      <c r="B267" s="1434"/>
      <c r="C267" s="1435"/>
      <c r="D267" s="1436"/>
      <c r="E267" s="1440"/>
      <c r="F267" s="269"/>
      <c r="G267" s="269"/>
      <c r="H267" s="28"/>
      <c r="I267" s="28"/>
      <c r="J267" s="28"/>
      <c r="K267" s="28"/>
      <c r="L267" s="1438"/>
    </row>
    <row r="268" ht="38.25" customHeight="1">
      <c r="A268" s="1427"/>
      <c r="B268" s="1428"/>
      <c r="C268" s="1429"/>
      <c r="D268" s="1430"/>
      <c r="E268" s="1441"/>
      <c r="F268" s="270"/>
      <c r="G268" s="270"/>
      <c r="H268" s="30"/>
      <c r="I268" s="30"/>
      <c r="J268" s="30"/>
      <c r="K268" s="30"/>
      <c r="L268" s="1432"/>
    </row>
    <row r="269" ht="38.25" customHeight="1">
      <c r="A269" s="1433"/>
      <c r="B269" s="1434"/>
      <c r="C269" s="1435"/>
      <c r="D269" s="1436"/>
      <c r="E269" s="1440"/>
      <c r="F269" s="269"/>
      <c r="G269" s="269"/>
      <c r="H269" s="28"/>
      <c r="I269" s="28"/>
      <c r="J269" s="28"/>
      <c r="K269" s="28"/>
      <c r="L269" s="1438"/>
    </row>
    <row r="270" ht="38.25" customHeight="1">
      <c r="A270" s="1427"/>
      <c r="B270" s="1428"/>
      <c r="C270" s="1429"/>
      <c r="D270" s="1430"/>
      <c r="E270" s="1441"/>
      <c r="F270" s="270"/>
      <c r="G270" s="270"/>
      <c r="H270" s="30"/>
      <c r="I270" s="30"/>
      <c r="J270" s="30"/>
      <c r="K270" s="30"/>
      <c r="L270" s="1432"/>
    </row>
    <row r="271" ht="38.25" customHeight="1">
      <c r="A271" s="1433"/>
      <c r="B271" s="1434"/>
      <c r="C271" s="1435"/>
      <c r="D271" s="1436"/>
      <c r="E271" s="1440"/>
      <c r="F271" s="269"/>
      <c r="G271" s="269"/>
      <c r="H271" s="28"/>
      <c r="I271" s="28"/>
      <c r="J271" s="28"/>
      <c r="K271" s="28"/>
      <c r="L271" s="1438"/>
    </row>
    <row r="272" ht="38.25" customHeight="1">
      <c r="A272" s="1427"/>
      <c r="B272" s="1428"/>
      <c r="C272" s="1429"/>
      <c r="D272" s="1430"/>
      <c r="E272" s="1441"/>
      <c r="F272" s="270"/>
      <c r="G272" s="270"/>
      <c r="H272" s="30"/>
      <c r="I272" s="30"/>
      <c r="J272" s="30"/>
      <c r="K272" s="30"/>
      <c r="L272" s="1432"/>
    </row>
    <row r="273" ht="38.25" customHeight="1">
      <c r="A273" s="1433"/>
      <c r="B273" s="1434"/>
      <c r="C273" s="1435"/>
      <c r="D273" s="1436"/>
      <c r="E273" s="1440"/>
      <c r="F273" s="269"/>
      <c r="G273" s="269"/>
      <c r="H273" s="28"/>
      <c r="I273" s="28"/>
      <c r="J273" s="28"/>
      <c r="K273" s="28"/>
      <c r="L273" s="1438"/>
    </row>
    <row r="274" ht="38.25" customHeight="1">
      <c r="A274" s="1427"/>
      <c r="B274" s="1428"/>
      <c r="C274" s="1429"/>
      <c r="D274" s="1430"/>
      <c r="E274" s="1441"/>
      <c r="F274" s="270"/>
      <c r="G274" s="270"/>
      <c r="H274" s="30"/>
      <c r="I274" s="30"/>
      <c r="J274" s="30"/>
      <c r="K274" s="30"/>
      <c r="L274" s="1432"/>
    </row>
    <row r="275" ht="38.25" customHeight="1">
      <c r="A275" s="1433"/>
      <c r="B275" s="1434"/>
      <c r="C275" s="1435"/>
      <c r="D275" s="1436"/>
      <c r="E275" s="1440"/>
      <c r="F275" s="269"/>
      <c r="G275" s="269"/>
      <c r="H275" s="28"/>
      <c r="I275" s="28"/>
      <c r="J275" s="28"/>
      <c r="K275" s="28"/>
      <c r="L275" s="1438"/>
    </row>
    <row r="276" ht="38.25" customHeight="1">
      <c r="A276" s="1427"/>
      <c r="B276" s="1428"/>
      <c r="C276" s="1429"/>
      <c r="D276" s="1430"/>
      <c r="E276" s="1441"/>
      <c r="F276" s="270"/>
      <c r="G276" s="270"/>
      <c r="H276" s="30"/>
      <c r="I276" s="30"/>
      <c r="J276" s="30"/>
      <c r="K276" s="30"/>
      <c r="L276" s="1432"/>
    </row>
    <row r="277" ht="38.25" customHeight="1">
      <c r="A277" s="1433"/>
      <c r="B277" s="1434"/>
      <c r="C277" s="1435"/>
      <c r="D277" s="1436"/>
      <c r="E277" s="1440"/>
      <c r="F277" s="269"/>
      <c r="G277" s="269"/>
      <c r="H277" s="28"/>
      <c r="I277" s="28"/>
      <c r="J277" s="28"/>
      <c r="K277" s="28"/>
      <c r="L277" s="1438"/>
    </row>
    <row r="278" ht="38.25" customHeight="1">
      <c r="A278" s="1427"/>
      <c r="B278" s="1428"/>
      <c r="C278" s="1429"/>
      <c r="D278" s="1430"/>
      <c r="E278" s="1441"/>
      <c r="F278" s="270"/>
      <c r="G278" s="270"/>
      <c r="H278" s="30"/>
      <c r="I278" s="30"/>
      <c r="J278" s="30"/>
      <c r="K278" s="30"/>
      <c r="L278" s="1432"/>
    </row>
    <row r="279" ht="38.25" customHeight="1">
      <c r="A279" s="1433"/>
      <c r="B279" s="1434"/>
      <c r="C279" s="1435"/>
      <c r="D279" s="1436"/>
      <c r="E279" s="1440"/>
      <c r="F279" s="269"/>
      <c r="G279" s="269"/>
      <c r="H279" s="28"/>
      <c r="I279" s="28"/>
      <c r="J279" s="28"/>
      <c r="K279" s="28"/>
      <c r="L279" s="1438"/>
    </row>
    <row r="280" ht="38.25" customHeight="1">
      <c r="A280" s="1427"/>
      <c r="B280" s="1428"/>
      <c r="C280" s="1429"/>
      <c r="D280" s="1430"/>
      <c r="E280" s="1441"/>
      <c r="F280" s="270"/>
      <c r="G280" s="270"/>
      <c r="H280" s="30"/>
      <c r="I280" s="30"/>
      <c r="J280" s="30"/>
      <c r="K280" s="30"/>
      <c r="L280" s="1432"/>
    </row>
    <row r="281" ht="38.25" customHeight="1">
      <c r="A281" s="1433"/>
      <c r="B281" s="1434"/>
      <c r="C281" s="1435"/>
      <c r="D281" s="1436"/>
      <c r="E281" s="1440"/>
      <c r="F281" s="269"/>
      <c r="G281" s="269"/>
      <c r="H281" s="28"/>
      <c r="I281" s="28"/>
      <c r="J281" s="28"/>
      <c r="K281" s="28"/>
      <c r="L281" s="1438"/>
    </row>
    <row r="282" ht="38.25" customHeight="1">
      <c r="A282" s="1427"/>
      <c r="B282" s="1428"/>
      <c r="C282" s="1429"/>
      <c r="D282" s="1430"/>
      <c r="E282" s="1441"/>
      <c r="F282" s="270"/>
      <c r="G282" s="270"/>
      <c r="H282" s="30"/>
      <c r="I282" s="30"/>
      <c r="J282" s="30"/>
      <c r="K282" s="30"/>
      <c r="L282" s="1432"/>
    </row>
    <row r="283" ht="38.25" customHeight="1">
      <c r="A283" s="1433"/>
      <c r="B283" s="1434"/>
      <c r="C283" s="1435"/>
      <c r="D283" s="1436"/>
      <c r="E283" s="1440"/>
      <c r="F283" s="269"/>
      <c r="G283" s="269"/>
      <c r="H283" s="28"/>
      <c r="I283" s="28"/>
      <c r="J283" s="28"/>
      <c r="K283" s="28"/>
      <c r="L283" s="1438"/>
    </row>
    <row r="284" ht="38.25" customHeight="1">
      <c r="A284" s="1427"/>
      <c r="B284" s="1428"/>
      <c r="C284" s="1429"/>
      <c r="D284" s="1430"/>
      <c r="E284" s="1441"/>
      <c r="F284" s="270"/>
      <c r="G284" s="270"/>
      <c r="H284" s="30"/>
      <c r="I284" s="30"/>
      <c r="J284" s="30"/>
      <c r="K284" s="30"/>
      <c r="L284" s="1432"/>
    </row>
    <row r="285" ht="38.25" customHeight="1">
      <c r="A285" s="1433"/>
      <c r="B285" s="1434"/>
      <c r="C285" s="1435"/>
      <c r="D285" s="1436"/>
      <c r="E285" s="1440"/>
      <c r="F285" s="269"/>
      <c r="G285" s="269"/>
      <c r="H285" s="28"/>
      <c r="I285" s="28"/>
      <c r="J285" s="28"/>
      <c r="K285" s="28"/>
      <c r="L285" s="1438"/>
    </row>
    <row r="286" ht="38.25" customHeight="1">
      <c r="A286" s="1427"/>
      <c r="B286" s="1428"/>
      <c r="C286" s="1429"/>
      <c r="D286" s="1430"/>
      <c r="E286" s="1441"/>
      <c r="F286" s="270"/>
      <c r="G286" s="270"/>
      <c r="H286" s="30"/>
      <c r="I286" s="30"/>
      <c r="J286" s="30"/>
      <c r="K286" s="30"/>
      <c r="L286" s="1432"/>
    </row>
    <row r="287" ht="38.25" customHeight="1">
      <c r="A287" s="1433"/>
      <c r="B287" s="1434"/>
      <c r="C287" s="1435"/>
      <c r="D287" s="1436"/>
      <c r="E287" s="1440"/>
      <c r="F287" s="269"/>
      <c r="G287" s="269"/>
      <c r="H287" s="28"/>
      <c r="I287" s="28"/>
      <c r="J287" s="28"/>
      <c r="K287" s="28"/>
      <c r="L287" s="1438"/>
    </row>
    <row r="288" ht="38.25" customHeight="1">
      <c r="A288" s="1427"/>
      <c r="B288" s="1428"/>
      <c r="C288" s="1429"/>
      <c r="D288" s="1430"/>
      <c r="E288" s="1441"/>
      <c r="F288" s="270"/>
      <c r="G288" s="270"/>
      <c r="H288" s="30"/>
      <c r="I288" s="30"/>
      <c r="J288" s="30"/>
      <c r="K288" s="30"/>
      <c r="L288" s="1432"/>
    </row>
    <row r="289" ht="38.25" customHeight="1">
      <c r="A289" s="1433"/>
      <c r="B289" s="1434"/>
      <c r="C289" s="1435"/>
      <c r="D289" s="1436"/>
      <c r="E289" s="1440"/>
      <c r="F289" s="269"/>
      <c r="G289" s="269"/>
      <c r="H289" s="28"/>
      <c r="I289" s="28"/>
      <c r="J289" s="28"/>
      <c r="K289" s="28"/>
      <c r="L289" s="1438"/>
    </row>
    <row r="290" ht="38.25" customHeight="1">
      <c r="A290" s="1427"/>
      <c r="B290" s="1428"/>
      <c r="C290" s="1429"/>
      <c r="D290" s="1430"/>
      <c r="E290" s="1441"/>
      <c r="F290" s="270"/>
      <c r="G290" s="270"/>
      <c r="H290" s="30"/>
      <c r="I290" s="30"/>
      <c r="J290" s="30"/>
      <c r="K290" s="30"/>
      <c r="L290" s="1432"/>
    </row>
    <row r="291" ht="38.25" customHeight="1">
      <c r="A291" s="1433"/>
      <c r="B291" s="1434"/>
      <c r="C291" s="1435"/>
      <c r="D291" s="1436"/>
      <c r="E291" s="1440"/>
      <c r="F291" s="269"/>
      <c r="G291" s="269"/>
      <c r="H291" s="28"/>
      <c r="I291" s="28"/>
      <c r="J291" s="28"/>
      <c r="K291" s="28"/>
      <c r="L291" s="1438"/>
    </row>
    <row r="292" ht="38.25" customHeight="1">
      <c r="A292" s="1427"/>
      <c r="B292" s="1428"/>
      <c r="C292" s="1429"/>
      <c r="D292" s="1430"/>
      <c r="E292" s="1441"/>
      <c r="F292" s="270"/>
      <c r="G292" s="270"/>
      <c r="H292" s="30"/>
      <c r="I292" s="30"/>
      <c r="J292" s="30"/>
      <c r="K292" s="30"/>
      <c r="L292" s="1432"/>
    </row>
    <row r="293" ht="38.25" customHeight="1">
      <c r="A293" s="1433"/>
      <c r="B293" s="1434"/>
      <c r="C293" s="1435"/>
      <c r="D293" s="1436"/>
      <c r="E293" s="1440"/>
      <c r="F293" s="269"/>
      <c r="G293" s="269"/>
      <c r="H293" s="28"/>
      <c r="I293" s="28"/>
      <c r="J293" s="28"/>
      <c r="K293" s="28"/>
      <c r="L293" s="1438"/>
    </row>
    <row r="294" ht="38.25" customHeight="1">
      <c r="A294" s="1427"/>
      <c r="B294" s="1428"/>
      <c r="C294" s="1429"/>
      <c r="D294" s="1430"/>
      <c r="E294" s="1441"/>
      <c r="F294" s="270"/>
      <c r="G294" s="270"/>
      <c r="H294" s="30"/>
      <c r="I294" s="30"/>
      <c r="J294" s="30"/>
      <c r="K294" s="30"/>
      <c r="L294" s="1432"/>
    </row>
    <row r="295" ht="38.25" customHeight="1">
      <c r="A295" s="1433"/>
      <c r="B295" s="1434"/>
      <c r="C295" s="1435"/>
      <c r="D295" s="1436"/>
      <c r="E295" s="1440"/>
      <c r="F295" s="269"/>
      <c r="G295" s="269"/>
      <c r="H295" s="28"/>
      <c r="I295" s="28"/>
      <c r="J295" s="28"/>
      <c r="K295" s="28"/>
      <c r="L295" s="1438"/>
    </row>
    <row r="296" ht="38.25" customHeight="1">
      <c r="A296" s="1427"/>
      <c r="B296" s="1428"/>
      <c r="C296" s="1429"/>
      <c r="D296" s="1430"/>
      <c r="E296" s="1441"/>
      <c r="F296" s="270"/>
      <c r="G296" s="270"/>
      <c r="H296" s="30"/>
      <c r="I296" s="30"/>
      <c r="J296" s="30"/>
      <c r="K296" s="30"/>
      <c r="L296" s="1432"/>
    </row>
    <row r="297" ht="38.25" customHeight="1">
      <c r="A297" s="1433"/>
      <c r="B297" s="1434"/>
      <c r="C297" s="1435"/>
      <c r="D297" s="1436"/>
      <c r="E297" s="1440"/>
      <c r="F297" s="269"/>
      <c r="G297" s="269"/>
      <c r="H297" s="28"/>
      <c r="I297" s="28"/>
      <c r="J297" s="28"/>
      <c r="K297" s="28"/>
      <c r="L297" s="1438"/>
    </row>
    <row r="298" ht="38.25" customHeight="1">
      <c r="A298" s="1427"/>
      <c r="B298" s="1428"/>
      <c r="C298" s="1429"/>
      <c r="D298" s="1430"/>
      <c r="E298" s="1441"/>
      <c r="F298" s="270"/>
      <c r="G298" s="270"/>
      <c r="H298" s="30"/>
      <c r="I298" s="30"/>
      <c r="J298" s="30"/>
      <c r="K298" s="30"/>
      <c r="L298" s="1432"/>
    </row>
    <row r="299" ht="38.25" customHeight="1">
      <c r="A299" s="1433"/>
      <c r="B299" s="1434"/>
      <c r="C299" s="1435"/>
      <c r="D299" s="1436"/>
      <c r="E299" s="1440"/>
      <c r="F299" s="269"/>
      <c r="G299" s="269"/>
      <c r="H299" s="28"/>
      <c r="I299" s="28"/>
      <c r="J299" s="28"/>
      <c r="K299" s="28"/>
      <c r="L299" s="1438"/>
    </row>
    <row r="300" ht="38.25" customHeight="1">
      <c r="A300" s="1427"/>
      <c r="B300" s="1428"/>
      <c r="C300" s="1429"/>
      <c r="D300" s="1430"/>
      <c r="E300" s="1441"/>
      <c r="F300" s="270"/>
      <c r="G300" s="270"/>
      <c r="H300" s="30"/>
      <c r="I300" s="30"/>
      <c r="J300" s="30"/>
      <c r="K300" s="30"/>
      <c r="L300" s="1432"/>
    </row>
    <row r="301" ht="38.25" customHeight="1">
      <c r="A301" s="1433"/>
      <c r="B301" s="1434"/>
      <c r="C301" s="1435"/>
      <c r="D301" s="1436"/>
      <c r="E301" s="1440"/>
      <c r="F301" s="269"/>
      <c r="G301" s="269"/>
      <c r="H301" s="28"/>
      <c r="I301" s="28"/>
      <c r="J301" s="28"/>
      <c r="K301" s="28"/>
      <c r="L301" s="1438"/>
    </row>
    <row r="302" ht="38.25" customHeight="1">
      <c r="A302" s="1427"/>
      <c r="B302" s="1428"/>
      <c r="C302" s="1429"/>
      <c r="D302" s="1430"/>
      <c r="E302" s="1441"/>
      <c r="F302" s="270"/>
      <c r="G302" s="270"/>
      <c r="H302" s="30"/>
      <c r="I302" s="30"/>
      <c r="J302" s="30"/>
      <c r="K302" s="30"/>
      <c r="L302" s="1432"/>
    </row>
    <row r="303" ht="38.25" customHeight="1">
      <c r="A303" s="1433"/>
      <c r="B303" s="1434"/>
      <c r="C303" s="1435"/>
      <c r="D303" s="1436"/>
      <c r="E303" s="1440"/>
      <c r="F303" s="269"/>
      <c r="G303" s="269"/>
      <c r="H303" s="28"/>
      <c r="I303" s="28"/>
      <c r="J303" s="28"/>
      <c r="K303" s="28"/>
      <c r="L303" s="1438"/>
    </row>
    <row r="304" ht="38.25" customHeight="1">
      <c r="A304" s="1427"/>
      <c r="B304" s="1428"/>
      <c r="C304" s="1429"/>
      <c r="D304" s="1430"/>
      <c r="E304" s="1441"/>
      <c r="F304" s="270"/>
      <c r="G304" s="270"/>
      <c r="H304" s="30"/>
      <c r="I304" s="30"/>
      <c r="J304" s="30"/>
      <c r="K304" s="30"/>
      <c r="L304" s="1432"/>
    </row>
    <row r="305" ht="38.25" customHeight="1">
      <c r="A305" s="1433"/>
      <c r="B305" s="1434"/>
      <c r="C305" s="1435"/>
      <c r="D305" s="1436"/>
      <c r="E305" s="1440"/>
      <c r="F305" s="269"/>
      <c r="G305" s="269"/>
      <c r="H305" s="28"/>
      <c r="I305" s="28"/>
      <c r="J305" s="28"/>
      <c r="K305" s="28"/>
      <c r="L305" s="1438"/>
    </row>
    <row r="306" ht="38.25" customHeight="1">
      <c r="A306" s="1427"/>
      <c r="B306" s="1428"/>
      <c r="C306" s="1429"/>
      <c r="D306" s="1430"/>
      <c r="E306" s="1441"/>
      <c r="F306" s="270"/>
      <c r="G306" s="270"/>
      <c r="H306" s="30"/>
      <c r="I306" s="30"/>
      <c r="J306" s="30"/>
      <c r="K306" s="30"/>
      <c r="L306" s="1432"/>
    </row>
    <row r="307" ht="38.25" customHeight="1">
      <c r="A307" s="1433"/>
      <c r="B307" s="1434"/>
      <c r="C307" s="1435"/>
      <c r="D307" s="1436"/>
      <c r="E307" s="1440"/>
      <c r="F307" s="269"/>
      <c r="G307" s="269"/>
      <c r="H307" s="28"/>
      <c r="I307" s="28"/>
      <c r="J307" s="28"/>
      <c r="K307" s="28"/>
      <c r="L307" s="1438"/>
    </row>
    <row r="308" ht="38.25" customHeight="1">
      <c r="A308" s="1427"/>
      <c r="B308" s="1428"/>
      <c r="C308" s="1429"/>
      <c r="D308" s="1430"/>
      <c r="E308" s="1441"/>
      <c r="F308" s="270"/>
      <c r="G308" s="270"/>
      <c r="H308" s="30"/>
      <c r="I308" s="30"/>
      <c r="J308" s="30"/>
      <c r="K308" s="30"/>
      <c r="L308" s="1432"/>
    </row>
    <row r="309" ht="38.25" customHeight="1">
      <c r="A309" s="1433"/>
      <c r="B309" s="1434"/>
      <c r="C309" s="1435"/>
      <c r="D309" s="1436"/>
      <c r="E309" s="1440"/>
      <c r="F309" s="269"/>
      <c r="G309" s="269"/>
      <c r="H309" s="28"/>
      <c r="I309" s="28"/>
      <c r="J309" s="28"/>
      <c r="K309" s="28"/>
      <c r="L309" s="1438"/>
    </row>
    <row r="310" ht="38.25" customHeight="1">
      <c r="A310" s="1427"/>
      <c r="B310" s="1428"/>
      <c r="C310" s="1429"/>
      <c r="D310" s="1430"/>
      <c r="E310" s="1441"/>
      <c r="F310" s="270"/>
      <c r="G310" s="270"/>
      <c r="H310" s="30"/>
      <c r="I310" s="30"/>
      <c r="J310" s="30"/>
      <c r="K310" s="30"/>
      <c r="L310" s="1432"/>
    </row>
    <row r="311" ht="38.25" customHeight="1">
      <c r="A311" s="1433"/>
      <c r="B311" s="1434"/>
      <c r="C311" s="1435"/>
      <c r="D311" s="1436"/>
      <c r="E311" s="1440"/>
      <c r="F311" s="269"/>
      <c r="G311" s="269"/>
      <c r="H311" s="28"/>
      <c r="I311" s="28"/>
      <c r="J311" s="28"/>
      <c r="K311" s="28"/>
      <c r="L311" s="1438"/>
    </row>
    <row r="312" ht="38.25" customHeight="1">
      <c r="A312" s="1427"/>
      <c r="B312" s="1428"/>
      <c r="C312" s="1429"/>
      <c r="D312" s="1430"/>
      <c r="E312" s="1441"/>
      <c r="F312" s="270"/>
      <c r="G312" s="270"/>
      <c r="H312" s="30"/>
      <c r="I312" s="30"/>
      <c r="J312" s="30"/>
      <c r="K312" s="30"/>
      <c r="L312" s="1432"/>
    </row>
    <row r="313" ht="38.25" customHeight="1">
      <c r="A313" s="1433"/>
      <c r="B313" s="1434"/>
      <c r="C313" s="1435"/>
      <c r="D313" s="1436"/>
      <c r="E313" s="1440"/>
      <c r="F313" s="269"/>
      <c r="G313" s="269"/>
      <c r="H313" s="28"/>
      <c r="I313" s="28"/>
      <c r="J313" s="28"/>
      <c r="K313" s="28"/>
      <c r="L313" s="1438"/>
    </row>
    <row r="314" ht="38.25" customHeight="1">
      <c r="A314" s="1427"/>
      <c r="B314" s="1428"/>
      <c r="C314" s="1429"/>
      <c r="D314" s="1430"/>
      <c r="E314" s="1441"/>
      <c r="F314" s="270"/>
      <c r="G314" s="270"/>
      <c r="H314" s="30"/>
      <c r="I314" s="30"/>
      <c r="J314" s="30"/>
      <c r="K314" s="30"/>
      <c r="L314" s="1432"/>
    </row>
    <row r="315" ht="38.25" customHeight="1">
      <c r="A315" s="1433"/>
      <c r="B315" s="1434"/>
      <c r="C315" s="1435"/>
      <c r="D315" s="1436"/>
      <c r="E315" s="1440"/>
      <c r="F315" s="269"/>
      <c r="G315" s="269"/>
      <c r="H315" s="28"/>
      <c r="I315" s="28"/>
      <c r="J315" s="28"/>
      <c r="K315" s="28"/>
      <c r="L315" s="1438"/>
    </row>
    <row r="316" ht="38.25" customHeight="1">
      <c r="A316" s="1427"/>
      <c r="B316" s="1428"/>
      <c r="C316" s="1429"/>
      <c r="D316" s="1430"/>
      <c r="E316" s="1441"/>
      <c r="F316" s="270"/>
      <c r="G316" s="270"/>
      <c r="H316" s="30"/>
      <c r="I316" s="30"/>
      <c r="J316" s="30"/>
      <c r="K316" s="30"/>
      <c r="L316" s="1432"/>
    </row>
    <row r="317" ht="38.25" customHeight="1">
      <c r="A317" s="1433"/>
      <c r="B317" s="1434"/>
      <c r="C317" s="1435"/>
      <c r="D317" s="1436"/>
      <c r="E317" s="1440"/>
      <c r="F317" s="269"/>
      <c r="G317" s="269"/>
      <c r="H317" s="28"/>
      <c r="I317" s="28"/>
      <c r="J317" s="28"/>
      <c r="K317" s="28"/>
      <c r="L317" s="1438"/>
    </row>
    <row r="318" ht="38.25" customHeight="1">
      <c r="A318" s="1427"/>
      <c r="B318" s="1428"/>
      <c r="C318" s="1429"/>
      <c r="D318" s="1430"/>
      <c r="E318" s="1441"/>
      <c r="F318" s="270"/>
      <c r="G318" s="270"/>
      <c r="H318" s="30"/>
      <c r="I318" s="30"/>
      <c r="J318" s="30"/>
      <c r="K318" s="30"/>
      <c r="L318" s="1432"/>
    </row>
    <row r="319" ht="38.25" customHeight="1">
      <c r="A319" s="1433"/>
      <c r="B319" s="1434"/>
      <c r="C319" s="1435"/>
      <c r="D319" s="1436"/>
      <c r="E319" s="1440"/>
      <c r="F319" s="269"/>
      <c r="G319" s="269"/>
      <c r="H319" s="28"/>
      <c r="I319" s="28"/>
      <c r="J319" s="28"/>
      <c r="K319" s="28"/>
      <c r="L319" s="1438"/>
    </row>
    <row r="320" ht="38.25" customHeight="1">
      <c r="A320" s="1427"/>
      <c r="B320" s="1428"/>
      <c r="C320" s="1429"/>
      <c r="D320" s="1430"/>
      <c r="E320" s="1441"/>
      <c r="F320" s="270"/>
      <c r="G320" s="270"/>
      <c r="H320" s="30"/>
      <c r="I320" s="30"/>
      <c r="J320" s="30"/>
      <c r="K320" s="30"/>
      <c r="L320" s="1432"/>
    </row>
    <row r="321" ht="38.25" customHeight="1">
      <c r="A321" s="1433"/>
      <c r="B321" s="1434"/>
      <c r="C321" s="1435"/>
      <c r="D321" s="1436"/>
      <c r="E321" s="1440"/>
      <c r="F321" s="269"/>
      <c r="G321" s="269"/>
      <c r="H321" s="28"/>
      <c r="I321" s="28"/>
      <c r="J321" s="28"/>
      <c r="K321" s="28"/>
      <c r="L321" s="1438"/>
    </row>
    <row r="322" ht="38.25" customHeight="1">
      <c r="A322" s="1427"/>
      <c r="B322" s="1428"/>
      <c r="C322" s="1429"/>
      <c r="D322" s="1430"/>
      <c r="E322" s="1441"/>
      <c r="F322" s="270"/>
      <c r="G322" s="270"/>
      <c r="H322" s="30"/>
      <c r="I322" s="30"/>
      <c r="J322" s="30"/>
      <c r="K322" s="30"/>
      <c r="L322" s="1432"/>
    </row>
    <row r="323" ht="38.25" customHeight="1">
      <c r="A323" s="1433"/>
      <c r="B323" s="1434"/>
      <c r="C323" s="1435"/>
      <c r="D323" s="1436"/>
      <c r="E323" s="1440"/>
      <c r="F323" s="269"/>
      <c r="G323" s="269"/>
      <c r="H323" s="28"/>
      <c r="I323" s="28"/>
      <c r="J323" s="28"/>
      <c r="K323" s="28"/>
      <c r="L323" s="1438"/>
    </row>
    <row r="324" ht="38.25" customHeight="1">
      <c r="A324" s="1427"/>
      <c r="B324" s="1428"/>
      <c r="C324" s="1429"/>
      <c r="D324" s="1430"/>
      <c r="E324" s="1441"/>
      <c r="F324" s="270"/>
      <c r="G324" s="270"/>
      <c r="H324" s="30"/>
      <c r="I324" s="30"/>
      <c r="J324" s="30"/>
      <c r="K324" s="30"/>
      <c r="L324" s="1432"/>
    </row>
    <row r="325" ht="38.25" customHeight="1">
      <c r="A325" s="1433"/>
      <c r="B325" s="1434"/>
      <c r="C325" s="1435"/>
      <c r="D325" s="1436"/>
      <c r="E325" s="1440"/>
      <c r="F325" s="269"/>
      <c r="G325" s="269"/>
      <c r="H325" s="28"/>
      <c r="I325" s="28"/>
      <c r="J325" s="28"/>
      <c r="K325" s="28"/>
      <c r="L325" s="1438"/>
    </row>
    <row r="326" ht="38.25" customHeight="1">
      <c r="A326" s="1427"/>
      <c r="B326" s="1428"/>
      <c r="C326" s="1429"/>
      <c r="D326" s="1430"/>
      <c r="E326" s="1441"/>
      <c r="F326" s="270"/>
      <c r="G326" s="270"/>
      <c r="H326" s="30"/>
      <c r="I326" s="30"/>
      <c r="J326" s="30"/>
      <c r="K326" s="30"/>
      <c r="L326" s="1432"/>
    </row>
    <row r="327" ht="38.25" customHeight="1">
      <c r="A327" s="1433"/>
      <c r="B327" s="1434"/>
      <c r="C327" s="1435"/>
      <c r="D327" s="1436"/>
      <c r="E327" s="1440"/>
      <c r="F327" s="269"/>
      <c r="G327" s="269"/>
      <c r="H327" s="28"/>
      <c r="I327" s="28"/>
      <c r="J327" s="28"/>
      <c r="K327" s="28"/>
      <c r="L327" s="1438"/>
    </row>
    <row r="328" ht="38.25" customHeight="1">
      <c r="A328" s="1427"/>
      <c r="B328" s="1428"/>
      <c r="C328" s="1429"/>
      <c r="D328" s="1430"/>
      <c r="E328" s="1441"/>
      <c r="F328" s="270"/>
      <c r="G328" s="270"/>
      <c r="H328" s="30"/>
      <c r="I328" s="30"/>
      <c r="J328" s="30"/>
      <c r="K328" s="30"/>
      <c r="L328" s="1432"/>
    </row>
    <row r="329" ht="38.25" customHeight="1">
      <c r="A329" s="1433"/>
      <c r="B329" s="1434"/>
      <c r="C329" s="1435"/>
      <c r="D329" s="1436"/>
      <c r="E329" s="1440"/>
      <c r="F329" s="269"/>
      <c r="G329" s="269"/>
      <c r="H329" s="28"/>
      <c r="I329" s="28"/>
      <c r="J329" s="28"/>
      <c r="K329" s="28"/>
      <c r="L329" s="1438"/>
    </row>
    <row r="330" ht="38.25" customHeight="1">
      <c r="A330" s="1427"/>
      <c r="B330" s="1428"/>
      <c r="C330" s="1429"/>
      <c r="D330" s="1430"/>
      <c r="E330" s="1441"/>
      <c r="F330" s="270"/>
      <c r="G330" s="270"/>
      <c r="H330" s="30"/>
      <c r="I330" s="30"/>
      <c r="J330" s="30"/>
      <c r="K330" s="30"/>
      <c r="L330" s="1432"/>
    </row>
    <row r="331" ht="38.25" customHeight="1">
      <c r="A331" s="1433"/>
      <c r="B331" s="1434"/>
      <c r="C331" s="1435"/>
      <c r="D331" s="1436"/>
      <c r="E331" s="1440"/>
      <c r="F331" s="269"/>
      <c r="G331" s="269"/>
      <c r="H331" s="28"/>
      <c r="I331" s="28"/>
      <c r="J331" s="28"/>
      <c r="K331" s="28"/>
      <c r="L331" s="1438"/>
    </row>
    <row r="332" ht="38.25" customHeight="1">
      <c r="A332" s="1427"/>
      <c r="B332" s="1428"/>
      <c r="C332" s="1429"/>
      <c r="D332" s="1430"/>
      <c r="E332" s="1441"/>
      <c r="F332" s="270"/>
      <c r="G332" s="270"/>
      <c r="H332" s="30"/>
      <c r="I332" s="30"/>
      <c r="J332" s="30"/>
      <c r="K332" s="30"/>
      <c r="L332" s="1432"/>
    </row>
    <row r="333" ht="38.25" customHeight="1">
      <c r="A333" s="1433"/>
      <c r="B333" s="1434"/>
      <c r="C333" s="1435"/>
      <c r="D333" s="1436"/>
      <c r="E333" s="1440"/>
      <c r="F333" s="269"/>
      <c r="G333" s="269"/>
      <c r="H333" s="28"/>
      <c r="I333" s="28"/>
      <c r="J333" s="28"/>
      <c r="K333" s="28"/>
      <c r="L333" s="1438"/>
    </row>
    <row r="334" ht="38.25" customHeight="1">
      <c r="A334" s="1427"/>
      <c r="B334" s="1428"/>
      <c r="C334" s="1429"/>
      <c r="D334" s="1430"/>
      <c r="E334" s="1441"/>
      <c r="F334" s="270"/>
      <c r="G334" s="270"/>
      <c r="H334" s="30"/>
      <c r="I334" s="30"/>
      <c r="J334" s="30"/>
      <c r="K334" s="30"/>
      <c r="L334" s="1432"/>
    </row>
    <row r="335" ht="38.25" customHeight="1">
      <c r="A335" s="1433"/>
      <c r="B335" s="1434"/>
      <c r="C335" s="1435"/>
      <c r="D335" s="1436"/>
      <c r="E335" s="1440"/>
      <c r="F335" s="269"/>
      <c r="G335" s="269"/>
      <c r="H335" s="28"/>
      <c r="I335" s="28"/>
      <c r="J335" s="28"/>
      <c r="K335" s="28"/>
      <c r="L335" s="1438"/>
    </row>
    <row r="336" ht="38.25" customHeight="1">
      <c r="A336" s="1427"/>
      <c r="B336" s="1428"/>
      <c r="C336" s="1429"/>
      <c r="D336" s="1430"/>
      <c r="E336" s="1441"/>
      <c r="F336" s="270"/>
      <c r="G336" s="270"/>
      <c r="H336" s="30"/>
      <c r="I336" s="30"/>
      <c r="J336" s="30"/>
      <c r="K336" s="30"/>
      <c r="L336" s="1432"/>
    </row>
    <row r="337" ht="38.25" customHeight="1">
      <c r="A337" s="1433"/>
      <c r="B337" s="1434"/>
      <c r="C337" s="1435"/>
      <c r="D337" s="1436"/>
      <c r="E337" s="1440"/>
      <c r="F337" s="269"/>
      <c r="G337" s="269"/>
      <c r="H337" s="28"/>
      <c r="I337" s="28"/>
      <c r="J337" s="28"/>
      <c r="K337" s="28"/>
      <c r="L337" s="1438"/>
    </row>
    <row r="338" ht="38.25" customHeight="1">
      <c r="A338" s="1427"/>
      <c r="B338" s="1428"/>
      <c r="C338" s="1429"/>
      <c r="D338" s="1430"/>
      <c r="E338" s="1441"/>
      <c r="F338" s="270"/>
      <c r="G338" s="270"/>
      <c r="H338" s="30"/>
      <c r="I338" s="30"/>
      <c r="J338" s="30"/>
      <c r="K338" s="30"/>
      <c r="L338" s="1432"/>
    </row>
    <row r="339" ht="38.25" customHeight="1">
      <c r="A339" s="1433"/>
      <c r="B339" s="1434"/>
      <c r="C339" s="1435"/>
      <c r="D339" s="1436"/>
      <c r="E339" s="1440"/>
      <c r="F339" s="269"/>
      <c r="G339" s="269"/>
      <c r="H339" s="28"/>
      <c r="I339" s="28"/>
      <c r="J339" s="28"/>
      <c r="K339" s="28"/>
      <c r="L339" s="1438"/>
    </row>
    <row r="340" ht="38.25" customHeight="1">
      <c r="A340" s="1427"/>
      <c r="B340" s="1428"/>
      <c r="C340" s="1429"/>
      <c r="D340" s="1430"/>
      <c r="E340" s="1441"/>
      <c r="F340" s="270"/>
      <c r="G340" s="270"/>
      <c r="H340" s="30"/>
      <c r="I340" s="30"/>
      <c r="J340" s="30"/>
      <c r="K340" s="30"/>
      <c r="L340" s="1432"/>
    </row>
    <row r="341" ht="38.25" customHeight="1">
      <c r="A341" s="1433"/>
      <c r="B341" s="1434"/>
      <c r="C341" s="1435"/>
      <c r="D341" s="1436"/>
      <c r="E341" s="1440"/>
      <c r="F341" s="269"/>
      <c r="G341" s="269"/>
      <c r="H341" s="28"/>
      <c r="I341" s="28"/>
      <c r="J341" s="28"/>
      <c r="K341" s="28"/>
      <c r="L341" s="1438"/>
    </row>
    <row r="342" ht="38.25" customHeight="1">
      <c r="A342" s="1427"/>
      <c r="B342" s="1428"/>
      <c r="C342" s="1429"/>
      <c r="D342" s="1430"/>
      <c r="E342" s="1441"/>
      <c r="F342" s="270"/>
      <c r="G342" s="270"/>
      <c r="H342" s="30"/>
      <c r="I342" s="30"/>
      <c r="J342" s="30"/>
      <c r="K342" s="30"/>
      <c r="L342" s="1432"/>
    </row>
    <row r="343" ht="38.25" customHeight="1">
      <c r="A343" s="1433"/>
      <c r="B343" s="1434"/>
      <c r="C343" s="1435"/>
      <c r="D343" s="1436"/>
      <c r="E343" s="1440"/>
      <c r="F343" s="269"/>
      <c r="G343" s="269"/>
      <c r="H343" s="28"/>
      <c r="I343" s="28"/>
      <c r="J343" s="28"/>
      <c r="K343" s="28"/>
      <c r="L343" s="1438"/>
    </row>
    <row r="344" ht="38.25" customHeight="1">
      <c r="A344" s="1427"/>
      <c r="B344" s="1428"/>
      <c r="C344" s="1429"/>
      <c r="D344" s="1430"/>
      <c r="E344" s="1441"/>
      <c r="F344" s="270"/>
      <c r="G344" s="270"/>
      <c r="H344" s="30"/>
      <c r="I344" s="30"/>
      <c r="J344" s="30"/>
      <c r="K344" s="30"/>
      <c r="L344" s="1432"/>
    </row>
    <row r="345" ht="38.25" customHeight="1">
      <c r="A345" s="1433"/>
      <c r="B345" s="1434"/>
      <c r="C345" s="1435"/>
      <c r="D345" s="1436"/>
      <c r="E345" s="1440"/>
      <c r="F345" s="269"/>
      <c r="G345" s="269"/>
      <c r="H345" s="28"/>
      <c r="I345" s="28"/>
      <c r="J345" s="28"/>
      <c r="K345" s="28"/>
      <c r="L345" s="1438"/>
    </row>
    <row r="346" ht="38.25" customHeight="1">
      <c r="A346" s="1427"/>
      <c r="B346" s="1428"/>
      <c r="C346" s="1429"/>
      <c r="D346" s="1430"/>
      <c r="E346" s="1441"/>
      <c r="F346" s="270"/>
      <c r="G346" s="270"/>
      <c r="H346" s="30"/>
      <c r="I346" s="30"/>
      <c r="J346" s="30"/>
      <c r="K346" s="30"/>
      <c r="L346" s="1432"/>
    </row>
    <row r="347" ht="38.25" customHeight="1">
      <c r="A347" s="1433"/>
      <c r="B347" s="1434"/>
      <c r="C347" s="1435"/>
      <c r="D347" s="1436"/>
      <c r="E347" s="1440"/>
      <c r="F347" s="269"/>
      <c r="G347" s="269"/>
      <c r="H347" s="28"/>
      <c r="I347" s="28"/>
      <c r="J347" s="28"/>
      <c r="K347" s="28"/>
      <c r="L347" s="1438"/>
    </row>
    <row r="348" ht="38.25" customHeight="1">
      <c r="A348" s="1427"/>
      <c r="B348" s="1428"/>
      <c r="C348" s="1429"/>
      <c r="D348" s="1430"/>
      <c r="E348" s="1441"/>
      <c r="F348" s="270"/>
      <c r="G348" s="270"/>
      <c r="H348" s="30"/>
      <c r="I348" s="30"/>
      <c r="J348" s="30"/>
      <c r="K348" s="30"/>
      <c r="L348" s="1432"/>
    </row>
    <row r="349" ht="38.25" customHeight="1">
      <c r="A349" s="1433"/>
      <c r="B349" s="1434"/>
      <c r="C349" s="1435"/>
      <c r="D349" s="1436"/>
      <c r="E349" s="1440"/>
      <c r="F349" s="269"/>
      <c r="G349" s="269"/>
      <c r="H349" s="28"/>
      <c r="I349" s="28"/>
      <c r="J349" s="28"/>
      <c r="K349" s="28"/>
      <c r="L349" s="1438"/>
    </row>
    <row r="350" ht="38.25" customHeight="1">
      <c r="A350" s="1427"/>
      <c r="B350" s="1428"/>
      <c r="C350" s="1429"/>
      <c r="D350" s="1430"/>
      <c r="E350" s="1441"/>
      <c r="F350" s="270"/>
      <c r="G350" s="270"/>
      <c r="H350" s="30"/>
      <c r="I350" s="30"/>
      <c r="J350" s="30"/>
      <c r="K350" s="30"/>
      <c r="L350" s="1432"/>
    </row>
    <row r="351" ht="38.25" customHeight="1">
      <c r="A351" s="1433"/>
      <c r="B351" s="1434"/>
      <c r="C351" s="1435"/>
      <c r="D351" s="1436"/>
      <c r="E351" s="1440"/>
      <c r="F351" s="269"/>
      <c r="G351" s="269"/>
      <c r="H351" s="28"/>
      <c r="I351" s="28"/>
      <c r="J351" s="28"/>
      <c r="K351" s="28"/>
      <c r="L351" s="1438"/>
    </row>
    <row r="352" ht="38.25" customHeight="1">
      <c r="A352" s="1427"/>
      <c r="B352" s="1428"/>
      <c r="C352" s="1429"/>
      <c r="D352" s="1430"/>
      <c r="E352" s="1441"/>
      <c r="F352" s="270"/>
      <c r="G352" s="270"/>
      <c r="H352" s="30"/>
      <c r="I352" s="30"/>
      <c r="J352" s="30"/>
      <c r="K352" s="30"/>
      <c r="L352" s="1432"/>
    </row>
    <row r="353" ht="38.25" customHeight="1">
      <c r="A353" s="1433"/>
      <c r="B353" s="1434"/>
      <c r="C353" s="1435"/>
      <c r="D353" s="1436"/>
      <c r="E353" s="1440"/>
      <c r="F353" s="269"/>
      <c r="G353" s="269"/>
      <c r="H353" s="28"/>
      <c r="I353" s="28"/>
      <c r="J353" s="28"/>
      <c r="K353" s="28"/>
      <c r="L353" s="1438"/>
    </row>
    <row r="354" ht="38.25" customHeight="1">
      <c r="A354" s="1427"/>
      <c r="B354" s="1428"/>
      <c r="C354" s="1429"/>
      <c r="D354" s="1430"/>
      <c r="E354" s="1441"/>
      <c r="F354" s="270"/>
      <c r="G354" s="270"/>
      <c r="H354" s="30"/>
      <c r="I354" s="30"/>
      <c r="J354" s="30"/>
      <c r="K354" s="30"/>
      <c r="L354" s="1432"/>
    </row>
    <row r="355" ht="38.25" customHeight="1">
      <c r="A355" s="1433"/>
      <c r="B355" s="1434"/>
      <c r="C355" s="1435"/>
      <c r="D355" s="1436"/>
      <c r="E355" s="1440"/>
      <c r="F355" s="269"/>
      <c r="G355" s="269"/>
      <c r="H355" s="28"/>
      <c r="I355" s="28"/>
      <c r="J355" s="28"/>
      <c r="K355" s="28"/>
      <c r="L355" s="1438"/>
    </row>
    <row r="356" ht="38.25" customHeight="1">
      <c r="A356" s="1427"/>
      <c r="B356" s="1428"/>
      <c r="C356" s="1429"/>
      <c r="D356" s="1430"/>
      <c r="E356" s="1441"/>
      <c r="F356" s="270"/>
      <c r="G356" s="270"/>
      <c r="H356" s="30"/>
      <c r="I356" s="30"/>
      <c r="J356" s="30"/>
      <c r="K356" s="30"/>
      <c r="L356" s="1432"/>
    </row>
    <row r="357" ht="38.25" customHeight="1">
      <c r="A357" s="1433"/>
      <c r="B357" s="1434"/>
      <c r="C357" s="1435"/>
      <c r="D357" s="1436"/>
      <c r="E357" s="1440"/>
      <c r="F357" s="269"/>
      <c r="G357" s="269"/>
      <c r="H357" s="28"/>
      <c r="I357" s="28"/>
      <c r="J357" s="28"/>
      <c r="K357" s="28"/>
      <c r="L357" s="1438"/>
    </row>
    <row r="358" ht="38.25" customHeight="1">
      <c r="A358" s="1427"/>
      <c r="B358" s="1428"/>
      <c r="C358" s="1429"/>
      <c r="D358" s="1430"/>
      <c r="E358" s="1441"/>
      <c r="F358" s="270"/>
      <c r="G358" s="270"/>
      <c r="H358" s="30"/>
      <c r="I358" s="30"/>
      <c r="J358" s="30"/>
      <c r="K358" s="30"/>
      <c r="L358" s="1432"/>
    </row>
    <row r="359" ht="38.25" customHeight="1">
      <c r="A359" s="1433"/>
      <c r="B359" s="1434"/>
      <c r="C359" s="1435"/>
      <c r="D359" s="1436"/>
      <c r="E359" s="1440"/>
      <c r="F359" s="269"/>
      <c r="G359" s="269"/>
      <c r="H359" s="28"/>
      <c r="I359" s="28"/>
      <c r="J359" s="28"/>
      <c r="K359" s="28"/>
      <c r="L359" s="1438"/>
    </row>
    <row r="360" ht="38.25" customHeight="1">
      <c r="A360" s="1427"/>
      <c r="B360" s="1428"/>
      <c r="C360" s="1429"/>
      <c r="D360" s="1430"/>
      <c r="E360" s="1441"/>
      <c r="F360" s="270"/>
      <c r="G360" s="270"/>
      <c r="H360" s="30"/>
      <c r="I360" s="30"/>
      <c r="J360" s="30"/>
      <c r="K360" s="30"/>
      <c r="L360" s="1432"/>
    </row>
    <row r="361" ht="38.25" customHeight="1">
      <c r="A361" s="1433"/>
      <c r="B361" s="1434"/>
      <c r="C361" s="1435"/>
      <c r="D361" s="1436"/>
      <c r="E361" s="1440"/>
      <c r="F361" s="269"/>
      <c r="G361" s="269"/>
      <c r="H361" s="28"/>
      <c r="I361" s="28"/>
      <c r="J361" s="28"/>
      <c r="K361" s="28"/>
      <c r="L361" s="1438"/>
    </row>
    <row r="362" ht="38.25" customHeight="1">
      <c r="A362" s="1427"/>
      <c r="B362" s="1428"/>
      <c r="C362" s="1429"/>
      <c r="D362" s="1430"/>
      <c r="E362" s="1441"/>
      <c r="F362" s="270"/>
      <c r="G362" s="270"/>
      <c r="H362" s="30"/>
      <c r="I362" s="30"/>
      <c r="J362" s="30"/>
      <c r="K362" s="30"/>
      <c r="L362" s="1432"/>
    </row>
    <row r="363" ht="38.25" customHeight="1">
      <c r="A363" s="1433"/>
      <c r="B363" s="1434"/>
      <c r="C363" s="1435"/>
      <c r="D363" s="1436"/>
      <c r="E363" s="1440"/>
      <c r="F363" s="269"/>
      <c r="G363" s="269"/>
      <c r="H363" s="28"/>
      <c r="I363" s="28"/>
      <c r="J363" s="28"/>
      <c r="K363" s="28"/>
      <c r="L363" s="1438"/>
    </row>
    <row r="364" ht="38.25" customHeight="1">
      <c r="A364" s="1427"/>
      <c r="B364" s="1428"/>
      <c r="C364" s="1429"/>
      <c r="D364" s="1430"/>
      <c r="E364" s="1441"/>
      <c r="F364" s="270"/>
      <c r="G364" s="270"/>
      <c r="H364" s="30"/>
      <c r="I364" s="30"/>
      <c r="J364" s="30"/>
      <c r="K364" s="30"/>
      <c r="L364" s="1432"/>
    </row>
    <row r="365" ht="38.25" customHeight="1">
      <c r="A365" s="1433"/>
      <c r="B365" s="1434"/>
      <c r="C365" s="1435"/>
      <c r="D365" s="1436"/>
      <c r="E365" s="1440"/>
      <c r="F365" s="269"/>
      <c r="G365" s="269"/>
      <c r="H365" s="28"/>
      <c r="I365" s="28"/>
      <c r="J365" s="28"/>
      <c r="K365" s="28"/>
      <c r="L365" s="1438"/>
    </row>
    <row r="366" ht="38.25" customHeight="1">
      <c r="A366" s="1427"/>
      <c r="B366" s="1428"/>
      <c r="C366" s="1429"/>
      <c r="D366" s="1430"/>
      <c r="E366" s="1441"/>
      <c r="F366" s="270"/>
      <c r="G366" s="270"/>
      <c r="H366" s="30"/>
      <c r="I366" s="30"/>
      <c r="J366" s="30"/>
      <c r="K366" s="30"/>
      <c r="L366" s="1432"/>
    </row>
    <row r="367" ht="38.25" customHeight="1">
      <c r="A367" s="1433"/>
      <c r="B367" s="1434"/>
      <c r="C367" s="1435"/>
      <c r="D367" s="1436"/>
      <c r="E367" s="1440"/>
      <c r="F367" s="269"/>
      <c r="G367" s="269"/>
      <c r="H367" s="28"/>
      <c r="I367" s="28"/>
      <c r="J367" s="28"/>
      <c r="K367" s="28"/>
      <c r="L367" s="1438"/>
    </row>
    <row r="368" ht="38.25" customHeight="1">
      <c r="A368" s="1427"/>
      <c r="B368" s="1428"/>
      <c r="C368" s="1429"/>
      <c r="D368" s="1430"/>
      <c r="E368" s="1441"/>
      <c r="F368" s="270"/>
      <c r="G368" s="270"/>
      <c r="H368" s="30"/>
      <c r="I368" s="30"/>
      <c r="J368" s="30"/>
      <c r="K368" s="30"/>
      <c r="L368" s="1432"/>
    </row>
    <row r="369" ht="38.25" customHeight="1">
      <c r="A369" s="1433"/>
      <c r="B369" s="1434"/>
      <c r="C369" s="1435"/>
      <c r="D369" s="1436"/>
      <c r="E369" s="1440"/>
      <c r="F369" s="269"/>
      <c r="G369" s="269"/>
      <c r="H369" s="28"/>
      <c r="I369" s="28"/>
      <c r="J369" s="28"/>
      <c r="K369" s="28"/>
      <c r="L369" s="1438"/>
    </row>
    <row r="370" ht="38.25" customHeight="1">
      <c r="A370" s="1427"/>
      <c r="B370" s="1428"/>
      <c r="C370" s="1429"/>
      <c r="D370" s="1430"/>
      <c r="E370" s="1441"/>
      <c r="F370" s="270"/>
      <c r="G370" s="270"/>
      <c r="H370" s="30"/>
      <c r="I370" s="30"/>
      <c r="J370" s="30"/>
      <c r="K370" s="30"/>
      <c r="L370" s="1432"/>
    </row>
    <row r="371" ht="38.25" customHeight="1">
      <c r="A371" s="1433"/>
      <c r="B371" s="1434"/>
      <c r="C371" s="1435"/>
      <c r="D371" s="1436"/>
      <c r="E371" s="1440"/>
      <c r="F371" s="269"/>
      <c r="G371" s="269"/>
      <c r="H371" s="28"/>
      <c r="I371" s="28"/>
      <c r="J371" s="28"/>
      <c r="K371" s="28"/>
      <c r="L371" s="1438"/>
    </row>
    <row r="372" ht="38.25" customHeight="1">
      <c r="A372" s="1427"/>
      <c r="B372" s="1428"/>
      <c r="C372" s="1429"/>
      <c r="D372" s="1430"/>
      <c r="E372" s="1441"/>
      <c r="F372" s="270"/>
      <c r="G372" s="270"/>
      <c r="H372" s="30"/>
      <c r="I372" s="30"/>
      <c r="J372" s="30"/>
      <c r="K372" s="30"/>
      <c r="L372" s="1432"/>
    </row>
    <row r="373" ht="38.25" customHeight="1">
      <c r="A373" s="1433"/>
      <c r="B373" s="1434"/>
      <c r="C373" s="1435"/>
      <c r="D373" s="1436"/>
      <c r="E373" s="1440"/>
      <c r="F373" s="269"/>
      <c r="G373" s="269"/>
      <c r="H373" s="28"/>
      <c r="I373" s="28"/>
      <c r="J373" s="28"/>
      <c r="K373" s="28"/>
      <c r="L373" s="1438"/>
    </row>
    <row r="374" ht="38.25" customHeight="1">
      <c r="A374" s="1427"/>
      <c r="B374" s="1428"/>
      <c r="C374" s="1429"/>
      <c r="D374" s="1430"/>
      <c r="E374" s="1441"/>
      <c r="F374" s="270"/>
      <c r="G374" s="270"/>
      <c r="H374" s="30"/>
      <c r="I374" s="30"/>
      <c r="J374" s="30"/>
      <c r="K374" s="30"/>
      <c r="L374" s="1432"/>
    </row>
    <row r="375" ht="38.25" customHeight="1">
      <c r="A375" s="1433"/>
      <c r="B375" s="1434"/>
      <c r="C375" s="1435"/>
      <c r="D375" s="1436"/>
      <c r="E375" s="1440"/>
      <c r="F375" s="269"/>
      <c r="G375" s="269"/>
      <c r="H375" s="28"/>
      <c r="I375" s="28"/>
      <c r="J375" s="28"/>
      <c r="K375" s="28"/>
      <c r="L375" s="1438"/>
    </row>
    <row r="376" ht="38.25" customHeight="1">
      <c r="A376" s="1427"/>
      <c r="B376" s="1428"/>
      <c r="C376" s="1429"/>
      <c r="D376" s="1430"/>
      <c r="E376" s="1441"/>
      <c r="F376" s="270"/>
      <c r="G376" s="270"/>
      <c r="H376" s="30"/>
      <c r="I376" s="30"/>
      <c r="J376" s="30"/>
      <c r="K376" s="30"/>
      <c r="L376" s="1432"/>
    </row>
    <row r="377" ht="38.25" customHeight="1">
      <c r="A377" s="1433"/>
      <c r="B377" s="1434"/>
      <c r="C377" s="1435"/>
      <c r="D377" s="1436"/>
      <c r="E377" s="1440"/>
      <c r="F377" s="269"/>
      <c r="G377" s="269"/>
      <c r="H377" s="28"/>
      <c r="I377" s="28"/>
      <c r="J377" s="28"/>
      <c r="K377" s="28"/>
      <c r="L377" s="1438"/>
    </row>
    <row r="378" ht="38.25" customHeight="1">
      <c r="A378" s="1427"/>
      <c r="B378" s="1428"/>
      <c r="C378" s="1429"/>
      <c r="D378" s="1430"/>
      <c r="E378" s="1441"/>
      <c r="F378" s="270"/>
      <c r="G378" s="270"/>
      <c r="H378" s="30"/>
      <c r="I378" s="30"/>
      <c r="J378" s="30"/>
      <c r="K378" s="30"/>
      <c r="L378" s="1432"/>
    </row>
    <row r="379" ht="38.25" customHeight="1">
      <c r="A379" s="1433"/>
      <c r="B379" s="1434"/>
      <c r="C379" s="1435"/>
      <c r="D379" s="1436"/>
      <c r="E379" s="1440"/>
      <c r="F379" s="269"/>
      <c r="G379" s="269"/>
      <c r="H379" s="28"/>
      <c r="I379" s="28"/>
      <c r="J379" s="28"/>
      <c r="K379" s="28"/>
      <c r="L379" s="1438"/>
    </row>
    <row r="380" ht="38.25" customHeight="1">
      <c r="A380" s="1427"/>
      <c r="B380" s="1428"/>
      <c r="C380" s="1429"/>
      <c r="D380" s="1430"/>
      <c r="E380" s="1441"/>
      <c r="F380" s="270"/>
      <c r="G380" s="270"/>
      <c r="H380" s="30"/>
      <c r="I380" s="30"/>
      <c r="J380" s="30"/>
      <c r="K380" s="30"/>
      <c r="L380" s="1432"/>
    </row>
    <row r="381" ht="38.25" customHeight="1">
      <c r="A381" s="1433"/>
      <c r="B381" s="1434"/>
      <c r="C381" s="1435"/>
      <c r="D381" s="1436"/>
      <c r="E381" s="1440"/>
      <c r="F381" s="269"/>
      <c r="G381" s="269"/>
      <c r="H381" s="28"/>
      <c r="I381" s="28"/>
      <c r="J381" s="28"/>
      <c r="K381" s="28"/>
      <c r="L381" s="1438"/>
    </row>
    <row r="382" ht="38.25" customHeight="1">
      <c r="A382" s="1427"/>
      <c r="B382" s="1428"/>
      <c r="C382" s="1429"/>
      <c r="D382" s="1430"/>
      <c r="E382" s="1441"/>
      <c r="F382" s="270"/>
      <c r="G382" s="270"/>
      <c r="H382" s="30"/>
      <c r="I382" s="30"/>
      <c r="J382" s="30"/>
      <c r="K382" s="30"/>
      <c r="L382" s="1432"/>
    </row>
    <row r="383" ht="38.25" customHeight="1">
      <c r="A383" s="1433"/>
      <c r="B383" s="1434"/>
      <c r="C383" s="1435"/>
      <c r="D383" s="1436"/>
      <c r="E383" s="1440"/>
      <c r="F383" s="269"/>
      <c r="G383" s="269"/>
      <c r="H383" s="28"/>
      <c r="I383" s="28"/>
      <c r="J383" s="28"/>
      <c r="K383" s="28"/>
      <c r="L383" s="1438"/>
    </row>
    <row r="384" ht="38.25" customHeight="1">
      <c r="A384" s="1427"/>
      <c r="B384" s="1428"/>
      <c r="C384" s="1429"/>
      <c r="D384" s="1430"/>
      <c r="E384" s="1441"/>
      <c r="F384" s="270"/>
      <c r="G384" s="270"/>
      <c r="H384" s="30"/>
      <c r="I384" s="30"/>
      <c r="J384" s="30"/>
      <c r="K384" s="30"/>
      <c r="L384" s="1432"/>
    </row>
    <row r="385" ht="38.25" customHeight="1">
      <c r="A385" s="1433"/>
      <c r="B385" s="1434"/>
      <c r="C385" s="1435"/>
      <c r="D385" s="1436"/>
      <c r="E385" s="1440"/>
      <c r="F385" s="269"/>
      <c r="G385" s="269"/>
      <c r="H385" s="28"/>
      <c r="I385" s="28"/>
      <c r="J385" s="28"/>
      <c r="K385" s="28"/>
      <c r="L385" s="1438"/>
    </row>
    <row r="386" ht="38.25" customHeight="1">
      <c r="A386" s="1427"/>
      <c r="B386" s="1428"/>
      <c r="C386" s="1429"/>
      <c r="D386" s="1430"/>
      <c r="E386" s="1441"/>
      <c r="F386" s="270"/>
      <c r="G386" s="270"/>
      <c r="H386" s="30"/>
      <c r="I386" s="30"/>
      <c r="J386" s="30"/>
      <c r="K386" s="30"/>
      <c r="L386" s="1432"/>
    </row>
    <row r="387" ht="38.25" customHeight="1">
      <c r="A387" s="1433"/>
      <c r="B387" s="1434"/>
      <c r="C387" s="1435"/>
      <c r="D387" s="1436"/>
      <c r="E387" s="1440"/>
      <c r="F387" s="269"/>
      <c r="G387" s="269"/>
      <c r="H387" s="28"/>
      <c r="I387" s="28"/>
      <c r="J387" s="28"/>
      <c r="K387" s="28"/>
      <c r="L387" s="1438"/>
    </row>
    <row r="388" ht="38.25" customHeight="1">
      <c r="A388" s="1427"/>
      <c r="B388" s="1428"/>
      <c r="C388" s="1429"/>
      <c r="D388" s="1430"/>
      <c r="E388" s="1441"/>
      <c r="F388" s="270"/>
      <c r="G388" s="270"/>
      <c r="H388" s="30"/>
      <c r="I388" s="30"/>
      <c r="J388" s="30"/>
      <c r="K388" s="30"/>
      <c r="L388" s="1432"/>
    </row>
    <row r="389" ht="38.25" customHeight="1">
      <c r="A389" s="1433"/>
      <c r="B389" s="1434"/>
      <c r="C389" s="1435"/>
      <c r="D389" s="1436"/>
      <c r="E389" s="1440"/>
      <c r="F389" s="269"/>
      <c r="G389" s="269"/>
      <c r="H389" s="28"/>
      <c r="I389" s="28"/>
      <c r="J389" s="28"/>
      <c r="K389" s="28"/>
      <c r="L389" s="1438"/>
    </row>
    <row r="390" ht="38.25" customHeight="1">
      <c r="A390" s="1427"/>
      <c r="B390" s="1428"/>
      <c r="C390" s="1429"/>
      <c r="D390" s="1430"/>
      <c r="E390" s="1441"/>
      <c r="F390" s="270"/>
      <c r="G390" s="270"/>
      <c r="H390" s="30"/>
      <c r="I390" s="30"/>
      <c r="J390" s="30"/>
      <c r="K390" s="30"/>
      <c r="L390" s="1432"/>
    </row>
    <row r="391" ht="38.25" customHeight="1">
      <c r="A391" s="1433"/>
      <c r="B391" s="1434"/>
      <c r="C391" s="1435"/>
      <c r="D391" s="1436"/>
      <c r="E391" s="1440"/>
      <c r="F391" s="269"/>
      <c r="G391" s="269"/>
      <c r="H391" s="28"/>
      <c r="I391" s="28"/>
      <c r="J391" s="28"/>
      <c r="K391" s="28"/>
      <c r="L391" s="1438"/>
    </row>
    <row r="392" ht="38.25" customHeight="1">
      <c r="A392" s="1427"/>
      <c r="B392" s="1428"/>
      <c r="C392" s="1429"/>
      <c r="D392" s="1430"/>
      <c r="E392" s="1441"/>
      <c r="F392" s="270"/>
      <c r="G392" s="270"/>
      <c r="H392" s="30"/>
      <c r="I392" s="30"/>
      <c r="J392" s="30"/>
      <c r="K392" s="30"/>
      <c r="L392" s="1432"/>
    </row>
    <row r="393" ht="38.25" customHeight="1">
      <c r="A393" s="1433"/>
      <c r="B393" s="1434"/>
      <c r="C393" s="1435"/>
      <c r="D393" s="1436"/>
      <c r="E393" s="1440"/>
      <c r="F393" s="269"/>
      <c r="G393" s="269"/>
      <c r="H393" s="28"/>
      <c r="I393" s="28"/>
      <c r="J393" s="28"/>
      <c r="K393" s="28"/>
      <c r="L393" s="1438"/>
    </row>
    <row r="394" ht="38.25" customHeight="1">
      <c r="A394" s="1427"/>
      <c r="B394" s="1428"/>
      <c r="C394" s="1429"/>
      <c r="D394" s="1430"/>
      <c r="E394" s="1441"/>
      <c r="F394" s="270"/>
      <c r="G394" s="270"/>
      <c r="H394" s="30"/>
      <c r="I394" s="30"/>
      <c r="J394" s="30"/>
      <c r="K394" s="30"/>
      <c r="L394" s="1432"/>
    </row>
    <row r="395" ht="38.25" customHeight="1">
      <c r="A395" s="1433"/>
      <c r="B395" s="1434"/>
      <c r="C395" s="1435"/>
      <c r="D395" s="1436"/>
      <c r="E395" s="1440"/>
      <c r="F395" s="269"/>
      <c r="G395" s="269"/>
      <c r="H395" s="28"/>
      <c r="I395" s="28"/>
      <c r="J395" s="28"/>
      <c r="K395" s="28"/>
      <c r="L395" s="1438"/>
    </row>
    <row r="396" ht="38.25" customHeight="1">
      <c r="A396" s="1427"/>
      <c r="B396" s="1428"/>
      <c r="C396" s="1429"/>
      <c r="D396" s="1430"/>
      <c r="E396" s="1441"/>
      <c r="F396" s="270"/>
      <c r="G396" s="270"/>
      <c r="H396" s="30"/>
      <c r="I396" s="30"/>
      <c r="J396" s="30"/>
      <c r="K396" s="30"/>
      <c r="L396" s="1432"/>
    </row>
    <row r="397" ht="38.25" customHeight="1">
      <c r="A397" s="1433"/>
      <c r="B397" s="1434"/>
      <c r="C397" s="1435"/>
      <c r="D397" s="1436"/>
      <c r="E397" s="1440"/>
      <c r="F397" s="269"/>
      <c r="G397" s="269"/>
      <c r="H397" s="28"/>
      <c r="I397" s="28"/>
      <c r="J397" s="28"/>
      <c r="K397" s="28"/>
      <c r="L397" s="1438"/>
    </row>
    <row r="398" ht="38.25" customHeight="1">
      <c r="A398" s="1427"/>
      <c r="B398" s="1428"/>
      <c r="C398" s="1429"/>
      <c r="D398" s="1430"/>
      <c r="E398" s="1441"/>
      <c r="F398" s="270"/>
      <c r="G398" s="270"/>
      <c r="H398" s="30"/>
      <c r="I398" s="30"/>
      <c r="J398" s="30"/>
      <c r="K398" s="30"/>
      <c r="L398" s="1432"/>
    </row>
    <row r="399" ht="38.25" customHeight="1">
      <c r="A399" s="1433"/>
      <c r="B399" s="1434"/>
      <c r="C399" s="1435"/>
      <c r="D399" s="1436"/>
      <c r="E399" s="1440"/>
      <c r="F399" s="269"/>
      <c r="G399" s="269"/>
      <c r="H399" s="28"/>
      <c r="I399" s="28"/>
      <c r="J399" s="28"/>
      <c r="K399" s="28"/>
      <c r="L399" s="1438"/>
    </row>
    <row r="400" ht="38.25" customHeight="1">
      <c r="A400" s="1427"/>
      <c r="B400" s="1428"/>
      <c r="C400" s="1429"/>
      <c r="D400" s="1430"/>
      <c r="E400" s="1441"/>
      <c r="F400" s="270"/>
      <c r="G400" s="270"/>
      <c r="H400" s="30"/>
      <c r="I400" s="30"/>
      <c r="J400" s="30"/>
      <c r="K400" s="30"/>
      <c r="L400" s="1432"/>
    </row>
    <row r="401" ht="38.25" customHeight="1">
      <c r="A401" s="1433"/>
      <c r="B401" s="1434"/>
      <c r="C401" s="1435"/>
      <c r="D401" s="1436"/>
      <c r="E401" s="1440"/>
      <c r="F401" s="269"/>
      <c r="G401" s="269"/>
      <c r="H401" s="28"/>
      <c r="I401" s="28"/>
      <c r="J401" s="28"/>
      <c r="K401" s="28"/>
      <c r="L401" s="1438"/>
    </row>
    <row r="402" ht="38.25" customHeight="1">
      <c r="A402" s="1427"/>
      <c r="B402" s="1428"/>
      <c r="C402" s="1429"/>
      <c r="D402" s="1430"/>
      <c r="E402" s="1441"/>
      <c r="F402" s="270"/>
      <c r="G402" s="270"/>
      <c r="H402" s="30"/>
      <c r="I402" s="30"/>
      <c r="J402" s="30"/>
      <c r="K402" s="30"/>
      <c r="L402" s="1432"/>
    </row>
    <row r="403" ht="38.25" customHeight="1">
      <c r="A403" s="1433"/>
      <c r="B403" s="1434"/>
      <c r="C403" s="1435"/>
      <c r="D403" s="1436"/>
      <c r="E403" s="1440"/>
      <c r="F403" s="269"/>
      <c r="G403" s="269"/>
      <c r="H403" s="28"/>
      <c r="I403" s="28"/>
      <c r="J403" s="28"/>
      <c r="K403" s="28"/>
      <c r="L403" s="1438"/>
    </row>
    <row r="404" ht="38.25" customHeight="1">
      <c r="A404" s="1427"/>
      <c r="B404" s="1428"/>
      <c r="C404" s="1429"/>
      <c r="D404" s="1430"/>
      <c r="E404" s="1441"/>
      <c r="F404" s="270"/>
      <c r="G404" s="270"/>
      <c r="H404" s="30"/>
      <c r="I404" s="30"/>
      <c r="J404" s="30"/>
      <c r="K404" s="30"/>
      <c r="L404" s="1432"/>
    </row>
    <row r="405" ht="38.25" customHeight="1">
      <c r="A405" s="1433"/>
      <c r="B405" s="1434"/>
      <c r="C405" s="1435"/>
      <c r="D405" s="1436"/>
      <c r="E405" s="1440"/>
      <c r="F405" s="269"/>
      <c r="G405" s="269"/>
      <c r="H405" s="28"/>
      <c r="I405" s="28"/>
      <c r="J405" s="28"/>
      <c r="K405" s="28"/>
      <c r="L405" s="1438"/>
    </row>
    <row r="406" ht="38.25" customHeight="1">
      <c r="A406" s="1427"/>
      <c r="B406" s="1428"/>
      <c r="C406" s="1429"/>
      <c r="D406" s="1430"/>
      <c r="E406" s="1441"/>
      <c r="F406" s="270"/>
      <c r="G406" s="270"/>
      <c r="H406" s="30"/>
      <c r="I406" s="30"/>
      <c r="J406" s="30"/>
      <c r="K406" s="30"/>
      <c r="L406" s="1432"/>
    </row>
    <row r="407" ht="38.25" customHeight="1">
      <c r="A407" s="1433"/>
      <c r="B407" s="1434"/>
      <c r="C407" s="1435"/>
      <c r="D407" s="1436"/>
      <c r="E407" s="1440"/>
      <c r="F407" s="269"/>
      <c r="G407" s="269"/>
      <c r="H407" s="28"/>
      <c r="I407" s="28"/>
      <c r="J407" s="28"/>
      <c r="K407" s="28"/>
      <c r="L407" s="1438"/>
    </row>
    <row r="408" ht="38.25" customHeight="1">
      <c r="A408" s="1427"/>
      <c r="B408" s="1428"/>
      <c r="C408" s="1429"/>
      <c r="D408" s="1430"/>
      <c r="E408" s="1441"/>
      <c r="F408" s="270"/>
      <c r="G408" s="270"/>
      <c r="H408" s="30"/>
      <c r="I408" s="30"/>
      <c r="J408" s="30"/>
      <c r="K408" s="30"/>
      <c r="L408" s="1432"/>
    </row>
    <row r="409" ht="38.25" customHeight="1">
      <c r="A409" s="1433"/>
      <c r="B409" s="1434"/>
      <c r="C409" s="1435"/>
      <c r="D409" s="1436"/>
      <c r="E409" s="1440"/>
      <c r="F409" s="269"/>
      <c r="G409" s="269"/>
      <c r="H409" s="28"/>
      <c r="I409" s="28"/>
      <c r="J409" s="28"/>
      <c r="K409" s="28"/>
      <c r="L409" s="1438"/>
    </row>
    <row r="410" ht="38.25" customHeight="1">
      <c r="A410" s="1427"/>
      <c r="B410" s="1428"/>
      <c r="C410" s="1429"/>
      <c r="D410" s="1430"/>
      <c r="E410" s="1441"/>
      <c r="F410" s="270"/>
      <c r="G410" s="270"/>
      <c r="H410" s="30"/>
      <c r="I410" s="30"/>
      <c r="J410" s="30"/>
      <c r="K410" s="30"/>
      <c r="L410" s="1432"/>
    </row>
    <row r="411" ht="38.25" customHeight="1">
      <c r="A411" s="1433"/>
      <c r="B411" s="1434"/>
      <c r="C411" s="1435"/>
      <c r="D411" s="1436"/>
      <c r="E411" s="1440"/>
      <c r="F411" s="269"/>
      <c r="G411" s="269"/>
      <c r="H411" s="28"/>
      <c r="I411" s="28"/>
      <c r="J411" s="28"/>
      <c r="K411" s="28"/>
      <c r="L411" s="1438"/>
    </row>
    <row r="412" ht="38.25" customHeight="1">
      <c r="A412" s="1427"/>
      <c r="B412" s="1428"/>
      <c r="C412" s="1429"/>
      <c r="D412" s="1430"/>
      <c r="E412" s="1441"/>
      <c r="F412" s="270"/>
      <c r="G412" s="270"/>
      <c r="H412" s="30"/>
      <c r="I412" s="30"/>
      <c r="J412" s="30"/>
      <c r="K412" s="30"/>
      <c r="L412" s="1432"/>
    </row>
    <row r="413" ht="38.25" customHeight="1">
      <c r="A413" s="1433"/>
      <c r="B413" s="1434"/>
      <c r="C413" s="1435"/>
      <c r="D413" s="1436"/>
      <c r="E413" s="1440"/>
      <c r="F413" s="269"/>
      <c r="G413" s="269"/>
      <c r="H413" s="28"/>
      <c r="I413" s="28"/>
      <c r="J413" s="28"/>
      <c r="K413" s="28"/>
      <c r="L413" s="1438"/>
    </row>
    <row r="414" ht="38.25" customHeight="1">
      <c r="A414" s="1427"/>
      <c r="B414" s="1428"/>
      <c r="C414" s="1429"/>
      <c r="D414" s="1430"/>
      <c r="E414" s="1441"/>
      <c r="F414" s="270"/>
      <c r="G414" s="270"/>
      <c r="H414" s="30"/>
      <c r="I414" s="30"/>
      <c r="J414" s="30"/>
      <c r="K414" s="30"/>
      <c r="L414" s="1432"/>
    </row>
    <row r="415" ht="38.25" customHeight="1">
      <c r="A415" s="1433"/>
      <c r="B415" s="1434"/>
      <c r="C415" s="1435"/>
      <c r="D415" s="1436"/>
      <c r="E415" s="1440"/>
      <c r="F415" s="269"/>
      <c r="G415" s="269"/>
      <c r="H415" s="28"/>
      <c r="I415" s="28"/>
      <c r="J415" s="28"/>
      <c r="K415" s="28"/>
      <c r="L415" s="1438"/>
    </row>
    <row r="416" ht="38.25" customHeight="1">
      <c r="A416" s="1427"/>
      <c r="B416" s="1428"/>
      <c r="C416" s="1429"/>
      <c r="D416" s="1430"/>
      <c r="E416" s="1441"/>
      <c r="F416" s="270"/>
      <c r="G416" s="270"/>
      <c r="H416" s="30"/>
      <c r="I416" s="30"/>
      <c r="J416" s="30"/>
      <c r="K416" s="30"/>
      <c r="L416" s="1432"/>
    </row>
    <row r="417" ht="38.25" customHeight="1">
      <c r="A417" s="1433"/>
      <c r="B417" s="1434"/>
      <c r="C417" s="1435"/>
      <c r="D417" s="1436"/>
      <c r="E417" s="1440"/>
      <c r="F417" s="269"/>
      <c r="G417" s="269"/>
      <c r="H417" s="28"/>
      <c r="I417" s="28"/>
      <c r="J417" s="28"/>
      <c r="K417" s="28"/>
      <c r="L417" s="1438"/>
    </row>
    <row r="418" ht="38.25" customHeight="1">
      <c r="A418" s="1427"/>
      <c r="B418" s="1428"/>
      <c r="C418" s="1429"/>
      <c r="D418" s="1430"/>
      <c r="E418" s="1441"/>
      <c r="F418" s="270"/>
      <c r="G418" s="270"/>
      <c r="H418" s="30"/>
      <c r="I418" s="30"/>
      <c r="J418" s="30"/>
      <c r="K418" s="30"/>
      <c r="L418" s="1432"/>
    </row>
    <row r="419" ht="38.25" customHeight="1">
      <c r="A419" s="1433"/>
      <c r="B419" s="1434"/>
      <c r="C419" s="1435"/>
      <c r="D419" s="1436"/>
      <c r="E419" s="1440"/>
      <c r="F419" s="269"/>
      <c r="G419" s="269"/>
      <c r="H419" s="28"/>
      <c r="I419" s="28"/>
      <c r="J419" s="28"/>
      <c r="K419" s="28"/>
      <c r="L419" s="1438"/>
    </row>
    <row r="420" ht="38.25" customHeight="1">
      <c r="A420" s="1427"/>
      <c r="B420" s="1428"/>
      <c r="C420" s="1429"/>
      <c r="D420" s="1430"/>
      <c r="E420" s="1441"/>
      <c r="F420" s="270"/>
      <c r="G420" s="270"/>
      <c r="H420" s="30"/>
      <c r="I420" s="30"/>
      <c r="J420" s="30"/>
      <c r="K420" s="30"/>
      <c r="L420" s="1432"/>
    </row>
    <row r="421" ht="38.25" customHeight="1">
      <c r="A421" s="1433"/>
      <c r="B421" s="1434"/>
      <c r="C421" s="1435"/>
      <c r="D421" s="1436"/>
      <c r="E421" s="1440"/>
      <c r="F421" s="269"/>
      <c r="G421" s="269"/>
      <c r="H421" s="28"/>
      <c r="I421" s="28"/>
      <c r="J421" s="28"/>
      <c r="K421" s="28"/>
      <c r="L421" s="1438"/>
    </row>
    <row r="422" ht="38.25" customHeight="1">
      <c r="A422" s="1427"/>
      <c r="B422" s="1428"/>
      <c r="C422" s="1429"/>
      <c r="D422" s="1430"/>
      <c r="E422" s="1441"/>
      <c r="F422" s="270"/>
      <c r="G422" s="270"/>
      <c r="H422" s="30"/>
      <c r="I422" s="30"/>
      <c r="J422" s="30"/>
      <c r="K422" s="30"/>
      <c r="L422" s="1432"/>
    </row>
    <row r="423" ht="38.25" customHeight="1">
      <c r="A423" s="1433"/>
      <c r="B423" s="1434"/>
      <c r="C423" s="1435"/>
      <c r="D423" s="1436"/>
      <c r="E423" s="1440"/>
      <c r="F423" s="269"/>
      <c r="G423" s="269"/>
      <c r="H423" s="28"/>
      <c r="I423" s="28"/>
      <c r="J423" s="28"/>
      <c r="K423" s="28"/>
      <c r="L423" s="1438"/>
    </row>
    <row r="424" ht="38.25" customHeight="1">
      <c r="A424" s="1427"/>
      <c r="B424" s="1428"/>
      <c r="C424" s="1429"/>
      <c r="D424" s="1430"/>
      <c r="E424" s="1441"/>
      <c r="F424" s="270"/>
      <c r="G424" s="270"/>
      <c r="H424" s="30"/>
      <c r="I424" s="30"/>
      <c r="J424" s="30"/>
      <c r="K424" s="30"/>
      <c r="L424" s="1432"/>
    </row>
    <row r="425" ht="38.25" customHeight="1">
      <c r="A425" s="1433"/>
      <c r="B425" s="1434"/>
      <c r="C425" s="1435"/>
      <c r="D425" s="1436"/>
      <c r="E425" s="1440"/>
      <c r="F425" s="269"/>
      <c r="G425" s="269"/>
      <c r="H425" s="28"/>
      <c r="I425" s="28"/>
      <c r="J425" s="28"/>
      <c r="K425" s="28"/>
      <c r="L425" s="1438"/>
    </row>
    <row r="426" ht="38.25" customHeight="1">
      <c r="A426" s="1427"/>
      <c r="B426" s="1428"/>
      <c r="C426" s="1429"/>
      <c r="D426" s="1430"/>
      <c r="E426" s="1441"/>
      <c r="F426" s="270"/>
      <c r="G426" s="270"/>
      <c r="H426" s="30"/>
      <c r="I426" s="30"/>
      <c r="J426" s="30"/>
      <c r="K426" s="30"/>
      <c r="L426" s="1432"/>
    </row>
    <row r="427" ht="38.25" customHeight="1">
      <c r="A427" s="1433"/>
      <c r="B427" s="1434"/>
      <c r="C427" s="1435"/>
      <c r="D427" s="1436"/>
      <c r="E427" s="1440"/>
      <c r="F427" s="269"/>
      <c r="G427" s="269"/>
      <c r="H427" s="28"/>
      <c r="I427" s="28"/>
      <c r="J427" s="28"/>
      <c r="K427" s="28"/>
      <c r="L427" s="1438"/>
    </row>
    <row r="428" ht="38.25" customHeight="1">
      <c r="A428" s="1427"/>
      <c r="B428" s="1428"/>
      <c r="C428" s="1429"/>
      <c r="D428" s="1430"/>
      <c r="E428" s="1441"/>
      <c r="F428" s="270"/>
      <c r="G428" s="270"/>
      <c r="H428" s="30"/>
      <c r="I428" s="30"/>
      <c r="J428" s="30"/>
      <c r="K428" s="30"/>
      <c r="L428" s="1432"/>
    </row>
    <row r="429" ht="38.25" customHeight="1">
      <c r="A429" s="1433"/>
      <c r="B429" s="1434"/>
      <c r="C429" s="1435"/>
      <c r="D429" s="1436"/>
      <c r="E429" s="1440"/>
      <c r="F429" s="269"/>
      <c r="G429" s="269"/>
      <c r="H429" s="28"/>
      <c r="I429" s="28"/>
      <c r="J429" s="28"/>
      <c r="K429" s="28"/>
      <c r="L429" s="1438"/>
    </row>
    <row r="430" ht="38.25" customHeight="1">
      <c r="A430" s="1427"/>
      <c r="B430" s="1428"/>
      <c r="C430" s="1429"/>
      <c r="D430" s="1430"/>
      <c r="E430" s="1441"/>
      <c r="F430" s="270"/>
      <c r="G430" s="270"/>
      <c r="H430" s="30"/>
      <c r="I430" s="30"/>
      <c r="J430" s="30"/>
      <c r="K430" s="30"/>
      <c r="L430" s="1432"/>
    </row>
    <row r="431" ht="38.25" customHeight="1">
      <c r="A431" s="1433"/>
      <c r="B431" s="1434"/>
      <c r="C431" s="1435"/>
      <c r="D431" s="1436"/>
      <c r="E431" s="1440"/>
      <c r="F431" s="269"/>
      <c r="G431" s="269"/>
      <c r="H431" s="28"/>
      <c r="I431" s="28"/>
      <c r="J431" s="28"/>
      <c r="K431" s="28"/>
      <c r="L431" s="1438"/>
    </row>
    <row r="432" ht="38.25" customHeight="1">
      <c r="A432" s="1427"/>
      <c r="B432" s="1428"/>
      <c r="C432" s="1429"/>
      <c r="D432" s="1430"/>
      <c r="E432" s="1441"/>
      <c r="F432" s="270"/>
      <c r="G432" s="270"/>
      <c r="H432" s="30"/>
      <c r="I432" s="30"/>
      <c r="J432" s="30"/>
      <c r="K432" s="30"/>
      <c r="L432" s="1432"/>
    </row>
    <row r="433" ht="38.25" customHeight="1">
      <c r="A433" s="1433"/>
      <c r="B433" s="1434"/>
      <c r="C433" s="1435"/>
      <c r="D433" s="1436"/>
      <c r="E433" s="1440"/>
      <c r="F433" s="269"/>
      <c r="G433" s="269"/>
      <c r="H433" s="28"/>
      <c r="I433" s="28"/>
      <c r="J433" s="28"/>
      <c r="K433" s="28"/>
      <c r="L433" s="1438"/>
    </row>
    <row r="434" ht="38.25" customHeight="1">
      <c r="A434" s="1427"/>
      <c r="B434" s="1428"/>
      <c r="C434" s="1429"/>
      <c r="D434" s="1430"/>
      <c r="E434" s="1441"/>
      <c r="F434" s="270"/>
      <c r="G434" s="270"/>
      <c r="H434" s="30"/>
      <c r="I434" s="30"/>
      <c r="J434" s="30"/>
      <c r="K434" s="30"/>
      <c r="L434" s="1432"/>
    </row>
    <row r="435" ht="38.25" customHeight="1">
      <c r="A435" s="1433"/>
      <c r="B435" s="1434"/>
      <c r="C435" s="1435"/>
      <c r="D435" s="1436"/>
      <c r="E435" s="1440"/>
      <c r="F435" s="269"/>
      <c r="G435" s="269"/>
      <c r="H435" s="28"/>
      <c r="I435" s="28"/>
      <c r="J435" s="28"/>
      <c r="K435" s="28"/>
      <c r="L435" s="1438"/>
    </row>
    <row r="436" ht="38.25" customHeight="1">
      <c r="A436" s="1427"/>
      <c r="B436" s="1428"/>
      <c r="C436" s="1429"/>
      <c r="D436" s="1430"/>
      <c r="E436" s="1441"/>
      <c r="F436" s="270"/>
      <c r="G436" s="270"/>
      <c r="H436" s="30"/>
      <c r="I436" s="30"/>
      <c r="J436" s="30"/>
      <c r="K436" s="30"/>
      <c r="L436" s="1432"/>
    </row>
    <row r="437" ht="38.25" customHeight="1">
      <c r="A437" s="1433"/>
      <c r="B437" s="1434"/>
      <c r="C437" s="1435"/>
      <c r="D437" s="1436"/>
      <c r="E437" s="1440"/>
      <c r="F437" s="269"/>
      <c r="G437" s="269"/>
      <c r="H437" s="28"/>
      <c r="I437" s="28"/>
      <c r="J437" s="28"/>
      <c r="K437" s="28"/>
      <c r="L437" s="1438"/>
    </row>
    <row r="438" ht="38.25" customHeight="1">
      <c r="A438" s="1427"/>
      <c r="B438" s="1428"/>
      <c r="C438" s="1429"/>
      <c r="D438" s="1430"/>
      <c r="E438" s="1441"/>
      <c r="F438" s="270"/>
      <c r="G438" s="270"/>
      <c r="H438" s="30"/>
      <c r="I438" s="30"/>
      <c r="J438" s="30"/>
      <c r="K438" s="30"/>
      <c r="L438" s="1432"/>
    </row>
    <row r="439" ht="38.25" customHeight="1">
      <c r="A439" s="1433"/>
      <c r="B439" s="1434"/>
      <c r="C439" s="1435"/>
      <c r="D439" s="1436"/>
      <c r="E439" s="1440"/>
      <c r="F439" s="269"/>
      <c r="G439" s="269"/>
      <c r="H439" s="28"/>
      <c r="I439" s="28"/>
      <c r="J439" s="28"/>
      <c r="K439" s="28"/>
      <c r="L439" s="1438"/>
    </row>
    <row r="440" ht="38.25" customHeight="1">
      <c r="A440" s="1427"/>
      <c r="B440" s="1428"/>
      <c r="C440" s="1429"/>
      <c r="D440" s="1430"/>
      <c r="E440" s="1441"/>
      <c r="F440" s="270"/>
      <c r="G440" s="270"/>
      <c r="H440" s="30"/>
      <c r="I440" s="30"/>
      <c r="J440" s="30"/>
      <c r="K440" s="30"/>
      <c r="L440" s="1432"/>
    </row>
    <row r="441" ht="38.25" customHeight="1">
      <c r="A441" s="1433"/>
      <c r="B441" s="1434"/>
      <c r="C441" s="1435"/>
      <c r="D441" s="1436"/>
      <c r="E441" s="1440"/>
      <c r="F441" s="269"/>
      <c r="G441" s="269"/>
      <c r="H441" s="28"/>
      <c r="I441" s="28"/>
      <c r="J441" s="28"/>
      <c r="K441" s="28"/>
      <c r="L441" s="1438"/>
    </row>
    <row r="442" ht="38.25" customHeight="1">
      <c r="A442" s="1427"/>
      <c r="B442" s="1428"/>
      <c r="C442" s="1429"/>
      <c r="D442" s="1430"/>
      <c r="E442" s="1441"/>
      <c r="F442" s="270"/>
      <c r="G442" s="270"/>
      <c r="H442" s="30"/>
      <c r="I442" s="30"/>
      <c r="J442" s="30"/>
      <c r="K442" s="30"/>
      <c r="L442" s="1432"/>
    </row>
    <row r="443" ht="38.25" customHeight="1">
      <c r="A443" s="1433"/>
      <c r="B443" s="1434"/>
      <c r="C443" s="1435"/>
      <c r="D443" s="1436"/>
      <c r="E443" s="1440"/>
      <c r="F443" s="269"/>
      <c r="G443" s="269"/>
      <c r="H443" s="28"/>
      <c r="I443" s="28"/>
      <c r="J443" s="28"/>
      <c r="K443" s="28"/>
      <c r="L443" s="1438"/>
    </row>
    <row r="444" ht="38.25" customHeight="1">
      <c r="A444" s="1427"/>
      <c r="B444" s="1428"/>
      <c r="C444" s="1429"/>
      <c r="D444" s="1430"/>
      <c r="E444" s="1441"/>
      <c r="F444" s="270"/>
      <c r="G444" s="270"/>
      <c r="H444" s="30"/>
      <c r="I444" s="30"/>
      <c r="J444" s="30"/>
      <c r="K444" s="30"/>
      <c r="L444" s="1432"/>
    </row>
    <row r="445" ht="38.25" customHeight="1">
      <c r="A445" s="1433"/>
      <c r="B445" s="1434"/>
      <c r="C445" s="1435"/>
      <c r="D445" s="1436"/>
      <c r="E445" s="1440"/>
      <c r="F445" s="269"/>
      <c r="G445" s="269"/>
      <c r="H445" s="28"/>
      <c r="I445" s="28"/>
      <c r="J445" s="28"/>
      <c r="K445" s="28"/>
      <c r="L445" s="1438"/>
    </row>
    <row r="446" ht="38.25" customHeight="1">
      <c r="A446" s="1427"/>
      <c r="B446" s="1428"/>
      <c r="C446" s="1429"/>
      <c r="D446" s="1430"/>
      <c r="E446" s="1441"/>
      <c r="F446" s="270"/>
      <c r="G446" s="270"/>
      <c r="H446" s="30"/>
      <c r="I446" s="30"/>
      <c r="J446" s="30"/>
      <c r="K446" s="30"/>
      <c r="L446" s="1432"/>
    </row>
    <row r="447" ht="38.25" customHeight="1">
      <c r="A447" s="1433"/>
      <c r="B447" s="1434"/>
      <c r="C447" s="1435"/>
      <c r="D447" s="1436"/>
      <c r="E447" s="1440"/>
      <c r="F447" s="269"/>
      <c r="G447" s="269"/>
      <c r="H447" s="28"/>
      <c r="I447" s="28"/>
      <c r="J447" s="28"/>
      <c r="K447" s="28"/>
      <c r="L447" s="1438"/>
    </row>
    <row r="448" ht="38.25" customHeight="1">
      <c r="A448" s="1427"/>
      <c r="B448" s="1428"/>
      <c r="C448" s="1429"/>
      <c r="D448" s="1430"/>
      <c r="E448" s="1441"/>
      <c r="F448" s="270"/>
      <c r="G448" s="270"/>
      <c r="H448" s="30"/>
      <c r="I448" s="30"/>
      <c r="J448" s="30"/>
      <c r="K448" s="30"/>
      <c r="L448" s="1432"/>
    </row>
    <row r="449" ht="38.25" customHeight="1">
      <c r="A449" s="1433"/>
      <c r="B449" s="1434"/>
      <c r="C449" s="1435"/>
      <c r="D449" s="1436"/>
      <c r="E449" s="1440"/>
      <c r="F449" s="269"/>
      <c r="G449" s="269"/>
      <c r="H449" s="28"/>
      <c r="I449" s="28"/>
      <c r="J449" s="28"/>
      <c r="K449" s="28"/>
      <c r="L449" s="1438"/>
    </row>
    <row r="450" ht="38.25" customHeight="1">
      <c r="A450" s="1427"/>
      <c r="B450" s="1428"/>
      <c r="C450" s="1429"/>
      <c r="D450" s="1430"/>
      <c r="E450" s="1441"/>
      <c r="F450" s="270"/>
      <c r="G450" s="270"/>
      <c r="H450" s="30"/>
      <c r="I450" s="30"/>
      <c r="J450" s="30"/>
      <c r="K450" s="30"/>
      <c r="L450" s="1432"/>
    </row>
    <row r="451" ht="38.25" customHeight="1">
      <c r="A451" s="1433"/>
      <c r="B451" s="1434"/>
      <c r="C451" s="1435"/>
      <c r="D451" s="1436"/>
      <c r="E451" s="1440"/>
      <c r="F451" s="269"/>
      <c r="G451" s="269"/>
      <c r="H451" s="28"/>
      <c r="I451" s="28"/>
      <c r="J451" s="28"/>
      <c r="K451" s="28"/>
      <c r="L451" s="1438"/>
    </row>
    <row r="452" ht="38.25" customHeight="1">
      <c r="A452" s="1427"/>
      <c r="B452" s="1428"/>
      <c r="C452" s="1429"/>
      <c r="D452" s="1430"/>
      <c r="E452" s="1441"/>
      <c r="F452" s="270"/>
      <c r="G452" s="270"/>
      <c r="H452" s="30"/>
      <c r="I452" s="30"/>
      <c r="J452" s="30"/>
      <c r="K452" s="30"/>
      <c r="L452" s="1432"/>
    </row>
    <row r="453" ht="38.25" customHeight="1">
      <c r="A453" s="1433"/>
      <c r="B453" s="1434"/>
      <c r="C453" s="1435"/>
      <c r="D453" s="1436"/>
      <c r="E453" s="1440"/>
      <c r="F453" s="269"/>
      <c r="G453" s="269"/>
      <c r="H453" s="28"/>
      <c r="I453" s="28"/>
      <c r="J453" s="28"/>
      <c r="K453" s="28"/>
      <c r="L453" s="1438"/>
    </row>
    <row r="454" ht="38.25" customHeight="1">
      <c r="A454" s="1427"/>
      <c r="B454" s="1428"/>
      <c r="C454" s="1429"/>
      <c r="D454" s="1430"/>
      <c r="E454" s="1441"/>
      <c r="F454" s="270"/>
      <c r="G454" s="270"/>
      <c r="H454" s="30"/>
      <c r="I454" s="30"/>
      <c r="J454" s="30"/>
      <c r="K454" s="30"/>
      <c r="L454" s="1432"/>
    </row>
    <row r="455" ht="38.25" customHeight="1">
      <c r="A455" s="1433"/>
      <c r="B455" s="1434"/>
      <c r="C455" s="1435"/>
      <c r="D455" s="1436"/>
      <c r="E455" s="1440"/>
      <c r="F455" s="269"/>
      <c r="G455" s="269"/>
      <c r="H455" s="28"/>
      <c r="I455" s="28"/>
      <c r="J455" s="28"/>
      <c r="K455" s="28"/>
      <c r="L455" s="1438"/>
    </row>
    <row r="456" ht="38.25" customHeight="1">
      <c r="A456" s="1427"/>
      <c r="B456" s="1428"/>
      <c r="C456" s="1429"/>
      <c r="D456" s="1430"/>
      <c r="E456" s="1441"/>
      <c r="F456" s="270"/>
      <c r="G456" s="270"/>
      <c r="H456" s="30"/>
      <c r="I456" s="30"/>
      <c r="J456" s="30"/>
      <c r="K456" s="30"/>
      <c r="L456" s="1432"/>
    </row>
    <row r="457" ht="38.25" customHeight="1">
      <c r="A457" s="1433"/>
      <c r="B457" s="1434"/>
      <c r="C457" s="1435"/>
      <c r="D457" s="1436"/>
      <c r="E457" s="1440"/>
      <c r="F457" s="269"/>
      <c r="G457" s="269"/>
      <c r="H457" s="28"/>
      <c r="I457" s="28"/>
      <c r="J457" s="28"/>
      <c r="K457" s="28"/>
      <c r="L457" s="1438"/>
    </row>
    <row r="458" ht="38.25" customHeight="1">
      <c r="A458" s="1427"/>
      <c r="B458" s="1428"/>
      <c r="C458" s="1429"/>
      <c r="D458" s="1430"/>
      <c r="E458" s="1441"/>
      <c r="F458" s="270"/>
      <c r="G458" s="270"/>
      <c r="H458" s="30"/>
      <c r="I458" s="30"/>
      <c r="J458" s="30"/>
      <c r="K458" s="30"/>
      <c r="L458" s="1432"/>
    </row>
    <row r="459" ht="38.25" customHeight="1">
      <c r="A459" s="1433"/>
      <c r="B459" s="1434"/>
      <c r="C459" s="1435"/>
      <c r="D459" s="1436"/>
      <c r="E459" s="1440"/>
      <c r="F459" s="269"/>
      <c r="G459" s="269"/>
      <c r="H459" s="28"/>
      <c r="I459" s="28"/>
      <c r="J459" s="28"/>
      <c r="K459" s="28"/>
      <c r="L459" s="1438"/>
    </row>
    <row r="460" ht="38.25" customHeight="1">
      <c r="A460" s="1427"/>
      <c r="B460" s="1428"/>
      <c r="C460" s="1429"/>
      <c r="D460" s="1430"/>
      <c r="E460" s="1441"/>
      <c r="F460" s="270"/>
      <c r="G460" s="270"/>
      <c r="H460" s="30"/>
      <c r="I460" s="30"/>
      <c r="J460" s="30"/>
      <c r="K460" s="30"/>
      <c r="L460" s="1432"/>
    </row>
    <row r="461" ht="38.25" customHeight="1">
      <c r="A461" s="1433"/>
      <c r="B461" s="1434"/>
      <c r="C461" s="1435"/>
      <c r="D461" s="1436"/>
      <c r="E461" s="1440"/>
      <c r="F461" s="269"/>
      <c r="G461" s="269"/>
      <c r="H461" s="28"/>
      <c r="I461" s="28"/>
      <c r="J461" s="28"/>
      <c r="K461" s="28"/>
      <c r="L461" s="1438"/>
    </row>
    <row r="462" ht="38.25" customHeight="1">
      <c r="A462" s="1427"/>
      <c r="B462" s="1428"/>
      <c r="C462" s="1429"/>
      <c r="D462" s="1430"/>
      <c r="E462" s="1441"/>
      <c r="F462" s="270"/>
      <c r="G462" s="270"/>
      <c r="H462" s="30"/>
      <c r="I462" s="30"/>
      <c r="J462" s="30"/>
      <c r="K462" s="30"/>
      <c r="L462" s="1432"/>
    </row>
    <row r="463" ht="38.25" customHeight="1">
      <c r="A463" s="1433"/>
      <c r="B463" s="1434"/>
      <c r="C463" s="1435"/>
      <c r="D463" s="1436"/>
      <c r="E463" s="1440"/>
      <c r="F463" s="269"/>
      <c r="G463" s="269"/>
      <c r="H463" s="28"/>
      <c r="I463" s="28"/>
      <c r="J463" s="28"/>
      <c r="K463" s="28"/>
      <c r="L463" s="1438"/>
    </row>
    <row r="464" ht="38.25" customHeight="1">
      <c r="A464" s="1427"/>
      <c r="B464" s="1428"/>
      <c r="C464" s="1429"/>
      <c r="D464" s="1430"/>
      <c r="E464" s="1441"/>
      <c r="F464" s="270"/>
      <c r="G464" s="270"/>
      <c r="H464" s="30"/>
      <c r="I464" s="30"/>
      <c r="J464" s="30"/>
      <c r="K464" s="30"/>
      <c r="L464" s="1432"/>
    </row>
    <row r="465" ht="38.25" customHeight="1">
      <c r="A465" s="1433"/>
      <c r="B465" s="1434"/>
      <c r="C465" s="1435"/>
      <c r="D465" s="1436"/>
      <c r="E465" s="1440"/>
      <c r="F465" s="269"/>
      <c r="G465" s="269"/>
      <c r="H465" s="28"/>
      <c r="I465" s="28"/>
      <c r="J465" s="28"/>
      <c r="K465" s="28"/>
      <c r="L465" s="1438"/>
    </row>
    <row r="466" ht="38.25" customHeight="1">
      <c r="A466" s="1427"/>
      <c r="B466" s="1428"/>
      <c r="C466" s="1429"/>
      <c r="D466" s="1430"/>
      <c r="E466" s="1441"/>
      <c r="F466" s="270"/>
      <c r="G466" s="270"/>
      <c r="H466" s="30"/>
      <c r="I466" s="30"/>
      <c r="J466" s="30"/>
      <c r="K466" s="30"/>
      <c r="L466" s="1432"/>
    </row>
    <row r="467" ht="38.25" customHeight="1">
      <c r="A467" s="1433"/>
      <c r="B467" s="1434"/>
      <c r="C467" s="1435"/>
      <c r="D467" s="1436"/>
      <c r="E467" s="1440"/>
      <c r="F467" s="269"/>
      <c r="G467" s="269"/>
      <c r="H467" s="28"/>
      <c r="I467" s="28"/>
      <c r="J467" s="28"/>
      <c r="K467" s="28"/>
      <c r="L467" s="1438"/>
    </row>
    <row r="468" ht="38.25" customHeight="1">
      <c r="A468" s="1427"/>
      <c r="B468" s="1428"/>
      <c r="C468" s="1429"/>
      <c r="D468" s="1430"/>
      <c r="E468" s="1441"/>
      <c r="F468" s="270"/>
      <c r="G468" s="270"/>
      <c r="H468" s="30"/>
      <c r="I468" s="30"/>
      <c r="J468" s="30"/>
      <c r="K468" s="30"/>
      <c r="L468" s="1432"/>
    </row>
    <row r="469" ht="38.25" customHeight="1">
      <c r="A469" s="1433"/>
      <c r="B469" s="1434"/>
      <c r="C469" s="1435"/>
      <c r="D469" s="1436"/>
      <c r="E469" s="1440"/>
      <c r="F469" s="269"/>
      <c r="G469" s="269"/>
      <c r="H469" s="28"/>
      <c r="I469" s="28"/>
      <c r="J469" s="28"/>
      <c r="K469" s="28"/>
      <c r="L469" s="1438"/>
    </row>
    <row r="470" ht="38.25" customHeight="1">
      <c r="A470" s="1427"/>
      <c r="B470" s="1428"/>
      <c r="C470" s="1429"/>
      <c r="D470" s="1430"/>
      <c r="E470" s="1441"/>
      <c r="F470" s="270"/>
      <c r="G470" s="270"/>
      <c r="H470" s="30"/>
      <c r="I470" s="30"/>
      <c r="J470" s="30"/>
      <c r="K470" s="30"/>
      <c r="L470" s="1432"/>
    </row>
    <row r="471" ht="38.25" customHeight="1">
      <c r="A471" s="1433"/>
      <c r="B471" s="1434"/>
      <c r="C471" s="1435"/>
      <c r="D471" s="1436"/>
      <c r="E471" s="1440"/>
      <c r="F471" s="269"/>
      <c r="G471" s="269"/>
      <c r="H471" s="28"/>
      <c r="I471" s="28"/>
      <c r="J471" s="28"/>
      <c r="K471" s="28"/>
      <c r="L471" s="1438"/>
    </row>
    <row r="472" ht="38.25" customHeight="1">
      <c r="A472" s="1427"/>
      <c r="B472" s="1428"/>
      <c r="C472" s="1429"/>
      <c r="D472" s="1430"/>
      <c r="E472" s="1441"/>
      <c r="F472" s="270"/>
      <c r="G472" s="270"/>
      <c r="H472" s="30"/>
      <c r="I472" s="30"/>
      <c r="J472" s="30"/>
      <c r="K472" s="30"/>
      <c r="L472" s="1432"/>
    </row>
    <row r="473" ht="38.25" customHeight="1">
      <c r="A473" s="1433"/>
      <c r="B473" s="1434"/>
      <c r="C473" s="1435"/>
      <c r="D473" s="1436"/>
      <c r="E473" s="1440"/>
      <c r="F473" s="269"/>
      <c r="G473" s="269"/>
      <c r="H473" s="28"/>
      <c r="I473" s="28"/>
      <c r="J473" s="28"/>
      <c r="K473" s="28"/>
      <c r="L473" s="1438"/>
    </row>
    <row r="474" ht="38.25" customHeight="1">
      <c r="A474" s="1427"/>
      <c r="B474" s="1428"/>
      <c r="C474" s="1429"/>
      <c r="D474" s="1430"/>
      <c r="E474" s="1441"/>
      <c r="F474" s="270"/>
      <c r="G474" s="270"/>
      <c r="H474" s="30"/>
      <c r="I474" s="30"/>
      <c r="J474" s="30"/>
      <c r="K474" s="30"/>
      <c r="L474" s="1432"/>
    </row>
    <row r="475" ht="38.25" customHeight="1">
      <c r="A475" s="1433"/>
      <c r="B475" s="1434"/>
      <c r="C475" s="1435"/>
      <c r="D475" s="1436"/>
      <c r="E475" s="1440"/>
      <c r="F475" s="269"/>
      <c r="G475" s="269"/>
      <c r="H475" s="28"/>
      <c r="I475" s="28"/>
      <c r="J475" s="28"/>
      <c r="K475" s="28"/>
      <c r="L475" s="1438"/>
    </row>
    <row r="476" ht="38.25" customHeight="1">
      <c r="A476" s="1427"/>
      <c r="B476" s="1428"/>
      <c r="C476" s="1429"/>
      <c r="D476" s="1430"/>
      <c r="E476" s="1441"/>
      <c r="F476" s="270"/>
      <c r="G476" s="270"/>
      <c r="H476" s="30"/>
      <c r="I476" s="30"/>
      <c r="J476" s="30"/>
      <c r="K476" s="30"/>
      <c r="L476" s="1432"/>
    </row>
    <row r="477" ht="38.25" customHeight="1">
      <c r="A477" s="1433"/>
      <c r="B477" s="1434"/>
      <c r="C477" s="1435"/>
      <c r="D477" s="1436"/>
      <c r="E477" s="1440"/>
      <c r="F477" s="269"/>
      <c r="G477" s="269"/>
      <c r="H477" s="28"/>
      <c r="I477" s="28"/>
      <c r="J477" s="28"/>
      <c r="K477" s="28"/>
      <c r="L477" s="1438"/>
    </row>
    <row r="478" ht="38.25" customHeight="1">
      <c r="A478" s="1427"/>
      <c r="B478" s="1428"/>
      <c r="C478" s="1429"/>
      <c r="D478" s="1430"/>
      <c r="E478" s="1441"/>
      <c r="F478" s="270"/>
      <c r="G478" s="270"/>
      <c r="H478" s="30"/>
      <c r="I478" s="30"/>
      <c r="J478" s="30"/>
      <c r="K478" s="30"/>
      <c r="L478" s="1432"/>
    </row>
    <row r="479" ht="38.25" customHeight="1">
      <c r="A479" s="1433"/>
      <c r="B479" s="1434"/>
      <c r="C479" s="1435"/>
      <c r="D479" s="1436"/>
      <c r="E479" s="1440"/>
      <c r="F479" s="269"/>
      <c r="G479" s="269"/>
      <c r="H479" s="28"/>
      <c r="I479" s="28"/>
      <c r="J479" s="28"/>
      <c r="K479" s="28"/>
      <c r="L479" s="1438"/>
    </row>
    <row r="480" ht="38.25" customHeight="1">
      <c r="A480" s="1427"/>
      <c r="B480" s="1428"/>
      <c r="C480" s="1429"/>
      <c r="D480" s="1430"/>
      <c r="E480" s="1441"/>
      <c r="F480" s="270"/>
      <c r="G480" s="270"/>
      <c r="H480" s="30"/>
      <c r="I480" s="30"/>
      <c r="J480" s="30"/>
      <c r="K480" s="30"/>
      <c r="L480" s="1432"/>
    </row>
    <row r="481" ht="38.25" customHeight="1">
      <c r="A481" s="1433"/>
      <c r="B481" s="1434"/>
      <c r="C481" s="1435"/>
      <c r="D481" s="1436"/>
      <c r="E481" s="1440"/>
      <c r="F481" s="269"/>
      <c r="G481" s="269"/>
      <c r="H481" s="28"/>
      <c r="I481" s="28"/>
      <c r="J481" s="28"/>
      <c r="K481" s="28"/>
      <c r="L481" s="1438"/>
    </row>
    <row r="482" ht="38.25" customHeight="1">
      <c r="A482" s="1427"/>
      <c r="B482" s="1428"/>
      <c r="C482" s="1429"/>
      <c r="D482" s="1430"/>
      <c r="E482" s="1441"/>
      <c r="F482" s="270"/>
      <c r="G482" s="270"/>
      <c r="H482" s="30"/>
      <c r="I482" s="30"/>
      <c r="J482" s="30"/>
      <c r="K482" s="30"/>
      <c r="L482" s="1432"/>
    </row>
    <row r="483" ht="38.25" customHeight="1">
      <c r="A483" s="1433"/>
      <c r="B483" s="1434"/>
      <c r="C483" s="1435"/>
      <c r="D483" s="1436"/>
      <c r="E483" s="1440"/>
      <c r="F483" s="269"/>
      <c r="G483" s="269"/>
      <c r="H483" s="28"/>
      <c r="I483" s="28"/>
      <c r="J483" s="28"/>
      <c r="K483" s="28"/>
      <c r="L483" s="1438"/>
    </row>
    <row r="484" ht="38.25" customHeight="1">
      <c r="A484" s="1427"/>
      <c r="B484" s="1428"/>
      <c r="C484" s="1429"/>
      <c r="D484" s="1430"/>
      <c r="E484" s="1441"/>
      <c r="F484" s="270"/>
      <c r="G484" s="270"/>
      <c r="H484" s="30"/>
      <c r="I484" s="30"/>
      <c r="J484" s="30"/>
      <c r="K484" s="30"/>
      <c r="L484" s="1432"/>
    </row>
    <row r="485" ht="38.25" customHeight="1">
      <c r="A485" s="1433"/>
      <c r="B485" s="1434"/>
      <c r="C485" s="1435"/>
      <c r="D485" s="1436"/>
      <c r="E485" s="1440"/>
      <c r="F485" s="269"/>
      <c r="G485" s="269"/>
      <c r="H485" s="28"/>
      <c r="I485" s="28"/>
      <c r="J485" s="28"/>
      <c r="K485" s="28"/>
      <c r="L485" s="1438"/>
    </row>
    <row r="486" ht="38.25" customHeight="1">
      <c r="A486" s="1427"/>
      <c r="B486" s="1428"/>
      <c r="C486" s="1429"/>
      <c r="D486" s="1430"/>
      <c r="E486" s="1441"/>
      <c r="F486" s="270"/>
      <c r="G486" s="270"/>
      <c r="H486" s="30"/>
      <c r="I486" s="30"/>
      <c r="J486" s="30"/>
      <c r="K486" s="30"/>
      <c r="L486" s="1432"/>
    </row>
    <row r="487" ht="38.25" customHeight="1">
      <c r="A487" s="1433"/>
      <c r="B487" s="1434"/>
      <c r="C487" s="1435"/>
      <c r="D487" s="1436"/>
      <c r="E487" s="1440"/>
      <c r="F487" s="269"/>
      <c r="G487" s="269"/>
      <c r="H487" s="28"/>
      <c r="I487" s="28"/>
      <c r="J487" s="28"/>
      <c r="K487" s="28"/>
      <c r="L487" s="1438"/>
    </row>
    <row r="488" ht="38.25" customHeight="1">
      <c r="A488" s="1427"/>
      <c r="B488" s="1428"/>
      <c r="C488" s="1429"/>
      <c r="D488" s="1430"/>
      <c r="E488" s="1441"/>
      <c r="F488" s="270"/>
      <c r="G488" s="270"/>
      <c r="H488" s="30"/>
      <c r="I488" s="30"/>
      <c r="J488" s="30"/>
      <c r="K488" s="30"/>
      <c r="L488" s="1432"/>
    </row>
    <row r="489" ht="38.25" customHeight="1">
      <c r="A489" s="1433"/>
      <c r="B489" s="1434"/>
      <c r="C489" s="1435"/>
      <c r="D489" s="1436"/>
      <c r="E489" s="1440"/>
      <c r="F489" s="269"/>
      <c r="G489" s="269"/>
      <c r="H489" s="28"/>
      <c r="I489" s="28"/>
      <c r="J489" s="28"/>
      <c r="K489" s="28"/>
      <c r="L489" s="1438"/>
    </row>
    <row r="490" ht="38.25" customHeight="1">
      <c r="A490" s="1427"/>
      <c r="B490" s="1428"/>
      <c r="C490" s="1429"/>
      <c r="D490" s="1430"/>
      <c r="E490" s="1441"/>
      <c r="F490" s="270"/>
      <c r="G490" s="270"/>
      <c r="H490" s="30"/>
      <c r="I490" s="30"/>
      <c r="J490" s="30"/>
      <c r="K490" s="30"/>
      <c r="L490" s="1432"/>
    </row>
    <row r="491" ht="38.25" customHeight="1">
      <c r="A491" s="1433"/>
      <c r="B491" s="1434"/>
      <c r="C491" s="1435"/>
      <c r="D491" s="1436"/>
      <c r="E491" s="1440"/>
      <c r="F491" s="269"/>
      <c r="G491" s="269"/>
      <c r="H491" s="28"/>
      <c r="I491" s="28"/>
      <c r="J491" s="28"/>
      <c r="K491" s="28"/>
      <c r="L491" s="1438"/>
    </row>
    <row r="492" ht="38.25" customHeight="1">
      <c r="A492" s="1427"/>
      <c r="B492" s="1428"/>
      <c r="C492" s="1429"/>
      <c r="D492" s="1430"/>
      <c r="E492" s="1441"/>
      <c r="F492" s="270"/>
      <c r="G492" s="270"/>
      <c r="H492" s="30"/>
      <c r="I492" s="30"/>
      <c r="J492" s="30"/>
      <c r="K492" s="30"/>
      <c r="L492" s="1432"/>
    </row>
    <row r="493" ht="38.25" customHeight="1">
      <c r="A493" s="1433"/>
      <c r="B493" s="1434"/>
      <c r="C493" s="1435"/>
      <c r="D493" s="1436"/>
      <c r="E493" s="1440"/>
      <c r="F493" s="269"/>
      <c r="G493" s="269"/>
      <c r="H493" s="28"/>
      <c r="I493" s="28"/>
      <c r="J493" s="28"/>
      <c r="K493" s="28"/>
      <c r="L493" s="1438"/>
    </row>
    <row r="494" ht="38.25" customHeight="1">
      <c r="A494" s="1427"/>
      <c r="B494" s="1428"/>
      <c r="C494" s="1429"/>
      <c r="D494" s="1430"/>
      <c r="E494" s="1441"/>
      <c r="F494" s="270"/>
      <c r="G494" s="270"/>
      <c r="H494" s="30"/>
      <c r="I494" s="30"/>
      <c r="J494" s="30"/>
      <c r="K494" s="30"/>
      <c r="L494" s="1432"/>
    </row>
    <row r="495" ht="38.25" customHeight="1">
      <c r="A495" s="1433"/>
      <c r="B495" s="1434"/>
      <c r="C495" s="1435"/>
      <c r="D495" s="1436"/>
      <c r="E495" s="1440"/>
      <c r="F495" s="269"/>
      <c r="G495" s="269"/>
      <c r="H495" s="28"/>
      <c r="I495" s="28"/>
      <c r="J495" s="28"/>
      <c r="K495" s="28"/>
      <c r="L495" s="1438"/>
    </row>
    <row r="496" ht="38.25" customHeight="1">
      <c r="A496" s="1427"/>
      <c r="B496" s="1428"/>
      <c r="C496" s="1429"/>
      <c r="D496" s="1430"/>
      <c r="E496" s="1441"/>
      <c r="F496" s="270"/>
      <c r="G496" s="270"/>
      <c r="H496" s="30"/>
      <c r="I496" s="30"/>
      <c r="J496" s="30"/>
      <c r="K496" s="30"/>
      <c r="L496" s="1432"/>
    </row>
    <row r="497" ht="38.25" customHeight="1">
      <c r="A497" s="1433"/>
      <c r="B497" s="1434"/>
      <c r="C497" s="1435"/>
      <c r="D497" s="1436"/>
      <c r="E497" s="1440"/>
      <c r="F497" s="269"/>
      <c r="G497" s="269"/>
      <c r="H497" s="28"/>
      <c r="I497" s="28"/>
      <c r="J497" s="28"/>
      <c r="K497" s="28"/>
      <c r="L497" s="1438"/>
    </row>
    <row r="498" ht="38.25" customHeight="1">
      <c r="A498" s="1427"/>
      <c r="B498" s="1428"/>
      <c r="C498" s="1429"/>
      <c r="D498" s="1430"/>
      <c r="E498" s="1441"/>
      <c r="F498" s="270"/>
      <c r="G498" s="270"/>
      <c r="H498" s="30"/>
      <c r="I498" s="30"/>
      <c r="J498" s="30"/>
      <c r="K498" s="30"/>
      <c r="L498" s="1432"/>
    </row>
    <row r="499" ht="38.25" customHeight="1">
      <c r="A499" s="1433"/>
      <c r="B499" s="1434"/>
      <c r="C499" s="1435"/>
      <c r="D499" s="1436"/>
      <c r="E499" s="1440"/>
      <c r="F499" s="269"/>
      <c r="G499" s="269"/>
      <c r="H499" s="28"/>
      <c r="I499" s="28"/>
      <c r="J499" s="28"/>
      <c r="K499" s="28"/>
      <c r="L499" s="1438"/>
    </row>
    <row r="500" ht="38.25" customHeight="1">
      <c r="A500" s="1427"/>
      <c r="B500" s="1428"/>
      <c r="C500" s="1429"/>
      <c r="D500" s="1430"/>
      <c r="E500" s="1441"/>
      <c r="F500" s="270"/>
      <c r="G500" s="270"/>
      <c r="H500" s="30"/>
      <c r="I500" s="30"/>
      <c r="J500" s="30"/>
      <c r="K500" s="30"/>
      <c r="L500" s="1432"/>
    </row>
    <row r="501" ht="38.25" customHeight="1">
      <c r="A501" s="1433"/>
      <c r="B501" s="1434"/>
      <c r="C501" s="1435"/>
      <c r="D501" s="1436"/>
      <c r="E501" s="1440"/>
      <c r="F501" s="269"/>
      <c r="G501" s="269"/>
      <c r="H501" s="28"/>
      <c r="I501" s="28"/>
      <c r="J501" s="28"/>
      <c r="K501" s="28"/>
      <c r="L501" s="1438"/>
    </row>
    <row r="502" ht="38.25" customHeight="1">
      <c r="A502" s="1427"/>
      <c r="B502" s="1428"/>
      <c r="C502" s="1429"/>
      <c r="D502" s="1430"/>
      <c r="E502" s="1441"/>
      <c r="F502" s="270"/>
      <c r="G502" s="270"/>
      <c r="H502" s="30"/>
      <c r="I502" s="30"/>
      <c r="J502" s="30"/>
      <c r="K502" s="30"/>
      <c r="L502" s="1432"/>
    </row>
    <row r="503" ht="38.25" customHeight="1">
      <c r="A503" s="1433"/>
      <c r="B503" s="1434"/>
      <c r="C503" s="1435"/>
      <c r="D503" s="1436"/>
      <c r="E503" s="1440"/>
      <c r="F503" s="269"/>
      <c r="G503" s="269"/>
      <c r="H503" s="28"/>
      <c r="I503" s="28"/>
      <c r="J503" s="28"/>
      <c r="K503" s="28"/>
      <c r="L503" s="1438"/>
    </row>
    <row r="504" ht="38.25" customHeight="1">
      <c r="A504" s="1427"/>
      <c r="B504" s="1428"/>
      <c r="C504" s="1429"/>
      <c r="D504" s="1430"/>
      <c r="E504" s="1441"/>
      <c r="F504" s="270"/>
      <c r="G504" s="270"/>
      <c r="H504" s="30"/>
      <c r="I504" s="30"/>
      <c r="J504" s="30"/>
      <c r="K504" s="30"/>
      <c r="L504" s="1432"/>
    </row>
    <row r="505" ht="38.25" customHeight="1">
      <c r="A505" s="1433"/>
      <c r="B505" s="1434"/>
      <c r="C505" s="1435"/>
      <c r="D505" s="1436"/>
      <c r="E505" s="1440"/>
      <c r="F505" s="269"/>
      <c r="G505" s="269"/>
      <c r="H505" s="28"/>
      <c r="I505" s="28"/>
      <c r="J505" s="28"/>
      <c r="K505" s="28"/>
      <c r="L505" s="1438"/>
    </row>
    <row r="506" ht="38.25" customHeight="1">
      <c r="A506" s="1427"/>
      <c r="B506" s="1428"/>
      <c r="C506" s="1429"/>
      <c r="D506" s="1430"/>
      <c r="E506" s="1441"/>
      <c r="F506" s="270"/>
      <c r="G506" s="270"/>
      <c r="H506" s="30"/>
      <c r="I506" s="30"/>
      <c r="J506" s="30"/>
      <c r="K506" s="30"/>
      <c r="L506" s="1432"/>
    </row>
    <row r="507" ht="38.25" customHeight="1">
      <c r="A507" s="1433"/>
      <c r="B507" s="1434"/>
      <c r="C507" s="1435"/>
      <c r="D507" s="1436"/>
      <c r="E507" s="1440"/>
      <c r="F507" s="269"/>
      <c r="G507" s="269"/>
      <c r="H507" s="28"/>
      <c r="I507" s="28"/>
      <c r="J507" s="28"/>
      <c r="K507" s="28"/>
      <c r="L507" s="1438"/>
    </row>
    <row r="508" ht="38.25" customHeight="1">
      <c r="A508" s="1427"/>
      <c r="B508" s="1428"/>
      <c r="C508" s="1429"/>
      <c r="D508" s="1430"/>
      <c r="E508" s="1441"/>
      <c r="F508" s="270"/>
      <c r="G508" s="270"/>
      <c r="H508" s="30"/>
      <c r="I508" s="30"/>
      <c r="J508" s="30"/>
      <c r="K508" s="30"/>
      <c r="L508" s="1432"/>
    </row>
    <row r="509" ht="38.25" customHeight="1">
      <c r="A509" s="1433"/>
      <c r="B509" s="1434"/>
      <c r="C509" s="1435"/>
      <c r="D509" s="1436"/>
      <c r="E509" s="1440"/>
      <c r="F509" s="269"/>
      <c r="G509" s="269"/>
      <c r="H509" s="28"/>
      <c r="I509" s="28"/>
      <c r="J509" s="28"/>
      <c r="K509" s="28"/>
      <c r="L509" s="1438"/>
    </row>
    <row r="510" ht="38.25" customHeight="1">
      <c r="A510" s="1427"/>
      <c r="B510" s="1428"/>
      <c r="C510" s="1429"/>
      <c r="D510" s="1430"/>
      <c r="E510" s="1441"/>
      <c r="F510" s="270"/>
      <c r="G510" s="270"/>
      <c r="H510" s="30"/>
      <c r="I510" s="30"/>
      <c r="J510" s="30"/>
      <c r="K510" s="30"/>
      <c r="L510" s="1432"/>
    </row>
    <row r="511" ht="38.25" customHeight="1">
      <c r="A511" s="1433"/>
      <c r="B511" s="1434"/>
      <c r="C511" s="1435"/>
      <c r="D511" s="1436"/>
      <c r="E511" s="1440"/>
      <c r="F511" s="269"/>
      <c r="G511" s="269"/>
      <c r="H511" s="28"/>
      <c r="I511" s="28"/>
      <c r="J511" s="28"/>
      <c r="K511" s="28"/>
      <c r="L511" s="1438"/>
    </row>
    <row r="512" ht="38.25" customHeight="1">
      <c r="A512" s="1427"/>
      <c r="B512" s="1428"/>
      <c r="C512" s="1429"/>
      <c r="D512" s="1430"/>
      <c r="E512" s="1441"/>
      <c r="F512" s="270"/>
      <c r="G512" s="270"/>
      <c r="H512" s="30"/>
      <c r="I512" s="30"/>
      <c r="J512" s="30"/>
      <c r="K512" s="30"/>
      <c r="L512" s="1432"/>
    </row>
    <row r="513" ht="38.25" customHeight="1">
      <c r="A513" s="1433"/>
      <c r="B513" s="1434"/>
      <c r="C513" s="1435"/>
      <c r="D513" s="1436"/>
      <c r="E513" s="1440"/>
      <c r="F513" s="269"/>
      <c r="G513" s="269"/>
      <c r="H513" s="28"/>
      <c r="I513" s="28"/>
      <c r="J513" s="28"/>
      <c r="K513" s="28"/>
      <c r="L513" s="1438"/>
    </row>
    <row r="514" ht="38.25" customHeight="1">
      <c r="A514" s="1427"/>
      <c r="B514" s="1428"/>
      <c r="C514" s="1429"/>
      <c r="D514" s="1430"/>
      <c r="E514" s="1441"/>
      <c r="F514" s="270"/>
      <c r="G514" s="270"/>
      <c r="H514" s="30"/>
      <c r="I514" s="30"/>
      <c r="J514" s="30"/>
      <c r="K514" s="30"/>
      <c r="L514" s="1432"/>
    </row>
    <row r="515" ht="38.25" customHeight="1">
      <c r="A515" s="1433"/>
      <c r="B515" s="1434"/>
      <c r="C515" s="1435"/>
      <c r="D515" s="1436"/>
      <c r="E515" s="1440"/>
      <c r="F515" s="269"/>
      <c r="G515" s="269"/>
      <c r="H515" s="28"/>
      <c r="I515" s="28"/>
      <c r="J515" s="28"/>
      <c r="K515" s="28"/>
      <c r="L515" s="1438"/>
    </row>
    <row r="516" ht="38.25" customHeight="1">
      <c r="A516" s="1427"/>
      <c r="B516" s="1428"/>
      <c r="C516" s="1429"/>
      <c r="D516" s="1430"/>
      <c r="E516" s="1441"/>
      <c r="F516" s="270"/>
      <c r="G516" s="270"/>
      <c r="H516" s="30"/>
      <c r="I516" s="30"/>
      <c r="J516" s="30"/>
      <c r="K516" s="30"/>
      <c r="L516" s="1432"/>
    </row>
    <row r="517" ht="38.25" customHeight="1">
      <c r="A517" s="1433"/>
      <c r="B517" s="1434"/>
      <c r="C517" s="1435"/>
      <c r="D517" s="1436"/>
      <c r="E517" s="1440"/>
      <c r="F517" s="269"/>
      <c r="G517" s="269"/>
      <c r="H517" s="28"/>
      <c r="I517" s="28"/>
      <c r="J517" s="28"/>
      <c r="K517" s="28"/>
      <c r="L517" s="1438"/>
    </row>
    <row r="518" ht="38.25" customHeight="1">
      <c r="A518" s="1427"/>
      <c r="B518" s="1428"/>
      <c r="C518" s="1429"/>
      <c r="D518" s="1430"/>
      <c r="E518" s="1441"/>
      <c r="F518" s="270"/>
      <c r="G518" s="270"/>
      <c r="H518" s="30"/>
      <c r="I518" s="30"/>
      <c r="J518" s="30"/>
      <c r="K518" s="30"/>
      <c r="L518" s="1432"/>
    </row>
    <row r="519" ht="38.25" customHeight="1">
      <c r="A519" s="1433"/>
      <c r="B519" s="1434"/>
      <c r="C519" s="1435"/>
      <c r="D519" s="1436"/>
      <c r="E519" s="1440"/>
      <c r="F519" s="269"/>
      <c r="G519" s="269"/>
      <c r="H519" s="28"/>
      <c r="I519" s="28"/>
      <c r="J519" s="28"/>
      <c r="K519" s="28"/>
      <c r="L519" s="1438"/>
    </row>
    <row r="520" ht="38.25" customHeight="1">
      <c r="A520" s="1427"/>
      <c r="B520" s="1428"/>
      <c r="C520" s="1429"/>
      <c r="D520" s="1430"/>
      <c r="E520" s="1441"/>
      <c r="F520" s="270"/>
      <c r="G520" s="270"/>
      <c r="H520" s="30"/>
      <c r="I520" s="30"/>
      <c r="J520" s="30"/>
      <c r="K520" s="30"/>
      <c r="L520" s="1432"/>
    </row>
    <row r="521" ht="38.25" customHeight="1">
      <c r="A521" s="1433"/>
      <c r="B521" s="1434"/>
      <c r="C521" s="1435"/>
      <c r="D521" s="1436"/>
      <c r="E521" s="1440"/>
      <c r="F521" s="269"/>
      <c r="G521" s="269"/>
      <c r="H521" s="28"/>
      <c r="I521" s="28"/>
      <c r="J521" s="28"/>
      <c r="K521" s="28"/>
      <c r="L521" s="1438"/>
    </row>
    <row r="522" ht="38.25" customHeight="1">
      <c r="A522" s="1427"/>
      <c r="B522" s="1428"/>
      <c r="C522" s="1429"/>
      <c r="D522" s="1430"/>
      <c r="E522" s="1441"/>
      <c r="F522" s="270"/>
      <c r="G522" s="270"/>
      <c r="H522" s="30"/>
      <c r="I522" s="30"/>
      <c r="J522" s="30"/>
      <c r="K522" s="30"/>
      <c r="L522" s="1432"/>
    </row>
    <row r="523" ht="38.25" customHeight="1">
      <c r="A523" s="1433"/>
      <c r="B523" s="1434"/>
      <c r="C523" s="1435"/>
      <c r="D523" s="1436"/>
      <c r="E523" s="1440"/>
      <c r="F523" s="269"/>
      <c r="G523" s="269"/>
      <c r="H523" s="28"/>
      <c r="I523" s="28"/>
      <c r="J523" s="28"/>
      <c r="K523" s="28"/>
      <c r="L523" s="1438"/>
    </row>
    <row r="524" ht="38.25" customHeight="1">
      <c r="A524" s="1427"/>
      <c r="B524" s="1428"/>
      <c r="C524" s="1429"/>
      <c r="D524" s="1430"/>
      <c r="E524" s="1441"/>
      <c r="F524" s="270"/>
      <c r="G524" s="270"/>
      <c r="H524" s="30"/>
      <c r="I524" s="30"/>
      <c r="J524" s="30"/>
      <c r="K524" s="30"/>
      <c r="L524" s="1432"/>
    </row>
    <row r="525" ht="38.25" customHeight="1">
      <c r="A525" s="1433"/>
      <c r="B525" s="1434"/>
      <c r="C525" s="1435"/>
      <c r="D525" s="1436"/>
      <c r="E525" s="1440"/>
      <c r="F525" s="269"/>
      <c r="G525" s="269"/>
      <c r="H525" s="28"/>
      <c r="I525" s="28"/>
      <c r="J525" s="28"/>
      <c r="K525" s="28"/>
      <c r="L525" s="1438"/>
    </row>
    <row r="526" ht="38.25" customHeight="1">
      <c r="A526" s="1427"/>
      <c r="B526" s="1428"/>
      <c r="C526" s="1429"/>
      <c r="D526" s="1430"/>
      <c r="E526" s="1441"/>
      <c r="F526" s="270"/>
      <c r="G526" s="270"/>
      <c r="H526" s="30"/>
      <c r="I526" s="30"/>
      <c r="J526" s="30"/>
      <c r="K526" s="30"/>
      <c r="L526" s="1432"/>
    </row>
    <row r="527" ht="38.25" customHeight="1">
      <c r="A527" s="1433"/>
      <c r="B527" s="1434"/>
      <c r="C527" s="1435"/>
      <c r="D527" s="1436"/>
      <c r="E527" s="1440"/>
      <c r="F527" s="269"/>
      <c r="G527" s="269"/>
      <c r="H527" s="28"/>
      <c r="I527" s="28"/>
      <c r="J527" s="28"/>
      <c r="K527" s="28"/>
      <c r="L527" s="1438"/>
    </row>
    <row r="528" ht="38.25" customHeight="1">
      <c r="A528" s="1427"/>
      <c r="B528" s="1428"/>
      <c r="C528" s="1429"/>
      <c r="D528" s="1430"/>
      <c r="E528" s="1441"/>
      <c r="F528" s="270"/>
      <c r="G528" s="270"/>
      <c r="H528" s="30"/>
      <c r="I528" s="30"/>
      <c r="J528" s="30"/>
      <c r="K528" s="30"/>
      <c r="L528" s="1432"/>
    </row>
    <row r="529" ht="38.25" customHeight="1">
      <c r="A529" s="1433"/>
      <c r="B529" s="1434"/>
      <c r="C529" s="1435"/>
      <c r="D529" s="1436"/>
      <c r="E529" s="1440"/>
      <c r="F529" s="269"/>
      <c r="G529" s="269"/>
      <c r="H529" s="28"/>
      <c r="I529" s="28"/>
      <c r="J529" s="28"/>
      <c r="K529" s="28"/>
      <c r="L529" s="1438"/>
    </row>
    <row r="530" ht="38.25" customHeight="1">
      <c r="A530" s="1427"/>
      <c r="B530" s="1428"/>
      <c r="C530" s="1429"/>
      <c r="D530" s="1430"/>
      <c r="E530" s="1441"/>
      <c r="F530" s="270"/>
      <c r="G530" s="270"/>
      <c r="H530" s="30"/>
      <c r="I530" s="30"/>
      <c r="J530" s="30"/>
      <c r="K530" s="30"/>
      <c r="L530" s="1432"/>
    </row>
    <row r="531" ht="38.25" customHeight="1">
      <c r="A531" s="1433"/>
      <c r="B531" s="1434"/>
      <c r="C531" s="1435"/>
      <c r="D531" s="1436"/>
      <c r="E531" s="1440"/>
      <c r="F531" s="269"/>
      <c r="G531" s="269"/>
      <c r="H531" s="28"/>
      <c r="I531" s="28"/>
      <c r="J531" s="28"/>
      <c r="K531" s="28"/>
      <c r="L531" s="1438"/>
    </row>
    <row r="532" ht="38.25" customHeight="1">
      <c r="A532" s="1427"/>
      <c r="B532" s="1428"/>
      <c r="C532" s="1429"/>
      <c r="D532" s="1430"/>
      <c r="E532" s="1441"/>
      <c r="F532" s="270"/>
      <c r="G532" s="270"/>
      <c r="H532" s="30"/>
      <c r="I532" s="30"/>
      <c r="J532" s="30"/>
      <c r="K532" s="30"/>
      <c r="L532" s="1432"/>
    </row>
    <row r="533" ht="38.25" customHeight="1">
      <c r="A533" s="1433"/>
      <c r="B533" s="1434"/>
      <c r="C533" s="1435"/>
      <c r="D533" s="1436"/>
      <c r="E533" s="1440"/>
      <c r="F533" s="269"/>
      <c r="G533" s="269"/>
      <c r="H533" s="28"/>
      <c r="I533" s="28"/>
      <c r="J533" s="28"/>
      <c r="K533" s="28"/>
      <c r="L533" s="1438"/>
    </row>
    <row r="534" ht="38.25" customHeight="1">
      <c r="A534" s="1427"/>
      <c r="B534" s="1428"/>
      <c r="C534" s="1429"/>
      <c r="D534" s="1430"/>
      <c r="E534" s="1441"/>
      <c r="F534" s="270"/>
      <c r="G534" s="270"/>
      <c r="H534" s="30"/>
      <c r="I534" s="30"/>
      <c r="J534" s="30"/>
      <c r="K534" s="30"/>
      <c r="L534" s="1432"/>
    </row>
    <row r="535" ht="38.25" customHeight="1">
      <c r="A535" s="1433"/>
      <c r="B535" s="1434"/>
      <c r="C535" s="1435"/>
      <c r="D535" s="1436"/>
      <c r="E535" s="1440"/>
      <c r="F535" s="269"/>
      <c r="G535" s="269"/>
      <c r="H535" s="28"/>
      <c r="I535" s="28"/>
      <c r="J535" s="28"/>
      <c r="K535" s="28"/>
      <c r="L535" s="1438"/>
    </row>
    <row r="536" ht="38.25" customHeight="1">
      <c r="A536" s="1427"/>
      <c r="B536" s="1428"/>
      <c r="C536" s="1429"/>
      <c r="D536" s="1430"/>
      <c r="E536" s="1441"/>
      <c r="F536" s="270"/>
      <c r="G536" s="270"/>
      <c r="H536" s="30"/>
      <c r="I536" s="30"/>
      <c r="J536" s="30"/>
      <c r="K536" s="30"/>
      <c r="L536" s="1432"/>
    </row>
    <row r="537" ht="38.25" customHeight="1">
      <c r="A537" s="1433"/>
      <c r="B537" s="1434"/>
      <c r="C537" s="1435"/>
      <c r="D537" s="1436"/>
      <c r="E537" s="1440"/>
      <c r="F537" s="269"/>
      <c r="G537" s="269"/>
      <c r="H537" s="28"/>
      <c r="I537" s="28"/>
      <c r="J537" s="28"/>
      <c r="K537" s="28"/>
      <c r="L537" s="1438"/>
    </row>
    <row r="538" ht="38.25" customHeight="1">
      <c r="A538" s="1427"/>
      <c r="B538" s="1428"/>
      <c r="C538" s="1429"/>
      <c r="D538" s="1430"/>
      <c r="E538" s="1441"/>
      <c r="F538" s="270"/>
      <c r="G538" s="270"/>
      <c r="H538" s="30"/>
      <c r="I538" s="30"/>
      <c r="J538" s="30"/>
      <c r="K538" s="30"/>
      <c r="L538" s="1432"/>
    </row>
    <row r="539" ht="38.25" customHeight="1">
      <c r="A539" s="1433"/>
      <c r="B539" s="1434"/>
      <c r="C539" s="1435"/>
      <c r="D539" s="1436"/>
      <c r="E539" s="1440"/>
      <c r="F539" s="269"/>
      <c r="G539" s="269"/>
      <c r="H539" s="28"/>
      <c r="I539" s="28"/>
      <c r="J539" s="28"/>
      <c r="K539" s="28"/>
      <c r="L539" s="1438"/>
    </row>
    <row r="540" ht="38.25" customHeight="1">
      <c r="A540" s="1427"/>
      <c r="B540" s="1428"/>
      <c r="C540" s="1429"/>
      <c r="D540" s="1430"/>
      <c r="E540" s="1441"/>
      <c r="F540" s="270"/>
      <c r="G540" s="270"/>
      <c r="H540" s="30"/>
      <c r="I540" s="30"/>
      <c r="J540" s="30"/>
      <c r="K540" s="30"/>
      <c r="L540" s="1432"/>
    </row>
    <row r="541" ht="38.25" customHeight="1">
      <c r="A541" s="1433"/>
      <c r="B541" s="1434"/>
      <c r="C541" s="1435"/>
      <c r="D541" s="1436"/>
      <c r="E541" s="1440"/>
      <c r="F541" s="269"/>
      <c r="G541" s="269"/>
      <c r="H541" s="28"/>
      <c r="I541" s="28"/>
      <c r="J541" s="28"/>
      <c r="K541" s="28"/>
      <c r="L541" s="1438"/>
    </row>
    <row r="542" ht="38.25" customHeight="1">
      <c r="A542" s="1427"/>
      <c r="B542" s="1428"/>
      <c r="C542" s="1429"/>
      <c r="D542" s="1430"/>
      <c r="E542" s="1441"/>
      <c r="F542" s="270"/>
      <c r="G542" s="270"/>
      <c r="H542" s="30"/>
      <c r="I542" s="30"/>
      <c r="J542" s="30"/>
      <c r="K542" s="30"/>
      <c r="L542" s="1432"/>
    </row>
    <row r="543" ht="38.25" customHeight="1">
      <c r="A543" s="1433"/>
      <c r="B543" s="1434"/>
      <c r="C543" s="1435"/>
      <c r="D543" s="1436"/>
      <c r="E543" s="1440"/>
      <c r="F543" s="269"/>
      <c r="G543" s="269"/>
      <c r="H543" s="28"/>
      <c r="I543" s="28"/>
      <c r="J543" s="28"/>
      <c r="K543" s="28"/>
      <c r="L543" s="1438"/>
    </row>
    <row r="544" ht="38.25" customHeight="1">
      <c r="A544" s="1427"/>
      <c r="B544" s="1428"/>
      <c r="C544" s="1429"/>
      <c r="D544" s="1430"/>
      <c r="E544" s="1441"/>
      <c r="F544" s="270"/>
      <c r="G544" s="270"/>
      <c r="H544" s="30"/>
      <c r="I544" s="30"/>
      <c r="J544" s="30"/>
      <c r="K544" s="30"/>
      <c r="L544" s="1432"/>
    </row>
    <row r="545" ht="38.25" customHeight="1">
      <c r="A545" s="1433"/>
      <c r="B545" s="1434"/>
      <c r="C545" s="1435"/>
      <c r="D545" s="1436"/>
      <c r="E545" s="1440"/>
      <c r="F545" s="269"/>
      <c r="G545" s="269"/>
      <c r="H545" s="28"/>
      <c r="I545" s="28"/>
      <c r="J545" s="28"/>
      <c r="K545" s="28"/>
      <c r="L545" s="1438"/>
    </row>
    <row r="546" ht="38.25" customHeight="1">
      <c r="A546" s="1427"/>
      <c r="B546" s="1428"/>
      <c r="C546" s="1429"/>
      <c r="D546" s="1430"/>
      <c r="E546" s="1441"/>
      <c r="F546" s="270"/>
      <c r="G546" s="270"/>
      <c r="H546" s="30"/>
      <c r="I546" s="30"/>
      <c r="J546" s="30"/>
      <c r="K546" s="30"/>
      <c r="L546" s="1432"/>
    </row>
    <row r="547" ht="38.25" customHeight="1">
      <c r="A547" s="1433"/>
      <c r="B547" s="1434"/>
      <c r="C547" s="1435"/>
      <c r="D547" s="1436"/>
      <c r="E547" s="1440"/>
      <c r="F547" s="269"/>
      <c r="G547" s="269"/>
      <c r="H547" s="28"/>
      <c r="I547" s="28"/>
      <c r="J547" s="28"/>
      <c r="K547" s="28"/>
      <c r="L547" s="1438"/>
    </row>
    <row r="548" ht="38.25" customHeight="1">
      <c r="A548" s="1427"/>
      <c r="B548" s="1428"/>
      <c r="C548" s="1429"/>
      <c r="D548" s="1430"/>
      <c r="E548" s="1441"/>
      <c r="F548" s="270"/>
      <c r="G548" s="270"/>
      <c r="H548" s="30"/>
      <c r="I548" s="30"/>
      <c r="J548" s="30"/>
      <c r="K548" s="30"/>
      <c r="L548" s="1432"/>
    </row>
    <row r="549" ht="38.25" customHeight="1">
      <c r="A549" s="1433"/>
      <c r="B549" s="1434"/>
      <c r="C549" s="1435"/>
      <c r="D549" s="1436"/>
      <c r="E549" s="1440"/>
      <c r="F549" s="269"/>
      <c r="G549" s="269"/>
      <c r="H549" s="28"/>
      <c r="I549" s="28"/>
      <c r="J549" s="28"/>
      <c r="K549" s="28"/>
      <c r="L549" s="1438"/>
    </row>
    <row r="550" ht="38.25" customHeight="1">
      <c r="A550" s="1427"/>
      <c r="B550" s="1428"/>
      <c r="C550" s="1429"/>
      <c r="D550" s="1430"/>
      <c r="E550" s="1441"/>
      <c r="F550" s="270"/>
      <c r="G550" s="270"/>
      <c r="H550" s="30"/>
      <c r="I550" s="30"/>
      <c r="J550" s="30"/>
      <c r="K550" s="30"/>
      <c r="L550" s="1432"/>
    </row>
    <row r="551" ht="38.25" customHeight="1">
      <c r="A551" s="1433"/>
      <c r="B551" s="1434"/>
      <c r="C551" s="1435"/>
      <c r="D551" s="1436"/>
      <c r="E551" s="1440"/>
      <c r="F551" s="269"/>
      <c r="G551" s="269"/>
      <c r="H551" s="28"/>
      <c r="I551" s="28"/>
      <c r="J551" s="28"/>
      <c r="K551" s="28"/>
      <c r="L551" s="1438"/>
    </row>
    <row r="552" ht="38.25" customHeight="1">
      <c r="A552" s="1427"/>
      <c r="B552" s="1428"/>
      <c r="C552" s="1429"/>
      <c r="D552" s="1430"/>
      <c r="E552" s="1441"/>
      <c r="F552" s="270"/>
      <c r="G552" s="270"/>
      <c r="H552" s="30"/>
      <c r="I552" s="30"/>
      <c r="J552" s="30"/>
      <c r="K552" s="30"/>
      <c r="L552" s="1432"/>
    </row>
    <row r="553" ht="38.25" customHeight="1">
      <c r="A553" s="1433"/>
      <c r="B553" s="1434"/>
      <c r="C553" s="1435"/>
      <c r="D553" s="1436"/>
      <c r="E553" s="1440"/>
      <c r="F553" s="269"/>
      <c r="G553" s="269"/>
      <c r="H553" s="28"/>
      <c r="I553" s="28"/>
      <c r="J553" s="28"/>
      <c r="K553" s="28"/>
      <c r="L553" s="1438"/>
    </row>
    <row r="554" ht="38.25" customHeight="1">
      <c r="A554" s="1427"/>
      <c r="B554" s="1428"/>
      <c r="C554" s="1429"/>
      <c r="D554" s="1430"/>
      <c r="E554" s="1441"/>
      <c r="F554" s="270"/>
      <c r="G554" s="270"/>
      <c r="H554" s="30"/>
      <c r="I554" s="30"/>
      <c r="J554" s="30"/>
      <c r="K554" s="30"/>
      <c r="L554" s="1432"/>
    </row>
    <row r="555" ht="38.25" customHeight="1">
      <c r="A555" s="1433"/>
      <c r="B555" s="1434"/>
      <c r="C555" s="1435"/>
      <c r="D555" s="1436"/>
      <c r="E555" s="1440"/>
      <c r="F555" s="269"/>
      <c r="G555" s="269"/>
      <c r="H555" s="28"/>
      <c r="I555" s="28"/>
      <c r="J555" s="28"/>
      <c r="K555" s="28"/>
      <c r="L555" s="1438"/>
    </row>
    <row r="556" ht="38.25" customHeight="1">
      <c r="A556" s="1427"/>
      <c r="B556" s="1428"/>
      <c r="C556" s="1429"/>
      <c r="D556" s="1430"/>
      <c r="E556" s="1441"/>
      <c r="F556" s="270"/>
      <c r="G556" s="270"/>
      <c r="H556" s="30"/>
      <c r="I556" s="30"/>
      <c r="J556" s="30"/>
      <c r="K556" s="30"/>
      <c r="L556" s="1432"/>
    </row>
    <row r="557" ht="38.25" customHeight="1">
      <c r="A557" s="1433"/>
      <c r="B557" s="1434"/>
      <c r="C557" s="1435"/>
      <c r="D557" s="1436"/>
      <c r="E557" s="1440"/>
      <c r="F557" s="269"/>
      <c r="G557" s="269"/>
      <c r="H557" s="28"/>
      <c r="I557" s="28"/>
      <c r="J557" s="28"/>
      <c r="K557" s="28"/>
      <c r="L557" s="1438"/>
    </row>
    <row r="558" ht="38.25" customHeight="1">
      <c r="A558" s="1427"/>
      <c r="B558" s="1428"/>
      <c r="C558" s="1429"/>
      <c r="D558" s="1430"/>
      <c r="E558" s="1441"/>
      <c r="F558" s="270"/>
      <c r="G558" s="270"/>
      <c r="H558" s="30"/>
      <c r="I558" s="30"/>
      <c r="J558" s="30"/>
      <c r="K558" s="30"/>
      <c r="L558" s="1432"/>
    </row>
    <row r="559" ht="38.25" customHeight="1">
      <c r="A559" s="1433"/>
      <c r="B559" s="1434"/>
      <c r="C559" s="1435"/>
      <c r="D559" s="1436"/>
      <c r="E559" s="1440"/>
      <c r="F559" s="269"/>
      <c r="G559" s="269"/>
      <c r="H559" s="28"/>
      <c r="I559" s="28"/>
      <c r="J559" s="28"/>
      <c r="K559" s="28"/>
      <c r="L559" s="1438"/>
    </row>
    <row r="560" ht="38.25" customHeight="1">
      <c r="A560" s="1427"/>
      <c r="B560" s="1428"/>
      <c r="C560" s="1429"/>
      <c r="D560" s="1430"/>
      <c r="E560" s="1441"/>
      <c r="F560" s="270"/>
      <c r="G560" s="270"/>
      <c r="H560" s="30"/>
      <c r="I560" s="30"/>
      <c r="J560" s="30"/>
      <c r="K560" s="30"/>
      <c r="L560" s="1432"/>
    </row>
    <row r="561" ht="38.25" customHeight="1">
      <c r="A561" s="1433"/>
      <c r="B561" s="1434"/>
      <c r="C561" s="1435"/>
      <c r="D561" s="1436"/>
      <c r="E561" s="1440"/>
      <c r="F561" s="269"/>
      <c r="G561" s="269"/>
      <c r="H561" s="28"/>
      <c r="I561" s="28"/>
      <c r="J561" s="28"/>
      <c r="K561" s="28"/>
      <c r="L561" s="1438"/>
    </row>
    <row r="562" ht="38.25" customHeight="1">
      <c r="A562" s="1427"/>
      <c r="B562" s="1428"/>
      <c r="C562" s="1429"/>
      <c r="D562" s="1430"/>
      <c r="E562" s="1441"/>
      <c r="F562" s="270"/>
      <c r="G562" s="270"/>
      <c r="H562" s="30"/>
      <c r="I562" s="30"/>
      <c r="J562" s="30"/>
      <c r="K562" s="30"/>
      <c r="L562" s="1432"/>
    </row>
    <row r="563" ht="38.25" customHeight="1">
      <c r="A563" s="1433"/>
      <c r="B563" s="1434"/>
      <c r="C563" s="1435"/>
      <c r="D563" s="1436"/>
      <c r="E563" s="1440"/>
      <c r="F563" s="269"/>
      <c r="G563" s="269"/>
      <c r="H563" s="28"/>
      <c r="I563" s="28"/>
      <c r="J563" s="28"/>
      <c r="K563" s="28"/>
      <c r="L563" s="1438"/>
    </row>
    <row r="564" ht="38.25" customHeight="1">
      <c r="A564" s="1427"/>
      <c r="B564" s="1428"/>
      <c r="C564" s="1429"/>
      <c r="D564" s="1430"/>
      <c r="E564" s="1441"/>
      <c r="F564" s="270"/>
      <c r="G564" s="270"/>
      <c r="H564" s="30"/>
      <c r="I564" s="30"/>
      <c r="J564" s="30"/>
      <c r="K564" s="30"/>
      <c r="L564" s="1432"/>
    </row>
    <row r="565" ht="38.25" customHeight="1">
      <c r="A565" s="1433"/>
      <c r="B565" s="1434"/>
      <c r="C565" s="1435"/>
      <c r="D565" s="1436"/>
      <c r="E565" s="1440"/>
      <c r="F565" s="269"/>
      <c r="G565" s="269"/>
      <c r="H565" s="28"/>
      <c r="I565" s="28"/>
      <c r="J565" s="28"/>
      <c r="K565" s="28"/>
      <c r="L565" s="1438"/>
    </row>
    <row r="566" ht="38.25" customHeight="1">
      <c r="A566" s="1427"/>
      <c r="B566" s="1428"/>
      <c r="C566" s="1429"/>
      <c r="D566" s="1430"/>
      <c r="E566" s="1441"/>
      <c r="F566" s="270"/>
      <c r="G566" s="270"/>
      <c r="H566" s="30"/>
      <c r="I566" s="30"/>
      <c r="J566" s="30"/>
      <c r="K566" s="30"/>
      <c r="L566" s="1432"/>
    </row>
    <row r="567" ht="38.25" customHeight="1">
      <c r="A567" s="1433"/>
      <c r="B567" s="1434"/>
      <c r="C567" s="1435"/>
      <c r="D567" s="1436"/>
      <c r="E567" s="1440"/>
      <c r="F567" s="269"/>
      <c r="G567" s="269"/>
      <c r="H567" s="28"/>
      <c r="I567" s="28"/>
      <c r="J567" s="28"/>
      <c r="K567" s="28"/>
      <c r="L567" s="1438"/>
    </row>
    <row r="568" ht="38.25" customHeight="1">
      <c r="A568" s="1427"/>
      <c r="B568" s="1428"/>
      <c r="C568" s="1429"/>
      <c r="D568" s="1430"/>
      <c r="E568" s="1441"/>
      <c r="F568" s="270"/>
      <c r="G568" s="270"/>
      <c r="H568" s="30"/>
      <c r="I568" s="30"/>
      <c r="J568" s="30"/>
      <c r="K568" s="30"/>
      <c r="L568" s="1432"/>
    </row>
    <row r="569" ht="38.25" customHeight="1">
      <c r="A569" s="1433"/>
      <c r="B569" s="1434"/>
      <c r="C569" s="1435"/>
      <c r="D569" s="1436"/>
      <c r="E569" s="1440"/>
      <c r="F569" s="269"/>
      <c r="G569" s="269"/>
      <c r="H569" s="28"/>
      <c r="I569" s="28"/>
      <c r="J569" s="28"/>
      <c r="K569" s="28"/>
      <c r="L569" s="1438"/>
    </row>
    <row r="570" ht="38.25" customHeight="1">
      <c r="A570" s="1427"/>
      <c r="B570" s="1428"/>
      <c r="C570" s="1429"/>
      <c r="D570" s="1430"/>
      <c r="E570" s="1441"/>
      <c r="F570" s="270"/>
      <c r="G570" s="270"/>
      <c r="H570" s="30"/>
      <c r="I570" s="30"/>
      <c r="J570" s="30"/>
      <c r="K570" s="30"/>
      <c r="L570" s="1432"/>
    </row>
    <row r="571" ht="38.25" customHeight="1">
      <c r="A571" s="1433"/>
      <c r="B571" s="1434"/>
      <c r="C571" s="1435"/>
      <c r="D571" s="1436"/>
      <c r="E571" s="1440"/>
      <c r="F571" s="269"/>
      <c r="G571" s="269"/>
      <c r="H571" s="28"/>
      <c r="I571" s="28"/>
      <c r="J571" s="28"/>
      <c r="K571" s="28"/>
      <c r="L571" s="1438"/>
    </row>
    <row r="572" ht="38.25" customHeight="1">
      <c r="A572" s="1427"/>
      <c r="B572" s="1428"/>
      <c r="C572" s="1429"/>
      <c r="D572" s="1430"/>
      <c r="E572" s="1441"/>
      <c r="F572" s="270"/>
      <c r="G572" s="270"/>
      <c r="H572" s="30"/>
      <c r="I572" s="30"/>
      <c r="J572" s="30"/>
      <c r="K572" s="30"/>
      <c r="L572" s="1432"/>
    </row>
    <row r="573" ht="38.25" customHeight="1">
      <c r="A573" s="1433"/>
      <c r="B573" s="1434"/>
      <c r="C573" s="1435"/>
      <c r="D573" s="1436"/>
      <c r="E573" s="1440"/>
      <c r="F573" s="269"/>
      <c r="G573" s="269"/>
      <c r="H573" s="28"/>
      <c r="I573" s="28"/>
      <c r="J573" s="28"/>
      <c r="K573" s="28"/>
      <c r="L573" s="1438"/>
    </row>
    <row r="574" ht="38.25" customHeight="1">
      <c r="A574" s="1427"/>
      <c r="B574" s="1428"/>
      <c r="C574" s="1429"/>
      <c r="D574" s="1430"/>
      <c r="E574" s="1441"/>
      <c r="F574" s="270"/>
      <c r="G574" s="270"/>
      <c r="H574" s="30"/>
      <c r="I574" s="30"/>
      <c r="J574" s="30"/>
      <c r="K574" s="30"/>
      <c r="L574" s="1432"/>
    </row>
    <row r="575" ht="38.25" customHeight="1">
      <c r="A575" s="1433"/>
      <c r="B575" s="1434"/>
      <c r="C575" s="1435"/>
      <c r="D575" s="1436"/>
      <c r="E575" s="1440"/>
      <c r="F575" s="269"/>
      <c r="G575" s="269"/>
      <c r="H575" s="28"/>
      <c r="I575" s="28"/>
      <c r="J575" s="28"/>
      <c r="K575" s="28"/>
      <c r="L575" s="1438"/>
    </row>
    <row r="576" ht="38.25" customHeight="1">
      <c r="A576" s="1427"/>
      <c r="B576" s="1428"/>
      <c r="C576" s="1429"/>
      <c r="D576" s="1430"/>
      <c r="E576" s="1441"/>
      <c r="F576" s="270"/>
      <c r="G576" s="270"/>
      <c r="H576" s="30"/>
      <c r="I576" s="30"/>
      <c r="J576" s="30"/>
      <c r="K576" s="30"/>
      <c r="L576" s="1432"/>
    </row>
    <row r="577" ht="38.25" customHeight="1">
      <c r="A577" s="1433"/>
      <c r="B577" s="1434"/>
      <c r="C577" s="1435"/>
      <c r="D577" s="1436"/>
      <c r="E577" s="1440"/>
      <c r="F577" s="269"/>
      <c r="G577" s="269"/>
      <c r="H577" s="28"/>
      <c r="I577" s="28"/>
      <c r="J577" s="28"/>
      <c r="K577" s="28"/>
      <c r="L577" s="1438"/>
    </row>
    <row r="578" ht="38.25" customHeight="1">
      <c r="A578" s="1427"/>
      <c r="B578" s="1428"/>
      <c r="C578" s="1429"/>
      <c r="D578" s="1430"/>
      <c r="E578" s="1441"/>
      <c r="F578" s="270"/>
      <c r="G578" s="270"/>
      <c r="H578" s="30"/>
      <c r="I578" s="30"/>
      <c r="J578" s="30"/>
      <c r="K578" s="30"/>
      <c r="L578" s="1432"/>
    </row>
    <row r="579" ht="38.25" customHeight="1">
      <c r="A579" s="1433"/>
      <c r="B579" s="1434"/>
      <c r="C579" s="1435"/>
      <c r="D579" s="1436"/>
      <c r="E579" s="1440"/>
      <c r="F579" s="269"/>
      <c r="G579" s="269"/>
      <c r="H579" s="28"/>
      <c r="I579" s="28"/>
      <c r="J579" s="28"/>
      <c r="K579" s="28"/>
      <c r="L579" s="1438"/>
    </row>
    <row r="580" ht="38.25" customHeight="1">
      <c r="A580" s="1427"/>
      <c r="B580" s="1428"/>
      <c r="C580" s="1429"/>
      <c r="D580" s="1430"/>
      <c r="E580" s="1441"/>
      <c r="F580" s="270"/>
      <c r="G580" s="270"/>
      <c r="H580" s="30"/>
      <c r="I580" s="30"/>
      <c r="J580" s="30"/>
      <c r="K580" s="30"/>
      <c r="L580" s="1432"/>
    </row>
    <row r="581" ht="38.25" customHeight="1">
      <c r="A581" s="1433"/>
      <c r="B581" s="1434"/>
      <c r="C581" s="1435"/>
      <c r="D581" s="1436"/>
      <c r="E581" s="1440"/>
      <c r="F581" s="269"/>
      <c r="G581" s="269"/>
      <c r="H581" s="28"/>
      <c r="I581" s="28"/>
      <c r="J581" s="28"/>
      <c r="K581" s="28"/>
      <c r="L581" s="1438"/>
    </row>
    <row r="582" ht="38.25" customHeight="1">
      <c r="A582" s="1427"/>
      <c r="B582" s="1428"/>
      <c r="C582" s="1429"/>
      <c r="D582" s="1430"/>
      <c r="E582" s="1441"/>
      <c r="F582" s="270"/>
      <c r="G582" s="270"/>
      <c r="H582" s="30"/>
      <c r="I582" s="30"/>
      <c r="J582" s="30"/>
      <c r="K582" s="30"/>
      <c r="L582" s="1432"/>
    </row>
    <row r="583" ht="38.25" customHeight="1">
      <c r="A583" s="1433"/>
      <c r="B583" s="1434"/>
      <c r="C583" s="1435"/>
      <c r="D583" s="1436"/>
      <c r="E583" s="1440"/>
      <c r="F583" s="269"/>
      <c r="G583" s="269"/>
      <c r="H583" s="28"/>
      <c r="I583" s="28"/>
      <c r="J583" s="28"/>
      <c r="K583" s="28"/>
      <c r="L583" s="1438"/>
    </row>
    <row r="584" ht="38.25" customHeight="1">
      <c r="A584" s="1427"/>
      <c r="B584" s="1428"/>
      <c r="C584" s="1429"/>
      <c r="D584" s="1430"/>
      <c r="E584" s="1441"/>
      <c r="F584" s="270"/>
      <c r="G584" s="270"/>
      <c r="H584" s="30"/>
      <c r="I584" s="30"/>
      <c r="J584" s="30"/>
      <c r="K584" s="30"/>
      <c r="L584" s="1432"/>
    </row>
    <row r="585" ht="38.25" customHeight="1">
      <c r="A585" s="1433"/>
      <c r="B585" s="1434"/>
      <c r="C585" s="1435"/>
      <c r="D585" s="1436"/>
      <c r="E585" s="1440"/>
      <c r="F585" s="269"/>
      <c r="G585" s="269"/>
      <c r="H585" s="28"/>
      <c r="I585" s="28"/>
      <c r="J585" s="28"/>
      <c r="K585" s="28"/>
      <c r="L585" s="1438"/>
    </row>
    <row r="586" ht="38.25" customHeight="1">
      <c r="A586" s="1427"/>
      <c r="B586" s="1428"/>
      <c r="C586" s="1429"/>
      <c r="D586" s="1430"/>
      <c r="E586" s="1441"/>
      <c r="F586" s="270"/>
      <c r="G586" s="270"/>
      <c r="H586" s="30"/>
      <c r="I586" s="30"/>
      <c r="J586" s="30"/>
      <c r="K586" s="30"/>
      <c r="L586" s="1432"/>
    </row>
    <row r="587" ht="38.25" customHeight="1">
      <c r="A587" s="1433"/>
      <c r="B587" s="1434"/>
      <c r="C587" s="1435"/>
      <c r="D587" s="1436"/>
      <c r="E587" s="1440"/>
      <c r="F587" s="269"/>
      <c r="G587" s="269"/>
      <c r="H587" s="28"/>
      <c r="I587" s="28"/>
      <c r="J587" s="28"/>
      <c r="K587" s="28"/>
      <c r="L587" s="1438"/>
    </row>
    <row r="588" ht="38.25" customHeight="1">
      <c r="A588" s="1427"/>
      <c r="B588" s="1428"/>
      <c r="C588" s="1429"/>
      <c r="D588" s="1430"/>
      <c r="E588" s="1441"/>
      <c r="F588" s="270"/>
      <c r="G588" s="270"/>
      <c r="H588" s="30"/>
      <c r="I588" s="30"/>
      <c r="J588" s="30"/>
      <c r="K588" s="30"/>
      <c r="L588" s="1432"/>
    </row>
    <row r="589" ht="38.25" customHeight="1">
      <c r="A589" s="1433"/>
      <c r="B589" s="1434"/>
      <c r="C589" s="1435"/>
      <c r="D589" s="1436"/>
      <c r="E589" s="1440"/>
      <c r="F589" s="269"/>
      <c r="G589" s="269"/>
      <c r="H589" s="28"/>
      <c r="I589" s="28"/>
      <c r="J589" s="28"/>
      <c r="K589" s="28"/>
      <c r="L589" s="1438"/>
    </row>
    <row r="590" ht="38.25" customHeight="1">
      <c r="A590" s="1427"/>
      <c r="B590" s="1428"/>
      <c r="C590" s="1429"/>
      <c r="D590" s="1430"/>
      <c r="E590" s="1441"/>
      <c r="F590" s="270"/>
      <c r="G590" s="270"/>
      <c r="H590" s="30"/>
      <c r="I590" s="30"/>
      <c r="J590" s="30"/>
      <c r="K590" s="30"/>
      <c r="L590" s="1432"/>
    </row>
    <row r="591" ht="38.25" customHeight="1">
      <c r="A591" s="1433"/>
      <c r="B591" s="1434"/>
      <c r="C591" s="1435"/>
      <c r="D591" s="1436"/>
      <c r="E591" s="1440"/>
      <c r="F591" s="269"/>
      <c r="G591" s="269"/>
      <c r="H591" s="28"/>
      <c r="I591" s="28"/>
      <c r="J591" s="28"/>
      <c r="K591" s="28"/>
      <c r="L591" s="1438"/>
    </row>
    <row r="592" ht="38.25" customHeight="1">
      <c r="A592" s="1427"/>
      <c r="B592" s="1428"/>
      <c r="C592" s="1429"/>
      <c r="D592" s="1430"/>
      <c r="E592" s="1441"/>
      <c r="F592" s="270"/>
      <c r="G592" s="270"/>
      <c r="H592" s="30"/>
      <c r="I592" s="30"/>
      <c r="J592" s="30"/>
      <c r="K592" s="30"/>
      <c r="L592" s="1432"/>
    </row>
    <row r="593" ht="38.25" customHeight="1">
      <c r="A593" s="1433"/>
      <c r="B593" s="1434"/>
      <c r="C593" s="1435"/>
      <c r="D593" s="1436"/>
      <c r="E593" s="1440"/>
      <c r="F593" s="269"/>
      <c r="G593" s="269"/>
      <c r="H593" s="28"/>
      <c r="I593" s="28"/>
      <c r="J593" s="28"/>
      <c r="K593" s="28"/>
      <c r="L593" s="1438"/>
    </row>
    <row r="594" ht="38.25" customHeight="1">
      <c r="A594" s="1427"/>
      <c r="B594" s="1428"/>
      <c r="C594" s="1429"/>
      <c r="D594" s="1430"/>
      <c r="E594" s="1441"/>
      <c r="F594" s="270"/>
      <c r="G594" s="270"/>
      <c r="H594" s="30"/>
      <c r="I594" s="30"/>
      <c r="J594" s="30"/>
      <c r="K594" s="30"/>
      <c r="L594" s="1432"/>
    </row>
    <row r="595" ht="38.25" customHeight="1">
      <c r="A595" s="1433"/>
      <c r="B595" s="1434"/>
      <c r="C595" s="1435"/>
      <c r="D595" s="1436"/>
      <c r="E595" s="1440"/>
      <c r="F595" s="269"/>
      <c r="G595" s="269"/>
      <c r="H595" s="28"/>
      <c r="I595" s="28"/>
      <c r="J595" s="28"/>
      <c r="K595" s="28"/>
      <c r="L595" s="1438"/>
    </row>
    <row r="596" ht="38.25" customHeight="1">
      <c r="A596" s="1427"/>
      <c r="B596" s="1428"/>
      <c r="C596" s="1429"/>
      <c r="D596" s="1430"/>
      <c r="E596" s="1441"/>
      <c r="F596" s="270"/>
      <c r="G596" s="270"/>
      <c r="H596" s="30"/>
      <c r="I596" s="30"/>
      <c r="J596" s="30"/>
      <c r="K596" s="30"/>
      <c r="L596" s="1432"/>
    </row>
    <row r="597" ht="38.25" customHeight="1">
      <c r="A597" s="1433"/>
      <c r="B597" s="1434"/>
      <c r="C597" s="1435"/>
      <c r="D597" s="1436"/>
      <c r="E597" s="1440"/>
      <c r="F597" s="269"/>
      <c r="G597" s="269"/>
      <c r="H597" s="28"/>
      <c r="I597" s="28"/>
      <c r="J597" s="28"/>
      <c r="K597" s="28"/>
      <c r="L597" s="1438"/>
    </row>
    <row r="598" ht="38.25" customHeight="1">
      <c r="A598" s="1427"/>
      <c r="B598" s="1428"/>
      <c r="C598" s="1429"/>
      <c r="D598" s="1430"/>
      <c r="E598" s="1441"/>
      <c r="F598" s="270"/>
      <c r="G598" s="270"/>
      <c r="H598" s="30"/>
      <c r="I598" s="30"/>
      <c r="J598" s="30"/>
      <c r="K598" s="30"/>
      <c r="L598" s="1432"/>
    </row>
    <row r="599" ht="38.25" customHeight="1">
      <c r="A599" s="1433"/>
      <c r="B599" s="1434"/>
      <c r="C599" s="1435"/>
      <c r="D599" s="1436"/>
      <c r="E599" s="1440"/>
      <c r="F599" s="269"/>
      <c r="G599" s="269"/>
      <c r="H599" s="28"/>
      <c r="I599" s="28"/>
      <c r="J599" s="28"/>
      <c r="K599" s="28"/>
      <c r="L599" s="1438"/>
    </row>
    <row r="600" ht="38.25" customHeight="1">
      <c r="A600" s="1427"/>
      <c r="B600" s="1428"/>
      <c r="C600" s="1429"/>
      <c r="D600" s="1430"/>
      <c r="E600" s="1441"/>
      <c r="F600" s="270"/>
      <c r="G600" s="270"/>
      <c r="H600" s="30"/>
      <c r="I600" s="30"/>
      <c r="J600" s="30"/>
      <c r="K600" s="30"/>
      <c r="L600" s="1432"/>
    </row>
    <row r="601" ht="38.25" customHeight="1">
      <c r="A601" s="1433"/>
      <c r="B601" s="1434"/>
      <c r="C601" s="1435"/>
      <c r="D601" s="1436"/>
      <c r="E601" s="1440"/>
      <c r="F601" s="269"/>
      <c r="G601" s="269"/>
      <c r="H601" s="28"/>
      <c r="I601" s="28"/>
      <c r="J601" s="28"/>
      <c r="K601" s="28"/>
      <c r="L601" s="1438"/>
    </row>
    <row r="602" ht="38.25" customHeight="1">
      <c r="A602" s="1427"/>
      <c r="B602" s="1428"/>
      <c r="C602" s="1429"/>
      <c r="D602" s="1430"/>
      <c r="E602" s="1441"/>
      <c r="F602" s="270"/>
      <c r="G602" s="270"/>
      <c r="H602" s="30"/>
      <c r="I602" s="30"/>
      <c r="J602" s="30"/>
      <c r="K602" s="30"/>
      <c r="L602" s="1432"/>
    </row>
    <row r="603" ht="38.25" customHeight="1">
      <c r="A603" s="1433"/>
      <c r="B603" s="1434"/>
      <c r="C603" s="1435"/>
      <c r="D603" s="1436"/>
      <c r="E603" s="1440"/>
      <c r="F603" s="269"/>
      <c r="G603" s="269"/>
      <c r="H603" s="28"/>
      <c r="I603" s="28"/>
      <c r="J603" s="28"/>
      <c r="K603" s="28"/>
      <c r="L603" s="1438"/>
    </row>
    <row r="604" ht="38.25" customHeight="1">
      <c r="A604" s="1427"/>
      <c r="B604" s="1428"/>
      <c r="C604" s="1429"/>
      <c r="D604" s="1430"/>
      <c r="E604" s="1441"/>
      <c r="F604" s="270"/>
      <c r="G604" s="270"/>
      <c r="H604" s="30"/>
      <c r="I604" s="30"/>
      <c r="J604" s="30"/>
      <c r="K604" s="30"/>
      <c r="L604" s="1432"/>
    </row>
    <row r="605" ht="38.25" customHeight="1">
      <c r="A605" s="1433"/>
      <c r="B605" s="1434"/>
      <c r="C605" s="1435"/>
      <c r="D605" s="1436"/>
      <c r="E605" s="1440"/>
      <c r="F605" s="269"/>
      <c r="G605" s="269"/>
      <c r="H605" s="28"/>
      <c r="I605" s="28"/>
      <c r="J605" s="28"/>
      <c r="K605" s="28"/>
      <c r="L605" s="1438"/>
    </row>
    <row r="606" ht="38.25" customHeight="1">
      <c r="A606" s="1427"/>
      <c r="B606" s="1428"/>
      <c r="C606" s="1429"/>
      <c r="D606" s="1430"/>
      <c r="E606" s="1441"/>
      <c r="F606" s="270"/>
      <c r="G606" s="270"/>
      <c r="H606" s="30"/>
      <c r="I606" s="30"/>
      <c r="J606" s="30"/>
      <c r="K606" s="30"/>
      <c r="L606" s="1432"/>
    </row>
    <row r="607" ht="38.25" customHeight="1">
      <c r="A607" s="1433"/>
      <c r="B607" s="1434"/>
      <c r="C607" s="1435"/>
      <c r="D607" s="1436"/>
      <c r="E607" s="1440"/>
      <c r="F607" s="269"/>
      <c r="G607" s="269"/>
      <c r="H607" s="28"/>
      <c r="I607" s="28"/>
      <c r="J607" s="28"/>
      <c r="K607" s="28"/>
      <c r="L607" s="1438"/>
    </row>
    <row r="608" ht="38.25" customHeight="1">
      <c r="A608" s="1427"/>
      <c r="B608" s="1428"/>
      <c r="C608" s="1429"/>
      <c r="D608" s="1430"/>
      <c r="E608" s="1441"/>
      <c r="F608" s="270"/>
      <c r="G608" s="270"/>
      <c r="H608" s="30"/>
      <c r="I608" s="30"/>
      <c r="J608" s="30"/>
      <c r="K608" s="30"/>
      <c r="L608" s="1432"/>
    </row>
    <row r="609" ht="38.25" customHeight="1">
      <c r="A609" s="1433"/>
      <c r="B609" s="1434"/>
      <c r="C609" s="1435"/>
      <c r="D609" s="1436"/>
      <c r="E609" s="1440"/>
      <c r="F609" s="269"/>
      <c r="G609" s="269"/>
      <c r="H609" s="28"/>
      <c r="I609" s="28"/>
      <c r="J609" s="28"/>
      <c r="K609" s="28"/>
      <c r="L609" s="1438"/>
    </row>
    <row r="610" ht="38.25" customHeight="1">
      <c r="A610" s="1427"/>
      <c r="B610" s="1428"/>
      <c r="C610" s="1429"/>
      <c r="D610" s="1430"/>
      <c r="E610" s="1441"/>
      <c r="F610" s="270"/>
      <c r="G610" s="270"/>
      <c r="H610" s="30"/>
      <c r="I610" s="30"/>
      <c r="J610" s="30"/>
      <c r="K610" s="30"/>
      <c r="L610" s="1432"/>
    </row>
    <row r="611" ht="38.25" customHeight="1">
      <c r="A611" s="1433"/>
      <c r="B611" s="1434"/>
      <c r="C611" s="1435"/>
      <c r="D611" s="1436"/>
      <c r="E611" s="1440"/>
      <c r="F611" s="269"/>
      <c r="G611" s="269"/>
      <c r="H611" s="28"/>
      <c r="I611" s="28"/>
      <c r="J611" s="28"/>
      <c r="K611" s="28"/>
      <c r="L611" s="1438"/>
    </row>
    <row r="612" ht="38.25" customHeight="1">
      <c r="A612" s="1427"/>
      <c r="B612" s="1428"/>
      <c r="C612" s="1429"/>
      <c r="D612" s="1430"/>
      <c r="E612" s="1441"/>
      <c r="F612" s="270"/>
      <c r="G612" s="270"/>
      <c r="H612" s="30"/>
      <c r="I612" s="30"/>
      <c r="J612" s="30"/>
      <c r="K612" s="30"/>
      <c r="L612" s="1432"/>
    </row>
    <row r="613" ht="38.25" customHeight="1">
      <c r="A613" s="1433"/>
      <c r="B613" s="1434"/>
      <c r="C613" s="1435"/>
      <c r="D613" s="1436"/>
      <c r="E613" s="1440"/>
      <c r="F613" s="269"/>
      <c r="G613" s="269"/>
      <c r="H613" s="28"/>
      <c r="I613" s="28"/>
      <c r="J613" s="28"/>
      <c r="K613" s="28"/>
      <c r="L613" s="1438"/>
    </row>
    <row r="614" ht="38.25" customHeight="1">
      <c r="A614" s="1427"/>
      <c r="B614" s="1428"/>
      <c r="C614" s="1429"/>
      <c r="D614" s="1430"/>
      <c r="E614" s="1441"/>
      <c r="F614" s="270"/>
      <c r="G614" s="270"/>
      <c r="H614" s="30"/>
      <c r="I614" s="30"/>
      <c r="J614" s="30"/>
      <c r="K614" s="30"/>
      <c r="L614" s="1432"/>
    </row>
    <row r="615" ht="38.25" customHeight="1">
      <c r="A615" s="1433"/>
      <c r="B615" s="1434"/>
      <c r="C615" s="1435"/>
      <c r="D615" s="1436"/>
      <c r="E615" s="1440"/>
      <c r="F615" s="269"/>
      <c r="G615" s="269"/>
      <c r="H615" s="28"/>
      <c r="I615" s="28"/>
      <c r="J615" s="28"/>
      <c r="K615" s="28"/>
      <c r="L615" s="1438"/>
    </row>
    <row r="616" ht="38.25" customHeight="1">
      <c r="A616" s="1427"/>
      <c r="B616" s="1428"/>
      <c r="C616" s="1429"/>
      <c r="D616" s="1430"/>
      <c r="E616" s="1441"/>
      <c r="F616" s="270"/>
      <c r="G616" s="270"/>
      <c r="H616" s="30"/>
      <c r="I616" s="30"/>
      <c r="J616" s="30"/>
      <c r="K616" s="30"/>
      <c r="L616" s="1432"/>
    </row>
    <row r="617" ht="38.25" customHeight="1">
      <c r="A617" s="1433"/>
      <c r="B617" s="1434"/>
      <c r="C617" s="1435"/>
      <c r="D617" s="1436"/>
      <c r="E617" s="1440"/>
      <c r="F617" s="269"/>
      <c r="G617" s="269"/>
      <c r="H617" s="28"/>
      <c r="I617" s="28"/>
      <c r="J617" s="28"/>
      <c r="K617" s="28"/>
      <c r="L617" s="1438"/>
    </row>
    <row r="618" ht="38.25" customHeight="1">
      <c r="A618" s="1427"/>
      <c r="B618" s="1428"/>
      <c r="C618" s="1429"/>
      <c r="D618" s="1430"/>
      <c r="E618" s="1441"/>
      <c r="F618" s="270"/>
      <c r="G618" s="270"/>
      <c r="H618" s="30"/>
      <c r="I618" s="30"/>
      <c r="J618" s="30"/>
      <c r="K618" s="30"/>
      <c r="L618" s="1432"/>
    </row>
    <row r="619" ht="38.25" customHeight="1">
      <c r="A619" s="1433"/>
      <c r="B619" s="1434"/>
      <c r="C619" s="1435"/>
      <c r="D619" s="1436"/>
      <c r="E619" s="1440"/>
      <c r="F619" s="269"/>
      <c r="G619" s="269"/>
      <c r="H619" s="28"/>
      <c r="I619" s="28"/>
      <c r="J619" s="28"/>
      <c r="K619" s="28"/>
      <c r="L619" s="1438"/>
    </row>
    <row r="620" ht="38.25" customHeight="1">
      <c r="A620" s="1427"/>
      <c r="B620" s="1428"/>
      <c r="C620" s="1429"/>
      <c r="D620" s="1430"/>
      <c r="E620" s="1441"/>
      <c r="F620" s="270"/>
      <c r="G620" s="270"/>
      <c r="H620" s="30"/>
      <c r="I620" s="30"/>
      <c r="J620" s="30"/>
      <c r="K620" s="30"/>
      <c r="L620" s="1432"/>
    </row>
    <row r="621" ht="38.25" customHeight="1">
      <c r="A621" s="1433"/>
      <c r="B621" s="1434"/>
      <c r="C621" s="1435"/>
      <c r="D621" s="1436"/>
      <c r="E621" s="1440"/>
      <c r="F621" s="269"/>
      <c r="G621" s="269"/>
      <c r="H621" s="28"/>
      <c r="I621" s="28"/>
      <c r="J621" s="28"/>
      <c r="K621" s="28"/>
      <c r="L621" s="1438"/>
    </row>
    <row r="622" ht="38.25" customHeight="1">
      <c r="A622" s="1427"/>
      <c r="B622" s="1428"/>
      <c r="C622" s="1429"/>
      <c r="D622" s="1430"/>
      <c r="E622" s="1441"/>
      <c r="F622" s="270"/>
      <c r="G622" s="270"/>
      <c r="H622" s="30"/>
      <c r="I622" s="30"/>
      <c r="J622" s="30"/>
      <c r="K622" s="30"/>
      <c r="L622" s="1432"/>
    </row>
    <row r="623" ht="38.25" customHeight="1">
      <c r="A623" s="1433"/>
      <c r="B623" s="1434"/>
      <c r="C623" s="1435"/>
      <c r="D623" s="1436"/>
      <c r="E623" s="1440"/>
      <c r="F623" s="269"/>
      <c r="G623" s="269"/>
      <c r="H623" s="28"/>
      <c r="I623" s="28"/>
      <c r="J623" s="28"/>
      <c r="K623" s="28"/>
      <c r="L623" s="1438"/>
    </row>
    <row r="624" ht="38.25" customHeight="1">
      <c r="A624" s="1427"/>
      <c r="B624" s="1428"/>
      <c r="C624" s="1429"/>
      <c r="D624" s="1430"/>
      <c r="E624" s="1441"/>
      <c r="F624" s="270"/>
      <c r="G624" s="270"/>
      <c r="H624" s="30"/>
      <c r="I624" s="30"/>
      <c r="J624" s="30"/>
      <c r="K624" s="30"/>
      <c r="L624" s="1432"/>
    </row>
    <row r="625" ht="38.25" customHeight="1">
      <c r="A625" s="1433"/>
      <c r="B625" s="1434"/>
      <c r="C625" s="1435"/>
      <c r="D625" s="1436"/>
      <c r="E625" s="1440"/>
      <c r="F625" s="269"/>
      <c r="G625" s="269"/>
      <c r="H625" s="28"/>
      <c r="I625" s="28"/>
      <c r="J625" s="28"/>
      <c r="K625" s="28"/>
      <c r="L625" s="1438"/>
    </row>
    <row r="626" ht="38.25" customHeight="1">
      <c r="A626" s="1427"/>
      <c r="B626" s="1428"/>
      <c r="C626" s="1429"/>
      <c r="D626" s="1430"/>
      <c r="E626" s="1441"/>
      <c r="F626" s="270"/>
      <c r="G626" s="270"/>
      <c r="H626" s="30"/>
      <c r="I626" s="30"/>
      <c r="J626" s="30"/>
      <c r="K626" s="30"/>
      <c r="L626" s="1432"/>
    </row>
    <row r="627" ht="38.25" customHeight="1">
      <c r="A627" s="1433"/>
      <c r="B627" s="1434"/>
      <c r="C627" s="1435"/>
      <c r="D627" s="1436"/>
      <c r="E627" s="1440"/>
      <c r="F627" s="269"/>
      <c r="G627" s="269"/>
      <c r="H627" s="28"/>
      <c r="I627" s="28"/>
      <c r="J627" s="28"/>
      <c r="K627" s="28"/>
      <c r="L627" s="1438"/>
    </row>
    <row r="628" ht="38.25" customHeight="1">
      <c r="A628" s="1427"/>
      <c r="B628" s="1428"/>
      <c r="C628" s="1429"/>
      <c r="D628" s="1430"/>
      <c r="E628" s="1441"/>
      <c r="F628" s="270"/>
      <c r="G628" s="270"/>
      <c r="H628" s="30"/>
      <c r="I628" s="30"/>
      <c r="J628" s="30"/>
      <c r="K628" s="30"/>
      <c r="L628" s="1432"/>
    </row>
    <row r="629" ht="38.25" customHeight="1">
      <c r="A629" s="1433"/>
      <c r="B629" s="1434"/>
      <c r="C629" s="1435"/>
      <c r="D629" s="1436"/>
      <c r="E629" s="1440"/>
      <c r="F629" s="269"/>
      <c r="G629" s="269"/>
      <c r="H629" s="28"/>
      <c r="I629" s="28"/>
      <c r="J629" s="28"/>
      <c r="K629" s="28"/>
      <c r="L629" s="1438"/>
    </row>
    <row r="630" ht="38.25" customHeight="1">
      <c r="A630" s="1427"/>
      <c r="B630" s="1428"/>
      <c r="C630" s="1429"/>
      <c r="D630" s="1430"/>
      <c r="E630" s="1441"/>
      <c r="F630" s="270"/>
      <c r="G630" s="270"/>
      <c r="H630" s="30"/>
      <c r="I630" s="30"/>
      <c r="J630" s="30"/>
      <c r="K630" s="30"/>
      <c r="L630" s="1432"/>
    </row>
    <row r="631" ht="38.25" customHeight="1">
      <c r="A631" s="1433"/>
      <c r="B631" s="1434"/>
      <c r="C631" s="1435"/>
      <c r="D631" s="1436"/>
      <c r="E631" s="1440"/>
      <c r="F631" s="269"/>
      <c r="G631" s="269"/>
      <c r="H631" s="28"/>
      <c r="I631" s="28"/>
      <c r="J631" s="28"/>
      <c r="K631" s="28"/>
      <c r="L631" s="1438"/>
    </row>
    <row r="632" ht="38.25" customHeight="1">
      <c r="A632" s="1427"/>
      <c r="B632" s="1428"/>
      <c r="C632" s="1429"/>
      <c r="D632" s="1430"/>
      <c r="E632" s="1441"/>
      <c r="F632" s="270"/>
      <c r="G632" s="270"/>
      <c r="H632" s="30"/>
      <c r="I632" s="30"/>
      <c r="J632" s="30"/>
      <c r="K632" s="30"/>
      <c r="L632" s="1432"/>
    </row>
    <row r="633" ht="38.25" customHeight="1">
      <c r="A633" s="1433"/>
      <c r="B633" s="1434"/>
      <c r="C633" s="1435"/>
      <c r="D633" s="1436"/>
      <c r="E633" s="1440"/>
      <c r="F633" s="269"/>
      <c r="G633" s="269"/>
      <c r="H633" s="28"/>
      <c r="I633" s="28"/>
      <c r="J633" s="28"/>
      <c r="K633" s="28"/>
      <c r="L633" s="1438"/>
    </row>
    <row r="634" ht="38.25" customHeight="1">
      <c r="A634" s="1427"/>
      <c r="B634" s="1428"/>
      <c r="C634" s="1429"/>
      <c r="D634" s="1430"/>
      <c r="E634" s="1441"/>
      <c r="F634" s="270"/>
      <c r="G634" s="270"/>
      <c r="H634" s="30"/>
      <c r="I634" s="30"/>
      <c r="J634" s="30"/>
      <c r="K634" s="30"/>
      <c r="L634" s="1432"/>
    </row>
    <row r="635" ht="38.25" customHeight="1">
      <c r="A635" s="1433"/>
      <c r="B635" s="1434"/>
      <c r="C635" s="1435"/>
      <c r="D635" s="1436"/>
      <c r="E635" s="1440"/>
      <c r="F635" s="269"/>
      <c r="G635" s="269"/>
      <c r="H635" s="28"/>
      <c r="I635" s="28"/>
      <c r="J635" s="28"/>
      <c r="K635" s="28"/>
      <c r="L635" s="1438"/>
    </row>
    <row r="636" ht="38.25" customHeight="1">
      <c r="A636" s="1427"/>
      <c r="B636" s="1428"/>
      <c r="C636" s="1429"/>
      <c r="D636" s="1430"/>
      <c r="E636" s="1441"/>
      <c r="F636" s="270"/>
      <c r="G636" s="270"/>
      <c r="H636" s="30"/>
      <c r="I636" s="30"/>
      <c r="J636" s="30"/>
      <c r="K636" s="30"/>
      <c r="L636" s="1432"/>
    </row>
    <row r="637" ht="38.25" customHeight="1">
      <c r="A637" s="1433"/>
      <c r="B637" s="1434"/>
      <c r="C637" s="1435"/>
      <c r="D637" s="1436"/>
      <c r="E637" s="1440"/>
      <c r="F637" s="269"/>
      <c r="G637" s="269"/>
      <c r="H637" s="28"/>
      <c r="I637" s="28"/>
      <c r="J637" s="28"/>
      <c r="K637" s="28"/>
      <c r="L637" s="1438"/>
    </row>
    <row r="638" ht="38.25" customHeight="1">
      <c r="A638" s="1427"/>
      <c r="B638" s="1428"/>
      <c r="C638" s="1429"/>
      <c r="D638" s="1430"/>
      <c r="E638" s="1441"/>
      <c r="F638" s="270"/>
      <c r="G638" s="270"/>
      <c r="H638" s="30"/>
      <c r="I638" s="30"/>
      <c r="J638" s="30"/>
      <c r="K638" s="30"/>
      <c r="L638" s="1432"/>
    </row>
    <row r="639" ht="38.25" customHeight="1">
      <c r="A639" s="1433"/>
      <c r="B639" s="1434"/>
      <c r="C639" s="1435"/>
      <c r="D639" s="1436"/>
      <c r="E639" s="1440"/>
      <c r="F639" s="269"/>
      <c r="G639" s="269"/>
      <c r="H639" s="28"/>
      <c r="I639" s="28"/>
      <c r="J639" s="28"/>
      <c r="K639" s="28"/>
      <c r="L639" s="1438"/>
    </row>
    <row r="640" ht="38.25" customHeight="1">
      <c r="A640" s="1427"/>
      <c r="B640" s="1428"/>
      <c r="C640" s="1429"/>
      <c r="D640" s="1430"/>
      <c r="E640" s="1441"/>
      <c r="F640" s="270"/>
      <c r="G640" s="270"/>
      <c r="H640" s="30"/>
      <c r="I640" s="30"/>
      <c r="J640" s="30"/>
      <c r="K640" s="30"/>
      <c r="L640" s="1432"/>
    </row>
    <row r="641" ht="38.25" customHeight="1">
      <c r="A641" s="1433"/>
      <c r="B641" s="1434"/>
      <c r="C641" s="1435"/>
      <c r="D641" s="1436"/>
      <c r="E641" s="1440"/>
      <c r="F641" s="269"/>
      <c r="G641" s="269"/>
      <c r="H641" s="28"/>
      <c r="I641" s="28"/>
      <c r="J641" s="28"/>
      <c r="K641" s="28"/>
      <c r="L641" s="1438"/>
    </row>
    <row r="642" ht="38.25" customHeight="1">
      <c r="A642" s="1427"/>
      <c r="B642" s="1428"/>
      <c r="C642" s="1429"/>
      <c r="D642" s="1430"/>
      <c r="E642" s="1441"/>
      <c r="F642" s="270"/>
      <c r="G642" s="270"/>
      <c r="H642" s="30"/>
      <c r="I642" s="30"/>
      <c r="J642" s="30"/>
      <c r="K642" s="30"/>
      <c r="L642" s="1432"/>
    </row>
    <row r="643" ht="38.25" customHeight="1">
      <c r="A643" s="1433"/>
      <c r="B643" s="1434"/>
      <c r="C643" s="1435"/>
      <c r="D643" s="1436"/>
      <c r="E643" s="1440"/>
      <c r="F643" s="269"/>
      <c r="G643" s="269"/>
      <c r="H643" s="28"/>
      <c r="I643" s="28"/>
      <c r="J643" s="28"/>
      <c r="K643" s="28"/>
      <c r="L643" s="1438"/>
    </row>
    <row r="644" ht="38.25" customHeight="1">
      <c r="A644" s="1427"/>
      <c r="B644" s="1428"/>
      <c r="C644" s="1429"/>
      <c r="D644" s="1430"/>
      <c r="E644" s="1441"/>
      <c r="F644" s="270"/>
      <c r="G644" s="270"/>
      <c r="H644" s="30"/>
      <c r="I644" s="30"/>
      <c r="J644" s="30"/>
      <c r="K644" s="30"/>
      <c r="L644" s="1432"/>
    </row>
    <row r="645" ht="38.25" customHeight="1">
      <c r="A645" s="1433"/>
      <c r="B645" s="1434"/>
      <c r="C645" s="1435"/>
      <c r="D645" s="1436"/>
      <c r="E645" s="1440"/>
      <c r="F645" s="269"/>
      <c r="G645" s="269"/>
      <c r="H645" s="28"/>
      <c r="I645" s="28"/>
      <c r="J645" s="28"/>
      <c r="K645" s="28"/>
      <c r="L645" s="1438"/>
    </row>
    <row r="646" ht="38.25" customHeight="1">
      <c r="A646" s="1427"/>
      <c r="B646" s="1428"/>
      <c r="C646" s="1429"/>
      <c r="D646" s="1430"/>
      <c r="E646" s="1441"/>
      <c r="F646" s="270"/>
      <c r="G646" s="270"/>
      <c r="H646" s="30"/>
      <c r="I646" s="30"/>
      <c r="J646" s="30"/>
      <c r="K646" s="30"/>
      <c r="L646" s="1432"/>
    </row>
    <row r="647" ht="38.25" customHeight="1">
      <c r="A647" s="1433"/>
      <c r="B647" s="1434"/>
      <c r="C647" s="1435"/>
      <c r="D647" s="1436"/>
      <c r="E647" s="1440"/>
      <c r="F647" s="269"/>
      <c r="G647" s="269"/>
      <c r="H647" s="28"/>
      <c r="I647" s="28"/>
      <c r="J647" s="28"/>
      <c r="K647" s="28"/>
      <c r="L647" s="1438"/>
    </row>
    <row r="648" ht="38.25" customHeight="1">
      <c r="A648" s="1427"/>
      <c r="B648" s="1428"/>
      <c r="C648" s="1429"/>
      <c r="D648" s="1430"/>
      <c r="E648" s="1441"/>
      <c r="F648" s="270"/>
      <c r="G648" s="270"/>
      <c r="H648" s="30"/>
      <c r="I648" s="30"/>
      <c r="J648" s="30"/>
      <c r="K648" s="30"/>
      <c r="L648" s="1432"/>
    </row>
    <row r="649" ht="38.25" customHeight="1">
      <c r="A649" s="1433"/>
      <c r="B649" s="1434"/>
      <c r="C649" s="1435"/>
      <c r="D649" s="1436"/>
      <c r="E649" s="1440"/>
      <c r="F649" s="269"/>
      <c r="G649" s="269"/>
      <c r="H649" s="28"/>
      <c r="I649" s="28"/>
      <c r="J649" s="28"/>
      <c r="K649" s="28"/>
      <c r="L649" s="1438"/>
    </row>
    <row r="650" ht="38.25" customHeight="1">
      <c r="A650" s="1427"/>
      <c r="B650" s="1428"/>
      <c r="C650" s="1429"/>
      <c r="D650" s="1430"/>
      <c r="E650" s="1441"/>
      <c r="F650" s="270"/>
      <c r="G650" s="270"/>
      <c r="H650" s="30"/>
      <c r="I650" s="30"/>
      <c r="J650" s="30"/>
      <c r="K650" s="30"/>
      <c r="L650" s="1432"/>
    </row>
    <row r="651" ht="38.25" customHeight="1">
      <c r="A651" s="1433"/>
      <c r="B651" s="1434"/>
      <c r="C651" s="1435"/>
      <c r="D651" s="1436"/>
      <c r="E651" s="1440"/>
      <c r="F651" s="269"/>
      <c r="G651" s="269"/>
      <c r="H651" s="28"/>
      <c r="I651" s="28"/>
      <c r="J651" s="28"/>
      <c r="K651" s="28"/>
      <c r="L651" s="1438"/>
    </row>
    <row r="652" ht="38.25" customHeight="1">
      <c r="A652" s="1427"/>
      <c r="B652" s="1428"/>
      <c r="C652" s="1429"/>
      <c r="D652" s="1430"/>
      <c r="E652" s="1441"/>
      <c r="F652" s="270"/>
      <c r="G652" s="270"/>
      <c r="H652" s="30"/>
      <c r="I652" s="30"/>
      <c r="J652" s="30"/>
      <c r="K652" s="30"/>
      <c r="L652" s="1432"/>
    </row>
    <row r="653" ht="38.25" customHeight="1">
      <c r="A653" s="1433"/>
      <c r="B653" s="1434"/>
      <c r="C653" s="1435"/>
      <c r="D653" s="1436"/>
      <c r="E653" s="1440"/>
      <c r="F653" s="269"/>
      <c r="G653" s="269"/>
      <c r="H653" s="28"/>
      <c r="I653" s="28"/>
      <c r="J653" s="28"/>
      <c r="K653" s="28"/>
      <c r="L653" s="1438"/>
    </row>
    <row r="654" ht="38.25" customHeight="1">
      <c r="A654" s="1427"/>
      <c r="B654" s="1428"/>
      <c r="C654" s="1429"/>
      <c r="D654" s="1430"/>
      <c r="E654" s="1441"/>
      <c r="F654" s="270"/>
      <c r="G654" s="270"/>
      <c r="H654" s="30"/>
      <c r="I654" s="30"/>
      <c r="J654" s="30"/>
      <c r="K654" s="30"/>
      <c r="L654" s="1432"/>
    </row>
    <row r="655" ht="38.25" customHeight="1">
      <c r="A655" s="1433"/>
      <c r="B655" s="1434"/>
      <c r="C655" s="1435"/>
      <c r="D655" s="1436"/>
      <c r="E655" s="1440"/>
      <c r="F655" s="269"/>
      <c r="G655" s="269"/>
      <c r="H655" s="28"/>
      <c r="I655" s="28"/>
      <c r="J655" s="28"/>
      <c r="K655" s="28"/>
      <c r="L655" s="1438"/>
    </row>
    <row r="656" ht="38.25" customHeight="1">
      <c r="A656" s="1427"/>
      <c r="B656" s="1428"/>
      <c r="C656" s="1429"/>
      <c r="D656" s="1430"/>
      <c r="E656" s="1441"/>
      <c r="F656" s="270"/>
      <c r="G656" s="270"/>
      <c r="H656" s="30"/>
      <c r="I656" s="30"/>
      <c r="J656" s="30"/>
      <c r="K656" s="30"/>
      <c r="L656" s="1432"/>
    </row>
    <row r="657" ht="38.25" customHeight="1">
      <c r="A657" s="1433"/>
      <c r="B657" s="1434"/>
      <c r="C657" s="1435"/>
      <c r="D657" s="1436"/>
      <c r="E657" s="1440"/>
      <c r="F657" s="269"/>
      <c r="G657" s="269"/>
      <c r="H657" s="28"/>
      <c r="I657" s="28"/>
      <c r="J657" s="28"/>
      <c r="K657" s="28"/>
      <c r="L657" s="1438"/>
    </row>
    <row r="658" ht="38.25" customHeight="1">
      <c r="A658" s="1427"/>
      <c r="B658" s="1428"/>
      <c r="C658" s="1429"/>
      <c r="D658" s="1430"/>
      <c r="E658" s="1441"/>
      <c r="F658" s="270"/>
      <c r="G658" s="270"/>
      <c r="H658" s="30"/>
      <c r="I658" s="30"/>
      <c r="J658" s="30"/>
      <c r="K658" s="30"/>
      <c r="L658" s="1432"/>
    </row>
    <row r="659" ht="38.25" customHeight="1">
      <c r="A659" s="1433"/>
      <c r="B659" s="1434"/>
      <c r="C659" s="1435"/>
      <c r="D659" s="1436"/>
      <c r="E659" s="1440"/>
      <c r="F659" s="269"/>
      <c r="G659" s="269"/>
      <c r="H659" s="28"/>
      <c r="I659" s="28"/>
      <c r="J659" s="28"/>
      <c r="K659" s="28"/>
      <c r="L659" s="1438"/>
    </row>
    <row r="660" ht="38.25" customHeight="1">
      <c r="A660" s="1427"/>
      <c r="B660" s="1428"/>
      <c r="C660" s="1429"/>
      <c r="D660" s="1430"/>
      <c r="E660" s="1441"/>
      <c r="F660" s="270"/>
      <c r="G660" s="270"/>
      <c r="H660" s="30"/>
      <c r="I660" s="30"/>
      <c r="J660" s="30"/>
      <c r="K660" s="30"/>
      <c r="L660" s="1432"/>
    </row>
    <row r="661" ht="38.25" customHeight="1">
      <c r="A661" s="1433"/>
      <c r="B661" s="1434"/>
      <c r="C661" s="1435"/>
      <c r="D661" s="1436"/>
      <c r="E661" s="1440"/>
      <c r="F661" s="269"/>
      <c r="G661" s="269"/>
      <c r="H661" s="28"/>
      <c r="I661" s="28"/>
      <c r="J661" s="28"/>
      <c r="K661" s="28"/>
      <c r="L661" s="1438"/>
    </row>
    <row r="662" ht="38.25" customHeight="1">
      <c r="A662" s="1427"/>
      <c r="B662" s="1428"/>
      <c r="C662" s="1429"/>
      <c r="D662" s="1430"/>
      <c r="E662" s="1441"/>
      <c r="F662" s="270"/>
      <c r="G662" s="270"/>
      <c r="H662" s="30"/>
      <c r="I662" s="30"/>
      <c r="J662" s="30"/>
      <c r="K662" s="30"/>
      <c r="L662" s="1432"/>
    </row>
    <row r="663" ht="38.25" customHeight="1">
      <c r="A663" s="1433"/>
      <c r="B663" s="1434"/>
      <c r="C663" s="1435"/>
      <c r="D663" s="1436"/>
      <c r="E663" s="1440"/>
      <c r="F663" s="269"/>
      <c r="G663" s="269"/>
      <c r="H663" s="28"/>
      <c r="I663" s="28"/>
      <c r="J663" s="28"/>
      <c r="K663" s="28"/>
      <c r="L663" s="1438"/>
    </row>
    <row r="664" ht="38.25" customHeight="1">
      <c r="A664" s="1427"/>
      <c r="B664" s="1428"/>
      <c r="C664" s="1429"/>
      <c r="D664" s="1430"/>
      <c r="E664" s="1441"/>
      <c r="F664" s="270"/>
      <c r="G664" s="270"/>
      <c r="H664" s="30"/>
      <c r="I664" s="30"/>
      <c r="J664" s="30"/>
      <c r="K664" s="30"/>
      <c r="L664" s="1432"/>
    </row>
    <row r="665" ht="38.25" customHeight="1">
      <c r="A665" s="1433"/>
      <c r="B665" s="1434"/>
      <c r="C665" s="1435"/>
      <c r="D665" s="1436"/>
      <c r="E665" s="1440"/>
      <c r="F665" s="269"/>
      <c r="G665" s="269"/>
      <c r="H665" s="28"/>
      <c r="I665" s="28"/>
      <c r="J665" s="28"/>
      <c r="K665" s="28"/>
      <c r="L665" s="1438"/>
    </row>
    <row r="666" ht="38.25" customHeight="1">
      <c r="A666" s="1427"/>
      <c r="B666" s="1428"/>
      <c r="C666" s="1429"/>
      <c r="D666" s="1430"/>
      <c r="E666" s="1441"/>
      <c r="F666" s="270"/>
      <c r="G666" s="270"/>
      <c r="H666" s="30"/>
      <c r="I666" s="30"/>
      <c r="J666" s="30"/>
      <c r="K666" s="30"/>
      <c r="L666" s="1432"/>
    </row>
    <row r="667" ht="38.25" customHeight="1">
      <c r="A667" s="1433"/>
      <c r="B667" s="1434"/>
      <c r="C667" s="1435"/>
      <c r="D667" s="1436"/>
      <c r="E667" s="1440"/>
      <c r="F667" s="269"/>
      <c r="G667" s="269"/>
      <c r="H667" s="28"/>
      <c r="I667" s="28"/>
      <c r="J667" s="28"/>
      <c r="K667" s="28"/>
      <c r="L667" s="1438"/>
    </row>
    <row r="668" ht="38.25" customHeight="1">
      <c r="A668" s="1427"/>
      <c r="B668" s="1428"/>
      <c r="C668" s="1429"/>
      <c r="D668" s="1430"/>
      <c r="E668" s="1441"/>
      <c r="F668" s="270"/>
      <c r="G668" s="270"/>
      <c r="H668" s="30"/>
      <c r="I668" s="30"/>
      <c r="J668" s="30"/>
      <c r="K668" s="30"/>
      <c r="L668" s="1432"/>
    </row>
    <row r="669" ht="38.25" customHeight="1">
      <c r="A669" s="1433"/>
      <c r="B669" s="1434"/>
      <c r="C669" s="1435"/>
      <c r="D669" s="1436"/>
      <c r="E669" s="1440"/>
      <c r="F669" s="269"/>
      <c r="G669" s="269"/>
      <c r="H669" s="28"/>
      <c r="I669" s="28"/>
      <c r="J669" s="28"/>
      <c r="K669" s="28"/>
      <c r="L669" s="1438"/>
    </row>
    <row r="670" ht="38.25" customHeight="1">
      <c r="A670" s="1427"/>
      <c r="B670" s="1428"/>
      <c r="C670" s="1429"/>
      <c r="D670" s="1430"/>
      <c r="E670" s="1441"/>
      <c r="F670" s="270"/>
      <c r="G670" s="270"/>
      <c r="H670" s="30"/>
      <c r="I670" s="30"/>
      <c r="J670" s="30"/>
      <c r="K670" s="30"/>
      <c r="L670" s="1432"/>
    </row>
    <row r="671" ht="38.25" customHeight="1">
      <c r="A671" s="1433"/>
      <c r="B671" s="1434"/>
      <c r="C671" s="1435"/>
      <c r="D671" s="1436"/>
      <c r="E671" s="1440"/>
      <c r="F671" s="269"/>
      <c r="G671" s="269"/>
      <c r="H671" s="28"/>
      <c r="I671" s="28"/>
      <c r="J671" s="28"/>
      <c r="K671" s="28"/>
      <c r="L671" s="1438"/>
    </row>
    <row r="672" ht="38.25" customHeight="1">
      <c r="A672" s="1427"/>
      <c r="B672" s="1428"/>
      <c r="C672" s="1429"/>
      <c r="D672" s="1430"/>
      <c r="E672" s="1441"/>
      <c r="F672" s="270"/>
      <c r="G672" s="270"/>
      <c r="H672" s="30"/>
      <c r="I672" s="30"/>
      <c r="J672" s="30"/>
      <c r="K672" s="30"/>
      <c r="L672" s="1432"/>
    </row>
    <row r="673" ht="38.25" customHeight="1">
      <c r="A673" s="1433"/>
      <c r="B673" s="1434"/>
      <c r="C673" s="1435"/>
      <c r="D673" s="1436"/>
      <c r="E673" s="1440"/>
      <c r="F673" s="269"/>
      <c r="G673" s="269"/>
      <c r="H673" s="28"/>
      <c r="I673" s="28"/>
      <c r="J673" s="28"/>
      <c r="K673" s="28"/>
      <c r="L673" s="1438"/>
    </row>
    <row r="674" ht="38.25" customHeight="1">
      <c r="A674" s="1427"/>
      <c r="B674" s="1428"/>
      <c r="C674" s="1429"/>
      <c r="D674" s="1430"/>
      <c r="E674" s="1441"/>
      <c r="F674" s="270"/>
      <c r="G674" s="270"/>
      <c r="H674" s="30"/>
      <c r="I674" s="30"/>
      <c r="J674" s="30"/>
      <c r="K674" s="30"/>
      <c r="L674" s="1432"/>
    </row>
    <row r="675" ht="38.25" customHeight="1">
      <c r="A675" s="1433"/>
      <c r="B675" s="1434"/>
      <c r="C675" s="1435"/>
      <c r="D675" s="1436"/>
      <c r="E675" s="1440"/>
      <c r="F675" s="269"/>
      <c r="G675" s="269"/>
      <c r="H675" s="28"/>
      <c r="I675" s="28"/>
      <c r="J675" s="28"/>
      <c r="K675" s="28"/>
      <c r="L675" s="1438"/>
    </row>
    <row r="676" ht="38.25" customHeight="1">
      <c r="A676" s="1427"/>
      <c r="B676" s="1428"/>
      <c r="C676" s="1429"/>
      <c r="D676" s="1430"/>
      <c r="E676" s="1441"/>
      <c r="F676" s="270"/>
      <c r="G676" s="270"/>
      <c r="H676" s="30"/>
      <c r="I676" s="30"/>
      <c r="J676" s="30"/>
      <c r="K676" s="30"/>
      <c r="L676" s="1432"/>
    </row>
    <row r="677" ht="38.25" customHeight="1">
      <c r="A677" s="1433"/>
      <c r="B677" s="1434"/>
      <c r="C677" s="1435"/>
      <c r="D677" s="1436"/>
      <c r="E677" s="1440"/>
      <c r="F677" s="269"/>
      <c r="G677" s="269"/>
      <c r="H677" s="28"/>
      <c r="I677" s="28"/>
      <c r="J677" s="28"/>
      <c r="K677" s="28"/>
      <c r="L677" s="1438"/>
    </row>
    <row r="678" ht="38.25" customHeight="1">
      <c r="A678" s="1427"/>
      <c r="B678" s="1428"/>
      <c r="C678" s="1429"/>
      <c r="D678" s="1430"/>
      <c r="E678" s="1441"/>
      <c r="F678" s="270"/>
      <c r="G678" s="270"/>
      <c r="H678" s="30"/>
      <c r="I678" s="30"/>
      <c r="J678" s="30"/>
      <c r="K678" s="30"/>
      <c r="L678" s="1432"/>
    </row>
    <row r="679" ht="38.25" customHeight="1">
      <c r="A679" s="1433"/>
      <c r="B679" s="1434"/>
      <c r="C679" s="1435"/>
      <c r="D679" s="1436"/>
      <c r="E679" s="1440"/>
      <c r="F679" s="269"/>
      <c r="G679" s="269"/>
      <c r="H679" s="28"/>
      <c r="I679" s="28"/>
      <c r="J679" s="28"/>
      <c r="K679" s="28"/>
      <c r="L679" s="1438"/>
    </row>
    <row r="680" ht="38.25" customHeight="1">
      <c r="A680" s="1427"/>
      <c r="B680" s="1428"/>
      <c r="C680" s="1429"/>
      <c r="D680" s="1430"/>
      <c r="E680" s="1441"/>
      <c r="F680" s="270"/>
      <c r="G680" s="270"/>
      <c r="H680" s="30"/>
      <c r="I680" s="30"/>
      <c r="J680" s="30"/>
      <c r="K680" s="30"/>
      <c r="L680" s="1432"/>
    </row>
    <row r="681" ht="38.25" customHeight="1">
      <c r="A681" s="1433"/>
      <c r="B681" s="1434"/>
      <c r="C681" s="1435"/>
      <c r="D681" s="1436"/>
      <c r="E681" s="1440"/>
      <c r="F681" s="269"/>
      <c r="G681" s="269"/>
      <c r="H681" s="28"/>
      <c r="I681" s="28"/>
      <c r="J681" s="28"/>
      <c r="K681" s="28"/>
      <c r="L681" s="1438"/>
    </row>
    <row r="682" ht="38.25" customHeight="1">
      <c r="A682" s="1427"/>
      <c r="B682" s="1428"/>
      <c r="C682" s="1429"/>
      <c r="D682" s="1430"/>
      <c r="E682" s="1441"/>
      <c r="F682" s="270"/>
      <c r="G682" s="270"/>
      <c r="H682" s="30"/>
      <c r="I682" s="30"/>
      <c r="J682" s="30"/>
      <c r="K682" s="30"/>
      <c r="L682" s="1432"/>
    </row>
    <row r="683" ht="38.25" customHeight="1">
      <c r="A683" s="1433"/>
      <c r="B683" s="1434"/>
      <c r="C683" s="1435"/>
      <c r="D683" s="1436"/>
      <c r="E683" s="1440"/>
      <c r="F683" s="269"/>
      <c r="G683" s="269"/>
      <c r="H683" s="28"/>
      <c r="I683" s="28"/>
      <c r="J683" s="28"/>
      <c r="K683" s="28"/>
      <c r="L683" s="1438"/>
    </row>
    <row r="684" ht="38.25" customHeight="1">
      <c r="A684" s="1427"/>
      <c r="B684" s="1428"/>
      <c r="C684" s="1429"/>
      <c r="D684" s="1430"/>
      <c r="E684" s="1441"/>
      <c r="F684" s="270"/>
      <c r="G684" s="270"/>
      <c r="H684" s="30"/>
      <c r="I684" s="30"/>
      <c r="J684" s="30"/>
      <c r="K684" s="30"/>
      <c r="L684" s="1432"/>
    </row>
    <row r="685" ht="38.25" customHeight="1">
      <c r="A685" s="1433"/>
      <c r="B685" s="1434"/>
      <c r="C685" s="1435"/>
      <c r="D685" s="1436"/>
      <c r="E685" s="1440"/>
      <c r="F685" s="269"/>
      <c r="G685" s="269"/>
      <c r="H685" s="28"/>
      <c r="I685" s="28"/>
      <c r="J685" s="28"/>
      <c r="K685" s="28"/>
      <c r="L685" s="1438"/>
    </row>
    <row r="686" ht="38.25" customHeight="1">
      <c r="A686" s="1427"/>
      <c r="B686" s="1428"/>
      <c r="C686" s="1429"/>
      <c r="D686" s="1430"/>
      <c r="E686" s="1441"/>
      <c r="F686" s="270"/>
      <c r="G686" s="270"/>
      <c r="H686" s="30"/>
      <c r="I686" s="30"/>
      <c r="J686" s="30"/>
      <c r="K686" s="30"/>
      <c r="L686" s="1432"/>
    </row>
    <row r="687" ht="38.25" customHeight="1">
      <c r="A687" s="1433"/>
      <c r="B687" s="1434"/>
      <c r="C687" s="1435"/>
      <c r="D687" s="1436"/>
      <c r="E687" s="1440"/>
      <c r="F687" s="269"/>
      <c r="G687" s="269"/>
      <c r="H687" s="28"/>
      <c r="I687" s="28"/>
      <c r="J687" s="28"/>
      <c r="K687" s="28"/>
      <c r="L687" s="1438"/>
    </row>
    <row r="688" ht="38.25" customHeight="1">
      <c r="A688" s="1427"/>
      <c r="B688" s="1428"/>
      <c r="C688" s="1429"/>
      <c r="D688" s="1430"/>
      <c r="E688" s="1441"/>
      <c r="F688" s="270"/>
      <c r="G688" s="270"/>
      <c r="H688" s="30"/>
      <c r="I688" s="30"/>
      <c r="J688" s="30"/>
      <c r="K688" s="30"/>
      <c r="L688" s="1432"/>
    </row>
    <row r="689" ht="38.25" customHeight="1">
      <c r="A689" s="1433"/>
      <c r="B689" s="1434"/>
      <c r="C689" s="1435"/>
      <c r="D689" s="1436"/>
      <c r="E689" s="1440"/>
      <c r="F689" s="269"/>
      <c r="G689" s="269"/>
      <c r="H689" s="28"/>
      <c r="I689" s="28"/>
      <c r="J689" s="28"/>
      <c r="K689" s="28"/>
      <c r="L689" s="1438"/>
    </row>
    <row r="690" ht="38.25" customHeight="1">
      <c r="A690" s="1427"/>
      <c r="B690" s="1428"/>
      <c r="C690" s="1429"/>
      <c r="D690" s="1430"/>
      <c r="E690" s="1441"/>
      <c r="F690" s="270"/>
      <c r="G690" s="270"/>
      <c r="H690" s="30"/>
      <c r="I690" s="30"/>
      <c r="J690" s="30"/>
      <c r="K690" s="30"/>
      <c r="L690" s="1432"/>
    </row>
    <row r="691" ht="38.25" customHeight="1">
      <c r="A691" s="1433"/>
      <c r="B691" s="1434"/>
      <c r="C691" s="1435"/>
      <c r="D691" s="1436"/>
      <c r="E691" s="1440"/>
      <c r="F691" s="269"/>
      <c r="G691" s="269"/>
      <c r="H691" s="28"/>
      <c r="I691" s="28"/>
      <c r="J691" s="28"/>
      <c r="K691" s="28"/>
      <c r="L691" s="1438"/>
    </row>
    <row r="692" ht="38.25" customHeight="1">
      <c r="A692" s="1427"/>
      <c r="B692" s="1428"/>
      <c r="C692" s="1429"/>
      <c r="D692" s="1430"/>
      <c r="E692" s="1441"/>
      <c r="F692" s="270"/>
      <c r="G692" s="270"/>
      <c r="H692" s="30"/>
      <c r="I692" s="30"/>
      <c r="J692" s="30"/>
      <c r="K692" s="30"/>
      <c r="L692" s="1432"/>
    </row>
    <row r="693" ht="38.25" customHeight="1">
      <c r="A693" s="1433"/>
      <c r="B693" s="1434"/>
      <c r="C693" s="1435"/>
      <c r="D693" s="1436"/>
      <c r="E693" s="1440"/>
      <c r="F693" s="269"/>
      <c r="G693" s="269"/>
      <c r="H693" s="28"/>
      <c r="I693" s="28"/>
      <c r="J693" s="28"/>
      <c r="K693" s="28"/>
      <c r="L693" s="1438"/>
    </row>
    <row r="694" ht="38.25" customHeight="1">
      <c r="A694" s="1427"/>
      <c r="B694" s="1428"/>
      <c r="C694" s="1429"/>
      <c r="D694" s="1430"/>
      <c r="E694" s="1441"/>
      <c r="F694" s="270"/>
      <c r="G694" s="270"/>
      <c r="H694" s="30"/>
      <c r="I694" s="30"/>
      <c r="J694" s="30"/>
      <c r="K694" s="30"/>
      <c r="L694" s="1432"/>
    </row>
    <row r="695" ht="38.25" customHeight="1">
      <c r="A695" s="1433"/>
      <c r="B695" s="1434"/>
      <c r="C695" s="1435"/>
      <c r="D695" s="1436"/>
      <c r="E695" s="1440"/>
      <c r="F695" s="269"/>
      <c r="G695" s="269"/>
      <c r="H695" s="28"/>
      <c r="I695" s="28"/>
      <c r="J695" s="28"/>
      <c r="K695" s="28"/>
      <c r="L695" s="1438"/>
    </row>
    <row r="696" ht="38.25" customHeight="1">
      <c r="A696" s="1427"/>
      <c r="B696" s="1428"/>
      <c r="C696" s="1429"/>
      <c r="D696" s="1430"/>
      <c r="E696" s="1441"/>
      <c r="F696" s="270"/>
      <c r="G696" s="270"/>
      <c r="H696" s="30"/>
      <c r="I696" s="30"/>
      <c r="J696" s="30"/>
      <c r="K696" s="30"/>
      <c r="L696" s="1432"/>
    </row>
    <row r="697" ht="38.25" customHeight="1">
      <c r="A697" s="1433"/>
      <c r="B697" s="1434"/>
      <c r="C697" s="1435"/>
      <c r="D697" s="1436"/>
      <c r="E697" s="1440"/>
      <c r="F697" s="269"/>
      <c r="G697" s="269"/>
      <c r="H697" s="28"/>
      <c r="I697" s="28"/>
      <c r="J697" s="28"/>
      <c r="K697" s="28"/>
      <c r="L697" s="1438"/>
    </row>
    <row r="698" ht="38.25" customHeight="1">
      <c r="A698" s="1427"/>
      <c r="B698" s="1428"/>
      <c r="C698" s="1429"/>
      <c r="D698" s="1430"/>
      <c r="E698" s="1441"/>
      <c r="F698" s="270"/>
      <c r="G698" s="270"/>
      <c r="H698" s="30"/>
      <c r="I698" s="30"/>
      <c r="J698" s="30"/>
      <c r="K698" s="30"/>
      <c r="L698" s="1432"/>
    </row>
    <row r="699" ht="38.25" customHeight="1">
      <c r="A699" s="1433"/>
      <c r="B699" s="1434"/>
      <c r="C699" s="1435"/>
      <c r="D699" s="1436"/>
      <c r="E699" s="1440"/>
      <c r="F699" s="269"/>
      <c r="G699" s="269"/>
      <c r="H699" s="28"/>
      <c r="I699" s="28"/>
      <c r="J699" s="28"/>
      <c r="K699" s="28"/>
      <c r="L699" s="1438"/>
    </row>
    <row r="700" ht="38.25" customHeight="1">
      <c r="A700" s="1427"/>
      <c r="B700" s="1428"/>
      <c r="C700" s="1429"/>
      <c r="D700" s="1430"/>
      <c r="E700" s="1441"/>
      <c r="F700" s="270"/>
      <c r="G700" s="270"/>
      <c r="H700" s="30"/>
      <c r="I700" s="30"/>
      <c r="J700" s="30"/>
      <c r="K700" s="30"/>
      <c r="L700" s="1432"/>
    </row>
    <row r="701" ht="38.25" customHeight="1">
      <c r="A701" s="1433"/>
      <c r="B701" s="1434"/>
      <c r="C701" s="1435"/>
      <c r="D701" s="1436"/>
      <c r="E701" s="1440"/>
      <c r="F701" s="269"/>
      <c r="G701" s="269"/>
      <c r="H701" s="28"/>
      <c r="I701" s="28"/>
      <c r="J701" s="28"/>
      <c r="K701" s="28"/>
      <c r="L701" s="1438"/>
    </row>
    <row r="702" ht="38.25" customHeight="1">
      <c r="A702" s="1427"/>
      <c r="B702" s="1428"/>
      <c r="C702" s="1429"/>
      <c r="D702" s="1430"/>
      <c r="E702" s="1441"/>
      <c r="F702" s="270"/>
      <c r="G702" s="270"/>
      <c r="H702" s="30"/>
      <c r="I702" s="30"/>
      <c r="J702" s="30"/>
      <c r="K702" s="30"/>
      <c r="L702" s="1432"/>
    </row>
    <row r="703" ht="38.25" customHeight="1">
      <c r="A703" s="1433"/>
      <c r="B703" s="1434"/>
      <c r="C703" s="1435"/>
      <c r="D703" s="1436"/>
      <c r="E703" s="1440"/>
      <c r="F703" s="269"/>
      <c r="G703" s="269"/>
      <c r="H703" s="28"/>
      <c r="I703" s="28"/>
      <c r="J703" s="28"/>
      <c r="K703" s="28"/>
      <c r="L703" s="1438"/>
    </row>
    <row r="704" ht="38.25" customHeight="1">
      <c r="A704" s="1427"/>
      <c r="B704" s="1428"/>
      <c r="C704" s="1429"/>
      <c r="D704" s="1430"/>
      <c r="E704" s="1441"/>
      <c r="F704" s="270"/>
      <c r="G704" s="270"/>
      <c r="H704" s="30"/>
      <c r="I704" s="30"/>
      <c r="J704" s="30"/>
      <c r="K704" s="30"/>
      <c r="L704" s="1432"/>
    </row>
    <row r="705" ht="38.25" customHeight="1">
      <c r="A705" s="1433"/>
      <c r="B705" s="1434"/>
      <c r="C705" s="1435"/>
      <c r="D705" s="1436"/>
      <c r="E705" s="1440"/>
      <c r="F705" s="269"/>
      <c r="G705" s="269"/>
      <c r="H705" s="28"/>
      <c r="I705" s="28"/>
      <c r="J705" s="28"/>
      <c r="K705" s="28"/>
      <c r="L705" s="1438"/>
    </row>
    <row r="706" ht="38.25" customHeight="1">
      <c r="A706" s="1427"/>
      <c r="B706" s="1428"/>
      <c r="C706" s="1429"/>
      <c r="D706" s="1430"/>
      <c r="E706" s="1441"/>
      <c r="F706" s="270"/>
      <c r="G706" s="270"/>
      <c r="H706" s="30"/>
      <c r="I706" s="30"/>
      <c r="J706" s="30"/>
      <c r="K706" s="30"/>
      <c r="L706" s="1432"/>
    </row>
    <row r="707" ht="38.25" customHeight="1">
      <c r="A707" s="1433"/>
      <c r="B707" s="1434"/>
      <c r="C707" s="1435"/>
      <c r="D707" s="1436"/>
      <c r="E707" s="1440"/>
      <c r="F707" s="269"/>
      <c r="G707" s="269"/>
      <c r="H707" s="28"/>
      <c r="I707" s="28"/>
      <c r="J707" s="28"/>
      <c r="K707" s="28"/>
      <c r="L707" s="1438"/>
    </row>
    <row r="708" ht="38.25" customHeight="1">
      <c r="A708" s="1427"/>
      <c r="B708" s="1428"/>
      <c r="C708" s="1429"/>
      <c r="D708" s="1430"/>
      <c r="E708" s="1441"/>
      <c r="F708" s="270"/>
      <c r="G708" s="270"/>
      <c r="H708" s="30"/>
      <c r="I708" s="30"/>
      <c r="J708" s="30"/>
      <c r="K708" s="30"/>
      <c r="L708" s="1432"/>
    </row>
    <row r="709" ht="38.25" customHeight="1">
      <c r="A709" s="1433"/>
      <c r="B709" s="1434"/>
      <c r="C709" s="1435"/>
      <c r="D709" s="1436"/>
      <c r="E709" s="1440"/>
      <c r="F709" s="269"/>
      <c r="G709" s="269"/>
      <c r="H709" s="28"/>
      <c r="I709" s="28"/>
      <c r="J709" s="28"/>
      <c r="K709" s="28"/>
      <c r="L709" s="1438"/>
    </row>
    <row r="710" ht="38.25" customHeight="1">
      <c r="A710" s="1427"/>
      <c r="B710" s="1428"/>
      <c r="C710" s="1429"/>
      <c r="D710" s="1430"/>
      <c r="E710" s="1441"/>
      <c r="F710" s="270"/>
      <c r="G710" s="270"/>
      <c r="H710" s="30"/>
      <c r="I710" s="30"/>
      <c r="J710" s="30"/>
      <c r="K710" s="30"/>
      <c r="L710" s="1432"/>
    </row>
    <row r="711" ht="38.25" customHeight="1">
      <c r="A711" s="1433"/>
      <c r="B711" s="1434"/>
      <c r="C711" s="1435"/>
      <c r="D711" s="1436"/>
      <c r="E711" s="1440"/>
      <c r="F711" s="269"/>
      <c r="G711" s="269"/>
      <c r="H711" s="28"/>
      <c r="I711" s="28"/>
      <c r="J711" s="28"/>
      <c r="K711" s="28"/>
      <c r="L711" s="1438"/>
    </row>
    <row r="712" ht="38.25" customHeight="1">
      <c r="A712" s="1427"/>
      <c r="B712" s="1428"/>
      <c r="C712" s="1429"/>
      <c r="D712" s="1430"/>
      <c r="E712" s="1441"/>
      <c r="F712" s="270"/>
      <c r="G712" s="270"/>
      <c r="H712" s="30"/>
      <c r="I712" s="30"/>
      <c r="J712" s="30"/>
      <c r="K712" s="30"/>
      <c r="L712" s="1432"/>
    </row>
    <row r="713" ht="38.25" customHeight="1">
      <c r="A713" s="1433"/>
      <c r="B713" s="1434"/>
      <c r="C713" s="1435"/>
      <c r="D713" s="1436"/>
      <c r="E713" s="1440"/>
      <c r="F713" s="269"/>
      <c r="G713" s="269"/>
      <c r="H713" s="28"/>
      <c r="I713" s="28"/>
      <c r="J713" s="28"/>
      <c r="K713" s="28"/>
      <c r="L713" s="1438"/>
    </row>
    <row r="714" ht="38.25" customHeight="1">
      <c r="A714" s="1427"/>
      <c r="B714" s="1428"/>
      <c r="C714" s="1429"/>
      <c r="D714" s="1430"/>
      <c r="E714" s="1441"/>
      <c r="F714" s="270"/>
      <c r="G714" s="270"/>
      <c r="H714" s="30"/>
      <c r="I714" s="30"/>
      <c r="J714" s="30"/>
      <c r="K714" s="30"/>
      <c r="L714" s="1432"/>
    </row>
    <row r="715" ht="38.25" customHeight="1">
      <c r="A715" s="1433"/>
      <c r="B715" s="1434"/>
      <c r="C715" s="1435"/>
      <c r="D715" s="1436"/>
      <c r="E715" s="1440"/>
      <c r="F715" s="269"/>
      <c r="G715" s="269"/>
      <c r="H715" s="28"/>
      <c r="I715" s="28"/>
      <c r="J715" s="28"/>
      <c r="K715" s="28"/>
      <c r="L715" s="1438"/>
    </row>
    <row r="716" ht="38.25" customHeight="1">
      <c r="A716" s="1427"/>
      <c r="B716" s="1428"/>
      <c r="C716" s="1429"/>
      <c r="D716" s="1430"/>
      <c r="E716" s="1441"/>
      <c r="F716" s="270"/>
      <c r="G716" s="270"/>
      <c r="H716" s="30"/>
      <c r="I716" s="30"/>
      <c r="J716" s="30"/>
      <c r="K716" s="30"/>
      <c r="L716" s="1432"/>
    </row>
    <row r="717" ht="38.25" customHeight="1">
      <c r="A717" s="1433"/>
      <c r="B717" s="1434"/>
      <c r="C717" s="1435"/>
      <c r="D717" s="1436"/>
      <c r="E717" s="1440"/>
      <c r="F717" s="269"/>
      <c r="G717" s="269"/>
      <c r="H717" s="28"/>
      <c r="I717" s="28"/>
      <c r="J717" s="28"/>
      <c r="K717" s="28"/>
      <c r="L717" s="1438"/>
    </row>
    <row r="718" ht="38.25" customHeight="1">
      <c r="A718" s="1427"/>
      <c r="B718" s="1428"/>
      <c r="C718" s="1429"/>
      <c r="D718" s="1430"/>
      <c r="E718" s="1441"/>
      <c r="F718" s="270"/>
      <c r="G718" s="270"/>
      <c r="H718" s="30"/>
      <c r="I718" s="30"/>
      <c r="J718" s="30"/>
      <c r="K718" s="30"/>
      <c r="L718" s="1432"/>
    </row>
    <row r="719" ht="38.25" customHeight="1">
      <c r="A719" s="1433"/>
      <c r="B719" s="1434"/>
      <c r="C719" s="1435"/>
      <c r="D719" s="1436"/>
      <c r="E719" s="1440"/>
      <c r="F719" s="269"/>
      <c r="G719" s="269"/>
      <c r="H719" s="28"/>
      <c r="I719" s="28"/>
      <c r="J719" s="28"/>
      <c r="K719" s="28"/>
      <c r="L719" s="1438"/>
    </row>
    <row r="720" ht="38.25" customHeight="1">
      <c r="A720" s="1427"/>
      <c r="B720" s="1428"/>
      <c r="C720" s="1429"/>
      <c r="D720" s="1430"/>
      <c r="E720" s="1441"/>
      <c r="F720" s="270"/>
      <c r="G720" s="270"/>
      <c r="H720" s="30"/>
      <c r="I720" s="30"/>
      <c r="J720" s="30"/>
      <c r="K720" s="30"/>
      <c r="L720" s="1432"/>
    </row>
    <row r="721" ht="38.25" customHeight="1">
      <c r="A721" s="1433"/>
      <c r="B721" s="1434"/>
      <c r="C721" s="1435"/>
      <c r="D721" s="1436"/>
      <c r="E721" s="1440"/>
      <c r="F721" s="269"/>
      <c r="G721" s="269"/>
      <c r="H721" s="28"/>
      <c r="I721" s="28"/>
      <c r="J721" s="28"/>
      <c r="K721" s="28"/>
      <c r="L721" s="1438"/>
    </row>
    <row r="722" ht="38.25" customHeight="1">
      <c r="A722" s="1427"/>
      <c r="B722" s="1428"/>
      <c r="C722" s="1429"/>
      <c r="D722" s="1430"/>
      <c r="E722" s="1441"/>
      <c r="F722" s="270"/>
      <c r="G722" s="270"/>
      <c r="H722" s="30"/>
      <c r="I722" s="30"/>
      <c r="J722" s="30"/>
      <c r="K722" s="30"/>
      <c r="L722" s="1432"/>
    </row>
    <row r="723" ht="38.25" customHeight="1">
      <c r="A723" s="1433"/>
      <c r="B723" s="1434"/>
      <c r="C723" s="1435"/>
      <c r="D723" s="1436"/>
      <c r="E723" s="1440"/>
      <c r="F723" s="269"/>
      <c r="G723" s="269"/>
      <c r="H723" s="28"/>
      <c r="I723" s="28"/>
      <c r="J723" s="28"/>
      <c r="K723" s="28"/>
      <c r="L723" s="1438"/>
    </row>
    <row r="724" ht="38.25" customHeight="1">
      <c r="A724" s="1427"/>
      <c r="B724" s="1428"/>
      <c r="C724" s="1429"/>
      <c r="D724" s="1430"/>
      <c r="E724" s="1441"/>
      <c r="F724" s="270"/>
      <c r="G724" s="270"/>
      <c r="H724" s="30"/>
      <c r="I724" s="30"/>
      <c r="J724" s="30"/>
      <c r="K724" s="30"/>
      <c r="L724" s="1432"/>
    </row>
    <row r="725" ht="38.25" customHeight="1">
      <c r="A725" s="1433"/>
      <c r="B725" s="1434"/>
      <c r="C725" s="1435"/>
      <c r="D725" s="1436"/>
      <c r="E725" s="1440"/>
      <c r="F725" s="269"/>
      <c r="G725" s="269"/>
      <c r="H725" s="28"/>
      <c r="I725" s="28"/>
      <c r="J725" s="28"/>
      <c r="K725" s="28"/>
      <c r="L725" s="1438"/>
    </row>
    <row r="726" ht="38.25" customHeight="1">
      <c r="A726" s="1427"/>
      <c r="B726" s="1428"/>
      <c r="C726" s="1429"/>
      <c r="D726" s="1430"/>
      <c r="E726" s="1441"/>
      <c r="F726" s="270"/>
      <c r="G726" s="270"/>
      <c r="H726" s="30"/>
      <c r="I726" s="30"/>
      <c r="J726" s="30"/>
      <c r="K726" s="30"/>
      <c r="L726" s="1432"/>
    </row>
    <row r="727" ht="38.25" customHeight="1">
      <c r="A727" s="1433"/>
      <c r="B727" s="1434"/>
      <c r="C727" s="1435"/>
      <c r="D727" s="1436"/>
      <c r="E727" s="1440"/>
      <c r="F727" s="269"/>
      <c r="G727" s="269"/>
      <c r="H727" s="28"/>
      <c r="I727" s="28"/>
      <c r="J727" s="28"/>
      <c r="K727" s="28"/>
      <c r="L727" s="1438"/>
    </row>
    <row r="728" ht="38.25" customHeight="1">
      <c r="A728" s="1427"/>
      <c r="B728" s="1428"/>
      <c r="C728" s="1429"/>
      <c r="D728" s="1430"/>
      <c r="E728" s="1441"/>
      <c r="F728" s="270"/>
      <c r="G728" s="270"/>
      <c r="H728" s="30"/>
      <c r="I728" s="30"/>
      <c r="J728" s="30"/>
      <c r="K728" s="30"/>
      <c r="L728" s="1432"/>
    </row>
    <row r="729" ht="38.25" customHeight="1">
      <c r="A729" s="1433"/>
      <c r="B729" s="1434"/>
      <c r="C729" s="1435"/>
      <c r="D729" s="1436"/>
      <c r="E729" s="1440"/>
      <c r="F729" s="269"/>
      <c r="G729" s="269"/>
      <c r="H729" s="28"/>
      <c r="I729" s="28"/>
      <c r="J729" s="28"/>
      <c r="K729" s="28"/>
      <c r="L729" s="1438"/>
    </row>
    <row r="730" ht="38.25" customHeight="1">
      <c r="A730" s="1427"/>
      <c r="B730" s="1428"/>
      <c r="C730" s="1429"/>
      <c r="D730" s="1430"/>
      <c r="E730" s="1441"/>
      <c r="F730" s="270"/>
      <c r="G730" s="270"/>
      <c r="H730" s="30"/>
      <c r="I730" s="30"/>
      <c r="J730" s="30"/>
      <c r="K730" s="30"/>
      <c r="L730" s="1432"/>
    </row>
    <row r="731" ht="38.25" customHeight="1">
      <c r="A731" s="1433"/>
      <c r="B731" s="1434"/>
      <c r="C731" s="1435"/>
      <c r="D731" s="1436"/>
      <c r="E731" s="1440"/>
      <c r="F731" s="269"/>
      <c r="G731" s="269"/>
      <c r="H731" s="28"/>
      <c r="I731" s="28"/>
      <c r="J731" s="28"/>
      <c r="K731" s="28"/>
      <c r="L731" s="1438"/>
    </row>
    <row r="732" ht="38.25" customHeight="1">
      <c r="A732" s="1427"/>
      <c r="B732" s="1428"/>
      <c r="C732" s="1429"/>
      <c r="D732" s="1430"/>
      <c r="E732" s="1441"/>
      <c r="F732" s="270"/>
      <c r="G732" s="270"/>
      <c r="H732" s="30"/>
      <c r="I732" s="30"/>
      <c r="J732" s="30"/>
      <c r="K732" s="30"/>
      <c r="L732" s="1432"/>
    </row>
    <row r="733" ht="38.25" customHeight="1">
      <c r="A733" s="1433"/>
      <c r="B733" s="1434"/>
      <c r="C733" s="1435"/>
      <c r="D733" s="1436"/>
      <c r="E733" s="1440"/>
      <c r="F733" s="269"/>
      <c r="G733" s="269"/>
      <c r="H733" s="28"/>
      <c r="I733" s="28"/>
      <c r="J733" s="28"/>
      <c r="K733" s="28"/>
      <c r="L733" s="1438"/>
    </row>
    <row r="734" ht="38.25" customHeight="1">
      <c r="A734" s="1427"/>
      <c r="B734" s="1428"/>
      <c r="C734" s="1429"/>
      <c r="D734" s="1430"/>
      <c r="E734" s="1441"/>
      <c r="F734" s="270"/>
      <c r="G734" s="270"/>
      <c r="H734" s="30"/>
      <c r="I734" s="30"/>
      <c r="J734" s="30"/>
      <c r="K734" s="30"/>
      <c r="L734" s="1432"/>
    </row>
    <row r="735" ht="38.25" customHeight="1">
      <c r="A735" s="1433"/>
      <c r="B735" s="1434"/>
      <c r="C735" s="1435"/>
      <c r="D735" s="1436"/>
      <c r="E735" s="1440"/>
      <c r="F735" s="269"/>
      <c r="G735" s="269"/>
      <c r="H735" s="28"/>
      <c r="I735" s="28"/>
      <c r="J735" s="28"/>
      <c r="K735" s="28"/>
      <c r="L735" s="1438"/>
    </row>
    <row r="736" ht="38.25" customHeight="1">
      <c r="A736" s="1427"/>
      <c r="B736" s="1428"/>
      <c r="C736" s="1429"/>
      <c r="D736" s="1430"/>
      <c r="E736" s="1441"/>
      <c r="F736" s="270"/>
      <c r="G736" s="270"/>
      <c r="H736" s="30"/>
      <c r="I736" s="30"/>
      <c r="J736" s="30"/>
      <c r="K736" s="30"/>
      <c r="L736" s="1432"/>
    </row>
    <row r="737" ht="38.25" customHeight="1">
      <c r="A737" s="1433"/>
      <c r="B737" s="1434"/>
      <c r="C737" s="1435"/>
      <c r="D737" s="1436"/>
      <c r="E737" s="1440"/>
      <c r="F737" s="269"/>
      <c r="G737" s="269"/>
      <c r="H737" s="28"/>
      <c r="I737" s="28"/>
      <c r="J737" s="28"/>
      <c r="K737" s="28"/>
      <c r="L737" s="1438"/>
    </row>
    <row r="738" ht="38.25" customHeight="1">
      <c r="A738" s="1427"/>
      <c r="B738" s="1428"/>
      <c r="C738" s="1429"/>
      <c r="D738" s="1430"/>
      <c r="E738" s="1441"/>
      <c r="F738" s="270"/>
      <c r="G738" s="270"/>
      <c r="H738" s="30"/>
      <c r="I738" s="30"/>
      <c r="J738" s="30"/>
      <c r="K738" s="30"/>
      <c r="L738" s="1432"/>
    </row>
    <row r="739" ht="38.25" customHeight="1">
      <c r="A739" s="1433"/>
      <c r="B739" s="1434"/>
      <c r="C739" s="1435"/>
      <c r="D739" s="1436"/>
      <c r="E739" s="1440"/>
      <c r="F739" s="269"/>
      <c r="G739" s="269"/>
      <c r="H739" s="28"/>
      <c r="I739" s="28"/>
      <c r="J739" s="28"/>
      <c r="K739" s="28"/>
      <c r="L739" s="1438"/>
    </row>
    <row r="740" ht="38.25" customHeight="1">
      <c r="A740" s="1427"/>
      <c r="B740" s="1428"/>
      <c r="C740" s="1429"/>
      <c r="D740" s="1430"/>
      <c r="E740" s="1441"/>
      <c r="F740" s="270"/>
      <c r="G740" s="270"/>
      <c r="H740" s="30"/>
      <c r="I740" s="30"/>
      <c r="J740" s="30"/>
      <c r="K740" s="30"/>
      <c r="L740" s="1432"/>
    </row>
    <row r="741" ht="38.25" customHeight="1">
      <c r="A741" s="1433"/>
      <c r="B741" s="1434"/>
      <c r="C741" s="1435"/>
      <c r="D741" s="1436"/>
      <c r="E741" s="1440"/>
      <c r="F741" s="269"/>
      <c r="G741" s="269"/>
      <c r="H741" s="28"/>
      <c r="I741" s="28"/>
      <c r="J741" s="28"/>
      <c r="K741" s="28"/>
      <c r="L741" s="1438"/>
    </row>
    <row r="742" ht="38.25" customHeight="1">
      <c r="A742" s="1427"/>
      <c r="B742" s="1428"/>
      <c r="C742" s="1429"/>
      <c r="D742" s="1430"/>
      <c r="E742" s="1441"/>
      <c r="F742" s="270"/>
      <c r="G742" s="270"/>
      <c r="H742" s="30"/>
      <c r="I742" s="30"/>
      <c r="J742" s="30"/>
      <c r="K742" s="30"/>
      <c r="L742" s="1432"/>
    </row>
    <row r="743" ht="38.25" customHeight="1">
      <c r="A743" s="1433"/>
      <c r="B743" s="1434"/>
      <c r="C743" s="1435"/>
      <c r="D743" s="1436"/>
      <c r="E743" s="1440"/>
      <c r="F743" s="269"/>
      <c r="G743" s="269"/>
      <c r="H743" s="28"/>
      <c r="I743" s="28"/>
      <c r="J743" s="28"/>
      <c r="K743" s="28"/>
      <c r="L743" s="1438"/>
    </row>
    <row r="744" ht="38.25" customHeight="1">
      <c r="A744" s="1427"/>
      <c r="B744" s="1428"/>
      <c r="C744" s="1429"/>
      <c r="D744" s="1430"/>
      <c r="E744" s="1441"/>
      <c r="F744" s="270"/>
      <c r="G744" s="270"/>
      <c r="H744" s="30"/>
      <c r="I744" s="30"/>
      <c r="J744" s="30"/>
      <c r="K744" s="30"/>
      <c r="L744" s="1432"/>
    </row>
    <row r="745" ht="38.25" customHeight="1">
      <c r="A745" s="1433"/>
      <c r="B745" s="1434"/>
      <c r="C745" s="1435"/>
      <c r="D745" s="1436"/>
      <c r="E745" s="1440"/>
      <c r="F745" s="269"/>
      <c r="G745" s="269"/>
      <c r="H745" s="28"/>
      <c r="I745" s="28"/>
      <c r="J745" s="28"/>
      <c r="K745" s="28"/>
      <c r="L745" s="1438"/>
    </row>
    <row r="746" ht="38.25" customHeight="1">
      <c r="A746" s="1427"/>
      <c r="B746" s="1428"/>
      <c r="C746" s="1429"/>
      <c r="D746" s="1430"/>
      <c r="E746" s="1441"/>
      <c r="F746" s="270"/>
      <c r="G746" s="270"/>
      <c r="H746" s="30"/>
      <c r="I746" s="30"/>
      <c r="J746" s="30"/>
      <c r="K746" s="30"/>
      <c r="L746" s="1432"/>
    </row>
    <row r="747" ht="38.25" customHeight="1">
      <c r="A747" s="1433"/>
      <c r="B747" s="1434"/>
      <c r="C747" s="1435"/>
      <c r="D747" s="1436"/>
      <c r="E747" s="1440"/>
      <c r="F747" s="269"/>
      <c r="G747" s="269"/>
      <c r="H747" s="28"/>
      <c r="I747" s="28"/>
      <c r="J747" s="28"/>
      <c r="K747" s="28"/>
      <c r="L747" s="1438"/>
    </row>
    <row r="748" ht="38.25" customHeight="1">
      <c r="A748" s="1427"/>
      <c r="B748" s="1428"/>
      <c r="C748" s="1429"/>
      <c r="D748" s="1430"/>
      <c r="E748" s="1441"/>
      <c r="F748" s="270"/>
      <c r="G748" s="270"/>
      <c r="H748" s="30"/>
      <c r="I748" s="30"/>
      <c r="J748" s="30"/>
      <c r="K748" s="30"/>
      <c r="L748" s="1432"/>
    </row>
    <row r="749" ht="38.25" customHeight="1">
      <c r="A749" s="1433"/>
      <c r="B749" s="1434"/>
      <c r="C749" s="1435"/>
      <c r="D749" s="1436"/>
      <c r="E749" s="1440"/>
      <c r="F749" s="269"/>
      <c r="G749" s="269"/>
      <c r="H749" s="28"/>
      <c r="I749" s="28"/>
      <c r="J749" s="28"/>
      <c r="K749" s="28"/>
      <c r="L749" s="1438"/>
    </row>
    <row r="750" ht="38.25" customHeight="1">
      <c r="A750" s="1427"/>
      <c r="B750" s="1428"/>
      <c r="C750" s="1429"/>
      <c r="D750" s="1430"/>
      <c r="E750" s="1441"/>
      <c r="F750" s="270"/>
      <c r="G750" s="270"/>
      <c r="H750" s="30"/>
      <c r="I750" s="30"/>
      <c r="J750" s="30"/>
      <c r="K750" s="30"/>
      <c r="L750" s="1432"/>
    </row>
    <row r="751" ht="38.25" customHeight="1">
      <c r="A751" s="1433"/>
      <c r="B751" s="1434"/>
      <c r="C751" s="1435"/>
      <c r="D751" s="1436"/>
      <c r="E751" s="1440"/>
      <c r="F751" s="269"/>
      <c r="G751" s="269"/>
      <c r="H751" s="28"/>
      <c r="I751" s="28"/>
      <c r="J751" s="28"/>
      <c r="K751" s="28"/>
      <c r="L751" s="1438"/>
    </row>
    <row r="752" ht="38.25" customHeight="1">
      <c r="A752" s="1427"/>
      <c r="B752" s="1428"/>
      <c r="C752" s="1429"/>
      <c r="D752" s="1430"/>
      <c r="E752" s="1441"/>
      <c r="F752" s="270"/>
      <c r="G752" s="270"/>
      <c r="H752" s="30"/>
      <c r="I752" s="30"/>
      <c r="J752" s="30"/>
      <c r="K752" s="30"/>
      <c r="L752" s="1432"/>
    </row>
    <row r="753" ht="38.25" customHeight="1">
      <c r="A753" s="1433"/>
      <c r="B753" s="1434"/>
      <c r="C753" s="1435"/>
      <c r="D753" s="1436"/>
      <c r="E753" s="1440"/>
      <c r="F753" s="269"/>
      <c r="G753" s="269"/>
      <c r="H753" s="28"/>
      <c r="I753" s="28"/>
      <c r="J753" s="28"/>
      <c r="K753" s="28"/>
      <c r="L753" s="1438"/>
    </row>
    <row r="754" ht="38.25" customHeight="1">
      <c r="A754" s="1427"/>
      <c r="B754" s="1428"/>
      <c r="C754" s="1429"/>
      <c r="D754" s="1430"/>
      <c r="E754" s="1441"/>
      <c r="F754" s="270"/>
      <c r="G754" s="270"/>
      <c r="H754" s="30"/>
      <c r="I754" s="30"/>
      <c r="J754" s="30"/>
      <c r="K754" s="30"/>
      <c r="L754" s="1432"/>
    </row>
    <row r="755" ht="38.25" customHeight="1">
      <c r="A755" s="1433"/>
      <c r="B755" s="1434"/>
      <c r="C755" s="1435"/>
      <c r="D755" s="1436"/>
      <c r="E755" s="1440"/>
      <c r="F755" s="269"/>
      <c r="G755" s="269"/>
      <c r="H755" s="28"/>
      <c r="I755" s="28"/>
      <c r="J755" s="28"/>
      <c r="K755" s="28"/>
      <c r="L755" s="1438"/>
    </row>
    <row r="756" ht="38.25" customHeight="1">
      <c r="A756" s="1427"/>
      <c r="B756" s="1428"/>
      <c r="C756" s="1429"/>
      <c r="D756" s="1430"/>
      <c r="E756" s="1441"/>
      <c r="F756" s="270"/>
      <c r="G756" s="270"/>
      <c r="H756" s="30"/>
      <c r="I756" s="30"/>
      <c r="J756" s="30"/>
      <c r="K756" s="30"/>
      <c r="L756" s="1432"/>
    </row>
    <row r="757" ht="38.25" customHeight="1">
      <c r="A757" s="1433"/>
      <c r="B757" s="1434"/>
      <c r="C757" s="1435"/>
      <c r="D757" s="1436"/>
      <c r="E757" s="1440"/>
      <c r="F757" s="269"/>
      <c r="G757" s="269"/>
      <c r="H757" s="28"/>
      <c r="I757" s="28"/>
      <c r="J757" s="28"/>
      <c r="K757" s="28"/>
      <c r="L757" s="1438"/>
    </row>
    <row r="758" ht="38.25" customHeight="1">
      <c r="A758" s="1427"/>
      <c r="B758" s="1428"/>
      <c r="C758" s="1429"/>
      <c r="D758" s="1430"/>
      <c r="E758" s="1441"/>
      <c r="F758" s="270"/>
      <c r="G758" s="270"/>
      <c r="H758" s="30"/>
      <c r="I758" s="30"/>
      <c r="J758" s="30"/>
      <c r="K758" s="30"/>
      <c r="L758" s="1432"/>
    </row>
    <row r="759" ht="38.25" customHeight="1">
      <c r="A759" s="1433"/>
      <c r="B759" s="1434"/>
      <c r="C759" s="1435"/>
      <c r="D759" s="1436"/>
      <c r="E759" s="1440"/>
      <c r="F759" s="269"/>
      <c r="G759" s="269"/>
      <c r="H759" s="28"/>
      <c r="I759" s="28"/>
      <c r="J759" s="28"/>
      <c r="K759" s="28"/>
      <c r="L759" s="1438"/>
    </row>
    <row r="760" ht="38.25" customHeight="1">
      <c r="A760" s="1427"/>
      <c r="B760" s="1428"/>
      <c r="C760" s="1429"/>
      <c r="D760" s="1430"/>
      <c r="E760" s="1441"/>
      <c r="F760" s="270"/>
      <c r="G760" s="270"/>
      <c r="H760" s="30"/>
      <c r="I760" s="30"/>
      <c r="J760" s="30"/>
      <c r="K760" s="30"/>
      <c r="L760" s="1432"/>
    </row>
    <row r="761" ht="38.25" customHeight="1">
      <c r="A761" s="1433"/>
      <c r="B761" s="1434"/>
      <c r="C761" s="1435"/>
      <c r="D761" s="1436"/>
      <c r="E761" s="1440"/>
      <c r="F761" s="269"/>
      <c r="G761" s="269"/>
      <c r="H761" s="28"/>
      <c r="I761" s="28"/>
      <c r="J761" s="28"/>
      <c r="K761" s="28"/>
      <c r="L761" s="1438"/>
    </row>
    <row r="762" ht="38.25" customHeight="1">
      <c r="A762" s="1427"/>
      <c r="B762" s="1428"/>
      <c r="C762" s="1429"/>
      <c r="D762" s="1430"/>
      <c r="E762" s="1441"/>
      <c r="F762" s="270"/>
      <c r="G762" s="270"/>
      <c r="H762" s="30"/>
      <c r="I762" s="30"/>
      <c r="J762" s="30"/>
      <c r="K762" s="30"/>
      <c r="L762" s="1432"/>
    </row>
    <row r="763" ht="38.25" customHeight="1">
      <c r="A763" s="1433"/>
      <c r="B763" s="1434"/>
      <c r="C763" s="1435"/>
      <c r="D763" s="1436"/>
      <c r="E763" s="1440"/>
      <c r="F763" s="269"/>
      <c r="G763" s="269"/>
      <c r="H763" s="28"/>
      <c r="I763" s="28"/>
      <c r="J763" s="28"/>
      <c r="K763" s="28"/>
      <c r="L763" s="1438"/>
    </row>
    <row r="764" ht="38.25" customHeight="1">
      <c r="A764" s="1427"/>
      <c r="B764" s="1428"/>
      <c r="C764" s="1429"/>
      <c r="D764" s="1430"/>
      <c r="E764" s="1441"/>
      <c r="F764" s="270"/>
      <c r="G764" s="270"/>
      <c r="H764" s="30"/>
      <c r="I764" s="30"/>
      <c r="J764" s="30"/>
      <c r="K764" s="30"/>
      <c r="L764" s="1432"/>
    </row>
    <row r="765" ht="38.25" customHeight="1">
      <c r="A765" s="1433"/>
      <c r="B765" s="1434"/>
      <c r="C765" s="1435"/>
      <c r="D765" s="1436"/>
      <c r="E765" s="1440"/>
      <c r="F765" s="269"/>
      <c r="G765" s="269"/>
      <c r="H765" s="28"/>
      <c r="I765" s="28"/>
      <c r="J765" s="28"/>
      <c r="K765" s="28"/>
      <c r="L765" s="1438"/>
    </row>
    <row r="766" ht="38.25" customHeight="1">
      <c r="A766" s="1427"/>
      <c r="B766" s="1428"/>
      <c r="C766" s="1429"/>
      <c r="D766" s="1430"/>
      <c r="E766" s="1441"/>
      <c r="F766" s="270"/>
      <c r="G766" s="270"/>
      <c r="H766" s="30"/>
      <c r="I766" s="30"/>
      <c r="J766" s="30"/>
      <c r="K766" s="30"/>
      <c r="L766" s="1432"/>
    </row>
    <row r="767" ht="38.25" customHeight="1">
      <c r="A767" s="1433"/>
      <c r="B767" s="1434"/>
      <c r="C767" s="1435"/>
      <c r="D767" s="1436"/>
      <c r="E767" s="1440"/>
      <c r="F767" s="269"/>
      <c r="G767" s="269"/>
      <c r="H767" s="28"/>
      <c r="I767" s="28"/>
      <c r="J767" s="28"/>
      <c r="K767" s="28"/>
      <c r="L767" s="1438"/>
    </row>
    <row r="768" ht="38.25" customHeight="1">
      <c r="A768" s="1427"/>
      <c r="B768" s="1428"/>
      <c r="C768" s="1429"/>
      <c r="D768" s="1430"/>
      <c r="E768" s="1441"/>
      <c r="F768" s="270"/>
      <c r="G768" s="270"/>
      <c r="H768" s="30"/>
      <c r="I768" s="30"/>
      <c r="J768" s="30"/>
      <c r="K768" s="30"/>
      <c r="L768" s="1432"/>
    </row>
    <row r="769" ht="38.25" customHeight="1">
      <c r="A769" s="1433"/>
      <c r="B769" s="1434"/>
      <c r="C769" s="1435"/>
      <c r="D769" s="1436"/>
      <c r="E769" s="1440"/>
      <c r="F769" s="269"/>
      <c r="G769" s="269"/>
      <c r="H769" s="28"/>
      <c r="I769" s="28"/>
      <c r="J769" s="28"/>
      <c r="K769" s="28"/>
      <c r="L769" s="1438"/>
    </row>
    <row r="770" ht="38.25" customHeight="1">
      <c r="A770" s="1427"/>
      <c r="B770" s="1428"/>
      <c r="C770" s="1429"/>
      <c r="D770" s="1430"/>
      <c r="E770" s="1441"/>
      <c r="F770" s="270"/>
      <c r="G770" s="270"/>
      <c r="H770" s="30"/>
      <c r="I770" s="30"/>
      <c r="J770" s="30"/>
      <c r="K770" s="30"/>
      <c r="L770" s="1432"/>
    </row>
    <row r="771" ht="38.25" customHeight="1">
      <c r="A771" s="1433"/>
      <c r="B771" s="1434"/>
      <c r="C771" s="1435"/>
      <c r="D771" s="1436"/>
      <c r="E771" s="1440"/>
      <c r="F771" s="269"/>
      <c r="G771" s="269"/>
      <c r="H771" s="28"/>
      <c r="I771" s="28"/>
      <c r="J771" s="28"/>
      <c r="K771" s="28"/>
      <c r="L771" s="1438"/>
    </row>
    <row r="772" ht="38.25" customHeight="1">
      <c r="A772" s="1427"/>
      <c r="B772" s="1428"/>
      <c r="C772" s="1429"/>
      <c r="D772" s="1430"/>
      <c r="E772" s="1441"/>
      <c r="F772" s="270"/>
      <c r="G772" s="270"/>
      <c r="H772" s="30"/>
      <c r="I772" s="30"/>
      <c r="J772" s="30"/>
      <c r="K772" s="30"/>
      <c r="L772" s="1432"/>
    </row>
    <row r="773" ht="38.25" customHeight="1">
      <c r="A773" s="1433"/>
      <c r="B773" s="1434"/>
      <c r="C773" s="1435"/>
      <c r="D773" s="1436"/>
      <c r="E773" s="1440"/>
      <c r="F773" s="269"/>
      <c r="G773" s="269"/>
      <c r="H773" s="28"/>
      <c r="I773" s="28"/>
      <c r="J773" s="28"/>
      <c r="K773" s="28"/>
      <c r="L773" s="1438"/>
    </row>
    <row r="774" ht="38.25" customHeight="1">
      <c r="A774" s="1427"/>
      <c r="B774" s="1428"/>
      <c r="C774" s="1429"/>
      <c r="D774" s="1430"/>
      <c r="E774" s="1441"/>
      <c r="F774" s="270"/>
      <c r="G774" s="270"/>
      <c r="H774" s="30"/>
      <c r="I774" s="30"/>
      <c r="J774" s="30"/>
      <c r="K774" s="30"/>
      <c r="L774" s="1432"/>
    </row>
    <row r="775" ht="38.25" customHeight="1">
      <c r="A775" s="1433"/>
      <c r="B775" s="1434"/>
      <c r="C775" s="1435"/>
      <c r="D775" s="1436"/>
      <c r="E775" s="1440"/>
      <c r="F775" s="269"/>
      <c r="G775" s="269"/>
      <c r="H775" s="28"/>
      <c r="I775" s="28"/>
      <c r="J775" s="28"/>
      <c r="K775" s="28"/>
      <c r="L775" s="1438"/>
    </row>
    <row r="776" ht="38.25" customHeight="1">
      <c r="A776" s="1427"/>
      <c r="B776" s="1428"/>
      <c r="C776" s="1429"/>
      <c r="D776" s="1430"/>
      <c r="E776" s="1441"/>
      <c r="F776" s="270"/>
      <c r="G776" s="270"/>
      <c r="H776" s="30"/>
      <c r="I776" s="30"/>
      <c r="J776" s="30"/>
      <c r="K776" s="30"/>
      <c r="L776" s="1432"/>
    </row>
    <row r="777" ht="38.25" customHeight="1">
      <c r="A777" s="1433"/>
      <c r="B777" s="1434"/>
      <c r="C777" s="1435"/>
      <c r="D777" s="1436"/>
      <c r="E777" s="1440"/>
      <c r="F777" s="269"/>
      <c r="G777" s="269"/>
      <c r="H777" s="28"/>
      <c r="I777" s="28"/>
      <c r="J777" s="28"/>
      <c r="K777" s="28"/>
      <c r="L777" s="1438"/>
    </row>
    <row r="778" ht="38.25" customHeight="1">
      <c r="A778" s="1427"/>
      <c r="B778" s="1428"/>
      <c r="C778" s="1429"/>
      <c r="D778" s="1430"/>
      <c r="E778" s="1441"/>
      <c r="F778" s="270"/>
      <c r="G778" s="270"/>
      <c r="H778" s="30"/>
      <c r="I778" s="30"/>
      <c r="J778" s="30"/>
      <c r="K778" s="30"/>
      <c r="L778" s="1432"/>
    </row>
    <row r="779" ht="38.25" customHeight="1">
      <c r="A779" s="1433"/>
      <c r="B779" s="1434"/>
      <c r="C779" s="1435"/>
      <c r="D779" s="1436"/>
      <c r="E779" s="1440"/>
      <c r="F779" s="269"/>
      <c r="G779" s="269"/>
      <c r="H779" s="28"/>
      <c r="I779" s="28"/>
      <c r="J779" s="28"/>
      <c r="K779" s="28"/>
      <c r="L779" s="1438"/>
    </row>
    <row r="780" ht="38.25" customHeight="1">
      <c r="A780" s="1427"/>
      <c r="B780" s="1428"/>
      <c r="C780" s="1429"/>
      <c r="D780" s="1430"/>
      <c r="E780" s="1441"/>
      <c r="F780" s="270"/>
      <c r="G780" s="270"/>
      <c r="H780" s="30"/>
      <c r="I780" s="30"/>
      <c r="J780" s="30"/>
      <c r="K780" s="30"/>
      <c r="L780" s="1432"/>
    </row>
    <row r="781" ht="38.25" customHeight="1">
      <c r="A781" s="1433"/>
      <c r="B781" s="1434"/>
      <c r="C781" s="1435"/>
      <c r="D781" s="1436"/>
      <c r="E781" s="1440"/>
      <c r="F781" s="269"/>
      <c r="G781" s="269"/>
      <c r="H781" s="28"/>
      <c r="I781" s="28"/>
      <c r="J781" s="28"/>
      <c r="K781" s="28"/>
      <c r="L781" s="1438"/>
    </row>
    <row r="782" ht="38.25" customHeight="1">
      <c r="A782" s="1427"/>
      <c r="B782" s="1428"/>
      <c r="C782" s="1429"/>
      <c r="D782" s="1430"/>
      <c r="E782" s="1441"/>
      <c r="F782" s="270"/>
      <c r="G782" s="270"/>
      <c r="H782" s="30"/>
      <c r="I782" s="30"/>
      <c r="J782" s="30"/>
      <c r="K782" s="30"/>
      <c r="L782" s="1432"/>
    </row>
    <row r="783" ht="38.25" customHeight="1">
      <c r="A783" s="1433"/>
      <c r="B783" s="1434"/>
      <c r="C783" s="1435"/>
      <c r="D783" s="1436"/>
      <c r="E783" s="1440"/>
      <c r="F783" s="269"/>
      <c r="G783" s="269"/>
      <c r="H783" s="28"/>
      <c r="I783" s="28"/>
      <c r="J783" s="28"/>
      <c r="K783" s="28"/>
      <c r="L783" s="1438"/>
    </row>
    <row r="784" ht="38.25" customHeight="1">
      <c r="A784" s="1427"/>
      <c r="B784" s="1428"/>
      <c r="C784" s="1429"/>
      <c r="D784" s="1430"/>
      <c r="E784" s="1441"/>
      <c r="F784" s="270"/>
      <c r="G784" s="270"/>
      <c r="H784" s="30"/>
      <c r="I784" s="30"/>
      <c r="J784" s="30"/>
      <c r="K784" s="30"/>
      <c r="L784" s="1432"/>
    </row>
    <row r="785" ht="38.25" customHeight="1">
      <c r="A785" s="1433"/>
      <c r="B785" s="1434"/>
      <c r="C785" s="1435"/>
      <c r="D785" s="1436"/>
      <c r="E785" s="1440"/>
      <c r="F785" s="269"/>
      <c r="G785" s="269"/>
      <c r="H785" s="28"/>
      <c r="I785" s="28"/>
      <c r="J785" s="28"/>
      <c r="K785" s="28"/>
      <c r="L785" s="1438"/>
    </row>
    <row r="786" ht="38.25" customHeight="1">
      <c r="A786" s="1427"/>
      <c r="B786" s="1428"/>
      <c r="C786" s="1429"/>
      <c r="D786" s="1430"/>
      <c r="E786" s="1441"/>
      <c r="F786" s="270"/>
      <c r="G786" s="270"/>
      <c r="H786" s="30"/>
      <c r="I786" s="30"/>
      <c r="J786" s="30"/>
      <c r="K786" s="30"/>
      <c r="L786" s="1432"/>
    </row>
    <row r="787" ht="38.25" customHeight="1">
      <c r="A787" s="1433"/>
      <c r="B787" s="1434"/>
      <c r="C787" s="1435"/>
      <c r="D787" s="1436"/>
      <c r="E787" s="1440"/>
      <c r="F787" s="269"/>
      <c r="G787" s="269"/>
      <c r="H787" s="28"/>
      <c r="I787" s="28"/>
      <c r="J787" s="28"/>
      <c r="K787" s="28"/>
      <c r="L787" s="1438"/>
    </row>
    <row r="788" ht="38.25" customHeight="1">
      <c r="A788" s="1427"/>
      <c r="B788" s="1428"/>
      <c r="C788" s="1429"/>
      <c r="D788" s="1430"/>
      <c r="E788" s="1441"/>
      <c r="F788" s="270"/>
      <c r="G788" s="270"/>
      <c r="H788" s="30"/>
      <c r="I788" s="30"/>
      <c r="J788" s="30"/>
      <c r="K788" s="30"/>
      <c r="L788" s="1432"/>
    </row>
    <row r="789" ht="38.25" customHeight="1">
      <c r="A789" s="1433"/>
      <c r="B789" s="1434"/>
      <c r="C789" s="1435"/>
      <c r="D789" s="1436"/>
      <c r="E789" s="1440"/>
      <c r="F789" s="269"/>
      <c r="G789" s="269"/>
      <c r="H789" s="28"/>
      <c r="I789" s="28"/>
      <c r="J789" s="28"/>
      <c r="K789" s="28"/>
      <c r="L789" s="1438"/>
    </row>
    <row r="790" ht="38.25" customHeight="1">
      <c r="A790" s="1427"/>
      <c r="B790" s="1428"/>
      <c r="C790" s="1429"/>
      <c r="D790" s="1430"/>
      <c r="E790" s="1441"/>
      <c r="F790" s="270"/>
      <c r="G790" s="270"/>
      <c r="H790" s="30"/>
      <c r="I790" s="30"/>
      <c r="J790" s="30"/>
      <c r="K790" s="30"/>
      <c r="L790" s="1432"/>
    </row>
    <row r="791" ht="38.25" customHeight="1">
      <c r="A791" s="1433"/>
      <c r="B791" s="1434"/>
      <c r="C791" s="1435"/>
      <c r="D791" s="1436"/>
      <c r="E791" s="1440"/>
      <c r="F791" s="269"/>
      <c r="G791" s="269"/>
      <c r="H791" s="28"/>
      <c r="I791" s="28"/>
      <c r="J791" s="28"/>
      <c r="K791" s="28"/>
      <c r="L791" s="1438"/>
    </row>
    <row r="792" ht="38.25" customHeight="1">
      <c r="A792" s="1427"/>
      <c r="B792" s="1428"/>
      <c r="C792" s="1429"/>
      <c r="D792" s="1430"/>
      <c r="E792" s="1441"/>
      <c r="F792" s="270"/>
      <c r="G792" s="270"/>
      <c r="H792" s="30"/>
      <c r="I792" s="30"/>
      <c r="J792" s="30"/>
      <c r="K792" s="30"/>
      <c r="L792" s="1432"/>
    </row>
    <row r="793" ht="38.25" customHeight="1">
      <c r="A793" s="1433"/>
      <c r="B793" s="1434"/>
      <c r="C793" s="1435"/>
      <c r="D793" s="1436"/>
      <c r="E793" s="1440"/>
      <c r="F793" s="269"/>
      <c r="G793" s="269"/>
      <c r="H793" s="28"/>
      <c r="I793" s="28"/>
      <c r="J793" s="28"/>
      <c r="K793" s="28"/>
      <c r="L793" s="1438"/>
    </row>
    <row r="794" ht="38.25" customHeight="1">
      <c r="A794" s="1427"/>
      <c r="B794" s="1428"/>
      <c r="C794" s="1429"/>
      <c r="D794" s="1430"/>
      <c r="E794" s="1441"/>
      <c r="F794" s="270"/>
      <c r="G794" s="270"/>
      <c r="H794" s="30"/>
      <c r="I794" s="30"/>
      <c r="J794" s="30"/>
      <c r="K794" s="30"/>
      <c r="L794" s="1432"/>
    </row>
    <row r="795" ht="38.25" customHeight="1">
      <c r="A795" s="1433"/>
      <c r="B795" s="1434"/>
      <c r="C795" s="1435"/>
      <c r="D795" s="1436"/>
      <c r="E795" s="1440"/>
      <c r="F795" s="269"/>
      <c r="G795" s="269"/>
      <c r="H795" s="28"/>
      <c r="I795" s="28"/>
      <c r="J795" s="28"/>
      <c r="K795" s="28"/>
      <c r="L795" s="1438"/>
    </row>
    <row r="796" ht="38.25" customHeight="1">
      <c r="A796" s="1427"/>
      <c r="B796" s="1428"/>
      <c r="C796" s="1429"/>
      <c r="D796" s="1430"/>
      <c r="E796" s="1441"/>
      <c r="F796" s="270"/>
      <c r="G796" s="270"/>
      <c r="H796" s="30"/>
      <c r="I796" s="30"/>
      <c r="J796" s="30"/>
      <c r="K796" s="30"/>
      <c r="L796" s="1432"/>
    </row>
    <row r="797" ht="38.25" customHeight="1">
      <c r="A797" s="1433"/>
      <c r="B797" s="1434"/>
      <c r="C797" s="1435"/>
      <c r="D797" s="1436"/>
      <c r="E797" s="1440"/>
      <c r="F797" s="269"/>
      <c r="G797" s="269"/>
      <c r="H797" s="28"/>
      <c r="I797" s="28"/>
      <c r="J797" s="28"/>
      <c r="K797" s="28"/>
      <c r="L797" s="1438"/>
    </row>
    <row r="798" ht="38.25" customHeight="1">
      <c r="A798" s="1427"/>
      <c r="B798" s="1428"/>
      <c r="C798" s="1429"/>
      <c r="D798" s="1430"/>
      <c r="E798" s="1441"/>
      <c r="F798" s="270"/>
      <c r="G798" s="270"/>
      <c r="H798" s="30"/>
      <c r="I798" s="30"/>
      <c r="J798" s="30"/>
      <c r="K798" s="30"/>
      <c r="L798" s="1432"/>
    </row>
    <row r="799" ht="38.25" customHeight="1">
      <c r="A799" s="1433"/>
      <c r="B799" s="1434"/>
      <c r="C799" s="1435"/>
      <c r="D799" s="1436"/>
      <c r="E799" s="1440"/>
      <c r="F799" s="269"/>
      <c r="G799" s="269"/>
      <c r="H799" s="28"/>
      <c r="I799" s="28"/>
      <c r="J799" s="28"/>
      <c r="K799" s="28"/>
      <c r="L799" s="1438"/>
    </row>
    <row r="800" ht="38.25" customHeight="1">
      <c r="A800" s="1427"/>
      <c r="B800" s="1428"/>
      <c r="C800" s="1429"/>
      <c r="D800" s="1430"/>
      <c r="E800" s="1441"/>
      <c r="F800" s="270"/>
      <c r="G800" s="270"/>
      <c r="H800" s="30"/>
      <c r="I800" s="30"/>
      <c r="J800" s="30"/>
      <c r="K800" s="30"/>
      <c r="L800" s="1432"/>
    </row>
    <row r="801" ht="38.25" customHeight="1">
      <c r="A801" s="1433"/>
      <c r="B801" s="1434"/>
      <c r="C801" s="1435"/>
      <c r="D801" s="1436"/>
      <c r="E801" s="1440"/>
      <c r="F801" s="269"/>
      <c r="G801" s="269"/>
      <c r="H801" s="28"/>
      <c r="I801" s="28"/>
      <c r="J801" s="28"/>
      <c r="K801" s="28"/>
      <c r="L801" s="1438"/>
    </row>
    <row r="802" ht="38.25" customHeight="1">
      <c r="A802" s="1427"/>
      <c r="B802" s="1428"/>
      <c r="C802" s="1429"/>
      <c r="D802" s="1430"/>
      <c r="E802" s="1441"/>
      <c r="F802" s="270"/>
      <c r="G802" s="270"/>
      <c r="H802" s="30"/>
      <c r="I802" s="30"/>
      <c r="J802" s="30"/>
      <c r="K802" s="30"/>
      <c r="L802" s="1432"/>
    </row>
    <row r="803" ht="38.25" customHeight="1">
      <c r="A803" s="1433"/>
      <c r="B803" s="1434"/>
      <c r="C803" s="1435"/>
      <c r="D803" s="1436"/>
      <c r="E803" s="1440"/>
      <c r="F803" s="269"/>
      <c r="G803" s="269"/>
      <c r="H803" s="28"/>
      <c r="I803" s="28"/>
      <c r="J803" s="28"/>
      <c r="K803" s="28"/>
      <c r="L803" s="1438"/>
    </row>
    <row r="804" ht="38.25" customHeight="1">
      <c r="A804" s="1427"/>
      <c r="B804" s="1428"/>
      <c r="C804" s="1429"/>
      <c r="D804" s="1430"/>
      <c r="E804" s="1441"/>
      <c r="F804" s="270"/>
      <c r="G804" s="270"/>
      <c r="H804" s="30"/>
      <c r="I804" s="30"/>
      <c r="J804" s="30"/>
      <c r="K804" s="30"/>
      <c r="L804" s="1432"/>
    </row>
    <row r="805" ht="38.25" customHeight="1">
      <c r="A805" s="1433"/>
      <c r="B805" s="1434"/>
      <c r="C805" s="1435"/>
      <c r="D805" s="1436"/>
      <c r="E805" s="1440"/>
      <c r="F805" s="269"/>
      <c r="G805" s="269"/>
      <c r="H805" s="28"/>
      <c r="I805" s="28"/>
      <c r="J805" s="28"/>
      <c r="K805" s="28"/>
      <c r="L805" s="1438"/>
    </row>
    <row r="806" ht="38.25" customHeight="1">
      <c r="A806" s="1427"/>
      <c r="B806" s="1428"/>
      <c r="C806" s="1429"/>
      <c r="D806" s="1430"/>
      <c r="E806" s="1441"/>
      <c r="F806" s="270"/>
      <c r="G806" s="270"/>
      <c r="H806" s="30"/>
      <c r="I806" s="30"/>
      <c r="J806" s="30"/>
      <c r="K806" s="30"/>
      <c r="L806" s="1432"/>
    </row>
    <row r="807" ht="38.25" customHeight="1">
      <c r="A807" s="1433"/>
      <c r="B807" s="1434"/>
      <c r="C807" s="1435"/>
      <c r="D807" s="1436"/>
      <c r="E807" s="1440"/>
      <c r="F807" s="269"/>
      <c r="G807" s="269"/>
      <c r="H807" s="28"/>
      <c r="I807" s="28"/>
      <c r="J807" s="28"/>
      <c r="K807" s="28"/>
      <c r="L807" s="1438"/>
    </row>
    <row r="808" ht="38.25" customHeight="1">
      <c r="A808" s="1427"/>
      <c r="B808" s="1428"/>
      <c r="C808" s="1429"/>
      <c r="D808" s="1430"/>
      <c r="E808" s="1441"/>
      <c r="F808" s="270"/>
      <c r="G808" s="270"/>
      <c r="H808" s="30"/>
      <c r="I808" s="30"/>
      <c r="J808" s="30"/>
      <c r="K808" s="30"/>
      <c r="L808" s="1432"/>
    </row>
    <row r="809" ht="38.25" customHeight="1">
      <c r="A809" s="1433"/>
      <c r="B809" s="1434"/>
      <c r="C809" s="1435"/>
      <c r="D809" s="1436"/>
      <c r="E809" s="1440"/>
      <c r="F809" s="269"/>
      <c r="G809" s="269"/>
      <c r="H809" s="28"/>
      <c r="I809" s="28"/>
      <c r="J809" s="28"/>
      <c r="K809" s="28"/>
      <c r="L809" s="1438"/>
    </row>
    <row r="810" ht="38.25" customHeight="1">
      <c r="A810" s="1427"/>
      <c r="B810" s="1428"/>
      <c r="C810" s="1429"/>
      <c r="D810" s="1430"/>
      <c r="E810" s="1441"/>
      <c r="F810" s="270"/>
      <c r="G810" s="270"/>
      <c r="H810" s="30"/>
      <c r="I810" s="30"/>
      <c r="J810" s="30"/>
      <c r="K810" s="30"/>
      <c r="L810" s="1432"/>
    </row>
    <row r="811" ht="38.25" customHeight="1">
      <c r="A811" s="1433"/>
      <c r="B811" s="1434"/>
      <c r="C811" s="1435"/>
      <c r="D811" s="1436"/>
      <c r="E811" s="1440"/>
      <c r="F811" s="269"/>
      <c r="G811" s="269"/>
      <c r="H811" s="28"/>
      <c r="I811" s="28"/>
      <c r="J811" s="28"/>
      <c r="K811" s="28"/>
      <c r="L811" s="1438"/>
    </row>
    <row r="812" ht="38.25" customHeight="1">
      <c r="A812" s="1427"/>
      <c r="B812" s="1428"/>
      <c r="C812" s="1429"/>
      <c r="D812" s="1430"/>
      <c r="E812" s="1441"/>
      <c r="F812" s="270"/>
      <c r="G812" s="270"/>
      <c r="H812" s="30"/>
      <c r="I812" s="30"/>
      <c r="J812" s="30"/>
      <c r="K812" s="30"/>
      <c r="L812" s="1432"/>
    </row>
    <row r="813" ht="38.25" customHeight="1">
      <c r="A813" s="1433"/>
      <c r="B813" s="1434"/>
      <c r="C813" s="1435"/>
      <c r="D813" s="1436"/>
      <c r="E813" s="1440"/>
      <c r="F813" s="269"/>
      <c r="G813" s="269"/>
      <c r="H813" s="28"/>
      <c r="I813" s="28"/>
      <c r="J813" s="28"/>
      <c r="K813" s="28"/>
      <c r="L813" s="1438"/>
    </row>
    <row r="814" ht="38.25" customHeight="1">
      <c r="A814" s="1427"/>
      <c r="B814" s="1428"/>
      <c r="C814" s="1429"/>
      <c r="D814" s="1430"/>
      <c r="E814" s="1441"/>
      <c r="F814" s="270"/>
      <c r="G814" s="270"/>
      <c r="H814" s="30"/>
      <c r="I814" s="30"/>
      <c r="J814" s="30"/>
      <c r="K814" s="30"/>
      <c r="L814" s="1432"/>
    </row>
    <row r="815" ht="38.25" customHeight="1">
      <c r="A815" s="1433"/>
      <c r="B815" s="1434"/>
      <c r="C815" s="1435"/>
      <c r="D815" s="1436"/>
      <c r="E815" s="1440"/>
      <c r="F815" s="269"/>
      <c r="G815" s="269"/>
      <c r="H815" s="28"/>
      <c r="I815" s="28"/>
      <c r="J815" s="28"/>
      <c r="K815" s="28"/>
      <c r="L815" s="1438"/>
    </row>
    <row r="816" ht="38.25" customHeight="1">
      <c r="A816" s="1427"/>
      <c r="B816" s="1428"/>
      <c r="C816" s="1429"/>
      <c r="D816" s="1430"/>
      <c r="E816" s="1441"/>
      <c r="F816" s="270"/>
      <c r="G816" s="270"/>
      <c r="H816" s="30"/>
      <c r="I816" s="30"/>
      <c r="J816" s="30"/>
      <c r="K816" s="30"/>
      <c r="L816" s="1432"/>
    </row>
    <row r="817" ht="38.25" customHeight="1">
      <c r="A817" s="1433"/>
      <c r="B817" s="1434"/>
      <c r="C817" s="1435"/>
      <c r="D817" s="1436"/>
      <c r="E817" s="1440"/>
      <c r="F817" s="269"/>
      <c r="G817" s="269"/>
      <c r="H817" s="28"/>
      <c r="I817" s="28"/>
      <c r="J817" s="28"/>
      <c r="K817" s="28"/>
      <c r="L817" s="1438"/>
    </row>
    <row r="818" ht="38.25" customHeight="1">
      <c r="A818" s="1427"/>
      <c r="B818" s="1428"/>
      <c r="C818" s="1429"/>
      <c r="D818" s="1430"/>
      <c r="E818" s="1441"/>
      <c r="F818" s="270"/>
      <c r="G818" s="270"/>
      <c r="H818" s="30"/>
      <c r="I818" s="30"/>
      <c r="J818" s="30"/>
      <c r="K818" s="30"/>
      <c r="L818" s="1432"/>
    </row>
    <row r="819" ht="38.25" customHeight="1">
      <c r="A819" s="1433"/>
      <c r="B819" s="1434"/>
      <c r="C819" s="1435"/>
      <c r="D819" s="1436"/>
      <c r="E819" s="1440"/>
      <c r="F819" s="269"/>
      <c r="G819" s="269"/>
      <c r="H819" s="28"/>
      <c r="I819" s="28"/>
      <c r="J819" s="28"/>
      <c r="K819" s="28"/>
      <c r="L819" s="1438"/>
    </row>
    <row r="820" ht="38.25" customHeight="1">
      <c r="A820" s="1427"/>
      <c r="B820" s="1428"/>
      <c r="C820" s="1429"/>
      <c r="D820" s="1430"/>
      <c r="E820" s="1441"/>
      <c r="F820" s="270"/>
      <c r="G820" s="270"/>
      <c r="H820" s="30"/>
      <c r="I820" s="30"/>
      <c r="J820" s="30"/>
      <c r="K820" s="30"/>
      <c r="L820" s="1432"/>
    </row>
    <row r="821" ht="38.25" customHeight="1">
      <c r="A821" s="1433"/>
      <c r="B821" s="1434"/>
      <c r="C821" s="1435"/>
      <c r="D821" s="1436"/>
      <c r="E821" s="1440"/>
      <c r="F821" s="269"/>
      <c r="G821" s="269"/>
      <c r="H821" s="28"/>
      <c r="I821" s="28"/>
      <c r="J821" s="28"/>
      <c r="K821" s="28"/>
      <c r="L821" s="1438"/>
    </row>
    <row r="822" ht="38.25" customHeight="1">
      <c r="A822" s="1427"/>
      <c r="B822" s="1428"/>
      <c r="C822" s="1429"/>
      <c r="D822" s="1430"/>
      <c r="E822" s="1441"/>
      <c r="F822" s="270"/>
      <c r="G822" s="270"/>
      <c r="H822" s="30"/>
      <c r="I822" s="30"/>
      <c r="J822" s="30"/>
      <c r="K822" s="30"/>
      <c r="L822" s="1432"/>
    </row>
    <row r="823" ht="38.25" customHeight="1">
      <c r="A823" s="1433"/>
      <c r="B823" s="1434"/>
      <c r="C823" s="1435"/>
      <c r="D823" s="1436"/>
      <c r="E823" s="1440"/>
      <c r="F823" s="269"/>
      <c r="G823" s="269"/>
      <c r="H823" s="28"/>
      <c r="I823" s="28"/>
      <c r="J823" s="28"/>
      <c r="K823" s="28"/>
      <c r="L823" s="1438"/>
    </row>
    <row r="824" ht="38.25" customHeight="1">
      <c r="A824" s="1427"/>
      <c r="B824" s="1428"/>
      <c r="C824" s="1429"/>
      <c r="D824" s="1430"/>
      <c r="E824" s="1441"/>
      <c r="F824" s="270"/>
      <c r="G824" s="270"/>
      <c r="H824" s="30"/>
      <c r="I824" s="30"/>
      <c r="J824" s="30"/>
      <c r="K824" s="30"/>
      <c r="L824" s="1432"/>
    </row>
    <row r="825" ht="38.25" customHeight="1">
      <c r="A825" s="1433"/>
      <c r="B825" s="1434"/>
      <c r="C825" s="1435"/>
      <c r="D825" s="1436"/>
      <c r="E825" s="1440"/>
      <c r="F825" s="269"/>
      <c r="G825" s="269"/>
      <c r="H825" s="28"/>
      <c r="I825" s="28"/>
      <c r="J825" s="28"/>
      <c r="K825" s="28"/>
      <c r="L825" s="1438"/>
    </row>
    <row r="826" ht="38.25" customHeight="1">
      <c r="A826" s="1427"/>
      <c r="B826" s="1428"/>
      <c r="C826" s="1429"/>
      <c r="D826" s="1430"/>
      <c r="E826" s="1441"/>
      <c r="F826" s="270"/>
      <c r="G826" s="270"/>
      <c r="H826" s="30"/>
      <c r="I826" s="30"/>
      <c r="J826" s="30"/>
      <c r="K826" s="30"/>
      <c r="L826" s="1432"/>
    </row>
    <row r="827" ht="38.25" customHeight="1">
      <c r="A827" s="1433"/>
      <c r="B827" s="1434"/>
      <c r="C827" s="1435"/>
      <c r="D827" s="1436"/>
      <c r="E827" s="1440"/>
      <c r="F827" s="269"/>
      <c r="G827" s="269"/>
      <c r="H827" s="28"/>
      <c r="I827" s="28"/>
      <c r="J827" s="28"/>
      <c r="K827" s="28"/>
      <c r="L827" s="1438"/>
    </row>
    <row r="828" ht="38.25" customHeight="1">
      <c r="A828" s="1427"/>
      <c r="B828" s="1428"/>
      <c r="C828" s="1429"/>
      <c r="D828" s="1430"/>
      <c r="E828" s="1441"/>
      <c r="F828" s="270"/>
      <c r="G828" s="270"/>
      <c r="H828" s="30"/>
      <c r="I828" s="30"/>
      <c r="J828" s="30"/>
      <c r="K828" s="30"/>
      <c r="L828" s="1432"/>
    </row>
    <row r="829" ht="38.25" customHeight="1">
      <c r="A829" s="1433"/>
      <c r="B829" s="1434"/>
      <c r="C829" s="1435"/>
      <c r="D829" s="1436"/>
      <c r="E829" s="1440"/>
      <c r="F829" s="269"/>
      <c r="G829" s="269"/>
      <c r="H829" s="28"/>
      <c r="I829" s="28"/>
      <c r="J829" s="28"/>
      <c r="K829" s="28"/>
      <c r="L829" s="1438"/>
    </row>
    <row r="830" ht="38.25" customHeight="1">
      <c r="A830" s="1427"/>
      <c r="B830" s="1428"/>
      <c r="C830" s="1429"/>
      <c r="D830" s="1430"/>
      <c r="E830" s="1441"/>
      <c r="F830" s="270"/>
      <c r="G830" s="270"/>
      <c r="H830" s="30"/>
      <c r="I830" s="30"/>
      <c r="J830" s="30"/>
      <c r="K830" s="30"/>
      <c r="L830" s="1432"/>
    </row>
    <row r="831" ht="38.25" customHeight="1">
      <c r="A831" s="1433"/>
      <c r="B831" s="1434"/>
      <c r="C831" s="1435"/>
      <c r="D831" s="1436"/>
      <c r="E831" s="1440"/>
      <c r="F831" s="269"/>
      <c r="G831" s="269"/>
      <c r="H831" s="28"/>
      <c r="I831" s="28"/>
      <c r="J831" s="28"/>
      <c r="K831" s="28"/>
      <c r="L831" s="1438"/>
    </row>
    <row r="832" ht="38.25" customHeight="1">
      <c r="A832" s="1427"/>
      <c r="B832" s="1428"/>
      <c r="C832" s="1429"/>
      <c r="D832" s="1430"/>
      <c r="E832" s="1441"/>
      <c r="F832" s="270"/>
      <c r="G832" s="270"/>
      <c r="H832" s="30"/>
      <c r="I832" s="30"/>
      <c r="J832" s="30"/>
      <c r="K832" s="30"/>
      <c r="L832" s="1432"/>
    </row>
    <row r="833" ht="38.25" customHeight="1">
      <c r="A833" s="1433"/>
      <c r="B833" s="1434"/>
      <c r="C833" s="1435"/>
      <c r="D833" s="1436"/>
      <c r="E833" s="1440"/>
      <c r="F833" s="269"/>
      <c r="G833" s="269"/>
      <c r="H833" s="28"/>
      <c r="I833" s="28"/>
      <c r="J833" s="28"/>
      <c r="K833" s="28"/>
      <c r="L833" s="1438"/>
    </row>
    <row r="834" ht="38.25" customHeight="1">
      <c r="A834" s="1427"/>
      <c r="B834" s="1428"/>
      <c r="C834" s="1429"/>
      <c r="D834" s="1430"/>
      <c r="E834" s="1441"/>
      <c r="F834" s="270"/>
      <c r="G834" s="270"/>
      <c r="H834" s="30"/>
      <c r="I834" s="30"/>
      <c r="J834" s="30"/>
      <c r="K834" s="30"/>
      <c r="L834" s="1432"/>
    </row>
    <row r="835" ht="38.25" customHeight="1">
      <c r="A835" s="1433"/>
      <c r="B835" s="1434"/>
      <c r="C835" s="1435"/>
      <c r="D835" s="1436"/>
      <c r="E835" s="1440"/>
      <c r="F835" s="269"/>
      <c r="G835" s="269"/>
      <c r="H835" s="28"/>
      <c r="I835" s="28"/>
      <c r="J835" s="28"/>
      <c r="K835" s="28"/>
      <c r="L835" s="1438"/>
    </row>
    <row r="836" ht="38.25" customHeight="1">
      <c r="A836" s="1427"/>
      <c r="B836" s="1428"/>
      <c r="C836" s="1429"/>
      <c r="D836" s="1430"/>
      <c r="E836" s="1441"/>
      <c r="F836" s="270"/>
      <c r="G836" s="270"/>
      <c r="H836" s="30"/>
      <c r="I836" s="30"/>
      <c r="J836" s="30"/>
      <c r="K836" s="30"/>
      <c r="L836" s="1432"/>
    </row>
    <row r="837" ht="38.25" customHeight="1">
      <c r="A837" s="1433"/>
      <c r="B837" s="1434"/>
      <c r="C837" s="1435"/>
      <c r="D837" s="1436"/>
      <c r="E837" s="1440"/>
      <c r="F837" s="269"/>
      <c r="G837" s="269"/>
      <c r="H837" s="28"/>
      <c r="I837" s="28"/>
      <c r="J837" s="28"/>
      <c r="K837" s="28"/>
      <c r="L837" s="1438"/>
    </row>
    <row r="838" ht="38.25" customHeight="1">
      <c r="A838" s="1427"/>
      <c r="B838" s="1428"/>
      <c r="C838" s="1429"/>
      <c r="D838" s="1430"/>
      <c r="E838" s="1441"/>
      <c r="F838" s="270"/>
      <c r="G838" s="270"/>
      <c r="H838" s="30"/>
      <c r="I838" s="30"/>
      <c r="J838" s="30"/>
      <c r="K838" s="30"/>
      <c r="L838" s="1432"/>
    </row>
    <row r="839" ht="38.25" customHeight="1">
      <c r="A839" s="1433"/>
      <c r="B839" s="1434"/>
      <c r="C839" s="1435"/>
      <c r="D839" s="1436"/>
      <c r="E839" s="1440"/>
      <c r="F839" s="269"/>
      <c r="G839" s="269"/>
      <c r="H839" s="28"/>
      <c r="I839" s="28"/>
      <c r="J839" s="28"/>
      <c r="K839" s="28"/>
      <c r="L839" s="1438"/>
    </row>
    <row r="840" ht="38.25" customHeight="1">
      <c r="A840" s="1427"/>
      <c r="B840" s="1428"/>
      <c r="C840" s="1429"/>
      <c r="D840" s="1430"/>
      <c r="E840" s="1441"/>
      <c r="F840" s="270"/>
      <c r="G840" s="270"/>
      <c r="H840" s="30"/>
      <c r="I840" s="30"/>
      <c r="J840" s="30"/>
      <c r="K840" s="30"/>
      <c r="L840" s="1432"/>
    </row>
    <row r="841" ht="38.25" customHeight="1">
      <c r="A841" s="1433"/>
      <c r="B841" s="1434"/>
      <c r="C841" s="1435"/>
      <c r="D841" s="1436"/>
      <c r="E841" s="1440"/>
      <c r="F841" s="269"/>
      <c r="G841" s="269"/>
      <c r="H841" s="28"/>
      <c r="I841" s="28"/>
      <c r="J841" s="28"/>
      <c r="K841" s="28"/>
      <c r="L841" s="1438"/>
    </row>
    <row r="842" ht="38.25" customHeight="1">
      <c r="A842" s="1427"/>
      <c r="B842" s="1428"/>
      <c r="C842" s="1429"/>
      <c r="D842" s="1430"/>
      <c r="E842" s="1441"/>
      <c r="F842" s="270"/>
      <c r="G842" s="270"/>
      <c r="H842" s="30"/>
      <c r="I842" s="30"/>
      <c r="J842" s="30"/>
      <c r="K842" s="30"/>
      <c r="L842" s="1432"/>
    </row>
    <row r="843" ht="38.25" customHeight="1">
      <c r="A843" s="1433"/>
      <c r="B843" s="1434"/>
      <c r="C843" s="1435"/>
      <c r="D843" s="1436"/>
      <c r="E843" s="1440"/>
      <c r="F843" s="269"/>
      <c r="G843" s="269"/>
      <c r="H843" s="28"/>
      <c r="I843" s="28"/>
      <c r="J843" s="28"/>
      <c r="K843" s="28"/>
      <c r="L843" s="1438"/>
    </row>
    <row r="844" ht="38.25" customHeight="1">
      <c r="A844" s="1427"/>
      <c r="B844" s="1428"/>
      <c r="C844" s="1429"/>
      <c r="D844" s="1430"/>
      <c r="E844" s="1441"/>
      <c r="F844" s="270"/>
      <c r="G844" s="270"/>
      <c r="H844" s="30"/>
      <c r="I844" s="30"/>
      <c r="J844" s="30"/>
      <c r="K844" s="30"/>
      <c r="L844" s="1432"/>
    </row>
    <row r="845" ht="38.25" customHeight="1">
      <c r="A845" s="1433"/>
      <c r="B845" s="1434"/>
      <c r="C845" s="1435"/>
      <c r="D845" s="1436"/>
      <c r="E845" s="1440"/>
      <c r="F845" s="269"/>
      <c r="G845" s="269"/>
      <c r="H845" s="28"/>
      <c r="I845" s="28"/>
      <c r="J845" s="28"/>
      <c r="K845" s="28"/>
      <c r="L845" s="1438"/>
    </row>
    <row r="846" ht="38.25" customHeight="1">
      <c r="A846" s="1427"/>
      <c r="B846" s="1428"/>
      <c r="C846" s="1429"/>
      <c r="D846" s="1430"/>
      <c r="E846" s="1441"/>
      <c r="F846" s="270"/>
      <c r="G846" s="270"/>
      <c r="H846" s="30"/>
      <c r="I846" s="30"/>
      <c r="J846" s="30"/>
      <c r="K846" s="30"/>
      <c r="L846" s="1432"/>
    </row>
    <row r="847" ht="38.25" customHeight="1">
      <c r="A847" s="1433"/>
      <c r="B847" s="1434"/>
      <c r="C847" s="1435"/>
      <c r="D847" s="1436"/>
      <c r="E847" s="1440"/>
      <c r="F847" s="269"/>
      <c r="G847" s="269"/>
      <c r="H847" s="28"/>
      <c r="I847" s="28"/>
      <c r="J847" s="28"/>
      <c r="K847" s="28"/>
      <c r="L847" s="1438"/>
    </row>
    <row r="848" ht="38.25" customHeight="1">
      <c r="A848" s="1427"/>
      <c r="B848" s="1428"/>
      <c r="C848" s="1429"/>
      <c r="D848" s="1430"/>
      <c r="E848" s="1441"/>
      <c r="F848" s="270"/>
      <c r="G848" s="270"/>
      <c r="H848" s="30"/>
      <c r="I848" s="30"/>
      <c r="J848" s="30"/>
      <c r="K848" s="30"/>
      <c r="L848" s="1432"/>
    </row>
    <row r="849" ht="38.25" customHeight="1">
      <c r="A849" s="1433"/>
      <c r="B849" s="1434"/>
      <c r="C849" s="1435"/>
      <c r="D849" s="1436"/>
      <c r="E849" s="1440"/>
      <c r="F849" s="269"/>
      <c r="G849" s="269"/>
      <c r="H849" s="28"/>
      <c r="I849" s="28"/>
      <c r="J849" s="28"/>
      <c r="K849" s="28"/>
      <c r="L849" s="1438"/>
    </row>
    <row r="850" ht="38.25" customHeight="1">
      <c r="A850" s="1427"/>
      <c r="B850" s="1428"/>
      <c r="C850" s="1429"/>
      <c r="D850" s="1430"/>
      <c r="E850" s="1441"/>
      <c r="F850" s="270"/>
      <c r="G850" s="270"/>
      <c r="H850" s="30"/>
      <c r="I850" s="30"/>
      <c r="J850" s="30"/>
      <c r="K850" s="30"/>
      <c r="L850" s="1432"/>
    </row>
    <row r="851" ht="38.25" customHeight="1">
      <c r="A851" s="1433"/>
      <c r="B851" s="1434"/>
      <c r="C851" s="1435"/>
      <c r="D851" s="1436"/>
      <c r="E851" s="1440"/>
      <c r="F851" s="269"/>
      <c r="G851" s="269"/>
      <c r="H851" s="28"/>
      <c r="I851" s="28"/>
      <c r="J851" s="28"/>
      <c r="K851" s="28"/>
      <c r="L851" s="1438"/>
    </row>
    <row r="852" ht="38.25" customHeight="1">
      <c r="A852" s="1427"/>
      <c r="B852" s="1428"/>
      <c r="C852" s="1429"/>
      <c r="D852" s="1430"/>
      <c r="E852" s="1441"/>
      <c r="F852" s="270"/>
      <c r="G852" s="270"/>
      <c r="H852" s="30"/>
      <c r="I852" s="30"/>
      <c r="J852" s="30"/>
      <c r="K852" s="30"/>
      <c r="L852" s="1432"/>
    </row>
    <row r="853" ht="38.25" customHeight="1">
      <c r="A853" s="1433"/>
      <c r="B853" s="1434"/>
      <c r="C853" s="1435"/>
      <c r="D853" s="1436"/>
      <c r="E853" s="1440"/>
      <c r="F853" s="269"/>
      <c r="G853" s="269"/>
      <c r="H853" s="28"/>
      <c r="I853" s="28"/>
      <c r="J853" s="28"/>
      <c r="K853" s="28"/>
      <c r="L853" s="1438"/>
    </row>
    <row r="854" ht="38.25" customHeight="1">
      <c r="A854" s="1427"/>
      <c r="B854" s="1428"/>
      <c r="C854" s="1429"/>
      <c r="D854" s="1430"/>
      <c r="E854" s="1441"/>
      <c r="F854" s="270"/>
      <c r="G854" s="270"/>
      <c r="H854" s="30"/>
      <c r="I854" s="30"/>
      <c r="J854" s="30"/>
      <c r="K854" s="30"/>
      <c r="L854" s="1432"/>
    </row>
    <row r="855" ht="38.25" customHeight="1">
      <c r="A855" s="1433"/>
      <c r="B855" s="1434"/>
      <c r="C855" s="1435"/>
      <c r="D855" s="1436"/>
      <c r="E855" s="1440"/>
      <c r="F855" s="269"/>
      <c r="G855" s="269"/>
      <c r="H855" s="28"/>
      <c r="I855" s="28"/>
      <c r="J855" s="28"/>
      <c r="K855" s="28"/>
      <c r="L855" s="1438"/>
    </row>
    <row r="856" ht="38.25" customHeight="1">
      <c r="A856" s="1427"/>
      <c r="B856" s="1428"/>
      <c r="C856" s="1429"/>
      <c r="D856" s="1430"/>
      <c r="E856" s="1441"/>
      <c r="F856" s="270"/>
      <c r="G856" s="270"/>
      <c r="H856" s="30"/>
      <c r="I856" s="30"/>
      <c r="J856" s="30"/>
      <c r="K856" s="30"/>
      <c r="L856" s="1432"/>
    </row>
    <row r="857" ht="38.25" customHeight="1">
      <c r="A857" s="1433"/>
      <c r="B857" s="1434"/>
      <c r="C857" s="1435"/>
      <c r="D857" s="1436"/>
      <c r="E857" s="1440"/>
      <c r="F857" s="269"/>
      <c r="G857" s="269"/>
      <c r="H857" s="28"/>
      <c r="I857" s="28"/>
      <c r="J857" s="28"/>
      <c r="K857" s="28"/>
      <c r="L857" s="1438"/>
    </row>
    <row r="858" ht="38.25" customHeight="1">
      <c r="A858" s="1427"/>
      <c r="B858" s="1428"/>
      <c r="C858" s="1429"/>
      <c r="D858" s="1430"/>
      <c r="E858" s="1441"/>
      <c r="F858" s="270"/>
      <c r="G858" s="270"/>
      <c r="H858" s="30"/>
      <c r="I858" s="30"/>
      <c r="J858" s="30"/>
      <c r="K858" s="30"/>
      <c r="L858" s="1432"/>
    </row>
    <row r="859" ht="38.25" customHeight="1">
      <c r="A859" s="1433"/>
      <c r="B859" s="1434"/>
      <c r="C859" s="1435"/>
      <c r="D859" s="1436"/>
      <c r="E859" s="1440"/>
      <c r="F859" s="269"/>
      <c r="G859" s="269"/>
      <c r="H859" s="28"/>
      <c r="I859" s="28"/>
      <c r="J859" s="28"/>
      <c r="K859" s="28"/>
      <c r="L859" s="1438"/>
    </row>
    <row r="860" ht="38.25" customHeight="1">
      <c r="A860" s="1427"/>
      <c r="B860" s="1428"/>
      <c r="C860" s="1429"/>
      <c r="D860" s="1430"/>
      <c r="E860" s="1441"/>
      <c r="F860" s="270"/>
      <c r="G860" s="270"/>
      <c r="H860" s="30"/>
      <c r="I860" s="30"/>
      <c r="J860" s="30"/>
      <c r="K860" s="30"/>
      <c r="L860" s="1432"/>
    </row>
    <row r="861" ht="38.25" customHeight="1">
      <c r="A861" s="1433"/>
      <c r="B861" s="1434"/>
      <c r="C861" s="1435"/>
      <c r="D861" s="1436"/>
      <c r="E861" s="1440"/>
      <c r="F861" s="269"/>
      <c r="G861" s="269"/>
      <c r="H861" s="28"/>
      <c r="I861" s="28"/>
      <c r="J861" s="28"/>
      <c r="K861" s="28"/>
      <c r="L861" s="1438"/>
    </row>
    <row r="862" ht="38.25" customHeight="1">
      <c r="A862" s="1427"/>
      <c r="B862" s="1428"/>
      <c r="C862" s="1429"/>
      <c r="D862" s="1430"/>
      <c r="E862" s="1441"/>
      <c r="F862" s="270"/>
      <c r="G862" s="270"/>
      <c r="H862" s="30"/>
      <c r="I862" s="30"/>
      <c r="J862" s="30"/>
      <c r="K862" s="30"/>
      <c r="L862" s="1432"/>
    </row>
    <row r="863" ht="38.25" customHeight="1">
      <c r="A863" s="1433"/>
      <c r="B863" s="1434"/>
      <c r="C863" s="1435"/>
      <c r="D863" s="1436"/>
      <c r="E863" s="1440"/>
      <c r="F863" s="269"/>
      <c r="G863" s="269"/>
      <c r="H863" s="28"/>
      <c r="I863" s="28"/>
      <c r="J863" s="28"/>
      <c r="K863" s="28"/>
      <c r="L863" s="1438"/>
    </row>
    <row r="864" ht="38.25" customHeight="1">
      <c r="A864" s="1427"/>
      <c r="B864" s="1428"/>
      <c r="C864" s="1429"/>
      <c r="D864" s="1430"/>
      <c r="E864" s="1441"/>
      <c r="F864" s="270"/>
      <c r="G864" s="270"/>
      <c r="H864" s="30"/>
      <c r="I864" s="30"/>
      <c r="J864" s="30"/>
      <c r="K864" s="30"/>
      <c r="L864" s="1432"/>
    </row>
    <row r="865" ht="38.25" customHeight="1">
      <c r="A865" s="1433"/>
      <c r="B865" s="1434"/>
      <c r="C865" s="1435"/>
      <c r="D865" s="1436"/>
      <c r="E865" s="1440"/>
      <c r="F865" s="269"/>
      <c r="G865" s="269"/>
      <c r="H865" s="28"/>
      <c r="I865" s="28"/>
      <c r="J865" s="28"/>
      <c r="K865" s="28"/>
      <c r="L865" s="1438"/>
    </row>
    <row r="866" ht="38.25" customHeight="1">
      <c r="A866" s="1427"/>
      <c r="B866" s="1428"/>
      <c r="C866" s="1429"/>
      <c r="D866" s="1430"/>
      <c r="E866" s="1441"/>
      <c r="F866" s="270"/>
      <c r="G866" s="270"/>
      <c r="H866" s="30"/>
      <c r="I866" s="30"/>
      <c r="J866" s="30"/>
      <c r="K866" s="30"/>
      <c r="L866" s="1432"/>
    </row>
    <row r="867" ht="38.25" customHeight="1">
      <c r="A867" s="1433"/>
      <c r="B867" s="1434"/>
      <c r="C867" s="1435"/>
      <c r="D867" s="1436"/>
      <c r="E867" s="1440"/>
      <c r="F867" s="269"/>
      <c r="G867" s="269"/>
      <c r="H867" s="28"/>
      <c r="I867" s="28"/>
      <c r="J867" s="28"/>
      <c r="K867" s="28"/>
      <c r="L867" s="1438"/>
    </row>
    <row r="868" ht="38.25" customHeight="1">
      <c r="A868" s="1427"/>
      <c r="B868" s="1428"/>
      <c r="C868" s="1429"/>
      <c r="D868" s="1430"/>
      <c r="E868" s="1441"/>
      <c r="F868" s="270"/>
      <c r="G868" s="270"/>
      <c r="H868" s="30"/>
      <c r="I868" s="30"/>
      <c r="J868" s="30"/>
      <c r="K868" s="30"/>
      <c r="L868" s="1432"/>
    </row>
    <row r="869" ht="38.25" customHeight="1">
      <c r="A869" s="1433"/>
      <c r="B869" s="1434"/>
      <c r="C869" s="1435"/>
      <c r="D869" s="1436"/>
      <c r="E869" s="1440"/>
      <c r="F869" s="269"/>
      <c r="G869" s="269"/>
      <c r="H869" s="28"/>
      <c r="I869" s="28"/>
      <c r="J869" s="28"/>
      <c r="K869" s="28"/>
      <c r="L869" s="1438"/>
    </row>
    <row r="870" ht="38.25" customHeight="1">
      <c r="A870" s="1427"/>
      <c r="B870" s="1428"/>
      <c r="C870" s="1429"/>
      <c r="D870" s="1430"/>
      <c r="E870" s="1441"/>
      <c r="F870" s="270"/>
      <c r="G870" s="270"/>
      <c r="H870" s="30"/>
      <c r="I870" s="30"/>
      <c r="J870" s="30"/>
      <c r="K870" s="30"/>
      <c r="L870" s="1432"/>
    </row>
    <row r="871" ht="38.25" customHeight="1">
      <c r="A871" s="1433"/>
      <c r="B871" s="1434"/>
      <c r="C871" s="1435"/>
      <c r="D871" s="1436"/>
      <c r="E871" s="1440"/>
      <c r="F871" s="269"/>
      <c r="G871" s="269"/>
      <c r="H871" s="28"/>
      <c r="I871" s="28"/>
      <c r="J871" s="28"/>
      <c r="K871" s="28"/>
      <c r="L871" s="1438"/>
    </row>
    <row r="872" ht="38.25" customHeight="1">
      <c r="A872" s="1427"/>
      <c r="B872" s="1428"/>
      <c r="C872" s="1429"/>
      <c r="D872" s="1430"/>
      <c r="E872" s="1441"/>
      <c r="F872" s="270"/>
      <c r="G872" s="270"/>
      <c r="H872" s="30"/>
      <c r="I872" s="30"/>
      <c r="J872" s="30"/>
      <c r="K872" s="30"/>
      <c r="L872" s="1432"/>
    </row>
    <row r="873" ht="38.25" customHeight="1">
      <c r="A873" s="1433"/>
      <c r="B873" s="1434"/>
      <c r="C873" s="1435"/>
      <c r="D873" s="1436"/>
      <c r="E873" s="1440"/>
      <c r="F873" s="269"/>
      <c r="G873" s="269"/>
      <c r="H873" s="28"/>
      <c r="I873" s="28"/>
      <c r="J873" s="28"/>
      <c r="K873" s="28"/>
      <c r="L873" s="1438"/>
    </row>
    <row r="874" ht="38.25" customHeight="1">
      <c r="A874" s="1427"/>
      <c r="B874" s="1428"/>
      <c r="C874" s="1429"/>
      <c r="D874" s="1430"/>
      <c r="E874" s="1441"/>
      <c r="F874" s="270"/>
      <c r="G874" s="270"/>
      <c r="H874" s="30"/>
      <c r="I874" s="30"/>
      <c r="J874" s="30"/>
      <c r="K874" s="30"/>
      <c r="L874" s="1432"/>
    </row>
    <row r="875" ht="38.25" customHeight="1">
      <c r="A875" s="1433"/>
      <c r="B875" s="1434"/>
      <c r="C875" s="1435"/>
      <c r="D875" s="1436"/>
      <c r="E875" s="1440"/>
      <c r="F875" s="269"/>
      <c r="G875" s="269"/>
      <c r="H875" s="28"/>
      <c r="I875" s="28"/>
      <c r="J875" s="28"/>
      <c r="K875" s="28"/>
      <c r="L875" s="1438"/>
    </row>
    <row r="876" ht="38.25" customHeight="1">
      <c r="A876" s="1427"/>
      <c r="B876" s="1428"/>
      <c r="C876" s="1429"/>
      <c r="D876" s="1430"/>
      <c r="E876" s="1441"/>
      <c r="F876" s="270"/>
      <c r="G876" s="270"/>
      <c r="H876" s="30"/>
      <c r="I876" s="30"/>
      <c r="J876" s="30"/>
      <c r="K876" s="30"/>
      <c r="L876" s="1432"/>
    </row>
    <row r="877" ht="38.25" customHeight="1">
      <c r="A877" s="1433"/>
      <c r="B877" s="1434"/>
      <c r="C877" s="1435"/>
      <c r="D877" s="1436"/>
      <c r="E877" s="1440"/>
      <c r="F877" s="269"/>
      <c r="G877" s="269"/>
      <c r="H877" s="28"/>
      <c r="I877" s="28"/>
      <c r="J877" s="28"/>
      <c r="K877" s="28"/>
      <c r="L877" s="1438"/>
    </row>
    <row r="878" ht="38.25" customHeight="1">
      <c r="A878" s="1427"/>
      <c r="B878" s="1428"/>
      <c r="C878" s="1429"/>
      <c r="D878" s="1430"/>
      <c r="E878" s="1441"/>
      <c r="F878" s="270"/>
      <c r="G878" s="270"/>
      <c r="H878" s="30"/>
      <c r="I878" s="30"/>
      <c r="J878" s="30"/>
      <c r="K878" s="30"/>
      <c r="L878" s="1432"/>
    </row>
  </sheetData>
  <mergeCells count="126">
    <mergeCell ref="F29:G29"/>
    <mergeCell ref="F30:G30"/>
    <mergeCell ref="F31:G31"/>
    <mergeCell ref="F32:G32"/>
    <mergeCell ref="F33:G33"/>
    <mergeCell ref="F34:G34"/>
    <mergeCell ref="F35:G35"/>
    <mergeCell ref="F36:G36"/>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72:G72"/>
    <mergeCell ref="F73:G73"/>
    <mergeCell ref="F74:G74"/>
    <mergeCell ref="F75:G75"/>
    <mergeCell ref="F65:G65"/>
    <mergeCell ref="F66:G66"/>
    <mergeCell ref="F67:G67"/>
    <mergeCell ref="F68:G68"/>
    <mergeCell ref="F69:G69"/>
    <mergeCell ref="F70:G70"/>
    <mergeCell ref="F71:G71"/>
    <mergeCell ref="J38:K38"/>
    <mergeCell ref="J39:K39"/>
    <mergeCell ref="J40:K40"/>
    <mergeCell ref="J41:K41"/>
    <mergeCell ref="J42:K42"/>
    <mergeCell ref="J43:K43"/>
    <mergeCell ref="J44:K44"/>
    <mergeCell ref="J45:K45"/>
    <mergeCell ref="J46:K46"/>
    <mergeCell ref="J47:K47"/>
    <mergeCell ref="J48:K48"/>
    <mergeCell ref="J49:K49"/>
    <mergeCell ref="J50:K50"/>
    <mergeCell ref="J51:K51"/>
    <mergeCell ref="J52:K52"/>
    <mergeCell ref="J53:K53"/>
    <mergeCell ref="J54:K54"/>
    <mergeCell ref="J55:K55"/>
    <mergeCell ref="J56:K56"/>
    <mergeCell ref="J57:K57"/>
    <mergeCell ref="J58:K58"/>
    <mergeCell ref="J66:K66"/>
    <mergeCell ref="J67:K67"/>
    <mergeCell ref="J68:K68"/>
    <mergeCell ref="J69:K69"/>
    <mergeCell ref="J70:K70"/>
    <mergeCell ref="J71:K71"/>
    <mergeCell ref="J72:K72"/>
    <mergeCell ref="J73:K73"/>
    <mergeCell ref="J59:K59"/>
    <mergeCell ref="J60:K60"/>
    <mergeCell ref="J61:K61"/>
    <mergeCell ref="J62:K62"/>
    <mergeCell ref="J63:K63"/>
    <mergeCell ref="J64:K64"/>
    <mergeCell ref="J65:K65"/>
    <mergeCell ref="A1:B4"/>
    <mergeCell ref="C1:J4"/>
    <mergeCell ref="J6:K6"/>
    <mergeCell ref="F7:G7"/>
    <mergeCell ref="J7:K8"/>
    <mergeCell ref="F8:G8"/>
    <mergeCell ref="J9:K9"/>
    <mergeCell ref="J12:K12"/>
    <mergeCell ref="J13:K13"/>
    <mergeCell ref="F9:G9"/>
    <mergeCell ref="F10:G10"/>
    <mergeCell ref="J10:K10"/>
    <mergeCell ref="F11:G11"/>
    <mergeCell ref="J11:K11"/>
    <mergeCell ref="F12:G12"/>
    <mergeCell ref="F13:G13"/>
    <mergeCell ref="F14:G14"/>
    <mergeCell ref="J14:K14"/>
    <mergeCell ref="F15:G15"/>
    <mergeCell ref="F16:G16"/>
    <mergeCell ref="J16:K16"/>
    <mergeCell ref="F17:G17"/>
    <mergeCell ref="J17:K17"/>
    <mergeCell ref="F18:G18"/>
    <mergeCell ref="F19:G19"/>
    <mergeCell ref="F20:G20"/>
    <mergeCell ref="J20:K20"/>
    <mergeCell ref="F21:G21"/>
    <mergeCell ref="J21:K21"/>
    <mergeCell ref="J22:K22"/>
    <mergeCell ref="F22:G22"/>
    <mergeCell ref="F23:G23"/>
    <mergeCell ref="F24:G24"/>
    <mergeCell ref="F25:G25"/>
    <mergeCell ref="F26:G26"/>
    <mergeCell ref="F27:G27"/>
    <mergeCell ref="F28:G28"/>
    <mergeCell ref="J23:K23"/>
    <mergeCell ref="J24:K24"/>
    <mergeCell ref="J25:K25"/>
    <mergeCell ref="J26:K33"/>
    <mergeCell ref="J34:K34"/>
    <mergeCell ref="J35:K35"/>
    <mergeCell ref="J36:K36"/>
  </mergeCell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4" max="4" width="14.13"/>
  </cols>
  <sheetData>
    <row r="1">
      <c r="A1" s="1467" t="s">
        <v>903</v>
      </c>
      <c r="B1" s="1467" t="s">
        <v>904</v>
      </c>
      <c r="C1" s="1467" t="s">
        <v>905</v>
      </c>
      <c r="D1" s="1467" t="s">
        <v>906</v>
      </c>
    </row>
    <row r="2" hidden="1">
      <c r="A2" s="809" t="s">
        <v>907</v>
      </c>
      <c r="B2" s="809">
        <v>1301.0</v>
      </c>
      <c r="C2" s="809" t="s">
        <v>908</v>
      </c>
      <c r="D2" s="1468">
        <v>0.9726</v>
      </c>
    </row>
    <row r="3" hidden="1">
      <c r="A3" s="809" t="s">
        <v>907</v>
      </c>
      <c r="B3" s="809">
        <v>1302.0</v>
      </c>
      <c r="C3" s="809" t="s">
        <v>908</v>
      </c>
      <c r="D3" s="1468">
        <v>0.7368</v>
      </c>
    </row>
    <row r="4" hidden="1">
      <c r="A4" s="809" t="s">
        <v>907</v>
      </c>
      <c r="B4" s="809">
        <v>1303.0</v>
      </c>
      <c r="C4" s="809" t="s">
        <v>908</v>
      </c>
      <c r="D4" s="1468">
        <v>1.5601</v>
      </c>
    </row>
    <row r="5" hidden="1">
      <c r="A5" s="809" t="s">
        <v>907</v>
      </c>
      <c r="B5" s="809">
        <v>1304.0</v>
      </c>
      <c r="C5" s="809" t="s">
        <v>908</v>
      </c>
      <c r="D5" s="1468">
        <v>0.607</v>
      </c>
    </row>
    <row r="6" hidden="1">
      <c r="A6" s="809" t="s">
        <v>907</v>
      </c>
      <c r="B6" s="809">
        <v>1305.0</v>
      </c>
      <c r="C6" s="809" t="s">
        <v>908</v>
      </c>
      <c r="D6" s="1468">
        <v>1.1496</v>
      </c>
    </row>
    <row r="7">
      <c r="A7" s="809" t="s">
        <v>907</v>
      </c>
      <c r="B7" s="809">
        <v>1306.0</v>
      </c>
      <c r="C7" s="809" t="s">
        <v>908</v>
      </c>
      <c r="D7" s="1468">
        <v>1.0743</v>
      </c>
    </row>
    <row r="8" hidden="1">
      <c r="A8" s="809" t="s">
        <v>907</v>
      </c>
      <c r="B8" s="809">
        <v>1309.0</v>
      </c>
      <c r="C8" s="809" t="s">
        <v>908</v>
      </c>
      <c r="D8" s="1468">
        <v>0.9832</v>
      </c>
    </row>
    <row r="9" hidden="1">
      <c r="A9" s="809" t="s">
        <v>907</v>
      </c>
      <c r="B9" s="809">
        <v>1308.0</v>
      </c>
      <c r="C9" s="809" t="s">
        <v>908</v>
      </c>
      <c r="D9" s="1468">
        <v>1.3651</v>
      </c>
    </row>
    <row r="10" hidden="1">
      <c r="A10" s="809" t="s">
        <v>907</v>
      </c>
      <c r="B10" s="809">
        <v>1310.0</v>
      </c>
      <c r="C10" s="809" t="s">
        <v>908</v>
      </c>
      <c r="D10" s="1468">
        <v>1.0502</v>
      </c>
    </row>
    <row r="11">
      <c r="A11" s="809" t="s">
        <v>907</v>
      </c>
      <c r="B11" s="809">
        <v>1311.0</v>
      </c>
      <c r="C11" s="809" t="s">
        <v>909</v>
      </c>
      <c r="D11" s="1468">
        <v>1.0539</v>
      </c>
    </row>
    <row r="12">
      <c r="A12" s="809" t="s">
        <v>907</v>
      </c>
      <c r="B12" s="809">
        <v>1307.0</v>
      </c>
      <c r="C12" s="809" t="s">
        <v>908</v>
      </c>
      <c r="D12" s="1468">
        <v>1.1144</v>
      </c>
    </row>
    <row r="13" hidden="1">
      <c r="A13" s="809" t="s">
        <v>907</v>
      </c>
      <c r="B13" s="809">
        <v>1312.0</v>
      </c>
      <c r="C13" s="809" t="s">
        <v>909</v>
      </c>
      <c r="D13" s="1468">
        <v>1.2013</v>
      </c>
    </row>
    <row r="14" hidden="1">
      <c r="A14" s="809" t="s">
        <v>907</v>
      </c>
      <c r="B14" s="809">
        <v>1313.0</v>
      </c>
      <c r="C14" s="809" t="s">
        <v>909</v>
      </c>
      <c r="D14" s="1468">
        <v>1.0426</v>
      </c>
    </row>
    <row r="15" hidden="1">
      <c r="A15" s="809" t="s">
        <v>907</v>
      </c>
      <c r="B15" s="809">
        <v>1314.0</v>
      </c>
      <c r="C15" s="809" t="s">
        <v>909</v>
      </c>
      <c r="D15" s="1468">
        <v>1.0289</v>
      </c>
    </row>
    <row r="16" hidden="1">
      <c r="A16" s="809" t="s">
        <v>907</v>
      </c>
      <c r="B16" s="809">
        <v>1315.0</v>
      </c>
      <c r="C16" s="809" t="s">
        <v>909</v>
      </c>
      <c r="D16" s="1468">
        <v>0.9943</v>
      </c>
    </row>
    <row r="17">
      <c r="A17" s="809" t="s">
        <v>907</v>
      </c>
      <c r="B17" s="809">
        <v>1316.0</v>
      </c>
      <c r="C17" s="809" t="s">
        <v>909</v>
      </c>
      <c r="D17" s="1468">
        <v>0.692</v>
      </c>
    </row>
    <row r="18">
      <c r="A18" s="809" t="s">
        <v>907</v>
      </c>
      <c r="B18" s="809">
        <v>1317.0</v>
      </c>
      <c r="C18" s="809" t="s">
        <v>909</v>
      </c>
      <c r="D18" s="1468">
        <v>0.5035</v>
      </c>
    </row>
    <row r="19" hidden="1">
      <c r="A19" s="809" t="s">
        <v>907</v>
      </c>
      <c r="B19" s="809">
        <v>1318.0</v>
      </c>
      <c r="C19" s="809" t="s">
        <v>909</v>
      </c>
      <c r="D19" s="1468">
        <v>0.9924</v>
      </c>
    </row>
    <row r="20">
      <c r="A20" s="809" t="s">
        <v>907</v>
      </c>
      <c r="B20" s="809">
        <v>1319.0</v>
      </c>
      <c r="C20" s="809" t="s">
        <v>909</v>
      </c>
      <c r="D20" s="1468">
        <v>0.8455</v>
      </c>
    </row>
    <row r="21" hidden="1">
      <c r="A21" s="809" t="s">
        <v>907</v>
      </c>
      <c r="B21" s="809">
        <v>1320.0</v>
      </c>
      <c r="C21" s="809" t="s">
        <v>909</v>
      </c>
      <c r="D21" s="1468">
        <v>0.9298</v>
      </c>
    </row>
    <row r="22" hidden="1">
      <c r="A22" s="809" t="s">
        <v>907</v>
      </c>
      <c r="B22" s="809">
        <v>1321.0</v>
      </c>
      <c r="C22" s="809" t="s">
        <v>910</v>
      </c>
      <c r="D22" s="1468">
        <v>0.9843</v>
      </c>
    </row>
    <row r="23" hidden="1">
      <c r="A23" s="809" t="s">
        <v>907</v>
      </c>
      <c r="B23" s="809">
        <v>1322.0</v>
      </c>
      <c r="C23" s="809" t="s">
        <v>910</v>
      </c>
      <c r="D23" s="1468">
        <v>0.9821</v>
      </c>
    </row>
    <row r="24" hidden="1">
      <c r="A24" s="809" t="s">
        <v>907</v>
      </c>
      <c r="B24" s="809">
        <v>1323.0</v>
      </c>
      <c r="C24" s="809" t="s">
        <v>910</v>
      </c>
      <c r="D24" s="1468">
        <v>0.9911</v>
      </c>
    </row>
    <row r="25" hidden="1">
      <c r="A25" s="809" t="s">
        <v>907</v>
      </c>
      <c r="B25" s="809">
        <v>1324.0</v>
      </c>
      <c r="C25" s="809" t="s">
        <v>910</v>
      </c>
      <c r="D25" s="1468">
        <v>0.9766</v>
      </c>
    </row>
    <row r="26" hidden="1">
      <c r="A26" s="809" t="s">
        <v>907</v>
      </c>
      <c r="B26" s="809">
        <v>1325.0</v>
      </c>
      <c r="C26" s="809" t="s">
        <v>910</v>
      </c>
      <c r="D26" s="1468">
        <v>1.2715</v>
      </c>
    </row>
    <row r="27" hidden="1">
      <c r="A27" s="809" t="s">
        <v>907</v>
      </c>
      <c r="B27" s="809">
        <v>1326.0</v>
      </c>
      <c r="C27" s="809" t="s">
        <v>910</v>
      </c>
      <c r="D27" s="1468">
        <v>1.2864</v>
      </c>
    </row>
    <row r="28" hidden="1">
      <c r="A28" s="809" t="s">
        <v>907</v>
      </c>
      <c r="B28" s="809">
        <v>1327.0</v>
      </c>
      <c r="C28" s="809" t="s">
        <v>910</v>
      </c>
      <c r="D28" s="1468">
        <v>1.2473</v>
      </c>
    </row>
    <row r="29" hidden="1">
      <c r="A29" s="809" t="s">
        <v>907</v>
      </c>
      <c r="B29" s="809">
        <v>1328.0</v>
      </c>
      <c r="C29" s="809" t="s">
        <v>910</v>
      </c>
      <c r="D29" s="1468">
        <v>0.6412</v>
      </c>
    </row>
    <row r="30" hidden="1">
      <c r="A30" s="809" t="s">
        <v>907</v>
      </c>
      <c r="B30" s="809">
        <v>1329.0</v>
      </c>
      <c r="C30" s="809" t="s">
        <v>910</v>
      </c>
      <c r="D30" s="1468">
        <v>0.778</v>
      </c>
    </row>
    <row r="31" hidden="1">
      <c r="A31" s="809" t="s">
        <v>907</v>
      </c>
      <c r="B31" s="809">
        <v>1330.0</v>
      </c>
      <c r="C31" s="809" t="s">
        <v>910</v>
      </c>
      <c r="D31" s="1468">
        <v>0.9004</v>
      </c>
    </row>
    <row r="32" hidden="1">
      <c r="A32" s="809" t="s">
        <v>907</v>
      </c>
      <c r="B32" s="809">
        <v>1331.0</v>
      </c>
      <c r="C32" s="809" t="s">
        <v>910</v>
      </c>
      <c r="D32" s="1468">
        <v>1.3457</v>
      </c>
    </row>
    <row r="33" hidden="1">
      <c r="A33" s="809" t="s">
        <v>907</v>
      </c>
      <c r="B33" s="809">
        <v>1332.0</v>
      </c>
      <c r="C33" s="809" t="s">
        <v>910</v>
      </c>
      <c r="D33" s="1468">
        <v>0.8637</v>
      </c>
    </row>
    <row r="34" hidden="1">
      <c r="A34" s="809" t="s">
        <v>907</v>
      </c>
      <c r="B34" s="809">
        <v>1333.0</v>
      </c>
      <c r="C34" s="809" t="s">
        <v>910</v>
      </c>
      <c r="D34" s="1468">
        <v>0.5622</v>
      </c>
    </row>
    <row r="35" hidden="1">
      <c r="A35" s="809" t="s">
        <v>907</v>
      </c>
      <c r="B35" s="809">
        <v>1334.0</v>
      </c>
      <c r="C35" s="809" t="s">
        <v>911</v>
      </c>
      <c r="D35" s="1468">
        <v>1.3712</v>
      </c>
    </row>
    <row r="36" hidden="1">
      <c r="A36" s="809" t="s">
        <v>907</v>
      </c>
      <c r="B36" s="809">
        <v>1335.0</v>
      </c>
      <c r="C36" s="809" t="s">
        <v>911</v>
      </c>
      <c r="D36" s="1468">
        <v>1.0794</v>
      </c>
    </row>
    <row r="37" hidden="1">
      <c r="A37" s="809" t="s">
        <v>907</v>
      </c>
      <c r="B37" s="809">
        <v>1336.0</v>
      </c>
      <c r="C37" s="809" t="s">
        <v>911</v>
      </c>
      <c r="D37" s="1468">
        <v>0.9988</v>
      </c>
    </row>
    <row r="38" hidden="1">
      <c r="A38" s="809" t="s">
        <v>907</v>
      </c>
      <c r="B38" s="809">
        <v>1337.0</v>
      </c>
      <c r="C38" s="809" t="s">
        <v>911</v>
      </c>
      <c r="D38" s="1468">
        <v>1.0616</v>
      </c>
    </row>
    <row r="39" hidden="1">
      <c r="A39" s="809" t="s">
        <v>907</v>
      </c>
      <c r="B39" s="809">
        <v>1338.0</v>
      </c>
      <c r="C39" s="809" t="s">
        <v>911</v>
      </c>
      <c r="D39" s="1468">
        <v>1.0346</v>
      </c>
    </row>
    <row r="40" hidden="1">
      <c r="A40" s="809" t="s">
        <v>907</v>
      </c>
      <c r="B40" s="809">
        <v>1339.0</v>
      </c>
      <c r="C40" s="809" t="s">
        <v>911</v>
      </c>
      <c r="D40" s="1468">
        <v>0.8725</v>
      </c>
    </row>
    <row r="41" hidden="1">
      <c r="A41" s="809" t="s">
        <v>907</v>
      </c>
      <c r="B41" s="809">
        <v>1340.0</v>
      </c>
      <c r="C41" s="809" t="s">
        <v>911</v>
      </c>
      <c r="D41" s="1468">
        <v>0.7946</v>
      </c>
    </row>
    <row r="42" hidden="1">
      <c r="A42" s="809" t="s">
        <v>907</v>
      </c>
      <c r="B42" s="809">
        <v>1341.0</v>
      </c>
      <c r="C42" s="809" t="s">
        <v>911</v>
      </c>
      <c r="D42" s="1468">
        <v>0.6322</v>
      </c>
    </row>
    <row r="43" hidden="1">
      <c r="A43" s="809" t="s">
        <v>907</v>
      </c>
      <c r="B43" s="809">
        <v>1342.0</v>
      </c>
      <c r="C43" s="809" t="s">
        <v>911</v>
      </c>
      <c r="D43" s="1468">
        <v>1.1744</v>
      </c>
    </row>
    <row r="44" hidden="1">
      <c r="A44" s="809" t="s">
        <v>907</v>
      </c>
      <c r="B44" s="809">
        <v>1343.0</v>
      </c>
      <c r="C44" s="809" t="s">
        <v>911</v>
      </c>
      <c r="D44" s="1468">
        <v>1.1295</v>
      </c>
    </row>
    <row r="45" hidden="1">
      <c r="A45" s="809" t="s">
        <v>907</v>
      </c>
      <c r="B45" s="809">
        <v>1344.0</v>
      </c>
      <c r="C45" s="809" t="s">
        <v>912</v>
      </c>
      <c r="D45" s="1468">
        <v>1.1751</v>
      </c>
    </row>
    <row r="46" hidden="1">
      <c r="A46" s="809" t="s">
        <v>907</v>
      </c>
      <c r="B46" s="809">
        <v>1345.0</v>
      </c>
      <c r="C46" s="809" t="s">
        <v>912</v>
      </c>
      <c r="D46" s="1468">
        <v>1.1394</v>
      </c>
    </row>
    <row r="47" hidden="1">
      <c r="A47" s="809" t="s">
        <v>907</v>
      </c>
      <c r="B47" s="809">
        <v>1346.0</v>
      </c>
      <c r="C47" s="809" t="s">
        <v>912</v>
      </c>
      <c r="D47" s="1468">
        <v>1.1184</v>
      </c>
    </row>
    <row r="48" hidden="1">
      <c r="A48" s="809" t="s">
        <v>907</v>
      </c>
      <c r="B48" s="809">
        <v>1347.0</v>
      </c>
      <c r="C48" s="809" t="s">
        <v>912</v>
      </c>
      <c r="D48" s="1468">
        <v>1.1424</v>
      </c>
    </row>
    <row r="49" hidden="1">
      <c r="A49" s="809" t="s">
        <v>907</v>
      </c>
      <c r="B49" s="809">
        <v>1348.0</v>
      </c>
      <c r="C49" s="809" t="s">
        <v>912</v>
      </c>
      <c r="D49" s="1468">
        <v>0.4962</v>
      </c>
    </row>
    <row r="50" hidden="1">
      <c r="A50" s="809" t="s">
        <v>907</v>
      </c>
      <c r="B50" s="809">
        <v>1349.0</v>
      </c>
      <c r="C50" s="809" t="s">
        <v>912</v>
      </c>
      <c r="D50" s="1468">
        <v>0.9581</v>
      </c>
    </row>
    <row r="51" hidden="1">
      <c r="A51" s="809" t="s">
        <v>907</v>
      </c>
      <c r="B51" s="809">
        <v>1350.0</v>
      </c>
      <c r="C51" s="809" t="s">
        <v>912</v>
      </c>
      <c r="D51" s="1468">
        <v>1.1815</v>
      </c>
    </row>
    <row r="52" hidden="1">
      <c r="A52" s="809" t="s">
        <v>907</v>
      </c>
      <c r="B52" s="809">
        <v>1351.0</v>
      </c>
      <c r="C52" s="809" t="s">
        <v>912</v>
      </c>
      <c r="D52" s="1468">
        <v>1.0847</v>
      </c>
    </row>
    <row r="53" hidden="1">
      <c r="A53" s="809" t="s">
        <v>907</v>
      </c>
      <c r="B53" s="809">
        <v>1352.0</v>
      </c>
      <c r="C53" s="809" t="s">
        <v>913</v>
      </c>
      <c r="D53" s="1468">
        <v>0.8763</v>
      </c>
    </row>
    <row r="54" hidden="1">
      <c r="A54" s="809" t="s">
        <v>907</v>
      </c>
      <c r="B54" s="809">
        <v>1353.0</v>
      </c>
      <c r="C54" s="809" t="s">
        <v>913</v>
      </c>
      <c r="D54" s="1468">
        <v>1.1403</v>
      </c>
    </row>
    <row r="55" hidden="1">
      <c r="A55" s="809" t="s">
        <v>907</v>
      </c>
      <c r="B55" s="809">
        <v>1354.0</v>
      </c>
      <c r="C55" s="809" t="s">
        <v>913</v>
      </c>
      <c r="D55" s="1468">
        <v>1.2522</v>
      </c>
    </row>
    <row r="56" hidden="1">
      <c r="A56" s="809" t="s">
        <v>907</v>
      </c>
      <c r="B56" s="809">
        <v>1355.0</v>
      </c>
      <c r="C56" s="809" t="s">
        <v>913</v>
      </c>
      <c r="D56" s="1468">
        <v>0.9471</v>
      </c>
    </row>
    <row r="57" hidden="1">
      <c r="A57" s="809" t="s">
        <v>907</v>
      </c>
      <c r="B57" s="809">
        <v>1356.0</v>
      </c>
      <c r="C57" s="809" t="s">
        <v>913</v>
      </c>
      <c r="D57" s="1468">
        <v>1.0277</v>
      </c>
    </row>
    <row r="58" hidden="1">
      <c r="A58" s="809" t="s">
        <v>907</v>
      </c>
      <c r="B58" s="809">
        <v>1357.0</v>
      </c>
      <c r="C58" s="809" t="s">
        <v>913</v>
      </c>
      <c r="D58" s="1468">
        <v>1.0285</v>
      </c>
    </row>
    <row r="59" hidden="1">
      <c r="A59" s="809" t="s">
        <v>907</v>
      </c>
      <c r="B59" s="809">
        <v>1358.0</v>
      </c>
      <c r="C59" s="809" t="s">
        <v>913</v>
      </c>
      <c r="D59" s="1468">
        <v>1.0336</v>
      </c>
    </row>
    <row r="60" hidden="1">
      <c r="A60" s="809" t="s">
        <v>907</v>
      </c>
      <c r="B60" s="809">
        <v>1359.0</v>
      </c>
      <c r="C60" s="809" t="s">
        <v>913</v>
      </c>
      <c r="D60" s="1468">
        <v>1.4703</v>
      </c>
    </row>
    <row r="61" hidden="1">
      <c r="A61" s="809" t="s">
        <v>907</v>
      </c>
      <c r="B61" s="809">
        <v>1360.0</v>
      </c>
      <c r="C61" s="809" t="s">
        <v>913</v>
      </c>
      <c r="D61" s="1468">
        <v>1.0311</v>
      </c>
    </row>
    <row r="62" hidden="1">
      <c r="A62" s="809" t="s">
        <v>907</v>
      </c>
      <c r="B62" s="809">
        <v>1361.0</v>
      </c>
      <c r="C62" s="809" t="s">
        <v>913</v>
      </c>
      <c r="D62" s="1468">
        <v>1.0157</v>
      </c>
    </row>
    <row r="63" hidden="1">
      <c r="A63" s="809" t="s">
        <v>907</v>
      </c>
      <c r="B63" s="809">
        <v>1362.0</v>
      </c>
      <c r="C63" s="809" t="s">
        <v>913</v>
      </c>
      <c r="D63" s="1468">
        <v>0.8417</v>
      </c>
    </row>
    <row r="64" hidden="1">
      <c r="A64" s="809" t="s">
        <v>907</v>
      </c>
      <c r="B64" s="809">
        <v>1363.0</v>
      </c>
      <c r="C64" s="809" t="s">
        <v>913</v>
      </c>
      <c r="D64" s="1468">
        <v>0.9268</v>
      </c>
    </row>
    <row r="65" hidden="1">
      <c r="A65" s="809" t="s">
        <v>907</v>
      </c>
      <c r="B65" s="809">
        <v>1364.0</v>
      </c>
      <c r="C65" s="809" t="s">
        <v>913</v>
      </c>
      <c r="D65" s="1468">
        <v>0.7251</v>
      </c>
    </row>
  </sheetData>
  <autoFilter ref="$A$1:$D$65">
    <filterColumn colId="1">
      <filters>
        <filter val="1307"/>
        <filter val="1306"/>
        <filter val="1316"/>
        <filter val="1311"/>
        <filter val="1319"/>
        <filter val="1317"/>
      </filters>
    </filterColumn>
  </autoFil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5.0" topLeftCell="A6" activePane="bottomLeft" state="frozen"/>
      <selection activeCell="B7" sqref="B7" pane="bottomLeft"/>
    </sheetView>
  </sheetViews>
  <sheetFormatPr customHeight="1" defaultColWidth="12.63" defaultRowHeight="15.75" outlineLevelRow="1"/>
  <cols>
    <col customWidth="1" min="1" max="1" width="16.63"/>
    <col customWidth="1" min="2" max="2" width="21.38"/>
    <col customWidth="1" min="3" max="3" width="12.63"/>
    <col customWidth="1" min="4" max="4" width="12.25"/>
    <col customWidth="1" min="5" max="5" width="16.5"/>
    <col customWidth="1" min="6" max="6" width="29.38"/>
    <col customWidth="1" min="8" max="8" width="15.0"/>
    <col customWidth="1" min="9" max="11" width="12.75"/>
    <col customWidth="1" min="12" max="12" width="9.25"/>
    <col customWidth="1" min="13" max="13" width="12.75"/>
    <col customWidth="1" min="14" max="14" width="14.5"/>
  </cols>
  <sheetData>
    <row r="1" ht="39.0" customHeight="1">
      <c r="A1" s="1"/>
      <c r="C1" s="43" t="s">
        <v>914</v>
      </c>
      <c r="D1" s="44"/>
      <c r="E1" s="44"/>
      <c r="F1" s="45"/>
    </row>
    <row r="2" ht="39.0" customHeight="1">
      <c r="C2" s="47"/>
      <c r="F2" s="48"/>
    </row>
    <row r="3" ht="39.0" customHeight="1">
      <c r="C3" s="49"/>
      <c r="D3" s="50"/>
      <c r="E3" s="50"/>
      <c r="F3" s="51"/>
    </row>
    <row r="4" ht="39.0" customHeight="1">
      <c r="A4" s="3"/>
      <c r="B4" s="1154"/>
      <c r="C4" s="1154"/>
      <c r="D4" s="12"/>
      <c r="F4" s="5"/>
      <c r="I4" s="5"/>
      <c r="J4" s="5"/>
      <c r="K4" s="5"/>
      <c r="L4" s="5"/>
      <c r="M4" s="5"/>
      <c r="N4" s="5"/>
    </row>
    <row r="5" ht="39.0" customHeight="1">
      <c r="A5" s="6" t="s">
        <v>1</v>
      </c>
      <c r="B5" s="6" t="s">
        <v>2</v>
      </c>
      <c r="C5" s="6" t="s">
        <v>3</v>
      </c>
      <c r="D5" s="6" t="s">
        <v>4</v>
      </c>
      <c r="E5" s="6" t="s">
        <v>5</v>
      </c>
      <c r="F5" s="6" t="s">
        <v>32</v>
      </c>
      <c r="G5" s="7" t="s">
        <v>7</v>
      </c>
      <c r="H5" s="6" t="s">
        <v>8</v>
      </c>
      <c r="I5" s="6" t="s">
        <v>9</v>
      </c>
      <c r="J5" s="6" t="s">
        <v>10</v>
      </c>
      <c r="K5" s="6" t="s">
        <v>11</v>
      </c>
      <c r="L5" s="6" t="s">
        <v>20</v>
      </c>
      <c r="M5" s="6" t="s">
        <v>12</v>
      </c>
      <c r="N5" s="95" t="s">
        <v>915</v>
      </c>
    </row>
    <row r="6" ht="39.0" customHeight="1">
      <c r="A6" s="8">
        <v>46153.0</v>
      </c>
      <c r="B6" s="27" t="s">
        <v>21</v>
      </c>
      <c r="C6" s="27" t="s">
        <v>446</v>
      </c>
      <c r="D6" s="27"/>
      <c r="E6" s="25" t="s">
        <v>916</v>
      </c>
      <c r="F6" s="13" t="s">
        <v>917</v>
      </c>
      <c r="G6" s="1158" t="s">
        <v>17</v>
      </c>
      <c r="H6" s="1158" t="s">
        <v>18</v>
      </c>
      <c r="I6" s="14">
        <v>20.0</v>
      </c>
      <c r="J6" s="14">
        <v>100.0</v>
      </c>
      <c r="K6" s="13">
        <f t="shared" ref="K6:K35" si="1">J6*I6</f>
        <v>2000</v>
      </c>
      <c r="L6" s="13">
        <v>25.0</v>
      </c>
      <c r="M6" s="1205">
        <f>(I6+I7+I8)*25</f>
        <v>850</v>
      </c>
      <c r="N6" s="1157">
        <f>K6+K7+K8+M6</f>
        <v>4270</v>
      </c>
    </row>
    <row r="7" ht="39.0" customHeight="1">
      <c r="A7" s="29"/>
      <c r="B7" s="31" t="s">
        <v>122</v>
      </c>
      <c r="C7" s="31" t="s">
        <v>446</v>
      </c>
      <c r="D7" s="31"/>
      <c r="E7" s="20"/>
      <c r="F7" s="20"/>
      <c r="G7" s="1158" t="s">
        <v>17</v>
      </c>
      <c r="H7" s="1158" t="s">
        <v>25</v>
      </c>
      <c r="I7" s="22">
        <v>1.0</v>
      </c>
      <c r="J7" s="22">
        <v>120.0</v>
      </c>
      <c r="K7" s="22">
        <f t="shared" si="1"/>
        <v>120</v>
      </c>
      <c r="L7" s="39">
        <v>25.0</v>
      </c>
      <c r="M7" s="187"/>
      <c r="N7" s="187"/>
    </row>
    <row r="8" ht="39.0" customHeight="1">
      <c r="A8" s="8">
        <v>46154.0</v>
      </c>
      <c r="B8" s="27" t="s">
        <v>21</v>
      </c>
      <c r="C8" s="27" t="s">
        <v>446</v>
      </c>
      <c r="D8" s="27"/>
      <c r="E8" s="25" t="s">
        <v>916</v>
      </c>
      <c r="F8" s="13" t="s">
        <v>917</v>
      </c>
      <c r="G8" s="1158" t="s">
        <v>17</v>
      </c>
      <c r="H8" s="1158" t="s">
        <v>18</v>
      </c>
      <c r="I8" s="14">
        <v>13.0</v>
      </c>
      <c r="J8" s="14">
        <v>100.0</v>
      </c>
      <c r="K8" s="14">
        <f t="shared" si="1"/>
        <v>1300</v>
      </c>
      <c r="L8" s="13">
        <v>25.0</v>
      </c>
      <c r="M8" s="108"/>
      <c r="N8" s="108"/>
    </row>
    <row r="9" ht="39.0" customHeight="1">
      <c r="A9" s="29"/>
      <c r="B9" s="64" t="s">
        <v>122</v>
      </c>
      <c r="C9" s="64" t="s">
        <v>446</v>
      </c>
      <c r="D9" s="64"/>
      <c r="E9" s="20"/>
      <c r="F9" s="20"/>
      <c r="G9" s="1157" t="s">
        <v>17</v>
      </c>
      <c r="H9" s="1157" t="s">
        <v>25</v>
      </c>
      <c r="I9" s="39">
        <v>1.0</v>
      </c>
      <c r="J9" s="39">
        <v>120.0</v>
      </c>
      <c r="K9" s="39">
        <f t="shared" si="1"/>
        <v>120</v>
      </c>
      <c r="L9" s="39">
        <v>25.0</v>
      </c>
      <c r="M9" s="1205">
        <f>(I9+I10+I11)*25</f>
        <v>425</v>
      </c>
      <c r="N9" s="1157">
        <f>K9+K10+K11+M9</f>
        <v>2165</v>
      </c>
    </row>
    <row r="10" ht="39.0" customHeight="1">
      <c r="A10" s="8">
        <v>46155.0</v>
      </c>
      <c r="B10" s="1469" t="s">
        <v>21</v>
      </c>
      <c r="C10" s="1469" t="s">
        <v>446</v>
      </c>
      <c r="D10" s="1469"/>
      <c r="E10" s="1470" t="s">
        <v>916</v>
      </c>
      <c r="F10" s="1471" t="s">
        <v>917</v>
      </c>
      <c r="G10" s="1472" t="s">
        <v>17</v>
      </c>
      <c r="H10" s="1472" t="s">
        <v>18</v>
      </c>
      <c r="I10" s="1350">
        <v>15.0</v>
      </c>
      <c r="J10" s="1350">
        <v>100.0</v>
      </c>
      <c r="K10" s="1350">
        <f t="shared" si="1"/>
        <v>1500</v>
      </c>
      <c r="L10" s="1350">
        <v>25.0</v>
      </c>
      <c r="M10" s="187"/>
      <c r="N10" s="187"/>
    </row>
    <row r="11" ht="39.0" customHeight="1">
      <c r="A11" s="29"/>
      <c r="B11" s="64" t="s">
        <v>122</v>
      </c>
      <c r="C11" s="64" t="s">
        <v>446</v>
      </c>
      <c r="D11" s="64"/>
      <c r="E11" s="20"/>
      <c r="F11" s="20"/>
      <c r="G11" s="1157" t="s">
        <v>17</v>
      </c>
      <c r="H11" s="1157" t="s">
        <v>25</v>
      </c>
      <c r="I11" s="39">
        <v>1.0</v>
      </c>
      <c r="J11" s="39">
        <v>120.0</v>
      </c>
      <c r="K11" s="39">
        <f t="shared" si="1"/>
        <v>120</v>
      </c>
      <c r="L11" s="39">
        <v>25.0</v>
      </c>
      <c r="M11" s="108"/>
      <c r="N11" s="108"/>
    </row>
    <row r="12" ht="39.0" customHeight="1">
      <c r="A12" s="8">
        <v>46156.0</v>
      </c>
      <c r="B12" s="1469" t="s">
        <v>21</v>
      </c>
      <c r="C12" s="1469" t="s">
        <v>446</v>
      </c>
      <c r="D12" s="1469"/>
      <c r="E12" s="1470" t="s">
        <v>916</v>
      </c>
      <c r="F12" s="1471" t="s">
        <v>917</v>
      </c>
      <c r="G12" s="1472" t="s">
        <v>17</v>
      </c>
      <c r="H12" s="1472" t="s">
        <v>18</v>
      </c>
      <c r="I12" s="1350">
        <v>21.0</v>
      </c>
      <c r="J12" s="1350">
        <v>100.0</v>
      </c>
      <c r="K12" s="1350">
        <f t="shared" si="1"/>
        <v>2100</v>
      </c>
      <c r="L12" s="1350">
        <v>25.0</v>
      </c>
      <c r="M12" s="1205">
        <f>(I12+I13+I14)*25</f>
        <v>875</v>
      </c>
      <c r="N12" s="1157">
        <f>K12+K13+K14+M12</f>
        <v>4395</v>
      </c>
    </row>
    <row r="13" ht="39.0" customHeight="1">
      <c r="A13" s="29"/>
      <c r="B13" s="64" t="s">
        <v>122</v>
      </c>
      <c r="C13" s="64" t="s">
        <v>446</v>
      </c>
      <c r="D13" s="64"/>
      <c r="E13" s="20"/>
      <c r="F13" s="20"/>
      <c r="G13" s="1157" t="s">
        <v>17</v>
      </c>
      <c r="H13" s="1157" t="s">
        <v>25</v>
      </c>
      <c r="I13" s="39">
        <v>1.0</v>
      </c>
      <c r="J13" s="39">
        <v>120.0</v>
      </c>
      <c r="K13" s="39">
        <f t="shared" si="1"/>
        <v>120</v>
      </c>
      <c r="L13" s="1473">
        <v>25.0</v>
      </c>
      <c r="M13" s="187"/>
      <c r="N13" s="187"/>
    </row>
    <row r="14" ht="39.0" customHeight="1">
      <c r="A14" s="8">
        <v>46157.0</v>
      </c>
      <c r="B14" s="1469" t="s">
        <v>21</v>
      </c>
      <c r="C14" s="1469" t="s">
        <v>446</v>
      </c>
      <c r="D14" s="1469"/>
      <c r="E14" s="1470" t="s">
        <v>916</v>
      </c>
      <c r="F14" s="1471" t="s">
        <v>917</v>
      </c>
      <c r="G14" s="1472" t="s">
        <v>17</v>
      </c>
      <c r="H14" s="1472" t="s">
        <v>18</v>
      </c>
      <c r="I14" s="1350">
        <v>13.0</v>
      </c>
      <c r="J14" s="1350">
        <v>100.0</v>
      </c>
      <c r="K14" s="1350">
        <f t="shared" si="1"/>
        <v>1300</v>
      </c>
      <c r="L14" s="1350">
        <v>25.0</v>
      </c>
      <c r="M14" s="108"/>
      <c r="N14" s="108"/>
    </row>
    <row r="15" ht="39.0" customHeight="1">
      <c r="A15" s="29"/>
      <c r="B15" s="64" t="s">
        <v>122</v>
      </c>
      <c r="C15" s="64" t="s">
        <v>446</v>
      </c>
      <c r="D15" s="64"/>
      <c r="E15" s="20"/>
      <c r="F15" s="20"/>
      <c r="G15" s="1157" t="s">
        <v>17</v>
      </c>
      <c r="H15" s="1157" t="s">
        <v>25</v>
      </c>
      <c r="I15" s="39">
        <v>1.0</v>
      </c>
      <c r="J15" s="39">
        <v>120.0</v>
      </c>
      <c r="K15" s="39">
        <f t="shared" si="1"/>
        <v>120</v>
      </c>
      <c r="L15" s="1473">
        <v>25.0</v>
      </c>
      <c r="M15" s="1205">
        <f>(I15+I16+I17)*25</f>
        <v>450</v>
      </c>
      <c r="N15" s="1157">
        <f>K15+K16+K17+M15</f>
        <v>2290</v>
      </c>
    </row>
    <row r="16" ht="39.0" customHeight="1">
      <c r="A16" s="8">
        <v>46158.0</v>
      </c>
      <c r="B16" s="1469" t="s">
        <v>21</v>
      </c>
      <c r="C16" s="1469" t="s">
        <v>446</v>
      </c>
      <c r="D16" s="1469"/>
      <c r="E16" s="1470" t="s">
        <v>916</v>
      </c>
      <c r="F16" s="1471" t="s">
        <v>917</v>
      </c>
      <c r="G16" s="1472" t="s">
        <v>17</v>
      </c>
      <c r="H16" s="1472" t="s">
        <v>18</v>
      </c>
      <c r="I16" s="1350">
        <v>16.0</v>
      </c>
      <c r="J16" s="1350">
        <v>100.0</v>
      </c>
      <c r="K16" s="1350">
        <f t="shared" si="1"/>
        <v>1600</v>
      </c>
      <c r="L16" s="1350">
        <v>25.0</v>
      </c>
      <c r="M16" s="187"/>
      <c r="N16" s="187"/>
    </row>
    <row r="17" ht="39.0" customHeight="1">
      <c r="A17" s="29"/>
      <c r="B17" s="1474" t="s">
        <v>122</v>
      </c>
      <c r="C17" s="1474" t="s">
        <v>446</v>
      </c>
      <c r="D17" s="1474"/>
      <c r="E17" s="1259"/>
      <c r="F17" s="1259"/>
      <c r="G17" s="1475" t="s">
        <v>17</v>
      </c>
      <c r="H17" s="1475" t="s">
        <v>25</v>
      </c>
      <c r="I17" s="1374">
        <v>1.0</v>
      </c>
      <c r="J17" s="1374">
        <v>120.0</v>
      </c>
      <c r="K17" s="1374">
        <f t="shared" si="1"/>
        <v>120</v>
      </c>
      <c r="L17" s="1476">
        <v>25.0</v>
      </c>
      <c r="M17" s="108"/>
      <c r="N17" s="108"/>
    </row>
    <row r="18" ht="39.0" customHeight="1">
      <c r="A18" s="1477">
        <v>46160.0</v>
      </c>
      <c r="B18" s="135" t="s">
        <v>21</v>
      </c>
      <c r="C18" s="132" t="s">
        <v>446</v>
      </c>
      <c r="D18" s="132"/>
      <c r="E18" s="132" t="s">
        <v>916</v>
      </c>
      <c r="F18" s="1471" t="s">
        <v>917</v>
      </c>
      <c r="G18" s="1475" t="s">
        <v>17</v>
      </c>
      <c r="H18" s="1478" t="s">
        <v>18</v>
      </c>
      <c r="I18" s="1160">
        <v>12.0</v>
      </c>
      <c r="J18" s="1160">
        <v>100.0</v>
      </c>
      <c r="K18" s="1479">
        <f t="shared" si="1"/>
        <v>1200</v>
      </c>
      <c r="L18" s="1160">
        <v>25.0</v>
      </c>
      <c r="M18" s="1205">
        <f>(I18+I19+I20)*25</f>
        <v>375</v>
      </c>
      <c r="N18" s="1157">
        <f>K18+K19+K20+M18</f>
        <v>1895</v>
      </c>
    </row>
    <row r="19" ht="39.0" customHeight="1">
      <c r="A19" s="793"/>
      <c r="B19" s="1480" t="s">
        <v>122</v>
      </c>
      <c r="C19" s="20"/>
      <c r="D19" s="29"/>
      <c r="E19" s="29"/>
      <c r="F19" s="29"/>
      <c r="G19" s="1475" t="s">
        <v>17</v>
      </c>
      <c r="H19" s="1158" t="s">
        <v>25</v>
      </c>
      <c r="I19" s="22">
        <v>1.0</v>
      </c>
      <c r="J19" s="22">
        <v>120.0</v>
      </c>
      <c r="K19" s="1374">
        <f t="shared" si="1"/>
        <v>120</v>
      </c>
      <c r="L19" s="1162">
        <v>25.0</v>
      </c>
      <c r="M19" s="187"/>
      <c r="N19" s="187"/>
    </row>
    <row r="20" ht="39.0" customHeight="1">
      <c r="A20" s="725"/>
      <c r="B20" s="1481" t="s">
        <v>51</v>
      </c>
      <c r="C20" s="25" t="s">
        <v>446</v>
      </c>
      <c r="D20" s="58"/>
      <c r="E20" s="58"/>
      <c r="F20" s="58"/>
      <c r="G20" s="1157" t="s">
        <v>17</v>
      </c>
      <c r="H20" s="1157" t="s">
        <v>18</v>
      </c>
      <c r="I20" s="13">
        <v>2.0</v>
      </c>
      <c r="J20" s="13">
        <v>100.0</v>
      </c>
      <c r="K20" s="1479">
        <f t="shared" si="1"/>
        <v>200</v>
      </c>
      <c r="L20" s="1482">
        <v>25.0</v>
      </c>
      <c r="M20" s="108"/>
      <c r="N20" s="108"/>
    </row>
    <row r="21" ht="39.0" customHeight="1">
      <c r="A21" s="1483">
        <v>46161.0</v>
      </c>
      <c r="B21" s="1484" t="s">
        <v>21</v>
      </c>
      <c r="C21" s="1485" t="s">
        <v>446</v>
      </c>
      <c r="D21" s="1486"/>
      <c r="E21" s="1486" t="s">
        <v>916</v>
      </c>
      <c r="F21" s="1487" t="s">
        <v>917</v>
      </c>
      <c r="G21" s="1472" t="s">
        <v>17</v>
      </c>
      <c r="H21" s="1472" t="s">
        <v>18</v>
      </c>
      <c r="I21" s="1488">
        <v>13.0</v>
      </c>
      <c r="J21" s="1488">
        <v>100.0</v>
      </c>
      <c r="K21" s="1489">
        <f t="shared" si="1"/>
        <v>1300</v>
      </c>
      <c r="L21" s="1488">
        <v>25.0</v>
      </c>
      <c r="M21" s="1205">
        <f>(I21+I22+I23)*25</f>
        <v>400</v>
      </c>
      <c r="N21" s="1157">
        <f>K21+K22+K23+M21</f>
        <v>2020</v>
      </c>
    </row>
    <row r="22" ht="39.0" customHeight="1">
      <c r="A22" s="792"/>
      <c r="B22" s="1490" t="s">
        <v>51</v>
      </c>
      <c r="C22" s="27" t="s">
        <v>446</v>
      </c>
      <c r="D22" s="57"/>
      <c r="E22" s="57"/>
      <c r="F22" s="57"/>
      <c r="G22" s="1158" t="s">
        <v>17</v>
      </c>
      <c r="H22" s="1158" t="s">
        <v>18</v>
      </c>
      <c r="I22" s="14">
        <v>2.0</v>
      </c>
      <c r="J22" s="14">
        <v>100.0</v>
      </c>
      <c r="K22" s="1479">
        <f t="shared" si="1"/>
        <v>200</v>
      </c>
      <c r="L22" s="14">
        <v>25.0</v>
      </c>
      <c r="M22" s="187"/>
      <c r="N22" s="187"/>
    </row>
    <row r="23" ht="39.0" customHeight="1">
      <c r="A23" s="1137"/>
      <c r="B23" s="1491" t="s">
        <v>122</v>
      </c>
      <c r="C23" s="64" t="s">
        <v>446</v>
      </c>
      <c r="D23" s="1259"/>
      <c r="E23" s="1259"/>
      <c r="F23" s="1259"/>
      <c r="G23" s="1475" t="s">
        <v>17</v>
      </c>
      <c r="H23" s="1475" t="s">
        <v>25</v>
      </c>
      <c r="I23" s="1374">
        <v>1.0</v>
      </c>
      <c r="J23" s="1374">
        <v>120.0</v>
      </c>
      <c r="K23" s="1374">
        <f t="shared" si="1"/>
        <v>120</v>
      </c>
      <c r="L23" s="1374">
        <v>25.0</v>
      </c>
      <c r="M23" s="108"/>
      <c r="N23" s="108"/>
    </row>
    <row r="24" ht="39.0" customHeight="1">
      <c r="A24" s="1477">
        <v>46161.0</v>
      </c>
      <c r="B24" s="1492" t="s">
        <v>21</v>
      </c>
      <c r="C24" s="1493" t="s">
        <v>446</v>
      </c>
      <c r="D24" s="1494"/>
      <c r="E24" s="1495" t="s">
        <v>916</v>
      </c>
      <c r="F24" s="1496" t="s">
        <v>917</v>
      </c>
      <c r="G24" s="1497" t="s">
        <v>17</v>
      </c>
      <c r="H24" s="1472" t="s">
        <v>18</v>
      </c>
      <c r="I24" s="1350">
        <v>12.0</v>
      </c>
      <c r="J24" s="1350">
        <v>100.0</v>
      </c>
      <c r="K24" s="1471">
        <f t="shared" si="1"/>
        <v>1200</v>
      </c>
      <c r="L24" s="1350">
        <v>25.0</v>
      </c>
      <c r="M24" s="1205">
        <f>(I24+I25+I26)*25</f>
        <v>375</v>
      </c>
      <c r="N24" s="1157">
        <f>K24+K25+K26+M24</f>
        <v>1895</v>
      </c>
    </row>
    <row r="25" ht="39.0" customHeight="1">
      <c r="A25" s="793"/>
      <c r="B25" s="1498" t="s">
        <v>51</v>
      </c>
      <c r="C25" s="1499" t="s">
        <v>446</v>
      </c>
      <c r="D25" s="793"/>
      <c r="F25" s="793"/>
      <c r="G25" s="1500" t="s">
        <v>17</v>
      </c>
      <c r="H25" s="1158" t="s">
        <v>18</v>
      </c>
      <c r="I25" s="22">
        <v>2.0</v>
      </c>
      <c r="J25" s="22">
        <v>100.0</v>
      </c>
      <c r="K25" s="39">
        <f t="shared" si="1"/>
        <v>200</v>
      </c>
      <c r="L25" s="22">
        <v>25.0</v>
      </c>
      <c r="M25" s="187"/>
      <c r="N25" s="187"/>
    </row>
    <row r="26" ht="39.0" customHeight="1">
      <c r="A26" s="725"/>
      <c r="B26" s="1501" t="s">
        <v>122</v>
      </c>
      <c r="C26" s="1502" t="s">
        <v>446</v>
      </c>
      <c r="D26" s="725"/>
      <c r="E26" s="1503"/>
      <c r="F26" s="725"/>
      <c r="G26" s="1504" t="s">
        <v>17</v>
      </c>
      <c r="H26" s="1475" t="s">
        <v>25</v>
      </c>
      <c r="I26" s="1479">
        <v>1.0</v>
      </c>
      <c r="J26" s="1479">
        <v>120.0</v>
      </c>
      <c r="K26" s="1479">
        <f t="shared" si="1"/>
        <v>120</v>
      </c>
      <c r="L26" s="1479">
        <v>25.0</v>
      </c>
      <c r="M26" s="108"/>
      <c r="N26" s="108"/>
    </row>
    <row r="27" ht="39.0" customHeight="1">
      <c r="A27" s="1483">
        <v>46161.0</v>
      </c>
      <c r="B27" s="1505" t="s">
        <v>21</v>
      </c>
      <c r="C27" s="1498" t="s">
        <v>446</v>
      </c>
      <c r="D27" s="1499"/>
      <c r="E27" s="1506" t="s">
        <v>916</v>
      </c>
      <c r="F27" s="1507" t="s">
        <v>917</v>
      </c>
      <c r="G27" s="1508" t="s">
        <v>17</v>
      </c>
      <c r="H27" s="1509" t="s">
        <v>18</v>
      </c>
      <c r="I27" s="1510">
        <v>13.0</v>
      </c>
      <c r="J27" s="1488">
        <v>100.0</v>
      </c>
      <c r="K27" s="1374">
        <f t="shared" si="1"/>
        <v>1300</v>
      </c>
      <c r="L27" s="1162">
        <v>25.0</v>
      </c>
      <c r="M27" s="1205">
        <f>(I27+I28+I29)*25</f>
        <v>375</v>
      </c>
      <c r="N27" s="1157">
        <f>K27+K28+K29+M27</f>
        <v>1895</v>
      </c>
    </row>
    <row r="28" ht="39.0" customHeight="1">
      <c r="A28" s="792"/>
      <c r="B28" s="1511" t="s">
        <v>51</v>
      </c>
      <c r="C28" s="1512" t="s">
        <v>446</v>
      </c>
      <c r="D28" s="1101"/>
      <c r="E28" s="792"/>
      <c r="F28" s="70"/>
      <c r="G28" s="1508" t="s">
        <v>17</v>
      </c>
      <c r="H28" s="1513" t="s">
        <v>18</v>
      </c>
      <c r="I28" s="1514">
        <v>1.0</v>
      </c>
      <c r="J28" s="14">
        <v>100.0</v>
      </c>
      <c r="K28" s="1479">
        <f t="shared" si="1"/>
        <v>100</v>
      </c>
      <c r="L28" s="14">
        <v>25.0</v>
      </c>
      <c r="M28" s="187"/>
      <c r="N28" s="187"/>
    </row>
    <row r="29" ht="39.0" customHeight="1">
      <c r="A29" s="1137"/>
      <c r="B29" s="1515" t="s">
        <v>122</v>
      </c>
      <c r="C29" s="833" t="s">
        <v>446</v>
      </c>
      <c r="D29" s="1516"/>
      <c r="E29" s="1137"/>
      <c r="F29" s="1517"/>
      <c r="G29" s="1518" t="s">
        <v>17</v>
      </c>
      <c r="H29" s="1513" t="s">
        <v>25</v>
      </c>
      <c r="I29" s="1519">
        <v>1.0</v>
      </c>
      <c r="J29" s="1374">
        <v>120.0</v>
      </c>
      <c r="K29" s="39">
        <f t="shared" si="1"/>
        <v>120</v>
      </c>
      <c r="L29" s="39">
        <v>25.0</v>
      </c>
      <c r="M29" s="108"/>
      <c r="N29" s="108"/>
    </row>
    <row r="30" ht="39.0" customHeight="1">
      <c r="A30" s="1520">
        <v>46164.0</v>
      </c>
      <c r="B30" s="1512" t="s">
        <v>21</v>
      </c>
      <c r="C30" s="1494" t="s">
        <v>446</v>
      </c>
      <c r="D30" s="941"/>
      <c r="E30" s="1494" t="s">
        <v>916</v>
      </c>
      <c r="F30" s="1521" t="s">
        <v>917</v>
      </c>
      <c r="G30" s="1522" t="s">
        <v>17</v>
      </c>
      <c r="H30" s="1522" t="s">
        <v>18</v>
      </c>
      <c r="I30" s="1496">
        <v>14.0</v>
      </c>
      <c r="J30" s="1523">
        <v>100.0</v>
      </c>
      <c r="K30" s="1524">
        <f t="shared" si="1"/>
        <v>1400</v>
      </c>
      <c r="L30" s="1496">
        <v>25.0</v>
      </c>
      <c r="M30" s="1205">
        <f>(I30+I31+I32)*25</f>
        <v>400</v>
      </c>
      <c r="N30" s="1157">
        <f>K30+K31+K32+M30</f>
        <v>2020</v>
      </c>
    </row>
    <row r="31" ht="39.0" customHeight="1">
      <c r="A31" s="793"/>
      <c r="B31" s="1498" t="s">
        <v>51</v>
      </c>
      <c r="C31" s="1525" t="s">
        <v>446</v>
      </c>
      <c r="E31" s="793"/>
      <c r="G31" s="1526" t="s">
        <v>17</v>
      </c>
      <c r="H31" s="1526" t="s">
        <v>18</v>
      </c>
      <c r="I31" s="1527">
        <v>1.0</v>
      </c>
      <c r="J31" s="1528">
        <v>100.0</v>
      </c>
      <c r="K31" s="1529">
        <f t="shared" si="1"/>
        <v>100</v>
      </c>
      <c r="L31" s="1527">
        <v>25.0</v>
      </c>
      <c r="M31" s="187"/>
      <c r="N31" s="187"/>
    </row>
    <row r="32" ht="39.0" customHeight="1">
      <c r="A32" s="725"/>
      <c r="B32" s="1530" t="s">
        <v>122</v>
      </c>
      <c r="C32" s="1531" t="s">
        <v>446</v>
      </c>
      <c r="D32" s="1503"/>
      <c r="E32" s="725"/>
      <c r="F32" s="1503"/>
      <c r="G32" s="1526" t="s">
        <v>17</v>
      </c>
      <c r="H32" s="1526" t="s">
        <v>25</v>
      </c>
      <c r="I32" s="1532">
        <v>1.0</v>
      </c>
      <c r="J32" s="1533">
        <v>120.0</v>
      </c>
      <c r="K32" s="1534">
        <f t="shared" si="1"/>
        <v>120</v>
      </c>
      <c r="L32" s="1535">
        <v>25.0</v>
      </c>
      <c r="M32" s="108"/>
      <c r="N32" s="108"/>
    </row>
    <row r="33" ht="39.0" customHeight="1">
      <c r="A33" s="1536">
        <v>46165.0</v>
      </c>
      <c r="B33" s="1537" t="s">
        <v>21</v>
      </c>
      <c r="C33" s="1499" t="s">
        <v>446</v>
      </c>
      <c r="D33" s="1525"/>
      <c r="E33" s="833" t="s">
        <v>916</v>
      </c>
      <c r="F33" s="1538" t="s">
        <v>917</v>
      </c>
      <c r="G33" s="1509" t="s">
        <v>17</v>
      </c>
      <c r="H33" s="1539" t="s">
        <v>18</v>
      </c>
      <c r="I33" s="1540">
        <v>16.0</v>
      </c>
      <c r="J33" s="1528">
        <v>100.0</v>
      </c>
      <c r="K33" s="1529">
        <f t="shared" si="1"/>
        <v>1600</v>
      </c>
      <c r="L33" s="1527">
        <v>25.0</v>
      </c>
      <c r="M33" s="1205">
        <f>(I33+I34+I35)*25</f>
        <v>450</v>
      </c>
      <c r="N33" s="1157">
        <f>K33+K34+K35+M33</f>
        <v>2270</v>
      </c>
    </row>
    <row r="34" ht="39.0" customHeight="1">
      <c r="A34" s="792"/>
      <c r="B34" s="1512" t="s">
        <v>51</v>
      </c>
      <c r="C34" s="1541" t="s">
        <v>446</v>
      </c>
      <c r="D34" s="792"/>
      <c r="F34" s="1101"/>
      <c r="G34" s="1513" t="s">
        <v>17</v>
      </c>
      <c r="H34" s="1542" t="s">
        <v>18</v>
      </c>
      <c r="I34" s="1543">
        <v>1.0</v>
      </c>
      <c r="J34" s="1544">
        <v>100.0</v>
      </c>
      <c r="K34" s="1545">
        <f t="shared" si="1"/>
        <v>100</v>
      </c>
      <c r="L34" s="1532">
        <v>25.0</v>
      </c>
      <c r="M34" s="187"/>
      <c r="N34" s="187"/>
    </row>
    <row r="35" ht="39.0" customHeight="1">
      <c r="A35" s="793"/>
      <c r="B35" s="1546" t="s">
        <v>122</v>
      </c>
      <c r="C35" s="1499" t="s">
        <v>446</v>
      </c>
      <c r="D35" s="1137"/>
      <c r="E35" s="1547"/>
      <c r="F35" s="1516"/>
      <c r="G35" s="1513" t="s">
        <v>17</v>
      </c>
      <c r="H35" s="1548" t="s">
        <v>25</v>
      </c>
      <c r="I35" s="1549">
        <v>1.0</v>
      </c>
      <c r="J35" s="1550">
        <v>120.0</v>
      </c>
      <c r="K35" s="1551">
        <f t="shared" si="1"/>
        <v>120</v>
      </c>
      <c r="L35" s="1552">
        <v>25.0</v>
      </c>
      <c r="M35" s="108"/>
      <c r="N35" s="108"/>
    </row>
    <row r="36" ht="39.0" hidden="1" customHeight="1">
      <c r="A36" s="792"/>
      <c r="B36" s="1553" t="s">
        <v>21</v>
      </c>
      <c r="C36" s="1553" t="s">
        <v>446</v>
      </c>
      <c r="D36" s="1495"/>
      <c r="E36" s="1493"/>
      <c r="F36" s="1554" t="s">
        <v>918</v>
      </c>
      <c r="G36" s="1509" t="s">
        <v>17</v>
      </c>
      <c r="H36" s="1555" t="s">
        <v>18</v>
      </c>
      <c r="I36" s="1524">
        <v>11.0</v>
      </c>
      <c r="J36" s="1524">
        <v>100.0</v>
      </c>
      <c r="K36" s="1545">
        <f t="shared" ref="K36:K44" si="2">I36*J36</f>
        <v>1100</v>
      </c>
      <c r="L36" s="1545"/>
      <c r="M36" s="1205">
        <f>(I36+I37+I38)*25</f>
        <v>325</v>
      </c>
      <c r="N36" s="1157">
        <f>K36+K37+K38+M36</f>
        <v>1645</v>
      </c>
    </row>
    <row r="37" ht="39.0" hidden="1" customHeight="1">
      <c r="A37" s="793"/>
      <c r="B37" s="1556" t="s">
        <v>51</v>
      </c>
      <c r="C37" s="1556" t="s">
        <v>446</v>
      </c>
      <c r="E37" s="1107"/>
      <c r="F37" s="1107"/>
      <c r="G37" s="1513" t="s">
        <v>17</v>
      </c>
      <c r="H37" s="1557" t="s">
        <v>18</v>
      </c>
      <c r="I37" s="1529">
        <v>1.0</v>
      </c>
      <c r="J37" s="1529">
        <v>100.0</v>
      </c>
      <c r="K37" s="1529">
        <f t="shared" si="2"/>
        <v>100</v>
      </c>
      <c r="L37" s="1529"/>
      <c r="M37" s="187"/>
      <c r="N37" s="187"/>
    </row>
    <row r="38" ht="39.0" hidden="1" customHeight="1">
      <c r="A38" s="792"/>
      <c r="B38" s="1558" t="s">
        <v>122</v>
      </c>
      <c r="C38" s="1511" t="s">
        <v>446</v>
      </c>
      <c r="D38" s="1503"/>
      <c r="E38" s="1098"/>
      <c r="F38" s="1098"/>
      <c r="G38" s="1559" t="s">
        <v>17</v>
      </c>
      <c r="H38" s="1560" t="s">
        <v>25</v>
      </c>
      <c r="I38" s="1534">
        <v>1.0</v>
      </c>
      <c r="J38" s="1545">
        <v>120.0</v>
      </c>
      <c r="K38" s="1545">
        <f t="shared" si="2"/>
        <v>120</v>
      </c>
      <c r="L38" s="1545"/>
      <c r="M38" s="108"/>
      <c r="N38" s="108"/>
    </row>
    <row r="39" ht="39.0" customHeight="1">
      <c r="A39" s="1561">
        <v>46167.0</v>
      </c>
      <c r="B39" s="1562" t="s">
        <v>21</v>
      </c>
      <c r="C39" s="1563" t="s">
        <v>446</v>
      </c>
      <c r="D39" s="1563"/>
      <c r="E39" s="1564" t="s">
        <v>916</v>
      </c>
      <c r="F39" s="1565" t="s">
        <v>917</v>
      </c>
      <c r="G39" s="1509" t="s">
        <v>17</v>
      </c>
      <c r="H39" s="1555" t="s">
        <v>18</v>
      </c>
      <c r="I39" s="1566">
        <v>10.0</v>
      </c>
      <c r="J39" s="1567">
        <v>100.0</v>
      </c>
      <c r="K39" s="1568">
        <f t="shared" si="2"/>
        <v>1000</v>
      </c>
      <c r="L39" s="1569">
        <v>25.0</v>
      </c>
      <c r="M39" s="1205">
        <f>(I39+I40+I41)*25</f>
        <v>300</v>
      </c>
      <c r="N39" s="1157">
        <f>K39+K40+K41+M39</f>
        <v>1520</v>
      </c>
    </row>
    <row r="40" ht="39.0" customHeight="1">
      <c r="A40" s="792"/>
      <c r="B40" s="941" t="s">
        <v>51</v>
      </c>
      <c r="C40" s="1541" t="s">
        <v>446</v>
      </c>
      <c r="D40" s="1541"/>
      <c r="E40" s="354"/>
      <c r="G40" s="1513" t="s">
        <v>17</v>
      </c>
      <c r="H40" s="1557" t="s">
        <v>18</v>
      </c>
      <c r="I40" s="1570">
        <v>1.0</v>
      </c>
      <c r="J40" s="1571">
        <v>100.0</v>
      </c>
      <c r="K40" s="1572">
        <f t="shared" si="2"/>
        <v>100</v>
      </c>
      <c r="L40" s="1573">
        <v>25.0</v>
      </c>
      <c r="M40" s="187"/>
      <c r="N40" s="187"/>
    </row>
    <row r="41" ht="39.0" customHeight="1">
      <c r="A41" s="793"/>
      <c r="B41" s="833" t="s">
        <v>122</v>
      </c>
      <c r="C41" s="1499" t="s">
        <v>446</v>
      </c>
      <c r="D41" s="1516"/>
      <c r="E41" s="355"/>
      <c r="F41" s="1547"/>
      <c r="G41" s="1559" t="s">
        <v>17</v>
      </c>
      <c r="H41" s="1560" t="s">
        <v>25</v>
      </c>
      <c r="I41" s="1574">
        <v>1.0</v>
      </c>
      <c r="J41" s="1575">
        <v>120.0</v>
      </c>
      <c r="K41" s="1576">
        <f t="shared" si="2"/>
        <v>120</v>
      </c>
      <c r="L41" s="1577">
        <v>25.0</v>
      </c>
      <c r="M41" s="108"/>
      <c r="N41" s="108"/>
    </row>
    <row r="42" ht="39.0" hidden="1" customHeight="1">
      <c r="A42" s="1578">
        <v>46172.0</v>
      </c>
      <c r="B42" s="888" t="s">
        <v>21</v>
      </c>
      <c r="C42" s="888" t="s">
        <v>446</v>
      </c>
      <c r="D42" s="888"/>
      <c r="E42" s="25" t="s">
        <v>23</v>
      </c>
      <c r="F42" s="707" t="s">
        <v>764</v>
      </c>
      <c r="G42" s="1509" t="s">
        <v>17</v>
      </c>
      <c r="H42" s="1555" t="s">
        <v>18</v>
      </c>
      <c r="I42" s="14">
        <v>9.0</v>
      </c>
      <c r="J42" s="1160">
        <v>100.0</v>
      </c>
      <c r="K42" s="1160">
        <f t="shared" si="2"/>
        <v>900</v>
      </c>
      <c r="L42" s="1579">
        <v>25.0</v>
      </c>
      <c r="M42" s="1205">
        <f>(I42+I43+I44)*25</f>
        <v>275</v>
      </c>
      <c r="N42" s="1157">
        <v>1595.0</v>
      </c>
    </row>
    <row r="43" ht="39.0" hidden="1" customHeight="1">
      <c r="A43" s="217"/>
      <c r="B43" s="1580" t="s">
        <v>51</v>
      </c>
      <c r="C43" s="1580" t="s">
        <v>446</v>
      </c>
      <c r="D43" s="217"/>
      <c r="E43" s="29"/>
      <c r="F43" s="29"/>
      <c r="G43" s="1513" t="s">
        <v>17</v>
      </c>
      <c r="H43" s="1557" t="s">
        <v>18</v>
      </c>
      <c r="I43" s="22">
        <v>1.0</v>
      </c>
      <c r="J43" s="1162">
        <v>100.0</v>
      </c>
      <c r="K43" s="1162">
        <f t="shared" si="2"/>
        <v>100</v>
      </c>
      <c r="L43" s="938">
        <v>25.0</v>
      </c>
      <c r="M43" s="187"/>
      <c r="N43" s="187"/>
    </row>
    <row r="44" ht="39.0" hidden="1" customHeight="1">
      <c r="A44" s="222"/>
      <c r="B44" s="1581" t="s">
        <v>122</v>
      </c>
      <c r="C44" s="1581" t="s">
        <v>446</v>
      </c>
      <c r="D44" s="222"/>
      <c r="E44" s="58"/>
      <c r="F44" s="58"/>
      <c r="G44" s="1513" t="s">
        <v>17</v>
      </c>
      <c r="H44" s="1560" t="s">
        <v>25</v>
      </c>
      <c r="I44" s="14">
        <v>1.0</v>
      </c>
      <c r="J44" s="1160">
        <v>120.0</v>
      </c>
      <c r="K44" s="1160">
        <f t="shared" si="2"/>
        <v>120</v>
      </c>
      <c r="L44" s="1582">
        <v>25.0</v>
      </c>
      <c r="M44" s="187"/>
      <c r="N44" s="187"/>
    </row>
    <row r="45" ht="39.0" hidden="1" customHeight="1">
      <c r="A45" s="217"/>
      <c r="B45" s="1583" t="s">
        <v>51</v>
      </c>
      <c r="C45" s="1583" t="s">
        <v>446</v>
      </c>
      <c r="D45" s="223"/>
      <c r="E45" s="1584" t="s">
        <v>916</v>
      </c>
      <c r="F45" s="1585" t="s">
        <v>919</v>
      </c>
      <c r="G45" s="1586" t="s">
        <v>17</v>
      </c>
      <c r="H45" s="1587" t="s">
        <v>18</v>
      </c>
      <c r="I45" s="1588">
        <v>2.0</v>
      </c>
      <c r="J45" s="1589">
        <v>100.0</v>
      </c>
      <c r="K45" s="1589">
        <v>200.0</v>
      </c>
      <c r="L45" s="1590">
        <v>0.0</v>
      </c>
      <c r="M45" s="108"/>
      <c r="N45" s="108"/>
    </row>
    <row r="46" ht="39.0" customHeight="1">
      <c r="A46" s="8">
        <v>46174.0</v>
      </c>
      <c r="B46" s="941" t="s">
        <v>21</v>
      </c>
      <c r="C46" s="887" t="s">
        <v>446</v>
      </c>
      <c r="D46" s="135"/>
      <c r="E46" s="132" t="s">
        <v>920</v>
      </c>
      <c r="F46" s="1591" t="s">
        <v>917</v>
      </c>
      <c r="G46" s="1158" t="s">
        <v>17</v>
      </c>
      <c r="H46" s="1158" t="s">
        <v>18</v>
      </c>
      <c r="I46" s="14">
        <v>6.0</v>
      </c>
      <c r="J46" s="14">
        <v>104.0</v>
      </c>
      <c r="K46" s="14">
        <f t="shared" ref="K46:K67" si="3">I46*J46</f>
        <v>624</v>
      </c>
      <c r="L46" s="14">
        <v>25.0</v>
      </c>
      <c r="M46" s="1205">
        <f>(I46+I47)*25</f>
        <v>175</v>
      </c>
      <c r="N46" s="1157">
        <v>903.0</v>
      </c>
    </row>
    <row r="47" ht="39.0" customHeight="1">
      <c r="A47" s="20"/>
      <c r="B47" s="1592" t="s">
        <v>51</v>
      </c>
      <c r="C47" s="1593" t="s">
        <v>446</v>
      </c>
      <c r="D47" s="38"/>
      <c r="E47" s="20"/>
      <c r="F47" s="1516"/>
      <c r="G47" s="1158" t="s">
        <v>17</v>
      </c>
      <c r="H47" s="1158" t="s">
        <v>18</v>
      </c>
      <c r="I47" s="22">
        <v>1.0</v>
      </c>
      <c r="J47" s="22">
        <v>104.0</v>
      </c>
      <c r="K47" s="22">
        <f t="shared" si="3"/>
        <v>104</v>
      </c>
      <c r="L47" s="22">
        <v>25.0</v>
      </c>
      <c r="M47" s="108"/>
      <c r="N47" s="108"/>
    </row>
    <row r="48" ht="39.0" customHeight="1">
      <c r="A48" s="1594">
        <v>46175.0</v>
      </c>
      <c r="B48" s="1581" t="s">
        <v>21</v>
      </c>
      <c r="C48" s="888" t="s">
        <v>446</v>
      </c>
      <c r="D48" s="25"/>
      <c r="E48" s="135" t="s">
        <v>920</v>
      </c>
      <c r="F48" s="1591" t="s">
        <v>917</v>
      </c>
      <c r="G48" s="74" t="s">
        <v>17</v>
      </c>
      <c r="H48" s="1158" t="s">
        <v>18</v>
      </c>
      <c r="I48" s="14">
        <v>7.0</v>
      </c>
      <c r="J48" s="14">
        <v>100.0</v>
      </c>
      <c r="K48" s="14">
        <f t="shared" si="3"/>
        <v>700</v>
      </c>
      <c r="L48" s="14">
        <v>25.0</v>
      </c>
      <c r="M48" s="1205">
        <f>(I48+I49)*25</f>
        <v>200</v>
      </c>
      <c r="N48" s="1157">
        <v>1000.0</v>
      </c>
    </row>
    <row r="49" ht="39.0" customHeight="1">
      <c r="A49" s="20"/>
      <c r="B49" s="1595" t="s">
        <v>51</v>
      </c>
      <c r="C49" s="1580" t="s">
        <v>446</v>
      </c>
      <c r="D49" s="20"/>
      <c r="E49" s="38"/>
      <c r="F49" s="1516"/>
      <c r="G49" s="1158" t="s">
        <v>17</v>
      </c>
      <c r="H49" s="1158" t="s">
        <v>18</v>
      </c>
      <c r="I49" s="22">
        <v>1.0</v>
      </c>
      <c r="J49" s="22">
        <v>100.0</v>
      </c>
      <c r="K49" s="22">
        <f t="shared" si="3"/>
        <v>100</v>
      </c>
      <c r="L49" s="22">
        <v>25.0</v>
      </c>
      <c r="M49" s="108"/>
      <c r="N49" s="108"/>
    </row>
    <row r="50" ht="39.0" customHeight="1">
      <c r="A50" s="1596">
        <v>46176.0</v>
      </c>
      <c r="B50" s="1493" t="s">
        <v>21</v>
      </c>
      <c r="C50" s="25" t="s">
        <v>446</v>
      </c>
      <c r="D50" s="1495"/>
      <c r="E50" s="1494" t="s">
        <v>920</v>
      </c>
      <c r="F50" s="1597" t="s">
        <v>917</v>
      </c>
      <c r="G50" s="1158" t="s">
        <v>17</v>
      </c>
      <c r="H50" s="1158" t="s">
        <v>18</v>
      </c>
      <c r="I50" s="14">
        <v>12.0</v>
      </c>
      <c r="J50" s="14">
        <v>100.0</v>
      </c>
      <c r="K50" s="14">
        <f t="shared" si="3"/>
        <v>1200</v>
      </c>
      <c r="L50" s="14">
        <v>25.0</v>
      </c>
      <c r="M50" s="1205">
        <f>(I50+I51+I52)*25</f>
        <v>350</v>
      </c>
      <c r="N50" s="1157">
        <v>1870.0</v>
      </c>
    </row>
    <row r="51" ht="39.0" customHeight="1">
      <c r="A51" s="314"/>
      <c r="B51" s="1499" t="s">
        <v>51</v>
      </c>
      <c r="C51" s="137" t="s">
        <v>446</v>
      </c>
      <c r="E51" s="793"/>
      <c r="F51" s="56"/>
      <c r="G51" s="1158" t="s">
        <v>17</v>
      </c>
      <c r="H51" s="1158" t="s">
        <v>18</v>
      </c>
      <c r="I51" s="22">
        <v>1.0</v>
      </c>
      <c r="J51" s="22">
        <v>100.0</v>
      </c>
      <c r="K51" s="22">
        <f t="shared" si="3"/>
        <v>100</v>
      </c>
      <c r="L51" s="22">
        <v>25.0</v>
      </c>
      <c r="M51" s="187"/>
      <c r="N51" s="187"/>
    </row>
    <row r="52" ht="39.0" customHeight="1">
      <c r="A52" s="294"/>
      <c r="B52" s="1502" t="s">
        <v>122</v>
      </c>
      <c r="C52" s="132" t="s">
        <v>446</v>
      </c>
      <c r="D52" s="1503"/>
      <c r="E52" s="725"/>
      <c r="F52" s="59"/>
      <c r="G52" s="1158" t="s">
        <v>17</v>
      </c>
      <c r="H52" s="1158" t="s">
        <v>25</v>
      </c>
      <c r="I52" s="14">
        <v>1.0</v>
      </c>
      <c r="J52" s="14">
        <v>120.0</v>
      </c>
      <c r="K52" s="14">
        <f t="shared" si="3"/>
        <v>120</v>
      </c>
      <c r="L52" s="14">
        <v>25.0</v>
      </c>
      <c r="M52" s="187"/>
      <c r="N52" s="187"/>
    </row>
    <row r="53" ht="39.0" hidden="1" customHeight="1">
      <c r="A53" s="314"/>
      <c r="B53" s="1598" t="s">
        <v>51</v>
      </c>
      <c r="C53" s="1599" t="s">
        <v>446</v>
      </c>
      <c r="D53" s="1600"/>
      <c r="E53" s="1599"/>
      <c r="F53" s="1601" t="s">
        <v>921</v>
      </c>
      <c r="G53" s="1602" t="s">
        <v>17</v>
      </c>
      <c r="H53" s="1603" t="s">
        <v>18</v>
      </c>
      <c r="I53" s="1604">
        <v>2.0</v>
      </c>
      <c r="J53" s="1604">
        <v>25.0</v>
      </c>
      <c r="K53" s="1605">
        <f t="shared" si="3"/>
        <v>50</v>
      </c>
      <c r="L53" s="1604">
        <v>0.0</v>
      </c>
      <c r="M53" s="108"/>
      <c r="N53" s="108"/>
    </row>
    <row r="54" ht="39.0" customHeight="1">
      <c r="A54" s="8">
        <v>46177.0</v>
      </c>
      <c r="B54" s="1493" t="s">
        <v>21</v>
      </c>
      <c r="C54" s="132" t="s">
        <v>446</v>
      </c>
      <c r="D54" s="1481"/>
      <c r="E54" s="941" t="s">
        <v>920</v>
      </c>
      <c r="F54" s="75" t="s">
        <v>917</v>
      </c>
      <c r="G54" s="1500" t="s">
        <v>17</v>
      </c>
      <c r="H54" s="1158" t="s">
        <v>18</v>
      </c>
      <c r="I54" s="14">
        <v>15.0</v>
      </c>
      <c r="J54" s="14">
        <v>100.0</v>
      </c>
      <c r="K54" s="14">
        <f t="shared" si="3"/>
        <v>1500</v>
      </c>
      <c r="L54" s="14">
        <v>25.0</v>
      </c>
      <c r="M54" s="1205">
        <f>(I54+I55+I56)*25</f>
        <v>425</v>
      </c>
      <c r="N54" s="1157">
        <f>K54+K55+K56+M54</f>
        <v>2145</v>
      </c>
    </row>
    <row r="55" ht="39.0" customHeight="1">
      <c r="A55" s="29"/>
      <c r="B55" s="1499" t="s">
        <v>51</v>
      </c>
      <c r="C55" s="137" t="s">
        <v>446</v>
      </c>
      <c r="D55" s="56"/>
      <c r="F55" s="29"/>
      <c r="G55" s="1500" t="s">
        <v>17</v>
      </c>
      <c r="H55" s="1158" t="s">
        <v>18</v>
      </c>
      <c r="I55" s="22">
        <v>1.0</v>
      </c>
      <c r="J55" s="22">
        <v>100.0</v>
      </c>
      <c r="K55" s="22">
        <f t="shared" si="3"/>
        <v>100</v>
      </c>
      <c r="L55" s="22">
        <v>25.0</v>
      </c>
      <c r="M55" s="187"/>
      <c r="N55" s="187"/>
    </row>
    <row r="56" ht="39.0" customHeight="1">
      <c r="A56" s="57"/>
      <c r="B56" s="1541" t="s">
        <v>122</v>
      </c>
      <c r="C56" s="132" t="s">
        <v>446</v>
      </c>
      <c r="D56" s="59"/>
      <c r="E56" s="1503"/>
      <c r="F56" s="58"/>
      <c r="G56" s="1500" t="s">
        <v>17</v>
      </c>
      <c r="H56" s="1158" t="s">
        <v>25</v>
      </c>
      <c r="I56" s="14">
        <v>1.0</v>
      </c>
      <c r="J56" s="14">
        <v>120.0</v>
      </c>
      <c r="K56" s="14">
        <f t="shared" si="3"/>
        <v>120</v>
      </c>
      <c r="L56" s="14">
        <v>25.0</v>
      </c>
      <c r="M56" s="108"/>
      <c r="N56" s="108"/>
    </row>
    <row r="57" ht="39.0" hidden="1" customHeight="1">
      <c r="A57" s="29"/>
      <c r="B57" s="1606" t="s">
        <v>21</v>
      </c>
      <c r="C57" s="1606" t="s">
        <v>446</v>
      </c>
      <c r="D57" s="1607"/>
      <c r="E57" s="64" t="s">
        <v>23</v>
      </c>
      <c r="F57" s="1608" t="s">
        <v>764</v>
      </c>
      <c r="G57" s="1158" t="s">
        <v>17</v>
      </c>
      <c r="H57" s="1158" t="s">
        <v>18</v>
      </c>
      <c r="I57" s="22">
        <v>22.0</v>
      </c>
      <c r="J57" s="22">
        <v>100.0</v>
      </c>
      <c r="K57" s="22">
        <f t="shared" si="3"/>
        <v>2200</v>
      </c>
      <c r="L57" s="22">
        <v>25.0</v>
      </c>
      <c r="M57" s="1205">
        <f>(I57+I58+I59+I60)*25</f>
        <v>675</v>
      </c>
      <c r="N57" s="1157">
        <f>K57+K58+K59+M57</f>
        <v>3095</v>
      </c>
    </row>
    <row r="58" ht="39.0" hidden="1" customHeight="1">
      <c r="A58" s="57"/>
      <c r="B58" s="1609" t="s">
        <v>51</v>
      </c>
      <c r="C58" s="1609" t="s">
        <v>446</v>
      </c>
      <c r="D58" s="70"/>
      <c r="E58" s="57"/>
      <c r="F58" s="57"/>
      <c r="G58" s="1158" t="s">
        <v>17</v>
      </c>
      <c r="H58" s="1158" t="s">
        <v>18</v>
      </c>
      <c r="I58" s="14">
        <v>1.0</v>
      </c>
      <c r="J58" s="14">
        <v>100.0</v>
      </c>
      <c r="K58" s="14">
        <f t="shared" si="3"/>
        <v>100</v>
      </c>
      <c r="L58" s="14">
        <v>25.0</v>
      </c>
      <c r="M58" s="187"/>
      <c r="N58" s="187"/>
    </row>
    <row r="59" ht="39.0" hidden="1" customHeight="1">
      <c r="A59" s="29"/>
      <c r="B59" s="1606" t="s">
        <v>122</v>
      </c>
      <c r="C59" s="1606" t="s">
        <v>446</v>
      </c>
      <c r="D59" s="56"/>
      <c r="E59" s="20"/>
      <c r="F59" s="20"/>
      <c r="G59" s="1158" t="s">
        <v>17</v>
      </c>
      <c r="H59" s="1158" t="s">
        <v>25</v>
      </c>
      <c r="I59" s="22">
        <v>1.0</v>
      </c>
      <c r="J59" s="22">
        <v>120.0</v>
      </c>
      <c r="K59" s="22">
        <f t="shared" si="3"/>
        <v>120</v>
      </c>
      <c r="L59" s="22">
        <v>25.0</v>
      </c>
      <c r="M59" s="187"/>
      <c r="N59" s="187"/>
    </row>
    <row r="60" ht="39.0" hidden="1" customHeight="1">
      <c r="A60" s="57"/>
      <c r="B60" s="1610" t="s">
        <v>51</v>
      </c>
      <c r="C60" s="1610" t="s">
        <v>446</v>
      </c>
      <c r="D60" s="59"/>
      <c r="E60" s="1611"/>
      <c r="F60" s="1612" t="s">
        <v>921</v>
      </c>
      <c r="G60" s="1613" t="s">
        <v>17</v>
      </c>
      <c r="H60" s="1613" t="s">
        <v>18</v>
      </c>
      <c r="I60" s="1614">
        <v>3.0</v>
      </c>
      <c r="J60" s="1614">
        <v>50.0</v>
      </c>
      <c r="K60" s="1614">
        <f t="shared" si="3"/>
        <v>150</v>
      </c>
      <c r="L60" s="1614">
        <v>0.0</v>
      </c>
      <c r="M60" s="108"/>
      <c r="N60" s="108"/>
    </row>
    <row r="61" ht="39.0" customHeight="1">
      <c r="A61" s="1615">
        <v>46178.0</v>
      </c>
      <c r="B61" s="31" t="s">
        <v>21</v>
      </c>
      <c r="C61" s="31" t="s">
        <v>446</v>
      </c>
      <c r="D61" s="1607"/>
      <c r="E61" s="64" t="s">
        <v>23</v>
      </c>
      <c r="F61" s="160" t="s">
        <v>917</v>
      </c>
      <c r="G61" s="1158" t="s">
        <v>17</v>
      </c>
      <c r="H61" s="1158" t="s">
        <v>18</v>
      </c>
      <c r="I61" s="22">
        <v>15.0</v>
      </c>
      <c r="J61" s="22">
        <v>100.0</v>
      </c>
      <c r="K61" s="22">
        <f t="shared" si="3"/>
        <v>1500</v>
      </c>
      <c r="L61" s="22">
        <v>25.0</v>
      </c>
      <c r="M61" s="1205">
        <f>(I61+I62+I63)*25</f>
        <v>425</v>
      </c>
      <c r="N61" s="1157">
        <f>K61+K62+K63+M61+K64</f>
        <v>2195</v>
      </c>
    </row>
    <row r="62" ht="39.0" customHeight="1">
      <c r="A62" s="294"/>
      <c r="B62" s="27" t="s">
        <v>51</v>
      </c>
      <c r="C62" s="27" t="s">
        <v>446</v>
      </c>
      <c r="D62" s="70"/>
      <c r="E62" s="57"/>
      <c r="F62" s="57"/>
      <c r="G62" s="1158" t="s">
        <v>17</v>
      </c>
      <c r="H62" s="1158" t="s">
        <v>18</v>
      </c>
      <c r="I62" s="14">
        <v>1.0</v>
      </c>
      <c r="J62" s="14">
        <v>100.0</v>
      </c>
      <c r="K62" s="14">
        <f t="shared" si="3"/>
        <v>100</v>
      </c>
      <c r="L62" s="14">
        <v>25.0</v>
      </c>
      <c r="M62" s="187"/>
      <c r="N62" s="187"/>
    </row>
    <row r="63" ht="39.0" customHeight="1">
      <c r="A63" s="314"/>
      <c r="B63" s="31" t="s">
        <v>122</v>
      </c>
      <c r="C63" s="31" t="s">
        <v>446</v>
      </c>
      <c r="D63" s="38"/>
      <c r="E63" s="20"/>
      <c r="F63" s="20"/>
      <c r="G63" s="1158" t="s">
        <v>17</v>
      </c>
      <c r="H63" s="1158" t="s">
        <v>25</v>
      </c>
      <c r="I63" s="22">
        <v>1.0</v>
      </c>
      <c r="J63" s="22">
        <v>120.0</v>
      </c>
      <c r="K63" s="22">
        <f t="shared" si="3"/>
        <v>120</v>
      </c>
      <c r="L63" s="22">
        <v>25.0</v>
      </c>
      <c r="M63" s="187"/>
      <c r="N63" s="187"/>
    </row>
    <row r="64" ht="39.0" hidden="1" customHeight="1">
      <c r="A64" s="294"/>
      <c r="B64" s="1611" t="s">
        <v>51</v>
      </c>
      <c r="C64" s="1611" t="s">
        <v>446</v>
      </c>
      <c r="D64" s="1616"/>
      <c r="E64" s="1611"/>
      <c r="F64" s="1612" t="s">
        <v>921</v>
      </c>
      <c r="G64" s="1613" t="s">
        <v>17</v>
      </c>
      <c r="H64" s="1613" t="s">
        <v>18</v>
      </c>
      <c r="I64" s="1614">
        <v>2.0</v>
      </c>
      <c r="J64" s="1614">
        <v>25.0</v>
      </c>
      <c r="K64" s="1614">
        <f t="shared" si="3"/>
        <v>50</v>
      </c>
      <c r="L64" s="1614">
        <v>0.0</v>
      </c>
      <c r="M64" s="108"/>
      <c r="N64" s="108"/>
    </row>
    <row r="65" ht="39.0" customHeight="1">
      <c r="A65" s="1615">
        <v>46179.0</v>
      </c>
      <c r="B65" s="137" t="s">
        <v>21</v>
      </c>
      <c r="C65" s="93" t="s">
        <v>446</v>
      </c>
      <c r="D65" s="1607"/>
      <c r="E65" s="64" t="s">
        <v>23</v>
      </c>
      <c r="F65" s="160" t="s">
        <v>917</v>
      </c>
      <c r="G65" s="1158" t="s">
        <v>17</v>
      </c>
      <c r="H65" s="1158" t="s">
        <v>18</v>
      </c>
      <c r="I65" s="22">
        <v>18.0</v>
      </c>
      <c r="J65" s="22">
        <v>100.0</v>
      </c>
      <c r="K65" s="22">
        <f t="shared" si="3"/>
        <v>1800</v>
      </c>
      <c r="L65" s="22">
        <v>25.0</v>
      </c>
      <c r="M65" s="1205">
        <f>(I65+I66+I67)*25</f>
        <v>500</v>
      </c>
      <c r="N65" s="1157">
        <f>K65+K66+K67+M65+K68</f>
        <v>2590</v>
      </c>
    </row>
    <row r="66" ht="39.0" customHeight="1">
      <c r="A66" s="294"/>
      <c r="B66" s="132" t="s">
        <v>51</v>
      </c>
      <c r="C66" s="135" t="s">
        <v>446</v>
      </c>
      <c r="D66" s="70"/>
      <c r="E66" s="57"/>
      <c r="F66" s="57"/>
      <c r="G66" s="1158" t="s">
        <v>17</v>
      </c>
      <c r="H66" s="1158" t="s">
        <v>18</v>
      </c>
      <c r="I66" s="14">
        <v>1.0</v>
      </c>
      <c r="J66" s="14">
        <v>100.0</v>
      </c>
      <c r="K66" s="14">
        <f t="shared" si="3"/>
        <v>100</v>
      </c>
      <c r="L66" s="14">
        <v>25.0</v>
      </c>
      <c r="M66" s="187"/>
      <c r="N66" s="187"/>
    </row>
    <row r="67" ht="39.0" customHeight="1">
      <c r="A67" s="314"/>
      <c r="B67" s="1617" t="s">
        <v>122</v>
      </c>
      <c r="C67" s="1480" t="s">
        <v>446</v>
      </c>
      <c r="D67" s="38"/>
      <c r="E67" s="20"/>
      <c r="F67" s="20"/>
      <c r="G67" s="1158" t="s">
        <v>17</v>
      </c>
      <c r="H67" s="1158" t="s">
        <v>25</v>
      </c>
      <c r="I67" s="22">
        <v>1.0</v>
      </c>
      <c r="J67" s="22">
        <v>120.0</v>
      </c>
      <c r="K67" s="22">
        <f t="shared" si="3"/>
        <v>120</v>
      </c>
      <c r="L67" s="22">
        <v>25.0</v>
      </c>
      <c r="M67" s="187"/>
      <c r="N67" s="187"/>
    </row>
    <row r="68" ht="39.0" hidden="1" customHeight="1">
      <c r="A68" s="294"/>
      <c r="B68" s="675" t="s">
        <v>51</v>
      </c>
      <c r="C68" s="1618" t="s">
        <v>446</v>
      </c>
      <c r="D68" s="1619"/>
      <c r="E68" s="1620"/>
      <c r="F68" s="1621" t="s">
        <v>921</v>
      </c>
      <c r="G68" s="1622" t="s">
        <v>17</v>
      </c>
      <c r="H68" s="1623" t="s">
        <v>18</v>
      </c>
      <c r="I68" s="1624">
        <v>3.0</v>
      </c>
      <c r="J68" s="1625">
        <v>25.0</v>
      </c>
      <c r="K68" s="1626">
        <v>70.0</v>
      </c>
      <c r="L68" s="1625">
        <v>0.0</v>
      </c>
      <c r="M68" s="108"/>
      <c r="N68" s="108"/>
    </row>
    <row r="69" ht="39.0" customHeight="1">
      <c r="A69" s="1615">
        <v>46181.0</v>
      </c>
      <c r="B69" s="137" t="s">
        <v>21</v>
      </c>
      <c r="C69" s="93" t="s">
        <v>446</v>
      </c>
      <c r="D69" s="1607"/>
      <c r="E69" s="1627" t="s">
        <v>920</v>
      </c>
      <c r="F69" s="160" t="s">
        <v>917</v>
      </c>
      <c r="G69" s="1158" t="s">
        <v>17</v>
      </c>
      <c r="H69" s="1158" t="s">
        <v>18</v>
      </c>
      <c r="I69" s="22">
        <v>17.0</v>
      </c>
      <c r="J69" s="22">
        <v>100.0</v>
      </c>
      <c r="K69" s="22">
        <f t="shared" ref="K69:K74" si="4">I69*J69</f>
        <v>1700</v>
      </c>
      <c r="L69" s="22">
        <v>25.0</v>
      </c>
      <c r="M69" s="1205">
        <f>(I69+I70+I71)*25</f>
        <v>500</v>
      </c>
      <c r="N69" s="1157">
        <f>K69+K70+K71+M69+K72</f>
        <v>3920</v>
      </c>
    </row>
    <row r="70" ht="39.0" customHeight="1">
      <c r="A70" s="294"/>
      <c r="B70" s="132" t="s">
        <v>51</v>
      </c>
      <c r="C70" s="70"/>
      <c r="D70" s="70"/>
      <c r="E70" s="1127"/>
      <c r="F70" s="57"/>
      <c r="G70" s="1158" t="s">
        <v>17</v>
      </c>
      <c r="H70" s="1158" t="s">
        <v>18</v>
      </c>
      <c r="I70" s="14">
        <v>2.0</v>
      </c>
      <c r="J70" s="14">
        <v>100.0</v>
      </c>
      <c r="K70" s="14">
        <f t="shared" si="4"/>
        <v>200</v>
      </c>
      <c r="L70" s="14">
        <v>25.0</v>
      </c>
      <c r="M70" s="187"/>
      <c r="N70" s="187"/>
    </row>
    <row r="71" ht="39.0" customHeight="1">
      <c r="A71" s="314"/>
      <c r="B71" s="1617" t="s">
        <v>122</v>
      </c>
      <c r="C71" s="38"/>
      <c r="D71" s="38"/>
      <c r="E71" s="1628"/>
      <c r="F71" s="20"/>
      <c r="G71" s="1158" t="s">
        <v>17</v>
      </c>
      <c r="H71" s="1158" t="s">
        <v>25</v>
      </c>
      <c r="I71" s="22">
        <v>1.0</v>
      </c>
      <c r="J71" s="22">
        <v>120.0</v>
      </c>
      <c r="K71" s="22">
        <f t="shared" si="4"/>
        <v>120</v>
      </c>
      <c r="L71" s="22">
        <v>25.0</v>
      </c>
      <c r="M71" s="108"/>
      <c r="N71" s="108"/>
    </row>
    <row r="72" ht="39.0" customHeight="1">
      <c r="A72" s="8">
        <v>46183.0</v>
      </c>
      <c r="B72" s="132" t="s">
        <v>21</v>
      </c>
      <c r="C72" s="135" t="s">
        <v>446</v>
      </c>
      <c r="E72" s="1629" t="s">
        <v>920</v>
      </c>
      <c r="F72" s="75" t="s">
        <v>917</v>
      </c>
      <c r="G72" s="1158" t="s">
        <v>17</v>
      </c>
      <c r="H72" s="1158" t="s">
        <v>18</v>
      </c>
      <c r="I72" s="14">
        <v>14.0</v>
      </c>
      <c r="J72" s="14">
        <v>100.0</v>
      </c>
      <c r="K72" s="14">
        <f t="shared" si="4"/>
        <v>1400</v>
      </c>
      <c r="L72" s="14">
        <v>25.0</v>
      </c>
      <c r="M72" s="1205">
        <f>(I72+I73+I74)*25</f>
        <v>425</v>
      </c>
      <c r="N72" s="1157">
        <f>K72+K73+K74+M72+K75</f>
        <v>2195</v>
      </c>
    </row>
    <row r="73" ht="39.0" customHeight="1">
      <c r="A73" s="29"/>
      <c r="B73" s="137" t="s">
        <v>51</v>
      </c>
      <c r="C73" s="56"/>
      <c r="D73" s="64"/>
      <c r="E73" s="1134"/>
      <c r="F73" s="29"/>
      <c r="G73" s="1158" t="s">
        <v>17</v>
      </c>
      <c r="H73" s="1158" t="s">
        <v>18</v>
      </c>
      <c r="I73" s="22">
        <v>2.0</v>
      </c>
      <c r="J73" s="22">
        <v>100.0</v>
      </c>
      <c r="K73" s="22">
        <f t="shared" si="4"/>
        <v>200</v>
      </c>
      <c r="L73" s="22">
        <v>25.0</v>
      </c>
      <c r="M73" s="187"/>
      <c r="N73" s="187"/>
    </row>
    <row r="74" ht="39.0" customHeight="1">
      <c r="A74" s="57"/>
      <c r="B74" s="125" t="s">
        <v>122</v>
      </c>
      <c r="C74" s="59"/>
      <c r="D74" s="58"/>
      <c r="E74" s="1630"/>
      <c r="F74" s="58"/>
      <c r="G74" s="1158" t="s">
        <v>17</v>
      </c>
      <c r="H74" s="1158" t="s">
        <v>25</v>
      </c>
      <c r="I74" s="14">
        <v>1.0</v>
      </c>
      <c r="J74" s="14">
        <v>120.0</v>
      </c>
      <c r="K74" s="14">
        <f t="shared" si="4"/>
        <v>120</v>
      </c>
      <c r="L74" s="14">
        <v>25.0</v>
      </c>
      <c r="M74" s="187"/>
      <c r="N74" s="187"/>
    </row>
    <row r="75" ht="39.0" hidden="1" customHeight="1">
      <c r="A75" s="29"/>
      <c r="B75" s="667" t="s">
        <v>51</v>
      </c>
      <c r="C75" s="1631" t="s">
        <v>446</v>
      </c>
      <c r="D75" s="1632"/>
      <c r="E75" s="1633"/>
      <c r="F75" s="1634" t="s">
        <v>921</v>
      </c>
      <c r="G75" s="1622" t="s">
        <v>17</v>
      </c>
      <c r="H75" s="1623" t="s">
        <v>18</v>
      </c>
      <c r="I75" s="1635">
        <v>2.0</v>
      </c>
      <c r="J75" s="1636">
        <v>25.0</v>
      </c>
      <c r="K75" s="1637">
        <v>50.0</v>
      </c>
      <c r="L75" s="1636">
        <v>0.0</v>
      </c>
      <c r="M75" s="108"/>
      <c r="N75" s="108"/>
    </row>
    <row r="76" ht="39.0" customHeight="1">
      <c r="A76" s="8">
        <v>46184.0</v>
      </c>
      <c r="B76" s="132" t="s">
        <v>21</v>
      </c>
      <c r="C76" s="1638" t="s">
        <v>446</v>
      </c>
      <c r="D76" s="1619"/>
      <c r="E76" s="1629" t="s">
        <v>920</v>
      </c>
      <c r="F76" s="75" t="s">
        <v>917</v>
      </c>
      <c r="G76" s="1622" t="s">
        <v>17</v>
      </c>
      <c r="H76" s="1158" t="s">
        <v>18</v>
      </c>
      <c r="I76" s="1624">
        <v>15.0</v>
      </c>
      <c r="J76" s="14">
        <v>100.0</v>
      </c>
      <c r="K76" s="14">
        <f t="shared" ref="K76:K78" si="5">I76*J76</f>
        <v>1500</v>
      </c>
      <c r="L76" s="14">
        <v>25.0</v>
      </c>
      <c r="M76" s="1205">
        <f>(I76+I77+I78)*25</f>
        <v>450</v>
      </c>
      <c r="N76" s="1157">
        <f>K76+K77+K78+M76+K79</f>
        <v>2330</v>
      </c>
    </row>
    <row r="77" ht="39.0" customHeight="1">
      <c r="A77" s="29"/>
      <c r="B77" s="137" t="s">
        <v>51</v>
      </c>
      <c r="C77" s="1639"/>
      <c r="D77" s="64"/>
      <c r="E77" s="1134"/>
      <c r="F77" s="29"/>
      <c r="G77" s="1622" t="s">
        <v>17</v>
      </c>
      <c r="H77" s="1158" t="s">
        <v>18</v>
      </c>
      <c r="I77" s="22">
        <v>2.0</v>
      </c>
      <c r="J77" s="22">
        <v>100.0</v>
      </c>
      <c r="K77" s="22">
        <f t="shared" si="5"/>
        <v>200</v>
      </c>
      <c r="L77" s="22">
        <v>25.0</v>
      </c>
      <c r="M77" s="187"/>
      <c r="N77" s="187"/>
    </row>
    <row r="78" ht="39.0" customHeight="1">
      <c r="A78" s="57"/>
      <c r="B78" s="125" t="s">
        <v>122</v>
      </c>
      <c r="C78" s="1640"/>
      <c r="D78" s="58"/>
      <c r="E78" s="1630"/>
      <c r="F78" s="58"/>
      <c r="G78" s="1622" t="s">
        <v>17</v>
      </c>
      <c r="H78" s="1158" t="s">
        <v>25</v>
      </c>
      <c r="I78" s="14">
        <v>1.0</v>
      </c>
      <c r="J78" s="14">
        <v>120.0</v>
      </c>
      <c r="K78" s="14">
        <f t="shared" si="5"/>
        <v>120</v>
      </c>
      <c r="L78" s="14">
        <v>25.0</v>
      </c>
      <c r="M78" s="187"/>
      <c r="N78" s="187"/>
    </row>
    <row r="79" ht="39.0" hidden="1" customHeight="1">
      <c r="A79" s="29"/>
      <c r="B79" s="667" t="s">
        <v>51</v>
      </c>
      <c r="C79" s="1631" t="s">
        <v>446</v>
      </c>
      <c r="D79" s="1632"/>
      <c r="E79" s="1641"/>
      <c r="F79" s="1634" t="s">
        <v>921</v>
      </c>
      <c r="G79" s="1622" t="s">
        <v>17</v>
      </c>
      <c r="H79" s="1623" t="s">
        <v>18</v>
      </c>
      <c r="I79" s="1635">
        <v>2.0</v>
      </c>
      <c r="J79" s="1635">
        <v>30.0</v>
      </c>
      <c r="K79" s="1637">
        <f>J79*I79</f>
        <v>60</v>
      </c>
      <c r="L79" s="1636">
        <v>0.0</v>
      </c>
      <c r="M79" s="108"/>
      <c r="N79" s="108"/>
    </row>
    <row r="80" ht="39.0" customHeight="1">
      <c r="A80" s="8">
        <v>46185.0</v>
      </c>
      <c r="B80" s="132" t="s">
        <v>21</v>
      </c>
      <c r="C80" s="1638" t="s">
        <v>446</v>
      </c>
      <c r="D80" s="1619"/>
      <c r="E80" s="1629" t="s">
        <v>920</v>
      </c>
      <c r="F80" s="75" t="s">
        <v>917</v>
      </c>
      <c r="G80" s="1622" t="s">
        <v>17</v>
      </c>
      <c r="H80" s="1158" t="s">
        <v>18</v>
      </c>
      <c r="I80" s="1624">
        <v>15.0</v>
      </c>
      <c r="J80" s="14">
        <v>100.0</v>
      </c>
      <c r="K80" s="14">
        <f t="shared" ref="K80:K112" si="6">I80*J80</f>
        <v>1500</v>
      </c>
      <c r="L80" s="14">
        <v>25.0</v>
      </c>
      <c r="M80" s="1205">
        <f>(I80+I81+I82)*25</f>
        <v>450</v>
      </c>
      <c r="N80" s="1157">
        <f>K80+K81+K82+M80+K83</f>
        <v>2320</v>
      </c>
    </row>
    <row r="81" ht="39.0" customHeight="1">
      <c r="A81" s="29"/>
      <c r="B81" s="137" t="s">
        <v>51</v>
      </c>
      <c r="C81" s="1639"/>
      <c r="D81" s="1642"/>
      <c r="E81" s="1134"/>
      <c r="F81" s="29"/>
      <c r="G81" s="1622" t="s">
        <v>17</v>
      </c>
      <c r="H81" s="1158" t="s">
        <v>18</v>
      </c>
      <c r="I81" s="22">
        <v>2.0</v>
      </c>
      <c r="J81" s="22">
        <v>100.0</v>
      </c>
      <c r="K81" s="22">
        <f t="shared" si="6"/>
        <v>200</v>
      </c>
      <c r="L81" s="22">
        <v>25.0</v>
      </c>
      <c r="M81" s="187"/>
      <c r="N81" s="187"/>
    </row>
    <row r="82" ht="39.0" customHeight="1">
      <c r="A82" s="57"/>
      <c r="B82" s="125" t="s">
        <v>122</v>
      </c>
      <c r="C82" s="1640"/>
      <c r="D82" s="321"/>
      <c r="E82" s="1630"/>
      <c r="F82" s="58"/>
      <c r="G82" s="1622" t="s">
        <v>17</v>
      </c>
      <c r="H82" s="1158" t="s">
        <v>25</v>
      </c>
      <c r="I82" s="14">
        <v>1.0</v>
      </c>
      <c r="J82" s="14">
        <v>120.0</v>
      </c>
      <c r="K82" s="14">
        <f t="shared" si="6"/>
        <v>120</v>
      </c>
      <c r="L82" s="14">
        <v>25.0</v>
      </c>
      <c r="M82" s="187"/>
      <c r="N82" s="187"/>
    </row>
    <row r="83" ht="39.0" hidden="1" customHeight="1">
      <c r="A83" s="29"/>
      <c r="B83" s="667" t="s">
        <v>51</v>
      </c>
      <c r="C83" s="1631" t="s">
        <v>446</v>
      </c>
      <c r="D83" s="1632"/>
      <c r="E83" s="1641"/>
      <c r="F83" s="1634" t="s">
        <v>921</v>
      </c>
      <c r="G83" s="1622" t="s">
        <v>17</v>
      </c>
      <c r="H83" s="1623" t="s">
        <v>18</v>
      </c>
      <c r="I83" s="1635">
        <v>2.0</v>
      </c>
      <c r="J83" s="1635">
        <v>25.0</v>
      </c>
      <c r="K83" s="22">
        <f t="shared" si="6"/>
        <v>50</v>
      </c>
      <c r="L83" s="22">
        <v>0.0</v>
      </c>
      <c r="M83" s="108"/>
      <c r="N83" s="108"/>
    </row>
    <row r="84" ht="39.0" customHeight="1">
      <c r="A84" s="8">
        <v>46186.0</v>
      </c>
      <c r="B84" s="132" t="s">
        <v>21</v>
      </c>
      <c r="C84" s="1638" t="s">
        <v>446</v>
      </c>
      <c r="D84" s="1619"/>
      <c r="E84" s="1629" t="s">
        <v>920</v>
      </c>
      <c r="F84" s="75" t="s">
        <v>917</v>
      </c>
      <c r="G84" s="1622" t="s">
        <v>17</v>
      </c>
      <c r="H84" s="1158" t="s">
        <v>18</v>
      </c>
      <c r="I84" s="1624">
        <v>19.0</v>
      </c>
      <c r="J84" s="14">
        <v>100.0</v>
      </c>
      <c r="K84" s="14">
        <f t="shared" si="6"/>
        <v>1900</v>
      </c>
      <c r="L84" s="14">
        <v>25.0</v>
      </c>
      <c r="M84" s="1205">
        <f>(I84+I85+I86)*25</f>
        <v>550</v>
      </c>
      <c r="N84" s="1157">
        <f>K84+K85+K86+M84+K87</f>
        <v>2830</v>
      </c>
    </row>
    <row r="85" ht="39.0" customHeight="1">
      <c r="A85" s="29"/>
      <c r="B85" s="137" t="s">
        <v>51</v>
      </c>
      <c r="C85" s="1639"/>
      <c r="D85" s="1642"/>
      <c r="E85" s="1134"/>
      <c r="F85" s="29"/>
      <c r="G85" s="1622" t="s">
        <v>17</v>
      </c>
      <c r="H85" s="1158" t="s">
        <v>18</v>
      </c>
      <c r="I85" s="22">
        <v>2.0</v>
      </c>
      <c r="J85" s="22">
        <v>100.0</v>
      </c>
      <c r="K85" s="22">
        <f t="shared" si="6"/>
        <v>200</v>
      </c>
      <c r="L85" s="22">
        <v>25.0</v>
      </c>
      <c r="M85" s="187"/>
      <c r="N85" s="187"/>
    </row>
    <row r="86" ht="39.0" customHeight="1">
      <c r="A86" s="57"/>
      <c r="B86" s="125" t="s">
        <v>122</v>
      </c>
      <c r="C86" s="1640"/>
      <c r="D86" s="321"/>
      <c r="E86" s="1630"/>
      <c r="F86" s="58"/>
      <c r="G86" s="1622" t="s">
        <v>17</v>
      </c>
      <c r="H86" s="1158" t="s">
        <v>25</v>
      </c>
      <c r="I86" s="14">
        <v>1.0</v>
      </c>
      <c r="J86" s="14">
        <v>120.0</v>
      </c>
      <c r="K86" s="14">
        <f t="shared" si="6"/>
        <v>120</v>
      </c>
      <c r="L86" s="14">
        <v>25.0</v>
      </c>
      <c r="M86" s="187"/>
      <c r="N86" s="187"/>
    </row>
    <row r="87" ht="39.0" hidden="1" customHeight="1">
      <c r="A87" s="29"/>
      <c r="B87" s="667" t="s">
        <v>51</v>
      </c>
      <c r="C87" s="1631" t="s">
        <v>446</v>
      </c>
      <c r="D87" s="1632"/>
      <c r="E87" s="1641"/>
      <c r="F87" s="1634" t="s">
        <v>921</v>
      </c>
      <c r="G87" s="1622" t="s">
        <v>17</v>
      </c>
      <c r="H87" s="1623" t="s">
        <v>18</v>
      </c>
      <c r="I87" s="1635">
        <v>2.0</v>
      </c>
      <c r="J87" s="1635">
        <v>30.0</v>
      </c>
      <c r="K87" s="22">
        <f t="shared" si="6"/>
        <v>60</v>
      </c>
      <c r="L87" s="22">
        <v>0.0</v>
      </c>
      <c r="M87" s="108"/>
      <c r="N87" s="108"/>
    </row>
    <row r="88" ht="39.0" customHeight="1">
      <c r="A88" s="8">
        <v>46188.0</v>
      </c>
      <c r="B88" s="132" t="s">
        <v>21</v>
      </c>
      <c r="C88" s="1638" t="s">
        <v>446</v>
      </c>
      <c r="D88" s="1643"/>
      <c r="E88" s="1629" t="s">
        <v>920</v>
      </c>
      <c r="F88" s="75" t="s">
        <v>917</v>
      </c>
      <c r="G88" s="1644" t="s">
        <v>17</v>
      </c>
      <c r="H88" s="1158" t="s">
        <v>18</v>
      </c>
      <c r="I88" s="14">
        <v>17.0</v>
      </c>
      <c r="J88" s="14">
        <v>100.0</v>
      </c>
      <c r="K88" s="14">
        <f t="shared" si="6"/>
        <v>1700</v>
      </c>
      <c r="L88" s="14">
        <v>25.0</v>
      </c>
      <c r="M88" s="1205">
        <f>(I88+I89+I90)*25</f>
        <v>500</v>
      </c>
      <c r="N88" s="1157">
        <f>K88+K89+K90+M88+K91</f>
        <v>4220</v>
      </c>
    </row>
    <row r="89" ht="39.0" customHeight="1">
      <c r="A89" s="29"/>
      <c r="B89" s="137" t="s">
        <v>51</v>
      </c>
      <c r="C89" s="1639"/>
      <c r="D89" s="1645"/>
      <c r="E89" s="1134"/>
      <c r="F89" s="29"/>
      <c r="G89" s="48"/>
      <c r="H89" s="1158" t="s">
        <v>18</v>
      </c>
      <c r="I89" s="22">
        <v>2.0</v>
      </c>
      <c r="J89" s="22">
        <v>100.0</v>
      </c>
      <c r="K89" s="22">
        <f t="shared" si="6"/>
        <v>200</v>
      </c>
      <c r="L89" s="22">
        <v>25.0</v>
      </c>
      <c r="M89" s="187"/>
      <c r="N89" s="187"/>
    </row>
    <row r="90" ht="39.0" customHeight="1">
      <c r="A90" s="57"/>
      <c r="B90" s="125" t="s">
        <v>122</v>
      </c>
      <c r="C90" s="1640"/>
      <c r="D90" s="1530"/>
      <c r="E90" s="1630"/>
      <c r="F90" s="58"/>
      <c r="G90" s="51"/>
      <c r="H90" s="1158" t="s">
        <v>25</v>
      </c>
      <c r="I90" s="14">
        <v>1.0</v>
      </c>
      <c r="J90" s="14">
        <v>120.0</v>
      </c>
      <c r="K90" s="14">
        <f t="shared" si="6"/>
        <v>120</v>
      </c>
      <c r="L90" s="14">
        <v>25.0</v>
      </c>
      <c r="M90" s="108"/>
      <c r="N90" s="108"/>
    </row>
    <row r="91" ht="39.0" customHeight="1">
      <c r="A91" s="15">
        <v>46189.0</v>
      </c>
      <c r="B91" s="137" t="s">
        <v>21</v>
      </c>
      <c r="C91" s="1646" t="s">
        <v>446</v>
      </c>
      <c r="D91" s="1647"/>
      <c r="E91" s="1627" t="s">
        <v>920</v>
      </c>
      <c r="F91" s="160" t="s">
        <v>917</v>
      </c>
      <c r="G91" s="1644" t="s">
        <v>17</v>
      </c>
      <c r="H91" s="1158" t="s">
        <v>18</v>
      </c>
      <c r="I91" s="22">
        <v>17.0</v>
      </c>
      <c r="J91" s="22">
        <v>100.0</v>
      </c>
      <c r="K91" s="22">
        <f t="shared" si="6"/>
        <v>1700</v>
      </c>
      <c r="L91" s="22">
        <v>25.0</v>
      </c>
      <c r="M91" s="1205">
        <f>(I91+I92+I93)*25</f>
        <v>500</v>
      </c>
      <c r="N91" s="1157">
        <f>K91+K92+K93+M91+K94</f>
        <v>4220</v>
      </c>
    </row>
    <row r="92" ht="39.0" customHeight="1">
      <c r="A92" s="57"/>
      <c r="B92" s="132" t="s">
        <v>51</v>
      </c>
      <c r="C92" s="1640"/>
      <c r="D92" s="27"/>
      <c r="E92" s="1127"/>
      <c r="F92" s="57"/>
      <c r="G92" s="48"/>
      <c r="H92" s="1158" t="s">
        <v>18</v>
      </c>
      <c r="I92" s="14">
        <v>2.0</v>
      </c>
      <c r="J92" s="14">
        <v>100.0</v>
      </c>
      <c r="K92" s="14">
        <f t="shared" si="6"/>
        <v>200</v>
      </c>
      <c r="L92" s="14">
        <v>25.0</v>
      </c>
      <c r="M92" s="187"/>
      <c r="N92" s="187"/>
    </row>
    <row r="93" ht="39.0" customHeight="1">
      <c r="A93" s="29"/>
      <c r="B93" s="1617" t="s">
        <v>122</v>
      </c>
      <c r="C93" s="1639"/>
      <c r="D93" s="31"/>
      <c r="E93" s="1628"/>
      <c r="F93" s="20"/>
      <c r="G93" s="51"/>
      <c r="H93" s="1158" t="s">
        <v>25</v>
      </c>
      <c r="I93" s="22">
        <v>1.0</v>
      </c>
      <c r="J93" s="22">
        <v>120.0</v>
      </c>
      <c r="K93" s="22">
        <f t="shared" si="6"/>
        <v>120</v>
      </c>
      <c r="L93" s="22">
        <v>25.0</v>
      </c>
      <c r="M93" s="108"/>
      <c r="N93" s="108"/>
    </row>
    <row r="94" ht="39.0" customHeight="1">
      <c r="A94" s="8">
        <v>46190.0</v>
      </c>
      <c r="B94" s="132" t="s">
        <v>21</v>
      </c>
      <c r="C94" s="1638" t="s">
        <v>446</v>
      </c>
      <c r="D94" s="1490"/>
      <c r="E94" s="1629" t="s">
        <v>920</v>
      </c>
      <c r="F94" s="75" t="s">
        <v>917</v>
      </c>
      <c r="G94" s="1644" t="s">
        <v>17</v>
      </c>
      <c r="H94" s="1158" t="s">
        <v>18</v>
      </c>
      <c r="I94" s="14">
        <v>17.0</v>
      </c>
      <c r="J94" s="14">
        <v>100.0</v>
      </c>
      <c r="K94" s="14">
        <f t="shared" si="6"/>
        <v>1700</v>
      </c>
      <c r="L94" s="14">
        <v>25.0</v>
      </c>
      <c r="M94" s="1205">
        <f>(I94+I95+I96)*25</f>
        <v>500</v>
      </c>
      <c r="N94" s="1157">
        <f>K94+K95+K96+M94+K97</f>
        <v>2580</v>
      </c>
    </row>
    <row r="95" ht="39.0" customHeight="1">
      <c r="A95" s="29"/>
      <c r="B95" s="137" t="s">
        <v>51</v>
      </c>
      <c r="C95" s="1639"/>
      <c r="D95" s="31"/>
      <c r="E95" s="1134"/>
      <c r="F95" s="29"/>
      <c r="G95" s="48"/>
      <c r="H95" s="1158" t="s">
        <v>18</v>
      </c>
      <c r="I95" s="22">
        <v>2.0</v>
      </c>
      <c r="J95" s="22">
        <v>100.0</v>
      </c>
      <c r="K95" s="22">
        <f t="shared" si="6"/>
        <v>200</v>
      </c>
      <c r="L95" s="22">
        <v>25.0</v>
      </c>
      <c r="M95" s="187"/>
      <c r="N95" s="187"/>
    </row>
    <row r="96" ht="39.0" customHeight="1">
      <c r="A96" s="57"/>
      <c r="B96" s="125" t="s">
        <v>122</v>
      </c>
      <c r="C96" s="1640"/>
      <c r="D96" s="27"/>
      <c r="E96" s="1630"/>
      <c r="F96" s="58"/>
      <c r="G96" s="51"/>
      <c r="H96" s="1158" t="s">
        <v>25</v>
      </c>
      <c r="I96" s="14">
        <v>1.0</v>
      </c>
      <c r="J96" s="14">
        <v>120.0</v>
      </c>
      <c r="K96" s="14">
        <f t="shared" si="6"/>
        <v>120</v>
      </c>
      <c r="L96" s="14">
        <v>25.0</v>
      </c>
      <c r="M96" s="187"/>
      <c r="N96" s="187"/>
    </row>
    <row r="97" ht="39.0" hidden="1" customHeight="1">
      <c r="A97" s="29"/>
      <c r="B97" s="667" t="s">
        <v>51</v>
      </c>
      <c r="C97" s="1631" t="s">
        <v>446</v>
      </c>
      <c r="D97" s="1632"/>
      <c r="E97" s="1641"/>
      <c r="F97" s="1634" t="s">
        <v>921</v>
      </c>
      <c r="G97" s="1622" t="s">
        <v>17</v>
      </c>
      <c r="H97" s="1623" t="s">
        <v>18</v>
      </c>
      <c r="I97" s="1635">
        <v>2.0</v>
      </c>
      <c r="J97" s="1635">
        <v>30.0</v>
      </c>
      <c r="K97" s="22">
        <f t="shared" si="6"/>
        <v>60</v>
      </c>
      <c r="L97" s="22">
        <v>0.0</v>
      </c>
      <c r="M97" s="108"/>
      <c r="N97" s="108"/>
    </row>
    <row r="98" ht="39.0" customHeight="1">
      <c r="A98" s="8">
        <v>46191.0</v>
      </c>
      <c r="B98" s="132" t="s">
        <v>21</v>
      </c>
      <c r="C98" s="1638" t="s">
        <v>446</v>
      </c>
      <c r="D98" s="27"/>
      <c r="E98" s="1629" t="s">
        <v>920</v>
      </c>
      <c r="F98" s="75" t="s">
        <v>917</v>
      </c>
      <c r="G98" s="1644" t="s">
        <v>17</v>
      </c>
      <c r="H98" s="1158" t="s">
        <v>18</v>
      </c>
      <c r="I98" s="14">
        <v>16.0</v>
      </c>
      <c r="J98" s="14">
        <v>100.0</v>
      </c>
      <c r="K98" s="14">
        <f t="shared" si="6"/>
        <v>1600</v>
      </c>
      <c r="L98" s="14">
        <v>25.0</v>
      </c>
      <c r="M98" s="1205">
        <f>(I98+I99+I100)*25</f>
        <v>475</v>
      </c>
      <c r="N98" s="1157">
        <f>K98+K99+K100+M98+K101</f>
        <v>2455</v>
      </c>
    </row>
    <row r="99" ht="39.0" customHeight="1">
      <c r="A99" s="29"/>
      <c r="B99" s="137" t="s">
        <v>51</v>
      </c>
      <c r="C99" s="1639"/>
      <c r="D99" s="31"/>
      <c r="E99" s="1134"/>
      <c r="F99" s="29"/>
      <c r="G99" s="48"/>
      <c r="H99" s="1158" t="s">
        <v>18</v>
      </c>
      <c r="I99" s="22">
        <v>2.0</v>
      </c>
      <c r="J99" s="22">
        <v>100.0</v>
      </c>
      <c r="K99" s="22">
        <f t="shared" si="6"/>
        <v>200</v>
      </c>
      <c r="L99" s="22">
        <v>25.0</v>
      </c>
      <c r="M99" s="187"/>
      <c r="N99" s="187"/>
    </row>
    <row r="100" ht="39.0" customHeight="1">
      <c r="A100" s="57"/>
      <c r="B100" s="125" t="s">
        <v>122</v>
      </c>
      <c r="C100" s="1640"/>
      <c r="D100" s="27"/>
      <c r="E100" s="1630"/>
      <c r="F100" s="58"/>
      <c r="G100" s="51"/>
      <c r="H100" s="1158" t="s">
        <v>25</v>
      </c>
      <c r="I100" s="14">
        <v>1.0</v>
      </c>
      <c r="J100" s="14">
        <v>120.0</v>
      </c>
      <c r="K100" s="14">
        <f t="shared" si="6"/>
        <v>120</v>
      </c>
      <c r="L100" s="14">
        <v>25.0</v>
      </c>
      <c r="M100" s="187"/>
      <c r="N100" s="187"/>
    </row>
    <row r="101" ht="39.0" hidden="1" customHeight="1">
      <c r="A101" s="29"/>
      <c r="B101" s="667" t="s">
        <v>51</v>
      </c>
      <c r="C101" s="1631" t="s">
        <v>446</v>
      </c>
      <c r="D101" s="1632"/>
      <c r="E101" s="1641"/>
      <c r="F101" s="1634" t="s">
        <v>921</v>
      </c>
      <c r="G101" s="1622" t="s">
        <v>17</v>
      </c>
      <c r="H101" s="1623" t="s">
        <v>18</v>
      </c>
      <c r="I101" s="1635">
        <v>2.0</v>
      </c>
      <c r="J101" s="1635">
        <v>30.0</v>
      </c>
      <c r="K101" s="22">
        <f t="shared" si="6"/>
        <v>60</v>
      </c>
      <c r="L101" s="22">
        <v>0.0</v>
      </c>
      <c r="M101" s="108"/>
      <c r="N101" s="108"/>
    </row>
    <row r="102" ht="39.0" customHeight="1">
      <c r="A102" s="8">
        <v>46192.0</v>
      </c>
      <c r="B102" s="132" t="s">
        <v>21</v>
      </c>
      <c r="C102" s="1638" t="s">
        <v>446</v>
      </c>
      <c r="D102" s="27"/>
      <c r="E102" s="1629" t="s">
        <v>920</v>
      </c>
      <c r="F102" s="75" t="s">
        <v>917</v>
      </c>
      <c r="G102" s="1644" t="s">
        <v>17</v>
      </c>
      <c r="H102" s="1158" t="s">
        <v>18</v>
      </c>
      <c r="I102" s="1624">
        <v>18.0</v>
      </c>
      <c r="J102" s="14">
        <v>100.0</v>
      </c>
      <c r="K102" s="14">
        <f t="shared" si="6"/>
        <v>1800</v>
      </c>
      <c r="L102" s="14">
        <v>25.0</v>
      </c>
      <c r="M102" s="1205">
        <f>(I102+I103+I104)*25</f>
        <v>525</v>
      </c>
      <c r="N102" s="1157">
        <f>K102+K103+K104+M102+K105</f>
        <v>2695</v>
      </c>
    </row>
    <row r="103" ht="39.0" customHeight="1">
      <c r="A103" s="29"/>
      <c r="B103" s="137" t="s">
        <v>51</v>
      </c>
      <c r="C103" s="1639"/>
      <c r="D103" s="31"/>
      <c r="E103" s="1134"/>
      <c r="F103" s="29"/>
      <c r="G103" s="48"/>
      <c r="H103" s="1158" t="s">
        <v>18</v>
      </c>
      <c r="I103" s="1635">
        <v>2.0</v>
      </c>
      <c r="J103" s="22">
        <v>100.0</v>
      </c>
      <c r="K103" s="22">
        <f t="shared" si="6"/>
        <v>200</v>
      </c>
      <c r="L103" s="22">
        <v>25.0</v>
      </c>
      <c r="M103" s="187"/>
      <c r="N103" s="187"/>
    </row>
    <row r="104" ht="39.0" customHeight="1">
      <c r="A104" s="57"/>
      <c r="B104" s="125" t="s">
        <v>122</v>
      </c>
      <c r="C104" s="1640"/>
      <c r="D104" s="27"/>
      <c r="E104" s="1630"/>
      <c r="F104" s="58"/>
      <c r="G104" s="51"/>
      <c r="H104" s="1158" t="s">
        <v>25</v>
      </c>
      <c r="I104" s="1624">
        <v>1.0</v>
      </c>
      <c r="J104" s="14">
        <v>120.0</v>
      </c>
      <c r="K104" s="14">
        <f t="shared" si="6"/>
        <v>120</v>
      </c>
      <c r="L104" s="14">
        <v>25.0</v>
      </c>
      <c r="M104" s="187"/>
      <c r="N104" s="187"/>
    </row>
    <row r="105" ht="39.0" hidden="1" customHeight="1">
      <c r="A105" s="29"/>
      <c r="B105" s="667" t="s">
        <v>51</v>
      </c>
      <c r="C105" s="1631" t="s">
        <v>446</v>
      </c>
      <c r="D105" s="1632"/>
      <c r="E105" s="1641"/>
      <c r="F105" s="1634" t="s">
        <v>921</v>
      </c>
      <c r="G105" s="1622" t="s">
        <v>17</v>
      </c>
      <c r="H105" s="1623" t="s">
        <v>18</v>
      </c>
      <c r="I105" s="1635">
        <v>2.0</v>
      </c>
      <c r="J105" s="1635">
        <v>25.0</v>
      </c>
      <c r="K105" s="22">
        <f t="shared" si="6"/>
        <v>50</v>
      </c>
      <c r="L105" s="22">
        <v>0.0</v>
      </c>
      <c r="M105" s="108"/>
      <c r="N105" s="108"/>
    </row>
    <row r="106" ht="39.0" customHeight="1">
      <c r="A106" s="8">
        <v>46193.0</v>
      </c>
      <c r="B106" s="132" t="s">
        <v>21</v>
      </c>
      <c r="C106" s="1638" t="s">
        <v>446</v>
      </c>
      <c r="D106" s="27"/>
      <c r="E106" s="1629" t="s">
        <v>920</v>
      </c>
      <c r="F106" s="75" t="s">
        <v>917</v>
      </c>
      <c r="G106" s="1644" t="s">
        <v>17</v>
      </c>
      <c r="H106" s="1158" t="s">
        <v>18</v>
      </c>
      <c r="I106" s="14">
        <v>15.0</v>
      </c>
      <c r="J106" s="14">
        <v>100.0</v>
      </c>
      <c r="K106" s="14">
        <f t="shared" si="6"/>
        <v>1500</v>
      </c>
      <c r="L106" s="14">
        <v>25.0</v>
      </c>
      <c r="M106" s="1205">
        <f>(I106+I107+I108)*25</f>
        <v>450</v>
      </c>
      <c r="N106" s="1157">
        <f>K106+K107+K108+M106+K109</f>
        <v>2270</v>
      </c>
    </row>
    <row r="107" ht="39.0" customHeight="1">
      <c r="A107" s="29"/>
      <c r="B107" s="137" t="s">
        <v>51</v>
      </c>
      <c r="C107" s="1639"/>
      <c r="D107" s="31"/>
      <c r="E107" s="1134"/>
      <c r="F107" s="29"/>
      <c r="G107" s="48"/>
      <c r="H107" s="1158" t="s">
        <v>18</v>
      </c>
      <c r="I107" s="22">
        <v>2.0</v>
      </c>
      <c r="J107" s="22">
        <v>100.0</v>
      </c>
      <c r="K107" s="22">
        <f t="shared" si="6"/>
        <v>200</v>
      </c>
      <c r="L107" s="22">
        <v>25.0</v>
      </c>
      <c r="M107" s="187"/>
      <c r="N107" s="187"/>
    </row>
    <row r="108" ht="39.0" customHeight="1">
      <c r="A108" s="57"/>
      <c r="B108" s="125" t="s">
        <v>122</v>
      </c>
      <c r="C108" s="1640"/>
      <c r="D108" s="27"/>
      <c r="E108" s="1630"/>
      <c r="F108" s="58"/>
      <c r="G108" s="51"/>
      <c r="H108" s="1158" t="s">
        <v>25</v>
      </c>
      <c r="I108" s="14">
        <v>1.0</v>
      </c>
      <c r="J108" s="14">
        <v>120.0</v>
      </c>
      <c r="K108" s="14">
        <f t="shared" si="6"/>
        <v>120</v>
      </c>
      <c r="L108" s="14">
        <v>25.0</v>
      </c>
      <c r="M108" s="187"/>
      <c r="N108" s="187"/>
    </row>
    <row r="109" ht="39.0" hidden="1" customHeight="1">
      <c r="A109" s="29"/>
      <c r="B109" s="667" t="s">
        <v>51</v>
      </c>
      <c r="C109" s="137"/>
      <c r="D109" s="31"/>
      <c r="E109" s="31"/>
      <c r="F109" s="1634" t="s">
        <v>921</v>
      </c>
      <c r="G109" s="1158"/>
      <c r="H109" s="1158"/>
      <c r="I109" s="22">
        <v>0.0</v>
      </c>
      <c r="J109" s="22">
        <v>0.0</v>
      </c>
      <c r="K109" s="22">
        <f t="shared" si="6"/>
        <v>0</v>
      </c>
      <c r="L109" s="22">
        <v>0.0</v>
      </c>
      <c r="M109" s="108"/>
      <c r="N109" s="108"/>
    </row>
    <row r="110" ht="39.0" customHeight="1">
      <c r="A110" s="8">
        <v>46195.0</v>
      </c>
      <c r="B110" s="132" t="s">
        <v>21</v>
      </c>
      <c r="C110" s="1638" t="s">
        <v>446</v>
      </c>
      <c r="D110" s="27"/>
      <c r="E110" s="1629" t="s">
        <v>920</v>
      </c>
      <c r="F110" s="75" t="s">
        <v>917</v>
      </c>
      <c r="G110" s="1644" t="s">
        <v>17</v>
      </c>
      <c r="H110" s="1158" t="s">
        <v>18</v>
      </c>
      <c r="I110" s="14">
        <v>19.0</v>
      </c>
      <c r="J110" s="14">
        <v>100.0</v>
      </c>
      <c r="K110" s="14">
        <f t="shared" si="6"/>
        <v>1900</v>
      </c>
      <c r="L110" s="14">
        <v>25.0</v>
      </c>
      <c r="M110" s="1205">
        <f>(I110+I111+I112)*25</f>
        <v>550</v>
      </c>
      <c r="N110" s="1157">
        <f>K110+K111+K112+M110+K113</f>
        <v>2770</v>
      </c>
    </row>
    <row r="111" ht="39.0" customHeight="1">
      <c r="A111" s="29"/>
      <c r="B111" s="137" t="s">
        <v>51</v>
      </c>
      <c r="C111" s="1639"/>
      <c r="D111" s="31"/>
      <c r="E111" s="1134"/>
      <c r="F111" s="29"/>
      <c r="G111" s="48"/>
      <c r="H111" s="1158" t="s">
        <v>18</v>
      </c>
      <c r="I111" s="22">
        <v>2.0</v>
      </c>
      <c r="J111" s="22">
        <v>100.0</v>
      </c>
      <c r="K111" s="22">
        <f t="shared" si="6"/>
        <v>200</v>
      </c>
      <c r="L111" s="22">
        <v>25.0</v>
      </c>
      <c r="M111" s="187"/>
      <c r="N111" s="187"/>
    </row>
    <row r="112" ht="39.0" customHeight="1">
      <c r="A112" s="57"/>
      <c r="B112" s="125" t="s">
        <v>122</v>
      </c>
      <c r="C112" s="1640"/>
      <c r="D112" s="27"/>
      <c r="E112" s="1630"/>
      <c r="F112" s="58"/>
      <c r="G112" s="51"/>
      <c r="H112" s="1158" t="s">
        <v>25</v>
      </c>
      <c r="I112" s="14">
        <v>1.0</v>
      </c>
      <c r="J112" s="14">
        <v>120.0</v>
      </c>
      <c r="K112" s="14">
        <f t="shared" si="6"/>
        <v>120</v>
      </c>
      <c r="L112" s="14">
        <v>25.0</v>
      </c>
      <c r="M112" s="187"/>
      <c r="N112" s="187"/>
    </row>
    <row r="113" ht="39.0" hidden="1" customHeight="1">
      <c r="A113" s="29"/>
      <c r="B113" s="31"/>
      <c r="C113" s="31"/>
      <c r="D113" s="31"/>
      <c r="E113" s="31"/>
      <c r="F113" s="1634" t="s">
        <v>921</v>
      </c>
      <c r="G113" s="1158"/>
      <c r="H113" s="1158"/>
      <c r="I113" s="22">
        <v>0.0</v>
      </c>
      <c r="J113" s="22">
        <v>0.0</v>
      </c>
      <c r="K113" s="22">
        <v>0.0</v>
      </c>
      <c r="L113" s="22">
        <v>0.0</v>
      </c>
      <c r="M113" s="108"/>
      <c r="N113" s="108"/>
    </row>
    <row r="114" ht="39.0" customHeight="1">
      <c r="A114" s="8">
        <v>46196.0</v>
      </c>
      <c r="B114" s="132" t="s">
        <v>21</v>
      </c>
      <c r="C114" s="1638" t="s">
        <v>446</v>
      </c>
      <c r="D114" s="27"/>
      <c r="E114" s="1629" t="s">
        <v>920</v>
      </c>
      <c r="F114" s="75" t="s">
        <v>917</v>
      </c>
      <c r="G114" s="1644" t="s">
        <v>17</v>
      </c>
      <c r="H114" s="1158" t="s">
        <v>18</v>
      </c>
      <c r="I114" s="14">
        <v>9.0</v>
      </c>
      <c r="J114" s="14">
        <v>100.0</v>
      </c>
      <c r="K114" s="14">
        <f t="shared" ref="K114:K152" si="7">I114*J114</f>
        <v>900</v>
      </c>
      <c r="L114" s="14">
        <v>25.0</v>
      </c>
      <c r="M114" s="1205">
        <f>(I114+I115+I116)*25</f>
        <v>300</v>
      </c>
      <c r="N114" s="1157">
        <f>K114+K115+K116+M114+K117</f>
        <v>1560</v>
      </c>
    </row>
    <row r="115" ht="39.0" customHeight="1">
      <c r="A115" s="29"/>
      <c r="B115" s="137" t="s">
        <v>51</v>
      </c>
      <c r="C115" s="1639"/>
      <c r="D115" s="31"/>
      <c r="E115" s="1134"/>
      <c r="F115" s="29"/>
      <c r="G115" s="48"/>
      <c r="H115" s="1158" t="s">
        <v>18</v>
      </c>
      <c r="I115" s="22">
        <v>2.0</v>
      </c>
      <c r="J115" s="22">
        <v>100.0</v>
      </c>
      <c r="K115" s="22">
        <f t="shared" si="7"/>
        <v>200</v>
      </c>
      <c r="L115" s="22">
        <v>25.0</v>
      </c>
      <c r="M115" s="187"/>
      <c r="N115" s="187"/>
    </row>
    <row r="116" ht="39.0" customHeight="1">
      <c r="A116" s="57"/>
      <c r="B116" s="125" t="s">
        <v>122</v>
      </c>
      <c r="C116" s="1640"/>
      <c r="D116" s="27"/>
      <c r="E116" s="1630"/>
      <c r="F116" s="58"/>
      <c r="G116" s="51"/>
      <c r="H116" s="1158" t="s">
        <v>25</v>
      </c>
      <c r="I116" s="14">
        <v>1.0</v>
      </c>
      <c r="J116" s="14">
        <v>120.0</v>
      </c>
      <c r="K116" s="14">
        <f t="shared" si="7"/>
        <v>120</v>
      </c>
      <c r="L116" s="14">
        <v>25.0</v>
      </c>
      <c r="M116" s="187"/>
      <c r="N116" s="187"/>
    </row>
    <row r="117" ht="39.0" hidden="1" customHeight="1">
      <c r="A117" s="29"/>
      <c r="B117" s="31" t="s">
        <v>51</v>
      </c>
      <c r="C117" s="31" t="s">
        <v>446</v>
      </c>
      <c r="D117" s="31"/>
      <c r="E117" s="31"/>
      <c r="F117" s="1634" t="s">
        <v>921</v>
      </c>
      <c r="G117" s="1158" t="s">
        <v>17</v>
      </c>
      <c r="H117" s="1158" t="s">
        <v>18</v>
      </c>
      <c r="I117" s="22">
        <v>2.0</v>
      </c>
      <c r="J117" s="22">
        <v>20.0</v>
      </c>
      <c r="K117" s="22">
        <f t="shared" si="7"/>
        <v>40</v>
      </c>
      <c r="L117" s="22">
        <v>0.0</v>
      </c>
      <c r="M117" s="108"/>
      <c r="N117" s="108"/>
    </row>
    <row r="118" ht="39.0" customHeight="1">
      <c r="A118" s="8">
        <v>46197.0</v>
      </c>
      <c r="B118" s="132" t="s">
        <v>21</v>
      </c>
      <c r="C118" s="1638" t="s">
        <v>446</v>
      </c>
      <c r="D118" s="27"/>
      <c r="E118" s="1629" t="s">
        <v>920</v>
      </c>
      <c r="F118" s="75" t="s">
        <v>917</v>
      </c>
      <c r="G118" s="1644" t="s">
        <v>17</v>
      </c>
      <c r="H118" s="1158" t="s">
        <v>18</v>
      </c>
      <c r="I118" s="14">
        <v>11.0</v>
      </c>
      <c r="J118" s="14">
        <v>100.0</v>
      </c>
      <c r="K118" s="14">
        <f t="shared" si="7"/>
        <v>1100</v>
      </c>
      <c r="L118" s="14">
        <v>25.0</v>
      </c>
      <c r="M118" s="1205">
        <f>(I118+I119+I120)*25</f>
        <v>350</v>
      </c>
      <c r="N118" s="1157">
        <f>K118+K119+K120+M118+K121</f>
        <v>1810</v>
      </c>
    </row>
    <row r="119" ht="39.0" customHeight="1">
      <c r="A119" s="29"/>
      <c r="B119" s="137" t="s">
        <v>51</v>
      </c>
      <c r="C119" s="1639"/>
      <c r="D119" s="31"/>
      <c r="E119" s="1134"/>
      <c r="F119" s="29"/>
      <c r="G119" s="48"/>
      <c r="H119" s="1158" t="s">
        <v>18</v>
      </c>
      <c r="I119" s="22">
        <v>2.0</v>
      </c>
      <c r="J119" s="22">
        <v>100.0</v>
      </c>
      <c r="K119" s="22">
        <f t="shared" si="7"/>
        <v>200</v>
      </c>
      <c r="L119" s="22">
        <v>25.0</v>
      </c>
      <c r="M119" s="187"/>
      <c r="N119" s="187"/>
    </row>
    <row r="120" ht="39.0" customHeight="1">
      <c r="A120" s="57"/>
      <c r="B120" s="125" t="s">
        <v>122</v>
      </c>
      <c r="C120" s="1640"/>
      <c r="D120" s="27"/>
      <c r="E120" s="1630"/>
      <c r="F120" s="58"/>
      <c r="G120" s="51"/>
      <c r="H120" s="1158" t="s">
        <v>25</v>
      </c>
      <c r="I120" s="14">
        <v>1.0</v>
      </c>
      <c r="J120" s="14">
        <v>120.0</v>
      </c>
      <c r="K120" s="14">
        <f t="shared" si="7"/>
        <v>120</v>
      </c>
      <c r="L120" s="14">
        <v>25.0</v>
      </c>
      <c r="M120" s="187"/>
      <c r="N120" s="187"/>
    </row>
    <row r="121" ht="39.0" hidden="1" customHeight="1">
      <c r="A121" s="29"/>
      <c r="B121" s="31" t="s">
        <v>51</v>
      </c>
      <c r="C121" s="31" t="s">
        <v>446</v>
      </c>
      <c r="D121" s="31"/>
      <c r="E121" s="31"/>
      <c r="F121" s="1634" t="s">
        <v>921</v>
      </c>
      <c r="G121" s="1158" t="s">
        <v>17</v>
      </c>
      <c r="H121" s="1158" t="s">
        <v>18</v>
      </c>
      <c r="I121" s="22">
        <v>2.0</v>
      </c>
      <c r="J121" s="22">
        <v>20.0</v>
      </c>
      <c r="K121" s="22">
        <f t="shared" si="7"/>
        <v>40</v>
      </c>
      <c r="L121" s="22">
        <v>0.0</v>
      </c>
      <c r="M121" s="108"/>
      <c r="N121" s="108"/>
    </row>
    <row r="122" ht="39.0" customHeight="1">
      <c r="A122" s="8">
        <v>46198.0</v>
      </c>
      <c r="B122" s="132" t="s">
        <v>21</v>
      </c>
      <c r="C122" s="1638" t="s">
        <v>446</v>
      </c>
      <c r="D122" s="27"/>
      <c r="E122" s="1629" t="s">
        <v>920</v>
      </c>
      <c r="F122" s="75" t="s">
        <v>917</v>
      </c>
      <c r="G122" s="1644" t="s">
        <v>17</v>
      </c>
      <c r="H122" s="1158" t="s">
        <v>18</v>
      </c>
      <c r="I122" s="14">
        <v>13.0</v>
      </c>
      <c r="J122" s="14">
        <v>100.0</v>
      </c>
      <c r="K122" s="14">
        <f t="shared" si="7"/>
        <v>1300</v>
      </c>
      <c r="L122" s="14">
        <v>25.0</v>
      </c>
      <c r="M122" s="1205">
        <f>(I122+I123+I124)*25</f>
        <v>400</v>
      </c>
      <c r="N122" s="1157">
        <f>K122+K123+K124+M122+K125</f>
        <v>2020</v>
      </c>
    </row>
    <row r="123" ht="39.0" customHeight="1">
      <c r="A123" s="29"/>
      <c r="B123" s="137" t="s">
        <v>51</v>
      </c>
      <c r="C123" s="1639"/>
      <c r="D123" s="31"/>
      <c r="E123" s="1134"/>
      <c r="F123" s="29"/>
      <c r="G123" s="48"/>
      <c r="H123" s="1158" t="s">
        <v>18</v>
      </c>
      <c r="I123" s="22">
        <v>2.0</v>
      </c>
      <c r="J123" s="22">
        <v>100.0</v>
      </c>
      <c r="K123" s="22">
        <f t="shared" si="7"/>
        <v>200</v>
      </c>
      <c r="L123" s="22">
        <v>25.0</v>
      </c>
      <c r="M123" s="187"/>
      <c r="N123" s="187"/>
    </row>
    <row r="124" ht="39.0" customHeight="1">
      <c r="A124" s="57"/>
      <c r="B124" s="125" t="s">
        <v>122</v>
      </c>
      <c r="C124" s="1640"/>
      <c r="D124" s="27"/>
      <c r="E124" s="1630"/>
      <c r="F124" s="58"/>
      <c r="G124" s="51"/>
      <c r="H124" s="1158" t="s">
        <v>25</v>
      </c>
      <c r="I124" s="14">
        <v>1.0</v>
      </c>
      <c r="J124" s="14">
        <v>120.0</v>
      </c>
      <c r="K124" s="14">
        <f t="shared" si="7"/>
        <v>120</v>
      </c>
      <c r="L124" s="14">
        <v>25.0</v>
      </c>
      <c r="M124" s="187"/>
      <c r="N124" s="187"/>
    </row>
    <row r="125" ht="39.0" hidden="1" customHeight="1">
      <c r="A125" s="20"/>
      <c r="B125" s="64" t="s">
        <v>51</v>
      </c>
      <c r="C125" s="64" t="s">
        <v>446</v>
      </c>
      <c r="D125" s="64"/>
      <c r="E125" s="64"/>
      <c r="F125" s="1648" t="s">
        <v>921</v>
      </c>
      <c r="G125" s="1157" t="s">
        <v>17</v>
      </c>
      <c r="H125" s="1157" t="s">
        <v>18</v>
      </c>
      <c r="I125" s="39">
        <v>0.0</v>
      </c>
      <c r="J125" s="39">
        <v>0.0</v>
      </c>
      <c r="K125" s="39">
        <f t="shared" si="7"/>
        <v>0</v>
      </c>
      <c r="L125" s="39">
        <v>0.0</v>
      </c>
      <c r="M125" s="108"/>
      <c r="N125" s="108"/>
    </row>
    <row r="126" ht="39.0" customHeight="1">
      <c r="A126" s="1649">
        <v>46199.0</v>
      </c>
      <c r="B126" s="1470" t="s">
        <v>21</v>
      </c>
      <c r="C126" s="1650" t="s">
        <v>446</v>
      </c>
      <c r="D126" s="1469"/>
      <c r="E126" s="1629" t="s">
        <v>920</v>
      </c>
      <c r="F126" s="1651" t="s">
        <v>917</v>
      </c>
      <c r="G126" s="1652" t="s">
        <v>17</v>
      </c>
      <c r="H126" s="1472" t="s">
        <v>18</v>
      </c>
      <c r="I126" s="1350">
        <v>12.0</v>
      </c>
      <c r="J126" s="1350">
        <v>100.0</v>
      </c>
      <c r="K126" s="1350">
        <f t="shared" si="7"/>
        <v>1200</v>
      </c>
      <c r="L126" s="1350">
        <v>25.0</v>
      </c>
      <c r="M126" s="1653">
        <f>(I126+I127+I128)*25</f>
        <v>375</v>
      </c>
      <c r="N126" s="1653">
        <f>K126+K127+K128+M126+K129</f>
        <v>1895</v>
      </c>
    </row>
    <row r="127" ht="39.0" customHeight="1">
      <c r="A127" s="29"/>
      <c r="B127" s="137" t="s">
        <v>51</v>
      </c>
      <c r="C127" s="1639"/>
      <c r="D127" s="31"/>
      <c r="E127" s="1134"/>
      <c r="F127" s="29"/>
      <c r="G127" s="48"/>
      <c r="H127" s="1158" t="s">
        <v>18</v>
      </c>
      <c r="I127" s="22">
        <v>2.0</v>
      </c>
      <c r="J127" s="22">
        <v>100.0</v>
      </c>
      <c r="K127" s="22">
        <f t="shared" si="7"/>
        <v>200</v>
      </c>
      <c r="L127" s="22">
        <v>25.0</v>
      </c>
      <c r="M127" s="187"/>
      <c r="N127" s="187"/>
    </row>
    <row r="128" ht="39.0" customHeight="1">
      <c r="A128" s="57"/>
      <c r="B128" s="125" t="s">
        <v>122</v>
      </c>
      <c r="C128" s="1640"/>
      <c r="D128" s="27"/>
      <c r="E128" s="1630"/>
      <c r="F128" s="58"/>
      <c r="G128" s="51"/>
      <c r="H128" s="1158" t="s">
        <v>25</v>
      </c>
      <c r="I128" s="14">
        <v>1.0</v>
      </c>
      <c r="J128" s="14">
        <v>120.0</v>
      </c>
      <c r="K128" s="14">
        <f t="shared" si="7"/>
        <v>120</v>
      </c>
      <c r="L128" s="14">
        <v>25.0</v>
      </c>
      <c r="M128" s="187"/>
      <c r="N128" s="187"/>
    </row>
    <row r="129" ht="39.0" hidden="1" customHeight="1">
      <c r="A129" s="20"/>
      <c r="B129" s="31" t="s">
        <v>51</v>
      </c>
      <c r="C129" s="31" t="s">
        <v>446</v>
      </c>
      <c r="D129" s="31"/>
      <c r="E129" s="31"/>
      <c r="F129" s="1634" t="s">
        <v>921</v>
      </c>
      <c r="G129" s="1158" t="s">
        <v>17</v>
      </c>
      <c r="H129" s="1158" t="s">
        <v>18</v>
      </c>
      <c r="I129" s="22">
        <v>0.0</v>
      </c>
      <c r="J129" s="22">
        <v>0.0</v>
      </c>
      <c r="K129" s="22">
        <f t="shared" si="7"/>
        <v>0</v>
      </c>
      <c r="L129" s="39">
        <v>0.0</v>
      </c>
      <c r="M129" s="108"/>
      <c r="N129" s="108"/>
    </row>
    <row r="130" ht="39.0" customHeight="1">
      <c r="A130" s="1649">
        <v>46200.0</v>
      </c>
      <c r="B130" s="1470" t="s">
        <v>21</v>
      </c>
      <c r="C130" s="1650" t="s">
        <v>446</v>
      </c>
      <c r="D130" s="1469"/>
      <c r="E130" s="1629" t="s">
        <v>920</v>
      </c>
      <c r="F130" s="1651" t="s">
        <v>917</v>
      </c>
      <c r="G130" s="1652" t="s">
        <v>17</v>
      </c>
      <c r="H130" s="1472" t="s">
        <v>18</v>
      </c>
      <c r="I130" s="1350">
        <v>10.0</v>
      </c>
      <c r="J130" s="1350">
        <v>100.0</v>
      </c>
      <c r="K130" s="1350">
        <f t="shared" si="7"/>
        <v>1000</v>
      </c>
      <c r="L130" s="1350">
        <v>25.0</v>
      </c>
      <c r="M130" s="1653">
        <f>(I130+I131+I132)*25</f>
        <v>325</v>
      </c>
      <c r="N130" s="1653">
        <f>K130+K131+K132+M130+K133</f>
        <v>1645</v>
      </c>
    </row>
    <row r="131" ht="39.0" customHeight="1">
      <c r="A131" s="29"/>
      <c r="B131" s="137" t="s">
        <v>51</v>
      </c>
      <c r="C131" s="1639"/>
      <c r="D131" s="31"/>
      <c r="E131" s="1134"/>
      <c r="F131" s="29"/>
      <c r="G131" s="48"/>
      <c r="H131" s="1158" t="s">
        <v>18</v>
      </c>
      <c r="I131" s="22">
        <v>2.0</v>
      </c>
      <c r="J131" s="22">
        <v>100.0</v>
      </c>
      <c r="K131" s="22">
        <f t="shared" si="7"/>
        <v>200</v>
      </c>
      <c r="L131" s="22">
        <v>25.0</v>
      </c>
      <c r="M131" s="187"/>
      <c r="N131" s="187"/>
    </row>
    <row r="132" ht="39.0" customHeight="1">
      <c r="A132" s="57"/>
      <c r="B132" s="125" t="s">
        <v>122</v>
      </c>
      <c r="C132" s="1640"/>
      <c r="D132" s="27"/>
      <c r="E132" s="1630"/>
      <c r="F132" s="58"/>
      <c r="G132" s="51"/>
      <c r="H132" s="1158" t="s">
        <v>25</v>
      </c>
      <c r="I132" s="14">
        <v>1.0</v>
      </c>
      <c r="J132" s="14">
        <v>120.0</v>
      </c>
      <c r="K132" s="14">
        <f t="shared" si="7"/>
        <v>120</v>
      </c>
      <c r="L132" s="14">
        <v>25.0</v>
      </c>
      <c r="M132" s="187"/>
      <c r="N132" s="187"/>
    </row>
    <row r="133" ht="39.0" hidden="1" customHeight="1">
      <c r="A133" s="20"/>
      <c r="B133" s="31" t="s">
        <v>51</v>
      </c>
      <c r="C133" s="31" t="s">
        <v>446</v>
      </c>
      <c r="D133" s="31"/>
      <c r="E133" s="31"/>
      <c r="F133" s="1634" t="s">
        <v>921</v>
      </c>
      <c r="G133" s="1158" t="s">
        <v>17</v>
      </c>
      <c r="H133" s="1158" t="s">
        <v>18</v>
      </c>
      <c r="I133" s="22">
        <v>0.0</v>
      </c>
      <c r="J133" s="22">
        <v>0.0</v>
      </c>
      <c r="K133" s="22">
        <f t="shared" si="7"/>
        <v>0</v>
      </c>
      <c r="L133" s="39">
        <v>0.0</v>
      </c>
      <c r="M133" s="108"/>
      <c r="N133" s="108"/>
    </row>
    <row r="134" ht="39.0" customHeight="1">
      <c r="A134" s="1594">
        <v>46202.0</v>
      </c>
      <c r="B134" s="1470" t="s">
        <v>21</v>
      </c>
      <c r="C134" s="1650" t="s">
        <v>446</v>
      </c>
      <c r="D134" s="1469"/>
      <c r="E134" s="1629" t="s">
        <v>920</v>
      </c>
      <c r="F134" s="1651" t="s">
        <v>917</v>
      </c>
      <c r="G134" s="1652" t="s">
        <v>17</v>
      </c>
      <c r="H134" s="1472" t="s">
        <v>18</v>
      </c>
      <c r="I134" s="1350">
        <v>7.0</v>
      </c>
      <c r="J134" s="1350">
        <v>100.0</v>
      </c>
      <c r="K134" s="1350">
        <f t="shared" si="7"/>
        <v>700</v>
      </c>
      <c r="L134" s="1350">
        <v>25.0</v>
      </c>
      <c r="M134" s="1653">
        <f>(I134+I135+I136)*25</f>
        <v>225</v>
      </c>
      <c r="N134" s="1653">
        <f>K134+K135+K136+M134+K137</f>
        <v>1145</v>
      </c>
    </row>
    <row r="135" ht="39.0" customHeight="1">
      <c r="A135" s="29"/>
      <c r="B135" s="137" t="s">
        <v>51</v>
      </c>
      <c r="C135" s="1639"/>
      <c r="D135" s="31"/>
      <c r="E135" s="1134"/>
      <c r="F135" s="29"/>
      <c r="G135" s="48"/>
      <c r="H135" s="1158" t="s">
        <v>18</v>
      </c>
      <c r="I135" s="22">
        <v>1.0</v>
      </c>
      <c r="J135" s="22">
        <v>100.0</v>
      </c>
      <c r="K135" s="22">
        <f t="shared" si="7"/>
        <v>100</v>
      </c>
      <c r="L135" s="22">
        <v>25.0</v>
      </c>
      <c r="M135" s="187"/>
      <c r="N135" s="187"/>
    </row>
    <row r="136" ht="39.0" customHeight="1">
      <c r="A136" s="57"/>
      <c r="B136" s="125" t="s">
        <v>122</v>
      </c>
      <c r="C136" s="1640"/>
      <c r="D136" s="27"/>
      <c r="E136" s="1630"/>
      <c r="F136" s="58"/>
      <c r="G136" s="51"/>
      <c r="H136" s="1158" t="s">
        <v>25</v>
      </c>
      <c r="I136" s="14">
        <v>1.0</v>
      </c>
      <c r="J136" s="14">
        <v>120.0</v>
      </c>
      <c r="K136" s="14">
        <f t="shared" si="7"/>
        <v>120</v>
      </c>
      <c r="L136" s="14">
        <v>25.0</v>
      </c>
      <c r="M136" s="187"/>
      <c r="N136" s="187"/>
    </row>
    <row r="137" ht="39.0" hidden="1" customHeight="1">
      <c r="A137" s="20"/>
      <c r="B137" s="31" t="s">
        <v>51</v>
      </c>
      <c r="C137" s="31" t="s">
        <v>446</v>
      </c>
      <c r="D137" s="31"/>
      <c r="E137" s="31"/>
      <c r="F137" s="1634" t="s">
        <v>921</v>
      </c>
      <c r="G137" s="1158" t="s">
        <v>17</v>
      </c>
      <c r="H137" s="1158" t="s">
        <v>18</v>
      </c>
      <c r="I137" s="22">
        <v>0.0</v>
      </c>
      <c r="J137" s="22">
        <v>0.0</v>
      </c>
      <c r="K137" s="22">
        <f t="shared" si="7"/>
        <v>0</v>
      </c>
      <c r="L137" s="39">
        <v>0.0</v>
      </c>
      <c r="M137" s="108"/>
      <c r="N137" s="108"/>
    </row>
    <row r="138" ht="39.0" customHeight="1">
      <c r="A138" s="1594">
        <v>46203.0</v>
      </c>
      <c r="B138" s="1470" t="s">
        <v>21</v>
      </c>
      <c r="C138" s="1650" t="s">
        <v>446</v>
      </c>
      <c r="D138" s="1469"/>
      <c r="E138" s="1629" t="s">
        <v>920</v>
      </c>
      <c r="F138" s="1651" t="s">
        <v>917</v>
      </c>
      <c r="G138" s="1652" t="s">
        <v>17</v>
      </c>
      <c r="H138" s="1472" t="s">
        <v>18</v>
      </c>
      <c r="I138" s="1350">
        <v>11.0</v>
      </c>
      <c r="J138" s="1350">
        <v>100.0</v>
      </c>
      <c r="K138" s="1350">
        <f t="shared" si="7"/>
        <v>1100</v>
      </c>
      <c r="L138" s="1350">
        <v>25.0</v>
      </c>
      <c r="M138" s="1653">
        <f>(I138+I139+I140)*25</f>
        <v>325</v>
      </c>
      <c r="N138" s="1653" t="str">
        <f>K138+K139+K140+M138+#REF!</f>
        <v>#REF!</v>
      </c>
    </row>
    <row r="139" ht="39.0" customHeight="1">
      <c r="A139" s="29"/>
      <c r="B139" s="137" t="s">
        <v>51</v>
      </c>
      <c r="C139" s="1639"/>
      <c r="D139" s="31"/>
      <c r="E139" s="1134"/>
      <c r="F139" s="29"/>
      <c r="G139" s="48"/>
      <c r="H139" s="1158" t="s">
        <v>18</v>
      </c>
      <c r="I139" s="22">
        <v>1.0</v>
      </c>
      <c r="J139" s="22">
        <v>100.0</v>
      </c>
      <c r="K139" s="22">
        <f t="shared" si="7"/>
        <v>100</v>
      </c>
      <c r="L139" s="22">
        <v>25.0</v>
      </c>
      <c r="M139" s="187"/>
      <c r="N139" s="187"/>
    </row>
    <row r="140" ht="39.0" customHeight="1">
      <c r="A140" s="57"/>
      <c r="B140" s="125" t="s">
        <v>122</v>
      </c>
      <c r="C140" s="1640"/>
      <c r="D140" s="27"/>
      <c r="E140" s="1630"/>
      <c r="F140" s="58"/>
      <c r="G140" s="51"/>
      <c r="H140" s="1158" t="s">
        <v>25</v>
      </c>
      <c r="I140" s="13">
        <v>1.0</v>
      </c>
      <c r="J140" s="13">
        <v>120.0</v>
      </c>
      <c r="K140" s="13">
        <f t="shared" si="7"/>
        <v>120</v>
      </c>
      <c r="L140" s="13">
        <v>25.0</v>
      </c>
      <c r="M140" s="108"/>
      <c r="N140" s="108"/>
    </row>
    <row r="141" ht="39.0" hidden="1" customHeight="1">
      <c r="A141" s="29"/>
      <c r="B141" s="1486" t="s">
        <v>21</v>
      </c>
      <c r="C141" s="1654" t="s">
        <v>446</v>
      </c>
      <c r="D141" s="1486"/>
      <c r="E141" s="64"/>
      <c r="F141" s="1655" t="s">
        <v>921</v>
      </c>
      <c r="G141" s="1652" t="s">
        <v>17</v>
      </c>
      <c r="H141" s="1656" t="s">
        <v>18</v>
      </c>
      <c r="I141" s="1657">
        <v>2.0</v>
      </c>
      <c r="J141" s="1657">
        <v>108.0</v>
      </c>
      <c r="K141" s="1657">
        <f t="shared" si="7"/>
        <v>216</v>
      </c>
      <c r="L141" s="1657">
        <v>0.0</v>
      </c>
      <c r="M141" s="1509"/>
      <c r="N141" s="1509"/>
    </row>
    <row r="142" ht="39.0" hidden="1" customHeight="1">
      <c r="A142" s="57"/>
      <c r="B142" s="57"/>
      <c r="C142" s="1640"/>
      <c r="D142" s="57"/>
      <c r="E142" s="57"/>
      <c r="F142" s="70"/>
      <c r="G142" s="48"/>
      <c r="H142" s="1656" t="s">
        <v>18</v>
      </c>
      <c r="I142" s="1658">
        <v>1.0</v>
      </c>
      <c r="J142" s="1658">
        <v>132.0</v>
      </c>
      <c r="K142" s="1658">
        <f t="shared" si="7"/>
        <v>132</v>
      </c>
      <c r="L142" s="1658">
        <v>0.0</v>
      </c>
      <c r="M142" s="1464"/>
      <c r="N142" s="1464"/>
    </row>
    <row r="143" ht="39.0" hidden="1" customHeight="1">
      <c r="A143" s="29"/>
      <c r="B143" s="29"/>
      <c r="C143" s="1639"/>
      <c r="D143" s="29"/>
      <c r="E143" s="29"/>
      <c r="F143" s="56"/>
      <c r="G143" s="51"/>
      <c r="H143" s="1656" t="s">
        <v>18</v>
      </c>
      <c r="I143" s="1657">
        <v>2.0</v>
      </c>
      <c r="J143" s="1657">
        <v>124.0</v>
      </c>
      <c r="K143" s="1657">
        <f t="shared" si="7"/>
        <v>248</v>
      </c>
      <c r="L143" s="1657">
        <v>0.0</v>
      </c>
      <c r="M143" s="1464"/>
      <c r="N143" s="1464"/>
    </row>
    <row r="144" ht="39.0" hidden="1" customHeight="1">
      <c r="A144" s="57"/>
      <c r="B144" s="57"/>
      <c r="C144" s="1640"/>
      <c r="D144" s="57"/>
      <c r="E144" s="57"/>
      <c r="F144" s="70"/>
      <c r="G144" s="1652" t="s">
        <v>17</v>
      </c>
      <c r="H144" s="1656" t="s">
        <v>18</v>
      </c>
      <c r="I144" s="1658">
        <v>2.0</v>
      </c>
      <c r="J144" s="1658">
        <v>120.0</v>
      </c>
      <c r="K144" s="1658">
        <f t="shared" si="7"/>
        <v>240</v>
      </c>
      <c r="L144" s="1658">
        <v>0.0</v>
      </c>
      <c r="M144" s="1464"/>
      <c r="N144" s="1464"/>
    </row>
    <row r="145" ht="39.0" hidden="1" customHeight="1">
      <c r="A145" s="29"/>
      <c r="B145" s="29"/>
      <c r="C145" s="1639"/>
      <c r="D145" s="29"/>
      <c r="E145" s="29"/>
      <c r="F145" s="56"/>
      <c r="G145" s="48"/>
      <c r="H145" s="1656" t="s">
        <v>18</v>
      </c>
      <c r="I145" s="1657">
        <v>1.0</v>
      </c>
      <c r="J145" s="1657">
        <v>148.0</v>
      </c>
      <c r="K145" s="1657">
        <f t="shared" si="7"/>
        <v>148</v>
      </c>
      <c r="L145" s="1657">
        <v>0.0</v>
      </c>
      <c r="M145" s="1464"/>
      <c r="N145" s="1464"/>
    </row>
    <row r="146" ht="39.0" hidden="1" customHeight="1">
      <c r="A146" s="57"/>
      <c r="B146" s="57"/>
      <c r="C146" s="1640"/>
      <c r="D146" s="57"/>
      <c r="E146" s="57"/>
      <c r="F146" s="70"/>
      <c r="G146" s="51"/>
      <c r="H146" s="1656" t="s">
        <v>18</v>
      </c>
      <c r="I146" s="1658">
        <v>1.0</v>
      </c>
      <c r="J146" s="1658">
        <v>150.0</v>
      </c>
      <c r="K146" s="1658">
        <f t="shared" si="7"/>
        <v>150</v>
      </c>
      <c r="L146" s="1658">
        <v>0.0</v>
      </c>
      <c r="M146" s="1464"/>
      <c r="N146" s="1464"/>
    </row>
    <row r="147" ht="39.0" hidden="1" customHeight="1">
      <c r="A147" s="29"/>
      <c r="B147" s="29"/>
      <c r="C147" s="1639"/>
      <c r="D147" s="29"/>
      <c r="E147" s="29"/>
      <c r="F147" s="56"/>
      <c r="G147" s="1659" t="s">
        <v>17</v>
      </c>
      <c r="H147" s="1660" t="s">
        <v>18</v>
      </c>
      <c r="I147" s="1657">
        <v>1.0</v>
      </c>
      <c r="J147" s="1657">
        <v>140.0</v>
      </c>
      <c r="K147" s="1657">
        <f t="shared" si="7"/>
        <v>140</v>
      </c>
      <c r="L147" s="1657">
        <v>0.0</v>
      </c>
      <c r="M147" s="1464"/>
      <c r="N147" s="1464"/>
    </row>
    <row r="148" ht="39.0" hidden="1" customHeight="1">
      <c r="A148" s="58"/>
      <c r="B148" s="58"/>
      <c r="C148" s="1640"/>
      <c r="D148" s="58"/>
      <c r="E148" s="58"/>
      <c r="F148" s="59"/>
      <c r="G148" s="1453"/>
      <c r="H148" s="1660" t="s">
        <v>18</v>
      </c>
      <c r="I148" s="1658">
        <v>8.0</v>
      </c>
      <c r="J148" s="1658">
        <v>100.0</v>
      </c>
      <c r="K148" s="1658">
        <f t="shared" si="7"/>
        <v>800</v>
      </c>
      <c r="L148" s="1658">
        <v>0.0</v>
      </c>
      <c r="M148" s="1453"/>
      <c r="N148" s="1453"/>
    </row>
    <row r="149" ht="39.0" customHeight="1">
      <c r="A149" s="1661">
        <v>46204.0</v>
      </c>
      <c r="B149" s="1486" t="s">
        <v>21</v>
      </c>
      <c r="C149" s="1654" t="s">
        <v>446</v>
      </c>
      <c r="D149" s="1485"/>
      <c r="E149" s="1627" t="s">
        <v>920</v>
      </c>
      <c r="F149" s="1662" t="s">
        <v>917</v>
      </c>
      <c r="G149" s="1652" t="s">
        <v>17</v>
      </c>
      <c r="H149" s="1472" t="s">
        <v>18</v>
      </c>
      <c r="I149" s="1488">
        <v>17.0</v>
      </c>
      <c r="J149" s="1488">
        <v>100.0</v>
      </c>
      <c r="K149" s="1488">
        <f t="shared" si="7"/>
        <v>1700</v>
      </c>
      <c r="L149" s="1488">
        <v>25.0</v>
      </c>
      <c r="M149" s="1653">
        <f>(I149+I150+I151)*25</f>
        <v>500</v>
      </c>
      <c r="N149" s="1653">
        <f>K149+K150+K151+M149+K152</f>
        <v>2520</v>
      </c>
    </row>
    <row r="150" ht="39.0" customHeight="1">
      <c r="A150" s="57"/>
      <c r="B150" s="132" t="s">
        <v>51</v>
      </c>
      <c r="C150" s="1640"/>
      <c r="D150" s="27"/>
      <c r="E150" s="1127"/>
      <c r="F150" s="57"/>
      <c r="G150" s="48"/>
      <c r="H150" s="1158" t="s">
        <v>18</v>
      </c>
      <c r="I150" s="14">
        <v>2.0</v>
      </c>
      <c r="J150" s="14">
        <v>100.0</v>
      </c>
      <c r="K150" s="14">
        <f t="shared" si="7"/>
        <v>200</v>
      </c>
      <c r="L150" s="14">
        <v>25.0</v>
      </c>
      <c r="M150" s="187"/>
      <c r="N150" s="187"/>
    </row>
    <row r="151" ht="39.0" customHeight="1">
      <c r="A151" s="29"/>
      <c r="B151" s="1617" t="s">
        <v>122</v>
      </c>
      <c r="C151" s="1639"/>
      <c r="D151" s="31"/>
      <c r="E151" s="1628"/>
      <c r="F151" s="20"/>
      <c r="G151" s="51"/>
      <c r="H151" s="1158" t="s">
        <v>25</v>
      </c>
      <c r="I151" s="22">
        <v>1.0</v>
      </c>
      <c r="J151" s="22">
        <v>120.0</v>
      </c>
      <c r="K151" s="22">
        <f t="shared" si="7"/>
        <v>120</v>
      </c>
      <c r="L151" s="22">
        <v>25.0</v>
      </c>
      <c r="M151" s="187"/>
      <c r="N151" s="187"/>
    </row>
    <row r="152" ht="39.0" hidden="1" customHeight="1">
      <c r="A152" s="58"/>
      <c r="B152" s="27" t="s">
        <v>51</v>
      </c>
      <c r="C152" s="27" t="s">
        <v>446</v>
      </c>
      <c r="D152" s="27"/>
      <c r="E152" s="27"/>
      <c r="F152" s="1621" t="s">
        <v>921</v>
      </c>
      <c r="G152" s="1158" t="s">
        <v>17</v>
      </c>
      <c r="H152" s="1158" t="s">
        <v>18</v>
      </c>
      <c r="I152" s="14">
        <v>0.0</v>
      </c>
      <c r="J152" s="14">
        <v>0.0</v>
      </c>
      <c r="K152" s="14">
        <f t="shared" si="7"/>
        <v>0</v>
      </c>
      <c r="L152" s="13">
        <v>0.0</v>
      </c>
      <c r="M152" s="108"/>
      <c r="N152" s="108"/>
    </row>
    <row r="153" ht="39.0" customHeight="1">
      <c r="A153" s="939"/>
      <c r="B153" s="833"/>
      <c r="C153" s="833"/>
      <c r="D153" s="833"/>
      <c r="E153" s="833"/>
      <c r="F153" s="463"/>
      <c r="G153" s="1465"/>
      <c r="H153" s="1465"/>
      <c r="I153" s="30"/>
      <c r="J153" s="30"/>
      <c r="K153" s="30"/>
      <c r="L153" s="30"/>
      <c r="M153" s="1465"/>
      <c r="N153" s="1465"/>
    </row>
    <row r="154" ht="39.0" customHeight="1">
      <c r="A154" s="940"/>
      <c r="B154" s="941"/>
      <c r="C154" s="941"/>
      <c r="D154" s="941"/>
      <c r="E154" s="941"/>
      <c r="F154" s="463"/>
      <c r="G154" s="1465"/>
      <c r="H154" s="1465"/>
      <c r="I154" s="28"/>
      <c r="J154" s="28"/>
      <c r="K154" s="28"/>
      <c r="L154" s="28"/>
      <c r="M154" s="1465"/>
      <c r="N154" s="1465"/>
    </row>
    <row r="155" ht="39.0" customHeight="1">
      <c r="A155" s="939"/>
      <c r="B155" s="833"/>
      <c r="C155" s="833"/>
      <c r="D155" s="833"/>
      <c r="E155" s="833"/>
      <c r="F155" s="463"/>
      <c r="G155" s="1465"/>
      <c r="H155" s="1465"/>
      <c r="I155" s="30"/>
      <c r="J155" s="30"/>
      <c r="K155" s="30"/>
      <c r="L155" s="30"/>
      <c r="M155" s="1465"/>
      <c r="N155" s="1465"/>
    </row>
    <row r="156" ht="39.0" customHeight="1">
      <c r="A156" s="940"/>
      <c r="B156" s="941"/>
      <c r="C156" s="941"/>
      <c r="D156" s="941"/>
      <c r="E156" s="941"/>
      <c r="F156" s="463"/>
      <c r="G156" s="1465"/>
      <c r="H156" s="1465"/>
      <c r="I156" s="28"/>
      <c r="J156" s="28"/>
      <c r="K156" s="28"/>
      <c r="L156" s="28"/>
      <c r="M156" s="1465"/>
      <c r="N156" s="1465"/>
    </row>
    <row r="157" ht="39.0" customHeight="1">
      <c r="A157" s="939"/>
      <c r="B157" s="833"/>
      <c r="C157" s="833"/>
      <c r="D157" s="833"/>
      <c r="E157" s="833"/>
      <c r="F157" s="463"/>
      <c r="G157" s="1465"/>
      <c r="H157" s="1465"/>
      <c r="I157" s="30"/>
      <c r="J157" s="30"/>
      <c r="K157" s="30"/>
      <c r="L157" s="30"/>
      <c r="M157" s="1465"/>
      <c r="N157" s="1465"/>
    </row>
    <row r="158" ht="39.0" customHeight="1">
      <c r="A158" s="940"/>
      <c r="B158" s="941"/>
      <c r="C158" s="941"/>
      <c r="D158" s="941"/>
      <c r="E158" s="941"/>
      <c r="F158" s="463"/>
      <c r="G158" s="1465"/>
      <c r="H158" s="1465"/>
      <c r="I158" s="28"/>
      <c r="J158" s="28"/>
      <c r="K158" s="28"/>
      <c r="L158" s="28"/>
      <c r="M158" s="1465"/>
      <c r="N158" s="1465"/>
    </row>
    <row r="159" ht="39.0" customHeight="1">
      <c r="A159" s="939"/>
      <c r="B159" s="833"/>
      <c r="C159" s="833"/>
      <c r="D159" s="833"/>
      <c r="E159" s="833"/>
      <c r="F159" s="463"/>
      <c r="G159" s="1465"/>
      <c r="H159" s="1465"/>
      <c r="I159" s="30"/>
      <c r="J159" s="30"/>
      <c r="K159" s="30"/>
      <c r="L159" s="30"/>
      <c r="M159" s="1465"/>
      <c r="N159" s="1465"/>
    </row>
    <row r="160" ht="39.0" customHeight="1">
      <c r="A160" s="940"/>
      <c r="B160" s="941"/>
      <c r="C160" s="941"/>
      <c r="D160" s="941"/>
      <c r="E160" s="941"/>
      <c r="F160" s="463"/>
      <c r="G160" s="1465"/>
      <c r="H160" s="1465"/>
      <c r="I160" s="28"/>
      <c r="J160" s="28"/>
      <c r="K160" s="28"/>
      <c r="L160" s="28"/>
      <c r="M160" s="1465"/>
      <c r="N160" s="1465"/>
    </row>
    <row r="161" ht="39.0" customHeight="1">
      <c r="A161" s="939"/>
      <c r="B161" s="833"/>
      <c r="C161" s="833"/>
      <c r="D161" s="833"/>
      <c r="E161" s="833"/>
      <c r="F161" s="463"/>
      <c r="G161" s="1465"/>
      <c r="H161" s="1465"/>
      <c r="I161" s="30"/>
      <c r="J161" s="30"/>
      <c r="K161" s="30"/>
      <c r="L161" s="30"/>
      <c r="M161" s="1465"/>
      <c r="N161" s="1465"/>
    </row>
    <row r="162" ht="39.0" customHeight="1">
      <c r="A162" s="940"/>
      <c r="B162" s="941"/>
      <c r="C162" s="941"/>
      <c r="D162" s="941"/>
      <c r="E162" s="941"/>
      <c r="F162" s="463"/>
      <c r="G162" s="1465"/>
      <c r="H162" s="1465"/>
      <c r="I162" s="28"/>
      <c r="J162" s="28"/>
      <c r="K162" s="28"/>
      <c r="L162" s="28"/>
      <c r="M162" s="1465"/>
      <c r="N162" s="1465"/>
    </row>
    <row r="163" ht="39.0" customHeight="1">
      <c r="A163" s="939"/>
      <c r="B163" s="833"/>
      <c r="C163" s="833"/>
      <c r="D163" s="833"/>
      <c r="E163" s="833"/>
      <c r="F163" s="463"/>
      <c r="G163" s="1465"/>
      <c r="H163" s="1465"/>
      <c r="I163" s="30"/>
      <c r="J163" s="30"/>
      <c r="K163" s="30"/>
      <c r="L163" s="30"/>
      <c r="M163" s="1465"/>
      <c r="N163" s="1465"/>
    </row>
    <row r="164" ht="39.0" customHeight="1">
      <c r="A164" s="940"/>
      <c r="B164" s="941"/>
      <c r="C164" s="941"/>
      <c r="D164" s="941"/>
      <c r="E164" s="941"/>
      <c r="F164" s="463"/>
      <c r="G164" s="1465"/>
      <c r="H164" s="1465"/>
      <c r="I164" s="28"/>
      <c r="J164" s="28"/>
      <c r="K164" s="28"/>
      <c r="L164" s="28"/>
      <c r="M164" s="1465"/>
      <c r="N164" s="1465"/>
    </row>
    <row r="165" ht="39.0" customHeight="1">
      <c r="A165" s="939"/>
      <c r="B165" s="833"/>
      <c r="C165" s="833"/>
      <c r="D165" s="833"/>
      <c r="E165" s="833"/>
      <c r="F165" s="463"/>
      <c r="G165" s="1465"/>
      <c r="H165" s="1465"/>
      <c r="I165" s="30"/>
      <c r="J165" s="30"/>
      <c r="K165" s="30"/>
      <c r="L165" s="30"/>
      <c r="M165" s="1465"/>
      <c r="N165" s="1465"/>
    </row>
    <row r="166" ht="39.0" customHeight="1">
      <c r="A166" s="940"/>
      <c r="B166" s="941"/>
      <c r="C166" s="941"/>
      <c r="D166" s="941"/>
      <c r="E166" s="941"/>
      <c r="F166" s="463"/>
      <c r="G166" s="1465"/>
      <c r="H166" s="1465"/>
      <c r="I166" s="28"/>
      <c r="J166" s="28"/>
      <c r="K166" s="28"/>
      <c r="L166" s="28"/>
      <c r="M166" s="1465"/>
      <c r="N166" s="1465"/>
    </row>
    <row r="167" ht="39.0" customHeight="1">
      <c r="A167" s="939"/>
      <c r="B167" s="833"/>
      <c r="C167" s="833"/>
      <c r="D167" s="833"/>
      <c r="E167" s="833"/>
      <c r="F167" s="463"/>
      <c r="G167" s="1465"/>
      <c r="H167" s="1465"/>
      <c r="I167" s="30"/>
      <c r="J167" s="30"/>
      <c r="K167" s="30"/>
      <c r="L167" s="30"/>
      <c r="M167" s="1465"/>
      <c r="N167" s="1465"/>
    </row>
    <row r="168" ht="39.0" customHeight="1">
      <c r="A168" s="940"/>
      <c r="B168" s="941"/>
      <c r="C168" s="941"/>
      <c r="D168" s="941"/>
      <c r="E168" s="941"/>
      <c r="F168" s="463"/>
      <c r="G168" s="1465"/>
      <c r="H168" s="1465"/>
      <c r="I168" s="28"/>
      <c r="J168" s="28"/>
      <c r="K168" s="28"/>
      <c r="L168" s="28"/>
      <c r="M168" s="1465"/>
      <c r="N168" s="1465"/>
    </row>
    <row r="169" ht="39.0" customHeight="1">
      <c r="A169" s="939"/>
      <c r="B169" s="833"/>
      <c r="C169" s="833"/>
      <c r="D169" s="833"/>
      <c r="E169" s="833"/>
      <c r="F169" s="463"/>
      <c r="G169" s="1465"/>
      <c r="H169" s="1465"/>
      <c r="I169" s="30"/>
      <c r="J169" s="30"/>
      <c r="K169" s="30"/>
      <c r="L169" s="30"/>
      <c r="M169" s="1465"/>
      <c r="N169" s="1465"/>
    </row>
    <row r="170" ht="39.0" customHeight="1">
      <c r="A170" s="940"/>
      <c r="B170" s="941"/>
      <c r="C170" s="941"/>
      <c r="D170" s="941"/>
      <c r="E170" s="941"/>
      <c r="F170" s="463"/>
      <c r="G170" s="1465"/>
      <c r="H170" s="1465"/>
      <c r="I170" s="28"/>
      <c r="J170" s="28"/>
      <c r="K170" s="28"/>
      <c r="L170" s="28"/>
      <c r="M170" s="1465"/>
      <c r="N170" s="1465"/>
    </row>
    <row r="171" ht="39.0" customHeight="1">
      <c r="A171" s="939"/>
      <c r="B171" s="833"/>
      <c r="C171" s="833"/>
      <c r="D171" s="833"/>
      <c r="E171" s="833"/>
      <c r="F171" s="463"/>
      <c r="G171" s="1465"/>
      <c r="H171" s="1465"/>
      <c r="I171" s="30"/>
      <c r="J171" s="30"/>
      <c r="K171" s="30"/>
      <c r="L171" s="30"/>
      <c r="M171" s="1465"/>
      <c r="N171" s="1465"/>
    </row>
    <row r="172" ht="39.0" customHeight="1">
      <c r="A172" s="940"/>
      <c r="B172" s="941"/>
      <c r="C172" s="941"/>
      <c r="D172" s="941"/>
      <c r="E172" s="941"/>
      <c r="F172" s="463"/>
      <c r="G172" s="1465"/>
      <c r="H172" s="1465"/>
      <c r="I172" s="28"/>
      <c r="J172" s="28"/>
      <c r="K172" s="28"/>
      <c r="L172" s="28"/>
      <c r="M172" s="1465"/>
      <c r="N172" s="1465"/>
    </row>
    <row r="173" ht="39.0" customHeight="1">
      <c r="A173" s="939"/>
      <c r="B173" s="833"/>
      <c r="C173" s="833"/>
      <c r="D173" s="833"/>
      <c r="E173" s="833"/>
      <c r="F173" s="463"/>
      <c r="G173" s="1465"/>
      <c r="H173" s="1465"/>
      <c r="I173" s="30"/>
      <c r="J173" s="30"/>
      <c r="K173" s="30"/>
      <c r="L173" s="30"/>
      <c r="M173" s="1465"/>
      <c r="N173" s="1465"/>
    </row>
    <row r="174" ht="39.0" customHeight="1">
      <c r="A174" s="940"/>
      <c r="B174" s="941"/>
      <c r="C174" s="941"/>
      <c r="D174" s="941"/>
      <c r="E174" s="941"/>
      <c r="F174" s="463"/>
      <c r="G174" s="1465"/>
      <c r="H174" s="1465"/>
      <c r="I174" s="28"/>
      <c r="J174" s="28"/>
      <c r="K174" s="28"/>
      <c r="L174" s="28"/>
      <c r="M174" s="1465"/>
      <c r="N174" s="1465"/>
    </row>
    <row r="175" ht="39.0" customHeight="1">
      <c r="A175" s="939"/>
      <c r="B175" s="833"/>
      <c r="C175" s="833"/>
      <c r="D175" s="833"/>
      <c r="E175" s="833"/>
      <c r="F175" s="463"/>
      <c r="G175" s="1465"/>
      <c r="H175" s="1465"/>
      <c r="I175" s="30"/>
      <c r="J175" s="30"/>
      <c r="K175" s="30"/>
      <c r="L175" s="30"/>
      <c r="M175" s="1465"/>
      <c r="N175" s="1465"/>
    </row>
    <row r="176" ht="39.0" customHeight="1">
      <c r="A176" s="940"/>
      <c r="B176" s="941"/>
      <c r="C176" s="941"/>
      <c r="D176" s="941"/>
      <c r="E176" s="941"/>
      <c r="F176" s="463"/>
      <c r="G176" s="1465"/>
      <c r="H176" s="1465"/>
      <c r="I176" s="28"/>
      <c r="J176" s="28"/>
      <c r="K176" s="28"/>
      <c r="L176" s="28"/>
      <c r="M176" s="1465"/>
      <c r="N176" s="1465"/>
    </row>
    <row r="177" ht="39.0" customHeight="1">
      <c r="A177" s="939"/>
      <c r="B177" s="833"/>
      <c r="C177" s="833"/>
      <c r="D177" s="833"/>
      <c r="E177" s="833"/>
      <c r="F177" s="463"/>
      <c r="G177" s="1465"/>
      <c r="H177" s="1465"/>
      <c r="I177" s="30"/>
      <c r="J177" s="30"/>
      <c r="K177" s="30"/>
      <c r="L177" s="30"/>
      <c r="M177" s="1465"/>
      <c r="N177" s="1465"/>
    </row>
    <row r="178" ht="39.0" customHeight="1">
      <c r="A178" s="940"/>
      <c r="B178" s="941"/>
      <c r="C178" s="941"/>
      <c r="D178" s="941"/>
      <c r="E178" s="941"/>
      <c r="F178" s="463"/>
      <c r="G178" s="1465"/>
      <c r="H178" s="1465"/>
      <c r="I178" s="28"/>
      <c r="J178" s="28"/>
      <c r="K178" s="28"/>
      <c r="L178" s="28"/>
      <c r="M178" s="1465"/>
      <c r="N178" s="1465"/>
    </row>
    <row r="179" ht="39.0" customHeight="1">
      <c r="A179" s="939"/>
      <c r="B179" s="833"/>
      <c r="C179" s="833"/>
      <c r="D179" s="833"/>
      <c r="E179" s="833"/>
      <c r="F179" s="463"/>
      <c r="G179" s="1465"/>
      <c r="H179" s="1465"/>
      <c r="I179" s="30"/>
      <c r="J179" s="30"/>
      <c r="K179" s="30"/>
      <c r="L179" s="30"/>
      <c r="M179" s="1465"/>
      <c r="N179" s="1465"/>
    </row>
    <row r="180" ht="39.0" customHeight="1">
      <c r="A180" s="940"/>
      <c r="B180" s="941"/>
      <c r="C180" s="941"/>
      <c r="D180" s="941"/>
      <c r="E180" s="941"/>
      <c r="F180" s="463"/>
      <c r="G180" s="1465"/>
      <c r="H180" s="1465"/>
      <c r="I180" s="28"/>
      <c r="J180" s="28"/>
      <c r="K180" s="28"/>
      <c r="L180" s="28"/>
      <c r="M180" s="1465"/>
      <c r="N180" s="1465"/>
    </row>
    <row r="181" ht="39.0" customHeight="1">
      <c r="A181" s="939"/>
      <c r="B181" s="833"/>
      <c r="C181" s="833"/>
      <c r="D181" s="833"/>
      <c r="E181" s="833"/>
      <c r="F181" s="463"/>
      <c r="G181" s="1465"/>
      <c r="H181" s="1465"/>
      <c r="I181" s="30"/>
      <c r="J181" s="30"/>
      <c r="K181" s="30"/>
      <c r="L181" s="30"/>
      <c r="M181" s="1465"/>
      <c r="N181" s="1465"/>
    </row>
    <row r="182" ht="39.0" customHeight="1">
      <c r="A182" s="940"/>
      <c r="B182" s="941"/>
      <c r="C182" s="941"/>
      <c r="D182" s="941"/>
      <c r="E182" s="941"/>
      <c r="F182" s="463"/>
      <c r="G182" s="1465"/>
      <c r="H182" s="1465"/>
      <c r="I182" s="28"/>
      <c r="J182" s="28"/>
      <c r="K182" s="28"/>
      <c r="L182" s="28"/>
      <c r="M182" s="1465"/>
      <c r="N182" s="1465"/>
    </row>
    <row r="183" ht="39.0" customHeight="1">
      <c r="A183" s="939"/>
      <c r="B183" s="833"/>
      <c r="C183" s="833"/>
      <c r="D183" s="833"/>
      <c r="E183" s="833"/>
      <c r="F183" s="463"/>
      <c r="G183" s="1465"/>
      <c r="H183" s="1465"/>
      <c r="I183" s="30"/>
      <c r="J183" s="30"/>
      <c r="K183" s="30"/>
      <c r="L183" s="30"/>
      <c r="M183" s="1465"/>
      <c r="N183" s="1465"/>
    </row>
    <row r="184" ht="39.0" customHeight="1">
      <c r="A184" s="940"/>
      <c r="B184" s="941"/>
      <c r="C184" s="941"/>
      <c r="D184" s="941"/>
      <c r="E184" s="941"/>
      <c r="F184" s="463"/>
      <c r="G184" s="1465"/>
      <c r="H184" s="1465"/>
      <c r="I184" s="28"/>
      <c r="J184" s="28"/>
      <c r="K184" s="28"/>
      <c r="L184" s="28"/>
      <c r="M184" s="1465"/>
      <c r="N184" s="1465"/>
    </row>
    <row r="185" ht="39.0" customHeight="1">
      <c r="A185" s="939"/>
      <c r="B185" s="833"/>
      <c r="C185" s="833"/>
      <c r="D185" s="833"/>
      <c r="E185" s="833"/>
      <c r="F185" s="463"/>
      <c r="G185" s="1465"/>
      <c r="H185" s="1465"/>
      <c r="I185" s="30"/>
      <c r="J185" s="30"/>
      <c r="K185" s="30"/>
      <c r="L185" s="30"/>
      <c r="M185" s="1465"/>
      <c r="N185" s="1465"/>
    </row>
    <row r="186" ht="39.0" customHeight="1">
      <c r="A186" s="940"/>
      <c r="B186" s="941"/>
      <c r="C186" s="941"/>
      <c r="D186" s="941"/>
      <c r="E186" s="941"/>
      <c r="F186" s="463"/>
      <c r="G186" s="1465"/>
      <c r="H186" s="1465"/>
      <c r="I186" s="28"/>
      <c r="J186" s="28"/>
      <c r="K186" s="28"/>
      <c r="L186" s="28"/>
      <c r="M186" s="1465"/>
      <c r="N186" s="1465"/>
    </row>
    <row r="187" ht="39.0" customHeight="1">
      <c r="A187" s="939"/>
      <c r="B187" s="833"/>
      <c r="C187" s="833"/>
      <c r="D187" s="833"/>
      <c r="E187" s="833"/>
      <c r="F187" s="463"/>
      <c r="G187" s="1465"/>
      <c r="H187" s="1465"/>
      <c r="I187" s="30"/>
      <c r="J187" s="30"/>
      <c r="K187" s="30"/>
      <c r="L187" s="30"/>
      <c r="M187" s="1465"/>
      <c r="N187" s="1465"/>
    </row>
    <row r="188" ht="39.0" customHeight="1">
      <c r="A188" s="940"/>
      <c r="B188" s="941"/>
      <c r="C188" s="941"/>
      <c r="D188" s="941"/>
      <c r="E188" s="941"/>
      <c r="F188" s="463"/>
      <c r="G188" s="1465"/>
      <c r="H188" s="1465"/>
      <c r="I188" s="28"/>
      <c r="J188" s="28"/>
      <c r="K188" s="28"/>
      <c r="L188" s="28"/>
      <c r="M188" s="1465"/>
      <c r="N188" s="1465"/>
    </row>
    <row r="189" ht="39.0" customHeight="1">
      <c r="A189" s="939"/>
      <c r="B189" s="833"/>
      <c r="C189" s="833"/>
      <c r="D189" s="833"/>
      <c r="E189" s="833"/>
      <c r="F189" s="463"/>
      <c r="G189" s="1465"/>
      <c r="H189" s="1465"/>
      <c r="I189" s="30"/>
      <c r="J189" s="30"/>
      <c r="K189" s="30"/>
      <c r="L189" s="30"/>
      <c r="M189" s="1465"/>
      <c r="N189" s="1465"/>
    </row>
    <row r="190" ht="39.0" customHeight="1">
      <c r="A190" s="940"/>
      <c r="B190" s="941"/>
      <c r="C190" s="941"/>
      <c r="D190" s="941"/>
      <c r="E190" s="941"/>
      <c r="F190" s="463"/>
      <c r="G190" s="1465"/>
      <c r="H190" s="1465"/>
      <c r="I190" s="28"/>
      <c r="J190" s="28"/>
      <c r="K190" s="28"/>
      <c r="L190" s="28"/>
      <c r="M190" s="1465"/>
      <c r="N190" s="1465"/>
    </row>
    <row r="191" ht="39.0" customHeight="1">
      <c r="A191" s="939"/>
      <c r="B191" s="833"/>
      <c r="C191" s="833"/>
      <c r="D191" s="833"/>
      <c r="E191" s="833"/>
      <c r="F191" s="463"/>
      <c r="G191" s="1465"/>
      <c r="H191" s="1465"/>
      <c r="I191" s="30"/>
      <c r="J191" s="30"/>
      <c r="K191" s="30"/>
      <c r="L191" s="30"/>
      <c r="M191" s="1465"/>
      <c r="N191" s="1465"/>
    </row>
    <row r="192" ht="39.0" customHeight="1">
      <c r="A192" s="940"/>
      <c r="B192" s="941"/>
      <c r="C192" s="941"/>
      <c r="D192" s="941"/>
      <c r="E192" s="941"/>
      <c r="F192" s="463"/>
      <c r="G192" s="1465"/>
      <c r="H192" s="1465"/>
      <c r="I192" s="28"/>
      <c r="J192" s="28"/>
      <c r="K192" s="28"/>
      <c r="L192" s="28"/>
      <c r="M192" s="1465"/>
      <c r="N192" s="1465"/>
    </row>
    <row r="193" ht="39.0" customHeight="1">
      <c r="A193" s="939"/>
      <c r="B193" s="833"/>
      <c r="C193" s="833"/>
      <c r="D193" s="833"/>
      <c r="E193" s="833"/>
      <c r="F193" s="463"/>
      <c r="G193" s="1465"/>
      <c r="H193" s="1465"/>
      <c r="I193" s="30"/>
      <c r="J193" s="30"/>
      <c r="K193" s="30"/>
      <c r="L193" s="30"/>
      <c r="M193" s="1465"/>
      <c r="N193" s="1465"/>
    </row>
    <row r="194" ht="39.0" customHeight="1">
      <c r="A194" s="940"/>
      <c r="B194" s="941"/>
      <c r="C194" s="941"/>
      <c r="D194" s="941"/>
      <c r="E194" s="941"/>
      <c r="F194" s="463"/>
      <c r="G194" s="1465"/>
      <c r="H194" s="1465"/>
      <c r="I194" s="28"/>
      <c r="J194" s="28"/>
      <c r="K194" s="28"/>
      <c r="L194" s="28"/>
      <c r="M194" s="1465"/>
      <c r="N194" s="1465"/>
    </row>
    <row r="195" ht="39.0" customHeight="1">
      <c r="A195" s="939"/>
      <c r="B195" s="833"/>
      <c r="C195" s="833"/>
      <c r="D195" s="833"/>
      <c r="E195" s="833"/>
      <c r="F195" s="463"/>
      <c r="G195" s="1465"/>
      <c r="H195" s="1465"/>
      <c r="I195" s="30"/>
      <c r="J195" s="30"/>
      <c r="K195" s="30"/>
      <c r="L195" s="30"/>
      <c r="M195" s="1465"/>
      <c r="N195" s="1465"/>
    </row>
    <row r="196" ht="39.0" customHeight="1">
      <c r="A196" s="940"/>
      <c r="B196" s="941"/>
      <c r="C196" s="941"/>
      <c r="D196" s="941"/>
      <c r="E196" s="941"/>
      <c r="F196" s="463"/>
      <c r="G196" s="1465"/>
      <c r="H196" s="1465"/>
      <c r="I196" s="28"/>
      <c r="J196" s="28"/>
      <c r="K196" s="28"/>
      <c r="L196" s="28"/>
      <c r="M196" s="1465"/>
      <c r="N196" s="1465"/>
    </row>
    <row r="197" ht="39.0" customHeight="1">
      <c r="A197" s="939"/>
      <c r="B197" s="833"/>
      <c r="C197" s="833"/>
      <c r="D197" s="833"/>
      <c r="E197" s="833"/>
      <c r="F197" s="463"/>
      <c r="G197" s="1465"/>
      <c r="H197" s="1465"/>
      <c r="I197" s="30"/>
      <c r="J197" s="30"/>
      <c r="K197" s="30"/>
      <c r="L197" s="30"/>
      <c r="M197" s="1465"/>
      <c r="N197" s="1465"/>
    </row>
    <row r="198" ht="39.0" customHeight="1">
      <c r="A198" s="940"/>
      <c r="B198" s="941"/>
      <c r="C198" s="941"/>
      <c r="D198" s="941"/>
      <c r="E198" s="941"/>
      <c r="F198" s="463"/>
      <c r="G198" s="1465"/>
      <c r="H198" s="1465"/>
      <c r="I198" s="28"/>
      <c r="J198" s="28"/>
      <c r="K198" s="28"/>
      <c r="L198" s="28"/>
      <c r="M198" s="1465"/>
      <c r="N198" s="1465"/>
    </row>
    <row r="199" ht="39.0" customHeight="1">
      <c r="A199" s="939"/>
      <c r="B199" s="833"/>
      <c r="C199" s="833"/>
      <c r="D199" s="833"/>
      <c r="E199" s="833"/>
      <c r="F199" s="463"/>
      <c r="G199" s="1465"/>
      <c r="H199" s="1465"/>
      <c r="I199" s="30"/>
      <c r="J199" s="30"/>
      <c r="K199" s="30"/>
      <c r="L199" s="30"/>
      <c r="M199" s="1465"/>
      <c r="N199" s="1465"/>
    </row>
    <row r="200" ht="39.0" customHeight="1">
      <c r="A200" s="940"/>
      <c r="B200" s="941"/>
      <c r="C200" s="941"/>
      <c r="D200" s="941"/>
      <c r="E200" s="941"/>
      <c r="F200" s="463"/>
      <c r="G200" s="1465"/>
      <c r="H200" s="1465"/>
      <c r="I200" s="28"/>
      <c r="J200" s="28"/>
      <c r="K200" s="28"/>
      <c r="L200" s="28"/>
      <c r="M200" s="1465"/>
      <c r="N200" s="1465"/>
    </row>
    <row r="201" ht="39.0" customHeight="1">
      <c r="A201" s="939"/>
      <c r="B201" s="833"/>
      <c r="C201" s="833"/>
      <c r="D201" s="833"/>
      <c r="E201" s="833"/>
      <c r="F201" s="463"/>
      <c r="G201" s="1465"/>
      <c r="H201" s="1465"/>
      <c r="I201" s="30"/>
      <c r="J201" s="30"/>
      <c r="K201" s="30"/>
      <c r="L201" s="30"/>
      <c r="M201" s="1465"/>
      <c r="N201" s="1465"/>
    </row>
    <row r="202" ht="39.0" customHeight="1">
      <c r="A202" s="940"/>
      <c r="B202" s="941"/>
      <c r="C202" s="941"/>
      <c r="D202" s="941"/>
      <c r="E202" s="941"/>
      <c r="F202" s="463"/>
      <c r="G202" s="1465"/>
      <c r="H202" s="1465"/>
      <c r="I202" s="28"/>
      <c r="J202" s="28"/>
      <c r="K202" s="28"/>
      <c r="L202" s="28"/>
      <c r="M202" s="1465"/>
      <c r="N202" s="1465"/>
    </row>
    <row r="203" ht="39.0" customHeight="1">
      <c r="A203" s="939"/>
      <c r="B203" s="833"/>
      <c r="C203" s="833"/>
      <c r="D203" s="833"/>
      <c r="E203" s="833"/>
      <c r="F203" s="463"/>
      <c r="G203" s="1465"/>
      <c r="H203" s="1465"/>
      <c r="I203" s="30"/>
      <c r="J203" s="30"/>
      <c r="K203" s="30"/>
      <c r="L203" s="30"/>
      <c r="M203" s="1465"/>
      <c r="N203" s="1465"/>
    </row>
    <row r="204" ht="39.0" customHeight="1">
      <c r="A204" s="940"/>
      <c r="B204" s="941"/>
      <c r="C204" s="941"/>
      <c r="D204" s="941"/>
      <c r="E204" s="941"/>
      <c r="F204" s="463"/>
      <c r="G204" s="1465"/>
      <c r="H204" s="1465"/>
      <c r="I204" s="28"/>
      <c r="J204" s="28"/>
      <c r="K204" s="28"/>
      <c r="L204" s="28"/>
      <c r="M204" s="1465"/>
      <c r="N204" s="1465"/>
    </row>
    <row r="205" ht="39.0" customHeight="1">
      <c r="A205" s="939"/>
      <c r="B205" s="833"/>
      <c r="C205" s="833"/>
      <c r="D205" s="833"/>
      <c r="E205" s="833"/>
      <c r="F205" s="463"/>
      <c r="G205" s="1465"/>
      <c r="H205" s="1465"/>
      <c r="I205" s="30"/>
      <c r="J205" s="30"/>
      <c r="K205" s="30"/>
      <c r="L205" s="30"/>
      <c r="M205" s="1465"/>
      <c r="N205" s="1465"/>
    </row>
    <row r="206" ht="39.0" customHeight="1">
      <c r="A206" s="940"/>
      <c r="B206" s="941"/>
      <c r="C206" s="941"/>
      <c r="D206" s="941"/>
      <c r="E206" s="941"/>
      <c r="F206" s="463"/>
      <c r="G206" s="1465"/>
      <c r="H206" s="1465"/>
      <c r="I206" s="28"/>
      <c r="J206" s="28"/>
      <c r="K206" s="28"/>
      <c r="L206" s="28"/>
      <c r="M206" s="1465"/>
      <c r="N206" s="1465"/>
    </row>
    <row r="207" ht="39.0" customHeight="1">
      <c r="A207" s="939"/>
      <c r="B207" s="833"/>
      <c r="C207" s="833"/>
      <c r="D207" s="833"/>
      <c r="E207" s="833"/>
      <c r="F207" s="463"/>
      <c r="G207" s="1465"/>
      <c r="H207" s="1465"/>
      <c r="I207" s="30"/>
      <c r="J207" s="30"/>
      <c r="K207" s="30"/>
      <c r="L207" s="30"/>
      <c r="M207" s="1465"/>
      <c r="N207" s="1465"/>
    </row>
    <row r="208" ht="39.0" customHeight="1">
      <c r="A208" s="940"/>
      <c r="B208" s="941"/>
      <c r="C208" s="941"/>
      <c r="D208" s="941"/>
      <c r="E208" s="941"/>
      <c r="F208" s="463"/>
      <c r="G208" s="1465"/>
      <c r="H208" s="1465"/>
      <c r="I208" s="28"/>
      <c r="J208" s="28"/>
      <c r="K208" s="28"/>
      <c r="L208" s="28"/>
      <c r="M208" s="1465"/>
      <c r="N208" s="1465"/>
    </row>
    <row r="209" ht="39.0" customHeight="1">
      <c r="A209" s="939"/>
      <c r="B209" s="833"/>
      <c r="C209" s="833"/>
      <c r="D209" s="833"/>
      <c r="E209" s="833"/>
      <c r="F209" s="463"/>
      <c r="G209" s="1465"/>
      <c r="H209" s="1465"/>
      <c r="I209" s="30"/>
      <c r="J209" s="30"/>
      <c r="K209" s="30"/>
      <c r="L209" s="30"/>
      <c r="M209" s="1465"/>
      <c r="N209" s="1465"/>
    </row>
    <row r="210" ht="39.0" customHeight="1">
      <c r="A210" s="940"/>
      <c r="B210" s="941"/>
      <c r="C210" s="941"/>
      <c r="D210" s="941"/>
      <c r="E210" s="941"/>
      <c r="F210" s="463"/>
      <c r="G210" s="1465"/>
      <c r="H210" s="1465"/>
      <c r="I210" s="28"/>
      <c r="J210" s="28"/>
      <c r="K210" s="28"/>
      <c r="L210" s="28"/>
      <c r="M210" s="1465"/>
      <c r="N210" s="1465"/>
    </row>
    <row r="211" ht="39.0" customHeight="1">
      <c r="A211" s="939"/>
      <c r="B211" s="833"/>
      <c r="C211" s="833"/>
      <c r="D211" s="833"/>
      <c r="E211" s="833"/>
      <c r="F211" s="463"/>
      <c r="G211" s="1465"/>
      <c r="H211" s="1465"/>
      <c r="I211" s="30"/>
      <c r="J211" s="30"/>
      <c r="K211" s="30"/>
      <c r="L211" s="30"/>
      <c r="M211" s="1465"/>
      <c r="N211" s="1465"/>
    </row>
    <row r="212" ht="39.0" customHeight="1">
      <c r="A212" s="940"/>
      <c r="B212" s="941"/>
      <c r="C212" s="941"/>
      <c r="D212" s="941"/>
      <c r="E212" s="941"/>
      <c r="F212" s="463"/>
      <c r="G212" s="1465"/>
      <c r="H212" s="1465"/>
      <c r="I212" s="28"/>
      <c r="J212" s="28"/>
      <c r="K212" s="28"/>
      <c r="L212" s="28"/>
      <c r="M212" s="1465"/>
      <c r="N212" s="1465"/>
    </row>
    <row r="213" ht="39.0" customHeight="1">
      <c r="A213" s="939"/>
      <c r="B213" s="833"/>
      <c r="C213" s="833"/>
      <c r="D213" s="833"/>
      <c r="E213" s="833"/>
      <c r="F213" s="463"/>
      <c r="G213" s="1465"/>
      <c r="H213" s="1465"/>
      <c r="I213" s="30"/>
      <c r="J213" s="30"/>
      <c r="K213" s="30"/>
      <c r="L213" s="30"/>
      <c r="M213" s="1465"/>
      <c r="N213" s="1465"/>
    </row>
    <row r="214" ht="39.0" customHeight="1">
      <c r="A214" s="940"/>
      <c r="B214" s="941"/>
      <c r="C214" s="941"/>
      <c r="D214" s="941"/>
      <c r="E214" s="941"/>
      <c r="F214" s="463"/>
      <c r="G214" s="1465"/>
      <c r="H214" s="1465"/>
      <c r="I214" s="28"/>
      <c r="J214" s="28"/>
      <c r="K214" s="28"/>
      <c r="L214" s="28"/>
      <c r="M214" s="1465"/>
      <c r="N214" s="1465"/>
    </row>
    <row r="215" ht="39.0" customHeight="1">
      <c r="A215" s="939"/>
      <c r="B215" s="833"/>
      <c r="C215" s="833"/>
      <c r="D215" s="833"/>
      <c r="E215" s="833"/>
      <c r="F215" s="463"/>
      <c r="G215" s="1465"/>
      <c r="H215" s="1465"/>
      <c r="I215" s="30"/>
      <c r="J215" s="30"/>
      <c r="K215" s="30"/>
      <c r="L215" s="30"/>
      <c r="M215" s="1465"/>
      <c r="N215" s="1465"/>
    </row>
    <row r="216" ht="39.0" customHeight="1">
      <c r="A216" s="940"/>
      <c r="B216" s="941"/>
      <c r="C216" s="941"/>
      <c r="D216" s="941"/>
      <c r="E216" s="941"/>
      <c r="F216" s="463"/>
      <c r="G216" s="1465"/>
      <c r="H216" s="1465"/>
      <c r="I216" s="28"/>
      <c r="J216" s="28"/>
      <c r="K216" s="28"/>
      <c r="L216" s="28"/>
      <c r="M216" s="1465"/>
      <c r="N216" s="1465"/>
    </row>
    <row r="217" ht="39.0" customHeight="1">
      <c r="A217" s="939"/>
      <c r="B217" s="833"/>
      <c r="C217" s="833"/>
      <c r="D217" s="833"/>
      <c r="E217" s="833"/>
      <c r="F217" s="463"/>
      <c r="G217" s="1465"/>
      <c r="H217" s="1465"/>
      <c r="I217" s="30"/>
      <c r="J217" s="30"/>
      <c r="K217" s="30"/>
      <c r="L217" s="30"/>
      <c r="M217" s="1465"/>
      <c r="N217" s="1465"/>
    </row>
    <row r="218" ht="39.0" customHeight="1">
      <c r="A218" s="940"/>
      <c r="B218" s="941"/>
      <c r="C218" s="941"/>
      <c r="D218" s="941"/>
      <c r="E218" s="941"/>
      <c r="F218" s="463"/>
      <c r="G218" s="1465"/>
      <c r="H218" s="1465"/>
      <c r="I218" s="28"/>
      <c r="J218" s="28"/>
      <c r="K218" s="28"/>
      <c r="L218" s="28"/>
      <c r="M218" s="1465"/>
      <c r="N218" s="1465"/>
    </row>
    <row r="219" ht="39.0" customHeight="1">
      <c r="A219" s="939"/>
      <c r="B219" s="833"/>
      <c r="C219" s="833"/>
      <c r="D219" s="833"/>
      <c r="E219" s="833"/>
      <c r="F219" s="463"/>
      <c r="G219" s="1465"/>
      <c r="H219" s="1465"/>
      <c r="I219" s="30"/>
      <c r="J219" s="30"/>
      <c r="K219" s="30"/>
      <c r="L219" s="30"/>
      <c r="M219" s="1465"/>
      <c r="N219" s="1465"/>
    </row>
    <row r="220" ht="39.0" customHeight="1">
      <c r="A220" s="940"/>
      <c r="B220" s="941"/>
      <c r="C220" s="941"/>
      <c r="D220" s="941"/>
      <c r="E220" s="941"/>
      <c r="F220" s="463"/>
      <c r="G220" s="1465"/>
      <c r="H220" s="1465"/>
      <c r="I220" s="28"/>
      <c r="J220" s="28"/>
      <c r="K220" s="28"/>
      <c r="L220" s="28"/>
      <c r="M220" s="1465"/>
      <c r="N220" s="1465"/>
    </row>
    <row r="221" ht="39.0" customHeight="1">
      <c r="A221" s="939"/>
      <c r="B221" s="833"/>
      <c r="C221" s="833"/>
      <c r="D221" s="833"/>
      <c r="E221" s="833"/>
      <c r="F221" s="463"/>
      <c r="G221" s="1465"/>
      <c r="H221" s="1465"/>
      <c r="I221" s="30"/>
      <c r="J221" s="30"/>
      <c r="K221" s="30"/>
      <c r="L221" s="30"/>
      <c r="M221" s="1465"/>
      <c r="N221" s="1465"/>
    </row>
    <row r="222" ht="39.0" customHeight="1">
      <c r="A222" s="940"/>
      <c r="B222" s="941"/>
      <c r="C222" s="941"/>
      <c r="D222" s="941"/>
      <c r="E222" s="941"/>
      <c r="F222" s="463"/>
      <c r="G222" s="1465"/>
      <c r="H222" s="1465"/>
      <c r="I222" s="28"/>
      <c r="J222" s="28"/>
      <c r="K222" s="28"/>
      <c r="L222" s="28"/>
      <c r="M222" s="1465"/>
      <c r="N222" s="1465"/>
    </row>
    <row r="223" ht="39.0" customHeight="1">
      <c r="A223" s="939"/>
      <c r="B223" s="833"/>
      <c r="C223" s="833"/>
      <c r="D223" s="833"/>
      <c r="E223" s="833"/>
      <c r="F223" s="463"/>
      <c r="G223" s="1465"/>
      <c r="H223" s="1465"/>
      <c r="I223" s="30"/>
      <c r="J223" s="30"/>
      <c r="K223" s="30"/>
      <c r="L223" s="30"/>
      <c r="M223" s="1465"/>
      <c r="N223" s="1465"/>
    </row>
    <row r="224" ht="39.0" customHeight="1">
      <c r="A224" s="940"/>
      <c r="B224" s="941"/>
      <c r="C224" s="941"/>
      <c r="D224" s="941"/>
      <c r="E224" s="941"/>
      <c r="F224" s="463"/>
      <c r="G224" s="1465"/>
      <c r="H224" s="1465"/>
      <c r="I224" s="28"/>
      <c r="J224" s="28"/>
      <c r="K224" s="28"/>
      <c r="L224" s="28"/>
      <c r="M224" s="1465"/>
      <c r="N224" s="1465"/>
    </row>
    <row r="225" ht="39.0" customHeight="1">
      <c r="A225" s="939"/>
      <c r="B225" s="833"/>
      <c r="C225" s="833"/>
      <c r="D225" s="833"/>
      <c r="E225" s="833"/>
      <c r="F225" s="463"/>
      <c r="G225" s="1465"/>
      <c r="H225" s="1465"/>
      <c r="I225" s="30"/>
      <c r="J225" s="30"/>
      <c r="K225" s="30"/>
      <c r="L225" s="30"/>
      <c r="M225" s="1465"/>
      <c r="N225" s="1465"/>
    </row>
    <row r="226" ht="39.0" customHeight="1">
      <c r="A226" s="940"/>
      <c r="B226" s="941"/>
      <c r="C226" s="941"/>
      <c r="D226" s="941"/>
      <c r="E226" s="941"/>
      <c r="F226" s="463"/>
      <c r="G226" s="1465"/>
      <c r="H226" s="1465"/>
      <c r="I226" s="28"/>
      <c r="J226" s="28"/>
      <c r="K226" s="28"/>
      <c r="L226" s="28"/>
      <c r="M226" s="1465"/>
      <c r="N226" s="1465"/>
    </row>
    <row r="227" ht="39.0" customHeight="1">
      <c r="A227" s="939"/>
      <c r="B227" s="833"/>
      <c r="C227" s="833"/>
      <c r="D227" s="833"/>
      <c r="E227" s="833"/>
      <c r="F227" s="463"/>
      <c r="G227" s="1465"/>
      <c r="H227" s="1465"/>
      <c r="I227" s="30"/>
      <c r="J227" s="30"/>
      <c r="K227" s="30"/>
      <c r="L227" s="30"/>
      <c r="M227" s="1465"/>
      <c r="N227" s="1465"/>
    </row>
    <row r="228" ht="39.0" customHeight="1">
      <c r="A228" s="940"/>
      <c r="B228" s="941"/>
      <c r="C228" s="941"/>
      <c r="D228" s="941"/>
      <c r="E228" s="941"/>
      <c r="F228" s="463"/>
      <c r="G228" s="1465"/>
      <c r="H228" s="1465"/>
      <c r="I228" s="28"/>
      <c r="J228" s="28"/>
      <c r="K228" s="28"/>
      <c r="L228" s="28"/>
      <c r="M228" s="1465"/>
      <c r="N228" s="1465"/>
    </row>
    <row r="229" ht="39.0" customHeight="1">
      <c r="A229" s="939"/>
      <c r="B229" s="833"/>
      <c r="C229" s="833"/>
      <c r="D229" s="833"/>
      <c r="E229" s="833"/>
      <c r="F229" s="463"/>
      <c r="G229" s="1465"/>
      <c r="H229" s="1465"/>
      <c r="I229" s="30"/>
      <c r="J229" s="30"/>
      <c r="K229" s="30"/>
      <c r="L229" s="30"/>
      <c r="M229" s="1465"/>
      <c r="N229" s="1465"/>
    </row>
    <row r="230" ht="39.0" customHeight="1">
      <c r="A230" s="940"/>
      <c r="B230" s="941"/>
      <c r="C230" s="941"/>
      <c r="D230" s="941"/>
      <c r="E230" s="941"/>
      <c r="F230" s="463"/>
      <c r="G230" s="1465"/>
      <c r="H230" s="1465"/>
      <c r="I230" s="28"/>
      <c r="J230" s="28"/>
      <c r="K230" s="28"/>
      <c r="L230" s="28"/>
      <c r="M230" s="1465"/>
      <c r="N230" s="1465"/>
    </row>
    <row r="231" ht="39.0" customHeight="1">
      <c r="A231" s="939"/>
      <c r="B231" s="833"/>
      <c r="C231" s="833"/>
      <c r="D231" s="833"/>
      <c r="E231" s="833"/>
      <c r="F231" s="463"/>
      <c r="G231" s="1465"/>
      <c r="H231" s="1465"/>
      <c r="I231" s="30"/>
      <c r="J231" s="30"/>
      <c r="K231" s="30"/>
      <c r="L231" s="30"/>
      <c r="M231" s="1465"/>
      <c r="N231" s="1465"/>
    </row>
    <row r="232" ht="39.0" customHeight="1">
      <c r="A232" s="940"/>
      <c r="B232" s="941"/>
      <c r="C232" s="941"/>
      <c r="D232" s="941"/>
      <c r="E232" s="941"/>
      <c r="F232" s="463"/>
      <c r="G232" s="1465"/>
      <c r="H232" s="1465"/>
      <c r="I232" s="28"/>
      <c r="J232" s="28"/>
      <c r="K232" s="28"/>
      <c r="L232" s="28"/>
      <c r="M232" s="1465"/>
      <c r="N232" s="1465"/>
    </row>
    <row r="233" ht="39.0" customHeight="1">
      <c r="A233" s="939"/>
      <c r="B233" s="833"/>
      <c r="C233" s="833"/>
      <c r="D233" s="833"/>
      <c r="E233" s="833"/>
      <c r="F233" s="463"/>
      <c r="G233" s="1465"/>
      <c r="H233" s="1465"/>
      <c r="I233" s="30"/>
      <c r="J233" s="30"/>
      <c r="K233" s="30"/>
      <c r="L233" s="30"/>
      <c r="M233" s="1465"/>
      <c r="N233" s="1465"/>
    </row>
    <row r="234" ht="39.0" customHeight="1">
      <c r="A234" s="940"/>
      <c r="B234" s="941"/>
      <c r="C234" s="941"/>
      <c r="D234" s="941"/>
      <c r="E234" s="941"/>
      <c r="F234" s="463"/>
      <c r="G234" s="1465"/>
      <c r="H234" s="1465"/>
      <c r="I234" s="28"/>
      <c r="J234" s="28"/>
      <c r="K234" s="28"/>
      <c r="L234" s="28"/>
      <c r="M234" s="1465"/>
      <c r="N234" s="1465"/>
    </row>
    <row r="235" ht="39.0" customHeight="1">
      <c r="A235" s="939"/>
      <c r="B235" s="833"/>
      <c r="C235" s="833"/>
      <c r="D235" s="833"/>
      <c r="E235" s="833"/>
      <c r="F235" s="463"/>
      <c r="G235" s="1465"/>
      <c r="H235" s="1465"/>
      <c r="I235" s="30"/>
      <c r="J235" s="30"/>
      <c r="K235" s="30"/>
      <c r="L235" s="30"/>
      <c r="M235" s="1465"/>
      <c r="N235" s="1465"/>
    </row>
    <row r="236" ht="39.0" customHeight="1">
      <c r="A236" s="940"/>
      <c r="B236" s="941"/>
      <c r="C236" s="941"/>
      <c r="D236" s="941"/>
      <c r="E236" s="941"/>
      <c r="F236" s="463"/>
      <c r="G236" s="1465"/>
      <c r="H236" s="1465"/>
      <c r="I236" s="28"/>
      <c r="J236" s="28"/>
      <c r="K236" s="28"/>
      <c r="L236" s="28"/>
      <c r="M236" s="1465"/>
      <c r="N236" s="1465"/>
    </row>
    <row r="237" ht="39.0" customHeight="1">
      <c r="A237" s="939"/>
      <c r="B237" s="833"/>
      <c r="C237" s="833"/>
      <c r="D237" s="833"/>
      <c r="E237" s="833"/>
      <c r="F237" s="463"/>
      <c r="G237" s="1465"/>
      <c r="H237" s="1465"/>
      <c r="I237" s="30"/>
      <c r="J237" s="30"/>
      <c r="K237" s="30"/>
      <c r="L237" s="30"/>
      <c r="M237" s="1465"/>
      <c r="N237" s="1465"/>
    </row>
    <row r="238" ht="39.0" customHeight="1">
      <c r="A238" s="940"/>
      <c r="B238" s="941"/>
      <c r="C238" s="941"/>
      <c r="D238" s="941"/>
      <c r="E238" s="941"/>
      <c r="F238" s="463"/>
      <c r="G238" s="1465"/>
      <c r="H238" s="1465"/>
      <c r="I238" s="28"/>
      <c r="J238" s="28"/>
      <c r="K238" s="28"/>
      <c r="L238" s="28"/>
      <c r="M238" s="1465"/>
      <c r="N238" s="1465"/>
    </row>
    <row r="239" ht="39.0" customHeight="1">
      <c r="A239" s="939"/>
      <c r="B239" s="833"/>
      <c r="C239" s="833"/>
      <c r="D239" s="833"/>
      <c r="E239" s="833"/>
      <c r="F239" s="463"/>
      <c r="G239" s="1465"/>
      <c r="H239" s="1465"/>
      <c r="I239" s="30"/>
      <c r="J239" s="30"/>
      <c r="K239" s="30"/>
      <c r="L239" s="30"/>
      <c r="M239" s="1465"/>
      <c r="N239" s="1465"/>
    </row>
    <row r="240" ht="39.0" customHeight="1">
      <c r="A240" s="940"/>
      <c r="B240" s="941"/>
      <c r="C240" s="941"/>
      <c r="D240" s="941"/>
      <c r="E240" s="941"/>
      <c r="F240" s="463"/>
      <c r="G240" s="1465"/>
      <c r="H240" s="1465"/>
      <c r="I240" s="28"/>
      <c r="J240" s="28"/>
      <c r="K240" s="28"/>
      <c r="L240" s="28"/>
      <c r="M240" s="1465"/>
      <c r="N240" s="1465"/>
    </row>
    <row r="241" ht="39.0" customHeight="1">
      <c r="A241" s="939"/>
      <c r="B241" s="833"/>
      <c r="C241" s="833"/>
      <c r="D241" s="833"/>
      <c r="E241" s="833"/>
      <c r="F241" s="463"/>
      <c r="G241" s="1465"/>
      <c r="H241" s="1465"/>
      <c r="I241" s="30"/>
      <c r="J241" s="30"/>
      <c r="K241" s="30"/>
      <c r="L241" s="30"/>
      <c r="M241" s="1465"/>
      <c r="N241" s="1465"/>
    </row>
    <row r="242" ht="39.0" customHeight="1">
      <c r="A242" s="940"/>
      <c r="B242" s="941"/>
      <c r="C242" s="941"/>
      <c r="D242" s="941"/>
      <c r="E242" s="941"/>
      <c r="F242" s="463"/>
      <c r="G242" s="1465"/>
      <c r="H242" s="1465"/>
      <c r="I242" s="28"/>
      <c r="J242" s="28"/>
      <c r="K242" s="28"/>
      <c r="L242" s="28"/>
      <c r="M242" s="1465"/>
      <c r="N242" s="1465"/>
    </row>
    <row r="243" ht="39.0" customHeight="1">
      <c r="A243" s="939"/>
      <c r="B243" s="833"/>
      <c r="C243" s="833"/>
      <c r="D243" s="833"/>
      <c r="E243" s="833"/>
      <c r="F243" s="463"/>
      <c r="G243" s="1465"/>
      <c r="H243" s="1465"/>
      <c r="I243" s="30"/>
      <c r="J243" s="30"/>
      <c r="K243" s="30"/>
      <c r="L243" s="30"/>
      <c r="M243" s="1465"/>
      <c r="N243" s="1465"/>
    </row>
    <row r="244" ht="39.0" customHeight="1">
      <c r="A244" s="940"/>
      <c r="B244" s="941"/>
      <c r="C244" s="941"/>
      <c r="D244" s="941"/>
      <c r="E244" s="941"/>
      <c r="F244" s="463"/>
      <c r="G244" s="1465"/>
      <c r="H244" s="1465"/>
      <c r="I244" s="28"/>
      <c r="J244" s="28"/>
      <c r="K244" s="28"/>
      <c r="L244" s="28"/>
      <c r="M244" s="1465"/>
      <c r="N244" s="1465"/>
    </row>
    <row r="245" ht="39.0" customHeight="1">
      <c r="A245" s="939"/>
      <c r="B245" s="833"/>
      <c r="C245" s="833"/>
      <c r="D245" s="833"/>
      <c r="E245" s="833"/>
      <c r="F245" s="463"/>
      <c r="G245" s="1465"/>
      <c r="H245" s="1465"/>
      <c r="I245" s="30"/>
      <c r="J245" s="30"/>
      <c r="K245" s="30"/>
      <c r="L245" s="30"/>
      <c r="M245" s="1465"/>
      <c r="N245" s="1465"/>
    </row>
    <row r="246" ht="39.0" customHeight="1">
      <c r="A246" s="940"/>
      <c r="B246" s="941"/>
      <c r="C246" s="941"/>
      <c r="D246" s="941"/>
      <c r="E246" s="941"/>
      <c r="F246" s="463"/>
      <c r="G246" s="1465"/>
      <c r="H246" s="1465"/>
      <c r="I246" s="28"/>
      <c r="J246" s="28"/>
      <c r="K246" s="28"/>
      <c r="L246" s="28"/>
      <c r="M246" s="1465"/>
      <c r="N246" s="1465"/>
    </row>
    <row r="247" ht="39.0" customHeight="1">
      <c r="A247" s="939"/>
      <c r="B247" s="833"/>
      <c r="C247" s="833"/>
      <c r="D247" s="833"/>
      <c r="E247" s="833"/>
      <c r="F247" s="463"/>
      <c r="G247" s="1465"/>
      <c r="H247" s="1465"/>
      <c r="I247" s="30"/>
      <c r="J247" s="30"/>
      <c r="K247" s="30"/>
      <c r="L247" s="30"/>
      <c r="M247" s="1465"/>
      <c r="N247" s="1465"/>
    </row>
    <row r="248" ht="39.0" customHeight="1">
      <c r="A248" s="940"/>
      <c r="B248" s="941"/>
      <c r="C248" s="941"/>
      <c r="D248" s="941"/>
      <c r="E248" s="941"/>
      <c r="F248" s="463"/>
      <c r="G248" s="1465"/>
      <c r="H248" s="1465"/>
      <c r="I248" s="28"/>
      <c r="J248" s="28"/>
      <c r="K248" s="28"/>
      <c r="L248" s="28"/>
      <c r="M248" s="1465"/>
      <c r="N248" s="1465"/>
    </row>
    <row r="249" ht="39.0" customHeight="1">
      <c r="A249" s="939"/>
      <c r="B249" s="833"/>
      <c r="C249" s="833"/>
      <c r="D249" s="833"/>
      <c r="E249" s="833"/>
      <c r="F249" s="463"/>
      <c r="G249" s="1465"/>
      <c r="H249" s="1465"/>
      <c r="I249" s="30"/>
      <c r="J249" s="30"/>
      <c r="K249" s="30"/>
      <c r="L249" s="30"/>
      <c r="M249" s="1465"/>
      <c r="N249" s="1465"/>
    </row>
    <row r="250" ht="39.0" customHeight="1">
      <c r="A250" s="940"/>
      <c r="B250" s="941"/>
      <c r="C250" s="941"/>
      <c r="D250" s="941"/>
      <c r="E250" s="941"/>
      <c r="F250" s="463"/>
      <c r="G250" s="1465"/>
      <c r="H250" s="1465"/>
      <c r="I250" s="28"/>
      <c r="J250" s="28"/>
      <c r="K250" s="28"/>
      <c r="L250" s="28"/>
      <c r="M250" s="1465"/>
      <c r="N250" s="1465"/>
    </row>
    <row r="251" ht="39.0" customHeight="1">
      <c r="A251" s="939"/>
      <c r="B251" s="833"/>
      <c r="C251" s="833"/>
      <c r="D251" s="833"/>
      <c r="E251" s="833"/>
      <c r="F251" s="463"/>
      <c r="G251" s="1465"/>
      <c r="H251" s="1465"/>
      <c r="I251" s="30"/>
      <c r="J251" s="30"/>
      <c r="K251" s="30"/>
      <c r="L251" s="30"/>
      <c r="M251" s="1465"/>
      <c r="N251" s="1465"/>
    </row>
    <row r="252" ht="39.0" customHeight="1">
      <c r="A252" s="940"/>
      <c r="B252" s="941"/>
      <c r="C252" s="941"/>
      <c r="D252" s="941"/>
      <c r="E252" s="941"/>
      <c r="F252" s="463"/>
      <c r="G252" s="1465"/>
      <c r="H252" s="1465"/>
      <c r="I252" s="28"/>
      <c r="J252" s="28"/>
      <c r="K252" s="28"/>
      <c r="L252" s="28"/>
      <c r="M252" s="1465"/>
      <c r="N252" s="1465"/>
    </row>
    <row r="253" ht="39.0" customHeight="1">
      <c r="A253" s="939"/>
      <c r="B253" s="833"/>
      <c r="C253" s="833"/>
      <c r="D253" s="833"/>
      <c r="E253" s="833"/>
      <c r="F253" s="463"/>
      <c r="G253" s="1465"/>
      <c r="H253" s="1465"/>
      <c r="I253" s="30"/>
      <c r="J253" s="30"/>
      <c r="K253" s="30"/>
      <c r="L253" s="30"/>
      <c r="M253" s="1465"/>
      <c r="N253" s="1465"/>
    </row>
    <row r="254" ht="39.0" customHeight="1">
      <c r="A254" s="940"/>
      <c r="B254" s="941"/>
      <c r="C254" s="941"/>
      <c r="D254" s="941"/>
      <c r="E254" s="941"/>
      <c r="F254" s="463"/>
      <c r="G254" s="1465"/>
      <c r="H254" s="1465"/>
      <c r="I254" s="28"/>
      <c r="J254" s="28"/>
      <c r="K254" s="28"/>
      <c r="L254" s="28"/>
      <c r="M254" s="1465"/>
      <c r="N254" s="1465"/>
    </row>
    <row r="255" ht="39.0" customHeight="1">
      <c r="A255" s="939"/>
      <c r="B255" s="833"/>
      <c r="C255" s="833"/>
      <c r="D255" s="833"/>
      <c r="E255" s="833"/>
      <c r="F255" s="463"/>
      <c r="G255" s="1465"/>
      <c r="H255" s="1465"/>
      <c r="I255" s="30"/>
      <c r="J255" s="30"/>
      <c r="K255" s="30"/>
      <c r="L255" s="30"/>
      <c r="M255" s="1465"/>
      <c r="N255" s="1465"/>
    </row>
    <row r="256" ht="39.0" customHeight="1">
      <c r="A256" s="940"/>
      <c r="B256" s="941"/>
      <c r="C256" s="941"/>
      <c r="D256" s="941"/>
      <c r="E256" s="941"/>
      <c r="F256" s="463"/>
      <c r="G256" s="1465"/>
      <c r="H256" s="1465"/>
      <c r="I256" s="28"/>
      <c r="J256" s="28"/>
      <c r="K256" s="28"/>
      <c r="L256" s="28"/>
      <c r="M256" s="1465"/>
      <c r="N256" s="1465"/>
    </row>
    <row r="257" ht="39.0" customHeight="1">
      <c r="A257" s="939"/>
      <c r="B257" s="833"/>
      <c r="C257" s="833"/>
      <c r="D257" s="833"/>
      <c r="E257" s="833"/>
      <c r="F257" s="463"/>
      <c r="G257" s="1465"/>
      <c r="H257" s="1465"/>
      <c r="I257" s="30"/>
      <c r="J257" s="30"/>
      <c r="K257" s="30"/>
      <c r="L257" s="30"/>
      <c r="M257" s="1465"/>
      <c r="N257" s="1465"/>
    </row>
    <row r="258" ht="39.0" customHeight="1">
      <c r="A258" s="940"/>
      <c r="B258" s="941"/>
      <c r="C258" s="941"/>
      <c r="D258" s="941"/>
      <c r="E258" s="941"/>
      <c r="F258" s="463"/>
      <c r="G258" s="1465"/>
      <c r="H258" s="1465"/>
      <c r="I258" s="28"/>
      <c r="J258" s="28"/>
      <c r="K258" s="28"/>
      <c r="L258" s="28"/>
      <c r="M258" s="1465"/>
      <c r="N258" s="1465"/>
    </row>
    <row r="259" ht="39.0" customHeight="1">
      <c r="A259" s="939"/>
      <c r="B259" s="833"/>
      <c r="C259" s="833"/>
      <c r="D259" s="833"/>
      <c r="E259" s="833"/>
      <c r="F259" s="463"/>
      <c r="G259" s="1465"/>
      <c r="H259" s="1465"/>
      <c r="I259" s="30"/>
      <c r="J259" s="30"/>
      <c r="K259" s="30"/>
      <c r="L259" s="30"/>
      <c r="M259" s="1465"/>
      <c r="N259" s="1465"/>
    </row>
    <row r="260" ht="39.0" customHeight="1">
      <c r="A260" s="940"/>
      <c r="B260" s="941"/>
      <c r="C260" s="941"/>
      <c r="D260" s="941"/>
      <c r="E260" s="941"/>
      <c r="F260" s="463"/>
      <c r="G260" s="1465"/>
      <c r="H260" s="1465"/>
      <c r="I260" s="28"/>
      <c r="J260" s="28"/>
      <c r="K260" s="28"/>
      <c r="L260" s="28"/>
      <c r="M260" s="1465"/>
      <c r="N260" s="1465"/>
    </row>
    <row r="261" ht="39.0" customHeight="1">
      <c r="A261" s="939"/>
      <c r="B261" s="833"/>
      <c r="C261" s="833"/>
      <c r="D261" s="833"/>
      <c r="E261" s="833"/>
      <c r="F261" s="463"/>
      <c r="G261" s="1465"/>
      <c r="H261" s="1465"/>
      <c r="I261" s="30"/>
      <c r="J261" s="30"/>
      <c r="K261" s="30"/>
      <c r="L261" s="30"/>
      <c r="M261" s="1465"/>
      <c r="N261" s="1465"/>
    </row>
    <row r="262" ht="39.0" customHeight="1">
      <c r="A262" s="940"/>
      <c r="B262" s="941"/>
      <c r="C262" s="941"/>
      <c r="D262" s="941"/>
      <c r="E262" s="941"/>
      <c r="F262" s="463"/>
      <c r="G262" s="1465"/>
      <c r="H262" s="1465"/>
      <c r="I262" s="28"/>
      <c r="J262" s="28"/>
      <c r="K262" s="28"/>
      <c r="L262" s="28"/>
      <c r="M262" s="1465"/>
      <c r="N262" s="1465"/>
    </row>
    <row r="263" ht="39.0" customHeight="1">
      <c r="A263" s="939"/>
      <c r="B263" s="833"/>
      <c r="C263" s="833"/>
      <c r="D263" s="833"/>
      <c r="E263" s="833"/>
      <c r="F263" s="463"/>
      <c r="G263" s="1465"/>
      <c r="H263" s="1465"/>
      <c r="I263" s="30"/>
      <c r="J263" s="30"/>
      <c r="K263" s="30"/>
      <c r="L263" s="30"/>
      <c r="M263" s="1465"/>
      <c r="N263" s="1465"/>
    </row>
    <row r="264" ht="39.0" customHeight="1">
      <c r="A264" s="940"/>
      <c r="B264" s="941"/>
      <c r="C264" s="941"/>
      <c r="D264" s="941"/>
      <c r="E264" s="941"/>
      <c r="F264" s="463"/>
      <c r="G264" s="1465"/>
      <c r="H264" s="1465"/>
      <c r="I264" s="28"/>
      <c r="J264" s="28"/>
      <c r="K264" s="28"/>
      <c r="L264" s="28"/>
      <c r="M264" s="1465"/>
      <c r="N264" s="1465"/>
    </row>
    <row r="265" ht="39.0" customHeight="1">
      <c r="A265" s="939"/>
      <c r="B265" s="833"/>
      <c r="C265" s="833"/>
      <c r="D265" s="833"/>
      <c r="E265" s="833"/>
      <c r="F265" s="463"/>
      <c r="G265" s="1465"/>
      <c r="H265" s="1465"/>
      <c r="I265" s="30"/>
      <c r="J265" s="30"/>
      <c r="K265" s="30"/>
      <c r="L265" s="30"/>
      <c r="M265" s="1465"/>
      <c r="N265" s="1465"/>
    </row>
    <row r="266" ht="39.0" customHeight="1">
      <c r="A266" s="940"/>
      <c r="B266" s="941"/>
      <c r="C266" s="941"/>
      <c r="D266" s="941"/>
      <c r="E266" s="941"/>
      <c r="F266" s="463"/>
      <c r="G266" s="1465"/>
      <c r="H266" s="1465"/>
      <c r="I266" s="28"/>
      <c r="J266" s="28"/>
      <c r="K266" s="28"/>
      <c r="L266" s="28"/>
      <c r="M266" s="1465"/>
      <c r="N266" s="1465"/>
    </row>
    <row r="267" ht="39.0" customHeight="1">
      <c r="A267" s="939"/>
      <c r="B267" s="833"/>
      <c r="C267" s="833"/>
      <c r="D267" s="833"/>
      <c r="E267" s="833"/>
      <c r="F267" s="463"/>
      <c r="G267" s="1465"/>
      <c r="H267" s="1465"/>
      <c r="I267" s="30"/>
      <c r="J267" s="30"/>
      <c r="K267" s="30"/>
      <c r="L267" s="30"/>
      <c r="M267" s="1465"/>
      <c r="N267" s="1465"/>
    </row>
    <row r="268" ht="39.0" customHeight="1">
      <c r="A268" s="940"/>
      <c r="B268" s="941"/>
      <c r="C268" s="941"/>
      <c r="D268" s="941"/>
      <c r="E268" s="941"/>
      <c r="F268" s="463"/>
      <c r="G268" s="1465"/>
      <c r="H268" s="1465"/>
      <c r="I268" s="28"/>
      <c r="J268" s="28"/>
      <c r="K268" s="28"/>
      <c r="L268" s="28"/>
      <c r="M268" s="1465"/>
      <c r="N268" s="1465"/>
    </row>
    <row r="269" ht="39.0" customHeight="1">
      <c r="A269" s="939"/>
      <c r="B269" s="833"/>
      <c r="C269" s="833"/>
      <c r="D269" s="833"/>
      <c r="E269" s="833"/>
      <c r="F269" s="463"/>
      <c r="G269" s="1465"/>
      <c r="H269" s="1465"/>
      <c r="I269" s="30"/>
      <c r="J269" s="30"/>
      <c r="K269" s="30"/>
      <c r="L269" s="30"/>
      <c r="M269" s="1465"/>
      <c r="N269" s="1465"/>
    </row>
    <row r="270" ht="39.0" customHeight="1">
      <c r="A270" s="940"/>
      <c r="B270" s="941"/>
      <c r="C270" s="941"/>
      <c r="D270" s="941"/>
      <c r="E270" s="941"/>
      <c r="F270" s="463"/>
      <c r="G270" s="1465"/>
      <c r="H270" s="1465"/>
      <c r="I270" s="28"/>
      <c r="J270" s="28"/>
      <c r="K270" s="28"/>
      <c r="L270" s="28"/>
      <c r="M270" s="1465"/>
      <c r="N270" s="1465"/>
    </row>
    <row r="271" ht="39.0" customHeight="1">
      <c r="A271" s="939"/>
      <c r="B271" s="833"/>
      <c r="C271" s="833"/>
      <c r="D271" s="833"/>
      <c r="E271" s="833"/>
      <c r="F271" s="463"/>
      <c r="G271" s="1465"/>
      <c r="H271" s="1465"/>
      <c r="I271" s="30"/>
      <c r="J271" s="30"/>
      <c r="K271" s="30"/>
      <c r="L271" s="30"/>
      <c r="M271" s="1465"/>
      <c r="N271" s="1465"/>
    </row>
    <row r="272" ht="39.0" customHeight="1">
      <c r="A272" s="940"/>
      <c r="B272" s="941"/>
      <c r="C272" s="941"/>
      <c r="D272" s="941"/>
      <c r="E272" s="941"/>
      <c r="F272" s="463"/>
      <c r="G272" s="1465"/>
      <c r="H272" s="1465"/>
      <c r="I272" s="28"/>
      <c r="J272" s="28"/>
      <c r="K272" s="28"/>
      <c r="L272" s="28"/>
      <c r="M272" s="1465"/>
      <c r="N272" s="1465"/>
    </row>
    <row r="273" ht="39.0" customHeight="1">
      <c r="A273" s="939"/>
      <c r="B273" s="833"/>
      <c r="C273" s="833"/>
      <c r="D273" s="833"/>
      <c r="E273" s="833"/>
      <c r="F273" s="463"/>
      <c r="G273" s="1465"/>
      <c r="H273" s="1465"/>
      <c r="I273" s="30"/>
      <c r="J273" s="30"/>
      <c r="K273" s="30"/>
      <c r="L273" s="30"/>
      <c r="M273" s="1465"/>
      <c r="N273" s="1465"/>
    </row>
    <row r="274" ht="39.0" customHeight="1">
      <c r="A274" s="940"/>
      <c r="B274" s="941"/>
      <c r="C274" s="941"/>
      <c r="D274" s="941"/>
      <c r="E274" s="941"/>
      <c r="F274" s="463"/>
      <c r="G274" s="1465"/>
      <c r="H274" s="1465"/>
      <c r="I274" s="28"/>
      <c r="J274" s="28"/>
      <c r="K274" s="28"/>
      <c r="L274" s="28"/>
      <c r="M274" s="1465"/>
      <c r="N274" s="1465"/>
    </row>
    <row r="275" ht="39.0" customHeight="1">
      <c r="A275" s="939"/>
      <c r="B275" s="833"/>
      <c r="C275" s="833"/>
      <c r="D275" s="833"/>
      <c r="E275" s="833"/>
      <c r="F275" s="463"/>
      <c r="G275" s="1465"/>
      <c r="H275" s="1465"/>
      <c r="I275" s="30"/>
      <c r="J275" s="30"/>
      <c r="K275" s="30"/>
      <c r="L275" s="30"/>
      <c r="M275" s="1465"/>
      <c r="N275" s="1465"/>
    </row>
    <row r="276" ht="39.0" customHeight="1">
      <c r="A276" s="940"/>
      <c r="B276" s="941"/>
      <c r="C276" s="941"/>
      <c r="D276" s="941"/>
      <c r="E276" s="941"/>
      <c r="F276" s="463"/>
      <c r="G276" s="1465"/>
      <c r="H276" s="1465"/>
      <c r="I276" s="28"/>
      <c r="J276" s="28"/>
      <c r="K276" s="28"/>
      <c r="L276" s="28"/>
      <c r="M276" s="1465"/>
      <c r="N276" s="1465"/>
    </row>
    <row r="277" ht="39.0" customHeight="1">
      <c r="A277" s="939"/>
      <c r="B277" s="833"/>
      <c r="C277" s="833"/>
      <c r="D277" s="833"/>
      <c r="E277" s="833"/>
      <c r="F277" s="463"/>
      <c r="G277" s="1465"/>
      <c r="H277" s="1465"/>
      <c r="I277" s="30"/>
      <c r="J277" s="30"/>
      <c r="K277" s="30"/>
      <c r="L277" s="30"/>
      <c r="M277" s="1465"/>
      <c r="N277" s="1465"/>
    </row>
    <row r="278" ht="39.0" customHeight="1">
      <c r="A278" s="940"/>
      <c r="B278" s="941"/>
      <c r="C278" s="941"/>
      <c r="D278" s="941"/>
      <c r="E278" s="941"/>
      <c r="F278" s="463"/>
      <c r="G278" s="1465"/>
      <c r="H278" s="1465"/>
      <c r="I278" s="28"/>
      <c r="J278" s="28"/>
      <c r="K278" s="28"/>
      <c r="L278" s="28"/>
      <c r="M278" s="1465"/>
      <c r="N278" s="1465"/>
    </row>
    <row r="279" ht="39.0" customHeight="1">
      <c r="A279" s="939"/>
      <c r="B279" s="833"/>
      <c r="C279" s="833"/>
      <c r="D279" s="833"/>
      <c r="E279" s="833"/>
      <c r="F279" s="463"/>
      <c r="G279" s="1465"/>
      <c r="H279" s="1465"/>
      <c r="I279" s="30"/>
      <c r="J279" s="30"/>
      <c r="K279" s="30"/>
      <c r="L279" s="30"/>
      <c r="M279" s="1465"/>
      <c r="N279" s="1465"/>
    </row>
    <row r="280" ht="39.0" customHeight="1">
      <c r="A280" s="940"/>
      <c r="B280" s="941"/>
      <c r="C280" s="941"/>
      <c r="D280" s="941"/>
      <c r="E280" s="941"/>
      <c r="F280" s="463"/>
      <c r="G280" s="1465"/>
      <c r="H280" s="1465"/>
      <c r="I280" s="28"/>
      <c r="J280" s="28"/>
      <c r="K280" s="28"/>
      <c r="L280" s="28"/>
      <c r="M280" s="1465"/>
      <c r="N280" s="1465"/>
    </row>
    <row r="281" ht="39.0" customHeight="1">
      <c r="A281" s="939"/>
      <c r="B281" s="833"/>
      <c r="C281" s="833"/>
      <c r="D281" s="833"/>
      <c r="E281" s="833"/>
      <c r="F281" s="463"/>
      <c r="G281" s="1465"/>
      <c r="H281" s="1465"/>
      <c r="I281" s="30"/>
      <c r="J281" s="30"/>
      <c r="K281" s="30"/>
      <c r="L281" s="30"/>
      <c r="M281" s="1465"/>
      <c r="N281" s="1465"/>
    </row>
    <row r="282" ht="39.0" customHeight="1">
      <c r="A282" s="940"/>
      <c r="B282" s="941"/>
      <c r="C282" s="941"/>
      <c r="D282" s="941"/>
      <c r="E282" s="941"/>
      <c r="F282" s="463"/>
      <c r="G282" s="1465"/>
      <c r="H282" s="1465"/>
      <c r="I282" s="28"/>
      <c r="J282" s="28"/>
      <c r="K282" s="28"/>
      <c r="L282" s="28"/>
      <c r="M282" s="1465"/>
      <c r="N282" s="1465"/>
    </row>
    <row r="283" ht="39.0" customHeight="1">
      <c r="A283" s="939"/>
      <c r="B283" s="833"/>
      <c r="C283" s="833"/>
      <c r="D283" s="833"/>
      <c r="E283" s="833"/>
      <c r="F283" s="463"/>
      <c r="G283" s="1465"/>
      <c r="H283" s="1465"/>
      <c r="I283" s="30"/>
      <c r="J283" s="30"/>
      <c r="K283" s="30"/>
      <c r="L283" s="30"/>
      <c r="M283" s="1465"/>
      <c r="N283" s="1465"/>
    </row>
    <row r="284" ht="39.0" customHeight="1">
      <c r="A284" s="940"/>
      <c r="B284" s="941"/>
      <c r="C284" s="941"/>
      <c r="D284" s="941"/>
      <c r="E284" s="941"/>
      <c r="F284" s="463"/>
      <c r="G284" s="1465"/>
      <c r="H284" s="1465"/>
      <c r="I284" s="28"/>
      <c r="J284" s="28"/>
      <c r="K284" s="28"/>
      <c r="L284" s="28"/>
      <c r="M284" s="1465"/>
      <c r="N284" s="1465"/>
    </row>
    <row r="285" ht="39.0" customHeight="1">
      <c r="A285" s="939"/>
      <c r="B285" s="833"/>
      <c r="C285" s="833"/>
      <c r="D285" s="833"/>
      <c r="E285" s="833"/>
      <c r="F285" s="463"/>
      <c r="G285" s="1465"/>
      <c r="H285" s="1465"/>
      <c r="I285" s="30"/>
      <c r="J285" s="30"/>
      <c r="K285" s="30"/>
      <c r="L285" s="30"/>
      <c r="M285" s="1465"/>
      <c r="N285" s="1465"/>
    </row>
    <row r="286" ht="39.0" customHeight="1">
      <c r="A286" s="940"/>
      <c r="B286" s="941"/>
      <c r="C286" s="941"/>
      <c r="D286" s="941"/>
      <c r="E286" s="941"/>
      <c r="F286" s="463"/>
      <c r="G286" s="1465"/>
      <c r="H286" s="1465"/>
      <c r="I286" s="28"/>
      <c r="J286" s="28"/>
      <c r="K286" s="28"/>
      <c r="L286" s="28"/>
      <c r="M286" s="1465"/>
      <c r="N286" s="1465"/>
    </row>
    <row r="287" ht="39.0" customHeight="1">
      <c r="A287" s="939"/>
      <c r="B287" s="833"/>
      <c r="C287" s="833"/>
      <c r="D287" s="833"/>
      <c r="E287" s="833"/>
      <c r="F287" s="463"/>
      <c r="G287" s="1465"/>
      <c r="H287" s="1465"/>
      <c r="I287" s="30"/>
      <c r="J287" s="30"/>
      <c r="K287" s="30"/>
      <c r="L287" s="30"/>
      <c r="M287" s="1465"/>
      <c r="N287" s="1465"/>
    </row>
    <row r="288" ht="39.0" customHeight="1">
      <c r="A288" s="940"/>
      <c r="B288" s="941"/>
      <c r="C288" s="941"/>
      <c r="D288" s="941"/>
      <c r="E288" s="941"/>
      <c r="F288" s="463"/>
      <c r="G288" s="1465"/>
      <c r="H288" s="1465"/>
      <c r="I288" s="28"/>
      <c r="J288" s="28"/>
      <c r="K288" s="28"/>
      <c r="L288" s="28"/>
      <c r="M288" s="1465"/>
      <c r="N288" s="1465"/>
    </row>
    <row r="289" ht="39.0" customHeight="1">
      <c r="A289" s="939"/>
      <c r="B289" s="833"/>
      <c r="C289" s="833"/>
      <c r="D289" s="833"/>
      <c r="E289" s="833"/>
      <c r="F289" s="463"/>
      <c r="G289" s="1465"/>
      <c r="H289" s="1465"/>
      <c r="I289" s="30"/>
      <c r="J289" s="30"/>
      <c r="K289" s="30"/>
      <c r="L289" s="30"/>
      <c r="M289" s="1465"/>
      <c r="N289" s="1465"/>
    </row>
    <row r="290" ht="39.0" customHeight="1">
      <c r="A290" s="940"/>
      <c r="B290" s="941"/>
      <c r="C290" s="941"/>
      <c r="D290" s="941"/>
      <c r="E290" s="941"/>
      <c r="F290" s="463"/>
      <c r="G290" s="1465"/>
      <c r="H290" s="1465"/>
      <c r="I290" s="28"/>
      <c r="J290" s="28"/>
      <c r="K290" s="28"/>
      <c r="L290" s="28"/>
      <c r="M290" s="1465"/>
      <c r="N290" s="1465"/>
    </row>
    <row r="291" ht="39.0" customHeight="1">
      <c r="A291" s="939"/>
      <c r="B291" s="833"/>
      <c r="C291" s="833"/>
      <c r="D291" s="833"/>
      <c r="E291" s="833"/>
      <c r="F291" s="463"/>
      <c r="G291" s="1465"/>
      <c r="H291" s="1465"/>
      <c r="I291" s="30"/>
      <c r="J291" s="30"/>
      <c r="K291" s="30"/>
      <c r="L291" s="30"/>
      <c r="M291" s="1465"/>
      <c r="N291" s="1465"/>
    </row>
    <row r="292" ht="39.0" customHeight="1">
      <c r="A292" s="940"/>
      <c r="B292" s="941"/>
      <c r="C292" s="941"/>
      <c r="D292" s="941"/>
      <c r="E292" s="941"/>
      <c r="F292" s="463"/>
      <c r="G292" s="1465"/>
      <c r="H292" s="1465"/>
      <c r="I292" s="28"/>
      <c r="J292" s="28"/>
      <c r="K292" s="28"/>
      <c r="L292" s="28"/>
      <c r="M292" s="1465"/>
      <c r="N292" s="1465"/>
    </row>
    <row r="293" ht="39.0" customHeight="1">
      <c r="A293" s="939"/>
      <c r="B293" s="833"/>
      <c r="C293" s="833"/>
      <c r="D293" s="833"/>
      <c r="E293" s="833"/>
      <c r="F293" s="463"/>
      <c r="G293" s="1465"/>
      <c r="H293" s="1465"/>
      <c r="I293" s="30"/>
      <c r="J293" s="30"/>
      <c r="K293" s="30"/>
      <c r="L293" s="30"/>
      <c r="M293" s="1465"/>
      <c r="N293" s="1465"/>
    </row>
    <row r="294" ht="39.0" customHeight="1">
      <c r="A294" s="940"/>
      <c r="B294" s="941"/>
      <c r="C294" s="941"/>
      <c r="D294" s="941"/>
      <c r="E294" s="941"/>
      <c r="F294" s="463"/>
      <c r="G294" s="1465"/>
      <c r="H294" s="1465"/>
      <c r="I294" s="28"/>
      <c r="J294" s="28"/>
      <c r="K294" s="28"/>
      <c r="L294" s="28"/>
      <c r="M294" s="1465"/>
      <c r="N294" s="1465"/>
    </row>
    <row r="295" ht="39.0" customHeight="1">
      <c r="A295" s="939"/>
      <c r="B295" s="833"/>
      <c r="C295" s="833"/>
      <c r="D295" s="833"/>
      <c r="E295" s="833"/>
      <c r="F295" s="463"/>
      <c r="G295" s="1465"/>
      <c r="H295" s="1465"/>
      <c r="I295" s="30"/>
      <c r="J295" s="30"/>
      <c r="K295" s="30"/>
      <c r="L295" s="30"/>
      <c r="M295" s="1465"/>
      <c r="N295" s="1465"/>
    </row>
    <row r="296" ht="39.0" customHeight="1">
      <c r="A296" s="940"/>
      <c r="B296" s="941"/>
      <c r="C296" s="941"/>
      <c r="D296" s="941"/>
      <c r="E296" s="941"/>
      <c r="F296" s="463"/>
      <c r="G296" s="1465"/>
      <c r="H296" s="1465"/>
      <c r="I296" s="28"/>
      <c r="J296" s="28"/>
      <c r="K296" s="28"/>
      <c r="L296" s="28"/>
      <c r="M296" s="1465"/>
      <c r="N296" s="1465"/>
    </row>
    <row r="297" ht="39.0" customHeight="1">
      <c r="A297" s="939"/>
      <c r="B297" s="833"/>
      <c r="C297" s="833"/>
      <c r="D297" s="833"/>
      <c r="E297" s="833"/>
      <c r="F297" s="463"/>
      <c r="G297" s="1465"/>
      <c r="H297" s="1465"/>
      <c r="I297" s="30"/>
      <c r="J297" s="30"/>
      <c r="K297" s="30"/>
      <c r="L297" s="30"/>
      <c r="M297" s="1465"/>
      <c r="N297" s="1465"/>
    </row>
    <row r="298" ht="39.0" customHeight="1">
      <c r="A298" s="940"/>
      <c r="B298" s="941"/>
      <c r="C298" s="941"/>
      <c r="D298" s="941"/>
      <c r="E298" s="941"/>
      <c r="F298" s="463"/>
      <c r="G298" s="1465"/>
      <c r="H298" s="1465"/>
      <c r="I298" s="28"/>
      <c r="J298" s="28"/>
      <c r="K298" s="28"/>
      <c r="L298" s="28"/>
      <c r="M298" s="1465"/>
      <c r="N298" s="1465"/>
    </row>
    <row r="299" ht="39.0" customHeight="1">
      <c r="A299" s="939"/>
      <c r="B299" s="833"/>
      <c r="C299" s="833"/>
      <c r="D299" s="833"/>
      <c r="E299" s="833"/>
      <c r="F299" s="463"/>
      <c r="G299" s="1465"/>
      <c r="H299" s="1465"/>
      <c r="I299" s="30"/>
      <c r="J299" s="30"/>
      <c r="K299" s="30"/>
      <c r="L299" s="30"/>
      <c r="M299" s="1465"/>
      <c r="N299" s="1465"/>
    </row>
    <row r="300" ht="39.0" customHeight="1">
      <c r="A300" s="940"/>
      <c r="B300" s="941"/>
      <c r="C300" s="941"/>
      <c r="D300" s="941"/>
      <c r="E300" s="941"/>
      <c r="F300" s="463"/>
      <c r="G300" s="1465"/>
      <c r="H300" s="1465"/>
      <c r="I300" s="28"/>
      <c r="J300" s="28"/>
      <c r="K300" s="28"/>
      <c r="L300" s="28"/>
      <c r="M300" s="1465"/>
      <c r="N300" s="1465"/>
    </row>
    <row r="301" ht="39.0" customHeight="1">
      <c r="A301" s="939"/>
      <c r="B301" s="833"/>
      <c r="C301" s="833"/>
      <c r="D301" s="833"/>
      <c r="E301" s="833"/>
      <c r="F301" s="463"/>
      <c r="G301" s="1465"/>
      <c r="H301" s="1465"/>
      <c r="I301" s="30"/>
      <c r="J301" s="30"/>
      <c r="K301" s="30"/>
      <c r="L301" s="30"/>
      <c r="M301" s="1465"/>
      <c r="N301" s="1465"/>
    </row>
    <row r="302" ht="39.0" customHeight="1">
      <c r="A302" s="940"/>
      <c r="B302" s="941"/>
      <c r="C302" s="941"/>
      <c r="D302" s="941"/>
      <c r="E302" s="941"/>
      <c r="F302" s="463"/>
      <c r="G302" s="1465"/>
      <c r="H302" s="1465"/>
      <c r="I302" s="28"/>
      <c r="J302" s="28"/>
      <c r="K302" s="28"/>
      <c r="L302" s="28"/>
      <c r="M302" s="1465"/>
      <c r="N302" s="1465"/>
    </row>
    <row r="303" ht="39.0" customHeight="1">
      <c r="A303" s="939"/>
      <c r="B303" s="833"/>
      <c r="C303" s="833"/>
      <c r="D303" s="833"/>
      <c r="E303" s="833"/>
      <c r="F303" s="463"/>
      <c r="G303" s="1465"/>
      <c r="H303" s="1465"/>
      <c r="I303" s="30"/>
      <c r="J303" s="30"/>
      <c r="K303" s="30"/>
      <c r="L303" s="30"/>
      <c r="M303" s="1465"/>
      <c r="N303" s="1465"/>
    </row>
    <row r="304" ht="39.0" customHeight="1">
      <c r="A304" s="940"/>
      <c r="B304" s="941"/>
      <c r="C304" s="941"/>
      <c r="D304" s="941"/>
      <c r="E304" s="941"/>
      <c r="F304" s="463"/>
      <c r="G304" s="1465"/>
      <c r="H304" s="1465"/>
      <c r="I304" s="28"/>
      <c r="J304" s="28"/>
      <c r="K304" s="28"/>
      <c r="L304" s="28"/>
      <c r="M304" s="1465"/>
      <c r="N304" s="1465"/>
    </row>
    <row r="305" ht="39.0" customHeight="1">
      <c r="A305" s="939"/>
      <c r="B305" s="833"/>
      <c r="C305" s="833"/>
      <c r="D305" s="833"/>
      <c r="E305" s="833"/>
      <c r="F305" s="463"/>
      <c r="G305" s="1465"/>
      <c r="H305" s="1465"/>
      <c r="I305" s="30"/>
      <c r="J305" s="30"/>
      <c r="K305" s="30"/>
      <c r="L305" s="30"/>
      <c r="M305" s="1465"/>
      <c r="N305" s="1465"/>
    </row>
    <row r="306" ht="39.0" customHeight="1">
      <c r="A306" s="940"/>
      <c r="B306" s="941"/>
      <c r="C306" s="941"/>
      <c r="D306" s="941"/>
      <c r="E306" s="941"/>
      <c r="F306" s="463"/>
      <c r="G306" s="1465"/>
      <c r="H306" s="1465"/>
      <c r="I306" s="28"/>
      <c r="J306" s="28"/>
      <c r="K306" s="28"/>
      <c r="L306" s="28"/>
      <c r="M306" s="1465"/>
      <c r="N306" s="1465"/>
    </row>
    <row r="307" ht="39.0" customHeight="1">
      <c r="A307" s="939"/>
      <c r="B307" s="833"/>
      <c r="C307" s="833"/>
      <c r="D307" s="833"/>
      <c r="E307" s="833"/>
      <c r="F307" s="463"/>
      <c r="G307" s="1465"/>
      <c r="H307" s="1465"/>
      <c r="I307" s="30"/>
      <c r="J307" s="30"/>
      <c r="K307" s="30"/>
      <c r="L307" s="30"/>
      <c r="M307" s="1465"/>
      <c r="N307" s="1465"/>
    </row>
    <row r="308" ht="39.0" customHeight="1">
      <c r="A308" s="940"/>
      <c r="B308" s="941"/>
      <c r="C308" s="941"/>
      <c r="D308" s="941"/>
      <c r="E308" s="941"/>
      <c r="F308" s="463"/>
      <c r="G308" s="1465"/>
      <c r="H308" s="1465"/>
      <c r="I308" s="28"/>
      <c r="J308" s="28"/>
      <c r="K308" s="28"/>
      <c r="L308" s="28"/>
      <c r="M308" s="1465"/>
      <c r="N308" s="1465"/>
    </row>
    <row r="309" ht="39.0" customHeight="1">
      <c r="A309" s="939"/>
      <c r="B309" s="833"/>
      <c r="C309" s="833"/>
      <c r="D309" s="833"/>
      <c r="E309" s="833"/>
      <c r="F309" s="463"/>
      <c r="G309" s="1465"/>
      <c r="H309" s="1465"/>
      <c r="I309" s="30"/>
      <c r="J309" s="30"/>
      <c r="K309" s="30"/>
      <c r="L309" s="30"/>
      <c r="M309" s="1465"/>
      <c r="N309" s="1465"/>
    </row>
    <row r="310" ht="39.0" customHeight="1">
      <c r="A310" s="940"/>
      <c r="B310" s="941"/>
      <c r="C310" s="941"/>
      <c r="D310" s="941"/>
      <c r="E310" s="941"/>
      <c r="F310" s="463"/>
      <c r="G310" s="1465"/>
      <c r="H310" s="1465"/>
      <c r="I310" s="28"/>
      <c r="J310" s="28"/>
      <c r="K310" s="28"/>
      <c r="L310" s="28"/>
      <c r="M310" s="1465"/>
      <c r="N310" s="1465"/>
    </row>
    <row r="311" ht="39.0" customHeight="1">
      <c r="A311" s="939"/>
      <c r="B311" s="833"/>
      <c r="C311" s="833"/>
      <c r="D311" s="833"/>
      <c r="E311" s="833"/>
      <c r="F311" s="463"/>
      <c r="G311" s="1465"/>
      <c r="H311" s="1465"/>
      <c r="I311" s="30"/>
      <c r="J311" s="30"/>
      <c r="K311" s="30"/>
      <c r="L311" s="30"/>
      <c r="M311" s="1465"/>
      <c r="N311" s="1465"/>
    </row>
    <row r="312" ht="39.0" customHeight="1">
      <c r="A312" s="940"/>
      <c r="B312" s="941"/>
      <c r="C312" s="941"/>
      <c r="D312" s="941"/>
      <c r="E312" s="941"/>
      <c r="F312" s="463"/>
      <c r="G312" s="1465"/>
      <c r="H312" s="1465"/>
      <c r="I312" s="28"/>
      <c r="J312" s="28"/>
      <c r="K312" s="28"/>
      <c r="L312" s="28"/>
      <c r="M312" s="1465"/>
      <c r="N312" s="1465"/>
    </row>
    <row r="313" ht="39.0" customHeight="1">
      <c r="A313" s="939"/>
      <c r="B313" s="833"/>
      <c r="C313" s="833"/>
      <c r="D313" s="833"/>
      <c r="E313" s="833"/>
      <c r="F313" s="463"/>
      <c r="G313" s="1465"/>
      <c r="H313" s="1465"/>
      <c r="I313" s="30"/>
      <c r="J313" s="30"/>
      <c r="K313" s="30"/>
      <c r="L313" s="30"/>
      <c r="M313" s="1465"/>
      <c r="N313" s="1465"/>
    </row>
    <row r="314" ht="39.0" customHeight="1">
      <c r="A314" s="940"/>
      <c r="B314" s="941"/>
      <c r="C314" s="941"/>
      <c r="D314" s="941"/>
      <c r="E314" s="941"/>
      <c r="F314" s="463"/>
      <c r="G314" s="1465"/>
      <c r="H314" s="1465"/>
      <c r="I314" s="28"/>
      <c r="J314" s="28"/>
      <c r="K314" s="28"/>
      <c r="L314" s="28"/>
      <c r="M314" s="1465"/>
      <c r="N314" s="1465"/>
    </row>
    <row r="315" ht="39.0" customHeight="1">
      <c r="A315" s="939"/>
      <c r="B315" s="833"/>
      <c r="C315" s="833"/>
      <c r="D315" s="833"/>
      <c r="E315" s="833"/>
      <c r="F315" s="463"/>
      <c r="G315" s="1465"/>
      <c r="H315" s="1465"/>
      <c r="I315" s="30"/>
      <c r="J315" s="30"/>
      <c r="K315" s="30"/>
      <c r="L315" s="30"/>
      <c r="M315" s="1465"/>
      <c r="N315" s="1465"/>
    </row>
    <row r="316" ht="39.0" customHeight="1">
      <c r="A316" s="940"/>
      <c r="B316" s="941"/>
      <c r="C316" s="941"/>
      <c r="D316" s="941"/>
      <c r="E316" s="941"/>
      <c r="F316" s="463"/>
      <c r="G316" s="1465"/>
      <c r="H316" s="1465"/>
      <c r="I316" s="28"/>
      <c r="J316" s="28"/>
      <c r="K316" s="28"/>
      <c r="L316" s="28"/>
      <c r="M316" s="1465"/>
      <c r="N316" s="1465"/>
    </row>
    <row r="317" ht="39.0" customHeight="1">
      <c r="A317" s="939"/>
      <c r="B317" s="833"/>
      <c r="C317" s="833"/>
      <c r="D317" s="833"/>
      <c r="E317" s="833"/>
      <c r="F317" s="463"/>
      <c r="G317" s="1465"/>
      <c r="H317" s="1465"/>
      <c r="I317" s="30"/>
      <c r="J317" s="30"/>
      <c r="K317" s="30"/>
      <c r="L317" s="30"/>
      <c r="M317" s="1465"/>
      <c r="N317" s="1465"/>
    </row>
    <row r="318" ht="39.0" customHeight="1">
      <c r="A318" s="940"/>
      <c r="B318" s="941"/>
      <c r="C318" s="941"/>
      <c r="D318" s="941"/>
      <c r="E318" s="941"/>
      <c r="F318" s="463"/>
      <c r="G318" s="1465"/>
      <c r="H318" s="1465"/>
      <c r="I318" s="28"/>
      <c r="J318" s="28"/>
      <c r="K318" s="28"/>
      <c r="L318" s="28"/>
      <c r="M318" s="1465"/>
      <c r="N318" s="1465"/>
    </row>
    <row r="319" ht="39.0" customHeight="1">
      <c r="A319" s="939"/>
      <c r="B319" s="833"/>
      <c r="C319" s="833"/>
      <c r="D319" s="833"/>
      <c r="E319" s="833"/>
      <c r="F319" s="463"/>
      <c r="G319" s="1465"/>
      <c r="H319" s="1465"/>
      <c r="I319" s="30"/>
      <c r="J319" s="30"/>
      <c r="K319" s="30"/>
      <c r="L319" s="30"/>
      <c r="M319" s="1465"/>
      <c r="N319" s="1465"/>
    </row>
    <row r="320" ht="39.0" customHeight="1">
      <c r="A320" s="940"/>
      <c r="B320" s="941"/>
      <c r="C320" s="941"/>
      <c r="D320" s="941"/>
      <c r="E320" s="941"/>
      <c r="F320" s="463"/>
      <c r="G320" s="1465"/>
      <c r="H320" s="1465"/>
      <c r="I320" s="28"/>
      <c r="J320" s="28"/>
      <c r="K320" s="28"/>
      <c r="L320" s="28"/>
      <c r="M320" s="1465"/>
      <c r="N320" s="1465"/>
    </row>
    <row r="321" ht="39.0" customHeight="1">
      <c r="A321" s="939"/>
      <c r="B321" s="833"/>
      <c r="C321" s="833"/>
      <c r="D321" s="833"/>
      <c r="E321" s="833"/>
      <c r="F321" s="463"/>
      <c r="G321" s="1465"/>
      <c r="H321" s="1465"/>
      <c r="I321" s="30"/>
      <c r="J321" s="30"/>
      <c r="K321" s="30"/>
      <c r="L321" s="30"/>
      <c r="M321" s="1465"/>
      <c r="N321" s="1465"/>
    </row>
    <row r="322" ht="39.0" customHeight="1">
      <c r="A322" s="940"/>
      <c r="B322" s="941"/>
      <c r="C322" s="941"/>
      <c r="D322" s="941"/>
      <c r="E322" s="941"/>
      <c r="F322" s="463"/>
      <c r="G322" s="1465"/>
      <c r="H322" s="1465"/>
      <c r="I322" s="28"/>
      <c r="J322" s="28"/>
      <c r="K322" s="28"/>
      <c r="L322" s="28"/>
      <c r="M322" s="1465"/>
      <c r="N322" s="1465"/>
    </row>
    <row r="323" ht="39.0" customHeight="1">
      <c r="A323" s="939"/>
      <c r="B323" s="833"/>
      <c r="C323" s="833"/>
      <c r="D323" s="833"/>
      <c r="E323" s="833"/>
      <c r="F323" s="463"/>
      <c r="G323" s="1465"/>
      <c r="H323" s="1465"/>
      <c r="I323" s="30"/>
      <c r="J323" s="30"/>
      <c r="K323" s="30"/>
      <c r="L323" s="30"/>
      <c r="M323" s="1465"/>
      <c r="N323" s="1465"/>
    </row>
    <row r="324" ht="39.0" customHeight="1">
      <c r="A324" s="940"/>
      <c r="B324" s="941"/>
      <c r="C324" s="941"/>
      <c r="D324" s="941"/>
      <c r="E324" s="941"/>
      <c r="F324" s="463"/>
      <c r="G324" s="1465"/>
      <c r="H324" s="1465"/>
      <c r="I324" s="28"/>
      <c r="J324" s="28"/>
      <c r="K324" s="28"/>
      <c r="L324" s="28"/>
      <c r="M324" s="1465"/>
      <c r="N324" s="1465"/>
    </row>
    <row r="325" ht="39.0" customHeight="1">
      <c r="A325" s="939"/>
      <c r="B325" s="833"/>
      <c r="C325" s="833"/>
      <c r="D325" s="833"/>
      <c r="E325" s="833"/>
      <c r="F325" s="463"/>
      <c r="G325" s="1465"/>
      <c r="H325" s="1465"/>
      <c r="I325" s="30"/>
      <c r="J325" s="30"/>
      <c r="K325" s="30"/>
      <c r="L325" s="30"/>
      <c r="M325" s="1465"/>
      <c r="N325" s="1465"/>
    </row>
    <row r="326" ht="39.0" customHeight="1">
      <c r="A326" s="940"/>
      <c r="B326" s="941"/>
      <c r="C326" s="941"/>
      <c r="D326" s="941"/>
      <c r="E326" s="941"/>
      <c r="F326" s="463"/>
      <c r="G326" s="1465"/>
      <c r="H326" s="1465"/>
      <c r="I326" s="28"/>
      <c r="J326" s="28"/>
      <c r="K326" s="28"/>
      <c r="L326" s="28"/>
      <c r="M326" s="1465"/>
      <c r="N326" s="1465"/>
    </row>
    <row r="327" ht="39.0" customHeight="1">
      <c r="A327" s="939"/>
      <c r="B327" s="833"/>
      <c r="C327" s="833"/>
      <c r="D327" s="833"/>
      <c r="E327" s="833"/>
      <c r="F327" s="463"/>
      <c r="G327" s="1465"/>
      <c r="H327" s="1465"/>
      <c r="I327" s="30"/>
      <c r="J327" s="30"/>
      <c r="K327" s="30"/>
      <c r="L327" s="30"/>
      <c r="M327" s="1465"/>
      <c r="N327" s="1465"/>
    </row>
    <row r="328" ht="39.0" customHeight="1">
      <c r="A328" s="940"/>
      <c r="B328" s="941"/>
      <c r="C328" s="941"/>
      <c r="D328" s="941"/>
      <c r="E328" s="941"/>
      <c r="F328" s="463"/>
      <c r="G328" s="1465"/>
      <c r="H328" s="1465"/>
      <c r="I328" s="28"/>
      <c r="J328" s="28"/>
      <c r="K328" s="28"/>
      <c r="L328" s="28"/>
      <c r="M328" s="1465"/>
      <c r="N328" s="1465"/>
    </row>
    <row r="329" ht="39.0" customHeight="1">
      <c r="A329" s="939"/>
      <c r="B329" s="833"/>
      <c r="C329" s="833"/>
      <c r="D329" s="833"/>
      <c r="E329" s="833"/>
      <c r="F329" s="463"/>
      <c r="G329" s="1465"/>
      <c r="H329" s="1465"/>
      <c r="I329" s="30"/>
      <c r="J329" s="30"/>
      <c r="K329" s="30"/>
      <c r="L329" s="30"/>
      <c r="M329" s="1465"/>
      <c r="N329" s="1465"/>
    </row>
    <row r="330" ht="39.0" customHeight="1">
      <c r="A330" s="940"/>
      <c r="B330" s="941"/>
      <c r="C330" s="941"/>
      <c r="D330" s="941"/>
      <c r="E330" s="941"/>
      <c r="F330" s="463"/>
      <c r="G330" s="1465"/>
      <c r="H330" s="1465"/>
      <c r="I330" s="28"/>
      <c r="J330" s="28"/>
      <c r="K330" s="28"/>
      <c r="L330" s="28"/>
      <c r="M330" s="1465"/>
      <c r="N330" s="1465"/>
    </row>
    <row r="331" ht="39.0" customHeight="1">
      <c r="A331" s="939"/>
      <c r="B331" s="833"/>
      <c r="C331" s="833"/>
      <c r="D331" s="833"/>
      <c r="E331" s="833"/>
      <c r="F331" s="463"/>
      <c r="G331" s="1465"/>
      <c r="H331" s="1465"/>
      <c r="I331" s="30"/>
      <c r="J331" s="30"/>
      <c r="K331" s="30"/>
      <c r="L331" s="30"/>
      <c r="M331" s="1465"/>
      <c r="N331" s="1465"/>
    </row>
    <row r="332" ht="39.0" customHeight="1">
      <c r="A332" s="940"/>
      <c r="B332" s="941"/>
      <c r="C332" s="941"/>
      <c r="D332" s="941"/>
      <c r="E332" s="941"/>
      <c r="F332" s="463"/>
      <c r="G332" s="1465"/>
      <c r="H332" s="1465"/>
      <c r="I332" s="28"/>
      <c r="J332" s="28"/>
      <c r="K332" s="28"/>
      <c r="L332" s="28"/>
      <c r="M332" s="1465"/>
      <c r="N332" s="1465"/>
    </row>
    <row r="333" ht="39.0" customHeight="1">
      <c r="A333" s="939"/>
      <c r="B333" s="833"/>
      <c r="C333" s="833"/>
      <c r="D333" s="833"/>
      <c r="E333" s="833"/>
      <c r="F333" s="463"/>
      <c r="G333" s="1465"/>
      <c r="H333" s="1465"/>
      <c r="I333" s="30"/>
      <c r="J333" s="30"/>
      <c r="K333" s="30"/>
      <c r="L333" s="30"/>
      <c r="M333" s="1465"/>
      <c r="N333" s="1465"/>
    </row>
    <row r="334" ht="39.0" customHeight="1">
      <c r="A334" s="940"/>
      <c r="B334" s="941"/>
      <c r="C334" s="941"/>
      <c r="D334" s="941"/>
      <c r="E334" s="941"/>
      <c r="F334" s="463"/>
      <c r="G334" s="1465"/>
      <c r="H334" s="1465"/>
      <c r="I334" s="28"/>
      <c r="J334" s="28"/>
      <c r="K334" s="28"/>
      <c r="L334" s="28"/>
      <c r="M334" s="1465"/>
      <c r="N334" s="1465"/>
    </row>
    <row r="335" ht="39.0" customHeight="1">
      <c r="A335" s="939"/>
      <c r="B335" s="833"/>
      <c r="C335" s="833"/>
      <c r="D335" s="833"/>
      <c r="E335" s="833"/>
      <c r="F335" s="463"/>
      <c r="G335" s="1465"/>
      <c r="H335" s="1465"/>
      <c r="I335" s="30"/>
      <c r="J335" s="30"/>
      <c r="K335" s="30"/>
      <c r="L335" s="30"/>
      <c r="M335" s="1465"/>
      <c r="N335" s="1465"/>
    </row>
    <row r="336" ht="39.0" customHeight="1">
      <c r="A336" s="940"/>
      <c r="B336" s="941"/>
      <c r="C336" s="941"/>
      <c r="D336" s="941"/>
      <c r="E336" s="941"/>
      <c r="F336" s="463"/>
      <c r="G336" s="1465"/>
      <c r="H336" s="1465"/>
      <c r="I336" s="28"/>
      <c r="J336" s="28"/>
      <c r="K336" s="28"/>
      <c r="L336" s="28"/>
      <c r="M336" s="1465"/>
      <c r="N336" s="1465"/>
    </row>
    <row r="337" ht="39.0" customHeight="1">
      <c r="A337" s="939"/>
      <c r="B337" s="833"/>
      <c r="C337" s="833"/>
      <c r="D337" s="833"/>
      <c r="E337" s="833"/>
      <c r="F337" s="463"/>
      <c r="G337" s="1465"/>
      <c r="H337" s="1465"/>
      <c r="I337" s="30"/>
      <c r="J337" s="30"/>
      <c r="K337" s="30"/>
      <c r="L337" s="30"/>
      <c r="M337" s="1465"/>
      <c r="N337" s="1465"/>
    </row>
    <row r="338" ht="39.0" customHeight="1">
      <c r="A338" s="940"/>
      <c r="B338" s="941"/>
      <c r="C338" s="941"/>
      <c r="D338" s="941"/>
      <c r="E338" s="941"/>
      <c r="F338" s="463"/>
      <c r="G338" s="1465"/>
      <c r="H338" s="1465"/>
      <c r="I338" s="28"/>
      <c r="J338" s="28"/>
      <c r="K338" s="28"/>
      <c r="L338" s="28"/>
      <c r="M338" s="1465"/>
      <c r="N338" s="1465"/>
    </row>
    <row r="339" ht="39.0" customHeight="1">
      <c r="A339" s="939"/>
      <c r="B339" s="833"/>
      <c r="C339" s="833"/>
      <c r="D339" s="833"/>
      <c r="E339" s="833"/>
      <c r="F339" s="463"/>
      <c r="G339" s="1465"/>
      <c r="H339" s="1465"/>
      <c r="I339" s="30"/>
      <c r="J339" s="30"/>
      <c r="K339" s="30"/>
      <c r="L339" s="30"/>
      <c r="M339" s="1465"/>
      <c r="N339" s="1465"/>
    </row>
    <row r="340" ht="39.0" customHeight="1">
      <c r="A340" s="940"/>
      <c r="B340" s="941"/>
      <c r="C340" s="941"/>
      <c r="D340" s="941"/>
      <c r="E340" s="941"/>
      <c r="F340" s="463"/>
      <c r="G340" s="1465"/>
      <c r="H340" s="1465"/>
      <c r="I340" s="28"/>
      <c r="J340" s="28"/>
      <c r="K340" s="28"/>
      <c r="L340" s="28"/>
      <c r="M340" s="1465"/>
      <c r="N340" s="1465"/>
    </row>
    <row r="341" ht="39.0" customHeight="1">
      <c r="A341" s="939"/>
      <c r="B341" s="833"/>
      <c r="C341" s="833"/>
      <c r="D341" s="833"/>
      <c r="E341" s="833"/>
      <c r="F341" s="463"/>
      <c r="G341" s="1465"/>
      <c r="H341" s="1465"/>
      <c r="I341" s="30"/>
      <c r="J341" s="30"/>
      <c r="K341" s="30"/>
      <c r="L341" s="30"/>
      <c r="M341" s="1465"/>
      <c r="N341" s="1465"/>
    </row>
    <row r="342" ht="39.0" customHeight="1">
      <c r="A342" s="940"/>
      <c r="B342" s="941"/>
      <c r="C342" s="941"/>
      <c r="D342" s="941"/>
      <c r="E342" s="941"/>
      <c r="F342" s="463"/>
      <c r="G342" s="1465"/>
      <c r="H342" s="1465"/>
      <c r="I342" s="28"/>
      <c r="J342" s="28"/>
      <c r="K342" s="28"/>
      <c r="L342" s="28"/>
      <c r="M342" s="1465"/>
      <c r="N342" s="1465"/>
    </row>
    <row r="343" ht="39.0" customHeight="1">
      <c r="A343" s="939"/>
      <c r="B343" s="833"/>
      <c r="C343" s="833"/>
      <c r="D343" s="833"/>
      <c r="E343" s="833"/>
      <c r="F343" s="463"/>
      <c r="G343" s="1465"/>
      <c r="H343" s="1465"/>
      <c r="I343" s="30"/>
      <c r="J343" s="30"/>
      <c r="K343" s="30"/>
      <c r="L343" s="30"/>
      <c r="M343" s="1465"/>
      <c r="N343" s="1465"/>
    </row>
    <row r="344" ht="39.0" customHeight="1">
      <c r="A344" s="940"/>
      <c r="B344" s="941"/>
      <c r="C344" s="941"/>
      <c r="D344" s="941"/>
      <c r="E344" s="941"/>
      <c r="F344" s="463"/>
      <c r="G344" s="1465"/>
      <c r="H344" s="1465"/>
      <c r="I344" s="28"/>
      <c r="J344" s="28"/>
      <c r="K344" s="28"/>
      <c r="L344" s="28"/>
      <c r="M344" s="1465"/>
      <c r="N344" s="1465"/>
    </row>
    <row r="345" ht="39.0" customHeight="1">
      <c r="A345" s="939"/>
      <c r="B345" s="833"/>
      <c r="C345" s="833"/>
      <c r="D345" s="833"/>
      <c r="E345" s="833"/>
      <c r="F345" s="463"/>
      <c r="G345" s="1465"/>
      <c r="H345" s="1465"/>
      <c r="I345" s="30"/>
      <c r="J345" s="30"/>
      <c r="K345" s="30"/>
      <c r="L345" s="30"/>
      <c r="M345" s="1465"/>
      <c r="N345" s="1465"/>
    </row>
    <row r="346" ht="39.0" customHeight="1">
      <c r="A346" s="940"/>
      <c r="B346" s="941"/>
      <c r="C346" s="941"/>
      <c r="D346" s="941"/>
      <c r="E346" s="941"/>
      <c r="F346" s="463"/>
      <c r="G346" s="1465"/>
      <c r="H346" s="1465"/>
      <c r="I346" s="28"/>
      <c r="J346" s="28"/>
      <c r="K346" s="28"/>
      <c r="L346" s="28"/>
      <c r="M346" s="1465"/>
      <c r="N346" s="1465"/>
    </row>
    <row r="347" ht="39.0" customHeight="1">
      <c r="A347" s="939"/>
      <c r="B347" s="833"/>
      <c r="C347" s="833"/>
      <c r="D347" s="833"/>
      <c r="E347" s="833"/>
      <c r="F347" s="463"/>
      <c r="G347" s="1465"/>
      <c r="H347" s="1465"/>
      <c r="I347" s="30"/>
      <c r="J347" s="30"/>
      <c r="K347" s="30"/>
      <c r="L347" s="30"/>
      <c r="M347" s="1465"/>
      <c r="N347" s="1465"/>
    </row>
    <row r="348" ht="39.0" customHeight="1">
      <c r="A348" s="940"/>
      <c r="B348" s="941"/>
      <c r="C348" s="941"/>
      <c r="D348" s="941"/>
      <c r="E348" s="941"/>
      <c r="F348" s="463"/>
      <c r="G348" s="1465"/>
      <c r="H348" s="1465"/>
      <c r="I348" s="28"/>
      <c r="J348" s="28"/>
      <c r="K348" s="28"/>
      <c r="L348" s="28"/>
      <c r="M348" s="1465"/>
      <c r="N348" s="1465"/>
    </row>
    <row r="349" ht="39.0" customHeight="1">
      <c r="A349" s="939"/>
      <c r="B349" s="833"/>
      <c r="C349" s="833"/>
      <c r="D349" s="833"/>
      <c r="E349" s="833"/>
      <c r="F349" s="463"/>
      <c r="G349" s="1465"/>
      <c r="H349" s="1465"/>
      <c r="I349" s="30"/>
      <c r="J349" s="30"/>
      <c r="K349" s="30"/>
      <c r="L349" s="30"/>
      <c r="M349" s="1465"/>
      <c r="N349" s="1465"/>
    </row>
    <row r="350" ht="39.0" customHeight="1">
      <c r="A350" s="940"/>
      <c r="B350" s="941"/>
      <c r="C350" s="941"/>
      <c r="D350" s="941"/>
      <c r="E350" s="941"/>
      <c r="F350" s="463"/>
      <c r="G350" s="1465"/>
      <c r="H350" s="1465"/>
      <c r="I350" s="28"/>
      <c r="J350" s="28"/>
      <c r="K350" s="28"/>
      <c r="L350" s="28"/>
      <c r="M350" s="1465"/>
      <c r="N350" s="1465"/>
    </row>
    <row r="351" ht="39.0" customHeight="1">
      <c r="A351" s="939"/>
      <c r="B351" s="833"/>
      <c r="C351" s="833"/>
      <c r="D351" s="833"/>
      <c r="E351" s="833"/>
      <c r="F351" s="463"/>
      <c r="G351" s="1465"/>
      <c r="H351" s="1465"/>
      <c r="I351" s="30"/>
      <c r="J351" s="30"/>
      <c r="K351" s="30"/>
      <c r="L351" s="30"/>
      <c r="M351" s="1465"/>
      <c r="N351" s="1465"/>
    </row>
    <row r="352" ht="39.0" customHeight="1">
      <c r="A352" s="940"/>
      <c r="B352" s="941"/>
      <c r="C352" s="941"/>
      <c r="D352" s="941"/>
      <c r="E352" s="941"/>
      <c r="F352" s="463"/>
      <c r="G352" s="1465"/>
      <c r="H352" s="1465"/>
      <c r="I352" s="28"/>
      <c r="J352" s="28"/>
      <c r="K352" s="28"/>
      <c r="L352" s="28"/>
      <c r="M352" s="1465"/>
      <c r="N352" s="1465"/>
    </row>
    <row r="353" ht="39.0" customHeight="1">
      <c r="A353" s="939"/>
      <c r="B353" s="833"/>
      <c r="C353" s="833"/>
      <c r="D353" s="833"/>
      <c r="E353" s="833"/>
      <c r="F353" s="463"/>
      <c r="G353" s="1465"/>
      <c r="H353" s="1465"/>
      <c r="I353" s="30"/>
      <c r="J353" s="30"/>
      <c r="K353" s="30"/>
      <c r="L353" s="30"/>
      <c r="M353" s="1465"/>
      <c r="N353" s="1465"/>
    </row>
    <row r="354" ht="39.0" customHeight="1">
      <c r="A354" s="940"/>
      <c r="B354" s="941"/>
      <c r="C354" s="941"/>
      <c r="D354" s="941"/>
      <c r="E354" s="941"/>
      <c r="F354" s="463"/>
      <c r="G354" s="1465"/>
      <c r="H354" s="1465"/>
      <c r="I354" s="28"/>
      <c r="J354" s="28"/>
      <c r="K354" s="28"/>
      <c r="L354" s="28"/>
      <c r="M354" s="1465"/>
      <c r="N354" s="1465"/>
    </row>
    <row r="355" ht="39.0" customHeight="1">
      <c r="A355" s="939"/>
      <c r="B355" s="833"/>
      <c r="C355" s="833"/>
      <c r="D355" s="833"/>
      <c r="E355" s="833"/>
      <c r="F355" s="463"/>
      <c r="G355" s="1465"/>
      <c r="H355" s="1465"/>
      <c r="I355" s="30"/>
      <c r="J355" s="30"/>
      <c r="K355" s="30"/>
      <c r="L355" s="30"/>
      <c r="M355" s="1465"/>
      <c r="N355" s="1465"/>
    </row>
    <row r="356" ht="39.0" customHeight="1">
      <c r="A356" s="940"/>
      <c r="B356" s="941"/>
      <c r="C356" s="941"/>
      <c r="D356" s="941"/>
      <c r="E356" s="941"/>
      <c r="F356" s="463"/>
      <c r="G356" s="1465"/>
      <c r="H356" s="1465"/>
      <c r="I356" s="28"/>
      <c r="J356" s="28"/>
      <c r="K356" s="28"/>
      <c r="L356" s="28"/>
      <c r="M356" s="1465"/>
      <c r="N356" s="1465"/>
    </row>
    <row r="357" ht="39.0" customHeight="1">
      <c r="A357" s="939"/>
      <c r="B357" s="833"/>
      <c r="C357" s="833"/>
      <c r="D357" s="833"/>
      <c r="E357" s="833"/>
      <c r="F357" s="463"/>
      <c r="G357" s="1465"/>
      <c r="H357" s="1465"/>
      <c r="I357" s="30"/>
      <c r="J357" s="30"/>
      <c r="K357" s="30"/>
      <c r="L357" s="30"/>
      <c r="M357" s="1465"/>
      <c r="N357" s="1465"/>
    </row>
    <row r="358" ht="39.0" customHeight="1">
      <c r="A358" s="940"/>
      <c r="B358" s="941"/>
      <c r="C358" s="941"/>
      <c r="D358" s="941"/>
      <c r="E358" s="941"/>
      <c r="F358" s="463"/>
      <c r="G358" s="1465"/>
      <c r="H358" s="1465"/>
      <c r="I358" s="28"/>
      <c r="J358" s="28"/>
      <c r="K358" s="28"/>
      <c r="L358" s="28"/>
      <c r="M358" s="1465"/>
      <c r="N358" s="1465"/>
    </row>
    <row r="359" ht="39.0" customHeight="1">
      <c r="A359" s="939"/>
      <c r="B359" s="833"/>
      <c r="C359" s="833"/>
      <c r="D359" s="833"/>
      <c r="E359" s="833"/>
      <c r="F359" s="463"/>
      <c r="G359" s="1465"/>
      <c r="H359" s="1465"/>
      <c r="I359" s="30"/>
      <c r="J359" s="30"/>
      <c r="K359" s="30"/>
      <c r="L359" s="30"/>
      <c r="M359" s="1465"/>
      <c r="N359" s="1465"/>
    </row>
    <row r="360" ht="39.0" customHeight="1">
      <c r="A360" s="940"/>
      <c r="B360" s="941"/>
      <c r="C360" s="941"/>
      <c r="D360" s="941"/>
      <c r="E360" s="941"/>
      <c r="F360" s="463"/>
      <c r="G360" s="1465"/>
      <c r="H360" s="1465"/>
      <c r="I360" s="28"/>
      <c r="J360" s="28"/>
      <c r="K360" s="28"/>
      <c r="L360" s="28"/>
      <c r="M360" s="1465"/>
      <c r="N360" s="1465"/>
    </row>
    <row r="361" ht="39.0" customHeight="1">
      <c r="A361" s="939"/>
      <c r="B361" s="833"/>
      <c r="C361" s="833"/>
      <c r="D361" s="833"/>
      <c r="E361" s="833"/>
      <c r="F361" s="463"/>
      <c r="G361" s="1465"/>
      <c r="H361" s="1465"/>
      <c r="I361" s="30"/>
      <c r="J361" s="30"/>
      <c r="K361" s="30"/>
      <c r="L361" s="30"/>
      <c r="M361" s="1465"/>
      <c r="N361" s="1465"/>
    </row>
    <row r="362" ht="39.0" customHeight="1">
      <c r="A362" s="940"/>
      <c r="B362" s="941"/>
      <c r="C362" s="941"/>
      <c r="D362" s="941"/>
      <c r="E362" s="941"/>
      <c r="F362" s="463"/>
      <c r="G362" s="1465"/>
      <c r="H362" s="1465"/>
      <c r="I362" s="28"/>
      <c r="J362" s="28"/>
      <c r="K362" s="28"/>
      <c r="L362" s="28"/>
      <c r="M362" s="1465"/>
      <c r="N362" s="1465"/>
    </row>
    <row r="363" ht="39.0" customHeight="1">
      <c r="A363" s="939"/>
      <c r="B363" s="833"/>
      <c r="C363" s="833"/>
      <c r="D363" s="833"/>
      <c r="E363" s="833"/>
      <c r="F363" s="463"/>
      <c r="G363" s="1465"/>
      <c r="H363" s="1465"/>
      <c r="I363" s="30"/>
      <c r="J363" s="30"/>
      <c r="K363" s="30"/>
      <c r="L363" s="30"/>
      <c r="M363" s="1465"/>
      <c r="N363" s="1465"/>
    </row>
    <row r="364" ht="39.0" customHeight="1">
      <c r="A364" s="940"/>
      <c r="B364" s="941"/>
      <c r="C364" s="941"/>
      <c r="D364" s="941"/>
      <c r="E364" s="941"/>
      <c r="F364" s="463"/>
      <c r="G364" s="1465"/>
      <c r="H364" s="1465"/>
      <c r="I364" s="28"/>
      <c r="J364" s="28"/>
      <c r="K364" s="28"/>
      <c r="L364" s="28"/>
      <c r="M364" s="1465"/>
      <c r="N364" s="1465"/>
    </row>
    <row r="365" ht="39.0" customHeight="1">
      <c r="A365" s="939"/>
      <c r="B365" s="833"/>
      <c r="C365" s="833"/>
      <c r="D365" s="833"/>
      <c r="E365" s="833"/>
      <c r="F365" s="463"/>
      <c r="G365" s="1465"/>
      <c r="H365" s="1465"/>
      <c r="I365" s="30"/>
      <c r="J365" s="30"/>
      <c r="K365" s="30"/>
      <c r="L365" s="30"/>
      <c r="M365" s="1465"/>
      <c r="N365" s="1465"/>
    </row>
    <row r="366" ht="39.0" customHeight="1">
      <c r="A366" s="940"/>
      <c r="B366" s="941"/>
      <c r="C366" s="941"/>
      <c r="D366" s="941"/>
      <c r="E366" s="941"/>
      <c r="F366" s="463"/>
      <c r="G366" s="1465"/>
      <c r="H366" s="1465"/>
      <c r="I366" s="28"/>
      <c r="J366" s="28"/>
      <c r="K366" s="28"/>
      <c r="L366" s="28"/>
      <c r="M366" s="1465"/>
      <c r="N366" s="1465"/>
    </row>
    <row r="367" ht="39.0" customHeight="1">
      <c r="A367" s="939"/>
      <c r="B367" s="833"/>
      <c r="C367" s="833"/>
      <c r="D367" s="833"/>
      <c r="E367" s="833"/>
      <c r="F367" s="463"/>
      <c r="G367" s="1465"/>
      <c r="H367" s="1465"/>
      <c r="I367" s="30"/>
      <c r="J367" s="30"/>
      <c r="K367" s="30"/>
      <c r="L367" s="30"/>
      <c r="M367" s="1465"/>
      <c r="N367" s="1465"/>
    </row>
    <row r="368" ht="39.0" customHeight="1">
      <c r="A368" s="940"/>
      <c r="B368" s="941"/>
      <c r="C368" s="941"/>
      <c r="D368" s="941"/>
      <c r="E368" s="941"/>
      <c r="F368" s="463"/>
      <c r="G368" s="1465"/>
      <c r="H368" s="1465"/>
      <c r="I368" s="28"/>
      <c r="J368" s="28"/>
      <c r="K368" s="28"/>
      <c r="L368" s="28"/>
      <c r="M368" s="1465"/>
      <c r="N368" s="1465"/>
    </row>
    <row r="369" ht="39.0" customHeight="1">
      <c r="A369" s="939"/>
      <c r="B369" s="833"/>
      <c r="C369" s="833"/>
      <c r="D369" s="833"/>
      <c r="E369" s="833"/>
      <c r="F369" s="463"/>
      <c r="G369" s="1465"/>
      <c r="H369" s="1465"/>
      <c r="I369" s="30"/>
      <c r="J369" s="30"/>
      <c r="K369" s="30"/>
      <c r="L369" s="30"/>
      <c r="M369" s="1465"/>
      <c r="N369" s="1465"/>
    </row>
    <row r="370" ht="39.0" customHeight="1">
      <c r="A370" s="940"/>
      <c r="B370" s="941"/>
      <c r="C370" s="941"/>
      <c r="D370" s="941"/>
      <c r="E370" s="941"/>
      <c r="F370" s="463"/>
      <c r="G370" s="1465"/>
      <c r="H370" s="1465"/>
      <c r="I370" s="28"/>
      <c r="J370" s="28"/>
      <c r="K370" s="28"/>
      <c r="L370" s="28"/>
      <c r="M370" s="1465"/>
      <c r="N370" s="1465"/>
    </row>
    <row r="371" ht="39.0" customHeight="1">
      <c r="A371" s="939"/>
      <c r="B371" s="833"/>
      <c r="C371" s="833"/>
      <c r="D371" s="833"/>
      <c r="E371" s="833"/>
      <c r="F371" s="463"/>
      <c r="G371" s="1465"/>
      <c r="H371" s="1465"/>
      <c r="I371" s="30"/>
      <c r="J371" s="30"/>
      <c r="K371" s="30"/>
      <c r="L371" s="30"/>
      <c r="M371" s="1465"/>
      <c r="N371" s="1465"/>
    </row>
    <row r="372" ht="39.0" customHeight="1">
      <c r="A372" s="940"/>
      <c r="B372" s="941"/>
      <c r="C372" s="941"/>
      <c r="D372" s="941"/>
      <c r="E372" s="941"/>
      <c r="F372" s="463"/>
      <c r="G372" s="1465"/>
      <c r="H372" s="1465"/>
      <c r="I372" s="28"/>
      <c r="J372" s="28"/>
      <c r="K372" s="28"/>
      <c r="L372" s="28"/>
      <c r="M372" s="1465"/>
      <c r="N372" s="1465"/>
    </row>
    <row r="373" ht="39.0" customHeight="1">
      <c r="A373" s="939"/>
      <c r="B373" s="833"/>
      <c r="C373" s="833"/>
      <c r="D373" s="833"/>
      <c r="E373" s="833"/>
      <c r="F373" s="463"/>
      <c r="G373" s="1465"/>
      <c r="H373" s="1465"/>
      <c r="I373" s="30"/>
      <c r="J373" s="30"/>
      <c r="K373" s="30"/>
      <c r="L373" s="30"/>
      <c r="M373" s="1465"/>
      <c r="N373" s="1465"/>
    </row>
    <row r="374" ht="39.0" customHeight="1">
      <c r="A374" s="940"/>
      <c r="B374" s="941"/>
      <c r="C374" s="941"/>
      <c r="D374" s="941"/>
      <c r="E374" s="941"/>
      <c r="F374" s="463"/>
      <c r="G374" s="1465"/>
      <c r="H374" s="1465"/>
      <c r="I374" s="28"/>
      <c r="J374" s="28"/>
      <c r="K374" s="28"/>
      <c r="L374" s="28"/>
      <c r="M374" s="1465"/>
      <c r="N374" s="1465"/>
    </row>
    <row r="375" ht="39.0" customHeight="1">
      <c r="A375" s="939"/>
      <c r="B375" s="833"/>
      <c r="C375" s="833"/>
      <c r="D375" s="833"/>
      <c r="E375" s="833"/>
      <c r="F375" s="463"/>
      <c r="G375" s="1465"/>
      <c r="H375" s="1465"/>
      <c r="I375" s="30"/>
      <c r="J375" s="30"/>
      <c r="K375" s="30"/>
      <c r="L375" s="30"/>
      <c r="M375" s="1465"/>
      <c r="N375" s="1465"/>
    </row>
    <row r="376" ht="39.0" customHeight="1">
      <c r="A376" s="940"/>
      <c r="B376" s="941"/>
      <c r="C376" s="941"/>
      <c r="D376" s="941"/>
      <c r="E376" s="941"/>
      <c r="F376" s="463"/>
      <c r="G376" s="1465"/>
      <c r="H376" s="1465"/>
      <c r="I376" s="28"/>
      <c r="J376" s="28"/>
      <c r="K376" s="28"/>
      <c r="L376" s="28"/>
      <c r="M376" s="1465"/>
      <c r="N376" s="1465"/>
    </row>
    <row r="377" ht="39.0" customHeight="1">
      <c r="A377" s="939"/>
      <c r="B377" s="833"/>
      <c r="C377" s="833"/>
      <c r="D377" s="833"/>
      <c r="E377" s="833"/>
      <c r="F377" s="463"/>
      <c r="G377" s="1465"/>
      <c r="H377" s="1465"/>
      <c r="I377" s="30"/>
      <c r="J377" s="30"/>
      <c r="K377" s="30"/>
      <c r="L377" s="30"/>
      <c r="M377" s="1465"/>
      <c r="N377" s="1465"/>
    </row>
    <row r="378" ht="39.0" customHeight="1">
      <c r="A378" s="940"/>
      <c r="B378" s="941"/>
      <c r="C378" s="941"/>
      <c r="D378" s="941"/>
      <c r="E378" s="941"/>
      <c r="F378" s="463"/>
      <c r="G378" s="1465"/>
      <c r="H378" s="1465"/>
      <c r="I378" s="28"/>
      <c r="J378" s="28"/>
      <c r="K378" s="28"/>
      <c r="L378" s="28"/>
      <c r="M378" s="1465"/>
      <c r="N378" s="1465"/>
    </row>
    <row r="379" ht="39.0" customHeight="1">
      <c r="A379" s="939"/>
      <c r="B379" s="833"/>
      <c r="C379" s="833"/>
      <c r="D379" s="833"/>
      <c r="E379" s="833"/>
      <c r="F379" s="463"/>
      <c r="G379" s="1465"/>
      <c r="H379" s="1465"/>
      <c r="I379" s="30"/>
      <c r="J379" s="30"/>
      <c r="K379" s="30"/>
      <c r="L379" s="30"/>
      <c r="M379" s="1465"/>
      <c r="N379" s="1465"/>
    </row>
    <row r="380" ht="39.0" customHeight="1">
      <c r="A380" s="940"/>
      <c r="B380" s="941"/>
      <c r="C380" s="941"/>
      <c r="D380" s="941"/>
      <c r="E380" s="941"/>
      <c r="F380" s="463"/>
      <c r="G380" s="1465"/>
      <c r="H380" s="1465"/>
      <c r="I380" s="28"/>
      <c r="J380" s="28"/>
      <c r="K380" s="28"/>
      <c r="L380" s="28"/>
      <c r="M380" s="1465"/>
      <c r="N380" s="1465"/>
    </row>
    <row r="381" ht="39.0" customHeight="1">
      <c r="A381" s="939"/>
      <c r="B381" s="833"/>
      <c r="C381" s="833"/>
      <c r="D381" s="833"/>
      <c r="E381" s="833"/>
      <c r="F381" s="463"/>
      <c r="G381" s="1465"/>
      <c r="H381" s="1465"/>
      <c r="I381" s="30"/>
      <c r="J381" s="30"/>
      <c r="K381" s="30"/>
      <c r="L381" s="30"/>
      <c r="M381" s="1465"/>
      <c r="N381" s="1465"/>
    </row>
    <row r="382" ht="39.0" customHeight="1">
      <c r="A382" s="940"/>
      <c r="B382" s="941"/>
      <c r="C382" s="941"/>
      <c r="D382" s="941"/>
      <c r="E382" s="941"/>
      <c r="F382" s="463"/>
      <c r="G382" s="1465"/>
      <c r="H382" s="1465"/>
      <c r="I382" s="28"/>
      <c r="J382" s="28"/>
      <c r="K382" s="28"/>
      <c r="L382" s="28"/>
      <c r="M382" s="1465"/>
      <c r="N382" s="1465"/>
    </row>
    <row r="383" ht="39.0" customHeight="1">
      <c r="A383" s="939"/>
      <c r="B383" s="833"/>
      <c r="C383" s="833"/>
      <c r="D383" s="833"/>
      <c r="E383" s="833"/>
      <c r="F383" s="463"/>
      <c r="G383" s="1465"/>
      <c r="H383" s="1465"/>
      <c r="I383" s="30"/>
      <c r="J383" s="30"/>
      <c r="K383" s="30"/>
      <c r="L383" s="30"/>
      <c r="M383" s="1465"/>
      <c r="N383" s="1465"/>
    </row>
    <row r="384" ht="39.0" customHeight="1">
      <c r="A384" s="940"/>
      <c r="B384" s="941"/>
      <c r="C384" s="941"/>
      <c r="D384" s="941"/>
      <c r="E384" s="941"/>
      <c r="F384" s="463"/>
      <c r="G384" s="1465"/>
      <c r="H384" s="1465"/>
      <c r="I384" s="28"/>
      <c r="J384" s="28"/>
      <c r="K384" s="28"/>
      <c r="L384" s="28"/>
      <c r="M384" s="1465"/>
      <c r="N384" s="1465"/>
    </row>
    <row r="385" ht="39.0" customHeight="1">
      <c r="A385" s="939"/>
      <c r="B385" s="833"/>
      <c r="C385" s="833"/>
      <c r="D385" s="833"/>
      <c r="E385" s="833"/>
      <c r="F385" s="463"/>
      <c r="G385" s="1465"/>
      <c r="H385" s="1465"/>
      <c r="I385" s="30"/>
      <c r="J385" s="30"/>
      <c r="K385" s="30"/>
      <c r="L385" s="30"/>
      <c r="M385" s="1465"/>
      <c r="N385" s="1465"/>
    </row>
    <row r="386" ht="39.0" customHeight="1">
      <c r="A386" s="940"/>
      <c r="B386" s="941"/>
      <c r="C386" s="941"/>
      <c r="D386" s="941"/>
      <c r="E386" s="941"/>
      <c r="F386" s="463"/>
      <c r="G386" s="1465"/>
      <c r="H386" s="1465"/>
      <c r="I386" s="28"/>
      <c r="J386" s="28"/>
      <c r="K386" s="28"/>
      <c r="L386" s="28"/>
      <c r="M386" s="1465"/>
      <c r="N386" s="1465"/>
    </row>
    <row r="387" ht="39.0" customHeight="1">
      <c r="A387" s="939"/>
      <c r="B387" s="833"/>
      <c r="C387" s="833"/>
      <c r="D387" s="833"/>
      <c r="E387" s="833"/>
      <c r="F387" s="463"/>
      <c r="G387" s="1465"/>
      <c r="H387" s="1465"/>
      <c r="I387" s="30"/>
      <c r="J387" s="30"/>
      <c r="K387" s="30"/>
      <c r="L387" s="30"/>
      <c r="M387" s="1465"/>
      <c r="N387" s="1465"/>
    </row>
    <row r="388" ht="39.0" customHeight="1">
      <c r="A388" s="940"/>
      <c r="B388" s="941"/>
      <c r="C388" s="941"/>
      <c r="D388" s="941"/>
      <c r="E388" s="941"/>
      <c r="F388" s="463"/>
      <c r="G388" s="1465"/>
      <c r="H388" s="1465"/>
      <c r="I388" s="28"/>
      <c r="J388" s="28"/>
      <c r="K388" s="28"/>
      <c r="L388" s="28"/>
      <c r="M388" s="1465"/>
      <c r="N388" s="1465"/>
    </row>
    <row r="389" ht="39.0" customHeight="1">
      <c r="A389" s="939"/>
      <c r="B389" s="833"/>
      <c r="C389" s="833"/>
      <c r="D389" s="833"/>
      <c r="E389" s="833"/>
      <c r="F389" s="463"/>
      <c r="G389" s="1465"/>
      <c r="H389" s="1465"/>
      <c r="I389" s="30"/>
      <c r="J389" s="30"/>
      <c r="K389" s="30"/>
      <c r="L389" s="30"/>
      <c r="M389" s="1465"/>
      <c r="N389" s="1465"/>
    </row>
    <row r="390" ht="39.0" customHeight="1">
      <c r="A390" s="940"/>
      <c r="B390" s="941"/>
      <c r="C390" s="941"/>
      <c r="D390" s="941"/>
      <c r="E390" s="941"/>
      <c r="F390" s="463"/>
      <c r="G390" s="1465"/>
      <c r="H390" s="1465"/>
      <c r="I390" s="28"/>
      <c r="J390" s="28"/>
      <c r="K390" s="28"/>
      <c r="L390" s="28"/>
      <c r="M390" s="1465"/>
      <c r="N390" s="1465"/>
    </row>
    <row r="391" ht="39.0" customHeight="1">
      <c r="A391" s="939"/>
      <c r="B391" s="833"/>
      <c r="C391" s="833"/>
      <c r="D391" s="833"/>
      <c r="E391" s="833"/>
      <c r="F391" s="463"/>
      <c r="G391" s="1465"/>
      <c r="H391" s="1465"/>
      <c r="I391" s="30"/>
      <c r="J391" s="30"/>
      <c r="K391" s="30"/>
      <c r="L391" s="30"/>
      <c r="M391" s="1465"/>
      <c r="N391" s="1465"/>
    </row>
    <row r="392" ht="39.0" customHeight="1">
      <c r="A392" s="940"/>
      <c r="B392" s="941"/>
      <c r="C392" s="941"/>
      <c r="D392" s="941"/>
      <c r="E392" s="941"/>
      <c r="F392" s="463"/>
      <c r="G392" s="1465"/>
      <c r="H392" s="1465"/>
      <c r="I392" s="28"/>
      <c r="J392" s="28"/>
      <c r="K392" s="28"/>
      <c r="L392" s="28"/>
      <c r="M392" s="1465"/>
      <c r="N392" s="1465"/>
    </row>
    <row r="393" ht="39.0" customHeight="1">
      <c r="A393" s="939"/>
      <c r="B393" s="833"/>
      <c r="C393" s="833"/>
      <c r="D393" s="833"/>
      <c r="E393" s="833"/>
      <c r="F393" s="463"/>
      <c r="G393" s="1465"/>
      <c r="H393" s="1465"/>
      <c r="I393" s="30"/>
      <c r="J393" s="30"/>
      <c r="K393" s="30"/>
      <c r="L393" s="30"/>
      <c r="M393" s="1465"/>
      <c r="N393" s="1465"/>
    </row>
    <row r="394" ht="39.0" customHeight="1">
      <c r="A394" s="940"/>
      <c r="B394" s="941"/>
      <c r="C394" s="941"/>
      <c r="D394" s="941"/>
      <c r="E394" s="941"/>
      <c r="F394" s="463"/>
      <c r="G394" s="1465"/>
      <c r="H394" s="1465"/>
      <c r="I394" s="28"/>
      <c r="J394" s="28"/>
      <c r="K394" s="28"/>
      <c r="L394" s="28"/>
      <c r="M394" s="1465"/>
      <c r="N394" s="1465"/>
    </row>
    <row r="395" ht="39.0" customHeight="1">
      <c r="A395" s="939"/>
      <c r="B395" s="833"/>
      <c r="C395" s="833"/>
      <c r="D395" s="833"/>
      <c r="E395" s="833"/>
      <c r="F395" s="463"/>
      <c r="G395" s="1465"/>
      <c r="H395" s="1465"/>
      <c r="I395" s="30"/>
      <c r="J395" s="30"/>
      <c r="K395" s="30"/>
      <c r="L395" s="30"/>
      <c r="M395" s="1465"/>
      <c r="N395" s="1465"/>
    </row>
    <row r="396" ht="39.0" customHeight="1">
      <c r="A396" s="940"/>
      <c r="B396" s="941"/>
      <c r="C396" s="941"/>
      <c r="D396" s="941"/>
      <c r="E396" s="941"/>
      <c r="F396" s="463"/>
      <c r="G396" s="1465"/>
      <c r="H396" s="1465"/>
      <c r="I396" s="28"/>
      <c r="J396" s="28"/>
      <c r="K396" s="28"/>
      <c r="L396" s="28"/>
      <c r="M396" s="1465"/>
      <c r="N396" s="1465"/>
    </row>
    <row r="397" ht="39.0" customHeight="1">
      <c r="A397" s="939"/>
      <c r="B397" s="833"/>
      <c r="C397" s="833"/>
      <c r="D397" s="833"/>
      <c r="E397" s="833"/>
      <c r="F397" s="463"/>
      <c r="G397" s="1465"/>
      <c r="H397" s="1465"/>
      <c r="I397" s="30"/>
      <c r="J397" s="30"/>
      <c r="K397" s="30"/>
      <c r="L397" s="30"/>
      <c r="M397" s="1465"/>
      <c r="N397" s="1465"/>
    </row>
    <row r="398" ht="39.0" customHeight="1">
      <c r="A398" s="940"/>
      <c r="B398" s="941"/>
      <c r="C398" s="941"/>
      <c r="D398" s="941"/>
      <c r="E398" s="941"/>
      <c r="F398" s="463"/>
      <c r="G398" s="1465"/>
      <c r="H398" s="1465"/>
      <c r="I398" s="28"/>
      <c r="J398" s="28"/>
      <c r="K398" s="28"/>
      <c r="L398" s="28"/>
      <c r="M398" s="1465"/>
      <c r="N398" s="1465"/>
    </row>
    <row r="399" ht="39.0" customHeight="1">
      <c r="A399" s="939"/>
      <c r="B399" s="833"/>
      <c r="C399" s="833"/>
      <c r="D399" s="833"/>
      <c r="E399" s="833"/>
      <c r="F399" s="463"/>
      <c r="G399" s="1465"/>
      <c r="H399" s="1465"/>
      <c r="I399" s="30"/>
      <c r="J399" s="30"/>
      <c r="K399" s="30"/>
      <c r="L399" s="30"/>
      <c r="M399" s="1465"/>
      <c r="N399" s="1465"/>
    </row>
    <row r="400" ht="39.0" customHeight="1">
      <c r="A400" s="940"/>
      <c r="B400" s="941"/>
      <c r="C400" s="941"/>
      <c r="D400" s="941"/>
      <c r="E400" s="941"/>
      <c r="F400" s="463"/>
      <c r="G400" s="1465"/>
      <c r="H400" s="1465"/>
      <c r="I400" s="28"/>
      <c r="J400" s="28"/>
      <c r="K400" s="28"/>
      <c r="L400" s="28"/>
      <c r="M400" s="1465"/>
      <c r="N400" s="1465"/>
    </row>
    <row r="401" ht="39.0" customHeight="1">
      <c r="A401" s="939"/>
      <c r="B401" s="833"/>
      <c r="C401" s="833"/>
      <c r="D401" s="833"/>
      <c r="E401" s="833"/>
      <c r="F401" s="463"/>
      <c r="G401" s="1465"/>
      <c r="H401" s="1465"/>
      <c r="I401" s="30"/>
      <c r="J401" s="30"/>
      <c r="K401" s="30"/>
      <c r="L401" s="30"/>
      <c r="M401" s="1465"/>
      <c r="N401" s="1465"/>
    </row>
    <row r="402" ht="39.0" customHeight="1">
      <c r="A402" s="940"/>
      <c r="B402" s="941"/>
      <c r="C402" s="941"/>
      <c r="D402" s="941"/>
      <c r="E402" s="941"/>
      <c r="F402" s="463"/>
      <c r="G402" s="1465"/>
      <c r="H402" s="1465"/>
      <c r="I402" s="28"/>
      <c r="J402" s="28"/>
      <c r="K402" s="28"/>
      <c r="L402" s="28"/>
      <c r="M402" s="1465"/>
      <c r="N402" s="1465"/>
    </row>
    <row r="403" ht="39.0" customHeight="1">
      <c r="A403" s="939"/>
      <c r="B403" s="833"/>
      <c r="C403" s="833"/>
      <c r="D403" s="833"/>
      <c r="E403" s="833"/>
      <c r="F403" s="463"/>
      <c r="G403" s="1465"/>
      <c r="H403" s="1465"/>
      <c r="I403" s="30"/>
      <c r="J403" s="30"/>
      <c r="K403" s="30"/>
      <c r="L403" s="30"/>
      <c r="M403" s="1465"/>
      <c r="N403" s="1465"/>
    </row>
    <row r="404" ht="39.0" customHeight="1">
      <c r="A404" s="940"/>
      <c r="B404" s="941"/>
      <c r="C404" s="941"/>
      <c r="D404" s="941"/>
      <c r="E404" s="941"/>
      <c r="F404" s="463"/>
      <c r="G404" s="1465"/>
      <c r="H404" s="1465"/>
      <c r="I404" s="28"/>
      <c r="J404" s="28"/>
      <c r="K404" s="28"/>
      <c r="L404" s="28"/>
      <c r="M404" s="1465"/>
      <c r="N404" s="1465"/>
    </row>
    <row r="405" ht="39.0" customHeight="1">
      <c r="A405" s="939"/>
      <c r="B405" s="833"/>
      <c r="C405" s="833"/>
      <c r="D405" s="833"/>
      <c r="E405" s="833"/>
      <c r="F405" s="463"/>
      <c r="G405" s="1465"/>
      <c r="H405" s="1465"/>
      <c r="I405" s="30"/>
      <c r="J405" s="30"/>
      <c r="K405" s="30"/>
      <c r="L405" s="30"/>
      <c r="M405" s="1465"/>
      <c r="N405" s="1465"/>
    </row>
    <row r="406" ht="39.0" customHeight="1">
      <c r="A406" s="940"/>
      <c r="B406" s="941"/>
      <c r="C406" s="941"/>
      <c r="D406" s="941"/>
      <c r="E406" s="941"/>
      <c r="F406" s="463"/>
      <c r="G406" s="1465"/>
      <c r="H406" s="1465"/>
      <c r="I406" s="28"/>
      <c r="J406" s="28"/>
      <c r="K406" s="28"/>
      <c r="L406" s="28"/>
      <c r="M406" s="1465"/>
      <c r="N406" s="1465"/>
    </row>
    <row r="407" ht="39.0" customHeight="1">
      <c r="A407" s="939"/>
      <c r="B407" s="833"/>
      <c r="C407" s="833"/>
      <c r="D407" s="833"/>
      <c r="E407" s="833"/>
      <c r="F407" s="463"/>
      <c r="G407" s="1465"/>
      <c r="H407" s="1465"/>
      <c r="I407" s="30"/>
      <c r="J407" s="30"/>
      <c r="K407" s="30"/>
      <c r="L407" s="30"/>
      <c r="M407" s="1465"/>
      <c r="N407" s="1465"/>
    </row>
    <row r="408" ht="39.0" customHeight="1">
      <c r="A408" s="940"/>
      <c r="B408" s="941"/>
      <c r="C408" s="941"/>
      <c r="D408" s="941"/>
      <c r="E408" s="941"/>
      <c r="F408" s="463"/>
      <c r="G408" s="1465"/>
      <c r="H408" s="1465"/>
      <c r="I408" s="28"/>
      <c r="J408" s="28"/>
      <c r="K408" s="28"/>
      <c r="L408" s="28"/>
      <c r="M408" s="1465"/>
      <c r="N408" s="1465"/>
    </row>
    <row r="409" ht="39.0" customHeight="1">
      <c r="A409" s="939"/>
      <c r="B409" s="833"/>
      <c r="C409" s="833"/>
      <c r="D409" s="833"/>
      <c r="E409" s="833"/>
      <c r="F409" s="463"/>
      <c r="G409" s="1465"/>
      <c r="H409" s="1465"/>
      <c r="I409" s="30"/>
      <c r="J409" s="30"/>
      <c r="K409" s="30"/>
      <c r="L409" s="30"/>
      <c r="M409" s="1465"/>
      <c r="N409" s="1465"/>
    </row>
    <row r="410" ht="39.0" customHeight="1">
      <c r="A410" s="940"/>
      <c r="B410" s="941"/>
      <c r="C410" s="941"/>
      <c r="D410" s="941"/>
      <c r="E410" s="941"/>
      <c r="F410" s="463"/>
      <c r="G410" s="1465"/>
      <c r="H410" s="1465"/>
      <c r="I410" s="28"/>
      <c r="J410" s="28"/>
      <c r="K410" s="28"/>
      <c r="L410" s="28"/>
      <c r="M410" s="1465"/>
      <c r="N410" s="1465"/>
    </row>
    <row r="411" ht="39.0" customHeight="1">
      <c r="A411" s="939"/>
      <c r="B411" s="833"/>
      <c r="C411" s="833"/>
      <c r="D411" s="833"/>
      <c r="E411" s="833"/>
      <c r="F411" s="463"/>
      <c r="G411" s="1465"/>
      <c r="H411" s="1465"/>
      <c r="I411" s="30"/>
      <c r="J411" s="30"/>
      <c r="K411" s="30"/>
      <c r="L411" s="30"/>
      <c r="M411" s="1465"/>
      <c r="N411" s="1465"/>
    </row>
    <row r="412" ht="39.0" customHeight="1">
      <c r="A412" s="940"/>
      <c r="B412" s="941"/>
      <c r="C412" s="941"/>
      <c r="D412" s="941"/>
      <c r="E412" s="941"/>
      <c r="F412" s="463"/>
      <c r="G412" s="1465"/>
      <c r="H412" s="1465"/>
      <c r="I412" s="28"/>
      <c r="J412" s="28"/>
      <c r="K412" s="28"/>
      <c r="L412" s="28"/>
      <c r="M412" s="1465"/>
      <c r="N412" s="1465"/>
    </row>
    <row r="413" ht="39.0" customHeight="1">
      <c r="A413" s="939"/>
      <c r="B413" s="833"/>
      <c r="C413" s="833"/>
      <c r="D413" s="833"/>
      <c r="E413" s="833"/>
      <c r="F413" s="463"/>
      <c r="G413" s="1465"/>
      <c r="H413" s="1465"/>
      <c r="I413" s="30"/>
      <c r="J413" s="30"/>
      <c r="K413" s="30"/>
      <c r="L413" s="30"/>
      <c r="M413" s="1465"/>
      <c r="N413" s="1465"/>
    </row>
    <row r="414" ht="39.0" customHeight="1">
      <c r="A414" s="940"/>
      <c r="B414" s="941"/>
      <c r="C414" s="941"/>
      <c r="D414" s="941"/>
      <c r="E414" s="941"/>
      <c r="F414" s="463"/>
      <c r="G414" s="1465"/>
      <c r="H414" s="1465"/>
      <c r="I414" s="28"/>
      <c r="J414" s="28"/>
      <c r="K414" s="28"/>
      <c r="L414" s="28"/>
      <c r="M414" s="1465"/>
      <c r="N414" s="1465"/>
    </row>
    <row r="415" ht="39.0" customHeight="1">
      <c r="A415" s="939"/>
      <c r="B415" s="833"/>
      <c r="C415" s="833"/>
      <c r="D415" s="833"/>
      <c r="E415" s="833"/>
      <c r="F415" s="463"/>
      <c r="G415" s="1465"/>
      <c r="H415" s="1465"/>
      <c r="I415" s="30"/>
      <c r="J415" s="30"/>
      <c r="K415" s="30"/>
      <c r="L415" s="30"/>
      <c r="M415" s="1465"/>
      <c r="N415" s="1465"/>
    </row>
    <row r="416" ht="39.0" customHeight="1">
      <c r="A416" s="940"/>
      <c r="B416" s="941"/>
      <c r="C416" s="941"/>
      <c r="D416" s="941"/>
      <c r="E416" s="941"/>
      <c r="F416" s="463"/>
      <c r="G416" s="1465"/>
      <c r="H416" s="1465"/>
      <c r="I416" s="28"/>
      <c r="J416" s="28"/>
      <c r="K416" s="28"/>
      <c r="L416" s="28"/>
      <c r="M416" s="1465"/>
      <c r="N416" s="1465"/>
    </row>
    <row r="417" ht="39.0" customHeight="1">
      <c r="A417" s="939"/>
      <c r="B417" s="833"/>
      <c r="C417" s="833"/>
      <c r="D417" s="833"/>
      <c r="E417" s="833"/>
      <c r="F417" s="463"/>
      <c r="G417" s="1465"/>
      <c r="H417" s="1465"/>
      <c r="I417" s="30"/>
      <c r="J417" s="30"/>
      <c r="K417" s="30"/>
      <c r="L417" s="30"/>
      <c r="M417" s="1465"/>
      <c r="N417" s="1465"/>
    </row>
    <row r="418" ht="39.0" customHeight="1">
      <c r="A418" s="940"/>
      <c r="B418" s="941"/>
      <c r="C418" s="941"/>
      <c r="D418" s="941"/>
      <c r="E418" s="941"/>
      <c r="F418" s="463"/>
      <c r="G418" s="1465"/>
      <c r="H418" s="1465"/>
      <c r="I418" s="28"/>
      <c r="J418" s="28"/>
      <c r="K418" s="28"/>
      <c r="L418" s="28"/>
      <c r="M418" s="1465"/>
      <c r="N418" s="1465"/>
    </row>
    <row r="419" ht="39.0" customHeight="1">
      <c r="A419" s="939"/>
      <c r="B419" s="833"/>
      <c r="C419" s="833"/>
      <c r="D419" s="833"/>
      <c r="E419" s="833"/>
      <c r="F419" s="463"/>
      <c r="G419" s="1465"/>
      <c r="H419" s="1465"/>
      <c r="I419" s="30"/>
      <c r="J419" s="30"/>
      <c r="K419" s="30"/>
      <c r="L419" s="30"/>
      <c r="M419" s="1465"/>
      <c r="N419" s="1465"/>
    </row>
    <row r="420" ht="39.0" customHeight="1">
      <c r="A420" s="940"/>
      <c r="B420" s="941"/>
      <c r="C420" s="941"/>
      <c r="D420" s="941"/>
      <c r="E420" s="941"/>
      <c r="F420" s="463"/>
      <c r="G420" s="1465"/>
      <c r="H420" s="1465"/>
      <c r="I420" s="28"/>
      <c r="J420" s="28"/>
      <c r="K420" s="28"/>
      <c r="L420" s="28"/>
      <c r="M420" s="1465"/>
      <c r="N420" s="1465"/>
    </row>
    <row r="421" ht="39.0" customHeight="1">
      <c r="A421" s="939"/>
      <c r="B421" s="833"/>
      <c r="C421" s="833"/>
      <c r="D421" s="833"/>
      <c r="E421" s="833"/>
      <c r="F421" s="463"/>
      <c r="G421" s="1465"/>
      <c r="H421" s="1465"/>
      <c r="I421" s="30"/>
      <c r="J421" s="30"/>
      <c r="K421" s="30"/>
      <c r="L421" s="30"/>
      <c r="M421" s="1465"/>
      <c r="N421" s="1465"/>
    </row>
    <row r="422" ht="39.0" customHeight="1">
      <c r="A422" s="940"/>
      <c r="B422" s="941"/>
      <c r="C422" s="941"/>
      <c r="D422" s="941"/>
      <c r="E422" s="941"/>
      <c r="F422" s="463"/>
      <c r="G422" s="1465"/>
      <c r="H422" s="1465"/>
      <c r="I422" s="28"/>
      <c r="J422" s="28"/>
      <c r="K422" s="28"/>
      <c r="L422" s="28"/>
      <c r="M422" s="1465"/>
      <c r="N422" s="1465"/>
    </row>
    <row r="423" ht="39.0" customHeight="1">
      <c r="A423" s="939"/>
      <c r="B423" s="833"/>
      <c r="C423" s="833"/>
      <c r="D423" s="833"/>
      <c r="E423" s="833"/>
      <c r="F423" s="463"/>
      <c r="G423" s="1465"/>
      <c r="H423" s="1465"/>
      <c r="I423" s="30"/>
      <c r="J423" s="30"/>
      <c r="K423" s="30"/>
      <c r="L423" s="30"/>
      <c r="M423" s="1465"/>
      <c r="N423" s="1465"/>
    </row>
    <row r="424" ht="39.0" customHeight="1">
      <c r="A424" s="940"/>
      <c r="B424" s="941"/>
      <c r="C424" s="941"/>
      <c r="D424" s="941"/>
      <c r="E424" s="941"/>
      <c r="F424" s="463"/>
      <c r="G424" s="1465"/>
      <c r="H424" s="1465"/>
      <c r="I424" s="28"/>
      <c r="J424" s="28"/>
      <c r="K424" s="28"/>
      <c r="L424" s="28"/>
      <c r="M424" s="1465"/>
      <c r="N424" s="1465"/>
    </row>
    <row r="425" ht="39.0" customHeight="1">
      <c r="A425" s="939"/>
      <c r="B425" s="833"/>
      <c r="C425" s="833"/>
      <c r="D425" s="833"/>
      <c r="E425" s="833"/>
      <c r="F425" s="463"/>
      <c r="G425" s="1465"/>
      <c r="H425" s="1465"/>
      <c r="I425" s="30"/>
      <c r="J425" s="30"/>
      <c r="K425" s="30"/>
      <c r="L425" s="30"/>
      <c r="M425" s="1465"/>
      <c r="N425" s="1465"/>
    </row>
    <row r="426" ht="39.0" customHeight="1">
      <c r="A426" s="940"/>
      <c r="B426" s="941"/>
      <c r="C426" s="941"/>
      <c r="D426" s="941"/>
      <c r="E426" s="941"/>
      <c r="F426" s="463"/>
      <c r="G426" s="1465"/>
      <c r="H426" s="1465"/>
      <c r="I426" s="28"/>
      <c r="J426" s="28"/>
      <c r="K426" s="28"/>
      <c r="L426" s="28"/>
      <c r="M426" s="1465"/>
      <c r="N426" s="1465"/>
    </row>
    <row r="427" ht="39.0" customHeight="1">
      <c r="A427" s="939"/>
      <c r="B427" s="833"/>
      <c r="C427" s="833"/>
      <c r="D427" s="833"/>
      <c r="E427" s="833"/>
      <c r="F427" s="463"/>
      <c r="G427" s="1465"/>
      <c r="H427" s="1465"/>
      <c r="I427" s="30"/>
      <c r="J427" s="30"/>
      <c r="K427" s="30"/>
      <c r="L427" s="30"/>
      <c r="M427" s="1465"/>
      <c r="N427" s="1465"/>
    </row>
    <row r="428" ht="39.0" customHeight="1">
      <c r="A428" s="940"/>
      <c r="B428" s="941"/>
      <c r="C428" s="941"/>
      <c r="D428" s="941"/>
      <c r="E428" s="941"/>
      <c r="F428" s="463"/>
      <c r="G428" s="1465"/>
      <c r="H428" s="1465"/>
      <c r="I428" s="28"/>
      <c r="J428" s="28"/>
      <c r="K428" s="28"/>
      <c r="L428" s="28"/>
      <c r="M428" s="1465"/>
      <c r="N428" s="1465"/>
    </row>
    <row r="429" ht="39.0" customHeight="1">
      <c r="A429" s="939"/>
      <c r="B429" s="833"/>
      <c r="C429" s="833"/>
      <c r="D429" s="833"/>
      <c r="E429" s="833"/>
      <c r="F429" s="463"/>
      <c r="G429" s="1465"/>
      <c r="H429" s="1465"/>
      <c r="I429" s="30"/>
      <c r="J429" s="30"/>
      <c r="K429" s="30"/>
      <c r="L429" s="30"/>
      <c r="M429" s="1465"/>
      <c r="N429" s="1465"/>
    </row>
    <row r="430" ht="39.0" customHeight="1">
      <c r="A430" s="940"/>
      <c r="B430" s="941"/>
      <c r="C430" s="941"/>
      <c r="D430" s="941"/>
      <c r="E430" s="941"/>
      <c r="F430" s="463"/>
      <c r="G430" s="1465"/>
      <c r="H430" s="1465"/>
      <c r="I430" s="28"/>
      <c r="J430" s="28"/>
      <c r="K430" s="28"/>
      <c r="L430" s="28"/>
      <c r="M430" s="1465"/>
      <c r="N430" s="1465"/>
    </row>
    <row r="431" ht="39.0" customHeight="1">
      <c r="A431" s="939"/>
      <c r="B431" s="833"/>
      <c r="C431" s="833"/>
      <c r="D431" s="833"/>
      <c r="E431" s="833"/>
      <c r="F431" s="463"/>
      <c r="G431" s="1465"/>
      <c r="H431" s="1465"/>
      <c r="I431" s="30"/>
      <c r="J431" s="30"/>
      <c r="K431" s="30"/>
      <c r="L431" s="30"/>
      <c r="M431" s="1465"/>
      <c r="N431" s="1465"/>
    </row>
    <row r="432" ht="39.0" customHeight="1">
      <c r="A432" s="940"/>
      <c r="B432" s="941"/>
      <c r="C432" s="941"/>
      <c r="D432" s="941"/>
      <c r="E432" s="941"/>
      <c r="F432" s="463"/>
      <c r="G432" s="1465"/>
      <c r="H432" s="1465"/>
      <c r="I432" s="28"/>
      <c r="J432" s="28"/>
      <c r="K432" s="28"/>
      <c r="L432" s="28"/>
      <c r="M432" s="1465"/>
      <c r="N432" s="1465"/>
    </row>
    <row r="433" ht="39.0" customHeight="1">
      <c r="A433" s="939"/>
      <c r="B433" s="833"/>
      <c r="C433" s="833"/>
      <c r="D433" s="833"/>
      <c r="E433" s="833"/>
      <c r="F433" s="463"/>
      <c r="G433" s="1465"/>
      <c r="H433" s="1465"/>
      <c r="I433" s="30"/>
      <c r="J433" s="30"/>
      <c r="K433" s="30"/>
      <c r="L433" s="30"/>
      <c r="M433" s="1465"/>
      <c r="N433" s="1465"/>
    </row>
    <row r="434" ht="39.0" customHeight="1">
      <c r="A434" s="940"/>
      <c r="B434" s="941"/>
      <c r="C434" s="941"/>
      <c r="D434" s="941"/>
      <c r="E434" s="941"/>
      <c r="F434" s="463"/>
      <c r="G434" s="1465"/>
      <c r="H434" s="1465"/>
      <c r="I434" s="28"/>
      <c r="J434" s="28"/>
      <c r="K434" s="28"/>
      <c r="L434" s="28"/>
      <c r="M434" s="1465"/>
      <c r="N434" s="1465"/>
    </row>
    <row r="435" ht="39.0" customHeight="1">
      <c r="A435" s="939"/>
      <c r="B435" s="833"/>
      <c r="C435" s="833"/>
      <c r="D435" s="833"/>
      <c r="E435" s="833"/>
      <c r="F435" s="463"/>
      <c r="G435" s="1465"/>
      <c r="H435" s="1465"/>
      <c r="I435" s="30"/>
      <c r="J435" s="30"/>
      <c r="K435" s="30"/>
      <c r="L435" s="30"/>
      <c r="M435" s="1465"/>
      <c r="N435" s="1465"/>
    </row>
    <row r="436" ht="39.0" customHeight="1">
      <c r="A436" s="940"/>
      <c r="B436" s="941"/>
      <c r="C436" s="941"/>
      <c r="D436" s="941"/>
      <c r="E436" s="941"/>
      <c r="F436" s="463"/>
      <c r="G436" s="1465"/>
      <c r="H436" s="1465"/>
      <c r="I436" s="28"/>
      <c r="J436" s="28"/>
      <c r="K436" s="28"/>
      <c r="L436" s="28"/>
      <c r="M436" s="1465"/>
      <c r="N436" s="1465"/>
    </row>
    <row r="437" ht="39.0" customHeight="1">
      <c r="A437" s="939"/>
      <c r="B437" s="833"/>
      <c r="C437" s="833"/>
      <c r="D437" s="833"/>
      <c r="E437" s="833"/>
      <c r="F437" s="463"/>
      <c r="G437" s="1465"/>
      <c r="H437" s="1465"/>
      <c r="I437" s="30"/>
      <c r="J437" s="30"/>
      <c r="K437" s="30"/>
      <c r="L437" s="30"/>
      <c r="M437" s="1465"/>
      <c r="N437" s="1465"/>
    </row>
    <row r="438" ht="39.0" customHeight="1">
      <c r="A438" s="940"/>
      <c r="B438" s="941"/>
      <c r="C438" s="941"/>
      <c r="D438" s="941"/>
      <c r="E438" s="941"/>
      <c r="F438" s="463"/>
      <c r="G438" s="1465"/>
      <c r="H438" s="1465"/>
      <c r="I438" s="28"/>
      <c r="J438" s="28"/>
      <c r="K438" s="28"/>
      <c r="L438" s="28"/>
      <c r="M438" s="1465"/>
      <c r="N438" s="1465"/>
    </row>
    <row r="439" ht="39.0" customHeight="1">
      <c r="A439" s="939"/>
      <c r="B439" s="833"/>
      <c r="C439" s="833"/>
      <c r="D439" s="833"/>
      <c r="E439" s="833"/>
      <c r="F439" s="463"/>
      <c r="G439" s="1465"/>
      <c r="H439" s="1465"/>
      <c r="I439" s="30"/>
      <c r="J439" s="30"/>
      <c r="K439" s="30"/>
      <c r="L439" s="30"/>
      <c r="M439" s="1465"/>
      <c r="N439" s="1465"/>
    </row>
    <row r="440" ht="39.0" customHeight="1">
      <c r="A440" s="940"/>
      <c r="B440" s="941"/>
      <c r="C440" s="941"/>
      <c r="D440" s="941"/>
      <c r="E440" s="941"/>
      <c r="F440" s="463"/>
      <c r="G440" s="1465"/>
      <c r="H440" s="1465"/>
      <c r="I440" s="28"/>
      <c r="J440" s="28"/>
      <c r="K440" s="28"/>
      <c r="L440" s="28"/>
      <c r="M440" s="1465"/>
      <c r="N440" s="1465"/>
    </row>
    <row r="441" ht="39.0" customHeight="1">
      <c r="A441" s="939"/>
      <c r="B441" s="833"/>
      <c r="C441" s="833"/>
      <c r="D441" s="833"/>
      <c r="E441" s="833"/>
      <c r="F441" s="463"/>
      <c r="G441" s="1465"/>
      <c r="H441" s="1465"/>
      <c r="I441" s="30"/>
      <c r="J441" s="30"/>
      <c r="K441" s="30"/>
      <c r="L441" s="30"/>
      <c r="M441" s="1465"/>
      <c r="N441" s="1465"/>
    </row>
    <row r="442" ht="39.0" customHeight="1">
      <c r="A442" s="940"/>
      <c r="B442" s="941"/>
      <c r="C442" s="941"/>
      <c r="D442" s="941"/>
      <c r="E442" s="941"/>
      <c r="F442" s="463"/>
      <c r="G442" s="1465"/>
      <c r="H442" s="1465"/>
      <c r="I442" s="28"/>
      <c r="J442" s="28"/>
      <c r="K442" s="28"/>
      <c r="L442" s="28"/>
      <c r="M442" s="1465"/>
      <c r="N442" s="1465"/>
    </row>
    <row r="443" ht="39.0" customHeight="1">
      <c r="A443" s="939"/>
      <c r="B443" s="833"/>
      <c r="C443" s="833"/>
      <c r="D443" s="833"/>
      <c r="E443" s="833"/>
      <c r="F443" s="463"/>
      <c r="G443" s="1465"/>
      <c r="H443" s="1465"/>
      <c r="I443" s="30"/>
      <c r="J443" s="30"/>
      <c r="K443" s="30"/>
      <c r="L443" s="30"/>
      <c r="M443" s="1465"/>
      <c r="N443" s="1465"/>
    </row>
    <row r="444" ht="39.0" customHeight="1">
      <c r="A444" s="940"/>
      <c r="B444" s="941"/>
      <c r="C444" s="941"/>
      <c r="D444" s="941"/>
      <c r="E444" s="941"/>
      <c r="F444" s="463"/>
      <c r="G444" s="1465"/>
      <c r="H444" s="1465"/>
      <c r="I444" s="28"/>
      <c r="J444" s="28"/>
      <c r="K444" s="28"/>
      <c r="L444" s="28"/>
      <c r="M444" s="1465"/>
      <c r="N444" s="1465"/>
    </row>
    <row r="445" ht="39.0" customHeight="1">
      <c r="A445" s="939"/>
      <c r="B445" s="833"/>
      <c r="C445" s="833"/>
      <c r="D445" s="833"/>
      <c r="E445" s="833"/>
      <c r="F445" s="463"/>
      <c r="G445" s="1465"/>
      <c r="H445" s="1465"/>
      <c r="I445" s="30"/>
      <c r="J445" s="30"/>
      <c r="K445" s="30"/>
      <c r="L445" s="30"/>
      <c r="M445" s="1465"/>
      <c r="N445" s="1465"/>
    </row>
    <row r="446" ht="39.0" customHeight="1">
      <c r="A446" s="940"/>
      <c r="B446" s="941"/>
      <c r="C446" s="941"/>
      <c r="D446" s="941"/>
      <c r="E446" s="941"/>
      <c r="F446" s="463"/>
      <c r="G446" s="1465"/>
      <c r="H446" s="1465"/>
      <c r="I446" s="28"/>
      <c r="J446" s="28"/>
      <c r="K446" s="28"/>
      <c r="L446" s="28"/>
      <c r="M446" s="1465"/>
      <c r="N446" s="1465"/>
    </row>
    <row r="447" ht="39.0" customHeight="1">
      <c r="A447" s="939"/>
      <c r="B447" s="833"/>
      <c r="C447" s="833"/>
      <c r="D447" s="833"/>
      <c r="E447" s="833"/>
      <c r="F447" s="463"/>
      <c r="G447" s="1465"/>
      <c r="H447" s="1465"/>
      <c r="I447" s="30"/>
      <c r="J447" s="30"/>
      <c r="K447" s="30"/>
      <c r="L447" s="30"/>
      <c r="M447" s="1465"/>
      <c r="N447" s="1465"/>
    </row>
    <row r="448" ht="39.0" customHeight="1">
      <c r="A448" s="940"/>
      <c r="B448" s="941"/>
      <c r="C448" s="941"/>
      <c r="D448" s="941"/>
      <c r="E448" s="941"/>
      <c r="F448" s="463"/>
      <c r="G448" s="1465"/>
      <c r="H448" s="1465"/>
      <c r="I448" s="28"/>
      <c r="J448" s="28"/>
      <c r="K448" s="28"/>
      <c r="L448" s="28"/>
      <c r="M448" s="1465"/>
      <c r="N448" s="1465"/>
    </row>
    <row r="449" ht="39.0" customHeight="1">
      <c r="A449" s="939"/>
      <c r="B449" s="833"/>
      <c r="C449" s="833"/>
      <c r="D449" s="833"/>
      <c r="E449" s="833"/>
      <c r="F449" s="463"/>
      <c r="G449" s="1465"/>
      <c r="H449" s="1465"/>
      <c r="I449" s="30"/>
      <c r="J449" s="30"/>
      <c r="K449" s="30"/>
      <c r="L449" s="30"/>
      <c r="M449" s="1465"/>
      <c r="N449" s="1465"/>
    </row>
    <row r="450" ht="39.0" customHeight="1">
      <c r="A450" s="940"/>
      <c r="B450" s="941"/>
      <c r="C450" s="941"/>
      <c r="D450" s="941"/>
      <c r="E450" s="941"/>
      <c r="F450" s="463"/>
      <c r="G450" s="1465"/>
      <c r="H450" s="1465"/>
      <c r="I450" s="28"/>
      <c r="J450" s="28"/>
      <c r="K450" s="28"/>
      <c r="L450" s="28"/>
      <c r="M450" s="1465"/>
      <c r="N450" s="1465"/>
    </row>
    <row r="451" ht="39.0" customHeight="1">
      <c r="A451" s="939"/>
      <c r="B451" s="833"/>
      <c r="C451" s="833"/>
      <c r="D451" s="833"/>
      <c r="E451" s="833"/>
      <c r="F451" s="463"/>
      <c r="G451" s="1465"/>
      <c r="H451" s="1465"/>
      <c r="I451" s="30"/>
      <c r="J451" s="30"/>
      <c r="K451" s="30"/>
      <c r="L451" s="30"/>
      <c r="M451" s="1465"/>
      <c r="N451" s="1465"/>
    </row>
    <row r="452" ht="39.0" customHeight="1">
      <c r="A452" s="940"/>
      <c r="B452" s="941"/>
      <c r="C452" s="941"/>
      <c r="D452" s="941"/>
      <c r="E452" s="941"/>
      <c r="F452" s="463"/>
      <c r="G452" s="1465"/>
      <c r="H452" s="1465"/>
      <c r="I452" s="28"/>
      <c r="J452" s="28"/>
      <c r="K452" s="28"/>
      <c r="L452" s="28"/>
      <c r="M452" s="1465"/>
      <c r="N452" s="1465"/>
    </row>
    <row r="453" ht="39.0" customHeight="1">
      <c r="A453" s="939"/>
      <c r="B453" s="833"/>
      <c r="C453" s="833"/>
      <c r="D453" s="833"/>
      <c r="E453" s="833"/>
      <c r="F453" s="463"/>
      <c r="G453" s="1465"/>
      <c r="H453" s="1465"/>
      <c r="I453" s="30"/>
      <c r="J453" s="30"/>
      <c r="K453" s="30"/>
      <c r="L453" s="30"/>
      <c r="M453" s="1465"/>
      <c r="N453" s="1465"/>
    </row>
    <row r="454" ht="39.0" customHeight="1">
      <c r="A454" s="940"/>
      <c r="B454" s="941"/>
      <c r="C454" s="941"/>
      <c r="D454" s="941"/>
      <c r="E454" s="941"/>
      <c r="F454" s="463"/>
      <c r="G454" s="1465"/>
      <c r="H454" s="1465"/>
      <c r="I454" s="28"/>
      <c r="J454" s="28"/>
      <c r="K454" s="28"/>
      <c r="L454" s="28"/>
      <c r="M454" s="1465"/>
      <c r="N454" s="1465"/>
    </row>
    <row r="455" ht="39.0" customHeight="1">
      <c r="A455" s="939"/>
      <c r="B455" s="833"/>
      <c r="C455" s="833"/>
      <c r="D455" s="833"/>
      <c r="E455" s="833"/>
      <c r="F455" s="463"/>
      <c r="G455" s="1465"/>
      <c r="H455" s="1465"/>
      <c r="I455" s="30"/>
      <c r="J455" s="30"/>
      <c r="K455" s="30"/>
      <c r="L455" s="30"/>
      <c r="M455" s="1465"/>
      <c r="N455" s="1465"/>
    </row>
    <row r="456" ht="39.0" customHeight="1">
      <c r="A456" s="940"/>
      <c r="B456" s="941"/>
      <c r="C456" s="941"/>
      <c r="D456" s="941"/>
      <c r="E456" s="941"/>
      <c r="F456" s="463"/>
      <c r="G456" s="1465"/>
      <c r="H456" s="1465"/>
      <c r="I456" s="28"/>
      <c r="J456" s="28"/>
      <c r="K456" s="28"/>
      <c r="L456" s="28"/>
      <c r="M456" s="1465"/>
      <c r="N456" s="1465"/>
    </row>
    <row r="457" ht="39.0" customHeight="1">
      <c r="A457" s="939"/>
      <c r="B457" s="833"/>
      <c r="C457" s="833"/>
      <c r="D457" s="833"/>
      <c r="E457" s="833"/>
      <c r="F457" s="463"/>
      <c r="G457" s="1465"/>
      <c r="H457" s="1465"/>
      <c r="I457" s="30"/>
      <c r="J457" s="30"/>
      <c r="K457" s="30"/>
      <c r="L457" s="30"/>
      <c r="M457" s="1465"/>
      <c r="N457" s="1465"/>
    </row>
    <row r="458" ht="39.0" customHeight="1">
      <c r="A458" s="940"/>
      <c r="B458" s="941"/>
      <c r="C458" s="941"/>
      <c r="D458" s="941"/>
      <c r="E458" s="941"/>
      <c r="F458" s="463"/>
      <c r="G458" s="1465"/>
      <c r="H458" s="1465"/>
      <c r="I458" s="28"/>
      <c r="J458" s="28"/>
      <c r="K458" s="28"/>
      <c r="L458" s="28"/>
      <c r="M458" s="1465"/>
      <c r="N458" s="1465"/>
    </row>
    <row r="459" ht="39.0" customHeight="1">
      <c r="A459" s="939"/>
      <c r="B459" s="833"/>
      <c r="C459" s="833"/>
      <c r="D459" s="833"/>
      <c r="E459" s="833"/>
      <c r="F459" s="463"/>
      <c r="G459" s="1465"/>
      <c r="H459" s="1465"/>
      <c r="I459" s="30"/>
      <c r="J459" s="30"/>
      <c r="K459" s="30"/>
      <c r="L459" s="30"/>
      <c r="M459" s="1465"/>
      <c r="N459" s="1465"/>
    </row>
    <row r="460" ht="39.0" customHeight="1">
      <c r="A460" s="940"/>
      <c r="B460" s="941"/>
      <c r="C460" s="941"/>
      <c r="D460" s="941"/>
      <c r="E460" s="941"/>
      <c r="F460" s="463"/>
      <c r="G460" s="1465"/>
      <c r="H460" s="1465"/>
      <c r="I460" s="28"/>
      <c r="J460" s="28"/>
      <c r="K460" s="28"/>
      <c r="L460" s="28"/>
      <c r="M460" s="1465"/>
      <c r="N460" s="1465"/>
    </row>
    <row r="461" ht="39.0" customHeight="1">
      <c r="A461" s="939"/>
      <c r="B461" s="833"/>
      <c r="C461" s="833"/>
      <c r="D461" s="833"/>
      <c r="E461" s="833"/>
      <c r="F461" s="463"/>
      <c r="G461" s="1465"/>
      <c r="H461" s="1465"/>
      <c r="I461" s="30"/>
      <c r="J461" s="30"/>
      <c r="K461" s="30"/>
      <c r="L461" s="30"/>
      <c r="M461" s="1465"/>
      <c r="N461" s="1465"/>
    </row>
    <row r="462" ht="39.0" customHeight="1">
      <c r="A462" s="940"/>
      <c r="B462" s="941"/>
      <c r="C462" s="941"/>
      <c r="D462" s="941"/>
      <c r="E462" s="941"/>
      <c r="F462" s="463"/>
      <c r="G462" s="1465"/>
      <c r="H462" s="1465"/>
      <c r="I462" s="28"/>
      <c r="J462" s="28"/>
      <c r="K462" s="28"/>
      <c r="L462" s="28"/>
      <c r="M462" s="1465"/>
      <c r="N462" s="1465"/>
    </row>
    <row r="463" ht="39.0" customHeight="1">
      <c r="A463" s="939"/>
      <c r="B463" s="833"/>
      <c r="C463" s="833"/>
      <c r="D463" s="833"/>
      <c r="E463" s="833"/>
      <c r="F463" s="463"/>
      <c r="G463" s="1465"/>
      <c r="H463" s="1465"/>
      <c r="I463" s="30"/>
      <c r="J463" s="30"/>
      <c r="K463" s="30"/>
      <c r="L463" s="30"/>
      <c r="M463" s="1465"/>
      <c r="N463" s="1465"/>
    </row>
    <row r="464" ht="39.0" customHeight="1">
      <c r="A464" s="940"/>
      <c r="B464" s="941"/>
      <c r="C464" s="941"/>
      <c r="D464" s="941"/>
      <c r="E464" s="941"/>
      <c r="F464" s="463"/>
      <c r="G464" s="1465"/>
      <c r="H464" s="1465"/>
      <c r="I464" s="28"/>
      <c r="J464" s="28"/>
      <c r="K464" s="28"/>
      <c r="L464" s="28"/>
      <c r="M464" s="1465"/>
      <c r="N464" s="1465"/>
    </row>
    <row r="465" ht="39.0" customHeight="1">
      <c r="A465" s="939"/>
      <c r="B465" s="833"/>
      <c r="C465" s="833"/>
      <c r="D465" s="833"/>
      <c r="E465" s="833"/>
      <c r="F465" s="463"/>
      <c r="G465" s="1465"/>
      <c r="H465" s="1465"/>
      <c r="I465" s="30"/>
      <c r="J465" s="30"/>
      <c r="K465" s="30"/>
      <c r="L465" s="30"/>
      <c r="M465" s="1465"/>
      <c r="N465" s="1465"/>
    </row>
    <row r="466" ht="39.0" customHeight="1">
      <c r="A466" s="940"/>
      <c r="B466" s="941"/>
      <c r="C466" s="941"/>
      <c r="D466" s="941"/>
      <c r="E466" s="941"/>
      <c r="F466" s="463"/>
      <c r="G466" s="1465"/>
      <c r="H466" s="1465"/>
      <c r="I466" s="28"/>
      <c r="J466" s="28"/>
      <c r="K466" s="28"/>
      <c r="L466" s="28"/>
      <c r="M466" s="1465"/>
      <c r="N466" s="1465"/>
    </row>
    <row r="467" ht="39.0" customHeight="1">
      <c r="A467" s="939"/>
      <c r="B467" s="833"/>
      <c r="C467" s="833"/>
      <c r="D467" s="833"/>
      <c r="E467" s="833"/>
      <c r="F467" s="463"/>
      <c r="G467" s="1465"/>
      <c r="H467" s="1465"/>
      <c r="I467" s="30"/>
      <c r="J467" s="30"/>
      <c r="K467" s="30"/>
      <c r="L467" s="30"/>
      <c r="M467" s="1465"/>
      <c r="N467" s="1465"/>
    </row>
    <row r="468" ht="39.0" customHeight="1">
      <c r="A468" s="940"/>
      <c r="B468" s="941"/>
      <c r="C468" s="941"/>
      <c r="D468" s="941"/>
      <c r="E468" s="941"/>
      <c r="F468" s="463"/>
      <c r="G468" s="1465"/>
      <c r="H468" s="1465"/>
      <c r="I468" s="28"/>
      <c r="J468" s="28"/>
      <c r="K468" s="28"/>
      <c r="L468" s="28"/>
      <c r="M468" s="1465"/>
      <c r="N468" s="1465"/>
    </row>
    <row r="469" ht="39.0" customHeight="1">
      <c r="A469" s="939"/>
      <c r="B469" s="833"/>
      <c r="C469" s="833"/>
      <c r="D469" s="833"/>
      <c r="E469" s="833"/>
      <c r="F469" s="463"/>
      <c r="G469" s="1465"/>
      <c r="H469" s="1465"/>
      <c r="I469" s="30"/>
      <c r="J469" s="30"/>
      <c r="K469" s="30"/>
      <c r="L469" s="30"/>
      <c r="M469" s="1465"/>
      <c r="N469" s="1465"/>
    </row>
    <row r="470" ht="39.0" customHeight="1">
      <c r="A470" s="940"/>
      <c r="B470" s="941"/>
      <c r="C470" s="941"/>
      <c r="D470" s="941"/>
      <c r="E470" s="941"/>
      <c r="F470" s="463"/>
      <c r="G470" s="1465"/>
      <c r="H470" s="1465"/>
      <c r="I470" s="28"/>
      <c r="J470" s="28"/>
      <c r="K470" s="28"/>
      <c r="L470" s="28"/>
      <c r="M470" s="1465"/>
      <c r="N470" s="1465"/>
    </row>
    <row r="471" ht="39.0" customHeight="1">
      <c r="A471" s="939"/>
      <c r="B471" s="833"/>
      <c r="C471" s="833"/>
      <c r="D471" s="833"/>
      <c r="E471" s="833"/>
      <c r="F471" s="463"/>
      <c r="G471" s="1465"/>
      <c r="H471" s="1465"/>
      <c r="I471" s="30"/>
      <c r="J471" s="30"/>
      <c r="K471" s="30"/>
      <c r="L471" s="30"/>
      <c r="M471" s="1465"/>
      <c r="N471" s="1465"/>
    </row>
    <row r="472" ht="39.0" customHeight="1">
      <c r="A472" s="940"/>
      <c r="B472" s="941"/>
      <c r="C472" s="941"/>
      <c r="D472" s="941"/>
      <c r="E472" s="941"/>
      <c r="F472" s="463"/>
      <c r="G472" s="1465"/>
      <c r="H472" s="1465"/>
      <c r="I472" s="28"/>
      <c r="J472" s="28"/>
      <c r="K472" s="28"/>
      <c r="L472" s="28"/>
      <c r="M472" s="1465"/>
      <c r="N472" s="1465"/>
    </row>
    <row r="473" ht="39.0" customHeight="1">
      <c r="A473" s="939"/>
      <c r="B473" s="833"/>
      <c r="C473" s="833"/>
      <c r="D473" s="833"/>
      <c r="E473" s="833"/>
      <c r="F473" s="463"/>
      <c r="G473" s="1465"/>
      <c r="H473" s="1465"/>
      <c r="I473" s="30"/>
      <c r="J473" s="30"/>
      <c r="K473" s="30"/>
      <c r="L473" s="30"/>
      <c r="M473" s="1465"/>
      <c r="N473" s="1465"/>
    </row>
    <row r="474" ht="39.0" customHeight="1">
      <c r="A474" s="940"/>
      <c r="B474" s="941"/>
      <c r="C474" s="941"/>
      <c r="D474" s="941"/>
      <c r="E474" s="941"/>
      <c r="F474" s="463"/>
      <c r="G474" s="1465"/>
      <c r="H474" s="1465"/>
      <c r="I474" s="28"/>
      <c r="J474" s="28"/>
      <c r="K474" s="28"/>
      <c r="L474" s="28"/>
      <c r="M474" s="1465"/>
      <c r="N474" s="1465"/>
    </row>
    <row r="475" ht="39.0" customHeight="1">
      <c r="A475" s="939"/>
      <c r="B475" s="833"/>
      <c r="C475" s="833"/>
      <c r="D475" s="833"/>
      <c r="E475" s="833"/>
      <c r="F475" s="463"/>
      <c r="G475" s="1465"/>
      <c r="H475" s="1465"/>
      <c r="I475" s="30"/>
      <c r="J475" s="30"/>
      <c r="K475" s="30"/>
      <c r="L475" s="30"/>
      <c r="M475" s="1465"/>
      <c r="N475" s="1465"/>
    </row>
    <row r="476" ht="39.0" customHeight="1">
      <c r="A476" s="940"/>
      <c r="B476" s="941"/>
      <c r="C476" s="941"/>
      <c r="D476" s="941"/>
      <c r="E476" s="941"/>
      <c r="F476" s="463"/>
      <c r="G476" s="1465"/>
      <c r="H476" s="1465"/>
      <c r="I476" s="28"/>
      <c r="J476" s="28"/>
      <c r="K476" s="28"/>
      <c r="L476" s="28"/>
      <c r="M476" s="1465"/>
      <c r="N476" s="1465"/>
    </row>
    <row r="477" ht="39.0" customHeight="1">
      <c r="A477" s="939"/>
      <c r="B477" s="833"/>
      <c r="C477" s="833"/>
      <c r="D477" s="833"/>
      <c r="E477" s="833"/>
      <c r="F477" s="463"/>
      <c r="G477" s="1465"/>
      <c r="H477" s="1465"/>
      <c r="I477" s="30"/>
      <c r="J477" s="30"/>
      <c r="K477" s="30"/>
      <c r="L477" s="30"/>
      <c r="M477" s="1465"/>
      <c r="N477" s="1465"/>
    </row>
    <row r="478" ht="39.0" customHeight="1">
      <c r="A478" s="940"/>
      <c r="B478" s="941"/>
      <c r="C478" s="941"/>
      <c r="D478" s="941"/>
      <c r="E478" s="941"/>
      <c r="F478" s="463"/>
      <c r="G478" s="1465"/>
      <c r="H478" s="1465"/>
      <c r="I478" s="28"/>
      <c r="J478" s="28"/>
      <c r="K478" s="28"/>
      <c r="L478" s="28"/>
      <c r="M478" s="1465"/>
      <c r="N478" s="1465"/>
    </row>
    <row r="479" ht="39.0" customHeight="1">
      <c r="A479" s="939"/>
      <c r="B479" s="833"/>
      <c r="C479" s="833"/>
      <c r="D479" s="833"/>
      <c r="E479" s="833"/>
      <c r="F479" s="463"/>
      <c r="G479" s="1465"/>
      <c r="H479" s="1465"/>
      <c r="I479" s="30"/>
      <c r="J479" s="30"/>
      <c r="K479" s="30"/>
      <c r="L479" s="30"/>
      <c r="M479" s="1465"/>
      <c r="N479" s="1465"/>
    </row>
    <row r="480" ht="39.0" customHeight="1">
      <c r="A480" s="940"/>
      <c r="B480" s="941"/>
      <c r="C480" s="941"/>
      <c r="D480" s="941"/>
      <c r="E480" s="941"/>
      <c r="F480" s="463"/>
      <c r="G480" s="1465"/>
      <c r="H480" s="1465"/>
      <c r="I480" s="28"/>
      <c r="J480" s="28"/>
      <c r="K480" s="28"/>
      <c r="L480" s="28"/>
      <c r="M480" s="1465"/>
      <c r="N480" s="1465"/>
    </row>
    <row r="481" ht="39.0" customHeight="1">
      <c r="A481" s="939"/>
      <c r="B481" s="833"/>
      <c r="C481" s="833"/>
      <c r="D481" s="833"/>
      <c r="E481" s="833"/>
      <c r="F481" s="463"/>
      <c r="G481" s="1465"/>
      <c r="H481" s="1465"/>
      <c r="I481" s="30"/>
      <c r="J481" s="30"/>
      <c r="K481" s="30"/>
      <c r="L481" s="30"/>
      <c r="M481" s="1465"/>
      <c r="N481" s="1465"/>
    </row>
    <row r="482" ht="39.0" customHeight="1">
      <c r="A482" s="940"/>
      <c r="B482" s="941"/>
      <c r="C482" s="941"/>
      <c r="D482" s="941"/>
      <c r="E482" s="941"/>
      <c r="F482" s="463"/>
      <c r="G482" s="1465"/>
      <c r="H482" s="1465"/>
      <c r="I482" s="28"/>
      <c r="J482" s="28"/>
      <c r="K482" s="28"/>
      <c r="L482" s="28"/>
      <c r="M482" s="1465"/>
      <c r="N482" s="1465"/>
    </row>
    <row r="483" ht="39.0" customHeight="1">
      <c r="A483" s="939"/>
      <c r="B483" s="833"/>
      <c r="C483" s="833"/>
      <c r="D483" s="833"/>
      <c r="E483" s="833"/>
      <c r="F483" s="463"/>
      <c r="G483" s="1465"/>
      <c r="H483" s="1465"/>
      <c r="I483" s="30"/>
      <c r="J483" s="30"/>
      <c r="K483" s="30"/>
      <c r="L483" s="30"/>
      <c r="M483" s="1465"/>
      <c r="N483" s="1465"/>
    </row>
    <row r="484" ht="39.0" customHeight="1">
      <c r="A484" s="940"/>
      <c r="B484" s="941"/>
      <c r="C484" s="941"/>
      <c r="D484" s="941"/>
      <c r="E484" s="941"/>
      <c r="F484" s="463"/>
      <c r="G484" s="1465"/>
      <c r="H484" s="1465"/>
      <c r="I484" s="28"/>
      <c r="J484" s="28"/>
      <c r="K484" s="28"/>
      <c r="L484" s="28"/>
      <c r="M484" s="1465"/>
      <c r="N484" s="1465"/>
    </row>
    <row r="485" ht="39.0" customHeight="1">
      <c r="A485" s="939"/>
      <c r="B485" s="833"/>
      <c r="C485" s="833"/>
      <c r="D485" s="833"/>
      <c r="E485" s="833"/>
      <c r="F485" s="463"/>
      <c r="G485" s="1465"/>
      <c r="H485" s="1465"/>
      <c r="I485" s="30"/>
      <c r="J485" s="30"/>
      <c r="K485" s="30"/>
      <c r="L485" s="30"/>
      <c r="M485" s="1465"/>
      <c r="N485" s="1465"/>
    </row>
    <row r="486" ht="39.0" customHeight="1">
      <c r="A486" s="940"/>
      <c r="B486" s="941"/>
      <c r="C486" s="941"/>
      <c r="D486" s="941"/>
      <c r="E486" s="941"/>
      <c r="F486" s="463"/>
      <c r="G486" s="1465"/>
      <c r="H486" s="1465"/>
      <c r="I486" s="28"/>
      <c r="J486" s="28"/>
      <c r="K486" s="28"/>
      <c r="L486" s="28"/>
      <c r="M486" s="1465"/>
      <c r="N486" s="1465"/>
    </row>
    <row r="487" ht="39.0" customHeight="1">
      <c r="A487" s="939"/>
      <c r="B487" s="833"/>
      <c r="C487" s="833"/>
      <c r="D487" s="833"/>
      <c r="E487" s="833"/>
      <c r="F487" s="463"/>
      <c r="G487" s="1465"/>
      <c r="H487" s="1465"/>
      <c r="I487" s="30"/>
      <c r="J487" s="30"/>
      <c r="K487" s="30"/>
      <c r="L487" s="30"/>
      <c r="M487" s="1465"/>
      <c r="N487" s="1465"/>
    </row>
    <row r="488" ht="39.0" customHeight="1">
      <c r="A488" s="940"/>
      <c r="B488" s="941"/>
      <c r="C488" s="941"/>
      <c r="D488" s="941"/>
      <c r="E488" s="941"/>
      <c r="F488" s="463"/>
      <c r="G488" s="1465"/>
      <c r="H488" s="1465"/>
      <c r="I488" s="28"/>
      <c r="J488" s="28"/>
      <c r="K488" s="28"/>
      <c r="L488" s="28"/>
      <c r="M488" s="1465"/>
      <c r="N488" s="1465"/>
    </row>
    <row r="489" ht="39.0" customHeight="1">
      <c r="A489" s="939"/>
      <c r="B489" s="833"/>
      <c r="C489" s="833"/>
      <c r="D489" s="833"/>
      <c r="E489" s="833"/>
      <c r="F489" s="463"/>
      <c r="G489" s="1465"/>
      <c r="H489" s="1465"/>
      <c r="I489" s="30"/>
      <c r="J489" s="30"/>
      <c r="K489" s="30"/>
      <c r="L489" s="30"/>
      <c r="M489" s="1465"/>
      <c r="N489" s="1465"/>
    </row>
    <row r="490" ht="39.0" customHeight="1">
      <c r="A490" s="940"/>
      <c r="B490" s="941"/>
      <c r="C490" s="941"/>
      <c r="D490" s="941"/>
      <c r="E490" s="941"/>
      <c r="F490" s="463"/>
      <c r="G490" s="1465"/>
      <c r="H490" s="1465"/>
      <c r="I490" s="28"/>
      <c r="J490" s="28"/>
      <c r="K490" s="28"/>
      <c r="L490" s="28"/>
      <c r="M490" s="1465"/>
      <c r="N490" s="1465"/>
    </row>
    <row r="491" ht="39.0" customHeight="1">
      <c r="A491" s="939"/>
      <c r="B491" s="833"/>
      <c r="C491" s="833"/>
      <c r="D491" s="833"/>
      <c r="E491" s="833"/>
      <c r="F491" s="463"/>
      <c r="G491" s="1465"/>
      <c r="H491" s="1465"/>
      <c r="I491" s="30"/>
      <c r="J491" s="30"/>
      <c r="K491" s="30"/>
      <c r="L491" s="30"/>
      <c r="M491" s="1465"/>
      <c r="N491" s="1465"/>
    </row>
    <row r="492" ht="39.0" customHeight="1">
      <c r="A492" s="940"/>
      <c r="B492" s="941"/>
      <c r="C492" s="941"/>
      <c r="D492" s="941"/>
      <c r="E492" s="941"/>
      <c r="F492" s="463"/>
      <c r="G492" s="1465"/>
      <c r="H492" s="1465"/>
      <c r="I492" s="28"/>
      <c r="J492" s="28"/>
      <c r="K492" s="28"/>
      <c r="L492" s="28"/>
      <c r="M492" s="1465"/>
      <c r="N492" s="1465"/>
    </row>
    <row r="493" ht="39.0" customHeight="1">
      <c r="A493" s="939"/>
      <c r="B493" s="833"/>
      <c r="C493" s="833"/>
      <c r="D493" s="833"/>
      <c r="E493" s="833"/>
      <c r="F493" s="463"/>
      <c r="G493" s="1465"/>
      <c r="H493" s="1465"/>
      <c r="I493" s="30"/>
      <c r="J493" s="30"/>
      <c r="K493" s="30"/>
      <c r="L493" s="30"/>
      <c r="M493" s="1465"/>
      <c r="N493" s="1465"/>
    </row>
    <row r="494" ht="39.0" customHeight="1">
      <c r="A494" s="940"/>
      <c r="B494" s="941"/>
      <c r="C494" s="941"/>
      <c r="D494" s="941"/>
      <c r="E494" s="941"/>
      <c r="F494" s="463"/>
      <c r="G494" s="1465"/>
      <c r="H494" s="1465"/>
      <c r="I494" s="28"/>
      <c r="J494" s="28"/>
      <c r="K494" s="28"/>
      <c r="L494" s="28"/>
      <c r="M494" s="1465"/>
      <c r="N494" s="1465"/>
    </row>
    <row r="495" ht="39.0" customHeight="1">
      <c r="A495" s="939"/>
      <c r="B495" s="833"/>
      <c r="C495" s="833"/>
      <c r="D495" s="833"/>
      <c r="E495" s="833"/>
      <c r="F495" s="463"/>
      <c r="G495" s="1465"/>
      <c r="H495" s="1465"/>
      <c r="I495" s="30"/>
      <c r="J495" s="30"/>
      <c r="K495" s="30"/>
      <c r="L495" s="30"/>
      <c r="M495" s="1465"/>
      <c r="N495" s="1465"/>
    </row>
    <row r="496" ht="39.0" customHeight="1">
      <c r="A496" s="940"/>
      <c r="B496" s="941"/>
      <c r="C496" s="941"/>
      <c r="D496" s="941"/>
      <c r="E496" s="941"/>
      <c r="F496" s="463"/>
      <c r="G496" s="1465"/>
      <c r="H496" s="1465"/>
      <c r="I496" s="28"/>
      <c r="J496" s="28"/>
      <c r="K496" s="28"/>
      <c r="L496" s="28"/>
      <c r="M496" s="1465"/>
      <c r="N496" s="1465"/>
    </row>
    <row r="497" ht="39.0" customHeight="1">
      <c r="A497" s="939"/>
      <c r="B497" s="833"/>
      <c r="C497" s="833"/>
      <c r="D497" s="833"/>
      <c r="E497" s="833"/>
      <c r="F497" s="463"/>
      <c r="G497" s="1465"/>
      <c r="H497" s="1465"/>
      <c r="I497" s="30"/>
      <c r="J497" s="30"/>
      <c r="K497" s="30"/>
      <c r="L497" s="30"/>
      <c r="M497" s="1465"/>
      <c r="N497" s="1465"/>
    </row>
    <row r="498" ht="39.0" customHeight="1">
      <c r="A498" s="940"/>
      <c r="B498" s="941"/>
      <c r="C498" s="941"/>
      <c r="D498" s="941"/>
      <c r="E498" s="941"/>
      <c r="F498" s="463"/>
      <c r="G498" s="1465"/>
      <c r="H498" s="1465"/>
      <c r="I498" s="28"/>
      <c r="J498" s="28"/>
      <c r="K498" s="28"/>
      <c r="L498" s="28"/>
      <c r="M498" s="1465"/>
      <c r="N498" s="1465"/>
    </row>
    <row r="499" ht="39.0" customHeight="1">
      <c r="A499" s="939"/>
      <c r="B499" s="833"/>
      <c r="C499" s="833"/>
      <c r="D499" s="833"/>
      <c r="E499" s="833"/>
      <c r="F499" s="463"/>
      <c r="G499" s="1465"/>
      <c r="H499" s="1465"/>
      <c r="I499" s="30"/>
      <c r="J499" s="30"/>
      <c r="K499" s="30"/>
      <c r="L499" s="30"/>
      <c r="M499" s="1465"/>
      <c r="N499" s="1465"/>
    </row>
    <row r="500" ht="39.0" customHeight="1">
      <c r="A500" s="940"/>
      <c r="B500" s="941"/>
      <c r="C500" s="941"/>
      <c r="D500" s="941"/>
      <c r="E500" s="941"/>
      <c r="F500" s="463"/>
      <c r="G500" s="1465"/>
      <c r="H500" s="1465"/>
      <c r="I500" s="28"/>
      <c r="J500" s="28"/>
      <c r="K500" s="28"/>
      <c r="L500" s="28"/>
      <c r="M500" s="1465"/>
      <c r="N500" s="1465"/>
    </row>
    <row r="501" ht="39.0" customHeight="1">
      <c r="A501" s="939"/>
      <c r="B501" s="833"/>
      <c r="C501" s="833"/>
      <c r="D501" s="833"/>
      <c r="E501" s="833"/>
      <c r="F501" s="463"/>
      <c r="G501" s="1465"/>
      <c r="H501" s="1465"/>
      <c r="I501" s="30"/>
      <c r="J501" s="30"/>
      <c r="K501" s="30"/>
      <c r="L501" s="30"/>
      <c r="M501" s="1465"/>
      <c r="N501" s="1465"/>
    </row>
    <row r="502" ht="39.0" customHeight="1">
      <c r="A502" s="940"/>
      <c r="B502" s="941"/>
      <c r="C502" s="941"/>
      <c r="D502" s="941"/>
      <c r="E502" s="941"/>
      <c r="F502" s="463"/>
      <c r="G502" s="1465"/>
      <c r="H502" s="1465"/>
      <c r="I502" s="28"/>
      <c r="J502" s="28"/>
      <c r="K502" s="28"/>
      <c r="L502" s="28"/>
      <c r="M502" s="1465"/>
      <c r="N502" s="1465"/>
    </row>
    <row r="503" ht="39.0" customHeight="1">
      <c r="A503" s="939"/>
      <c r="B503" s="833"/>
      <c r="C503" s="833"/>
      <c r="D503" s="833"/>
      <c r="E503" s="833"/>
      <c r="F503" s="463"/>
      <c r="G503" s="1465"/>
      <c r="H503" s="1465"/>
      <c r="I503" s="30"/>
      <c r="J503" s="30"/>
      <c r="K503" s="30"/>
      <c r="L503" s="30"/>
      <c r="M503" s="1465"/>
      <c r="N503" s="1465"/>
    </row>
    <row r="504" ht="39.0" customHeight="1">
      <c r="A504" s="940"/>
      <c r="B504" s="941"/>
      <c r="C504" s="941"/>
      <c r="D504" s="941"/>
      <c r="E504" s="941"/>
      <c r="F504" s="463"/>
      <c r="G504" s="1465"/>
      <c r="H504" s="1465"/>
      <c r="I504" s="28"/>
      <c r="J504" s="28"/>
      <c r="K504" s="28"/>
      <c r="L504" s="28"/>
      <c r="M504" s="1465"/>
      <c r="N504" s="1465"/>
    </row>
    <row r="505" ht="39.0" customHeight="1">
      <c r="A505" s="939"/>
      <c r="B505" s="833"/>
      <c r="C505" s="833"/>
      <c r="D505" s="833"/>
      <c r="E505" s="833"/>
      <c r="F505" s="463"/>
      <c r="G505" s="1465"/>
      <c r="H505" s="1465"/>
      <c r="I505" s="30"/>
      <c r="J505" s="30"/>
      <c r="K505" s="30"/>
      <c r="L505" s="30"/>
      <c r="M505" s="1465"/>
      <c r="N505" s="1465"/>
    </row>
    <row r="506" ht="39.0" customHeight="1">
      <c r="A506" s="940"/>
      <c r="B506" s="941"/>
      <c r="C506" s="941"/>
      <c r="D506" s="941"/>
      <c r="E506" s="941"/>
      <c r="F506" s="463"/>
      <c r="G506" s="1465"/>
      <c r="H506" s="1465"/>
      <c r="I506" s="28"/>
      <c r="J506" s="28"/>
      <c r="K506" s="28"/>
      <c r="L506" s="28"/>
      <c r="M506" s="1465"/>
      <c r="N506" s="1465"/>
    </row>
    <row r="507" ht="39.0" customHeight="1">
      <c r="A507" s="939"/>
      <c r="B507" s="833"/>
      <c r="C507" s="833"/>
      <c r="D507" s="833"/>
      <c r="E507" s="833"/>
      <c r="F507" s="463"/>
      <c r="G507" s="1465"/>
      <c r="H507" s="1465"/>
      <c r="I507" s="30"/>
      <c r="J507" s="30"/>
      <c r="K507" s="30"/>
      <c r="L507" s="30"/>
      <c r="M507" s="1465"/>
      <c r="N507" s="1465"/>
    </row>
    <row r="508" ht="39.0" customHeight="1">
      <c r="A508" s="940"/>
      <c r="B508" s="941"/>
      <c r="C508" s="941"/>
      <c r="D508" s="941"/>
      <c r="E508" s="941"/>
      <c r="F508" s="463"/>
      <c r="G508" s="1465"/>
      <c r="H508" s="1465"/>
      <c r="I508" s="28"/>
      <c r="J508" s="28"/>
      <c r="K508" s="28"/>
      <c r="L508" s="28"/>
      <c r="M508" s="1465"/>
      <c r="N508" s="1465"/>
    </row>
    <row r="509" ht="39.0" customHeight="1">
      <c r="A509" s="939"/>
      <c r="B509" s="833"/>
      <c r="C509" s="833"/>
      <c r="D509" s="833"/>
      <c r="E509" s="833"/>
      <c r="F509" s="463"/>
      <c r="G509" s="1465"/>
      <c r="H509" s="1465"/>
      <c r="I509" s="30"/>
      <c r="J509" s="30"/>
      <c r="K509" s="30"/>
      <c r="L509" s="30"/>
      <c r="M509" s="1465"/>
      <c r="N509" s="1465"/>
    </row>
    <row r="510" ht="39.0" customHeight="1">
      <c r="A510" s="940"/>
      <c r="B510" s="941"/>
      <c r="C510" s="941"/>
      <c r="D510" s="941"/>
      <c r="E510" s="941"/>
      <c r="F510" s="463"/>
      <c r="G510" s="1465"/>
      <c r="H510" s="1465"/>
      <c r="I510" s="28"/>
      <c r="J510" s="28"/>
      <c r="K510" s="28"/>
      <c r="L510" s="28"/>
      <c r="M510" s="1465"/>
      <c r="N510" s="1465"/>
    </row>
    <row r="511" ht="39.0" customHeight="1">
      <c r="A511" s="939"/>
      <c r="B511" s="833"/>
      <c r="C511" s="833"/>
      <c r="D511" s="833"/>
      <c r="E511" s="833"/>
      <c r="F511" s="463"/>
      <c r="G511" s="1465"/>
      <c r="H511" s="1465"/>
      <c r="I511" s="30"/>
      <c r="J511" s="30"/>
      <c r="K511" s="30"/>
      <c r="L511" s="30"/>
      <c r="M511" s="1465"/>
      <c r="N511" s="1465"/>
    </row>
    <row r="512" ht="39.0" customHeight="1">
      <c r="A512" s="940"/>
      <c r="B512" s="941"/>
      <c r="C512" s="941"/>
      <c r="D512" s="941"/>
      <c r="E512" s="941"/>
      <c r="F512" s="463"/>
      <c r="G512" s="1465"/>
      <c r="H512" s="1465"/>
      <c r="I512" s="28"/>
      <c r="J512" s="28"/>
      <c r="K512" s="28"/>
      <c r="L512" s="28"/>
      <c r="M512" s="1465"/>
      <c r="N512" s="1465"/>
    </row>
    <row r="513" ht="39.0" customHeight="1">
      <c r="A513" s="939"/>
      <c r="B513" s="833"/>
      <c r="C513" s="833"/>
      <c r="D513" s="833"/>
      <c r="E513" s="833"/>
      <c r="F513" s="463"/>
      <c r="G513" s="1465"/>
      <c r="H513" s="1465"/>
      <c r="I513" s="30"/>
      <c r="J513" s="30"/>
      <c r="K513" s="30"/>
      <c r="L513" s="30"/>
      <c r="M513" s="1465"/>
      <c r="N513" s="1465"/>
    </row>
    <row r="514" ht="39.0" customHeight="1">
      <c r="A514" s="940"/>
      <c r="B514" s="941"/>
      <c r="C514" s="941"/>
      <c r="D514" s="941"/>
      <c r="E514" s="941"/>
      <c r="F514" s="463"/>
      <c r="G514" s="1465"/>
      <c r="H514" s="1465"/>
      <c r="I514" s="28"/>
      <c r="J514" s="28"/>
      <c r="K514" s="28"/>
      <c r="L514" s="28"/>
      <c r="M514" s="1465"/>
      <c r="N514" s="1465"/>
    </row>
    <row r="515" ht="39.0" customHeight="1">
      <c r="A515" s="939"/>
      <c r="B515" s="833"/>
      <c r="C515" s="833"/>
      <c r="D515" s="833"/>
      <c r="E515" s="833"/>
      <c r="F515" s="463"/>
      <c r="G515" s="1465"/>
      <c r="H515" s="1465"/>
      <c r="I515" s="30"/>
      <c r="J515" s="30"/>
      <c r="K515" s="30"/>
      <c r="L515" s="30"/>
      <c r="M515" s="1465"/>
      <c r="N515" s="1465"/>
    </row>
    <row r="516" ht="39.0" customHeight="1">
      <c r="A516" s="940"/>
      <c r="B516" s="941"/>
      <c r="C516" s="941"/>
      <c r="D516" s="941"/>
      <c r="E516" s="941"/>
      <c r="F516" s="463"/>
      <c r="G516" s="1465"/>
      <c r="H516" s="1465"/>
      <c r="I516" s="28"/>
      <c r="J516" s="28"/>
      <c r="K516" s="28"/>
      <c r="L516" s="28"/>
      <c r="M516" s="1465"/>
      <c r="N516" s="1465"/>
    </row>
    <row r="517" ht="39.0" customHeight="1">
      <c r="A517" s="939"/>
      <c r="B517" s="833"/>
      <c r="C517" s="833"/>
      <c r="D517" s="833"/>
      <c r="E517" s="833"/>
      <c r="F517" s="463"/>
      <c r="G517" s="1465"/>
      <c r="H517" s="1465"/>
      <c r="I517" s="30"/>
      <c r="J517" s="30"/>
      <c r="K517" s="30"/>
      <c r="L517" s="30"/>
      <c r="M517" s="1465"/>
      <c r="N517" s="1465"/>
    </row>
    <row r="518" ht="39.0" customHeight="1">
      <c r="A518" s="940"/>
      <c r="B518" s="941"/>
      <c r="C518" s="941"/>
      <c r="D518" s="941"/>
      <c r="E518" s="941"/>
      <c r="F518" s="463"/>
      <c r="G518" s="1465"/>
      <c r="H518" s="1465"/>
      <c r="I518" s="28"/>
      <c r="J518" s="28"/>
      <c r="K518" s="28"/>
      <c r="L518" s="28"/>
      <c r="M518" s="1465"/>
      <c r="N518" s="1465"/>
    </row>
    <row r="519" ht="39.0" customHeight="1">
      <c r="A519" s="939"/>
      <c r="B519" s="833"/>
      <c r="C519" s="833"/>
      <c r="D519" s="833"/>
      <c r="E519" s="833"/>
      <c r="F519" s="463"/>
      <c r="G519" s="1465"/>
      <c r="H519" s="1465"/>
      <c r="I519" s="30"/>
      <c r="J519" s="30"/>
      <c r="K519" s="30"/>
      <c r="L519" s="30"/>
      <c r="M519" s="1465"/>
      <c r="N519" s="1465"/>
    </row>
    <row r="520" ht="39.0" customHeight="1">
      <c r="A520" s="940"/>
      <c r="B520" s="941"/>
      <c r="C520" s="941"/>
      <c r="D520" s="941"/>
      <c r="E520" s="941"/>
      <c r="F520" s="463"/>
      <c r="G520" s="1465"/>
      <c r="H520" s="1465"/>
      <c r="I520" s="28"/>
      <c r="J520" s="28"/>
      <c r="K520" s="28"/>
      <c r="L520" s="28"/>
      <c r="M520" s="1465"/>
      <c r="N520" s="1465"/>
    </row>
    <row r="521" ht="39.0" customHeight="1">
      <c r="A521" s="939"/>
      <c r="B521" s="833"/>
      <c r="C521" s="833"/>
      <c r="D521" s="833"/>
      <c r="E521" s="833"/>
      <c r="F521" s="463"/>
      <c r="G521" s="1465"/>
      <c r="H521" s="1465"/>
      <c r="I521" s="30"/>
      <c r="J521" s="30"/>
      <c r="K521" s="30"/>
      <c r="L521" s="30"/>
      <c r="M521" s="1465"/>
      <c r="N521" s="1465"/>
    </row>
    <row r="522" ht="39.0" customHeight="1">
      <c r="A522" s="940"/>
      <c r="B522" s="941"/>
      <c r="C522" s="941"/>
      <c r="D522" s="941"/>
      <c r="E522" s="941"/>
      <c r="F522" s="463"/>
      <c r="G522" s="1465"/>
      <c r="H522" s="1465"/>
      <c r="I522" s="28"/>
      <c r="J522" s="28"/>
      <c r="K522" s="28"/>
      <c r="L522" s="28"/>
      <c r="M522" s="1465"/>
      <c r="N522" s="1465"/>
    </row>
    <row r="523" ht="39.0" customHeight="1">
      <c r="A523" s="939"/>
      <c r="B523" s="833"/>
      <c r="C523" s="833"/>
      <c r="D523" s="833"/>
      <c r="E523" s="833"/>
      <c r="F523" s="463"/>
      <c r="G523" s="1465"/>
      <c r="H523" s="1465"/>
      <c r="I523" s="30"/>
      <c r="J523" s="30"/>
      <c r="K523" s="30"/>
      <c r="L523" s="30"/>
      <c r="M523" s="1465"/>
      <c r="N523" s="1465"/>
    </row>
    <row r="524" ht="39.0" customHeight="1">
      <c r="A524" s="940"/>
      <c r="B524" s="941"/>
      <c r="C524" s="941"/>
      <c r="D524" s="941"/>
      <c r="E524" s="941"/>
      <c r="F524" s="463"/>
      <c r="G524" s="1465"/>
      <c r="H524" s="1465"/>
      <c r="I524" s="28"/>
      <c r="J524" s="28"/>
      <c r="K524" s="28"/>
      <c r="L524" s="28"/>
      <c r="M524" s="1465"/>
      <c r="N524" s="1465"/>
    </row>
    <row r="525" ht="39.0" customHeight="1">
      <c r="A525" s="939"/>
      <c r="B525" s="833"/>
      <c r="C525" s="833"/>
      <c r="D525" s="833"/>
      <c r="E525" s="833"/>
      <c r="F525" s="463"/>
      <c r="G525" s="1465"/>
      <c r="H525" s="1465"/>
      <c r="I525" s="30"/>
      <c r="J525" s="30"/>
      <c r="K525" s="30"/>
      <c r="L525" s="30"/>
      <c r="M525" s="1465"/>
      <c r="N525" s="1465"/>
    </row>
    <row r="526" ht="39.0" customHeight="1">
      <c r="A526" s="940"/>
      <c r="B526" s="941"/>
      <c r="C526" s="941"/>
      <c r="D526" s="941"/>
      <c r="E526" s="941"/>
      <c r="F526" s="463"/>
      <c r="G526" s="1465"/>
      <c r="H526" s="1465"/>
      <c r="I526" s="28"/>
      <c r="J526" s="28"/>
      <c r="K526" s="28"/>
      <c r="L526" s="28"/>
      <c r="M526" s="1465"/>
      <c r="N526" s="1465"/>
    </row>
    <row r="527" ht="39.0" customHeight="1">
      <c r="A527" s="939"/>
      <c r="B527" s="833"/>
      <c r="C527" s="833"/>
      <c r="D527" s="833"/>
      <c r="E527" s="833"/>
      <c r="F527" s="463"/>
      <c r="G527" s="1465"/>
      <c r="H527" s="1465"/>
      <c r="I527" s="30"/>
      <c r="J527" s="30"/>
      <c r="K527" s="30"/>
      <c r="L527" s="30"/>
      <c r="M527" s="1465"/>
      <c r="N527" s="1465"/>
    </row>
    <row r="528" ht="39.0" customHeight="1">
      <c r="A528" s="940"/>
      <c r="B528" s="941"/>
      <c r="C528" s="941"/>
      <c r="D528" s="941"/>
      <c r="E528" s="941"/>
      <c r="F528" s="463"/>
      <c r="G528" s="1465"/>
      <c r="H528" s="1465"/>
      <c r="I528" s="28"/>
      <c r="J528" s="28"/>
      <c r="K528" s="28"/>
      <c r="L528" s="28"/>
      <c r="M528" s="1465"/>
      <c r="N528" s="1465"/>
    </row>
    <row r="529" ht="39.0" customHeight="1">
      <c r="A529" s="939"/>
      <c r="B529" s="833"/>
      <c r="C529" s="833"/>
      <c r="D529" s="833"/>
      <c r="E529" s="833"/>
      <c r="F529" s="463"/>
      <c r="G529" s="1465"/>
      <c r="H529" s="1465"/>
      <c r="I529" s="30"/>
      <c r="J529" s="30"/>
      <c r="K529" s="30"/>
      <c r="L529" s="30"/>
      <c r="M529" s="1465"/>
      <c r="N529" s="1465"/>
    </row>
    <row r="530" ht="39.0" customHeight="1">
      <c r="A530" s="940"/>
      <c r="B530" s="941"/>
      <c r="C530" s="941"/>
      <c r="D530" s="941"/>
      <c r="E530" s="941"/>
      <c r="F530" s="463"/>
      <c r="G530" s="1465"/>
      <c r="H530" s="1465"/>
      <c r="I530" s="28"/>
      <c r="J530" s="28"/>
      <c r="K530" s="28"/>
      <c r="L530" s="28"/>
      <c r="M530" s="1465"/>
      <c r="N530" s="1465"/>
    </row>
    <row r="531" ht="39.0" customHeight="1">
      <c r="A531" s="939"/>
      <c r="B531" s="833"/>
      <c r="C531" s="833"/>
      <c r="D531" s="833"/>
      <c r="E531" s="833"/>
      <c r="F531" s="463"/>
      <c r="G531" s="1465"/>
      <c r="H531" s="1465"/>
      <c r="I531" s="30"/>
      <c r="J531" s="30"/>
      <c r="K531" s="30"/>
      <c r="L531" s="30"/>
      <c r="M531" s="1465"/>
      <c r="N531" s="1465"/>
    </row>
    <row r="532" ht="39.0" customHeight="1">
      <c r="A532" s="940"/>
      <c r="B532" s="941"/>
      <c r="C532" s="941"/>
      <c r="D532" s="941"/>
      <c r="E532" s="941"/>
      <c r="F532" s="463"/>
      <c r="G532" s="1465"/>
      <c r="H532" s="1465"/>
      <c r="I532" s="28"/>
      <c r="J532" s="28"/>
      <c r="K532" s="28"/>
      <c r="L532" s="28"/>
      <c r="M532" s="1465"/>
      <c r="N532" s="1465"/>
    </row>
    <row r="533" ht="39.0" customHeight="1">
      <c r="A533" s="939"/>
      <c r="B533" s="833"/>
      <c r="C533" s="833"/>
      <c r="D533" s="833"/>
      <c r="E533" s="833"/>
      <c r="F533" s="463"/>
      <c r="G533" s="1465"/>
      <c r="H533" s="1465"/>
      <c r="I533" s="30"/>
      <c r="J533" s="30"/>
      <c r="K533" s="30"/>
      <c r="L533" s="30"/>
      <c r="M533" s="1465"/>
      <c r="N533" s="1465"/>
    </row>
    <row r="534" ht="39.0" customHeight="1">
      <c r="A534" s="940"/>
      <c r="B534" s="941"/>
      <c r="C534" s="941"/>
      <c r="D534" s="941"/>
      <c r="E534" s="941"/>
      <c r="F534" s="463"/>
      <c r="G534" s="1465"/>
      <c r="H534" s="1465"/>
      <c r="I534" s="28"/>
      <c r="J534" s="28"/>
      <c r="K534" s="28"/>
      <c r="L534" s="28"/>
      <c r="M534" s="1465"/>
      <c r="N534" s="1465"/>
    </row>
    <row r="535" ht="39.0" customHeight="1">
      <c r="A535" s="939"/>
      <c r="B535" s="833"/>
      <c r="C535" s="833"/>
      <c r="D535" s="833"/>
      <c r="E535" s="833"/>
      <c r="F535" s="463"/>
      <c r="G535" s="1465"/>
      <c r="H535" s="1465"/>
      <c r="I535" s="30"/>
      <c r="J535" s="30"/>
      <c r="K535" s="30"/>
      <c r="L535" s="30"/>
      <c r="M535" s="1465"/>
      <c r="N535" s="1465"/>
    </row>
    <row r="536" ht="39.0" customHeight="1">
      <c r="A536" s="940"/>
      <c r="B536" s="941"/>
      <c r="C536" s="941"/>
      <c r="D536" s="941"/>
      <c r="E536" s="941"/>
      <c r="F536" s="463"/>
      <c r="G536" s="1465"/>
      <c r="H536" s="1465"/>
      <c r="I536" s="28"/>
      <c r="J536" s="28"/>
      <c r="K536" s="28"/>
      <c r="L536" s="28"/>
      <c r="M536" s="1465"/>
      <c r="N536" s="1465"/>
    </row>
    <row r="537" ht="39.0" customHeight="1">
      <c r="A537" s="939"/>
      <c r="B537" s="833"/>
      <c r="C537" s="833"/>
      <c r="D537" s="833"/>
      <c r="E537" s="833"/>
      <c r="F537" s="463"/>
      <c r="G537" s="1465"/>
      <c r="H537" s="1465"/>
      <c r="I537" s="30"/>
      <c r="J537" s="30"/>
      <c r="K537" s="30"/>
      <c r="L537" s="30"/>
      <c r="M537" s="1465"/>
      <c r="N537" s="1465"/>
    </row>
    <row r="538" ht="39.0" customHeight="1">
      <c r="A538" s="940"/>
      <c r="B538" s="941"/>
      <c r="C538" s="941"/>
      <c r="D538" s="941"/>
      <c r="E538" s="941"/>
      <c r="F538" s="463"/>
      <c r="G538" s="1465"/>
      <c r="H538" s="1465"/>
      <c r="I538" s="28"/>
      <c r="J538" s="28"/>
      <c r="K538" s="28"/>
      <c r="L538" s="28"/>
      <c r="M538" s="1465"/>
      <c r="N538" s="1465"/>
    </row>
    <row r="539" ht="39.0" customHeight="1">
      <c r="A539" s="939"/>
      <c r="B539" s="833"/>
      <c r="C539" s="833"/>
      <c r="D539" s="833"/>
      <c r="E539" s="833"/>
      <c r="F539" s="463"/>
      <c r="G539" s="1465"/>
      <c r="H539" s="1465"/>
      <c r="I539" s="30"/>
      <c r="J539" s="30"/>
      <c r="K539" s="30"/>
      <c r="L539" s="30"/>
      <c r="M539" s="1465"/>
      <c r="N539" s="1465"/>
    </row>
    <row r="540" ht="39.0" customHeight="1">
      <c r="A540" s="940"/>
      <c r="B540" s="941"/>
      <c r="C540" s="941"/>
      <c r="D540" s="941"/>
      <c r="E540" s="941"/>
      <c r="F540" s="463"/>
      <c r="G540" s="1465"/>
      <c r="H540" s="1465"/>
      <c r="I540" s="28"/>
      <c r="J540" s="28"/>
      <c r="K540" s="28"/>
      <c r="L540" s="28"/>
      <c r="M540" s="1465"/>
      <c r="N540" s="1465"/>
    </row>
    <row r="541" ht="39.0" customHeight="1">
      <c r="A541" s="939"/>
      <c r="B541" s="833"/>
      <c r="C541" s="833"/>
      <c r="D541" s="833"/>
      <c r="E541" s="833"/>
      <c r="F541" s="463"/>
      <c r="G541" s="1465"/>
      <c r="H541" s="1465"/>
      <c r="I541" s="30"/>
      <c r="J541" s="30"/>
      <c r="K541" s="30"/>
      <c r="L541" s="30"/>
      <c r="M541" s="1465"/>
      <c r="N541" s="1465"/>
    </row>
    <row r="542" ht="39.0" customHeight="1">
      <c r="A542" s="940"/>
      <c r="B542" s="941"/>
      <c r="C542" s="941"/>
      <c r="D542" s="941"/>
      <c r="E542" s="941"/>
      <c r="F542" s="463"/>
      <c r="G542" s="1465"/>
      <c r="H542" s="1465"/>
      <c r="I542" s="28"/>
      <c r="J542" s="28"/>
      <c r="K542" s="28"/>
      <c r="L542" s="28"/>
      <c r="M542" s="1465"/>
      <c r="N542" s="1465"/>
    </row>
    <row r="543" ht="39.0" customHeight="1">
      <c r="A543" s="939"/>
      <c r="B543" s="833"/>
      <c r="C543" s="833"/>
      <c r="D543" s="833"/>
      <c r="E543" s="833"/>
      <c r="F543" s="463"/>
      <c r="G543" s="1465"/>
      <c r="H543" s="1465"/>
      <c r="I543" s="30"/>
      <c r="J543" s="30"/>
      <c r="K543" s="30"/>
      <c r="L543" s="30"/>
      <c r="M543" s="1465"/>
      <c r="N543" s="1465"/>
    </row>
    <row r="544" ht="39.0" customHeight="1">
      <c r="A544" s="940"/>
      <c r="B544" s="941"/>
      <c r="C544" s="941"/>
      <c r="D544" s="941"/>
      <c r="E544" s="941"/>
      <c r="F544" s="463"/>
      <c r="G544" s="1465"/>
      <c r="H544" s="1465"/>
      <c r="I544" s="28"/>
      <c r="J544" s="28"/>
      <c r="K544" s="28"/>
      <c r="L544" s="28"/>
      <c r="M544" s="1465"/>
      <c r="N544" s="1465"/>
    </row>
    <row r="545" ht="39.0" customHeight="1">
      <c r="A545" s="939"/>
      <c r="B545" s="833"/>
      <c r="C545" s="833"/>
      <c r="D545" s="833"/>
      <c r="E545" s="833"/>
      <c r="F545" s="463"/>
      <c r="G545" s="1465"/>
      <c r="H545" s="1465"/>
      <c r="I545" s="30"/>
      <c r="J545" s="30"/>
      <c r="K545" s="30"/>
      <c r="L545" s="30"/>
      <c r="M545" s="1465"/>
      <c r="N545" s="1465"/>
    </row>
    <row r="546" ht="39.0" customHeight="1">
      <c r="A546" s="940"/>
      <c r="B546" s="941"/>
      <c r="C546" s="941"/>
      <c r="D546" s="941"/>
      <c r="E546" s="941"/>
      <c r="F546" s="463"/>
      <c r="G546" s="1465"/>
      <c r="H546" s="1465"/>
      <c r="I546" s="28"/>
      <c r="J546" s="28"/>
      <c r="K546" s="28"/>
      <c r="L546" s="28"/>
      <c r="M546" s="1465"/>
      <c r="N546" s="1465"/>
    </row>
    <row r="547" ht="39.0" customHeight="1">
      <c r="A547" s="939"/>
      <c r="B547" s="833"/>
      <c r="C547" s="833"/>
      <c r="D547" s="833"/>
      <c r="E547" s="833"/>
      <c r="F547" s="463"/>
      <c r="G547" s="1465"/>
      <c r="H547" s="1465"/>
      <c r="I547" s="30"/>
      <c r="J547" s="30"/>
      <c r="K547" s="30"/>
      <c r="L547" s="30"/>
      <c r="M547" s="1465"/>
      <c r="N547" s="1465"/>
    </row>
    <row r="548" ht="39.0" customHeight="1">
      <c r="A548" s="940"/>
      <c r="B548" s="941"/>
      <c r="C548" s="941"/>
      <c r="D548" s="941"/>
      <c r="E548" s="941"/>
      <c r="F548" s="463"/>
      <c r="G548" s="1465"/>
      <c r="H548" s="1465"/>
      <c r="I548" s="28"/>
      <c r="J548" s="28"/>
      <c r="K548" s="28"/>
      <c r="L548" s="28"/>
      <c r="M548" s="1465"/>
      <c r="N548" s="1465"/>
    </row>
    <row r="549" ht="39.0" customHeight="1">
      <c r="A549" s="939"/>
      <c r="B549" s="833"/>
      <c r="C549" s="833"/>
      <c r="D549" s="833"/>
      <c r="E549" s="833"/>
      <c r="F549" s="463"/>
      <c r="G549" s="1465"/>
      <c r="H549" s="1465"/>
      <c r="I549" s="30"/>
      <c r="J549" s="30"/>
      <c r="K549" s="30"/>
      <c r="L549" s="30"/>
      <c r="M549" s="1465"/>
      <c r="N549" s="1465"/>
    </row>
    <row r="550" ht="39.0" customHeight="1">
      <c r="A550" s="940"/>
      <c r="B550" s="941"/>
      <c r="C550" s="941"/>
      <c r="D550" s="941"/>
      <c r="E550" s="941"/>
      <c r="F550" s="463"/>
      <c r="G550" s="1465"/>
      <c r="H550" s="1465"/>
      <c r="I550" s="28"/>
      <c r="J550" s="28"/>
      <c r="K550" s="28"/>
      <c r="L550" s="28"/>
      <c r="M550" s="1465"/>
      <c r="N550" s="1465"/>
    </row>
    <row r="551" ht="39.0" customHeight="1">
      <c r="A551" s="939"/>
      <c r="B551" s="833"/>
      <c r="C551" s="833"/>
      <c r="D551" s="833"/>
      <c r="E551" s="833"/>
      <c r="F551" s="463"/>
      <c r="G551" s="1465"/>
      <c r="H551" s="1465"/>
      <c r="I551" s="30"/>
      <c r="J551" s="30"/>
      <c r="K551" s="30"/>
      <c r="L551" s="30"/>
      <c r="M551" s="1465"/>
      <c r="N551" s="1465"/>
    </row>
    <row r="552" ht="39.0" customHeight="1">
      <c r="A552" s="940"/>
      <c r="B552" s="941"/>
      <c r="C552" s="941"/>
      <c r="D552" s="941"/>
      <c r="E552" s="941"/>
      <c r="F552" s="463"/>
      <c r="G552" s="1465"/>
      <c r="H552" s="1465"/>
      <c r="I552" s="28"/>
      <c r="J552" s="28"/>
      <c r="K552" s="28"/>
      <c r="L552" s="28"/>
      <c r="M552" s="1465"/>
      <c r="N552" s="1465"/>
    </row>
    <row r="553" ht="39.0" customHeight="1">
      <c r="A553" s="939"/>
      <c r="B553" s="833"/>
      <c r="C553" s="833"/>
      <c r="D553" s="833"/>
      <c r="E553" s="833"/>
      <c r="F553" s="463"/>
      <c r="G553" s="1465"/>
      <c r="H553" s="1465"/>
      <c r="I553" s="30"/>
      <c r="J553" s="30"/>
      <c r="K553" s="30"/>
      <c r="L553" s="30"/>
      <c r="M553" s="1465"/>
      <c r="N553" s="1465"/>
    </row>
    <row r="554" ht="39.0" customHeight="1">
      <c r="A554" s="940"/>
      <c r="B554" s="941"/>
      <c r="C554" s="941"/>
      <c r="D554" s="941"/>
      <c r="E554" s="941"/>
      <c r="F554" s="463"/>
      <c r="G554" s="1465"/>
      <c r="H554" s="1465"/>
      <c r="I554" s="28"/>
      <c r="J554" s="28"/>
      <c r="K554" s="28"/>
      <c r="L554" s="28"/>
      <c r="M554" s="1465"/>
      <c r="N554" s="1465"/>
    </row>
    <row r="555" ht="39.0" customHeight="1">
      <c r="A555" s="939"/>
      <c r="B555" s="833"/>
      <c r="C555" s="833"/>
      <c r="D555" s="833"/>
      <c r="E555" s="833"/>
      <c r="F555" s="463"/>
      <c r="G555" s="1465"/>
      <c r="H555" s="1465"/>
      <c r="I555" s="30"/>
      <c r="J555" s="30"/>
      <c r="K555" s="30"/>
      <c r="L555" s="30"/>
      <c r="M555" s="1465"/>
      <c r="N555" s="1465"/>
    </row>
    <row r="556" ht="39.0" customHeight="1">
      <c r="A556" s="940"/>
      <c r="B556" s="941"/>
      <c r="C556" s="941"/>
      <c r="D556" s="941"/>
      <c r="E556" s="941"/>
      <c r="F556" s="463"/>
      <c r="G556" s="1465"/>
      <c r="H556" s="1465"/>
      <c r="I556" s="28"/>
      <c r="J556" s="28"/>
      <c r="K556" s="28"/>
      <c r="L556" s="28"/>
      <c r="M556" s="1465"/>
      <c r="N556" s="1465"/>
    </row>
    <row r="557" ht="39.0" customHeight="1">
      <c r="A557" s="939"/>
      <c r="B557" s="833"/>
      <c r="C557" s="833"/>
      <c r="D557" s="833"/>
      <c r="E557" s="833"/>
      <c r="F557" s="463"/>
      <c r="G557" s="1465"/>
      <c r="H557" s="1465"/>
      <c r="I557" s="30"/>
      <c r="J557" s="30"/>
      <c r="K557" s="30"/>
      <c r="L557" s="30"/>
      <c r="M557" s="1465"/>
      <c r="N557" s="1465"/>
    </row>
    <row r="558" ht="39.0" customHeight="1">
      <c r="A558" s="940"/>
      <c r="B558" s="941"/>
      <c r="C558" s="941"/>
      <c r="D558" s="941"/>
      <c r="E558" s="941"/>
      <c r="F558" s="463"/>
      <c r="G558" s="1465"/>
      <c r="H558" s="1465"/>
      <c r="I558" s="28"/>
      <c r="J558" s="28"/>
      <c r="K558" s="28"/>
      <c r="L558" s="28"/>
      <c r="M558" s="1465"/>
      <c r="N558" s="1465"/>
    </row>
    <row r="559" ht="39.0" customHeight="1">
      <c r="A559" s="939"/>
      <c r="B559" s="833"/>
      <c r="C559" s="833"/>
      <c r="D559" s="833"/>
      <c r="E559" s="833"/>
      <c r="F559" s="463"/>
      <c r="G559" s="1465"/>
      <c r="H559" s="1465"/>
      <c r="I559" s="30"/>
      <c r="J559" s="30"/>
      <c r="K559" s="30"/>
      <c r="L559" s="30"/>
      <c r="M559" s="1465"/>
      <c r="N559" s="1465"/>
    </row>
    <row r="560" ht="39.0" customHeight="1">
      <c r="A560" s="940"/>
      <c r="B560" s="941"/>
      <c r="C560" s="941"/>
      <c r="D560" s="941"/>
      <c r="E560" s="941"/>
      <c r="F560" s="463"/>
      <c r="G560" s="1465"/>
      <c r="H560" s="1465"/>
      <c r="I560" s="28"/>
      <c r="J560" s="28"/>
      <c r="K560" s="28"/>
      <c r="L560" s="28"/>
      <c r="M560" s="1465"/>
      <c r="N560" s="1465"/>
    </row>
    <row r="561" ht="39.0" customHeight="1">
      <c r="A561" s="939"/>
      <c r="B561" s="833"/>
      <c r="C561" s="833"/>
      <c r="D561" s="833"/>
      <c r="E561" s="833"/>
      <c r="F561" s="463"/>
      <c r="G561" s="1465"/>
      <c r="H561" s="1465"/>
      <c r="I561" s="30"/>
      <c r="J561" s="30"/>
      <c r="K561" s="30"/>
      <c r="L561" s="30"/>
      <c r="M561" s="1465"/>
      <c r="N561" s="1465"/>
    </row>
    <row r="562" ht="39.0" customHeight="1">
      <c r="A562" s="940"/>
      <c r="B562" s="941"/>
      <c r="C562" s="941"/>
      <c r="D562" s="941"/>
      <c r="E562" s="941"/>
      <c r="F562" s="463"/>
      <c r="G562" s="1465"/>
      <c r="H562" s="1465"/>
      <c r="I562" s="28"/>
      <c r="J562" s="28"/>
      <c r="K562" s="28"/>
      <c r="L562" s="28"/>
      <c r="M562" s="1465"/>
      <c r="N562" s="1465"/>
    </row>
    <row r="563" ht="39.0" customHeight="1">
      <c r="A563" s="939"/>
      <c r="B563" s="833"/>
      <c r="C563" s="833"/>
      <c r="D563" s="833"/>
      <c r="E563" s="833"/>
      <c r="F563" s="463"/>
      <c r="G563" s="1465"/>
      <c r="H563" s="1465"/>
      <c r="I563" s="30"/>
      <c r="J563" s="30"/>
      <c r="K563" s="30"/>
      <c r="L563" s="30"/>
      <c r="M563" s="1465"/>
      <c r="N563" s="1465"/>
    </row>
    <row r="564" ht="39.0" customHeight="1">
      <c r="A564" s="940"/>
      <c r="B564" s="941"/>
      <c r="C564" s="941"/>
      <c r="D564" s="941"/>
      <c r="E564" s="941"/>
      <c r="F564" s="463"/>
      <c r="G564" s="1465"/>
      <c r="H564" s="1465"/>
      <c r="I564" s="28"/>
      <c r="J564" s="28"/>
      <c r="K564" s="28"/>
      <c r="L564" s="28"/>
      <c r="M564" s="1465"/>
      <c r="N564" s="1465"/>
    </row>
    <row r="565" ht="39.0" customHeight="1">
      <c r="A565" s="939"/>
      <c r="B565" s="833"/>
      <c r="C565" s="833"/>
      <c r="D565" s="833"/>
      <c r="E565" s="833"/>
      <c r="F565" s="463"/>
      <c r="G565" s="1465"/>
      <c r="H565" s="1465"/>
      <c r="I565" s="30"/>
      <c r="J565" s="30"/>
      <c r="K565" s="30"/>
      <c r="L565" s="30"/>
      <c r="M565" s="1465"/>
      <c r="N565" s="1465"/>
    </row>
    <row r="566" ht="39.0" customHeight="1">
      <c r="A566" s="940"/>
      <c r="B566" s="941"/>
      <c r="C566" s="941"/>
      <c r="D566" s="941"/>
      <c r="E566" s="941"/>
      <c r="F566" s="463"/>
      <c r="G566" s="1465"/>
      <c r="H566" s="1465"/>
      <c r="I566" s="28"/>
      <c r="J566" s="28"/>
      <c r="K566" s="28"/>
      <c r="L566" s="28"/>
      <c r="M566" s="1465"/>
      <c r="N566" s="1465"/>
    </row>
    <row r="567" ht="39.0" customHeight="1">
      <c r="A567" s="939"/>
      <c r="B567" s="833"/>
      <c r="C567" s="833"/>
      <c r="D567" s="833"/>
      <c r="E567" s="833"/>
      <c r="F567" s="463"/>
      <c r="G567" s="1465"/>
      <c r="H567" s="1465"/>
      <c r="I567" s="30"/>
      <c r="J567" s="30"/>
      <c r="K567" s="30"/>
      <c r="L567" s="30"/>
      <c r="M567" s="1465"/>
      <c r="N567" s="1465"/>
    </row>
    <row r="568" ht="39.0" customHeight="1">
      <c r="A568" s="940"/>
      <c r="B568" s="941"/>
      <c r="C568" s="941"/>
      <c r="D568" s="941"/>
      <c r="E568" s="941"/>
      <c r="F568" s="463"/>
      <c r="G568" s="1465"/>
      <c r="H568" s="1465"/>
      <c r="I568" s="28"/>
      <c r="J568" s="28"/>
      <c r="K568" s="28"/>
      <c r="L568" s="28"/>
      <c r="M568" s="1465"/>
      <c r="N568" s="1465"/>
    </row>
    <row r="569" ht="39.0" customHeight="1">
      <c r="A569" s="939"/>
      <c r="B569" s="833"/>
      <c r="C569" s="833"/>
      <c r="D569" s="833"/>
      <c r="E569" s="833"/>
      <c r="F569" s="463"/>
      <c r="G569" s="1465"/>
      <c r="H569" s="1465"/>
      <c r="I569" s="30"/>
      <c r="J569" s="30"/>
      <c r="K569" s="30"/>
      <c r="L569" s="30"/>
      <c r="M569" s="1465"/>
      <c r="N569" s="1465"/>
    </row>
    <row r="570" ht="39.0" customHeight="1">
      <c r="A570" s="940"/>
      <c r="B570" s="941"/>
      <c r="C570" s="941"/>
      <c r="D570" s="941"/>
      <c r="E570" s="941"/>
      <c r="F570" s="463"/>
      <c r="G570" s="1465"/>
      <c r="H570" s="1465"/>
      <c r="I570" s="28"/>
      <c r="J570" s="28"/>
      <c r="K570" s="28"/>
      <c r="L570" s="28"/>
      <c r="M570" s="1465"/>
      <c r="N570" s="1465"/>
    </row>
    <row r="571" ht="39.0" customHeight="1">
      <c r="A571" s="939"/>
      <c r="B571" s="833"/>
      <c r="C571" s="833"/>
      <c r="D571" s="833"/>
      <c r="E571" s="833"/>
      <c r="F571" s="463"/>
      <c r="G571" s="1465"/>
      <c r="H571" s="1465"/>
      <c r="I571" s="30"/>
      <c r="J571" s="30"/>
      <c r="K571" s="30"/>
      <c r="L571" s="30"/>
      <c r="M571" s="1465"/>
      <c r="N571" s="1465"/>
    </row>
    <row r="572" ht="39.0" customHeight="1">
      <c r="A572" s="940"/>
      <c r="B572" s="941"/>
      <c r="C572" s="941"/>
      <c r="D572" s="941"/>
      <c r="E572" s="941"/>
      <c r="F572" s="463"/>
      <c r="G572" s="1465"/>
      <c r="H572" s="1465"/>
      <c r="I572" s="28"/>
      <c r="J572" s="28"/>
      <c r="K572" s="28"/>
      <c r="L572" s="28"/>
      <c r="M572" s="1465"/>
      <c r="N572" s="1465"/>
    </row>
    <row r="573" ht="39.0" customHeight="1">
      <c r="A573" s="939"/>
      <c r="B573" s="833"/>
      <c r="C573" s="833"/>
      <c r="D573" s="833"/>
      <c r="E573" s="833"/>
      <c r="F573" s="463"/>
      <c r="G573" s="1465"/>
      <c r="H573" s="1465"/>
      <c r="I573" s="30"/>
      <c r="J573" s="30"/>
      <c r="K573" s="30"/>
      <c r="L573" s="30"/>
      <c r="M573" s="1465"/>
      <c r="N573" s="1465"/>
    </row>
    <row r="574" ht="39.0" customHeight="1">
      <c r="A574" s="940"/>
      <c r="B574" s="941"/>
      <c r="C574" s="941"/>
      <c r="D574" s="941"/>
      <c r="E574" s="941"/>
      <c r="F574" s="463"/>
      <c r="G574" s="1465"/>
      <c r="H574" s="1465"/>
      <c r="I574" s="28"/>
      <c r="J574" s="28"/>
      <c r="K574" s="28"/>
      <c r="L574" s="28"/>
      <c r="M574" s="1465"/>
      <c r="N574" s="1465"/>
    </row>
    <row r="575" ht="39.0" customHeight="1">
      <c r="A575" s="939"/>
      <c r="B575" s="833"/>
      <c r="C575" s="833"/>
      <c r="D575" s="833"/>
      <c r="E575" s="833"/>
      <c r="F575" s="463"/>
      <c r="G575" s="1465"/>
      <c r="H575" s="1465"/>
      <c r="I575" s="30"/>
      <c r="J575" s="30"/>
      <c r="K575" s="30"/>
      <c r="L575" s="30"/>
      <c r="M575" s="1465"/>
      <c r="N575" s="1465"/>
    </row>
    <row r="576" ht="39.0" customHeight="1">
      <c r="A576" s="940"/>
      <c r="B576" s="941"/>
      <c r="C576" s="941"/>
      <c r="D576" s="941"/>
      <c r="E576" s="941"/>
      <c r="F576" s="463"/>
      <c r="G576" s="1465"/>
      <c r="H576" s="1465"/>
      <c r="I576" s="28"/>
      <c r="J576" s="28"/>
      <c r="K576" s="28"/>
      <c r="L576" s="28"/>
      <c r="M576" s="1465"/>
      <c r="N576" s="1465"/>
    </row>
    <row r="577" ht="39.0" customHeight="1">
      <c r="A577" s="939"/>
      <c r="B577" s="833"/>
      <c r="C577" s="833"/>
      <c r="D577" s="833"/>
      <c r="E577" s="833"/>
      <c r="F577" s="463"/>
      <c r="G577" s="1465"/>
      <c r="H577" s="1465"/>
      <c r="I577" s="30"/>
      <c r="J577" s="30"/>
      <c r="K577" s="30"/>
      <c r="L577" s="30"/>
      <c r="M577" s="1465"/>
      <c r="N577" s="1465"/>
    </row>
    <row r="578" ht="39.0" customHeight="1">
      <c r="A578" s="940"/>
      <c r="B578" s="941"/>
      <c r="C578" s="941"/>
      <c r="D578" s="941"/>
      <c r="E578" s="941"/>
      <c r="F578" s="463"/>
      <c r="G578" s="1465"/>
      <c r="H578" s="1465"/>
      <c r="I578" s="28"/>
      <c r="J578" s="28"/>
      <c r="K578" s="28"/>
      <c r="L578" s="28"/>
      <c r="M578" s="1465"/>
      <c r="N578" s="1465"/>
    </row>
    <row r="579" ht="39.0" customHeight="1">
      <c r="A579" s="939"/>
      <c r="B579" s="833"/>
      <c r="C579" s="833"/>
      <c r="D579" s="833"/>
      <c r="E579" s="833"/>
      <c r="F579" s="463"/>
      <c r="G579" s="1465"/>
      <c r="H579" s="1465"/>
      <c r="I579" s="30"/>
      <c r="J579" s="30"/>
      <c r="K579" s="30"/>
      <c r="L579" s="30"/>
      <c r="M579" s="1465"/>
      <c r="N579" s="1465"/>
    </row>
    <row r="580" ht="39.0" customHeight="1">
      <c r="A580" s="940"/>
      <c r="B580" s="941"/>
      <c r="C580" s="941"/>
      <c r="D580" s="941"/>
      <c r="E580" s="941"/>
      <c r="F580" s="463"/>
      <c r="G580" s="1465"/>
      <c r="H580" s="1465"/>
      <c r="I580" s="28"/>
      <c r="J580" s="28"/>
      <c r="K580" s="28"/>
      <c r="L580" s="28"/>
      <c r="M580" s="1465"/>
      <c r="N580" s="1465"/>
    </row>
    <row r="581" ht="39.0" customHeight="1">
      <c r="A581" s="939"/>
      <c r="B581" s="833"/>
      <c r="C581" s="833"/>
      <c r="D581" s="833"/>
      <c r="E581" s="833"/>
      <c r="F581" s="463"/>
      <c r="G581" s="1465"/>
      <c r="H581" s="1465"/>
      <c r="I581" s="30"/>
      <c r="J581" s="30"/>
      <c r="K581" s="30"/>
      <c r="L581" s="30"/>
      <c r="M581" s="1465"/>
      <c r="N581" s="1465"/>
    </row>
    <row r="582" ht="39.0" customHeight="1">
      <c r="A582" s="940"/>
      <c r="B582" s="941"/>
      <c r="C582" s="941"/>
      <c r="D582" s="941"/>
      <c r="E582" s="941"/>
      <c r="F582" s="463"/>
      <c r="G582" s="1465"/>
      <c r="H582" s="1465"/>
      <c r="I582" s="28"/>
      <c r="J582" s="28"/>
      <c r="K582" s="28"/>
      <c r="L582" s="28"/>
      <c r="M582" s="1465"/>
      <c r="N582" s="1465"/>
    </row>
    <row r="583" ht="39.0" customHeight="1">
      <c r="A583" s="939"/>
      <c r="B583" s="833"/>
      <c r="C583" s="833"/>
      <c r="D583" s="833"/>
      <c r="E583" s="833"/>
      <c r="F583" s="463"/>
      <c r="G583" s="1465"/>
      <c r="H583" s="1465"/>
      <c r="I583" s="30"/>
      <c r="J583" s="30"/>
      <c r="K583" s="30"/>
      <c r="L583" s="30"/>
      <c r="M583" s="1465"/>
      <c r="N583" s="1465"/>
    </row>
    <row r="584" ht="39.0" customHeight="1">
      <c r="A584" s="940"/>
      <c r="B584" s="941"/>
      <c r="C584" s="941"/>
      <c r="D584" s="941"/>
      <c r="E584" s="941"/>
      <c r="F584" s="463"/>
      <c r="G584" s="1465"/>
      <c r="H584" s="1465"/>
      <c r="I584" s="28"/>
      <c r="J584" s="28"/>
      <c r="K584" s="28"/>
      <c r="L584" s="28"/>
      <c r="M584" s="1465"/>
      <c r="N584" s="1465"/>
    </row>
    <row r="585" ht="39.0" customHeight="1">
      <c r="A585" s="939"/>
      <c r="B585" s="833"/>
      <c r="C585" s="833"/>
      <c r="D585" s="833"/>
      <c r="E585" s="833"/>
      <c r="F585" s="463"/>
      <c r="G585" s="1465"/>
      <c r="H585" s="1465"/>
      <c r="I585" s="30"/>
      <c r="J585" s="30"/>
      <c r="K585" s="30"/>
      <c r="L585" s="30"/>
      <c r="M585" s="1465"/>
      <c r="N585" s="1465"/>
    </row>
    <row r="586" ht="39.0" customHeight="1">
      <c r="A586" s="940"/>
      <c r="B586" s="941"/>
      <c r="C586" s="941"/>
      <c r="D586" s="941"/>
      <c r="E586" s="941"/>
      <c r="F586" s="463"/>
      <c r="G586" s="1465"/>
      <c r="H586" s="1465"/>
      <c r="I586" s="28"/>
      <c r="J586" s="28"/>
      <c r="K586" s="28"/>
      <c r="L586" s="28"/>
      <c r="M586" s="1465"/>
      <c r="N586" s="1465"/>
    </row>
    <row r="587" ht="39.0" customHeight="1">
      <c r="A587" s="939"/>
      <c r="B587" s="833"/>
      <c r="C587" s="833"/>
      <c r="D587" s="833"/>
      <c r="E587" s="833"/>
      <c r="F587" s="463"/>
      <c r="G587" s="1465"/>
      <c r="H587" s="1465"/>
      <c r="I587" s="30"/>
      <c r="J587" s="30"/>
      <c r="K587" s="30"/>
      <c r="L587" s="30"/>
      <c r="M587" s="1465"/>
      <c r="N587" s="1465"/>
    </row>
    <row r="588" ht="39.0" customHeight="1">
      <c r="A588" s="940"/>
      <c r="B588" s="941"/>
      <c r="C588" s="941"/>
      <c r="D588" s="941"/>
      <c r="E588" s="941"/>
      <c r="F588" s="463"/>
      <c r="G588" s="1465"/>
      <c r="H588" s="1465"/>
      <c r="I588" s="28"/>
      <c r="J588" s="28"/>
      <c r="K588" s="28"/>
      <c r="L588" s="28"/>
      <c r="M588" s="1465"/>
      <c r="N588" s="1465"/>
    </row>
    <row r="589" ht="39.0" customHeight="1">
      <c r="A589" s="939"/>
      <c r="B589" s="833"/>
      <c r="C589" s="833"/>
      <c r="D589" s="833"/>
      <c r="E589" s="833"/>
      <c r="F589" s="463"/>
      <c r="G589" s="1465"/>
      <c r="H589" s="1465"/>
      <c r="I589" s="30"/>
      <c r="J589" s="30"/>
      <c r="K589" s="30"/>
      <c r="L589" s="30"/>
      <c r="M589" s="1465"/>
      <c r="N589" s="1465"/>
    </row>
    <row r="590" ht="39.0" customHeight="1">
      <c r="A590" s="940"/>
      <c r="B590" s="941"/>
      <c r="C590" s="941"/>
      <c r="D590" s="941"/>
      <c r="E590" s="941"/>
      <c r="F590" s="463"/>
      <c r="G590" s="1465"/>
      <c r="H590" s="1465"/>
      <c r="I590" s="28"/>
      <c r="J590" s="28"/>
      <c r="K590" s="28"/>
      <c r="L590" s="28"/>
      <c r="M590" s="1465"/>
      <c r="N590" s="1465"/>
    </row>
    <row r="591" ht="39.0" customHeight="1">
      <c r="A591" s="939"/>
      <c r="B591" s="833"/>
      <c r="C591" s="833"/>
      <c r="D591" s="833"/>
      <c r="E591" s="833"/>
      <c r="F591" s="463"/>
      <c r="G591" s="1465"/>
      <c r="H591" s="1465"/>
      <c r="I591" s="30"/>
      <c r="J591" s="30"/>
      <c r="K591" s="30"/>
      <c r="L591" s="30"/>
      <c r="M591" s="1465"/>
      <c r="N591" s="1465"/>
    </row>
    <row r="592" ht="39.0" customHeight="1">
      <c r="A592" s="940"/>
      <c r="B592" s="941"/>
      <c r="C592" s="941"/>
      <c r="D592" s="941"/>
      <c r="E592" s="941"/>
      <c r="F592" s="463"/>
      <c r="G592" s="1465"/>
      <c r="H592" s="1465"/>
      <c r="I592" s="28"/>
      <c r="J592" s="28"/>
      <c r="K592" s="28"/>
      <c r="L592" s="28"/>
      <c r="M592" s="1465"/>
      <c r="N592" s="1465"/>
    </row>
    <row r="593" ht="39.0" customHeight="1">
      <c r="A593" s="939"/>
      <c r="B593" s="833"/>
      <c r="C593" s="833"/>
      <c r="D593" s="833"/>
      <c r="E593" s="833"/>
      <c r="F593" s="463"/>
      <c r="G593" s="1465"/>
      <c r="H593" s="1465"/>
      <c r="I593" s="30"/>
      <c r="J593" s="30"/>
      <c r="K593" s="30"/>
      <c r="L593" s="30"/>
      <c r="M593" s="1465"/>
      <c r="N593" s="1465"/>
    </row>
    <row r="594" ht="39.0" customHeight="1">
      <c r="A594" s="940"/>
      <c r="B594" s="941"/>
      <c r="C594" s="941"/>
      <c r="D594" s="941"/>
      <c r="E594" s="941"/>
      <c r="F594" s="463"/>
      <c r="G594" s="1465"/>
      <c r="H594" s="1465"/>
      <c r="I594" s="28"/>
      <c r="J594" s="28"/>
      <c r="K594" s="28"/>
      <c r="L594" s="28"/>
      <c r="M594" s="1465"/>
      <c r="N594" s="1465"/>
    </row>
    <row r="595" ht="39.0" customHeight="1">
      <c r="A595" s="939"/>
      <c r="B595" s="833"/>
      <c r="C595" s="833"/>
      <c r="D595" s="833"/>
      <c r="E595" s="833"/>
      <c r="F595" s="463"/>
      <c r="G595" s="1465"/>
      <c r="H595" s="1465"/>
      <c r="I595" s="30"/>
      <c r="J595" s="30"/>
      <c r="K595" s="30"/>
      <c r="L595" s="30"/>
      <c r="M595" s="1465"/>
      <c r="N595" s="1465"/>
    </row>
    <row r="596" ht="39.0" customHeight="1">
      <c r="A596" s="940"/>
      <c r="B596" s="941"/>
      <c r="C596" s="941"/>
      <c r="D596" s="941"/>
      <c r="E596" s="941"/>
      <c r="F596" s="463"/>
      <c r="G596" s="1465"/>
      <c r="H596" s="1465"/>
      <c r="I596" s="28"/>
      <c r="J596" s="28"/>
      <c r="K596" s="28"/>
      <c r="L596" s="28"/>
      <c r="M596" s="1465"/>
      <c r="N596" s="1465"/>
    </row>
    <row r="597" ht="39.0" customHeight="1">
      <c r="A597" s="939"/>
      <c r="B597" s="833"/>
      <c r="C597" s="833"/>
      <c r="D597" s="833"/>
      <c r="E597" s="833"/>
      <c r="F597" s="463"/>
      <c r="G597" s="1465"/>
      <c r="H597" s="1465"/>
      <c r="I597" s="30"/>
      <c r="J597" s="30"/>
      <c r="K597" s="30"/>
      <c r="L597" s="30"/>
      <c r="M597" s="1465"/>
      <c r="N597" s="1465"/>
    </row>
    <row r="598" ht="39.0" customHeight="1">
      <c r="A598" s="940"/>
      <c r="B598" s="941"/>
      <c r="C598" s="941"/>
      <c r="D598" s="941"/>
      <c r="E598" s="941"/>
      <c r="F598" s="463"/>
      <c r="G598" s="1465"/>
      <c r="H598" s="1465"/>
      <c r="I598" s="28"/>
      <c r="J598" s="28"/>
      <c r="K598" s="28"/>
      <c r="L598" s="28"/>
      <c r="M598" s="1465"/>
      <c r="N598" s="1465"/>
    </row>
    <row r="599" ht="39.0" customHeight="1">
      <c r="A599" s="939"/>
      <c r="B599" s="833"/>
      <c r="C599" s="833"/>
      <c r="D599" s="833"/>
      <c r="E599" s="833"/>
      <c r="F599" s="463"/>
      <c r="G599" s="1465"/>
      <c r="H599" s="1465"/>
      <c r="I599" s="30"/>
      <c r="J599" s="30"/>
      <c r="K599" s="30"/>
      <c r="L599" s="30"/>
      <c r="M599" s="1465"/>
      <c r="N599" s="1465"/>
    </row>
    <row r="600" ht="39.0" customHeight="1">
      <c r="A600" s="940"/>
      <c r="B600" s="941"/>
      <c r="C600" s="941"/>
      <c r="D600" s="941"/>
      <c r="E600" s="941"/>
      <c r="F600" s="463"/>
      <c r="G600" s="1465"/>
      <c r="H600" s="1465"/>
      <c r="I600" s="28"/>
      <c r="J600" s="28"/>
      <c r="K600" s="28"/>
      <c r="L600" s="28"/>
      <c r="M600" s="1465"/>
      <c r="N600" s="1465"/>
    </row>
    <row r="601" ht="39.0" customHeight="1">
      <c r="A601" s="939"/>
      <c r="B601" s="833"/>
      <c r="C601" s="833"/>
      <c r="D601" s="833"/>
      <c r="E601" s="833"/>
      <c r="F601" s="463"/>
      <c r="G601" s="1465"/>
      <c r="H601" s="1465"/>
      <c r="I601" s="30"/>
      <c r="J601" s="30"/>
      <c r="K601" s="30"/>
      <c r="L601" s="30"/>
      <c r="M601" s="1465"/>
      <c r="N601" s="1465"/>
    </row>
    <row r="602" ht="39.0" customHeight="1">
      <c r="A602" s="940"/>
      <c r="B602" s="941"/>
      <c r="C602" s="941"/>
      <c r="D602" s="941"/>
      <c r="E602" s="941"/>
      <c r="F602" s="463"/>
      <c r="G602" s="1465"/>
      <c r="H602" s="1465"/>
      <c r="I602" s="28"/>
      <c r="J602" s="28"/>
      <c r="K602" s="28"/>
      <c r="L602" s="28"/>
      <c r="M602" s="1465"/>
      <c r="N602" s="1465"/>
    </row>
    <row r="603" ht="39.0" customHeight="1">
      <c r="A603" s="939"/>
      <c r="B603" s="833"/>
      <c r="C603" s="833"/>
      <c r="D603" s="833"/>
      <c r="E603" s="833"/>
      <c r="F603" s="463"/>
      <c r="G603" s="1465"/>
      <c r="H603" s="1465"/>
      <c r="I603" s="30"/>
      <c r="J603" s="30"/>
      <c r="K603" s="30"/>
      <c r="L603" s="30"/>
      <c r="M603" s="1465"/>
      <c r="N603" s="1465"/>
    </row>
    <row r="604" ht="39.0" customHeight="1">
      <c r="A604" s="940"/>
      <c r="B604" s="941"/>
      <c r="C604" s="941"/>
      <c r="D604" s="941"/>
      <c r="E604" s="941"/>
      <c r="F604" s="463"/>
      <c r="G604" s="1465"/>
      <c r="H604" s="1465"/>
      <c r="I604" s="28"/>
      <c r="J604" s="28"/>
      <c r="K604" s="28"/>
      <c r="L604" s="28"/>
      <c r="M604" s="1465"/>
      <c r="N604" s="1465"/>
    </row>
    <row r="605" ht="39.0" customHeight="1">
      <c r="A605" s="939"/>
      <c r="B605" s="833"/>
      <c r="C605" s="833"/>
      <c r="D605" s="833"/>
      <c r="E605" s="833"/>
      <c r="F605" s="463"/>
      <c r="G605" s="1465"/>
      <c r="H605" s="1465"/>
      <c r="I605" s="30"/>
      <c r="J605" s="30"/>
      <c r="K605" s="30"/>
      <c r="L605" s="30"/>
      <c r="M605" s="1465"/>
      <c r="N605" s="1465"/>
    </row>
    <row r="606" ht="39.0" customHeight="1">
      <c r="A606" s="940"/>
      <c r="B606" s="941"/>
      <c r="C606" s="941"/>
      <c r="D606" s="941"/>
      <c r="E606" s="941"/>
      <c r="F606" s="463"/>
      <c r="G606" s="1465"/>
      <c r="H606" s="1465"/>
      <c r="I606" s="28"/>
      <c r="J606" s="28"/>
      <c r="K606" s="28"/>
      <c r="L606" s="28"/>
      <c r="M606" s="1465"/>
      <c r="N606" s="1465"/>
    </row>
    <row r="607" ht="39.0" customHeight="1">
      <c r="A607" s="939"/>
      <c r="B607" s="833"/>
      <c r="C607" s="833"/>
      <c r="D607" s="833"/>
      <c r="E607" s="833"/>
      <c r="F607" s="463"/>
      <c r="G607" s="1465"/>
      <c r="H607" s="1465"/>
      <c r="I607" s="30"/>
      <c r="J607" s="30"/>
      <c r="K607" s="30"/>
      <c r="L607" s="30"/>
      <c r="M607" s="1465"/>
      <c r="N607" s="1465"/>
    </row>
    <row r="608" ht="39.0" customHeight="1">
      <c r="A608" s="940"/>
      <c r="B608" s="941"/>
      <c r="C608" s="941"/>
      <c r="D608" s="941"/>
      <c r="E608" s="941"/>
      <c r="F608" s="463"/>
      <c r="G608" s="1465"/>
      <c r="H608" s="1465"/>
      <c r="I608" s="28"/>
      <c r="J608" s="28"/>
      <c r="K608" s="28"/>
      <c r="L608" s="28"/>
      <c r="M608" s="1465"/>
      <c r="N608" s="1465"/>
    </row>
    <row r="609" ht="39.0" customHeight="1">
      <c r="A609" s="939"/>
      <c r="B609" s="833"/>
      <c r="C609" s="833"/>
      <c r="D609" s="833"/>
      <c r="E609" s="833"/>
      <c r="F609" s="463"/>
      <c r="G609" s="1465"/>
      <c r="H609" s="1465"/>
      <c r="I609" s="30"/>
      <c r="J609" s="30"/>
      <c r="K609" s="30"/>
      <c r="L609" s="30"/>
      <c r="M609" s="1465"/>
      <c r="N609" s="1465"/>
    </row>
    <row r="610" ht="39.0" customHeight="1">
      <c r="A610" s="940"/>
      <c r="B610" s="941"/>
      <c r="C610" s="941"/>
      <c r="D610" s="941"/>
      <c r="E610" s="941"/>
      <c r="F610" s="463"/>
      <c r="G610" s="1465"/>
      <c r="H610" s="1465"/>
      <c r="I610" s="28"/>
      <c r="J610" s="28"/>
      <c r="K610" s="28"/>
      <c r="L610" s="28"/>
      <c r="M610" s="1465"/>
      <c r="N610" s="1465"/>
    </row>
    <row r="611" ht="39.0" customHeight="1">
      <c r="A611" s="939"/>
      <c r="B611" s="833"/>
      <c r="C611" s="833"/>
      <c r="D611" s="833"/>
      <c r="E611" s="833"/>
      <c r="F611" s="463"/>
      <c r="G611" s="1465"/>
      <c r="H611" s="1465"/>
      <c r="I611" s="30"/>
      <c r="J611" s="30"/>
      <c r="K611" s="30"/>
      <c r="L611" s="30"/>
      <c r="M611" s="1465"/>
      <c r="N611" s="1465"/>
    </row>
    <row r="612" ht="39.0" customHeight="1">
      <c r="A612" s="940"/>
      <c r="B612" s="941"/>
      <c r="C612" s="941"/>
      <c r="D612" s="941"/>
      <c r="E612" s="941"/>
      <c r="F612" s="463"/>
      <c r="G612" s="1465"/>
      <c r="H612" s="1465"/>
      <c r="I612" s="28"/>
      <c r="J612" s="28"/>
      <c r="K612" s="28"/>
      <c r="L612" s="28"/>
      <c r="M612" s="1465"/>
      <c r="N612" s="1465"/>
    </row>
    <row r="613" ht="39.0" customHeight="1">
      <c r="A613" s="939"/>
      <c r="B613" s="833"/>
      <c r="C613" s="833"/>
      <c r="D613" s="833"/>
      <c r="E613" s="833"/>
      <c r="F613" s="463"/>
      <c r="G613" s="1465"/>
      <c r="H613" s="1465"/>
      <c r="I613" s="30"/>
      <c r="J613" s="30"/>
      <c r="K613" s="30"/>
      <c r="L613" s="30"/>
      <c r="M613" s="1465"/>
      <c r="N613" s="1465"/>
    </row>
    <row r="614" ht="39.0" customHeight="1">
      <c r="A614" s="940"/>
      <c r="B614" s="941"/>
      <c r="C614" s="941"/>
      <c r="D614" s="941"/>
      <c r="E614" s="941"/>
      <c r="F614" s="463"/>
      <c r="G614" s="1465"/>
      <c r="H614" s="1465"/>
      <c r="I614" s="28"/>
      <c r="J614" s="28"/>
      <c r="K614" s="28"/>
      <c r="L614" s="28"/>
      <c r="M614" s="1465"/>
      <c r="N614" s="1465"/>
    </row>
    <row r="615" ht="39.0" customHeight="1">
      <c r="A615" s="939"/>
      <c r="B615" s="833"/>
      <c r="C615" s="833"/>
      <c r="D615" s="833"/>
      <c r="E615" s="833"/>
      <c r="F615" s="463"/>
      <c r="G615" s="1465"/>
      <c r="H615" s="1465"/>
      <c r="I615" s="30"/>
      <c r="J615" s="30"/>
      <c r="K615" s="30"/>
      <c r="L615" s="30"/>
      <c r="M615" s="1465"/>
      <c r="N615" s="1465"/>
    </row>
    <row r="616" ht="39.0" customHeight="1">
      <c r="A616" s="940"/>
      <c r="B616" s="941"/>
      <c r="C616" s="941"/>
      <c r="D616" s="941"/>
      <c r="E616" s="941"/>
      <c r="F616" s="463"/>
      <c r="G616" s="1465"/>
      <c r="H616" s="1465"/>
      <c r="I616" s="28"/>
      <c r="J616" s="28"/>
      <c r="K616" s="28"/>
      <c r="L616" s="28"/>
      <c r="M616" s="1465"/>
      <c r="N616" s="1465"/>
    </row>
    <row r="617" ht="39.0" customHeight="1">
      <c r="A617" s="939"/>
      <c r="B617" s="833"/>
      <c r="C617" s="833"/>
      <c r="D617" s="833"/>
      <c r="E617" s="833"/>
      <c r="F617" s="463"/>
      <c r="G617" s="1465"/>
      <c r="H617" s="1465"/>
      <c r="I617" s="30"/>
      <c r="J617" s="30"/>
      <c r="K617" s="30"/>
      <c r="L617" s="30"/>
      <c r="M617" s="1465"/>
      <c r="N617" s="1465"/>
    </row>
    <row r="618" ht="39.0" customHeight="1">
      <c r="A618" s="940"/>
      <c r="B618" s="941"/>
      <c r="C618" s="941"/>
      <c r="D618" s="941"/>
      <c r="E618" s="941"/>
      <c r="F618" s="463"/>
      <c r="G618" s="1465"/>
      <c r="H618" s="1465"/>
      <c r="I618" s="28"/>
      <c r="J618" s="28"/>
      <c r="K618" s="28"/>
      <c r="L618" s="28"/>
      <c r="M618" s="1465"/>
      <c r="N618" s="1465"/>
    </row>
    <row r="619" ht="39.0" customHeight="1">
      <c r="A619" s="939"/>
      <c r="B619" s="833"/>
      <c r="C619" s="833"/>
      <c r="D619" s="833"/>
      <c r="E619" s="833"/>
      <c r="F619" s="463"/>
      <c r="G619" s="1465"/>
      <c r="H619" s="1465"/>
      <c r="I619" s="30"/>
      <c r="J619" s="30"/>
      <c r="K619" s="30"/>
      <c r="L619" s="30"/>
      <c r="M619" s="1465"/>
      <c r="N619" s="1465"/>
    </row>
    <row r="620" ht="39.0" customHeight="1">
      <c r="A620" s="940"/>
      <c r="B620" s="941"/>
      <c r="C620" s="941"/>
      <c r="D620" s="941"/>
      <c r="E620" s="941"/>
      <c r="F620" s="463"/>
      <c r="G620" s="1465"/>
      <c r="H620" s="1465"/>
      <c r="I620" s="28"/>
      <c r="J620" s="28"/>
      <c r="K620" s="28"/>
      <c r="L620" s="28"/>
      <c r="M620" s="1465"/>
      <c r="N620" s="1465"/>
    </row>
    <row r="621" ht="39.0" customHeight="1">
      <c r="A621" s="939"/>
      <c r="B621" s="833"/>
      <c r="C621" s="833"/>
      <c r="D621" s="833"/>
      <c r="E621" s="833"/>
      <c r="F621" s="463"/>
      <c r="G621" s="1465"/>
      <c r="H621" s="1465"/>
      <c r="I621" s="30"/>
      <c r="J621" s="30"/>
      <c r="K621" s="30"/>
      <c r="L621" s="30"/>
      <c r="M621" s="1465"/>
      <c r="N621" s="1465"/>
    </row>
    <row r="622" ht="39.0" customHeight="1">
      <c r="A622" s="940"/>
      <c r="B622" s="941"/>
      <c r="C622" s="941"/>
      <c r="D622" s="941"/>
      <c r="E622" s="941"/>
      <c r="F622" s="463"/>
      <c r="G622" s="1465"/>
      <c r="H622" s="1465"/>
      <c r="I622" s="28"/>
      <c r="J622" s="28"/>
      <c r="K622" s="28"/>
      <c r="L622" s="28"/>
      <c r="M622" s="1465"/>
      <c r="N622" s="1465"/>
    </row>
    <row r="623" ht="39.0" customHeight="1">
      <c r="A623" s="939"/>
      <c r="B623" s="833"/>
      <c r="C623" s="833"/>
      <c r="D623" s="833"/>
      <c r="E623" s="833"/>
      <c r="F623" s="463"/>
      <c r="G623" s="1465"/>
      <c r="H623" s="1465"/>
      <c r="I623" s="30"/>
      <c r="J623" s="30"/>
      <c r="K623" s="30"/>
      <c r="L623" s="30"/>
      <c r="M623" s="1465"/>
      <c r="N623" s="1465"/>
    </row>
    <row r="624" ht="39.0" customHeight="1">
      <c r="A624" s="940"/>
      <c r="B624" s="941"/>
      <c r="C624" s="941"/>
      <c r="D624" s="941"/>
      <c r="E624" s="941"/>
      <c r="F624" s="463"/>
      <c r="G624" s="1465"/>
      <c r="H624" s="1465"/>
      <c r="I624" s="28"/>
      <c r="J624" s="28"/>
      <c r="K624" s="28"/>
      <c r="L624" s="28"/>
      <c r="M624" s="1465"/>
      <c r="N624" s="1465"/>
    </row>
    <row r="625" ht="39.0" customHeight="1">
      <c r="A625" s="939"/>
      <c r="B625" s="833"/>
      <c r="C625" s="833"/>
      <c r="D625" s="833"/>
      <c r="E625" s="833"/>
      <c r="F625" s="463"/>
      <c r="G625" s="1465"/>
      <c r="H625" s="1465"/>
      <c r="I625" s="30"/>
      <c r="J625" s="30"/>
      <c r="K625" s="30"/>
      <c r="L625" s="30"/>
      <c r="M625" s="1465"/>
      <c r="N625" s="1465"/>
    </row>
    <row r="626" ht="39.0" customHeight="1">
      <c r="A626" s="940"/>
      <c r="B626" s="941"/>
      <c r="C626" s="941"/>
      <c r="D626" s="941"/>
      <c r="E626" s="941"/>
      <c r="F626" s="463"/>
      <c r="G626" s="1465"/>
      <c r="H626" s="1465"/>
      <c r="I626" s="28"/>
      <c r="J626" s="28"/>
      <c r="K626" s="28"/>
      <c r="L626" s="28"/>
      <c r="M626" s="1465"/>
      <c r="N626" s="1465"/>
    </row>
    <row r="627" ht="39.0" customHeight="1">
      <c r="A627" s="939"/>
      <c r="B627" s="833"/>
      <c r="C627" s="833"/>
      <c r="D627" s="833"/>
      <c r="E627" s="833"/>
      <c r="F627" s="463"/>
      <c r="G627" s="1465"/>
      <c r="H627" s="1465"/>
      <c r="I627" s="30"/>
      <c r="J627" s="30"/>
      <c r="K627" s="30"/>
      <c r="L627" s="30"/>
      <c r="M627" s="1465"/>
      <c r="N627" s="1465"/>
    </row>
    <row r="628" ht="39.0" customHeight="1">
      <c r="A628" s="940"/>
      <c r="B628" s="941"/>
      <c r="C628" s="941"/>
      <c r="D628" s="941"/>
      <c r="E628" s="941"/>
      <c r="F628" s="463"/>
      <c r="G628" s="1465"/>
      <c r="H628" s="1465"/>
      <c r="I628" s="28"/>
      <c r="J628" s="28"/>
      <c r="K628" s="28"/>
      <c r="L628" s="28"/>
      <c r="M628" s="1465"/>
      <c r="N628" s="1465"/>
    </row>
    <row r="629" ht="39.0" customHeight="1">
      <c r="A629" s="939"/>
      <c r="B629" s="833"/>
      <c r="C629" s="833"/>
      <c r="D629" s="833"/>
      <c r="E629" s="833"/>
      <c r="F629" s="463"/>
      <c r="G629" s="1465"/>
      <c r="H629" s="1465"/>
      <c r="I629" s="30"/>
      <c r="J629" s="30"/>
      <c r="K629" s="30"/>
      <c r="L629" s="30"/>
      <c r="M629" s="1465"/>
      <c r="N629" s="1465"/>
    </row>
    <row r="630" ht="39.0" customHeight="1">
      <c r="A630" s="940"/>
      <c r="B630" s="941"/>
      <c r="C630" s="941"/>
      <c r="D630" s="941"/>
      <c r="E630" s="941"/>
      <c r="F630" s="463"/>
      <c r="G630" s="1465"/>
      <c r="H630" s="1465"/>
      <c r="I630" s="28"/>
      <c r="J630" s="28"/>
      <c r="K630" s="28"/>
      <c r="L630" s="28"/>
      <c r="M630" s="1465"/>
      <c r="N630" s="1465"/>
    </row>
    <row r="631" ht="39.0" customHeight="1">
      <c r="A631" s="939"/>
      <c r="B631" s="833"/>
      <c r="C631" s="833"/>
      <c r="D631" s="833"/>
      <c r="E631" s="833"/>
      <c r="F631" s="463"/>
      <c r="G631" s="1465"/>
      <c r="H631" s="1465"/>
      <c r="I631" s="30"/>
      <c r="J631" s="30"/>
      <c r="K631" s="30"/>
      <c r="L631" s="30"/>
      <c r="M631" s="1465"/>
      <c r="N631" s="1465"/>
    </row>
    <row r="632" ht="39.0" customHeight="1">
      <c r="A632" s="940"/>
      <c r="B632" s="941"/>
      <c r="C632" s="941"/>
      <c r="D632" s="941"/>
      <c r="E632" s="941"/>
      <c r="F632" s="463"/>
      <c r="G632" s="1465"/>
      <c r="H632" s="1465"/>
      <c r="I632" s="28"/>
      <c r="J632" s="28"/>
      <c r="K632" s="28"/>
      <c r="L632" s="28"/>
      <c r="M632" s="1465"/>
      <c r="N632" s="1465"/>
    </row>
    <row r="633" ht="39.0" customHeight="1">
      <c r="A633" s="939"/>
      <c r="B633" s="833"/>
      <c r="C633" s="833"/>
      <c r="D633" s="833"/>
      <c r="E633" s="833"/>
      <c r="F633" s="463"/>
      <c r="G633" s="1465"/>
      <c r="H633" s="1465"/>
      <c r="I633" s="30"/>
      <c r="J633" s="30"/>
      <c r="K633" s="30"/>
      <c r="L633" s="30"/>
      <c r="M633" s="1465"/>
      <c r="N633" s="1465"/>
    </row>
    <row r="634" ht="39.0" customHeight="1">
      <c r="A634" s="940"/>
      <c r="B634" s="941"/>
      <c r="C634" s="941"/>
      <c r="D634" s="941"/>
      <c r="E634" s="941"/>
      <c r="F634" s="463"/>
      <c r="G634" s="1465"/>
      <c r="H634" s="1465"/>
      <c r="I634" s="28"/>
      <c r="J634" s="28"/>
      <c r="K634" s="28"/>
      <c r="L634" s="28"/>
      <c r="M634" s="1465"/>
      <c r="N634" s="1465"/>
    </row>
    <row r="635" ht="39.0" customHeight="1">
      <c r="A635" s="939"/>
      <c r="B635" s="833"/>
      <c r="C635" s="833"/>
      <c r="D635" s="833"/>
      <c r="E635" s="833"/>
      <c r="F635" s="463"/>
      <c r="G635" s="1465"/>
      <c r="H635" s="1465"/>
      <c r="I635" s="30"/>
      <c r="J635" s="30"/>
      <c r="K635" s="30"/>
      <c r="L635" s="30"/>
      <c r="M635" s="1465"/>
      <c r="N635" s="1465"/>
    </row>
    <row r="636" ht="39.0" customHeight="1">
      <c r="A636" s="940"/>
      <c r="B636" s="941"/>
      <c r="C636" s="941"/>
      <c r="D636" s="941"/>
      <c r="E636" s="941"/>
      <c r="F636" s="463"/>
      <c r="G636" s="1465"/>
      <c r="H636" s="1465"/>
      <c r="I636" s="28"/>
      <c r="J636" s="28"/>
      <c r="K636" s="28"/>
      <c r="L636" s="28"/>
      <c r="M636" s="1465"/>
      <c r="N636" s="1465"/>
    </row>
    <row r="637" ht="39.0" customHeight="1">
      <c r="A637" s="939"/>
      <c r="B637" s="833"/>
      <c r="C637" s="833"/>
      <c r="D637" s="833"/>
      <c r="E637" s="833"/>
      <c r="F637" s="463"/>
      <c r="G637" s="1465"/>
      <c r="H637" s="1465"/>
      <c r="I637" s="30"/>
      <c r="J637" s="30"/>
      <c r="K637" s="30"/>
      <c r="L637" s="30"/>
      <c r="M637" s="1465"/>
      <c r="N637" s="1465"/>
    </row>
    <row r="638" ht="39.0" customHeight="1">
      <c r="A638" s="940"/>
      <c r="B638" s="941"/>
      <c r="C638" s="941"/>
      <c r="D638" s="941"/>
      <c r="E638" s="941"/>
      <c r="F638" s="463"/>
      <c r="G638" s="1465"/>
      <c r="H638" s="1465"/>
      <c r="I638" s="28"/>
      <c r="J638" s="28"/>
      <c r="K638" s="28"/>
      <c r="L638" s="28"/>
      <c r="M638" s="1465"/>
      <c r="N638" s="1465"/>
    </row>
    <row r="639" ht="39.0" customHeight="1">
      <c r="A639" s="939"/>
      <c r="B639" s="833"/>
      <c r="C639" s="833"/>
      <c r="D639" s="833"/>
      <c r="E639" s="833"/>
      <c r="F639" s="463"/>
      <c r="G639" s="1465"/>
      <c r="H639" s="1465"/>
      <c r="I639" s="30"/>
      <c r="J639" s="30"/>
      <c r="K639" s="30"/>
      <c r="L639" s="30"/>
      <c r="M639" s="1465"/>
      <c r="N639" s="1465"/>
    </row>
    <row r="640" ht="39.0" customHeight="1">
      <c r="A640" s="940"/>
      <c r="B640" s="941"/>
      <c r="C640" s="941"/>
      <c r="D640" s="941"/>
      <c r="E640" s="941"/>
      <c r="F640" s="463"/>
      <c r="G640" s="1465"/>
      <c r="H640" s="1465"/>
      <c r="I640" s="28"/>
      <c r="J640" s="28"/>
      <c r="K640" s="28"/>
      <c r="L640" s="28"/>
      <c r="M640" s="1465"/>
      <c r="N640" s="1465"/>
    </row>
    <row r="641" ht="39.0" customHeight="1">
      <c r="A641" s="939"/>
      <c r="B641" s="833"/>
      <c r="C641" s="833"/>
      <c r="D641" s="833"/>
      <c r="E641" s="833"/>
      <c r="F641" s="463"/>
      <c r="G641" s="1465"/>
      <c r="H641" s="1465"/>
      <c r="I641" s="30"/>
      <c r="J641" s="30"/>
      <c r="K641" s="30"/>
      <c r="L641" s="30"/>
      <c r="M641" s="1465"/>
      <c r="N641" s="1465"/>
    </row>
    <row r="642" ht="39.0" customHeight="1">
      <c r="A642" s="940"/>
      <c r="B642" s="941"/>
      <c r="C642" s="941"/>
      <c r="D642" s="941"/>
      <c r="E642" s="941"/>
      <c r="F642" s="463"/>
      <c r="G642" s="1465"/>
      <c r="H642" s="1465"/>
      <c r="I642" s="28"/>
      <c r="J642" s="28"/>
      <c r="K642" s="28"/>
      <c r="L642" s="28"/>
      <c r="M642" s="1465"/>
      <c r="N642" s="1465"/>
    </row>
    <row r="643" ht="39.0" customHeight="1">
      <c r="A643" s="939"/>
      <c r="B643" s="833"/>
      <c r="C643" s="833"/>
      <c r="D643" s="833"/>
      <c r="E643" s="833"/>
      <c r="F643" s="463"/>
      <c r="G643" s="1465"/>
      <c r="H643" s="1465"/>
      <c r="I643" s="30"/>
      <c r="J643" s="30"/>
      <c r="K643" s="30"/>
      <c r="L643" s="30"/>
      <c r="M643" s="1465"/>
      <c r="N643" s="1465"/>
    </row>
    <row r="644" ht="39.0" customHeight="1">
      <c r="A644" s="940"/>
      <c r="B644" s="941"/>
      <c r="C644" s="941"/>
      <c r="D644" s="941"/>
      <c r="E644" s="941"/>
      <c r="F644" s="463"/>
      <c r="G644" s="1465"/>
      <c r="H644" s="1465"/>
      <c r="I644" s="28"/>
      <c r="J644" s="28"/>
      <c r="K644" s="28"/>
      <c r="L644" s="28"/>
      <c r="M644" s="1465"/>
      <c r="N644" s="1465"/>
    </row>
    <row r="645" ht="39.0" customHeight="1">
      <c r="A645" s="939"/>
      <c r="B645" s="833"/>
      <c r="C645" s="833"/>
      <c r="D645" s="833"/>
      <c r="E645" s="833"/>
      <c r="F645" s="463"/>
      <c r="G645" s="1465"/>
      <c r="H645" s="1465"/>
      <c r="I645" s="30"/>
      <c r="J645" s="30"/>
      <c r="K645" s="30"/>
      <c r="L645" s="30"/>
      <c r="M645" s="1465"/>
      <c r="N645" s="1465"/>
    </row>
    <row r="646" ht="39.0" customHeight="1">
      <c r="A646" s="940"/>
      <c r="B646" s="941"/>
      <c r="C646" s="941"/>
      <c r="D646" s="941"/>
      <c r="E646" s="941"/>
      <c r="F646" s="463"/>
      <c r="G646" s="1465"/>
      <c r="H646" s="1465"/>
      <c r="I646" s="28"/>
      <c r="J646" s="28"/>
      <c r="K646" s="28"/>
      <c r="L646" s="28"/>
      <c r="M646" s="1465"/>
      <c r="N646" s="1465"/>
    </row>
    <row r="647" ht="39.0" customHeight="1">
      <c r="A647" s="939"/>
      <c r="B647" s="833"/>
      <c r="C647" s="833"/>
      <c r="D647" s="833"/>
      <c r="E647" s="833"/>
      <c r="F647" s="463"/>
      <c r="G647" s="1465"/>
      <c r="H647" s="1465"/>
      <c r="I647" s="30"/>
      <c r="J647" s="30"/>
      <c r="K647" s="30"/>
      <c r="L647" s="30"/>
      <c r="M647" s="1465"/>
      <c r="N647" s="1465"/>
    </row>
    <row r="648" ht="39.0" customHeight="1">
      <c r="A648" s="940"/>
      <c r="B648" s="941"/>
      <c r="C648" s="941"/>
      <c r="D648" s="941"/>
      <c r="E648" s="941"/>
      <c r="F648" s="463"/>
      <c r="G648" s="1465"/>
      <c r="H648" s="1465"/>
      <c r="I648" s="28"/>
      <c r="J648" s="28"/>
      <c r="K648" s="28"/>
      <c r="L648" s="28"/>
      <c r="M648" s="1465"/>
      <c r="N648" s="1465"/>
    </row>
    <row r="649" ht="39.0" customHeight="1">
      <c r="A649" s="939"/>
      <c r="B649" s="833"/>
      <c r="C649" s="833"/>
      <c r="D649" s="833"/>
      <c r="E649" s="833"/>
      <c r="F649" s="463"/>
      <c r="G649" s="1465"/>
      <c r="H649" s="1465"/>
      <c r="I649" s="30"/>
      <c r="J649" s="30"/>
      <c r="K649" s="30"/>
      <c r="L649" s="30"/>
      <c r="M649" s="1465"/>
      <c r="N649" s="1465"/>
    </row>
    <row r="650" ht="39.0" customHeight="1">
      <c r="A650" s="940"/>
      <c r="B650" s="941"/>
      <c r="C650" s="941"/>
      <c r="D650" s="941"/>
      <c r="E650" s="941"/>
      <c r="F650" s="463"/>
      <c r="G650" s="1465"/>
      <c r="H650" s="1465"/>
      <c r="I650" s="28"/>
      <c r="J650" s="28"/>
      <c r="K650" s="28"/>
      <c r="L650" s="28"/>
      <c r="M650" s="1465"/>
      <c r="N650" s="1465"/>
    </row>
    <row r="651" ht="39.0" customHeight="1">
      <c r="A651" s="939"/>
      <c r="B651" s="833"/>
      <c r="C651" s="833"/>
      <c r="D651" s="833"/>
      <c r="E651" s="833"/>
      <c r="F651" s="463"/>
      <c r="G651" s="1465"/>
      <c r="H651" s="1465"/>
      <c r="I651" s="30"/>
      <c r="J651" s="30"/>
      <c r="K651" s="30"/>
      <c r="L651" s="30"/>
      <c r="M651" s="1465"/>
      <c r="N651" s="1465"/>
    </row>
    <row r="652" ht="39.0" customHeight="1">
      <c r="A652" s="940"/>
      <c r="B652" s="941"/>
      <c r="C652" s="941"/>
      <c r="D652" s="941"/>
      <c r="E652" s="941"/>
      <c r="F652" s="463"/>
      <c r="G652" s="1465"/>
      <c r="H652" s="1465"/>
      <c r="I652" s="28"/>
      <c r="J652" s="28"/>
      <c r="K652" s="28"/>
      <c r="L652" s="28"/>
      <c r="M652" s="1465"/>
      <c r="N652" s="1465"/>
    </row>
    <row r="653" ht="39.0" customHeight="1">
      <c r="A653" s="939"/>
      <c r="B653" s="833"/>
      <c r="C653" s="833"/>
      <c r="D653" s="833"/>
      <c r="E653" s="833"/>
      <c r="F653" s="463"/>
      <c r="G653" s="1465"/>
      <c r="H653" s="1465"/>
      <c r="I653" s="30"/>
      <c r="J653" s="30"/>
      <c r="K653" s="30"/>
      <c r="L653" s="30"/>
      <c r="M653" s="1465"/>
      <c r="N653" s="1465"/>
    </row>
    <row r="654" ht="39.0" customHeight="1">
      <c r="A654" s="940"/>
      <c r="B654" s="941"/>
      <c r="C654" s="941"/>
      <c r="D654" s="941"/>
      <c r="E654" s="941"/>
      <c r="F654" s="463"/>
      <c r="G654" s="1465"/>
      <c r="H654" s="1465"/>
      <c r="I654" s="28"/>
      <c r="J654" s="28"/>
      <c r="K654" s="28"/>
      <c r="L654" s="28"/>
      <c r="M654" s="1465"/>
      <c r="N654" s="1465"/>
    </row>
    <row r="655" ht="39.0" customHeight="1">
      <c r="A655" s="939"/>
      <c r="B655" s="833"/>
      <c r="C655" s="833"/>
      <c r="D655" s="833"/>
      <c r="E655" s="833"/>
      <c r="F655" s="463"/>
      <c r="G655" s="1465"/>
      <c r="H655" s="1465"/>
      <c r="I655" s="30"/>
      <c r="J655" s="30"/>
      <c r="K655" s="30"/>
      <c r="L655" s="30"/>
      <c r="M655" s="1465"/>
      <c r="N655" s="1465"/>
    </row>
    <row r="656" ht="39.0" customHeight="1">
      <c r="A656" s="940"/>
      <c r="B656" s="941"/>
      <c r="C656" s="941"/>
      <c r="D656" s="941"/>
      <c r="E656" s="941"/>
      <c r="F656" s="463"/>
      <c r="G656" s="1465"/>
      <c r="H656" s="1465"/>
      <c r="I656" s="28"/>
      <c r="J656" s="28"/>
      <c r="K656" s="28"/>
      <c r="L656" s="28"/>
      <c r="M656" s="1465"/>
      <c r="N656" s="1465"/>
    </row>
    <row r="657" ht="39.0" customHeight="1">
      <c r="A657" s="939"/>
      <c r="B657" s="833"/>
      <c r="C657" s="833"/>
      <c r="D657" s="833"/>
      <c r="E657" s="833"/>
      <c r="F657" s="463"/>
      <c r="G657" s="1465"/>
      <c r="H657" s="1465"/>
      <c r="I657" s="30"/>
      <c r="J657" s="30"/>
      <c r="K657" s="30"/>
      <c r="L657" s="30"/>
      <c r="M657" s="1465"/>
      <c r="N657" s="1465"/>
    </row>
    <row r="658" ht="39.0" customHeight="1">
      <c r="A658" s="940"/>
      <c r="B658" s="941"/>
      <c r="C658" s="941"/>
      <c r="D658" s="941"/>
      <c r="E658" s="941"/>
      <c r="F658" s="463"/>
      <c r="G658" s="1465"/>
      <c r="H658" s="1465"/>
      <c r="I658" s="28"/>
      <c r="J658" s="28"/>
      <c r="K658" s="28"/>
      <c r="L658" s="28"/>
      <c r="M658" s="1465"/>
      <c r="N658" s="1465"/>
    </row>
    <row r="659" ht="39.0" customHeight="1">
      <c r="A659" s="939"/>
      <c r="B659" s="833"/>
      <c r="C659" s="833"/>
      <c r="D659" s="833"/>
      <c r="E659" s="833"/>
      <c r="F659" s="463"/>
      <c r="G659" s="1465"/>
      <c r="H659" s="1465"/>
      <c r="I659" s="30"/>
      <c r="J659" s="30"/>
      <c r="K659" s="30"/>
      <c r="L659" s="30"/>
      <c r="M659" s="1465"/>
      <c r="N659" s="1465"/>
    </row>
    <row r="660" ht="39.0" customHeight="1">
      <c r="A660" s="940"/>
      <c r="B660" s="941"/>
      <c r="C660" s="941"/>
      <c r="D660" s="941"/>
      <c r="E660" s="941"/>
      <c r="F660" s="463"/>
      <c r="G660" s="1465"/>
      <c r="H660" s="1465"/>
      <c r="I660" s="28"/>
      <c r="J660" s="28"/>
      <c r="K660" s="28"/>
      <c r="L660" s="28"/>
      <c r="M660" s="1465"/>
      <c r="N660" s="1465"/>
    </row>
    <row r="661" ht="39.0" customHeight="1">
      <c r="A661" s="939"/>
      <c r="B661" s="833"/>
      <c r="C661" s="833"/>
      <c r="D661" s="833"/>
      <c r="E661" s="833"/>
      <c r="F661" s="463"/>
      <c r="G661" s="1465"/>
      <c r="H661" s="1465"/>
      <c r="I661" s="30"/>
      <c r="J661" s="30"/>
      <c r="K661" s="30"/>
      <c r="L661" s="30"/>
      <c r="M661" s="1465"/>
      <c r="N661" s="1465"/>
    </row>
    <row r="662" ht="39.0" customHeight="1">
      <c r="A662" s="940"/>
      <c r="B662" s="941"/>
      <c r="C662" s="941"/>
      <c r="D662" s="941"/>
      <c r="E662" s="941"/>
      <c r="F662" s="463"/>
      <c r="G662" s="1465"/>
      <c r="H662" s="1465"/>
      <c r="I662" s="28"/>
      <c r="J662" s="28"/>
      <c r="K662" s="28"/>
      <c r="L662" s="28"/>
      <c r="M662" s="1465"/>
      <c r="N662" s="1465"/>
    </row>
    <row r="663" ht="39.0" customHeight="1">
      <c r="A663" s="939"/>
      <c r="B663" s="833"/>
      <c r="C663" s="833"/>
      <c r="D663" s="833"/>
      <c r="E663" s="833"/>
      <c r="F663" s="463"/>
      <c r="G663" s="1465"/>
      <c r="H663" s="1465"/>
      <c r="I663" s="30"/>
      <c r="J663" s="30"/>
      <c r="K663" s="30"/>
      <c r="L663" s="30"/>
      <c r="M663" s="1465"/>
      <c r="N663" s="1465"/>
    </row>
    <row r="664" ht="39.0" customHeight="1">
      <c r="A664" s="940"/>
      <c r="B664" s="941"/>
      <c r="C664" s="941"/>
      <c r="D664" s="941"/>
      <c r="E664" s="941"/>
      <c r="F664" s="463"/>
      <c r="G664" s="1465"/>
      <c r="H664" s="1465"/>
      <c r="I664" s="28"/>
      <c r="J664" s="28"/>
      <c r="K664" s="28"/>
      <c r="L664" s="28"/>
      <c r="M664" s="1465"/>
      <c r="N664" s="1465"/>
    </row>
    <row r="665" ht="39.0" customHeight="1">
      <c r="A665" s="939"/>
      <c r="B665" s="833"/>
      <c r="C665" s="833"/>
      <c r="D665" s="833"/>
      <c r="E665" s="833"/>
      <c r="F665" s="463"/>
      <c r="G665" s="1465"/>
      <c r="H665" s="1465"/>
      <c r="I665" s="30"/>
      <c r="J665" s="30"/>
      <c r="K665" s="30"/>
      <c r="L665" s="30"/>
      <c r="M665" s="1465"/>
      <c r="N665" s="1465"/>
    </row>
    <row r="666" ht="39.0" customHeight="1">
      <c r="A666" s="940"/>
      <c r="B666" s="941"/>
      <c r="C666" s="941"/>
      <c r="D666" s="941"/>
      <c r="E666" s="941"/>
      <c r="F666" s="463"/>
      <c r="G666" s="1465"/>
      <c r="H666" s="1465"/>
      <c r="I666" s="28"/>
      <c r="J666" s="28"/>
      <c r="K666" s="28"/>
      <c r="L666" s="28"/>
      <c r="M666" s="1465"/>
      <c r="N666" s="1465"/>
    </row>
    <row r="667" ht="39.0" customHeight="1">
      <c r="A667" s="939"/>
      <c r="B667" s="833"/>
      <c r="C667" s="833"/>
      <c r="D667" s="833"/>
      <c r="E667" s="833"/>
      <c r="F667" s="463"/>
      <c r="G667" s="1465"/>
      <c r="H667" s="1465"/>
      <c r="I667" s="30"/>
      <c r="J667" s="30"/>
      <c r="K667" s="30"/>
      <c r="L667" s="30"/>
      <c r="M667" s="1465"/>
      <c r="N667" s="1465"/>
    </row>
    <row r="668" ht="39.0" customHeight="1">
      <c r="A668" s="940"/>
      <c r="B668" s="941"/>
      <c r="C668" s="941"/>
      <c r="D668" s="941"/>
      <c r="E668" s="941"/>
      <c r="F668" s="463"/>
      <c r="G668" s="1465"/>
      <c r="H668" s="1465"/>
      <c r="I668" s="28"/>
      <c r="J668" s="28"/>
      <c r="K668" s="28"/>
      <c r="L668" s="28"/>
      <c r="M668" s="1465"/>
      <c r="N668" s="1465"/>
    </row>
    <row r="669" ht="39.0" customHeight="1">
      <c r="A669" s="939"/>
      <c r="B669" s="833"/>
      <c r="C669" s="833"/>
      <c r="D669" s="833"/>
      <c r="E669" s="833"/>
      <c r="F669" s="463"/>
      <c r="G669" s="1465"/>
      <c r="H669" s="1465"/>
      <c r="I669" s="30"/>
      <c r="J669" s="30"/>
      <c r="K669" s="30"/>
      <c r="L669" s="30"/>
      <c r="M669" s="1465"/>
      <c r="N669" s="1465"/>
    </row>
    <row r="670" ht="39.0" customHeight="1">
      <c r="A670" s="940"/>
      <c r="B670" s="941"/>
      <c r="C670" s="941"/>
      <c r="D670" s="941"/>
      <c r="E670" s="941"/>
      <c r="F670" s="463"/>
      <c r="G670" s="1465"/>
      <c r="H670" s="1465"/>
      <c r="I670" s="28"/>
      <c r="J670" s="28"/>
      <c r="K670" s="28"/>
      <c r="L670" s="28"/>
      <c r="M670" s="1465"/>
      <c r="N670" s="1465"/>
    </row>
    <row r="671" ht="39.0" customHeight="1">
      <c r="A671" s="939"/>
      <c r="B671" s="833"/>
      <c r="C671" s="833"/>
      <c r="D671" s="833"/>
      <c r="E671" s="833"/>
      <c r="F671" s="463"/>
      <c r="G671" s="1465"/>
      <c r="H671" s="1465"/>
      <c r="I671" s="30"/>
      <c r="J671" s="30"/>
      <c r="K671" s="30"/>
      <c r="L671" s="30"/>
      <c r="M671" s="1465"/>
      <c r="N671" s="1465"/>
    </row>
    <row r="672" ht="39.0" customHeight="1">
      <c r="A672" s="940"/>
      <c r="B672" s="941"/>
      <c r="C672" s="941"/>
      <c r="D672" s="941"/>
      <c r="E672" s="941"/>
      <c r="F672" s="463"/>
      <c r="G672" s="1465"/>
      <c r="H672" s="1465"/>
      <c r="I672" s="28"/>
      <c r="J672" s="28"/>
      <c r="K672" s="28"/>
      <c r="L672" s="28"/>
      <c r="M672" s="1465"/>
      <c r="N672" s="1465"/>
    </row>
    <row r="673" ht="39.0" customHeight="1">
      <c r="A673" s="939"/>
      <c r="B673" s="833"/>
      <c r="C673" s="833"/>
      <c r="D673" s="833"/>
      <c r="E673" s="833"/>
      <c r="F673" s="463"/>
      <c r="G673" s="1465"/>
      <c r="H673" s="1465"/>
      <c r="I673" s="30"/>
      <c r="J673" s="30"/>
      <c r="K673" s="30"/>
      <c r="L673" s="30"/>
      <c r="M673" s="1465"/>
      <c r="N673" s="1465"/>
    </row>
    <row r="674" ht="39.0" customHeight="1">
      <c r="A674" s="940"/>
      <c r="B674" s="941"/>
      <c r="C674" s="941"/>
      <c r="D674" s="941"/>
      <c r="E674" s="941"/>
      <c r="F674" s="463"/>
      <c r="G674" s="1465"/>
      <c r="H674" s="1465"/>
      <c r="I674" s="28"/>
      <c r="J674" s="28"/>
      <c r="K674" s="28"/>
      <c r="L674" s="28"/>
      <c r="M674" s="1465"/>
      <c r="N674" s="1465"/>
    </row>
    <row r="675" ht="39.0" customHeight="1">
      <c r="A675" s="939"/>
      <c r="B675" s="833"/>
      <c r="C675" s="833"/>
      <c r="D675" s="833"/>
      <c r="E675" s="833"/>
      <c r="F675" s="463"/>
      <c r="G675" s="1465"/>
      <c r="H675" s="1465"/>
      <c r="I675" s="30"/>
      <c r="J675" s="30"/>
      <c r="K675" s="30"/>
      <c r="L675" s="30"/>
      <c r="M675" s="1465"/>
      <c r="N675" s="1465"/>
    </row>
    <row r="676" ht="39.0" customHeight="1">
      <c r="A676" s="940"/>
      <c r="B676" s="941"/>
      <c r="C676" s="941"/>
      <c r="D676" s="941"/>
      <c r="E676" s="941"/>
      <c r="F676" s="463"/>
      <c r="G676" s="1465"/>
      <c r="H676" s="1465"/>
      <c r="I676" s="28"/>
      <c r="J676" s="28"/>
      <c r="K676" s="28"/>
      <c r="L676" s="28"/>
      <c r="M676" s="1465"/>
      <c r="N676" s="1465"/>
    </row>
    <row r="677" ht="39.0" customHeight="1">
      <c r="A677" s="939"/>
      <c r="B677" s="833"/>
      <c r="C677" s="833"/>
      <c r="D677" s="833"/>
      <c r="E677" s="833"/>
      <c r="F677" s="463"/>
      <c r="G677" s="1465"/>
      <c r="H677" s="1465"/>
      <c r="I677" s="30"/>
      <c r="J677" s="30"/>
      <c r="K677" s="30"/>
      <c r="L677" s="30"/>
      <c r="M677" s="1465"/>
      <c r="N677" s="1465"/>
    </row>
    <row r="678" ht="39.0" customHeight="1">
      <c r="A678" s="940"/>
      <c r="B678" s="941"/>
      <c r="C678" s="941"/>
      <c r="D678" s="941"/>
      <c r="E678" s="941"/>
      <c r="F678" s="463"/>
      <c r="G678" s="1465"/>
      <c r="H678" s="1465"/>
      <c r="I678" s="28"/>
      <c r="J678" s="28"/>
      <c r="K678" s="28"/>
      <c r="L678" s="28"/>
      <c r="M678" s="1465"/>
      <c r="N678" s="1465"/>
    </row>
    <row r="679" ht="39.0" customHeight="1">
      <c r="A679" s="939"/>
      <c r="B679" s="833"/>
      <c r="C679" s="833"/>
      <c r="D679" s="833"/>
      <c r="E679" s="833"/>
      <c r="F679" s="463"/>
      <c r="G679" s="1465"/>
      <c r="H679" s="1465"/>
      <c r="I679" s="30"/>
      <c r="J679" s="30"/>
      <c r="K679" s="30"/>
      <c r="L679" s="30"/>
      <c r="M679" s="1465"/>
      <c r="N679" s="1465"/>
    </row>
    <row r="680" ht="39.0" customHeight="1">
      <c r="A680" s="940"/>
      <c r="B680" s="941"/>
      <c r="C680" s="941"/>
      <c r="D680" s="941"/>
      <c r="E680" s="941"/>
      <c r="F680" s="463"/>
      <c r="G680" s="1465"/>
      <c r="H680" s="1465"/>
      <c r="I680" s="28"/>
      <c r="J680" s="28"/>
      <c r="K680" s="28"/>
      <c r="L680" s="28"/>
      <c r="M680" s="1465"/>
      <c r="N680" s="1465"/>
    </row>
    <row r="681" ht="39.0" customHeight="1">
      <c r="A681" s="939"/>
      <c r="B681" s="833"/>
      <c r="C681" s="833"/>
      <c r="D681" s="833"/>
      <c r="E681" s="833"/>
      <c r="F681" s="463"/>
      <c r="G681" s="1465"/>
      <c r="H681" s="1465"/>
      <c r="I681" s="30"/>
      <c r="J681" s="30"/>
      <c r="K681" s="30"/>
      <c r="L681" s="30"/>
      <c r="M681" s="1465"/>
      <c r="N681" s="1465"/>
    </row>
    <row r="682" ht="39.0" customHeight="1">
      <c r="A682" s="940"/>
      <c r="B682" s="941"/>
      <c r="C682" s="941"/>
      <c r="D682" s="941"/>
      <c r="E682" s="941"/>
      <c r="F682" s="463"/>
      <c r="G682" s="1465"/>
      <c r="H682" s="1465"/>
      <c r="I682" s="28"/>
      <c r="J682" s="28"/>
      <c r="K682" s="28"/>
      <c r="L682" s="28"/>
      <c r="M682" s="1465"/>
      <c r="N682" s="1465"/>
    </row>
    <row r="683" ht="39.0" customHeight="1">
      <c r="A683" s="939"/>
      <c r="B683" s="833"/>
      <c r="C683" s="833"/>
      <c r="D683" s="833"/>
      <c r="E683" s="833"/>
      <c r="F683" s="463"/>
      <c r="G683" s="1465"/>
      <c r="H683" s="1465"/>
      <c r="I683" s="30"/>
      <c r="J683" s="30"/>
      <c r="K683" s="30"/>
      <c r="L683" s="30"/>
      <c r="M683" s="1465"/>
      <c r="N683" s="1465"/>
    </row>
    <row r="684" ht="39.0" customHeight="1">
      <c r="A684" s="940"/>
      <c r="B684" s="941"/>
      <c r="C684" s="941"/>
      <c r="D684" s="941"/>
      <c r="E684" s="941"/>
      <c r="F684" s="463"/>
      <c r="G684" s="1465"/>
      <c r="H684" s="1465"/>
      <c r="I684" s="28"/>
      <c r="J684" s="28"/>
      <c r="K684" s="28"/>
      <c r="L684" s="28"/>
      <c r="M684" s="1465"/>
      <c r="N684" s="1465"/>
    </row>
    <row r="685" ht="39.0" customHeight="1">
      <c r="A685" s="939"/>
      <c r="B685" s="833"/>
      <c r="C685" s="833"/>
      <c r="D685" s="833"/>
      <c r="E685" s="833"/>
      <c r="F685" s="463"/>
      <c r="G685" s="1465"/>
      <c r="H685" s="1465"/>
      <c r="I685" s="30"/>
      <c r="J685" s="30"/>
      <c r="K685" s="30"/>
      <c r="L685" s="30"/>
      <c r="M685" s="1465"/>
      <c r="N685" s="1465"/>
    </row>
    <row r="686" ht="39.0" customHeight="1">
      <c r="A686" s="940"/>
      <c r="B686" s="941"/>
      <c r="C686" s="941"/>
      <c r="D686" s="941"/>
      <c r="E686" s="941"/>
      <c r="F686" s="463"/>
      <c r="G686" s="1465"/>
      <c r="H686" s="1465"/>
      <c r="I686" s="28"/>
      <c r="J686" s="28"/>
      <c r="K686" s="28"/>
      <c r="L686" s="28"/>
      <c r="M686" s="1465"/>
      <c r="N686" s="1465"/>
    </row>
    <row r="687" ht="39.0" customHeight="1">
      <c r="A687" s="939"/>
      <c r="B687" s="833"/>
      <c r="C687" s="833"/>
      <c r="D687" s="833"/>
      <c r="E687" s="833"/>
      <c r="F687" s="463"/>
      <c r="G687" s="1465"/>
      <c r="H687" s="1465"/>
      <c r="I687" s="30"/>
      <c r="J687" s="30"/>
      <c r="K687" s="30"/>
      <c r="L687" s="30"/>
      <c r="M687" s="1465"/>
      <c r="N687" s="1465"/>
    </row>
    <row r="688" ht="39.0" customHeight="1">
      <c r="A688" s="940"/>
      <c r="B688" s="941"/>
      <c r="C688" s="941"/>
      <c r="D688" s="941"/>
      <c r="E688" s="941"/>
      <c r="F688" s="463"/>
      <c r="G688" s="1465"/>
      <c r="H688" s="1465"/>
      <c r="I688" s="28"/>
      <c r="J688" s="28"/>
      <c r="K688" s="28"/>
      <c r="L688" s="28"/>
      <c r="M688" s="1465"/>
      <c r="N688" s="1465"/>
    </row>
    <row r="689" ht="39.0" customHeight="1">
      <c r="A689" s="939"/>
      <c r="B689" s="833"/>
      <c r="C689" s="833"/>
      <c r="D689" s="833"/>
      <c r="E689" s="833"/>
      <c r="F689" s="463"/>
      <c r="G689" s="1465"/>
      <c r="H689" s="1465"/>
      <c r="I689" s="30"/>
      <c r="J689" s="30"/>
      <c r="K689" s="30"/>
      <c r="L689" s="30"/>
      <c r="M689" s="1465"/>
      <c r="N689" s="1465"/>
    </row>
    <row r="690" ht="39.0" customHeight="1">
      <c r="A690" s="940"/>
      <c r="B690" s="941"/>
      <c r="C690" s="941"/>
      <c r="D690" s="941"/>
      <c r="E690" s="941"/>
      <c r="F690" s="463"/>
      <c r="G690" s="1465"/>
      <c r="H690" s="1465"/>
      <c r="I690" s="28"/>
      <c r="J690" s="28"/>
      <c r="K690" s="28"/>
      <c r="L690" s="28"/>
      <c r="M690" s="1465"/>
      <c r="N690" s="1465"/>
    </row>
    <row r="691" ht="39.0" customHeight="1">
      <c r="A691" s="939"/>
      <c r="B691" s="833"/>
      <c r="C691" s="833"/>
      <c r="D691" s="833"/>
      <c r="E691" s="833"/>
      <c r="F691" s="463"/>
      <c r="G691" s="1465"/>
      <c r="H691" s="1465"/>
      <c r="I691" s="30"/>
      <c r="J691" s="30"/>
      <c r="K691" s="30"/>
      <c r="L691" s="30"/>
      <c r="M691" s="1465"/>
      <c r="N691" s="1465"/>
    </row>
    <row r="692" ht="39.0" customHeight="1">
      <c r="A692" s="940"/>
      <c r="B692" s="941"/>
      <c r="C692" s="941"/>
      <c r="D692" s="941"/>
      <c r="E692" s="941"/>
      <c r="F692" s="463"/>
      <c r="G692" s="1465"/>
      <c r="H692" s="1465"/>
      <c r="I692" s="28"/>
      <c r="J692" s="28"/>
      <c r="K692" s="28"/>
      <c r="L692" s="28"/>
      <c r="M692" s="1465"/>
      <c r="N692" s="1465"/>
    </row>
    <row r="693" ht="39.0" customHeight="1">
      <c r="A693" s="939"/>
      <c r="B693" s="833"/>
      <c r="C693" s="833"/>
      <c r="D693" s="833"/>
      <c r="E693" s="833"/>
      <c r="F693" s="463"/>
      <c r="G693" s="1465"/>
      <c r="H693" s="1465"/>
      <c r="I693" s="30"/>
      <c r="J693" s="30"/>
      <c r="K693" s="30"/>
      <c r="L693" s="30"/>
      <c r="M693" s="1465"/>
      <c r="N693" s="1465"/>
    </row>
    <row r="694" ht="39.0" customHeight="1">
      <c r="A694" s="940"/>
      <c r="B694" s="941"/>
      <c r="C694" s="941"/>
      <c r="D694" s="941"/>
      <c r="E694" s="941"/>
      <c r="F694" s="463"/>
      <c r="G694" s="1465"/>
      <c r="H694" s="1465"/>
      <c r="I694" s="28"/>
      <c r="J694" s="28"/>
      <c r="K694" s="28"/>
      <c r="L694" s="28"/>
      <c r="M694" s="1465"/>
      <c r="N694" s="1465"/>
    </row>
    <row r="695" ht="39.0" customHeight="1">
      <c r="A695" s="939"/>
      <c r="B695" s="833"/>
      <c r="C695" s="833"/>
      <c r="D695" s="833"/>
      <c r="E695" s="833"/>
      <c r="F695" s="463"/>
      <c r="G695" s="1465"/>
      <c r="H695" s="1465"/>
      <c r="I695" s="30"/>
      <c r="J695" s="30"/>
      <c r="K695" s="30"/>
      <c r="L695" s="30"/>
      <c r="M695" s="1465"/>
      <c r="N695" s="1465"/>
    </row>
    <row r="696" ht="39.0" customHeight="1">
      <c r="A696" s="940"/>
      <c r="B696" s="941"/>
      <c r="C696" s="941"/>
      <c r="D696" s="941"/>
      <c r="E696" s="941"/>
      <c r="F696" s="463"/>
      <c r="G696" s="1465"/>
      <c r="H696" s="1465"/>
      <c r="I696" s="28"/>
      <c r="J696" s="28"/>
      <c r="K696" s="28"/>
      <c r="L696" s="28"/>
      <c r="M696" s="1465"/>
      <c r="N696" s="1465"/>
    </row>
    <row r="697" ht="39.0" customHeight="1">
      <c r="A697" s="939"/>
      <c r="B697" s="833"/>
      <c r="C697" s="833"/>
      <c r="D697" s="833"/>
      <c r="E697" s="833"/>
      <c r="F697" s="463"/>
      <c r="G697" s="1465"/>
      <c r="H697" s="1465"/>
      <c r="I697" s="30"/>
      <c r="J697" s="30"/>
      <c r="K697" s="30"/>
      <c r="L697" s="30"/>
      <c r="M697" s="1465"/>
      <c r="N697" s="1465"/>
    </row>
    <row r="698" ht="39.0" customHeight="1">
      <c r="A698" s="940"/>
      <c r="B698" s="941"/>
      <c r="C698" s="941"/>
      <c r="D698" s="941"/>
      <c r="E698" s="941"/>
      <c r="F698" s="463"/>
      <c r="G698" s="1465"/>
      <c r="H698" s="1465"/>
      <c r="I698" s="28"/>
      <c r="J698" s="28"/>
      <c r="K698" s="28"/>
      <c r="L698" s="28"/>
      <c r="M698" s="1465"/>
      <c r="N698" s="1465"/>
    </row>
    <row r="699" ht="39.0" customHeight="1">
      <c r="A699" s="939"/>
      <c r="B699" s="833"/>
      <c r="C699" s="833"/>
      <c r="D699" s="833"/>
      <c r="E699" s="833"/>
      <c r="F699" s="463"/>
      <c r="G699" s="1465"/>
      <c r="H699" s="1465"/>
      <c r="I699" s="30"/>
      <c r="J699" s="30"/>
      <c r="K699" s="30"/>
      <c r="L699" s="30"/>
      <c r="M699" s="1465"/>
      <c r="N699" s="1465"/>
    </row>
    <row r="700" ht="39.0" customHeight="1">
      <c r="A700" s="940"/>
      <c r="B700" s="941"/>
      <c r="C700" s="941"/>
      <c r="D700" s="941"/>
      <c r="E700" s="941"/>
      <c r="F700" s="463"/>
      <c r="G700" s="1465"/>
      <c r="H700" s="1465"/>
      <c r="I700" s="28"/>
      <c r="J700" s="28"/>
      <c r="K700" s="28"/>
      <c r="L700" s="28"/>
      <c r="M700" s="1465"/>
      <c r="N700" s="1465"/>
    </row>
    <row r="701" ht="39.0" customHeight="1">
      <c r="A701" s="939"/>
      <c r="B701" s="833"/>
      <c r="C701" s="833"/>
      <c r="D701" s="833"/>
      <c r="E701" s="833"/>
      <c r="F701" s="463"/>
      <c r="G701" s="1465"/>
      <c r="H701" s="1465"/>
      <c r="I701" s="30"/>
      <c r="J701" s="30"/>
      <c r="K701" s="30"/>
      <c r="L701" s="30"/>
      <c r="M701" s="1465"/>
      <c r="N701" s="1465"/>
    </row>
    <row r="702" ht="39.0" customHeight="1">
      <c r="A702" s="940"/>
      <c r="B702" s="941"/>
      <c r="C702" s="941"/>
      <c r="D702" s="941"/>
      <c r="E702" s="941"/>
      <c r="F702" s="463"/>
      <c r="G702" s="1465"/>
      <c r="H702" s="1465"/>
      <c r="I702" s="28"/>
      <c r="J702" s="28"/>
      <c r="K702" s="28"/>
      <c r="L702" s="28"/>
      <c r="M702" s="1465"/>
      <c r="N702" s="1465"/>
    </row>
    <row r="703" ht="39.0" customHeight="1">
      <c r="A703" s="939"/>
      <c r="B703" s="833"/>
      <c r="C703" s="833"/>
      <c r="D703" s="833"/>
      <c r="E703" s="833"/>
      <c r="F703" s="463"/>
      <c r="G703" s="1465"/>
      <c r="H703" s="1465"/>
      <c r="I703" s="30"/>
      <c r="J703" s="30"/>
      <c r="K703" s="30"/>
      <c r="L703" s="30"/>
      <c r="M703" s="1465"/>
      <c r="N703" s="1465"/>
    </row>
    <row r="704" ht="39.0" customHeight="1">
      <c r="A704" s="940"/>
      <c r="B704" s="941"/>
      <c r="C704" s="941"/>
      <c r="D704" s="941"/>
      <c r="E704" s="941"/>
      <c r="F704" s="463"/>
      <c r="G704" s="1465"/>
      <c r="H704" s="1465"/>
      <c r="I704" s="28"/>
      <c r="J704" s="28"/>
      <c r="K704" s="28"/>
      <c r="L704" s="28"/>
      <c r="M704" s="1465"/>
      <c r="N704" s="1465"/>
    </row>
    <row r="705" ht="39.0" customHeight="1">
      <c r="A705" s="939"/>
      <c r="B705" s="833"/>
      <c r="C705" s="833"/>
      <c r="D705" s="833"/>
      <c r="E705" s="833"/>
      <c r="F705" s="463"/>
      <c r="G705" s="1465"/>
      <c r="H705" s="1465"/>
      <c r="I705" s="30"/>
      <c r="J705" s="30"/>
      <c r="K705" s="30"/>
      <c r="L705" s="30"/>
      <c r="M705" s="1465"/>
      <c r="N705" s="1465"/>
    </row>
    <row r="706" ht="39.0" customHeight="1">
      <c r="A706" s="940"/>
      <c r="B706" s="941"/>
      <c r="C706" s="941"/>
      <c r="D706" s="941"/>
      <c r="E706" s="941"/>
      <c r="F706" s="463"/>
      <c r="G706" s="1465"/>
      <c r="H706" s="1465"/>
      <c r="I706" s="28"/>
      <c r="J706" s="28"/>
      <c r="K706" s="28"/>
      <c r="L706" s="28"/>
      <c r="M706" s="1465"/>
      <c r="N706" s="1465"/>
    </row>
    <row r="707" ht="39.0" customHeight="1">
      <c r="A707" s="939"/>
      <c r="B707" s="833"/>
      <c r="C707" s="833"/>
      <c r="D707" s="833"/>
      <c r="E707" s="833"/>
      <c r="F707" s="463"/>
      <c r="G707" s="1465"/>
      <c r="H707" s="1465"/>
      <c r="I707" s="30"/>
      <c r="J707" s="30"/>
      <c r="K707" s="30"/>
      <c r="L707" s="30"/>
      <c r="M707" s="1465"/>
      <c r="N707" s="1465"/>
    </row>
    <row r="708" ht="39.0" customHeight="1">
      <c r="A708" s="940"/>
      <c r="B708" s="941"/>
      <c r="C708" s="941"/>
      <c r="D708" s="941"/>
      <c r="E708" s="941"/>
      <c r="F708" s="463"/>
      <c r="G708" s="1465"/>
      <c r="H708" s="1465"/>
      <c r="I708" s="28"/>
      <c r="J708" s="28"/>
      <c r="K708" s="28"/>
      <c r="L708" s="28"/>
      <c r="M708" s="1465"/>
      <c r="N708" s="1465"/>
    </row>
    <row r="709" ht="39.0" customHeight="1">
      <c r="A709" s="939"/>
      <c r="B709" s="833"/>
      <c r="C709" s="833"/>
      <c r="D709" s="833"/>
      <c r="E709" s="833"/>
      <c r="F709" s="463"/>
      <c r="G709" s="1465"/>
      <c r="H709" s="1465"/>
      <c r="I709" s="30"/>
      <c r="J709" s="30"/>
      <c r="K709" s="30"/>
      <c r="L709" s="30"/>
      <c r="M709" s="1465"/>
      <c r="N709" s="1465"/>
    </row>
    <row r="710" ht="39.0" customHeight="1">
      <c r="A710" s="940"/>
      <c r="B710" s="941"/>
      <c r="C710" s="941"/>
      <c r="D710" s="941"/>
      <c r="E710" s="941"/>
      <c r="F710" s="463"/>
      <c r="G710" s="1465"/>
      <c r="H710" s="1465"/>
      <c r="I710" s="28"/>
      <c r="J710" s="28"/>
      <c r="K710" s="28"/>
      <c r="L710" s="28"/>
      <c r="M710" s="1465"/>
      <c r="N710" s="1465"/>
    </row>
    <row r="711" ht="39.0" customHeight="1">
      <c r="A711" s="939"/>
      <c r="B711" s="833"/>
      <c r="C711" s="833"/>
      <c r="D711" s="833"/>
      <c r="E711" s="833"/>
      <c r="F711" s="463"/>
      <c r="G711" s="1465"/>
      <c r="H711" s="1465"/>
      <c r="I711" s="30"/>
      <c r="J711" s="30"/>
      <c r="K711" s="30"/>
      <c r="L711" s="30"/>
      <c r="M711" s="1465"/>
      <c r="N711" s="1465"/>
    </row>
    <row r="712" ht="39.0" customHeight="1">
      <c r="A712" s="940"/>
      <c r="B712" s="941"/>
      <c r="C712" s="941"/>
      <c r="D712" s="941"/>
      <c r="E712" s="941"/>
      <c r="F712" s="463"/>
      <c r="G712" s="1465"/>
      <c r="H712" s="1465"/>
      <c r="I712" s="28"/>
      <c r="J712" s="28"/>
      <c r="K712" s="28"/>
      <c r="L712" s="28"/>
      <c r="M712" s="1465"/>
      <c r="N712" s="1465"/>
    </row>
    <row r="713" ht="39.0" customHeight="1">
      <c r="A713" s="939"/>
      <c r="B713" s="833"/>
      <c r="C713" s="833"/>
      <c r="D713" s="833"/>
      <c r="E713" s="833"/>
      <c r="F713" s="463"/>
      <c r="G713" s="1465"/>
      <c r="H713" s="1465"/>
      <c r="I713" s="30"/>
      <c r="J713" s="30"/>
      <c r="K713" s="30"/>
      <c r="L713" s="30"/>
      <c r="M713" s="1465"/>
      <c r="N713" s="1465"/>
    </row>
    <row r="714" ht="39.0" customHeight="1">
      <c r="A714" s="940"/>
      <c r="B714" s="941"/>
      <c r="C714" s="941"/>
      <c r="D714" s="941"/>
      <c r="E714" s="941"/>
      <c r="F714" s="463"/>
      <c r="G714" s="1465"/>
      <c r="H714" s="1465"/>
      <c r="I714" s="28"/>
      <c r="J714" s="28"/>
      <c r="K714" s="28"/>
      <c r="L714" s="28"/>
      <c r="M714" s="1465"/>
      <c r="N714" s="1465"/>
    </row>
    <row r="715" ht="39.0" customHeight="1">
      <c r="A715" s="939"/>
      <c r="B715" s="833"/>
      <c r="C715" s="833"/>
      <c r="D715" s="833"/>
      <c r="E715" s="833"/>
      <c r="F715" s="463"/>
      <c r="G715" s="1465"/>
      <c r="H715" s="1465"/>
      <c r="I715" s="30"/>
      <c r="J715" s="30"/>
      <c r="K715" s="30"/>
      <c r="L715" s="30"/>
      <c r="M715" s="1465"/>
      <c r="N715" s="1465"/>
    </row>
    <row r="716" ht="39.0" customHeight="1">
      <c r="A716" s="940"/>
      <c r="B716" s="941"/>
      <c r="C716" s="941"/>
      <c r="D716" s="941"/>
      <c r="E716" s="941"/>
      <c r="F716" s="463"/>
      <c r="G716" s="1465"/>
      <c r="H716" s="1465"/>
      <c r="I716" s="28"/>
      <c r="J716" s="28"/>
      <c r="K716" s="28"/>
      <c r="L716" s="28"/>
      <c r="M716" s="1465"/>
      <c r="N716" s="1465"/>
    </row>
    <row r="717" ht="39.0" customHeight="1">
      <c r="A717" s="939"/>
      <c r="B717" s="833"/>
      <c r="C717" s="833"/>
      <c r="D717" s="833"/>
      <c r="E717" s="833"/>
      <c r="F717" s="463"/>
      <c r="G717" s="1465"/>
      <c r="H717" s="1465"/>
      <c r="I717" s="30"/>
      <c r="J717" s="30"/>
      <c r="K717" s="30"/>
      <c r="L717" s="30"/>
      <c r="M717" s="1465"/>
      <c r="N717" s="1465"/>
    </row>
    <row r="718" ht="39.0" customHeight="1">
      <c r="A718" s="940"/>
      <c r="B718" s="941"/>
      <c r="C718" s="941"/>
      <c r="D718" s="941"/>
      <c r="E718" s="941"/>
      <c r="F718" s="463"/>
      <c r="G718" s="1465"/>
      <c r="H718" s="1465"/>
      <c r="I718" s="28"/>
      <c r="J718" s="28"/>
      <c r="K718" s="28"/>
      <c r="L718" s="28"/>
      <c r="M718" s="1465"/>
      <c r="N718" s="1465"/>
    </row>
    <row r="719" ht="39.0" customHeight="1">
      <c r="A719" s="939"/>
      <c r="B719" s="833"/>
      <c r="C719" s="833"/>
      <c r="D719" s="833"/>
      <c r="E719" s="833"/>
      <c r="F719" s="463"/>
      <c r="G719" s="1465"/>
      <c r="H719" s="1465"/>
      <c r="I719" s="30"/>
      <c r="J719" s="30"/>
      <c r="K719" s="30"/>
      <c r="L719" s="30"/>
      <c r="M719" s="1465"/>
      <c r="N719" s="1465"/>
    </row>
    <row r="720" ht="39.0" customHeight="1">
      <c r="A720" s="940"/>
      <c r="B720" s="941"/>
      <c r="C720" s="941"/>
      <c r="D720" s="941"/>
      <c r="E720" s="941"/>
      <c r="F720" s="463"/>
      <c r="G720" s="1465"/>
      <c r="H720" s="1465"/>
      <c r="I720" s="28"/>
      <c r="J720" s="28"/>
      <c r="K720" s="28"/>
      <c r="L720" s="28"/>
      <c r="M720" s="1465"/>
      <c r="N720" s="1465"/>
    </row>
    <row r="721" ht="39.0" customHeight="1">
      <c r="A721" s="939"/>
      <c r="B721" s="833"/>
      <c r="C721" s="833"/>
      <c r="D721" s="833"/>
      <c r="E721" s="833"/>
      <c r="F721" s="463"/>
      <c r="G721" s="1465"/>
      <c r="H721" s="1465"/>
      <c r="I721" s="30"/>
      <c r="J721" s="30"/>
      <c r="K721" s="30"/>
      <c r="L721" s="30"/>
      <c r="M721" s="1465"/>
      <c r="N721" s="1465"/>
    </row>
    <row r="722" ht="39.0" customHeight="1">
      <c r="A722" s="940"/>
      <c r="B722" s="941"/>
      <c r="C722" s="941"/>
      <c r="D722" s="941"/>
      <c r="E722" s="941"/>
      <c r="F722" s="463"/>
      <c r="G722" s="1465"/>
      <c r="H722" s="1465"/>
      <c r="I722" s="28"/>
      <c r="J722" s="28"/>
      <c r="K722" s="28"/>
      <c r="L722" s="28"/>
      <c r="M722" s="1465"/>
      <c r="N722" s="1465"/>
    </row>
    <row r="723" ht="39.0" customHeight="1">
      <c r="A723" s="939"/>
      <c r="B723" s="833"/>
      <c r="C723" s="833"/>
      <c r="D723" s="833"/>
      <c r="E723" s="833"/>
      <c r="F723" s="463"/>
      <c r="G723" s="1465"/>
      <c r="H723" s="1465"/>
      <c r="I723" s="30"/>
      <c r="J723" s="30"/>
      <c r="K723" s="30"/>
      <c r="L723" s="30"/>
      <c r="M723" s="1465"/>
      <c r="N723" s="1465"/>
    </row>
    <row r="724" ht="39.0" customHeight="1">
      <c r="A724" s="940"/>
      <c r="B724" s="941"/>
      <c r="C724" s="941"/>
      <c r="D724" s="941"/>
      <c r="E724" s="941"/>
      <c r="F724" s="463"/>
      <c r="G724" s="1465"/>
      <c r="H724" s="1465"/>
      <c r="I724" s="28"/>
      <c r="J724" s="28"/>
      <c r="K724" s="28"/>
      <c r="L724" s="28"/>
      <c r="M724" s="1465"/>
      <c r="N724" s="1465"/>
    </row>
    <row r="725" ht="39.0" customHeight="1">
      <c r="A725" s="939"/>
      <c r="B725" s="833"/>
      <c r="C725" s="833"/>
      <c r="D725" s="833"/>
      <c r="E725" s="833"/>
      <c r="F725" s="463"/>
      <c r="G725" s="1465"/>
      <c r="H725" s="1465"/>
      <c r="I725" s="30"/>
      <c r="J725" s="30"/>
      <c r="K725" s="30"/>
      <c r="L725" s="30"/>
      <c r="M725" s="1465"/>
      <c r="N725" s="1465"/>
    </row>
    <row r="726" ht="39.0" customHeight="1">
      <c r="A726" s="940"/>
      <c r="B726" s="941"/>
      <c r="C726" s="941"/>
      <c r="D726" s="941"/>
      <c r="E726" s="941"/>
      <c r="F726" s="463"/>
      <c r="G726" s="1465"/>
      <c r="H726" s="1465"/>
      <c r="I726" s="28"/>
      <c r="J726" s="28"/>
      <c r="K726" s="28"/>
      <c r="L726" s="28"/>
      <c r="M726" s="1465"/>
      <c r="N726" s="1465"/>
    </row>
    <row r="727" ht="39.0" customHeight="1">
      <c r="A727" s="939"/>
      <c r="B727" s="833"/>
      <c r="C727" s="833"/>
      <c r="D727" s="833"/>
      <c r="E727" s="833"/>
      <c r="F727" s="463"/>
      <c r="G727" s="1465"/>
      <c r="H727" s="1465"/>
      <c r="I727" s="30"/>
      <c r="J727" s="30"/>
      <c r="K727" s="30"/>
      <c r="L727" s="30"/>
      <c r="M727" s="1465"/>
      <c r="N727" s="1465"/>
    </row>
    <row r="728" ht="39.0" customHeight="1">
      <c r="A728" s="940"/>
      <c r="B728" s="941"/>
      <c r="C728" s="941"/>
      <c r="D728" s="941"/>
      <c r="E728" s="941"/>
      <c r="F728" s="463"/>
      <c r="G728" s="1465"/>
      <c r="H728" s="1465"/>
      <c r="I728" s="28"/>
      <c r="J728" s="28"/>
      <c r="K728" s="28"/>
      <c r="L728" s="28"/>
      <c r="M728" s="1465"/>
      <c r="N728" s="1465"/>
    </row>
    <row r="729" ht="39.0" customHeight="1">
      <c r="A729" s="939"/>
      <c r="B729" s="833"/>
      <c r="C729" s="833"/>
      <c r="D729" s="833"/>
      <c r="E729" s="833"/>
      <c r="F729" s="463"/>
      <c r="G729" s="1465"/>
      <c r="H729" s="1465"/>
      <c r="I729" s="30"/>
      <c r="J729" s="30"/>
      <c r="K729" s="30"/>
      <c r="L729" s="30"/>
      <c r="M729" s="1465"/>
      <c r="N729" s="1465"/>
    </row>
    <row r="730" ht="39.0" customHeight="1">
      <c r="A730" s="940"/>
      <c r="B730" s="941"/>
      <c r="C730" s="941"/>
      <c r="D730" s="941"/>
      <c r="E730" s="941"/>
      <c r="F730" s="463"/>
      <c r="G730" s="1465"/>
      <c r="H730" s="1465"/>
      <c r="I730" s="28"/>
      <c r="J730" s="28"/>
      <c r="K730" s="28"/>
      <c r="L730" s="28"/>
      <c r="M730" s="1465"/>
      <c r="N730" s="1465"/>
    </row>
    <row r="731" ht="39.0" customHeight="1">
      <c r="A731" s="939"/>
      <c r="B731" s="833"/>
      <c r="C731" s="833"/>
      <c r="D731" s="833"/>
      <c r="E731" s="833"/>
      <c r="F731" s="463"/>
      <c r="G731" s="1465"/>
      <c r="H731" s="1465"/>
      <c r="I731" s="30"/>
      <c r="J731" s="30"/>
      <c r="K731" s="30"/>
      <c r="L731" s="30"/>
      <c r="M731" s="1465"/>
      <c r="N731" s="1465"/>
    </row>
    <row r="732" ht="39.0" customHeight="1">
      <c r="A732" s="940"/>
      <c r="B732" s="941"/>
      <c r="C732" s="941"/>
      <c r="D732" s="941"/>
      <c r="E732" s="941"/>
      <c r="F732" s="463"/>
      <c r="G732" s="1465"/>
      <c r="H732" s="1465"/>
      <c r="I732" s="28"/>
      <c r="J732" s="28"/>
      <c r="K732" s="28"/>
      <c r="L732" s="28"/>
      <c r="M732" s="1465"/>
      <c r="N732" s="1465"/>
    </row>
    <row r="733" ht="39.0" customHeight="1">
      <c r="A733" s="939"/>
      <c r="B733" s="833"/>
      <c r="C733" s="833"/>
      <c r="D733" s="833"/>
      <c r="E733" s="833"/>
      <c r="F733" s="463"/>
      <c r="G733" s="1465"/>
      <c r="H733" s="1465"/>
      <c r="I733" s="30"/>
      <c r="J733" s="30"/>
      <c r="K733" s="30"/>
      <c r="L733" s="30"/>
      <c r="M733" s="1465"/>
      <c r="N733" s="1465"/>
    </row>
    <row r="734" ht="39.0" customHeight="1">
      <c r="A734" s="940"/>
      <c r="B734" s="941"/>
      <c r="C734" s="941"/>
      <c r="D734" s="941"/>
      <c r="E734" s="941"/>
      <c r="F734" s="463"/>
      <c r="G734" s="1465"/>
      <c r="H734" s="1465"/>
      <c r="I734" s="28"/>
      <c r="J734" s="28"/>
      <c r="K734" s="28"/>
      <c r="L734" s="28"/>
      <c r="M734" s="1465"/>
      <c r="N734" s="1465"/>
    </row>
    <row r="735" ht="39.0" customHeight="1">
      <c r="A735" s="939"/>
      <c r="B735" s="833"/>
      <c r="C735" s="833"/>
      <c r="D735" s="833"/>
      <c r="E735" s="833"/>
      <c r="F735" s="463"/>
      <c r="G735" s="1465"/>
      <c r="H735" s="1465"/>
      <c r="I735" s="30"/>
      <c r="J735" s="30"/>
      <c r="K735" s="30"/>
      <c r="L735" s="30"/>
      <c r="M735" s="1465"/>
      <c r="N735" s="1465"/>
    </row>
    <row r="736" ht="39.0" customHeight="1">
      <c r="A736" s="940"/>
      <c r="B736" s="941"/>
      <c r="C736" s="941"/>
      <c r="D736" s="941"/>
      <c r="E736" s="941"/>
      <c r="F736" s="463"/>
      <c r="G736" s="1465"/>
      <c r="H736" s="1465"/>
      <c r="I736" s="28"/>
      <c r="J736" s="28"/>
      <c r="K736" s="28"/>
      <c r="L736" s="28"/>
      <c r="M736" s="1465"/>
      <c r="N736" s="1465"/>
    </row>
    <row r="737" ht="39.0" customHeight="1">
      <c r="A737" s="939"/>
      <c r="B737" s="833"/>
      <c r="C737" s="833"/>
      <c r="D737" s="833"/>
      <c r="E737" s="833"/>
      <c r="F737" s="463"/>
      <c r="G737" s="1465"/>
      <c r="H737" s="1465"/>
      <c r="I737" s="30"/>
      <c r="J737" s="30"/>
      <c r="K737" s="30"/>
      <c r="L737" s="30"/>
      <c r="M737" s="1465"/>
      <c r="N737" s="1465"/>
    </row>
    <row r="738" ht="39.0" customHeight="1">
      <c r="A738" s="940"/>
      <c r="B738" s="941"/>
      <c r="C738" s="941"/>
      <c r="D738" s="941"/>
      <c r="E738" s="941"/>
      <c r="F738" s="463"/>
      <c r="G738" s="1465"/>
      <c r="H738" s="1465"/>
      <c r="I738" s="28"/>
      <c r="J738" s="28"/>
      <c r="K738" s="28"/>
      <c r="L738" s="28"/>
      <c r="M738" s="1465"/>
      <c r="N738" s="1465"/>
    </row>
    <row r="739" ht="39.0" customHeight="1">
      <c r="A739" s="939"/>
      <c r="B739" s="833"/>
      <c r="C739" s="833"/>
      <c r="D739" s="833"/>
      <c r="E739" s="833"/>
      <c r="F739" s="463"/>
      <c r="G739" s="1465"/>
      <c r="H739" s="1465"/>
      <c r="I739" s="30"/>
      <c r="J739" s="30"/>
      <c r="K739" s="30"/>
      <c r="L739" s="30"/>
      <c r="M739" s="1465"/>
      <c r="N739" s="1465"/>
    </row>
    <row r="740" ht="39.0" customHeight="1">
      <c r="A740" s="940"/>
      <c r="B740" s="941"/>
      <c r="C740" s="941"/>
      <c r="D740" s="941"/>
      <c r="E740" s="941"/>
      <c r="F740" s="463"/>
      <c r="G740" s="1465"/>
      <c r="H740" s="1465"/>
      <c r="I740" s="28"/>
      <c r="J740" s="28"/>
      <c r="K740" s="28"/>
      <c r="L740" s="28"/>
      <c r="M740" s="1465"/>
      <c r="N740" s="1465"/>
    </row>
    <row r="741" ht="39.0" customHeight="1">
      <c r="A741" s="939"/>
      <c r="B741" s="833"/>
      <c r="C741" s="833"/>
      <c r="D741" s="833"/>
      <c r="E741" s="833"/>
      <c r="F741" s="463"/>
      <c r="G741" s="1465"/>
      <c r="H741" s="1465"/>
      <c r="I741" s="30"/>
      <c r="J741" s="30"/>
      <c r="K741" s="30"/>
      <c r="L741" s="30"/>
      <c r="M741" s="1465"/>
      <c r="N741" s="1465"/>
    </row>
    <row r="742" ht="39.0" customHeight="1">
      <c r="A742" s="940"/>
      <c r="B742" s="941"/>
      <c r="C742" s="941"/>
      <c r="D742" s="941"/>
      <c r="E742" s="941"/>
      <c r="F742" s="463"/>
      <c r="G742" s="1465"/>
      <c r="H742" s="1465"/>
      <c r="I742" s="28"/>
      <c r="J742" s="28"/>
      <c r="K742" s="28"/>
      <c r="L742" s="28"/>
      <c r="M742" s="1465"/>
      <c r="N742" s="1465"/>
    </row>
    <row r="743" ht="39.0" customHeight="1">
      <c r="A743" s="939"/>
      <c r="B743" s="833"/>
      <c r="C743" s="833"/>
      <c r="D743" s="833"/>
      <c r="E743" s="833"/>
      <c r="F743" s="463"/>
      <c r="G743" s="1465"/>
      <c r="H743" s="1465"/>
      <c r="I743" s="30"/>
      <c r="J743" s="30"/>
      <c r="K743" s="30"/>
      <c r="L743" s="30"/>
      <c r="M743" s="1465"/>
      <c r="N743" s="1465"/>
    </row>
    <row r="744" ht="39.0" customHeight="1">
      <c r="A744" s="940"/>
      <c r="B744" s="941"/>
      <c r="C744" s="941"/>
      <c r="D744" s="941"/>
      <c r="E744" s="941"/>
      <c r="F744" s="463"/>
      <c r="G744" s="1465"/>
      <c r="H744" s="1465"/>
      <c r="I744" s="28"/>
      <c r="J744" s="28"/>
      <c r="K744" s="28"/>
      <c r="L744" s="28"/>
      <c r="M744" s="1465"/>
      <c r="N744" s="1465"/>
    </row>
    <row r="745" ht="39.0" customHeight="1">
      <c r="A745" s="939"/>
      <c r="B745" s="833"/>
      <c r="C745" s="833"/>
      <c r="D745" s="833"/>
      <c r="E745" s="833"/>
      <c r="F745" s="463"/>
      <c r="G745" s="1465"/>
      <c r="H745" s="1465"/>
      <c r="I745" s="30"/>
      <c r="J745" s="30"/>
      <c r="K745" s="30"/>
      <c r="L745" s="30"/>
      <c r="M745" s="1465"/>
      <c r="N745" s="1465"/>
    </row>
    <row r="746" ht="39.0" customHeight="1">
      <c r="A746" s="940"/>
      <c r="B746" s="941"/>
      <c r="C746" s="941"/>
      <c r="D746" s="941"/>
      <c r="E746" s="941"/>
      <c r="F746" s="463"/>
      <c r="G746" s="1465"/>
      <c r="H746" s="1465"/>
      <c r="I746" s="28"/>
      <c r="J746" s="28"/>
      <c r="K746" s="28"/>
      <c r="L746" s="28"/>
      <c r="M746" s="1465"/>
      <c r="N746" s="1465"/>
    </row>
    <row r="747" ht="39.0" customHeight="1">
      <c r="A747" s="939"/>
      <c r="B747" s="833"/>
      <c r="C747" s="833"/>
      <c r="D747" s="833"/>
      <c r="E747" s="833"/>
      <c r="F747" s="463"/>
      <c r="G747" s="1465"/>
      <c r="H747" s="1465"/>
      <c r="I747" s="30"/>
      <c r="J747" s="30"/>
      <c r="K747" s="30"/>
      <c r="L747" s="30"/>
      <c r="M747" s="1465"/>
      <c r="N747" s="1465"/>
    </row>
    <row r="748" ht="39.0" customHeight="1">
      <c r="A748" s="940"/>
      <c r="B748" s="941"/>
      <c r="C748" s="941"/>
      <c r="D748" s="941"/>
      <c r="E748" s="941"/>
      <c r="F748" s="463"/>
      <c r="G748" s="1465"/>
      <c r="H748" s="1465"/>
      <c r="I748" s="28"/>
      <c r="J748" s="28"/>
      <c r="K748" s="28"/>
      <c r="L748" s="28"/>
      <c r="M748" s="1465"/>
      <c r="N748" s="1465"/>
    </row>
    <row r="749" ht="39.0" customHeight="1">
      <c r="A749" s="939"/>
      <c r="B749" s="833"/>
      <c r="C749" s="833"/>
      <c r="D749" s="833"/>
      <c r="E749" s="833"/>
      <c r="F749" s="463"/>
      <c r="G749" s="1465"/>
      <c r="H749" s="1465"/>
      <c r="I749" s="30"/>
      <c r="J749" s="30"/>
      <c r="K749" s="30"/>
      <c r="L749" s="30"/>
      <c r="M749" s="1465"/>
      <c r="N749" s="1465"/>
    </row>
    <row r="750" ht="39.0" customHeight="1">
      <c r="A750" s="940"/>
      <c r="B750" s="941"/>
      <c r="C750" s="941"/>
      <c r="D750" s="941"/>
      <c r="E750" s="941"/>
      <c r="F750" s="463"/>
      <c r="G750" s="1465"/>
      <c r="H750" s="1465"/>
      <c r="I750" s="28"/>
      <c r="J750" s="28"/>
      <c r="K750" s="28"/>
      <c r="L750" s="28"/>
      <c r="M750" s="1465"/>
      <c r="N750" s="1465"/>
    </row>
    <row r="751" ht="39.0" customHeight="1">
      <c r="A751" s="939"/>
      <c r="B751" s="833"/>
      <c r="C751" s="833"/>
      <c r="D751" s="833"/>
      <c r="E751" s="833"/>
      <c r="F751" s="463"/>
      <c r="G751" s="1465"/>
      <c r="H751" s="1465"/>
      <c r="I751" s="30"/>
      <c r="J751" s="30"/>
      <c r="K751" s="30"/>
      <c r="L751" s="30"/>
      <c r="M751" s="1465"/>
      <c r="N751" s="1465"/>
    </row>
    <row r="752" ht="39.0" customHeight="1">
      <c r="A752" s="940"/>
      <c r="B752" s="941"/>
      <c r="C752" s="941"/>
      <c r="D752" s="941"/>
      <c r="E752" s="941"/>
      <c r="F752" s="463"/>
      <c r="G752" s="1465"/>
      <c r="H752" s="1465"/>
      <c r="I752" s="28"/>
      <c r="J752" s="28"/>
      <c r="K752" s="28"/>
      <c r="L752" s="28"/>
      <c r="M752" s="1465"/>
      <c r="N752" s="1465"/>
    </row>
    <row r="753" ht="39.0" customHeight="1">
      <c r="A753" s="939"/>
      <c r="B753" s="833"/>
      <c r="C753" s="833"/>
      <c r="D753" s="833"/>
      <c r="E753" s="833"/>
      <c r="F753" s="463"/>
      <c r="G753" s="1465"/>
      <c r="H753" s="1465"/>
      <c r="I753" s="30"/>
      <c r="J753" s="30"/>
      <c r="K753" s="30"/>
      <c r="L753" s="30"/>
      <c r="M753" s="1465"/>
      <c r="N753" s="1465"/>
    </row>
    <row r="754" ht="39.0" customHeight="1">
      <c r="A754" s="940"/>
      <c r="B754" s="941"/>
      <c r="C754" s="941"/>
      <c r="D754" s="941"/>
      <c r="E754" s="941"/>
      <c r="F754" s="463"/>
      <c r="G754" s="1465"/>
      <c r="H754" s="1465"/>
      <c r="I754" s="28"/>
      <c r="J754" s="28"/>
      <c r="K754" s="28"/>
      <c r="L754" s="28"/>
      <c r="M754" s="1465"/>
      <c r="N754" s="1465"/>
    </row>
    <row r="755" ht="39.0" customHeight="1">
      <c r="A755" s="939"/>
      <c r="B755" s="833"/>
      <c r="C755" s="833"/>
      <c r="D755" s="833"/>
      <c r="E755" s="833"/>
      <c r="F755" s="463"/>
      <c r="G755" s="1465"/>
      <c r="H755" s="1465"/>
      <c r="I755" s="30"/>
      <c r="J755" s="30"/>
      <c r="K755" s="30"/>
      <c r="L755" s="30"/>
      <c r="M755" s="1465"/>
      <c r="N755" s="1465"/>
    </row>
    <row r="756" ht="39.0" customHeight="1">
      <c r="A756" s="940"/>
      <c r="B756" s="941"/>
      <c r="C756" s="941"/>
      <c r="D756" s="941"/>
      <c r="E756" s="941"/>
      <c r="F756" s="463"/>
      <c r="G756" s="1465"/>
      <c r="H756" s="1465"/>
      <c r="I756" s="28"/>
      <c r="J756" s="28"/>
      <c r="K756" s="28"/>
      <c r="L756" s="28"/>
      <c r="M756" s="1465"/>
      <c r="N756" s="1465"/>
    </row>
    <row r="757" ht="39.0" customHeight="1">
      <c r="A757" s="939"/>
      <c r="B757" s="833"/>
      <c r="C757" s="833"/>
      <c r="D757" s="833"/>
      <c r="E757" s="833"/>
      <c r="F757" s="463"/>
      <c r="G757" s="1465"/>
      <c r="H757" s="1465"/>
      <c r="I757" s="30"/>
      <c r="J757" s="30"/>
      <c r="K757" s="30"/>
      <c r="L757" s="30"/>
      <c r="M757" s="1465"/>
      <c r="N757" s="1465"/>
    </row>
    <row r="758" ht="39.0" customHeight="1">
      <c r="A758" s="940"/>
      <c r="B758" s="941"/>
      <c r="C758" s="941"/>
      <c r="D758" s="941"/>
      <c r="E758" s="941"/>
      <c r="F758" s="463"/>
      <c r="G758" s="1465"/>
      <c r="H758" s="1465"/>
      <c r="I758" s="28"/>
      <c r="J758" s="28"/>
      <c r="K758" s="28"/>
      <c r="L758" s="28"/>
      <c r="M758" s="1465"/>
      <c r="N758" s="1465"/>
    </row>
    <row r="759" ht="39.0" customHeight="1">
      <c r="A759" s="939"/>
      <c r="B759" s="833"/>
      <c r="C759" s="833"/>
      <c r="D759" s="833"/>
      <c r="E759" s="833"/>
      <c r="F759" s="463"/>
      <c r="G759" s="1465"/>
      <c r="H759" s="1465"/>
      <c r="I759" s="30"/>
      <c r="J759" s="30"/>
      <c r="K759" s="30"/>
      <c r="L759" s="30"/>
      <c r="M759" s="1465"/>
      <c r="N759" s="1465"/>
    </row>
    <row r="760" ht="39.0" customHeight="1">
      <c r="A760" s="940"/>
      <c r="B760" s="941"/>
      <c r="C760" s="941"/>
      <c r="D760" s="941"/>
      <c r="E760" s="941"/>
      <c r="F760" s="463"/>
      <c r="G760" s="1465"/>
      <c r="H760" s="1465"/>
      <c r="I760" s="28"/>
      <c r="J760" s="28"/>
      <c r="K760" s="28"/>
      <c r="L760" s="28"/>
      <c r="M760" s="1465"/>
      <c r="N760" s="1465"/>
    </row>
    <row r="761" ht="39.0" customHeight="1">
      <c r="A761" s="939"/>
      <c r="B761" s="833"/>
      <c r="C761" s="833"/>
      <c r="D761" s="833"/>
      <c r="E761" s="833"/>
      <c r="F761" s="463"/>
      <c r="G761" s="1465"/>
      <c r="H761" s="1465"/>
      <c r="I761" s="30"/>
      <c r="J761" s="30"/>
      <c r="K761" s="30"/>
      <c r="L761" s="30"/>
      <c r="M761" s="1465"/>
      <c r="N761" s="1465"/>
    </row>
    <row r="762" ht="39.0" customHeight="1">
      <c r="A762" s="940"/>
      <c r="B762" s="941"/>
      <c r="C762" s="941"/>
      <c r="D762" s="941"/>
      <c r="E762" s="941"/>
      <c r="F762" s="463"/>
      <c r="G762" s="1465"/>
      <c r="H762" s="1465"/>
      <c r="I762" s="28"/>
      <c r="J762" s="28"/>
      <c r="K762" s="28"/>
      <c r="L762" s="28"/>
      <c r="M762" s="1465"/>
      <c r="N762" s="1465"/>
    </row>
    <row r="763" ht="39.0" customHeight="1">
      <c r="A763" s="939"/>
      <c r="B763" s="833"/>
      <c r="C763" s="833"/>
      <c r="D763" s="833"/>
      <c r="E763" s="833"/>
      <c r="F763" s="463"/>
      <c r="G763" s="1465"/>
      <c r="H763" s="1465"/>
      <c r="I763" s="30"/>
      <c r="J763" s="30"/>
      <c r="K763" s="30"/>
      <c r="L763" s="30"/>
      <c r="M763" s="1465"/>
      <c r="N763" s="1465"/>
    </row>
    <row r="764" ht="39.0" customHeight="1">
      <c r="A764" s="940"/>
      <c r="B764" s="941"/>
      <c r="C764" s="941"/>
      <c r="D764" s="941"/>
      <c r="E764" s="941"/>
      <c r="F764" s="463"/>
      <c r="G764" s="1465"/>
      <c r="H764" s="1465"/>
      <c r="I764" s="28"/>
      <c r="J764" s="28"/>
      <c r="K764" s="28"/>
      <c r="L764" s="28"/>
      <c r="M764" s="1465"/>
      <c r="N764" s="1465"/>
    </row>
    <row r="765" ht="39.0" customHeight="1">
      <c r="A765" s="939"/>
      <c r="B765" s="833"/>
      <c r="C765" s="833"/>
      <c r="D765" s="833"/>
      <c r="E765" s="833"/>
      <c r="F765" s="463"/>
      <c r="G765" s="1465"/>
      <c r="H765" s="1465"/>
      <c r="I765" s="30"/>
      <c r="J765" s="30"/>
      <c r="K765" s="30"/>
      <c r="L765" s="30"/>
      <c r="M765" s="1465"/>
      <c r="N765" s="1465"/>
    </row>
    <row r="766" ht="39.0" customHeight="1">
      <c r="A766" s="940"/>
      <c r="B766" s="941"/>
      <c r="C766" s="941"/>
      <c r="D766" s="941"/>
      <c r="E766" s="941"/>
      <c r="F766" s="463"/>
      <c r="G766" s="1465"/>
      <c r="H766" s="1465"/>
      <c r="I766" s="28"/>
      <c r="J766" s="28"/>
      <c r="K766" s="28"/>
      <c r="L766" s="28"/>
      <c r="M766" s="1465"/>
      <c r="N766" s="1465"/>
    </row>
    <row r="767" ht="39.0" customHeight="1">
      <c r="A767" s="939"/>
      <c r="B767" s="833"/>
      <c r="C767" s="833"/>
      <c r="D767" s="833"/>
      <c r="E767" s="833"/>
      <c r="F767" s="463"/>
      <c r="G767" s="1465"/>
      <c r="H767" s="1465"/>
      <c r="I767" s="30"/>
      <c r="J767" s="30"/>
      <c r="K767" s="30"/>
      <c r="L767" s="30"/>
      <c r="M767" s="1465"/>
      <c r="N767" s="1465"/>
    </row>
    <row r="768" ht="39.0" customHeight="1">
      <c r="A768" s="940"/>
      <c r="B768" s="941"/>
      <c r="C768" s="941"/>
      <c r="D768" s="941"/>
      <c r="E768" s="941"/>
      <c r="F768" s="463"/>
      <c r="G768" s="1465"/>
      <c r="H768" s="1465"/>
      <c r="I768" s="28"/>
      <c r="J768" s="28"/>
      <c r="K768" s="28"/>
      <c r="L768" s="28"/>
      <c r="M768" s="1465"/>
      <c r="N768" s="1465"/>
    </row>
    <row r="769" ht="39.0" customHeight="1">
      <c r="A769" s="939"/>
      <c r="B769" s="833"/>
      <c r="C769" s="833"/>
      <c r="D769" s="833"/>
      <c r="E769" s="833"/>
      <c r="F769" s="463"/>
      <c r="G769" s="1465"/>
      <c r="H769" s="1465"/>
      <c r="I769" s="30"/>
      <c r="J769" s="30"/>
      <c r="K769" s="30"/>
      <c r="L769" s="30"/>
      <c r="M769" s="1465"/>
      <c r="N769" s="1465"/>
    </row>
    <row r="770" ht="39.0" customHeight="1">
      <c r="A770" s="940"/>
      <c r="B770" s="941"/>
      <c r="C770" s="941"/>
      <c r="D770" s="941"/>
      <c r="E770" s="941"/>
      <c r="F770" s="463"/>
      <c r="G770" s="1465"/>
      <c r="H770" s="1465"/>
      <c r="I770" s="28"/>
      <c r="J770" s="28"/>
      <c r="K770" s="28"/>
      <c r="L770" s="28"/>
      <c r="M770" s="1465"/>
      <c r="N770" s="1465"/>
    </row>
    <row r="771" ht="39.0" customHeight="1">
      <c r="A771" s="939"/>
      <c r="B771" s="833"/>
      <c r="C771" s="833"/>
      <c r="D771" s="833"/>
      <c r="E771" s="833"/>
      <c r="F771" s="463"/>
      <c r="G771" s="1465"/>
      <c r="H771" s="1465"/>
      <c r="I771" s="30"/>
      <c r="J771" s="30"/>
      <c r="K771" s="30"/>
      <c r="L771" s="30"/>
      <c r="M771" s="1465"/>
      <c r="N771" s="1465"/>
    </row>
    <row r="772" ht="39.0" customHeight="1">
      <c r="A772" s="940"/>
      <c r="B772" s="941"/>
      <c r="C772" s="941"/>
      <c r="D772" s="941"/>
      <c r="E772" s="941"/>
      <c r="F772" s="463"/>
      <c r="G772" s="1465"/>
      <c r="H772" s="1465"/>
      <c r="I772" s="28"/>
      <c r="J772" s="28"/>
      <c r="K772" s="28"/>
      <c r="L772" s="28"/>
      <c r="M772" s="1465"/>
      <c r="N772" s="1465"/>
    </row>
    <row r="773" ht="39.0" customHeight="1">
      <c r="A773" s="939"/>
      <c r="B773" s="833"/>
      <c r="C773" s="833"/>
      <c r="D773" s="833"/>
      <c r="E773" s="833"/>
      <c r="F773" s="463"/>
      <c r="G773" s="1465"/>
      <c r="H773" s="1465"/>
      <c r="I773" s="30"/>
      <c r="J773" s="30"/>
      <c r="K773" s="30"/>
      <c r="L773" s="30"/>
      <c r="M773" s="1465"/>
      <c r="N773" s="1465"/>
    </row>
    <row r="774" ht="39.0" customHeight="1">
      <c r="A774" s="940"/>
      <c r="B774" s="941"/>
      <c r="C774" s="941"/>
      <c r="D774" s="941"/>
      <c r="E774" s="941"/>
      <c r="F774" s="463"/>
      <c r="G774" s="1465"/>
      <c r="H774" s="1465"/>
      <c r="I774" s="28"/>
      <c r="J774" s="28"/>
      <c r="K774" s="28"/>
      <c r="L774" s="28"/>
      <c r="M774" s="1465"/>
      <c r="N774" s="1465"/>
    </row>
    <row r="775" ht="39.0" customHeight="1">
      <c r="A775" s="939"/>
      <c r="B775" s="833"/>
      <c r="C775" s="833"/>
      <c r="D775" s="833"/>
      <c r="E775" s="833"/>
      <c r="F775" s="463"/>
      <c r="G775" s="1465"/>
      <c r="H775" s="1465"/>
      <c r="I775" s="30"/>
      <c r="J775" s="30"/>
      <c r="K775" s="30"/>
      <c r="L775" s="30"/>
      <c r="M775" s="1465"/>
      <c r="N775" s="1465"/>
    </row>
    <row r="776" ht="39.0" customHeight="1">
      <c r="A776" s="940"/>
      <c r="B776" s="941"/>
      <c r="C776" s="941"/>
      <c r="D776" s="941"/>
      <c r="E776" s="941"/>
      <c r="F776" s="463"/>
      <c r="G776" s="1465"/>
      <c r="H776" s="1465"/>
      <c r="I776" s="28"/>
      <c r="J776" s="28"/>
      <c r="K776" s="28"/>
      <c r="L776" s="28"/>
      <c r="M776" s="1465"/>
      <c r="N776" s="1465"/>
    </row>
    <row r="777" ht="39.0" customHeight="1">
      <c r="A777" s="939"/>
      <c r="B777" s="833"/>
      <c r="C777" s="833"/>
      <c r="D777" s="833"/>
      <c r="E777" s="833"/>
      <c r="F777" s="463"/>
      <c r="G777" s="1465"/>
      <c r="H777" s="1465"/>
      <c r="I777" s="30"/>
      <c r="J777" s="30"/>
      <c r="K777" s="30"/>
      <c r="L777" s="30"/>
      <c r="M777" s="1465"/>
      <c r="N777" s="1465"/>
    </row>
    <row r="778" ht="39.0" customHeight="1">
      <c r="A778" s="940"/>
      <c r="B778" s="941"/>
      <c r="C778" s="941"/>
      <c r="D778" s="941"/>
      <c r="E778" s="941"/>
      <c r="F778" s="463"/>
      <c r="G778" s="1465"/>
      <c r="H778" s="1465"/>
      <c r="I778" s="28"/>
      <c r="J778" s="28"/>
      <c r="K778" s="28"/>
      <c r="L778" s="28"/>
      <c r="M778" s="1465"/>
      <c r="N778" s="1465"/>
    </row>
    <row r="779" ht="39.0" customHeight="1">
      <c r="A779" s="939"/>
      <c r="B779" s="833"/>
      <c r="C779" s="833"/>
      <c r="D779" s="833"/>
      <c r="E779" s="833"/>
      <c r="F779" s="463"/>
      <c r="G779" s="1465"/>
      <c r="H779" s="1465"/>
      <c r="I779" s="30"/>
      <c r="J779" s="30"/>
      <c r="K779" s="30"/>
      <c r="L779" s="30"/>
      <c r="M779" s="1465"/>
      <c r="N779" s="1465"/>
    </row>
    <row r="780" ht="39.0" customHeight="1">
      <c r="A780" s="940"/>
      <c r="B780" s="941"/>
      <c r="C780" s="941"/>
      <c r="D780" s="941"/>
      <c r="E780" s="941"/>
      <c r="F780" s="463"/>
      <c r="G780" s="1465"/>
      <c r="H780" s="1465"/>
      <c r="I780" s="28"/>
      <c r="J780" s="28"/>
      <c r="K780" s="28"/>
      <c r="L780" s="28"/>
      <c r="M780" s="1465"/>
      <c r="N780" s="1465"/>
    </row>
    <row r="781" ht="39.0" customHeight="1">
      <c r="A781" s="939"/>
      <c r="B781" s="833"/>
      <c r="C781" s="833"/>
      <c r="D781" s="833"/>
      <c r="E781" s="833"/>
      <c r="F781" s="463"/>
      <c r="G781" s="1465"/>
      <c r="H781" s="1465"/>
      <c r="I781" s="30"/>
      <c r="J781" s="30"/>
      <c r="K781" s="30"/>
      <c r="L781" s="30"/>
      <c r="M781" s="1465"/>
      <c r="N781" s="1465"/>
    </row>
    <row r="782" ht="39.0" customHeight="1">
      <c r="A782" s="940"/>
      <c r="B782" s="941"/>
      <c r="C782" s="941"/>
      <c r="D782" s="941"/>
      <c r="E782" s="941"/>
      <c r="F782" s="463"/>
      <c r="G782" s="1465"/>
      <c r="H782" s="1465"/>
      <c r="I782" s="28"/>
      <c r="J782" s="28"/>
      <c r="K782" s="28"/>
      <c r="L782" s="28"/>
      <c r="M782" s="1465"/>
      <c r="N782" s="1465"/>
    </row>
    <row r="783" ht="39.0" customHeight="1">
      <c r="A783" s="939"/>
      <c r="B783" s="833"/>
      <c r="C783" s="833"/>
      <c r="D783" s="833"/>
      <c r="E783" s="833"/>
      <c r="F783" s="463"/>
      <c r="G783" s="1465"/>
      <c r="H783" s="1465"/>
      <c r="I783" s="30"/>
      <c r="J783" s="30"/>
      <c r="K783" s="30"/>
      <c r="L783" s="30"/>
      <c r="M783" s="1465"/>
      <c r="N783" s="1465"/>
    </row>
    <row r="784" ht="39.0" customHeight="1">
      <c r="A784" s="940"/>
      <c r="B784" s="941"/>
      <c r="C784" s="941"/>
      <c r="D784" s="941"/>
      <c r="E784" s="941"/>
      <c r="F784" s="463"/>
      <c r="G784" s="1465"/>
      <c r="H784" s="1465"/>
      <c r="I784" s="28"/>
      <c r="J784" s="28"/>
      <c r="K784" s="28"/>
      <c r="L784" s="28"/>
      <c r="M784" s="1465"/>
      <c r="N784" s="1465"/>
    </row>
    <row r="785" ht="39.0" customHeight="1">
      <c r="A785" s="939"/>
      <c r="B785" s="833"/>
      <c r="C785" s="833"/>
      <c r="D785" s="833"/>
      <c r="E785" s="833"/>
      <c r="F785" s="463"/>
      <c r="G785" s="1465"/>
      <c r="H785" s="1465"/>
      <c r="I785" s="30"/>
      <c r="J785" s="30"/>
      <c r="K785" s="30"/>
      <c r="L785" s="30"/>
      <c r="M785" s="1465"/>
      <c r="N785" s="1465"/>
    </row>
    <row r="786" ht="39.0" customHeight="1">
      <c r="A786" s="940"/>
      <c r="B786" s="941"/>
      <c r="C786" s="941"/>
      <c r="D786" s="941"/>
      <c r="E786" s="941"/>
      <c r="F786" s="463"/>
      <c r="G786" s="1465"/>
      <c r="H786" s="1465"/>
      <c r="I786" s="28"/>
      <c r="J786" s="28"/>
      <c r="K786" s="28"/>
      <c r="L786" s="28"/>
      <c r="M786" s="1465"/>
      <c r="N786" s="1465"/>
    </row>
    <row r="787" ht="39.0" customHeight="1">
      <c r="A787" s="939"/>
      <c r="B787" s="833"/>
      <c r="C787" s="833"/>
      <c r="D787" s="833"/>
      <c r="E787" s="833"/>
      <c r="F787" s="463"/>
      <c r="G787" s="1465"/>
      <c r="H787" s="1465"/>
      <c r="I787" s="30"/>
      <c r="J787" s="30"/>
      <c r="K787" s="30"/>
      <c r="L787" s="30"/>
      <c r="M787" s="1465"/>
      <c r="N787" s="1465"/>
    </row>
    <row r="788" ht="39.0" customHeight="1">
      <c r="A788" s="940"/>
      <c r="B788" s="941"/>
      <c r="C788" s="941"/>
      <c r="D788" s="941"/>
      <c r="E788" s="941"/>
      <c r="F788" s="463"/>
      <c r="G788" s="1465"/>
      <c r="H788" s="1465"/>
      <c r="I788" s="28"/>
      <c r="J788" s="28"/>
      <c r="K788" s="28"/>
      <c r="L788" s="28"/>
      <c r="M788" s="1465"/>
      <c r="N788" s="1465"/>
    </row>
    <row r="789" ht="39.0" customHeight="1">
      <c r="A789" s="939"/>
      <c r="B789" s="833"/>
      <c r="C789" s="833"/>
      <c r="D789" s="833"/>
      <c r="E789" s="833"/>
      <c r="F789" s="463"/>
      <c r="G789" s="1465"/>
      <c r="H789" s="1465"/>
      <c r="I789" s="30"/>
      <c r="J789" s="30"/>
      <c r="K789" s="30"/>
      <c r="L789" s="30"/>
      <c r="M789" s="1465"/>
      <c r="N789" s="1465"/>
    </row>
    <row r="790" ht="39.0" customHeight="1">
      <c r="A790" s="940"/>
      <c r="B790" s="941"/>
      <c r="C790" s="941"/>
      <c r="D790" s="941"/>
      <c r="E790" s="941"/>
      <c r="F790" s="463"/>
      <c r="G790" s="1465"/>
      <c r="H790" s="1465"/>
      <c r="I790" s="28"/>
      <c r="J790" s="28"/>
      <c r="K790" s="28"/>
      <c r="L790" s="28"/>
      <c r="M790" s="1465"/>
      <c r="N790" s="1465"/>
    </row>
    <row r="791" ht="39.0" customHeight="1">
      <c r="A791" s="939"/>
      <c r="B791" s="833"/>
      <c r="C791" s="833"/>
      <c r="D791" s="833"/>
      <c r="E791" s="833"/>
      <c r="F791" s="463"/>
      <c r="G791" s="1465"/>
      <c r="H791" s="1465"/>
      <c r="I791" s="30"/>
      <c r="J791" s="30"/>
      <c r="K791" s="30"/>
      <c r="L791" s="30"/>
      <c r="M791" s="1465"/>
      <c r="N791" s="1465"/>
    </row>
    <row r="792" ht="39.0" customHeight="1">
      <c r="A792" s="940"/>
      <c r="B792" s="941"/>
      <c r="C792" s="941"/>
      <c r="D792" s="941"/>
      <c r="E792" s="941"/>
      <c r="F792" s="463"/>
      <c r="G792" s="1465"/>
      <c r="H792" s="1465"/>
      <c r="I792" s="28"/>
      <c r="J792" s="28"/>
      <c r="K792" s="28"/>
      <c r="L792" s="28"/>
      <c r="M792" s="1465"/>
      <c r="N792" s="1465"/>
    </row>
    <row r="793" ht="39.0" customHeight="1">
      <c r="A793" s="939"/>
      <c r="B793" s="833"/>
      <c r="C793" s="833"/>
      <c r="D793" s="833"/>
      <c r="E793" s="833"/>
      <c r="F793" s="463"/>
      <c r="G793" s="1465"/>
      <c r="H793" s="1465"/>
      <c r="I793" s="30"/>
      <c r="J793" s="30"/>
      <c r="K793" s="30"/>
      <c r="L793" s="30"/>
      <c r="M793" s="1465"/>
      <c r="N793" s="1465"/>
    </row>
    <row r="794" ht="39.0" customHeight="1">
      <c r="A794" s="940"/>
      <c r="B794" s="941"/>
      <c r="C794" s="941"/>
      <c r="D794" s="941"/>
      <c r="E794" s="941"/>
      <c r="F794" s="463"/>
      <c r="G794" s="1465"/>
      <c r="H794" s="1465"/>
      <c r="I794" s="28"/>
      <c r="J794" s="28"/>
      <c r="K794" s="28"/>
      <c r="L794" s="28"/>
      <c r="M794" s="1465"/>
      <c r="N794" s="1465"/>
    </row>
    <row r="795" ht="39.0" customHeight="1">
      <c r="A795" s="939"/>
      <c r="B795" s="833"/>
      <c r="C795" s="833"/>
      <c r="D795" s="833"/>
      <c r="E795" s="833"/>
      <c r="F795" s="463"/>
      <c r="G795" s="1465"/>
      <c r="H795" s="1465"/>
      <c r="I795" s="30"/>
      <c r="J795" s="30"/>
      <c r="K795" s="30"/>
      <c r="L795" s="30"/>
      <c r="M795" s="1465"/>
      <c r="N795" s="1465"/>
    </row>
    <row r="796" ht="39.0" customHeight="1">
      <c r="A796" s="940"/>
      <c r="B796" s="941"/>
      <c r="C796" s="941"/>
      <c r="D796" s="941"/>
      <c r="E796" s="941"/>
      <c r="F796" s="463"/>
      <c r="G796" s="1465"/>
      <c r="H796" s="1465"/>
      <c r="I796" s="28"/>
      <c r="J796" s="28"/>
      <c r="K796" s="28"/>
      <c r="L796" s="28"/>
      <c r="M796" s="1465"/>
      <c r="N796" s="1465"/>
    </row>
    <row r="797" ht="39.0" customHeight="1">
      <c r="A797" s="939"/>
      <c r="B797" s="833"/>
      <c r="C797" s="833"/>
      <c r="D797" s="833"/>
      <c r="E797" s="833"/>
      <c r="F797" s="463"/>
      <c r="G797" s="1465"/>
      <c r="H797" s="1465"/>
      <c r="I797" s="30"/>
      <c r="J797" s="30"/>
      <c r="K797" s="30"/>
      <c r="L797" s="30"/>
      <c r="M797" s="1465"/>
      <c r="N797" s="1465"/>
    </row>
    <row r="798" ht="39.0" customHeight="1">
      <c r="A798" s="940"/>
      <c r="B798" s="941"/>
      <c r="C798" s="941"/>
      <c r="D798" s="941"/>
      <c r="E798" s="941"/>
      <c r="F798" s="463"/>
      <c r="G798" s="1465"/>
      <c r="H798" s="1465"/>
      <c r="I798" s="28"/>
      <c r="J798" s="28"/>
      <c r="K798" s="28"/>
      <c r="L798" s="28"/>
      <c r="M798" s="1465"/>
      <c r="N798" s="1465"/>
    </row>
    <row r="799" ht="39.0" customHeight="1">
      <c r="A799" s="939"/>
      <c r="B799" s="833"/>
      <c r="C799" s="833"/>
      <c r="D799" s="833"/>
      <c r="E799" s="833"/>
      <c r="F799" s="463"/>
      <c r="G799" s="1465"/>
      <c r="H799" s="1465"/>
      <c r="I799" s="30"/>
      <c r="J799" s="30"/>
      <c r="K799" s="30"/>
      <c r="L799" s="30"/>
      <c r="M799" s="1465"/>
      <c r="N799" s="1465"/>
    </row>
    <row r="800" ht="39.0" customHeight="1">
      <c r="A800" s="940"/>
      <c r="B800" s="941"/>
      <c r="C800" s="941"/>
      <c r="D800" s="941"/>
      <c r="E800" s="941"/>
      <c r="F800" s="463"/>
      <c r="G800" s="1465"/>
      <c r="H800" s="1465"/>
      <c r="I800" s="28"/>
      <c r="J800" s="28"/>
      <c r="K800" s="28"/>
      <c r="L800" s="28"/>
      <c r="M800" s="1465"/>
      <c r="N800" s="1465"/>
    </row>
    <row r="801" ht="39.0" customHeight="1">
      <c r="A801" s="939"/>
      <c r="B801" s="833"/>
      <c r="C801" s="833"/>
      <c r="D801" s="833"/>
      <c r="E801" s="833"/>
      <c r="F801" s="463"/>
      <c r="G801" s="1465"/>
      <c r="H801" s="1465"/>
      <c r="I801" s="30"/>
      <c r="J801" s="30"/>
      <c r="K801" s="30"/>
      <c r="L801" s="30"/>
      <c r="M801" s="1465"/>
      <c r="N801" s="1465"/>
    </row>
    <row r="802" ht="39.0" customHeight="1">
      <c r="A802" s="940"/>
      <c r="B802" s="941"/>
      <c r="C802" s="941"/>
      <c r="D802" s="941"/>
      <c r="E802" s="941"/>
      <c r="F802" s="463"/>
      <c r="G802" s="1465"/>
      <c r="H802" s="1465"/>
      <c r="I802" s="28"/>
      <c r="J802" s="28"/>
      <c r="K802" s="28"/>
      <c r="L802" s="28"/>
      <c r="M802" s="1465"/>
      <c r="N802" s="1465"/>
    </row>
    <row r="803" ht="39.0" customHeight="1">
      <c r="A803" s="939"/>
      <c r="B803" s="833"/>
      <c r="C803" s="833"/>
      <c r="D803" s="833"/>
      <c r="E803" s="833"/>
      <c r="F803" s="463"/>
      <c r="G803" s="1465"/>
      <c r="H803" s="1465"/>
      <c r="I803" s="30"/>
      <c r="J803" s="30"/>
      <c r="K803" s="30"/>
      <c r="L803" s="30"/>
      <c r="M803" s="1465"/>
      <c r="N803" s="1465"/>
    </row>
    <row r="804" ht="39.0" customHeight="1">
      <c r="A804" s="940"/>
      <c r="B804" s="941"/>
      <c r="C804" s="941"/>
      <c r="D804" s="941"/>
      <c r="E804" s="941"/>
      <c r="F804" s="463"/>
      <c r="G804" s="1465"/>
      <c r="H804" s="1465"/>
      <c r="I804" s="28"/>
      <c r="J804" s="28"/>
      <c r="K804" s="28"/>
      <c r="L804" s="28"/>
      <c r="M804" s="1465"/>
      <c r="N804" s="1465"/>
    </row>
    <row r="805" ht="39.0" customHeight="1">
      <c r="A805" s="939"/>
      <c r="B805" s="833"/>
      <c r="C805" s="833"/>
      <c r="D805" s="833"/>
      <c r="E805" s="833"/>
      <c r="F805" s="463"/>
      <c r="G805" s="1465"/>
      <c r="H805" s="1465"/>
      <c r="I805" s="30"/>
      <c r="J805" s="30"/>
      <c r="K805" s="30"/>
      <c r="L805" s="30"/>
      <c r="M805" s="1465"/>
      <c r="N805" s="1465"/>
    </row>
    <row r="806" ht="39.0" customHeight="1">
      <c r="A806" s="940"/>
      <c r="B806" s="941"/>
      <c r="C806" s="941"/>
      <c r="D806" s="941"/>
      <c r="E806" s="941"/>
      <c r="F806" s="463"/>
      <c r="G806" s="1465"/>
      <c r="H806" s="1465"/>
      <c r="I806" s="28"/>
      <c r="J806" s="28"/>
      <c r="K806" s="28"/>
      <c r="L806" s="28"/>
      <c r="M806" s="1465"/>
      <c r="N806" s="1465"/>
    </row>
    <row r="807" ht="39.0" customHeight="1">
      <c r="A807" s="939"/>
      <c r="B807" s="833"/>
      <c r="C807" s="833"/>
      <c r="D807" s="833"/>
      <c r="E807" s="833"/>
      <c r="F807" s="463"/>
      <c r="G807" s="1465"/>
      <c r="H807" s="1465"/>
      <c r="I807" s="30"/>
      <c r="J807" s="30"/>
      <c r="K807" s="30"/>
      <c r="L807" s="30"/>
      <c r="M807" s="1465"/>
      <c r="N807" s="1465"/>
    </row>
    <row r="808" ht="39.0" customHeight="1">
      <c r="A808" s="940"/>
      <c r="B808" s="941"/>
      <c r="C808" s="941"/>
      <c r="D808" s="941"/>
      <c r="E808" s="941"/>
      <c r="F808" s="463"/>
      <c r="G808" s="1465"/>
      <c r="H808" s="1465"/>
      <c r="I808" s="28"/>
      <c r="J808" s="28"/>
      <c r="K808" s="28"/>
      <c r="L808" s="28"/>
      <c r="M808" s="1465"/>
      <c r="N808" s="1465"/>
    </row>
    <row r="809" ht="39.0" customHeight="1">
      <c r="A809" s="939"/>
      <c r="B809" s="833"/>
      <c r="C809" s="833"/>
      <c r="D809" s="833"/>
      <c r="E809" s="833"/>
      <c r="F809" s="463"/>
      <c r="G809" s="1465"/>
      <c r="H809" s="1465"/>
      <c r="I809" s="30"/>
      <c r="J809" s="30"/>
      <c r="K809" s="30"/>
      <c r="L809" s="30"/>
      <c r="M809" s="1465"/>
      <c r="N809" s="1465"/>
    </row>
    <row r="810" ht="39.0" customHeight="1">
      <c r="A810" s="940"/>
      <c r="B810" s="941"/>
      <c r="C810" s="941"/>
      <c r="D810" s="941"/>
      <c r="E810" s="941"/>
      <c r="F810" s="463"/>
      <c r="G810" s="1465"/>
      <c r="H810" s="1465"/>
      <c r="I810" s="28"/>
      <c r="J810" s="28"/>
      <c r="K810" s="28"/>
      <c r="L810" s="28"/>
      <c r="M810" s="1465"/>
      <c r="N810" s="1465"/>
    </row>
    <row r="811" ht="39.0" customHeight="1">
      <c r="A811" s="939"/>
      <c r="B811" s="833"/>
      <c r="C811" s="833"/>
      <c r="D811" s="833"/>
      <c r="E811" s="833"/>
      <c r="F811" s="463"/>
      <c r="G811" s="1465"/>
      <c r="H811" s="1465"/>
      <c r="I811" s="30"/>
      <c r="J811" s="30"/>
      <c r="K811" s="30"/>
      <c r="L811" s="30"/>
      <c r="M811" s="1465"/>
      <c r="N811" s="1465"/>
    </row>
    <row r="812" ht="39.0" customHeight="1">
      <c r="A812" s="940"/>
      <c r="B812" s="941"/>
      <c r="C812" s="941"/>
      <c r="D812" s="941"/>
      <c r="E812" s="941"/>
      <c r="F812" s="463"/>
      <c r="G812" s="1465"/>
      <c r="H812" s="1465"/>
      <c r="I812" s="28"/>
      <c r="J812" s="28"/>
      <c r="K812" s="28"/>
      <c r="L812" s="28"/>
      <c r="M812" s="1465"/>
      <c r="N812" s="1465"/>
    </row>
    <row r="813" ht="39.0" customHeight="1">
      <c r="A813" s="939"/>
      <c r="B813" s="833"/>
      <c r="C813" s="833"/>
      <c r="D813" s="833"/>
      <c r="E813" s="833"/>
      <c r="F813" s="463"/>
      <c r="G813" s="1465"/>
      <c r="H813" s="1465"/>
      <c r="I813" s="30"/>
      <c r="J813" s="30"/>
      <c r="K813" s="30"/>
      <c r="L813" s="30"/>
      <c r="M813" s="1465"/>
      <c r="N813" s="1465"/>
    </row>
    <row r="814" ht="39.0" customHeight="1">
      <c r="A814" s="940"/>
      <c r="B814" s="941"/>
      <c r="C814" s="941"/>
      <c r="D814" s="941"/>
      <c r="E814" s="941"/>
      <c r="F814" s="463"/>
      <c r="G814" s="1465"/>
      <c r="H814" s="1465"/>
      <c r="I814" s="28"/>
      <c r="J814" s="28"/>
      <c r="K814" s="28"/>
      <c r="L814" s="28"/>
      <c r="M814" s="1465"/>
      <c r="N814" s="1465"/>
    </row>
    <row r="815" ht="39.0" customHeight="1">
      <c r="A815" s="939"/>
      <c r="B815" s="833"/>
      <c r="C815" s="833"/>
      <c r="D815" s="833"/>
      <c r="E815" s="833"/>
      <c r="F815" s="463"/>
      <c r="G815" s="1465"/>
      <c r="H815" s="1465"/>
      <c r="I815" s="30"/>
      <c r="J815" s="30"/>
      <c r="K815" s="30"/>
      <c r="L815" s="30"/>
      <c r="M815" s="1465"/>
      <c r="N815" s="1465"/>
    </row>
    <row r="816" ht="39.0" customHeight="1">
      <c r="A816" s="940"/>
      <c r="B816" s="941"/>
      <c r="C816" s="941"/>
      <c r="D816" s="941"/>
      <c r="E816" s="941"/>
      <c r="F816" s="463"/>
      <c r="G816" s="1465"/>
      <c r="H816" s="1465"/>
      <c r="I816" s="28"/>
      <c r="J816" s="28"/>
      <c r="K816" s="28"/>
      <c r="L816" s="28"/>
      <c r="M816" s="1465"/>
      <c r="N816" s="1465"/>
    </row>
    <row r="817" ht="39.0" customHeight="1">
      <c r="A817" s="939"/>
      <c r="B817" s="833"/>
      <c r="C817" s="833"/>
      <c r="D817" s="833"/>
      <c r="E817" s="833"/>
      <c r="F817" s="463"/>
      <c r="G817" s="1465"/>
      <c r="H817" s="1465"/>
      <c r="I817" s="30"/>
      <c r="J817" s="30"/>
      <c r="K817" s="30"/>
      <c r="L817" s="30"/>
      <c r="M817" s="1465"/>
      <c r="N817" s="1465"/>
    </row>
    <row r="818" ht="39.0" customHeight="1">
      <c r="A818" s="940"/>
      <c r="B818" s="941"/>
      <c r="C818" s="941"/>
      <c r="D818" s="941"/>
      <c r="E818" s="941"/>
      <c r="F818" s="463"/>
      <c r="G818" s="1465"/>
      <c r="H818" s="1465"/>
      <c r="I818" s="28"/>
      <c r="J818" s="28"/>
      <c r="K818" s="28"/>
      <c r="L818" s="28"/>
      <c r="M818" s="1465"/>
      <c r="N818" s="1465"/>
    </row>
    <row r="819" ht="39.0" customHeight="1">
      <c r="A819" s="939"/>
      <c r="B819" s="833"/>
      <c r="C819" s="833"/>
      <c r="D819" s="833"/>
      <c r="E819" s="833"/>
      <c r="F819" s="463"/>
      <c r="G819" s="1465"/>
      <c r="H819" s="1465"/>
      <c r="I819" s="30"/>
      <c r="J819" s="30"/>
      <c r="K819" s="30"/>
      <c r="L819" s="30"/>
      <c r="M819" s="1465"/>
      <c r="N819" s="1465"/>
    </row>
    <row r="820" ht="39.0" customHeight="1">
      <c r="A820" s="940"/>
      <c r="B820" s="941"/>
      <c r="C820" s="941"/>
      <c r="D820" s="941"/>
      <c r="E820" s="941"/>
      <c r="F820" s="463"/>
      <c r="G820" s="1465"/>
      <c r="H820" s="1465"/>
      <c r="I820" s="28"/>
      <c r="J820" s="28"/>
      <c r="K820" s="28"/>
      <c r="L820" s="28"/>
      <c r="M820" s="1465"/>
      <c r="N820" s="1465"/>
    </row>
    <row r="821" ht="39.0" customHeight="1">
      <c r="A821" s="939"/>
      <c r="B821" s="833"/>
      <c r="C821" s="833"/>
      <c r="D821" s="833"/>
      <c r="E821" s="833"/>
      <c r="F821" s="463"/>
      <c r="G821" s="1465"/>
      <c r="H821" s="1465"/>
      <c r="I821" s="30"/>
      <c r="J821" s="30"/>
      <c r="K821" s="30"/>
      <c r="L821" s="30"/>
      <c r="M821" s="1465"/>
      <c r="N821" s="1465"/>
    </row>
    <row r="822" ht="39.0" customHeight="1">
      <c r="A822" s="940"/>
      <c r="B822" s="941"/>
      <c r="C822" s="941"/>
      <c r="D822" s="941"/>
      <c r="E822" s="941"/>
      <c r="F822" s="463"/>
      <c r="G822" s="1465"/>
      <c r="H822" s="1465"/>
      <c r="I822" s="28"/>
      <c r="J822" s="28"/>
      <c r="K822" s="28"/>
      <c r="L822" s="28"/>
      <c r="M822" s="1465"/>
      <c r="N822" s="1465"/>
    </row>
    <row r="823" ht="39.0" customHeight="1">
      <c r="A823" s="939"/>
      <c r="B823" s="833"/>
      <c r="C823" s="833"/>
      <c r="D823" s="833"/>
      <c r="E823" s="833"/>
      <c r="F823" s="463"/>
      <c r="G823" s="1465"/>
      <c r="H823" s="1465"/>
      <c r="I823" s="30"/>
      <c r="J823" s="30"/>
      <c r="K823" s="30"/>
      <c r="L823" s="30"/>
      <c r="M823" s="1465"/>
      <c r="N823" s="1465"/>
    </row>
    <row r="824" ht="39.0" customHeight="1">
      <c r="A824" s="940"/>
      <c r="B824" s="941"/>
      <c r="C824" s="941"/>
      <c r="D824" s="941"/>
      <c r="E824" s="941"/>
      <c r="F824" s="463"/>
      <c r="G824" s="1465"/>
      <c r="H824" s="1465"/>
      <c r="I824" s="28"/>
      <c r="J824" s="28"/>
      <c r="K824" s="28"/>
      <c r="L824" s="28"/>
      <c r="M824" s="1465"/>
      <c r="N824" s="1465"/>
    </row>
    <row r="825" ht="39.0" customHeight="1">
      <c r="A825" s="939"/>
      <c r="B825" s="833"/>
      <c r="C825" s="833"/>
      <c r="D825" s="833"/>
      <c r="E825" s="833"/>
      <c r="F825" s="463"/>
      <c r="G825" s="1465"/>
      <c r="H825" s="1465"/>
      <c r="I825" s="30"/>
      <c r="J825" s="30"/>
      <c r="K825" s="30"/>
      <c r="L825" s="30"/>
      <c r="M825" s="1465"/>
      <c r="N825" s="1465"/>
    </row>
    <row r="826" ht="39.0" customHeight="1">
      <c r="A826" s="940"/>
      <c r="B826" s="941"/>
      <c r="C826" s="941"/>
      <c r="D826" s="941"/>
      <c r="E826" s="941"/>
      <c r="F826" s="463"/>
      <c r="G826" s="1465"/>
      <c r="H826" s="1465"/>
      <c r="I826" s="28"/>
      <c r="J826" s="28"/>
      <c r="K826" s="28"/>
      <c r="L826" s="28"/>
      <c r="M826" s="1465"/>
      <c r="N826" s="1465"/>
    </row>
    <row r="827" ht="39.0" customHeight="1">
      <c r="A827" s="939"/>
      <c r="B827" s="833"/>
      <c r="C827" s="833"/>
      <c r="D827" s="833"/>
      <c r="E827" s="833"/>
      <c r="F827" s="463"/>
      <c r="G827" s="1465"/>
      <c r="H827" s="1465"/>
      <c r="I827" s="30"/>
      <c r="J827" s="30"/>
      <c r="K827" s="30"/>
      <c r="L827" s="30"/>
      <c r="M827" s="1465"/>
      <c r="N827" s="1465"/>
    </row>
    <row r="828" ht="39.0" customHeight="1">
      <c r="A828" s="940"/>
      <c r="B828" s="941"/>
      <c r="C828" s="941"/>
      <c r="D828" s="941"/>
      <c r="E828" s="941"/>
      <c r="F828" s="463"/>
      <c r="G828" s="1465"/>
      <c r="H828" s="1465"/>
      <c r="I828" s="28"/>
      <c r="J828" s="28"/>
      <c r="K828" s="28"/>
      <c r="L828" s="28"/>
      <c r="M828" s="1465"/>
      <c r="N828" s="1465"/>
    </row>
    <row r="829" ht="39.0" customHeight="1">
      <c r="A829" s="939"/>
      <c r="B829" s="833"/>
      <c r="C829" s="833"/>
      <c r="D829" s="833"/>
      <c r="E829" s="833"/>
      <c r="F829" s="463"/>
      <c r="G829" s="1465"/>
      <c r="H829" s="1465"/>
      <c r="I829" s="30"/>
      <c r="J829" s="30"/>
      <c r="K829" s="30"/>
      <c r="L829" s="30"/>
      <c r="M829" s="1465"/>
      <c r="N829" s="1465"/>
    </row>
    <row r="830" ht="39.0" customHeight="1">
      <c r="A830" s="940"/>
      <c r="B830" s="941"/>
      <c r="C830" s="941"/>
      <c r="D830" s="941"/>
      <c r="E830" s="941"/>
      <c r="F830" s="463"/>
      <c r="G830" s="1465"/>
      <c r="H830" s="1465"/>
      <c r="I830" s="28"/>
      <c r="J830" s="28"/>
      <c r="K830" s="28"/>
      <c r="L830" s="28"/>
      <c r="M830" s="1465"/>
      <c r="N830" s="1465"/>
    </row>
    <row r="831" ht="39.0" customHeight="1">
      <c r="A831" s="939"/>
      <c r="B831" s="833"/>
      <c r="C831" s="833"/>
      <c r="D831" s="833"/>
      <c r="E831" s="833"/>
      <c r="F831" s="463"/>
      <c r="G831" s="1465"/>
      <c r="H831" s="1465"/>
      <c r="I831" s="30"/>
      <c r="J831" s="30"/>
      <c r="K831" s="30"/>
      <c r="L831" s="30"/>
      <c r="M831" s="1465"/>
      <c r="N831" s="1465"/>
    </row>
    <row r="832" ht="39.0" customHeight="1">
      <c r="A832" s="940"/>
      <c r="B832" s="941"/>
      <c r="C832" s="941"/>
      <c r="D832" s="941"/>
      <c r="E832" s="941"/>
      <c r="F832" s="463"/>
      <c r="G832" s="1465"/>
      <c r="H832" s="1465"/>
      <c r="I832" s="28"/>
      <c r="J832" s="28"/>
      <c r="K832" s="28"/>
      <c r="L832" s="28"/>
      <c r="M832" s="1465"/>
      <c r="N832" s="1465"/>
    </row>
    <row r="833" ht="39.0" customHeight="1">
      <c r="A833" s="939"/>
      <c r="B833" s="833"/>
      <c r="C833" s="833"/>
      <c r="D833" s="833"/>
      <c r="E833" s="833"/>
      <c r="F833" s="463"/>
      <c r="G833" s="1465"/>
      <c r="H833" s="1465"/>
      <c r="I833" s="30"/>
      <c r="J833" s="30"/>
      <c r="K833" s="30"/>
      <c r="L833" s="30"/>
      <c r="M833" s="1465"/>
      <c r="N833" s="1465"/>
    </row>
    <row r="834" ht="39.0" customHeight="1">
      <c r="A834" s="940"/>
      <c r="B834" s="941"/>
      <c r="C834" s="941"/>
      <c r="D834" s="941"/>
      <c r="E834" s="941"/>
      <c r="F834" s="463"/>
      <c r="G834" s="1465"/>
      <c r="H834" s="1465"/>
      <c r="I834" s="28"/>
      <c r="J834" s="28"/>
      <c r="K834" s="28"/>
      <c r="L834" s="28"/>
      <c r="M834" s="1465"/>
      <c r="N834" s="1465"/>
    </row>
    <row r="835" ht="39.0" customHeight="1">
      <c r="A835" s="939"/>
      <c r="B835" s="833"/>
      <c r="C835" s="833"/>
      <c r="D835" s="833"/>
      <c r="E835" s="833"/>
      <c r="F835" s="463"/>
      <c r="G835" s="1465"/>
      <c r="H835" s="1465"/>
      <c r="I835" s="30"/>
      <c r="J835" s="30"/>
      <c r="K835" s="30"/>
      <c r="L835" s="30"/>
      <c r="M835" s="1465"/>
      <c r="N835" s="1465"/>
    </row>
    <row r="836" ht="39.0" customHeight="1">
      <c r="A836" s="940"/>
      <c r="B836" s="941"/>
      <c r="C836" s="941"/>
      <c r="D836" s="941"/>
      <c r="E836" s="941"/>
      <c r="F836" s="463"/>
      <c r="G836" s="1465"/>
      <c r="H836" s="1465"/>
      <c r="I836" s="28"/>
      <c r="J836" s="28"/>
      <c r="K836" s="28"/>
      <c r="L836" s="28"/>
      <c r="M836" s="1465"/>
      <c r="N836" s="1465"/>
    </row>
    <row r="837" ht="39.0" customHeight="1">
      <c r="A837" s="939"/>
      <c r="B837" s="833"/>
      <c r="C837" s="833"/>
      <c r="D837" s="833"/>
      <c r="E837" s="833"/>
      <c r="F837" s="463"/>
      <c r="G837" s="1465"/>
      <c r="H837" s="1465"/>
      <c r="I837" s="30"/>
      <c r="J837" s="30"/>
      <c r="K837" s="30"/>
      <c r="L837" s="30"/>
      <c r="M837" s="1465"/>
      <c r="N837" s="1465"/>
    </row>
    <row r="838" ht="39.0" customHeight="1">
      <c r="A838" s="940"/>
      <c r="B838" s="941"/>
      <c r="C838" s="941"/>
      <c r="D838" s="941"/>
      <c r="E838" s="941"/>
      <c r="F838" s="463"/>
      <c r="G838" s="1465"/>
      <c r="H838" s="1465"/>
      <c r="I838" s="28"/>
      <c r="J838" s="28"/>
      <c r="K838" s="28"/>
      <c r="L838" s="28"/>
      <c r="M838" s="1465"/>
      <c r="N838" s="1465"/>
    </row>
    <row r="839" ht="39.0" customHeight="1">
      <c r="A839" s="939"/>
      <c r="B839" s="833"/>
      <c r="C839" s="833"/>
      <c r="D839" s="833"/>
      <c r="E839" s="833"/>
      <c r="F839" s="463"/>
      <c r="G839" s="1465"/>
      <c r="H839" s="1465"/>
      <c r="I839" s="30"/>
      <c r="J839" s="30"/>
      <c r="K839" s="30"/>
      <c r="L839" s="30"/>
      <c r="M839" s="1465"/>
      <c r="N839" s="1465"/>
    </row>
    <row r="840" ht="39.0" customHeight="1">
      <c r="A840" s="940"/>
      <c r="B840" s="941"/>
      <c r="C840" s="941"/>
      <c r="D840" s="941"/>
      <c r="E840" s="941"/>
      <c r="F840" s="463"/>
      <c r="G840" s="1465"/>
      <c r="H840" s="1465"/>
      <c r="I840" s="28"/>
      <c r="J840" s="28"/>
      <c r="K840" s="28"/>
      <c r="L840" s="28"/>
      <c r="M840" s="1465"/>
      <c r="N840" s="1465"/>
    </row>
    <row r="841" ht="39.0" customHeight="1">
      <c r="A841" s="939"/>
      <c r="B841" s="833"/>
      <c r="C841" s="833"/>
      <c r="D841" s="833"/>
      <c r="E841" s="833"/>
      <c r="F841" s="463"/>
      <c r="G841" s="1465"/>
      <c r="H841" s="1465"/>
      <c r="I841" s="30"/>
      <c r="J841" s="30"/>
      <c r="K841" s="30"/>
      <c r="L841" s="30"/>
      <c r="M841" s="1465"/>
      <c r="N841" s="1465"/>
    </row>
    <row r="842" ht="39.0" customHeight="1">
      <c r="A842" s="940"/>
      <c r="B842" s="941"/>
      <c r="C842" s="941"/>
      <c r="D842" s="941"/>
      <c r="E842" s="941"/>
      <c r="F842" s="463"/>
      <c r="G842" s="1465"/>
      <c r="H842" s="1465"/>
      <c r="I842" s="28"/>
      <c r="J842" s="28"/>
      <c r="K842" s="28"/>
      <c r="L842" s="28"/>
      <c r="M842" s="1465"/>
      <c r="N842" s="1465"/>
    </row>
    <row r="843" ht="39.0" customHeight="1">
      <c r="A843" s="939"/>
      <c r="B843" s="833"/>
      <c r="C843" s="833"/>
      <c r="D843" s="833"/>
      <c r="E843" s="833"/>
      <c r="F843" s="463"/>
      <c r="G843" s="1465"/>
      <c r="H843" s="1465"/>
      <c r="I843" s="30"/>
      <c r="J843" s="30"/>
      <c r="K843" s="30"/>
      <c r="L843" s="30"/>
      <c r="M843" s="1465"/>
      <c r="N843" s="1465"/>
    </row>
    <row r="844" ht="39.0" customHeight="1">
      <c r="A844" s="940"/>
      <c r="B844" s="941"/>
      <c r="C844" s="941"/>
      <c r="D844" s="941"/>
      <c r="E844" s="941"/>
      <c r="F844" s="463"/>
      <c r="G844" s="1465"/>
      <c r="H844" s="1465"/>
      <c r="I844" s="28"/>
      <c r="J844" s="28"/>
      <c r="K844" s="28"/>
      <c r="L844" s="28"/>
      <c r="M844" s="1465"/>
      <c r="N844" s="1465"/>
    </row>
    <row r="845" ht="39.0" customHeight="1">
      <c r="A845" s="939"/>
      <c r="B845" s="833"/>
      <c r="C845" s="833"/>
      <c r="D845" s="833"/>
      <c r="E845" s="833"/>
      <c r="F845" s="463"/>
      <c r="G845" s="1465"/>
      <c r="H845" s="1465"/>
      <c r="I845" s="30"/>
      <c r="J845" s="30"/>
      <c r="K845" s="30"/>
      <c r="L845" s="30"/>
      <c r="M845" s="1465"/>
      <c r="N845" s="1465"/>
    </row>
    <row r="846" ht="39.0" customHeight="1">
      <c r="A846" s="940"/>
      <c r="B846" s="941"/>
      <c r="C846" s="941"/>
      <c r="D846" s="941"/>
      <c r="E846" s="941"/>
      <c r="F846" s="463"/>
      <c r="G846" s="1465"/>
      <c r="H846" s="1465"/>
      <c r="I846" s="28"/>
      <c r="J846" s="28"/>
      <c r="K846" s="28"/>
      <c r="L846" s="28"/>
      <c r="M846" s="1465"/>
      <c r="N846" s="1465"/>
    </row>
    <row r="847" ht="39.0" customHeight="1">
      <c r="A847" s="939"/>
      <c r="B847" s="833"/>
      <c r="C847" s="833"/>
      <c r="D847" s="833"/>
      <c r="E847" s="833"/>
      <c r="F847" s="463"/>
      <c r="G847" s="1465"/>
      <c r="H847" s="1465"/>
      <c r="I847" s="30"/>
      <c r="J847" s="30"/>
      <c r="K847" s="30"/>
      <c r="L847" s="30"/>
      <c r="M847" s="1465"/>
      <c r="N847" s="1465"/>
    </row>
    <row r="848" ht="39.0" customHeight="1">
      <c r="A848" s="940"/>
      <c r="B848" s="941"/>
      <c r="C848" s="941"/>
      <c r="D848" s="941"/>
      <c r="E848" s="941"/>
      <c r="F848" s="463"/>
      <c r="G848" s="1465"/>
      <c r="H848" s="1465"/>
      <c r="I848" s="28"/>
      <c r="J848" s="28"/>
      <c r="K848" s="28"/>
      <c r="L848" s="28"/>
      <c r="M848" s="1465"/>
      <c r="N848" s="1465"/>
    </row>
    <row r="849" ht="39.0" customHeight="1">
      <c r="A849" s="939"/>
      <c r="B849" s="833"/>
      <c r="C849" s="833"/>
      <c r="D849" s="833"/>
      <c r="E849" s="833"/>
      <c r="F849" s="463"/>
      <c r="G849" s="1465"/>
      <c r="H849" s="1465"/>
      <c r="I849" s="30"/>
      <c r="J849" s="30"/>
      <c r="K849" s="30"/>
      <c r="L849" s="30"/>
      <c r="M849" s="1465"/>
      <c r="N849" s="1465"/>
    </row>
    <row r="850" ht="39.0" customHeight="1">
      <c r="A850" s="940"/>
      <c r="B850" s="941"/>
      <c r="C850" s="941"/>
      <c r="D850" s="941"/>
      <c r="E850" s="941"/>
      <c r="F850" s="463"/>
      <c r="G850" s="1465"/>
      <c r="H850" s="1465"/>
      <c r="I850" s="28"/>
      <c r="J850" s="28"/>
      <c r="K850" s="28"/>
      <c r="L850" s="28"/>
      <c r="M850" s="1465"/>
      <c r="N850" s="1465"/>
    </row>
    <row r="851" ht="39.0" customHeight="1">
      <c r="A851" s="939"/>
      <c r="B851" s="833"/>
      <c r="C851" s="833"/>
      <c r="D851" s="833"/>
      <c r="E851" s="833"/>
      <c r="F851" s="463"/>
      <c r="G851" s="1465"/>
      <c r="H851" s="1465"/>
      <c r="I851" s="30"/>
      <c r="J851" s="30"/>
      <c r="K851" s="30"/>
      <c r="L851" s="30"/>
      <c r="M851" s="1465"/>
      <c r="N851" s="1465"/>
    </row>
    <row r="852" ht="39.0" customHeight="1">
      <c r="A852" s="940"/>
      <c r="B852" s="941"/>
      <c r="C852" s="941"/>
      <c r="D852" s="941"/>
      <c r="E852" s="941"/>
      <c r="F852" s="463"/>
      <c r="G852" s="1465"/>
      <c r="H852" s="1465"/>
      <c r="I852" s="28"/>
      <c r="J852" s="28"/>
      <c r="K852" s="28"/>
      <c r="L852" s="28"/>
      <c r="M852" s="1465"/>
      <c r="N852" s="1465"/>
    </row>
    <row r="853" ht="39.0" customHeight="1">
      <c r="A853" s="939"/>
      <c r="B853" s="833"/>
      <c r="C853" s="833"/>
      <c r="D853" s="833"/>
      <c r="E853" s="833"/>
      <c r="F853" s="463"/>
      <c r="G853" s="1465"/>
      <c r="H853" s="1465"/>
      <c r="I853" s="30"/>
      <c r="J853" s="30"/>
      <c r="K853" s="30"/>
      <c r="L853" s="30"/>
      <c r="M853" s="1465"/>
      <c r="N853" s="1465"/>
    </row>
    <row r="854" ht="39.0" customHeight="1">
      <c r="A854" s="940"/>
      <c r="B854" s="941"/>
      <c r="C854" s="941"/>
      <c r="D854" s="941"/>
      <c r="E854" s="941"/>
      <c r="F854" s="463"/>
      <c r="G854" s="1465"/>
      <c r="H854" s="1465"/>
      <c r="I854" s="28"/>
      <c r="J854" s="28"/>
      <c r="K854" s="28"/>
      <c r="L854" s="28"/>
      <c r="M854" s="1465"/>
      <c r="N854" s="1465"/>
    </row>
    <row r="855" ht="39.0" customHeight="1">
      <c r="A855" s="939"/>
      <c r="B855" s="833"/>
      <c r="C855" s="833"/>
      <c r="D855" s="833"/>
      <c r="E855" s="833"/>
      <c r="F855" s="463"/>
      <c r="G855" s="1465"/>
      <c r="H855" s="1465"/>
      <c r="I855" s="30"/>
      <c r="J855" s="30"/>
      <c r="K855" s="30"/>
      <c r="L855" s="30"/>
      <c r="M855" s="1465"/>
      <c r="N855" s="1465"/>
    </row>
    <row r="856" ht="39.0" customHeight="1">
      <c r="A856" s="940"/>
      <c r="B856" s="941"/>
      <c r="C856" s="941"/>
      <c r="D856" s="941"/>
      <c r="E856" s="941"/>
      <c r="F856" s="463"/>
      <c r="G856" s="1465"/>
      <c r="H856" s="1465"/>
      <c r="I856" s="28"/>
      <c r="J856" s="28"/>
      <c r="K856" s="28"/>
      <c r="L856" s="28"/>
      <c r="M856" s="1465"/>
      <c r="N856" s="1465"/>
    </row>
    <row r="857" ht="39.0" customHeight="1">
      <c r="A857" s="939"/>
      <c r="B857" s="833"/>
      <c r="C857" s="833"/>
      <c r="D857" s="833"/>
      <c r="E857" s="833"/>
      <c r="F857" s="463"/>
      <c r="G857" s="1465"/>
      <c r="H857" s="1465"/>
      <c r="I857" s="30"/>
      <c r="J857" s="30"/>
      <c r="K857" s="30"/>
      <c r="L857" s="30"/>
      <c r="M857" s="1465"/>
      <c r="N857" s="1465"/>
    </row>
    <row r="858" ht="39.0" customHeight="1">
      <c r="A858" s="940"/>
      <c r="B858" s="941"/>
      <c r="C858" s="941"/>
      <c r="D858" s="941"/>
      <c r="E858" s="941"/>
      <c r="F858" s="463"/>
      <c r="G858" s="1465"/>
      <c r="H858" s="1465"/>
      <c r="I858" s="28"/>
      <c r="J858" s="28"/>
      <c r="K858" s="28"/>
      <c r="L858" s="28"/>
      <c r="M858" s="1465"/>
      <c r="N858" s="1465"/>
    </row>
    <row r="859" ht="39.0" customHeight="1">
      <c r="A859" s="939"/>
      <c r="B859" s="833"/>
      <c r="C859" s="833"/>
      <c r="D859" s="833"/>
      <c r="E859" s="833"/>
      <c r="F859" s="463"/>
      <c r="G859" s="1465"/>
      <c r="H859" s="1465"/>
      <c r="I859" s="30"/>
      <c r="J859" s="30"/>
      <c r="K859" s="30"/>
      <c r="L859" s="30"/>
      <c r="M859" s="1465"/>
      <c r="N859" s="1465"/>
    </row>
    <row r="860" ht="39.0" customHeight="1">
      <c r="A860" s="940"/>
      <c r="B860" s="941"/>
      <c r="C860" s="941"/>
      <c r="D860" s="941"/>
      <c r="E860" s="941"/>
      <c r="F860" s="463"/>
      <c r="G860" s="1465"/>
      <c r="H860" s="1465"/>
      <c r="I860" s="28"/>
      <c r="J860" s="28"/>
      <c r="K860" s="28"/>
      <c r="L860" s="28"/>
      <c r="M860" s="1465"/>
      <c r="N860" s="1465"/>
    </row>
    <row r="861" ht="39.0" customHeight="1">
      <c r="A861" s="939"/>
      <c r="B861" s="833"/>
      <c r="C861" s="833"/>
      <c r="D861" s="833"/>
      <c r="E861" s="833"/>
      <c r="F861" s="463"/>
      <c r="G861" s="1465"/>
      <c r="H861" s="1465"/>
      <c r="I861" s="30"/>
      <c r="J861" s="30"/>
      <c r="K861" s="30"/>
      <c r="L861" s="30"/>
      <c r="M861" s="1465"/>
      <c r="N861" s="1465"/>
    </row>
    <row r="862" ht="39.0" customHeight="1">
      <c r="A862" s="940"/>
      <c r="B862" s="941"/>
      <c r="C862" s="941"/>
      <c r="D862" s="941"/>
      <c r="E862" s="941"/>
      <c r="F862" s="463"/>
      <c r="G862" s="1465"/>
      <c r="H862" s="1465"/>
      <c r="I862" s="28"/>
      <c r="J862" s="28"/>
      <c r="K862" s="28"/>
      <c r="L862" s="28"/>
      <c r="M862" s="1465"/>
      <c r="N862" s="1465"/>
    </row>
    <row r="863" ht="39.0" customHeight="1">
      <c r="A863" s="939"/>
      <c r="B863" s="833"/>
      <c r="C863" s="833"/>
      <c r="D863" s="833"/>
      <c r="E863" s="833"/>
      <c r="F863" s="463"/>
      <c r="G863" s="1465"/>
      <c r="H863" s="1465"/>
      <c r="I863" s="30"/>
      <c r="J863" s="30"/>
      <c r="K863" s="30"/>
      <c r="L863" s="30"/>
      <c r="M863" s="1465"/>
      <c r="N863" s="1465"/>
    </row>
    <row r="864" ht="39.0" customHeight="1">
      <c r="A864" s="940"/>
      <c r="B864" s="941"/>
      <c r="C864" s="941"/>
      <c r="D864" s="941"/>
      <c r="E864" s="941"/>
      <c r="F864" s="463"/>
      <c r="G864" s="1465"/>
      <c r="H864" s="1465"/>
      <c r="I864" s="28"/>
      <c r="J864" s="28"/>
      <c r="K864" s="28"/>
      <c r="L864" s="28"/>
      <c r="M864" s="1465"/>
      <c r="N864" s="1465"/>
    </row>
    <row r="865" ht="39.0" customHeight="1">
      <c r="A865" s="939"/>
      <c r="B865" s="833"/>
      <c r="C865" s="833"/>
      <c r="D865" s="833"/>
      <c r="E865" s="833"/>
      <c r="F865" s="463"/>
      <c r="G865" s="1465"/>
      <c r="H865" s="1465"/>
      <c r="I865" s="30"/>
      <c r="J865" s="30"/>
      <c r="K865" s="30"/>
      <c r="L865" s="30"/>
      <c r="M865" s="1465"/>
      <c r="N865" s="1465"/>
    </row>
    <row r="866" ht="39.0" customHeight="1">
      <c r="A866" s="940"/>
      <c r="B866" s="941"/>
      <c r="C866" s="941"/>
      <c r="D866" s="941"/>
      <c r="E866" s="941"/>
      <c r="F866" s="463"/>
      <c r="G866" s="1465"/>
      <c r="H866" s="1465"/>
      <c r="I866" s="28"/>
      <c r="J866" s="28"/>
      <c r="K866" s="28"/>
      <c r="L866" s="28"/>
      <c r="M866" s="1465"/>
      <c r="N866" s="1465"/>
    </row>
    <row r="867" ht="39.0" customHeight="1">
      <c r="A867" s="939"/>
      <c r="B867" s="833"/>
      <c r="C867" s="833"/>
      <c r="D867" s="833"/>
      <c r="E867" s="833"/>
      <c r="F867" s="463"/>
      <c r="G867" s="1465"/>
      <c r="H867" s="1465"/>
      <c r="I867" s="30"/>
      <c r="J867" s="30"/>
      <c r="K867" s="30"/>
      <c r="L867" s="30"/>
      <c r="M867" s="1465"/>
      <c r="N867" s="1465"/>
    </row>
    <row r="868" ht="39.0" customHeight="1">
      <c r="A868" s="940"/>
      <c r="B868" s="941"/>
      <c r="C868" s="941"/>
      <c r="D868" s="941"/>
      <c r="E868" s="941"/>
      <c r="F868" s="463"/>
      <c r="G868" s="1465"/>
      <c r="H868" s="1465"/>
      <c r="I868" s="28"/>
      <c r="J868" s="28"/>
      <c r="K868" s="28"/>
      <c r="L868" s="28"/>
      <c r="M868" s="1465"/>
      <c r="N868" s="1465"/>
    </row>
    <row r="869" ht="39.0" customHeight="1">
      <c r="A869" s="939"/>
      <c r="B869" s="833"/>
      <c r="C869" s="833"/>
      <c r="D869" s="833"/>
      <c r="E869" s="833"/>
      <c r="F869" s="463"/>
      <c r="G869" s="1465"/>
      <c r="H869" s="1465"/>
      <c r="I869" s="30"/>
      <c r="J869" s="30"/>
      <c r="K869" s="30"/>
      <c r="L869" s="30"/>
      <c r="M869" s="1465"/>
      <c r="N869" s="1465"/>
    </row>
    <row r="870" ht="39.0" customHeight="1">
      <c r="A870" s="940"/>
      <c r="B870" s="941"/>
      <c r="C870" s="941"/>
      <c r="D870" s="941"/>
      <c r="E870" s="941"/>
      <c r="F870" s="463"/>
      <c r="G870" s="1465"/>
      <c r="H870" s="1465"/>
      <c r="I870" s="28"/>
      <c r="J870" s="28"/>
      <c r="K870" s="28"/>
      <c r="L870" s="28"/>
      <c r="M870" s="1465"/>
      <c r="N870" s="1465"/>
    </row>
    <row r="871" ht="39.0" customHeight="1">
      <c r="A871" s="939"/>
      <c r="B871" s="833"/>
      <c r="C871" s="833"/>
      <c r="D871" s="833"/>
      <c r="E871" s="833"/>
      <c r="F871" s="463"/>
      <c r="G871" s="1465"/>
      <c r="H871" s="1465"/>
      <c r="I871" s="30"/>
      <c r="J871" s="30"/>
      <c r="K871" s="30"/>
      <c r="L871" s="30"/>
      <c r="M871" s="1465"/>
      <c r="N871" s="1465"/>
    </row>
    <row r="872" ht="39.0" customHeight="1">
      <c r="A872" s="940"/>
      <c r="B872" s="941"/>
      <c r="C872" s="941"/>
      <c r="D872" s="941"/>
      <c r="E872" s="941"/>
      <c r="F872" s="463"/>
      <c r="G872" s="1465"/>
      <c r="H872" s="1465"/>
      <c r="I872" s="28"/>
      <c r="J872" s="28"/>
      <c r="K872" s="28"/>
      <c r="L872" s="28"/>
      <c r="M872" s="1465"/>
      <c r="N872" s="1465"/>
    </row>
    <row r="873" ht="39.0" customHeight="1">
      <c r="A873" s="939"/>
      <c r="B873" s="833"/>
      <c r="C873" s="833"/>
      <c r="D873" s="833"/>
      <c r="E873" s="833"/>
      <c r="F873" s="463"/>
      <c r="G873" s="1465"/>
      <c r="H873" s="1465"/>
      <c r="I873" s="30"/>
      <c r="J873" s="30"/>
      <c r="K873" s="30"/>
      <c r="L873" s="30"/>
      <c r="M873" s="1465"/>
      <c r="N873" s="1465"/>
    </row>
    <row r="874" ht="39.0" customHeight="1">
      <c r="A874" s="940"/>
      <c r="B874" s="941"/>
      <c r="C874" s="941"/>
      <c r="D874" s="941"/>
      <c r="E874" s="941"/>
      <c r="F874" s="463"/>
      <c r="G874" s="1465"/>
      <c r="H874" s="1465"/>
      <c r="I874" s="28"/>
      <c r="J874" s="28"/>
      <c r="K874" s="28"/>
      <c r="L874" s="28"/>
      <c r="M874" s="1465"/>
      <c r="N874" s="1465"/>
    </row>
    <row r="875" ht="39.0" customHeight="1">
      <c r="A875" s="939"/>
      <c r="B875" s="833"/>
      <c r="C875" s="833"/>
      <c r="D875" s="833"/>
      <c r="E875" s="833"/>
      <c r="F875" s="463"/>
      <c r="G875" s="1465"/>
      <c r="H875" s="1465"/>
      <c r="I875" s="30"/>
      <c r="J875" s="30"/>
      <c r="K875" s="30"/>
      <c r="L875" s="30"/>
      <c r="M875" s="1465"/>
      <c r="N875" s="1465"/>
    </row>
    <row r="876" ht="39.0" customHeight="1">
      <c r="A876" s="940"/>
      <c r="B876" s="941"/>
      <c r="C876" s="941"/>
      <c r="D876" s="941"/>
      <c r="E876" s="941"/>
      <c r="F876" s="463"/>
      <c r="G876" s="1465"/>
      <c r="H876" s="1465"/>
      <c r="I876" s="28"/>
      <c r="J876" s="28"/>
      <c r="K876" s="28"/>
      <c r="L876" s="28"/>
      <c r="M876" s="1465"/>
      <c r="N876" s="1465"/>
    </row>
    <row r="877" ht="39.0" customHeight="1">
      <c r="A877" s="939"/>
      <c r="B877" s="833"/>
      <c r="C877" s="833"/>
      <c r="D877" s="833"/>
      <c r="E877" s="833"/>
      <c r="F877" s="463"/>
      <c r="G877" s="1465"/>
      <c r="H877" s="1465"/>
      <c r="I877" s="30"/>
      <c r="J877" s="30"/>
      <c r="K877" s="30"/>
      <c r="L877" s="30"/>
      <c r="M877" s="1465"/>
      <c r="N877" s="1465"/>
    </row>
    <row r="878" ht="39.0" customHeight="1">
      <c r="A878" s="940"/>
      <c r="B878" s="941"/>
      <c r="C878" s="941"/>
      <c r="D878" s="941"/>
      <c r="E878" s="941"/>
      <c r="F878" s="463"/>
      <c r="G878" s="1465"/>
      <c r="H878" s="1465"/>
      <c r="I878" s="28"/>
      <c r="J878" s="28"/>
      <c r="K878" s="28"/>
      <c r="L878" s="28"/>
      <c r="M878" s="1465"/>
      <c r="N878" s="1465"/>
    </row>
    <row r="879" ht="39.0" customHeight="1">
      <c r="A879" s="939"/>
      <c r="B879" s="833"/>
      <c r="C879" s="833"/>
      <c r="D879" s="833"/>
      <c r="E879" s="833"/>
      <c r="F879" s="463"/>
      <c r="G879" s="1465"/>
      <c r="H879" s="1465"/>
      <c r="I879" s="30"/>
      <c r="J879" s="30"/>
      <c r="K879" s="30"/>
      <c r="L879" s="30"/>
      <c r="M879" s="1465"/>
      <c r="N879" s="1465"/>
    </row>
    <row r="880" ht="39.0" customHeight="1">
      <c r="A880" s="940"/>
      <c r="B880" s="941"/>
      <c r="C880" s="941"/>
      <c r="D880" s="941"/>
      <c r="E880" s="941"/>
      <c r="F880" s="463"/>
      <c r="G880" s="1465"/>
      <c r="H880" s="1465"/>
      <c r="I880" s="28"/>
      <c r="J880" s="28"/>
      <c r="K880" s="28"/>
      <c r="L880" s="28"/>
      <c r="M880" s="1465"/>
      <c r="N880" s="1465"/>
    </row>
    <row r="881" ht="39.0" customHeight="1">
      <c r="A881" s="939"/>
      <c r="B881" s="833"/>
      <c r="C881" s="833"/>
      <c r="D881" s="833"/>
      <c r="E881" s="833"/>
      <c r="F881" s="463"/>
      <c r="G881" s="1465"/>
      <c r="H881" s="1465"/>
      <c r="I881" s="30"/>
      <c r="J881" s="30"/>
      <c r="K881" s="30"/>
      <c r="L881" s="30"/>
      <c r="M881" s="1465"/>
      <c r="N881" s="1465"/>
    </row>
    <row r="882" ht="39.0" customHeight="1">
      <c r="A882" s="940"/>
      <c r="B882" s="941"/>
      <c r="C882" s="941"/>
      <c r="D882" s="941"/>
      <c r="E882" s="941"/>
      <c r="F882" s="463"/>
      <c r="G882" s="1465"/>
      <c r="H882" s="1465"/>
      <c r="I882" s="28"/>
      <c r="J882" s="28"/>
      <c r="K882" s="28"/>
      <c r="L882" s="28"/>
      <c r="M882" s="1465"/>
      <c r="N882" s="1465"/>
    </row>
    <row r="883" ht="39.0" customHeight="1">
      <c r="A883" s="939"/>
      <c r="B883" s="833"/>
      <c r="C883" s="833"/>
      <c r="D883" s="833"/>
      <c r="E883" s="833"/>
      <c r="F883" s="463"/>
      <c r="G883" s="1465"/>
      <c r="H883" s="1465"/>
      <c r="I883" s="30"/>
      <c r="J883" s="30"/>
      <c r="K883" s="30"/>
      <c r="L883" s="30"/>
      <c r="M883" s="1465"/>
      <c r="N883" s="1465"/>
    </row>
    <row r="884" ht="39.0" customHeight="1">
      <c r="A884" s="940"/>
      <c r="B884" s="941"/>
      <c r="C884" s="941"/>
      <c r="D884" s="941"/>
      <c r="E884" s="941"/>
      <c r="F884" s="463"/>
      <c r="G884" s="1465"/>
      <c r="H884" s="1465"/>
      <c r="I884" s="28"/>
      <c r="J884" s="28"/>
      <c r="K884" s="28"/>
      <c r="L884" s="28"/>
      <c r="M884" s="1465"/>
      <c r="N884" s="1465"/>
    </row>
    <row r="885" ht="39.0" customHeight="1">
      <c r="A885" s="939"/>
      <c r="B885" s="833"/>
      <c r="C885" s="833"/>
      <c r="D885" s="833"/>
      <c r="E885" s="833"/>
      <c r="F885" s="463"/>
      <c r="G885" s="1465"/>
      <c r="H885" s="1465"/>
      <c r="I885" s="30"/>
      <c r="J885" s="30"/>
      <c r="K885" s="30"/>
      <c r="L885" s="30"/>
      <c r="M885" s="1465"/>
      <c r="N885" s="1465"/>
    </row>
    <row r="886" ht="39.0" customHeight="1">
      <c r="A886" s="940"/>
      <c r="B886" s="941"/>
      <c r="C886" s="941"/>
      <c r="D886" s="941"/>
      <c r="E886" s="941"/>
      <c r="F886" s="463"/>
      <c r="G886" s="1465"/>
      <c r="H886" s="1465"/>
      <c r="I886" s="28"/>
      <c r="J886" s="28"/>
      <c r="K886" s="28"/>
      <c r="L886" s="28"/>
      <c r="M886" s="1465"/>
      <c r="N886" s="1465"/>
    </row>
    <row r="887" ht="39.0" customHeight="1">
      <c r="A887" s="939"/>
      <c r="B887" s="833"/>
      <c r="C887" s="833"/>
      <c r="D887" s="833"/>
      <c r="E887" s="833"/>
      <c r="F887" s="463"/>
      <c r="G887" s="1465"/>
      <c r="H887" s="1465"/>
      <c r="I887" s="30"/>
      <c r="J887" s="30"/>
      <c r="K887" s="30"/>
      <c r="L887" s="30"/>
      <c r="M887" s="1465"/>
      <c r="N887" s="1465"/>
    </row>
    <row r="888" ht="39.0" customHeight="1">
      <c r="A888" s="940"/>
      <c r="B888" s="941"/>
      <c r="C888" s="941"/>
      <c r="D888" s="941"/>
      <c r="E888" s="941"/>
      <c r="F888" s="463"/>
      <c r="G888" s="1465"/>
      <c r="H888" s="1465"/>
      <c r="I888" s="28"/>
      <c r="J888" s="28"/>
      <c r="K888" s="28"/>
      <c r="L888" s="28"/>
      <c r="M888" s="1465"/>
      <c r="N888" s="1465"/>
    </row>
    <row r="889" ht="39.0" customHeight="1">
      <c r="A889" s="939"/>
      <c r="B889" s="833"/>
      <c r="C889" s="833"/>
      <c r="D889" s="833"/>
      <c r="E889" s="833"/>
      <c r="F889" s="463"/>
      <c r="G889" s="1465"/>
      <c r="H889" s="1465"/>
      <c r="I889" s="30"/>
      <c r="J889" s="30"/>
      <c r="K889" s="30"/>
      <c r="L889" s="30"/>
      <c r="M889" s="1465"/>
      <c r="N889" s="1465"/>
    </row>
    <row r="890" ht="39.0" customHeight="1">
      <c r="A890" s="940"/>
      <c r="B890" s="941"/>
      <c r="C890" s="941"/>
      <c r="D890" s="941"/>
      <c r="E890" s="941"/>
      <c r="F890" s="463"/>
      <c r="G890" s="1465"/>
      <c r="H890" s="1465"/>
      <c r="I890" s="28"/>
      <c r="J890" s="28"/>
      <c r="K890" s="28"/>
      <c r="L890" s="28"/>
      <c r="M890" s="1465"/>
      <c r="N890" s="1465"/>
    </row>
    <row r="891" ht="39.0" customHeight="1">
      <c r="A891" s="939"/>
      <c r="B891" s="833"/>
      <c r="C891" s="833"/>
      <c r="D891" s="833"/>
      <c r="E891" s="833"/>
      <c r="F891" s="463"/>
      <c r="G891" s="1465"/>
      <c r="H891" s="1465"/>
      <c r="I891" s="30"/>
      <c r="J891" s="30"/>
      <c r="K891" s="30"/>
      <c r="L891" s="30"/>
      <c r="M891" s="1465"/>
      <c r="N891" s="1465"/>
    </row>
    <row r="892" ht="39.0" customHeight="1">
      <c r="A892" s="940"/>
      <c r="B892" s="941"/>
      <c r="C892" s="941"/>
      <c r="D892" s="941"/>
      <c r="E892" s="941"/>
      <c r="F892" s="463"/>
      <c r="G892" s="1465"/>
      <c r="H892" s="1465"/>
      <c r="I892" s="28"/>
      <c r="J892" s="28"/>
      <c r="K892" s="28"/>
      <c r="L892" s="28"/>
      <c r="M892" s="1465"/>
      <c r="N892" s="1465"/>
    </row>
    <row r="893" ht="39.0" customHeight="1">
      <c r="A893" s="939"/>
      <c r="B893" s="833"/>
      <c r="C893" s="833"/>
      <c r="D893" s="833"/>
      <c r="E893" s="833"/>
      <c r="F893" s="463"/>
      <c r="G893" s="1465"/>
      <c r="H893" s="1465"/>
      <c r="I893" s="30"/>
      <c r="J893" s="30"/>
      <c r="K893" s="30"/>
      <c r="L893" s="30"/>
      <c r="M893" s="1465"/>
      <c r="N893" s="1465"/>
    </row>
    <row r="894" ht="39.0" customHeight="1">
      <c r="A894" s="940"/>
      <c r="B894" s="941"/>
      <c r="C894" s="941"/>
      <c r="D894" s="941"/>
      <c r="E894" s="941"/>
      <c r="F894" s="463"/>
      <c r="G894" s="1465"/>
      <c r="H894" s="1465"/>
      <c r="I894" s="28"/>
      <c r="J894" s="28"/>
      <c r="K894" s="28"/>
      <c r="L894" s="28"/>
      <c r="M894" s="1465"/>
      <c r="N894" s="1465"/>
    </row>
    <row r="895" ht="39.0" customHeight="1">
      <c r="A895" s="939"/>
      <c r="B895" s="833"/>
      <c r="C895" s="833"/>
      <c r="D895" s="833"/>
      <c r="E895" s="833"/>
      <c r="F895" s="463"/>
      <c r="G895" s="1465"/>
      <c r="H895" s="1465"/>
      <c r="I895" s="30"/>
      <c r="J895" s="30"/>
      <c r="K895" s="30"/>
      <c r="L895" s="30"/>
      <c r="M895" s="1465"/>
      <c r="N895" s="1465"/>
    </row>
    <row r="896" ht="39.0" customHeight="1">
      <c r="A896" s="940"/>
      <c r="B896" s="941"/>
      <c r="C896" s="941"/>
      <c r="D896" s="941"/>
      <c r="E896" s="941"/>
      <c r="F896" s="463"/>
      <c r="G896" s="1465"/>
      <c r="H896" s="1465"/>
      <c r="I896" s="28"/>
      <c r="J896" s="28"/>
      <c r="K896" s="28"/>
      <c r="L896" s="28"/>
      <c r="M896" s="1465"/>
      <c r="N896" s="1465"/>
    </row>
    <row r="897" ht="39.0" customHeight="1">
      <c r="A897" s="939"/>
      <c r="B897" s="833"/>
      <c r="C897" s="833"/>
      <c r="D897" s="833"/>
      <c r="E897" s="833"/>
      <c r="F897" s="463"/>
      <c r="G897" s="1465"/>
      <c r="H897" s="1465"/>
      <c r="I897" s="30"/>
      <c r="J897" s="30"/>
      <c r="K897" s="30"/>
      <c r="L897" s="30"/>
      <c r="M897" s="1465"/>
      <c r="N897" s="1465"/>
    </row>
    <row r="898" ht="39.0" customHeight="1">
      <c r="A898" s="940"/>
      <c r="B898" s="941"/>
      <c r="C898" s="941"/>
      <c r="D898" s="941"/>
      <c r="E898" s="941"/>
      <c r="F898" s="463"/>
      <c r="G898" s="1465"/>
      <c r="H898" s="1465"/>
      <c r="I898" s="28"/>
      <c r="J898" s="28"/>
      <c r="K898" s="28"/>
      <c r="L898" s="28"/>
      <c r="M898" s="1465"/>
      <c r="N898" s="1465"/>
    </row>
    <row r="899" ht="39.0" customHeight="1">
      <c r="A899" s="939"/>
      <c r="B899" s="833"/>
      <c r="C899" s="833"/>
      <c r="D899" s="833"/>
      <c r="E899" s="833"/>
      <c r="F899" s="463"/>
      <c r="G899" s="1465"/>
      <c r="H899" s="1465"/>
      <c r="I899" s="30"/>
      <c r="J899" s="30"/>
      <c r="K899" s="30"/>
      <c r="L899" s="30"/>
      <c r="M899" s="1465"/>
      <c r="N899" s="1465"/>
    </row>
    <row r="900" ht="39.0" customHeight="1">
      <c r="A900" s="940"/>
      <c r="B900" s="941"/>
      <c r="C900" s="941"/>
      <c r="D900" s="941"/>
      <c r="E900" s="941"/>
      <c r="F900" s="463"/>
      <c r="G900" s="1465"/>
      <c r="H900" s="1465"/>
      <c r="I900" s="28"/>
      <c r="J900" s="28"/>
      <c r="K900" s="28"/>
      <c r="L900" s="28"/>
      <c r="M900" s="1465"/>
      <c r="N900" s="1465"/>
    </row>
    <row r="901" ht="39.0" customHeight="1">
      <c r="A901" s="939"/>
      <c r="B901" s="833"/>
      <c r="C901" s="833"/>
      <c r="D901" s="833"/>
      <c r="E901" s="833"/>
      <c r="F901" s="463"/>
      <c r="G901" s="1465"/>
      <c r="H901" s="1465"/>
      <c r="I901" s="30"/>
      <c r="J901" s="30"/>
      <c r="K901" s="30"/>
      <c r="L901" s="30"/>
      <c r="M901" s="1465"/>
      <c r="N901" s="1465"/>
    </row>
    <row r="902" ht="39.0" customHeight="1">
      <c r="A902" s="940"/>
      <c r="B902" s="941"/>
      <c r="C902" s="941"/>
      <c r="D902" s="941"/>
      <c r="E902" s="941"/>
      <c r="F902" s="463"/>
      <c r="G902" s="1465"/>
      <c r="H902" s="1465"/>
      <c r="I902" s="28"/>
      <c r="J902" s="28"/>
      <c r="K902" s="28"/>
      <c r="L902" s="28"/>
      <c r="M902" s="1465"/>
      <c r="N902" s="1465"/>
    </row>
    <row r="903" ht="39.0" customHeight="1">
      <c r="A903" s="939"/>
      <c r="B903" s="833"/>
      <c r="C903" s="833"/>
      <c r="D903" s="833"/>
      <c r="E903" s="833"/>
      <c r="F903" s="463"/>
      <c r="G903" s="1465"/>
      <c r="H903" s="1465"/>
      <c r="I903" s="30"/>
      <c r="J903" s="30"/>
      <c r="K903" s="30"/>
      <c r="L903" s="30"/>
      <c r="M903" s="1465"/>
      <c r="N903" s="1465"/>
    </row>
    <row r="904" ht="39.0" customHeight="1">
      <c r="A904" s="940"/>
      <c r="B904" s="941"/>
      <c r="C904" s="941"/>
      <c r="D904" s="941"/>
      <c r="E904" s="941"/>
      <c r="F904" s="463"/>
      <c r="G904" s="1465"/>
      <c r="H904" s="1465"/>
      <c r="I904" s="28"/>
      <c r="J904" s="28"/>
      <c r="K904" s="28"/>
      <c r="L904" s="28"/>
      <c r="M904" s="1465"/>
      <c r="N904" s="1465"/>
    </row>
    <row r="905" ht="39.0" customHeight="1">
      <c r="A905" s="939"/>
      <c r="B905" s="833"/>
      <c r="C905" s="833"/>
      <c r="D905" s="833"/>
      <c r="E905" s="833"/>
      <c r="F905" s="463"/>
      <c r="G905" s="1465"/>
      <c r="H905" s="1465"/>
      <c r="I905" s="30"/>
      <c r="J905" s="30"/>
      <c r="K905" s="30"/>
      <c r="L905" s="30"/>
      <c r="M905" s="1465"/>
      <c r="N905" s="1465"/>
    </row>
    <row r="906" ht="39.0" customHeight="1">
      <c r="A906" s="940"/>
      <c r="B906" s="941"/>
      <c r="C906" s="941"/>
      <c r="D906" s="941"/>
      <c r="E906" s="941"/>
      <c r="F906" s="463"/>
      <c r="G906" s="1465"/>
      <c r="H906" s="1465"/>
      <c r="I906" s="28"/>
      <c r="J906" s="28"/>
      <c r="K906" s="28"/>
      <c r="L906" s="28"/>
      <c r="M906" s="1465"/>
      <c r="N906" s="1465"/>
    </row>
    <row r="907" ht="39.0" customHeight="1">
      <c r="A907" s="939"/>
      <c r="B907" s="833"/>
      <c r="C907" s="833"/>
      <c r="D907" s="833"/>
      <c r="E907" s="833"/>
      <c r="F907" s="463"/>
      <c r="G907" s="1465"/>
      <c r="H907" s="1465"/>
      <c r="I907" s="30"/>
      <c r="J907" s="30"/>
      <c r="K907" s="30"/>
      <c r="L907" s="30"/>
      <c r="M907" s="1465"/>
      <c r="N907" s="1465"/>
    </row>
    <row r="908" ht="39.0" customHeight="1">
      <c r="A908" s="940"/>
      <c r="B908" s="941"/>
      <c r="C908" s="941"/>
      <c r="D908" s="941"/>
      <c r="E908" s="941"/>
      <c r="F908" s="463"/>
      <c r="G908" s="1465"/>
      <c r="H908" s="1465"/>
      <c r="I908" s="28"/>
      <c r="J908" s="28"/>
      <c r="K908" s="28"/>
      <c r="L908" s="28"/>
      <c r="M908" s="1465"/>
      <c r="N908" s="1465"/>
    </row>
    <row r="909" ht="39.0" customHeight="1">
      <c r="A909" s="939"/>
      <c r="B909" s="833"/>
      <c r="C909" s="833"/>
      <c r="D909" s="833"/>
      <c r="E909" s="833"/>
      <c r="F909" s="463"/>
      <c r="G909" s="1465"/>
      <c r="H909" s="1465"/>
      <c r="I909" s="30"/>
      <c r="J909" s="30"/>
      <c r="K909" s="30"/>
      <c r="L909" s="30"/>
      <c r="M909" s="1465"/>
      <c r="N909" s="1465"/>
    </row>
    <row r="910" ht="39.0" customHeight="1">
      <c r="A910" s="940"/>
      <c r="B910" s="941"/>
      <c r="C910" s="941"/>
      <c r="D910" s="941"/>
      <c r="E910" s="941"/>
      <c r="F910" s="463"/>
      <c r="G910" s="1465"/>
      <c r="H910" s="1465"/>
      <c r="I910" s="28"/>
      <c r="J910" s="28"/>
      <c r="K910" s="28"/>
      <c r="L910" s="28"/>
      <c r="M910" s="1465"/>
      <c r="N910" s="1465"/>
    </row>
    <row r="911" ht="39.0" customHeight="1">
      <c r="A911" s="939"/>
      <c r="B911" s="833"/>
      <c r="C911" s="833"/>
      <c r="D911" s="833"/>
      <c r="E911" s="833"/>
      <c r="F911" s="463"/>
      <c r="G911" s="1465"/>
      <c r="H911" s="1465"/>
      <c r="I911" s="30"/>
      <c r="J911" s="30"/>
      <c r="K911" s="30"/>
      <c r="L911" s="30"/>
      <c r="M911" s="1465"/>
      <c r="N911" s="1465"/>
    </row>
    <row r="912" ht="39.0" customHeight="1">
      <c r="A912" s="940"/>
      <c r="B912" s="941"/>
      <c r="C912" s="941"/>
      <c r="D912" s="941"/>
      <c r="E912" s="941"/>
      <c r="F912" s="463"/>
      <c r="G912" s="1465"/>
      <c r="H912" s="1465"/>
      <c r="I912" s="28"/>
      <c r="J912" s="28"/>
      <c r="K912" s="28"/>
      <c r="L912" s="28"/>
      <c r="M912" s="1465"/>
      <c r="N912" s="1465"/>
    </row>
    <row r="913" ht="39.0" customHeight="1">
      <c r="A913" s="939"/>
      <c r="B913" s="833"/>
      <c r="C913" s="833"/>
      <c r="D913" s="833"/>
      <c r="E913" s="833"/>
      <c r="F913" s="463"/>
      <c r="G913" s="1465"/>
      <c r="H913" s="1465"/>
      <c r="I913" s="30"/>
      <c r="J913" s="30"/>
      <c r="K913" s="30"/>
      <c r="L913" s="30"/>
      <c r="M913" s="1465"/>
      <c r="N913" s="1465"/>
    </row>
    <row r="914" ht="39.0" customHeight="1">
      <c r="A914" s="940"/>
      <c r="B914" s="941"/>
      <c r="C914" s="941"/>
      <c r="D914" s="941"/>
      <c r="E914" s="941"/>
      <c r="F914" s="463"/>
      <c r="G914" s="1465"/>
      <c r="H914" s="1465"/>
      <c r="I914" s="28"/>
      <c r="J914" s="28"/>
      <c r="K914" s="28"/>
      <c r="L914" s="28"/>
      <c r="M914" s="1465"/>
      <c r="N914" s="1465"/>
    </row>
    <row r="915" ht="39.0" customHeight="1">
      <c r="A915" s="939"/>
      <c r="B915" s="833"/>
      <c r="C915" s="833"/>
      <c r="D915" s="833"/>
      <c r="E915" s="833"/>
      <c r="F915" s="463"/>
      <c r="G915" s="1465"/>
      <c r="H915" s="1465"/>
      <c r="I915" s="30"/>
      <c r="J915" s="30"/>
      <c r="K915" s="30"/>
      <c r="L915" s="30"/>
      <c r="M915" s="1465"/>
      <c r="N915" s="1465"/>
    </row>
    <row r="916" ht="39.0" customHeight="1">
      <c r="A916" s="940"/>
      <c r="B916" s="941"/>
      <c r="C916" s="941"/>
      <c r="D916" s="941"/>
      <c r="E916" s="941"/>
      <c r="F916" s="463"/>
      <c r="G916" s="1465"/>
      <c r="H916" s="1465"/>
      <c r="I916" s="28"/>
      <c r="J916" s="28"/>
      <c r="K916" s="28"/>
      <c r="L916" s="28"/>
      <c r="M916" s="1465"/>
      <c r="N916" s="1465"/>
    </row>
    <row r="917" ht="39.0" customHeight="1">
      <c r="A917" s="939"/>
      <c r="B917" s="833"/>
      <c r="C917" s="833"/>
      <c r="D917" s="833"/>
      <c r="E917" s="833"/>
      <c r="F917" s="463"/>
      <c r="G917" s="1465"/>
      <c r="H917" s="1465"/>
      <c r="I917" s="30"/>
      <c r="J917" s="30"/>
      <c r="K917" s="30"/>
      <c r="L917" s="30"/>
      <c r="M917" s="1465"/>
      <c r="N917" s="1465"/>
    </row>
    <row r="918" ht="39.0" customHeight="1">
      <c r="A918" s="940"/>
      <c r="B918" s="941"/>
      <c r="C918" s="941"/>
      <c r="D918" s="941"/>
      <c r="E918" s="941"/>
      <c r="F918" s="463"/>
      <c r="G918" s="1465"/>
      <c r="H918" s="1465"/>
      <c r="I918" s="28"/>
      <c r="J918" s="28"/>
      <c r="K918" s="28"/>
      <c r="L918" s="28"/>
      <c r="M918" s="1465"/>
      <c r="N918" s="1465"/>
    </row>
    <row r="919" ht="39.0" customHeight="1">
      <c r="A919" s="939"/>
      <c r="B919" s="833"/>
      <c r="C919" s="833"/>
      <c r="D919" s="833"/>
      <c r="E919" s="833"/>
      <c r="F919" s="463"/>
      <c r="G919" s="1465"/>
      <c r="H919" s="1465"/>
      <c r="I919" s="30"/>
      <c r="J919" s="30"/>
      <c r="K919" s="30"/>
      <c r="L919" s="30"/>
      <c r="M919" s="1465"/>
      <c r="N919" s="1465"/>
    </row>
    <row r="920" ht="39.0" customHeight="1">
      <c r="A920" s="940"/>
      <c r="B920" s="941"/>
      <c r="C920" s="941"/>
      <c r="D920" s="941"/>
      <c r="E920" s="941"/>
      <c r="F920" s="463"/>
      <c r="G920" s="1465"/>
      <c r="H920" s="1465"/>
      <c r="I920" s="28"/>
      <c r="J920" s="28"/>
      <c r="K920" s="28"/>
      <c r="L920" s="28"/>
      <c r="M920" s="1465"/>
      <c r="N920" s="1465"/>
    </row>
    <row r="921" ht="39.0" customHeight="1">
      <c r="A921" s="939"/>
      <c r="B921" s="833"/>
      <c r="C921" s="833"/>
      <c r="D921" s="833"/>
      <c r="E921" s="833"/>
      <c r="F921" s="463"/>
      <c r="G921" s="1465"/>
      <c r="H921" s="1465"/>
      <c r="I921" s="30"/>
      <c r="J921" s="30"/>
      <c r="K921" s="30"/>
      <c r="L921" s="30"/>
      <c r="M921" s="1465"/>
      <c r="N921" s="1465"/>
    </row>
    <row r="922" ht="39.0" customHeight="1">
      <c r="A922" s="940"/>
      <c r="B922" s="941"/>
      <c r="C922" s="941"/>
      <c r="D922" s="941"/>
      <c r="E922" s="941"/>
      <c r="F922" s="463"/>
      <c r="G922" s="1465"/>
      <c r="H922" s="1465"/>
      <c r="I922" s="28"/>
      <c r="J922" s="28"/>
      <c r="K922" s="28"/>
      <c r="L922" s="28"/>
      <c r="M922" s="1465"/>
      <c r="N922" s="1465"/>
    </row>
    <row r="923" ht="39.0" customHeight="1">
      <c r="A923" s="939"/>
      <c r="B923" s="833"/>
      <c r="C923" s="833"/>
      <c r="D923" s="833"/>
      <c r="E923" s="833"/>
      <c r="F923" s="463"/>
      <c r="G923" s="1465"/>
      <c r="H923" s="1465"/>
      <c r="I923" s="30"/>
      <c r="J923" s="30"/>
      <c r="K923" s="30"/>
      <c r="L923" s="30"/>
      <c r="M923" s="1465"/>
      <c r="N923" s="1465"/>
    </row>
    <row r="924" ht="39.0" customHeight="1">
      <c r="A924" s="940"/>
      <c r="B924" s="941"/>
      <c r="C924" s="941"/>
      <c r="D924" s="941"/>
      <c r="E924" s="941"/>
      <c r="F924" s="463"/>
      <c r="G924" s="1465"/>
      <c r="H924" s="1465"/>
      <c r="I924" s="28"/>
      <c r="J924" s="28"/>
      <c r="K924" s="28"/>
      <c r="L924" s="28"/>
      <c r="M924" s="1465"/>
      <c r="N924" s="1465"/>
    </row>
    <row r="925" ht="39.0" customHeight="1">
      <c r="A925" s="939"/>
      <c r="B925" s="833"/>
      <c r="C925" s="833"/>
      <c r="D925" s="833"/>
      <c r="E925" s="833"/>
      <c r="F925" s="463"/>
      <c r="G925" s="1465"/>
      <c r="H925" s="1465"/>
      <c r="I925" s="30"/>
      <c r="J925" s="30"/>
      <c r="K925" s="30"/>
      <c r="L925" s="30"/>
      <c r="M925" s="1465"/>
      <c r="N925" s="1465"/>
    </row>
    <row r="926" ht="39.0" customHeight="1">
      <c r="A926" s="940"/>
      <c r="B926" s="941"/>
      <c r="C926" s="941"/>
      <c r="D926" s="941"/>
      <c r="E926" s="941"/>
      <c r="F926" s="463"/>
      <c r="G926" s="1465"/>
      <c r="H926" s="1465"/>
      <c r="I926" s="28"/>
      <c r="J926" s="28"/>
      <c r="K926" s="28"/>
      <c r="L926" s="28"/>
      <c r="M926" s="1465"/>
      <c r="N926" s="1465"/>
    </row>
    <row r="927" ht="39.0" customHeight="1">
      <c r="A927" s="939"/>
      <c r="B927" s="833"/>
      <c r="C927" s="833"/>
      <c r="D927" s="833"/>
      <c r="E927" s="833"/>
      <c r="F927" s="463"/>
      <c r="G927" s="1465"/>
      <c r="H927" s="1465"/>
      <c r="I927" s="30"/>
      <c r="J927" s="30"/>
      <c r="K927" s="30"/>
      <c r="L927" s="30"/>
      <c r="M927" s="1465"/>
      <c r="N927" s="1465"/>
    </row>
    <row r="928" ht="39.0" customHeight="1">
      <c r="A928" s="940"/>
      <c r="B928" s="941"/>
      <c r="C928" s="941"/>
      <c r="D928" s="941"/>
      <c r="E928" s="941"/>
      <c r="F928" s="463"/>
      <c r="G928" s="1465"/>
      <c r="H928" s="1465"/>
      <c r="I928" s="28"/>
      <c r="J928" s="28"/>
      <c r="K928" s="28"/>
      <c r="L928" s="28"/>
      <c r="M928" s="1465"/>
      <c r="N928" s="1465"/>
    </row>
    <row r="929" ht="39.0" customHeight="1">
      <c r="A929" s="939"/>
      <c r="B929" s="833"/>
      <c r="C929" s="833"/>
      <c r="D929" s="833"/>
      <c r="E929" s="833"/>
      <c r="F929" s="463"/>
      <c r="G929" s="1465"/>
      <c r="H929" s="1465"/>
      <c r="I929" s="30"/>
      <c r="J929" s="30"/>
      <c r="K929" s="30"/>
      <c r="L929" s="30"/>
      <c r="M929" s="1465"/>
      <c r="N929" s="1465"/>
    </row>
    <row r="930" ht="39.0" customHeight="1">
      <c r="A930" s="940"/>
      <c r="B930" s="941"/>
      <c r="C930" s="941"/>
      <c r="D930" s="941"/>
      <c r="E930" s="941"/>
      <c r="F930" s="463"/>
      <c r="G930" s="1465"/>
      <c r="H930" s="1465"/>
      <c r="I930" s="28"/>
      <c r="J930" s="28"/>
      <c r="K930" s="28"/>
      <c r="L930" s="28"/>
      <c r="M930" s="1465"/>
      <c r="N930" s="1465"/>
    </row>
    <row r="931" ht="39.0" customHeight="1">
      <c r="A931" s="939"/>
      <c r="B931" s="833"/>
      <c r="C931" s="833"/>
      <c r="D931" s="833"/>
      <c r="E931" s="833"/>
      <c r="F931" s="463"/>
      <c r="G931" s="1465"/>
      <c r="H931" s="1465"/>
      <c r="I931" s="30"/>
      <c r="J931" s="30"/>
      <c r="K931" s="30"/>
      <c r="L931" s="30"/>
      <c r="M931" s="1465"/>
      <c r="N931" s="1465"/>
    </row>
    <row r="932" ht="39.0" customHeight="1">
      <c r="A932" s="940"/>
      <c r="B932" s="941"/>
      <c r="C932" s="941"/>
      <c r="D932" s="941"/>
      <c r="E932" s="941"/>
      <c r="F932" s="463"/>
      <c r="G932" s="1465"/>
      <c r="H932" s="1465"/>
      <c r="I932" s="28"/>
      <c r="J932" s="28"/>
      <c r="K932" s="28"/>
      <c r="L932" s="28"/>
      <c r="M932" s="1465"/>
      <c r="N932" s="1465"/>
    </row>
    <row r="933" ht="39.0" customHeight="1">
      <c r="A933" s="939"/>
      <c r="B933" s="833"/>
      <c r="C933" s="833"/>
      <c r="D933" s="833"/>
      <c r="E933" s="833"/>
      <c r="F933" s="463"/>
      <c r="G933" s="1465"/>
      <c r="H933" s="1465"/>
      <c r="I933" s="30"/>
      <c r="J933" s="30"/>
      <c r="K933" s="30"/>
      <c r="L933" s="30"/>
      <c r="M933" s="1465"/>
      <c r="N933" s="1465"/>
    </row>
    <row r="934" ht="39.0" customHeight="1">
      <c r="A934" s="940"/>
      <c r="B934" s="941"/>
      <c r="C934" s="941"/>
      <c r="D934" s="941"/>
      <c r="E934" s="941"/>
      <c r="F934" s="463"/>
      <c r="G934" s="1465"/>
      <c r="H934" s="1465"/>
      <c r="I934" s="28"/>
      <c r="J934" s="28"/>
      <c r="K934" s="28"/>
      <c r="L934" s="28"/>
      <c r="M934" s="1465"/>
      <c r="N934" s="1465"/>
    </row>
    <row r="935" ht="39.0" customHeight="1">
      <c r="A935" s="939"/>
      <c r="B935" s="833"/>
      <c r="C935" s="833"/>
      <c r="D935" s="833"/>
      <c r="E935" s="833"/>
      <c r="F935" s="463"/>
      <c r="G935" s="1465"/>
      <c r="H935" s="1465"/>
      <c r="I935" s="30"/>
      <c r="J935" s="30"/>
      <c r="K935" s="30"/>
      <c r="L935" s="30"/>
      <c r="M935" s="1465"/>
      <c r="N935" s="1465"/>
    </row>
    <row r="936" ht="39.0" customHeight="1">
      <c r="A936" s="940"/>
      <c r="B936" s="941"/>
      <c r="C936" s="941"/>
      <c r="D936" s="941"/>
      <c r="E936" s="941"/>
      <c r="F936" s="463"/>
      <c r="G936" s="1465"/>
      <c r="H936" s="1465"/>
      <c r="I936" s="28"/>
      <c r="J936" s="28"/>
      <c r="K936" s="28"/>
      <c r="L936" s="28"/>
      <c r="M936" s="1465"/>
      <c r="N936" s="1465"/>
    </row>
    <row r="937" ht="39.0" customHeight="1">
      <c r="A937" s="939"/>
      <c r="B937" s="833"/>
      <c r="C937" s="833"/>
      <c r="D937" s="833"/>
      <c r="E937" s="833"/>
      <c r="F937" s="463"/>
      <c r="G937" s="1465"/>
      <c r="H937" s="1465"/>
      <c r="I937" s="30"/>
      <c r="J937" s="30"/>
      <c r="K937" s="30"/>
      <c r="L937" s="30"/>
      <c r="M937" s="1465"/>
      <c r="N937" s="1465"/>
    </row>
    <row r="938" ht="39.0" customHeight="1">
      <c r="A938" s="940"/>
      <c r="B938" s="941"/>
      <c r="C938" s="941"/>
      <c r="D938" s="941"/>
      <c r="E938" s="941"/>
      <c r="F938" s="463"/>
      <c r="G938" s="1465"/>
      <c r="H938" s="1465"/>
      <c r="I938" s="28"/>
      <c r="J938" s="28"/>
      <c r="K938" s="28"/>
      <c r="L938" s="28"/>
      <c r="M938" s="1465"/>
      <c r="N938" s="1465"/>
    </row>
    <row r="939" ht="39.0" customHeight="1">
      <c r="A939" s="939"/>
      <c r="B939" s="833"/>
      <c r="C939" s="833"/>
      <c r="D939" s="833"/>
      <c r="E939" s="833"/>
      <c r="F939" s="463"/>
      <c r="G939" s="1465"/>
      <c r="H939" s="1465"/>
      <c r="I939" s="30"/>
      <c r="J939" s="30"/>
      <c r="K939" s="30"/>
      <c r="L939" s="30"/>
      <c r="M939" s="1465"/>
      <c r="N939" s="1465"/>
    </row>
    <row r="940" ht="39.0" customHeight="1">
      <c r="A940" s="940"/>
      <c r="B940" s="941"/>
      <c r="C940" s="941"/>
      <c r="D940" s="941"/>
      <c r="E940" s="941"/>
      <c r="F940" s="463"/>
      <c r="G940" s="1465"/>
      <c r="H940" s="1465"/>
      <c r="I940" s="28"/>
      <c r="J940" s="28"/>
      <c r="K940" s="28"/>
      <c r="L940" s="28"/>
      <c r="M940" s="1465"/>
      <c r="N940" s="1465"/>
    </row>
    <row r="941" ht="39.0" customHeight="1">
      <c r="A941" s="939"/>
      <c r="B941" s="833"/>
      <c r="C941" s="833"/>
      <c r="D941" s="833"/>
      <c r="E941" s="833"/>
      <c r="F941" s="463"/>
      <c r="G941" s="1465"/>
      <c r="H941" s="1465"/>
      <c r="I941" s="30"/>
      <c r="J941" s="30"/>
      <c r="K941" s="30"/>
      <c r="L941" s="30"/>
      <c r="M941" s="1465"/>
      <c r="N941" s="1465"/>
    </row>
    <row r="942" ht="39.0" customHeight="1">
      <c r="A942" s="940"/>
      <c r="B942" s="941"/>
      <c r="C942" s="941"/>
      <c r="D942" s="941"/>
      <c r="E942" s="941"/>
      <c r="F942" s="463"/>
      <c r="G942" s="1465"/>
      <c r="H942" s="1465"/>
      <c r="I942" s="28"/>
      <c r="J942" s="28"/>
      <c r="K942" s="28"/>
      <c r="L942" s="28"/>
      <c r="M942" s="1465"/>
      <c r="N942" s="1465"/>
    </row>
    <row r="943" ht="39.0" customHeight="1">
      <c r="A943" s="939"/>
      <c r="B943" s="833"/>
      <c r="C943" s="833"/>
      <c r="D943" s="833"/>
      <c r="E943" s="833"/>
      <c r="F943" s="463"/>
      <c r="G943" s="1465"/>
      <c r="H943" s="1465"/>
      <c r="I943" s="30"/>
      <c r="J943" s="30"/>
      <c r="K943" s="30"/>
      <c r="L943" s="30"/>
      <c r="M943" s="1465"/>
      <c r="N943" s="1465"/>
    </row>
    <row r="944" ht="39.0" customHeight="1">
      <c r="A944" s="940"/>
      <c r="B944" s="941"/>
      <c r="C944" s="941"/>
      <c r="D944" s="941"/>
      <c r="E944" s="941"/>
      <c r="F944" s="463"/>
      <c r="G944" s="1465"/>
      <c r="H944" s="1465"/>
      <c r="I944" s="28"/>
      <c r="J944" s="28"/>
      <c r="K944" s="28"/>
      <c r="L944" s="28"/>
      <c r="M944" s="1465"/>
      <c r="N944" s="1465"/>
    </row>
    <row r="945" ht="39.0" customHeight="1">
      <c r="A945" s="939"/>
      <c r="B945" s="833"/>
      <c r="C945" s="833"/>
      <c r="D945" s="833"/>
      <c r="E945" s="833"/>
      <c r="F945" s="463"/>
      <c r="G945" s="1465"/>
      <c r="H945" s="1465"/>
      <c r="I945" s="30"/>
      <c r="J945" s="30"/>
      <c r="K945" s="30"/>
      <c r="L945" s="30"/>
      <c r="M945" s="1465"/>
      <c r="N945" s="1465"/>
    </row>
    <row r="946" ht="39.0" customHeight="1">
      <c r="A946" s="940"/>
      <c r="B946" s="941"/>
      <c r="C946" s="941"/>
      <c r="D946" s="941"/>
      <c r="E946" s="941"/>
      <c r="F946" s="463"/>
      <c r="G946" s="1465"/>
      <c r="H946" s="1465"/>
      <c r="I946" s="28"/>
      <c r="J946" s="28"/>
      <c r="K946" s="28"/>
      <c r="L946" s="28"/>
      <c r="M946" s="1465"/>
      <c r="N946" s="1465"/>
    </row>
    <row r="947" ht="39.0" customHeight="1">
      <c r="A947" s="939"/>
      <c r="B947" s="833"/>
      <c r="C947" s="833"/>
      <c r="D947" s="833"/>
      <c r="E947" s="833"/>
      <c r="F947" s="463"/>
      <c r="G947" s="1465"/>
      <c r="H947" s="1465"/>
      <c r="I947" s="30"/>
      <c r="J947" s="30"/>
      <c r="K947" s="30"/>
      <c r="L947" s="30"/>
      <c r="M947" s="1465"/>
      <c r="N947" s="1465"/>
    </row>
    <row r="948" ht="39.0" customHeight="1">
      <c r="A948" s="940"/>
      <c r="B948" s="941"/>
      <c r="C948" s="941"/>
      <c r="D948" s="941"/>
      <c r="E948" s="941"/>
      <c r="F948" s="463"/>
      <c r="G948" s="1465"/>
      <c r="H948" s="1465"/>
      <c r="I948" s="28"/>
      <c r="J948" s="28"/>
      <c r="K948" s="28"/>
      <c r="L948" s="28"/>
      <c r="M948" s="1465"/>
      <c r="N948" s="1465"/>
    </row>
    <row r="949" ht="39.0" customHeight="1">
      <c r="A949" s="939"/>
      <c r="B949" s="833"/>
      <c r="C949" s="833"/>
      <c r="D949" s="833"/>
      <c r="E949" s="833"/>
      <c r="F949" s="463"/>
      <c r="G949" s="1465"/>
      <c r="H949" s="1465"/>
      <c r="I949" s="30"/>
      <c r="J949" s="30"/>
      <c r="K949" s="30"/>
      <c r="L949" s="30"/>
      <c r="M949" s="1465"/>
      <c r="N949" s="1465"/>
    </row>
    <row r="950" ht="39.0" customHeight="1">
      <c r="A950" s="940"/>
      <c r="B950" s="941"/>
      <c r="C950" s="941"/>
      <c r="D950" s="941"/>
      <c r="E950" s="941"/>
      <c r="F950" s="463"/>
      <c r="G950" s="1465"/>
      <c r="H950" s="1465"/>
      <c r="I950" s="28"/>
      <c r="J950" s="28"/>
      <c r="K950" s="28"/>
      <c r="L950" s="28"/>
      <c r="M950" s="1465"/>
      <c r="N950" s="1465"/>
    </row>
    <row r="951" ht="39.0" customHeight="1">
      <c r="A951" s="939"/>
      <c r="B951" s="833"/>
      <c r="C951" s="833"/>
      <c r="D951" s="833"/>
      <c r="E951" s="833"/>
      <c r="F951" s="463"/>
      <c r="G951" s="1465"/>
      <c r="H951" s="1465"/>
      <c r="I951" s="30"/>
      <c r="J951" s="30"/>
      <c r="K951" s="30"/>
      <c r="L951" s="30"/>
      <c r="M951" s="1465"/>
      <c r="N951" s="1465"/>
    </row>
    <row r="952" ht="39.0" customHeight="1">
      <c r="A952" s="940"/>
      <c r="B952" s="941"/>
      <c r="C952" s="941"/>
      <c r="D952" s="941"/>
      <c r="E952" s="941"/>
      <c r="F952" s="463"/>
      <c r="G952" s="1465"/>
      <c r="H952" s="1465"/>
      <c r="I952" s="28"/>
      <c r="J952" s="28"/>
      <c r="K952" s="28"/>
      <c r="L952" s="28"/>
      <c r="M952" s="1465"/>
      <c r="N952" s="1465"/>
    </row>
    <row r="953" ht="39.0" customHeight="1">
      <c r="A953" s="939"/>
      <c r="B953" s="833"/>
      <c r="C953" s="833"/>
      <c r="D953" s="833"/>
      <c r="E953" s="833"/>
      <c r="F953" s="463"/>
      <c r="G953" s="1465"/>
      <c r="H953" s="1465"/>
      <c r="I953" s="30"/>
      <c r="J953" s="30"/>
      <c r="K953" s="30"/>
      <c r="L953" s="30"/>
      <c r="M953" s="1465"/>
      <c r="N953" s="1465"/>
    </row>
    <row r="954" ht="39.0" customHeight="1">
      <c r="A954" s="940"/>
      <c r="B954" s="941"/>
      <c r="C954" s="941"/>
      <c r="D954" s="941"/>
      <c r="E954" s="941"/>
      <c r="F954" s="463"/>
      <c r="G954" s="1465"/>
      <c r="H954" s="1465"/>
      <c r="I954" s="28"/>
      <c r="J954" s="28"/>
      <c r="K954" s="28"/>
      <c r="L954" s="28"/>
      <c r="M954" s="1465"/>
      <c r="N954" s="1465"/>
    </row>
    <row r="955" ht="39.0" customHeight="1">
      <c r="A955" s="939"/>
      <c r="B955" s="833"/>
      <c r="C955" s="833"/>
      <c r="D955" s="833"/>
      <c r="E955" s="833"/>
      <c r="F955" s="463"/>
      <c r="G955" s="1465"/>
      <c r="H955" s="1465"/>
      <c r="I955" s="30"/>
      <c r="J955" s="30"/>
      <c r="K955" s="30"/>
      <c r="L955" s="30"/>
      <c r="M955" s="1465"/>
      <c r="N955" s="1465"/>
    </row>
    <row r="956" ht="39.0" customHeight="1">
      <c r="A956" s="940"/>
      <c r="B956" s="941"/>
      <c r="C956" s="941"/>
      <c r="D956" s="941"/>
      <c r="E956" s="941"/>
      <c r="F956" s="463"/>
      <c r="G956" s="1465"/>
      <c r="H956" s="1465"/>
      <c r="I956" s="28"/>
      <c r="J956" s="28"/>
      <c r="K956" s="28"/>
      <c r="L956" s="28"/>
      <c r="M956" s="1465"/>
      <c r="N956" s="1465"/>
    </row>
    <row r="957" ht="39.0" customHeight="1">
      <c r="A957" s="939"/>
      <c r="B957" s="833"/>
      <c r="C957" s="833"/>
      <c r="D957" s="833"/>
      <c r="E957" s="833"/>
      <c r="F957" s="463"/>
      <c r="G957" s="1465"/>
      <c r="H957" s="1465"/>
      <c r="I957" s="30"/>
      <c r="J957" s="30"/>
      <c r="K957" s="30"/>
      <c r="L957" s="30"/>
      <c r="M957" s="1465"/>
      <c r="N957" s="1465"/>
    </row>
    <row r="958" ht="39.0" customHeight="1">
      <c r="A958" s="940"/>
      <c r="B958" s="941"/>
      <c r="C958" s="941"/>
      <c r="D958" s="941"/>
      <c r="E958" s="941"/>
      <c r="F958" s="463"/>
      <c r="G958" s="1465"/>
      <c r="H958" s="1465"/>
      <c r="I958" s="28"/>
      <c r="J958" s="28"/>
      <c r="K958" s="28"/>
      <c r="L958" s="28"/>
      <c r="M958" s="1465"/>
      <c r="N958" s="1465"/>
    </row>
    <row r="959" ht="39.0" customHeight="1">
      <c r="A959" s="939"/>
      <c r="B959" s="833"/>
      <c r="C959" s="833"/>
      <c r="D959" s="833"/>
      <c r="E959" s="833"/>
      <c r="F959" s="463"/>
      <c r="G959" s="1465"/>
      <c r="H959" s="1465"/>
      <c r="I959" s="30"/>
      <c r="J959" s="30"/>
      <c r="K959" s="30"/>
      <c r="L959" s="30"/>
      <c r="M959" s="1465"/>
      <c r="N959" s="1465"/>
    </row>
    <row r="960" ht="39.0" customHeight="1">
      <c r="A960" s="940"/>
      <c r="B960" s="941"/>
      <c r="C960" s="941"/>
      <c r="D960" s="941"/>
      <c r="E960" s="941"/>
      <c r="F960" s="463"/>
      <c r="G960" s="1465"/>
      <c r="H960" s="1465"/>
      <c r="I960" s="28"/>
      <c r="J960" s="28"/>
      <c r="K960" s="28"/>
      <c r="L960" s="28"/>
      <c r="M960" s="1465"/>
      <c r="N960" s="1465"/>
    </row>
    <row r="961" ht="39.0" customHeight="1">
      <c r="A961" s="939"/>
      <c r="B961" s="833"/>
      <c r="C961" s="833"/>
      <c r="D961" s="833"/>
      <c r="E961" s="833"/>
      <c r="F961" s="463"/>
      <c r="G961" s="1465"/>
      <c r="H961" s="1465"/>
      <c r="I961" s="30"/>
      <c r="J961" s="30"/>
      <c r="K961" s="30"/>
      <c r="L961" s="30"/>
      <c r="M961" s="1465"/>
      <c r="N961" s="1465"/>
    </row>
    <row r="962" ht="39.0" customHeight="1">
      <c r="A962" s="940"/>
      <c r="B962" s="941"/>
      <c r="C962" s="941"/>
      <c r="D962" s="941"/>
      <c r="E962" s="941"/>
      <c r="F962" s="463"/>
      <c r="G962" s="1465"/>
      <c r="H962" s="1465"/>
      <c r="I962" s="28"/>
      <c r="J962" s="28"/>
      <c r="K962" s="28"/>
      <c r="L962" s="28"/>
      <c r="M962" s="1465"/>
      <c r="N962" s="1465"/>
    </row>
    <row r="963" ht="39.0" customHeight="1">
      <c r="A963" s="939"/>
      <c r="B963" s="833"/>
      <c r="C963" s="833"/>
      <c r="D963" s="833"/>
      <c r="E963" s="833"/>
      <c r="F963" s="463"/>
      <c r="G963" s="1465"/>
      <c r="H963" s="1465"/>
      <c r="I963" s="30"/>
      <c r="J963" s="30"/>
      <c r="K963" s="30"/>
      <c r="L963" s="30"/>
      <c r="M963" s="1465"/>
      <c r="N963" s="1465"/>
    </row>
    <row r="964" ht="39.0" customHeight="1">
      <c r="A964" s="940"/>
      <c r="B964" s="941"/>
      <c r="C964" s="941"/>
      <c r="D964" s="941"/>
      <c r="E964" s="941"/>
      <c r="F964" s="463"/>
      <c r="G964" s="1465"/>
      <c r="H964" s="1465"/>
      <c r="I964" s="28"/>
      <c r="J964" s="28"/>
      <c r="K964" s="28"/>
      <c r="L964" s="28"/>
      <c r="M964" s="1465"/>
      <c r="N964" s="1465"/>
    </row>
    <row r="965" ht="39.0" customHeight="1">
      <c r="A965" s="939"/>
      <c r="B965" s="833"/>
      <c r="C965" s="833"/>
      <c r="D965" s="833"/>
      <c r="E965" s="833"/>
      <c r="F965" s="463"/>
      <c r="G965" s="1465"/>
      <c r="H965" s="1465"/>
      <c r="I965" s="30"/>
      <c r="J965" s="30"/>
      <c r="K965" s="30"/>
      <c r="L965" s="30"/>
      <c r="M965" s="1465"/>
      <c r="N965" s="1465"/>
    </row>
    <row r="966" ht="39.0" customHeight="1">
      <c r="A966" s="940"/>
      <c r="B966" s="941"/>
      <c r="C966" s="941"/>
      <c r="D966" s="941"/>
      <c r="E966" s="941"/>
      <c r="F966" s="463"/>
      <c r="G966" s="1465"/>
      <c r="H966" s="1465"/>
      <c r="I966" s="28"/>
      <c r="J966" s="28"/>
      <c r="K966" s="28"/>
      <c r="L966" s="28"/>
      <c r="M966" s="1465"/>
      <c r="N966" s="1465"/>
    </row>
    <row r="967" ht="39.0" customHeight="1">
      <c r="A967" s="939"/>
      <c r="B967" s="833"/>
      <c r="C967" s="833"/>
      <c r="D967" s="833"/>
      <c r="E967" s="833"/>
      <c r="F967" s="463"/>
      <c r="G967" s="1465"/>
      <c r="H967" s="1465"/>
      <c r="I967" s="30"/>
      <c r="J967" s="30"/>
      <c r="K967" s="30"/>
      <c r="L967" s="30"/>
      <c r="M967" s="1465"/>
      <c r="N967" s="1465"/>
    </row>
    <row r="968" ht="39.0" customHeight="1">
      <c r="A968" s="940"/>
      <c r="B968" s="941"/>
      <c r="C968" s="941"/>
      <c r="D968" s="941"/>
      <c r="E968" s="941"/>
      <c r="F968" s="463"/>
      <c r="G968" s="1465"/>
      <c r="H968" s="1465"/>
      <c r="I968" s="28"/>
      <c r="J968" s="28"/>
      <c r="K968" s="28"/>
      <c r="L968" s="28"/>
      <c r="M968" s="1465"/>
      <c r="N968" s="1465"/>
    </row>
    <row r="969" ht="39.0" customHeight="1">
      <c r="A969" s="939"/>
      <c r="B969" s="833"/>
      <c r="C969" s="833"/>
      <c r="D969" s="833"/>
      <c r="E969" s="833"/>
      <c r="F969" s="463"/>
      <c r="G969" s="1465"/>
      <c r="H969" s="1465"/>
      <c r="I969" s="30"/>
      <c r="J969" s="30"/>
      <c r="K969" s="30"/>
      <c r="L969" s="30"/>
      <c r="M969" s="1465"/>
      <c r="N969" s="1465"/>
    </row>
    <row r="970" ht="39.0" customHeight="1">
      <c r="A970" s="940"/>
      <c r="B970" s="941"/>
      <c r="C970" s="941"/>
      <c r="D970" s="941"/>
      <c r="E970" s="941"/>
      <c r="F970" s="463"/>
      <c r="G970" s="1465"/>
      <c r="H970" s="1465"/>
      <c r="I970" s="28"/>
      <c r="J970" s="28"/>
      <c r="K970" s="28"/>
      <c r="L970" s="28"/>
      <c r="M970" s="1465"/>
      <c r="N970" s="1465"/>
    </row>
    <row r="971" ht="39.0" customHeight="1">
      <c r="A971" s="939"/>
      <c r="B971" s="833"/>
      <c r="C971" s="833"/>
      <c r="D971" s="833"/>
      <c r="E971" s="833"/>
      <c r="F971" s="463"/>
      <c r="G971" s="1465"/>
      <c r="H971" s="1465"/>
      <c r="I971" s="30"/>
      <c r="J971" s="30"/>
      <c r="K971" s="30"/>
      <c r="L971" s="30"/>
      <c r="M971" s="1465"/>
      <c r="N971" s="1465"/>
    </row>
    <row r="972" ht="39.0" customHeight="1">
      <c r="A972" s="940"/>
      <c r="B972" s="941"/>
      <c r="C972" s="941"/>
      <c r="D972" s="941"/>
      <c r="E972" s="941"/>
      <c r="F972" s="463"/>
      <c r="G972" s="1465"/>
      <c r="H972" s="1465"/>
      <c r="I972" s="28"/>
      <c r="J972" s="28"/>
      <c r="K972" s="28"/>
      <c r="L972" s="28"/>
      <c r="M972" s="1465"/>
      <c r="N972" s="1465"/>
    </row>
    <row r="973" ht="39.0" customHeight="1">
      <c r="A973" s="939"/>
      <c r="B973" s="833"/>
      <c r="C973" s="833"/>
      <c r="D973" s="833"/>
      <c r="E973" s="833"/>
      <c r="F973" s="463"/>
      <c r="G973" s="1465"/>
      <c r="H973" s="1465"/>
      <c r="I973" s="30"/>
      <c r="J973" s="30"/>
      <c r="K973" s="30"/>
      <c r="L973" s="30"/>
      <c r="M973" s="1465"/>
      <c r="N973" s="1465"/>
    </row>
    <row r="974" ht="39.0" customHeight="1">
      <c r="A974" s="940"/>
      <c r="B974" s="941"/>
      <c r="C974" s="941"/>
      <c r="D974" s="941"/>
      <c r="E974" s="941"/>
      <c r="F974" s="463"/>
      <c r="G974" s="1465"/>
      <c r="H974" s="1465"/>
      <c r="I974" s="28"/>
      <c r="J974" s="28"/>
      <c r="K974" s="28"/>
      <c r="L974" s="28"/>
      <c r="M974" s="1465"/>
      <c r="N974" s="1465"/>
    </row>
    <row r="975" ht="39.0" customHeight="1">
      <c r="A975" s="939"/>
      <c r="B975" s="833"/>
      <c r="C975" s="833"/>
      <c r="D975" s="833"/>
      <c r="E975" s="833"/>
      <c r="F975" s="463"/>
      <c r="G975" s="1465"/>
      <c r="H975" s="1465"/>
      <c r="I975" s="30"/>
      <c r="J975" s="30"/>
      <c r="K975" s="30"/>
      <c r="L975" s="30"/>
      <c r="M975" s="1465"/>
      <c r="N975" s="1465"/>
    </row>
    <row r="976" ht="39.0" customHeight="1">
      <c r="A976" s="940"/>
      <c r="B976" s="941"/>
      <c r="C976" s="941"/>
      <c r="D976" s="941"/>
      <c r="E976" s="941"/>
      <c r="F976" s="463"/>
      <c r="G976" s="1465"/>
      <c r="H976" s="1465"/>
      <c r="I976" s="28"/>
      <c r="J976" s="28"/>
      <c r="K976" s="28"/>
      <c r="L976" s="28"/>
      <c r="M976" s="1465"/>
      <c r="N976" s="1465"/>
    </row>
    <row r="977" ht="39.0" customHeight="1">
      <c r="A977" s="939"/>
      <c r="B977" s="833"/>
      <c r="C977" s="833"/>
      <c r="D977" s="833"/>
      <c r="E977" s="833"/>
      <c r="F977" s="463"/>
      <c r="G977" s="1465"/>
      <c r="H977" s="1465"/>
      <c r="I977" s="30"/>
      <c r="J977" s="30"/>
      <c r="K977" s="30"/>
      <c r="L977" s="30"/>
      <c r="M977" s="1465"/>
      <c r="N977" s="1465"/>
    </row>
    <row r="978" ht="39.0" customHeight="1">
      <c r="A978" s="940"/>
      <c r="B978" s="941"/>
      <c r="C978" s="941"/>
      <c r="D978" s="941"/>
      <c r="E978" s="941"/>
      <c r="F978" s="463"/>
      <c r="G978" s="1465"/>
      <c r="H978" s="1465"/>
      <c r="I978" s="28"/>
      <c r="J978" s="28"/>
      <c r="K978" s="28"/>
      <c r="L978" s="28"/>
      <c r="M978" s="1465"/>
      <c r="N978" s="1465"/>
    </row>
    <row r="979" ht="39.0" customHeight="1">
      <c r="A979" s="939"/>
      <c r="B979" s="833"/>
      <c r="C979" s="833"/>
      <c r="D979" s="833"/>
      <c r="E979" s="833"/>
      <c r="F979" s="463"/>
      <c r="G979" s="1465"/>
      <c r="H979" s="1465"/>
      <c r="I979" s="30"/>
      <c r="J979" s="30"/>
      <c r="K979" s="30"/>
      <c r="L979" s="30"/>
      <c r="M979" s="1465"/>
      <c r="N979" s="1465"/>
    </row>
    <row r="980" ht="39.0" customHeight="1">
      <c r="A980" s="940"/>
      <c r="B980" s="941"/>
      <c r="C980" s="941"/>
      <c r="D980" s="941"/>
      <c r="E980" s="941"/>
      <c r="F980" s="463"/>
      <c r="G980" s="1465"/>
      <c r="H980" s="1465"/>
      <c r="I980" s="28"/>
      <c r="J980" s="28"/>
      <c r="K980" s="28"/>
      <c r="L980" s="28"/>
      <c r="M980" s="1465"/>
      <c r="N980" s="1465"/>
    </row>
    <row r="981" ht="39.0" customHeight="1">
      <c r="A981" s="939"/>
      <c r="B981" s="833"/>
      <c r="C981" s="833"/>
      <c r="D981" s="833"/>
      <c r="E981" s="833"/>
      <c r="F981" s="463"/>
      <c r="G981" s="1465"/>
      <c r="H981" s="1465"/>
      <c r="I981" s="30"/>
      <c r="J981" s="30"/>
      <c r="K981" s="30"/>
      <c r="L981" s="30"/>
      <c r="M981" s="1465"/>
      <c r="N981" s="1465"/>
    </row>
    <row r="982" ht="39.0" customHeight="1">
      <c r="A982" s="940"/>
      <c r="B982" s="941"/>
      <c r="C982" s="941"/>
      <c r="D982" s="941"/>
      <c r="E982" s="941"/>
      <c r="F982" s="463"/>
      <c r="G982" s="1465"/>
      <c r="H982" s="1465"/>
      <c r="I982" s="28"/>
      <c r="J982" s="28"/>
      <c r="K982" s="28"/>
      <c r="L982" s="28"/>
      <c r="M982" s="1465"/>
      <c r="N982" s="1465"/>
    </row>
    <row r="983" ht="39.0" customHeight="1">
      <c r="A983" s="939"/>
      <c r="B983" s="833"/>
      <c r="C983" s="833"/>
      <c r="D983" s="833"/>
      <c r="E983" s="833"/>
      <c r="F983" s="463"/>
      <c r="G983" s="1465"/>
      <c r="H983" s="1465"/>
      <c r="I983" s="30"/>
      <c r="J983" s="30"/>
      <c r="K983" s="30"/>
      <c r="L983" s="30"/>
      <c r="M983" s="1465"/>
      <c r="N983" s="1465"/>
    </row>
    <row r="984" ht="39.0" customHeight="1">
      <c r="A984" s="940"/>
      <c r="B984" s="941"/>
      <c r="C984" s="941"/>
      <c r="D984" s="941"/>
      <c r="E984" s="941"/>
      <c r="F984" s="463"/>
      <c r="G984" s="1465"/>
      <c r="H984" s="1465"/>
      <c r="I984" s="28"/>
      <c r="J984" s="28"/>
      <c r="K984" s="28"/>
      <c r="L984" s="28"/>
      <c r="M984" s="1465"/>
      <c r="N984" s="1465"/>
    </row>
    <row r="985" ht="39.0" customHeight="1">
      <c r="A985" s="939"/>
      <c r="B985" s="833"/>
      <c r="C985" s="833"/>
      <c r="D985" s="833"/>
      <c r="E985" s="833"/>
      <c r="F985" s="463"/>
      <c r="G985" s="1465"/>
      <c r="H985" s="1465"/>
      <c r="I985" s="30"/>
      <c r="J985" s="30"/>
      <c r="K985" s="30"/>
      <c r="L985" s="30"/>
      <c r="M985" s="1465"/>
      <c r="N985" s="1465"/>
    </row>
    <row r="986" ht="39.0" customHeight="1">
      <c r="A986" s="940"/>
      <c r="B986" s="941"/>
      <c r="C986" s="941"/>
      <c r="D986" s="941"/>
      <c r="E986" s="941"/>
      <c r="F986" s="463"/>
      <c r="G986" s="1465"/>
      <c r="H986" s="1465"/>
      <c r="I986" s="28"/>
      <c r="J986" s="28"/>
      <c r="K986" s="28"/>
      <c r="L986" s="28"/>
      <c r="M986" s="1465"/>
      <c r="N986" s="1465"/>
    </row>
    <row r="987" ht="39.0" customHeight="1">
      <c r="A987" s="939"/>
      <c r="B987" s="833"/>
      <c r="C987" s="833"/>
      <c r="D987" s="833"/>
      <c r="E987" s="833"/>
      <c r="F987" s="463"/>
      <c r="G987" s="1465"/>
      <c r="H987" s="1465"/>
      <c r="I987" s="30"/>
      <c r="J987" s="30"/>
      <c r="K987" s="30"/>
      <c r="L987" s="30"/>
      <c r="M987" s="1465"/>
      <c r="N987" s="1465"/>
    </row>
    <row r="988" ht="39.0" customHeight="1">
      <c r="A988" s="940"/>
      <c r="B988" s="941"/>
      <c r="C988" s="941"/>
      <c r="D988" s="941"/>
      <c r="E988" s="941"/>
      <c r="F988" s="463"/>
      <c r="G988" s="1465"/>
      <c r="H988" s="1465"/>
      <c r="I988" s="28"/>
      <c r="J988" s="28"/>
      <c r="K988" s="28"/>
      <c r="L988" s="28"/>
      <c r="M988" s="1465"/>
      <c r="N988" s="1465"/>
    </row>
    <row r="989" ht="39.0" customHeight="1">
      <c r="A989" s="939"/>
      <c r="B989" s="833"/>
      <c r="C989" s="833"/>
      <c r="D989" s="833"/>
      <c r="E989" s="833"/>
      <c r="F989" s="463"/>
      <c r="G989" s="1465"/>
      <c r="H989" s="1465"/>
      <c r="I989" s="30"/>
      <c r="J989" s="30"/>
      <c r="K989" s="30"/>
      <c r="L989" s="30"/>
      <c r="M989" s="1465"/>
      <c r="N989" s="1465"/>
    </row>
    <row r="990" ht="39.0" customHeight="1">
      <c r="A990" s="940"/>
      <c r="B990" s="941"/>
      <c r="C990" s="941"/>
      <c r="D990" s="941"/>
      <c r="E990" s="941"/>
      <c r="F990" s="463"/>
      <c r="G990" s="1465"/>
      <c r="H990" s="1465"/>
      <c r="I990" s="28"/>
      <c r="J990" s="28"/>
      <c r="K990" s="28"/>
      <c r="L990" s="28"/>
      <c r="M990" s="1465"/>
      <c r="N990" s="1465"/>
    </row>
    <row r="991" ht="39.0" customHeight="1">
      <c r="A991" s="939"/>
      <c r="B991" s="833"/>
      <c r="C991" s="833"/>
      <c r="D991" s="833"/>
      <c r="E991" s="833"/>
      <c r="F991" s="463"/>
      <c r="G991" s="1465"/>
      <c r="H991" s="1465"/>
      <c r="I991" s="30"/>
      <c r="J991" s="30"/>
      <c r="K991" s="30"/>
      <c r="L991" s="30"/>
      <c r="M991" s="1465"/>
      <c r="N991" s="1465"/>
    </row>
    <row r="992" ht="39.0" customHeight="1">
      <c r="A992" s="940"/>
      <c r="B992" s="941"/>
      <c r="C992" s="941"/>
      <c r="D992" s="941"/>
      <c r="E992" s="941"/>
      <c r="F992" s="463"/>
      <c r="G992" s="1465"/>
      <c r="H992" s="1465"/>
      <c r="I992" s="28"/>
      <c r="J992" s="28"/>
      <c r="K992" s="28"/>
      <c r="L992" s="28"/>
      <c r="M992" s="1465"/>
      <c r="N992" s="1465"/>
    </row>
    <row r="993" ht="39.0" customHeight="1">
      <c r="A993" s="939"/>
      <c r="B993" s="833"/>
      <c r="C993" s="833"/>
      <c r="D993" s="833"/>
      <c r="E993" s="833"/>
      <c r="F993" s="463"/>
      <c r="G993" s="1465"/>
      <c r="H993" s="1465"/>
      <c r="I993" s="30"/>
      <c r="J993" s="30"/>
      <c r="K993" s="30"/>
      <c r="L993" s="30"/>
      <c r="M993" s="1465"/>
      <c r="N993" s="1465"/>
    </row>
    <row r="994" ht="39.0" customHeight="1">
      <c r="A994" s="940"/>
      <c r="B994" s="941"/>
      <c r="C994" s="941"/>
      <c r="D994" s="941"/>
      <c r="E994" s="941"/>
      <c r="F994" s="463"/>
      <c r="G994" s="1465"/>
      <c r="H994" s="1465"/>
      <c r="I994" s="28"/>
      <c r="J994" s="28"/>
      <c r="K994" s="28"/>
      <c r="L994" s="28"/>
      <c r="M994" s="1465"/>
      <c r="N994" s="1465"/>
    </row>
    <row r="995" ht="39.0" customHeight="1">
      <c r="A995" s="939"/>
      <c r="B995" s="833"/>
      <c r="C995" s="833"/>
      <c r="D995" s="833"/>
      <c r="E995" s="833"/>
      <c r="F995" s="463"/>
      <c r="G995" s="1465"/>
      <c r="H995" s="1465"/>
      <c r="I995" s="30"/>
      <c r="J995" s="30"/>
      <c r="K995" s="30"/>
      <c r="L995" s="30"/>
      <c r="M995" s="1465"/>
      <c r="N995" s="1465"/>
    </row>
    <row r="996" ht="39.0" customHeight="1">
      <c r="A996" s="940"/>
      <c r="B996" s="941"/>
      <c r="C996" s="941"/>
      <c r="D996" s="941"/>
      <c r="E996" s="941"/>
      <c r="F996" s="463"/>
      <c r="G996" s="1465"/>
      <c r="H996" s="1465"/>
      <c r="I996" s="28"/>
      <c r="J996" s="28"/>
      <c r="K996" s="28"/>
      <c r="L996" s="28"/>
      <c r="M996" s="1465"/>
      <c r="N996" s="1465"/>
    </row>
    <row r="997" ht="39.0" customHeight="1">
      <c r="A997" s="939"/>
      <c r="B997" s="833"/>
      <c r="C997" s="833"/>
      <c r="D997" s="833"/>
      <c r="E997" s="833"/>
      <c r="F997" s="463"/>
      <c r="G997" s="1465"/>
      <c r="H997" s="1465"/>
      <c r="I997" s="30"/>
      <c r="J997" s="30"/>
      <c r="K997" s="30"/>
      <c r="L997" s="30"/>
      <c r="M997" s="1465"/>
      <c r="N997" s="1465"/>
    </row>
    <row r="998" ht="39.0" customHeight="1">
      <c r="A998" s="940"/>
      <c r="B998" s="941"/>
      <c r="C998" s="941"/>
      <c r="D998" s="941"/>
      <c r="E998" s="941"/>
      <c r="F998" s="463"/>
      <c r="G998" s="1465"/>
      <c r="H998" s="1465"/>
      <c r="I998" s="28"/>
      <c r="J998" s="28"/>
      <c r="K998" s="28"/>
      <c r="L998" s="28"/>
      <c r="M998" s="1465"/>
      <c r="N998" s="1465"/>
    </row>
    <row r="999" ht="39.0" customHeight="1">
      <c r="A999" s="939"/>
      <c r="B999" s="833"/>
      <c r="C999" s="833"/>
      <c r="D999" s="833"/>
      <c r="E999" s="833"/>
      <c r="F999" s="463"/>
      <c r="G999" s="1465"/>
      <c r="H999" s="1465"/>
      <c r="I999" s="30"/>
      <c r="J999" s="30"/>
      <c r="K999" s="30"/>
      <c r="L999" s="30"/>
      <c r="M999" s="1465"/>
      <c r="N999" s="1465"/>
    </row>
    <row r="1000" ht="39.0" customHeight="1">
      <c r="A1000" s="940"/>
      <c r="B1000" s="941"/>
      <c r="C1000" s="941"/>
      <c r="D1000" s="941"/>
      <c r="E1000" s="941"/>
      <c r="F1000" s="463"/>
      <c r="G1000" s="1465"/>
      <c r="H1000" s="1465"/>
      <c r="I1000" s="28"/>
      <c r="J1000" s="28"/>
      <c r="K1000" s="28"/>
      <c r="L1000" s="28"/>
      <c r="M1000" s="1465"/>
      <c r="N1000" s="1465"/>
    </row>
    <row r="1001" ht="39.0" customHeight="1">
      <c r="A1001" s="939"/>
      <c r="B1001" s="833"/>
      <c r="C1001" s="833"/>
      <c r="D1001" s="833"/>
      <c r="E1001" s="833"/>
      <c r="F1001" s="463"/>
      <c r="G1001" s="1465"/>
      <c r="H1001" s="1465"/>
      <c r="I1001" s="30"/>
      <c r="J1001" s="30"/>
      <c r="K1001" s="30"/>
      <c r="L1001" s="30"/>
      <c r="M1001" s="1465"/>
      <c r="N1001" s="1465"/>
    </row>
    <row r="1002" ht="39.0" customHeight="1">
      <c r="A1002" s="940"/>
      <c r="B1002" s="941"/>
      <c r="C1002" s="941"/>
      <c r="D1002" s="941"/>
      <c r="E1002" s="941"/>
      <c r="F1002" s="463"/>
      <c r="G1002" s="1465"/>
      <c r="H1002" s="1465"/>
      <c r="I1002" s="28"/>
      <c r="J1002" s="28"/>
      <c r="K1002" s="28"/>
      <c r="L1002" s="28"/>
      <c r="M1002" s="1465"/>
      <c r="N1002" s="1465"/>
    </row>
    <row r="1003" ht="39.0" customHeight="1">
      <c r="A1003" s="939"/>
      <c r="B1003" s="833"/>
      <c r="C1003" s="833"/>
      <c r="D1003" s="833"/>
      <c r="E1003" s="833"/>
      <c r="F1003" s="463"/>
      <c r="G1003" s="1465"/>
      <c r="H1003" s="1465"/>
      <c r="I1003" s="30"/>
      <c r="J1003" s="30"/>
      <c r="K1003" s="30"/>
      <c r="L1003" s="30"/>
      <c r="M1003" s="1465"/>
      <c r="N1003" s="1465"/>
    </row>
    <row r="1004" ht="39.0" customHeight="1">
      <c r="A1004" s="940"/>
      <c r="B1004" s="941"/>
      <c r="C1004" s="941"/>
      <c r="D1004" s="941"/>
      <c r="E1004" s="941"/>
      <c r="F1004" s="463"/>
      <c r="G1004" s="1465"/>
      <c r="H1004" s="1465"/>
      <c r="I1004" s="28"/>
      <c r="J1004" s="28"/>
      <c r="K1004" s="28"/>
      <c r="L1004" s="28"/>
      <c r="M1004" s="1465"/>
      <c r="N1004" s="1465"/>
    </row>
    <row r="1005" ht="39.0" customHeight="1">
      <c r="A1005" s="939"/>
      <c r="B1005" s="833"/>
      <c r="C1005" s="833"/>
      <c r="D1005" s="833"/>
      <c r="E1005" s="833"/>
      <c r="F1005" s="463"/>
      <c r="G1005" s="1465"/>
      <c r="H1005" s="1465"/>
      <c r="I1005" s="30"/>
      <c r="J1005" s="30"/>
      <c r="K1005" s="30"/>
      <c r="L1005" s="30"/>
      <c r="M1005" s="1465"/>
      <c r="N1005" s="1465"/>
    </row>
    <row r="1006" ht="39.0" customHeight="1">
      <c r="A1006" s="940"/>
      <c r="B1006" s="941"/>
      <c r="C1006" s="941"/>
      <c r="D1006" s="941"/>
      <c r="E1006" s="941"/>
      <c r="F1006" s="463"/>
      <c r="G1006" s="1465"/>
      <c r="H1006" s="1465"/>
      <c r="I1006" s="28"/>
      <c r="J1006" s="28"/>
      <c r="K1006" s="28"/>
      <c r="L1006" s="28"/>
      <c r="M1006" s="1465"/>
      <c r="N1006" s="1465"/>
    </row>
    <row r="1007" ht="39.0" customHeight="1">
      <c r="A1007" s="939"/>
      <c r="B1007" s="833"/>
      <c r="C1007" s="833"/>
      <c r="D1007" s="833"/>
      <c r="E1007" s="833"/>
      <c r="F1007" s="463"/>
      <c r="G1007" s="1465"/>
      <c r="H1007" s="1465"/>
      <c r="I1007" s="30"/>
      <c r="J1007" s="30"/>
      <c r="K1007" s="30"/>
      <c r="L1007" s="30"/>
      <c r="M1007" s="1465"/>
      <c r="N1007" s="1465"/>
    </row>
    <row r="1008" ht="39.0" customHeight="1">
      <c r="A1008" s="940"/>
      <c r="B1008" s="941"/>
      <c r="C1008" s="941"/>
      <c r="D1008" s="941"/>
      <c r="E1008" s="941"/>
      <c r="F1008" s="463"/>
      <c r="G1008" s="1465"/>
      <c r="H1008" s="1465"/>
      <c r="I1008" s="28"/>
      <c r="J1008" s="28"/>
      <c r="K1008" s="28"/>
      <c r="L1008" s="28"/>
      <c r="M1008" s="1465"/>
      <c r="N1008" s="1465"/>
    </row>
    <row r="1009" ht="39.0" customHeight="1">
      <c r="A1009" s="939"/>
      <c r="B1009" s="833"/>
      <c r="C1009" s="833"/>
      <c r="D1009" s="833"/>
      <c r="E1009" s="833"/>
      <c r="F1009" s="463"/>
      <c r="G1009" s="1465"/>
      <c r="H1009" s="1465"/>
      <c r="I1009" s="30"/>
      <c r="J1009" s="30"/>
      <c r="K1009" s="30"/>
      <c r="L1009" s="30"/>
      <c r="M1009" s="1465"/>
      <c r="N1009" s="1465"/>
    </row>
    <row r="1010" ht="39.0" customHeight="1">
      <c r="A1010" s="940"/>
      <c r="B1010" s="941"/>
      <c r="C1010" s="941"/>
      <c r="D1010" s="941"/>
      <c r="E1010" s="941"/>
      <c r="F1010" s="463"/>
      <c r="G1010" s="1465"/>
      <c r="H1010" s="1465"/>
      <c r="I1010" s="28"/>
      <c r="J1010" s="28"/>
      <c r="K1010" s="28"/>
      <c r="L1010" s="28"/>
      <c r="M1010" s="1465"/>
      <c r="N1010" s="1465"/>
    </row>
    <row r="1011" ht="39.0" customHeight="1">
      <c r="A1011" s="939"/>
      <c r="B1011" s="833"/>
      <c r="C1011" s="833"/>
      <c r="D1011" s="833"/>
      <c r="E1011" s="833"/>
      <c r="F1011" s="463"/>
      <c r="G1011" s="1465"/>
      <c r="H1011" s="1465"/>
      <c r="I1011" s="30"/>
      <c r="J1011" s="30"/>
      <c r="K1011" s="30"/>
      <c r="L1011" s="30"/>
      <c r="M1011" s="1465"/>
      <c r="N1011" s="1465"/>
    </row>
    <row r="1012" ht="39.0" customHeight="1">
      <c r="A1012" s="940"/>
      <c r="B1012" s="941"/>
      <c r="C1012" s="941"/>
      <c r="D1012" s="941"/>
      <c r="E1012" s="941"/>
      <c r="F1012" s="463"/>
      <c r="G1012" s="1465"/>
      <c r="H1012" s="1465"/>
      <c r="I1012" s="28"/>
      <c r="J1012" s="28"/>
      <c r="K1012" s="28"/>
      <c r="L1012" s="28"/>
      <c r="M1012" s="1465"/>
      <c r="N1012" s="1465"/>
    </row>
    <row r="1013" ht="39.0" customHeight="1">
      <c r="A1013" s="939"/>
      <c r="B1013" s="833"/>
      <c r="C1013" s="833"/>
      <c r="D1013" s="833"/>
      <c r="E1013" s="833"/>
      <c r="F1013" s="463"/>
      <c r="G1013" s="1465"/>
      <c r="H1013" s="1465"/>
      <c r="I1013" s="30"/>
      <c r="J1013" s="30"/>
      <c r="K1013" s="30"/>
      <c r="L1013" s="30"/>
      <c r="M1013" s="1465"/>
      <c r="N1013" s="1465"/>
    </row>
    <row r="1014" ht="39.0" customHeight="1">
      <c r="A1014" s="940"/>
      <c r="B1014" s="941"/>
      <c r="C1014" s="941"/>
      <c r="D1014" s="941"/>
      <c r="E1014" s="941"/>
      <c r="F1014" s="463"/>
      <c r="G1014" s="1465"/>
      <c r="H1014" s="1465"/>
      <c r="I1014" s="28"/>
      <c r="J1014" s="28"/>
      <c r="K1014" s="28"/>
      <c r="L1014" s="28"/>
      <c r="M1014" s="1465"/>
      <c r="N1014" s="1465"/>
    </row>
    <row r="1015" ht="39.0" customHeight="1">
      <c r="A1015" s="939"/>
      <c r="B1015" s="833"/>
      <c r="C1015" s="833"/>
      <c r="D1015" s="833"/>
      <c r="E1015" s="833"/>
      <c r="F1015" s="463"/>
      <c r="G1015" s="1465"/>
      <c r="H1015" s="1465"/>
      <c r="I1015" s="30"/>
      <c r="J1015" s="30"/>
      <c r="K1015" s="30"/>
      <c r="L1015" s="30"/>
      <c r="M1015" s="1465"/>
      <c r="N1015" s="1465"/>
    </row>
    <row r="1016" ht="39.0" customHeight="1">
      <c r="A1016" s="940"/>
      <c r="B1016" s="941"/>
      <c r="C1016" s="941"/>
      <c r="D1016" s="941"/>
      <c r="E1016" s="941"/>
      <c r="F1016" s="463"/>
      <c r="G1016" s="1465"/>
      <c r="H1016" s="1465"/>
      <c r="I1016" s="28"/>
      <c r="J1016" s="28"/>
      <c r="K1016" s="28"/>
      <c r="L1016" s="28"/>
      <c r="M1016" s="1465"/>
      <c r="N1016" s="1465"/>
    </row>
    <row r="1017" ht="39.0" customHeight="1">
      <c r="A1017" s="939"/>
      <c r="B1017" s="833"/>
      <c r="C1017" s="833"/>
      <c r="D1017" s="833"/>
      <c r="E1017" s="833"/>
      <c r="F1017" s="463"/>
      <c r="G1017" s="1465"/>
      <c r="H1017" s="1465"/>
      <c r="I1017" s="30"/>
      <c r="J1017" s="30"/>
      <c r="K1017" s="30"/>
      <c r="L1017" s="30"/>
      <c r="M1017" s="1465"/>
      <c r="N1017" s="1465"/>
    </row>
    <row r="1018" ht="39.0" customHeight="1">
      <c r="A1018" s="940"/>
      <c r="B1018" s="941"/>
      <c r="C1018" s="941"/>
      <c r="D1018" s="941"/>
      <c r="E1018" s="941"/>
      <c r="F1018" s="463"/>
      <c r="G1018" s="1465"/>
      <c r="H1018" s="1465"/>
      <c r="I1018" s="28"/>
      <c r="J1018" s="28"/>
      <c r="K1018" s="28"/>
      <c r="L1018" s="28"/>
      <c r="M1018" s="1465"/>
      <c r="N1018" s="1465"/>
    </row>
    <row r="1019" ht="39.0" customHeight="1">
      <c r="A1019" s="939"/>
      <c r="B1019" s="833"/>
      <c r="C1019" s="833"/>
      <c r="D1019" s="833"/>
      <c r="E1019" s="833"/>
      <c r="F1019" s="463"/>
      <c r="G1019" s="1465"/>
      <c r="H1019" s="1465"/>
      <c r="I1019" s="30"/>
      <c r="J1019" s="30"/>
      <c r="K1019" s="30"/>
      <c r="L1019" s="30"/>
      <c r="M1019" s="1465"/>
      <c r="N1019" s="1465"/>
    </row>
    <row r="1020" ht="39.0" customHeight="1">
      <c r="A1020" s="940"/>
      <c r="B1020" s="941"/>
      <c r="C1020" s="941"/>
      <c r="D1020" s="941"/>
      <c r="E1020" s="941"/>
      <c r="F1020" s="463"/>
      <c r="G1020" s="1465"/>
      <c r="H1020" s="1465"/>
      <c r="I1020" s="28"/>
      <c r="J1020" s="28"/>
      <c r="K1020" s="28"/>
      <c r="L1020" s="28"/>
      <c r="M1020" s="1465"/>
      <c r="N1020" s="1465"/>
    </row>
    <row r="1021" ht="39.0" customHeight="1">
      <c r="A1021" s="939"/>
      <c r="B1021" s="833"/>
      <c r="C1021" s="833"/>
      <c r="D1021" s="833"/>
      <c r="E1021" s="833"/>
      <c r="F1021" s="463"/>
      <c r="G1021" s="1465"/>
      <c r="H1021" s="1465"/>
      <c r="I1021" s="30"/>
      <c r="J1021" s="30"/>
      <c r="K1021" s="30"/>
      <c r="L1021" s="30"/>
      <c r="M1021" s="1465"/>
      <c r="N1021" s="1465"/>
    </row>
    <row r="1022" ht="39.0" customHeight="1">
      <c r="A1022" s="940"/>
      <c r="B1022" s="941"/>
      <c r="C1022" s="941"/>
      <c r="D1022" s="941"/>
      <c r="E1022" s="941"/>
      <c r="F1022" s="463"/>
      <c r="G1022" s="1465"/>
      <c r="H1022" s="1465"/>
      <c r="I1022" s="28"/>
      <c r="J1022" s="28"/>
      <c r="K1022" s="28"/>
      <c r="L1022" s="28"/>
      <c r="M1022" s="1465"/>
      <c r="N1022" s="1465"/>
    </row>
    <row r="1023" ht="39.0" customHeight="1">
      <c r="A1023" s="939"/>
      <c r="B1023" s="833"/>
      <c r="C1023" s="833"/>
      <c r="D1023" s="833"/>
      <c r="E1023" s="833"/>
      <c r="F1023" s="463"/>
      <c r="G1023" s="1465"/>
      <c r="H1023" s="1465"/>
      <c r="I1023" s="30"/>
      <c r="J1023" s="30"/>
      <c r="K1023" s="30"/>
      <c r="L1023" s="30"/>
      <c r="M1023" s="1465"/>
      <c r="N1023" s="1465"/>
    </row>
    <row r="1024" ht="39.0" customHeight="1">
      <c r="A1024" s="940"/>
      <c r="B1024" s="941"/>
      <c r="C1024" s="941"/>
      <c r="D1024" s="941"/>
      <c r="E1024" s="941"/>
      <c r="F1024" s="463"/>
      <c r="G1024" s="1465"/>
      <c r="H1024" s="1465"/>
      <c r="I1024" s="28"/>
      <c r="J1024" s="28"/>
      <c r="K1024" s="28"/>
      <c r="L1024" s="28"/>
      <c r="M1024" s="1465"/>
      <c r="N1024" s="1465"/>
    </row>
    <row r="1025" ht="39.0" customHeight="1">
      <c r="A1025" s="939"/>
      <c r="B1025" s="833"/>
      <c r="C1025" s="833"/>
      <c r="D1025" s="833"/>
      <c r="E1025" s="833"/>
      <c r="F1025" s="463"/>
      <c r="G1025" s="1465"/>
      <c r="H1025" s="1465"/>
      <c r="I1025" s="30"/>
      <c r="J1025" s="30"/>
      <c r="K1025" s="30"/>
      <c r="L1025" s="30"/>
      <c r="M1025" s="1465"/>
      <c r="N1025" s="1465"/>
    </row>
    <row r="1026" ht="39.0" customHeight="1">
      <c r="A1026" s="940"/>
      <c r="B1026" s="941"/>
      <c r="C1026" s="941"/>
      <c r="D1026" s="941"/>
      <c r="E1026" s="941"/>
      <c r="F1026" s="463"/>
      <c r="G1026" s="1465"/>
      <c r="H1026" s="1465"/>
      <c r="I1026" s="28"/>
      <c r="J1026" s="28"/>
      <c r="K1026" s="28"/>
      <c r="L1026" s="28"/>
      <c r="M1026" s="1465"/>
      <c r="N1026" s="1465"/>
    </row>
    <row r="1027" ht="39.0" customHeight="1">
      <c r="A1027" s="939"/>
      <c r="B1027" s="833"/>
      <c r="C1027" s="833"/>
      <c r="D1027" s="833"/>
      <c r="E1027" s="833"/>
      <c r="F1027" s="463"/>
      <c r="G1027" s="1465"/>
      <c r="H1027" s="1465"/>
      <c r="I1027" s="30"/>
      <c r="J1027" s="30"/>
      <c r="K1027" s="30"/>
      <c r="L1027" s="30"/>
      <c r="M1027" s="1465"/>
      <c r="N1027" s="1465"/>
    </row>
    <row r="1028" ht="39.0" customHeight="1">
      <c r="A1028" s="940"/>
      <c r="B1028" s="941"/>
      <c r="C1028" s="941"/>
      <c r="D1028" s="941"/>
      <c r="E1028" s="941"/>
      <c r="F1028" s="463"/>
      <c r="G1028" s="1465"/>
      <c r="H1028" s="1465"/>
      <c r="I1028" s="28"/>
      <c r="J1028" s="28"/>
      <c r="K1028" s="28"/>
      <c r="L1028" s="28"/>
      <c r="M1028" s="1465"/>
      <c r="N1028" s="1465"/>
    </row>
    <row r="1029" ht="39.0" customHeight="1">
      <c r="A1029" s="939"/>
      <c r="B1029" s="833"/>
      <c r="C1029" s="833"/>
      <c r="D1029" s="833"/>
      <c r="E1029" s="833"/>
      <c r="F1029" s="463"/>
      <c r="G1029" s="1465"/>
      <c r="H1029" s="1465"/>
      <c r="I1029" s="30"/>
      <c r="J1029" s="30"/>
      <c r="K1029" s="30"/>
      <c r="L1029" s="30"/>
      <c r="M1029" s="1465"/>
      <c r="N1029" s="1465"/>
    </row>
    <row r="1030" ht="39.0" customHeight="1">
      <c r="A1030" s="940"/>
      <c r="B1030" s="941"/>
      <c r="C1030" s="941"/>
      <c r="D1030" s="941"/>
      <c r="E1030" s="941"/>
      <c r="F1030" s="463"/>
      <c r="G1030" s="1465"/>
      <c r="H1030" s="1465"/>
      <c r="I1030" s="28"/>
      <c r="J1030" s="28"/>
      <c r="K1030" s="28"/>
      <c r="L1030" s="28"/>
      <c r="M1030" s="1465"/>
      <c r="N1030" s="1465"/>
    </row>
    <row r="1031" ht="39.0" customHeight="1">
      <c r="A1031" s="939"/>
      <c r="B1031" s="833"/>
      <c r="C1031" s="833"/>
      <c r="D1031" s="833"/>
      <c r="E1031" s="833"/>
      <c r="F1031" s="463"/>
      <c r="G1031" s="1465"/>
      <c r="H1031" s="1465"/>
      <c r="I1031" s="30"/>
      <c r="J1031" s="30"/>
      <c r="K1031" s="30"/>
      <c r="L1031" s="30"/>
      <c r="M1031" s="1465"/>
      <c r="N1031" s="1465"/>
    </row>
    <row r="1032" ht="39.0" customHeight="1">
      <c r="A1032" s="940"/>
      <c r="B1032" s="941"/>
      <c r="C1032" s="941"/>
      <c r="D1032" s="941"/>
      <c r="E1032" s="941"/>
      <c r="F1032" s="463"/>
      <c r="G1032" s="1465"/>
      <c r="H1032" s="1465"/>
      <c r="I1032" s="28"/>
      <c r="J1032" s="28"/>
      <c r="K1032" s="28"/>
      <c r="L1032" s="28"/>
      <c r="M1032" s="1465"/>
      <c r="N1032" s="1465"/>
    </row>
    <row r="1033" ht="39.0" customHeight="1">
      <c r="A1033" s="939"/>
      <c r="B1033" s="833"/>
      <c r="C1033" s="833"/>
      <c r="D1033" s="833"/>
      <c r="E1033" s="833"/>
      <c r="F1033" s="463"/>
      <c r="G1033" s="1465"/>
      <c r="H1033" s="1465"/>
      <c r="I1033" s="30"/>
      <c r="J1033" s="30"/>
      <c r="K1033" s="30"/>
      <c r="L1033" s="30"/>
      <c r="M1033" s="1465"/>
      <c r="N1033" s="1465"/>
    </row>
    <row r="1034" ht="39.0" customHeight="1">
      <c r="A1034" s="940"/>
      <c r="B1034" s="941"/>
      <c r="C1034" s="941"/>
      <c r="D1034" s="941"/>
      <c r="E1034" s="941"/>
      <c r="F1034" s="463"/>
      <c r="G1034" s="1465"/>
      <c r="H1034" s="1465"/>
      <c r="I1034" s="28"/>
      <c r="J1034" s="28"/>
      <c r="K1034" s="28"/>
      <c r="L1034" s="28"/>
      <c r="M1034" s="1465"/>
      <c r="N1034" s="1465"/>
    </row>
    <row r="1035" ht="39.0" customHeight="1">
      <c r="A1035" s="939"/>
      <c r="B1035" s="833"/>
      <c r="C1035" s="833"/>
      <c r="D1035" s="833"/>
      <c r="E1035" s="833"/>
      <c r="F1035" s="463"/>
      <c r="G1035" s="1465"/>
      <c r="H1035" s="1465"/>
      <c r="I1035" s="30"/>
      <c r="J1035" s="30"/>
      <c r="K1035" s="30"/>
      <c r="L1035" s="30"/>
      <c r="M1035" s="1465"/>
      <c r="N1035" s="1465"/>
    </row>
    <row r="1036" ht="39.0" customHeight="1">
      <c r="A1036" s="940"/>
      <c r="B1036" s="941"/>
      <c r="C1036" s="941"/>
      <c r="D1036" s="941"/>
      <c r="E1036" s="941"/>
      <c r="F1036" s="463"/>
      <c r="G1036" s="1465"/>
      <c r="H1036" s="1465"/>
      <c r="I1036" s="28"/>
      <c r="J1036" s="28"/>
      <c r="K1036" s="28"/>
      <c r="L1036" s="28"/>
      <c r="M1036" s="1465"/>
      <c r="N1036" s="1465"/>
    </row>
    <row r="1037" ht="39.0" customHeight="1">
      <c r="A1037" s="939"/>
      <c r="B1037" s="833"/>
      <c r="C1037" s="833"/>
      <c r="D1037" s="833"/>
      <c r="E1037" s="833"/>
      <c r="F1037" s="463"/>
      <c r="G1037" s="1465"/>
      <c r="H1037" s="1465"/>
      <c r="I1037" s="30"/>
      <c r="J1037" s="30"/>
      <c r="K1037" s="30"/>
      <c r="L1037" s="30"/>
      <c r="M1037" s="1465"/>
      <c r="N1037" s="1465"/>
    </row>
    <row r="1038" ht="39.0" customHeight="1">
      <c r="A1038" s="940"/>
      <c r="B1038" s="941"/>
      <c r="C1038" s="941"/>
      <c r="D1038" s="941"/>
      <c r="E1038" s="941"/>
      <c r="F1038" s="463"/>
      <c r="G1038" s="1465"/>
      <c r="H1038" s="1465"/>
      <c r="I1038" s="28"/>
      <c r="J1038" s="28"/>
      <c r="K1038" s="28"/>
      <c r="L1038" s="28"/>
      <c r="M1038" s="1465"/>
      <c r="N1038" s="1465"/>
    </row>
    <row r="1039" ht="39.0" customHeight="1">
      <c r="A1039" s="939"/>
      <c r="B1039" s="833"/>
      <c r="C1039" s="833"/>
      <c r="D1039" s="833"/>
      <c r="E1039" s="833"/>
      <c r="F1039" s="463"/>
      <c r="G1039" s="1465"/>
      <c r="H1039" s="1465"/>
      <c r="I1039" s="30"/>
      <c r="J1039" s="30"/>
      <c r="K1039" s="30"/>
      <c r="L1039" s="30"/>
      <c r="M1039" s="1465"/>
      <c r="N1039" s="1465"/>
    </row>
    <row r="1040" ht="39.0" customHeight="1">
      <c r="A1040" s="940"/>
      <c r="B1040" s="941"/>
      <c r="C1040" s="941"/>
      <c r="D1040" s="941"/>
      <c r="E1040" s="941"/>
      <c r="F1040" s="463"/>
      <c r="G1040" s="1465"/>
      <c r="H1040" s="1465"/>
      <c r="I1040" s="28"/>
      <c r="J1040" s="28"/>
      <c r="K1040" s="28"/>
      <c r="L1040" s="28"/>
      <c r="M1040" s="1465"/>
      <c r="N1040" s="1465"/>
    </row>
    <row r="1041" ht="39.0" customHeight="1">
      <c r="A1041" s="939"/>
      <c r="B1041" s="833"/>
      <c r="C1041" s="833"/>
      <c r="D1041" s="833"/>
      <c r="E1041" s="833"/>
      <c r="F1041" s="463"/>
      <c r="G1041" s="1465"/>
      <c r="H1041" s="1465"/>
      <c r="I1041" s="30"/>
      <c r="J1041" s="30"/>
      <c r="K1041" s="30"/>
      <c r="L1041" s="30"/>
      <c r="M1041" s="1465"/>
      <c r="N1041" s="1465"/>
    </row>
    <row r="1042" ht="39.0" customHeight="1">
      <c r="A1042" s="940"/>
      <c r="B1042" s="941"/>
      <c r="C1042" s="941"/>
      <c r="D1042" s="941"/>
      <c r="E1042" s="941"/>
      <c r="F1042" s="463"/>
      <c r="G1042" s="1465"/>
      <c r="H1042" s="1465"/>
      <c r="I1042" s="28"/>
      <c r="J1042" s="28"/>
      <c r="K1042" s="28"/>
      <c r="L1042" s="28"/>
      <c r="M1042" s="1465"/>
      <c r="N1042" s="1465"/>
    </row>
    <row r="1043" ht="39.0" customHeight="1">
      <c r="A1043" s="939"/>
      <c r="B1043" s="833"/>
      <c r="C1043" s="833"/>
      <c r="D1043" s="833"/>
      <c r="E1043" s="833"/>
      <c r="F1043" s="463"/>
      <c r="G1043" s="1465"/>
      <c r="H1043" s="1465"/>
      <c r="I1043" s="30"/>
      <c r="J1043" s="30"/>
      <c r="K1043" s="30"/>
      <c r="L1043" s="30"/>
      <c r="M1043" s="1465"/>
      <c r="N1043" s="1465"/>
    </row>
    <row r="1044" ht="39.0" customHeight="1">
      <c r="A1044" s="940"/>
      <c r="B1044" s="941"/>
      <c r="C1044" s="941"/>
      <c r="D1044" s="941"/>
      <c r="E1044" s="941"/>
      <c r="F1044" s="463"/>
      <c r="G1044" s="1465"/>
      <c r="H1044" s="1465"/>
      <c r="I1044" s="28"/>
      <c r="J1044" s="28"/>
      <c r="K1044" s="28"/>
      <c r="L1044" s="28"/>
      <c r="M1044" s="1465"/>
      <c r="N1044" s="1465"/>
    </row>
    <row r="1045" ht="39.0" customHeight="1">
      <c r="A1045" s="939"/>
      <c r="B1045" s="833"/>
      <c r="C1045" s="833"/>
      <c r="D1045" s="833"/>
      <c r="E1045" s="833"/>
      <c r="F1045" s="463"/>
      <c r="G1045" s="1465"/>
      <c r="H1045" s="1465"/>
      <c r="I1045" s="30"/>
      <c r="J1045" s="30"/>
      <c r="K1045" s="30"/>
      <c r="L1045" s="30"/>
      <c r="M1045" s="1465"/>
      <c r="N1045" s="1465"/>
    </row>
    <row r="1046" ht="39.0" customHeight="1">
      <c r="A1046" s="940"/>
      <c r="B1046" s="941"/>
      <c r="C1046" s="941"/>
      <c r="D1046" s="941"/>
      <c r="E1046" s="941"/>
      <c r="F1046" s="463"/>
      <c r="G1046" s="1465"/>
      <c r="H1046" s="1465"/>
      <c r="I1046" s="28"/>
      <c r="J1046" s="28"/>
      <c r="K1046" s="28"/>
      <c r="L1046" s="28"/>
      <c r="M1046" s="1465"/>
      <c r="N1046" s="1465"/>
    </row>
    <row r="1047" ht="39.0" customHeight="1">
      <c r="A1047" s="939"/>
      <c r="B1047" s="833"/>
      <c r="C1047" s="833"/>
      <c r="D1047" s="833"/>
      <c r="E1047" s="833"/>
      <c r="F1047" s="463"/>
      <c r="G1047" s="1465"/>
      <c r="H1047" s="1465"/>
      <c r="I1047" s="30"/>
      <c r="J1047" s="30"/>
      <c r="K1047" s="30"/>
      <c r="L1047" s="30"/>
      <c r="M1047" s="1465"/>
      <c r="N1047" s="1465"/>
    </row>
    <row r="1048" ht="39.0" customHeight="1">
      <c r="A1048" s="940"/>
      <c r="B1048" s="941"/>
      <c r="C1048" s="941"/>
      <c r="D1048" s="941"/>
      <c r="E1048" s="941"/>
      <c r="F1048" s="463"/>
      <c r="G1048" s="1465"/>
      <c r="H1048" s="1465"/>
      <c r="I1048" s="28"/>
      <c r="J1048" s="28"/>
      <c r="K1048" s="28"/>
      <c r="L1048" s="28"/>
      <c r="M1048" s="1465"/>
      <c r="N1048" s="1465"/>
    </row>
    <row r="1049" ht="39.0" customHeight="1">
      <c r="A1049" s="939"/>
      <c r="B1049" s="833"/>
      <c r="C1049" s="833"/>
      <c r="D1049" s="833"/>
      <c r="E1049" s="833"/>
      <c r="F1049" s="463"/>
      <c r="G1049" s="1465"/>
      <c r="H1049" s="1465"/>
      <c r="I1049" s="30"/>
      <c r="J1049" s="30"/>
      <c r="K1049" s="30"/>
      <c r="L1049" s="30"/>
      <c r="M1049" s="1465"/>
      <c r="N1049" s="1465"/>
    </row>
    <row r="1050" ht="39.0" customHeight="1">
      <c r="A1050" s="940"/>
      <c r="B1050" s="941"/>
      <c r="C1050" s="941"/>
      <c r="D1050" s="941"/>
      <c r="E1050" s="941"/>
      <c r="F1050" s="463"/>
      <c r="G1050" s="1465"/>
      <c r="H1050" s="1465"/>
      <c r="I1050" s="28"/>
      <c r="J1050" s="28"/>
      <c r="K1050" s="28"/>
      <c r="L1050" s="28"/>
      <c r="M1050" s="1465"/>
      <c r="N1050" s="1465"/>
    </row>
    <row r="1051" ht="39.0" customHeight="1">
      <c r="A1051" s="939"/>
      <c r="B1051" s="833"/>
      <c r="C1051" s="833"/>
      <c r="D1051" s="833"/>
      <c r="E1051" s="833"/>
      <c r="F1051" s="463"/>
      <c r="G1051" s="1465"/>
      <c r="H1051" s="1465"/>
      <c r="I1051" s="30"/>
      <c r="J1051" s="30"/>
      <c r="K1051" s="30"/>
      <c r="L1051" s="30"/>
      <c r="M1051" s="1465"/>
      <c r="N1051" s="1465"/>
    </row>
    <row r="1052" ht="39.0" customHeight="1">
      <c r="A1052" s="940"/>
      <c r="B1052" s="941"/>
      <c r="C1052" s="941"/>
      <c r="D1052" s="941"/>
      <c r="E1052" s="941"/>
      <c r="F1052" s="463"/>
      <c r="G1052" s="1465"/>
      <c r="H1052" s="1465"/>
      <c r="I1052" s="28"/>
      <c r="J1052" s="28"/>
      <c r="K1052" s="28"/>
      <c r="L1052" s="28"/>
      <c r="M1052" s="1465"/>
      <c r="N1052" s="1465"/>
    </row>
    <row r="1053" ht="39.0" customHeight="1">
      <c r="A1053" s="939"/>
      <c r="B1053" s="833"/>
      <c r="C1053" s="833"/>
      <c r="D1053" s="833"/>
      <c r="E1053" s="833"/>
      <c r="F1053" s="463"/>
      <c r="G1053" s="1465"/>
      <c r="H1053" s="1465"/>
      <c r="I1053" s="30"/>
      <c r="J1053" s="30"/>
      <c r="K1053" s="30"/>
      <c r="L1053" s="30"/>
      <c r="M1053" s="1465"/>
      <c r="N1053" s="1465"/>
    </row>
    <row r="1054" ht="39.0" customHeight="1">
      <c r="A1054" s="940"/>
      <c r="B1054" s="941"/>
      <c r="C1054" s="941"/>
      <c r="D1054" s="941"/>
      <c r="E1054" s="941"/>
      <c r="F1054" s="463"/>
      <c r="G1054" s="1465"/>
      <c r="H1054" s="1465"/>
      <c r="I1054" s="28"/>
      <c r="J1054" s="28"/>
      <c r="K1054" s="28"/>
      <c r="L1054" s="28"/>
      <c r="M1054" s="1465"/>
      <c r="N1054" s="1465"/>
    </row>
    <row r="1055" ht="39.0" customHeight="1">
      <c r="A1055" s="939"/>
      <c r="B1055" s="833"/>
      <c r="C1055" s="833"/>
      <c r="D1055" s="833"/>
      <c r="E1055" s="833"/>
      <c r="F1055" s="463"/>
      <c r="G1055" s="1465"/>
      <c r="H1055" s="1465"/>
      <c r="I1055" s="30"/>
      <c r="J1055" s="30"/>
      <c r="K1055" s="30"/>
      <c r="L1055" s="30"/>
      <c r="M1055" s="1465"/>
      <c r="N1055" s="1465"/>
    </row>
    <row r="1056" ht="39.0" customHeight="1">
      <c r="A1056" s="940"/>
      <c r="B1056" s="941"/>
      <c r="C1056" s="941"/>
      <c r="D1056" s="941"/>
      <c r="E1056" s="941"/>
      <c r="F1056" s="463"/>
      <c r="G1056" s="1465"/>
      <c r="H1056" s="1465"/>
      <c r="I1056" s="28"/>
      <c r="J1056" s="28"/>
      <c r="K1056" s="28"/>
      <c r="L1056" s="28"/>
      <c r="M1056" s="1465"/>
      <c r="N1056" s="1465"/>
    </row>
    <row r="1057" ht="39.0" customHeight="1">
      <c r="A1057" s="939"/>
      <c r="B1057" s="833"/>
      <c r="C1057" s="833"/>
      <c r="D1057" s="833"/>
      <c r="E1057" s="833"/>
      <c r="F1057" s="463"/>
      <c r="G1057" s="1465"/>
      <c r="H1057" s="1465"/>
      <c r="I1057" s="30"/>
      <c r="J1057" s="30"/>
      <c r="K1057" s="30"/>
      <c r="L1057" s="30"/>
      <c r="M1057" s="1465"/>
      <c r="N1057" s="1465"/>
    </row>
    <row r="1058" ht="39.0" customHeight="1">
      <c r="A1058" s="940"/>
      <c r="B1058" s="941"/>
      <c r="C1058" s="941"/>
      <c r="D1058" s="941"/>
      <c r="E1058" s="941"/>
      <c r="F1058" s="463"/>
      <c r="G1058" s="1465"/>
      <c r="H1058" s="1465"/>
      <c r="I1058" s="28"/>
      <c r="J1058" s="28"/>
      <c r="K1058" s="28"/>
      <c r="L1058" s="28"/>
      <c r="M1058" s="1465"/>
      <c r="N1058" s="1465"/>
    </row>
    <row r="1059" ht="39.0" customHeight="1">
      <c r="A1059" s="939"/>
      <c r="B1059" s="833"/>
      <c r="C1059" s="833"/>
      <c r="D1059" s="833"/>
      <c r="E1059" s="833"/>
      <c r="F1059" s="463"/>
      <c r="G1059" s="1465"/>
      <c r="H1059" s="1465"/>
      <c r="I1059" s="30"/>
      <c r="J1059" s="30"/>
      <c r="K1059" s="30"/>
      <c r="L1059" s="30"/>
      <c r="M1059" s="1465"/>
      <c r="N1059" s="1465"/>
    </row>
    <row r="1060" ht="39.0" customHeight="1">
      <c r="A1060" s="940"/>
      <c r="B1060" s="941"/>
      <c r="C1060" s="941"/>
      <c r="D1060" s="941"/>
      <c r="E1060" s="941"/>
      <c r="F1060" s="463"/>
      <c r="G1060" s="1465"/>
      <c r="H1060" s="1465"/>
      <c r="I1060" s="28"/>
      <c r="J1060" s="28"/>
      <c r="K1060" s="28"/>
      <c r="L1060" s="28"/>
      <c r="M1060" s="1465"/>
      <c r="N1060" s="1465"/>
    </row>
    <row r="1061" ht="39.0" customHeight="1">
      <c r="A1061" s="939"/>
      <c r="B1061" s="833"/>
      <c r="C1061" s="833"/>
      <c r="D1061" s="833"/>
      <c r="E1061" s="833"/>
      <c r="F1061" s="463"/>
      <c r="G1061" s="1465"/>
      <c r="H1061" s="1465"/>
      <c r="I1061" s="30"/>
      <c r="J1061" s="30"/>
      <c r="K1061" s="30"/>
      <c r="L1061" s="30"/>
      <c r="M1061" s="1465"/>
      <c r="N1061" s="1465"/>
    </row>
    <row r="1062" ht="39.0" customHeight="1">
      <c r="A1062" s="940"/>
      <c r="B1062" s="941"/>
      <c r="C1062" s="941"/>
      <c r="D1062" s="941"/>
      <c r="E1062" s="941"/>
      <c r="F1062" s="463"/>
      <c r="G1062" s="1465"/>
      <c r="H1062" s="1465"/>
      <c r="I1062" s="28"/>
      <c r="J1062" s="28"/>
      <c r="K1062" s="28"/>
      <c r="L1062" s="28"/>
      <c r="M1062" s="1465"/>
      <c r="N1062" s="1465"/>
    </row>
    <row r="1063" ht="39.0" customHeight="1">
      <c r="A1063" s="939"/>
      <c r="B1063" s="833"/>
      <c r="C1063" s="833"/>
      <c r="D1063" s="833"/>
      <c r="E1063" s="833"/>
      <c r="F1063" s="463"/>
      <c r="G1063" s="1465"/>
      <c r="H1063" s="1465"/>
      <c r="I1063" s="30"/>
      <c r="J1063" s="30"/>
      <c r="K1063" s="30"/>
      <c r="L1063" s="30"/>
      <c r="M1063" s="1465"/>
      <c r="N1063" s="1465"/>
    </row>
    <row r="1064" ht="39.0" customHeight="1">
      <c r="A1064" s="940"/>
      <c r="B1064" s="941"/>
      <c r="C1064" s="941"/>
      <c r="D1064" s="941"/>
      <c r="E1064" s="941"/>
      <c r="F1064" s="463"/>
      <c r="G1064" s="1465"/>
      <c r="H1064" s="1465"/>
      <c r="I1064" s="28"/>
      <c r="J1064" s="28"/>
      <c r="K1064" s="28"/>
      <c r="L1064" s="28"/>
      <c r="M1064" s="1465"/>
      <c r="N1064" s="1465"/>
    </row>
    <row r="1065" ht="39.0" customHeight="1">
      <c r="A1065" s="939"/>
      <c r="B1065" s="833"/>
      <c r="C1065" s="833"/>
      <c r="D1065" s="833"/>
      <c r="E1065" s="833"/>
      <c r="F1065" s="463"/>
      <c r="G1065" s="1465"/>
      <c r="H1065" s="1465"/>
      <c r="I1065" s="30"/>
      <c r="J1065" s="30"/>
      <c r="K1065" s="30"/>
      <c r="L1065" s="30"/>
      <c r="M1065" s="1465"/>
      <c r="N1065" s="1465"/>
    </row>
    <row r="1066" ht="39.0" customHeight="1">
      <c r="A1066" s="940"/>
      <c r="B1066" s="941"/>
      <c r="C1066" s="941"/>
      <c r="D1066" s="941"/>
      <c r="E1066" s="941"/>
      <c r="F1066" s="463"/>
      <c r="G1066" s="1465"/>
      <c r="H1066" s="1465"/>
      <c r="I1066" s="28"/>
      <c r="J1066" s="28"/>
      <c r="K1066" s="28"/>
      <c r="L1066" s="28"/>
      <c r="M1066" s="1465"/>
      <c r="N1066" s="1465"/>
    </row>
    <row r="1067" ht="39.0" customHeight="1">
      <c r="A1067" s="939"/>
      <c r="B1067" s="833"/>
      <c r="C1067" s="833"/>
      <c r="D1067" s="833"/>
      <c r="E1067" s="833"/>
      <c r="F1067" s="463"/>
      <c r="G1067" s="1465"/>
      <c r="H1067" s="1465"/>
      <c r="I1067" s="30"/>
      <c r="J1067" s="30"/>
      <c r="K1067" s="30"/>
      <c r="L1067" s="30"/>
      <c r="M1067" s="1465"/>
      <c r="N1067" s="1465"/>
    </row>
    <row r="1068" ht="39.0" customHeight="1">
      <c r="A1068" s="940"/>
      <c r="B1068" s="941"/>
      <c r="C1068" s="941"/>
      <c r="D1068" s="941"/>
      <c r="E1068" s="941"/>
      <c r="F1068" s="463"/>
      <c r="G1068" s="1465"/>
      <c r="H1068" s="1465"/>
      <c r="I1068" s="28"/>
      <c r="J1068" s="28"/>
      <c r="K1068" s="28"/>
      <c r="L1068" s="28"/>
      <c r="M1068" s="1465"/>
      <c r="N1068" s="1465"/>
    </row>
    <row r="1069" ht="39.0" customHeight="1">
      <c r="A1069" s="939"/>
      <c r="B1069" s="833"/>
      <c r="C1069" s="833"/>
      <c r="D1069" s="833"/>
      <c r="E1069" s="833"/>
      <c r="F1069" s="463"/>
      <c r="G1069" s="1465"/>
      <c r="H1069" s="1465"/>
      <c r="I1069" s="30"/>
      <c r="J1069" s="30"/>
      <c r="K1069" s="30"/>
      <c r="L1069" s="30"/>
      <c r="M1069" s="1465"/>
      <c r="N1069" s="1465"/>
    </row>
    <row r="1070" ht="39.0" customHeight="1">
      <c r="A1070" s="940"/>
      <c r="B1070" s="941"/>
      <c r="C1070" s="941"/>
      <c r="D1070" s="941"/>
      <c r="E1070" s="941"/>
      <c r="F1070" s="463"/>
      <c r="G1070" s="1465"/>
      <c r="H1070" s="1465"/>
      <c r="I1070" s="28"/>
      <c r="J1070" s="28"/>
      <c r="K1070" s="28"/>
      <c r="L1070" s="28"/>
      <c r="M1070" s="1465"/>
      <c r="N1070" s="1465"/>
    </row>
    <row r="1071" ht="39.0" customHeight="1">
      <c r="A1071" s="939"/>
      <c r="B1071" s="833"/>
      <c r="C1071" s="833"/>
      <c r="D1071" s="833"/>
      <c r="E1071" s="833"/>
      <c r="F1071" s="463"/>
      <c r="G1071" s="1465"/>
      <c r="H1071" s="1465"/>
      <c r="I1071" s="30"/>
      <c r="J1071" s="30"/>
      <c r="K1071" s="30"/>
      <c r="L1071" s="30"/>
      <c r="M1071" s="1465"/>
      <c r="N1071" s="1465"/>
    </row>
    <row r="1072" ht="39.0" customHeight="1">
      <c r="A1072" s="940"/>
      <c r="B1072" s="941"/>
      <c r="C1072" s="941"/>
      <c r="D1072" s="941"/>
      <c r="E1072" s="941"/>
      <c r="F1072" s="463"/>
      <c r="G1072" s="1465"/>
      <c r="H1072" s="1465"/>
      <c r="I1072" s="28"/>
      <c r="J1072" s="28"/>
      <c r="K1072" s="28"/>
      <c r="L1072" s="28"/>
      <c r="M1072" s="1465"/>
      <c r="N1072" s="1465"/>
    </row>
    <row r="1073" ht="39.0" customHeight="1">
      <c r="A1073" s="939"/>
      <c r="B1073" s="833"/>
      <c r="C1073" s="833"/>
      <c r="D1073" s="833"/>
      <c r="E1073" s="833"/>
      <c r="F1073" s="463"/>
      <c r="G1073" s="1465"/>
      <c r="H1073" s="1465"/>
      <c r="I1073" s="30"/>
      <c r="J1073" s="30"/>
      <c r="K1073" s="30"/>
      <c r="L1073" s="30"/>
      <c r="M1073" s="1465"/>
      <c r="N1073" s="1465"/>
    </row>
    <row r="1074" ht="39.0" customHeight="1">
      <c r="A1074" s="940"/>
      <c r="B1074" s="941"/>
      <c r="C1074" s="941"/>
      <c r="D1074" s="941"/>
      <c r="E1074" s="941"/>
      <c r="F1074" s="463"/>
      <c r="G1074" s="1465"/>
      <c r="H1074" s="1465"/>
      <c r="I1074" s="28"/>
      <c r="J1074" s="28"/>
      <c r="K1074" s="28"/>
      <c r="L1074" s="28"/>
      <c r="M1074" s="1465"/>
      <c r="N1074" s="1465"/>
    </row>
    <row r="1075" ht="39.0" customHeight="1">
      <c r="A1075" s="939"/>
      <c r="B1075" s="833"/>
      <c r="C1075" s="833"/>
      <c r="D1075" s="833"/>
      <c r="E1075" s="833"/>
      <c r="F1075" s="463"/>
      <c r="G1075" s="1465"/>
      <c r="H1075" s="1465"/>
      <c r="I1075" s="30"/>
      <c r="J1075" s="30"/>
      <c r="K1075" s="30"/>
      <c r="L1075" s="30"/>
      <c r="M1075" s="1465"/>
      <c r="N1075" s="1465"/>
    </row>
    <row r="1076" ht="39.0" customHeight="1">
      <c r="A1076" s="940"/>
      <c r="B1076" s="941"/>
      <c r="C1076" s="941"/>
      <c r="D1076" s="941"/>
      <c r="E1076" s="941"/>
      <c r="F1076" s="463"/>
      <c r="G1076" s="1465"/>
      <c r="H1076" s="1465"/>
      <c r="I1076" s="28"/>
      <c r="J1076" s="28"/>
      <c r="K1076" s="28"/>
      <c r="L1076" s="28"/>
      <c r="M1076" s="1465"/>
      <c r="N1076" s="1465"/>
    </row>
    <row r="1077" ht="39.0" customHeight="1">
      <c r="A1077" s="939"/>
      <c r="B1077" s="833"/>
      <c r="C1077" s="833"/>
      <c r="D1077" s="833"/>
      <c r="E1077" s="833"/>
      <c r="F1077" s="463"/>
      <c r="G1077" s="1465"/>
      <c r="H1077" s="1465"/>
      <c r="I1077" s="30"/>
      <c r="J1077" s="30"/>
      <c r="K1077" s="30"/>
      <c r="L1077" s="30"/>
      <c r="M1077" s="1465"/>
      <c r="N1077" s="1465"/>
    </row>
    <row r="1078" ht="39.0" customHeight="1">
      <c r="A1078" s="940"/>
      <c r="B1078" s="941"/>
      <c r="C1078" s="941"/>
      <c r="D1078" s="941"/>
      <c r="E1078" s="941"/>
      <c r="F1078" s="463"/>
      <c r="G1078" s="1465"/>
      <c r="H1078" s="1465"/>
      <c r="I1078" s="28"/>
      <c r="J1078" s="28"/>
      <c r="K1078" s="28"/>
      <c r="L1078" s="28"/>
      <c r="M1078" s="1465"/>
      <c r="N1078" s="1465"/>
    </row>
    <row r="1079" ht="39.0" customHeight="1">
      <c r="A1079" s="939"/>
      <c r="B1079" s="833"/>
      <c r="C1079" s="833"/>
      <c r="D1079" s="833"/>
      <c r="E1079" s="833"/>
      <c r="F1079" s="463"/>
      <c r="G1079" s="1465"/>
      <c r="H1079" s="1465"/>
      <c r="I1079" s="30"/>
      <c r="J1079" s="30"/>
      <c r="K1079" s="30"/>
      <c r="L1079" s="30"/>
      <c r="M1079" s="1465"/>
      <c r="N1079" s="1465"/>
    </row>
    <row r="1080" ht="39.0" customHeight="1">
      <c r="A1080" s="940"/>
      <c r="B1080" s="941"/>
      <c r="C1080" s="941"/>
      <c r="D1080" s="941"/>
      <c r="E1080" s="941"/>
      <c r="F1080" s="463"/>
      <c r="G1080" s="1465"/>
      <c r="H1080" s="1465"/>
      <c r="I1080" s="28"/>
      <c r="J1080" s="28"/>
      <c r="K1080" s="28"/>
      <c r="L1080" s="28"/>
      <c r="M1080" s="1465"/>
      <c r="N1080" s="1465"/>
    </row>
    <row r="1081" ht="39.0" customHeight="1">
      <c r="A1081" s="939"/>
      <c r="B1081" s="833"/>
      <c r="C1081" s="833"/>
      <c r="D1081" s="833"/>
      <c r="E1081" s="833"/>
      <c r="F1081" s="463"/>
      <c r="G1081" s="1465"/>
      <c r="H1081" s="1465"/>
      <c r="I1081" s="30"/>
      <c r="J1081" s="30"/>
      <c r="K1081" s="30"/>
      <c r="L1081" s="30"/>
      <c r="M1081" s="1465"/>
      <c r="N1081" s="1465"/>
    </row>
    <row r="1082" ht="39.0" customHeight="1">
      <c r="A1082" s="940"/>
      <c r="B1082" s="941"/>
      <c r="C1082" s="941"/>
      <c r="D1082" s="941"/>
      <c r="E1082" s="941"/>
      <c r="F1082" s="463"/>
      <c r="G1082" s="1465"/>
      <c r="H1082" s="1465"/>
      <c r="I1082" s="28"/>
      <c r="J1082" s="28"/>
      <c r="K1082" s="28"/>
      <c r="L1082" s="28"/>
      <c r="M1082" s="1465"/>
      <c r="N1082" s="1465"/>
    </row>
    <row r="1083" ht="39.0" customHeight="1">
      <c r="A1083" s="939"/>
      <c r="B1083" s="833"/>
      <c r="C1083" s="833"/>
      <c r="D1083" s="833"/>
      <c r="E1083" s="833"/>
      <c r="F1083" s="463"/>
      <c r="G1083" s="1465"/>
      <c r="H1083" s="1465"/>
      <c r="I1083" s="30"/>
      <c r="J1083" s="30"/>
      <c r="K1083" s="30"/>
      <c r="L1083" s="30"/>
      <c r="M1083" s="1465"/>
      <c r="N1083" s="1465"/>
    </row>
    <row r="1084" ht="39.0" customHeight="1">
      <c r="A1084" s="940"/>
      <c r="B1084" s="941"/>
      <c r="C1084" s="941"/>
      <c r="D1084" s="941"/>
      <c r="E1084" s="941"/>
      <c r="F1084" s="463"/>
      <c r="G1084" s="1465"/>
      <c r="H1084" s="1465"/>
      <c r="I1084" s="28"/>
      <c r="J1084" s="28"/>
      <c r="K1084" s="28"/>
      <c r="L1084" s="28"/>
      <c r="M1084" s="1465"/>
      <c r="N1084" s="1465"/>
    </row>
    <row r="1085" ht="39.0" customHeight="1">
      <c r="A1085" s="939"/>
      <c r="B1085" s="833"/>
      <c r="C1085" s="833"/>
      <c r="D1085" s="833"/>
      <c r="E1085" s="833"/>
      <c r="F1085" s="463"/>
      <c r="G1085" s="1465"/>
      <c r="H1085" s="1465"/>
      <c r="I1085" s="30"/>
      <c r="J1085" s="30"/>
      <c r="K1085" s="30"/>
      <c r="L1085" s="30"/>
      <c r="M1085" s="1465"/>
      <c r="N1085" s="1465"/>
    </row>
    <row r="1086" ht="39.0" customHeight="1">
      <c r="A1086" s="940"/>
      <c r="B1086" s="941"/>
      <c r="C1086" s="941"/>
      <c r="D1086" s="941"/>
      <c r="E1086" s="941"/>
      <c r="F1086" s="463"/>
      <c r="G1086" s="1465"/>
      <c r="H1086" s="1465"/>
      <c r="I1086" s="28"/>
      <c r="J1086" s="28"/>
      <c r="K1086" s="28"/>
      <c r="L1086" s="28"/>
      <c r="M1086" s="1465"/>
      <c r="N1086" s="1465"/>
    </row>
    <row r="1087" ht="39.0" customHeight="1">
      <c r="A1087" s="939"/>
      <c r="B1087" s="833"/>
      <c r="C1087" s="833"/>
      <c r="D1087" s="833"/>
      <c r="E1087" s="833"/>
      <c r="F1087" s="463"/>
      <c r="G1087" s="1465"/>
      <c r="H1087" s="1465"/>
      <c r="I1087" s="30"/>
      <c r="J1087" s="30"/>
      <c r="K1087" s="30"/>
      <c r="L1087" s="30"/>
      <c r="M1087" s="1465"/>
      <c r="N1087" s="1465"/>
    </row>
    <row r="1088" ht="39.0" customHeight="1">
      <c r="A1088" s="940"/>
      <c r="B1088" s="941"/>
      <c r="C1088" s="941"/>
      <c r="D1088" s="941"/>
      <c r="E1088" s="941"/>
      <c r="F1088" s="463"/>
      <c r="G1088" s="1465"/>
      <c r="H1088" s="1465"/>
      <c r="I1088" s="28"/>
      <c r="J1088" s="28"/>
      <c r="K1088" s="28"/>
      <c r="L1088" s="28"/>
      <c r="M1088" s="1465"/>
      <c r="N1088" s="1465"/>
    </row>
    <row r="1089" ht="39.0" customHeight="1">
      <c r="A1089" s="939"/>
      <c r="B1089" s="833"/>
      <c r="C1089" s="833"/>
      <c r="D1089" s="833"/>
      <c r="E1089" s="833"/>
      <c r="F1089" s="463"/>
      <c r="G1089" s="1465"/>
      <c r="H1089" s="1465"/>
      <c r="I1089" s="30"/>
      <c r="J1089" s="30"/>
      <c r="K1089" s="30"/>
      <c r="L1089" s="30"/>
      <c r="M1089" s="1465"/>
      <c r="N1089" s="1465"/>
    </row>
    <row r="1090" ht="39.0" customHeight="1">
      <c r="A1090" s="940"/>
      <c r="B1090" s="941"/>
      <c r="C1090" s="941"/>
      <c r="D1090" s="941"/>
      <c r="E1090" s="941"/>
      <c r="F1090" s="463"/>
      <c r="G1090" s="1465"/>
      <c r="H1090" s="1465"/>
      <c r="I1090" s="28"/>
      <c r="J1090" s="28"/>
      <c r="K1090" s="28"/>
      <c r="L1090" s="28"/>
      <c r="M1090" s="1465"/>
      <c r="N1090" s="1465"/>
    </row>
    <row r="1091" ht="39.0" customHeight="1">
      <c r="A1091" s="939"/>
      <c r="B1091" s="833"/>
      <c r="C1091" s="833"/>
      <c r="D1091" s="833"/>
      <c r="E1091" s="833"/>
      <c r="F1091" s="463"/>
      <c r="G1091" s="1465"/>
      <c r="H1091" s="1465"/>
      <c r="I1091" s="30"/>
      <c r="J1091" s="30"/>
      <c r="K1091" s="30"/>
      <c r="L1091" s="30"/>
      <c r="M1091" s="1465"/>
      <c r="N1091" s="1465"/>
    </row>
    <row r="1092" ht="39.0" customHeight="1">
      <c r="A1092" s="940"/>
      <c r="B1092" s="941"/>
      <c r="C1092" s="941"/>
      <c r="D1092" s="941"/>
      <c r="E1092" s="941"/>
      <c r="F1092" s="463"/>
      <c r="G1092" s="1465"/>
      <c r="H1092" s="1465"/>
      <c r="I1092" s="28"/>
      <c r="J1092" s="28"/>
      <c r="K1092" s="28"/>
      <c r="L1092" s="28"/>
      <c r="M1092" s="1465"/>
      <c r="N1092" s="1465"/>
    </row>
    <row r="1093" ht="39.0" customHeight="1">
      <c r="A1093" s="939"/>
      <c r="B1093" s="833"/>
      <c r="C1093" s="833"/>
      <c r="D1093" s="833"/>
      <c r="E1093" s="833"/>
      <c r="F1093" s="463"/>
      <c r="G1093" s="1465"/>
      <c r="H1093" s="1465"/>
      <c r="I1093" s="30"/>
      <c r="J1093" s="30"/>
      <c r="K1093" s="30"/>
      <c r="L1093" s="30"/>
      <c r="M1093" s="1465"/>
      <c r="N1093" s="1465"/>
    </row>
    <row r="1094" ht="39.0" customHeight="1">
      <c r="A1094" s="940"/>
      <c r="B1094" s="941"/>
      <c r="C1094" s="941"/>
      <c r="D1094" s="941"/>
      <c r="E1094" s="941"/>
      <c r="F1094" s="463"/>
      <c r="G1094" s="1465"/>
      <c r="H1094" s="1465"/>
      <c r="I1094" s="28"/>
      <c r="J1094" s="28"/>
      <c r="K1094" s="28"/>
      <c r="L1094" s="28"/>
      <c r="M1094" s="1465"/>
      <c r="N1094" s="1465"/>
    </row>
    <row r="1095" ht="39.0" customHeight="1">
      <c r="A1095" s="939"/>
      <c r="B1095" s="833"/>
      <c r="C1095" s="833"/>
      <c r="D1095" s="833"/>
      <c r="E1095" s="833"/>
      <c r="F1095" s="463"/>
      <c r="G1095" s="1465"/>
      <c r="H1095" s="1465"/>
      <c r="I1095" s="30"/>
      <c r="J1095" s="30"/>
      <c r="K1095" s="30"/>
      <c r="L1095" s="30"/>
      <c r="M1095" s="1465"/>
      <c r="N1095" s="1465"/>
    </row>
    <row r="1096" ht="39.0" customHeight="1">
      <c r="A1096" s="940"/>
      <c r="B1096" s="941"/>
      <c r="C1096" s="941"/>
      <c r="D1096" s="941"/>
      <c r="E1096" s="941"/>
      <c r="F1096" s="463"/>
      <c r="G1096" s="1465"/>
      <c r="H1096" s="1465"/>
      <c r="I1096" s="28"/>
      <c r="J1096" s="28"/>
      <c r="K1096" s="28"/>
      <c r="L1096" s="28"/>
      <c r="M1096" s="1465"/>
      <c r="N1096" s="1465"/>
    </row>
    <row r="1097" ht="39.0" customHeight="1">
      <c r="A1097" s="939"/>
      <c r="B1097" s="833"/>
      <c r="C1097" s="833"/>
      <c r="D1097" s="833"/>
      <c r="E1097" s="833"/>
      <c r="F1097" s="463"/>
      <c r="G1097" s="1465"/>
      <c r="H1097" s="1465"/>
      <c r="I1097" s="30"/>
      <c r="J1097" s="30"/>
      <c r="K1097" s="30"/>
      <c r="L1097" s="30"/>
      <c r="M1097" s="1465"/>
      <c r="N1097" s="1465"/>
    </row>
    <row r="1098" ht="39.0" customHeight="1">
      <c r="A1098" s="940"/>
      <c r="B1098" s="941"/>
      <c r="C1098" s="941"/>
      <c r="D1098" s="941"/>
      <c r="E1098" s="941"/>
      <c r="F1098" s="463"/>
      <c r="G1098" s="1465"/>
      <c r="H1098" s="1465"/>
      <c r="I1098" s="28"/>
      <c r="J1098" s="28"/>
      <c r="K1098" s="28"/>
      <c r="L1098" s="28"/>
      <c r="M1098" s="1465"/>
      <c r="N1098" s="1465"/>
    </row>
    <row r="1099" ht="39.0" customHeight="1">
      <c r="A1099" s="939"/>
      <c r="B1099" s="833"/>
      <c r="C1099" s="833"/>
      <c r="D1099" s="833"/>
      <c r="E1099" s="833"/>
      <c r="F1099" s="463"/>
      <c r="G1099" s="1465"/>
      <c r="H1099" s="1465"/>
      <c r="I1099" s="30"/>
      <c r="J1099" s="30"/>
      <c r="K1099" s="30"/>
      <c r="L1099" s="30"/>
      <c r="M1099" s="1465"/>
      <c r="N1099" s="1465"/>
    </row>
    <row r="1100" ht="39.0" customHeight="1">
      <c r="A1100" s="940"/>
      <c r="B1100" s="941"/>
      <c r="C1100" s="941"/>
      <c r="D1100" s="941"/>
      <c r="E1100" s="941"/>
      <c r="F1100" s="463"/>
      <c r="G1100" s="1465"/>
      <c r="H1100" s="1465"/>
      <c r="I1100" s="28"/>
      <c r="J1100" s="28"/>
      <c r="K1100" s="28"/>
      <c r="L1100" s="28"/>
      <c r="M1100" s="1465"/>
      <c r="N1100" s="1465"/>
    </row>
    <row r="1101" ht="39.0" customHeight="1">
      <c r="A1101" s="939"/>
      <c r="B1101" s="833"/>
      <c r="C1101" s="833"/>
      <c r="D1101" s="833"/>
      <c r="E1101" s="833"/>
      <c r="F1101" s="463"/>
      <c r="G1101" s="1465"/>
      <c r="H1101" s="1465"/>
      <c r="I1101" s="30"/>
      <c r="J1101" s="30"/>
      <c r="K1101" s="30"/>
      <c r="L1101" s="30"/>
      <c r="M1101" s="1465"/>
      <c r="N1101" s="1465"/>
    </row>
    <row r="1102" ht="39.0" customHeight="1">
      <c r="A1102" s="940"/>
      <c r="B1102" s="941"/>
      <c r="C1102" s="941"/>
      <c r="D1102" s="941"/>
      <c r="E1102" s="941"/>
      <c r="F1102" s="463"/>
      <c r="G1102" s="1465"/>
      <c r="H1102" s="1465"/>
      <c r="I1102" s="28"/>
      <c r="J1102" s="28"/>
      <c r="K1102" s="28"/>
      <c r="L1102" s="28"/>
      <c r="M1102" s="1465"/>
      <c r="N1102" s="1465"/>
    </row>
    <row r="1103" ht="39.0" customHeight="1">
      <c r="A1103" s="939"/>
      <c r="B1103" s="833"/>
      <c r="C1103" s="833"/>
      <c r="D1103" s="833"/>
      <c r="E1103" s="833"/>
      <c r="F1103" s="463"/>
      <c r="G1103" s="1465"/>
      <c r="H1103" s="1465"/>
      <c r="I1103" s="30"/>
      <c r="J1103" s="30"/>
      <c r="K1103" s="30"/>
      <c r="L1103" s="30"/>
      <c r="M1103" s="1465"/>
      <c r="N1103" s="1465"/>
    </row>
    <row r="1104" ht="39.0" customHeight="1">
      <c r="A1104" s="940"/>
      <c r="B1104" s="941"/>
      <c r="C1104" s="941"/>
      <c r="D1104" s="941"/>
      <c r="E1104" s="941"/>
      <c r="F1104" s="463"/>
      <c r="G1104" s="1465"/>
      <c r="H1104" s="1465"/>
      <c r="I1104" s="28"/>
      <c r="J1104" s="28"/>
      <c r="K1104" s="28"/>
      <c r="L1104" s="28"/>
      <c r="M1104" s="1465"/>
      <c r="N1104" s="1465"/>
    </row>
    <row r="1105" ht="39.0" customHeight="1">
      <c r="A1105" s="939"/>
      <c r="B1105" s="833"/>
      <c r="C1105" s="833"/>
      <c r="D1105" s="833"/>
      <c r="E1105" s="833"/>
      <c r="F1105" s="463"/>
      <c r="G1105" s="1465"/>
      <c r="H1105" s="1465"/>
      <c r="I1105" s="30"/>
      <c r="J1105" s="30"/>
      <c r="K1105" s="30"/>
      <c r="L1105" s="30"/>
      <c r="M1105" s="1465"/>
      <c r="N1105" s="1465"/>
    </row>
    <row r="1106" ht="39.0" customHeight="1">
      <c r="A1106" s="940"/>
      <c r="B1106" s="941"/>
      <c r="C1106" s="941"/>
      <c r="D1106" s="941"/>
      <c r="E1106" s="941"/>
      <c r="F1106" s="463"/>
      <c r="G1106" s="1465"/>
      <c r="H1106" s="1465"/>
      <c r="I1106" s="28"/>
      <c r="J1106" s="28"/>
      <c r="K1106" s="28"/>
      <c r="L1106" s="28"/>
      <c r="M1106" s="1465"/>
      <c r="N1106" s="1465"/>
    </row>
    <row r="1107" ht="39.0" customHeight="1">
      <c r="A1107" s="939"/>
      <c r="B1107" s="833"/>
      <c r="C1107" s="833"/>
      <c r="D1107" s="833"/>
      <c r="E1107" s="833"/>
      <c r="F1107" s="463"/>
      <c r="G1107" s="1465"/>
      <c r="H1107" s="1465"/>
      <c r="I1107" s="30"/>
      <c r="J1107" s="30"/>
      <c r="K1107" s="30"/>
      <c r="L1107" s="30"/>
      <c r="M1107" s="1465"/>
      <c r="N1107" s="1465"/>
    </row>
    <row r="1108" ht="39.0" customHeight="1">
      <c r="A1108" s="940"/>
      <c r="B1108" s="941"/>
      <c r="C1108" s="941"/>
      <c r="D1108" s="941"/>
      <c r="E1108" s="941"/>
      <c r="F1108" s="463"/>
      <c r="G1108" s="1465"/>
      <c r="H1108" s="1465"/>
      <c r="I1108" s="28"/>
      <c r="J1108" s="28"/>
      <c r="K1108" s="28"/>
      <c r="L1108" s="28"/>
      <c r="M1108" s="1465"/>
      <c r="N1108" s="1465"/>
    </row>
    <row r="1109" ht="39.0" customHeight="1">
      <c r="A1109" s="939"/>
      <c r="B1109" s="833"/>
      <c r="C1109" s="833"/>
      <c r="D1109" s="833"/>
      <c r="E1109" s="833"/>
      <c r="F1109" s="463"/>
      <c r="G1109" s="1465"/>
      <c r="H1109" s="1465"/>
      <c r="I1109" s="30"/>
      <c r="J1109" s="30"/>
      <c r="K1109" s="30"/>
      <c r="L1109" s="30"/>
      <c r="M1109" s="1465"/>
      <c r="N1109" s="1465"/>
    </row>
    <row r="1110" ht="39.0" customHeight="1">
      <c r="A1110" s="940"/>
      <c r="B1110" s="941"/>
      <c r="C1110" s="941"/>
      <c r="D1110" s="941"/>
      <c r="E1110" s="941"/>
      <c r="F1110" s="463"/>
      <c r="G1110" s="1465"/>
      <c r="H1110" s="1465"/>
      <c r="I1110" s="28"/>
      <c r="J1110" s="28"/>
      <c r="K1110" s="28"/>
      <c r="L1110" s="28"/>
      <c r="M1110" s="1465"/>
      <c r="N1110" s="1465"/>
    </row>
    <row r="1111" ht="39.0" customHeight="1">
      <c r="A1111" s="939"/>
      <c r="B1111" s="833"/>
      <c r="C1111" s="833"/>
      <c r="D1111" s="833"/>
      <c r="E1111" s="833"/>
      <c r="F1111" s="463"/>
      <c r="G1111" s="1465"/>
      <c r="H1111" s="1465"/>
      <c r="I1111" s="30"/>
      <c r="J1111" s="30"/>
      <c r="K1111" s="30"/>
      <c r="L1111" s="30"/>
      <c r="M1111" s="1465"/>
      <c r="N1111" s="1465"/>
    </row>
    <row r="1112" ht="39.0" customHeight="1">
      <c r="A1112" s="940"/>
      <c r="B1112" s="941"/>
      <c r="C1112" s="941"/>
      <c r="D1112" s="941"/>
      <c r="E1112" s="941"/>
      <c r="F1112" s="463"/>
      <c r="G1112" s="1465"/>
      <c r="H1112" s="1465"/>
      <c r="I1112" s="28"/>
      <c r="J1112" s="28"/>
      <c r="K1112" s="28"/>
      <c r="L1112" s="28"/>
      <c r="M1112" s="1465"/>
      <c r="N1112" s="1465"/>
    </row>
    <row r="1113" ht="39.0" customHeight="1">
      <c r="A1113" s="939"/>
      <c r="B1113" s="833"/>
      <c r="C1113" s="833"/>
      <c r="D1113" s="833"/>
      <c r="E1113" s="833"/>
      <c r="F1113" s="463"/>
      <c r="G1113" s="1465"/>
      <c r="H1113" s="1465"/>
      <c r="I1113" s="30"/>
      <c r="J1113" s="30"/>
      <c r="K1113" s="30"/>
      <c r="L1113" s="30"/>
      <c r="M1113" s="1465"/>
      <c r="N1113" s="1465"/>
    </row>
    <row r="1114" ht="39.0" customHeight="1">
      <c r="A1114" s="940"/>
      <c r="B1114" s="941"/>
      <c r="C1114" s="941"/>
      <c r="D1114" s="941"/>
      <c r="E1114" s="941"/>
      <c r="F1114" s="463"/>
      <c r="G1114" s="1465"/>
      <c r="H1114" s="1465"/>
      <c r="I1114" s="28"/>
      <c r="J1114" s="28"/>
      <c r="K1114" s="28"/>
      <c r="L1114" s="28"/>
      <c r="M1114" s="1465"/>
      <c r="N1114" s="1465"/>
    </row>
    <row r="1115" ht="39.0" customHeight="1">
      <c r="A1115" s="939"/>
      <c r="B1115" s="833"/>
      <c r="C1115" s="833"/>
      <c r="D1115" s="833"/>
      <c r="E1115" s="833"/>
      <c r="F1115" s="463"/>
      <c r="G1115" s="1465"/>
      <c r="H1115" s="1465"/>
      <c r="I1115" s="30"/>
      <c r="J1115" s="30"/>
      <c r="K1115" s="30"/>
      <c r="L1115" s="30"/>
      <c r="M1115" s="1465"/>
      <c r="N1115" s="1465"/>
    </row>
    <row r="1116" ht="39.0" customHeight="1">
      <c r="A1116" s="940"/>
      <c r="B1116" s="941"/>
      <c r="C1116" s="941"/>
      <c r="D1116" s="941"/>
      <c r="E1116" s="941"/>
      <c r="F1116" s="463"/>
      <c r="G1116" s="1465"/>
      <c r="H1116" s="1465"/>
      <c r="I1116" s="28"/>
      <c r="J1116" s="28"/>
      <c r="K1116" s="28"/>
      <c r="L1116" s="28"/>
      <c r="M1116" s="1465"/>
      <c r="N1116" s="1465"/>
    </row>
    <row r="1117" ht="39.0" customHeight="1">
      <c r="A1117" s="939"/>
      <c r="B1117" s="833"/>
      <c r="C1117" s="833"/>
      <c r="D1117" s="833"/>
      <c r="E1117" s="833"/>
      <c r="F1117" s="463"/>
      <c r="G1117" s="1465"/>
      <c r="H1117" s="1465"/>
      <c r="I1117" s="30"/>
      <c r="J1117" s="30"/>
      <c r="K1117" s="30"/>
      <c r="L1117" s="30"/>
      <c r="M1117" s="1465"/>
      <c r="N1117" s="1465"/>
    </row>
    <row r="1118" ht="39.0" customHeight="1">
      <c r="A1118" s="940"/>
      <c r="B1118" s="941"/>
      <c r="C1118" s="941"/>
      <c r="D1118" s="941"/>
      <c r="E1118" s="941"/>
      <c r="F1118" s="463"/>
      <c r="G1118" s="1465"/>
      <c r="H1118" s="1465"/>
      <c r="I1118" s="28"/>
      <c r="J1118" s="28"/>
      <c r="K1118" s="28"/>
      <c r="L1118" s="28"/>
      <c r="M1118" s="1465"/>
      <c r="N1118" s="1465"/>
    </row>
    <row r="1119" ht="39.0" customHeight="1">
      <c r="A1119" s="939"/>
      <c r="B1119" s="833"/>
      <c r="C1119" s="833"/>
      <c r="D1119" s="833"/>
      <c r="E1119" s="833"/>
      <c r="F1119" s="463"/>
      <c r="G1119" s="1465"/>
      <c r="H1119" s="1465"/>
      <c r="I1119" s="30"/>
      <c r="J1119" s="30"/>
      <c r="K1119" s="30"/>
      <c r="L1119" s="30"/>
      <c r="M1119" s="1465"/>
      <c r="N1119" s="1465"/>
    </row>
    <row r="1120" ht="39.0" customHeight="1">
      <c r="A1120" s="940"/>
      <c r="B1120" s="941"/>
      <c r="C1120" s="941"/>
      <c r="D1120" s="941"/>
      <c r="E1120" s="941"/>
      <c r="F1120" s="463"/>
      <c r="G1120" s="1465"/>
      <c r="H1120" s="1465"/>
      <c r="I1120" s="28"/>
      <c r="J1120" s="28"/>
      <c r="K1120" s="28"/>
      <c r="L1120" s="28"/>
      <c r="M1120" s="1465"/>
      <c r="N1120" s="1465"/>
    </row>
    <row r="1121" ht="39.0" customHeight="1">
      <c r="A1121" s="939"/>
      <c r="B1121" s="833"/>
      <c r="C1121" s="833"/>
      <c r="D1121" s="833"/>
      <c r="E1121" s="833"/>
      <c r="F1121" s="463"/>
      <c r="G1121" s="1465"/>
      <c r="H1121" s="1465"/>
      <c r="I1121" s="30"/>
      <c r="J1121" s="30"/>
      <c r="K1121" s="30"/>
      <c r="L1121" s="30"/>
      <c r="M1121" s="1465"/>
      <c r="N1121" s="1465"/>
    </row>
    <row r="1122" ht="39.0" customHeight="1">
      <c r="A1122" s="940"/>
      <c r="B1122" s="941"/>
      <c r="C1122" s="941"/>
      <c r="D1122" s="941"/>
      <c r="E1122" s="941"/>
      <c r="F1122" s="463"/>
      <c r="G1122" s="1465"/>
      <c r="H1122" s="1465"/>
      <c r="I1122" s="28"/>
      <c r="J1122" s="28"/>
      <c r="K1122" s="28"/>
      <c r="L1122" s="28"/>
      <c r="M1122" s="1465"/>
      <c r="N1122" s="1465"/>
    </row>
    <row r="1123" ht="39.0" customHeight="1">
      <c r="A1123" s="939"/>
      <c r="B1123" s="833"/>
      <c r="C1123" s="833"/>
      <c r="D1123" s="833"/>
      <c r="E1123" s="833"/>
      <c r="F1123" s="463"/>
      <c r="G1123" s="1465"/>
      <c r="H1123" s="1465"/>
      <c r="I1123" s="30"/>
      <c r="J1123" s="30"/>
      <c r="K1123" s="30"/>
      <c r="L1123" s="30"/>
      <c r="M1123" s="1465"/>
      <c r="N1123" s="1465"/>
    </row>
  </sheetData>
  <autoFilter ref="$A$5:$N$152">
    <filterColumn colId="5">
      <filters>
        <filter val="belaid (omar)"/>
      </filters>
    </filterColumn>
  </autoFilter>
  <mergeCells count="273">
    <mergeCell ref="M126:M129"/>
    <mergeCell ref="M130:M133"/>
    <mergeCell ref="M98:M101"/>
    <mergeCell ref="M102:M105"/>
    <mergeCell ref="M106:M109"/>
    <mergeCell ref="M110:M113"/>
    <mergeCell ref="M114:M117"/>
    <mergeCell ref="M118:M121"/>
    <mergeCell ref="M122:M125"/>
    <mergeCell ref="M18:M20"/>
    <mergeCell ref="N18:N20"/>
    <mergeCell ref="M21:M23"/>
    <mergeCell ref="N21:N23"/>
    <mergeCell ref="M24:M26"/>
    <mergeCell ref="N24:N26"/>
    <mergeCell ref="N27:N29"/>
    <mergeCell ref="N30:N32"/>
    <mergeCell ref="M27:M29"/>
    <mergeCell ref="M30:M32"/>
    <mergeCell ref="M42:M45"/>
    <mergeCell ref="N42:N45"/>
    <mergeCell ref="M46:M47"/>
    <mergeCell ref="N46:N47"/>
    <mergeCell ref="N48:N49"/>
    <mergeCell ref="M48:M49"/>
    <mergeCell ref="M50:M53"/>
    <mergeCell ref="N50:N53"/>
    <mergeCell ref="M54:M56"/>
    <mergeCell ref="N54:N56"/>
    <mergeCell ref="M57:M60"/>
    <mergeCell ref="N57:N60"/>
    <mergeCell ref="M61:M64"/>
    <mergeCell ref="N61:N64"/>
    <mergeCell ref="M65:M68"/>
    <mergeCell ref="N65:N68"/>
    <mergeCell ref="M69:M71"/>
    <mergeCell ref="N69:N71"/>
    <mergeCell ref="N72:N75"/>
    <mergeCell ref="M72:M75"/>
    <mergeCell ref="M76:M79"/>
    <mergeCell ref="M80:M83"/>
    <mergeCell ref="M84:M87"/>
    <mergeCell ref="M88:M90"/>
    <mergeCell ref="M91:M93"/>
    <mergeCell ref="M94:M97"/>
    <mergeCell ref="N102:N105"/>
    <mergeCell ref="N106:N109"/>
    <mergeCell ref="N110:N113"/>
    <mergeCell ref="N114:N117"/>
    <mergeCell ref="N118:N121"/>
    <mergeCell ref="N122:N125"/>
    <mergeCell ref="N126:N129"/>
    <mergeCell ref="N130:N133"/>
    <mergeCell ref="N76:N79"/>
    <mergeCell ref="N80:N83"/>
    <mergeCell ref="N84:N87"/>
    <mergeCell ref="N88:N90"/>
    <mergeCell ref="N91:N93"/>
    <mergeCell ref="N94:N97"/>
    <mergeCell ref="N98:N101"/>
    <mergeCell ref="A12:A13"/>
    <mergeCell ref="A14:A15"/>
    <mergeCell ref="A16:A17"/>
    <mergeCell ref="A18:A20"/>
    <mergeCell ref="A21:A23"/>
    <mergeCell ref="A24:A26"/>
    <mergeCell ref="A27:A29"/>
    <mergeCell ref="A39:A41"/>
    <mergeCell ref="A42:A45"/>
    <mergeCell ref="A46:A47"/>
    <mergeCell ref="A48:A49"/>
    <mergeCell ref="A50:A53"/>
    <mergeCell ref="A54:A60"/>
    <mergeCell ref="A61:A64"/>
    <mergeCell ref="A65:A68"/>
    <mergeCell ref="A69:A71"/>
    <mergeCell ref="A72:A75"/>
    <mergeCell ref="A76:A79"/>
    <mergeCell ref="A80:A83"/>
    <mergeCell ref="A84:A87"/>
    <mergeCell ref="A88:A90"/>
    <mergeCell ref="A118:A121"/>
    <mergeCell ref="A122:A125"/>
    <mergeCell ref="A126:A129"/>
    <mergeCell ref="A130:A133"/>
    <mergeCell ref="A134:A137"/>
    <mergeCell ref="A138:A148"/>
    <mergeCell ref="A149:A152"/>
    <mergeCell ref="A91:A93"/>
    <mergeCell ref="A94:A97"/>
    <mergeCell ref="A98:A101"/>
    <mergeCell ref="A102:A105"/>
    <mergeCell ref="A106:A109"/>
    <mergeCell ref="A110:A113"/>
    <mergeCell ref="A114:A117"/>
    <mergeCell ref="A1:B3"/>
    <mergeCell ref="C1:F3"/>
    <mergeCell ref="A6:A7"/>
    <mergeCell ref="F6:F7"/>
    <mergeCell ref="N6:N8"/>
    <mergeCell ref="A8:A9"/>
    <mergeCell ref="F8:F9"/>
    <mergeCell ref="E6:E7"/>
    <mergeCell ref="E8:E9"/>
    <mergeCell ref="A10:A11"/>
    <mergeCell ref="E10:E11"/>
    <mergeCell ref="F10:F11"/>
    <mergeCell ref="E12:E13"/>
    <mergeCell ref="F12:F13"/>
    <mergeCell ref="E14:E15"/>
    <mergeCell ref="F14:F15"/>
    <mergeCell ref="E16:E17"/>
    <mergeCell ref="F16:F17"/>
    <mergeCell ref="C18:C19"/>
    <mergeCell ref="E18:E20"/>
    <mergeCell ref="F18:F20"/>
    <mergeCell ref="D18:D20"/>
    <mergeCell ref="D21:D23"/>
    <mergeCell ref="E21:E23"/>
    <mergeCell ref="F21:F23"/>
    <mergeCell ref="D24:D26"/>
    <mergeCell ref="E24:E26"/>
    <mergeCell ref="F24:F26"/>
    <mergeCell ref="A30:A32"/>
    <mergeCell ref="A33:A38"/>
    <mergeCell ref="D36:D38"/>
    <mergeCell ref="E36:E38"/>
    <mergeCell ref="F36:F38"/>
    <mergeCell ref="E39:E41"/>
    <mergeCell ref="F39:F41"/>
    <mergeCell ref="D40:D41"/>
    <mergeCell ref="M33:M35"/>
    <mergeCell ref="N33:N35"/>
    <mergeCell ref="M36:M38"/>
    <mergeCell ref="N36:N38"/>
    <mergeCell ref="M39:M41"/>
    <mergeCell ref="N39:N41"/>
    <mergeCell ref="M6:M8"/>
    <mergeCell ref="M9:M11"/>
    <mergeCell ref="N9:N11"/>
    <mergeCell ref="M12:M14"/>
    <mergeCell ref="N12:N14"/>
    <mergeCell ref="M15:M17"/>
    <mergeCell ref="N15:N17"/>
    <mergeCell ref="D69:D71"/>
    <mergeCell ref="E69:E71"/>
    <mergeCell ref="D61:D63"/>
    <mergeCell ref="E61:E63"/>
    <mergeCell ref="F61:F63"/>
    <mergeCell ref="D65:D67"/>
    <mergeCell ref="E65:E67"/>
    <mergeCell ref="F65:F67"/>
    <mergeCell ref="F69:F71"/>
    <mergeCell ref="E33:E35"/>
    <mergeCell ref="F33:F35"/>
    <mergeCell ref="D27:D29"/>
    <mergeCell ref="E27:E29"/>
    <mergeCell ref="F27:F29"/>
    <mergeCell ref="D30:D32"/>
    <mergeCell ref="E30:E32"/>
    <mergeCell ref="F30:F32"/>
    <mergeCell ref="D33:D35"/>
    <mergeCell ref="E48:E49"/>
    <mergeCell ref="F48:F49"/>
    <mergeCell ref="D42:D45"/>
    <mergeCell ref="E42:E44"/>
    <mergeCell ref="F42:F44"/>
    <mergeCell ref="D46:D47"/>
    <mergeCell ref="E46:E47"/>
    <mergeCell ref="F46:F47"/>
    <mergeCell ref="D48:D49"/>
    <mergeCell ref="E57:E59"/>
    <mergeCell ref="F57:F59"/>
    <mergeCell ref="D50:D52"/>
    <mergeCell ref="E50:E52"/>
    <mergeCell ref="F50:F52"/>
    <mergeCell ref="D54:D56"/>
    <mergeCell ref="E54:E56"/>
    <mergeCell ref="F54:F56"/>
    <mergeCell ref="D57:D60"/>
    <mergeCell ref="E84:E86"/>
    <mergeCell ref="F84:F86"/>
    <mergeCell ref="F94:F96"/>
    <mergeCell ref="G94:G96"/>
    <mergeCell ref="E91:E93"/>
    <mergeCell ref="E94:E96"/>
    <mergeCell ref="E106:E108"/>
    <mergeCell ref="F106:F108"/>
    <mergeCell ref="G106:G108"/>
    <mergeCell ref="F110:F112"/>
    <mergeCell ref="G110:G112"/>
    <mergeCell ref="E122:E124"/>
    <mergeCell ref="F122:F124"/>
    <mergeCell ref="G122:G124"/>
    <mergeCell ref="E126:E128"/>
    <mergeCell ref="F126:F128"/>
    <mergeCell ref="G126:G128"/>
    <mergeCell ref="E130:E132"/>
    <mergeCell ref="G130:G132"/>
    <mergeCell ref="G144:G146"/>
    <mergeCell ref="M141:M148"/>
    <mergeCell ref="M149:M152"/>
    <mergeCell ref="N149:N152"/>
    <mergeCell ref="F130:F132"/>
    <mergeCell ref="M134:M137"/>
    <mergeCell ref="N134:N137"/>
    <mergeCell ref="M138:M140"/>
    <mergeCell ref="N138:N140"/>
    <mergeCell ref="N141:N148"/>
    <mergeCell ref="G147:G148"/>
    <mergeCell ref="C138:C140"/>
    <mergeCell ref="B141:B148"/>
    <mergeCell ref="C141:C148"/>
    <mergeCell ref="C149:C151"/>
    <mergeCell ref="C102:C104"/>
    <mergeCell ref="C106:C108"/>
    <mergeCell ref="C110:C112"/>
    <mergeCell ref="C114:C116"/>
    <mergeCell ref="C118:C120"/>
    <mergeCell ref="C122:C124"/>
    <mergeCell ref="C126:C128"/>
    <mergeCell ref="C69:C71"/>
    <mergeCell ref="C72:C74"/>
    <mergeCell ref="E72:E74"/>
    <mergeCell ref="F72:F74"/>
    <mergeCell ref="D73:D74"/>
    <mergeCell ref="C76:C78"/>
    <mergeCell ref="F76:F78"/>
    <mergeCell ref="E76:E78"/>
    <mergeCell ref="D77:D78"/>
    <mergeCell ref="C80:C82"/>
    <mergeCell ref="E80:E82"/>
    <mergeCell ref="F80:F82"/>
    <mergeCell ref="D81:D82"/>
    <mergeCell ref="D85:D86"/>
    <mergeCell ref="F91:F93"/>
    <mergeCell ref="G91:G93"/>
    <mergeCell ref="C84:C86"/>
    <mergeCell ref="C88:C90"/>
    <mergeCell ref="E88:E90"/>
    <mergeCell ref="F88:F90"/>
    <mergeCell ref="G88:G90"/>
    <mergeCell ref="C91:C93"/>
    <mergeCell ref="C94:C96"/>
    <mergeCell ref="C98:C100"/>
    <mergeCell ref="E98:E100"/>
    <mergeCell ref="F98:F100"/>
    <mergeCell ref="G98:G100"/>
    <mergeCell ref="E102:E104"/>
    <mergeCell ref="F102:F104"/>
    <mergeCell ref="G102:G104"/>
    <mergeCell ref="E110:E112"/>
    <mergeCell ref="E114:E116"/>
    <mergeCell ref="F114:F116"/>
    <mergeCell ref="G114:G116"/>
    <mergeCell ref="E118:E120"/>
    <mergeCell ref="F118:F120"/>
    <mergeCell ref="G118:G120"/>
    <mergeCell ref="E138:E140"/>
    <mergeCell ref="D141:D148"/>
    <mergeCell ref="E141:E148"/>
    <mergeCell ref="F141:F148"/>
    <mergeCell ref="G141:G143"/>
    <mergeCell ref="E149:E151"/>
    <mergeCell ref="F149:F151"/>
    <mergeCell ref="G149:G151"/>
    <mergeCell ref="C130:C132"/>
    <mergeCell ref="C134:C136"/>
    <mergeCell ref="E134:E136"/>
    <mergeCell ref="F134:F136"/>
    <mergeCell ref="G134:G136"/>
    <mergeCell ref="F138:F140"/>
    <mergeCell ref="G138:G140"/>
  </mergeCells>
  <dataValidations>
    <dataValidation type="list" allowBlank="1" showErrorMessage="1" sqref="B6:B141 B149:B1123">
      <formula1>"ARRACHAGE/FAUCHAGE,AUTRES TRAVAUX,BILLONNAGE,CHARGE/DECHARGE,CHAULAGE,DECHAULAGE ,DÉSHERBAGES,ENTRETIEN SERRE,ETANCHIETE,IRRIGATION,NETTOYAGE ,NETTOYAGE FIN COMPAGNE,PALISSAGE ,PINCEMENT ,PLANTATION,RECOLTE,SELECTION,SUPPORT DE PALISSAGE ,TRAITEMENT ,VIRU"&amp;"S ET CONTROLE ,INSTALATION PALLAIGE"</formula1>
    </dataValidation>
    <dataValidation type="list" allowBlank="1" showErrorMessage="1" sqref="C6:C18 C20:C69 C72 C75:C76 C79:C80 C83:C84 C87:C88 C91 C94 C97:C98 C101:C102 C105:C106 C109:C110 C113:C114 C117:C118 C121:C122 C125:C126 C129:C130 C133:C134 C137:C138 C141 C149 C152:C1123">
      <formula1>"PW115"</formula1>
    </dataValidation>
    <dataValidation type="list" allowBlank="1" showErrorMessage="1" sqref="H6:H1123">
      <formula1>"Caporale,ouvrier"</formula1>
    </dataValidation>
    <dataValidation type="list" allowBlank="1" showErrorMessage="1" sqref="G6:G88 G91 G94 G97:G98 G101:G102 G105:G106 G109:G110 G113:G114 G117:G118 G121:G122 G125:G126 G129:G130 G133:G134 G137:G138 G141 G144 G147 G149 G152:G1123">
      <formula1>"HE,JRS "</formula1>
    </dataValidation>
  </dataValidations>
  <printOptions gridLines="1" horizontalCentered="1"/>
  <pageMargins bottom="0.0" footer="0.0" header="0.0" left="0.0" right="0.0" top="0.0"/>
  <pageSetup cellComments="atEnd" orientation="landscape" pageOrder="overThenDown" paperHeight="11.811023622047244in" paperWidth="21.65354330708661in"/>
  <drawing r:id="rId1"/>
</worksheet>
</file>